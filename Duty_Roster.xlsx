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DO Plan" sheetId="2" state="visible" r:id="rId2"/>
    <sheet xmlns:r="http://schemas.openxmlformats.org/officeDocument/2006/relationships" name="SDO Plan" sheetId="3" state="visible" r:id="rId3"/>
    <sheet xmlns:r="http://schemas.openxmlformats.org/officeDocument/2006/relationships" name="Duty Crew" sheetId="4" state="visible" r:id="rId4"/>
    <sheet xmlns:r="http://schemas.openxmlformats.org/officeDocument/2006/relationships" name="Departments" sheetId="5" state="visible" r:id="rId5"/>
  </sheets>
  <definedNames>
    <definedName name="PlanYear">Dashboard!$A$5</definedName>
    <definedName name="Depts">Departments!$A$6:INDEX(Departments!$A$6:$A$20,MAX(1,COUNTA(Departments!$A$6:$A$20)))</definedName>
    <definedName name="BDOCall">'Duty Crew'!$A$6:$A$55</definedName>
    <definedName name="BDODept">'Duty Crew'!$C$6:$C$55</definedName>
    <definedName name="SDOCall">'Duty Crew'!$E$6:$E$55</definedName>
    <definedName name="SDODept">'Duty Crew'!$G$6:$G$55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0;-0;-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4A3B8"/>
      <sz val="10"/>
    </font>
    <font>
      <name val="Arial"/>
      <b val="1"/>
      <color rgb="0064748B"/>
      <sz val="9"/>
    </font>
    <font>
      <name val="Arial"/>
      <b val="1"/>
      <color rgb="001D4ED8"/>
      <sz val="14"/>
    </font>
    <font>
      <name val="Arial"/>
      <b val="1"/>
      <color rgb="00BE123C"/>
      <sz val="14"/>
    </font>
    <font>
      <name val="Arial"/>
      <b val="1"/>
      <color rgb="000F172A"/>
      <sz val="12"/>
    </font>
    <font>
      <name val="Arial"/>
      <color rgb="00334155"/>
      <sz val="11"/>
    </font>
    <font>
      <name val="Arial"/>
      <b val="1"/>
      <color rgb="00FFFFFF"/>
      <sz val="10"/>
    </font>
    <font>
      <name val="Arial"/>
      <b val="1"/>
      <color rgb="001E3A8A"/>
      <sz val="10"/>
    </font>
    <font>
      <name val="Arial"/>
      <b val="1"/>
      <color rgb="00881337"/>
      <sz val="10"/>
    </font>
    <font>
      <name val="Arial"/>
      <b val="1"/>
      <color rgb="00065F46"/>
      <sz val="10"/>
    </font>
    <font>
      <name val="Arial"/>
      <b val="1"/>
      <color rgb="0078350F"/>
      <sz val="10"/>
    </font>
    <font>
      <name val="Arial"/>
      <b val="1"/>
      <color rgb="005B21B6"/>
      <sz val="10"/>
    </font>
    <font>
      <name val="Arial"/>
      <b val="1"/>
      <color rgb="00164E63"/>
      <sz val="10"/>
    </font>
    <font>
      <name val="Arial"/>
      <b val="1"/>
      <color rgb="009D174D"/>
      <sz val="10"/>
    </font>
    <font>
      <name val="Arial"/>
      <b val="1"/>
      <color rgb="003730A3"/>
      <sz val="10"/>
    </font>
    <font>
      <name val="Arial"/>
      <b val="1"/>
      <color rgb="000F172A"/>
      <sz val="10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</font>
    <font>
      <name val="Arial"/>
      <b val="1"/>
      <color rgb="001D4ED8"/>
      <sz val="11"/>
    </font>
    <font>
      <name val="Arial"/>
      <i val="1"/>
      <color rgb="0064748B"/>
      <sz val="9"/>
    </font>
    <font>
      <name val="Arial"/>
      <b val="1"/>
      <color rgb="00FFFFFF"/>
      <sz val="9"/>
    </font>
    <font>
      <name val="Arial"/>
      <b val="1"/>
      <color rgb="00FCD34D"/>
      <sz val="9"/>
    </font>
    <font>
      <name val="Arial"/>
      <b val="1"/>
      <color rgb="000F172A"/>
      <sz val="11"/>
    </font>
    <font>
      <name val="Arial"/>
      <color rgb="001E293B"/>
      <sz val="9"/>
    </font>
    <font>
      <name val="Arial"/>
      <b val="1"/>
      <color rgb="001E293B"/>
      <sz val="9"/>
    </font>
    <font>
      <name val="Arial"/>
      <b val="1"/>
      <color rgb="00B91C1C"/>
      <sz val="10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BEB"/>
        <bgColor rgb="00FFFBEB"/>
      </patternFill>
    </fill>
    <fill>
      <patternFill patternType="solid">
        <fgColor rgb="00DBEAFE"/>
        <bgColor rgb="00DBEAFE"/>
      </patternFill>
    </fill>
    <fill>
      <patternFill patternType="solid">
        <fgColor rgb="00FECDD3"/>
        <bgColor rgb="00FECDD3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CFFAFE"/>
        <bgColor rgb="00CFFAFE"/>
      </patternFill>
    </fill>
    <fill>
      <patternFill patternType="solid">
        <fgColor rgb="00FCE7F3"/>
        <bgColor rgb="00FCE7F3"/>
      </patternFill>
    </fill>
    <fill>
      <patternFill patternType="solid">
        <fgColor rgb="00E0E7FF"/>
        <bgColor rgb="00E0E7FF"/>
      </patternFill>
    </fill>
    <fill>
      <patternFill patternType="solid">
        <fgColor rgb="001D4ED8"/>
        <bgColor rgb="001D4ED8"/>
      </patternFill>
    </fill>
    <fill>
      <patternFill patternType="solid">
        <fgColor rgb="00BE123C"/>
        <bgColor rgb="00BE123C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top" wrapText="1" indent="1"/>
    </xf>
    <xf numFmtId="0" fontId="21" fillId="3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2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7" fillId="0" borderId="1" applyAlignment="1" pivotButton="0" quotePrefix="0" xfId="0">
      <alignment vertical="top"/>
    </xf>
    <xf numFmtId="0" fontId="26" fillId="0" borderId="1" applyAlignment="1" pivotButton="0" quotePrefix="0" xfId="0">
      <alignment horizontal="left" vertical="top" wrapText="1"/>
    </xf>
    <xf numFmtId="165" fontId="28" fillId="0" borderId="1" applyAlignment="1" pivotButton="0" quotePrefix="0" xfId="0">
      <alignment horizontal="center" vertical="center" wrapText="1"/>
    </xf>
    <xf numFmtId="0" fontId="23" fillId="14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left" vertical="top"/>
    </xf>
    <xf numFmtId="0" fontId="19" fillId="3" borderId="3" applyAlignment="1" pivotButton="0" quotePrefix="0" xfId="0">
      <alignment horizontal="center" vertical="center" shrinkToFit="1"/>
    </xf>
    <xf numFmtId="0" fontId="17" fillId="16" borderId="1" pivotButton="0" quotePrefix="0" xfId="0"/>
    <xf numFmtId="0" fontId="17" fillId="16" borderId="1" applyAlignment="1" pivotButton="0" quotePrefix="0" xfId="0">
      <alignment horizontal="center" vertical="center" wrapText="1"/>
    </xf>
    <xf numFmtId="0" fontId="18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9" fillId="3" borderId="1" pivotButton="0" quotePrefix="0" xfId="0"/>
    <xf numFmtId="0" fontId="20" fillId="3" borderId="1" pivotButton="0" quotePrefix="0" xfId="0"/>
    <xf numFmtId="0" fontId="9" fillId="4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7" borderId="1" pivotButton="0" quotePrefix="0" xfId="0"/>
    <xf numFmtId="0" fontId="13" fillId="8" borderId="1" pivotButton="0" quotePrefix="0" xfId="0"/>
    <xf numFmtId="0" fontId="14" fillId="9" borderId="1" pivotButton="0" quotePrefix="0" xfId="0"/>
    <xf numFmtId="0" fontId="15" fillId="10" borderId="1" pivotButton="0" quotePrefix="0" xfId="0"/>
    <xf numFmtId="0" fontId="16" fillId="11" borderId="1" pivotButton="0" quotePrefix="0" xfId="0"/>
    <xf numFmtId="0" fontId="17" fillId="3" borderId="1" pivotButton="0" quotePrefix="0" xfId="0"/>
  </cellXfs>
  <cellStyles count="1">
    <cellStyle name="Normal" xfId="0" builtinId="0" hidden="0"/>
  </cellStyles>
  <dxfs count="10">
    <dxf>
      <fill>
        <patternFill patternType="solid">
          <fgColor rgb="00E2E8F0"/>
          <bgColor rgb="00E2E8F0"/>
        </patternFill>
      </fill>
    </dxf>
    <dxf>
      <font>
        <b val="1"/>
        <color rgb="00FFFFFF"/>
      </font>
      <fill>
        <patternFill patternType="solid">
          <fgColor rgb="000F172A"/>
          <bgColor rgb="000F172A"/>
        </patternFill>
      </fill>
    </dxf>
    <dxf>
      <font>
        <b val="1"/>
        <color rgb="001E3A8A"/>
      </font>
      <fill>
        <patternFill patternType="solid">
          <fgColor rgb="00DBEAFE"/>
          <bgColor rgb="00DBEAFE"/>
        </patternFill>
      </fill>
    </dxf>
    <dxf>
      <font>
        <b val="1"/>
        <color rgb="00881337"/>
      </font>
      <fill>
        <patternFill patternType="solid">
          <fgColor rgb="00FECDD3"/>
          <bgColor rgb="00FECDD3"/>
        </patternFill>
      </fill>
    </dxf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b val="1"/>
        <color rgb="0078350F"/>
      </font>
      <fill>
        <patternFill patternType="solid">
          <fgColor rgb="00FEF3C7"/>
          <bgColor rgb="00FEF3C7"/>
        </patternFill>
      </fill>
    </dxf>
    <dxf>
      <font>
        <b val="1"/>
        <color rgb="005B21B6"/>
      </font>
      <fill>
        <patternFill patternType="solid">
          <fgColor rgb="00EDE9FE"/>
          <bgColor rgb="00EDE9FE"/>
        </patternFill>
      </fill>
    </dxf>
    <dxf>
      <font>
        <b val="1"/>
        <color rgb="00164E63"/>
      </font>
      <fill>
        <patternFill patternType="solid">
          <fgColor rgb="00CFFAFE"/>
          <bgColor rgb="00CFFAFE"/>
        </patternFill>
      </fill>
    </dxf>
    <dxf>
      <font>
        <b val="1"/>
        <color rgb="009D174D"/>
      </font>
      <fill>
        <patternFill patternType="solid">
          <fgColor rgb="00FCE7F3"/>
          <bgColor rgb="00FCE7F3"/>
        </patternFill>
      </fill>
    </dxf>
    <dxf>
      <font>
        <b val="1"/>
        <color rgb="003730A3"/>
      </font>
      <fill>
        <patternFill patternType="solid">
          <fgColor rgb="00E0E7FF"/>
          <bgColor rgb="00E0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hidden="1" width="13" customWidth="1" min="26" max="26"/>
  </cols>
  <sheetData>
    <row r="1" ht="30" customHeight="1">
      <c r="A1" s="1" t="inlineStr">
        <is>
          <t>DUTY ROSTER  |  BDO AND SDO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Kept by the Duty Planner. Base Duty Officer (BDO) and Squadron Duty Orderly (SDO): a person from each duty's crew list on every day.</t>
        </is>
      </c>
      <c r="B2" s="2" t="n"/>
      <c r="C2" s="2" t="n"/>
      <c r="D2" s="2" t="n"/>
      <c r="E2" s="2" t="n"/>
      <c r="F2" s="2" t="n"/>
      <c r="G2" s="2" t="n"/>
      <c r="H2" s="2" t="n"/>
      <c r="Z2" t="inlineStr">
        <is>
          <t>LODESTAR roster layout 2</t>
        </is>
      </c>
    </row>
    <row r="4">
      <c r="A4" s="4" t="inlineStr">
        <is>
          <t>YEAR</t>
        </is>
      </c>
      <c r="G4" s="4" t="inlineStr">
        <is>
          <t>FILE</t>
        </is>
      </c>
    </row>
    <row r="5">
      <c r="A5" s="5" t="n">
        <v>2026</v>
      </c>
      <c r="G5" s="6" t="inlineStr">
        <is>
          <t>Duty Roster</t>
        </is>
      </c>
    </row>
    <row r="8" ht="22" customHeight="1">
      <c r="A8" s="7" t="inlineStr">
        <is>
          <t>HOW DUTY PLANNING WORKS</t>
        </is>
      </c>
    </row>
    <row r="9" ht="32" customHeight="1">
      <c r="A9" s="8" t="inlineStr">
        <is>
          <t>1. Duty crew: on the Duty Crew sheet, list who can do each duty (callsign, name, department). BDO and SDO have separate lists.</t>
        </is>
      </c>
    </row>
    <row r="10" ht="32" customHeight="1">
      <c r="A10" s="8" t="inlineStr">
        <is>
          <t>2. Duty Planner: open this file in the planner dashboard (Open my Excel), then Add other departments to see every department's plans read-only.</t>
        </is>
      </c>
    </row>
    <row r="11" ht="32" customHeight="1">
      <c r="A11" s="8" t="inlineStr">
        <is>
          <t>3. On the dashboard's Duty Planner tab, pick the department for BDO and for SDO on each day. Save to Excel writes only to this file.</t>
        </is>
      </c>
    </row>
    <row r="12" ht="32" customHeight="1">
      <c r="A12" s="8" t="inlineStr">
        <is>
          <t>4. Each department: open your own planner in the dashboard with this Duty Roster alongside. The Duty Planner tab shows what differs; click 'Copy my duty days from the Duty Roster', then Save to Excel.</t>
        </is>
      </c>
    </row>
    <row r="13" ht="32" customHeight="1">
      <c r="A13" s="8" t="inlineStr">
        <is>
          <t>5. Then put someone from the crew list on BDO / SDO for each of your duty days on the month tabs. The DUTY DAYS row turns red on a day with nobody on that duty.</t>
        </is>
      </c>
    </row>
    <row r="14" ht="22" customHeight="1">
      <c r="A14" s="8" t="inlineStr"/>
    </row>
    <row r="15" ht="32" customHeight="1">
      <c r="A15" s="8" t="inlineStr">
        <is>
          <t>You can also plan straight in Excel on the BDO Plan and SDO Plan sheets: pick a department from the dropdown in each day. The table on the right lists each department's dates.</t>
        </is>
      </c>
    </row>
    <row r="16" ht="32" customHeight="1">
      <c r="A16" s="8" t="inlineStr">
        <is>
          <t>Departments are listed on the Departments sheet. Use the same spelling as the Department name in each department's planner (its Dashboard, cell G5).</t>
        </is>
      </c>
    </row>
  </sheetData>
  <mergeCells count="11">
    <mergeCell ref="A9:H9"/>
    <mergeCell ref="A12:H12"/>
    <mergeCell ref="A15:H15"/>
    <mergeCell ref="A2:H2"/>
    <mergeCell ref="A16:H16"/>
    <mergeCell ref="A10:H10"/>
    <mergeCell ref="A13:H13"/>
    <mergeCell ref="A11:H11"/>
    <mergeCell ref="A14:H14"/>
    <mergeCell ref="A1:H1"/>
    <mergeCell ref="A8:H8"/>
  </mergeCells>
  <dataValidations count="1">
    <dataValidation sqref="A5" showDropDown="0" showInputMessage="0" showErrorMessage="0" allowBlank="0" type="list">
      <formula1>"2025,2026,2027,2028,2029,2030,2031,2032,2033,2034,2035"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AK8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" customWidth="1" min="24" max="24"/>
    <col width="2" customWidth="1" min="25" max="25"/>
    <col width="11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2" customWidth="1" min="37" max="37"/>
  </cols>
  <sheetData>
    <row r="1" ht="30" customHeight="1">
      <c r="A1" s="1" t="inlineStr">
        <is>
          <t>BDO PLANNING CALENDAR  |  BASE DUTY OFFICER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18" customHeight="1">
      <c r="A2" s="3" t="inlineStr">
        <is>
          <t>Pick the department on BDO duty for each day. The table on the right lists each department's dates. Who can do BDO: the Duty Crew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4" ht="22" customHeight="1">
      <c r="A4" s="4" t="inlineStr">
        <is>
          <t>HIGHLIGHT DEPT</t>
        </is>
      </c>
      <c r="C4" s="9" t="n"/>
      <c r="E4" s="10" t="inlineStr">
        <is>
          <t>Pick a department to highlight its days.</t>
        </is>
      </c>
      <c r="Z4" s="11" t="inlineStr">
        <is>
          <t>BDO DATES BY DEPARTMENT (filled in automatically)</t>
        </is>
      </c>
    </row>
    <row r="5">
      <c r="Z5" s="12" t="inlineStr">
        <is>
          <t>Month</t>
        </is>
      </c>
      <c r="AA5" s="12">
        <f>IF(Departments!$A$6="","",Departments!$A$6)</f>
        <v/>
      </c>
      <c r="AB5" s="12">
        <f>IF(Departments!$A$7="","",Departments!$A$7)</f>
        <v/>
      </c>
      <c r="AC5" s="12">
        <f>IF(Departments!$A$8="","",Departments!$A$8)</f>
        <v/>
      </c>
      <c r="AD5" s="12">
        <f>IF(Departments!$A$9="","",Departments!$A$9)</f>
        <v/>
      </c>
      <c r="AE5" s="12">
        <f>IF(Departments!$A$10="","",Departments!$A$10)</f>
        <v/>
      </c>
      <c r="AF5" s="12">
        <f>IF(Departments!$A$11="","",Departments!$A$11)</f>
        <v/>
      </c>
      <c r="AG5" s="12">
        <f>IF(Departments!$A$12="","",Departments!$A$12)</f>
        <v/>
      </c>
      <c r="AH5" s="12">
        <f>IF(Departments!$A$13="","",Departments!$A$13)</f>
        <v/>
      </c>
      <c r="AI5" s="12">
        <f>IF(Departments!$A$14="","",Departments!$A$14)</f>
        <v/>
      </c>
      <c r="AJ5" s="12">
        <f>IF(Departments!$A$15="","",Departments!$A$15)</f>
        <v/>
      </c>
      <c r="AK5" s="12" t="inlineStr">
        <is>
          <t>Days not set</t>
        </is>
      </c>
    </row>
    <row r="6" ht="26" customHeight="1">
      <c r="A6" s="13">
        <f>UPPER(TEXT(DATE(PlanYear,1,1),"mmmm yyyy"))&amp;"  ·  BDO"</f>
        <v/>
      </c>
      <c r="B6" s="14" t="n"/>
      <c r="C6" s="14" t="n"/>
      <c r="D6" s="14" t="n"/>
      <c r="E6" s="14" t="n"/>
      <c r="F6" s="14" t="n"/>
      <c r="G6" s="14" t="n"/>
      <c r="I6" s="13">
        <f>UPPER(TEXT(DATE(PlanYear,2,1),"mmmm yyyy"))&amp;"  ·  BDO"</f>
        <v/>
      </c>
      <c r="J6" s="14" t="n"/>
      <c r="K6" s="14" t="n"/>
      <c r="L6" s="14" t="n"/>
      <c r="M6" s="14" t="n"/>
      <c r="N6" s="14" t="n"/>
      <c r="O6" s="14" t="n"/>
      <c r="Q6" s="13">
        <f>UPPER(TEXT(DATE(PlanYear,3,1),"mmmm yyyy"))&amp;"  ·  BDO"</f>
        <v/>
      </c>
      <c r="R6" s="14" t="n"/>
      <c r="S6" s="14" t="n"/>
      <c r="T6" s="14" t="n"/>
      <c r="U6" s="14" t="n"/>
      <c r="V6" s="14" t="n"/>
      <c r="W6" s="14" t="n"/>
      <c r="Z6" s="15" t="inlineStr">
        <is>
          <t>January</t>
        </is>
      </c>
      <c r="AA6" s="16">
        <f>IF(AA$5="","",MID(IF(INDEX($A$9:$G$19,2*INT((0+WEEKDAY(DATE(PlanYear,1,1),2)-1)/7)+1,MOD(0+WEEKDAY(DATE(PlanYear,1,1),2)-1,7)+1)=AA$5,", "&amp;1,"")&amp;IF(INDEX($A$9:$G$19,2*INT((1+WEEKDAY(DATE(PlanYear,1,1),2)-1)/7)+1,MOD(1+WEEKDAY(DATE(PlanYear,1,1),2)-1,7)+1)=AA$5,", "&amp;2,"")&amp;IF(INDEX($A$9:$G$19,2*INT((2+WEEKDAY(DATE(PlanYear,1,1),2)-1)/7)+1,MOD(2+WEEKDAY(DATE(PlanYear,1,1),2)-1,7)+1)=AA$5,", "&amp;3,"")&amp;IF(INDEX($A$9:$G$19,2*INT((3+WEEKDAY(DATE(PlanYear,1,1),2)-1)/7)+1,MOD(3+WEEKDAY(DATE(PlanYear,1,1),2)-1,7)+1)=AA$5,", "&amp;4,"")&amp;IF(INDEX($A$9:$G$19,2*INT((4+WEEKDAY(DATE(PlanYear,1,1),2)-1)/7)+1,MOD(4+WEEKDAY(DATE(PlanYear,1,1),2)-1,7)+1)=AA$5,", "&amp;5,"")&amp;IF(INDEX($A$9:$G$19,2*INT((5+WEEKDAY(DATE(PlanYear,1,1),2)-1)/7)+1,MOD(5+WEEKDAY(DATE(PlanYear,1,1),2)-1,7)+1)=AA$5,", "&amp;6,"")&amp;IF(INDEX($A$9:$G$19,2*INT((6+WEEKDAY(DATE(PlanYear,1,1),2)-1)/7)+1,MOD(6+WEEKDAY(DATE(PlanYear,1,1),2)-1,7)+1)=AA$5,", "&amp;7,"")&amp;IF(INDEX($A$9:$G$19,2*INT((7+WEEKDAY(DATE(PlanYear,1,1),2)-1)/7)+1,MOD(7+WEEKDAY(DATE(PlanYear,1,1),2)-1,7)+1)=AA$5,", "&amp;8,"")&amp;IF(INDEX($A$9:$G$19,2*INT((8+WEEKDAY(DATE(PlanYear,1,1),2)-1)/7)+1,MOD(8+WEEKDAY(DATE(PlanYear,1,1),2)-1,7)+1)=AA$5,", "&amp;9,"")&amp;IF(INDEX($A$9:$G$19,2*INT((9+WEEKDAY(DATE(PlanYear,1,1),2)-1)/7)+1,MOD(9+WEEKDAY(DATE(PlanYear,1,1),2)-1,7)+1)=AA$5,", "&amp;10,"")&amp;IF(INDEX($A$9:$G$19,2*INT((10+WEEKDAY(DATE(PlanYear,1,1),2)-1)/7)+1,MOD(10+WEEKDAY(DATE(PlanYear,1,1),2)-1,7)+1)=AA$5,", "&amp;11,"")&amp;IF(INDEX($A$9:$G$19,2*INT((11+WEEKDAY(DATE(PlanYear,1,1),2)-1)/7)+1,MOD(11+WEEKDAY(DATE(PlanYear,1,1),2)-1,7)+1)=AA$5,", "&amp;12,"")&amp;IF(INDEX($A$9:$G$19,2*INT((12+WEEKDAY(DATE(PlanYear,1,1),2)-1)/7)+1,MOD(12+WEEKDAY(DATE(PlanYear,1,1),2)-1,7)+1)=AA$5,", "&amp;13,"")&amp;IF(INDEX($A$9:$G$19,2*INT((13+WEEKDAY(DATE(PlanYear,1,1),2)-1)/7)+1,MOD(13+WEEKDAY(DATE(PlanYear,1,1),2)-1,7)+1)=AA$5,", "&amp;14,"")&amp;IF(INDEX($A$9:$G$19,2*INT((14+WEEKDAY(DATE(PlanYear,1,1),2)-1)/7)+1,MOD(14+WEEKDAY(DATE(PlanYear,1,1),2)-1,7)+1)=AA$5,", "&amp;15,"")&amp;IF(INDEX($A$9:$G$19,2*INT((15+WEEKDAY(DATE(PlanYear,1,1),2)-1)/7)+1,MOD(15+WEEKDAY(DATE(PlanYear,1,1),2)-1,7)+1)=AA$5,", "&amp;16,"")&amp;IF(INDEX($A$9:$G$19,2*INT((16+WEEKDAY(DATE(PlanYear,1,1),2)-1)/7)+1,MOD(16+WEEKDAY(DATE(PlanYear,1,1),2)-1,7)+1)=AA$5,", "&amp;17,"")&amp;IF(INDEX($A$9:$G$19,2*INT((17+WEEKDAY(DATE(PlanYear,1,1),2)-1)/7)+1,MOD(17+WEEKDAY(DATE(PlanYear,1,1),2)-1,7)+1)=AA$5,", "&amp;18,"")&amp;IF(INDEX($A$9:$G$19,2*INT((18+WEEKDAY(DATE(PlanYear,1,1),2)-1)/7)+1,MOD(18+WEEKDAY(DATE(PlanYear,1,1),2)-1,7)+1)=AA$5,", "&amp;19,"")&amp;IF(INDEX($A$9:$G$19,2*INT((19+WEEKDAY(DATE(PlanYear,1,1),2)-1)/7)+1,MOD(19+WEEKDAY(DATE(PlanYear,1,1),2)-1,7)+1)=AA$5,", "&amp;20,"")&amp;IF(INDEX($A$9:$G$19,2*INT((20+WEEKDAY(DATE(PlanYear,1,1),2)-1)/7)+1,MOD(20+WEEKDAY(DATE(PlanYear,1,1),2)-1,7)+1)=AA$5,", "&amp;21,"")&amp;IF(INDEX($A$9:$G$19,2*INT((21+WEEKDAY(DATE(PlanYear,1,1),2)-1)/7)+1,MOD(21+WEEKDAY(DATE(PlanYear,1,1),2)-1,7)+1)=AA$5,", "&amp;22,"")&amp;IF(INDEX($A$9:$G$19,2*INT((22+WEEKDAY(DATE(PlanYear,1,1),2)-1)/7)+1,MOD(22+WEEKDAY(DATE(PlanYear,1,1),2)-1,7)+1)=AA$5,", "&amp;23,"")&amp;IF(INDEX($A$9:$G$19,2*INT((23+WEEKDAY(DATE(PlanYear,1,1),2)-1)/7)+1,MOD(23+WEEKDAY(DATE(PlanYear,1,1),2)-1,7)+1)=AA$5,", "&amp;24,"")&amp;IF(INDEX($A$9:$G$19,2*INT((24+WEEKDAY(DATE(PlanYear,1,1),2)-1)/7)+1,MOD(24+WEEKDAY(DATE(PlanYear,1,1),2)-1,7)+1)=AA$5,", "&amp;25,"")&amp;IF(INDEX($A$9:$G$19,2*INT((25+WEEKDAY(DATE(PlanYear,1,1),2)-1)/7)+1,MOD(25+WEEKDAY(DATE(PlanYear,1,1),2)-1,7)+1)=AA$5,", "&amp;26,"")&amp;IF(INDEX($A$9:$G$19,2*INT((26+WEEKDAY(DATE(PlanYear,1,1),2)-1)/7)+1,MOD(26+WEEKDAY(DATE(PlanYear,1,1),2)-1,7)+1)=AA$5,", "&amp;27,"")&amp;IF(INDEX($A$9:$G$19,2*INT((27+WEEKDAY(DATE(PlanYear,1,1),2)-1)/7)+1,MOD(27+WEEKDAY(DATE(PlanYear,1,1),2)-1,7)+1)=AA$5,", "&amp;28,"")&amp;IF(INDEX($A$9:$G$19,2*INT((28+WEEKDAY(DATE(PlanYear,1,1),2)-1)/7)+1,MOD(28+WEEKDAY(DATE(PlanYear,1,1),2)-1,7)+1)=AA$5,", "&amp;29,"")&amp;IF(INDEX($A$9:$G$19,2*INT((29+WEEKDAY(DATE(PlanYear,1,1),2)-1)/7)+1,MOD(29+WEEKDAY(DATE(PlanYear,1,1),2)-1,7)+1)=AA$5,", "&amp;30,"")&amp;IF(INDEX($A$9:$G$19,2*INT((30+WEEKDAY(DATE(PlanYear,1,1),2)-1)/7)+1,MOD(30+WEEKDAY(DATE(PlanYear,1,1),2)-1,7)+1)=AA$5,", "&amp;31,""),3,200))</f>
        <v/>
      </c>
      <c r="AB6" s="16">
        <f>IF(AB$5="","",MID(IF(INDEX($A$9:$G$19,2*INT((0+WEEKDAY(DATE(PlanYear,1,1),2)-1)/7)+1,MOD(0+WEEKDAY(DATE(PlanYear,1,1),2)-1,7)+1)=AB$5,", "&amp;1,"")&amp;IF(INDEX($A$9:$G$19,2*INT((1+WEEKDAY(DATE(PlanYear,1,1),2)-1)/7)+1,MOD(1+WEEKDAY(DATE(PlanYear,1,1),2)-1,7)+1)=AB$5,", "&amp;2,"")&amp;IF(INDEX($A$9:$G$19,2*INT((2+WEEKDAY(DATE(PlanYear,1,1),2)-1)/7)+1,MOD(2+WEEKDAY(DATE(PlanYear,1,1),2)-1,7)+1)=AB$5,", "&amp;3,"")&amp;IF(INDEX($A$9:$G$19,2*INT((3+WEEKDAY(DATE(PlanYear,1,1),2)-1)/7)+1,MOD(3+WEEKDAY(DATE(PlanYear,1,1),2)-1,7)+1)=AB$5,", "&amp;4,"")&amp;IF(INDEX($A$9:$G$19,2*INT((4+WEEKDAY(DATE(PlanYear,1,1),2)-1)/7)+1,MOD(4+WEEKDAY(DATE(PlanYear,1,1),2)-1,7)+1)=AB$5,", "&amp;5,"")&amp;IF(INDEX($A$9:$G$19,2*INT((5+WEEKDAY(DATE(PlanYear,1,1),2)-1)/7)+1,MOD(5+WEEKDAY(DATE(PlanYear,1,1),2)-1,7)+1)=AB$5,", "&amp;6,"")&amp;IF(INDEX($A$9:$G$19,2*INT((6+WEEKDAY(DATE(PlanYear,1,1),2)-1)/7)+1,MOD(6+WEEKDAY(DATE(PlanYear,1,1),2)-1,7)+1)=AB$5,", "&amp;7,"")&amp;IF(INDEX($A$9:$G$19,2*INT((7+WEEKDAY(DATE(PlanYear,1,1),2)-1)/7)+1,MOD(7+WEEKDAY(DATE(PlanYear,1,1),2)-1,7)+1)=AB$5,", "&amp;8,"")&amp;IF(INDEX($A$9:$G$19,2*INT((8+WEEKDAY(DATE(PlanYear,1,1),2)-1)/7)+1,MOD(8+WEEKDAY(DATE(PlanYear,1,1),2)-1,7)+1)=AB$5,", "&amp;9,"")&amp;IF(INDEX($A$9:$G$19,2*INT((9+WEEKDAY(DATE(PlanYear,1,1),2)-1)/7)+1,MOD(9+WEEKDAY(DATE(PlanYear,1,1),2)-1,7)+1)=AB$5,", "&amp;10,"")&amp;IF(INDEX($A$9:$G$19,2*INT((10+WEEKDAY(DATE(PlanYear,1,1),2)-1)/7)+1,MOD(10+WEEKDAY(DATE(PlanYear,1,1),2)-1,7)+1)=AB$5,", "&amp;11,"")&amp;IF(INDEX($A$9:$G$19,2*INT((11+WEEKDAY(DATE(PlanYear,1,1),2)-1)/7)+1,MOD(11+WEEKDAY(DATE(PlanYear,1,1),2)-1,7)+1)=AB$5,", "&amp;12,"")&amp;IF(INDEX($A$9:$G$19,2*INT((12+WEEKDAY(DATE(PlanYear,1,1),2)-1)/7)+1,MOD(12+WEEKDAY(DATE(PlanYear,1,1),2)-1,7)+1)=AB$5,", "&amp;13,"")&amp;IF(INDEX($A$9:$G$19,2*INT((13+WEEKDAY(DATE(PlanYear,1,1),2)-1)/7)+1,MOD(13+WEEKDAY(DATE(PlanYear,1,1),2)-1,7)+1)=AB$5,", "&amp;14,"")&amp;IF(INDEX($A$9:$G$19,2*INT((14+WEEKDAY(DATE(PlanYear,1,1),2)-1)/7)+1,MOD(14+WEEKDAY(DATE(PlanYear,1,1),2)-1,7)+1)=AB$5,", "&amp;15,"")&amp;IF(INDEX($A$9:$G$19,2*INT((15+WEEKDAY(DATE(PlanYear,1,1),2)-1)/7)+1,MOD(15+WEEKDAY(DATE(PlanYear,1,1),2)-1,7)+1)=AB$5,", "&amp;16,"")&amp;IF(INDEX($A$9:$G$19,2*INT((16+WEEKDAY(DATE(PlanYear,1,1),2)-1)/7)+1,MOD(16+WEEKDAY(DATE(PlanYear,1,1),2)-1,7)+1)=AB$5,", "&amp;17,"")&amp;IF(INDEX($A$9:$G$19,2*INT((17+WEEKDAY(DATE(PlanYear,1,1),2)-1)/7)+1,MOD(17+WEEKDAY(DATE(PlanYear,1,1),2)-1,7)+1)=AB$5,", "&amp;18,"")&amp;IF(INDEX($A$9:$G$19,2*INT((18+WEEKDAY(DATE(PlanYear,1,1),2)-1)/7)+1,MOD(18+WEEKDAY(DATE(PlanYear,1,1),2)-1,7)+1)=AB$5,", "&amp;19,"")&amp;IF(INDEX($A$9:$G$19,2*INT((19+WEEKDAY(DATE(PlanYear,1,1),2)-1)/7)+1,MOD(19+WEEKDAY(DATE(PlanYear,1,1),2)-1,7)+1)=AB$5,", "&amp;20,"")&amp;IF(INDEX($A$9:$G$19,2*INT((20+WEEKDAY(DATE(PlanYear,1,1),2)-1)/7)+1,MOD(20+WEEKDAY(DATE(PlanYear,1,1),2)-1,7)+1)=AB$5,", "&amp;21,"")&amp;IF(INDEX($A$9:$G$19,2*INT((21+WEEKDAY(DATE(PlanYear,1,1),2)-1)/7)+1,MOD(21+WEEKDAY(DATE(PlanYear,1,1),2)-1,7)+1)=AB$5,", "&amp;22,"")&amp;IF(INDEX($A$9:$G$19,2*INT((22+WEEKDAY(DATE(PlanYear,1,1),2)-1)/7)+1,MOD(22+WEEKDAY(DATE(PlanYear,1,1),2)-1,7)+1)=AB$5,", "&amp;23,"")&amp;IF(INDEX($A$9:$G$19,2*INT((23+WEEKDAY(DATE(PlanYear,1,1),2)-1)/7)+1,MOD(23+WEEKDAY(DATE(PlanYear,1,1),2)-1,7)+1)=AB$5,", "&amp;24,"")&amp;IF(INDEX($A$9:$G$19,2*INT((24+WEEKDAY(DATE(PlanYear,1,1),2)-1)/7)+1,MOD(24+WEEKDAY(DATE(PlanYear,1,1),2)-1,7)+1)=AB$5,", "&amp;25,"")&amp;IF(INDEX($A$9:$G$19,2*INT((25+WEEKDAY(DATE(PlanYear,1,1),2)-1)/7)+1,MOD(25+WEEKDAY(DATE(PlanYear,1,1),2)-1,7)+1)=AB$5,", "&amp;26,"")&amp;IF(INDEX($A$9:$G$19,2*INT((26+WEEKDAY(DATE(PlanYear,1,1),2)-1)/7)+1,MOD(26+WEEKDAY(DATE(PlanYear,1,1),2)-1,7)+1)=AB$5,", "&amp;27,"")&amp;IF(INDEX($A$9:$G$19,2*INT((27+WEEKDAY(DATE(PlanYear,1,1),2)-1)/7)+1,MOD(27+WEEKDAY(DATE(PlanYear,1,1),2)-1,7)+1)=AB$5,", "&amp;28,"")&amp;IF(INDEX($A$9:$G$19,2*INT((28+WEEKDAY(DATE(PlanYear,1,1),2)-1)/7)+1,MOD(28+WEEKDAY(DATE(PlanYear,1,1),2)-1,7)+1)=AB$5,", "&amp;29,"")&amp;IF(INDEX($A$9:$G$19,2*INT((29+WEEKDAY(DATE(PlanYear,1,1),2)-1)/7)+1,MOD(29+WEEKDAY(DATE(PlanYear,1,1),2)-1,7)+1)=AB$5,", "&amp;30,"")&amp;IF(INDEX($A$9:$G$19,2*INT((30+WEEKDAY(DATE(PlanYear,1,1),2)-1)/7)+1,MOD(30+WEEKDAY(DATE(PlanYear,1,1),2)-1,7)+1)=AB$5,", "&amp;31,""),3,200))</f>
        <v/>
      </c>
      <c r="AC6" s="16">
        <f>IF(AC$5="","",MID(IF(INDEX($A$9:$G$19,2*INT((0+WEEKDAY(DATE(PlanYear,1,1),2)-1)/7)+1,MOD(0+WEEKDAY(DATE(PlanYear,1,1),2)-1,7)+1)=AC$5,", "&amp;1,"")&amp;IF(INDEX($A$9:$G$19,2*INT((1+WEEKDAY(DATE(PlanYear,1,1),2)-1)/7)+1,MOD(1+WEEKDAY(DATE(PlanYear,1,1),2)-1,7)+1)=AC$5,", "&amp;2,"")&amp;IF(INDEX($A$9:$G$19,2*INT((2+WEEKDAY(DATE(PlanYear,1,1),2)-1)/7)+1,MOD(2+WEEKDAY(DATE(PlanYear,1,1),2)-1,7)+1)=AC$5,", "&amp;3,"")&amp;IF(INDEX($A$9:$G$19,2*INT((3+WEEKDAY(DATE(PlanYear,1,1),2)-1)/7)+1,MOD(3+WEEKDAY(DATE(PlanYear,1,1),2)-1,7)+1)=AC$5,", "&amp;4,"")&amp;IF(INDEX($A$9:$G$19,2*INT((4+WEEKDAY(DATE(PlanYear,1,1),2)-1)/7)+1,MOD(4+WEEKDAY(DATE(PlanYear,1,1),2)-1,7)+1)=AC$5,", "&amp;5,"")&amp;IF(INDEX($A$9:$G$19,2*INT((5+WEEKDAY(DATE(PlanYear,1,1),2)-1)/7)+1,MOD(5+WEEKDAY(DATE(PlanYear,1,1),2)-1,7)+1)=AC$5,", "&amp;6,"")&amp;IF(INDEX($A$9:$G$19,2*INT((6+WEEKDAY(DATE(PlanYear,1,1),2)-1)/7)+1,MOD(6+WEEKDAY(DATE(PlanYear,1,1),2)-1,7)+1)=AC$5,", "&amp;7,"")&amp;IF(INDEX($A$9:$G$19,2*INT((7+WEEKDAY(DATE(PlanYear,1,1),2)-1)/7)+1,MOD(7+WEEKDAY(DATE(PlanYear,1,1),2)-1,7)+1)=AC$5,", "&amp;8,"")&amp;IF(INDEX($A$9:$G$19,2*INT((8+WEEKDAY(DATE(PlanYear,1,1),2)-1)/7)+1,MOD(8+WEEKDAY(DATE(PlanYear,1,1),2)-1,7)+1)=AC$5,", "&amp;9,"")&amp;IF(INDEX($A$9:$G$19,2*INT((9+WEEKDAY(DATE(PlanYear,1,1),2)-1)/7)+1,MOD(9+WEEKDAY(DATE(PlanYear,1,1),2)-1,7)+1)=AC$5,", "&amp;10,"")&amp;IF(INDEX($A$9:$G$19,2*INT((10+WEEKDAY(DATE(PlanYear,1,1),2)-1)/7)+1,MOD(10+WEEKDAY(DATE(PlanYear,1,1),2)-1,7)+1)=AC$5,", "&amp;11,"")&amp;IF(INDEX($A$9:$G$19,2*INT((11+WEEKDAY(DATE(PlanYear,1,1),2)-1)/7)+1,MOD(11+WEEKDAY(DATE(PlanYear,1,1),2)-1,7)+1)=AC$5,", "&amp;12,"")&amp;IF(INDEX($A$9:$G$19,2*INT((12+WEEKDAY(DATE(PlanYear,1,1),2)-1)/7)+1,MOD(12+WEEKDAY(DATE(PlanYear,1,1),2)-1,7)+1)=AC$5,", "&amp;13,"")&amp;IF(INDEX($A$9:$G$19,2*INT((13+WEEKDAY(DATE(PlanYear,1,1),2)-1)/7)+1,MOD(13+WEEKDAY(DATE(PlanYear,1,1),2)-1,7)+1)=AC$5,", "&amp;14,"")&amp;IF(INDEX($A$9:$G$19,2*INT((14+WEEKDAY(DATE(PlanYear,1,1),2)-1)/7)+1,MOD(14+WEEKDAY(DATE(PlanYear,1,1),2)-1,7)+1)=AC$5,", "&amp;15,"")&amp;IF(INDEX($A$9:$G$19,2*INT((15+WEEKDAY(DATE(PlanYear,1,1),2)-1)/7)+1,MOD(15+WEEKDAY(DATE(PlanYear,1,1),2)-1,7)+1)=AC$5,", "&amp;16,"")&amp;IF(INDEX($A$9:$G$19,2*INT((16+WEEKDAY(DATE(PlanYear,1,1),2)-1)/7)+1,MOD(16+WEEKDAY(DATE(PlanYear,1,1),2)-1,7)+1)=AC$5,", "&amp;17,"")&amp;IF(INDEX($A$9:$G$19,2*INT((17+WEEKDAY(DATE(PlanYear,1,1),2)-1)/7)+1,MOD(17+WEEKDAY(DATE(PlanYear,1,1),2)-1,7)+1)=AC$5,", "&amp;18,"")&amp;IF(INDEX($A$9:$G$19,2*INT((18+WEEKDAY(DATE(PlanYear,1,1),2)-1)/7)+1,MOD(18+WEEKDAY(DATE(PlanYear,1,1),2)-1,7)+1)=AC$5,", "&amp;19,"")&amp;IF(INDEX($A$9:$G$19,2*INT((19+WEEKDAY(DATE(PlanYear,1,1),2)-1)/7)+1,MOD(19+WEEKDAY(DATE(PlanYear,1,1),2)-1,7)+1)=AC$5,", "&amp;20,"")&amp;IF(INDEX($A$9:$G$19,2*INT((20+WEEKDAY(DATE(PlanYear,1,1),2)-1)/7)+1,MOD(20+WEEKDAY(DATE(PlanYear,1,1),2)-1,7)+1)=AC$5,", "&amp;21,"")&amp;IF(INDEX($A$9:$G$19,2*INT((21+WEEKDAY(DATE(PlanYear,1,1),2)-1)/7)+1,MOD(21+WEEKDAY(DATE(PlanYear,1,1),2)-1,7)+1)=AC$5,", "&amp;22,"")&amp;IF(INDEX($A$9:$G$19,2*INT((22+WEEKDAY(DATE(PlanYear,1,1),2)-1)/7)+1,MOD(22+WEEKDAY(DATE(PlanYear,1,1),2)-1,7)+1)=AC$5,", "&amp;23,"")&amp;IF(INDEX($A$9:$G$19,2*INT((23+WEEKDAY(DATE(PlanYear,1,1),2)-1)/7)+1,MOD(23+WEEKDAY(DATE(PlanYear,1,1),2)-1,7)+1)=AC$5,", "&amp;24,"")&amp;IF(INDEX($A$9:$G$19,2*INT((24+WEEKDAY(DATE(PlanYear,1,1),2)-1)/7)+1,MOD(24+WEEKDAY(DATE(PlanYear,1,1),2)-1,7)+1)=AC$5,", "&amp;25,"")&amp;IF(INDEX($A$9:$G$19,2*INT((25+WEEKDAY(DATE(PlanYear,1,1),2)-1)/7)+1,MOD(25+WEEKDAY(DATE(PlanYear,1,1),2)-1,7)+1)=AC$5,", "&amp;26,"")&amp;IF(INDEX($A$9:$G$19,2*INT((26+WEEKDAY(DATE(PlanYear,1,1),2)-1)/7)+1,MOD(26+WEEKDAY(DATE(PlanYear,1,1),2)-1,7)+1)=AC$5,", "&amp;27,"")&amp;IF(INDEX($A$9:$G$19,2*INT((27+WEEKDAY(DATE(PlanYear,1,1),2)-1)/7)+1,MOD(27+WEEKDAY(DATE(PlanYear,1,1),2)-1,7)+1)=AC$5,", "&amp;28,"")&amp;IF(INDEX($A$9:$G$19,2*INT((28+WEEKDAY(DATE(PlanYear,1,1),2)-1)/7)+1,MOD(28+WEEKDAY(DATE(PlanYear,1,1),2)-1,7)+1)=AC$5,", "&amp;29,"")&amp;IF(INDEX($A$9:$G$19,2*INT((29+WEEKDAY(DATE(PlanYear,1,1),2)-1)/7)+1,MOD(29+WEEKDAY(DATE(PlanYear,1,1),2)-1,7)+1)=AC$5,", "&amp;30,"")&amp;IF(INDEX($A$9:$G$19,2*INT((30+WEEKDAY(DATE(PlanYear,1,1),2)-1)/7)+1,MOD(30+WEEKDAY(DATE(PlanYear,1,1),2)-1,7)+1)=AC$5,", "&amp;31,""),3,200))</f>
        <v/>
      </c>
      <c r="AD6" s="16">
        <f>IF(AD$5="","",MID(IF(INDEX($A$9:$G$19,2*INT((0+WEEKDAY(DATE(PlanYear,1,1),2)-1)/7)+1,MOD(0+WEEKDAY(DATE(PlanYear,1,1),2)-1,7)+1)=AD$5,", "&amp;1,"")&amp;IF(INDEX($A$9:$G$19,2*INT((1+WEEKDAY(DATE(PlanYear,1,1),2)-1)/7)+1,MOD(1+WEEKDAY(DATE(PlanYear,1,1),2)-1,7)+1)=AD$5,", "&amp;2,"")&amp;IF(INDEX($A$9:$G$19,2*INT((2+WEEKDAY(DATE(PlanYear,1,1),2)-1)/7)+1,MOD(2+WEEKDAY(DATE(PlanYear,1,1),2)-1,7)+1)=AD$5,", "&amp;3,"")&amp;IF(INDEX($A$9:$G$19,2*INT((3+WEEKDAY(DATE(PlanYear,1,1),2)-1)/7)+1,MOD(3+WEEKDAY(DATE(PlanYear,1,1),2)-1,7)+1)=AD$5,", "&amp;4,"")&amp;IF(INDEX($A$9:$G$19,2*INT((4+WEEKDAY(DATE(PlanYear,1,1),2)-1)/7)+1,MOD(4+WEEKDAY(DATE(PlanYear,1,1),2)-1,7)+1)=AD$5,", "&amp;5,"")&amp;IF(INDEX($A$9:$G$19,2*INT((5+WEEKDAY(DATE(PlanYear,1,1),2)-1)/7)+1,MOD(5+WEEKDAY(DATE(PlanYear,1,1),2)-1,7)+1)=AD$5,", "&amp;6,"")&amp;IF(INDEX($A$9:$G$19,2*INT((6+WEEKDAY(DATE(PlanYear,1,1),2)-1)/7)+1,MOD(6+WEEKDAY(DATE(PlanYear,1,1),2)-1,7)+1)=AD$5,", "&amp;7,"")&amp;IF(INDEX($A$9:$G$19,2*INT((7+WEEKDAY(DATE(PlanYear,1,1),2)-1)/7)+1,MOD(7+WEEKDAY(DATE(PlanYear,1,1),2)-1,7)+1)=AD$5,", "&amp;8,"")&amp;IF(INDEX($A$9:$G$19,2*INT((8+WEEKDAY(DATE(PlanYear,1,1),2)-1)/7)+1,MOD(8+WEEKDAY(DATE(PlanYear,1,1),2)-1,7)+1)=AD$5,", "&amp;9,"")&amp;IF(INDEX($A$9:$G$19,2*INT((9+WEEKDAY(DATE(PlanYear,1,1),2)-1)/7)+1,MOD(9+WEEKDAY(DATE(PlanYear,1,1),2)-1,7)+1)=AD$5,", "&amp;10,"")&amp;IF(INDEX($A$9:$G$19,2*INT((10+WEEKDAY(DATE(PlanYear,1,1),2)-1)/7)+1,MOD(10+WEEKDAY(DATE(PlanYear,1,1),2)-1,7)+1)=AD$5,", "&amp;11,"")&amp;IF(INDEX($A$9:$G$19,2*INT((11+WEEKDAY(DATE(PlanYear,1,1),2)-1)/7)+1,MOD(11+WEEKDAY(DATE(PlanYear,1,1),2)-1,7)+1)=AD$5,", "&amp;12,"")&amp;IF(INDEX($A$9:$G$19,2*INT((12+WEEKDAY(DATE(PlanYear,1,1),2)-1)/7)+1,MOD(12+WEEKDAY(DATE(PlanYear,1,1),2)-1,7)+1)=AD$5,", "&amp;13,"")&amp;IF(INDEX($A$9:$G$19,2*INT((13+WEEKDAY(DATE(PlanYear,1,1),2)-1)/7)+1,MOD(13+WEEKDAY(DATE(PlanYear,1,1),2)-1,7)+1)=AD$5,", "&amp;14,"")&amp;IF(INDEX($A$9:$G$19,2*INT((14+WEEKDAY(DATE(PlanYear,1,1),2)-1)/7)+1,MOD(14+WEEKDAY(DATE(PlanYear,1,1),2)-1,7)+1)=AD$5,", "&amp;15,"")&amp;IF(INDEX($A$9:$G$19,2*INT((15+WEEKDAY(DATE(PlanYear,1,1),2)-1)/7)+1,MOD(15+WEEKDAY(DATE(PlanYear,1,1),2)-1,7)+1)=AD$5,", "&amp;16,"")&amp;IF(INDEX($A$9:$G$19,2*INT((16+WEEKDAY(DATE(PlanYear,1,1),2)-1)/7)+1,MOD(16+WEEKDAY(DATE(PlanYear,1,1),2)-1,7)+1)=AD$5,", "&amp;17,"")&amp;IF(INDEX($A$9:$G$19,2*INT((17+WEEKDAY(DATE(PlanYear,1,1),2)-1)/7)+1,MOD(17+WEEKDAY(DATE(PlanYear,1,1),2)-1,7)+1)=AD$5,", "&amp;18,"")&amp;IF(INDEX($A$9:$G$19,2*INT((18+WEEKDAY(DATE(PlanYear,1,1),2)-1)/7)+1,MOD(18+WEEKDAY(DATE(PlanYear,1,1),2)-1,7)+1)=AD$5,", "&amp;19,"")&amp;IF(INDEX($A$9:$G$19,2*INT((19+WEEKDAY(DATE(PlanYear,1,1),2)-1)/7)+1,MOD(19+WEEKDAY(DATE(PlanYear,1,1),2)-1,7)+1)=AD$5,", "&amp;20,"")&amp;IF(INDEX($A$9:$G$19,2*INT((20+WEEKDAY(DATE(PlanYear,1,1),2)-1)/7)+1,MOD(20+WEEKDAY(DATE(PlanYear,1,1),2)-1,7)+1)=AD$5,", "&amp;21,"")&amp;IF(INDEX($A$9:$G$19,2*INT((21+WEEKDAY(DATE(PlanYear,1,1),2)-1)/7)+1,MOD(21+WEEKDAY(DATE(PlanYear,1,1),2)-1,7)+1)=AD$5,", "&amp;22,"")&amp;IF(INDEX($A$9:$G$19,2*INT((22+WEEKDAY(DATE(PlanYear,1,1),2)-1)/7)+1,MOD(22+WEEKDAY(DATE(PlanYear,1,1),2)-1,7)+1)=AD$5,", "&amp;23,"")&amp;IF(INDEX($A$9:$G$19,2*INT((23+WEEKDAY(DATE(PlanYear,1,1),2)-1)/7)+1,MOD(23+WEEKDAY(DATE(PlanYear,1,1),2)-1,7)+1)=AD$5,", "&amp;24,"")&amp;IF(INDEX($A$9:$G$19,2*INT((24+WEEKDAY(DATE(PlanYear,1,1),2)-1)/7)+1,MOD(24+WEEKDAY(DATE(PlanYear,1,1),2)-1,7)+1)=AD$5,", "&amp;25,"")&amp;IF(INDEX($A$9:$G$19,2*INT((25+WEEKDAY(DATE(PlanYear,1,1),2)-1)/7)+1,MOD(25+WEEKDAY(DATE(PlanYear,1,1),2)-1,7)+1)=AD$5,", "&amp;26,"")&amp;IF(INDEX($A$9:$G$19,2*INT((26+WEEKDAY(DATE(PlanYear,1,1),2)-1)/7)+1,MOD(26+WEEKDAY(DATE(PlanYear,1,1),2)-1,7)+1)=AD$5,", "&amp;27,"")&amp;IF(INDEX($A$9:$G$19,2*INT((27+WEEKDAY(DATE(PlanYear,1,1),2)-1)/7)+1,MOD(27+WEEKDAY(DATE(PlanYear,1,1),2)-1,7)+1)=AD$5,", "&amp;28,"")&amp;IF(INDEX($A$9:$G$19,2*INT((28+WEEKDAY(DATE(PlanYear,1,1),2)-1)/7)+1,MOD(28+WEEKDAY(DATE(PlanYear,1,1),2)-1,7)+1)=AD$5,", "&amp;29,"")&amp;IF(INDEX($A$9:$G$19,2*INT((29+WEEKDAY(DATE(PlanYear,1,1),2)-1)/7)+1,MOD(29+WEEKDAY(DATE(PlanYear,1,1),2)-1,7)+1)=AD$5,", "&amp;30,"")&amp;IF(INDEX($A$9:$G$19,2*INT((30+WEEKDAY(DATE(PlanYear,1,1),2)-1)/7)+1,MOD(30+WEEKDAY(DATE(PlanYear,1,1),2)-1,7)+1)=AD$5,", "&amp;31,""),3,200))</f>
        <v/>
      </c>
      <c r="AE6" s="16">
        <f>IF(AE$5="","",MID(IF(INDEX($A$9:$G$19,2*INT((0+WEEKDAY(DATE(PlanYear,1,1),2)-1)/7)+1,MOD(0+WEEKDAY(DATE(PlanYear,1,1),2)-1,7)+1)=AE$5,", "&amp;1,"")&amp;IF(INDEX($A$9:$G$19,2*INT((1+WEEKDAY(DATE(PlanYear,1,1),2)-1)/7)+1,MOD(1+WEEKDAY(DATE(PlanYear,1,1),2)-1,7)+1)=AE$5,", "&amp;2,"")&amp;IF(INDEX($A$9:$G$19,2*INT((2+WEEKDAY(DATE(PlanYear,1,1),2)-1)/7)+1,MOD(2+WEEKDAY(DATE(PlanYear,1,1),2)-1,7)+1)=AE$5,", "&amp;3,"")&amp;IF(INDEX($A$9:$G$19,2*INT((3+WEEKDAY(DATE(PlanYear,1,1),2)-1)/7)+1,MOD(3+WEEKDAY(DATE(PlanYear,1,1),2)-1,7)+1)=AE$5,", "&amp;4,"")&amp;IF(INDEX($A$9:$G$19,2*INT((4+WEEKDAY(DATE(PlanYear,1,1),2)-1)/7)+1,MOD(4+WEEKDAY(DATE(PlanYear,1,1),2)-1,7)+1)=AE$5,", "&amp;5,"")&amp;IF(INDEX($A$9:$G$19,2*INT((5+WEEKDAY(DATE(PlanYear,1,1),2)-1)/7)+1,MOD(5+WEEKDAY(DATE(PlanYear,1,1),2)-1,7)+1)=AE$5,", "&amp;6,"")&amp;IF(INDEX($A$9:$G$19,2*INT((6+WEEKDAY(DATE(PlanYear,1,1),2)-1)/7)+1,MOD(6+WEEKDAY(DATE(PlanYear,1,1),2)-1,7)+1)=AE$5,", "&amp;7,"")&amp;IF(INDEX($A$9:$G$19,2*INT((7+WEEKDAY(DATE(PlanYear,1,1),2)-1)/7)+1,MOD(7+WEEKDAY(DATE(PlanYear,1,1),2)-1,7)+1)=AE$5,", "&amp;8,"")&amp;IF(INDEX($A$9:$G$19,2*INT((8+WEEKDAY(DATE(PlanYear,1,1),2)-1)/7)+1,MOD(8+WEEKDAY(DATE(PlanYear,1,1),2)-1,7)+1)=AE$5,", "&amp;9,"")&amp;IF(INDEX($A$9:$G$19,2*INT((9+WEEKDAY(DATE(PlanYear,1,1),2)-1)/7)+1,MOD(9+WEEKDAY(DATE(PlanYear,1,1),2)-1,7)+1)=AE$5,", "&amp;10,"")&amp;IF(INDEX($A$9:$G$19,2*INT((10+WEEKDAY(DATE(PlanYear,1,1),2)-1)/7)+1,MOD(10+WEEKDAY(DATE(PlanYear,1,1),2)-1,7)+1)=AE$5,", "&amp;11,"")&amp;IF(INDEX($A$9:$G$19,2*INT((11+WEEKDAY(DATE(PlanYear,1,1),2)-1)/7)+1,MOD(11+WEEKDAY(DATE(PlanYear,1,1),2)-1,7)+1)=AE$5,", "&amp;12,"")&amp;IF(INDEX($A$9:$G$19,2*INT((12+WEEKDAY(DATE(PlanYear,1,1),2)-1)/7)+1,MOD(12+WEEKDAY(DATE(PlanYear,1,1),2)-1,7)+1)=AE$5,", "&amp;13,"")&amp;IF(INDEX($A$9:$G$19,2*INT((13+WEEKDAY(DATE(PlanYear,1,1),2)-1)/7)+1,MOD(13+WEEKDAY(DATE(PlanYear,1,1),2)-1,7)+1)=AE$5,", "&amp;14,"")&amp;IF(INDEX($A$9:$G$19,2*INT((14+WEEKDAY(DATE(PlanYear,1,1),2)-1)/7)+1,MOD(14+WEEKDAY(DATE(PlanYear,1,1),2)-1,7)+1)=AE$5,", "&amp;15,"")&amp;IF(INDEX($A$9:$G$19,2*INT((15+WEEKDAY(DATE(PlanYear,1,1),2)-1)/7)+1,MOD(15+WEEKDAY(DATE(PlanYear,1,1),2)-1,7)+1)=AE$5,", "&amp;16,"")&amp;IF(INDEX($A$9:$G$19,2*INT((16+WEEKDAY(DATE(PlanYear,1,1),2)-1)/7)+1,MOD(16+WEEKDAY(DATE(PlanYear,1,1),2)-1,7)+1)=AE$5,", "&amp;17,"")&amp;IF(INDEX($A$9:$G$19,2*INT((17+WEEKDAY(DATE(PlanYear,1,1),2)-1)/7)+1,MOD(17+WEEKDAY(DATE(PlanYear,1,1),2)-1,7)+1)=AE$5,", "&amp;18,"")&amp;IF(INDEX($A$9:$G$19,2*INT((18+WEEKDAY(DATE(PlanYear,1,1),2)-1)/7)+1,MOD(18+WEEKDAY(DATE(PlanYear,1,1),2)-1,7)+1)=AE$5,", "&amp;19,"")&amp;IF(INDEX($A$9:$G$19,2*INT((19+WEEKDAY(DATE(PlanYear,1,1),2)-1)/7)+1,MOD(19+WEEKDAY(DATE(PlanYear,1,1),2)-1,7)+1)=AE$5,", "&amp;20,"")&amp;IF(INDEX($A$9:$G$19,2*INT((20+WEEKDAY(DATE(PlanYear,1,1),2)-1)/7)+1,MOD(20+WEEKDAY(DATE(PlanYear,1,1),2)-1,7)+1)=AE$5,", "&amp;21,"")&amp;IF(INDEX($A$9:$G$19,2*INT((21+WEEKDAY(DATE(PlanYear,1,1),2)-1)/7)+1,MOD(21+WEEKDAY(DATE(PlanYear,1,1),2)-1,7)+1)=AE$5,", "&amp;22,"")&amp;IF(INDEX($A$9:$G$19,2*INT((22+WEEKDAY(DATE(PlanYear,1,1),2)-1)/7)+1,MOD(22+WEEKDAY(DATE(PlanYear,1,1),2)-1,7)+1)=AE$5,", "&amp;23,"")&amp;IF(INDEX($A$9:$G$19,2*INT((23+WEEKDAY(DATE(PlanYear,1,1),2)-1)/7)+1,MOD(23+WEEKDAY(DATE(PlanYear,1,1),2)-1,7)+1)=AE$5,", "&amp;24,"")&amp;IF(INDEX($A$9:$G$19,2*INT((24+WEEKDAY(DATE(PlanYear,1,1),2)-1)/7)+1,MOD(24+WEEKDAY(DATE(PlanYear,1,1),2)-1,7)+1)=AE$5,", "&amp;25,"")&amp;IF(INDEX($A$9:$G$19,2*INT((25+WEEKDAY(DATE(PlanYear,1,1),2)-1)/7)+1,MOD(25+WEEKDAY(DATE(PlanYear,1,1),2)-1,7)+1)=AE$5,", "&amp;26,"")&amp;IF(INDEX($A$9:$G$19,2*INT((26+WEEKDAY(DATE(PlanYear,1,1),2)-1)/7)+1,MOD(26+WEEKDAY(DATE(PlanYear,1,1),2)-1,7)+1)=AE$5,", "&amp;27,"")&amp;IF(INDEX($A$9:$G$19,2*INT((27+WEEKDAY(DATE(PlanYear,1,1),2)-1)/7)+1,MOD(27+WEEKDAY(DATE(PlanYear,1,1),2)-1,7)+1)=AE$5,", "&amp;28,"")&amp;IF(INDEX($A$9:$G$19,2*INT((28+WEEKDAY(DATE(PlanYear,1,1),2)-1)/7)+1,MOD(28+WEEKDAY(DATE(PlanYear,1,1),2)-1,7)+1)=AE$5,", "&amp;29,"")&amp;IF(INDEX($A$9:$G$19,2*INT((29+WEEKDAY(DATE(PlanYear,1,1),2)-1)/7)+1,MOD(29+WEEKDAY(DATE(PlanYear,1,1),2)-1,7)+1)=AE$5,", "&amp;30,"")&amp;IF(INDEX($A$9:$G$19,2*INT((30+WEEKDAY(DATE(PlanYear,1,1),2)-1)/7)+1,MOD(30+WEEKDAY(DATE(PlanYear,1,1),2)-1,7)+1)=AE$5,", "&amp;31,""),3,200))</f>
        <v/>
      </c>
      <c r="AF6" s="16">
        <f>IF(AF$5="","",MID(IF(INDEX($A$9:$G$19,2*INT((0+WEEKDAY(DATE(PlanYear,1,1),2)-1)/7)+1,MOD(0+WEEKDAY(DATE(PlanYear,1,1),2)-1,7)+1)=AF$5,", "&amp;1,"")&amp;IF(INDEX($A$9:$G$19,2*INT((1+WEEKDAY(DATE(PlanYear,1,1),2)-1)/7)+1,MOD(1+WEEKDAY(DATE(PlanYear,1,1),2)-1,7)+1)=AF$5,", "&amp;2,"")&amp;IF(INDEX($A$9:$G$19,2*INT((2+WEEKDAY(DATE(PlanYear,1,1),2)-1)/7)+1,MOD(2+WEEKDAY(DATE(PlanYear,1,1),2)-1,7)+1)=AF$5,", "&amp;3,"")&amp;IF(INDEX($A$9:$G$19,2*INT((3+WEEKDAY(DATE(PlanYear,1,1),2)-1)/7)+1,MOD(3+WEEKDAY(DATE(PlanYear,1,1),2)-1,7)+1)=AF$5,", "&amp;4,"")&amp;IF(INDEX($A$9:$G$19,2*INT((4+WEEKDAY(DATE(PlanYear,1,1),2)-1)/7)+1,MOD(4+WEEKDAY(DATE(PlanYear,1,1),2)-1,7)+1)=AF$5,", "&amp;5,"")&amp;IF(INDEX($A$9:$G$19,2*INT((5+WEEKDAY(DATE(PlanYear,1,1),2)-1)/7)+1,MOD(5+WEEKDAY(DATE(PlanYear,1,1),2)-1,7)+1)=AF$5,", "&amp;6,"")&amp;IF(INDEX($A$9:$G$19,2*INT((6+WEEKDAY(DATE(PlanYear,1,1),2)-1)/7)+1,MOD(6+WEEKDAY(DATE(PlanYear,1,1),2)-1,7)+1)=AF$5,", "&amp;7,"")&amp;IF(INDEX($A$9:$G$19,2*INT((7+WEEKDAY(DATE(PlanYear,1,1),2)-1)/7)+1,MOD(7+WEEKDAY(DATE(PlanYear,1,1),2)-1,7)+1)=AF$5,", "&amp;8,"")&amp;IF(INDEX($A$9:$G$19,2*INT((8+WEEKDAY(DATE(PlanYear,1,1),2)-1)/7)+1,MOD(8+WEEKDAY(DATE(PlanYear,1,1),2)-1,7)+1)=AF$5,", "&amp;9,"")&amp;IF(INDEX($A$9:$G$19,2*INT((9+WEEKDAY(DATE(PlanYear,1,1),2)-1)/7)+1,MOD(9+WEEKDAY(DATE(PlanYear,1,1),2)-1,7)+1)=AF$5,", "&amp;10,"")&amp;IF(INDEX($A$9:$G$19,2*INT((10+WEEKDAY(DATE(PlanYear,1,1),2)-1)/7)+1,MOD(10+WEEKDAY(DATE(PlanYear,1,1),2)-1,7)+1)=AF$5,", "&amp;11,"")&amp;IF(INDEX($A$9:$G$19,2*INT((11+WEEKDAY(DATE(PlanYear,1,1),2)-1)/7)+1,MOD(11+WEEKDAY(DATE(PlanYear,1,1),2)-1,7)+1)=AF$5,", "&amp;12,"")&amp;IF(INDEX($A$9:$G$19,2*INT((12+WEEKDAY(DATE(PlanYear,1,1),2)-1)/7)+1,MOD(12+WEEKDAY(DATE(PlanYear,1,1),2)-1,7)+1)=AF$5,", "&amp;13,"")&amp;IF(INDEX($A$9:$G$19,2*INT((13+WEEKDAY(DATE(PlanYear,1,1),2)-1)/7)+1,MOD(13+WEEKDAY(DATE(PlanYear,1,1),2)-1,7)+1)=AF$5,", "&amp;14,"")&amp;IF(INDEX($A$9:$G$19,2*INT((14+WEEKDAY(DATE(PlanYear,1,1),2)-1)/7)+1,MOD(14+WEEKDAY(DATE(PlanYear,1,1),2)-1,7)+1)=AF$5,", "&amp;15,"")&amp;IF(INDEX($A$9:$G$19,2*INT((15+WEEKDAY(DATE(PlanYear,1,1),2)-1)/7)+1,MOD(15+WEEKDAY(DATE(PlanYear,1,1),2)-1,7)+1)=AF$5,", "&amp;16,"")&amp;IF(INDEX($A$9:$G$19,2*INT((16+WEEKDAY(DATE(PlanYear,1,1),2)-1)/7)+1,MOD(16+WEEKDAY(DATE(PlanYear,1,1),2)-1,7)+1)=AF$5,", "&amp;17,"")&amp;IF(INDEX($A$9:$G$19,2*INT((17+WEEKDAY(DATE(PlanYear,1,1),2)-1)/7)+1,MOD(17+WEEKDAY(DATE(PlanYear,1,1),2)-1,7)+1)=AF$5,", "&amp;18,"")&amp;IF(INDEX($A$9:$G$19,2*INT((18+WEEKDAY(DATE(PlanYear,1,1),2)-1)/7)+1,MOD(18+WEEKDAY(DATE(PlanYear,1,1),2)-1,7)+1)=AF$5,", "&amp;19,"")&amp;IF(INDEX($A$9:$G$19,2*INT((19+WEEKDAY(DATE(PlanYear,1,1),2)-1)/7)+1,MOD(19+WEEKDAY(DATE(PlanYear,1,1),2)-1,7)+1)=AF$5,", "&amp;20,"")&amp;IF(INDEX($A$9:$G$19,2*INT((20+WEEKDAY(DATE(PlanYear,1,1),2)-1)/7)+1,MOD(20+WEEKDAY(DATE(PlanYear,1,1),2)-1,7)+1)=AF$5,", "&amp;21,"")&amp;IF(INDEX($A$9:$G$19,2*INT((21+WEEKDAY(DATE(PlanYear,1,1),2)-1)/7)+1,MOD(21+WEEKDAY(DATE(PlanYear,1,1),2)-1,7)+1)=AF$5,", "&amp;22,"")&amp;IF(INDEX($A$9:$G$19,2*INT((22+WEEKDAY(DATE(PlanYear,1,1),2)-1)/7)+1,MOD(22+WEEKDAY(DATE(PlanYear,1,1),2)-1,7)+1)=AF$5,", "&amp;23,"")&amp;IF(INDEX($A$9:$G$19,2*INT((23+WEEKDAY(DATE(PlanYear,1,1),2)-1)/7)+1,MOD(23+WEEKDAY(DATE(PlanYear,1,1),2)-1,7)+1)=AF$5,", "&amp;24,"")&amp;IF(INDEX($A$9:$G$19,2*INT((24+WEEKDAY(DATE(PlanYear,1,1),2)-1)/7)+1,MOD(24+WEEKDAY(DATE(PlanYear,1,1),2)-1,7)+1)=AF$5,", "&amp;25,"")&amp;IF(INDEX($A$9:$G$19,2*INT((25+WEEKDAY(DATE(PlanYear,1,1),2)-1)/7)+1,MOD(25+WEEKDAY(DATE(PlanYear,1,1),2)-1,7)+1)=AF$5,", "&amp;26,"")&amp;IF(INDEX($A$9:$G$19,2*INT((26+WEEKDAY(DATE(PlanYear,1,1),2)-1)/7)+1,MOD(26+WEEKDAY(DATE(PlanYear,1,1),2)-1,7)+1)=AF$5,", "&amp;27,"")&amp;IF(INDEX($A$9:$G$19,2*INT((27+WEEKDAY(DATE(PlanYear,1,1),2)-1)/7)+1,MOD(27+WEEKDAY(DATE(PlanYear,1,1),2)-1,7)+1)=AF$5,", "&amp;28,"")&amp;IF(INDEX($A$9:$G$19,2*INT((28+WEEKDAY(DATE(PlanYear,1,1),2)-1)/7)+1,MOD(28+WEEKDAY(DATE(PlanYear,1,1),2)-1,7)+1)=AF$5,", "&amp;29,"")&amp;IF(INDEX($A$9:$G$19,2*INT((29+WEEKDAY(DATE(PlanYear,1,1),2)-1)/7)+1,MOD(29+WEEKDAY(DATE(PlanYear,1,1),2)-1,7)+1)=AF$5,", "&amp;30,"")&amp;IF(INDEX($A$9:$G$19,2*INT((30+WEEKDAY(DATE(PlanYear,1,1),2)-1)/7)+1,MOD(30+WEEKDAY(DATE(PlanYear,1,1),2)-1,7)+1)=AF$5,", "&amp;31,""),3,200))</f>
        <v/>
      </c>
      <c r="AG6" s="16">
        <f>IF(AG$5="","",MID(IF(INDEX($A$9:$G$19,2*INT((0+WEEKDAY(DATE(PlanYear,1,1),2)-1)/7)+1,MOD(0+WEEKDAY(DATE(PlanYear,1,1),2)-1,7)+1)=AG$5,", "&amp;1,"")&amp;IF(INDEX($A$9:$G$19,2*INT((1+WEEKDAY(DATE(PlanYear,1,1),2)-1)/7)+1,MOD(1+WEEKDAY(DATE(PlanYear,1,1),2)-1,7)+1)=AG$5,", "&amp;2,"")&amp;IF(INDEX($A$9:$G$19,2*INT((2+WEEKDAY(DATE(PlanYear,1,1),2)-1)/7)+1,MOD(2+WEEKDAY(DATE(PlanYear,1,1),2)-1,7)+1)=AG$5,", "&amp;3,"")&amp;IF(INDEX($A$9:$G$19,2*INT((3+WEEKDAY(DATE(PlanYear,1,1),2)-1)/7)+1,MOD(3+WEEKDAY(DATE(PlanYear,1,1),2)-1,7)+1)=AG$5,", "&amp;4,"")&amp;IF(INDEX($A$9:$G$19,2*INT((4+WEEKDAY(DATE(PlanYear,1,1),2)-1)/7)+1,MOD(4+WEEKDAY(DATE(PlanYear,1,1),2)-1,7)+1)=AG$5,", "&amp;5,"")&amp;IF(INDEX($A$9:$G$19,2*INT((5+WEEKDAY(DATE(PlanYear,1,1),2)-1)/7)+1,MOD(5+WEEKDAY(DATE(PlanYear,1,1),2)-1,7)+1)=AG$5,", "&amp;6,"")&amp;IF(INDEX($A$9:$G$19,2*INT((6+WEEKDAY(DATE(PlanYear,1,1),2)-1)/7)+1,MOD(6+WEEKDAY(DATE(PlanYear,1,1),2)-1,7)+1)=AG$5,", "&amp;7,"")&amp;IF(INDEX($A$9:$G$19,2*INT((7+WEEKDAY(DATE(PlanYear,1,1),2)-1)/7)+1,MOD(7+WEEKDAY(DATE(PlanYear,1,1),2)-1,7)+1)=AG$5,", "&amp;8,"")&amp;IF(INDEX($A$9:$G$19,2*INT((8+WEEKDAY(DATE(PlanYear,1,1),2)-1)/7)+1,MOD(8+WEEKDAY(DATE(PlanYear,1,1),2)-1,7)+1)=AG$5,", "&amp;9,"")&amp;IF(INDEX($A$9:$G$19,2*INT((9+WEEKDAY(DATE(PlanYear,1,1),2)-1)/7)+1,MOD(9+WEEKDAY(DATE(PlanYear,1,1),2)-1,7)+1)=AG$5,", "&amp;10,"")&amp;IF(INDEX($A$9:$G$19,2*INT((10+WEEKDAY(DATE(PlanYear,1,1),2)-1)/7)+1,MOD(10+WEEKDAY(DATE(PlanYear,1,1),2)-1,7)+1)=AG$5,", "&amp;11,"")&amp;IF(INDEX($A$9:$G$19,2*INT((11+WEEKDAY(DATE(PlanYear,1,1),2)-1)/7)+1,MOD(11+WEEKDAY(DATE(PlanYear,1,1),2)-1,7)+1)=AG$5,", "&amp;12,"")&amp;IF(INDEX($A$9:$G$19,2*INT((12+WEEKDAY(DATE(PlanYear,1,1),2)-1)/7)+1,MOD(12+WEEKDAY(DATE(PlanYear,1,1),2)-1,7)+1)=AG$5,", "&amp;13,"")&amp;IF(INDEX($A$9:$G$19,2*INT((13+WEEKDAY(DATE(PlanYear,1,1),2)-1)/7)+1,MOD(13+WEEKDAY(DATE(PlanYear,1,1),2)-1,7)+1)=AG$5,", "&amp;14,"")&amp;IF(INDEX($A$9:$G$19,2*INT((14+WEEKDAY(DATE(PlanYear,1,1),2)-1)/7)+1,MOD(14+WEEKDAY(DATE(PlanYear,1,1),2)-1,7)+1)=AG$5,", "&amp;15,"")&amp;IF(INDEX($A$9:$G$19,2*INT((15+WEEKDAY(DATE(PlanYear,1,1),2)-1)/7)+1,MOD(15+WEEKDAY(DATE(PlanYear,1,1),2)-1,7)+1)=AG$5,", "&amp;16,"")&amp;IF(INDEX($A$9:$G$19,2*INT((16+WEEKDAY(DATE(PlanYear,1,1),2)-1)/7)+1,MOD(16+WEEKDAY(DATE(PlanYear,1,1),2)-1,7)+1)=AG$5,", "&amp;17,"")&amp;IF(INDEX($A$9:$G$19,2*INT((17+WEEKDAY(DATE(PlanYear,1,1),2)-1)/7)+1,MOD(17+WEEKDAY(DATE(PlanYear,1,1),2)-1,7)+1)=AG$5,", "&amp;18,"")&amp;IF(INDEX($A$9:$G$19,2*INT((18+WEEKDAY(DATE(PlanYear,1,1),2)-1)/7)+1,MOD(18+WEEKDAY(DATE(PlanYear,1,1),2)-1,7)+1)=AG$5,", "&amp;19,"")&amp;IF(INDEX($A$9:$G$19,2*INT((19+WEEKDAY(DATE(PlanYear,1,1),2)-1)/7)+1,MOD(19+WEEKDAY(DATE(PlanYear,1,1),2)-1,7)+1)=AG$5,", "&amp;20,"")&amp;IF(INDEX($A$9:$G$19,2*INT((20+WEEKDAY(DATE(PlanYear,1,1),2)-1)/7)+1,MOD(20+WEEKDAY(DATE(PlanYear,1,1),2)-1,7)+1)=AG$5,", "&amp;21,"")&amp;IF(INDEX($A$9:$G$19,2*INT((21+WEEKDAY(DATE(PlanYear,1,1),2)-1)/7)+1,MOD(21+WEEKDAY(DATE(PlanYear,1,1),2)-1,7)+1)=AG$5,", "&amp;22,"")&amp;IF(INDEX($A$9:$G$19,2*INT((22+WEEKDAY(DATE(PlanYear,1,1),2)-1)/7)+1,MOD(22+WEEKDAY(DATE(PlanYear,1,1),2)-1,7)+1)=AG$5,", "&amp;23,"")&amp;IF(INDEX($A$9:$G$19,2*INT((23+WEEKDAY(DATE(PlanYear,1,1),2)-1)/7)+1,MOD(23+WEEKDAY(DATE(PlanYear,1,1),2)-1,7)+1)=AG$5,", "&amp;24,"")&amp;IF(INDEX($A$9:$G$19,2*INT((24+WEEKDAY(DATE(PlanYear,1,1),2)-1)/7)+1,MOD(24+WEEKDAY(DATE(PlanYear,1,1),2)-1,7)+1)=AG$5,", "&amp;25,"")&amp;IF(INDEX($A$9:$G$19,2*INT((25+WEEKDAY(DATE(PlanYear,1,1),2)-1)/7)+1,MOD(25+WEEKDAY(DATE(PlanYear,1,1),2)-1,7)+1)=AG$5,", "&amp;26,"")&amp;IF(INDEX($A$9:$G$19,2*INT((26+WEEKDAY(DATE(PlanYear,1,1),2)-1)/7)+1,MOD(26+WEEKDAY(DATE(PlanYear,1,1),2)-1,7)+1)=AG$5,", "&amp;27,"")&amp;IF(INDEX($A$9:$G$19,2*INT((27+WEEKDAY(DATE(PlanYear,1,1),2)-1)/7)+1,MOD(27+WEEKDAY(DATE(PlanYear,1,1),2)-1,7)+1)=AG$5,", "&amp;28,"")&amp;IF(INDEX($A$9:$G$19,2*INT((28+WEEKDAY(DATE(PlanYear,1,1),2)-1)/7)+1,MOD(28+WEEKDAY(DATE(PlanYear,1,1),2)-1,7)+1)=AG$5,", "&amp;29,"")&amp;IF(INDEX($A$9:$G$19,2*INT((29+WEEKDAY(DATE(PlanYear,1,1),2)-1)/7)+1,MOD(29+WEEKDAY(DATE(PlanYear,1,1),2)-1,7)+1)=AG$5,", "&amp;30,"")&amp;IF(INDEX($A$9:$G$19,2*INT((30+WEEKDAY(DATE(PlanYear,1,1),2)-1)/7)+1,MOD(30+WEEKDAY(DATE(PlanYear,1,1),2)-1,7)+1)=AG$5,", "&amp;31,""),3,200))</f>
        <v/>
      </c>
      <c r="AH6" s="16">
        <f>IF(AH$5="","",MID(IF(INDEX($A$9:$G$19,2*INT((0+WEEKDAY(DATE(PlanYear,1,1),2)-1)/7)+1,MOD(0+WEEKDAY(DATE(PlanYear,1,1),2)-1,7)+1)=AH$5,", "&amp;1,"")&amp;IF(INDEX($A$9:$G$19,2*INT((1+WEEKDAY(DATE(PlanYear,1,1),2)-1)/7)+1,MOD(1+WEEKDAY(DATE(PlanYear,1,1),2)-1,7)+1)=AH$5,", "&amp;2,"")&amp;IF(INDEX($A$9:$G$19,2*INT((2+WEEKDAY(DATE(PlanYear,1,1),2)-1)/7)+1,MOD(2+WEEKDAY(DATE(PlanYear,1,1),2)-1,7)+1)=AH$5,", "&amp;3,"")&amp;IF(INDEX($A$9:$G$19,2*INT((3+WEEKDAY(DATE(PlanYear,1,1),2)-1)/7)+1,MOD(3+WEEKDAY(DATE(PlanYear,1,1),2)-1,7)+1)=AH$5,", "&amp;4,"")&amp;IF(INDEX($A$9:$G$19,2*INT((4+WEEKDAY(DATE(PlanYear,1,1),2)-1)/7)+1,MOD(4+WEEKDAY(DATE(PlanYear,1,1),2)-1,7)+1)=AH$5,", "&amp;5,"")&amp;IF(INDEX($A$9:$G$19,2*INT((5+WEEKDAY(DATE(PlanYear,1,1),2)-1)/7)+1,MOD(5+WEEKDAY(DATE(PlanYear,1,1),2)-1,7)+1)=AH$5,", "&amp;6,"")&amp;IF(INDEX($A$9:$G$19,2*INT((6+WEEKDAY(DATE(PlanYear,1,1),2)-1)/7)+1,MOD(6+WEEKDAY(DATE(PlanYear,1,1),2)-1,7)+1)=AH$5,", "&amp;7,"")&amp;IF(INDEX($A$9:$G$19,2*INT((7+WEEKDAY(DATE(PlanYear,1,1),2)-1)/7)+1,MOD(7+WEEKDAY(DATE(PlanYear,1,1),2)-1,7)+1)=AH$5,", "&amp;8,"")&amp;IF(INDEX($A$9:$G$19,2*INT((8+WEEKDAY(DATE(PlanYear,1,1),2)-1)/7)+1,MOD(8+WEEKDAY(DATE(PlanYear,1,1),2)-1,7)+1)=AH$5,", "&amp;9,"")&amp;IF(INDEX($A$9:$G$19,2*INT((9+WEEKDAY(DATE(PlanYear,1,1),2)-1)/7)+1,MOD(9+WEEKDAY(DATE(PlanYear,1,1),2)-1,7)+1)=AH$5,", "&amp;10,"")&amp;IF(INDEX($A$9:$G$19,2*INT((10+WEEKDAY(DATE(PlanYear,1,1),2)-1)/7)+1,MOD(10+WEEKDAY(DATE(PlanYear,1,1),2)-1,7)+1)=AH$5,", "&amp;11,"")&amp;IF(INDEX($A$9:$G$19,2*INT((11+WEEKDAY(DATE(PlanYear,1,1),2)-1)/7)+1,MOD(11+WEEKDAY(DATE(PlanYear,1,1),2)-1,7)+1)=AH$5,", "&amp;12,"")&amp;IF(INDEX($A$9:$G$19,2*INT((12+WEEKDAY(DATE(PlanYear,1,1),2)-1)/7)+1,MOD(12+WEEKDAY(DATE(PlanYear,1,1),2)-1,7)+1)=AH$5,", "&amp;13,"")&amp;IF(INDEX($A$9:$G$19,2*INT((13+WEEKDAY(DATE(PlanYear,1,1),2)-1)/7)+1,MOD(13+WEEKDAY(DATE(PlanYear,1,1),2)-1,7)+1)=AH$5,", "&amp;14,"")&amp;IF(INDEX($A$9:$G$19,2*INT((14+WEEKDAY(DATE(PlanYear,1,1),2)-1)/7)+1,MOD(14+WEEKDAY(DATE(PlanYear,1,1),2)-1,7)+1)=AH$5,", "&amp;15,"")&amp;IF(INDEX($A$9:$G$19,2*INT((15+WEEKDAY(DATE(PlanYear,1,1),2)-1)/7)+1,MOD(15+WEEKDAY(DATE(PlanYear,1,1),2)-1,7)+1)=AH$5,", "&amp;16,"")&amp;IF(INDEX($A$9:$G$19,2*INT((16+WEEKDAY(DATE(PlanYear,1,1),2)-1)/7)+1,MOD(16+WEEKDAY(DATE(PlanYear,1,1),2)-1,7)+1)=AH$5,", "&amp;17,"")&amp;IF(INDEX($A$9:$G$19,2*INT((17+WEEKDAY(DATE(PlanYear,1,1),2)-1)/7)+1,MOD(17+WEEKDAY(DATE(PlanYear,1,1),2)-1,7)+1)=AH$5,", "&amp;18,"")&amp;IF(INDEX($A$9:$G$19,2*INT((18+WEEKDAY(DATE(PlanYear,1,1),2)-1)/7)+1,MOD(18+WEEKDAY(DATE(PlanYear,1,1),2)-1,7)+1)=AH$5,", "&amp;19,"")&amp;IF(INDEX($A$9:$G$19,2*INT((19+WEEKDAY(DATE(PlanYear,1,1),2)-1)/7)+1,MOD(19+WEEKDAY(DATE(PlanYear,1,1),2)-1,7)+1)=AH$5,", "&amp;20,"")&amp;IF(INDEX($A$9:$G$19,2*INT((20+WEEKDAY(DATE(PlanYear,1,1),2)-1)/7)+1,MOD(20+WEEKDAY(DATE(PlanYear,1,1),2)-1,7)+1)=AH$5,", "&amp;21,"")&amp;IF(INDEX($A$9:$G$19,2*INT((21+WEEKDAY(DATE(PlanYear,1,1),2)-1)/7)+1,MOD(21+WEEKDAY(DATE(PlanYear,1,1),2)-1,7)+1)=AH$5,", "&amp;22,"")&amp;IF(INDEX($A$9:$G$19,2*INT((22+WEEKDAY(DATE(PlanYear,1,1),2)-1)/7)+1,MOD(22+WEEKDAY(DATE(PlanYear,1,1),2)-1,7)+1)=AH$5,", "&amp;23,"")&amp;IF(INDEX($A$9:$G$19,2*INT((23+WEEKDAY(DATE(PlanYear,1,1),2)-1)/7)+1,MOD(23+WEEKDAY(DATE(PlanYear,1,1),2)-1,7)+1)=AH$5,", "&amp;24,"")&amp;IF(INDEX($A$9:$G$19,2*INT((24+WEEKDAY(DATE(PlanYear,1,1),2)-1)/7)+1,MOD(24+WEEKDAY(DATE(PlanYear,1,1),2)-1,7)+1)=AH$5,", "&amp;25,"")&amp;IF(INDEX($A$9:$G$19,2*INT((25+WEEKDAY(DATE(PlanYear,1,1),2)-1)/7)+1,MOD(25+WEEKDAY(DATE(PlanYear,1,1),2)-1,7)+1)=AH$5,", "&amp;26,"")&amp;IF(INDEX($A$9:$G$19,2*INT((26+WEEKDAY(DATE(PlanYear,1,1),2)-1)/7)+1,MOD(26+WEEKDAY(DATE(PlanYear,1,1),2)-1,7)+1)=AH$5,", "&amp;27,"")&amp;IF(INDEX($A$9:$G$19,2*INT((27+WEEKDAY(DATE(PlanYear,1,1),2)-1)/7)+1,MOD(27+WEEKDAY(DATE(PlanYear,1,1),2)-1,7)+1)=AH$5,", "&amp;28,"")&amp;IF(INDEX($A$9:$G$19,2*INT((28+WEEKDAY(DATE(PlanYear,1,1),2)-1)/7)+1,MOD(28+WEEKDAY(DATE(PlanYear,1,1),2)-1,7)+1)=AH$5,", "&amp;29,"")&amp;IF(INDEX($A$9:$G$19,2*INT((29+WEEKDAY(DATE(PlanYear,1,1),2)-1)/7)+1,MOD(29+WEEKDAY(DATE(PlanYear,1,1),2)-1,7)+1)=AH$5,", "&amp;30,"")&amp;IF(INDEX($A$9:$G$19,2*INT((30+WEEKDAY(DATE(PlanYear,1,1),2)-1)/7)+1,MOD(30+WEEKDAY(DATE(PlanYear,1,1),2)-1,7)+1)=AH$5,", "&amp;31,""),3,200))</f>
        <v/>
      </c>
      <c r="AI6" s="16">
        <f>IF(AI$5="","",MID(IF(INDEX($A$9:$G$19,2*INT((0+WEEKDAY(DATE(PlanYear,1,1),2)-1)/7)+1,MOD(0+WEEKDAY(DATE(PlanYear,1,1),2)-1,7)+1)=AI$5,", "&amp;1,"")&amp;IF(INDEX($A$9:$G$19,2*INT((1+WEEKDAY(DATE(PlanYear,1,1),2)-1)/7)+1,MOD(1+WEEKDAY(DATE(PlanYear,1,1),2)-1,7)+1)=AI$5,", "&amp;2,"")&amp;IF(INDEX($A$9:$G$19,2*INT((2+WEEKDAY(DATE(PlanYear,1,1),2)-1)/7)+1,MOD(2+WEEKDAY(DATE(PlanYear,1,1),2)-1,7)+1)=AI$5,", "&amp;3,"")&amp;IF(INDEX($A$9:$G$19,2*INT((3+WEEKDAY(DATE(PlanYear,1,1),2)-1)/7)+1,MOD(3+WEEKDAY(DATE(PlanYear,1,1),2)-1,7)+1)=AI$5,", "&amp;4,"")&amp;IF(INDEX($A$9:$G$19,2*INT((4+WEEKDAY(DATE(PlanYear,1,1),2)-1)/7)+1,MOD(4+WEEKDAY(DATE(PlanYear,1,1),2)-1,7)+1)=AI$5,", "&amp;5,"")&amp;IF(INDEX($A$9:$G$19,2*INT((5+WEEKDAY(DATE(PlanYear,1,1),2)-1)/7)+1,MOD(5+WEEKDAY(DATE(PlanYear,1,1),2)-1,7)+1)=AI$5,", "&amp;6,"")&amp;IF(INDEX($A$9:$G$19,2*INT((6+WEEKDAY(DATE(PlanYear,1,1),2)-1)/7)+1,MOD(6+WEEKDAY(DATE(PlanYear,1,1),2)-1,7)+1)=AI$5,", "&amp;7,"")&amp;IF(INDEX($A$9:$G$19,2*INT((7+WEEKDAY(DATE(PlanYear,1,1),2)-1)/7)+1,MOD(7+WEEKDAY(DATE(PlanYear,1,1),2)-1,7)+1)=AI$5,", "&amp;8,"")&amp;IF(INDEX($A$9:$G$19,2*INT((8+WEEKDAY(DATE(PlanYear,1,1),2)-1)/7)+1,MOD(8+WEEKDAY(DATE(PlanYear,1,1),2)-1,7)+1)=AI$5,", "&amp;9,"")&amp;IF(INDEX($A$9:$G$19,2*INT((9+WEEKDAY(DATE(PlanYear,1,1),2)-1)/7)+1,MOD(9+WEEKDAY(DATE(PlanYear,1,1),2)-1,7)+1)=AI$5,", "&amp;10,"")&amp;IF(INDEX($A$9:$G$19,2*INT((10+WEEKDAY(DATE(PlanYear,1,1),2)-1)/7)+1,MOD(10+WEEKDAY(DATE(PlanYear,1,1),2)-1,7)+1)=AI$5,", "&amp;11,"")&amp;IF(INDEX($A$9:$G$19,2*INT((11+WEEKDAY(DATE(PlanYear,1,1),2)-1)/7)+1,MOD(11+WEEKDAY(DATE(PlanYear,1,1),2)-1,7)+1)=AI$5,", "&amp;12,"")&amp;IF(INDEX($A$9:$G$19,2*INT((12+WEEKDAY(DATE(PlanYear,1,1),2)-1)/7)+1,MOD(12+WEEKDAY(DATE(PlanYear,1,1),2)-1,7)+1)=AI$5,", "&amp;13,"")&amp;IF(INDEX($A$9:$G$19,2*INT((13+WEEKDAY(DATE(PlanYear,1,1),2)-1)/7)+1,MOD(13+WEEKDAY(DATE(PlanYear,1,1),2)-1,7)+1)=AI$5,", "&amp;14,"")&amp;IF(INDEX($A$9:$G$19,2*INT((14+WEEKDAY(DATE(PlanYear,1,1),2)-1)/7)+1,MOD(14+WEEKDAY(DATE(PlanYear,1,1),2)-1,7)+1)=AI$5,", "&amp;15,"")&amp;IF(INDEX($A$9:$G$19,2*INT((15+WEEKDAY(DATE(PlanYear,1,1),2)-1)/7)+1,MOD(15+WEEKDAY(DATE(PlanYear,1,1),2)-1,7)+1)=AI$5,", "&amp;16,"")&amp;IF(INDEX($A$9:$G$19,2*INT((16+WEEKDAY(DATE(PlanYear,1,1),2)-1)/7)+1,MOD(16+WEEKDAY(DATE(PlanYear,1,1),2)-1,7)+1)=AI$5,", "&amp;17,"")&amp;IF(INDEX($A$9:$G$19,2*INT((17+WEEKDAY(DATE(PlanYear,1,1),2)-1)/7)+1,MOD(17+WEEKDAY(DATE(PlanYear,1,1),2)-1,7)+1)=AI$5,", "&amp;18,"")&amp;IF(INDEX($A$9:$G$19,2*INT((18+WEEKDAY(DATE(PlanYear,1,1),2)-1)/7)+1,MOD(18+WEEKDAY(DATE(PlanYear,1,1),2)-1,7)+1)=AI$5,", "&amp;19,"")&amp;IF(INDEX($A$9:$G$19,2*INT((19+WEEKDAY(DATE(PlanYear,1,1),2)-1)/7)+1,MOD(19+WEEKDAY(DATE(PlanYear,1,1),2)-1,7)+1)=AI$5,", "&amp;20,"")&amp;IF(INDEX($A$9:$G$19,2*INT((20+WEEKDAY(DATE(PlanYear,1,1),2)-1)/7)+1,MOD(20+WEEKDAY(DATE(PlanYear,1,1),2)-1,7)+1)=AI$5,", "&amp;21,"")&amp;IF(INDEX($A$9:$G$19,2*INT((21+WEEKDAY(DATE(PlanYear,1,1),2)-1)/7)+1,MOD(21+WEEKDAY(DATE(PlanYear,1,1),2)-1,7)+1)=AI$5,", "&amp;22,"")&amp;IF(INDEX($A$9:$G$19,2*INT((22+WEEKDAY(DATE(PlanYear,1,1),2)-1)/7)+1,MOD(22+WEEKDAY(DATE(PlanYear,1,1),2)-1,7)+1)=AI$5,", "&amp;23,"")&amp;IF(INDEX($A$9:$G$19,2*INT((23+WEEKDAY(DATE(PlanYear,1,1),2)-1)/7)+1,MOD(23+WEEKDAY(DATE(PlanYear,1,1),2)-1,7)+1)=AI$5,", "&amp;24,"")&amp;IF(INDEX($A$9:$G$19,2*INT((24+WEEKDAY(DATE(PlanYear,1,1),2)-1)/7)+1,MOD(24+WEEKDAY(DATE(PlanYear,1,1),2)-1,7)+1)=AI$5,", "&amp;25,"")&amp;IF(INDEX($A$9:$G$19,2*INT((25+WEEKDAY(DATE(PlanYear,1,1),2)-1)/7)+1,MOD(25+WEEKDAY(DATE(PlanYear,1,1),2)-1,7)+1)=AI$5,", "&amp;26,"")&amp;IF(INDEX($A$9:$G$19,2*INT((26+WEEKDAY(DATE(PlanYear,1,1),2)-1)/7)+1,MOD(26+WEEKDAY(DATE(PlanYear,1,1),2)-1,7)+1)=AI$5,", "&amp;27,"")&amp;IF(INDEX($A$9:$G$19,2*INT((27+WEEKDAY(DATE(PlanYear,1,1),2)-1)/7)+1,MOD(27+WEEKDAY(DATE(PlanYear,1,1),2)-1,7)+1)=AI$5,", "&amp;28,"")&amp;IF(INDEX($A$9:$G$19,2*INT((28+WEEKDAY(DATE(PlanYear,1,1),2)-1)/7)+1,MOD(28+WEEKDAY(DATE(PlanYear,1,1),2)-1,7)+1)=AI$5,", "&amp;29,"")&amp;IF(INDEX($A$9:$G$19,2*INT((29+WEEKDAY(DATE(PlanYear,1,1),2)-1)/7)+1,MOD(29+WEEKDAY(DATE(PlanYear,1,1),2)-1,7)+1)=AI$5,", "&amp;30,"")&amp;IF(INDEX($A$9:$G$19,2*INT((30+WEEKDAY(DATE(PlanYear,1,1),2)-1)/7)+1,MOD(30+WEEKDAY(DATE(PlanYear,1,1),2)-1,7)+1)=AI$5,", "&amp;31,""),3,200))</f>
        <v/>
      </c>
      <c r="AJ6" s="16">
        <f>IF(AJ$5="","",MID(IF(INDEX($A$9:$G$19,2*INT((0+WEEKDAY(DATE(PlanYear,1,1),2)-1)/7)+1,MOD(0+WEEKDAY(DATE(PlanYear,1,1),2)-1,7)+1)=AJ$5,", "&amp;1,"")&amp;IF(INDEX($A$9:$G$19,2*INT((1+WEEKDAY(DATE(PlanYear,1,1),2)-1)/7)+1,MOD(1+WEEKDAY(DATE(PlanYear,1,1),2)-1,7)+1)=AJ$5,", "&amp;2,"")&amp;IF(INDEX($A$9:$G$19,2*INT((2+WEEKDAY(DATE(PlanYear,1,1),2)-1)/7)+1,MOD(2+WEEKDAY(DATE(PlanYear,1,1),2)-1,7)+1)=AJ$5,", "&amp;3,"")&amp;IF(INDEX($A$9:$G$19,2*INT((3+WEEKDAY(DATE(PlanYear,1,1),2)-1)/7)+1,MOD(3+WEEKDAY(DATE(PlanYear,1,1),2)-1,7)+1)=AJ$5,", "&amp;4,"")&amp;IF(INDEX($A$9:$G$19,2*INT((4+WEEKDAY(DATE(PlanYear,1,1),2)-1)/7)+1,MOD(4+WEEKDAY(DATE(PlanYear,1,1),2)-1,7)+1)=AJ$5,", "&amp;5,"")&amp;IF(INDEX($A$9:$G$19,2*INT((5+WEEKDAY(DATE(PlanYear,1,1),2)-1)/7)+1,MOD(5+WEEKDAY(DATE(PlanYear,1,1),2)-1,7)+1)=AJ$5,", "&amp;6,"")&amp;IF(INDEX($A$9:$G$19,2*INT((6+WEEKDAY(DATE(PlanYear,1,1),2)-1)/7)+1,MOD(6+WEEKDAY(DATE(PlanYear,1,1),2)-1,7)+1)=AJ$5,", "&amp;7,"")&amp;IF(INDEX($A$9:$G$19,2*INT((7+WEEKDAY(DATE(PlanYear,1,1),2)-1)/7)+1,MOD(7+WEEKDAY(DATE(PlanYear,1,1),2)-1,7)+1)=AJ$5,", "&amp;8,"")&amp;IF(INDEX($A$9:$G$19,2*INT((8+WEEKDAY(DATE(PlanYear,1,1),2)-1)/7)+1,MOD(8+WEEKDAY(DATE(PlanYear,1,1),2)-1,7)+1)=AJ$5,", "&amp;9,"")&amp;IF(INDEX($A$9:$G$19,2*INT((9+WEEKDAY(DATE(PlanYear,1,1),2)-1)/7)+1,MOD(9+WEEKDAY(DATE(PlanYear,1,1),2)-1,7)+1)=AJ$5,", "&amp;10,"")&amp;IF(INDEX($A$9:$G$19,2*INT((10+WEEKDAY(DATE(PlanYear,1,1),2)-1)/7)+1,MOD(10+WEEKDAY(DATE(PlanYear,1,1),2)-1,7)+1)=AJ$5,", "&amp;11,"")&amp;IF(INDEX($A$9:$G$19,2*INT((11+WEEKDAY(DATE(PlanYear,1,1),2)-1)/7)+1,MOD(11+WEEKDAY(DATE(PlanYear,1,1),2)-1,7)+1)=AJ$5,", "&amp;12,"")&amp;IF(INDEX($A$9:$G$19,2*INT((12+WEEKDAY(DATE(PlanYear,1,1),2)-1)/7)+1,MOD(12+WEEKDAY(DATE(PlanYear,1,1),2)-1,7)+1)=AJ$5,", "&amp;13,"")&amp;IF(INDEX($A$9:$G$19,2*INT((13+WEEKDAY(DATE(PlanYear,1,1),2)-1)/7)+1,MOD(13+WEEKDAY(DATE(PlanYear,1,1),2)-1,7)+1)=AJ$5,", "&amp;14,"")&amp;IF(INDEX($A$9:$G$19,2*INT((14+WEEKDAY(DATE(PlanYear,1,1),2)-1)/7)+1,MOD(14+WEEKDAY(DATE(PlanYear,1,1),2)-1,7)+1)=AJ$5,", "&amp;15,"")&amp;IF(INDEX($A$9:$G$19,2*INT((15+WEEKDAY(DATE(PlanYear,1,1),2)-1)/7)+1,MOD(15+WEEKDAY(DATE(PlanYear,1,1),2)-1,7)+1)=AJ$5,", "&amp;16,"")&amp;IF(INDEX($A$9:$G$19,2*INT((16+WEEKDAY(DATE(PlanYear,1,1),2)-1)/7)+1,MOD(16+WEEKDAY(DATE(PlanYear,1,1),2)-1,7)+1)=AJ$5,", "&amp;17,"")&amp;IF(INDEX($A$9:$G$19,2*INT((17+WEEKDAY(DATE(PlanYear,1,1),2)-1)/7)+1,MOD(17+WEEKDAY(DATE(PlanYear,1,1),2)-1,7)+1)=AJ$5,", "&amp;18,"")&amp;IF(INDEX($A$9:$G$19,2*INT((18+WEEKDAY(DATE(PlanYear,1,1),2)-1)/7)+1,MOD(18+WEEKDAY(DATE(PlanYear,1,1),2)-1,7)+1)=AJ$5,", "&amp;19,"")&amp;IF(INDEX($A$9:$G$19,2*INT((19+WEEKDAY(DATE(PlanYear,1,1),2)-1)/7)+1,MOD(19+WEEKDAY(DATE(PlanYear,1,1),2)-1,7)+1)=AJ$5,", "&amp;20,"")&amp;IF(INDEX($A$9:$G$19,2*INT((20+WEEKDAY(DATE(PlanYear,1,1),2)-1)/7)+1,MOD(20+WEEKDAY(DATE(PlanYear,1,1),2)-1,7)+1)=AJ$5,", "&amp;21,"")&amp;IF(INDEX($A$9:$G$19,2*INT((21+WEEKDAY(DATE(PlanYear,1,1),2)-1)/7)+1,MOD(21+WEEKDAY(DATE(PlanYear,1,1),2)-1,7)+1)=AJ$5,", "&amp;22,"")&amp;IF(INDEX($A$9:$G$19,2*INT((22+WEEKDAY(DATE(PlanYear,1,1),2)-1)/7)+1,MOD(22+WEEKDAY(DATE(PlanYear,1,1),2)-1,7)+1)=AJ$5,", "&amp;23,"")&amp;IF(INDEX($A$9:$G$19,2*INT((23+WEEKDAY(DATE(PlanYear,1,1),2)-1)/7)+1,MOD(23+WEEKDAY(DATE(PlanYear,1,1),2)-1,7)+1)=AJ$5,", "&amp;24,"")&amp;IF(INDEX($A$9:$G$19,2*INT((24+WEEKDAY(DATE(PlanYear,1,1),2)-1)/7)+1,MOD(24+WEEKDAY(DATE(PlanYear,1,1),2)-1,7)+1)=AJ$5,", "&amp;25,"")&amp;IF(INDEX($A$9:$G$19,2*INT((25+WEEKDAY(DATE(PlanYear,1,1),2)-1)/7)+1,MOD(25+WEEKDAY(DATE(PlanYear,1,1),2)-1,7)+1)=AJ$5,", "&amp;26,"")&amp;IF(INDEX($A$9:$G$19,2*INT((26+WEEKDAY(DATE(PlanYear,1,1),2)-1)/7)+1,MOD(26+WEEKDAY(DATE(PlanYear,1,1),2)-1,7)+1)=AJ$5,", "&amp;27,"")&amp;IF(INDEX($A$9:$G$19,2*INT((27+WEEKDAY(DATE(PlanYear,1,1),2)-1)/7)+1,MOD(27+WEEKDAY(DATE(PlanYear,1,1),2)-1,7)+1)=AJ$5,", "&amp;28,"")&amp;IF(INDEX($A$9:$G$19,2*INT((28+WEEKDAY(DATE(PlanYear,1,1),2)-1)/7)+1,MOD(28+WEEKDAY(DATE(PlanYear,1,1),2)-1,7)+1)=AJ$5,", "&amp;29,"")&amp;IF(INDEX($A$9:$G$19,2*INT((29+WEEKDAY(DATE(PlanYear,1,1),2)-1)/7)+1,MOD(29+WEEKDAY(DATE(PlanYear,1,1),2)-1,7)+1)=AJ$5,", "&amp;30,"")&amp;IF(INDEX($A$9:$G$19,2*INT((30+WEEKDAY(DATE(PlanYear,1,1),2)-1)/7)+1,MOD(30+WEEKDAY(DATE(PlanYear,1,1),2)-1,7)+1)=AJ$5,", "&amp;31,""),3,200))</f>
        <v/>
      </c>
      <c r="AK6" s="17">
        <f>DAY(EOMONTH(DATE(PlanYear,1,1),0))-COUNTIF($A$9:$G$19,"?*")</f>
        <v/>
      </c>
    </row>
    <row r="7" ht="26" customHeight="1">
      <c r="A7" s="18" t="inlineStr">
        <is>
          <t>Mon</t>
        </is>
      </c>
      <c r="B7" s="18" t="inlineStr">
        <is>
          <t>Tue</t>
        </is>
      </c>
      <c r="C7" s="18" t="inlineStr">
        <is>
          <t>Wed</t>
        </is>
      </c>
      <c r="D7" s="18" t="inlineStr">
        <is>
          <t>Thu</t>
        </is>
      </c>
      <c r="E7" s="18" t="inlineStr">
        <is>
          <t>Fri</t>
        </is>
      </c>
      <c r="F7" s="19" t="inlineStr">
        <is>
          <t>Sat</t>
        </is>
      </c>
      <c r="G7" s="19" t="inlineStr">
        <is>
          <t>Sun</t>
        </is>
      </c>
      <c r="I7" s="18" t="inlineStr">
        <is>
          <t>Mon</t>
        </is>
      </c>
      <c r="J7" s="18" t="inlineStr">
        <is>
          <t>Tue</t>
        </is>
      </c>
      <c r="K7" s="18" t="inlineStr">
        <is>
          <t>Wed</t>
        </is>
      </c>
      <c r="L7" s="18" t="inlineStr">
        <is>
          <t>Thu</t>
        </is>
      </c>
      <c r="M7" s="18" t="inlineStr">
        <is>
          <t>Fri</t>
        </is>
      </c>
      <c r="N7" s="19" t="inlineStr">
        <is>
          <t>Sat</t>
        </is>
      </c>
      <c r="O7" s="19" t="inlineStr">
        <is>
          <t>Sun</t>
        </is>
      </c>
      <c r="Q7" s="18" t="inlineStr">
        <is>
          <t>Mon</t>
        </is>
      </c>
      <c r="R7" s="18" t="inlineStr">
        <is>
          <t>Tue</t>
        </is>
      </c>
      <c r="S7" s="18" t="inlineStr">
        <is>
          <t>Wed</t>
        </is>
      </c>
      <c r="T7" s="18" t="inlineStr">
        <is>
          <t>Thu</t>
        </is>
      </c>
      <c r="U7" s="18" t="inlineStr">
        <is>
          <t>Fri</t>
        </is>
      </c>
      <c r="V7" s="19" t="inlineStr">
        <is>
          <t>Sat</t>
        </is>
      </c>
      <c r="W7" s="19" t="inlineStr">
        <is>
          <t>Sun</t>
        </is>
      </c>
      <c r="Z7" s="15" t="inlineStr">
        <is>
          <t>February</t>
        </is>
      </c>
      <c r="AA7" s="16">
        <f>IF(AA$5="","",MID(IF(INDEX($I$9:$O$19,2*INT((0+WEEKDAY(DATE(PlanYear,2,1),2)-1)/7)+1,MOD(0+WEEKDAY(DATE(PlanYear,2,1),2)-1,7)+1)=AA$5,", "&amp;1,"")&amp;IF(INDEX($I$9:$O$19,2*INT((1+WEEKDAY(DATE(PlanYear,2,1),2)-1)/7)+1,MOD(1+WEEKDAY(DATE(PlanYear,2,1),2)-1,7)+1)=AA$5,", "&amp;2,"")&amp;IF(INDEX($I$9:$O$19,2*INT((2+WEEKDAY(DATE(PlanYear,2,1),2)-1)/7)+1,MOD(2+WEEKDAY(DATE(PlanYear,2,1),2)-1,7)+1)=AA$5,", "&amp;3,"")&amp;IF(INDEX($I$9:$O$19,2*INT((3+WEEKDAY(DATE(PlanYear,2,1),2)-1)/7)+1,MOD(3+WEEKDAY(DATE(PlanYear,2,1),2)-1,7)+1)=AA$5,", "&amp;4,"")&amp;IF(INDEX($I$9:$O$19,2*INT((4+WEEKDAY(DATE(PlanYear,2,1),2)-1)/7)+1,MOD(4+WEEKDAY(DATE(PlanYear,2,1),2)-1,7)+1)=AA$5,", "&amp;5,"")&amp;IF(INDEX($I$9:$O$19,2*INT((5+WEEKDAY(DATE(PlanYear,2,1),2)-1)/7)+1,MOD(5+WEEKDAY(DATE(PlanYear,2,1),2)-1,7)+1)=AA$5,", "&amp;6,"")&amp;IF(INDEX($I$9:$O$19,2*INT((6+WEEKDAY(DATE(PlanYear,2,1),2)-1)/7)+1,MOD(6+WEEKDAY(DATE(PlanYear,2,1),2)-1,7)+1)=AA$5,", "&amp;7,"")&amp;IF(INDEX($I$9:$O$19,2*INT((7+WEEKDAY(DATE(PlanYear,2,1),2)-1)/7)+1,MOD(7+WEEKDAY(DATE(PlanYear,2,1),2)-1,7)+1)=AA$5,", "&amp;8,"")&amp;IF(INDEX($I$9:$O$19,2*INT((8+WEEKDAY(DATE(PlanYear,2,1),2)-1)/7)+1,MOD(8+WEEKDAY(DATE(PlanYear,2,1),2)-1,7)+1)=AA$5,", "&amp;9,"")&amp;IF(INDEX($I$9:$O$19,2*INT((9+WEEKDAY(DATE(PlanYear,2,1),2)-1)/7)+1,MOD(9+WEEKDAY(DATE(PlanYear,2,1),2)-1,7)+1)=AA$5,", "&amp;10,"")&amp;IF(INDEX($I$9:$O$19,2*INT((10+WEEKDAY(DATE(PlanYear,2,1),2)-1)/7)+1,MOD(10+WEEKDAY(DATE(PlanYear,2,1),2)-1,7)+1)=AA$5,", "&amp;11,"")&amp;IF(INDEX($I$9:$O$19,2*INT((11+WEEKDAY(DATE(PlanYear,2,1),2)-1)/7)+1,MOD(11+WEEKDAY(DATE(PlanYear,2,1),2)-1,7)+1)=AA$5,", "&amp;12,"")&amp;IF(INDEX($I$9:$O$19,2*INT((12+WEEKDAY(DATE(PlanYear,2,1),2)-1)/7)+1,MOD(12+WEEKDAY(DATE(PlanYear,2,1),2)-1,7)+1)=AA$5,", "&amp;13,"")&amp;IF(INDEX($I$9:$O$19,2*INT((13+WEEKDAY(DATE(PlanYear,2,1),2)-1)/7)+1,MOD(13+WEEKDAY(DATE(PlanYear,2,1),2)-1,7)+1)=AA$5,", "&amp;14,"")&amp;IF(INDEX($I$9:$O$19,2*INT((14+WEEKDAY(DATE(PlanYear,2,1),2)-1)/7)+1,MOD(14+WEEKDAY(DATE(PlanYear,2,1),2)-1,7)+1)=AA$5,", "&amp;15,"")&amp;IF(INDEX($I$9:$O$19,2*INT((15+WEEKDAY(DATE(PlanYear,2,1),2)-1)/7)+1,MOD(15+WEEKDAY(DATE(PlanYear,2,1),2)-1,7)+1)=AA$5,", "&amp;16,"")&amp;IF(INDEX($I$9:$O$19,2*INT((16+WEEKDAY(DATE(PlanYear,2,1),2)-1)/7)+1,MOD(16+WEEKDAY(DATE(PlanYear,2,1),2)-1,7)+1)=AA$5,", "&amp;17,"")&amp;IF(INDEX($I$9:$O$19,2*INT((17+WEEKDAY(DATE(PlanYear,2,1),2)-1)/7)+1,MOD(17+WEEKDAY(DATE(PlanYear,2,1),2)-1,7)+1)=AA$5,", "&amp;18,"")&amp;IF(INDEX($I$9:$O$19,2*INT((18+WEEKDAY(DATE(PlanYear,2,1),2)-1)/7)+1,MOD(18+WEEKDAY(DATE(PlanYear,2,1),2)-1,7)+1)=AA$5,", "&amp;19,"")&amp;IF(INDEX($I$9:$O$19,2*INT((19+WEEKDAY(DATE(PlanYear,2,1),2)-1)/7)+1,MOD(19+WEEKDAY(DATE(PlanYear,2,1),2)-1,7)+1)=AA$5,", "&amp;20,"")&amp;IF(INDEX($I$9:$O$19,2*INT((20+WEEKDAY(DATE(PlanYear,2,1),2)-1)/7)+1,MOD(20+WEEKDAY(DATE(PlanYear,2,1),2)-1,7)+1)=AA$5,", "&amp;21,"")&amp;IF(INDEX($I$9:$O$19,2*INT((21+WEEKDAY(DATE(PlanYear,2,1),2)-1)/7)+1,MOD(21+WEEKDAY(DATE(PlanYear,2,1),2)-1,7)+1)=AA$5,", "&amp;22,"")&amp;IF(INDEX($I$9:$O$19,2*INT((22+WEEKDAY(DATE(PlanYear,2,1),2)-1)/7)+1,MOD(22+WEEKDAY(DATE(PlanYear,2,1),2)-1,7)+1)=AA$5,", "&amp;23,"")&amp;IF(INDEX($I$9:$O$19,2*INT((23+WEEKDAY(DATE(PlanYear,2,1),2)-1)/7)+1,MOD(23+WEEKDAY(DATE(PlanYear,2,1),2)-1,7)+1)=AA$5,", "&amp;24,"")&amp;IF(INDEX($I$9:$O$19,2*INT((24+WEEKDAY(DATE(PlanYear,2,1),2)-1)/7)+1,MOD(24+WEEKDAY(DATE(PlanYear,2,1),2)-1,7)+1)=AA$5,", "&amp;25,"")&amp;IF(INDEX($I$9:$O$19,2*INT((25+WEEKDAY(DATE(PlanYear,2,1),2)-1)/7)+1,MOD(25+WEEKDAY(DATE(PlanYear,2,1),2)-1,7)+1)=AA$5,", "&amp;26,"")&amp;IF(INDEX($I$9:$O$19,2*INT((26+WEEKDAY(DATE(PlanYear,2,1),2)-1)/7)+1,MOD(26+WEEKDAY(DATE(PlanYear,2,1),2)-1,7)+1)=AA$5,", "&amp;27,"")&amp;IF(INDEX($I$9:$O$19,2*INT((27+WEEKDAY(DATE(PlanYear,2,1),2)-1)/7)+1,MOD(27+WEEKDAY(DATE(PlanYear,2,1),2)-1,7)+1)=AA$5,", "&amp;28,"")&amp;IF(INDEX($I$9:$O$19,2*INT((28+WEEKDAY(DATE(PlanYear,2,1),2)-1)/7)+1,MOD(28+WEEKDAY(DATE(PlanYear,2,1),2)-1,7)+1)=AA$5,", "&amp;29,"")&amp;IF(INDEX($I$9:$O$19,2*INT((29+WEEKDAY(DATE(PlanYear,2,1),2)-1)/7)+1,MOD(29+WEEKDAY(DATE(PlanYear,2,1),2)-1,7)+1)=AA$5,", "&amp;30,"")&amp;IF(INDEX($I$9:$O$19,2*INT((30+WEEKDAY(DATE(PlanYear,2,1),2)-1)/7)+1,MOD(30+WEEKDAY(DATE(PlanYear,2,1),2)-1,7)+1)=AA$5,", "&amp;31,""),3,200))</f>
        <v/>
      </c>
      <c r="AB7" s="16">
        <f>IF(AB$5="","",MID(IF(INDEX($I$9:$O$19,2*INT((0+WEEKDAY(DATE(PlanYear,2,1),2)-1)/7)+1,MOD(0+WEEKDAY(DATE(PlanYear,2,1),2)-1,7)+1)=AB$5,", "&amp;1,"")&amp;IF(INDEX($I$9:$O$19,2*INT((1+WEEKDAY(DATE(PlanYear,2,1),2)-1)/7)+1,MOD(1+WEEKDAY(DATE(PlanYear,2,1),2)-1,7)+1)=AB$5,", "&amp;2,"")&amp;IF(INDEX($I$9:$O$19,2*INT((2+WEEKDAY(DATE(PlanYear,2,1),2)-1)/7)+1,MOD(2+WEEKDAY(DATE(PlanYear,2,1),2)-1,7)+1)=AB$5,", "&amp;3,"")&amp;IF(INDEX($I$9:$O$19,2*INT((3+WEEKDAY(DATE(PlanYear,2,1),2)-1)/7)+1,MOD(3+WEEKDAY(DATE(PlanYear,2,1),2)-1,7)+1)=AB$5,", "&amp;4,"")&amp;IF(INDEX($I$9:$O$19,2*INT((4+WEEKDAY(DATE(PlanYear,2,1),2)-1)/7)+1,MOD(4+WEEKDAY(DATE(PlanYear,2,1),2)-1,7)+1)=AB$5,", "&amp;5,"")&amp;IF(INDEX($I$9:$O$19,2*INT((5+WEEKDAY(DATE(PlanYear,2,1),2)-1)/7)+1,MOD(5+WEEKDAY(DATE(PlanYear,2,1),2)-1,7)+1)=AB$5,", "&amp;6,"")&amp;IF(INDEX($I$9:$O$19,2*INT((6+WEEKDAY(DATE(PlanYear,2,1),2)-1)/7)+1,MOD(6+WEEKDAY(DATE(PlanYear,2,1),2)-1,7)+1)=AB$5,", "&amp;7,"")&amp;IF(INDEX($I$9:$O$19,2*INT((7+WEEKDAY(DATE(PlanYear,2,1),2)-1)/7)+1,MOD(7+WEEKDAY(DATE(PlanYear,2,1),2)-1,7)+1)=AB$5,", "&amp;8,"")&amp;IF(INDEX($I$9:$O$19,2*INT((8+WEEKDAY(DATE(PlanYear,2,1),2)-1)/7)+1,MOD(8+WEEKDAY(DATE(PlanYear,2,1),2)-1,7)+1)=AB$5,", "&amp;9,"")&amp;IF(INDEX($I$9:$O$19,2*INT((9+WEEKDAY(DATE(PlanYear,2,1),2)-1)/7)+1,MOD(9+WEEKDAY(DATE(PlanYear,2,1),2)-1,7)+1)=AB$5,", "&amp;10,"")&amp;IF(INDEX($I$9:$O$19,2*INT((10+WEEKDAY(DATE(PlanYear,2,1),2)-1)/7)+1,MOD(10+WEEKDAY(DATE(PlanYear,2,1),2)-1,7)+1)=AB$5,", "&amp;11,"")&amp;IF(INDEX($I$9:$O$19,2*INT((11+WEEKDAY(DATE(PlanYear,2,1),2)-1)/7)+1,MOD(11+WEEKDAY(DATE(PlanYear,2,1),2)-1,7)+1)=AB$5,", "&amp;12,"")&amp;IF(INDEX($I$9:$O$19,2*INT((12+WEEKDAY(DATE(PlanYear,2,1),2)-1)/7)+1,MOD(12+WEEKDAY(DATE(PlanYear,2,1),2)-1,7)+1)=AB$5,", "&amp;13,"")&amp;IF(INDEX($I$9:$O$19,2*INT((13+WEEKDAY(DATE(PlanYear,2,1),2)-1)/7)+1,MOD(13+WEEKDAY(DATE(PlanYear,2,1),2)-1,7)+1)=AB$5,", "&amp;14,"")&amp;IF(INDEX($I$9:$O$19,2*INT((14+WEEKDAY(DATE(PlanYear,2,1),2)-1)/7)+1,MOD(14+WEEKDAY(DATE(PlanYear,2,1),2)-1,7)+1)=AB$5,", "&amp;15,"")&amp;IF(INDEX($I$9:$O$19,2*INT((15+WEEKDAY(DATE(PlanYear,2,1),2)-1)/7)+1,MOD(15+WEEKDAY(DATE(PlanYear,2,1),2)-1,7)+1)=AB$5,", "&amp;16,"")&amp;IF(INDEX($I$9:$O$19,2*INT((16+WEEKDAY(DATE(PlanYear,2,1),2)-1)/7)+1,MOD(16+WEEKDAY(DATE(PlanYear,2,1),2)-1,7)+1)=AB$5,", "&amp;17,"")&amp;IF(INDEX($I$9:$O$19,2*INT((17+WEEKDAY(DATE(PlanYear,2,1),2)-1)/7)+1,MOD(17+WEEKDAY(DATE(PlanYear,2,1),2)-1,7)+1)=AB$5,", "&amp;18,"")&amp;IF(INDEX($I$9:$O$19,2*INT((18+WEEKDAY(DATE(PlanYear,2,1),2)-1)/7)+1,MOD(18+WEEKDAY(DATE(PlanYear,2,1),2)-1,7)+1)=AB$5,", "&amp;19,"")&amp;IF(INDEX($I$9:$O$19,2*INT((19+WEEKDAY(DATE(PlanYear,2,1),2)-1)/7)+1,MOD(19+WEEKDAY(DATE(PlanYear,2,1),2)-1,7)+1)=AB$5,", "&amp;20,"")&amp;IF(INDEX($I$9:$O$19,2*INT((20+WEEKDAY(DATE(PlanYear,2,1),2)-1)/7)+1,MOD(20+WEEKDAY(DATE(PlanYear,2,1),2)-1,7)+1)=AB$5,", "&amp;21,"")&amp;IF(INDEX($I$9:$O$19,2*INT((21+WEEKDAY(DATE(PlanYear,2,1),2)-1)/7)+1,MOD(21+WEEKDAY(DATE(PlanYear,2,1),2)-1,7)+1)=AB$5,", "&amp;22,"")&amp;IF(INDEX($I$9:$O$19,2*INT((22+WEEKDAY(DATE(PlanYear,2,1),2)-1)/7)+1,MOD(22+WEEKDAY(DATE(PlanYear,2,1),2)-1,7)+1)=AB$5,", "&amp;23,"")&amp;IF(INDEX($I$9:$O$19,2*INT((23+WEEKDAY(DATE(PlanYear,2,1),2)-1)/7)+1,MOD(23+WEEKDAY(DATE(PlanYear,2,1),2)-1,7)+1)=AB$5,", "&amp;24,"")&amp;IF(INDEX($I$9:$O$19,2*INT((24+WEEKDAY(DATE(PlanYear,2,1),2)-1)/7)+1,MOD(24+WEEKDAY(DATE(PlanYear,2,1),2)-1,7)+1)=AB$5,", "&amp;25,"")&amp;IF(INDEX($I$9:$O$19,2*INT((25+WEEKDAY(DATE(PlanYear,2,1),2)-1)/7)+1,MOD(25+WEEKDAY(DATE(PlanYear,2,1),2)-1,7)+1)=AB$5,", "&amp;26,"")&amp;IF(INDEX($I$9:$O$19,2*INT((26+WEEKDAY(DATE(PlanYear,2,1),2)-1)/7)+1,MOD(26+WEEKDAY(DATE(PlanYear,2,1),2)-1,7)+1)=AB$5,", "&amp;27,"")&amp;IF(INDEX($I$9:$O$19,2*INT((27+WEEKDAY(DATE(PlanYear,2,1),2)-1)/7)+1,MOD(27+WEEKDAY(DATE(PlanYear,2,1),2)-1,7)+1)=AB$5,", "&amp;28,"")&amp;IF(INDEX($I$9:$O$19,2*INT((28+WEEKDAY(DATE(PlanYear,2,1),2)-1)/7)+1,MOD(28+WEEKDAY(DATE(PlanYear,2,1),2)-1,7)+1)=AB$5,", "&amp;29,"")&amp;IF(INDEX($I$9:$O$19,2*INT((29+WEEKDAY(DATE(PlanYear,2,1),2)-1)/7)+1,MOD(29+WEEKDAY(DATE(PlanYear,2,1),2)-1,7)+1)=AB$5,", "&amp;30,"")&amp;IF(INDEX($I$9:$O$19,2*INT((30+WEEKDAY(DATE(PlanYear,2,1),2)-1)/7)+1,MOD(30+WEEKDAY(DATE(PlanYear,2,1),2)-1,7)+1)=AB$5,", "&amp;31,""),3,200))</f>
        <v/>
      </c>
      <c r="AC7" s="16">
        <f>IF(AC$5="","",MID(IF(INDEX($I$9:$O$19,2*INT((0+WEEKDAY(DATE(PlanYear,2,1),2)-1)/7)+1,MOD(0+WEEKDAY(DATE(PlanYear,2,1),2)-1,7)+1)=AC$5,", "&amp;1,"")&amp;IF(INDEX($I$9:$O$19,2*INT((1+WEEKDAY(DATE(PlanYear,2,1),2)-1)/7)+1,MOD(1+WEEKDAY(DATE(PlanYear,2,1),2)-1,7)+1)=AC$5,", "&amp;2,"")&amp;IF(INDEX($I$9:$O$19,2*INT((2+WEEKDAY(DATE(PlanYear,2,1),2)-1)/7)+1,MOD(2+WEEKDAY(DATE(PlanYear,2,1),2)-1,7)+1)=AC$5,", "&amp;3,"")&amp;IF(INDEX($I$9:$O$19,2*INT((3+WEEKDAY(DATE(PlanYear,2,1),2)-1)/7)+1,MOD(3+WEEKDAY(DATE(PlanYear,2,1),2)-1,7)+1)=AC$5,", "&amp;4,"")&amp;IF(INDEX($I$9:$O$19,2*INT((4+WEEKDAY(DATE(PlanYear,2,1),2)-1)/7)+1,MOD(4+WEEKDAY(DATE(PlanYear,2,1),2)-1,7)+1)=AC$5,", "&amp;5,"")&amp;IF(INDEX($I$9:$O$19,2*INT((5+WEEKDAY(DATE(PlanYear,2,1),2)-1)/7)+1,MOD(5+WEEKDAY(DATE(PlanYear,2,1),2)-1,7)+1)=AC$5,", "&amp;6,"")&amp;IF(INDEX($I$9:$O$19,2*INT((6+WEEKDAY(DATE(PlanYear,2,1),2)-1)/7)+1,MOD(6+WEEKDAY(DATE(PlanYear,2,1),2)-1,7)+1)=AC$5,", "&amp;7,"")&amp;IF(INDEX($I$9:$O$19,2*INT((7+WEEKDAY(DATE(PlanYear,2,1),2)-1)/7)+1,MOD(7+WEEKDAY(DATE(PlanYear,2,1),2)-1,7)+1)=AC$5,", "&amp;8,"")&amp;IF(INDEX($I$9:$O$19,2*INT((8+WEEKDAY(DATE(PlanYear,2,1),2)-1)/7)+1,MOD(8+WEEKDAY(DATE(PlanYear,2,1),2)-1,7)+1)=AC$5,", "&amp;9,"")&amp;IF(INDEX($I$9:$O$19,2*INT((9+WEEKDAY(DATE(PlanYear,2,1),2)-1)/7)+1,MOD(9+WEEKDAY(DATE(PlanYear,2,1),2)-1,7)+1)=AC$5,", "&amp;10,"")&amp;IF(INDEX($I$9:$O$19,2*INT((10+WEEKDAY(DATE(PlanYear,2,1),2)-1)/7)+1,MOD(10+WEEKDAY(DATE(PlanYear,2,1),2)-1,7)+1)=AC$5,", "&amp;11,"")&amp;IF(INDEX($I$9:$O$19,2*INT((11+WEEKDAY(DATE(PlanYear,2,1),2)-1)/7)+1,MOD(11+WEEKDAY(DATE(PlanYear,2,1),2)-1,7)+1)=AC$5,", "&amp;12,"")&amp;IF(INDEX($I$9:$O$19,2*INT((12+WEEKDAY(DATE(PlanYear,2,1),2)-1)/7)+1,MOD(12+WEEKDAY(DATE(PlanYear,2,1),2)-1,7)+1)=AC$5,", "&amp;13,"")&amp;IF(INDEX($I$9:$O$19,2*INT((13+WEEKDAY(DATE(PlanYear,2,1),2)-1)/7)+1,MOD(13+WEEKDAY(DATE(PlanYear,2,1),2)-1,7)+1)=AC$5,", "&amp;14,"")&amp;IF(INDEX($I$9:$O$19,2*INT((14+WEEKDAY(DATE(PlanYear,2,1),2)-1)/7)+1,MOD(14+WEEKDAY(DATE(PlanYear,2,1),2)-1,7)+1)=AC$5,", "&amp;15,"")&amp;IF(INDEX($I$9:$O$19,2*INT((15+WEEKDAY(DATE(PlanYear,2,1),2)-1)/7)+1,MOD(15+WEEKDAY(DATE(PlanYear,2,1),2)-1,7)+1)=AC$5,", "&amp;16,"")&amp;IF(INDEX($I$9:$O$19,2*INT((16+WEEKDAY(DATE(PlanYear,2,1),2)-1)/7)+1,MOD(16+WEEKDAY(DATE(PlanYear,2,1),2)-1,7)+1)=AC$5,", "&amp;17,"")&amp;IF(INDEX($I$9:$O$19,2*INT((17+WEEKDAY(DATE(PlanYear,2,1),2)-1)/7)+1,MOD(17+WEEKDAY(DATE(PlanYear,2,1),2)-1,7)+1)=AC$5,", "&amp;18,"")&amp;IF(INDEX($I$9:$O$19,2*INT((18+WEEKDAY(DATE(PlanYear,2,1),2)-1)/7)+1,MOD(18+WEEKDAY(DATE(PlanYear,2,1),2)-1,7)+1)=AC$5,", "&amp;19,"")&amp;IF(INDEX($I$9:$O$19,2*INT((19+WEEKDAY(DATE(PlanYear,2,1),2)-1)/7)+1,MOD(19+WEEKDAY(DATE(PlanYear,2,1),2)-1,7)+1)=AC$5,", "&amp;20,"")&amp;IF(INDEX($I$9:$O$19,2*INT((20+WEEKDAY(DATE(PlanYear,2,1),2)-1)/7)+1,MOD(20+WEEKDAY(DATE(PlanYear,2,1),2)-1,7)+1)=AC$5,", "&amp;21,"")&amp;IF(INDEX($I$9:$O$19,2*INT((21+WEEKDAY(DATE(PlanYear,2,1),2)-1)/7)+1,MOD(21+WEEKDAY(DATE(PlanYear,2,1),2)-1,7)+1)=AC$5,", "&amp;22,"")&amp;IF(INDEX($I$9:$O$19,2*INT((22+WEEKDAY(DATE(PlanYear,2,1),2)-1)/7)+1,MOD(22+WEEKDAY(DATE(PlanYear,2,1),2)-1,7)+1)=AC$5,", "&amp;23,"")&amp;IF(INDEX($I$9:$O$19,2*INT((23+WEEKDAY(DATE(PlanYear,2,1),2)-1)/7)+1,MOD(23+WEEKDAY(DATE(PlanYear,2,1),2)-1,7)+1)=AC$5,", "&amp;24,"")&amp;IF(INDEX($I$9:$O$19,2*INT((24+WEEKDAY(DATE(PlanYear,2,1),2)-1)/7)+1,MOD(24+WEEKDAY(DATE(PlanYear,2,1),2)-1,7)+1)=AC$5,", "&amp;25,"")&amp;IF(INDEX($I$9:$O$19,2*INT((25+WEEKDAY(DATE(PlanYear,2,1),2)-1)/7)+1,MOD(25+WEEKDAY(DATE(PlanYear,2,1),2)-1,7)+1)=AC$5,", "&amp;26,"")&amp;IF(INDEX($I$9:$O$19,2*INT((26+WEEKDAY(DATE(PlanYear,2,1),2)-1)/7)+1,MOD(26+WEEKDAY(DATE(PlanYear,2,1),2)-1,7)+1)=AC$5,", "&amp;27,"")&amp;IF(INDEX($I$9:$O$19,2*INT((27+WEEKDAY(DATE(PlanYear,2,1),2)-1)/7)+1,MOD(27+WEEKDAY(DATE(PlanYear,2,1),2)-1,7)+1)=AC$5,", "&amp;28,"")&amp;IF(INDEX($I$9:$O$19,2*INT((28+WEEKDAY(DATE(PlanYear,2,1),2)-1)/7)+1,MOD(28+WEEKDAY(DATE(PlanYear,2,1),2)-1,7)+1)=AC$5,", "&amp;29,"")&amp;IF(INDEX($I$9:$O$19,2*INT((29+WEEKDAY(DATE(PlanYear,2,1),2)-1)/7)+1,MOD(29+WEEKDAY(DATE(PlanYear,2,1),2)-1,7)+1)=AC$5,", "&amp;30,"")&amp;IF(INDEX($I$9:$O$19,2*INT((30+WEEKDAY(DATE(PlanYear,2,1),2)-1)/7)+1,MOD(30+WEEKDAY(DATE(PlanYear,2,1),2)-1,7)+1)=AC$5,", "&amp;31,""),3,200))</f>
        <v/>
      </c>
      <c r="AD7" s="16">
        <f>IF(AD$5="","",MID(IF(INDEX($I$9:$O$19,2*INT((0+WEEKDAY(DATE(PlanYear,2,1),2)-1)/7)+1,MOD(0+WEEKDAY(DATE(PlanYear,2,1),2)-1,7)+1)=AD$5,", "&amp;1,"")&amp;IF(INDEX($I$9:$O$19,2*INT((1+WEEKDAY(DATE(PlanYear,2,1),2)-1)/7)+1,MOD(1+WEEKDAY(DATE(PlanYear,2,1),2)-1,7)+1)=AD$5,", "&amp;2,"")&amp;IF(INDEX($I$9:$O$19,2*INT((2+WEEKDAY(DATE(PlanYear,2,1),2)-1)/7)+1,MOD(2+WEEKDAY(DATE(PlanYear,2,1),2)-1,7)+1)=AD$5,", "&amp;3,"")&amp;IF(INDEX($I$9:$O$19,2*INT((3+WEEKDAY(DATE(PlanYear,2,1),2)-1)/7)+1,MOD(3+WEEKDAY(DATE(PlanYear,2,1),2)-1,7)+1)=AD$5,", "&amp;4,"")&amp;IF(INDEX($I$9:$O$19,2*INT((4+WEEKDAY(DATE(PlanYear,2,1),2)-1)/7)+1,MOD(4+WEEKDAY(DATE(PlanYear,2,1),2)-1,7)+1)=AD$5,", "&amp;5,"")&amp;IF(INDEX($I$9:$O$19,2*INT((5+WEEKDAY(DATE(PlanYear,2,1),2)-1)/7)+1,MOD(5+WEEKDAY(DATE(PlanYear,2,1),2)-1,7)+1)=AD$5,", "&amp;6,"")&amp;IF(INDEX($I$9:$O$19,2*INT((6+WEEKDAY(DATE(PlanYear,2,1),2)-1)/7)+1,MOD(6+WEEKDAY(DATE(PlanYear,2,1),2)-1,7)+1)=AD$5,", "&amp;7,"")&amp;IF(INDEX($I$9:$O$19,2*INT((7+WEEKDAY(DATE(PlanYear,2,1),2)-1)/7)+1,MOD(7+WEEKDAY(DATE(PlanYear,2,1),2)-1,7)+1)=AD$5,", "&amp;8,"")&amp;IF(INDEX($I$9:$O$19,2*INT((8+WEEKDAY(DATE(PlanYear,2,1),2)-1)/7)+1,MOD(8+WEEKDAY(DATE(PlanYear,2,1),2)-1,7)+1)=AD$5,", "&amp;9,"")&amp;IF(INDEX($I$9:$O$19,2*INT((9+WEEKDAY(DATE(PlanYear,2,1),2)-1)/7)+1,MOD(9+WEEKDAY(DATE(PlanYear,2,1),2)-1,7)+1)=AD$5,", "&amp;10,"")&amp;IF(INDEX($I$9:$O$19,2*INT((10+WEEKDAY(DATE(PlanYear,2,1),2)-1)/7)+1,MOD(10+WEEKDAY(DATE(PlanYear,2,1),2)-1,7)+1)=AD$5,", "&amp;11,"")&amp;IF(INDEX($I$9:$O$19,2*INT((11+WEEKDAY(DATE(PlanYear,2,1),2)-1)/7)+1,MOD(11+WEEKDAY(DATE(PlanYear,2,1),2)-1,7)+1)=AD$5,", "&amp;12,"")&amp;IF(INDEX($I$9:$O$19,2*INT((12+WEEKDAY(DATE(PlanYear,2,1),2)-1)/7)+1,MOD(12+WEEKDAY(DATE(PlanYear,2,1),2)-1,7)+1)=AD$5,", "&amp;13,"")&amp;IF(INDEX($I$9:$O$19,2*INT((13+WEEKDAY(DATE(PlanYear,2,1),2)-1)/7)+1,MOD(13+WEEKDAY(DATE(PlanYear,2,1),2)-1,7)+1)=AD$5,", "&amp;14,"")&amp;IF(INDEX($I$9:$O$19,2*INT((14+WEEKDAY(DATE(PlanYear,2,1),2)-1)/7)+1,MOD(14+WEEKDAY(DATE(PlanYear,2,1),2)-1,7)+1)=AD$5,", "&amp;15,"")&amp;IF(INDEX($I$9:$O$19,2*INT((15+WEEKDAY(DATE(PlanYear,2,1),2)-1)/7)+1,MOD(15+WEEKDAY(DATE(PlanYear,2,1),2)-1,7)+1)=AD$5,", "&amp;16,"")&amp;IF(INDEX($I$9:$O$19,2*INT((16+WEEKDAY(DATE(PlanYear,2,1),2)-1)/7)+1,MOD(16+WEEKDAY(DATE(PlanYear,2,1),2)-1,7)+1)=AD$5,", "&amp;17,"")&amp;IF(INDEX($I$9:$O$19,2*INT((17+WEEKDAY(DATE(PlanYear,2,1),2)-1)/7)+1,MOD(17+WEEKDAY(DATE(PlanYear,2,1),2)-1,7)+1)=AD$5,", "&amp;18,"")&amp;IF(INDEX($I$9:$O$19,2*INT((18+WEEKDAY(DATE(PlanYear,2,1),2)-1)/7)+1,MOD(18+WEEKDAY(DATE(PlanYear,2,1),2)-1,7)+1)=AD$5,", "&amp;19,"")&amp;IF(INDEX($I$9:$O$19,2*INT((19+WEEKDAY(DATE(PlanYear,2,1),2)-1)/7)+1,MOD(19+WEEKDAY(DATE(PlanYear,2,1),2)-1,7)+1)=AD$5,", "&amp;20,"")&amp;IF(INDEX($I$9:$O$19,2*INT((20+WEEKDAY(DATE(PlanYear,2,1),2)-1)/7)+1,MOD(20+WEEKDAY(DATE(PlanYear,2,1),2)-1,7)+1)=AD$5,", "&amp;21,"")&amp;IF(INDEX($I$9:$O$19,2*INT((21+WEEKDAY(DATE(PlanYear,2,1),2)-1)/7)+1,MOD(21+WEEKDAY(DATE(PlanYear,2,1),2)-1,7)+1)=AD$5,", "&amp;22,"")&amp;IF(INDEX($I$9:$O$19,2*INT((22+WEEKDAY(DATE(PlanYear,2,1),2)-1)/7)+1,MOD(22+WEEKDAY(DATE(PlanYear,2,1),2)-1,7)+1)=AD$5,", "&amp;23,"")&amp;IF(INDEX($I$9:$O$19,2*INT((23+WEEKDAY(DATE(PlanYear,2,1),2)-1)/7)+1,MOD(23+WEEKDAY(DATE(PlanYear,2,1),2)-1,7)+1)=AD$5,", "&amp;24,"")&amp;IF(INDEX($I$9:$O$19,2*INT((24+WEEKDAY(DATE(PlanYear,2,1),2)-1)/7)+1,MOD(24+WEEKDAY(DATE(PlanYear,2,1),2)-1,7)+1)=AD$5,", "&amp;25,"")&amp;IF(INDEX($I$9:$O$19,2*INT((25+WEEKDAY(DATE(PlanYear,2,1),2)-1)/7)+1,MOD(25+WEEKDAY(DATE(PlanYear,2,1),2)-1,7)+1)=AD$5,", "&amp;26,"")&amp;IF(INDEX($I$9:$O$19,2*INT((26+WEEKDAY(DATE(PlanYear,2,1),2)-1)/7)+1,MOD(26+WEEKDAY(DATE(PlanYear,2,1),2)-1,7)+1)=AD$5,", "&amp;27,"")&amp;IF(INDEX($I$9:$O$19,2*INT((27+WEEKDAY(DATE(PlanYear,2,1),2)-1)/7)+1,MOD(27+WEEKDAY(DATE(PlanYear,2,1),2)-1,7)+1)=AD$5,", "&amp;28,"")&amp;IF(INDEX($I$9:$O$19,2*INT((28+WEEKDAY(DATE(PlanYear,2,1),2)-1)/7)+1,MOD(28+WEEKDAY(DATE(PlanYear,2,1),2)-1,7)+1)=AD$5,", "&amp;29,"")&amp;IF(INDEX($I$9:$O$19,2*INT((29+WEEKDAY(DATE(PlanYear,2,1),2)-1)/7)+1,MOD(29+WEEKDAY(DATE(PlanYear,2,1),2)-1,7)+1)=AD$5,", "&amp;30,"")&amp;IF(INDEX($I$9:$O$19,2*INT((30+WEEKDAY(DATE(PlanYear,2,1),2)-1)/7)+1,MOD(30+WEEKDAY(DATE(PlanYear,2,1),2)-1,7)+1)=AD$5,", "&amp;31,""),3,200))</f>
        <v/>
      </c>
      <c r="AE7" s="16">
        <f>IF(AE$5="","",MID(IF(INDEX($I$9:$O$19,2*INT((0+WEEKDAY(DATE(PlanYear,2,1),2)-1)/7)+1,MOD(0+WEEKDAY(DATE(PlanYear,2,1),2)-1,7)+1)=AE$5,", "&amp;1,"")&amp;IF(INDEX($I$9:$O$19,2*INT((1+WEEKDAY(DATE(PlanYear,2,1),2)-1)/7)+1,MOD(1+WEEKDAY(DATE(PlanYear,2,1),2)-1,7)+1)=AE$5,", "&amp;2,"")&amp;IF(INDEX($I$9:$O$19,2*INT((2+WEEKDAY(DATE(PlanYear,2,1),2)-1)/7)+1,MOD(2+WEEKDAY(DATE(PlanYear,2,1),2)-1,7)+1)=AE$5,", "&amp;3,"")&amp;IF(INDEX($I$9:$O$19,2*INT((3+WEEKDAY(DATE(PlanYear,2,1),2)-1)/7)+1,MOD(3+WEEKDAY(DATE(PlanYear,2,1),2)-1,7)+1)=AE$5,", "&amp;4,"")&amp;IF(INDEX($I$9:$O$19,2*INT((4+WEEKDAY(DATE(PlanYear,2,1),2)-1)/7)+1,MOD(4+WEEKDAY(DATE(PlanYear,2,1),2)-1,7)+1)=AE$5,", "&amp;5,"")&amp;IF(INDEX($I$9:$O$19,2*INT((5+WEEKDAY(DATE(PlanYear,2,1),2)-1)/7)+1,MOD(5+WEEKDAY(DATE(PlanYear,2,1),2)-1,7)+1)=AE$5,", "&amp;6,"")&amp;IF(INDEX($I$9:$O$19,2*INT((6+WEEKDAY(DATE(PlanYear,2,1),2)-1)/7)+1,MOD(6+WEEKDAY(DATE(PlanYear,2,1),2)-1,7)+1)=AE$5,", "&amp;7,"")&amp;IF(INDEX($I$9:$O$19,2*INT((7+WEEKDAY(DATE(PlanYear,2,1),2)-1)/7)+1,MOD(7+WEEKDAY(DATE(PlanYear,2,1),2)-1,7)+1)=AE$5,", "&amp;8,"")&amp;IF(INDEX($I$9:$O$19,2*INT((8+WEEKDAY(DATE(PlanYear,2,1),2)-1)/7)+1,MOD(8+WEEKDAY(DATE(PlanYear,2,1),2)-1,7)+1)=AE$5,", "&amp;9,"")&amp;IF(INDEX($I$9:$O$19,2*INT((9+WEEKDAY(DATE(PlanYear,2,1),2)-1)/7)+1,MOD(9+WEEKDAY(DATE(PlanYear,2,1),2)-1,7)+1)=AE$5,", "&amp;10,"")&amp;IF(INDEX($I$9:$O$19,2*INT((10+WEEKDAY(DATE(PlanYear,2,1),2)-1)/7)+1,MOD(10+WEEKDAY(DATE(PlanYear,2,1),2)-1,7)+1)=AE$5,", "&amp;11,"")&amp;IF(INDEX($I$9:$O$19,2*INT((11+WEEKDAY(DATE(PlanYear,2,1),2)-1)/7)+1,MOD(11+WEEKDAY(DATE(PlanYear,2,1),2)-1,7)+1)=AE$5,", "&amp;12,"")&amp;IF(INDEX($I$9:$O$19,2*INT((12+WEEKDAY(DATE(PlanYear,2,1),2)-1)/7)+1,MOD(12+WEEKDAY(DATE(PlanYear,2,1),2)-1,7)+1)=AE$5,", "&amp;13,"")&amp;IF(INDEX($I$9:$O$19,2*INT((13+WEEKDAY(DATE(PlanYear,2,1),2)-1)/7)+1,MOD(13+WEEKDAY(DATE(PlanYear,2,1),2)-1,7)+1)=AE$5,", "&amp;14,"")&amp;IF(INDEX($I$9:$O$19,2*INT((14+WEEKDAY(DATE(PlanYear,2,1),2)-1)/7)+1,MOD(14+WEEKDAY(DATE(PlanYear,2,1),2)-1,7)+1)=AE$5,", "&amp;15,"")&amp;IF(INDEX($I$9:$O$19,2*INT((15+WEEKDAY(DATE(PlanYear,2,1),2)-1)/7)+1,MOD(15+WEEKDAY(DATE(PlanYear,2,1),2)-1,7)+1)=AE$5,", "&amp;16,"")&amp;IF(INDEX($I$9:$O$19,2*INT((16+WEEKDAY(DATE(PlanYear,2,1),2)-1)/7)+1,MOD(16+WEEKDAY(DATE(PlanYear,2,1),2)-1,7)+1)=AE$5,", "&amp;17,"")&amp;IF(INDEX($I$9:$O$19,2*INT((17+WEEKDAY(DATE(PlanYear,2,1),2)-1)/7)+1,MOD(17+WEEKDAY(DATE(PlanYear,2,1),2)-1,7)+1)=AE$5,", "&amp;18,"")&amp;IF(INDEX($I$9:$O$19,2*INT((18+WEEKDAY(DATE(PlanYear,2,1),2)-1)/7)+1,MOD(18+WEEKDAY(DATE(PlanYear,2,1),2)-1,7)+1)=AE$5,", "&amp;19,"")&amp;IF(INDEX($I$9:$O$19,2*INT((19+WEEKDAY(DATE(PlanYear,2,1),2)-1)/7)+1,MOD(19+WEEKDAY(DATE(PlanYear,2,1),2)-1,7)+1)=AE$5,", "&amp;20,"")&amp;IF(INDEX($I$9:$O$19,2*INT((20+WEEKDAY(DATE(PlanYear,2,1),2)-1)/7)+1,MOD(20+WEEKDAY(DATE(PlanYear,2,1),2)-1,7)+1)=AE$5,", "&amp;21,"")&amp;IF(INDEX($I$9:$O$19,2*INT((21+WEEKDAY(DATE(PlanYear,2,1),2)-1)/7)+1,MOD(21+WEEKDAY(DATE(PlanYear,2,1),2)-1,7)+1)=AE$5,", "&amp;22,"")&amp;IF(INDEX($I$9:$O$19,2*INT((22+WEEKDAY(DATE(PlanYear,2,1),2)-1)/7)+1,MOD(22+WEEKDAY(DATE(PlanYear,2,1),2)-1,7)+1)=AE$5,", "&amp;23,"")&amp;IF(INDEX($I$9:$O$19,2*INT((23+WEEKDAY(DATE(PlanYear,2,1),2)-1)/7)+1,MOD(23+WEEKDAY(DATE(PlanYear,2,1),2)-1,7)+1)=AE$5,", "&amp;24,"")&amp;IF(INDEX($I$9:$O$19,2*INT((24+WEEKDAY(DATE(PlanYear,2,1),2)-1)/7)+1,MOD(24+WEEKDAY(DATE(PlanYear,2,1),2)-1,7)+1)=AE$5,", "&amp;25,"")&amp;IF(INDEX($I$9:$O$19,2*INT((25+WEEKDAY(DATE(PlanYear,2,1),2)-1)/7)+1,MOD(25+WEEKDAY(DATE(PlanYear,2,1),2)-1,7)+1)=AE$5,", "&amp;26,"")&amp;IF(INDEX($I$9:$O$19,2*INT((26+WEEKDAY(DATE(PlanYear,2,1),2)-1)/7)+1,MOD(26+WEEKDAY(DATE(PlanYear,2,1),2)-1,7)+1)=AE$5,", "&amp;27,"")&amp;IF(INDEX($I$9:$O$19,2*INT((27+WEEKDAY(DATE(PlanYear,2,1),2)-1)/7)+1,MOD(27+WEEKDAY(DATE(PlanYear,2,1),2)-1,7)+1)=AE$5,", "&amp;28,"")&amp;IF(INDEX($I$9:$O$19,2*INT((28+WEEKDAY(DATE(PlanYear,2,1),2)-1)/7)+1,MOD(28+WEEKDAY(DATE(PlanYear,2,1),2)-1,7)+1)=AE$5,", "&amp;29,"")&amp;IF(INDEX($I$9:$O$19,2*INT((29+WEEKDAY(DATE(PlanYear,2,1),2)-1)/7)+1,MOD(29+WEEKDAY(DATE(PlanYear,2,1),2)-1,7)+1)=AE$5,", "&amp;30,"")&amp;IF(INDEX($I$9:$O$19,2*INT((30+WEEKDAY(DATE(PlanYear,2,1),2)-1)/7)+1,MOD(30+WEEKDAY(DATE(PlanYear,2,1),2)-1,7)+1)=AE$5,", "&amp;31,""),3,200))</f>
        <v/>
      </c>
      <c r="AF7" s="16">
        <f>IF(AF$5="","",MID(IF(INDEX($I$9:$O$19,2*INT((0+WEEKDAY(DATE(PlanYear,2,1),2)-1)/7)+1,MOD(0+WEEKDAY(DATE(PlanYear,2,1),2)-1,7)+1)=AF$5,", "&amp;1,"")&amp;IF(INDEX($I$9:$O$19,2*INT((1+WEEKDAY(DATE(PlanYear,2,1),2)-1)/7)+1,MOD(1+WEEKDAY(DATE(PlanYear,2,1),2)-1,7)+1)=AF$5,", "&amp;2,"")&amp;IF(INDEX($I$9:$O$19,2*INT((2+WEEKDAY(DATE(PlanYear,2,1),2)-1)/7)+1,MOD(2+WEEKDAY(DATE(PlanYear,2,1),2)-1,7)+1)=AF$5,", "&amp;3,"")&amp;IF(INDEX($I$9:$O$19,2*INT((3+WEEKDAY(DATE(PlanYear,2,1),2)-1)/7)+1,MOD(3+WEEKDAY(DATE(PlanYear,2,1),2)-1,7)+1)=AF$5,", "&amp;4,"")&amp;IF(INDEX($I$9:$O$19,2*INT((4+WEEKDAY(DATE(PlanYear,2,1),2)-1)/7)+1,MOD(4+WEEKDAY(DATE(PlanYear,2,1),2)-1,7)+1)=AF$5,", "&amp;5,"")&amp;IF(INDEX($I$9:$O$19,2*INT((5+WEEKDAY(DATE(PlanYear,2,1),2)-1)/7)+1,MOD(5+WEEKDAY(DATE(PlanYear,2,1),2)-1,7)+1)=AF$5,", "&amp;6,"")&amp;IF(INDEX($I$9:$O$19,2*INT((6+WEEKDAY(DATE(PlanYear,2,1),2)-1)/7)+1,MOD(6+WEEKDAY(DATE(PlanYear,2,1),2)-1,7)+1)=AF$5,", "&amp;7,"")&amp;IF(INDEX($I$9:$O$19,2*INT((7+WEEKDAY(DATE(PlanYear,2,1),2)-1)/7)+1,MOD(7+WEEKDAY(DATE(PlanYear,2,1),2)-1,7)+1)=AF$5,", "&amp;8,"")&amp;IF(INDEX($I$9:$O$19,2*INT((8+WEEKDAY(DATE(PlanYear,2,1),2)-1)/7)+1,MOD(8+WEEKDAY(DATE(PlanYear,2,1),2)-1,7)+1)=AF$5,", "&amp;9,"")&amp;IF(INDEX($I$9:$O$19,2*INT((9+WEEKDAY(DATE(PlanYear,2,1),2)-1)/7)+1,MOD(9+WEEKDAY(DATE(PlanYear,2,1),2)-1,7)+1)=AF$5,", "&amp;10,"")&amp;IF(INDEX($I$9:$O$19,2*INT((10+WEEKDAY(DATE(PlanYear,2,1),2)-1)/7)+1,MOD(10+WEEKDAY(DATE(PlanYear,2,1),2)-1,7)+1)=AF$5,", "&amp;11,"")&amp;IF(INDEX($I$9:$O$19,2*INT((11+WEEKDAY(DATE(PlanYear,2,1),2)-1)/7)+1,MOD(11+WEEKDAY(DATE(PlanYear,2,1),2)-1,7)+1)=AF$5,", "&amp;12,"")&amp;IF(INDEX($I$9:$O$19,2*INT((12+WEEKDAY(DATE(PlanYear,2,1),2)-1)/7)+1,MOD(12+WEEKDAY(DATE(PlanYear,2,1),2)-1,7)+1)=AF$5,", "&amp;13,"")&amp;IF(INDEX($I$9:$O$19,2*INT((13+WEEKDAY(DATE(PlanYear,2,1),2)-1)/7)+1,MOD(13+WEEKDAY(DATE(PlanYear,2,1),2)-1,7)+1)=AF$5,", "&amp;14,"")&amp;IF(INDEX($I$9:$O$19,2*INT((14+WEEKDAY(DATE(PlanYear,2,1),2)-1)/7)+1,MOD(14+WEEKDAY(DATE(PlanYear,2,1),2)-1,7)+1)=AF$5,", "&amp;15,"")&amp;IF(INDEX($I$9:$O$19,2*INT((15+WEEKDAY(DATE(PlanYear,2,1),2)-1)/7)+1,MOD(15+WEEKDAY(DATE(PlanYear,2,1),2)-1,7)+1)=AF$5,", "&amp;16,"")&amp;IF(INDEX($I$9:$O$19,2*INT((16+WEEKDAY(DATE(PlanYear,2,1),2)-1)/7)+1,MOD(16+WEEKDAY(DATE(PlanYear,2,1),2)-1,7)+1)=AF$5,", "&amp;17,"")&amp;IF(INDEX($I$9:$O$19,2*INT((17+WEEKDAY(DATE(PlanYear,2,1),2)-1)/7)+1,MOD(17+WEEKDAY(DATE(PlanYear,2,1),2)-1,7)+1)=AF$5,", "&amp;18,"")&amp;IF(INDEX($I$9:$O$19,2*INT((18+WEEKDAY(DATE(PlanYear,2,1),2)-1)/7)+1,MOD(18+WEEKDAY(DATE(PlanYear,2,1),2)-1,7)+1)=AF$5,", "&amp;19,"")&amp;IF(INDEX($I$9:$O$19,2*INT((19+WEEKDAY(DATE(PlanYear,2,1),2)-1)/7)+1,MOD(19+WEEKDAY(DATE(PlanYear,2,1),2)-1,7)+1)=AF$5,", "&amp;20,"")&amp;IF(INDEX($I$9:$O$19,2*INT((20+WEEKDAY(DATE(PlanYear,2,1),2)-1)/7)+1,MOD(20+WEEKDAY(DATE(PlanYear,2,1),2)-1,7)+1)=AF$5,", "&amp;21,"")&amp;IF(INDEX($I$9:$O$19,2*INT((21+WEEKDAY(DATE(PlanYear,2,1),2)-1)/7)+1,MOD(21+WEEKDAY(DATE(PlanYear,2,1),2)-1,7)+1)=AF$5,", "&amp;22,"")&amp;IF(INDEX($I$9:$O$19,2*INT((22+WEEKDAY(DATE(PlanYear,2,1),2)-1)/7)+1,MOD(22+WEEKDAY(DATE(PlanYear,2,1),2)-1,7)+1)=AF$5,", "&amp;23,"")&amp;IF(INDEX($I$9:$O$19,2*INT((23+WEEKDAY(DATE(PlanYear,2,1),2)-1)/7)+1,MOD(23+WEEKDAY(DATE(PlanYear,2,1),2)-1,7)+1)=AF$5,", "&amp;24,"")&amp;IF(INDEX($I$9:$O$19,2*INT((24+WEEKDAY(DATE(PlanYear,2,1),2)-1)/7)+1,MOD(24+WEEKDAY(DATE(PlanYear,2,1),2)-1,7)+1)=AF$5,", "&amp;25,"")&amp;IF(INDEX($I$9:$O$19,2*INT((25+WEEKDAY(DATE(PlanYear,2,1),2)-1)/7)+1,MOD(25+WEEKDAY(DATE(PlanYear,2,1),2)-1,7)+1)=AF$5,", "&amp;26,"")&amp;IF(INDEX($I$9:$O$19,2*INT((26+WEEKDAY(DATE(PlanYear,2,1),2)-1)/7)+1,MOD(26+WEEKDAY(DATE(PlanYear,2,1),2)-1,7)+1)=AF$5,", "&amp;27,"")&amp;IF(INDEX($I$9:$O$19,2*INT((27+WEEKDAY(DATE(PlanYear,2,1),2)-1)/7)+1,MOD(27+WEEKDAY(DATE(PlanYear,2,1),2)-1,7)+1)=AF$5,", "&amp;28,"")&amp;IF(INDEX($I$9:$O$19,2*INT((28+WEEKDAY(DATE(PlanYear,2,1),2)-1)/7)+1,MOD(28+WEEKDAY(DATE(PlanYear,2,1),2)-1,7)+1)=AF$5,", "&amp;29,"")&amp;IF(INDEX($I$9:$O$19,2*INT((29+WEEKDAY(DATE(PlanYear,2,1),2)-1)/7)+1,MOD(29+WEEKDAY(DATE(PlanYear,2,1),2)-1,7)+1)=AF$5,", "&amp;30,"")&amp;IF(INDEX($I$9:$O$19,2*INT((30+WEEKDAY(DATE(PlanYear,2,1),2)-1)/7)+1,MOD(30+WEEKDAY(DATE(PlanYear,2,1),2)-1,7)+1)=AF$5,", "&amp;31,""),3,200))</f>
        <v/>
      </c>
      <c r="AG7" s="16">
        <f>IF(AG$5="","",MID(IF(INDEX($I$9:$O$19,2*INT((0+WEEKDAY(DATE(PlanYear,2,1),2)-1)/7)+1,MOD(0+WEEKDAY(DATE(PlanYear,2,1),2)-1,7)+1)=AG$5,", "&amp;1,"")&amp;IF(INDEX($I$9:$O$19,2*INT((1+WEEKDAY(DATE(PlanYear,2,1),2)-1)/7)+1,MOD(1+WEEKDAY(DATE(PlanYear,2,1),2)-1,7)+1)=AG$5,", "&amp;2,"")&amp;IF(INDEX($I$9:$O$19,2*INT((2+WEEKDAY(DATE(PlanYear,2,1),2)-1)/7)+1,MOD(2+WEEKDAY(DATE(PlanYear,2,1),2)-1,7)+1)=AG$5,", "&amp;3,"")&amp;IF(INDEX($I$9:$O$19,2*INT((3+WEEKDAY(DATE(PlanYear,2,1),2)-1)/7)+1,MOD(3+WEEKDAY(DATE(PlanYear,2,1),2)-1,7)+1)=AG$5,", "&amp;4,"")&amp;IF(INDEX($I$9:$O$19,2*INT((4+WEEKDAY(DATE(PlanYear,2,1),2)-1)/7)+1,MOD(4+WEEKDAY(DATE(PlanYear,2,1),2)-1,7)+1)=AG$5,", "&amp;5,"")&amp;IF(INDEX($I$9:$O$19,2*INT((5+WEEKDAY(DATE(PlanYear,2,1),2)-1)/7)+1,MOD(5+WEEKDAY(DATE(PlanYear,2,1),2)-1,7)+1)=AG$5,", "&amp;6,"")&amp;IF(INDEX($I$9:$O$19,2*INT((6+WEEKDAY(DATE(PlanYear,2,1),2)-1)/7)+1,MOD(6+WEEKDAY(DATE(PlanYear,2,1),2)-1,7)+1)=AG$5,", "&amp;7,"")&amp;IF(INDEX($I$9:$O$19,2*INT((7+WEEKDAY(DATE(PlanYear,2,1),2)-1)/7)+1,MOD(7+WEEKDAY(DATE(PlanYear,2,1),2)-1,7)+1)=AG$5,", "&amp;8,"")&amp;IF(INDEX($I$9:$O$19,2*INT((8+WEEKDAY(DATE(PlanYear,2,1),2)-1)/7)+1,MOD(8+WEEKDAY(DATE(PlanYear,2,1),2)-1,7)+1)=AG$5,", "&amp;9,"")&amp;IF(INDEX($I$9:$O$19,2*INT((9+WEEKDAY(DATE(PlanYear,2,1),2)-1)/7)+1,MOD(9+WEEKDAY(DATE(PlanYear,2,1),2)-1,7)+1)=AG$5,", "&amp;10,"")&amp;IF(INDEX($I$9:$O$19,2*INT((10+WEEKDAY(DATE(PlanYear,2,1),2)-1)/7)+1,MOD(10+WEEKDAY(DATE(PlanYear,2,1),2)-1,7)+1)=AG$5,", "&amp;11,"")&amp;IF(INDEX($I$9:$O$19,2*INT((11+WEEKDAY(DATE(PlanYear,2,1),2)-1)/7)+1,MOD(11+WEEKDAY(DATE(PlanYear,2,1),2)-1,7)+1)=AG$5,", "&amp;12,"")&amp;IF(INDEX($I$9:$O$19,2*INT((12+WEEKDAY(DATE(PlanYear,2,1),2)-1)/7)+1,MOD(12+WEEKDAY(DATE(PlanYear,2,1),2)-1,7)+1)=AG$5,", "&amp;13,"")&amp;IF(INDEX($I$9:$O$19,2*INT((13+WEEKDAY(DATE(PlanYear,2,1),2)-1)/7)+1,MOD(13+WEEKDAY(DATE(PlanYear,2,1),2)-1,7)+1)=AG$5,", "&amp;14,"")&amp;IF(INDEX($I$9:$O$19,2*INT((14+WEEKDAY(DATE(PlanYear,2,1),2)-1)/7)+1,MOD(14+WEEKDAY(DATE(PlanYear,2,1),2)-1,7)+1)=AG$5,", "&amp;15,"")&amp;IF(INDEX($I$9:$O$19,2*INT((15+WEEKDAY(DATE(PlanYear,2,1),2)-1)/7)+1,MOD(15+WEEKDAY(DATE(PlanYear,2,1),2)-1,7)+1)=AG$5,", "&amp;16,"")&amp;IF(INDEX($I$9:$O$19,2*INT((16+WEEKDAY(DATE(PlanYear,2,1),2)-1)/7)+1,MOD(16+WEEKDAY(DATE(PlanYear,2,1),2)-1,7)+1)=AG$5,", "&amp;17,"")&amp;IF(INDEX($I$9:$O$19,2*INT((17+WEEKDAY(DATE(PlanYear,2,1),2)-1)/7)+1,MOD(17+WEEKDAY(DATE(PlanYear,2,1),2)-1,7)+1)=AG$5,", "&amp;18,"")&amp;IF(INDEX($I$9:$O$19,2*INT((18+WEEKDAY(DATE(PlanYear,2,1),2)-1)/7)+1,MOD(18+WEEKDAY(DATE(PlanYear,2,1),2)-1,7)+1)=AG$5,", "&amp;19,"")&amp;IF(INDEX($I$9:$O$19,2*INT((19+WEEKDAY(DATE(PlanYear,2,1),2)-1)/7)+1,MOD(19+WEEKDAY(DATE(PlanYear,2,1),2)-1,7)+1)=AG$5,", "&amp;20,"")&amp;IF(INDEX($I$9:$O$19,2*INT((20+WEEKDAY(DATE(PlanYear,2,1),2)-1)/7)+1,MOD(20+WEEKDAY(DATE(PlanYear,2,1),2)-1,7)+1)=AG$5,", "&amp;21,"")&amp;IF(INDEX($I$9:$O$19,2*INT((21+WEEKDAY(DATE(PlanYear,2,1),2)-1)/7)+1,MOD(21+WEEKDAY(DATE(PlanYear,2,1),2)-1,7)+1)=AG$5,", "&amp;22,"")&amp;IF(INDEX($I$9:$O$19,2*INT((22+WEEKDAY(DATE(PlanYear,2,1),2)-1)/7)+1,MOD(22+WEEKDAY(DATE(PlanYear,2,1),2)-1,7)+1)=AG$5,", "&amp;23,"")&amp;IF(INDEX($I$9:$O$19,2*INT((23+WEEKDAY(DATE(PlanYear,2,1),2)-1)/7)+1,MOD(23+WEEKDAY(DATE(PlanYear,2,1),2)-1,7)+1)=AG$5,", "&amp;24,"")&amp;IF(INDEX($I$9:$O$19,2*INT((24+WEEKDAY(DATE(PlanYear,2,1),2)-1)/7)+1,MOD(24+WEEKDAY(DATE(PlanYear,2,1),2)-1,7)+1)=AG$5,", "&amp;25,"")&amp;IF(INDEX($I$9:$O$19,2*INT((25+WEEKDAY(DATE(PlanYear,2,1),2)-1)/7)+1,MOD(25+WEEKDAY(DATE(PlanYear,2,1),2)-1,7)+1)=AG$5,", "&amp;26,"")&amp;IF(INDEX($I$9:$O$19,2*INT((26+WEEKDAY(DATE(PlanYear,2,1),2)-1)/7)+1,MOD(26+WEEKDAY(DATE(PlanYear,2,1),2)-1,7)+1)=AG$5,", "&amp;27,"")&amp;IF(INDEX($I$9:$O$19,2*INT((27+WEEKDAY(DATE(PlanYear,2,1),2)-1)/7)+1,MOD(27+WEEKDAY(DATE(PlanYear,2,1),2)-1,7)+1)=AG$5,", "&amp;28,"")&amp;IF(INDEX($I$9:$O$19,2*INT((28+WEEKDAY(DATE(PlanYear,2,1),2)-1)/7)+1,MOD(28+WEEKDAY(DATE(PlanYear,2,1),2)-1,7)+1)=AG$5,", "&amp;29,"")&amp;IF(INDEX($I$9:$O$19,2*INT((29+WEEKDAY(DATE(PlanYear,2,1),2)-1)/7)+1,MOD(29+WEEKDAY(DATE(PlanYear,2,1),2)-1,7)+1)=AG$5,", "&amp;30,"")&amp;IF(INDEX($I$9:$O$19,2*INT((30+WEEKDAY(DATE(PlanYear,2,1),2)-1)/7)+1,MOD(30+WEEKDAY(DATE(PlanYear,2,1),2)-1,7)+1)=AG$5,", "&amp;31,""),3,200))</f>
        <v/>
      </c>
      <c r="AH7" s="16">
        <f>IF(AH$5="","",MID(IF(INDEX($I$9:$O$19,2*INT((0+WEEKDAY(DATE(PlanYear,2,1),2)-1)/7)+1,MOD(0+WEEKDAY(DATE(PlanYear,2,1),2)-1,7)+1)=AH$5,", "&amp;1,"")&amp;IF(INDEX($I$9:$O$19,2*INT((1+WEEKDAY(DATE(PlanYear,2,1),2)-1)/7)+1,MOD(1+WEEKDAY(DATE(PlanYear,2,1),2)-1,7)+1)=AH$5,", "&amp;2,"")&amp;IF(INDEX($I$9:$O$19,2*INT((2+WEEKDAY(DATE(PlanYear,2,1),2)-1)/7)+1,MOD(2+WEEKDAY(DATE(PlanYear,2,1),2)-1,7)+1)=AH$5,", "&amp;3,"")&amp;IF(INDEX($I$9:$O$19,2*INT((3+WEEKDAY(DATE(PlanYear,2,1),2)-1)/7)+1,MOD(3+WEEKDAY(DATE(PlanYear,2,1),2)-1,7)+1)=AH$5,", "&amp;4,"")&amp;IF(INDEX($I$9:$O$19,2*INT((4+WEEKDAY(DATE(PlanYear,2,1),2)-1)/7)+1,MOD(4+WEEKDAY(DATE(PlanYear,2,1),2)-1,7)+1)=AH$5,", "&amp;5,"")&amp;IF(INDEX($I$9:$O$19,2*INT((5+WEEKDAY(DATE(PlanYear,2,1),2)-1)/7)+1,MOD(5+WEEKDAY(DATE(PlanYear,2,1),2)-1,7)+1)=AH$5,", "&amp;6,"")&amp;IF(INDEX($I$9:$O$19,2*INT((6+WEEKDAY(DATE(PlanYear,2,1),2)-1)/7)+1,MOD(6+WEEKDAY(DATE(PlanYear,2,1),2)-1,7)+1)=AH$5,", "&amp;7,"")&amp;IF(INDEX($I$9:$O$19,2*INT((7+WEEKDAY(DATE(PlanYear,2,1),2)-1)/7)+1,MOD(7+WEEKDAY(DATE(PlanYear,2,1),2)-1,7)+1)=AH$5,", "&amp;8,"")&amp;IF(INDEX($I$9:$O$19,2*INT((8+WEEKDAY(DATE(PlanYear,2,1),2)-1)/7)+1,MOD(8+WEEKDAY(DATE(PlanYear,2,1),2)-1,7)+1)=AH$5,", "&amp;9,"")&amp;IF(INDEX($I$9:$O$19,2*INT((9+WEEKDAY(DATE(PlanYear,2,1),2)-1)/7)+1,MOD(9+WEEKDAY(DATE(PlanYear,2,1),2)-1,7)+1)=AH$5,", "&amp;10,"")&amp;IF(INDEX($I$9:$O$19,2*INT((10+WEEKDAY(DATE(PlanYear,2,1),2)-1)/7)+1,MOD(10+WEEKDAY(DATE(PlanYear,2,1),2)-1,7)+1)=AH$5,", "&amp;11,"")&amp;IF(INDEX($I$9:$O$19,2*INT((11+WEEKDAY(DATE(PlanYear,2,1),2)-1)/7)+1,MOD(11+WEEKDAY(DATE(PlanYear,2,1),2)-1,7)+1)=AH$5,", "&amp;12,"")&amp;IF(INDEX($I$9:$O$19,2*INT((12+WEEKDAY(DATE(PlanYear,2,1),2)-1)/7)+1,MOD(12+WEEKDAY(DATE(PlanYear,2,1),2)-1,7)+1)=AH$5,", "&amp;13,"")&amp;IF(INDEX($I$9:$O$19,2*INT((13+WEEKDAY(DATE(PlanYear,2,1),2)-1)/7)+1,MOD(13+WEEKDAY(DATE(PlanYear,2,1),2)-1,7)+1)=AH$5,", "&amp;14,"")&amp;IF(INDEX($I$9:$O$19,2*INT((14+WEEKDAY(DATE(PlanYear,2,1),2)-1)/7)+1,MOD(14+WEEKDAY(DATE(PlanYear,2,1),2)-1,7)+1)=AH$5,", "&amp;15,"")&amp;IF(INDEX($I$9:$O$19,2*INT((15+WEEKDAY(DATE(PlanYear,2,1),2)-1)/7)+1,MOD(15+WEEKDAY(DATE(PlanYear,2,1),2)-1,7)+1)=AH$5,", "&amp;16,"")&amp;IF(INDEX($I$9:$O$19,2*INT((16+WEEKDAY(DATE(PlanYear,2,1),2)-1)/7)+1,MOD(16+WEEKDAY(DATE(PlanYear,2,1),2)-1,7)+1)=AH$5,", "&amp;17,"")&amp;IF(INDEX($I$9:$O$19,2*INT((17+WEEKDAY(DATE(PlanYear,2,1),2)-1)/7)+1,MOD(17+WEEKDAY(DATE(PlanYear,2,1),2)-1,7)+1)=AH$5,", "&amp;18,"")&amp;IF(INDEX($I$9:$O$19,2*INT((18+WEEKDAY(DATE(PlanYear,2,1),2)-1)/7)+1,MOD(18+WEEKDAY(DATE(PlanYear,2,1),2)-1,7)+1)=AH$5,", "&amp;19,"")&amp;IF(INDEX($I$9:$O$19,2*INT((19+WEEKDAY(DATE(PlanYear,2,1),2)-1)/7)+1,MOD(19+WEEKDAY(DATE(PlanYear,2,1),2)-1,7)+1)=AH$5,", "&amp;20,"")&amp;IF(INDEX($I$9:$O$19,2*INT((20+WEEKDAY(DATE(PlanYear,2,1),2)-1)/7)+1,MOD(20+WEEKDAY(DATE(PlanYear,2,1),2)-1,7)+1)=AH$5,", "&amp;21,"")&amp;IF(INDEX($I$9:$O$19,2*INT((21+WEEKDAY(DATE(PlanYear,2,1),2)-1)/7)+1,MOD(21+WEEKDAY(DATE(PlanYear,2,1),2)-1,7)+1)=AH$5,", "&amp;22,"")&amp;IF(INDEX($I$9:$O$19,2*INT((22+WEEKDAY(DATE(PlanYear,2,1),2)-1)/7)+1,MOD(22+WEEKDAY(DATE(PlanYear,2,1),2)-1,7)+1)=AH$5,", "&amp;23,"")&amp;IF(INDEX($I$9:$O$19,2*INT((23+WEEKDAY(DATE(PlanYear,2,1),2)-1)/7)+1,MOD(23+WEEKDAY(DATE(PlanYear,2,1),2)-1,7)+1)=AH$5,", "&amp;24,"")&amp;IF(INDEX($I$9:$O$19,2*INT((24+WEEKDAY(DATE(PlanYear,2,1),2)-1)/7)+1,MOD(24+WEEKDAY(DATE(PlanYear,2,1),2)-1,7)+1)=AH$5,", "&amp;25,"")&amp;IF(INDEX($I$9:$O$19,2*INT((25+WEEKDAY(DATE(PlanYear,2,1),2)-1)/7)+1,MOD(25+WEEKDAY(DATE(PlanYear,2,1),2)-1,7)+1)=AH$5,", "&amp;26,"")&amp;IF(INDEX($I$9:$O$19,2*INT((26+WEEKDAY(DATE(PlanYear,2,1),2)-1)/7)+1,MOD(26+WEEKDAY(DATE(PlanYear,2,1),2)-1,7)+1)=AH$5,", "&amp;27,"")&amp;IF(INDEX($I$9:$O$19,2*INT((27+WEEKDAY(DATE(PlanYear,2,1),2)-1)/7)+1,MOD(27+WEEKDAY(DATE(PlanYear,2,1),2)-1,7)+1)=AH$5,", "&amp;28,"")&amp;IF(INDEX($I$9:$O$19,2*INT((28+WEEKDAY(DATE(PlanYear,2,1),2)-1)/7)+1,MOD(28+WEEKDAY(DATE(PlanYear,2,1),2)-1,7)+1)=AH$5,", "&amp;29,"")&amp;IF(INDEX($I$9:$O$19,2*INT((29+WEEKDAY(DATE(PlanYear,2,1),2)-1)/7)+1,MOD(29+WEEKDAY(DATE(PlanYear,2,1),2)-1,7)+1)=AH$5,", "&amp;30,"")&amp;IF(INDEX($I$9:$O$19,2*INT((30+WEEKDAY(DATE(PlanYear,2,1),2)-1)/7)+1,MOD(30+WEEKDAY(DATE(PlanYear,2,1),2)-1,7)+1)=AH$5,", "&amp;31,""),3,200))</f>
        <v/>
      </c>
      <c r="AI7" s="16">
        <f>IF(AI$5="","",MID(IF(INDEX($I$9:$O$19,2*INT((0+WEEKDAY(DATE(PlanYear,2,1),2)-1)/7)+1,MOD(0+WEEKDAY(DATE(PlanYear,2,1),2)-1,7)+1)=AI$5,", "&amp;1,"")&amp;IF(INDEX($I$9:$O$19,2*INT((1+WEEKDAY(DATE(PlanYear,2,1),2)-1)/7)+1,MOD(1+WEEKDAY(DATE(PlanYear,2,1),2)-1,7)+1)=AI$5,", "&amp;2,"")&amp;IF(INDEX($I$9:$O$19,2*INT((2+WEEKDAY(DATE(PlanYear,2,1),2)-1)/7)+1,MOD(2+WEEKDAY(DATE(PlanYear,2,1),2)-1,7)+1)=AI$5,", "&amp;3,"")&amp;IF(INDEX($I$9:$O$19,2*INT((3+WEEKDAY(DATE(PlanYear,2,1),2)-1)/7)+1,MOD(3+WEEKDAY(DATE(PlanYear,2,1),2)-1,7)+1)=AI$5,", "&amp;4,"")&amp;IF(INDEX($I$9:$O$19,2*INT((4+WEEKDAY(DATE(PlanYear,2,1),2)-1)/7)+1,MOD(4+WEEKDAY(DATE(PlanYear,2,1),2)-1,7)+1)=AI$5,", "&amp;5,"")&amp;IF(INDEX($I$9:$O$19,2*INT((5+WEEKDAY(DATE(PlanYear,2,1),2)-1)/7)+1,MOD(5+WEEKDAY(DATE(PlanYear,2,1),2)-1,7)+1)=AI$5,", "&amp;6,"")&amp;IF(INDEX($I$9:$O$19,2*INT((6+WEEKDAY(DATE(PlanYear,2,1),2)-1)/7)+1,MOD(6+WEEKDAY(DATE(PlanYear,2,1),2)-1,7)+1)=AI$5,", "&amp;7,"")&amp;IF(INDEX($I$9:$O$19,2*INT((7+WEEKDAY(DATE(PlanYear,2,1),2)-1)/7)+1,MOD(7+WEEKDAY(DATE(PlanYear,2,1),2)-1,7)+1)=AI$5,", "&amp;8,"")&amp;IF(INDEX($I$9:$O$19,2*INT((8+WEEKDAY(DATE(PlanYear,2,1),2)-1)/7)+1,MOD(8+WEEKDAY(DATE(PlanYear,2,1),2)-1,7)+1)=AI$5,", "&amp;9,"")&amp;IF(INDEX($I$9:$O$19,2*INT((9+WEEKDAY(DATE(PlanYear,2,1),2)-1)/7)+1,MOD(9+WEEKDAY(DATE(PlanYear,2,1),2)-1,7)+1)=AI$5,", "&amp;10,"")&amp;IF(INDEX($I$9:$O$19,2*INT((10+WEEKDAY(DATE(PlanYear,2,1),2)-1)/7)+1,MOD(10+WEEKDAY(DATE(PlanYear,2,1),2)-1,7)+1)=AI$5,", "&amp;11,"")&amp;IF(INDEX($I$9:$O$19,2*INT((11+WEEKDAY(DATE(PlanYear,2,1),2)-1)/7)+1,MOD(11+WEEKDAY(DATE(PlanYear,2,1),2)-1,7)+1)=AI$5,", "&amp;12,"")&amp;IF(INDEX($I$9:$O$19,2*INT((12+WEEKDAY(DATE(PlanYear,2,1),2)-1)/7)+1,MOD(12+WEEKDAY(DATE(PlanYear,2,1),2)-1,7)+1)=AI$5,", "&amp;13,"")&amp;IF(INDEX($I$9:$O$19,2*INT((13+WEEKDAY(DATE(PlanYear,2,1),2)-1)/7)+1,MOD(13+WEEKDAY(DATE(PlanYear,2,1),2)-1,7)+1)=AI$5,", "&amp;14,"")&amp;IF(INDEX($I$9:$O$19,2*INT((14+WEEKDAY(DATE(PlanYear,2,1),2)-1)/7)+1,MOD(14+WEEKDAY(DATE(PlanYear,2,1),2)-1,7)+1)=AI$5,", "&amp;15,"")&amp;IF(INDEX($I$9:$O$19,2*INT((15+WEEKDAY(DATE(PlanYear,2,1),2)-1)/7)+1,MOD(15+WEEKDAY(DATE(PlanYear,2,1),2)-1,7)+1)=AI$5,", "&amp;16,"")&amp;IF(INDEX($I$9:$O$19,2*INT((16+WEEKDAY(DATE(PlanYear,2,1),2)-1)/7)+1,MOD(16+WEEKDAY(DATE(PlanYear,2,1),2)-1,7)+1)=AI$5,", "&amp;17,"")&amp;IF(INDEX($I$9:$O$19,2*INT((17+WEEKDAY(DATE(PlanYear,2,1),2)-1)/7)+1,MOD(17+WEEKDAY(DATE(PlanYear,2,1),2)-1,7)+1)=AI$5,", "&amp;18,"")&amp;IF(INDEX($I$9:$O$19,2*INT((18+WEEKDAY(DATE(PlanYear,2,1),2)-1)/7)+1,MOD(18+WEEKDAY(DATE(PlanYear,2,1),2)-1,7)+1)=AI$5,", "&amp;19,"")&amp;IF(INDEX($I$9:$O$19,2*INT((19+WEEKDAY(DATE(PlanYear,2,1),2)-1)/7)+1,MOD(19+WEEKDAY(DATE(PlanYear,2,1),2)-1,7)+1)=AI$5,", "&amp;20,"")&amp;IF(INDEX($I$9:$O$19,2*INT((20+WEEKDAY(DATE(PlanYear,2,1),2)-1)/7)+1,MOD(20+WEEKDAY(DATE(PlanYear,2,1),2)-1,7)+1)=AI$5,", "&amp;21,"")&amp;IF(INDEX($I$9:$O$19,2*INT((21+WEEKDAY(DATE(PlanYear,2,1),2)-1)/7)+1,MOD(21+WEEKDAY(DATE(PlanYear,2,1),2)-1,7)+1)=AI$5,", "&amp;22,"")&amp;IF(INDEX($I$9:$O$19,2*INT((22+WEEKDAY(DATE(PlanYear,2,1),2)-1)/7)+1,MOD(22+WEEKDAY(DATE(PlanYear,2,1),2)-1,7)+1)=AI$5,", "&amp;23,"")&amp;IF(INDEX($I$9:$O$19,2*INT((23+WEEKDAY(DATE(PlanYear,2,1),2)-1)/7)+1,MOD(23+WEEKDAY(DATE(PlanYear,2,1),2)-1,7)+1)=AI$5,", "&amp;24,"")&amp;IF(INDEX($I$9:$O$19,2*INT((24+WEEKDAY(DATE(PlanYear,2,1),2)-1)/7)+1,MOD(24+WEEKDAY(DATE(PlanYear,2,1),2)-1,7)+1)=AI$5,", "&amp;25,"")&amp;IF(INDEX($I$9:$O$19,2*INT((25+WEEKDAY(DATE(PlanYear,2,1),2)-1)/7)+1,MOD(25+WEEKDAY(DATE(PlanYear,2,1),2)-1,7)+1)=AI$5,", "&amp;26,"")&amp;IF(INDEX($I$9:$O$19,2*INT((26+WEEKDAY(DATE(PlanYear,2,1),2)-1)/7)+1,MOD(26+WEEKDAY(DATE(PlanYear,2,1),2)-1,7)+1)=AI$5,", "&amp;27,"")&amp;IF(INDEX($I$9:$O$19,2*INT((27+WEEKDAY(DATE(PlanYear,2,1),2)-1)/7)+1,MOD(27+WEEKDAY(DATE(PlanYear,2,1),2)-1,7)+1)=AI$5,", "&amp;28,"")&amp;IF(INDEX($I$9:$O$19,2*INT((28+WEEKDAY(DATE(PlanYear,2,1),2)-1)/7)+1,MOD(28+WEEKDAY(DATE(PlanYear,2,1),2)-1,7)+1)=AI$5,", "&amp;29,"")&amp;IF(INDEX($I$9:$O$19,2*INT((29+WEEKDAY(DATE(PlanYear,2,1),2)-1)/7)+1,MOD(29+WEEKDAY(DATE(PlanYear,2,1),2)-1,7)+1)=AI$5,", "&amp;30,"")&amp;IF(INDEX($I$9:$O$19,2*INT((30+WEEKDAY(DATE(PlanYear,2,1),2)-1)/7)+1,MOD(30+WEEKDAY(DATE(PlanYear,2,1),2)-1,7)+1)=AI$5,", "&amp;31,""),3,200))</f>
        <v/>
      </c>
      <c r="AJ7" s="16">
        <f>IF(AJ$5="","",MID(IF(INDEX($I$9:$O$19,2*INT((0+WEEKDAY(DATE(PlanYear,2,1),2)-1)/7)+1,MOD(0+WEEKDAY(DATE(PlanYear,2,1),2)-1,7)+1)=AJ$5,", "&amp;1,"")&amp;IF(INDEX($I$9:$O$19,2*INT((1+WEEKDAY(DATE(PlanYear,2,1),2)-1)/7)+1,MOD(1+WEEKDAY(DATE(PlanYear,2,1),2)-1,7)+1)=AJ$5,", "&amp;2,"")&amp;IF(INDEX($I$9:$O$19,2*INT((2+WEEKDAY(DATE(PlanYear,2,1),2)-1)/7)+1,MOD(2+WEEKDAY(DATE(PlanYear,2,1),2)-1,7)+1)=AJ$5,", "&amp;3,"")&amp;IF(INDEX($I$9:$O$19,2*INT((3+WEEKDAY(DATE(PlanYear,2,1),2)-1)/7)+1,MOD(3+WEEKDAY(DATE(PlanYear,2,1),2)-1,7)+1)=AJ$5,", "&amp;4,"")&amp;IF(INDEX($I$9:$O$19,2*INT((4+WEEKDAY(DATE(PlanYear,2,1),2)-1)/7)+1,MOD(4+WEEKDAY(DATE(PlanYear,2,1),2)-1,7)+1)=AJ$5,", "&amp;5,"")&amp;IF(INDEX($I$9:$O$19,2*INT((5+WEEKDAY(DATE(PlanYear,2,1),2)-1)/7)+1,MOD(5+WEEKDAY(DATE(PlanYear,2,1),2)-1,7)+1)=AJ$5,", "&amp;6,"")&amp;IF(INDEX($I$9:$O$19,2*INT((6+WEEKDAY(DATE(PlanYear,2,1),2)-1)/7)+1,MOD(6+WEEKDAY(DATE(PlanYear,2,1),2)-1,7)+1)=AJ$5,", "&amp;7,"")&amp;IF(INDEX($I$9:$O$19,2*INT((7+WEEKDAY(DATE(PlanYear,2,1),2)-1)/7)+1,MOD(7+WEEKDAY(DATE(PlanYear,2,1),2)-1,7)+1)=AJ$5,", "&amp;8,"")&amp;IF(INDEX($I$9:$O$19,2*INT((8+WEEKDAY(DATE(PlanYear,2,1),2)-1)/7)+1,MOD(8+WEEKDAY(DATE(PlanYear,2,1),2)-1,7)+1)=AJ$5,", "&amp;9,"")&amp;IF(INDEX($I$9:$O$19,2*INT((9+WEEKDAY(DATE(PlanYear,2,1),2)-1)/7)+1,MOD(9+WEEKDAY(DATE(PlanYear,2,1),2)-1,7)+1)=AJ$5,", "&amp;10,"")&amp;IF(INDEX($I$9:$O$19,2*INT((10+WEEKDAY(DATE(PlanYear,2,1),2)-1)/7)+1,MOD(10+WEEKDAY(DATE(PlanYear,2,1),2)-1,7)+1)=AJ$5,", "&amp;11,"")&amp;IF(INDEX($I$9:$O$19,2*INT((11+WEEKDAY(DATE(PlanYear,2,1),2)-1)/7)+1,MOD(11+WEEKDAY(DATE(PlanYear,2,1),2)-1,7)+1)=AJ$5,", "&amp;12,"")&amp;IF(INDEX($I$9:$O$19,2*INT((12+WEEKDAY(DATE(PlanYear,2,1),2)-1)/7)+1,MOD(12+WEEKDAY(DATE(PlanYear,2,1),2)-1,7)+1)=AJ$5,", "&amp;13,"")&amp;IF(INDEX($I$9:$O$19,2*INT((13+WEEKDAY(DATE(PlanYear,2,1),2)-1)/7)+1,MOD(13+WEEKDAY(DATE(PlanYear,2,1),2)-1,7)+1)=AJ$5,", "&amp;14,"")&amp;IF(INDEX($I$9:$O$19,2*INT((14+WEEKDAY(DATE(PlanYear,2,1),2)-1)/7)+1,MOD(14+WEEKDAY(DATE(PlanYear,2,1),2)-1,7)+1)=AJ$5,", "&amp;15,"")&amp;IF(INDEX($I$9:$O$19,2*INT((15+WEEKDAY(DATE(PlanYear,2,1),2)-1)/7)+1,MOD(15+WEEKDAY(DATE(PlanYear,2,1),2)-1,7)+1)=AJ$5,", "&amp;16,"")&amp;IF(INDEX($I$9:$O$19,2*INT((16+WEEKDAY(DATE(PlanYear,2,1),2)-1)/7)+1,MOD(16+WEEKDAY(DATE(PlanYear,2,1),2)-1,7)+1)=AJ$5,", "&amp;17,"")&amp;IF(INDEX($I$9:$O$19,2*INT((17+WEEKDAY(DATE(PlanYear,2,1),2)-1)/7)+1,MOD(17+WEEKDAY(DATE(PlanYear,2,1),2)-1,7)+1)=AJ$5,", "&amp;18,"")&amp;IF(INDEX($I$9:$O$19,2*INT((18+WEEKDAY(DATE(PlanYear,2,1),2)-1)/7)+1,MOD(18+WEEKDAY(DATE(PlanYear,2,1),2)-1,7)+1)=AJ$5,", "&amp;19,"")&amp;IF(INDEX($I$9:$O$19,2*INT((19+WEEKDAY(DATE(PlanYear,2,1),2)-1)/7)+1,MOD(19+WEEKDAY(DATE(PlanYear,2,1),2)-1,7)+1)=AJ$5,", "&amp;20,"")&amp;IF(INDEX($I$9:$O$19,2*INT((20+WEEKDAY(DATE(PlanYear,2,1),2)-1)/7)+1,MOD(20+WEEKDAY(DATE(PlanYear,2,1),2)-1,7)+1)=AJ$5,", "&amp;21,"")&amp;IF(INDEX($I$9:$O$19,2*INT((21+WEEKDAY(DATE(PlanYear,2,1),2)-1)/7)+1,MOD(21+WEEKDAY(DATE(PlanYear,2,1),2)-1,7)+1)=AJ$5,", "&amp;22,"")&amp;IF(INDEX($I$9:$O$19,2*INT((22+WEEKDAY(DATE(PlanYear,2,1),2)-1)/7)+1,MOD(22+WEEKDAY(DATE(PlanYear,2,1),2)-1,7)+1)=AJ$5,", "&amp;23,"")&amp;IF(INDEX($I$9:$O$19,2*INT((23+WEEKDAY(DATE(PlanYear,2,1),2)-1)/7)+1,MOD(23+WEEKDAY(DATE(PlanYear,2,1),2)-1,7)+1)=AJ$5,", "&amp;24,"")&amp;IF(INDEX($I$9:$O$19,2*INT((24+WEEKDAY(DATE(PlanYear,2,1),2)-1)/7)+1,MOD(24+WEEKDAY(DATE(PlanYear,2,1),2)-1,7)+1)=AJ$5,", "&amp;25,"")&amp;IF(INDEX($I$9:$O$19,2*INT((25+WEEKDAY(DATE(PlanYear,2,1),2)-1)/7)+1,MOD(25+WEEKDAY(DATE(PlanYear,2,1),2)-1,7)+1)=AJ$5,", "&amp;26,"")&amp;IF(INDEX($I$9:$O$19,2*INT((26+WEEKDAY(DATE(PlanYear,2,1),2)-1)/7)+1,MOD(26+WEEKDAY(DATE(PlanYear,2,1),2)-1,7)+1)=AJ$5,", "&amp;27,"")&amp;IF(INDEX($I$9:$O$19,2*INT((27+WEEKDAY(DATE(PlanYear,2,1),2)-1)/7)+1,MOD(27+WEEKDAY(DATE(PlanYear,2,1),2)-1,7)+1)=AJ$5,", "&amp;28,"")&amp;IF(INDEX($I$9:$O$19,2*INT((28+WEEKDAY(DATE(PlanYear,2,1),2)-1)/7)+1,MOD(28+WEEKDAY(DATE(PlanYear,2,1),2)-1,7)+1)=AJ$5,", "&amp;29,"")&amp;IF(INDEX($I$9:$O$19,2*INT((29+WEEKDAY(DATE(PlanYear,2,1),2)-1)/7)+1,MOD(29+WEEKDAY(DATE(PlanYear,2,1),2)-1,7)+1)=AJ$5,", "&amp;30,"")&amp;IF(INDEX($I$9:$O$19,2*INT((30+WEEKDAY(DATE(PlanYear,2,1),2)-1)/7)+1,MOD(30+WEEKDAY(DATE(PlanYear,2,1),2)-1,7)+1)=AJ$5,", "&amp;31,""),3,200))</f>
        <v/>
      </c>
      <c r="AK7" s="17">
        <f>DAY(EOMONTH(DATE(PlanYear,2,1),0))-COUNTIF($I$9:$O$19,"?*")</f>
        <v/>
      </c>
    </row>
    <row r="8" ht="26" customHeight="1">
      <c r="A8" s="20">
        <f>IF(AND(1-(WEEKDAY(DATE(PlanYear,1,1),2)-1)&gt;=1,1-(WEEKDAY(DATE(PlanYear,1,1),2)-1)&lt;=DAY(EOMONTH(DATE(PlanYear,1,1),0))),DATE(PlanYear,1,1)+1-WEEKDAY(DATE(PlanYear,1,1),2),"")</f>
        <v/>
      </c>
      <c r="B8" s="20">
        <f>IF(AND(2-(WEEKDAY(DATE(PlanYear,1,1),2)-1)&gt;=1,2-(WEEKDAY(DATE(PlanYear,1,1),2)-1)&lt;=DAY(EOMONTH(DATE(PlanYear,1,1),0))),DATE(PlanYear,1,1)+2-WEEKDAY(DATE(PlanYear,1,1),2),"")</f>
        <v/>
      </c>
      <c r="C8" s="20">
        <f>IF(AND(3-(WEEKDAY(DATE(PlanYear,1,1),2)-1)&gt;=1,3-(WEEKDAY(DATE(PlanYear,1,1),2)-1)&lt;=DAY(EOMONTH(DATE(PlanYear,1,1),0))),DATE(PlanYear,1,1)+3-WEEKDAY(DATE(PlanYear,1,1),2),"")</f>
        <v/>
      </c>
      <c r="D8" s="20">
        <f>IF(AND(4-(WEEKDAY(DATE(PlanYear,1,1),2)-1)&gt;=1,4-(WEEKDAY(DATE(PlanYear,1,1),2)-1)&lt;=DAY(EOMONTH(DATE(PlanYear,1,1),0))),DATE(PlanYear,1,1)+4-WEEKDAY(DATE(PlanYear,1,1),2),"")</f>
        <v/>
      </c>
      <c r="E8" s="20">
        <f>IF(AND(5-(WEEKDAY(DATE(PlanYear,1,1),2)-1)&gt;=1,5-(WEEKDAY(DATE(PlanYear,1,1),2)-1)&lt;=DAY(EOMONTH(DATE(PlanYear,1,1),0))),DATE(PlanYear,1,1)+5-WEEKDAY(DATE(PlanYear,1,1),2),"")</f>
        <v/>
      </c>
      <c r="F8" s="20">
        <f>IF(AND(6-(WEEKDAY(DATE(PlanYear,1,1),2)-1)&gt;=1,6-(WEEKDAY(DATE(PlanYear,1,1),2)-1)&lt;=DAY(EOMONTH(DATE(PlanYear,1,1),0))),DATE(PlanYear,1,1)+6-WEEKDAY(DATE(PlanYear,1,1),2),"")</f>
        <v/>
      </c>
      <c r="G8" s="20">
        <f>IF(AND(7-(WEEKDAY(DATE(PlanYear,1,1),2)-1)&gt;=1,7-(WEEKDAY(DATE(PlanYear,1,1),2)-1)&lt;=DAY(EOMONTH(DATE(PlanYear,1,1),0))),DATE(PlanYear,1,1)+7-WEEKDAY(DATE(PlanYear,1,1),2),"")</f>
        <v/>
      </c>
      <c r="I8" s="20">
        <f>IF(AND(1-(WEEKDAY(DATE(PlanYear,2,1),2)-1)&gt;=1,1-(WEEKDAY(DATE(PlanYear,2,1),2)-1)&lt;=DAY(EOMONTH(DATE(PlanYear,2,1),0))),DATE(PlanYear,2,1)+1-WEEKDAY(DATE(PlanYear,2,1),2),"")</f>
        <v/>
      </c>
      <c r="J8" s="20">
        <f>IF(AND(2-(WEEKDAY(DATE(PlanYear,2,1),2)-1)&gt;=1,2-(WEEKDAY(DATE(PlanYear,2,1),2)-1)&lt;=DAY(EOMONTH(DATE(PlanYear,2,1),0))),DATE(PlanYear,2,1)+2-WEEKDAY(DATE(PlanYear,2,1),2),"")</f>
        <v/>
      </c>
      <c r="K8" s="20">
        <f>IF(AND(3-(WEEKDAY(DATE(PlanYear,2,1),2)-1)&gt;=1,3-(WEEKDAY(DATE(PlanYear,2,1),2)-1)&lt;=DAY(EOMONTH(DATE(PlanYear,2,1),0))),DATE(PlanYear,2,1)+3-WEEKDAY(DATE(PlanYear,2,1),2),"")</f>
        <v/>
      </c>
      <c r="L8" s="20">
        <f>IF(AND(4-(WEEKDAY(DATE(PlanYear,2,1),2)-1)&gt;=1,4-(WEEKDAY(DATE(PlanYear,2,1),2)-1)&lt;=DAY(EOMONTH(DATE(PlanYear,2,1),0))),DATE(PlanYear,2,1)+4-WEEKDAY(DATE(PlanYear,2,1),2),"")</f>
        <v/>
      </c>
      <c r="M8" s="20">
        <f>IF(AND(5-(WEEKDAY(DATE(PlanYear,2,1),2)-1)&gt;=1,5-(WEEKDAY(DATE(PlanYear,2,1),2)-1)&lt;=DAY(EOMONTH(DATE(PlanYear,2,1),0))),DATE(PlanYear,2,1)+5-WEEKDAY(DATE(PlanYear,2,1),2),"")</f>
        <v/>
      </c>
      <c r="N8" s="20">
        <f>IF(AND(6-(WEEKDAY(DATE(PlanYear,2,1),2)-1)&gt;=1,6-(WEEKDAY(DATE(PlanYear,2,1),2)-1)&lt;=DAY(EOMONTH(DATE(PlanYear,2,1),0))),DATE(PlanYear,2,1)+6-WEEKDAY(DATE(PlanYear,2,1),2),"")</f>
        <v/>
      </c>
      <c r="O8" s="20">
        <f>IF(AND(7-(WEEKDAY(DATE(PlanYear,2,1),2)-1)&gt;=1,7-(WEEKDAY(DATE(PlanYear,2,1),2)-1)&lt;=DAY(EOMONTH(DATE(PlanYear,2,1),0))),DATE(PlanYear,2,1)+7-WEEKDAY(DATE(PlanYear,2,1),2),"")</f>
        <v/>
      </c>
      <c r="Q8" s="20">
        <f>IF(AND(1-(WEEKDAY(DATE(PlanYear,3,1),2)-1)&gt;=1,1-(WEEKDAY(DATE(PlanYear,3,1),2)-1)&lt;=DAY(EOMONTH(DATE(PlanYear,3,1),0))),DATE(PlanYear,3,1)+1-WEEKDAY(DATE(PlanYear,3,1),2),"")</f>
        <v/>
      </c>
      <c r="R8" s="20">
        <f>IF(AND(2-(WEEKDAY(DATE(PlanYear,3,1),2)-1)&gt;=1,2-(WEEKDAY(DATE(PlanYear,3,1),2)-1)&lt;=DAY(EOMONTH(DATE(PlanYear,3,1),0))),DATE(PlanYear,3,1)+2-WEEKDAY(DATE(PlanYear,3,1),2),"")</f>
        <v/>
      </c>
      <c r="S8" s="20">
        <f>IF(AND(3-(WEEKDAY(DATE(PlanYear,3,1),2)-1)&gt;=1,3-(WEEKDAY(DATE(PlanYear,3,1),2)-1)&lt;=DAY(EOMONTH(DATE(PlanYear,3,1),0))),DATE(PlanYear,3,1)+3-WEEKDAY(DATE(PlanYear,3,1),2),"")</f>
        <v/>
      </c>
      <c r="T8" s="20">
        <f>IF(AND(4-(WEEKDAY(DATE(PlanYear,3,1),2)-1)&gt;=1,4-(WEEKDAY(DATE(PlanYear,3,1),2)-1)&lt;=DAY(EOMONTH(DATE(PlanYear,3,1),0))),DATE(PlanYear,3,1)+4-WEEKDAY(DATE(PlanYear,3,1),2),"")</f>
        <v/>
      </c>
      <c r="U8" s="20">
        <f>IF(AND(5-(WEEKDAY(DATE(PlanYear,3,1),2)-1)&gt;=1,5-(WEEKDAY(DATE(PlanYear,3,1),2)-1)&lt;=DAY(EOMONTH(DATE(PlanYear,3,1),0))),DATE(PlanYear,3,1)+5-WEEKDAY(DATE(PlanYear,3,1),2),"")</f>
        <v/>
      </c>
      <c r="V8" s="20">
        <f>IF(AND(6-(WEEKDAY(DATE(PlanYear,3,1),2)-1)&gt;=1,6-(WEEKDAY(DATE(PlanYear,3,1),2)-1)&lt;=DAY(EOMONTH(DATE(PlanYear,3,1),0))),DATE(PlanYear,3,1)+6-WEEKDAY(DATE(PlanYear,3,1),2),"")</f>
        <v/>
      </c>
      <c r="W8" s="20">
        <f>IF(AND(7-(WEEKDAY(DATE(PlanYear,3,1),2)-1)&gt;=1,7-(WEEKDAY(DATE(PlanYear,3,1),2)-1)&lt;=DAY(EOMONTH(DATE(PlanYear,3,1),0))),DATE(PlanYear,3,1)+7-WEEKDAY(DATE(PlanYear,3,1),2),"")</f>
        <v/>
      </c>
      <c r="Z8" s="15" t="inlineStr">
        <is>
          <t>March</t>
        </is>
      </c>
      <c r="AA8" s="16">
        <f>IF(AA$5="","",MID(IF(INDEX($Q$9:$W$19,2*INT((0+WEEKDAY(DATE(PlanYear,3,1),2)-1)/7)+1,MOD(0+WEEKDAY(DATE(PlanYear,3,1),2)-1,7)+1)=AA$5,", "&amp;1,"")&amp;IF(INDEX($Q$9:$W$19,2*INT((1+WEEKDAY(DATE(PlanYear,3,1),2)-1)/7)+1,MOD(1+WEEKDAY(DATE(PlanYear,3,1),2)-1,7)+1)=AA$5,", "&amp;2,"")&amp;IF(INDEX($Q$9:$W$19,2*INT((2+WEEKDAY(DATE(PlanYear,3,1),2)-1)/7)+1,MOD(2+WEEKDAY(DATE(PlanYear,3,1),2)-1,7)+1)=AA$5,", "&amp;3,"")&amp;IF(INDEX($Q$9:$W$19,2*INT((3+WEEKDAY(DATE(PlanYear,3,1),2)-1)/7)+1,MOD(3+WEEKDAY(DATE(PlanYear,3,1),2)-1,7)+1)=AA$5,", "&amp;4,"")&amp;IF(INDEX($Q$9:$W$19,2*INT((4+WEEKDAY(DATE(PlanYear,3,1),2)-1)/7)+1,MOD(4+WEEKDAY(DATE(PlanYear,3,1),2)-1,7)+1)=AA$5,", "&amp;5,"")&amp;IF(INDEX($Q$9:$W$19,2*INT((5+WEEKDAY(DATE(PlanYear,3,1),2)-1)/7)+1,MOD(5+WEEKDAY(DATE(PlanYear,3,1),2)-1,7)+1)=AA$5,", "&amp;6,"")&amp;IF(INDEX($Q$9:$W$19,2*INT((6+WEEKDAY(DATE(PlanYear,3,1),2)-1)/7)+1,MOD(6+WEEKDAY(DATE(PlanYear,3,1),2)-1,7)+1)=AA$5,", "&amp;7,"")&amp;IF(INDEX($Q$9:$W$19,2*INT((7+WEEKDAY(DATE(PlanYear,3,1),2)-1)/7)+1,MOD(7+WEEKDAY(DATE(PlanYear,3,1),2)-1,7)+1)=AA$5,", "&amp;8,"")&amp;IF(INDEX($Q$9:$W$19,2*INT((8+WEEKDAY(DATE(PlanYear,3,1),2)-1)/7)+1,MOD(8+WEEKDAY(DATE(PlanYear,3,1),2)-1,7)+1)=AA$5,", "&amp;9,"")&amp;IF(INDEX($Q$9:$W$19,2*INT((9+WEEKDAY(DATE(PlanYear,3,1),2)-1)/7)+1,MOD(9+WEEKDAY(DATE(PlanYear,3,1),2)-1,7)+1)=AA$5,", "&amp;10,"")&amp;IF(INDEX($Q$9:$W$19,2*INT((10+WEEKDAY(DATE(PlanYear,3,1),2)-1)/7)+1,MOD(10+WEEKDAY(DATE(PlanYear,3,1),2)-1,7)+1)=AA$5,", "&amp;11,"")&amp;IF(INDEX($Q$9:$W$19,2*INT((11+WEEKDAY(DATE(PlanYear,3,1),2)-1)/7)+1,MOD(11+WEEKDAY(DATE(PlanYear,3,1),2)-1,7)+1)=AA$5,", "&amp;12,"")&amp;IF(INDEX($Q$9:$W$19,2*INT((12+WEEKDAY(DATE(PlanYear,3,1),2)-1)/7)+1,MOD(12+WEEKDAY(DATE(PlanYear,3,1),2)-1,7)+1)=AA$5,", "&amp;13,"")&amp;IF(INDEX($Q$9:$W$19,2*INT((13+WEEKDAY(DATE(PlanYear,3,1),2)-1)/7)+1,MOD(13+WEEKDAY(DATE(PlanYear,3,1),2)-1,7)+1)=AA$5,", "&amp;14,"")&amp;IF(INDEX($Q$9:$W$19,2*INT((14+WEEKDAY(DATE(PlanYear,3,1),2)-1)/7)+1,MOD(14+WEEKDAY(DATE(PlanYear,3,1),2)-1,7)+1)=AA$5,", "&amp;15,"")&amp;IF(INDEX($Q$9:$W$19,2*INT((15+WEEKDAY(DATE(PlanYear,3,1),2)-1)/7)+1,MOD(15+WEEKDAY(DATE(PlanYear,3,1),2)-1,7)+1)=AA$5,", "&amp;16,"")&amp;IF(INDEX($Q$9:$W$19,2*INT((16+WEEKDAY(DATE(PlanYear,3,1),2)-1)/7)+1,MOD(16+WEEKDAY(DATE(PlanYear,3,1),2)-1,7)+1)=AA$5,", "&amp;17,"")&amp;IF(INDEX($Q$9:$W$19,2*INT((17+WEEKDAY(DATE(PlanYear,3,1),2)-1)/7)+1,MOD(17+WEEKDAY(DATE(PlanYear,3,1),2)-1,7)+1)=AA$5,", "&amp;18,"")&amp;IF(INDEX($Q$9:$W$19,2*INT((18+WEEKDAY(DATE(PlanYear,3,1),2)-1)/7)+1,MOD(18+WEEKDAY(DATE(PlanYear,3,1),2)-1,7)+1)=AA$5,", "&amp;19,"")&amp;IF(INDEX($Q$9:$W$19,2*INT((19+WEEKDAY(DATE(PlanYear,3,1),2)-1)/7)+1,MOD(19+WEEKDAY(DATE(PlanYear,3,1),2)-1,7)+1)=AA$5,", "&amp;20,"")&amp;IF(INDEX($Q$9:$W$19,2*INT((20+WEEKDAY(DATE(PlanYear,3,1),2)-1)/7)+1,MOD(20+WEEKDAY(DATE(PlanYear,3,1),2)-1,7)+1)=AA$5,", "&amp;21,"")&amp;IF(INDEX($Q$9:$W$19,2*INT((21+WEEKDAY(DATE(PlanYear,3,1),2)-1)/7)+1,MOD(21+WEEKDAY(DATE(PlanYear,3,1),2)-1,7)+1)=AA$5,", "&amp;22,"")&amp;IF(INDEX($Q$9:$W$19,2*INT((22+WEEKDAY(DATE(PlanYear,3,1),2)-1)/7)+1,MOD(22+WEEKDAY(DATE(PlanYear,3,1),2)-1,7)+1)=AA$5,", "&amp;23,"")&amp;IF(INDEX($Q$9:$W$19,2*INT((23+WEEKDAY(DATE(PlanYear,3,1),2)-1)/7)+1,MOD(23+WEEKDAY(DATE(PlanYear,3,1),2)-1,7)+1)=AA$5,", "&amp;24,"")&amp;IF(INDEX($Q$9:$W$19,2*INT((24+WEEKDAY(DATE(PlanYear,3,1),2)-1)/7)+1,MOD(24+WEEKDAY(DATE(PlanYear,3,1),2)-1,7)+1)=AA$5,", "&amp;25,"")&amp;IF(INDEX($Q$9:$W$19,2*INT((25+WEEKDAY(DATE(PlanYear,3,1),2)-1)/7)+1,MOD(25+WEEKDAY(DATE(PlanYear,3,1),2)-1,7)+1)=AA$5,", "&amp;26,"")&amp;IF(INDEX($Q$9:$W$19,2*INT((26+WEEKDAY(DATE(PlanYear,3,1),2)-1)/7)+1,MOD(26+WEEKDAY(DATE(PlanYear,3,1),2)-1,7)+1)=AA$5,", "&amp;27,"")&amp;IF(INDEX($Q$9:$W$19,2*INT((27+WEEKDAY(DATE(PlanYear,3,1),2)-1)/7)+1,MOD(27+WEEKDAY(DATE(PlanYear,3,1),2)-1,7)+1)=AA$5,", "&amp;28,"")&amp;IF(INDEX($Q$9:$W$19,2*INT((28+WEEKDAY(DATE(PlanYear,3,1),2)-1)/7)+1,MOD(28+WEEKDAY(DATE(PlanYear,3,1),2)-1,7)+1)=AA$5,", "&amp;29,"")&amp;IF(INDEX($Q$9:$W$19,2*INT((29+WEEKDAY(DATE(PlanYear,3,1),2)-1)/7)+1,MOD(29+WEEKDAY(DATE(PlanYear,3,1),2)-1,7)+1)=AA$5,", "&amp;30,"")&amp;IF(INDEX($Q$9:$W$19,2*INT((30+WEEKDAY(DATE(PlanYear,3,1),2)-1)/7)+1,MOD(30+WEEKDAY(DATE(PlanYear,3,1),2)-1,7)+1)=AA$5,", "&amp;31,""),3,200))</f>
        <v/>
      </c>
      <c r="AB8" s="16">
        <f>IF(AB$5="","",MID(IF(INDEX($Q$9:$W$19,2*INT((0+WEEKDAY(DATE(PlanYear,3,1),2)-1)/7)+1,MOD(0+WEEKDAY(DATE(PlanYear,3,1),2)-1,7)+1)=AB$5,", "&amp;1,"")&amp;IF(INDEX($Q$9:$W$19,2*INT((1+WEEKDAY(DATE(PlanYear,3,1),2)-1)/7)+1,MOD(1+WEEKDAY(DATE(PlanYear,3,1),2)-1,7)+1)=AB$5,", "&amp;2,"")&amp;IF(INDEX($Q$9:$W$19,2*INT((2+WEEKDAY(DATE(PlanYear,3,1),2)-1)/7)+1,MOD(2+WEEKDAY(DATE(PlanYear,3,1),2)-1,7)+1)=AB$5,", "&amp;3,"")&amp;IF(INDEX($Q$9:$W$19,2*INT((3+WEEKDAY(DATE(PlanYear,3,1),2)-1)/7)+1,MOD(3+WEEKDAY(DATE(PlanYear,3,1),2)-1,7)+1)=AB$5,", "&amp;4,"")&amp;IF(INDEX($Q$9:$W$19,2*INT((4+WEEKDAY(DATE(PlanYear,3,1),2)-1)/7)+1,MOD(4+WEEKDAY(DATE(PlanYear,3,1),2)-1,7)+1)=AB$5,", "&amp;5,"")&amp;IF(INDEX($Q$9:$W$19,2*INT((5+WEEKDAY(DATE(PlanYear,3,1),2)-1)/7)+1,MOD(5+WEEKDAY(DATE(PlanYear,3,1),2)-1,7)+1)=AB$5,", "&amp;6,"")&amp;IF(INDEX($Q$9:$W$19,2*INT((6+WEEKDAY(DATE(PlanYear,3,1),2)-1)/7)+1,MOD(6+WEEKDAY(DATE(PlanYear,3,1),2)-1,7)+1)=AB$5,", "&amp;7,"")&amp;IF(INDEX($Q$9:$W$19,2*INT((7+WEEKDAY(DATE(PlanYear,3,1),2)-1)/7)+1,MOD(7+WEEKDAY(DATE(PlanYear,3,1),2)-1,7)+1)=AB$5,", "&amp;8,"")&amp;IF(INDEX($Q$9:$W$19,2*INT((8+WEEKDAY(DATE(PlanYear,3,1),2)-1)/7)+1,MOD(8+WEEKDAY(DATE(PlanYear,3,1),2)-1,7)+1)=AB$5,", "&amp;9,"")&amp;IF(INDEX($Q$9:$W$19,2*INT((9+WEEKDAY(DATE(PlanYear,3,1),2)-1)/7)+1,MOD(9+WEEKDAY(DATE(PlanYear,3,1),2)-1,7)+1)=AB$5,", "&amp;10,"")&amp;IF(INDEX($Q$9:$W$19,2*INT((10+WEEKDAY(DATE(PlanYear,3,1),2)-1)/7)+1,MOD(10+WEEKDAY(DATE(PlanYear,3,1),2)-1,7)+1)=AB$5,", "&amp;11,"")&amp;IF(INDEX($Q$9:$W$19,2*INT((11+WEEKDAY(DATE(PlanYear,3,1),2)-1)/7)+1,MOD(11+WEEKDAY(DATE(PlanYear,3,1),2)-1,7)+1)=AB$5,", "&amp;12,"")&amp;IF(INDEX($Q$9:$W$19,2*INT((12+WEEKDAY(DATE(PlanYear,3,1),2)-1)/7)+1,MOD(12+WEEKDAY(DATE(PlanYear,3,1),2)-1,7)+1)=AB$5,", "&amp;13,"")&amp;IF(INDEX($Q$9:$W$19,2*INT((13+WEEKDAY(DATE(PlanYear,3,1),2)-1)/7)+1,MOD(13+WEEKDAY(DATE(PlanYear,3,1),2)-1,7)+1)=AB$5,", "&amp;14,"")&amp;IF(INDEX($Q$9:$W$19,2*INT((14+WEEKDAY(DATE(PlanYear,3,1),2)-1)/7)+1,MOD(14+WEEKDAY(DATE(PlanYear,3,1),2)-1,7)+1)=AB$5,", "&amp;15,"")&amp;IF(INDEX($Q$9:$W$19,2*INT((15+WEEKDAY(DATE(PlanYear,3,1),2)-1)/7)+1,MOD(15+WEEKDAY(DATE(PlanYear,3,1),2)-1,7)+1)=AB$5,", "&amp;16,"")&amp;IF(INDEX($Q$9:$W$19,2*INT((16+WEEKDAY(DATE(PlanYear,3,1),2)-1)/7)+1,MOD(16+WEEKDAY(DATE(PlanYear,3,1),2)-1,7)+1)=AB$5,", "&amp;17,"")&amp;IF(INDEX($Q$9:$W$19,2*INT((17+WEEKDAY(DATE(PlanYear,3,1),2)-1)/7)+1,MOD(17+WEEKDAY(DATE(PlanYear,3,1),2)-1,7)+1)=AB$5,", "&amp;18,"")&amp;IF(INDEX($Q$9:$W$19,2*INT((18+WEEKDAY(DATE(PlanYear,3,1),2)-1)/7)+1,MOD(18+WEEKDAY(DATE(PlanYear,3,1),2)-1,7)+1)=AB$5,", "&amp;19,"")&amp;IF(INDEX($Q$9:$W$19,2*INT((19+WEEKDAY(DATE(PlanYear,3,1),2)-1)/7)+1,MOD(19+WEEKDAY(DATE(PlanYear,3,1),2)-1,7)+1)=AB$5,", "&amp;20,"")&amp;IF(INDEX($Q$9:$W$19,2*INT((20+WEEKDAY(DATE(PlanYear,3,1),2)-1)/7)+1,MOD(20+WEEKDAY(DATE(PlanYear,3,1),2)-1,7)+1)=AB$5,", "&amp;21,"")&amp;IF(INDEX($Q$9:$W$19,2*INT((21+WEEKDAY(DATE(PlanYear,3,1),2)-1)/7)+1,MOD(21+WEEKDAY(DATE(PlanYear,3,1),2)-1,7)+1)=AB$5,", "&amp;22,"")&amp;IF(INDEX($Q$9:$W$19,2*INT((22+WEEKDAY(DATE(PlanYear,3,1),2)-1)/7)+1,MOD(22+WEEKDAY(DATE(PlanYear,3,1),2)-1,7)+1)=AB$5,", "&amp;23,"")&amp;IF(INDEX($Q$9:$W$19,2*INT((23+WEEKDAY(DATE(PlanYear,3,1),2)-1)/7)+1,MOD(23+WEEKDAY(DATE(PlanYear,3,1),2)-1,7)+1)=AB$5,", "&amp;24,"")&amp;IF(INDEX($Q$9:$W$19,2*INT((24+WEEKDAY(DATE(PlanYear,3,1),2)-1)/7)+1,MOD(24+WEEKDAY(DATE(PlanYear,3,1),2)-1,7)+1)=AB$5,", "&amp;25,"")&amp;IF(INDEX($Q$9:$W$19,2*INT((25+WEEKDAY(DATE(PlanYear,3,1),2)-1)/7)+1,MOD(25+WEEKDAY(DATE(PlanYear,3,1),2)-1,7)+1)=AB$5,", "&amp;26,"")&amp;IF(INDEX($Q$9:$W$19,2*INT((26+WEEKDAY(DATE(PlanYear,3,1),2)-1)/7)+1,MOD(26+WEEKDAY(DATE(PlanYear,3,1),2)-1,7)+1)=AB$5,", "&amp;27,"")&amp;IF(INDEX($Q$9:$W$19,2*INT((27+WEEKDAY(DATE(PlanYear,3,1),2)-1)/7)+1,MOD(27+WEEKDAY(DATE(PlanYear,3,1),2)-1,7)+1)=AB$5,", "&amp;28,"")&amp;IF(INDEX($Q$9:$W$19,2*INT((28+WEEKDAY(DATE(PlanYear,3,1),2)-1)/7)+1,MOD(28+WEEKDAY(DATE(PlanYear,3,1),2)-1,7)+1)=AB$5,", "&amp;29,"")&amp;IF(INDEX($Q$9:$W$19,2*INT((29+WEEKDAY(DATE(PlanYear,3,1),2)-1)/7)+1,MOD(29+WEEKDAY(DATE(PlanYear,3,1),2)-1,7)+1)=AB$5,", "&amp;30,"")&amp;IF(INDEX($Q$9:$W$19,2*INT((30+WEEKDAY(DATE(PlanYear,3,1),2)-1)/7)+1,MOD(30+WEEKDAY(DATE(PlanYear,3,1),2)-1,7)+1)=AB$5,", "&amp;31,""),3,200))</f>
        <v/>
      </c>
      <c r="AC8" s="16">
        <f>IF(AC$5="","",MID(IF(INDEX($Q$9:$W$19,2*INT((0+WEEKDAY(DATE(PlanYear,3,1),2)-1)/7)+1,MOD(0+WEEKDAY(DATE(PlanYear,3,1),2)-1,7)+1)=AC$5,", "&amp;1,"")&amp;IF(INDEX($Q$9:$W$19,2*INT((1+WEEKDAY(DATE(PlanYear,3,1),2)-1)/7)+1,MOD(1+WEEKDAY(DATE(PlanYear,3,1),2)-1,7)+1)=AC$5,", "&amp;2,"")&amp;IF(INDEX($Q$9:$W$19,2*INT((2+WEEKDAY(DATE(PlanYear,3,1),2)-1)/7)+1,MOD(2+WEEKDAY(DATE(PlanYear,3,1),2)-1,7)+1)=AC$5,", "&amp;3,"")&amp;IF(INDEX($Q$9:$W$19,2*INT((3+WEEKDAY(DATE(PlanYear,3,1),2)-1)/7)+1,MOD(3+WEEKDAY(DATE(PlanYear,3,1),2)-1,7)+1)=AC$5,", "&amp;4,"")&amp;IF(INDEX($Q$9:$W$19,2*INT((4+WEEKDAY(DATE(PlanYear,3,1),2)-1)/7)+1,MOD(4+WEEKDAY(DATE(PlanYear,3,1),2)-1,7)+1)=AC$5,", "&amp;5,"")&amp;IF(INDEX($Q$9:$W$19,2*INT((5+WEEKDAY(DATE(PlanYear,3,1),2)-1)/7)+1,MOD(5+WEEKDAY(DATE(PlanYear,3,1),2)-1,7)+1)=AC$5,", "&amp;6,"")&amp;IF(INDEX($Q$9:$W$19,2*INT((6+WEEKDAY(DATE(PlanYear,3,1),2)-1)/7)+1,MOD(6+WEEKDAY(DATE(PlanYear,3,1),2)-1,7)+1)=AC$5,", "&amp;7,"")&amp;IF(INDEX($Q$9:$W$19,2*INT((7+WEEKDAY(DATE(PlanYear,3,1),2)-1)/7)+1,MOD(7+WEEKDAY(DATE(PlanYear,3,1),2)-1,7)+1)=AC$5,", "&amp;8,"")&amp;IF(INDEX($Q$9:$W$19,2*INT((8+WEEKDAY(DATE(PlanYear,3,1),2)-1)/7)+1,MOD(8+WEEKDAY(DATE(PlanYear,3,1),2)-1,7)+1)=AC$5,", "&amp;9,"")&amp;IF(INDEX($Q$9:$W$19,2*INT((9+WEEKDAY(DATE(PlanYear,3,1),2)-1)/7)+1,MOD(9+WEEKDAY(DATE(PlanYear,3,1),2)-1,7)+1)=AC$5,", "&amp;10,"")&amp;IF(INDEX($Q$9:$W$19,2*INT((10+WEEKDAY(DATE(PlanYear,3,1),2)-1)/7)+1,MOD(10+WEEKDAY(DATE(PlanYear,3,1),2)-1,7)+1)=AC$5,", "&amp;11,"")&amp;IF(INDEX($Q$9:$W$19,2*INT((11+WEEKDAY(DATE(PlanYear,3,1),2)-1)/7)+1,MOD(11+WEEKDAY(DATE(PlanYear,3,1),2)-1,7)+1)=AC$5,", "&amp;12,"")&amp;IF(INDEX($Q$9:$W$19,2*INT((12+WEEKDAY(DATE(PlanYear,3,1),2)-1)/7)+1,MOD(12+WEEKDAY(DATE(PlanYear,3,1),2)-1,7)+1)=AC$5,", "&amp;13,"")&amp;IF(INDEX($Q$9:$W$19,2*INT((13+WEEKDAY(DATE(PlanYear,3,1),2)-1)/7)+1,MOD(13+WEEKDAY(DATE(PlanYear,3,1),2)-1,7)+1)=AC$5,", "&amp;14,"")&amp;IF(INDEX($Q$9:$W$19,2*INT((14+WEEKDAY(DATE(PlanYear,3,1),2)-1)/7)+1,MOD(14+WEEKDAY(DATE(PlanYear,3,1),2)-1,7)+1)=AC$5,", "&amp;15,"")&amp;IF(INDEX($Q$9:$W$19,2*INT((15+WEEKDAY(DATE(PlanYear,3,1),2)-1)/7)+1,MOD(15+WEEKDAY(DATE(PlanYear,3,1),2)-1,7)+1)=AC$5,", "&amp;16,"")&amp;IF(INDEX($Q$9:$W$19,2*INT((16+WEEKDAY(DATE(PlanYear,3,1),2)-1)/7)+1,MOD(16+WEEKDAY(DATE(PlanYear,3,1),2)-1,7)+1)=AC$5,", "&amp;17,"")&amp;IF(INDEX($Q$9:$W$19,2*INT((17+WEEKDAY(DATE(PlanYear,3,1),2)-1)/7)+1,MOD(17+WEEKDAY(DATE(PlanYear,3,1),2)-1,7)+1)=AC$5,", "&amp;18,"")&amp;IF(INDEX($Q$9:$W$19,2*INT((18+WEEKDAY(DATE(PlanYear,3,1),2)-1)/7)+1,MOD(18+WEEKDAY(DATE(PlanYear,3,1),2)-1,7)+1)=AC$5,", "&amp;19,"")&amp;IF(INDEX($Q$9:$W$19,2*INT((19+WEEKDAY(DATE(PlanYear,3,1),2)-1)/7)+1,MOD(19+WEEKDAY(DATE(PlanYear,3,1),2)-1,7)+1)=AC$5,", "&amp;20,"")&amp;IF(INDEX($Q$9:$W$19,2*INT((20+WEEKDAY(DATE(PlanYear,3,1),2)-1)/7)+1,MOD(20+WEEKDAY(DATE(PlanYear,3,1),2)-1,7)+1)=AC$5,", "&amp;21,"")&amp;IF(INDEX($Q$9:$W$19,2*INT((21+WEEKDAY(DATE(PlanYear,3,1),2)-1)/7)+1,MOD(21+WEEKDAY(DATE(PlanYear,3,1),2)-1,7)+1)=AC$5,", "&amp;22,"")&amp;IF(INDEX($Q$9:$W$19,2*INT((22+WEEKDAY(DATE(PlanYear,3,1),2)-1)/7)+1,MOD(22+WEEKDAY(DATE(PlanYear,3,1),2)-1,7)+1)=AC$5,", "&amp;23,"")&amp;IF(INDEX($Q$9:$W$19,2*INT((23+WEEKDAY(DATE(PlanYear,3,1),2)-1)/7)+1,MOD(23+WEEKDAY(DATE(PlanYear,3,1),2)-1,7)+1)=AC$5,", "&amp;24,"")&amp;IF(INDEX($Q$9:$W$19,2*INT((24+WEEKDAY(DATE(PlanYear,3,1),2)-1)/7)+1,MOD(24+WEEKDAY(DATE(PlanYear,3,1),2)-1,7)+1)=AC$5,", "&amp;25,"")&amp;IF(INDEX($Q$9:$W$19,2*INT((25+WEEKDAY(DATE(PlanYear,3,1),2)-1)/7)+1,MOD(25+WEEKDAY(DATE(PlanYear,3,1),2)-1,7)+1)=AC$5,", "&amp;26,"")&amp;IF(INDEX($Q$9:$W$19,2*INT((26+WEEKDAY(DATE(PlanYear,3,1),2)-1)/7)+1,MOD(26+WEEKDAY(DATE(PlanYear,3,1),2)-1,7)+1)=AC$5,", "&amp;27,"")&amp;IF(INDEX($Q$9:$W$19,2*INT((27+WEEKDAY(DATE(PlanYear,3,1),2)-1)/7)+1,MOD(27+WEEKDAY(DATE(PlanYear,3,1),2)-1,7)+1)=AC$5,", "&amp;28,"")&amp;IF(INDEX($Q$9:$W$19,2*INT((28+WEEKDAY(DATE(PlanYear,3,1),2)-1)/7)+1,MOD(28+WEEKDAY(DATE(PlanYear,3,1),2)-1,7)+1)=AC$5,", "&amp;29,"")&amp;IF(INDEX($Q$9:$W$19,2*INT((29+WEEKDAY(DATE(PlanYear,3,1),2)-1)/7)+1,MOD(29+WEEKDAY(DATE(PlanYear,3,1),2)-1,7)+1)=AC$5,", "&amp;30,"")&amp;IF(INDEX($Q$9:$W$19,2*INT((30+WEEKDAY(DATE(PlanYear,3,1),2)-1)/7)+1,MOD(30+WEEKDAY(DATE(PlanYear,3,1),2)-1,7)+1)=AC$5,", "&amp;31,""),3,200))</f>
        <v/>
      </c>
      <c r="AD8" s="16">
        <f>IF(AD$5="","",MID(IF(INDEX($Q$9:$W$19,2*INT((0+WEEKDAY(DATE(PlanYear,3,1),2)-1)/7)+1,MOD(0+WEEKDAY(DATE(PlanYear,3,1),2)-1,7)+1)=AD$5,", "&amp;1,"")&amp;IF(INDEX($Q$9:$W$19,2*INT((1+WEEKDAY(DATE(PlanYear,3,1),2)-1)/7)+1,MOD(1+WEEKDAY(DATE(PlanYear,3,1),2)-1,7)+1)=AD$5,", "&amp;2,"")&amp;IF(INDEX($Q$9:$W$19,2*INT((2+WEEKDAY(DATE(PlanYear,3,1),2)-1)/7)+1,MOD(2+WEEKDAY(DATE(PlanYear,3,1),2)-1,7)+1)=AD$5,", "&amp;3,"")&amp;IF(INDEX($Q$9:$W$19,2*INT((3+WEEKDAY(DATE(PlanYear,3,1),2)-1)/7)+1,MOD(3+WEEKDAY(DATE(PlanYear,3,1),2)-1,7)+1)=AD$5,", "&amp;4,"")&amp;IF(INDEX($Q$9:$W$19,2*INT((4+WEEKDAY(DATE(PlanYear,3,1),2)-1)/7)+1,MOD(4+WEEKDAY(DATE(PlanYear,3,1),2)-1,7)+1)=AD$5,", "&amp;5,"")&amp;IF(INDEX($Q$9:$W$19,2*INT((5+WEEKDAY(DATE(PlanYear,3,1),2)-1)/7)+1,MOD(5+WEEKDAY(DATE(PlanYear,3,1),2)-1,7)+1)=AD$5,", "&amp;6,"")&amp;IF(INDEX($Q$9:$W$19,2*INT((6+WEEKDAY(DATE(PlanYear,3,1),2)-1)/7)+1,MOD(6+WEEKDAY(DATE(PlanYear,3,1),2)-1,7)+1)=AD$5,", "&amp;7,"")&amp;IF(INDEX($Q$9:$W$19,2*INT((7+WEEKDAY(DATE(PlanYear,3,1),2)-1)/7)+1,MOD(7+WEEKDAY(DATE(PlanYear,3,1),2)-1,7)+1)=AD$5,", "&amp;8,"")&amp;IF(INDEX($Q$9:$W$19,2*INT((8+WEEKDAY(DATE(PlanYear,3,1),2)-1)/7)+1,MOD(8+WEEKDAY(DATE(PlanYear,3,1),2)-1,7)+1)=AD$5,", "&amp;9,"")&amp;IF(INDEX($Q$9:$W$19,2*INT((9+WEEKDAY(DATE(PlanYear,3,1),2)-1)/7)+1,MOD(9+WEEKDAY(DATE(PlanYear,3,1),2)-1,7)+1)=AD$5,", "&amp;10,"")&amp;IF(INDEX($Q$9:$W$19,2*INT((10+WEEKDAY(DATE(PlanYear,3,1),2)-1)/7)+1,MOD(10+WEEKDAY(DATE(PlanYear,3,1),2)-1,7)+1)=AD$5,", "&amp;11,"")&amp;IF(INDEX($Q$9:$W$19,2*INT((11+WEEKDAY(DATE(PlanYear,3,1),2)-1)/7)+1,MOD(11+WEEKDAY(DATE(PlanYear,3,1),2)-1,7)+1)=AD$5,", "&amp;12,"")&amp;IF(INDEX($Q$9:$W$19,2*INT((12+WEEKDAY(DATE(PlanYear,3,1),2)-1)/7)+1,MOD(12+WEEKDAY(DATE(PlanYear,3,1),2)-1,7)+1)=AD$5,", "&amp;13,"")&amp;IF(INDEX($Q$9:$W$19,2*INT((13+WEEKDAY(DATE(PlanYear,3,1),2)-1)/7)+1,MOD(13+WEEKDAY(DATE(PlanYear,3,1),2)-1,7)+1)=AD$5,", "&amp;14,"")&amp;IF(INDEX($Q$9:$W$19,2*INT((14+WEEKDAY(DATE(PlanYear,3,1),2)-1)/7)+1,MOD(14+WEEKDAY(DATE(PlanYear,3,1),2)-1,7)+1)=AD$5,", "&amp;15,"")&amp;IF(INDEX($Q$9:$W$19,2*INT((15+WEEKDAY(DATE(PlanYear,3,1),2)-1)/7)+1,MOD(15+WEEKDAY(DATE(PlanYear,3,1),2)-1,7)+1)=AD$5,", "&amp;16,"")&amp;IF(INDEX($Q$9:$W$19,2*INT((16+WEEKDAY(DATE(PlanYear,3,1),2)-1)/7)+1,MOD(16+WEEKDAY(DATE(PlanYear,3,1),2)-1,7)+1)=AD$5,", "&amp;17,"")&amp;IF(INDEX($Q$9:$W$19,2*INT((17+WEEKDAY(DATE(PlanYear,3,1),2)-1)/7)+1,MOD(17+WEEKDAY(DATE(PlanYear,3,1),2)-1,7)+1)=AD$5,", "&amp;18,"")&amp;IF(INDEX($Q$9:$W$19,2*INT((18+WEEKDAY(DATE(PlanYear,3,1),2)-1)/7)+1,MOD(18+WEEKDAY(DATE(PlanYear,3,1),2)-1,7)+1)=AD$5,", "&amp;19,"")&amp;IF(INDEX($Q$9:$W$19,2*INT((19+WEEKDAY(DATE(PlanYear,3,1),2)-1)/7)+1,MOD(19+WEEKDAY(DATE(PlanYear,3,1),2)-1,7)+1)=AD$5,", "&amp;20,"")&amp;IF(INDEX($Q$9:$W$19,2*INT((20+WEEKDAY(DATE(PlanYear,3,1),2)-1)/7)+1,MOD(20+WEEKDAY(DATE(PlanYear,3,1),2)-1,7)+1)=AD$5,", "&amp;21,"")&amp;IF(INDEX($Q$9:$W$19,2*INT((21+WEEKDAY(DATE(PlanYear,3,1),2)-1)/7)+1,MOD(21+WEEKDAY(DATE(PlanYear,3,1),2)-1,7)+1)=AD$5,", "&amp;22,"")&amp;IF(INDEX($Q$9:$W$19,2*INT((22+WEEKDAY(DATE(PlanYear,3,1),2)-1)/7)+1,MOD(22+WEEKDAY(DATE(PlanYear,3,1),2)-1,7)+1)=AD$5,", "&amp;23,"")&amp;IF(INDEX($Q$9:$W$19,2*INT((23+WEEKDAY(DATE(PlanYear,3,1),2)-1)/7)+1,MOD(23+WEEKDAY(DATE(PlanYear,3,1),2)-1,7)+1)=AD$5,", "&amp;24,"")&amp;IF(INDEX($Q$9:$W$19,2*INT((24+WEEKDAY(DATE(PlanYear,3,1),2)-1)/7)+1,MOD(24+WEEKDAY(DATE(PlanYear,3,1),2)-1,7)+1)=AD$5,", "&amp;25,"")&amp;IF(INDEX($Q$9:$W$19,2*INT((25+WEEKDAY(DATE(PlanYear,3,1),2)-1)/7)+1,MOD(25+WEEKDAY(DATE(PlanYear,3,1),2)-1,7)+1)=AD$5,", "&amp;26,"")&amp;IF(INDEX($Q$9:$W$19,2*INT((26+WEEKDAY(DATE(PlanYear,3,1),2)-1)/7)+1,MOD(26+WEEKDAY(DATE(PlanYear,3,1),2)-1,7)+1)=AD$5,", "&amp;27,"")&amp;IF(INDEX($Q$9:$W$19,2*INT((27+WEEKDAY(DATE(PlanYear,3,1),2)-1)/7)+1,MOD(27+WEEKDAY(DATE(PlanYear,3,1),2)-1,7)+1)=AD$5,", "&amp;28,"")&amp;IF(INDEX($Q$9:$W$19,2*INT((28+WEEKDAY(DATE(PlanYear,3,1),2)-1)/7)+1,MOD(28+WEEKDAY(DATE(PlanYear,3,1),2)-1,7)+1)=AD$5,", "&amp;29,"")&amp;IF(INDEX($Q$9:$W$19,2*INT((29+WEEKDAY(DATE(PlanYear,3,1),2)-1)/7)+1,MOD(29+WEEKDAY(DATE(PlanYear,3,1),2)-1,7)+1)=AD$5,", "&amp;30,"")&amp;IF(INDEX($Q$9:$W$19,2*INT((30+WEEKDAY(DATE(PlanYear,3,1),2)-1)/7)+1,MOD(30+WEEKDAY(DATE(PlanYear,3,1),2)-1,7)+1)=AD$5,", "&amp;31,""),3,200))</f>
        <v/>
      </c>
      <c r="AE8" s="16">
        <f>IF(AE$5="","",MID(IF(INDEX($Q$9:$W$19,2*INT((0+WEEKDAY(DATE(PlanYear,3,1),2)-1)/7)+1,MOD(0+WEEKDAY(DATE(PlanYear,3,1),2)-1,7)+1)=AE$5,", "&amp;1,"")&amp;IF(INDEX($Q$9:$W$19,2*INT((1+WEEKDAY(DATE(PlanYear,3,1),2)-1)/7)+1,MOD(1+WEEKDAY(DATE(PlanYear,3,1),2)-1,7)+1)=AE$5,", "&amp;2,"")&amp;IF(INDEX($Q$9:$W$19,2*INT((2+WEEKDAY(DATE(PlanYear,3,1),2)-1)/7)+1,MOD(2+WEEKDAY(DATE(PlanYear,3,1),2)-1,7)+1)=AE$5,", "&amp;3,"")&amp;IF(INDEX($Q$9:$W$19,2*INT((3+WEEKDAY(DATE(PlanYear,3,1),2)-1)/7)+1,MOD(3+WEEKDAY(DATE(PlanYear,3,1),2)-1,7)+1)=AE$5,", "&amp;4,"")&amp;IF(INDEX($Q$9:$W$19,2*INT((4+WEEKDAY(DATE(PlanYear,3,1),2)-1)/7)+1,MOD(4+WEEKDAY(DATE(PlanYear,3,1),2)-1,7)+1)=AE$5,", "&amp;5,"")&amp;IF(INDEX($Q$9:$W$19,2*INT((5+WEEKDAY(DATE(PlanYear,3,1),2)-1)/7)+1,MOD(5+WEEKDAY(DATE(PlanYear,3,1),2)-1,7)+1)=AE$5,", "&amp;6,"")&amp;IF(INDEX($Q$9:$W$19,2*INT((6+WEEKDAY(DATE(PlanYear,3,1),2)-1)/7)+1,MOD(6+WEEKDAY(DATE(PlanYear,3,1),2)-1,7)+1)=AE$5,", "&amp;7,"")&amp;IF(INDEX($Q$9:$W$19,2*INT((7+WEEKDAY(DATE(PlanYear,3,1),2)-1)/7)+1,MOD(7+WEEKDAY(DATE(PlanYear,3,1),2)-1,7)+1)=AE$5,", "&amp;8,"")&amp;IF(INDEX($Q$9:$W$19,2*INT((8+WEEKDAY(DATE(PlanYear,3,1),2)-1)/7)+1,MOD(8+WEEKDAY(DATE(PlanYear,3,1),2)-1,7)+1)=AE$5,", "&amp;9,"")&amp;IF(INDEX($Q$9:$W$19,2*INT((9+WEEKDAY(DATE(PlanYear,3,1),2)-1)/7)+1,MOD(9+WEEKDAY(DATE(PlanYear,3,1),2)-1,7)+1)=AE$5,", "&amp;10,"")&amp;IF(INDEX($Q$9:$W$19,2*INT((10+WEEKDAY(DATE(PlanYear,3,1),2)-1)/7)+1,MOD(10+WEEKDAY(DATE(PlanYear,3,1),2)-1,7)+1)=AE$5,", "&amp;11,"")&amp;IF(INDEX($Q$9:$W$19,2*INT((11+WEEKDAY(DATE(PlanYear,3,1),2)-1)/7)+1,MOD(11+WEEKDAY(DATE(PlanYear,3,1),2)-1,7)+1)=AE$5,", "&amp;12,"")&amp;IF(INDEX($Q$9:$W$19,2*INT((12+WEEKDAY(DATE(PlanYear,3,1),2)-1)/7)+1,MOD(12+WEEKDAY(DATE(PlanYear,3,1),2)-1,7)+1)=AE$5,", "&amp;13,"")&amp;IF(INDEX($Q$9:$W$19,2*INT((13+WEEKDAY(DATE(PlanYear,3,1),2)-1)/7)+1,MOD(13+WEEKDAY(DATE(PlanYear,3,1),2)-1,7)+1)=AE$5,", "&amp;14,"")&amp;IF(INDEX($Q$9:$W$19,2*INT((14+WEEKDAY(DATE(PlanYear,3,1),2)-1)/7)+1,MOD(14+WEEKDAY(DATE(PlanYear,3,1),2)-1,7)+1)=AE$5,", "&amp;15,"")&amp;IF(INDEX($Q$9:$W$19,2*INT((15+WEEKDAY(DATE(PlanYear,3,1),2)-1)/7)+1,MOD(15+WEEKDAY(DATE(PlanYear,3,1),2)-1,7)+1)=AE$5,", "&amp;16,"")&amp;IF(INDEX($Q$9:$W$19,2*INT((16+WEEKDAY(DATE(PlanYear,3,1),2)-1)/7)+1,MOD(16+WEEKDAY(DATE(PlanYear,3,1),2)-1,7)+1)=AE$5,", "&amp;17,"")&amp;IF(INDEX($Q$9:$W$19,2*INT((17+WEEKDAY(DATE(PlanYear,3,1),2)-1)/7)+1,MOD(17+WEEKDAY(DATE(PlanYear,3,1),2)-1,7)+1)=AE$5,", "&amp;18,"")&amp;IF(INDEX($Q$9:$W$19,2*INT((18+WEEKDAY(DATE(PlanYear,3,1),2)-1)/7)+1,MOD(18+WEEKDAY(DATE(PlanYear,3,1),2)-1,7)+1)=AE$5,", "&amp;19,"")&amp;IF(INDEX($Q$9:$W$19,2*INT((19+WEEKDAY(DATE(PlanYear,3,1),2)-1)/7)+1,MOD(19+WEEKDAY(DATE(PlanYear,3,1),2)-1,7)+1)=AE$5,", "&amp;20,"")&amp;IF(INDEX($Q$9:$W$19,2*INT((20+WEEKDAY(DATE(PlanYear,3,1),2)-1)/7)+1,MOD(20+WEEKDAY(DATE(PlanYear,3,1),2)-1,7)+1)=AE$5,", "&amp;21,"")&amp;IF(INDEX($Q$9:$W$19,2*INT((21+WEEKDAY(DATE(PlanYear,3,1),2)-1)/7)+1,MOD(21+WEEKDAY(DATE(PlanYear,3,1),2)-1,7)+1)=AE$5,", "&amp;22,"")&amp;IF(INDEX($Q$9:$W$19,2*INT((22+WEEKDAY(DATE(PlanYear,3,1),2)-1)/7)+1,MOD(22+WEEKDAY(DATE(PlanYear,3,1),2)-1,7)+1)=AE$5,", "&amp;23,"")&amp;IF(INDEX($Q$9:$W$19,2*INT((23+WEEKDAY(DATE(PlanYear,3,1),2)-1)/7)+1,MOD(23+WEEKDAY(DATE(PlanYear,3,1),2)-1,7)+1)=AE$5,", "&amp;24,"")&amp;IF(INDEX($Q$9:$W$19,2*INT((24+WEEKDAY(DATE(PlanYear,3,1),2)-1)/7)+1,MOD(24+WEEKDAY(DATE(PlanYear,3,1),2)-1,7)+1)=AE$5,", "&amp;25,"")&amp;IF(INDEX($Q$9:$W$19,2*INT((25+WEEKDAY(DATE(PlanYear,3,1),2)-1)/7)+1,MOD(25+WEEKDAY(DATE(PlanYear,3,1),2)-1,7)+1)=AE$5,", "&amp;26,"")&amp;IF(INDEX($Q$9:$W$19,2*INT((26+WEEKDAY(DATE(PlanYear,3,1),2)-1)/7)+1,MOD(26+WEEKDAY(DATE(PlanYear,3,1),2)-1,7)+1)=AE$5,", "&amp;27,"")&amp;IF(INDEX($Q$9:$W$19,2*INT((27+WEEKDAY(DATE(PlanYear,3,1),2)-1)/7)+1,MOD(27+WEEKDAY(DATE(PlanYear,3,1),2)-1,7)+1)=AE$5,", "&amp;28,"")&amp;IF(INDEX($Q$9:$W$19,2*INT((28+WEEKDAY(DATE(PlanYear,3,1),2)-1)/7)+1,MOD(28+WEEKDAY(DATE(PlanYear,3,1),2)-1,7)+1)=AE$5,", "&amp;29,"")&amp;IF(INDEX($Q$9:$W$19,2*INT((29+WEEKDAY(DATE(PlanYear,3,1),2)-1)/7)+1,MOD(29+WEEKDAY(DATE(PlanYear,3,1),2)-1,7)+1)=AE$5,", "&amp;30,"")&amp;IF(INDEX($Q$9:$W$19,2*INT((30+WEEKDAY(DATE(PlanYear,3,1),2)-1)/7)+1,MOD(30+WEEKDAY(DATE(PlanYear,3,1),2)-1,7)+1)=AE$5,", "&amp;31,""),3,200))</f>
        <v/>
      </c>
      <c r="AF8" s="16">
        <f>IF(AF$5="","",MID(IF(INDEX($Q$9:$W$19,2*INT((0+WEEKDAY(DATE(PlanYear,3,1),2)-1)/7)+1,MOD(0+WEEKDAY(DATE(PlanYear,3,1),2)-1,7)+1)=AF$5,", "&amp;1,"")&amp;IF(INDEX($Q$9:$W$19,2*INT((1+WEEKDAY(DATE(PlanYear,3,1),2)-1)/7)+1,MOD(1+WEEKDAY(DATE(PlanYear,3,1),2)-1,7)+1)=AF$5,", "&amp;2,"")&amp;IF(INDEX($Q$9:$W$19,2*INT((2+WEEKDAY(DATE(PlanYear,3,1),2)-1)/7)+1,MOD(2+WEEKDAY(DATE(PlanYear,3,1),2)-1,7)+1)=AF$5,", "&amp;3,"")&amp;IF(INDEX($Q$9:$W$19,2*INT((3+WEEKDAY(DATE(PlanYear,3,1),2)-1)/7)+1,MOD(3+WEEKDAY(DATE(PlanYear,3,1),2)-1,7)+1)=AF$5,", "&amp;4,"")&amp;IF(INDEX($Q$9:$W$19,2*INT((4+WEEKDAY(DATE(PlanYear,3,1),2)-1)/7)+1,MOD(4+WEEKDAY(DATE(PlanYear,3,1),2)-1,7)+1)=AF$5,", "&amp;5,"")&amp;IF(INDEX($Q$9:$W$19,2*INT((5+WEEKDAY(DATE(PlanYear,3,1),2)-1)/7)+1,MOD(5+WEEKDAY(DATE(PlanYear,3,1),2)-1,7)+1)=AF$5,", "&amp;6,"")&amp;IF(INDEX($Q$9:$W$19,2*INT((6+WEEKDAY(DATE(PlanYear,3,1),2)-1)/7)+1,MOD(6+WEEKDAY(DATE(PlanYear,3,1),2)-1,7)+1)=AF$5,", "&amp;7,"")&amp;IF(INDEX($Q$9:$W$19,2*INT((7+WEEKDAY(DATE(PlanYear,3,1),2)-1)/7)+1,MOD(7+WEEKDAY(DATE(PlanYear,3,1),2)-1,7)+1)=AF$5,", "&amp;8,"")&amp;IF(INDEX($Q$9:$W$19,2*INT((8+WEEKDAY(DATE(PlanYear,3,1),2)-1)/7)+1,MOD(8+WEEKDAY(DATE(PlanYear,3,1),2)-1,7)+1)=AF$5,", "&amp;9,"")&amp;IF(INDEX($Q$9:$W$19,2*INT((9+WEEKDAY(DATE(PlanYear,3,1),2)-1)/7)+1,MOD(9+WEEKDAY(DATE(PlanYear,3,1),2)-1,7)+1)=AF$5,", "&amp;10,"")&amp;IF(INDEX($Q$9:$W$19,2*INT((10+WEEKDAY(DATE(PlanYear,3,1),2)-1)/7)+1,MOD(10+WEEKDAY(DATE(PlanYear,3,1),2)-1,7)+1)=AF$5,", "&amp;11,"")&amp;IF(INDEX($Q$9:$W$19,2*INT((11+WEEKDAY(DATE(PlanYear,3,1),2)-1)/7)+1,MOD(11+WEEKDAY(DATE(PlanYear,3,1),2)-1,7)+1)=AF$5,", "&amp;12,"")&amp;IF(INDEX($Q$9:$W$19,2*INT((12+WEEKDAY(DATE(PlanYear,3,1),2)-1)/7)+1,MOD(12+WEEKDAY(DATE(PlanYear,3,1),2)-1,7)+1)=AF$5,", "&amp;13,"")&amp;IF(INDEX($Q$9:$W$19,2*INT((13+WEEKDAY(DATE(PlanYear,3,1),2)-1)/7)+1,MOD(13+WEEKDAY(DATE(PlanYear,3,1),2)-1,7)+1)=AF$5,", "&amp;14,"")&amp;IF(INDEX($Q$9:$W$19,2*INT((14+WEEKDAY(DATE(PlanYear,3,1),2)-1)/7)+1,MOD(14+WEEKDAY(DATE(PlanYear,3,1),2)-1,7)+1)=AF$5,", "&amp;15,"")&amp;IF(INDEX($Q$9:$W$19,2*INT((15+WEEKDAY(DATE(PlanYear,3,1),2)-1)/7)+1,MOD(15+WEEKDAY(DATE(PlanYear,3,1),2)-1,7)+1)=AF$5,", "&amp;16,"")&amp;IF(INDEX($Q$9:$W$19,2*INT((16+WEEKDAY(DATE(PlanYear,3,1),2)-1)/7)+1,MOD(16+WEEKDAY(DATE(PlanYear,3,1),2)-1,7)+1)=AF$5,", "&amp;17,"")&amp;IF(INDEX($Q$9:$W$19,2*INT((17+WEEKDAY(DATE(PlanYear,3,1),2)-1)/7)+1,MOD(17+WEEKDAY(DATE(PlanYear,3,1),2)-1,7)+1)=AF$5,", "&amp;18,"")&amp;IF(INDEX($Q$9:$W$19,2*INT((18+WEEKDAY(DATE(PlanYear,3,1),2)-1)/7)+1,MOD(18+WEEKDAY(DATE(PlanYear,3,1),2)-1,7)+1)=AF$5,", "&amp;19,"")&amp;IF(INDEX($Q$9:$W$19,2*INT((19+WEEKDAY(DATE(PlanYear,3,1),2)-1)/7)+1,MOD(19+WEEKDAY(DATE(PlanYear,3,1),2)-1,7)+1)=AF$5,", "&amp;20,"")&amp;IF(INDEX($Q$9:$W$19,2*INT((20+WEEKDAY(DATE(PlanYear,3,1),2)-1)/7)+1,MOD(20+WEEKDAY(DATE(PlanYear,3,1),2)-1,7)+1)=AF$5,", "&amp;21,"")&amp;IF(INDEX($Q$9:$W$19,2*INT((21+WEEKDAY(DATE(PlanYear,3,1),2)-1)/7)+1,MOD(21+WEEKDAY(DATE(PlanYear,3,1),2)-1,7)+1)=AF$5,", "&amp;22,"")&amp;IF(INDEX($Q$9:$W$19,2*INT((22+WEEKDAY(DATE(PlanYear,3,1),2)-1)/7)+1,MOD(22+WEEKDAY(DATE(PlanYear,3,1),2)-1,7)+1)=AF$5,", "&amp;23,"")&amp;IF(INDEX($Q$9:$W$19,2*INT((23+WEEKDAY(DATE(PlanYear,3,1),2)-1)/7)+1,MOD(23+WEEKDAY(DATE(PlanYear,3,1),2)-1,7)+1)=AF$5,", "&amp;24,"")&amp;IF(INDEX($Q$9:$W$19,2*INT((24+WEEKDAY(DATE(PlanYear,3,1),2)-1)/7)+1,MOD(24+WEEKDAY(DATE(PlanYear,3,1),2)-1,7)+1)=AF$5,", "&amp;25,"")&amp;IF(INDEX($Q$9:$W$19,2*INT((25+WEEKDAY(DATE(PlanYear,3,1),2)-1)/7)+1,MOD(25+WEEKDAY(DATE(PlanYear,3,1),2)-1,7)+1)=AF$5,", "&amp;26,"")&amp;IF(INDEX($Q$9:$W$19,2*INT((26+WEEKDAY(DATE(PlanYear,3,1),2)-1)/7)+1,MOD(26+WEEKDAY(DATE(PlanYear,3,1),2)-1,7)+1)=AF$5,", "&amp;27,"")&amp;IF(INDEX($Q$9:$W$19,2*INT((27+WEEKDAY(DATE(PlanYear,3,1),2)-1)/7)+1,MOD(27+WEEKDAY(DATE(PlanYear,3,1),2)-1,7)+1)=AF$5,", "&amp;28,"")&amp;IF(INDEX($Q$9:$W$19,2*INT((28+WEEKDAY(DATE(PlanYear,3,1),2)-1)/7)+1,MOD(28+WEEKDAY(DATE(PlanYear,3,1),2)-1,7)+1)=AF$5,", "&amp;29,"")&amp;IF(INDEX($Q$9:$W$19,2*INT((29+WEEKDAY(DATE(PlanYear,3,1),2)-1)/7)+1,MOD(29+WEEKDAY(DATE(PlanYear,3,1),2)-1,7)+1)=AF$5,", "&amp;30,"")&amp;IF(INDEX($Q$9:$W$19,2*INT((30+WEEKDAY(DATE(PlanYear,3,1),2)-1)/7)+1,MOD(30+WEEKDAY(DATE(PlanYear,3,1),2)-1,7)+1)=AF$5,", "&amp;31,""),3,200))</f>
        <v/>
      </c>
      <c r="AG8" s="16">
        <f>IF(AG$5="","",MID(IF(INDEX($Q$9:$W$19,2*INT((0+WEEKDAY(DATE(PlanYear,3,1),2)-1)/7)+1,MOD(0+WEEKDAY(DATE(PlanYear,3,1),2)-1,7)+1)=AG$5,", "&amp;1,"")&amp;IF(INDEX($Q$9:$W$19,2*INT((1+WEEKDAY(DATE(PlanYear,3,1),2)-1)/7)+1,MOD(1+WEEKDAY(DATE(PlanYear,3,1),2)-1,7)+1)=AG$5,", "&amp;2,"")&amp;IF(INDEX($Q$9:$W$19,2*INT((2+WEEKDAY(DATE(PlanYear,3,1),2)-1)/7)+1,MOD(2+WEEKDAY(DATE(PlanYear,3,1),2)-1,7)+1)=AG$5,", "&amp;3,"")&amp;IF(INDEX($Q$9:$W$19,2*INT((3+WEEKDAY(DATE(PlanYear,3,1),2)-1)/7)+1,MOD(3+WEEKDAY(DATE(PlanYear,3,1),2)-1,7)+1)=AG$5,", "&amp;4,"")&amp;IF(INDEX($Q$9:$W$19,2*INT((4+WEEKDAY(DATE(PlanYear,3,1),2)-1)/7)+1,MOD(4+WEEKDAY(DATE(PlanYear,3,1),2)-1,7)+1)=AG$5,", "&amp;5,"")&amp;IF(INDEX($Q$9:$W$19,2*INT((5+WEEKDAY(DATE(PlanYear,3,1),2)-1)/7)+1,MOD(5+WEEKDAY(DATE(PlanYear,3,1),2)-1,7)+1)=AG$5,", "&amp;6,"")&amp;IF(INDEX($Q$9:$W$19,2*INT((6+WEEKDAY(DATE(PlanYear,3,1),2)-1)/7)+1,MOD(6+WEEKDAY(DATE(PlanYear,3,1),2)-1,7)+1)=AG$5,", "&amp;7,"")&amp;IF(INDEX($Q$9:$W$19,2*INT((7+WEEKDAY(DATE(PlanYear,3,1),2)-1)/7)+1,MOD(7+WEEKDAY(DATE(PlanYear,3,1),2)-1,7)+1)=AG$5,", "&amp;8,"")&amp;IF(INDEX($Q$9:$W$19,2*INT((8+WEEKDAY(DATE(PlanYear,3,1),2)-1)/7)+1,MOD(8+WEEKDAY(DATE(PlanYear,3,1),2)-1,7)+1)=AG$5,", "&amp;9,"")&amp;IF(INDEX($Q$9:$W$19,2*INT((9+WEEKDAY(DATE(PlanYear,3,1),2)-1)/7)+1,MOD(9+WEEKDAY(DATE(PlanYear,3,1),2)-1,7)+1)=AG$5,", "&amp;10,"")&amp;IF(INDEX($Q$9:$W$19,2*INT((10+WEEKDAY(DATE(PlanYear,3,1),2)-1)/7)+1,MOD(10+WEEKDAY(DATE(PlanYear,3,1),2)-1,7)+1)=AG$5,", "&amp;11,"")&amp;IF(INDEX($Q$9:$W$19,2*INT((11+WEEKDAY(DATE(PlanYear,3,1),2)-1)/7)+1,MOD(11+WEEKDAY(DATE(PlanYear,3,1),2)-1,7)+1)=AG$5,", "&amp;12,"")&amp;IF(INDEX($Q$9:$W$19,2*INT((12+WEEKDAY(DATE(PlanYear,3,1),2)-1)/7)+1,MOD(12+WEEKDAY(DATE(PlanYear,3,1),2)-1,7)+1)=AG$5,", "&amp;13,"")&amp;IF(INDEX($Q$9:$W$19,2*INT((13+WEEKDAY(DATE(PlanYear,3,1),2)-1)/7)+1,MOD(13+WEEKDAY(DATE(PlanYear,3,1),2)-1,7)+1)=AG$5,", "&amp;14,"")&amp;IF(INDEX($Q$9:$W$19,2*INT((14+WEEKDAY(DATE(PlanYear,3,1),2)-1)/7)+1,MOD(14+WEEKDAY(DATE(PlanYear,3,1),2)-1,7)+1)=AG$5,", "&amp;15,"")&amp;IF(INDEX($Q$9:$W$19,2*INT((15+WEEKDAY(DATE(PlanYear,3,1),2)-1)/7)+1,MOD(15+WEEKDAY(DATE(PlanYear,3,1),2)-1,7)+1)=AG$5,", "&amp;16,"")&amp;IF(INDEX($Q$9:$W$19,2*INT((16+WEEKDAY(DATE(PlanYear,3,1),2)-1)/7)+1,MOD(16+WEEKDAY(DATE(PlanYear,3,1),2)-1,7)+1)=AG$5,", "&amp;17,"")&amp;IF(INDEX($Q$9:$W$19,2*INT((17+WEEKDAY(DATE(PlanYear,3,1),2)-1)/7)+1,MOD(17+WEEKDAY(DATE(PlanYear,3,1),2)-1,7)+1)=AG$5,", "&amp;18,"")&amp;IF(INDEX($Q$9:$W$19,2*INT((18+WEEKDAY(DATE(PlanYear,3,1),2)-1)/7)+1,MOD(18+WEEKDAY(DATE(PlanYear,3,1),2)-1,7)+1)=AG$5,", "&amp;19,"")&amp;IF(INDEX($Q$9:$W$19,2*INT((19+WEEKDAY(DATE(PlanYear,3,1),2)-1)/7)+1,MOD(19+WEEKDAY(DATE(PlanYear,3,1),2)-1,7)+1)=AG$5,", "&amp;20,"")&amp;IF(INDEX($Q$9:$W$19,2*INT((20+WEEKDAY(DATE(PlanYear,3,1),2)-1)/7)+1,MOD(20+WEEKDAY(DATE(PlanYear,3,1),2)-1,7)+1)=AG$5,", "&amp;21,"")&amp;IF(INDEX($Q$9:$W$19,2*INT((21+WEEKDAY(DATE(PlanYear,3,1),2)-1)/7)+1,MOD(21+WEEKDAY(DATE(PlanYear,3,1),2)-1,7)+1)=AG$5,", "&amp;22,"")&amp;IF(INDEX($Q$9:$W$19,2*INT((22+WEEKDAY(DATE(PlanYear,3,1),2)-1)/7)+1,MOD(22+WEEKDAY(DATE(PlanYear,3,1),2)-1,7)+1)=AG$5,", "&amp;23,"")&amp;IF(INDEX($Q$9:$W$19,2*INT((23+WEEKDAY(DATE(PlanYear,3,1),2)-1)/7)+1,MOD(23+WEEKDAY(DATE(PlanYear,3,1),2)-1,7)+1)=AG$5,", "&amp;24,"")&amp;IF(INDEX($Q$9:$W$19,2*INT((24+WEEKDAY(DATE(PlanYear,3,1),2)-1)/7)+1,MOD(24+WEEKDAY(DATE(PlanYear,3,1),2)-1,7)+1)=AG$5,", "&amp;25,"")&amp;IF(INDEX($Q$9:$W$19,2*INT((25+WEEKDAY(DATE(PlanYear,3,1),2)-1)/7)+1,MOD(25+WEEKDAY(DATE(PlanYear,3,1),2)-1,7)+1)=AG$5,", "&amp;26,"")&amp;IF(INDEX($Q$9:$W$19,2*INT((26+WEEKDAY(DATE(PlanYear,3,1),2)-1)/7)+1,MOD(26+WEEKDAY(DATE(PlanYear,3,1),2)-1,7)+1)=AG$5,", "&amp;27,"")&amp;IF(INDEX($Q$9:$W$19,2*INT((27+WEEKDAY(DATE(PlanYear,3,1),2)-1)/7)+1,MOD(27+WEEKDAY(DATE(PlanYear,3,1),2)-1,7)+1)=AG$5,", "&amp;28,"")&amp;IF(INDEX($Q$9:$W$19,2*INT((28+WEEKDAY(DATE(PlanYear,3,1),2)-1)/7)+1,MOD(28+WEEKDAY(DATE(PlanYear,3,1),2)-1,7)+1)=AG$5,", "&amp;29,"")&amp;IF(INDEX($Q$9:$W$19,2*INT((29+WEEKDAY(DATE(PlanYear,3,1),2)-1)/7)+1,MOD(29+WEEKDAY(DATE(PlanYear,3,1),2)-1,7)+1)=AG$5,", "&amp;30,"")&amp;IF(INDEX($Q$9:$W$19,2*INT((30+WEEKDAY(DATE(PlanYear,3,1),2)-1)/7)+1,MOD(30+WEEKDAY(DATE(PlanYear,3,1),2)-1,7)+1)=AG$5,", "&amp;31,""),3,200))</f>
        <v/>
      </c>
      <c r="AH8" s="16">
        <f>IF(AH$5="","",MID(IF(INDEX($Q$9:$W$19,2*INT((0+WEEKDAY(DATE(PlanYear,3,1),2)-1)/7)+1,MOD(0+WEEKDAY(DATE(PlanYear,3,1),2)-1,7)+1)=AH$5,", "&amp;1,"")&amp;IF(INDEX($Q$9:$W$19,2*INT((1+WEEKDAY(DATE(PlanYear,3,1),2)-1)/7)+1,MOD(1+WEEKDAY(DATE(PlanYear,3,1),2)-1,7)+1)=AH$5,", "&amp;2,"")&amp;IF(INDEX($Q$9:$W$19,2*INT((2+WEEKDAY(DATE(PlanYear,3,1),2)-1)/7)+1,MOD(2+WEEKDAY(DATE(PlanYear,3,1),2)-1,7)+1)=AH$5,", "&amp;3,"")&amp;IF(INDEX($Q$9:$W$19,2*INT((3+WEEKDAY(DATE(PlanYear,3,1),2)-1)/7)+1,MOD(3+WEEKDAY(DATE(PlanYear,3,1),2)-1,7)+1)=AH$5,", "&amp;4,"")&amp;IF(INDEX($Q$9:$W$19,2*INT((4+WEEKDAY(DATE(PlanYear,3,1),2)-1)/7)+1,MOD(4+WEEKDAY(DATE(PlanYear,3,1),2)-1,7)+1)=AH$5,", "&amp;5,"")&amp;IF(INDEX($Q$9:$W$19,2*INT((5+WEEKDAY(DATE(PlanYear,3,1),2)-1)/7)+1,MOD(5+WEEKDAY(DATE(PlanYear,3,1),2)-1,7)+1)=AH$5,", "&amp;6,"")&amp;IF(INDEX($Q$9:$W$19,2*INT((6+WEEKDAY(DATE(PlanYear,3,1),2)-1)/7)+1,MOD(6+WEEKDAY(DATE(PlanYear,3,1),2)-1,7)+1)=AH$5,", "&amp;7,"")&amp;IF(INDEX($Q$9:$W$19,2*INT((7+WEEKDAY(DATE(PlanYear,3,1),2)-1)/7)+1,MOD(7+WEEKDAY(DATE(PlanYear,3,1),2)-1,7)+1)=AH$5,", "&amp;8,"")&amp;IF(INDEX($Q$9:$W$19,2*INT((8+WEEKDAY(DATE(PlanYear,3,1),2)-1)/7)+1,MOD(8+WEEKDAY(DATE(PlanYear,3,1),2)-1,7)+1)=AH$5,", "&amp;9,"")&amp;IF(INDEX($Q$9:$W$19,2*INT((9+WEEKDAY(DATE(PlanYear,3,1),2)-1)/7)+1,MOD(9+WEEKDAY(DATE(PlanYear,3,1),2)-1,7)+1)=AH$5,", "&amp;10,"")&amp;IF(INDEX($Q$9:$W$19,2*INT((10+WEEKDAY(DATE(PlanYear,3,1),2)-1)/7)+1,MOD(10+WEEKDAY(DATE(PlanYear,3,1),2)-1,7)+1)=AH$5,", "&amp;11,"")&amp;IF(INDEX($Q$9:$W$19,2*INT((11+WEEKDAY(DATE(PlanYear,3,1),2)-1)/7)+1,MOD(11+WEEKDAY(DATE(PlanYear,3,1),2)-1,7)+1)=AH$5,", "&amp;12,"")&amp;IF(INDEX($Q$9:$W$19,2*INT((12+WEEKDAY(DATE(PlanYear,3,1),2)-1)/7)+1,MOD(12+WEEKDAY(DATE(PlanYear,3,1),2)-1,7)+1)=AH$5,", "&amp;13,"")&amp;IF(INDEX($Q$9:$W$19,2*INT((13+WEEKDAY(DATE(PlanYear,3,1),2)-1)/7)+1,MOD(13+WEEKDAY(DATE(PlanYear,3,1),2)-1,7)+1)=AH$5,", "&amp;14,"")&amp;IF(INDEX($Q$9:$W$19,2*INT((14+WEEKDAY(DATE(PlanYear,3,1),2)-1)/7)+1,MOD(14+WEEKDAY(DATE(PlanYear,3,1),2)-1,7)+1)=AH$5,", "&amp;15,"")&amp;IF(INDEX($Q$9:$W$19,2*INT((15+WEEKDAY(DATE(PlanYear,3,1),2)-1)/7)+1,MOD(15+WEEKDAY(DATE(PlanYear,3,1),2)-1,7)+1)=AH$5,", "&amp;16,"")&amp;IF(INDEX($Q$9:$W$19,2*INT((16+WEEKDAY(DATE(PlanYear,3,1),2)-1)/7)+1,MOD(16+WEEKDAY(DATE(PlanYear,3,1),2)-1,7)+1)=AH$5,", "&amp;17,"")&amp;IF(INDEX($Q$9:$W$19,2*INT((17+WEEKDAY(DATE(PlanYear,3,1),2)-1)/7)+1,MOD(17+WEEKDAY(DATE(PlanYear,3,1),2)-1,7)+1)=AH$5,", "&amp;18,"")&amp;IF(INDEX($Q$9:$W$19,2*INT((18+WEEKDAY(DATE(PlanYear,3,1),2)-1)/7)+1,MOD(18+WEEKDAY(DATE(PlanYear,3,1),2)-1,7)+1)=AH$5,", "&amp;19,"")&amp;IF(INDEX($Q$9:$W$19,2*INT((19+WEEKDAY(DATE(PlanYear,3,1),2)-1)/7)+1,MOD(19+WEEKDAY(DATE(PlanYear,3,1),2)-1,7)+1)=AH$5,", "&amp;20,"")&amp;IF(INDEX($Q$9:$W$19,2*INT((20+WEEKDAY(DATE(PlanYear,3,1),2)-1)/7)+1,MOD(20+WEEKDAY(DATE(PlanYear,3,1),2)-1,7)+1)=AH$5,", "&amp;21,"")&amp;IF(INDEX($Q$9:$W$19,2*INT((21+WEEKDAY(DATE(PlanYear,3,1),2)-1)/7)+1,MOD(21+WEEKDAY(DATE(PlanYear,3,1),2)-1,7)+1)=AH$5,", "&amp;22,"")&amp;IF(INDEX($Q$9:$W$19,2*INT((22+WEEKDAY(DATE(PlanYear,3,1),2)-1)/7)+1,MOD(22+WEEKDAY(DATE(PlanYear,3,1),2)-1,7)+1)=AH$5,", "&amp;23,"")&amp;IF(INDEX($Q$9:$W$19,2*INT((23+WEEKDAY(DATE(PlanYear,3,1),2)-1)/7)+1,MOD(23+WEEKDAY(DATE(PlanYear,3,1),2)-1,7)+1)=AH$5,", "&amp;24,"")&amp;IF(INDEX($Q$9:$W$19,2*INT((24+WEEKDAY(DATE(PlanYear,3,1),2)-1)/7)+1,MOD(24+WEEKDAY(DATE(PlanYear,3,1),2)-1,7)+1)=AH$5,", "&amp;25,"")&amp;IF(INDEX($Q$9:$W$19,2*INT((25+WEEKDAY(DATE(PlanYear,3,1),2)-1)/7)+1,MOD(25+WEEKDAY(DATE(PlanYear,3,1),2)-1,7)+1)=AH$5,", "&amp;26,"")&amp;IF(INDEX($Q$9:$W$19,2*INT((26+WEEKDAY(DATE(PlanYear,3,1),2)-1)/7)+1,MOD(26+WEEKDAY(DATE(PlanYear,3,1),2)-1,7)+1)=AH$5,", "&amp;27,"")&amp;IF(INDEX($Q$9:$W$19,2*INT((27+WEEKDAY(DATE(PlanYear,3,1),2)-1)/7)+1,MOD(27+WEEKDAY(DATE(PlanYear,3,1),2)-1,7)+1)=AH$5,", "&amp;28,"")&amp;IF(INDEX($Q$9:$W$19,2*INT((28+WEEKDAY(DATE(PlanYear,3,1),2)-1)/7)+1,MOD(28+WEEKDAY(DATE(PlanYear,3,1),2)-1,7)+1)=AH$5,", "&amp;29,"")&amp;IF(INDEX($Q$9:$W$19,2*INT((29+WEEKDAY(DATE(PlanYear,3,1),2)-1)/7)+1,MOD(29+WEEKDAY(DATE(PlanYear,3,1),2)-1,7)+1)=AH$5,", "&amp;30,"")&amp;IF(INDEX($Q$9:$W$19,2*INT((30+WEEKDAY(DATE(PlanYear,3,1),2)-1)/7)+1,MOD(30+WEEKDAY(DATE(PlanYear,3,1),2)-1,7)+1)=AH$5,", "&amp;31,""),3,200))</f>
        <v/>
      </c>
      <c r="AI8" s="16">
        <f>IF(AI$5="","",MID(IF(INDEX($Q$9:$W$19,2*INT((0+WEEKDAY(DATE(PlanYear,3,1),2)-1)/7)+1,MOD(0+WEEKDAY(DATE(PlanYear,3,1),2)-1,7)+1)=AI$5,", "&amp;1,"")&amp;IF(INDEX($Q$9:$W$19,2*INT((1+WEEKDAY(DATE(PlanYear,3,1),2)-1)/7)+1,MOD(1+WEEKDAY(DATE(PlanYear,3,1),2)-1,7)+1)=AI$5,", "&amp;2,"")&amp;IF(INDEX($Q$9:$W$19,2*INT((2+WEEKDAY(DATE(PlanYear,3,1),2)-1)/7)+1,MOD(2+WEEKDAY(DATE(PlanYear,3,1),2)-1,7)+1)=AI$5,", "&amp;3,"")&amp;IF(INDEX($Q$9:$W$19,2*INT((3+WEEKDAY(DATE(PlanYear,3,1),2)-1)/7)+1,MOD(3+WEEKDAY(DATE(PlanYear,3,1),2)-1,7)+1)=AI$5,", "&amp;4,"")&amp;IF(INDEX($Q$9:$W$19,2*INT((4+WEEKDAY(DATE(PlanYear,3,1),2)-1)/7)+1,MOD(4+WEEKDAY(DATE(PlanYear,3,1),2)-1,7)+1)=AI$5,", "&amp;5,"")&amp;IF(INDEX($Q$9:$W$19,2*INT((5+WEEKDAY(DATE(PlanYear,3,1),2)-1)/7)+1,MOD(5+WEEKDAY(DATE(PlanYear,3,1),2)-1,7)+1)=AI$5,", "&amp;6,"")&amp;IF(INDEX($Q$9:$W$19,2*INT((6+WEEKDAY(DATE(PlanYear,3,1),2)-1)/7)+1,MOD(6+WEEKDAY(DATE(PlanYear,3,1),2)-1,7)+1)=AI$5,", "&amp;7,"")&amp;IF(INDEX($Q$9:$W$19,2*INT((7+WEEKDAY(DATE(PlanYear,3,1),2)-1)/7)+1,MOD(7+WEEKDAY(DATE(PlanYear,3,1),2)-1,7)+1)=AI$5,", "&amp;8,"")&amp;IF(INDEX($Q$9:$W$19,2*INT((8+WEEKDAY(DATE(PlanYear,3,1),2)-1)/7)+1,MOD(8+WEEKDAY(DATE(PlanYear,3,1),2)-1,7)+1)=AI$5,", "&amp;9,"")&amp;IF(INDEX($Q$9:$W$19,2*INT((9+WEEKDAY(DATE(PlanYear,3,1),2)-1)/7)+1,MOD(9+WEEKDAY(DATE(PlanYear,3,1),2)-1,7)+1)=AI$5,", "&amp;10,"")&amp;IF(INDEX($Q$9:$W$19,2*INT((10+WEEKDAY(DATE(PlanYear,3,1),2)-1)/7)+1,MOD(10+WEEKDAY(DATE(PlanYear,3,1),2)-1,7)+1)=AI$5,", "&amp;11,"")&amp;IF(INDEX($Q$9:$W$19,2*INT((11+WEEKDAY(DATE(PlanYear,3,1),2)-1)/7)+1,MOD(11+WEEKDAY(DATE(PlanYear,3,1),2)-1,7)+1)=AI$5,", "&amp;12,"")&amp;IF(INDEX($Q$9:$W$19,2*INT((12+WEEKDAY(DATE(PlanYear,3,1),2)-1)/7)+1,MOD(12+WEEKDAY(DATE(PlanYear,3,1),2)-1,7)+1)=AI$5,", "&amp;13,"")&amp;IF(INDEX($Q$9:$W$19,2*INT((13+WEEKDAY(DATE(PlanYear,3,1),2)-1)/7)+1,MOD(13+WEEKDAY(DATE(PlanYear,3,1),2)-1,7)+1)=AI$5,", "&amp;14,"")&amp;IF(INDEX($Q$9:$W$19,2*INT((14+WEEKDAY(DATE(PlanYear,3,1),2)-1)/7)+1,MOD(14+WEEKDAY(DATE(PlanYear,3,1),2)-1,7)+1)=AI$5,", "&amp;15,"")&amp;IF(INDEX($Q$9:$W$19,2*INT((15+WEEKDAY(DATE(PlanYear,3,1),2)-1)/7)+1,MOD(15+WEEKDAY(DATE(PlanYear,3,1),2)-1,7)+1)=AI$5,", "&amp;16,"")&amp;IF(INDEX($Q$9:$W$19,2*INT((16+WEEKDAY(DATE(PlanYear,3,1),2)-1)/7)+1,MOD(16+WEEKDAY(DATE(PlanYear,3,1),2)-1,7)+1)=AI$5,", "&amp;17,"")&amp;IF(INDEX($Q$9:$W$19,2*INT((17+WEEKDAY(DATE(PlanYear,3,1),2)-1)/7)+1,MOD(17+WEEKDAY(DATE(PlanYear,3,1),2)-1,7)+1)=AI$5,", "&amp;18,"")&amp;IF(INDEX($Q$9:$W$19,2*INT((18+WEEKDAY(DATE(PlanYear,3,1),2)-1)/7)+1,MOD(18+WEEKDAY(DATE(PlanYear,3,1),2)-1,7)+1)=AI$5,", "&amp;19,"")&amp;IF(INDEX($Q$9:$W$19,2*INT((19+WEEKDAY(DATE(PlanYear,3,1),2)-1)/7)+1,MOD(19+WEEKDAY(DATE(PlanYear,3,1),2)-1,7)+1)=AI$5,", "&amp;20,"")&amp;IF(INDEX($Q$9:$W$19,2*INT((20+WEEKDAY(DATE(PlanYear,3,1),2)-1)/7)+1,MOD(20+WEEKDAY(DATE(PlanYear,3,1),2)-1,7)+1)=AI$5,", "&amp;21,"")&amp;IF(INDEX($Q$9:$W$19,2*INT((21+WEEKDAY(DATE(PlanYear,3,1),2)-1)/7)+1,MOD(21+WEEKDAY(DATE(PlanYear,3,1),2)-1,7)+1)=AI$5,", "&amp;22,"")&amp;IF(INDEX($Q$9:$W$19,2*INT((22+WEEKDAY(DATE(PlanYear,3,1),2)-1)/7)+1,MOD(22+WEEKDAY(DATE(PlanYear,3,1),2)-1,7)+1)=AI$5,", "&amp;23,"")&amp;IF(INDEX($Q$9:$W$19,2*INT((23+WEEKDAY(DATE(PlanYear,3,1),2)-1)/7)+1,MOD(23+WEEKDAY(DATE(PlanYear,3,1),2)-1,7)+1)=AI$5,", "&amp;24,"")&amp;IF(INDEX($Q$9:$W$19,2*INT((24+WEEKDAY(DATE(PlanYear,3,1),2)-1)/7)+1,MOD(24+WEEKDAY(DATE(PlanYear,3,1),2)-1,7)+1)=AI$5,", "&amp;25,"")&amp;IF(INDEX($Q$9:$W$19,2*INT((25+WEEKDAY(DATE(PlanYear,3,1),2)-1)/7)+1,MOD(25+WEEKDAY(DATE(PlanYear,3,1),2)-1,7)+1)=AI$5,", "&amp;26,"")&amp;IF(INDEX($Q$9:$W$19,2*INT((26+WEEKDAY(DATE(PlanYear,3,1),2)-1)/7)+1,MOD(26+WEEKDAY(DATE(PlanYear,3,1),2)-1,7)+1)=AI$5,", "&amp;27,"")&amp;IF(INDEX($Q$9:$W$19,2*INT((27+WEEKDAY(DATE(PlanYear,3,1),2)-1)/7)+1,MOD(27+WEEKDAY(DATE(PlanYear,3,1),2)-1,7)+1)=AI$5,", "&amp;28,"")&amp;IF(INDEX($Q$9:$W$19,2*INT((28+WEEKDAY(DATE(PlanYear,3,1),2)-1)/7)+1,MOD(28+WEEKDAY(DATE(PlanYear,3,1),2)-1,7)+1)=AI$5,", "&amp;29,"")&amp;IF(INDEX($Q$9:$W$19,2*INT((29+WEEKDAY(DATE(PlanYear,3,1),2)-1)/7)+1,MOD(29+WEEKDAY(DATE(PlanYear,3,1),2)-1,7)+1)=AI$5,", "&amp;30,"")&amp;IF(INDEX($Q$9:$W$19,2*INT((30+WEEKDAY(DATE(PlanYear,3,1),2)-1)/7)+1,MOD(30+WEEKDAY(DATE(PlanYear,3,1),2)-1,7)+1)=AI$5,", "&amp;31,""),3,200))</f>
        <v/>
      </c>
      <c r="AJ8" s="16">
        <f>IF(AJ$5="","",MID(IF(INDEX($Q$9:$W$19,2*INT((0+WEEKDAY(DATE(PlanYear,3,1),2)-1)/7)+1,MOD(0+WEEKDAY(DATE(PlanYear,3,1),2)-1,7)+1)=AJ$5,", "&amp;1,"")&amp;IF(INDEX($Q$9:$W$19,2*INT((1+WEEKDAY(DATE(PlanYear,3,1),2)-1)/7)+1,MOD(1+WEEKDAY(DATE(PlanYear,3,1),2)-1,7)+1)=AJ$5,", "&amp;2,"")&amp;IF(INDEX($Q$9:$W$19,2*INT((2+WEEKDAY(DATE(PlanYear,3,1),2)-1)/7)+1,MOD(2+WEEKDAY(DATE(PlanYear,3,1),2)-1,7)+1)=AJ$5,", "&amp;3,"")&amp;IF(INDEX($Q$9:$W$19,2*INT((3+WEEKDAY(DATE(PlanYear,3,1),2)-1)/7)+1,MOD(3+WEEKDAY(DATE(PlanYear,3,1),2)-1,7)+1)=AJ$5,", "&amp;4,"")&amp;IF(INDEX($Q$9:$W$19,2*INT((4+WEEKDAY(DATE(PlanYear,3,1),2)-1)/7)+1,MOD(4+WEEKDAY(DATE(PlanYear,3,1),2)-1,7)+1)=AJ$5,", "&amp;5,"")&amp;IF(INDEX($Q$9:$W$19,2*INT((5+WEEKDAY(DATE(PlanYear,3,1),2)-1)/7)+1,MOD(5+WEEKDAY(DATE(PlanYear,3,1),2)-1,7)+1)=AJ$5,", "&amp;6,"")&amp;IF(INDEX($Q$9:$W$19,2*INT((6+WEEKDAY(DATE(PlanYear,3,1),2)-1)/7)+1,MOD(6+WEEKDAY(DATE(PlanYear,3,1),2)-1,7)+1)=AJ$5,", "&amp;7,"")&amp;IF(INDEX($Q$9:$W$19,2*INT((7+WEEKDAY(DATE(PlanYear,3,1),2)-1)/7)+1,MOD(7+WEEKDAY(DATE(PlanYear,3,1),2)-1,7)+1)=AJ$5,", "&amp;8,"")&amp;IF(INDEX($Q$9:$W$19,2*INT((8+WEEKDAY(DATE(PlanYear,3,1),2)-1)/7)+1,MOD(8+WEEKDAY(DATE(PlanYear,3,1),2)-1,7)+1)=AJ$5,", "&amp;9,"")&amp;IF(INDEX($Q$9:$W$19,2*INT((9+WEEKDAY(DATE(PlanYear,3,1),2)-1)/7)+1,MOD(9+WEEKDAY(DATE(PlanYear,3,1),2)-1,7)+1)=AJ$5,", "&amp;10,"")&amp;IF(INDEX($Q$9:$W$19,2*INT((10+WEEKDAY(DATE(PlanYear,3,1),2)-1)/7)+1,MOD(10+WEEKDAY(DATE(PlanYear,3,1),2)-1,7)+1)=AJ$5,", "&amp;11,"")&amp;IF(INDEX($Q$9:$W$19,2*INT((11+WEEKDAY(DATE(PlanYear,3,1),2)-1)/7)+1,MOD(11+WEEKDAY(DATE(PlanYear,3,1),2)-1,7)+1)=AJ$5,", "&amp;12,"")&amp;IF(INDEX($Q$9:$W$19,2*INT((12+WEEKDAY(DATE(PlanYear,3,1),2)-1)/7)+1,MOD(12+WEEKDAY(DATE(PlanYear,3,1),2)-1,7)+1)=AJ$5,", "&amp;13,"")&amp;IF(INDEX($Q$9:$W$19,2*INT((13+WEEKDAY(DATE(PlanYear,3,1),2)-1)/7)+1,MOD(13+WEEKDAY(DATE(PlanYear,3,1),2)-1,7)+1)=AJ$5,", "&amp;14,"")&amp;IF(INDEX($Q$9:$W$19,2*INT((14+WEEKDAY(DATE(PlanYear,3,1),2)-1)/7)+1,MOD(14+WEEKDAY(DATE(PlanYear,3,1),2)-1,7)+1)=AJ$5,", "&amp;15,"")&amp;IF(INDEX($Q$9:$W$19,2*INT((15+WEEKDAY(DATE(PlanYear,3,1),2)-1)/7)+1,MOD(15+WEEKDAY(DATE(PlanYear,3,1),2)-1,7)+1)=AJ$5,", "&amp;16,"")&amp;IF(INDEX($Q$9:$W$19,2*INT((16+WEEKDAY(DATE(PlanYear,3,1),2)-1)/7)+1,MOD(16+WEEKDAY(DATE(PlanYear,3,1),2)-1,7)+1)=AJ$5,", "&amp;17,"")&amp;IF(INDEX($Q$9:$W$19,2*INT((17+WEEKDAY(DATE(PlanYear,3,1),2)-1)/7)+1,MOD(17+WEEKDAY(DATE(PlanYear,3,1),2)-1,7)+1)=AJ$5,", "&amp;18,"")&amp;IF(INDEX($Q$9:$W$19,2*INT((18+WEEKDAY(DATE(PlanYear,3,1),2)-1)/7)+1,MOD(18+WEEKDAY(DATE(PlanYear,3,1),2)-1,7)+1)=AJ$5,", "&amp;19,"")&amp;IF(INDEX($Q$9:$W$19,2*INT((19+WEEKDAY(DATE(PlanYear,3,1),2)-1)/7)+1,MOD(19+WEEKDAY(DATE(PlanYear,3,1),2)-1,7)+1)=AJ$5,", "&amp;20,"")&amp;IF(INDEX($Q$9:$W$19,2*INT((20+WEEKDAY(DATE(PlanYear,3,1),2)-1)/7)+1,MOD(20+WEEKDAY(DATE(PlanYear,3,1),2)-1,7)+1)=AJ$5,", "&amp;21,"")&amp;IF(INDEX($Q$9:$W$19,2*INT((21+WEEKDAY(DATE(PlanYear,3,1),2)-1)/7)+1,MOD(21+WEEKDAY(DATE(PlanYear,3,1),2)-1,7)+1)=AJ$5,", "&amp;22,"")&amp;IF(INDEX($Q$9:$W$19,2*INT((22+WEEKDAY(DATE(PlanYear,3,1),2)-1)/7)+1,MOD(22+WEEKDAY(DATE(PlanYear,3,1),2)-1,7)+1)=AJ$5,", "&amp;23,"")&amp;IF(INDEX($Q$9:$W$19,2*INT((23+WEEKDAY(DATE(PlanYear,3,1),2)-1)/7)+1,MOD(23+WEEKDAY(DATE(PlanYear,3,1),2)-1,7)+1)=AJ$5,", "&amp;24,"")&amp;IF(INDEX($Q$9:$W$19,2*INT((24+WEEKDAY(DATE(PlanYear,3,1),2)-1)/7)+1,MOD(24+WEEKDAY(DATE(PlanYear,3,1),2)-1,7)+1)=AJ$5,", "&amp;25,"")&amp;IF(INDEX($Q$9:$W$19,2*INT((25+WEEKDAY(DATE(PlanYear,3,1),2)-1)/7)+1,MOD(25+WEEKDAY(DATE(PlanYear,3,1),2)-1,7)+1)=AJ$5,", "&amp;26,"")&amp;IF(INDEX($Q$9:$W$19,2*INT((26+WEEKDAY(DATE(PlanYear,3,1),2)-1)/7)+1,MOD(26+WEEKDAY(DATE(PlanYear,3,1),2)-1,7)+1)=AJ$5,", "&amp;27,"")&amp;IF(INDEX($Q$9:$W$19,2*INT((27+WEEKDAY(DATE(PlanYear,3,1),2)-1)/7)+1,MOD(27+WEEKDAY(DATE(PlanYear,3,1),2)-1,7)+1)=AJ$5,", "&amp;28,"")&amp;IF(INDEX($Q$9:$W$19,2*INT((28+WEEKDAY(DATE(PlanYear,3,1),2)-1)/7)+1,MOD(28+WEEKDAY(DATE(PlanYear,3,1),2)-1,7)+1)=AJ$5,", "&amp;29,"")&amp;IF(INDEX($Q$9:$W$19,2*INT((29+WEEKDAY(DATE(PlanYear,3,1),2)-1)/7)+1,MOD(29+WEEKDAY(DATE(PlanYear,3,1),2)-1,7)+1)=AJ$5,", "&amp;30,"")&amp;IF(INDEX($Q$9:$W$19,2*INT((30+WEEKDAY(DATE(PlanYear,3,1),2)-1)/7)+1,MOD(30+WEEKDAY(DATE(PlanYear,3,1),2)-1,7)+1)=AJ$5,", "&amp;31,""),3,200))</f>
        <v/>
      </c>
      <c r="AK8" s="17">
        <f>DAY(EOMONTH(DATE(PlanYear,3,1),0))-COUNTIF($Q$9:$W$19,"?*")</f>
        <v/>
      </c>
    </row>
    <row r="9" ht="26" customHeight="1">
      <c r="A9" s="21" t="n"/>
      <c r="B9" s="21" t="n"/>
      <c r="C9" s="21" t="n"/>
      <c r="D9" s="21" t="n"/>
      <c r="E9" s="21" t="n"/>
      <c r="F9" s="21" t="n"/>
      <c r="G9" s="21" t="n"/>
      <c r="I9" s="21" t="n"/>
      <c r="J9" s="21" t="n"/>
      <c r="K9" s="21" t="n"/>
      <c r="L9" s="21" t="n"/>
      <c r="M9" s="21" t="n"/>
      <c r="N9" s="21" t="n"/>
      <c r="O9" s="21" t="n"/>
      <c r="Q9" s="21" t="n"/>
      <c r="R9" s="21" t="n"/>
      <c r="S9" s="21" t="n"/>
      <c r="T9" s="21" t="n"/>
      <c r="U9" s="21" t="n"/>
      <c r="V9" s="21" t="n"/>
      <c r="W9" s="21" t="n"/>
      <c r="Z9" s="15" t="inlineStr">
        <is>
          <t>April</t>
        </is>
      </c>
      <c r="AA9" s="16">
        <f>IF(AA$5="","",MID(IF(INDEX($A$25:$G$35,2*INT((0+WEEKDAY(DATE(PlanYear,4,1),2)-1)/7)+1,MOD(0+WEEKDAY(DATE(PlanYear,4,1),2)-1,7)+1)=AA$5,", "&amp;1,"")&amp;IF(INDEX($A$25:$G$35,2*INT((1+WEEKDAY(DATE(PlanYear,4,1),2)-1)/7)+1,MOD(1+WEEKDAY(DATE(PlanYear,4,1),2)-1,7)+1)=AA$5,", "&amp;2,"")&amp;IF(INDEX($A$25:$G$35,2*INT((2+WEEKDAY(DATE(PlanYear,4,1),2)-1)/7)+1,MOD(2+WEEKDAY(DATE(PlanYear,4,1),2)-1,7)+1)=AA$5,", "&amp;3,"")&amp;IF(INDEX($A$25:$G$35,2*INT((3+WEEKDAY(DATE(PlanYear,4,1),2)-1)/7)+1,MOD(3+WEEKDAY(DATE(PlanYear,4,1),2)-1,7)+1)=AA$5,", "&amp;4,"")&amp;IF(INDEX($A$25:$G$35,2*INT((4+WEEKDAY(DATE(PlanYear,4,1),2)-1)/7)+1,MOD(4+WEEKDAY(DATE(PlanYear,4,1),2)-1,7)+1)=AA$5,", "&amp;5,"")&amp;IF(INDEX($A$25:$G$35,2*INT((5+WEEKDAY(DATE(PlanYear,4,1),2)-1)/7)+1,MOD(5+WEEKDAY(DATE(PlanYear,4,1),2)-1,7)+1)=AA$5,", "&amp;6,"")&amp;IF(INDEX($A$25:$G$35,2*INT((6+WEEKDAY(DATE(PlanYear,4,1),2)-1)/7)+1,MOD(6+WEEKDAY(DATE(PlanYear,4,1),2)-1,7)+1)=AA$5,", "&amp;7,"")&amp;IF(INDEX($A$25:$G$35,2*INT((7+WEEKDAY(DATE(PlanYear,4,1),2)-1)/7)+1,MOD(7+WEEKDAY(DATE(PlanYear,4,1),2)-1,7)+1)=AA$5,", "&amp;8,"")&amp;IF(INDEX($A$25:$G$35,2*INT((8+WEEKDAY(DATE(PlanYear,4,1),2)-1)/7)+1,MOD(8+WEEKDAY(DATE(PlanYear,4,1),2)-1,7)+1)=AA$5,", "&amp;9,"")&amp;IF(INDEX($A$25:$G$35,2*INT((9+WEEKDAY(DATE(PlanYear,4,1),2)-1)/7)+1,MOD(9+WEEKDAY(DATE(PlanYear,4,1),2)-1,7)+1)=AA$5,", "&amp;10,"")&amp;IF(INDEX($A$25:$G$35,2*INT((10+WEEKDAY(DATE(PlanYear,4,1),2)-1)/7)+1,MOD(10+WEEKDAY(DATE(PlanYear,4,1),2)-1,7)+1)=AA$5,", "&amp;11,"")&amp;IF(INDEX($A$25:$G$35,2*INT((11+WEEKDAY(DATE(PlanYear,4,1),2)-1)/7)+1,MOD(11+WEEKDAY(DATE(PlanYear,4,1),2)-1,7)+1)=AA$5,", "&amp;12,"")&amp;IF(INDEX($A$25:$G$35,2*INT((12+WEEKDAY(DATE(PlanYear,4,1),2)-1)/7)+1,MOD(12+WEEKDAY(DATE(PlanYear,4,1),2)-1,7)+1)=AA$5,", "&amp;13,"")&amp;IF(INDEX($A$25:$G$35,2*INT((13+WEEKDAY(DATE(PlanYear,4,1),2)-1)/7)+1,MOD(13+WEEKDAY(DATE(PlanYear,4,1),2)-1,7)+1)=AA$5,", "&amp;14,"")&amp;IF(INDEX($A$25:$G$35,2*INT((14+WEEKDAY(DATE(PlanYear,4,1),2)-1)/7)+1,MOD(14+WEEKDAY(DATE(PlanYear,4,1),2)-1,7)+1)=AA$5,", "&amp;15,"")&amp;IF(INDEX($A$25:$G$35,2*INT((15+WEEKDAY(DATE(PlanYear,4,1),2)-1)/7)+1,MOD(15+WEEKDAY(DATE(PlanYear,4,1),2)-1,7)+1)=AA$5,", "&amp;16,"")&amp;IF(INDEX($A$25:$G$35,2*INT((16+WEEKDAY(DATE(PlanYear,4,1),2)-1)/7)+1,MOD(16+WEEKDAY(DATE(PlanYear,4,1),2)-1,7)+1)=AA$5,", "&amp;17,"")&amp;IF(INDEX($A$25:$G$35,2*INT((17+WEEKDAY(DATE(PlanYear,4,1),2)-1)/7)+1,MOD(17+WEEKDAY(DATE(PlanYear,4,1),2)-1,7)+1)=AA$5,", "&amp;18,"")&amp;IF(INDEX($A$25:$G$35,2*INT((18+WEEKDAY(DATE(PlanYear,4,1),2)-1)/7)+1,MOD(18+WEEKDAY(DATE(PlanYear,4,1),2)-1,7)+1)=AA$5,", "&amp;19,"")&amp;IF(INDEX($A$25:$G$35,2*INT((19+WEEKDAY(DATE(PlanYear,4,1),2)-1)/7)+1,MOD(19+WEEKDAY(DATE(PlanYear,4,1),2)-1,7)+1)=AA$5,", "&amp;20,"")&amp;IF(INDEX($A$25:$G$35,2*INT((20+WEEKDAY(DATE(PlanYear,4,1),2)-1)/7)+1,MOD(20+WEEKDAY(DATE(PlanYear,4,1),2)-1,7)+1)=AA$5,", "&amp;21,"")&amp;IF(INDEX($A$25:$G$35,2*INT((21+WEEKDAY(DATE(PlanYear,4,1),2)-1)/7)+1,MOD(21+WEEKDAY(DATE(PlanYear,4,1),2)-1,7)+1)=AA$5,", "&amp;22,"")&amp;IF(INDEX($A$25:$G$35,2*INT((22+WEEKDAY(DATE(PlanYear,4,1),2)-1)/7)+1,MOD(22+WEEKDAY(DATE(PlanYear,4,1),2)-1,7)+1)=AA$5,", "&amp;23,"")&amp;IF(INDEX($A$25:$G$35,2*INT((23+WEEKDAY(DATE(PlanYear,4,1),2)-1)/7)+1,MOD(23+WEEKDAY(DATE(PlanYear,4,1),2)-1,7)+1)=AA$5,", "&amp;24,"")&amp;IF(INDEX($A$25:$G$35,2*INT((24+WEEKDAY(DATE(PlanYear,4,1),2)-1)/7)+1,MOD(24+WEEKDAY(DATE(PlanYear,4,1),2)-1,7)+1)=AA$5,", "&amp;25,"")&amp;IF(INDEX($A$25:$G$35,2*INT((25+WEEKDAY(DATE(PlanYear,4,1),2)-1)/7)+1,MOD(25+WEEKDAY(DATE(PlanYear,4,1),2)-1,7)+1)=AA$5,", "&amp;26,"")&amp;IF(INDEX($A$25:$G$35,2*INT((26+WEEKDAY(DATE(PlanYear,4,1),2)-1)/7)+1,MOD(26+WEEKDAY(DATE(PlanYear,4,1),2)-1,7)+1)=AA$5,", "&amp;27,"")&amp;IF(INDEX($A$25:$G$35,2*INT((27+WEEKDAY(DATE(PlanYear,4,1),2)-1)/7)+1,MOD(27+WEEKDAY(DATE(PlanYear,4,1),2)-1,7)+1)=AA$5,", "&amp;28,"")&amp;IF(INDEX($A$25:$G$35,2*INT((28+WEEKDAY(DATE(PlanYear,4,1),2)-1)/7)+1,MOD(28+WEEKDAY(DATE(PlanYear,4,1),2)-1,7)+1)=AA$5,", "&amp;29,"")&amp;IF(INDEX($A$25:$G$35,2*INT((29+WEEKDAY(DATE(PlanYear,4,1),2)-1)/7)+1,MOD(29+WEEKDAY(DATE(PlanYear,4,1),2)-1,7)+1)=AA$5,", "&amp;30,"")&amp;IF(INDEX($A$25:$G$35,2*INT((30+WEEKDAY(DATE(PlanYear,4,1),2)-1)/7)+1,MOD(30+WEEKDAY(DATE(PlanYear,4,1),2)-1,7)+1)=AA$5,", "&amp;31,""),3,200))</f>
        <v/>
      </c>
      <c r="AB9" s="16">
        <f>IF(AB$5="","",MID(IF(INDEX($A$25:$G$35,2*INT((0+WEEKDAY(DATE(PlanYear,4,1),2)-1)/7)+1,MOD(0+WEEKDAY(DATE(PlanYear,4,1),2)-1,7)+1)=AB$5,", "&amp;1,"")&amp;IF(INDEX($A$25:$G$35,2*INT((1+WEEKDAY(DATE(PlanYear,4,1),2)-1)/7)+1,MOD(1+WEEKDAY(DATE(PlanYear,4,1),2)-1,7)+1)=AB$5,", "&amp;2,"")&amp;IF(INDEX($A$25:$G$35,2*INT((2+WEEKDAY(DATE(PlanYear,4,1),2)-1)/7)+1,MOD(2+WEEKDAY(DATE(PlanYear,4,1),2)-1,7)+1)=AB$5,", "&amp;3,"")&amp;IF(INDEX($A$25:$G$35,2*INT((3+WEEKDAY(DATE(PlanYear,4,1),2)-1)/7)+1,MOD(3+WEEKDAY(DATE(PlanYear,4,1),2)-1,7)+1)=AB$5,", "&amp;4,"")&amp;IF(INDEX($A$25:$G$35,2*INT((4+WEEKDAY(DATE(PlanYear,4,1),2)-1)/7)+1,MOD(4+WEEKDAY(DATE(PlanYear,4,1),2)-1,7)+1)=AB$5,", "&amp;5,"")&amp;IF(INDEX($A$25:$G$35,2*INT((5+WEEKDAY(DATE(PlanYear,4,1),2)-1)/7)+1,MOD(5+WEEKDAY(DATE(PlanYear,4,1),2)-1,7)+1)=AB$5,", "&amp;6,"")&amp;IF(INDEX($A$25:$G$35,2*INT((6+WEEKDAY(DATE(PlanYear,4,1),2)-1)/7)+1,MOD(6+WEEKDAY(DATE(PlanYear,4,1),2)-1,7)+1)=AB$5,", "&amp;7,"")&amp;IF(INDEX($A$25:$G$35,2*INT((7+WEEKDAY(DATE(PlanYear,4,1),2)-1)/7)+1,MOD(7+WEEKDAY(DATE(PlanYear,4,1),2)-1,7)+1)=AB$5,", "&amp;8,"")&amp;IF(INDEX($A$25:$G$35,2*INT((8+WEEKDAY(DATE(PlanYear,4,1),2)-1)/7)+1,MOD(8+WEEKDAY(DATE(PlanYear,4,1),2)-1,7)+1)=AB$5,", "&amp;9,"")&amp;IF(INDEX($A$25:$G$35,2*INT((9+WEEKDAY(DATE(PlanYear,4,1),2)-1)/7)+1,MOD(9+WEEKDAY(DATE(PlanYear,4,1),2)-1,7)+1)=AB$5,", "&amp;10,"")&amp;IF(INDEX($A$25:$G$35,2*INT((10+WEEKDAY(DATE(PlanYear,4,1),2)-1)/7)+1,MOD(10+WEEKDAY(DATE(PlanYear,4,1),2)-1,7)+1)=AB$5,", "&amp;11,"")&amp;IF(INDEX($A$25:$G$35,2*INT((11+WEEKDAY(DATE(PlanYear,4,1),2)-1)/7)+1,MOD(11+WEEKDAY(DATE(PlanYear,4,1),2)-1,7)+1)=AB$5,", "&amp;12,"")&amp;IF(INDEX($A$25:$G$35,2*INT((12+WEEKDAY(DATE(PlanYear,4,1),2)-1)/7)+1,MOD(12+WEEKDAY(DATE(PlanYear,4,1),2)-1,7)+1)=AB$5,", "&amp;13,"")&amp;IF(INDEX($A$25:$G$35,2*INT((13+WEEKDAY(DATE(PlanYear,4,1),2)-1)/7)+1,MOD(13+WEEKDAY(DATE(PlanYear,4,1),2)-1,7)+1)=AB$5,", "&amp;14,"")&amp;IF(INDEX($A$25:$G$35,2*INT((14+WEEKDAY(DATE(PlanYear,4,1),2)-1)/7)+1,MOD(14+WEEKDAY(DATE(PlanYear,4,1),2)-1,7)+1)=AB$5,", "&amp;15,"")&amp;IF(INDEX($A$25:$G$35,2*INT((15+WEEKDAY(DATE(PlanYear,4,1),2)-1)/7)+1,MOD(15+WEEKDAY(DATE(PlanYear,4,1),2)-1,7)+1)=AB$5,", "&amp;16,"")&amp;IF(INDEX($A$25:$G$35,2*INT((16+WEEKDAY(DATE(PlanYear,4,1),2)-1)/7)+1,MOD(16+WEEKDAY(DATE(PlanYear,4,1),2)-1,7)+1)=AB$5,", "&amp;17,"")&amp;IF(INDEX($A$25:$G$35,2*INT((17+WEEKDAY(DATE(PlanYear,4,1),2)-1)/7)+1,MOD(17+WEEKDAY(DATE(PlanYear,4,1),2)-1,7)+1)=AB$5,", "&amp;18,"")&amp;IF(INDEX($A$25:$G$35,2*INT((18+WEEKDAY(DATE(PlanYear,4,1),2)-1)/7)+1,MOD(18+WEEKDAY(DATE(PlanYear,4,1),2)-1,7)+1)=AB$5,", "&amp;19,"")&amp;IF(INDEX($A$25:$G$35,2*INT((19+WEEKDAY(DATE(PlanYear,4,1),2)-1)/7)+1,MOD(19+WEEKDAY(DATE(PlanYear,4,1),2)-1,7)+1)=AB$5,", "&amp;20,"")&amp;IF(INDEX($A$25:$G$35,2*INT((20+WEEKDAY(DATE(PlanYear,4,1),2)-1)/7)+1,MOD(20+WEEKDAY(DATE(PlanYear,4,1),2)-1,7)+1)=AB$5,", "&amp;21,"")&amp;IF(INDEX($A$25:$G$35,2*INT((21+WEEKDAY(DATE(PlanYear,4,1),2)-1)/7)+1,MOD(21+WEEKDAY(DATE(PlanYear,4,1),2)-1,7)+1)=AB$5,", "&amp;22,"")&amp;IF(INDEX($A$25:$G$35,2*INT((22+WEEKDAY(DATE(PlanYear,4,1),2)-1)/7)+1,MOD(22+WEEKDAY(DATE(PlanYear,4,1),2)-1,7)+1)=AB$5,", "&amp;23,"")&amp;IF(INDEX($A$25:$G$35,2*INT((23+WEEKDAY(DATE(PlanYear,4,1),2)-1)/7)+1,MOD(23+WEEKDAY(DATE(PlanYear,4,1),2)-1,7)+1)=AB$5,", "&amp;24,"")&amp;IF(INDEX($A$25:$G$35,2*INT((24+WEEKDAY(DATE(PlanYear,4,1),2)-1)/7)+1,MOD(24+WEEKDAY(DATE(PlanYear,4,1),2)-1,7)+1)=AB$5,", "&amp;25,"")&amp;IF(INDEX($A$25:$G$35,2*INT((25+WEEKDAY(DATE(PlanYear,4,1),2)-1)/7)+1,MOD(25+WEEKDAY(DATE(PlanYear,4,1),2)-1,7)+1)=AB$5,", "&amp;26,"")&amp;IF(INDEX($A$25:$G$35,2*INT((26+WEEKDAY(DATE(PlanYear,4,1),2)-1)/7)+1,MOD(26+WEEKDAY(DATE(PlanYear,4,1),2)-1,7)+1)=AB$5,", "&amp;27,"")&amp;IF(INDEX($A$25:$G$35,2*INT((27+WEEKDAY(DATE(PlanYear,4,1),2)-1)/7)+1,MOD(27+WEEKDAY(DATE(PlanYear,4,1),2)-1,7)+1)=AB$5,", "&amp;28,"")&amp;IF(INDEX($A$25:$G$35,2*INT((28+WEEKDAY(DATE(PlanYear,4,1),2)-1)/7)+1,MOD(28+WEEKDAY(DATE(PlanYear,4,1),2)-1,7)+1)=AB$5,", "&amp;29,"")&amp;IF(INDEX($A$25:$G$35,2*INT((29+WEEKDAY(DATE(PlanYear,4,1),2)-1)/7)+1,MOD(29+WEEKDAY(DATE(PlanYear,4,1),2)-1,7)+1)=AB$5,", "&amp;30,"")&amp;IF(INDEX($A$25:$G$35,2*INT((30+WEEKDAY(DATE(PlanYear,4,1),2)-1)/7)+1,MOD(30+WEEKDAY(DATE(PlanYear,4,1),2)-1,7)+1)=AB$5,", "&amp;31,""),3,200))</f>
        <v/>
      </c>
      <c r="AC9" s="16">
        <f>IF(AC$5="","",MID(IF(INDEX($A$25:$G$35,2*INT((0+WEEKDAY(DATE(PlanYear,4,1),2)-1)/7)+1,MOD(0+WEEKDAY(DATE(PlanYear,4,1),2)-1,7)+1)=AC$5,", "&amp;1,"")&amp;IF(INDEX($A$25:$G$35,2*INT((1+WEEKDAY(DATE(PlanYear,4,1),2)-1)/7)+1,MOD(1+WEEKDAY(DATE(PlanYear,4,1),2)-1,7)+1)=AC$5,", "&amp;2,"")&amp;IF(INDEX($A$25:$G$35,2*INT((2+WEEKDAY(DATE(PlanYear,4,1),2)-1)/7)+1,MOD(2+WEEKDAY(DATE(PlanYear,4,1),2)-1,7)+1)=AC$5,", "&amp;3,"")&amp;IF(INDEX($A$25:$G$35,2*INT((3+WEEKDAY(DATE(PlanYear,4,1),2)-1)/7)+1,MOD(3+WEEKDAY(DATE(PlanYear,4,1),2)-1,7)+1)=AC$5,", "&amp;4,"")&amp;IF(INDEX($A$25:$G$35,2*INT((4+WEEKDAY(DATE(PlanYear,4,1),2)-1)/7)+1,MOD(4+WEEKDAY(DATE(PlanYear,4,1),2)-1,7)+1)=AC$5,", "&amp;5,"")&amp;IF(INDEX($A$25:$G$35,2*INT((5+WEEKDAY(DATE(PlanYear,4,1),2)-1)/7)+1,MOD(5+WEEKDAY(DATE(PlanYear,4,1),2)-1,7)+1)=AC$5,", "&amp;6,"")&amp;IF(INDEX($A$25:$G$35,2*INT((6+WEEKDAY(DATE(PlanYear,4,1),2)-1)/7)+1,MOD(6+WEEKDAY(DATE(PlanYear,4,1),2)-1,7)+1)=AC$5,", "&amp;7,"")&amp;IF(INDEX($A$25:$G$35,2*INT((7+WEEKDAY(DATE(PlanYear,4,1),2)-1)/7)+1,MOD(7+WEEKDAY(DATE(PlanYear,4,1),2)-1,7)+1)=AC$5,", "&amp;8,"")&amp;IF(INDEX($A$25:$G$35,2*INT((8+WEEKDAY(DATE(PlanYear,4,1),2)-1)/7)+1,MOD(8+WEEKDAY(DATE(PlanYear,4,1),2)-1,7)+1)=AC$5,", "&amp;9,"")&amp;IF(INDEX($A$25:$G$35,2*INT((9+WEEKDAY(DATE(PlanYear,4,1),2)-1)/7)+1,MOD(9+WEEKDAY(DATE(PlanYear,4,1),2)-1,7)+1)=AC$5,", "&amp;10,"")&amp;IF(INDEX($A$25:$G$35,2*INT((10+WEEKDAY(DATE(PlanYear,4,1),2)-1)/7)+1,MOD(10+WEEKDAY(DATE(PlanYear,4,1),2)-1,7)+1)=AC$5,", "&amp;11,"")&amp;IF(INDEX($A$25:$G$35,2*INT((11+WEEKDAY(DATE(PlanYear,4,1),2)-1)/7)+1,MOD(11+WEEKDAY(DATE(PlanYear,4,1),2)-1,7)+1)=AC$5,", "&amp;12,"")&amp;IF(INDEX($A$25:$G$35,2*INT((12+WEEKDAY(DATE(PlanYear,4,1),2)-1)/7)+1,MOD(12+WEEKDAY(DATE(PlanYear,4,1),2)-1,7)+1)=AC$5,", "&amp;13,"")&amp;IF(INDEX($A$25:$G$35,2*INT((13+WEEKDAY(DATE(PlanYear,4,1),2)-1)/7)+1,MOD(13+WEEKDAY(DATE(PlanYear,4,1),2)-1,7)+1)=AC$5,", "&amp;14,"")&amp;IF(INDEX($A$25:$G$35,2*INT((14+WEEKDAY(DATE(PlanYear,4,1),2)-1)/7)+1,MOD(14+WEEKDAY(DATE(PlanYear,4,1),2)-1,7)+1)=AC$5,", "&amp;15,"")&amp;IF(INDEX($A$25:$G$35,2*INT((15+WEEKDAY(DATE(PlanYear,4,1),2)-1)/7)+1,MOD(15+WEEKDAY(DATE(PlanYear,4,1),2)-1,7)+1)=AC$5,", "&amp;16,"")&amp;IF(INDEX($A$25:$G$35,2*INT((16+WEEKDAY(DATE(PlanYear,4,1),2)-1)/7)+1,MOD(16+WEEKDAY(DATE(PlanYear,4,1),2)-1,7)+1)=AC$5,", "&amp;17,"")&amp;IF(INDEX($A$25:$G$35,2*INT((17+WEEKDAY(DATE(PlanYear,4,1),2)-1)/7)+1,MOD(17+WEEKDAY(DATE(PlanYear,4,1),2)-1,7)+1)=AC$5,", "&amp;18,"")&amp;IF(INDEX($A$25:$G$35,2*INT((18+WEEKDAY(DATE(PlanYear,4,1),2)-1)/7)+1,MOD(18+WEEKDAY(DATE(PlanYear,4,1),2)-1,7)+1)=AC$5,", "&amp;19,"")&amp;IF(INDEX($A$25:$G$35,2*INT((19+WEEKDAY(DATE(PlanYear,4,1),2)-1)/7)+1,MOD(19+WEEKDAY(DATE(PlanYear,4,1),2)-1,7)+1)=AC$5,", "&amp;20,"")&amp;IF(INDEX($A$25:$G$35,2*INT((20+WEEKDAY(DATE(PlanYear,4,1),2)-1)/7)+1,MOD(20+WEEKDAY(DATE(PlanYear,4,1),2)-1,7)+1)=AC$5,", "&amp;21,"")&amp;IF(INDEX($A$25:$G$35,2*INT((21+WEEKDAY(DATE(PlanYear,4,1),2)-1)/7)+1,MOD(21+WEEKDAY(DATE(PlanYear,4,1),2)-1,7)+1)=AC$5,", "&amp;22,"")&amp;IF(INDEX($A$25:$G$35,2*INT((22+WEEKDAY(DATE(PlanYear,4,1),2)-1)/7)+1,MOD(22+WEEKDAY(DATE(PlanYear,4,1),2)-1,7)+1)=AC$5,", "&amp;23,"")&amp;IF(INDEX($A$25:$G$35,2*INT((23+WEEKDAY(DATE(PlanYear,4,1),2)-1)/7)+1,MOD(23+WEEKDAY(DATE(PlanYear,4,1),2)-1,7)+1)=AC$5,", "&amp;24,"")&amp;IF(INDEX($A$25:$G$35,2*INT((24+WEEKDAY(DATE(PlanYear,4,1),2)-1)/7)+1,MOD(24+WEEKDAY(DATE(PlanYear,4,1),2)-1,7)+1)=AC$5,", "&amp;25,"")&amp;IF(INDEX($A$25:$G$35,2*INT((25+WEEKDAY(DATE(PlanYear,4,1),2)-1)/7)+1,MOD(25+WEEKDAY(DATE(PlanYear,4,1),2)-1,7)+1)=AC$5,", "&amp;26,"")&amp;IF(INDEX($A$25:$G$35,2*INT((26+WEEKDAY(DATE(PlanYear,4,1),2)-1)/7)+1,MOD(26+WEEKDAY(DATE(PlanYear,4,1),2)-1,7)+1)=AC$5,", "&amp;27,"")&amp;IF(INDEX($A$25:$G$35,2*INT((27+WEEKDAY(DATE(PlanYear,4,1),2)-1)/7)+1,MOD(27+WEEKDAY(DATE(PlanYear,4,1),2)-1,7)+1)=AC$5,", "&amp;28,"")&amp;IF(INDEX($A$25:$G$35,2*INT((28+WEEKDAY(DATE(PlanYear,4,1),2)-1)/7)+1,MOD(28+WEEKDAY(DATE(PlanYear,4,1),2)-1,7)+1)=AC$5,", "&amp;29,"")&amp;IF(INDEX($A$25:$G$35,2*INT((29+WEEKDAY(DATE(PlanYear,4,1),2)-1)/7)+1,MOD(29+WEEKDAY(DATE(PlanYear,4,1),2)-1,7)+1)=AC$5,", "&amp;30,"")&amp;IF(INDEX($A$25:$G$35,2*INT((30+WEEKDAY(DATE(PlanYear,4,1),2)-1)/7)+1,MOD(30+WEEKDAY(DATE(PlanYear,4,1),2)-1,7)+1)=AC$5,", "&amp;31,""),3,200))</f>
        <v/>
      </c>
      <c r="AD9" s="16">
        <f>IF(AD$5="","",MID(IF(INDEX($A$25:$G$35,2*INT((0+WEEKDAY(DATE(PlanYear,4,1),2)-1)/7)+1,MOD(0+WEEKDAY(DATE(PlanYear,4,1),2)-1,7)+1)=AD$5,", "&amp;1,"")&amp;IF(INDEX($A$25:$G$35,2*INT((1+WEEKDAY(DATE(PlanYear,4,1),2)-1)/7)+1,MOD(1+WEEKDAY(DATE(PlanYear,4,1),2)-1,7)+1)=AD$5,", "&amp;2,"")&amp;IF(INDEX($A$25:$G$35,2*INT((2+WEEKDAY(DATE(PlanYear,4,1),2)-1)/7)+1,MOD(2+WEEKDAY(DATE(PlanYear,4,1),2)-1,7)+1)=AD$5,", "&amp;3,"")&amp;IF(INDEX($A$25:$G$35,2*INT((3+WEEKDAY(DATE(PlanYear,4,1),2)-1)/7)+1,MOD(3+WEEKDAY(DATE(PlanYear,4,1),2)-1,7)+1)=AD$5,", "&amp;4,"")&amp;IF(INDEX($A$25:$G$35,2*INT((4+WEEKDAY(DATE(PlanYear,4,1),2)-1)/7)+1,MOD(4+WEEKDAY(DATE(PlanYear,4,1),2)-1,7)+1)=AD$5,", "&amp;5,"")&amp;IF(INDEX($A$25:$G$35,2*INT((5+WEEKDAY(DATE(PlanYear,4,1),2)-1)/7)+1,MOD(5+WEEKDAY(DATE(PlanYear,4,1),2)-1,7)+1)=AD$5,", "&amp;6,"")&amp;IF(INDEX($A$25:$G$35,2*INT((6+WEEKDAY(DATE(PlanYear,4,1),2)-1)/7)+1,MOD(6+WEEKDAY(DATE(PlanYear,4,1),2)-1,7)+1)=AD$5,", "&amp;7,"")&amp;IF(INDEX($A$25:$G$35,2*INT((7+WEEKDAY(DATE(PlanYear,4,1),2)-1)/7)+1,MOD(7+WEEKDAY(DATE(PlanYear,4,1),2)-1,7)+1)=AD$5,", "&amp;8,"")&amp;IF(INDEX($A$25:$G$35,2*INT((8+WEEKDAY(DATE(PlanYear,4,1),2)-1)/7)+1,MOD(8+WEEKDAY(DATE(PlanYear,4,1),2)-1,7)+1)=AD$5,", "&amp;9,"")&amp;IF(INDEX($A$25:$G$35,2*INT((9+WEEKDAY(DATE(PlanYear,4,1),2)-1)/7)+1,MOD(9+WEEKDAY(DATE(PlanYear,4,1),2)-1,7)+1)=AD$5,", "&amp;10,"")&amp;IF(INDEX($A$25:$G$35,2*INT((10+WEEKDAY(DATE(PlanYear,4,1),2)-1)/7)+1,MOD(10+WEEKDAY(DATE(PlanYear,4,1),2)-1,7)+1)=AD$5,", "&amp;11,"")&amp;IF(INDEX($A$25:$G$35,2*INT((11+WEEKDAY(DATE(PlanYear,4,1),2)-1)/7)+1,MOD(11+WEEKDAY(DATE(PlanYear,4,1),2)-1,7)+1)=AD$5,", "&amp;12,"")&amp;IF(INDEX($A$25:$G$35,2*INT((12+WEEKDAY(DATE(PlanYear,4,1),2)-1)/7)+1,MOD(12+WEEKDAY(DATE(PlanYear,4,1),2)-1,7)+1)=AD$5,", "&amp;13,"")&amp;IF(INDEX($A$25:$G$35,2*INT((13+WEEKDAY(DATE(PlanYear,4,1),2)-1)/7)+1,MOD(13+WEEKDAY(DATE(PlanYear,4,1),2)-1,7)+1)=AD$5,", "&amp;14,"")&amp;IF(INDEX($A$25:$G$35,2*INT((14+WEEKDAY(DATE(PlanYear,4,1),2)-1)/7)+1,MOD(14+WEEKDAY(DATE(PlanYear,4,1),2)-1,7)+1)=AD$5,", "&amp;15,"")&amp;IF(INDEX($A$25:$G$35,2*INT((15+WEEKDAY(DATE(PlanYear,4,1),2)-1)/7)+1,MOD(15+WEEKDAY(DATE(PlanYear,4,1),2)-1,7)+1)=AD$5,", "&amp;16,"")&amp;IF(INDEX($A$25:$G$35,2*INT((16+WEEKDAY(DATE(PlanYear,4,1),2)-1)/7)+1,MOD(16+WEEKDAY(DATE(PlanYear,4,1),2)-1,7)+1)=AD$5,", "&amp;17,"")&amp;IF(INDEX($A$25:$G$35,2*INT((17+WEEKDAY(DATE(PlanYear,4,1),2)-1)/7)+1,MOD(17+WEEKDAY(DATE(PlanYear,4,1),2)-1,7)+1)=AD$5,", "&amp;18,"")&amp;IF(INDEX($A$25:$G$35,2*INT((18+WEEKDAY(DATE(PlanYear,4,1),2)-1)/7)+1,MOD(18+WEEKDAY(DATE(PlanYear,4,1),2)-1,7)+1)=AD$5,", "&amp;19,"")&amp;IF(INDEX($A$25:$G$35,2*INT((19+WEEKDAY(DATE(PlanYear,4,1),2)-1)/7)+1,MOD(19+WEEKDAY(DATE(PlanYear,4,1),2)-1,7)+1)=AD$5,", "&amp;20,"")&amp;IF(INDEX($A$25:$G$35,2*INT((20+WEEKDAY(DATE(PlanYear,4,1),2)-1)/7)+1,MOD(20+WEEKDAY(DATE(PlanYear,4,1),2)-1,7)+1)=AD$5,", "&amp;21,"")&amp;IF(INDEX($A$25:$G$35,2*INT((21+WEEKDAY(DATE(PlanYear,4,1),2)-1)/7)+1,MOD(21+WEEKDAY(DATE(PlanYear,4,1),2)-1,7)+1)=AD$5,", "&amp;22,"")&amp;IF(INDEX($A$25:$G$35,2*INT((22+WEEKDAY(DATE(PlanYear,4,1),2)-1)/7)+1,MOD(22+WEEKDAY(DATE(PlanYear,4,1),2)-1,7)+1)=AD$5,", "&amp;23,"")&amp;IF(INDEX($A$25:$G$35,2*INT((23+WEEKDAY(DATE(PlanYear,4,1),2)-1)/7)+1,MOD(23+WEEKDAY(DATE(PlanYear,4,1),2)-1,7)+1)=AD$5,", "&amp;24,"")&amp;IF(INDEX($A$25:$G$35,2*INT((24+WEEKDAY(DATE(PlanYear,4,1),2)-1)/7)+1,MOD(24+WEEKDAY(DATE(PlanYear,4,1),2)-1,7)+1)=AD$5,", "&amp;25,"")&amp;IF(INDEX($A$25:$G$35,2*INT((25+WEEKDAY(DATE(PlanYear,4,1),2)-1)/7)+1,MOD(25+WEEKDAY(DATE(PlanYear,4,1),2)-1,7)+1)=AD$5,", "&amp;26,"")&amp;IF(INDEX($A$25:$G$35,2*INT((26+WEEKDAY(DATE(PlanYear,4,1),2)-1)/7)+1,MOD(26+WEEKDAY(DATE(PlanYear,4,1),2)-1,7)+1)=AD$5,", "&amp;27,"")&amp;IF(INDEX($A$25:$G$35,2*INT((27+WEEKDAY(DATE(PlanYear,4,1),2)-1)/7)+1,MOD(27+WEEKDAY(DATE(PlanYear,4,1),2)-1,7)+1)=AD$5,", "&amp;28,"")&amp;IF(INDEX($A$25:$G$35,2*INT((28+WEEKDAY(DATE(PlanYear,4,1),2)-1)/7)+1,MOD(28+WEEKDAY(DATE(PlanYear,4,1),2)-1,7)+1)=AD$5,", "&amp;29,"")&amp;IF(INDEX($A$25:$G$35,2*INT((29+WEEKDAY(DATE(PlanYear,4,1),2)-1)/7)+1,MOD(29+WEEKDAY(DATE(PlanYear,4,1),2)-1,7)+1)=AD$5,", "&amp;30,"")&amp;IF(INDEX($A$25:$G$35,2*INT((30+WEEKDAY(DATE(PlanYear,4,1),2)-1)/7)+1,MOD(30+WEEKDAY(DATE(PlanYear,4,1),2)-1,7)+1)=AD$5,", "&amp;31,""),3,200))</f>
        <v/>
      </c>
      <c r="AE9" s="16">
        <f>IF(AE$5="","",MID(IF(INDEX($A$25:$G$35,2*INT((0+WEEKDAY(DATE(PlanYear,4,1),2)-1)/7)+1,MOD(0+WEEKDAY(DATE(PlanYear,4,1),2)-1,7)+1)=AE$5,", "&amp;1,"")&amp;IF(INDEX($A$25:$G$35,2*INT((1+WEEKDAY(DATE(PlanYear,4,1),2)-1)/7)+1,MOD(1+WEEKDAY(DATE(PlanYear,4,1),2)-1,7)+1)=AE$5,", "&amp;2,"")&amp;IF(INDEX($A$25:$G$35,2*INT((2+WEEKDAY(DATE(PlanYear,4,1),2)-1)/7)+1,MOD(2+WEEKDAY(DATE(PlanYear,4,1),2)-1,7)+1)=AE$5,", "&amp;3,"")&amp;IF(INDEX($A$25:$G$35,2*INT((3+WEEKDAY(DATE(PlanYear,4,1),2)-1)/7)+1,MOD(3+WEEKDAY(DATE(PlanYear,4,1),2)-1,7)+1)=AE$5,", "&amp;4,"")&amp;IF(INDEX($A$25:$G$35,2*INT((4+WEEKDAY(DATE(PlanYear,4,1),2)-1)/7)+1,MOD(4+WEEKDAY(DATE(PlanYear,4,1),2)-1,7)+1)=AE$5,", "&amp;5,"")&amp;IF(INDEX($A$25:$G$35,2*INT((5+WEEKDAY(DATE(PlanYear,4,1),2)-1)/7)+1,MOD(5+WEEKDAY(DATE(PlanYear,4,1),2)-1,7)+1)=AE$5,", "&amp;6,"")&amp;IF(INDEX($A$25:$G$35,2*INT((6+WEEKDAY(DATE(PlanYear,4,1),2)-1)/7)+1,MOD(6+WEEKDAY(DATE(PlanYear,4,1),2)-1,7)+1)=AE$5,", "&amp;7,"")&amp;IF(INDEX($A$25:$G$35,2*INT((7+WEEKDAY(DATE(PlanYear,4,1),2)-1)/7)+1,MOD(7+WEEKDAY(DATE(PlanYear,4,1),2)-1,7)+1)=AE$5,", "&amp;8,"")&amp;IF(INDEX($A$25:$G$35,2*INT((8+WEEKDAY(DATE(PlanYear,4,1),2)-1)/7)+1,MOD(8+WEEKDAY(DATE(PlanYear,4,1),2)-1,7)+1)=AE$5,", "&amp;9,"")&amp;IF(INDEX($A$25:$G$35,2*INT((9+WEEKDAY(DATE(PlanYear,4,1),2)-1)/7)+1,MOD(9+WEEKDAY(DATE(PlanYear,4,1),2)-1,7)+1)=AE$5,", "&amp;10,"")&amp;IF(INDEX($A$25:$G$35,2*INT((10+WEEKDAY(DATE(PlanYear,4,1),2)-1)/7)+1,MOD(10+WEEKDAY(DATE(PlanYear,4,1),2)-1,7)+1)=AE$5,", "&amp;11,"")&amp;IF(INDEX($A$25:$G$35,2*INT((11+WEEKDAY(DATE(PlanYear,4,1),2)-1)/7)+1,MOD(11+WEEKDAY(DATE(PlanYear,4,1),2)-1,7)+1)=AE$5,", "&amp;12,"")&amp;IF(INDEX($A$25:$G$35,2*INT((12+WEEKDAY(DATE(PlanYear,4,1),2)-1)/7)+1,MOD(12+WEEKDAY(DATE(PlanYear,4,1),2)-1,7)+1)=AE$5,", "&amp;13,"")&amp;IF(INDEX($A$25:$G$35,2*INT((13+WEEKDAY(DATE(PlanYear,4,1),2)-1)/7)+1,MOD(13+WEEKDAY(DATE(PlanYear,4,1),2)-1,7)+1)=AE$5,", "&amp;14,"")&amp;IF(INDEX($A$25:$G$35,2*INT((14+WEEKDAY(DATE(PlanYear,4,1),2)-1)/7)+1,MOD(14+WEEKDAY(DATE(PlanYear,4,1),2)-1,7)+1)=AE$5,", "&amp;15,"")&amp;IF(INDEX($A$25:$G$35,2*INT((15+WEEKDAY(DATE(PlanYear,4,1),2)-1)/7)+1,MOD(15+WEEKDAY(DATE(PlanYear,4,1),2)-1,7)+1)=AE$5,", "&amp;16,"")&amp;IF(INDEX($A$25:$G$35,2*INT((16+WEEKDAY(DATE(PlanYear,4,1),2)-1)/7)+1,MOD(16+WEEKDAY(DATE(PlanYear,4,1),2)-1,7)+1)=AE$5,", "&amp;17,"")&amp;IF(INDEX($A$25:$G$35,2*INT((17+WEEKDAY(DATE(PlanYear,4,1),2)-1)/7)+1,MOD(17+WEEKDAY(DATE(PlanYear,4,1),2)-1,7)+1)=AE$5,", "&amp;18,"")&amp;IF(INDEX($A$25:$G$35,2*INT((18+WEEKDAY(DATE(PlanYear,4,1),2)-1)/7)+1,MOD(18+WEEKDAY(DATE(PlanYear,4,1),2)-1,7)+1)=AE$5,", "&amp;19,"")&amp;IF(INDEX($A$25:$G$35,2*INT((19+WEEKDAY(DATE(PlanYear,4,1),2)-1)/7)+1,MOD(19+WEEKDAY(DATE(PlanYear,4,1),2)-1,7)+1)=AE$5,", "&amp;20,"")&amp;IF(INDEX($A$25:$G$35,2*INT((20+WEEKDAY(DATE(PlanYear,4,1),2)-1)/7)+1,MOD(20+WEEKDAY(DATE(PlanYear,4,1),2)-1,7)+1)=AE$5,", "&amp;21,"")&amp;IF(INDEX($A$25:$G$35,2*INT((21+WEEKDAY(DATE(PlanYear,4,1),2)-1)/7)+1,MOD(21+WEEKDAY(DATE(PlanYear,4,1),2)-1,7)+1)=AE$5,", "&amp;22,"")&amp;IF(INDEX($A$25:$G$35,2*INT((22+WEEKDAY(DATE(PlanYear,4,1),2)-1)/7)+1,MOD(22+WEEKDAY(DATE(PlanYear,4,1),2)-1,7)+1)=AE$5,", "&amp;23,"")&amp;IF(INDEX($A$25:$G$35,2*INT((23+WEEKDAY(DATE(PlanYear,4,1),2)-1)/7)+1,MOD(23+WEEKDAY(DATE(PlanYear,4,1),2)-1,7)+1)=AE$5,", "&amp;24,"")&amp;IF(INDEX($A$25:$G$35,2*INT((24+WEEKDAY(DATE(PlanYear,4,1),2)-1)/7)+1,MOD(24+WEEKDAY(DATE(PlanYear,4,1),2)-1,7)+1)=AE$5,", "&amp;25,"")&amp;IF(INDEX($A$25:$G$35,2*INT((25+WEEKDAY(DATE(PlanYear,4,1),2)-1)/7)+1,MOD(25+WEEKDAY(DATE(PlanYear,4,1),2)-1,7)+1)=AE$5,", "&amp;26,"")&amp;IF(INDEX($A$25:$G$35,2*INT((26+WEEKDAY(DATE(PlanYear,4,1),2)-1)/7)+1,MOD(26+WEEKDAY(DATE(PlanYear,4,1),2)-1,7)+1)=AE$5,", "&amp;27,"")&amp;IF(INDEX($A$25:$G$35,2*INT((27+WEEKDAY(DATE(PlanYear,4,1),2)-1)/7)+1,MOD(27+WEEKDAY(DATE(PlanYear,4,1),2)-1,7)+1)=AE$5,", "&amp;28,"")&amp;IF(INDEX($A$25:$G$35,2*INT((28+WEEKDAY(DATE(PlanYear,4,1),2)-1)/7)+1,MOD(28+WEEKDAY(DATE(PlanYear,4,1),2)-1,7)+1)=AE$5,", "&amp;29,"")&amp;IF(INDEX($A$25:$G$35,2*INT((29+WEEKDAY(DATE(PlanYear,4,1),2)-1)/7)+1,MOD(29+WEEKDAY(DATE(PlanYear,4,1),2)-1,7)+1)=AE$5,", "&amp;30,"")&amp;IF(INDEX($A$25:$G$35,2*INT((30+WEEKDAY(DATE(PlanYear,4,1),2)-1)/7)+1,MOD(30+WEEKDAY(DATE(PlanYear,4,1),2)-1,7)+1)=AE$5,", "&amp;31,""),3,200))</f>
        <v/>
      </c>
      <c r="AF9" s="16">
        <f>IF(AF$5="","",MID(IF(INDEX($A$25:$G$35,2*INT((0+WEEKDAY(DATE(PlanYear,4,1),2)-1)/7)+1,MOD(0+WEEKDAY(DATE(PlanYear,4,1),2)-1,7)+1)=AF$5,", "&amp;1,"")&amp;IF(INDEX($A$25:$G$35,2*INT((1+WEEKDAY(DATE(PlanYear,4,1),2)-1)/7)+1,MOD(1+WEEKDAY(DATE(PlanYear,4,1),2)-1,7)+1)=AF$5,", "&amp;2,"")&amp;IF(INDEX($A$25:$G$35,2*INT((2+WEEKDAY(DATE(PlanYear,4,1),2)-1)/7)+1,MOD(2+WEEKDAY(DATE(PlanYear,4,1),2)-1,7)+1)=AF$5,", "&amp;3,"")&amp;IF(INDEX($A$25:$G$35,2*INT((3+WEEKDAY(DATE(PlanYear,4,1),2)-1)/7)+1,MOD(3+WEEKDAY(DATE(PlanYear,4,1),2)-1,7)+1)=AF$5,", "&amp;4,"")&amp;IF(INDEX($A$25:$G$35,2*INT((4+WEEKDAY(DATE(PlanYear,4,1),2)-1)/7)+1,MOD(4+WEEKDAY(DATE(PlanYear,4,1),2)-1,7)+1)=AF$5,", "&amp;5,"")&amp;IF(INDEX($A$25:$G$35,2*INT((5+WEEKDAY(DATE(PlanYear,4,1),2)-1)/7)+1,MOD(5+WEEKDAY(DATE(PlanYear,4,1),2)-1,7)+1)=AF$5,", "&amp;6,"")&amp;IF(INDEX($A$25:$G$35,2*INT((6+WEEKDAY(DATE(PlanYear,4,1),2)-1)/7)+1,MOD(6+WEEKDAY(DATE(PlanYear,4,1),2)-1,7)+1)=AF$5,", "&amp;7,"")&amp;IF(INDEX($A$25:$G$35,2*INT((7+WEEKDAY(DATE(PlanYear,4,1),2)-1)/7)+1,MOD(7+WEEKDAY(DATE(PlanYear,4,1),2)-1,7)+1)=AF$5,", "&amp;8,"")&amp;IF(INDEX($A$25:$G$35,2*INT((8+WEEKDAY(DATE(PlanYear,4,1),2)-1)/7)+1,MOD(8+WEEKDAY(DATE(PlanYear,4,1),2)-1,7)+1)=AF$5,", "&amp;9,"")&amp;IF(INDEX($A$25:$G$35,2*INT((9+WEEKDAY(DATE(PlanYear,4,1),2)-1)/7)+1,MOD(9+WEEKDAY(DATE(PlanYear,4,1),2)-1,7)+1)=AF$5,", "&amp;10,"")&amp;IF(INDEX($A$25:$G$35,2*INT((10+WEEKDAY(DATE(PlanYear,4,1),2)-1)/7)+1,MOD(10+WEEKDAY(DATE(PlanYear,4,1),2)-1,7)+1)=AF$5,", "&amp;11,"")&amp;IF(INDEX($A$25:$G$35,2*INT((11+WEEKDAY(DATE(PlanYear,4,1),2)-1)/7)+1,MOD(11+WEEKDAY(DATE(PlanYear,4,1),2)-1,7)+1)=AF$5,", "&amp;12,"")&amp;IF(INDEX($A$25:$G$35,2*INT((12+WEEKDAY(DATE(PlanYear,4,1),2)-1)/7)+1,MOD(12+WEEKDAY(DATE(PlanYear,4,1),2)-1,7)+1)=AF$5,", "&amp;13,"")&amp;IF(INDEX($A$25:$G$35,2*INT((13+WEEKDAY(DATE(PlanYear,4,1),2)-1)/7)+1,MOD(13+WEEKDAY(DATE(PlanYear,4,1),2)-1,7)+1)=AF$5,", "&amp;14,"")&amp;IF(INDEX($A$25:$G$35,2*INT((14+WEEKDAY(DATE(PlanYear,4,1),2)-1)/7)+1,MOD(14+WEEKDAY(DATE(PlanYear,4,1),2)-1,7)+1)=AF$5,", "&amp;15,"")&amp;IF(INDEX($A$25:$G$35,2*INT((15+WEEKDAY(DATE(PlanYear,4,1),2)-1)/7)+1,MOD(15+WEEKDAY(DATE(PlanYear,4,1),2)-1,7)+1)=AF$5,", "&amp;16,"")&amp;IF(INDEX($A$25:$G$35,2*INT((16+WEEKDAY(DATE(PlanYear,4,1),2)-1)/7)+1,MOD(16+WEEKDAY(DATE(PlanYear,4,1),2)-1,7)+1)=AF$5,", "&amp;17,"")&amp;IF(INDEX($A$25:$G$35,2*INT((17+WEEKDAY(DATE(PlanYear,4,1),2)-1)/7)+1,MOD(17+WEEKDAY(DATE(PlanYear,4,1),2)-1,7)+1)=AF$5,", "&amp;18,"")&amp;IF(INDEX($A$25:$G$35,2*INT((18+WEEKDAY(DATE(PlanYear,4,1),2)-1)/7)+1,MOD(18+WEEKDAY(DATE(PlanYear,4,1),2)-1,7)+1)=AF$5,", "&amp;19,"")&amp;IF(INDEX($A$25:$G$35,2*INT((19+WEEKDAY(DATE(PlanYear,4,1),2)-1)/7)+1,MOD(19+WEEKDAY(DATE(PlanYear,4,1),2)-1,7)+1)=AF$5,", "&amp;20,"")&amp;IF(INDEX($A$25:$G$35,2*INT((20+WEEKDAY(DATE(PlanYear,4,1),2)-1)/7)+1,MOD(20+WEEKDAY(DATE(PlanYear,4,1),2)-1,7)+1)=AF$5,", "&amp;21,"")&amp;IF(INDEX($A$25:$G$35,2*INT((21+WEEKDAY(DATE(PlanYear,4,1),2)-1)/7)+1,MOD(21+WEEKDAY(DATE(PlanYear,4,1),2)-1,7)+1)=AF$5,", "&amp;22,"")&amp;IF(INDEX($A$25:$G$35,2*INT((22+WEEKDAY(DATE(PlanYear,4,1),2)-1)/7)+1,MOD(22+WEEKDAY(DATE(PlanYear,4,1),2)-1,7)+1)=AF$5,", "&amp;23,"")&amp;IF(INDEX($A$25:$G$35,2*INT((23+WEEKDAY(DATE(PlanYear,4,1),2)-1)/7)+1,MOD(23+WEEKDAY(DATE(PlanYear,4,1),2)-1,7)+1)=AF$5,", "&amp;24,"")&amp;IF(INDEX($A$25:$G$35,2*INT((24+WEEKDAY(DATE(PlanYear,4,1),2)-1)/7)+1,MOD(24+WEEKDAY(DATE(PlanYear,4,1),2)-1,7)+1)=AF$5,", "&amp;25,"")&amp;IF(INDEX($A$25:$G$35,2*INT((25+WEEKDAY(DATE(PlanYear,4,1),2)-1)/7)+1,MOD(25+WEEKDAY(DATE(PlanYear,4,1),2)-1,7)+1)=AF$5,", "&amp;26,"")&amp;IF(INDEX($A$25:$G$35,2*INT((26+WEEKDAY(DATE(PlanYear,4,1),2)-1)/7)+1,MOD(26+WEEKDAY(DATE(PlanYear,4,1),2)-1,7)+1)=AF$5,", "&amp;27,"")&amp;IF(INDEX($A$25:$G$35,2*INT((27+WEEKDAY(DATE(PlanYear,4,1),2)-1)/7)+1,MOD(27+WEEKDAY(DATE(PlanYear,4,1),2)-1,7)+1)=AF$5,", "&amp;28,"")&amp;IF(INDEX($A$25:$G$35,2*INT((28+WEEKDAY(DATE(PlanYear,4,1),2)-1)/7)+1,MOD(28+WEEKDAY(DATE(PlanYear,4,1),2)-1,7)+1)=AF$5,", "&amp;29,"")&amp;IF(INDEX($A$25:$G$35,2*INT((29+WEEKDAY(DATE(PlanYear,4,1),2)-1)/7)+1,MOD(29+WEEKDAY(DATE(PlanYear,4,1),2)-1,7)+1)=AF$5,", "&amp;30,"")&amp;IF(INDEX($A$25:$G$35,2*INT((30+WEEKDAY(DATE(PlanYear,4,1),2)-1)/7)+1,MOD(30+WEEKDAY(DATE(PlanYear,4,1),2)-1,7)+1)=AF$5,", "&amp;31,""),3,200))</f>
        <v/>
      </c>
      <c r="AG9" s="16">
        <f>IF(AG$5="","",MID(IF(INDEX($A$25:$G$35,2*INT((0+WEEKDAY(DATE(PlanYear,4,1),2)-1)/7)+1,MOD(0+WEEKDAY(DATE(PlanYear,4,1),2)-1,7)+1)=AG$5,", "&amp;1,"")&amp;IF(INDEX($A$25:$G$35,2*INT((1+WEEKDAY(DATE(PlanYear,4,1),2)-1)/7)+1,MOD(1+WEEKDAY(DATE(PlanYear,4,1),2)-1,7)+1)=AG$5,", "&amp;2,"")&amp;IF(INDEX($A$25:$G$35,2*INT((2+WEEKDAY(DATE(PlanYear,4,1),2)-1)/7)+1,MOD(2+WEEKDAY(DATE(PlanYear,4,1),2)-1,7)+1)=AG$5,", "&amp;3,"")&amp;IF(INDEX($A$25:$G$35,2*INT((3+WEEKDAY(DATE(PlanYear,4,1),2)-1)/7)+1,MOD(3+WEEKDAY(DATE(PlanYear,4,1),2)-1,7)+1)=AG$5,", "&amp;4,"")&amp;IF(INDEX($A$25:$G$35,2*INT((4+WEEKDAY(DATE(PlanYear,4,1),2)-1)/7)+1,MOD(4+WEEKDAY(DATE(PlanYear,4,1),2)-1,7)+1)=AG$5,", "&amp;5,"")&amp;IF(INDEX($A$25:$G$35,2*INT((5+WEEKDAY(DATE(PlanYear,4,1),2)-1)/7)+1,MOD(5+WEEKDAY(DATE(PlanYear,4,1),2)-1,7)+1)=AG$5,", "&amp;6,"")&amp;IF(INDEX($A$25:$G$35,2*INT((6+WEEKDAY(DATE(PlanYear,4,1),2)-1)/7)+1,MOD(6+WEEKDAY(DATE(PlanYear,4,1),2)-1,7)+1)=AG$5,", "&amp;7,"")&amp;IF(INDEX($A$25:$G$35,2*INT((7+WEEKDAY(DATE(PlanYear,4,1),2)-1)/7)+1,MOD(7+WEEKDAY(DATE(PlanYear,4,1),2)-1,7)+1)=AG$5,", "&amp;8,"")&amp;IF(INDEX($A$25:$G$35,2*INT((8+WEEKDAY(DATE(PlanYear,4,1),2)-1)/7)+1,MOD(8+WEEKDAY(DATE(PlanYear,4,1),2)-1,7)+1)=AG$5,", "&amp;9,"")&amp;IF(INDEX($A$25:$G$35,2*INT((9+WEEKDAY(DATE(PlanYear,4,1),2)-1)/7)+1,MOD(9+WEEKDAY(DATE(PlanYear,4,1),2)-1,7)+1)=AG$5,", "&amp;10,"")&amp;IF(INDEX($A$25:$G$35,2*INT((10+WEEKDAY(DATE(PlanYear,4,1),2)-1)/7)+1,MOD(10+WEEKDAY(DATE(PlanYear,4,1),2)-1,7)+1)=AG$5,", "&amp;11,"")&amp;IF(INDEX($A$25:$G$35,2*INT((11+WEEKDAY(DATE(PlanYear,4,1),2)-1)/7)+1,MOD(11+WEEKDAY(DATE(PlanYear,4,1),2)-1,7)+1)=AG$5,", "&amp;12,"")&amp;IF(INDEX($A$25:$G$35,2*INT((12+WEEKDAY(DATE(PlanYear,4,1),2)-1)/7)+1,MOD(12+WEEKDAY(DATE(PlanYear,4,1),2)-1,7)+1)=AG$5,", "&amp;13,"")&amp;IF(INDEX($A$25:$G$35,2*INT((13+WEEKDAY(DATE(PlanYear,4,1),2)-1)/7)+1,MOD(13+WEEKDAY(DATE(PlanYear,4,1),2)-1,7)+1)=AG$5,", "&amp;14,"")&amp;IF(INDEX($A$25:$G$35,2*INT((14+WEEKDAY(DATE(PlanYear,4,1),2)-1)/7)+1,MOD(14+WEEKDAY(DATE(PlanYear,4,1),2)-1,7)+1)=AG$5,", "&amp;15,"")&amp;IF(INDEX($A$25:$G$35,2*INT((15+WEEKDAY(DATE(PlanYear,4,1),2)-1)/7)+1,MOD(15+WEEKDAY(DATE(PlanYear,4,1),2)-1,7)+1)=AG$5,", "&amp;16,"")&amp;IF(INDEX($A$25:$G$35,2*INT((16+WEEKDAY(DATE(PlanYear,4,1),2)-1)/7)+1,MOD(16+WEEKDAY(DATE(PlanYear,4,1),2)-1,7)+1)=AG$5,", "&amp;17,"")&amp;IF(INDEX($A$25:$G$35,2*INT((17+WEEKDAY(DATE(PlanYear,4,1),2)-1)/7)+1,MOD(17+WEEKDAY(DATE(PlanYear,4,1),2)-1,7)+1)=AG$5,", "&amp;18,"")&amp;IF(INDEX($A$25:$G$35,2*INT((18+WEEKDAY(DATE(PlanYear,4,1),2)-1)/7)+1,MOD(18+WEEKDAY(DATE(PlanYear,4,1),2)-1,7)+1)=AG$5,", "&amp;19,"")&amp;IF(INDEX($A$25:$G$35,2*INT((19+WEEKDAY(DATE(PlanYear,4,1),2)-1)/7)+1,MOD(19+WEEKDAY(DATE(PlanYear,4,1),2)-1,7)+1)=AG$5,", "&amp;20,"")&amp;IF(INDEX($A$25:$G$35,2*INT((20+WEEKDAY(DATE(PlanYear,4,1),2)-1)/7)+1,MOD(20+WEEKDAY(DATE(PlanYear,4,1),2)-1,7)+1)=AG$5,", "&amp;21,"")&amp;IF(INDEX($A$25:$G$35,2*INT((21+WEEKDAY(DATE(PlanYear,4,1),2)-1)/7)+1,MOD(21+WEEKDAY(DATE(PlanYear,4,1),2)-1,7)+1)=AG$5,", "&amp;22,"")&amp;IF(INDEX($A$25:$G$35,2*INT((22+WEEKDAY(DATE(PlanYear,4,1),2)-1)/7)+1,MOD(22+WEEKDAY(DATE(PlanYear,4,1),2)-1,7)+1)=AG$5,", "&amp;23,"")&amp;IF(INDEX($A$25:$G$35,2*INT((23+WEEKDAY(DATE(PlanYear,4,1),2)-1)/7)+1,MOD(23+WEEKDAY(DATE(PlanYear,4,1),2)-1,7)+1)=AG$5,", "&amp;24,"")&amp;IF(INDEX($A$25:$G$35,2*INT((24+WEEKDAY(DATE(PlanYear,4,1),2)-1)/7)+1,MOD(24+WEEKDAY(DATE(PlanYear,4,1),2)-1,7)+1)=AG$5,", "&amp;25,"")&amp;IF(INDEX($A$25:$G$35,2*INT((25+WEEKDAY(DATE(PlanYear,4,1),2)-1)/7)+1,MOD(25+WEEKDAY(DATE(PlanYear,4,1),2)-1,7)+1)=AG$5,", "&amp;26,"")&amp;IF(INDEX($A$25:$G$35,2*INT((26+WEEKDAY(DATE(PlanYear,4,1),2)-1)/7)+1,MOD(26+WEEKDAY(DATE(PlanYear,4,1),2)-1,7)+1)=AG$5,", "&amp;27,"")&amp;IF(INDEX($A$25:$G$35,2*INT((27+WEEKDAY(DATE(PlanYear,4,1),2)-1)/7)+1,MOD(27+WEEKDAY(DATE(PlanYear,4,1),2)-1,7)+1)=AG$5,", "&amp;28,"")&amp;IF(INDEX($A$25:$G$35,2*INT((28+WEEKDAY(DATE(PlanYear,4,1),2)-1)/7)+1,MOD(28+WEEKDAY(DATE(PlanYear,4,1),2)-1,7)+1)=AG$5,", "&amp;29,"")&amp;IF(INDEX($A$25:$G$35,2*INT((29+WEEKDAY(DATE(PlanYear,4,1),2)-1)/7)+1,MOD(29+WEEKDAY(DATE(PlanYear,4,1),2)-1,7)+1)=AG$5,", "&amp;30,"")&amp;IF(INDEX($A$25:$G$35,2*INT((30+WEEKDAY(DATE(PlanYear,4,1),2)-1)/7)+1,MOD(30+WEEKDAY(DATE(PlanYear,4,1),2)-1,7)+1)=AG$5,", "&amp;31,""),3,200))</f>
        <v/>
      </c>
      <c r="AH9" s="16">
        <f>IF(AH$5="","",MID(IF(INDEX($A$25:$G$35,2*INT((0+WEEKDAY(DATE(PlanYear,4,1),2)-1)/7)+1,MOD(0+WEEKDAY(DATE(PlanYear,4,1),2)-1,7)+1)=AH$5,", "&amp;1,"")&amp;IF(INDEX($A$25:$G$35,2*INT((1+WEEKDAY(DATE(PlanYear,4,1),2)-1)/7)+1,MOD(1+WEEKDAY(DATE(PlanYear,4,1),2)-1,7)+1)=AH$5,", "&amp;2,"")&amp;IF(INDEX($A$25:$G$35,2*INT((2+WEEKDAY(DATE(PlanYear,4,1),2)-1)/7)+1,MOD(2+WEEKDAY(DATE(PlanYear,4,1),2)-1,7)+1)=AH$5,", "&amp;3,"")&amp;IF(INDEX($A$25:$G$35,2*INT((3+WEEKDAY(DATE(PlanYear,4,1),2)-1)/7)+1,MOD(3+WEEKDAY(DATE(PlanYear,4,1),2)-1,7)+1)=AH$5,", "&amp;4,"")&amp;IF(INDEX($A$25:$G$35,2*INT((4+WEEKDAY(DATE(PlanYear,4,1),2)-1)/7)+1,MOD(4+WEEKDAY(DATE(PlanYear,4,1),2)-1,7)+1)=AH$5,", "&amp;5,"")&amp;IF(INDEX($A$25:$G$35,2*INT((5+WEEKDAY(DATE(PlanYear,4,1),2)-1)/7)+1,MOD(5+WEEKDAY(DATE(PlanYear,4,1),2)-1,7)+1)=AH$5,", "&amp;6,"")&amp;IF(INDEX($A$25:$G$35,2*INT((6+WEEKDAY(DATE(PlanYear,4,1),2)-1)/7)+1,MOD(6+WEEKDAY(DATE(PlanYear,4,1),2)-1,7)+1)=AH$5,", "&amp;7,"")&amp;IF(INDEX($A$25:$G$35,2*INT((7+WEEKDAY(DATE(PlanYear,4,1),2)-1)/7)+1,MOD(7+WEEKDAY(DATE(PlanYear,4,1),2)-1,7)+1)=AH$5,", "&amp;8,"")&amp;IF(INDEX($A$25:$G$35,2*INT((8+WEEKDAY(DATE(PlanYear,4,1),2)-1)/7)+1,MOD(8+WEEKDAY(DATE(PlanYear,4,1),2)-1,7)+1)=AH$5,", "&amp;9,"")&amp;IF(INDEX($A$25:$G$35,2*INT((9+WEEKDAY(DATE(PlanYear,4,1),2)-1)/7)+1,MOD(9+WEEKDAY(DATE(PlanYear,4,1),2)-1,7)+1)=AH$5,", "&amp;10,"")&amp;IF(INDEX($A$25:$G$35,2*INT((10+WEEKDAY(DATE(PlanYear,4,1),2)-1)/7)+1,MOD(10+WEEKDAY(DATE(PlanYear,4,1),2)-1,7)+1)=AH$5,", "&amp;11,"")&amp;IF(INDEX($A$25:$G$35,2*INT((11+WEEKDAY(DATE(PlanYear,4,1),2)-1)/7)+1,MOD(11+WEEKDAY(DATE(PlanYear,4,1),2)-1,7)+1)=AH$5,", "&amp;12,"")&amp;IF(INDEX($A$25:$G$35,2*INT((12+WEEKDAY(DATE(PlanYear,4,1),2)-1)/7)+1,MOD(12+WEEKDAY(DATE(PlanYear,4,1),2)-1,7)+1)=AH$5,", "&amp;13,"")&amp;IF(INDEX($A$25:$G$35,2*INT((13+WEEKDAY(DATE(PlanYear,4,1),2)-1)/7)+1,MOD(13+WEEKDAY(DATE(PlanYear,4,1),2)-1,7)+1)=AH$5,", "&amp;14,"")&amp;IF(INDEX($A$25:$G$35,2*INT((14+WEEKDAY(DATE(PlanYear,4,1),2)-1)/7)+1,MOD(14+WEEKDAY(DATE(PlanYear,4,1),2)-1,7)+1)=AH$5,", "&amp;15,"")&amp;IF(INDEX($A$25:$G$35,2*INT((15+WEEKDAY(DATE(PlanYear,4,1),2)-1)/7)+1,MOD(15+WEEKDAY(DATE(PlanYear,4,1),2)-1,7)+1)=AH$5,", "&amp;16,"")&amp;IF(INDEX($A$25:$G$35,2*INT((16+WEEKDAY(DATE(PlanYear,4,1),2)-1)/7)+1,MOD(16+WEEKDAY(DATE(PlanYear,4,1),2)-1,7)+1)=AH$5,", "&amp;17,"")&amp;IF(INDEX($A$25:$G$35,2*INT((17+WEEKDAY(DATE(PlanYear,4,1),2)-1)/7)+1,MOD(17+WEEKDAY(DATE(PlanYear,4,1),2)-1,7)+1)=AH$5,", "&amp;18,"")&amp;IF(INDEX($A$25:$G$35,2*INT((18+WEEKDAY(DATE(PlanYear,4,1),2)-1)/7)+1,MOD(18+WEEKDAY(DATE(PlanYear,4,1),2)-1,7)+1)=AH$5,", "&amp;19,"")&amp;IF(INDEX($A$25:$G$35,2*INT((19+WEEKDAY(DATE(PlanYear,4,1),2)-1)/7)+1,MOD(19+WEEKDAY(DATE(PlanYear,4,1),2)-1,7)+1)=AH$5,", "&amp;20,"")&amp;IF(INDEX($A$25:$G$35,2*INT((20+WEEKDAY(DATE(PlanYear,4,1),2)-1)/7)+1,MOD(20+WEEKDAY(DATE(PlanYear,4,1),2)-1,7)+1)=AH$5,", "&amp;21,"")&amp;IF(INDEX($A$25:$G$35,2*INT((21+WEEKDAY(DATE(PlanYear,4,1),2)-1)/7)+1,MOD(21+WEEKDAY(DATE(PlanYear,4,1),2)-1,7)+1)=AH$5,", "&amp;22,"")&amp;IF(INDEX($A$25:$G$35,2*INT((22+WEEKDAY(DATE(PlanYear,4,1),2)-1)/7)+1,MOD(22+WEEKDAY(DATE(PlanYear,4,1),2)-1,7)+1)=AH$5,", "&amp;23,"")&amp;IF(INDEX($A$25:$G$35,2*INT((23+WEEKDAY(DATE(PlanYear,4,1),2)-1)/7)+1,MOD(23+WEEKDAY(DATE(PlanYear,4,1),2)-1,7)+1)=AH$5,", "&amp;24,"")&amp;IF(INDEX($A$25:$G$35,2*INT((24+WEEKDAY(DATE(PlanYear,4,1),2)-1)/7)+1,MOD(24+WEEKDAY(DATE(PlanYear,4,1),2)-1,7)+1)=AH$5,", "&amp;25,"")&amp;IF(INDEX($A$25:$G$35,2*INT((25+WEEKDAY(DATE(PlanYear,4,1),2)-1)/7)+1,MOD(25+WEEKDAY(DATE(PlanYear,4,1),2)-1,7)+1)=AH$5,", "&amp;26,"")&amp;IF(INDEX($A$25:$G$35,2*INT((26+WEEKDAY(DATE(PlanYear,4,1),2)-1)/7)+1,MOD(26+WEEKDAY(DATE(PlanYear,4,1),2)-1,7)+1)=AH$5,", "&amp;27,"")&amp;IF(INDEX($A$25:$G$35,2*INT((27+WEEKDAY(DATE(PlanYear,4,1),2)-1)/7)+1,MOD(27+WEEKDAY(DATE(PlanYear,4,1),2)-1,7)+1)=AH$5,", "&amp;28,"")&amp;IF(INDEX($A$25:$G$35,2*INT((28+WEEKDAY(DATE(PlanYear,4,1),2)-1)/7)+1,MOD(28+WEEKDAY(DATE(PlanYear,4,1),2)-1,7)+1)=AH$5,", "&amp;29,"")&amp;IF(INDEX($A$25:$G$35,2*INT((29+WEEKDAY(DATE(PlanYear,4,1),2)-1)/7)+1,MOD(29+WEEKDAY(DATE(PlanYear,4,1),2)-1,7)+1)=AH$5,", "&amp;30,"")&amp;IF(INDEX($A$25:$G$35,2*INT((30+WEEKDAY(DATE(PlanYear,4,1),2)-1)/7)+1,MOD(30+WEEKDAY(DATE(PlanYear,4,1),2)-1,7)+1)=AH$5,", "&amp;31,""),3,200))</f>
        <v/>
      </c>
      <c r="AI9" s="16">
        <f>IF(AI$5="","",MID(IF(INDEX($A$25:$G$35,2*INT((0+WEEKDAY(DATE(PlanYear,4,1),2)-1)/7)+1,MOD(0+WEEKDAY(DATE(PlanYear,4,1),2)-1,7)+1)=AI$5,", "&amp;1,"")&amp;IF(INDEX($A$25:$G$35,2*INT((1+WEEKDAY(DATE(PlanYear,4,1),2)-1)/7)+1,MOD(1+WEEKDAY(DATE(PlanYear,4,1),2)-1,7)+1)=AI$5,", "&amp;2,"")&amp;IF(INDEX($A$25:$G$35,2*INT((2+WEEKDAY(DATE(PlanYear,4,1),2)-1)/7)+1,MOD(2+WEEKDAY(DATE(PlanYear,4,1),2)-1,7)+1)=AI$5,", "&amp;3,"")&amp;IF(INDEX($A$25:$G$35,2*INT((3+WEEKDAY(DATE(PlanYear,4,1),2)-1)/7)+1,MOD(3+WEEKDAY(DATE(PlanYear,4,1),2)-1,7)+1)=AI$5,", "&amp;4,"")&amp;IF(INDEX($A$25:$G$35,2*INT((4+WEEKDAY(DATE(PlanYear,4,1),2)-1)/7)+1,MOD(4+WEEKDAY(DATE(PlanYear,4,1),2)-1,7)+1)=AI$5,", "&amp;5,"")&amp;IF(INDEX($A$25:$G$35,2*INT((5+WEEKDAY(DATE(PlanYear,4,1),2)-1)/7)+1,MOD(5+WEEKDAY(DATE(PlanYear,4,1),2)-1,7)+1)=AI$5,", "&amp;6,"")&amp;IF(INDEX($A$25:$G$35,2*INT((6+WEEKDAY(DATE(PlanYear,4,1),2)-1)/7)+1,MOD(6+WEEKDAY(DATE(PlanYear,4,1),2)-1,7)+1)=AI$5,", "&amp;7,"")&amp;IF(INDEX($A$25:$G$35,2*INT((7+WEEKDAY(DATE(PlanYear,4,1),2)-1)/7)+1,MOD(7+WEEKDAY(DATE(PlanYear,4,1),2)-1,7)+1)=AI$5,", "&amp;8,"")&amp;IF(INDEX($A$25:$G$35,2*INT((8+WEEKDAY(DATE(PlanYear,4,1),2)-1)/7)+1,MOD(8+WEEKDAY(DATE(PlanYear,4,1),2)-1,7)+1)=AI$5,", "&amp;9,"")&amp;IF(INDEX($A$25:$G$35,2*INT((9+WEEKDAY(DATE(PlanYear,4,1),2)-1)/7)+1,MOD(9+WEEKDAY(DATE(PlanYear,4,1),2)-1,7)+1)=AI$5,", "&amp;10,"")&amp;IF(INDEX($A$25:$G$35,2*INT((10+WEEKDAY(DATE(PlanYear,4,1),2)-1)/7)+1,MOD(10+WEEKDAY(DATE(PlanYear,4,1),2)-1,7)+1)=AI$5,", "&amp;11,"")&amp;IF(INDEX($A$25:$G$35,2*INT((11+WEEKDAY(DATE(PlanYear,4,1),2)-1)/7)+1,MOD(11+WEEKDAY(DATE(PlanYear,4,1),2)-1,7)+1)=AI$5,", "&amp;12,"")&amp;IF(INDEX($A$25:$G$35,2*INT((12+WEEKDAY(DATE(PlanYear,4,1),2)-1)/7)+1,MOD(12+WEEKDAY(DATE(PlanYear,4,1),2)-1,7)+1)=AI$5,", "&amp;13,"")&amp;IF(INDEX($A$25:$G$35,2*INT((13+WEEKDAY(DATE(PlanYear,4,1),2)-1)/7)+1,MOD(13+WEEKDAY(DATE(PlanYear,4,1),2)-1,7)+1)=AI$5,", "&amp;14,"")&amp;IF(INDEX($A$25:$G$35,2*INT((14+WEEKDAY(DATE(PlanYear,4,1),2)-1)/7)+1,MOD(14+WEEKDAY(DATE(PlanYear,4,1),2)-1,7)+1)=AI$5,", "&amp;15,"")&amp;IF(INDEX($A$25:$G$35,2*INT((15+WEEKDAY(DATE(PlanYear,4,1),2)-1)/7)+1,MOD(15+WEEKDAY(DATE(PlanYear,4,1),2)-1,7)+1)=AI$5,", "&amp;16,"")&amp;IF(INDEX($A$25:$G$35,2*INT((16+WEEKDAY(DATE(PlanYear,4,1),2)-1)/7)+1,MOD(16+WEEKDAY(DATE(PlanYear,4,1),2)-1,7)+1)=AI$5,", "&amp;17,"")&amp;IF(INDEX($A$25:$G$35,2*INT((17+WEEKDAY(DATE(PlanYear,4,1),2)-1)/7)+1,MOD(17+WEEKDAY(DATE(PlanYear,4,1),2)-1,7)+1)=AI$5,", "&amp;18,"")&amp;IF(INDEX($A$25:$G$35,2*INT((18+WEEKDAY(DATE(PlanYear,4,1),2)-1)/7)+1,MOD(18+WEEKDAY(DATE(PlanYear,4,1),2)-1,7)+1)=AI$5,", "&amp;19,"")&amp;IF(INDEX($A$25:$G$35,2*INT((19+WEEKDAY(DATE(PlanYear,4,1),2)-1)/7)+1,MOD(19+WEEKDAY(DATE(PlanYear,4,1),2)-1,7)+1)=AI$5,", "&amp;20,"")&amp;IF(INDEX($A$25:$G$35,2*INT((20+WEEKDAY(DATE(PlanYear,4,1),2)-1)/7)+1,MOD(20+WEEKDAY(DATE(PlanYear,4,1),2)-1,7)+1)=AI$5,", "&amp;21,"")&amp;IF(INDEX($A$25:$G$35,2*INT((21+WEEKDAY(DATE(PlanYear,4,1),2)-1)/7)+1,MOD(21+WEEKDAY(DATE(PlanYear,4,1),2)-1,7)+1)=AI$5,", "&amp;22,"")&amp;IF(INDEX($A$25:$G$35,2*INT((22+WEEKDAY(DATE(PlanYear,4,1),2)-1)/7)+1,MOD(22+WEEKDAY(DATE(PlanYear,4,1),2)-1,7)+1)=AI$5,", "&amp;23,"")&amp;IF(INDEX($A$25:$G$35,2*INT((23+WEEKDAY(DATE(PlanYear,4,1),2)-1)/7)+1,MOD(23+WEEKDAY(DATE(PlanYear,4,1),2)-1,7)+1)=AI$5,", "&amp;24,"")&amp;IF(INDEX($A$25:$G$35,2*INT((24+WEEKDAY(DATE(PlanYear,4,1),2)-1)/7)+1,MOD(24+WEEKDAY(DATE(PlanYear,4,1),2)-1,7)+1)=AI$5,", "&amp;25,"")&amp;IF(INDEX($A$25:$G$35,2*INT((25+WEEKDAY(DATE(PlanYear,4,1),2)-1)/7)+1,MOD(25+WEEKDAY(DATE(PlanYear,4,1),2)-1,7)+1)=AI$5,", "&amp;26,"")&amp;IF(INDEX($A$25:$G$35,2*INT((26+WEEKDAY(DATE(PlanYear,4,1),2)-1)/7)+1,MOD(26+WEEKDAY(DATE(PlanYear,4,1),2)-1,7)+1)=AI$5,", "&amp;27,"")&amp;IF(INDEX($A$25:$G$35,2*INT((27+WEEKDAY(DATE(PlanYear,4,1),2)-1)/7)+1,MOD(27+WEEKDAY(DATE(PlanYear,4,1),2)-1,7)+1)=AI$5,", "&amp;28,"")&amp;IF(INDEX($A$25:$G$35,2*INT((28+WEEKDAY(DATE(PlanYear,4,1),2)-1)/7)+1,MOD(28+WEEKDAY(DATE(PlanYear,4,1),2)-1,7)+1)=AI$5,", "&amp;29,"")&amp;IF(INDEX($A$25:$G$35,2*INT((29+WEEKDAY(DATE(PlanYear,4,1),2)-1)/7)+1,MOD(29+WEEKDAY(DATE(PlanYear,4,1),2)-1,7)+1)=AI$5,", "&amp;30,"")&amp;IF(INDEX($A$25:$G$35,2*INT((30+WEEKDAY(DATE(PlanYear,4,1),2)-1)/7)+1,MOD(30+WEEKDAY(DATE(PlanYear,4,1),2)-1,7)+1)=AI$5,", "&amp;31,""),3,200))</f>
        <v/>
      </c>
      <c r="AJ9" s="16">
        <f>IF(AJ$5="","",MID(IF(INDEX($A$25:$G$35,2*INT((0+WEEKDAY(DATE(PlanYear,4,1),2)-1)/7)+1,MOD(0+WEEKDAY(DATE(PlanYear,4,1),2)-1,7)+1)=AJ$5,", "&amp;1,"")&amp;IF(INDEX($A$25:$G$35,2*INT((1+WEEKDAY(DATE(PlanYear,4,1),2)-1)/7)+1,MOD(1+WEEKDAY(DATE(PlanYear,4,1),2)-1,7)+1)=AJ$5,", "&amp;2,"")&amp;IF(INDEX($A$25:$G$35,2*INT((2+WEEKDAY(DATE(PlanYear,4,1),2)-1)/7)+1,MOD(2+WEEKDAY(DATE(PlanYear,4,1),2)-1,7)+1)=AJ$5,", "&amp;3,"")&amp;IF(INDEX($A$25:$G$35,2*INT((3+WEEKDAY(DATE(PlanYear,4,1),2)-1)/7)+1,MOD(3+WEEKDAY(DATE(PlanYear,4,1),2)-1,7)+1)=AJ$5,", "&amp;4,"")&amp;IF(INDEX($A$25:$G$35,2*INT((4+WEEKDAY(DATE(PlanYear,4,1),2)-1)/7)+1,MOD(4+WEEKDAY(DATE(PlanYear,4,1),2)-1,7)+1)=AJ$5,", "&amp;5,"")&amp;IF(INDEX($A$25:$G$35,2*INT((5+WEEKDAY(DATE(PlanYear,4,1),2)-1)/7)+1,MOD(5+WEEKDAY(DATE(PlanYear,4,1),2)-1,7)+1)=AJ$5,", "&amp;6,"")&amp;IF(INDEX($A$25:$G$35,2*INT((6+WEEKDAY(DATE(PlanYear,4,1),2)-1)/7)+1,MOD(6+WEEKDAY(DATE(PlanYear,4,1),2)-1,7)+1)=AJ$5,", "&amp;7,"")&amp;IF(INDEX($A$25:$G$35,2*INT((7+WEEKDAY(DATE(PlanYear,4,1),2)-1)/7)+1,MOD(7+WEEKDAY(DATE(PlanYear,4,1),2)-1,7)+1)=AJ$5,", "&amp;8,"")&amp;IF(INDEX($A$25:$G$35,2*INT((8+WEEKDAY(DATE(PlanYear,4,1),2)-1)/7)+1,MOD(8+WEEKDAY(DATE(PlanYear,4,1),2)-1,7)+1)=AJ$5,", "&amp;9,"")&amp;IF(INDEX($A$25:$G$35,2*INT((9+WEEKDAY(DATE(PlanYear,4,1),2)-1)/7)+1,MOD(9+WEEKDAY(DATE(PlanYear,4,1),2)-1,7)+1)=AJ$5,", "&amp;10,"")&amp;IF(INDEX($A$25:$G$35,2*INT((10+WEEKDAY(DATE(PlanYear,4,1),2)-1)/7)+1,MOD(10+WEEKDAY(DATE(PlanYear,4,1),2)-1,7)+1)=AJ$5,", "&amp;11,"")&amp;IF(INDEX($A$25:$G$35,2*INT((11+WEEKDAY(DATE(PlanYear,4,1),2)-1)/7)+1,MOD(11+WEEKDAY(DATE(PlanYear,4,1),2)-1,7)+1)=AJ$5,", "&amp;12,"")&amp;IF(INDEX($A$25:$G$35,2*INT((12+WEEKDAY(DATE(PlanYear,4,1),2)-1)/7)+1,MOD(12+WEEKDAY(DATE(PlanYear,4,1),2)-1,7)+1)=AJ$5,", "&amp;13,"")&amp;IF(INDEX($A$25:$G$35,2*INT((13+WEEKDAY(DATE(PlanYear,4,1),2)-1)/7)+1,MOD(13+WEEKDAY(DATE(PlanYear,4,1),2)-1,7)+1)=AJ$5,", "&amp;14,"")&amp;IF(INDEX($A$25:$G$35,2*INT((14+WEEKDAY(DATE(PlanYear,4,1),2)-1)/7)+1,MOD(14+WEEKDAY(DATE(PlanYear,4,1),2)-1,7)+1)=AJ$5,", "&amp;15,"")&amp;IF(INDEX($A$25:$G$35,2*INT((15+WEEKDAY(DATE(PlanYear,4,1),2)-1)/7)+1,MOD(15+WEEKDAY(DATE(PlanYear,4,1),2)-1,7)+1)=AJ$5,", "&amp;16,"")&amp;IF(INDEX($A$25:$G$35,2*INT((16+WEEKDAY(DATE(PlanYear,4,1),2)-1)/7)+1,MOD(16+WEEKDAY(DATE(PlanYear,4,1),2)-1,7)+1)=AJ$5,", "&amp;17,"")&amp;IF(INDEX($A$25:$G$35,2*INT((17+WEEKDAY(DATE(PlanYear,4,1),2)-1)/7)+1,MOD(17+WEEKDAY(DATE(PlanYear,4,1),2)-1,7)+1)=AJ$5,", "&amp;18,"")&amp;IF(INDEX($A$25:$G$35,2*INT((18+WEEKDAY(DATE(PlanYear,4,1),2)-1)/7)+1,MOD(18+WEEKDAY(DATE(PlanYear,4,1),2)-1,7)+1)=AJ$5,", "&amp;19,"")&amp;IF(INDEX($A$25:$G$35,2*INT((19+WEEKDAY(DATE(PlanYear,4,1),2)-1)/7)+1,MOD(19+WEEKDAY(DATE(PlanYear,4,1),2)-1,7)+1)=AJ$5,", "&amp;20,"")&amp;IF(INDEX($A$25:$G$35,2*INT((20+WEEKDAY(DATE(PlanYear,4,1),2)-1)/7)+1,MOD(20+WEEKDAY(DATE(PlanYear,4,1),2)-1,7)+1)=AJ$5,", "&amp;21,"")&amp;IF(INDEX($A$25:$G$35,2*INT((21+WEEKDAY(DATE(PlanYear,4,1),2)-1)/7)+1,MOD(21+WEEKDAY(DATE(PlanYear,4,1),2)-1,7)+1)=AJ$5,", "&amp;22,"")&amp;IF(INDEX($A$25:$G$35,2*INT((22+WEEKDAY(DATE(PlanYear,4,1),2)-1)/7)+1,MOD(22+WEEKDAY(DATE(PlanYear,4,1),2)-1,7)+1)=AJ$5,", "&amp;23,"")&amp;IF(INDEX($A$25:$G$35,2*INT((23+WEEKDAY(DATE(PlanYear,4,1),2)-1)/7)+1,MOD(23+WEEKDAY(DATE(PlanYear,4,1),2)-1,7)+1)=AJ$5,", "&amp;24,"")&amp;IF(INDEX($A$25:$G$35,2*INT((24+WEEKDAY(DATE(PlanYear,4,1),2)-1)/7)+1,MOD(24+WEEKDAY(DATE(PlanYear,4,1),2)-1,7)+1)=AJ$5,", "&amp;25,"")&amp;IF(INDEX($A$25:$G$35,2*INT((25+WEEKDAY(DATE(PlanYear,4,1),2)-1)/7)+1,MOD(25+WEEKDAY(DATE(PlanYear,4,1),2)-1,7)+1)=AJ$5,", "&amp;26,"")&amp;IF(INDEX($A$25:$G$35,2*INT((26+WEEKDAY(DATE(PlanYear,4,1),2)-1)/7)+1,MOD(26+WEEKDAY(DATE(PlanYear,4,1),2)-1,7)+1)=AJ$5,", "&amp;27,"")&amp;IF(INDEX($A$25:$G$35,2*INT((27+WEEKDAY(DATE(PlanYear,4,1),2)-1)/7)+1,MOD(27+WEEKDAY(DATE(PlanYear,4,1),2)-1,7)+1)=AJ$5,", "&amp;28,"")&amp;IF(INDEX($A$25:$G$35,2*INT((28+WEEKDAY(DATE(PlanYear,4,1),2)-1)/7)+1,MOD(28+WEEKDAY(DATE(PlanYear,4,1),2)-1,7)+1)=AJ$5,", "&amp;29,"")&amp;IF(INDEX($A$25:$G$35,2*INT((29+WEEKDAY(DATE(PlanYear,4,1),2)-1)/7)+1,MOD(29+WEEKDAY(DATE(PlanYear,4,1),2)-1,7)+1)=AJ$5,", "&amp;30,"")&amp;IF(INDEX($A$25:$G$35,2*INT((30+WEEKDAY(DATE(PlanYear,4,1),2)-1)/7)+1,MOD(30+WEEKDAY(DATE(PlanYear,4,1),2)-1,7)+1)=AJ$5,", "&amp;31,""),3,200))</f>
        <v/>
      </c>
      <c r="AK9" s="17">
        <f>DAY(EOMONTH(DATE(PlanYear,4,1),0))-COUNTIF($A$25:$G$35,"?*")</f>
        <v/>
      </c>
    </row>
    <row r="10" ht="26" customHeight="1">
      <c r="A10" s="20">
        <f>IF(AND(8-(WEEKDAY(DATE(PlanYear,1,1),2)-1)&gt;=1,8-(WEEKDAY(DATE(PlanYear,1,1),2)-1)&lt;=DAY(EOMONTH(DATE(PlanYear,1,1),0))),DATE(PlanYear,1,1)+8-WEEKDAY(DATE(PlanYear,1,1),2),"")</f>
        <v/>
      </c>
      <c r="B10" s="20">
        <f>IF(AND(9-(WEEKDAY(DATE(PlanYear,1,1),2)-1)&gt;=1,9-(WEEKDAY(DATE(PlanYear,1,1),2)-1)&lt;=DAY(EOMONTH(DATE(PlanYear,1,1),0))),DATE(PlanYear,1,1)+9-WEEKDAY(DATE(PlanYear,1,1),2),"")</f>
        <v/>
      </c>
      <c r="C10" s="20">
        <f>IF(AND(10-(WEEKDAY(DATE(PlanYear,1,1),2)-1)&gt;=1,10-(WEEKDAY(DATE(PlanYear,1,1),2)-1)&lt;=DAY(EOMONTH(DATE(PlanYear,1,1),0))),DATE(PlanYear,1,1)+10-WEEKDAY(DATE(PlanYear,1,1),2),"")</f>
        <v/>
      </c>
      <c r="D10" s="20">
        <f>IF(AND(11-(WEEKDAY(DATE(PlanYear,1,1),2)-1)&gt;=1,11-(WEEKDAY(DATE(PlanYear,1,1),2)-1)&lt;=DAY(EOMONTH(DATE(PlanYear,1,1),0))),DATE(PlanYear,1,1)+11-WEEKDAY(DATE(PlanYear,1,1),2),"")</f>
        <v/>
      </c>
      <c r="E10" s="20">
        <f>IF(AND(12-(WEEKDAY(DATE(PlanYear,1,1),2)-1)&gt;=1,12-(WEEKDAY(DATE(PlanYear,1,1),2)-1)&lt;=DAY(EOMONTH(DATE(PlanYear,1,1),0))),DATE(PlanYear,1,1)+12-WEEKDAY(DATE(PlanYear,1,1),2),"")</f>
        <v/>
      </c>
      <c r="F10" s="20">
        <f>IF(AND(13-(WEEKDAY(DATE(PlanYear,1,1),2)-1)&gt;=1,13-(WEEKDAY(DATE(PlanYear,1,1),2)-1)&lt;=DAY(EOMONTH(DATE(PlanYear,1,1),0))),DATE(PlanYear,1,1)+13-WEEKDAY(DATE(PlanYear,1,1),2),"")</f>
        <v/>
      </c>
      <c r="G10" s="20">
        <f>IF(AND(14-(WEEKDAY(DATE(PlanYear,1,1),2)-1)&gt;=1,14-(WEEKDAY(DATE(PlanYear,1,1),2)-1)&lt;=DAY(EOMONTH(DATE(PlanYear,1,1),0))),DATE(PlanYear,1,1)+14-WEEKDAY(DATE(PlanYear,1,1),2),"")</f>
        <v/>
      </c>
      <c r="I10" s="20">
        <f>IF(AND(8-(WEEKDAY(DATE(PlanYear,2,1),2)-1)&gt;=1,8-(WEEKDAY(DATE(PlanYear,2,1),2)-1)&lt;=DAY(EOMONTH(DATE(PlanYear,2,1),0))),DATE(PlanYear,2,1)+8-WEEKDAY(DATE(PlanYear,2,1),2),"")</f>
        <v/>
      </c>
      <c r="J10" s="20">
        <f>IF(AND(9-(WEEKDAY(DATE(PlanYear,2,1),2)-1)&gt;=1,9-(WEEKDAY(DATE(PlanYear,2,1),2)-1)&lt;=DAY(EOMONTH(DATE(PlanYear,2,1),0))),DATE(PlanYear,2,1)+9-WEEKDAY(DATE(PlanYear,2,1),2),"")</f>
        <v/>
      </c>
      <c r="K10" s="20">
        <f>IF(AND(10-(WEEKDAY(DATE(PlanYear,2,1),2)-1)&gt;=1,10-(WEEKDAY(DATE(PlanYear,2,1),2)-1)&lt;=DAY(EOMONTH(DATE(PlanYear,2,1),0))),DATE(PlanYear,2,1)+10-WEEKDAY(DATE(PlanYear,2,1),2),"")</f>
        <v/>
      </c>
      <c r="L10" s="20">
        <f>IF(AND(11-(WEEKDAY(DATE(PlanYear,2,1),2)-1)&gt;=1,11-(WEEKDAY(DATE(PlanYear,2,1),2)-1)&lt;=DAY(EOMONTH(DATE(PlanYear,2,1),0))),DATE(PlanYear,2,1)+11-WEEKDAY(DATE(PlanYear,2,1),2),"")</f>
        <v/>
      </c>
      <c r="M10" s="20">
        <f>IF(AND(12-(WEEKDAY(DATE(PlanYear,2,1),2)-1)&gt;=1,12-(WEEKDAY(DATE(PlanYear,2,1),2)-1)&lt;=DAY(EOMONTH(DATE(PlanYear,2,1),0))),DATE(PlanYear,2,1)+12-WEEKDAY(DATE(PlanYear,2,1),2),"")</f>
        <v/>
      </c>
      <c r="N10" s="20">
        <f>IF(AND(13-(WEEKDAY(DATE(PlanYear,2,1),2)-1)&gt;=1,13-(WEEKDAY(DATE(PlanYear,2,1),2)-1)&lt;=DAY(EOMONTH(DATE(PlanYear,2,1),0))),DATE(PlanYear,2,1)+13-WEEKDAY(DATE(PlanYear,2,1),2),"")</f>
        <v/>
      </c>
      <c r="O10" s="20">
        <f>IF(AND(14-(WEEKDAY(DATE(PlanYear,2,1),2)-1)&gt;=1,14-(WEEKDAY(DATE(PlanYear,2,1),2)-1)&lt;=DAY(EOMONTH(DATE(PlanYear,2,1),0))),DATE(PlanYear,2,1)+14-WEEKDAY(DATE(PlanYear,2,1),2),"")</f>
        <v/>
      </c>
      <c r="Q10" s="20">
        <f>IF(AND(8-(WEEKDAY(DATE(PlanYear,3,1),2)-1)&gt;=1,8-(WEEKDAY(DATE(PlanYear,3,1),2)-1)&lt;=DAY(EOMONTH(DATE(PlanYear,3,1),0))),DATE(PlanYear,3,1)+8-WEEKDAY(DATE(PlanYear,3,1),2),"")</f>
        <v/>
      </c>
      <c r="R10" s="20">
        <f>IF(AND(9-(WEEKDAY(DATE(PlanYear,3,1),2)-1)&gt;=1,9-(WEEKDAY(DATE(PlanYear,3,1),2)-1)&lt;=DAY(EOMONTH(DATE(PlanYear,3,1),0))),DATE(PlanYear,3,1)+9-WEEKDAY(DATE(PlanYear,3,1),2),"")</f>
        <v/>
      </c>
      <c r="S10" s="20">
        <f>IF(AND(10-(WEEKDAY(DATE(PlanYear,3,1),2)-1)&gt;=1,10-(WEEKDAY(DATE(PlanYear,3,1),2)-1)&lt;=DAY(EOMONTH(DATE(PlanYear,3,1),0))),DATE(PlanYear,3,1)+10-WEEKDAY(DATE(PlanYear,3,1),2),"")</f>
        <v/>
      </c>
      <c r="T10" s="20">
        <f>IF(AND(11-(WEEKDAY(DATE(PlanYear,3,1),2)-1)&gt;=1,11-(WEEKDAY(DATE(PlanYear,3,1),2)-1)&lt;=DAY(EOMONTH(DATE(PlanYear,3,1),0))),DATE(PlanYear,3,1)+11-WEEKDAY(DATE(PlanYear,3,1),2),"")</f>
        <v/>
      </c>
      <c r="U10" s="20">
        <f>IF(AND(12-(WEEKDAY(DATE(PlanYear,3,1),2)-1)&gt;=1,12-(WEEKDAY(DATE(PlanYear,3,1),2)-1)&lt;=DAY(EOMONTH(DATE(PlanYear,3,1),0))),DATE(PlanYear,3,1)+12-WEEKDAY(DATE(PlanYear,3,1),2),"")</f>
        <v/>
      </c>
      <c r="V10" s="20">
        <f>IF(AND(13-(WEEKDAY(DATE(PlanYear,3,1),2)-1)&gt;=1,13-(WEEKDAY(DATE(PlanYear,3,1),2)-1)&lt;=DAY(EOMONTH(DATE(PlanYear,3,1),0))),DATE(PlanYear,3,1)+13-WEEKDAY(DATE(PlanYear,3,1),2),"")</f>
        <v/>
      </c>
      <c r="W10" s="20">
        <f>IF(AND(14-(WEEKDAY(DATE(PlanYear,3,1),2)-1)&gt;=1,14-(WEEKDAY(DATE(PlanYear,3,1),2)-1)&lt;=DAY(EOMONTH(DATE(PlanYear,3,1),0))),DATE(PlanYear,3,1)+14-WEEKDAY(DATE(PlanYear,3,1),2),"")</f>
        <v/>
      </c>
      <c r="Z10" s="15" t="inlineStr">
        <is>
          <t>May</t>
        </is>
      </c>
      <c r="AA10" s="16">
        <f>IF(AA$5="","",MID(IF(INDEX($I$25:$O$35,2*INT((0+WEEKDAY(DATE(PlanYear,5,1),2)-1)/7)+1,MOD(0+WEEKDAY(DATE(PlanYear,5,1),2)-1,7)+1)=AA$5,", "&amp;1,"")&amp;IF(INDEX($I$25:$O$35,2*INT((1+WEEKDAY(DATE(PlanYear,5,1),2)-1)/7)+1,MOD(1+WEEKDAY(DATE(PlanYear,5,1),2)-1,7)+1)=AA$5,", "&amp;2,"")&amp;IF(INDEX($I$25:$O$35,2*INT((2+WEEKDAY(DATE(PlanYear,5,1),2)-1)/7)+1,MOD(2+WEEKDAY(DATE(PlanYear,5,1),2)-1,7)+1)=AA$5,", "&amp;3,"")&amp;IF(INDEX($I$25:$O$35,2*INT((3+WEEKDAY(DATE(PlanYear,5,1),2)-1)/7)+1,MOD(3+WEEKDAY(DATE(PlanYear,5,1),2)-1,7)+1)=AA$5,", "&amp;4,"")&amp;IF(INDEX($I$25:$O$35,2*INT((4+WEEKDAY(DATE(PlanYear,5,1),2)-1)/7)+1,MOD(4+WEEKDAY(DATE(PlanYear,5,1),2)-1,7)+1)=AA$5,", "&amp;5,"")&amp;IF(INDEX($I$25:$O$35,2*INT((5+WEEKDAY(DATE(PlanYear,5,1),2)-1)/7)+1,MOD(5+WEEKDAY(DATE(PlanYear,5,1),2)-1,7)+1)=AA$5,", "&amp;6,"")&amp;IF(INDEX($I$25:$O$35,2*INT((6+WEEKDAY(DATE(PlanYear,5,1),2)-1)/7)+1,MOD(6+WEEKDAY(DATE(PlanYear,5,1),2)-1,7)+1)=AA$5,", "&amp;7,"")&amp;IF(INDEX($I$25:$O$35,2*INT((7+WEEKDAY(DATE(PlanYear,5,1),2)-1)/7)+1,MOD(7+WEEKDAY(DATE(PlanYear,5,1),2)-1,7)+1)=AA$5,", "&amp;8,"")&amp;IF(INDEX($I$25:$O$35,2*INT((8+WEEKDAY(DATE(PlanYear,5,1),2)-1)/7)+1,MOD(8+WEEKDAY(DATE(PlanYear,5,1),2)-1,7)+1)=AA$5,", "&amp;9,"")&amp;IF(INDEX($I$25:$O$35,2*INT((9+WEEKDAY(DATE(PlanYear,5,1),2)-1)/7)+1,MOD(9+WEEKDAY(DATE(PlanYear,5,1),2)-1,7)+1)=AA$5,", "&amp;10,"")&amp;IF(INDEX($I$25:$O$35,2*INT((10+WEEKDAY(DATE(PlanYear,5,1),2)-1)/7)+1,MOD(10+WEEKDAY(DATE(PlanYear,5,1),2)-1,7)+1)=AA$5,", "&amp;11,"")&amp;IF(INDEX($I$25:$O$35,2*INT((11+WEEKDAY(DATE(PlanYear,5,1),2)-1)/7)+1,MOD(11+WEEKDAY(DATE(PlanYear,5,1),2)-1,7)+1)=AA$5,", "&amp;12,"")&amp;IF(INDEX($I$25:$O$35,2*INT((12+WEEKDAY(DATE(PlanYear,5,1),2)-1)/7)+1,MOD(12+WEEKDAY(DATE(PlanYear,5,1),2)-1,7)+1)=AA$5,", "&amp;13,"")&amp;IF(INDEX($I$25:$O$35,2*INT((13+WEEKDAY(DATE(PlanYear,5,1),2)-1)/7)+1,MOD(13+WEEKDAY(DATE(PlanYear,5,1),2)-1,7)+1)=AA$5,", "&amp;14,"")&amp;IF(INDEX($I$25:$O$35,2*INT((14+WEEKDAY(DATE(PlanYear,5,1),2)-1)/7)+1,MOD(14+WEEKDAY(DATE(PlanYear,5,1),2)-1,7)+1)=AA$5,", "&amp;15,"")&amp;IF(INDEX($I$25:$O$35,2*INT((15+WEEKDAY(DATE(PlanYear,5,1),2)-1)/7)+1,MOD(15+WEEKDAY(DATE(PlanYear,5,1),2)-1,7)+1)=AA$5,", "&amp;16,"")&amp;IF(INDEX($I$25:$O$35,2*INT((16+WEEKDAY(DATE(PlanYear,5,1),2)-1)/7)+1,MOD(16+WEEKDAY(DATE(PlanYear,5,1),2)-1,7)+1)=AA$5,", "&amp;17,"")&amp;IF(INDEX($I$25:$O$35,2*INT((17+WEEKDAY(DATE(PlanYear,5,1),2)-1)/7)+1,MOD(17+WEEKDAY(DATE(PlanYear,5,1),2)-1,7)+1)=AA$5,", "&amp;18,"")&amp;IF(INDEX($I$25:$O$35,2*INT((18+WEEKDAY(DATE(PlanYear,5,1),2)-1)/7)+1,MOD(18+WEEKDAY(DATE(PlanYear,5,1),2)-1,7)+1)=AA$5,", "&amp;19,"")&amp;IF(INDEX($I$25:$O$35,2*INT((19+WEEKDAY(DATE(PlanYear,5,1),2)-1)/7)+1,MOD(19+WEEKDAY(DATE(PlanYear,5,1),2)-1,7)+1)=AA$5,", "&amp;20,"")&amp;IF(INDEX($I$25:$O$35,2*INT((20+WEEKDAY(DATE(PlanYear,5,1),2)-1)/7)+1,MOD(20+WEEKDAY(DATE(PlanYear,5,1),2)-1,7)+1)=AA$5,", "&amp;21,"")&amp;IF(INDEX($I$25:$O$35,2*INT((21+WEEKDAY(DATE(PlanYear,5,1),2)-1)/7)+1,MOD(21+WEEKDAY(DATE(PlanYear,5,1),2)-1,7)+1)=AA$5,", "&amp;22,"")&amp;IF(INDEX($I$25:$O$35,2*INT((22+WEEKDAY(DATE(PlanYear,5,1),2)-1)/7)+1,MOD(22+WEEKDAY(DATE(PlanYear,5,1),2)-1,7)+1)=AA$5,", "&amp;23,"")&amp;IF(INDEX($I$25:$O$35,2*INT((23+WEEKDAY(DATE(PlanYear,5,1),2)-1)/7)+1,MOD(23+WEEKDAY(DATE(PlanYear,5,1),2)-1,7)+1)=AA$5,", "&amp;24,"")&amp;IF(INDEX($I$25:$O$35,2*INT((24+WEEKDAY(DATE(PlanYear,5,1),2)-1)/7)+1,MOD(24+WEEKDAY(DATE(PlanYear,5,1),2)-1,7)+1)=AA$5,", "&amp;25,"")&amp;IF(INDEX($I$25:$O$35,2*INT((25+WEEKDAY(DATE(PlanYear,5,1),2)-1)/7)+1,MOD(25+WEEKDAY(DATE(PlanYear,5,1),2)-1,7)+1)=AA$5,", "&amp;26,"")&amp;IF(INDEX($I$25:$O$35,2*INT((26+WEEKDAY(DATE(PlanYear,5,1),2)-1)/7)+1,MOD(26+WEEKDAY(DATE(PlanYear,5,1),2)-1,7)+1)=AA$5,", "&amp;27,"")&amp;IF(INDEX($I$25:$O$35,2*INT((27+WEEKDAY(DATE(PlanYear,5,1),2)-1)/7)+1,MOD(27+WEEKDAY(DATE(PlanYear,5,1),2)-1,7)+1)=AA$5,", "&amp;28,"")&amp;IF(INDEX($I$25:$O$35,2*INT((28+WEEKDAY(DATE(PlanYear,5,1),2)-1)/7)+1,MOD(28+WEEKDAY(DATE(PlanYear,5,1),2)-1,7)+1)=AA$5,", "&amp;29,"")&amp;IF(INDEX($I$25:$O$35,2*INT((29+WEEKDAY(DATE(PlanYear,5,1),2)-1)/7)+1,MOD(29+WEEKDAY(DATE(PlanYear,5,1),2)-1,7)+1)=AA$5,", "&amp;30,"")&amp;IF(INDEX($I$25:$O$35,2*INT((30+WEEKDAY(DATE(PlanYear,5,1),2)-1)/7)+1,MOD(30+WEEKDAY(DATE(PlanYear,5,1),2)-1,7)+1)=AA$5,", "&amp;31,""),3,200))</f>
        <v/>
      </c>
      <c r="AB10" s="16">
        <f>IF(AB$5="","",MID(IF(INDEX($I$25:$O$35,2*INT((0+WEEKDAY(DATE(PlanYear,5,1),2)-1)/7)+1,MOD(0+WEEKDAY(DATE(PlanYear,5,1),2)-1,7)+1)=AB$5,", "&amp;1,"")&amp;IF(INDEX($I$25:$O$35,2*INT((1+WEEKDAY(DATE(PlanYear,5,1),2)-1)/7)+1,MOD(1+WEEKDAY(DATE(PlanYear,5,1),2)-1,7)+1)=AB$5,", "&amp;2,"")&amp;IF(INDEX($I$25:$O$35,2*INT((2+WEEKDAY(DATE(PlanYear,5,1),2)-1)/7)+1,MOD(2+WEEKDAY(DATE(PlanYear,5,1),2)-1,7)+1)=AB$5,", "&amp;3,"")&amp;IF(INDEX($I$25:$O$35,2*INT((3+WEEKDAY(DATE(PlanYear,5,1),2)-1)/7)+1,MOD(3+WEEKDAY(DATE(PlanYear,5,1),2)-1,7)+1)=AB$5,", "&amp;4,"")&amp;IF(INDEX($I$25:$O$35,2*INT((4+WEEKDAY(DATE(PlanYear,5,1),2)-1)/7)+1,MOD(4+WEEKDAY(DATE(PlanYear,5,1),2)-1,7)+1)=AB$5,", "&amp;5,"")&amp;IF(INDEX($I$25:$O$35,2*INT((5+WEEKDAY(DATE(PlanYear,5,1),2)-1)/7)+1,MOD(5+WEEKDAY(DATE(PlanYear,5,1),2)-1,7)+1)=AB$5,", "&amp;6,"")&amp;IF(INDEX($I$25:$O$35,2*INT((6+WEEKDAY(DATE(PlanYear,5,1),2)-1)/7)+1,MOD(6+WEEKDAY(DATE(PlanYear,5,1),2)-1,7)+1)=AB$5,", "&amp;7,"")&amp;IF(INDEX($I$25:$O$35,2*INT((7+WEEKDAY(DATE(PlanYear,5,1),2)-1)/7)+1,MOD(7+WEEKDAY(DATE(PlanYear,5,1),2)-1,7)+1)=AB$5,", "&amp;8,"")&amp;IF(INDEX($I$25:$O$35,2*INT((8+WEEKDAY(DATE(PlanYear,5,1),2)-1)/7)+1,MOD(8+WEEKDAY(DATE(PlanYear,5,1),2)-1,7)+1)=AB$5,", "&amp;9,"")&amp;IF(INDEX($I$25:$O$35,2*INT((9+WEEKDAY(DATE(PlanYear,5,1),2)-1)/7)+1,MOD(9+WEEKDAY(DATE(PlanYear,5,1),2)-1,7)+1)=AB$5,", "&amp;10,"")&amp;IF(INDEX($I$25:$O$35,2*INT((10+WEEKDAY(DATE(PlanYear,5,1),2)-1)/7)+1,MOD(10+WEEKDAY(DATE(PlanYear,5,1),2)-1,7)+1)=AB$5,", "&amp;11,"")&amp;IF(INDEX($I$25:$O$35,2*INT((11+WEEKDAY(DATE(PlanYear,5,1),2)-1)/7)+1,MOD(11+WEEKDAY(DATE(PlanYear,5,1),2)-1,7)+1)=AB$5,", "&amp;12,"")&amp;IF(INDEX($I$25:$O$35,2*INT((12+WEEKDAY(DATE(PlanYear,5,1),2)-1)/7)+1,MOD(12+WEEKDAY(DATE(PlanYear,5,1),2)-1,7)+1)=AB$5,", "&amp;13,"")&amp;IF(INDEX($I$25:$O$35,2*INT((13+WEEKDAY(DATE(PlanYear,5,1),2)-1)/7)+1,MOD(13+WEEKDAY(DATE(PlanYear,5,1),2)-1,7)+1)=AB$5,", "&amp;14,"")&amp;IF(INDEX($I$25:$O$35,2*INT((14+WEEKDAY(DATE(PlanYear,5,1),2)-1)/7)+1,MOD(14+WEEKDAY(DATE(PlanYear,5,1),2)-1,7)+1)=AB$5,", "&amp;15,"")&amp;IF(INDEX($I$25:$O$35,2*INT((15+WEEKDAY(DATE(PlanYear,5,1),2)-1)/7)+1,MOD(15+WEEKDAY(DATE(PlanYear,5,1),2)-1,7)+1)=AB$5,", "&amp;16,"")&amp;IF(INDEX($I$25:$O$35,2*INT((16+WEEKDAY(DATE(PlanYear,5,1),2)-1)/7)+1,MOD(16+WEEKDAY(DATE(PlanYear,5,1),2)-1,7)+1)=AB$5,", "&amp;17,"")&amp;IF(INDEX($I$25:$O$35,2*INT((17+WEEKDAY(DATE(PlanYear,5,1),2)-1)/7)+1,MOD(17+WEEKDAY(DATE(PlanYear,5,1),2)-1,7)+1)=AB$5,", "&amp;18,"")&amp;IF(INDEX($I$25:$O$35,2*INT((18+WEEKDAY(DATE(PlanYear,5,1),2)-1)/7)+1,MOD(18+WEEKDAY(DATE(PlanYear,5,1),2)-1,7)+1)=AB$5,", "&amp;19,"")&amp;IF(INDEX($I$25:$O$35,2*INT((19+WEEKDAY(DATE(PlanYear,5,1),2)-1)/7)+1,MOD(19+WEEKDAY(DATE(PlanYear,5,1),2)-1,7)+1)=AB$5,", "&amp;20,"")&amp;IF(INDEX($I$25:$O$35,2*INT((20+WEEKDAY(DATE(PlanYear,5,1),2)-1)/7)+1,MOD(20+WEEKDAY(DATE(PlanYear,5,1),2)-1,7)+1)=AB$5,", "&amp;21,"")&amp;IF(INDEX($I$25:$O$35,2*INT((21+WEEKDAY(DATE(PlanYear,5,1),2)-1)/7)+1,MOD(21+WEEKDAY(DATE(PlanYear,5,1),2)-1,7)+1)=AB$5,", "&amp;22,"")&amp;IF(INDEX($I$25:$O$35,2*INT((22+WEEKDAY(DATE(PlanYear,5,1),2)-1)/7)+1,MOD(22+WEEKDAY(DATE(PlanYear,5,1),2)-1,7)+1)=AB$5,", "&amp;23,"")&amp;IF(INDEX($I$25:$O$35,2*INT((23+WEEKDAY(DATE(PlanYear,5,1),2)-1)/7)+1,MOD(23+WEEKDAY(DATE(PlanYear,5,1),2)-1,7)+1)=AB$5,", "&amp;24,"")&amp;IF(INDEX($I$25:$O$35,2*INT((24+WEEKDAY(DATE(PlanYear,5,1),2)-1)/7)+1,MOD(24+WEEKDAY(DATE(PlanYear,5,1),2)-1,7)+1)=AB$5,", "&amp;25,"")&amp;IF(INDEX($I$25:$O$35,2*INT((25+WEEKDAY(DATE(PlanYear,5,1),2)-1)/7)+1,MOD(25+WEEKDAY(DATE(PlanYear,5,1),2)-1,7)+1)=AB$5,", "&amp;26,"")&amp;IF(INDEX($I$25:$O$35,2*INT((26+WEEKDAY(DATE(PlanYear,5,1),2)-1)/7)+1,MOD(26+WEEKDAY(DATE(PlanYear,5,1),2)-1,7)+1)=AB$5,", "&amp;27,"")&amp;IF(INDEX($I$25:$O$35,2*INT((27+WEEKDAY(DATE(PlanYear,5,1),2)-1)/7)+1,MOD(27+WEEKDAY(DATE(PlanYear,5,1),2)-1,7)+1)=AB$5,", "&amp;28,"")&amp;IF(INDEX($I$25:$O$35,2*INT((28+WEEKDAY(DATE(PlanYear,5,1),2)-1)/7)+1,MOD(28+WEEKDAY(DATE(PlanYear,5,1),2)-1,7)+1)=AB$5,", "&amp;29,"")&amp;IF(INDEX($I$25:$O$35,2*INT((29+WEEKDAY(DATE(PlanYear,5,1),2)-1)/7)+1,MOD(29+WEEKDAY(DATE(PlanYear,5,1),2)-1,7)+1)=AB$5,", "&amp;30,"")&amp;IF(INDEX($I$25:$O$35,2*INT((30+WEEKDAY(DATE(PlanYear,5,1),2)-1)/7)+1,MOD(30+WEEKDAY(DATE(PlanYear,5,1),2)-1,7)+1)=AB$5,", "&amp;31,""),3,200))</f>
        <v/>
      </c>
      <c r="AC10" s="16">
        <f>IF(AC$5="","",MID(IF(INDEX($I$25:$O$35,2*INT((0+WEEKDAY(DATE(PlanYear,5,1),2)-1)/7)+1,MOD(0+WEEKDAY(DATE(PlanYear,5,1),2)-1,7)+1)=AC$5,", "&amp;1,"")&amp;IF(INDEX($I$25:$O$35,2*INT((1+WEEKDAY(DATE(PlanYear,5,1),2)-1)/7)+1,MOD(1+WEEKDAY(DATE(PlanYear,5,1),2)-1,7)+1)=AC$5,", "&amp;2,"")&amp;IF(INDEX($I$25:$O$35,2*INT((2+WEEKDAY(DATE(PlanYear,5,1),2)-1)/7)+1,MOD(2+WEEKDAY(DATE(PlanYear,5,1),2)-1,7)+1)=AC$5,", "&amp;3,"")&amp;IF(INDEX($I$25:$O$35,2*INT((3+WEEKDAY(DATE(PlanYear,5,1),2)-1)/7)+1,MOD(3+WEEKDAY(DATE(PlanYear,5,1),2)-1,7)+1)=AC$5,", "&amp;4,"")&amp;IF(INDEX($I$25:$O$35,2*INT((4+WEEKDAY(DATE(PlanYear,5,1),2)-1)/7)+1,MOD(4+WEEKDAY(DATE(PlanYear,5,1),2)-1,7)+1)=AC$5,", "&amp;5,"")&amp;IF(INDEX($I$25:$O$35,2*INT((5+WEEKDAY(DATE(PlanYear,5,1),2)-1)/7)+1,MOD(5+WEEKDAY(DATE(PlanYear,5,1),2)-1,7)+1)=AC$5,", "&amp;6,"")&amp;IF(INDEX($I$25:$O$35,2*INT((6+WEEKDAY(DATE(PlanYear,5,1),2)-1)/7)+1,MOD(6+WEEKDAY(DATE(PlanYear,5,1),2)-1,7)+1)=AC$5,", "&amp;7,"")&amp;IF(INDEX($I$25:$O$35,2*INT((7+WEEKDAY(DATE(PlanYear,5,1),2)-1)/7)+1,MOD(7+WEEKDAY(DATE(PlanYear,5,1),2)-1,7)+1)=AC$5,", "&amp;8,"")&amp;IF(INDEX($I$25:$O$35,2*INT((8+WEEKDAY(DATE(PlanYear,5,1),2)-1)/7)+1,MOD(8+WEEKDAY(DATE(PlanYear,5,1),2)-1,7)+1)=AC$5,", "&amp;9,"")&amp;IF(INDEX($I$25:$O$35,2*INT((9+WEEKDAY(DATE(PlanYear,5,1),2)-1)/7)+1,MOD(9+WEEKDAY(DATE(PlanYear,5,1),2)-1,7)+1)=AC$5,", "&amp;10,"")&amp;IF(INDEX($I$25:$O$35,2*INT((10+WEEKDAY(DATE(PlanYear,5,1),2)-1)/7)+1,MOD(10+WEEKDAY(DATE(PlanYear,5,1),2)-1,7)+1)=AC$5,", "&amp;11,"")&amp;IF(INDEX($I$25:$O$35,2*INT((11+WEEKDAY(DATE(PlanYear,5,1),2)-1)/7)+1,MOD(11+WEEKDAY(DATE(PlanYear,5,1),2)-1,7)+1)=AC$5,", "&amp;12,"")&amp;IF(INDEX($I$25:$O$35,2*INT((12+WEEKDAY(DATE(PlanYear,5,1),2)-1)/7)+1,MOD(12+WEEKDAY(DATE(PlanYear,5,1),2)-1,7)+1)=AC$5,", "&amp;13,"")&amp;IF(INDEX($I$25:$O$35,2*INT((13+WEEKDAY(DATE(PlanYear,5,1),2)-1)/7)+1,MOD(13+WEEKDAY(DATE(PlanYear,5,1),2)-1,7)+1)=AC$5,", "&amp;14,"")&amp;IF(INDEX($I$25:$O$35,2*INT((14+WEEKDAY(DATE(PlanYear,5,1),2)-1)/7)+1,MOD(14+WEEKDAY(DATE(PlanYear,5,1),2)-1,7)+1)=AC$5,", "&amp;15,"")&amp;IF(INDEX($I$25:$O$35,2*INT((15+WEEKDAY(DATE(PlanYear,5,1),2)-1)/7)+1,MOD(15+WEEKDAY(DATE(PlanYear,5,1),2)-1,7)+1)=AC$5,", "&amp;16,"")&amp;IF(INDEX($I$25:$O$35,2*INT((16+WEEKDAY(DATE(PlanYear,5,1),2)-1)/7)+1,MOD(16+WEEKDAY(DATE(PlanYear,5,1),2)-1,7)+1)=AC$5,", "&amp;17,"")&amp;IF(INDEX($I$25:$O$35,2*INT((17+WEEKDAY(DATE(PlanYear,5,1),2)-1)/7)+1,MOD(17+WEEKDAY(DATE(PlanYear,5,1),2)-1,7)+1)=AC$5,", "&amp;18,"")&amp;IF(INDEX($I$25:$O$35,2*INT((18+WEEKDAY(DATE(PlanYear,5,1),2)-1)/7)+1,MOD(18+WEEKDAY(DATE(PlanYear,5,1),2)-1,7)+1)=AC$5,", "&amp;19,"")&amp;IF(INDEX($I$25:$O$35,2*INT((19+WEEKDAY(DATE(PlanYear,5,1),2)-1)/7)+1,MOD(19+WEEKDAY(DATE(PlanYear,5,1),2)-1,7)+1)=AC$5,", "&amp;20,"")&amp;IF(INDEX($I$25:$O$35,2*INT((20+WEEKDAY(DATE(PlanYear,5,1),2)-1)/7)+1,MOD(20+WEEKDAY(DATE(PlanYear,5,1),2)-1,7)+1)=AC$5,", "&amp;21,"")&amp;IF(INDEX($I$25:$O$35,2*INT((21+WEEKDAY(DATE(PlanYear,5,1),2)-1)/7)+1,MOD(21+WEEKDAY(DATE(PlanYear,5,1),2)-1,7)+1)=AC$5,", "&amp;22,"")&amp;IF(INDEX($I$25:$O$35,2*INT((22+WEEKDAY(DATE(PlanYear,5,1),2)-1)/7)+1,MOD(22+WEEKDAY(DATE(PlanYear,5,1),2)-1,7)+1)=AC$5,", "&amp;23,"")&amp;IF(INDEX($I$25:$O$35,2*INT((23+WEEKDAY(DATE(PlanYear,5,1),2)-1)/7)+1,MOD(23+WEEKDAY(DATE(PlanYear,5,1),2)-1,7)+1)=AC$5,", "&amp;24,"")&amp;IF(INDEX($I$25:$O$35,2*INT((24+WEEKDAY(DATE(PlanYear,5,1),2)-1)/7)+1,MOD(24+WEEKDAY(DATE(PlanYear,5,1),2)-1,7)+1)=AC$5,", "&amp;25,"")&amp;IF(INDEX($I$25:$O$35,2*INT((25+WEEKDAY(DATE(PlanYear,5,1),2)-1)/7)+1,MOD(25+WEEKDAY(DATE(PlanYear,5,1),2)-1,7)+1)=AC$5,", "&amp;26,"")&amp;IF(INDEX($I$25:$O$35,2*INT((26+WEEKDAY(DATE(PlanYear,5,1),2)-1)/7)+1,MOD(26+WEEKDAY(DATE(PlanYear,5,1),2)-1,7)+1)=AC$5,", "&amp;27,"")&amp;IF(INDEX($I$25:$O$35,2*INT((27+WEEKDAY(DATE(PlanYear,5,1),2)-1)/7)+1,MOD(27+WEEKDAY(DATE(PlanYear,5,1),2)-1,7)+1)=AC$5,", "&amp;28,"")&amp;IF(INDEX($I$25:$O$35,2*INT((28+WEEKDAY(DATE(PlanYear,5,1),2)-1)/7)+1,MOD(28+WEEKDAY(DATE(PlanYear,5,1),2)-1,7)+1)=AC$5,", "&amp;29,"")&amp;IF(INDEX($I$25:$O$35,2*INT((29+WEEKDAY(DATE(PlanYear,5,1),2)-1)/7)+1,MOD(29+WEEKDAY(DATE(PlanYear,5,1),2)-1,7)+1)=AC$5,", "&amp;30,"")&amp;IF(INDEX($I$25:$O$35,2*INT((30+WEEKDAY(DATE(PlanYear,5,1),2)-1)/7)+1,MOD(30+WEEKDAY(DATE(PlanYear,5,1),2)-1,7)+1)=AC$5,", "&amp;31,""),3,200))</f>
        <v/>
      </c>
      <c r="AD10" s="16">
        <f>IF(AD$5="","",MID(IF(INDEX($I$25:$O$35,2*INT((0+WEEKDAY(DATE(PlanYear,5,1),2)-1)/7)+1,MOD(0+WEEKDAY(DATE(PlanYear,5,1),2)-1,7)+1)=AD$5,", "&amp;1,"")&amp;IF(INDEX($I$25:$O$35,2*INT((1+WEEKDAY(DATE(PlanYear,5,1),2)-1)/7)+1,MOD(1+WEEKDAY(DATE(PlanYear,5,1),2)-1,7)+1)=AD$5,", "&amp;2,"")&amp;IF(INDEX($I$25:$O$35,2*INT((2+WEEKDAY(DATE(PlanYear,5,1),2)-1)/7)+1,MOD(2+WEEKDAY(DATE(PlanYear,5,1),2)-1,7)+1)=AD$5,", "&amp;3,"")&amp;IF(INDEX($I$25:$O$35,2*INT((3+WEEKDAY(DATE(PlanYear,5,1),2)-1)/7)+1,MOD(3+WEEKDAY(DATE(PlanYear,5,1),2)-1,7)+1)=AD$5,", "&amp;4,"")&amp;IF(INDEX($I$25:$O$35,2*INT((4+WEEKDAY(DATE(PlanYear,5,1),2)-1)/7)+1,MOD(4+WEEKDAY(DATE(PlanYear,5,1),2)-1,7)+1)=AD$5,", "&amp;5,"")&amp;IF(INDEX($I$25:$O$35,2*INT((5+WEEKDAY(DATE(PlanYear,5,1),2)-1)/7)+1,MOD(5+WEEKDAY(DATE(PlanYear,5,1),2)-1,7)+1)=AD$5,", "&amp;6,"")&amp;IF(INDEX($I$25:$O$35,2*INT((6+WEEKDAY(DATE(PlanYear,5,1),2)-1)/7)+1,MOD(6+WEEKDAY(DATE(PlanYear,5,1),2)-1,7)+1)=AD$5,", "&amp;7,"")&amp;IF(INDEX($I$25:$O$35,2*INT((7+WEEKDAY(DATE(PlanYear,5,1),2)-1)/7)+1,MOD(7+WEEKDAY(DATE(PlanYear,5,1),2)-1,7)+1)=AD$5,", "&amp;8,"")&amp;IF(INDEX($I$25:$O$35,2*INT((8+WEEKDAY(DATE(PlanYear,5,1),2)-1)/7)+1,MOD(8+WEEKDAY(DATE(PlanYear,5,1),2)-1,7)+1)=AD$5,", "&amp;9,"")&amp;IF(INDEX($I$25:$O$35,2*INT((9+WEEKDAY(DATE(PlanYear,5,1),2)-1)/7)+1,MOD(9+WEEKDAY(DATE(PlanYear,5,1),2)-1,7)+1)=AD$5,", "&amp;10,"")&amp;IF(INDEX($I$25:$O$35,2*INT((10+WEEKDAY(DATE(PlanYear,5,1),2)-1)/7)+1,MOD(10+WEEKDAY(DATE(PlanYear,5,1),2)-1,7)+1)=AD$5,", "&amp;11,"")&amp;IF(INDEX($I$25:$O$35,2*INT((11+WEEKDAY(DATE(PlanYear,5,1),2)-1)/7)+1,MOD(11+WEEKDAY(DATE(PlanYear,5,1),2)-1,7)+1)=AD$5,", "&amp;12,"")&amp;IF(INDEX($I$25:$O$35,2*INT((12+WEEKDAY(DATE(PlanYear,5,1),2)-1)/7)+1,MOD(12+WEEKDAY(DATE(PlanYear,5,1),2)-1,7)+1)=AD$5,", "&amp;13,"")&amp;IF(INDEX($I$25:$O$35,2*INT((13+WEEKDAY(DATE(PlanYear,5,1),2)-1)/7)+1,MOD(13+WEEKDAY(DATE(PlanYear,5,1),2)-1,7)+1)=AD$5,", "&amp;14,"")&amp;IF(INDEX($I$25:$O$35,2*INT((14+WEEKDAY(DATE(PlanYear,5,1),2)-1)/7)+1,MOD(14+WEEKDAY(DATE(PlanYear,5,1),2)-1,7)+1)=AD$5,", "&amp;15,"")&amp;IF(INDEX($I$25:$O$35,2*INT((15+WEEKDAY(DATE(PlanYear,5,1),2)-1)/7)+1,MOD(15+WEEKDAY(DATE(PlanYear,5,1),2)-1,7)+1)=AD$5,", "&amp;16,"")&amp;IF(INDEX($I$25:$O$35,2*INT((16+WEEKDAY(DATE(PlanYear,5,1),2)-1)/7)+1,MOD(16+WEEKDAY(DATE(PlanYear,5,1),2)-1,7)+1)=AD$5,", "&amp;17,"")&amp;IF(INDEX($I$25:$O$35,2*INT((17+WEEKDAY(DATE(PlanYear,5,1),2)-1)/7)+1,MOD(17+WEEKDAY(DATE(PlanYear,5,1),2)-1,7)+1)=AD$5,", "&amp;18,"")&amp;IF(INDEX($I$25:$O$35,2*INT((18+WEEKDAY(DATE(PlanYear,5,1),2)-1)/7)+1,MOD(18+WEEKDAY(DATE(PlanYear,5,1),2)-1,7)+1)=AD$5,", "&amp;19,"")&amp;IF(INDEX($I$25:$O$35,2*INT((19+WEEKDAY(DATE(PlanYear,5,1),2)-1)/7)+1,MOD(19+WEEKDAY(DATE(PlanYear,5,1),2)-1,7)+1)=AD$5,", "&amp;20,"")&amp;IF(INDEX($I$25:$O$35,2*INT((20+WEEKDAY(DATE(PlanYear,5,1),2)-1)/7)+1,MOD(20+WEEKDAY(DATE(PlanYear,5,1),2)-1,7)+1)=AD$5,", "&amp;21,"")&amp;IF(INDEX($I$25:$O$35,2*INT((21+WEEKDAY(DATE(PlanYear,5,1),2)-1)/7)+1,MOD(21+WEEKDAY(DATE(PlanYear,5,1),2)-1,7)+1)=AD$5,", "&amp;22,"")&amp;IF(INDEX($I$25:$O$35,2*INT((22+WEEKDAY(DATE(PlanYear,5,1),2)-1)/7)+1,MOD(22+WEEKDAY(DATE(PlanYear,5,1),2)-1,7)+1)=AD$5,", "&amp;23,"")&amp;IF(INDEX($I$25:$O$35,2*INT((23+WEEKDAY(DATE(PlanYear,5,1),2)-1)/7)+1,MOD(23+WEEKDAY(DATE(PlanYear,5,1),2)-1,7)+1)=AD$5,", "&amp;24,"")&amp;IF(INDEX($I$25:$O$35,2*INT((24+WEEKDAY(DATE(PlanYear,5,1),2)-1)/7)+1,MOD(24+WEEKDAY(DATE(PlanYear,5,1),2)-1,7)+1)=AD$5,", "&amp;25,"")&amp;IF(INDEX($I$25:$O$35,2*INT((25+WEEKDAY(DATE(PlanYear,5,1),2)-1)/7)+1,MOD(25+WEEKDAY(DATE(PlanYear,5,1),2)-1,7)+1)=AD$5,", "&amp;26,"")&amp;IF(INDEX($I$25:$O$35,2*INT((26+WEEKDAY(DATE(PlanYear,5,1),2)-1)/7)+1,MOD(26+WEEKDAY(DATE(PlanYear,5,1),2)-1,7)+1)=AD$5,", "&amp;27,"")&amp;IF(INDEX($I$25:$O$35,2*INT((27+WEEKDAY(DATE(PlanYear,5,1),2)-1)/7)+1,MOD(27+WEEKDAY(DATE(PlanYear,5,1),2)-1,7)+1)=AD$5,", "&amp;28,"")&amp;IF(INDEX($I$25:$O$35,2*INT((28+WEEKDAY(DATE(PlanYear,5,1),2)-1)/7)+1,MOD(28+WEEKDAY(DATE(PlanYear,5,1),2)-1,7)+1)=AD$5,", "&amp;29,"")&amp;IF(INDEX($I$25:$O$35,2*INT((29+WEEKDAY(DATE(PlanYear,5,1),2)-1)/7)+1,MOD(29+WEEKDAY(DATE(PlanYear,5,1),2)-1,7)+1)=AD$5,", "&amp;30,"")&amp;IF(INDEX($I$25:$O$35,2*INT((30+WEEKDAY(DATE(PlanYear,5,1),2)-1)/7)+1,MOD(30+WEEKDAY(DATE(PlanYear,5,1),2)-1,7)+1)=AD$5,", "&amp;31,""),3,200))</f>
        <v/>
      </c>
      <c r="AE10" s="16">
        <f>IF(AE$5="","",MID(IF(INDEX($I$25:$O$35,2*INT((0+WEEKDAY(DATE(PlanYear,5,1),2)-1)/7)+1,MOD(0+WEEKDAY(DATE(PlanYear,5,1),2)-1,7)+1)=AE$5,", "&amp;1,"")&amp;IF(INDEX($I$25:$O$35,2*INT((1+WEEKDAY(DATE(PlanYear,5,1),2)-1)/7)+1,MOD(1+WEEKDAY(DATE(PlanYear,5,1),2)-1,7)+1)=AE$5,", "&amp;2,"")&amp;IF(INDEX($I$25:$O$35,2*INT((2+WEEKDAY(DATE(PlanYear,5,1),2)-1)/7)+1,MOD(2+WEEKDAY(DATE(PlanYear,5,1),2)-1,7)+1)=AE$5,", "&amp;3,"")&amp;IF(INDEX($I$25:$O$35,2*INT((3+WEEKDAY(DATE(PlanYear,5,1),2)-1)/7)+1,MOD(3+WEEKDAY(DATE(PlanYear,5,1),2)-1,7)+1)=AE$5,", "&amp;4,"")&amp;IF(INDEX($I$25:$O$35,2*INT((4+WEEKDAY(DATE(PlanYear,5,1),2)-1)/7)+1,MOD(4+WEEKDAY(DATE(PlanYear,5,1),2)-1,7)+1)=AE$5,", "&amp;5,"")&amp;IF(INDEX($I$25:$O$35,2*INT((5+WEEKDAY(DATE(PlanYear,5,1),2)-1)/7)+1,MOD(5+WEEKDAY(DATE(PlanYear,5,1),2)-1,7)+1)=AE$5,", "&amp;6,"")&amp;IF(INDEX($I$25:$O$35,2*INT((6+WEEKDAY(DATE(PlanYear,5,1),2)-1)/7)+1,MOD(6+WEEKDAY(DATE(PlanYear,5,1),2)-1,7)+1)=AE$5,", "&amp;7,"")&amp;IF(INDEX($I$25:$O$35,2*INT((7+WEEKDAY(DATE(PlanYear,5,1),2)-1)/7)+1,MOD(7+WEEKDAY(DATE(PlanYear,5,1),2)-1,7)+1)=AE$5,", "&amp;8,"")&amp;IF(INDEX($I$25:$O$35,2*INT((8+WEEKDAY(DATE(PlanYear,5,1),2)-1)/7)+1,MOD(8+WEEKDAY(DATE(PlanYear,5,1),2)-1,7)+1)=AE$5,", "&amp;9,"")&amp;IF(INDEX($I$25:$O$35,2*INT((9+WEEKDAY(DATE(PlanYear,5,1),2)-1)/7)+1,MOD(9+WEEKDAY(DATE(PlanYear,5,1),2)-1,7)+1)=AE$5,", "&amp;10,"")&amp;IF(INDEX($I$25:$O$35,2*INT((10+WEEKDAY(DATE(PlanYear,5,1),2)-1)/7)+1,MOD(10+WEEKDAY(DATE(PlanYear,5,1),2)-1,7)+1)=AE$5,", "&amp;11,"")&amp;IF(INDEX($I$25:$O$35,2*INT((11+WEEKDAY(DATE(PlanYear,5,1),2)-1)/7)+1,MOD(11+WEEKDAY(DATE(PlanYear,5,1),2)-1,7)+1)=AE$5,", "&amp;12,"")&amp;IF(INDEX($I$25:$O$35,2*INT((12+WEEKDAY(DATE(PlanYear,5,1),2)-1)/7)+1,MOD(12+WEEKDAY(DATE(PlanYear,5,1),2)-1,7)+1)=AE$5,", "&amp;13,"")&amp;IF(INDEX($I$25:$O$35,2*INT((13+WEEKDAY(DATE(PlanYear,5,1),2)-1)/7)+1,MOD(13+WEEKDAY(DATE(PlanYear,5,1),2)-1,7)+1)=AE$5,", "&amp;14,"")&amp;IF(INDEX($I$25:$O$35,2*INT((14+WEEKDAY(DATE(PlanYear,5,1),2)-1)/7)+1,MOD(14+WEEKDAY(DATE(PlanYear,5,1),2)-1,7)+1)=AE$5,", "&amp;15,"")&amp;IF(INDEX($I$25:$O$35,2*INT((15+WEEKDAY(DATE(PlanYear,5,1),2)-1)/7)+1,MOD(15+WEEKDAY(DATE(PlanYear,5,1),2)-1,7)+1)=AE$5,", "&amp;16,"")&amp;IF(INDEX($I$25:$O$35,2*INT((16+WEEKDAY(DATE(PlanYear,5,1),2)-1)/7)+1,MOD(16+WEEKDAY(DATE(PlanYear,5,1),2)-1,7)+1)=AE$5,", "&amp;17,"")&amp;IF(INDEX($I$25:$O$35,2*INT((17+WEEKDAY(DATE(PlanYear,5,1),2)-1)/7)+1,MOD(17+WEEKDAY(DATE(PlanYear,5,1),2)-1,7)+1)=AE$5,", "&amp;18,"")&amp;IF(INDEX($I$25:$O$35,2*INT((18+WEEKDAY(DATE(PlanYear,5,1),2)-1)/7)+1,MOD(18+WEEKDAY(DATE(PlanYear,5,1),2)-1,7)+1)=AE$5,", "&amp;19,"")&amp;IF(INDEX($I$25:$O$35,2*INT((19+WEEKDAY(DATE(PlanYear,5,1),2)-1)/7)+1,MOD(19+WEEKDAY(DATE(PlanYear,5,1),2)-1,7)+1)=AE$5,", "&amp;20,"")&amp;IF(INDEX($I$25:$O$35,2*INT((20+WEEKDAY(DATE(PlanYear,5,1),2)-1)/7)+1,MOD(20+WEEKDAY(DATE(PlanYear,5,1),2)-1,7)+1)=AE$5,", "&amp;21,"")&amp;IF(INDEX($I$25:$O$35,2*INT((21+WEEKDAY(DATE(PlanYear,5,1),2)-1)/7)+1,MOD(21+WEEKDAY(DATE(PlanYear,5,1),2)-1,7)+1)=AE$5,", "&amp;22,"")&amp;IF(INDEX($I$25:$O$35,2*INT((22+WEEKDAY(DATE(PlanYear,5,1),2)-1)/7)+1,MOD(22+WEEKDAY(DATE(PlanYear,5,1),2)-1,7)+1)=AE$5,", "&amp;23,"")&amp;IF(INDEX($I$25:$O$35,2*INT((23+WEEKDAY(DATE(PlanYear,5,1),2)-1)/7)+1,MOD(23+WEEKDAY(DATE(PlanYear,5,1),2)-1,7)+1)=AE$5,", "&amp;24,"")&amp;IF(INDEX($I$25:$O$35,2*INT((24+WEEKDAY(DATE(PlanYear,5,1),2)-1)/7)+1,MOD(24+WEEKDAY(DATE(PlanYear,5,1),2)-1,7)+1)=AE$5,", "&amp;25,"")&amp;IF(INDEX($I$25:$O$35,2*INT((25+WEEKDAY(DATE(PlanYear,5,1),2)-1)/7)+1,MOD(25+WEEKDAY(DATE(PlanYear,5,1),2)-1,7)+1)=AE$5,", "&amp;26,"")&amp;IF(INDEX($I$25:$O$35,2*INT((26+WEEKDAY(DATE(PlanYear,5,1),2)-1)/7)+1,MOD(26+WEEKDAY(DATE(PlanYear,5,1),2)-1,7)+1)=AE$5,", "&amp;27,"")&amp;IF(INDEX($I$25:$O$35,2*INT((27+WEEKDAY(DATE(PlanYear,5,1),2)-1)/7)+1,MOD(27+WEEKDAY(DATE(PlanYear,5,1),2)-1,7)+1)=AE$5,", "&amp;28,"")&amp;IF(INDEX($I$25:$O$35,2*INT((28+WEEKDAY(DATE(PlanYear,5,1),2)-1)/7)+1,MOD(28+WEEKDAY(DATE(PlanYear,5,1),2)-1,7)+1)=AE$5,", "&amp;29,"")&amp;IF(INDEX($I$25:$O$35,2*INT((29+WEEKDAY(DATE(PlanYear,5,1),2)-1)/7)+1,MOD(29+WEEKDAY(DATE(PlanYear,5,1),2)-1,7)+1)=AE$5,", "&amp;30,"")&amp;IF(INDEX($I$25:$O$35,2*INT((30+WEEKDAY(DATE(PlanYear,5,1),2)-1)/7)+1,MOD(30+WEEKDAY(DATE(PlanYear,5,1),2)-1,7)+1)=AE$5,", "&amp;31,""),3,200))</f>
        <v/>
      </c>
      <c r="AF10" s="16">
        <f>IF(AF$5="","",MID(IF(INDEX($I$25:$O$35,2*INT((0+WEEKDAY(DATE(PlanYear,5,1),2)-1)/7)+1,MOD(0+WEEKDAY(DATE(PlanYear,5,1),2)-1,7)+1)=AF$5,", "&amp;1,"")&amp;IF(INDEX($I$25:$O$35,2*INT((1+WEEKDAY(DATE(PlanYear,5,1),2)-1)/7)+1,MOD(1+WEEKDAY(DATE(PlanYear,5,1),2)-1,7)+1)=AF$5,", "&amp;2,"")&amp;IF(INDEX($I$25:$O$35,2*INT((2+WEEKDAY(DATE(PlanYear,5,1),2)-1)/7)+1,MOD(2+WEEKDAY(DATE(PlanYear,5,1),2)-1,7)+1)=AF$5,", "&amp;3,"")&amp;IF(INDEX($I$25:$O$35,2*INT((3+WEEKDAY(DATE(PlanYear,5,1),2)-1)/7)+1,MOD(3+WEEKDAY(DATE(PlanYear,5,1),2)-1,7)+1)=AF$5,", "&amp;4,"")&amp;IF(INDEX($I$25:$O$35,2*INT((4+WEEKDAY(DATE(PlanYear,5,1),2)-1)/7)+1,MOD(4+WEEKDAY(DATE(PlanYear,5,1),2)-1,7)+1)=AF$5,", "&amp;5,"")&amp;IF(INDEX($I$25:$O$35,2*INT((5+WEEKDAY(DATE(PlanYear,5,1),2)-1)/7)+1,MOD(5+WEEKDAY(DATE(PlanYear,5,1),2)-1,7)+1)=AF$5,", "&amp;6,"")&amp;IF(INDEX($I$25:$O$35,2*INT((6+WEEKDAY(DATE(PlanYear,5,1),2)-1)/7)+1,MOD(6+WEEKDAY(DATE(PlanYear,5,1),2)-1,7)+1)=AF$5,", "&amp;7,"")&amp;IF(INDEX($I$25:$O$35,2*INT((7+WEEKDAY(DATE(PlanYear,5,1),2)-1)/7)+1,MOD(7+WEEKDAY(DATE(PlanYear,5,1),2)-1,7)+1)=AF$5,", "&amp;8,"")&amp;IF(INDEX($I$25:$O$35,2*INT((8+WEEKDAY(DATE(PlanYear,5,1),2)-1)/7)+1,MOD(8+WEEKDAY(DATE(PlanYear,5,1),2)-1,7)+1)=AF$5,", "&amp;9,"")&amp;IF(INDEX($I$25:$O$35,2*INT((9+WEEKDAY(DATE(PlanYear,5,1),2)-1)/7)+1,MOD(9+WEEKDAY(DATE(PlanYear,5,1),2)-1,7)+1)=AF$5,", "&amp;10,"")&amp;IF(INDEX($I$25:$O$35,2*INT((10+WEEKDAY(DATE(PlanYear,5,1),2)-1)/7)+1,MOD(10+WEEKDAY(DATE(PlanYear,5,1),2)-1,7)+1)=AF$5,", "&amp;11,"")&amp;IF(INDEX($I$25:$O$35,2*INT((11+WEEKDAY(DATE(PlanYear,5,1),2)-1)/7)+1,MOD(11+WEEKDAY(DATE(PlanYear,5,1),2)-1,7)+1)=AF$5,", "&amp;12,"")&amp;IF(INDEX($I$25:$O$35,2*INT((12+WEEKDAY(DATE(PlanYear,5,1),2)-1)/7)+1,MOD(12+WEEKDAY(DATE(PlanYear,5,1),2)-1,7)+1)=AF$5,", "&amp;13,"")&amp;IF(INDEX($I$25:$O$35,2*INT((13+WEEKDAY(DATE(PlanYear,5,1),2)-1)/7)+1,MOD(13+WEEKDAY(DATE(PlanYear,5,1),2)-1,7)+1)=AF$5,", "&amp;14,"")&amp;IF(INDEX($I$25:$O$35,2*INT((14+WEEKDAY(DATE(PlanYear,5,1),2)-1)/7)+1,MOD(14+WEEKDAY(DATE(PlanYear,5,1),2)-1,7)+1)=AF$5,", "&amp;15,"")&amp;IF(INDEX($I$25:$O$35,2*INT((15+WEEKDAY(DATE(PlanYear,5,1),2)-1)/7)+1,MOD(15+WEEKDAY(DATE(PlanYear,5,1),2)-1,7)+1)=AF$5,", "&amp;16,"")&amp;IF(INDEX($I$25:$O$35,2*INT((16+WEEKDAY(DATE(PlanYear,5,1),2)-1)/7)+1,MOD(16+WEEKDAY(DATE(PlanYear,5,1),2)-1,7)+1)=AF$5,", "&amp;17,"")&amp;IF(INDEX($I$25:$O$35,2*INT((17+WEEKDAY(DATE(PlanYear,5,1),2)-1)/7)+1,MOD(17+WEEKDAY(DATE(PlanYear,5,1),2)-1,7)+1)=AF$5,", "&amp;18,"")&amp;IF(INDEX($I$25:$O$35,2*INT((18+WEEKDAY(DATE(PlanYear,5,1),2)-1)/7)+1,MOD(18+WEEKDAY(DATE(PlanYear,5,1),2)-1,7)+1)=AF$5,", "&amp;19,"")&amp;IF(INDEX($I$25:$O$35,2*INT((19+WEEKDAY(DATE(PlanYear,5,1),2)-1)/7)+1,MOD(19+WEEKDAY(DATE(PlanYear,5,1),2)-1,7)+1)=AF$5,", "&amp;20,"")&amp;IF(INDEX($I$25:$O$35,2*INT((20+WEEKDAY(DATE(PlanYear,5,1),2)-1)/7)+1,MOD(20+WEEKDAY(DATE(PlanYear,5,1),2)-1,7)+1)=AF$5,", "&amp;21,"")&amp;IF(INDEX($I$25:$O$35,2*INT((21+WEEKDAY(DATE(PlanYear,5,1),2)-1)/7)+1,MOD(21+WEEKDAY(DATE(PlanYear,5,1),2)-1,7)+1)=AF$5,", "&amp;22,"")&amp;IF(INDEX($I$25:$O$35,2*INT((22+WEEKDAY(DATE(PlanYear,5,1),2)-1)/7)+1,MOD(22+WEEKDAY(DATE(PlanYear,5,1),2)-1,7)+1)=AF$5,", "&amp;23,"")&amp;IF(INDEX($I$25:$O$35,2*INT((23+WEEKDAY(DATE(PlanYear,5,1),2)-1)/7)+1,MOD(23+WEEKDAY(DATE(PlanYear,5,1),2)-1,7)+1)=AF$5,", "&amp;24,"")&amp;IF(INDEX($I$25:$O$35,2*INT((24+WEEKDAY(DATE(PlanYear,5,1),2)-1)/7)+1,MOD(24+WEEKDAY(DATE(PlanYear,5,1),2)-1,7)+1)=AF$5,", "&amp;25,"")&amp;IF(INDEX($I$25:$O$35,2*INT((25+WEEKDAY(DATE(PlanYear,5,1),2)-1)/7)+1,MOD(25+WEEKDAY(DATE(PlanYear,5,1),2)-1,7)+1)=AF$5,", "&amp;26,"")&amp;IF(INDEX($I$25:$O$35,2*INT((26+WEEKDAY(DATE(PlanYear,5,1),2)-1)/7)+1,MOD(26+WEEKDAY(DATE(PlanYear,5,1),2)-1,7)+1)=AF$5,", "&amp;27,"")&amp;IF(INDEX($I$25:$O$35,2*INT((27+WEEKDAY(DATE(PlanYear,5,1),2)-1)/7)+1,MOD(27+WEEKDAY(DATE(PlanYear,5,1),2)-1,7)+1)=AF$5,", "&amp;28,"")&amp;IF(INDEX($I$25:$O$35,2*INT((28+WEEKDAY(DATE(PlanYear,5,1),2)-1)/7)+1,MOD(28+WEEKDAY(DATE(PlanYear,5,1),2)-1,7)+1)=AF$5,", "&amp;29,"")&amp;IF(INDEX($I$25:$O$35,2*INT((29+WEEKDAY(DATE(PlanYear,5,1),2)-1)/7)+1,MOD(29+WEEKDAY(DATE(PlanYear,5,1),2)-1,7)+1)=AF$5,", "&amp;30,"")&amp;IF(INDEX($I$25:$O$35,2*INT((30+WEEKDAY(DATE(PlanYear,5,1),2)-1)/7)+1,MOD(30+WEEKDAY(DATE(PlanYear,5,1),2)-1,7)+1)=AF$5,", "&amp;31,""),3,200))</f>
        <v/>
      </c>
      <c r="AG10" s="16">
        <f>IF(AG$5="","",MID(IF(INDEX($I$25:$O$35,2*INT((0+WEEKDAY(DATE(PlanYear,5,1),2)-1)/7)+1,MOD(0+WEEKDAY(DATE(PlanYear,5,1),2)-1,7)+1)=AG$5,", "&amp;1,"")&amp;IF(INDEX($I$25:$O$35,2*INT((1+WEEKDAY(DATE(PlanYear,5,1),2)-1)/7)+1,MOD(1+WEEKDAY(DATE(PlanYear,5,1),2)-1,7)+1)=AG$5,", "&amp;2,"")&amp;IF(INDEX($I$25:$O$35,2*INT((2+WEEKDAY(DATE(PlanYear,5,1),2)-1)/7)+1,MOD(2+WEEKDAY(DATE(PlanYear,5,1),2)-1,7)+1)=AG$5,", "&amp;3,"")&amp;IF(INDEX($I$25:$O$35,2*INT((3+WEEKDAY(DATE(PlanYear,5,1),2)-1)/7)+1,MOD(3+WEEKDAY(DATE(PlanYear,5,1),2)-1,7)+1)=AG$5,", "&amp;4,"")&amp;IF(INDEX($I$25:$O$35,2*INT((4+WEEKDAY(DATE(PlanYear,5,1),2)-1)/7)+1,MOD(4+WEEKDAY(DATE(PlanYear,5,1),2)-1,7)+1)=AG$5,", "&amp;5,"")&amp;IF(INDEX($I$25:$O$35,2*INT((5+WEEKDAY(DATE(PlanYear,5,1),2)-1)/7)+1,MOD(5+WEEKDAY(DATE(PlanYear,5,1),2)-1,7)+1)=AG$5,", "&amp;6,"")&amp;IF(INDEX($I$25:$O$35,2*INT((6+WEEKDAY(DATE(PlanYear,5,1),2)-1)/7)+1,MOD(6+WEEKDAY(DATE(PlanYear,5,1),2)-1,7)+1)=AG$5,", "&amp;7,"")&amp;IF(INDEX($I$25:$O$35,2*INT((7+WEEKDAY(DATE(PlanYear,5,1),2)-1)/7)+1,MOD(7+WEEKDAY(DATE(PlanYear,5,1),2)-1,7)+1)=AG$5,", "&amp;8,"")&amp;IF(INDEX($I$25:$O$35,2*INT((8+WEEKDAY(DATE(PlanYear,5,1),2)-1)/7)+1,MOD(8+WEEKDAY(DATE(PlanYear,5,1),2)-1,7)+1)=AG$5,", "&amp;9,"")&amp;IF(INDEX($I$25:$O$35,2*INT((9+WEEKDAY(DATE(PlanYear,5,1),2)-1)/7)+1,MOD(9+WEEKDAY(DATE(PlanYear,5,1),2)-1,7)+1)=AG$5,", "&amp;10,"")&amp;IF(INDEX($I$25:$O$35,2*INT((10+WEEKDAY(DATE(PlanYear,5,1),2)-1)/7)+1,MOD(10+WEEKDAY(DATE(PlanYear,5,1),2)-1,7)+1)=AG$5,", "&amp;11,"")&amp;IF(INDEX($I$25:$O$35,2*INT((11+WEEKDAY(DATE(PlanYear,5,1),2)-1)/7)+1,MOD(11+WEEKDAY(DATE(PlanYear,5,1),2)-1,7)+1)=AG$5,", "&amp;12,"")&amp;IF(INDEX($I$25:$O$35,2*INT((12+WEEKDAY(DATE(PlanYear,5,1),2)-1)/7)+1,MOD(12+WEEKDAY(DATE(PlanYear,5,1),2)-1,7)+1)=AG$5,", "&amp;13,"")&amp;IF(INDEX($I$25:$O$35,2*INT((13+WEEKDAY(DATE(PlanYear,5,1),2)-1)/7)+1,MOD(13+WEEKDAY(DATE(PlanYear,5,1),2)-1,7)+1)=AG$5,", "&amp;14,"")&amp;IF(INDEX($I$25:$O$35,2*INT((14+WEEKDAY(DATE(PlanYear,5,1),2)-1)/7)+1,MOD(14+WEEKDAY(DATE(PlanYear,5,1),2)-1,7)+1)=AG$5,", "&amp;15,"")&amp;IF(INDEX($I$25:$O$35,2*INT((15+WEEKDAY(DATE(PlanYear,5,1),2)-1)/7)+1,MOD(15+WEEKDAY(DATE(PlanYear,5,1),2)-1,7)+1)=AG$5,", "&amp;16,"")&amp;IF(INDEX($I$25:$O$35,2*INT((16+WEEKDAY(DATE(PlanYear,5,1),2)-1)/7)+1,MOD(16+WEEKDAY(DATE(PlanYear,5,1),2)-1,7)+1)=AG$5,", "&amp;17,"")&amp;IF(INDEX($I$25:$O$35,2*INT((17+WEEKDAY(DATE(PlanYear,5,1),2)-1)/7)+1,MOD(17+WEEKDAY(DATE(PlanYear,5,1),2)-1,7)+1)=AG$5,", "&amp;18,"")&amp;IF(INDEX($I$25:$O$35,2*INT((18+WEEKDAY(DATE(PlanYear,5,1),2)-1)/7)+1,MOD(18+WEEKDAY(DATE(PlanYear,5,1),2)-1,7)+1)=AG$5,", "&amp;19,"")&amp;IF(INDEX($I$25:$O$35,2*INT((19+WEEKDAY(DATE(PlanYear,5,1),2)-1)/7)+1,MOD(19+WEEKDAY(DATE(PlanYear,5,1),2)-1,7)+1)=AG$5,", "&amp;20,"")&amp;IF(INDEX($I$25:$O$35,2*INT((20+WEEKDAY(DATE(PlanYear,5,1),2)-1)/7)+1,MOD(20+WEEKDAY(DATE(PlanYear,5,1),2)-1,7)+1)=AG$5,", "&amp;21,"")&amp;IF(INDEX($I$25:$O$35,2*INT((21+WEEKDAY(DATE(PlanYear,5,1),2)-1)/7)+1,MOD(21+WEEKDAY(DATE(PlanYear,5,1),2)-1,7)+1)=AG$5,", "&amp;22,"")&amp;IF(INDEX($I$25:$O$35,2*INT((22+WEEKDAY(DATE(PlanYear,5,1),2)-1)/7)+1,MOD(22+WEEKDAY(DATE(PlanYear,5,1),2)-1,7)+1)=AG$5,", "&amp;23,"")&amp;IF(INDEX($I$25:$O$35,2*INT((23+WEEKDAY(DATE(PlanYear,5,1),2)-1)/7)+1,MOD(23+WEEKDAY(DATE(PlanYear,5,1),2)-1,7)+1)=AG$5,", "&amp;24,"")&amp;IF(INDEX($I$25:$O$35,2*INT((24+WEEKDAY(DATE(PlanYear,5,1),2)-1)/7)+1,MOD(24+WEEKDAY(DATE(PlanYear,5,1),2)-1,7)+1)=AG$5,", "&amp;25,"")&amp;IF(INDEX($I$25:$O$35,2*INT((25+WEEKDAY(DATE(PlanYear,5,1),2)-1)/7)+1,MOD(25+WEEKDAY(DATE(PlanYear,5,1),2)-1,7)+1)=AG$5,", "&amp;26,"")&amp;IF(INDEX($I$25:$O$35,2*INT((26+WEEKDAY(DATE(PlanYear,5,1),2)-1)/7)+1,MOD(26+WEEKDAY(DATE(PlanYear,5,1),2)-1,7)+1)=AG$5,", "&amp;27,"")&amp;IF(INDEX($I$25:$O$35,2*INT((27+WEEKDAY(DATE(PlanYear,5,1),2)-1)/7)+1,MOD(27+WEEKDAY(DATE(PlanYear,5,1),2)-1,7)+1)=AG$5,", "&amp;28,"")&amp;IF(INDEX($I$25:$O$35,2*INT((28+WEEKDAY(DATE(PlanYear,5,1),2)-1)/7)+1,MOD(28+WEEKDAY(DATE(PlanYear,5,1),2)-1,7)+1)=AG$5,", "&amp;29,"")&amp;IF(INDEX($I$25:$O$35,2*INT((29+WEEKDAY(DATE(PlanYear,5,1),2)-1)/7)+1,MOD(29+WEEKDAY(DATE(PlanYear,5,1),2)-1,7)+1)=AG$5,", "&amp;30,"")&amp;IF(INDEX($I$25:$O$35,2*INT((30+WEEKDAY(DATE(PlanYear,5,1),2)-1)/7)+1,MOD(30+WEEKDAY(DATE(PlanYear,5,1),2)-1,7)+1)=AG$5,", "&amp;31,""),3,200))</f>
        <v/>
      </c>
      <c r="AH10" s="16">
        <f>IF(AH$5="","",MID(IF(INDEX($I$25:$O$35,2*INT((0+WEEKDAY(DATE(PlanYear,5,1),2)-1)/7)+1,MOD(0+WEEKDAY(DATE(PlanYear,5,1),2)-1,7)+1)=AH$5,", "&amp;1,"")&amp;IF(INDEX($I$25:$O$35,2*INT((1+WEEKDAY(DATE(PlanYear,5,1),2)-1)/7)+1,MOD(1+WEEKDAY(DATE(PlanYear,5,1),2)-1,7)+1)=AH$5,", "&amp;2,"")&amp;IF(INDEX($I$25:$O$35,2*INT((2+WEEKDAY(DATE(PlanYear,5,1),2)-1)/7)+1,MOD(2+WEEKDAY(DATE(PlanYear,5,1),2)-1,7)+1)=AH$5,", "&amp;3,"")&amp;IF(INDEX($I$25:$O$35,2*INT((3+WEEKDAY(DATE(PlanYear,5,1),2)-1)/7)+1,MOD(3+WEEKDAY(DATE(PlanYear,5,1),2)-1,7)+1)=AH$5,", "&amp;4,"")&amp;IF(INDEX($I$25:$O$35,2*INT((4+WEEKDAY(DATE(PlanYear,5,1),2)-1)/7)+1,MOD(4+WEEKDAY(DATE(PlanYear,5,1),2)-1,7)+1)=AH$5,", "&amp;5,"")&amp;IF(INDEX($I$25:$O$35,2*INT((5+WEEKDAY(DATE(PlanYear,5,1),2)-1)/7)+1,MOD(5+WEEKDAY(DATE(PlanYear,5,1),2)-1,7)+1)=AH$5,", "&amp;6,"")&amp;IF(INDEX($I$25:$O$35,2*INT((6+WEEKDAY(DATE(PlanYear,5,1),2)-1)/7)+1,MOD(6+WEEKDAY(DATE(PlanYear,5,1),2)-1,7)+1)=AH$5,", "&amp;7,"")&amp;IF(INDEX($I$25:$O$35,2*INT((7+WEEKDAY(DATE(PlanYear,5,1),2)-1)/7)+1,MOD(7+WEEKDAY(DATE(PlanYear,5,1),2)-1,7)+1)=AH$5,", "&amp;8,"")&amp;IF(INDEX($I$25:$O$35,2*INT((8+WEEKDAY(DATE(PlanYear,5,1),2)-1)/7)+1,MOD(8+WEEKDAY(DATE(PlanYear,5,1),2)-1,7)+1)=AH$5,", "&amp;9,"")&amp;IF(INDEX($I$25:$O$35,2*INT((9+WEEKDAY(DATE(PlanYear,5,1),2)-1)/7)+1,MOD(9+WEEKDAY(DATE(PlanYear,5,1),2)-1,7)+1)=AH$5,", "&amp;10,"")&amp;IF(INDEX($I$25:$O$35,2*INT((10+WEEKDAY(DATE(PlanYear,5,1),2)-1)/7)+1,MOD(10+WEEKDAY(DATE(PlanYear,5,1),2)-1,7)+1)=AH$5,", "&amp;11,"")&amp;IF(INDEX($I$25:$O$35,2*INT((11+WEEKDAY(DATE(PlanYear,5,1),2)-1)/7)+1,MOD(11+WEEKDAY(DATE(PlanYear,5,1),2)-1,7)+1)=AH$5,", "&amp;12,"")&amp;IF(INDEX($I$25:$O$35,2*INT((12+WEEKDAY(DATE(PlanYear,5,1),2)-1)/7)+1,MOD(12+WEEKDAY(DATE(PlanYear,5,1),2)-1,7)+1)=AH$5,", "&amp;13,"")&amp;IF(INDEX($I$25:$O$35,2*INT((13+WEEKDAY(DATE(PlanYear,5,1),2)-1)/7)+1,MOD(13+WEEKDAY(DATE(PlanYear,5,1),2)-1,7)+1)=AH$5,", "&amp;14,"")&amp;IF(INDEX($I$25:$O$35,2*INT((14+WEEKDAY(DATE(PlanYear,5,1),2)-1)/7)+1,MOD(14+WEEKDAY(DATE(PlanYear,5,1),2)-1,7)+1)=AH$5,", "&amp;15,"")&amp;IF(INDEX($I$25:$O$35,2*INT((15+WEEKDAY(DATE(PlanYear,5,1),2)-1)/7)+1,MOD(15+WEEKDAY(DATE(PlanYear,5,1),2)-1,7)+1)=AH$5,", "&amp;16,"")&amp;IF(INDEX($I$25:$O$35,2*INT((16+WEEKDAY(DATE(PlanYear,5,1),2)-1)/7)+1,MOD(16+WEEKDAY(DATE(PlanYear,5,1),2)-1,7)+1)=AH$5,", "&amp;17,"")&amp;IF(INDEX($I$25:$O$35,2*INT((17+WEEKDAY(DATE(PlanYear,5,1),2)-1)/7)+1,MOD(17+WEEKDAY(DATE(PlanYear,5,1),2)-1,7)+1)=AH$5,", "&amp;18,"")&amp;IF(INDEX($I$25:$O$35,2*INT((18+WEEKDAY(DATE(PlanYear,5,1),2)-1)/7)+1,MOD(18+WEEKDAY(DATE(PlanYear,5,1),2)-1,7)+1)=AH$5,", "&amp;19,"")&amp;IF(INDEX($I$25:$O$35,2*INT((19+WEEKDAY(DATE(PlanYear,5,1),2)-1)/7)+1,MOD(19+WEEKDAY(DATE(PlanYear,5,1),2)-1,7)+1)=AH$5,", "&amp;20,"")&amp;IF(INDEX($I$25:$O$35,2*INT((20+WEEKDAY(DATE(PlanYear,5,1),2)-1)/7)+1,MOD(20+WEEKDAY(DATE(PlanYear,5,1),2)-1,7)+1)=AH$5,", "&amp;21,"")&amp;IF(INDEX($I$25:$O$35,2*INT((21+WEEKDAY(DATE(PlanYear,5,1),2)-1)/7)+1,MOD(21+WEEKDAY(DATE(PlanYear,5,1),2)-1,7)+1)=AH$5,", "&amp;22,"")&amp;IF(INDEX($I$25:$O$35,2*INT((22+WEEKDAY(DATE(PlanYear,5,1),2)-1)/7)+1,MOD(22+WEEKDAY(DATE(PlanYear,5,1),2)-1,7)+1)=AH$5,", "&amp;23,"")&amp;IF(INDEX($I$25:$O$35,2*INT((23+WEEKDAY(DATE(PlanYear,5,1),2)-1)/7)+1,MOD(23+WEEKDAY(DATE(PlanYear,5,1),2)-1,7)+1)=AH$5,", "&amp;24,"")&amp;IF(INDEX($I$25:$O$35,2*INT((24+WEEKDAY(DATE(PlanYear,5,1),2)-1)/7)+1,MOD(24+WEEKDAY(DATE(PlanYear,5,1),2)-1,7)+1)=AH$5,", "&amp;25,"")&amp;IF(INDEX($I$25:$O$35,2*INT((25+WEEKDAY(DATE(PlanYear,5,1),2)-1)/7)+1,MOD(25+WEEKDAY(DATE(PlanYear,5,1),2)-1,7)+1)=AH$5,", "&amp;26,"")&amp;IF(INDEX($I$25:$O$35,2*INT((26+WEEKDAY(DATE(PlanYear,5,1),2)-1)/7)+1,MOD(26+WEEKDAY(DATE(PlanYear,5,1),2)-1,7)+1)=AH$5,", "&amp;27,"")&amp;IF(INDEX($I$25:$O$35,2*INT((27+WEEKDAY(DATE(PlanYear,5,1),2)-1)/7)+1,MOD(27+WEEKDAY(DATE(PlanYear,5,1),2)-1,7)+1)=AH$5,", "&amp;28,"")&amp;IF(INDEX($I$25:$O$35,2*INT((28+WEEKDAY(DATE(PlanYear,5,1),2)-1)/7)+1,MOD(28+WEEKDAY(DATE(PlanYear,5,1),2)-1,7)+1)=AH$5,", "&amp;29,"")&amp;IF(INDEX($I$25:$O$35,2*INT((29+WEEKDAY(DATE(PlanYear,5,1),2)-1)/7)+1,MOD(29+WEEKDAY(DATE(PlanYear,5,1),2)-1,7)+1)=AH$5,", "&amp;30,"")&amp;IF(INDEX($I$25:$O$35,2*INT((30+WEEKDAY(DATE(PlanYear,5,1),2)-1)/7)+1,MOD(30+WEEKDAY(DATE(PlanYear,5,1),2)-1,7)+1)=AH$5,", "&amp;31,""),3,200))</f>
        <v/>
      </c>
      <c r="AI10" s="16">
        <f>IF(AI$5="","",MID(IF(INDEX($I$25:$O$35,2*INT((0+WEEKDAY(DATE(PlanYear,5,1),2)-1)/7)+1,MOD(0+WEEKDAY(DATE(PlanYear,5,1),2)-1,7)+1)=AI$5,", "&amp;1,"")&amp;IF(INDEX($I$25:$O$35,2*INT((1+WEEKDAY(DATE(PlanYear,5,1),2)-1)/7)+1,MOD(1+WEEKDAY(DATE(PlanYear,5,1),2)-1,7)+1)=AI$5,", "&amp;2,"")&amp;IF(INDEX($I$25:$O$35,2*INT((2+WEEKDAY(DATE(PlanYear,5,1),2)-1)/7)+1,MOD(2+WEEKDAY(DATE(PlanYear,5,1),2)-1,7)+1)=AI$5,", "&amp;3,"")&amp;IF(INDEX($I$25:$O$35,2*INT((3+WEEKDAY(DATE(PlanYear,5,1),2)-1)/7)+1,MOD(3+WEEKDAY(DATE(PlanYear,5,1),2)-1,7)+1)=AI$5,", "&amp;4,"")&amp;IF(INDEX($I$25:$O$35,2*INT((4+WEEKDAY(DATE(PlanYear,5,1),2)-1)/7)+1,MOD(4+WEEKDAY(DATE(PlanYear,5,1),2)-1,7)+1)=AI$5,", "&amp;5,"")&amp;IF(INDEX($I$25:$O$35,2*INT((5+WEEKDAY(DATE(PlanYear,5,1),2)-1)/7)+1,MOD(5+WEEKDAY(DATE(PlanYear,5,1),2)-1,7)+1)=AI$5,", "&amp;6,"")&amp;IF(INDEX($I$25:$O$35,2*INT((6+WEEKDAY(DATE(PlanYear,5,1),2)-1)/7)+1,MOD(6+WEEKDAY(DATE(PlanYear,5,1),2)-1,7)+1)=AI$5,", "&amp;7,"")&amp;IF(INDEX($I$25:$O$35,2*INT((7+WEEKDAY(DATE(PlanYear,5,1),2)-1)/7)+1,MOD(7+WEEKDAY(DATE(PlanYear,5,1),2)-1,7)+1)=AI$5,", "&amp;8,"")&amp;IF(INDEX($I$25:$O$35,2*INT((8+WEEKDAY(DATE(PlanYear,5,1),2)-1)/7)+1,MOD(8+WEEKDAY(DATE(PlanYear,5,1),2)-1,7)+1)=AI$5,", "&amp;9,"")&amp;IF(INDEX($I$25:$O$35,2*INT((9+WEEKDAY(DATE(PlanYear,5,1),2)-1)/7)+1,MOD(9+WEEKDAY(DATE(PlanYear,5,1),2)-1,7)+1)=AI$5,", "&amp;10,"")&amp;IF(INDEX($I$25:$O$35,2*INT((10+WEEKDAY(DATE(PlanYear,5,1),2)-1)/7)+1,MOD(10+WEEKDAY(DATE(PlanYear,5,1),2)-1,7)+1)=AI$5,", "&amp;11,"")&amp;IF(INDEX($I$25:$O$35,2*INT((11+WEEKDAY(DATE(PlanYear,5,1),2)-1)/7)+1,MOD(11+WEEKDAY(DATE(PlanYear,5,1),2)-1,7)+1)=AI$5,", "&amp;12,"")&amp;IF(INDEX($I$25:$O$35,2*INT((12+WEEKDAY(DATE(PlanYear,5,1),2)-1)/7)+1,MOD(12+WEEKDAY(DATE(PlanYear,5,1),2)-1,7)+1)=AI$5,", "&amp;13,"")&amp;IF(INDEX($I$25:$O$35,2*INT((13+WEEKDAY(DATE(PlanYear,5,1),2)-1)/7)+1,MOD(13+WEEKDAY(DATE(PlanYear,5,1),2)-1,7)+1)=AI$5,", "&amp;14,"")&amp;IF(INDEX($I$25:$O$35,2*INT((14+WEEKDAY(DATE(PlanYear,5,1),2)-1)/7)+1,MOD(14+WEEKDAY(DATE(PlanYear,5,1),2)-1,7)+1)=AI$5,", "&amp;15,"")&amp;IF(INDEX($I$25:$O$35,2*INT((15+WEEKDAY(DATE(PlanYear,5,1),2)-1)/7)+1,MOD(15+WEEKDAY(DATE(PlanYear,5,1),2)-1,7)+1)=AI$5,", "&amp;16,"")&amp;IF(INDEX($I$25:$O$35,2*INT((16+WEEKDAY(DATE(PlanYear,5,1),2)-1)/7)+1,MOD(16+WEEKDAY(DATE(PlanYear,5,1),2)-1,7)+1)=AI$5,", "&amp;17,"")&amp;IF(INDEX($I$25:$O$35,2*INT((17+WEEKDAY(DATE(PlanYear,5,1),2)-1)/7)+1,MOD(17+WEEKDAY(DATE(PlanYear,5,1),2)-1,7)+1)=AI$5,", "&amp;18,"")&amp;IF(INDEX($I$25:$O$35,2*INT((18+WEEKDAY(DATE(PlanYear,5,1),2)-1)/7)+1,MOD(18+WEEKDAY(DATE(PlanYear,5,1),2)-1,7)+1)=AI$5,", "&amp;19,"")&amp;IF(INDEX($I$25:$O$35,2*INT((19+WEEKDAY(DATE(PlanYear,5,1),2)-1)/7)+1,MOD(19+WEEKDAY(DATE(PlanYear,5,1),2)-1,7)+1)=AI$5,", "&amp;20,"")&amp;IF(INDEX($I$25:$O$35,2*INT((20+WEEKDAY(DATE(PlanYear,5,1),2)-1)/7)+1,MOD(20+WEEKDAY(DATE(PlanYear,5,1),2)-1,7)+1)=AI$5,", "&amp;21,"")&amp;IF(INDEX($I$25:$O$35,2*INT((21+WEEKDAY(DATE(PlanYear,5,1),2)-1)/7)+1,MOD(21+WEEKDAY(DATE(PlanYear,5,1),2)-1,7)+1)=AI$5,", "&amp;22,"")&amp;IF(INDEX($I$25:$O$35,2*INT((22+WEEKDAY(DATE(PlanYear,5,1),2)-1)/7)+1,MOD(22+WEEKDAY(DATE(PlanYear,5,1),2)-1,7)+1)=AI$5,", "&amp;23,"")&amp;IF(INDEX($I$25:$O$35,2*INT((23+WEEKDAY(DATE(PlanYear,5,1),2)-1)/7)+1,MOD(23+WEEKDAY(DATE(PlanYear,5,1),2)-1,7)+1)=AI$5,", "&amp;24,"")&amp;IF(INDEX($I$25:$O$35,2*INT((24+WEEKDAY(DATE(PlanYear,5,1),2)-1)/7)+1,MOD(24+WEEKDAY(DATE(PlanYear,5,1),2)-1,7)+1)=AI$5,", "&amp;25,"")&amp;IF(INDEX($I$25:$O$35,2*INT((25+WEEKDAY(DATE(PlanYear,5,1),2)-1)/7)+1,MOD(25+WEEKDAY(DATE(PlanYear,5,1),2)-1,7)+1)=AI$5,", "&amp;26,"")&amp;IF(INDEX($I$25:$O$35,2*INT((26+WEEKDAY(DATE(PlanYear,5,1),2)-1)/7)+1,MOD(26+WEEKDAY(DATE(PlanYear,5,1),2)-1,7)+1)=AI$5,", "&amp;27,"")&amp;IF(INDEX($I$25:$O$35,2*INT((27+WEEKDAY(DATE(PlanYear,5,1),2)-1)/7)+1,MOD(27+WEEKDAY(DATE(PlanYear,5,1),2)-1,7)+1)=AI$5,", "&amp;28,"")&amp;IF(INDEX($I$25:$O$35,2*INT((28+WEEKDAY(DATE(PlanYear,5,1),2)-1)/7)+1,MOD(28+WEEKDAY(DATE(PlanYear,5,1),2)-1,7)+1)=AI$5,", "&amp;29,"")&amp;IF(INDEX($I$25:$O$35,2*INT((29+WEEKDAY(DATE(PlanYear,5,1),2)-1)/7)+1,MOD(29+WEEKDAY(DATE(PlanYear,5,1),2)-1,7)+1)=AI$5,", "&amp;30,"")&amp;IF(INDEX($I$25:$O$35,2*INT((30+WEEKDAY(DATE(PlanYear,5,1),2)-1)/7)+1,MOD(30+WEEKDAY(DATE(PlanYear,5,1),2)-1,7)+1)=AI$5,", "&amp;31,""),3,200))</f>
        <v/>
      </c>
      <c r="AJ10" s="16">
        <f>IF(AJ$5="","",MID(IF(INDEX($I$25:$O$35,2*INT((0+WEEKDAY(DATE(PlanYear,5,1),2)-1)/7)+1,MOD(0+WEEKDAY(DATE(PlanYear,5,1),2)-1,7)+1)=AJ$5,", "&amp;1,"")&amp;IF(INDEX($I$25:$O$35,2*INT((1+WEEKDAY(DATE(PlanYear,5,1),2)-1)/7)+1,MOD(1+WEEKDAY(DATE(PlanYear,5,1),2)-1,7)+1)=AJ$5,", "&amp;2,"")&amp;IF(INDEX($I$25:$O$35,2*INT((2+WEEKDAY(DATE(PlanYear,5,1),2)-1)/7)+1,MOD(2+WEEKDAY(DATE(PlanYear,5,1),2)-1,7)+1)=AJ$5,", "&amp;3,"")&amp;IF(INDEX($I$25:$O$35,2*INT((3+WEEKDAY(DATE(PlanYear,5,1),2)-1)/7)+1,MOD(3+WEEKDAY(DATE(PlanYear,5,1),2)-1,7)+1)=AJ$5,", "&amp;4,"")&amp;IF(INDEX($I$25:$O$35,2*INT((4+WEEKDAY(DATE(PlanYear,5,1),2)-1)/7)+1,MOD(4+WEEKDAY(DATE(PlanYear,5,1),2)-1,7)+1)=AJ$5,", "&amp;5,"")&amp;IF(INDEX($I$25:$O$35,2*INT((5+WEEKDAY(DATE(PlanYear,5,1),2)-1)/7)+1,MOD(5+WEEKDAY(DATE(PlanYear,5,1),2)-1,7)+1)=AJ$5,", "&amp;6,"")&amp;IF(INDEX($I$25:$O$35,2*INT((6+WEEKDAY(DATE(PlanYear,5,1),2)-1)/7)+1,MOD(6+WEEKDAY(DATE(PlanYear,5,1),2)-1,7)+1)=AJ$5,", "&amp;7,"")&amp;IF(INDEX($I$25:$O$35,2*INT((7+WEEKDAY(DATE(PlanYear,5,1),2)-1)/7)+1,MOD(7+WEEKDAY(DATE(PlanYear,5,1),2)-1,7)+1)=AJ$5,", "&amp;8,"")&amp;IF(INDEX($I$25:$O$35,2*INT((8+WEEKDAY(DATE(PlanYear,5,1),2)-1)/7)+1,MOD(8+WEEKDAY(DATE(PlanYear,5,1),2)-1,7)+1)=AJ$5,", "&amp;9,"")&amp;IF(INDEX($I$25:$O$35,2*INT((9+WEEKDAY(DATE(PlanYear,5,1),2)-1)/7)+1,MOD(9+WEEKDAY(DATE(PlanYear,5,1),2)-1,7)+1)=AJ$5,", "&amp;10,"")&amp;IF(INDEX($I$25:$O$35,2*INT((10+WEEKDAY(DATE(PlanYear,5,1),2)-1)/7)+1,MOD(10+WEEKDAY(DATE(PlanYear,5,1),2)-1,7)+1)=AJ$5,", "&amp;11,"")&amp;IF(INDEX($I$25:$O$35,2*INT((11+WEEKDAY(DATE(PlanYear,5,1),2)-1)/7)+1,MOD(11+WEEKDAY(DATE(PlanYear,5,1),2)-1,7)+1)=AJ$5,", "&amp;12,"")&amp;IF(INDEX($I$25:$O$35,2*INT((12+WEEKDAY(DATE(PlanYear,5,1),2)-1)/7)+1,MOD(12+WEEKDAY(DATE(PlanYear,5,1),2)-1,7)+1)=AJ$5,", "&amp;13,"")&amp;IF(INDEX($I$25:$O$35,2*INT((13+WEEKDAY(DATE(PlanYear,5,1),2)-1)/7)+1,MOD(13+WEEKDAY(DATE(PlanYear,5,1),2)-1,7)+1)=AJ$5,", "&amp;14,"")&amp;IF(INDEX($I$25:$O$35,2*INT((14+WEEKDAY(DATE(PlanYear,5,1),2)-1)/7)+1,MOD(14+WEEKDAY(DATE(PlanYear,5,1),2)-1,7)+1)=AJ$5,", "&amp;15,"")&amp;IF(INDEX($I$25:$O$35,2*INT((15+WEEKDAY(DATE(PlanYear,5,1),2)-1)/7)+1,MOD(15+WEEKDAY(DATE(PlanYear,5,1),2)-1,7)+1)=AJ$5,", "&amp;16,"")&amp;IF(INDEX($I$25:$O$35,2*INT((16+WEEKDAY(DATE(PlanYear,5,1),2)-1)/7)+1,MOD(16+WEEKDAY(DATE(PlanYear,5,1),2)-1,7)+1)=AJ$5,", "&amp;17,"")&amp;IF(INDEX($I$25:$O$35,2*INT((17+WEEKDAY(DATE(PlanYear,5,1),2)-1)/7)+1,MOD(17+WEEKDAY(DATE(PlanYear,5,1),2)-1,7)+1)=AJ$5,", "&amp;18,"")&amp;IF(INDEX($I$25:$O$35,2*INT((18+WEEKDAY(DATE(PlanYear,5,1),2)-1)/7)+1,MOD(18+WEEKDAY(DATE(PlanYear,5,1),2)-1,7)+1)=AJ$5,", "&amp;19,"")&amp;IF(INDEX($I$25:$O$35,2*INT((19+WEEKDAY(DATE(PlanYear,5,1),2)-1)/7)+1,MOD(19+WEEKDAY(DATE(PlanYear,5,1),2)-1,7)+1)=AJ$5,", "&amp;20,"")&amp;IF(INDEX($I$25:$O$35,2*INT((20+WEEKDAY(DATE(PlanYear,5,1),2)-1)/7)+1,MOD(20+WEEKDAY(DATE(PlanYear,5,1),2)-1,7)+1)=AJ$5,", "&amp;21,"")&amp;IF(INDEX($I$25:$O$35,2*INT((21+WEEKDAY(DATE(PlanYear,5,1),2)-1)/7)+1,MOD(21+WEEKDAY(DATE(PlanYear,5,1),2)-1,7)+1)=AJ$5,", "&amp;22,"")&amp;IF(INDEX($I$25:$O$35,2*INT((22+WEEKDAY(DATE(PlanYear,5,1),2)-1)/7)+1,MOD(22+WEEKDAY(DATE(PlanYear,5,1),2)-1,7)+1)=AJ$5,", "&amp;23,"")&amp;IF(INDEX($I$25:$O$35,2*INT((23+WEEKDAY(DATE(PlanYear,5,1),2)-1)/7)+1,MOD(23+WEEKDAY(DATE(PlanYear,5,1),2)-1,7)+1)=AJ$5,", "&amp;24,"")&amp;IF(INDEX($I$25:$O$35,2*INT((24+WEEKDAY(DATE(PlanYear,5,1),2)-1)/7)+1,MOD(24+WEEKDAY(DATE(PlanYear,5,1),2)-1,7)+1)=AJ$5,", "&amp;25,"")&amp;IF(INDEX($I$25:$O$35,2*INT((25+WEEKDAY(DATE(PlanYear,5,1),2)-1)/7)+1,MOD(25+WEEKDAY(DATE(PlanYear,5,1),2)-1,7)+1)=AJ$5,", "&amp;26,"")&amp;IF(INDEX($I$25:$O$35,2*INT((26+WEEKDAY(DATE(PlanYear,5,1),2)-1)/7)+1,MOD(26+WEEKDAY(DATE(PlanYear,5,1),2)-1,7)+1)=AJ$5,", "&amp;27,"")&amp;IF(INDEX($I$25:$O$35,2*INT((27+WEEKDAY(DATE(PlanYear,5,1),2)-1)/7)+1,MOD(27+WEEKDAY(DATE(PlanYear,5,1),2)-1,7)+1)=AJ$5,", "&amp;28,"")&amp;IF(INDEX($I$25:$O$35,2*INT((28+WEEKDAY(DATE(PlanYear,5,1),2)-1)/7)+1,MOD(28+WEEKDAY(DATE(PlanYear,5,1),2)-1,7)+1)=AJ$5,", "&amp;29,"")&amp;IF(INDEX($I$25:$O$35,2*INT((29+WEEKDAY(DATE(PlanYear,5,1),2)-1)/7)+1,MOD(29+WEEKDAY(DATE(PlanYear,5,1),2)-1,7)+1)=AJ$5,", "&amp;30,"")&amp;IF(INDEX($I$25:$O$35,2*INT((30+WEEKDAY(DATE(PlanYear,5,1),2)-1)/7)+1,MOD(30+WEEKDAY(DATE(PlanYear,5,1),2)-1,7)+1)=AJ$5,", "&amp;31,""),3,200))</f>
        <v/>
      </c>
      <c r="AK10" s="17">
        <f>DAY(EOMONTH(DATE(PlanYear,5,1),0))-COUNTIF($I$25:$O$35,"?*")</f>
        <v/>
      </c>
    </row>
    <row r="11" ht="26" customHeight="1">
      <c r="A11" s="21" t="n"/>
      <c r="B11" s="21" t="n"/>
      <c r="C11" s="21" t="n"/>
      <c r="D11" s="21" t="n"/>
      <c r="E11" s="21" t="n"/>
      <c r="F11" s="21" t="n"/>
      <c r="G11" s="21" t="n"/>
      <c r="I11" s="21" t="n"/>
      <c r="J11" s="21" t="n"/>
      <c r="K11" s="21" t="n"/>
      <c r="L11" s="21" t="n"/>
      <c r="M11" s="21" t="n"/>
      <c r="N11" s="21" t="n"/>
      <c r="O11" s="21" t="n"/>
      <c r="Q11" s="21" t="n"/>
      <c r="R11" s="21" t="n"/>
      <c r="S11" s="21" t="n"/>
      <c r="T11" s="21" t="n"/>
      <c r="U11" s="21" t="n"/>
      <c r="V11" s="21" t="n"/>
      <c r="W11" s="21" t="n"/>
      <c r="Z11" s="15" t="inlineStr">
        <is>
          <t>June</t>
        </is>
      </c>
      <c r="AA11" s="16">
        <f>IF(AA$5="","",MID(IF(INDEX($Q$25:$W$35,2*INT((0+WEEKDAY(DATE(PlanYear,6,1),2)-1)/7)+1,MOD(0+WEEKDAY(DATE(PlanYear,6,1),2)-1,7)+1)=AA$5,", "&amp;1,"")&amp;IF(INDEX($Q$25:$W$35,2*INT((1+WEEKDAY(DATE(PlanYear,6,1),2)-1)/7)+1,MOD(1+WEEKDAY(DATE(PlanYear,6,1),2)-1,7)+1)=AA$5,", "&amp;2,"")&amp;IF(INDEX($Q$25:$W$35,2*INT((2+WEEKDAY(DATE(PlanYear,6,1),2)-1)/7)+1,MOD(2+WEEKDAY(DATE(PlanYear,6,1),2)-1,7)+1)=AA$5,", "&amp;3,"")&amp;IF(INDEX($Q$25:$W$35,2*INT((3+WEEKDAY(DATE(PlanYear,6,1),2)-1)/7)+1,MOD(3+WEEKDAY(DATE(PlanYear,6,1),2)-1,7)+1)=AA$5,", "&amp;4,"")&amp;IF(INDEX($Q$25:$W$35,2*INT((4+WEEKDAY(DATE(PlanYear,6,1),2)-1)/7)+1,MOD(4+WEEKDAY(DATE(PlanYear,6,1),2)-1,7)+1)=AA$5,", "&amp;5,"")&amp;IF(INDEX($Q$25:$W$35,2*INT((5+WEEKDAY(DATE(PlanYear,6,1),2)-1)/7)+1,MOD(5+WEEKDAY(DATE(PlanYear,6,1),2)-1,7)+1)=AA$5,", "&amp;6,"")&amp;IF(INDEX($Q$25:$W$35,2*INT((6+WEEKDAY(DATE(PlanYear,6,1),2)-1)/7)+1,MOD(6+WEEKDAY(DATE(PlanYear,6,1),2)-1,7)+1)=AA$5,", "&amp;7,"")&amp;IF(INDEX($Q$25:$W$35,2*INT((7+WEEKDAY(DATE(PlanYear,6,1),2)-1)/7)+1,MOD(7+WEEKDAY(DATE(PlanYear,6,1),2)-1,7)+1)=AA$5,", "&amp;8,"")&amp;IF(INDEX($Q$25:$W$35,2*INT((8+WEEKDAY(DATE(PlanYear,6,1),2)-1)/7)+1,MOD(8+WEEKDAY(DATE(PlanYear,6,1),2)-1,7)+1)=AA$5,", "&amp;9,"")&amp;IF(INDEX($Q$25:$W$35,2*INT((9+WEEKDAY(DATE(PlanYear,6,1),2)-1)/7)+1,MOD(9+WEEKDAY(DATE(PlanYear,6,1),2)-1,7)+1)=AA$5,", "&amp;10,"")&amp;IF(INDEX($Q$25:$W$35,2*INT((10+WEEKDAY(DATE(PlanYear,6,1),2)-1)/7)+1,MOD(10+WEEKDAY(DATE(PlanYear,6,1),2)-1,7)+1)=AA$5,", "&amp;11,"")&amp;IF(INDEX($Q$25:$W$35,2*INT((11+WEEKDAY(DATE(PlanYear,6,1),2)-1)/7)+1,MOD(11+WEEKDAY(DATE(PlanYear,6,1),2)-1,7)+1)=AA$5,", "&amp;12,"")&amp;IF(INDEX($Q$25:$W$35,2*INT((12+WEEKDAY(DATE(PlanYear,6,1),2)-1)/7)+1,MOD(12+WEEKDAY(DATE(PlanYear,6,1),2)-1,7)+1)=AA$5,", "&amp;13,"")&amp;IF(INDEX($Q$25:$W$35,2*INT((13+WEEKDAY(DATE(PlanYear,6,1),2)-1)/7)+1,MOD(13+WEEKDAY(DATE(PlanYear,6,1),2)-1,7)+1)=AA$5,", "&amp;14,"")&amp;IF(INDEX($Q$25:$W$35,2*INT((14+WEEKDAY(DATE(PlanYear,6,1),2)-1)/7)+1,MOD(14+WEEKDAY(DATE(PlanYear,6,1),2)-1,7)+1)=AA$5,", "&amp;15,"")&amp;IF(INDEX($Q$25:$W$35,2*INT((15+WEEKDAY(DATE(PlanYear,6,1),2)-1)/7)+1,MOD(15+WEEKDAY(DATE(PlanYear,6,1),2)-1,7)+1)=AA$5,", "&amp;16,"")&amp;IF(INDEX($Q$25:$W$35,2*INT((16+WEEKDAY(DATE(PlanYear,6,1),2)-1)/7)+1,MOD(16+WEEKDAY(DATE(PlanYear,6,1),2)-1,7)+1)=AA$5,", "&amp;17,"")&amp;IF(INDEX($Q$25:$W$35,2*INT((17+WEEKDAY(DATE(PlanYear,6,1),2)-1)/7)+1,MOD(17+WEEKDAY(DATE(PlanYear,6,1),2)-1,7)+1)=AA$5,", "&amp;18,"")&amp;IF(INDEX($Q$25:$W$35,2*INT((18+WEEKDAY(DATE(PlanYear,6,1),2)-1)/7)+1,MOD(18+WEEKDAY(DATE(PlanYear,6,1),2)-1,7)+1)=AA$5,", "&amp;19,"")&amp;IF(INDEX($Q$25:$W$35,2*INT((19+WEEKDAY(DATE(PlanYear,6,1),2)-1)/7)+1,MOD(19+WEEKDAY(DATE(PlanYear,6,1),2)-1,7)+1)=AA$5,", "&amp;20,"")&amp;IF(INDEX($Q$25:$W$35,2*INT((20+WEEKDAY(DATE(PlanYear,6,1),2)-1)/7)+1,MOD(20+WEEKDAY(DATE(PlanYear,6,1),2)-1,7)+1)=AA$5,", "&amp;21,"")&amp;IF(INDEX($Q$25:$W$35,2*INT((21+WEEKDAY(DATE(PlanYear,6,1),2)-1)/7)+1,MOD(21+WEEKDAY(DATE(PlanYear,6,1),2)-1,7)+1)=AA$5,", "&amp;22,"")&amp;IF(INDEX($Q$25:$W$35,2*INT((22+WEEKDAY(DATE(PlanYear,6,1),2)-1)/7)+1,MOD(22+WEEKDAY(DATE(PlanYear,6,1),2)-1,7)+1)=AA$5,", "&amp;23,"")&amp;IF(INDEX($Q$25:$W$35,2*INT((23+WEEKDAY(DATE(PlanYear,6,1),2)-1)/7)+1,MOD(23+WEEKDAY(DATE(PlanYear,6,1),2)-1,7)+1)=AA$5,", "&amp;24,"")&amp;IF(INDEX($Q$25:$W$35,2*INT((24+WEEKDAY(DATE(PlanYear,6,1),2)-1)/7)+1,MOD(24+WEEKDAY(DATE(PlanYear,6,1),2)-1,7)+1)=AA$5,", "&amp;25,"")&amp;IF(INDEX($Q$25:$W$35,2*INT((25+WEEKDAY(DATE(PlanYear,6,1),2)-1)/7)+1,MOD(25+WEEKDAY(DATE(PlanYear,6,1),2)-1,7)+1)=AA$5,", "&amp;26,"")&amp;IF(INDEX($Q$25:$W$35,2*INT((26+WEEKDAY(DATE(PlanYear,6,1),2)-1)/7)+1,MOD(26+WEEKDAY(DATE(PlanYear,6,1),2)-1,7)+1)=AA$5,", "&amp;27,"")&amp;IF(INDEX($Q$25:$W$35,2*INT((27+WEEKDAY(DATE(PlanYear,6,1),2)-1)/7)+1,MOD(27+WEEKDAY(DATE(PlanYear,6,1),2)-1,7)+1)=AA$5,", "&amp;28,"")&amp;IF(INDEX($Q$25:$W$35,2*INT((28+WEEKDAY(DATE(PlanYear,6,1),2)-1)/7)+1,MOD(28+WEEKDAY(DATE(PlanYear,6,1),2)-1,7)+1)=AA$5,", "&amp;29,"")&amp;IF(INDEX($Q$25:$W$35,2*INT((29+WEEKDAY(DATE(PlanYear,6,1),2)-1)/7)+1,MOD(29+WEEKDAY(DATE(PlanYear,6,1),2)-1,7)+1)=AA$5,", "&amp;30,"")&amp;IF(INDEX($Q$25:$W$35,2*INT((30+WEEKDAY(DATE(PlanYear,6,1),2)-1)/7)+1,MOD(30+WEEKDAY(DATE(PlanYear,6,1),2)-1,7)+1)=AA$5,", "&amp;31,""),3,200))</f>
        <v/>
      </c>
      <c r="AB11" s="16">
        <f>IF(AB$5="","",MID(IF(INDEX($Q$25:$W$35,2*INT((0+WEEKDAY(DATE(PlanYear,6,1),2)-1)/7)+1,MOD(0+WEEKDAY(DATE(PlanYear,6,1),2)-1,7)+1)=AB$5,", "&amp;1,"")&amp;IF(INDEX($Q$25:$W$35,2*INT((1+WEEKDAY(DATE(PlanYear,6,1),2)-1)/7)+1,MOD(1+WEEKDAY(DATE(PlanYear,6,1),2)-1,7)+1)=AB$5,", "&amp;2,"")&amp;IF(INDEX($Q$25:$W$35,2*INT((2+WEEKDAY(DATE(PlanYear,6,1),2)-1)/7)+1,MOD(2+WEEKDAY(DATE(PlanYear,6,1),2)-1,7)+1)=AB$5,", "&amp;3,"")&amp;IF(INDEX($Q$25:$W$35,2*INT((3+WEEKDAY(DATE(PlanYear,6,1),2)-1)/7)+1,MOD(3+WEEKDAY(DATE(PlanYear,6,1),2)-1,7)+1)=AB$5,", "&amp;4,"")&amp;IF(INDEX($Q$25:$W$35,2*INT((4+WEEKDAY(DATE(PlanYear,6,1),2)-1)/7)+1,MOD(4+WEEKDAY(DATE(PlanYear,6,1),2)-1,7)+1)=AB$5,", "&amp;5,"")&amp;IF(INDEX($Q$25:$W$35,2*INT((5+WEEKDAY(DATE(PlanYear,6,1),2)-1)/7)+1,MOD(5+WEEKDAY(DATE(PlanYear,6,1),2)-1,7)+1)=AB$5,", "&amp;6,"")&amp;IF(INDEX($Q$25:$W$35,2*INT((6+WEEKDAY(DATE(PlanYear,6,1),2)-1)/7)+1,MOD(6+WEEKDAY(DATE(PlanYear,6,1),2)-1,7)+1)=AB$5,", "&amp;7,"")&amp;IF(INDEX($Q$25:$W$35,2*INT((7+WEEKDAY(DATE(PlanYear,6,1),2)-1)/7)+1,MOD(7+WEEKDAY(DATE(PlanYear,6,1),2)-1,7)+1)=AB$5,", "&amp;8,"")&amp;IF(INDEX($Q$25:$W$35,2*INT((8+WEEKDAY(DATE(PlanYear,6,1),2)-1)/7)+1,MOD(8+WEEKDAY(DATE(PlanYear,6,1),2)-1,7)+1)=AB$5,", "&amp;9,"")&amp;IF(INDEX($Q$25:$W$35,2*INT((9+WEEKDAY(DATE(PlanYear,6,1),2)-1)/7)+1,MOD(9+WEEKDAY(DATE(PlanYear,6,1),2)-1,7)+1)=AB$5,", "&amp;10,"")&amp;IF(INDEX($Q$25:$W$35,2*INT((10+WEEKDAY(DATE(PlanYear,6,1),2)-1)/7)+1,MOD(10+WEEKDAY(DATE(PlanYear,6,1),2)-1,7)+1)=AB$5,", "&amp;11,"")&amp;IF(INDEX($Q$25:$W$35,2*INT((11+WEEKDAY(DATE(PlanYear,6,1),2)-1)/7)+1,MOD(11+WEEKDAY(DATE(PlanYear,6,1),2)-1,7)+1)=AB$5,", "&amp;12,"")&amp;IF(INDEX($Q$25:$W$35,2*INT((12+WEEKDAY(DATE(PlanYear,6,1),2)-1)/7)+1,MOD(12+WEEKDAY(DATE(PlanYear,6,1),2)-1,7)+1)=AB$5,", "&amp;13,"")&amp;IF(INDEX($Q$25:$W$35,2*INT((13+WEEKDAY(DATE(PlanYear,6,1),2)-1)/7)+1,MOD(13+WEEKDAY(DATE(PlanYear,6,1),2)-1,7)+1)=AB$5,", "&amp;14,"")&amp;IF(INDEX($Q$25:$W$35,2*INT((14+WEEKDAY(DATE(PlanYear,6,1),2)-1)/7)+1,MOD(14+WEEKDAY(DATE(PlanYear,6,1),2)-1,7)+1)=AB$5,", "&amp;15,"")&amp;IF(INDEX($Q$25:$W$35,2*INT((15+WEEKDAY(DATE(PlanYear,6,1),2)-1)/7)+1,MOD(15+WEEKDAY(DATE(PlanYear,6,1),2)-1,7)+1)=AB$5,", "&amp;16,"")&amp;IF(INDEX($Q$25:$W$35,2*INT((16+WEEKDAY(DATE(PlanYear,6,1),2)-1)/7)+1,MOD(16+WEEKDAY(DATE(PlanYear,6,1),2)-1,7)+1)=AB$5,", "&amp;17,"")&amp;IF(INDEX($Q$25:$W$35,2*INT((17+WEEKDAY(DATE(PlanYear,6,1),2)-1)/7)+1,MOD(17+WEEKDAY(DATE(PlanYear,6,1),2)-1,7)+1)=AB$5,", "&amp;18,"")&amp;IF(INDEX($Q$25:$W$35,2*INT((18+WEEKDAY(DATE(PlanYear,6,1),2)-1)/7)+1,MOD(18+WEEKDAY(DATE(PlanYear,6,1),2)-1,7)+1)=AB$5,", "&amp;19,"")&amp;IF(INDEX($Q$25:$W$35,2*INT((19+WEEKDAY(DATE(PlanYear,6,1),2)-1)/7)+1,MOD(19+WEEKDAY(DATE(PlanYear,6,1),2)-1,7)+1)=AB$5,", "&amp;20,"")&amp;IF(INDEX($Q$25:$W$35,2*INT((20+WEEKDAY(DATE(PlanYear,6,1),2)-1)/7)+1,MOD(20+WEEKDAY(DATE(PlanYear,6,1),2)-1,7)+1)=AB$5,", "&amp;21,"")&amp;IF(INDEX($Q$25:$W$35,2*INT((21+WEEKDAY(DATE(PlanYear,6,1),2)-1)/7)+1,MOD(21+WEEKDAY(DATE(PlanYear,6,1),2)-1,7)+1)=AB$5,", "&amp;22,"")&amp;IF(INDEX($Q$25:$W$35,2*INT((22+WEEKDAY(DATE(PlanYear,6,1),2)-1)/7)+1,MOD(22+WEEKDAY(DATE(PlanYear,6,1),2)-1,7)+1)=AB$5,", "&amp;23,"")&amp;IF(INDEX($Q$25:$W$35,2*INT((23+WEEKDAY(DATE(PlanYear,6,1),2)-1)/7)+1,MOD(23+WEEKDAY(DATE(PlanYear,6,1),2)-1,7)+1)=AB$5,", "&amp;24,"")&amp;IF(INDEX($Q$25:$W$35,2*INT((24+WEEKDAY(DATE(PlanYear,6,1),2)-1)/7)+1,MOD(24+WEEKDAY(DATE(PlanYear,6,1),2)-1,7)+1)=AB$5,", "&amp;25,"")&amp;IF(INDEX($Q$25:$W$35,2*INT((25+WEEKDAY(DATE(PlanYear,6,1),2)-1)/7)+1,MOD(25+WEEKDAY(DATE(PlanYear,6,1),2)-1,7)+1)=AB$5,", "&amp;26,"")&amp;IF(INDEX($Q$25:$W$35,2*INT((26+WEEKDAY(DATE(PlanYear,6,1),2)-1)/7)+1,MOD(26+WEEKDAY(DATE(PlanYear,6,1),2)-1,7)+1)=AB$5,", "&amp;27,"")&amp;IF(INDEX($Q$25:$W$35,2*INT((27+WEEKDAY(DATE(PlanYear,6,1),2)-1)/7)+1,MOD(27+WEEKDAY(DATE(PlanYear,6,1),2)-1,7)+1)=AB$5,", "&amp;28,"")&amp;IF(INDEX($Q$25:$W$35,2*INT((28+WEEKDAY(DATE(PlanYear,6,1),2)-1)/7)+1,MOD(28+WEEKDAY(DATE(PlanYear,6,1),2)-1,7)+1)=AB$5,", "&amp;29,"")&amp;IF(INDEX($Q$25:$W$35,2*INT((29+WEEKDAY(DATE(PlanYear,6,1),2)-1)/7)+1,MOD(29+WEEKDAY(DATE(PlanYear,6,1),2)-1,7)+1)=AB$5,", "&amp;30,"")&amp;IF(INDEX($Q$25:$W$35,2*INT((30+WEEKDAY(DATE(PlanYear,6,1),2)-1)/7)+1,MOD(30+WEEKDAY(DATE(PlanYear,6,1),2)-1,7)+1)=AB$5,", "&amp;31,""),3,200))</f>
        <v/>
      </c>
      <c r="AC11" s="16">
        <f>IF(AC$5="","",MID(IF(INDEX($Q$25:$W$35,2*INT((0+WEEKDAY(DATE(PlanYear,6,1),2)-1)/7)+1,MOD(0+WEEKDAY(DATE(PlanYear,6,1),2)-1,7)+1)=AC$5,", "&amp;1,"")&amp;IF(INDEX($Q$25:$W$35,2*INT((1+WEEKDAY(DATE(PlanYear,6,1),2)-1)/7)+1,MOD(1+WEEKDAY(DATE(PlanYear,6,1),2)-1,7)+1)=AC$5,", "&amp;2,"")&amp;IF(INDEX($Q$25:$W$35,2*INT((2+WEEKDAY(DATE(PlanYear,6,1),2)-1)/7)+1,MOD(2+WEEKDAY(DATE(PlanYear,6,1),2)-1,7)+1)=AC$5,", "&amp;3,"")&amp;IF(INDEX($Q$25:$W$35,2*INT((3+WEEKDAY(DATE(PlanYear,6,1),2)-1)/7)+1,MOD(3+WEEKDAY(DATE(PlanYear,6,1),2)-1,7)+1)=AC$5,", "&amp;4,"")&amp;IF(INDEX($Q$25:$W$35,2*INT((4+WEEKDAY(DATE(PlanYear,6,1),2)-1)/7)+1,MOD(4+WEEKDAY(DATE(PlanYear,6,1),2)-1,7)+1)=AC$5,", "&amp;5,"")&amp;IF(INDEX($Q$25:$W$35,2*INT((5+WEEKDAY(DATE(PlanYear,6,1),2)-1)/7)+1,MOD(5+WEEKDAY(DATE(PlanYear,6,1),2)-1,7)+1)=AC$5,", "&amp;6,"")&amp;IF(INDEX($Q$25:$W$35,2*INT((6+WEEKDAY(DATE(PlanYear,6,1),2)-1)/7)+1,MOD(6+WEEKDAY(DATE(PlanYear,6,1),2)-1,7)+1)=AC$5,", "&amp;7,"")&amp;IF(INDEX($Q$25:$W$35,2*INT((7+WEEKDAY(DATE(PlanYear,6,1),2)-1)/7)+1,MOD(7+WEEKDAY(DATE(PlanYear,6,1),2)-1,7)+1)=AC$5,", "&amp;8,"")&amp;IF(INDEX($Q$25:$W$35,2*INT((8+WEEKDAY(DATE(PlanYear,6,1),2)-1)/7)+1,MOD(8+WEEKDAY(DATE(PlanYear,6,1),2)-1,7)+1)=AC$5,", "&amp;9,"")&amp;IF(INDEX($Q$25:$W$35,2*INT((9+WEEKDAY(DATE(PlanYear,6,1),2)-1)/7)+1,MOD(9+WEEKDAY(DATE(PlanYear,6,1),2)-1,7)+1)=AC$5,", "&amp;10,"")&amp;IF(INDEX($Q$25:$W$35,2*INT((10+WEEKDAY(DATE(PlanYear,6,1),2)-1)/7)+1,MOD(10+WEEKDAY(DATE(PlanYear,6,1),2)-1,7)+1)=AC$5,", "&amp;11,"")&amp;IF(INDEX($Q$25:$W$35,2*INT((11+WEEKDAY(DATE(PlanYear,6,1),2)-1)/7)+1,MOD(11+WEEKDAY(DATE(PlanYear,6,1),2)-1,7)+1)=AC$5,", "&amp;12,"")&amp;IF(INDEX($Q$25:$W$35,2*INT((12+WEEKDAY(DATE(PlanYear,6,1),2)-1)/7)+1,MOD(12+WEEKDAY(DATE(PlanYear,6,1),2)-1,7)+1)=AC$5,", "&amp;13,"")&amp;IF(INDEX($Q$25:$W$35,2*INT((13+WEEKDAY(DATE(PlanYear,6,1),2)-1)/7)+1,MOD(13+WEEKDAY(DATE(PlanYear,6,1),2)-1,7)+1)=AC$5,", "&amp;14,"")&amp;IF(INDEX($Q$25:$W$35,2*INT((14+WEEKDAY(DATE(PlanYear,6,1),2)-1)/7)+1,MOD(14+WEEKDAY(DATE(PlanYear,6,1),2)-1,7)+1)=AC$5,", "&amp;15,"")&amp;IF(INDEX($Q$25:$W$35,2*INT((15+WEEKDAY(DATE(PlanYear,6,1),2)-1)/7)+1,MOD(15+WEEKDAY(DATE(PlanYear,6,1),2)-1,7)+1)=AC$5,", "&amp;16,"")&amp;IF(INDEX($Q$25:$W$35,2*INT((16+WEEKDAY(DATE(PlanYear,6,1),2)-1)/7)+1,MOD(16+WEEKDAY(DATE(PlanYear,6,1),2)-1,7)+1)=AC$5,", "&amp;17,"")&amp;IF(INDEX($Q$25:$W$35,2*INT((17+WEEKDAY(DATE(PlanYear,6,1),2)-1)/7)+1,MOD(17+WEEKDAY(DATE(PlanYear,6,1),2)-1,7)+1)=AC$5,", "&amp;18,"")&amp;IF(INDEX($Q$25:$W$35,2*INT((18+WEEKDAY(DATE(PlanYear,6,1),2)-1)/7)+1,MOD(18+WEEKDAY(DATE(PlanYear,6,1),2)-1,7)+1)=AC$5,", "&amp;19,"")&amp;IF(INDEX($Q$25:$W$35,2*INT((19+WEEKDAY(DATE(PlanYear,6,1),2)-1)/7)+1,MOD(19+WEEKDAY(DATE(PlanYear,6,1),2)-1,7)+1)=AC$5,", "&amp;20,"")&amp;IF(INDEX($Q$25:$W$35,2*INT((20+WEEKDAY(DATE(PlanYear,6,1),2)-1)/7)+1,MOD(20+WEEKDAY(DATE(PlanYear,6,1),2)-1,7)+1)=AC$5,", "&amp;21,"")&amp;IF(INDEX($Q$25:$W$35,2*INT((21+WEEKDAY(DATE(PlanYear,6,1),2)-1)/7)+1,MOD(21+WEEKDAY(DATE(PlanYear,6,1),2)-1,7)+1)=AC$5,", "&amp;22,"")&amp;IF(INDEX($Q$25:$W$35,2*INT((22+WEEKDAY(DATE(PlanYear,6,1),2)-1)/7)+1,MOD(22+WEEKDAY(DATE(PlanYear,6,1),2)-1,7)+1)=AC$5,", "&amp;23,"")&amp;IF(INDEX($Q$25:$W$35,2*INT((23+WEEKDAY(DATE(PlanYear,6,1),2)-1)/7)+1,MOD(23+WEEKDAY(DATE(PlanYear,6,1),2)-1,7)+1)=AC$5,", "&amp;24,"")&amp;IF(INDEX($Q$25:$W$35,2*INT((24+WEEKDAY(DATE(PlanYear,6,1),2)-1)/7)+1,MOD(24+WEEKDAY(DATE(PlanYear,6,1),2)-1,7)+1)=AC$5,", "&amp;25,"")&amp;IF(INDEX($Q$25:$W$35,2*INT((25+WEEKDAY(DATE(PlanYear,6,1),2)-1)/7)+1,MOD(25+WEEKDAY(DATE(PlanYear,6,1),2)-1,7)+1)=AC$5,", "&amp;26,"")&amp;IF(INDEX($Q$25:$W$35,2*INT((26+WEEKDAY(DATE(PlanYear,6,1),2)-1)/7)+1,MOD(26+WEEKDAY(DATE(PlanYear,6,1),2)-1,7)+1)=AC$5,", "&amp;27,"")&amp;IF(INDEX($Q$25:$W$35,2*INT((27+WEEKDAY(DATE(PlanYear,6,1),2)-1)/7)+1,MOD(27+WEEKDAY(DATE(PlanYear,6,1),2)-1,7)+1)=AC$5,", "&amp;28,"")&amp;IF(INDEX($Q$25:$W$35,2*INT((28+WEEKDAY(DATE(PlanYear,6,1),2)-1)/7)+1,MOD(28+WEEKDAY(DATE(PlanYear,6,1),2)-1,7)+1)=AC$5,", "&amp;29,"")&amp;IF(INDEX($Q$25:$W$35,2*INT((29+WEEKDAY(DATE(PlanYear,6,1),2)-1)/7)+1,MOD(29+WEEKDAY(DATE(PlanYear,6,1),2)-1,7)+1)=AC$5,", "&amp;30,"")&amp;IF(INDEX($Q$25:$W$35,2*INT((30+WEEKDAY(DATE(PlanYear,6,1),2)-1)/7)+1,MOD(30+WEEKDAY(DATE(PlanYear,6,1),2)-1,7)+1)=AC$5,", "&amp;31,""),3,200))</f>
        <v/>
      </c>
      <c r="AD11" s="16">
        <f>IF(AD$5="","",MID(IF(INDEX($Q$25:$W$35,2*INT((0+WEEKDAY(DATE(PlanYear,6,1),2)-1)/7)+1,MOD(0+WEEKDAY(DATE(PlanYear,6,1),2)-1,7)+1)=AD$5,", "&amp;1,"")&amp;IF(INDEX($Q$25:$W$35,2*INT((1+WEEKDAY(DATE(PlanYear,6,1),2)-1)/7)+1,MOD(1+WEEKDAY(DATE(PlanYear,6,1),2)-1,7)+1)=AD$5,", "&amp;2,"")&amp;IF(INDEX($Q$25:$W$35,2*INT((2+WEEKDAY(DATE(PlanYear,6,1),2)-1)/7)+1,MOD(2+WEEKDAY(DATE(PlanYear,6,1),2)-1,7)+1)=AD$5,", "&amp;3,"")&amp;IF(INDEX($Q$25:$W$35,2*INT((3+WEEKDAY(DATE(PlanYear,6,1),2)-1)/7)+1,MOD(3+WEEKDAY(DATE(PlanYear,6,1),2)-1,7)+1)=AD$5,", "&amp;4,"")&amp;IF(INDEX($Q$25:$W$35,2*INT((4+WEEKDAY(DATE(PlanYear,6,1),2)-1)/7)+1,MOD(4+WEEKDAY(DATE(PlanYear,6,1),2)-1,7)+1)=AD$5,", "&amp;5,"")&amp;IF(INDEX($Q$25:$W$35,2*INT((5+WEEKDAY(DATE(PlanYear,6,1),2)-1)/7)+1,MOD(5+WEEKDAY(DATE(PlanYear,6,1),2)-1,7)+1)=AD$5,", "&amp;6,"")&amp;IF(INDEX($Q$25:$W$35,2*INT((6+WEEKDAY(DATE(PlanYear,6,1),2)-1)/7)+1,MOD(6+WEEKDAY(DATE(PlanYear,6,1),2)-1,7)+1)=AD$5,", "&amp;7,"")&amp;IF(INDEX($Q$25:$W$35,2*INT((7+WEEKDAY(DATE(PlanYear,6,1),2)-1)/7)+1,MOD(7+WEEKDAY(DATE(PlanYear,6,1),2)-1,7)+1)=AD$5,", "&amp;8,"")&amp;IF(INDEX($Q$25:$W$35,2*INT((8+WEEKDAY(DATE(PlanYear,6,1),2)-1)/7)+1,MOD(8+WEEKDAY(DATE(PlanYear,6,1),2)-1,7)+1)=AD$5,", "&amp;9,"")&amp;IF(INDEX($Q$25:$W$35,2*INT((9+WEEKDAY(DATE(PlanYear,6,1),2)-1)/7)+1,MOD(9+WEEKDAY(DATE(PlanYear,6,1),2)-1,7)+1)=AD$5,", "&amp;10,"")&amp;IF(INDEX($Q$25:$W$35,2*INT((10+WEEKDAY(DATE(PlanYear,6,1),2)-1)/7)+1,MOD(10+WEEKDAY(DATE(PlanYear,6,1),2)-1,7)+1)=AD$5,", "&amp;11,"")&amp;IF(INDEX($Q$25:$W$35,2*INT((11+WEEKDAY(DATE(PlanYear,6,1),2)-1)/7)+1,MOD(11+WEEKDAY(DATE(PlanYear,6,1),2)-1,7)+1)=AD$5,", "&amp;12,"")&amp;IF(INDEX($Q$25:$W$35,2*INT((12+WEEKDAY(DATE(PlanYear,6,1),2)-1)/7)+1,MOD(12+WEEKDAY(DATE(PlanYear,6,1),2)-1,7)+1)=AD$5,", "&amp;13,"")&amp;IF(INDEX($Q$25:$W$35,2*INT((13+WEEKDAY(DATE(PlanYear,6,1),2)-1)/7)+1,MOD(13+WEEKDAY(DATE(PlanYear,6,1),2)-1,7)+1)=AD$5,", "&amp;14,"")&amp;IF(INDEX($Q$25:$W$35,2*INT((14+WEEKDAY(DATE(PlanYear,6,1),2)-1)/7)+1,MOD(14+WEEKDAY(DATE(PlanYear,6,1),2)-1,7)+1)=AD$5,", "&amp;15,"")&amp;IF(INDEX($Q$25:$W$35,2*INT((15+WEEKDAY(DATE(PlanYear,6,1),2)-1)/7)+1,MOD(15+WEEKDAY(DATE(PlanYear,6,1),2)-1,7)+1)=AD$5,", "&amp;16,"")&amp;IF(INDEX($Q$25:$W$35,2*INT((16+WEEKDAY(DATE(PlanYear,6,1),2)-1)/7)+1,MOD(16+WEEKDAY(DATE(PlanYear,6,1),2)-1,7)+1)=AD$5,", "&amp;17,"")&amp;IF(INDEX($Q$25:$W$35,2*INT((17+WEEKDAY(DATE(PlanYear,6,1),2)-1)/7)+1,MOD(17+WEEKDAY(DATE(PlanYear,6,1),2)-1,7)+1)=AD$5,", "&amp;18,"")&amp;IF(INDEX($Q$25:$W$35,2*INT((18+WEEKDAY(DATE(PlanYear,6,1),2)-1)/7)+1,MOD(18+WEEKDAY(DATE(PlanYear,6,1),2)-1,7)+1)=AD$5,", "&amp;19,"")&amp;IF(INDEX($Q$25:$W$35,2*INT((19+WEEKDAY(DATE(PlanYear,6,1),2)-1)/7)+1,MOD(19+WEEKDAY(DATE(PlanYear,6,1),2)-1,7)+1)=AD$5,", "&amp;20,"")&amp;IF(INDEX($Q$25:$W$35,2*INT((20+WEEKDAY(DATE(PlanYear,6,1),2)-1)/7)+1,MOD(20+WEEKDAY(DATE(PlanYear,6,1),2)-1,7)+1)=AD$5,", "&amp;21,"")&amp;IF(INDEX($Q$25:$W$35,2*INT((21+WEEKDAY(DATE(PlanYear,6,1),2)-1)/7)+1,MOD(21+WEEKDAY(DATE(PlanYear,6,1),2)-1,7)+1)=AD$5,", "&amp;22,"")&amp;IF(INDEX($Q$25:$W$35,2*INT((22+WEEKDAY(DATE(PlanYear,6,1),2)-1)/7)+1,MOD(22+WEEKDAY(DATE(PlanYear,6,1),2)-1,7)+1)=AD$5,", "&amp;23,"")&amp;IF(INDEX($Q$25:$W$35,2*INT((23+WEEKDAY(DATE(PlanYear,6,1),2)-1)/7)+1,MOD(23+WEEKDAY(DATE(PlanYear,6,1),2)-1,7)+1)=AD$5,", "&amp;24,"")&amp;IF(INDEX($Q$25:$W$35,2*INT((24+WEEKDAY(DATE(PlanYear,6,1),2)-1)/7)+1,MOD(24+WEEKDAY(DATE(PlanYear,6,1),2)-1,7)+1)=AD$5,", "&amp;25,"")&amp;IF(INDEX($Q$25:$W$35,2*INT((25+WEEKDAY(DATE(PlanYear,6,1),2)-1)/7)+1,MOD(25+WEEKDAY(DATE(PlanYear,6,1),2)-1,7)+1)=AD$5,", "&amp;26,"")&amp;IF(INDEX($Q$25:$W$35,2*INT((26+WEEKDAY(DATE(PlanYear,6,1),2)-1)/7)+1,MOD(26+WEEKDAY(DATE(PlanYear,6,1),2)-1,7)+1)=AD$5,", "&amp;27,"")&amp;IF(INDEX($Q$25:$W$35,2*INT((27+WEEKDAY(DATE(PlanYear,6,1),2)-1)/7)+1,MOD(27+WEEKDAY(DATE(PlanYear,6,1),2)-1,7)+1)=AD$5,", "&amp;28,"")&amp;IF(INDEX($Q$25:$W$35,2*INT((28+WEEKDAY(DATE(PlanYear,6,1),2)-1)/7)+1,MOD(28+WEEKDAY(DATE(PlanYear,6,1),2)-1,7)+1)=AD$5,", "&amp;29,"")&amp;IF(INDEX($Q$25:$W$35,2*INT((29+WEEKDAY(DATE(PlanYear,6,1),2)-1)/7)+1,MOD(29+WEEKDAY(DATE(PlanYear,6,1),2)-1,7)+1)=AD$5,", "&amp;30,"")&amp;IF(INDEX($Q$25:$W$35,2*INT((30+WEEKDAY(DATE(PlanYear,6,1),2)-1)/7)+1,MOD(30+WEEKDAY(DATE(PlanYear,6,1),2)-1,7)+1)=AD$5,", "&amp;31,""),3,200))</f>
        <v/>
      </c>
      <c r="AE11" s="16">
        <f>IF(AE$5="","",MID(IF(INDEX($Q$25:$W$35,2*INT((0+WEEKDAY(DATE(PlanYear,6,1),2)-1)/7)+1,MOD(0+WEEKDAY(DATE(PlanYear,6,1),2)-1,7)+1)=AE$5,", "&amp;1,"")&amp;IF(INDEX($Q$25:$W$35,2*INT((1+WEEKDAY(DATE(PlanYear,6,1),2)-1)/7)+1,MOD(1+WEEKDAY(DATE(PlanYear,6,1),2)-1,7)+1)=AE$5,", "&amp;2,"")&amp;IF(INDEX($Q$25:$W$35,2*INT((2+WEEKDAY(DATE(PlanYear,6,1),2)-1)/7)+1,MOD(2+WEEKDAY(DATE(PlanYear,6,1),2)-1,7)+1)=AE$5,", "&amp;3,"")&amp;IF(INDEX($Q$25:$W$35,2*INT((3+WEEKDAY(DATE(PlanYear,6,1),2)-1)/7)+1,MOD(3+WEEKDAY(DATE(PlanYear,6,1),2)-1,7)+1)=AE$5,", "&amp;4,"")&amp;IF(INDEX($Q$25:$W$35,2*INT((4+WEEKDAY(DATE(PlanYear,6,1),2)-1)/7)+1,MOD(4+WEEKDAY(DATE(PlanYear,6,1),2)-1,7)+1)=AE$5,", "&amp;5,"")&amp;IF(INDEX($Q$25:$W$35,2*INT((5+WEEKDAY(DATE(PlanYear,6,1),2)-1)/7)+1,MOD(5+WEEKDAY(DATE(PlanYear,6,1),2)-1,7)+1)=AE$5,", "&amp;6,"")&amp;IF(INDEX($Q$25:$W$35,2*INT((6+WEEKDAY(DATE(PlanYear,6,1),2)-1)/7)+1,MOD(6+WEEKDAY(DATE(PlanYear,6,1),2)-1,7)+1)=AE$5,", "&amp;7,"")&amp;IF(INDEX($Q$25:$W$35,2*INT((7+WEEKDAY(DATE(PlanYear,6,1),2)-1)/7)+1,MOD(7+WEEKDAY(DATE(PlanYear,6,1),2)-1,7)+1)=AE$5,", "&amp;8,"")&amp;IF(INDEX($Q$25:$W$35,2*INT((8+WEEKDAY(DATE(PlanYear,6,1),2)-1)/7)+1,MOD(8+WEEKDAY(DATE(PlanYear,6,1),2)-1,7)+1)=AE$5,", "&amp;9,"")&amp;IF(INDEX($Q$25:$W$35,2*INT((9+WEEKDAY(DATE(PlanYear,6,1),2)-1)/7)+1,MOD(9+WEEKDAY(DATE(PlanYear,6,1),2)-1,7)+1)=AE$5,", "&amp;10,"")&amp;IF(INDEX($Q$25:$W$35,2*INT((10+WEEKDAY(DATE(PlanYear,6,1),2)-1)/7)+1,MOD(10+WEEKDAY(DATE(PlanYear,6,1),2)-1,7)+1)=AE$5,", "&amp;11,"")&amp;IF(INDEX($Q$25:$W$35,2*INT((11+WEEKDAY(DATE(PlanYear,6,1),2)-1)/7)+1,MOD(11+WEEKDAY(DATE(PlanYear,6,1),2)-1,7)+1)=AE$5,", "&amp;12,"")&amp;IF(INDEX($Q$25:$W$35,2*INT((12+WEEKDAY(DATE(PlanYear,6,1),2)-1)/7)+1,MOD(12+WEEKDAY(DATE(PlanYear,6,1),2)-1,7)+1)=AE$5,", "&amp;13,"")&amp;IF(INDEX($Q$25:$W$35,2*INT((13+WEEKDAY(DATE(PlanYear,6,1),2)-1)/7)+1,MOD(13+WEEKDAY(DATE(PlanYear,6,1),2)-1,7)+1)=AE$5,", "&amp;14,"")&amp;IF(INDEX($Q$25:$W$35,2*INT((14+WEEKDAY(DATE(PlanYear,6,1),2)-1)/7)+1,MOD(14+WEEKDAY(DATE(PlanYear,6,1),2)-1,7)+1)=AE$5,", "&amp;15,"")&amp;IF(INDEX($Q$25:$W$35,2*INT((15+WEEKDAY(DATE(PlanYear,6,1),2)-1)/7)+1,MOD(15+WEEKDAY(DATE(PlanYear,6,1),2)-1,7)+1)=AE$5,", "&amp;16,"")&amp;IF(INDEX($Q$25:$W$35,2*INT((16+WEEKDAY(DATE(PlanYear,6,1),2)-1)/7)+1,MOD(16+WEEKDAY(DATE(PlanYear,6,1),2)-1,7)+1)=AE$5,", "&amp;17,"")&amp;IF(INDEX($Q$25:$W$35,2*INT((17+WEEKDAY(DATE(PlanYear,6,1),2)-1)/7)+1,MOD(17+WEEKDAY(DATE(PlanYear,6,1),2)-1,7)+1)=AE$5,", "&amp;18,"")&amp;IF(INDEX($Q$25:$W$35,2*INT((18+WEEKDAY(DATE(PlanYear,6,1),2)-1)/7)+1,MOD(18+WEEKDAY(DATE(PlanYear,6,1),2)-1,7)+1)=AE$5,", "&amp;19,"")&amp;IF(INDEX($Q$25:$W$35,2*INT((19+WEEKDAY(DATE(PlanYear,6,1),2)-1)/7)+1,MOD(19+WEEKDAY(DATE(PlanYear,6,1),2)-1,7)+1)=AE$5,", "&amp;20,"")&amp;IF(INDEX($Q$25:$W$35,2*INT((20+WEEKDAY(DATE(PlanYear,6,1),2)-1)/7)+1,MOD(20+WEEKDAY(DATE(PlanYear,6,1),2)-1,7)+1)=AE$5,", "&amp;21,"")&amp;IF(INDEX($Q$25:$W$35,2*INT((21+WEEKDAY(DATE(PlanYear,6,1),2)-1)/7)+1,MOD(21+WEEKDAY(DATE(PlanYear,6,1),2)-1,7)+1)=AE$5,", "&amp;22,"")&amp;IF(INDEX($Q$25:$W$35,2*INT((22+WEEKDAY(DATE(PlanYear,6,1),2)-1)/7)+1,MOD(22+WEEKDAY(DATE(PlanYear,6,1),2)-1,7)+1)=AE$5,", "&amp;23,"")&amp;IF(INDEX($Q$25:$W$35,2*INT((23+WEEKDAY(DATE(PlanYear,6,1),2)-1)/7)+1,MOD(23+WEEKDAY(DATE(PlanYear,6,1),2)-1,7)+1)=AE$5,", "&amp;24,"")&amp;IF(INDEX($Q$25:$W$35,2*INT((24+WEEKDAY(DATE(PlanYear,6,1),2)-1)/7)+1,MOD(24+WEEKDAY(DATE(PlanYear,6,1),2)-1,7)+1)=AE$5,", "&amp;25,"")&amp;IF(INDEX($Q$25:$W$35,2*INT((25+WEEKDAY(DATE(PlanYear,6,1),2)-1)/7)+1,MOD(25+WEEKDAY(DATE(PlanYear,6,1),2)-1,7)+1)=AE$5,", "&amp;26,"")&amp;IF(INDEX($Q$25:$W$35,2*INT((26+WEEKDAY(DATE(PlanYear,6,1),2)-1)/7)+1,MOD(26+WEEKDAY(DATE(PlanYear,6,1),2)-1,7)+1)=AE$5,", "&amp;27,"")&amp;IF(INDEX($Q$25:$W$35,2*INT((27+WEEKDAY(DATE(PlanYear,6,1),2)-1)/7)+1,MOD(27+WEEKDAY(DATE(PlanYear,6,1),2)-1,7)+1)=AE$5,", "&amp;28,"")&amp;IF(INDEX($Q$25:$W$35,2*INT((28+WEEKDAY(DATE(PlanYear,6,1),2)-1)/7)+1,MOD(28+WEEKDAY(DATE(PlanYear,6,1),2)-1,7)+1)=AE$5,", "&amp;29,"")&amp;IF(INDEX($Q$25:$W$35,2*INT((29+WEEKDAY(DATE(PlanYear,6,1),2)-1)/7)+1,MOD(29+WEEKDAY(DATE(PlanYear,6,1),2)-1,7)+1)=AE$5,", "&amp;30,"")&amp;IF(INDEX($Q$25:$W$35,2*INT((30+WEEKDAY(DATE(PlanYear,6,1),2)-1)/7)+1,MOD(30+WEEKDAY(DATE(PlanYear,6,1),2)-1,7)+1)=AE$5,", "&amp;31,""),3,200))</f>
        <v/>
      </c>
      <c r="AF11" s="16">
        <f>IF(AF$5="","",MID(IF(INDEX($Q$25:$W$35,2*INT((0+WEEKDAY(DATE(PlanYear,6,1),2)-1)/7)+1,MOD(0+WEEKDAY(DATE(PlanYear,6,1),2)-1,7)+1)=AF$5,", "&amp;1,"")&amp;IF(INDEX($Q$25:$W$35,2*INT((1+WEEKDAY(DATE(PlanYear,6,1),2)-1)/7)+1,MOD(1+WEEKDAY(DATE(PlanYear,6,1),2)-1,7)+1)=AF$5,", "&amp;2,"")&amp;IF(INDEX($Q$25:$W$35,2*INT((2+WEEKDAY(DATE(PlanYear,6,1),2)-1)/7)+1,MOD(2+WEEKDAY(DATE(PlanYear,6,1),2)-1,7)+1)=AF$5,", "&amp;3,"")&amp;IF(INDEX($Q$25:$W$35,2*INT((3+WEEKDAY(DATE(PlanYear,6,1),2)-1)/7)+1,MOD(3+WEEKDAY(DATE(PlanYear,6,1),2)-1,7)+1)=AF$5,", "&amp;4,"")&amp;IF(INDEX($Q$25:$W$35,2*INT((4+WEEKDAY(DATE(PlanYear,6,1),2)-1)/7)+1,MOD(4+WEEKDAY(DATE(PlanYear,6,1),2)-1,7)+1)=AF$5,", "&amp;5,"")&amp;IF(INDEX($Q$25:$W$35,2*INT((5+WEEKDAY(DATE(PlanYear,6,1),2)-1)/7)+1,MOD(5+WEEKDAY(DATE(PlanYear,6,1),2)-1,7)+1)=AF$5,", "&amp;6,"")&amp;IF(INDEX($Q$25:$W$35,2*INT((6+WEEKDAY(DATE(PlanYear,6,1),2)-1)/7)+1,MOD(6+WEEKDAY(DATE(PlanYear,6,1),2)-1,7)+1)=AF$5,", "&amp;7,"")&amp;IF(INDEX($Q$25:$W$35,2*INT((7+WEEKDAY(DATE(PlanYear,6,1),2)-1)/7)+1,MOD(7+WEEKDAY(DATE(PlanYear,6,1),2)-1,7)+1)=AF$5,", "&amp;8,"")&amp;IF(INDEX($Q$25:$W$35,2*INT((8+WEEKDAY(DATE(PlanYear,6,1),2)-1)/7)+1,MOD(8+WEEKDAY(DATE(PlanYear,6,1),2)-1,7)+1)=AF$5,", "&amp;9,"")&amp;IF(INDEX($Q$25:$W$35,2*INT((9+WEEKDAY(DATE(PlanYear,6,1),2)-1)/7)+1,MOD(9+WEEKDAY(DATE(PlanYear,6,1),2)-1,7)+1)=AF$5,", "&amp;10,"")&amp;IF(INDEX($Q$25:$W$35,2*INT((10+WEEKDAY(DATE(PlanYear,6,1),2)-1)/7)+1,MOD(10+WEEKDAY(DATE(PlanYear,6,1),2)-1,7)+1)=AF$5,", "&amp;11,"")&amp;IF(INDEX($Q$25:$W$35,2*INT((11+WEEKDAY(DATE(PlanYear,6,1),2)-1)/7)+1,MOD(11+WEEKDAY(DATE(PlanYear,6,1),2)-1,7)+1)=AF$5,", "&amp;12,"")&amp;IF(INDEX($Q$25:$W$35,2*INT((12+WEEKDAY(DATE(PlanYear,6,1),2)-1)/7)+1,MOD(12+WEEKDAY(DATE(PlanYear,6,1),2)-1,7)+1)=AF$5,", "&amp;13,"")&amp;IF(INDEX($Q$25:$W$35,2*INT((13+WEEKDAY(DATE(PlanYear,6,1),2)-1)/7)+1,MOD(13+WEEKDAY(DATE(PlanYear,6,1),2)-1,7)+1)=AF$5,", "&amp;14,"")&amp;IF(INDEX($Q$25:$W$35,2*INT((14+WEEKDAY(DATE(PlanYear,6,1),2)-1)/7)+1,MOD(14+WEEKDAY(DATE(PlanYear,6,1),2)-1,7)+1)=AF$5,", "&amp;15,"")&amp;IF(INDEX($Q$25:$W$35,2*INT((15+WEEKDAY(DATE(PlanYear,6,1),2)-1)/7)+1,MOD(15+WEEKDAY(DATE(PlanYear,6,1),2)-1,7)+1)=AF$5,", "&amp;16,"")&amp;IF(INDEX($Q$25:$W$35,2*INT((16+WEEKDAY(DATE(PlanYear,6,1),2)-1)/7)+1,MOD(16+WEEKDAY(DATE(PlanYear,6,1),2)-1,7)+1)=AF$5,", "&amp;17,"")&amp;IF(INDEX($Q$25:$W$35,2*INT((17+WEEKDAY(DATE(PlanYear,6,1),2)-1)/7)+1,MOD(17+WEEKDAY(DATE(PlanYear,6,1),2)-1,7)+1)=AF$5,", "&amp;18,"")&amp;IF(INDEX($Q$25:$W$35,2*INT((18+WEEKDAY(DATE(PlanYear,6,1),2)-1)/7)+1,MOD(18+WEEKDAY(DATE(PlanYear,6,1),2)-1,7)+1)=AF$5,", "&amp;19,"")&amp;IF(INDEX($Q$25:$W$35,2*INT((19+WEEKDAY(DATE(PlanYear,6,1),2)-1)/7)+1,MOD(19+WEEKDAY(DATE(PlanYear,6,1),2)-1,7)+1)=AF$5,", "&amp;20,"")&amp;IF(INDEX($Q$25:$W$35,2*INT((20+WEEKDAY(DATE(PlanYear,6,1),2)-1)/7)+1,MOD(20+WEEKDAY(DATE(PlanYear,6,1),2)-1,7)+1)=AF$5,", "&amp;21,"")&amp;IF(INDEX($Q$25:$W$35,2*INT((21+WEEKDAY(DATE(PlanYear,6,1),2)-1)/7)+1,MOD(21+WEEKDAY(DATE(PlanYear,6,1),2)-1,7)+1)=AF$5,", "&amp;22,"")&amp;IF(INDEX($Q$25:$W$35,2*INT((22+WEEKDAY(DATE(PlanYear,6,1),2)-1)/7)+1,MOD(22+WEEKDAY(DATE(PlanYear,6,1),2)-1,7)+1)=AF$5,", "&amp;23,"")&amp;IF(INDEX($Q$25:$W$35,2*INT((23+WEEKDAY(DATE(PlanYear,6,1),2)-1)/7)+1,MOD(23+WEEKDAY(DATE(PlanYear,6,1),2)-1,7)+1)=AF$5,", "&amp;24,"")&amp;IF(INDEX($Q$25:$W$35,2*INT((24+WEEKDAY(DATE(PlanYear,6,1),2)-1)/7)+1,MOD(24+WEEKDAY(DATE(PlanYear,6,1),2)-1,7)+1)=AF$5,", "&amp;25,"")&amp;IF(INDEX($Q$25:$W$35,2*INT((25+WEEKDAY(DATE(PlanYear,6,1),2)-1)/7)+1,MOD(25+WEEKDAY(DATE(PlanYear,6,1),2)-1,7)+1)=AF$5,", "&amp;26,"")&amp;IF(INDEX($Q$25:$W$35,2*INT((26+WEEKDAY(DATE(PlanYear,6,1),2)-1)/7)+1,MOD(26+WEEKDAY(DATE(PlanYear,6,1),2)-1,7)+1)=AF$5,", "&amp;27,"")&amp;IF(INDEX($Q$25:$W$35,2*INT((27+WEEKDAY(DATE(PlanYear,6,1),2)-1)/7)+1,MOD(27+WEEKDAY(DATE(PlanYear,6,1),2)-1,7)+1)=AF$5,", "&amp;28,"")&amp;IF(INDEX($Q$25:$W$35,2*INT((28+WEEKDAY(DATE(PlanYear,6,1),2)-1)/7)+1,MOD(28+WEEKDAY(DATE(PlanYear,6,1),2)-1,7)+1)=AF$5,", "&amp;29,"")&amp;IF(INDEX($Q$25:$W$35,2*INT((29+WEEKDAY(DATE(PlanYear,6,1),2)-1)/7)+1,MOD(29+WEEKDAY(DATE(PlanYear,6,1),2)-1,7)+1)=AF$5,", "&amp;30,"")&amp;IF(INDEX($Q$25:$W$35,2*INT((30+WEEKDAY(DATE(PlanYear,6,1),2)-1)/7)+1,MOD(30+WEEKDAY(DATE(PlanYear,6,1),2)-1,7)+1)=AF$5,", "&amp;31,""),3,200))</f>
        <v/>
      </c>
      <c r="AG11" s="16">
        <f>IF(AG$5="","",MID(IF(INDEX($Q$25:$W$35,2*INT((0+WEEKDAY(DATE(PlanYear,6,1),2)-1)/7)+1,MOD(0+WEEKDAY(DATE(PlanYear,6,1),2)-1,7)+1)=AG$5,", "&amp;1,"")&amp;IF(INDEX($Q$25:$W$35,2*INT((1+WEEKDAY(DATE(PlanYear,6,1),2)-1)/7)+1,MOD(1+WEEKDAY(DATE(PlanYear,6,1),2)-1,7)+1)=AG$5,", "&amp;2,"")&amp;IF(INDEX($Q$25:$W$35,2*INT((2+WEEKDAY(DATE(PlanYear,6,1),2)-1)/7)+1,MOD(2+WEEKDAY(DATE(PlanYear,6,1),2)-1,7)+1)=AG$5,", "&amp;3,"")&amp;IF(INDEX($Q$25:$W$35,2*INT((3+WEEKDAY(DATE(PlanYear,6,1),2)-1)/7)+1,MOD(3+WEEKDAY(DATE(PlanYear,6,1),2)-1,7)+1)=AG$5,", "&amp;4,"")&amp;IF(INDEX($Q$25:$W$35,2*INT((4+WEEKDAY(DATE(PlanYear,6,1),2)-1)/7)+1,MOD(4+WEEKDAY(DATE(PlanYear,6,1),2)-1,7)+1)=AG$5,", "&amp;5,"")&amp;IF(INDEX($Q$25:$W$35,2*INT((5+WEEKDAY(DATE(PlanYear,6,1),2)-1)/7)+1,MOD(5+WEEKDAY(DATE(PlanYear,6,1),2)-1,7)+1)=AG$5,", "&amp;6,"")&amp;IF(INDEX($Q$25:$W$35,2*INT((6+WEEKDAY(DATE(PlanYear,6,1),2)-1)/7)+1,MOD(6+WEEKDAY(DATE(PlanYear,6,1),2)-1,7)+1)=AG$5,", "&amp;7,"")&amp;IF(INDEX($Q$25:$W$35,2*INT((7+WEEKDAY(DATE(PlanYear,6,1),2)-1)/7)+1,MOD(7+WEEKDAY(DATE(PlanYear,6,1),2)-1,7)+1)=AG$5,", "&amp;8,"")&amp;IF(INDEX($Q$25:$W$35,2*INT((8+WEEKDAY(DATE(PlanYear,6,1),2)-1)/7)+1,MOD(8+WEEKDAY(DATE(PlanYear,6,1),2)-1,7)+1)=AG$5,", "&amp;9,"")&amp;IF(INDEX($Q$25:$W$35,2*INT((9+WEEKDAY(DATE(PlanYear,6,1),2)-1)/7)+1,MOD(9+WEEKDAY(DATE(PlanYear,6,1),2)-1,7)+1)=AG$5,", "&amp;10,"")&amp;IF(INDEX($Q$25:$W$35,2*INT((10+WEEKDAY(DATE(PlanYear,6,1),2)-1)/7)+1,MOD(10+WEEKDAY(DATE(PlanYear,6,1),2)-1,7)+1)=AG$5,", "&amp;11,"")&amp;IF(INDEX($Q$25:$W$35,2*INT((11+WEEKDAY(DATE(PlanYear,6,1),2)-1)/7)+1,MOD(11+WEEKDAY(DATE(PlanYear,6,1),2)-1,7)+1)=AG$5,", "&amp;12,"")&amp;IF(INDEX($Q$25:$W$35,2*INT((12+WEEKDAY(DATE(PlanYear,6,1),2)-1)/7)+1,MOD(12+WEEKDAY(DATE(PlanYear,6,1),2)-1,7)+1)=AG$5,", "&amp;13,"")&amp;IF(INDEX($Q$25:$W$35,2*INT((13+WEEKDAY(DATE(PlanYear,6,1),2)-1)/7)+1,MOD(13+WEEKDAY(DATE(PlanYear,6,1),2)-1,7)+1)=AG$5,", "&amp;14,"")&amp;IF(INDEX($Q$25:$W$35,2*INT((14+WEEKDAY(DATE(PlanYear,6,1),2)-1)/7)+1,MOD(14+WEEKDAY(DATE(PlanYear,6,1),2)-1,7)+1)=AG$5,", "&amp;15,"")&amp;IF(INDEX($Q$25:$W$35,2*INT((15+WEEKDAY(DATE(PlanYear,6,1),2)-1)/7)+1,MOD(15+WEEKDAY(DATE(PlanYear,6,1),2)-1,7)+1)=AG$5,", "&amp;16,"")&amp;IF(INDEX($Q$25:$W$35,2*INT((16+WEEKDAY(DATE(PlanYear,6,1),2)-1)/7)+1,MOD(16+WEEKDAY(DATE(PlanYear,6,1),2)-1,7)+1)=AG$5,", "&amp;17,"")&amp;IF(INDEX($Q$25:$W$35,2*INT((17+WEEKDAY(DATE(PlanYear,6,1),2)-1)/7)+1,MOD(17+WEEKDAY(DATE(PlanYear,6,1),2)-1,7)+1)=AG$5,", "&amp;18,"")&amp;IF(INDEX($Q$25:$W$35,2*INT((18+WEEKDAY(DATE(PlanYear,6,1),2)-1)/7)+1,MOD(18+WEEKDAY(DATE(PlanYear,6,1),2)-1,7)+1)=AG$5,", "&amp;19,"")&amp;IF(INDEX($Q$25:$W$35,2*INT((19+WEEKDAY(DATE(PlanYear,6,1),2)-1)/7)+1,MOD(19+WEEKDAY(DATE(PlanYear,6,1),2)-1,7)+1)=AG$5,", "&amp;20,"")&amp;IF(INDEX($Q$25:$W$35,2*INT((20+WEEKDAY(DATE(PlanYear,6,1),2)-1)/7)+1,MOD(20+WEEKDAY(DATE(PlanYear,6,1),2)-1,7)+1)=AG$5,", "&amp;21,"")&amp;IF(INDEX($Q$25:$W$35,2*INT((21+WEEKDAY(DATE(PlanYear,6,1),2)-1)/7)+1,MOD(21+WEEKDAY(DATE(PlanYear,6,1),2)-1,7)+1)=AG$5,", "&amp;22,"")&amp;IF(INDEX($Q$25:$W$35,2*INT((22+WEEKDAY(DATE(PlanYear,6,1),2)-1)/7)+1,MOD(22+WEEKDAY(DATE(PlanYear,6,1),2)-1,7)+1)=AG$5,", "&amp;23,"")&amp;IF(INDEX($Q$25:$W$35,2*INT((23+WEEKDAY(DATE(PlanYear,6,1),2)-1)/7)+1,MOD(23+WEEKDAY(DATE(PlanYear,6,1),2)-1,7)+1)=AG$5,", "&amp;24,"")&amp;IF(INDEX($Q$25:$W$35,2*INT((24+WEEKDAY(DATE(PlanYear,6,1),2)-1)/7)+1,MOD(24+WEEKDAY(DATE(PlanYear,6,1),2)-1,7)+1)=AG$5,", "&amp;25,"")&amp;IF(INDEX($Q$25:$W$35,2*INT((25+WEEKDAY(DATE(PlanYear,6,1),2)-1)/7)+1,MOD(25+WEEKDAY(DATE(PlanYear,6,1),2)-1,7)+1)=AG$5,", "&amp;26,"")&amp;IF(INDEX($Q$25:$W$35,2*INT((26+WEEKDAY(DATE(PlanYear,6,1),2)-1)/7)+1,MOD(26+WEEKDAY(DATE(PlanYear,6,1),2)-1,7)+1)=AG$5,", "&amp;27,"")&amp;IF(INDEX($Q$25:$W$35,2*INT((27+WEEKDAY(DATE(PlanYear,6,1),2)-1)/7)+1,MOD(27+WEEKDAY(DATE(PlanYear,6,1),2)-1,7)+1)=AG$5,", "&amp;28,"")&amp;IF(INDEX($Q$25:$W$35,2*INT((28+WEEKDAY(DATE(PlanYear,6,1),2)-1)/7)+1,MOD(28+WEEKDAY(DATE(PlanYear,6,1),2)-1,7)+1)=AG$5,", "&amp;29,"")&amp;IF(INDEX($Q$25:$W$35,2*INT((29+WEEKDAY(DATE(PlanYear,6,1),2)-1)/7)+1,MOD(29+WEEKDAY(DATE(PlanYear,6,1),2)-1,7)+1)=AG$5,", "&amp;30,"")&amp;IF(INDEX($Q$25:$W$35,2*INT((30+WEEKDAY(DATE(PlanYear,6,1),2)-1)/7)+1,MOD(30+WEEKDAY(DATE(PlanYear,6,1),2)-1,7)+1)=AG$5,", "&amp;31,""),3,200))</f>
        <v/>
      </c>
      <c r="AH11" s="16">
        <f>IF(AH$5="","",MID(IF(INDEX($Q$25:$W$35,2*INT((0+WEEKDAY(DATE(PlanYear,6,1),2)-1)/7)+1,MOD(0+WEEKDAY(DATE(PlanYear,6,1),2)-1,7)+1)=AH$5,", "&amp;1,"")&amp;IF(INDEX($Q$25:$W$35,2*INT((1+WEEKDAY(DATE(PlanYear,6,1),2)-1)/7)+1,MOD(1+WEEKDAY(DATE(PlanYear,6,1),2)-1,7)+1)=AH$5,", "&amp;2,"")&amp;IF(INDEX($Q$25:$W$35,2*INT((2+WEEKDAY(DATE(PlanYear,6,1),2)-1)/7)+1,MOD(2+WEEKDAY(DATE(PlanYear,6,1),2)-1,7)+1)=AH$5,", "&amp;3,"")&amp;IF(INDEX($Q$25:$W$35,2*INT((3+WEEKDAY(DATE(PlanYear,6,1),2)-1)/7)+1,MOD(3+WEEKDAY(DATE(PlanYear,6,1),2)-1,7)+1)=AH$5,", "&amp;4,"")&amp;IF(INDEX($Q$25:$W$35,2*INT((4+WEEKDAY(DATE(PlanYear,6,1),2)-1)/7)+1,MOD(4+WEEKDAY(DATE(PlanYear,6,1),2)-1,7)+1)=AH$5,", "&amp;5,"")&amp;IF(INDEX($Q$25:$W$35,2*INT((5+WEEKDAY(DATE(PlanYear,6,1),2)-1)/7)+1,MOD(5+WEEKDAY(DATE(PlanYear,6,1),2)-1,7)+1)=AH$5,", "&amp;6,"")&amp;IF(INDEX($Q$25:$W$35,2*INT((6+WEEKDAY(DATE(PlanYear,6,1),2)-1)/7)+1,MOD(6+WEEKDAY(DATE(PlanYear,6,1),2)-1,7)+1)=AH$5,", "&amp;7,"")&amp;IF(INDEX($Q$25:$W$35,2*INT((7+WEEKDAY(DATE(PlanYear,6,1),2)-1)/7)+1,MOD(7+WEEKDAY(DATE(PlanYear,6,1),2)-1,7)+1)=AH$5,", "&amp;8,"")&amp;IF(INDEX($Q$25:$W$35,2*INT((8+WEEKDAY(DATE(PlanYear,6,1),2)-1)/7)+1,MOD(8+WEEKDAY(DATE(PlanYear,6,1),2)-1,7)+1)=AH$5,", "&amp;9,"")&amp;IF(INDEX($Q$25:$W$35,2*INT((9+WEEKDAY(DATE(PlanYear,6,1),2)-1)/7)+1,MOD(9+WEEKDAY(DATE(PlanYear,6,1),2)-1,7)+1)=AH$5,", "&amp;10,"")&amp;IF(INDEX($Q$25:$W$35,2*INT((10+WEEKDAY(DATE(PlanYear,6,1),2)-1)/7)+1,MOD(10+WEEKDAY(DATE(PlanYear,6,1),2)-1,7)+1)=AH$5,", "&amp;11,"")&amp;IF(INDEX($Q$25:$W$35,2*INT((11+WEEKDAY(DATE(PlanYear,6,1),2)-1)/7)+1,MOD(11+WEEKDAY(DATE(PlanYear,6,1),2)-1,7)+1)=AH$5,", "&amp;12,"")&amp;IF(INDEX($Q$25:$W$35,2*INT((12+WEEKDAY(DATE(PlanYear,6,1),2)-1)/7)+1,MOD(12+WEEKDAY(DATE(PlanYear,6,1),2)-1,7)+1)=AH$5,", "&amp;13,"")&amp;IF(INDEX($Q$25:$W$35,2*INT((13+WEEKDAY(DATE(PlanYear,6,1),2)-1)/7)+1,MOD(13+WEEKDAY(DATE(PlanYear,6,1),2)-1,7)+1)=AH$5,", "&amp;14,"")&amp;IF(INDEX($Q$25:$W$35,2*INT((14+WEEKDAY(DATE(PlanYear,6,1),2)-1)/7)+1,MOD(14+WEEKDAY(DATE(PlanYear,6,1),2)-1,7)+1)=AH$5,", "&amp;15,"")&amp;IF(INDEX($Q$25:$W$35,2*INT((15+WEEKDAY(DATE(PlanYear,6,1),2)-1)/7)+1,MOD(15+WEEKDAY(DATE(PlanYear,6,1),2)-1,7)+1)=AH$5,", "&amp;16,"")&amp;IF(INDEX($Q$25:$W$35,2*INT((16+WEEKDAY(DATE(PlanYear,6,1),2)-1)/7)+1,MOD(16+WEEKDAY(DATE(PlanYear,6,1),2)-1,7)+1)=AH$5,", "&amp;17,"")&amp;IF(INDEX($Q$25:$W$35,2*INT((17+WEEKDAY(DATE(PlanYear,6,1),2)-1)/7)+1,MOD(17+WEEKDAY(DATE(PlanYear,6,1),2)-1,7)+1)=AH$5,", "&amp;18,"")&amp;IF(INDEX($Q$25:$W$35,2*INT((18+WEEKDAY(DATE(PlanYear,6,1),2)-1)/7)+1,MOD(18+WEEKDAY(DATE(PlanYear,6,1),2)-1,7)+1)=AH$5,", "&amp;19,"")&amp;IF(INDEX($Q$25:$W$35,2*INT((19+WEEKDAY(DATE(PlanYear,6,1),2)-1)/7)+1,MOD(19+WEEKDAY(DATE(PlanYear,6,1),2)-1,7)+1)=AH$5,", "&amp;20,"")&amp;IF(INDEX($Q$25:$W$35,2*INT((20+WEEKDAY(DATE(PlanYear,6,1),2)-1)/7)+1,MOD(20+WEEKDAY(DATE(PlanYear,6,1),2)-1,7)+1)=AH$5,", "&amp;21,"")&amp;IF(INDEX($Q$25:$W$35,2*INT((21+WEEKDAY(DATE(PlanYear,6,1),2)-1)/7)+1,MOD(21+WEEKDAY(DATE(PlanYear,6,1),2)-1,7)+1)=AH$5,", "&amp;22,"")&amp;IF(INDEX($Q$25:$W$35,2*INT((22+WEEKDAY(DATE(PlanYear,6,1),2)-1)/7)+1,MOD(22+WEEKDAY(DATE(PlanYear,6,1),2)-1,7)+1)=AH$5,", "&amp;23,"")&amp;IF(INDEX($Q$25:$W$35,2*INT((23+WEEKDAY(DATE(PlanYear,6,1),2)-1)/7)+1,MOD(23+WEEKDAY(DATE(PlanYear,6,1),2)-1,7)+1)=AH$5,", "&amp;24,"")&amp;IF(INDEX($Q$25:$W$35,2*INT((24+WEEKDAY(DATE(PlanYear,6,1),2)-1)/7)+1,MOD(24+WEEKDAY(DATE(PlanYear,6,1),2)-1,7)+1)=AH$5,", "&amp;25,"")&amp;IF(INDEX($Q$25:$W$35,2*INT((25+WEEKDAY(DATE(PlanYear,6,1),2)-1)/7)+1,MOD(25+WEEKDAY(DATE(PlanYear,6,1),2)-1,7)+1)=AH$5,", "&amp;26,"")&amp;IF(INDEX($Q$25:$W$35,2*INT((26+WEEKDAY(DATE(PlanYear,6,1),2)-1)/7)+1,MOD(26+WEEKDAY(DATE(PlanYear,6,1),2)-1,7)+1)=AH$5,", "&amp;27,"")&amp;IF(INDEX($Q$25:$W$35,2*INT((27+WEEKDAY(DATE(PlanYear,6,1),2)-1)/7)+1,MOD(27+WEEKDAY(DATE(PlanYear,6,1),2)-1,7)+1)=AH$5,", "&amp;28,"")&amp;IF(INDEX($Q$25:$W$35,2*INT((28+WEEKDAY(DATE(PlanYear,6,1),2)-1)/7)+1,MOD(28+WEEKDAY(DATE(PlanYear,6,1),2)-1,7)+1)=AH$5,", "&amp;29,"")&amp;IF(INDEX($Q$25:$W$35,2*INT((29+WEEKDAY(DATE(PlanYear,6,1),2)-1)/7)+1,MOD(29+WEEKDAY(DATE(PlanYear,6,1),2)-1,7)+1)=AH$5,", "&amp;30,"")&amp;IF(INDEX($Q$25:$W$35,2*INT((30+WEEKDAY(DATE(PlanYear,6,1),2)-1)/7)+1,MOD(30+WEEKDAY(DATE(PlanYear,6,1),2)-1,7)+1)=AH$5,", "&amp;31,""),3,200))</f>
        <v/>
      </c>
      <c r="AI11" s="16">
        <f>IF(AI$5="","",MID(IF(INDEX($Q$25:$W$35,2*INT((0+WEEKDAY(DATE(PlanYear,6,1),2)-1)/7)+1,MOD(0+WEEKDAY(DATE(PlanYear,6,1),2)-1,7)+1)=AI$5,", "&amp;1,"")&amp;IF(INDEX($Q$25:$W$35,2*INT((1+WEEKDAY(DATE(PlanYear,6,1),2)-1)/7)+1,MOD(1+WEEKDAY(DATE(PlanYear,6,1),2)-1,7)+1)=AI$5,", "&amp;2,"")&amp;IF(INDEX($Q$25:$W$35,2*INT((2+WEEKDAY(DATE(PlanYear,6,1),2)-1)/7)+1,MOD(2+WEEKDAY(DATE(PlanYear,6,1),2)-1,7)+1)=AI$5,", "&amp;3,"")&amp;IF(INDEX($Q$25:$W$35,2*INT((3+WEEKDAY(DATE(PlanYear,6,1),2)-1)/7)+1,MOD(3+WEEKDAY(DATE(PlanYear,6,1),2)-1,7)+1)=AI$5,", "&amp;4,"")&amp;IF(INDEX($Q$25:$W$35,2*INT((4+WEEKDAY(DATE(PlanYear,6,1),2)-1)/7)+1,MOD(4+WEEKDAY(DATE(PlanYear,6,1),2)-1,7)+1)=AI$5,", "&amp;5,"")&amp;IF(INDEX($Q$25:$W$35,2*INT((5+WEEKDAY(DATE(PlanYear,6,1),2)-1)/7)+1,MOD(5+WEEKDAY(DATE(PlanYear,6,1),2)-1,7)+1)=AI$5,", "&amp;6,"")&amp;IF(INDEX($Q$25:$W$35,2*INT((6+WEEKDAY(DATE(PlanYear,6,1),2)-1)/7)+1,MOD(6+WEEKDAY(DATE(PlanYear,6,1),2)-1,7)+1)=AI$5,", "&amp;7,"")&amp;IF(INDEX($Q$25:$W$35,2*INT((7+WEEKDAY(DATE(PlanYear,6,1),2)-1)/7)+1,MOD(7+WEEKDAY(DATE(PlanYear,6,1),2)-1,7)+1)=AI$5,", "&amp;8,"")&amp;IF(INDEX($Q$25:$W$35,2*INT((8+WEEKDAY(DATE(PlanYear,6,1),2)-1)/7)+1,MOD(8+WEEKDAY(DATE(PlanYear,6,1),2)-1,7)+1)=AI$5,", "&amp;9,"")&amp;IF(INDEX($Q$25:$W$35,2*INT((9+WEEKDAY(DATE(PlanYear,6,1),2)-1)/7)+1,MOD(9+WEEKDAY(DATE(PlanYear,6,1),2)-1,7)+1)=AI$5,", "&amp;10,"")&amp;IF(INDEX($Q$25:$W$35,2*INT((10+WEEKDAY(DATE(PlanYear,6,1),2)-1)/7)+1,MOD(10+WEEKDAY(DATE(PlanYear,6,1),2)-1,7)+1)=AI$5,", "&amp;11,"")&amp;IF(INDEX($Q$25:$W$35,2*INT((11+WEEKDAY(DATE(PlanYear,6,1),2)-1)/7)+1,MOD(11+WEEKDAY(DATE(PlanYear,6,1),2)-1,7)+1)=AI$5,", "&amp;12,"")&amp;IF(INDEX($Q$25:$W$35,2*INT((12+WEEKDAY(DATE(PlanYear,6,1),2)-1)/7)+1,MOD(12+WEEKDAY(DATE(PlanYear,6,1),2)-1,7)+1)=AI$5,", "&amp;13,"")&amp;IF(INDEX($Q$25:$W$35,2*INT((13+WEEKDAY(DATE(PlanYear,6,1),2)-1)/7)+1,MOD(13+WEEKDAY(DATE(PlanYear,6,1),2)-1,7)+1)=AI$5,", "&amp;14,"")&amp;IF(INDEX($Q$25:$W$35,2*INT((14+WEEKDAY(DATE(PlanYear,6,1),2)-1)/7)+1,MOD(14+WEEKDAY(DATE(PlanYear,6,1),2)-1,7)+1)=AI$5,", "&amp;15,"")&amp;IF(INDEX($Q$25:$W$35,2*INT((15+WEEKDAY(DATE(PlanYear,6,1),2)-1)/7)+1,MOD(15+WEEKDAY(DATE(PlanYear,6,1),2)-1,7)+1)=AI$5,", "&amp;16,"")&amp;IF(INDEX($Q$25:$W$35,2*INT((16+WEEKDAY(DATE(PlanYear,6,1),2)-1)/7)+1,MOD(16+WEEKDAY(DATE(PlanYear,6,1),2)-1,7)+1)=AI$5,", "&amp;17,"")&amp;IF(INDEX($Q$25:$W$35,2*INT((17+WEEKDAY(DATE(PlanYear,6,1),2)-1)/7)+1,MOD(17+WEEKDAY(DATE(PlanYear,6,1),2)-1,7)+1)=AI$5,", "&amp;18,"")&amp;IF(INDEX($Q$25:$W$35,2*INT((18+WEEKDAY(DATE(PlanYear,6,1),2)-1)/7)+1,MOD(18+WEEKDAY(DATE(PlanYear,6,1),2)-1,7)+1)=AI$5,", "&amp;19,"")&amp;IF(INDEX($Q$25:$W$35,2*INT((19+WEEKDAY(DATE(PlanYear,6,1),2)-1)/7)+1,MOD(19+WEEKDAY(DATE(PlanYear,6,1),2)-1,7)+1)=AI$5,", "&amp;20,"")&amp;IF(INDEX($Q$25:$W$35,2*INT((20+WEEKDAY(DATE(PlanYear,6,1),2)-1)/7)+1,MOD(20+WEEKDAY(DATE(PlanYear,6,1),2)-1,7)+1)=AI$5,", "&amp;21,"")&amp;IF(INDEX($Q$25:$W$35,2*INT((21+WEEKDAY(DATE(PlanYear,6,1),2)-1)/7)+1,MOD(21+WEEKDAY(DATE(PlanYear,6,1),2)-1,7)+1)=AI$5,", "&amp;22,"")&amp;IF(INDEX($Q$25:$W$35,2*INT((22+WEEKDAY(DATE(PlanYear,6,1),2)-1)/7)+1,MOD(22+WEEKDAY(DATE(PlanYear,6,1),2)-1,7)+1)=AI$5,", "&amp;23,"")&amp;IF(INDEX($Q$25:$W$35,2*INT((23+WEEKDAY(DATE(PlanYear,6,1),2)-1)/7)+1,MOD(23+WEEKDAY(DATE(PlanYear,6,1),2)-1,7)+1)=AI$5,", "&amp;24,"")&amp;IF(INDEX($Q$25:$W$35,2*INT((24+WEEKDAY(DATE(PlanYear,6,1),2)-1)/7)+1,MOD(24+WEEKDAY(DATE(PlanYear,6,1),2)-1,7)+1)=AI$5,", "&amp;25,"")&amp;IF(INDEX($Q$25:$W$35,2*INT((25+WEEKDAY(DATE(PlanYear,6,1),2)-1)/7)+1,MOD(25+WEEKDAY(DATE(PlanYear,6,1),2)-1,7)+1)=AI$5,", "&amp;26,"")&amp;IF(INDEX($Q$25:$W$35,2*INT((26+WEEKDAY(DATE(PlanYear,6,1),2)-1)/7)+1,MOD(26+WEEKDAY(DATE(PlanYear,6,1),2)-1,7)+1)=AI$5,", "&amp;27,"")&amp;IF(INDEX($Q$25:$W$35,2*INT((27+WEEKDAY(DATE(PlanYear,6,1),2)-1)/7)+1,MOD(27+WEEKDAY(DATE(PlanYear,6,1),2)-1,7)+1)=AI$5,", "&amp;28,"")&amp;IF(INDEX($Q$25:$W$35,2*INT((28+WEEKDAY(DATE(PlanYear,6,1),2)-1)/7)+1,MOD(28+WEEKDAY(DATE(PlanYear,6,1),2)-1,7)+1)=AI$5,", "&amp;29,"")&amp;IF(INDEX($Q$25:$W$35,2*INT((29+WEEKDAY(DATE(PlanYear,6,1),2)-1)/7)+1,MOD(29+WEEKDAY(DATE(PlanYear,6,1),2)-1,7)+1)=AI$5,", "&amp;30,"")&amp;IF(INDEX($Q$25:$W$35,2*INT((30+WEEKDAY(DATE(PlanYear,6,1),2)-1)/7)+1,MOD(30+WEEKDAY(DATE(PlanYear,6,1),2)-1,7)+1)=AI$5,", "&amp;31,""),3,200))</f>
        <v/>
      </c>
      <c r="AJ11" s="16">
        <f>IF(AJ$5="","",MID(IF(INDEX($Q$25:$W$35,2*INT((0+WEEKDAY(DATE(PlanYear,6,1),2)-1)/7)+1,MOD(0+WEEKDAY(DATE(PlanYear,6,1),2)-1,7)+1)=AJ$5,", "&amp;1,"")&amp;IF(INDEX($Q$25:$W$35,2*INT((1+WEEKDAY(DATE(PlanYear,6,1),2)-1)/7)+1,MOD(1+WEEKDAY(DATE(PlanYear,6,1),2)-1,7)+1)=AJ$5,", "&amp;2,"")&amp;IF(INDEX($Q$25:$W$35,2*INT((2+WEEKDAY(DATE(PlanYear,6,1),2)-1)/7)+1,MOD(2+WEEKDAY(DATE(PlanYear,6,1),2)-1,7)+1)=AJ$5,", "&amp;3,"")&amp;IF(INDEX($Q$25:$W$35,2*INT((3+WEEKDAY(DATE(PlanYear,6,1),2)-1)/7)+1,MOD(3+WEEKDAY(DATE(PlanYear,6,1),2)-1,7)+1)=AJ$5,", "&amp;4,"")&amp;IF(INDEX($Q$25:$W$35,2*INT((4+WEEKDAY(DATE(PlanYear,6,1),2)-1)/7)+1,MOD(4+WEEKDAY(DATE(PlanYear,6,1),2)-1,7)+1)=AJ$5,", "&amp;5,"")&amp;IF(INDEX($Q$25:$W$35,2*INT((5+WEEKDAY(DATE(PlanYear,6,1),2)-1)/7)+1,MOD(5+WEEKDAY(DATE(PlanYear,6,1),2)-1,7)+1)=AJ$5,", "&amp;6,"")&amp;IF(INDEX($Q$25:$W$35,2*INT((6+WEEKDAY(DATE(PlanYear,6,1),2)-1)/7)+1,MOD(6+WEEKDAY(DATE(PlanYear,6,1),2)-1,7)+1)=AJ$5,", "&amp;7,"")&amp;IF(INDEX($Q$25:$W$35,2*INT((7+WEEKDAY(DATE(PlanYear,6,1),2)-1)/7)+1,MOD(7+WEEKDAY(DATE(PlanYear,6,1),2)-1,7)+1)=AJ$5,", "&amp;8,"")&amp;IF(INDEX($Q$25:$W$35,2*INT((8+WEEKDAY(DATE(PlanYear,6,1),2)-1)/7)+1,MOD(8+WEEKDAY(DATE(PlanYear,6,1),2)-1,7)+1)=AJ$5,", "&amp;9,"")&amp;IF(INDEX($Q$25:$W$35,2*INT((9+WEEKDAY(DATE(PlanYear,6,1),2)-1)/7)+1,MOD(9+WEEKDAY(DATE(PlanYear,6,1),2)-1,7)+1)=AJ$5,", "&amp;10,"")&amp;IF(INDEX($Q$25:$W$35,2*INT((10+WEEKDAY(DATE(PlanYear,6,1),2)-1)/7)+1,MOD(10+WEEKDAY(DATE(PlanYear,6,1),2)-1,7)+1)=AJ$5,", "&amp;11,"")&amp;IF(INDEX($Q$25:$W$35,2*INT((11+WEEKDAY(DATE(PlanYear,6,1),2)-1)/7)+1,MOD(11+WEEKDAY(DATE(PlanYear,6,1),2)-1,7)+1)=AJ$5,", "&amp;12,"")&amp;IF(INDEX($Q$25:$W$35,2*INT((12+WEEKDAY(DATE(PlanYear,6,1),2)-1)/7)+1,MOD(12+WEEKDAY(DATE(PlanYear,6,1),2)-1,7)+1)=AJ$5,", "&amp;13,"")&amp;IF(INDEX($Q$25:$W$35,2*INT((13+WEEKDAY(DATE(PlanYear,6,1),2)-1)/7)+1,MOD(13+WEEKDAY(DATE(PlanYear,6,1),2)-1,7)+1)=AJ$5,", "&amp;14,"")&amp;IF(INDEX($Q$25:$W$35,2*INT((14+WEEKDAY(DATE(PlanYear,6,1),2)-1)/7)+1,MOD(14+WEEKDAY(DATE(PlanYear,6,1),2)-1,7)+1)=AJ$5,", "&amp;15,"")&amp;IF(INDEX($Q$25:$W$35,2*INT((15+WEEKDAY(DATE(PlanYear,6,1),2)-1)/7)+1,MOD(15+WEEKDAY(DATE(PlanYear,6,1),2)-1,7)+1)=AJ$5,", "&amp;16,"")&amp;IF(INDEX($Q$25:$W$35,2*INT((16+WEEKDAY(DATE(PlanYear,6,1),2)-1)/7)+1,MOD(16+WEEKDAY(DATE(PlanYear,6,1),2)-1,7)+1)=AJ$5,", "&amp;17,"")&amp;IF(INDEX($Q$25:$W$35,2*INT((17+WEEKDAY(DATE(PlanYear,6,1),2)-1)/7)+1,MOD(17+WEEKDAY(DATE(PlanYear,6,1),2)-1,7)+1)=AJ$5,", "&amp;18,"")&amp;IF(INDEX($Q$25:$W$35,2*INT((18+WEEKDAY(DATE(PlanYear,6,1),2)-1)/7)+1,MOD(18+WEEKDAY(DATE(PlanYear,6,1),2)-1,7)+1)=AJ$5,", "&amp;19,"")&amp;IF(INDEX($Q$25:$W$35,2*INT((19+WEEKDAY(DATE(PlanYear,6,1),2)-1)/7)+1,MOD(19+WEEKDAY(DATE(PlanYear,6,1),2)-1,7)+1)=AJ$5,", "&amp;20,"")&amp;IF(INDEX($Q$25:$W$35,2*INT((20+WEEKDAY(DATE(PlanYear,6,1),2)-1)/7)+1,MOD(20+WEEKDAY(DATE(PlanYear,6,1),2)-1,7)+1)=AJ$5,", "&amp;21,"")&amp;IF(INDEX($Q$25:$W$35,2*INT((21+WEEKDAY(DATE(PlanYear,6,1),2)-1)/7)+1,MOD(21+WEEKDAY(DATE(PlanYear,6,1),2)-1,7)+1)=AJ$5,", "&amp;22,"")&amp;IF(INDEX($Q$25:$W$35,2*INT((22+WEEKDAY(DATE(PlanYear,6,1),2)-1)/7)+1,MOD(22+WEEKDAY(DATE(PlanYear,6,1),2)-1,7)+1)=AJ$5,", "&amp;23,"")&amp;IF(INDEX($Q$25:$W$35,2*INT((23+WEEKDAY(DATE(PlanYear,6,1),2)-1)/7)+1,MOD(23+WEEKDAY(DATE(PlanYear,6,1),2)-1,7)+1)=AJ$5,", "&amp;24,"")&amp;IF(INDEX($Q$25:$W$35,2*INT((24+WEEKDAY(DATE(PlanYear,6,1),2)-1)/7)+1,MOD(24+WEEKDAY(DATE(PlanYear,6,1),2)-1,7)+1)=AJ$5,", "&amp;25,"")&amp;IF(INDEX($Q$25:$W$35,2*INT((25+WEEKDAY(DATE(PlanYear,6,1),2)-1)/7)+1,MOD(25+WEEKDAY(DATE(PlanYear,6,1),2)-1,7)+1)=AJ$5,", "&amp;26,"")&amp;IF(INDEX($Q$25:$W$35,2*INT((26+WEEKDAY(DATE(PlanYear,6,1),2)-1)/7)+1,MOD(26+WEEKDAY(DATE(PlanYear,6,1),2)-1,7)+1)=AJ$5,", "&amp;27,"")&amp;IF(INDEX($Q$25:$W$35,2*INT((27+WEEKDAY(DATE(PlanYear,6,1),2)-1)/7)+1,MOD(27+WEEKDAY(DATE(PlanYear,6,1),2)-1,7)+1)=AJ$5,", "&amp;28,"")&amp;IF(INDEX($Q$25:$W$35,2*INT((28+WEEKDAY(DATE(PlanYear,6,1),2)-1)/7)+1,MOD(28+WEEKDAY(DATE(PlanYear,6,1),2)-1,7)+1)=AJ$5,", "&amp;29,"")&amp;IF(INDEX($Q$25:$W$35,2*INT((29+WEEKDAY(DATE(PlanYear,6,1),2)-1)/7)+1,MOD(29+WEEKDAY(DATE(PlanYear,6,1),2)-1,7)+1)=AJ$5,", "&amp;30,"")&amp;IF(INDEX($Q$25:$W$35,2*INT((30+WEEKDAY(DATE(PlanYear,6,1),2)-1)/7)+1,MOD(30+WEEKDAY(DATE(PlanYear,6,1),2)-1,7)+1)=AJ$5,", "&amp;31,""),3,200))</f>
        <v/>
      </c>
      <c r="AK11" s="17">
        <f>DAY(EOMONTH(DATE(PlanYear,6,1),0))-COUNTIF($Q$25:$W$35,"?*")</f>
        <v/>
      </c>
    </row>
    <row r="12" ht="26" customHeight="1">
      <c r="A12" s="20">
        <f>IF(AND(15-(WEEKDAY(DATE(PlanYear,1,1),2)-1)&gt;=1,15-(WEEKDAY(DATE(PlanYear,1,1),2)-1)&lt;=DAY(EOMONTH(DATE(PlanYear,1,1),0))),DATE(PlanYear,1,1)+15-WEEKDAY(DATE(PlanYear,1,1),2),"")</f>
        <v/>
      </c>
      <c r="B12" s="20">
        <f>IF(AND(16-(WEEKDAY(DATE(PlanYear,1,1),2)-1)&gt;=1,16-(WEEKDAY(DATE(PlanYear,1,1),2)-1)&lt;=DAY(EOMONTH(DATE(PlanYear,1,1),0))),DATE(PlanYear,1,1)+16-WEEKDAY(DATE(PlanYear,1,1),2),"")</f>
        <v/>
      </c>
      <c r="C12" s="20">
        <f>IF(AND(17-(WEEKDAY(DATE(PlanYear,1,1),2)-1)&gt;=1,17-(WEEKDAY(DATE(PlanYear,1,1),2)-1)&lt;=DAY(EOMONTH(DATE(PlanYear,1,1),0))),DATE(PlanYear,1,1)+17-WEEKDAY(DATE(PlanYear,1,1),2),"")</f>
        <v/>
      </c>
      <c r="D12" s="20">
        <f>IF(AND(18-(WEEKDAY(DATE(PlanYear,1,1),2)-1)&gt;=1,18-(WEEKDAY(DATE(PlanYear,1,1),2)-1)&lt;=DAY(EOMONTH(DATE(PlanYear,1,1),0))),DATE(PlanYear,1,1)+18-WEEKDAY(DATE(PlanYear,1,1),2),"")</f>
        <v/>
      </c>
      <c r="E12" s="20">
        <f>IF(AND(19-(WEEKDAY(DATE(PlanYear,1,1),2)-1)&gt;=1,19-(WEEKDAY(DATE(PlanYear,1,1),2)-1)&lt;=DAY(EOMONTH(DATE(PlanYear,1,1),0))),DATE(PlanYear,1,1)+19-WEEKDAY(DATE(PlanYear,1,1),2),"")</f>
        <v/>
      </c>
      <c r="F12" s="20">
        <f>IF(AND(20-(WEEKDAY(DATE(PlanYear,1,1),2)-1)&gt;=1,20-(WEEKDAY(DATE(PlanYear,1,1),2)-1)&lt;=DAY(EOMONTH(DATE(PlanYear,1,1),0))),DATE(PlanYear,1,1)+20-WEEKDAY(DATE(PlanYear,1,1),2),"")</f>
        <v/>
      </c>
      <c r="G12" s="20">
        <f>IF(AND(21-(WEEKDAY(DATE(PlanYear,1,1),2)-1)&gt;=1,21-(WEEKDAY(DATE(PlanYear,1,1),2)-1)&lt;=DAY(EOMONTH(DATE(PlanYear,1,1),0))),DATE(PlanYear,1,1)+21-WEEKDAY(DATE(PlanYear,1,1),2),"")</f>
        <v/>
      </c>
      <c r="I12" s="20">
        <f>IF(AND(15-(WEEKDAY(DATE(PlanYear,2,1),2)-1)&gt;=1,15-(WEEKDAY(DATE(PlanYear,2,1),2)-1)&lt;=DAY(EOMONTH(DATE(PlanYear,2,1),0))),DATE(PlanYear,2,1)+15-WEEKDAY(DATE(PlanYear,2,1),2),"")</f>
        <v/>
      </c>
      <c r="J12" s="20">
        <f>IF(AND(16-(WEEKDAY(DATE(PlanYear,2,1),2)-1)&gt;=1,16-(WEEKDAY(DATE(PlanYear,2,1),2)-1)&lt;=DAY(EOMONTH(DATE(PlanYear,2,1),0))),DATE(PlanYear,2,1)+16-WEEKDAY(DATE(PlanYear,2,1),2),"")</f>
        <v/>
      </c>
      <c r="K12" s="20">
        <f>IF(AND(17-(WEEKDAY(DATE(PlanYear,2,1),2)-1)&gt;=1,17-(WEEKDAY(DATE(PlanYear,2,1),2)-1)&lt;=DAY(EOMONTH(DATE(PlanYear,2,1),0))),DATE(PlanYear,2,1)+17-WEEKDAY(DATE(PlanYear,2,1),2),"")</f>
        <v/>
      </c>
      <c r="L12" s="20">
        <f>IF(AND(18-(WEEKDAY(DATE(PlanYear,2,1),2)-1)&gt;=1,18-(WEEKDAY(DATE(PlanYear,2,1),2)-1)&lt;=DAY(EOMONTH(DATE(PlanYear,2,1),0))),DATE(PlanYear,2,1)+18-WEEKDAY(DATE(PlanYear,2,1),2),"")</f>
        <v/>
      </c>
      <c r="M12" s="20">
        <f>IF(AND(19-(WEEKDAY(DATE(PlanYear,2,1),2)-1)&gt;=1,19-(WEEKDAY(DATE(PlanYear,2,1),2)-1)&lt;=DAY(EOMONTH(DATE(PlanYear,2,1),0))),DATE(PlanYear,2,1)+19-WEEKDAY(DATE(PlanYear,2,1),2),"")</f>
        <v/>
      </c>
      <c r="N12" s="20">
        <f>IF(AND(20-(WEEKDAY(DATE(PlanYear,2,1),2)-1)&gt;=1,20-(WEEKDAY(DATE(PlanYear,2,1),2)-1)&lt;=DAY(EOMONTH(DATE(PlanYear,2,1),0))),DATE(PlanYear,2,1)+20-WEEKDAY(DATE(PlanYear,2,1),2),"")</f>
        <v/>
      </c>
      <c r="O12" s="20">
        <f>IF(AND(21-(WEEKDAY(DATE(PlanYear,2,1),2)-1)&gt;=1,21-(WEEKDAY(DATE(PlanYear,2,1),2)-1)&lt;=DAY(EOMONTH(DATE(PlanYear,2,1),0))),DATE(PlanYear,2,1)+21-WEEKDAY(DATE(PlanYear,2,1),2),"")</f>
        <v/>
      </c>
      <c r="Q12" s="20">
        <f>IF(AND(15-(WEEKDAY(DATE(PlanYear,3,1),2)-1)&gt;=1,15-(WEEKDAY(DATE(PlanYear,3,1),2)-1)&lt;=DAY(EOMONTH(DATE(PlanYear,3,1),0))),DATE(PlanYear,3,1)+15-WEEKDAY(DATE(PlanYear,3,1),2),"")</f>
        <v/>
      </c>
      <c r="R12" s="20">
        <f>IF(AND(16-(WEEKDAY(DATE(PlanYear,3,1),2)-1)&gt;=1,16-(WEEKDAY(DATE(PlanYear,3,1),2)-1)&lt;=DAY(EOMONTH(DATE(PlanYear,3,1),0))),DATE(PlanYear,3,1)+16-WEEKDAY(DATE(PlanYear,3,1),2),"")</f>
        <v/>
      </c>
      <c r="S12" s="20">
        <f>IF(AND(17-(WEEKDAY(DATE(PlanYear,3,1),2)-1)&gt;=1,17-(WEEKDAY(DATE(PlanYear,3,1),2)-1)&lt;=DAY(EOMONTH(DATE(PlanYear,3,1),0))),DATE(PlanYear,3,1)+17-WEEKDAY(DATE(PlanYear,3,1),2),"")</f>
        <v/>
      </c>
      <c r="T12" s="20">
        <f>IF(AND(18-(WEEKDAY(DATE(PlanYear,3,1),2)-1)&gt;=1,18-(WEEKDAY(DATE(PlanYear,3,1),2)-1)&lt;=DAY(EOMONTH(DATE(PlanYear,3,1),0))),DATE(PlanYear,3,1)+18-WEEKDAY(DATE(PlanYear,3,1),2),"")</f>
        <v/>
      </c>
      <c r="U12" s="20">
        <f>IF(AND(19-(WEEKDAY(DATE(PlanYear,3,1),2)-1)&gt;=1,19-(WEEKDAY(DATE(PlanYear,3,1),2)-1)&lt;=DAY(EOMONTH(DATE(PlanYear,3,1),0))),DATE(PlanYear,3,1)+19-WEEKDAY(DATE(PlanYear,3,1),2),"")</f>
        <v/>
      </c>
      <c r="V12" s="20">
        <f>IF(AND(20-(WEEKDAY(DATE(PlanYear,3,1),2)-1)&gt;=1,20-(WEEKDAY(DATE(PlanYear,3,1),2)-1)&lt;=DAY(EOMONTH(DATE(PlanYear,3,1),0))),DATE(PlanYear,3,1)+20-WEEKDAY(DATE(PlanYear,3,1),2),"")</f>
        <v/>
      </c>
      <c r="W12" s="20">
        <f>IF(AND(21-(WEEKDAY(DATE(PlanYear,3,1),2)-1)&gt;=1,21-(WEEKDAY(DATE(PlanYear,3,1),2)-1)&lt;=DAY(EOMONTH(DATE(PlanYear,3,1),0))),DATE(PlanYear,3,1)+21-WEEKDAY(DATE(PlanYear,3,1),2),"")</f>
        <v/>
      </c>
      <c r="Z12" s="15" t="inlineStr">
        <is>
          <t>July</t>
        </is>
      </c>
      <c r="AA12" s="16">
        <f>IF(AA$5="","",MID(IF(INDEX($A$41:$G$51,2*INT((0+WEEKDAY(DATE(PlanYear,7,1),2)-1)/7)+1,MOD(0+WEEKDAY(DATE(PlanYear,7,1),2)-1,7)+1)=AA$5,", "&amp;1,"")&amp;IF(INDEX($A$41:$G$51,2*INT((1+WEEKDAY(DATE(PlanYear,7,1),2)-1)/7)+1,MOD(1+WEEKDAY(DATE(PlanYear,7,1),2)-1,7)+1)=AA$5,", "&amp;2,"")&amp;IF(INDEX($A$41:$G$51,2*INT((2+WEEKDAY(DATE(PlanYear,7,1),2)-1)/7)+1,MOD(2+WEEKDAY(DATE(PlanYear,7,1),2)-1,7)+1)=AA$5,", "&amp;3,"")&amp;IF(INDEX($A$41:$G$51,2*INT((3+WEEKDAY(DATE(PlanYear,7,1),2)-1)/7)+1,MOD(3+WEEKDAY(DATE(PlanYear,7,1),2)-1,7)+1)=AA$5,", "&amp;4,"")&amp;IF(INDEX($A$41:$G$51,2*INT((4+WEEKDAY(DATE(PlanYear,7,1),2)-1)/7)+1,MOD(4+WEEKDAY(DATE(PlanYear,7,1),2)-1,7)+1)=AA$5,", "&amp;5,"")&amp;IF(INDEX($A$41:$G$51,2*INT((5+WEEKDAY(DATE(PlanYear,7,1),2)-1)/7)+1,MOD(5+WEEKDAY(DATE(PlanYear,7,1),2)-1,7)+1)=AA$5,", "&amp;6,"")&amp;IF(INDEX($A$41:$G$51,2*INT((6+WEEKDAY(DATE(PlanYear,7,1),2)-1)/7)+1,MOD(6+WEEKDAY(DATE(PlanYear,7,1),2)-1,7)+1)=AA$5,", "&amp;7,"")&amp;IF(INDEX($A$41:$G$51,2*INT((7+WEEKDAY(DATE(PlanYear,7,1),2)-1)/7)+1,MOD(7+WEEKDAY(DATE(PlanYear,7,1),2)-1,7)+1)=AA$5,", "&amp;8,"")&amp;IF(INDEX($A$41:$G$51,2*INT((8+WEEKDAY(DATE(PlanYear,7,1),2)-1)/7)+1,MOD(8+WEEKDAY(DATE(PlanYear,7,1),2)-1,7)+1)=AA$5,", "&amp;9,"")&amp;IF(INDEX($A$41:$G$51,2*INT((9+WEEKDAY(DATE(PlanYear,7,1),2)-1)/7)+1,MOD(9+WEEKDAY(DATE(PlanYear,7,1),2)-1,7)+1)=AA$5,", "&amp;10,"")&amp;IF(INDEX($A$41:$G$51,2*INT((10+WEEKDAY(DATE(PlanYear,7,1),2)-1)/7)+1,MOD(10+WEEKDAY(DATE(PlanYear,7,1),2)-1,7)+1)=AA$5,", "&amp;11,"")&amp;IF(INDEX($A$41:$G$51,2*INT((11+WEEKDAY(DATE(PlanYear,7,1),2)-1)/7)+1,MOD(11+WEEKDAY(DATE(PlanYear,7,1),2)-1,7)+1)=AA$5,", "&amp;12,"")&amp;IF(INDEX($A$41:$G$51,2*INT((12+WEEKDAY(DATE(PlanYear,7,1),2)-1)/7)+1,MOD(12+WEEKDAY(DATE(PlanYear,7,1),2)-1,7)+1)=AA$5,", "&amp;13,"")&amp;IF(INDEX($A$41:$G$51,2*INT((13+WEEKDAY(DATE(PlanYear,7,1),2)-1)/7)+1,MOD(13+WEEKDAY(DATE(PlanYear,7,1),2)-1,7)+1)=AA$5,", "&amp;14,"")&amp;IF(INDEX($A$41:$G$51,2*INT((14+WEEKDAY(DATE(PlanYear,7,1),2)-1)/7)+1,MOD(14+WEEKDAY(DATE(PlanYear,7,1),2)-1,7)+1)=AA$5,", "&amp;15,"")&amp;IF(INDEX($A$41:$G$51,2*INT((15+WEEKDAY(DATE(PlanYear,7,1),2)-1)/7)+1,MOD(15+WEEKDAY(DATE(PlanYear,7,1),2)-1,7)+1)=AA$5,", "&amp;16,"")&amp;IF(INDEX($A$41:$G$51,2*INT((16+WEEKDAY(DATE(PlanYear,7,1),2)-1)/7)+1,MOD(16+WEEKDAY(DATE(PlanYear,7,1),2)-1,7)+1)=AA$5,", "&amp;17,"")&amp;IF(INDEX($A$41:$G$51,2*INT((17+WEEKDAY(DATE(PlanYear,7,1),2)-1)/7)+1,MOD(17+WEEKDAY(DATE(PlanYear,7,1),2)-1,7)+1)=AA$5,", "&amp;18,"")&amp;IF(INDEX($A$41:$G$51,2*INT((18+WEEKDAY(DATE(PlanYear,7,1),2)-1)/7)+1,MOD(18+WEEKDAY(DATE(PlanYear,7,1),2)-1,7)+1)=AA$5,", "&amp;19,"")&amp;IF(INDEX($A$41:$G$51,2*INT((19+WEEKDAY(DATE(PlanYear,7,1),2)-1)/7)+1,MOD(19+WEEKDAY(DATE(PlanYear,7,1),2)-1,7)+1)=AA$5,", "&amp;20,"")&amp;IF(INDEX($A$41:$G$51,2*INT((20+WEEKDAY(DATE(PlanYear,7,1),2)-1)/7)+1,MOD(20+WEEKDAY(DATE(PlanYear,7,1),2)-1,7)+1)=AA$5,", "&amp;21,"")&amp;IF(INDEX($A$41:$G$51,2*INT((21+WEEKDAY(DATE(PlanYear,7,1),2)-1)/7)+1,MOD(21+WEEKDAY(DATE(PlanYear,7,1),2)-1,7)+1)=AA$5,", "&amp;22,"")&amp;IF(INDEX($A$41:$G$51,2*INT((22+WEEKDAY(DATE(PlanYear,7,1),2)-1)/7)+1,MOD(22+WEEKDAY(DATE(PlanYear,7,1),2)-1,7)+1)=AA$5,", "&amp;23,"")&amp;IF(INDEX($A$41:$G$51,2*INT((23+WEEKDAY(DATE(PlanYear,7,1),2)-1)/7)+1,MOD(23+WEEKDAY(DATE(PlanYear,7,1),2)-1,7)+1)=AA$5,", "&amp;24,"")&amp;IF(INDEX($A$41:$G$51,2*INT((24+WEEKDAY(DATE(PlanYear,7,1),2)-1)/7)+1,MOD(24+WEEKDAY(DATE(PlanYear,7,1),2)-1,7)+1)=AA$5,", "&amp;25,"")&amp;IF(INDEX($A$41:$G$51,2*INT((25+WEEKDAY(DATE(PlanYear,7,1),2)-1)/7)+1,MOD(25+WEEKDAY(DATE(PlanYear,7,1),2)-1,7)+1)=AA$5,", "&amp;26,"")&amp;IF(INDEX($A$41:$G$51,2*INT((26+WEEKDAY(DATE(PlanYear,7,1),2)-1)/7)+1,MOD(26+WEEKDAY(DATE(PlanYear,7,1),2)-1,7)+1)=AA$5,", "&amp;27,"")&amp;IF(INDEX($A$41:$G$51,2*INT((27+WEEKDAY(DATE(PlanYear,7,1),2)-1)/7)+1,MOD(27+WEEKDAY(DATE(PlanYear,7,1),2)-1,7)+1)=AA$5,", "&amp;28,"")&amp;IF(INDEX($A$41:$G$51,2*INT((28+WEEKDAY(DATE(PlanYear,7,1),2)-1)/7)+1,MOD(28+WEEKDAY(DATE(PlanYear,7,1),2)-1,7)+1)=AA$5,", "&amp;29,"")&amp;IF(INDEX($A$41:$G$51,2*INT((29+WEEKDAY(DATE(PlanYear,7,1),2)-1)/7)+1,MOD(29+WEEKDAY(DATE(PlanYear,7,1),2)-1,7)+1)=AA$5,", "&amp;30,"")&amp;IF(INDEX($A$41:$G$51,2*INT((30+WEEKDAY(DATE(PlanYear,7,1),2)-1)/7)+1,MOD(30+WEEKDAY(DATE(PlanYear,7,1),2)-1,7)+1)=AA$5,", "&amp;31,""),3,200))</f>
        <v/>
      </c>
      <c r="AB12" s="16">
        <f>IF(AB$5="","",MID(IF(INDEX($A$41:$G$51,2*INT((0+WEEKDAY(DATE(PlanYear,7,1),2)-1)/7)+1,MOD(0+WEEKDAY(DATE(PlanYear,7,1),2)-1,7)+1)=AB$5,", "&amp;1,"")&amp;IF(INDEX($A$41:$G$51,2*INT((1+WEEKDAY(DATE(PlanYear,7,1),2)-1)/7)+1,MOD(1+WEEKDAY(DATE(PlanYear,7,1),2)-1,7)+1)=AB$5,", "&amp;2,"")&amp;IF(INDEX($A$41:$G$51,2*INT((2+WEEKDAY(DATE(PlanYear,7,1),2)-1)/7)+1,MOD(2+WEEKDAY(DATE(PlanYear,7,1),2)-1,7)+1)=AB$5,", "&amp;3,"")&amp;IF(INDEX($A$41:$G$51,2*INT((3+WEEKDAY(DATE(PlanYear,7,1),2)-1)/7)+1,MOD(3+WEEKDAY(DATE(PlanYear,7,1),2)-1,7)+1)=AB$5,", "&amp;4,"")&amp;IF(INDEX($A$41:$G$51,2*INT((4+WEEKDAY(DATE(PlanYear,7,1),2)-1)/7)+1,MOD(4+WEEKDAY(DATE(PlanYear,7,1),2)-1,7)+1)=AB$5,", "&amp;5,"")&amp;IF(INDEX($A$41:$G$51,2*INT((5+WEEKDAY(DATE(PlanYear,7,1),2)-1)/7)+1,MOD(5+WEEKDAY(DATE(PlanYear,7,1),2)-1,7)+1)=AB$5,", "&amp;6,"")&amp;IF(INDEX($A$41:$G$51,2*INT((6+WEEKDAY(DATE(PlanYear,7,1),2)-1)/7)+1,MOD(6+WEEKDAY(DATE(PlanYear,7,1),2)-1,7)+1)=AB$5,", "&amp;7,"")&amp;IF(INDEX($A$41:$G$51,2*INT((7+WEEKDAY(DATE(PlanYear,7,1),2)-1)/7)+1,MOD(7+WEEKDAY(DATE(PlanYear,7,1),2)-1,7)+1)=AB$5,", "&amp;8,"")&amp;IF(INDEX($A$41:$G$51,2*INT((8+WEEKDAY(DATE(PlanYear,7,1),2)-1)/7)+1,MOD(8+WEEKDAY(DATE(PlanYear,7,1),2)-1,7)+1)=AB$5,", "&amp;9,"")&amp;IF(INDEX($A$41:$G$51,2*INT((9+WEEKDAY(DATE(PlanYear,7,1),2)-1)/7)+1,MOD(9+WEEKDAY(DATE(PlanYear,7,1),2)-1,7)+1)=AB$5,", "&amp;10,"")&amp;IF(INDEX($A$41:$G$51,2*INT((10+WEEKDAY(DATE(PlanYear,7,1),2)-1)/7)+1,MOD(10+WEEKDAY(DATE(PlanYear,7,1),2)-1,7)+1)=AB$5,", "&amp;11,"")&amp;IF(INDEX($A$41:$G$51,2*INT((11+WEEKDAY(DATE(PlanYear,7,1),2)-1)/7)+1,MOD(11+WEEKDAY(DATE(PlanYear,7,1),2)-1,7)+1)=AB$5,", "&amp;12,"")&amp;IF(INDEX($A$41:$G$51,2*INT((12+WEEKDAY(DATE(PlanYear,7,1),2)-1)/7)+1,MOD(12+WEEKDAY(DATE(PlanYear,7,1),2)-1,7)+1)=AB$5,", "&amp;13,"")&amp;IF(INDEX($A$41:$G$51,2*INT((13+WEEKDAY(DATE(PlanYear,7,1),2)-1)/7)+1,MOD(13+WEEKDAY(DATE(PlanYear,7,1),2)-1,7)+1)=AB$5,", "&amp;14,"")&amp;IF(INDEX($A$41:$G$51,2*INT((14+WEEKDAY(DATE(PlanYear,7,1),2)-1)/7)+1,MOD(14+WEEKDAY(DATE(PlanYear,7,1),2)-1,7)+1)=AB$5,", "&amp;15,"")&amp;IF(INDEX($A$41:$G$51,2*INT((15+WEEKDAY(DATE(PlanYear,7,1),2)-1)/7)+1,MOD(15+WEEKDAY(DATE(PlanYear,7,1),2)-1,7)+1)=AB$5,", "&amp;16,"")&amp;IF(INDEX($A$41:$G$51,2*INT((16+WEEKDAY(DATE(PlanYear,7,1),2)-1)/7)+1,MOD(16+WEEKDAY(DATE(PlanYear,7,1),2)-1,7)+1)=AB$5,", "&amp;17,"")&amp;IF(INDEX($A$41:$G$51,2*INT((17+WEEKDAY(DATE(PlanYear,7,1),2)-1)/7)+1,MOD(17+WEEKDAY(DATE(PlanYear,7,1),2)-1,7)+1)=AB$5,", "&amp;18,"")&amp;IF(INDEX($A$41:$G$51,2*INT((18+WEEKDAY(DATE(PlanYear,7,1),2)-1)/7)+1,MOD(18+WEEKDAY(DATE(PlanYear,7,1),2)-1,7)+1)=AB$5,", "&amp;19,"")&amp;IF(INDEX($A$41:$G$51,2*INT((19+WEEKDAY(DATE(PlanYear,7,1),2)-1)/7)+1,MOD(19+WEEKDAY(DATE(PlanYear,7,1),2)-1,7)+1)=AB$5,", "&amp;20,"")&amp;IF(INDEX($A$41:$G$51,2*INT((20+WEEKDAY(DATE(PlanYear,7,1),2)-1)/7)+1,MOD(20+WEEKDAY(DATE(PlanYear,7,1),2)-1,7)+1)=AB$5,", "&amp;21,"")&amp;IF(INDEX($A$41:$G$51,2*INT((21+WEEKDAY(DATE(PlanYear,7,1),2)-1)/7)+1,MOD(21+WEEKDAY(DATE(PlanYear,7,1),2)-1,7)+1)=AB$5,", "&amp;22,"")&amp;IF(INDEX($A$41:$G$51,2*INT((22+WEEKDAY(DATE(PlanYear,7,1),2)-1)/7)+1,MOD(22+WEEKDAY(DATE(PlanYear,7,1),2)-1,7)+1)=AB$5,", "&amp;23,"")&amp;IF(INDEX($A$41:$G$51,2*INT((23+WEEKDAY(DATE(PlanYear,7,1),2)-1)/7)+1,MOD(23+WEEKDAY(DATE(PlanYear,7,1),2)-1,7)+1)=AB$5,", "&amp;24,"")&amp;IF(INDEX($A$41:$G$51,2*INT((24+WEEKDAY(DATE(PlanYear,7,1),2)-1)/7)+1,MOD(24+WEEKDAY(DATE(PlanYear,7,1),2)-1,7)+1)=AB$5,", "&amp;25,"")&amp;IF(INDEX($A$41:$G$51,2*INT((25+WEEKDAY(DATE(PlanYear,7,1),2)-1)/7)+1,MOD(25+WEEKDAY(DATE(PlanYear,7,1),2)-1,7)+1)=AB$5,", "&amp;26,"")&amp;IF(INDEX($A$41:$G$51,2*INT((26+WEEKDAY(DATE(PlanYear,7,1),2)-1)/7)+1,MOD(26+WEEKDAY(DATE(PlanYear,7,1),2)-1,7)+1)=AB$5,", "&amp;27,"")&amp;IF(INDEX($A$41:$G$51,2*INT((27+WEEKDAY(DATE(PlanYear,7,1),2)-1)/7)+1,MOD(27+WEEKDAY(DATE(PlanYear,7,1),2)-1,7)+1)=AB$5,", "&amp;28,"")&amp;IF(INDEX($A$41:$G$51,2*INT((28+WEEKDAY(DATE(PlanYear,7,1),2)-1)/7)+1,MOD(28+WEEKDAY(DATE(PlanYear,7,1),2)-1,7)+1)=AB$5,", "&amp;29,"")&amp;IF(INDEX($A$41:$G$51,2*INT((29+WEEKDAY(DATE(PlanYear,7,1),2)-1)/7)+1,MOD(29+WEEKDAY(DATE(PlanYear,7,1),2)-1,7)+1)=AB$5,", "&amp;30,"")&amp;IF(INDEX($A$41:$G$51,2*INT((30+WEEKDAY(DATE(PlanYear,7,1),2)-1)/7)+1,MOD(30+WEEKDAY(DATE(PlanYear,7,1),2)-1,7)+1)=AB$5,", "&amp;31,""),3,200))</f>
        <v/>
      </c>
      <c r="AC12" s="16">
        <f>IF(AC$5="","",MID(IF(INDEX($A$41:$G$51,2*INT((0+WEEKDAY(DATE(PlanYear,7,1),2)-1)/7)+1,MOD(0+WEEKDAY(DATE(PlanYear,7,1),2)-1,7)+1)=AC$5,", "&amp;1,"")&amp;IF(INDEX($A$41:$G$51,2*INT((1+WEEKDAY(DATE(PlanYear,7,1),2)-1)/7)+1,MOD(1+WEEKDAY(DATE(PlanYear,7,1),2)-1,7)+1)=AC$5,", "&amp;2,"")&amp;IF(INDEX($A$41:$G$51,2*INT((2+WEEKDAY(DATE(PlanYear,7,1),2)-1)/7)+1,MOD(2+WEEKDAY(DATE(PlanYear,7,1),2)-1,7)+1)=AC$5,", "&amp;3,"")&amp;IF(INDEX($A$41:$G$51,2*INT((3+WEEKDAY(DATE(PlanYear,7,1),2)-1)/7)+1,MOD(3+WEEKDAY(DATE(PlanYear,7,1),2)-1,7)+1)=AC$5,", "&amp;4,"")&amp;IF(INDEX($A$41:$G$51,2*INT((4+WEEKDAY(DATE(PlanYear,7,1),2)-1)/7)+1,MOD(4+WEEKDAY(DATE(PlanYear,7,1),2)-1,7)+1)=AC$5,", "&amp;5,"")&amp;IF(INDEX($A$41:$G$51,2*INT((5+WEEKDAY(DATE(PlanYear,7,1),2)-1)/7)+1,MOD(5+WEEKDAY(DATE(PlanYear,7,1),2)-1,7)+1)=AC$5,", "&amp;6,"")&amp;IF(INDEX($A$41:$G$51,2*INT((6+WEEKDAY(DATE(PlanYear,7,1),2)-1)/7)+1,MOD(6+WEEKDAY(DATE(PlanYear,7,1),2)-1,7)+1)=AC$5,", "&amp;7,"")&amp;IF(INDEX($A$41:$G$51,2*INT((7+WEEKDAY(DATE(PlanYear,7,1),2)-1)/7)+1,MOD(7+WEEKDAY(DATE(PlanYear,7,1),2)-1,7)+1)=AC$5,", "&amp;8,"")&amp;IF(INDEX($A$41:$G$51,2*INT((8+WEEKDAY(DATE(PlanYear,7,1),2)-1)/7)+1,MOD(8+WEEKDAY(DATE(PlanYear,7,1),2)-1,7)+1)=AC$5,", "&amp;9,"")&amp;IF(INDEX($A$41:$G$51,2*INT((9+WEEKDAY(DATE(PlanYear,7,1),2)-1)/7)+1,MOD(9+WEEKDAY(DATE(PlanYear,7,1),2)-1,7)+1)=AC$5,", "&amp;10,"")&amp;IF(INDEX($A$41:$G$51,2*INT((10+WEEKDAY(DATE(PlanYear,7,1),2)-1)/7)+1,MOD(10+WEEKDAY(DATE(PlanYear,7,1),2)-1,7)+1)=AC$5,", "&amp;11,"")&amp;IF(INDEX($A$41:$G$51,2*INT((11+WEEKDAY(DATE(PlanYear,7,1),2)-1)/7)+1,MOD(11+WEEKDAY(DATE(PlanYear,7,1),2)-1,7)+1)=AC$5,", "&amp;12,"")&amp;IF(INDEX($A$41:$G$51,2*INT((12+WEEKDAY(DATE(PlanYear,7,1),2)-1)/7)+1,MOD(12+WEEKDAY(DATE(PlanYear,7,1),2)-1,7)+1)=AC$5,", "&amp;13,"")&amp;IF(INDEX($A$41:$G$51,2*INT((13+WEEKDAY(DATE(PlanYear,7,1),2)-1)/7)+1,MOD(13+WEEKDAY(DATE(PlanYear,7,1),2)-1,7)+1)=AC$5,", "&amp;14,"")&amp;IF(INDEX($A$41:$G$51,2*INT((14+WEEKDAY(DATE(PlanYear,7,1),2)-1)/7)+1,MOD(14+WEEKDAY(DATE(PlanYear,7,1),2)-1,7)+1)=AC$5,", "&amp;15,"")&amp;IF(INDEX($A$41:$G$51,2*INT((15+WEEKDAY(DATE(PlanYear,7,1),2)-1)/7)+1,MOD(15+WEEKDAY(DATE(PlanYear,7,1),2)-1,7)+1)=AC$5,", "&amp;16,"")&amp;IF(INDEX($A$41:$G$51,2*INT((16+WEEKDAY(DATE(PlanYear,7,1),2)-1)/7)+1,MOD(16+WEEKDAY(DATE(PlanYear,7,1),2)-1,7)+1)=AC$5,", "&amp;17,"")&amp;IF(INDEX($A$41:$G$51,2*INT((17+WEEKDAY(DATE(PlanYear,7,1),2)-1)/7)+1,MOD(17+WEEKDAY(DATE(PlanYear,7,1),2)-1,7)+1)=AC$5,", "&amp;18,"")&amp;IF(INDEX($A$41:$G$51,2*INT((18+WEEKDAY(DATE(PlanYear,7,1),2)-1)/7)+1,MOD(18+WEEKDAY(DATE(PlanYear,7,1),2)-1,7)+1)=AC$5,", "&amp;19,"")&amp;IF(INDEX($A$41:$G$51,2*INT((19+WEEKDAY(DATE(PlanYear,7,1),2)-1)/7)+1,MOD(19+WEEKDAY(DATE(PlanYear,7,1),2)-1,7)+1)=AC$5,", "&amp;20,"")&amp;IF(INDEX($A$41:$G$51,2*INT((20+WEEKDAY(DATE(PlanYear,7,1),2)-1)/7)+1,MOD(20+WEEKDAY(DATE(PlanYear,7,1),2)-1,7)+1)=AC$5,", "&amp;21,"")&amp;IF(INDEX($A$41:$G$51,2*INT((21+WEEKDAY(DATE(PlanYear,7,1),2)-1)/7)+1,MOD(21+WEEKDAY(DATE(PlanYear,7,1),2)-1,7)+1)=AC$5,", "&amp;22,"")&amp;IF(INDEX($A$41:$G$51,2*INT((22+WEEKDAY(DATE(PlanYear,7,1),2)-1)/7)+1,MOD(22+WEEKDAY(DATE(PlanYear,7,1),2)-1,7)+1)=AC$5,", "&amp;23,"")&amp;IF(INDEX($A$41:$G$51,2*INT((23+WEEKDAY(DATE(PlanYear,7,1),2)-1)/7)+1,MOD(23+WEEKDAY(DATE(PlanYear,7,1),2)-1,7)+1)=AC$5,", "&amp;24,"")&amp;IF(INDEX($A$41:$G$51,2*INT((24+WEEKDAY(DATE(PlanYear,7,1),2)-1)/7)+1,MOD(24+WEEKDAY(DATE(PlanYear,7,1),2)-1,7)+1)=AC$5,", "&amp;25,"")&amp;IF(INDEX($A$41:$G$51,2*INT((25+WEEKDAY(DATE(PlanYear,7,1),2)-1)/7)+1,MOD(25+WEEKDAY(DATE(PlanYear,7,1),2)-1,7)+1)=AC$5,", "&amp;26,"")&amp;IF(INDEX($A$41:$G$51,2*INT((26+WEEKDAY(DATE(PlanYear,7,1),2)-1)/7)+1,MOD(26+WEEKDAY(DATE(PlanYear,7,1),2)-1,7)+1)=AC$5,", "&amp;27,"")&amp;IF(INDEX($A$41:$G$51,2*INT((27+WEEKDAY(DATE(PlanYear,7,1),2)-1)/7)+1,MOD(27+WEEKDAY(DATE(PlanYear,7,1),2)-1,7)+1)=AC$5,", "&amp;28,"")&amp;IF(INDEX($A$41:$G$51,2*INT((28+WEEKDAY(DATE(PlanYear,7,1),2)-1)/7)+1,MOD(28+WEEKDAY(DATE(PlanYear,7,1),2)-1,7)+1)=AC$5,", "&amp;29,"")&amp;IF(INDEX($A$41:$G$51,2*INT((29+WEEKDAY(DATE(PlanYear,7,1),2)-1)/7)+1,MOD(29+WEEKDAY(DATE(PlanYear,7,1),2)-1,7)+1)=AC$5,", "&amp;30,"")&amp;IF(INDEX($A$41:$G$51,2*INT((30+WEEKDAY(DATE(PlanYear,7,1),2)-1)/7)+1,MOD(30+WEEKDAY(DATE(PlanYear,7,1),2)-1,7)+1)=AC$5,", "&amp;31,""),3,200))</f>
        <v/>
      </c>
      <c r="AD12" s="16">
        <f>IF(AD$5="","",MID(IF(INDEX($A$41:$G$51,2*INT((0+WEEKDAY(DATE(PlanYear,7,1),2)-1)/7)+1,MOD(0+WEEKDAY(DATE(PlanYear,7,1),2)-1,7)+1)=AD$5,", "&amp;1,"")&amp;IF(INDEX($A$41:$G$51,2*INT((1+WEEKDAY(DATE(PlanYear,7,1),2)-1)/7)+1,MOD(1+WEEKDAY(DATE(PlanYear,7,1),2)-1,7)+1)=AD$5,", "&amp;2,"")&amp;IF(INDEX($A$41:$G$51,2*INT((2+WEEKDAY(DATE(PlanYear,7,1),2)-1)/7)+1,MOD(2+WEEKDAY(DATE(PlanYear,7,1),2)-1,7)+1)=AD$5,", "&amp;3,"")&amp;IF(INDEX($A$41:$G$51,2*INT((3+WEEKDAY(DATE(PlanYear,7,1),2)-1)/7)+1,MOD(3+WEEKDAY(DATE(PlanYear,7,1),2)-1,7)+1)=AD$5,", "&amp;4,"")&amp;IF(INDEX($A$41:$G$51,2*INT((4+WEEKDAY(DATE(PlanYear,7,1),2)-1)/7)+1,MOD(4+WEEKDAY(DATE(PlanYear,7,1),2)-1,7)+1)=AD$5,", "&amp;5,"")&amp;IF(INDEX($A$41:$G$51,2*INT((5+WEEKDAY(DATE(PlanYear,7,1),2)-1)/7)+1,MOD(5+WEEKDAY(DATE(PlanYear,7,1),2)-1,7)+1)=AD$5,", "&amp;6,"")&amp;IF(INDEX($A$41:$G$51,2*INT((6+WEEKDAY(DATE(PlanYear,7,1),2)-1)/7)+1,MOD(6+WEEKDAY(DATE(PlanYear,7,1),2)-1,7)+1)=AD$5,", "&amp;7,"")&amp;IF(INDEX($A$41:$G$51,2*INT((7+WEEKDAY(DATE(PlanYear,7,1),2)-1)/7)+1,MOD(7+WEEKDAY(DATE(PlanYear,7,1),2)-1,7)+1)=AD$5,", "&amp;8,"")&amp;IF(INDEX($A$41:$G$51,2*INT((8+WEEKDAY(DATE(PlanYear,7,1),2)-1)/7)+1,MOD(8+WEEKDAY(DATE(PlanYear,7,1),2)-1,7)+1)=AD$5,", "&amp;9,"")&amp;IF(INDEX($A$41:$G$51,2*INT((9+WEEKDAY(DATE(PlanYear,7,1),2)-1)/7)+1,MOD(9+WEEKDAY(DATE(PlanYear,7,1),2)-1,7)+1)=AD$5,", "&amp;10,"")&amp;IF(INDEX($A$41:$G$51,2*INT((10+WEEKDAY(DATE(PlanYear,7,1),2)-1)/7)+1,MOD(10+WEEKDAY(DATE(PlanYear,7,1),2)-1,7)+1)=AD$5,", "&amp;11,"")&amp;IF(INDEX($A$41:$G$51,2*INT((11+WEEKDAY(DATE(PlanYear,7,1),2)-1)/7)+1,MOD(11+WEEKDAY(DATE(PlanYear,7,1),2)-1,7)+1)=AD$5,", "&amp;12,"")&amp;IF(INDEX($A$41:$G$51,2*INT((12+WEEKDAY(DATE(PlanYear,7,1),2)-1)/7)+1,MOD(12+WEEKDAY(DATE(PlanYear,7,1),2)-1,7)+1)=AD$5,", "&amp;13,"")&amp;IF(INDEX($A$41:$G$51,2*INT((13+WEEKDAY(DATE(PlanYear,7,1),2)-1)/7)+1,MOD(13+WEEKDAY(DATE(PlanYear,7,1),2)-1,7)+1)=AD$5,", "&amp;14,"")&amp;IF(INDEX($A$41:$G$51,2*INT((14+WEEKDAY(DATE(PlanYear,7,1),2)-1)/7)+1,MOD(14+WEEKDAY(DATE(PlanYear,7,1),2)-1,7)+1)=AD$5,", "&amp;15,"")&amp;IF(INDEX($A$41:$G$51,2*INT((15+WEEKDAY(DATE(PlanYear,7,1),2)-1)/7)+1,MOD(15+WEEKDAY(DATE(PlanYear,7,1),2)-1,7)+1)=AD$5,", "&amp;16,"")&amp;IF(INDEX($A$41:$G$51,2*INT((16+WEEKDAY(DATE(PlanYear,7,1),2)-1)/7)+1,MOD(16+WEEKDAY(DATE(PlanYear,7,1),2)-1,7)+1)=AD$5,", "&amp;17,"")&amp;IF(INDEX($A$41:$G$51,2*INT((17+WEEKDAY(DATE(PlanYear,7,1),2)-1)/7)+1,MOD(17+WEEKDAY(DATE(PlanYear,7,1),2)-1,7)+1)=AD$5,", "&amp;18,"")&amp;IF(INDEX($A$41:$G$51,2*INT((18+WEEKDAY(DATE(PlanYear,7,1),2)-1)/7)+1,MOD(18+WEEKDAY(DATE(PlanYear,7,1),2)-1,7)+1)=AD$5,", "&amp;19,"")&amp;IF(INDEX($A$41:$G$51,2*INT((19+WEEKDAY(DATE(PlanYear,7,1),2)-1)/7)+1,MOD(19+WEEKDAY(DATE(PlanYear,7,1),2)-1,7)+1)=AD$5,", "&amp;20,"")&amp;IF(INDEX($A$41:$G$51,2*INT((20+WEEKDAY(DATE(PlanYear,7,1),2)-1)/7)+1,MOD(20+WEEKDAY(DATE(PlanYear,7,1),2)-1,7)+1)=AD$5,", "&amp;21,"")&amp;IF(INDEX($A$41:$G$51,2*INT((21+WEEKDAY(DATE(PlanYear,7,1),2)-1)/7)+1,MOD(21+WEEKDAY(DATE(PlanYear,7,1),2)-1,7)+1)=AD$5,", "&amp;22,"")&amp;IF(INDEX($A$41:$G$51,2*INT((22+WEEKDAY(DATE(PlanYear,7,1),2)-1)/7)+1,MOD(22+WEEKDAY(DATE(PlanYear,7,1),2)-1,7)+1)=AD$5,", "&amp;23,"")&amp;IF(INDEX($A$41:$G$51,2*INT((23+WEEKDAY(DATE(PlanYear,7,1),2)-1)/7)+1,MOD(23+WEEKDAY(DATE(PlanYear,7,1),2)-1,7)+1)=AD$5,", "&amp;24,"")&amp;IF(INDEX($A$41:$G$51,2*INT((24+WEEKDAY(DATE(PlanYear,7,1),2)-1)/7)+1,MOD(24+WEEKDAY(DATE(PlanYear,7,1),2)-1,7)+1)=AD$5,", "&amp;25,"")&amp;IF(INDEX($A$41:$G$51,2*INT((25+WEEKDAY(DATE(PlanYear,7,1),2)-1)/7)+1,MOD(25+WEEKDAY(DATE(PlanYear,7,1),2)-1,7)+1)=AD$5,", "&amp;26,"")&amp;IF(INDEX($A$41:$G$51,2*INT((26+WEEKDAY(DATE(PlanYear,7,1),2)-1)/7)+1,MOD(26+WEEKDAY(DATE(PlanYear,7,1),2)-1,7)+1)=AD$5,", "&amp;27,"")&amp;IF(INDEX($A$41:$G$51,2*INT((27+WEEKDAY(DATE(PlanYear,7,1),2)-1)/7)+1,MOD(27+WEEKDAY(DATE(PlanYear,7,1),2)-1,7)+1)=AD$5,", "&amp;28,"")&amp;IF(INDEX($A$41:$G$51,2*INT((28+WEEKDAY(DATE(PlanYear,7,1),2)-1)/7)+1,MOD(28+WEEKDAY(DATE(PlanYear,7,1),2)-1,7)+1)=AD$5,", "&amp;29,"")&amp;IF(INDEX($A$41:$G$51,2*INT((29+WEEKDAY(DATE(PlanYear,7,1),2)-1)/7)+1,MOD(29+WEEKDAY(DATE(PlanYear,7,1),2)-1,7)+1)=AD$5,", "&amp;30,"")&amp;IF(INDEX($A$41:$G$51,2*INT((30+WEEKDAY(DATE(PlanYear,7,1),2)-1)/7)+1,MOD(30+WEEKDAY(DATE(PlanYear,7,1),2)-1,7)+1)=AD$5,", "&amp;31,""),3,200))</f>
        <v/>
      </c>
      <c r="AE12" s="16">
        <f>IF(AE$5="","",MID(IF(INDEX($A$41:$G$51,2*INT((0+WEEKDAY(DATE(PlanYear,7,1),2)-1)/7)+1,MOD(0+WEEKDAY(DATE(PlanYear,7,1),2)-1,7)+1)=AE$5,", "&amp;1,"")&amp;IF(INDEX($A$41:$G$51,2*INT((1+WEEKDAY(DATE(PlanYear,7,1),2)-1)/7)+1,MOD(1+WEEKDAY(DATE(PlanYear,7,1),2)-1,7)+1)=AE$5,", "&amp;2,"")&amp;IF(INDEX($A$41:$G$51,2*INT((2+WEEKDAY(DATE(PlanYear,7,1),2)-1)/7)+1,MOD(2+WEEKDAY(DATE(PlanYear,7,1),2)-1,7)+1)=AE$5,", "&amp;3,"")&amp;IF(INDEX($A$41:$G$51,2*INT((3+WEEKDAY(DATE(PlanYear,7,1),2)-1)/7)+1,MOD(3+WEEKDAY(DATE(PlanYear,7,1),2)-1,7)+1)=AE$5,", "&amp;4,"")&amp;IF(INDEX($A$41:$G$51,2*INT((4+WEEKDAY(DATE(PlanYear,7,1),2)-1)/7)+1,MOD(4+WEEKDAY(DATE(PlanYear,7,1),2)-1,7)+1)=AE$5,", "&amp;5,"")&amp;IF(INDEX($A$41:$G$51,2*INT((5+WEEKDAY(DATE(PlanYear,7,1),2)-1)/7)+1,MOD(5+WEEKDAY(DATE(PlanYear,7,1),2)-1,7)+1)=AE$5,", "&amp;6,"")&amp;IF(INDEX($A$41:$G$51,2*INT((6+WEEKDAY(DATE(PlanYear,7,1),2)-1)/7)+1,MOD(6+WEEKDAY(DATE(PlanYear,7,1),2)-1,7)+1)=AE$5,", "&amp;7,"")&amp;IF(INDEX($A$41:$G$51,2*INT((7+WEEKDAY(DATE(PlanYear,7,1),2)-1)/7)+1,MOD(7+WEEKDAY(DATE(PlanYear,7,1),2)-1,7)+1)=AE$5,", "&amp;8,"")&amp;IF(INDEX($A$41:$G$51,2*INT((8+WEEKDAY(DATE(PlanYear,7,1),2)-1)/7)+1,MOD(8+WEEKDAY(DATE(PlanYear,7,1),2)-1,7)+1)=AE$5,", "&amp;9,"")&amp;IF(INDEX($A$41:$G$51,2*INT((9+WEEKDAY(DATE(PlanYear,7,1),2)-1)/7)+1,MOD(9+WEEKDAY(DATE(PlanYear,7,1),2)-1,7)+1)=AE$5,", "&amp;10,"")&amp;IF(INDEX($A$41:$G$51,2*INT((10+WEEKDAY(DATE(PlanYear,7,1),2)-1)/7)+1,MOD(10+WEEKDAY(DATE(PlanYear,7,1),2)-1,7)+1)=AE$5,", "&amp;11,"")&amp;IF(INDEX($A$41:$G$51,2*INT((11+WEEKDAY(DATE(PlanYear,7,1),2)-1)/7)+1,MOD(11+WEEKDAY(DATE(PlanYear,7,1),2)-1,7)+1)=AE$5,", "&amp;12,"")&amp;IF(INDEX($A$41:$G$51,2*INT((12+WEEKDAY(DATE(PlanYear,7,1),2)-1)/7)+1,MOD(12+WEEKDAY(DATE(PlanYear,7,1),2)-1,7)+1)=AE$5,", "&amp;13,"")&amp;IF(INDEX($A$41:$G$51,2*INT((13+WEEKDAY(DATE(PlanYear,7,1),2)-1)/7)+1,MOD(13+WEEKDAY(DATE(PlanYear,7,1),2)-1,7)+1)=AE$5,", "&amp;14,"")&amp;IF(INDEX($A$41:$G$51,2*INT((14+WEEKDAY(DATE(PlanYear,7,1),2)-1)/7)+1,MOD(14+WEEKDAY(DATE(PlanYear,7,1),2)-1,7)+1)=AE$5,", "&amp;15,"")&amp;IF(INDEX($A$41:$G$51,2*INT((15+WEEKDAY(DATE(PlanYear,7,1),2)-1)/7)+1,MOD(15+WEEKDAY(DATE(PlanYear,7,1),2)-1,7)+1)=AE$5,", "&amp;16,"")&amp;IF(INDEX($A$41:$G$51,2*INT((16+WEEKDAY(DATE(PlanYear,7,1),2)-1)/7)+1,MOD(16+WEEKDAY(DATE(PlanYear,7,1),2)-1,7)+1)=AE$5,", "&amp;17,"")&amp;IF(INDEX($A$41:$G$51,2*INT((17+WEEKDAY(DATE(PlanYear,7,1),2)-1)/7)+1,MOD(17+WEEKDAY(DATE(PlanYear,7,1),2)-1,7)+1)=AE$5,", "&amp;18,"")&amp;IF(INDEX($A$41:$G$51,2*INT((18+WEEKDAY(DATE(PlanYear,7,1),2)-1)/7)+1,MOD(18+WEEKDAY(DATE(PlanYear,7,1),2)-1,7)+1)=AE$5,", "&amp;19,"")&amp;IF(INDEX($A$41:$G$51,2*INT((19+WEEKDAY(DATE(PlanYear,7,1),2)-1)/7)+1,MOD(19+WEEKDAY(DATE(PlanYear,7,1),2)-1,7)+1)=AE$5,", "&amp;20,"")&amp;IF(INDEX($A$41:$G$51,2*INT((20+WEEKDAY(DATE(PlanYear,7,1),2)-1)/7)+1,MOD(20+WEEKDAY(DATE(PlanYear,7,1),2)-1,7)+1)=AE$5,", "&amp;21,"")&amp;IF(INDEX($A$41:$G$51,2*INT((21+WEEKDAY(DATE(PlanYear,7,1),2)-1)/7)+1,MOD(21+WEEKDAY(DATE(PlanYear,7,1),2)-1,7)+1)=AE$5,", "&amp;22,"")&amp;IF(INDEX($A$41:$G$51,2*INT((22+WEEKDAY(DATE(PlanYear,7,1),2)-1)/7)+1,MOD(22+WEEKDAY(DATE(PlanYear,7,1),2)-1,7)+1)=AE$5,", "&amp;23,"")&amp;IF(INDEX($A$41:$G$51,2*INT((23+WEEKDAY(DATE(PlanYear,7,1),2)-1)/7)+1,MOD(23+WEEKDAY(DATE(PlanYear,7,1),2)-1,7)+1)=AE$5,", "&amp;24,"")&amp;IF(INDEX($A$41:$G$51,2*INT((24+WEEKDAY(DATE(PlanYear,7,1),2)-1)/7)+1,MOD(24+WEEKDAY(DATE(PlanYear,7,1),2)-1,7)+1)=AE$5,", "&amp;25,"")&amp;IF(INDEX($A$41:$G$51,2*INT((25+WEEKDAY(DATE(PlanYear,7,1),2)-1)/7)+1,MOD(25+WEEKDAY(DATE(PlanYear,7,1),2)-1,7)+1)=AE$5,", "&amp;26,"")&amp;IF(INDEX($A$41:$G$51,2*INT((26+WEEKDAY(DATE(PlanYear,7,1),2)-1)/7)+1,MOD(26+WEEKDAY(DATE(PlanYear,7,1),2)-1,7)+1)=AE$5,", "&amp;27,"")&amp;IF(INDEX($A$41:$G$51,2*INT((27+WEEKDAY(DATE(PlanYear,7,1),2)-1)/7)+1,MOD(27+WEEKDAY(DATE(PlanYear,7,1),2)-1,7)+1)=AE$5,", "&amp;28,"")&amp;IF(INDEX($A$41:$G$51,2*INT((28+WEEKDAY(DATE(PlanYear,7,1),2)-1)/7)+1,MOD(28+WEEKDAY(DATE(PlanYear,7,1),2)-1,7)+1)=AE$5,", "&amp;29,"")&amp;IF(INDEX($A$41:$G$51,2*INT((29+WEEKDAY(DATE(PlanYear,7,1),2)-1)/7)+1,MOD(29+WEEKDAY(DATE(PlanYear,7,1),2)-1,7)+1)=AE$5,", "&amp;30,"")&amp;IF(INDEX($A$41:$G$51,2*INT((30+WEEKDAY(DATE(PlanYear,7,1),2)-1)/7)+1,MOD(30+WEEKDAY(DATE(PlanYear,7,1),2)-1,7)+1)=AE$5,", "&amp;31,""),3,200))</f>
        <v/>
      </c>
      <c r="AF12" s="16">
        <f>IF(AF$5="","",MID(IF(INDEX($A$41:$G$51,2*INT((0+WEEKDAY(DATE(PlanYear,7,1),2)-1)/7)+1,MOD(0+WEEKDAY(DATE(PlanYear,7,1),2)-1,7)+1)=AF$5,", "&amp;1,"")&amp;IF(INDEX($A$41:$G$51,2*INT((1+WEEKDAY(DATE(PlanYear,7,1),2)-1)/7)+1,MOD(1+WEEKDAY(DATE(PlanYear,7,1),2)-1,7)+1)=AF$5,", "&amp;2,"")&amp;IF(INDEX($A$41:$G$51,2*INT((2+WEEKDAY(DATE(PlanYear,7,1),2)-1)/7)+1,MOD(2+WEEKDAY(DATE(PlanYear,7,1),2)-1,7)+1)=AF$5,", "&amp;3,"")&amp;IF(INDEX($A$41:$G$51,2*INT((3+WEEKDAY(DATE(PlanYear,7,1),2)-1)/7)+1,MOD(3+WEEKDAY(DATE(PlanYear,7,1),2)-1,7)+1)=AF$5,", "&amp;4,"")&amp;IF(INDEX($A$41:$G$51,2*INT((4+WEEKDAY(DATE(PlanYear,7,1),2)-1)/7)+1,MOD(4+WEEKDAY(DATE(PlanYear,7,1),2)-1,7)+1)=AF$5,", "&amp;5,"")&amp;IF(INDEX($A$41:$G$51,2*INT((5+WEEKDAY(DATE(PlanYear,7,1),2)-1)/7)+1,MOD(5+WEEKDAY(DATE(PlanYear,7,1),2)-1,7)+1)=AF$5,", "&amp;6,"")&amp;IF(INDEX($A$41:$G$51,2*INT((6+WEEKDAY(DATE(PlanYear,7,1),2)-1)/7)+1,MOD(6+WEEKDAY(DATE(PlanYear,7,1),2)-1,7)+1)=AF$5,", "&amp;7,"")&amp;IF(INDEX($A$41:$G$51,2*INT((7+WEEKDAY(DATE(PlanYear,7,1),2)-1)/7)+1,MOD(7+WEEKDAY(DATE(PlanYear,7,1),2)-1,7)+1)=AF$5,", "&amp;8,"")&amp;IF(INDEX($A$41:$G$51,2*INT((8+WEEKDAY(DATE(PlanYear,7,1),2)-1)/7)+1,MOD(8+WEEKDAY(DATE(PlanYear,7,1),2)-1,7)+1)=AF$5,", "&amp;9,"")&amp;IF(INDEX($A$41:$G$51,2*INT((9+WEEKDAY(DATE(PlanYear,7,1),2)-1)/7)+1,MOD(9+WEEKDAY(DATE(PlanYear,7,1),2)-1,7)+1)=AF$5,", "&amp;10,"")&amp;IF(INDEX($A$41:$G$51,2*INT((10+WEEKDAY(DATE(PlanYear,7,1),2)-1)/7)+1,MOD(10+WEEKDAY(DATE(PlanYear,7,1),2)-1,7)+1)=AF$5,", "&amp;11,"")&amp;IF(INDEX($A$41:$G$51,2*INT((11+WEEKDAY(DATE(PlanYear,7,1),2)-1)/7)+1,MOD(11+WEEKDAY(DATE(PlanYear,7,1),2)-1,7)+1)=AF$5,", "&amp;12,"")&amp;IF(INDEX($A$41:$G$51,2*INT((12+WEEKDAY(DATE(PlanYear,7,1),2)-1)/7)+1,MOD(12+WEEKDAY(DATE(PlanYear,7,1),2)-1,7)+1)=AF$5,", "&amp;13,"")&amp;IF(INDEX($A$41:$G$51,2*INT((13+WEEKDAY(DATE(PlanYear,7,1),2)-1)/7)+1,MOD(13+WEEKDAY(DATE(PlanYear,7,1),2)-1,7)+1)=AF$5,", "&amp;14,"")&amp;IF(INDEX($A$41:$G$51,2*INT((14+WEEKDAY(DATE(PlanYear,7,1),2)-1)/7)+1,MOD(14+WEEKDAY(DATE(PlanYear,7,1),2)-1,7)+1)=AF$5,", "&amp;15,"")&amp;IF(INDEX($A$41:$G$51,2*INT((15+WEEKDAY(DATE(PlanYear,7,1),2)-1)/7)+1,MOD(15+WEEKDAY(DATE(PlanYear,7,1),2)-1,7)+1)=AF$5,", "&amp;16,"")&amp;IF(INDEX($A$41:$G$51,2*INT((16+WEEKDAY(DATE(PlanYear,7,1),2)-1)/7)+1,MOD(16+WEEKDAY(DATE(PlanYear,7,1),2)-1,7)+1)=AF$5,", "&amp;17,"")&amp;IF(INDEX($A$41:$G$51,2*INT((17+WEEKDAY(DATE(PlanYear,7,1),2)-1)/7)+1,MOD(17+WEEKDAY(DATE(PlanYear,7,1),2)-1,7)+1)=AF$5,", "&amp;18,"")&amp;IF(INDEX($A$41:$G$51,2*INT((18+WEEKDAY(DATE(PlanYear,7,1),2)-1)/7)+1,MOD(18+WEEKDAY(DATE(PlanYear,7,1),2)-1,7)+1)=AF$5,", "&amp;19,"")&amp;IF(INDEX($A$41:$G$51,2*INT((19+WEEKDAY(DATE(PlanYear,7,1),2)-1)/7)+1,MOD(19+WEEKDAY(DATE(PlanYear,7,1),2)-1,7)+1)=AF$5,", "&amp;20,"")&amp;IF(INDEX($A$41:$G$51,2*INT((20+WEEKDAY(DATE(PlanYear,7,1),2)-1)/7)+1,MOD(20+WEEKDAY(DATE(PlanYear,7,1),2)-1,7)+1)=AF$5,", "&amp;21,"")&amp;IF(INDEX($A$41:$G$51,2*INT((21+WEEKDAY(DATE(PlanYear,7,1),2)-1)/7)+1,MOD(21+WEEKDAY(DATE(PlanYear,7,1),2)-1,7)+1)=AF$5,", "&amp;22,"")&amp;IF(INDEX($A$41:$G$51,2*INT((22+WEEKDAY(DATE(PlanYear,7,1),2)-1)/7)+1,MOD(22+WEEKDAY(DATE(PlanYear,7,1),2)-1,7)+1)=AF$5,", "&amp;23,"")&amp;IF(INDEX($A$41:$G$51,2*INT((23+WEEKDAY(DATE(PlanYear,7,1),2)-1)/7)+1,MOD(23+WEEKDAY(DATE(PlanYear,7,1),2)-1,7)+1)=AF$5,", "&amp;24,"")&amp;IF(INDEX($A$41:$G$51,2*INT((24+WEEKDAY(DATE(PlanYear,7,1),2)-1)/7)+1,MOD(24+WEEKDAY(DATE(PlanYear,7,1),2)-1,7)+1)=AF$5,", "&amp;25,"")&amp;IF(INDEX($A$41:$G$51,2*INT((25+WEEKDAY(DATE(PlanYear,7,1),2)-1)/7)+1,MOD(25+WEEKDAY(DATE(PlanYear,7,1),2)-1,7)+1)=AF$5,", "&amp;26,"")&amp;IF(INDEX($A$41:$G$51,2*INT((26+WEEKDAY(DATE(PlanYear,7,1),2)-1)/7)+1,MOD(26+WEEKDAY(DATE(PlanYear,7,1),2)-1,7)+1)=AF$5,", "&amp;27,"")&amp;IF(INDEX($A$41:$G$51,2*INT((27+WEEKDAY(DATE(PlanYear,7,1),2)-1)/7)+1,MOD(27+WEEKDAY(DATE(PlanYear,7,1),2)-1,7)+1)=AF$5,", "&amp;28,"")&amp;IF(INDEX($A$41:$G$51,2*INT((28+WEEKDAY(DATE(PlanYear,7,1),2)-1)/7)+1,MOD(28+WEEKDAY(DATE(PlanYear,7,1),2)-1,7)+1)=AF$5,", "&amp;29,"")&amp;IF(INDEX($A$41:$G$51,2*INT((29+WEEKDAY(DATE(PlanYear,7,1),2)-1)/7)+1,MOD(29+WEEKDAY(DATE(PlanYear,7,1),2)-1,7)+1)=AF$5,", "&amp;30,"")&amp;IF(INDEX($A$41:$G$51,2*INT((30+WEEKDAY(DATE(PlanYear,7,1),2)-1)/7)+1,MOD(30+WEEKDAY(DATE(PlanYear,7,1),2)-1,7)+1)=AF$5,", "&amp;31,""),3,200))</f>
        <v/>
      </c>
      <c r="AG12" s="16">
        <f>IF(AG$5="","",MID(IF(INDEX($A$41:$G$51,2*INT((0+WEEKDAY(DATE(PlanYear,7,1),2)-1)/7)+1,MOD(0+WEEKDAY(DATE(PlanYear,7,1),2)-1,7)+1)=AG$5,", "&amp;1,"")&amp;IF(INDEX($A$41:$G$51,2*INT((1+WEEKDAY(DATE(PlanYear,7,1),2)-1)/7)+1,MOD(1+WEEKDAY(DATE(PlanYear,7,1),2)-1,7)+1)=AG$5,", "&amp;2,"")&amp;IF(INDEX($A$41:$G$51,2*INT((2+WEEKDAY(DATE(PlanYear,7,1),2)-1)/7)+1,MOD(2+WEEKDAY(DATE(PlanYear,7,1),2)-1,7)+1)=AG$5,", "&amp;3,"")&amp;IF(INDEX($A$41:$G$51,2*INT((3+WEEKDAY(DATE(PlanYear,7,1),2)-1)/7)+1,MOD(3+WEEKDAY(DATE(PlanYear,7,1),2)-1,7)+1)=AG$5,", "&amp;4,"")&amp;IF(INDEX($A$41:$G$51,2*INT((4+WEEKDAY(DATE(PlanYear,7,1),2)-1)/7)+1,MOD(4+WEEKDAY(DATE(PlanYear,7,1),2)-1,7)+1)=AG$5,", "&amp;5,"")&amp;IF(INDEX($A$41:$G$51,2*INT((5+WEEKDAY(DATE(PlanYear,7,1),2)-1)/7)+1,MOD(5+WEEKDAY(DATE(PlanYear,7,1),2)-1,7)+1)=AG$5,", "&amp;6,"")&amp;IF(INDEX($A$41:$G$51,2*INT((6+WEEKDAY(DATE(PlanYear,7,1),2)-1)/7)+1,MOD(6+WEEKDAY(DATE(PlanYear,7,1),2)-1,7)+1)=AG$5,", "&amp;7,"")&amp;IF(INDEX($A$41:$G$51,2*INT((7+WEEKDAY(DATE(PlanYear,7,1),2)-1)/7)+1,MOD(7+WEEKDAY(DATE(PlanYear,7,1),2)-1,7)+1)=AG$5,", "&amp;8,"")&amp;IF(INDEX($A$41:$G$51,2*INT((8+WEEKDAY(DATE(PlanYear,7,1),2)-1)/7)+1,MOD(8+WEEKDAY(DATE(PlanYear,7,1),2)-1,7)+1)=AG$5,", "&amp;9,"")&amp;IF(INDEX($A$41:$G$51,2*INT((9+WEEKDAY(DATE(PlanYear,7,1),2)-1)/7)+1,MOD(9+WEEKDAY(DATE(PlanYear,7,1),2)-1,7)+1)=AG$5,", "&amp;10,"")&amp;IF(INDEX($A$41:$G$51,2*INT((10+WEEKDAY(DATE(PlanYear,7,1),2)-1)/7)+1,MOD(10+WEEKDAY(DATE(PlanYear,7,1),2)-1,7)+1)=AG$5,", "&amp;11,"")&amp;IF(INDEX($A$41:$G$51,2*INT((11+WEEKDAY(DATE(PlanYear,7,1),2)-1)/7)+1,MOD(11+WEEKDAY(DATE(PlanYear,7,1),2)-1,7)+1)=AG$5,", "&amp;12,"")&amp;IF(INDEX($A$41:$G$51,2*INT((12+WEEKDAY(DATE(PlanYear,7,1),2)-1)/7)+1,MOD(12+WEEKDAY(DATE(PlanYear,7,1),2)-1,7)+1)=AG$5,", "&amp;13,"")&amp;IF(INDEX($A$41:$G$51,2*INT((13+WEEKDAY(DATE(PlanYear,7,1),2)-1)/7)+1,MOD(13+WEEKDAY(DATE(PlanYear,7,1),2)-1,7)+1)=AG$5,", "&amp;14,"")&amp;IF(INDEX($A$41:$G$51,2*INT((14+WEEKDAY(DATE(PlanYear,7,1),2)-1)/7)+1,MOD(14+WEEKDAY(DATE(PlanYear,7,1),2)-1,7)+1)=AG$5,", "&amp;15,"")&amp;IF(INDEX($A$41:$G$51,2*INT((15+WEEKDAY(DATE(PlanYear,7,1),2)-1)/7)+1,MOD(15+WEEKDAY(DATE(PlanYear,7,1),2)-1,7)+1)=AG$5,", "&amp;16,"")&amp;IF(INDEX($A$41:$G$51,2*INT((16+WEEKDAY(DATE(PlanYear,7,1),2)-1)/7)+1,MOD(16+WEEKDAY(DATE(PlanYear,7,1),2)-1,7)+1)=AG$5,", "&amp;17,"")&amp;IF(INDEX($A$41:$G$51,2*INT((17+WEEKDAY(DATE(PlanYear,7,1),2)-1)/7)+1,MOD(17+WEEKDAY(DATE(PlanYear,7,1),2)-1,7)+1)=AG$5,", "&amp;18,"")&amp;IF(INDEX($A$41:$G$51,2*INT((18+WEEKDAY(DATE(PlanYear,7,1),2)-1)/7)+1,MOD(18+WEEKDAY(DATE(PlanYear,7,1),2)-1,7)+1)=AG$5,", "&amp;19,"")&amp;IF(INDEX($A$41:$G$51,2*INT((19+WEEKDAY(DATE(PlanYear,7,1),2)-1)/7)+1,MOD(19+WEEKDAY(DATE(PlanYear,7,1),2)-1,7)+1)=AG$5,", "&amp;20,"")&amp;IF(INDEX($A$41:$G$51,2*INT((20+WEEKDAY(DATE(PlanYear,7,1),2)-1)/7)+1,MOD(20+WEEKDAY(DATE(PlanYear,7,1),2)-1,7)+1)=AG$5,", "&amp;21,"")&amp;IF(INDEX($A$41:$G$51,2*INT((21+WEEKDAY(DATE(PlanYear,7,1),2)-1)/7)+1,MOD(21+WEEKDAY(DATE(PlanYear,7,1),2)-1,7)+1)=AG$5,", "&amp;22,"")&amp;IF(INDEX($A$41:$G$51,2*INT((22+WEEKDAY(DATE(PlanYear,7,1),2)-1)/7)+1,MOD(22+WEEKDAY(DATE(PlanYear,7,1),2)-1,7)+1)=AG$5,", "&amp;23,"")&amp;IF(INDEX($A$41:$G$51,2*INT((23+WEEKDAY(DATE(PlanYear,7,1),2)-1)/7)+1,MOD(23+WEEKDAY(DATE(PlanYear,7,1),2)-1,7)+1)=AG$5,", "&amp;24,"")&amp;IF(INDEX($A$41:$G$51,2*INT((24+WEEKDAY(DATE(PlanYear,7,1),2)-1)/7)+1,MOD(24+WEEKDAY(DATE(PlanYear,7,1),2)-1,7)+1)=AG$5,", "&amp;25,"")&amp;IF(INDEX($A$41:$G$51,2*INT((25+WEEKDAY(DATE(PlanYear,7,1),2)-1)/7)+1,MOD(25+WEEKDAY(DATE(PlanYear,7,1),2)-1,7)+1)=AG$5,", "&amp;26,"")&amp;IF(INDEX($A$41:$G$51,2*INT((26+WEEKDAY(DATE(PlanYear,7,1),2)-1)/7)+1,MOD(26+WEEKDAY(DATE(PlanYear,7,1),2)-1,7)+1)=AG$5,", "&amp;27,"")&amp;IF(INDEX($A$41:$G$51,2*INT((27+WEEKDAY(DATE(PlanYear,7,1),2)-1)/7)+1,MOD(27+WEEKDAY(DATE(PlanYear,7,1),2)-1,7)+1)=AG$5,", "&amp;28,"")&amp;IF(INDEX($A$41:$G$51,2*INT((28+WEEKDAY(DATE(PlanYear,7,1),2)-1)/7)+1,MOD(28+WEEKDAY(DATE(PlanYear,7,1),2)-1,7)+1)=AG$5,", "&amp;29,"")&amp;IF(INDEX($A$41:$G$51,2*INT((29+WEEKDAY(DATE(PlanYear,7,1),2)-1)/7)+1,MOD(29+WEEKDAY(DATE(PlanYear,7,1),2)-1,7)+1)=AG$5,", "&amp;30,"")&amp;IF(INDEX($A$41:$G$51,2*INT((30+WEEKDAY(DATE(PlanYear,7,1),2)-1)/7)+1,MOD(30+WEEKDAY(DATE(PlanYear,7,1),2)-1,7)+1)=AG$5,", "&amp;31,""),3,200))</f>
        <v/>
      </c>
      <c r="AH12" s="16">
        <f>IF(AH$5="","",MID(IF(INDEX($A$41:$G$51,2*INT((0+WEEKDAY(DATE(PlanYear,7,1),2)-1)/7)+1,MOD(0+WEEKDAY(DATE(PlanYear,7,1),2)-1,7)+1)=AH$5,", "&amp;1,"")&amp;IF(INDEX($A$41:$G$51,2*INT((1+WEEKDAY(DATE(PlanYear,7,1),2)-1)/7)+1,MOD(1+WEEKDAY(DATE(PlanYear,7,1),2)-1,7)+1)=AH$5,", "&amp;2,"")&amp;IF(INDEX($A$41:$G$51,2*INT((2+WEEKDAY(DATE(PlanYear,7,1),2)-1)/7)+1,MOD(2+WEEKDAY(DATE(PlanYear,7,1),2)-1,7)+1)=AH$5,", "&amp;3,"")&amp;IF(INDEX($A$41:$G$51,2*INT((3+WEEKDAY(DATE(PlanYear,7,1),2)-1)/7)+1,MOD(3+WEEKDAY(DATE(PlanYear,7,1),2)-1,7)+1)=AH$5,", "&amp;4,"")&amp;IF(INDEX($A$41:$G$51,2*INT((4+WEEKDAY(DATE(PlanYear,7,1),2)-1)/7)+1,MOD(4+WEEKDAY(DATE(PlanYear,7,1),2)-1,7)+1)=AH$5,", "&amp;5,"")&amp;IF(INDEX($A$41:$G$51,2*INT((5+WEEKDAY(DATE(PlanYear,7,1),2)-1)/7)+1,MOD(5+WEEKDAY(DATE(PlanYear,7,1),2)-1,7)+1)=AH$5,", "&amp;6,"")&amp;IF(INDEX($A$41:$G$51,2*INT((6+WEEKDAY(DATE(PlanYear,7,1),2)-1)/7)+1,MOD(6+WEEKDAY(DATE(PlanYear,7,1),2)-1,7)+1)=AH$5,", "&amp;7,"")&amp;IF(INDEX($A$41:$G$51,2*INT((7+WEEKDAY(DATE(PlanYear,7,1),2)-1)/7)+1,MOD(7+WEEKDAY(DATE(PlanYear,7,1),2)-1,7)+1)=AH$5,", "&amp;8,"")&amp;IF(INDEX($A$41:$G$51,2*INT((8+WEEKDAY(DATE(PlanYear,7,1),2)-1)/7)+1,MOD(8+WEEKDAY(DATE(PlanYear,7,1),2)-1,7)+1)=AH$5,", "&amp;9,"")&amp;IF(INDEX($A$41:$G$51,2*INT((9+WEEKDAY(DATE(PlanYear,7,1),2)-1)/7)+1,MOD(9+WEEKDAY(DATE(PlanYear,7,1),2)-1,7)+1)=AH$5,", "&amp;10,"")&amp;IF(INDEX($A$41:$G$51,2*INT((10+WEEKDAY(DATE(PlanYear,7,1),2)-1)/7)+1,MOD(10+WEEKDAY(DATE(PlanYear,7,1),2)-1,7)+1)=AH$5,", "&amp;11,"")&amp;IF(INDEX($A$41:$G$51,2*INT((11+WEEKDAY(DATE(PlanYear,7,1),2)-1)/7)+1,MOD(11+WEEKDAY(DATE(PlanYear,7,1),2)-1,7)+1)=AH$5,", "&amp;12,"")&amp;IF(INDEX($A$41:$G$51,2*INT((12+WEEKDAY(DATE(PlanYear,7,1),2)-1)/7)+1,MOD(12+WEEKDAY(DATE(PlanYear,7,1),2)-1,7)+1)=AH$5,", "&amp;13,"")&amp;IF(INDEX($A$41:$G$51,2*INT((13+WEEKDAY(DATE(PlanYear,7,1),2)-1)/7)+1,MOD(13+WEEKDAY(DATE(PlanYear,7,1),2)-1,7)+1)=AH$5,", "&amp;14,"")&amp;IF(INDEX($A$41:$G$51,2*INT((14+WEEKDAY(DATE(PlanYear,7,1),2)-1)/7)+1,MOD(14+WEEKDAY(DATE(PlanYear,7,1),2)-1,7)+1)=AH$5,", "&amp;15,"")&amp;IF(INDEX($A$41:$G$51,2*INT((15+WEEKDAY(DATE(PlanYear,7,1),2)-1)/7)+1,MOD(15+WEEKDAY(DATE(PlanYear,7,1),2)-1,7)+1)=AH$5,", "&amp;16,"")&amp;IF(INDEX($A$41:$G$51,2*INT((16+WEEKDAY(DATE(PlanYear,7,1),2)-1)/7)+1,MOD(16+WEEKDAY(DATE(PlanYear,7,1),2)-1,7)+1)=AH$5,", "&amp;17,"")&amp;IF(INDEX($A$41:$G$51,2*INT((17+WEEKDAY(DATE(PlanYear,7,1),2)-1)/7)+1,MOD(17+WEEKDAY(DATE(PlanYear,7,1),2)-1,7)+1)=AH$5,", "&amp;18,"")&amp;IF(INDEX($A$41:$G$51,2*INT((18+WEEKDAY(DATE(PlanYear,7,1),2)-1)/7)+1,MOD(18+WEEKDAY(DATE(PlanYear,7,1),2)-1,7)+1)=AH$5,", "&amp;19,"")&amp;IF(INDEX($A$41:$G$51,2*INT((19+WEEKDAY(DATE(PlanYear,7,1),2)-1)/7)+1,MOD(19+WEEKDAY(DATE(PlanYear,7,1),2)-1,7)+1)=AH$5,", "&amp;20,"")&amp;IF(INDEX($A$41:$G$51,2*INT((20+WEEKDAY(DATE(PlanYear,7,1),2)-1)/7)+1,MOD(20+WEEKDAY(DATE(PlanYear,7,1),2)-1,7)+1)=AH$5,", "&amp;21,"")&amp;IF(INDEX($A$41:$G$51,2*INT((21+WEEKDAY(DATE(PlanYear,7,1),2)-1)/7)+1,MOD(21+WEEKDAY(DATE(PlanYear,7,1),2)-1,7)+1)=AH$5,", "&amp;22,"")&amp;IF(INDEX($A$41:$G$51,2*INT((22+WEEKDAY(DATE(PlanYear,7,1),2)-1)/7)+1,MOD(22+WEEKDAY(DATE(PlanYear,7,1),2)-1,7)+1)=AH$5,", "&amp;23,"")&amp;IF(INDEX($A$41:$G$51,2*INT((23+WEEKDAY(DATE(PlanYear,7,1),2)-1)/7)+1,MOD(23+WEEKDAY(DATE(PlanYear,7,1),2)-1,7)+1)=AH$5,", "&amp;24,"")&amp;IF(INDEX($A$41:$G$51,2*INT((24+WEEKDAY(DATE(PlanYear,7,1),2)-1)/7)+1,MOD(24+WEEKDAY(DATE(PlanYear,7,1),2)-1,7)+1)=AH$5,", "&amp;25,"")&amp;IF(INDEX($A$41:$G$51,2*INT((25+WEEKDAY(DATE(PlanYear,7,1),2)-1)/7)+1,MOD(25+WEEKDAY(DATE(PlanYear,7,1),2)-1,7)+1)=AH$5,", "&amp;26,"")&amp;IF(INDEX($A$41:$G$51,2*INT((26+WEEKDAY(DATE(PlanYear,7,1),2)-1)/7)+1,MOD(26+WEEKDAY(DATE(PlanYear,7,1),2)-1,7)+1)=AH$5,", "&amp;27,"")&amp;IF(INDEX($A$41:$G$51,2*INT((27+WEEKDAY(DATE(PlanYear,7,1),2)-1)/7)+1,MOD(27+WEEKDAY(DATE(PlanYear,7,1),2)-1,7)+1)=AH$5,", "&amp;28,"")&amp;IF(INDEX($A$41:$G$51,2*INT((28+WEEKDAY(DATE(PlanYear,7,1),2)-1)/7)+1,MOD(28+WEEKDAY(DATE(PlanYear,7,1),2)-1,7)+1)=AH$5,", "&amp;29,"")&amp;IF(INDEX($A$41:$G$51,2*INT((29+WEEKDAY(DATE(PlanYear,7,1),2)-1)/7)+1,MOD(29+WEEKDAY(DATE(PlanYear,7,1),2)-1,7)+1)=AH$5,", "&amp;30,"")&amp;IF(INDEX($A$41:$G$51,2*INT((30+WEEKDAY(DATE(PlanYear,7,1),2)-1)/7)+1,MOD(30+WEEKDAY(DATE(PlanYear,7,1),2)-1,7)+1)=AH$5,", "&amp;31,""),3,200))</f>
        <v/>
      </c>
      <c r="AI12" s="16">
        <f>IF(AI$5="","",MID(IF(INDEX($A$41:$G$51,2*INT((0+WEEKDAY(DATE(PlanYear,7,1),2)-1)/7)+1,MOD(0+WEEKDAY(DATE(PlanYear,7,1),2)-1,7)+1)=AI$5,", "&amp;1,"")&amp;IF(INDEX($A$41:$G$51,2*INT((1+WEEKDAY(DATE(PlanYear,7,1),2)-1)/7)+1,MOD(1+WEEKDAY(DATE(PlanYear,7,1),2)-1,7)+1)=AI$5,", "&amp;2,"")&amp;IF(INDEX($A$41:$G$51,2*INT((2+WEEKDAY(DATE(PlanYear,7,1),2)-1)/7)+1,MOD(2+WEEKDAY(DATE(PlanYear,7,1),2)-1,7)+1)=AI$5,", "&amp;3,"")&amp;IF(INDEX($A$41:$G$51,2*INT((3+WEEKDAY(DATE(PlanYear,7,1),2)-1)/7)+1,MOD(3+WEEKDAY(DATE(PlanYear,7,1),2)-1,7)+1)=AI$5,", "&amp;4,"")&amp;IF(INDEX($A$41:$G$51,2*INT((4+WEEKDAY(DATE(PlanYear,7,1),2)-1)/7)+1,MOD(4+WEEKDAY(DATE(PlanYear,7,1),2)-1,7)+1)=AI$5,", "&amp;5,"")&amp;IF(INDEX($A$41:$G$51,2*INT((5+WEEKDAY(DATE(PlanYear,7,1),2)-1)/7)+1,MOD(5+WEEKDAY(DATE(PlanYear,7,1),2)-1,7)+1)=AI$5,", "&amp;6,"")&amp;IF(INDEX($A$41:$G$51,2*INT((6+WEEKDAY(DATE(PlanYear,7,1),2)-1)/7)+1,MOD(6+WEEKDAY(DATE(PlanYear,7,1),2)-1,7)+1)=AI$5,", "&amp;7,"")&amp;IF(INDEX($A$41:$G$51,2*INT((7+WEEKDAY(DATE(PlanYear,7,1),2)-1)/7)+1,MOD(7+WEEKDAY(DATE(PlanYear,7,1),2)-1,7)+1)=AI$5,", "&amp;8,"")&amp;IF(INDEX($A$41:$G$51,2*INT((8+WEEKDAY(DATE(PlanYear,7,1),2)-1)/7)+1,MOD(8+WEEKDAY(DATE(PlanYear,7,1),2)-1,7)+1)=AI$5,", "&amp;9,"")&amp;IF(INDEX($A$41:$G$51,2*INT((9+WEEKDAY(DATE(PlanYear,7,1),2)-1)/7)+1,MOD(9+WEEKDAY(DATE(PlanYear,7,1),2)-1,7)+1)=AI$5,", "&amp;10,"")&amp;IF(INDEX($A$41:$G$51,2*INT((10+WEEKDAY(DATE(PlanYear,7,1),2)-1)/7)+1,MOD(10+WEEKDAY(DATE(PlanYear,7,1),2)-1,7)+1)=AI$5,", "&amp;11,"")&amp;IF(INDEX($A$41:$G$51,2*INT((11+WEEKDAY(DATE(PlanYear,7,1),2)-1)/7)+1,MOD(11+WEEKDAY(DATE(PlanYear,7,1),2)-1,7)+1)=AI$5,", "&amp;12,"")&amp;IF(INDEX($A$41:$G$51,2*INT((12+WEEKDAY(DATE(PlanYear,7,1),2)-1)/7)+1,MOD(12+WEEKDAY(DATE(PlanYear,7,1),2)-1,7)+1)=AI$5,", "&amp;13,"")&amp;IF(INDEX($A$41:$G$51,2*INT((13+WEEKDAY(DATE(PlanYear,7,1),2)-1)/7)+1,MOD(13+WEEKDAY(DATE(PlanYear,7,1),2)-1,7)+1)=AI$5,", "&amp;14,"")&amp;IF(INDEX($A$41:$G$51,2*INT((14+WEEKDAY(DATE(PlanYear,7,1),2)-1)/7)+1,MOD(14+WEEKDAY(DATE(PlanYear,7,1),2)-1,7)+1)=AI$5,", "&amp;15,"")&amp;IF(INDEX($A$41:$G$51,2*INT((15+WEEKDAY(DATE(PlanYear,7,1),2)-1)/7)+1,MOD(15+WEEKDAY(DATE(PlanYear,7,1),2)-1,7)+1)=AI$5,", "&amp;16,"")&amp;IF(INDEX($A$41:$G$51,2*INT((16+WEEKDAY(DATE(PlanYear,7,1),2)-1)/7)+1,MOD(16+WEEKDAY(DATE(PlanYear,7,1),2)-1,7)+1)=AI$5,", "&amp;17,"")&amp;IF(INDEX($A$41:$G$51,2*INT((17+WEEKDAY(DATE(PlanYear,7,1),2)-1)/7)+1,MOD(17+WEEKDAY(DATE(PlanYear,7,1),2)-1,7)+1)=AI$5,", "&amp;18,"")&amp;IF(INDEX($A$41:$G$51,2*INT((18+WEEKDAY(DATE(PlanYear,7,1),2)-1)/7)+1,MOD(18+WEEKDAY(DATE(PlanYear,7,1),2)-1,7)+1)=AI$5,", "&amp;19,"")&amp;IF(INDEX($A$41:$G$51,2*INT((19+WEEKDAY(DATE(PlanYear,7,1),2)-1)/7)+1,MOD(19+WEEKDAY(DATE(PlanYear,7,1),2)-1,7)+1)=AI$5,", "&amp;20,"")&amp;IF(INDEX($A$41:$G$51,2*INT((20+WEEKDAY(DATE(PlanYear,7,1),2)-1)/7)+1,MOD(20+WEEKDAY(DATE(PlanYear,7,1),2)-1,7)+1)=AI$5,", "&amp;21,"")&amp;IF(INDEX($A$41:$G$51,2*INT((21+WEEKDAY(DATE(PlanYear,7,1),2)-1)/7)+1,MOD(21+WEEKDAY(DATE(PlanYear,7,1),2)-1,7)+1)=AI$5,", "&amp;22,"")&amp;IF(INDEX($A$41:$G$51,2*INT((22+WEEKDAY(DATE(PlanYear,7,1),2)-1)/7)+1,MOD(22+WEEKDAY(DATE(PlanYear,7,1),2)-1,7)+1)=AI$5,", "&amp;23,"")&amp;IF(INDEX($A$41:$G$51,2*INT((23+WEEKDAY(DATE(PlanYear,7,1),2)-1)/7)+1,MOD(23+WEEKDAY(DATE(PlanYear,7,1),2)-1,7)+1)=AI$5,", "&amp;24,"")&amp;IF(INDEX($A$41:$G$51,2*INT((24+WEEKDAY(DATE(PlanYear,7,1),2)-1)/7)+1,MOD(24+WEEKDAY(DATE(PlanYear,7,1),2)-1,7)+1)=AI$5,", "&amp;25,"")&amp;IF(INDEX($A$41:$G$51,2*INT((25+WEEKDAY(DATE(PlanYear,7,1),2)-1)/7)+1,MOD(25+WEEKDAY(DATE(PlanYear,7,1),2)-1,7)+1)=AI$5,", "&amp;26,"")&amp;IF(INDEX($A$41:$G$51,2*INT((26+WEEKDAY(DATE(PlanYear,7,1),2)-1)/7)+1,MOD(26+WEEKDAY(DATE(PlanYear,7,1),2)-1,7)+1)=AI$5,", "&amp;27,"")&amp;IF(INDEX($A$41:$G$51,2*INT((27+WEEKDAY(DATE(PlanYear,7,1),2)-1)/7)+1,MOD(27+WEEKDAY(DATE(PlanYear,7,1),2)-1,7)+1)=AI$5,", "&amp;28,"")&amp;IF(INDEX($A$41:$G$51,2*INT((28+WEEKDAY(DATE(PlanYear,7,1),2)-1)/7)+1,MOD(28+WEEKDAY(DATE(PlanYear,7,1),2)-1,7)+1)=AI$5,", "&amp;29,"")&amp;IF(INDEX($A$41:$G$51,2*INT((29+WEEKDAY(DATE(PlanYear,7,1),2)-1)/7)+1,MOD(29+WEEKDAY(DATE(PlanYear,7,1),2)-1,7)+1)=AI$5,", "&amp;30,"")&amp;IF(INDEX($A$41:$G$51,2*INT((30+WEEKDAY(DATE(PlanYear,7,1),2)-1)/7)+1,MOD(30+WEEKDAY(DATE(PlanYear,7,1),2)-1,7)+1)=AI$5,", "&amp;31,""),3,200))</f>
        <v/>
      </c>
      <c r="AJ12" s="16">
        <f>IF(AJ$5="","",MID(IF(INDEX($A$41:$G$51,2*INT((0+WEEKDAY(DATE(PlanYear,7,1),2)-1)/7)+1,MOD(0+WEEKDAY(DATE(PlanYear,7,1),2)-1,7)+1)=AJ$5,", "&amp;1,"")&amp;IF(INDEX($A$41:$G$51,2*INT((1+WEEKDAY(DATE(PlanYear,7,1),2)-1)/7)+1,MOD(1+WEEKDAY(DATE(PlanYear,7,1),2)-1,7)+1)=AJ$5,", "&amp;2,"")&amp;IF(INDEX($A$41:$G$51,2*INT((2+WEEKDAY(DATE(PlanYear,7,1),2)-1)/7)+1,MOD(2+WEEKDAY(DATE(PlanYear,7,1),2)-1,7)+1)=AJ$5,", "&amp;3,"")&amp;IF(INDEX($A$41:$G$51,2*INT((3+WEEKDAY(DATE(PlanYear,7,1),2)-1)/7)+1,MOD(3+WEEKDAY(DATE(PlanYear,7,1),2)-1,7)+1)=AJ$5,", "&amp;4,"")&amp;IF(INDEX($A$41:$G$51,2*INT((4+WEEKDAY(DATE(PlanYear,7,1),2)-1)/7)+1,MOD(4+WEEKDAY(DATE(PlanYear,7,1),2)-1,7)+1)=AJ$5,", "&amp;5,"")&amp;IF(INDEX($A$41:$G$51,2*INT((5+WEEKDAY(DATE(PlanYear,7,1),2)-1)/7)+1,MOD(5+WEEKDAY(DATE(PlanYear,7,1),2)-1,7)+1)=AJ$5,", "&amp;6,"")&amp;IF(INDEX($A$41:$G$51,2*INT((6+WEEKDAY(DATE(PlanYear,7,1),2)-1)/7)+1,MOD(6+WEEKDAY(DATE(PlanYear,7,1),2)-1,7)+1)=AJ$5,", "&amp;7,"")&amp;IF(INDEX($A$41:$G$51,2*INT((7+WEEKDAY(DATE(PlanYear,7,1),2)-1)/7)+1,MOD(7+WEEKDAY(DATE(PlanYear,7,1),2)-1,7)+1)=AJ$5,", "&amp;8,"")&amp;IF(INDEX($A$41:$G$51,2*INT((8+WEEKDAY(DATE(PlanYear,7,1),2)-1)/7)+1,MOD(8+WEEKDAY(DATE(PlanYear,7,1),2)-1,7)+1)=AJ$5,", "&amp;9,"")&amp;IF(INDEX($A$41:$G$51,2*INT((9+WEEKDAY(DATE(PlanYear,7,1),2)-1)/7)+1,MOD(9+WEEKDAY(DATE(PlanYear,7,1),2)-1,7)+1)=AJ$5,", "&amp;10,"")&amp;IF(INDEX($A$41:$G$51,2*INT((10+WEEKDAY(DATE(PlanYear,7,1),2)-1)/7)+1,MOD(10+WEEKDAY(DATE(PlanYear,7,1),2)-1,7)+1)=AJ$5,", "&amp;11,"")&amp;IF(INDEX($A$41:$G$51,2*INT((11+WEEKDAY(DATE(PlanYear,7,1),2)-1)/7)+1,MOD(11+WEEKDAY(DATE(PlanYear,7,1),2)-1,7)+1)=AJ$5,", "&amp;12,"")&amp;IF(INDEX($A$41:$G$51,2*INT((12+WEEKDAY(DATE(PlanYear,7,1),2)-1)/7)+1,MOD(12+WEEKDAY(DATE(PlanYear,7,1),2)-1,7)+1)=AJ$5,", "&amp;13,"")&amp;IF(INDEX($A$41:$G$51,2*INT((13+WEEKDAY(DATE(PlanYear,7,1),2)-1)/7)+1,MOD(13+WEEKDAY(DATE(PlanYear,7,1),2)-1,7)+1)=AJ$5,", "&amp;14,"")&amp;IF(INDEX($A$41:$G$51,2*INT((14+WEEKDAY(DATE(PlanYear,7,1),2)-1)/7)+1,MOD(14+WEEKDAY(DATE(PlanYear,7,1),2)-1,7)+1)=AJ$5,", "&amp;15,"")&amp;IF(INDEX($A$41:$G$51,2*INT((15+WEEKDAY(DATE(PlanYear,7,1),2)-1)/7)+1,MOD(15+WEEKDAY(DATE(PlanYear,7,1),2)-1,7)+1)=AJ$5,", "&amp;16,"")&amp;IF(INDEX($A$41:$G$51,2*INT((16+WEEKDAY(DATE(PlanYear,7,1),2)-1)/7)+1,MOD(16+WEEKDAY(DATE(PlanYear,7,1),2)-1,7)+1)=AJ$5,", "&amp;17,"")&amp;IF(INDEX($A$41:$G$51,2*INT((17+WEEKDAY(DATE(PlanYear,7,1),2)-1)/7)+1,MOD(17+WEEKDAY(DATE(PlanYear,7,1),2)-1,7)+1)=AJ$5,", "&amp;18,"")&amp;IF(INDEX($A$41:$G$51,2*INT((18+WEEKDAY(DATE(PlanYear,7,1),2)-1)/7)+1,MOD(18+WEEKDAY(DATE(PlanYear,7,1),2)-1,7)+1)=AJ$5,", "&amp;19,"")&amp;IF(INDEX($A$41:$G$51,2*INT((19+WEEKDAY(DATE(PlanYear,7,1),2)-1)/7)+1,MOD(19+WEEKDAY(DATE(PlanYear,7,1),2)-1,7)+1)=AJ$5,", "&amp;20,"")&amp;IF(INDEX($A$41:$G$51,2*INT((20+WEEKDAY(DATE(PlanYear,7,1),2)-1)/7)+1,MOD(20+WEEKDAY(DATE(PlanYear,7,1),2)-1,7)+1)=AJ$5,", "&amp;21,"")&amp;IF(INDEX($A$41:$G$51,2*INT((21+WEEKDAY(DATE(PlanYear,7,1),2)-1)/7)+1,MOD(21+WEEKDAY(DATE(PlanYear,7,1),2)-1,7)+1)=AJ$5,", "&amp;22,"")&amp;IF(INDEX($A$41:$G$51,2*INT((22+WEEKDAY(DATE(PlanYear,7,1),2)-1)/7)+1,MOD(22+WEEKDAY(DATE(PlanYear,7,1),2)-1,7)+1)=AJ$5,", "&amp;23,"")&amp;IF(INDEX($A$41:$G$51,2*INT((23+WEEKDAY(DATE(PlanYear,7,1),2)-1)/7)+1,MOD(23+WEEKDAY(DATE(PlanYear,7,1),2)-1,7)+1)=AJ$5,", "&amp;24,"")&amp;IF(INDEX($A$41:$G$51,2*INT((24+WEEKDAY(DATE(PlanYear,7,1),2)-1)/7)+1,MOD(24+WEEKDAY(DATE(PlanYear,7,1),2)-1,7)+1)=AJ$5,", "&amp;25,"")&amp;IF(INDEX($A$41:$G$51,2*INT((25+WEEKDAY(DATE(PlanYear,7,1),2)-1)/7)+1,MOD(25+WEEKDAY(DATE(PlanYear,7,1),2)-1,7)+1)=AJ$5,", "&amp;26,"")&amp;IF(INDEX($A$41:$G$51,2*INT((26+WEEKDAY(DATE(PlanYear,7,1),2)-1)/7)+1,MOD(26+WEEKDAY(DATE(PlanYear,7,1),2)-1,7)+1)=AJ$5,", "&amp;27,"")&amp;IF(INDEX($A$41:$G$51,2*INT((27+WEEKDAY(DATE(PlanYear,7,1),2)-1)/7)+1,MOD(27+WEEKDAY(DATE(PlanYear,7,1),2)-1,7)+1)=AJ$5,", "&amp;28,"")&amp;IF(INDEX($A$41:$G$51,2*INT((28+WEEKDAY(DATE(PlanYear,7,1),2)-1)/7)+1,MOD(28+WEEKDAY(DATE(PlanYear,7,1),2)-1,7)+1)=AJ$5,", "&amp;29,"")&amp;IF(INDEX($A$41:$G$51,2*INT((29+WEEKDAY(DATE(PlanYear,7,1),2)-1)/7)+1,MOD(29+WEEKDAY(DATE(PlanYear,7,1),2)-1,7)+1)=AJ$5,", "&amp;30,"")&amp;IF(INDEX($A$41:$G$51,2*INT((30+WEEKDAY(DATE(PlanYear,7,1),2)-1)/7)+1,MOD(30+WEEKDAY(DATE(PlanYear,7,1),2)-1,7)+1)=AJ$5,", "&amp;31,""),3,200))</f>
        <v/>
      </c>
      <c r="AK12" s="17">
        <f>DAY(EOMONTH(DATE(PlanYear,7,1),0))-COUNTIF($A$41:$G$51,"?*")</f>
        <v/>
      </c>
    </row>
    <row r="13" ht="26" customHeight="1">
      <c r="A13" s="21" t="n"/>
      <c r="B13" s="21" t="n"/>
      <c r="C13" s="21" t="n"/>
      <c r="D13" s="21" t="n"/>
      <c r="E13" s="21" t="n"/>
      <c r="F13" s="21" t="n"/>
      <c r="G13" s="21" t="n"/>
      <c r="I13" s="21" t="n"/>
      <c r="J13" s="21" t="n"/>
      <c r="K13" s="21" t="n"/>
      <c r="L13" s="21" t="n"/>
      <c r="M13" s="21" t="n"/>
      <c r="N13" s="21" t="n"/>
      <c r="O13" s="21" t="n"/>
      <c r="Q13" s="21" t="n"/>
      <c r="R13" s="21" t="n"/>
      <c r="S13" s="21" t="n"/>
      <c r="T13" s="21" t="n"/>
      <c r="U13" s="21" t="n"/>
      <c r="V13" s="21" t="n"/>
      <c r="W13" s="21" t="n"/>
      <c r="Z13" s="15" t="inlineStr">
        <is>
          <t>August</t>
        </is>
      </c>
      <c r="AA13" s="16">
        <f>IF(AA$5="","",MID(IF(INDEX($I$41:$O$51,2*INT((0+WEEKDAY(DATE(PlanYear,8,1),2)-1)/7)+1,MOD(0+WEEKDAY(DATE(PlanYear,8,1),2)-1,7)+1)=AA$5,", "&amp;1,"")&amp;IF(INDEX($I$41:$O$51,2*INT((1+WEEKDAY(DATE(PlanYear,8,1),2)-1)/7)+1,MOD(1+WEEKDAY(DATE(PlanYear,8,1),2)-1,7)+1)=AA$5,", "&amp;2,"")&amp;IF(INDEX($I$41:$O$51,2*INT((2+WEEKDAY(DATE(PlanYear,8,1),2)-1)/7)+1,MOD(2+WEEKDAY(DATE(PlanYear,8,1),2)-1,7)+1)=AA$5,", "&amp;3,"")&amp;IF(INDEX($I$41:$O$51,2*INT((3+WEEKDAY(DATE(PlanYear,8,1),2)-1)/7)+1,MOD(3+WEEKDAY(DATE(PlanYear,8,1),2)-1,7)+1)=AA$5,", "&amp;4,"")&amp;IF(INDEX($I$41:$O$51,2*INT((4+WEEKDAY(DATE(PlanYear,8,1),2)-1)/7)+1,MOD(4+WEEKDAY(DATE(PlanYear,8,1),2)-1,7)+1)=AA$5,", "&amp;5,"")&amp;IF(INDEX($I$41:$O$51,2*INT((5+WEEKDAY(DATE(PlanYear,8,1),2)-1)/7)+1,MOD(5+WEEKDAY(DATE(PlanYear,8,1),2)-1,7)+1)=AA$5,", "&amp;6,"")&amp;IF(INDEX($I$41:$O$51,2*INT((6+WEEKDAY(DATE(PlanYear,8,1),2)-1)/7)+1,MOD(6+WEEKDAY(DATE(PlanYear,8,1),2)-1,7)+1)=AA$5,", "&amp;7,"")&amp;IF(INDEX($I$41:$O$51,2*INT((7+WEEKDAY(DATE(PlanYear,8,1),2)-1)/7)+1,MOD(7+WEEKDAY(DATE(PlanYear,8,1),2)-1,7)+1)=AA$5,", "&amp;8,"")&amp;IF(INDEX($I$41:$O$51,2*INT((8+WEEKDAY(DATE(PlanYear,8,1),2)-1)/7)+1,MOD(8+WEEKDAY(DATE(PlanYear,8,1),2)-1,7)+1)=AA$5,", "&amp;9,"")&amp;IF(INDEX($I$41:$O$51,2*INT((9+WEEKDAY(DATE(PlanYear,8,1),2)-1)/7)+1,MOD(9+WEEKDAY(DATE(PlanYear,8,1),2)-1,7)+1)=AA$5,", "&amp;10,"")&amp;IF(INDEX($I$41:$O$51,2*INT((10+WEEKDAY(DATE(PlanYear,8,1),2)-1)/7)+1,MOD(10+WEEKDAY(DATE(PlanYear,8,1),2)-1,7)+1)=AA$5,", "&amp;11,"")&amp;IF(INDEX($I$41:$O$51,2*INT((11+WEEKDAY(DATE(PlanYear,8,1),2)-1)/7)+1,MOD(11+WEEKDAY(DATE(PlanYear,8,1),2)-1,7)+1)=AA$5,", "&amp;12,"")&amp;IF(INDEX($I$41:$O$51,2*INT((12+WEEKDAY(DATE(PlanYear,8,1),2)-1)/7)+1,MOD(12+WEEKDAY(DATE(PlanYear,8,1),2)-1,7)+1)=AA$5,", "&amp;13,"")&amp;IF(INDEX($I$41:$O$51,2*INT((13+WEEKDAY(DATE(PlanYear,8,1),2)-1)/7)+1,MOD(13+WEEKDAY(DATE(PlanYear,8,1),2)-1,7)+1)=AA$5,", "&amp;14,"")&amp;IF(INDEX($I$41:$O$51,2*INT((14+WEEKDAY(DATE(PlanYear,8,1),2)-1)/7)+1,MOD(14+WEEKDAY(DATE(PlanYear,8,1),2)-1,7)+1)=AA$5,", "&amp;15,"")&amp;IF(INDEX($I$41:$O$51,2*INT((15+WEEKDAY(DATE(PlanYear,8,1),2)-1)/7)+1,MOD(15+WEEKDAY(DATE(PlanYear,8,1),2)-1,7)+1)=AA$5,", "&amp;16,"")&amp;IF(INDEX($I$41:$O$51,2*INT((16+WEEKDAY(DATE(PlanYear,8,1),2)-1)/7)+1,MOD(16+WEEKDAY(DATE(PlanYear,8,1),2)-1,7)+1)=AA$5,", "&amp;17,"")&amp;IF(INDEX($I$41:$O$51,2*INT((17+WEEKDAY(DATE(PlanYear,8,1),2)-1)/7)+1,MOD(17+WEEKDAY(DATE(PlanYear,8,1),2)-1,7)+1)=AA$5,", "&amp;18,"")&amp;IF(INDEX($I$41:$O$51,2*INT((18+WEEKDAY(DATE(PlanYear,8,1),2)-1)/7)+1,MOD(18+WEEKDAY(DATE(PlanYear,8,1),2)-1,7)+1)=AA$5,", "&amp;19,"")&amp;IF(INDEX($I$41:$O$51,2*INT((19+WEEKDAY(DATE(PlanYear,8,1),2)-1)/7)+1,MOD(19+WEEKDAY(DATE(PlanYear,8,1),2)-1,7)+1)=AA$5,", "&amp;20,"")&amp;IF(INDEX($I$41:$O$51,2*INT((20+WEEKDAY(DATE(PlanYear,8,1),2)-1)/7)+1,MOD(20+WEEKDAY(DATE(PlanYear,8,1),2)-1,7)+1)=AA$5,", "&amp;21,"")&amp;IF(INDEX($I$41:$O$51,2*INT((21+WEEKDAY(DATE(PlanYear,8,1),2)-1)/7)+1,MOD(21+WEEKDAY(DATE(PlanYear,8,1),2)-1,7)+1)=AA$5,", "&amp;22,"")&amp;IF(INDEX($I$41:$O$51,2*INT((22+WEEKDAY(DATE(PlanYear,8,1),2)-1)/7)+1,MOD(22+WEEKDAY(DATE(PlanYear,8,1),2)-1,7)+1)=AA$5,", "&amp;23,"")&amp;IF(INDEX($I$41:$O$51,2*INT((23+WEEKDAY(DATE(PlanYear,8,1),2)-1)/7)+1,MOD(23+WEEKDAY(DATE(PlanYear,8,1),2)-1,7)+1)=AA$5,", "&amp;24,"")&amp;IF(INDEX($I$41:$O$51,2*INT((24+WEEKDAY(DATE(PlanYear,8,1),2)-1)/7)+1,MOD(24+WEEKDAY(DATE(PlanYear,8,1),2)-1,7)+1)=AA$5,", "&amp;25,"")&amp;IF(INDEX($I$41:$O$51,2*INT((25+WEEKDAY(DATE(PlanYear,8,1),2)-1)/7)+1,MOD(25+WEEKDAY(DATE(PlanYear,8,1),2)-1,7)+1)=AA$5,", "&amp;26,"")&amp;IF(INDEX($I$41:$O$51,2*INT((26+WEEKDAY(DATE(PlanYear,8,1),2)-1)/7)+1,MOD(26+WEEKDAY(DATE(PlanYear,8,1),2)-1,7)+1)=AA$5,", "&amp;27,"")&amp;IF(INDEX($I$41:$O$51,2*INT((27+WEEKDAY(DATE(PlanYear,8,1),2)-1)/7)+1,MOD(27+WEEKDAY(DATE(PlanYear,8,1),2)-1,7)+1)=AA$5,", "&amp;28,"")&amp;IF(INDEX($I$41:$O$51,2*INT((28+WEEKDAY(DATE(PlanYear,8,1),2)-1)/7)+1,MOD(28+WEEKDAY(DATE(PlanYear,8,1),2)-1,7)+1)=AA$5,", "&amp;29,"")&amp;IF(INDEX($I$41:$O$51,2*INT((29+WEEKDAY(DATE(PlanYear,8,1),2)-1)/7)+1,MOD(29+WEEKDAY(DATE(PlanYear,8,1),2)-1,7)+1)=AA$5,", "&amp;30,"")&amp;IF(INDEX($I$41:$O$51,2*INT((30+WEEKDAY(DATE(PlanYear,8,1),2)-1)/7)+1,MOD(30+WEEKDAY(DATE(PlanYear,8,1),2)-1,7)+1)=AA$5,", "&amp;31,""),3,200))</f>
        <v/>
      </c>
      <c r="AB13" s="16">
        <f>IF(AB$5="","",MID(IF(INDEX($I$41:$O$51,2*INT((0+WEEKDAY(DATE(PlanYear,8,1),2)-1)/7)+1,MOD(0+WEEKDAY(DATE(PlanYear,8,1),2)-1,7)+1)=AB$5,", "&amp;1,"")&amp;IF(INDEX($I$41:$O$51,2*INT((1+WEEKDAY(DATE(PlanYear,8,1),2)-1)/7)+1,MOD(1+WEEKDAY(DATE(PlanYear,8,1),2)-1,7)+1)=AB$5,", "&amp;2,"")&amp;IF(INDEX($I$41:$O$51,2*INT((2+WEEKDAY(DATE(PlanYear,8,1),2)-1)/7)+1,MOD(2+WEEKDAY(DATE(PlanYear,8,1),2)-1,7)+1)=AB$5,", "&amp;3,"")&amp;IF(INDEX($I$41:$O$51,2*INT((3+WEEKDAY(DATE(PlanYear,8,1),2)-1)/7)+1,MOD(3+WEEKDAY(DATE(PlanYear,8,1),2)-1,7)+1)=AB$5,", "&amp;4,"")&amp;IF(INDEX($I$41:$O$51,2*INT((4+WEEKDAY(DATE(PlanYear,8,1),2)-1)/7)+1,MOD(4+WEEKDAY(DATE(PlanYear,8,1),2)-1,7)+1)=AB$5,", "&amp;5,"")&amp;IF(INDEX($I$41:$O$51,2*INT((5+WEEKDAY(DATE(PlanYear,8,1),2)-1)/7)+1,MOD(5+WEEKDAY(DATE(PlanYear,8,1),2)-1,7)+1)=AB$5,", "&amp;6,"")&amp;IF(INDEX($I$41:$O$51,2*INT((6+WEEKDAY(DATE(PlanYear,8,1),2)-1)/7)+1,MOD(6+WEEKDAY(DATE(PlanYear,8,1),2)-1,7)+1)=AB$5,", "&amp;7,"")&amp;IF(INDEX($I$41:$O$51,2*INT((7+WEEKDAY(DATE(PlanYear,8,1),2)-1)/7)+1,MOD(7+WEEKDAY(DATE(PlanYear,8,1),2)-1,7)+1)=AB$5,", "&amp;8,"")&amp;IF(INDEX($I$41:$O$51,2*INT((8+WEEKDAY(DATE(PlanYear,8,1),2)-1)/7)+1,MOD(8+WEEKDAY(DATE(PlanYear,8,1),2)-1,7)+1)=AB$5,", "&amp;9,"")&amp;IF(INDEX($I$41:$O$51,2*INT((9+WEEKDAY(DATE(PlanYear,8,1),2)-1)/7)+1,MOD(9+WEEKDAY(DATE(PlanYear,8,1),2)-1,7)+1)=AB$5,", "&amp;10,"")&amp;IF(INDEX($I$41:$O$51,2*INT((10+WEEKDAY(DATE(PlanYear,8,1),2)-1)/7)+1,MOD(10+WEEKDAY(DATE(PlanYear,8,1),2)-1,7)+1)=AB$5,", "&amp;11,"")&amp;IF(INDEX($I$41:$O$51,2*INT((11+WEEKDAY(DATE(PlanYear,8,1),2)-1)/7)+1,MOD(11+WEEKDAY(DATE(PlanYear,8,1),2)-1,7)+1)=AB$5,", "&amp;12,"")&amp;IF(INDEX($I$41:$O$51,2*INT((12+WEEKDAY(DATE(PlanYear,8,1),2)-1)/7)+1,MOD(12+WEEKDAY(DATE(PlanYear,8,1),2)-1,7)+1)=AB$5,", "&amp;13,"")&amp;IF(INDEX($I$41:$O$51,2*INT((13+WEEKDAY(DATE(PlanYear,8,1),2)-1)/7)+1,MOD(13+WEEKDAY(DATE(PlanYear,8,1),2)-1,7)+1)=AB$5,", "&amp;14,"")&amp;IF(INDEX($I$41:$O$51,2*INT((14+WEEKDAY(DATE(PlanYear,8,1),2)-1)/7)+1,MOD(14+WEEKDAY(DATE(PlanYear,8,1),2)-1,7)+1)=AB$5,", "&amp;15,"")&amp;IF(INDEX($I$41:$O$51,2*INT((15+WEEKDAY(DATE(PlanYear,8,1),2)-1)/7)+1,MOD(15+WEEKDAY(DATE(PlanYear,8,1),2)-1,7)+1)=AB$5,", "&amp;16,"")&amp;IF(INDEX($I$41:$O$51,2*INT((16+WEEKDAY(DATE(PlanYear,8,1),2)-1)/7)+1,MOD(16+WEEKDAY(DATE(PlanYear,8,1),2)-1,7)+1)=AB$5,", "&amp;17,"")&amp;IF(INDEX($I$41:$O$51,2*INT((17+WEEKDAY(DATE(PlanYear,8,1),2)-1)/7)+1,MOD(17+WEEKDAY(DATE(PlanYear,8,1),2)-1,7)+1)=AB$5,", "&amp;18,"")&amp;IF(INDEX($I$41:$O$51,2*INT((18+WEEKDAY(DATE(PlanYear,8,1),2)-1)/7)+1,MOD(18+WEEKDAY(DATE(PlanYear,8,1),2)-1,7)+1)=AB$5,", "&amp;19,"")&amp;IF(INDEX($I$41:$O$51,2*INT((19+WEEKDAY(DATE(PlanYear,8,1),2)-1)/7)+1,MOD(19+WEEKDAY(DATE(PlanYear,8,1),2)-1,7)+1)=AB$5,", "&amp;20,"")&amp;IF(INDEX($I$41:$O$51,2*INT((20+WEEKDAY(DATE(PlanYear,8,1),2)-1)/7)+1,MOD(20+WEEKDAY(DATE(PlanYear,8,1),2)-1,7)+1)=AB$5,", "&amp;21,"")&amp;IF(INDEX($I$41:$O$51,2*INT((21+WEEKDAY(DATE(PlanYear,8,1),2)-1)/7)+1,MOD(21+WEEKDAY(DATE(PlanYear,8,1),2)-1,7)+1)=AB$5,", "&amp;22,"")&amp;IF(INDEX($I$41:$O$51,2*INT((22+WEEKDAY(DATE(PlanYear,8,1),2)-1)/7)+1,MOD(22+WEEKDAY(DATE(PlanYear,8,1),2)-1,7)+1)=AB$5,", "&amp;23,"")&amp;IF(INDEX($I$41:$O$51,2*INT((23+WEEKDAY(DATE(PlanYear,8,1),2)-1)/7)+1,MOD(23+WEEKDAY(DATE(PlanYear,8,1),2)-1,7)+1)=AB$5,", "&amp;24,"")&amp;IF(INDEX($I$41:$O$51,2*INT((24+WEEKDAY(DATE(PlanYear,8,1),2)-1)/7)+1,MOD(24+WEEKDAY(DATE(PlanYear,8,1),2)-1,7)+1)=AB$5,", "&amp;25,"")&amp;IF(INDEX($I$41:$O$51,2*INT((25+WEEKDAY(DATE(PlanYear,8,1),2)-1)/7)+1,MOD(25+WEEKDAY(DATE(PlanYear,8,1),2)-1,7)+1)=AB$5,", "&amp;26,"")&amp;IF(INDEX($I$41:$O$51,2*INT((26+WEEKDAY(DATE(PlanYear,8,1),2)-1)/7)+1,MOD(26+WEEKDAY(DATE(PlanYear,8,1),2)-1,7)+1)=AB$5,", "&amp;27,"")&amp;IF(INDEX($I$41:$O$51,2*INT((27+WEEKDAY(DATE(PlanYear,8,1),2)-1)/7)+1,MOD(27+WEEKDAY(DATE(PlanYear,8,1),2)-1,7)+1)=AB$5,", "&amp;28,"")&amp;IF(INDEX($I$41:$O$51,2*INT((28+WEEKDAY(DATE(PlanYear,8,1),2)-1)/7)+1,MOD(28+WEEKDAY(DATE(PlanYear,8,1),2)-1,7)+1)=AB$5,", "&amp;29,"")&amp;IF(INDEX($I$41:$O$51,2*INT((29+WEEKDAY(DATE(PlanYear,8,1),2)-1)/7)+1,MOD(29+WEEKDAY(DATE(PlanYear,8,1),2)-1,7)+1)=AB$5,", "&amp;30,"")&amp;IF(INDEX($I$41:$O$51,2*INT((30+WEEKDAY(DATE(PlanYear,8,1),2)-1)/7)+1,MOD(30+WEEKDAY(DATE(PlanYear,8,1),2)-1,7)+1)=AB$5,", "&amp;31,""),3,200))</f>
        <v/>
      </c>
      <c r="AC13" s="16">
        <f>IF(AC$5="","",MID(IF(INDEX($I$41:$O$51,2*INT((0+WEEKDAY(DATE(PlanYear,8,1),2)-1)/7)+1,MOD(0+WEEKDAY(DATE(PlanYear,8,1),2)-1,7)+1)=AC$5,", "&amp;1,"")&amp;IF(INDEX($I$41:$O$51,2*INT((1+WEEKDAY(DATE(PlanYear,8,1),2)-1)/7)+1,MOD(1+WEEKDAY(DATE(PlanYear,8,1),2)-1,7)+1)=AC$5,", "&amp;2,"")&amp;IF(INDEX($I$41:$O$51,2*INT((2+WEEKDAY(DATE(PlanYear,8,1),2)-1)/7)+1,MOD(2+WEEKDAY(DATE(PlanYear,8,1),2)-1,7)+1)=AC$5,", "&amp;3,"")&amp;IF(INDEX($I$41:$O$51,2*INT((3+WEEKDAY(DATE(PlanYear,8,1),2)-1)/7)+1,MOD(3+WEEKDAY(DATE(PlanYear,8,1),2)-1,7)+1)=AC$5,", "&amp;4,"")&amp;IF(INDEX($I$41:$O$51,2*INT((4+WEEKDAY(DATE(PlanYear,8,1),2)-1)/7)+1,MOD(4+WEEKDAY(DATE(PlanYear,8,1),2)-1,7)+1)=AC$5,", "&amp;5,"")&amp;IF(INDEX($I$41:$O$51,2*INT((5+WEEKDAY(DATE(PlanYear,8,1),2)-1)/7)+1,MOD(5+WEEKDAY(DATE(PlanYear,8,1),2)-1,7)+1)=AC$5,", "&amp;6,"")&amp;IF(INDEX($I$41:$O$51,2*INT((6+WEEKDAY(DATE(PlanYear,8,1),2)-1)/7)+1,MOD(6+WEEKDAY(DATE(PlanYear,8,1),2)-1,7)+1)=AC$5,", "&amp;7,"")&amp;IF(INDEX($I$41:$O$51,2*INT((7+WEEKDAY(DATE(PlanYear,8,1),2)-1)/7)+1,MOD(7+WEEKDAY(DATE(PlanYear,8,1),2)-1,7)+1)=AC$5,", "&amp;8,"")&amp;IF(INDEX($I$41:$O$51,2*INT((8+WEEKDAY(DATE(PlanYear,8,1),2)-1)/7)+1,MOD(8+WEEKDAY(DATE(PlanYear,8,1),2)-1,7)+1)=AC$5,", "&amp;9,"")&amp;IF(INDEX($I$41:$O$51,2*INT((9+WEEKDAY(DATE(PlanYear,8,1),2)-1)/7)+1,MOD(9+WEEKDAY(DATE(PlanYear,8,1),2)-1,7)+1)=AC$5,", "&amp;10,"")&amp;IF(INDEX($I$41:$O$51,2*INT((10+WEEKDAY(DATE(PlanYear,8,1),2)-1)/7)+1,MOD(10+WEEKDAY(DATE(PlanYear,8,1),2)-1,7)+1)=AC$5,", "&amp;11,"")&amp;IF(INDEX($I$41:$O$51,2*INT((11+WEEKDAY(DATE(PlanYear,8,1),2)-1)/7)+1,MOD(11+WEEKDAY(DATE(PlanYear,8,1),2)-1,7)+1)=AC$5,", "&amp;12,"")&amp;IF(INDEX($I$41:$O$51,2*INT((12+WEEKDAY(DATE(PlanYear,8,1),2)-1)/7)+1,MOD(12+WEEKDAY(DATE(PlanYear,8,1),2)-1,7)+1)=AC$5,", "&amp;13,"")&amp;IF(INDEX($I$41:$O$51,2*INT((13+WEEKDAY(DATE(PlanYear,8,1),2)-1)/7)+1,MOD(13+WEEKDAY(DATE(PlanYear,8,1),2)-1,7)+1)=AC$5,", "&amp;14,"")&amp;IF(INDEX($I$41:$O$51,2*INT((14+WEEKDAY(DATE(PlanYear,8,1),2)-1)/7)+1,MOD(14+WEEKDAY(DATE(PlanYear,8,1),2)-1,7)+1)=AC$5,", "&amp;15,"")&amp;IF(INDEX($I$41:$O$51,2*INT((15+WEEKDAY(DATE(PlanYear,8,1),2)-1)/7)+1,MOD(15+WEEKDAY(DATE(PlanYear,8,1),2)-1,7)+1)=AC$5,", "&amp;16,"")&amp;IF(INDEX($I$41:$O$51,2*INT((16+WEEKDAY(DATE(PlanYear,8,1),2)-1)/7)+1,MOD(16+WEEKDAY(DATE(PlanYear,8,1),2)-1,7)+1)=AC$5,", "&amp;17,"")&amp;IF(INDEX($I$41:$O$51,2*INT((17+WEEKDAY(DATE(PlanYear,8,1),2)-1)/7)+1,MOD(17+WEEKDAY(DATE(PlanYear,8,1),2)-1,7)+1)=AC$5,", "&amp;18,"")&amp;IF(INDEX($I$41:$O$51,2*INT((18+WEEKDAY(DATE(PlanYear,8,1),2)-1)/7)+1,MOD(18+WEEKDAY(DATE(PlanYear,8,1),2)-1,7)+1)=AC$5,", "&amp;19,"")&amp;IF(INDEX($I$41:$O$51,2*INT((19+WEEKDAY(DATE(PlanYear,8,1),2)-1)/7)+1,MOD(19+WEEKDAY(DATE(PlanYear,8,1),2)-1,7)+1)=AC$5,", "&amp;20,"")&amp;IF(INDEX($I$41:$O$51,2*INT((20+WEEKDAY(DATE(PlanYear,8,1),2)-1)/7)+1,MOD(20+WEEKDAY(DATE(PlanYear,8,1),2)-1,7)+1)=AC$5,", "&amp;21,"")&amp;IF(INDEX($I$41:$O$51,2*INT((21+WEEKDAY(DATE(PlanYear,8,1),2)-1)/7)+1,MOD(21+WEEKDAY(DATE(PlanYear,8,1),2)-1,7)+1)=AC$5,", "&amp;22,"")&amp;IF(INDEX($I$41:$O$51,2*INT((22+WEEKDAY(DATE(PlanYear,8,1),2)-1)/7)+1,MOD(22+WEEKDAY(DATE(PlanYear,8,1),2)-1,7)+1)=AC$5,", "&amp;23,"")&amp;IF(INDEX($I$41:$O$51,2*INT((23+WEEKDAY(DATE(PlanYear,8,1),2)-1)/7)+1,MOD(23+WEEKDAY(DATE(PlanYear,8,1),2)-1,7)+1)=AC$5,", "&amp;24,"")&amp;IF(INDEX($I$41:$O$51,2*INT((24+WEEKDAY(DATE(PlanYear,8,1),2)-1)/7)+1,MOD(24+WEEKDAY(DATE(PlanYear,8,1),2)-1,7)+1)=AC$5,", "&amp;25,"")&amp;IF(INDEX($I$41:$O$51,2*INT((25+WEEKDAY(DATE(PlanYear,8,1),2)-1)/7)+1,MOD(25+WEEKDAY(DATE(PlanYear,8,1),2)-1,7)+1)=AC$5,", "&amp;26,"")&amp;IF(INDEX($I$41:$O$51,2*INT((26+WEEKDAY(DATE(PlanYear,8,1),2)-1)/7)+1,MOD(26+WEEKDAY(DATE(PlanYear,8,1),2)-1,7)+1)=AC$5,", "&amp;27,"")&amp;IF(INDEX($I$41:$O$51,2*INT((27+WEEKDAY(DATE(PlanYear,8,1),2)-1)/7)+1,MOD(27+WEEKDAY(DATE(PlanYear,8,1),2)-1,7)+1)=AC$5,", "&amp;28,"")&amp;IF(INDEX($I$41:$O$51,2*INT((28+WEEKDAY(DATE(PlanYear,8,1),2)-1)/7)+1,MOD(28+WEEKDAY(DATE(PlanYear,8,1),2)-1,7)+1)=AC$5,", "&amp;29,"")&amp;IF(INDEX($I$41:$O$51,2*INT((29+WEEKDAY(DATE(PlanYear,8,1),2)-1)/7)+1,MOD(29+WEEKDAY(DATE(PlanYear,8,1),2)-1,7)+1)=AC$5,", "&amp;30,"")&amp;IF(INDEX($I$41:$O$51,2*INT((30+WEEKDAY(DATE(PlanYear,8,1),2)-1)/7)+1,MOD(30+WEEKDAY(DATE(PlanYear,8,1),2)-1,7)+1)=AC$5,", "&amp;31,""),3,200))</f>
        <v/>
      </c>
      <c r="AD13" s="16">
        <f>IF(AD$5="","",MID(IF(INDEX($I$41:$O$51,2*INT((0+WEEKDAY(DATE(PlanYear,8,1),2)-1)/7)+1,MOD(0+WEEKDAY(DATE(PlanYear,8,1),2)-1,7)+1)=AD$5,", "&amp;1,"")&amp;IF(INDEX($I$41:$O$51,2*INT((1+WEEKDAY(DATE(PlanYear,8,1),2)-1)/7)+1,MOD(1+WEEKDAY(DATE(PlanYear,8,1),2)-1,7)+1)=AD$5,", "&amp;2,"")&amp;IF(INDEX($I$41:$O$51,2*INT((2+WEEKDAY(DATE(PlanYear,8,1),2)-1)/7)+1,MOD(2+WEEKDAY(DATE(PlanYear,8,1),2)-1,7)+1)=AD$5,", "&amp;3,"")&amp;IF(INDEX($I$41:$O$51,2*INT((3+WEEKDAY(DATE(PlanYear,8,1),2)-1)/7)+1,MOD(3+WEEKDAY(DATE(PlanYear,8,1),2)-1,7)+1)=AD$5,", "&amp;4,"")&amp;IF(INDEX($I$41:$O$51,2*INT((4+WEEKDAY(DATE(PlanYear,8,1),2)-1)/7)+1,MOD(4+WEEKDAY(DATE(PlanYear,8,1),2)-1,7)+1)=AD$5,", "&amp;5,"")&amp;IF(INDEX($I$41:$O$51,2*INT((5+WEEKDAY(DATE(PlanYear,8,1),2)-1)/7)+1,MOD(5+WEEKDAY(DATE(PlanYear,8,1),2)-1,7)+1)=AD$5,", "&amp;6,"")&amp;IF(INDEX($I$41:$O$51,2*INT((6+WEEKDAY(DATE(PlanYear,8,1),2)-1)/7)+1,MOD(6+WEEKDAY(DATE(PlanYear,8,1),2)-1,7)+1)=AD$5,", "&amp;7,"")&amp;IF(INDEX($I$41:$O$51,2*INT((7+WEEKDAY(DATE(PlanYear,8,1),2)-1)/7)+1,MOD(7+WEEKDAY(DATE(PlanYear,8,1),2)-1,7)+1)=AD$5,", "&amp;8,"")&amp;IF(INDEX($I$41:$O$51,2*INT((8+WEEKDAY(DATE(PlanYear,8,1),2)-1)/7)+1,MOD(8+WEEKDAY(DATE(PlanYear,8,1),2)-1,7)+1)=AD$5,", "&amp;9,"")&amp;IF(INDEX($I$41:$O$51,2*INT((9+WEEKDAY(DATE(PlanYear,8,1),2)-1)/7)+1,MOD(9+WEEKDAY(DATE(PlanYear,8,1),2)-1,7)+1)=AD$5,", "&amp;10,"")&amp;IF(INDEX($I$41:$O$51,2*INT((10+WEEKDAY(DATE(PlanYear,8,1),2)-1)/7)+1,MOD(10+WEEKDAY(DATE(PlanYear,8,1),2)-1,7)+1)=AD$5,", "&amp;11,"")&amp;IF(INDEX($I$41:$O$51,2*INT((11+WEEKDAY(DATE(PlanYear,8,1),2)-1)/7)+1,MOD(11+WEEKDAY(DATE(PlanYear,8,1),2)-1,7)+1)=AD$5,", "&amp;12,"")&amp;IF(INDEX($I$41:$O$51,2*INT((12+WEEKDAY(DATE(PlanYear,8,1),2)-1)/7)+1,MOD(12+WEEKDAY(DATE(PlanYear,8,1),2)-1,7)+1)=AD$5,", "&amp;13,"")&amp;IF(INDEX($I$41:$O$51,2*INT((13+WEEKDAY(DATE(PlanYear,8,1),2)-1)/7)+1,MOD(13+WEEKDAY(DATE(PlanYear,8,1),2)-1,7)+1)=AD$5,", "&amp;14,"")&amp;IF(INDEX($I$41:$O$51,2*INT((14+WEEKDAY(DATE(PlanYear,8,1),2)-1)/7)+1,MOD(14+WEEKDAY(DATE(PlanYear,8,1),2)-1,7)+1)=AD$5,", "&amp;15,"")&amp;IF(INDEX($I$41:$O$51,2*INT((15+WEEKDAY(DATE(PlanYear,8,1),2)-1)/7)+1,MOD(15+WEEKDAY(DATE(PlanYear,8,1),2)-1,7)+1)=AD$5,", "&amp;16,"")&amp;IF(INDEX($I$41:$O$51,2*INT((16+WEEKDAY(DATE(PlanYear,8,1),2)-1)/7)+1,MOD(16+WEEKDAY(DATE(PlanYear,8,1),2)-1,7)+1)=AD$5,", "&amp;17,"")&amp;IF(INDEX($I$41:$O$51,2*INT((17+WEEKDAY(DATE(PlanYear,8,1),2)-1)/7)+1,MOD(17+WEEKDAY(DATE(PlanYear,8,1),2)-1,7)+1)=AD$5,", "&amp;18,"")&amp;IF(INDEX($I$41:$O$51,2*INT((18+WEEKDAY(DATE(PlanYear,8,1),2)-1)/7)+1,MOD(18+WEEKDAY(DATE(PlanYear,8,1),2)-1,7)+1)=AD$5,", "&amp;19,"")&amp;IF(INDEX($I$41:$O$51,2*INT((19+WEEKDAY(DATE(PlanYear,8,1),2)-1)/7)+1,MOD(19+WEEKDAY(DATE(PlanYear,8,1),2)-1,7)+1)=AD$5,", "&amp;20,"")&amp;IF(INDEX($I$41:$O$51,2*INT((20+WEEKDAY(DATE(PlanYear,8,1),2)-1)/7)+1,MOD(20+WEEKDAY(DATE(PlanYear,8,1),2)-1,7)+1)=AD$5,", "&amp;21,"")&amp;IF(INDEX($I$41:$O$51,2*INT((21+WEEKDAY(DATE(PlanYear,8,1),2)-1)/7)+1,MOD(21+WEEKDAY(DATE(PlanYear,8,1),2)-1,7)+1)=AD$5,", "&amp;22,"")&amp;IF(INDEX($I$41:$O$51,2*INT((22+WEEKDAY(DATE(PlanYear,8,1),2)-1)/7)+1,MOD(22+WEEKDAY(DATE(PlanYear,8,1),2)-1,7)+1)=AD$5,", "&amp;23,"")&amp;IF(INDEX($I$41:$O$51,2*INT((23+WEEKDAY(DATE(PlanYear,8,1),2)-1)/7)+1,MOD(23+WEEKDAY(DATE(PlanYear,8,1),2)-1,7)+1)=AD$5,", "&amp;24,"")&amp;IF(INDEX($I$41:$O$51,2*INT((24+WEEKDAY(DATE(PlanYear,8,1),2)-1)/7)+1,MOD(24+WEEKDAY(DATE(PlanYear,8,1),2)-1,7)+1)=AD$5,", "&amp;25,"")&amp;IF(INDEX($I$41:$O$51,2*INT((25+WEEKDAY(DATE(PlanYear,8,1),2)-1)/7)+1,MOD(25+WEEKDAY(DATE(PlanYear,8,1),2)-1,7)+1)=AD$5,", "&amp;26,"")&amp;IF(INDEX($I$41:$O$51,2*INT((26+WEEKDAY(DATE(PlanYear,8,1),2)-1)/7)+1,MOD(26+WEEKDAY(DATE(PlanYear,8,1),2)-1,7)+1)=AD$5,", "&amp;27,"")&amp;IF(INDEX($I$41:$O$51,2*INT((27+WEEKDAY(DATE(PlanYear,8,1),2)-1)/7)+1,MOD(27+WEEKDAY(DATE(PlanYear,8,1),2)-1,7)+1)=AD$5,", "&amp;28,"")&amp;IF(INDEX($I$41:$O$51,2*INT((28+WEEKDAY(DATE(PlanYear,8,1),2)-1)/7)+1,MOD(28+WEEKDAY(DATE(PlanYear,8,1),2)-1,7)+1)=AD$5,", "&amp;29,"")&amp;IF(INDEX($I$41:$O$51,2*INT((29+WEEKDAY(DATE(PlanYear,8,1),2)-1)/7)+1,MOD(29+WEEKDAY(DATE(PlanYear,8,1),2)-1,7)+1)=AD$5,", "&amp;30,"")&amp;IF(INDEX($I$41:$O$51,2*INT((30+WEEKDAY(DATE(PlanYear,8,1),2)-1)/7)+1,MOD(30+WEEKDAY(DATE(PlanYear,8,1),2)-1,7)+1)=AD$5,", "&amp;31,""),3,200))</f>
        <v/>
      </c>
      <c r="AE13" s="16">
        <f>IF(AE$5="","",MID(IF(INDEX($I$41:$O$51,2*INT((0+WEEKDAY(DATE(PlanYear,8,1),2)-1)/7)+1,MOD(0+WEEKDAY(DATE(PlanYear,8,1),2)-1,7)+1)=AE$5,", "&amp;1,"")&amp;IF(INDEX($I$41:$O$51,2*INT((1+WEEKDAY(DATE(PlanYear,8,1),2)-1)/7)+1,MOD(1+WEEKDAY(DATE(PlanYear,8,1),2)-1,7)+1)=AE$5,", "&amp;2,"")&amp;IF(INDEX($I$41:$O$51,2*INT((2+WEEKDAY(DATE(PlanYear,8,1),2)-1)/7)+1,MOD(2+WEEKDAY(DATE(PlanYear,8,1),2)-1,7)+1)=AE$5,", "&amp;3,"")&amp;IF(INDEX($I$41:$O$51,2*INT((3+WEEKDAY(DATE(PlanYear,8,1),2)-1)/7)+1,MOD(3+WEEKDAY(DATE(PlanYear,8,1),2)-1,7)+1)=AE$5,", "&amp;4,"")&amp;IF(INDEX($I$41:$O$51,2*INT((4+WEEKDAY(DATE(PlanYear,8,1),2)-1)/7)+1,MOD(4+WEEKDAY(DATE(PlanYear,8,1),2)-1,7)+1)=AE$5,", "&amp;5,"")&amp;IF(INDEX($I$41:$O$51,2*INT((5+WEEKDAY(DATE(PlanYear,8,1),2)-1)/7)+1,MOD(5+WEEKDAY(DATE(PlanYear,8,1),2)-1,7)+1)=AE$5,", "&amp;6,"")&amp;IF(INDEX($I$41:$O$51,2*INT((6+WEEKDAY(DATE(PlanYear,8,1),2)-1)/7)+1,MOD(6+WEEKDAY(DATE(PlanYear,8,1),2)-1,7)+1)=AE$5,", "&amp;7,"")&amp;IF(INDEX($I$41:$O$51,2*INT((7+WEEKDAY(DATE(PlanYear,8,1),2)-1)/7)+1,MOD(7+WEEKDAY(DATE(PlanYear,8,1),2)-1,7)+1)=AE$5,", "&amp;8,"")&amp;IF(INDEX($I$41:$O$51,2*INT((8+WEEKDAY(DATE(PlanYear,8,1),2)-1)/7)+1,MOD(8+WEEKDAY(DATE(PlanYear,8,1),2)-1,7)+1)=AE$5,", "&amp;9,"")&amp;IF(INDEX($I$41:$O$51,2*INT((9+WEEKDAY(DATE(PlanYear,8,1),2)-1)/7)+1,MOD(9+WEEKDAY(DATE(PlanYear,8,1),2)-1,7)+1)=AE$5,", "&amp;10,"")&amp;IF(INDEX($I$41:$O$51,2*INT((10+WEEKDAY(DATE(PlanYear,8,1),2)-1)/7)+1,MOD(10+WEEKDAY(DATE(PlanYear,8,1),2)-1,7)+1)=AE$5,", "&amp;11,"")&amp;IF(INDEX($I$41:$O$51,2*INT((11+WEEKDAY(DATE(PlanYear,8,1),2)-1)/7)+1,MOD(11+WEEKDAY(DATE(PlanYear,8,1),2)-1,7)+1)=AE$5,", "&amp;12,"")&amp;IF(INDEX($I$41:$O$51,2*INT((12+WEEKDAY(DATE(PlanYear,8,1),2)-1)/7)+1,MOD(12+WEEKDAY(DATE(PlanYear,8,1),2)-1,7)+1)=AE$5,", "&amp;13,"")&amp;IF(INDEX($I$41:$O$51,2*INT((13+WEEKDAY(DATE(PlanYear,8,1),2)-1)/7)+1,MOD(13+WEEKDAY(DATE(PlanYear,8,1),2)-1,7)+1)=AE$5,", "&amp;14,"")&amp;IF(INDEX($I$41:$O$51,2*INT((14+WEEKDAY(DATE(PlanYear,8,1),2)-1)/7)+1,MOD(14+WEEKDAY(DATE(PlanYear,8,1),2)-1,7)+1)=AE$5,", "&amp;15,"")&amp;IF(INDEX($I$41:$O$51,2*INT((15+WEEKDAY(DATE(PlanYear,8,1),2)-1)/7)+1,MOD(15+WEEKDAY(DATE(PlanYear,8,1),2)-1,7)+1)=AE$5,", "&amp;16,"")&amp;IF(INDEX($I$41:$O$51,2*INT((16+WEEKDAY(DATE(PlanYear,8,1),2)-1)/7)+1,MOD(16+WEEKDAY(DATE(PlanYear,8,1),2)-1,7)+1)=AE$5,", "&amp;17,"")&amp;IF(INDEX($I$41:$O$51,2*INT((17+WEEKDAY(DATE(PlanYear,8,1),2)-1)/7)+1,MOD(17+WEEKDAY(DATE(PlanYear,8,1),2)-1,7)+1)=AE$5,", "&amp;18,"")&amp;IF(INDEX($I$41:$O$51,2*INT((18+WEEKDAY(DATE(PlanYear,8,1),2)-1)/7)+1,MOD(18+WEEKDAY(DATE(PlanYear,8,1),2)-1,7)+1)=AE$5,", "&amp;19,"")&amp;IF(INDEX($I$41:$O$51,2*INT((19+WEEKDAY(DATE(PlanYear,8,1),2)-1)/7)+1,MOD(19+WEEKDAY(DATE(PlanYear,8,1),2)-1,7)+1)=AE$5,", "&amp;20,"")&amp;IF(INDEX($I$41:$O$51,2*INT((20+WEEKDAY(DATE(PlanYear,8,1),2)-1)/7)+1,MOD(20+WEEKDAY(DATE(PlanYear,8,1),2)-1,7)+1)=AE$5,", "&amp;21,"")&amp;IF(INDEX($I$41:$O$51,2*INT((21+WEEKDAY(DATE(PlanYear,8,1),2)-1)/7)+1,MOD(21+WEEKDAY(DATE(PlanYear,8,1),2)-1,7)+1)=AE$5,", "&amp;22,"")&amp;IF(INDEX($I$41:$O$51,2*INT((22+WEEKDAY(DATE(PlanYear,8,1),2)-1)/7)+1,MOD(22+WEEKDAY(DATE(PlanYear,8,1),2)-1,7)+1)=AE$5,", "&amp;23,"")&amp;IF(INDEX($I$41:$O$51,2*INT((23+WEEKDAY(DATE(PlanYear,8,1),2)-1)/7)+1,MOD(23+WEEKDAY(DATE(PlanYear,8,1),2)-1,7)+1)=AE$5,", "&amp;24,"")&amp;IF(INDEX($I$41:$O$51,2*INT((24+WEEKDAY(DATE(PlanYear,8,1),2)-1)/7)+1,MOD(24+WEEKDAY(DATE(PlanYear,8,1),2)-1,7)+1)=AE$5,", "&amp;25,"")&amp;IF(INDEX($I$41:$O$51,2*INT((25+WEEKDAY(DATE(PlanYear,8,1),2)-1)/7)+1,MOD(25+WEEKDAY(DATE(PlanYear,8,1),2)-1,7)+1)=AE$5,", "&amp;26,"")&amp;IF(INDEX($I$41:$O$51,2*INT((26+WEEKDAY(DATE(PlanYear,8,1),2)-1)/7)+1,MOD(26+WEEKDAY(DATE(PlanYear,8,1),2)-1,7)+1)=AE$5,", "&amp;27,"")&amp;IF(INDEX($I$41:$O$51,2*INT((27+WEEKDAY(DATE(PlanYear,8,1),2)-1)/7)+1,MOD(27+WEEKDAY(DATE(PlanYear,8,1),2)-1,7)+1)=AE$5,", "&amp;28,"")&amp;IF(INDEX($I$41:$O$51,2*INT((28+WEEKDAY(DATE(PlanYear,8,1),2)-1)/7)+1,MOD(28+WEEKDAY(DATE(PlanYear,8,1),2)-1,7)+1)=AE$5,", "&amp;29,"")&amp;IF(INDEX($I$41:$O$51,2*INT((29+WEEKDAY(DATE(PlanYear,8,1),2)-1)/7)+1,MOD(29+WEEKDAY(DATE(PlanYear,8,1),2)-1,7)+1)=AE$5,", "&amp;30,"")&amp;IF(INDEX($I$41:$O$51,2*INT((30+WEEKDAY(DATE(PlanYear,8,1),2)-1)/7)+1,MOD(30+WEEKDAY(DATE(PlanYear,8,1),2)-1,7)+1)=AE$5,", "&amp;31,""),3,200))</f>
        <v/>
      </c>
      <c r="AF13" s="16">
        <f>IF(AF$5="","",MID(IF(INDEX($I$41:$O$51,2*INT((0+WEEKDAY(DATE(PlanYear,8,1),2)-1)/7)+1,MOD(0+WEEKDAY(DATE(PlanYear,8,1),2)-1,7)+1)=AF$5,", "&amp;1,"")&amp;IF(INDEX($I$41:$O$51,2*INT((1+WEEKDAY(DATE(PlanYear,8,1),2)-1)/7)+1,MOD(1+WEEKDAY(DATE(PlanYear,8,1),2)-1,7)+1)=AF$5,", "&amp;2,"")&amp;IF(INDEX($I$41:$O$51,2*INT((2+WEEKDAY(DATE(PlanYear,8,1),2)-1)/7)+1,MOD(2+WEEKDAY(DATE(PlanYear,8,1),2)-1,7)+1)=AF$5,", "&amp;3,"")&amp;IF(INDEX($I$41:$O$51,2*INT((3+WEEKDAY(DATE(PlanYear,8,1),2)-1)/7)+1,MOD(3+WEEKDAY(DATE(PlanYear,8,1),2)-1,7)+1)=AF$5,", "&amp;4,"")&amp;IF(INDEX($I$41:$O$51,2*INT((4+WEEKDAY(DATE(PlanYear,8,1),2)-1)/7)+1,MOD(4+WEEKDAY(DATE(PlanYear,8,1),2)-1,7)+1)=AF$5,", "&amp;5,"")&amp;IF(INDEX($I$41:$O$51,2*INT((5+WEEKDAY(DATE(PlanYear,8,1),2)-1)/7)+1,MOD(5+WEEKDAY(DATE(PlanYear,8,1),2)-1,7)+1)=AF$5,", "&amp;6,"")&amp;IF(INDEX($I$41:$O$51,2*INT((6+WEEKDAY(DATE(PlanYear,8,1),2)-1)/7)+1,MOD(6+WEEKDAY(DATE(PlanYear,8,1),2)-1,7)+1)=AF$5,", "&amp;7,"")&amp;IF(INDEX($I$41:$O$51,2*INT((7+WEEKDAY(DATE(PlanYear,8,1),2)-1)/7)+1,MOD(7+WEEKDAY(DATE(PlanYear,8,1),2)-1,7)+1)=AF$5,", "&amp;8,"")&amp;IF(INDEX($I$41:$O$51,2*INT((8+WEEKDAY(DATE(PlanYear,8,1),2)-1)/7)+1,MOD(8+WEEKDAY(DATE(PlanYear,8,1),2)-1,7)+1)=AF$5,", "&amp;9,"")&amp;IF(INDEX($I$41:$O$51,2*INT((9+WEEKDAY(DATE(PlanYear,8,1),2)-1)/7)+1,MOD(9+WEEKDAY(DATE(PlanYear,8,1),2)-1,7)+1)=AF$5,", "&amp;10,"")&amp;IF(INDEX($I$41:$O$51,2*INT((10+WEEKDAY(DATE(PlanYear,8,1),2)-1)/7)+1,MOD(10+WEEKDAY(DATE(PlanYear,8,1),2)-1,7)+1)=AF$5,", "&amp;11,"")&amp;IF(INDEX($I$41:$O$51,2*INT((11+WEEKDAY(DATE(PlanYear,8,1),2)-1)/7)+1,MOD(11+WEEKDAY(DATE(PlanYear,8,1),2)-1,7)+1)=AF$5,", "&amp;12,"")&amp;IF(INDEX($I$41:$O$51,2*INT((12+WEEKDAY(DATE(PlanYear,8,1),2)-1)/7)+1,MOD(12+WEEKDAY(DATE(PlanYear,8,1),2)-1,7)+1)=AF$5,", "&amp;13,"")&amp;IF(INDEX($I$41:$O$51,2*INT((13+WEEKDAY(DATE(PlanYear,8,1),2)-1)/7)+1,MOD(13+WEEKDAY(DATE(PlanYear,8,1),2)-1,7)+1)=AF$5,", "&amp;14,"")&amp;IF(INDEX($I$41:$O$51,2*INT((14+WEEKDAY(DATE(PlanYear,8,1),2)-1)/7)+1,MOD(14+WEEKDAY(DATE(PlanYear,8,1),2)-1,7)+1)=AF$5,", "&amp;15,"")&amp;IF(INDEX($I$41:$O$51,2*INT((15+WEEKDAY(DATE(PlanYear,8,1),2)-1)/7)+1,MOD(15+WEEKDAY(DATE(PlanYear,8,1),2)-1,7)+1)=AF$5,", "&amp;16,"")&amp;IF(INDEX($I$41:$O$51,2*INT((16+WEEKDAY(DATE(PlanYear,8,1),2)-1)/7)+1,MOD(16+WEEKDAY(DATE(PlanYear,8,1),2)-1,7)+1)=AF$5,", "&amp;17,"")&amp;IF(INDEX($I$41:$O$51,2*INT((17+WEEKDAY(DATE(PlanYear,8,1),2)-1)/7)+1,MOD(17+WEEKDAY(DATE(PlanYear,8,1),2)-1,7)+1)=AF$5,", "&amp;18,"")&amp;IF(INDEX($I$41:$O$51,2*INT((18+WEEKDAY(DATE(PlanYear,8,1),2)-1)/7)+1,MOD(18+WEEKDAY(DATE(PlanYear,8,1),2)-1,7)+1)=AF$5,", "&amp;19,"")&amp;IF(INDEX($I$41:$O$51,2*INT((19+WEEKDAY(DATE(PlanYear,8,1),2)-1)/7)+1,MOD(19+WEEKDAY(DATE(PlanYear,8,1),2)-1,7)+1)=AF$5,", "&amp;20,"")&amp;IF(INDEX($I$41:$O$51,2*INT((20+WEEKDAY(DATE(PlanYear,8,1),2)-1)/7)+1,MOD(20+WEEKDAY(DATE(PlanYear,8,1),2)-1,7)+1)=AF$5,", "&amp;21,"")&amp;IF(INDEX($I$41:$O$51,2*INT((21+WEEKDAY(DATE(PlanYear,8,1),2)-1)/7)+1,MOD(21+WEEKDAY(DATE(PlanYear,8,1),2)-1,7)+1)=AF$5,", "&amp;22,"")&amp;IF(INDEX($I$41:$O$51,2*INT((22+WEEKDAY(DATE(PlanYear,8,1),2)-1)/7)+1,MOD(22+WEEKDAY(DATE(PlanYear,8,1),2)-1,7)+1)=AF$5,", "&amp;23,"")&amp;IF(INDEX($I$41:$O$51,2*INT((23+WEEKDAY(DATE(PlanYear,8,1),2)-1)/7)+1,MOD(23+WEEKDAY(DATE(PlanYear,8,1),2)-1,7)+1)=AF$5,", "&amp;24,"")&amp;IF(INDEX($I$41:$O$51,2*INT((24+WEEKDAY(DATE(PlanYear,8,1),2)-1)/7)+1,MOD(24+WEEKDAY(DATE(PlanYear,8,1),2)-1,7)+1)=AF$5,", "&amp;25,"")&amp;IF(INDEX($I$41:$O$51,2*INT((25+WEEKDAY(DATE(PlanYear,8,1),2)-1)/7)+1,MOD(25+WEEKDAY(DATE(PlanYear,8,1),2)-1,7)+1)=AF$5,", "&amp;26,"")&amp;IF(INDEX($I$41:$O$51,2*INT((26+WEEKDAY(DATE(PlanYear,8,1),2)-1)/7)+1,MOD(26+WEEKDAY(DATE(PlanYear,8,1),2)-1,7)+1)=AF$5,", "&amp;27,"")&amp;IF(INDEX($I$41:$O$51,2*INT((27+WEEKDAY(DATE(PlanYear,8,1),2)-1)/7)+1,MOD(27+WEEKDAY(DATE(PlanYear,8,1),2)-1,7)+1)=AF$5,", "&amp;28,"")&amp;IF(INDEX($I$41:$O$51,2*INT((28+WEEKDAY(DATE(PlanYear,8,1),2)-1)/7)+1,MOD(28+WEEKDAY(DATE(PlanYear,8,1),2)-1,7)+1)=AF$5,", "&amp;29,"")&amp;IF(INDEX($I$41:$O$51,2*INT((29+WEEKDAY(DATE(PlanYear,8,1),2)-1)/7)+1,MOD(29+WEEKDAY(DATE(PlanYear,8,1),2)-1,7)+1)=AF$5,", "&amp;30,"")&amp;IF(INDEX($I$41:$O$51,2*INT((30+WEEKDAY(DATE(PlanYear,8,1),2)-1)/7)+1,MOD(30+WEEKDAY(DATE(PlanYear,8,1),2)-1,7)+1)=AF$5,", "&amp;31,""),3,200))</f>
        <v/>
      </c>
      <c r="AG13" s="16">
        <f>IF(AG$5="","",MID(IF(INDEX($I$41:$O$51,2*INT((0+WEEKDAY(DATE(PlanYear,8,1),2)-1)/7)+1,MOD(0+WEEKDAY(DATE(PlanYear,8,1),2)-1,7)+1)=AG$5,", "&amp;1,"")&amp;IF(INDEX($I$41:$O$51,2*INT((1+WEEKDAY(DATE(PlanYear,8,1),2)-1)/7)+1,MOD(1+WEEKDAY(DATE(PlanYear,8,1),2)-1,7)+1)=AG$5,", "&amp;2,"")&amp;IF(INDEX($I$41:$O$51,2*INT((2+WEEKDAY(DATE(PlanYear,8,1),2)-1)/7)+1,MOD(2+WEEKDAY(DATE(PlanYear,8,1),2)-1,7)+1)=AG$5,", "&amp;3,"")&amp;IF(INDEX($I$41:$O$51,2*INT((3+WEEKDAY(DATE(PlanYear,8,1),2)-1)/7)+1,MOD(3+WEEKDAY(DATE(PlanYear,8,1),2)-1,7)+1)=AG$5,", "&amp;4,"")&amp;IF(INDEX($I$41:$O$51,2*INT((4+WEEKDAY(DATE(PlanYear,8,1),2)-1)/7)+1,MOD(4+WEEKDAY(DATE(PlanYear,8,1),2)-1,7)+1)=AG$5,", "&amp;5,"")&amp;IF(INDEX($I$41:$O$51,2*INT((5+WEEKDAY(DATE(PlanYear,8,1),2)-1)/7)+1,MOD(5+WEEKDAY(DATE(PlanYear,8,1),2)-1,7)+1)=AG$5,", "&amp;6,"")&amp;IF(INDEX($I$41:$O$51,2*INT((6+WEEKDAY(DATE(PlanYear,8,1),2)-1)/7)+1,MOD(6+WEEKDAY(DATE(PlanYear,8,1),2)-1,7)+1)=AG$5,", "&amp;7,"")&amp;IF(INDEX($I$41:$O$51,2*INT((7+WEEKDAY(DATE(PlanYear,8,1),2)-1)/7)+1,MOD(7+WEEKDAY(DATE(PlanYear,8,1),2)-1,7)+1)=AG$5,", "&amp;8,"")&amp;IF(INDEX($I$41:$O$51,2*INT((8+WEEKDAY(DATE(PlanYear,8,1),2)-1)/7)+1,MOD(8+WEEKDAY(DATE(PlanYear,8,1),2)-1,7)+1)=AG$5,", "&amp;9,"")&amp;IF(INDEX($I$41:$O$51,2*INT((9+WEEKDAY(DATE(PlanYear,8,1),2)-1)/7)+1,MOD(9+WEEKDAY(DATE(PlanYear,8,1),2)-1,7)+1)=AG$5,", "&amp;10,"")&amp;IF(INDEX($I$41:$O$51,2*INT((10+WEEKDAY(DATE(PlanYear,8,1),2)-1)/7)+1,MOD(10+WEEKDAY(DATE(PlanYear,8,1),2)-1,7)+1)=AG$5,", "&amp;11,"")&amp;IF(INDEX($I$41:$O$51,2*INT((11+WEEKDAY(DATE(PlanYear,8,1),2)-1)/7)+1,MOD(11+WEEKDAY(DATE(PlanYear,8,1),2)-1,7)+1)=AG$5,", "&amp;12,"")&amp;IF(INDEX($I$41:$O$51,2*INT((12+WEEKDAY(DATE(PlanYear,8,1),2)-1)/7)+1,MOD(12+WEEKDAY(DATE(PlanYear,8,1),2)-1,7)+1)=AG$5,", "&amp;13,"")&amp;IF(INDEX($I$41:$O$51,2*INT((13+WEEKDAY(DATE(PlanYear,8,1),2)-1)/7)+1,MOD(13+WEEKDAY(DATE(PlanYear,8,1),2)-1,7)+1)=AG$5,", "&amp;14,"")&amp;IF(INDEX($I$41:$O$51,2*INT((14+WEEKDAY(DATE(PlanYear,8,1),2)-1)/7)+1,MOD(14+WEEKDAY(DATE(PlanYear,8,1),2)-1,7)+1)=AG$5,", "&amp;15,"")&amp;IF(INDEX($I$41:$O$51,2*INT((15+WEEKDAY(DATE(PlanYear,8,1),2)-1)/7)+1,MOD(15+WEEKDAY(DATE(PlanYear,8,1),2)-1,7)+1)=AG$5,", "&amp;16,"")&amp;IF(INDEX($I$41:$O$51,2*INT((16+WEEKDAY(DATE(PlanYear,8,1),2)-1)/7)+1,MOD(16+WEEKDAY(DATE(PlanYear,8,1),2)-1,7)+1)=AG$5,", "&amp;17,"")&amp;IF(INDEX($I$41:$O$51,2*INT((17+WEEKDAY(DATE(PlanYear,8,1),2)-1)/7)+1,MOD(17+WEEKDAY(DATE(PlanYear,8,1),2)-1,7)+1)=AG$5,", "&amp;18,"")&amp;IF(INDEX($I$41:$O$51,2*INT((18+WEEKDAY(DATE(PlanYear,8,1),2)-1)/7)+1,MOD(18+WEEKDAY(DATE(PlanYear,8,1),2)-1,7)+1)=AG$5,", "&amp;19,"")&amp;IF(INDEX($I$41:$O$51,2*INT((19+WEEKDAY(DATE(PlanYear,8,1),2)-1)/7)+1,MOD(19+WEEKDAY(DATE(PlanYear,8,1),2)-1,7)+1)=AG$5,", "&amp;20,"")&amp;IF(INDEX($I$41:$O$51,2*INT((20+WEEKDAY(DATE(PlanYear,8,1),2)-1)/7)+1,MOD(20+WEEKDAY(DATE(PlanYear,8,1),2)-1,7)+1)=AG$5,", "&amp;21,"")&amp;IF(INDEX($I$41:$O$51,2*INT((21+WEEKDAY(DATE(PlanYear,8,1),2)-1)/7)+1,MOD(21+WEEKDAY(DATE(PlanYear,8,1),2)-1,7)+1)=AG$5,", "&amp;22,"")&amp;IF(INDEX($I$41:$O$51,2*INT((22+WEEKDAY(DATE(PlanYear,8,1),2)-1)/7)+1,MOD(22+WEEKDAY(DATE(PlanYear,8,1),2)-1,7)+1)=AG$5,", "&amp;23,"")&amp;IF(INDEX($I$41:$O$51,2*INT((23+WEEKDAY(DATE(PlanYear,8,1),2)-1)/7)+1,MOD(23+WEEKDAY(DATE(PlanYear,8,1),2)-1,7)+1)=AG$5,", "&amp;24,"")&amp;IF(INDEX($I$41:$O$51,2*INT((24+WEEKDAY(DATE(PlanYear,8,1),2)-1)/7)+1,MOD(24+WEEKDAY(DATE(PlanYear,8,1),2)-1,7)+1)=AG$5,", "&amp;25,"")&amp;IF(INDEX($I$41:$O$51,2*INT((25+WEEKDAY(DATE(PlanYear,8,1),2)-1)/7)+1,MOD(25+WEEKDAY(DATE(PlanYear,8,1),2)-1,7)+1)=AG$5,", "&amp;26,"")&amp;IF(INDEX($I$41:$O$51,2*INT((26+WEEKDAY(DATE(PlanYear,8,1),2)-1)/7)+1,MOD(26+WEEKDAY(DATE(PlanYear,8,1),2)-1,7)+1)=AG$5,", "&amp;27,"")&amp;IF(INDEX($I$41:$O$51,2*INT((27+WEEKDAY(DATE(PlanYear,8,1),2)-1)/7)+1,MOD(27+WEEKDAY(DATE(PlanYear,8,1),2)-1,7)+1)=AG$5,", "&amp;28,"")&amp;IF(INDEX($I$41:$O$51,2*INT((28+WEEKDAY(DATE(PlanYear,8,1),2)-1)/7)+1,MOD(28+WEEKDAY(DATE(PlanYear,8,1),2)-1,7)+1)=AG$5,", "&amp;29,"")&amp;IF(INDEX($I$41:$O$51,2*INT((29+WEEKDAY(DATE(PlanYear,8,1),2)-1)/7)+1,MOD(29+WEEKDAY(DATE(PlanYear,8,1),2)-1,7)+1)=AG$5,", "&amp;30,"")&amp;IF(INDEX($I$41:$O$51,2*INT((30+WEEKDAY(DATE(PlanYear,8,1),2)-1)/7)+1,MOD(30+WEEKDAY(DATE(PlanYear,8,1),2)-1,7)+1)=AG$5,", "&amp;31,""),3,200))</f>
        <v/>
      </c>
      <c r="AH13" s="16">
        <f>IF(AH$5="","",MID(IF(INDEX($I$41:$O$51,2*INT((0+WEEKDAY(DATE(PlanYear,8,1),2)-1)/7)+1,MOD(0+WEEKDAY(DATE(PlanYear,8,1),2)-1,7)+1)=AH$5,", "&amp;1,"")&amp;IF(INDEX($I$41:$O$51,2*INT((1+WEEKDAY(DATE(PlanYear,8,1),2)-1)/7)+1,MOD(1+WEEKDAY(DATE(PlanYear,8,1),2)-1,7)+1)=AH$5,", "&amp;2,"")&amp;IF(INDEX($I$41:$O$51,2*INT((2+WEEKDAY(DATE(PlanYear,8,1),2)-1)/7)+1,MOD(2+WEEKDAY(DATE(PlanYear,8,1),2)-1,7)+1)=AH$5,", "&amp;3,"")&amp;IF(INDEX($I$41:$O$51,2*INT((3+WEEKDAY(DATE(PlanYear,8,1),2)-1)/7)+1,MOD(3+WEEKDAY(DATE(PlanYear,8,1),2)-1,7)+1)=AH$5,", "&amp;4,"")&amp;IF(INDEX($I$41:$O$51,2*INT((4+WEEKDAY(DATE(PlanYear,8,1),2)-1)/7)+1,MOD(4+WEEKDAY(DATE(PlanYear,8,1),2)-1,7)+1)=AH$5,", "&amp;5,"")&amp;IF(INDEX($I$41:$O$51,2*INT((5+WEEKDAY(DATE(PlanYear,8,1),2)-1)/7)+1,MOD(5+WEEKDAY(DATE(PlanYear,8,1),2)-1,7)+1)=AH$5,", "&amp;6,"")&amp;IF(INDEX($I$41:$O$51,2*INT((6+WEEKDAY(DATE(PlanYear,8,1),2)-1)/7)+1,MOD(6+WEEKDAY(DATE(PlanYear,8,1),2)-1,7)+1)=AH$5,", "&amp;7,"")&amp;IF(INDEX($I$41:$O$51,2*INT((7+WEEKDAY(DATE(PlanYear,8,1),2)-1)/7)+1,MOD(7+WEEKDAY(DATE(PlanYear,8,1),2)-1,7)+1)=AH$5,", "&amp;8,"")&amp;IF(INDEX($I$41:$O$51,2*INT((8+WEEKDAY(DATE(PlanYear,8,1),2)-1)/7)+1,MOD(8+WEEKDAY(DATE(PlanYear,8,1),2)-1,7)+1)=AH$5,", "&amp;9,"")&amp;IF(INDEX($I$41:$O$51,2*INT((9+WEEKDAY(DATE(PlanYear,8,1),2)-1)/7)+1,MOD(9+WEEKDAY(DATE(PlanYear,8,1),2)-1,7)+1)=AH$5,", "&amp;10,"")&amp;IF(INDEX($I$41:$O$51,2*INT((10+WEEKDAY(DATE(PlanYear,8,1),2)-1)/7)+1,MOD(10+WEEKDAY(DATE(PlanYear,8,1),2)-1,7)+1)=AH$5,", "&amp;11,"")&amp;IF(INDEX($I$41:$O$51,2*INT((11+WEEKDAY(DATE(PlanYear,8,1),2)-1)/7)+1,MOD(11+WEEKDAY(DATE(PlanYear,8,1),2)-1,7)+1)=AH$5,", "&amp;12,"")&amp;IF(INDEX($I$41:$O$51,2*INT((12+WEEKDAY(DATE(PlanYear,8,1),2)-1)/7)+1,MOD(12+WEEKDAY(DATE(PlanYear,8,1),2)-1,7)+1)=AH$5,", "&amp;13,"")&amp;IF(INDEX($I$41:$O$51,2*INT((13+WEEKDAY(DATE(PlanYear,8,1),2)-1)/7)+1,MOD(13+WEEKDAY(DATE(PlanYear,8,1),2)-1,7)+1)=AH$5,", "&amp;14,"")&amp;IF(INDEX($I$41:$O$51,2*INT((14+WEEKDAY(DATE(PlanYear,8,1),2)-1)/7)+1,MOD(14+WEEKDAY(DATE(PlanYear,8,1),2)-1,7)+1)=AH$5,", "&amp;15,"")&amp;IF(INDEX($I$41:$O$51,2*INT((15+WEEKDAY(DATE(PlanYear,8,1),2)-1)/7)+1,MOD(15+WEEKDAY(DATE(PlanYear,8,1),2)-1,7)+1)=AH$5,", "&amp;16,"")&amp;IF(INDEX($I$41:$O$51,2*INT((16+WEEKDAY(DATE(PlanYear,8,1),2)-1)/7)+1,MOD(16+WEEKDAY(DATE(PlanYear,8,1),2)-1,7)+1)=AH$5,", "&amp;17,"")&amp;IF(INDEX($I$41:$O$51,2*INT((17+WEEKDAY(DATE(PlanYear,8,1),2)-1)/7)+1,MOD(17+WEEKDAY(DATE(PlanYear,8,1),2)-1,7)+1)=AH$5,", "&amp;18,"")&amp;IF(INDEX($I$41:$O$51,2*INT((18+WEEKDAY(DATE(PlanYear,8,1),2)-1)/7)+1,MOD(18+WEEKDAY(DATE(PlanYear,8,1),2)-1,7)+1)=AH$5,", "&amp;19,"")&amp;IF(INDEX($I$41:$O$51,2*INT((19+WEEKDAY(DATE(PlanYear,8,1),2)-1)/7)+1,MOD(19+WEEKDAY(DATE(PlanYear,8,1),2)-1,7)+1)=AH$5,", "&amp;20,"")&amp;IF(INDEX($I$41:$O$51,2*INT((20+WEEKDAY(DATE(PlanYear,8,1),2)-1)/7)+1,MOD(20+WEEKDAY(DATE(PlanYear,8,1),2)-1,7)+1)=AH$5,", "&amp;21,"")&amp;IF(INDEX($I$41:$O$51,2*INT((21+WEEKDAY(DATE(PlanYear,8,1),2)-1)/7)+1,MOD(21+WEEKDAY(DATE(PlanYear,8,1),2)-1,7)+1)=AH$5,", "&amp;22,"")&amp;IF(INDEX($I$41:$O$51,2*INT((22+WEEKDAY(DATE(PlanYear,8,1),2)-1)/7)+1,MOD(22+WEEKDAY(DATE(PlanYear,8,1),2)-1,7)+1)=AH$5,", "&amp;23,"")&amp;IF(INDEX($I$41:$O$51,2*INT((23+WEEKDAY(DATE(PlanYear,8,1),2)-1)/7)+1,MOD(23+WEEKDAY(DATE(PlanYear,8,1),2)-1,7)+1)=AH$5,", "&amp;24,"")&amp;IF(INDEX($I$41:$O$51,2*INT((24+WEEKDAY(DATE(PlanYear,8,1),2)-1)/7)+1,MOD(24+WEEKDAY(DATE(PlanYear,8,1),2)-1,7)+1)=AH$5,", "&amp;25,"")&amp;IF(INDEX($I$41:$O$51,2*INT((25+WEEKDAY(DATE(PlanYear,8,1),2)-1)/7)+1,MOD(25+WEEKDAY(DATE(PlanYear,8,1),2)-1,7)+1)=AH$5,", "&amp;26,"")&amp;IF(INDEX($I$41:$O$51,2*INT((26+WEEKDAY(DATE(PlanYear,8,1),2)-1)/7)+1,MOD(26+WEEKDAY(DATE(PlanYear,8,1),2)-1,7)+1)=AH$5,", "&amp;27,"")&amp;IF(INDEX($I$41:$O$51,2*INT((27+WEEKDAY(DATE(PlanYear,8,1),2)-1)/7)+1,MOD(27+WEEKDAY(DATE(PlanYear,8,1),2)-1,7)+1)=AH$5,", "&amp;28,"")&amp;IF(INDEX($I$41:$O$51,2*INT((28+WEEKDAY(DATE(PlanYear,8,1),2)-1)/7)+1,MOD(28+WEEKDAY(DATE(PlanYear,8,1),2)-1,7)+1)=AH$5,", "&amp;29,"")&amp;IF(INDEX($I$41:$O$51,2*INT((29+WEEKDAY(DATE(PlanYear,8,1),2)-1)/7)+1,MOD(29+WEEKDAY(DATE(PlanYear,8,1),2)-1,7)+1)=AH$5,", "&amp;30,"")&amp;IF(INDEX($I$41:$O$51,2*INT((30+WEEKDAY(DATE(PlanYear,8,1),2)-1)/7)+1,MOD(30+WEEKDAY(DATE(PlanYear,8,1),2)-1,7)+1)=AH$5,", "&amp;31,""),3,200))</f>
        <v/>
      </c>
      <c r="AI13" s="16">
        <f>IF(AI$5="","",MID(IF(INDEX($I$41:$O$51,2*INT((0+WEEKDAY(DATE(PlanYear,8,1),2)-1)/7)+1,MOD(0+WEEKDAY(DATE(PlanYear,8,1),2)-1,7)+1)=AI$5,", "&amp;1,"")&amp;IF(INDEX($I$41:$O$51,2*INT((1+WEEKDAY(DATE(PlanYear,8,1),2)-1)/7)+1,MOD(1+WEEKDAY(DATE(PlanYear,8,1),2)-1,7)+1)=AI$5,", "&amp;2,"")&amp;IF(INDEX($I$41:$O$51,2*INT((2+WEEKDAY(DATE(PlanYear,8,1),2)-1)/7)+1,MOD(2+WEEKDAY(DATE(PlanYear,8,1),2)-1,7)+1)=AI$5,", "&amp;3,"")&amp;IF(INDEX($I$41:$O$51,2*INT((3+WEEKDAY(DATE(PlanYear,8,1),2)-1)/7)+1,MOD(3+WEEKDAY(DATE(PlanYear,8,1),2)-1,7)+1)=AI$5,", "&amp;4,"")&amp;IF(INDEX($I$41:$O$51,2*INT((4+WEEKDAY(DATE(PlanYear,8,1),2)-1)/7)+1,MOD(4+WEEKDAY(DATE(PlanYear,8,1),2)-1,7)+1)=AI$5,", "&amp;5,"")&amp;IF(INDEX($I$41:$O$51,2*INT((5+WEEKDAY(DATE(PlanYear,8,1),2)-1)/7)+1,MOD(5+WEEKDAY(DATE(PlanYear,8,1),2)-1,7)+1)=AI$5,", "&amp;6,"")&amp;IF(INDEX($I$41:$O$51,2*INT((6+WEEKDAY(DATE(PlanYear,8,1),2)-1)/7)+1,MOD(6+WEEKDAY(DATE(PlanYear,8,1),2)-1,7)+1)=AI$5,", "&amp;7,"")&amp;IF(INDEX($I$41:$O$51,2*INT((7+WEEKDAY(DATE(PlanYear,8,1),2)-1)/7)+1,MOD(7+WEEKDAY(DATE(PlanYear,8,1),2)-1,7)+1)=AI$5,", "&amp;8,"")&amp;IF(INDEX($I$41:$O$51,2*INT((8+WEEKDAY(DATE(PlanYear,8,1),2)-1)/7)+1,MOD(8+WEEKDAY(DATE(PlanYear,8,1),2)-1,7)+1)=AI$5,", "&amp;9,"")&amp;IF(INDEX($I$41:$O$51,2*INT((9+WEEKDAY(DATE(PlanYear,8,1),2)-1)/7)+1,MOD(9+WEEKDAY(DATE(PlanYear,8,1),2)-1,7)+1)=AI$5,", "&amp;10,"")&amp;IF(INDEX($I$41:$O$51,2*INT((10+WEEKDAY(DATE(PlanYear,8,1),2)-1)/7)+1,MOD(10+WEEKDAY(DATE(PlanYear,8,1),2)-1,7)+1)=AI$5,", "&amp;11,"")&amp;IF(INDEX($I$41:$O$51,2*INT((11+WEEKDAY(DATE(PlanYear,8,1),2)-1)/7)+1,MOD(11+WEEKDAY(DATE(PlanYear,8,1),2)-1,7)+1)=AI$5,", "&amp;12,"")&amp;IF(INDEX($I$41:$O$51,2*INT((12+WEEKDAY(DATE(PlanYear,8,1),2)-1)/7)+1,MOD(12+WEEKDAY(DATE(PlanYear,8,1),2)-1,7)+1)=AI$5,", "&amp;13,"")&amp;IF(INDEX($I$41:$O$51,2*INT((13+WEEKDAY(DATE(PlanYear,8,1),2)-1)/7)+1,MOD(13+WEEKDAY(DATE(PlanYear,8,1),2)-1,7)+1)=AI$5,", "&amp;14,"")&amp;IF(INDEX($I$41:$O$51,2*INT((14+WEEKDAY(DATE(PlanYear,8,1),2)-1)/7)+1,MOD(14+WEEKDAY(DATE(PlanYear,8,1),2)-1,7)+1)=AI$5,", "&amp;15,"")&amp;IF(INDEX($I$41:$O$51,2*INT((15+WEEKDAY(DATE(PlanYear,8,1),2)-1)/7)+1,MOD(15+WEEKDAY(DATE(PlanYear,8,1),2)-1,7)+1)=AI$5,", "&amp;16,"")&amp;IF(INDEX($I$41:$O$51,2*INT((16+WEEKDAY(DATE(PlanYear,8,1),2)-1)/7)+1,MOD(16+WEEKDAY(DATE(PlanYear,8,1),2)-1,7)+1)=AI$5,", "&amp;17,"")&amp;IF(INDEX($I$41:$O$51,2*INT((17+WEEKDAY(DATE(PlanYear,8,1),2)-1)/7)+1,MOD(17+WEEKDAY(DATE(PlanYear,8,1),2)-1,7)+1)=AI$5,", "&amp;18,"")&amp;IF(INDEX($I$41:$O$51,2*INT((18+WEEKDAY(DATE(PlanYear,8,1),2)-1)/7)+1,MOD(18+WEEKDAY(DATE(PlanYear,8,1),2)-1,7)+1)=AI$5,", "&amp;19,"")&amp;IF(INDEX($I$41:$O$51,2*INT((19+WEEKDAY(DATE(PlanYear,8,1),2)-1)/7)+1,MOD(19+WEEKDAY(DATE(PlanYear,8,1),2)-1,7)+1)=AI$5,", "&amp;20,"")&amp;IF(INDEX($I$41:$O$51,2*INT((20+WEEKDAY(DATE(PlanYear,8,1),2)-1)/7)+1,MOD(20+WEEKDAY(DATE(PlanYear,8,1),2)-1,7)+1)=AI$5,", "&amp;21,"")&amp;IF(INDEX($I$41:$O$51,2*INT((21+WEEKDAY(DATE(PlanYear,8,1),2)-1)/7)+1,MOD(21+WEEKDAY(DATE(PlanYear,8,1),2)-1,7)+1)=AI$5,", "&amp;22,"")&amp;IF(INDEX($I$41:$O$51,2*INT((22+WEEKDAY(DATE(PlanYear,8,1),2)-1)/7)+1,MOD(22+WEEKDAY(DATE(PlanYear,8,1),2)-1,7)+1)=AI$5,", "&amp;23,"")&amp;IF(INDEX($I$41:$O$51,2*INT((23+WEEKDAY(DATE(PlanYear,8,1),2)-1)/7)+1,MOD(23+WEEKDAY(DATE(PlanYear,8,1),2)-1,7)+1)=AI$5,", "&amp;24,"")&amp;IF(INDEX($I$41:$O$51,2*INT((24+WEEKDAY(DATE(PlanYear,8,1),2)-1)/7)+1,MOD(24+WEEKDAY(DATE(PlanYear,8,1),2)-1,7)+1)=AI$5,", "&amp;25,"")&amp;IF(INDEX($I$41:$O$51,2*INT((25+WEEKDAY(DATE(PlanYear,8,1),2)-1)/7)+1,MOD(25+WEEKDAY(DATE(PlanYear,8,1),2)-1,7)+1)=AI$5,", "&amp;26,"")&amp;IF(INDEX($I$41:$O$51,2*INT((26+WEEKDAY(DATE(PlanYear,8,1),2)-1)/7)+1,MOD(26+WEEKDAY(DATE(PlanYear,8,1),2)-1,7)+1)=AI$5,", "&amp;27,"")&amp;IF(INDEX($I$41:$O$51,2*INT((27+WEEKDAY(DATE(PlanYear,8,1),2)-1)/7)+1,MOD(27+WEEKDAY(DATE(PlanYear,8,1),2)-1,7)+1)=AI$5,", "&amp;28,"")&amp;IF(INDEX($I$41:$O$51,2*INT((28+WEEKDAY(DATE(PlanYear,8,1),2)-1)/7)+1,MOD(28+WEEKDAY(DATE(PlanYear,8,1),2)-1,7)+1)=AI$5,", "&amp;29,"")&amp;IF(INDEX($I$41:$O$51,2*INT((29+WEEKDAY(DATE(PlanYear,8,1),2)-1)/7)+1,MOD(29+WEEKDAY(DATE(PlanYear,8,1),2)-1,7)+1)=AI$5,", "&amp;30,"")&amp;IF(INDEX($I$41:$O$51,2*INT((30+WEEKDAY(DATE(PlanYear,8,1),2)-1)/7)+1,MOD(30+WEEKDAY(DATE(PlanYear,8,1),2)-1,7)+1)=AI$5,", "&amp;31,""),3,200))</f>
        <v/>
      </c>
      <c r="AJ13" s="16">
        <f>IF(AJ$5="","",MID(IF(INDEX($I$41:$O$51,2*INT((0+WEEKDAY(DATE(PlanYear,8,1),2)-1)/7)+1,MOD(0+WEEKDAY(DATE(PlanYear,8,1),2)-1,7)+1)=AJ$5,", "&amp;1,"")&amp;IF(INDEX($I$41:$O$51,2*INT((1+WEEKDAY(DATE(PlanYear,8,1),2)-1)/7)+1,MOD(1+WEEKDAY(DATE(PlanYear,8,1),2)-1,7)+1)=AJ$5,", "&amp;2,"")&amp;IF(INDEX($I$41:$O$51,2*INT((2+WEEKDAY(DATE(PlanYear,8,1),2)-1)/7)+1,MOD(2+WEEKDAY(DATE(PlanYear,8,1),2)-1,7)+1)=AJ$5,", "&amp;3,"")&amp;IF(INDEX($I$41:$O$51,2*INT((3+WEEKDAY(DATE(PlanYear,8,1),2)-1)/7)+1,MOD(3+WEEKDAY(DATE(PlanYear,8,1),2)-1,7)+1)=AJ$5,", "&amp;4,"")&amp;IF(INDEX($I$41:$O$51,2*INT((4+WEEKDAY(DATE(PlanYear,8,1),2)-1)/7)+1,MOD(4+WEEKDAY(DATE(PlanYear,8,1),2)-1,7)+1)=AJ$5,", "&amp;5,"")&amp;IF(INDEX($I$41:$O$51,2*INT((5+WEEKDAY(DATE(PlanYear,8,1),2)-1)/7)+1,MOD(5+WEEKDAY(DATE(PlanYear,8,1),2)-1,7)+1)=AJ$5,", "&amp;6,"")&amp;IF(INDEX($I$41:$O$51,2*INT((6+WEEKDAY(DATE(PlanYear,8,1),2)-1)/7)+1,MOD(6+WEEKDAY(DATE(PlanYear,8,1),2)-1,7)+1)=AJ$5,", "&amp;7,"")&amp;IF(INDEX($I$41:$O$51,2*INT((7+WEEKDAY(DATE(PlanYear,8,1),2)-1)/7)+1,MOD(7+WEEKDAY(DATE(PlanYear,8,1),2)-1,7)+1)=AJ$5,", "&amp;8,"")&amp;IF(INDEX($I$41:$O$51,2*INT((8+WEEKDAY(DATE(PlanYear,8,1),2)-1)/7)+1,MOD(8+WEEKDAY(DATE(PlanYear,8,1),2)-1,7)+1)=AJ$5,", "&amp;9,"")&amp;IF(INDEX($I$41:$O$51,2*INT((9+WEEKDAY(DATE(PlanYear,8,1),2)-1)/7)+1,MOD(9+WEEKDAY(DATE(PlanYear,8,1),2)-1,7)+1)=AJ$5,", "&amp;10,"")&amp;IF(INDEX($I$41:$O$51,2*INT((10+WEEKDAY(DATE(PlanYear,8,1),2)-1)/7)+1,MOD(10+WEEKDAY(DATE(PlanYear,8,1),2)-1,7)+1)=AJ$5,", "&amp;11,"")&amp;IF(INDEX($I$41:$O$51,2*INT((11+WEEKDAY(DATE(PlanYear,8,1),2)-1)/7)+1,MOD(11+WEEKDAY(DATE(PlanYear,8,1),2)-1,7)+1)=AJ$5,", "&amp;12,"")&amp;IF(INDEX($I$41:$O$51,2*INT((12+WEEKDAY(DATE(PlanYear,8,1),2)-1)/7)+1,MOD(12+WEEKDAY(DATE(PlanYear,8,1),2)-1,7)+1)=AJ$5,", "&amp;13,"")&amp;IF(INDEX($I$41:$O$51,2*INT((13+WEEKDAY(DATE(PlanYear,8,1),2)-1)/7)+1,MOD(13+WEEKDAY(DATE(PlanYear,8,1),2)-1,7)+1)=AJ$5,", "&amp;14,"")&amp;IF(INDEX($I$41:$O$51,2*INT((14+WEEKDAY(DATE(PlanYear,8,1),2)-1)/7)+1,MOD(14+WEEKDAY(DATE(PlanYear,8,1),2)-1,7)+1)=AJ$5,", "&amp;15,"")&amp;IF(INDEX($I$41:$O$51,2*INT((15+WEEKDAY(DATE(PlanYear,8,1),2)-1)/7)+1,MOD(15+WEEKDAY(DATE(PlanYear,8,1),2)-1,7)+1)=AJ$5,", "&amp;16,"")&amp;IF(INDEX($I$41:$O$51,2*INT((16+WEEKDAY(DATE(PlanYear,8,1),2)-1)/7)+1,MOD(16+WEEKDAY(DATE(PlanYear,8,1),2)-1,7)+1)=AJ$5,", "&amp;17,"")&amp;IF(INDEX($I$41:$O$51,2*INT((17+WEEKDAY(DATE(PlanYear,8,1),2)-1)/7)+1,MOD(17+WEEKDAY(DATE(PlanYear,8,1),2)-1,7)+1)=AJ$5,", "&amp;18,"")&amp;IF(INDEX($I$41:$O$51,2*INT((18+WEEKDAY(DATE(PlanYear,8,1),2)-1)/7)+1,MOD(18+WEEKDAY(DATE(PlanYear,8,1),2)-1,7)+1)=AJ$5,", "&amp;19,"")&amp;IF(INDEX($I$41:$O$51,2*INT((19+WEEKDAY(DATE(PlanYear,8,1),2)-1)/7)+1,MOD(19+WEEKDAY(DATE(PlanYear,8,1),2)-1,7)+1)=AJ$5,", "&amp;20,"")&amp;IF(INDEX($I$41:$O$51,2*INT((20+WEEKDAY(DATE(PlanYear,8,1),2)-1)/7)+1,MOD(20+WEEKDAY(DATE(PlanYear,8,1),2)-1,7)+1)=AJ$5,", "&amp;21,"")&amp;IF(INDEX($I$41:$O$51,2*INT((21+WEEKDAY(DATE(PlanYear,8,1),2)-1)/7)+1,MOD(21+WEEKDAY(DATE(PlanYear,8,1),2)-1,7)+1)=AJ$5,", "&amp;22,"")&amp;IF(INDEX($I$41:$O$51,2*INT((22+WEEKDAY(DATE(PlanYear,8,1),2)-1)/7)+1,MOD(22+WEEKDAY(DATE(PlanYear,8,1),2)-1,7)+1)=AJ$5,", "&amp;23,"")&amp;IF(INDEX($I$41:$O$51,2*INT((23+WEEKDAY(DATE(PlanYear,8,1),2)-1)/7)+1,MOD(23+WEEKDAY(DATE(PlanYear,8,1),2)-1,7)+1)=AJ$5,", "&amp;24,"")&amp;IF(INDEX($I$41:$O$51,2*INT((24+WEEKDAY(DATE(PlanYear,8,1),2)-1)/7)+1,MOD(24+WEEKDAY(DATE(PlanYear,8,1),2)-1,7)+1)=AJ$5,", "&amp;25,"")&amp;IF(INDEX($I$41:$O$51,2*INT((25+WEEKDAY(DATE(PlanYear,8,1),2)-1)/7)+1,MOD(25+WEEKDAY(DATE(PlanYear,8,1),2)-1,7)+1)=AJ$5,", "&amp;26,"")&amp;IF(INDEX($I$41:$O$51,2*INT((26+WEEKDAY(DATE(PlanYear,8,1),2)-1)/7)+1,MOD(26+WEEKDAY(DATE(PlanYear,8,1),2)-1,7)+1)=AJ$5,", "&amp;27,"")&amp;IF(INDEX($I$41:$O$51,2*INT((27+WEEKDAY(DATE(PlanYear,8,1),2)-1)/7)+1,MOD(27+WEEKDAY(DATE(PlanYear,8,1),2)-1,7)+1)=AJ$5,", "&amp;28,"")&amp;IF(INDEX($I$41:$O$51,2*INT((28+WEEKDAY(DATE(PlanYear,8,1),2)-1)/7)+1,MOD(28+WEEKDAY(DATE(PlanYear,8,1),2)-1,7)+1)=AJ$5,", "&amp;29,"")&amp;IF(INDEX($I$41:$O$51,2*INT((29+WEEKDAY(DATE(PlanYear,8,1),2)-1)/7)+1,MOD(29+WEEKDAY(DATE(PlanYear,8,1),2)-1,7)+1)=AJ$5,", "&amp;30,"")&amp;IF(INDEX($I$41:$O$51,2*INT((30+WEEKDAY(DATE(PlanYear,8,1),2)-1)/7)+1,MOD(30+WEEKDAY(DATE(PlanYear,8,1),2)-1,7)+1)=AJ$5,", "&amp;31,""),3,200))</f>
        <v/>
      </c>
      <c r="AK13" s="17">
        <f>DAY(EOMONTH(DATE(PlanYear,8,1),0))-COUNTIF($I$41:$O$51,"?*")</f>
        <v/>
      </c>
    </row>
    <row r="14" ht="26" customHeight="1">
      <c r="A14" s="20">
        <f>IF(AND(22-(WEEKDAY(DATE(PlanYear,1,1),2)-1)&gt;=1,22-(WEEKDAY(DATE(PlanYear,1,1),2)-1)&lt;=DAY(EOMONTH(DATE(PlanYear,1,1),0))),DATE(PlanYear,1,1)+22-WEEKDAY(DATE(PlanYear,1,1),2),"")</f>
        <v/>
      </c>
      <c r="B14" s="20">
        <f>IF(AND(23-(WEEKDAY(DATE(PlanYear,1,1),2)-1)&gt;=1,23-(WEEKDAY(DATE(PlanYear,1,1),2)-1)&lt;=DAY(EOMONTH(DATE(PlanYear,1,1),0))),DATE(PlanYear,1,1)+23-WEEKDAY(DATE(PlanYear,1,1),2),"")</f>
        <v/>
      </c>
      <c r="C14" s="20">
        <f>IF(AND(24-(WEEKDAY(DATE(PlanYear,1,1),2)-1)&gt;=1,24-(WEEKDAY(DATE(PlanYear,1,1),2)-1)&lt;=DAY(EOMONTH(DATE(PlanYear,1,1),0))),DATE(PlanYear,1,1)+24-WEEKDAY(DATE(PlanYear,1,1),2),"")</f>
        <v/>
      </c>
      <c r="D14" s="20">
        <f>IF(AND(25-(WEEKDAY(DATE(PlanYear,1,1),2)-1)&gt;=1,25-(WEEKDAY(DATE(PlanYear,1,1),2)-1)&lt;=DAY(EOMONTH(DATE(PlanYear,1,1),0))),DATE(PlanYear,1,1)+25-WEEKDAY(DATE(PlanYear,1,1),2),"")</f>
        <v/>
      </c>
      <c r="E14" s="20">
        <f>IF(AND(26-(WEEKDAY(DATE(PlanYear,1,1),2)-1)&gt;=1,26-(WEEKDAY(DATE(PlanYear,1,1),2)-1)&lt;=DAY(EOMONTH(DATE(PlanYear,1,1),0))),DATE(PlanYear,1,1)+26-WEEKDAY(DATE(PlanYear,1,1),2),"")</f>
        <v/>
      </c>
      <c r="F14" s="20">
        <f>IF(AND(27-(WEEKDAY(DATE(PlanYear,1,1),2)-1)&gt;=1,27-(WEEKDAY(DATE(PlanYear,1,1),2)-1)&lt;=DAY(EOMONTH(DATE(PlanYear,1,1),0))),DATE(PlanYear,1,1)+27-WEEKDAY(DATE(PlanYear,1,1),2),"")</f>
        <v/>
      </c>
      <c r="G14" s="20">
        <f>IF(AND(28-(WEEKDAY(DATE(PlanYear,1,1),2)-1)&gt;=1,28-(WEEKDAY(DATE(PlanYear,1,1),2)-1)&lt;=DAY(EOMONTH(DATE(PlanYear,1,1),0))),DATE(PlanYear,1,1)+28-WEEKDAY(DATE(PlanYear,1,1),2),"")</f>
        <v/>
      </c>
      <c r="I14" s="20">
        <f>IF(AND(22-(WEEKDAY(DATE(PlanYear,2,1),2)-1)&gt;=1,22-(WEEKDAY(DATE(PlanYear,2,1),2)-1)&lt;=DAY(EOMONTH(DATE(PlanYear,2,1),0))),DATE(PlanYear,2,1)+22-WEEKDAY(DATE(PlanYear,2,1),2),"")</f>
        <v/>
      </c>
      <c r="J14" s="20">
        <f>IF(AND(23-(WEEKDAY(DATE(PlanYear,2,1),2)-1)&gt;=1,23-(WEEKDAY(DATE(PlanYear,2,1),2)-1)&lt;=DAY(EOMONTH(DATE(PlanYear,2,1),0))),DATE(PlanYear,2,1)+23-WEEKDAY(DATE(PlanYear,2,1),2),"")</f>
        <v/>
      </c>
      <c r="K14" s="20">
        <f>IF(AND(24-(WEEKDAY(DATE(PlanYear,2,1),2)-1)&gt;=1,24-(WEEKDAY(DATE(PlanYear,2,1),2)-1)&lt;=DAY(EOMONTH(DATE(PlanYear,2,1),0))),DATE(PlanYear,2,1)+24-WEEKDAY(DATE(PlanYear,2,1),2),"")</f>
        <v/>
      </c>
      <c r="L14" s="20">
        <f>IF(AND(25-(WEEKDAY(DATE(PlanYear,2,1),2)-1)&gt;=1,25-(WEEKDAY(DATE(PlanYear,2,1),2)-1)&lt;=DAY(EOMONTH(DATE(PlanYear,2,1),0))),DATE(PlanYear,2,1)+25-WEEKDAY(DATE(PlanYear,2,1),2),"")</f>
        <v/>
      </c>
      <c r="M14" s="20">
        <f>IF(AND(26-(WEEKDAY(DATE(PlanYear,2,1),2)-1)&gt;=1,26-(WEEKDAY(DATE(PlanYear,2,1),2)-1)&lt;=DAY(EOMONTH(DATE(PlanYear,2,1),0))),DATE(PlanYear,2,1)+26-WEEKDAY(DATE(PlanYear,2,1),2),"")</f>
        <v/>
      </c>
      <c r="N14" s="20">
        <f>IF(AND(27-(WEEKDAY(DATE(PlanYear,2,1),2)-1)&gt;=1,27-(WEEKDAY(DATE(PlanYear,2,1),2)-1)&lt;=DAY(EOMONTH(DATE(PlanYear,2,1),0))),DATE(PlanYear,2,1)+27-WEEKDAY(DATE(PlanYear,2,1),2),"")</f>
        <v/>
      </c>
      <c r="O14" s="20">
        <f>IF(AND(28-(WEEKDAY(DATE(PlanYear,2,1),2)-1)&gt;=1,28-(WEEKDAY(DATE(PlanYear,2,1),2)-1)&lt;=DAY(EOMONTH(DATE(PlanYear,2,1),0))),DATE(PlanYear,2,1)+28-WEEKDAY(DATE(PlanYear,2,1),2),"")</f>
        <v/>
      </c>
      <c r="Q14" s="20">
        <f>IF(AND(22-(WEEKDAY(DATE(PlanYear,3,1),2)-1)&gt;=1,22-(WEEKDAY(DATE(PlanYear,3,1),2)-1)&lt;=DAY(EOMONTH(DATE(PlanYear,3,1),0))),DATE(PlanYear,3,1)+22-WEEKDAY(DATE(PlanYear,3,1),2),"")</f>
        <v/>
      </c>
      <c r="R14" s="20">
        <f>IF(AND(23-(WEEKDAY(DATE(PlanYear,3,1),2)-1)&gt;=1,23-(WEEKDAY(DATE(PlanYear,3,1),2)-1)&lt;=DAY(EOMONTH(DATE(PlanYear,3,1),0))),DATE(PlanYear,3,1)+23-WEEKDAY(DATE(PlanYear,3,1),2),"")</f>
        <v/>
      </c>
      <c r="S14" s="20">
        <f>IF(AND(24-(WEEKDAY(DATE(PlanYear,3,1),2)-1)&gt;=1,24-(WEEKDAY(DATE(PlanYear,3,1),2)-1)&lt;=DAY(EOMONTH(DATE(PlanYear,3,1),0))),DATE(PlanYear,3,1)+24-WEEKDAY(DATE(PlanYear,3,1),2),"")</f>
        <v/>
      </c>
      <c r="T14" s="20">
        <f>IF(AND(25-(WEEKDAY(DATE(PlanYear,3,1),2)-1)&gt;=1,25-(WEEKDAY(DATE(PlanYear,3,1),2)-1)&lt;=DAY(EOMONTH(DATE(PlanYear,3,1),0))),DATE(PlanYear,3,1)+25-WEEKDAY(DATE(PlanYear,3,1),2),"")</f>
        <v/>
      </c>
      <c r="U14" s="20">
        <f>IF(AND(26-(WEEKDAY(DATE(PlanYear,3,1),2)-1)&gt;=1,26-(WEEKDAY(DATE(PlanYear,3,1),2)-1)&lt;=DAY(EOMONTH(DATE(PlanYear,3,1),0))),DATE(PlanYear,3,1)+26-WEEKDAY(DATE(PlanYear,3,1),2),"")</f>
        <v/>
      </c>
      <c r="V14" s="20">
        <f>IF(AND(27-(WEEKDAY(DATE(PlanYear,3,1),2)-1)&gt;=1,27-(WEEKDAY(DATE(PlanYear,3,1),2)-1)&lt;=DAY(EOMONTH(DATE(PlanYear,3,1),0))),DATE(PlanYear,3,1)+27-WEEKDAY(DATE(PlanYear,3,1),2),"")</f>
        <v/>
      </c>
      <c r="W14" s="20">
        <f>IF(AND(28-(WEEKDAY(DATE(PlanYear,3,1),2)-1)&gt;=1,28-(WEEKDAY(DATE(PlanYear,3,1),2)-1)&lt;=DAY(EOMONTH(DATE(PlanYear,3,1),0))),DATE(PlanYear,3,1)+28-WEEKDAY(DATE(PlanYear,3,1),2),"")</f>
        <v/>
      </c>
      <c r="Z14" s="15" t="inlineStr">
        <is>
          <t>September</t>
        </is>
      </c>
      <c r="AA14" s="16">
        <f>IF(AA$5="","",MID(IF(INDEX($Q$41:$W$51,2*INT((0+WEEKDAY(DATE(PlanYear,9,1),2)-1)/7)+1,MOD(0+WEEKDAY(DATE(PlanYear,9,1),2)-1,7)+1)=AA$5,", "&amp;1,"")&amp;IF(INDEX($Q$41:$W$51,2*INT((1+WEEKDAY(DATE(PlanYear,9,1),2)-1)/7)+1,MOD(1+WEEKDAY(DATE(PlanYear,9,1),2)-1,7)+1)=AA$5,", "&amp;2,"")&amp;IF(INDEX($Q$41:$W$51,2*INT((2+WEEKDAY(DATE(PlanYear,9,1),2)-1)/7)+1,MOD(2+WEEKDAY(DATE(PlanYear,9,1),2)-1,7)+1)=AA$5,", "&amp;3,"")&amp;IF(INDEX($Q$41:$W$51,2*INT((3+WEEKDAY(DATE(PlanYear,9,1),2)-1)/7)+1,MOD(3+WEEKDAY(DATE(PlanYear,9,1),2)-1,7)+1)=AA$5,", "&amp;4,"")&amp;IF(INDEX($Q$41:$W$51,2*INT((4+WEEKDAY(DATE(PlanYear,9,1),2)-1)/7)+1,MOD(4+WEEKDAY(DATE(PlanYear,9,1),2)-1,7)+1)=AA$5,", "&amp;5,"")&amp;IF(INDEX($Q$41:$W$51,2*INT((5+WEEKDAY(DATE(PlanYear,9,1),2)-1)/7)+1,MOD(5+WEEKDAY(DATE(PlanYear,9,1),2)-1,7)+1)=AA$5,", "&amp;6,"")&amp;IF(INDEX($Q$41:$W$51,2*INT((6+WEEKDAY(DATE(PlanYear,9,1),2)-1)/7)+1,MOD(6+WEEKDAY(DATE(PlanYear,9,1),2)-1,7)+1)=AA$5,", "&amp;7,"")&amp;IF(INDEX($Q$41:$W$51,2*INT((7+WEEKDAY(DATE(PlanYear,9,1),2)-1)/7)+1,MOD(7+WEEKDAY(DATE(PlanYear,9,1),2)-1,7)+1)=AA$5,", "&amp;8,"")&amp;IF(INDEX($Q$41:$W$51,2*INT((8+WEEKDAY(DATE(PlanYear,9,1),2)-1)/7)+1,MOD(8+WEEKDAY(DATE(PlanYear,9,1),2)-1,7)+1)=AA$5,", "&amp;9,"")&amp;IF(INDEX($Q$41:$W$51,2*INT((9+WEEKDAY(DATE(PlanYear,9,1),2)-1)/7)+1,MOD(9+WEEKDAY(DATE(PlanYear,9,1),2)-1,7)+1)=AA$5,", "&amp;10,"")&amp;IF(INDEX($Q$41:$W$51,2*INT((10+WEEKDAY(DATE(PlanYear,9,1),2)-1)/7)+1,MOD(10+WEEKDAY(DATE(PlanYear,9,1),2)-1,7)+1)=AA$5,", "&amp;11,"")&amp;IF(INDEX($Q$41:$W$51,2*INT((11+WEEKDAY(DATE(PlanYear,9,1),2)-1)/7)+1,MOD(11+WEEKDAY(DATE(PlanYear,9,1),2)-1,7)+1)=AA$5,", "&amp;12,"")&amp;IF(INDEX($Q$41:$W$51,2*INT((12+WEEKDAY(DATE(PlanYear,9,1),2)-1)/7)+1,MOD(12+WEEKDAY(DATE(PlanYear,9,1),2)-1,7)+1)=AA$5,", "&amp;13,"")&amp;IF(INDEX($Q$41:$W$51,2*INT((13+WEEKDAY(DATE(PlanYear,9,1),2)-1)/7)+1,MOD(13+WEEKDAY(DATE(PlanYear,9,1),2)-1,7)+1)=AA$5,", "&amp;14,"")&amp;IF(INDEX($Q$41:$W$51,2*INT((14+WEEKDAY(DATE(PlanYear,9,1),2)-1)/7)+1,MOD(14+WEEKDAY(DATE(PlanYear,9,1),2)-1,7)+1)=AA$5,", "&amp;15,"")&amp;IF(INDEX($Q$41:$W$51,2*INT((15+WEEKDAY(DATE(PlanYear,9,1),2)-1)/7)+1,MOD(15+WEEKDAY(DATE(PlanYear,9,1),2)-1,7)+1)=AA$5,", "&amp;16,"")&amp;IF(INDEX($Q$41:$W$51,2*INT((16+WEEKDAY(DATE(PlanYear,9,1),2)-1)/7)+1,MOD(16+WEEKDAY(DATE(PlanYear,9,1),2)-1,7)+1)=AA$5,", "&amp;17,"")&amp;IF(INDEX($Q$41:$W$51,2*INT((17+WEEKDAY(DATE(PlanYear,9,1),2)-1)/7)+1,MOD(17+WEEKDAY(DATE(PlanYear,9,1),2)-1,7)+1)=AA$5,", "&amp;18,"")&amp;IF(INDEX($Q$41:$W$51,2*INT((18+WEEKDAY(DATE(PlanYear,9,1),2)-1)/7)+1,MOD(18+WEEKDAY(DATE(PlanYear,9,1),2)-1,7)+1)=AA$5,", "&amp;19,"")&amp;IF(INDEX($Q$41:$W$51,2*INT((19+WEEKDAY(DATE(PlanYear,9,1),2)-1)/7)+1,MOD(19+WEEKDAY(DATE(PlanYear,9,1),2)-1,7)+1)=AA$5,", "&amp;20,"")&amp;IF(INDEX($Q$41:$W$51,2*INT((20+WEEKDAY(DATE(PlanYear,9,1),2)-1)/7)+1,MOD(20+WEEKDAY(DATE(PlanYear,9,1),2)-1,7)+1)=AA$5,", "&amp;21,"")&amp;IF(INDEX($Q$41:$W$51,2*INT((21+WEEKDAY(DATE(PlanYear,9,1),2)-1)/7)+1,MOD(21+WEEKDAY(DATE(PlanYear,9,1),2)-1,7)+1)=AA$5,", "&amp;22,"")&amp;IF(INDEX($Q$41:$W$51,2*INT((22+WEEKDAY(DATE(PlanYear,9,1),2)-1)/7)+1,MOD(22+WEEKDAY(DATE(PlanYear,9,1),2)-1,7)+1)=AA$5,", "&amp;23,"")&amp;IF(INDEX($Q$41:$W$51,2*INT((23+WEEKDAY(DATE(PlanYear,9,1),2)-1)/7)+1,MOD(23+WEEKDAY(DATE(PlanYear,9,1),2)-1,7)+1)=AA$5,", "&amp;24,"")&amp;IF(INDEX($Q$41:$W$51,2*INT((24+WEEKDAY(DATE(PlanYear,9,1),2)-1)/7)+1,MOD(24+WEEKDAY(DATE(PlanYear,9,1),2)-1,7)+1)=AA$5,", "&amp;25,"")&amp;IF(INDEX($Q$41:$W$51,2*INT((25+WEEKDAY(DATE(PlanYear,9,1),2)-1)/7)+1,MOD(25+WEEKDAY(DATE(PlanYear,9,1),2)-1,7)+1)=AA$5,", "&amp;26,"")&amp;IF(INDEX($Q$41:$W$51,2*INT((26+WEEKDAY(DATE(PlanYear,9,1),2)-1)/7)+1,MOD(26+WEEKDAY(DATE(PlanYear,9,1),2)-1,7)+1)=AA$5,", "&amp;27,"")&amp;IF(INDEX($Q$41:$W$51,2*INT((27+WEEKDAY(DATE(PlanYear,9,1),2)-1)/7)+1,MOD(27+WEEKDAY(DATE(PlanYear,9,1),2)-1,7)+1)=AA$5,", "&amp;28,"")&amp;IF(INDEX($Q$41:$W$51,2*INT((28+WEEKDAY(DATE(PlanYear,9,1),2)-1)/7)+1,MOD(28+WEEKDAY(DATE(PlanYear,9,1),2)-1,7)+1)=AA$5,", "&amp;29,"")&amp;IF(INDEX($Q$41:$W$51,2*INT((29+WEEKDAY(DATE(PlanYear,9,1),2)-1)/7)+1,MOD(29+WEEKDAY(DATE(PlanYear,9,1),2)-1,7)+1)=AA$5,", "&amp;30,"")&amp;IF(INDEX($Q$41:$W$51,2*INT((30+WEEKDAY(DATE(PlanYear,9,1),2)-1)/7)+1,MOD(30+WEEKDAY(DATE(PlanYear,9,1),2)-1,7)+1)=AA$5,", "&amp;31,""),3,200))</f>
        <v/>
      </c>
      <c r="AB14" s="16">
        <f>IF(AB$5="","",MID(IF(INDEX($Q$41:$W$51,2*INT((0+WEEKDAY(DATE(PlanYear,9,1),2)-1)/7)+1,MOD(0+WEEKDAY(DATE(PlanYear,9,1),2)-1,7)+1)=AB$5,", "&amp;1,"")&amp;IF(INDEX($Q$41:$W$51,2*INT((1+WEEKDAY(DATE(PlanYear,9,1),2)-1)/7)+1,MOD(1+WEEKDAY(DATE(PlanYear,9,1),2)-1,7)+1)=AB$5,", "&amp;2,"")&amp;IF(INDEX($Q$41:$W$51,2*INT((2+WEEKDAY(DATE(PlanYear,9,1),2)-1)/7)+1,MOD(2+WEEKDAY(DATE(PlanYear,9,1),2)-1,7)+1)=AB$5,", "&amp;3,"")&amp;IF(INDEX($Q$41:$W$51,2*INT((3+WEEKDAY(DATE(PlanYear,9,1),2)-1)/7)+1,MOD(3+WEEKDAY(DATE(PlanYear,9,1),2)-1,7)+1)=AB$5,", "&amp;4,"")&amp;IF(INDEX($Q$41:$W$51,2*INT((4+WEEKDAY(DATE(PlanYear,9,1),2)-1)/7)+1,MOD(4+WEEKDAY(DATE(PlanYear,9,1),2)-1,7)+1)=AB$5,", "&amp;5,"")&amp;IF(INDEX($Q$41:$W$51,2*INT((5+WEEKDAY(DATE(PlanYear,9,1),2)-1)/7)+1,MOD(5+WEEKDAY(DATE(PlanYear,9,1),2)-1,7)+1)=AB$5,", "&amp;6,"")&amp;IF(INDEX($Q$41:$W$51,2*INT((6+WEEKDAY(DATE(PlanYear,9,1),2)-1)/7)+1,MOD(6+WEEKDAY(DATE(PlanYear,9,1),2)-1,7)+1)=AB$5,", "&amp;7,"")&amp;IF(INDEX($Q$41:$W$51,2*INT((7+WEEKDAY(DATE(PlanYear,9,1),2)-1)/7)+1,MOD(7+WEEKDAY(DATE(PlanYear,9,1),2)-1,7)+1)=AB$5,", "&amp;8,"")&amp;IF(INDEX($Q$41:$W$51,2*INT((8+WEEKDAY(DATE(PlanYear,9,1),2)-1)/7)+1,MOD(8+WEEKDAY(DATE(PlanYear,9,1),2)-1,7)+1)=AB$5,", "&amp;9,"")&amp;IF(INDEX($Q$41:$W$51,2*INT((9+WEEKDAY(DATE(PlanYear,9,1),2)-1)/7)+1,MOD(9+WEEKDAY(DATE(PlanYear,9,1),2)-1,7)+1)=AB$5,", "&amp;10,"")&amp;IF(INDEX($Q$41:$W$51,2*INT((10+WEEKDAY(DATE(PlanYear,9,1),2)-1)/7)+1,MOD(10+WEEKDAY(DATE(PlanYear,9,1),2)-1,7)+1)=AB$5,", "&amp;11,"")&amp;IF(INDEX($Q$41:$W$51,2*INT((11+WEEKDAY(DATE(PlanYear,9,1),2)-1)/7)+1,MOD(11+WEEKDAY(DATE(PlanYear,9,1),2)-1,7)+1)=AB$5,", "&amp;12,"")&amp;IF(INDEX($Q$41:$W$51,2*INT((12+WEEKDAY(DATE(PlanYear,9,1),2)-1)/7)+1,MOD(12+WEEKDAY(DATE(PlanYear,9,1),2)-1,7)+1)=AB$5,", "&amp;13,"")&amp;IF(INDEX($Q$41:$W$51,2*INT((13+WEEKDAY(DATE(PlanYear,9,1),2)-1)/7)+1,MOD(13+WEEKDAY(DATE(PlanYear,9,1),2)-1,7)+1)=AB$5,", "&amp;14,"")&amp;IF(INDEX($Q$41:$W$51,2*INT((14+WEEKDAY(DATE(PlanYear,9,1),2)-1)/7)+1,MOD(14+WEEKDAY(DATE(PlanYear,9,1),2)-1,7)+1)=AB$5,", "&amp;15,"")&amp;IF(INDEX($Q$41:$W$51,2*INT((15+WEEKDAY(DATE(PlanYear,9,1),2)-1)/7)+1,MOD(15+WEEKDAY(DATE(PlanYear,9,1),2)-1,7)+1)=AB$5,", "&amp;16,"")&amp;IF(INDEX($Q$41:$W$51,2*INT((16+WEEKDAY(DATE(PlanYear,9,1),2)-1)/7)+1,MOD(16+WEEKDAY(DATE(PlanYear,9,1),2)-1,7)+1)=AB$5,", "&amp;17,"")&amp;IF(INDEX($Q$41:$W$51,2*INT((17+WEEKDAY(DATE(PlanYear,9,1),2)-1)/7)+1,MOD(17+WEEKDAY(DATE(PlanYear,9,1),2)-1,7)+1)=AB$5,", "&amp;18,"")&amp;IF(INDEX($Q$41:$W$51,2*INT((18+WEEKDAY(DATE(PlanYear,9,1),2)-1)/7)+1,MOD(18+WEEKDAY(DATE(PlanYear,9,1),2)-1,7)+1)=AB$5,", "&amp;19,"")&amp;IF(INDEX($Q$41:$W$51,2*INT((19+WEEKDAY(DATE(PlanYear,9,1),2)-1)/7)+1,MOD(19+WEEKDAY(DATE(PlanYear,9,1),2)-1,7)+1)=AB$5,", "&amp;20,"")&amp;IF(INDEX($Q$41:$W$51,2*INT((20+WEEKDAY(DATE(PlanYear,9,1),2)-1)/7)+1,MOD(20+WEEKDAY(DATE(PlanYear,9,1),2)-1,7)+1)=AB$5,", "&amp;21,"")&amp;IF(INDEX($Q$41:$W$51,2*INT((21+WEEKDAY(DATE(PlanYear,9,1),2)-1)/7)+1,MOD(21+WEEKDAY(DATE(PlanYear,9,1),2)-1,7)+1)=AB$5,", "&amp;22,"")&amp;IF(INDEX($Q$41:$W$51,2*INT((22+WEEKDAY(DATE(PlanYear,9,1),2)-1)/7)+1,MOD(22+WEEKDAY(DATE(PlanYear,9,1),2)-1,7)+1)=AB$5,", "&amp;23,"")&amp;IF(INDEX($Q$41:$W$51,2*INT((23+WEEKDAY(DATE(PlanYear,9,1),2)-1)/7)+1,MOD(23+WEEKDAY(DATE(PlanYear,9,1),2)-1,7)+1)=AB$5,", "&amp;24,"")&amp;IF(INDEX($Q$41:$W$51,2*INT((24+WEEKDAY(DATE(PlanYear,9,1),2)-1)/7)+1,MOD(24+WEEKDAY(DATE(PlanYear,9,1),2)-1,7)+1)=AB$5,", "&amp;25,"")&amp;IF(INDEX($Q$41:$W$51,2*INT((25+WEEKDAY(DATE(PlanYear,9,1),2)-1)/7)+1,MOD(25+WEEKDAY(DATE(PlanYear,9,1),2)-1,7)+1)=AB$5,", "&amp;26,"")&amp;IF(INDEX($Q$41:$W$51,2*INT((26+WEEKDAY(DATE(PlanYear,9,1),2)-1)/7)+1,MOD(26+WEEKDAY(DATE(PlanYear,9,1),2)-1,7)+1)=AB$5,", "&amp;27,"")&amp;IF(INDEX($Q$41:$W$51,2*INT((27+WEEKDAY(DATE(PlanYear,9,1),2)-1)/7)+1,MOD(27+WEEKDAY(DATE(PlanYear,9,1),2)-1,7)+1)=AB$5,", "&amp;28,"")&amp;IF(INDEX($Q$41:$W$51,2*INT((28+WEEKDAY(DATE(PlanYear,9,1),2)-1)/7)+1,MOD(28+WEEKDAY(DATE(PlanYear,9,1),2)-1,7)+1)=AB$5,", "&amp;29,"")&amp;IF(INDEX($Q$41:$W$51,2*INT((29+WEEKDAY(DATE(PlanYear,9,1),2)-1)/7)+1,MOD(29+WEEKDAY(DATE(PlanYear,9,1),2)-1,7)+1)=AB$5,", "&amp;30,"")&amp;IF(INDEX($Q$41:$W$51,2*INT((30+WEEKDAY(DATE(PlanYear,9,1),2)-1)/7)+1,MOD(30+WEEKDAY(DATE(PlanYear,9,1),2)-1,7)+1)=AB$5,", "&amp;31,""),3,200))</f>
        <v/>
      </c>
      <c r="AC14" s="16">
        <f>IF(AC$5="","",MID(IF(INDEX($Q$41:$W$51,2*INT((0+WEEKDAY(DATE(PlanYear,9,1),2)-1)/7)+1,MOD(0+WEEKDAY(DATE(PlanYear,9,1),2)-1,7)+1)=AC$5,", "&amp;1,"")&amp;IF(INDEX($Q$41:$W$51,2*INT((1+WEEKDAY(DATE(PlanYear,9,1),2)-1)/7)+1,MOD(1+WEEKDAY(DATE(PlanYear,9,1),2)-1,7)+1)=AC$5,", "&amp;2,"")&amp;IF(INDEX($Q$41:$W$51,2*INT((2+WEEKDAY(DATE(PlanYear,9,1),2)-1)/7)+1,MOD(2+WEEKDAY(DATE(PlanYear,9,1),2)-1,7)+1)=AC$5,", "&amp;3,"")&amp;IF(INDEX($Q$41:$W$51,2*INT((3+WEEKDAY(DATE(PlanYear,9,1),2)-1)/7)+1,MOD(3+WEEKDAY(DATE(PlanYear,9,1),2)-1,7)+1)=AC$5,", "&amp;4,"")&amp;IF(INDEX($Q$41:$W$51,2*INT((4+WEEKDAY(DATE(PlanYear,9,1),2)-1)/7)+1,MOD(4+WEEKDAY(DATE(PlanYear,9,1),2)-1,7)+1)=AC$5,", "&amp;5,"")&amp;IF(INDEX($Q$41:$W$51,2*INT((5+WEEKDAY(DATE(PlanYear,9,1),2)-1)/7)+1,MOD(5+WEEKDAY(DATE(PlanYear,9,1),2)-1,7)+1)=AC$5,", "&amp;6,"")&amp;IF(INDEX($Q$41:$W$51,2*INT((6+WEEKDAY(DATE(PlanYear,9,1),2)-1)/7)+1,MOD(6+WEEKDAY(DATE(PlanYear,9,1),2)-1,7)+1)=AC$5,", "&amp;7,"")&amp;IF(INDEX($Q$41:$W$51,2*INT((7+WEEKDAY(DATE(PlanYear,9,1),2)-1)/7)+1,MOD(7+WEEKDAY(DATE(PlanYear,9,1),2)-1,7)+1)=AC$5,", "&amp;8,"")&amp;IF(INDEX($Q$41:$W$51,2*INT((8+WEEKDAY(DATE(PlanYear,9,1),2)-1)/7)+1,MOD(8+WEEKDAY(DATE(PlanYear,9,1),2)-1,7)+1)=AC$5,", "&amp;9,"")&amp;IF(INDEX($Q$41:$W$51,2*INT((9+WEEKDAY(DATE(PlanYear,9,1),2)-1)/7)+1,MOD(9+WEEKDAY(DATE(PlanYear,9,1),2)-1,7)+1)=AC$5,", "&amp;10,"")&amp;IF(INDEX($Q$41:$W$51,2*INT((10+WEEKDAY(DATE(PlanYear,9,1),2)-1)/7)+1,MOD(10+WEEKDAY(DATE(PlanYear,9,1),2)-1,7)+1)=AC$5,", "&amp;11,"")&amp;IF(INDEX($Q$41:$W$51,2*INT((11+WEEKDAY(DATE(PlanYear,9,1),2)-1)/7)+1,MOD(11+WEEKDAY(DATE(PlanYear,9,1),2)-1,7)+1)=AC$5,", "&amp;12,"")&amp;IF(INDEX($Q$41:$W$51,2*INT((12+WEEKDAY(DATE(PlanYear,9,1),2)-1)/7)+1,MOD(12+WEEKDAY(DATE(PlanYear,9,1),2)-1,7)+1)=AC$5,", "&amp;13,"")&amp;IF(INDEX($Q$41:$W$51,2*INT((13+WEEKDAY(DATE(PlanYear,9,1),2)-1)/7)+1,MOD(13+WEEKDAY(DATE(PlanYear,9,1),2)-1,7)+1)=AC$5,", "&amp;14,"")&amp;IF(INDEX($Q$41:$W$51,2*INT((14+WEEKDAY(DATE(PlanYear,9,1),2)-1)/7)+1,MOD(14+WEEKDAY(DATE(PlanYear,9,1),2)-1,7)+1)=AC$5,", "&amp;15,"")&amp;IF(INDEX($Q$41:$W$51,2*INT((15+WEEKDAY(DATE(PlanYear,9,1),2)-1)/7)+1,MOD(15+WEEKDAY(DATE(PlanYear,9,1),2)-1,7)+1)=AC$5,", "&amp;16,"")&amp;IF(INDEX($Q$41:$W$51,2*INT((16+WEEKDAY(DATE(PlanYear,9,1),2)-1)/7)+1,MOD(16+WEEKDAY(DATE(PlanYear,9,1),2)-1,7)+1)=AC$5,", "&amp;17,"")&amp;IF(INDEX($Q$41:$W$51,2*INT((17+WEEKDAY(DATE(PlanYear,9,1),2)-1)/7)+1,MOD(17+WEEKDAY(DATE(PlanYear,9,1),2)-1,7)+1)=AC$5,", "&amp;18,"")&amp;IF(INDEX($Q$41:$W$51,2*INT((18+WEEKDAY(DATE(PlanYear,9,1),2)-1)/7)+1,MOD(18+WEEKDAY(DATE(PlanYear,9,1),2)-1,7)+1)=AC$5,", "&amp;19,"")&amp;IF(INDEX($Q$41:$W$51,2*INT((19+WEEKDAY(DATE(PlanYear,9,1),2)-1)/7)+1,MOD(19+WEEKDAY(DATE(PlanYear,9,1),2)-1,7)+1)=AC$5,", "&amp;20,"")&amp;IF(INDEX($Q$41:$W$51,2*INT((20+WEEKDAY(DATE(PlanYear,9,1),2)-1)/7)+1,MOD(20+WEEKDAY(DATE(PlanYear,9,1),2)-1,7)+1)=AC$5,", "&amp;21,"")&amp;IF(INDEX($Q$41:$W$51,2*INT((21+WEEKDAY(DATE(PlanYear,9,1),2)-1)/7)+1,MOD(21+WEEKDAY(DATE(PlanYear,9,1),2)-1,7)+1)=AC$5,", "&amp;22,"")&amp;IF(INDEX($Q$41:$W$51,2*INT((22+WEEKDAY(DATE(PlanYear,9,1),2)-1)/7)+1,MOD(22+WEEKDAY(DATE(PlanYear,9,1),2)-1,7)+1)=AC$5,", "&amp;23,"")&amp;IF(INDEX($Q$41:$W$51,2*INT((23+WEEKDAY(DATE(PlanYear,9,1),2)-1)/7)+1,MOD(23+WEEKDAY(DATE(PlanYear,9,1),2)-1,7)+1)=AC$5,", "&amp;24,"")&amp;IF(INDEX($Q$41:$W$51,2*INT((24+WEEKDAY(DATE(PlanYear,9,1),2)-1)/7)+1,MOD(24+WEEKDAY(DATE(PlanYear,9,1),2)-1,7)+1)=AC$5,", "&amp;25,"")&amp;IF(INDEX($Q$41:$W$51,2*INT((25+WEEKDAY(DATE(PlanYear,9,1),2)-1)/7)+1,MOD(25+WEEKDAY(DATE(PlanYear,9,1),2)-1,7)+1)=AC$5,", "&amp;26,"")&amp;IF(INDEX($Q$41:$W$51,2*INT((26+WEEKDAY(DATE(PlanYear,9,1),2)-1)/7)+1,MOD(26+WEEKDAY(DATE(PlanYear,9,1),2)-1,7)+1)=AC$5,", "&amp;27,"")&amp;IF(INDEX($Q$41:$W$51,2*INT((27+WEEKDAY(DATE(PlanYear,9,1),2)-1)/7)+1,MOD(27+WEEKDAY(DATE(PlanYear,9,1),2)-1,7)+1)=AC$5,", "&amp;28,"")&amp;IF(INDEX($Q$41:$W$51,2*INT((28+WEEKDAY(DATE(PlanYear,9,1),2)-1)/7)+1,MOD(28+WEEKDAY(DATE(PlanYear,9,1),2)-1,7)+1)=AC$5,", "&amp;29,"")&amp;IF(INDEX($Q$41:$W$51,2*INT((29+WEEKDAY(DATE(PlanYear,9,1),2)-1)/7)+1,MOD(29+WEEKDAY(DATE(PlanYear,9,1),2)-1,7)+1)=AC$5,", "&amp;30,"")&amp;IF(INDEX($Q$41:$W$51,2*INT((30+WEEKDAY(DATE(PlanYear,9,1),2)-1)/7)+1,MOD(30+WEEKDAY(DATE(PlanYear,9,1),2)-1,7)+1)=AC$5,", "&amp;31,""),3,200))</f>
        <v/>
      </c>
      <c r="AD14" s="16">
        <f>IF(AD$5="","",MID(IF(INDEX($Q$41:$W$51,2*INT((0+WEEKDAY(DATE(PlanYear,9,1),2)-1)/7)+1,MOD(0+WEEKDAY(DATE(PlanYear,9,1),2)-1,7)+1)=AD$5,", "&amp;1,"")&amp;IF(INDEX($Q$41:$W$51,2*INT((1+WEEKDAY(DATE(PlanYear,9,1),2)-1)/7)+1,MOD(1+WEEKDAY(DATE(PlanYear,9,1),2)-1,7)+1)=AD$5,", "&amp;2,"")&amp;IF(INDEX($Q$41:$W$51,2*INT((2+WEEKDAY(DATE(PlanYear,9,1),2)-1)/7)+1,MOD(2+WEEKDAY(DATE(PlanYear,9,1),2)-1,7)+1)=AD$5,", "&amp;3,"")&amp;IF(INDEX($Q$41:$W$51,2*INT((3+WEEKDAY(DATE(PlanYear,9,1),2)-1)/7)+1,MOD(3+WEEKDAY(DATE(PlanYear,9,1),2)-1,7)+1)=AD$5,", "&amp;4,"")&amp;IF(INDEX($Q$41:$W$51,2*INT((4+WEEKDAY(DATE(PlanYear,9,1),2)-1)/7)+1,MOD(4+WEEKDAY(DATE(PlanYear,9,1),2)-1,7)+1)=AD$5,", "&amp;5,"")&amp;IF(INDEX($Q$41:$W$51,2*INT((5+WEEKDAY(DATE(PlanYear,9,1),2)-1)/7)+1,MOD(5+WEEKDAY(DATE(PlanYear,9,1),2)-1,7)+1)=AD$5,", "&amp;6,"")&amp;IF(INDEX($Q$41:$W$51,2*INT((6+WEEKDAY(DATE(PlanYear,9,1),2)-1)/7)+1,MOD(6+WEEKDAY(DATE(PlanYear,9,1),2)-1,7)+1)=AD$5,", "&amp;7,"")&amp;IF(INDEX($Q$41:$W$51,2*INT((7+WEEKDAY(DATE(PlanYear,9,1),2)-1)/7)+1,MOD(7+WEEKDAY(DATE(PlanYear,9,1),2)-1,7)+1)=AD$5,", "&amp;8,"")&amp;IF(INDEX($Q$41:$W$51,2*INT((8+WEEKDAY(DATE(PlanYear,9,1),2)-1)/7)+1,MOD(8+WEEKDAY(DATE(PlanYear,9,1),2)-1,7)+1)=AD$5,", "&amp;9,"")&amp;IF(INDEX($Q$41:$W$51,2*INT((9+WEEKDAY(DATE(PlanYear,9,1),2)-1)/7)+1,MOD(9+WEEKDAY(DATE(PlanYear,9,1),2)-1,7)+1)=AD$5,", "&amp;10,"")&amp;IF(INDEX($Q$41:$W$51,2*INT((10+WEEKDAY(DATE(PlanYear,9,1),2)-1)/7)+1,MOD(10+WEEKDAY(DATE(PlanYear,9,1),2)-1,7)+1)=AD$5,", "&amp;11,"")&amp;IF(INDEX($Q$41:$W$51,2*INT((11+WEEKDAY(DATE(PlanYear,9,1),2)-1)/7)+1,MOD(11+WEEKDAY(DATE(PlanYear,9,1),2)-1,7)+1)=AD$5,", "&amp;12,"")&amp;IF(INDEX($Q$41:$W$51,2*INT((12+WEEKDAY(DATE(PlanYear,9,1),2)-1)/7)+1,MOD(12+WEEKDAY(DATE(PlanYear,9,1),2)-1,7)+1)=AD$5,", "&amp;13,"")&amp;IF(INDEX($Q$41:$W$51,2*INT((13+WEEKDAY(DATE(PlanYear,9,1),2)-1)/7)+1,MOD(13+WEEKDAY(DATE(PlanYear,9,1),2)-1,7)+1)=AD$5,", "&amp;14,"")&amp;IF(INDEX($Q$41:$W$51,2*INT((14+WEEKDAY(DATE(PlanYear,9,1),2)-1)/7)+1,MOD(14+WEEKDAY(DATE(PlanYear,9,1),2)-1,7)+1)=AD$5,", "&amp;15,"")&amp;IF(INDEX($Q$41:$W$51,2*INT((15+WEEKDAY(DATE(PlanYear,9,1),2)-1)/7)+1,MOD(15+WEEKDAY(DATE(PlanYear,9,1),2)-1,7)+1)=AD$5,", "&amp;16,"")&amp;IF(INDEX($Q$41:$W$51,2*INT((16+WEEKDAY(DATE(PlanYear,9,1),2)-1)/7)+1,MOD(16+WEEKDAY(DATE(PlanYear,9,1),2)-1,7)+1)=AD$5,", "&amp;17,"")&amp;IF(INDEX($Q$41:$W$51,2*INT((17+WEEKDAY(DATE(PlanYear,9,1),2)-1)/7)+1,MOD(17+WEEKDAY(DATE(PlanYear,9,1),2)-1,7)+1)=AD$5,", "&amp;18,"")&amp;IF(INDEX($Q$41:$W$51,2*INT((18+WEEKDAY(DATE(PlanYear,9,1),2)-1)/7)+1,MOD(18+WEEKDAY(DATE(PlanYear,9,1),2)-1,7)+1)=AD$5,", "&amp;19,"")&amp;IF(INDEX($Q$41:$W$51,2*INT((19+WEEKDAY(DATE(PlanYear,9,1),2)-1)/7)+1,MOD(19+WEEKDAY(DATE(PlanYear,9,1),2)-1,7)+1)=AD$5,", "&amp;20,"")&amp;IF(INDEX($Q$41:$W$51,2*INT((20+WEEKDAY(DATE(PlanYear,9,1),2)-1)/7)+1,MOD(20+WEEKDAY(DATE(PlanYear,9,1),2)-1,7)+1)=AD$5,", "&amp;21,"")&amp;IF(INDEX($Q$41:$W$51,2*INT((21+WEEKDAY(DATE(PlanYear,9,1),2)-1)/7)+1,MOD(21+WEEKDAY(DATE(PlanYear,9,1),2)-1,7)+1)=AD$5,", "&amp;22,"")&amp;IF(INDEX($Q$41:$W$51,2*INT((22+WEEKDAY(DATE(PlanYear,9,1),2)-1)/7)+1,MOD(22+WEEKDAY(DATE(PlanYear,9,1),2)-1,7)+1)=AD$5,", "&amp;23,"")&amp;IF(INDEX($Q$41:$W$51,2*INT((23+WEEKDAY(DATE(PlanYear,9,1),2)-1)/7)+1,MOD(23+WEEKDAY(DATE(PlanYear,9,1),2)-1,7)+1)=AD$5,", "&amp;24,"")&amp;IF(INDEX($Q$41:$W$51,2*INT((24+WEEKDAY(DATE(PlanYear,9,1),2)-1)/7)+1,MOD(24+WEEKDAY(DATE(PlanYear,9,1),2)-1,7)+1)=AD$5,", "&amp;25,"")&amp;IF(INDEX($Q$41:$W$51,2*INT((25+WEEKDAY(DATE(PlanYear,9,1),2)-1)/7)+1,MOD(25+WEEKDAY(DATE(PlanYear,9,1),2)-1,7)+1)=AD$5,", "&amp;26,"")&amp;IF(INDEX($Q$41:$W$51,2*INT((26+WEEKDAY(DATE(PlanYear,9,1),2)-1)/7)+1,MOD(26+WEEKDAY(DATE(PlanYear,9,1),2)-1,7)+1)=AD$5,", "&amp;27,"")&amp;IF(INDEX($Q$41:$W$51,2*INT((27+WEEKDAY(DATE(PlanYear,9,1),2)-1)/7)+1,MOD(27+WEEKDAY(DATE(PlanYear,9,1),2)-1,7)+1)=AD$5,", "&amp;28,"")&amp;IF(INDEX($Q$41:$W$51,2*INT((28+WEEKDAY(DATE(PlanYear,9,1),2)-1)/7)+1,MOD(28+WEEKDAY(DATE(PlanYear,9,1),2)-1,7)+1)=AD$5,", "&amp;29,"")&amp;IF(INDEX($Q$41:$W$51,2*INT((29+WEEKDAY(DATE(PlanYear,9,1),2)-1)/7)+1,MOD(29+WEEKDAY(DATE(PlanYear,9,1),2)-1,7)+1)=AD$5,", "&amp;30,"")&amp;IF(INDEX($Q$41:$W$51,2*INT((30+WEEKDAY(DATE(PlanYear,9,1),2)-1)/7)+1,MOD(30+WEEKDAY(DATE(PlanYear,9,1),2)-1,7)+1)=AD$5,", "&amp;31,""),3,200))</f>
        <v/>
      </c>
      <c r="AE14" s="16">
        <f>IF(AE$5="","",MID(IF(INDEX($Q$41:$W$51,2*INT((0+WEEKDAY(DATE(PlanYear,9,1),2)-1)/7)+1,MOD(0+WEEKDAY(DATE(PlanYear,9,1),2)-1,7)+1)=AE$5,", "&amp;1,"")&amp;IF(INDEX($Q$41:$W$51,2*INT((1+WEEKDAY(DATE(PlanYear,9,1),2)-1)/7)+1,MOD(1+WEEKDAY(DATE(PlanYear,9,1),2)-1,7)+1)=AE$5,", "&amp;2,"")&amp;IF(INDEX($Q$41:$W$51,2*INT((2+WEEKDAY(DATE(PlanYear,9,1),2)-1)/7)+1,MOD(2+WEEKDAY(DATE(PlanYear,9,1),2)-1,7)+1)=AE$5,", "&amp;3,"")&amp;IF(INDEX($Q$41:$W$51,2*INT((3+WEEKDAY(DATE(PlanYear,9,1),2)-1)/7)+1,MOD(3+WEEKDAY(DATE(PlanYear,9,1),2)-1,7)+1)=AE$5,", "&amp;4,"")&amp;IF(INDEX($Q$41:$W$51,2*INT((4+WEEKDAY(DATE(PlanYear,9,1),2)-1)/7)+1,MOD(4+WEEKDAY(DATE(PlanYear,9,1),2)-1,7)+1)=AE$5,", "&amp;5,"")&amp;IF(INDEX($Q$41:$W$51,2*INT((5+WEEKDAY(DATE(PlanYear,9,1),2)-1)/7)+1,MOD(5+WEEKDAY(DATE(PlanYear,9,1),2)-1,7)+1)=AE$5,", "&amp;6,"")&amp;IF(INDEX($Q$41:$W$51,2*INT((6+WEEKDAY(DATE(PlanYear,9,1),2)-1)/7)+1,MOD(6+WEEKDAY(DATE(PlanYear,9,1),2)-1,7)+1)=AE$5,", "&amp;7,"")&amp;IF(INDEX($Q$41:$W$51,2*INT((7+WEEKDAY(DATE(PlanYear,9,1),2)-1)/7)+1,MOD(7+WEEKDAY(DATE(PlanYear,9,1),2)-1,7)+1)=AE$5,", "&amp;8,"")&amp;IF(INDEX($Q$41:$W$51,2*INT((8+WEEKDAY(DATE(PlanYear,9,1),2)-1)/7)+1,MOD(8+WEEKDAY(DATE(PlanYear,9,1),2)-1,7)+1)=AE$5,", "&amp;9,"")&amp;IF(INDEX($Q$41:$W$51,2*INT((9+WEEKDAY(DATE(PlanYear,9,1),2)-1)/7)+1,MOD(9+WEEKDAY(DATE(PlanYear,9,1),2)-1,7)+1)=AE$5,", "&amp;10,"")&amp;IF(INDEX($Q$41:$W$51,2*INT((10+WEEKDAY(DATE(PlanYear,9,1),2)-1)/7)+1,MOD(10+WEEKDAY(DATE(PlanYear,9,1),2)-1,7)+1)=AE$5,", "&amp;11,"")&amp;IF(INDEX($Q$41:$W$51,2*INT((11+WEEKDAY(DATE(PlanYear,9,1),2)-1)/7)+1,MOD(11+WEEKDAY(DATE(PlanYear,9,1),2)-1,7)+1)=AE$5,", "&amp;12,"")&amp;IF(INDEX($Q$41:$W$51,2*INT((12+WEEKDAY(DATE(PlanYear,9,1),2)-1)/7)+1,MOD(12+WEEKDAY(DATE(PlanYear,9,1),2)-1,7)+1)=AE$5,", "&amp;13,"")&amp;IF(INDEX($Q$41:$W$51,2*INT((13+WEEKDAY(DATE(PlanYear,9,1),2)-1)/7)+1,MOD(13+WEEKDAY(DATE(PlanYear,9,1),2)-1,7)+1)=AE$5,", "&amp;14,"")&amp;IF(INDEX($Q$41:$W$51,2*INT((14+WEEKDAY(DATE(PlanYear,9,1),2)-1)/7)+1,MOD(14+WEEKDAY(DATE(PlanYear,9,1),2)-1,7)+1)=AE$5,", "&amp;15,"")&amp;IF(INDEX($Q$41:$W$51,2*INT((15+WEEKDAY(DATE(PlanYear,9,1),2)-1)/7)+1,MOD(15+WEEKDAY(DATE(PlanYear,9,1),2)-1,7)+1)=AE$5,", "&amp;16,"")&amp;IF(INDEX($Q$41:$W$51,2*INT((16+WEEKDAY(DATE(PlanYear,9,1),2)-1)/7)+1,MOD(16+WEEKDAY(DATE(PlanYear,9,1),2)-1,7)+1)=AE$5,", "&amp;17,"")&amp;IF(INDEX($Q$41:$W$51,2*INT((17+WEEKDAY(DATE(PlanYear,9,1),2)-1)/7)+1,MOD(17+WEEKDAY(DATE(PlanYear,9,1),2)-1,7)+1)=AE$5,", "&amp;18,"")&amp;IF(INDEX($Q$41:$W$51,2*INT((18+WEEKDAY(DATE(PlanYear,9,1),2)-1)/7)+1,MOD(18+WEEKDAY(DATE(PlanYear,9,1),2)-1,7)+1)=AE$5,", "&amp;19,"")&amp;IF(INDEX($Q$41:$W$51,2*INT((19+WEEKDAY(DATE(PlanYear,9,1),2)-1)/7)+1,MOD(19+WEEKDAY(DATE(PlanYear,9,1),2)-1,7)+1)=AE$5,", "&amp;20,"")&amp;IF(INDEX($Q$41:$W$51,2*INT((20+WEEKDAY(DATE(PlanYear,9,1),2)-1)/7)+1,MOD(20+WEEKDAY(DATE(PlanYear,9,1),2)-1,7)+1)=AE$5,", "&amp;21,"")&amp;IF(INDEX($Q$41:$W$51,2*INT((21+WEEKDAY(DATE(PlanYear,9,1),2)-1)/7)+1,MOD(21+WEEKDAY(DATE(PlanYear,9,1),2)-1,7)+1)=AE$5,", "&amp;22,"")&amp;IF(INDEX($Q$41:$W$51,2*INT((22+WEEKDAY(DATE(PlanYear,9,1),2)-1)/7)+1,MOD(22+WEEKDAY(DATE(PlanYear,9,1),2)-1,7)+1)=AE$5,", "&amp;23,"")&amp;IF(INDEX($Q$41:$W$51,2*INT((23+WEEKDAY(DATE(PlanYear,9,1),2)-1)/7)+1,MOD(23+WEEKDAY(DATE(PlanYear,9,1),2)-1,7)+1)=AE$5,", "&amp;24,"")&amp;IF(INDEX($Q$41:$W$51,2*INT((24+WEEKDAY(DATE(PlanYear,9,1),2)-1)/7)+1,MOD(24+WEEKDAY(DATE(PlanYear,9,1),2)-1,7)+1)=AE$5,", "&amp;25,"")&amp;IF(INDEX($Q$41:$W$51,2*INT((25+WEEKDAY(DATE(PlanYear,9,1),2)-1)/7)+1,MOD(25+WEEKDAY(DATE(PlanYear,9,1),2)-1,7)+1)=AE$5,", "&amp;26,"")&amp;IF(INDEX($Q$41:$W$51,2*INT((26+WEEKDAY(DATE(PlanYear,9,1),2)-1)/7)+1,MOD(26+WEEKDAY(DATE(PlanYear,9,1),2)-1,7)+1)=AE$5,", "&amp;27,"")&amp;IF(INDEX($Q$41:$W$51,2*INT((27+WEEKDAY(DATE(PlanYear,9,1),2)-1)/7)+1,MOD(27+WEEKDAY(DATE(PlanYear,9,1),2)-1,7)+1)=AE$5,", "&amp;28,"")&amp;IF(INDEX($Q$41:$W$51,2*INT((28+WEEKDAY(DATE(PlanYear,9,1),2)-1)/7)+1,MOD(28+WEEKDAY(DATE(PlanYear,9,1),2)-1,7)+1)=AE$5,", "&amp;29,"")&amp;IF(INDEX($Q$41:$W$51,2*INT((29+WEEKDAY(DATE(PlanYear,9,1),2)-1)/7)+1,MOD(29+WEEKDAY(DATE(PlanYear,9,1),2)-1,7)+1)=AE$5,", "&amp;30,"")&amp;IF(INDEX($Q$41:$W$51,2*INT((30+WEEKDAY(DATE(PlanYear,9,1),2)-1)/7)+1,MOD(30+WEEKDAY(DATE(PlanYear,9,1),2)-1,7)+1)=AE$5,", "&amp;31,""),3,200))</f>
        <v/>
      </c>
      <c r="AF14" s="16">
        <f>IF(AF$5="","",MID(IF(INDEX($Q$41:$W$51,2*INT((0+WEEKDAY(DATE(PlanYear,9,1),2)-1)/7)+1,MOD(0+WEEKDAY(DATE(PlanYear,9,1),2)-1,7)+1)=AF$5,", "&amp;1,"")&amp;IF(INDEX($Q$41:$W$51,2*INT((1+WEEKDAY(DATE(PlanYear,9,1),2)-1)/7)+1,MOD(1+WEEKDAY(DATE(PlanYear,9,1),2)-1,7)+1)=AF$5,", "&amp;2,"")&amp;IF(INDEX($Q$41:$W$51,2*INT((2+WEEKDAY(DATE(PlanYear,9,1),2)-1)/7)+1,MOD(2+WEEKDAY(DATE(PlanYear,9,1),2)-1,7)+1)=AF$5,", "&amp;3,"")&amp;IF(INDEX($Q$41:$W$51,2*INT((3+WEEKDAY(DATE(PlanYear,9,1),2)-1)/7)+1,MOD(3+WEEKDAY(DATE(PlanYear,9,1),2)-1,7)+1)=AF$5,", "&amp;4,"")&amp;IF(INDEX($Q$41:$W$51,2*INT((4+WEEKDAY(DATE(PlanYear,9,1),2)-1)/7)+1,MOD(4+WEEKDAY(DATE(PlanYear,9,1),2)-1,7)+1)=AF$5,", "&amp;5,"")&amp;IF(INDEX($Q$41:$W$51,2*INT((5+WEEKDAY(DATE(PlanYear,9,1),2)-1)/7)+1,MOD(5+WEEKDAY(DATE(PlanYear,9,1),2)-1,7)+1)=AF$5,", "&amp;6,"")&amp;IF(INDEX($Q$41:$W$51,2*INT((6+WEEKDAY(DATE(PlanYear,9,1),2)-1)/7)+1,MOD(6+WEEKDAY(DATE(PlanYear,9,1),2)-1,7)+1)=AF$5,", "&amp;7,"")&amp;IF(INDEX($Q$41:$W$51,2*INT((7+WEEKDAY(DATE(PlanYear,9,1),2)-1)/7)+1,MOD(7+WEEKDAY(DATE(PlanYear,9,1),2)-1,7)+1)=AF$5,", "&amp;8,"")&amp;IF(INDEX($Q$41:$W$51,2*INT((8+WEEKDAY(DATE(PlanYear,9,1),2)-1)/7)+1,MOD(8+WEEKDAY(DATE(PlanYear,9,1),2)-1,7)+1)=AF$5,", "&amp;9,"")&amp;IF(INDEX($Q$41:$W$51,2*INT((9+WEEKDAY(DATE(PlanYear,9,1),2)-1)/7)+1,MOD(9+WEEKDAY(DATE(PlanYear,9,1),2)-1,7)+1)=AF$5,", "&amp;10,"")&amp;IF(INDEX($Q$41:$W$51,2*INT((10+WEEKDAY(DATE(PlanYear,9,1),2)-1)/7)+1,MOD(10+WEEKDAY(DATE(PlanYear,9,1),2)-1,7)+1)=AF$5,", "&amp;11,"")&amp;IF(INDEX($Q$41:$W$51,2*INT((11+WEEKDAY(DATE(PlanYear,9,1),2)-1)/7)+1,MOD(11+WEEKDAY(DATE(PlanYear,9,1),2)-1,7)+1)=AF$5,", "&amp;12,"")&amp;IF(INDEX($Q$41:$W$51,2*INT((12+WEEKDAY(DATE(PlanYear,9,1),2)-1)/7)+1,MOD(12+WEEKDAY(DATE(PlanYear,9,1),2)-1,7)+1)=AF$5,", "&amp;13,"")&amp;IF(INDEX($Q$41:$W$51,2*INT((13+WEEKDAY(DATE(PlanYear,9,1),2)-1)/7)+1,MOD(13+WEEKDAY(DATE(PlanYear,9,1),2)-1,7)+1)=AF$5,", "&amp;14,"")&amp;IF(INDEX($Q$41:$W$51,2*INT((14+WEEKDAY(DATE(PlanYear,9,1),2)-1)/7)+1,MOD(14+WEEKDAY(DATE(PlanYear,9,1),2)-1,7)+1)=AF$5,", "&amp;15,"")&amp;IF(INDEX($Q$41:$W$51,2*INT((15+WEEKDAY(DATE(PlanYear,9,1),2)-1)/7)+1,MOD(15+WEEKDAY(DATE(PlanYear,9,1),2)-1,7)+1)=AF$5,", "&amp;16,"")&amp;IF(INDEX($Q$41:$W$51,2*INT((16+WEEKDAY(DATE(PlanYear,9,1),2)-1)/7)+1,MOD(16+WEEKDAY(DATE(PlanYear,9,1),2)-1,7)+1)=AF$5,", "&amp;17,"")&amp;IF(INDEX($Q$41:$W$51,2*INT((17+WEEKDAY(DATE(PlanYear,9,1),2)-1)/7)+1,MOD(17+WEEKDAY(DATE(PlanYear,9,1),2)-1,7)+1)=AF$5,", "&amp;18,"")&amp;IF(INDEX($Q$41:$W$51,2*INT((18+WEEKDAY(DATE(PlanYear,9,1),2)-1)/7)+1,MOD(18+WEEKDAY(DATE(PlanYear,9,1),2)-1,7)+1)=AF$5,", "&amp;19,"")&amp;IF(INDEX($Q$41:$W$51,2*INT((19+WEEKDAY(DATE(PlanYear,9,1),2)-1)/7)+1,MOD(19+WEEKDAY(DATE(PlanYear,9,1),2)-1,7)+1)=AF$5,", "&amp;20,"")&amp;IF(INDEX($Q$41:$W$51,2*INT((20+WEEKDAY(DATE(PlanYear,9,1),2)-1)/7)+1,MOD(20+WEEKDAY(DATE(PlanYear,9,1),2)-1,7)+1)=AF$5,", "&amp;21,"")&amp;IF(INDEX($Q$41:$W$51,2*INT((21+WEEKDAY(DATE(PlanYear,9,1),2)-1)/7)+1,MOD(21+WEEKDAY(DATE(PlanYear,9,1),2)-1,7)+1)=AF$5,", "&amp;22,"")&amp;IF(INDEX($Q$41:$W$51,2*INT((22+WEEKDAY(DATE(PlanYear,9,1),2)-1)/7)+1,MOD(22+WEEKDAY(DATE(PlanYear,9,1),2)-1,7)+1)=AF$5,", "&amp;23,"")&amp;IF(INDEX($Q$41:$W$51,2*INT((23+WEEKDAY(DATE(PlanYear,9,1),2)-1)/7)+1,MOD(23+WEEKDAY(DATE(PlanYear,9,1),2)-1,7)+1)=AF$5,", "&amp;24,"")&amp;IF(INDEX($Q$41:$W$51,2*INT((24+WEEKDAY(DATE(PlanYear,9,1),2)-1)/7)+1,MOD(24+WEEKDAY(DATE(PlanYear,9,1),2)-1,7)+1)=AF$5,", "&amp;25,"")&amp;IF(INDEX($Q$41:$W$51,2*INT((25+WEEKDAY(DATE(PlanYear,9,1),2)-1)/7)+1,MOD(25+WEEKDAY(DATE(PlanYear,9,1),2)-1,7)+1)=AF$5,", "&amp;26,"")&amp;IF(INDEX($Q$41:$W$51,2*INT((26+WEEKDAY(DATE(PlanYear,9,1),2)-1)/7)+1,MOD(26+WEEKDAY(DATE(PlanYear,9,1),2)-1,7)+1)=AF$5,", "&amp;27,"")&amp;IF(INDEX($Q$41:$W$51,2*INT((27+WEEKDAY(DATE(PlanYear,9,1),2)-1)/7)+1,MOD(27+WEEKDAY(DATE(PlanYear,9,1),2)-1,7)+1)=AF$5,", "&amp;28,"")&amp;IF(INDEX($Q$41:$W$51,2*INT((28+WEEKDAY(DATE(PlanYear,9,1),2)-1)/7)+1,MOD(28+WEEKDAY(DATE(PlanYear,9,1),2)-1,7)+1)=AF$5,", "&amp;29,"")&amp;IF(INDEX($Q$41:$W$51,2*INT((29+WEEKDAY(DATE(PlanYear,9,1),2)-1)/7)+1,MOD(29+WEEKDAY(DATE(PlanYear,9,1),2)-1,7)+1)=AF$5,", "&amp;30,"")&amp;IF(INDEX($Q$41:$W$51,2*INT((30+WEEKDAY(DATE(PlanYear,9,1),2)-1)/7)+1,MOD(30+WEEKDAY(DATE(PlanYear,9,1),2)-1,7)+1)=AF$5,", "&amp;31,""),3,200))</f>
        <v/>
      </c>
      <c r="AG14" s="16">
        <f>IF(AG$5="","",MID(IF(INDEX($Q$41:$W$51,2*INT((0+WEEKDAY(DATE(PlanYear,9,1),2)-1)/7)+1,MOD(0+WEEKDAY(DATE(PlanYear,9,1),2)-1,7)+1)=AG$5,", "&amp;1,"")&amp;IF(INDEX($Q$41:$W$51,2*INT((1+WEEKDAY(DATE(PlanYear,9,1),2)-1)/7)+1,MOD(1+WEEKDAY(DATE(PlanYear,9,1),2)-1,7)+1)=AG$5,", "&amp;2,"")&amp;IF(INDEX($Q$41:$W$51,2*INT((2+WEEKDAY(DATE(PlanYear,9,1),2)-1)/7)+1,MOD(2+WEEKDAY(DATE(PlanYear,9,1),2)-1,7)+1)=AG$5,", "&amp;3,"")&amp;IF(INDEX($Q$41:$W$51,2*INT((3+WEEKDAY(DATE(PlanYear,9,1),2)-1)/7)+1,MOD(3+WEEKDAY(DATE(PlanYear,9,1),2)-1,7)+1)=AG$5,", "&amp;4,"")&amp;IF(INDEX($Q$41:$W$51,2*INT((4+WEEKDAY(DATE(PlanYear,9,1),2)-1)/7)+1,MOD(4+WEEKDAY(DATE(PlanYear,9,1),2)-1,7)+1)=AG$5,", "&amp;5,"")&amp;IF(INDEX($Q$41:$W$51,2*INT((5+WEEKDAY(DATE(PlanYear,9,1),2)-1)/7)+1,MOD(5+WEEKDAY(DATE(PlanYear,9,1),2)-1,7)+1)=AG$5,", "&amp;6,"")&amp;IF(INDEX($Q$41:$W$51,2*INT((6+WEEKDAY(DATE(PlanYear,9,1),2)-1)/7)+1,MOD(6+WEEKDAY(DATE(PlanYear,9,1),2)-1,7)+1)=AG$5,", "&amp;7,"")&amp;IF(INDEX($Q$41:$W$51,2*INT((7+WEEKDAY(DATE(PlanYear,9,1),2)-1)/7)+1,MOD(7+WEEKDAY(DATE(PlanYear,9,1),2)-1,7)+1)=AG$5,", "&amp;8,"")&amp;IF(INDEX($Q$41:$W$51,2*INT((8+WEEKDAY(DATE(PlanYear,9,1),2)-1)/7)+1,MOD(8+WEEKDAY(DATE(PlanYear,9,1),2)-1,7)+1)=AG$5,", "&amp;9,"")&amp;IF(INDEX($Q$41:$W$51,2*INT((9+WEEKDAY(DATE(PlanYear,9,1),2)-1)/7)+1,MOD(9+WEEKDAY(DATE(PlanYear,9,1),2)-1,7)+1)=AG$5,", "&amp;10,"")&amp;IF(INDEX($Q$41:$W$51,2*INT((10+WEEKDAY(DATE(PlanYear,9,1),2)-1)/7)+1,MOD(10+WEEKDAY(DATE(PlanYear,9,1),2)-1,7)+1)=AG$5,", "&amp;11,"")&amp;IF(INDEX($Q$41:$W$51,2*INT((11+WEEKDAY(DATE(PlanYear,9,1),2)-1)/7)+1,MOD(11+WEEKDAY(DATE(PlanYear,9,1),2)-1,7)+1)=AG$5,", "&amp;12,"")&amp;IF(INDEX($Q$41:$W$51,2*INT((12+WEEKDAY(DATE(PlanYear,9,1),2)-1)/7)+1,MOD(12+WEEKDAY(DATE(PlanYear,9,1),2)-1,7)+1)=AG$5,", "&amp;13,"")&amp;IF(INDEX($Q$41:$W$51,2*INT((13+WEEKDAY(DATE(PlanYear,9,1),2)-1)/7)+1,MOD(13+WEEKDAY(DATE(PlanYear,9,1),2)-1,7)+1)=AG$5,", "&amp;14,"")&amp;IF(INDEX($Q$41:$W$51,2*INT((14+WEEKDAY(DATE(PlanYear,9,1),2)-1)/7)+1,MOD(14+WEEKDAY(DATE(PlanYear,9,1),2)-1,7)+1)=AG$5,", "&amp;15,"")&amp;IF(INDEX($Q$41:$W$51,2*INT((15+WEEKDAY(DATE(PlanYear,9,1),2)-1)/7)+1,MOD(15+WEEKDAY(DATE(PlanYear,9,1),2)-1,7)+1)=AG$5,", "&amp;16,"")&amp;IF(INDEX($Q$41:$W$51,2*INT((16+WEEKDAY(DATE(PlanYear,9,1),2)-1)/7)+1,MOD(16+WEEKDAY(DATE(PlanYear,9,1),2)-1,7)+1)=AG$5,", "&amp;17,"")&amp;IF(INDEX($Q$41:$W$51,2*INT((17+WEEKDAY(DATE(PlanYear,9,1),2)-1)/7)+1,MOD(17+WEEKDAY(DATE(PlanYear,9,1),2)-1,7)+1)=AG$5,", "&amp;18,"")&amp;IF(INDEX($Q$41:$W$51,2*INT((18+WEEKDAY(DATE(PlanYear,9,1),2)-1)/7)+1,MOD(18+WEEKDAY(DATE(PlanYear,9,1),2)-1,7)+1)=AG$5,", "&amp;19,"")&amp;IF(INDEX($Q$41:$W$51,2*INT((19+WEEKDAY(DATE(PlanYear,9,1),2)-1)/7)+1,MOD(19+WEEKDAY(DATE(PlanYear,9,1),2)-1,7)+1)=AG$5,", "&amp;20,"")&amp;IF(INDEX($Q$41:$W$51,2*INT((20+WEEKDAY(DATE(PlanYear,9,1),2)-1)/7)+1,MOD(20+WEEKDAY(DATE(PlanYear,9,1),2)-1,7)+1)=AG$5,", "&amp;21,"")&amp;IF(INDEX($Q$41:$W$51,2*INT((21+WEEKDAY(DATE(PlanYear,9,1),2)-1)/7)+1,MOD(21+WEEKDAY(DATE(PlanYear,9,1),2)-1,7)+1)=AG$5,", "&amp;22,"")&amp;IF(INDEX($Q$41:$W$51,2*INT((22+WEEKDAY(DATE(PlanYear,9,1),2)-1)/7)+1,MOD(22+WEEKDAY(DATE(PlanYear,9,1),2)-1,7)+1)=AG$5,", "&amp;23,"")&amp;IF(INDEX($Q$41:$W$51,2*INT((23+WEEKDAY(DATE(PlanYear,9,1),2)-1)/7)+1,MOD(23+WEEKDAY(DATE(PlanYear,9,1),2)-1,7)+1)=AG$5,", "&amp;24,"")&amp;IF(INDEX($Q$41:$W$51,2*INT((24+WEEKDAY(DATE(PlanYear,9,1),2)-1)/7)+1,MOD(24+WEEKDAY(DATE(PlanYear,9,1),2)-1,7)+1)=AG$5,", "&amp;25,"")&amp;IF(INDEX($Q$41:$W$51,2*INT((25+WEEKDAY(DATE(PlanYear,9,1),2)-1)/7)+1,MOD(25+WEEKDAY(DATE(PlanYear,9,1),2)-1,7)+1)=AG$5,", "&amp;26,"")&amp;IF(INDEX($Q$41:$W$51,2*INT((26+WEEKDAY(DATE(PlanYear,9,1),2)-1)/7)+1,MOD(26+WEEKDAY(DATE(PlanYear,9,1),2)-1,7)+1)=AG$5,", "&amp;27,"")&amp;IF(INDEX($Q$41:$W$51,2*INT((27+WEEKDAY(DATE(PlanYear,9,1),2)-1)/7)+1,MOD(27+WEEKDAY(DATE(PlanYear,9,1),2)-1,7)+1)=AG$5,", "&amp;28,"")&amp;IF(INDEX($Q$41:$W$51,2*INT((28+WEEKDAY(DATE(PlanYear,9,1),2)-1)/7)+1,MOD(28+WEEKDAY(DATE(PlanYear,9,1),2)-1,7)+1)=AG$5,", "&amp;29,"")&amp;IF(INDEX($Q$41:$W$51,2*INT((29+WEEKDAY(DATE(PlanYear,9,1),2)-1)/7)+1,MOD(29+WEEKDAY(DATE(PlanYear,9,1),2)-1,7)+1)=AG$5,", "&amp;30,"")&amp;IF(INDEX($Q$41:$W$51,2*INT((30+WEEKDAY(DATE(PlanYear,9,1),2)-1)/7)+1,MOD(30+WEEKDAY(DATE(PlanYear,9,1),2)-1,7)+1)=AG$5,", "&amp;31,""),3,200))</f>
        <v/>
      </c>
      <c r="AH14" s="16">
        <f>IF(AH$5="","",MID(IF(INDEX($Q$41:$W$51,2*INT((0+WEEKDAY(DATE(PlanYear,9,1),2)-1)/7)+1,MOD(0+WEEKDAY(DATE(PlanYear,9,1),2)-1,7)+1)=AH$5,", "&amp;1,"")&amp;IF(INDEX($Q$41:$W$51,2*INT((1+WEEKDAY(DATE(PlanYear,9,1),2)-1)/7)+1,MOD(1+WEEKDAY(DATE(PlanYear,9,1),2)-1,7)+1)=AH$5,", "&amp;2,"")&amp;IF(INDEX($Q$41:$W$51,2*INT((2+WEEKDAY(DATE(PlanYear,9,1),2)-1)/7)+1,MOD(2+WEEKDAY(DATE(PlanYear,9,1),2)-1,7)+1)=AH$5,", "&amp;3,"")&amp;IF(INDEX($Q$41:$W$51,2*INT((3+WEEKDAY(DATE(PlanYear,9,1),2)-1)/7)+1,MOD(3+WEEKDAY(DATE(PlanYear,9,1),2)-1,7)+1)=AH$5,", "&amp;4,"")&amp;IF(INDEX($Q$41:$W$51,2*INT((4+WEEKDAY(DATE(PlanYear,9,1),2)-1)/7)+1,MOD(4+WEEKDAY(DATE(PlanYear,9,1),2)-1,7)+1)=AH$5,", "&amp;5,"")&amp;IF(INDEX($Q$41:$W$51,2*INT((5+WEEKDAY(DATE(PlanYear,9,1),2)-1)/7)+1,MOD(5+WEEKDAY(DATE(PlanYear,9,1),2)-1,7)+1)=AH$5,", "&amp;6,"")&amp;IF(INDEX($Q$41:$W$51,2*INT((6+WEEKDAY(DATE(PlanYear,9,1),2)-1)/7)+1,MOD(6+WEEKDAY(DATE(PlanYear,9,1),2)-1,7)+1)=AH$5,", "&amp;7,"")&amp;IF(INDEX($Q$41:$W$51,2*INT((7+WEEKDAY(DATE(PlanYear,9,1),2)-1)/7)+1,MOD(7+WEEKDAY(DATE(PlanYear,9,1),2)-1,7)+1)=AH$5,", "&amp;8,"")&amp;IF(INDEX($Q$41:$W$51,2*INT((8+WEEKDAY(DATE(PlanYear,9,1),2)-1)/7)+1,MOD(8+WEEKDAY(DATE(PlanYear,9,1),2)-1,7)+1)=AH$5,", "&amp;9,"")&amp;IF(INDEX($Q$41:$W$51,2*INT((9+WEEKDAY(DATE(PlanYear,9,1),2)-1)/7)+1,MOD(9+WEEKDAY(DATE(PlanYear,9,1),2)-1,7)+1)=AH$5,", "&amp;10,"")&amp;IF(INDEX($Q$41:$W$51,2*INT((10+WEEKDAY(DATE(PlanYear,9,1),2)-1)/7)+1,MOD(10+WEEKDAY(DATE(PlanYear,9,1),2)-1,7)+1)=AH$5,", "&amp;11,"")&amp;IF(INDEX($Q$41:$W$51,2*INT((11+WEEKDAY(DATE(PlanYear,9,1),2)-1)/7)+1,MOD(11+WEEKDAY(DATE(PlanYear,9,1),2)-1,7)+1)=AH$5,", "&amp;12,"")&amp;IF(INDEX($Q$41:$W$51,2*INT((12+WEEKDAY(DATE(PlanYear,9,1),2)-1)/7)+1,MOD(12+WEEKDAY(DATE(PlanYear,9,1),2)-1,7)+1)=AH$5,", "&amp;13,"")&amp;IF(INDEX($Q$41:$W$51,2*INT((13+WEEKDAY(DATE(PlanYear,9,1),2)-1)/7)+1,MOD(13+WEEKDAY(DATE(PlanYear,9,1),2)-1,7)+1)=AH$5,", "&amp;14,"")&amp;IF(INDEX($Q$41:$W$51,2*INT((14+WEEKDAY(DATE(PlanYear,9,1),2)-1)/7)+1,MOD(14+WEEKDAY(DATE(PlanYear,9,1),2)-1,7)+1)=AH$5,", "&amp;15,"")&amp;IF(INDEX($Q$41:$W$51,2*INT((15+WEEKDAY(DATE(PlanYear,9,1),2)-1)/7)+1,MOD(15+WEEKDAY(DATE(PlanYear,9,1),2)-1,7)+1)=AH$5,", "&amp;16,"")&amp;IF(INDEX($Q$41:$W$51,2*INT((16+WEEKDAY(DATE(PlanYear,9,1),2)-1)/7)+1,MOD(16+WEEKDAY(DATE(PlanYear,9,1),2)-1,7)+1)=AH$5,", "&amp;17,"")&amp;IF(INDEX($Q$41:$W$51,2*INT((17+WEEKDAY(DATE(PlanYear,9,1),2)-1)/7)+1,MOD(17+WEEKDAY(DATE(PlanYear,9,1),2)-1,7)+1)=AH$5,", "&amp;18,"")&amp;IF(INDEX($Q$41:$W$51,2*INT((18+WEEKDAY(DATE(PlanYear,9,1),2)-1)/7)+1,MOD(18+WEEKDAY(DATE(PlanYear,9,1),2)-1,7)+1)=AH$5,", "&amp;19,"")&amp;IF(INDEX($Q$41:$W$51,2*INT((19+WEEKDAY(DATE(PlanYear,9,1),2)-1)/7)+1,MOD(19+WEEKDAY(DATE(PlanYear,9,1),2)-1,7)+1)=AH$5,", "&amp;20,"")&amp;IF(INDEX($Q$41:$W$51,2*INT((20+WEEKDAY(DATE(PlanYear,9,1),2)-1)/7)+1,MOD(20+WEEKDAY(DATE(PlanYear,9,1),2)-1,7)+1)=AH$5,", "&amp;21,"")&amp;IF(INDEX($Q$41:$W$51,2*INT((21+WEEKDAY(DATE(PlanYear,9,1),2)-1)/7)+1,MOD(21+WEEKDAY(DATE(PlanYear,9,1),2)-1,7)+1)=AH$5,", "&amp;22,"")&amp;IF(INDEX($Q$41:$W$51,2*INT((22+WEEKDAY(DATE(PlanYear,9,1),2)-1)/7)+1,MOD(22+WEEKDAY(DATE(PlanYear,9,1),2)-1,7)+1)=AH$5,", "&amp;23,"")&amp;IF(INDEX($Q$41:$W$51,2*INT((23+WEEKDAY(DATE(PlanYear,9,1),2)-1)/7)+1,MOD(23+WEEKDAY(DATE(PlanYear,9,1),2)-1,7)+1)=AH$5,", "&amp;24,"")&amp;IF(INDEX($Q$41:$W$51,2*INT((24+WEEKDAY(DATE(PlanYear,9,1),2)-1)/7)+1,MOD(24+WEEKDAY(DATE(PlanYear,9,1),2)-1,7)+1)=AH$5,", "&amp;25,"")&amp;IF(INDEX($Q$41:$W$51,2*INT((25+WEEKDAY(DATE(PlanYear,9,1),2)-1)/7)+1,MOD(25+WEEKDAY(DATE(PlanYear,9,1),2)-1,7)+1)=AH$5,", "&amp;26,"")&amp;IF(INDEX($Q$41:$W$51,2*INT((26+WEEKDAY(DATE(PlanYear,9,1),2)-1)/7)+1,MOD(26+WEEKDAY(DATE(PlanYear,9,1),2)-1,7)+1)=AH$5,", "&amp;27,"")&amp;IF(INDEX($Q$41:$W$51,2*INT((27+WEEKDAY(DATE(PlanYear,9,1),2)-1)/7)+1,MOD(27+WEEKDAY(DATE(PlanYear,9,1),2)-1,7)+1)=AH$5,", "&amp;28,"")&amp;IF(INDEX($Q$41:$W$51,2*INT((28+WEEKDAY(DATE(PlanYear,9,1),2)-1)/7)+1,MOD(28+WEEKDAY(DATE(PlanYear,9,1),2)-1,7)+1)=AH$5,", "&amp;29,"")&amp;IF(INDEX($Q$41:$W$51,2*INT((29+WEEKDAY(DATE(PlanYear,9,1),2)-1)/7)+1,MOD(29+WEEKDAY(DATE(PlanYear,9,1),2)-1,7)+1)=AH$5,", "&amp;30,"")&amp;IF(INDEX($Q$41:$W$51,2*INT((30+WEEKDAY(DATE(PlanYear,9,1),2)-1)/7)+1,MOD(30+WEEKDAY(DATE(PlanYear,9,1),2)-1,7)+1)=AH$5,", "&amp;31,""),3,200))</f>
        <v/>
      </c>
      <c r="AI14" s="16">
        <f>IF(AI$5="","",MID(IF(INDEX($Q$41:$W$51,2*INT((0+WEEKDAY(DATE(PlanYear,9,1),2)-1)/7)+1,MOD(0+WEEKDAY(DATE(PlanYear,9,1),2)-1,7)+1)=AI$5,", "&amp;1,"")&amp;IF(INDEX($Q$41:$W$51,2*INT((1+WEEKDAY(DATE(PlanYear,9,1),2)-1)/7)+1,MOD(1+WEEKDAY(DATE(PlanYear,9,1),2)-1,7)+1)=AI$5,", "&amp;2,"")&amp;IF(INDEX($Q$41:$W$51,2*INT((2+WEEKDAY(DATE(PlanYear,9,1),2)-1)/7)+1,MOD(2+WEEKDAY(DATE(PlanYear,9,1),2)-1,7)+1)=AI$5,", "&amp;3,"")&amp;IF(INDEX($Q$41:$W$51,2*INT((3+WEEKDAY(DATE(PlanYear,9,1),2)-1)/7)+1,MOD(3+WEEKDAY(DATE(PlanYear,9,1),2)-1,7)+1)=AI$5,", "&amp;4,"")&amp;IF(INDEX($Q$41:$W$51,2*INT((4+WEEKDAY(DATE(PlanYear,9,1),2)-1)/7)+1,MOD(4+WEEKDAY(DATE(PlanYear,9,1),2)-1,7)+1)=AI$5,", "&amp;5,"")&amp;IF(INDEX($Q$41:$W$51,2*INT((5+WEEKDAY(DATE(PlanYear,9,1),2)-1)/7)+1,MOD(5+WEEKDAY(DATE(PlanYear,9,1),2)-1,7)+1)=AI$5,", "&amp;6,"")&amp;IF(INDEX($Q$41:$W$51,2*INT((6+WEEKDAY(DATE(PlanYear,9,1),2)-1)/7)+1,MOD(6+WEEKDAY(DATE(PlanYear,9,1),2)-1,7)+1)=AI$5,", "&amp;7,"")&amp;IF(INDEX($Q$41:$W$51,2*INT((7+WEEKDAY(DATE(PlanYear,9,1),2)-1)/7)+1,MOD(7+WEEKDAY(DATE(PlanYear,9,1),2)-1,7)+1)=AI$5,", "&amp;8,"")&amp;IF(INDEX($Q$41:$W$51,2*INT((8+WEEKDAY(DATE(PlanYear,9,1),2)-1)/7)+1,MOD(8+WEEKDAY(DATE(PlanYear,9,1),2)-1,7)+1)=AI$5,", "&amp;9,"")&amp;IF(INDEX($Q$41:$W$51,2*INT((9+WEEKDAY(DATE(PlanYear,9,1),2)-1)/7)+1,MOD(9+WEEKDAY(DATE(PlanYear,9,1),2)-1,7)+1)=AI$5,", "&amp;10,"")&amp;IF(INDEX($Q$41:$W$51,2*INT((10+WEEKDAY(DATE(PlanYear,9,1),2)-1)/7)+1,MOD(10+WEEKDAY(DATE(PlanYear,9,1),2)-1,7)+1)=AI$5,", "&amp;11,"")&amp;IF(INDEX($Q$41:$W$51,2*INT((11+WEEKDAY(DATE(PlanYear,9,1),2)-1)/7)+1,MOD(11+WEEKDAY(DATE(PlanYear,9,1),2)-1,7)+1)=AI$5,", "&amp;12,"")&amp;IF(INDEX($Q$41:$W$51,2*INT((12+WEEKDAY(DATE(PlanYear,9,1),2)-1)/7)+1,MOD(12+WEEKDAY(DATE(PlanYear,9,1),2)-1,7)+1)=AI$5,", "&amp;13,"")&amp;IF(INDEX($Q$41:$W$51,2*INT((13+WEEKDAY(DATE(PlanYear,9,1),2)-1)/7)+1,MOD(13+WEEKDAY(DATE(PlanYear,9,1),2)-1,7)+1)=AI$5,", "&amp;14,"")&amp;IF(INDEX($Q$41:$W$51,2*INT((14+WEEKDAY(DATE(PlanYear,9,1),2)-1)/7)+1,MOD(14+WEEKDAY(DATE(PlanYear,9,1),2)-1,7)+1)=AI$5,", "&amp;15,"")&amp;IF(INDEX($Q$41:$W$51,2*INT((15+WEEKDAY(DATE(PlanYear,9,1),2)-1)/7)+1,MOD(15+WEEKDAY(DATE(PlanYear,9,1),2)-1,7)+1)=AI$5,", "&amp;16,"")&amp;IF(INDEX($Q$41:$W$51,2*INT((16+WEEKDAY(DATE(PlanYear,9,1),2)-1)/7)+1,MOD(16+WEEKDAY(DATE(PlanYear,9,1),2)-1,7)+1)=AI$5,", "&amp;17,"")&amp;IF(INDEX($Q$41:$W$51,2*INT((17+WEEKDAY(DATE(PlanYear,9,1),2)-1)/7)+1,MOD(17+WEEKDAY(DATE(PlanYear,9,1),2)-1,7)+1)=AI$5,", "&amp;18,"")&amp;IF(INDEX($Q$41:$W$51,2*INT((18+WEEKDAY(DATE(PlanYear,9,1),2)-1)/7)+1,MOD(18+WEEKDAY(DATE(PlanYear,9,1),2)-1,7)+1)=AI$5,", "&amp;19,"")&amp;IF(INDEX($Q$41:$W$51,2*INT((19+WEEKDAY(DATE(PlanYear,9,1),2)-1)/7)+1,MOD(19+WEEKDAY(DATE(PlanYear,9,1),2)-1,7)+1)=AI$5,", "&amp;20,"")&amp;IF(INDEX($Q$41:$W$51,2*INT((20+WEEKDAY(DATE(PlanYear,9,1),2)-1)/7)+1,MOD(20+WEEKDAY(DATE(PlanYear,9,1),2)-1,7)+1)=AI$5,", "&amp;21,"")&amp;IF(INDEX($Q$41:$W$51,2*INT((21+WEEKDAY(DATE(PlanYear,9,1),2)-1)/7)+1,MOD(21+WEEKDAY(DATE(PlanYear,9,1),2)-1,7)+1)=AI$5,", "&amp;22,"")&amp;IF(INDEX($Q$41:$W$51,2*INT((22+WEEKDAY(DATE(PlanYear,9,1),2)-1)/7)+1,MOD(22+WEEKDAY(DATE(PlanYear,9,1),2)-1,7)+1)=AI$5,", "&amp;23,"")&amp;IF(INDEX($Q$41:$W$51,2*INT((23+WEEKDAY(DATE(PlanYear,9,1),2)-1)/7)+1,MOD(23+WEEKDAY(DATE(PlanYear,9,1),2)-1,7)+1)=AI$5,", "&amp;24,"")&amp;IF(INDEX($Q$41:$W$51,2*INT((24+WEEKDAY(DATE(PlanYear,9,1),2)-1)/7)+1,MOD(24+WEEKDAY(DATE(PlanYear,9,1),2)-1,7)+1)=AI$5,", "&amp;25,"")&amp;IF(INDEX($Q$41:$W$51,2*INT((25+WEEKDAY(DATE(PlanYear,9,1),2)-1)/7)+1,MOD(25+WEEKDAY(DATE(PlanYear,9,1),2)-1,7)+1)=AI$5,", "&amp;26,"")&amp;IF(INDEX($Q$41:$W$51,2*INT((26+WEEKDAY(DATE(PlanYear,9,1),2)-1)/7)+1,MOD(26+WEEKDAY(DATE(PlanYear,9,1),2)-1,7)+1)=AI$5,", "&amp;27,"")&amp;IF(INDEX($Q$41:$W$51,2*INT((27+WEEKDAY(DATE(PlanYear,9,1),2)-1)/7)+1,MOD(27+WEEKDAY(DATE(PlanYear,9,1),2)-1,7)+1)=AI$5,", "&amp;28,"")&amp;IF(INDEX($Q$41:$W$51,2*INT((28+WEEKDAY(DATE(PlanYear,9,1),2)-1)/7)+1,MOD(28+WEEKDAY(DATE(PlanYear,9,1),2)-1,7)+1)=AI$5,", "&amp;29,"")&amp;IF(INDEX($Q$41:$W$51,2*INT((29+WEEKDAY(DATE(PlanYear,9,1),2)-1)/7)+1,MOD(29+WEEKDAY(DATE(PlanYear,9,1),2)-1,7)+1)=AI$5,", "&amp;30,"")&amp;IF(INDEX($Q$41:$W$51,2*INT((30+WEEKDAY(DATE(PlanYear,9,1),2)-1)/7)+1,MOD(30+WEEKDAY(DATE(PlanYear,9,1),2)-1,7)+1)=AI$5,", "&amp;31,""),3,200))</f>
        <v/>
      </c>
      <c r="AJ14" s="16">
        <f>IF(AJ$5="","",MID(IF(INDEX($Q$41:$W$51,2*INT((0+WEEKDAY(DATE(PlanYear,9,1),2)-1)/7)+1,MOD(0+WEEKDAY(DATE(PlanYear,9,1),2)-1,7)+1)=AJ$5,", "&amp;1,"")&amp;IF(INDEX($Q$41:$W$51,2*INT((1+WEEKDAY(DATE(PlanYear,9,1),2)-1)/7)+1,MOD(1+WEEKDAY(DATE(PlanYear,9,1),2)-1,7)+1)=AJ$5,", "&amp;2,"")&amp;IF(INDEX($Q$41:$W$51,2*INT((2+WEEKDAY(DATE(PlanYear,9,1),2)-1)/7)+1,MOD(2+WEEKDAY(DATE(PlanYear,9,1),2)-1,7)+1)=AJ$5,", "&amp;3,"")&amp;IF(INDEX($Q$41:$W$51,2*INT((3+WEEKDAY(DATE(PlanYear,9,1),2)-1)/7)+1,MOD(3+WEEKDAY(DATE(PlanYear,9,1),2)-1,7)+1)=AJ$5,", "&amp;4,"")&amp;IF(INDEX($Q$41:$W$51,2*INT((4+WEEKDAY(DATE(PlanYear,9,1),2)-1)/7)+1,MOD(4+WEEKDAY(DATE(PlanYear,9,1),2)-1,7)+1)=AJ$5,", "&amp;5,"")&amp;IF(INDEX($Q$41:$W$51,2*INT((5+WEEKDAY(DATE(PlanYear,9,1),2)-1)/7)+1,MOD(5+WEEKDAY(DATE(PlanYear,9,1),2)-1,7)+1)=AJ$5,", "&amp;6,"")&amp;IF(INDEX($Q$41:$W$51,2*INT((6+WEEKDAY(DATE(PlanYear,9,1),2)-1)/7)+1,MOD(6+WEEKDAY(DATE(PlanYear,9,1),2)-1,7)+1)=AJ$5,", "&amp;7,"")&amp;IF(INDEX($Q$41:$W$51,2*INT((7+WEEKDAY(DATE(PlanYear,9,1),2)-1)/7)+1,MOD(7+WEEKDAY(DATE(PlanYear,9,1),2)-1,7)+1)=AJ$5,", "&amp;8,"")&amp;IF(INDEX($Q$41:$W$51,2*INT((8+WEEKDAY(DATE(PlanYear,9,1),2)-1)/7)+1,MOD(8+WEEKDAY(DATE(PlanYear,9,1),2)-1,7)+1)=AJ$5,", "&amp;9,"")&amp;IF(INDEX($Q$41:$W$51,2*INT((9+WEEKDAY(DATE(PlanYear,9,1),2)-1)/7)+1,MOD(9+WEEKDAY(DATE(PlanYear,9,1),2)-1,7)+1)=AJ$5,", "&amp;10,"")&amp;IF(INDEX($Q$41:$W$51,2*INT((10+WEEKDAY(DATE(PlanYear,9,1),2)-1)/7)+1,MOD(10+WEEKDAY(DATE(PlanYear,9,1),2)-1,7)+1)=AJ$5,", "&amp;11,"")&amp;IF(INDEX($Q$41:$W$51,2*INT((11+WEEKDAY(DATE(PlanYear,9,1),2)-1)/7)+1,MOD(11+WEEKDAY(DATE(PlanYear,9,1),2)-1,7)+1)=AJ$5,", "&amp;12,"")&amp;IF(INDEX($Q$41:$W$51,2*INT((12+WEEKDAY(DATE(PlanYear,9,1),2)-1)/7)+1,MOD(12+WEEKDAY(DATE(PlanYear,9,1),2)-1,7)+1)=AJ$5,", "&amp;13,"")&amp;IF(INDEX($Q$41:$W$51,2*INT((13+WEEKDAY(DATE(PlanYear,9,1),2)-1)/7)+1,MOD(13+WEEKDAY(DATE(PlanYear,9,1),2)-1,7)+1)=AJ$5,", "&amp;14,"")&amp;IF(INDEX($Q$41:$W$51,2*INT((14+WEEKDAY(DATE(PlanYear,9,1),2)-1)/7)+1,MOD(14+WEEKDAY(DATE(PlanYear,9,1),2)-1,7)+1)=AJ$5,", "&amp;15,"")&amp;IF(INDEX($Q$41:$W$51,2*INT((15+WEEKDAY(DATE(PlanYear,9,1),2)-1)/7)+1,MOD(15+WEEKDAY(DATE(PlanYear,9,1),2)-1,7)+1)=AJ$5,", "&amp;16,"")&amp;IF(INDEX($Q$41:$W$51,2*INT((16+WEEKDAY(DATE(PlanYear,9,1),2)-1)/7)+1,MOD(16+WEEKDAY(DATE(PlanYear,9,1),2)-1,7)+1)=AJ$5,", "&amp;17,"")&amp;IF(INDEX($Q$41:$W$51,2*INT((17+WEEKDAY(DATE(PlanYear,9,1),2)-1)/7)+1,MOD(17+WEEKDAY(DATE(PlanYear,9,1),2)-1,7)+1)=AJ$5,", "&amp;18,"")&amp;IF(INDEX($Q$41:$W$51,2*INT((18+WEEKDAY(DATE(PlanYear,9,1),2)-1)/7)+1,MOD(18+WEEKDAY(DATE(PlanYear,9,1),2)-1,7)+1)=AJ$5,", "&amp;19,"")&amp;IF(INDEX($Q$41:$W$51,2*INT((19+WEEKDAY(DATE(PlanYear,9,1),2)-1)/7)+1,MOD(19+WEEKDAY(DATE(PlanYear,9,1),2)-1,7)+1)=AJ$5,", "&amp;20,"")&amp;IF(INDEX($Q$41:$W$51,2*INT((20+WEEKDAY(DATE(PlanYear,9,1),2)-1)/7)+1,MOD(20+WEEKDAY(DATE(PlanYear,9,1),2)-1,7)+1)=AJ$5,", "&amp;21,"")&amp;IF(INDEX($Q$41:$W$51,2*INT((21+WEEKDAY(DATE(PlanYear,9,1),2)-1)/7)+1,MOD(21+WEEKDAY(DATE(PlanYear,9,1),2)-1,7)+1)=AJ$5,", "&amp;22,"")&amp;IF(INDEX($Q$41:$W$51,2*INT((22+WEEKDAY(DATE(PlanYear,9,1),2)-1)/7)+1,MOD(22+WEEKDAY(DATE(PlanYear,9,1),2)-1,7)+1)=AJ$5,", "&amp;23,"")&amp;IF(INDEX($Q$41:$W$51,2*INT((23+WEEKDAY(DATE(PlanYear,9,1),2)-1)/7)+1,MOD(23+WEEKDAY(DATE(PlanYear,9,1),2)-1,7)+1)=AJ$5,", "&amp;24,"")&amp;IF(INDEX($Q$41:$W$51,2*INT((24+WEEKDAY(DATE(PlanYear,9,1),2)-1)/7)+1,MOD(24+WEEKDAY(DATE(PlanYear,9,1),2)-1,7)+1)=AJ$5,", "&amp;25,"")&amp;IF(INDEX($Q$41:$W$51,2*INT((25+WEEKDAY(DATE(PlanYear,9,1),2)-1)/7)+1,MOD(25+WEEKDAY(DATE(PlanYear,9,1),2)-1,7)+1)=AJ$5,", "&amp;26,"")&amp;IF(INDEX($Q$41:$W$51,2*INT((26+WEEKDAY(DATE(PlanYear,9,1),2)-1)/7)+1,MOD(26+WEEKDAY(DATE(PlanYear,9,1),2)-1,7)+1)=AJ$5,", "&amp;27,"")&amp;IF(INDEX($Q$41:$W$51,2*INT((27+WEEKDAY(DATE(PlanYear,9,1),2)-1)/7)+1,MOD(27+WEEKDAY(DATE(PlanYear,9,1),2)-1,7)+1)=AJ$5,", "&amp;28,"")&amp;IF(INDEX($Q$41:$W$51,2*INT((28+WEEKDAY(DATE(PlanYear,9,1),2)-1)/7)+1,MOD(28+WEEKDAY(DATE(PlanYear,9,1),2)-1,7)+1)=AJ$5,", "&amp;29,"")&amp;IF(INDEX($Q$41:$W$51,2*INT((29+WEEKDAY(DATE(PlanYear,9,1),2)-1)/7)+1,MOD(29+WEEKDAY(DATE(PlanYear,9,1),2)-1,7)+1)=AJ$5,", "&amp;30,"")&amp;IF(INDEX($Q$41:$W$51,2*INT((30+WEEKDAY(DATE(PlanYear,9,1),2)-1)/7)+1,MOD(30+WEEKDAY(DATE(PlanYear,9,1),2)-1,7)+1)=AJ$5,", "&amp;31,""),3,200))</f>
        <v/>
      </c>
      <c r="AK14" s="17">
        <f>DAY(EOMONTH(DATE(PlanYear,9,1),0))-COUNTIF($Q$41:$W$51,"?*")</f>
        <v/>
      </c>
    </row>
    <row r="15" ht="26" customHeight="1">
      <c r="A15" s="21" t="n"/>
      <c r="B15" s="21" t="n"/>
      <c r="C15" s="21" t="n"/>
      <c r="D15" s="21" t="n"/>
      <c r="E15" s="21" t="n"/>
      <c r="F15" s="21" t="n"/>
      <c r="G15" s="21" t="n"/>
      <c r="I15" s="21" t="n"/>
      <c r="J15" s="21" t="n"/>
      <c r="K15" s="21" t="n"/>
      <c r="L15" s="21" t="n"/>
      <c r="M15" s="21" t="n"/>
      <c r="N15" s="21" t="n"/>
      <c r="O15" s="21" t="n"/>
      <c r="Q15" s="21" t="n"/>
      <c r="R15" s="21" t="n"/>
      <c r="S15" s="21" t="n"/>
      <c r="T15" s="21" t="n"/>
      <c r="U15" s="21" t="n"/>
      <c r="V15" s="21" t="n"/>
      <c r="W15" s="21" t="n"/>
      <c r="Z15" s="15" t="inlineStr">
        <is>
          <t>October</t>
        </is>
      </c>
      <c r="AA15" s="16">
        <f>IF(AA$5="","",MID(IF(INDEX($A$57:$G$67,2*INT((0+WEEKDAY(DATE(PlanYear,10,1),2)-1)/7)+1,MOD(0+WEEKDAY(DATE(PlanYear,10,1),2)-1,7)+1)=AA$5,", "&amp;1,"")&amp;IF(INDEX($A$57:$G$67,2*INT((1+WEEKDAY(DATE(PlanYear,10,1),2)-1)/7)+1,MOD(1+WEEKDAY(DATE(PlanYear,10,1),2)-1,7)+1)=AA$5,", "&amp;2,"")&amp;IF(INDEX($A$57:$G$67,2*INT((2+WEEKDAY(DATE(PlanYear,10,1),2)-1)/7)+1,MOD(2+WEEKDAY(DATE(PlanYear,10,1),2)-1,7)+1)=AA$5,", "&amp;3,"")&amp;IF(INDEX($A$57:$G$67,2*INT((3+WEEKDAY(DATE(PlanYear,10,1),2)-1)/7)+1,MOD(3+WEEKDAY(DATE(PlanYear,10,1),2)-1,7)+1)=AA$5,", "&amp;4,"")&amp;IF(INDEX($A$57:$G$67,2*INT((4+WEEKDAY(DATE(PlanYear,10,1),2)-1)/7)+1,MOD(4+WEEKDAY(DATE(PlanYear,10,1),2)-1,7)+1)=AA$5,", "&amp;5,"")&amp;IF(INDEX($A$57:$G$67,2*INT((5+WEEKDAY(DATE(PlanYear,10,1),2)-1)/7)+1,MOD(5+WEEKDAY(DATE(PlanYear,10,1),2)-1,7)+1)=AA$5,", "&amp;6,"")&amp;IF(INDEX($A$57:$G$67,2*INT((6+WEEKDAY(DATE(PlanYear,10,1),2)-1)/7)+1,MOD(6+WEEKDAY(DATE(PlanYear,10,1),2)-1,7)+1)=AA$5,", "&amp;7,"")&amp;IF(INDEX($A$57:$G$67,2*INT((7+WEEKDAY(DATE(PlanYear,10,1),2)-1)/7)+1,MOD(7+WEEKDAY(DATE(PlanYear,10,1),2)-1,7)+1)=AA$5,", "&amp;8,"")&amp;IF(INDEX($A$57:$G$67,2*INT((8+WEEKDAY(DATE(PlanYear,10,1),2)-1)/7)+1,MOD(8+WEEKDAY(DATE(PlanYear,10,1),2)-1,7)+1)=AA$5,", "&amp;9,"")&amp;IF(INDEX($A$57:$G$67,2*INT((9+WEEKDAY(DATE(PlanYear,10,1),2)-1)/7)+1,MOD(9+WEEKDAY(DATE(PlanYear,10,1),2)-1,7)+1)=AA$5,", "&amp;10,"")&amp;IF(INDEX($A$57:$G$67,2*INT((10+WEEKDAY(DATE(PlanYear,10,1),2)-1)/7)+1,MOD(10+WEEKDAY(DATE(PlanYear,10,1),2)-1,7)+1)=AA$5,", "&amp;11,"")&amp;IF(INDEX($A$57:$G$67,2*INT((11+WEEKDAY(DATE(PlanYear,10,1),2)-1)/7)+1,MOD(11+WEEKDAY(DATE(PlanYear,10,1),2)-1,7)+1)=AA$5,", "&amp;12,"")&amp;IF(INDEX($A$57:$G$67,2*INT((12+WEEKDAY(DATE(PlanYear,10,1),2)-1)/7)+1,MOD(12+WEEKDAY(DATE(PlanYear,10,1),2)-1,7)+1)=AA$5,", "&amp;13,"")&amp;IF(INDEX($A$57:$G$67,2*INT((13+WEEKDAY(DATE(PlanYear,10,1),2)-1)/7)+1,MOD(13+WEEKDAY(DATE(PlanYear,10,1),2)-1,7)+1)=AA$5,", "&amp;14,"")&amp;IF(INDEX($A$57:$G$67,2*INT((14+WEEKDAY(DATE(PlanYear,10,1),2)-1)/7)+1,MOD(14+WEEKDAY(DATE(PlanYear,10,1),2)-1,7)+1)=AA$5,", "&amp;15,"")&amp;IF(INDEX($A$57:$G$67,2*INT((15+WEEKDAY(DATE(PlanYear,10,1),2)-1)/7)+1,MOD(15+WEEKDAY(DATE(PlanYear,10,1),2)-1,7)+1)=AA$5,", "&amp;16,"")&amp;IF(INDEX($A$57:$G$67,2*INT((16+WEEKDAY(DATE(PlanYear,10,1),2)-1)/7)+1,MOD(16+WEEKDAY(DATE(PlanYear,10,1),2)-1,7)+1)=AA$5,", "&amp;17,"")&amp;IF(INDEX($A$57:$G$67,2*INT((17+WEEKDAY(DATE(PlanYear,10,1),2)-1)/7)+1,MOD(17+WEEKDAY(DATE(PlanYear,10,1),2)-1,7)+1)=AA$5,", "&amp;18,"")&amp;IF(INDEX($A$57:$G$67,2*INT((18+WEEKDAY(DATE(PlanYear,10,1),2)-1)/7)+1,MOD(18+WEEKDAY(DATE(PlanYear,10,1),2)-1,7)+1)=AA$5,", "&amp;19,"")&amp;IF(INDEX($A$57:$G$67,2*INT((19+WEEKDAY(DATE(PlanYear,10,1),2)-1)/7)+1,MOD(19+WEEKDAY(DATE(PlanYear,10,1),2)-1,7)+1)=AA$5,", "&amp;20,"")&amp;IF(INDEX($A$57:$G$67,2*INT((20+WEEKDAY(DATE(PlanYear,10,1),2)-1)/7)+1,MOD(20+WEEKDAY(DATE(PlanYear,10,1),2)-1,7)+1)=AA$5,", "&amp;21,"")&amp;IF(INDEX($A$57:$G$67,2*INT((21+WEEKDAY(DATE(PlanYear,10,1),2)-1)/7)+1,MOD(21+WEEKDAY(DATE(PlanYear,10,1),2)-1,7)+1)=AA$5,", "&amp;22,"")&amp;IF(INDEX($A$57:$G$67,2*INT((22+WEEKDAY(DATE(PlanYear,10,1),2)-1)/7)+1,MOD(22+WEEKDAY(DATE(PlanYear,10,1),2)-1,7)+1)=AA$5,", "&amp;23,"")&amp;IF(INDEX($A$57:$G$67,2*INT((23+WEEKDAY(DATE(PlanYear,10,1),2)-1)/7)+1,MOD(23+WEEKDAY(DATE(PlanYear,10,1),2)-1,7)+1)=AA$5,", "&amp;24,"")&amp;IF(INDEX($A$57:$G$67,2*INT((24+WEEKDAY(DATE(PlanYear,10,1),2)-1)/7)+1,MOD(24+WEEKDAY(DATE(PlanYear,10,1),2)-1,7)+1)=AA$5,", "&amp;25,"")&amp;IF(INDEX($A$57:$G$67,2*INT((25+WEEKDAY(DATE(PlanYear,10,1),2)-1)/7)+1,MOD(25+WEEKDAY(DATE(PlanYear,10,1),2)-1,7)+1)=AA$5,", "&amp;26,"")&amp;IF(INDEX($A$57:$G$67,2*INT((26+WEEKDAY(DATE(PlanYear,10,1),2)-1)/7)+1,MOD(26+WEEKDAY(DATE(PlanYear,10,1),2)-1,7)+1)=AA$5,", "&amp;27,"")&amp;IF(INDEX($A$57:$G$67,2*INT((27+WEEKDAY(DATE(PlanYear,10,1),2)-1)/7)+1,MOD(27+WEEKDAY(DATE(PlanYear,10,1),2)-1,7)+1)=AA$5,", "&amp;28,"")&amp;IF(INDEX($A$57:$G$67,2*INT((28+WEEKDAY(DATE(PlanYear,10,1),2)-1)/7)+1,MOD(28+WEEKDAY(DATE(PlanYear,10,1),2)-1,7)+1)=AA$5,", "&amp;29,"")&amp;IF(INDEX($A$57:$G$67,2*INT((29+WEEKDAY(DATE(PlanYear,10,1),2)-1)/7)+1,MOD(29+WEEKDAY(DATE(PlanYear,10,1),2)-1,7)+1)=AA$5,", "&amp;30,"")&amp;IF(INDEX($A$57:$G$67,2*INT((30+WEEKDAY(DATE(PlanYear,10,1),2)-1)/7)+1,MOD(30+WEEKDAY(DATE(PlanYear,10,1),2)-1,7)+1)=AA$5,", "&amp;31,""),3,200))</f>
        <v/>
      </c>
      <c r="AB15" s="16">
        <f>IF(AB$5="","",MID(IF(INDEX($A$57:$G$67,2*INT((0+WEEKDAY(DATE(PlanYear,10,1),2)-1)/7)+1,MOD(0+WEEKDAY(DATE(PlanYear,10,1),2)-1,7)+1)=AB$5,", "&amp;1,"")&amp;IF(INDEX($A$57:$G$67,2*INT((1+WEEKDAY(DATE(PlanYear,10,1),2)-1)/7)+1,MOD(1+WEEKDAY(DATE(PlanYear,10,1),2)-1,7)+1)=AB$5,", "&amp;2,"")&amp;IF(INDEX($A$57:$G$67,2*INT((2+WEEKDAY(DATE(PlanYear,10,1),2)-1)/7)+1,MOD(2+WEEKDAY(DATE(PlanYear,10,1),2)-1,7)+1)=AB$5,", "&amp;3,"")&amp;IF(INDEX($A$57:$G$67,2*INT((3+WEEKDAY(DATE(PlanYear,10,1),2)-1)/7)+1,MOD(3+WEEKDAY(DATE(PlanYear,10,1),2)-1,7)+1)=AB$5,", "&amp;4,"")&amp;IF(INDEX($A$57:$G$67,2*INT((4+WEEKDAY(DATE(PlanYear,10,1),2)-1)/7)+1,MOD(4+WEEKDAY(DATE(PlanYear,10,1),2)-1,7)+1)=AB$5,", "&amp;5,"")&amp;IF(INDEX($A$57:$G$67,2*INT((5+WEEKDAY(DATE(PlanYear,10,1),2)-1)/7)+1,MOD(5+WEEKDAY(DATE(PlanYear,10,1),2)-1,7)+1)=AB$5,", "&amp;6,"")&amp;IF(INDEX($A$57:$G$67,2*INT((6+WEEKDAY(DATE(PlanYear,10,1),2)-1)/7)+1,MOD(6+WEEKDAY(DATE(PlanYear,10,1),2)-1,7)+1)=AB$5,", "&amp;7,"")&amp;IF(INDEX($A$57:$G$67,2*INT((7+WEEKDAY(DATE(PlanYear,10,1),2)-1)/7)+1,MOD(7+WEEKDAY(DATE(PlanYear,10,1),2)-1,7)+1)=AB$5,", "&amp;8,"")&amp;IF(INDEX($A$57:$G$67,2*INT((8+WEEKDAY(DATE(PlanYear,10,1),2)-1)/7)+1,MOD(8+WEEKDAY(DATE(PlanYear,10,1),2)-1,7)+1)=AB$5,", "&amp;9,"")&amp;IF(INDEX($A$57:$G$67,2*INT((9+WEEKDAY(DATE(PlanYear,10,1),2)-1)/7)+1,MOD(9+WEEKDAY(DATE(PlanYear,10,1),2)-1,7)+1)=AB$5,", "&amp;10,"")&amp;IF(INDEX($A$57:$G$67,2*INT((10+WEEKDAY(DATE(PlanYear,10,1),2)-1)/7)+1,MOD(10+WEEKDAY(DATE(PlanYear,10,1),2)-1,7)+1)=AB$5,", "&amp;11,"")&amp;IF(INDEX($A$57:$G$67,2*INT((11+WEEKDAY(DATE(PlanYear,10,1),2)-1)/7)+1,MOD(11+WEEKDAY(DATE(PlanYear,10,1),2)-1,7)+1)=AB$5,", "&amp;12,"")&amp;IF(INDEX($A$57:$G$67,2*INT((12+WEEKDAY(DATE(PlanYear,10,1),2)-1)/7)+1,MOD(12+WEEKDAY(DATE(PlanYear,10,1),2)-1,7)+1)=AB$5,", "&amp;13,"")&amp;IF(INDEX($A$57:$G$67,2*INT((13+WEEKDAY(DATE(PlanYear,10,1),2)-1)/7)+1,MOD(13+WEEKDAY(DATE(PlanYear,10,1),2)-1,7)+1)=AB$5,", "&amp;14,"")&amp;IF(INDEX($A$57:$G$67,2*INT((14+WEEKDAY(DATE(PlanYear,10,1),2)-1)/7)+1,MOD(14+WEEKDAY(DATE(PlanYear,10,1),2)-1,7)+1)=AB$5,", "&amp;15,"")&amp;IF(INDEX($A$57:$G$67,2*INT((15+WEEKDAY(DATE(PlanYear,10,1),2)-1)/7)+1,MOD(15+WEEKDAY(DATE(PlanYear,10,1),2)-1,7)+1)=AB$5,", "&amp;16,"")&amp;IF(INDEX($A$57:$G$67,2*INT((16+WEEKDAY(DATE(PlanYear,10,1),2)-1)/7)+1,MOD(16+WEEKDAY(DATE(PlanYear,10,1),2)-1,7)+1)=AB$5,", "&amp;17,"")&amp;IF(INDEX($A$57:$G$67,2*INT((17+WEEKDAY(DATE(PlanYear,10,1),2)-1)/7)+1,MOD(17+WEEKDAY(DATE(PlanYear,10,1),2)-1,7)+1)=AB$5,", "&amp;18,"")&amp;IF(INDEX($A$57:$G$67,2*INT((18+WEEKDAY(DATE(PlanYear,10,1),2)-1)/7)+1,MOD(18+WEEKDAY(DATE(PlanYear,10,1),2)-1,7)+1)=AB$5,", "&amp;19,"")&amp;IF(INDEX($A$57:$G$67,2*INT((19+WEEKDAY(DATE(PlanYear,10,1),2)-1)/7)+1,MOD(19+WEEKDAY(DATE(PlanYear,10,1),2)-1,7)+1)=AB$5,", "&amp;20,"")&amp;IF(INDEX($A$57:$G$67,2*INT((20+WEEKDAY(DATE(PlanYear,10,1),2)-1)/7)+1,MOD(20+WEEKDAY(DATE(PlanYear,10,1),2)-1,7)+1)=AB$5,", "&amp;21,"")&amp;IF(INDEX($A$57:$G$67,2*INT((21+WEEKDAY(DATE(PlanYear,10,1),2)-1)/7)+1,MOD(21+WEEKDAY(DATE(PlanYear,10,1),2)-1,7)+1)=AB$5,", "&amp;22,"")&amp;IF(INDEX($A$57:$G$67,2*INT((22+WEEKDAY(DATE(PlanYear,10,1),2)-1)/7)+1,MOD(22+WEEKDAY(DATE(PlanYear,10,1),2)-1,7)+1)=AB$5,", "&amp;23,"")&amp;IF(INDEX($A$57:$G$67,2*INT((23+WEEKDAY(DATE(PlanYear,10,1),2)-1)/7)+1,MOD(23+WEEKDAY(DATE(PlanYear,10,1),2)-1,7)+1)=AB$5,", "&amp;24,"")&amp;IF(INDEX($A$57:$G$67,2*INT((24+WEEKDAY(DATE(PlanYear,10,1),2)-1)/7)+1,MOD(24+WEEKDAY(DATE(PlanYear,10,1),2)-1,7)+1)=AB$5,", "&amp;25,"")&amp;IF(INDEX($A$57:$G$67,2*INT((25+WEEKDAY(DATE(PlanYear,10,1),2)-1)/7)+1,MOD(25+WEEKDAY(DATE(PlanYear,10,1),2)-1,7)+1)=AB$5,", "&amp;26,"")&amp;IF(INDEX($A$57:$G$67,2*INT((26+WEEKDAY(DATE(PlanYear,10,1),2)-1)/7)+1,MOD(26+WEEKDAY(DATE(PlanYear,10,1),2)-1,7)+1)=AB$5,", "&amp;27,"")&amp;IF(INDEX($A$57:$G$67,2*INT((27+WEEKDAY(DATE(PlanYear,10,1),2)-1)/7)+1,MOD(27+WEEKDAY(DATE(PlanYear,10,1),2)-1,7)+1)=AB$5,", "&amp;28,"")&amp;IF(INDEX($A$57:$G$67,2*INT((28+WEEKDAY(DATE(PlanYear,10,1),2)-1)/7)+1,MOD(28+WEEKDAY(DATE(PlanYear,10,1),2)-1,7)+1)=AB$5,", "&amp;29,"")&amp;IF(INDEX($A$57:$G$67,2*INT((29+WEEKDAY(DATE(PlanYear,10,1),2)-1)/7)+1,MOD(29+WEEKDAY(DATE(PlanYear,10,1),2)-1,7)+1)=AB$5,", "&amp;30,"")&amp;IF(INDEX($A$57:$G$67,2*INT((30+WEEKDAY(DATE(PlanYear,10,1),2)-1)/7)+1,MOD(30+WEEKDAY(DATE(PlanYear,10,1),2)-1,7)+1)=AB$5,", "&amp;31,""),3,200))</f>
        <v/>
      </c>
      <c r="AC15" s="16">
        <f>IF(AC$5="","",MID(IF(INDEX($A$57:$G$67,2*INT((0+WEEKDAY(DATE(PlanYear,10,1),2)-1)/7)+1,MOD(0+WEEKDAY(DATE(PlanYear,10,1),2)-1,7)+1)=AC$5,", "&amp;1,"")&amp;IF(INDEX($A$57:$G$67,2*INT((1+WEEKDAY(DATE(PlanYear,10,1),2)-1)/7)+1,MOD(1+WEEKDAY(DATE(PlanYear,10,1),2)-1,7)+1)=AC$5,", "&amp;2,"")&amp;IF(INDEX($A$57:$G$67,2*INT((2+WEEKDAY(DATE(PlanYear,10,1),2)-1)/7)+1,MOD(2+WEEKDAY(DATE(PlanYear,10,1),2)-1,7)+1)=AC$5,", "&amp;3,"")&amp;IF(INDEX($A$57:$G$67,2*INT((3+WEEKDAY(DATE(PlanYear,10,1),2)-1)/7)+1,MOD(3+WEEKDAY(DATE(PlanYear,10,1),2)-1,7)+1)=AC$5,", "&amp;4,"")&amp;IF(INDEX($A$57:$G$67,2*INT((4+WEEKDAY(DATE(PlanYear,10,1),2)-1)/7)+1,MOD(4+WEEKDAY(DATE(PlanYear,10,1),2)-1,7)+1)=AC$5,", "&amp;5,"")&amp;IF(INDEX($A$57:$G$67,2*INT((5+WEEKDAY(DATE(PlanYear,10,1),2)-1)/7)+1,MOD(5+WEEKDAY(DATE(PlanYear,10,1),2)-1,7)+1)=AC$5,", "&amp;6,"")&amp;IF(INDEX($A$57:$G$67,2*INT((6+WEEKDAY(DATE(PlanYear,10,1),2)-1)/7)+1,MOD(6+WEEKDAY(DATE(PlanYear,10,1),2)-1,7)+1)=AC$5,", "&amp;7,"")&amp;IF(INDEX($A$57:$G$67,2*INT((7+WEEKDAY(DATE(PlanYear,10,1),2)-1)/7)+1,MOD(7+WEEKDAY(DATE(PlanYear,10,1),2)-1,7)+1)=AC$5,", "&amp;8,"")&amp;IF(INDEX($A$57:$G$67,2*INT((8+WEEKDAY(DATE(PlanYear,10,1),2)-1)/7)+1,MOD(8+WEEKDAY(DATE(PlanYear,10,1),2)-1,7)+1)=AC$5,", "&amp;9,"")&amp;IF(INDEX($A$57:$G$67,2*INT((9+WEEKDAY(DATE(PlanYear,10,1),2)-1)/7)+1,MOD(9+WEEKDAY(DATE(PlanYear,10,1),2)-1,7)+1)=AC$5,", "&amp;10,"")&amp;IF(INDEX($A$57:$G$67,2*INT((10+WEEKDAY(DATE(PlanYear,10,1),2)-1)/7)+1,MOD(10+WEEKDAY(DATE(PlanYear,10,1),2)-1,7)+1)=AC$5,", "&amp;11,"")&amp;IF(INDEX($A$57:$G$67,2*INT((11+WEEKDAY(DATE(PlanYear,10,1),2)-1)/7)+1,MOD(11+WEEKDAY(DATE(PlanYear,10,1),2)-1,7)+1)=AC$5,", "&amp;12,"")&amp;IF(INDEX($A$57:$G$67,2*INT((12+WEEKDAY(DATE(PlanYear,10,1),2)-1)/7)+1,MOD(12+WEEKDAY(DATE(PlanYear,10,1),2)-1,7)+1)=AC$5,", "&amp;13,"")&amp;IF(INDEX($A$57:$G$67,2*INT((13+WEEKDAY(DATE(PlanYear,10,1),2)-1)/7)+1,MOD(13+WEEKDAY(DATE(PlanYear,10,1),2)-1,7)+1)=AC$5,", "&amp;14,"")&amp;IF(INDEX($A$57:$G$67,2*INT((14+WEEKDAY(DATE(PlanYear,10,1),2)-1)/7)+1,MOD(14+WEEKDAY(DATE(PlanYear,10,1),2)-1,7)+1)=AC$5,", "&amp;15,"")&amp;IF(INDEX($A$57:$G$67,2*INT((15+WEEKDAY(DATE(PlanYear,10,1),2)-1)/7)+1,MOD(15+WEEKDAY(DATE(PlanYear,10,1),2)-1,7)+1)=AC$5,", "&amp;16,"")&amp;IF(INDEX($A$57:$G$67,2*INT((16+WEEKDAY(DATE(PlanYear,10,1),2)-1)/7)+1,MOD(16+WEEKDAY(DATE(PlanYear,10,1),2)-1,7)+1)=AC$5,", "&amp;17,"")&amp;IF(INDEX($A$57:$G$67,2*INT((17+WEEKDAY(DATE(PlanYear,10,1),2)-1)/7)+1,MOD(17+WEEKDAY(DATE(PlanYear,10,1),2)-1,7)+1)=AC$5,", "&amp;18,"")&amp;IF(INDEX($A$57:$G$67,2*INT((18+WEEKDAY(DATE(PlanYear,10,1),2)-1)/7)+1,MOD(18+WEEKDAY(DATE(PlanYear,10,1),2)-1,7)+1)=AC$5,", "&amp;19,"")&amp;IF(INDEX($A$57:$G$67,2*INT((19+WEEKDAY(DATE(PlanYear,10,1),2)-1)/7)+1,MOD(19+WEEKDAY(DATE(PlanYear,10,1),2)-1,7)+1)=AC$5,", "&amp;20,"")&amp;IF(INDEX($A$57:$G$67,2*INT((20+WEEKDAY(DATE(PlanYear,10,1),2)-1)/7)+1,MOD(20+WEEKDAY(DATE(PlanYear,10,1),2)-1,7)+1)=AC$5,", "&amp;21,"")&amp;IF(INDEX($A$57:$G$67,2*INT((21+WEEKDAY(DATE(PlanYear,10,1),2)-1)/7)+1,MOD(21+WEEKDAY(DATE(PlanYear,10,1),2)-1,7)+1)=AC$5,", "&amp;22,"")&amp;IF(INDEX($A$57:$G$67,2*INT((22+WEEKDAY(DATE(PlanYear,10,1),2)-1)/7)+1,MOD(22+WEEKDAY(DATE(PlanYear,10,1),2)-1,7)+1)=AC$5,", "&amp;23,"")&amp;IF(INDEX($A$57:$G$67,2*INT((23+WEEKDAY(DATE(PlanYear,10,1),2)-1)/7)+1,MOD(23+WEEKDAY(DATE(PlanYear,10,1),2)-1,7)+1)=AC$5,", "&amp;24,"")&amp;IF(INDEX($A$57:$G$67,2*INT((24+WEEKDAY(DATE(PlanYear,10,1),2)-1)/7)+1,MOD(24+WEEKDAY(DATE(PlanYear,10,1),2)-1,7)+1)=AC$5,", "&amp;25,"")&amp;IF(INDEX($A$57:$G$67,2*INT((25+WEEKDAY(DATE(PlanYear,10,1),2)-1)/7)+1,MOD(25+WEEKDAY(DATE(PlanYear,10,1),2)-1,7)+1)=AC$5,", "&amp;26,"")&amp;IF(INDEX($A$57:$G$67,2*INT((26+WEEKDAY(DATE(PlanYear,10,1),2)-1)/7)+1,MOD(26+WEEKDAY(DATE(PlanYear,10,1),2)-1,7)+1)=AC$5,", "&amp;27,"")&amp;IF(INDEX($A$57:$G$67,2*INT((27+WEEKDAY(DATE(PlanYear,10,1),2)-1)/7)+1,MOD(27+WEEKDAY(DATE(PlanYear,10,1),2)-1,7)+1)=AC$5,", "&amp;28,"")&amp;IF(INDEX($A$57:$G$67,2*INT((28+WEEKDAY(DATE(PlanYear,10,1),2)-1)/7)+1,MOD(28+WEEKDAY(DATE(PlanYear,10,1),2)-1,7)+1)=AC$5,", "&amp;29,"")&amp;IF(INDEX($A$57:$G$67,2*INT((29+WEEKDAY(DATE(PlanYear,10,1),2)-1)/7)+1,MOD(29+WEEKDAY(DATE(PlanYear,10,1),2)-1,7)+1)=AC$5,", "&amp;30,"")&amp;IF(INDEX($A$57:$G$67,2*INT((30+WEEKDAY(DATE(PlanYear,10,1),2)-1)/7)+1,MOD(30+WEEKDAY(DATE(PlanYear,10,1),2)-1,7)+1)=AC$5,", "&amp;31,""),3,200))</f>
        <v/>
      </c>
      <c r="AD15" s="16">
        <f>IF(AD$5="","",MID(IF(INDEX($A$57:$G$67,2*INT((0+WEEKDAY(DATE(PlanYear,10,1),2)-1)/7)+1,MOD(0+WEEKDAY(DATE(PlanYear,10,1),2)-1,7)+1)=AD$5,", "&amp;1,"")&amp;IF(INDEX($A$57:$G$67,2*INT((1+WEEKDAY(DATE(PlanYear,10,1),2)-1)/7)+1,MOD(1+WEEKDAY(DATE(PlanYear,10,1),2)-1,7)+1)=AD$5,", "&amp;2,"")&amp;IF(INDEX($A$57:$G$67,2*INT((2+WEEKDAY(DATE(PlanYear,10,1),2)-1)/7)+1,MOD(2+WEEKDAY(DATE(PlanYear,10,1),2)-1,7)+1)=AD$5,", "&amp;3,"")&amp;IF(INDEX($A$57:$G$67,2*INT((3+WEEKDAY(DATE(PlanYear,10,1),2)-1)/7)+1,MOD(3+WEEKDAY(DATE(PlanYear,10,1),2)-1,7)+1)=AD$5,", "&amp;4,"")&amp;IF(INDEX($A$57:$G$67,2*INT((4+WEEKDAY(DATE(PlanYear,10,1),2)-1)/7)+1,MOD(4+WEEKDAY(DATE(PlanYear,10,1),2)-1,7)+1)=AD$5,", "&amp;5,"")&amp;IF(INDEX($A$57:$G$67,2*INT((5+WEEKDAY(DATE(PlanYear,10,1),2)-1)/7)+1,MOD(5+WEEKDAY(DATE(PlanYear,10,1),2)-1,7)+1)=AD$5,", "&amp;6,"")&amp;IF(INDEX($A$57:$G$67,2*INT((6+WEEKDAY(DATE(PlanYear,10,1),2)-1)/7)+1,MOD(6+WEEKDAY(DATE(PlanYear,10,1),2)-1,7)+1)=AD$5,", "&amp;7,"")&amp;IF(INDEX($A$57:$G$67,2*INT((7+WEEKDAY(DATE(PlanYear,10,1),2)-1)/7)+1,MOD(7+WEEKDAY(DATE(PlanYear,10,1),2)-1,7)+1)=AD$5,", "&amp;8,"")&amp;IF(INDEX($A$57:$G$67,2*INT((8+WEEKDAY(DATE(PlanYear,10,1),2)-1)/7)+1,MOD(8+WEEKDAY(DATE(PlanYear,10,1),2)-1,7)+1)=AD$5,", "&amp;9,"")&amp;IF(INDEX($A$57:$G$67,2*INT((9+WEEKDAY(DATE(PlanYear,10,1),2)-1)/7)+1,MOD(9+WEEKDAY(DATE(PlanYear,10,1),2)-1,7)+1)=AD$5,", "&amp;10,"")&amp;IF(INDEX($A$57:$G$67,2*INT((10+WEEKDAY(DATE(PlanYear,10,1),2)-1)/7)+1,MOD(10+WEEKDAY(DATE(PlanYear,10,1),2)-1,7)+1)=AD$5,", "&amp;11,"")&amp;IF(INDEX($A$57:$G$67,2*INT((11+WEEKDAY(DATE(PlanYear,10,1),2)-1)/7)+1,MOD(11+WEEKDAY(DATE(PlanYear,10,1),2)-1,7)+1)=AD$5,", "&amp;12,"")&amp;IF(INDEX($A$57:$G$67,2*INT((12+WEEKDAY(DATE(PlanYear,10,1),2)-1)/7)+1,MOD(12+WEEKDAY(DATE(PlanYear,10,1),2)-1,7)+1)=AD$5,", "&amp;13,"")&amp;IF(INDEX($A$57:$G$67,2*INT((13+WEEKDAY(DATE(PlanYear,10,1),2)-1)/7)+1,MOD(13+WEEKDAY(DATE(PlanYear,10,1),2)-1,7)+1)=AD$5,", "&amp;14,"")&amp;IF(INDEX($A$57:$G$67,2*INT((14+WEEKDAY(DATE(PlanYear,10,1),2)-1)/7)+1,MOD(14+WEEKDAY(DATE(PlanYear,10,1),2)-1,7)+1)=AD$5,", "&amp;15,"")&amp;IF(INDEX($A$57:$G$67,2*INT((15+WEEKDAY(DATE(PlanYear,10,1),2)-1)/7)+1,MOD(15+WEEKDAY(DATE(PlanYear,10,1),2)-1,7)+1)=AD$5,", "&amp;16,"")&amp;IF(INDEX($A$57:$G$67,2*INT((16+WEEKDAY(DATE(PlanYear,10,1),2)-1)/7)+1,MOD(16+WEEKDAY(DATE(PlanYear,10,1),2)-1,7)+1)=AD$5,", "&amp;17,"")&amp;IF(INDEX($A$57:$G$67,2*INT((17+WEEKDAY(DATE(PlanYear,10,1),2)-1)/7)+1,MOD(17+WEEKDAY(DATE(PlanYear,10,1),2)-1,7)+1)=AD$5,", "&amp;18,"")&amp;IF(INDEX($A$57:$G$67,2*INT((18+WEEKDAY(DATE(PlanYear,10,1),2)-1)/7)+1,MOD(18+WEEKDAY(DATE(PlanYear,10,1),2)-1,7)+1)=AD$5,", "&amp;19,"")&amp;IF(INDEX($A$57:$G$67,2*INT((19+WEEKDAY(DATE(PlanYear,10,1),2)-1)/7)+1,MOD(19+WEEKDAY(DATE(PlanYear,10,1),2)-1,7)+1)=AD$5,", "&amp;20,"")&amp;IF(INDEX($A$57:$G$67,2*INT((20+WEEKDAY(DATE(PlanYear,10,1),2)-1)/7)+1,MOD(20+WEEKDAY(DATE(PlanYear,10,1),2)-1,7)+1)=AD$5,", "&amp;21,"")&amp;IF(INDEX($A$57:$G$67,2*INT((21+WEEKDAY(DATE(PlanYear,10,1),2)-1)/7)+1,MOD(21+WEEKDAY(DATE(PlanYear,10,1),2)-1,7)+1)=AD$5,", "&amp;22,"")&amp;IF(INDEX($A$57:$G$67,2*INT((22+WEEKDAY(DATE(PlanYear,10,1),2)-1)/7)+1,MOD(22+WEEKDAY(DATE(PlanYear,10,1),2)-1,7)+1)=AD$5,", "&amp;23,"")&amp;IF(INDEX($A$57:$G$67,2*INT((23+WEEKDAY(DATE(PlanYear,10,1),2)-1)/7)+1,MOD(23+WEEKDAY(DATE(PlanYear,10,1),2)-1,7)+1)=AD$5,", "&amp;24,"")&amp;IF(INDEX($A$57:$G$67,2*INT((24+WEEKDAY(DATE(PlanYear,10,1),2)-1)/7)+1,MOD(24+WEEKDAY(DATE(PlanYear,10,1),2)-1,7)+1)=AD$5,", "&amp;25,"")&amp;IF(INDEX($A$57:$G$67,2*INT((25+WEEKDAY(DATE(PlanYear,10,1),2)-1)/7)+1,MOD(25+WEEKDAY(DATE(PlanYear,10,1),2)-1,7)+1)=AD$5,", "&amp;26,"")&amp;IF(INDEX($A$57:$G$67,2*INT((26+WEEKDAY(DATE(PlanYear,10,1),2)-1)/7)+1,MOD(26+WEEKDAY(DATE(PlanYear,10,1),2)-1,7)+1)=AD$5,", "&amp;27,"")&amp;IF(INDEX($A$57:$G$67,2*INT((27+WEEKDAY(DATE(PlanYear,10,1),2)-1)/7)+1,MOD(27+WEEKDAY(DATE(PlanYear,10,1),2)-1,7)+1)=AD$5,", "&amp;28,"")&amp;IF(INDEX($A$57:$G$67,2*INT((28+WEEKDAY(DATE(PlanYear,10,1),2)-1)/7)+1,MOD(28+WEEKDAY(DATE(PlanYear,10,1),2)-1,7)+1)=AD$5,", "&amp;29,"")&amp;IF(INDEX($A$57:$G$67,2*INT((29+WEEKDAY(DATE(PlanYear,10,1),2)-1)/7)+1,MOD(29+WEEKDAY(DATE(PlanYear,10,1),2)-1,7)+1)=AD$5,", "&amp;30,"")&amp;IF(INDEX($A$57:$G$67,2*INT((30+WEEKDAY(DATE(PlanYear,10,1),2)-1)/7)+1,MOD(30+WEEKDAY(DATE(PlanYear,10,1),2)-1,7)+1)=AD$5,", "&amp;31,""),3,200))</f>
        <v/>
      </c>
      <c r="AE15" s="16">
        <f>IF(AE$5="","",MID(IF(INDEX($A$57:$G$67,2*INT((0+WEEKDAY(DATE(PlanYear,10,1),2)-1)/7)+1,MOD(0+WEEKDAY(DATE(PlanYear,10,1),2)-1,7)+1)=AE$5,", "&amp;1,"")&amp;IF(INDEX($A$57:$G$67,2*INT((1+WEEKDAY(DATE(PlanYear,10,1),2)-1)/7)+1,MOD(1+WEEKDAY(DATE(PlanYear,10,1),2)-1,7)+1)=AE$5,", "&amp;2,"")&amp;IF(INDEX($A$57:$G$67,2*INT((2+WEEKDAY(DATE(PlanYear,10,1),2)-1)/7)+1,MOD(2+WEEKDAY(DATE(PlanYear,10,1),2)-1,7)+1)=AE$5,", "&amp;3,"")&amp;IF(INDEX($A$57:$G$67,2*INT((3+WEEKDAY(DATE(PlanYear,10,1),2)-1)/7)+1,MOD(3+WEEKDAY(DATE(PlanYear,10,1),2)-1,7)+1)=AE$5,", "&amp;4,"")&amp;IF(INDEX($A$57:$G$67,2*INT((4+WEEKDAY(DATE(PlanYear,10,1),2)-1)/7)+1,MOD(4+WEEKDAY(DATE(PlanYear,10,1),2)-1,7)+1)=AE$5,", "&amp;5,"")&amp;IF(INDEX($A$57:$G$67,2*INT((5+WEEKDAY(DATE(PlanYear,10,1),2)-1)/7)+1,MOD(5+WEEKDAY(DATE(PlanYear,10,1),2)-1,7)+1)=AE$5,", "&amp;6,"")&amp;IF(INDEX($A$57:$G$67,2*INT((6+WEEKDAY(DATE(PlanYear,10,1),2)-1)/7)+1,MOD(6+WEEKDAY(DATE(PlanYear,10,1),2)-1,7)+1)=AE$5,", "&amp;7,"")&amp;IF(INDEX($A$57:$G$67,2*INT((7+WEEKDAY(DATE(PlanYear,10,1),2)-1)/7)+1,MOD(7+WEEKDAY(DATE(PlanYear,10,1),2)-1,7)+1)=AE$5,", "&amp;8,"")&amp;IF(INDEX($A$57:$G$67,2*INT((8+WEEKDAY(DATE(PlanYear,10,1),2)-1)/7)+1,MOD(8+WEEKDAY(DATE(PlanYear,10,1),2)-1,7)+1)=AE$5,", "&amp;9,"")&amp;IF(INDEX($A$57:$G$67,2*INT((9+WEEKDAY(DATE(PlanYear,10,1),2)-1)/7)+1,MOD(9+WEEKDAY(DATE(PlanYear,10,1),2)-1,7)+1)=AE$5,", "&amp;10,"")&amp;IF(INDEX($A$57:$G$67,2*INT((10+WEEKDAY(DATE(PlanYear,10,1),2)-1)/7)+1,MOD(10+WEEKDAY(DATE(PlanYear,10,1),2)-1,7)+1)=AE$5,", "&amp;11,"")&amp;IF(INDEX($A$57:$G$67,2*INT((11+WEEKDAY(DATE(PlanYear,10,1),2)-1)/7)+1,MOD(11+WEEKDAY(DATE(PlanYear,10,1),2)-1,7)+1)=AE$5,", "&amp;12,"")&amp;IF(INDEX($A$57:$G$67,2*INT((12+WEEKDAY(DATE(PlanYear,10,1),2)-1)/7)+1,MOD(12+WEEKDAY(DATE(PlanYear,10,1),2)-1,7)+1)=AE$5,", "&amp;13,"")&amp;IF(INDEX($A$57:$G$67,2*INT((13+WEEKDAY(DATE(PlanYear,10,1),2)-1)/7)+1,MOD(13+WEEKDAY(DATE(PlanYear,10,1),2)-1,7)+1)=AE$5,", "&amp;14,"")&amp;IF(INDEX($A$57:$G$67,2*INT((14+WEEKDAY(DATE(PlanYear,10,1),2)-1)/7)+1,MOD(14+WEEKDAY(DATE(PlanYear,10,1),2)-1,7)+1)=AE$5,", "&amp;15,"")&amp;IF(INDEX($A$57:$G$67,2*INT((15+WEEKDAY(DATE(PlanYear,10,1),2)-1)/7)+1,MOD(15+WEEKDAY(DATE(PlanYear,10,1),2)-1,7)+1)=AE$5,", "&amp;16,"")&amp;IF(INDEX($A$57:$G$67,2*INT((16+WEEKDAY(DATE(PlanYear,10,1),2)-1)/7)+1,MOD(16+WEEKDAY(DATE(PlanYear,10,1),2)-1,7)+1)=AE$5,", "&amp;17,"")&amp;IF(INDEX($A$57:$G$67,2*INT((17+WEEKDAY(DATE(PlanYear,10,1),2)-1)/7)+1,MOD(17+WEEKDAY(DATE(PlanYear,10,1),2)-1,7)+1)=AE$5,", "&amp;18,"")&amp;IF(INDEX($A$57:$G$67,2*INT((18+WEEKDAY(DATE(PlanYear,10,1),2)-1)/7)+1,MOD(18+WEEKDAY(DATE(PlanYear,10,1),2)-1,7)+1)=AE$5,", "&amp;19,"")&amp;IF(INDEX($A$57:$G$67,2*INT((19+WEEKDAY(DATE(PlanYear,10,1),2)-1)/7)+1,MOD(19+WEEKDAY(DATE(PlanYear,10,1),2)-1,7)+1)=AE$5,", "&amp;20,"")&amp;IF(INDEX($A$57:$G$67,2*INT((20+WEEKDAY(DATE(PlanYear,10,1),2)-1)/7)+1,MOD(20+WEEKDAY(DATE(PlanYear,10,1),2)-1,7)+1)=AE$5,", "&amp;21,"")&amp;IF(INDEX($A$57:$G$67,2*INT((21+WEEKDAY(DATE(PlanYear,10,1),2)-1)/7)+1,MOD(21+WEEKDAY(DATE(PlanYear,10,1),2)-1,7)+1)=AE$5,", "&amp;22,"")&amp;IF(INDEX($A$57:$G$67,2*INT((22+WEEKDAY(DATE(PlanYear,10,1),2)-1)/7)+1,MOD(22+WEEKDAY(DATE(PlanYear,10,1),2)-1,7)+1)=AE$5,", "&amp;23,"")&amp;IF(INDEX($A$57:$G$67,2*INT((23+WEEKDAY(DATE(PlanYear,10,1),2)-1)/7)+1,MOD(23+WEEKDAY(DATE(PlanYear,10,1),2)-1,7)+1)=AE$5,", "&amp;24,"")&amp;IF(INDEX($A$57:$G$67,2*INT((24+WEEKDAY(DATE(PlanYear,10,1),2)-1)/7)+1,MOD(24+WEEKDAY(DATE(PlanYear,10,1),2)-1,7)+1)=AE$5,", "&amp;25,"")&amp;IF(INDEX($A$57:$G$67,2*INT((25+WEEKDAY(DATE(PlanYear,10,1),2)-1)/7)+1,MOD(25+WEEKDAY(DATE(PlanYear,10,1),2)-1,7)+1)=AE$5,", "&amp;26,"")&amp;IF(INDEX($A$57:$G$67,2*INT((26+WEEKDAY(DATE(PlanYear,10,1),2)-1)/7)+1,MOD(26+WEEKDAY(DATE(PlanYear,10,1),2)-1,7)+1)=AE$5,", "&amp;27,"")&amp;IF(INDEX($A$57:$G$67,2*INT((27+WEEKDAY(DATE(PlanYear,10,1),2)-1)/7)+1,MOD(27+WEEKDAY(DATE(PlanYear,10,1),2)-1,7)+1)=AE$5,", "&amp;28,"")&amp;IF(INDEX($A$57:$G$67,2*INT((28+WEEKDAY(DATE(PlanYear,10,1),2)-1)/7)+1,MOD(28+WEEKDAY(DATE(PlanYear,10,1),2)-1,7)+1)=AE$5,", "&amp;29,"")&amp;IF(INDEX($A$57:$G$67,2*INT((29+WEEKDAY(DATE(PlanYear,10,1),2)-1)/7)+1,MOD(29+WEEKDAY(DATE(PlanYear,10,1),2)-1,7)+1)=AE$5,", "&amp;30,"")&amp;IF(INDEX($A$57:$G$67,2*INT((30+WEEKDAY(DATE(PlanYear,10,1),2)-1)/7)+1,MOD(30+WEEKDAY(DATE(PlanYear,10,1),2)-1,7)+1)=AE$5,", "&amp;31,""),3,200))</f>
        <v/>
      </c>
      <c r="AF15" s="16">
        <f>IF(AF$5="","",MID(IF(INDEX($A$57:$G$67,2*INT((0+WEEKDAY(DATE(PlanYear,10,1),2)-1)/7)+1,MOD(0+WEEKDAY(DATE(PlanYear,10,1),2)-1,7)+1)=AF$5,", "&amp;1,"")&amp;IF(INDEX($A$57:$G$67,2*INT((1+WEEKDAY(DATE(PlanYear,10,1),2)-1)/7)+1,MOD(1+WEEKDAY(DATE(PlanYear,10,1),2)-1,7)+1)=AF$5,", "&amp;2,"")&amp;IF(INDEX($A$57:$G$67,2*INT((2+WEEKDAY(DATE(PlanYear,10,1),2)-1)/7)+1,MOD(2+WEEKDAY(DATE(PlanYear,10,1),2)-1,7)+1)=AF$5,", "&amp;3,"")&amp;IF(INDEX($A$57:$G$67,2*INT((3+WEEKDAY(DATE(PlanYear,10,1),2)-1)/7)+1,MOD(3+WEEKDAY(DATE(PlanYear,10,1),2)-1,7)+1)=AF$5,", "&amp;4,"")&amp;IF(INDEX($A$57:$G$67,2*INT((4+WEEKDAY(DATE(PlanYear,10,1),2)-1)/7)+1,MOD(4+WEEKDAY(DATE(PlanYear,10,1),2)-1,7)+1)=AF$5,", "&amp;5,"")&amp;IF(INDEX($A$57:$G$67,2*INT((5+WEEKDAY(DATE(PlanYear,10,1),2)-1)/7)+1,MOD(5+WEEKDAY(DATE(PlanYear,10,1),2)-1,7)+1)=AF$5,", "&amp;6,"")&amp;IF(INDEX($A$57:$G$67,2*INT((6+WEEKDAY(DATE(PlanYear,10,1),2)-1)/7)+1,MOD(6+WEEKDAY(DATE(PlanYear,10,1),2)-1,7)+1)=AF$5,", "&amp;7,"")&amp;IF(INDEX($A$57:$G$67,2*INT((7+WEEKDAY(DATE(PlanYear,10,1),2)-1)/7)+1,MOD(7+WEEKDAY(DATE(PlanYear,10,1),2)-1,7)+1)=AF$5,", "&amp;8,"")&amp;IF(INDEX($A$57:$G$67,2*INT((8+WEEKDAY(DATE(PlanYear,10,1),2)-1)/7)+1,MOD(8+WEEKDAY(DATE(PlanYear,10,1),2)-1,7)+1)=AF$5,", "&amp;9,"")&amp;IF(INDEX($A$57:$G$67,2*INT((9+WEEKDAY(DATE(PlanYear,10,1),2)-1)/7)+1,MOD(9+WEEKDAY(DATE(PlanYear,10,1),2)-1,7)+1)=AF$5,", "&amp;10,"")&amp;IF(INDEX($A$57:$G$67,2*INT((10+WEEKDAY(DATE(PlanYear,10,1),2)-1)/7)+1,MOD(10+WEEKDAY(DATE(PlanYear,10,1),2)-1,7)+1)=AF$5,", "&amp;11,"")&amp;IF(INDEX($A$57:$G$67,2*INT((11+WEEKDAY(DATE(PlanYear,10,1),2)-1)/7)+1,MOD(11+WEEKDAY(DATE(PlanYear,10,1),2)-1,7)+1)=AF$5,", "&amp;12,"")&amp;IF(INDEX($A$57:$G$67,2*INT((12+WEEKDAY(DATE(PlanYear,10,1),2)-1)/7)+1,MOD(12+WEEKDAY(DATE(PlanYear,10,1),2)-1,7)+1)=AF$5,", "&amp;13,"")&amp;IF(INDEX($A$57:$G$67,2*INT((13+WEEKDAY(DATE(PlanYear,10,1),2)-1)/7)+1,MOD(13+WEEKDAY(DATE(PlanYear,10,1),2)-1,7)+1)=AF$5,", "&amp;14,"")&amp;IF(INDEX($A$57:$G$67,2*INT((14+WEEKDAY(DATE(PlanYear,10,1),2)-1)/7)+1,MOD(14+WEEKDAY(DATE(PlanYear,10,1),2)-1,7)+1)=AF$5,", "&amp;15,"")&amp;IF(INDEX($A$57:$G$67,2*INT((15+WEEKDAY(DATE(PlanYear,10,1),2)-1)/7)+1,MOD(15+WEEKDAY(DATE(PlanYear,10,1),2)-1,7)+1)=AF$5,", "&amp;16,"")&amp;IF(INDEX($A$57:$G$67,2*INT((16+WEEKDAY(DATE(PlanYear,10,1),2)-1)/7)+1,MOD(16+WEEKDAY(DATE(PlanYear,10,1),2)-1,7)+1)=AF$5,", "&amp;17,"")&amp;IF(INDEX($A$57:$G$67,2*INT((17+WEEKDAY(DATE(PlanYear,10,1),2)-1)/7)+1,MOD(17+WEEKDAY(DATE(PlanYear,10,1),2)-1,7)+1)=AF$5,", "&amp;18,"")&amp;IF(INDEX($A$57:$G$67,2*INT((18+WEEKDAY(DATE(PlanYear,10,1),2)-1)/7)+1,MOD(18+WEEKDAY(DATE(PlanYear,10,1),2)-1,7)+1)=AF$5,", "&amp;19,"")&amp;IF(INDEX($A$57:$G$67,2*INT((19+WEEKDAY(DATE(PlanYear,10,1),2)-1)/7)+1,MOD(19+WEEKDAY(DATE(PlanYear,10,1),2)-1,7)+1)=AF$5,", "&amp;20,"")&amp;IF(INDEX($A$57:$G$67,2*INT((20+WEEKDAY(DATE(PlanYear,10,1),2)-1)/7)+1,MOD(20+WEEKDAY(DATE(PlanYear,10,1),2)-1,7)+1)=AF$5,", "&amp;21,"")&amp;IF(INDEX($A$57:$G$67,2*INT((21+WEEKDAY(DATE(PlanYear,10,1),2)-1)/7)+1,MOD(21+WEEKDAY(DATE(PlanYear,10,1),2)-1,7)+1)=AF$5,", "&amp;22,"")&amp;IF(INDEX($A$57:$G$67,2*INT((22+WEEKDAY(DATE(PlanYear,10,1),2)-1)/7)+1,MOD(22+WEEKDAY(DATE(PlanYear,10,1),2)-1,7)+1)=AF$5,", "&amp;23,"")&amp;IF(INDEX($A$57:$G$67,2*INT((23+WEEKDAY(DATE(PlanYear,10,1),2)-1)/7)+1,MOD(23+WEEKDAY(DATE(PlanYear,10,1),2)-1,7)+1)=AF$5,", "&amp;24,"")&amp;IF(INDEX($A$57:$G$67,2*INT((24+WEEKDAY(DATE(PlanYear,10,1),2)-1)/7)+1,MOD(24+WEEKDAY(DATE(PlanYear,10,1),2)-1,7)+1)=AF$5,", "&amp;25,"")&amp;IF(INDEX($A$57:$G$67,2*INT((25+WEEKDAY(DATE(PlanYear,10,1),2)-1)/7)+1,MOD(25+WEEKDAY(DATE(PlanYear,10,1),2)-1,7)+1)=AF$5,", "&amp;26,"")&amp;IF(INDEX($A$57:$G$67,2*INT((26+WEEKDAY(DATE(PlanYear,10,1),2)-1)/7)+1,MOD(26+WEEKDAY(DATE(PlanYear,10,1),2)-1,7)+1)=AF$5,", "&amp;27,"")&amp;IF(INDEX($A$57:$G$67,2*INT((27+WEEKDAY(DATE(PlanYear,10,1),2)-1)/7)+1,MOD(27+WEEKDAY(DATE(PlanYear,10,1),2)-1,7)+1)=AF$5,", "&amp;28,"")&amp;IF(INDEX($A$57:$G$67,2*INT((28+WEEKDAY(DATE(PlanYear,10,1),2)-1)/7)+1,MOD(28+WEEKDAY(DATE(PlanYear,10,1),2)-1,7)+1)=AF$5,", "&amp;29,"")&amp;IF(INDEX($A$57:$G$67,2*INT((29+WEEKDAY(DATE(PlanYear,10,1),2)-1)/7)+1,MOD(29+WEEKDAY(DATE(PlanYear,10,1),2)-1,7)+1)=AF$5,", "&amp;30,"")&amp;IF(INDEX($A$57:$G$67,2*INT((30+WEEKDAY(DATE(PlanYear,10,1),2)-1)/7)+1,MOD(30+WEEKDAY(DATE(PlanYear,10,1),2)-1,7)+1)=AF$5,", "&amp;31,""),3,200))</f>
        <v/>
      </c>
      <c r="AG15" s="16">
        <f>IF(AG$5="","",MID(IF(INDEX($A$57:$G$67,2*INT((0+WEEKDAY(DATE(PlanYear,10,1),2)-1)/7)+1,MOD(0+WEEKDAY(DATE(PlanYear,10,1),2)-1,7)+1)=AG$5,", "&amp;1,"")&amp;IF(INDEX($A$57:$G$67,2*INT((1+WEEKDAY(DATE(PlanYear,10,1),2)-1)/7)+1,MOD(1+WEEKDAY(DATE(PlanYear,10,1),2)-1,7)+1)=AG$5,", "&amp;2,"")&amp;IF(INDEX($A$57:$G$67,2*INT((2+WEEKDAY(DATE(PlanYear,10,1),2)-1)/7)+1,MOD(2+WEEKDAY(DATE(PlanYear,10,1),2)-1,7)+1)=AG$5,", "&amp;3,"")&amp;IF(INDEX($A$57:$G$67,2*INT((3+WEEKDAY(DATE(PlanYear,10,1),2)-1)/7)+1,MOD(3+WEEKDAY(DATE(PlanYear,10,1),2)-1,7)+1)=AG$5,", "&amp;4,"")&amp;IF(INDEX($A$57:$G$67,2*INT((4+WEEKDAY(DATE(PlanYear,10,1),2)-1)/7)+1,MOD(4+WEEKDAY(DATE(PlanYear,10,1),2)-1,7)+1)=AG$5,", "&amp;5,"")&amp;IF(INDEX($A$57:$G$67,2*INT((5+WEEKDAY(DATE(PlanYear,10,1),2)-1)/7)+1,MOD(5+WEEKDAY(DATE(PlanYear,10,1),2)-1,7)+1)=AG$5,", "&amp;6,"")&amp;IF(INDEX($A$57:$G$67,2*INT((6+WEEKDAY(DATE(PlanYear,10,1),2)-1)/7)+1,MOD(6+WEEKDAY(DATE(PlanYear,10,1),2)-1,7)+1)=AG$5,", "&amp;7,"")&amp;IF(INDEX($A$57:$G$67,2*INT((7+WEEKDAY(DATE(PlanYear,10,1),2)-1)/7)+1,MOD(7+WEEKDAY(DATE(PlanYear,10,1),2)-1,7)+1)=AG$5,", "&amp;8,"")&amp;IF(INDEX($A$57:$G$67,2*INT((8+WEEKDAY(DATE(PlanYear,10,1),2)-1)/7)+1,MOD(8+WEEKDAY(DATE(PlanYear,10,1),2)-1,7)+1)=AG$5,", "&amp;9,"")&amp;IF(INDEX($A$57:$G$67,2*INT((9+WEEKDAY(DATE(PlanYear,10,1),2)-1)/7)+1,MOD(9+WEEKDAY(DATE(PlanYear,10,1),2)-1,7)+1)=AG$5,", "&amp;10,"")&amp;IF(INDEX($A$57:$G$67,2*INT((10+WEEKDAY(DATE(PlanYear,10,1),2)-1)/7)+1,MOD(10+WEEKDAY(DATE(PlanYear,10,1),2)-1,7)+1)=AG$5,", "&amp;11,"")&amp;IF(INDEX($A$57:$G$67,2*INT((11+WEEKDAY(DATE(PlanYear,10,1),2)-1)/7)+1,MOD(11+WEEKDAY(DATE(PlanYear,10,1),2)-1,7)+1)=AG$5,", "&amp;12,"")&amp;IF(INDEX($A$57:$G$67,2*INT((12+WEEKDAY(DATE(PlanYear,10,1),2)-1)/7)+1,MOD(12+WEEKDAY(DATE(PlanYear,10,1),2)-1,7)+1)=AG$5,", "&amp;13,"")&amp;IF(INDEX($A$57:$G$67,2*INT((13+WEEKDAY(DATE(PlanYear,10,1),2)-1)/7)+1,MOD(13+WEEKDAY(DATE(PlanYear,10,1),2)-1,7)+1)=AG$5,", "&amp;14,"")&amp;IF(INDEX($A$57:$G$67,2*INT((14+WEEKDAY(DATE(PlanYear,10,1),2)-1)/7)+1,MOD(14+WEEKDAY(DATE(PlanYear,10,1),2)-1,7)+1)=AG$5,", "&amp;15,"")&amp;IF(INDEX($A$57:$G$67,2*INT((15+WEEKDAY(DATE(PlanYear,10,1),2)-1)/7)+1,MOD(15+WEEKDAY(DATE(PlanYear,10,1),2)-1,7)+1)=AG$5,", "&amp;16,"")&amp;IF(INDEX($A$57:$G$67,2*INT((16+WEEKDAY(DATE(PlanYear,10,1),2)-1)/7)+1,MOD(16+WEEKDAY(DATE(PlanYear,10,1),2)-1,7)+1)=AG$5,", "&amp;17,"")&amp;IF(INDEX($A$57:$G$67,2*INT((17+WEEKDAY(DATE(PlanYear,10,1),2)-1)/7)+1,MOD(17+WEEKDAY(DATE(PlanYear,10,1),2)-1,7)+1)=AG$5,", "&amp;18,"")&amp;IF(INDEX($A$57:$G$67,2*INT((18+WEEKDAY(DATE(PlanYear,10,1),2)-1)/7)+1,MOD(18+WEEKDAY(DATE(PlanYear,10,1),2)-1,7)+1)=AG$5,", "&amp;19,"")&amp;IF(INDEX($A$57:$G$67,2*INT((19+WEEKDAY(DATE(PlanYear,10,1),2)-1)/7)+1,MOD(19+WEEKDAY(DATE(PlanYear,10,1),2)-1,7)+1)=AG$5,", "&amp;20,"")&amp;IF(INDEX($A$57:$G$67,2*INT((20+WEEKDAY(DATE(PlanYear,10,1),2)-1)/7)+1,MOD(20+WEEKDAY(DATE(PlanYear,10,1),2)-1,7)+1)=AG$5,", "&amp;21,"")&amp;IF(INDEX($A$57:$G$67,2*INT((21+WEEKDAY(DATE(PlanYear,10,1),2)-1)/7)+1,MOD(21+WEEKDAY(DATE(PlanYear,10,1),2)-1,7)+1)=AG$5,", "&amp;22,"")&amp;IF(INDEX($A$57:$G$67,2*INT((22+WEEKDAY(DATE(PlanYear,10,1),2)-1)/7)+1,MOD(22+WEEKDAY(DATE(PlanYear,10,1),2)-1,7)+1)=AG$5,", "&amp;23,"")&amp;IF(INDEX($A$57:$G$67,2*INT((23+WEEKDAY(DATE(PlanYear,10,1),2)-1)/7)+1,MOD(23+WEEKDAY(DATE(PlanYear,10,1),2)-1,7)+1)=AG$5,", "&amp;24,"")&amp;IF(INDEX($A$57:$G$67,2*INT((24+WEEKDAY(DATE(PlanYear,10,1),2)-1)/7)+1,MOD(24+WEEKDAY(DATE(PlanYear,10,1),2)-1,7)+1)=AG$5,", "&amp;25,"")&amp;IF(INDEX($A$57:$G$67,2*INT((25+WEEKDAY(DATE(PlanYear,10,1),2)-1)/7)+1,MOD(25+WEEKDAY(DATE(PlanYear,10,1),2)-1,7)+1)=AG$5,", "&amp;26,"")&amp;IF(INDEX($A$57:$G$67,2*INT((26+WEEKDAY(DATE(PlanYear,10,1),2)-1)/7)+1,MOD(26+WEEKDAY(DATE(PlanYear,10,1),2)-1,7)+1)=AG$5,", "&amp;27,"")&amp;IF(INDEX($A$57:$G$67,2*INT((27+WEEKDAY(DATE(PlanYear,10,1),2)-1)/7)+1,MOD(27+WEEKDAY(DATE(PlanYear,10,1),2)-1,7)+1)=AG$5,", "&amp;28,"")&amp;IF(INDEX($A$57:$G$67,2*INT((28+WEEKDAY(DATE(PlanYear,10,1),2)-1)/7)+1,MOD(28+WEEKDAY(DATE(PlanYear,10,1),2)-1,7)+1)=AG$5,", "&amp;29,"")&amp;IF(INDEX($A$57:$G$67,2*INT((29+WEEKDAY(DATE(PlanYear,10,1),2)-1)/7)+1,MOD(29+WEEKDAY(DATE(PlanYear,10,1),2)-1,7)+1)=AG$5,", "&amp;30,"")&amp;IF(INDEX($A$57:$G$67,2*INT((30+WEEKDAY(DATE(PlanYear,10,1),2)-1)/7)+1,MOD(30+WEEKDAY(DATE(PlanYear,10,1),2)-1,7)+1)=AG$5,", "&amp;31,""),3,200))</f>
        <v/>
      </c>
      <c r="AH15" s="16">
        <f>IF(AH$5="","",MID(IF(INDEX($A$57:$G$67,2*INT((0+WEEKDAY(DATE(PlanYear,10,1),2)-1)/7)+1,MOD(0+WEEKDAY(DATE(PlanYear,10,1),2)-1,7)+1)=AH$5,", "&amp;1,"")&amp;IF(INDEX($A$57:$G$67,2*INT((1+WEEKDAY(DATE(PlanYear,10,1),2)-1)/7)+1,MOD(1+WEEKDAY(DATE(PlanYear,10,1),2)-1,7)+1)=AH$5,", "&amp;2,"")&amp;IF(INDEX($A$57:$G$67,2*INT((2+WEEKDAY(DATE(PlanYear,10,1),2)-1)/7)+1,MOD(2+WEEKDAY(DATE(PlanYear,10,1),2)-1,7)+1)=AH$5,", "&amp;3,"")&amp;IF(INDEX($A$57:$G$67,2*INT((3+WEEKDAY(DATE(PlanYear,10,1),2)-1)/7)+1,MOD(3+WEEKDAY(DATE(PlanYear,10,1),2)-1,7)+1)=AH$5,", "&amp;4,"")&amp;IF(INDEX($A$57:$G$67,2*INT((4+WEEKDAY(DATE(PlanYear,10,1),2)-1)/7)+1,MOD(4+WEEKDAY(DATE(PlanYear,10,1),2)-1,7)+1)=AH$5,", "&amp;5,"")&amp;IF(INDEX($A$57:$G$67,2*INT((5+WEEKDAY(DATE(PlanYear,10,1),2)-1)/7)+1,MOD(5+WEEKDAY(DATE(PlanYear,10,1),2)-1,7)+1)=AH$5,", "&amp;6,"")&amp;IF(INDEX($A$57:$G$67,2*INT((6+WEEKDAY(DATE(PlanYear,10,1),2)-1)/7)+1,MOD(6+WEEKDAY(DATE(PlanYear,10,1),2)-1,7)+1)=AH$5,", "&amp;7,"")&amp;IF(INDEX($A$57:$G$67,2*INT((7+WEEKDAY(DATE(PlanYear,10,1),2)-1)/7)+1,MOD(7+WEEKDAY(DATE(PlanYear,10,1),2)-1,7)+1)=AH$5,", "&amp;8,"")&amp;IF(INDEX($A$57:$G$67,2*INT((8+WEEKDAY(DATE(PlanYear,10,1),2)-1)/7)+1,MOD(8+WEEKDAY(DATE(PlanYear,10,1),2)-1,7)+1)=AH$5,", "&amp;9,"")&amp;IF(INDEX($A$57:$G$67,2*INT((9+WEEKDAY(DATE(PlanYear,10,1),2)-1)/7)+1,MOD(9+WEEKDAY(DATE(PlanYear,10,1),2)-1,7)+1)=AH$5,", "&amp;10,"")&amp;IF(INDEX($A$57:$G$67,2*INT((10+WEEKDAY(DATE(PlanYear,10,1),2)-1)/7)+1,MOD(10+WEEKDAY(DATE(PlanYear,10,1),2)-1,7)+1)=AH$5,", "&amp;11,"")&amp;IF(INDEX($A$57:$G$67,2*INT((11+WEEKDAY(DATE(PlanYear,10,1),2)-1)/7)+1,MOD(11+WEEKDAY(DATE(PlanYear,10,1),2)-1,7)+1)=AH$5,", "&amp;12,"")&amp;IF(INDEX($A$57:$G$67,2*INT((12+WEEKDAY(DATE(PlanYear,10,1),2)-1)/7)+1,MOD(12+WEEKDAY(DATE(PlanYear,10,1),2)-1,7)+1)=AH$5,", "&amp;13,"")&amp;IF(INDEX($A$57:$G$67,2*INT((13+WEEKDAY(DATE(PlanYear,10,1),2)-1)/7)+1,MOD(13+WEEKDAY(DATE(PlanYear,10,1),2)-1,7)+1)=AH$5,", "&amp;14,"")&amp;IF(INDEX($A$57:$G$67,2*INT((14+WEEKDAY(DATE(PlanYear,10,1),2)-1)/7)+1,MOD(14+WEEKDAY(DATE(PlanYear,10,1),2)-1,7)+1)=AH$5,", "&amp;15,"")&amp;IF(INDEX($A$57:$G$67,2*INT((15+WEEKDAY(DATE(PlanYear,10,1),2)-1)/7)+1,MOD(15+WEEKDAY(DATE(PlanYear,10,1),2)-1,7)+1)=AH$5,", "&amp;16,"")&amp;IF(INDEX($A$57:$G$67,2*INT((16+WEEKDAY(DATE(PlanYear,10,1),2)-1)/7)+1,MOD(16+WEEKDAY(DATE(PlanYear,10,1),2)-1,7)+1)=AH$5,", "&amp;17,"")&amp;IF(INDEX($A$57:$G$67,2*INT((17+WEEKDAY(DATE(PlanYear,10,1),2)-1)/7)+1,MOD(17+WEEKDAY(DATE(PlanYear,10,1),2)-1,7)+1)=AH$5,", "&amp;18,"")&amp;IF(INDEX($A$57:$G$67,2*INT((18+WEEKDAY(DATE(PlanYear,10,1),2)-1)/7)+1,MOD(18+WEEKDAY(DATE(PlanYear,10,1),2)-1,7)+1)=AH$5,", "&amp;19,"")&amp;IF(INDEX($A$57:$G$67,2*INT((19+WEEKDAY(DATE(PlanYear,10,1),2)-1)/7)+1,MOD(19+WEEKDAY(DATE(PlanYear,10,1),2)-1,7)+1)=AH$5,", "&amp;20,"")&amp;IF(INDEX($A$57:$G$67,2*INT((20+WEEKDAY(DATE(PlanYear,10,1),2)-1)/7)+1,MOD(20+WEEKDAY(DATE(PlanYear,10,1),2)-1,7)+1)=AH$5,", "&amp;21,"")&amp;IF(INDEX($A$57:$G$67,2*INT((21+WEEKDAY(DATE(PlanYear,10,1),2)-1)/7)+1,MOD(21+WEEKDAY(DATE(PlanYear,10,1),2)-1,7)+1)=AH$5,", "&amp;22,"")&amp;IF(INDEX($A$57:$G$67,2*INT((22+WEEKDAY(DATE(PlanYear,10,1),2)-1)/7)+1,MOD(22+WEEKDAY(DATE(PlanYear,10,1),2)-1,7)+1)=AH$5,", "&amp;23,"")&amp;IF(INDEX($A$57:$G$67,2*INT((23+WEEKDAY(DATE(PlanYear,10,1),2)-1)/7)+1,MOD(23+WEEKDAY(DATE(PlanYear,10,1),2)-1,7)+1)=AH$5,", "&amp;24,"")&amp;IF(INDEX($A$57:$G$67,2*INT((24+WEEKDAY(DATE(PlanYear,10,1),2)-1)/7)+1,MOD(24+WEEKDAY(DATE(PlanYear,10,1),2)-1,7)+1)=AH$5,", "&amp;25,"")&amp;IF(INDEX($A$57:$G$67,2*INT((25+WEEKDAY(DATE(PlanYear,10,1),2)-1)/7)+1,MOD(25+WEEKDAY(DATE(PlanYear,10,1),2)-1,7)+1)=AH$5,", "&amp;26,"")&amp;IF(INDEX($A$57:$G$67,2*INT((26+WEEKDAY(DATE(PlanYear,10,1),2)-1)/7)+1,MOD(26+WEEKDAY(DATE(PlanYear,10,1),2)-1,7)+1)=AH$5,", "&amp;27,"")&amp;IF(INDEX($A$57:$G$67,2*INT((27+WEEKDAY(DATE(PlanYear,10,1),2)-1)/7)+1,MOD(27+WEEKDAY(DATE(PlanYear,10,1),2)-1,7)+1)=AH$5,", "&amp;28,"")&amp;IF(INDEX($A$57:$G$67,2*INT((28+WEEKDAY(DATE(PlanYear,10,1),2)-1)/7)+1,MOD(28+WEEKDAY(DATE(PlanYear,10,1),2)-1,7)+1)=AH$5,", "&amp;29,"")&amp;IF(INDEX($A$57:$G$67,2*INT((29+WEEKDAY(DATE(PlanYear,10,1),2)-1)/7)+1,MOD(29+WEEKDAY(DATE(PlanYear,10,1),2)-1,7)+1)=AH$5,", "&amp;30,"")&amp;IF(INDEX($A$57:$G$67,2*INT((30+WEEKDAY(DATE(PlanYear,10,1),2)-1)/7)+1,MOD(30+WEEKDAY(DATE(PlanYear,10,1),2)-1,7)+1)=AH$5,", "&amp;31,""),3,200))</f>
        <v/>
      </c>
      <c r="AI15" s="16">
        <f>IF(AI$5="","",MID(IF(INDEX($A$57:$G$67,2*INT((0+WEEKDAY(DATE(PlanYear,10,1),2)-1)/7)+1,MOD(0+WEEKDAY(DATE(PlanYear,10,1),2)-1,7)+1)=AI$5,", "&amp;1,"")&amp;IF(INDEX($A$57:$G$67,2*INT((1+WEEKDAY(DATE(PlanYear,10,1),2)-1)/7)+1,MOD(1+WEEKDAY(DATE(PlanYear,10,1),2)-1,7)+1)=AI$5,", "&amp;2,"")&amp;IF(INDEX($A$57:$G$67,2*INT((2+WEEKDAY(DATE(PlanYear,10,1),2)-1)/7)+1,MOD(2+WEEKDAY(DATE(PlanYear,10,1),2)-1,7)+1)=AI$5,", "&amp;3,"")&amp;IF(INDEX($A$57:$G$67,2*INT((3+WEEKDAY(DATE(PlanYear,10,1),2)-1)/7)+1,MOD(3+WEEKDAY(DATE(PlanYear,10,1),2)-1,7)+1)=AI$5,", "&amp;4,"")&amp;IF(INDEX($A$57:$G$67,2*INT((4+WEEKDAY(DATE(PlanYear,10,1),2)-1)/7)+1,MOD(4+WEEKDAY(DATE(PlanYear,10,1),2)-1,7)+1)=AI$5,", "&amp;5,"")&amp;IF(INDEX($A$57:$G$67,2*INT((5+WEEKDAY(DATE(PlanYear,10,1),2)-1)/7)+1,MOD(5+WEEKDAY(DATE(PlanYear,10,1),2)-1,7)+1)=AI$5,", "&amp;6,"")&amp;IF(INDEX($A$57:$G$67,2*INT((6+WEEKDAY(DATE(PlanYear,10,1),2)-1)/7)+1,MOD(6+WEEKDAY(DATE(PlanYear,10,1),2)-1,7)+1)=AI$5,", "&amp;7,"")&amp;IF(INDEX($A$57:$G$67,2*INT((7+WEEKDAY(DATE(PlanYear,10,1),2)-1)/7)+1,MOD(7+WEEKDAY(DATE(PlanYear,10,1),2)-1,7)+1)=AI$5,", "&amp;8,"")&amp;IF(INDEX($A$57:$G$67,2*INT((8+WEEKDAY(DATE(PlanYear,10,1),2)-1)/7)+1,MOD(8+WEEKDAY(DATE(PlanYear,10,1),2)-1,7)+1)=AI$5,", "&amp;9,"")&amp;IF(INDEX($A$57:$G$67,2*INT((9+WEEKDAY(DATE(PlanYear,10,1),2)-1)/7)+1,MOD(9+WEEKDAY(DATE(PlanYear,10,1),2)-1,7)+1)=AI$5,", "&amp;10,"")&amp;IF(INDEX($A$57:$G$67,2*INT((10+WEEKDAY(DATE(PlanYear,10,1),2)-1)/7)+1,MOD(10+WEEKDAY(DATE(PlanYear,10,1),2)-1,7)+1)=AI$5,", "&amp;11,"")&amp;IF(INDEX($A$57:$G$67,2*INT((11+WEEKDAY(DATE(PlanYear,10,1),2)-1)/7)+1,MOD(11+WEEKDAY(DATE(PlanYear,10,1),2)-1,7)+1)=AI$5,", "&amp;12,"")&amp;IF(INDEX($A$57:$G$67,2*INT((12+WEEKDAY(DATE(PlanYear,10,1),2)-1)/7)+1,MOD(12+WEEKDAY(DATE(PlanYear,10,1),2)-1,7)+1)=AI$5,", "&amp;13,"")&amp;IF(INDEX($A$57:$G$67,2*INT((13+WEEKDAY(DATE(PlanYear,10,1),2)-1)/7)+1,MOD(13+WEEKDAY(DATE(PlanYear,10,1),2)-1,7)+1)=AI$5,", "&amp;14,"")&amp;IF(INDEX($A$57:$G$67,2*INT((14+WEEKDAY(DATE(PlanYear,10,1),2)-1)/7)+1,MOD(14+WEEKDAY(DATE(PlanYear,10,1),2)-1,7)+1)=AI$5,", "&amp;15,"")&amp;IF(INDEX($A$57:$G$67,2*INT((15+WEEKDAY(DATE(PlanYear,10,1),2)-1)/7)+1,MOD(15+WEEKDAY(DATE(PlanYear,10,1),2)-1,7)+1)=AI$5,", "&amp;16,"")&amp;IF(INDEX($A$57:$G$67,2*INT((16+WEEKDAY(DATE(PlanYear,10,1),2)-1)/7)+1,MOD(16+WEEKDAY(DATE(PlanYear,10,1),2)-1,7)+1)=AI$5,", "&amp;17,"")&amp;IF(INDEX($A$57:$G$67,2*INT((17+WEEKDAY(DATE(PlanYear,10,1),2)-1)/7)+1,MOD(17+WEEKDAY(DATE(PlanYear,10,1),2)-1,7)+1)=AI$5,", "&amp;18,"")&amp;IF(INDEX($A$57:$G$67,2*INT((18+WEEKDAY(DATE(PlanYear,10,1),2)-1)/7)+1,MOD(18+WEEKDAY(DATE(PlanYear,10,1),2)-1,7)+1)=AI$5,", "&amp;19,"")&amp;IF(INDEX($A$57:$G$67,2*INT((19+WEEKDAY(DATE(PlanYear,10,1),2)-1)/7)+1,MOD(19+WEEKDAY(DATE(PlanYear,10,1),2)-1,7)+1)=AI$5,", "&amp;20,"")&amp;IF(INDEX($A$57:$G$67,2*INT((20+WEEKDAY(DATE(PlanYear,10,1),2)-1)/7)+1,MOD(20+WEEKDAY(DATE(PlanYear,10,1),2)-1,7)+1)=AI$5,", "&amp;21,"")&amp;IF(INDEX($A$57:$G$67,2*INT((21+WEEKDAY(DATE(PlanYear,10,1),2)-1)/7)+1,MOD(21+WEEKDAY(DATE(PlanYear,10,1),2)-1,7)+1)=AI$5,", "&amp;22,"")&amp;IF(INDEX($A$57:$G$67,2*INT((22+WEEKDAY(DATE(PlanYear,10,1),2)-1)/7)+1,MOD(22+WEEKDAY(DATE(PlanYear,10,1),2)-1,7)+1)=AI$5,", "&amp;23,"")&amp;IF(INDEX($A$57:$G$67,2*INT((23+WEEKDAY(DATE(PlanYear,10,1),2)-1)/7)+1,MOD(23+WEEKDAY(DATE(PlanYear,10,1),2)-1,7)+1)=AI$5,", "&amp;24,"")&amp;IF(INDEX($A$57:$G$67,2*INT((24+WEEKDAY(DATE(PlanYear,10,1),2)-1)/7)+1,MOD(24+WEEKDAY(DATE(PlanYear,10,1),2)-1,7)+1)=AI$5,", "&amp;25,"")&amp;IF(INDEX($A$57:$G$67,2*INT((25+WEEKDAY(DATE(PlanYear,10,1),2)-1)/7)+1,MOD(25+WEEKDAY(DATE(PlanYear,10,1),2)-1,7)+1)=AI$5,", "&amp;26,"")&amp;IF(INDEX($A$57:$G$67,2*INT((26+WEEKDAY(DATE(PlanYear,10,1),2)-1)/7)+1,MOD(26+WEEKDAY(DATE(PlanYear,10,1),2)-1,7)+1)=AI$5,", "&amp;27,"")&amp;IF(INDEX($A$57:$G$67,2*INT((27+WEEKDAY(DATE(PlanYear,10,1),2)-1)/7)+1,MOD(27+WEEKDAY(DATE(PlanYear,10,1),2)-1,7)+1)=AI$5,", "&amp;28,"")&amp;IF(INDEX($A$57:$G$67,2*INT((28+WEEKDAY(DATE(PlanYear,10,1),2)-1)/7)+1,MOD(28+WEEKDAY(DATE(PlanYear,10,1),2)-1,7)+1)=AI$5,", "&amp;29,"")&amp;IF(INDEX($A$57:$G$67,2*INT((29+WEEKDAY(DATE(PlanYear,10,1),2)-1)/7)+1,MOD(29+WEEKDAY(DATE(PlanYear,10,1),2)-1,7)+1)=AI$5,", "&amp;30,"")&amp;IF(INDEX($A$57:$G$67,2*INT((30+WEEKDAY(DATE(PlanYear,10,1),2)-1)/7)+1,MOD(30+WEEKDAY(DATE(PlanYear,10,1),2)-1,7)+1)=AI$5,", "&amp;31,""),3,200))</f>
        <v/>
      </c>
      <c r="AJ15" s="16">
        <f>IF(AJ$5="","",MID(IF(INDEX($A$57:$G$67,2*INT((0+WEEKDAY(DATE(PlanYear,10,1),2)-1)/7)+1,MOD(0+WEEKDAY(DATE(PlanYear,10,1),2)-1,7)+1)=AJ$5,", "&amp;1,"")&amp;IF(INDEX($A$57:$G$67,2*INT((1+WEEKDAY(DATE(PlanYear,10,1),2)-1)/7)+1,MOD(1+WEEKDAY(DATE(PlanYear,10,1),2)-1,7)+1)=AJ$5,", "&amp;2,"")&amp;IF(INDEX($A$57:$G$67,2*INT((2+WEEKDAY(DATE(PlanYear,10,1),2)-1)/7)+1,MOD(2+WEEKDAY(DATE(PlanYear,10,1),2)-1,7)+1)=AJ$5,", "&amp;3,"")&amp;IF(INDEX($A$57:$G$67,2*INT((3+WEEKDAY(DATE(PlanYear,10,1),2)-1)/7)+1,MOD(3+WEEKDAY(DATE(PlanYear,10,1),2)-1,7)+1)=AJ$5,", "&amp;4,"")&amp;IF(INDEX($A$57:$G$67,2*INT((4+WEEKDAY(DATE(PlanYear,10,1),2)-1)/7)+1,MOD(4+WEEKDAY(DATE(PlanYear,10,1),2)-1,7)+1)=AJ$5,", "&amp;5,"")&amp;IF(INDEX($A$57:$G$67,2*INT((5+WEEKDAY(DATE(PlanYear,10,1),2)-1)/7)+1,MOD(5+WEEKDAY(DATE(PlanYear,10,1),2)-1,7)+1)=AJ$5,", "&amp;6,"")&amp;IF(INDEX($A$57:$G$67,2*INT((6+WEEKDAY(DATE(PlanYear,10,1),2)-1)/7)+1,MOD(6+WEEKDAY(DATE(PlanYear,10,1),2)-1,7)+1)=AJ$5,", "&amp;7,"")&amp;IF(INDEX($A$57:$G$67,2*INT((7+WEEKDAY(DATE(PlanYear,10,1),2)-1)/7)+1,MOD(7+WEEKDAY(DATE(PlanYear,10,1),2)-1,7)+1)=AJ$5,", "&amp;8,"")&amp;IF(INDEX($A$57:$G$67,2*INT((8+WEEKDAY(DATE(PlanYear,10,1),2)-1)/7)+1,MOD(8+WEEKDAY(DATE(PlanYear,10,1),2)-1,7)+1)=AJ$5,", "&amp;9,"")&amp;IF(INDEX($A$57:$G$67,2*INT((9+WEEKDAY(DATE(PlanYear,10,1),2)-1)/7)+1,MOD(9+WEEKDAY(DATE(PlanYear,10,1),2)-1,7)+1)=AJ$5,", "&amp;10,"")&amp;IF(INDEX($A$57:$G$67,2*INT((10+WEEKDAY(DATE(PlanYear,10,1),2)-1)/7)+1,MOD(10+WEEKDAY(DATE(PlanYear,10,1),2)-1,7)+1)=AJ$5,", "&amp;11,"")&amp;IF(INDEX($A$57:$G$67,2*INT((11+WEEKDAY(DATE(PlanYear,10,1),2)-1)/7)+1,MOD(11+WEEKDAY(DATE(PlanYear,10,1),2)-1,7)+1)=AJ$5,", "&amp;12,"")&amp;IF(INDEX($A$57:$G$67,2*INT((12+WEEKDAY(DATE(PlanYear,10,1),2)-1)/7)+1,MOD(12+WEEKDAY(DATE(PlanYear,10,1),2)-1,7)+1)=AJ$5,", "&amp;13,"")&amp;IF(INDEX($A$57:$G$67,2*INT((13+WEEKDAY(DATE(PlanYear,10,1),2)-1)/7)+1,MOD(13+WEEKDAY(DATE(PlanYear,10,1),2)-1,7)+1)=AJ$5,", "&amp;14,"")&amp;IF(INDEX($A$57:$G$67,2*INT((14+WEEKDAY(DATE(PlanYear,10,1),2)-1)/7)+1,MOD(14+WEEKDAY(DATE(PlanYear,10,1),2)-1,7)+1)=AJ$5,", "&amp;15,"")&amp;IF(INDEX($A$57:$G$67,2*INT((15+WEEKDAY(DATE(PlanYear,10,1),2)-1)/7)+1,MOD(15+WEEKDAY(DATE(PlanYear,10,1),2)-1,7)+1)=AJ$5,", "&amp;16,"")&amp;IF(INDEX($A$57:$G$67,2*INT((16+WEEKDAY(DATE(PlanYear,10,1),2)-1)/7)+1,MOD(16+WEEKDAY(DATE(PlanYear,10,1),2)-1,7)+1)=AJ$5,", "&amp;17,"")&amp;IF(INDEX($A$57:$G$67,2*INT((17+WEEKDAY(DATE(PlanYear,10,1),2)-1)/7)+1,MOD(17+WEEKDAY(DATE(PlanYear,10,1),2)-1,7)+1)=AJ$5,", "&amp;18,"")&amp;IF(INDEX($A$57:$G$67,2*INT((18+WEEKDAY(DATE(PlanYear,10,1),2)-1)/7)+1,MOD(18+WEEKDAY(DATE(PlanYear,10,1),2)-1,7)+1)=AJ$5,", "&amp;19,"")&amp;IF(INDEX($A$57:$G$67,2*INT((19+WEEKDAY(DATE(PlanYear,10,1),2)-1)/7)+1,MOD(19+WEEKDAY(DATE(PlanYear,10,1),2)-1,7)+1)=AJ$5,", "&amp;20,"")&amp;IF(INDEX($A$57:$G$67,2*INT((20+WEEKDAY(DATE(PlanYear,10,1),2)-1)/7)+1,MOD(20+WEEKDAY(DATE(PlanYear,10,1),2)-1,7)+1)=AJ$5,", "&amp;21,"")&amp;IF(INDEX($A$57:$G$67,2*INT((21+WEEKDAY(DATE(PlanYear,10,1),2)-1)/7)+1,MOD(21+WEEKDAY(DATE(PlanYear,10,1),2)-1,7)+1)=AJ$5,", "&amp;22,"")&amp;IF(INDEX($A$57:$G$67,2*INT((22+WEEKDAY(DATE(PlanYear,10,1),2)-1)/7)+1,MOD(22+WEEKDAY(DATE(PlanYear,10,1),2)-1,7)+1)=AJ$5,", "&amp;23,"")&amp;IF(INDEX($A$57:$G$67,2*INT((23+WEEKDAY(DATE(PlanYear,10,1),2)-1)/7)+1,MOD(23+WEEKDAY(DATE(PlanYear,10,1),2)-1,7)+1)=AJ$5,", "&amp;24,"")&amp;IF(INDEX($A$57:$G$67,2*INT((24+WEEKDAY(DATE(PlanYear,10,1),2)-1)/7)+1,MOD(24+WEEKDAY(DATE(PlanYear,10,1),2)-1,7)+1)=AJ$5,", "&amp;25,"")&amp;IF(INDEX($A$57:$G$67,2*INT((25+WEEKDAY(DATE(PlanYear,10,1),2)-1)/7)+1,MOD(25+WEEKDAY(DATE(PlanYear,10,1),2)-1,7)+1)=AJ$5,", "&amp;26,"")&amp;IF(INDEX($A$57:$G$67,2*INT((26+WEEKDAY(DATE(PlanYear,10,1),2)-1)/7)+1,MOD(26+WEEKDAY(DATE(PlanYear,10,1),2)-1,7)+1)=AJ$5,", "&amp;27,"")&amp;IF(INDEX($A$57:$G$67,2*INT((27+WEEKDAY(DATE(PlanYear,10,1),2)-1)/7)+1,MOD(27+WEEKDAY(DATE(PlanYear,10,1),2)-1,7)+1)=AJ$5,", "&amp;28,"")&amp;IF(INDEX($A$57:$G$67,2*INT((28+WEEKDAY(DATE(PlanYear,10,1),2)-1)/7)+1,MOD(28+WEEKDAY(DATE(PlanYear,10,1),2)-1,7)+1)=AJ$5,", "&amp;29,"")&amp;IF(INDEX($A$57:$G$67,2*INT((29+WEEKDAY(DATE(PlanYear,10,1),2)-1)/7)+1,MOD(29+WEEKDAY(DATE(PlanYear,10,1),2)-1,7)+1)=AJ$5,", "&amp;30,"")&amp;IF(INDEX($A$57:$G$67,2*INT((30+WEEKDAY(DATE(PlanYear,10,1),2)-1)/7)+1,MOD(30+WEEKDAY(DATE(PlanYear,10,1),2)-1,7)+1)=AJ$5,", "&amp;31,""),3,200))</f>
        <v/>
      </c>
      <c r="AK15" s="17">
        <f>DAY(EOMONTH(DATE(PlanYear,10,1),0))-COUNTIF($A$57:$G$67,"?*")</f>
        <v/>
      </c>
    </row>
    <row r="16" ht="26" customHeight="1">
      <c r="A16" s="20">
        <f>IF(AND(29-(WEEKDAY(DATE(PlanYear,1,1),2)-1)&gt;=1,29-(WEEKDAY(DATE(PlanYear,1,1),2)-1)&lt;=DAY(EOMONTH(DATE(PlanYear,1,1),0))),DATE(PlanYear,1,1)+29-WEEKDAY(DATE(PlanYear,1,1),2),"")</f>
        <v/>
      </c>
      <c r="B16" s="20">
        <f>IF(AND(30-(WEEKDAY(DATE(PlanYear,1,1),2)-1)&gt;=1,30-(WEEKDAY(DATE(PlanYear,1,1),2)-1)&lt;=DAY(EOMONTH(DATE(PlanYear,1,1),0))),DATE(PlanYear,1,1)+30-WEEKDAY(DATE(PlanYear,1,1),2),"")</f>
        <v/>
      </c>
      <c r="C16" s="20">
        <f>IF(AND(31-(WEEKDAY(DATE(PlanYear,1,1),2)-1)&gt;=1,31-(WEEKDAY(DATE(PlanYear,1,1),2)-1)&lt;=DAY(EOMONTH(DATE(PlanYear,1,1),0))),DATE(PlanYear,1,1)+31-WEEKDAY(DATE(PlanYear,1,1),2),"")</f>
        <v/>
      </c>
      <c r="D16" s="20">
        <f>IF(AND(32-(WEEKDAY(DATE(PlanYear,1,1),2)-1)&gt;=1,32-(WEEKDAY(DATE(PlanYear,1,1),2)-1)&lt;=DAY(EOMONTH(DATE(PlanYear,1,1),0))),DATE(PlanYear,1,1)+32-WEEKDAY(DATE(PlanYear,1,1),2),"")</f>
        <v/>
      </c>
      <c r="E16" s="20">
        <f>IF(AND(33-(WEEKDAY(DATE(PlanYear,1,1),2)-1)&gt;=1,33-(WEEKDAY(DATE(PlanYear,1,1),2)-1)&lt;=DAY(EOMONTH(DATE(PlanYear,1,1),0))),DATE(PlanYear,1,1)+33-WEEKDAY(DATE(PlanYear,1,1),2),"")</f>
        <v/>
      </c>
      <c r="F16" s="20">
        <f>IF(AND(34-(WEEKDAY(DATE(PlanYear,1,1),2)-1)&gt;=1,34-(WEEKDAY(DATE(PlanYear,1,1),2)-1)&lt;=DAY(EOMONTH(DATE(PlanYear,1,1),0))),DATE(PlanYear,1,1)+34-WEEKDAY(DATE(PlanYear,1,1),2),"")</f>
        <v/>
      </c>
      <c r="G16" s="20">
        <f>IF(AND(35-(WEEKDAY(DATE(PlanYear,1,1),2)-1)&gt;=1,35-(WEEKDAY(DATE(PlanYear,1,1),2)-1)&lt;=DAY(EOMONTH(DATE(PlanYear,1,1),0))),DATE(PlanYear,1,1)+35-WEEKDAY(DATE(PlanYear,1,1),2),"")</f>
        <v/>
      </c>
      <c r="I16" s="20">
        <f>IF(AND(29-(WEEKDAY(DATE(PlanYear,2,1),2)-1)&gt;=1,29-(WEEKDAY(DATE(PlanYear,2,1),2)-1)&lt;=DAY(EOMONTH(DATE(PlanYear,2,1),0))),DATE(PlanYear,2,1)+29-WEEKDAY(DATE(PlanYear,2,1),2),"")</f>
        <v/>
      </c>
      <c r="J16" s="20">
        <f>IF(AND(30-(WEEKDAY(DATE(PlanYear,2,1),2)-1)&gt;=1,30-(WEEKDAY(DATE(PlanYear,2,1),2)-1)&lt;=DAY(EOMONTH(DATE(PlanYear,2,1),0))),DATE(PlanYear,2,1)+30-WEEKDAY(DATE(PlanYear,2,1),2),"")</f>
        <v/>
      </c>
      <c r="K16" s="20">
        <f>IF(AND(31-(WEEKDAY(DATE(PlanYear,2,1),2)-1)&gt;=1,31-(WEEKDAY(DATE(PlanYear,2,1),2)-1)&lt;=DAY(EOMONTH(DATE(PlanYear,2,1),0))),DATE(PlanYear,2,1)+31-WEEKDAY(DATE(PlanYear,2,1),2),"")</f>
        <v/>
      </c>
      <c r="L16" s="20">
        <f>IF(AND(32-(WEEKDAY(DATE(PlanYear,2,1),2)-1)&gt;=1,32-(WEEKDAY(DATE(PlanYear,2,1),2)-1)&lt;=DAY(EOMONTH(DATE(PlanYear,2,1),0))),DATE(PlanYear,2,1)+32-WEEKDAY(DATE(PlanYear,2,1),2),"")</f>
        <v/>
      </c>
      <c r="M16" s="20">
        <f>IF(AND(33-(WEEKDAY(DATE(PlanYear,2,1),2)-1)&gt;=1,33-(WEEKDAY(DATE(PlanYear,2,1),2)-1)&lt;=DAY(EOMONTH(DATE(PlanYear,2,1),0))),DATE(PlanYear,2,1)+33-WEEKDAY(DATE(PlanYear,2,1),2),"")</f>
        <v/>
      </c>
      <c r="N16" s="20">
        <f>IF(AND(34-(WEEKDAY(DATE(PlanYear,2,1),2)-1)&gt;=1,34-(WEEKDAY(DATE(PlanYear,2,1),2)-1)&lt;=DAY(EOMONTH(DATE(PlanYear,2,1),0))),DATE(PlanYear,2,1)+34-WEEKDAY(DATE(PlanYear,2,1),2),"")</f>
        <v/>
      </c>
      <c r="O16" s="20">
        <f>IF(AND(35-(WEEKDAY(DATE(PlanYear,2,1),2)-1)&gt;=1,35-(WEEKDAY(DATE(PlanYear,2,1),2)-1)&lt;=DAY(EOMONTH(DATE(PlanYear,2,1),0))),DATE(PlanYear,2,1)+35-WEEKDAY(DATE(PlanYear,2,1),2),"")</f>
        <v/>
      </c>
      <c r="Q16" s="20">
        <f>IF(AND(29-(WEEKDAY(DATE(PlanYear,3,1),2)-1)&gt;=1,29-(WEEKDAY(DATE(PlanYear,3,1),2)-1)&lt;=DAY(EOMONTH(DATE(PlanYear,3,1),0))),DATE(PlanYear,3,1)+29-WEEKDAY(DATE(PlanYear,3,1),2),"")</f>
        <v/>
      </c>
      <c r="R16" s="20">
        <f>IF(AND(30-(WEEKDAY(DATE(PlanYear,3,1),2)-1)&gt;=1,30-(WEEKDAY(DATE(PlanYear,3,1),2)-1)&lt;=DAY(EOMONTH(DATE(PlanYear,3,1),0))),DATE(PlanYear,3,1)+30-WEEKDAY(DATE(PlanYear,3,1),2),"")</f>
        <v/>
      </c>
      <c r="S16" s="20">
        <f>IF(AND(31-(WEEKDAY(DATE(PlanYear,3,1),2)-1)&gt;=1,31-(WEEKDAY(DATE(PlanYear,3,1),2)-1)&lt;=DAY(EOMONTH(DATE(PlanYear,3,1),0))),DATE(PlanYear,3,1)+31-WEEKDAY(DATE(PlanYear,3,1),2),"")</f>
        <v/>
      </c>
      <c r="T16" s="20">
        <f>IF(AND(32-(WEEKDAY(DATE(PlanYear,3,1),2)-1)&gt;=1,32-(WEEKDAY(DATE(PlanYear,3,1),2)-1)&lt;=DAY(EOMONTH(DATE(PlanYear,3,1),0))),DATE(PlanYear,3,1)+32-WEEKDAY(DATE(PlanYear,3,1),2),"")</f>
        <v/>
      </c>
      <c r="U16" s="20">
        <f>IF(AND(33-(WEEKDAY(DATE(PlanYear,3,1),2)-1)&gt;=1,33-(WEEKDAY(DATE(PlanYear,3,1),2)-1)&lt;=DAY(EOMONTH(DATE(PlanYear,3,1),0))),DATE(PlanYear,3,1)+33-WEEKDAY(DATE(PlanYear,3,1),2),"")</f>
        <v/>
      </c>
      <c r="V16" s="20">
        <f>IF(AND(34-(WEEKDAY(DATE(PlanYear,3,1),2)-1)&gt;=1,34-(WEEKDAY(DATE(PlanYear,3,1),2)-1)&lt;=DAY(EOMONTH(DATE(PlanYear,3,1),0))),DATE(PlanYear,3,1)+34-WEEKDAY(DATE(PlanYear,3,1),2),"")</f>
        <v/>
      </c>
      <c r="W16" s="20">
        <f>IF(AND(35-(WEEKDAY(DATE(PlanYear,3,1),2)-1)&gt;=1,35-(WEEKDAY(DATE(PlanYear,3,1),2)-1)&lt;=DAY(EOMONTH(DATE(PlanYear,3,1),0))),DATE(PlanYear,3,1)+35-WEEKDAY(DATE(PlanYear,3,1),2),"")</f>
        <v/>
      </c>
      <c r="Z16" s="15" t="inlineStr">
        <is>
          <t>November</t>
        </is>
      </c>
      <c r="AA16" s="16">
        <f>IF(AA$5="","",MID(IF(INDEX($I$57:$O$67,2*INT((0+WEEKDAY(DATE(PlanYear,11,1),2)-1)/7)+1,MOD(0+WEEKDAY(DATE(PlanYear,11,1),2)-1,7)+1)=AA$5,", "&amp;1,"")&amp;IF(INDEX($I$57:$O$67,2*INT((1+WEEKDAY(DATE(PlanYear,11,1),2)-1)/7)+1,MOD(1+WEEKDAY(DATE(PlanYear,11,1),2)-1,7)+1)=AA$5,", "&amp;2,"")&amp;IF(INDEX($I$57:$O$67,2*INT((2+WEEKDAY(DATE(PlanYear,11,1),2)-1)/7)+1,MOD(2+WEEKDAY(DATE(PlanYear,11,1),2)-1,7)+1)=AA$5,", "&amp;3,"")&amp;IF(INDEX($I$57:$O$67,2*INT((3+WEEKDAY(DATE(PlanYear,11,1),2)-1)/7)+1,MOD(3+WEEKDAY(DATE(PlanYear,11,1),2)-1,7)+1)=AA$5,", "&amp;4,"")&amp;IF(INDEX($I$57:$O$67,2*INT((4+WEEKDAY(DATE(PlanYear,11,1),2)-1)/7)+1,MOD(4+WEEKDAY(DATE(PlanYear,11,1),2)-1,7)+1)=AA$5,", "&amp;5,"")&amp;IF(INDEX($I$57:$O$67,2*INT((5+WEEKDAY(DATE(PlanYear,11,1),2)-1)/7)+1,MOD(5+WEEKDAY(DATE(PlanYear,11,1),2)-1,7)+1)=AA$5,", "&amp;6,"")&amp;IF(INDEX($I$57:$O$67,2*INT((6+WEEKDAY(DATE(PlanYear,11,1),2)-1)/7)+1,MOD(6+WEEKDAY(DATE(PlanYear,11,1),2)-1,7)+1)=AA$5,", "&amp;7,"")&amp;IF(INDEX($I$57:$O$67,2*INT((7+WEEKDAY(DATE(PlanYear,11,1),2)-1)/7)+1,MOD(7+WEEKDAY(DATE(PlanYear,11,1),2)-1,7)+1)=AA$5,", "&amp;8,"")&amp;IF(INDEX($I$57:$O$67,2*INT((8+WEEKDAY(DATE(PlanYear,11,1),2)-1)/7)+1,MOD(8+WEEKDAY(DATE(PlanYear,11,1),2)-1,7)+1)=AA$5,", "&amp;9,"")&amp;IF(INDEX($I$57:$O$67,2*INT((9+WEEKDAY(DATE(PlanYear,11,1),2)-1)/7)+1,MOD(9+WEEKDAY(DATE(PlanYear,11,1),2)-1,7)+1)=AA$5,", "&amp;10,"")&amp;IF(INDEX($I$57:$O$67,2*INT((10+WEEKDAY(DATE(PlanYear,11,1),2)-1)/7)+1,MOD(10+WEEKDAY(DATE(PlanYear,11,1),2)-1,7)+1)=AA$5,", "&amp;11,"")&amp;IF(INDEX($I$57:$O$67,2*INT((11+WEEKDAY(DATE(PlanYear,11,1),2)-1)/7)+1,MOD(11+WEEKDAY(DATE(PlanYear,11,1),2)-1,7)+1)=AA$5,", "&amp;12,"")&amp;IF(INDEX($I$57:$O$67,2*INT((12+WEEKDAY(DATE(PlanYear,11,1),2)-1)/7)+1,MOD(12+WEEKDAY(DATE(PlanYear,11,1),2)-1,7)+1)=AA$5,", "&amp;13,"")&amp;IF(INDEX($I$57:$O$67,2*INT((13+WEEKDAY(DATE(PlanYear,11,1),2)-1)/7)+1,MOD(13+WEEKDAY(DATE(PlanYear,11,1),2)-1,7)+1)=AA$5,", "&amp;14,"")&amp;IF(INDEX($I$57:$O$67,2*INT((14+WEEKDAY(DATE(PlanYear,11,1),2)-1)/7)+1,MOD(14+WEEKDAY(DATE(PlanYear,11,1),2)-1,7)+1)=AA$5,", "&amp;15,"")&amp;IF(INDEX($I$57:$O$67,2*INT((15+WEEKDAY(DATE(PlanYear,11,1),2)-1)/7)+1,MOD(15+WEEKDAY(DATE(PlanYear,11,1),2)-1,7)+1)=AA$5,", "&amp;16,"")&amp;IF(INDEX($I$57:$O$67,2*INT((16+WEEKDAY(DATE(PlanYear,11,1),2)-1)/7)+1,MOD(16+WEEKDAY(DATE(PlanYear,11,1),2)-1,7)+1)=AA$5,", "&amp;17,"")&amp;IF(INDEX($I$57:$O$67,2*INT((17+WEEKDAY(DATE(PlanYear,11,1),2)-1)/7)+1,MOD(17+WEEKDAY(DATE(PlanYear,11,1),2)-1,7)+1)=AA$5,", "&amp;18,"")&amp;IF(INDEX($I$57:$O$67,2*INT((18+WEEKDAY(DATE(PlanYear,11,1),2)-1)/7)+1,MOD(18+WEEKDAY(DATE(PlanYear,11,1),2)-1,7)+1)=AA$5,", "&amp;19,"")&amp;IF(INDEX($I$57:$O$67,2*INT((19+WEEKDAY(DATE(PlanYear,11,1),2)-1)/7)+1,MOD(19+WEEKDAY(DATE(PlanYear,11,1),2)-1,7)+1)=AA$5,", "&amp;20,"")&amp;IF(INDEX($I$57:$O$67,2*INT((20+WEEKDAY(DATE(PlanYear,11,1),2)-1)/7)+1,MOD(20+WEEKDAY(DATE(PlanYear,11,1),2)-1,7)+1)=AA$5,", "&amp;21,"")&amp;IF(INDEX($I$57:$O$67,2*INT((21+WEEKDAY(DATE(PlanYear,11,1),2)-1)/7)+1,MOD(21+WEEKDAY(DATE(PlanYear,11,1),2)-1,7)+1)=AA$5,", "&amp;22,"")&amp;IF(INDEX($I$57:$O$67,2*INT((22+WEEKDAY(DATE(PlanYear,11,1),2)-1)/7)+1,MOD(22+WEEKDAY(DATE(PlanYear,11,1),2)-1,7)+1)=AA$5,", "&amp;23,"")&amp;IF(INDEX($I$57:$O$67,2*INT((23+WEEKDAY(DATE(PlanYear,11,1),2)-1)/7)+1,MOD(23+WEEKDAY(DATE(PlanYear,11,1),2)-1,7)+1)=AA$5,", "&amp;24,"")&amp;IF(INDEX($I$57:$O$67,2*INT((24+WEEKDAY(DATE(PlanYear,11,1),2)-1)/7)+1,MOD(24+WEEKDAY(DATE(PlanYear,11,1),2)-1,7)+1)=AA$5,", "&amp;25,"")&amp;IF(INDEX($I$57:$O$67,2*INT((25+WEEKDAY(DATE(PlanYear,11,1),2)-1)/7)+1,MOD(25+WEEKDAY(DATE(PlanYear,11,1),2)-1,7)+1)=AA$5,", "&amp;26,"")&amp;IF(INDEX($I$57:$O$67,2*INT((26+WEEKDAY(DATE(PlanYear,11,1),2)-1)/7)+1,MOD(26+WEEKDAY(DATE(PlanYear,11,1),2)-1,7)+1)=AA$5,", "&amp;27,"")&amp;IF(INDEX($I$57:$O$67,2*INT((27+WEEKDAY(DATE(PlanYear,11,1),2)-1)/7)+1,MOD(27+WEEKDAY(DATE(PlanYear,11,1),2)-1,7)+1)=AA$5,", "&amp;28,"")&amp;IF(INDEX($I$57:$O$67,2*INT((28+WEEKDAY(DATE(PlanYear,11,1),2)-1)/7)+1,MOD(28+WEEKDAY(DATE(PlanYear,11,1),2)-1,7)+1)=AA$5,", "&amp;29,"")&amp;IF(INDEX($I$57:$O$67,2*INT((29+WEEKDAY(DATE(PlanYear,11,1),2)-1)/7)+1,MOD(29+WEEKDAY(DATE(PlanYear,11,1),2)-1,7)+1)=AA$5,", "&amp;30,"")&amp;IF(INDEX($I$57:$O$67,2*INT((30+WEEKDAY(DATE(PlanYear,11,1),2)-1)/7)+1,MOD(30+WEEKDAY(DATE(PlanYear,11,1),2)-1,7)+1)=AA$5,", "&amp;31,""),3,200))</f>
        <v/>
      </c>
      <c r="AB16" s="16">
        <f>IF(AB$5="","",MID(IF(INDEX($I$57:$O$67,2*INT((0+WEEKDAY(DATE(PlanYear,11,1),2)-1)/7)+1,MOD(0+WEEKDAY(DATE(PlanYear,11,1),2)-1,7)+1)=AB$5,", "&amp;1,"")&amp;IF(INDEX($I$57:$O$67,2*INT((1+WEEKDAY(DATE(PlanYear,11,1),2)-1)/7)+1,MOD(1+WEEKDAY(DATE(PlanYear,11,1),2)-1,7)+1)=AB$5,", "&amp;2,"")&amp;IF(INDEX($I$57:$O$67,2*INT((2+WEEKDAY(DATE(PlanYear,11,1),2)-1)/7)+1,MOD(2+WEEKDAY(DATE(PlanYear,11,1),2)-1,7)+1)=AB$5,", "&amp;3,"")&amp;IF(INDEX($I$57:$O$67,2*INT((3+WEEKDAY(DATE(PlanYear,11,1),2)-1)/7)+1,MOD(3+WEEKDAY(DATE(PlanYear,11,1),2)-1,7)+1)=AB$5,", "&amp;4,"")&amp;IF(INDEX($I$57:$O$67,2*INT((4+WEEKDAY(DATE(PlanYear,11,1),2)-1)/7)+1,MOD(4+WEEKDAY(DATE(PlanYear,11,1),2)-1,7)+1)=AB$5,", "&amp;5,"")&amp;IF(INDEX($I$57:$O$67,2*INT((5+WEEKDAY(DATE(PlanYear,11,1),2)-1)/7)+1,MOD(5+WEEKDAY(DATE(PlanYear,11,1),2)-1,7)+1)=AB$5,", "&amp;6,"")&amp;IF(INDEX($I$57:$O$67,2*INT((6+WEEKDAY(DATE(PlanYear,11,1),2)-1)/7)+1,MOD(6+WEEKDAY(DATE(PlanYear,11,1),2)-1,7)+1)=AB$5,", "&amp;7,"")&amp;IF(INDEX($I$57:$O$67,2*INT((7+WEEKDAY(DATE(PlanYear,11,1),2)-1)/7)+1,MOD(7+WEEKDAY(DATE(PlanYear,11,1),2)-1,7)+1)=AB$5,", "&amp;8,"")&amp;IF(INDEX($I$57:$O$67,2*INT((8+WEEKDAY(DATE(PlanYear,11,1),2)-1)/7)+1,MOD(8+WEEKDAY(DATE(PlanYear,11,1),2)-1,7)+1)=AB$5,", "&amp;9,"")&amp;IF(INDEX($I$57:$O$67,2*INT((9+WEEKDAY(DATE(PlanYear,11,1),2)-1)/7)+1,MOD(9+WEEKDAY(DATE(PlanYear,11,1),2)-1,7)+1)=AB$5,", "&amp;10,"")&amp;IF(INDEX($I$57:$O$67,2*INT((10+WEEKDAY(DATE(PlanYear,11,1),2)-1)/7)+1,MOD(10+WEEKDAY(DATE(PlanYear,11,1),2)-1,7)+1)=AB$5,", "&amp;11,"")&amp;IF(INDEX($I$57:$O$67,2*INT((11+WEEKDAY(DATE(PlanYear,11,1),2)-1)/7)+1,MOD(11+WEEKDAY(DATE(PlanYear,11,1),2)-1,7)+1)=AB$5,", "&amp;12,"")&amp;IF(INDEX($I$57:$O$67,2*INT((12+WEEKDAY(DATE(PlanYear,11,1),2)-1)/7)+1,MOD(12+WEEKDAY(DATE(PlanYear,11,1),2)-1,7)+1)=AB$5,", "&amp;13,"")&amp;IF(INDEX($I$57:$O$67,2*INT((13+WEEKDAY(DATE(PlanYear,11,1),2)-1)/7)+1,MOD(13+WEEKDAY(DATE(PlanYear,11,1),2)-1,7)+1)=AB$5,", "&amp;14,"")&amp;IF(INDEX($I$57:$O$67,2*INT((14+WEEKDAY(DATE(PlanYear,11,1),2)-1)/7)+1,MOD(14+WEEKDAY(DATE(PlanYear,11,1),2)-1,7)+1)=AB$5,", "&amp;15,"")&amp;IF(INDEX($I$57:$O$67,2*INT((15+WEEKDAY(DATE(PlanYear,11,1),2)-1)/7)+1,MOD(15+WEEKDAY(DATE(PlanYear,11,1),2)-1,7)+1)=AB$5,", "&amp;16,"")&amp;IF(INDEX($I$57:$O$67,2*INT((16+WEEKDAY(DATE(PlanYear,11,1),2)-1)/7)+1,MOD(16+WEEKDAY(DATE(PlanYear,11,1),2)-1,7)+1)=AB$5,", "&amp;17,"")&amp;IF(INDEX($I$57:$O$67,2*INT((17+WEEKDAY(DATE(PlanYear,11,1),2)-1)/7)+1,MOD(17+WEEKDAY(DATE(PlanYear,11,1),2)-1,7)+1)=AB$5,", "&amp;18,"")&amp;IF(INDEX($I$57:$O$67,2*INT((18+WEEKDAY(DATE(PlanYear,11,1),2)-1)/7)+1,MOD(18+WEEKDAY(DATE(PlanYear,11,1),2)-1,7)+1)=AB$5,", "&amp;19,"")&amp;IF(INDEX($I$57:$O$67,2*INT((19+WEEKDAY(DATE(PlanYear,11,1),2)-1)/7)+1,MOD(19+WEEKDAY(DATE(PlanYear,11,1),2)-1,7)+1)=AB$5,", "&amp;20,"")&amp;IF(INDEX($I$57:$O$67,2*INT((20+WEEKDAY(DATE(PlanYear,11,1),2)-1)/7)+1,MOD(20+WEEKDAY(DATE(PlanYear,11,1),2)-1,7)+1)=AB$5,", "&amp;21,"")&amp;IF(INDEX($I$57:$O$67,2*INT((21+WEEKDAY(DATE(PlanYear,11,1),2)-1)/7)+1,MOD(21+WEEKDAY(DATE(PlanYear,11,1),2)-1,7)+1)=AB$5,", "&amp;22,"")&amp;IF(INDEX($I$57:$O$67,2*INT((22+WEEKDAY(DATE(PlanYear,11,1),2)-1)/7)+1,MOD(22+WEEKDAY(DATE(PlanYear,11,1),2)-1,7)+1)=AB$5,", "&amp;23,"")&amp;IF(INDEX($I$57:$O$67,2*INT((23+WEEKDAY(DATE(PlanYear,11,1),2)-1)/7)+1,MOD(23+WEEKDAY(DATE(PlanYear,11,1),2)-1,7)+1)=AB$5,", "&amp;24,"")&amp;IF(INDEX($I$57:$O$67,2*INT((24+WEEKDAY(DATE(PlanYear,11,1),2)-1)/7)+1,MOD(24+WEEKDAY(DATE(PlanYear,11,1),2)-1,7)+1)=AB$5,", "&amp;25,"")&amp;IF(INDEX($I$57:$O$67,2*INT((25+WEEKDAY(DATE(PlanYear,11,1),2)-1)/7)+1,MOD(25+WEEKDAY(DATE(PlanYear,11,1),2)-1,7)+1)=AB$5,", "&amp;26,"")&amp;IF(INDEX($I$57:$O$67,2*INT((26+WEEKDAY(DATE(PlanYear,11,1),2)-1)/7)+1,MOD(26+WEEKDAY(DATE(PlanYear,11,1),2)-1,7)+1)=AB$5,", "&amp;27,"")&amp;IF(INDEX($I$57:$O$67,2*INT((27+WEEKDAY(DATE(PlanYear,11,1),2)-1)/7)+1,MOD(27+WEEKDAY(DATE(PlanYear,11,1),2)-1,7)+1)=AB$5,", "&amp;28,"")&amp;IF(INDEX($I$57:$O$67,2*INT((28+WEEKDAY(DATE(PlanYear,11,1),2)-1)/7)+1,MOD(28+WEEKDAY(DATE(PlanYear,11,1),2)-1,7)+1)=AB$5,", "&amp;29,"")&amp;IF(INDEX($I$57:$O$67,2*INT((29+WEEKDAY(DATE(PlanYear,11,1),2)-1)/7)+1,MOD(29+WEEKDAY(DATE(PlanYear,11,1),2)-1,7)+1)=AB$5,", "&amp;30,"")&amp;IF(INDEX($I$57:$O$67,2*INT((30+WEEKDAY(DATE(PlanYear,11,1),2)-1)/7)+1,MOD(30+WEEKDAY(DATE(PlanYear,11,1),2)-1,7)+1)=AB$5,", "&amp;31,""),3,200))</f>
        <v/>
      </c>
      <c r="AC16" s="16">
        <f>IF(AC$5="","",MID(IF(INDEX($I$57:$O$67,2*INT((0+WEEKDAY(DATE(PlanYear,11,1),2)-1)/7)+1,MOD(0+WEEKDAY(DATE(PlanYear,11,1),2)-1,7)+1)=AC$5,", "&amp;1,"")&amp;IF(INDEX($I$57:$O$67,2*INT((1+WEEKDAY(DATE(PlanYear,11,1),2)-1)/7)+1,MOD(1+WEEKDAY(DATE(PlanYear,11,1),2)-1,7)+1)=AC$5,", "&amp;2,"")&amp;IF(INDEX($I$57:$O$67,2*INT((2+WEEKDAY(DATE(PlanYear,11,1),2)-1)/7)+1,MOD(2+WEEKDAY(DATE(PlanYear,11,1),2)-1,7)+1)=AC$5,", "&amp;3,"")&amp;IF(INDEX($I$57:$O$67,2*INT((3+WEEKDAY(DATE(PlanYear,11,1),2)-1)/7)+1,MOD(3+WEEKDAY(DATE(PlanYear,11,1),2)-1,7)+1)=AC$5,", "&amp;4,"")&amp;IF(INDEX($I$57:$O$67,2*INT((4+WEEKDAY(DATE(PlanYear,11,1),2)-1)/7)+1,MOD(4+WEEKDAY(DATE(PlanYear,11,1),2)-1,7)+1)=AC$5,", "&amp;5,"")&amp;IF(INDEX($I$57:$O$67,2*INT((5+WEEKDAY(DATE(PlanYear,11,1),2)-1)/7)+1,MOD(5+WEEKDAY(DATE(PlanYear,11,1),2)-1,7)+1)=AC$5,", "&amp;6,"")&amp;IF(INDEX($I$57:$O$67,2*INT((6+WEEKDAY(DATE(PlanYear,11,1),2)-1)/7)+1,MOD(6+WEEKDAY(DATE(PlanYear,11,1),2)-1,7)+1)=AC$5,", "&amp;7,"")&amp;IF(INDEX($I$57:$O$67,2*INT((7+WEEKDAY(DATE(PlanYear,11,1),2)-1)/7)+1,MOD(7+WEEKDAY(DATE(PlanYear,11,1),2)-1,7)+1)=AC$5,", "&amp;8,"")&amp;IF(INDEX($I$57:$O$67,2*INT((8+WEEKDAY(DATE(PlanYear,11,1),2)-1)/7)+1,MOD(8+WEEKDAY(DATE(PlanYear,11,1),2)-1,7)+1)=AC$5,", "&amp;9,"")&amp;IF(INDEX($I$57:$O$67,2*INT((9+WEEKDAY(DATE(PlanYear,11,1),2)-1)/7)+1,MOD(9+WEEKDAY(DATE(PlanYear,11,1),2)-1,7)+1)=AC$5,", "&amp;10,"")&amp;IF(INDEX($I$57:$O$67,2*INT((10+WEEKDAY(DATE(PlanYear,11,1),2)-1)/7)+1,MOD(10+WEEKDAY(DATE(PlanYear,11,1),2)-1,7)+1)=AC$5,", "&amp;11,"")&amp;IF(INDEX($I$57:$O$67,2*INT((11+WEEKDAY(DATE(PlanYear,11,1),2)-1)/7)+1,MOD(11+WEEKDAY(DATE(PlanYear,11,1),2)-1,7)+1)=AC$5,", "&amp;12,"")&amp;IF(INDEX($I$57:$O$67,2*INT((12+WEEKDAY(DATE(PlanYear,11,1),2)-1)/7)+1,MOD(12+WEEKDAY(DATE(PlanYear,11,1),2)-1,7)+1)=AC$5,", "&amp;13,"")&amp;IF(INDEX($I$57:$O$67,2*INT((13+WEEKDAY(DATE(PlanYear,11,1),2)-1)/7)+1,MOD(13+WEEKDAY(DATE(PlanYear,11,1),2)-1,7)+1)=AC$5,", "&amp;14,"")&amp;IF(INDEX($I$57:$O$67,2*INT((14+WEEKDAY(DATE(PlanYear,11,1),2)-1)/7)+1,MOD(14+WEEKDAY(DATE(PlanYear,11,1),2)-1,7)+1)=AC$5,", "&amp;15,"")&amp;IF(INDEX($I$57:$O$67,2*INT((15+WEEKDAY(DATE(PlanYear,11,1),2)-1)/7)+1,MOD(15+WEEKDAY(DATE(PlanYear,11,1),2)-1,7)+1)=AC$5,", "&amp;16,"")&amp;IF(INDEX($I$57:$O$67,2*INT((16+WEEKDAY(DATE(PlanYear,11,1),2)-1)/7)+1,MOD(16+WEEKDAY(DATE(PlanYear,11,1),2)-1,7)+1)=AC$5,", "&amp;17,"")&amp;IF(INDEX($I$57:$O$67,2*INT((17+WEEKDAY(DATE(PlanYear,11,1),2)-1)/7)+1,MOD(17+WEEKDAY(DATE(PlanYear,11,1),2)-1,7)+1)=AC$5,", "&amp;18,"")&amp;IF(INDEX($I$57:$O$67,2*INT((18+WEEKDAY(DATE(PlanYear,11,1),2)-1)/7)+1,MOD(18+WEEKDAY(DATE(PlanYear,11,1),2)-1,7)+1)=AC$5,", "&amp;19,"")&amp;IF(INDEX($I$57:$O$67,2*INT((19+WEEKDAY(DATE(PlanYear,11,1),2)-1)/7)+1,MOD(19+WEEKDAY(DATE(PlanYear,11,1),2)-1,7)+1)=AC$5,", "&amp;20,"")&amp;IF(INDEX($I$57:$O$67,2*INT((20+WEEKDAY(DATE(PlanYear,11,1),2)-1)/7)+1,MOD(20+WEEKDAY(DATE(PlanYear,11,1),2)-1,7)+1)=AC$5,", "&amp;21,"")&amp;IF(INDEX($I$57:$O$67,2*INT((21+WEEKDAY(DATE(PlanYear,11,1),2)-1)/7)+1,MOD(21+WEEKDAY(DATE(PlanYear,11,1),2)-1,7)+1)=AC$5,", "&amp;22,"")&amp;IF(INDEX($I$57:$O$67,2*INT((22+WEEKDAY(DATE(PlanYear,11,1),2)-1)/7)+1,MOD(22+WEEKDAY(DATE(PlanYear,11,1),2)-1,7)+1)=AC$5,", "&amp;23,"")&amp;IF(INDEX($I$57:$O$67,2*INT((23+WEEKDAY(DATE(PlanYear,11,1),2)-1)/7)+1,MOD(23+WEEKDAY(DATE(PlanYear,11,1),2)-1,7)+1)=AC$5,", "&amp;24,"")&amp;IF(INDEX($I$57:$O$67,2*INT((24+WEEKDAY(DATE(PlanYear,11,1),2)-1)/7)+1,MOD(24+WEEKDAY(DATE(PlanYear,11,1),2)-1,7)+1)=AC$5,", "&amp;25,"")&amp;IF(INDEX($I$57:$O$67,2*INT((25+WEEKDAY(DATE(PlanYear,11,1),2)-1)/7)+1,MOD(25+WEEKDAY(DATE(PlanYear,11,1),2)-1,7)+1)=AC$5,", "&amp;26,"")&amp;IF(INDEX($I$57:$O$67,2*INT((26+WEEKDAY(DATE(PlanYear,11,1),2)-1)/7)+1,MOD(26+WEEKDAY(DATE(PlanYear,11,1),2)-1,7)+1)=AC$5,", "&amp;27,"")&amp;IF(INDEX($I$57:$O$67,2*INT((27+WEEKDAY(DATE(PlanYear,11,1),2)-1)/7)+1,MOD(27+WEEKDAY(DATE(PlanYear,11,1),2)-1,7)+1)=AC$5,", "&amp;28,"")&amp;IF(INDEX($I$57:$O$67,2*INT((28+WEEKDAY(DATE(PlanYear,11,1),2)-1)/7)+1,MOD(28+WEEKDAY(DATE(PlanYear,11,1),2)-1,7)+1)=AC$5,", "&amp;29,"")&amp;IF(INDEX($I$57:$O$67,2*INT((29+WEEKDAY(DATE(PlanYear,11,1),2)-1)/7)+1,MOD(29+WEEKDAY(DATE(PlanYear,11,1),2)-1,7)+1)=AC$5,", "&amp;30,"")&amp;IF(INDEX($I$57:$O$67,2*INT((30+WEEKDAY(DATE(PlanYear,11,1),2)-1)/7)+1,MOD(30+WEEKDAY(DATE(PlanYear,11,1),2)-1,7)+1)=AC$5,", "&amp;31,""),3,200))</f>
        <v/>
      </c>
      <c r="AD16" s="16">
        <f>IF(AD$5="","",MID(IF(INDEX($I$57:$O$67,2*INT((0+WEEKDAY(DATE(PlanYear,11,1),2)-1)/7)+1,MOD(0+WEEKDAY(DATE(PlanYear,11,1),2)-1,7)+1)=AD$5,", "&amp;1,"")&amp;IF(INDEX($I$57:$O$67,2*INT((1+WEEKDAY(DATE(PlanYear,11,1),2)-1)/7)+1,MOD(1+WEEKDAY(DATE(PlanYear,11,1),2)-1,7)+1)=AD$5,", "&amp;2,"")&amp;IF(INDEX($I$57:$O$67,2*INT((2+WEEKDAY(DATE(PlanYear,11,1),2)-1)/7)+1,MOD(2+WEEKDAY(DATE(PlanYear,11,1),2)-1,7)+1)=AD$5,", "&amp;3,"")&amp;IF(INDEX($I$57:$O$67,2*INT((3+WEEKDAY(DATE(PlanYear,11,1),2)-1)/7)+1,MOD(3+WEEKDAY(DATE(PlanYear,11,1),2)-1,7)+1)=AD$5,", "&amp;4,"")&amp;IF(INDEX($I$57:$O$67,2*INT((4+WEEKDAY(DATE(PlanYear,11,1),2)-1)/7)+1,MOD(4+WEEKDAY(DATE(PlanYear,11,1),2)-1,7)+1)=AD$5,", "&amp;5,"")&amp;IF(INDEX($I$57:$O$67,2*INT((5+WEEKDAY(DATE(PlanYear,11,1),2)-1)/7)+1,MOD(5+WEEKDAY(DATE(PlanYear,11,1),2)-1,7)+1)=AD$5,", "&amp;6,"")&amp;IF(INDEX($I$57:$O$67,2*INT((6+WEEKDAY(DATE(PlanYear,11,1),2)-1)/7)+1,MOD(6+WEEKDAY(DATE(PlanYear,11,1),2)-1,7)+1)=AD$5,", "&amp;7,"")&amp;IF(INDEX($I$57:$O$67,2*INT((7+WEEKDAY(DATE(PlanYear,11,1),2)-1)/7)+1,MOD(7+WEEKDAY(DATE(PlanYear,11,1),2)-1,7)+1)=AD$5,", "&amp;8,"")&amp;IF(INDEX($I$57:$O$67,2*INT((8+WEEKDAY(DATE(PlanYear,11,1),2)-1)/7)+1,MOD(8+WEEKDAY(DATE(PlanYear,11,1),2)-1,7)+1)=AD$5,", "&amp;9,"")&amp;IF(INDEX($I$57:$O$67,2*INT((9+WEEKDAY(DATE(PlanYear,11,1),2)-1)/7)+1,MOD(9+WEEKDAY(DATE(PlanYear,11,1),2)-1,7)+1)=AD$5,", "&amp;10,"")&amp;IF(INDEX($I$57:$O$67,2*INT((10+WEEKDAY(DATE(PlanYear,11,1),2)-1)/7)+1,MOD(10+WEEKDAY(DATE(PlanYear,11,1),2)-1,7)+1)=AD$5,", "&amp;11,"")&amp;IF(INDEX($I$57:$O$67,2*INT((11+WEEKDAY(DATE(PlanYear,11,1),2)-1)/7)+1,MOD(11+WEEKDAY(DATE(PlanYear,11,1),2)-1,7)+1)=AD$5,", "&amp;12,"")&amp;IF(INDEX($I$57:$O$67,2*INT((12+WEEKDAY(DATE(PlanYear,11,1),2)-1)/7)+1,MOD(12+WEEKDAY(DATE(PlanYear,11,1),2)-1,7)+1)=AD$5,", "&amp;13,"")&amp;IF(INDEX($I$57:$O$67,2*INT((13+WEEKDAY(DATE(PlanYear,11,1),2)-1)/7)+1,MOD(13+WEEKDAY(DATE(PlanYear,11,1),2)-1,7)+1)=AD$5,", "&amp;14,"")&amp;IF(INDEX($I$57:$O$67,2*INT((14+WEEKDAY(DATE(PlanYear,11,1),2)-1)/7)+1,MOD(14+WEEKDAY(DATE(PlanYear,11,1),2)-1,7)+1)=AD$5,", "&amp;15,"")&amp;IF(INDEX($I$57:$O$67,2*INT((15+WEEKDAY(DATE(PlanYear,11,1),2)-1)/7)+1,MOD(15+WEEKDAY(DATE(PlanYear,11,1),2)-1,7)+1)=AD$5,", "&amp;16,"")&amp;IF(INDEX($I$57:$O$67,2*INT((16+WEEKDAY(DATE(PlanYear,11,1),2)-1)/7)+1,MOD(16+WEEKDAY(DATE(PlanYear,11,1),2)-1,7)+1)=AD$5,", "&amp;17,"")&amp;IF(INDEX($I$57:$O$67,2*INT((17+WEEKDAY(DATE(PlanYear,11,1),2)-1)/7)+1,MOD(17+WEEKDAY(DATE(PlanYear,11,1),2)-1,7)+1)=AD$5,", "&amp;18,"")&amp;IF(INDEX($I$57:$O$67,2*INT((18+WEEKDAY(DATE(PlanYear,11,1),2)-1)/7)+1,MOD(18+WEEKDAY(DATE(PlanYear,11,1),2)-1,7)+1)=AD$5,", "&amp;19,"")&amp;IF(INDEX($I$57:$O$67,2*INT((19+WEEKDAY(DATE(PlanYear,11,1),2)-1)/7)+1,MOD(19+WEEKDAY(DATE(PlanYear,11,1),2)-1,7)+1)=AD$5,", "&amp;20,"")&amp;IF(INDEX($I$57:$O$67,2*INT((20+WEEKDAY(DATE(PlanYear,11,1),2)-1)/7)+1,MOD(20+WEEKDAY(DATE(PlanYear,11,1),2)-1,7)+1)=AD$5,", "&amp;21,"")&amp;IF(INDEX($I$57:$O$67,2*INT((21+WEEKDAY(DATE(PlanYear,11,1),2)-1)/7)+1,MOD(21+WEEKDAY(DATE(PlanYear,11,1),2)-1,7)+1)=AD$5,", "&amp;22,"")&amp;IF(INDEX($I$57:$O$67,2*INT((22+WEEKDAY(DATE(PlanYear,11,1),2)-1)/7)+1,MOD(22+WEEKDAY(DATE(PlanYear,11,1),2)-1,7)+1)=AD$5,", "&amp;23,"")&amp;IF(INDEX($I$57:$O$67,2*INT((23+WEEKDAY(DATE(PlanYear,11,1),2)-1)/7)+1,MOD(23+WEEKDAY(DATE(PlanYear,11,1),2)-1,7)+1)=AD$5,", "&amp;24,"")&amp;IF(INDEX($I$57:$O$67,2*INT((24+WEEKDAY(DATE(PlanYear,11,1),2)-1)/7)+1,MOD(24+WEEKDAY(DATE(PlanYear,11,1),2)-1,7)+1)=AD$5,", "&amp;25,"")&amp;IF(INDEX($I$57:$O$67,2*INT((25+WEEKDAY(DATE(PlanYear,11,1),2)-1)/7)+1,MOD(25+WEEKDAY(DATE(PlanYear,11,1),2)-1,7)+1)=AD$5,", "&amp;26,"")&amp;IF(INDEX($I$57:$O$67,2*INT((26+WEEKDAY(DATE(PlanYear,11,1),2)-1)/7)+1,MOD(26+WEEKDAY(DATE(PlanYear,11,1),2)-1,7)+1)=AD$5,", "&amp;27,"")&amp;IF(INDEX($I$57:$O$67,2*INT((27+WEEKDAY(DATE(PlanYear,11,1),2)-1)/7)+1,MOD(27+WEEKDAY(DATE(PlanYear,11,1),2)-1,7)+1)=AD$5,", "&amp;28,"")&amp;IF(INDEX($I$57:$O$67,2*INT((28+WEEKDAY(DATE(PlanYear,11,1),2)-1)/7)+1,MOD(28+WEEKDAY(DATE(PlanYear,11,1),2)-1,7)+1)=AD$5,", "&amp;29,"")&amp;IF(INDEX($I$57:$O$67,2*INT((29+WEEKDAY(DATE(PlanYear,11,1),2)-1)/7)+1,MOD(29+WEEKDAY(DATE(PlanYear,11,1),2)-1,7)+1)=AD$5,", "&amp;30,"")&amp;IF(INDEX($I$57:$O$67,2*INT((30+WEEKDAY(DATE(PlanYear,11,1),2)-1)/7)+1,MOD(30+WEEKDAY(DATE(PlanYear,11,1),2)-1,7)+1)=AD$5,", "&amp;31,""),3,200))</f>
        <v/>
      </c>
      <c r="AE16" s="16">
        <f>IF(AE$5="","",MID(IF(INDEX($I$57:$O$67,2*INT((0+WEEKDAY(DATE(PlanYear,11,1),2)-1)/7)+1,MOD(0+WEEKDAY(DATE(PlanYear,11,1),2)-1,7)+1)=AE$5,", "&amp;1,"")&amp;IF(INDEX($I$57:$O$67,2*INT((1+WEEKDAY(DATE(PlanYear,11,1),2)-1)/7)+1,MOD(1+WEEKDAY(DATE(PlanYear,11,1),2)-1,7)+1)=AE$5,", "&amp;2,"")&amp;IF(INDEX($I$57:$O$67,2*INT((2+WEEKDAY(DATE(PlanYear,11,1),2)-1)/7)+1,MOD(2+WEEKDAY(DATE(PlanYear,11,1),2)-1,7)+1)=AE$5,", "&amp;3,"")&amp;IF(INDEX($I$57:$O$67,2*INT((3+WEEKDAY(DATE(PlanYear,11,1),2)-1)/7)+1,MOD(3+WEEKDAY(DATE(PlanYear,11,1),2)-1,7)+1)=AE$5,", "&amp;4,"")&amp;IF(INDEX($I$57:$O$67,2*INT((4+WEEKDAY(DATE(PlanYear,11,1),2)-1)/7)+1,MOD(4+WEEKDAY(DATE(PlanYear,11,1),2)-1,7)+1)=AE$5,", "&amp;5,"")&amp;IF(INDEX($I$57:$O$67,2*INT((5+WEEKDAY(DATE(PlanYear,11,1),2)-1)/7)+1,MOD(5+WEEKDAY(DATE(PlanYear,11,1),2)-1,7)+1)=AE$5,", "&amp;6,"")&amp;IF(INDEX($I$57:$O$67,2*INT((6+WEEKDAY(DATE(PlanYear,11,1),2)-1)/7)+1,MOD(6+WEEKDAY(DATE(PlanYear,11,1),2)-1,7)+1)=AE$5,", "&amp;7,"")&amp;IF(INDEX($I$57:$O$67,2*INT((7+WEEKDAY(DATE(PlanYear,11,1),2)-1)/7)+1,MOD(7+WEEKDAY(DATE(PlanYear,11,1),2)-1,7)+1)=AE$5,", "&amp;8,"")&amp;IF(INDEX($I$57:$O$67,2*INT((8+WEEKDAY(DATE(PlanYear,11,1),2)-1)/7)+1,MOD(8+WEEKDAY(DATE(PlanYear,11,1),2)-1,7)+1)=AE$5,", "&amp;9,"")&amp;IF(INDEX($I$57:$O$67,2*INT((9+WEEKDAY(DATE(PlanYear,11,1),2)-1)/7)+1,MOD(9+WEEKDAY(DATE(PlanYear,11,1),2)-1,7)+1)=AE$5,", "&amp;10,"")&amp;IF(INDEX($I$57:$O$67,2*INT((10+WEEKDAY(DATE(PlanYear,11,1),2)-1)/7)+1,MOD(10+WEEKDAY(DATE(PlanYear,11,1),2)-1,7)+1)=AE$5,", "&amp;11,"")&amp;IF(INDEX($I$57:$O$67,2*INT((11+WEEKDAY(DATE(PlanYear,11,1),2)-1)/7)+1,MOD(11+WEEKDAY(DATE(PlanYear,11,1),2)-1,7)+1)=AE$5,", "&amp;12,"")&amp;IF(INDEX($I$57:$O$67,2*INT((12+WEEKDAY(DATE(PlanYear,11,1),2)-1)/7)+1,MOD(12+WEEKDAY(DATE(PlanYear,11,1),2)-1,7)+1)=AE$5,", "&amp;13,"")&amp;IF(INDEX($I$57:$O$67,2*INT((13+WEEKDAY(DATE(PlanYear,11,1),2)-1)/7)+1,MOD(13+WEEKDAY(DATE(PlanYear,11,1),2)-1,7)+1)=AE$5,", "&amp;14,"")&amp;IF(INDEX($I$57:$O$67,2*INT((14+WEEKDAY(DATE(PlanYear,11,1),2)-1)/7)+1,MOD(14+WEEKDAY(DATE(PlanYear,11,1),2)-1,7)+1)=AE$5,", "&amp;15,"")&amp;IF(INDEX($I$57:$O$67,2*INT((15+WEEKDAY(DATE(PlanYear,11,1),2)-1)/7)+1,MOD(15+WEEKDAY(DATE(PlanYear,11,1),2)-1,7)+1)=AE$5,", "&amp;16,"")&amp;IF(INDEX($I$57:$O$67,2*INT((16+WEEKDAY(DATE(PlanYear,11,1),2)-1)/7)+1,MOD(16+WEEKDAY(DATE(PlanYear,11,1),2)-1,7)+1)=AE$5,", "&amp;17,"")&amp;IF(INDEX($I$57:$O$67,2*INT((17+WEEKDAY(DATE(PlanYear,11,1),2)-1)/7)+1,MOD(17+WEEKDAY(DATE(PlanYear,11,1),2)-1,7)+1)=AE$5,", "&amp;18,"")&amp;IF(INDEX($I$57:$O$67,2*INT((18+WEEKDAY(DATE(PlanYear,11,1),2)-1)/7)+1,MOD(18+WEEKDAY(DATE(PlanYear,11,1),2)-1,7)+1)=AE$5,", "&amp;19,"")&amp;IF(INDEX($I$57:$O$67,2*INT((19+WEEKDAY(DATE(PlanYear,11,1),2)-1)/7)+1,MOD(19+WEEKDAY(DATE(PlanYear,11,1),2)-1,7)+1)=AE$5,", "&amp;20,"")&amp;IF(INDEX($I$57:$O$67,2*INT((20+WEEKDAY(DATE(PlanYear,11,1),2)-1)/7)+1,MOD(20+WEEKDAY(DATE(PlanYear,11,1),2)-1,7)+1)=AE$5,", "&amp;21,"")&amp;IF(INDEX($I$57:$O$67,2*INT((21+WEEKDAY(DATE(PlanYear,11,1),2)-1)/7)+1,MOD(21+WEEKDAY(DATE(PlanYear,11,1),2)-1,7)+1)=AE$5,", "&amp;22,"")&amp;IF(INDEX($I$57:$O$67,2*INT((22+WEEKDAY(DATE(PlanYear,11,1),2)-1)/7)+1,MOD(22+WEEKDAY(DATE(PlanYear,11,1),2)-1,7)+1)=AE$5,", "&amp;23,"")&amp;IF(INDEX($I$57:$O$67,2*INT((23+WEEKDAY(DATE(PlanYear,11,1),2)-1)/7)+1,MOD(23+WEEKDAY(DATE(PlanYear,11,1),2)-1,7)+1)=AE$5,", "&amp;24,"")&amp;IF(INDEX($I$57:$O$67,2*INT((24+WEEKDAY(DATE(PlanYear,11,1),2)-1)/7)+1,MOD(24+WEEKDAY(DATE(PlanYear,11,1),2)-1,7)+1)=AE$5,", "&amp;25,"")&amp;IF(INDEX($I$57:$O$67,2*INT((25+WEEKDAY(DATE(PlanYear,11,1),2)-1)/7)+1,MOD(25+WEEKDAY(DATE(PlanYear,11,1),2)-1,7)+1)=AE$5,", "&amp;26,"")&amp;IF(INDEX($I$57:$O$67,2*INT((26+WEEKDAY(DATE(PlanYear,11,1),2)-1)/7)+1,MOD(26+WEEKDAY(DATE(PlanYear,11,1),2)-1,7)+1)=AE$5,", "&amp;27,"")&amp;IF(INDEX($I$57:$O$67,2*INT((27+WEEKDAY(DATE(PlanYear,11,1),2)-1)/7)+1,MOD(27+WEEKDAY(DATE(PlanYear,11,1),2)-1,7)+1)=AE$5,", "&amp;28,"")&amp;IF(INDEX($I$57:$O$67,2*INT((28+WEEKDAY(DATE(PlanYear,11,1),2)-1)/7)+1,MOD(28+WEEKDAY(DATE(PlanYear,11,1),2)-1,7)+1)=AE$5,", "&amp;29,"")&amp;IF(INDEX($I$57:$O$67,2*INT((29+WEEKDAY(DATE(PlanYear,11,1),2)-1)/7)+1,MOD(29+WEEKDAY(DATE(PlanYear,11,1),2)-1,7)+1)=AE$5,", "&amp;30,"")&amp;IF(INDEX($I$57:$O$67,2*INT((30+WEEKDAY(DATE(PlanYear,11,1),2)-1)/7)+1,MOD(30+WEEKDAY(DATE(PlanYear,11,1),2)-1,7)+1)=AE$5,", "&amp;31,""),3,200))</f>
        <v/>
      </c>
      <c r="AF16" s="16">
        <f>IF(AF$5="","",MID(IF(INDEX($I$57:$O$67,2*INT((0+WEEKDAY(DATE(PlanYear,11,1),2)-1)/7)+1,MOD(0+WEEKDAY(DATE(PlanYear,11,1),2)-1,7)+1)=AF$5,", "&amp;1,"")&amp;IF(INDEX($I$57:$O$67,2*INT((1+WEEKDAY(DATE(PlanYear,11,1),2)-1)/7)+1,MOD(1+WEEKDAY(DATE(PlanYear,11,1),2)-1,7)+1)=AF$5,", "&amp;2,"")&amp;IF(INDEX($I$57:$O$67,2*INT((2+WEEKDAY(DATE(PlanYear,11,1),2)-1)/7)+1,MOD(2+WEEKDAY(DATE(PlanYear,11,1),2)-1,7)+1)=AF$5,", "&amp;3,"")&amp;IF(INDEX($I$57:$O$67,2*INT((3+WEEKDAY(DATE(PlanYear,11,1),2)-1)/7)+1,MOD(3+WEEKDAY(DATE(PlanYear,11,1),2)-1,7)+1)=AF$5,", "&amp;4,"")&amp;IF(INDEX($I$57:$O$67,2*INT((4+WEEKDAY(DATE(PlanYear,11,1),2)-1)/7)+1,MOD(4+WEEKDAY(DATE(PlanYear,11,1),2)-1,7)+1)=AF$5,", "&amp;5,"")&amp;IF(INDEX($I$57:$O$67,2*INT((5+WEEKDAY(DATE(PlanYear,11,1),2)-1)/7)+1,MOD(5+WEEKDAY(DATE(PlanYear,11,1),2)-1,7)+1)=AF$5,", "&amp;6,"")&amp;IF(INDEX($I$57:$O$67,2*INT((6+WEEKDAY(DATE(PlanYear,11,1),2)-1)/7)+1,MOD(6+WEEKDAY(DATE(PlanYear,11,1),2)-1,7)+1)=AF$5,", "&amp;7,"")&amp;IF(INDEX($I$57:$O$67,2*INT((7+WEEKDAY(DATE(PlanYear,11,1),2)-1)/7)+1,MOD(7+WEEKDAY(DATE(PlanYear,11,1),2)-1,7)+1)=AF$5,", "&amp;8,"")&amp;IF(INDEX($I$57:$O$67,2*INT((8+WEEKDAY(DATE(PlanYear,11,1),2)-1)/7)+1,MOD(8+WEEKDAY(DATE(PlanYear,11,1),2)-1,7)+1)=AF$5,", "&amp;9,"")&amp;IF(INDEX($I$57:$O$67,2*INT((9+WEEKDAY(DATE(PlanYear,11,1),2)-1)/7)+1,MOD(9+WEEKDAY(DATE(PlanYear,11,1),2)-1,7)+1)=AF$5,", "&amp;10,"")&amp;IF(INDEX($I$57:$O$67,2*INT((10+WEEKDAY(DATE(PlanYear,11,1),2)-1)/7)+1,MOD(10+WEEKDAY(DATE(PlanYear,11,1),2)-1,7)+1)=AF$5,", "&amp;11,"")&amp;IF(INDEX($I$57:$O$67,2*INT((11+WEEKDAY(DATE(PlanYear,11,1),2)-1)/7)+1,MOD(11+WEEKDAY(DATE(PlanYear,11,1),2)-1,7)+1)=AF$5,", "&amp;12,"")&amp;IF(INDEX($I$57:$O$67,2*INT((12+WEEKDAY(DATE(PlanYear,11,1),2)-1)/7)+1,MOD(12+WEEKDAY(DATE(PlanYear,11,1),2)-1,7)+1)=AF$5,", "&amp;13,"")&amp;IF(INDEX($I$57:$O$67,2*INT((13+WEEKDAY(DATE(PlanYear,11,1),2)-1)/7)+1,MOD(13+WEEKDAY(DATE(PlanYear,11,1),2)-1,7)+1)=AF$5,", "&amp;14,"")&amp;IF(INDEX($I$57:$O$67,2*INT((14+WEEKDAY(DATE(PlanYear,11,1),2)-1)/7)+1,MOD(14+WEEKDAY(DATE(PlanYear,11,1),2)-1,7)+1)=AF$5,", "&amp;15,"")&amp;IF(INDEX($I$57:$O$67,2*INT((15+WEEKDAY(DATE(PlanYear,11,1),2)-1)/7)+1,MOD(15+WEEKDAY(DATE(PlanYear,11,1),2)-1,7)+1)=AF$5,", "&amp;16,"")&amp;IF(INDEX($I$57:$O$67,2*INT((16+WEEKDAY(DATE(PlanYear,11,1),2)-1)/7)+1,MOD(16+WEEKDAY(DATE(PlanYear,11,1),2)-1,7)+1)=AF$5,", "&amp;17,"")&amp;IF(INDEX($I$57:$O$67,2*INT((17+WEEKDAY(DATE(PlanYear,11,1),2)-1)/7)+1,MOD(17+WEEKDAY(DATE(PlanYear,11,1),2)-1,7)+1)=AF$5,", "&amp;18,"")&amp;IF(INDEX($I$57:$O$67,2*INT((18+WEEKDAY(DATE(PlanYear,11,1),2)-1)/7)+1,MOD(18+WEEKDAY(DATE(PlanYear,11,1),2)-1,7)+1)=AF$5,", "&amp;19,"")&amp;IF(INDEX($I$57:$O$67,2*INT((19+WEEKDAY(DATE(PlanYear,11,1),2)-1)/7)+1,MOD(19+WEEKDAY(DATE(PlanYear,11,1),2)-1,7)+1)=AF$5,", "&amp;20,"")&amp;IF(INDEX($I$57:$O$67,2*INT((20+WEEKDAY(DATE(PlanYear,11,1),2)-1)/7)+1,MOD(20+WEEKDAY(DATE(PlanYear,11,1),2)-1,7)+1)=AF$5,", "&amp;21,"")&amp;IF(INDEX($I$57:$O$67,2*INT((21+WEEKDAY(DATE(PlanYear,11,1),2)-1)/7)+1,MOD(21+WEEKDAY(DATE(PlanYear,11,1),2)-1,7)+1)=AF$5,", "&amp;22,"")&amp;IF(INDEX($I$57:$O$67,2*INT((22+WEEKDAY(DATE(PlanYear,11,1),2)-1)/7)+1,MOD(22+WEEKDAY(DATE(PlanYear,11,1),2)-1,7)+1)=AF$5,", "&amp;23,"")&amp;IF(INDEX($I$57:$O$67,2*INT((23+WEEKDAY(DATE(PlanYear,11,1),2)-1)/7)+1,MOD(23+WEEKDAY(DATE(PlanYear,11,1),2)-1,7)+1)=AF$5,", "&amp;24,"")&amp;IF(INDEX($I$57:$O$67,2*INT((24+WEEKDAY(DATE(PlanYear,11,1),2)-1)/7)+1,MOD(24+WEEKDAY(DATE(PlanYear,11,1),2)-1,7)+1)=AF$5,", "&amp;25,"")&amp;IF(INDEX($I$57:$O$67,2*INT((25+WEEKDAY(DATE(PlanYear,11,1),2)-1)/7)+1,MOD(25+WEEKDAY(DATE(PlanYear,11,1),2)-1,7)+1)=AF$5,", "&amp;26,"")&amp;IF(INDEX($I$57:$O$67,2*INT((26+WEEKDAY(DATE(PlanYear,11,1),2)-1)/7)+1,MOD(26+WEEKDAY(DATE(PlanYear,11,1),2)-1,7)+1)=AF$5,", "&amp;27,"")&amp;IF(INDEX($I$57:$O$67,2*INT((27+WEEKDAY(DATE(PlanYear,11,1),2)-1)/7)+1,MOD(27+WEEKDAY(DATE(PlanYear,11,1),2)-1,7)+1)=AF$5,", "&amp;28,"")&amp;IF(INDEX($I$57:$O$67,2*INT((28+WEEKDAY(DATE(PlanYear,11,1),2)-1)/7)+1,MOD(28+WEEKDAY(DATE(PlanYear,11,1),2)-1,7)+1)=AF$5,", "&amp;29,"")&amp;IF(INDEX($I$57:$O$67,2*INT((29+WEEKDAY(DATE(PlanYear,11,1),2)-1)/7)+1,MOD(29+WEEKDAY(DATE(PlanYear,11,1),2)-1,7)+1)=AF$5,", "&amp;30,"")&amp;IF(INDEX($I$57:$O$67,2*INT((30+WEEKDAY(DATE(PlanYear,11,1),2)-1)/7)+1,MOD(30+WEEKDAY(DATE(PlanYear,11,1),2)-1,7)+1)=AF$5,", "&amp;31,""),3,200))</f>
        <v/>
      </c>
      <c r="AG16" s="16">
        <f>IF(AG$5="","",MID(IF(INDEX($I$57:$O$67,2*INT((0+WEEKDAY(DATE(PlanYear,11,1),2)-1)/7)+1,MOD(0+WEEKDAY(DATE(PlanYear,11,1),2)-1,7)+1)=AG$5,", "&amp;1,"")&amp;IF(INDEX($I$57:$O$67,2*INT((1+WEEKDAY(DATE(PlanYear,11,1),2)-1)/7)+1,MOD(1+WEEKDAY(DATE(PlanYear,11,1),2)-1,7)+1)=AG$5,", "&amp;2,"")&amp;IF(INDEX($I$57:$O$67,2*INT((2+WEEKDAY(DATE(PlanYear,11,1),2)-1)/7)+1,MOD(2+WEEKDAY(DATE(PlanYear,11,1),2)-1,7)+1)=AG$5,", "&amp;3,"")&amp;IF(INDEX($I$57:$O$67,2*INT((3+WEEKDAY(DATE(PlanYear,11,1),2)-1)/7)+1,MOD(3+WEEKDAY(DATE(PlanYear,11,1),2)-1,7)+1)=AG$5,", "&amp;4,"")&amp;IF(INDEX($I$57:$O$67,2*INT((4+WEEKDAY(DATE(PlanYear,11,1),2)-1)/7)+1,MOD(4+WEEKDAY(DATE(PlanYear,11,1),2)-1,7)+1)=AG$5,", "&amp;5,"")&amp;IF(INDEX($I$57:$O$67,2*INT((5+WEEKDAY(DATE(PlanYear,11,1),2)-1)/7)+1,MOD(5+WEEKDAY(DATE(PlanYear,11,1),2)-1,7)+1)=AG$5,", "&amp;6,"")&amp;IF(INDEX($I$57:$O$67,2*INT((6+WEEKDAY(DATE(PlanYear,11,1),2)-1)/7)+1,MOD(6+WEEKDAY(DATE(PlanYear,11,1),2)-1,7)+1)=AG$5,", "&amp;7,"")&amp;IF(INDEX($I$57:$O$67,2*INT((7+WEEKDAY(DATE(PlanYear,11,1),2)-1)/7)+1,MOD(7+WEEKDAY(DATE(PlanYear,11,1),2)-1,7)+1)=AG$5,", "&amp;8,"")&amp;IF(INDEX($I$57:$O$67,2*INT((8+WEEKDAY(DATE(PlanYear,11,1),2)-1)/7)+1,MOD(8+WEEKDAY(DATE(PlanYear,11,1),2)-1,7)+1)=AG$5,", "&amp;9,"")&amp;IF(INDEX($I$57:$O$67,2*INT((9+WEEKDAY(DATE(PlanYear,11,1),2)-1)/7)+1,MOD(9+WEEKDAY(DATE(PlanYear,11,1),2)-1,7)+1)=AG$5,", "&amp;10,"")&amp;IF(INDEX($I$57:$O$67,2*INT((10+WEEKDAY(DATE(PlanYear,11,1),2)-1)/7)+1,MOD(10+WEEKDAY(DATE(PlanYear,11,1),2)-1,7)+1)=AG$5,", "&amp;11,"")&amp;IF(INDEX($I$57:$O$67,2*INT((11+WEEKDAY(DATE(PlanYear,11,1),2)-1)/7)+1,MOD(11+WEEKDAY(DATE(PlanYear,11,1),2)-1,7)+1)=AG$5,", "&amp;12,"")&amp;IF(INDEX($I$57:$O$67,2*INT((12+WEEKDAY(DATE(PlanYear,11,1),2)-1)/7)+1,MOD(12+WEEKDAY(DATE(PlanYear,11,1),2)-1,7)+1)=AG$5,", "&amp;13,"")&amp;IF(INDEX($I$57:$O$67,2*INT((13+WEEKDAY(DATE(PlanYear,11,1),2)-1)/7)+1,MOD(13+WEEKDAY(DATE(PlanYear,11,1),2)-1,7)+1)=AG$5,", "&amp;14,"")&amp;IF(INDEX($I$57:$O$67,2*INT((14+WEEKDAY(DATE(PlanYear,11,1),2)-1)/7)+1,MOD(14+WEEKDAY(DATE(PlanYear,11,1),2)-1,7)+1)=AG$5,", "&amp;15,"")&amp;IF(INDEX($I$57:$O$67,2*INT((15+WEEKDAY(DATE(PlanYear,11,1),2)-1)/7)+1,MOD(15+WEEKDAY(DATE(PlanYear,11,1),2)-1,7)+1)=AG$5,", "&amp;16,"")&amp;IF(INDEX($I$57:$O$67,2*INT((16+WEEKDAY(DATE(PlanYear,11,1),2)-1)/7)+1,MOD(16+WEEKDAY(DATE(PlanYear,11,1),2)-1,7)+1)=AG$5,", "&amp;17,"")&amp;IF(INDEX($I$57:$O$67,2*INT((17+WEEKDAY(DATE(PlanYear,11,1),2)-1)/7)+1,MOD(17+WEEKDAY(DATE(PlanYear,11,1),2)-1,7)+1)=AG$5,", "&amp;18,"")&amp;IF(INDEX($I$57:$O$67,2*INT((18+WEEKDAY(DATE(PlanYear,11,1),2)-1)/7)+1,MOD(18+WEEKDAY(DATE(PlanYear,11,1),2)-1,7)+1)=AG$5,", "&amp;19,"")&amp;IF(INDEX($I$57:$O$67,2*INT((19+WEEKDAY(DATE(PlanYear,11,1),2)-1)/7)+1,MOD(19+WEEKDAY(DATE(PlanYear,11,1),2)-1,7)+1)=AG$5,", "&amp;20,"")&amp;IF(INDEX($I$57:$O$67,2*INT((20+WEEKDAY(DATE(PlanYear,11,1),2)-1)/7)+1,MOD(20+WEEKDAY(DATE(PlanYear,11,1),2)-1,7)+1)=AG$5,", "&amp;21,"")&amp;IF(INDEX($I$57:$O$67,2*INT((21+WEEKDAY(DATE(PlanYear,11,1),2)-1)/7)+1,MOD(21+WEEKDAY(DATE(PlanYear,11,1),2)-1,7)+1)=AG$5,", "&amp;22,"")&amp;IF(INDEX($I$57:$O$67,2*INT((22+WEEKDAY(DATE(PlanYear,11,1),2)-1)/7)+1,MOD(22+WEEKDAY(DATE(PlanYear,11,1),2)-1,7)+1)=AG$5,", "&amp;23,"")&amp;IF(INDEX($I$57:$O$67,2*INT((23+WEEKDAY(DATE(PlanYear,11,1),2)-1)/7)+1,MOD(23+WEEKDAY(DATE(PlanYear,11,1),2)-1,7)+1)=AG$5,", "&amp;24,"")&amp;IF(INDEX($I$57:$O$67,2*INT((24+WEEKDAY(DATE(PlanYear,11,1),2)-1)/7)+1,MOD(24+WEEKDAY(DATE(PlanYear,11,1),2)-1,7)+1)=AG$5,", "&amp;25,"")&amp;IF(INDEX($I$57:$O$67,2*INT((25+WEEKDAY(DATE(PlanYear,11,1),2)-1)/7)+1,MOD(25+WEEKDAY(DATE(PlanYear,11,1),2)-1,7)+1)=AG$5,", "&amp;26,"")&amp;IF(INDEX($I$57:$O$67,2*INT((26+WEEKDAY(DATE(PlanYear,11,1),2)-1)/7)+1,MOD(26+WEEKDAY(DATE(PlanYear,11,1),2)-1,7)+1)=AG$5,", "&amp;27,"")&amp;IF(INDEX($I$57:$O$67,2*INT((27+WEEKDAY(DATE(PlanYear,11,1),2)-1)/7)+1,MOD(27+WEEKDAY(DATE(PlanYear,11,1),2)-1,7)+1)=AG$5,", "&amp;28,"")&amp;IF(INDEX($I$57:$O$67,2*INT((28+WEEKDAY(DATE(PlanYear,11,1),2)-1)/7)+1,MOD(28+WEEKDAY(DATE(PlanYear,11,1),2)-1,7)+1)=AG$5,", "&amp;29,"")&amp;IF(INDEX($I$57:$O$67,2*INT((29+WEEKDAY(DATE(PlanYear,11,1),2)-1)/7)+1,MOD(29+WEEKDAY(DATE(PlanYear,11,1),2)-1,7)+1)=AG$5,", "&amp;30,"")&amp;IF(INDEX($I$57:$O$67,2*INT((30+WEEKDAY(DATE(PlanYear,11,1),2)-1)/7)+1,MOD(30+WEEKDAY(DATE(PlanYear,11,1),2)-1,7)+1)=AG$5,", "&amp;31,""),3,200))</f>
        <v/>
      </c>
      <c r="AH16" s="16">
        <f>IF(AH$5="","",MID(IF(INDEX($I$57:$O$67,2*INT((0+WEEKDAY(DATE(PlanYear,11,1),2)-1)/7)+1,MOD(0+WEEKDAY(DATE(PlanYear,11,1),2)-1,7)+1)=AH$5,", "&amp;1,"")&amp;IF(INDEX($I$57:$O$67,2*INT((1+WEEKDAY(DATE(PlanYear,11,1),2)-1)/7)+1,MOD(1+WEEKDAY(DATE(PlanYear,11,1),2)-1,7)+1)=AH$5,", "&amp;2,"")&amp;IF(INDEX($I$57:$O$67,2*INT((2+WEEKDAY(DATE(PlanYear,11,1),2)-1)/7)+1,MOD(2+WEEKDAY(DATE(PlanYear,11,1),2)-1,7)+1)=AH$5,", "&amp;3,"")&amp;IF(INDEX($I$57:$O$67,2*INT((3+WEEKDAY(DATE(PlanYear,11,1),2)-1)/7)+1,MOD(3+WEEKDAY(DATE(PlanYear,11,1),2)-1,7)+1)=AH$5,", "&amp;4,"")&amp;IF(INDEX($I$57:$O$67,2*INT((4+WEEKDAY(DATE(PlanYear,11,1),2)-1)/7)+1,MOD(4+WEEKDAY(DATE(PlanYear,11,1),2)-1,7)+1)=AH$5,", "&amp;5,"")&amp;IF(INDEX($I$57:$O$67,2*INT((5+WEEKDAY(DATE(PlanYear,11,1),2)-1)/7)+1,MOD(5+WEEKDAY(DATE(PlanYear,11,1),2)-1,7)+1)=AH$5,", "&amp;6,"")&amp;IF(INDEX($I$57:$O$67,2*INT((6+WEEKDAY(DATE(PlanYear,11,1),2)-1)/7)+1,MOD(6+WEEKDAY(DATE(PlanYear,11,1),2)-1,7)+1)=AH$5,", "&amp;7,"")&amp;IF(INDEX($I$57:$O$67,2*INT((7+WEEKDAY(DATE(PlanYear,11,1),2)-1)/7)+1,MOD(7+WEEKDAY(DATE(PlanYear,11,1),2)-1,7)+1)=AH$5,", "&amp;8,"")&amp;IF(INDEX($I$57:$O$67,2*INT((8+WEEKDAY(DATE(PlanYear,11,1),2)-1)/7)+1,MOD(8+WEEKDAY(DATE(PlanYear,11,1),2)-1,7)+1)=AH$5,", "&amp;9,"")&amp;IF(INDEX($I$57:$O$67,2*INT((9+WEEKDAY(DATE(PlanYear,11,1),2)-1)/7)+1,MOD(9+WEEKDAY(DATE(PlanYear,11,1),2)-1,7)+1)=AH$5,", "&amp;10,"")&amp;IF(INDEX($I$57:$O$67,2*INT((10+WEEKDAY(DATE(PlanYear,11,1),2)-1)/7)+1,MOD(10+WEEKDAY(DATE(PlanYear,11,1),2)-1,7)+1)=AH$5,", "&amp;11,"")&amp;IF(INDEX($I$57:$O$67,2*INT((11+WEEKDAY(DATE(PlanYear,11,1),2)-1)/7)+1,MOD(11+WEEKDAY(DATE(PlanYear,11,1),2)-1,7)+1)=AH$5,", "&amp;12,"")&amp;IF(INDEX($I$57:$O$67,2*INT((12+WEEKDAY(DATE(PlanYear,11,1),2)-1)/7)+1,MOD(12+WEEKDAY(DATE(PlanYear,11,1),2)-1,7)+1)=AH$5,", "&amp;13,"")&amp;IF(INDEX($I$57:$O$67,2*INT((13+WEEKDAY(DATE(PlanYear,11,1),2)-1)/7)+1,MOD(13+WEEKDAY(DATE(PlanYear,11,1),2)-1,7)+1)=AH$5,", "&amp;14,"")&amp;IF(INDEX($I$57:$O$67,2*INT((14+WEEKDAY(DATE(PlanYear,11,1),2)-1)/7)+1,MOD(14+WEEKDAY(DATE(PlanYear,11,1),2)-1,7)+1)=AH$5,", "&amp;15,"")&amp;IF(INDEX($I$57:$O$67,2*INT((15+WEEKDAY(DATE(PlanYear,11,1),2)-1)/7)+1,MOD(15+WEEKDAY(DATE(PlanYear,11,1),2)-1,7)+1)=AH$5,", "&amp;16,"")&amp;IF(INDEX($I$57:$O$67,2*INT((16+WEEKDAY(DATE(PlanYear,11,1),2)-1)/7)+1,MOD(16+WEEKDAY(DATE(PlanYear,11,1),2)-1,7)+1)=AH$5,", "&amp;17,"")&amp;IF(INDEX($I$57:$O$67,2*INT((17+WEEKDAY(DATE(PlanYear,11,1),2)-1)/7)+1,MOD(17+WEEKDAY(DATE(PlanYear,11,1),2)-1,7)+1)=AH$5,", "&amp;18,"")&amp;IF(INDEX($I$57:$O$67,2*INT((18+WEEKDAY(DATE(PlanYear,11,1),2)-1)/7)+1,MOD(18+WEEKDAY(DATE(PlanYear,11,1),2)-1,7)+1)=AH$5,", "&amp;19,"")&amp;IF(INDEX($I$57:$O$67,2*INT((19+WEEKDAY(DATE(PlanYear,11,1),2)-1)/7)+1,MOD(19+WEEKDAY(DATE(PlanYear,11,1),2)-1,7)+1)=AH$5,", "&amp;20,"")&amp;IF(INDEX($I$57:$O$67,2*INT((20+WEEKDAY(DATE(PlanYear,11,1),2)-1)/7)+1,MOD(20+WEEKDAY(DATE(PlanYear,11,1),2)-1,7)+1)=AH$5,", "&amp;21,"")&amp;IF(INDEX($I$57:$O$67,2*INT((21+WEEKDAY(DATE(PlanYear,11,1),2)-1)/7)+1,MOD(21+WEEKDAY(DATE(PlanYear,11,1),2)-1,7)+1)=AH$5,", "&amp;22,"")&amp;IF(INDEX($I$57:$O$67,2*INT((22+WEEKDAY(DATE(PlanYear,11,1),2)-1)/7)+1,MOD(22+WEEKDAY(DATE(PlanYear,11,1),2)-1,7)+1)=AH$5,", "&amp;23,"")&amp;IF(INDEX($I$57:$O$67,2*INT((23+WEEKDAY(DATE(PlanYear,11,1),2)-1)/7)+1,MOD(23+WEEKDAY(DATE(PlanYear,11,1),2)-1,7)+1)=AH$5,", "&amp;24,"")&amp;IF(INDEX($I$57:$O$67,2*INT((24+WEEKDAY(DATE(PlanYear,11,1),2)-1)/7)+1,MOD(24+WEEKDAY(DATE(PlanYear,11,1),2)-1,7)+1)=AH$5,", "&amp;25,"")&amp;IF(INDEX($I$57:$O$67,2*INT((25+WEEKDAY(DATE(PlanYear,11,1),2)-1)/7)+1,MOD(25+WEEKDAY(DATE(PlanYear,11,1),2)-1,7)+1)=AH$5,", "&amp;26,"")&amp;IF(INDEX($I$57:$O$67,2*INT((26+WEEKDAY(DATE(PlanYear,11,1),2)-1)/7)+1,MOD(26+WEEKDAY(DATE(PlanYear,11,1),2)-1,7)+1)=AH$5,", "&amp;27,"")&amp;IF(INDEX($I$57:$O$67,2*INT((27+WEEKDAY(DATE(PlanYear,11,1),2)-1)/7)+1,MOD(27+WEEKDAY(DATE(PlanYear,11,1),2)-1,7)+1)=AH$5,", "&amp;28,"")&amp;IF(INDEX($I$57:$O$67,2*INT((28+WEEKDAY(DATE(PlanYear,11,1),2)-1)/7)+1,MOD(28+WEEKDAY(DATE(PlanYear,11,1),2)-1,7)+1)=AH$5,", "&amp;29,"")&amp;IF(INDEX($I$57:$O$67,2*INT((29+WEEKDAY(DATE(PlanYear,11,1),2)-1)/7)+1,MOD(29+WEEKDAY(DATE(PlanYear,11,1),2)-1,7)+1)=AH$5,", "&amp;30,"")&amp;IF(INDEX($I$57:$O$67,2*INT((30+WEEKDAY(DATE(PlanYear,11,1),2)-1)/7)+1,MOD(30+WEEKDAY(DATE(PlanYear,11,1),2)-1,7)+1)=AH$5,", "&amp;31,""),3,200))</f>
        <v/>
      </c>
      <c r="AI16" s="16">
        <f>IF(AI$5="","",MID(IF(INDEX($I$57:$O$67,2*INT((0+WEEKDAY(DATE(PlanYear,11,1),2)-1)/7)+1,MOD(0+WEEKDAY(DATE(PlanYear,11,1),2)-1,7)+1)=AI$5,", "&amp;1,"")&amp;IF(INDEX($I$57:$O$67,2*INT((1+WEEKDAY(DATE(PlanYear,11,1),2)-1)/7)+1,MOD(1+WEEKDAY(DATE(PlanYear,11,1),2)-1,7)+1)=AI$5,", "&amp;2,"")&amp;IF(INDEX($I$57:$O$67,2*INT((2+WEEKDAY(DATE(PlanYear,11,1),2)-1)/7)+1,MOD(2+WEEKDAY(DATE(PlanYear,11,1),2)-1,7)+1)=AI$5,", "&amp;3,"")&amp;IF(INDEX($I$57:$O$67,2*INT((3+WEEKDAY(DATE(PlanYear,11,1),2)-1)/7)+1,MOD(3+WEEKDAY(DATE(PlanYear,11,1),2)-1,7)+1)=AI$5,", "&amp;4,"")&amp;IF(INDEX($I$57:$O$67,2*INT((4+WEEKDAY(DATE(PlanYear,11,1),2)-1)/7)+1,MOD(4+WEEKDAY(DATE(PlanYear,11,1),2)-1,7)+1)=AI$5,", "&amp;5,"")&amp;IF(INDEX($I$57:$O$67,2*INT((5+WEEKDAY(DATE(PlanYear,11,1),2)-1)/7)+1,MOD(5+WEEKDAY(DATE(PlanYear,11,1),2)-1,7)+1)=AI$5,", "&amp;6,"")&amp;IF(INDEX($I$57:$O$67,2*INT((6+WEEKDAY(DATE(PlanYear,11,1),2)-1)/7)+1,MOD(6+WEEKDAY(DATE(PlanYear,11,1),2)-1,7)+1)=AI$5,", "&amp;7,"")&amp;IF(INDEX($I$57:$O$67,2*INT((7+WEEKDAY(DATE(PlanYear,11,1),2)-1)/7)+1,MOD(7+WEEKDAY(DATE(PlanYear,11,1),2)-1,7)+1)=AI$5,", "&amp;8,"")&amp;IF(INDEX($I$57:$O$67,2*INT((8+WEEKDAY(DATE(PlanYear,11,1),2)-1)/7)+1,MOD(8+WEEKDAY(DATE(PlanYear,11,1),2)-1,7)+1)=AI$5,", "&amp;9,"")&amp;IF(INDEX($I$57:$O$67,2*INT((9+WEEKDAY(DATE(PlanYear,11,1),2)-1)/7)+1,MOD(9+WEEKDAY(DATE(PlanYear,11,1),2)-1,7)+1)=AI$5,", "&amp;10,"")&amp;IF(INDEX($I$57:$O$67,2*INT((10+WEEKDAY(DATE(PlanYear,11,1),2)-1)/7)+1,MOD(10+WEEKDAY(DATE(PlanYear,11,1),2)-1,7)+1)=AI$5,", "&amp;11,"")&amp;IF(INDEX($I$57:$O$67,2*INT((11+WEEKDAY(DATE(PlanYear,11,1),2)-1)/7)+1,MOD(11+WEEKDAY(DATE(PlanYear,11,1),2)-1,7)+1)=AI$5,", "&amp;12,"")&amp;IF(INDEX($I$57:$O$67,2*INT((12+WEEKDAY(DATE(PlanYear,11,1),2)-1)/7)+1,MOD(12+WEEKDAY(DATE(PlanYear,11,1),2)-1,7)+1)=AI$5,", "&amp;13,"")&amp;IF(INDEX($I$57:$O$67,2*INT((13+WEEKDAY(DATE(PlanYear,11,1),2)-1)/7)+1,MOD(13+WEEKDAY(DATE(PlanYear,11,1),2)-1,7)+1)=AI$5,", "&amp;14,"")&amp;IF(INDEX($I$57:$O$67,2*INT((14+WEEKDAY(DATE(PlanYear,11,1),2)-1)/7)+1,MOD(14+WEEKDAY(DATE(PlanYear,11,1),2)-1,7)+1)=AI$5,", "&amp;15,"")&amp;IF(INDEX($I$57:$O$67,2*INT((15+WEEKDAY(DATE(PlanYear,11,1),2)-1)/7)+1,MOD(15+WEEKDAY(DATE(PlanYear,11,1),2)-1,7)+1)=AI$5,", "&amp;16,"")&amp;IF(INDEX($I$57:$O$67,2*INT((16+WEEKDAY(DATE(PlanYear,11,1),2)-1)/7)+1,MOD(16+WEEKDAY(DATE(PlanYear,11,1),2)-1,7)+1)=AI$5,", "&amp;17,"")&amp;IF(INDEX($I$57:$O$67,2*INT((17+WEEKDAY(DATE(PlanYear,11,1),2)-1)/7)+1,MOD(17+WEEKDAY(DATE(PlanYear,11,1),2)-1,7)+1)=AI$5,", "&amp;18,"")&amp;IF(INDEX($I$57:$O$67,2*INT((18+WEEKDAY(DATE(PlanYear,11,1),2)-1)/7)+1,MOD(18+WEEKDAY(DATE(PlanYear,11,1),2)-1,7)+1)=AI$5,", "&amp;19,"")&amp;IF(INDEX($I$57:$O$67,2*INT((19+WEEKDAY(DATE(PlanYear,11,1),2)-1)/7)+1,MOD(19+WEEKDAY(DATE(PlanYear,11,1),2)-1,7)+1)=AI$5,", "&amp;20,"")&amp;IF(INDEX($I$57:$O$67,2*INT((20+WEEKDAY(DATE(PlanYear,11,1),2)-1)/7)+1,MOD(20+WEEKDAY(DATE(PlanYear,11,1),2)-1,7)+1)=AI$5,", "&amp;21,"")&amp;IF(INDEX($I$57:$O$67,2*INT((21+WEEKDAY(DATE(PlanYear,11,1),2)-1)/7)+1,MOD(21+WEEKDAY(DATE(PlanYear,11,1),2)-1,7)+1)=AI$5,", "&amp;22,"")&amp;IF(INDEX($I$57:$O$67,2*INT((22+WEEKDAY(DATE(PlanYear,11,1),2)-1)/7)+1,MOD(22+WEEKDAY(DATE(PlanYear,11,1),2)-1,7)+1)=AI$5,", "&amp;23,"")&amp;IF(INDEX($I$57:$O$67,2*INT((23+WEEKDAY(DATE(PlanYear,11,1),2)-1)/7)+1,MOD(23+WEEKDAY(DATE(PlanYear,11,1),2)-1,7)+1)=AI$5,", "&amp;24,"")&amp;IF(INDEX($I$57:$O$67,2*INT((24+WEEKDAY(DATE(PlanYear,11,1),2)-1)/7)+1,MOD(24+WEEKDAY(DATE(PlanYear,11,1),2)-1,7)+1)=AI$5,", "&amp;25,"")&amp;IF(INDEX($I$57:$O$67,2*INT((25+WEEKDAY(DATE(PlanYear,11,1),2)-1)/7)+1,MOD(25+WEEKDAY(DATE(PlanYear,11,1),2)-1,7)+1)=AI$5,", "&amp;26,"")&amp;IF(INDEX($I$57:$O$67,2*INT((26+WEEKDAY(DATE(PlanYear,11,1),2)-1)/7)+1,MOD(26+WEEKDAY(DATE(PlanYear,11,1),2)-1,7)+1)=AI$5,", "&amp;27,"")&amp;IF(INDEX($I$57:$O$67,2*INT((27+WEEKDAY(DATE(PlanYear,11,1),2)-1)/7)+1,MOD(27+WEEKDAY(DATE(PlanYear,11,1),2)-1,7)+1)=AI$5,", "&amp;28,"")&amp;IF(INDEX($I$57:$O$67,2*INT((28+WEEKDAY(DATE(PlanYear,11,1),2)-1)/7)+1,MOD(28+WEEKDAY(DATE(PlanYear,11,1),2)-1,7)+1)=AI$5,", "&amp;29,"")&amp;IF(INDEX($I$57:$O$67,2*INT((29+WEEKDAY(DATE(PlanYear,11,1),2)-1)/7)+1,MOD(29+WEEKDAY(DATE(PlanYear,11,1),2)-1,7)+1)=AI$5,", "&amp;30,"")&amp;IF(INDEX($I$57:$O$67,2*INT((30+WEEKDAY(DATE(PlanYear,11,1),2)-1)/7)+1,MOD(30+WEEKDAY(DATE(PlanYear,11,1),2)-1,7)+1)=AI$5,", "&amp;31,""),3,200))</f>
        <v/>
      </c>
      <c r="AJ16" s="16">
        <f>IF(AJ$5="","",MID(IF(INDEX($I$57:$O$67,2*INT((0+WEEKDAY(DATE(PlanYear,11,1),2)-1)/7)+1,MOD(0+WEEKDAY(DATE(PlanYear,11,1),2)-1,7)+1)=AJ$5,", "&amp;1,"")&amp;IF(INDEX($I$57:$O$67,2*INT((1+WEEKDAY(DATE(PlanYear,11,1),2)-1)/7)+1,MOD(1+WEEKDAY(DATE(PlanYear,11,1),2)-1,7)+1)=AJ$5,", "&amp;2,"")&amp;IF(INDEX($I$57:$O$67,2*INT((2+WEEKDAY(DATE(PlanYear,11,1),2)-1)/7)+1,MOD(2+WEEKDAY(DATE(PlanYear,11,1),2)-1,7)+1)=AJ$5,", "&amp;3,"")&amp;IF(INDEX($I$57:$O$67,2*INT((3+WEEKDAY(DATE(PlanYear,11,1),2)-1)/7)+1,MOD(3+WEEKDAY(DATE(PlanYear,11,1),2)-1,7)+1)=AJ$5,", "&amp;4,"")&amp;IF(INDEX($I$57:$O$67,2*INT((4+WEEKDAY(DATE(PlanYear,11,1),2)-1)/7)+1,MOD(4+WEEKDAY(DATE(PlanYear,11,1),2)-1,7)+1)=AJ$5,", "&amp;5,"")&amp;IF(INDEX($I$57:$O$67,2*INT((5+WEEKDAY(DATE(PlanYear,11,1),2)-1)/7)+1,MOD(5+WEEKDAY(DATE(PlanYear,11,1),2)-1,7)+1)=AJ$5,", "&amp;6,"")&amp;IF(INDEX($I$57:$O$67,2*INT((6+WEEKDAY(DATE(PlanYear,11,1),2)-1)/7)+1,MOD(6+WEEKDAY(DATE(PlanYear,11,1),2)-1,7)+1)=AJ$5,", "&amp;7,"")&amp;IF(INDEX($I$57:$O$67,2*INT((7+WEEKDAY(DATE(PlanYear,11,1),2)-1)/7)+1,MOD(7+WEEKDAY(DATE(PlanYear,11,1),2)-1,7)+1)=AJ$5,", "&amp;8,"")&amp;IF(INDEX($I$57:$O$67,2*INT((8+WEEKDAY(DATE(PlanYear,11,1),2)-1)/7)+1,MOD(8+WEEKDAY(DATE(PlanYear,11,1),2)-1,7)+1)=AJ$5,", "&amp;9,"")&amp;IF(INDEX($I$57:$O$67,2*INT((9+WEEKDAY(DATE(PlanYear,11,1),2)-1)/7)+1,MOD(9+WEEKDAY(DATE(PlanYear,11,1),2)-1,7)+1)=AJ$5,", "&amp;10,"")&amp;IF(INDEX($I$57:$O$67,2*INT((10+WEEKDAY(DATE(PlanYear,11,1),2)-1)/7)+1,MOD(10+WEEKDAY(DATE(PlanYear,11,1),2)-1,7)+1)=AJ$5,", "&amp;11,"")&amp;IF(INDEX($I$57:$O$67,2*INT((11+WEEKDAY(DATE(PlanYear,11,1),2)-1)/7)+1,MOD(11+WEEKDAY(DATE(PlanYear,11,1),2)-1,7)+1)=AJ$5,", "&amp;12,"")&amp;IF(INDEX($I$57:$O$67,2*INT((12+WEEKDAY(DATE(PlanYear,11,1),2)-1)/7)+1,MOD(12+WEEKDAY(DATE(PlanYear,11,1),2)-1,7)+1)=AJ$5,", "&amp;13,"")&amp;IF(INDEX($I$57:$O$67,2*INT((13+WEEKDAY(DATE(PlanYear,11,1),2)-1)/7)+1,MOD(13+WEEKDAY(DATE(PlanYear,11,1),2)-1,7)+1)=AJ$5,", "&amp;14,"")&amp;IF(INDEX($I$57:$O$67,2*INT((14+WEEKDAY(DATE(PlanYear,11,1),2)-1)/7)+1,MOD(14+WEEKDAY(DATE(PlanYear,11,1),2)-1,7)+1)=AJ$5,", "&amp;15,"")&amp;IF(INDEX($I$57:$O$67,2*INT((15+WEEKDAY(DATE(PlanYear,11,1),2)-1)/7)+1,MOD(15+WEEKDAY(DATE(PlanYear,11,1),2)-1,7)+1)=AJ$5,", "&amp;16,"")&amp;IF(INDEX($I$57:$O$67,2*INT((16+WEEKDAY(DATE(PlanYear,11,1),2)-1)/7)+1,MOD(16+WEEKDAY(DATE(PlanYear,11,1),2)-1,7)+1)=AJ$5,", "&amp;17,"")&amp;IF(INDEX($I$57:$O$67,2*INT((17+WEEKDAY(DATE(PlanYear,11,1),2)-1)/7)+1,MOD(17+WEEKDAY(DATE(PlanYear,11,1),2)-1,7)+1)=AJ$5,", "&amp;18,"")&amp;IF(INDEX($I$57:$O$67,2*INT((18+WEEKDAY(DATE(PlanYear,11,1),2)-1)/7)+1,MOD(18+WEEKDAY(DATE(PlanYear,11,1),2)-1,7)+1)=AJ$5,", "&amp;19,"")&amp;IF(INDEX($I$57:$O$67,2*INT((19+WEEKDAY(DATE(PlanYear,11,1),2)-1)/7)+1,MOD(19+WEEKDAY(DATE(PlanYear,11,1),2)-1,7)+1)=AJ$5,", "&amp;20,"")&amp;IF(INDEX($I$57:$O$67,2*INT((20+WEEKDAY(DATE(PlanYear,11,1),2)-1)/7)+1,MOD(20+WEEKDAY(DATE(PlanYear,11,1),2)-1,7)+1)=AJ$5,", "&amp;21,"")&amp;IF(INDEX($I$57:$O$67,2*INT((21+WEEKDAY(DATE(PlanYear,11,1),2)-1)/7)+1,MOD(21+WEEKDAY(DATE(PlanYear,11,1),2)-1,7)+1)=AJ$5,", "&amp;22,"")&amp;IF(INDEX($I$57:$O$67,2*INT((22+WEEKDAY(DATE(PlanYear,11,1),2)-1)/7)+1,MOD(22+WEEKDAY(DATE(PlanYear,11,1),2)-1,7)+1)=AJ$5,", "&amp;23,"")&amp;IF(INDEX($I$57:$O$67,2*INT((23+WEEKDAY(DATE(PlanYear,11,1),2)-1)/7)+1,MOD(23+WEEKDAY(DATE(PlanYear,11,1),2)-1,7)+1)=AJ$5,", "&amp;24,"")&amp;IF(INDEX($I$57:$O$67,2*INT((24+WEEKDAY(DATE(PlanYear,11,1),2)-1)/7)+1,MOD(24+WEEKDAY(DATE(PlanYear,11,1),2)-1,7)+1)=AJ$5,", "&amp;25,"")&amp;IF(INDEX($I$57:$O$67,2*INT((25+WEEKDAY(DATE(PlanYear,11,1),2)-1)/7)+1,MOD(25+WEEKDAY(DATE(PlanYear,11,1),2)-1,7)+1)=AJ$5,", "&amp;26,"")&amp;IF(INDEX($I$57:$O$67,2*INT((26+WEEKDAY(DATE(PlanYear,11,1),2)-1)/7)+1,MOD(26+WEEKDAY(DATE(PlanYear,11,1),2)-1,7)+1)=AJ$5,", "&amp;27,"")&amp;IF(INDEX($I$57:$O$67,2*INT((27+WEEKDAY(DATE(PlanYear,11,1),2)-1)/7)+1,MOD(27+WEEKDAY(DATE(PlanYear,11,1),2)-1,7)+1)=AJ$5,", "&amp;28,"")&amp;IF(INDEX($I$57:$O$67,2*INT((28+WEEKDAY(DATE(PlanYear,11,1),2)-1)/7)+1,MOD(28+WEEKDAY(DATE(PlanYear,11,1),2)-1,7)+1)=AJ$5,", "&amp;29,"")&amp;IF(INDEX($I$57:$O$67,2*INT((29+WEEKDAY(DATE(PlanYear,11,1),2)-1)/7)+1,MOD(29+WEEKDAY(DATE(PlanYear,11,1),2)-1,7)+1)=AJ$5,", "&amp;30,"")&amp;IF(INDEX($I$57:$O$67,2*INT((30+WEEKDAY(DATE(PlanYear,11,1),2)-1)/7)+1,MOD(30+WEEKDAY(DATE(PlanYear,11,1),2)-1,7)+1)=AJ$5,", "&amp;31,""),3,200))</f>
        <v/>
      </c>
      <c r="AK16" s="17">
        <f>DAY(EOMONTH(DATE(PlanYear,11,1),0))-COUNTIF($I$57:$O$67,"?*")</f>
        <v/>
      </c>
    </row>
    <row r="17" ht="26" customHeight="1">
      <c r="A17" s="21" t="n"/>
      <c r="B17" s="21" t="n"/>
      <c r="C17" s="21" t="n"/>
      <c r="D17" s="21" t="n"/>
      <c r="E17" s="21" t="n"/>
      <c r="F17" s="21" t="n"/>
      <c r="G17" s="21" t="n"/>
      <c r="I17" s="21" t="n"/>
      <c r="J17" s="21" t="n"/>
      <c r="K17" s="21" t="n"/>
      <c r="L17" s="21" t="n"/>
      <c r="M17" s="21" t="n"/>
      <c r="N17" s="21" t="n"/>
      <c r="O17" s="21" t="n"/>
      <c r="Q17" s="21" t="n"/>
      <c r="R17" s="21" t="n"/>
      <c r="S17" s="21" t="n"/>
      <c r="T17" s="21" t="n"/>
      <c r="U17" s="21" t="n"/>
      <c r="V17" s="21" t="n"/>
      <c r="W17" s="21" t="n"/>
      <c r="Z17" s="15" t="inlineStr">
        <is>
          <t>December</t>
        </is>
      </c>
      <c r="AA17" s="16">
        <f>IF(AA$5="","",MID(IF(INDEX($Q$57:$W$67,2*INT((0+WEEKDAY(DATE(PlanYear,12,1),2)-1)/7)+1,MOD(0+WEEKDAY(DATE(PlanYear,12,1),2)-1,7)+1)=AA$5,", "&amp;1,"")&amp;IF(INDEX($Q$57:$W$67,2*INT((1+WEEKDAY(DATE(PlanYear,12,1),2)-1)/7)+1,MOD(1+WEEKDAY(DATE(PlanYear,12,1),2)-1,7)+1)=AA$5,", "&amp;2,"")&amp;IF(INDEX($Q$57:$W$67,2*INT((2+WEEKDAY(DATE(PlanYear,12,1),2)-1)/7)+1,MOD(2+WEEKDAY(DATE(PlanYear,12,1),2)-1,7)+1)=AA$5,", "&amp;3,"")&amp;IF(INDEX($Q$57:$W$67,2*INT((3+WEEKDAY(DATE(PlanYear,12,1),2)-1)/7)+1,MOD(3+WEEKDAY(DATE(PlanYear,12,1),2)-1,7)+1)=AA$5,", "&amp;4,"")&amp;IF(INDEX($Q$57:$W$67,2*INT((4+WEEKDAY(DATE(PlanYear,12,1),2)-1)/7)+1,MOD(4+WEEKDAY(DATE(PlanYear,12,1),2)-1,7)+1)=AA$5,", "&amp;5,"")&amp;IF(INDEX($Q$57:$W$67,2*INT((5+WEEKDAY(DATE(PlanYear,12,1),2)-1)/7)+1,MOD(5+WEEKDAY(DATE(PlanYear,12,1),2)-1,7)+1)=AA$5,", "&amp;6,"")&amp;IF(INDEX($Q$57:$W$67,2*INT((6+WEEKDAY(DATE(PlanYear,12,1),2)-1)/7)+1,MOD(6+WEEKDAY(DATE(PlanYear,12,1),2)-1,7)+1)=AA$5,", "&amp;7,"")&amp;IF(INDEX($Q$57:$W$67,2*INT((7+WEEKDAY(DATE(PlanYear,12,1),2)-1)/7)+1,MOD(7+WEEKDAY(DATE(PlanYear,12,1),2)-1,7)+1)=AA$5,", "&amp;8,"")&amp;IF(INDEX($Q$57:$W$67,2*INT((8+WEEKDAY(DATE(PlanYear,12,1),2)-1)/7)+1,MOD(8+WEEKDAY(DATE(PlanYear,12,1),2)-1,7)+1)=AA$5,", "&amp;9,"")&amp;IF(INDEX($Q$57:$W$67,2*INT((9+WEEKDAY(DATE(PlanYear,12,1),2)-1)/7)+1,MOD(9+WEEKDAY(DATE(PlanYear,12,1),2)-1,7)+1)=AA$5,", "&amp;10,"")&amp;IF(INDEX($Q$57:$W$67,2*INT((10+WEEKDAY(DATE(PlanYear,12,1),2)-1)/7)+1,MOD(10+WEEKDAY(DATE(PlanYear,12,1),2)-1,7)+1)=AA$5,", "&amp;11,"")&amp;IF(INDEX($Q$57:$W$67,2*INT((11+WEEKDAY(DATE(PlanYear,12,1),2)-1)/7)+1,MOD(11+WEEKDAY(DATE(PlanYear,12,1),2)-1,7)+1)=AA$5,", "&amp;12,"")&amp;IF(INDEX($Q$57:$W$67,2*INT((12+WEEKDAY(DATE(PlanYear,12,1),2)-1)/7)+1,MOD(12+WEEKDAY(DATE(PlanYear,12,1),2)-1,7)+1)=AA$5,", "&amp;13,"")&amp;IF(INDEX($Q$57:$W$67,2*INT((13+WEEKDAY(DATE(PlanYear,12,1),2)-1)/7)+1,MOD(13+WEEKDAY(DATE(PlanYear,12,1),2)-1,7)+1)=AA$5,", "&amp;14,"")&amp;IF(INDEX($Q$57:$W$67,2*INT((14+WEEKDAY(DATE(PlanYear,12,1),2)-1)/7)+1,MOD(14+WEEKDAY(DATE(PlanYear,12,1),2)-1,7)+1)=AA$5,", "&amp;15,"")&amp;IF(INDEX($Q$57:$W$67,2*INT((15+WEEKDAY(DATE(PlanYear,12,1),2)-1)/7)+1,MOD(15+WEEKDAY(DATE(PlanYear,12,1),2)-1,7)+1)=AA$5,", "&amp;16,"")&amp;IF(INDEX($Q$57:$W$67,2*INT((16+WEEKDAY(DATE(PlanYear,12,1),2)-1)/7)+1,MOD(16+WEEKDAY(DATE(PlanYear,12,1),2)-1,7)+1)=AA$5,", "&amp;17,"")&amp;IF(INDEX($Q$57:$W$67,2*INT((17+WEEKDAY(DATE(PlanYear,12,1),2)-1)/7)+1,MOD(17+WEEKDAY(DATE(PlanYear,12,1),2)-1,7)+1)=AA$5,", "&amp;18,"")&amp;IF(INDEX($Q$57:$W$67,2*INT((18+WEEKDAY(DATE(PlanYear,12,1),2)-1)/7)+1,MOD(18+WEEKDAY(DATE(PlanYear,12,1),2)-1,7)+1)=AA$5,", "&amp;19,"")&amp;IF(INDEX($Q$57:$W$67,2*INT((19+WEEKDAY(DATE(PlanYear,12,1),2)-1)/7)+1,MOD(19+WEEKDAY(DATE(PlanYear,12,1),2)-1,7)+1)=AA$5,", "&amp;20,"")&amp;IF(INDEX($Q$57:$W$67,2*INT((20+WEEKDAY(DATE(PlanYear,12,1),2)-1)/7)+1,MOD(20+WEEKDAY(DATE(PlanYear,12,1),2)-1,7)+1)=AA$5,", "&amp;21,"")&amp;IF(INDEX($Q$57:$W$67,2*INT((21+WEEKDAY(DATE(PlanYear,12,1),2)-1)/7)+1,MOD(21+WEEKDAY(DATE(PlanYear,12,1),2)-1,7)+1)=AA$5,", "&amp;22,"")&amp;IF(INDEX($Q$57:$W$67,2*INT((22+WEEKDAY(DATE(PlanYear,12,1),2)-1)/7)+1,MOD(22+WEEKDAY(DATE(PlanYear,12,1),2)-1,7)+1)=AA$5,", "&amp;23,"")&amp;IF(INDEX($Q$57:$W$67,2*INT((23+WEEKDAY(DATE(PlanYear,12,1),2)-1)/7)+1,MOD(23+WEEKDAY(DATE(PlanYear,12,1),2)-1,7)+1)=AA$5,", "&amp;24,"")&amp;IF(INDEX($Q$57:$W$67,2*INT((24+WEEKDAY(DATE(PlanYear,12,1),2)-1)/7)+1,MOD(24+WEEKDAY(DATE(PlanYear,12,1),2)-1,7)+1)=AA$5,", "&amp;25,"")&amp;IF(INDEX($Q$57:$W$67,2*INT((25+WEEKDAY(DATE(PlanYear,12,1),2)-1)/7)+1,MOD(25+WEEKDAY(DATE(PlanYear,12,1),2)-1,7)+1)=AA$5,", "&amp;26,"")&amp;IF(INDEX($Q$57:$W$67,2*INT((26+WEEKDAY(DATE(PlanYear,12,1),2)-1)/7)+1,MOD(26+WEEKDAY(DATE(PlanYear,12,1),2)-1,7)+1)=AA$5,", "&amp;27,"")&amp;IF(INDEX($Q$57:$W$67,2*INT((27+WEEKDAY(DATE(PlanYear,12,1),2)-1)/7)+1,MOD(27+WEEKDAY(DATE(PlanYear,12,1),2)-1,7)+1)=AA$5,", "&amp;28,"")&amp;IF(INDEX($Q$57:$W$67,2*INT((28+WEEKDAY(DATE(PlanYear,12,1),2)-1)/7)+1,MOD(28+WEEKDAY(DATE(PlanYear,12,1),2)-1,7)+1)=AA$5,", "&amp;29,"")&amp;IF(INDEX($Q$57:$W$67,2*INT((29+WEEKDAY(DATE(PlanYear,12,1),2)-1)/7)+1,MOD(29+WEEKDAY(DATE(PlanYear,12,1),2)-1,7)+1)=AA$5,", "&amp;30,"")&amp;IF(INDEX($Q$57:$W$67,2*INT((30+WEEKDAY(DATE(PlanYear,12,1),2)-1)/7)+1,MOD(30+WEEKDAY(DATE(PlanYear,12,1),2)-1,7)+1)=AA$5,", "&amp;31,""),3,200))</f>
        <v/>
      </c>
      <c r="AB17" s="16">
        <f>IF(AB$5="","",MID(IF(INDEX($Q$57:$W$67,2*INT((0+WEEKDAY(DATE(PlanYear,12,1),2)-1)/7)+1,MOD(0+WEEKDAY(DATE(PlanYear,12,1),2)-1,7)+1)=AB$5,", "&amp;1,"")&amp;IF(INDEX($Q$57:$W$67,2*INT((1+WEEKDAY(DATE(PlanYear,12,1),2)-1)/7)+1,MOD(1+WEEKDAY(DATE(PlanYear,12,1),2)-1,7)+1)=AB$5,", "&amp;2,"")&amp;IF(INDEX($Q$57:$W$67,2*INT((2+WEEKDAY(DATE(PlanYear,12,1),2)-1)/7)+1,MOD(2+WEEKDAY(DATE(PlanYear,12,1),2)-1,7)+1)=AB$5,", "&amp;3,"")&amp;IF(INDEX($Q$57:$W$67,2*INT((3+WEEKDAY(DATE(PlanYear,12,1),2)-1)/7)+1,MOD(3+WEEKDAY(DATE(PlanYear,12,1),2)-1,7)+1)=AB$5,", "&amp;4,"")&amp;IF(INDEX($Q$57:$W$67,2*INT((4+WEEKDAY(DATE(PlanYear,12,1),2)-1)/7)+1,MOD(4+WEEKDAY(DATE(PlanYear,12,1),2)-1,7)+1)=AB$5,", "&amp;5,"")&amp;IF(INDEX($Q$57:$W$67,2*INT((5+WEEKDAY(DATE(PlanYear,12,1),2)-1)/7)+1,MOD(5+WEEKDAY(DATE(PlanYear,12,1),2)-1,7)+1)=AB$5,", "&amp;6,"")&amp;IF(INDEX($Q$57:$W$67,2*INT((6+WEEKDAY(DATE(PlanYear,12,1),2)-1)/7)+1,MOD(6+WEEKDAY(DATE(PlanYear,12,1),2)-1,7)+1)=AB$5,", "&amp;7,"")&amp;IF(INDEX($Q$57:$W$67,2*INT((7+WEEKDAY(DATE(PlanYear,12,1),2)-1)/7)+1,MOD(7+WEEKDAY(DATE(PlanYear,12,1),2)-1,7)+1)=AB$5,", "&amp;8,"")&amp;IF(INDEX($Q$57:$W$67,2*INT((8+WEEKDAY(DATE(PlanYear,12,1),2)-1)/7)+1,MOD(8+WEEKDAY(DATE(PlanYear,12,1),2)-1,7)+1)=AB$5,", "&amp;9,"")&amp;IF(INDEX($Q$57:$W$67,2*INT((9+WEEKDAY(DATE(PlanYear,12,1),2)-1)/7)+1,MOD(9+WEEKDAY(DATE(PlanYear,12,1),2)-1,7)+1)=AB$5,", "&amp;10,"")&amp;IF(INDEX($Q$57:$W$67,2*INT((10+WEEKDAY(DATE(PlanYear,12,1),2)-1)/7)+1,MOD(10+WEEKDAY(DATE(PlanYear,12,1),2)-1,7)+1)=AB$5,", "&amp;11,"")&amp;IF(INDEX($Q$57:$W$67,2*INT((11+WEEKDAY(DATE(PlanYear,12,1),2)-1)/7)+1,MOD(11+WEEKDAY(DATE(PlanYear,12,1),2)-1,7)+1)=AB$5,", "&amp;12,"")&amp;IF(INDEX($Q$57:$W$67,2*INT((12+WEEKDAY(DATE(PlanYear,12,1),2)-1)/7)+1,MOD(12+WEEKDAY(DATE(PlanYear,12,1),2)-1,7)+1)=AB$5,", "&amp;13,"")&amp;IF(INDEX($Q$57:$W$67,2*INT((13+WEEKDAY(DATE(PlanYear,12,1),2)-1)/7)+1,MOD(13+WEEKDAY(DATE(PlanYear,12,1),2)-1,7)+1)=AB$5,", "&amp;14,"")&amp;IF(INDEX($Q$57:$W$67,2*INT((14+WEEKDAY(DATE(PlanYear,12,1),2)-1)/7)+1,MOD(14+WEEKDAY(DATE(PlanYear,12,1),2)-1,7)+1)=AB$5,", "&amp;15,"")&amp;IF(INDEX($Q$57:$W$67,2*INT((15+WEEKDAY(DATE(PlanYear,12,1),2)-1)/7)+1,MOD(15+WEEKDAY(DATE(PlanYear,12,1),2)-1,7)+1)=AB$5,", "&amp;16,"")&amp;IF(INDEX($Q$57:$W$67,2*INT((16+WEEKDAY(DATE(PlanYear,12,1),2)-1)/7)+1,MOD(16+WEEKDAY(DATE(PlanYear,12,1),2)-1,7)+1)=AB$5,", "&amp;17,"")&amp;IF(INDEX($Q$57:$W$67,2*INT((17+WEEKDAY(DATE(PlanYear,12,1),2)-1)/7)+1,MOD(17+WEEKDAY(DATE(PlanYear,12,1),2)-1,7)+1)=AB$5,", "&amp;18,"")&amp;IF(INDEX($Q$57:$W$67,2*INT((18+WEEKDAY(DATE(PlanYear,12,1),2)-1)/7)+1,MOD(18+WEEKDAY(DATE(PlanYear,12,1),2)-1,7)+1)=AB$5,", "&amp;19,"")&amp;IF(INDEX($Q$57:$W$67,2*INT((19+WEEKDAY(DATE(PlanYear,12,1),2)-1)/7)+1,MOD(19+WEEKDAY(DATE(PlanYear,12,1),2)-1,7)+1)=AB$5,", "&amp;20,"")&amp;IF(INDEX($Q$57:$W$67,2*INT((20+WEEKDAY(DATE(PlanYear,12,1),2)-1)/7)+1,MOD(20+WEEKDAY(DATE(PlanYear,12,1),2)-1,7)+1)=AB$5,", "&amp;21,"")&amp;IF(INDEX($Q$57:$W$67,2*INT((21+WEEKDAY(DATE(PlanYear,12,1),2)-1)/7)+1,MOD(21+WEEKDAY(DATE(PlanYear,12,1),2)-1,7)+1)=AB$5,", "&amp;22,"")&amp;IF(INDEX($Q$57:$W$67,2*INT((22+WEEKDAY(DATE(PlanYear,12,1),2)-1)/7)+1,MOD(22+WEEKDAY(DATE(PlanYear,12,1),2)-1,7)+1)=AB$5,", "&amp;23,"")&amp;IF(INDEX($Q$57:$W$67,2*INT((23+WEEKDAY(DATE(PlanYear,12,1),2)-1)/7)+1,MOD(23+WEEKDAY(DATE(PlanYear,12,1),2)-1,7)+1)=AB$5,", "&amp;24,"")&amp;IF(INDEX($Q$57:$W$67,2*INT((24+WEEKDAY(DATE(PlanYear,12,1),2)-1)/7)+1,MOD(24+WEEKDAY(DATE(PlanYear,12,1),2)-1,7)+1)=AB$5,", "&amp;25,"")&amp;IF(INDEX($Q$57:$W$67,2*INT((25+WEEKDAY(DATE(PlanYear,12,1),2)-1)/7)+1,MOD(25+WEEKDAY(DATE(PlanYear,12,1),2)-1,7)+1)=AB$5,", "&amp;26,"")&amp;IF(INDEX($Q$57:$W$67,2*INT((26+WEEKDAY(DATE(PlanYear,12,1),2)-1)/7)+1,MOD(26+WEEKDAY(DATE(PlanYear,12,1),2)-1,7)+1)=AB$5,", "&amp;27,"")&amp;IF(INDEX($Q$57:$W$67,2*INT((27+WEEKDAY(DATE(PlanYear,12,1),2)-1)/7)+1,MOD(27+WEEKDAY(DATE(PlanYear,12,1),2)-1,7)+1)=AB$5,", "&amp;28,"")&amp;IF(INDEX($Q$57:$W$67,2*INT((28+WEEKDAY(DATE(PlanYear,12,1),2)-1)/7)+1,MOD(28+WEEKDAY(DATE(PlanYear,12,1),2)-1,7)+1)=AB$5,", "&amp;29,"")&amp;IF(INDEX($Q$57:$W$67,2*INT((29+WEEKDAY(DATE(PlanYear,12,1),2)-1)/7)+1,MOD(29+WEEKDAY(DATE(PlanYear,12,1),2)-1,7)+1)=AB$5,", "&amp;30,"")&amp;IF(INDEX($Q$57:$W$67,2*INT((30+WEEKDAY(DATE(PlanYear,12,1),2)-1)/7)+1,MOD(30+WEEKDAY(DATE(PlanYear,12,1),2)-1,7)+1)=AB$5,", "&amp;31,""),3,200))</f>
        <v/>
      </c>
      <c r="AC17" s="16">
        <f>IF(AC$5="","",MID(IF(INDEX($Q$57:$W$67,2*INT((0+WEEKDAY(DATE(PlanYear,12,1),2)-1)/7)+1,MOD(0+WEEKDAY(DATE(PlanYear,12,1),2)-1,7)+1)=AC$5,", "&amp;1,"")&amp;IF(INDEX($Q$57:$W$67,2*INT((1+WEEKDAY(DATE(PlanYear,12,1),2)-1)/7)+1,MOD(1+WEEKDAY(DATE(PlanYear,12,1),2)-1,7)+1)=AC$5,", "&amp;2,"")&amp;IF(INDEX($Q$57:$W$67,2*INT((2+WEEKDAY(DATE(PlanYear,12,1),2)-1)/7)+1,MOD(2+WEEKDAY(DATE(PlanYear,12,1),2)-1,7)+1)=AC$5,", "&amp;3,"")&amp;IF(INDEX($Q$57:$W$67,2*INT((3+WEEKDAY(DATE(PlanYear,12,1),2)-1)/7)+1,MOD(3+WEEKDAY(DATE(PlanYear,12,1),2)-1,7)+1)=AC$5,", "&amp;4,"")&amp;IF(INDEX($Q$57:$W$67,2*INT((4+WEEKDAY(DATE(PlanYear,12,1),2)-1)/7)+1,MOD(4+WEEKDAY(DATE(PlanYear,12,1),2)-1,7)+1)=AC$5,", "&amp;5,"")&amp;IF(INDEX($Q$57:$W$67,2*INT((5+WEEKDAY(DATE(PlanYear,12,1),2)-1)/7)+1,MOD(5+WEEKDAY(DATE(PlanYear,12,1),2)-1,7)+1)=AC$5,", "&amp;6,"")&amp;IF(INDEX($Q$57:$W$67,2*INT((6+WEEKDAY(DATE(PlanYear,12,1),2)-1)/7)+1,MOD(6+WEEKDAY(DATE(PlanYear,12,1),2)-1,7)+1)=AC$5,", "&amp;7,"")&amp;IF(INDEX($Q$57:$W$67,2*INT((7+WEEKDAY(DATE(PlanYear,12,1),2)-1)/7)+1,MOD(7+WEEKDAY(DATE(PlanYear,12,1),2)-1,7)+1)=AC$5,", "&amp;8,"")&amp;IF(INDEX($Q$57:$W$67,2*INT((8+WEEKDAY(DATE(PlanYear,12,1),2)-1)/7)+1,MOD(8+WEEKDAY(DATE(PlanYear,12,1),2)-1,7)+1)=AC$5,", "&amp;9,"")&amp;IF(INDEX($Q$57:$W$67,2*INT((9+WEEKDAY(DATE(PlanYear,12,1),2)-1)/7)+1,MOD(9+WEEKDAY(DATE(PlanYear,12,1),2)-1,7)+1)=AC$5,", "&amp;10,"")&amp;IF(INDEX($Q$57:$W$67,2*INT((10+WEEKDAY(DATE(PlanYear,12,1),2)-1)/7)+1,MOD(10+WEEKDAY(DATE(PlanYear,12,1),2)-1,7)+1)=AC$5,", "&amp;11,"")&amp;IF(INDEX($Q$57:$W$67,2*INT((11+WEEKDAY(DATE(PlanYear,12,1),2)-1)/7)+1,MOD(11+WEEKDAY(DATE(PlanYear,12,1),2)-1,7)+1)=AC$5,", "&amp;12,"")&amp;IF(INDEX($Q$57:$W$67,2*INT((12+WEEKDAY(DATE(PlanYear,12,1),2)-1)/7)+1,MOD(12+WEEKDAY(DATE(PlanYear,12,1),2)-1,7)+1)=AC$5,", "&amp;13,"")&amp;IF(INDEX($Q$57:$W$67,2*INT((13+WEEKDAY(DATE(PlanYear,12,1),2)-1)/7)+1,MOD(13+WEEKDAY(DATE(PlanYear,12,1),2)-1,7)+1)=AC$5,", "&amp;14,"")&amp;IF(INDEX($Q$57:$W$67,2*INT((14+WEEKDAY(DATE(PlanYear,12,1),2)-1)/7)+1,MOD(14+WEEKDAY(DATE(PlanYear,12,1),2)-1,7)+1)=AC$5,", "&amp;15,"")&amp;IF(INDEX($Q$57:$W$67,2*INT((15+WEEKDAY(DATE(PlanYear,12,1),2)-1)/7)+1,MOD(15+WEEKDAY(DATE(PlanYear,12,1),2)-1,7)+1)=AC$5,", "&amp;16,"")&amp;IF(INDEX($Q$57:$W$67,2*INT((16+WEEKDAY(DATE(PlanYear,12,1),2)-1)/7)+1,MOD(16+WEEKDAY(DATE(PlanYear,12,1),2)-1,7)+1)=AC$5,", "&amp;17,"")&amp;IF(INDEX($Q$57:$W$67,2*INT((17+WEEKDAY(DATE(PlanYear,12,1),2)-1)/7)+1,MOD(17+WEEKDAY(DATE(PlanYear,12,1),2)-1,7)+1)=AC$5,", "&amp;18,"")&amp;IF(INDEX($Q$57:$W$67,2*INT((18+WEEKDAY(DATE(PlanYear,12,1),2)-1)/7)+1,MOD(18+WEEKDAY(DATE(PlanYear,12,1),2)-1,7)+1)=AC$5,", "&amp;19,"")&amp;IF(INDEX($Q$57:$W$67,2*INT((19+WEEKDAY(DATE(PlanYear,12,1),2)-1)/7)+1,MOD(19+WEEKDAY(DATE(PlanYear,12,1),2)-1,7)+1)=AC$5,", "&amp;20,"")&amp;IF(INDEX($Q$57:$W$67,2*INT((20+WEEKDAY(DATE(PlanYear,12,1),2)-1)/7)+1,MOD(20+WEEKDAY(DATE(PlanYear,12,1),2)-1,7)+1)=AC$5,", "&amp;21,"")&amp;IF(INDEX($Q$57:$W$67,2*INT((21+WEEKDAY(DATE(PlanYear,12,1),2)-1)/7)+1,MOD(21+WEEKDAY(DATE(PlanYear,12,1),2)-1,7)+1)=AC$5,", "&amp;22,"")&amp;IF(INDEX($Q$57:$W$67,2*INT((22+WEEKDAY(DATE(PlanYear,12,1),2)-1)/7)+1,MOD(22+WEEKDAY(DATE(PlanYear,12,1),2)-1,7)+1)=AC$5,", "&amp;23,"")&amp;IF(INDEX($Q$57:$W$67,2*INT((23+WEEKDAY(DATE(PlanYear,12,1),2)-1)/7)+1,MOD(23+WEEKDAY(DATE(PlanYear,12,1),2)-1,7)+1)=AC$5,", "&amp;24,"")&amp;IF(INDEX($Q$57:$W$67,2*INT((24+WEEKDAY(DATE(PlanYear,12,1),2)-1)/7)+1,MOD(24+WEEKDAY(DATE(PlanYear,12,1),2)-1,7)+1)=AC$5,", "&amp;25,"")&amp;IF(INDEX($Q$57:$W$67,2*INT((25+WEEKDAY(DATE(PlanYear,12,1),2)-1)/7)+1,MOD(25+WEEKDAY(DATE(PlanYear,12,1),2)-1,7)+1)=AC$5,", "&amp;26,"")&amp;IF(INDEX($Q$57:$W$67,2*INT((26+WEEKDAY(DATE(PlanYear,12,1),2)-1)/7)+1,MOD(26+WEEKDAY(DATE(PlanYear,12,1),2)-1,7)+1)=AC$5,", "&amp;27,"")&amp;IF(INDEX($Q$57:$W$67,2*INT((27+WEEKDAY(DATE(PlanYear,12,1),2)-1)/7)+1,MOD(27+WEEKDAY(DATE(PlanYear,12,1),2)-1,7)+1)=AC$5,", "&amp;28,"")&amp;IF(INDEX($Q$57:$W$67,2*INT((28+WEEKDAY(DATE(PlanYear,12,1),2)-1)/7)+1,MOD(28+WEEKDAY(DATE(PlanYear,12,1),2)-1,7)+1)=AC$5,", "&amp;29,"")&amp;IF(INDEX($Q$57:$W$67,2*INT((29+WEEKDAY(DATE(PlanYear,12,1),2)-1)/7)+1,MOD(29+WEEKDAY(DATE(PlanYear,12,1),2)-1,7)+1)=AC$5,", "&amp;30,"")&amp;IF(INDEX($Q$57:$W$67,2*INT((30+WEEKDAY(DATE(PlanYear,12,1),2)-1)/7)+1,MOD(30+WEEKDAY(DATE(PlanYear,12,1),2)-1,7)+1)=AC$5,", "&amp;31,""),3,200))</f>
        <v/>
      </c>
      <c r="AD17" s="16">
        <f>IF(AD$5="","",MID(IF(INDEX($Q$57:$W$67,2*INT((0+WEEKDAY(DATE(PlanYear,12,1),2)-1)/7)+1,MOD(0+WEEKDAY(DATE(PlanYear,12,1),2)-1,7)+1)=AD$5,", "&amp;1,"")&amp;IF(INDEX($Q$57:$W$67,2*INT((1+WEEKDAY(DATE(PlanYear,12,1),2)-1)/7)+1,MOD(1+WEEKDAY(DATE(PlanYear,12,1),2)-1,7)+1)=AD$5,", "&amp;2,"")&amp;IF(INDEX($Q$57:$W$67,2*INT((2+WEEKDAY(DATE(PlanYear,12,1),2)-1)/7)+1,MOD(2+WEEKDAY(DATE(PlanYear,12,1),2)-1,7)+1)=AD$5,", "&amp;3,"")&amp;IF(INDEX($Q$57:$W$67,2*INT((3+WEEKDAY(DATE(PlanYear,12,1),2)-1)/7)+1,MOD(3+WEEKDAY(DATE(PlanYear,12,1),2)-1,7)+1)=AD$5,", "&amp;4,"")&amp;IF(INDEX($Q$57:$W$67,2*INT((4+WEEKDAY(DATE(PlanYear,12,1),2)-1)/7)+1,MOD(4+WEEKDAY(DATE(PlanYear,12,1),2)-1,7)+1)=AD$5,", "&amp;5,"")&amp;IF(INDEX($Q$57:$W$67,2*INT((5+WEEKDAY(DATE(PlanYear,12,1),2)-1)/7)+1,MOD(5+WEEKDAY(DATE(PlanYear,12,1),2)-1,7)+1)=AD$5,", "&amp;6,"")&amp;IF(INDEX($Q$57:$W$67,2*INT((6+WEEKDAY(DATE(PlanYear,12,1),2)-1)/7)+1,MOD(6+WEEKDAY(DATE(PlanYear,12,1),2)-1,7)+1)=AD$5,", "&amp;7,"")&amp;IF(INDEX($Q$57:$W$67,2*INT((7+WEEKDAY(DATE(PlanYear,12,1),2)-1)/7)+1,MOD(7+WEEKDAY(DATE(PlanYear,12,1),2)-1,7)+1)=AD$5,", "&amp;8,"")&amp;IF(INDEX($Q$57:$W$67,2*INT((8+WEEKDAY(DATE(PlanYear,12,1),2)-1)/7)+1,MOD(8+WEEKDAY(DATE(PlanYear,12,1),2)-1,7)+1)=AD$5,", "&amp;9,"")&amp;IF(INDEX($Q$57:$W$67,2*INT((9+WEEKDAY(DATE(PlanYear,12,1),2)-1)/7)+1,MOD(9+WEEKDAY(DATE(PlanYear,12,1),2)-1,7)+1)=AD$5,", "&amp;10,"")&amp;IF(INDEX($Q$57:$W$67,2*INT((10+WEEKDAY(DATE(PlanYear,12,1),2)-1)/7)+1,MOD(10+WEEKDAY(DATE(PlanYear,12,1),2)-1,7)+1)=AD$5,", "&amp;11,"")&amp;IF(INDEX($Q$57:$W$67,2*INT((11+WEEKDAY(DATE(PlanYear,12,1),2)-1)/7)+1,MOD(11+WEEKDAY(DATE(PlanYear,12,1),2)-1,7)+1)=AD$5,", "&amp;12,"")&amp;IF(INDEX($Q$57:$W$67,2*INT((12+WEEKDAY(DATE(PlanYear,12,1),2)-1)/7)+1,MOD(12+WEEKDAY(DATE(PlanYear,12,1),2)-1,7)+1)=AD$5,", "&amp;13,"")&amp;IF(INDEX($Q$57:$W$67,2*INT((13+WEEKDAY(DATE(PlanYear,12,1),2)-1)/7)+1,MOD(13+WEEKDAY(DATE(PlanYear,12,1),2)-1,7)+1)=AD$5,", "&amp;14,"")&amp;IF(INDEX($Q$57:$W$67,2*INT((14+WEEKDAY(DATE(PlanYear,12,1),2)-1)/7)+1,MOD(14+WEEKDAY(DATE(PlanYear,12,1),2)-1,7)+1)=AD$5,", "&amp;15,"")&amp;IF(INDEX($Q$57:$W$67,2*INT((15+WEEKDAY(DATE(PlanYear,12,1),2)-1)/7)+1,MOD(15+WEEKDAY(DATE(PlanYear,12,1),2)-1,7)+1)=AD$5,", "&amp;16,"")&amp;IF(INDEX($Q$57:$W$67,2*INT((16+WEEKDAY(DATE(PlanYear,12,1),2)-1)/7)+1,MOD(16+WEEKDAY(DATE(PlanYear,12,1),2)-1,7)+1)=AD$5,", "&amp;17,"")&amp;IF(INDEX($Q$57:$W$67,2*INT((17+WEEKDAY(DATE(PlanYear,12,1),2)-1)/7)+1,MOD(17+WEEKDAY(DATE(PlanYear,12,1),2)-1,7)+1)=AD$5,", "&amp;18,"")&amp;IF(INDEX($Q$57:$W$67,2*INT((18+WEEKDAY(DATE(PlanYear,12,1),2)-1)/7)+1,MOD(18+WEEKDAY(DATE(PlanYear,12,1),2)-1,7)+1)=AD$5,", "&amp;19,"")&amp;IF(INDEX($Q$57:$W$67,2*INT((19+WEEKDAY(DATE(PlanYear,12,1),2)-1)/7)+1,MOD(19+WEEKDAY(DATE(PlanYear,12,1),2)-1,7)+1)=AD$5,", "&amp;20,"")&amp;IF(INDEX($Q$57:$W$67,2*INT((20+WEEKDAY(DATE(PlanYear,12,1),2)-1)/7)+1,MOD(20+WEEKDAY(DATE(PlanYear,12,1),2)-1,7)+1)=AD$5,", "&amp;21,"")&amp;IF(INDEX($Q$57:$W$67,2*INT((21+WEEKDAY(DATE(PlanYear,12,1),2)-1)/7)+1,MOD(21+WEEKDAY(DATE(PlanYear,12,1),2)-1,7)+1)=AD$5,", "&amp;22,"")&amp;IF(INDEX($Q$57:$W$67,2*INT((22+WEEKDAY(DATE(PlanYear,12,1),2)-1)/7)+1,MOD(22+WEEKDAY(DATE(PlanYear,12,1),2)-1,7)+1)=AD$5,", "&amp;23,"")&amp;IF(INDEX($Q$57:$W$67,2*INT((23+WEEKDAY(DATE(PlanYear,12,1),2)-1)/7)+1,MOD(23+WEEKDAY(DATE(PlanYear,12,1),2)-1,7)+1)=AD$5,", "&amp;24,"")&amp;IF(INDEX($Q$57:$W$67,2*INT((24+WEEKDAY(DATE(PlanYear,12,1),2)-1)/7)+1,MOD(24+WEEKDAY(DATE(PlanYear,12,1),2)-1,7)+1)=AD$5,", "&amp;25,"")&amp;IF(INDEX($Q$57:$W$67,2*INT((25+WEEKDAY(DATE(PlanYear,12,1),2)-1)/7)+1,MOD(25+WEEKDAY(DATE(PlanYear,12,1),2)-1,7)+1)=AD$5,", "&amp;26,"")&amp;IF(INDEX($Q$57:$W$67,2*INT((26+WEEKDAY(DATE(PlanYear,12,1),2)-1)/7)+1,MOD(26+WEEKDAY(DATE(PlanYear,12,1),2)-1,7)+1)=AD$5,", "&amp;27,"")&amp;IF(INDEX($Q$57:$W$67,2*INT((27+WEEKDAY(DATE(PlanYear,12,1),2)-1)/7)+1,MOD(27+WEEKDAY(DATE(PlanYear,12,1),2)-1,7)+1)=AD$5,", "&amp;28,"")&amp;IF(INDEX($Q$57:$W$67,2*INT((28+WEEKDAY(DATE(PlanYear,12,1),2)-1)/7)+1,MOD(28+WEEKDAY(DATE(PlanYear,12,1),2)-1,7)+1)=AD$5,", "&amp;29,"")&amp;IF(INDEX($Q$57:$W$67,2*INT((29+WEEKDAY(DATE(PlanYear,12,1),2)-1)/7)+1,MOD(29+WEEKDAY(DATE(PlanYear,12,1),2)-1,7)+1)=AD$5,", "&amp;30,"")&amp;IF(INDEX($Q$57:$W$67,2*INT((30+WEEKDAY(DATE(PlanYear,12,1),2)-1)/7)+1,MOD(30+WEEKDAY(DATE(PlanYear,12,1),2)-1,7)+1)=AD$5,", "&amp;31,""),3,200))</f>
        <v/>
      </c>
      <c r="AE17" s="16">
        <f>IF(AE$5="","",MID(IF(INDEX($Q$57:$W$67,2*INT((0+WEEKDAY(DATE(PlanYear,12,1),2)-1)/7)+1,MOD(0+WEEKDAY(DATE(PlanYear,12,1),2)-1,7)+1)=AE$5,", "&amp;1,"")&amp;IF(INDEX($Q$57:$W$67,2*INT((1+WEEKDAY(DATE(PlanYear,12,1),2)-1)/7)+1,MOD(1+WEEKDAY(DATE(PlanYear,12,1),2)-1,7)+1)=AE$5,", "&amp;2,"")&amp;IF(INDEX($Q$57:$W$67,2*INT((2+WEEKDAY(DATE(PlanYear,12,1),2)-1)/7)+1,MOD(2+WEEKDAY(DATE(PlanYear,12,1),2)-1,7)+1)=AE$5,", "&amp;3,"")&amp;IF(INDEX($Q$57:$W$67,2*INT((3+WEEKDAY(DATE(PlanYear,12,1),2)-1)/7)+1,MOD(3+WEEKDAY(DATE(PlanYear,12,1),2)-1,7)+1)=AE$5,", "&amp;4,"")&amp;IF(INDEX($Q$57:$W$67,2*INT((4+WEEKDAY(DATE(PlanYear,12,1),2)-1)/7)+1,MOD(4+WEEKDAY(DATE(PlanYear,12,1),2)-1,7)+1)=AE$5,", "&amp;5,"")&amp;IF(INDEX($Q$57:$W$67,2*INT((5+WEEKDAY(DATE(PlanYear,12,1),2)-1)/7)+1,MOD(5+WEEKDAY(DATE(PlanYear,12,1),2)-1,7)+1)=AE$5,", "&amp;6,"")&amp;IF(INDEX($Q$57:$W$67,2*INT((6+WEEKDAY(DATE(PlanYear,12,1),2)-1)/7)+1,MOD(6+WEEKDAY(DATE(PlanYear,12,1),2)-1,7)+1)=AE$5,", "&amp;7,"")&amp;IF(INDEX($Q$57:$W$67,2*INT((7+WEEKDAY(DATE(PlanYear,12,1),2)-1)/7)+1,MOD(7+WEEKDAY(DATE(PlanYear,12,1),2)-1,7)+1)=AE$5,", "&amp;8,"")&amp;IF(INDEX($Q$57:$W$67,2*INT((8+WEEKDAY(DATE(PlanYear,12,1),2)-1)/7)+1,MOD(8+WEEKDAY(DATE(PlanYear,12,1),2)-1,7)+1)=AE$5,", "&amp;9,"")&amp;IF(INDEX($Q$57:$W$67,2*INT((9+WEEKDAY(DATE(PlanYear,12,1),2)-1)/7)+1,MOD(9+WEEKDAY(DATE(PlanYear,12,1),2)-1,7)+1)=AE$5,", "&amp;10,"")&amp;IF(INDEX($Q$57:$W$67,2*INT((10+WEEKDAY(DATE(PlanYear,12,1),2)-1)/7)+1,MOD(10+WEEKDAY(DATE(PlanYear,12,1),2)-1,7)+1)=AE$5,", "&amp;11,"")&amp;IF(INDEX($Q$57:$W$67,2*INT((11+WEEKDAY(DATE(PlanYear,12,1),2)-1)/7)+1,MOD(11+WEEKDAY(DATE(PlanYear,12,1),2)-1,7)+1)=AE$5,", "&amp;12,"")&amp;IF(INDEX($Q$57:$W$67,2*INT((12+WEEKDAY(DATE(PlanYear,12,1),2)-1)/7)+1,MOD(12+WEEKDAY(DATE(PlanYear,12,1),2)-1,7)+1)=AE$5,", "&amp;13,"")&amp;IF(INDEX($Q$57:$W$67,2*INT((13+WEEKDAY(DATE(PlanYear,12,1),2)-1)/7)+1,MOD(13+WEEKDAY(DATE(PlanYear,12,1),2)-1,7)+1)=AE$5,", "&amp;14,"")&amp;IF(INDEX($Q$57:$W$67,2*INT((14+WEEKDAY(DATE(PlanYear,12,1),2)-1)/7)+1,MOD(14+WEEKDAY(DATE(PlanYear,12,1),2)-1,7)+1)=AE$5,", "&amp;15,"")&amp;IF(INDEX($Q$57:$W$67,2*INT((15+WEEKDAY(DATE(PlanYear,12,1),2)-1)/7)+1,MOD(15+WEEKDAY(DATE(PlanYear,12,1),2)-1,7)+1)=AE$5,", "&amp;16,"")&amp;IF(INDEX($Q$57:$W$67,2*INT((16+WEEKDAY(DATE(PlanYear,12,1),2)-1)/7)+1,MOD(16+WEEKDAY(DATE(PlanYear,12,1),2)-1,7)+1)=AE$5,", "&amp;17,"")&amp;IF(INDEX($Q$57:$W$67,2*INT((17+WEEKDAY(DATE(PlanYear,12,1),2)-1)/7)+1,MOD(17+WEEKDAY(DATE(PlanYear,12,1),2)-1,7)+1)=AE$5,", "&amp;18,"")&amp;IF(INDEX($Q$57:$W$67,2*INT((18+WEEKDAY(DATE(PlanYear,12,1),2)-1)/7)+1,MOD(18+WEEKDAY(DATE(PlanYear,12,1),2)-1,7)+1)=AE$5,", "&amp;19,"")&amp;IF(INDEX($Q$57:$W$67,2*INT((19+WEEKDAY(DATE(PlanYear,12,1),2)-1)/7)+1,MOD(19+WEEKDAY(DATE(PlanYear,12,1),2)-1,7)+1)=AE$5,", "&amp;20,"")&amp;IF(INDEX($Q$57:$W$67,2*INT((20+WEEKDAY(DATE(PlanYear,12,1),2)-1)/7)+1,MOD(20+WEEKDAY(DATE(PlanYear,12,1),2)-1,7)+1)=AE$5,", "&amp;21,"")&amp;IF(INDEX($Q$57:$W$67,2*INT((21+WEEKDAY(DATE(PlanYear,12,1),2)-1)/7)+1,MOD(21+WEEKDAY(DATE(PlanYear,12,1),2)-1,7)+1)=AE$5,", "&amp;22,"")&amp;IF(INDEX($Q$57:$W$67,2*INT((22+WEEKDAY(DATE(PlanYear,12,1),2)-1)/7)+1,MOD(22+WEEKDAY(DATE(PlanYear,12,1),2)-1,7)+1)=AE$5,", "&amp;23,"")&amp;IF(INDEX($Q$57:$W$67,2*INT((23+WEEKDAY(DATE(PlanYear,12,1),2)-1)/7)+1,MOD(23+WEEKDAY(DATE(PlanYear,12,1),2)-1,7)+1)=AE$5,", "&amp;24,"")&amp;IF(INDEX($Q$57:$W$67,2*INT((24+WEEKDAY(DATE(PlanYear,12,1),2)-1)/7)+1,MOD(24+WEEKDAY(DATE(PlanYear,12,1),2)-1,7)+1)=AE$5,", "&amp;25,"")&amp;IF(INDEX($Q$57:$W$67,2*INT((25+WEEKDAY(DATE(PlanYear,12,1),2)-1)/7)+1,MOD(25+WEEKDAY(DATE(PlanYear,12,1),2)-1,7)+1)=AE$5,", "&amp;26,"")&amp;IF(INDEX($Q$57:$W$67,2*INT((26+WEEKDAY(DATE(PlanYear,12,1),2)-1)/7)+1,MOD(26+WEEKDAY(DATE(PlanYear,12,1),2)-1,7)+1)=AE$5,", "&amp;27,"")&amp;IF(INDEX($Q$57:$W$67,2*INT((27+WEEKDAY(DATE(PlanYear,12,1),2)-1)/7)+1,MOD(27+WEEKDAY(DATE(PlanYear,12,1),2)-1,7)+1)=AE$5,", "&amp;28,"")&amp;IF(INDEX($Q$57:$W$67,2*INT((28+WEEKDAY(DATE(PlanYear,12,1),2)-1)/7)+1,MOD(28+WEEKDAY(DATE(PlanYear,12,1),2)-1,7)+1)=AE$5,", "&amp;29,"")&amp;IF(INDEX($Q$57:$W$67,2*INT((29+WEEKDAY(DATE(PlanYear,12,1),2)-1)/7)+1,MOD(29+WEEKDAY(DATE(PlanYear,12,1),2)-1,7)+1)=AE$5,", "&amp;30,"")&amp;IF(INDEX($Q$57:$W$67,2*INT((30+WEEKDAY(DATE(PlanYear,12,1),2)-1)/7)+1,MOD(30+WEEKDAY(DATE(PlanYear,12,1),2)-1,7)+1)=AE$5,", "&amp;31,""),3,200))</f>
        <v/>
      </c>
      <c r="AF17" s="16">
        <f>IF(AF$5="","",MID(IF(INDEX($Q$57:$W$67,2*INT((0+WEEKDAY(DATE(PlanYear,12,1),2)-1)/7)+1,MOD(0+WEEKDAY(DATE(PlanYear,12,1),2)-1,7)+1)=AF$5,", "&amp;1,"")&amp;IF(INDEX($Q$57:$W$67,2*INT((1+WEEKDAY(DATE(PlanYear,12,1),2)-1)/7)+1,MOD(1+WEEKDAY(DATE(PlanYear,12,1),2)-1,7)+1)=AF$5,", "&amp;2,"")&amp;IF(INDEX($Q$57:$W$67,2*INT((2+WEEKDAY(DATE(PlanYear,12,1),2)-1)/7)+1,MOD(2+WEEKDAY(DATE(PlanYear,12,1),2)-1,7)+1)=AF$5,", "&amp;3,"")&amp;IF(INDEX($Q$57:$W$67,2*INT((3+WEEKDAY(DATE(PlanYear,12,1),2)-1)/7)+1,MOD(3+WEEKDAY(DATE(PlanYear,12,1),2)-1,7)+1)=AF$5,", "&amp;4,"")&amp;IF(INDEX($Q$57:$W$67,2*INT((4+WEEKDAY(DATE(PlanYear,12,1),2)-1)/7)+1,MOD(4+WEEKDAY(DATE(PlanYear,12,1),2)-1,7)+1)=AF$5,", "&amp;5,"")&amp;IF(INDEX($Q$57:$W$67,2*INT((5+WEEKDAY(DATE(PlanYear,12,1),2)-1)/7)+1,MOD(5+WEEKDAY(DATE(PlanYear,12,1),2)-1,7)+1)=AF$5,", "&amp;6,"")&amp;IF(INDEX($Q$57:$W$67,2*INT((6+WEEKDAY(DATE(PlanYear,12,1),2)-1)/7)+1,MOD(6+WEEKDAY(DATE(PlanYear,12,1),2)-1,7)+1)=AF$5,", "&amp;7,"")&amp;IF(INDEX($Q$57:$W$67,2*INT((7+WEEKDAY(DATE(PlanYear,12,1),2)-1)/7)+1,MOD(7+WEEKDAY(DATE(PlanYear,12,1),2)-1,7)+1)=AF$5,", "&amp;8,"")&amp;IF(INDEX($Q$57:$W$67,2*INT((8+WEEKDAY(DATE(PlanYear,12,1),2)-1)/7)+1,MOD(8+WEEKDAY(DATE(PlanYear,12,1),2)-1,7)+1)=AF$5,", "&amp;9,"")&amp;IF(INDEX($Q$57:$W$67,2*INT((9+WEEKDAY(DATE(PlanYear,12,1),2)-1)/7)+1,MOD(9+WEEKDAY(DATE(PlanYear,12,1),2)-1,7)+1)=AF$5,", "&amp;10,"")&amp;IF(INDEX($Q$57:$W$67,2*INT((10+WEEKDAY(DATE(PlanYear,12,1),2)-1)/7)+1,MOD(10+WEEKDAY(DATE(PlanYear,12,1),2)-1,7)+1)=AF$5,", "&amp;11,"")&amp;IF(INDEX($Q$57:$W$67,2*INT((11+WEEKDAY(DATE(PlanYear,12,1),2)-1)/7)+1,MOD(11+WEEKDAY(DATE(PlanYear,12,1),2)-1,7)+1)=AF$5,", "&amp;12,"")&amp;IF(INDEX($Q$57:$W$67,2*INT((12+WEEKDAY(DATE(PlanYear,12,1),2)-1)/7)+1,MOD(12+WEEKDAY(DATE(PlanYear,12,1),2)-1,7)+1)=AF$5,", "&amp;13,"")&amp;IF(INDEX($Q$57:$W$67,2*INT((13+WEEKDAY(DATE(PlanYear,12,1),2)-1)/7)+1,MOD(13+WEEKDAY(DATE(PlanYear,12,1),2)-1,7)+1)=AF$5,", "&amp;14,"")&amp;IF(INDEX($Q$57:$W$67,2*INT((14+WEEKDAY(DATE(PlanYear,12,1),2)-1)/7)+1,MOD(14+WEEKDAY(DATE(PlanYear,12,1),2)-1,7)+1)=AF$5,", "&amp;15,"")&amp;IF(INDEX($Q$57:$W$67,2*INT((15+WEEKDAY(DATE(PlanYear,12,1),2)-1)/7)+1,MOD(15+WEEKDAY(DATE(PlanYear,12,1),2)-1,7)+1)=AF$5,", "&amp;16,"")&amp;IF(INDEX($Q$57:$W$67,2*INT((16+WEEKDAY(DATE(PlanYear,12,1),2)-1)/7)+1,MOD(16+WEEKDAY(DATE(PlanYear,12,1),2)-1,7)+1)=AF$5,", "&amp;17,"")&amp;IF(INDEX($Q$57:$W$67,2*INT((17+WEEKDAY(DATE(PlanYear,12,1),2)-1)/7)+1,MOD(17+WEEKDAY(DATE(PlanYear,12,1),2)-1,7)+1)=AF$5,", "&amp;18,"")&amp;IF(INDEX($Q$57:$W$67,2*INT((18+WEEKDAY(DATE(PlanYear,12,1),2)-1)/7)+1,MOD(18+WEEKDAY(DATE(PlanYear,12,1),2)-1,7)+1)=AF$5,", "&amp;19,"")&amp;IF(INDEX($Q$57:$W$67,2*INT((19+WEEKDAY(DATE(PlanYear,12,1),2)-1)/7)+1,MOD(19+WEEKDAY(DATE(PlanYear,12,1),2)-1,7)+1)=AF$5,", "&amp;20,"")&amp;IF(INDEX($Q$57:$W$67,2*INT((20+WEEKDAY(DATE(PlanYear,12,1),2)-1)/7)+1,MOD(20+WEEKDAY(DATE(PlanYear,12,1),2)-1,7)+1)=AF$5,", "&amp;21,"")&amp;IF(INDEX($Q$57:$W$67,2*INT((21+WEEKDAY(DATE(PlanYear,12,1),2)-1)/7)+1,MOD(21+WEEKDAY(DATE(PlanYear,12,1),2)-1,7)+1)=AF$5,", "&amp;22,"")&amp;IF(INDEX($Q$57:$W$67,2*INT((22+WEEKDAY(DATE(PlanYear,12,1),2)-1)/7)+1,MOD(22+WEEKDAY(DATE(PlanYear,12,1),2)-1,7)+1)=AF$5,", "&amp;23,"")&amp;IF(INDEX($Q$57:$W$67,2*INT((23+WEEKDAY(DATE(PlanYear,12,1),2)-1)/7)+1,MOD(23+WEEKDAY(DATE(PlanYear,12,1),2)-1,7)+1)=AF$5,", "&amp;24,"")&amp;IF(INDEX($Q$57:$W$67,2*INT((24+WEEKDAY(DATE(PlanYear,12,1),2)-1)/7)+1,MOD(24+WEEKDAY(DATE(PlanYear,12,1),2)-1,7)+1)=AF$5,", "&amp;25,"")&amp;IF(INDEX($Q$57:$W$67,2*INT((25+WEEKDAY(DATE(PlanYear,12,1),2)-1)/7)+1,MOD(25+WEEKDAY(DATE(PlanYear,12,1),2)-1,7)+1)=AF$5,", "&amp;26,"")&amp;IF(INDEX($Q$57:$W$67,2*INT((26+WEEKDAY(DATE(PlanYear,12,1),2)-1)/7)+1,MOD(26+WEEKDAY(DATE(PlanYear,12,1),2)-1,7)+1)=AF$5,", "&amp;27,"")&amp;IF(INDEX($Q$57:$W$67,2*INT((27+WEEKDAY(DATE(PlanYear,12,1),2)-1)/7)+1,MOD(27+WEEKDAY(DATE(PlanYear,12,1),2)-1,7)+1)=AF$5,", "&amp;28,"")&amp;IF(INDEX($Q$57:$W$67,2*INT((28+WEEKDAY(DATE(PlanYear,12,1),2)-1)/7)+1,MOD(28+WEEKDAY(DATE(PlanYear,12,1),2)-1,7)+1)=AF$5,", "&amp;29,"")&amp;IF(INDEX($Q$57:$W$67,2*INT((29+WEEKDAY(DATE(PlanYear,12,1),2)-1)/7)+1,MOD(29+WEEKDAY(DATE(PlanYear,12,1),2)-1,7)+1)=AF$5,", "&amp;30,"")&amp;IF(INDEX($Q$57:$W$67,2*INT((30+WEEKDAY(DATE(PlanYear,12,1),2)-1)/7)+1,MOD(30+WEEKDAY(DATE(PlanYear,12,1),2)-1,7)+1)=AF$5,", "&amp;31,""),3,200))</f>
        <v/>
      </c>
      <c r="AG17" s="16">
        <f>IF(AG$5="","",MID(IF(INDEX($Q$57:$W$67,2*INT((0+WEEKDAY(DATE(PlanYear,12,1),2)-1)/7)+1,MOD(0+WEEKDAY(DATE(PlanYear,12,1),2)-1,7)+1)=AG$5,", "&amp;1,"")&amp;IF(INDEX($Q$57:$W$67,2*INT((1+WEEKDAY(DATE(PlanYear,12,1),2)-1)/7)+1,MOD(1+WEEKDAY(DATE(PlanYear,12,1),2)-1,7)+1)=AG$5,", "&amp;2,"")&amp;IF(INDEX($Q$57:$W$67,2*INT((2+WEEKDAY(DATE(PlanYear,12,1),2)-1)/7)+1,MOD(2+WEEKDAY(DATE(PlanYear,12,1),2)-1,7)+1)=AG$5,", "&amp;3,"")&amp;IF(INDEX($Q$57:$W$67,2*INT((3+WEEKDAY(DATE(PlanYear,12,1),2)-1)/7)+1,MOD(3+WEEKDAY(DATE(PlanYear,12,1),2)-1,7)+1)=AG$5,", "&amp;4,"")&amp;IF(INDEX($Q$57:$W$67,2*INT((4+WEEKDAY(DATE(PlanYear,12,1),2)-1)/7)+1,MOD(4+WEEKDAY(DATE(PlanYear,12,1),2)-1,7)+1)=AG$5,", "&amp;5,"")&amp;IF(INDEX($Q$57:$W$67,2*INT((5+WEEKDAY(DATE(PlanYear,12,1),2)-1)/7)+1,MOD(5+WEEKDAY(DATE(PlanYear,12,1),2)-1,7)+1)=AG$5,", "&amp;6,"")&amp;IF(INDEX($Q$57:$W$67,2*INT((6+WEEKDAY(DATE(PlanYear,12,1),2)-1)/7)+1,MOD(6+WEEKDAY(DATE(PlanYear,12,1),2)-1,7)+1)=AG$5,", "&amp;7,"")&amp;IF(INDEX($Q$57:$W$67,2*INT((7+WEEKDAY(DATE(PlanYear,12,1),2)-1)/7)+1,MOD(7+WEEKDAY(DATE(PlanYear,12,1),2)-1,7)+1)=AG$5,", "&amp;8,"")&amp;IF(INDEX($Q$57:$W$67,2*INT((8+WEEKDAY(DATE(PlanYear,12,1),2)-1)/7)+1,MOD(8+WEEKDAY(DATE(PlanYear,12,1),2)-1,7)+1)=AG$5,", "&amp;9,"")&amp;IF(INDEX($Q$57:$W$67,2*INT((9+WEEKDAY(DATE(PlanYear,12,1),2)-1)/7)+1,MOD(9+WEEKDAY(DATE(PlanYear,12,1),2)-1,7)+1)=AG$5,", "&amp;10,"")&amp;IF(INDEX($Q$57:$W$67,2*INT((10+WEEKDAY(DATE(PlanYear,12,1),2)-1)/7)+1,MOD(10+WEEKDAY(DATE(PlanYear,12,1),2)-1,7)+1)=AG$5,", "&amp;11,"")&amp;IF(INDEX($Q$57:$W$67,2*INT((11+WEEKDAY(DATE(PlanYear,12,1),2)-1)/7)+1,MOD(11+WEEKDAY(DATE(PlanYear,12,1),2)-1,7)+1)=AG$5,", "&amp;12,"")&amp;IF(INDEX($Q$57:$W$67,2*INT((12+WEEKDAY(DATE(PlanYear,12,1),2)-1)/7)+1,MOD(12+WEEKDAY(DATE(PlanYear,12,1),2)-1,7)+1)=AG$5,", "&amp;13,"")&amp;IF(INDEX($Q$57:$W$67,2*INT((13+WEEKDAY(DATE(PlanYear,12,1),2)-1)/7)+1,MOD(13+WEEKDAY(DATE(PlanYear,12,1),2)-1,7)+1)=AG$5,", "&amp;14,"")&amp;IF(INDEX($Q$57:$W$67,2*INT((14+WEEKDAY(DATE(PlanYear,12,1),2)-1)/7)+1,MOD(14+WEEKDAY(DATE(PlanYear,12,1),2)-1,7)+1)=AG$5,", "&amp;15,"")&amp;IF(INDEX($Q$57:$W$67,2*INT((15+WEEKDAY(DATE(PlanYear,12,1),2)-1)/7)+1,MOD(15+WEEKDAY(DATE(PlanYear,12,1),2)-1,7)+1)=AG$5,", "&amp;16,"")&amp;IF(INDEX($Q$57:$W$67,2*INT((16+WEEKDAY(DATE(PlanYear,12,1),2)-1)/7)+1,MOD(16+WEEKDAY(DATE(PlanYear,12,1),2)-1,7)+1)=AG$5,", "&amp;17,"")&amp;IF(INDEX($Q$57:$W$67,2*INT((17+WEEKDAY(DATE(PlanYear,12,1),2)-1)/7)+1,MOD(17+WEEKDAY(DATE(PlanYear,12,1),2)-1,7)+1)=AG$5,", "&amp;18,"")&amp;IF(INDEX($Q$57:$W$67,2*INT((18+WEEKDAY(DATE(PlanYear,12,1),2)-1)/7)+1,MOD(18+WEEKDAY(DATE(PlanYear,12,1),2)-1,7)+1)=AG$5,", "&amp;19,"")&amp;IF(INDEX($Q$57:$W$67,2*INT((19+WEEKDAY(DATE(PlanYear,12,1),2)-1)/7)+1,MOD(19+WEEKDAY(DATE(PlanYear,12,1),2)-1,7)+1)=AG$5,", "&amp;20,"")&amp;IF(INDEX($Q$57:$W$67,2*INT((20+WEEKDAY(DATE(PlanYear,12,1),2)-1)/7)+1,MOD(20+WEEKDAY(DATE(PlanYear,12,1),2)-1,7)+1)=AG$5,", "&amp;21,"")&amp;IF(INDEX($Q$57:$W$67,2*INT((21+WEEKDAY(DATE(PlanYear,12,1),2)-1)/7)+1,MOD(21+WEEKDAY(DATE(PlanYear,12,1),2)-1,7)+1)=AG$5,", "&amp;22,"")&amp;IF(INDEX($Q$57:$W$67,2*INT((22+WEEKDAY(DATE(PlanYear,12,1),2)-1)/7)+1,MOD(22+WEEKDAY(DATE(PlanYear,12,1),2)-1,7)+1)=AG$5,", "&amp;23,"")&amp;IF(INDEX($Q$57:$W$67,2*INT((23+WEEKDAY(DATE(PlanYear,12,1),2)-1)/7)+1,MOD(23+WEEKDAY(DATE(PlanYear,12,1),2)-1,7)+1)=AG$5,", "&amp;24,"")&amp;IF(INDEX($Q$57:$W$67,2*INT((24+WEEKDAY(DATE(PlanYear,12,1),2)-1)/7)+1,MOD(24+WEEKDAY(DATE(PlanYear,12,1),2)-1,7)+1)=AG$5,", "&amp;25,"")&amp;IF(INDEX($Q$57:$W$67,2*INT((25+WEEKDAY(DATE(PlanYear,12,1),2)-1)/7)+1,MOD(25+WEEKDAY(DATE(PlanYear,12,1),2)-1,7)+1)=AG$5,", "&amp;26,"")&amp;IF(INDEX($Q$57:$W$67,2*INT((26+WEEKDAY(DATE(PlanYear,12,1),2)-1)/7)+1,MOD(26+WEEKDAY(DATE(PlanYear,12,1),2)-1,7)+1)=AG$5,", "&amp;27,"")&amp;IF(INDEX($Q$57:$W$67,2*INT((27+WEEKDAY(DATE(PlanYear,12,1),2)-1)/7)+1,MOD(27+WEEKDAY(DATE(PlanYear,12,1),2)-1,7)+1)=AG$5,", "&amp;28,"")&amp;IF(INDEX($Q$57:$W$67,2*INT((28+WEEKDAY(DATE(PlanYear,12,1),2)-1)/7)+1,MOD(28+WEEKDAY(DATE(PlanYear,12,1),2)-1,7)+1)=AG$5,", "&amp;29,"")&amp;IF(INDEX($Q$57:$W$67,2*INT((29+WEEKDAY(DATE(PlanYear,12,1),2)-1)/7)+1,MOD(29+WEEKDAY(DATE(PlanYear,12,1),2)-1,7)+1)=AG$5,", "&amp;30,"")&amp;IF(INDEX($Q$57:$W$67,2*INT((30+WEEKDAY(DATE(PlanYear,12,1),2)-1)/7)+1,MOD(30+WEEKDAY(DATE(PlanYear,12,1),2)-1,7)+1)=AG$5,", "&amp;31,""),3,200))</f>
        <v/>
      </c>
      <c r="AH17" s="16">
        <f>IF(AH$5="","",MID(IF(INDEX($Q$57:$W$67,2*INT((0+WEEKDAY(DATE(PlanYear,12,1),2)-1)/7)+1,MOD(0+WEEKDAY(DATE(PlanYear,12,1),2)-1,7)+1)=AH$5,", "&amp;1,"")&amp;IF(INDEX($Q$57:$W$67,2*INT((1+WEEKDAY(DATE(PlanYear,12,1),2)-1)/7)+1,MOD(1+WEEKDAY(DATE(PlanYear,12,1),2)-1,7)+1)=AH$5,", "&amp;2,"")&amp;IF(INDEX($Q$57:$W$67,2*INT((2+WEEKDAY(DATE(PlanYear,12,1),2)-1)/7)+1,MOD(2+WEEKDAY(DATE(PlanYear,12,1),2)-1,7)+1)=AH$5,", "&amp;3,"")&amp;IF(INDEX($Q$57:$W$67,2*INT((3+WEEKDAY(DATE(PlanYear,12,1),2)-1)/7)+1,MOD(3+WEEKDAY(DATE(PlanYear,12,1),2)-1,7)+1)=AH$5,", "&amp;4,"")&amp;IF(INDEX($Q$57:$W$67,2*INT((4+WEEKDAY(DATE(PlanYear,12,1),2)-1)/7)+1,MOD(4+WEEKDAY(DATE(PlanYear,12,1),2)-1,7)+1)=AH$5,", "&amp;5,"")&amp;IF(INDEX($Q$57:$W$67,2*INT((5+WEEKDAY(DATE(PlanYear,12,1),2)-1)/7)+1,MOD(5+WEEKDAY(DATE(PlanYear,12,1),2)-1,7)+1)=AH$5,", "&amp;6,"")&amp;IF(INDEX($Q$57:$W$67,2*INT((6+WEEKDAY(DATE(PlanYear,12,1),2)-1)/7)+1,MOD(6+WEEKDAY(DATE(PlanYear,12,1),2)-1,7)+1)=AH$5,", "&amp;7,"")&amp;IF(INDEX($Q$57:$W$67,2*INT((7+WEEKDAY(DATE(PlanYear,12,1),2)-1)/7)+1,MOD(7+WEEKDAY(DATE(PlanYear,12,1),2)-1,7)+1)=AH$5,", "&amp;8,"")&amp;IF(INDEX($Q$57:$W$67,2*INT((8+WEEKDAY(DATE(PlanYear,12,1),2)-1)/7)+1,MOD(8+WEEKDAY(DATE(PlanYear,12,1),2)-1,7)+1)=AH$5,", "&amp;9,"")&amp;IF(INDEX($Q$57:$W$67,2*INT((9+WEEKDAY(DATE(PlanYear,12,1),2)-1)/7)+1,MOD(9+WEEKDAY(DATE(PlanYear,12,1),2)-1,7)+1)=AH$5,", "&amp;10,"")&amp;IF(INDEX($Q$57:$W$67,2*INT((10+WEEKDAY(DATE(PlanYear,12,1),2)-1)/7)+1,MOD(10+WEEKDAY(DATE(PlanYear,12,1),2)-1,7)+1)=AH$5,", "&amp;11,"")&amp;IF(INDEX($Q$57:$W$67,2*INT((11+WEEKDAY(DATE(PlanYear,12,1),2)-1)/7)+1,MOD(11+WEEKDAY(DATE(PlanYear,12,1),2)-1,7)+1)=AH$5,", "&amp;12,"")&amp;IF(INDEX($Q$57:$W$67,2*INT((12+WEEKDAY(DATE(PlanYear,12,1),2)-1)/7)+1,MOD(12+WEEKDAY(DATE(PlanYear,12,1),2)-1,7)+1)=AH$5,", "&amp;13,"")&amp;IF(INDEX($Q$57:$W$67,2*INT((13+WEEKDAY(DATE(PlanYear,12,1),2)-1)/7)+1,MOD(13+WEEKDAY(DATE(PlanYear,12,1),2)-1,7)+1)=AH$5,", "&amp;14,"")&amp;IF(INDEX($Q$57:$W$67,2*INT((14+WEEKDAY(DATE(PlanYear,12,1),2)-1)/7)+1,MOD(14+WEEKDAY(DATE(PlanYear,12,1),2)-1,7)+1)=AH$5,", "&amp;15,"")&amp;IF(INDEX($Q$57:$W$67,2*INT((15+WEEKDAY(DATE(PlanYear,12,1),2)-1)/7)+1,MOD(15+WEEKDAY(DATE(PlanYear,12,1),2)-1,7)+1)=AH$5,", "&amp;16,"")&amp;IF(INDEX($Q$57:$W$67,2*INT((16+WEEKDAY(DATE(PlanYear,12,1),2)-1)/7)+1,MOD(16+WEEKDAY(DATE(PlanYear,12,1),2)-1,7)+1)=AH$5,", "&amp;17,"")&amp;IF(INDEX($Q$57:$W$67,2*INT((17+WEEKDAY(DATE(PlanYear,12,1),2)-1)/7)+1,MOD(17+WEEKDAY(DATE(PlanYear,12,1),2)-1,7)+1)=AH$5,", "&amp;18,"")&amp;IF(INDEX($Q$57:$W$67,2*INT((18+WEEKDAY(DATE(PlanYear,12,1),2)-1)/7)+1,MOD(18+WEEKDAY(DATE(PlanYear,12,1),2)-1,7)+1)=AH$5,", "&amp;19,"")&amp;IF(INDEX($Q$57:$W$67,2*INT((19+WEEKDAY(DATE(PlanYear,12,1),2)-1)/7)+1,MOD(19+WEEKDAY(DATE(PlanYear,12,1),2)-1,7)+1)=AH$5,", "&amp;20,"")&amp;IF(INDEX($Q$57:$W$67,2*INT((20+WEEKDAY(DATE(PlanYear,12,1),2)-1)/7)+1,MOD(20+WEEKDAY(DATE(PlanYear,12,1),2)-1,7)+1)=AH$5,", "&amp;21,"")&amp;IF(INDEX($Q$57:$W$67,2*INT((21+WEEKDAY(DATE(PlanYear,12,1),2)-1)/7)+1,MOD(21+WEEKDAY(DATE(PlanYear,12,1),2)-1,7)+1)=AH$5,", "&amp;22,"")&amp;IF(INDEX($Q$57:$W$67,2*INT((22+WEEKDAY(DATE(PlanYear,12,1),2)-1)/7)+1,MOD(22+WEEKDAY(DATE(PlanYear,12,1),2)-1,7)+1)=AH$5,", "&amp;23,"")&amp;IF(INDEX($Q$57:$W$67,2*INT((23+WEEKDAY(DATE(PlanYear,12,1),2)-1)/7)+1,MOD(23+WEEKDAY(DATE(PlanYear,12,1),2)-1,7)+1)=AH$5,", "&amp;24,"")&amp;IF(INDEX($Q$57:$W$67,2*INT((24+WEEKDAY(DATE(PlanYear,12,1),2)-1)/7)+1,MOD(24+WEEKDAY(DATE(PlanYear,12,1),2)-1,7)+1)=AH$5,", "&amp;25,"")&amp;IF(INDEX($Q$57:$W$67,2*INT((25+WEEKDAY(DATE(PlanYear,12,1),2)-1)/7)+1,MOD(25+WEEKDAY(DATE(PlanYear,12,1),2)-1,7)+1)=AH$5,", "&amp;26,"")&amp;IF(INDEX($Q$57:$W$67,2*INT((26+WEEKDAY(DATE(PlanYear,12,1),2)-1)/7)+1,MOD(26+WEEKDAY(DATE(PlanYear,12,1),2)-1,7)+1)=AH$5,", "&amp;27,"")&amp;IF(INDEX($Q$57:$W$67,2*INT((27+WEEKDAY(DATE(PlanYear,12,1),2)-1)/7)+1,MOD(27+WEEKDAY(DATE(PlanYear,12,1),2)-1,7)+1)=AH$5,", "&amp;28,"")&amp;IF(INDEX($Q$57:$W$67,2*INT((28+WEEKDAY(DATE(PlanYear,12,1),2)-1)/7)+1,MOD(28+WEEKDAY(DATE(PlanYear,12,1),2)-1,7)+1)=AH$5,", "&amp;29,"")&amp;IF(INDEX($Q$57:$W$67,2*INT((29+WEEKDAY(DATE(PlanYear,12,1),2)-1)/7)+1,MOD(29+WEEKDAY(DATE(PlanYear,12,1),2)-1,7)+1)=AH$5,", "&amp;30,"")&amp;IF(INDEX($Q$57:$W$67,2*INT((30+WEEKDAY(DATE(PlanYear,12,1),2)-1)/7)+1,MOD(30+WEEKDAY(DATE(PlanYear,12,1),2)-1,7)+1)=AH$5,", "&amp;31,""),3,200))</f>
        <v/>
      </c>
      <c r="AI17" s="16">
        <f>IF(AI$5="","",MID(IF(INDEX($Q$57:$W$67,2*INT((0+WEEKDAY(DATE(PlanYear,12,1),2)-1)/7)+1,MOD(0+WEEKDAY(DATE(PlanYear,12,1),2)-1,7)+1)=AI$5,", "&amp;1,"")&amp;IF(INDEX($Q$57:$W$67,2*INT((1+WEEKDAY(DATE(PlanYear,12,1),2)-1)/7)+1,MOD(1+WEEKDAY(DATE(PlanYear,12,1),2)-1,7)+1)=AI$5,", "&amp;2,"")&amp;IF(INDEX($Q$57:$W$67,2*INT((2+WEEKDAY(DATE(PlanYear,12,1),2)-1)/7)+1,MOD(2+WEEKDAY(DATE(PlanYear,12,1),2)-1,7)+1)=AI$5,", "&amp;3,"")&amp;IF(INDEX($Q$57:$W$67,2*INT((3+WEEKDAY(DATE(PlanYear,12,1),2)-1)/7)+1,MOD(3+WEEKDAY(DATE(PlanYear,12,1),2)-1,7)+1)=AI$5,", "&amp;4,"")&amp;IF(INDEX($Q$57:$W$67,2*INT((4+WEEKDAY(DATE(PlanYear,12,1),2)-1)/7)+1,MOD(4+WEEKDAY(DATE(PlanYear,12,1),2)-1,7)+1)=AI$5,", "&amp;5,"")&amp;IF(INDEX($Q$57:$W$67,2*INT((5+WEEKDAY(DATE(PlanYear,12,1),2)-1)/7)+1,MOD(5+WEEKDAY(DATE(PlanYear,12,1),2)-1,7)+1)=AI$5,", "&amp;6,"")&amp;IF(INDEX($Q$57:$W$67,2*INT((6+WEEKDAY(DATE(PlanYear,12,1),2)-1)/7)+1,MOD(6+WEEKDAY(DATE(PlanYear,12,1),2)-1,7)+1)=AI$5,", "&amp;7,"")&amp;IF(INDEX($Q$57:$W$67,2*INT((7+WEEKDAY(DATE(PlanYear,12,1),2)-1)/7)+1,MOD(7+WEEKDAY(DATE(PlanYear,12,1),2)-1,7)+1)=AI$5,", "&amp;8,"")&amp;IF(INDEX($Q$57:$W$67,2*INT((8+WEEKDAY(DATE(PlanYear,12,1),2)-1)/7)+1,MOD(8+WEEKDAY(DATE(PlanYear,12,1),2)-1,7)+1)=AI$5,", "&amp;9,"")&amp;IF(INDEX($Q$57:$W$67,2*INT((9+WEEKDAY(DATE(PlanYear,12,1),2)-1)/7)+1,MOD(9+WEEKDAY(DATE(PlanYear,12,1),2)-1,7)+1)=AI$5,", "&amp;10,"")&amp;IF(INDEX($Q$57:$W$67,2*INT((10+WEEKDAY(DATE(PlanYear,12,1),2)-1)/7)+1,MOD(10+WEEKDAY(DATE(PlanYear,12,1),2)-1,7)+1)=AI$5,", "&amp;11,"")&amp;IF(INDEX($Q$57:$W$67,2*INT((11+WEEKDAY(DATE(PlanYear,12,1),2)-1)/7)+1,MOD(11+WEEKDAY(DATE(PlanYear,12,1),2)-1,7)+1)=AI$5,", "&amp;12,"")&amp;IF(INDEX($Q$57:$W$67,2*INT((12+WEEKDAY(DATE(PlanYear,12,1),2)-1)/7)+1,MOD(12+WEEKDAY(DATE(PlanYear,12,1),2)-1,7)+1)=AI$5,", "&amp;13,"")&amp;IF(INDEX($Q$57:$W$67,2*INT((13+WEEKDAY(DATE(PlanYear,12,1),2)-1)/7)+1,MOD(13+WEEKDAY(DATE(PlanYear,12,1),2)-1,7)+1)=AI$5,", "&amp;14,"")&amp;IF(INDEX($Q$57:$W$67,2*INT((14+WEEKDAY(DATE(PlanYear,12,1),2)-1)/7)+1,MOD(14+WEEKDAY(DATE(PlanYear,12,1),2)-1,7)+1)=AI$5,", "&amp;15,"")&amp;IF(INDEX($Q$57:$W$67,2*INT((15+WEEKDAY(DATE(PlanYear,12,1),2)-1)/7)+1,MOD(15+WEEKDAY(DATE(PlanYear,12,1),2)-1,7)+1)=AI$5,", "&amp;16,"")&amp;IF(INDEX($Q$57:$W$67,2*INT((16+WEEKDAY(DATE(PlanYear,12,1),2)-1)/7)+1,MOD(16+WEEKDAY(DATE(PlanYear,12,1),2)-1,7)+1)=AI$5,", "&amp;17,"")&amp;IF(INDEX($Q$57:$W$67,2*INT((17+WEEKDAY(DATE(PlanYear,12,1),2)-1)/7)+1,MOD(17+WEEKDAY(DATE(PlanYear,12,1),2)-1,7)+1)=AI$5,", "&amp;18,"")&amp;IF(INDEX($Q$57:$W$67,2*INT((18+WEEKDAY(DATE(PlanYear,12,1),2)-1)/7)+1,MOD(18+WEEKDAY(DATE(PlanYear,12,1),2)-1,7)+1)=AI$5,", "&amp;19,"")&amp;IF(INDEX($Q$57:$W$67,2*INT((19+WEEKDAY(DATE(PlanYear,12,1),2)-1)/7)+1,MOD(19+WEEKDAY(DATE(PlanYear,12,1),2)-1,7)+1)=AI$5,", "&amp;20,"")&amp;IF(INDEX($Q$57:$W$67,2*INT((20+WEEKDAY(DATE(PlanYear,12,1),2)-1)/7)+1,MOD(20+WEEKDAY(DATE(PlanYear,12,1),2)-1,7)+1)=AI$5,", "&amp;21,"")&amp;IF(INDEX($Q$57:$W$67,2*INT((21+WEEKDAY(DATE(PlanYear,12,1),2)-1)/7)+1,MOD(21+WEEKDAY(DATE(PlanYear,12,1),2)-1,7)+1)=AI$5,", "&amp;22,"")&amp;IF(INDEX($Q$57:$W$67,2*INT((22+WEEKDAY(DATE(PlanYear,12,1),2)-1)/7)+1,MOD(22+WEEKDAY(DATE(PlanYear,12,1),2)-1,7)+1)=AI$5,", "&amp;23,"")&amp;IF(INDEX($Q$57:$W$67,2*INT((23+WEEKDAY(DATE(PlanYear,12,1),2)-1)/7)+1,MOD(23+WEEKDAY(DATE(PlanYear,12,1),2)-1,7)+1)=AI$5,", "&amp;24,"")&amp;IF(INDEX($Q$57:$W$67,2*INT((24+WEEKDAY(DATE(PlanYear,12,1),2)-1)/7)+1,MOD(24+WEEKDAY(DATE(PlanYear,12,1),2)-1,7)+1)=AI$5,", "&amp;25,"")&amp;IF(INDEX($Q$57:$W$67,2*INT((25+WEEKDAY(DATE(PlanYear,12,1),2)-1)/7)+1,MOD(25+WEEKDAY(DATE(PlanYear,12,1),2)-1,7)+1)=AI$5,", "&amp;26,"")&amp;IF(INDEX($Q$57:$W$67,2*INT((26+WEEKDAY(DATE(PlanYear,12,1),2)-1)/7)+1,MOD(26+WEEKDAY(DATE(PlanYear,12,1),2)-1,7)+1)=AI$5,", "&amp;27,"")&amp;IF(INDEX($Q$57:$W$67,2*INT((27+WEEKDAY(DATE(PlanYear,12,1),2)-1)/7)+1,MOD(27+WEEKDAY(DATE(PlanYear,12,1),2)-1,7)+1)=AI$5,", "&amp;28,"")&amp;IF(INDEX($Q$57:$W$67,2*INT((28+WEEKDAY(DATE(PlanYear,12,1),2)-1)/7)+1,MOD(28+WEEKDAY(DATE(PlanYear,12,1),2)-1,7)+1)=AI$5,", "&amp;29,"")&amp;IF(INDEX($Q$57:$W$67,2*INT((29+WEEKDAY(DATE(PlanYear,12,1),2)-1)/7)+1,MOD(29+WEEKDAY(DATE(PlanYear,12,1),2)-1,7)+1)=AI$5,", "&amp;30,"")&amp;IF(INDEX($Q$57:$W$67,2*INT((30+WEEKDAY(DATE(PlanYear,12,1),2)-1)/7)+1,MOD(30+WEEKDAY(DATE(PlanYear,12,1),2)-1,7)+1)=AI$5,", "&amp;31,""),3,200))</f>
        <v/>
      </c>
      <c r="AJ17" s="16">
        <f>IF(AJ$5="","",MID(IF(INDEX($Q$57:$W$67,2*INT((0+WEEKDAY(DATE(PlanYear,12,1),2)-1)/7)+1,MOD(0+WEEKDAY(DATE(PlanYear,12,1),2)-1,7)+1)=AJ$5,", "&amp;1,"")&amp;IF(INDEX($Q$57:$W$67,2*INT((1+WEEKDAY(DATE(PlanYear,12,1),2)-1)/7)+1,MOD(1+WEEKDAY(DATE(PlanYear,12,1),2)-1,7)+1)=AJ$5,", "&amp;2,"")&amp;IF(INDEX($Q$57:$W$67,2*INT((2+WEEKDAY(DATE(PlanYear,12,1),2)-1)/7)+1,MOD(2+WEEKDAY(DATE(PlanYear,12,1),2)-1,7)+1)=AJ$5,", "&amp;3,"")&amp;IF(INDEX($Q$57:$W$67,2*INT((3+WEEKDAY(DATE(PlanYear,12,1),2)-1)/7)+1,MOD(3+WEEKDAY(DATE(PlanYear,12,1),2)-1,7)+1)=AJ$5,", "&amp;4,"")&amp;IF(INDEX($Q$57:$W$67,2*INT((4+WEEKDAY(DATE(PlanYear,12,1),2)-1)/7)+1,MOD(4+WEEKDAY(DATE(PlanYear,12,1),2)-1,7)+1)=AJ$5,", "&amp;5,"")&amp;IF(INDEX($Q$57:$W$67,2*INT((5+WEEKDAY(DATE(PlanYear,12,1),2)-1)/7)+1,MOD(5+WEEKDAY(DATE(PlanYear,12,1),2)-1,7)+1)=AJ$5,", "&amp;6,"")&amp;IF(INDEX($Q$57:$W$67,2*INT((6+WEEKDAY(DATE(PlanYear,12,1),2)-1)/7)+1,MOD(6+WEEKDAY(DATE(PlanYear,12,1),2)-1,7)+1)=AJ$5,", "&amp;7,"")&amp;IF(INDEX($Q$57:$W$67,2*INT((7+WEEKDAY(DATE(PlanYear,12,1),2)-1)/7)+1,MOD(7+WEEKDAY(DATE(PlanYear,12,1),2)-1,7)+1)=AJ$5,", "&amp;8,"")&amp;IF(INDEX($Q$57:$W$67,2*INT((8+WEEKDAY(DATE(PlanYear,12,1),2)-1)/7)+1,MOD(8+WEEKDAY(DATE(PlanYear,12,1),2)-1,7)+1)=AJ$5,", "&amp;9,"")&amp;IF(INDEX($Q$57:$W$67,2*INT((9+WEEKDAY(DATE(PlanYear,12,1),2)-1)/7)+1,MOD(9+WEEKDAY(DATE(PlanYear,12,1),2)-1,7)+1)=AJ$5,", "&amp;10,"")&amp;IF(INDEX($Q$57:$W$67,2*INT((10+WEEKDAY(DATE(PlanYear,12,1),2)-1)/7)+1,MOD(10+WEEKDAY(DATE(PlanYear,12,1),2)-1,7)+1)=AJ$5,", "&amp;11,"")&amp;IF(INDEX($Q$57:$W$67,2*INT((11+WEEKDAY(DATE(PlanYear,12,1),2)-1)/7)+1,MOD(11+WEEKDAY(DATE(PlanYear,12,1),2)-1,7)+1)=AJ$5,", "&amp;12,"")&amp;IF(INDEX($Q$57:$W$67,2*INT((12+WEEKDAY(DATE(PlanYear,12,1),2)-1)/7)+1,MOD(12+WEEKDAY(DATE(PlanYear,12,1),2)-1,7)+1)=AJ$5,", "&amp;13,"")&amp;IF(INDEX($Q$57:$W$67,2*INT((13+WEEKDAY(DATE(PlanYear,12,1),2)-1)/7)+1,MOD(13+WEEKDAY(DATE(PlanYear,12,1),2)-1,7)+1)=AJ$5,", "&amp;14,"")&amp;IF(INDEX($Q$57:$W$67,2*INT((14+WEEKDAY(DATE(PlanYear,12,1),2)-1)/7)+1,MOD(14+WEEKDAY(DATE(PlanYear,12,1),2)-1,7)+1)=AJ$5,", "&amp;15,"")&amp;IF(INDEX($Q$57:$W$67,2*INT((15+WEEKDAY(DATE(PlanYear,12,1),2)-1)/7)+1,MOD(15+WEEKDAY(DATE(PlanYear,12,1),2)-1,7)+1)=AJ$5,", "&amp;16,"")&amp;IF(INDEX($Q$57:$W$67,2*INT((16+WEEKDAY(DATE(PlanYear,12,1),2)-1)/7)+1,MOD(16+WEEKDAY(DATE(PlanYear,12,1),2)-1,7)+1)=AJ$5,", "&amp;17,"")&amp;IF(INDEX($Q$57:$W$67,2*INT((17+WEEKDAY(DATE(PlanYear,12,1),2)-1)/7)+1,MOD(17+WEEKDAY(DATE(PlanYear,12,1),2)-1,7)+1)=AJ$5,", "&amp;18,"")&amp;IF(INDEX($Q$57:$W$67,2*INT((18+WEEKDAY(DATE(PlanYear,12,1),2)-1)/7)+1,MOD(18+WEEKDAY(DATE(PlanYear,12,1),2)-1,7)+1)=AJ$5,", "&amp;19,"")&amp;IF(INDEX($Q$57:$W$67,2*INT((19+WEEKDAY(DATE(PlanYear,12,1),2)-1)/7)+1,MOD(19+WEEKDAY(DATE(PlanYear,12,1),2)-1,7)+1)=AJ$5,", "&amp;20,"")&amp;IF(INDEX($Q$57:$W$67,2*INT((20+WEEKDAY(DATE(PlanYear,12,1),2)-1)/7)+1,MOD(20+WEEKDAY(DATE(PlanYear,12,1),2)-1,7)+1)=AJ$5,", "&amp;21,"")&amp;IF(INDEX($Q$57:$W$67,2*INT((21+WEEKDAY(DATE(PlanYear,12,1),2)-1)/7)+1,MOD(21+WEEKDAY(DATE(PlanYear,12,1),2)-1,7)+1)=AJ$5,", "&amp;22,"")&amp;IF(INDEX($Q$57:$W$67,2*INT((22+WEEKDAY(DATE(PlanYear,12,1),2)-1)/7)+1,MOD(22+WEEKDAY(DATE(PlanYear,12,1),2)-1,7)+1)=AJ$5,", "&amp;23,"")&amp;IF(INDEX($Q$57:$W$67,2*INT((23+WEEKDAY(DATE(PlanYear,12,1),2)-1)/7)+1,MOD(23+WEEKDAY(DATE(PlanYear,12,1),2)-1,7)+1)=AJ$5,", "&amp;24,"")&amp;IF(INDEX($Q$57:$W$67,2*INT((24+WEEKDAY(DATE(PlanYear,12,1),2)-1)/7)+1,MOD(24+WEEKDAY(DATE(PlanYear,12,1),2)-1,7)+1)=AJ$5,", "&amp;25,"")&amp;IF(INDEX($Q$57:$W$67,2*INT((25+WEEKDAY(DATE(PlanYear,12,1),2)-1)/7)+1,MOD(25+WEEKDAY(DATE(PlanYear,12,1),2)-1,7)+1)=AJ$5,", "&amp;26,"")&amp;IF(INDEX($Q$57:$W$67,2*INT((26+WEEKDAY(DATE(PlanYear,12,1),2)-1)/7)+1,MOD(26+WEEKDAY(DATE(PlanYear,12,1),2)-1,7)+1)=AJ$5,", "&amp;27,"")&amp;IF(INDEX($Q$57:$W$67,2*INT((27+WEEKDAY(DATE(PlanYear,12,1),2)-1)/7)+1,MOD(27+WEEKDAY(DATE(PlanYear,12,1),2)-1,7)+1)=AJ$5,", "&amp;28,"")&amp;IF(INDEX($Q$57:$W$67,2*INT((28+WEEKDAY(DATE(PlanYear,12,1),2)-1)/7)+1,MOD(28+WEEKDAY(DATE(PlanYear,12,1),2)-1,7)+1)=AJ$5,", "&amp;29,"")&amp;IF(INDEX($Q$57:$W$67,2*INT((29+WEEKDAY(DATE(PlanYear,12,1),2)-1)/7)+1,MOD(29+WEEKDAY(DATE(PlanYear,12,1),2)-1,7)+1)=AJ$5,", "&amp;30,"")&amp;IF(INDEX($Q$57:$W$67,2*INT((30+WEEKDAY(DATE(PlanYear,12,1),2)-1)/7)+1,MOD(30+WEEKDAY(DATE(PlanYear,12,1),2)-1,7)+1)=AJ$5,", "&amp;31,""),3,200))</f>
        <v/>
      </c>
      <c r="AK17" s="17">
        <f>DAY(EOMONTH(DATE(PlanYear,12,1),0))-COUNTIF($Q$57:$W$67,"?*")</f>
        <v/>
      </c>
    </row>
    <row r="18" ht="14" customHeight="1">
      <c r="A18" s="20">
        <f>IF(AND(36-(WEEKDAY(DATE(PlanYear,1,1),2)-1)&gt;=1,36-(WEEKDAY(DATE(PlanYear,1,1),2)-1)&lt;=DAY(EOMONTH(DATE(PlanYear,1,1),0))),DATE(PlanYear,1,1)+36-WEEKDAY(DATE(PlanYear,1,1),2),"")</f>
        <v/>
      </c>
      <c r="B18" s="20">
        <f>IF(AND(37-(WEEKDAY(DATE(PlanYear,1,1),2)-1)&gt;=1,37-(WEEKDAY(DATE(PlanYear,1,1),2)-1)&lt;=DAY(EOMONTH(DATE(PlanYear,1,1),0))),DATE(PlanYear,1,1)+37-WEEKDAY(DATE(PlanYear,1,1),2),"")</f>
        <v/>
      </c>
      <c r="C18" s="20">
        <f>IF(AND(38-(WEEKDAY(DATE(PlanYear,1,1),2)-1)&gt;=1,38-(WEEKDAY(DATE(PlanYear,1,1),2)-1)&lt;=DAY(EOMONTH(DATE(PlanYear,1,1),0))),DATE(PlanYear,1,1)+38-WEEKDAY(DATE(PlanYear,1,1),2),"")</f>
        <v/>
      </c>
      <c r="D18" s="20">
        <f>IF(AND(39-(WEEKDAY(DATE(PlanYear,1,1),2)-1)&gt;=1,39-(WEEKDAY(DATE(PlanYear,1,1),2)-1)&lt;=DAY(EOMONTH(DATE(PlanYear,1,1),0))),DATE(PlanYear,1,1)+39-WEEKDAY(DATE(PlanYear,1,1),2),"")</f>
        <v/>
      </c>
      <c r="E18" s="20">
        <f>IF(AND(40-(WEEKDAY(DATE(PlanYear,1,1),2)-1)&gt;=1,40-(WEEKDAY(DATE(PlanYear,1,1),2)-1)&lt;=DAY(EOMONTH(DATE(PlanYear,1,1),0))),DATE(PlanYear,1,1)+40-WEEKDAY(DATE(PlanYear,1,1),2),"")</f>
        <v/>
      </c>
      <c r="F18" s="20">
        <f>IF(AND(41-(WEEKDAY(DATE(PlanYear,1,1),2)-1)&gt;=1,41-(WEEKDAY(DATE(PlanYear,1,1),2)-1)&lt;=DAY(EOMONTH(DATE(PlanYear,1,1),0))),DATE(PlanYear,1,1)+41-WEEKDAY(DATE(PlanYear,1,1),2),"")</f>
        <v/>
      </c>
      <c r="G18" s="20">
        <f>IF(AND(42-(WEEKDAY(DATE(PlanYear,1,1),2)-1)&gt;=1,42-(WEEKDAY(DATE(PlanYear,1,1),2)-1)&lt;=DAY(EOMONTH(DATE(PlanYear,1,1),0))),DATE(PlanYear,1,1)+42-WEEKDAY(DATE(PlanYear,1,1),2),"")</f>
        <v/>
      </c>
      <c r="I18" s="20">
        <f>IF(AND(36-(WEEKDAY(DATE(PlanYear,2,1),2)-1)&gt;=1,36-(WEEKDAY(DATE(PlanYear,2,1),2)-1)&lt;=DAY(EOMONTH(DATE(PlanYear,2,1),0))),DATE(PlanYear,2,1)+36-WEEKDAY(DATE(PlanYear,2,1),2),"")</f>
        <v/>
      </c>
      <c r="J18" s="20">
        <f>IF(AND(37-(WEEKDAY(DATE(PlanYear,2,1),2)-1)&gt;=1,37-(WEEKDAY(DATE(PlanYear,2,1),2)-1)&lt;=DAY(EOMONTH(DATE(PlanYear,2,1),0))),DATE(PlanYear,2,1)+37-WEEKDAY(DATE(PlanYear,2,1),2),"")</f>
        <v/>
      </c>
      <c r="K18" s="20">
        <f>IF(AND(38-(WEEKDAY(DATE(PlanYear,2,1),2)-1)&gt;=1,38-(WEEKDAY(DATE(PlanYear,2,1),2)-1)&lt;=DAY(EOMONTH(DATE(PlanYear,2,1),0))),DATE(PlanYear,2,1)+38-WEEKDAY(DATE(PlanYear,2,1),2),"")</f>
        <v/>
      </c>
      <c r="L18" s="20">
        <f>IF(AND(39-(WEEKDAY(DATE(PlanYear,2,1),2)-1)&gt;=1,39-(WEEKDAY(DATE(PlanYear,2,1),2)-1)&lt;=DAY(EOMONTH(DATE(PlanYear,2,1),0))),DATE(PlanYear,2,1)+39-WEEKDAY(DATE(PlanYear,2,1),2),"")</f>
        <v/>
      </c>
      <c r="M18" s="20">
        <f>IF(AND(40-(WEEKDAY(DATE(PlanYear,2,1),2)-1)&gt;=1,40-(WEEKDAY(DATE(PlanYear,2,1),2)-1)&lt;=DAY(EOMONTH(DATE(PlanYear,2,1),0))),DATE(PlanYear,2,1)+40-WEEKDAY(DATE(PlanYear,2,1),2),"")</f>
        <v/>
      </c>
      <c r="N18" s="20">
        <f>IF(AND(41-(WEEKDAY(DATE(PlanYear,2,1),2)-1)&gt;=1,41-(WEEKDAY(DATE(PlanYear,2,1),2)-1)&lt;=DAY(EOMONTH(DATE(PlanYear,2,1),0))),DATE(PlanYear,2,1)+41-WEEKDAY(DATE(PlanYear,2,1),2),"")</f>
        <v/>
      </c>
      <c r="O18" s="20">
        <f>IF(AND(42-(WEEKDAY(DATE(PlanYear,2,1),2)-1)&gt;=1,42-(WEEKDAY(DATE(PlanYear,2,1),2)-1)&lt;=DAY(EOMONTH(DATE(PlanYear,2,1),0))),DATE(PlanYear,2,1)+42-WEEKDAY(DATE(PlanYear,2,1),2),"")</f>
        <v/>
      </c>
      <c r="Q18" s="20">
        <f>IF(AND(36-(WEEKDAY(DATE(PlanYear,3,1),2)-1)&gt;=1,36-(WEEKDAY(DATE(PlanYear,3,1),2)-1)&lt;=DAY(EOMONTH(DATE(PlanYear,3,1),0))),DATE(PlanYear,3,1)+36-WEEKDAY(DATE(PlanYear,3,1),2),"")</f>
        <v/>
      </c>
      <c r="R18" s="20">
        <f>IF(AND(37-(WEEKDAY(DATE(PlanYear,3,1),2)-1)&gt;=1,37-(WEEKDAY(DATE(PlanYear,3,1),2)-1)&lt;=DAY(EOMONTH(DATE(PlanYear,3,1),0))),DATE(PlanYear,3,1)+37-WEEKDAY(DATE(PlanYear,3,1),2),"")</f>
        <v/>
      </c>
      <c r="S18" s="20">
        <f>IF(AND(38-(WEEKDAY(DATE(PlanYear,3,1),2)-1)&gt;=1,38-(WEEKDAY(DATE(PlanYear,3,1),2)-1)&lt;=DAY(EOMONTH(DATE(PlanYear,3,1),0))),DATE(PlanYear,3,1)+38-WEEKDAY(DATE(PlanYear,3,1),2),"")</f>
        <v/>
      </c>
      <c r="T18" s="20">
        <f>IF(AND(39-(WEEKDAY(DATE(PlanYear,3,1),2)-1)&gt;=1,39-(WEEKDAY(DATE(PlanYear,3,1),2)-1)&lt;=DAY(EOMONTH(DATE(PlanYear,3,1),0))),DATE(PlanYear,3,1)+39-WEEKDAY(DATE(PlanYear,3,1),2),"")</f>
        <v/>
      </c>
      <c r="U18" s="20">
        <f>IF(AND(40-(WEEKDAY(DATE(PlanYear,3,1),2)-1)&gt;=1,40-(WEEKDAY(DATE(PlanYear,3,1),2)-1)&lt;=DAY(EOMONTH(DATE(PlanYear,3,1),0))),DATE(PlanYear,3,1)+40-WEEKDAY(DATE(PlanYear,3,1),2),"")</f>
        <v/>
      </c>
      <c r="V18" s="20">
        <f>IF(AND(41-(WEEKDAY(DATE(PlanYear,3,1),2)-1)&gt;=1,41-(WEEKDAY(DATE(PlanYear,3,1),2)-1)&lt;=DAY(EOMONTH(DATE(PlanYear,3,1),0))),DATE(PlanYear,3,1)+41-WEEKDAY(DATE(PlanYear,3,1),2),"")</f>
        <v/>
      </c>
      <c r="W18" s="20">
        <f>IF(AND(42-(WEEKDAY(DATE(PlanYear,3,1),2)-1)&gt;=1,42-(WEEKDAY(DATE(PlanYear,3,1),2)-1)&lt;=DAY(EOMONTH(DATE(PlanYear,3,1),0))),DATE(PlanYear,3,1)+42-WEEKDAY(DATE(PlanYear,3,1),2),"")</f>
        <v/>
      </c>
      <c r="Z18" s="22" t="inlineStr">
        <is>
          <t>Total days</t>
        </is>
      </c>
      <c r="AA18" s="23">
        <f>IF(AA$5="","",COUNTIF($A$9:$G$19,AA$5)+COUNTIF($I$9:$O$19,AA$5)+COUNTIF($Q$9:$W$19,AA$5)+COUNTIF($A$25:$G$35,AA$5)+COUNTIF($I$25:$O$35,AA$5)+COUNTIF($Q$25:$W$35,AA$5)+COUNTIF($A$41:$G$51,AA$5)+COUNTIF($I$41:$O$51,AA$5)+COUNTIF($Q$41:$W$51,AA$5)+COUNTIF($A$57:$G$67,AA$5)+COUNTIF($I$57:$O$67,AA$5)+COUNTIF($Q$57:$W$67,AA$5))</f>
        <v/>
      </c>
      <c r="AB18" s="23">
        <f>IF(AB$5="","",COUNTIF($A$9:$G$19,AB$5)+COUNTIF($I$9:$O$19,AB$5)+COUNTIF($Q$9:$W$19,AB$5)+COUNTIF($A$25:$G$35,AB$5)+COUNTIF($I$25:$O$35,AB$5)+COUNTIF($Q$25:$W$35,AB$5)+COUNTIF($A$41:$G$51,AB$5)+COUNTIF($I$41:$O$51,AB$5)+COUNTIF($Q$41:$W$51,AB$5)+COUNTIF($A$57:$G$67,AB$5)+COUNTIF($I$57:$O$67,AB$5)+COUNTIF($Q$57:$W$67,AB$5))</f>
        <v/>
      </c>
      <c r="AC18" s="23">
        <f>IF(AC$5="","",COUNTIF($A$9:$G$19,AC$5)+COUNTIF($I$9:$O$19,AC$5)+COUNTIF($Q$9:$W$19,AC$5)+COUNTIF($A$25:$G$35,AC$5)+COUNTIF($I$25:$O$35,AC$5)+COUNTIF($Q$25:$W$35,AC$5)+COUNTIF($A$41:$G$51,AC$5)+COUNTIF($I$41:$O$51,AC$5)+COUNTIF($Q$41:$W$51,AC$5)+COUNTIF($A$57:$G$67,AC$5)+COUNTIF($I$57:$O$67,AC$5)+COUNTIF($Q$57:$W$67,AC$5))</f>
        <v/>
      </c>
      <c r="AD18" s="23">
        <f>IF(AD$5="","",COUNTIF($A$9:$G$19,AD$5)+COUNTIF($I$9:$O$19,AD$5)+COUNTIF($Q$9:$W$19,AD$5)+COUNTIF($A$25:$G$35,AD$5)+COUNTIF($I$25:$O$35,AD$5)+COUNTIF($Q$25:$W$35,AD$5)+COUNTIF($A$41:$G$51,AD$5)+COUNTIF($I$41:$O$51,AD$5)+COUNTIF($Q$41:$W$51,AD$5)+COUNTIF($A$57:$G$67,AD$5)+COUNTIF($I$57:$O$67,AD$5)+COUNTIF($Q$57:$W$67,AD$5))</f>
        <v/>
      </c>
      <c r="AE18" s="23">
        <f>IF(AE$5="","",COUNTIF($A$9:$G$19,AE$5)+COUNTIF($I$9:$O$19,AE$5)+COUNTIF($Q$9:$W$19,AE$5)+COUNTIF($A$25:$G$35,AE$5)+COUNTIF($I$25:$O$35,AE$5)+COUNTIF($Q$25:$W$35,AE$5)+COUNTIF($A$41:$G$51,AE$5)+COUNTIF($I$41:$O$51,AE$5)+COUNTIF($Q$41:$W$51,AE$5)+COUNTIF($A$57:$G$67,AE$5)+COUNTIF($I$57:$O$67,AE$5)+COUNTIF($Q$57:$W$67,AE$5))</f>
        <v/>
      </c>
      <c r="AF18" s="23">
        <f>IF(AF$5="","",COUNTIF($A$9:$G$19,AF$5)+COUNTIF($I$9:$O$19,AF$5)+COUNTIF($Q$9:$W$19,AF$5)+COUNTIF($A$25:$G$35,AF$5)+COUNTIF($I$25:$O$35,AF$5)+COUNTIF($Q$25:$W$35,AF$5)+COUNTIF($A$41:$G$51,AF$5)+COUNTIF($I$41:$O$51,AF$5)+COUNTIF($Q$41:$W$51,AF$5)+COUNTIF($A$57:$G$67,AF$5)+COUNTIF($I$57:$O$67,AF$5)+COUNTIF($Q$57:$W$67,AF$5))</f>
        <v/>
      </c>
      <c r="AG18" s="23">
        <f>IF(AG$5="","",COUNTIF($A$9:$G$19,AG$5)+COUNTIF($I$9:$O$19,AG$5)+COUNTIF($Q$9:$W$19,AG$5)+COUNTIF($A$25:$G$35,AG$5)+COUNTIF($I$25:$O$35,AG$5)+COUNTIF($Q$25:$W$35,AG$5)+COUNTIF($A$41:$G$51,AG$5)+COUNTIF($I$41:$O$51,AG$5)+COUNTIF($Q$41:$W$51,AG$5)+COUNTIF($A$57:$G$67,AG$5)+COUNTIF($I$57:$O$67,AG$5)+COUNTIF($Q$57:$W$67,AG$5))</f>
        <v/>
      </c>
      <c r="AH18" s="23">
        <f>IF(AH$5="","",COUNTIF($A$9:$G$19,AH$5)+COUNTIF($I$9:$O$19,AH$5)+COUNTIF($Q$9:$W$19,AH$5)+COUNTIF($A$25:$G$35,AH$5)+COUNTIF($I$25:$O$35,AH$5)+COUNTIF($Q$25:$W$35,AH$5)+COUNTIF($A$41:$G$51,AH$5)+COUNTIF($I$41:$O$51,AH$5)+COUNTIF($Q$41:$W$51,AH$5)+COUNTIF($A$57:$G$67,AH$5)+COUNTIF($I$57:$O$67,AH$5)+COUNTIF($Q$57:$W$67,AH$5))</f>
        <v/>
      </c>
      <c r="AI18" s="23">
        <f>IF(AI$5="","",COUNTIF($A$9:$G$19,AI$5)+COUNTIF($I$9:$O$19,AI$5)+COUNTIF($Q$9:$W$19,AI$5)+COUNTIF($A$25:$G$35,AI$5)+COUNTIF($I$25:$O$35,AI$5)+COUNTIF($Q$25:$W$35,AI$5)+COUNTIF($A$41:$G$51,AI$5)+COUNTIF($I$41:$O$51,AI$5)+COUNTIF($Q$41:$W$51,AI$5)+COUNTIF($A$57:$G$67,AI$5)+COUNTIF($I$57:$O$67,AI$5)+COUNTIF($Q$57:$W$67,AI$5))</f>
        <v/>
      </c>
      <c r="AJ18" s="23">
        <f>IF(AJ$5="","",COUNTIF($A$9:$G$19,AJ$5)+COUNTIF($I$9:$O$19,AJ$5)+COUNTIF($Q$9:$W$19,AJ$5)+COUNTIF($A$25:$G$35,AJ$5)+COUNTIF($I$25:$O$35,AJ$5)+COUNTIF($Q$25:$W$35,AJ$5)+COUNTIF($A$41:$G$51,AJ$5)+COUNTIF($I$41:$O$51,AJ$5)+COUNTIF($Q$41:$W$51,AJ$5)+COUNTIF($A$57:$G$67,AJ$5)+COUNTIF($I$57:$O$67,AJ$5)+COUNTIF($Q$57:$W$67,AJ$5))</f>
        <v/>
      </c>
    </row>
    <row r="19" ht="26" customHeight="1">
      <c r="A19" s="21" t="n"/>
      <c r="B19" s="21" t="n"/>
      <c r="C19" s="21" t="n"/>
      <c r="D19" s="21" t="n"/>
      <c r="E19" s="21" t="n"/>
      <c r="F19" s="21" t="n"/>
      <c r="G19" s="21" t="n"/>
      <c r="I19" s="21" t="n"/>
      <c r="J19" s="21" t="n"/>
      <c r="K19" s="21" t="n"/>
      <c r="L19" s="21" t="n"/>
      <c r="M19" s="21" t="n"/>
      <c r="N19" s="21" t="n"/>
      <c r="O19" s="21" t="n"/>
      <c r="Q19" s="21" t="n"/>
      <c r="R19" s="21" t="n"/>
      <c r="S19" s="21" t="n"/>
      <c r="T19" s="21" t="n"/>
      <c r="U19" s="21" t="n"/>
      <c r="V19" s="21" t="n"/>
      <c r="W19" s="21" t="n"/>
      <c r="Z19" s="15" t="inlineStr">
        <is>
          <t>Jan (next yr)</t>
        </is>
      </c>
      <c r="AA19" s="16">
        <f>IF(AA$5="","",MID(IF(INDEX($A$73:$G$83,2*INT((0+WEEKDAY(DATE(PlanYear,13,1),2)-1)/7)+1,MOD(0+WEEKDAY(DATE(PlanYear,13,1),2)-1,7)+1)=AA$5,", "&amp;1,"")&amp;IF(INDEX($A$73:$G$83,2*INT((1+WEEKDAY(DATE(PlanYear,13,1),2)-1)/7)+1,MOD(1+WEEKDAY(DATE(PlanYear,13,1),2)-1,7)+1)=AA$5,", "&amp;2,"")&amp;IF(INDEX($A$73:$G$83,2*INT((2+WEEKDAY(DATE(PlanYear,13,1),2)-1)/7)+1,MOD(2+WEEKDAY(DATE(PlanYear,13,1),2)-1,7)+1)=AA$5,", "&amp;3,"")&amp;IF(INDEX($A$73:$G$83,2*INT((3+WEEKDAY(DATE(PlanYear,13,1),2)-1)/7)+1,MOD(3+WEEKDAY(DATE(PlanYear,13,1),2)-1,7)+1)=AA$5,", "&amp;4,"")&amp;IF(INDEX($A$73:$G$83,2*INT((4+WEEKDAY(DATE(PlanYear,13,1),2)-1)/7)+1,MOD(4+WEEKDAY(DATE(PlanYear,13,1),2)-1,7)+1)=AA$5,", "&amp;5,"")&amp;IF(INDEX($A$73:$G$83,2*INT((5+WEEKDAY(DATE(PlanYear,13,1),2)-1)/7)+1,MOD(5+WEEKDAY(DATE(PlanYear,13,1),2)-1,7)+1)=AA$5,", "&amp;6,"")&amp;IF(INDEX($A$73:$G$83,2*INT((6+WEEKDAY(DATE(PlanYear,13,1),2)-1)/7)+1,MOD(6+WEEKDAY(DATE(PlanYear,13,1),2)-1,7)+1)=AA$5,", "&amp;7,"")&amp;IF(INDEX($A$73:$G$83,2*INT((7+WEEKDAY(DATE(PlanYear,13,1),2)-1)/7)+1,MOD(7+WEEKDAY(DATE(PlanYear,13,1),2)-1,7)+1)=AA$5,", "&amp;8,"")&amp;IF(INDEX($A$73:$G$83,2*INT((8+WEEKDAY(DATE(PlanYear,13,1),2)-1)/7)+1,MOD(8+WEEKDAY(DATE(PlanYear,13,1),2)-1,7)+1)=AA$5,", "&amp;9,"")&amp;IF(INDEX($A$73:$G$83,2*INT((9+WEEKDAY(DATE(PlanYear,13,1),2)-1)/7)+1,MOD(9+WEEKDAY(DATE(PlanYear,13,1),2)-1,7)+1)=AA$5,", "&amp;10,"")&amp;IF(INDEX($A$73:$G$83,2*INT((10+WEEKDAY(DATE(PlanYear,13,1),2)-1)/7)+1,MOD(10+WEEKDAY(DATE(PlanYear,13,1),2)-1,7)+1)=AA$5,", "&amp;11,"")&amp;IF(INDEX($A$73:$G$83,2*INT((11+WEEKDAY(DATE(PlanYear,13,1),2)-1)/7)+1,MOD(11+WEEKDAY(DATE(PlanYear,13,1),2)-1,7)+1)=AA$5,", "&amp;12,"")&amp;IF(INDEX($A$73:$G$83,2*INT((12+WEEKDAY(DATE(PlanYear,13,1),2)-1)/7)+1,MOD(12+WEEKDAY(DATE(PlanYear,13,1),2)-1,7)+1)=AA$5,", "&amp;13,"")&amp;IF(INDEX($A$73:$G$83,2*INT((13+WEEKDAY(DATE(PlanYear,13,1),2)-1)/7)+1,MOD(13+WEEKDAY(DATE(PlanYear,13,1),2)-1,7)+1)=AA$5,", "&amp;14,"")&amp;IF(INDEX($A$73:$G$83,2*INT((14+WEEKDAY(DATE(PlanYear,13,1),2)-1)/7)+1,MOD(14+WEEKDAY(DATE(PlanYear,13,1),2)-1,7)+1)=AA$5,", "&amp;15,"")&amp;IF(INDEX($A$73:$G$83,2*INT((15+WEEKDAY(DATE(PlanYear,13,1),2)-1)/7)+1,MOD(15+WEEKDAY(DATE(PlanYear,13,1),2)-1,7)+1)=AA$5,", "&amp;16,"")&amp;IF(INDEX($A$73:$G$83,2*INT((16+WEEKDAY(DATE(PlanYear,13,1),2)-1)/7)+1,MOD(16+WEEKDAY(DATE(PlanYear,13,1),2)-1,7)+1)=AA$5,", "&amp;17,"")&amp;IF(INDEX($A$73:$G$83,2*INT((17+WEEKDAY(DATE(PlanYear,13,1),2)-1)/7)+1,MOD(17+WEEKDAY(DATE(PlanYear,13,1),2)-1,7)+1)=AA$5,", "&amp;18,"")&amp;IF(INDEX($A$73:$G$83,2*INT((18+WEEKDAY(DATE(PlanYear,13,1),2)-1)/7)+1,MOD(18+WEEKDAY(DATE(PlanYear,13,1),2)-1,7)+1)=AA$5,", "&amp;19,"")&amp;IF(INDEX($A$73:$G$83,2*INT((19+WEEKDAY(DATE(PlanYear,13,1),2)-1)/7)+1,MOD(19+WEEKDAY(DATE(PlanYear,13,1),2)-1,7)+1)=AA$5,", "&amp;20,"")&amp;IF(INDEX($A$73:$G$83,2*INT((20+WEEKDAY(DATE(PlanYear,13,1),2)-1)/7)+1,MOD(20+WEEKDAY(DATE(PlanYear,13,1),2)-1,7)+1)=AA$5,", "&amp;21,"")&amp;IF(INDEX($A$73:$G$83,2*INT((21+WEEKDAY(DATE(PlanYear,13,1),2)-1)/7)+1,MOD(21+WEEKDAY(DATE(PlanYear,13,1),2)-1,7)+1)=AA$5,", "&amp;22,"")&amp;IF(INDEX($A$73:$G$83,2*INT((22+WEEKDAY(DATE(PlanYear,13,1),2)-1)/7)+1,MOD(22+WEEKDAY(DATE(PlanYear,13,1),2)-1,7)+1)=AA$5,", "&amp;23,"")&amp;IF(INDEX($A$73:$G$83,2*INT((23+WEEKDAY(DATE(PlanYear,13,1),2)-1)/7)+1,MOD(23+WEEKDAY(DATE(PlanYear,13,1),2)-1,7)+1)=AA$5,", "&amp;24,"")&amp;IF(INDEX($A$73:$G$83,2*INT((24+WEEKDAY(DATE(PlanYear,13,1),2)-1)/7)+1,MOD(24+WEEKDAY(DATE(PlanYear,13,1),2)-1,7)+1)=AA$5,", "&amp;25,"")&amp;IF(INDEX($A$73:$G$83,2*INT((25+WEEKDAY(DATE(PlanYear,13,1),2)-1)/7)+1,MOD(25+WEEKDAY(DATE(PlanYear,13,1),2)-1,7)+1)=AA$5,", "&amp;26,"")&amp;IF(INDEX($A$73:$G$83,2*INT((26+WEEKDAY(DATE(PlanYear,13,1),2)-1)/7)+1,MOD(26+WEEKDAY(DATE(PlanYear,13,1),2)-1,7)+1)=AA$5,", "&amp;27,"")&amp;IF(INDEX($A$73:$G$83,2*INT((27+WEEKDAY(DATE(PlanYear,13,1),2)-1)/7)+1,MOD(27+WEEKDAY(DATE(PlanYear,13,1),2)-1,7)+1)=AA$5,", "&amp;28,"")&amp;IF(INDEX($A$73:$G$83,2*INT((28+WEEKDAY(DATE(PlanYear,13,1),2)-1)/7)+1,MOD(28+WEEKDAY(DATE(PlanYear,13,1),2)-1,7)+1)=AA$5,", "&amp;29,"")&amp;IF(INDEX($A$73:$G$83,2*INT((29+WEEKDAY(DATE(PlanYear,13,1),2)-1)/7)+1,MOD(29+WEEKDAY(DATE(PlanYear,13,1),2)-1,7)+1)=AA$5,", "&amp;30,"")&amp;IF(INDEX($A$73:$G$83,2*INT((30+WEEKDAY(DATE(PlanYear,13,1),2)-1)/7)+1,MOD(30+WEEKDAY(DATE(PlanYear,13,1),2)-1,7)+1)=AA$5,", "&amp;31,""),3,200))</f>
        <v/>
      </c>
      <c r="AB19" s="16">
        <f>IF(AB$5="","",MID(IF(INDEX($A$73:$G$83,2*INT((0+WEEKDAY(DATE(PlanYear,13,1),2)-1)/7)+1,MOD(0+WEEKDAY(DATE(PlanYear,13,1),2)-1,7)+1)=AB$5,", "&amp;1,"")&amp;IF(INDEX($A$73:$G$83,2*INT((1+WEEKDAY(DATE(PlanYear,13,1),2)-1)/7)+1,MOD(1+WEEKDAY(DATE(PlanYear,13,1),2)-1,7)+1)=AB$5,", "&amp;2,"")&amp;IF(INDEX($A$73:$G$83,2*INT((2+WEEKDAY(DATE(PlanYear,13,1),2)-1)/7)+1,MOD(2+WEEKDAY(DATE(PlanYear,13,1),2)-1,7)+1)=AB$5,", "&amp;3,"")&amp;IF(INDEX($A$73:$G$83,2*INT((3+WEEKDAY(DATE(PlanYear,13,1),2)-1)/7)+1,MOD(3+WEEKDAY(DATE(PlanYear,13,1),2)-1,7)+1)=AB$5,", "&amp;4,"")&amp;IF(INDEX($A$73:$G$83,2*INT((4+WEEKDAY(DATE(PlanYear,13,1),2)-1)/7)+1,MOD(4+WEEKDAY(DATE(PlanYear,13,1),2)-1,7)+1)=AB$5,", "&amp;5,"")&amp;IF(INDEX($A$73:$G$83,2*INT((5+WEEKDAY(DATE(PlanYear,13,1),2)-1)/7)+1,MOD(5+WEEKDAY(DATE(PlanYear,13,1),2)-1,7)+1)=AB$5,", "&amp;6,"")&amp;IF(INDEX($A$73:$G$83,2*INT((6+WEEKDAY(DATE(PlanYear,13,1),2)-1)/7)+1,MOD(6+WEEKDAY(DATE(PlanYear,13,1),2)-1,7)+1)=AB$5,", "&amp;7,"")&amp;IF(INDEX($A$73:$G$83,2*INT((7+WEEKDAY(DATE(PlanYear,13,1),2)-1)/7)+1,MOD(7+WEEKDAY(DATE(PlanYear,13,1),2)-1,7)+1)=AB$5,", "&amp;8,"")&amp;IF(INDEX($A$73:$G$83,2*INT((8+WEEKDAY(DATE(PlanYear,13,1),2)-1)/7)+1,MOD(8+WEEKDAY(DATE(PlanYear,13,1),2)-1,7)+1)=AB$5,", "&amp;9,"")&amp;IF(INDEX($A$73:$G$83,2*INT((9+WEEKDAY(DATE(PlanYear,13,1),2)-1)/7)+1,MOD(9+WEEKDAY(DATE(PlanYear,13,1),2)-1,7)+1)=AB$5,", "&amp;10,"")&amp;IF(INDEX($A$73:$G$83,2*INT((10+WEEKDAY(DATE(PlanYear,13,1),2)-1)/7)+1,MOD(10+WEEKDAY(DATE(PlanYear,13,1),2)-1,7)+1)=AB$5,", "&amp;11,"")&amp;IF(INDEX($A$73:$G$83,2*INT((11+WEEKDAY(DATE(PlanYear,13,1),2)-1)/7)+1,MOD(11+WEEKDAY(DATE(PlanYear,13,1),2)-1,7)+1)=AB$5,", "&amp;12,"")&amp;IF(INDEX($A$73:$G$83,2*INT((12+WEEKDAY(DATE(PlanYear,13,1),2)-1)/7)+1,MOD(12+WEEKDAY(DATE(PlanYear,13,1),2)-1,7)+1)=AB$5,", "&amp;13,"")&amp;IF(INDEX($A$73:$G$83,2*INT((13+WEEKDAY(DATE(PlanYear,13,1),2)-1)/7)+1,MOD(13+WEEKDAY(DATE(PlanYear,13,1),2)-1,7)+1)=AB$5,", "&amp;14,"")&amp;IF(INDEX($A$73:$G$83,2*INT((14+WEEKDAY(DATE(PlanYear,13,1),2)-1)/7)+1,MOD(14+WEEKDAY(DATE(PlanYear,13,1),2)-1,7)+1)=AB$5,", "&amp;15,"")&amp;IF(INDEX($A$73:$G$83,2*INT((15+WEEKDAY(DATE(PlanYear,13,1),2)-1)/7)+1,MOD(15+WEEKDAY(DATE(PlanYear,13,1),2)-1,7)+1)=AB$5,", "&amp;16,"")&amp;IF(INDEX($A$73:$G$83,2*INT((16+WEEKDAY(DATE(PlanYear,13,1),2)-1)/7)+1,MOD(16+WEEKDAY(DATE(PlanYear,13,1),2)-1,7)+1)=AB$5,", "&amp;17,"")&amp;IF(INDEX($A$73:$G$83,2*INT((17+WEEKDAY(DATE(PlanYear,13,1),2)-1)/7)+1,MOD(17+WEEKDAY(DATE(PlanYear,13,1),2)-1,7)+1)=AB$5,", "&amp;18,"")&amp;IF(INDEX($A$73:$G$83,2*INT((18+WEEKDAY(DATE(PlanYear,13,1),2)-1)/7)+1,MOD(18+WEEKDAY(DATE(PlanYear,13,1),2)-1,7)+1)=AB$5,", "&amp;19,"")&amp;IF(INDEX($A$73:$G$83,2*INT((19+WEEKDAY(DATE(PlanYear,13,1),2)-1)/7)+1,MOD(19+WEEKDAY(DATE(PlanYear,13,1),2)-1,7)+1)=AB$5,", "&amp;20,"")&amp;IF(INDEX($A$73:$G$83,2*INT((20+WEEKDAY(DATE(PlanYear,13,1),2)-1)/7)+1,MOD(20+WEEKDAY(DATE(PlanYear,13,1),2)-1,7)+1)=AB$5,", "&amp;21,"")&amp;IF(INDEX($A$73:$G$83,2*INT((21+WEEKDAY(DATE(PlanYear,13,1),2)-1)/7)+1,MOD(21+WEEKDAY(DATE(PlanYear,13,1),2)-1,7)+1)=AB$5,", "&amp;22,"")&amp;IF(INDEX($A$73:$G$83,2*INT((22+WEEKDAY(DATE(PlanYear,13,1),2)-1)/7)+1,MOD(22+WEEKDAY(DATE(PlanYear,13,1),2)-1,7)+1)=AB$5,", "&amp;23,"")&amp;IF(INDEX($A$73:$G$83,2*INT((23+WEEKDAY(DATE(PlanYear,13,1),2)-1)/7)+1,MOD(23+WEEKDAY(DATE(PlanYear,13,1),2)-1,7)+1)=AB$5,", "&amp;24,"")&amp;IF(INDEX($A$73:$G$83,2*INT((24+WEEKDAY(DATE(PlanYear,13,1),2)-1)/7)+1,MOD(24+WEEKDAY(DATE(PlanYear,13,1),2)-1,7)+1)=AB$5,", "&amp;25,"")&amp;IF(INDEX($A$73:$G$83,2*INT((25+WEEKDAY(DATE(PlanYear,13,1),2)-1)/7)+1,MOD(25+WEEKDAY(DATE(PlanYear,13,1),2)-1,7)+1)=AB$5,", "&amp;26,"")&amp;IF(INDEX($A$73:$G$83,2*INT((26+WEEKDAY(DATE(PlanYear,13,1),2)-1)/7)+1,MOD(26+WEEKDAY(DATE(PlanYear,13,1),2)-1,7)+1)=AB$5,", "&amp;27,"")&amp;IF(INDEX($A$73:$G$83,2*INT((27+WEEKDAY(DATE(PlanYear,13,1),2)-1)/7)+1,MOD(27+WEEKDAY(DATE(PlanYear,13,1),2)-1,7)+1)=AB$5,", "&amp;28,"")&amp;IF(INDEX($A$73:$G$83,2*INT((28+WEEKDAY(DATE(PlanYear,13,1),2)-1)/7)+1,MOD(28+WEEKDAY(DATE(PlanYear,13,1),2)-1,7)+1)=AB$5,", "&amp;29,"")&amp;IF(INDEX($A$73:$G$83,2*INT((29+WEEKDAY(DATE(PlanYear,13,1),2)-1)/7)+1,MOD(29+WEEKDAY(DATE(PlanYear,13,1),2)-1,7)+1)=AB$5,", "&amp;30,"")&amp;IF(INDEX($A$73:$G$83,2*INT((30+WEEKDAY(DATE(PlanYear,13,1),2)-1)/7)+1,MOD(30+WEEKDAY(DATE(PlanYear,13,1),2)-1,7)+1)=AB$5,", "&amp;31,""),3,200))</f>
        <v/>
      </c>
      <c r="AC19" s="16">
        <f>IF(AC$5="","",MID(IF(INDEX($A$73:$G$83,2*INT((0+WEEKDAY(DATE(PlanYear,13,1),2)-1)/7)+1,MOD(0+WEEKDAY(DATE(PlanYear,13,1),2)-1,7)+1)=AC$5,", "&amp;1,"")&amp;IF(INDEX($A$73:$G$83,2*INT((1+WEEKDAY(DATE(PlanYear,13,1),2)-1)/7)+1,MOD(1+WEEKDAY(DATE(PlanYear,13,1),2)-1,7)+1)=AC$5,", "&amp;2,"")&amp;IF(INDEX($A$73:$G$83,2*INT((2+WEEKDAY(DATE(PlanYear,13,1),2)-1)/7)+1,MOD(2+WEEKDAY(DATE(PlanYear,13,1),2)-1,7)+1)=AC$5,", "&amp;3,"")&amp;IF(INDEX($A$73:$G$83,2*INT((3+WEEKDAY(DATE(PlanYear,13,1),2)-1)/7)+1,MOD(3+WEEKDAY(DATE(PlanYear,13,1),2)-1,7)+1)=AC$5,", "&amp;4,"")&amp;IF(INDEX($A$73:$G$83,2*INT((4+WEEKDAY(DATE(PlanYear,13,1),2)-1)/7)+1,MOD(4+WEEKDAY(DATE(PlanYear,13,1),2)-1,7)+1)=AC$5,", "&amp;5,"")&amp;IF(INDEX($A$73:$G$83,2*INT((5+WEEKDAY(DATE(PlanYear,13,1),2)-1)/7)+1,MOD(5+WEEKDAY(DATE(PlanYear,13,1),2)-1,7)+1)=AC$5,", "&amp;6,"")&amp;IF(INDEX($A$73:$G$83,2*INT((6+WEEKDAY(DATE(PlanYear,13,1),2)-1)/7)+1,MOD(6+WEEKDAY(DATE(PlanYear,13,1),2)-1,7)+1)=AC$5,", "&amp;7,"")&amp;IF(INDEX($A$73:$G$83,2*INT((7+WEEKDAY(DATE(PlanYear,13,1),2)-1)/7)+1,MOD(7+WEEKDAY(DATE(PlanYear,13,1),2)-1,7)+1)=AC$5,", "&amp;8,"")&amp;IF(INDEX($A$73:$G$83,2*INT((8+WEEKDAY(DATE(PlanYear,13,1),2)-1)/7)+1,MOD(8+WEEKDAY(DATE(PlanYear,13,1),2)-1,7)+1)=AC$5,", "&amp;9,"")&amp;IF(INDEX($A$73:$G$83,2*INT((9+WEEKDAY(DATE(PlanYear,13,1),2)-1)/7)+1,MOD(9+WEEKDAY(DATE(PlanYear,13,1),2)-1,7)+1)=AC$5,", "&amp;10,"")&amp;IF(INDEX($A$73:$G$83,2*INT((10+WEEKDAY(DATE(PlanYear,13,1),2)-1)/7)+1,MOD(10+WEEKDAY(DATE(PlanYear,13,1),2)-1,7)+1)=AC$5,", "&amp;11,"")&amp;IF(INDEX($A$73:$G$83,2*INT((11+WEEKDAY(DATE(PlanYear,13,1),2)-1)/7)+1,MOD(11+WEEKDAY(DATE(PlanYear,13,1),2)-1,7)+1)=AC$5,", "&amp;12,"")&amp;IF(INDEX($A$73:$G$83,2*INT((12+WEEKDAY(DATE(PlanYear,13,1),2)-1)/7)+1,MOD(12+WEEKDAY(DATE(PlanYear,13,1),2)-1,7)+1)=AC$5,", "&amp;13,"")&amp;IF(INDEX($A$73:$G$83,2*INT((13+WEEKDAY(DATE(PlanYear,13,1),2)-1)/7)+1,MOD(13+WEEKDAY(DATE(PlanYear,13,1),2)-1,7)+1)=AC$5,", "&amp;14,"")&amp;IF(INDEX($A$73:$G$83,2*INT((14+WEEKDAY(DATE(PlanYear,13,1),2)-1)/7)+1,MOD(14+WEEKDAY(DATE(PlanYear,13,1),2)-1,7)+1)=AC$5,", "&amp;15,"")&amp;IF(INDEX($A$73:$G$83,2*INT((15+WEEKDAY(DATE(PlanYear,13,1),2)-1)/7)+1,MOD(15+WEEKDAY(DATE(PlanYear,13,1),2)-1,7)+1)=AC$5,", "&amp;16,"")&amp;IF(INDEX($A$73:$G$83,2*INT((16+WEEKDAY(DATE(PlanYear,13,1),2)-1)/7)+1,MOD(16+WEEKDAY(DATE(PlanYear,13,1),2)-1,7)+1)=AC$5,", "&amp;17,"")&amp;IF(INDEX($A$73:$G$83,2*INT((17+WEEKDAY(DATE(PlanYear,13,1),2)-1)/7)+1,MOD(17+WEEKDAY(DATE(PlanYear,13,1),2)-1,7)+1)=AC$5,", "&amp;18,"")&amp;IF(INDEX($A$73:$G$83,2*INT((18+WEEKDAY(DATE(PlanYear,13,1),2)-1)/7)+1,MOD(18+WEEKDAY(DATE(PlanYear,13,1),2)-1,7)+1)=AC$5,", "&amp;19,"")&amp;IF(INDEX($A$73:$G$83,2*INT((19+WEEKDAY(DATE(PlanYear,13,1),2)-1)/7)+1,MOD(19+WEEKDAY(DATE(PlanYear,13,1),2)-1,7)+1)=AC$5,", "&amp;20,"")&amp;IF(INDEX($A$73:$G$83,2*INT((20+WEEKDAY(DATE(PlanYear,13,1),2)-1)/7)+1,MOD(20+WEEKDAY(DATE(PlanYear,13,1),2)-1,7)+1)=AC$5,", "&amp;21,"")&amp;IF(INDEX($A$73:$G$83,2*INT((21+WEEKDAY(DATE(PlanYear,13,1),2)-1)/7)+1,MOD(21+WEEKDAY(DATE(PlanYear,13,1),2)-1,7)+1)=AC$5,", "&amp;22,"")&amp;IF(INDEX($A$73:$G$83,2*INT((22+WEEKDAY(DATE(PlanYear,13,1),2)-1)/7)+1,MOD(22+WEEKDAY(DATE(PlanYear,13,1),2)-1,7)+1)=AC$5,", "&amp;23,"")&amp;IF(INDEX($A$73:$G$83,2*INT((23+WEEKDAY(DATE(PlanYear,13,1),2)-1)/7)+1,MOD(23+WEEKDAY(DATE(PlanYear,13,1),2)-1,7)+1)=AC$5,", "&amp;24,"")&amp;IF(INDEX($A$73:$G$83,2*INT((24+WEEKDAY(DATE(PlanYear,13,1),2)-1)/7)+1,MOD(24+WEEKDAY(DATE(PlanYear,13,1),2)-1,7)+1)=AC$5,", "&amp;25,"")&amp;IF(INDEX($A$73:$G$83,2*INT((25+WEEKDAY(DATE(PlanYear,13,1),2)-1)/7)+1,MOD(25+WEEKDAY(DATE(PlanYear,13,1),2)-1,7)+1)=AC$5,", "&amp;26,"")&amp;IF(INDEX($A$73:$G$83,2*INT((26+WEEKDAY(DATE(PlanYear,13,1),2)-1)/7)+1,MOD(26+WEEKDAY(DATE(PlanYear,13,1),2)-1,7)+1)=AC$5,", "&amp;27,"")&amp;IF(INDEX($A$73:$G$83,2*INT((27+WEEKDAY(DATE(PlanYear,13,1),2)-1)/7)+1,MOD(27+WEEKDAY(DATE(PlanYear,13,1),2)-1,7)+1)=AC$5,", "&amp;28,"")&amp;IF(INDEX($A$73:$G$83,2*INT((28+WEEKDAY(DATE(PlanYear,13,1),2)-1)/7)+1,MOD(28+WEEKDAY(DATE(PlanYear,13,1),2)-1,7)+1)=AC$5,", "&amp;29,"")&amp;IF(INDEX($A$73:$G$83,2*INT((29+WEEKDAY(DATE(PlanYear,13,1),2)-1)/7)+1,MOD(29+WEEKDAY(DATE(PlanYear,13,1),2)-1,7)+1)=AC$5,", "&amp;30,"")&amp;IF(INDEX($A$73:$G$83,2*INT((30+WEEKDAY(DATE(PlanYear,13,1),2)-1)/7)+1,MOD(30+WEEKDAY(DATE(PlanYear,13,1),2)-1,7)+1)=AC$5,", "&amp;31,""),3,200))</f>
        <v/>
      </c>
      <c r="AD19" s="16">
        <f>IF(AD$5="","",MID(IF(INDEX($A$73:$G$83,2*INT((0+WEEKDAY(DATE(PlanYear,13,1),2)-1)/7)+1,MOD(0+WEEKDAY(DATE(PlanYear,13,1),2)-1,7)+1)=AD$5,", "&amp;1,"")&amp;IF(INDEX($A$73:$G$83,2*INT((1+WEEKDAY(DATE(PlanYear,13,1),2)-1)/7)+1,MOD(1+WEEKDAY(DATE(PlanYear,13,1),2)-1,7)+1)=AD$5,", "&amp;2,"")&amp;IF(INDEX($A$73:$G$83,2*INT((2+WEEKDAY(DATE(PlanYear,13,1),2)-1)/7)+1,MOD(2+WEEKDAY(DATE(PlanYear,13,1),2)-1,7)+1)=AD$5,", "&amp;3,"")&amp;IF(INDEX($A$73:$G$83,2*INT((3+WEEKDAY(DATE(PlanYear,13,1),2)-1)/7)+1,MOD(3+WEEKDAY(DATE(PlanYear,13,1),2)-1,7)+1)=AD$5,", "&amp;4,"")&amp;IF(INDEX($A$73:$G$83,2*INT((4+WEEKDAY(DATE(PlanYear,13,1),2)-1)/7)+1,MOD(4+WEEKDAY(DATE(PlanYear,13,1),2)-1,7)+1)=AD$5,", "&amp;5,"")&amp;IF(INDEX($A$73:$G$83,2*INT((5+WEEKDAY(DATE(PlanYear,13,1),2)-1)/7)+1,MOD(5+WEEKDAY(DATE(PlanYear,13,1),2)-1,7)+1)=AD$5,", "&amp;6,"")&amp;IF(INDEX($A$73:$G$83,2*INT((6+WEEKDAY(DATE(PlanYear,13,1),2)-1)/7)+1,MOD(6+WEEKDAY(DATE(PlanYear,13,1),2)-1,7)+1)=AD$5,", "&amp;7,"")&amp;IF(INDEX($A$73:$G$83,2*INT((7+WEEKDAY(DATE(PlanYear,13,1),2)-1)/7)+1,MOD(7+WEEKDAY(DATE(PlanYear,13,1),2)-1,7)+1)=AD$5,", "&amp;8,"")&amp;IF(INDEX($A$73:$G$83,2*INT((8+WEEKDAY(DATE(PlanYear,13,1),2)-1)/7)+1,MOD(8+WEEKDAY(DATE(PlanYear,13,1),2)-1,7)+1)=AD$5,", "&amp;9,"")&amp;IF(INDEX($A$73:$G$83,2*INT((9+WEEKDAY(DATE(PlanYear,13,1),2)-1)/7)+1,MOD(9+WEEKDAY(DATE(PlanYear,13,1),2)-1,7)+1)=AD$5,", "&amp;10,"")&amp;IF(INDEX($A$73:$G$83,2*INT((10+WEEKDAY(DATE(PlanYear,13,1),2)-1)/7)+1,MOD(10+WEEKDAY(DATE(PlanYear,13,1),2)-1,7)+1)=AD$5,", "&amp;11,"")&amp;IF(INDEX($A$73:$G$83,2*INT((11+WEEKDAY(DATE(PlanYear,13,1),2)-1)/7)+1,MOD(11+WEEKDAY(DATE(PlanYear,13,1),2)-1,7)+1)=AD$5,", "&amp;12,"")&amp;IF(INDEX($A$73:$G$83,2*INT((12+WEEKDAY(DATE(PlanYear,13,1),2)-1)/7)+1,MOD(12+WEEKDAY(DATE(PlanYear,13,1),2)-1,7)+1)=AD$5,", "&amp;13,"")&amp;IF(INDEX($A$73:$G$83,2*INT((13+WEEKDAY(DATE(PlanYear,13,1),2)-1)/7)+1,MOD(13+WEEKDAY(DATE(PlanYear,13,1),2)-1,7)+1)=AD$5,", "&amp;14,"")&amp;IF(INDEX($A$73:$G$83,2*INT((14+WEEKDAY(DATE(PlanYear,13,1),2)-1)/7)+1,MOD(14+WEEKDAY(DATE(PlanYear,13,1),2)-1,7)+1)=AD$5,", "&amp;15,"")&amp;IF(INDEX($A$73:$G$83,2*INT((15+WEEKDAY(DATE(PlanYear,13,1),2)-1)/7)+1,MOD(15+WEEKDAY(DATE(PlanYear,13,1),2)-1,7)+1)=AD$5,", "&amp;16,"")&amp;IF(INDEX($A$73:$G$83,2*INT((16+WEEKDAY(DATE(PlanYear,13,1),2)-1)/7)+1,MOD(16+WEEKDAY(DATE(PlanYear,13,1),2)-1,7)+1)=AD$5,", "&amp;17,"")&amp;IF(INDEX($A$73:$G$83,2*INT((17+WEEKDAY(DATE(PlanYear,13,1),2)-1)/7)+1,MOD(17+WEEKDAY(DATE(PlanYear,13,1),2)-1,7)+1)=AD$5,", "&amp;18,"")&amp;IF(INDEX($A$73:$G$83,2*INT((18+WEEKDAY(DATE(PlanYear,13,1),2)-1)/7)+1,MOD(18+WEEKDAY(DATE(PlanYear,13,1),2)-1,7)+1)=AD$5,", "&amp;19,"")&amp;IF(INDEX($A$73:$G$83,2*INT((19+WEEKDAY(DATE(PlanYear,13,1),2)-1)/7)+1,MOD(19+WEEKDAY(DATE(PlanYear,13,1),2)-1,7)+1)=AD$5,", "&amp;20,"")&amp;IF(INDEX($A$73:$G$83,2*INT((20+WEEKDAY(DATE(PlanYear,13,1),2)-1)/7)+1,MOD(20+WEEKDAY(DATE(PlanYear,13,1),2)-1,7)+1)=AD$5,", "&amp;21,"")&amp;IF(INDEX($A$73:$G$83,2*INT((21+WEEKDAY(DATE(PlanYear,13,1),2)-1)/7)+1,MOD(21+WEEKDAY(DATE(PlanYear,13,1),2)-1,7)+1)=AD$5,", "&amp;22,"")&amp;IF(INDEX($A$73:$G$83,2*INT((22+WEEKDAY(DATE(PlanYear,13,1),2)-1)/7)+1,MOD(22+WEEKDAY(DATE(PlanYear,13,1),2)-1,7)+1)=AD$5,", "&amp;23,"")&amp;IF(INDEX($A$73:$G$83,2*INT((23+WEEKDAY(DATE(PlanYear,13,1),2)-1)/7)+1,MOD(23+WEEKDAY(DATE(PlanYear,13,1),2)-1,7)+1)=AD$5,", "&amp;24,"")&amp;IF(INDEX($A$73:$G$83,2*INT((24+WEEKDAY(DATE(PlanYear,13,1),2)-1)/7)+1,MOD(24+WEEKDAY(DATE(PlanYear,13,1),2)-1,7)+1)=AD$5,", "&amp;25,"")&amp;IF(INDEX($A$73:$G$83,2*INT((25+WEEKDAY(DATE(PlanYear,13,1),2)-1)/7)+1,MOD(25+WEEKDAY(DATE(PlanYear,13,1),2)-1,7)+1)=AD$5,", "&amp;26,"")&amp;IF(INDEX($A$73:$G$83,2*INT((26+WEEKDAY(DATE(PlanYear,13,1),2)-1)/7)+1,MOD(26+WEEKDAY(DATE(PlanYear,13,1),2)-1,7)+1)=AD$5,", "&amp;27,"")&amp;IF(INDEX($A$73:$G$83,2*INT((27+WEEKDAY(DATE(PlanYear,13,1),2)-1)/7)+1,MOD(27+WEEKDAY(DATE(PlanYear,13,1),2)-1,7)+1)=AD$5,", "&amp;28,"")&amp;IF(INDEX($A$73:$G$83,2*INT((28+WEEKDAY(DATE(PlanYear,13,1),2)-1)/7)+1,MOD(28+WEEKDAY(DATE(PlanYear,13,1),2)-1,7)+1)=AD$5,", "&amp;29,"")&amp;IF(INDEX($A$73:$G$83,2*INT((29+WEEKDAY(DATE(PlanYear,13,1),2)-1)/7)+1,MOD(29+WEEKDAY(DATE(PlanYear,13,1),2)-1,7)+1)=AD$5,", "&amp;30,"")&amp;IF(INDEX($A$73:$G$83,2*INT((30+WEEKDAY(DATE(PlanYear,13,1),2)-1)/7)+1,MOD(30+WEEKDAY(DATE(PlanYear,13,1),2)-1,7)+1)=AD$5,", "&amp;31,""),3,200))</f>
        <v/>
      </c>
      <c r="AE19" s="16">
        <f>IF(AE$5="","",MID(IF(INDEX($A$73:$G$83,2*INT((0+WEEKDAY(DATE(PlanYear,13,1),2)-1)/7)+1,MOD(0+WEEKDAY(DATE(PlanYear,13,1),2)-1,7)+1)=AE$5,", "&amp;1,"")&amp;IF(INDEX($A$73:$G$83,2*INT((1+WEEKDAY(DATE(PlanYear,13,1),2)-1)/7)+1,MOD(1+WEEKDAY(DATE(PlanYear,13,1),2)-1,7)+1)=AE$5,", "&amp;2,"")&amp;IF(INDEX($A$73:$G$83,2*INT((2+WEEKDAY(DATE(PlanYear,13,1),2)-1)/7)+1,MOD(2+WEEKDAY(DATE(PlanYear,13,1),2)-1,7)+1)=AE$5,", "&amp;3,"")&amp;IF(INDEX($A$73:$G$83,2*INT((3+WEEKDAY(DATE(PlanYear,13,1),2)-1)/7)+1,MOD(3+WEEKDAY(DATE(PlanYear,13,1),2)-1,7)+1)=AE$5,", "&amp;4,"")&amp;IF(INDEX($A$73:$G$83,2*INT((4+WEEKDAY(DATE(PlanYear,13,1),2)-1)/7)+1,MOD(4+WEEKDAY(DATE(PlanYear,13,1),2)-1,7)+1)=AE$5,", "&amp;5,"")&amp;IF(INDEX($A$73:$G$83,2*INT((5+WEEKDAY(DATE(PlanYear,13,1),2)-1)/7)+1,MOD(5+WEEKDAY(DATE(PlanYear,13,1),2)-1,7)+1)=AE$5,", "&amp;6,"")&amp;IF(INDEX($A$73:$G$83,2*INT((6+WEEKDAY(DATE(PlanYear,13,1),2)-1)/7)+1,MOD(6+WEEKDAY(DATE(PlanYear,13,1),2)-1,7)+1)=AE$5,", "&amp;7,"")&amp;IF(INDEX($A$73:$G$83,2*INT((7+WEEKDAY(DATE(PlanYear,13,1),2)-1)/7)+1,MOD(7+WEEKDAY(DATE(PlanYear,13,1),2)-1,7)+1)=AE$5,", "&amp;8,"")&amp;IF(INDEX($A$73:$G$83,2*INT((8+WEEKDAY(DATE(PlanYear,13,1),2)-1)/7)+1,MOD(8+WEEKDAY(DATE(PlanYear,13,1),2)-1,7)+1)=AE$5,", "&amp;9,"")&amp;IF(INDEX($A$73:$G$83,2*INT((9+WEEKDAY(DATE(PlanYear,13,1),2)-1)/7)+1,MOD(9+WEEKDAY(DATE(PlanYear,13,1),2)-1,7)+1)=AE$5,", "&amp;10,"")&amp;IF(INDEX($A$73:$G$83,2*INT((10+WEEKDAY(DATE(PlanYear,13,1),2)-1)/7)+1,MOD(10+WEEKDAY(DATE(PlanYear,13,1),2)-1,7)+1)=AE$5,", "&amp;11,"")&amp;IF(INDEX($A$73:$G$83,2*INT((11+WEEKDAY(DATE(PlanYear,13,1),2)-1)/7)+1,MOD(11+WEEKDAY(DATE(PlanYear,13,1),2)-1,7)+1)=AE$5,", "&amp;12,"")&amp;IF(INDEX($A$73:$G$83,2*INT((12+WEEKDAY(DATE(PlanYear,13,1),2)-1)/7)+1,MOD(12+WEEKDAY(DATE(PlanYear,13,1),2)-1,7)+1)=AE$5,", "&amp;13,"")&amp;IF(INDEX($A$73:$G$83,2*INT((13+WEEKDAY(DATE(PlanYear,13,1),2)-1)/7)+1,MOD(13+WEEKDAY(DATE(PlanYear,13,1),2)-1,7)+1)=AE$5,", "&amp;14,"")&amp;IF(INDEX($A$73:$G$83,2*INT((14+WEEKDAY(DATE(PlanYear,13,1),2)-1)/7)+1,MOD(14+WEEKDAY(DATE(PlanYear,13,1),2)-1,7)+1)=AE$5,", "&amp;15,"")&amp;IF(INDEX($A$73:$G$83,2*INT((15+WEEKDAY(DATE(PlanYear,13,1),2)-1)/7)+1,MOD(15+WEEKDAY(DATE(PlanYear,13,1),2)-1,7)+1)=AE$5,", "&amp;16,"")&amp;IF(INDEX($A$73:$G$83,2*INT((16+WEEKDAY(DATE(PlanYear,13,1),2)-1)/7)+1,MOD(16+WEEKDAY(DATE(PlanYear,13,1),2)-1,7)+1)=AE$5,", "&amp;17,"")&amp;IF(INDEX($A$73:$G$83,2*INT((17+WEEKDAY(DATE(PlanYear,13,1),2)-1)/7)+1,MOD(17+WEEKDAY(DATE(PlanYear,13,1),2)-1,7)+1)=AE$5,", "&amp;18,"")&amp;IF(INDEX($A$73:$G$83,2*INT((18+WEEKDAY(DATE(PlanYear,13,1),2)-1)/7)+1,MOD(18+WEEKDAY(DATE(PlanYear,13,1),2)-1,7)+1)=AE$5,", "&amp;19,"")&amp;IF(INDEX($A$73:$G$83,2*INT((19+WEEKDAY(DATE(PlanYear,13,1),2)-1)/7)+1,MOD(19+WEEKDAY(DATE(PlanYear,13,1),2)-1,7)+1)=AE$5,", "&amp;20,"")&amp;IF(INDEX($A$73:$G$83,2*INT((20+WEEKDAY(DATE(PlanYear,13,1),2)-1)/7)+1,MOD(20+WEEKDAY(DATE(PlanYear,13,1),2)-1,7)+1)=AE$5,", "&amp;21,"")&amp;IF(INDEX($A$73:$G$83,2*INT((21+WEEKDAY(DATE(PlanYear,13,1),2)-1)/7)+1,MOD(21+WEEKDAY(DATE(PlanYear,13,1),2)-1,7)+1)=AE$5,", "&amp;22,"")&amp;IF(INDEX($A$73:$G$83,2*INT((22+WEEKDAY(DATE(PlanYear,13,1),2)-1)/7)+1,MOD(22+WEEKDAY(DATE(PlanYear,13,1),2)-1,7)+1)=AE$5,", "&amp;23,"")&amp;IF(INDEX($A$73:$G$83,2*INT((23+WEEKDAY(DATE(PlanYear,13,1),2)-1)/7)+1,MOD(23+WEEKDAY(DATE(PlanYear,13,1),2)-1,7)+1)=AE$5,", "&amp;24,"")&amp;IF(INDEX($A$73:$G$83,2*INT((24+WEEKDAY(DATE(PlanYear,13,1),2)-1)/7)+1,MOD(24+WEEKDAY(DATE(PlanYear,13,1),2)-1,7)+1)=AE$5,", "&amp;25,"")&amp;IF(INDEX($A$73:$G$83,2*INT((25+WEEKDAY(DATE(PlanYear,13,1),2)-1)/7)+1,MOD(25+WEEKDAY(DATE(PlanYear,13,1),2)-1,7)+1)=AE$5,", "&amp;26,"")&amp;IF(INDEX($A$73:$G$83,2*INT((26+WEEKDAY(DATE(PlanYear,13,1),2)-1)/7)+1,MOD(26+WEEKDAY(DATE(PlanYear,13,1),2)-1,7)+1)=AE$5,", "&amp;27,"")&amp;IF(INDEX($A$73:$G$83,2*INT((27+WEEKDAY(DATE(PlanYear,13,1),2)-1)/7)+1,MOD(27+WEEKDAY(DATE(PlanYear,13,1),2)-1,7)+1)=AE$5,", "&amp;28,"")&amp;IF(INDEX($A$73:$G$83,2*INT((28+WEEKDAY(DATE(PlanYear,13,1),2)-1)/7)+1,MOD(28+WEEKDAY(DATE(PlanYear,13,1),2)-1,7)+1)=AE$5,", "&amp;29,"")&amp;IF(INDEX($A$73:$G$83,2*INT((29+WEEKDAY(DATE(PlanYear,13,1),2)-1)/7)+1,MOD(29+WEEKDAY(DATE(PlanYear,13,1),2)-1,7)+1)=AE$5,", "&amp;30,"")&amp;IF(INDEX($A$73:$G$83,2*INT((30+WEEKDAY(DATE(PlanYear,13,1),2)-1)/7)+1,MOD(30+WEEKDAY(DATE(PlanYear,13,1),2)-1,7)+1)=AE$5,", "&amp;31,""),3,200))</f>
        <v/>
      </c>
      <c r="AF19" s="16">
        <f>IF(AF$5="","",MID(IF(INDEX($A$73:$G$83,2*INT((0+WEEKDAY(DATE(PlanYear,13,1),2)-1)/7)+1,MOD(0+WEEKDAY(DATE(PlanYear,13,1),2)-1,7)+1)=AF$5,", "&amp;1,"")&amp;IF(INDEX($A$73:$G$83,2*INT((1+WEEKDAY(DATE(PlanYear,13,1),2)-1)/7)+1,MOD(1+WEEKDAY(DATE(PlanYear,13,1),2)-1,7)+1)=AF$5,", "&amp;2,"")&amp;IF(INDEX($A$73:$G$83,2*INT((2+WEEKDAY(DATE(PlanYear,13,1),2)-1)/7)+1,MOD(2+WEEKDAY(DATE(PlanYear,13,1),2)-1,7)+1)=AF$5,", "&amp;3,"")&amp;IF(INDEX($A$73:$G$83,2*INT((3+WEEKDAY(DATE(PlanYear,13,1),2)-1)/7)+1,MOD(3+WEEKDAY(DATE(PlanYear,13,1),2)-1,7)+1)=AF$5,", "&amp;4,"")&amp;IF(INDEX($A$73:$G$83,2*INT((4+WEEKDAY(DATE(PlanYear,13,1),2)-1)/7)+1,MOD(4+WEEKDAY(DATE(PlanYear,13,1),2)-1,7)+1)=AF$5,", "&amp;5,"")&amp;IF(INDEX($A$73:$G$83,2*INT((5+WEEKDAY(DATE(PlanYear,13,1),2)-1)/7)+1,MOD(5+WEEKDAY(DATE(PlanYear,13,1),2)-1,7)+1)=AF$5,", "&amp;6,"")&amp;IF(INDEX($A$73:$G$83,2*INT((6+WEEKDAY(DATE(PlanYear,13,1),2)-1)/7)+1,MOD(6+WEEKDAY(DATE(PlanYear,13,1),2)-1,7)+1)=AF$5,", "&amp;7,"")&amp;IF(INDEX($A$73:$G$83,2*INT((7+WEEKDAY(DATE(PlanYear,13,1),2)-1)/7)+1,MOD(7+WEEKDAY(DATE(PlanYear,13,1),2)-1,7)+1)=AF$5,", "&amp;8,"")&amp;IF(INDEX($A$73:$G$83,2*INT((8+WEEKDAY(DATE(PlanYear,13,1),2)-1)/7)+1,MOD(8+WEEKDAY(DATE(PlanYear,13,1),2)-1,7)+1)=AF$5,", "&amp;9,"")&amp;IF(INDEX($A$73:$G$83,2*INT((9+WEEKDAY(DATE(PlanYear,13,1),2)-1)/7)+1,MOD(9+WEEKDAY(DATE(PlanYear,13,1),2)-1,7)+1)=AF$5,", "&amp;10,"")&amp;IF(INDEX($A$73:$G$83,2*INT((10+WEEKDAY(DATE(PlanYear,13,1),2)-1)/7)+1,MOD(10+WEEKDAY(DATE(PlanYear,13,1),2)-1,7)+1)=AF$5,", "&amp;11,"")&amp;IF(INDEX($A$73:$G$83,2*INT((11+WEEKDAY(DATE(PlanYear,13,1),2)-1)/7)+1,MOD(11+WEEKDAY(DATE(PlanYear,13,1),2)-1,7)+1)=AF$5,", "&amp;12,"")&amp;IF(INDEX($A$73:$G$83,2*INT((12+WEEKDAY(DATE(PlanYear,13,1),2)-1)/7)+1,MOD(12+WEEKDAY(DATE(PlanYear,13,1),2)-1,7)+1)=AF$5,", "&amp;13,"")&amp;IF(INDEX($A$73:$G$83,2*INT((13+WEEKDAY(DATE(PlanYear,13,1),2)-1)/7)+1,MOD(13+WEEKDAY(DATE(PlanYear,13,1),2)-1,7)+1)=AF$5,", "&amp;14,"")&amp;IF(INDEX($A$73:$G$83,2*INT((14+WEEKDAY(DATE(PlanYear,13,1),2)-1)/7)+1,MOD(14+WEEKDAY(DATE(PlanYear,13,1),2)-1,7)+1)=AF$5,", "&amp;15,"")&amp;IF(INDEX($A$73:$G$83,2*INT((15+WEEKDAY(DATE(PlanYear,13,1),2)-1)/7)+1,MOD(15+WEEKDAY(DATE(PlanYear,13,1),2)-1,7)+1)=AF$5,", "&amp;16,"")&amp;IF(INDEX($A$73:$G$83,2*INT((16+WEEKDAY(DATE(PlanYear,13,1),2)-1)/7)+1,MOD(16+WEEKDAY(DATE(PlanYear,13,1),2)-1,7)+1)=AF$5,", "&amp;17,"")&amp;IF(INDEX($A$73:$G$83,2*INT((17+WEEKDAY(DATE(PlanYear,13,1),2)-1)/7)+1,MOD(17+WEEKDAY(DATE(PlanYear,13,1),2)-1,7)+1)=AF$5,", "&amp;18,"")&amp;IF(INDEX($A$73:$G$83,2*INT((18+WEEKDAY(DATE(PlanYear,13,1),2)-1)/7)+1,MOD(18+WEEKDAY(DATE(PlanYear,13,1),2)-1,7)+1)=AF$5,", "&amp;19,"")&amp;IF(INDEX($A$73:$G$83,2*INT((19+WEEKDAY(DATE(PlanYear,13,1),2)-1)/7)+1,MOD(19+WEEKDAY(DATE(PlanYear,13,1),2)-1,7)+1)=AF$5,", "&amp;20,"")&amp;IF(INDEX($A$73:$G$83,2*INT((20+WEEKDAY(DATE(PlanYear,13,1),2)-1)/7)+1,MOD(20+WEEKDAY(DATE(PlanYear,13,1),2)-1,7)+1)=AF$5,", "&amp;21,"")&amp;IF(INDEX($A$73:$G$83,2*INT((21+WEEKDAY(DATE(PlanYear,13,1),2)-1)/7)+1,MOD(21+WEEKDAY(DATE(PlanYear,13,1),2)-1,7)+1)=AF$5,", "&amp;22,"")&amp;IF(INDEX($A$73:$G$83,2*INT((22+WEEKDAY(DATE(PlanYear,13,1),2)-1)/7)+1,MOD(22+WEEKDAY(DATE(PlanYear,13,1),2)-1,7)+1)=AF$5,", "&amp;23,"")&amp;IF(INDEX($A$73:$G$83,2*INT((23+WEEKDAY(DATE(PlanYear,13,1),2)-1)/7)+1,MOD(23+WEEKDAY(DATE(PlanYear,13,1),2)-1,7)+1)=AF$5,", "&amp;24,"")&amp;IF(INDEX($A$73:$G$83,2*INT((24+WEEKDAY(DATE(PlanYear,13,1),2)-1)/7)+1,MOD(24+WEEKDAY(DATE(PlanYear,13,1),2)-1,7)+1)=AF$5,", "&amp;25,"")&amp;IF(INDEX($A$73:$G$83,2*INT((25+WEEKDAY(DATE(PlanYear,13,1),2)-1)/7)+1,MOD(25+WEEKDAY(DATE(PlanYear,13,1),2)-1,7)+1)=AF$5,", "&amp;26,"")&amp;IF(INDEX($A$73:$G$83,2*INT((26+WEEKDAY(DATE(PlanYear,13,1),2)-1)/7)+1,MOD(26+WEEKDAY(DATE(PlanYear,13,1),2)-1,7)+1)=AF$5,", "&amp;27,"")&amp;IF(INDEX($A$73:$G$83,2*INT((27+WEEKDAY(DATE(PlanYear,13,1),2)-1)/7)+1,MOD(27+WEEKDAY(DATE(PlanYear,13,1),2)-1,7)+1)=AF$5,", "&amp;28,"")&amp;IF(INDEX($A$73:$G$83,2*INT((28+WEEKDAY(DATE(PlanYear,13,1),2)-1)/7)+1,MOD(28+WEEKDAY(DATE(PlanYear,13,1),2)-1,7)+1)=AF$5,", "&amp;29,"")&amp;IF(INDEX($A$73:$G$83,2*INT((29+WEEKDAY(DATE(PlanYear,13,1),2)-1)/7)+1,MOD(29+WEEKDAY(DATE(PlanYear,13,1),2)-1,7)+1)=AF$5,", "&amp;30,"")&amp;IF(INDEX($A$73:$G$83,2*INT((30+WEEKDAY(DATE(PlanYear,13,1),2)-1)/7)+1,MOD(30+WEEKDAY(DATE(PlanYear,13,1),2)-1,7)+1)=AF$5,", "&amp;31,""),3,200))</f>
        <v/>
      </c>
      <c r="AG19" s="16">
        <f>IF(AG$5="","",MID(IF(INDEX($A$73:$G$83,2*INT((0+WEEKDAY(DATE(PlanYear,13,1),2)-1)/7)+1,MOD(0+WEEKDAY(DATE(PlanYear,13,1),2)-1,7)+1)=AG$5,", "&amp;1,"")&amp;IF(INDEX($A$73:$G$83,2*INT((1+WEEKDAY(DATE(PlanYear,13,1),2)-1)/7)+1,MOD(1+WEEKDAY(DATE(PlanYear,13,1),2)-1,7)+1)=AG$5,", "&amp;2,"")&amp;IF(INDEX($A$73:$G$83,2*INT((2+WEEKDAY(DATE(PlanYear,13,1),2)-1)/7)+1,MOD(2+WEEKDAY(DATE(PlanYear,13,1),2)-1,7)+1)=AG$5,", "&amp;3,"")&amp;IF(INDEX($A$73:$G$83,2*INT((3+WEEKDAY(DATE(PlanYear,13,1),2)-1)/7)+1,MOD(3+WEEKDAY(DATE(PlanYear,13,1),2)-1,7)+1)=AG$5,", "&amp;4,"")&amp;IF(INDEX($A$73:$G$83,2*INT((4+WEEKDAY(DATE(PlanYear,13,1),2)-1)/7)+1,MOD(4+WEEKDAY(DATE(PlanYear,13,1),2)-1,7)+1)=AG$5,", "&amp;5,"")&amp;IF(INDEX($A$73:$G$83,2*INT((5+WEEKDAY(DATE(PlanYear,13,1),2)-1)/7)+1,MOD(5+WEEKDAY(DATE(PlanYear,13,1),2)-1,7)+1)=AG$5,", "&amp;6,"")&amp;IF(INDEX($A$73:$G$83,2*INT((6+WEEKDAY(DATE(PlanYear,13,1),2)-1)/7)+1,MOD(6+WEEKDAY(DATE(PlanYear,13,1),2)-1,7)+1)=AG$5,", "&amp;7,"")&amp;IF(INDEX($A$73:$G$83,2*INT((7+WEEKDAY(DATE(PlanYear,13,1),2)-1)/7)+1,MOD(7+WEEKDAY(DATE(PlanYear,13,1),2)-1,7)+1)=AG$5,", "&amp;8,"")&amp;IF(INDEX($A$73:$G$83,2*INT((8+WEEKDAY(DATE(PlanYear,13,1),2)-1)/7)+1,MOD(8+WEEKDAY(DATE(PlanYear,13,1),2)-1,7)+1)=AG$5,", "&amp;9,"")&amp;IF(INDEX($A$73:$G$83,2*INT((9+WEEKDAY(DATE(PlanYear,13,1),2)-1)/7)+1,MOD(9+WEEKDAY(DATE(PlanYear,13,1),2)-1,7)+1)=AG$5,", "&amp;10,"")&amp;IF(INDEX($A$73:$G$83,2*INT((10+WEEKDAY(DATE(PlanYear,13,1),2)-1)/7)+1,MOD(10+WEEKDAY(DATE(PlanYear,13,1),2)-1,7)+1)=AG$5,", "&amp;11,"")&amp;IF(INDEX($A$73:$G$83,2*INT((11+WEEKDAY(DATE(PlanYear,13,1),2)-1)/7)+1,MOD(11+WEEKDAY(DATE(PlanYear,13,1),2)-1,7)+1)=AG$5,", "&amp;12,"")&amp;IF(INDEX($A$73:$G$83,2*INT((12+WEEKDAY(DATE(PlanYear,13,1),2)-1)/7)+1,MOD(12+WEEKDAY(DATE(PlanYear,13,1),2)-1,7)+1)=AG$5,", "&amp;13,"")&amp;IF(INDEX($A$73:$G$83,2*INT((13+WEEKDAY(DATE(PlanYear,13,1),2)-1)/7)+1,MOD(13+WEEKDAY(DATE(PlanYear,13,1),2)-1,7)+1)=AG$5,", "&amp;14,"")&amp;IF(INDEX($A$73:$G$83,2*INT((14+WEEKDAY(DATE(PlanYear,13,1),2)-1)/7)+1,MOD(14+WEEKDAY(DATE(PlanYear,13,1),2)-1,7)+1)=AG$5,", "&amp;15,"")&amp;IF(INDEX($A$73:$G$83,2*INT((15+WEEKDAY(DATE(PlanYear,13,1),2)-1)/7)+1,MOD(15+WEEKDAY(DATE(PlanYear,13,1),2)-1,7)+1)=AG$5,", "&amp;16,"")&amp;IF(INDEX($A$73:$G$83,2*INT((16+WEEKDAY(DATE(PlanYear,13,1),2)-1)/7)+1,MOD(16+WEEKDAY(DATE(PlanYear,13,1),2)-1,7)+1)=AG$5,", "&amp;17,"")&amp;IF(INDEX($A$73:$G$83,2*INT((17+WEEKDAY(DATE(PlanYear,13,1),2)-1)/7)+1,MOD(17+WEEKDAY(DATE(PlanYear,13,1),2)-1,7)+1)=AG$5,", "&amp;18,"")&amp;IF(INDEX($A$73:$G$83,2*INT((18+WEEKDAY(DATE(PlanYear,13,1),2)-1)/7)+1,MOD(18+WEEKDAY(DATE(PlanYear,13,1),2)-1,7)+1)=AG$5,", "&amp;19,"")&amp;IF(INDEX($A$73:$G$83,2*INT((19+WEEKDAY(DATE(PlanYear,13,1),2)-1)/7)+1,MOD(19+WEEKDAY(DATE(PlanYear,13,1),2)-1,7)+1)=AG$5,", "&amp;20,"")&amp;IF(INDEX($A$73:$G$83,2*INT((20+WEEKDAY(DATE(PlanYear,13,1),2)-1)/7)+1,MOD(20+WEEKDAY(DATE(PlanYear,13,1),2)-1,7)+1)=AG$5,", "&amp;21,"")&amp;IF(INDEX($A$73:$G$83,2*INT((21+WEEKDAY(DATE(PlanYear,13,1),2)-1)/7)+1,MOD(21+WEEKDAY(DATE(PlanYear,13,1),2)-1,7)+1)=AG$5,", "&amp;22,"")&amp;IF(INDEX($A$73:$G$83,2*INT((22+WEEKDAY(DATE(PlanYear,13,1),2)-1)/7)+1,MOD(22+WEEKDAY(DATE(PlanYear,13,1),2)-1,7)+1)=AG$5,", "&amp;23,"")&amp;IF(INDEX($A$73:$G$83,2*INT((23+WEEKDAY(DATE(PlanYear,13,1),2)-1)/7)+1,MOD(23+WEEKDAY(DATE(PlanYear,13,1),2)-1,7)+1)=AG$5,", "&amp;24,"")&amp;IF(INDEX($A$73:$G$83,2*INT((24+WEEKDAY(DATE(PlanYear,13,1),2)-1)/7)+1,MOD(24+WEEKDAY(DATE(PlanYear,13,1),2)-1,7)+1)=AG$5,", "&amp;25,"")&amp;IF(INDEX($A$73:$G$83,2*INT((25+WEEKDAY(DATE(PlanYear,13,1),2)-1)/7)+1,MOD(25+WEEKDAY(DATE(PlanYear,13,1),2)-1,7)+1)=AG$5,", "&amp;26,"")&amp;IF(INDEX($A$73:$G$83,2*INT((26+WEEKDAY(DATE(PlanYear,13,1),2)-1)/7)+1,MOD(26+WEEKDAY(DATE(PlanYear,13,1),2)-1,7)+1)=AG$5,", "&amp;27,"")&amp;IF(INDEX($A$73:$G$83,2*INT((27+WEEKDAY(DATE(PlanYear,13,1),2)-1)/7)+1,MOD(27+WEEKDAY(DATE(PlanYear,13,1),2)-1,7)+1)=AG$5,", "&amp;28,"")&amp;IF(INDEX($A$73:$G$83,2*INT((28+WEEKDAY(DATE(PlanYear,13,1),2)-1)/7)+1,MOD(28+WEEKDAY(DATE(PlanYear,13,1),2)-1,7)+1)=AG$5,", "&amp;29,"")&amp;IF(INDEX($A$73:$G$83,2*INT((29+WEEKDAY(DATE(PlanYear,13,1),2)-1)/7)+1,MOD(29+WEEKDAY(DATE(PlanYear,13,1),2)-1,7)+1)=AG$5,", "&amp;30,"")&amp;IF(INDEX($A$73:$G$83,2*INT((30+WEEKDAY(DATE(PlanYear,13,1),2)-1)/7)+1,MOD(30+WEEKDAY(DATE(PlanYear,13,1),2)-1,7)+1)=AG$5,", "&amp;31,""),3,200))</f>
        <v/>
      </c>
      <c r="AH19" s="16">
        <f>IF(AH$5="","",MID(IF(INDEX($A$73:$G$83,2*INT((0+WEEKDAY(DATE(PlanYear,13,1),2)-1)/7)+1,MOD(0+WEEKDAY(DATE(PlanYear,13,1),2)-1,7)+1)=AH$5,", "&amp;1,"")&amp;IF(INDEX($A$73:$G$83,2*INT((1+WEEKDAY(DATE(PlanYear,13,1),2)-1)/7)+1,MOD(1+WEEKDAY(DATE(PlanYear,13,1),2)-1,7)+1)=AH$5,", "&amp;2,"")&amp;IF(INDEX($A$73:$G$83,2*INT((2+WEEKDAY(DATE(PlanYear,13,1),2)-1)/7)+1,MOD(2+WEEKDAY(DATE(PlanYear,13,1),2)-1,7)+1)=AH$5,", "&amp;3,"")&amp;IF(INDEX($A$73:$G$83,2*INT((3+WEEKDAY(DATE(PlanYear,13,1),2)-1)/7)+1,MOD(3+WEEKDAY(DATE(PlanYear,13,1),2)-1,7)+1)=AH$5,", "&amp;4,"")&amp;IF(INDEX($A$73:$G$83,2*INT((4+WEEKDAY(DATE(PlanYear,13,1),2)-1)/7)+1,MOD(4+WEEKDAY(DATE(PlanYear,13,1),2)-1,7)+1)=AH$5,", "&amp;5,"")&amp;IF(INDEX($A$73:$G$83,2*INT((5+WEEKDAY(DATE(PlanYear,13,1),2)-1)/7)+1,MOD(5+WEEKDAY(DATE(PlanYear,13,1),2)-1,7)+1)=AH$5,", "&amp;6,"")&amp;IF(INDEX($A$73:$G$83,2*INT((6+WEEKDAY(DATE(PlanYear,13,1),2)-1)/7)+1,MOD(6+WEEKDAY(DATE(PlanYear,13,1),2)-1,7)+1)=AH$5,", "&amp;7,"")&amp;IF(INDEX($A$73:$G$83,2*INT((7+WEEKDAY(DATE(PlanYear,13,1),2)-1)/7)+1,MOD(7+WEEKDAY(DATE(PlanYear,13,1),2)-1,7)+1)=AH$5,", "&amp;8,"")&amp;IF(INDEX($A$73:$G$83,2*INT((8+WEEKDAY(DATE(PlanYear,13,1),2)-1)/7)+1,MOD(8+WEEKDAY(DATE(PlanYear,13,1),2)-1,7)+1)=AH$5,", "&amp;9,"")&amp;IF(INDEX($A$73:$G$83,2*INT((9+WEEKDAY(DATE(PlanYear,13,1),2)-1)/7)+1,MOD(9+WEEKDAY(DATE(PlanYear,13,1),2)-1,7)+1)=AH$5,", "&amp;10,"")&amp;IF(INDEX($A$73:$G$83,2*INT((10+WEEKDAY(DATE(PlanYear,13,1),2)-1)/7)+1,MOD(10+WEEKDAY(DATE(PlanYear,13,1),2)-1,7)+1)=AH$5,", "&amp;11,"")&amp;IF(INDEX($A$73:$G$83,2*INT((11+WEEKDAY(DATE(PlanYear,13,1),2)-1)/7)+1,MOD(11+WEEKDAY(DATE(PlanYear,13,1),2)-1,7)+1)=AH$5,", "&amp;12,"")&amp;IF(INDEX($A$73:$G$83,2*INT((12+WEEKDAY(DATE(PlanYear,13,1),2)-1)/7)+1,MOD(12+WEEKDAY(DATE(PlanYear,13,1),2)-1,7)+1)=AH$5,", "&amp;13,"")&amp;IF(INDEX($A$73:$G$83,2*INT((13+WEEKDAY(DATE(PlanYear,13,1),2)-1)/7)+1,MOD(13+WEEKDAY(DATE(PlanYear,13,1),2)-1,7)+1)=AH$5,", "&amp;14,"")&amp;IF(INDEX($A$73:$G$83,2*INT((14+WEEKDAY(DATE(PlanYear,13,1),2)-1)/7)+1,MOD(14+WEEKDAY(DATE(PlanYear,13,1),2)-1,7)+1)=AH$5,", "&amp;15,"")&amp;IF(INDEX($A$73:$G$83,2*INT((15+WEEKDAY(DATE(PlanYear,13,1),2)-1)/7)+1,MOD(15+WEEKDAY(DATE(PlanYear,13,1),2)-1,7)+1)=AH$5,", "&amp;16,"")&amp;IF(INDEX($A$73:$G$83,2*INT((16+WEEKDAY(DATE(PlanYear,13,1),2)-1)/7)+1,MOD(16+WEEKDAY(DATE(PlanYear,13,1),2)-1,7)+1)=AH$5,", "&amp;17,"")&amp;IF(INDEX($A$73:$G$83,2*INT((17+WEEKDAY(DATE(PlanYear,13,1),2)-1)/7)+1,MOD(17+WEEKDAY(DATE(PlanYear,13,1),2)-1,7)+1)=AH$5,", "&amp;18,"")&amp;IF(INDEX($A$73:$G$83,2*INT((18+WEEKDAY(DATE(PlanYear,13,1),2)-1)/7)+1,MOD(18+WEEKDAY(DATE(PlanYear,13,1),2)-1,7)+1)=AH$5,", "&amp;19,"")&amp;IF(INDEX($A$73:$G$83,2*INT((19+WEEKDAY(DATE(PlanYear,13,1),2)-1)/7)+1,MOD(19+WEEKDAY(DATE(PlanYear,13,1),2)-1,7)+1)=AH$5,", "&amp;20,"")&amp;IF(INDEX($A$73:$G$83,2*INT((20+WEEKDAY(DATE(PlanYear,13,1),2)-1)/7)+1,MOD(20+WEEKDAY(DATE(PlanYear,13,1),2)-1,7)+1)=AH$5,", "&amp;21,"")&amp;IF(INDEX($A$73:$G$83,2*INT((21+WEEKDAY(DATE(PlanYear,13,1),2)-1)/7)+1,MOD(21+WEEKDAY(DATE(PlanYear,13,1),2)-1,7)+1)=AH$5,", "&amp;22,"")&amp;IF(INDEX($A$73:$G$83,2*INT((22+WEEKDAY(DATE(PlanYear,13,1),2)-1)/7)+1,MOD(22+WEEKDAY(DATE(PlanYear,13,1),2)-1,7)+1)=AH$5,", "&amp;23,"")&amp;IF(INDEX($A$73:$G$83,2*INT((23+WEEKDAY(DATE(PlanYear,13,1),2)-1)/7)+1,MOD(23+WEEKDAY(DATE(PlanYear,13,1),2)-1,7)+1)=AH$5,", "&amp;24,"")&amp;IF(INDEX($A$73:$G$83,2*INT((24+WEEKDAY(DATE(PlanYear,13,1),2)-1)/7)+1,MOD(24+WEEKDAY(DATE(PlanYear,13,1),2)-1,7)+1)=AH$5,", "&amp;25,"")&amp;IF(INDEX($A$73:$G$83,2*INT((25+WEEKDAY(DATE(PlanYear,13,1),2)-1)/7)+1,MOD(25+WEEKDAY(DATE(PlanYear,13,1),2)-1,7)+1)=AH$5,", "&amp;26,"")&amp;IF(INDEX($A$73:$G$83,2*INT((26+WEEKDAY(DATE(PlanYear,13,1),2)-1)/7)+1,MOD(26+WEEKDAY(DATE(PlanYear,13,1),2)-1,7)+1)=AH$5,", "&amp;27,"")&amp;IF(INDEX($A$73:$G$83,2*INT((27+WEEKDAY(DATE(PlanYear,13,1),2)-1)/7)+1,MOD(27+WEEKDAY(DATE(PlanYear,13,1),2)-1,7)+1)=AH$5,", "&amp;28,"")&amp;IF(INDEX($A$73:$G$83,2*INT((28+WEEKDAY(DATE(PlanYear,13,1),2)-1)/7)+1,MOD(28+WEEKDAY(DATE(PlanYear,13,1),2)-1,7)+1)=AH$5,", "&amp;29,"")&amp;IF(INDEX($A$73:$G$83,2*INT((29+WEEKDAY(DATE(PlanYear,13,1),2)-1)/7)+1,MOD(29+WEEKDAY(DATE(PlanYear,13,1),2)-1,7)+1)=AH$5,", "&amp;30,"")&amp;IF(INDEX($A$73:$G$83,2*INT((30+WEEKDAY(DATE(PlanYear,13,1),2)-1)/7)+1,MOD(30+WEEKDAY(DATE(PlanYear,13,1),2)-1,7)+1)=AH$5,", "&amp;31,""),3,200))</f>
        <v/>
      </c>
      <c r="AI19" s="16">
        <f>IF(AI$5="","",MID(IF(INDEX($A$73:$G$83,2*INT((0+WEEKDAY(DATE(PlanYear,13,1),2)-1)/7)+1,MOD(0+WEEKDAY(DATE(PlanYear,13,1),2)-1,7)+1)=AI$5,", "&amp;1,"")&amp;IF(INDEX($A$73:$G$83,2*INT((1+WEEKDAY(DATE(PlanYear,13,1),2)-1)/7)+1,MOD(1+WEEKDAY(DATE(PlanYear,13,1),2)-1,7)+1)=AI$5,", "&amp;2,"")&amp;IF(INDEX($A$73:$G$83,2*INT((2+WEEKDAY(DATE(PlanYear,13,1),2)-1)/7)+1,MOD(2+WEEKDAY(DATE(PlanYear,13,1),2)-1,7)+1)=AI$5,", "&amp;3,"")&amp;IF(INDEX($A$73:$G$83,2*INT((3+WEEKDAY(DATE(PlanYear,13,1),2)-1)/7)+1,MOD(3+WEEKDAY(DATE(PlanYear,13,1),2)-1,7)+1)=AI$5,", "&amp;4,"")&amp;IF(INDEX($A$73:$G$83,2*INT((4+WEEKDAY(DATE(PlanYear,13,1),2)-1)/7)+1,MOD(4+WEEKDAY(DATE(PlanYear,13,1),2)-1,7)+1)=AI$5,", "&amp;5,"")&amp;IF(INDEX($A$73:$G$83,2*INT((5+WEEKDAY(DATE(PlanYear,13,1),2)-1)/7)+1,MOD(5+WEEKDAY(DATE(PlanYear,13,1),2)-1,7)+1)=AI$5,", "&amp;6,"")&amp;IF(INDEX($A$73:$G$83,2*INT((6+WEEKDAY(DATE(PlanYear,13,1),2)-1)/7)+1,MOD(6+WEEKDAY(DATE(PlanYear,13,1),2)-1,7)+1)=AI$5,", "&amp;7,"")&amp;IF(INDEX($A$73:$G$83,2*INT((7+WEEKDAY(DATE(PlanYear,13,1),2)-1)/7)+1,MOD(7+WEEKDAY(DATE(PlanYear,13,1),2)-1,7)+1)=AI$5,", "&amp;8,"")&amp;IF(INDEX($A$73:$G$83,2*INT((8+WEEKDAY(DATE(PlanYear,13,1),2)-1)/7)+1,MOD(8+WEEKDAY(DATE(PlanYear,13,1),2)-1,7)+1)=AI$5,", "&amp;9,"")&amp;IF(INDEX($A$73:$G$83,2*INT((9+WEEKDAY(DATE(PlanYear,13,1),2)-1)/7)+1,MOD(9+WEEKDAY(DATE(PlanYear,13,1),2)-1,7)+1)=AI$5,", "&amp;10,"")&amp;IF(INDEX($A$73:$G$83,2*INT((10+WEEKDAY(DATE(PlanYear,13,1),2)-1)/7)+1,MOD(10+WEEKDAY(DATE(PlanYear,13,1),2)-1,7)+1)=AI$5,", "&amp;11,"")&amp;IF(INDEX($A$73:$G$83,2*INT((11+WEEKDAY(DATE(PlanYear,13,1),2)-1)/7)+1,MOD(11+WEEKDAY(DATE(PlanYear,13,1),2)-1,7)+1)=AI$5,", "&amp;12,"")&amp;IF(INDEX($A$73:$G$83,2*INT((12+WEEKDAY(DATE(PlanYear,13,1),2)-1)/7)+1,MOD(12+WEEKDAY(DATE(PlanYear,13,1),2)-1,7)+1)=AI$5,", "&amp;13,"")&amp;IF(INDEX($A$73:$G$83,2*INT((13+WEEKDAY(DATE(PlanYear,13,1),2)-1)/7)+1,MOD(13+WEEKDAY(DATE(PlanYear,13,1),2)-1,7)+1)=AI$5,", "&amp;14,"")&amp;IF(INDEX($A$73:$G$83,2*INT((14+WEEKDAY(DATE(PlanYear,13,1),2)-1)/7)+1,MOD(14+WEEKDAY(DATE(PlanYear,13,1),2)-1,7)+1)=AI$5,", "&amp;15,"")&amp;IF(INDEX($A$73:$G$83,2*INT((15+WEEKDAY(DATE(PlanYear,13,1),2)-1)/7)+1,MOD(15+WEEKDAY(DATE(PlanYear,13,1),2)-1,7)+1)=AI$5,", "&amp;16,"")&amp;IF(INDEX($A$73:$G$83,2*INT((16+WEEKDAY(DATE(PlanYear,13,1),2)-1)/7)+1,MOD(16+WEEKDAY(DATE(PlanYear,13,1),2)-1,7)+1)=AI$5,", "&amp;17,"")&amp;IF(INDEX($A$73:$G$83,2*INT((17+WEEKDAY(DATE(PlanYear,13,1),2)-1)/7)+1,MOD(17+WEEKDAY(DATE(PlanYear,13,1),2)-1,7)+1)=AI$5,", "&amp;18,"")&amp;IF(INDEX($A$73:$G$83,2*INT((18+WEEKDAY(DATE(PlanYear,13,1),2)-1)/7)+1,MOD(18+WEEKDAY(DATE(PlanYear,13,1),2)-1,7)+1)=AI$5,", "&amp;19,"")&amp;IF(INDEX($A$73:$G$83,2*INT((19+WEEKDAY(DATE(PlanYear,13,1),2)-1)/7)+1,MOD(19+WEEKDAY(DATE(PlanYear,13,1),2)-1,7)+1)=AI$5,", "&amp;20,"")&amp;IF(INDEX($A$73:$G$83,2*INT((20+WEEKDAY(DATE(PlanYear,13,1),2)-1)/7)+1,MOD(20+WEEKDAY(DATE(PlanYear,13,1),2)-1,7)+1)=AI$5,", "&amp;21,"")&amp;IF(INDEX($A$73:$G$83,2*INT((21+WEEKDAY(DATE(PlanYear,13,1),2)-1)/7)+1,MOD(21+WEEKDAY(DATE(PlanYear,13,1),2)-1,7)+1)=AI$5,", "&amp;22,"")&amp;IF(INDEX($A$73:$G$83,2*INT((22+WEEKDAY(DATE(PlanYear,13,1),2)-1)/7)+1,MOD(22+WEEKDAY(DATE(PlanYear,13,1),2)-1,7)+1)=AI$5,", "&amp;23,"")&amp;IF(INDEX($A$73:$G$83,2*INT((23+WEEKDAY(DATE(PlanYear,13,1),2)-1)/7)+1,MOD(23+WEEKDAY(DATE(PlanYear,13,1),2)-1,7)+1)=AI$5,", "&amp;24,"")&amp;IF(INDEX($A$73:$G$83,2*INT((24+WEEKDAY(DATE(PlanYear,13,1),2)-1)/7)+1,MOD(24+WEEKDAY(DATE(PlanYear,13,1),2)-1,7)+1)=AI$5,", "&amp;25,"")&amp;IF(INDEX($A$73:$G$83,2*INT((25+WEEKDAY(DATE(PlanYear,13,1),2)-1)/7)+1,MOD(25+WEEKDAY(DATE(PlanYear,13,1),2)-1,7)+1)=AI$5,", "&amp;26,"")&amp;IF(INDEX($A$73:$G$83,2*INT((26+WEEKDAY(DATE(PlanYear,13,1),2)-1)/7)+1,MOD(26+WEEKDAY(DATE(PlanYear,13,1),2)-1,7)+1)=AI$5,", "&amp;27,"")&amp;IF(INDEX($A$73:$G$83,2*INT((27+WEEKDAY(DATE(PlanYear,13,1),2)-1)/7)+1,MOD(27+WEEKDAY(DATE(PlanYear,13,1),2)-1,7)+1)=AI$5,", "&amp;28,"")&amp;IF(INDEX($A$73:$G$83,2*INT((28+WEEKDAY(DATE(PlanYear,13,1),2)-1)/7)+1,MOD(28+WEEKDAY(DATE(PlanYear,13,1),2)-1,7)+1)=AI$5,", "&amp;29,"")&amp;IF(INDEX($A$73:$G$83,2*INT((29+WEEKDAY(DATE(PlanYear,13,1),2)-1)/7)+1,MOD(29+WEEKDAY(DATE(PlanYear,13,1),2)-1,7)+1)=AI$5,", "&amp;30,"")&amp;IF(INDEX($A$73:$G$83,2*INT((30+WEEKDAY(DATE(PlanYear,13,1),2)-1)/7)+1,MOD(30+WEEKDAY(DATE(PlanYear,13,1),2)-1,7)+1)=AI$5,", "&amp;31,""),3,200))</f>
        <v/>
      </c>
      <c r="AJ19" s="16">
        <f>IF(AJ$5="","",MID(IF(INDEX($A$73:$G$83,2*INT((0+WEEKDAY(DATE(PlanYear,13,1),2)-1)/7)+1,MOD(0+WEEKDAY(DATE(PlanYear,13,1),2)-1,7)+1)=AJ$5,", "&amp;1,"")&amp;IF(INDEX($A$73:$G$83,2*INT((1+WEEKDAY(DATE(PlanYear,13,1),2)-1)/7)+1,MOD(1+WEEKDAY(DATE(PlanYear,13,1),2)-1,7)+1)=AJ$5,", "&amp;2,"")&amp;IF(INDEX($A$73:$G$83,2*INT((2+WEEKDAY(DATE(PlanYear,13,1),2)-1)/7)+1,MOD(2+WEEKDAY(DATE(PlanYear,13,1),2)-1,7)+1)=AJ$5,", "&amp;3,"")&amp;IF(INDEX($A$73:$G$83,2*INT((3+WEEKDAY(DATE(PlanYear,13,1),2)-1)/7)+1,MOD(3+WEEKDAY(DATE(PlanYear,13,1),2)-1,7)+1)=AJ$5,", "&amp;4,"")&amp;IF(INDEX($A$73:$G$83,2*INT((4+WEEKDAY(DATE(PlanYear,13,1),2)-1)/7)+1,MOD(4+WEEKDAY(DATE(PlanYear,13,1),2)-1,7)+1)=AJ$5,", "&amp;5,"")&amp;IF(INDEX($A$73:$G$83,2*INT((5+WEEKDAY(DATE(PlanYear,13,1),2)-1)/7)+1,MOD(5+WEEKDAY(DATE(PlanYear,13,1),2)-1,7)+1)=AJ$5,", "&amp;6,"")&amp;IF(INDEX($A$73:$G$83,2*INT((6+WEEKDAY(DATE(PlanYear,13,1),2)-1)/7)+1,MOD(6+WEEKDAY(DATE(PlanYear,13,1),2)-1,7)+1)=AJ$5,", "&amp;7,"")&amp;IF(INDEX($A$73:$G$83,2*INT((7+WEEKDAY(DATE(PlanYear,13,1),2)-1)/7)+1,MOD(7+WEEKDAY(DATE(PlanYear,13,1),2)-1,7)+1)=AJ$5,", "&amp;8,"")&amp;IF(INDEX($A$73:$G$83,2*INT((8+WEEKDAY(DATE(PlanYear,13,1),2)-1)/7)+1,MOD(8+WEEKDAY(DATE(PlanYear,13,1),2)-1,7)+1)=AJ$5,", "&amp;9,"")&amp;IF(INDEX($A$73:$G$83,2*INT((9+WEEKDAY(DATE(PlanYear,13,1),2)-1)/7)+1,MOD(9+WEEKDAY(DATE(PlanYear,13,1),2)-1,7)+1)=AJ$5,", "&amp;10,"")&amp;IF(INDEX($A$73:$G$83,2*INT((10+WEEKDAY(DATE(PlanYear,13,1),2)-1)/7)+1,MOD(10+WEEKDAY(DATE(PlanYear,13,1),2)-1,7)+1)=AJ$5,", "&amp;11,"")&amp;IF(INDEX($A$73:$G$83,2*INT((11+WEEKDAY(DATE(PlanYear,13,1),2)-1)/7)+1,MOD(11+WEEKDAY(DATE(PlanYear,13,1),2)-1,7)+1)=AJ$5,", "&amp;12,"")&amp;IF(INDEX($A$73:$G$83,2*INT((12+WEEKDAY(DATE(PlanYear,13,1),2)-1)/7)+1,MOD(12+WEEKDAY(DATE(PlanYear,13,1),2)-1,7)+1)=AJ$5,", "&amp;13,"")&amp;IF(INDEX($A$73:$G$83,2*INT((13+WEEKDAY(DATE(PlanYear,13,1),2)-1)/7)+1,MOD(13+WEEKDAY(DATE(PlanYear,13,1),2)-1,7)+1)=AJ$5,", "&amp;14,"")&amp;IF(INDEX($A$73:$G$83,2*INT((14+WEEKDAY(DATE(PlanYear,13,1),2)-1)/7)+1,MOD(14+WEEKDAY(DATE(PlanYear,13,1),2)-1,7)+1)=AJ$5,", "&amp;15,"")&amp;IF(INDEX($A$73:$G$83,2*INT((15+WEEKDAY(DATE(PlanYear,13,1),2)-1)/7)+1,MOD(15+WEEKDAY(DATE(PlanYear,13,1),2)-1,7)+1)=AJ$5,", "&amp;16,"")&amp;IF(INDEX($A$73:$G$83,2*INT((16+WEEKDAY(DATE(PlanYear,13,1),2)-1)/7)+1,MOD(16+WEEKDAY(DATE(PlanYear,13,1),2)-1,7)+1)=AJ$5,", "&amp;17,"")&amp;IF(INDEX($A$73:$G$83,2*INT((17+WEEKDAY(DATE(PlanYear,13,1),2)-1)/7)+1,MOD(17+WEEKDAY(DATE(PlanYear,13,1),2)-1,7)+1)=AJ$5,", "&amp;18,"")&amp;IF(INDEX($A$73:$G$83,2*INT((18+WEEKDAY(DATE(PlanYear,13,1),2)-1)/7)+1,MOD(18+WEEKDAY(DATE(PlanYear,13,1),2)-1,7)+1)=AJ$5,", "&amp;19,"")&amp;IF(INDEX($A$73:$G$83,2*INT((19+WEEKDAY(DATE(PlanYear,13,1),2)-1)/7)+1,MOD(19+WEEKDAY(DATE(PlanYear,13,1),2)-1,7)+1)=AJ$5,", "&amp;20,"")&amp;IF(INDEX($A$73:$G$83,2*INT((20+WEEKDAY(DATE(PlanYear,13,1),2)-1)/7)+1,MOD(20+WEEKDAY(DATE(PlanYear,13,1),2)-1,7)+1)=AJ$5,", "&amp;21,"")&amp;IF(INDEX($A$73:$G$83,2*INT((21+WEEKDAY(DATE(PlanYear,13,1),2)-1)/7)+1,MOD(21+WEEKDAY(DATE(PlanYear,13,1),2)-1,7)+1)=AJ$5,", "&amp;22,"")&amp;IF(INDEX($A$73:$G$83,2*INT((22+WEEKDAY(DATE(PlanYear,13,1),2)-1)/7)+1,MOD(22+WEEKDAY(DATE(PlanYear,13,1),2)-1,7)+1)=AJ$5,", "&amp;23,"")&amp;IF(INDEX($A$73:$G$83,2*INT((23+WEEKDAY(DATE(PlanYear,13,1),2)-1)/7)+1,MOD(23+WEEKDAY(DATE(PlanYear,13,1),2)-1,7)+1)=AJ$5,", "&amp;24,"")&amp;IF(INDEX($A$73:$G$83,2*INT((24+WEEKDAY(DATE(PlanYear,13,1),2)-1)/7)+1,MOD(24+WEEKDAY(DATE(PlanYear,13,1),2)-1,7)+1)=AJ$5,", "&amp;25,"")&amp;IF(INDEX($A$73:$G$83,2*INT((25+WEEKDAY(DATE(PlanYear,13,1),2)-1)/7)+1,MOD(25+WEEKDAY(DATE(PlanYear,13,1),2)-1,7)+1)=AJ$5,", "&amp;26,"")&amp;IF(INDEX($A$73:$G$83,2*INT((26+WEEKDAY(DATE(PlanYear,13,1),2)-1)/7)+1,MOD(26+WEEKDAY(DATE(PlanYear,13,1),2)-1,7)+1)=AJ$5,", "&amp;27,"")&amp;IF(INDEX($A$73:$G$83,2*INT((27+WEEKDAY(DATE(PlanYear,13,1),2)-1)/7)+1,MOD(27+WEEKDAY(DATE(PlanYear,13,1),2)-1,7)+1)=AJ$5,", "&amp;28,"")&amp;IF(INDEX($A$73:$G$83,2*INT((28+WEEKDAY(DATE(PlanYear,13,1),2)-1)/7)+1,MOD(28+WEEKDAY(DATE(PlanYear,13,1),2)-1,7)+1)=AJ$5,", "&amp;29,"")&amp;IF(INDEX($A$73:$G$83,2*INT((29+WEEKDAY(DATE(PlanYear,13,1),2)-1)/7)+1,MOD(29+WEEKDAY(DATE(PlanYear,13,1),2)-1,7)+1)=AJ$5,", "&amp;30,"")&amp;IF(INDEX($A$73:$G$83,2*INT((30+WEEKDAY(DATE(PlanYear,13,1),2)-1)/7)+1,MOD(30+WEEKDAY(DATE(PlanYear,13,1),2)-1,7)+1)=AJ$5,", "&amp;31,""),3,200))</f>
        <v/>
      </c>
      <c r="AK19" s="17">
        <f>DAY(EOMONTH(DATE(PlanYear,13,1),0))-COUNTIF($A$73:$G$83,"?*")</f>
        <v/>
      </c>
    </row>
    <row r="20" ht="10" customHeight="1"/>
    <row r="21" ht="10" customHeight="1"/>
    <row r="22" ht="20" customHeight="1">
      <c r="A22" s="13">
        <f>UPPER(TEXT(DATE(PlanYear,4,1),"mmmm yyyy"))&amp;"  ·  BDO"</f>
        <v/>
      </c>
      <c r="B22" s="14" t="n"/>
      <c r="C22" s="14" t="n"/>
      <c r="D22" s="14" t="n"/>
      <c r="E22" s="14" t="n"/>
      <c r="F22" s="14" t="n"/>
      <c r="G22" s="14" t="n"/>
      <c r="I22" s="13">
        <f>UPPER(TEXT(DATE(PlanYear,5,1),"mmmm yyyy"))&amp;"  ·  BDO"</f>
        <v/>
      </c>
      <c r="J22" s="14" t="n"/>
      <c r="K22" s="14" t="n"/>
      <c r="L22" s="14" t="n"/>
      <c r="M22" s="14" t="n"/>
      <c r="N22" s="14" t="n"/>
      <c r="O22" s="14" t="n"/>
      <c r="Q22" s="13">
        <f>UPPER(TEXT(DATE(PlanYear,6,1),"mmmm yyyy"))&amp;"  ·  BDO"</f>
        <v/>
      </c>
      <c r="R22" s="14" t="n"/>
      <c r="S22" s="14" t="n"/>
      <c r="T22" s="14" t="n"/>
      <c r="U22" s="14" t="n"/>
      <c r="V22" s="14" t="n"/>
      <c r="W22" s="14" t="n"/>
    </row>
    <row r="23" ht="15" customHeight="1">
      <c r="A23" s="18" t="inlineStr">
        <is>
          <t>Mon</t>
        </is>
      </c>
      <c r="B23" s="18" t="inlineStr">
        <is>
          <t>Tue</t>
        </is>
      </c>
      <c r="C23" s="18" t="inlineStr">
        <is>
          <t>Wed</t>
        </is>
      </c>
      <c r="D23" s="18" t="inlineStr">
        <is>
          <t>Thu</t>
        </is>
      </c>
      <c r="E23" s="18" t="inlineStr">
        <is>
          <t>Fri</t>
        </is>
      </c>
      <c r="F23" s="19" t="inlineStr">
        <is>
          <t>Sat</t>
        </is>
      </c>
      <c r="G23" s="19" t="inlineStr">
        <is>
          <t>Sun</t>
        </is>
      </c>
      <c r="I23" s="18" t="inlineStr">
        <is>
          <t>Mon</t>
        </is>
      </c>
      <c r="J23" s="18" t="inlineStr">
        <is>
          <t>Tue</t>
        </is>
      </c>
      <c r="K23" s="18" t="inlineStr">
        <is>
          <t>Wed</t>
        </is>
      </c>
      <c r="L23" s="18" t="inlineStr">
        <is>
          <t>Thu</t>
        </is>
      </c>
      <c r="M23" s="18" t="inlineStr">
        <is>
          <t>Fri</t>
        </is>
      </c>
      <c r="N23" s="19" t="inlineStr">
        <is>
          <t>Sat</t>
        </is>
      </c>
      <c r="O23" s="19" t="inlineStr">
        <is>
          <t>Sun</t>
        </is>
      </c>
      <c r="Q23" s="18" t="inlineStr">
        <is>
          <t>Mon</t>
        </is>
      </c>
      <c r="R23" s="18" t="inlineStr">
        <is>
          <t>Tue</t>
        </is>
      </c>
      <c r="S23" s="18" t="inlineStr">
        <is>
          <t>Wed</t>
        </is>
      </c>
      <c r="T23" s="18" t="inlineStr">
        <is>
          <t>Thu</t>
        </is>
      </c>
      <c r="U23" s="18" t="inlineStr">
        <is>
          <t>Fri</t>
        </is>
      </c>
      <c r="V23" s="19" t="inlineStr">
        <is>
          <t>Sat</t>
        </is>
      </c>
      <c r="W23" s="19" t="inlineStr">
        <is>
          <t>Sun</t>
        </is>
      </c>
    </row>
    <row r="24" ht="14" customHeight="1">
      <c r="A24" s="20">
        <f>IF(AND(1-(WEEKDAY(DATE(PlanYear,4,1),2)-1)&gt;=1,1-(WEEKDAY(DATE(PlanYear,4,1),2)-1)&lt;=DAY(EOMONTH(DATE(PlanYear,4,1),0))),DATE(PlanYear,4,1)+1-WEEKDAY(DATE(PlanYear,4,1),2),"")</f>
        <v/>
      </c>
      <c r="B24" s="20">
        <f>IF(AND(2-(WEEKDAY(DATE(PlanYear,4,1),2)-1)&gt;=1,2-(WEEKDAY(DATE(PlanYear,4,1),2)-1)&lt;=DAY(EOMONTH(DATE(PlanYear,4,1),0))),DATE(PlanYear,4,1)+2-WEEKDAY(DATE(PlanYear,4,1),2),"")</f>
        <v/>
      </c>
      <c r="C24" s="20">
        <f>IF(AND(3-(WEEKDAY(DATE(PlanYear,4,1),2)-1)&gt;=1,3-(WEEKDAY(DATE(PlanYear,4,1),2)-1)&lt;=DAY(EOMONTH(DATE(PlanYear,4,1),0))),DATE(PlanYear,4,1)+3-WEEKDAY(DATE(PlanYear,4,1),2),"")</f>
        <v/>
      </c>
      <c r="D24" s="20">
        <f>IF(AND(4-(WEEKDAY(DATE(PlanYear,4,1),2)-1)&gt;=1,4-(WEEKDAY(DATE(PlanYear,4,1),2)-1)&lt;=DAY(EOMONTH(DATE(PlanYear,4,1),0))),DATE(PlanYear,4,1)+4-WEEKDAY(DATE(PlanYear,4,1),2),"")</f>
        <v/>
      </c>
      <c r="E24" s="20">
        <f>IF(AND(5-(WEEKDAY(DATE(PlanYear,4,1),2)-1)&gt;=1,5-(WEEKDAY(DATE(PlanYear,4,1),2)-1)&lt;=DAY(EOMONTH(DATE(PlanYear,4,1),0))),DATE(PlanYear,4,1)+5-WEEKDAY(DATE(PlanYear,4,1),2),"")</f>
        <v/>
      </c>
      <c r="F24" s="20">
        <f>IF(AND(6-(WEEKDAY(DATE(PlanYear,4,1),2)-1)&gt;=1,6-(WEEKDAY(DATE(PlanYear,4,1),2)-1)&lt;=DAY(EOMONTH(DATE(PlanYear,4,1),0))),DATE(PlanYear,4,1)+6-WEEKDAY(DATE(PlanYear,4,1),2),"")</f>
        <v/>
      </c>
      <c r="G24" s="20">
        <f>IF(AND(7-(WEEKDAY(DATE(PlanYear,4,1),2)-1)&gt;=1,7-(WEEKDAY(DATE(PlanYear,4,1),2)-1)&lt;=DAY(EOMONTH(DATE(PlanYear,4,1),0))),DATE(PlanYear,4,1)+7-WEEKDAY(DATE(PlanYear,4,1),2),"")</f>
        <v/>
      </c>
      <c r="I24" s="20">
        <f>IF(AND(1-(WEEKDAY(DATE(PlanYear,5,1),2)-1)&gt;=1,1-(WEEKDAY(DATE(PlanYear,5,1),2)-1)&lt;=DAY(EOMONTH(DATE(PlanYear,5,1),0))),DATE(PlanYear,5,1)+1-WEEKDAY(DATE(PlanYear,5,1),2),"")</f>
        <v/>
      </c>
      <c r="J24" s="20">
        <f>IF(AND(2-(WEEKDAY(DATE(PlanYear,5,1),2)-1)&gt;=1,2-(WEEKDAY(DATE(PlanYear,5,1),2)-1)&lt;=DAY(EOMONTH(DATE(PlanYear,5,1),0))),DATE(PlanYear,5,1)+2-WEEKDAY(DATE(PlanYear,5,1),2),"")</f>
        <v/>
      </c>
      <c r="K24" s="20">
        <f>IF(AND(3-(WEEKDAY(DATE(PlanYear,5,1),2)-1)&gt;=1,3-(WEEKDAY(DATE(PlanYear,5,1),2)-1)&lt;=DAY(EOMONTH(DATE(PlanYear,5,1),0))),DATE(PlanYear,5,1)+3-WEEKDAY(DATE(PlanYear,5,1),2),"")</f>
        <v/>
      </c>
      <c r="L24" s="20">
        <f>IF(AND(4-(WEEKDAY(DATE(PlanYear,5,1),2)-1)&gt;=1,4-(WEEKDAY(DATE(PlanYear,5,1),2)-1)&lt;=DAY(EOMONTH(DATE(PlanYear,5,1),0))),DATE(PlanYear,5,1)+4-WEEKDAY(DATE(PlanYear,5,1),2),"")</f>
        <v/>
      </c>
      <c r="M24" s="20">
        <f>IF(AND(5-(WEEKDAY(DATE(PlanYear,5,1),2)-1)&gt;=1,5-(WEEKDAY(DATE(PlanYear,5,1),2)-1)&lt;=DAY(EOMONTH(DATE(PlanYear,5,1),0))),DATE(PlanYear,5,1)+5-WEEKDAY(DATE(PlanYear,5,1),2),"")</f>
        <v/>
      </c>
      <c r="N24" s="20">
        <f>IF(AND(6-(WEEKDAY(DATE(PlanYear,5,1),2)-1)&gt;=1,6-(WEEKDAY(DATE(PlanYear,5,1),2)-1)&lt;=DAY(EOMONTH(DATE(PlanYear,5,1),0))),DATE(PlanYear,5,1)+6-WEEKDAY(DATE(PlanYear,5,1),2),"")</f>
        <v/>
      </c>
      <c r="O24" s="20">
        <f>IF(AND(7-(WEEKDAY(DATE(PlanYear,5,1),2)-1)&gt;=1,7-(WEEKDAY(DATE(PlanYear,5,1),2)-1)&lt;=DAY(EOMONTH(DATE(PlanYear,5,1),0))),DATE(PlanYear,5,1)+7-WEEKDAY(DATE(PlanYear,5,1),2),"")</f>
        <v/>
      </c>
      <c r="Q24" s="20">
        <f>IF(AND(1-(WEEKDAY(DATE(PlanYear,6,1),2)-1)&gt;=1,1-(WEEKDAY(DATE(PlanYear,6,1),2)-1)&lt;=DAY(EOMONTH(DATE(PlanYear,6,1),0))),DATE(PlanYear,6,1)+1-WEEKDAY(DATE(PlanYear,6,1),2),"")</f>
        <v/>
      </c>
      <c r="R24" s="20">
        <f>IF(AND(2-(WEEKDAY(DATE(PlanYear,6,1),2)-1)&gt;=1,2-(WEEKDAY(DATE(PlanYear,6,1),2)-1)&lt;=DAY(EOMONTH(DATE(PlanYear,6,1),0))),DATE(PlanYear,6,1)+2-WEEKDAY(DATE(PlanYear,6,1),2),"")</f>
        <v/>
      </c>
      <c r="S24" s="20">
        <f>IF(AND(3-(WEEKDAY(DATE(PlanYear,6,1),2)-1)&gt;=1,3-(WEEKDAY(DATE(PlanYear,6,1),2)-1)&lt;=DAY(EOMONTH(DATE(PlanYear,6,1),0))),DATE(PlanYear,6,1)+3-WEEKDAY(DATE(PlanYear,6,1),2),"")</f>
        <v/>
      </c>
      <c r="T24" s="20">
        <f>IF(AND(4-(WEEKDAY(DATE(PlanYear,6,1),2)-1)&gt;=1,4-(WEEKDAY(DATE(PlanYear,6,1),2)-1)&lt;=DAY(EOMONTH(DATE(PlanYear,6,1),0))),DATE(PlanYear,6,1)+4-WEEKDAY(DATE(PlanYear,6,1),2),"")</f>
        <v/>
      </c>
      <c r="U24" s="20">
        <f>IF(AND(5-(WEEKDAY(DATE(PlanYear,6,1),2)-1)&gt;=1,5-(WEEKDAY(DATE(PlanYear,6,1),2)-1)&lt;=DAY(EOMONTH(DATE(PlanYear,6,1),0))),DATE(PlanYear,6,1)+5-WEEKDAY(DATE(PlanYear,6,1),2),"")</f>
        <v/>
      </c>
      <c r="V24" s="20">
        <f>IF(AND(6-(WEEKDAY(DATE(PlanYear,6,1),2)-1)&gt;=1,6-(WEEKDAY(DATE(PlanYear,6,1),2)-1)&lt;=DAY(EOMONTH(DATE(PlanYear,6,1),0))),DATE(PlanYear,6,1)+6-WEEKDAY(DATE(PlanYear,6,1),2),"")</f>
        <v/>
      </c>
      <c r="W24" s="20">
        <f>IF(AND(7-(WEEKDAY(DATE(PlanYear,6,1),2)-1)&gt;=1,7-(WEEKDAY(DATE(PlanYear,6,1),2)-1)&lt;=DAY(EOMONTH(DATE(PlanYear,6,1),0))),DATE(PlanYear,6,1)+7-WEEKDAY(DATE(PlanYear,6,1),2),"")</f>
        <v/>
      </c>
    </row>
    <row r="25" ht="24" customHeight="1">
      <c r="A25" s="21" t="n"/>
      <c r="B25" s="21" t="n"/>
      <c r="C25" s="21" t="n"/>
      <c r="D25" s="21" t="n"/>
      <c r="E25" s="21" t="n"/>
      <c r="F25" s="21" t="n"/>
      <c r="G25" s="21" t="n"/>
      <c r="I25" s="21" t="n"/>
      <c r="J25" s="21" t="n"/>
      <c r="K25" s="21" t="n"/>
      <c r="L25" s="21" t="n"/>
      <c r="M25" s="21" t="n"/>
      <c r="N25" s="21" t="n"/>
      <c r="O25" s="21" t="n"/>
      <c r="Q25" s="21" t="n"/>
      <c r="R25" s="21" t="n"/>
      <c r="S25" s="21" t="n"/>
      <c r="T25" s="21" t="n"/>
      <c r="U25" s="21" t="n"/>
      <c r="V25" s="21" t="n"/>
      <c r="W25" s="21" t="n"/>
    </row>
    <row r="26" ht="14" customHeight="1">
      <c r="A26" s="20">
        <f>IF(AND(8-(WEEKDAY(DATE(PlanYear,4,1),2)-1)&gt;=1,8-(WEEKDAY(DATE(PlanYear,4,1),2)-1)&lt;=DAY(EOMONTH(DATE(PlanYear,4,1),0))),DATE(PlanYear,4,1)+8-WEEKDAY(DATE(PlanYear,4,1),2),"")</f>
        <v/>
      </c>
      <c r="B26" s="20">
        <f>IF(AND(9-(WEEKDAY(DATE(PlanYear,4,1),2)-1)&gt;=1,9-(WEEKDAY(DATE(PlanYear,4,1),2)-1)&lt;=DAY(EOMONTH(DATE(PlanYear,4,1),0))),DATE(PlanYear,4,1)+9-WEEKDAY(DATE(PlanYear,4,1),2),"")</f>
        <v/>
      </c>
      <c r="C26" s="20">
        <f>IF(AND(10-(WEEKDAY(DATE(PlanYear,4,1),2)-1)&gt;=1,10-(WEEKDAY(DATE(PlanYear,4,1),2)-1)&lt;=DAY(EOMONTH(DATE(PlanYear,4,1),0))),DATE(PlanYear,4,1)+10-WEEKDAY(DATE(PlanYear,4,1),2),"")</f>
        <v/>
      </c>
      <c r="D26" s="20">
        <f>IF(AND(11-(WEEKDAY(DATE(PlanYear,4,1),2)-1)&gt;=1,11-(WEEKDAY(DATE(PlanYear,4,1),2)-1)&lt;=DAY(EOMONTH(DATE(PlanYear,4,1),0))),DATE(PlanYear,4,1)+11-WEEKDAY(DATE(PlanYear,4,1),2),"")</f>
        <v/>
      </c>
      <c r="E26" s="20">
        <f>IF(AND(12-(WEEKDAY(DATE(PlanYear,4,1),2)-1)&gt;=1,12-(WEEKDAY(DATE(PlanYear,4,1),2)-1)&lt;=DAY(EOMONTH(DATE(PlanYear,4,1),0))),DATE(PlanYear,4,1)+12-WEEKDAY(DATE(PlanYear,4,1),2),"")</f>
        <v/>
      </c>
      <c r="F26" s="20">
        <f>IF(AND(13-(WEEKDAY(DATE(PlanYear,4,1),2)-1)&gt;=1,13-(WEEKDAY(DATE(PlanYear,4,1),2)-1)&lt;=DAY(EOMONTH(DATE(PlanYear,4,1),0))),DATE(PlanYear,4,1)+13-WEEKDAY(DATE(PlanYear,4,1),2),"")</f>
        <v/>
      </c>
      <c r="G26" s="20">
        <f>IF(AND(14-(WEEKDAY(DATE(PlanYear,4,1),2)-1)&gt;=1,14-(WEEKDAY(DATE(PlanYear,4,1),2)-1)&lt;=DAY(EOMONTH(DATE(PlanYear,4,1),0))),DATE(PlanYear,4,1)+14-WEEKDAY(DATE(PlanYear,4,1),2),"")</f>
        <v/>
      </c>
      <c r="I26" s="20">
        <f>IF(AND(8-(WEEKDAY(DATE(PlanYear,5,1),2)-1)&gt;=1,8-(WEEKDAY(DATE(PlanYear,5,1),2)-1)&lt;=DAY(EOMONTH(DATE(PlanYear,5,1),0))),DATE(PlanYear,5,1)+8-WEEKDAY(DATE(PlanYear,5,1),2),"")</f>
        <v/>
      </c>
      <c r="J26" s="20">
        <f>IF(AND(9-(WEEKDAY(DATE(PlanYear,5,1),2)-1)&gt;=1,9-(WEEKDAY(DATE(PlanYear,5,1),2)-1)&lt;=DAY(EOMONTH(DATE(PlanYear,5,1),0))),DATE(PlanYear,5,1)+9-WEEKDAY(DATE(PlanYear,5,1),2),"")</f>
        <v/>
      </c>
      <c r="K26" s="20">
        <f>IF(AND(10-(WEEKDAY(DATE(PlanYear,5,1),2)-1)&gt;=1,10-(WEEKDAY(DATE(PlanYear,5,1),2)-1)&lt;=DAY(EOMONTH(DATE(PlanYear,5,1),0))),DATE(PlanYear,5,1)+10-WEEKDAY(DATE(PlanYear,5,1),2),"")</f>
        <v/>
      </c>
      <c r="L26" s="20">
        <f>IF(AND(11-(WEEKDAY(DATE(PlanYear,5,1),2)-1)&gt;=1,11-(WEEKDAY(DATE(PlanYear,5,1),2)-1)&lt;=DAY(EOMONTH(DATE(PlanYear,5,1),0))),DATE(PlanYear,5,1)+11-WEEKDAY(DATE(PlanYear,5,1),2),"")</f>
        <v/>
      </c>
      <c r="M26" s="20">
        <f>IF(AND(12-(WEEKDAY(DATE(PlanYear,5,1),2)-1)&gt;=1,12-(WEEKDAY(DATE(PlanYear,5,1),2)-1)&lt;=DAY(EOMONTH(DATE(PlanYear,5,1),0))),DATE(PlanYear,5,1)+12-WEEKDAY(DATE(PlanYear,5,1),2),"")</f>
        <v/>
      </c>
      <c r="N26" s="20">
        <f>IF(AND(13-(WEEKDAY(DATE(PlanYear,5,1),2)-1)&gt;=1,13-(WEEKDAY(DATE(PlanYear,5,1),2)-1)&lt;=DAY(EOMONTH(DATE(PlanYear,5,1),0))),DATE(PlanYear,5,1)+13-WEEKDAY(DATE(PlanYear,5,1),2),"")</f>
        <v/>
      </c>
      <c r="O26" s="20">
        <f>IF(AND(14-(WEEKDAY(DATE(PlanYear,5,1),2)-1)&gt;=1,14-(WEEKDAY(DATE(PlanYear,5,1),2)-1)&lt;=DAY(EOMONTH(DATE(PlanYear,5,1),0))),DATE(PlanYear,5,1)+14-WEEKDAY(DATE(PlanYear,5,1),2),"")</f>
        <v/>
      </c>
      <c r="Q26" s="20">
        <f>IF(AND(8-(WEEKDAY(DATE(PlanYear,6,1),2)-1)&gt;=1,8-(WEEKDAY(DATE(PlanYear,6,1),2)-1)&lt;=DAY(EOMONTH(DATE(PlanYear,6,1),0))),DATE(PlanYear,6,1)+8-WEEKDAY(DATE(PlanYear,6,1),2),"")</f>
        <v/>
      </c>
      <c r="R26" s="20">
        <f>IF(AND(9-(WEEKDAY(DATE(PlanYear,6,1),2)-1)&gt;=1,9-(WEEKDAY(DATE(PlanYear,6,1),2)-1)&lt;=DAY(EOMONTH(DATE(PlanYear,6,1),0))),DATE(PlanYear,6,1)+9-WEEKDAY(DATE(PlanYear,6,1),2),"")</f>
        <v/>
      </c>
      <c r="S26" s="20">
        <f>IF(AND(10-(WEEKDAY(DATE(PlanYear,6,1),2)-1)&gt;=1,10-(WEEKDAY(DATE(PlanYear,6,1),2)-1)&lt;=DAY(EOMONTH(DATE(PlanYear,6,1),0))),DATE(PlanYear,6,1)+10-WEEKDAY(DATE(PlanYear,6,1),2),"")</f>
        <v/>
      </c>
      <c r="T26" s="20">
        <f>IF(AND(11-(WEEKDAY(DATE(PlanYear,6,1),2)-1)&gt;=1,11-(WEEKDAY(DATE(PlanYear,6,1),2)-1)&lt;=DAY(EOMONTH(DATE(PlanYear,6,1),0))),DATE(PlanYear,6,1)+11-WEEKDAY(DATE(PlanYear,6,1),2),"")</f>
        <v/>
      </c>
      <c r="U26" s="20">
        <f>IF(AND(12-(WEEKDAY(DATE(PlanYear,6,1),2)-1)&gt;=1,12-(WEEKDAY(DATE(PlanYear,6,1),2)-1)&lt;=DAY(EOMONTH(DATE(PlanYear,6,1),0))),DATE(PlanYear,6,1)+12-WEEKDAY(DATE(PlanYear,6,1),2),"")</f>
        <v/>
      </c>
      <c r="V26" s="20">
        <f>IF(AND(13-(WEEKDAY(DATE(PlanYear,6,1),2)-1)&gt;=1,13-(WEEKDAY(DATE(PlanYear,6,1),2)-1)&lt;=DAY(EOMONTH(DATE(PlanYear,6,1),0))),DATE(PlanYear,6,1)+13-WEEKDAY(DATE(PlanYear,6,1),2),"")</f>
        <v/>
      </c>
      <c r="W26" s="20">
        <f>IF(AND(14-(WEEKDAY(DATE(PlanYear,6,1),2)-1)&gt;=1,14-(WEEKDAY(DATE(PlanYear,6,1),2)-1)&lt;=DAY(EOMONTH(DATE(PlanYear,6,1),0))),DATE(PlanYear,6,1)+14-WEEKDAY(DATE(PlanYear,6,1),2),"")</f>
        <v/>
      </c>
    </row>
    <row r="27" ht="24" customHeight="1">
      <c r="A27" s="21" t="n"/>
      <c r="B27" s="21" t="n"/>
      <c r="C27" s="21" t="n"/>
      <c r="D27" s="21" t="n"/>
      <c r="E27" s="21" t="n"/>
      <c r="F27" s="21" t="n"/>
      <c r="G27" s="21" t="n"/>
      <c r="I27" s="21" t="n"/>
      <c r="J27" s="21" t="n"/>
      <c r="K27" s="21" t="n"/>
      <c r="L27" s="21" t="n"/>
      <c r="M27" s="21" t="n"/>
      <c r="N27" s="21" t="n"/>
      <c r="O27" s="21" t="n"/>
      <c r="Q27" s="21" t="n"/>
      <c r="R27" s="21" t="n"/>
      <c r="S27" s="21" t="n"/>
      <c r="T27" s="21" t="n"/>
      <c r="U27" s="21" t="n"/>
      <c r="V27" s="21" t="n"/>
      <c r="W27" s="21" t="n"/>
    </row>
    <row r="28" ht="14" customHeight="1">
      <c r="A28" s="20">
        <f>IF(AND(15-(WEEKDAY(DATE(PlanYear,4,1),2)-1)&gt;=1,15-(WEEKDAY(DATE(PlanYear,4,1),2)-1)&lt;=DAY(EOMONTH(DATE(PlanYear,4,1),0))),DATE(PlanYear,4,1)+15-WEEKDAY(DATE(PlanYear,4,1),2),"")</f>
        <v/>
      </c>
      <c r="B28" s="20">
        <f>IF(AND(16-(WEEKDAY(DATE(PlanYear,4,1),2)-1)&gt;=1,16-(WEEKDAY(DATE(PlanYear,4,1),2)-1)&lt;=DAY(EOMONTH(DATE(PlanYear,4,1),0))),DATE(PlanYear,4,1)+16-WEEKDAY(DATE(PlanYear,4,1),2),"")</f>
        <v/>
      </c>
      <c r="C28" s="20">
        <f>IF(AND(17-(WEEKDAY(DATE(PlanYear,4,1),2)-1)&gt;=1,17-(WEEKDAY(DATE(PlanYear,4,1),2)-1)&lt;=DAY(EOMONTH(DATE(PlanYear,4,1),0))),DATE(PlanYear,4,1)+17-WEEKDAY(DATE(PlanYear,4,1),2),"")</f>
        <v/>
      </c>
      <c r="D28" s="20">
        <f>IF(AND(18-(WEEKDAY(DATE(PlanYear,4,1),2)-1)&gt;=1,18-(WEEKDAY(DATE(PlanYear,4,1),2)-1)&lt;=DAY(EOMONTH(DATE(PlanYear,4,1),0))),DATE(PlanYear,4,1)+18-WEEKDAY(DATE(PlanYear,4,1),2),"")</f>
        <v/>
      </c>
      <c r="E28" s="20">
        <f>IF(AND(19-(WEEKDAY(DATE(PlanYear,4,1),2)-1)&gt;=1,19-(WEEKDAY(DATE(PlanYear,4,1),2)-1)&lt;=DAY(EOMONTH(DATE(PlanYear,4,1),0))),DATE(PlanYear,4,1)+19-WEEKDAY(DATE(PlanYear,4,1),2),"")</f>
        <v/>
      </c>
      <c r="F28" s="20">
        <f>IF(AND(20-(WEEKDAY(DATE(PlanYear,4,1),2)-1)&gt;=1,20-(WEEKDAY(DATE(PlanYear,4,1),2)-1)&lt;=DAY(EOMONTH(DATE(PlanYear,4,1),0))),DATE(PlanYear,4,1)+20-WEEKDAY(DATE(PlanYear,4,1),2),"")</f>
        <v/>
      </c>
      <c r="G28" s="20">
        <f>IF(AND(21-(WEEKDAY(DATE(PlanYear,4,1),2)-1)&gt;=1,21-(WEEKDAY(DATE(PlanYear,4,1),2)-1)&lt;=DAY(EOMONTH(DATE(PlanYear,4,1),0))),DATE(PlanYear,4,1)+21-WEEKDAY(DATE(PlanYear,4,1),2),"")</f>
        <v/>
      </c>
      <c r="I28" s="20">
        <f>IF(AND(15-(WEEKDAY(DATE(PlanYear,5,1),2)-1)&gt;=1,15-(WEEKDAY(DATE(PlanYear,5,1),2)-1)&lt;=DAY(EOMONTH(DATE(PlanYear,5,1),0))),DATE(PlanYear,5,1)+15-WEEKDAY(DATE(PlanYear,5,1),2),"")</f>
        <v/>
      </c>
      <c r="J28" s="20">
        <f>IF(AND(16-(WEEKDAY(DATE(PlanYear,5,1),2)-1)&gt;=1,16-(WEEKDAY(DATE(PlanYear,5,1),2)-1)&lt;=DAY(EOMONTH(DATE(PlanYear,5,1),0))),DATE(PlanYear,5,1)+16-WEEKDAY(DATE(PlanYear,5,1),2),"")</f>
        <v/>
      </c>
      <c r="K28" s="20">
        <f>IF(AND(17-(WEEKDAY(DATE(PlanYear,5,1),2)-1)&gt;=1,17-(WEEKDAY(DATE(PlanYear,5,1),2)-1)&lt;=DAY(EOMONTH(DATE(PlanYear,5,1),0))),DATE(PlanYear,5,1)+17-WEEKDAY(DATE(PlanYear,5,1),2),"")</f>
        <v/>
      </c>
      <c r="L28" s="20">
        <f>IF(AND(18-(WEEKDAY(DATE(PlanYear,5,1),2)-1)&gt;=1,18-(WEEKDAY(DATE(PlanYear,5,1),2)-1)&lt;=DAY(EOMONTH(DATE(PlanYear,5,1),0))),DATE(PlanYear,5,1)+18-WEEKDAY(DATE(PlanYear,5,1),2),"")</f>
        <v/>
      </c>
      <c r="M28" s="20">
        <f>IF(AND(19-(WEEKDAY(DATE(PlanYear,5,1),2)-1)&gt;=1,19-(WEEKDAY(DATE(PlanYear,5,1),2)-1)&lt;=DAY(EOMONTH(DATE(PlanYear,5,1),0))),DATE(PlanYear,5,1)+19-WEEKDAY(DATE(PlanYear,5,1),2),"")</f>
        <v/>
      </c>
      <c r="N28" s="20">
        <f>IF(AND(20-(WEEKDAY(DATE(PlanYear,5,1),2)-1)&gt;=1,20-(WEEKDAY(DATE(PlanYear,5,1),2)-1)&lt;=DAY(EOMONTH(DATE(PlanYear,5,1),0))),DATE(PlanYear,5,1)+20-WEEKDAY(DATE(PlanYear,5,1),2),"")</f>
        <v/>
      </c>
      <c r="O28" s="20">
        <f>IF(AND(21-(WEEKDAY(DATE(PlanYear,5,1),2)-1)&gt;=1,21-(WEEKDAY(DATE(PlanYear,5,1),2)-1)&lt;=DAY(EOMONTH(DATE(PlanYear,5,1),0))),DATE(PlanYear,5,1)+21-WEEKDAY(DATE(PlanYear,5,1),2),"")</f>
        <v/>
      </c>
      <c r="Q28" s="20">
        <f>IF(AND(15-(WEEKDAY(DATE(PlanYear,6,1),2)-1)&gt;=1,15-(WEEKDAY(DATE(PlanYear,6,1),2)-1)&lt;=DAY(EOMONTH(DATE(PlanYear,6,1),0))),DATE(PlanYear,6,1)+15-WEEKDAY(DATE(PlanYear,6,1),2),"")</f>
        <v/>
      </c>
      <c r="R28" s="20">
        <f>IF(AND(16-(WEEKDAY(DATE(PlanYear,6,1),2)-1)&gt;=1,16-(WEEKDAY(DATE(PlanYear,6,1),2)-1)&lt;=DAY(EOMONTH(DATE(PlanYear,6,1),0))),DATE(PlanYear,6,1)+16-WEEKDAY(DATE(PlanYear,6,1),2),"")</f>
        <v/>
      </c>
      <c r="S28" s="20">
        <f>IF(AND(17-(WEEKDAY(DATE(PlanYear,6,1),2)-1)&gt;=1,17-(WEEKDAY(DATE(PlanYear,6,1),2)-1)&lt;=DAY(EOMONTH(DATE(PlanYear,6,1),0))),DATE(PlanYear,6,1)+17-WEEKDAY(DATE(PlanYear,6,1),2),"")</f>
        <v/>
      </c>
      <c r="T28" s="20">
        <f>IF(AND(18-(WEEKDAY(DATE(PlanYear,6,1),2)-1)&gt;=1,18-(WEEKDAY(DATE(PlanYear,6,1),2)-1)&lt;=DAY(EOMONTH(DATE(PlanYear,6,1),0))),DATE(PlanYear,6,1)+18-WEEKDAY(DATE(PlanYear,6,1),2),"")</f>
        <v/>
      </c>
      <c r="U28" s="20">
        <f>IF(AND(19-(WEEKDAY(DATE(PlanYear,6,1),2)-1)&gt;=1,19-(WEEKDAY(DATE(PlanYear,6,1),2)-1)&lt;=DAY(EOMONTH(DATE(PlanYear,6,1),0))),DATE(PlanYear,6,1)+19-WEEKDAY(DATE(PlanYear,6,1),2),"")</f>
        <v/>
      </c>
      <c r="V28" s="20">
        <f>IF(AND(20-(WEEKDAY(DATE(PlanYear,6,1),2)-1)&gt;=1,20-(WEEKDAY(DATE(PlanYear,6,1),2)-1)&lt;=DAY(EOMONTH(DATE(PlanYear,6,1),0))),DATE(PlanYear,6,1)+20-WEEKDAY(DATE(PlanYear,6,1),2),"")</f>
        <v/>
      </c>
      <c r="W28" s="20">
        <f>IF(AND(21-(WEEKDAY(DATE(PlanYear,6,1),2)-1)&gt;=1,21-(WEEKDAY(DATE(PlanYear,6,1),2)-1)&lt;=DAY(EOMONTH(DATE(PlanYear,6,1),0))),DATE(PlanYear,6,1)+21-WEEKDAY(DATE(PlanYear,6,1),2),"")</f>
        <v/>
      </c>
    </row>
    <row r="29" ht="24" customHeight="1">
      <c r="A29" s="21" t="n"/>
      <c r="B29" s="21" t="n"/>
      <c r="C29" s="21" t="n"/>
      <c r="D29" s="21" t="n"/>
      <c r="E29" s="21" t="n"/>
      <c r="F29" s="21" t="n"/>
      <c r="G29" s="21" t="n"/>
      <c r="I29" s="21" t="n"/>
      <c r="J29" s="21" t="n"/>
      <c r="K29" s="21" t="n"/>
      <c r="L29" s="21" t="n"/>
      <c r="M29" s="21" t="n"/>
      <c r="N29" s="21" t="n"/>
      <c r="O29" s="21" t="n"/>
      <c r="Q29" s="21" t="n"/>
      <c r="R29" s="21" t="n"/>
      <c r="S29" s="21" t="n"/>
      <c r="T29" s="21" t="n"/>
      <c r="U29" s="21" t="n"/>
      <c r="V29" s="21" t="n"/>
      <c r="W29" s="21" t="n"/>
    </row>
    <row r="30" ht="14" customHeight="1">
      <c r="A30" s="20">
        <f>IF(AND(22-(WEEKDAY(DATE(PlanYear,4,1),2)-1)&gt;=1,22-(WEEKDAY(DATE(PlanYear,4,1),2)-1)&lt;=DAY(EOMONTH(DATE(PlanYear,4,1),0))),DATE(PlanYear,4,1)+22-WEEKDAY(DATE(PlanYear,4,1),2),"")</f>
        <v/>
      </c>
      <c r="B30" s="20">
        <f>IF(AND(23-(WEEKDAY(DATE(PlanYear,4,1),2)-1)&gt;=1,23-(WEEKDAY(DATE(PlanYear,4,1),2)-1)&lt;=DAY(EOMONTH(DATE(PlanYear,4,1),0))),DATE(PlanYear,4,1)+23-WEEKDAY(DATE(PlanYear,4,1),2),"")</f>
        <v/>
      </c>
      <c r="C30" s="20">
        <f>IF(AND(24-(WEEKDAY(DATE(PlanYear,4,1),2)-1)&gt;=1,24-(WEEKDAY(DATE(PlanYear,4,1),2)-1)&lt;=DAY(EOMONTH(DATE(PlanYear,4,1),0))),DATE(PlanYear,4,1)+24-WEEKDAY(DATE(PlanYear,4,1),2),"")</f>
        <v/>
      </c>
      <c r="D30" s="20">
        <f>IF(AND(25-(WEEKDAY(DATE(PlanYear,4,1),2)-1)&gt;=1,25-(WEEKDAY(DATE(PlanYear,4,1),2)-1)&lt;=DAY(EOMONTH(DATE(PlanYear,4,1),0))),DATE(PlanYear,4,1)+25-WEEKDAY(DATE(PlanYear,4,1),2),"")</f>
        <v/>
      </c>
      <c r="E30" s="20">
        <f>IF(AND(26-(WEEKDAY(DATE(PlanYear,4,1),2)-1)&gt;=1,26-(WEEKDAY(DATE(PlanYear,4,1),2)-1)&lt;=DAY(EOMONTH(DATE(PlanYear,4,1),0))),DATE(PlanYear,4,1)+26-WEEKDAY(DATE(PlanYear,4,1),2),"")</f>
        <v/>
      </c>
      <c r="F30" s="20">
        <f>IF(AND(27-(WEEKDAY(DATE(PlanYear,4,1),2)-1)&gt;=1,27-(WEEKDAY(DATE(PlanYear,4,1),2)-1)&lt;=DAY(EOMONTH(DATE(PlanYear,4,1),0))),DATE(PlanYear,4,1)+27-WEEKDAY(DATE(PlanYear,4,1),2),"")</f>
        <v/>
      </c>
      <c r="G30" s="20">
        <f>IF(AND(28-(WEEKDAY(DATE(PlanYear,4,1),2)-1)&gt;=1,28-(WEEKDAY(DATE(PlanYear,4,1),2)-1)&lt;=DAY(EOMONTH(DATE(PlanYear,4,1),0))),DATE(PlanYear,4,1)+28-WEEKDAY(DATE(PlanYear,4,1),2),"")</f>
        <v/>
      </c>
      <c r="I30" s="20">
        <f>IF(AND(22-(WEEKDAY(DATE(PlanYear,5,1),2)-1)&gt;=1,22-(WEEKDAY(DATE(PlanYear,5,1),2)-1)&lt;=DAY(EOMONTH(DATE(PlanYear,5,1),0))),DATE(PlanYear,5,1)+22-WEEKDAY(DATE(PlanYear,5,1),2),"")</f>
        <v/>
      </c>
      <c r="J30" s="20">
        <f>IF(AND(23-(WEEKDAY(DATE(PlanYear,5,1),2)-1)&gt;=1,23-(WEEKDAY(DATE(PlanYear,5,1),2)-1)&lt;=DAY(EOMONTH(DATE(PlanYear,5,1),0))),DATE(PlanYear,5,1)+23-WEEKDAY(DATE(PlanYear,5,1),2),"")</f>
        <v/>
      </c>
      <c r="K30" s="20">
        <f>IF(AND(24-(WEEKDAY(DATE(PlanYear,5,1),2)-1)&gt;=1,24-(WEEKDAY(DATE(PlanYear,5,1),2)-1)&lt;=DAY(EOMONTH(DATE(PlanYear,5,1),0))),DATE(PlanYear,5,1)+24-WEEKDAY(DATE(PlanYear,5,1),2),"")</f>
        <v/>
      </c>
      <c r="L30" s="20">
        <f>IF(AND(25-(WEEKDAY(DATE(PlanYear,5,1),2)-1)&gt;=1,25-(WEEKDAY(DATE(PlanYear,5,1),2)-1)&lt;=DAY(EOMONTH(DATE(PlanYear,5,1),0))),DATE(PlanYear,5,1)+25-WEEKDAY(DATE(PlanYear,5,1),2),"")</f>
        <v/>
      </c>
      <c r="M30" s="20">
        <f>IF(AND(26-(WEEKDAY(DATE(PlanYear,5,1),2)-1)&gt;=1,26-(WEEKDAY(DATE(PlanYear,5,1),2)-1)&lt;=DAY(EOMONTH(DATE(PlanYear,5,1),0))),DATE(PlanYear,5,1)+26-WEEKDAY(DATE(PlanYear,5,1),2),"")</f>
        <v/>
      </c>
      <c r="N30" s="20">
        <f>IF(AND(27-(WEEKDAY(DATE(PlanYear,5,1),2)-1)&gt;=1,27-(WEEKDAY(DATE(PlanYear,5,1),2)-1)&lt;=DAY(EOMONTH(DATE(PlanYear,5,1),0))),DATE(PlanYear,5,1)+27-WEEKDAY(DATE(PlanYear,5,1),2),"")</f>
        <v/>
      </c>
      <c r="O30" s="20">
        <f>IF(AND(28-(WEEKDAY(DATE(PlanYear,5,1),2)-1)&gt;=1,28-(WEEKDAY(DATE(PlanYear,5,1),2)-1)&lt;=DAY(EOMONTH(DATE(PlanYear,5,1),0))),DATE(PlanYear,5,1)+28-WEEKDAY(DATE(PlanYear,5,1),2),"")</f>
        <v/>
      </c>
      <c r="Q30" s="20">
        <f>IF(AND(22-(WEEKDAY(DATE(PlanYear,6,1),2)-1)&gt;=1,22-(WEEKDAY(DATE(PlanYear,6,1),2)-1)&lt;=DAY(EOMONTH(DATE(PlanYear,6,1),0))),DATE(PlanYear,6,1)+22-WEEKDAY(DATE(PlanYear,6,1),2),"")</f>
        <v/>
      </c>
      <c r="R30" s="20">
        <f>IF(AND(23-(WEEKDAY(DATE(PlanYear,6,1),2)-1)&gt;=1,23-(WEEKDAY(DATE(PlanYear,6,1),2)-1)&lt;=DAY(EOMONTH(DATE(PlanYear,6,1),0))),DATE(PlanYear,6,1)+23-WEEKDAY(DATE(PlanYear,6,1),2),"")</f>
        <v/>
      </c>
      <c r="S30" s="20">
        <f>IF(AND(24-(WEEKDAY(DATE(PlanYear,6,1),2)-1)&gt;=1,24-(WEEKDAY(DATE(PlanYear,6,1),2)-1)&lt;=DAY(EOMONTH(DATE(PlanYear,6,1),0))),DATE(PlanYear,6,1)+24-WEEKDAY(DATE(PlanYear,6,1),2),"")</f>
        <v/>
      </c>
      <c r="T30" s="20">
        <f>IF(AND(25-(WEEKDAY(DATE(PlanYear,6,1),2)-1)&gt;=1,25-(WEEKDAY(DATE(PlanYear,6,1),2)-1)&lt;=DAY(EOMONTH(DATE(PlanYear,6,1),0))),DATE(PlanYear,6,1)+25-WEEKDAY(DATE(PlanYear,6,1),2),"")</f>
        <v/>
      </c>
      <c r="U30" s="20">
        <f>IF(AND(26-(WEEKDAY(DATE(PlanYear,6,1),2)-1)&gt;=1,26-(WEEKDAY(DATE(PlanYear,6,1),2)-1)&lt;=DAY(EOMONTH(DATE(PlanYear,6,1),0))),DATE(PlanYear,6,1)+26-WEEKDAY(DATE(PlanYear,6,1),2),"")</f>
        <v/>
      </c>
      <c r="V30" s="20">
        <f>IF(AND(27-(WEEKDAY(DATE(PlanYear,6,1),2)-1)&gt;=1,27-(WEEKDAY(DATE(PlanYear,6,1),2)-1)&lt;=DAY(EOMONTH(DATE(PlanYear,6,1),0))),DATE(PlanYear,6,1)+27-WEEKDAY(DATE(PlanYear,6,1),2),"")</f>
        <v/>
      </c>
      <c r="W30" s="20">
        <f>IF(AND(28-(WEEKDAY(DATE(PlanYear,6,1),2)-1)&gt;=1,28-(WEEKDAY(DATE(PlanYear,6,1),2)-1)&lt;=DAY(EOMONTH(DATE(PlanYear,6,1),0))),DATE(PlanYear,6,1)+28-WEEKDAY(DATE(PlanYear,6,1),2),"")</f>
        <v/>
      </c>
    </row>
    <row r="31" ht="24" customHeight="1">
      <c r="A31" s="21" t="n"/>
      <c r="B31" s="21" t="n"/>
      <c r="C31" s="21" t="n"/>
      <c r="D31" s="21" t="n"/>
      <c r="E31" s="21" t="n"/>
      <c r="F31" s="21" t="n"/>
      <c r="G31" s="21" t="n"/>
      <c r="I31" s="21" t="n"/>
      <c r="J31" s="21" t="n"/>
      <c r="K31" s="21" t="n"/>
      <c r="L31" s="21" t="n"/>
      <c r="M31" s="21" t="n"/>
      <c r="N31" s="21" t="n"/>
      <c r="O31" s="21" t="n"/>
      <c r="Q31" s="21" t="n"/>
      <c r="R31" s="21" t="n"/>
      <c r="S31" s="21" t="n"/>
      <c r="T31" s="21" t="n"/>
      <c r="U31" s="21" t="n"/>
      <c r="V31" s="21" t="n"/>
      <c r="W31" s="21" t="n"/>
    </row>
    <row r="32" ht="14" customHeight="1">
      <c r="A32" s="20">
        <f>IF(AND(29-(WEEKDAY(DATE(PlanYear,4,1),2)-1)&gt;=1,29-(WEEKDAY(DATE(PlanYear,4,1),2)-1)&lt;=DAY(EOMONTH(DATE(PlanYear,4,1),0))),DATE(PlanYear,4,1)+29-WEEKDAY(DATE(PlanYear,4,1),2),"")</f>
        <v/>
      </c>
      <c r="B32" s="20">
        <f>IF(AND(30-(WEEKDAY(DATE(PlanYear,4,1),2)-1)&gt;=1,30-(WEEKDAY(DATE(PlanYear,4,1),2)-1)&lt;=DAY(EOMONTH(DATE(PlanYear,4,1),0))),DATE(PlanYear,4,1)+30-WEEKDAY(DATE(PlanYear,4,1),2),"")</f>
        <v/>
      </c>
      <c r="C32" s="20">
        <f>IF(AND(31-(WEEKDAY(DATE(PlanYear,4,1),2)-1)&gt;=1,31-(WEEKDAY(DATE(PlanYear,4,1),2)-1)&lt;=DAY(EOMONTH(DATE(PlanYear,4,1),0))),DATE(PlanYear,4,1)+31-WEEKDAY(DATE(PlanYear,4,1),2),"")</f>
        <v/>
      </c>
      <c r="D32" s="20">
        <f>IF(AND(32-(WEEKDAY(DATE(PlanYear,4,1),2)-1)&gt;=1,32-(WEEKDAY(DATE(PlanYear,4,1),2)-1)&lt;=DAY(EOMONTH(DATE(PlanYear,4,1),0))),DATE(PlanYear,4,1)+32-WEEKDAY(DATE(PlanYear,4,1),2),"")</f>
        <v/>
      </c>
      <c r="E32" s="20">
        <f>IF(AND(33-(WEEKDAY(DATE(PlanYear,4,1),2)-1)&gt;=1,33-(WEEKDAY(DATE(PlanYear,4,1),2)-1)&lt;=DAY(EOMONTH(DATE(PlanYear,4,1),0))),DATE(PlanYear,4,1)+33-WEEKDAY(DATE(PlanYear,4,1),2),"")</f>
        <v/>
      </c>
      <c r="F32" s="20">
        <f>IF(AND(34-(WEEKDAY(DATE(PlanYear,4,1),2)-1)&gt;=1,34-(WEEKDAY(DATE(PlanYear,4,1),2)-1)&lt;=DAY(EOMONTH(DATE(PlanYear,4,1),0))),DATE(PlanYear,4,1)+34-WEEKDAY(DATE(PlanYear,4,1),2),"")</f>
        <v/>
      </c>
      <c r="G32" s="20">
        <f>IF(AND(35-(WEEKDAY(DATE(PlanYear,4,1),2)-1)&gt;=1,35-(WEEKDAY(DATE(PlanYear,4,1),2)-1)&lt;=DAY(EOMONTH(DATE(PlanYear,4,1),0))),DATE(PlanYear,4,1)+35-WEEKDAY(DATE(PlanYear,4,1),2),"")</f>
        <v/>
      </c>
      <c r="I32" s="20">
        <f>IF(AND(29-(WEEKDAY(DATE(PlanYear,5,1),2)-1)&gt;=1,29-(WEEKDAY(DATE(PlanYear,5,1),2)-1)&lt;=DAY(EOMONTH(DATE(PlanYear,5,1),0))),DATE(PlanYear,5,1)+29-WEEKDAY(DATE(PlanYear,5,1),2),"")</f>
        <v/>
      </c>
      <c r="J32" s="20">
        <f>IF(AND(30-(WEEKDAY(DATE(PlanYear,5,1),2)-1)&gt;=1,30-(WEEKDAY(DATE(PlanYear,5,1),2)-1)&lt;=DAY(EOMONTH(DATE(PlanYear,5,1),0))),DATE(PlanYear,5,1)+30-WEEKDAY(DATE(PlanYear,5,1),2),"")</f>
        <v/>
      </c>
      <c r="K32" s="20">
        <f>IF(AND(31-(WEEKDAY(DATE(PlanYear,5,1),2)-1)&gt;=1,31-(WEEKDAY(DATE(PlanYear,5,1),2)-1)&lt;=DAY(EOMONTH(DATE(PlanYear,5,1),0))),DATE(PlanYear,5,1)+31-WEEKDAY(DATE(PlanYear,5,1),2),"")</f>
        <v/>
      </c>
      <c r="L32" s="20">
        <f>IF(AND(32-(WEEKDAY(DATE(PlanYear,5,1),2)-1)&gt;=1,32-(WEEKDAY(DATE(PlanYear,5,1),2)-1)&lt;=DAY(EOMONTH(DATE(PlanYear,5,1),0))),DATE(PlanYear,5,1)+32-WEEKDAY(DATE(PlanYear,5,1),2),"")</f>
        <v/>
      </c>
      <c r="M32" s="20">
        <f>IF(AND(33-(WEEKDAY(DATE(PlanYear,5,1),2)-1)&gt;=1,33-(WEEKDAY(DATE(PlanYear,5,1),2)-1)&lt;=DAY(EOMONTH(DATE(PlanYear,5,1),0))),DATE(PlanYear,5,1)+33-WEEKDAY(DATE(PlanYear,5,1),2),"")</f>
        <v/>
      </c>
      <c r="N32" s="20">
        <f>IF(AND(34-(WEEKDAY(DATE(PlanYear,5,1),2)-1)&gt;=1,34-(WEEKDAY(DATE(PlanYear,5,1),2)-1)&lt;=DAY(EOMONTH(DATE(PlanYear,5,1),0))),DATE(PlanYear,5,1)+34-WEEKDAY(DATE(PlanYear,5,1),2),"")</f>
        <v/>
      </c>
      <c r="O32" s="20">
        <f>IF(AND(35-(WEEKDAY(DATE(PlanYear,5,1),2)-1)&gt;=1,35-(WEEKDAY(DATE(PlanYear,5,1),2)-1)&lt;=DAY(EOMONTH(DATE(PlanYear,5,1),0))),DATE(PlanYear,5,1)+35-WEEKDAY(DATE(PlanYear,5,1),2),"")</f>
        <v/>
      </c>
      <c r="Q32" s="20">
        <f>IF(AND(29-(WEEKDAY(DATE(PlanYear,6,1),2)-1)&gt;=1,29-(WEEKDAY(DATE(PlanYear,6,1),2)-1)&lt;=DAY(EOMONTH(DATE(PlanYear,6,1),0))),DATE(PlanYear,6,1)+29-WEEKDAY(DATE(PlanYear,6,1),2),"")</f>
        <v/>
      </c>
      <c r="R32" s="20">
        <f>IF(AND(30-(WEEKDAY(DATE(PlanYear,6,1),2)-1)&gt;=1,30-(WEEKDAY(DATE(PlanYear,6,1),2)-1)&lt;=DAY(EOMONTH(DATE(PlanYear,6,1),0))),DATE(PlanYear,6,1)+30-WEEKDAY(DATE(PlanYear,6,1),2),"")</f>
        <v/>
      </c>
      <c r="S32" s="20">
        <f>IF(AND(31-(WEEKDAY(DATE(PlanYear,6,1),2)-1)&gt;=1,31-(WEEKDAY(DATE(PlanYear,6,1),2)-1)&lt;=DAY(EOMONTH(DATE(PlanYear,6,1),0))),DATE(PlanYear,6,1)+31-WEEKDAY(DATE(PlanYear,6,1),2),"")</f>
        <v/>
      </c>
      <c r="T32" s="20">
        <f>IF(AND(32-(WEEKDAY(DATE(PlanYear,6,1),2)-1)&gt;=1,32-(WEEKDAY(DATE(PlanYear,6,1),2)-1)&lt;=DAY(EOMONTH(DATE(PlanYear,6,1),0))),DATE(PlanYear,6,1)+32-WEEKDAY(DATE(PlanYear,6,1),2),"")</f>
        <v/>
      </c>
      <c r="U32" s="20">
        <f>IF(AND(33-(WEEKDAY(DATE(PlanYear,6,1),2)-1)&gt;=1,33-(WEEKDAY(DATE(PlanYear,6,1),2)-1)&lt;=DAY(EOMONTH(DATE(PlanYear,6,1),0))),DATE(PlanYear,6,1)+33-WEEKDAY(DATE(PlanYear,6,1),2),"")</f>
        <v/>
      </c>
      <c r="V32" s="20">
        <f>IF(AND(34-(WEEKDAY(DATE(PlanYear,6,1),2)-1)&gt;=1,34-(WEEKDAY(DATE(PlanYear,6,1),2)-1)&lt;=DAY(EOMONTH(DATE(PlanYear,6,1),0))),DATE(PlanYear,6,1)+34-WEEKDAY(DATE(PlanYear,6,1),2),"")</f>
        <v/>
      </c>
      <c r="W32" s="20">
        <f>IF(AND(35-(WEEKDAY(DATE(PlanYear,6,1),2)-1)&gt;=1,35-(WEEKDAY(DATE(PlanYear,6,1),2)-1)&lt;=DAY(EOMONTH(DATE(PlanYear,6,1),0))),DATE(PlanYear,6,1)+35-WEEKDAY(DATE(PlanYear,6,1),2),"")</f>
        <v/>
      </c>
    </row>
    <row r="33" ht="24" customHeight="1">
      <c r="A33" s="21" t="n"/>
      <c r="B33" s="21" t="n"/>
      <c r="C33" s="21" t="n"/>
      <c r="D33" s="21" t="n"/>
      <c r="E33" s="21" t="n"/>
      <c r="F33" s="21" t="n"/>
      <c r="G33" s="21" t="n"/>
      <c r="I33" s="21" t="n"/>
      <c r="J33" s="21" t="n"/>
      <c r="K33" s="21" t="n"/>
      <c r="L33" s="21" t="n"/>
      <c r="M33" s="21" t="n"/>
      <c r="N33" s="21" t="n"/>
      <c r="O33" s="21" t="n"/>
      <c r="Q33" s="21" t="n"/>
      <c r="R33" s="21" t="n"/>
      <c r="S33" s="21" t="n"/>
      <c r="T33" s="21" t="n"/>
      <c r="U33" s="21" t="n"/>
      <c r="V33" s="21" t="n"/>
      <c r="W33" s="21" t="n"/>
    </row>
    <row r="34" ht="14" customHeight="1">
      <c r="A34" s="20">
        <f>IF(AND(36-(WEEKDAY(DATE(PlanYear,4,1),2)-1)&gt;=1,36-(WEEKDAY(DATE(PlanYear,4,1),2)-1)&lt;=DAY(EOMONTH(DATE(PlanYear,4,1),0))),DATE(PlanYear,4,1)+36-WEEKDAY(DATE(PlanYear,4,1),2),"")</f>
        <v/>
      </c>
      <c r="B34" s="20">
        <f>IF(AND(37-(WEEKDAY(DATE(PlanYear,4,1),2)-1)&gt;=1,37-(WEEKDAY(DATE(PlanYear,4,1),2)-1)&lt;=DAY(EOMONTH(DATE(PlanYear,4,1),0))),DATE(PlanYear,4,1)+37-WEEKDAY(DATE(PlanYear,4,1),2),"")</f>
        <v/>
      </c>
      <c r="C34" s="20">
        <f>IF(AND(38-(WEEKDAY(DATE(PlanYear,4,1),2)-1)&gt;=1,38-(WEEKDAY(DATE(PlanYear,4,1),2)-1)&lt;=DAY(EOMONTH(DATE(PlanYear,4,1),0))),DATE(PlanYear,4,1)+38-WEEKDAY(DATE(PlanYear,4,1),2),"")</f>
        <v/>
      </c>
      <c r="D34" s="20">
        <f>IF(AND(39-(WEEKDAY(DATE(PlanYear,4,1),2)-1)&gt;=1,39-(WEEKDAY(DATE(PlanYear,4,1),2)-1)&lt;=DAY(EOMONTH(DATE(PlanYear,4,1),0))),DATE(PlanYear,4,1)+39-WEEKDAY(DATE(PlanYear,4,1),2),"")</f>
        <v/>
      </c>
      <c r="E34" s="20">
        <f>IF(AND(40-(WEEKDAY(DATE(PlanYear,4,1),2)-1)&gt;=1,40-(WEEKDAY(DATE(PlanYear,4,1),2)-1)&lt;=DAY(EOMONTH(DATE(PlanYear,4,1),0))),DATE(PlanYear,4,1)+40-WEEKDAY(DATE(PlanYear,4,1),2),"")</f>
        <v/>
      </c>
      <c r="F34" s="20">
        <f>IF(AND(41-(WEEKDAY(DATE(PlanYear,4,1),2)-1)&gt;=1,41-(WEEKDAY(DATE(PlanYear,4,1),2)-1)&lt;=DAY(EOMONTH(DATE(PlanYear,4,1),0))),DATE(PlanYear,4,1)+41-WEEKDAY(DATE(PlanYear,4,1),2),"")</f>
        <v/>
      </c>
      <c r="G34" s="20">
        <f>IF(AND(42-(WEEKDAY(DATE(PlanYear,4,1),2)-1)&gt;=1,42-(WEEKDAY(DATE(PlanYear,4,1),2)-1)&lt;=DAY(EOMONTH(DATE(PlanYear,4,1),0))),DATE(PlanYear,4,1)+42-WEEKDAY(DATE(PlanYear,4,1),2),"")</f>
        <v/>
      </c>
      <c r="I34" s="20">
        <f>IF(AND(36-(WEEKDAY(DATE(PlanYear,5,1),2)-1)&gt;=1,36-(WEEKDAY(DATE(PlanYear,5,1),2)-1)&lt;=DAY(EOMONTH(DATE(PlanYear,5,1),0))),DATE(PlanYear,5,1)+36-WEEKDAY(DATE(PlanYear,5,1),2),"")</f>
        <v/>
      </c>
      <c r="J34" s="20">
        <f>IF(AND(37-(WEEKDAY(DATE(PlanYear,5,1),2)-1)&gt;=1,37-(WEEKDAY(DATE(PlanYear,5,1),2)-1)&lt;=DAY(EOMONTH(DATE(PlanYear,5,1),0))),DATE(PlanYear,5,1)+37-WEEKDAY(DATE(PlanYear,5,1),2),"")</f>
        <v/>
      </c>
      <c r="K34" s="20">
        <f>IF(AND(38-(WEEKDAY(DATE(PlanYear,5,1),2)-1)&gt;=1,38-(WEEKDAY(DATE(PlanYear,5,1),2)-1)&lt;=DAY(EOMONTH(DATE(PlanYear,5,1),0))),DATE(PlanYear,5,1)+38-WEEKDAY(DATE(PlanYear,5,1),2),"")</f>
        <v/>
      </c>
      <c r="L34" s="20">
        <f>IF(AND(39-(WEEKDAY(DATE(PlanYear,5,1),2)-1)&gt;=1,39-(WEEKDAY(DATE(PlanYear,5,1),2)-1)&lt;=DAY(EOMONTH(DATE(PlanYear,5,1),0))),DATE(PlanYear,5,1)+39-WEEKDAY(DATE(PlanYear,5,1),2),"")</f>
        <v/>
      </c>
      <c r="M34" s="20">
        <f>IF(AND(40-(WEEKDAY(DATE(PlanYear,5,1),2)-1)&gt;=1,40-(WEEKDAY(DATE(PlanYear,5,1),2)-1)&lt;=DAY(EOMONTH(DATE(PlanYear,5,1),0))),DATE(PlanYear,5,1)+40-WEEKDAY(DATE(PlanYear,5,1),2),"")</f>
        <v/>
      </c>
      <c r="N34" s="20">
        <f>IF(AND(41-(WEEKDAY(DATE(PlanYear,5,1),2)-1)&gt;=1,41-(WEEKDAY(DATE(PlanYear,5,1),2)-1)&lt;=DAY(EOMONTH(DATE(PlanYear,5,1),0))),DATE(PlanYear,5,1)+41-WEEKDAY(DATE(PlanYear,5,1),2),"")</f>
        <v/>
      </c>
      <c r="O34" s="20">
        <f>IF(AND(42-(WEEKDAY(DATE(PlanYear,5,1),2)-1)&gt;=1,42-(WEEKDAY(DATE(PlanYear,5,1),2)-1)&lt;=DAY(EOMONTH(DATE(PlanYear,5,1),0))),DATE(PlanYear,5,1)+42-WEEKDAY(DATE(PlanYear,5,1),2),"")</f>
        <v/>
      </c>
      <c r="Q34" s="20">
        <f>IF(AND(36-(WEEKDAY(DATE(PlanYear,6,1),2)-1)&gt;=1,36-(WEEKDAY(DATE(PlanYear,6,1),2)-1)&lt;=DAY(EOMONTH(DATE(PlanYear,6,1),0))),DATE(PlanYear,6,1)+36-WEEKDAY(DATE(PlanYear,6,1),2),"")</f>
        <v/>
      </c>
      <c r="R34" s="20">
        <f>IF(AND(37-(WEEKDAY(DATE(PlanYear,6,1),2)-1)&gt;=1,37-(WEEKDAY(DATE(PlanYear,6,1),2)-1)&lt;=DAY(EOMONTH(DATE(PlanYear,6,1),0))),DATE(PlanYear,6,1)+37-WEEKDAY(DATE(PlanYear,6,1),2),"")</f>
        <v/>
      </c>
      <c r="S34" s="20">
        <f>IF(AND(38-(WEEKDAY(DATE(PlanYear,6,1),2)-1)&gt;=1,38-(WEEKDAY(DATE(PlanYear,6,1),2)-1)&lt;=DAY(EOMONTH(DATE(PlanYear,6,1),0))),DATE(PlanYear,6,1)+38-WEEKDAY(DATE(PlanYear,6,1),2),"")</f>
        <v/>
      </c>
      <c r="T34" s="20">
        <f>IF(AND(39-(WEEKDAY(DATE(PlanYear,6,1),2)-1)&gt;=1,39-(WEEKDAY(DATE(PlanYear,6,1),2)-1)&lt;=DAY(EOMONTH(DATE(PlanYear,6,1),0))),DATE(PlanYear,6,1)+39-WEEKDAY(DATE(PlanYear,6,1),2),"")</f>
        <v/>
      </c>
      <c r="U34" s="20">
        <f>IF(AND(40-(WEEKDAY(DATE(PlanYear,6,1),2)-1)&gt;=1,40-(WEEKDAY(DATE(PlanYear,6,1),2)-1)&lt;=DAY(EOMONTH(DATE(PlanYear,6,1),0))),DATE(PlanYear,6,1)+40-WEEKDAY(DATE(PlanYear,6,1),2),"")</f>
        <v/>
      </c>
      <c r="V34" s="20">
        <f>IF(AND(41-(WEEKDAY(DATE(PlanYear,6,1),2)-1)&gt;=1,41-(WEEKDAY(DATE(PlanYear,6,1),2)-1)&lt;=DAY(EOMONTH(DATE(PlanYear,6,1),0))),DATE(PlanYear,6,1)+41-WEEKDAY(DATE(PlanYear,6,1),2),"")</f>
        <v/>
      </c>
      <c r="W34" s="20">
        <f>IF(AND(42-(WEEKDAY(DATE(PlanYear,6,1),2)-1)&gt;=1,42-(WEEKDAY(DATE(PlanYear,6,1),2)-1)&lt;=DAY(EOMONTH(DATE(PlanYear,6,1),0))),DATE(PlanYear,6,1)+42-WEEKDAY(DATE(PlanYear,6,1),2),"")</f>
        <v/>
      </c>
    </row>
    <row r="35" ht="24" customHeight="1">
      <c r="A35" s="21" t="n"/>
      <c r="B35" s="21" t="n"/>
      <c r="C35" s="21" t="n"/>
      <c r="D35" s="21" t="n"/>
      <c r="E35" s="21" t="n"/>
      <c r="F35" s="21" t="n"/>
      <c r="G35" s="21" t="n"/>
      <c r="I35" s="21" t="n"/>
      <c r="J35" s="21" t="n"/>
      <c r="K35" s="21" t="n"/>
      <c r="L35" s="21" t="n"/>
      <c r="M35" s="21" t="n"/>
      <c r="N35" s="21" t="n"/>
      <c r="O35" s="21" t="n"/>
      <c r="Q35" s="21" t="n"/>
      <c r="R35" s="21" t="n"/>
      <c r="S35" s="21" t="n"/>
      <c r="T35" s="21" t="n"/>
      <c r="U35" s="21" t="n"/>
      <c r="V35" s="21" t="n"/>
      <c r="W35" s="21" t="n"/>
    </row>
    <row r="36" ht="10" customHeight="1"/>
    <row r="37" ht="10" customHeight="1"/>
    <row r="38" ht="20" customHeight="1">
      <c r="A38" s="13">
        <f>UPPER(TEXT(DATE(PlanYear,7,1),"mmmm yyyy"))&amp;"  ·  BDO"</f>
        <v/>
      </c>
      <c r="B38" s="14" t="n"/>
      <c r="C38" s="14" t="n"/>
      <c r="D38" s="14" t="n"/>
      <c r="E38" s="14" t="n"/>
      <c r="F38" s="14" t="n"/>
      <c r="G38" s="14" t="n"/>
      <c r="I38" s="13">
        <f>UPPER(TEXT(DATE(PlanYear,8,1),"mmmm yyyy"))&amp;"  ·  BDO"</f>
        <v/>
      </c>
      <c r="J38" s="14" t="n"/>
      <c r="K38" s="14" t="n"/>
      <c r="L38" s="14" t="n"/>
      <c r="M38" s="14" t="n"/>
      <c r="N38" s="14" t="n"/>
      <c r="O38" s="14" t="n"/>
      <c r="Q38" s="13">
        <f>UPPER(TEXT(DATE(PlanYear,9,1),"mmmm yyyy"))&amp;"  ·  BDO"</f>
        <v/>
      </c>
      <c r="R38" s="14" t="n"/>
      <c r="S38" s="14" t="n"/>
      <c r="T38" s="14" t="n"/>
      <c r="U38" s="14" t="n"/>
      <c r="V38" s="14" t="n"/>
      <c r="W38" s="14" t="n"/>
    </row>
    <row r="39" ht="15" customHeight="1">
      <c r="A39" s="18" t="inlineStr">
        <is>
          <t>Mon</t>
        </is>
      </c>
      <c r="B39" s="18" t="inlineStr">
        <is>
          <t>Tue</t>
        </is>
      </c>
      <c r="C39" s="18" t="inlineStr">
        <is>
          <t>Wed</t>
        </is>
      </c>
      <c r="D39" s="18" t="inlineStr">
        <is>
          <t>Thu</t>
        </is>
      </c>
      <c r="E39" s="18" t="inlineStr">
        <is>
          <t>Fri</t>
        </is>
      </c>
      <c r="F39" s="19" t="inlineStr">
        <is>
          <t>Sat</t>
        </is>
      </c>
      <c r="G39" s="19" t="inlineStr">
        <is>
          <t>Sun</t>
        </is>
      </c>
      <c r="I39" s="18" t="inlineStr">
        <is>
          <t>Mon</t>
        </is>
      </c>
      <c r="J39" s="18" t="inlineStr">
        <is>
          <t>Tue</t>
        </is>
      </c>
      <c r="K39" s="18" t="inlineStr">
        <is>
          <t>Wed</t>
        </is>
      </c>
      <c r="L39" s="18" t="inlineStr">
        <is>
          <t>Thu</t>
        </is>
      </c>
      <c r="M39" s="18" t="inlineStr">
        <is>
          <t>Fri</t>
        </is>
      </c>
      <c r="N39" s="19" t="inlineStr">
        <is>
          <t>Sat</t>
        </is>
      </c>
      <c r="O39" s="19" t="inlineStr">
        <is>
          <t>Sun</t>
        </is>
      </c>
      <c r="Q39" s="18" t="inlineStr">
        <is>
          <t>Mon</t>
        </is>
      </c>
      <c r="R39" s="18" t="inlineStr">
        <is>
          <t>Tue</t>
        </is>
      </c>
      <c r="S39" s="18" t="inlineStr">
        <is>
          <t>Wed</t>
        </is>
      </c>
      <c r="T39" s="18" t="inlineStr">
        <is>
          <t>Thu</t>
        </is>
      </c>
      <c r="U39" s="18" t="inlineStr">
        <is>
          <t>Fri</t>
        </is>
      </c>
      <c r="V39" s="19" t="inlineStr">
        <is>
          <t>Sat</t>
        </is>
      </c>
      <c r="W39" s="19" t="inlineStr">
        <is>
          <t>Sun</t>
        </is>
      </c>
    </row>
    <row r="40" ht="14" customHeight="1">
      <c r="A40" s="20">
        <f>IF(AND(1-(WEEKDAY(DATE(PlanYear,7,1),2)-1)&gt;=1,1-(WEEKDAY(DATE(PlanYear,7,1),2)-1)&lt;=DAY(EOMONTH(DATE(PlanYear,7,1),0))),DATE(PlanYear,7,1)+1-WEEKDAY(DATE(PlanYear,7,1),2),"")</f>
        <v/>
      </c>
      <c r="B40" s="20">
        <f>IF(AND(2-(WEEKDAY(DATE(PlanYear,7,1),2)-1)&gt;=1,2-(WEEKDAY(DATE(PlanYear,7,1),2)-1)&lt;=DAY(EOMONTH(DATE(PlanYear,7,1),0))),DATE(PlanYear,7,1)+2-WEEKDAY(DATE(PlanYear,7,1),2),"")</f>
        <v/>
      </c>
      <c r="C40" s="20">
        <f>IF(AND(3-(WEEKDAY(DATE(PlanYear,7,1),2)-1)&gt;=1,3-(WEEKDAY(DATE(PlanYear,7,1),2)-1)&lt;=DAY(EOMONTH(DATE(PlanYear,7,1),0))),DATE(PlanYear,7,1)+3-WEEKDAY(DATE(PlanYear,7,1),2),"")</f>
        <v/>
      </c>
      <c r="D40" s="20">
        <f>IF(AND(4-(WEEKDAY(DATE(PlanYear,7,1),2)-1)&gt;=1,4-(WEEKDAY(DATE(PlanYear,7,1),2)-1)&lt;=DAY(EOMONTH(DATE(PlanYear,7,1),0))),DATE(PlanYear,7,1)+4-WEEKDAY(DATE(PlanYear,7,1),2),"")</f>
        <v/>
      </c>
      <c r="E40" s="20">
        <f>IF(AND(5-(WEEKDAY(DATE(PlanYear,7,1),2)-1)&gt;=1,5-(WEEKDAY(DATE(PlanYear,7,1),2)-1)&lt;=DAY(EOMONTH(DATE(PlanYear,7,1),0))),DATE(PlanYear,7,1)+5-WEEKDAY(DATE(PlanYear,7,1),2),"")</f>
        <v/>
      </c>
      <c r="F40" s="20">
        <f>IF(AND(6-(WEEKDAY(DATE(PlanYear,7,1),2)-1)&gt;=1,6-(WEEKDAY(DATE(PlanYear,7,1),2)-1)&lt;=DAY(EOMONTH(DATE(PlanYear,7,1),0))),DATE(PlanYear,7,1)+6-WEEKDAY(DATE(PlanYear,7,1),2),"")</f>
        <v/>
      </c>
      <c r="G40" s="20">
        <f>IF(AND(7-(WEEKDAY(DATE(PlanYear,7,1),2)-1)&gt;=1,7-(WEEKDAY(DATE(PlanYear,7,1),2)-1)&lt;=DAY(EOMONTH(DATE(PlanYear,7,1),0))),DATE(PlanYear,7,1)+7-WEEKDAY(DATE(PlanYear,7,1),2),"")</f>
        <v/>
      </c>
      <c r="I40" s="20">
        <f>IF(AND(1-(WEEKDAY(DATE(PlanYear,8,1),2)-1)&gt;=1,1-(WEEKDAY(DATE(PlanYear,8,1),2)-1)&lt;=DAY(EOMONTH(DATE(PlanYear,8,1),0))),DATE(PlanYear,8,1)+1-WEEKDAY(DATE(PlanYear,8,1),2),"")</f>
        <v/>
      </c>
      <c r="J40" s="20">
        <f>IF(AND(2-(WEEKDAY(DATE(PlanYear,8,1),2)-1)&gt;=1,2-(WEEKDAY(DATE(PlanYear,8,1),2)-1)&lt;=DAY(EOMONTH(DATE(PlanYear,8,1),0))),DATE(PlanYear,8,1)+2-WEEKDAY(DATE(PlanYear,8,1),2),"")</f>
        <v/>
      </c>
      <c r="K40" s="20">
        <f>IF(AND(3-(WEEKDAY(DATE(PlanYear,8,1),2)-1)&gt;=1,3-(WEEKDAY(DATE(PlanYear,8,1),2)-1)&lt;=DAY(EOMONTH(DATE(PlanYear,8,1),0))),DATE(PlanYear,8,1)+3-WEEKDAY(DATE(PlanYear,8,1),2),"")</f>
        <v/>
      </c>
      <c r="L40" s="20">
        <f>IF(AND(4-(WEEKDAY(DATE(PlanYear,8,1),2)-1)&gt;=1,4-(WEEKDAY(DATE(PlanYear,8,1),2)-1)&lt;=DAY(EOMONTH(DATE(PlanYear,8,1),0))),DATE(PlanYear,8,1)+4-WEEKDAY(DATE(PlanYear,8,1),2),"")</f>
        <v/>
      </c>
      <c r="M40" s="20">
        <f>IF(AND(5-(WEEKDAY(DATE(PlanYear,8,1),2)-1)&gt;=1,5-(WEEKDAY(DATE(PlanYear,8,1),2)-1)&lt;=DAY(EOMONTH(DATE(PlanYear,8,1),0))),DATE(PlanYear,8,1)+5-WEEKDAY(DATE(PlanYear,8,1),2),"")</f>
        <v/>
      </c>
      <c r="N40" s="20">
        <f>IF(AND(6-(WEEKDAY(DATE(PlanYear,8,1),2)-1)&gt;=1,6-(WEEKDAY(DATE(PlanYear,8,1),2)-1)&lt;=DAY(EOMONTH(DATE(PlanYear,8,1),0))),DATE(PlanYear,8,1)+6-WEEKDAY(DATE(PlanYear,8,1),2),"")</f>
        <v/>
      </c>
      <c r="O40" s="20">
        <f>IF(AND(7-(WEEKDAY(DATE(PlanYear,8,1),2)-1)&gt;=1,7-(WEEKDAY(DATE(PlanYear,8,1),2)-1)&lt;=DAY(EOMONTH(DATE(PlanYear,8,1),0))),DATE(PlanYear,8,1)+7-WEEKDAY(DATE(PlanYear,8,1),2),"")</f>
        <v/>
      </c>
      <c r="Q40" s="20">
        <f>IF(AND(1-(WEEKDAY(DATE(PlanYear,9,1),2)-1)&gt;=1,1-(WEEKDAY(DATE(PlanYear,9,1),2)-1)&lt;=DAY(EOMONTH(DATE(PlanYear,9,1),0))),DATE(PlanYear,9,1)+1-WEEKDAY(DATE(PlanYear,9,1),2),"")</f>
        <v/>
      </c>
      <c r="R40" s="20">
        <f>IF(AND(2-(WEEKDAY(DATE(PlanYear,9,1),2)-1)&gt;=1,2-(WEEKDAY(DATE(PlanYear,9,1),2)-1)&lt;=DAY(EOMONTH(DATE(PlanYear,9,1),0))),DATE(PlanYear,9,1)+2-WEEKDAY(DATE(PlanYear,9,1),2),"")</f>
        <v/>
      </c>
      <c r="S40" s="20">
        <f>IF(AND(3-(WEEKDAY(DATE(PlanYear,9,1),2)-1)&gt;=1,3-(WEEKDAY(DATE(PlanYear,9,1),2)-1)&lt;=DAY(EOMONTH(DATE(PlanYear,9,1),0))),DATE(PlanYear,9,1)+3-WEEKDAY(DATE(PlanYear,9,1),2),"")</f>
        <v/>
      </c>
      <c r="T40" s="20">
        <f>IF(AND(4-(WEEKDAY(DATE(PlanYear,9,1),2)-1)&gt;=1,4-(WEEKDAY(DATE(PlanYear,9,1),2)-1)&lt;=DAY(EOMONTH(DATE(PlanYear,9,1),0))),DATE(PlanYear,9,1)+4-WEEKDAY(DATE(PlanYear,9,1),2),"")</f>
        <v/>
      </c>
      <c r="U40" s="20">
        <f>IF(AND(5-(WEEKDAY(DATE(PlanYear,9,1),2)-1)&gt;=1,5-(WEEKDAY(DATE(PlanYear,9,1),2)-1)&lt;=DAY(EOMONTH(DATE(PlanYear,9,1),0))),DATE(PlanYear,9,1)+5-WEEKDAY(DATE(PlanYear,9,1),2),"")</f>
        <v/>
      </c>
      <c r="V40" s="20">
        <f>IF(AND(6-(WEEKDAY(DATE(PlanYear,9,1),2)-1)&gt;=1,6-(WEEKDAY(DATE(PlanYear,9,1),2)-1)&lt;=DAY(EOMONTH(DATE(PlanYear,9,1),0))),DATE(PlanYear,9,1)+6-WEEKDAY(DATE(PlanYear,9,1),2),"")</f>
        <v/>
      </c>
      <c r="W40" s="20">
        <f>IF(AND(7-(WEEKDAY(DATE(PlanYear,9,1),2)-1)&gt;=1,7-(WEEKDAY(DATE(PlanYear,9,1),2)-1)&lt;=DAY(EOMONTH(DATE(PlanYear,9,1),0))),DATE(PlanYear,9,1)+7-WEEKDAY(DATE(PlanYear,9,1),2),"")</f>
        <v/>
      </c>
    </row>
    <row r="41" ht="24" customHeight="1">
      <c r="A41" s="21" t="n"/>
      <c r="B41" s="21" t="n"/>
      <c r="C41" s="21" t="n"/>
      <c r="D41" s="21" t="n"/>
      <c r="E41" s="21" t="n"/>
      <c r="F41" s="21" t="n"/>
      <c r="G41" s="21" t="n"/>
      <c r="I41" s="21" t="n"/>
      <c r="J41" s="21" t="n"/>
      <c r="K41" s="21" t="n"/>
      <c r="L41" s="21" t="n"/>
      <c r="M41" s="21" t="n"/>
      <c r="N41" s="21" t="n"/>
      <c r="O41" s="21" t="n"/>
      <c r="Q41" s="21" t="n"/>
      <c r="R41" s="21" t="n"/>
      <c r="S41" s="21" t="n"/>
      <c r="T41" s="21" t="n"/>
      <c r="U41" s="21" t="n"/>
      <c r="V41" s="21" t="n"/>
      <c r="W41" s="21" t="n"/>
    </row>
    <row r="42" ht="14" customHeight="1">
      <c r="A42" s="20">
        <f>IF(AND(8-(WEEKDAY(DATE(PlanYear,7,1),2)-1)&gt;=1,8-(WEEKDAY(DATE(PlanYear,7,1),2)-1)&lt;=DAY(EOMONTH(DATE(PlanYear,7,1),0))),DATE(PlanYear,7,1)+8-WEEKDAY(DATE(PlanYear,7,1),2),"")</f>
        <v/>
      </c>
      <c r="B42" s="20">
        <f>IF(AND(9-(WEEKDAY(DATE(PlanYear,7,1),2)-1)&gt;=1,9-(WEEKDAY(DATE(PlanYear,7,1),2)-1)&lt;=DAY(EOMONTH(DATE(PlanYear,7,1),0))),DATE(PlanYear,7,1)+9-WEEKDAY(DATE(PlanYear,7,1),2),"")</f>
        <v/>
      </c>
      <c r="C42" s="20">
        <f>IF(AND(10-(WEEKDAY(DATE(PlanYear,7,1),2)-1)&gt;=1,10-(WEEKDAY(DATE(PlanYear,7,1),2)-1)&lt;=DAY(EOMONTH(DATE(PlanYear,7,1),0))),DATE(PlanYear,7,1)+10-WEEKDAY(DATE(PlanYear,7,1),2),"")</f>
        <v/>
      </c>
      <c r="D42" s="20">
        <f>IF(AND(11-(WEEKDAY(DATE(PlanYear,7,1),2)-1)&gt;=1,11-(WEEKDAY(DATE(PlanYear,7,1),2)-1)&lt;=DAY(EOMONTH(DATE(PlanYear,7,1),0))),DATE(PlanYear,7,1)+11-WEEKDAY(DATE(PlanYear,7,1),2),"")</f>
        <v/>
      </c>
      <c r="E42" s="20">
        <f>IF(AND(12-(WEEKDAY(DATE(PlanYear,7,1),2)-1)&gt;=1,12-(WEEKDAY(DATE(PlanYear,7,1),2)-1)&lt;=DAY(EOMONTH(DATE(PlanYear,7,1),0))),DATE(PlanYear,7,1)+12-WEEKDAY(DATE(PlanYear,7,1),2),"")</f>
        <v/>
      </c>
      <c r="F42" s="20">
        <f>IF(AND(13-(WEEKDAY(DATE(PlanYear,7,1),2)-1)&gt;=1,13-(WEEKDAY(DATE(PlanYear,7,1),2)-1)&lt;=DAY(EOMONTH(DATE(PlanYear,7,1),0))),DATE(PlanYear,7,1)+13-WEEKDAY(DATE(PlanYear,7,1),2),"")</f>
        <v/>
      </c>
      <c r="G42" s="20">
        <f>IF(AND(14-(WEEKDAY(DATE(PlanYear,7,1),2)-1)&gt;=1,14-(WEEKDAY(DATE(PlanYear,7,1),2)-1)&lt;=DAY(EOMONTH(DATE(PlanYear,7,1),0))),DATE(PlanYear,7,1)+14-WEEKDAY(DATE(PlanYear,7,1),2),"")</f>
        <v/>
      </c>
      <c r="I42" s="20">
        <f>IF(AND(8-(WEEKDAY(DATE(PlanYear,8,1),2)-1)&gt;=1,8-(WEEKDAY(DATE(PlanYear,8,1),2)-1)&lt;=DAY(EOMONTH(DATE(PlanYear,8,1),0))),DATE(PlanYear,8,1)+8-WEEKDAY(DATE(PlanYear,8,1),2),"")</f>
        <v/>
      </c>
      <c r="J42" s="20">
        <f>IF(AND(9-(WEEKDAY(DATE(PlanYear,8,1),2)-1)&gt;=1,9-(WEEKDAY(DATE(PlanYear,8,1),2)-1)&lt;=DAY(EOMONTH(DATE(PlanYear,8,1),0))),DATE(PlanYear,8,1)+9-WEEKDAY(DATE(PlanYear,8,1),2),"")</f>
        <v/>
      </c>
      <c r="K42" s="20">
        <f>IF(AND(10-(WEEKDAY(DATE(PlanYear,8,1),2)-1)&gt;=1,10-(WEEKDAY(DATE(PlanYear,8,1),2)-1)&lt;=DAY(EOMONTH(DATE(PlanYear,8,1),0))),DATE(PlanYear,8,1)+10-WEEKDAY(DATE(PlanYear,8,1),2),"")</f>
        <v/>
      </c>
      <c r="L42" s="20">
        <f>IF(AND(11-(WEEKDAY(DATE(PlanYear,8,1),2)-1)&gt;=1,11-(WEEKDAY(DATE(PlanYear,8,1),2)-1)&lt;=DAY(EOMONTH(DATE(PlanYear,8,1),0))),DATE(PlanYear,8,1)+11-WEEKDAY(DATE(PlanYear,8,1),2),"")</f>
        <v/>
      </c>
      <c r="M42" s="20">
        <f>IF(AND(12-(WEEKDAY(DATE(PlanYear,8,1),2)-1)&gt;=1,12-(WEEKDAY(DATE(PlanYear,8,1),2)-1)&lt;=DAY(EOMONTH(DATE(PlanYear,8,1),0))),DATE(PlanYear,8,1)+12-WEEKDAY(DATE(PlanYear,8,1),2),"")</f>
        <v/>
      </c>
      <c r="N42" s="20">
        <f>IF(AND(13-(WEEKDAY(DATE(PlanYear,8,1),2)-1)&gt;=1,13-(WEEKDAY(DATE(PlanYear,8,1),2)-1)&lt;=DAY(EOMONTH(DATE(PlanYear,8,1),0))),DATE(PlanYear,8,1)+13-WEEKDAY(DATE(PlanYear,8,1),2),"")</f>
        <v/>
      </c>
      <c r="O42" s="20">
        <f>IF(AND(14-(WEEKDAY(DATE(PlanYear,8,1),2)-1)&gt;=1,14-(WEEKDAY(DATE(PlanYear,8,1),2)-1)&lt;=DAY(EOMONTH(DATE(PlanYear,8,1),0))),DATE(PlanYear,8,1)+14-WEEKDAY(DATE(PlanYear,8,1),2),"")</f>
        <v/>
      </c>
      <c r="Q42" s="20">
        <f>IF(AND(8-(WEEKDAY(DATE(PlanYear,9,1),2)-1)&gt;=1,8-(WEEKDAY(DATE(PlanYear,9,1),2)-1)&lt;=DAY(EOMONTH(DATE(PlanYear,9,1),0))),DATE(PlanYear,9,1)+8-WEEKDAY(DATE(PlanYear,9,1),2),"")</f>
        <v/>
      </c>
      <c r="R42" s="20">
        <f>IF(AND(9-(WEEKDAY(DATE(PlanYear,9,1),2)-1)&gt;=1,9-(WEEKDAY(DATE(PlanYear,9,1),2)-1)&lt;=DAY(EOMONTH(DATE(PlanYear,9,1),0))),DATE(PlanYear,9,1)+9-WEEKDAY(DATE(PlanYear,9,1),2),"")</f>
        <v/>
      </c>
      <c r="S42" s="20">
        <f>IF(AND(10-(WEEKDAY(DATE(PlanYear,9,1),2)-1)&gt;=1,10-(WEEKDAY(DATE(PlanYear,9,1),2)-1)&lt;=DAY(EOMONTH(DATE(PlanYear,9,1),0))),DATE(PlanYear,9,1)+10-WEEKDAY(DATE(PlanYear,9,1),2),"")</f>
        <v/>
      </c>
      <c r="T42" s="20">
        <f>IF(AND(11-(WEEKDAY(DATE(PlanYear,9,1),2)-1)&gt;=1,11-(WEEKDAY(DATE(PlanYear,9,1),2)-1)&lt;=DAY(EOMONTH(DATE(PlanYear,9,1),0))),DATE(PlanYear,9,1)+11-WEEKDAY(DATE(PlanYear,9,1),2),"")</f>
        <v/>
      </c>
      <c r="U42" s="20">
        <f>IF(AND(12-(WEEKDAY(DATE(PlanYear,9,1),2)-1)&gt;=1,12-(WEEKDAY(DATE(PlanYear,9,1),2)-1)&lt;=DAY(EOMONTH(DATE(PlanYear,9,1),0))),DATE(PlanYear,9,1)+12-WEEKDAY(DATE(PlanYear,9,1),2),"")</f>
        <v/>
      </c>
      <c r="V42" s="20">
        <f>IF(AND(13-(WEEKDAY(DATE(PlanYear,9,1),2)-1)&gt;=1,13-(WEEKDAY(DATE(PlanYear,9,1),2)-1)&lt;=DAY(EOMONTH(DATE(PlanYear,9,1),0))),DATE(PlanYear,9,1)+13-WEEKDAY(DATE(PlanYear,9,1),2),"")</f>
        <v/>
      </c>
      <c r="W42" s="20">
        <f>IF(AND(14-(WEEKDAY(DATE(PlanYear,9,1),2)-1)&gt;=1,14-(WEEKDAY(DATE(PlanYear,9,1),2)-1)&lt;=DAY(EOMONTH(DATE(PlanYear,9,1),0))),DATE(PlanYear,9,1)+14-WEEKDAY(DATE(PlanYear,9,1),2),"")</f>
        <v/>
      </c>
    </row>
    <row r="43" ht="24" customHeight="1">
      <c r="A43" s="21" t="n"/>
      <c r="B43" s="21" t="n"/>
      <c r="C43" s="21" t="n"/>
      <c r="D43" s="21" t="n"/>
      <c r="E43" s="21" t="n"/>
      <c r="F43" s="21" t="n"/>
      <c r="G43" s="21" t="n"/>
      <c r="I43" s="21" t="n"/>
      <c r="J43" s="21" t="n"/>
      <c r="K43" s="21" t="n"/>
      <c r="L43" s="21" t="n"/>
      <c r="M43" s="21" t="n"/>
      <c r="N43" s="21" t="n"/>
      <c r="O43" s="21" t="n"/>
      <c r="Q43" s="21" t="n"/>
      <c r="R43" s="21" t="n"/>
      <c r="S43" s="21" t="n"/>
      <c r="T43" s="21" t="n"/>
      <c r="U43" s="21" t="n"/>
      <c r="V43" s="21" t="n"/>
      <c r="W43" s="21" t="n"/>
    </row>
    <row r="44" ht="14" customHeight="1">
      <c r="A44" s="20">
        <f>IF(AND(15-(WEEKDAY(DATE(PlanYear,7,1),2)-1)&gt;=1,15-(WEEKDAY(DATE(PlanYear,7,1),2)-1)&lt;=DAY(EOMONTH(DATE(PlanYear,7,1),0))),DATE(PlanYear,7,1)+15-WEEKDAY(DATE(PlanYear,7,1),2),"")</f>
        <v/>
      </c>
      <c r="B44" s="20">
        <f>IF(AND(16-(WEEKDAY(DATE(PlanYear,7,1),2)-1)&gt;=1,16-(WEEKDAY(DATE(PlanYear,7,1),2)-1)&lt;=DAY(EOMONTH(DATE(PlanYear,7,1),0))),DATE(PlanYear,7,1)+16-WEEKDAY(DATE(PlanYear,7,1),2),"")</f>
        <v/>
      </c>
      <c r="C44" s="20">
        <f>IF(AND(17-(WEEKDAY(DATE(PlanYear,7,1),2)-1)&gt;=1,17-(WEEKDAY(DATE(PlanYear,7,1),2)-1)&lt;=DAY(EOMONTH(DATE(PlanYear,7,1),0))),DATE(PlanYear,7,1)+17-WEEKDAY(DATE(PlanYear,7,1),2),"")</f>
        <v/>
      </c>
      <c r="D44" s="20">
        <f>IF(AND(18-(WEEKDAY(DATE(PlanYear,7,1),2)-1)&gt;=1,18-(WEEKDAY(DATE(PlanYear,7,1),2)-1)&lt;=DAY(EOMONTH(DATE(PlanYear,7,1),0))),DATE(PlanYear,7,1)+18-WEEKDAY(DATE(PlanYear,7,1),2),"")</f>
        <v/>
      </c>
      <c r="E44" s="20">
        <f>IF(AND(19-(WEEKDAY(DATE(PlanYear,7,1),2)-1)&gt;=1,19-(WEEKDAY(DATE(PlanYear,7,1),2)-1)&lt;=DAY(EOMONTH(DATE(PlanYear,7,1),0))),DATE(PlanYear,7,1)+19-WEEKDAY(DATE(PlanYear,7,1),2),"")</f>
        <v/>
      </c>
      <c r="F44" s="20">
        <f>IF(AND(20-(WEEKDAY(DATE(PlanYear,7,1),2)-1)&gt;=1,20-(WEEKDAY(DATE(PlanYear,7,1),2)-1)&lt;=DAY(EOMONTH(DATE(PlanYear,7,1),0))),DATE(PlanYear,7,1)+20-WEEKDAY(DATE(PlanYear,7,1),2),"")</f>
        <v/>
      </c>
      <c r="G44" s="20">
        <f>IF(AND(21-(WEEKDAY(DATE(PlanYear,7,1),2)-1)&gt;=1,21-(WEEKDAY(DATE(PlanYear,7,1),2)-1)&lt;=DAY(EOMONTH(DATE(PlanYear,7,1),0))),DATE(PlanYear,7,1)+21-WEEKDAY(DATE(PlanYear,7,1),2),"")</f>
        <v/>
      </c>
      <c r="I44" s="20">
        <f>IF(AND(15-(WEEKDAY(DATE(PlanYear,8,1),2)-1)&gt;=1,15-(WEEKDAY(DATE(PlanYear,8,1),2)-1)&lt;=DAY(EOMONTH(DATE(PlanYear,8,1),0))),DATE(PlanYear,8,1)+15-WEEKDAY(DATE(PlanYear,8,1),2),"")</f>
        <v/>
      </c>
      <c r="J44" s="20">
        <f>IF(AND(16-(WEEKDAY(DATE(PlanYear,8,1),2)-1)&gt;=1,16-(WEEKDAY(DATE(PlanYear,8,1),2)-1)&lt;=DAY(EOMONTH(DATE(PlanYear,8,1),0))),DATE(PlanYear,8,1)+16-WEEKDAY(DATE(PlanYear,8,1),2),"")</f>
        <v/>
      </c>
      <c r="K44" s="20">
        <f>IF(AND(17-(WEEKDAY(DATE(PlanYear,8,1),2)-1)&gt;=1,17-(WEEKDAY(DATE(PlanYear,8,1),2)-1)&lt;=DAY(EOMONTH(DATE(PlanYear,8,1),0))),DATE(PlanYear,8,1)+17-WEEKDAY(DATE(PlanYear,8,1),2),"")</f>
        <v/>
      </c>
      <c r="L44" s="20">
        <f>IF(AND(18-(WEEKDAY(DATE(PlanYear,8,1),2)-1)&gt;=1,18-(WEEKDAY(DATE(PlanYear,8,1),2)-1)&lt;=DAY(EOMONTH(DATE(PlanYear,8,1),0))),DATE(PlanYear,8,1)+18-WEEKDAY(DATE(PlanYear,8,1),2),"")</f>
        <v/>
      </c>
      <c r="M44" s="20">
        <f>IF(AND(19-(WEEKDAY(DATE(PlanYear,8,1),2)-1)&gt;=1,19-(WEEKDAY(DATE(PlanYear,8,1),2)-1)&lt;=DAY(EOMONTH(DATE(PlanYear,8,1),0))),DATE(PlanYear,8,1)+19-WEEKDAY(DATE(PlanYear,8,1),2),"")</f>
        <v/>
      </c>
      <c r="N44" s="20">
        <f>IF(AND(20-(WEEKDAY(DATE(PlanYear,8,1),2)-1)&gt;=1,20-(WEEKDAY(DATE(PlanYear,8,1),2)-1)&lt;=DAY(EOMONTH(DATE(PlanYear,8,1),0))),DATE(PlanYear,8,1)+20-WEEKDAY(DATE(PlanYear,8,1),2),"")</f>
        <v/>
      </c>
      <c r="O44" s="20">
        <f>IF(AND(21-(WEEKDAY(DATE(PlanYear,8,1),2)-1)&gt;=1,21-(WEEKDAY(DATE(PlanYear,8,1),2)-1)&lt;=DAY(EOMONTH(DATE(PlanYear,8,1),0))),DATE(PlanYear,8,1)+21-WEEKDAY(DATE(PlanYear,8,1),2),"")</f>
        <v/>
      </c>
      <c r="Q44" s="20">
        <f>IF(AND(15-(WEEKDAY(DATE(PlanYear,9,1),2)-1)&gt;=1,15-(WEEKDAY(DATE(PlanYear,9,1),2)-1)&lt;=DAY(EOMONTH(DATE(PlanYear,9,1),0))),DATE(PlanYear,9,1)+15-WEEKDAY(DATE(PlanYear,9,1),2),"")</f>
        <v/>
      </c>
      <c r="R44" s="20">
        <f>IF(AND(16-(WEEKDAY(DATE(PlanYear,9,1),2)-1)&gt;=1,16-(WEEKDAY(DATE(PlanYear,9,1),2)-1)&lt;=DAY(EOMONTH(DATE(PlanYear,9,1),0))),DATE(PlanYear,9,1)+16-WEEKDAY(DATE(PlanYear,9,1),2),"")</f>
        <v/>
      </c>
      <c r="S44" s="20">
        <f>IF(AND(17-(WEEKDAY(DATE(PlanYear,9,1),2)-1)&gt;=1,17-(WEEKDAY(DATE(PlanYear,9,1),2)-1)&lt;=DAY(EOMONTH(DATE(PlanYear,9,1),0))),DATE(PlanYear,9,1)+17-WEEKDAY(DATE(PlanYear,9,1),2),"")</f>
        <v/>
      </c>
      <c r="T44" s="20">
        <f>IF(AND(18-(WEEKDAY(DATE(PlanYear,9,1),2)-1)&gt;=1,18-(WEEKDAY(DATE(PlanYear,9,1),2)-1)&lt;=DAY(EOMONTH(DATE(PlanYear,9,1),0))),DATE(PlanYear,9,1)+18-WEEKDAY(DATE(PlanYear,9,1),2),"")</f>
        <v/>
      </c>
      <c r="U44" s="20">
        <f>IF(AND(19-(WEEKDAY(DATE(PlanYear,9,1),2)-1)&gt;=1,19-(WEEKDAY(DATE(PlanYear,9,1),2)-1)&lt;=DAY(EOMONTH(DATE(PlanYear,9,1),0))),DATE(PlanYear,9,1)+19-WEEKDAY(DATE(PlanYear,9,1),2),"")</f>
        <v/>
      </c>
      <c r="V44" s="20">
        <f>IF(AND(20-(WEEKDAY(DATE(PlanYear,9,1),2)-1)&gt;=1,20-(WEEKDAY(DATE(PlanYear,9,1),2)-1)&lt;=DAY(EOMONTH(DATE(PlanYear,9,1),0))),DATE(PlanYear,9,1)+20-WEEKDAY(DATE(PlanYear,9,1),2),"")</f>
        <v/>
      </c>
      <c r="W44" s="20">
        <f>IF(AND(21-(WEEKDAY(DATE(PlanYear,9,1),2)-1)&gt;=1,21-(WEEKDAY(DATE(PlanYear,9,1),2)-1)&lt;=DAY(EOMONTH(DATE(PlanYear,9,1),0))),DATE(PlanYear,9,1)+21-WEEKDAY(DATE(PlanYear,9,1),2),"")</f>
        <v/>
      </c>
    </row>
    <row r="45" ht="24" customHeight="1">
      <c r="A45" s="21" t="n"/>
      <c r="B45" s="21" t="n"/>
      <c r="C45" s="21" t="n"/>
      <c r="D45" s="21" t="n"/>
      <c r="E45" s="21" t="n"/>
      <c r="F45" s="21" t="n"/>
      <c r="G45" s="21" t="n"/>
      <c r="I45" s="21" t="n"/>
      <c r="J45" s="21" t="n"/>
      <c r="K45" s="21" t="n"/>
      <c r="L45" s="21" t="n"/>
      <c r="M45" s="21" t="n"/>
      <c r="N45" s="21" t="n"/>
      <c r="O45" s="21" t="n"/>
      <c r="Q45" s="21" t="n"/>
      <c r="R45" s="21" t="n"/>
      <c r="S45" s="21" t="n"/>
      <c r="T45" s="21" t="n"/>
      <c r="U45" s="21" t="n"/>
      <c r="V45" s="21" t="n"/>
      <c r="W45" s="21" t="n"/>
    </row>
    <row r="46" ht="14" customHeight="1">
      <c r="A46" s="20">
        <f>IF(AND(22-(WEEKDAY(DATE(PlanYear,7,1),2)-1)&gt;=1,22-(WEEKDAY(DATE(PlanYear,7,1),2)-1)&lt;=DAY(EOMONTH(DATE(PlanYear,7,1),0))),DATE(PlanYear,7,1)+22-WEEKDAY(DATE(PlanYear,7,1),2),"")</f>
        <v/>
      </c>
      <c r="B46" s="20">
        <f>IF(AND(23-(WEEKDAY(DATE(PlanYear,7,1),2)-1)&gt;=1,23-(WEEKDAY(DATE(PlanYear,7,1),2)-1)&lt;=DAY(EOMONTH(DATE(PlanYear,7,1),0))),DATE(PlanYear,7,1)+23-WEEKDAY(DATE(PlanYear,7,1),2),"")</f>
        <v/>
      </c>
      <c r="C46" s="20">
        <f>IF(AND(24-(WEEKDAY(DATE(PlanYear,7,1),2)-1)&gt;=1,24-(WEEKDAY(DATE(PlanYear,7,1),2)-1)&lt;=DAY(EOMONTH(DATE(PlanYear,7,1),0))),DATE(PlanYear,7,1)+24-WEEKDAY(DATE(PlanYear,7,1),2),"")</f>
        <v/>
      </c>
      <c r="D46" s="20">
        <f>IF(AND(25-(WEEKDAY(DATE(PlanYear,7,1),2)-1)&gt;=1,25-(WEEKDAY(DATE(PlanYear,7,1),2)-1)&lt;=DAY(EOMONTH(DATE(PlanYear,7,1),0))),DATE(PlanYear,7,1)+25-WEEKDAY(DATE(PlanYear,7,1),2),"")</f>
        <v/>
      </c>
      <c r="E46" s="20">
        <f>IF(AND(26-(WEEKDAY(DATE(PlanYear,7,1),2)-1)&gt;=1,26-(WEEKDAY(DATE(PlanYear,7,1),2)-1)&lt;=DAY(EOMONTH(DATE(PlanYear,7,1),0))),DATE(PlanYear,7,1)+26-WEEKDAY(DATE(PlanYear,7,1),2),"")</f>
        <v/>
      </c>
      <c r="F46" s="20">
        <f>IF(AND(27-(WEEKDAY(DATE(PlanYear,7,1),2)-1)&gt;=1,27-(WEEKDAY(DATE(PlanYear,7,1),2)-1)&lt;=DAY(EOMONTH(DATE(PlanYear,7,1),0))),DATE(PlanYear,7,1)+27-WEEKDAY(DATE(PlanYear,7,1),2),"")</f>
        <v/>
      </c>
      <c r="G46" s="20">
        <f>IF(AND(28-(WEEKDAY(DATE(PlanYear,7,1),2)-1)&gt;=1,28-(WEEKDAY(DATE(PlanYear,7,1),2)-1)&lt;=DAY(EOMONTH(DATE(PlanYear,7,1),0))),DATE(PlanYear,7,1)+28-WEEKDAY(DATE(PlanYear,7,1),2),"")</f>
        <v/>
      </c>
      <c r="I46" s="20">
        <f>IF(AND(22-(WEEKDAY(DATE(PlanYear,8,1),2)-1)&gt;=1,22-(WEEKDAY(DATE(PlanYear,8,1),2)-1)&lt;=DAY(EOMONTH(DATE(PlanYear,8,1),0))),DATE(PlanYear,8,1)+22-WEEKDAY(DATE(PlanYear,8,1),2),"")</f>
        <v/>
      </c>
      <c r="J46" s="20">
        <f>IF(AND(23-(WEEKDAY(DATE(PlanYear,8,1),2)-1)&gt;=1,23-(WEEKDAY(DATE(PlanYear,8,1),2)-1)&lt;=DAY(EOMONTH(DATE(PlanYear,8,1),0))),DATE(PlanYear,8,1)+23-WEEKDAY(DATE(PlanYear,8,1),2),"")</f>
        <v/>
      </c>
      <c r="K46" s="20">
        <f>IF(AND(24-(WEEKDAY(DATE(PlanYear,8,1),2)-1)&gt;=1,24-(WEEKDAY(DATE(PlanYear,8,1),2)-1)&lt;=DAY(EOMONTH(DATE(PlanYear,8,1),0))),DATE(PlanYear,8,1)+24-WEEKDAY(DATE(PlanYear,8,1),2),"")</f>
        <v/>
      </c>
      <c r="L46" s="20">
        <f>IF(AND(25-(WEEKDAY(DATE(PlanYear,8,1),2)-1)&gt;=1,25-(WEEKDAY(DATE(PlanYear,8,1),2)-1)&lt;=DAY(EOMONTH(DATE(PlanYear,8,1),0))),DATE(PlanYear,8,1)+25-WEEKDAY(DATE(PlanYear,8,1),2),"")</f>
        <v/>
      </c>
      <c r="M46" s="20">
        <f>IF(AND(26-(WEEKDAY(DATE(PlanYear,8,1),2)-1)&gt;=1,26-(WEEKDAY(DATE(PlanYear,8,1),2)-1)&lt;=DAY(EOMONTH(DATE(PlanYear,8,1),0))),DATE(PlanYear,8,1)+26-WEEKDAY(DATE(PlanYear,8,1),2),"")</f>
        <v/>
      </c>
      <c r="N46" s="20">
        <f>IF(AND(27-(WEEKDAY(DATE(PlanYear,8,1),2)-1)&gt;=1,27-(WEEKDAY(DATE(PlanYear,8,1),2)-1)&lt;=DAY(EOMONTH(DATE(PlanYear,8,1),0))),DATE(PlanYear,8,1)+27-WEEKDAY(DATE(PlanYear,8,1),2),"")</f>
        <v/>
      </c>
      <c r="O46" s="20">
        <f>IF(AND(28-(WEEKDAY(DATE(PlanYear,8,1),2)-1)&gt;=1,28-(WEEKDAY(DATE(PlanYear,8,1),2)-1)&lt;=DAY(EOMONTH(DATE(PlanYear,8,1),0))),DATE(PlanYear,8,1)+28-WEEKDAY(DATE(PlanYear,8,1),2),"")</f>
        <v/>
      </c>
      <c r="Q46" s="20">
        <f>IF(AND(22-(WEEKDAY(DATE(PlanYear,9,1),2)-1)&gt;=1,22-(WEEKDAY(DATE(PlanYear,9,1),2)-1)&lt;=DAY(EOMONTH(DATE(PlanYear,9,1),0))),DATE(PlanYear,9,1)+22-WEEKDAY(DATE(PlanYear,9,1),2),"")</f>
        <v/>
      </c>
      <c r="R46" s="20">
        <f>IF(AND(23-(WEEKDAY(DATE(PlanYear,9,1),2)-1)&gt;=1,23-(WEEKDAY(DATE(PlanYear,9,1),2)-1)&lt;=DAY(EOMONTH(DATE(PlanYear,9,1),0))),DATE(PlanYear,9,1)+23-WEEKDAY(DATE(PlanYear,9,1),2),"")</f>
        <v/>
      </c>
      <c r="S46" s="20">
        <f>IF(AND(24-(WEEKDAY(DATE(PlanYear,9,1),2)-1)&gt;=1,24-(WEEKDAY(DATE(PlanYear,9,1),2)-1)&lt;=DAY(EOMONTH(DATE(PlanYear,9,1),0))),DATE(PlanYear,9,1)+24-WEEKDAY(DATE(PlanYear,9,1),2),"")</f>
        <v/>
      </c>
      <c r="T46" s="20">
        <f>IF(AND(25-(WEEKDAY(DATE(PlanYear,9,1),2)-1)&gt;=1,25-(WEEKDAY(DATE(PlanYear,9,1),2)-1)&lt;=DAY(EOMONTH(DATE(PlanYear,9,1),0))),DATE(PlanYear,9,1)+25-WEEKDAY(DATE(PlanYear,9,1),2),"")</f>
        <v/>
      </c>
      <c r="U46" s="20">
        <f>IF(AND(26-(WEEKDAY(DATE(PlanYear,9,1),2)-1)&gt;=1,26-(WEEKDAY(DATE(PlanYear,9,1),2)-1)&lt;=DAY(EOMONTH(DATE(PlanYear,9,1),0))),DATE(PlanYear,9,1)+26-WEEKDAY(DATE(PlanYear,9,1),2),"")</f>
        <v/>
      </c>
      <c r="V46" s="20">
        <f>IF(AND(27-(WEEKDAY(DATE(PlanYear,9,1),2)-1)&gt;=1,27-(WEEKDAY(DATE(PlanYear,9,1),2)-1)&lt;=DAY(EOMONTH(DATE(PlanYear,9,1),0))),DATE(PlanYear,9,1)+27-WEEKDAY(DATE(PlanYear,9,1),2),"")</f>
        <v/>
      </c>
      <c r="W46" s="20">
        <f>IF(AND(28-(WEEKDAY(DATE(PlanYear,9,1),2)-1)&gt;=1,28-(WEEKDAY(DATE(PlanYear,9,1),2)-1)&lt;=DAY(EOMONTH(DATE(PlanYear,9,1),0))),DATE(PlanYear,9,1)+28-WEEKDAY(DATE(PlanYear,9,1),2),"")</f>
        <v/>
      </c>
    </row>
    <row r="47" ht="24" customHeight="1">
      <c r="A47" s="21" t="n"/>
      <c r="B47" s="21" t="n"/>
      <c r="C47" s="21" t="n"/>
      <c r="D47" s="21" t="n"/>
      <c r="E47" s="21" t="n"/>
      <c r="F47" s="21" t="n"/>
      <c r="G47" s="21" t="n"/>
      <c r="I47" s="21" t="n"/>
      <c r="J47" s="21" t="n"/>
      <c r="K47" s="21" t="n"/>
      <c r="L47" s="21" t="n"/>
      <c r="M47" s="21" t="n"/>
      <c r="N47" s="21" t="n"/>
      <c r="O47" s="21" t="n"/>
      <c r="Q47" s="21" t="n"/>
      <c r="R47" s="21" t="n"/>
      <c r="S47" s="21" t="n"/>
      <c r="T47" s="21" t="n"/>
      <c r="U47" s="21" t="n"/>
      <c r="V47" s="21" t="n"/>
      <c r="W47" s="21" t="n"/>
    </row>
    <row r="48" ht="14" customHeight="1">
      <c r="A48" s="20">
        <f>IF(AND(29-(WEEKDAY(DATE(PlanYear,7,1),2)-1)&gt;=1,29-(WEEKDAY(DATE(PlanYear,7,1),2)-1)&lt;=DAY(EOMONTH(DATE(PlanYear,7,1),0))),DATE(PlanYear,7,1)+29-WEEKDAY(DATE(PlanYear,7,1),2),"")</f>
        <v/>
      </c>
      <c r="B48" s="20">
        <f>IF(AND(30-(WEEKDAY(DATE(PlanYear,7,1),2)-1)&gt;=1,30-(WEEKDAY(DATE(PlanYear,7,1),2)-1)&lt;=DAY(EOMONTH(DATE(PlanYear,7,1),0))),DATE(PlanYear,7,1)+30-WEEKDAY(DATE(PlanYear,7,1),2),"")</f>
        <v/>
      </c>
      <c r="C48" s="20">
        <f>IF(AND(31-(WEEKDAY(DATE(PlanYear,7,1),2)-1)&gt;=1,31-(WEEKDAY(DATE(PlanYear,7,1),2)-1)&lt;=DAY(EOMONTH(DATE(PlanYear,7,1),0))),DATE(PlanYear,7,1)+31-WEEKDAY(DATE(PlanYear,7,1),2),"")</f>
        <v/>
      </c>
      <c r="D48" s="20">
        <f>IF(AND(32-(WEEKDAY(DATE(PlanYear,7,1),2)-1)&gt;=1,32-(WEEKDAY(DATE(PlanYear,7,1),2)-1)&lt;=DAY(EOMONTH(DATE(PlanYear,7,1),0))),DATE(PlanYear,7,1)+32-WEEKDAY(DATE(PlanYear,7,1),2),"")</f>
        <v/>
      </c>
      <c r="E48" s="20">
        <f>IF(AND(33-(WEEKDAY(DATE(PlanYear,7,1),2)-1)&gt;=1,33-(WEEKDAY(DATE(PlanYear,7,1),2)-1)&lt;=DAY(EOMONTH(DATE(PlanYear,7,1),0))),DATE(PlanYear,7,1)+33-WEEKDAY(DATE(PlanYear,7,1),2),"")</f>
        <v/>
      </c>
      <c r="F48" s="20">
        <f>IF(AND(34-(WEEKDAY(DATE(PlanYear,7,1),2)-1)&gt;=1,34-(WEEKDAY(DATE(PlanYear,7,1),2)-1)&lt;=DAY(EOMONTH(DATE(PlanYear,7,1),0))),DATE(PlanYear,7,1)+34-WEEKDAY(DATE(PlanYear,7,1),2),"")</f>
        <v/>
      </c>
      <c r="G48" s="20">
        <f>IF(AND(35-(WEEKDAY(DATE(PlanYear,7,1),2)-1)&gt;=1,35-(WEEKDAY(DATE(PlanYear,7,1),2)-1)&lt;=DAY(EOMONTH(DATE(PlanYear,7,1),0))),DATE(PlanYear,7,1)+35-WEEKDAY(DATE(PlanYear,7,1),2),"")</f>
        <v/>
      </c>
      <c r="I48" s="20">
        <f>IF(AND(29-(WEEKDAY(DATE(PlanYear,8,1),2)-1)&gt;=1,29-(WEEKDAY(DATE(PlanYear,8,1),2)-1)&lt;=DAY(EOMONTH(DATE(PlanYear,8,1),0))),DATE(PlanYear,8,1)+29-WEEKDAY(DATE(PlanYear,8,1),2),"")</f>
        <v/>
      </c>
      <c r="J48" s="20">
        <f>IF(AND(30-(WEEKDAY(DATE(PlanYear,8,1),2)-1)&gt;=1,30-(WEEKDAY(DATE(PlanYear,8,1),2)-1)&lt;=DAY(EOMONTH(DATE(PlanYear,8,1),0))),DATE(PlanYear,8,1)+30-WEEKDAY(DATE(PlanYear,8,1),2),"")</f>
        <v/>
      </c>
      <c r="K48" s="20">
        <f>IF(AND(31-(WEEKDAY(DATE(PlanYear,8,1),2)-1)&gt;=1,31-(WEEKDAY(DATE(PlanYear,8,1),2)-1)&lt;=DAY(EOMONTH(DATE(PlanYear,8,1),0))),DATE(PlanYear,8,1)+31-WEEKDAY(DATE(PlanYear,8,1),2),"")</f>
        <v/>
      </c>
      <c r="L48" s="20">
        <f>IF(AND(32-(WEEKDAY(DATE(PlanYear,8,1),2)-1)&gt;=1,32-(WEEKDAY(DATE(PlanYear,8,1),2)-1)&lt;=DAY(EOMONTH(DATE(PlanYear,8,1),0))),DATE(PlanYear,8,1)+32-WEEKDAY(DATE(PlanYear,8,1),2),"")</f>
        <v/>
      </c>
      <c r="M48" s="20">
        <f>IF(AND(33-(WEEKDAY(DATE(PlanYear,8,1),2)-1)&gt;=1,33-(WEEKDAY(DATE(PlanYear,8,1),2)-1)&lt;=DAY(EOMONTH(DATE(PlanYear,8,1),0))),DATE(PlanYear,8,1)+33-WEEKDAY(DATE(PlanYear,8,1),2),"")</f>
        <v/>
      </c>
      <c r="N48" s="20">
        <f>IF(AND(34-(WEEKDAY(DATE(PlanYear,8,1),2)-1)&gt;=1,34-(WEEKDAY(DATE(PlanYear,8,1),2)-1)&lt;=DAY(EOMONTH(DATE(PlanYear,8,1),0))),DATE(PlanYear,8,1)+34-WEEKDAY(DATE(PlanYear,8,1),2),"")</f>
        <v/>
      </c>
      <c r="O48" s="20">
        <f>IF(AND(35-(WEEKDAY(DATE(PlanYear,8,1),2)-1)&gt;=1,35-(WEEKDAY(DATE(PlanYear,8,1),2)-1)&lt;=DAY(EOMONTH(DATE(PlanYear,8,1),0))),DATE(PlanYear,8,1)+35-WEEKDAY(DATE(PlanYear,8,1),2),"")</f>
        <v/>
      </c>
      <c r="Q48" s="20">
        <f>IF(AND(29-(WEEKDAY(DATE(PlanYear,9,1),2)-1)&gt;=1,29-(WEEKDAY(DATE(PlanYear,9,1),2)-1)&lt;=DAY(EOMONTH(DATE(PlanYear,9,1),0))),DATE(PlanYear,9,1)+29-WEEKDAY(DATE(PlanYear,9,1),2),"")</f>
        <v/>
      </c>
      <c r="R48" s="20">
        <f>IF(AND(30-(WEEKDAY(DATE(PlanYear,9,1),2)-1)&gt;=1,30-(WEEKDAY(DATE(PlanYear,9,1),2)-1)&lt;=DAY(EOMONTH(DATE(PlanYear,9,1),0))),DATE(PlanYear,9,1)+30-WEEKDAY(DATE(PlanYear,9,1),2),"")</f>
        <v/>
      </c>
      <c r="S48" s="20">
        <f>IF(AND(31-(WEEKDAY(DATE(PlanYear,9,1),2)-1)&gt;=1,31-(WEEKDAY(DATE(PlanYear,9,1),2)-1)&lt;=DAY(EOMONTH(DATE(PlanYear,9,1),0))),DATE(PlanYear,9,1)+31-WEEKDAY(DATE(PlanYear,9,1),2),"")</f>
        <v/>
      </c>
      <c r="T48" s="20">
        <f>IF(AND(32-(WEEKDAY(DATE(PlanYear,9,1),2)-1)&gt;=1,32-(WEEKDAY(DATE(PlanYear,9,1),2)-1)&lt;=DAY(EOMONTH(DATE(PlanYear,9,1),0))),DATE(PlanYear,9,1)+32-WEEKDAY(DATE(PlanYear,9,1),2),"")</f>
        <v/>
      </c>
      <c r="U48" s="20">
        <f>IF(AND(33-(WEEKDAY(DATE(PlanYear,9,1),2)-1)&gt;=1,33-(WEEKDAY(DATE(PlanYear,9,1),2)-1)&lt;=DAY(EOMONTH(DATE(PlanYear,9,1),0))),DATE(PlanYear,9,1)+33-WEEKDAY(DATE(PlanYear,9,1),2),"")</f>
        <v/>
      </c>
      <c r="V48" s="20">
        <f>IF(AND(34-(WEEKDAY(DATE(PlanYear,9,1),2)-1)&gt;=1,34-(WEEKDAY(DATE(PlanYear,9,1),2)-1)&lt;=DAY(EOMONTH(DATE(PlanYear,9,1),0))),DATE(PlanYear,9,1)+34-WEEKDAY(DATE(PlanYear,9,1),2),"")</f>
        <v/>
      </c>
      <c r="W48" s="20">
        <f>IF(AND(35-(WEEKDAY(DATE(PlanYear,9,1),2)-1)&gt;=1,35-(WEEKDAY(DATE(PlanYear,9,1),2)-1)&lt;=DAY(EOMONTH(DATE(PlanYear,9,1),0))),DATE(PlanYear,9,1)+35-WEEKDAY(DATE(PlanYear,9,1),2),"")</f>
        <v/>
      </c>
    </row>
    <row r="49" ht="24" customHeight="1">
      <c r="A49" s="21" t="n"/>
      <c r="B49" s="21" t="n"/>
      <c r="C49" s="21" t="n"/>
      <c r="D49" s="21" t="n"/>
      <c r="E49" s="21" t="n"/>
      <c r="F49" s="21" t="n"/>
      <c r="G49" s="21" t="n"/>
      <c r="I49" s="21" t="n"/>
      <c r="J49" s="21" t="n"/>
      <c r="K49" s="21" t="n"/>
      <c r="L49" s="21" t="n"/>
      <c r="M49" s="21" t="n"/>
      <c r="N49" s="21" t="n"/>
      <c r="O49" s="21" t="n"/>
      <c r="Q49" s="21" t="n"/>
      <c r="R49" s="21" t="n"/>
      <c r="S49" s="21" t="n"/>
      <c r="T49" s="21" t="n"/>
      <c r="U49" s="21" t="n"/>
      <c r="V49" s="21" t="n"/>
      <c r="W49" s="21" t="n"/>
    </row>
    <row r="50" ht="14" customHeight="1">
      <c r="A50" s="20">
        <f>IF(AND(36-(WEEKDAY(DATE(PlanYear,7,1),2)-1)&gt;=1,36-(WEEKDAY(DATE(PlanYear,7,1),2)-1)&lt;=DAY(EOMONTH(DATE(PlanYear,7,1),0))),DATE(PlanYear,7,1)+36-WEEKDAY(DATE(PlanYear,7,1),2),"")</f>
        <v/>
      </c>
      <c r="B50" s="20">
        <f>IF(AND(37-(WEEKDAY(DATE(PlanYear,7,1),2)-1)&gt;=1,37-(WEEKDAY(DATE(PlanYear,7,1),2)-1)&lt;=DAY(EOMONTH(DATE(PlanYear,7,1),0))),DATE(PlanYear,7,1)+37-WEEKDAY(DATE(PlanYear,7,1),2),"")</f>
        <v/>
      </c>
      <c r="C50" s="20">
        <f>IF(AND(38-(WEEKDAY(DATE(PlanYear,7,1),2)-1)&gt;=1,38-(WEEKDAY(DATE(PlanYear,7,1),2)-1)&lt;=DAY(EOMONTH(DATE(PlanYear,7,1),0))),DATE(PlanYear,7,1)+38-WEEKDAY(DATE(PlanYear,7,1),2),"")</f>
        <v/>
      </c>
      <c r="D50" s="20">
        <f>IF(AND(39-(WEEKDAY(DATE(PlanYear,7,1),2)-1)&gt;=1,39-(WEEKDAY(DATE(PlanYear,7,1),2)-1)&lt;=DAY(EOMONTH(DATE(PlanYear,7,1),0))),DATE(PlanYear,7,1)+39-WEEKDAY(DATE(PlanYear,7,1),2),"")</f>
        <v/>
      </c>
      <c r="E50" s="20">
        <f>IF(AND(40-(WEEKDAY(DATE(PlanYear,7,1),2)-1)&gt;=1,40-(WEEKDAY(DATE(PlanYear,7,1),2)-1)&lt;=DAY(EOMONTH(DATE(PlanYear,7,1),0))),DATE(PlanYear,7,1)+40-WEEKDAY(DATE(PlanYear,7,1),2),"")</f>
        <v/>
      </c>
      <c r="F50" s="20">
        <f>IF(AND(41-(WEEKDAY(DATE(PlanYear,7,1),2)-1)&gt;=1,41-(WEEKDAY(DATE(PlanYear,7,1),2)-1)&lt;=DAY(EOMONTH(DATE(PlanYear,7,1),0))),DATE(PlanYear,7,1)+41-WEEKDAY(DATE(PlanYear,7,1),2),"")</f>
        <v/>
      </c>
      <c r="G50" s="20">
        <f>IF(AND(42-(WEEKDAY(DATE(PlanYear,7,1),2)-1)&gt;=1,42-(WEEKDAY(DATE(PlanYear,7,1),2)-1)&lt;=DAY(EOMONTH(DATE(PlanYear,7,1),0))),DATE(PlanYear,7,1)+42-WEEKDAY(DATE(PlanYear,7,1),2),"")</f>
        <v/>
      </c>
      <c r="I50" s="20">
        <f>IF(AND(36-(WEEKDAY(DATE(PlanYear,8,1),2)-1)&gt;=1,36-(WEEKDAY(DATE(PlanYear,8,1),2)-1)&lt;=DAY(EOMONTH(DATE(PlanYear,8,1),0))),DATE(PlanYear,8,1)+36-WEEKDAY(DATE(PlanYear,8,1),2),"")</f>
        <v/>
      </c>
      <c r="J50" s="20">
        <f>IF(AND(37-(WEEKDAY(DATE(PlanYear,8,1),2)-1)&gt;=1,37-(WEEKDAY(DATE(PlanYear,8,1),2)-1)&lt;=DAY(EOMONTH(DATE(PlanYear,8,1),0))),DATE(PlanYear,8,1)+37-WEEKDAY(DATE(PlanYear,8,1),2),"")</f>
        <v/>
      </c>
      <c r="K50" s="20">
        <f>IF(AND(38-(WEEKDAY(DATE(PlanYear,8,1),2)-1)&gt;=1,38-(WEEKDAY(DATE(PlanYear,8,1),2)-1)&lt;=DAY(EOMONTH(DATE(PlanYear,8,1),0))),DATE(PlanYear,8,1)+38-WEEKDAY(DATE(PlanYear,8,1),2),"")</f>
        <v/>
      </c>
      <c r="L50" s="20">
        <f>IF(AND(39-(WEEKDAY(DATE(PlanYear,8,1),2)-1)&gt;=1,39-(WEEKDAY(DATE(PlanYear,8,1),2)-1)&lt;=DAY(EOMONTH(DATE(PlanYear,8,1),0))),DATE(PlanYear,8,1)+39-WEEKDAY(DATE(PlanYear,8,1),2),"")</f>
        <v/>
      </c>
      <c r="M50" s="20">
        <f>IF(AND(40-(WEEKDAY(DATE(PlanYear,8,1),2)-1)&gt;=1,40-(WEEKDAY(DATE(PlanYear,8,1),2)-1)&lt;=DAY(EOMONTH(DATE(PlanYear,8,1),0))),DATE(PlanYear,8,1)+40-WEEKDAY(DATE(PlanYear,8,1),2),"")</f>
        <v/>
      </c>
      <c r="N50" s="20">
        <f>IF(AND(41-(WEEKDAY(DATE(PlanYear,8,1),2)-1)&gt;=1,41-(WEEKDAY(DATE(PlanYear,8,1),2)-1)&lt;=DAY(EOMONTH(DATE(PlanYear,8,1),0))),DATE(PlanYear,8,1)+41-WEEKDAY(DATE(PlanYear,8,1),2),"")</f>
        <v/>
      </c>
      <c r="O50" s="20">
        <f>IF(AND(42-(WEEKDAY(DATE(PlanYear,8,1),2)-1)&gt;=1,42-(WEEKDAY(DATE(PlanYear,8,1),2)-1)&lt;=DAY(EOMONTH(DATE(PlanYear,8,1),0))),DATE(PlanYear,8,1)+42-WEEKDAY(DATE(PlanYear,8,1),2),"")</f>
        <v/>
      </c>
      <c r="Q50" s="20">
        <f>IF(AND(36-(WEEKDAY(DATE(PlanYear,9,1),2)-1)&gt;=1,36-(WEEKDAY(DATE(PlanYear,9,1),2)-1)&lt;=DAY(EOMONTH(DATE(PlanYear,9,1),0))),DATE(PlanYear,9,1)+36-WEEKDAY(DATE(PlanYear,9,1),2),"")</f>
        <v/>
      </c>
      <c r="R50" s="20">
        <f>IF(AND(37-(WEEKDAY(DATE(PlanYear,9,1),2)-1)&gt;=1,37-(WEEKDAY(DATE(PlanYear,9,1),2)-1)&lt;=DAY(EOMONTH(DATE(PlanYear,9,1),0))),DATE(PlanYear,9,1)+37-WEEKDAY(DATE(PlanYear,9,1),2),"")</f>
        <v/>
      </c>
      <c r="S50" s="20">
        <f>IF(AND(38-(WEEKDAY(DATE(PlanYear,9,1),2)-1)&gt;=1,38-(WEEKDAY(DATE(PlanYear,9,1),2)-1)&lt;=DAY(EOMONTH(DATE(PlanYear,9,1),0))),DATE(PlanYear,9,1)+38-WEEKDAY(DATE(PlanYear,9,1),2),"")</f>
        <v/>
      </c>
      <c r="T50" s="20">
        <f>IF(AND(39-(WEEKDAY(DATE(PlanYear,9,1),2)-1)&gt;=1,39-(WEEKDAY(DATE(PlanYear,9,1),2)-1)&lt;=DAY(EOMONTH(DATE(PlanYear,9,1),0))),DATE(PlanYear,9,1)+39-WEEKDAY(DATE(PlanYear,9,1),2),"")</f>
        <v/>
      </c>
      <c r="U50" s="20">
        <f>IF(AND(40-(WEEKDAY(DATE(PlanYear,9,1),2)-1)&gt;=1,40-(WEEKDAY(DATE(PlanYear,9,1),2)-1)&lt;=DAY(EOMONTH(DATE(PlanYear,9,1),0))),DATE(PlanYear,9,1)+40-WEEKDAY(DATE(PlanYear,9,1),2),"")</f>
        <v/>
      </c>
      <c r="V50" s="20">
        <f>IF(AND(41-(WEEKDAY(DATE(PlanYear,9,1),2)-1)&gt;=1,41-(WEEKDAY(DATE(PlanYear,9,1),2)-1)&lt;=DAY(EOMONTH(DATE(PlanYear,9,1),0))),DATE(PlanYear,9,1)+41-WEEKDAY(DATE(PlanYear,9,1),2),"")</f>
        <v/>
      </c>
      <c r="W50" s="20">
        <f>IF(AND(42-(WEEKDAY(DATE(PlanYear,9,1),2)-1)&gt;=1,42-(WEEKDAY(DATE(PlanYear,9,1),2)-1)&lt;=DAY(EOMONTH(DATE(PlanYear,9,1),0))),DATE(PlanYear,9,1)+42-WEEKDAY(DATE(PlanYear,9,1),2),"")</f>
        <v/>
      </c>
    </row>
    <row r="51" ht="24" customHeight="1">
      <c r="A51" s="21" t="n"/>
      <c r="B51" s="21" t="n"/>
      <c r="C51" s="21" t="n"/>
      <c r="D51" s="21" t="n"/>
      <c r="E51" s="21" t="n"/>
      <c r="F51" s="21" t="n"/>
      <c r="G51" s="21" t="n"/>
      <c r="I51" s="21" t="n"/>
      <c r="J51" s="21" t="n"/>
      <c r="K51" s="21" t="n"/>
      <c r="L51" s="21" t="n"/>
      <c r="M51" s="21" t="n"/>
      <c r="N51" s="21" t="n"/>
      <c r="O51" s="21" t="n"/>
      <c r="Q51" s="21" t="n"/>
      <c r="R51" s="21" t="n"/>
      <c r="S51" s="21" t="n"/>
      <c r="T51" s="21" t="n"/>
      <c r="U51" s="21" t="n"/>
      <c r="V51" s="21" t="n"/>
      <c r="W51" s="21" t="n"/>
    </row>
    <row r="52" ht="10" customHeight="1"/>
    <row r="53" ht="10" customHeight="1"/>
    <row r="54" ht="20" customHeight="1">
      <c r="A54" s="13">
        <f>UPPER(TEXT(DATE(PlanYear,10,1),"mmmm yyyy"))&amp;"  ·  BDO"</f>
        <v/>
      </c>
      <c r="B54" s="14" t="n"/>
      <c r="C54" s="14" t="n"/>
      <c r="D54" s="14" t="n"/>
      <c r="E54" s="14" t="n"/>
      <c r="F54" s="14" t="n"/>
      <c r="G54" s="14" t="n"/>
      <c r="I54" s="13">
        <f>UPPER(TEXT(DATE(PlanYear,11,1),"mmmm yyyy"))&amp;"  ·  BDO"</f>
        <v/>
      </c>
      <c r="J54" s="14" t="n"/>
      <c r="K54" s="14" t="n"/>
      <c r="L54" s="14" t="n"/>
      <c r="M54" s="14" t="n"/>
      <c r="N54" s="14" t="n"/>
      <c r="O54" s="14" t="n"/>
      <c r="Q54" s="13">
        <f>UPPER(TEXT(DATE(PlanYear,12,1),"mmmm yyyy"))&amp;"  ·  BDO"</f>
        <v/>
      </c>
      <c r="R54" s="14" t="n"/>
      <c r="S54" s="14" t="n"/>
      <c r="T54" s="14" t="n"/>
      <c r="U54" s="14" t="n"/>
      <c r="V54" s="14" t="n"/>
      <c r="W54" s="14" t="n"/>
    </row>
    <row r="55" ht="15" customHeight="1">
      <c r="A55" s="18" t="inlineStr">
        <is>
          <t>Mon</t>
        </is>
      </c>
      <c r="B55" s="18" t="inlineStr">
        <is>
          <t>Tue</t>
        </is>
      </c>
      <c r="C55" s="18" t="inlineStr">
        <is>
          <t>Wed</t>
        </is>
      </c>
      <c r="D55" s="18" t="inlineStr">
        <is>
          <t>Thu</t>
        </is>
      </c>
      <c r="E55" s="18" t="inlineStr">
        <is>
          <t>Fri</t>
        </is>
      </c>
      <c r="F55" s="19" t="inlineStr">
        <is>
          <t>Sat</t>
        </is>
      </c>
      <c r="G55" s="19" t="inlineStr">
        <is>
          <t>Sun</t>
        </is>
      </c>
      <c r="I55" s="18" t="inlineStr">
        <is>
          <t>Mon</t>
        </is>
      </c>
      <c r="J55" s="18" t="inlineStr">
        <is>
          <t>Tue</t>
        </is>
      </c>
      <c r="K55" s="18" t="inlineStr">
        <is>
          <t>Wed</t>
        </is>
      </c>
      <c r="L55" s="18" t="inlineStr">
        <is>
          <t>Thu</t>
        </is>
      </c>
      <c r="M55" s="18" t="inlineStr">
        <is>
          <t>Fri</t>
        </is>
      </c>
      <c r="N55" s="19" t="inlineStr">
        <is>
          <t>Sat</t>
        </is>
      </c>
      <c r="O55" s="19" t="inlineStr">
        <is>
          <t>Sun</t>
        </is>
      </c>
      <c r="Q55" s="18" t="inlineStr">
        <is>
          <t>Mon</t>
        </is>
      </c>
      <c r="R55" s="18" t="inlineStr">
        <is>
          <t>Tue</t>
        </is>
      </c>
      <c r="S55" s="18" t="inlineStr">
        <is>
          <t>Wed</t>
        </is>
      </c>
      <c r="T55" s="18" t="inlineStr">
        <is>
          <t>Thu</t>
        </is>
      </c>
      <c r="U55" s="18" t="inlineStr">
        <is>
          <t>Fri</t>
        </is>
      </c>
      <c r="V55" s="19" t="inlineStr">
        <is>
          <t>Sat</t>
        </is>
      </c>
      <c r="W55" s="19" t="inlineStr">
        <is>
          <t>Sun</t>
        </is>
      </c>
    </row>
    <row r="56" ht="14" customHeight="1">
      <c r="A56" s="20">
        <f>IF(AND(1-(WEEKDAY(DATE(PlanYear,10,1),2)-1)&gt;=1,1-(WEEKDAY(DATE(PlanYear,10,1),2)-1)&lt;=DAY(EOMONTH(DATE(PlanYear,10,1),0))),DATE(PlanYear,10,1)+1-WEEKDAY(DATE(PlanYear,10,1),2),"")</f>
        <v/>
      </c>
      <c r="B56" s="20">
        <f>IF(AND(2-(WEEKDAY(DATE(PlanYear,10,1),2)-1)&gt;=1,2-(WEEKDAY(DATE(PlanYear,10,1),2)-1)&lt;=DAY(EOMONTH(DATE(PlanYear,10,1),0))),DATE(PlanYear,10,1)+2-WEEKDAY(DATE(PlanYear,10,1),2),"")</f>
        <v/>
      </c>
      <c r="C56" s="20">
        <f>IF(AND(3-(WEEKDAY(DATE(PlanYear,10,1),2)-1)&gt;=1,3-(WEEKDAY(DATE(PlanYear,10,1),2)-1)&lt;=DAY(EOMONTH(DATE(PlanYear,10,1),0))),DATE(PlanYear,10,1)+3-WEEKDAY(DATE(PlanYear,10,1),2),"")</f>
        <v/>
      </c>
      <c r="D56" s="20">
        <f>IF(AND(4-(WEEKDAY(DATE(PlanYear,10,1),2)-1)&gt;=1,4-(WEEKDAY(DATE(PlanYear,10,1),2)-1)&lt;=DAY(EOMONTH(DATE(PlanYear,10,1),0))),DATE(PlanYear,10,1)+4-WEEKDAY(DATE(PlanYear,10,1),2),"")</f>
        <v/>
      </c>
      <c r="E56" s="20">
        <f>IF(AND(5-(WEEKDAY(DATE(PlanYear,10,1),2)-1)&gt;=1,5-(WEEKDAY(DATE(PlanYear,10,1),2)-1)&lt;=DAY(EOMONTH(DATE(PlanYear,10,1),0))),DATE(PlanYear,10,1)+5-WEEKDAY(DATE(PlanYear,10,1),2),"")</f>
        <v/>
      </c>
      <c r="F56" s="20">
        <f>IF(AND(6-(WEEKDAY(DATE(PlanYear,10,1),2)-1)&gt;=1,6-(WEEKDAY(DATE(PlanYear,10,1),2)-1)&lt;=DAY(EOMONTH(DATE(PlanYear,10,1),0))),DATE(PlanYear,10,1)+6-WEEKDAY(DATE(PlanYear,10,1),2),"")</f>
        <v/>
      </c>
      <c r="G56" s="20">
        <f>IF(AND(7-(WEEKDAY(DATE(PlanYear,10,1),2)-1)&gt;=1,7-(WEEKDAY(DATE(PlanYear,10,1),2)-1)&lt;=DAY(EOMONTH(DATE(PlanYear,10,1),0))),DATE(PlanYear,10,1)+7-WEEKDAY(DATE(PlanYear,10,1),2),"")</f>
        <v/>
      </c>
      <c r="I56" s="20">
        <f>IF(AND(1-(WEEKDAY(DATE(PlanYear,11,1),2)-1)&gt;=1,1-(WEEKDAY(DATE(PlanYear,11,1),2)-1)&lt;=DAY(EOMONTH(DATE(PlanYear,11,1),0))),DATE(PlanYear,11,1)+1-WEEKDAY(DATE(PlanYear,11,1),2),"")</f>
        <v/>
      </c>
      <c r="J56" s="20">
        <f>IF(AND(2-(WEEKDAY(DATE(PlanYear,11,1),2)-1)&gt;=1,2-(WEEKDAY(DATE(PlanYear,11,1),2)-1)&lt;=DAY(EOMONTH(DATE(PlanYear,11,1),0))),DATE(PlanYear,11,1)+2-WEEKDAY(DATE(PlanYear,11,1),2),"")</f>
        <v/>
      </c>
      <c r="K56" s="20">
        <f>IF(AND(3-(WEEKDAY(DATE(PlanYear,11,1),2)-1)&gt;=1,3-(WEEKDAY(DATE(PlanYear,11,1),2)-1)&lt;=DAY(EOMONTH(DATE(PlanYear,11,1),0))),DATE(PlanYear,11,1)+3-WEEKDAY(DATE(PlanYear,11,1),2),"")</f>
        <v/>
      </c>
      <c r="L56" s="20">
        <f>IF(AND(4-(WEEKDAY(DATE(PlanYear,11,1),2)-1)&gt;=1,4-(WEEKDAY(DATE(PlanYear,11,1),2)-1)&lt;=DAY(EOMONTH(DATE(PlanYear,11,1),0))),DATE(PlanYear,11,1)+4-WEEKDAY(DATE(PlanYear,11,1),2),"")</f>
        <v/>
      </c>
      <c r="M56" s="20">
        <f>IF(AND(5-(WEEKDAY(DATE(PlanYear,11,1),2)-1)&gt;=1,5-(WEEKDAY(DATE(PlanYear,11,1),2)-1)&lt;=DAY(EOMONTH(DATE(PlanYear,11,1),0))),DATE(PlanYear,11,1)+5-WEEKDAY(DATE(PlanYear,11,1),2),"")</f>
        <v/>
      </c>
      <c r="N56" s="20">
        <f>IF(AND(6-(WEEKDAY(DATE(PlanYear,11,1),2)-1)&gt;=1,6-(WEEKDAY(DATE(PlanYear,11,1),2)-1)&lt;=DAY(EOMONTH(DATE(PlanYear,11,1),0))),DATE(PlanYear,11,1)+6-WEEKDAY(DATE(PlanYear,11,1),2),"")</f>
        <v/>
      </c>
      <c r="O56" s="20">
        <f>IF(AND(7-(WEEKDAY(DATE(PlanYear,11,1),2)-1)&gt;=1,7-(WEEKDAY(DATE(PlanYear,11,1),2)-1)&lt;=DAY(EOMONTH(DATE(PlanYear,11,1),0))),DATE(PlanYear,11,1)+7-WEEKDAY(DATE(PlanYear,11,1),2),"")</f>
        <v/>
      </c>
      <c r="Q56" s="20">
        <f>IF(AND(1-(WEEKDAY(DATE(PlanYear,12,1),2)-1)&gt;=1,1-(WEEKDAY(DATE(PlanYear,12,1),2)-1)&lt;=DAY(EOMONTH(DATE(PlanYear,12,1),0))),DATE(PlanYear,12,1)+1-WEEKDAY(DATE(PlanYear,12,1),2),"")</f>
        <v/>
      </c>
      <c r="R56" s="20">
        <f>IF(AND(2-(WEEKDAY(DATE(PlanYear,12,1),2)-1)&gt;=1,2-(WEEKDAY(DATE(PlanYear,12,1),2)-1)&lt;=DAY(EOMONTH(DATE(PlanYear,12,1),0))),DATE(PlanYear,12,1)+2-WEEKDAY(DATE(PlanYear,12,1),2),"")</f>
        <v/>
      </c>
      <c r="S56" s="20">
        <f>IF(AND(3-(WEEKDAY(DATE(PlanYear,12,1),2)-1)&gt;=1,3-(WEEKDAY(DATE(PlanYear,12,1),2)-1)&lt;=DAY(EOMONTH(DATE(PlanYear,12,1),0))),DATE(PlanYear,12,1)+3-WEEKDAY(DATE(PlanYear,12,1),2),"")</f>
        <v/>
      </c>
      <c r="T56" s="20">
        <f>IF(AND(4-(WEEKDAY(DATE(PlanYear,12,1),2)-1)&gt;=1,4-(WEEKDAY(DATE(PlanYear,12,1),2)-1)&lt;=DAY(EOMONTH(DATE(PlanYear,12,1),0))),DATE(PlanYear,12,1)+4-WEEKDAY(DATE(PlanYear,12,1),2),"")</f>
        <v/>
      </c>
      <c r="U56" s="20">
        <f>IF(AND(5-(WEEKDAY(DATE(PlanYear,12,1),2)-1)&gt;=1,5-(WEEKDAY(DATE(PlanYear,12,1),2)-1)&lt;=DAY(EOMONTH(DATE(PlanYear,12,1),0))),DATE(PlanYear,12,1)+5-WEEKDAY(DATE(PlanYear,12,1),2),"")</f>
        <v/>
      </c>
      <c r="V56" s="20">
        <f>IF(AND(6-(WEEKDAY(DATE(PlanYear,12,1),2)-1)&gt;=1,6-(WEEKDAY(DATE(PlanYear,12,1),2)-1)&lt;=DAY(EOMONTH(DATE(PlanYear,12,1),0))),DATE(PlanYear,12,1)+6-WEEKDAY(DATE(PlanYear,12,1),2),"")</f>
        <v/>
      </c>
      <c r="W56" s="20">
        <f>IF(AND(7-(WEEKDAY(DATE(PlanYear,12,1),2)-1)&gt;=1,7-(WEEKDAY(DATE(PlanYear,12,1),2)-1)&lt;=DAY(EOMONTH(DATE(PlanYear,12,1),0))),DATE(PlanYear,12,1)+7-WEEKDAY(DATE(PlanYear,12,1),2),"")</f>
        <v/>
      </c>
    </row>
    <row r="57" ht="24" customHeight="1">
      <c r="A57" s="21" t="n"/>
      <c r="B57" s="21" t="n"/>
      <c r="C57" s="21" t="n"/>
      <c r="D57" s="21" t="inlineStr">
        <is>
          <t>SUP 2</t>
        </is>
      </c>
      <c r="E57" s="21" t="inlineStr">
        <is>
          <t>Pilot</t>
        </is>
      </c>
      <c r="F57" s="21" t="inlineStr">
        <is>
          <t>SUP 1</t>
        </is>
      </c>
      <c r="G57" s="21" t="inlineStr">
        <is>
          <t>TACCO</t>
        </is>
      </c>
      <c r="I57" s="21" t="n"/>
      <c r="J57" s="21" t="n"/>
      <c r="K57" s="21" t="n"/>
      <c r="L57" s="21" t="n"/>
      <c r="M57" s="21" t="n"/>
      <c r="N57" s="21" t="n"/>
      <c r="O57" s="21" t="inlineStr">
        <is>
          <t>SUP 1</t>
        </is>
      </c>
      <c r="Q57" s="21" t="n"/>
      <c r="R57" s="21" t="n"/>
      <c r="S57" s="21" t="n"/>
      <c r="T57" s="21" t="n"/>
      <c r="U57" s="21" t="n"/>
      <c r="V57" s="21" t="n"/>
      <c r="W57" s="21" t="n"/>
    </row>
    <row r="58" ht="14" customHeight="1">
      <c r="A58" s="20">
        <f>IF(AND(8-(WEEKDAY(DATE(PlanYear,10,1),2)-1)&gt;=1,8-(WEEKDAY(DATE(PlanYear,10,1),2)-1)&lt;=DAY(EOMONTH(DATE(PlanYear,10,1),0))),DATE(PlanYear,10,1)+8-WEEKDAY(DATE(PlanYear,10,1),2),"")</f>
        <v/>
      </c>
      <c r="B58" s="20">
        <f>IF(AND(9-(WEEKDAY(DATE(PlanYear,10,1),2)-1)&gt;=1,9-(WEEKDAY(DATE(PlanYear,10,1),2)-1)&lt;=DAY(EOMONTH(DATE(PlanYear,10,1),0))),DATE(PlanYear,10,1)+9-WEEKDAY(DATE(PlanYear,10,1),2),"")</f>
        <v/>
      </c>
      <c r="C58" s="20">
        <f>IF(AND(10-(WEEKDAY(DATE(PlanYear,10,1),2)-1)&gt;=1,10-(WEEKDAY(DATE(PlanYear,10,1),2)-1)&lt;=DAY(EOMONTH(DATE(PlanYear,10,1),0))),DATE(PlanYear,10,1)+10-WEEKDAY(DATE(PlanYear,10,1),2),"")</f>
        <v/>
      </c>
      <c r="D58" s="20">
        <f>IF(AND(11-(WEEKDAY(DATE(PlanYear,10,1),2)-1)&gt;=1,11-(WEEKDAY(DATE(PlanYear,10,1),2)-1)&lt;=DAY(EOMONTH(DATE(PlanYear,10,1),0))),DATE(PlanYear,10,1)+11-WEEKDAY(DATE(PlanYear,10,1),2),"")</f>
        <v/>
      </c>
      <c r="E58" s="20">
        <f>IF(AND(12-(WEEKDAY(DATE(PlanYear,10,1),2)-1)&gt;=1,12-(WEEKDAY(DATE(PlanYear,10,1),2)-1)&lt;=DAY(EOMONTH(DATE(PlanYear,10,1),0))),DATE(PlanYear,10,1)+12-WEEKDAY(DATE(PlanYear,10,1),2),"")</f>
        <v/>
      </c>
      <c r="F58" s="20">
        <f>IF(AND(13-(WEEKDAY(DATE(PlanYear,10,1),2)-1)&gt;=1,13-(WEEKDAY(DATE(PlanYear,10,1),2)-1)&lt;=DAY(EOMONTH(DATE(PlanYear,10,1),0))),DATE(PlanYear,10,1)+13-WEEKDAY(DATE(PlanYear,10,1),2),"")</f>
        <v/>
      </c>
      <c r="G58" s="20">
        <f>IF(AND(14-(WEEKDAY(DATE(PlanYear,10,1),2)-1)&gt;=1,14-(WEEKDAY(DATE(PlanYear,10,1),2)-1)&lt;=DAY(EOMONTH(DATE(PlanYear,10,1),0))),DATE(PlanYear,10,1)+14-WEEKDAY(DATE(PlanYear,10,1),2),"")</f>
        <v/>
      </c>
      <c r="I58" s="20">
        <f>IF(AND(8-(WEEKDAY(DATE(PlanYear,11,1),2)-1)&gt;=1,8-(WEEKDAY(DATE(PlanYear,11,1),2)-1)&lt;=DAY(EOMONTH(DATE(PlanYear,11,1),0))),DATE(PlanYear,11,1)+8-WEEKDAY(DATE(PlanYear,11,1),2),"")</f>
        <v/>
      </c>
      <c r="J58" s="20">
        <f>IF(AND(9-(WEEKDAY(DATE(PlanYear,11,1),2)-1)&gt;=1,9-(WEEKDAY(DATE(PlanYear,11,1),2)-1)&lt;=DAY(EOMONTH(DATE(PlanYear,11,1),0))),DATE(PlanYear,11,1)+9-WEEKDAY(DATE(PlanYear,11,1),2),"")</f>
        <v/>
      </c>
      <c r="K58" s="20">
        <f>IF(AND(10-(WEEKDAY(DATE(PlanYear,11,1),2)-1)&gt;=1,10-(WEEKDAY(DATE(PlanYear,11,1),2)-1)&lt;=DAY(EOMONTH(DATE(PlanYear,11,1),0))),DATE(PlanYear,11,1)+10-WEEKDAY(DATE(PlanYear,11,1),2),"")</f>
        <v/>
      </c>
      <c r="L58" s="20">
        <f>IF(AND(11-(WEEKDAY(DATE(PlanYear,11,1),2)-1)&gt;=1,11-(WEEKDAY(DATE(PlanYear,11,1),2)-1)&lt;=DAY(EOMONTH(DATE(PlanYear,11,1),0))),DATE(PlanYear,11,1)+11-WEEKDAY(DATE(PlanYear,11,1),2),"")</f>
        <v/>
      </c>
      <c r="M58" s="20">
        <f>IF(AND(12-(WEEKDAY(DATE(PlanYear,11,1),2)-1)&gt;=1,12-(WEEKDAY(DATE(PlanYear,11,1),2)-1)&lt;=DAY(EOMONTH(DATE(PlanYear,11,1),0))),DATE(PlanYear,11,1)+12-WEEKDAY(DATE(PlanYear,11,1),2),"")</f>
        <v/>
      </c>
      <c r="N58" s="20">
        <f>IF(AND(13-(WEEKDAY(DATE(PlanYear,11,1),2)-1)&gt;=1,13-(WEEKDAY(DATE(PlanYear,11,1),2)-1)&lt;=DAY(EOMONTH(DATE(PlanYear,11,1),0))),DATE(PlanYear,11,1)+13-WEEKDAY(DATE(PlanYear,11,1),2),"")</f>
        <v/>
      </c>
      <c r="O58" s="20">
        <f>IF(AND(14-(WEEKDAY(DATE(PlanYear,11,1),2)-1)&gt;=1,14-(WEEKDAY(DATE(PlanYear,11,1),2)-1)&lt;=DAY(EOMONTH(DATE(PlanYear,11,1),0))),DATE(PlanYear,11,1)+14-WEEKDAY(DATE(PlanYear,11,1),2),"")</f>
        <v/>
      </c>
      <c r="Q58" s="20">
        <f>IF(AND(8-(WEEKDAY(DATE(PlanYear,12,1),2)-1)&gt;=1,8-(WEEKDAY(DATE(PlanYear,12,1),2)-1)&lt;=DAY(EOMONTH(DATE(PlanYear,12,1),0))),DATE(PlanYear,12,1)+8-WEEKDAY(DATE(PlanYear,12,1),2),"")</f>
        <v/>
      </c>
      <c r="R58" s="20">
        <f>IF(AND(9-(WEEKDAY(DATE(PlanYear,12,1),2)-1)&gt;=1,9-(WEEKDAY(DATE(PlanYear,12,1),2)-1)&lt;=DAY(EOMONTH(DATE(PlanYear,12,1),0))),DATE(PlanYear,12,1)+9-WEEKDAY(DATE(PlanYear,12,1),2),"")</f>
        <v/>
      </c>
      <c r="S58" s="20">
        <f>IF(AND(10-(WEEKDAY(DATE(PlanYear,12,1),2)-1)&gt;=1,10-(WEEKDAY(DATE(PlanYear,12,1),2)-1)&lt;=DAY(EOMONTH(DATE(PlanYear,12,1),0))),DATE(PlanYear,12,1)+10-WEEKDAY(DATE(PlanYear,12,1),2),"")</f>
        <v/>
      </c>
      <c r="T58" s="20">
        <f>IF(AND(11-(WEEKDAY(DATE(PlanYear,12,1),2)-1)&gt;=1,11-(WEEKDAY(DATE(PlanYear,12,1),2)-1)&lt;=DAY(EOMONTH(DATE(PlanYear,12,1),0))),DATE(PlanYear,12,1)+11-WEEKDAY(DATE(PlanYear,12,1),2),"")</f>
        <v/>
      </c>
      <c r="U58" s="20">
        <f>IF(AND(12-(WEEKDAY(DATE(PlanYear,12,1),2)-1)&gt;=1,12-(WEEKDAY(DATE(PlanYear,12,1),2)-1)&lt;=DAY(EOMONTH(DATE(PlanYear,12,1),0))),DATE(PlanYear,12,1)+12-WEEKDAY(DATE(PlanYear,12,1),2),"")</f>
        <v/>
      </c>
      <c r="V58" s="20">
        <f>IF(AND(13-(WEEKDAY(DATE(PlanYear,12,1),2)-1)&gt;=1,13-(WEEKDAY(DATE(PlanYear,12,1),2)-1)&lt;=DAY(EOMONTH(DATE(PlanYear,12,1),0))),DATE(PlanYear,12,1)+13-WEEKDAY(DATE(PlanYear,12,1),2),"")</f>
        <v/>
      </c>
      <c r="W58" s="20">
        <f>IF(AND(14-(WEEKDAY(DATE(PlanYear,12,1),2)-1)&gt;=1,14-(WEEKDAY(DATE(PlanYear,12,1),2)-1)&lt;=DAY(EOMONTH(DATE(PlanYear,12,1),0))),DATE(PlanYear,12,1)+14-WEEKDAY(DATE(PlanYear,12,1),2),"")</f>
        <v/>
      </c>
    </row>
    <row r="59" ht="24" customHeight="1">
      <c r="A59" s="21" t="inlineStr">
        <is>
          <t>SUP 2</t>
        </is>
      </c>
      <c r="B59" s="21" t="inlineStr">
        <is>
          <t>SUP 1</t>
        </is>
      </c>
      <c r="C59" s="21" t="inlineStr">
        <is>
          <t>Pilot</t>
        </is>
      </c>
      <c r="D59" s="21" t="inlineStr">
        <is>
          <t>SUP 2</t>
        </is>
      </c>
      <c r="E59" s="21" t="inlineStr">
        <is>
          <t>Pilot</t>
        </is>
      </c>
      <c r="F59" s="21" t="inlineStr">
        <is>
          <t>SUP 2</t>
        </is>
      </c>
      <c r="G59" s="21" t="inlineStr">
        <is>
          <t>TACCO</t>
        </is>
      </c>
      <c r="I59" s="21" t="inlineStr">
        <is>
          <t>Pilot</t>
        </is>
      </c>
      <c r="J59" s="21" t="inlineStr">
        <is>
          <t>SUP 2</t>
        </is>
      </c>
      <c r="K59" s="21" t="inlineStr">
        <is>
          <t>TACCO</t>
        </is>
      </c>
      <c r="L59" s="21" t="inlineStr">
        <is>
          <t>SUP 1</t>
        </is>
      </c>
      <c r="M59" s="21" t="inlineStr">
        <is>
          <t>Pilot</t>
        </is>
      </c>
      <c r="N59" s="21" t="inlineStr">
        <is>
          <t>SUP 2</t>
        </is>
      </c>
      <c r="O59" s="21" t="inlineStr">
        <is>
          <t>TACCO</t>
        </is>
      </c>
      <c r="Q59" s="21" t="n"/>
      <c r="R59" s="21" t="n"/>
      <c r="S59" s="21" t="n"/>
      <c r="T59" s="21" t="n"/>
      <c r="U59" s="21" t="n"/>
      <c r="V59" s="21" t="n"/>
      <c r="W59" s="21" t="n"/>
    </row>
    <row r="60" ht="14" customHeight="1">
      <c r="A60" s="20">
        <f>IF(AND(15-(WEEKDAY(DATE(PlanYear,10,1),2)-1)&gt;=1,15-(WEEKDAY(DATE(PlanYear,10,1),2)-1)&lt;=DAY(EOMONTH(DATE(PlanYear,10,1),0))),DATE(PlanYear,10,1)+15-WEEKDAY(DATE(PlanYear,10,1),2),"")</f>
        <v/>
      </c>
      <c r="B60" s="20">
        <f>IF(AND(16-(WEEKDAY(DATE(PlanYear,10,1),2)-1)&gt;=1,16-(WEEKDAY(DATE(PlanYear,10,1),2)-1)&lt;=DAY(EOMONTH(DATE(PlanYear,10,1),0))),DATE(PlanYear,10,1)+16-WEEKDAY(DATE(PlanYear,10,1),2),"")</f>
        <v/>
      </c>
      <c r="C60" s="20">
        <f>IF(AND(17-(WEEKDAY(DATE(PlanYear,10,1),2)-1)&gt;=1,17-(WEEKDAY(DATE(PlanYear,10,1),2)-1)&lt;=DAY(EOMONTH(DATE(PlanYear,10,1),0))),DATE(PlanYear,10,1)+17-WEEKDAY(DATE(PlanYear,10,1),2),"")</f>
        <v/>
      </c>
      <c r="D60" s="20">
        <f>IF(AND(18-(WEEKDAY(DATE(PlanYear,10,1),2)-1)&gt;=1,18-(WEEKDAY(DATE(PlanYear,10,1),2)-1)&lt;=DAY(EOMONTH(DATE(PlanYear,10,1),0))),DATE(PlanYear,10,1)+18-WEEKDAY(DATE(PlanYear,10,1),2),"")</f>
        <v/>
      </c>
      <c r="E60" s="20">
        <f>IF(AND(19-(WEEKDAY(DATE(PlanYear,10,1),2)-1)&gt;=1,19-(WEEKDAY(DATE(PlanYear,10,1),2)-1)&lt;=DAY(EOMONTH(DATE(PlanYear,10,1),0))),DATE(PlanYear,10,1)+19-WEEKDAY(DATE(PlanYear,10,1),2),"")</f>
        <v/>
      </c>
      <c r="F60" s="20">
        <f>IF(AND(20-(WEEKDAY(DATE(PlanYear,10,1),2)-1)&gt;=1,20-(WEEKDAY(DATE(PlanYear,10,1),2)-1)&lt;=DAY(EOMONTH(DATE(PlanYear,10,1),0))),DATE(PlanYear,10,1)+20-WEEKDAY(DATE(PlanYear,10,1),2),"")</f>
        <v/>
      </c>
      <c r="G60" s="20">
        <f>IF(AND(21-(WEEKDAY(DATE(PlanYear,10,1),2)-1)&gt;=1,21-(WEEKDAY(DATE(PlanYear,10,1),2)-1)&lt;=DAY(EOMONTH(DATE(PlanYear,10,1),0))),DATE(PlanYear,10,1)+21-WEEKDAY(DATE(PlanYear,10,1),2),"")</f>
        <v/>
      </c>
      <c r="I60" s="20">
        <f>IF(AND(15-(WEEKDAY(DATE(PlanYear,11,1),2)-1)&gt;=1,15-(WEEKDAY(DATE(PlanYear,11,1),2)-1)&lt;=DAY(EOMONTH(DATE(PlanYear,11,1),0))),DATE(PlanYear,11,1)+15-WEEKDAY(DATE(PlanYear,11,1),2),"")</f>
        <v/>
      </c>
      <c r="J60" s="20">
        <f>IF(AND(16-(WEEKDAY(DATE(PlanYear,11,1),2)-1)&gt;=1,16-(WEEKDAY(DATE(PlanYear,11,1),2)-1)&lt;=DAY(EOMONTH(DATE(PlanYear,11,1),0))),DATE(PlanYear,11,1)+16-WEEKDAY(DATE(PlanYear,11,1),2),"")</f>
        <v/>
      </c>
      <c r="K60" s="20">
        <f>IF(AND(17-(WEEKDAY(DATE(PlanYear,11,1),2)-1)&gt;=1,17-(WEEKDAY(DATE(PlanYear,11,1),2)-1)&lt;=DAY(EOMONTH(DATE(PlanYear,11,1),0))),DATE(PlanYear,11,1)+17-WEEKDAY(DATE(PlanYear,11,1),2),"")</f>
        <v/>
      </c>
      <c r="L60" s="20">
        <f>IF(AND(18-(WEEKDAY(DATE(PlanYear,11,1),2)-1)&gt;=1,18-(WEEKDAY(DATE(PlanYear,11,1),2)-1)&lt;=DAY(EOMONTH(DATE(PlanYear,11,1),0))),DATE(PlanYear,11,1)+18-WEEKDAY(DATE(PlanYear,11,1),2),"")</f>
        <v/>
      </c>
      <c r="M60" s="20">
        <f>IF(AND(19-(WEEKDAY(DATE(PlanYear,11,1),2)-1)&gt;=1,19-(WEEKDAY(DATE(PlanYear,11,1),2)-1)&lt;=DAY(EOMONTH(DATE(PlanYear,11,1),0))),DATE(PlanYear,11,1)+19-WEEKDAY(DATE(PlanYear,11,1),2),"")</f>
        <v/>
      </c>
      <c r="N60" s="20">
        <f>IF(AND(20-(WEEKDAY(DATE(PlanYear,11,1),2)-1)&gt;=1,20-(WEEKDAY(DATE(PlanYear,11,1),2)-1)&lt;=DAY(EOMONTH(DATE(PlanYear,11,1),0))),DATE(PlanYear,11,1)+20-WEEKDAY(DATE(PlanYear,11,1),2),"")</f>
        <v/>
      </c>
      <c r="O60" s="20">
        <f>IF(AND(21-(WEEKDAY(DATE(PlanYear,11,1),2)-1)&gt;=1,21-(WEEKDAY(DATE(PlanYear,11,1),2)-1)&lt;=DAY(EOMONTH(DATE(PlanYear,11,1),0))),DATE(PlanYear,11,1)+21-WEEKDAY(DATE(PlanYear,11,1),2),"")</f>
        <v/>
      </c>
      <c r="Q60" s="20">
        <f>IF(AND(15-(WEEKDAY(DATE(PlanYear,12,1),2)-1)&gt;=1,15-(WEEKDAY(DATE(PlanYear,12,1),2)-1)&lt;=DAY(EOMONTH(DATE(PlanYear,12,1),0))),DATE(PlanYear,12,1)+15-WEEKDAY(DATE(PlanYear,12,1),2),"")</f>
        <v/>
      </c>
      <c r="R60" s="20">
        <f>IF(AND(16-(WEEKDAY(DATE(PlanYear,12,1),2)-1)&gt;=1,16-(WEEKDAY(DATE(PlanYear,12,1),2)-1)&lt;=DAY(EOMONTH(DATE(PlanYear,12,1),0))),DATE(PlanYear,12,1)+16-WEEKDAY(DATE(PlanYear,12,1),2),"")</f>
        <v/>
      </c>
      <c r="S60" s="20">
        <f>IF(AND(17-(WEEKDAY(DATE(PlanYear,12,1),2)-1)&gt;=1,17-(WEEKDAY(DATE(PlanYear,12,1),2)-1)&lt;=DAY(EOMONTH(DATE(PlanYear,12,1),0))),DATE(PlanYear,12,1)+17-WEEKDAY(DATE(PlanYear,12,1),2),"")</f>
        <v/>
      </c>
      <c r="T60" s="20">
        <f>IF(AND(18-(WEEKDAY(DATE(PlanYear,12,1),2)-1)&gt;=1,18-(WEEKDAY(DATE(PlanYear,12,1),2)-1)&lt;=DAY(EOMONTH(DATE(PlanYear,12,1),0))),DATE(PlanYear,12,1)+18-WEEKDAY(DATE(PlanYear,12,1),2),"")</f>
        <v/>
      </c>
      <c r="U60" s="20">
        <f>IF(AND(19-(WEEKDAY(DATE(PlanYear,12,1),2)-1)&gt;=1,19-(WEEKDAY(DATE(PlanYear,12,1),2)-1)&lt;=DAY(EOMONTH(DATE(PlanYear,12,1),0))),DATE(PlanYear,12,1)+19-WEEKDAY(DATE(PlanYear,12,1),2),"")</f>
        <v/>
      </c>
      <c r="V60" s="20">
        <f>IF(AND(20-(WEEKDAY(DATE(PlanYear,12,1),2)-1)&gt;=1,20-(WEEKDAY(DATE(PlanYear,12,1),2)-1)&lt;=DAY(EOMONTH(DATE(PlanYear,12,1),0))),DATE(PlanYear,12,1)+20-WEEKDAY(DATE(PlanYear,12,1),2),"")</f>
        <v/>
      </c>
      <c r="W60" s="20">
        <f>IF(AND(21-(WEEKDAY(DATE(PlanYear,12,1),2)-1)&gt;=1,21-(WEEKDAY(DATE(PlanYear,12,1),2)-1)&lt;=DAY(EOMONTH(DATE(PlanYear,12,1),0))),DATE(PlanYear,12,1)+21-WEEKDAY(DATE(PlanYear,12,1),2),"")</f>
        <v/>
      </c>
    </row>
    <row r="61" ht="24" customHeight="1">
      <c r="A61" s="21" t="inlineStr">
        <is>
          <t>SUP 1</t>
        </is>
      </c>
      <c r="B61" s="21" t="inlineStr">
        <is>
          <t>Pilot</t>
        </is>
      </c>
      <c r="C61" s="21" t="inlineStr">
        <is>
          <t>SUP 2</t>
        </is>
      </c>
      <c r="D61" s="21" t="inlineStr">
        <is>
          <t>TACCO</t>
        </is>
      </c>
      <c r="E61" s="21" t="inlineStr">
        <is>
          <t>SUP 1</t>
        </is>
      </c>
      <c r="F61" s="21" t="inlineStr">
        <is>
          <t>Pilot</t>
        </is>
      </c>
      <c r="G61" s="21" t="inlineStr">
        <is>
          <t>SUP 2</t>
        </is>
      </c>
      <c r="I61" s="21" t="inlineStr">
        <is>
          <t>SUP 1</t>
        </is>
      </c>
      <c r="J61" s="21" t="inlineStr">
        <is>
          <t>Pilot</t>
        </is>
      </c>
      <c r="K61" s="21" t="inlineStr">
        <is>
          <t>SUP 2</t>
        </is>
      </c>
      <c r="L61" s="21" t="inlineStr">
        <is>
          <t>TACCO</t>
        </is>
      </c>
      <c r="M61" s="21" t="inlineStr">
        <is>
          <t>SUP 1</t>
        </is>
      </c>
      <c r="N61" s="21" t="inlineStr">
        <is>
          <t>Pilot</t>
        </is>
      </c>
      <c r="O61" s="21" t="inlineStr">
        <is>
          <t>SUP 2</t>
        </is>
      </c>
      <c r="Q61" s="21" t="n"/>
      <c r="R61" s="21" t="n"/>
      <c r="S61" s="21" t="n"/>
      <c r="T61" s="21" t="n"/>
      <c r="U61" s="21" t="n"/>
      <c r="V61" s="21" t="n"/>
      <c r="W61" s="21" t="n"/>
    </row>
    <row r="62" ht="14" customHeight="1">
      <c r="A62" s="20">
        <f>IF(AND(22-(WEEKDAY(DATE(PlanYear,10,1),2)-1)&gt;=1,22-(WEEKDAY(DATE(PlanYear,10,1),2)-1)&lt;=DAY(EOMONTH(DATE(PlanYear,10,1),0))),DATE(PlanYear,10,1)+22-WEEKDAY(DATE(PlanYear,10,1),2),"")</f>
        <v/>
      </c>
      <c r="B62" s="20">
        <f>IF(AND(23-(WEEKDAY(DATE(PlanYear,10,1),2)-1)&gt;=1,23-(WEEKDAY(DATE(PlanYear,10,1),2)-1)&lt;=DAY(EOMONTH(DATE(PlanYear,10,1),0))),DATE(PlanYear,10,1)+23-WEEKDAY(DATE(PlanYear,10,1),2),"")</f>
        <v/>
      </c>
      <c r="C62" s="20">
        <f>IF(AND(24-(WEEKDAY(DATE(PlanYear,10,1),2)-1)&gt;=1,24-(WEEKDAY(DATE(PlanYear,10,1),2)-1)&lt;=DAY(EOMONTH(DATE(PlanYear,10,1),0))),DATE(PlanYear,10,1)+24-WEEKDAY(DATE(PlanYear,10,1),2),"")</f>
        <v/>
      </c>
      <c r="D62" s="20">
        <f>IF(AND(25-(WEEKDAY(DATE(PlanYear,10,1),2)-1)&gt;=1,25-(WEEKDAY(DATE(PlanYear,10,1),2)-1)&lt;=DAY(EOMONTH(DATE(PlanYear,10,1),0))),DATE(PlanYear,10,1)+25-WEEKDAY(DATE(PlanYear,10,1),2),"")</f>
        <v/>
      </c>
      <c r="E62" s="20">
        <f>IF(AND(26-(WEEKDAY(DATE(PlanYear,10,1),2)-1)&gt;=1,26-(WEEKDAY(DATE(PlanYear,10,1),2)-1)&lt;=DAY(EOMONTH(DATE(PlanYear,10,1),0))),DATE(PlanYear,10,1)+26-WEEKDAY(DATE(PlanYear,10,1),2),"")</f>
        <v/>
      </c>
      <c r="F62" s="20">
        <f>IF(AND(27-(WEEKDAY(DATE(PlanYear,10,1),2)-1)&gt;=1,27-(WEEKDAY(DATE(PlanYear,10,1),2)-1)&lt;=DAY(EOMONTH(DATE(PlanYear,10,1),0))),DATE(PlanYear,10,1)+27-WEEKDAY(DATE(PlanYear,10,1),2),"")</f>
        <v/>
      </c>
      <c r="G62" s="20">
        <f>IF(AND(28-(WEEKDAY(DATE(PlanYear,10,1),2)-1)&gt;=1,28-(WEEKDAY(DATE(PlanYear,10,1),2)-1)&lt;=DAY(EOMONTH(DATE(PlanYear,10,1),0))),DATE(PlanYear,10,1)+28-WEEKDAY(DATE(PlanYear,10,1),2),"")</f>
        <v/>
      </c>
      <c r="I62" s="20">
        <f>IF(AND(22-(WEEKDAY(DATE(PlanYear,11,1),2)-1)&gt;=1,22-(WEEKDAY(DATE(PlanYear,11,1),2)-1)&lt;=DAY(EOMONTH(DATE(PlanYear,11,1),0))),DATE(PlanYear,11,1)+22-WEEKDAY(DATE(PlanYear,11,1),2),"")</f>
        <v/>
      </c>
      <c r="J62" s="20">
        <f>IF(AND(23-(WEEKDAY(DATE(PlanYear,11,1),2)-1)&gt;=1,23-(WEEKDAY(DATE(PlanYear,11,1),2)-1)&lt;=DAY(EOMONTH(DATE(PlanYear,11,1),0))),DATE(PlanYear,11,1)+23-WEEKDAY(DATE(PlanYear,11,1),2),"")</f>
        <v/>
      </c>
      <c r="K62" s="20">
        <f>IF(AND(24-(WEEKDAY(DATE(PlanYear,11,1),2)-1)&gt;=1,24-(WEEKDAY(DATE(PlanYear,11,1),2)-1)&lt;=DAY(EOMONTH(DATE(PlanYear,11,1),0))),DATE(PlanYear,11,1)+24-WEEKDAY(DATE(PlanYear,11,1),2),"")</f>
        <v/>
      </c>
      <c r="L62" s="20">
        <f>IF(AND(25-(WEEKDAY(DATE(PlanYear,11,1),2)-1)&gt;=1,25-(WEEKDAY(DATE(PlanYear,11,1),2)-1)&lt;=DAY(EOMONTH(DATE(PlanYear,11,1),0))),DATE(PlanYear,11,1)+25-WEEKDAY(DATE(PlanYear,11,1),2),"")</f>
        <v/>
      </c>
      <c r="M62" s="20">
        <f>IF(AND(26-(WEEKDAY(DATE(PlanYear,11,1),2)-1)&gt;=1,26-(WEEKDAY(DATE(PlanYear,11,1),2)-1)&lt;=DAY(EOMONTH(DATE(PlanYear,11,1),0))),DATE(PlanYear,11,1)+26-WEEKDAY(DATE(PlanYear,11,1),2),"")</f>
        <v/>
      </c>
      <c r="N62" s="20">
        <f>IF(AND(27-(WEEKDAY(DATE(PlanYear,11,1),2)-1)&gt;=1,27-(WEEKDAY(DATE(PlanYear,11,1),2)-1)&lt;=DAY(EOMONTH(DATE(PlanYear,11,1),0))),DATE(PlanYear,11,1)+27-WEEKDAY(DATE(PlanYear,11,1),2),"")</f>
        <v/>
      </c>
      <c r="O62" s="20">
        <f>IF(AND(28-(WEEKDAY(DATE(PlanYear,11,1),2)-1)&gt;=1,28-(WEEKDAY(DATE(PlanYear,11,1),2)-1)&lt;=DAY(EOMONTH(DATE(PlanYear,11,1),0))),DATE(PlanYear,11,1)+28-WEEKDAY(DATE(PlanYear,11,1),2),"")</f>
        <v/>
      </c>
      <c r="Q62" s="20">
        <f>IF(AND(22-(WEEKDAY(DATE(PlanYear,12,1),2)-1)&gt;=1,22-(WEEKDAY(DATE(PlanYear,12,1),2)-1)&lt;=DAY(EOMONTH(DATE(PlanYear,12,1),0))),DATE(PlanYear,12,1)+22-WEEKDAY(DATE(PlanYear,12,1),2),"")</f>
        <v/>
      </c>
      <c r="R62" s="20">
        <f>IF(AND(23-(WEEKDAY(DATE(PlanYear,12,1),2)-1)&gt;=1,23-(WEEKDAY(DATE(PlanYear,12,1),2)-1)&lt;=DAY(EOMONTH(DATE(PlanYear,12,1),0))),DATE(PlanYear,12,1)+23-WEEKDAY(DATE(PlanYear,12,1),2),"")</f>
        <v/>
      </c>
      <c r="S62" s="20">
        <f>IF(AND(24-(WEEKDAY(DATE(PlanYear,12,1),2)-1)&gt;=1,24-(WEEKDAY(DATE(PlanYear,12,1),2)-1)&lt;=DAY(EOMONTH(DATE(PlanYear,12,1),0))),DATE(PlanYear,12,1)+24-WEEKDAY(DATE(PlanYear,12,1),2),"")</f>
        <v/>
      </c>
      <c r="T62" s="20">
        <f>IF(AND(25-(WEEKDAY(DATE(PlanYear,12,1),2)-1)&gt;=1,25-(WEEKDAY(DATE(PlanYear,12,1),2)-1)&lt;=DAY(EOMONTH(DATE(PlanYear,12,1),0))),DATE(PlanYear,12,1)+25-WEEKDAY(DATE(PlanYear,12,1),2),"")</f>
        <v/>
      </c>
      <c r="U62" s="20">
        <f>IF(AND(26-(WEEKDAY(DATE(PlanYear,12,1),2)-1)&gt;=1,26-(WEEKDAY(DATE(PlanYear,12,1),2)-1)&lt;=DAY(EOMONTH(DATE(PlanYear,12,1),0))),DATE(PlanYear,12,1)+26-WEEKDAY(DATE(PlanYear,12,1),2),"")</f>
        <v/>
      </c>
      <c r="V62" s="20">
        <f>IF(AND(27-(WEEKDAY(DATE(PlanYear,12,1),2)-1)&gt;=1,27-(WEEKDAY(DATE(PlanYear,12,1),2)-1)&lt;=DAY(EOMONTH(DATE(PlanYear,12,1),0))),DATE(PlanYear,12,1)+27-WEEKDAY(DATE(PlanYear,12,1),2),"")</f>
        <v/>
      </c>
      <c r="W62" s="20">
        <f>IF(AND(28-(WEEKDAY(DATE(PlanYear,12,1),2)-1)&gt;=1,28-(WEEKDAY(DATE(PlanYear,12,1),2)-1)&lt;=DAY(EOMONTH(DATE(PlanYear,12,1),0))),DATE(PlanYear,12,1)+28-WEEKDAY(DATE(PlanYear,12,1),2),"")</f>
        <v/>
      </c>
    </row>
    <row r="63" ht="24" customHeight="1">
      <c r="A63" s="21" t="inlineStr">
        <is>
          <t>TACCO</t>
        </is>
      </c>
      <c r="B63" s="21" t="inlineStr">
        <is>
          <t>SUP 1</t>
        </is>
      </c>
      <c r="C63" s="21" t="inlineStr">
        <is>
          <t>Pilot</t>
        </is>
      </c>
      <c r="D63" s="21" t="inlineStr">
        <is>
          <t>SUP 2</t>
        </is>
      </c>
      <c r="E63" s="21" t="inlineStr">
        <is>
          <t>TACCO</t>
        </is>
      </c>
      <c r="F63" s="21" t="inlineStr">
        <is>
          <t>SUP 1</t>
        </is>
      </c>
      <c r="G63" s="21" t="inlineStr">
        <is>
          <t>Pilot</t>
        </is>
      </c>
      <c r="I63" s="21" t="inlineStr">
        <is>
          <t>TACCO</t>
        </is>
      </c>
      <c r="J63" s="21" t="inlineStr">
        <is>
          <t>SUP 1</t>
        </is>
      </c>
      <c r="K63" s="21" t="inlineStr">
        <is>
          <t>Pilot</t>
        </is>
      </c>
      <c r="L63" s="21" t="inlineStr">
        <is>
          <t>SUP 2</t>
        </is>
      </c>
      <c r="M63" s="21" t="inlineStr">
        <is>
          <t>TACCO</t>
        </is>
      </c>
      <c r="N63" s="21" t="inlineStr">
        <is>
          <t>SUP 1</t>
        </is>
      </c>
      <c r="O63" s="21" t="inlineStr">
        <is>
          <t>Pilot</t>
        </is>
      </c>
      <c r="Q63" s="21" t="n"/>
      <c r="R63" s="21" t="n"/>
      <c r="S63" s="21" t="n"/>
      <c r="T63" s="21" t="n"/>
      <c r="U63" s="21" t="n"/>
      <c r="V63" s="21" t="n"/>
      <c r="W63" s="21" t="n"/>
    </row>
    <row r="64" ht="14" customHeight="1">
      <c r="A64" s="20">
        <f>IF(AND(29-(WEEKDAY(DATE(PlanYear,10,1),2)-1)&gt;=1,29-(WEEKDAY(DATE(PlanYear,10,1),2)-1)&lt;=DAY(EOMONTH(DATE(PlanYear,10,1),0))),DATE(PlanYear,10,1)+29-WEEKDAY(DATE(PlanYear,10,1),2),"")</f>
        <v/>
      </c>
      <c r="B64" s="20">
        <f>IF(AND(30-(WEEKDAY(DATE(PlanYear,10,1),2)-1)&gt;=1,30-(WEEKDAY(DATE(PlanYear,10,1),2)-1)&lt;=DAY(EOMONTH(DATE(PlanYear,10,1),0))),DATE(PlanYear,10,1)+30-WEEKDAY(DATE(PlanYear,10,1),2),"")</f>
        <v/>
      </c>
      <c r="C64" s="20">
        <f>IF(AND(31-(WEEKDAY(DATE(PlanYear,10,1),2)-1)&gt;=1,31-(WEEKDAY(DATE(PlanYear,10,1),2)-1)&lt;=DAY(EOMONTH(DATE(PlanYear,10,1),0))),DATE(PlanYear,10,1)+31-WEEKDAY(DATE(PlanYear,10,1),2),"")</f>
        <v/>
      </c>
      <c r="D64" s="20">
        <f>IF(AND(32-(WEEKDAY(DATE(PlanYear,10,1),2)-1)&gt;=1,32-(WEEKDAY(DATE(PlanYear,10,1),2)-1)&lt;=DAY(EOMONTH(DATE(PlanYear,10,1),0))),DATE(PlanYear,10,1)+32-WEEKDAY(DATE(PlanYear,10,1),2),"")</f>
        <v/>
      </c>
      <c r="E64" s="20">
        <f>IF(AND(33-(WEEKDAY(DATE(PlanYear,10,1),2)-1)&gt;=1,33-(WEEKDAY(DATE(PlanYear,10,1),2)-1)&lt;=DAY(EOMONTH(DATE(PlanYear,10,1),0))),DATE(PlanYear,10,1)+33-WEEKDAY(DATE(PlanYear,10,1),2),"")</f>
        <v/>
      </c>
      <c r="F64" s="20">
        <f>IF(AND(34-(WEEKDAY(DATE(PlanYear,10,1),2)-1)&gt;=1,34-(WEEKDAY(DATE(PlanYear,10,1),2)-1)&lt;=DAY(EOMONTH(DATE(PlanYear,10,1),0))),DATE(PlanYear,10,1)+34-WEEKDAY(DATE(PlanYear,10,1),2),"")</f>
        <v/>
      </c>
      <c r="G64" s="20">
        <f>IF(AND(35-(WEEKDAY(DATE(PlanYear,10,1),2)-1)&gt;=1,35-(WEEKDAY(DATE(PlanYear,10,1),2)-1)&lt;=DAY(EOMONTH(DATE(PlanYear,10,1),0))),DATE(PlanYear,10,1)+35-WEEKDAY(DATE(PlanYear,10,1),2),"")</f>
        <v/>
      </c>
      <c r="I64" s="20">
        <f>IF(AND(29-(WEEKDAY(DATE(PlanYear,11,1),2)-1)&gt;=1,29-(WEEKDAY(DATE(PlanYear,11,1),2)-1)&lt;=DAY(EOMONTH(DATE(PlanYear,11,1),0))),DATE(PlanYear,11,1)+29-WEEKDAY(DATE(PlanYear,11,1),2),"")</f>
        <v/>
      </c>
      <c r="J64" s="20">
        <f>IF(AND(30-(WEEKDAY(DATE(PlanYear,11,1),2)-1)&gt;=1,30-(WEEKDAY(DATE(PlanYear,11,1),2)-1)&lt;=DAY(EOMONTH(DATE(PlanYear,11,1),0))),DATE(PlanYear,11,1)+30-WEEKDAY(DATE(PlanYear,11,1),2),"")</f>
        <v/>
      </c>
      <c r="K64" s="20">
        <f>IF(AND(31-(WEEKDAY(DATE(PlanYear,11,1),2)-1)&gt;=1,31-(WEEKDAY(DATE(PlanYear,11,1),2)-1)&lt;=DAY(EOMONTH(DATE(PlanYear,11,1),0))),DATE(PlanYear,11,1)+31-WEEKDAY(DATE(PlanYear,11,1),2),"")</f>
        <v/>
      </c>
      <c r="L64" s="20">
        <f>IF(AND(32-(WEEKDAY(DATE(PlanYear,11,1),2)-1)&gt;=1,32-(WEEKDAY(DATE(PlanYear,11,1),2)-1)&lt;=DAY(EOMONTH(DATE(PlanYear,11,1),0))),DATE(PlanYear,11,1)+32-WEEKDAY(DATE(PlanYear,11,1),2),"")</f>
        <v/>
      </c>
      <c r="M64" s="20">
        <f>IF(AND(33-(WEEKDAY(DATE(PlanYear,11,1),2)-1)&gt;=1,33-(WEEKDAY(DATE(PlanYear,11,1),2)-1)&lt;=DAY(EOMONTH(DATE(PlanYear,11,1),0))),DATE(PlanYear,11,1)+33-WEEKDAY(DATE(PlanYear,11,1),2),"")</f>
        <v/>
      </c>
      <c r="N64" s="20">
        <f>IF(AND(34-(WEEKDAY(DATE(PlanYear,11,1),2)-1)&gt;=1,34-(WEEKDAY(DATE(PlanYear,11,1),2)-1)&lt;=DAY(EOMONTH(DATE(PlanYear,11,1),0))),DATE(PlanYear,11,1)+34-WEEKDAY(DATE(PlanYear,11,1),2),"")</f>
        <v/>
      </c>
      <c r="O64" s="20">
        <f>IF(AND(35-(WEEKDAY(DATE(PlanYear,11,1),2)-1)&gt;=1,35-(WEEKDAY(DATE(PlanYear,11,1),2)-1)&lt;=DAY(EOMONTH(DATE(PlanYear,11,1),0))),DATE(PlanYear,11,1)+35-WEEKDAY(DATE(PlanYear,11,1),2),"")</f>
        <v/>
      </c>
      <c r="Q64" s="20">
        <f>IF(AND(29-(WEEKDAY(DATE(PlanYear,12,1),2)-1)&gt;=1,29-(WEEKDAY(DATE(PlanYear,12,1),2)-1)&lt;=DAY(EOMONTH(DATE(PlanYear,12,1),0))),DATE(PlanYear,12,1)+29-WEEKDAY(DATE(PlanYear,12,1),2),"")</f>
        <v/>
      </c>
      <c r="R64" s="20">
        <f>IF(AND(30-(WEEKDAY(DATE(PlanYear,12,1),2)-1)&gt;=1,30-(WEEKDAY(DATE(PlanYear,12,1),2)-1)&lt;=DAY(EOMONTH(DATE(PlanYear,12,1),0))),DATE(PlanYear,12,1)+30-WEEKDAY(DATE(PlanYear,12,1),2),"")</f>
        <v/>
      </c>
      <c r="S64" s="20">
        <f>IF(AND(31-(WEEKDAY(DATE(PlanYear,12,1),2)-1)&gt;=1,31-(WEEKDAY(DATE(PlanYear,12,1),2)-1)&lt;=DAY(EOMONTH(DATE(PlanYear,12,1),0))),DATE(PlanYear,12,1)+31-WEEKDAY(DATE(PlanYear,12,1),2),"")</f>
        <v/>
      </c>
      <c r="T64" s="20">
        <f>IF(AND(32-(WEEKDAY(DATE(PlanYear,12,1),2)-1)&gt;=1,32-(WEEKDAY(DATE(PlanYear,12,1),2)-1)&lt;=DAY(EOMONTH(DATE(PlanYear,12,1),0))),DATE(PlanYear,12,1)+32-WEEKDAY(DATE(PlanYear,12,1),2),"")</f>
        <v/>
      </c>
      <c r="U64" s="20">
        <f>IF(AND(33-(WEEKDAY(DATE(PlanYear,12,1),2)-1)&gt;=1,33-(WEEKDAY(DATE(PlanYear,12,1),2)-1)&lt;=DAY(EOMONTH(DATE(PlanYear,12,1),0))),DATE(PlanYear,12,1)+33-WEEKDAY(DATE(PlanYear,12,1),2),"")</f>
        <v/>
      </c>
      <c r="V64" s="20">
        <f>IF(AND(34-(WEEKDAY(DATE(PlanYear,12,1),2)-1)&gt;=1,34-(WEEKDAY(DATE(PlanYear,12,1),2)-1)&lt;=DAY(EOMONTH(DATE(PlanYear,12,1),0))),DATE(PlanYear,12,1)+34-WEEKDAY(DATE(PlanYear,12,1),2),"")</f>
        <v/>
      </c>
      <c r="W64" s="20">
        <f>IF(AND(35-(WEEKDAY(DATE(PlanYear,12,1),2)-1)&gt;=1,35-(WEEKDAY(DATE(PlanYear,12,1),2)-1)&lt;=DAY(EOMONTH(DATE(PlanYear,12,1),0))),DATE(PlanYear,12,1)+35-WEEKDAY(DATE(PlanYear,12,1),2),"")</f>
        <v/>
      </c>
    </row>
    <row r="65" ht="24" customHeight="1">
      <c r="A65" s="21" t="inlineStr">
        <is>
          <t>SUP 2</t>
        </is>
      </c>
      <c r="B65" s="21" t="inlineStr">
        <is>
          <t>TACCO</t>
        </is>
      </c>
      <c r="C65" s="21" t="inlineStr">
        <is>
          <t>SUP 1</t>
        </is>
      </c>
      <c r="D65" s="21" t="inlineStr">
        <is>
          <t>Pilot</t>
        </is>
      </c>
      <c r="E65" s="21" t="inlineStr">
        <is>
          <t>SUP 2</t>
        </is>
      </c>
      <c r="F65" s="21" t="inlineStr">
        <is>
          <t>TACCO</t>
        </is>
      </c>
      <c r="G65" s="21" t="n"/>
      <c r="I65" s="21" t="inlineStr">
        <is>
          <t>SUP 2</t>
        </is>
      </c>
      <c r="J65" s="21" t="inlineStr">
        <is>
          <t>TACCO</t>
        </is>
      </c>
      <c r="K65" s="21" t="inlineStr">
        <is>
          <t>SUP 1</t>
        </is>
      </c>
      <c r="L65" s="21" t="inlineStr">
        <is>
          <t>Pilot</t>
        </is>
      </c>
      <c r="M65" s="21" t="inlineStr">
        <is>
          <t>SUP 2</t>
        </is>
      </c>
      <c r="N65" s="21" t="inlineStr">
        <is>
          <t>TACCO</t>
        </is>
      </c>
      <c r="O65" s="21" t="inlineStr">
        <is>
          <t>SUP 1</t>
        </is>
      </c>
      <c r="Q65" s="21" t="n"/>
      <c r="R65" s="21" t="n"/>
      <c r="S65" s="21" t="n"/>
      <c r="T65" s="21" t="n"/>
      <c r="U65" s="21" t="n"/>
      <c r="V65" s="21" t="n"/>
      <c r="W65" s="21" t="n"/>
    </row>
    <row r="66" ht="14" customHeight="1">
      <c r="A66" s="20">
        <f>IF(AND(36-(WEEKDAY(DATE(PlanYear,10,1),2)-1)&gt;=1,36-(WEEKDAY(DATE(PlanYear,10,1),2)-1)&lt;=DAY(EOMONTH(DATE(PlanYear,10,1),0))),DATE(PlanYear,10,1)+36-WEEKDAY(DATE(PlanYear,10,1),2),"")</f>
        <v/>
      </c>
      <c r="B66" s="20">
        <f>IF(AND(37-(WEEKDAY(DATE(PlanYear,10,1),2)-1)&gt;=1,37-(WEEKDAY(DATE(PlanYear,10,1),2)-1)&lt;=DAY(EOMONTH(DATE(PlanYear,10,1),0))),DATE(PlanYear,10,1)+37-WEEKDAY(DATE(PlanYear,10,1),2),"")</f>
        <v/>
      </c>
      <c r="C66" s="20">
        <f>IF(AND(38-(WEEKDAY(DATE(PlanYear,10,1),2)-1)&gt;=1,38-(WEEKDAY(DATE(PlanYear,10,1),2)-1)&lt;=DAY(EOMONTH(DATE(PlanYear,10,1),0))),DATE(PlanYear,10,1)+38-WEEKDAY(DATE(PlanYear,10,1),2),"")</f>
        <v/>
      </c>
      <c r="D66" s="20">
        <f>IF(AND(39-(WEEKDAY(DATE(PlanYear,10,1),2)-1)&gt;=1,39-(WEEKDAY(DATE(PlanYear,10,1),2)-1)&lt;=DAY(EOMONTH(DATE(PlanYear,10,1),0))),DATE(PlanYear,10,1)+39-WEEKDAY(DATE(PlanYear,10,1),2),"")</f>
        <v/>
      </c>
      <c r="E66" s="20">
        <f>IF(AND(40-(WEEKDAY(DATE(PlanYear,10,1),2)-1)&gt;=1,40-(WEEKDAY(DATE(PlanYear,10,1),2)-1)&lt;=DAY(EOMONTH(DATE(PlanYear,10,1),0))),DATE(PlanYear,10,1)+40-WEEKDAY(DATE(PlanYear,10,1),2),"")</f>
        <v/>
      </c>
      <c r="F66" s="20">
        <f>IF(AND(41-(WEEKDAY(DATE(PlanYear,10,1),2)-1)&gt;=1,41-(WEEKDAY(DATE(PlanYear,10,1),2)-1)&lt;=DAY(EOMONTH(DATE(PlanYear,10,1),0))),DATE(PlanYear,10,1)+41-WEEKDAY(DATE(PlanYear,10,1),2),"")</f>
        <v/>
      </c>
      <c r="G66" s="20">
        <f>IF(AND(42-(WEEKDAY(DATE(PlanYear,10,1),2)-1)&gt;=1,42-(WEEKDAY(DATE(PlanYear,10,1),2)-1)&lt;=DAY(EOMONTH(DATE(PlanYear,10,1),0))),DATE(PlanYear,10,1)+42-WEEKDAY(DATE(PlanYear,10,1),2),"")</f>
        <v/>
      </c>
      <c r="I66" s="20">
        <f>IF(AND(36-(WEEKDAY(DATE(PlanYear,11,1),2)-1)&gt;=1,36-(WEEKDAY(DATE(PlanYear,11,1),2)-1)&lt;=DAY(EOMONTH(DATE(PlanYear,11,1),0))),DATE(PlanYear,11,1)+36-WEEKDAY(DATE(PlanYear,11,1),2),"")</f>
        <v/>
      </c>
      <c r="J66" s="20">
        <f>IF(AND(37-(WEEKDAY(DATE(PlanYear,11,1),2)-1)&gt;=1,37-(WEEKDAY(DATE(PlanYear,11,1),2)-1)&lt;=DAY(EOMONTH(DATE(PlanYear,11,1),0))),DATE(PlanYear,11,1)+37-WEEKDAY(DATE(PlanYear,11,1),2),"")</f>
        <v/>
      </c>
      <c r="K66" s="20">
        <f>IF(AND(38-(WEEKDAY(DATE(PlanYear,11,1),2)-1)&gt;=1,38-(WEEKDAY(DATE(PlanYear,11,1),2)-1)&lt;=DAY(EOMONTH(DATE(PlanYear,11,1),0))),DATE(PlanYear,11,1)+38-WEEKDAY(DATE(PlanYear,11,1),2),"")</f>
        <v/>
      </c>
      <c r="L66" s="20">
        <f>IF(AND(39-(WEEKDAY(DATE(PlanYear,11,1),2)-1)&gt;=1,39-(WEEKDAY(DATE(PlanYear,11,1),2)-1)&lt;=DAY(EOMONTH(DATE(PlanYear,11,1),0))),DATE(PlanYear,11,1)+39-WEEKDAY(DATE(PlanYear,11,1),2),"")</f>
        <v/>
      </c>
      <c r="M66" s="20">
        <f>IF(AND(40-(WEEKDAY(DATE(PlanYear,11,1),2)-1)&gt;=1,40-(WEEKDAY(DATE(PlanYear,11,1),2)-1)&lt;=DAY(EOMONTH(DATE(PlanYear,11,1),0))),DATE(PlanYear,11,1)+40-WEEKDAY(DATE(PlanYear,11,1),2),"")</f>
        <v/>
      </c>
      <c r="N66" s="20">
        <f>IF(AND(41-(WEEKDAY(DATE(PlanYear,11,1),2)-1)&gt;=1,41-(WEEKDAY(DATE(PlanYear,11,1),2)-1)&lt;=DAY(EOMONTH(DATE(PlanYear,11,1),0))),DATE(PlanYear,11,1)+41-WEEKDAY(DATE(PlanYear,11,1),2),"")</f>
        <v/>
      </c>
      <c r="O66" s="20">
        <f>IF(AND(42-(WEEKDAY(DATE(PlanYear,11,1),2)-1)&gt;=1,42-(WEEKDAY(DATE(PlanYear,11,1),2)-1)&lt;=DAY(EOMONTH(DATE(PlanYear,11,1),0))),DATE(PlanYear,11,1)+42-WEEKDAY(DATE(PlanYear,11,1),2),"")</f>
        <v/>
      </c>
      <c r="Q66" s="20">
        <f>IF(AND(36-(WEEKDAY(DATE(PlanYear,12,1),2)-1)&gt;=1,36-(WEEKDAY(DATE(PlanYear,12,1),2)-1)&lt;=DAY(EOMONTH(DATE(PlanYear,12,1),0))),DATE(PlanYear,12,1)+36-WEEKDAY(DATE(PlanYear,12,1),2),"")</f>
        <v/>
      </c>
      <c r="R66" s="20">
        <f>IF(AND(37-(WEEKDAY(DATE(PlanYear,12,1),2)-1)&gt;=1,37-(WEEKDAY(DATE(PlanYear,12,1),2)-1)&lt;=DAY(EOMONTH(DATE(PlanYear,12,1),0))),DATE(PlanYear,12,1)+37-WEEKDAY(DATE(PlanYear,12,1),2),"")</f>
        <v/>
      </c>
      <c r="S66" s="20">
        <f>IF(AND(38-(WEEKDAY(DATE(PlanYear,12,1),2)-1)&gt;=1,38-(WEEKDAY(DATE(PlanYear,12,1),2)-1)&lt;=DAY(EOMONTH(DATE(PlanYear,12,1),0))),DATE(PlanYear,12,1)+38-WEEKDAY(DATE(PlanYear,12,1),2),"")</f>
        <v/>
      </c>
      <c r="T66" s="20">
        <f>IF(AND(39-(WEEKDAY(DATE(PlanYear,12,1),2)-1)&gt;=1,39-(WEEKDAY(DATE(PlanYear,12,1),2)-1)&lt;=DAY(EOMONTH(DATE(PlanYear,12,1),0))),DATE(PlanYear,12,1)+39-WEEKDAY(DATE(PlanYear,12,1),2),"")</f>
        <v/>
      </c>
      <c r="U66" s="20">
        <f>IF(AND(40-(WEEKDAY(DATE(PlanYear,12,1),2)-1)&gt;=1,40-(WEEKDAY(DATE(PlanYear,12,1),2)-1)&lt;=DAY(EOMONTH(DATE(PlanYear,12,1),0))),DATE(PlanYear,12,1)+40-WEEKDAY(DATE(PlanYear,12,1),2),"")</f>
        <v/>
      </c>
      <c r="V66" s="20">
        <f>IF(AND(41-(WEEKDAY(DATE(PlanYear,12,1),2)-1)&gt;=1,41-(WEEKDAY(DATE(PlanYear,12,1),2)-1)&lt;=DAY(EOMONTH(DATE(PlanYear,12,1),0))),DATE(PlanYear,12,1)+41-WEEKDAY(DATE(PlanYear,12,1),2),"")</f>
        <v/>
      </c>
      <c r="W66" s="20">
        <f>IF(AND(42-(WEEKDAY(DATE(PlanYear,12,1),2)-1)&gt;=1,42-(WEEKDAY(DATE(PlanYear,12,1),2)-1)&lt;=DAY(EOMONTH(DATE(PlanYear,12,1),0))),DATE(PlanYear,12,1)+42-WEEKDAY(DATE(PlanYear,12,1),2),"")</f>
        <v/>
      </c>
    </row>
    <row r="67" ht="24" customHeight="1">
      <c r="A67" s="21" t="n"/>
      <c r="B67" s="21" t="n"/>
      <c r="C67" s="21" t="n"/>
      <c r="D67" s="21" t="n"/>
      <c r="E67" s="21" t="n"/>
      <c r="F67" s="21" t="n"/>
      <c r="G67" s="21" t="n"/>
      <c r="I67" s="21" t="inlineStr">
        <is>
          <t>Pilot</t>
        </is>
      </c>
      <c r="J67" s="21" t="n"/>
      <c r="K67" s="21" t="n"/>
      <c r="L67" s="21" t="n"/>
      <c r="M67" s="21" t="n"/>
      <c r="N67" s="21" t="n"/>
      <c r="O67" s="21" t="n"/>
      <c r="Q67" s="21" t="n"/>
      <c r="R67" s="21" t="n"/>
      <c r="S67" s="21" t="n"/>
      <c r="T67" s="21" t="n"/>
      <c r="U67" s="21" t="n"/>
      <c r="V67" s="21" t="n"/>
      <c r="W67" s="21" t="n"/>
    </row>
    <row r="68" ht="10" customHeight="1"/>
    <row r="69" ht="10" customHeight="1"/>
    <row r="70" ht="20" customHeight="1">
      <c r="A70" s="13">
        <f>UPPER(TEXT(DATE(PlanYear,13,1),"mmmm yyyy"))&amp;"  ·  BDO"</f>
        <v/>
      </c>
      <c r="B70" s="14" t="n"/>
      <c r="C70" s="14" t="n"/>
      <c r="D70" s="14" t="n"/>
      <c r="E70" s="14" t="n"/>
      <c r="F70" s="14" t="n"/>
      <c r="G70" s="14" t="n"/>
    </row>
    <row r="71" ht="15" customHeight="1">
      <c r="A71" s="18" t="inlineStr">
        <is>
          <t>Mon</t>
        </is>
      </c>
      <c r="B71" s="18" t="inlineStr">
        <is>
          <t>Tue</t>
        </is>
      </c>
      <c r="C71" s="18" t="inlineStr">
        <is>
          <t>Wed</t>
        </is>
      </c>
      <c r="D71" s="18" t="inlineStr">
        <is>
          <t>Thu</t>
        </is>
      </c>
      <c r="E71" s="18" t="inlineStr">
        <is>
          <t>Fri</t>
        </is>
      </c>
      <c r="F71" s="19" t="inlineStr">
        <is>
          <t>Sat</t>
        </is>
      </c>
      <c r="G71" s="19" t="inlineStr">
        <is>
          <t>Sun</t>
        </is>
      </c>
    </row>
    <row r="72" ht="14" customHeight="1">
      <c r="A72" s="20">
        <f>IF(AND(1-(WEEKDAY(DATE(PlanYear,13,1),2)-1)&gt;=1,1-(WEEKDAY(DATE(PlanYear,13,1),2)-1)&lt;=DAY(EOMONTH(DATE(PlanYear,13,1),0))),DATE(PlanYear,13,1)+1-WEEKDAY(DATE(PlanYear,13,1),2),"")</f>
        <v/>
      </c>
      <c r="B72" s="20">
        <f>IF(AND(2-(WEEKDAY(DATE(PlanYear,13,1),2)-1)&gt;=1,2-(WEEKDAY(DATE(PlanYear,13,1),2)-1)&lt;=DAY(EOMONTH(DATE(PlanYear,13,1),0))),DATE(PlanYear,13,1)+2-WEEKDAY(DATE(PlanYear,13,1),2),"")</f>
        <v/>
      </c>
      <c r="C72" s="20">
        <f>IF(AND(3-(WEEKDAY(DATE(PlanYear,13,1),2)-1)&gt;=1,3-(WEEKDAY(DATE(PlanYear,13,1),2)-1)&lt;=DAY(EOMONTH(DATE(PlanYear,13,1),0))),DATE(PlanYear,13,1)+3-WEEKDAY(DATE(PlanYear,13,1),2),"")</f>
        <v/>
      </c>
      <c r="D72" s="20">
        <f>IF(AND(4-(WEEKDAY(DATE(PlanYear,13,1),2)-1)&gt;=1,4-(WEEKDAY(DATE(PlanYear,13,1),2)-1)&lt;=DAY(EOMONTH(DATE(PlanYear,13,1),0))),DATE(PlanYear,13,1)+4-WEEKDAY(DATE(PlanYear,13,1),2),"")</f>
        <v/>
      </c>
      <c r="E72" s="20">
        <f>IF(AND(5-(WEEKDAY(DATE(PlanYear,13,1),2)-1)&gt;=1,5-(WEEKDAY(DATE(PlanYear,13,1),2)-1)&lt;=DAY(EOMONTH(DATE(PlanYear,13,1),0))),DATE(PlanYear,13,1)+5-WEEKDAY(DATE(PlanYear,13,1),2),"")</f>
        <v/>
      </c>
      <c r="F72" s="20">
        <f>IF(AND(6-(WEEKDAY(DATE(PlanYear,13,1),2)-1)&gt;=1,6-(WEEKDAY(DATE(PlanYear,13,1),2)-1)&lt;=DAY(EOMONTH(DATE(PlanYear,13,1),0))),DATE(PlanYear,13,1)+6-WEEKDAY(DATE(PlanYear,13,1),2),"")</f>
        <v/>
      </c>
      <c r="G72" s="20">
        <f>IF(AND(7-(WEEKDAY(DATE(PlanYear,13,1),2)-1)&gt;=1,7-(WEEKDAY(DATE(PlanYear,13,1),2)-1)&lt;=DAY(EOMONTH(DATE(PlanYear,13,1),0))),DATE(PlanYear,13,1)+7-WEEKDAY(DATE(PlanYear,13,1),2),"")</f>
        <v/>
      </c>
    </row>
    <row r="73" ht="24" customHeight="1">
      <c r="A73" s="21" t="n"/>
      <c r="B73" s="21" t="n"/>
      <c r="C73" s="21" t="n"/>
      <c r="D73" s="21" t="n"/>
      <c r="E73" s="21" t="n"/>
      <c r="F73" s="21" t="n"/>
      <c r="G73" s="21" t="n"/>
    </row>
    <row r="74" ht="14" customHeight="1">
      <c r="A74" s="20">
        <f>IF(AND(8-(WEEKDAY(DATE(PlanYear,13,1),2)-1)&gt;=1,8-(WEEKDAY(DATE(PlanYear,13,1),2)-1)&lt;=DAY(EOMONTH(DATE(PlanYear,13,1),0))),DATE(PlanYear,13,1)+8-WEEKDAY(DATE(PlanYear,13,1),2),"")</f>
        <v/>
      </c>
      <c r="B74" s="20">
        <f>IF(AND(9-(WEEKDAY(DATE(PlanYear,13,1),2)-1)&gt;=1,9-(WEEKDAY(DATE(PlanYear,13,1),2)-1)&lt;=DAY(EOMONTH(DATE(PlanYear,13,1),0))),DATE(PlanYear,13,1)+9-WEEKDAY(DATE(PlanYear,13,1),2),"")</f>
        <v/>
      </c>
      <c r="C74" s="20">
        <f>IF(AND(10-(WEEKDAY(DATE(PlanYear,13,1),2)-1)&gt;=1,10-(WEEKDAY(DATE(PlanYear,13,1),2)-1)&lt;=DAY(EOMONTH(DATE(PlanYear,13,1),0))),DATE(PlanYear,13,1)+10-WEEKDAY(DATE(PlanYear,13,1),2),"")</f>
        <v/>
      </c>
      <c r="D74" s="20">
        <f>IF(AND(11-(WEEKDAY(DATE(PlanYear,13,1),2)-1)&gt;=1,11-(WEEKDAY(DATE(PlanYear,13,1),2)-1)&lt;=DAY(EOMONTH(DATE(PlanYear,13,1),0))),DATE(PlanYear,13,1)+11-WEEKDAY(DATE(PlanYear,13,1),2),"")</f>
        <v/>
      </c>
      <c r="E74" s="20">
        <f>IF(AND(12-(WEEKDAY(DATE(PlanYear,13,1),2)-1)&gt;=1,12-(WEEKDAY(DATE(PlanYear,13,1),2)-1)&lt;=DAY(EOMONTH(DATE(PlanYear,13,1),0))),DATE(PlanYear,13,1)+12-WEEKDAY(DATE(PlanYear,13,1),2),"")</f>
        <v/>
      </c>
      <c r="F74" s="20">
        <f>IF(AND(13-(WEEKDAY(DATE(PlanYear,13,1),2)-1)&gt;=1,13-(WEEKDAY(DATE(PlanYear,13,1),2)-1)&lt;=DAY(EOMONTH(DATE(PlanYear,13,1),0))),DATE(PlanYear,13,1)+13-WEEKDAY(DATE(PlanYear,13,1),2),"")</f>
        <v/>
      </c>
      <c r="G74" s="20">
        <f>IF(AND(14-(WEEKDAY(DATE(PlanYear,13,1),2)-1)&gt;=1,14-(WEEKDAY(DATE(PlanYear,13,1),2)-1)&lt;=DAY(EOMONTH(DATE(PlanYear,13,1),0))),DATE(PlanYear,13,1)+14-WEEKDAY(DATE(PlanYear,13,1),2),"")</f>
        <v/>
      </c>
    </row>
    <row r="75" ht="24" customHeight="1">
      <c r="A75" s="21" t="n"/>
      <c r="B75" s="21" t="n"/>
      <c r="C75" s="21" t="n"/>
      <c r="D75" s="21" t="n"/>
      <c r="E75" s="21" t="n"/>
      <c r="F75" s="21" t="n"/>
      <c r="G75" s="21" t="n"/>
    </row>
    <row r="76" ht="14" customHeight="1">
      <c r="A76" s="20">
        <f>IF(AND(15-(WEEKDAY(DATE(PlanYear,13,1),2)-1)&gt;=1,15-(WEEKDAY(DATE(PlanYear,13,1),2)-1)&lt;=DAY(EOMONTH(DATE(PlanYear,13,1),0))),DATE(PlanYear,13,1)+15-WEEKDAY(DATE(PlanYear,13,1),2),"")</f>
        <v/>
      </c>
      <c r="B76" s="20">
        <f>IF(AND(16-(WEEKDAY(DATE(PlanYear,13,1),2)-1)&gt;=1,16-(WEEKDAY(DATE(PlanYear,13,1),2)-1)&lt;=DAY(EOMONTH(DATE(PlanYear,13,1),0))),DATE(PlanYear,13,1)+16-WEEKDAY(DATE(PlanYear,13,1),2),"")</f>
        <v/>
      </c>
      <c r="C76" s="20">
        <f>IF(AND(17-(WEEKDAY(DATE(PlanYear,13,1),2)-1)&gt;=1,17-(WEEKDAY(DATE(PlanYear,13,1),2)-1)&lt;=DAY(EOMONTH(DATE(PlanYear,13,1),0))),DATE(PlanYear,13,1)+17-WEEKDAY(DATE(PlanYear,13,1),2),"")</f>
        <v/>
      </c>
      <c r="D76" s="20">
        <f>IF(AND(18-(WEEKDAY(DATE(PlanYear,13,1),2)-1)&gt;=1,18-(WEEKDAY(DATE(PlanYear,13,1),2)-1)&lt;=DAY(EOMONTH(DATE(PlanYear,13,1),0))),DATE(PlanYear,13,1)+18-WEEKDAY(DATE(PlanYear,13,1),2),"")</f>
        <v/>
      </c>
      <c r="E76" s="20">
        <f>IF(AND(19-(WEEKDAY(DATE(PlanYear,13,1),2)-1)&gt;=1,19-(WEEKDAY(DATE(PlanYear,13,1),2)-1)&lt;=DAY(EOMONTH(DATE(PlanYear,13,1),0))),DATE(PlanYear,13,1)+19-WEEKDAY(DATE(PlanYear,13,1),2),"")</f>
        <v/>
      </c>
      <c r="F76" s="20">
        <f>IF(AND(20-(WEEKDAY(DATE(PlanYear,13,1),2)-1)&gt;=1,20-(WEEKDAY(DATE(PlanYear,13,1),2)-1)&lt;=DAY(EOMONTH(DATE(PlanYear,13,1),0))),DATE(PlanYear,13,1)+20-WEEKDAY(DATE(PlanYear,13,1),2),"")</f>
        <v/>
      </c>
      <c r="G76" s="20">
        <f>IF(AND(21-(WEEKDAY(DATE(PlanYear,13,1),2)-1)&gt;=1,21-(WEEKDAY(DATE(PlanYear,13,1),2)-1)&lt;=DAY(EOMONTH(DATE(PlanYear,13,1),0))),DATE(PlanYear,13,1)+21-WEEKDAY(DATE(PlanYear,13,1),2),"")</f>
        <v/>
      </c>
    </row>
    <row r="77" ht="24" customHeight="1">
      <c r="A77" s="21" t="n"/>
      <c r="B77" s="21" t="n"/>
      <c r="C77" s="21" t="n"/>
      <c r="D77" s="21" t="n"/>
      <c r="E77" s="21" t="n"/>
      <c r="F77" s="21" t="n"/>
      <c r="G77" s="21" t="n"/>
    </row>
    <row r="78" ht="14" customHeight="1">
      <c r="A78" s="20">
        <f>IF(AND(22-(WEEKDAY(DATE(PlanYear,13,1),2)-1)&gt;=1,22-(WEEKDAY(DATE(PlanYear,13,1),2)-1)&lt;=DAY(EOMONTH(DATE(PlanYear,13,1),0))),DATE(PlanYear,13,1)+22-WEEKDAY(DATE(PlanYear,13,1),2),"")</f>
        <v/>
      </c>
      <c r="B78" s="20">
        <f>IF(AND(23-(WEEKDAY(DATE(PlanYear,13,1),2)-1)&gt;=1,23-(WEEKDAY(DATE(PlanYear,13,1),2)-1)&lt;=DAY(EOMONTH(DATE(PlanYear,13,1),0))),DATE(PlanYear,13,1)+23-WEEKDAY(DATE(PlanYear,13,1),2),"")</f>
        <v/>
      </c>
      <c r="C78" s="20">
        <f>IF(AND(24-(WEEKDAY(DATE(PlanYear,13,1),2)-1)&gt;=1,24-(WEEKDAY(DATE(PlanYear,13,1),2)-1)&lt;=DAY(EOMONTH(DATE(PlanYear,13,1),0))),DATE(PlanYear,13,1)+24-WEEKDAY(DATE(PlanYear,13,1),2),"")</f>
        <v/>
      </c>
      <c r="D78" s="20">
        <f>IF(AND(25-(WEEKDAY(DATE(PlanYear,13,1),2)-1)&gt;=1,25-(WEEKDAY(DATE(PlanYear,13,1),2)-1)&lt;=DAY(EOMONTH(DATE(PlanYear,13,1),0))),DATE(PlanYear,13,1)+25-WEEKDAY(DATE(PlanYear,13,1),2),"")</f>
        <v/>
      </c>
      <c r="E78" s="20">
        <f>IF(AND(26-(WEEKDAY(DATE(PlanYear,13,1),2)-1)&gt;=1,26-(WEEKDAY(DATE(PlanYear,13,1),2)-1)&lt;=DAY(EOMONTH(DATE(PlanYear,13,1),0))),DATE(PlanYear,13,1)+26-WEEKDAY(DATE(PlanYear,13,1),2),"")</f>
        <v/>
      </c>
      <c r="F78" s="20">
        <f>IF(AND(27-(WEEKDAY(DATE(PlanYear,13,1),2)-1)&gt;=1,27-(WEEKDAY(DATE(PlanYear,13,1),2)-1)&lt;=DAY(EOMONTH(DATE(PlanYear,13,1),0))),DATE(PlanYear,13,1)+27-WEEKDAY(DATE(PlanYear,13,1),2),"")</f>
        <v/>
      </c>
      <c r="G78" s="20">
        <f>IF(AND(28-(WEEKDAY(DATE(PlanYear,13,1),2)-1)&gt;=1,28-(WEEKDAY(DATE(PlanYear,13,1),2)-1)&lt;=DAY(EOMONTH(DATE(PlanYear,13,1),0))),DATE(PlanYear,13,1)+28-WEEKDAY(DATE(PlanYear,13,1),2),"")</f>
        <v/>
      </c>
    </row>
    <row r="79" ht="24" customHeight="1">
      <c r="A79" s="21" t="n"/>
      <c r="B79" s="21" t="n"/>
      <c r="C79" s="21" t="n"/>
      <c r="D79" s="21" t="n"/>
      <c r="E79" s="21" t="n"/>
      <c r="F79" s="21" t="n"/>
      <c r="G79" s="21" t="n"/>
    </row>
    <row r="80" ht="14" customHeight="1">
      <c r="A80" s="20">
        <f>IF(AND(29-(WEEKDAY(DATE(PlanYear,13,1),2)-1)&gt;=1,29-(WEEKDAY(DATE(PlanYear,13,1),2)-1)&lt;=DAY(EOMONTH(DATE(PlanYear,13,1),0))),DATE(PlanYear,13,1)+29-WEEKDAY(DATE(PlanYear,13,1),2),"")</f>
        <v/>
      </c>
      <c r="B80" s="20">
        <f>IF(AND(30-(WEEKDAY(DATE(PlanYear,13,1),2)-1)&gt;=1,30-(WEEKDAY(DATE(PlanYear,13,1),2)-1)&lt;=DAY(EOMONTH(DATE(PlanYear,13,1),0))),DATE(PlanYear,13,1)+30-WEEKDAY(DATE(PlanYear,13,1),2),"")</f>
        <v/>
      </c>
      <c r="C80" s="20">
        <f>IF(AND(31-(WEEKDAY(DATE(PlanYear,13,1),2)-1)&gt;=1,31-(WEEKDAY(DATE(PlanYear,13,1),2)-1)&lt;=DAY(EOMONTH(DATE(PlanYear,13,1),0))),DATE(PlanYear,13,1)+31-WEEKDAY(DATE(PlanYear,13,1),2),"")</f>
        <v/>
      </c>
      <c r="D80" s="20">
        <f>IF(AND(32-(WEEKDAY(DATE(PlanYear,13,1),2)-1)&gt;=1,32-(WEEKDAY(DATE(PlanYear,13,1),2)-1)&lt;=DAY(EOMONTH(DATE(PlanYear,13,1),0))),DATE(PlanYear,13,1)+32-WEEKDAY(DATE(PlanYear,13,1),2),"")</f>
        <v/>
      </c>
      <c r="E80" s="20">
        <f>IF(AND(33-(WEEKDAY(DATE(PlanYear,13,1),2)-1)&gt;=1,33-(WEEKDAY(DATE(PlanYear,13,1),2)-1)&lt;=DAY(EOMONTH(DATE(PlanYear,13,1),0))),DATE(PlanYear,13,1)+33-WEEKDAY(DATE(PlanYear,13,1),2),"")</f>
        <v/>
      </c>
      <c r="F80" s="20">
        <f>IF(AND(34-(WEEKDAY(DATE(PlanYear,13,1),2)-1)&gt;=1,34-(WEEKDAY(DATE(PlanYear,13,1),2)-1)&lt;=DAY(EOMONTH(DATE(PlanYear,13,1),0))),DATE(PlanYear,13,1)+34-WEEKDAY(DATE(PlanYear,13,1),2),"")</f>
        <v/>
      </c>
      <c r="G80" s="20">
        <f>IF(AND(35-(WEEKDAY(DATE(PlanYear,13,1),2)-1)&gt;=1,35-(WEEKDAY(DATE(PlanYear,13,1),2)-1)&lt;=DAY(EOMONTH(DATE(PlanYear,13,1),0))),DATE(PlanYear,13,1)+35-WEEKDAY(DATE(PlanYear,13,1),2),"")</f>
        <v/>
      </c>
    </row>
    <row r="81" ht="24" customHeight="1">
      <c r="A81" s="21" t="n"/>
      <c r="B81" s="21" t="n"/>
      <c r="C81" s="21" t="n"/>
      <c r="D81" s="21" t="n"/>
      <c r="E81" s="21" t="n"/>
      <c r="F81" s="21" t="n"/>
      <c r="G81" s="21" t="n"/>
    </row>
    <row r="82" ht="14" customHeight="1">
      <c r="A82" s="20">
        <f>IF(AND(36-(WEEKDAY(DATE(PlanYear,13,1),2)-1)&gt;=1,36-(WEEKDAY(DATE(PlanYear,13,1),2)-1)&lt;=DAY(EOMONTH(DATE(PlanYear,13,1),0))),DATE(PlanYear,13,1)+36-WEEKDAY(DATE(PlanYear,13,1),2),"")</f>
        <v/>
      </c>
      <c r="B82" s="20">
        <f>IF(AND(37-(WEEKDAY(DATE(PlanYear,13,1),2)-1)&gt;=1,37-(WEEKDAY(DATE(PlanYear,13,1),2)-1)&lt;=DAY(EOMONTH(DATE(PlanYear,13,1),0))),DATE(PlanYear,13,1)+37-WEEKDAY(DATE(PlanYear,13,1),2),"")</f>
        <v/>
      </c>
      <c r="C82" s="20">
        <f>IF(AND(38-(WEEKDAY(DATE(PlanYear,13,1),2)-1)&gt;=1,38-(WEEKDAY(DATE(PlanYear,13,1),2)-1)&lt;=DAY(EOMONTH(DATE(PlanYear,13,1),0))),DATE(PlanYear,13,1)+38-WEEKDAY(DATE(PlanYear,13,1),2),"")</f>
        <v/>
      </c>
      <c r="D82" s="20">
        <f>IF(AND(39-(WEEKDAY(DATE(PlanYear,13,1),2)-1)&gt;=1,39-(WEEKDAY(DATE(PlanYear,13,1),2)-1)&lt;=DAY(EOMONTH(DATE(PlanYear,13,1),0))),DATE(PlanYear,13,1)+39-WEEKDAY(DATE(PlanYear,13,1),2),"")</f>
        <v/>
      </c>
      <c r="E82" s="20">
        <f>IF(AND(40-(WEEKDAY(DATE(PlanYear,13,1),2)-1)&gt;=1,40-(WEEKDAY(DATE(PlanYear,13,1),2)-1)&lt;=DAY(EOMONTH(DATE(PlanYear,13,1),0))),DATE(PlanYear,13,1)+40-WEEKDAY(DATE(PlanYear,13,1),2),"")</f>
        <v/>
      </c>
      <c r="F82" s="20">
        <f>IF(AND(41-(WEEKDAY(DATE(PlanYear,13,1),2)-1)&gt;=1,41-(WEEKDAY(DATE(PlanYear,13,1),2)-1)&lt;=DAY(EOMONTH(DATE(PlanYear,13,1),0))),DATE(PlanYear,13,1)+41-WEEKDAY(DATE(PlanYear,13,1),2),"")</f>
        <v/>
      </c>
      <c r="G82" s="20">
        <f>IF(AND(42-(WEEKDAY(DATE(PlanYear,13,1),2)-1)&gt;=1,42-(WEEKDAY(DATE(PlanYear,13,1),2)-1)&lt;=DAY(EOMONTH(DATE(PlanYear,13,1),0))),DATE(PlanYear,13,1)+42-WEEKDAY(DATE(PlanYear,13,1),2),"")</f>
        <v/>
      </c>
    </row>
    <row r="83" ht="24" customHeight="1">
      <c r="A83" s="21" t="n"/>
      <c r="B83" s="21" t="n"/>
      <c r="C83" s="21" t="n"/>
      <c r="D83" s="21" t="n"/>
      <c r="E83" s="21" t="n"/>
      <c r="F83" s="21" t="n"/>
      <c r="G83" s="21" t="n"/>
    </row>
    <row r="84" ht="10" customHeight="1"/>
    <row r="85" ht="10" customHeight="1"/>
  </sheetData>
  <mergeCells count="18">
    <mergeCell ref="A4:B4"/>
    <mergeCell ref="Q22:W22"/>
    <mergeCell ref="A1:AJ1"/>
    <mergeCell ref="I22:O22"/>
    <mergeCell ref="A70:G70"/>
    <mergeCell ref="A6:G6"/>
    <mergeCell ref="A22:G22"/>
    <mergeCell ref="Q54:W54"/>
    <mergeCell ref="A38:G38"/>
    <mergeCell ref="A54:G54"/>
    <mergeCell ref="A2:AJ2"/>
    <mergeCell ref="I6:O6"/>
    <mergeCell ref="I38:O38"/>
    <mergeCell ref="I54:O54"/>
    <mergeCell ref="Z4:AK4"/>
    <mergeCell ref="Q6:W6"/>
    <mergeCell ref="Q38:W38"/>
    <mergeCell ref="C4:D4"/>
  </mergeCells>
  <conditionalFormatting sqref="A8:G9">
    <cfRule type="expression" priority="1" dxfId="0" stopIfTrue="1">
      <formula>A$8=""</formula>
    </cfRule>
  </conditionalFormatting>
  <conditionalFormatting sqref="A9:G9">
    <cfRule type="expression" priority="2" dxfId="1" stopIfTrue="1">
      <formula>AND($C$4&lt;&gt;"",A9=$C$4)</formula>
    </cfRule>
    <cfRule type="expression" priority="3" dxfId="2" stopIfTrue="1">
      <formula>AND(A9&lt;&gt;"",A9=Departments!$A$6)</formula>
    </cfRule>
    <cfRule type="expression" priority="4" dxfId="3" stopIfTrue="1">
      <formula>AND(A9&lt;&gt;"",A9=Departments!$A$7)</formula>
    </cfRule>
    <cfRule type="expression" priority="5" dxfId="4" stopIfTrue="1">
      <formula>AND(A9&lt;&gt;"",A9=Departments!$A$8)</formula>
    </cfRule>
    <cfRule type="expression" priority="6" dxfId="5" stopIfTrue="1">
      <formula>AND(A9&lt;&gt;"",A9=Departments!$A$9)</formula>
    </cfRule>
    <cfRule type="expression" priority="7" dxfId="6" stopIfTrue="1">
      <formula>AND(A9&lt;&gt;"",A9=Departments!$A$10)</formula>
    </cfRule>
    <cfRule type="expression" priority="8" dxfId="7" stopIfTrue="1">
      <formula>AND(A9&lt;&gt;"",A9=Departments!$A$11)</formula>
    </cfRule>
    <cfRule type="expression" priority="9" dxfId="8" stopIfTrue="1">
      <formula>AND(A9&lt;&gt;"",A9=Departments!$A$12)</formula>
    </cfRule>
    <cfRule type="expression" priority="10" dxfId="9" stopIfTrue="1">
      <formula>AND(A9&lt;&gt;"",A9=Departments!$A$13)</formula>
    </cfRule>
  </conditionalFormatting>
  <conditionalFormatting sqref="A10:G11">
    <cfRule type="expression" priority="11" dxfId="0" stopIfTrue="1">
      <formula>A$10=""</formula>
    </cfRule>
  </conditionalFormatting>
  <conditionalFormatting sqref="A11:G11">
    <cfRule type="expression" priority="12" dxfId="1" stopIfTrue="1">
      <formula>AND($C$4&lt;&gt;"",A11=$C$4)</formula>
    </cfRule>
    <cfRule type="expression" priority="13" dxfId="2" stopIfTrue="1">
      <formula>AND(A11&lt;&gt;"",A11=Departments!$A$6)</formula>
    </cfRule>
    <cfRule type="expression" priority="14" dxfId="3" stopIfTrue="1">
      <formula>AND(A11&lt;&gt;"",A11=Departments!$A$7)</formula>
    </cfRule>
    <cfRule type="expression" priority="15" dxfId="4" stopIfTrue="1">
      <formula>AND(A11&lt;&gt;"",A11=Departments!$A$8)</formula>
    </cfRule>
    <cfRule type="expression" priority="16" dxfId="5" stopIfTrue="1">
      <formula>AND(A11&lt;&gt;"",A11=Departments!$A$9)</formula>
    </cfRule>
    <cfRule type="expression" priority="17" dxfId="6" stopIfTrue="1">
      <formula>AND(A11&lt;&gt;"",A11=Departments!$A$10)</formula>
    </cfRule>
    <cfRule type="expression" priority="18" dxfId="7" stopIfTrue="1">
      <formula>AND(A11&lt;&gt;"",A11=Departments!$A$11)</formula>
    </cfRule>
    <cfRule type="expression" priority="19" dxfId="8" stopIfTrue="1">
      <formula>AND(A11&lt;&gt;"",A11=Departments!$A$12)</formula>
    </cfRule>
    <cfRule type="expression" priority="20" dxfId="9" stopIfTrue="1">
      <formula>AND(A11&lt;&gt;"",A11=Departments!$A$13)</formula>
    </cfRule>
  </conditionalFormatting>
  <conditionalFormatting sqref="A12:G13">
    <cfRule type="expression" priority="21" dxfId="0" stopIfTrue="1">
      <formula>A$12=""</formula>
    </cfRule>
  </conditionalFormatting>
  <conditionalFormatting sqref="A13:G13">
    <cfRule type="expression" priority="22" dxfId="1" stopIfTrue="1">
      <formula>AND($C$4&lt;&gt;"",A13=$C$4)</formula>
    </cfRule>
    <cfRule type="expression" priority="23" dxfId="2" stopIfTrue="1">
      <formula>AND(A13&lt;&gt;"",A13=Departments!$A$6)</formula>
    </cfRule>
    <cfRule type="expression" priority="24" dxfId="3" stopIfTrue="1">
      <formula>AND(A13&lt;&gt;"",A13=Departments!$A$7)</formula>
    </cfRule>
    <cfRule type="expression" priority="25" dxfId="4" stopIfTrue="1">
      <formula>AND(A13&lt;&gt;"",A13=Departments!$A$8)</formula>
    </cfRule>
    <cfRule type="expression" priority="26" dxfId="5" stopIfTrue="1">
      <formula>AND(A13&lt;&gt;"",A13=Departments!$A$9)</formula>
    </cfRule>
    <cfRule type="expression" priority="27" dxfId="6" stopIfTrue="1">
      <formula>AND(A13&lt;&gt;"",A13=Departments!$A$10)</formula>
    </cfRule>
    <cfRule type="expression" priority="28" dxfId="7" stopIfTrue="1">
      <formula>AND(A13&lt;&gt;"",A13=Departments!$A$11)</formula>
    </cfRule>
    <cfRule type="expression" priority="29" dxfId="8" stopIfTrue="1">
      <formula>AND(A13&lt;&gt;"",A13=Departments!$A$12)</formula>
    </cfRule>
    <cfRule type="expression" priority="30" dxfId="9" stopIfTrue="1">
      <formula>AND(A13&lt;&gt;"",A13=Departments!$A$13)</formula>
    </cfRule>
  </conditionalFormatting>
  <conditionalFormatting sqref="A14:G15">
    <cfRule type="expression" priority="31" dxfId="0" stopIfTrue="1">
      <formula>A$14=""</formula>
    </cfRule>
  </conditionalFormatting>
  <conditionalFormatting sqref="A15:G15">
    <cfRule type="expression" priority="32" dxfId="1" stopIfTrue="1">
      <formula>AND($C$4&lt;&gt;"",A15=$C$4)</formula>
    </cfRule>
    <cfRule type="expression" priority="33" dxfId="2" stopIfTrue="1">
      <formula>AND(A15&lt;&gt;"",A15=Departments!$A$6)</formula>
    </cfRule>
    <cfRule type="expression" priority="34" dxfId="3" stopIfTrue="1">
      <formula>AND(A15&lt;&gt;"",A15=Departments!$A$7)</formula>
    </cfRule>
    <cfRule type="expression" priority="35" dxfId="4" stopIfTrue="1">
      <formula>AND(A15&lt;&gt;"",A15=Departments!$A$8)</formula>
    </cfRule>
    <cfRule type="expression" priority="36" dxfId="5" stopIfTrue="1">
      <formula>AND(A15&lt;&gt;"",A15=Departments!$A$9)</formula>
    </cfRule>
    <cfRule type="expression" priority="37" dxfId="6" stopIfTrue="1">
      <formula>AND(A15&lt;&gt;"",A15=Departments!$A$10)</formula>
    </cfRule>
    <cfRule type="expression" priority="38" dxfId="7" stopIfTrue="1">
      <formula>AND(A15&lt;&gt;"",A15=Departments!$A$11)</formula>
    </cfRule>
    <cfRule type="expression" priority="39" dxfId="8" stopIfTrue="1">
      <formula>AND(A15&lt;&gt;"",A15=Departments!$A$12)</formula>
    </cfRule>
    <cfRule type="expression" priority="40" dxfId="9" stopIfTrue="1">
      <formula>AND(A15&lt;&gt;"",A15=Departments!$A$13)</formula>
    </cfRule>
  </conditionalFormatting>
  <conditionalFormatting sqref="A16:G17">
    <cfRule type="expression" priority="41" dxfId="0" stopIfTrue="1">
      <formula>A$16=""</formula>
    </cfRule>
  </conditionalFormatting>
  <conditionalFormatting sqref="A17:G17">
    <cfRule type="expression" priority="42" dxfId="1" stopIfTrue="1">
      <formula>AND($C$4&lt;&gt;"",A17=$C$4)</formula>
    </cfRule>
    <cfRule type="expression" priority="43" dxfId="2" stopIfTrue="1">
      <formula>AND(A17&lt;&gt;"",A17=Departments!$A$6)</formula>
    </cfRule>
    <cfRule type="expression" priority="44" dxfId="3" stopIfTrue="1">
      <formula>AND(A17&lt;&gt;"",A17=Departments!$A$7)</formula>
    </cfRule>
    <cfRule type="expression" priority="45" dxfId="4" stopIfTrue="1">
      <formula>AND(A17&lt;&gt;"",A17=Departments!$A$8)</formula>
    </cfRule>
    <cfRule type="expression" priority="46" dxfId="5" stopIfTrue="1">
      <formula>AND(A17&lt;&gt;"",A17=Departments!$A$9)</formula>
    </cfRule>
    <cfRule type="expression" priority="47" dxfId="6" stopIfTrue="1">
      <formula>AND(A17&lt;&gt;"",A17=Departments!$A$10)</formula>
    </cfRule>
    <cfRule type="expression" priority="48" dxfId="7" stopIfTrue="1">
      <formula>AND(A17&lt;&gt;"",A17=Departments!$A$11)</formula>
    </cfRule>
    <cfRule type="expression" priority="49" dxfId="8" stopIfTrue="1">
      <formula>AND(A17&lt;&gt;"",A17=Departments!$A$12)</formula>
    </cfRule>
    <cfRule type="expression" priority="50" dxfId="9" stopIfTrue="1">
      <formula>AND(A17&lt;&gt;"",A17=Departments!$A$13)</formula>
    </cfRule>
  </conditionalFormatting>
  <conditionalFormatting sqref="A18:G19">
    <cfRule type="expression" priority="51" dxfId="0" stopIfTrue="1">
      <formula>A$18=""</formula>
    </cfRule>
  </conditionalFormatting>
  <conditionalFormatting sqref="A19:G19">
    <cfRule type="expression" priority="52" dxfId="1" stopIfTrue="1">
      <formula>AND($C$4&lt;&gt;"",A19=$C$4)</formula>
    </cfRule>
    <cfRule type="expression" priority="53" dxfId="2" stopIfTrue="1">
      <formula>AND(A19&lt;&gt;"",A19=Departments!$A$6)</formula>
    </cfRule>
    <cfRule type="expression" priority="54" dxfId="3" stopIfTrue="1">
      <formula>AND(A19&lt;&gt;"",A19=Departments!$A$7)</formula>
    </cfRule>
    <cfRule type="expression" priority="55" dxfId="4" stopIfTrue="1">
      <formula>AND(A19&lt;&gt;"",A19=Departments!$A$8)</formula>
    </cfRule>
    <cfRule type="expression" priority="56" dxfId="5" stopIfTrue="1">
      <formula>AND(A19&lt;&gt;"",A19=Departments!$A$9)</formula>
    </cfRule>
    <cfRule type="expression" priority="57" dxfId="6" stopIfTrue="1">
      <formula>AND(A19&lt;&gt;"",A19=Departments!$A$10)</formula>
    </cfRule>
    <cfRule type="expression" priority="58" dxfId="7" stopIfTrue="1">
      <formula>AND(A19&lt;&gt;"",A19=Departments!$A$11)</formula>
    </cfRule>
    <cfRule type="expression" priority="59" dxfId="8" stopIfTrue="1">
      <formula>AND(A19&lt;&gt;"",A19=Departments!$A$12)</formula>
    </cfRule>
    <cfRule type="expression" priority="60" dxfId="9" stopIfTrue="1">
      <formula>AND(A19&lt;&gt;"",A19=Departments!$A$13)</formula>
    </cfRule>
  </conditionalFormatting>
  <conditionalFormatting sqref="I8:O9">
    <cfRule type="expression" priority="61" dxfId="0" stopIfTrue="1">
      <formula>I$8=""</formula>
    </cfRule>
  </conditionalFormatting>
  <conditionalFormatting sqref="I9:O9">
    <cfRule type="expression" priority="62" dxfId="1" stopIfTrue="1">
      <formula>AND($C$4&lt;&gt;"",I9=$C$4)</formula>
    </cfRule>
    <cfRule type="expression" priority="63" dxfId="2" stopIfTrue="1">
      <formula>AND(I9&lt;&gt;"",I9=Departments!$A$6)</formula>
    </cfRule>
    <cfRule type="expression" priority="64" dxfId="3" stopIfTrue="1">
      <formula>AND(I9&lt;&gt;"",I9=Departments!$A$7)</formula>
    </cfRule>
    <cfRule type="expression" priority="65" dxfId="4" stopIfTrue="1">
      <formula>AND(I9&lt;&gt;"",I9=Departments!$A$8)</formula>
    </cfRule>
    <cfRule type="expression" priority="66" dxfId="5" stopIfTrue="1">
      <formula>AND(I9&lt;&gt;"",I9=Departments!$A$9)</formula>
    </cfRule>
    <cfRule type="expression" priority="67" dxfId="6" stopIfTrue="1">
      <formula>AND(I9&lt;&gt;"",I9=Departments!$A$10)</formula>
    </cfRule>
    <cfRule type="expression" priority="68" dxfId="7" stopIfTrue="1">
      <formula>AND(I9&lt;&gt;"",I9=Departments!$A$11)</formula>
    </cfRule>
    <cfRule type="expression" priority="69" dxfId="8" stopIfTrue="1">
      <formula>AND(I9&lt;&gt;"",I9=Departments!$A$12)</formula>
    </cfRule>
    <cfRule type="expression" priority="70" dxfId="9" stopIfTrue="1">
      <formula>AND(I9&lt;&gt;"",I9=Departments!$A$13)</formula>
    </cfRule>
  </conditionalFormatting>
  <conditionalFormatting sqref="I10:O11">
    <cfRule type="expression" priority="71" dxfId="0" stopIfTrue="1">
      <formula>I$10=""</formula>
    </cfRule>
  </conditionalFormatting>
  <conditionalFormatting sqref="I11:O11">
    <cfRule type="expression" priority="72" dxfId="1" stopIfTrue="1">
      <formula>AND($C$4&lt;&gt;"",I11=$C$4)</formula>
    </cfRule>
    <cfRule type="expression" priority="73" dxfId="2" stopIfTrue="1">
      <formula>AND(I11&lt;&gt;"",I11=Departments!$A$6)</formula>
    </cfRule>
    <cfRule type="expression" priority="74" dxfId="3" stopIfTrue="1">
      <formula>AND(I11&lt;&gt;"",I11=Departments!$A$7)</formula>
    </cfRule>
    <cfRule type="expression" priority="75" dxfId="4" stopIfTrue="1">
      <formula>AND(I11&lt;&gt;"",I11=Departments!$A$8)</formula>
    </cfRule>
    <cfRule type="expression" priority="76" dxfId="5" stopIfTrue="1">
      <formula>AND(I11&lt;&gt;"",I11=Departments!$A$9)</formula>
    </cfRule>
    <cfRule type="expression" priority="77" dxfId="6" stopIfTrue="1">
      <formula>AND(I11&lt;&gt;"",I11=Departments!$A$10)</formula>
    </cfRule>
    <cfRule type="expression" priority="78" dxfId="7" stopIfTrue="1">
      <formula>AND(I11&lt;&gt;"",I11=Departments!$A$11)</formula>
    </cfRule>
    <cfRule type="expression" priority="79" dxfId="8" stopIfTrue="1">
      <formula>AND(I11&lt;&gt;"",I11=Departments!$A$12)</formula>
    </cfRule>
    <cfRule type="expression" priority="80" dxfId="9" stopIfTrue="1">
      <formula>AND(I11&lt;&gt;"",I11=Departments!$A$13)</formula>
    </cfRule>
  </conditionalFormatting>
  <conditionalFormatting sqref="I12:O13">
    <cfRule type="expression" priority="81" dxfId="0" stopIfTrue="1">
      <formula>I$12=""</formula>
    </cfRule>
  </conditionalFormatting>
  <conditionalFormatting sqref="I13:O13">
    <cfRule type="expression" priority="82" dxfId="1" stopIfTrue="1">
      <formula>AND($C$4&lt;&gt;"",I13=$C$4)</formula>
    </cfRule>
    <cfRule type="expression" priority="83" dxfId="2" stopIfTrue="1">
      <formula>AND(I13&lt;&gt;"",I13=Departments!$A$6)</formula>
    </cfRule>
    <cfRule type="expression" priority="84" dxfId="3" stopIfTrue="1">
      <formula>AND(I13&lt;&gt;"",I13=Departments!$A$7)</formula>
    </cfRule>
    <cfRule type="expression" priority="85" dxfId="4" stopIfTrue="1">
      <formula>AND(I13&lt;&gt;"",I13=Departments!$A$8)</formula>
    </cfRule>
    <cfRule type="expression" priority="86" dxfId="5" stopIfTrue="1">
      <formula>AND(I13&lt;&gt;"",I13=Departments!$A$9)</formula>
    </cfRule>
    <cfRule type="expression" priority="87" dxfId="6" stopIfTrue="1">
      <formula>AND(I13&lt;&gt;"",I13=Departments!$A$10)</formula>
    </cfRule>
    <cfRule type="expression" priority="88" dxfId="7" stopIfTrue="1">
      <formula>AND(I13&lt;&gt;"",I13=Departments!$A$11)</formula>
    </cfRule>
    <cfRule type="expression" priority="89" dxfId="8" stopIfTrue="1">
      <formula>AND(I13&lt;&gt;"",I13=Departments!$A$12)</formula>
    </cfRule>
    <cfRule type="expression" priority="90" dxfId="9" stopIfTrue="1">
      <formula>AND(I13&lt;&gt;"",I13=Departments!$A$13)</formula>
    </cfRule>
  </conditionalFormatting>
  <conditionalFormatting sqref="I14:O15">
    <cfRule type="expression" priority="91" dxfId="0" stopIfTrue="1">
      <formula>I$14=""</formula>
    </cfRule>
  </conditionalFormatting>
  <conditionalFormatting sqref="I15:O15">
    <cfRule type="expression" priority="92" dxfId="1" stopIfTrue="1">
      <formula>AND($C$4&lt;&gt;"",I15=$C$4)</formula>
    </cfRule>
    <cfRule type="expression" priority="93" dxfId="2" stopIfTrue="1">
      <formula>AND(I15&lt;&gt;"",I15=Departments!$A$6)</formula>
    </cfRule>
    <cfRule type="expression" priority="94" dxfId="3" stopIfTrue="1">
      <formula>AND(I15&lt;&gt;"",I15=Departments!$A$7)</formula>
    </cfRule>
    <cfRule type="expression" priority="95" dxfId="4" stopIfTrue="1">
      <formula>AND(I15&lt;&gt;"",I15=Departments!$A$8)</formula>
    </cfRule>
    <cfRule type="expression" priority="96" dxfId="5" stopIfTrue="1">
      <formula>AND(I15&lt;&gt;"",I15=Departments!$A$9)</formula>
    </cfRule>
    <cfRule type="expression" priority="97" dxfId="6" stopIfTrue="1">
      <formula>AND(I15&lt;&gt;"",I15=Departments!$A$10)</formula>
    </cfRule>
    <cfRule type="expression" priority="98" dxfId="7" stopIfTrue="1">
      <formula>AND(I15&lt;&gt;"",I15=Departments!$A$11)</formula>
    </cfRule>
    <cfRule type="expression" priority="99" dxfId="8" stopIfTrue="1">
      <formula>AND(I15&lt;&gt;"",I15=Departments!$A$12)</formula>
    </cfRule>
    <cfRule type="expression" priority="100" dxfId="9" stopIfTrue="1">
      <formula>AND(I15&lt;&gt;"",I15=Departments!$A$13)</formula>
    </cfRule>
  </conditionalFormatting>
  <conditionalFormatting sqref="I16:O17">
    <cfRule type="expression" priority="101" dxfId="0" stopIfTrue="1">
      <formula>I$16=""</formula>
    </cfRule>
  </conditionalFormatting>
  <conditionalFormatting sqref="I17:O17">
    <cfRule type="expression" priority="102" dxfId="1" stopIfTrue="1">
      <formula>AND($C$4&lt;&gt;"",I17=$C$4)</formula>
    </cfRule>
    <cfRule type="expression" priority="103" dxfId="2" stopIfTrue="1">
      <formula>AND(I17&lt;&gt;"",I17=Departments!$A$6)</formula>
    </cfRule>
    <cfRule type="expression" priority="104" dxfId="3" stopIfTrue="1">
      <formula>AND(I17&lt;&gt;"",I17=Departments!$A$7)</formula>
    </cfRule>
    <cfRule type="expression" priority="105" dxfId="4" stopIfTrue="1">
      <formula>AND(I17&lt;&gt;"",I17=Departments!$A$8)</formula>
    </cfRule>
    <cfRule type="expression" priority="106" dxfId="5" stopIfTrue="1">
      <formula>AND(I17&lt;&gt;"",I17=Departments!$A$9)</formula>
    </cfRule>
    <cfRule type="expression" priority="107" dxfId="6" stopIfTrue="1">
      <formula>AND(I17&lt;&gt;"",I17=Departments!$A$10)</formula>
    </cfRule>
    <cfRule type="expression" priority="108" dxfId="7" stopIfTrue="1">
      <formula>AND(I17&lt;&gt;"",I17=Departments!$A$11)</formula>
    </cfRule>
    <cfRule type="expression" priority="109" dxfId="8" stopIfTrue="1">
      <formula>AND(I17&lt;&gt;"",I17=Departments!$A$12)</formula>
    </cfRule>
    <cfRule type="expression" priority="110" dxfId="9" stopIfTrue="1">
      <formula>AND(I17&lt;&gt;"",I17=Departments!$A$13)</formula>
    </cfRule>
  </conditionalFormatting>
  <conditionalFormatting sqref="I18:O19">
    <cfRule type="expression" priority="111" dxfId="0" stopIfTrue="1">
      <formula>I$18=""</formula>
    </cfRule>
  </conditionalFormatting>
  <conditionalFormatting sqref="I19:O19">
    <cfRule type="expression" priority="112" dxfId="1" stopIfTrue="1">
      <formula>AND($C$4&lt;&gt;"",I19=$C$4)</formula>
    </cfRule>
    <cfRule type="expression" priority="113" dxfId="2" stopIfTrue="1">
      <formula>AND(I19&lt;&gt;"",I19=Departments!$A$6)</formula>
    </cfRule>
    <cfRule type="expression" priority="114" dxfId="3" stopIfTrue="1">
      <formula>AND(I19&lt;&gt;"",I19=Departments!$A$7)</formula>
    </cfRule>
    <cfRule type="expression" priority="115" dxfId="4" stopIfTrue="1">
      <formula>AND(I19&lt;&gt;"",I19=Departments!$A$8)</formula>
    </cfRule>
    <cfRule type="expression" priority="116" dxfId="5" stopIfTrue="1">
      <formula>AND(I19&lt;&gt;"",I19=Departments!$A$9)</formula>
    </cfRule>
    <cfRule type="expression" priority="117" dxfId="6" stopIfTrue="1">
      <formula>AND(I19&lt;&gt;"",I19=Departments!$A$10)</formula>
    </cfRule>
    <cfRule type="expression" priority="118" dxfId="7" stopIfTrue="1">
      <formula>AND(I19&lt;&gt;"",I19=Departments!$A$11)</formula>
    </cfRule>
    <cfRule type="expression" priority="119" dxfId="8" stopIfTrue="1">
      <formula>AND(I19&lt;&gt;"",I19=Departments!$A$12)</formula>
    </cfRule>
    <cfRule type="expression" priority="120" dxfId="9" stopIfTrue="1">
      <formula>AND(I19&lt;&gt;"",I19=Departments!$A$13)</formula>
    </cfRule>
  </conditionalFormatting>
  <conditionalFormatting sqref="Q8:W9">
    <cfRule type="expression" priority="121" dxfId="0" stopIfTrue="1">
      <formula>Q$8=""</formula>
    </cfRule>
  </conditionalFormatting>
  <conditionalFormatting sqref="Q9:W9">
    <cfRule type="expression" priority="122" dxfId="1" stopIfTrue="1">
      <formula>AND($C$4&lt;&gt;"",Q9=$C$4)</formula>
    </cfRule>
    <cfRule type="expression" priority="123" dxfId="2" stopIfTrue="1">
      <formula>AND(Q9&lt;&gt;"",Q9=Departments!$A$6)</formula>
    </cfRule>
    <cfRule type="expression" priority="124" dxfId="3" stopIfTrue="1">
      <formula>AND(Q9&lt;&gt;"",Q9=Departments!$A$7)</formula>
    </cfRule>
    <cfRule type="expression" priority="125" dxfId="4" stopIfTrue="1">
      <formula>AND(Q9&lt;&gt;"",Q9=Departments!$A$8)</formula>
    </cfRule>
    <cfRule type="expression" priority="126" dxfId="5" stopIfTrue="1">
      <formula>AND(Q9&lt;&gt;"",Q9=Departments!$A$9)</formula>
    </cfRule>
    <cfRule type="expression" priority="127" dxfId="6" stopIfTrue="1">
      <formula>AND(Q9&lt;&gt;"",Q9=Departments!$A$10)</formula>
    </cfRule>
    <cfRule type="expression" priority="128" dxfId="7" stopIfTrue="1">
      <formula>AND(Q9&lt;&gt;"",Q9=Departments!$A$11)</formula>
    </cfRule>
    <cfRule type="expression" priority="129" dxfId="8" stopIfTrue="1">
      <formula>AND(Q9&lt;&gt;"",Q9=Departments!$A$12)</formula>
    </cfRule>
    <cfRule type="expression" priority="130" dxfId="9" stopIfTrue="1">
      <formula>AND(Q9&lt;&gt;"",Q9=Departments!$A$13)</formula>
    </cfRule>
  </conditionalFormatting>
  <conditionalFormatting sqref="Q10:W11">
    <cfRule type="expression" priority="131" dxfId="0" stopIfTrue="1">
      <formula>Q$10=""</formula>
    </cfRule>
  </conditionalFormatting>
  <conditionalFormatting sqref="Q11:W11">
    <cfRule type="expression" priority="132" dxfId="1" stopIfTrue="1">
      <formula>AND($C$4&lt;&gt;"",Q11=$C$4)</formula>
    </cfRule>
    <cfRule type="expression" priority="133" dxfId="2" stopIfTrue="1">
      <formula>AND(Q11&lt;&gt;"",Q11=Departments!$A$6)</formula>
    </cfRule>
    <cfRule type="expression" priority="134" dxfId="3" stopIfTrue="1">
      <formula>AND(Q11&lt;&gt;"",Q11=Departments!$A$7)</formula>
    </cfRule>
    <cfRule type="expression" priority="135" dxfId="4" stopIfTrue="1">
      <formula>AND(Q11&lt;&gt;"",Q11=Departments!$A$8)</formula>
    </cfRule>
    <cfRule type="expression" priority="136" dxfId="5" stopIfTrue="1">
      <formula>AND(Q11&lt;&gt;"",Q11=Departments!$A$9)</formula>
    </cfRule>
    <cfRule type="expression" priority="137" dxfId="6" stopIfTrue="1">
      <formula>AND(Q11&lt;&gt;"",Q11=Departments!$A$10)</formula>
    </cfRule>
    <cfRule type="expression" priority="138" dxfId="7" stopIfTrue="1">
      <formula>AND(Q11&lt;&gt;"",Q11=Departments!$A$11)</formula>
    </cfRule>
    <cfRule type="expression" priority="139" dxfId="8" stopIfTrue="1">
      <formula>AND(Q11&lt;&gt;"",Q11=Departments!$A$12)</formula>
    </cfRule>
    <cfRule type="expression" priority="140" dxfId="9" stopIfTrue="1">
      <formula>AND(Q11&lt;&gt;"",Q11=Departments!$A$13)</formula>
    </cfRule>
  </conditionalFormatting>
  <conditionalFormatting sqref="Q12:W13">
    <cfRule type="expression" priority="141" dxfId="0" stopIfTrue="1">
      <formula>Q$12=""</formula>
    </cfRule>
  </conditionalFormatting>
  <conditionalFormatting sqref="Q13:W13">
    <cfRule type="expression" priority="142" dxfId="1" stopIfTrue="1">
      <formula>AND($C$4&lt;&gt;"",Q13=$C$4)</formula>
    </cfRule>
    <cfRule type="expression" priority="143" dxfId="2" stopIfTrue="1">
      <formula>AND(Q13&lt;&gt;"",Q13=Departments!$A$6)</formula>
    </cfRule>
    <cfRule type="expression" priority="144" dxfId="3" stopIfTrue="1">
      <formula>AND(Q13&lt;&gt;"",Q13=Departments!$A$7)</formula>
    </cfRule>
    <cfRule type="expression" priority="145" dxfId="4" stopIfTrue="1">
      <formula>AND(Q13&lt;&gt;"",Q13=Departments!$A$8)</formula>
    </cfRule>
    <cfRule type="expression" priority="146" dxfId="5" stopIfTrue="1">
      <formula>AND(Q13&lt;&gt;"",Q13=Departments!$A$9)</formula>
    </cfRule>
    <cfRule type="expression" priority="147" dxfId="6" stopIfTrue="1">
      <formula>AND(Q13&lt;&gt;"",Q13=Departments!$A$10)</formula>
    </cfRule>
    <cfRule type="expression" priority="148" dxfId="7" stopIfTrue="1">
      <formula>AND(Q13&lt;&gt;"",Q13=Departments!$A$11)</formula>
    </cfRule>
    <cfRule type="expression" priority="149" dxfId="8" stopIfTrue="1">
      <formula>AND(Q13&lt;&gt;"",Q13=Departments!$A$12)</formula>
    </cfRule>
    <cfRule type="expression" priority="150" dxfId="9" stopIfTrue="1">
      <formula>AND(Q13&lt;&gt;"",Q13=Departments!$A$13)</formula>
    </cfRule>
  </conditionalFormatting>
  <conditionalFormatting sqref="Q14:W15">
    <cfRule type="expression" priority="151" dxfId="0" stopIfTrue="1">
      <formula>Q$14=""</formula>
    </cfRule>
  </conditionalFormatting>
  <conditionalFormatting sqref="Q15:W15">
    <cfRule type="expression" priority="152" dxfId="1" stopIfTrue="1">
      <formula>AND($C$4&lt;&gt;"",Q15=$C$4)</formula>
    </cfRule>
    <cfRule type="expression" priority="153" dxfId="2" stopIfTrue="1">
      <formula>AND(Q15&lt;&gt;"",Q15=Departments!$A$6)</formula>
    </cfRule>
    <cfRule type="expression" priority="154" dxfId="3" stopIfTrue="1">
      <formula>AND(Q15&lt;&gt;"",Q15=Departments!$A$7)</formula>
    </cfRule>
    <cfRule type="expression" priority="155" dxfId="4" stopIfTrue="1">
      <formula>AND(Q15&lt;&gt;"",Q15=Departments!$A$8)</formula>
    </cfRule>
    <cfRule type="expression" priority="156" dxfId="5" stopIfTrue="1">
      <formula>AND(Q15&lt;&gt;"",Q15=Departments!$A$9)</formula>
    </cfRule>
    <cfRule type="expression" priority="157" dxfId="6" stopIfTrue="1">
      <formula>AND(Q15&lt;&gt;"",Q15=Departments!$A$10)</formula>
    </cfRule>
    <cfRule type="expression" priority="158" dxfId="7" stopIfTrue="1">
      <formula>AND(Q15&lt;&gt;"",Q15=Departments!$A$11)</formula>
    </cfRule>
    <cfRule type="expression" priority="159" dxfId="8" stopIfTrue="1">
      <formula>AND(Q15&lt;&gt;"",Q15=Departments!$A$12)</formula>
    </cfRule>
    <cfRule type="expression" priority="160" dxfId="9" stopIfTrue="1">
      <formula>AND(Q15&lt;&gt;"",Q15=Departments!$A$13)</formula>
    </cfRule>
  </conditionalFormatting>
  <conditionalFormatting sqref="Q16:W17">
    <cfRule type="expression" priority="161" dxfId="0" stopIfTrue="1">
      <formula>Q$16=""</formula>
    </cfRule>
  </conditionalFormatting>
  <conditionalFormatting sqref="Q17:W17">
    <cfRule type="expression" priority="162" dxfId="1" stopIfTrue="1">
      <formula>AND($C$4&lt;&gt;"",Q17=$C$4)</formula>
    </cfRule>
    <cfRule type="expression" priority="163" dxfId="2" stopIfTrue="1">
      <formula>AND(Q17&lt;&gt;"",Q17=Departments!$A$6)</formula>
    </cfRule>
    <cfRule type="expression" priority="164" dxfId="3" stopIfTrue="1">
      <formula>AND(Q17&lt;&gt;"",Q17=Departments!$A$7)</formula>
    </cfRule>
    <cfRule type="expression" priority="165" dxfId="4" stopIfTrue="1">
      <formula>AND(Q17&lt;&gt;"",Q17=Departments!$A$8)</formula>
    </cfRule>
    <cfRule type="expression" priority="166" dxfId="5" stopIfTrue="1">
      <formula>AND(Q17&lt;&gt;"",Q17=Departments!$A$9)</formula>
    </cfRule>
    <cfRule type="expression" priority="167" dxfId="6" stopIfTrue="1">
      <formula>AND(Q17&lt;&gt;"",Q17=Departments!$A$10)</formula>
    </cfRule>
    <cfRule type="expression" priority="168" dxfId="7" stopIfTrue="1">
      <formula>AND(Q17&lt;&gt;"",Q17=Departments!$A$11)</formula>
    </cfRule>
    <cfRule type="expression" priority="169" dxfId="8" stopIfTrue="1">
      <formula>AND(Q17&lt;&gt;"",Q17=Departments!$A$12)</formula>
    </cfRule>
    <cfRule type="expression" priority="170" dxfId="9" stopIfTrue="1">
      <formula>AND(Q17&lt;&gt;"",Q17=Departments!$A$13)</formula>
    </cfRule>
  </conditionalFormatting>
  <conditionalFormatting sqref="Q18:W19">
    <cfRule type="expression" priority="171" dxfId="0" stopIfTrue="1">
      <formula>Q$18=""</formula>
    </cfRule>
  </conditionalFormatting>
  <conditionalFormatting sqref="Q19:W19">
    <cfRule type="expression" priority="172" dxfId="1" stopIfTrue="1">
      <formula>AND($C$4&lt;&gt;"",Q19=$C$4)</formula>
    </cfRule>
    <cfRule type="expression" priority="173" dxfId="2" stopIfTrue="1">
      <formula>AND(Q19&lt;&gt;"",Q19=Departments!$A$6)</formula>
    </cfRule>
    <cfRule type="expression" priority="174" dxfId="3" stopIfTrue="1">
      <formula>AND(Q19&lt;&gt;"",Q19=Departments!$A$7)</formula>
    </cfRule>
    <cfRule type="expression" priority="175" dxfId="4" stopIfTrue="1">
      <formula>AND(Q19&lt;&gt;"",Q19=Departments!$A$8)</formula>
    </cfRule>
    <cfRule type="expression" priority="176" dxfId="5" stopIfTrue="1">
      <formula>AND(Q19&lt;&gt;"",Q19=Departments!$A$9)</formula>
    </cfRule>
    <cfRule type="expression" priority="177" dxfId="6" stopIfTrue="1">
      <formula>AND(Q19&lt;&gt;"",Q19=Departments!$A$10)</formula>
    </cfRule>
    <cfRule type="expression" priority="178" dxfId="7" stopIfTrue="1">
      <formula>AND(Q19&lt;&gt;"",Q19=Departments!$A$11)</formula>
    </cfRule>
    <cfRule type="expression" priority="179" dxfId="8" stopIfTrue="1">
      <formula>AND(Q19&lt;&gt;"",Q19=Departments!$A$12)</formula>
    </cfRule>
    <cfRule type="expression" priority="180" dxfId="9" stopIfTrue="1">
      <formula>AND(Q19&lt;&gt;"",Q19=Departments!$A$13)</formula>
    </cfRule>
  </conditionalFormatting>
  <conditionalFormatting sqref="A24:G25">
    <cfRule type="expression" priority="181" dxfId="0" stopIfTrue="1">
      <formula>A$24=""</formula>
    </cfRule>
  </conditionalFormatting>
  <conditionalFormatting sqref="A25:G25">
    <cfRule type="expression" priority="182" dxfId="1" stopIfTrue="1">
      <formula>AND($C$4&lt;&gt;"",A25=$C$4)</formula>
    </cfRule>
    <cfRule type="expression" priority="183" dxfId="2" stopIfTrue="1">
      <formula>AND(A25&lt;&gt;"",A25=Departments!$A$6)</formula>
    </cfRule>
    <cfRule type="expression" priority="184" dxfId="3" stopIfTrue="1">
      <formula>AND(A25&lt;&gt;"",A25=Departments!$A$7)</formula>
    </cfRule>
    <cfRule type="expression" priority="185" dxfId="4" stopIfTrue="1">
      <formula>AND(A25&lt;&gt;"",A25=Departments!$A$8)</formula>
    </cfRule>
    <cfRule type="expression" priority="186" dxfId="5" stopIfTrue="1">
      <formula>AND(A25&lt;&gt;"",A25=Departments!$A$9)</formula>
    </cfRule>
    <cfRule type="expression" priority="187" dxfId="6" stopIfTrue="1">
      <formula>AND(A25&lt;&gt;"",A25=Departments!$A$10)</formula>
    </cfRule>
    <cfRule type="expression" priority="188" dxfId="7" stopIfTrue="1">
      <formula>AND(A25&lt;&gt;"",A25=Departments!$A$11)</formula>
    </cfRule>
    <cfRule type="expression" priority="189" dxfId="8" stopIfTrue="1">
      <formula>AND(A25&lt;&gt;"",A25=Departments!$A$12)</formula>
    </cfRule>
    <cfRule type="expression" priority="190" dxfId="9" stopIfTrue="1">
      <formula>AND(A25&lt;&gt;"",A25=Departments!$A$13)</formula>
    </cfRule>
  </conditionalFormatting>
  <conditionalFormatting sqref="A26:G27">
    <cfRule type="expression" priority="191" dxfId="0" stopIfTrue="1">
      <formula>A$26=""</formula>
    </cfRule>
  </conditionalFormatting>
  <conditionalFormatting sqref="A27:G27">
    <cfRule type="expression" priority="192" dxfId="1" stopIfTrue="1">
      <formula>AND($C$4&lt;&gt;"",A27=$C$4)</formula>
    </cfRule>
    <cfRule type="expression" priority="193" dxfId="2" stopIfTrue="1">
      <formula>AND(A27&lt;&gt;"",A27=Departments!$A$6)</formula>
    </cfRule>
    <cfRule type="expression" priority="194" dxfId="3" stopIfTrue="1">
      <formula>AND(A27&lt;&gt;"",A27=Departments!$A$7)</formula>
    </cfRule>
    <cfRule type="expression" priority="195" dxfId="4" stopIfTrue="1">
      <formula>AND(A27&lt;&gt;"",A27=Departments!$A$8)</formula>
    </cfRule>
    <cfRule type="expression" priority="196" dxfId="5" stopIfTrue="1">
      <formula>AND(A27&lt;&gt;"",A27=Departments!$A$9)</formula>
    </cfRule>
    <cfRule type="expression" priority="197" dxfId="6" stopIfTrue="1">
      <formula>AND(A27&lt;&gt;"",A27=Departments!$A$10)</formula>
    </cfRule>
    <cfRule type="expression" priority="198" dxfId="7" stopIfTrue="1">
      <formula>AND(A27&lt;&gt;"",A27=Departments!$A$11)</formula>
    </cfRule>
    <cfRule type="expression" priority="199" dxfId="8" stopIfTrue="1">
      <formula>AND(A27&lt;&gt;"",A27=Departments!$A$12)</formula>
    </cfRule>
    <cfRule type="expression" priority="200" dxfId="9" stopIfTrue="1">
      <formula>AND(A27&lt;&gt;"",A27=Departments!$A$13)</formula>
    </cfRule>
  </conditionalFormatting>
  <conditionalFormatting sqref="A28:G29">
    <cfRule type="expression" priority="201" dxfId="0" stopIfTrue="1">
      <formula>A$28=""</formula>
    </cfRule>
  </conditionalFormatting>
  <conditionalFormatting sqref="A29:G29">
    <cfRule type="expression" priority="202" dxfId="1" stopIfTrue="1">
      <formula>AND($C$4&lt;&gt;"",A29=$C$4)</formula>
    </cfRule>
    <cfRule type="expression" priority="203" dxfId="2" stopIfTrue="1">
      <formula>AND(A29&lt;&gt;"",A29=Departments!$A$6)</formula>
    </cfRule>
    <cfRule type="expression" priority="204" dxfId="3" stopIfTrue="1">
      <formula>AND(A29&lt;&gt;"",A29=Departments!$A$7)</formula>
    </cfRule>
    <cfRule type="expression" priority="205" dxfId="4" stopIfTrue="1">
      <formula>AND(A29&lt;&gt;"",A29=Departments!$A$8)</formula>
    </cfRule>
    <cfRule type="expression" priority="206" dxfId="5" stopIfTrue="1">
      <formula>AND(A29&lt;&gt;"",A29=Departments!$A$9)</formula>
    </cfRule>
    <cfRule type="expression" priority="207" dxfId="6" stopIfTrue="1">
      <formula>AND(A29&lt;&gt;"",A29=Departments!$A$10)</formula>
    </cfRule>
    <cfRule type="expression" priority="208" dxfId="7" stopIfTrue="1">
      <formula>AND(A29&lt;&gt;"",A29=Departments!$A$11)</formula>
    </cfRule>
    <cfRule type="expression" priority="209" dxfId="8" stopIfTrue="1">
      <formula>AND(A29&lt;&gt;"",A29=Departments!$A$12)</formula>
    </cfRule>
    <cfRule type="expression" priority="210" dxfId="9" stopIfTrue="1">
      <formula>AND(A29&lt;&gt;"",A29=Departments!$A$13)</formula>
    </cfRule>
  </conditionalFormatting>
  <conditionalFormatting sqref="A30:G31">
    <cfRule type="expression" priority="211" dxfId="0" stopIfTrue="1">
      <formula>A$30=""</formula>
    </cfRule>
  </conditionalFormatting>
  <conditionalFormatting sqref="A31:G31">
    <cfRule type="expression" priority="212" dxfId="1" stopIfTrue="1">
      <formula>AND($C$4&lt;&gt;"",A31=$C$4)</formula>
    </cfRule>
    <cfRule type="expression" priority="213" dxfId="2" stopIfTrue="1">
      <formula>AND(A31&lt;&gt;"",A31=Departments!$A$6)</formula>
    </cfRule>
    <cfRule type="expression" priority="214" dxfId="3" stopIfTrue="1">
      <formula>AND(A31&lt;&gt;"",A31=Departments!$A$7)</formula>
    </cfRule>
    <cfRule type="expression" priority="215" dxfId="4" stopIfTrue="1">
      <formula>AND(A31&lt;&gt;"",A31=Departments!$A$8)</formula>
    </cfRule>
    <cfRule type="expression" priority="216" dxfId="5" stopIfTrue="1">
      <formula>AND(A31&lt;&gt;"",A31=Departments!$A$9)</formula>
    </cfRule>
    <cfRule type="expression" priority="217" dxfId="6" stopIfTrue="1">
      <formula>AND(A31&lt;&gt;"",A31=Departments!$A$10)</formula>
    </cfRule>
    <cfRule type="expression" priority="218" dxfId="7" stopIfTrue="1">
      <formula>AND(A31&lt;&gt;"",A31=Departments!$A$11)</formula>
    </cfRule>
    <cfRule type="expression" priority="219" dxfId="8" stopIfTrue="1">
      <formula>AND(A31&lt;&gt;"",A31=Departments!$A$12)</formula>
    </cfRule>
    <cfRule type="expression" priority="220" dxfId="9" stopIfTrue="1">
      <formula>AND(A31&lt;&gt;"",A31=Departments!$A$13)</formula>
    </cfRule>
  </conditionalFormatting>
  <conditionalFormatting sqref="A32:G33">
    <cfRule type="expression" priority="221" dxfId="0" stopIfTrue="1">
      <formula>A$32=""</formula>
    </cfRule>
  </conditionalFormatting>
  <conditionalFormatting sqref="A33:G33">
    <cfRule type="expression" priority="222" dxfId="1" stopIfTrue="1">
      <formula>AND($C$4&lt;&gt;"",A33=$C$4)</formula>
    </cfRule>
    <cfRule type="expression" priority="223" dxfId="2" stopIfTrue="1">
      <formula>AND(A33&lt;&gt;"",A33=Departments!$A$6)</formula>
    </cfRule>
    <cfRule type="expression" priority="224" dxfId="3" stopIfTrue="1">
      <formula>AND(A33&lt;&gt;"",A33=Departments!$A$7)</formula>
    </cfRule>
    <cfRule type="expression" priority="225" dxfId="4" stopIfTrue="1">
      <formula>AND(A33&lt;&gt;"",A33=Departments!$A$8)</formula>
    </cfRule>
    <cfRule type="expression" priority="226" dxfId="5" stopIfTrue="1">
      <formula>AND(A33&lt;&gt;"",A33=Departments!$A$9)</formula>
    </cfRule>
    <cfRule type="expression" priority="227" dxfId="6" stopIfTrue="1">
      <formula>AND(A33&lt;&gt;"",A33=Departments!$A$10)</formula>
    </cfRule>
    <cfRule type="expression" priority="228" dxfId="7" stopIfTrue="1">
      <formula>AND(A33&lt;&gt;"",A33=Departments!$A$11)</formula>
    </cfRule>
    <cfRule type="expression" priority="229" dxfId="8" stopIfTrue="1">
      <formula>AND(A33&lt;&gt;"",A33=Departments!$A$12)</formula>
    </cfRule>
    <cfRule type="expression" priority="230" dxfId="9" stopIfTrue="1">
      <formula>AND(A33&lt;&gt;"",A33=Departments!$A$13)</formula>
    </cfRule>
  </conditionalFormatting>
  <conditionalFormatting sqref="A34:G35">
    <cfRule type="expression" priority="231" dxfId="0" stopIfTrue="1">
      <formula>A$34=""</formula>
    </cfRule>
  </conditionalFormatting>
  <conditionalFormatting sqref="A35:G35">
    <cfRule type="expression" priority="232" dxfId="1" stopIfTrue="1">
      <formula>AND($C$4&lt;&gt;"",A35=$C$4)</formula>
    </cfRule>
    <cfRule type="expression" priority="233" dxfId="2" stopIfTrue="1">
      <formula>AND(A35&lt;&gt;"",A35=Departments!$A$6)</formula>
    </cfRule>
    <cfRule type="expression" priority="234" dxfId="3" stopIfTrue="1">
      <formula>AND(A35&lt;&gt;"",A35=Departments!$A$7)</formula>
    </cfRule>
    <cfRule type="expression" priority="235" dxfId="4" stopIfTrue="1">
      <formula>AND(A35&lt;&gt;"",A35=Departments!$A$8)</formula>
    </cfRule>
    <cfRule type="expression" priority="236" dxfId="5" stopIfTrue="1">
      <formula>AND(A35&lt;&gt;"",A35=Departments!$A$9)</formula>
    </cfRule>
    <cfRule type="expression" priority="237" dxfId="6" stopIfTrue="1">
      <formula>AND(A35&lt;&gt;"",A35=Departments!$A$10)</formula>
    </cfRule>
    <cfRule type="expression" priority="238" dxfId="7" stopIfTrue="1">
      <formula>AND(A35&lt;&gt;"",A35=Departments!$A$11)</formula>
    </cfRule>
    <cfRule type="expression" priority="239" dxfId="8" stopIfTrue="1">
      <formula>AND(A35&lt;&gt;"",A35=Departments!$A$12)</formula>
    </cfRule>
    <cfRule type="expression" priority="240" dxfId="9" stopIfTrue="1">
      <formula>AND(A35&lt;&gt;"",A35=Departments!$A$13)</formula>
    </cfRule>
  </conditionalFormatting>
  <conditionalFormatting sqref="I24:O25">
    <cfRule type="expression" priority="241" dxfId="0" stopIfTrue="1">
      <formula>I$24=""</formula>
    </cfRule>
  </conditionalFormatting>
  <conditionalFormatting sqref="I25:O25">
    <cfRule type="expression" priority="242" dxfId="1" stopIfTrue="1">
      <formula>AND($C$4&lt;&gt;"",I25=$C$4)</formula>
    </cfRule>
    <cfRule type="expression" priority="243" dxfId="2" stopIfTrue="1">
      <formula>AND(I25&lt;&gt;"",I25=Departments!$A$6)</formula>
    </cfRule>
    <cfRule type="expression" priority="244" dxfId="3" stopIfTrue="1">
      <formula>AND(I25&lt;&gt;"",I25=Departments!$A$7)</formula>
    </cfRule>
    <cfRule type="expression" priority="245" dxfId="4" stopIfTrue="1">
      <formula>AND(I25&lt;&gt;"",I25=Departments!$A$8)</formula>
    </cfRule>
    <cfRule type="expression" priority="246" dxfId="5" stopIfTrue="1">
      <formula>AND(I25&lt;&gt;"",I25=Departments!$A$9)</formula>
    </cfRule>
    <cfRule type="expression" priority="247" dxfId="6" stopIfTrue="1">
      <formula>AND(I25&lt;&gt;"",I25=Departments!$A$10)</formula>
    </cfRule>
    <cfRule type="expression" priority="248" dxfId="7" stopIfTrue="1">
      <formula>AND(I25&lt;&gt;"",I25=Departments!$A$11)</formula>
    </cfRule>
    <cfRule type="expression" priority="249" dxfId="8" stopIfTrue="1">
      <formula>AND(I25&lt;&gt;"",I25=Departments!$A$12)</formula>
    </cfRule>
    <cfRule type="expression" priority="250" dxfId="9" stopIfTrue="1">
      <formula>AND(I25&lt;&gt;"",I25=Departments!$A$13)</formula>
    </cfRule>
  </conditionalFormatting>
  <conditionalFormatting sqref="I26:O27">
    <cfRule type="expression" priority="251" dxfId="0" stopIfTrue="1">
      <formula>I$26=""</formula>
    </cfRule>
  </conditionalFormatting>
  <conditionalFormatting sqref="I27:O27">
    <cfRule type="expression" priority="252" dxfId="1" stopIfTrue="1">
      <formula>AND($C$4&lt;&gt;"",I27=$C$4)</formula>
    </cfRule>
    <cfRule type="expression" priority="253" dxfId="2" stopIfTrue="1">
      <formula>AND(I27&lt;&gt;"",I27=Departments!$A$6)</formula>
    </cfRule>
    <cfRule type="expression" priority="254" dxfId="3" stopIfTrue="1">
      <formula>AND(I27&lt;&gt;"",I27=Departments!$A$7)</formula>
    </cfRule>
    <cfRule type="expression" priority="255" dxfId="4" stopIfTrue="1">
      <formula>AND(I27&lt;&gt;"",I27=Departments!$A$8)</formula>
    </cfRule>
    <cfRule type="expression" priority="256" dxfId="5" stopIfTrue="1">
      <formula>AND(I27&lt;&gt;"",I27=Departments!$A$9)</formula>
    </cfRule>
    <cfRule type="expression" priority="257" dxfId="6" stopIfTrue="1">
      <formula>AND(I27&lt;&gt;"",I27=Departments!$A$10)</formula>
    </cfRule>
    <cfRule type="expression" priority="258" dxfId="7" stopIfTrue="1">
      <formula>AND(I27&lt;&gt;"",I27=Departments!$A$11)</formula>
    </cfRule>
    <cfRule type="expression" priority="259" dxfId="8" stopIfTrue="1">
      <formula>AND(I27&lt;&gt;"",I27=Departments!$A$12)</formula>
    </cfRule>
    <cfRule type="expression" priority="260" dxfId="9" stopIfTrue="1">
      <formula>AND(I27&lt;&gt;"",I27=Departments!$A$13)</formula>
    </cfRule>
  </conditionalFormatting>
  <conditionalFormatting sqref="I28:O29">
    <cfRule type="expression" priority="261" dxfId="0" stopIfTrue="1">
      <formula>I$28=""</formula>
    </cfRule>
  </conditionalFormatting>
  <conditionalFormatting sqref="I29:O29">
    <cfRule type="expression" priority="262" dxfId="1" stopIfTrue="1">
      <formula>AND($C$4&lt;&gt;"",I29=$C$4)</formula>
    </cfRule>
    <cfRule type="expression" priority="263" dxfId="2" stopIfTrue="1">
      <formula>AND(I29&lt;&gt;"",I29=Departments!$A$6)</formula>
    </cfRule>
    <cfRule type="expression" priority="264" dxfId="3" stopIfTrue="1">
      <formula>AND(I29&lt;&gt;"",I29=Departments!$A$7)</formula>
    </cfRule>
    <cfRule type="expression" priority="265" dxfId="4" stopIfTrue="1">
      <formula>AND(I29&lt;&gt;"",I29=Departments!$A$8)</formula>
    </cfRule>
    <cfRule type="expression" priority="266" dxfId="5" stopIfTrue="1">
      <formula>AND(I29&lt;&gt;"",I29=Departments!$A$9)</formula>
    </cfRule>
    <cfRule type="expression" priority="267" dxfId="6" stopIfTrue="1">
      <formula>AND(I29&lt;&gt;"",I29=Departments!$A$10)</formula>
    </cfRule>
    <cfRule type="expression" priority="268" dxfId="7" stopIfTrue="1">
      <formula>AND(I29&lt;&gt;"",I29=Departments!$A$11)</formula>
    </cfRule>
    <cfRule type="expression" priority="269" dxfId="8" stopIfTrue="1">
      <formula>AND(I29&lt;&gt;"",I29=Departments!$A$12)</formula>
    </cfRule>
    <cfRule type="expression" priority="270" dxfId="9" stopIfTrue="1">
      <formula>AND(I29&lt;&gt;"",I29=Departments!$A$13)</formula>
    </cfRule>
  </conditionalFormatting>
  <conditionalFormatting sqref="I30:O31">
    <cfRule type="expression" priority="271" dxfId="0" stopIfTrue="1">
      <formula>I$30=""</formula>
    </cfRule>
  </conditionalFormatting>
  <conditionalFormatting sqref="I31:O31">
    <cfRule type="expression" priority="272" dxfId="1" stopIfTrue="1">
      <formula>AND($C$4&lt;&gt;"",I31=$C$4)</formula>
    </cfRule>
    <cfRule type="expression" priority="273" dxfId="2" stopIfTrue="1">
      <formula>AND(I31&lt;&gt;"",I31=Departments!$A$6)</formula>
    </cfRule>
    <cfRule type="expression" priority="274" dxfId="3" stopIfTrue="1">
      <formula>AND(I31&lt;&gt;"",I31=Departments!$A$7)</formula>
    </cfRule>
    <cfRule type="expression" priority="275" dxfId="4" stopIfTrue="1">
      <formula>AND(I31&lt;&gt;"",I31=Departments!$A$8)</formula>
    </cfRule>
    <cfRule type="expression" priority="276" dxfId="5" stopIfTrue="1">
      <formula>AND(I31&lt;&gt;"",I31=Departments!$A$9)</formula>
    </cfRule>
    <cfRule type="expression" priority="277" dxfId="6" stopIfTrue="1">
      <formula>AND(I31&lt;&gt;"",I31=Departments!$A$10)</formula>
    </cfRule>
    <cfRule type="expression" priority="278" dxfId="7" stopIfTrue="1">
      <formula>AND(I31&lt;&gt;"",I31=Departments!$A$11)</formula>
    </cfRule>
    <cfRule type="expression" priority="279" dxfId="8" stopIfTrue="1">
      <formula>AND(I31&lt;&gt;"",I31=Departments!$A$12)</formula>
    </cfRule>
    <cfRule type="expression" priority="280" dxfId="9" stopIfTrue="1">
      <formula>AND(I31&lt;&gt;"",I31=Departments!$A$13)</formula>
    </cfRule>
  </conditionalFormatting>
  <conditionalFormatting sqref="I32:O33">
    <cfRule type="expression" priority="281" dxfId="0" stopIfTrue="1">
      <formula>I$32=""</formula>
    </cfRule>
  </conditionalFormatting>
  <conditionalFormatting sqref="I33:O33">
    <cfRule type="expression" priority="282" dxfId="1" stopIfTrue="1">
      <formula>AND($C$4&lt;&gt;"",I33=$C$4)</formula>
    </cfRule>
    <cfRule type="expression" priority="283" dxfId="2" stopIfTrue="1">
      <formula>AND(I33&lt;&gt;"",I33=Departments!$A$6)</formula>
    </cfRule>
    <cfRule type="expression" priority="284" dxfId="3" stopIfTrue="1">
      <formula>AND(I33&lt;&gt;"",I33=Departments!$A$7)</formula>
    </cfRule>
    <cfRule type="expression" priority="285" dxfId="4" stopIfTrue="1">
      <formula>AND(I33&lt;&gt;"",I33=Departments!$A$8)</formula>
    </cfRule>
    <cfRule type="expression" priority="286" dxfId="5" stopIfTrue="1">
      <formula>AND(I33&lt;&gt;"",I33=Departments!$A$9)</formula>
    </cfRule>
    <cfRule type="expression" priority="287" dxfId="6" stopIfTrue="1">
      <formula>AND(I33&lt;&gt;"",I33=Departments!$A$10)</formula>
    </cfRule>
    <cfRule type="expression" priority="288" dxfId="7" stopIfTrue="1">
      <formula>AND(I33&lt;&gt;"",I33=Departments!$A$11)</formula>
    </cfRule>
    <cfRule type="expression" priority="289" dxfId="8" stopIfTrue="1">
      <formula>AND(I33&lt;&gt;"",I33=Departments!$A$12)</formula>
    </cfRule>
    <cfRule type="expression" priority="290" dxfId="9" stopIfTrue="1">
      <formula>AND(I33&lt;&gt;"",I33=Departments!$A$13)</formula>
    </cfRule>
  </conditionalFormatting>
  <conditionalFormatting sqref="I34:O35">
    <cfRule type="expression" priority="291" dxfId="0" stopIfTrue="1">
      <formula>I$34=""</formula>
    </cfRule>
  </conditionalFormatting>
  <conditionalFormatting sqref="I35:O35">
    <cfRule type="expression" priority="292" dxfId="1" stopIfTrue="1">
      <formula>AND($C$4&lt;&gt;"",I35=$C$4)</formula>
    </cfRule>
    <cfRule type="expression" priority="293" dxfId="2" stopIfTrue="1">
      <formula>AND(I35&lt;&gt;"",I35=Departments!$A$6)</formula>
    </cfRule>
    <cfRule type="expression" priority="294" dxfId="3" stopIfTrue="1">
      <formula>AND(I35&lt;&gt;"",I35=Departments!$A$7)</formula>
    </cfRule>
    <cfRule type="expression" priority="295" dxfId="4" stopIfTrue="1">
      <formula>AND(I35&lt;&gt;"",I35=Departments!$A$8)</formula>
    </cfRule>
    <cfRule type="expression" priority="296" dxfId="5" stopIfTrue="1">
      <formula>AND(I35&lt;&gt;"",I35=Departments!$A$9)</formula>
    </cfRule>
    <cfRule type="expression" priority="297" dxfId="6" stopIfTrue="1">
      <formula>AND(I35&lt;&gt;"",I35=Departments!$A$10)</formula>
    </cfRule>
    <cfRule type="expression" priority="298" dxfId="7" stopIfTrue="1">
      <formula>AND(I35&lt;&gt;"",I35=Departments!$A$11)</formula>
    </cfRule>
    <cfRule type="expression" priority="299" dxfId="8" stopIfTrue="1">
      <formula>AND(I35&lt;&gt;"",I35=Departments!$A$12)</formula>
    </cfRule>
    <cfRule type="expression" priority="300" dxfId="9" stopIfTrue="1">
      <formula>AND(I35&lt;&gt;"",I35=Departments!$A$13)</formula>
    </cfRule>
  </conditionalFormatting>
  <conditionalFormatting sqref="Q24:W25">
    <cfRule type="expression" priority="301" dxfId="0" stopIfTrue="1">
      <formula>Q$24=""</formula>
    </cfRule>
  </conditionalFormatting>
  <conditionalFormatting sqref="Q25:W25">
    <cfRule type="expression" priority="302" dxfId="1" stopIfTrue="1">
      <formula>AND($C$4&lt;&gt;"",Q25=$C$4)</formula>
    </cfRule>
    <cfRule type="expression" priority="303" dxfId="2" stopIfTrue="1">
      <formula>AND(Q25&lt;&gt;"",Q25=Departments!$A$6)</formula>
    </cfRule>
    <cfRule type="expression" priority="304" dxfId="3" stopIfTrue="1">
      <formula>AND(Q25&lt;&gt;"",Q25=Departments!$A$7)</formula>
    </cfRule>
    <cfRule type="expression" priority="305" dxfId="4" stopIfTrue="1">
      <formula>AND(Q25&lt;&gt;"",Q25=Departments!$A$8)</formula>
    </cfRule>
    <cfRule type="expression" priority="306" dxfId="5" stopIfTrue="1">
      <formula>AND(Q25&lt;&gt;"",Q25=Departments!$A$9)</formula>
    </cfRule>
    <cfRule type="expression" priority="307" dxfId="6" stopIfTrue="1">
      <formula>AND(Q25&lt;&gt;"",Q25=Departments!$A$10)</formula>
    </cfRule>
    <cfRule type="expression" priority="308" dxfId="7" stopIfTrue="1">
      <formula>AND(Q25&lt;&gt;"",Q25=Departments!$A$11)</formula>
    </cfRule>
    <cfRule type="expression" priority="309" dxfId="8" stopIfTrue="1">
      <formula>AND(Q25&lt;&gt;"",Q25=Departments!$A$12)</formula>
    </cfRule>
    <cfRule type="expression" priority="310" dxfId="9" stopIfTrue="1">
      <formula>AND(Q25&lt;&gt;"",Q25=Departments!$A$13)</formula>
    </cfRule>
  </conditionalFormatting>
  <conditionalFormatting sqref="Q26:W27">
    <cfRule type="expression" priority="311" dxfId="0" stopIfTrue="1">
      <formula>Q$26=""</formula>
    </cfRule>
  </conditionalFormatting>
  <conditionalFormatting sqref="Q27:W27">
    <cfRule type="expression" priority="312" dxfId="1" stopIfTrue="1">
      <formula>AND($C$4&lt;&gt;"",Q27=$C$4)</formula>
    </cfRule>
    <cfRule type="expression" priority="313" dxfId="2" stopIfTrue="1">
      <formula>AND(Q27&lt;&gt;"",Q27=Departments!$A$6)</formula>
    </cfRule>
    <cfRule type="expression" priority="314" dxfId="3" stopIfTrue="1">
      <formula>AND(Q27&lt;&gt;"",Q27=Departments!$A$7)</formula>
    </cfRule>
    <cfRule type="expression" priority="315" dxfId="4" stopIfTrue="1">
      <formula>AND(Q27&lt;&gt;"",Q27=Departments!$A$8)</formula>
    </cfRule>
    <cfRule type="expression" priority="316" dxfId="5" stopIfTrue="1">
      <formula>AND(Q27&lt;&gt;"",Q27=Departments!$A$9)</formula>
    </cfRule>
    <cfRule type="expression" priority="317" dxfId="6" stopIfTrue="1">
      <formula>AND(Q27&lt;&gt;"",Q27=Departments!$A$10)</formula>
    </cfRule>
    <cfRule type="expression" priority="318" dxfId="7" stopIfTrue="1">
      <formula>AND(Q27&lt;&gt;"",Q27=Departments!$A$11)</formula>
    </cfRule>
    <cfRule type="expression" priority="319" dxfId="8" stopIfTrue="1">
      <formula>AND(Q27&lt;&gt;"",Q27=Departments!$A$12)</formula>
    </cfRule>
    <cfRule type="expression" priority="320" dxfId="9" stopIfTrue="1">
      <formula>AND(Q27&lt;&gt;"",Q27=Departments!$A$13)</formula>
    </cfRule>
  </conditionalFormatting>
  <conditionalFormatting sqref="Q28:W29">
    <cfRule type="expression" priority="321" dxfId="0" stopIfTrue="1">
      <formula>Q$28=""</formula>
    </cfRule>
  </conditionalFormatting>
  <conditionalFormatting sqref="Q29:W29">
    <cfRule type="expression" priority="322" dxfId="1" stopIfTrue="1">
      <formula>AND($C$4&lt;&gt;"",Q29=$C$4)</formula>
    </cfRule>
    <cfRule type="expression" priority="323" dxfId="2" stopIfTrue="1">
      <formula>AND(Q29&lt;&gt;"",Q29=Departments!$A$6)</formula>
    </cfRule>
    <cfRule type="expression" priority="324" dxfId="3" stopIfTrue="1">
      <formula>AND(Q29&lt;&gt;"",Q29=Departments!$A$7)</formula>
    </cfRule>
    <cfRule type="expression" priority="325" dxfId="4" stopIfTrue="1">
      <formula>AND(Q29&lt;&gt;"",Q29=Departments!$A$8)</formula>
    </cfRule>
    <cfRule type="expression" priority="326" dxfId="5" stopIfTrue="1">
      <formula>AND(Q29&lt;&gt;"",Q29=Departments!$A$9)</formula>
    </cfRule>
    <cfRule type="expression" priority="327" dxfId="6" stopIfTrue="1">
      <formula>AND(Q29&lt;&gt;"",Q29=Departments!$A$10)</formula>
    </cfRule>
    <cfRule type="expression" priority="328" dxfId="7" stopIfTrue="1">
      <formula>AND(Q29&lt;&gt;"",Q29=Departments!$A$11)</formula>
    </cfRule>
    <cfRule type="expression" priority="329" dxfId="8" stopIfTrue="1">
      <formula>AND(Q29&lt;&gt;"",Q29=Departments!$A$12)</formula>
    </cfRule>
    <cfRule type="expression" priority="330" dxfId="9" stopIfTrue="1">
      <formula>AND(Q29&lt;&gt;"",Q29=Departments!$A$13)</formula>
    </cfRule>
  </conditionalFormatting>
  <conditionalFormatting sqref="Q30:W31">
    <cfRule type="expression" priority="331" dxfId="0" stopIfTrue="1">
      <formula>Q$30=""</formula>
    </cfRule>
  </conditionalFormatting>
  <conditionalFormatting sqref="Q31:W31">
    <cfRule type="expression" priority="332" dxfId="1" stopIfTrue="1">
      <formula>AND($C$4&lt;&gt;"",Q31=$C$4)</formula>
    </cfRule>
    <cfRule type="expression" priority="333" dxfId="2" stopIfTrue="1">
      <formula>AND(Q31&lt;&gt;"",Q31=Departments!$A$6)</formula>
    </cfRule>
    <cfRule type="expression" priority="334" dxfId="3" stopIfTrue="1">
      <formula>AND(Q31&lt;&gt;"",Q31=Departments!$A$7)</formula>
    </cfRule>
    <cfRule type="expression" priority="335" dxfId="4" stopIfTrue="1">
      <formula>AND(Q31&lt;&gt;"",Q31=Departments!$A$8)</formula>
    </cfRule>
    <cfRule type="expression" priority="336" dxfId="5" stopIfTrue="1">
      <formula>AND(Q31&lt;&gt;"",Q31=Departments!$A$9)</formula>
    </cfRule>
    <cfRule type="expression" priority="337" dxfId="6" stopIfTrue="1">
      <formula>AND(Q31&lt;&gt;"",Q31=Departments!$A$10)</formula>
    </cfRule>
    <cfRule type="expression" priority="338" dxfId="7" stopIfTrue="1">
      <formula>AND(Q31&lt;&gt;"",Q31=Departments!$A$11)</formula>
    </cfRule>
    <cfRule type="expression" priority="339" dxfId="8" stopIfTrue="1">
      <formula>AND(Q31&lt;&gt;"",Q31=Departments!$A$12)</formula>
    </cfRule>
    <cfRule type="expression" priority="340" dxfId="9" stopIfTrue="1">
      <formula>AND(Q31&lt;&gt;"",Q31=Departments!$A$13)</formula>
    </cfRule>
  </conditionalFormatting>
  <conditionalFormatting sqref="Q32:W33">
    <cfRule type="expression" priority="341" dxfId="0" stopIfTrue="1">
      <formula>Q$32=""</formula>
    </cfRule>
  </conditionalFormatting>
  <conditionalFormatting sqref="Q33:W33">
    <cfRule type="expression" priority="342" dxfId="1" stopIfTrue="1">
      <formula>AND($C$4&lt;&gt;"",Q33=$C$4)</formula>
    </cfRule>
    <cfRule type="expression" priority="343" dxfId="2" stopIfTrue="1">
      <formula>AND(Q33&lt;&gt;"",Q33=Departments!$A$6)</formula>
    </cfRule>
    <cfRule type="expression" priority="344" dxfId="3" stopIfTrue="1">
      <formula>AND(Q33&lt;&gt;"",Q33=Departments!$A$7)</formula>
    </cfRule>
    <cfRule type="expression" priority="345" dxfId="4" stopIfTrue="1">
      <formula>AND(Q33&lt;&gt;"",Q33=Departments!$A$8)</formula>
    </cfRule>
    <cfRule type="expression" priority="346" dxfId="5" stopIfTrue="1">
      <formula>AND(Q33&lt;&gt;"",Q33=Departments!$A$9)</formula>
    </cfRule>
    <cfRule type="expression" priority="347" dxfId="6" stopIfTrue="1">
      <formula>AND(Q33&lt;&gt;"",Q33=Departments!$A$10)</formula>
    </cfRule>
    <cfRule type="expression" priority="348" dxfId="7" stopIfTrue="1">
      <formula>AND(Q33&lt;&gt;"",Q33=Departments!$A$11)</formula>
    </cfRule>
    <cfRule type="expression" priority="349" dxfId="8" stopIfTrue="1">
      <formula>AND(Q33&lt;&gt;"",Q33=Departments!$A$12)</formula>
    </cfRule>
    <cfRule type="expression" priority="350" dxfId="9" stopIfTrue="1">
      <formula>AND(Q33&lt;&gt;"",Q33=Departments!$A$13)</formula>
    </cfRule>
  </conditionalFormatting>
  <conditionalFormatting sqref="Q34:W35">
    <cfRule type="expression" priority="351" dxfId="0" stopIfTrue="1">
      <formula>Q$34=""</formula>
    </cfRule>
  </conditionalFormatting>
  <conditionalFormatting sqref="Q35:W35">
    <cfRule type="expression" priority="352" dxfId="1" stopIfTrue="1">
      <formula>AND($C$4&lt;&gt;"",Q35=$C$4)</formula>
    </cfRule>
    <cfRule type="expression" priority="353" dxfId="2" stopIfTrue="1">
      <formula>AND(Q35&lt;&gt;"",Q35=Departments!$A$6)</formula>
    </cfRule>
    <cfRule type="expression" priority="354" dxfId="3" stopIfTrue="1">
      <formula>AND(Q35&lt;&gt;"",Q35=Departments!$A$7)</formula>
    </cfRule>
    <cfRule type="expression" priority="355" dxfId="4" stopIfTrue="1">
      <formula>AND(Q35&lt;&gt;"",Q35=Departments!$A$8)</formula>
    </cfRule>
    <cfRule type="expression" priority="356" dxfId="5" stopIfTrue="1">
      <formula>AND(Q35&lt;&gt;"",Q35=Departments!$A$9)</formula>
    </cfRule>
    <cfRule type="expression" priority="357" dxfId="6" stopIfTrue="1">
      <formula>AND(Q35&lt;&gt;"",Q35=Departments!$A$10)</formula>
    </cfRule>
    <cfRule type="expression" priority="358" dxfId="7" stopIfTrue="1">
      <formula>AND(Q35&lt;&gt;"",Q35=Departments!$A$11)</formula>
    </cfRule>
    <cfRule type="expression" priority="359" dxfId="8" stopIfTrue="1">
      <formula>AND(Q35&lt;&gt;"",Q35=Departments!$A$12)</formula>
    </cfRule>
    <cfRule type="expression" priority="360" dxfId="9" stopIfTrue="1">
      <formula>AND(Q35&lt;&gt;"",Q35=Departments!$A$13)</formula>
    </cfRule>
  </conditionalFormatting>
  <conditionalFormatting sqref="A40:G41">
    <cfRule type="expression" priority="361" dxfId="0" stopIfTrue="1">
      <formula>A$40=""</formula>
    </cfRule>
  </conditionalFormatting>
  <conditionalFormatting sqref="A41:G41">
    <cfRule type="expression" priority="362" dxfId="1" stopIfTrue="1">
      <formula>AND($C$4&lt;&gt;"",A41=$C$4)</formula>
    </cfRule>
    <cfRule type="expression" priority="363" dxfId="2" stopIfTrue="1">
      <formula>AND(A41&lt;&gt;"",A41=Departments!$A$6)</formula>
    </cfRule>
    <cfRule type="expression" priority="364" dxfId="3" stopIfTrue="1">
      <formula>AND(A41&lt;&gt;"",A41=Departments!$A$7)</formula>
    </cfRule>
    <cfRule type="expression" priority="365" dxfId="4" stopIfTrue="1">
      <formula>AND(A41&lt;&gt;"",A41=Departments!$A$8)</formula>
    </cfRule>
    <cfRule type="expression" priority="366" dxfId="5" stopIfTrue="1">
      <formula>AND(A41&lt;&gt;"",A41=Departments!$A$9)</formula>
    </cfRule>
    <cfRule type="expression" priority="367" dxfId="6" stopIfTrue="1">
      <formula>AND(A41&lt;&gt;"",A41=Departments!$A$10)</formula>
    </cfRule>
    <cfRule type="expression" priority="368" dxfId="7" stopIfTrue="1">
      <formula>AND(A41&lt;&gt;"",A41=Departments!$A$11)</formula>
    </cfRule>
    <cfRule type="expression" priority="369" dxfId="8" stopIfTrue="1">
      <formula>AND(A41&lt;&gt;"",A41=Departments!$A$12)</formula>
    </cfRule>
    <cfRule type="expression" priority="370" dxfId="9" stopIfTrue="1">
      <formula>AND(A41&lt;&gt;"",A41=Departments!$A$13)</formula>
    </cfRule>
  </conditionalFormatting>
  <conditionalFormatting sqref="A42:G43">
    <cfRule type="expression" priority="371" dxfId="0" stopIfTrue="1">
      <formula>A$42=""</formula>
    </cfRule>
  </conditionalFormatting>
  <conditionalFormatting sqref="A43:G43">
    <cfRule type="expression" priority="372" dxfId="1" stopIfTrue="1">
      <formula>AND($C$4&lt;&gt;"",A43=$C$4)</formula>
    </cfRule>
    <cfRule type="expression" priority="373" dxfId="2" stopIfTrue="1">
      <formula>AND(A43&lt;&gt;"",A43=Departments!$A$6)</formula>
    </cfRule>
    <cfRule type="expression" priority="374" dxfId="3" stopIfTrue="1">
      <formula>AND(A43&lt;&gt;"",A43=Departments!$A$7)</formula>
    </cfRule>
    <cfRule type="expression" priority="375" dxfId="4" stopIfTrue="1">
      <formula>AND(A43&lt;&gt;"",A43=Departments!$A$8)</formula>
    </cfRule>
    <cfRule type="expression" priority="376" dxfId="5" stopIfTrue="1">
      <formula>AND(A43&lt;&gt;"",A43=Departments!$A$9)</formula>
    </cfRule>
    <cfRule type="expression" priority="377" dxfId="6" stopIfTrue="1">
      <formula>AND(A43&lt;&gt;"",A43=Departments!$A$10)</formula>
    </cfRule>
    <cfRule type="expression" priority="378" dxfId="7" stopIfTrue="1">
      <formula>AND(A43&lt;&gt;"",A43=Departments!$A$11)</formula>
    </cfRule>
    <cfRule type="expression" priority="379" dxfId="8" stopIfTrue="1">
      <formula>AND(A43&lt;&gt;"",A43=Departments!$A$12)</formula>
    </cfRule>
    <cfRule type="expression" priority="380" dxfId="9" stopIfTrue="1">
      <formula>AND(A43&lt;&gt;"",A43=Departments!$A$13)</formula>
    </cfRule>
  </conditionalFormatting>
  <conditionalFormatting sqref="A44:G45">
    <cfRule type="expression" priority="381" dxfId="0" stopIfTrue="1">
      <formula>A$44=""</formula>
    </cfRule>
  </conditionalFormatting>
  <conditionalFormatting sqref="A45:G45">
    <cfRule type="expression" priority="382" dxfId="1" stopIfTrue="1">
      <formula>AND($C$4&lt;&gt;"",A45=$C$4)</formula>
    </cfRule>
    <cfRule type="expression" priority="383" dxfId="2" stopIfTrue="1">
      <formula>AND(A45&lt;&gt;"",A45=Departments!$A$6)</formula>
    </cfRule>
    <cfRule type="expression" priority="384" dxfId="3" stopIfTrue="1">
      <formula>AND(A45&lt;&gt;"",A45=Departments!$A$7)</formula>
    </cfRule>
    <cfRule type="expression" priority="385" dxfId="4" stopIfTrue="1">
      <formula>AND(A45&lt;&gt;"",A45=Departments!$A$8)</formula>
    </cfRule>
    <cfRule type="expression" priority="386" dxfId="5" stopIfTrue="1">
      <formula>AND(A45&lt;&gt;"",A45=Departments!$A$9)</formula>
    </cfRule>
    <cfRule type="expression" priority="387" dxfId="6" stopIfTrue="1">
      <formula>AND(A45&lt;&gt;"",A45=Departments!$A$10)</formula>
    </cfRule>
    <cfRule type="expression" priority="388" dxfId="7" stopIfTrue="1">
      <formula>AND(A45&lt;&gt;"",A45=Departments!$A$11)</formula>
    </cfRule>
    <cfRule type="expression" priority="389" dxfId="8" stopIfTrue="1">
      <formula>AND(A45&lt;&gt;"",A45=Departments!$A$12)</formula>
    </cfRule>
    <cfRule type="expression" priority="390" dxfId="9" stopIfTrue="1">
      <formula>AND(A45&lt;&gt;"",A45=Departments!$A$13)</formula>
    </cfRule>
  </conditionalFormatting>
  <conditionalFormatting sqref="A46:G47">
    <cfRule type="expression" priority="391" dxfId="0" stopIfTrue="1">
      <formula>A$46=""</formula>
    </cfRule>
  </conditionalFormatting>
  <conditionalFormatting sqref="A47:G47">
    <cfRule type="expression" priority="392" dxfId="1" stopIfTrue="1">
      <formula>AND($C$4&lt;&gt;"",A47=$C$4)</formula>
    </cfRule>
    <cfRule type="expression" priority="393" dxfId="2" stopIfTrue="1">
      <formula>AND(A47&lt;&gt;"",A47=Departments!$A$6)</formula>
    </cfRule>
    <cfRule type="expression" priority="394" dxfId="3" stopIfTrue="1">
      <formula>AND(A47&lt;&gt;"",A47=Departments!$A$7)</formula>
    </cfRule>
    <cfRule type="expression" priority="395" dxfId="4" stopIfTrue="1">
      <formula>AND(A47&lt;&gt;"",A47=Departments!$A$8)</formula>
    </cfRule>
    <cfRule type="expression" priority="396" dxfId="5" stopIfTrue="1">
      <formula>AND(A47&lt;&gt;"",A47=Departments!$A$9)</formula>
    </cfRule>
    <cfRule type="expression" priority="397" dxfId="6" stopIfTrue="1">
      <formula>AND(A47&lt;&gt;"",A47=Departments!$A$10)</formula>
    </cfRule>
    <cfRule type="expression" priority="398" dxfId="7" stopIfTrue="1">
      <formula>AND(A47&lt;&gt;"",A47=Departments!$A$11)</formula>
    </cfRule>
    <cfRule type="expression" priority="399" dxfId="8" stopIfTrue="1">
      <formula>AND(A47&lt;&gt;"",A47=Departments!$A$12)</formula>
    </cfRule>
    <cfRule type="expression" priority="400" dxfId="9" stopIfTrue="1">
      <formula>AND(A47&lt;&gt;"",A47=Departments!$A$13)</formula>
    </cfRule>
  </conditionalFormatting>
  <conditionalFormatting sqref="A48:G49">
    <cfRule type="expression" priority="401" dxfId="0" stopIfTrue="1">
      <formula>A$48=""</formula>
    </cfRule>
  </conditionalFormatting>
  <conditionalFormatting sqref="A49:G49">
    <cfRule type="expression" priority="402" dxfId="1" stopIfTrue="1">
      <formula>AND($C$4&lt;&gt;"",A49=$C$4)</formula>
    </cfRule>
    <cfRule type="expression" priority="403" dxfId="2" stopIfTrue="1">
      <formula>AND(A49&lt;&gt;"",A49=Departments!$A$6)</formula>
    </cfRule>
    <cfRule type="expression" priority="404" dxfId="3" stopIfTrue="1">
      <formula>AND(A49&lt;&gt;"",A49=Departments!$A$7)</formula>
    </cfRule>
    <cfRule type="expression" priority="405" dxfId="4" stopIfTrue="1">
      <formula>AND(A49&lt;&gt;"",A49=Departments!$A$8)</formula>
    </cfRule>
    <cfRule type="expression" priority="406" dxfId="5" stopIfTrue="1">
      <formula>AND(A49&lt;&gt;"",A49=Departments!$A$9)</formula>
    </cfRule>
    <cfRule type="expression" priority="407" dxfId="6" stopIfTrue="1">
      <formula>AND(A49&lt;&gt;"",A49=Departments!$A$10)</formula>
    </cfRule>
    <cfRule type="expression" priority="408" dxfId="7" stopIfTrue="1">
      <formula>AND(A49&lt;&gt;"",A49=Departments!$A$11)</formula>
    </cfRule>
    <cfRule type="expression" priority="409" dxfId="8" stopIfTrue="1">
      <formula>AND(A49&lt;&gt;"",A49=Departments!$A$12)</formula>
    </cfRule>
    <cfRule type="expression" priority="410" dxfId="9" stopIfTrue="1">
      <formula>AND(A49&lt;&gt;"",A49=Departments!$A$13)</formula>
    </cfRule>
  </conditionalFormatting>
  <conditionalFormatting sqref="A50:G51">
    <cfRule type="expression" priority="411" dxfId="0" stopIfTrue="1">
      <formula>A$50=""</formula>
    </cfRule>
  </conditionalFormatting>
  <conditionalFormatting sqref="A51:G51">
    <cfRule type="expression" priority="412" dxfId="1" stopIfTrue="1">
      <formula>AND($C$4&lt;&gt;"",A51=$C$4)</formula>
    </cfRule>
    <cfRule type="expression" priority="413" dxfId="2" stopIfTrue="1">
      <formula>AND(A51&lt;&gt;"",A51=Departments!$A$6)</formula>
    </cfRule>
    <cfRule type="expression" priority="414" dxfId="3" stopIfTrue="1">
      <formula>AND(A51&lt;&gt;"",A51=Departments!$A$7)</formula>
    </cfRule>
    <cfRule type="expression" priority="415" dxfId="4" stopIfTrue="1">
      <formula>AND(A51&lt;&gt;"",A51=Departments!$A$8)</formula>
    </cfRule>
    <cfRule type="expression" priority="416" dxfId="5" stopIfTrue="1">
      <formula>AND(A51&lt;&gt;"",A51=Departments!$A$9)</formula>
    </cfRule>
    <cfRule type="expression" priority="417" dxfId="6" stopIfTrue="1">
      <formula>AND(A51&lt;&gt;"",A51=Departments!$A$10)</formula>
    </cfRule>
    <cfRule type="expression" priority="418" dxfId="7" stopIfTrue="1">
      <formula>AND(A51&lt;&gt;"",A51=Departments!$A$11)</formula>
    </cfRule>
    <cfRule type="expression" priority="419" dxfId="8" stopIfTrue="1">
      <formula>AND(A51&lt;&gt;"",A51=Departments!$A$12)</formula>
    </cfRule>
    <cfRule type="expression" priority="420" dxfId="9" stopIfTrue="1">
      <formula>AND(A51&lt;&gt;"",A51=Departments!$A$13)</formula>
    </cfRule>
  </conditionalFormatting>
  <conditionalFormatting sqref="I40:O41">
    <cfRule type="expression" priority="421" dxfId="0" stopIfTrue="1">
      <formula>I$40=""</formula>
    </cfRule>
  </conditionalFormatting>
  <conditionalFormatting sqref="I41:O41">
    <cfRule type="expression" priority="422" dxfId="1" stopIfTrue="1">
      <formula>AND($C$4&lt;&gt;"",I41=$C$4)</formula>
    </cfRule>
    <cfRule type="expression" priority="423" dxfId="2" stopIfTrue="1">
      <formula>AND(I41&lt;&gt;"",I41=Departments!$A$6)</formula>
    </cfRule>
    <cfRule type="expression" priority="424" dxfId="3" stopIfTrue="1">
      <formula>AND(I41&lt;&gt;"",I41=Departments!$A$7)</formula>
    </cfRule>
    <cfRule type="expression" priority="425" dxfId="4" stopIfTrue="1">
      <formula>AND(I41&lt;&gt;"",I41=Departments!$A$8)</formula>
    </cfRule>
    <cfRule type="expression" priority="426" dxfId="5" stopIfTrue="1">
      <formula>AND(I41&lt;&gt;"",I41=Departments!$A$9)</formula>
    </cfRule>
    <cfRule type="expression" priority="427" dxfId="6" stopIfTrue="1">
      <formula>AND(I41&lt;&gt;"",I41=Departments!$A$10)</formula>
    </cfRule>
    <cfRule type="expression" priority="428" dxfId="7" stopIfTrue="1">
      <formula>AND(I41&lt;&gt;"",I41=Departments!$A$11)</formula>
    </cfRule>
    <cfRule type="expression" priority="429" dxfId="8" stopIfTrue="1">
      <formula>AND(I41&lt;&gt;"",I41=Departments!$A$12)</formula>
    </cfRule>
    <cfRule type="expression" priority="430" dxfId="9" stopIfTrue="1">
      <formula>AND(I41&lt;&gt;"",I41=Departments!$A$13)</formula>
    </cfRule>
  </conditionalFormatting>
  <conditionalFormatting sqref="I42:O43">
    <cfRule type="expression" priority="431" dxfId="0" stopIfTrue="1">
      <formula>I$42=""</formula>
    </cfRule>
  </conditionalFormatting>
  <conditionalFormatting sqref="I43:O43">
    <cfRule type="expression" priority="432" dxfId="1" stopIfTrue="1">
      <formula>AND($C$4&lt;&gt;"",I43=$C$4)</formula>
    </cfRule>
    <cfRule type="expression" priority="433" dxfId="2" stopIfTrue="1">
      <formula>AND(I43&lt;&gt;"",I43=Departments!$A$6)</formula>
    </cfRule>
    <cfRule type="expression" priority="434" dxfId="3" stopIfTrue="1">
      <formula>AND(I43&lt;&gt;"",I43=Departments!$A$7)</formula>
    </cfRule>
    <cfRule type="expression" priority="435" dxfId="4" stopIfTrue="1">
      <formula>AND(I43&lt;&gt;"",I43=Departments!$A$8)</formula>
    </cfRule>
    <cfRule type="expression" priority="436" dxfId="5" stopIfTrue="1">
      <formula>AND(I43&lt;&gt;"",I43=Departments!$A$9)</formula>
    </cfRule>
    <cfRule type="expression" priority="437" dxfId="6" stopIfTrue="1">
      <formula>AND(I43&lt;&gt;"",I43=Departments!$A$10)</formula>
    </cfRule>
    <cfRule type="expression" priority="438" dxfId="7" stopIfTrue="1">
      <formula>AND(I43&lt;&gt;"",I43=Departments!$A$11)</formula>
    </cfRule>
    <cfRule type="expression" priority="439" dxfId="8" stopIfTrue="1">
      <formula>AND(I43&lt;&gt;"",I43=Departments!$A$12)</formula>
    </cfRule>
    <cfRule type="expression" priority="440" dxfId="9" stopIfTrue="1">
      <formula>AND(I43&lt;&gt;"",I43=Departments!$A$13)</formula>
    </cfRule>
  </conditionalFormatting>
  <conditionalFormatting sqref="I44:O45">
    <cfRule type="expression" priority="441" dxfId="0" stopIfTrue="1">
      <formula>I$44=""</formula>
    </cfRule>
  </conditionalFormatting>
  <conditionalFormatting sqref="I45:O45">
    <cfRule type="expression" priority="442" dxfId="1" stopIfTrue="1">
      <formula>AND($C$4&lt;&gt;"",I45=$C$4)</formula>
    </cfRule>
    <cfRule type="expression" priority="443" dxfId="2" stopIfTrue="1">
      <formula>AND(I45&lt;&gt;"",I45=Departments!$A$6)</formula>
    </cfRule>
    <cfRule type="expression" priority="444" dxfId="3" stopIfTrue="1">
      <formula>AND(I45&lt;&gt;"",I45=Departments!$A$7)</formula>
    </cfRule>
    <cfRule type="expression" priority="445" dxfId="4" stopIfTrue="1">
      <formula>AND(I45&lt;&gt;"",I45=Departments!$A$8)</formula>
    </cfRule>
    <cfRule type="expression" priority="446" dxfId="5" stopIfTrue="1">
      <formula>AND(I45&lt;&gt;"",I45=Departments!$A$9)</formula>
    </cfRule>
    <cfRule type="expression" priority="447" dxfId="6" stopIfTrue="1">
      <formula>AND(I45&lt;&gt;"",I45=Departments!$A$10)</formula>
    </cfRule>
    <cfRule type="expression" priority="448" dxfId="7" stopIfTrue="1">
      <formula>AND(I45&lt;&gt;"",I45=Departments!$A$11)</formula>
    </cfRule>
    <cfRule type="expression" priority="449" dxfId="8" stopIfTrue="1">
      <formula>AND(I45&lt;&gt;"",I45=Departments!$A$12)</formula>
    </cfRule>
    <cfRule type="expression" priority="450" dxfId="9" stopIfTrue="1">
      <formula>AND(I45&lt;&gt;"",I45=Departments!$A$13)</formula>
    </cfRule>
  </conditionalFormatting>
  <conditionalFormatting sqref="I46:O47">
    <cfRule type="expression" priority="451" dxfId="0" stopIfTrue="1">
      <formula>I$46=""</formula>
    </cfRule>
  </conditionalFormatting>
  <conditionalFormatting sqref="I47:O47">
    <cfRule type="expression" priority="452" dxfId="1" stopIfTrue="1">
      <formula>AND($C$4&lt;&gt;"",I47=$C$4)</formula>
    </cfRule>
    <cfRule type="expression" priority="453" dxfId="2" stopIfTrue="1">
      <formula>AND(I47&lt;&gt;"",I47=Departments!$A$6)</formula>
    </cfRule>
    <cfRule type="expression" priority="454" dxfId="3" stopIfTrue="1">
      <formula>AND(I47&lt;&gt;"",I47=Departments!$A$7)</formula>
    </cfRule>
    <cfRule type="expression" priority="455" dxfId="4" stopIfTrue="1">
      <formula>AND(I47&lt;&gt;"",I47=Departments!$A$8)</formula>
    </cfRule>
    <cfRule type="expression" priority="456" dxfId="5" stopIfTrue="1">
      <formula>AND(I47&lt;&gt;"",I47=Departments!$A$9)</formula>
    </cfRule>
    <cfRule type="expression" priority="457" dxfId="6" stopIfTrue="1">
      <formula>AND(I47&lt;&gt;"",I47=Departments!$A$10)</formula>
    </cfRule>
    <cfRule type="expression" priority="458" dxfId="7" stopIfTrue="1">
      <formula>AND(I47&lt;&gt;"",I47=Departments!$A$11)</formula>
    </cfRule>
    <cfRule type="expression" priority="459" dxfId="8" stopIfTrue="1">
      <formula>AND(I47&lt;&gt;"",I47=Departments!$A$12)</formula>
    </cfRule>
    <cfRule type="expression" priority="460" dxfId="9" stopIfTrue="1">
      <formula>AND(I47&lt;&gt;"",I47=Departments!$A$13)</formula>
    </cfRule>
  </conditionalFormatting>
  <conditionalFormatting sqref="I48:O49">
    <cfRule type="expression" priority="461" dxfId="0" stopIfTrue="1">
      <formula>I$48=""</formula>
    </cfRule>
  </conditionalFormatting>
  <conditionalFormatting sqref="I49:O49">
    <cfRule type="expression" priority="462" dxfId="1" stopIfTrue="1">
      <formula>AND($C$4&lt;&gt;"",I49=$C$4)</formula>
    </cfRule>
    <cfRule type="expression" priority="463" dxfId="2" stopIfTrue="1">
      <formula>AND(I49&lt;&gt;"",I49=Departments!$A$6)</formula>
    </cfRule>
    <cfRule type="expression" priority="464" dxfId="3" stopIfTrue="1">
      <formula>AND(I49&lt;&gt;"",I49=Departments!$A$7)</formula>
    </cfRule>
    <cfRule type="expression" priority="465" dxfId="4" stopIfTrue="1">
      <formula>AND(I49&lt;&gt;"",I49=Departments!$A$8)</formula>
    </cfRule>
    <cfRule type="expression" priority="466" dxfId="5" stopIfTrue="1">
      <formula>AND(I49&lt;&gt;"",I49=Departments!$A$9)</formula>
    </cfRule>
    <cfRule type="expression" priority="467" dxfId="6" stopIfTrue="1">
      <formula>AND(I49&lt;&gt;"",I49=Departments!$A$10)</formula>
    </cfRule>
    <cfRule type="expression" priority="468" dxfId="7" stopIfTrue="1">
      <formula>AND(I49&lt;&gt;"",I49=Departments!$A$11)</formula>
    </cfRule>
    <cfRule type="expression" priority="469" dxfId="8" stopIfTrue="1">
      <formula>AND(I49&lt;&gt;"",I49=Departments!$A$12)</formula>
    </cfRule>
    <cfRule type="expression" priority="470" dxfId="9" stopIfTrue="1">
      <formula>AND(I49&lt;&gt;"",I49=Departments!$A$13)</formula>
    </cfRule>
  </conditionalFormatting>
  <conditionalFormatting sqref="I50:O51">
    <cfRule type="expression" priority="471" dxfId="0" stopIfTrue="1">
      <formula>I$50=""</formula>
    </cfRule>
  </conditionalFormatting>
  <conditionalFormatting sqref="I51:O51">
    <cfRule type="expression" priority="472" dxfId="1" stopIfTrue="1">
      <formula>AND($C$4&lt;&gt;"",I51=$C$4)</formula>
    </cfRule>
    <cfRule type="expression" priority="473" dxfId="2" stopIfTrue="1">
      <formula>AND(I51&lt;&gt;"",I51=Departments!$A$6)</formula>
    </cfRule>
    <cfRule type="expression" priority="474" dxfId="3" stopIfTrue="1">
      <formula>AND(I51&lt;&gt;"",I51=Departments!$A$7)</formula>
    </cfRule>
    <cfRule type="expression" priority="475" dxfId="4" stopIfTrue="1">
      <formula>AND(I51&lt;&gt;"",I51=Departments!$A$8)</formula>
    </cfRule>
    <cfRule type="expression" priority="476" dxfId="5" stopIfTrue="1">
      <formula>AND(I51&lt;&gt;"",I51=Departments!$A$9)</formula>
    </cfRule>
    <cfRule type="expression" priority="477" dxfId="6" stopIfTrue="1">
      <formula>AND(I51&lt;&gt;"",I51=Departments!$A$10)</formula>
    </cfRule>
    <cfRule type="expression" priority="478" dxfId="7" stopIfTrue="1">
      <formula>AND(I51&lt;&gt;"",I51=Departments!$A$11)</formula>
    </cfRule>
    <cfRule type="expression" priority="479" dxfId="8" stopIfTrue="1">
      <formula>AND(I51&lt;&gt;"",I51=Departments!$A$12)</formula>
    </cfRule>
    <cfRule type="expression" priority="480" dxfId="9" stopIfTrue="1">
      <formula>AND(I51&lt;&gt;"",I51=Departments!$A$13)</formula>
    </cfRule>
  </conditionalFormatting>
  <conditionalFormatting sqref="Q40:W41">
    <cfRule type="expression" priority="481" dxfId="0" stopIfTrue="1">
      <formula>Q$40=""</formula>
    </cfRule>
  </conditionalFormatting>
  <conditionalFormatting sqref="Q41:W41">
    <cfRule type="expression" priority="482" dxfId="1" stopIfTrue="1">
      <formula>AND($C$4&lt;&gt;"",Q41=$C$4)</formula>
    </cfRule>
    <cfRule type="expression" priority="483" dxfId="2" stopIfTrue="1">
      <formula>AND(Q41&lt;&gt;"",Q41=Departments!$A$6)</formula>
    </cfRule>
    <cfRule type="expression" priority="484" dxfId="3" stopIfTrue="1">
      <formula>AND(Q41&lt;&gt;"",Q41=Departments!$A$7)</formula>
    </cfRule>
    <cfRule type="expression" priority="485" dxfId="4" stopIfTrue="1">
      <formula>AND(Q41&lt;&gt;"",Q41=Departments!$A$8)</formula>
    </cfRule>
    <cfRule type="expression" priority="486" dxfId="5" stopIfTrue="1">
      <formula>AND(Q41&lt;&gt;"",Q41=Departments!$A$9)</formula>
    </cfRule>
    <cfRule type="expression" priority="487" dxfId="6" stopIfTrue="1">
      <formula>AND(Q41&lt;&gt;"",Q41=Departments!$A$10)</formula>
    </cfRule>
    <cfRule type="expression" priority="488" dxfId="7" stopIfTrue="1">
      <formula>AND(Q41&lt;&gt;"",Q41=Departments!$A$11)</formula>
    </cfRule>
    <cfRule type="expression" priority="489" dxfId="8" stopIfTrue="1">
      <formula>AND(Q41&lt;&gt;"",Q41=Departments!$A$12)</formula>
    </cfRule>
    <cfRule type="expression" priority="490" dxfId="9" stopIfTrue="1">
      <formula>AND(Q41&lt;&gt;"",Q41=Departments!$A$13)</formula>
    </cfRule>
  </conditionalFormatting>
  <conditionalFormatting sqref="Q42:W43">
    <cfRule type="expression" priority="491" dxfId="0" stopIfTrue="1">
      <formula>Q$42=""</formula>
    </cfRule>
  </conditionalFormatting>
  <conditionalFormatting sqref="Q43:W43">
    <cfRule type="expression" priority="492" dxfId="1" stopIfTrue="1">
      <formula>AND($C$4&lt;&gt;"",Q43=$C$4)</formula>
    </cfRule>
    <cfRule type="expression" priority="493" dxfId="2" stopIfTrue="1">
      <formula>AND(Q43&lt;&gt;"",Q43=Departments!$A$6)</formula>
    </cfRule>
    <cfRule type="expression" priority="494" dxfId="3" stopIfTrue="1">
      <formula>AND(Q43&lt;&gt;"",Q43=Departments!$A$7)</formula>
    </cfRule>
    <cfRule type="expression" priority="495" dxfId="4" stopIfTrue="1">
      <formula>AND(Q43&lt;&gt;"",Q43=Departments!$A$8)</formula>
    </cfRule>
    <cfRule type="expression" priority="496" dxfId="5" stopIfTrue="1">
      <formula>AND(Q43&lt;&gt;"",Q43=Departments!$A$9)</formula>
    </cfRule>
    <cfRule type="expression" priority="497" dxfId="6" stopIfTrue="1">
      <formula>AND(Q43&lt;&gt;"",Q43=Departments!$A$10)</formula>
    </cfRule>
    <cfRule type="expression" priority="498" dxfId="7" stopIfTrue="1">
      <formula>AND(Q43&lt;&gt;"",Q43=Departments!$A$11)</formula>
    </cfRule>
    <cfRule type="expression" priority="499" dxfId="8" stopIfTrue="1">
      <formula>AND(Q43&lt;&gt;"",Q43=Departments!$A$12)</formula>
    </cfRule>
    <cfRule type="expression" priority="500" dxfId="9" stopIfTrue="1">
      <formula>AND(Q43&lt;&gt;"",Q43=Departments!$A$13)</formula>
    </cfRule>
  </conditionalFormatting>
  <conditionalFormatting sqref="Q44:W45">
    <cfRule type="expression" priority="501" dxfId="0" stopIfTrue="1">
      <formula>Q$44=""</formula>
    </cfRule>
  </conditionalFormatting>
  <conditionalFormatting sqref="Q45:W45">
    <cfRule type="expression" priority="502" dxfId="1" stopIfTrue="1">
      <formula>AND($C$4&lt;&gt;"",Q45=$C$4)</formula>
    </cfRule>
    <cfRule type="expression" priority="503" dxfId="2" stopIfTrue="1">
      <formula>AND(Q45&lt;&gt;"",Q45=Departments!$A$6)</formula>
    </cfRule>
    <cfRule type="expression" priority="504" dxfId="3" stopIfTrue="1">
      <formula>AND(Q45&lt;&gt;"",Q45=Departments!$A$7)</formula>
    </cfRule>
    <cfRule type="expression" priority="505" dxfId="4" stopIfTrue="1">
      <formula>AND(Q45&lt;&gt;"",Q45=Departments!$A$8)</formula>
    </cfRule>
    <cfRule type="expression" priority="506" dxfId="5" stopIfTrue="1">
      <formula>AND(Q45&lt;&gt;"",Q45=Departments!$A$9)</formula>
    </cfRule>
    <cfRule type="expression" priority="507" dxfId="6" stopIfTrue="1">
      <formula>AND(Q45&lt;&gt;"",Q45=Departments!$A$10)</formula>
    </cfRule>
    <cfRule type="expression" priority="508" dxfId="7" stopIfTrue="1">
      <formula>AND(Q45&lt;&gt;"",Q45=Departments!$A$11)</formula>
    </cfRule>
    <cfRule type="expression" priority="509" dxfId="8" stopIfTrue="1">
      <formula>AND(Q45&lt;&gt;"",Q45=Departments!$A$12)</formula>
    </cfRule>
    <cfRule type="expression" priority="510" dxfId="9" stopIfTrue="1">
      <formula>AND(Q45&lt;&gt;"",Q45=Departments!$A$13)</formula>
    </cfRule>
  </conditionalFormatting>
  <conditionalFormatting sqref="Q46:W47">
    <cfRule type="expression" priority="511" dxfId="0" stopIfTrue="1">
      <formula>Q$46=""</formula>
    </cfRule>
  </conditionalFormatting>
  <conditionalFormatting sqref="Q47:W47">
    <cfRule type="expression" priority="512" dxfId="1" stopIfTrue="1">
      <formula>AND($C$4&lt;&gt;"",Q47=$C$4)</formula>
    </cfRule>
    <cfRule type="expression" priority="513" dxfId="2" stopIfTrue="1">
      <formula>AND(Q47&lt;&gt;"",Q47=Departments!$A$6)</formula>
    </cfRule>
    <cfRule type="expression" priority="514" dxfId="3" stopIfTrue="1">
      <formula>AND(Q47&lt;&gt;"",Q47=Departments!$A$7)</formula>
    </cfRule>
    <cfRule type="expression" priority="515" dxfId="4" stopIfTrue="1">
      <formula>AND(Q47&lt;&gt;"",Q47=Departments!$A$8)</formula>
    </cfRule>
    <cfRule type="expression" priority="516" dxfId="5" stopIfTrue="1">
      <formula>AND(Q47&lt;&gt;"",Q47=Departments!$A$9)</formula>
    </cfRule>
    <cfRule type="expression" priority="517" dxfId="6" stopIfTrue="1">
      <formula>AND(Q47&lt;&gt;"",Q47=Departments!$A$10)</formula>
    </cfRule>
    <cfRule type="expression" priority="518" dxfId="7" stopIfTrue="1">
      <formula>AND(Q47&lt;&gt;"",Q47=Departments!$A$11)</formula>
    </cfRule>
    <cfRule type="expression" priority="519" dxfId="8" stopIfTrue="1">
      <formula>AND(Q47&lt;&gt;"",Q47=Departments!$A$12)</formula>
    </cfRule>
    <cfRule type="expression" priority="520" dxfId="9" stopIfTrue="1">
      <formula>AND(Q47&lt;&gt;"",Q47=Departments!$A$13)</formula>
    </cfRule>
  </conditionalFormatting>
  <conditionalFormatting sqref="Q48:W49">
    <cfRule type="expression" priority="521" dxfId="0" stopIfTrue="1">
      <formula>Q$48=""</formula>
    </cfRule>
  </conditionalFormatting>
  <conditionalFormatting sqref="Q49:W49">
    <cfRule type="expression" priority="522" dxfId="1" stopIfTrue="1">
      <formula>AND($C$4&lt;&gt;"",Q49=$C$4)</formula>
    </cfRule>
    <cfRule type="expression" priority="523" dxfId="2" stopIfTrue="1">
      <formula>AND(Q49&lt;&gt;"",Q49=Departments!$A$6)</formula>
    </cfRule>
    <cfRule type="expression" priority="524" dxfId="3" stopIfTrue="1">
      <formula>AND(Q49&lt;&gt;"",Q49=Departments!$A$7)</formula>
    </cfRule>
    <cfRule type="expression" priority="525" dxfId="4" stopIfTrue="1">
      <formula>AND(Q49&lt;&gt;"",Q49=Departments!$A$8)</formula>
    </cfRule>
    <cfRule type="expression" priority="526" dxfId="5" stopIfTrue="1">
      <formula>AND(Q49&lt;&gt;"",Q49=Departments!$A$9)</formula>
    </cfRule>
    <cfRule type="expression" priority="527" dxfId="6" stopIfTrue="1">
      <formula>AND(Q49&lt;&gt;"",Q49=Departments!$A$10)</formula>
    </cfRule>
    <cfRule type="expression" priority="528" dxfId="7" stopIfTrue="1">
      <formula>AND(Q49&lt;&gt;"",Q49=Departments!$A$11)</formula>
    </cfRule>
    <cfRule type="expression" priority="529" dxfId="8" stopIfTrue="1">
      <formula>AND(Q49&lt;&gt;"",Q49=Departments!$A$12)</formula>
    </cfRule>
    <cfRule type="expression" priority="530" dxfId="9" stopIfTrue="1">
      <formula>AND(Q49&lt;&gt;"",Q49=Departments!$A$13)</formula>
    </cfRule>
  </conditionalFormatting>
  <conditionalFormatting sqref="Q50:W51">
    <cfRule type="expression" priority="531" dxfId="0" stopIfTrue="1">
      <formula>Q$50=""</formula>
    </cfRule>
  </conditionalFormatting>
  <conditionalFormatting sqref="Q51:W51">
    <cfRule type="expression" priority="532" dxfId="1" stopIfTrue="1">
      <formula>AND($C$4&lt;&gt;"",Q51=$C$4)</formula>
    </cfRule>
    <cfRule type="expression" priority="533" dxfId="2" stopIfTrue="1">
      <formula>AND(Q51&lt;&gt;"",Q51=Departments!$A$6)</formula>
    </cfRule>
    <cfRule type="expression" priority="534" dxfId="3" stopIfTrue="1">
      <formula>AND(Q51&lt;&gt;"",Q51=Departments!$A$7)</formula>
    </cfRule>
    <cfRule type="expression" priority="535" dxfId="4" stopIfTrue="1">
      <formula>AND(Q51&lt;&gt;"",Q51=Departments!$A$8)</formula>
    </cfRule>
    <cfRule type="expression" priority="536" dxfId="5" stopIfTrue="1">
      <formula>AND(Q51&lt;&gt;"",Q51=Departments!$A$9)</formula>
    </cfRule>
    <cfRule type="expression" priority="537" dxfId="6" stopIfTrue="1">
      <formula>AND(Q51&lt;&gt;"",Q51=Departments!$A$10)</formula>
    </cfRule>
    <cfRule type="expression" priority="538" dxfId="7" stopIfTrue="1">
      <formula>AND(Q51&lt;&gt;"",Q51=Departments!$A$11)</formula>
    </cfRule>
    <cfRule type="expression" priority="539" dxfId="8" stopIfTrue="1">
      <formula>AND(Q51&lt;&gt;"",Q51=Departments!$A$12)</formula>
    </cfRule>
    <cfRule type="expression" priority="540" dxfId="9" stopIfTrue="1">
      <formula>AND(Q51&lt;&gt;"",Q51=Departments!$A$13)</formula>
    </cfRule>
  </conditionalFormatting>
  <conditionalFormatting sqref="A56:G57">
    <cfRule type="expression" priority="541" dxfId="0" stopIfTrue="1">
      <formula>A$56=""</formula>
    </cfRule>
  </conditionalFormatting>
  <conditionalFormatting sqref="A57:G57">
    <cfRule type="expression" priority="542" dxfId="1" stopIfTrue="1">
      <formula>AND($C$4&lt;&gt;"",A57=$C$4)</formula>
    </cfRule>
    <cfRule type="expression" priority="543" dxfId="2" stopIfTrue="1">
      <formula>AND(A57&lt;&gt;"",A57=Departments!$A$6)</formula>
    </cfRule>
    <cfRule type="expression" priority="544" dxfId="3" stopIfTrue="1">
      <formula>AND(A57&lt;&gt;"",A57=Departments!$A$7)</formula>
    </cfRule>
    <cfRule type="expression" priority="545" dxfId="4" stopIfTrue="1">
      <formula>AND(A57&lt;&gt;"",A57=Departments!$A$8)</formula>
    </cfRule>
    <cfRule type="expression" priority="546" dxfId="5" stopIfTrue="1">
      <formula>AND(A57&lt;&gt;"",A57=Departments!$A$9)</formula>
    </cfRule>
    <cfRule type="expression" priority="547" dxfId="6" stopIfTrue="1">
      <formula>AND(A57&lt;&gt;"",A57=Departments!$A$10)</formula>
    </cfRule>
    <cfRule type="expression" priority="548" dxfId="7" stopIfTrue="1">
      <formula>AND(A57&lt;&gt;"",A57=Departments!$A$11)</formula>
    </cfRule>
    <cfRule type="expression" priority="549" dxfId="8" stopIfTrue="1">
      <formula>AND(A57&lt;&gt;"",A57=Departments!$A$12)</formula>
    </cfRule>
    <cfRule type="expression" priority="550" dxfId="9" stopIfTrue="1">
      <formula>AND(A57&lt;&gt;"",A57=Departments!$A$13)</formula>
    </cfRule>
  </conditionalFormatting>
  <conditionalFormatting sqref="A58:G59">
    <cfRule type="expression" priority="551" dxfId="0" stopIfTrue="1">
      <formula>A$58=""</formula>
    </cfRule>
  </conditionalFormatting>
  <conditionalFormatting sqref="A59:G59">
    <cfRule type="expression" priority="552" dxfId="1" stopIfTrue="1">
      <formula>AND($C$4&lt;&gt;"",A59=$C$4)</formula>
    </cfRule>
    <cfRule type="expression" priority="553" dxfId="2" stopIfTrue="1">
      <formula>AND(A59&lt;&gt;"",A59=Departments!$A$6)</formula>
    </cfRule>
    <cfRule type="expression" priority="554" dxfId="3" stopIfTrue="1">
      <formula>AND(A59&lt;&gt;"",A59=Departments!$A$7)</formula>
    </cfRule>
    <cfRule type="expression" priority="555" dxfId="4" stopIfTrue="1">
      <formula>AND(A59&lt;&gt;"",A59=Departments!$A$8)</formula>
    </cfRule>
    <cfRule type="expression" priority="556" dxfId="5" stopIfTrue="1">
      <formula>AND(A59&lt;&gt;"",A59=Departments!$A$9)</formula>
    </cfRule>
    <cfRule type="expression" priority="557" dxfId="6" stopIfTrue="1">
      <formula>AND(A59&lt;&gt;"",A59=Departments!$A$10)</formula>
    </cfRule>
    <cfRule type="expression" priority="558" dxfId="7" stopIfTrue="1">
      <formula>AND(A59&lt;&gt;"",A59=Departments!$A$11)</formula>
    </cfRule>
    <cfRule type="expression" priority="559" dxfId="8" stopIfTrue="1">
      <formula>AND(A59&lt;&gt;"",A59=Departments!$A$12)</formula>
    </cfRule>
    <cfRule type="expression" priority="560" dxfId="9" stopIfTrue="1">
      <formula>AND(A59&lt;&gt;"",A59=Departments!$A$13)</formula>
    </cfRule>
  </conditionalFormatting>
  <conditionalFormatting sqref="A60:G61">
    <cfRule type="expression" priority="561" dxfId="0" stopIfTrue="1">
      <formula>A$60=""</formula>
    </cfRule>
  </conditionalFormatting>
  <conditionalFormatting sqref="A61:G61">
    <cfRule type="expression" priority="562" dxfId="1" stopIfTrue="1">
      <formula>AND($C$4&lt;&gt;"",A61=$C$4)</formula>
    </cfRule>
    <cfRule type="expression" priority="563" dxfId="2" stopIfTrue="1">
      <formula>AND(A61&lt;&gt;"",A61=Departments!$A$6)</formula>
    </cfRule>
    <cfRule type="expression" priority="564" dxfId="3" stopIfTrue="1">
      <formula>AND(A61&lt;&gt;"",A61=Departments!$A$7)</formula>
    </cfRule>
    <cfRule type="expression" priority="565" dxfId="4" stopIfTrue="1">
      <formula>AND(A61&lt;&gt;"",A61=Departments!$A$8)</formula>
    </cfRule>
    <cfRule type="expression" priority="566" dxfId="5" stopIfTrue="1">
      <formula>AND(A61&lt;&gt;"",A61=Departments!$A$9)</formula>
    </cfRule>
    <cfRule type="expression" priority="567" dxfId="6" stopIfTrue="1">
      <formula>AND(A61&lt;&gt;"",A61=Departments!$A$10)</formula>
    </cfRule>
    <cfRule type="expression" priority="568" dxfId="7" stopIfTrue="1">
      <formula>AND(A61&lt;&gt;"",A61=Departments!$A$11)</formula>
    </cfRule>
    <cfRule type="expression" priority="569" dxfId="8" stopIfTrue="1">
      <formula>AND(A61&lt;&gt;"",A61=Departments!$A$12)</formula>
    </cfRule>
    <cfRule type="expression" priority="570" dxfId="9" stopIfTrue="1">
      <formula>AND(A61&lt;&gt;"",A61=Departments!$A$13)</formula>
    </cfRule>
  </conditionalFormatting>
  <conditionalFormatting sqref="A62:G63">
    <cfRule type="expression" priority="571" dxfId="0" stopIfTrue="1">
      <formula>A$62=""</formula>
    </cfRule>
  </conditionalFormatting>
  <conditionalFormatting sqref="A63:G63">
    <cfRule type="expression" priority="572" dxfId="1" stopIfTrue="1">
      <formula>AND($C$4&lt;&gt;"",A63=$C$4)</formula>
    </cfRule>
    <cfRule type="expression" priority="573" dxfId="2" stopIfTrue="1">
      <formula>AND(A63&lt;&gt;"",A63=Departments!$A$6)</formula>
    </cfRule>
    <cfRule type="expression" priority="574" dxfId="3" stopIfTrue="1">
      <formula>AND(A63&lt;&gt;"",A63=Departments!$A$7)</formula>
    </cfRule>
    <cfRule type="expression" priority="575" dxfId="4" stopIfTrue="1">
      <formula>AND(A63&lt;&gt;"",A63=Departments!$A$8)</formula>
    </cfRule>
    <cfRule type="expression" priority="576" dxfId="5" stopIfTrue="1">
      <formula>AND(A63&lt;&gt;"",A63=Departments!$A$9)</formula>
    </cfRule>
    <cfRule type="expression" priority="577" dxfId="6" stopIfTrue="1">
      <formula>AND(A63&lt;&gt;"",A63=Departments!$A$10)</formula>
    </cfRule>
    <cfRule type="expression" priority="578" dxfId="7" stopIfTrue="1">
      <formula>AND(A63&lt;&gt;"",A63=Departments!$A$11)</formula>
    </cfRule>
    <cfRule type="expression" priority="579" dxfId="8" stopIfTrue="1">
      <formula>AND(A63&lt;&gt;"",A63=Departments!$A$12)</formula>
    </cfRule>
    <cfRule type="expression" priority="580" dxfId="9" stopIfTrue="1">
      <formula>AND(A63&lt;&gt;"",A63=Departments!$A$13)</formula>
    </cfRule>
  </conditionalFormatting>
  <conditionalFormatting sqref="A64:G65">
    <cfRule type="expression" priority="581" dxfId="0" stopIfTrue="1">
      <formula>A$64=""</formula>
    </cfRule>
  </conditionalFormatting>
  <conditionalFormatting sqref="A65:G65">
    <cfRule type="expression" priority="582" dxfId="1" stopIfTrue="1">
      <formula>AND($C$4&lt;&gt;"",A65=$C$4)</formula>
    </cfRule>
    <cfRule type="expression" priority="583" dxfId="2" stopIfTrue="1">
      <formula>AND(A65&lt;&gt;"",A65=Departments!$A$6)</formula>
    </cfRule>
    <cfRule type="expression" priority="584" dxfId="3" stopIfTrue="1">
      <formula>AND(A65&lt;&gt;"",A65=Departments!$A$7)</formula>
    </cfRule>
    <cfRule type="expression" priority="585" dxfId="4" stopIfTrue="1">
      <formula>AND(A65&lt;&gt;"",A65=Departments!$A$8)</formula>
    </cfRule>
    <cfRule type="expression" priority="586" dxfId="5" stopIfTrue="1">
      <formula>AND(A65&lt;&gt;"",A65=Departments!$A$9)</formula>
    </cfRule>
    <cfRule type="expression" priority="587" dxfId="6" stopIfTrue="1">
      <formula>AND(A65&lt;&gt;"",A65=Departments!$A$10)</formula>
    </cfRule>
    <cfRule type="expression" priority="588" dxfId="7" stopIfTrue="1">
      <formula>AND(A65&lt;&gt;"",A65=Departments!$A$11)</formula>
    </cfRule>
    <cfRule type="expression" priority="589" dxfId="8" stopIfTrue="1">
      <formula>AND(A65&lt;&gt;"",A65=Departments!$A$12)</formula>
    </cfRule>
    <cfRule type="expression" priority="590" dxfId="9" stopIfTrue="1">
      <formula>AND(A65&lt;&gt;"",A65=Departments!$A$13)</formula>
    </cfRule>
  </conditionalFormatting>
  <conditionalFormatting sqref="A66:G67">
    <cfRule type="expression" priority="591" dxfId="0" stopIfTrue="1">
      <formula>A$66=""</formula>
    </cfRule>
  </conditionalFormatting>
  <conditionalFormatting sqref="A67:G67">
    <cfRule type="expression" priority="592" dxfId="1" stopIfTrue="1">
      <formula>AND($C$4&lt;&gt;"",A67=$C$4)</formula>
    </cfRule>
    <cfRule type="expression" priority="593" dxfId="2" stopIfTrue="1">
      <formula>AND(A67&lt;&gt;"",A67=Departments!$A$6)</formula>
    </cfRule>
    <cfRule type="expression" priority="594" dxfId="3" stopIfTrue="1">
      <formula>AND(A67&lt;&gt;"",A67=Departments!$A$7)</formula>
    </cfRule>
    <cfRule type="expression" priority="595" dxfId="4" stopIfTrue="1">
      <formula>AND(A67&lt;&gt;"",A67=Departments!$A$8)</formula>
    </cfRule>
    <cfRule type="expression" priority="596" dxfId="5" stopIfTrue="1">
      <formula>AND(A67&lt;&gt;"",A67=Departments!$A$9)</formula>
    </cfRule>
    <cfRule type="expression" priority="597" dxfId="6" stopIfTrue="1">
      <formula>AND(A67&lt;&gt;"",A67=Departments!$A$10)</formula>
    </cfRule>
    <cfRule type="expression" priority="598" dxfId="7" stopIfTrue="1">
      <formula>AND(A67&lt;&gt;"",A67=Departments!$A$11)</formula>
    </cfRule>
    <cfRule type="expression" priority="599" dxfId="8" stopIfTrue="1">
      <formula>AND(A67&lt;&gt;"",A67=Departments!$A$12)</formula>
    </cfRule>
    <cfRule type="expression" priority="600" dxfId="9" stopIfTrue="1">
      <formula>AND(A67&lt;&gt;"",A67=Departments!$A$13)</formula>
    </cfRule>
  </conditionalFormatting>
  <conditionalFormatting sqref="I56:O57">
    <cfRule type="expression" priority="601" dxfId="0" stopIfTrue="1">
      <formula>I$56=""</formula>
    </cfRule>
  </conditionalFormatting>
  <conditionalFormatting sqref="I57:O57">
    <cfRule type="expression" priority="602" dxfId="1" stopIfTrue="1">
      <formula>AND($C$4&lt;&gt;"",I57=$C$4)</formula>
    </cfRule>
    <cfRule type="expression" priority="603" dxfId="2" stopIfTrue="1">
      <formula>AND(I57&lt;&gt;"",I57=Departments!$A$6)</formula>
    </cfRule>
    <cfRule type="expression" priority="604" dxfId="3" stopIfTrue="1">
      <formula>AND(I57&lt;&gt;"",I57=Departments!$A$7)</formula>
    </cfRule>
    <cfRule type="expression" priority="605" dxfId="4" stopIfTrue="1">
      <formula>AND(I57&lt;&gt;"",I57=Departments!$A$8)</formula>
    </cfRule>
    <cfRule type="expression" priority="606" dxfId="5" stopIfTrue="1">
      <formula>AND(I57&lt;&gt;"",I57=Departments!$A$9)</formula>
    </cfRule>
    <cfRule type="expression" priority="607" dxfId="6" stopIfTrue="1">
      <formula>AND(I57&lt;&gt;"",I57=Departments!$A$10)</formula>
    </cfRule>
    <cfRule type="expression" priority="608" dxfId="7" stopIfTrue="1">
      <formula>AND(I57&lt;&gt;"",I57=Departments!$A$11)</formula>
    </cfRule>
    <cfRule type="expression" priority="609" dxfId="8" stopIfTrue="1">
      <formula>AND(I57&lt;&gt;"",I57=Departments!$A$12)</formula>
    </cfRule>
    <cfRule type="expression" priority="610" dxfId="9" stopIfTrue="1">
      <formula>AND(I57&lt;&gt;"",I57=Departments!$A$13)</formula>
    </cfRule>
  </conditionalFormatting>
  <conditionalFormatting sqref="I58:O59">
    <cfRule type="expression" priority="611" dxfId="0" stopIfTrue="1">
      <formula>I$58=""</formula>
    </cfRule>
  </conditionalFormatting>
  <conditionalFormatting sqref="I59:O59">
    <cfRule type="expression" priority="612" dxfId="1" stopIfTrue="1">
      <formula>AND($C$4&lt;&gt;"",I59=$C$4)</formula>
    </cfRule>
    <cfRule type="expression" priority="613" dxfId="2" stopIfTrue="1">
      <formula>AND(I59&lt;&gt;"",I59=Departments!$A$6)</formula>
    </cfRule>
    <cfRule type="expression" priority="614" dxfId="3" stopIfTrue="1">
      <formula>AND(I59&lt;&gt;"",I59=Departments!$A$7)</formula>
    </cfRule>
    <cfRule type="expression" priority="615" dxfId="4" stopIfTrue="1">
      <formula>AND(I59&lt;&gt;"",I59=Departments!$A$8)</formula>
    </cfRule>
    <cfRule type="expression" priority="616" dxfId="5" stopIfTrue="1">
      <formula>AND(I59&lt;&gt;"",I59=Departments!$A$9)</formula>
    </cfRule>
    <cfRule type="expression" priority="617" dxfId="6" stopIfTrue="1">
      <formula>AND(I59&lt;&gt;"",I59=Departments!$A$10)</formula>
    </cfRule>
    <cfRule type="expression" priority="618" dxfId="7" stopIfTrue="1">
      <formula>AND(I59&lt;&gt;"",I59=Departments!$A$11)</formula>
    </cfRule>
    <cfRule type="expression" priority="619" dxfId="8" stopIfTrue="1">
      <formula>AND(I59&lt;&gt;"",I59=Departments!$A$12)</formula>
    </cfRule>
    <cfRule type="expression" priority="620" dxfId="9" stopIfTrue="1">
      <formula>AND(I59&lt;&gt;"",I59=Departments!$A$13)</formula>
    </cfRule>
  </conditionalFormatting>
  <conditionalFormatting sqref="I60:O61">
    <cfRule type="expression" priority="621" dxfId="0" stopIfTrue="1">
      <formula>I$60=""</formula>
    </cfRule>
  </conditionalFormatting>
  <conditionalFormatting sqref="I61:O61">
    <cfRule type="expression" priority="622" dxfId="1" stopIfTrue="1">
      <formula>AND($C$4&lt;&gt;"",I61=$C$4)</formula>
    </cfRule>
    <cfRule type="expression" priority="623" dxfId="2" stopIfTrue="1">
      <formula>AND(I61&lt;&gt;"",I61=Departments!$A$6)</formula>
    </cfRule>
    <cfRule type="expression" priority="624" dxfId="3" stopIfTrue="1">
      <formula>AND(I61&lt;&gt;"",I61=Departments!$A$7)</formula>
    </cfRule>
    <cfRule type="expression" priority="625" dxfId="4" stopIfTrue="1">
      <formula>AND(I61&lt;&gt;"",I61=Departments!$A$8)</formula>
    </cfRule>
    <cfRule type="expression" priority="626" dxfId="5" stopIfTrue="1">
      <formula>AND(I61&lt;&gt;"",I61=Departments!$A$9)</formula>
    </cfRule>
    <cfRule type="expression" priority="627" dxfId="6" stopIfTrue="1">
      <formula>AND(I61&lt;&gt;"",I61=Departments!$A$10)</formula>
    </cfRule>
    <cfRule type="expression" priority="628" dxfId="7" stopIfTrue="1">
      <formula>AND(I61&lt;&gt;"",I61=Departments!$A$11)</formula>
    </cfRule>
    <cfRule type="expression" priority="629" dxfId="8" stopIfTrue="1">
      <formula>AND(I61&lt;&gt;"",I61=Departments!$A$12)</formula>
    </cfRule>
    <cfRule type="expression" priority="630" dxfId="9" stopIfTrue="1">
      <formula>AND(I61&lt;&gt;"",I61=Departments!$A$13)</formula>
    </cfRule>
  </conditionalFormatting>
  <conditionalFormatting sqref="I62:O63">
    <cfRule type="expression" priority="631" dxfId="0" stopIfTrue="1">
      <formula>I$62=""</formula>
    </cfRule>
  </conditionalFormatting>
  <conditionalFormatting sqref="I63:O63">
    <cfRule type="expression" priority="632" dxfId="1" stopIfTrue="1">
      <formula>AND($C$4&lt;&gt;"",I63=$C$4)</formula>
    </cfRule>
    <cfRule type="expression" priority="633" dxfId="2" stopIfTrue="1">
      <formula>AND(I63&lt;&gt;"",I63=Departments!$A$6)</formula>
    </cfRule>
    <cfRule type="expression" priority="634" dxfId="3" stopIfTrue="1">
      <formula>AND(I63&lt;&gt;"",I63=Departments!$A$7)</formula>
    </cfRule>
    <cfRule type="expression" priority="635" dxfId="4" stopIfTrue="1">
      <formula>AND(I63&lt;&gt;"",I63=Departments!$A$8)</formula>
    </cfRule>
    <cfRule type="expression" priority="636" dxfId="5" stopIfTrue="1">
      <formula>AND(I63&lt;&gt;"",I63=Departments!$A$9)</formula>
    </cfRule>
    <cfRule type="expression" priority="637" dxfId="6" stopIfTrue="1">
      <formula>AND(I63&lt;&gt;"",I63=Departments!$A$10)</formula>
    </cfRule>
    <cfRule type="expression" priority="638" dxfId="7" stopIfTrue="1">
      <formula>AND(I63&lt;&gt;"",I63=Departments!$A$11)</formula>
    </cfRule>
    <cfRule type="expression" priority="639" dxfId="8" stopIfTrue="1">
      <formula>AND(I63&lt;&gt;"",I63=Departments!$A$12)</formula>
    </cfRule>
    <cfRule type="expression" priority="640" dxfId="9" stopIfTrue="1">
      <formula>AND(I63&lt;&gt;"",I63=Departments!$A$13)</formula>
    </cfRule>
  </conditionalFormatting>
  <conditionalFormatting sqref="I64:O65">
    <cfRule type="expression" priority="641" dxfId="0" stopIfTrue="1">
      <formula>I$64=""</formula>
    </cfRule>
  </conditionalFormatting>
  <conditionalFormatting sqref="I65:O65">
    <cfRule type="expression" priority="642" dxfId="1" stopIfTrue="1">
      <formula>AND($C$4&lt;&gt;"",I65=$C$4)</formula>
    </cfRule>
    <cfRule type="expression" priority="643" dxfId="2" stopIfTrue="1">
      <formula>AND(I65&lt;&gt;"",I65=Departments!$A$6)</formula>
    </cfRule>
    <cfRule type="expression" priority="644" dxfId="3" stopIfTrue="1">
      <formula>AND(I65&lt;&gt;"",I65=Departments!$A$7)</formula>
    </cfRule>
    <cfRule type="expression" priority="645" dxfId="4" stopIfTrue="1">
      <formula>AND(I65&lt;&gt;"",I65=Departments!$A$8)</formula>
    </cfRule>
    <cfRule type="expression" priority="646" dxfId="5" stopIfTrue="1">
      <formula>AND(I65&lt;&gt;"",I65=Departments!$A$9)</formula>
    </cfRule>
    <cfRule type="expression" priority="647" dxfId="6" stopIfTrue="1">
      <formula>AND(I65&lt;&gt;"",I65=Departments!$A$10)</formula>
    </cfRule>
    <cfRule type="expression" priority="648" dxfId="7" stopIfTrue="1">
      <formula>AND(I65&lt;&gt;"",I65=Departments!$A$11)</formula>
    </cfRule>
    <cfRule type="expression" priority="649" dxfId="8" stopIfTrue="1">
      <formula>AND(I65&lt;&gt;"",I65=Departments!$A$12)</formula>
    </cfRule>
    <cfRule type="expression" priority="650" dxfId="9" stopIfTrue="1">
      <formula>AND(I65&lt;&gt;"",I65=Departments!$A$13)</formula>
    </cfRule>
  </conditionalFormatting>
  <conditionalFormatting sqref="I66:O67">
    <cfRule type="expression" priority="651" dxfId="0" stopIfTrue="1">
      <formula>I$66=""</formula>
    </cfRule>
  </conditionalFormatting>
  <conditionalFormatting sqref="I67:O67">
    <cfRule type="expression" priority="652" dxfId="1" stopIfTrue="1">
      <formula>AND($C$4&lt;&gt;"",I67=$C$4)</formula>
    </cfRule>
    <cfRule type="expression" priority="653" dxfId="2" stopIfTrue="1">
      <formula>AND(I67&lt;&gt;"",I67=Departments!$A$6)</formula>
    </cfRule>
    <cfRule type="expression" priority="654" dxfId="3" stopIfTrue="1">
      <formula>AND(I67&lt;&gt;"",I67=Departments!$A$7)</formula>
    </cfRule>
    <cfRule type="expression" priority="655" dxfId="4" stopIfTrue="1">
      <formula>AND(I67&lt;&gt;"",I67=Departments!$A$8)</formula>
    </cfRule>
    <cfRule type="expression" priority="656" dxfId="5" stopIfTrue="1">
      <formula>AND(I67&lt;&gt;"",I67=Departments!$A$9)</formula>
    </cfRule>
    <cfRule type="expression" priority="657" dxfId="6" stopIfTrue="1">
      <formula>AND(I67&lt;&gt;"",I67=Departments!$A$10)</formula>
    </cfRule>
    <cfRule type="expression" priority="658" dxfId="7" stopIfTrue="1">
      <formula>AND(I67&lt;&gt;"",I67=Departments!$A$11)</formula>
    </cfRule>
    <cfRule type="expression" priority="659" dxfId="8" stopIfTrue="1">
      <formula>AND(I67&lt;&gt;"",I67=Departments!$A$12)</formula>
    </cfRule>
    <cfRule type="expression" priority="660" dxfId="9" stopIfTrue="1">
      <formula>AND(I67&lt;&gt;"",I67=Departments!$A$13)</formula>
    </cfRule>
  </conditionalFormatting>
  <conditionalFormatting sqref="Q56:W57">
    <cfRule type="expression" priority="661" dxfId="0" stopIfTrue="1">
      <formula>Q$56=""</formula>
    </cfRule>
  </conditionalFormatting>
  <conditionalFormatting sqref="Q57:W57">
    <cfRule type="expression" priority="662" dxfId="1" stopIfTrue="1">
      <formula>AND($C$4&lt;&gt;"",Q57=$C$4)</formula>
    </cfRule>
    <cfRule type="expression" priority="663" dxfId="2" stopIfTrue="1">
      <formula>AND(Q57&lt;&gt;"",Q57=Departments!$A$6)</formula>
    </cfRule>
    <cfRule type="expression" priority="664" dxfId="3" stopIfTrue="1">
      <formula>AND(Q57&lt;&gt;"",Q57=Departments!$A$7)</formula>
    </cfRule>
    <cfRule type="expression" priority="665" dxfId="4" stopIfTrue="1">
      <formula>AND(Q57&lt;&gt;"",Q57=Departments!$A$8)</formula>
    </cfRule>
    <cfRule type="expression" priority="666" dxfId="5" stopIfTrue="1">
      <formula>AND(Q57&lt;&gt;"",Q57=Departments!$A$9)</formula>
    </cfRule>
    <cfRule type="expression" priority="667" dxfId="6" stopIfTrue="1">
      <formula>AND(Q57&lt;&gt;"",Q57=Departments!$A$10)</formula>
    </cfRule>
    <cfRule type="expression" priority="668" dxfId="7" stopIfTrue="1">
      <formula>AND(Q57&lt;&gt;"",Q57=Departments!$A$11)</formula>
    </cfRule>
    <cfRule type="expression" priority="669" dxfId="8" stopIfTrue="1">
      <formula>AND(Q57&lt;&gt;"",Q57=Departments!$A$12)</formula>
    </cfRule>
    <cfRule type="expression" priority="670" dxfId="9" stopIfTrue="1">
      <formula>AND(Q57&lt;&gt;"",Q57=Departments!$A$13)</formula>
    </cfRule>
  </conditionalFormatting>
  <conditionalFormatting sqref="Q58:W59">
    <cfRule type="expression" priority="671" dxfId="0" stopIfTrue="1">
      <formula>Q$58=""</formula>
    </cfRule>
  </conditionalFormatting>
  <conditionalFormatting sqref="Q59:W59">
    <cfRule type="expression" priority="672" dxfId="1" stopIfTrue="1">
      <formula>AND($C$4&lt;&gt;"",Q59=$C$4)</formula>
    </cfRule>
    <cfRule type="expression" priority="673" dxfId="2" stopIfTrue="1">
      <formula>AND(Q59&lt;&gt;"",Q59=Departments!$A$6)</formula>
    </cfRule>
    <cfRule type="expression" priority="674" dxfId="3" stopIfTrue="1">
      <formula>AND(Q59&lt;&gt;"",Q59=Departments!$A$7)</formula>
    </cfRule>
    <cfRule type="expression" priority="675" dxfId="4" stopIfTrue="1">
      <formula>AND(Q59&lt;&gt;"",Q59=Departments!$A$8)</formula>
    </cfRule>
    <cfRule type="expression" priority="676" dxfId="5" stopIfTrue="1">
      <formula>AND(Q59&lt;&gt;"",Q59=Departments!$A$9)</formula>
    </cfRule>
    <cfRule type="expression" priority="677" dxfId="6" stopIfTrue="1">
      <formula>AND(Q59&lt;&gt;"",Q59=Departments!$A$10)</formula>
    </cfRule>
    <cfRule type="expression" priority="678" dxfId="7" stopIfTrue="1">
      <formula>AND(Q59&lt;&gt;"",Q59=Departments!$A$11)</formula>
    </cfRule>
    <cfRule type="expression" priority="679" dxfId="8" stopIfTrue="1">
      <formula>AND(Q59&lt;&gt;"",Q59=Departments!$A$12)</formula>
    </cfRule>
    <cfRule type="expression" priority="680" dxfId="9" stopIfTrue="1">
      <formula>AND(Q59&lt;&gt;"",Q59=Departments!$A$13)</formula>
    </cfRule>
  </conditionalFormatting>
  <conditionalFormatting sqref="Q60:W61">
    <cfRule type="expression" priority="681" dxfId="0" stopIfTrue="1">
      <formula>Q$60=""</formula>
    </cfRule>
  </conditionalFormatting>
  <conditionalFormatting sqref="Q61:W61">
    <cfRule type="expression" priority="682" dxfId="1" stopIfTrue="1">
      <formula>AND($C$4&lt;&gt;"",Q61=$C$4)</formula>
    </cfRule>
    <cfRule type="expression" priority="683" dxfId="2" stopIfTrue="1">
      <formula>AND(Q61&lt;&gt;"",Q61=Departments!$A$6)</formula>
    </cfRule>
    <cfRule type="expression" priority="684" dxfId="3" stopIfTrue="1">
      <formula>AND(Q61&lt;&gt;"",Q61=Departments!$A$7)</formula>
    </cfRule>
    <cfRule type="expression" priority="685" dxfId="4" stopIfTrue="1">
      <formula>AND(Q61&lt;&gt;"",Q61=Departments!$A$8)</formula>
    </cfRule>
    <cfRule type="expression" priority="686" dxfId="5" stopIfTrue="1">
      <formula>AND(Q61&lt;&gt;"",Q61=Departments!$A$9)</formula>
    </cfRule>
    <cfRule type="expression" priority="687" dxfId="6" stopIfTrue="1">
      <formula>AND(Q61&lt;&gt;"",Q61=Departments!$A$10)</formula>
    </cfRule>
    <cfRule type="expression" priority="688" dxfId="7" stopIfTrue="1">
      <formula>AND(Q61&lt;&gt;"",Q61=Departments!$A$11)</formula>
    </cfRule>
    <cfRule type="expression" priority="689" dxfId="8" stopIfTrue="1">
      <formula>AND(Q61&lt;&gt;"",Q61=Departments!$A$12)</formula>
    </cfRule>
    <cfRule type="expression" priority="690" dxfId="9" stopIfTrue="1">
      <formula>AND(Q61&lt;&gt;"",Q61=Departments!$A$13)</formula>
    </cfRule>
  </conditionalFormatting>
  <conditionalFormatting sqref="Q62:W63">
    <cfRule type="expression" priority="691" dxfId="0" stopIfTrue="1">
      <formula>Q$62=""</formula>
    </cfRule>
  </conditionalFormatting>
  <conditionalFormatting sqref="Q63:W63">
    <cfRule type="expression" priority="692" dxfId="1" stopIfTrue="1">
      <formula>AND($C$4&lt;&gt;"",Q63=$C$4)</formula>
    </cfRule>
    <cfRule type="expression" priority="693" dxfId="2" stopIfTrue="1">
      <formula>AND(Q63&lt;&gt;"",Q63=Departments!$A$6)</formula>
    </cfRule>
    <cfRule type="expression" priority="694" dxfId="3" stopIfTrue="1">
      <formula>AND(Q63&lt;&gt;"",Q63=Departments!$A$7)</formula>
    </cfRule>
    <cfRule type="expression" priority="695" dxfId="4" stopIfTrue="1">
      <formula>AND(Q63&lt;&gt;"",Q63=Departments!$A$8)</formula>
    </cfRule>
    <cfRule type="expression" priority="696" dxfId="5" stopIfTrue="1">
      <formula>AND(Q63&lt;&gt;"",Q63=Departments!$A$9)</formula>
    </cfRule>
    <cfRule type="expression" priority="697" dxfId="6" stopIfTrue="1">
      <formula>AND(Q63&lt;&gt;"",Q63=Departments!$A$10)</formula>
    </cfRule>
    <cfRule type="expression" priority="698" dxfId="7" stopIfTrue="1">
      <formula>AND(Q63&lt;&gt;"",Q63=Departments!$A$11)</formula>
    </cfRule>
    <cfRule type="expression" priority="699" dxfId="8" stopIfTrue="1">
      <formula>AND(Q63&lt;&gt;"",Q63=Departments!$A$12)</formula>
    </cfRule>
    <cfRule type="expression" priority="700" dxfId="9" stopIfTrue="1">
      <formula>AND(Q63&lt;&gt;"",Q63=Departments!$A$13)</formula>
    </cfRule>
  </conditionalFormatting>
  <conditionalFormatting sqref="Q64:W65">
    <cfRule type="expression" priority="701" dxfId="0" stopIfTrue="1">
      <formula>Q$64=""</formula>
    </cfRule>
  </conditionalFormatting>
  <conditionalFormatting sqref="Q65:W65">
    <cfRule type="expression" priority="702" dxfId="1" stopIfTrue="1">
      <formula>AND($C$4&lt;&gt;"",Q65=$C$4)</formula>
    </cfRule>
    <cfRule type="expression" priority="703" dxfId="2" stopIfTrue="1">
      <formula>AND(Q65&lt;&gt;"",Q65=Departments!$A$6)</formula>
    </cfRule>
    <cfRule type="expression" priority="704" dxfId="3" stopIfTrue="1">
      <formula>AND(Q65&lt;&gt;"",Q65=Departments!$A$7)</formula>
    </cfRule>
    <cfRule type="expression" priority="705" dxfId="4" stopIfTrue="1">
      <formula>AND(Q65&lt;&gt;"",Q65=Departments!$A$8)</formula>
    </cfRule>
    <cfRule type="expression" priority="706" dxfId="5" stopIfTrue="1">
      <formula>AND(Q65&lt;&gt;"",Q65=Departments!$A$9)</formula>
    </cfRule>
    <cfRule type="expression" priority="707" dxfId="6" stopIfTrue="1">
      <formula>AND(Q65&lt;&gt;"",Q65=Departments!$A$10)</formula>
    </cfRule>
    <cfRule type="expression" priority="708" dxfId="7" stopIfTrue="1">
      <formula>AND(Q65&lt;&gt;"",Q65=Departments!$A$11)</formula>
    </cfRule>
    <cfRule type="expression" priority="709" dxfId="8" stopIfTrue="1">
      <formula>AND(Q65&lt;&gt;"",Q65=Departments!$A$12)</formula>
    </cfRule>
    <cfRule type="expression" priority="710" dxfId="9" stopIfTrue="1">
      <formula>AND(Q65&lt;&gt;"",Q65=Departments!$A$13)</formula>
    </cfRule>
  </conditionalFormatting>
  <conditionalFormatting sqref="Q66:W67">
    <cfRule type="expression" priority="711" dxfId="0" stopIfTrue="1">
      <formula>Q$66=""</formula>
    </cfRule>
  </conditionalFormatting>
  <conditionalFormatting sqref="Q67:W67">
    <cfRule type="expression" priority="712" dxfId="1" stopIfTrue="1">
      <formula>AND($C$4&lt;&gt;"",Q67=$C$4)</formula>
    </cfRule>
    <cfRule type="expression" priority="713" dxfId="2" stopIfTrue="1">
      <formula>AND(Q67&lt;&gt;"",Q67=Departments!$A$6)</formula>
    </cfRule>
    <cfRule type="expression" priority="714" dxfId="3" stopIfTrue="1">
      <formula>AND(Q67&lt;&gt;"",Q67=Departments!$A$7)</formula>
    </cfRule>
    <cfRule type="expression" priority="715" dxfId="4" stopIfTrue="1">
      <formula>AND(Q67&lt;&gt;"",Q67=Departments!$A$8)</formula>
    </cfRule>
    <cfRule type="expression" priority="716" dxfId="5" stopIfTrue="1">
      <formula>AND(Q67&lt;&gt;"",Q67=Departments!$A$9)</formula>
    </cfRule>
    <cfRule type="expression" priority="717" dxfId="6" stopIfTrue="1">
      <formula>AND(Q67&lt;&gt;"",Q67=Departments!$A$10)</formula>
    </cfRule>
    <cfRule type="expression" priority="718" dxfId="7" stopIfTrue="1">
      <formula>AND(Q67&lt;&gt;"",Q67=Departments!$A$11)</formula>
    </cfRule>
    <cfRule type="expression" priority="719" dxfId="8" stopIfTrue="1">
      <formula>AND(Q67&lt;&gt;"",Q67=Departments!$A$12)</formula>
    </cfRule>
    <cfRule type="expression" priority="720" dxfId="9" stopIfTrue="1">
      <formula>AND(Q67&lt;&gt;"",Q67=Departments!$A$13)</formula>
    </cfRule>
  </conditionalFormatting>
  <conditionalFormatting sqref="A72:G73">
    <cfRule type="expression" priority="721" dxfId="0" stopIfTrue="1">
      <formula>A$72=""</formula>
    </cfRule>
  </conditionalFormatting>
  <conditionalFormatting sqref="A73:G73">
    <cfRule type="expression" priority="722" dxfId="1" stopIfTrue="1">
      <formula>AND($C$4&lt;&gt;"",A73=$C$4)</formula>
    </cfRule>
    <cfRule type="expression" priority="723" dxfId="2" stopIfTrue="1">
      <formula>AND(A73&lt;&gt;"",A73=Departments!$A$6)</formula>
    </cfRule>
    <cfRule type="expression" priority="724" dxfId="3" stopIfTrue="1">
      <formula>AND(A73&lt;&gt;"",A73=Departments!$A$7)</formula>
    </cfRule>
    <cfRule type="expression" priority="725" dxfId="4" stopIfTrue="1">
      <formula>AND(A73&lt;&gt;"",A73=Departments!$A$8)</formula>
    </cfRule>
    <cfRule type="expression" priority="726" dxfId="5" stopIfTrue="1">
      <formula>AND(A73&lt;&gt;"",A73=Departments!$A$9)</formula>
    </cfRule>
    <cfRule type="expression" priority="727" dxfId="6" stopIfTrue="1">
      <formula>AND(A73&lt;&gt;"",A73=Departments!$A$10)</formula>
    </cfRule>
    <cfRule type="expression" priority="728" dxfId="7" stopIfTrue="1">
      <formula>AND(A73&lt;&gt;"",A73=Departments!$A$11)</formula>
    </cfRule>
    <cfRule type="expression" priority="729" dxfId="8" stopIfTrue="1">
      <formula>AND(A73&lt;&gt;"",A73=Departments!$A$12)</formula>
    </cfRule>
    <cfRule type="expression" priority="730" dxfId="9" stopIfTrue="1">
      <formula>AND(A73&lt;&gt;"",A73=Departments!$A$13)</formula>
    </cfRule>
  </conditionalFormatting>
  <conditionalFormatting sqref="A74:G75">
    <cfRule type="expression" priority="731" dxfId="0" stopIfTrue="1">
      <formula>A$74=""</formula>
    </cfRule>
  </conditionalFormatting>
  <conditionalFormatting sqref="A75:G75">
    <cfRule type="expression" priority="732" dxfId="1" stopIfTrue="1">
      <formula>AND($C$4&lt;&gt;"",A75=$C$4)</formula>
    </cfRule>
    <cfRule type="expression" priority="733" dxfId="2" stopIfTrue="1">
      <formula>AND(A75&lt;&gt;"",A75=Departments!$A$6)</formula>
    </cfRule>
    <cfRule type="expression" priority="734" dxfId="3" stopIfTrue="1">
      <formula>AND(A75&lt;&gt;"",A75=Departments!$A$7)</formula>
    </cfRule>
    <cfRule type="expression" priority="735" dxfId="4" stopIfTrue="1">
      <formula>AND(A75&lt;&gt;"",A75=Departments!$A$8)</formula>
    </cfRule>
    <cfRule type="expression" priority="736" dxfId="5" stopIfTrue="1">
      <formula>AND(A75&lt;&gt;"",A75=Departments!$A$9)</formula>
    </cfRule>
    <cfRule type="expression" priority="737" dxfId="6" stopIfTrue="1">
      <formula>AND(A75&lt;&gt;"",A75=Departments!$A$10)</formula>
    </cfRule>
    <cfRule type="expression" priority="738" dxfId="7" stopIfTrue="1">
      <formula>AND(A75&lt;&gt;"",A75=Departments!$A$11)</formula>
    </cfRule>
    <cfRule type="expression" priority="739" dxfId="8" stopIfTrue="1">
      <formula>AND(A75&lt;&gt;"",A75=Departments!$A$12)</formula>
    </cfRule>
    <cfRule type="expression" priority="740" dxfId="9" stopIfTrue="1">
      <formula>AND(A75&lt;&gt;"",A75=Departments!$A$13)</formula>
    </cfRule>
  </conditionalFormatting>
  <conditionalFormatting sqref="A76:G77">
    <cfRule type="expression" priority="741" dxfId="0" stopIfTrue="1">
      <formula>A$76=""</formula>
    </cfRule>
  </conditionalFormatting>
  <conditionalFormatting sqref="A77:G77">
    <cfRule type="expression" priority="742" dxfId="1" stopIfTrue="1">
      <formula>AND($C$4&lt;&gt;"",A77=$C$4)</formula>
    </cfRule>
    <cfRule type="expression" priority="743" dxfId="2" stopIfTrue="1">
      <formula>AND(A77&lt;&gt;"",A77=Departments!$A$6)</formula>
    </cfRule>
    <cfRule type="expression" priority="744" dxfId="3" stopIfTrue="1">
      <formula>AND(A77&lt;&gt;"",A77=Departments!$A$7)</formula>
    </cfRule>
    <cfRule type="expression" priority="745" dxfId="4" stopIfTrue="1">
      <formula>AND(A77&lt;&gt;"",A77=Departments!$A$8)</formula>
    </cfRule>
    <cfRule type="expression" priority="746" dxfId="5" stopIfTrue="1">
      <formula>AND(A77&lt;&gt;"",A77=Departments!$A$9)</formula>
    </cfRule>
    <cfRule type="expression" priority="747" dxfId="6" stopIfTrue="1">
      <formula>AND(A77&lt;&gt;"",A77=Departments!$A$10)</formula>
    </cfRule>
    <cfRule type="expression" priority="748" dxfId="7" stopIfTrue="1">
      <formula>AND(A77&lt;&gt;"",A77=Departments!$A$11)</formula>
    </cfRule>
    <cfRule type="expression" priority="749" dxfId="8" stopIfTrue="1">
      <formula>AND(A77&lt;&gt;"",A77=Departments!$A$12)</formula>
    </cfRule>
    <cfRule type="expression" priority="750" dxfId="9" stopIfTrue="1">
      <formula>AND(A77&lt;&gt;"",A77=Departments!$A$13)</formula>
    </cfRule>
  </conditionalFormatting>
  <conditionalFormatting sqref="A78:G79">
    <cfRule type="expression" priority="751" dxfId="0" stopIfTrue="1">
      <formula>A$78=""</formula>
    </cfRule>
  </conditionalFormatting>
  <conditionalFormatting sqref="A79:G79">
    <cfRule type="expression" priority="752" dxfId="1" stopIfTrue="1">
      <formula>AND($C$4&lt;&gt;"",A79=$C$4)</formula>
    </cfRule>
    <cfRule type="expression" priority="753" dxfId="2" stopIfTrue="1">
      <formula>AND(A79&lt;&gt;"",A79=Departments!$A$6)</formula>
    </cfRule>
    <cfRule type="expression" priority="754" dxfId="3" stopIfTrue="1">
      <formula>AND(A79&lt;&gt;"",A79=Departments!$A$7)</formula>
    </cfRule>
    <cfRule type="expression" priority="755" dxfId="4" stopIfTrue="1">
      <formula>AND(A79&lt;&gt;"",A79=Departments!$A$8)</formula>
    </cfRule>
    <cfRule type="expression" priority="756" dxfId="5" stopIfTrue="1">
      <formula>AND(A79&lt;&gt;"",A79=Departments!$A$9)</formula>
    </cfRule>
    <cfRule type="expression" priority="757" dxfId="6" stopIfTrue="1">
      <formula>AND(A79&lt;&gt;"",A79=Departments!$A$10)</formula>
    </cfRule>
    <cfRule type="expression" priority="758" dxfId="7" stopIfTrue="1">
      <formula>AND(A79&lt;&gt;"",A79=Departments!$A$11)</formula>
    </cfRule>
    <cfRule type="expression" priority="759" dxfId="8" stopIfTrue="1">
      <formula>AND(A79&lt;&gt;"",A79=Departments!$A$12)</formula>
    </cfRule>
    <cfRule type="expression" priority="760" dxfId="9" stopIfTrue="1">
      <formula>AND(A79&lt;&gt;"",A79=Departments!$A$13)</formula>
    </cfRule>
  </conditionalFormatting>
  <conditionalFormatting sqref="A80:G81">
    <cfRule type="expression" priority="761" dxfId="0" stopIfTrue="1">
      <formula>A$80=""</formula>
    </cfRule>
  </conditionalFormatting>
  <conditionalFormatting sqref="A81:G81">
    <cfRule type="expression" priority="762" dxfId="1" stopIfTrue="1">
      <formula>AND($C$4&lt;&gt;"",A81=$C$4)</formula>
    </cfRule>
    <cfRule type="expression" priority="763" dxfId="2" stopIfTrue="1">
      <formula>AND(A81&lt;&gt;"",A81=Departments!$A$6)</formula>
    </cfRule>
    <cfRule type="expression" priority="764" dxfId="3" stopIfTrue="1">
      <formula>AND(A81&lt;&gt;"",A81=Departments!$A$7)</formula>
    </cfRule>
    <cfRule type="expression" priority="765" dxfId="4" stopIfTrue="1">
      <formula>AND(A81&lt;&gt;"",A81=Departments!$A$8)</formula>
    </cfRule>
    <cfRule type="expression" priority="766" dxfId="5" stopIfTrue="1">
      <formula>AND(A81&lt;&gt;"",A81=Departments!$A$9)</formula>
    </cfRule>
    <cfRule type="expression" priority="767" dxfId="6" stopIfTrue="1">
      <formula>AND(A81&lt;&gt;"",A81=Departments!$A$10)</formula>
    </cfRule>
    <cfRule type="expression" priority="768" dxfId="7" stopIfTrue="1">
      <formula>AND(A81&lt;&gt;"",A81=Departments!$A$11)</formula>
    </cfRule>
    <cfRule type="expression" priority="769" dxfId="8" stopIfTrue="1">
      <formula>AND(A81&lt;&gt;"",A81=Departments!$A$12)</formula>
    </cfRule>
    <cfRule type="expression" priority="770" dxfId="9" stopIfTrue="1">
      <formula>AND(A81&lt;&gt;"",A81=Departments!$A$13)</formula>
    </cfRule>
  </conditionalFormatting>
  <conditionalFormatting sqref="A82:G83">
    <cfRule type="expression" priority="771" dxfId="0" stopIfTrue="1">
      <formula>A$82=""</formula>
    </cfRule>
  </conditionalFormatting>
  <conditionalFormatting sqref="A83:G83">
    <cfRule type="expression" priority="772" dxfId="1" stopIfTrue="1">
      <formula>AND($C$4&lt;&gt;"",A83=$C$4)</formula>
    </cfRule>
    <cfRule type="expression" priority="773" dxfId="2" stopIfTrue="1">
      <formula>AND(A83&lt;&gt;"",A83=Departments!$A$6)</formula>
    </cfRule>
    <cfRule type="expression" priority="774" dxfId="3" stopIfTrue="1">
      <formula>AND(A83&lt;&gt;"",A83=Departments!$A$7)</formula>
    </cfRule>
    <cfRule type="expression" priority="775" dxfId="4" stopIfTrue="1">
      <formula>AND(A83&lt;&gt;"",A83=Departments!$A$8)</formula>
    </cfRule>
    <cfRule type="expression" priority="776" dxfId="5" stopIfTrue="1">
      <formula>AND(A83&lt;&gt;"",A83=Departments!$A$9)</formula>
    </cfRule>
    <cfRule type="expression" priority="777" dxfId="6" stopIfTrue="1">
      <formula>AND(A83&lt;&gt;"",A83=Departments!$A$10)</formula>
    </cfRule>
    <cfRule type="expression" priority="778" dxfId="7" stopIfTrue="1">
      <formula>AND(A83&lt;&gt;"",A83=Departments!$A$11)</formula>
    </cfRule>
    <cfRule type="expression" priority="779" dxfId="8" stopIfTrue="1">
      <formula>AND(A83&lt;&gt;"",A83=Departments!$A$12)</formula>
    </cfRule>
    <cfRule type="expression" priority="780" dxfId="9" stopIfTrue="1">
      <formula>AND(A83&lt;&gt;"",A83=Departments!$A$13)</formula>
    </cfRule>
  </conditionalFormatting>
  <conditionalFormatting sqref="AA5:AJ5">
    <cfRule type="expression" priority="781" dxfId="2" stopIfTrue="1">
      <formula>AND(AA5&lt;&gt;"",AA5=Departments!$A$6)</formula>
    </cfRule>
    <cfRule type="expression" priority="782" dxfId="3" stopIfTrue="1">
      <formula>AND(AA5&lt;&gt;"",AA5=Departments!$A$7)</formula>
    </cfRule>
    <cfRule type="expression" priority="783" dxfId="4" stopIfTrue="1">
      <formula>AND(AA5&lt;&gt;"",AA5=Departments!$A$8)</formula>
    </cfRule>
    <cfRule type="expression" priority="784" dxfId="5" stopIfTrue="1">
      <formula>AND(AA5&lt;&gt;"",AA5=Departments!$A$9)</formula>
    </cfRule>
    <cfRule type="expression" priority="785" dxfId="6" stopIfTrue="1">
      <formula>AND(AA5&lt;&gt;"",AA5=Departments!$A$10)</formula>
    </cfRule>
    <cfRule type="expression" priority="786" dxfId="7" stopIfTrue="1">
      <formula>AND(AA5&lt;&gt;"",AA5=Departments!$A$11)</formula>
    </cfRule>
    <cfRule type="expression" priority="787" dxfId="8" stopIfTrue="1">
      <formula>AND(AA5&lt;&gt;"",AA5=Departments!$A$12)</formula>
    </cfRule>
    <cfRule type="expression" priority="788" dxfId="9" stopIfTrue="1">
      <formula>AND(AA5&lt;&gt;"",AA5=Departments!$A$13)</formula>
    </cfRule>
  </conditionalFormatting>
  <dataValidations count="2">
    <dataValidation sqref="C4" showDropDown="0" showInputMessage="0" showErrorMessage="0" allowBlank="1" type="list">
      <formula1>Depts</formula1>
    </dataValidation>
    <dataValidation sqref="A9:G9 A11:G11 A13:G13 A15:G15 A17:G17 A19:G19 A25:G25 A27:G27 A29:G29 A31:G31 A33:G33 A35:G35 A41:G41 A43:G43 A45:G45 A47:G47 A49:G49 A51:G51 A57:G57 A59:G59 A61:G61 A63:G63 A65:G65 A67:G67 A73:G73 A75:G75 A77:G77 A79:G79 A81:G81 A83:G83 I9:O9 I11:O11 I13:O13 I15:O15 I17:O17 I19:O19 I25:O25 I27:O27 I29:O29 I31:O31 I33:O33 I35:O35 I41:O41 I43:O43 I45:O45 I47:O47 I49:O49 I51:O51 I57:O57 I59:O59 I61:O61 I63:O63 I65:O65 I67:O67 Q9:W9 Q11:W11 Q13:W13 Q15:W15 Q17:W17 Q19:W19 Q25:W25 Q27:W27 Q29:W29 Q31:W31 Q33:W33 Q35:W35 Q41:W41 Q43:W43 Q45:W45 Q47:W47 Q49:W49 Q51:W51 Q57:W57 Q59:W59 Q61:W61 Q63:W63 Q65:W65 Q67:W67" showDropDown="0" showInputMessage="0" showErrorMessage="1" allowBlank="1" errorTitle="BDO department" error="Pick a department from the list. Departments are listed on the Departments sheet." type="list" errorStyle="stop">
      <formula1>Depts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E123C"/>
    <outlinePr summaryBelow="1" summaryRight="1"/>
    <pageSetUpPr/>
  </sheetPr>
  <dimension ref="A1:AK8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" customWidth="1" min="24" max="24"/>
    <col width="2" customWidth="1" min="25" max="25"/>
    <col width="11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2" customWidth="1" min="37" max="37"/>
  </cols>
  <sheetData>
    <row r="1" ht="30" customHeight="1">
      <c r="A1" s="1" t="inlineStr">
        <is>
          <t>SDO PLANNING CALENDAR  |  SQUADRON DUTY ORDERLY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18" customHeight="1">
      <c r="A2" s="3" t="inlineStr">
        <is>
          <t>Pick the department on SDO duty for each day. The table on the right lists each department's dates. Who can do SDO: the Duty Crew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4" ht="22" customHeight="1">
      <c r="A4" s="4" t="inlineStr">
        <is>
          <t>HIGHLIGHT DEPT</t>
        </is>
      </c>
      <c r="C4" s="9" t="n"/>
      <c r="E4" s="10" t="inlineStr">
        <is>
          <t>Pick a department to highlight its days.</t>
        </is>
      </c>
      <c r="Z4" s="11" t="inlineStr">
        <is>
          <t>SDO DATES BY DEPARTMENT (filled in automatically)</t>
        </is>
      </c>
    </row>
    <row r="5">
      <c r="Z5" s="12" t="inlineStr">
        <is>
          <t>Month</t>
        </is>
      </c>
      <c r="AA5" s="12">
        <f>IF(Departments!$A$6="","",Departments!$A$6)</f>
        <v/>
      </c>
      <c r="AB5" s="12">
        <f>IF(Departments!$A$7="","",Departments!$A$7)</f>
        <v/>
      </c>
      <c r="AC5" s="12">
        <f>IF(Departments!$A$8="","",Departments!$A$8)</f>
        <v/>
      </c>
      <c r="AD5" s="12">
        <f>IF(Departments!$A$9="","",Departments!$A$9)</f>
        <v/>
      </c>
      <c r="AE5" s="12">
        <f>IF(Departments!$A$10="","",Departments!$A$10)</f>
        <v/>
      </c>
      <c r="AF5" s="12">
        <f>IF(Departments!$A$11="","",Departments!$A$11)</f>
        <v/>
      </c>
      <c r="AG5" s="12">
        <f>IF(Departments!$A$12="","",Departments!$A$12)</f>
        <v/>
      </c>
      <c r="AH5" s="12">
        <f>IF(Departments!$A$13="","",Departments!$A$13)</f>
        <v/>
      </c>
      <c r="AI5" s="12">
        <f>IF(Departments!$A$14="","",Departments!$A$14)</f>
        <v/>
      </c>
      <c r="AJ5" s="12">
        <f>IF(Departments!$A$15="","",Departments!$A$15)</f>
        <v/>
      </c>
      <c r="AK5" s="12" t="inlineStr">
        <is>
          <t>Days not set</t>
        </is>
      </c>
    </row>
    <row r="6" ht="26" customHeight="1">
      <c r="A6" s="24">
        <f>UPPER(TEXT(DATE(PlanYear,1,1),"mmmm yyyy"))&amp;"  ·  SDO"</f>
        <v/>
      </c>
      <c r="B6" s="25" t="n"/>
      <c r="C6" s="25" t="n"/>
      <c r="D6" s="25" t="n"/>
      <c r="E6" s="25" t="n"/>
      <c r="F6" s="25" t="n"/>
      <c r="G6" s="25" t="n"/>
      <c r="I6" s="24">
        <f>UPPER(TEXT(DATE(PlanYear,2,1),"mmmm yyyy"))&amp;"  ·  SDO"</f>
        <v/>
      </c>
      <c r="J6" s="25" t="n"/>
      <c r="K6" s="25" t="n"/>
      <c r="L6" s="25" t="n"/>
      <c r="M6" s="25" t="n"/>
      <c r="N6" s="25" t="n"/>
      <c r="O6" s="25" t="n"/>
      <c r="Q6" s="24">
        <f>UPPER(TEXT(DATE(PlanYear,3,1),"mmmm yyyy"))&amp;"  ·  SDO"</f>
        <v/>
      </c>
      <c r="R6" s="25" t="n"/>
      <c r="S6" s="25" t="n"/>
      <c r="T6" s="25" t="n"/>
      <c r="U6" s="25" t="n"/>
      <c r="V6" s="25" t="n"/>
      <c r="W6" s="25" t="n"/>
      <c r="Z6" s="15" t="inlineStr">
        <is>
          <t>January</t>
        </is>
      </c>
      <c r="AA6" s="16">
        <f>IF(AA$5="","",MID(IF(INDEX($A$9:$G$19,2*INT((0+WEEKDAY(DATE(PlanYear,1,1),2)-1)/7)+1,MOD(0+WEEKDAY(DATE(PlanYear,1,1),2)-1,7)+1)=AA$5,", "&amp;1,"")&amp;IF(INDEX($A$9:$G$19,2*INT((1+WEEKDAY(DATE(PlanYear,1,1),2)-1)/7)+1,MOD(1+WEEKDAY(DATE(PlanYear,1,1),2)-1,7)+1)=AA$5,", "&amp;2,"")&amp;IF(INDEX($A$9:$G$19,2*INT((2+WEEKDAY(DATE(PlanYear,1,1),2)-1)/7)+1,MOD(2+WEEKDAY(DATE(PlanYear,1,1),2)-1,7)+1)=AA$5,", "&amp;3,"")&amp;IF(INDEX($A$9:$G$19,2*INT((3+WEEKDAY(DATE(PlanYear,1,1),2)-1)/7)+1,MOD(3+WEEKDAY(DATE(PlanYear,1,1),2)-1,7)+1)=AA$5,", "&amp;4,"")&amp;IF(INDEX($A$9:$G$19,2*INT((4+WEEKDAY(DATE(PlanYear,1,1),2)-1)/7)+1,MOD(4+WEEKDAY(DATE(PlanYear,1,1),2)-1,7)+1)=AA$5,", "&amp;5,"")&amp;IF(INDEX($A$9:$G$19,2*INT((5+WEEKDAY(DATE(PlanYear,1,1),2)-1)/7)+1,MOD(5+WEEKDAY(DATE(PlanYear,1,1),2)-1,7)+1)=AA$5,", "&amp;6,"")&amp;IF(INDEX($A$9:$G$19,2*INT((6+WEEKDAY(DATE(PlanYear,1,1),2)-1)/7)+1,MOD(6+WEEKDAY(DATE(PlanYear,1,1),2)-1,7)+1)=AA$5,", "&amp;7,"")&amp;IF(INDEX($A$9:$G$19,2*INT((7+WEEKDAY(DATE(PlanYear,1,1),2)-1)/7)+1,MOD(7+WEEKDAY(DATE(PlanYear,1,1),2)-1,7)+1)=AA$5,", "&amp;8,"")&amp;IF(INDEX($A$9:$G$19,2*INT((8+WEEKDAY(DATE(PlanYear,1,1),2)-1)/7)+1,MOD(8+WEEKDAY(DATE(PlanYear,1,1),2)-1,7)+1)=AA$5,", "&amp;9,"")&amp;IF(INDEX($A$9:$G$19,2*INT((9+WEEKDAY(DATE(PlanYear,1,1),2)-1)/7)+1,MOD(9+WEEKDAY(DATE(PlanYear,1,1),2)-1,7)+1)=AA$5,", "&amp;10,"")&amp;IF(INDEX($A$9:$G$19,2*INT((10+WEEKDAY(DATE(PlanYear,1,1),2)-1)/7)+1,MOD(10+WEEKDAY(DATE(PlanYear,1,1),2)-1,7)+1)=AA$5,", "&amp;11,"")&amp;IF(INDEX($A$9:$G$19,2*INT((11+WEEKDAY(DATE(PlanYear,1,1),2)-1)/7)+1,MOD(11+WEEKDAY(DATE(PlanYear,1,1),2)-1,7)+1)=AA$5,", "&amp;12,"")&amp;IF(INDEX($A$9:$G$19,2*INT((12+WEEKDAY(DATE(PlanYear,1,1),2)-1)/7)+1,MOD(12+WEEKDAY(DATE(PlanYear,1,1),2)-1,7)+1)=AA$5,", "&amp;13,"")&amp;IF(INDEX($A$9:$G$19,2*INT((13+WEEKDAY(DATE(PlanYear,1,1),2)-1)/7)+1,MOD(13+WEEKDAY(DATE(PlanYear,1,1),2)-1,7)+1)=AA$5,", "&amp;14,"")&amp;IF(INDEX($A$9:$G$19,2*INT((14+WEEKDAY(DATE(PlanYear,1,1),2)-1)/7)+1,MOD(14+WEEKDAY(DATE(PlanYear,1,1),2)-1,7)+1)=AA$5,", "&amp;15,"")&amp;IF(INDEX($A$9:$G$19,2*INT((15+WEEKDAY(DATE(PlanYear,1,1),2)-1)/7)+1,MOD(15+WEEKDAY(DATE(PlanYear,1,1),2)-1,7)+1)=AA$5,", "&amp;16,"")&amp;IF(INDEX($A$9:$G$19,2*INT((16+WEEKDAY(DATE(PlanYear,1,1),2)-1)/7)+1,MOD(16+WEEKDAY(DATE(PlanYear,1,1),2)-1,7)+1)=AA$5,", "&amp;17,"")&amp;IF(INDEX($A$9:$G$19,2*INT((17+WEEKDAY(DATE(PlanYear,1,1),2)-1)/7)+1,MOD(17+WEEKDAY(DATE(PlanYear,1,1),2)-1,7)+1)=AA$5,", "&amp;18,"")&amp;IF(INDEX($A$9:$G$19,2*INT((18+WEEKDAY(DATE(PlanYear,1,1),2)-1)/7)+1,MOD(18+WEEKDAY(DATE(PlanYear,1,1),2)-1,7)+1)=AA$5,", "&amp;19,"")&amp;IF(INDEX($A$9:$G$19,2*INT((19+WEEKDAY(DATE(PlanYear,1,1),2)-1)/7)+1,MOD(19+WEEKDAY(DATE(PlanYear,1,1),2)-1,7)+1)=AA$5,", "&amp;20,"")&amp;IF(INDEX($A$9:$G$19,2*INT((20+WEEKDAY(DATE(PlanYear,1,1),2)-1)/7)+1,MOD(20+WEEKDAY(DATE(PlanYear,1,1),2)-1,7)+1)=AA$5,", "&amp;21,"")&amp;IF(INDEX($A$9:$G$19,2*INT((21+WEEKDAY(DATE(PlanYear,1,1),2)-1)/7)+1,MOD(21+WEEKDAY(DATE(PlanYear,1,1),2)-1,7)+1)=AA$5,", "&amp;22,"")&amp;IF(INDEX($A$9:$G$19,2*INT((22+WEEKDAY(DATE(PlanYear,1,1),2)-1)/7)+1,MOD(22+WEEKDAY(DATE(PlanYear,1,1),2)-1,7)+1)=AA$5,", "&amp;23,"")&amp;IF(INDEX($A$9:$G$19,2*INT((23+WEEKDAY(DATE(PlanYear,1,1),2)-1)/7)+1,MOD(23+WEEKDAY(DATE(PlanYear,1,1),2)-1,7)+1)=AA$5,", "&amp;24,"")&amp;IF(INDEX($A$9:$G$19,2*INT((24+WEEKDAY(DATE(PlanYear,1,1),2)-1)/7)+1,MOD(24+WEEKDAY(DATE(PlanYear,1,1),2)-1,7)+1)=AA$5,", "&amp;25,"")&amp;IF(INDEX($A$9:$G$19,2*INT((25+WEEKDAY(DATE(PlanYear,1,1),2)-1)/7)+1,MOD(25+WEEKDAY(DATE(PlanYear,1,1),2)-1,7)+1)=AA$5,", "&amp;26,"")&amp;IF(INDEX($A$9:$G$19,2*INT((26+WEEKDAY(DATE(PlanYear,1,1),2)-1)/7)+1,MOD(26+WEEKDAY(DATE(PlanYear,1,1),2)-1,7)+1)=AA$5,", "&amp;27,"")&amp;IF(INDEX($A$9:$G$19,2*INT((27+WEEKDAY(DATE(PlanYear,1,1),2)-1)/7)+1,MOD(27+WEEKDAY(DATE(PlanYear,1,1),2)-1,7)+1)=AA$5,", "&amp;28,"")&amp;IF(INDEX($A$9:$G$19,2*INT((28+WEEKDAY(DATE(PlanYear,1,1),2)-1)/7)+1,MOD(28+WEEKDAY(DATE(PlanYear,1,1),2)-1,7)+1)=AA$5,", "&amp;29,"")&amp;IF(INDEX($A$9:$G$19,2*INT((29+WEEKDAY(DATE(PlanYear,1,1),2)-1)/7)+1,MOD(29+WEEKDAY(DATE(PlanYear,1,1),2)-1,7)+1)=AA$5,", "&amp;30,"")&amp;IF(INDEX($A$9:$G$19,2*INT((30+WEEKDAY(DATE(PlanYear,1,1),2)-1)/7)+1,MOD(30+WEEKDAY(DATE(PlanYear,1,1),2)-1,7)+1)=AA$5,", "&amp;31,""),3,200))</f>
        <v/>
      </c>
      <c r="AB6" s="16">
        <f>IF(AB$5="","",MID(IF(INDEX($A$9:$G$19,2*INT((0+WEEKDAY(DATE(PlanYear,1,1),2)-1)/7)+1,MOD(0+WEEKDAY(DATE(PlanYear,1,1),2)-1,7)+1)=AB$5,", "&amp;1,"")&amp;IF(INDEX($A$9:$G$19,2*INT((1+WEEKDAY(DATE(PlanYear,1,1),2)-1)/7)+1,MOD(1+WEEKDAY(DATE(PlanYear,1,1),2)-1,7)+1)=AB$5,", "&amp;2,"")&amp;IF(INDEX($A$9:$G$19,2*INT((2+WEEKDAY(DATE(PlanYear,1,1),2)-1)/7)+1,MOD(2+WEEKDAY(DATE(PlanYear,1,1),2)-1,7)+1)=AB$5,", "&amp;3,"")&amp;IF(INDEX($A$9:$G$19,2*INT((3+WEEKDAY(DATE(PlanYear,1,1),2)-1)/7)+1,MOD(3+WEEKDAY(DATE(PlanYear,1,1),2)-1,7)+1)=AB$5,", "&amp;4,"")&amp;IF(INDEX($A$9:$G$19,2*INT((4+WEEKDAY(DATE(PlanYear,1,1),2)-1)/7)+1,MOD(4+WEEKDAY(DATE(PlanYear,1,1),2)-1,7)+1)=AB$5,", "&amp;5,"")&amp;IF(INDEX($A$9:$G$19,2*INT((5+WEEKDAY(DATE(PlanYear,1,1),2)-1)/7)+1,MOD(5+WEEKDAY(DATE(PlanYear,1,1),2)-1,7)+1)=AB$5,", "&amp;6,"")&amp;IF(INDEX($A$9:$G$19,2*INT((6+WEEKDAY(DATE(PlanYear,1,1),2)-1)/7)+1,MOD(6+WEEKDAY(DATE(PlanYear,1,1),2)-1,7)+1)=AB$5,", "&amp;7,"")&amp;IF(INDEX($A$9:$G$19,2*INT((7+WEEKDAY(DATE(PlanYear,1,1),2)-1)/7)+1,MOD(7+WEEKDAY(DATE(PlanYear,1,1),2)-1,7)+1)=AB$5,", "&amp;8,"")&amp;IF(INDEX($A$9:$G$19,2*INT((8+WEEKDAY(DATE(PlanYear,1,1),2)-1)/7)+1,MOD(8+WEEKDAY(DATE(PlanYear,1,1),2)-1,7)+1)=AB$5,", "&amp;9,"")&amp;IF(INDEX($A$9:$G$19,2*INT((9+WEEKDAY(DATE(PlanYear,1,1),2)-1)/7)+1,MOD(9+WEEKDAY(DATE(PlanYear,1,1),2)-1,7)+1)=AB$5,", "&amp;10,"")&amp;IF(INDEX($A$9:$G$19,2*INT((10+WEEKDAY(DATE(PlanYear,1,1),2)-1)/7)+1,MOD(10+WEEKDAY(DATE(PlanYear,1,1),2)-1,7)+1)=AB$5,", "&amp;11,"")&amp;IF(INDEX($A$9:$G$19,2*INT((11+WEEKDAY(DATE(PlanYear,1,1),2)-1)/7)+1,MOD(11+WEEKDAY(DATE(PlanYear,1,1),2)-1,7)+1)=AB$5,", "&amp;12,"")&amp;IF(INDEX($A$9:$G$19,2*INT((12+WEEKDAY(DATE(PlanYear,1,1),2)-1)/7)+1,MOD(12+WEEKDAY(DATE(PlanYear,1,1),2)-1,7)+1)=AB$5,", "&amp;13,"")&amp;IF(INDEX($A$9:$G$19,2*INT((13+WEEKDAY(DATE(PlanYear,1,1),2)-1)/7)+1,MOD(13+WEEKDAY(DATE(PlanYear,1,1),2)-1,7)+1)=AB$5,", "&amp;14,"")&amp;IF(INDEX($A$9:$G$19,2*INT((14+WEEKDAY(DATE(PlanYear,1,1),2)-1)/7)+1,MOD(14+WEEKDAY(DATE(PlanYear,1,1),2)-1,7)+1)=AB$5,", "&amp;15,"")&amp;IF(INDEX($A$9:$G$19,2*INT((15+WEEKDAY(DATE(PlanYear,1,1),2)-1)/7)+1,MOD(15+WEEKDAY(DATE(PlanYear,1,1),2)-1,7)+1)=AB$5,", "&amp;16,"")&amp;IF(INDEX($A$9:$G$19,2*INT((16+WEEKDAY(DATE(PlanYear,1,1),2)-1)/7)+1,MOD(16+WEEKDAY(DATE(PlanYear,1,1),2)-1,7)+1)=AB$5,", "&amp;17,"")&amp;IF(INDEX($A$9:$G$19,2*INT((17+WEEKDAY(DATE(PlanYear,1,1),2)-1)/7)+1,MOD(17+WEEKDAY(DATE(PlanYear,1,1),2)-1,7)+1)=AB$5,", "&amp;18,"")&amp;IF(INDEX($A$9:$G$19,2*INT((18+WEEKDAY(DATE(PlanYear,1,1),2)-1)/7)+1,MOD(18+WEEKDAY(DATE(PlanYear,1,1),2)-1,7)+1)=AB$5,", "&amp;19,"")&amp;IF(INDEX($A$9:$G$19,2*INT((19+WEEKDAY(DATE(PlanYear,1,1),2)-1)/7)+1,MOD(19+WEEKDAY(DATE(PlanYear,1,1),2)-1,7)+1)=AB$5,", "&amp;20,"")&amp;IF(INDEX($A$9:$G$19,2*INT((20+WEEKDAY(DATE(PlanYear,1,1),2)-1)/7)+1,MOD(20+WEEKDAY(DATE(PlanYear,1,1),2)-1,7)+1)=AB$5,", "&amp;21,"")&amp;IF(INDEX($A$9:$G$19,2*INT((21+WEEKDAY(DATE(PlanYear,1,1),2)-1)/7)+1,MOD(21+WEEKDAY(DATE(PlanYear,1,1),2)-1,7)+1)=AB$5,", "&amp;22,"")&amp;IF(INDEX($A$9:$G$19,2*INT((22+WEEKDAY(DATE(PlanYear,1,1),2)-1)/7)+1,MOD(22+WEEKDAY(DATE(PlanYear,1,1),2)-1,7)+1)=AB$5,", "&amp;23,"")&amp;IF(INDEX($A$9:$G$19,2*INT((23+WEEKDAY(DATE(PlanYear,1,1),2)-1)/7)+1,MOD(23+WEEKDAY(DATE(PlanYear,1,1),2)-1,7)+1)=AB$5,", "&amp;24,"")&amp;IF(INDEX($A$9:$G$19,2*INT((24+WEEKDAY(DATE(PlanYear,1,1),2)-1)/7)+1,MOD(24+WEEKDAY(DATE(PlanYear,1,1),2)-1,7)+1)=AB$5,", "&amp;25,"")&amp;IF(INDEX($A$9:$G$19,2*INT((25+WEEKDAY(DATE(PlanYear,1,1),2)-1)/7)+1,MOD(25+WEEKDAY(DATE(PlanYear,1,1),2)-1,7)+1)=AB$5,", "&amp;26,"")&amp;IF(INDEX($A$9:$G$19,2*INT((26+WEEKDAY(DATE(PlanYear,1,1),2)-1)/7)+1,MOD(26+WEEKDAY(DATE(PlanYear,1,1),2)-1,7)+1)=AB$5,", "&amp;27,"")&amp;IF(INDEX($A$9:$G$19,2*INT((27+WEEKDAY(DATE(PlanYear,1,1),2)-1)/7)+1,MOD(27+WEEKDAY(DATE(PlanYear,1,1),2)-1,7)+1)=AB$5,", "&amp;28,"")&amp;IF(INDEX($A$9:$G$19,2*INT((28+WEEKDAY(DATE(PlanYear,1,1),2)-1)/7)+1,MOD(28+WEEKDAY(DATE(PlanYear,1,1),2)-1,7)+1)=AB$5,", "&amp;29,"")&amp;IF(INDEX($A$9:$G$19,2*INT((29+WEEKDAY(DATE(PlanYear,1,1),2)-1)/7)+1,MOD(29+WEEKDAY(DATE(PlanYear,1,1),2)-1,7)+1)=AB$5,", "&amp;30,"")&amp;IF(INDEX($A$9:$G$19,2*INT((30+WEEKDAY(DATE(PlanYear,1,1),2)-1)/7)+1,MOD(30+WEEKDAY(DATE(PlanYear,1,1),2)-1,7)+1)=AB$5,", "&amp;31,""),3,200))</f>
        <v/>
      </c>
      <c r="AC6" s="16">
        <f>IF(AC$5="","",MID(IF(INDEX($A$9:$G$19,2*INT((0+WEEKDAY(DATE(PlanYear,1,1),2)-1)/7)+1,MOD(0+WEEKDAY(DATE(PlanYear,1,1),2)-1,7)+1)=AC$5,", "&amp;1,"")&amp;IF(INDEX($A$9:$G$19,2*INT((1+WEEKDAY(DATE(PlanYear,1,1),2)-1)/7)+1,MOD(1+WEEKDAY(DATE(PlanYear,1,1),2)-1,7)+1)=AC$5,", "&amp;2,"")&amp;IF(INDEX($A$9:$G$19,2*INT((2+WEEKDAY(DATE(PlanYear,1,1),2)-1)/7)+1,MOD(2+WEEKDAY(DATE(PlanYear,1,1),2)-1,7)+1)=AC$5,", "&amp;3,"")&amp;IF(INDEX($A$9:$G$19,2*INT((3+WEEKDAY(DATE(PlanYear,1,1),2)-1)/7)+1,MOD(3+WEEKDAY(DATE(PlanYear,1,1),2)-1,7)+1)=AC$5,", "&amp;4,"")&amp;IF(INDEX($A$9:$G$19,2*INT((4+WEEKDAY(DATE(PlanYear,1,1),2)-1)/7)+1,MOD(4+WEEKDAY(DATE(PlanYear,1,1),2)-1,7)+1)=AC$5,", "&amp;5,"")&amp;IF(INDEX($A$9:$G$19,2*INT((5+WEEKDAY(DATE(PlanYear,1,1),2)-1)/7)+1,MOD(5+WEEKDAY(DATE(PlanYear,1,1),2)-1,7)+1)=AC$5,", "&amp;6,"")&amp;IF(INDEX($A$9:$G$19,2*INT((6+WEEKDAY(DATE(PlanYear,1,1),2)-1)/7)+1,MOD(6+WEEKDAY(DATE(PlanYear,1,1),2)-1,7)+1)=AC$5,", "&amp;7,"")&amp;IF(INDEX($A$9:$G$19,2*INT((7+WEEKDAY(DATE(PlanYear,1,1),2)-1)/7)+1,MOD(7+WEEKDAY(DATE(PlanYear,1,1),2)-1,7)+1)=AC$5,", "&amp;8,"")&amp;IF(INDEX($A$9:$G$19,2*INT((8+WEEKDAY(DATE(PlanYear,1,1),2)-1)/7)+1,MOD(8+WEEKDAY(DATE(PlanYear,1,1),2)-1,7)+1)=AC$5,", "&amp;9,"")&amp;IF(INDEX($A$9:$G$19,2*INT((9+WEEKDAY(DATE(PlanYear,1,1),2)-1)/7)+1,MOD(9+WEEKDAY(DATE(PlanYear,1,1),2)-1,7)+1)=AC$5,", "&amp;10,"")&amp;IF(INDEX($A$9:$G$19,2*INT((10+WEEKDAY(DATE(PlanYear,1,1),2)-1)/7)+1,MOD(10+WEEKDAY(DATE(PlanYear,1,1),2)-1,7)+1)=AC$5,", "&amp;11,"")&amp;IF(INDEX($A$9:$G$19,2*INT((11+WEEKDAY(DATE(PlanYear,1,1),2)-1)/7)+1,MOD(11+WEEKDAY(DATE(PlanYear,1,1),2)-1,7)+1)=AC$5,", "&amp;12,"")&amp;IF(INDEX($A$9:$G$19,2*INT((12+WEEKDAY(DATE(PlanYear,1,1),2)-1)/7)+1,MOD(12+WEEKDAY(DATE(PlanYear,1,1),2)-1,7)+1)=AC$5,", "&amp;13,"")&amp;IF(INDEX($A$9:$G$19,2*INT((13+WEEKDAY(DATE(PlanYear,1,1),2)-1)/7)+1,MOD(13+WEEKDAY(DATE(PlanYear,1,1),2)-1,7)+1)=AC$5,", "&amp;14,"")&amp;IF(INDEX($A$9:$G$19,2*INT((14+WEEKDAY(DATE(PlanYear,1,1),2)-1)/7)+1,MOD(14+WEEKDAY(DATE(PlanYear,1,1),2)-1,7)+1)=AC$5,", "&amp;15,"")&amp;IF(INDEX($A$9:$G$19,2*INT((15+WEEKDAY(DATE(PlanYear,1,1),2)-1)/7)+1,MOD(15+WEEKDAY(DATE(PlanYear,1,1),2)-1,7)+1)=AC$5,", "&amp;16,"")&amp;IF(INDEX($A$9:$G$19,2*INT((16+WEEKDAY(DATE(PlanYear,1,1),2)-1)/7)+1,MOD(16+WEEKDAY(DATE(PlanYear,1,1),2)-1,7)+1)=AC$5,", "&amp;17,"")&amp;IF(INDEX($A$9:$G$19,2*INT((17+WEEKDAY(DATE(PlanYear,1,1),2)-1)/7)+1,MOD(17+WEEKDAY(DATE(PlanYear,1,1),2)-1,7)+1)=AC$5,", "&amp;18,"")&amp;IF(INDEX($A$9:$G$19,2*INT((18+WEEKDAY(DATE(PlanYear,1,1),2)-1)/7)+1,MOD(18+WEEKDAY(DATE(PlanYear,1,1),2)-1,7)+1)=AC$5,", "&amp;19,"")&amp;IF(INDEX($A$9:$G$19,2*INT((19+WEEKDAY(DATE(PlanYear,1,1),2)-1)/7)+1,MOD(19+WEEKDAY(DATE(PlanYear,1,1),2)-1,7)+1)=AC$5,", "&amp;20,"")&amp;IF(INDEX($A$9:$G$19,2*INT((20+WEEKDAY(DATE(PlanYear,1,1),2)-1)/7)+1,MOD(20+WEEKDAY(DATE(PlanYear,1,1),2)-1,7)+1)=AC$5,", "&amp;21,"")&amp;IF(INDEX($A$9:$G$19,2*INT((21+WEEKDAY(DATE(PlanYear,1,1),2)-1)/7)+1,MOD(21+WEEKDAY(DATE(PlanYear,1,1),2)-1,7)+1)=AC$5,", "&amp;22,"")&amp;IF(INDEX($A$9:$G$19,2*INT((22+WEEKDAY(DATE(PlanYear,1,1),2)-1)/7)+1,MOD(22+WEEKDAY(DATE(PlanYear,1,1),2)-1,7)+1)=AC$5,", "&amp;23,"")&amp;IF(INDEX($A$9:$G$19,2*INT((23+WEEKDAY(DATE(PlanYear,1,1),2)-1)/7)+1,MOD(23+WEEKDAY(DATE(PlanYear,1,1),2)-1,7)+1)=AC$5,", "&amp;24,"")&amp;IF(INDEX($A$9:$G$19,2*INT((24+WEEKDAY(DATE(PlanYear,1,1),2)-1)/7)+1,MOD(24+WEEKDAY(DATE(PlanYear,1,1),2)-1,7)+1)=AC$5,", "&amp;25,"")&amp;IF(INDEX($A$9:$G$19,2*INT((25+WEEKDAY(DATE(PlanYear,1,1),2)-1)/7)+1,MOD(25+WEEKDAY(DATE(PlanYear,1,1),2)-1,7)+1)=AC$5,", "&amp;26,"")&amp;IF(INDEX($A$9:$G$19,2*INT((26+WEEKDAY(DATE(PlanYear,1,1),2)-1)/7)+1,MOD(26+WEEKDAY(DATE(PlanYear,1,1),2)-1,7)+1)=AC$5,", "&amp;27,"")&amp;IF(INDEX($A$9:$G$19,2*INT((27+WEEKDAY(DATE(PlanYear,1,1),2)-1)/7)+1,MOD(27+WEEKDAY(DATE(PlanYear,1,1),2)-1,7)+1)=AC$5,", "&amp;28,"")&amp;IF(INDEX($A$9:$G$19,2*INT((28+WEEKDAY(DATE(PlanYear,1,1),2)-1)/7)+1,MOD(28+WEEKDAY(DATE(PlanYear,1,1),2)-1,7)+1)=AC$5,", "&amp;29,"")&amp;IF(INDEX($A$9:$G$19,2*INT((29+WEEKDAY(DATE(PlanYear,1,1),2)-1)/7)+1,MOD(29+WEEKDAY(DATE(PlanYear,1,1),2)-1,7)+1)=AC$5,", "&amp;30,"")&amp;IF(INDEX($A$9:$G$19,2*INT((30+WEEKDAY(DATE(PlanYear,1,1),2)-1)/7)+1,MOD(30+WEEKDAY(DATE(PlanYear,1,1),2)-1,7)+1)=AC$5,", "&amp;31,""),3,200))</f>
        <v/>
      </c>
      <c r="AD6" s="16">
        <f>IF(AD$5="","",MID(IF(INDEX($A$9:$G$19,2*INT((0+WEEKDAY(DATE(PlanYear,1,1),2)-1)/7)+1,MOD(0+WEEKDAY(DATE(PlanYear,1,1),2)-1,7)+1)=AD$5,", "&amp;1,"")&amp;IF(INDEX($A$9:$G$19,2*INT((1+WEEKDAY(DATE(PlanYear,1,1),2)-1)/7)+1,MOD(1+WEEKDAY(DATE(PlanYear,1,1),2)-1,7)+1)=AD$5,", "&amp;2,"")&amp;IF(INDEX($A$9:$G$19,2*INT((2+WEEKDAY(DATE(PlanYear,1,1),2)-1)/7)+1,MOD(2+WEEKDAY(DATE(PlanYear,1,1),2)-1,7)+1)=AD$5,", "&amp;3,"")&amp;IF(INDEX($A$9:$G$19,2*INT((3+WEEKDAY(DATE(PlanYear,1,1),2)-1)/7)+1,MOD(3+WEEKDAY(DATE(PlanYear,1,1),2)-1,7)+1)=AD$5,", "&amp;4,"")&amp;IF(INDEX($A$9:$G$19,2*INT((4+WEEKDAY(DATE(PlanYear,1,1),2)-1)/7)+1,MOD(4+WEEKDAY(DATE(PlanYear,1,1),2)-1,7)+1)=AD$5,", "&amp;5,"")&amp;IF(INDEX($A$9:$G$19,2*INT((5+WEEKDAY(DATE(PlanYear,1,1),2)-1)/7)+1,MOD(5+WEEKDAY(DATE(PlanYear,1,1),2)-1,7)+1)=AD$5,", "&amp;6,"")&amp;IF(INDEX($A$9:$G$19,2*INT((6+WEEKDAY(DATE(PlanYear,1,1),2)-1)/7)+1,MOD(6+WEEKDAY(DATE(PlanYear,1,1),2)-1,7)+1)=AD$5,", "&amp;7,"")&amp;IF(INDEX($A$9:$G$19,2*INT((7+WEEKDAY(DATE(PlanYear,1,1),2)-1)/7)+1,MOD(7+WEEKDAY(DATE(PlanYear,1,1),2)-1,7)+1)=AD$5,", "&amp;8,"")&amp;IF(INDEX($A$9:$G$19,2*INT((8+WEEKDAY(DATE(PlanYear,1,1),2)-1)/7)+1,MOD(8+WEEKDAY(DATE(PlanYear,1,1),2)-1,7)+1)=AD$5,", "&amp;9,"")&amp;IF(INDEX($A$9:$G$19,2*INT((9+WEEKDAY(DATE(PlanYear,1,1),2)-1)/7)+1,MOD(9+WEEKDAY(DATE(PlanYear,1,1),2)-1,7)+1)=AD$5,", "&amp;10,"")&amp;IF(INDEX($A$9:$G$19,2*INT((10+WEEKDAY(DATE(PlanYear,1,1),2)-1)/7)+1,MOD(10+WEEKDAY(DATE(PlanYear,1,1),2)-1,7)+1)=AD$5,", "&amp;11,"")&amp;IF(INDEX($A$9:$G$19,2*INT((11+WEEKDAY(DATE(PlanYear,1,1),2)-1)/7)+1,MOD(11+WEEKDAY(DATE(PlanYear,1,1),2)-1,7)+1)=AD$5,", "&amp;12,"")&amp;IF(INDEX($A$9:$G$19,2*INT((12+WEEKDAY(DATE(PlanYear,1,1),2)-1)/7)+1,MOD(12+WEEKDAY(DATE(PlanYear,1,1),2)-1,7)+1)=AD$5,", "&amp;13,"")&amp;IF(INDEX($A$9:$G$19,2*INT((13+WEEKDAY(DATE(PlanYear,1,1),2)-1)/7)+1,MOD(13+WEEKDAY(DATE(PlanYear,1,1),2)-1,7)+1)=AD$5,", "&amp;14,"")&amp;IF(INDEX($A$9:$G$19,2*INT((14+WEEKDAY(DATE(PlanYear,1,1),2)-1)/7)+1,MOD(14+WEEKDAY(DATE(PlanYear,1,1),2)-1,7)+1)=AD$5,", "&amp;15,"")&amp;IF(INDEX($A$9:$G$19,2*INT((15+WEEKDAY(DATE(PlanYear,1,1),2)-1)/7)+1,MOD(15+WEEKDAY(DATE(PlanYear,1,1),2)-1,7)+1)=AD$5,", "&amp;16,"")&amp;IF(INDEX($A$9:$G$19,2*INT((16+WEEKDAY(DATE(PlanYear,1,1),2)-1)/7)+1,MOD(16+WEEKDAY(DATE(PlanYear,1,1),2)-1,7)+1)=AD$5,", "&amp;17,"")&amp;IF(INDEX($A$9:$G$19,2*INT((17+WEEKDAY(DATE(PlanYear,1,1),2)-1)/7)+1,MOD(17+WEEKDAY(DATE(PlanYear,1,1),2)-1,7)+1)=AD$5,", "&amp;18,"")&amp;IF(INDEX($A$9:$G$19,2*INT((18+WEEKDAY(DATE(PlanYear,1,1),2)-1)/7)+1,MOD(18+WEEKDAY(DATE(PlanYear,1,1),2)-1,7)+1)=AD$5,", "&amp;19,"")&amp;IF(INDEX($A$9:$G$19,2*INT((19+WEEKDAY(DATE(PlanYear,1,1),2)-1)/7)+1,MOD(19+WEEKDAY(DATE(PlanYear,1,1),2)-1,7)+1)=AD$5,", "&amp;20,"")&amp;IF(INDEX($A$9:$G$19,2*INT((20+WEEKDAY(DATE(PlanYear,1,1),2)-1)/7)+1,MOD(20+WEEKDAY(DATE(PlanYear,1,1),2)-1,7)+1)=AD$5,", "&amp;21,"")&amp;IF(INDEX($A$9:$G$19,2*INT((21+WEEKDAY(DATE(PlanYear,1,1),2)-1)/7)+1,MOD(21+WEEKDAY(DATE(PlanYear,1,1),2)-1,7)+1)=AD$5,", "&amp;22,"")&amp;IF(INDEX($A$9:$G$19,2*INT((22+WEEKDAY(DATE(PlanYear,1,1),2)-1)/7)+1,MOD(22+WEEKDAY(DATE(PlanYear,1,1),2)-1,7)+1)=AD$5,", "&amp;23,"")&amp;IF(INDEX($A$9:$G$19,2*INT((23+WEEKDAY(DATE(PlanYear,1,1),2)-1)/7)+1,MOD(23+WEEKDAY(DATE(PlanYear,1,1),2)-1,7)+1)=AD$5,", "&amp;24,"")&amp;IF(INDEX($A$9:$G$19,2*INT((24+WEEKDAY(DATE(PlanYear,1,1),2)-1)/7)+1,MOD(24+WEEKDAY(DATE(PlanYear,1,1),2)-1,7)+1)=AD$5,", "&amp;25,"")&amp;IF(INDEX($A$9:$G$19,2*INT((25+WEEKDAY(DATE(PlanYear,1,1),2)-1)/7)+1,MOD(25+WEEKDAY(DATE(PlanYear,1,1),2)-1,7)+1)=AD$5,", "&amp;26,"")&amp;IF(INDEX($A$9:$G$19,2*INT((26+WEEKDAY(DATE(PlanYear,1,1),2)-1)/7)+1,MOD(26+WEEKDAY(DATE(PlanYear,1,1),2)-1,7)+1)=AD$5,", "&amp;27,"")&amp;IF(INDEX($A$9:$G$19,2*INT((27+WEEKDAY(DATE(PlanYear,1,1),2)-1)/7)+1,MOD(27+WEEKDAY(DATE(PlanYear,1,1),2)-1,7)+1)=AD$5,", "&amp;28,"")&amp;IF(INDEX($A$9:$G$19,2*INT((28+WEEKDAY(DATE(PlanYear,1,1),2)-1)/7)+1,MOD(28+WEEKDAY(DATE(PlanYear,1,1),2)-1,7)+1)=AD$5,", "&amp;29,"")&amp;IF(INDEX($A$9:$G$19,2*INT((29+WEEKDAY(DATE(PlanYear,1,1),2)-1)/7)+1,MOD(29+WEEKDAY(DATE(PlanYear,1,1),2)-1,7)+1)=AD$5,", "&amp;30,"")&amp;IF(INDEX($A$9:$G$19,2*INT((30+WEEKDAY(DATE(PlanYear,1,1),2)-1)/7)+1,MOD(30+WEEKDAY(DATE(PlanYear,1,1),2)-1,7)+1)=AD$5,", "&amp;31,""),3,200))</f>
        <v/>
      </c>
      <c r="AE6" s="16">
        <f>IF(AE$5="","",MID(IF(INDEX($A$9:$G$19,2*INT((0+WEEKDAY(DATE(PlanYear,1,1),2)-1)/7)+1,MOD(0+WEEKDAY(DATE(PlanYear,1,1),2)-1,7)+1)=AE$5,", "&amp;1,"")&amp;IF(INDEX($A$9:$G$19,2*INT((1+WEEKDAY(DATE(PlanYear,1,1),2)-1)/7)+1,MOD(1+WEEKDAY(DATE(PlanYear,1,1),2)-1,7)+1)=AE$5,", "&amp;2,"")&amp;IF(INDEX($A$9:$G$19,2*INT((2+WEEKDAY(DATE(PlanYear,1,1),2)-1)/7)+1,MOD(2+WEEKDAY(DATE(PlanYear,1,1),2)-1,7)+1)=AE$5,", "&amp;3,"")&amp;IF(INDEX($A$9:$G$19,2*INT((3+WEEKDAY(DATE(PlanYear,1,1),2)-1)/7)+1,MOD(3+WEEKDAY(DATE(PlanYear,1,1),2)-1,7)+1)=AE$5,", "&amp;4,"")&amp;IF(INDEX($A$9:$G$19,2*INT((4+WEEKDAY(DATE(PlanYear,1,1),2)-1)/7)+1,MOD(4+WEEKDAY(DATE(PlanYear,1,1),2)-1,7)+1)=AE$5,", "&amp;5,"")&amp;IF(INDEX($A$9:$G$19,2*INT((5+WEEKDAY(DATE(PlanYear,1,1),2)-1)/7)+1,MOD(5+WEEKDAY(DATE(PlanYear,1,1),2)-1,7)+1)=AE$5,", "&amp;6,"")&amp;IF(INDEX($A$9:$G$19,2*INT((6+WEEKDAY(DATE(PlanYear,1,1),2)-1)/7)+1,MOD(6+WEEKDAY(DATE(PlanYear,1,1),2)-1,7)+1)=AE$5,", "&amp;7,"")&amp;IF(INDEX($A$9:$G$19,2*INT((7+WEEKDAY(DATE(PlanYear,1,1),2)-1)/7)+1,MOD(7+WEEKDAY(DATE(PlanYear,1,1),2)-1,7)+1)=AE$5,", "&amp;8,"")&amp;IF(INDEX($A$9:$G$19,2*INT((8+WEEKDAY(DATE(PlanYear,1,1),2)-1)/7)+1,MOD(8+WEEKDAY(DATE(PlanYear,1,1),2)-1,7)+1)=AE$5,", "&amp;9,"")&amp;IF(INDEX($A$9:$G$19,2*INT((9+WEEKDAY(DATE(PlanYear,1,1),2)-1)/7)+1,MOD(9+WEEKDAY(DATE(PlanYear,1,1),2)-1,7)+1)=AE$5,", "&amp;10,"")&amp;IF(INDEX($A$9:$G$19,2*INT((10+WEEKDAY(DATE(PlanYear,1,1),2)-1)/7)+1,MOD(10+WEEKDAY(DATE(PlanYear,1,1),2)-1,7)+1)=AE$5,", "&amp;11,"")&amp;IF(INDEX($A$9:$G$19,2*INT((11+WEEKDAY(DATE(PlanYear,1,1),2)-1)/7)+1,MOD(11+WEEKDAY(DATE(PlanYear,1,1),2)-1,7)+1)=AE$5,", "&amp;12,"")&amp;IF(INDEX($A$9:$G$19,2*INT((12+WEEKDAY(DATE(PlanYear,1,1),2)-1)/7)+1,MOD(12+WEEKDAY(DATE(PlanYear,1,1),2)-1,7)+1)=AE$5,", "&amp;13,"")&amp;IF(INDEX($A$9:$G$19,2*INT((13+WEEKDAY(DATE(PlanYear,1,1),2)-1)/7)+1,MOD(13+WEEKDAY(DATE(PlanYear,1,1),2)-1,7)+1)=AE$5,", "&amp;14,"")&amp;IF(INDEX($A$9:$G$19,2*INT((14+WEEKDAY(DATE(PlanYear,1,1),2)-1)/7)+1,MOD(14+WEEKDAY(DATE(PlanYear,1,1),2)-1,7)+1)=AE$5,", "&amp;15,"")&amp;IF(INDEX($A$9:$G$19,2*INT((15+WEEKDAY(DATE(PlanYear,1,1),2)-1)/7)+1,MOD(15+WEEKDAY(DATE(PlanYear,1,1),2)-1,7)+1)=AE$5,", "&amp;16,"")&amp;IF(INDEX($A$9:$G$19,2*INT((16+WEEKDAY(DATE(PlanYear,1,1),2)-1)/7)+1,MOD(16+WEEKDAY(DATE(PlanYear,1,1),2)-1,7)+1)=AE$5,", "&amp;17,"")&amp;IF(INDEX($A$9:$G$19,2*INT((17+WEEKDAY(DATE(PlanYear,1,1),2)-1)/7)+1,MOD(17+WEEKDAY(DATE(PlanYear,1,1),2)-1,7)+1)=AE$5,", "&amp;18,"")&amp;IF(INDEX($A$9:$G$19,2*INT((18+WEEKDAY(DATE(PlanYear,1,1),2)-1)/7)+1,MOD(18+WEEKDAY(DATE(PlanYear,1,1),2)-1,7)+1)=AE$5,", "&amp;19,"")&amp;IF(INDEX($A$9:$G$19,2*INT((19+WEEKDAY(DATE(PlanYear,1,1),2)-1)/7)+1,MOD(19+WEEKDAY(DATE(PlanYear,1,1),2)-1,7)+1)=AE$5,", "&amp;20,"")&amp;IF(INDEX($A$9:$G$19,2*INT((20+WEEKDAY(DATE(PlanYear,1,1),2)-1)/7)+1,MOD(20+WEEKDAY(DATE(PlanYear,1,1),2)-1,7)+1)=AE$5,", "&amp;21,"")&amp;IF(INDEX($A$9:$G$19,2*INT((21+WEEKDAY(DATE(PlanYear,1,1),2)-1)/7)+1,MOD(21+WEEKDAY(DATE(PlanYear,1,1),2)-1,7)+1)=AE$5,", "&amp;22,"")&amp;IF(INDEX($A$9:$G$19,2*INT((22+WEEKDAY(DATE(PlanYear,1,1),2)-1)/7)+1,MOD(22+WEEKDAY(DATE(PlanYear,1,1),2)-1,7)+1)=AE$5,", "&amp;23,"")&amp;IF(INDEX($A$9:$G$19,2*INT((23+WEEKDAY(DATE(PlanYear,1,1),2)-1)/7)+1,MOD(23+WEEKDAY(DATE(PlanYear,1,1),2)-1,7)+1)=AE$5,", "&amp;24,"")&amp;IF(INDEX($A$9:$G$19,2*INT((24+WEEKDAY(DATE(PlanYear,1,1),2)-1)/7)+1,MOD(24+WEEKDAY(DATE(PlanYear,1,1),2)-1,7)+1)=AE$5,", "&amp;25,"")&amp;IF(INDEX($A$9:$G$19,2*INT((25+WEEKDAY(DATE(PlanYear,1,1),2)-1)/7)+1,MOD(25+WEEKDAY(DATE(PlanYear,1,1),2)-1,7)+1)=AE$5,", "&amp;26,"")&amp;IF(INDEX($A$9:$G$19,2*INT((26+WEEKDAY(DATE(PlanYear,1,1),2)-1)/7)+1,MOD(26+WEEKDAY(DATE(PlanYear,1,1),2)-1,7)+1)=AE$5,", "&amp;27,"")&amp;IF(INDEX($A$9:$G$19,2*INT((27+WEEKDAY(DATE(PlanYear,1,1),2)-1)/7)+1,MOD(27+WEEKDAY(DATE(PlanYear,1,1),2)-1,7)+1)=AE$5,", "&amp;28,"")&amp;IF(INDEX($A$9:$G$19,2*INT((28+WEEKDAY(DATE(PlanYear,1,1),2)-1)/7)+1,MOD(28+WEEKDAY(DATE(PlanYear,1,1),2)-1,7)+1)=AE$5,", "&amp;29,"")&amp;IF(INDEX($A$9:$G$19,2*INT((29+WEEKDAY(DATE(PlanYear,1,1),2)-1)/7)+1,MOD(29+WEEKDAY(DATE(PlanYear,1,1),2)-1,7)+1)=AE$5,", "&amp;30,"")&amp;IF(INDEX($A$9:$G$19,2*INT((30+WEEKDAY(DATE(PlanYear,1,1),2)-1)/7)+1,MOD(30+WEEKDAY(DATE(PlanYear,1,1),2)-1,7)+1)=AE$5,", "&amp;31,""),3,200))</f>
        <v/>
      </c>
      <c r="AF6" s="16">
        <f>IF(AF$5="","",MID(IF(INDEX($A$9:$G$19,2*INT((0+WEEKDAY(DATE(PlanYear,1,1),2)-1)/7)+1,MOD(0+WEEKDAY(DATE(PlanYear,1,1),2)-1,7)+1)=AF$5,", "&amp;1,"")&amp;IF(INDEX($A$9:$G$19,2*INT((1+WEEKDAY(DATE(PlanYear,1,1),2)-1)/7)+1,MOD(1+WEEKDAY(DATE(PlanYear,1,1),2)-1,7)+1)=AF$5,", "&amp;2,"")&amp;IF(INDEX($A$9:$G$19,2*INT((2+WEEKDAY(DATE(PlanYear,1,1),2)-1)/7)+1,MOD(2+WEEKDAY(DATE(PlanYear,1,1),2)-1,7)+1)=AF$5,", "&amp;3,"")&amp;IF(INDEX($A$9:$G$19,2*INT((3+WEEKDAY(DATE(PlanYear,1,1),2)-1)/7)+1,MOD(3+WEEKDAY(DATE(PlanYear,1,1),2)-1,7)+1)=AF$5,", "&amp;4,"")&amp;IF(INDEX($A$9:$G$19,2*INT((4+WEEKDAY(DATE(PlanYear,1,1),2)-1)/7)+1,MOD(4+WEEKDAY(DATE(PlanYear,1,1),2)-1,7)+1)=AF$5,", "&amp;5,"")&amp;IF(INDEX($A$9:$G$19,2*INT((5+WEEKDAY(DATE(PlanYear,1,1),2)-1)/7)+1,MOD(5+WEEKDAY(DATE(PlanYear,1,1),2)-1,7)+1)=AF$5,", "&amp;6,"")&amp;IF(INDEX($A$9:$G$19,2*INT((6+WEEKDAY(DATE(PlanYear,1,1),2)-1)/7)+1,MOD(6+WEEKDAY(DATE(PlanYear,1,1),2)-1,7)+1)=AF$5,", "&amp;7,"")&amp;IF(INDEX($A$9:$G$19,2*INT((7+WEEKDAY(DATE(PlanYear,1,1),2)-1)/7)+1,MOD(7+WEEKDAY(DATE(PlanYear,1,1),2)-1,7)+1)=AF$5,", "&amp;8,"")&amp;IF(INDEX($A$9:$G$19,2*INT((8+WEEKDAY(DATE(PlanYear,1,1),2)-1)/7)+1,MOD(8+WEEKDAY(DATE(PlanYear,1,1),2)-1,7)+1)=AF$5,", "&amp;9,"")&amp;IF(INDEX($A$9:$G$19,2*INT((9+WEEKDAY(DATE(PlanYear,1,1),2)-1)/7)+1,MOD(9+WEEKDAY(DATE(PlanYear,1,1),2)-1,7)+1)=AF$5,", "&amp;10,"")&amp;IF(INDEX($A$9:$G$19,2*INT((10+WEEKDAY(DATE(PlanYear,1,1),2)-1)/7)+1,MOD(10+WEEKDAY(DATE(PlanYear,1,1),2)-1,7)+1)=AF$5,", "&amp;11,"")&amp;IF(INDEX($A$9:$G$19,2*INT((11+WEEKDAY(DATE(PlanYear,1,1),2)-1)/7)+1,MOD(11+WEEKDAY(DATE(PlanYear,1,1),2)-1,7)+1)=AF$5,", "&amp;12,"")&amp;IF(INDEX($A$9:$G$19,2*INT((12+WEEKDAY(DATE(PlanYear,1,1),2)-1)/7)+1,MOD(12+WEEKDAY(DATE(PlanYear,1,1),2)-1,7)+1)=AF$5,", "&amp;13,"")&amp;IF(INDEX($A$9:$G$19,2*INT((13+WEEKDAY(DATE(PlanYear,1,1),2)-1)/7)+1,MOD(13+WEEKDAY(DATE(PlanYear,1,1),2)-1,7)+1)=AF$5,", "&amp;14,"")&amp;IF(INDEX($A$9:$G$19,2*INT((14+WEEKDAY(DATE(PlanYear,1,1),2)-1)/7)+1,MOD(14+WEEKDAY(DATE(PlanYear,1,1),2)-1,7)+1)=AF$5,", "&amp;15,"")&amp;IF(INDEX($A$9:$G$19,2*INT((15+WEEKDAY(DATE(PlanYear,1,1),2)-1)/7)+1,MOD(15+WEEKDAY(DATE(PlanYear,1,1),2)-1,7)+1)=AF$5,", "&amp;16,"")&amp;IF(INDEX($A$9:$G$19,2*INT((16+WEEKDAY(DATE(PlanYear,1,1),2)-1)/7)+1,MOD(16+WEEKDAY(DATE(PlanYear,1,1),2)-1,7)+1)=AF$5,", "&amp;17,"")&amp;IF(INDEX($A$9:$G$19,2*INT((17+WEEKDAY(DATE(PlanYear,1,1),2)-1)/7)+1,MOD(17+WEEKDAY(DATE(PlanYear,1,1),2)-1,7)+1)=AF$5,", "&amp;18,"")&amp;IF(INDEX($A$9:$G$19,2*INT((18+WEEKDAY(DATE(PlanYear,1,1),2)-1)/7)+1,MOD(18+WEEKDAY(DATE(PlanYear,1,1),2)-1,7)+1)=AF$5,", "&amp;19,"")&amp;IF(INDEX($A$9:$G$19,2*INT((19+WEEKDAY(DATE(PlanYear,1,1),2)-1)/7)+1,MOD(19+WEEKDAY(DATE(PlanYear,1,1),2)-1,7)+1)=AF$5,", "&amp;20,"")&amp;IF(INDEX($A$9:$G$19,2*INT((20+WEEKDAY(DATE(PlanYear,1,1),2)-1)/7)+1,MOD(20+WEEKDAY(DATE(PlanYear,1,1),2)-1,7)+1)=AF$5,", "&amp;21,"")&amp;IF(INDEX($A$9:$G$19,2*INT((21+WEEKDAY(DATE(PlanYear,1,1),2)-1)/7)+1,MOD(21+WEEKDAY(DATE(PlanYear,1,1),2)-1,7)+1)=AF$5,", "&amp;22,"")&amp;IF(INDEX($A$9:$G$19,2*INT((22+WEEKDAY(DATE(PlanYear,1,1),2)-1)/7)+1,MOD(22+WEEKDAY(DATE(PlanYear,1,1),2)-1,7)+1)=AF$5,", "&amp;23,"")&amp;IF(INDEX($A$9:$G$19,2*INT((23+WEEKDAY(DATE(PlanYear,1,1),2)-1)/7)+1,MOD(23+WEEKDAY(DATE(PlanYear,1,1),2)-1,7)+1)=AF$5,", "&amp;24,"")&amp;IF(INDEX($A$9:$G$19,2*INT((24+WEEKDAY(DATE(PlanYear,1,1),2)-1)/7)+1,MOD(24+WEEKDAY(DATE(PlanYear,1,1),2)-1,7)+1)=AF$5,", "&amp;25,"")&amp;IF(INDEX($A$9:$G$19,2*INT((25+WEEKDAY(DATE(PlanYear,1,1),2)-1)/7)+1,MOD(25+WEEKDAY(DATE(PlanYear,1,1),2)-1,7)+1)=AF$5,", "&amp;26,"")&amp;IF(INDEX($A$9:$G$19,2*INT((26+WEEKDAY(DATE(PlanYear,1,1),2)-1)/7)+1,MOD(26+WEEKDAY(DATE(PlanYear,1,1),2)-1,7)+1)=AF$5,", "&amp;27,"")&amp;IF(INDEX($A$9:$G$19,2*INT((27+WEEKDAY(DATE(PlanYear,1,1),2)-1)/7)+1,MOD(27+WEEKDAY(DATE(PlanYear,1,1),2)-1,7)+1)=AF$5,", "&amp;28,"")&amp;IF(INDEX($A$9:$G$19,2*INT((28+WEEKDAY(DATE(PlanYear,1,1),2)-1)/7)+1,MOD(28+WEEKDAY(DATE(PlanYear,1,1),2)-1,7)+1)=AF$5,", "&amp;29,"")&amp;IF(INDEX($A$9:$G$19,2*INT((29+WEEKDAY(DATE(PlanYear,1,1),2)-1)/7)+1,MOD(29+WEEKDAY(DATE(PlanYear,1,1),2)-1,7)+1)=AF$5,", "&amp;30,"")&amp;IF(INDEX($A$9:$G$19,2*INT((30+WEEKDAY(DATE(PlanYear,1,1),2)-1)/7)+1,MOD(30+WEEKDAY(DATE(PlanYear,1,1),2)-1,7)+1)=AF$5,", "&amp;31,""),3,200))</f>
        <v/>
      </c>
      <c r="AG6" s="16">
        <f>IF(AG$5="","",MID(IF(INDEX($A$9:$G$19,2*INT((0+WEEKDAY(DATE(PlanYear,1,1),2)-1)/7)+1,MOD(0+WEEKDAY(DATE(PlanYear,1,1),2)-1,7)+1)=AG$5,", "&amp;1,"")&amp;IF(INDEX($A$9:$G$19,2*INT((1+WEEKDAY(DATE(PlanYear,1,1),2)-1)/7)+1,MOD(1+WEEKDAY(DATE(PlanYear,1,1),2)-1,7)+1)=AG$5,", "&amp;2,"")&amp;IF(INDEX($A$9:$G$19,2*INT((2+WEEKDAY(DATE(PlanYear,1,1),2)-1)/7)+1,MOD(2+WEEKDAY(DATE(PlanYear,1,1),2)-1,7)+1)=AG$5,", "&amp;3,"")&amp;IF(INDEX($A$9:$G$19,2*INT((3+WEEKDAY(DATE(PlanYear,1,1),2)-1)/7)+1,MOD(3+WEEKDAY(DATE(PlanYear,1,1),2)-1,7)+1)=AG$5,", "&amp;4,"")&amp;IF(INDEX($A$9:$G$19,2*INT((4+WEEKDAY(DATE(PlanYear,1,1),2)-1)/7)+1,MOD(4+WEEKDAY(DATE(PlanYear,1,1),2)-1,7)+1)=AG$5,", "&amp;5,"")&amp;IF(INDEX($A$9:$G$19,2*INT((5+WEEKDAY(DATE(PlanYear,1,1),2)-1)/7)+1,MOD(5+WEEKDAY(DATE(PlanYear,1,1),2)-1,7)+1)=AG$5,", "&amp;6,"")&amp;IF(INDEX($A$9:$G$19,2*INT((6+WEEKDAY(DATE(PlanYear,1,1),2)-1)/7)+1,MOD(6+WEEKDAY(DATE(PlanYear,1,1),2)-1,7)+1)=AG$5,", "&amp;7,"")&amp;IF(INDEX($A$9:$G$19,2*INT((7+WEEKDAY(DATE(PlanYear,1,1),2)-1)/7)+1,MOD(7+WEEKDAY(DATE(PlanYear,1,1),2)-1,7)+1)=AG$5,", "&amp;8,"")&amp;IF(INDEX($A$9:$G$19,2*INT((8+WEEKDAY(DATE(PlanYear,1,1),2)-1)/7)+1,MOD(8+WEEKDAY(DATE(PlanYear,1,1),2)-1,7)+1)=AG$5,", "&amp;9,"")&amp;IF(INDEX($A$9:$G$19,2*INT((9+WEEKDAY(DATE(PlanYear,1,1),2)-1)/7)+1,MOD(9+WEEKDAY(DATE(PlanYear,1,1),2)-1,7)+1)=AG$5,", "&amp;10,"")&amp;IF(INDEX($A$9:$G$19,2*INT((10+WEEKDAY(DATE(PlanYear,1,1),2)-1)/7)+1,MOD(10+WEEKDAY(DATE(PlanYear,1,1),2)-1,7)+1)=AG$5,", "&amp;11,"")&amp;IF(INDEX($A$9:$G$19,2*INT((11+WEEKDAY(DATE(PlanYear,1,1),2)-1)/7)+1,MOD(11+WEEKDAY(DATE(PlanYear,1,1),2)-1,7)+1)=AG$5,", "&amp;12,"")&amp;IF(INDEX($A$9:$G$19,2*INT((12+WEEKDAY(DATE(PlanYear,1,1),2)-1)/7)+1,MOD(12+WEEKDAY(DATE(PlanYear,1,1),2)-1,7)+1)=AG$5,", "&amp;13,"")&amp;IF(INDEX($A$9:$G$19,2*INT((13+WEEKDAY(DATE(PlanYear,1,1),2)-1)/7)+1,MOD(13+WEEKDAY(DATE(PlanYear,1,1),2)-1,7)+1)=AG$5,", "&amp;14,"")&amp;IF(INDEX($A$9:$G$19,2*INT((14+WEEKDAY(DATE(PlanYear,1,1),2)-1)/7)+1,MOD(14+WEEKDAY(DATE(PlanYear,1,1),2)-1,7)+1)=AG$5,", "&amp;15,"")&amp;IF(INDEX($A$9:$G$19,2*INT((15+WEEKDAY(DATE(PlanYear,1,1),2)-1)/7)+1,MOD(15+WEEKDAY(DATE(PlanYear,1,1),2)-1,7)+1)=AG$5,", "&amp;16,"")&amp;IF(INDEX($A$9:$G$19,2*INT((16+WEEKDAY(DATE(PlanYear,1,1),2)-1)/7)+1,MOD(16+WEEKDAY(DATE(PlanYear,1,1),2)-1,7)+1)=AG$5,", "&amp;17,"")&amp;IF(INDEX($A$9:$G$19,2*INT((17+WEEKDAY(DATE(PlanYear,1,1),2)-1)/7)+1,MOD(17+WEEKDAY(DATE(PlanYear,1,1),2)-1,7)+1)=AG$5,", "&amp;18,"")&amp;IF(INDEX($A$9:$G$19,2*INT((18+WEEKDAY(DATE(PlanYear,1,1),2)-1)/7)+1,MOD(18+WEEKDAY(DATE(PlanYear,1,1),2)-1,7)+1)=AG$5,", "&amp;19,"")&amp;IF(INDEX($A$9:$G$19,2*INT((19+WEEKDAY(DATE(PlanYear,1,1),2)-1)/7)+1,MOD(19+WEEKDAY(DATE(PlanYear,1,1),2)-1,7)+1)=AG$5,", "&amp;20,"")&amp;IF(INDEX($A$9:$G$19,2*INT((20+WEEKDAY(DATE(PlanYear,1,1),2)-1)/7)+1,MOD(20+WEEKDAY(DATE(PlanYear,1,1),2)-1,7)+1)=AG$5,", "&amp;21,"")&amp;IF(INDEX($A$9:$G$19,2*INT((21+WEEKDAY(DATE(PlanYear,1,1),2)-1)/7)+1,MOD(21+WEEKDAY(DATE(PlanYear,1,1),2)-1,7)+1)=AG$5,", "&amp;22,"")&amp;IF(INDEX($A$9:$G$19,2*INT((22+WEEKDAY(DATE(PlanYear,1,1),2)-1)/7)+1,MOD(22+WEEKDAY(DATE(PlanYear,1,1),2)-1,7)+1)=AG$5,", "&amp;23,"")&amp;IF(INDEX($A$9:$G$19,2*INT((23+WEEKDAY(DATE(PlanYear,1,1),2)-1)/7)+1,MOD(23+WEEKDAY(DATE(PlanYear,1,1),2)-1,7)+1)=AG$5,", "&amp;24,"")&amp;IF(INDEX($A$9:$G$19,2*INT((24+WEEKDAY(DATE(PlanYear,1,1),2)-1)/7)+1,MOD(24+WEEKDAY(DATE(PlanYear,1,1),2)-1,7)+1)=AG$5,", "&amp;25,"")&amp;IF(INDEX($A$9:$G$19,2*INT((25+WEEKDAY(DATE(PlanYear,1,1),2)-1)/7)+1,MOD(25+WEEKDAY(DATE(PlanYear,1,1),2)-1,7)+1)=AG$5,", "&amp;26,"")&amp;IF(INDEX($A$9:$G$19,2*INT((26+WEEKDAY(DATE(PlanYear,1,1),2)-1)/7)+1,MOD(26+WEEKDAY(DATE(PlanYear,1,1),2)-1,7)+1)=AG$5,", "&amp;27,"")&amp;IF(INDEX($A$9:$G$19,2*INT((27+WEEKDAY(DATE(PlanYear,1,1),2)-1)/7)+1,MOD(27+WEEKDAY(DATE(PlanYear,1,1),2)-1,7)+1)=AG$5,", "&amp;28,"")&amp;IF(INDEX($A$9:$G$19,2*INT((28+WEEKDAY(DATE(PlanYear,1,1),2)-1)/7)+1,MOD(28+WEEKDAY(DATE(PlanYear,1,1),2)-1,7)+1)=AG$5,", "&amp;29,"")&amp;IF(INDEX($A$9:$G$19,2*INT((29+WEEKDAY(DATE(PlanYear,1,1),2)-1)/7)+1,MOD(29+WEEKDAY(DATE(PlanYear,1,1),2)-1,7)+1)=AG$5,", "&amp;30,"")&amp;IF(INDEX($A$9:$G$19,2*INT((30+WEEKDAY(DATE(PlanYear,1,1),2)-1)/7)+1,MOD(30+WEEKDAY(DATE(PlanYear,1,1),2)-1,7)+1)=AG$5,", "&amp;31,""),3,200))</f>
        <v/>
      </c>
      <c r="AH6" s="16">
        <f>IF(AH$5="","",MID(IF(INDEX($A$9:$G$19,2*INT((0+WEEKDAY(DATE(PlanYear,1,1),2)-1)/7)+1,MOD(0+WEEKDAY(DATE(PlanYear,1,1),2)-1,7)+1)=AH$5,", "&amp;1,"")&amp;IF(INDEX($A$9:$G$19,2*INT((1+WEEKDAY(DATE(PlanYear,1,1),2)-1)/7)+1,MOD(1+WEEKDAY(DATE(PlanYear,1,1),2)-1,7)+1)=AH$5,", "&amp;2,"")&amp;IF(INDEX($A$9:$G$19,2*INT((2+WEEKDAY(DATE(PlanYear,1,1),2)-1)/7)+1,MOD(2+WEEKDAY(DATE(PlanYear,1,1),2)-1,7)+1)=AH$5,", "&amp;3,"")&amp;IF(INDEX($A$9:$G$19,2*INT((3+WEEKDAY(DATE(PlanYear,1,1),2)-1)/7)+1,MOD(3+WEEKDAY(DATE(PlanYear,1,1),2)-1,7)+1)=AH$5,", "&amp;4,"")&amp;IF(INDEX($A$9:$G$19,2*INT((4+WEEKDAY(DATE(PlanYear,1,1),2)-1)/7)+1,MOD(4+WEEKDAY(DATE(PlanYear,1,1),2)-1,7)+1)=AH$5,", "&amp;5,"")&amp;IF(INDEX($A$9:$G$19,2*INT((5+WEEKDAY(DATE(PlanYear,1,1),2)-1)/7)+1,MOD(5+WEEKDAY(DATE(PlanYear,1,1),2)-1,7)+1)=AH$5,", "&amp;6,"")&amp;IF(INDEX($A$9:$G$19,2*INT((6+WEEKDAY(DATE(PlanYear,1,1),2)-1)/7)+1,MOD(6+WEEKDAY(DATE(PlanYear,1,1),2)-1,7)+1)=AH$5,", "&amp;7,"")&amp;IF(INDEX($A$9:$G$19,2*INT((7+WEEKDAY(DATE(PlanYear,1,1),2)-1)/7)+1,MOD(7+WEEKDAY(DATE(PlanYear,1,1),2)-1,7)+1)=AH$5,", "&amp;8,"")&amp;IF(INDEX($A$9:$G$19,2*INT((8+WEEKDAY(DATE(PlanYear,1,1),2)-1)/7)+1,MOD(8+WEEKDAY(DATE(PlanYear,1,1),2)-1,7)+1)=AH$5,", "&amp;9,"")&amp;IF(INDEX($A$9:$G$19,2*INT((9+WEEKDAY(DATE(PlanYear,1,1),2)-1)/7)+1,MOD(9+WEEKDAY(DATE(PlanYear,1,1),2)-1,7)+1)=AH$5,", "&amp;10,"")&amp;IF(INDEX($A$9:$G$19,2*INT((10+WEEKDAY(DATE(PlanYear,1,1),2)-1)/7)+1,MOD(10+WEEKDAY(DATE(PlanYear,1,1),2)-1,7)+1)=AH$5,", "&amp;11,"")&amp;IF(INDEX($A$9:$G$19,2*INT((11+WEEKDAY(DATE(PlanYear,1,1),2)-1)/7)+1,MOD(11+WEEKDAY(DATE(PlanYear,1,1),2)-1,7)+1)=AH$5,", "&amp;12,"")&amp;IF(INDEX($A$9:$G$19,2*INT((12+WEEKDAY(DATE(PlanYear,1,1),2)-1)/7)+1,MOD(12+WEEKDAY(DATE(PlanYear,1,1),2)-1,7)+1)=AH$5,", "&amp;13,"")&amp;IF(INDEX($A$9:$G$19,2*INT((13+WEEKDAY(DATE(PlanYear,1,1),2)-1)/7)+1,MOD(13+WEEKDAY(DATE(PlanYear,1,1),2)-1,7)+1)=AH$5,", "&amp;14,"")&amp;IF(INDEX($A$9:$G$19,2*INT((14+WEEKDAY(DATE(PlanYear,1,1),2)-1)/7)+1,MOD(14+WEEKDAY(DATE(PlanYear,1,1),2)-1,7)+1)=AH$5,", "&amp;15,"")&amp;IF(INDEX($A$9:$G$19,2*INT((15+WEEKDAY(DATE(PlanYear,1,1),2)-1)/7)+1,MOD(15+WEEKDAY(DATE(PlanYear,1,1),2)-1,7)+1)=AH$5,", "&amp;16,"")&amp;IF(INDEX($A$9:$G$19,2*INT((16+WEEKDAY(DATE(PlanYear,1,1),2)-1)/7)+1,MOD(16+WEEKDAY(DATE(PlanYear,1,1),2)-1,7)+1)=AH$5,", "&amp;17,"")&amp;IF(INDEX($A$9:$G$19,2*INT((17+WEEKDAY(DATE(PlanYear,1,1),2)-1)/7)+1,MOD(17+WEEKDAY(DATE(PlanYear,1,1),2)-1,7)+1)=AH$5,", "&amp;18,"")&amp;IF(INDEX($A$9:$G$19,2*INT((18+WEEKDAY(DATE(PlanYear,1,1),2)-1)/7)+1,MOD(18+WEEKDAY(DATE(PlanYear,1,1),2)-1,7)+1)=AH$5,", "&amp;19,"")&amp;IF(INDEX($A$9:$G$19,2*INT((19+WEEKDAY(DATE(PlanYear,1,1),2)-1)/7)+1,MOD(19+WEEKDAY(DATE(PlanYear,1,1),2)-1,7)+1)=AH$5,", "&amp;20,"")&amp;IF(INDEX($A$9:$G$19,2*INT((20+WEEKDAY(DATE(PlanYear,1,1),2)-1)/7)+1,MOD(20+WEEKDAY(DATE(PlanYear,1,1),2)-1,7)+1)=AH$5,", "&amp;21,"")&amp;IF(INDEX($A$9:$G$19,2*INT((21+WEEKDAY(DATE(PlanYear,1,1),2)-1)/7)+1,MOD(21+WEEKDAY(DATE(PlanYear,1,1),2)-1,7)+1)=AH$5,", "&amp;22,"")&amp;IF(INDEX($A$9:$G$19,2*INT((22+WEEKDAY(DATE(PlanYear,1,1),2)-1)/7)+1,MOD(22+WEEKDAY(DATE(PlanYear,1,1),2)-1,7)+1)=AH$5,", "&amp;23,"")&amp;IF(INDEX($A$9:$G$19,2*INT((23+WEEKDAY(DATE(PlanYear,1,1),2)-1)/7)+1,MOD(23+WEEKDAY(DATE(PlanYear,1,1),2)-1,7)+1)=AH$5,", "&amp;24,"")&amp;IF(INDEX($A$9:$G$19,2*INT((24+WEEKDAY(DATE(PlanYear,1,1),2)-1)/7)+1,MOD(24+WEEKDAY(DATE(PlanYear,1,1),2)-1,7)+1)=AH$5,", "&amp;25,"")&amp;IF(INDEX($A$9:$G$19,2*INT((25+WEEKDAY(DATE(PlanYear,1,1),2)-1)/7)+1,MOD(25+WEEKDAY(DATE(PlanYear,1,1),2)-1,7)+1)=AH$5,", "&amp;26,"")&amp;IF(INDEX($A$9:$G$19,2*INT((26+WEEKDAY(DATE(PlanYear,1,1),2)-1)/7)+1,MOD(26+WEEKDAY(DATE(PlanYear,1,1),2)-1,7)+1)=AH$5,", "&amp;27,"")&amp;IF(INDEX($A$9:$G$19,2*INT((27+WEEKDAY(DATE(PlanYear,1,1),2)-1)/7)+1,MOD(27+WEEKDAY(DATE(PlanYear,1,1),2)-1,7)+1)=AH$5,", "&amp;28,"")&amp;IF(INDEX($A$9:$G$19,2*INT((28+WEEKDAY(DATE(PlanYear,1,1),2)-1)/7)+1,MOD(28+WEEKDAY(DATE(PlanYear,1,1),2)-1,7)+1)=AH$5,", "&amp;29,"")&amp;IF(INDEX($A$9:$G$19,2*INT((29+WEEKDAY(DATE(PlanYear,1,1),2)-1)/7)+1,MOD(29+WEEKDAY(DATE(PlanYear,1,1),2)-1,7)+1)=AH$5,", "&amp;30,"")&amp;IF(INDEX($A$9:$G$19,2*INT((30+WEEKDAY(DATE(PlanYear,1,1),2)-1)/7)+1,MOD(30+WEEKDAY(DATE(PlanYear,1,1),2)-1,7)+1)=AH$5,", "&amp;31,""),3,200))</f>
        <v/>
      </c>
      <c r="AI6" s="16">
        <f>IF(AI$5="","",MID(IF(INDEX($A$9:$G$19,2*INT((0+WEEKDAY(DATE(PlanYear,1,1),2)-1)/7)+1,MOD(0+WEEKDAY(DATE(PlanYear,1,1),2)-1,7)+1)=AI$5,", "&amp;1,"")&amp;IF(INDEX($A$9:$G$19,2*INT((1+WEEKDAY(DATE(PlanYear,1,1),2)-1)/7)+1,MOD(1+WEEKDAY(DATE(PlanYear,1,1),2)-1,7)+1)=AI$5,", "&amp;2,"")&amp;IF(INDEX($A$9:$G$19,2*INT((2+WEEKDAY(DATE(PlanYear,1,1),2)-1)/7)+1,MOD(2+WEEKDAY(DATE(PlanYear,1,1),2)-1,7)+1)=AI$5,", "&amp;3,"")&amp;IF(INDEX($A$9:$G$19,2*INT((3+WEEKDAY(DATE(PlanYear,1,1),2)-1)/7)+1,MOD(3+WEEKDAY(DATE(PlanYear,1,1),2)-1,7)+1)=AI$5,", "&amp;4,"")&amp;IF(INDEX($A$9:$G$19,2*INT((4+WEEKDAY(DATE(PlanYear,1,1),2)-1)/7)+1,MOD(4+WEEKDAY(DATE(PlanYear,1,1),2)-1,7)+1)=AI$5,", "&amp;5,"")&amp;IF(INDEX($A$9:$G$19,2*INT((5+WEEKDAY(DATE(PlanYear,1,1),2)-1)/7)+1,MOD(5+WEEKDAY(DATE(PlanYear,1,1),2)-1,7)+1)=AI$5,", "&amp;6,"")&amp;IF(INDEX($A$9:$G$19,2*INT((6+WEEKDAY(DATE(PlanYear,1,1),2)-1)/7)+1,MOD(6+WEEKDAY(DATE(PlanYear,1,1),2)-1,7)+1)=AI$5,", "&amp;7,"")&amp;IF(INDEX($A$9:$G$19,2*INT((7+WEEKDAY(DATE(PlanYear,1,1),2)-1)/7)+1,MOD(7+WEEKDAY(DATE(PlanYear,1,1),2)-1,7)+1)=AI$5,", "&amp;8,"")&amp;IF(INDEX($A$9:$G$19,2*INT((8+WEEKDAY(DATE(PlanYear,1,1),2)-1)/7)+1,MOD(8+WEEKDAY(DATE(PlanYear,1,1),2)-1,7)+1)=AI$5,", "&amp;9,"")&amp;IF(INDEX($A$9:$G$19,2*INT((9+WEEKDAY(DATE(PlanYear,1,1),2)-1)/7)+1,MOD(9+WEEKDAY(DATE(PlanYear,1,1),2)-1,7)+1)=AI$5,", "&amp;10,"")&amp;IF(INDEX($A$9:$G$19,2*INT((10+WEEKDAY(DATE(PlanYear,1,1),2)-1)/7)+1,MOD(10+WEEKDAY(DATE(PlanYear,1,1),2)-1,7)+1)=AI$5,", "&amp;11,"")&amp;IF(INDEX($A$9:$G$19,2*INT((11+WEEKDAY(DATE(PlanYear,1,1),2)-1)/7)+1,MOD(11+WEEKDAY(DATE(PlanYear,1,1),2)-1,7)+1)=AI$5,", "&amp;12,"")&amp;IF(INDEX($A$9:$G$19,2*INT((12+WEEKDAY(DATE(PlanYear,1,1),2)-1)/7)+1,MOD(12+WEEKDAY(DATE(PlanYear,1,1),2)-1,7)+1)=AI$5,", "&amp;13,"")&amp;IF(INDEX($A$9:$G$19,2*INT((13+WEEKDAY(DATE(PlanYear,1,1),2)-1)/7)+1,MOD(13+WEEKDAY(DATE(PlanYear,1,1),2)-1,7)+1)=AI$5,", "&amp;14,"")&amp;IF(INDEX($A$9:$G$19,2*INT((14+WEEKDAY(DATE(PlanYear,1,1),2)-1)/7)+1,MOD(14+WEEKDAY(DATE(PlanYear,1,1),2)-1,7)+1)=AI$5,", "&amp;15,"")&amp;IF(INDEX($A$9:$G$19,2*INT((15+WEEKDAY(DATE(PlanYear,1,1),2)-1)/7)+1,MOD(15+WEEKDAY(DATE(PlanYear,1,1),2)-1,7)+1)=AI$5,", "&amp;16,"")&amp;IF(INDEX($A$9:$G$19,2*INT((16+WEEKDAY(DATE(PlanYear,1,1),2)-1)/7)+1,MOD(16+WEEKDAY(DATE(PlanYear,1,1),2)-1,7)+1)=AI$5,", "&amp;17,"")&amp;IF(INDEX($A$9:$G$19,2*INT((17+WEEKDAY(DATE(PlanYear,1,1),2)-1)/7)+1,MOD(17+WEEKDAY(DATE(PlanYear,1,1),2)-1,7)+1)=AI$5,", "&amp;18,"")&amp;IF(INDEX($A$9:$G$19,2*INT((18+WEEKDAY(DATE(PlanYear,1,1),2)-1)/7)+1,MOD(18+WEEKDAY(DATE(PlanYear,1,1),2)-1,7)+1)=AI$5,", "&amp;19,"")&amp;IF(INDEX($A$9:$G$19,2*INT((19+WEEKDAY(DATE(PlanYear,1,1),2)-1)/7)+1,MOD(19+WEEKDAY(DATE(PlanYear,1,1),2)-1,7)+1)=AI$5,", "&amp;20,"")&amp;IF(INDEX($A$9:$G$19,2*INT((20+WEEKDAY(DATE(PlanYear,1,1),2)-1)/7)+1,MOD(20+WEEKDAY(DATE(PlanYear,1,1),2)-1,7)+1)=AI$5,", "&amp;21,"")&amp;IF(INDEX($A$9:$G$19,2*INT((21+WEEKDAY(DATE(PlanYear,1,1),2)-1)/7)+1,MOD(21+WEEKDAY(DATE(PlanYear,1,1),2)-1,7)+1)=AI$5,", "&amp;22,"")&amp;IF(INDEX($A$9:$G$19,2*INT((22+WEEKDAY(DATE(PlanYear,1,1),2)-1)/7)+1,MOD(22+WEEKDAY(DATE(PlanYear,1,1),2)-1,7)+1)=AI$5,", "&amp;23,"")&amp;IF(INDEX($A$9:$G$19,2*INT((23+WEEKDAY(DATE(PlanYear,1,1),2)-1)/7)+1,MOD(23+WEEKDAY(DATE(PlanYear,1,1),2)-1,7)+1)=AI$5,", "&amp;24,"")&amp;IF(INDEX($A$9:$G$19,2*INT((24+WEEKDAY(DATE(PlanYear,1,1),2)-1)/7)+1,MOD(24+WEEKDAY(DATE(PlanYear,1,1),2)-1,7)+1)=AI$5,", "&amp;25,"")&amp;IF(INDEX($A$9:$G$19,2*INT((25+WEEKDAY(DATE(PlanYear,1,1),2)-1)/7)+1,MOD(25+WEEKDAY(DATE(PlanYear,1,1),2)-1,7)+1)=AI$5,", "&amp;26,"")&amp;IF(INDEX($A$9:$G$19,2*INT((26+WEEKDAY(DATE(PlanYear,1,1),2)-1)/7)+1,MOD(26+WEEKDAY(DATE(PlanYear,1,1),2)-1,7)+1)=AI$5,", "&amp;27,"")&amp;IF(INDEX($A$9:$G$19,2*INT((27+WEEKDAY(DATE(PlanYear,1,1),2)-1)/7)+1,MOD(27+WEEKDAY(DATE(PlanYear,1,1),2)-1,7)+1)=AI$5,", "&amp;28,"")&amp;IF(INDEX($A$9:$G$19,2*INT((28+WEEKDAY(DATE(PlanYear,1,1),2)-1)/7)+1,MOD(28+WEEKDAY(DATE(PlanYear,1,1),2)-1,7)+1)=AI$5,", "&amp;29,"")&amp;IF(INDEX($A$9:$G$19,2*INT((29+WEEKDAY(DATE(PlanYear,1,1),2)-1)/7)+1,MOD(29+WEEKDAY(DATE(PlanYear,1,1),2)-1,7)+1)=AI$5,", "&amp;30,"")&amp;IF(INDEX($A$9:$G$19,2*INT((30+WEEKDAY(DATE(PlanYear,1,1),2)-1)/7)+1,MOD(30+WEEKDAY(DATE(PlanYear,1,1),2)-1,7)+1)=AI$5,", "&amp;31,""),3,200))</f>
        <v/>
      </c>
      <c r="AJ6" s="16">
        <f>IF(AJ$5="","",MID(IF(INDEX($A$9:$G$19,2*INT((0+WEEKDAY(DATE(PlanYear,1,1),2)-1)/7)+1,MOD(0+WEEKDAY(DATE(PlanYear,1,1),2)-1,7)+1)=AJ$5,", "&amp;1,"")&amp;IF(INDEX($A$9:$G$19,2*INT((1+WEEKDAY(DATE(PlanYear,1,1),2)-1)/7)+1,MOD(1+WEEKDAY(DATE(PlanYear,1,1),2)-1,7)+1)=AJ$5,", "&amp;2,"")&amp;IF(INDEX($A$9:$G$19,2*INT((2+WEEKDAY(DATE(PlanYear,1,1),2)-1)/7)+1,MOD(2+WEEKDAY(DATE(PlanYear,1,1),2)-1,7)+1)=AJ$5,", "&amp;3,"")&amp;IF(INDEX($A$9:$G$19,2*INT((3+WEEKDAY(DATE(PlanYear,1,1),2)-1)/7)+1,MOD(3+WEEKDAY(DATE(PlanYear,1,1),2)-1,7)+1)=AJ$5,", "&amp;4,"")&amp;IF(INDEX($A$9:$G$19,2*INT((4+WEEKDAY(DATE(PlanYear,1,1),2)-1)/7)+1,MOD(4+WEEKDAY(DATE(PlanYear,1,1),2)-1,7)+1)=AJ$5,", "&amp;5,"")&amp;IF(INDEX($A$9:$G$19,2*INT((5+WEEKDAY(DATE(PlanYear,1,1),2)-1)/7)+1,MOD(5+WEEKDAY(DATE(PlanYear,1,1),2)-1,7)+1)=AJ$5,", "&amp;6,"")&amp;IF(INDEX($A$9:$G$19,2*INT((6+WEEKDAY(DATE(PlanYear,1,1),2)-1)/7)+1,MOD(6+WEEKDAY(DATE(PlanYear,1,1),2)-1,7)+1)=AJ$5,", "&amp;7,"")&amp;IF(INDEX($A$9:$G$19,2*INT((7+WEEKDAY(DATE(PlanYear,1,1),2)-1)/7)+1,MOD(7+WEEKDAY(DATE(PlanYear,1,1),2)-1,7)+1)=AJ$5,", "&amp;8,"")&amp;IF(INDEX($A$9:$G$19,2*INT((8+WEEKDAY(DATE(PlanYear,1,1),2)-1)/7)+1,MOD(8+WEEKDAY(DATE(PlanYear,1,1),2)-1,7)+1)=AJ$5,", "&amp;9,"")&amp;IF(INDEX($A$9:$G$19,2*INT((9+WEEKDAY(DATE(PlanYear,1,1),2)-1)/7)+1,MOD(9+WEEKDAY(DATE(PlanYear,1,1),2)-1,7)+1)=AJ$5,", "&amp;10,"")&amp;IF(INDEX($A$9:$G$19,2*INT((10+WEEKDAY(DATE(PlanYear,1,1),2)-1)/7)+1,MOD(10+WEEKDAY(DATE(PlanYear,1,1),2)-1,7)+1)=AJ$5,", "&amp;11,"")&amp;IF(INDEX($A$9:$G$19,2*INT((11+WEEKDAY(DATE(PlanYear,1,1),2)-1)/7)+1,MOD(11+WEEKDAY(DATE(PlanYear,1,1),2)-1,7)+1)=AJ$5,", "&amp;12,"")&amp;IF(INDEX($A$9:$G$19,2*INT((12+WEEKDAY(DATE(PlanYear,1,1),2)-1)/7)+1,MOD(12+WEEKDAY(DATE(PlanYear,1,1),2)-1,7)+1)=AJ$5,", "&amp;13,"")&amp;IF(INDEX($A$9:$G$19,2*INT((13+WEEKDAY(DATE(PlanYear,1,1),2)-1)/7)+1,MOD(13+WEEKDAY(DATE(PlanYear,1,1),2)-1,7)+1)=AJ$5,", "&amp;14,"")&amp;IF(INDEX($A$9:$G$19,2*INT((14+WEEKDAY(DATE(PlanYear,1,1),2)-1)/7)+1,MOD(14+WEEKDAY(DATE(PlanYear,1,1),2)-1,7)+1)=AJ$5,", "&amp;15,"")&amp;IF(INDEX($A$9:$G$19,2*INT((15+WEEKDAY(DATE(PlanYear,1,1),2)-1)/7)+1,MOD(15+WEEKDAY(DATE(PlanYear,1,1),2)-1,7)+1)=AJ$5,", "&amp;16,"")&amp;IF(INDEX($A$9:$G$19,2*INT((16+WEEKDAY(DATE(PlanYear,1,1),2)-1)/7)+1,MOD(16+WEEKDAY(DATE(PlanYear,1,1),2)-1,7)+1)=AJ$5,", "&amp;17,"")&amp;IF(INDEX($A$9:$G$19,2*INT((17+WEEKDAY(DATE(PlanYear,1,1),2)-1)/7)+1,MOD(17+WEEKDAY(DATE(PlanYear,1,1),2)-1,7)+1)=AJ$5,", "&amp;18,"")&amp;IF(INDEX($A$9:$G$19,2*INT((18+WEEKDAY(DATE(PlanYear,1,1),2)-1)/7)+1,MOD(18+WEEKDAY(DATE(PlanYear,1,1),2)-1,7)+1)=AJ$5,", "&amp;19,"")&amp;IF(INDEX($A$9:$G$19,2*INT((19+WEEKDAY(DATE(PlanYear,1,1),2)-1)/7)+1,MOD(19+WEEKDAY(DATE(PlanYear,1,1),2)-1,7)+1)=AJ$5,", "&amp;20,"")&amp;IF(INDEX($A$9:$G$19,2*INT((20+WEEKDAY(DATE(PlanYear,1,1),2)-1)/7)+1,MOD(20+WEEKDAY(DATE(PlanYear,1,1),2)-1,7)+1)=AJ$5,", "&amp;21,"")&amp;IF(INDEX($A$9:$G$19,2*INT((21+WEEKDAY(DATE(PlanYear,1,1),2)-1)/7)+1,MOD(21+WEEKDAY(DATE(PlanYear,1,1),2)-1,7)+1)=AJ$5,", "&amp;22,"")&amp;IF(INDEX($A$9:$G$19,2*INT((22+WEEKDAY(DATE(PlanYear,1,1),2)-1)/7)+1,MOD(22+WEEKDAY(DATE(PlanYear,1,1),2)-1,7)+1)=AJ$5,", "&amp;23,"")&amp;IF(INDEX($A$9:$G$19,2*INT((23+WEEKDAY(DATE(PlanYear,1,1),2)-1)/7)+1,MOD(23+WEEKDAY(DATE(PlanYear,1,1),2)-1,7)+1)=AJ$5,", "&amp;24,"")&amp;IF(INDEX($A$9:$G$19,2*INT((24+WEEKDAY(DATE(PlanYear,1,1),2)-1)/7)+1,MOD(24+WEEKDAY(DATE(PlanYear,1,1),2)-1,7)+1)=AJ$5,", "&amp;25,"")&amp;IF(INDEX($A$9:$G$19,2*INT((25+WEEKDAY(DATE(PlanYear,1,1),2)-1)/7)+1,MOD(25+WEEKDAY(DATE(PlanYear,1,1),2)-1,7)+1)=AJ$5,", "&amp;26,"")&amp;IF(INDEX($A$9:$G$19,2*INT((26+WEEKDAY(DATE(PlanYear,1,1),2)-1)/7)+1,MOD(26+WEEKDAY(DATE(PlanYear,1,1),2)-1,7)+1)=AJ$5,", "&amp;27,"")&amp;IF(INDEX($A$9:$G$19,2*INT((27+WEEKDAY(DATE(PlanYear,1,1),2)-1)/7)+1,MOD(27+WEEKDAY(DATE(PlanYear,1,1),2)-1,7)+1)=AJ$5,", "&amp;28,"")&amp;IF(INDEX($A$9:$G$19,2*INT((28+WEEKDAY(DATE(PlanYear,1,1),2)-1)/7)+1,MOD(28+WEEKDAY(DATE(PlanYear,1,1),2)-1,7)+1)=AJ$5,", "&amp;29,"")&amp;IF(INDEX($A$9:$G$19,2*INT((29+WEEKDAY(DATE(PlanYear,1,1),2)-1)/7)+1,MOD(29+WEEKDAY(DATE(PlanYear,1,1),2)-1,7)+1)=AJ$5,", "&amp;30,"")&amp;IF(INDEX($A$9:$G$19,2*INT((30+WEEKDAY(DATE(PlanYear,1,1),2)-1)/7)+1,MOD(30+WEEKDAY(DATE(PlanYear,1,1),2)-1,7)+1)=AJ$5,", "&amp;31,""),3,200))</f>
        <v/>
      </c>
      <c r="AK6" s="17">
        <f>DAY(EOMONTH(DATE(PlanYear,1,1),0))-COUNTIF($A$9:$G$19,"?*")</f>
        <v/>
      </c>
    </row>
    <row r="7" ht="26" customHeight="1">
      <c r="A7" s="18" t="inlineStr">
        <is>
          <t>Mon</t>
        </is>
      </c>
      <c r="B7" s="18" t="inlineStr">
        <is>
          <t>Tue</t>
        </is>
      </c>
      <c r="C7" s="18" t="inlineStr">
        <is>
          <t>Wed</t>
        </is>
      </c>
      <c r="D7" s="18" t="inlineStr">
        <is>
          <t>Thu</t>
        </is>
      </c>
      <c r="E7" s="18" t="inlineStr">
        <is>
          <t>Fri</t>
        </is>
      </c>
      <c r="F7" s="19" t="inlineStr">
        <is>
          <t>Sat</t>
        </is>
      </c>
      <c r="G7" s="19" t="inlineStr">
        <is>
          <t>Sun</t>
        </is>
      </c>
      <c r="I7" s="18" t="inlineStr">
        <is>
          <t>Mon</t>
        </is>
      </c>
      <c r="J7" s="18" t="inlineStr">
        <is>
          <t>Tue</t>
        </is>
      </c>
      <c r="K7" s="18" t="inlineStr">
        <is>
          <t>Wed</t>
        </is>
      </c>
      <c r="L7" s="18" t="inlineStr">
        <is>
          <t>Thu</t>
        </is>
      </c>
      <c r="M7" s="18" t="inlineStr">
        <is>
          <t>Fri</t>
        </is>
      </c>
      <c r="N7" s="19" t="inlineStr">
        <is>
          <t>Sat</t>
        </is>
      </c>
      <c r="O7" s="19" t="inlineStr">
        <is>
          <t>Sun</t>
        </is>
      </c>
      <c r="Q7" s="18" t="inlineStr">
        <is>
          <t>Mon</t>
        </is>
      </c>
      <c r="R7" s="18" t="inlineStr">
        <is>
          <t>Tue</t>
        </is>
      </c>
      <c r="S7" s="18" t="inlineStr">
        <is>
          <t>Wed</t>
        </is>
      </c>
      <c r="T7" s="18" t="inlineStr">
        <is>
          <t>Thu</t>
        </is>
      </c>
      <c r="U7" s="18" t="inlineStr">
        <is>
          <t>Fri</t>
        </is>
      </c>
      <c r="V7" s="19" t="inlineStr">
        <is>
          <t>Sat</t>
        </is>
      </c>
      <c r="W7" s="19" t="inlineStr">
        <is>
          <t>Sun</t>
        </is>
      </c>
      <c r="Z7" s="15" t="inlineStr">
        <is>
          <t>February</t>
        </is>
      </c>
      <c r="AA7" s="16">
        <f>IF(AA$5="","",MID(IF(INDEX($I$9:$O$19,2*INT((0+WEEKDAY(DATE(PlanYear,2,1),2)-1)/7)+1,MOD(0+WEEKDAY(DATE(PlanYear,2,1),2)-1,7)+1)=AA$5,", "&amp;1,"")&amp;IF(INDEX($I$9:$O$19,2*INT((1+WEEKDAY(DATE(PlanYear,2,1),2)-1)/7)+1,MOD(1+WEEKDAY(DATE(PlanYear,2,1),2)-1,7)+1)=AA$5,", "&amp;2,"")&amp;IF(INDEX($I$9:$O$19,2*INT((2+WEEKDAY(DATE(PlanYear,2,1),2)-1)/7)+1,MOD(2+WEEKDAY(DATE(PlanYear,2,1),2)-1,7)+1)=AA$5,", "&amp;3,"")&amp;IF(INDEX($I$9:$O$19,2*INT((3+WEEKDAY(DATE(PlanYear,2,1),2)-1)/7)+1,MOD(3+WEEKDAY(DATE(PlanYear,2,1),2)-1,7)+1)=AA$5,", "&amp;4,"")&amp;IF(INDEX($I$9:$O$19,2*INT((4+WEEKDAY(DATE(PlanYear,2,1),2)-1)/7)+1,MOD(4+WEEKDAY(DATE(PlanYear,2,1),2)-1,7)+1)=AA$5,", "&amp;5,"")&amp;IF(INDEX($I$9:$O$19,2*INT((5+WEEKDAY(DATE(PlanYear,2,1),2)-1)/7)+1,MOD(5+WEEKDAY(DATE(PlanYear,2,1),2)-1,7)+1)=AA$5,", "&amp;6,"")&amp;IF(INDEX($I$9:$O$19,2*INT((6+WEEKDAY(DATE(PlanYear,2,1),2)-1)/7)+1,MOD(6+WEEKDAY(DATE(PlanYear,2,1),2)-1,7)+1)=AA$5,", "&amp;7,"")&amp;IF(INDEX($I$9:$O$19,2*INT((7+WEEKDAY(DATE(PlanYear,2,1),2)-1)/7)+1,MOD(7+WEEKDAY(DATE(PlanYear,2,1),2)-1,7)+1)=AA$5,", "&amp;8,"")&amp;IF(INDEX($I$9:$O$19,2*INT((8+WEEKDAY(DATE(PlanYear,2,1),2)-1)/7)+1,MOD(8+WEEKDAY(DATE(PlanYear,2,1),2)-1,7)+1)=AA$5,", "&amp;9,"")&amp;IF(INDEX($I$9:$O$19,2*INT((9+WEEKDAY(DATE(PlanYear,2,1),2)-1)/7)+1,MOD(9+WEEKDAY(DATE(PlanYear,2,1),2)-1,7)+1)=AA$5,", "&amp;10,"")&amp;IF(INDEX($I$9:$O$19,2*INT((10+WEEKDAY(DATE(PlanYear,2,1),2)-1)/7)+1,MOD(10+WEEKDAY(DATE(PlanYear,2,1),2)-1,7)+1)=AA$5,", "&amp;11,"")&amp;IF(INDEX($I$9:$O$19,2*INT((11+WEEKDAY(DATE(PlanYear,2,1),2)-1)/7)+1,MOD(11+WEEKDAY(DATE(PlanYear,2,1),2)-1,7)+1)=AA$5,", "&amp;12,"")&amp;IF(INDEX($I$9:$O$19,2*INT((12+WEEKDAY(DATE(PlanYear,2,1),2)-1)/7)+1,MOD(12+WEEKDAY(DATE(PlanYear,2,1),2)-1,7)+1)=AA$5,", "&amp;13,"")&amp;IF(INDEX($I$9:$O$19,2*INT((13+WEEKDAY(DATE(PlanYear,2,1),2)-1)/7)+1,MOD(13+WEEKDAY(DATE(PlanYear,2,1),2)-1,7)+1)=AA$5,", "&amp;14,"")&amp;IF(INDEX($I$9:$O$19,2*INT((14+WEEKDAY(DATE(PlanYear,2,1),2)-1)/7)+1,MOD(14+WEEKDAY(DATE(PlanYear,2,1),2)-1,7)+1)=AA$5,", "&amp;15,"")&amp;IF(INDEX($I$9:$O$19,2*INT((15+WEEKDAY(DATE(PlanYear,2,1),2)-1)/7)+1,MOD(15+WEEKDAY(DATE(PlanYear,2,1),2)-1,7)+1)=AA$5,", "&amp;16,"")&amp;IF(INDEX($I$9:$O$19,2*INT((16+WEEKDAY(DATE(PlanYear,2,1),2)-1)/7)+1,MOD(16+WEEKDAY(DATE(PlanYear,2,1),2)-1,7)+1)=AA$5,", "&amp;17,"")&amp;IF(INDEX($I$9:$O$19,2*INT((17+WEEKDAY(DATE(PlanYear,2,1),2)-1)/7)+1,MOD(17+WEEKDAY(DATE(PlanYear,2,1),2)-1,7)+1)=AA$5,", "&amp;18,"")&amp;IF(INDEX($I$9:$O$19,2*INT((18+WEEKDAY(DATE(PlanYear,2,1),2)-1)/7)+1,MOD(18+WEEKDAY(DATE(PlanYear,2,1),2)-1,7)+1)=AA$5,", "&amp;19,"")&amp;IF(INDEX($I$9:$O$19,2*INT((19+WEEKDAY(DATE(PlanYear,2,1),2)-1)/7)+1,MOD(19+WEEKDAY(DATE(PlanYear,2,1),2)-1,7)+1)=AA$5,", "&amp;20,"")&amp;IF(INDEX($I$9:$O$19,2*INT((20+WEEKDAY(DATE(PlanYear,2,1),2)-1)/7)+1,MOD(20+WEEKDAY(DATE(PlanYear,2,1),2)-1,7)+1)=AA$5,", "&amp;21,"")&amp;IF(INDEX($I$9:$O$19,2*INT((21+WEEKDAY(DATE(PlanYear,2,1),2)-1)/7)+1,MOD(21+WEEKDAY(DATE(PlanYear,2,1),2)-1,7)+1)=AA$5,", "&amp;22,"")&amp;IF(INDEX($I$9:$O$19,2*INT((22+WEEKDAY(DATE(PlanYear,2,1),2)-1)/7)+1,MOD(22+WEEKDAY(DATE(PlanYear,2,1),2)-1,7)+1)=AA$5,", "&amp;23,"")&amp;IF(INDEX($I$9:$O$19,2*INT((23+WEEKDAY(DATE(PlanYear,2,1),2)-1)/7)+1,MOD(23+WEEKDAY(DATE(PlanYear,2,1),2)-1,7)+1)=AA$5,", "&amp;24,"")&amp;IF(INDEX($I$9:$O$19,2*INT((24+WEEKDAY(DATE(PlanYear,2,1),2)-1)/7)+1,MOD(24+WEEKDAY(DATE(PlanYear,2,1),2)-1,7)+1)=AA$5,", "&amp;25,"")&amp;IF(INDEX($I$9:$O$19,2*INT((25+WEEKDAY(DATE(PlanYear,2,1),2)-1)/7)+1,MOD(25+WEEKDAY(DATE(PlanYear,2,1),2)-1,7)+1)=AA$5,", "&amp;26,"")&amp;IF(INDEX($I$9:$O$19,2*INT((26+WEEKDAY(DATE(PlanYear,2,1),2)-1)/7)+1,MOD(26+WEEKDAY(DATE(PlanYear,2,1),2)-1,7)+1)=AA$5,", "&amp;27,"")&amp;IF(INDEX($I$9:$O$19,2*INT((27+WEEKDAY(DATE(PlanYear,2,1),2)-1)/7)+1,MOD(27+WEEKDAY(DATE(PlanYear,2,1),2)-1,7)+1)=AA$5,", "&amp;28,"")&amp;IF(INDEX($I$9:$O$19,2*INT((28+WEEKDAY(DATE(PlanYear,2,1),2)-1)/7)+1,MOD(28+WEEKDAY(DATE(PlanYear,2,1),2)-1,7)+1)=AA$5,", "&amp;29,"")&amp;IF(INDEX($I$9:$O$19,2*INT((29+WEEKDAY(DATE(PlanYear,2,1),2)-1)/7)+1,MOD(29+WEEKDAY(DATE(PlanYear,2,1),2)-1,7)+1)=AA$5,", "&amp;30,"")&amp;IF(INDEX($I$9:$O$19,2*INT((30+WEEKDAY(DATE(PlanYear,2,1),2)-1)/7)+1,MOD(30+WEEKDAY(DATE(PlanYear,2,1),2)-1,7)+1)=AA$5,", "&amp;31,""),3,200))</f>
        <v/>
      </c>
      <c r="AB7" s="16">
        <f>IF(AB$5="","",MID(IF(INDEX($I$9:$O$19,2*INT((0+WEEKDAY(DATE(PlanYear,2,1),2)-1)/7)+1,MOD(0+WEEKDAY(DATE(PlanYear,2,1),2)-1,7)+1)=AB$5,", "&amp;1,"")&amp;IF(INDEX($I$9:$O$19,2*INT((1+WEEKDAY(DATE(PlanYear,2,1),2)-1)/7)+1,MOD(1+WEEKDAY(DATE(PlanYear,2,1),2)-1,7)+1)=AB$5,", "&amp;2,"")&amp;IF(INDEX($I$9:$O$19,2*INT((2+WEEKDAY(DATE(PlanYear,2,1),2)-1)/7)+1,MOD(2+WEEKDAY(DATE(PlanYear,2,1),2)-1,7)+1)=AB$5,", "&amp;3,"")&amp;IF(INDEX($I$9:$O$19,2*INT((3+WEEKDAY(DATE(PlanYear,2,1),2)-1)/7)+1,MOD(3+WEEKDAY(DATE(PlanYear,2,1),2)-1,7)+1)=AB$5,", "&amp;4,"")&amp;IF(INDEX($I$9:$O$19,2*INT((4+WEEKDAY(DATE(PlanYear,2,1),2)-1)/7)+1,MOD(4+WEEKDAY(DATE(PlanYear,2,1),2)-1,7)+1)=AB$5,", "&amp;5,"")&amp;IF(INDEX($I$9:$O$19,2*INT((5+WEEKDAY(DATE(PlanYear,2,1),2)-1)/7)+1,MOD(5+WEEKDAY(DATE(PlanYear,2,1),2)-1,7)+1)=AB$5,", "&amp;6,"")&amp;IF(INDEX($I$9:$O$19,2*INT((6+WEEKDAY(DATE(PlanYear,2,1),2)-1)/7)+1,MOD(6+WEEKDAY(DATE(PlanYear,2,1),2)-1,7)+1)=AB$5,", "&amp;7,"")&amp;IF(INDEX($I$9:$O$19,2*INT((7+WEEKDAY(DATE(PlanYear,2,1),2)-1)/7)+1,MOD(7+WEEKDAY(DATE(PlanYear,2,1),2)-1,7)+1)=AB$5,", "&amp;8,"")&amp;IF(INDEX($I$9:$O$19,2*INT((8+WEEKDAY(DATE(PlanYear,2,1),2)-1)/7)+1,MOD(8+WEEKDAY(DATE(PlanYear,2,1),2)-1,7)+1)=AB$5,", "&amp;9,"")&amp;IF(INDEX($I$9:$O$19,2*INT((9+WEEKDAY(DATE(PlanYear,2,1),2)-1)/7)+1,MOD(9+WEEKDAY(DATE(PlanYear,2,1),2)-1,7)+1)=AB$5,", "&amp;10,"")&amp;IF(INDEX($I$9:$O$19,2*INT((10+WEEKDAY(DATE(PlanYear,2,1),2)-1)/7)+1,MOD(10+WEEKDAY(DATE(PlanYear,2,1),2)-1,7)+1)=AB$5,", "&amp;11,"")&amp;IF(INDEX($I$9:$O$19,2*INT((11+WEEKDAY(DATE(PlanYear,2,1),2)-1)/7)+1,MOD(11+WEEKDAY(DATE(PlanYear,2,1),2)-1,7)+1)=AB$5,", "&amp;12,"")&amp;IF(INDEX($I$9:$O$19,2*INT((12+WEEKDAY(DATE(PlanYear,2,1),2)-1)/7)+1,MOD(12+WEEKDAY(DATE(PlanYear,2,1),2)-1,7)+1)=AB$5,", "&amp;13,"")&amp;IF(INDEX($I$9:$O$19,2*INT((13+WEEKDAY(DATE(PlanYear,2,1),2)-1)/7)+1,MOD(13+WEEKDAY(DATE(PlanYear,2,1),2)-1,7)+1)=AB$5,", "&amp;14,"")&amp;IF(INDEX($I$9:$O$19,2*INT((14+WEEKDAY(DATE(PlanYear,2,1),2)-1)/7)+1,MOD(14+WEEKDAY(DATE(PlanYear,2,1),2)-1,7)+1)=AB$5,", "&amp;15,"")&amp;IF(INDEX($I$9:$O$19,2*INT((15+WEEKDAY(DATE(PlanYear,2,1),2)-1)/7)+1,MOD(15+WEEKDAY(DATE(PlanYear,2,1),2)-1,7)+1)=AB$5,", "&amp;16,"")&amp;IF(INDEX($I$9:$O$19,2*INT((16+WEEKDAY(DATE(PlanYear,2,1),2)-1)/7)+1,MOD(16+WEEKDAY(DATE(PlanYear,2,1),2)-1,7)+1)=AB$5,", "&amp;17,"")&amp;IF(INDEX($I$9:$O$19,2*INT((17+WEEKDAY(DATE(PlanYear,2,1),2)-1)/7)+1,MOD(17+WEEKDAY(DATE(PlanYear,2,1),2)-1,7)+1)=AB$5,", "&amp;18,"")&amp;IF(INDEX($I$9:$O$19,2*INT((18+WEEKDAY(DATE(PlanYear,2,1),2)-1)/7)+1,MOD(18+WEEKDAY(DATE(PlanYear,2,1),2)-1,7)+1)=AB$5,", "&amp;19,"")&amp;IF(INDEX($I$9:$O$19,2*INT((19+WEEKDAY(DATE(PlanYear,2,1),2)-1)/7)+1,MOD(19+WEEKDAY(DATE(PlanYear,2,1),2)-1,7)+1)=AB$5,", "&amp;20,"")&amp;IF(INDEX($I$9:$O$19,2*INT((20+WEEKDAY(DATE(PlanYear,2,1),2)-1)/7)+1,MOD(20+WEEKDAY(DATE(PlanYear,2,1),2)-1,7)+1)=AB$5,", "&amp;21,"")&amp;IF(INDEX($I$9:$O$19,2*INT((21+WEEKDAY(DATE(PlanYear,2,1),2)-1)/7)+1,MOD(21+WEEKDAY(DATE(PlanYear,2,1),2)-1,7)+1)=AB$5,", "&amp;22,"")&amp;IF(INDEX($I$9:$O$19,2*INT((22+WEEKDAY(DATE(PlanYear,2,1),2)-1)/7)+1,MOD(22+WEEKDAY(DATE(PlanYear,2,1),2)-1,7)+1)=AB$5,", "&amp;23,"")&amp;IF(INDEX($I$9:$O$19,2*INT((23+WEEKDAY(DATE(PlanYear,2,1),2)-1)/7)+1,MOD(23+WEEKDAY(DATE(PlanYear,2,1),2)-1,7)+1)=AB$5,", "&amp;24,"")&amp;IF(INDEX($I$9:$O$19,2*INT((24+WEEKDAY(DATE(PlanYear,2,1),2)-1)/7)+1,MOD(24+WEEKDAY(DATE(PlanYear,2,1),2)-1,7)+1)=AB$5,", "&amp;25,"")&amp;IF(INDEX($I$9:$O$19,2*INT((25+WEEKDAY(DATE(PlanYear,2,1),2)-1)/7)+1,MOD(25+WEEKDAY(DATE(PlanYear,2,1),2)-1,7)+1)=AB$5,", "&amp;26,"")&amp;IF(INDEX($I$9:$O$19,2*INT((26+WEEKDAY(DATE(PlanYear,2,1),2)-1)/7)+1,MOD(26+WEEKDAY(DATE(PlanYear,2,1),2)-1,7)+1)=AB$5,", "&amp;27,"")&amp;IF(INDEX($I$9:$O$19,2*INT((27+WEEKDAY(DATE(PlanYear,2,1),2)-1)/7)+1,MOD(27+WEEKDAY(DATE(PlanYear,2,1),2)-1,7)+1)=AB$5,", "&amp;28,"")&amp;IF(INDEX($I$9:$O$19,2*INT((28+WEEKDAY(DATE(PlanYear,2,1),2)-1)/7)+1,MOD(28+WEEKDAY(DATE(PlanYear,2,1),2)-1,7)+1)=AB$5,", "&amp;29,"")&amp;IF(INDEX($I$9:$O$19,2*INT((29+WEEKDAY(DATE(PlanYear,2,1),2)-1)/7)+1,MOD(29+WEEKDAY(DATE(PlanYear,2,1),2)-1,7)+1)=AB$5,", "&amp;30,"")&amp;IF(INDEX($I$9:$O$19,2*INT((30+WEEKDAY(DATE(PlanYear,2,1),2)-1)/7)+1,MOD(30+WEEKDAY(DATE(PlanYear,2,1),2)-1,7)+1)=AB$5,", "&amp;31,""),3,200))</f>
        <v/>
      </c>
      <c r="AC7" s="16">
        <f>IF(AC$5="","",MID(IF(INDEX($I$9:$O$19,2*INT((0+WEEKDAY(DATE(PlanYear,2,1),2)-1)/7)+1,MOD(0+WEEKDAY(DATE(PlanYear,2,1),2)-1,7)+1)=AC$5,", "&amp;1,"")&amp;IF(INDEX($I$9:$O$19,2*INT((1+WEEKDAY(DATE(PlanYear,2,1),2)-1)/7)+1,MOD(1+WEEKDAY(DATE(PlanYear,2,1),2)-1,7)+1)=AC$5,", "&amp;2,"")&amp;IF(INDEX($I$9:$O$19,2*INT((2+WEEKDAY(DATE(PlanYear,2,1),2)-1)/7)+1,MOD(2+WEEKDAY(DATE(PlanYear,2,1),2)-1,7)+1)=AC$5,", "&amp;3,"")&amp;IF(INDEX($I$9:$O$19,2*INT((3+WEEKDAY(DATE(PlanYear,2,1),2)-1)/7)+1,MOD(3+WEEKDAY(DATE(PlanYear,2,1),2)-1,7)+1)=AC$5,", "&amp;4,"")&amp;IF(INDEX($I$9:$O$19,2*INT((4+WEEKDAY(DATE(PlanYear,2,1),2)-1)/7)+1,MOD(4+WEEKDAY(DATE(PlanYear,2,1),2)-1,7)+1)=AC$5,", "&amp;5,"")&amp;IF(INDEX($I$9:$O$19,2*INT((5+WEEKDAY(DATE(PlanYear,2,1),2)-1)/7)+1,MOD(5+WEEKDAY(DATE(PlanYear,2,1),2)-1,7)+1)=AC$5,", "&amp;6,"")&amp;IF(INDEX($I$9:$O$19,2*INT((6+WEEKDAY(DATE(PlanYear,2,1),2)-1)/7)+1,MOD(6+WEEKDAY(DATE(PlanYear,2,1),2)-1,7)+1)=AC$5,", "&amp;7,"")&amp;IF(INDEX($I$9:$O$19,2*INT((7+WEEKDAY(DATE(PlanYear,2,1),2)-1)/7)+1,MOD(7+WEEKDAY(DATE(PlanYear,2,1),2)-1,7)+1)=AC$5,", "&amp;8,"")&amp;IF(INDEX($I$9:$O$19,2*INT((8+WEEKDAY(DATE(PlanYear,2,1),2)-1)/7)+1,MOD(8+WEEKDAY(DATE(PlanYear,2,1),2)-1,7)+1)=AC$5,", "&amp;9,"")&amp;IF(INDEX($I$9:$O$19,2*INT((9+WEEKDAY(DATE(PlanYear,2,1),2)-1)/7)+1,MOD(9+WEEKDAY(DATE(PlanYear,2,1),2)-1,7)+1)=AC$5,", "&amp;10,"")&amp;IF(INDEX($I$9:$O$19,2*INT((10+WEEKDAY(DATE(PlanYear,2,1),2)-1)/7)+1,MOD(10+WEEKDAY(DATE(PlanYear,2,1),2)-1,7)+1)=AC$5,", "&amp;11,"")&amp;IF(INDEX($I$9:$O$19,2*INT((11+WEEKDAY(DATE(PlanYear,2,1),2)-1)/7)+1,MOD(11+WEEKDAY(DATE(PlanYear,2,1),2)-1,7)+1)=AC$5,", "&amp;12,"")&amp;IF(INDEX($I$9:$O$19,2*INT((12+WEEKDAY(DATE(PlanYear,2,1),2)-1)/7)+1,MOD(12+WEEKDAY(DATE(PlanYear,2,1),2)-1,7)+1)=AC$5,", "&amp;13,"")&amp;IF(INDEX($I$9:$O$19,2*INT((13+WEEKDAY(DATE(PlanYear,2,1),2)-1)/7)+1,MOD(13+WEEKDAY(DATE(PlanYear,2,1),2)-1,7)+1)=AC$5,", "&amp;14,"")&amp;IF(INDEX($I$9:$O$19,2*INT((14+WEEKDAY(DATE(PlanYear,2,1),2)-1)/7)+1,MOD(14+WEEKDAY(DATE(PlanYear,2,1),2)-1,7)+1)=AC$5,", "&amp;15,"")&amp;IF(INDEX($I$9:$O$19,2*INT((15+WEEKDAY(DATE(PlanYear,2,1),2)-1)/7)+1,MOD(15+WEEKDAY(DATE(PlanYear,2,1),2)-1,7)+1)=AC$5,", "&amp;16,"")&amp;IF(INDEX($I$9:$O$19,2*INT((16+WEEKDAY(DATE(PlanYear,2,1),2)-1)/7)+1,MOD(16+WEEKDAY(DATE(PlanYear,2,1),2)-1,7)+1)=AC$5,", "&amp;17,"")&amp;IF(INDEX($I$9:$O$19,2*INT((17+WEEKDAY(DATE(PlanYear,2,1),2)-1)/7)+1,MOD(17+WEEKDAY(DATE(PlanYear,2,1),2)-1,7)+1)=AC$5,", "&amp;18,"")&amp;IF(INDEX($I$9:$O$19,2*INT((18+WEEKDAY(DATE(PlanYear,2,1),2)-1)/7)+1,MOD(18+WEEKDAY(DATE(PlanYear,2,1),2)-1,7)+1)=AC$5,", "&amp;19,"")&amp;IF(INDEX($I$9:$O$19,2*INT((19+WEEKDAY(DATE(PlanYear,2,1),2)-1)/7)+1,MOD(19+WEEKDAY(DATE(PlanYear,2,1),2)-1,7)+1)=AC$5,", "&amp;20,"")&amp;IF(INDEX($I$9:$O$19,2*INT((20+WEEKDAY(DATE(PlanYear,2,1),2)-1)/7)+1,MOD(20+WEEKDAY(DATE(PlanYear,2,1),2)-1,7)+1)=AC$5,", "&amp;21,"")&amp;IF(INDEX($I$9:$O$19,2*INT((21+WEEKDAY(DATE(PlanYear,2,1),2)-1)/7)+1,MOD(21+WEEKDAY(DATE(PlanYear,2,1),2)-1,7)+1)=AC$5,", "&amp;22,"")&amp;IF(INDEX($I$9:$O$19,2*INT((22+WEEKDAY(DATE(PlanYear,2,1),2)-1)/7)+1,MOD(22+WEEKDAY(DATE(PlanYear,2,1),2)-1,7)+1)=AC$5,", "&amp;23,"")&amp;IF(INDEX($I$9:$O$19,2*INT((23+WEEKDAY(DATE(PlanYear,2,1),2)-1)/7)+1,MOD(23+WEEKDAY(DATE(PlanYear,2,1),2)-1,7)+1)=AC$5,", "&amp;24,"")&amp;IF(INDEX($I$9:$O$19,2*INT((24+WEEKDAY(DATE(PlanYear,2,1),2)-1)/7)+1,MOD(24+WEEKDAY(DATE(PlanYear,2,1),2)-1,7)+1)=AC$5,", "&amp;25,"")&amp;IF(INDEX($I$9:$O$19,2*INT((25+WEEKDAY(DATE(PlanYear,2,1),2)-1)/7)+1,MOD(25+WEEKDAY(DATE(PlanYear,2,1),2)-1,7)+1)=AC$5,", "&amp;26,"")&amp;IF(INDEX($I$9:$O$19,2*INT((26+WEEKDAY(DATE(PlanYear,2,1),2)-1)/7)+1,MOD(26+WEEKDAY(DATE(PlanYear,2,1),2)-1,7)+1)=AC$5,", "&amp;27,"")&amp;IF(INDEX($I$9:$O$19,2*INT((27+WEEKDAY(DATE(PlanYear,2,1),2)-1)/7)+1,MOD(27+WEEKDAY(DATE(PlanYear,2,1),2)-1,7)+1)=AC$5,", "&amp;28,"")&amp;IF(INDEX($I$9:$O$19,2*INT((28+WEEKDAY(DATE(PlanYear,2,1),2)-1)/7)+1,MOD(28+WEEKDAY(DATE(PlanYear,2,1),2)-1,7)+1)=AC$5,", "&amp;29,"")&amp;IF(INDEX($I$9:$O$19,2*INT((29+WEEKDAY(DATE(PlanYear,2,1),2)-1)/7)+1,MOD(29+WEEKDAY(DATE(PlanYear,2,1),2)-1,7)+1)=AC$5,", "&amp;30,"")&amp;IF(INDEX($I$9:$O$19,2*INT((30+WEEKDAY(DATE(PlanYear,2,1),2)-1)/7)+1,MOD(30+WEEKDAY(DATE(PlanYear,2,1),2)-1,7)+1)=AC$5,", "&amp;31,""),3,200))</f>
        <v/>
      </c>
      <c r="AD7" s="16">
        <f>IF(AD$5="","",MID(IF(INDEX($I$9:$O$19,2*INT((0+WEEKDAY(DATE(PlanYear,2,1),2)-1)/7)+1,MOD(0+WEEKDAY(DATE(PlanYear,2,1),2)-1,7)+1)=AD$5,", "&amp;1,"")&amp;IF(INDEX($I$9:$O$19,2*INT((1+WEEKDAY(DATE(PlanYear,2,1),2)-1)/7)+1,MOD(1+WEEKDAY(DATE(PlanYear,2,1),2)-1,7)+1)=AD$5,", "&amp;2,"")&amp;IF(INDEX($I$9:$O$19,2*INT((2+WEEKDAY(DATE(PlanYear,2,1),2)-1)/7)+1,MOD(2+WEEKDAY(DATE(PlanYear,2,1),2)-1,7)+1)=AD$5,", "&amp;3,"")&amp;IF(INDEX($I$9:$O$19,2*INT((3+WEEKDAY(DATE(PlanYear,2,1),2)-1)/7)+1,MOD(3+WEEKDAY(DATE(PlanYear,2,1),2)-1,7)+1)=AD$5,", "&amp;4,"")&amp;IF(INDEX($I$9:$O$19,2*INT((4+WEEKDAY(DATE(PlanYear,2,1),2)-1)/7)+1,MOD(4+WEEKDAY(DATE(PlanYear,2,1),2)-1,7)+1)=AD$5,", "&amp;5,"")&amp;IF(INDEX($I$9:$O$19,2*INT((5+WEEKDAY(DATE(PlanYear,2,1),2)-1)/7)+1,MOD(5+WEEKDAY(DATE(PlanYear,2,1),2)-1,7)+1)=AD$5,", "&amp;6,"")&amp;IF(INDEX($I$9:$O$19,2*INT((6+WEEKDAY(DATE(PlanYear,2,1),2)-1)/7)+1,MOD(6+WEEKDAY(DATE(PlanYear,2,1),2)-1,7)+1)=AD$5,", "&amp;7,"")&amp;IF(INDEX($I$9:$O$19,2*INT((7+WEEKDAY(DATE(PlanYear,2,1),2)-1)/7)+1,MOD(7+WEEKDAY(DATE(PlanYear,2,1),2)-1,7)+1)=AD$5,", "&amp;8,"")&amp;IF(INDEX($I$9:$O$19,2*INT((8+WEEKDAY(DATE(PlanYear,2,1),2)-1)/7)+1,MOD(8+WEEKDAY(DATE(PlanYear,2,1),2)-1,7)+1)=AD$5,", "&amp;9,"")&amp;IF(INDEX($I$9:$O$19,2*INT((9+WEEKDAY(DATE(PlanYear,2,1),2)-1)/7)+1,MOD(9+WEEKDAY(DATE(PlanYear,2,1),2)-1,7)+1)=AD$5,", "&amp;10,"")&amp;IF(INDEX($I$9:$O$19,2*INT((10+WEEKDAY(DATE(PlanYear,2,1),2)-1)/7)+1,MOD(10+WEEKDAY(DATE(PlanYear,2,1),2)-1,7)+1)=AD$5,", "&amp;11,"")&amp;IF(INDEX($I$9:$O$19,2*INT((11+WEEKDAY(DATE(PlanYear,2,1),2)-1)/7)+1,MOD(11+WEEKDAY(DATE(PlanYear,2,1),2)-1,7)+1)=AD$5,", "&amp;12,"")&amp;IF(INDEX($I$9:$O$19,2*INT((12+WEEKDAY(DATE(PlanYear,2,1),2)-1)/7)+1,MOD(12+WEEKDAY(DATE(PlanYear,2,1),2)-1,7)+1)=AD$5,", "&amp;13,"")&amp;IF(INDEX($I$9:$O$19,2*INT((13+WEEKDAY(DATE(PlanYear,2,1),2)-1)/7)+1,MOD(13+WEEKDAY(DATE(PlanYear,2,1),2)-1,7)+1)=AD$5,", "&amp;14,"")&amp;IF(INDEX($I$9:$O$19,2*INT((14+WEEKDAY(DATE(PlanYear,2,1),2)-1)/7)+1,MOD(14+WEEKDAY(DATE(PlanYear,2,1),2)-1,7)+1)=AD$5,", "&amp;15,"")&amp;IF(INDEX($I$9:$O$19,2*INT((15+WEEKDAY(DATE(PlanYear,2,1),2)-1)/7)+1,MOD(15+WEEKDAY(DATE(PlanYear,2,1),2)-1,7)+1)=AD$5,", "&amp;16,"")&amp;IF(INDEX($I$9:$O$19,2*INT((16+WEEKDAY(DATE(PlanYear,2,1),2)-1)/7)+1,MOD(16+WEEKDAY(DATE(PlanYear,2,1),2)-1,7)+1)=AD$5,", "&amp;17,"")&amp;IF(INDEX($I$9:$O$19,2*INT((17+WEEKDAY(DATE(PlanYear,2,1),2)-1)/7)+1,MOD(17+WEEKDAY(DATE(PlanYear,2,1),2)-1,7)+1)=AD$5,", "&amp;18,"")&amp;IF(INDEX($I$9:$O$19,2*INT((18+WEEKDAY(DATE(PlanYear,2,1),2)-1)/7)+1,MOD(18+WEEKDAY(DATE(PlanYear,2,1),2)-1,7)+1)=AD$5,", "&amp;19,"")&amp;IF(INDEX($I$9:$O$19,2*INT((19+WEEKDAY(DATE(PlanYear,2,1),2)-1)/7)+1,MOD(19+WEEKDAY(DATE(PlanYear,2,1),2)-1,7)+1)=AD$5,", "&amp;20,"")&amp;IF(INDEX($I$9:$O$19,2*INT((20+WEEKDAY(DATE(PlanYear,2,1),2)-1)/7)+1,MOD(20+WEEKDAY(DATE(PlanYear,2,1),2)-1,7)+1)=AD$5,", "&amp;21,"")&amp;IF(INDEX($I$9:$O$19,2*INT((21+WEEKDAY(DATE(PlanYear,2,1),2)-1)/7)+1,MOD(21+WEEKDAY(DATE(PlanYear,2,1),2)-1,7)+1)=AD$5,", "&amp;22,"")&amp;IF(INDEX($I$9:$O$19,2*INT((22+WEEKDAY(DATE(PlanYear,2,1),2)-1)/7)+1,MOD(22+WEEKDAY(DATE(PlanYear,2,1),2)-1,7)+1)=AD$5,", "&amp;23,"")&amp;IF(INDEX($I$9:$O$19,2*INT((23+WEEKDAY(DATE(PlanYear,2,1),2)-1)/7)+1,MOD(23+WEEKDAY(DATE(PlanYear,2,1),2)-1,7)+1)=AD$5,", "&amp;24,"")&amp;IF(INDEX($I$9:$O$19,2*INT((24+WEEKDAY(DATE(PlanYear,2,1),2)-1)/7)+1,MOD(24+WEEKDAY(DATE(PlanYear,2,1),2)-1,7)+1)=AD$5,", "&amp;25,"")&amp;IF(INDEX($I$9:$O$19,2*INT((25+WEEKDAY(DATE(PlanYear,2,1),2)-1)/7)+1,MOD(25+WEEKDAY(DATE(PlanYear,2,1),2)-1,7)+1)=AD$5,", "&amp;26,"")&amp;IF(INDEX($I$9:$O$19,2*INT((26+WEEKDAY(DATE(PlanYear,2,1),2)-1)/7)+1,MOD(26+WEEKDAY(DATE(PlanYear,2,1),2)-1,7)+1)=AD$5,", "&amp;27,"")&amp;IF(INDEX($I$9:$O$19,2*INT((27+WEEKDAY(DATE(PlanYear,2,1),2)-1)/7)+1,MOD(27+WEEKDAY(DATE(PlanYear,2,1),2)-1,7)+1)=AD$5,", "&amp;28,"")&amp;IF(INDEX($I$9:$O$19,2*INT((28+WEEKDAY(DATE(PlanYear,2,1),2)-1)/7)+1,MOD(28+WEEKDAY(DATE(PlanYear,2,1),2)-1,7)+1)=AD$5,", "&amp;29,"")&amp;IF(INDEX($I$9:$O$19,2*INT((29+WEEKDAY(DATE(PlanYear,2,1),2)-1)/7)+1,MOD(29+WEEKDAY(DATE(PlanYear,2,1),2)-1,7)+1)=AD$5,", "&amp;30,"")&amp;IF(INDEX($I$9:$O$19,2*INT((30+WEEKDAY(DATE(PlanYear,2,1),2)-1)/7)+1,MOD(30+WEEKDAY(DATE(PlanYear,2,1),2)-1,7)+1)=AD$5,", "&amp;31,""),3,200))</f>
        <v/>
      </c>
      <c r="AE7" s="16">
        <f>IF(AE$5="","",MID(IF(INDEX($I$9:$O$19,2*INT((0+WEEKDAY(DATE(PlanYear,2,1),2)-1)/7)+1,MOD(0+WEEKDAY(DATE(PlanYear,2,1),2)-1,7)+1)=AE$5,", "&amp;1,"")&amp;IF(INDEX($I$9:$O$19,2*INT((1+WEEKDAY(DATE(PlanYear,2,1),2)-1)/7)+1,MOD(1+WEEKDAY(DATE(PlanYear,2,1),2)-1,7)+1)=AE$5,", "&amp;2,"")&amp;IF(INDEX($I$9:$O$19,2*INT((2+WEEKDAY(DATE(PlanYear,2,1),2)-1)/7)+1,MOD(2+WEEKDAY(DATE(PlanYear,2,1),2)-1,7)+1)=AE$5,", "&amp;3,"")&amp;IF(INDEX($I$9:$O$19,2*INT((3+WEEKDAY(DATE(PlanYear,2,1),2)-1)/7)+1,MOD(3+WEEKDAY(DATE(PlanYear,2,1),2)-1,7)+1)=AE$5,", "&amp;4,"")&amp;IF(INDEX($I$9:$O$19,2*INT((4+WEEKDAY(DATE(PlanYear,2,1),2)-1)/7)+1,MOD(4+WEEKDAY(DATE(PlanYear,2,1),2)-1,7)+1)=AE$5,", "&amp;5,"")&amp;IF(INDEX($I$9:$O$19,2*INT((5+WEEKDAY(DATE(PlanYear,2,1),2)-1)/7)+1,MOD(5+WEEKDAY(DATE(PlanYear,2,1),2)-1,7)+1)=AE$5,", "&amp;6,"")&amp;IF(INDEX($I$9:$O$19,2*INT((6+WEEKDAY(DATE(PlanYear,2,1),2)-1)/7)+1,MOD(6+WEEKDAY(DATE(PlanYear,2,1),2)-1,7)+1)=AE$5,", "&amp;7,"")&amp;IF(INDEX($I$9:$O$19,2*INT((7+WEEKDAY(DATE(PlanYear,2,1),2)-1)/7)+1,MOD(7+WEEKDAY(DATE(PlanYear,2,1),2)-1,7)+1)=AE$5,", "&amp;8,"")&amp;IF(INDEX($I$9:$O$19,2*INT((8+WEEKDAY(DATE(PlanYear,2,1),2)-1)/7)+1,MOD(8+WEEKDAY(DATE(PlanYear,2,1),2)-1,7)+1)=AE$5,", "&amp;9,"")&amp;IF(INDEX($I$9:$O$19,2*INT((9+WEEKDAY(DATE(PlanYear,2,1),2)-1)/7)+1,MOD(9+WEEKDAY(DATE(PlanYear,2,1),2)-1,7)+1)=AE$5,", "&amp;10,"")&amp;IF(INDEX($I$9:$O$19,2*INT((10+WEEKDAY(DATE(PlanYear,2,1),2)-1)/7)+1,MOD(10+WEEKDAY(DATE(PlanYear,2,1),2)-1,7)+1)=AE$5,", "&amp;11,"")&amp;IF(INDEX($I$9:$O$19,2*INT((11+WEEKDAY(DATE(PlanYear,2,1),2)-1)/7)+1,MOD(11+WEEKDAY(DATE(PlanYear,2,1),2)-1,7)+1)=AE$5,", "&amp;12,"")&amp;IF(INDEX($I$9:$O$19,2*INT((12+WEEKDAY(DATE(PlanYear,2,1),2)-1)/7)+1,MOD(12+WEEKDAY(DATE(PlanYear,2,1),2)-1,7)+1)=AE$5,", "&amp;13,"")&amp;IF(INDEX($I$9:$O$19,2*INT((13+WEEKDAY(DATE(PlanYear,2,1),2)-1)/7)+1,MOD(13+WEEKDAY(DATE(PlanYear,2,1),2)-1,7)+1)=AE$5,", "&amp;14,"")&amp;IF(INDEX($I$9:$O$19,2*INT((14+WEEKDAY(DATE(PlanYear,2,1),2)-1)/7)+1,MOD(14+WEEKDAY(DATE(PlanYear,2,1),2)-1,7)+1)=AE$5,", "&amp;15,"")&amp;IF(INDEX($I$9:$O$19,2*INT((15+WEEKDAY(DATE(PlanYear,2,1),2)-1)/7)+1,MOD(15+WEEKDAY(DATE(PlanYear,2,1),2)-1,7)+1)=AE$5,", "&amp;16,"")&amp;IF(INDEX($I$9:$O$19,2*INT((16+WEEKDAY(DATE(PlanYear,2,1),2)-1)/7)+1,MOD(16+WEEKDAY(DATE(PlanYear,2,1),2)-1,7)+1)=AE$5,", "&amp;17,"")&amp;IF(INDEX($I$9:$O$19,2*INT((17+WEEKDAY(DATE(PlanYear,2,1),2)-1)/7)+1,MOD(17+WEEKDAY(DATE(PlanYear,2,1),2)-1,7)+1)=AE$5,", "&amp;18,"")&amp;IF(INDEX($I$9:$O$19,2*INT((18+WEEKDAY(DATE(PlanYear,2,1),2)-1)/7)+1,MOD(18+WEEKDAY(DATE(PlanYear,2,1),2)-1,7)+1)=AE$5,", "&amp;19,"")&amp;IF(INDEX($I$9:$O$19,2*INT((19+WEEKDAY(DATE(PlanYear,2,1),2)-1)/7)+1,MOD(19+WEEKDAY(DATE(PlanYear,2,1),2)-1,7)+1)=AE$5,", "&amp;20,"")&amp;IF(INDEX($I$9:$O$19,2*INT((20+WEEKDAY(DATE(PlanYear,2,1),2)-1)/7)+1,MOD(20+WEEKDAY(DATE(PlanYear,2,1),2)-1,7)+1)=AE$5,", "&amp;21,"")&amp;IF(INDEX($I$9:$O$19,2*INT((21+WEEKDAY(DATE(PlanYear,2,1),2)-1)/7)+1,MOD(21+WEEKDAY(DATE(PlanYear,2,1),2)-1,7)+1)=AE$5,", "&amp;22,"")&amp;IF(INDEX($I$9:$O$19,2*INT((22+WEEKDAY(DATE(PlanYear,2,1),2)-1)/7)+1,MOD(22+WEEKDAY(DATE(PlanYear,2,1),2)-1,7)+1)=AE$5,", "&amp;23,"")&amp;IF(INDEX($I$9:$O$19,2*INT((23+WEEKDAY(DATE(PlanYear,2,1),2)-1)/7)+1,MOD(23+WEEKDAY(DATE(PlanYear,2,1),2)-1,7)+1)=AE$5,", "&amp;24,"")&amp;IF(INDEX($I$9:$O$19,2*INT((24+WEEKDAY(DATE(PlanYear,2,1),2)-1)/7)+1,MOD(24+WEEKDAY(DATE(PlanYear,2,1),2)-1,7)+1)=AE$5,", "&amp;25,"")&amp;IF(INDEX($I$9:$O$19,2*INT((25+WEEKDAY(DATE(PlanYear,2,1),2)-1)/7)+1,MOD(25+WEEKDAY(DATE(PlanYear,2,1),2)-1,7)+1)=AE$5,", "&amp;26,"")&amp;IF(INDEX($I$9:$O$19,2*INT((26+WEEKDAY(DATE(PlanYear,2,1),2)-1)/7)+1,MOD(26+WEEKDAY(DATE(PlanYear,2,1),2)-1,7)+1)=AE$5,", "&amp;27,"")&amp;IF(INDEX($I$9:$O$19,2*INT((27+WEEKDAY(DATE(PlanYear,2,1),2)-1)/7)+1,MOD(27+WEEKDAY(DATE(PlanYear,2,1),2)-1,7)+1)=AE$5,", "&amp;28,"")&amp;IF(INDEX($I$9:$O$19,2*INT((28+WEEKDAY(DATE(PlanYear,2,1),2)-1)/7)+1,MOD(28+WEEKDAY(DATE(PlanYear,2,1),2)-1,7)+1)=AE$5,", "&amp;29,"")&amp;IF(INDEX($I$9:$O$19,2*INT((29+WEEKDAY(DATE(PlanYear,2,1),2)-1)/7)+1,MOD(29+WEEKDAY(DATE(PlanYear,2,1),2)-1,7)+1)=AE$5,", "&amp;30,"")&amp;IF(INDEX($I$9:$O$19,2*INT((30+WEEKDAY(DATE(PlanYear,2,1),2)-1)/7)+1,MOD(30+WEEKDAY(DATE(PlanYear,2,1),2)-1,7)+1)=AE$5,", "&amp;31,""),3,200))</f>
        <v/>
      </c>
      <c r="AF7" s="16">
        <f>IF(AF$5="","",MID(IF(INDEX($I$9:$O$19,2*INT((0+WEEKDAY(DATE(PlanYear,2,1),2)-1)/7)+1,MOD(0+WEEKDAY(DATE(PlanYear,2,1),2)-1,7)+1)=AF$5,", "&amp;1,"")&amp;IF(INDEX($I$9:$O$19,2*INT((1+WEEKDAY(DATE(PlanYear,2,1),2)-1)/7)+1,MOD(1+WEEKDAY(DATE(PlanYear,2,1),2)-1,7)+1)=AF$5,", "&amp;2,"")&amp;IF(INDEX($I$9:$O$19,2*INT((2+WEEKDAY(DATE(PlanYear,2,1),2)-1)/7)+1,MOD(2+WEEKDAY(DATE(PlanYear,2,1),2)-1,7)+1)=AF$5,", "&amp;3,"")&amp;IF(INDEX($I$9:$O$19,2*INT((3+WEEKDAY(DATE(PlanYear,2,1),2)-1)/7)+1,MOD(3+WEEKDAY(DATE(PlanYear,2,1),2)-1,7)+1)=AF$5,", "&amp;4,"")&amp;IF(INDEX($I$9:$O$19,2*INT((4+WEEKDAY(DATE(PlanYear,2,1),2)-1)/7)+1,MOD(4+WEEKDAY(DATE(PlanYear,2,1),2)-1,7)+1)=AF$5,", "&amp;5,"")&amp;IF(INDEX($I$9:$O$19,2*INT((5+WEEKDAY(DATE(PlanYear,2,1),2)-1)/7)+1,MOD(5+WEEKDAY(DATE(PlanYear,2,1),2)-1,7)+1)=AF$5,", "&amp;6,"")&amp;IF(INDEX($I$9:$O$19,2*INT((6+WEEKDAY(DATE(PlanYear,2,1),2)-1)/7)+1,MOD(6+WEEKDAY(DATE(PlanYear,2,1),2)-1,7)+1)=AF$5,", "&amp;7,"")&amp;IF(INDEX($I$9:$O$19,2*INT((7+WEEKDAY(DATE(PlanYear,2,1),2)-1)/7)+1,MOD(7+WEEKDAY(DATE(PlanYear,2,1),2)-1,7)+1)=AF$5,", "&amp;8,"")&amp;IF(INDEX($I$9:$O$19,2*INT((8+WEEKDAY(DATE(PlanYear,2,1),2)-1)/7)+1,MOD(8+WEEKDAY(DATE(PlanYear,2,1),2)-1,7)+1)=AF$5,", "&amp;9,"")&amp;IF(INDEX($I$9:$O$19,2*INT((9+WEEKDAY(DATE(PlanYear,2,1),2)-1)/7)+1,MOD(9+WEEKDAY(DATE(PlanYear,2,1),2)-1,7)+1)=AF$5,", "&amp;10,"")&amp;IF(INDEX($I$9:$O$19,2*INT((10+WEEKDAY(DATE(PlanYear,2,1),2)-1)/7)+1,MOD(10+WEEKDAY(DATE(PlanYear,2,1),2)-1,7)+1)=AF$5,", "&amp;11,"")&amp;IF(INDEX($I$9:$O$19,2*INT((11+WEEKDAY(DATE(PlanYear,2,1),2)-1)/7)+1,MOD(11+WEEKDAY(DATE(PlanYear,2,1),2)-1,7)+1)=AF$5,", "&amp;12,"")&amp;IF(INDEX($I$9:$O$19,2*INT((12+WEEKDAY(DATE(PlanYear,2,1),2)-1)/7)+1,MOD(12+WEEKDAY(DATE(PlanYear,2,1),2)-1,7)+1)=AF$5,", "&amp;13,"")&amp;IF(INDEX($I$9:$O$19,2*INT((13+WEEKDAY(DATE(PlanYear,2,1),2)-1)/7)+1,MOD(13+WEEKDAY(DATE(PlanYear,2,1),2)-1,7)+1)=AF$5,", "&amp;14,"")&amp;IF(INDEX($I$9:$O$19,2*INT((14+WEEKDAY(DATE(PlanYear,2,1),2)-1)/7)+1,MOD(14+WEEKDAY(DATE(PlanYear,2,1),2)-1,7)+1)=AF$5,", "&amp;15,"")&amp;IF(INDEX($I$9:$O$19,2*INT((15+WEEKDAY(DATE(PlanYear,2,1),2)-1)/7)+1,MOD(15+WEEKDAY(DATE(PlanYear,2,1),2)-1,7)+1)=AF$5,", "&amp;16,"")&amp;IF(INDEX($I$9:$O$19,2*INT((16+WEEKDAY(DATE(PlanYear,2,1),2)-1)/7)+1,MOD(16+WEEKDAY(DATE(PlanYear,2,1),2)-1,7)+1)=AF$5,", "&amp;17,"")&amp;IF(INDEX($I$9:$O$19,2*INT((17+WEEKDAY(DATE(PlanYear,2,1),2)-1)/7)+1,MOD(17+WEEKDAY(DATE(PlanYear,2,1),2)-1,7)+1)=AF$5,", "&amp;18,"")&amp;IF(INDEX($I$9:$O$19,2*INT((18+WEEKDAY(DATE(PlanYear,2,1),2)-1)/7)+1,MOD(18+WEEKDAY(DATE(PlanYear,2,1),2)-1,7)+1)=AF$5,", "&amp;19,"")&amp;IF(INDEX($I$9:$O$19,2*INT((19+WEEKDAY(DATE(PlanYear,2,1),2)-1)/7)+1,MOD(19+WEEKDAY(DATE(PlanYear,2,1),2)-1,7)+1)=AF$5,", "&amp;20,"")&amp;IF(INDEX($I$9:$O$19,2*INT((20+WEEKDAY(DATE(PlanYear,2,1),2)-1)/7)+1,MOD(20+WEEKDAY(DATE(PlanYear,2,1),2)-1,7)+1)=AF$5,", "&amp;21,"")&amp;IF(INDEX($I$9:$O$19,2*INT((21+WEEKDAY(DATE(PlanYear,2,1),2)-1)/7)+1,MOD(21+WEEKDAY(DATE(PlanYear,2,1),2)-1,7)+1)=AF$5,", "&amp;22,"")&amp;IF(INDEX($I$9:$O$19,2*INT((22+WEEKDAY(DATE(PlanYear,2,1),2)-1)/7)+1,MOD(22+WEEKDAY(DATE(PlanYear,2,1),2)-1,7)+1)=AF$5,", "&amp;23,"")&amp;IF(INDEX($I$9:$O$19,2*INT((23+WEEKDAY(DATE(PlanYear,2,1),2)-1)/7)+1,MOD(23+WEEKDAY(DATE(PlanYear,2,1),2)-1,7)+1)=AF$5,", "&amp;24,"")&amp;IF(INDEX($I$9:$O$19,2*INT((24+WEEKDAY(DATE(PlanYear,2,1),2)-1)/7)+1,MOD(24+WEEKDAY(DATE(PlanYear,2,1),2)-1,7)+1)=AF$5,", "&amp;25,"")&amp;IF(INDEX($I$9:$O$19,2*INT((25+WEEKDAY(DATE(PlanYear,2,1),2)-1)/7)+1,MOD(25+WEEKDAY(DATE(PlanYear,2,1),2)-1,7)+1)=AF$5,", "&amp;26,"")&amp;IF(INDEX($I$9:$O$19,2*INT((26+WEEKDAY(DATE(PlanYear,2,1),2)-1)/7)+1,MOD(26+WEEKDAY(DATE(PlanYear,2,1),2)-1,7)+1)=AF$5,", "&amp;27,"")&amp;IF(INDEX($I$9:$O$19,2*INT((27+WEEKDAY(DATE(PlanYear,2,1),2)-1)/7)+1,MOD(27+WEEKDAY(DATE(PlanYear,2,1),2)-1,7)+1)=AF$5,", "&amp;28,"")&amp;IF(INDEX($I$9:$O$19,2*INT((28+WEEKDAY(DATE(PlanYear,2,1),2)-1)/7)+1,MOD(28+WEEKDAY(DATE(PlanYear,2,1),2)-1,7)+1)=AF$5,", "&amp;29,"")&amp;IF(INDEX($I$9:$O$19,2*INT((29+WEEKDAY(DATE(PlanYear,2,1),2)-1)/7)+1,MOD(29+WEEKDAY(DATE(PlanYear,2,1),2)-1,7)+1)=AF$5,", "&amp;30,"")&amp;IF(INDEX($I$9:$O$19,2*INT((30+WEEKDAY(DATE(PlanYear,2,1),2)-1)/7)+1,MOD(30+WEEKDAY(DATE(PlanYear,2,1),2)-1,7)+1)=AF$5,", "&amp;31,""),3,200))</f>
        <v/>
      </c>
      <c r="AG7" s="16">
        <f>IF(AG$5="","",MID(IF(INDEX($I$9:$O$19,2*INT((0+WEEKDAY(DATE(PlanYear,2,1),2)-1)/7)+1,MOD(0+WEEKDAY(DATE(PlanYear,2,1),2)-1,7)+1)=AG$5,", "&amp;1,"")&amp;IF(INDEX($I$9:$O$19,2*INT((1+WEEKDAY(DATE(PlanYear,2,1),2)-1)/7)+1,MOD(1+WEEKDAY(DATE(PlanYear,2,1),2)-1,7)+1)=AG$5,", "&amp;2,"")&amp;IF(INDEX($I$9:$O$19,2*INT((2+WEEKDAY(DATE(PlanYear,2,1),2)-1)/7)+1,MOD(2+WEEKDAY(DATE(PlanYear,2,1),2)-1,7)+1)=AG$5,", "&amp;3,"")&amp;IF(INDEX($I$9:$O$19,2*INT((3+WEEKDAY(DATE(PlanYear,2,1),2)-1)/7)+1,MOD(3+WEEKDAY(DATE(PlanYear,2,1),2)-1,7)+1)=AG$5,", "&amp;4,"")&amp;IF(INDEX($I$9:$O$19,2*INT((4+WEEKDAY(DATE(PlanYear,2,1),2)-1)/7)+1,MOD(4+WEEKDAY(DATE(PlanYear,2,1),2)-1,7)+1)=AG$5,", "&amp;5,"")&amp;IF(INDEX($I$9:$O$19,2*INT((5+WEEKDAY(DATE(PlanYear,2,1),2)-1)/7)+1,MOD(5+WEEKDAY(DATE(PlanYear,2,1),2)-1,7)+1)=AG$5,", "&amp;6,"")&amp;IF(INDEX($I$9:$O$19,2*INT((6+WEEKDAY(DATE(PlanYear,2,1),2)-1)/7)+1,MOD(6+WEEKDAY(DATE(PlanYear,2,1),2)-1,7)+1)=AG$5,", "&amp;7,"")&amp;IF(INDEX($I$9:$O$19,2*INT((7+WEEKDAY(DATE(PlanYear,2,1),2)-1)/7)+1,MOD(7+WEEKDAY(DATE(PlanYear,2,1),2)-1,7)+1)=AG$5,", "&amp;8,"")&amp;IF(INDEX($I$9:$O$19,2*INT((8+WEEKDAY(DATE(PlanYear,2,1),2)-1)/7)+1,MOD(8+WEEKDAY(DATE(PlanYear,2,1),2)-1,7)+1)=AG$5,", "&amp;9,"")&amp;IF(INDEX($I$9:$O$19,2*INT((9+WEEKDAY(DATE(PlanYear,2,1),2)-1)/7)+1,MOD(9+WEEKDAY(DATE(PlanYear,2,1),2)-1,7)+1)=AG$5,", "&amp;10,"")&amp;IF(INDEX($I$9:$O$19,2*INT((10+WEEKDAY(DATE(PlanYear,2,1),2)-1)/7)+1,MOD(10+WEEKDAY(DATE(PlanYear,2,1),2)-1,7)+1)=AG$5,", "&amp;11,"")&amp;IF(INDEX($I$9:$O$19,2*INT((11+WEEKDAY(DATE(PlanYear,2,1),2)-1)/7)+1,MOD(11+WEEKDAY(DATE(PlanYear,2,1),2)-1,7)+1)=AG$5,", "&amp;12,"")&amp;IF(INDEX($I$9:$O$19,2*INT((12+WEEKDAY(DATE(PlanYear,2,1),2)-1)/7)+1,MOD(12+WEEKDAY(DATE(PlanYear,2,1),2)-1,7)+1)=AG$5,", "&amp;13,"")&amp;IF(INDEX($I$9:$O$19,2*INT((13+WEEKDAY(DATE(PlanYear,2,1),2)-1)/7)+1,MOD(13+WEEKDAY(DATE(PlanYear,2,1),2)-1,7)+1)=AG$5,", "&amp;14,"")&amp;IF(INDEX($I$9:$O$19,2*INT((14+WEEKDAY(DATE(PlanYear,2,1),2)-1)/7)+1,MOD(14+WEEKDAY(DATE(PlanYear,2,1),2)-1,7)+1)=AG$5,", "&amp;15,"")&amp;IF(INDEX($I$9:$O$19,2*INT((15+WEEKDAY(DATE(PlanYear,2,1),2)-1)/7)+1,MOD(15+WEEKDAY(DATE(PlanYear,2,1),2)-1,7)+1)=AG$5,", "&amp;16,"")&amp;IF(INDEX($I$9:$O$19,2*INT((16+WEEKDAY(DATE(PlanYear,2,1),2)-1)/7)+1,MOD(16+WEEKDAY(DATE(PlanYear,2,1),2)-1,7)+1)=AG$5,", "&amp;17,"")&amp;IF(INDEX($I$9:$O$19,2*INT((17+WEEKDAY(DATE(PlanYear,2,1),2)-1)/7)+1,MOD(17+WEEKDAY(DATE(PlanYear,2,1),2)-1,7)+1)=AG$5,", "&amp;18,"")&amp;IF(INDEX($I$9:$O$19,2*INT((18+WEEKDAY(DATE(PlanYear,2,1),2)-1)/7)+1,MOD(18+WEEKDAY(DATE(PlanYear,2,1),2)-1,7)+1)=AG$5,", "&amp;19,"")&amp;IF(INDEX($I$9:$O$19,2*INT((19+WEEKDAY(DATE(PlanYear,2,1),2)-1)/7)+1,MOD(19+WEEKDAY(DATE(PlanYear,2,1),2)-1,7)+1)=AG$5,", "&amp;20,"")&amp;IF(INDEX($I$9:$O$19,2*INT((20+WEEKDAY(DATE(PlanYear,2,1),2)-1)/7)+1,MOD(20+WEEKDAY(DATE(PlanYear,2,1),2)-1,7)+1)=AG$5,", "&amp;21,"")&amp;IF(INDEX($I$9:$O$19,2*INT((21+WEEKDAY(DATE(PlanYear,2,1),2)-1)/7)+1,MOD(21+WEEKDAY(DATE(PlanYear,2,1),2)-1,7)+1)=AG$5,", "&amp;22,"")&amp;IF(INDEX($I$9:$O$19,2*INT((22+WEEKDAY(DATE(PlanYear,2,1),2)-1)/7)+1,MOD(22+WEEKDAY(DATE(PlanYear,2,1),2)-1,7)+1)=AG$5,", "&amp;23,"")&amp;IF(INDEX($I$9:$O$19,2*INT((23+WEEKDAY(DATE(PlanYear,2,1),2)-1)/7)+1,MOD(23+WEEKDAY(DATE(PlanYear,2,1),2)-1,7)+1)=AG$5,", "&amp;24,"")&amp;IF(INDEX($I$9:$O$19,2*INT((24+WEEKDAY(DATE(PlanYear,2,1),2)-1)/7)+1,MOD(24+WEEKDAY(DATE(PlanYear,2,1),2)-1,7)+1)=AG$5,", "&amp;25,"")&amp;IF(INDEX($I$9:$O$19,2*INT((25+WEEKDAY(DATE(PlanYear,2,1),2)-1)/7)+1,MOD(25+WEEKDAY(DATE(PlanYear,2,1),2)-1,7)+1)=AG$5,", "&amp;26,"")&amp;IF(INDEX($I$9:$O$19,2*INT((26+WEEKDAY(DATE(PlanYear,2,1),2)-1)/7)+1,MOD(26+WEEKDAY(DATE(PlanYear,2,1),2)-1,7)+1)=AG$5,", "&amp;27,"")&amp;IF(INDEX($I$9:$O$19,2*INT((27+WEEKDAY(DATE(PlanYear,2,1),2)-1)/7)+1,MOD(27+WEEKDAY(DATE(PlanYear,2,1),2)-1,7)+1)=AG$5,", "&amp;28,"")&amp;IF(INDEX($I$9:$O$19,2*INT((28+WEEKDAY(DATE(PlanYear,2,1),2)-1)/7)+1,MOD(28+WEEKDAY(DATE(PlanYear,2,1),2)-1,7)+1)=AG$5,", "&amp;29,"")&amp;IF(INDEX($I$9:$O$19,2*INT((29+WEEKDAY(DATE(PlanYear,2,1),2)-1)/7)+1,MOD(29+WEEKDAY(DATE(PlanYear,2,1),2)-1,7)+1)=AG$5,", "&amp;30,"")&amp;IF(INDEX($I$9:$O$19,2*INT((30+WEEKDAY(DATE(PlanYear,2,1),2)-1)/7)+1,MOD(30+WEEKDAY(DATE(PlanYear,2,1),2)-1,7)+1)=AG$5,", "&amp;31,""),3,200))</f>
        <v/>
      </c>
      <c r="AH7" s="16">
        <f>IF(AH$5="","",MID(IF(INDEX($I$9:$O$19,2*INT((0+WEEKDAY(DATE(PlanYear,2,1),2)-1)/7)+1,MOD(0+WEEKDAY(DATE(PlanYear,2,1),2)-1,7)+1)=AH$5,", "&amp;1,"")&amp;IF(INDEX($I$9:$O$19,2*INT((1+WEEKDAY(DATE(PlanYear,2,1),2)-1)/7)+1,MOD(1+WEEKDAY(DATE(PlanYear,2,1),2)-1,7)+1)=AH$5,", "&amp;2,"")&amp;IF(INDEX($I$9:$O$19,2*INT((2+WEEKDAY(DATE(PlanYear,2,1),2)-1)/7)+1,MOD(2+WEEKDAY(DATE(PlanYear,2,1),2)-1,7)+1)=AH$5,", "&amp;3,"")&amp;IF(INDEX($I$9:$O$19,2*INT((3+WEEKDAY(DATE(PlanYear,2,1),2)-1)/7)+1,MOD(3+WEEKDAY(DATE(PlanYear,2,1),2)-1,7)+1)=AH$5,", "&amp;4,"")&amp;IF(INDEX($I$9:$O$19,2*INT((4+WEEKDAY(DATE(PlanYear,2,1),2)-1)/7)+1,MOD(4+WEEKDAY(DATE(PlanYear,2,1),2)-1,7)+1)=AH$5,", "&amp;5,"")&amp;IF(INDEX($I$9:$O$19,2*INT((5+WEEKDAY(DATE(PlanYear,2,1),2)-1)/7)+1,MOD(5+WEEKDAY(DATE(PlanYear,2,1),2)-1,7)+1)=AH$5,", "&amp;6,"")&amp;IF(INDEX($I$9:$O$19,2*INT((6+WEEKDAY(DATE(PlanYear,2,1),2)-1)/7)+1,MOD(6+WEEKDAY(DATE(PlanYear,2,1),2)-1,7)+1)=AH$5,", "&amp;7,"")&amp;IF(INDEX($I$9:$O$19,2*INT((7+WEEKDAY(DATE(PlanYear,2,1),2)-1)/7)+1,MOD(7+WEEKDAY(DATE(PlanYear,2,1),2)-1,7)+1)=AH$5,", "&amp;8,"")&amp;IF(INDEX($I$9:$O$19,2*INT((8+WEEKDAY(DATE(PlanYear,2,1),2)-1)/7)+1,MOD(8+WEEKDAY(DATE(PlanYear,2,1),2)-1,7)+1)=AH$5,", "&amp;9,"")&amp;IF(INDEX($I$9:$O$19,2*INT((9+WEEKDAY(DATE(PlanYear,2,1),2)-1)/7)+1,MOD(9+WEEKDAY(DATE(PlanYear,2,1),2)-1,7)+1)=AH$5,", "&amp;10,"")&amp;IF(INDEX($I$9:$O$19,2*INT((10+WEEKDAY(DATE(PlanYear,2,1),2)-1)/7)+1,MOD(10+WEEKDAY(DATE(PlanYear,2,1),2)-1,7)+1)=AH$5,", "&amp;11,"")&amp;IF(INDEX($I$9:$O$19,2*INT((11+WEEKDAY(DATE(PlanYear,2,1),2)-1)/7)+1,MOD(11+WEEKDAY(DATE(PlanYear,2,1),2)-1,7)+1)=AH$5,", "&amp;12,"")&amp;IF(INDEX($I$9:$O$19,2*INT((12+WEEKDAY(DATE(PlanYear,2,1),2)-1)/7)+1,MOD(12+WEEKDAY(DATE(PlanYear,2,1),2)-1,7)+1)=AH$5,", "&amp;13,"")&amp;IF(INDEX($I$9:$O$19,2*INT((13+WEEKDAY(DATE(PlanYear,2,1),2)-1)/7)+1,MOD(13+WEEKDAY(DATE(PlanYear,2,1),2)-1,7)+1)=AH$5,", "&amp;14,"")&amp;IF(INDEX($I$9:$O$19,2*INT((14+WEEKDAY(DATE(PlanYear,2,1),2)-1)/7)+1,MOD(14+WEEKDAY(DATE(PlanYear,2,1),2)-1,7)+1)=AH$5,", "&amp;15,"")&amp;IF(INDEX($I$9:$O$19,2*INT((15+WEEKDAY(DATE(PlanYear,2,1),2)-1)/7)+1,MOD(15+WEEKDAY(DATE(PlanYear,2,1),2)-1,7)+1)=AH$5,", "&amp;16,"")&amp;IF(INDEX($I$9:$O$19,2*INT((16+WEEKDAY(DATE(PlanYear,2,1),2)-1)/7)+1,MOD(16+WEEKDAY(DATE(PlanYear,2,1),2)-1,7)+1)=AH$5,", "&amp;17,"")&amp;IF(INDEX($I$9:$O$19,2*INT((17+WEEKDAY(DATE(PlanYear,2,1),2)-1)/7)+1,MOD(17+WEEKDAY(DATE(PlanYear,2,1),2)-1,7)+1)=AH$5,", "&amp;18,"")&amp;IF(INDEX($I$9:$O$19,2*INT((18+WEEKDAY(DATE(PlanYear,2,1),2)-1)/7)+1,MOD(18+WEEKDAY(DATE(PlanYear,2,1),2)-1,7)+1)=AH$5,", "&amp;19,"")&amp;IF(INDEX($I$9:$O$19,2*INT((19+WEEKDAY(DATE(PlanYear,2,1),2)-1)/7)+1,MOD(19+WEEKDAY(DATE(PlanYear,2,1),2)-1,7)+1)=AH$5,", "&amp;20,"")&amp;IF(INDEX($I$9:$O$19,2*INT((20+WEEKDAY(DATE(PlanYear,2,1),2)-1)/7)+1,MOD(20+WEEKDAY(DATE(PlanYear,2,1),2)-1,7)+1)=AH$5,", "&amp;21,"")&amp;IF(INDEX($I$9:$O$19,2*INT((21+WEEKDAY(DATE(PlanYear,2,1),2)-1)/7)+1,MOD(21+WEEKDAY(DATE(PlanYear,2,1),2)-1,7)+1)=AH$5,", "&amp;22,"")&amp;IF(INDEX($I$9:$O$19,2*INT((22+WEEKDAY(DATE(PlanYear,2,1),2)-1)/7)+1,MOD(22+WEEKDAY(DATE(PlanYear,2,1),2)-1,7)+1)=AH$5,", "&amp;23,"")&amp;IF(INDEX($I$9:$O$19,2*INT((23+WEEKDAY(DATE(PlanYear,2,1),2)-1)/7)+1,MOD(23+WEEKDAY(DATE(PlanYear,2,1),2)-1,7)+1)=AH$5,", "&amp;24,"")&amp;IF(INDEX($I$9:$O$19,2*INT((24+WEEKDAY(DATE(PlanYear,2,1),2)-1)/7)+1,MOD(24+WEEKDAY(DATE(PlanYear,2,1),2)-1,7)+1)=AH$5,", "&amp;25,"")&amp;IF(INDEX($I$9:$O$19,2*INT((25+WEEKDAY(DATE(PlanYear,2,1),2)-1)/7)+1,MOD(25+WEEKDAY(DATE(PlanYear,2,1),2)-1,7)+1)=AH$5,", "&amp;26,"")&amp;IF(INDEX($I$9:$O$19,2*INT((26+WEEKDAY(DATE(PlanYear,2,1),2)-1)/7)+1,MOD(26+WEEKDAY(DATE(PlanYear,2,1),2)-1,7)+1)=AH$5,", "&amp;27,"")&amp;IF(INDEX($I$9:$O$19,2*INT((27+WEEKDAY(DATE(PlanYear,2,1),2)-1)/7)+1,MOD(27+WEEKDAY(DATE(PlanYear,2,1),2)-1,7)+1)=AH$5,", "&amp;28,"")&amp;IF(INDEX($I$9:$O$19,2*INT((28+WEEKDAY(DATE(PlanYear,2,1),2)-1)/7)+1,MOD(28+WEEKDAY(DATE(PlanYear,2,1),2)-1,7)+1)=AH$5,", "&amp;29,"")&amp;IF(INDEX($I$9:$O$19,2*INT((29+WEEKDAY(DATE(PlanYear,2,1),2)-1)/7)+1,MOD(29+WEEKDAY(DATE(PlanYear,2,1),2)-1,7)+1)=AH$5,", "&amp;30,"")&amp;IF(INDEX($I$9:$O$19,2*INT((30+WEEKDAY(DATE(PlanYear,2,1),2)-1)/7)+1,MOD(30+WEEKDAY(DATE(PlanYear,2,1),2)-1,7)+1)=AH$5,", "&amp;31,""),3,200))</f>
        <v/>
      </c>
      <c r="AI7" s="16">
        <f>IF(AI$5="","",MID(IF(INDEX($I$9:$O$19,2*INT((0+WEEKDAY(DATE(PlanYear,2,1),2)-1)/7)+1,MOD(0+WEEKDAY(DATE(PlanYear,2,1),2)-1,7)+1)=AI$5,", "&amp;1,"")&amp;IF(INDEX($I$9:$O$19,2*INT((1+WEEKDAY(DATE(PlanYear,2,1),2)-1)/7)+1,MOD(1+WEEKDAY(DATE(PlanYear,2,1),2)-1,7)+1)=AI$5,", "&amp;2,"")&amp;IF(INDEX($I$9:$O$19,2*INT((2+WEEKDAY(DATE(PlanYear,2,1),2)-1)/7)+1,MOD(2+WEEKDAY(DATE(PlanYear,2,1),2)-1,7)+1)=AI$5,", "&amp;3,"")&amp;IF(INDEX($I$9:$O$19,2*INT((3+WEEKDAY(DATE(PlanYear,2,1),2)-1)/7)+1,MOD(3+WEEKDAY(DATE(PlanYear,2,1),2)-1,7)+1)=AI$5,", "&amp;4,"")&amp;IF(INDEX($I$9:$O$19,2*INT((4+WEEKDAY(DATE(PlanYear,2,1),2)-1)/7)+1,MOD(4+WEEKDAY(DATE(PlanYear,2,1),2)-1,7)+1)=AI$5,", "&amp;5,"")&amp;IF(INDEX($I$9:$O$19,2*INT((5+WEEKDAY(DATE(PlanYear,2,1),2)-1)/7)+1,MOD(5+WEEKDAY(DATE(PlanYear,2,1),2)-1,7)+1)=AI$5,", "&amp;6,"")&amp;IF(INDEX($I$9:$O$19,2*INT((6+WEEKDAY(DATE(PlanYear,2,1),2)-1)/7)+1,MOD(6+WEEKDAY(DATE(PlanYear,2,1),2)-1,7)+1)=AI$5,", "&amp;7,"")&amp;IF(INDEX($I$9:$O$19,2*INT((7+WEEKDAY(DATE(PlanYear,2,1),2)-1)/7)+1,MOD(7+WEEKDAY(DATE(PlanYear,2,1),2)-1,7)+1)=AI$5,", "&amp;8,"")&amp;IF(INDEX($I$9:$O$19,2*INT((8+WEEKDAY(DATE(PlanYear,2,1),2)-1)/7)+1,MOD(8+WEEKDAY(DATE(PlanYear,2,1),2)-1,7)+1)=AI$5,", "&amp;9,"")&amp;IF(INDEX($I$9:$O$19,2*INT((9+WEEKDAY(DATE(PlanYear,2,1),2)-1)/7)+1,MOD(9+WEEKDAY(DATE(PlanYear,2,1),2)-1,7)+1)=AI$5,", "&amp;10,"")&amp;IF(INDEX($I$9:$O$19,2*INT((10+WEEKDAY(DATE(PlanYear,2,1),2)-1)/7)+1,MOD(10+WEEKDAY(DATE(PlanYear,2,1),2)-1,7)+1)=AI$5,", "&amp;11,"")&amp;IF(INDEX($I$9:$O$19,2*INT((11+WEEKDAY(DATE(PlanYear,2,1),2)-1)/7)+1,MOD(11+WEEKDAY(DATE(PlanYear,2,1),2)-1,7)+1)=AI$5,", "&amp;12,"")&amp;IF(INDEX($I$9:$O$19,2*INT((12+WEEKDAY(DATE(PlanYear,2,1),2)-1)/7)+1,MOD(12+WEEKDAY(DATE(PlanYear,2,1),2)-1,7)+1)=AI$5,", "&amp;13,"")&amp;IF(INDEX($I$9:$O$19,2*INT((13+WEEKDAY(DATE(PlanYear,2,1),2)-1)/7)+1,MOD(13+WEEKDAY(DATE(PlanYear,2,1),2)-1,7)+1)=AI$5,", "&amp;14,"")&amp;IF(INDEX($I$9:$O$19,2*INT((14+WEEKDAY(DATE(PlanYear,2,1),2)-1)/7)+1,MOD(14+WEEKDAY(DATE(PlanYear,2,1),2)-1,7)+1)=AI$5,", "&amp;15,"")&amp;IF(INDEX($I$9:$O$19,2*INT((15+WEEKDAY(DATE(PlanYear,2,1),2)-1)/7)+1,MOD(15+WEEKDAY(DATE(PlanYear,2,1),2)-1,7)+1)=AI$5,", "&amp;16,"")&amp;IF(INDEX($I$9:$O$19,2*INT((16+WEEKDAY(DATE(PlanYear,2,1),2)-1)/7)+1,MOD(16+WEEKDAY(DATE(PlanYear,2,1),2)-1,7)+1)=AI$5,", "&amp;17,"")&amp;IF(INDEX($I$9:$O$19,2*INT((17+WEEKDAY(DATE(PlanYear,2,1),2)-1)/7)+1,MOD(17+WEEKDAY(DATE(PlanYear,2,1),2)-1,7)+1)=AI$5,", "&amp;18,"")&amp;IF(INDEX($I$9:$O$19,2*INT((18+WEEKDAY(DATE(PlanYear,2,1),2)-1)/7)+1,MOD(18+WEEKDAY(DATE(PlanYear,2,1),2)-1,7)+1)=AI$5,", "&amp;19,"")&amp;IF(INDEX($I$9:$O$19,2*INT((19+WEEKDAY(DATE(PlanYear,2,1),2)-1)/7)+1,MOD(19+WEEKDAY(DATE(PlanYear,2,1),2)-1,7)+1)=AI$5,", "&amp;20,"")&amp;IF(INDEX($I$9:$O$19,2*INT((20+WEEKDAY(DATE(PlanYear,2,1),2)-1)/7)+1,MOD(20+WEEKDAY(DATE(PlanYear,2,1),2)-1,7)+1)=AI$5,", "&amp;21,"")&amp;IF(INDEX($I$9:$O$19,2*INT((21+WEEKDAY(DATE(PlanYear,2,1),2)-1)/7)+1,MOD(21+WEEKDAY(DATE(PlanYear,2,1),2)-1,7)+1)=AI$5,", "&amp;22,"")&amp;IF(INDEX($I$9:$O$19,2*INT((22+WEEKDAY(DATE(PlanYear,2,1),2)-1)/7)+1,MOD(22+WEEKDAY(DATE(PlanYear,2,1),2)-1,7)+1)=AI$5,", "&amp;23,"")&amp;IF(INDEX($I$9:$O$19,2*INT((23+WEEKDAY(DATE(PlanYear,2,1),2)-1)/7)+1,MOD(23+WEEKDAY(DATE(PlanYear,2,1),2)-1,7)+1)=AI$5,", "&amp;24,"")&amp;IF(INDEX($I$9:$O$19,2*INT((24+WEEKDAY(DATE(PlanYear,2,1),2)-1)/7)+1,MOD(24+WEEKDAY(DATE(PlanYear,2,1),2)-1,7)+1)=AI$5,", "&amp;25,"")&amp;IF(INDEX($I$9:$O$19,2*INT((25+WEEKDAY(DATE(PlanYear,2,1),2)-1)/7)+1,MOD(25+WEEKDAY(DATE(PlanYear,2,1),2)-1,7)+1)=AI$5,", "&amp;26,"")&amp;IF(INDEX($I$9:$O$19,2*INT((26+WEEKDAY(DATE(PlanYear,2,1),2)-1)/7)+1,MOD(26+WEEKDAY(DATE(PlanYear,2,1),2)-1,7)+1)=AI$5,", "&amp;27,"")&amp;IF(INDEX($I$9:$O$19,2*INT((27+WEEKDAY(DATE(PlanYear,2,1),2)-1)/7)+1,MOD(27+WEEKDAY(DATE(PlanYear,2,1),2)-1,7)+1)=AI$5,", "&amp;28,"")&amp;IF(INDEX($I$9:$O$19,2*INT((28+WEEKDAY(DATE(PlanYear,2,1),2)-1)/7)+1,MOD(28+WEEKDAY(DATE(PlanYear,2,1),2)-1,7)+1)=AI$5,", "&amp;29,"")&amp;IF(INDEX($I$9:$O$19,2*INT((29+WEEKDAY(DATE(PlanYear,2,1),2)-1)/7)+1,MOD(29+WEEKDAY(DATE(PlanYear,2,1),2)-1,7)+1)=AI$5,", "&amp;30,"")&amp;IF(INDEX($I$9:$O$19,2*INT((30+WEEKDAY(DATE(PlanYear,2,1),2)-1)/7)+1,MOD(30+WEEKDAY(DATE(PlanYear,2,1),2)-1,7)+1)=AI$5,", "&amp;31,""),3,200))</f>
        <v/>
      </c>
      <c r="AJ7" s="16">
        <f>IF(AJ$5="","",MID(IF(INDEX($I$9:$O$19,2*INT((0+WEEKDAY(DATE(PlanYear,2,1),2)-1)/7)+1,MOD(0+WEEKDAY(DATE(PlanYear,2,1),2)-1,7)+1)=AJ$5,", "&amp;1,"")&amp;IF(INDEX($I$9:$O$19,2*INT((1+WEEKDAY(DATE(PlanYear,2,1),2)-1)/7)+1,MOD(1+WEEKDAY(DATE(PlanYear,2,1),2)-1,7)+1)=AJ$5,", "&amp;2,"")&amp;IF(INDEX($I$9:$O$19,2*INT((2+WEEKDAY(DATE(PlanYear,2,1),2)-1)/7)+1,MOD(2+WEEKDAY(DATE(PlanYear,2,1),2)-1,7)+1)=AJ$5,", "&amp;3,"")&amp;IF(INDEX($I$9:$O$19,2*INT((3+WEEKDAY(DATE(PlanYear,2,1),2)-1)/7)+1,MOD(3+WEEKDAY(DATE(PlanYear,2,1),2)-1,7)+1)=AJ$5,", "&amp;4,"")&amp;IF(INDEX($I$9:$O$19,2*INT((4+WEEKDAY(DATE(PlanYear,2,1),2)-1)/7)+1,MOD(4+WEEKDAY(DATE(PlanYear,2,1),2)-1,7)+1)=AJ$5,", "&amp;5,"")&amp;IF(INDEX($I$9:$O$19,2*INT((5+WEEKDAY(DATE(PlanYear,2,1),2)-1)/7)+1,MOD(5+WEEKDAY(DATE(PlanYear,2,1),2)-1,7)+1)=AJ$5,", "&amp;6,"")&amp;IF(INDEX($I$9:$O$19,2*INT((6+WEEKDAY(DATE(PlanYear,2,1),2)-1)/7)+1,MOD(6+WEEKDAY(DATE(PlanYear,2,1),2)-1,7)+1)=AJ$5,", "&amp;7,"")&amp;IF(INDEX($I$9:$O$19,2*INT((7+WEEKDAY(DATE(PlanYear,2,1),2)-1)/7)+1,MOD(7+WEEKDAY(DATE(PlanYear,2,1),2)-1,7)+1)=AJ$5,", "&amp;8,"")&amp;IF(INDEX($I$9:$O$19,2*INT((8+WEEKDAY(DATE(PlanYear,2,1),2)-1)/7)+1,MOD(8+WEEKDAY(DATE(PlanYear,2,1),2)-1,7)+1)=AJ$5,", "&amp;9,"")&amp;IF(INDEX($I$9:$O$19,2*INT((9+WEEKDAY(DATE(PlanYear,2,1),2)-1)/7)+1,MOD(9+WEEKDAY(DATE(PlanYear,2,1),2)-1,7)+1)=AJ$5,", "&amp;10,"")&amp;IF(INDEX($I$9:$O$19,2*INT((10+WEEKDAY(DATE(PlanYear,2,1),2)-1)/7)+1,MOD(10+WEEKDAY(DATE(PlanYear,2,1),2)-1,7)+1)=AJ$5,", "&amp;11,"")&amp;IF(INDEX($I$9:$O$19,2*INT((11+WEEKDAY(DATE(PlanYear,2,1),2)-1)/7)+1,MOD(11+WEEKDAY(DATE(PlanYear,2,1),2)-1,7)+1)=AJ$5,", "&amp;12,"")&amp;IF(INDEX($I$9:$O$19,2*INT((12+WEEKDAY(DATE(PlanYear,2,1),2)-1)/7)+1,MOD(12+WEEKDAY(DATE(PlanYear,2,1),2)-1,7)+1)=AJ$5,", "&amp;13,"")&amp;IF(INDEX($I$9:$O$19,2*INT((13+WEEKDAY(DATE(PlanYear,2,1),2)-1)/7)+1,MOD(13+WEEKDAY(DATE(PlanYear,2,1),2)-1,7)+1)=AJ$5,", "&amp;14,"")&amp;IF(INDEX($I$9:$O$19,2*INT((14+WEEKDAY(DATE(PlanYear,2,1),2)-1)/7)+1,MOD(14+WEEKDAY(DATE(PlanYear,2,1),2)-1,7)+1)=AJ$5,", "&amp;15,"")&amp;IF(INDEX($I$9:$O$19,2*INT((15+WEEKDAY(DATE(PlanYear,2,1),2)-1)/7)+1,MOD(15+WEEKDAY(DATE(PlanYear,2,1),2)-1,7)+1)=AJ$5,", "&amp;16,"")&amp;IF(INDEX($I$9:$O$19,2*INT((16+WEEKDAY(DATE(PlanYear,2,1),2)-1)/7)+1,MOD(16+WEEKDAY(DATE(PlanYear,2,1),2)-1,7)+1)=AJ$5,", "&amp;17,"")&amp;IF(INDEX($I$9:$O$19,2*INT((17+WEEKDAY(DATE(PlanYear,2,1),2)-1)/7)+1,MOD(17+WEEKDAY(DATE(PlanYear,2,1),2)-1,7)+1)=AJ$5,", "&amp;18,"")&amp;IF(INDEX($I$9:$O$19,2*INT((18+WEEKDAY(DATE(PlanYear,2,1),2)-1)/7)+1,MOD(18+WEEKDAY(DATE(PlanYear,2,1),2)-1,7)+1)=AJ$5,", "&amp;19,"")&amp;IF(INDEX($I$9:$O$19,2*INT((19+WEEKDAY(DATE(PlanYear,2,1),2)-1)/7)+1,MOD(19+WEEKDAY(DATE(PlanYear,2,1),2)-1,7)+1)=AJ$5,", "&amp;20,"")&amp;IF(INDEX($I$9:$O$19,2*INT((20+WEEKDAY(DATE(PlanYear,2,1),2)-1)/7)+1,MOD(20+WEEKDAY(DATE(PlanYear,2,1),2)-1,7)+1)=AJ$5,", "&amp;21,"")&amp;IF(INDEX($I$9:$O$19,2*INT((21+WEEKDAY(DATE(PlanYear,2,1),2)-1)/7)+1,MOD(21+WEEKDAY(DATE(PlanYear,2,1),2)-1,7)+1)=AJ$5,", "&amp;22,"")&amp;IF(INDEX($I$9:$O$19,2*INT((22+WEEKDAY(DATE(PlanYear,2,1),2)-1)/7)+1,MOD(22+WEEKDAY(DATE(PlanYear,2,1),2)-1,7)+1)=AJ$5,", "&amp;23,"")&amp;IF(INDEX($I$9:$O$19,2*INT((23+WEEKDAY(DATE(PlanYear,2,1),2)-1)/7)+1,MOD(23+WEEKDAY(DATE(PlanYear,2,1),2)-1,7)+1)=AJ$5,", "&amp;24,"")&amp;IF(INDEX($I$9:$O$19,2*INT((24+WEEKDAY(DATE(PlanYear,2,1),2)-1)/7)+1,MOD(24+WEEKDAY(DATE(PlanYear,2,1),2)-1,7)+1)=AJ$5,", "&amp;25,"")&amp;IF(INDEX($I$9:$O$19,2*INT((25+WEEKDAY(DATE(PlanYear,2,1),2)-1)/7)+1,MOD(25+WEEKDAY(DATE(PlanYear,2,1),2)-1,7)+1)=AJ$5,", "&amp;26,"")&amp;IF(INDEX($I$9:$O$19,2*INT((26+WEEKDAY(DATE(PlanYear,2,1),2)-1)/7)+1,MOD(26+WEEKDAY(DATE(PlanYear,2,1),2)-1,7)+1)=AJ$5,", "&amp;27,"")&amp;IF(INDEX($I$9:$O$19,2*INT((27+WEEKDAY(DATE(PlanYear,2,1),2)-1)/7)+1,MOD(27+WEEKDAY(DATE(PlanYear,2,1),2)-1,7)+1)=AJ$5,", "&amp;28,"")&amp;IF(INDEX($I$9:$O$19,2*INT((28+WEEKDAY(DATE(PlanYear,2,1),2)-1)/7)+1,MOD(28+WEEKDAY(DATE(PlanYear,2,1),2)-1,7)+1)=AJ$5,", "&amp;29,"")&amp;IF(INDEX($I$9:$O$19,2*INT((29+WEEKDAY(DATE(PlanYear,2,1),2)-1)/7)+1,MOD(29+WEEKDAY(DATE(PlanYear,2,1),2)-1,7)+1)=AJ$5,", "&amp;30,"")&amp;IF(INDEX($I$9:$O$19,2*INT((30+WEEKDAY(DATE(PlanYear,2,1),2)-1)/7)+1,MOD(30+WEEKDAY(DATE(PlanYear,2,1),2)-1,7)+1)=AJ$5,", "&amp;31,""),3,200))</f>
        <v/>
      </c>
      <c r="AK7" s="17">
        <f>DAY(EOMONTH(DATE(PlanYear,2,1),0))-COUNTIF($I$9:$O$19,"?*")</f>
        <v/>
      </c>
    </row>
    <row r="8" ht="26" customHeight="1">
      <c r="A8" s="20">
        <f>IF(AND(1-(WEEKDAY(DATE(PlanYear,1,1),2)-1)&gt;=1,1-(WEEKDAY(DATE(PlanYear,1,1),2)-1)&lt;=DAY(EOMONTH(DATE(PlanYear,1,1),0))),DATE(PlanYear,1,1)+1-WEEKDAY(DATE(PlanYear,1,1),2),"")</f>
        <v/>
      </c>
      <c r="B8" s="20">
        <f>IF(AND(2-(WEEKDAY(DATE(PlanYear,1,1),2)-1)&gt;=1,2-(WEEKDAY(DATE(PlanYear,1,1),2)-1)&lt;=DAY(EOMONTH(DATE(PlanYear,1,1),0))),DATE(PlanYear,1,1)+2-WEEKDAY(DATE(PlanYear,1,1),2),"")</f>
        <v/>
      </c>
      <c r="C8" s="20">
        <f>IF(AND(3-(WEEKDAY(DATE(PlanYear,1,1),2)-1)&gt;=1,3-(WEEKDAY(DATE(PlanYear,1,1),2)-1)&lt;=DAY(EOMONTH(DATE(PlanYear,1,1),0))),DATE(PlanYear,1,1)+3-WEEKDAY(DATE(PlanYear,1,1),2),"")</f>
        <v/>
      </c>
      <c r="D8" s="20">
        <f>IF(AND(4-(WEEKDAY(DATE(PlanYear,1,1),2)-1)&gt;=1,4-(WEEKDAY(DATE(PlanYear,1,1),2)-1)&lt;=DAY(EOMONTH(DATE(PlanYear,1,1),0))),DATE(PlanYear,1,1)+4-WEEKDAY(DATE(PlanYear,1,1),2),"")</f>
        <v/>
      </c>
      <c r="E8" s="20">
        <f>IF(AND(5-(WEEKDAY(DATE(PlanYear,1,1),2)-1)&gt;=1,5-(WEEKDAY(DATE(PlanYear,1,1),2)-1)&lt;=DAY(EOMONTH(DATE(PlanYear,1,1),0))),DATE(PlanYear,1,1)+5-WEEKDAY(DATE(PlanYear,1,1),2),"")</f>
        <v/>
      </c>
      <c r="F8" s="20">
        <f>IF(AND(6-(WEEKDAY(DATE(PlanYear,1,1),2)-1)&gt;=1,6-(WEEKDAY(DATE(PlanYear,1,1),2)-1)&lt;=DAY(EOMONTH(DATE(PlanYear,1,1),0))),DATE(PlanYear,1,1)+6-WEEKDAY(DATE(PlanYear,1,1),2),"")</f>
        <v/>
      </c>
      <c r="G8" s="20">
        <f>IF(AND(7-(WEEKDAY(DATE(PlanYear,1,1),2)-1)&gt;=1,7-(WEEKDAY(DATE(PlanYear,1,1),2)-1)&lt;=DAY(EOMONTH(DATE(PlanYear,1,1),0))),DATE(PlanYear,1,1)+7-WEEKDAY(DATE(PlanYear,1,1),2),"")</f>
        <v/>
      </c>
      <c r="I8" s="20">
        <f>IF(AND(1-(WEEKDAY(DATE(PlanYear,2,1),2)-1)&gt;=1,1-(WEEKDAY(DATE(PlanYear,2,1),2)-1)&lt;=DAY(EOMONTH(DATE(PlanYear,2,1),0))),DATE(PlanYear,2,1)+1-WEEKDAY(DATE(PlanYear,2,1),2),"")</f>
        <v/>
      </c>
      <c r="J8" s="20">
        <f>IF(AND(2-(WEEKDAY(DATE(PlanYear,2,1),2)-1)&gt;=1,2-(WEEKDAY(DATE(PlanYear,2,1),2)-1)&lt;=DAY(EOMONTH(DATE(PlanYear,2,1),0))),DATE(PlanYear,2,1)+2-WEEKDAY(DATE(PlanYear,2,1),2),"")</f>
        <v/>
      </c>
      <c r="K8" s="20">
        <f>IF(AND(3-(WEEKDAY(DATE(PlanYear,2,1),2)-1)&gt;=1,3-(WEEKDAY(DATE(PlanYear,2,1),2)-1)&lt;=DAY(EOMONTH(DATE(PlanYear,2,1),0))),DATE(PlanYear,2,1)+3-WEEKDAY(DATE(PlanYear,2,1),2),"")</f>
        <v/>
      </c>
      <c r="L8" s="20">
        <f>IF(AND(4-(WEEKDAY(DATE(PlanYear,2,1),2)-1)&gt;=1,4-(WEEKDAY(DATE(PlanYear,2,1),2)-1)&lt;=DAY(EOMONTH(DATE(PlanYear,2,1),0))),DATE(PlanYear,2,1)+4-WEEKDAY(DATE(PlanYear,2,1),2),"")</f>
        <v/>
      </c>
      <c r="M8" s="20">
        <f>IF(AND(5-(WEEKDAY(DATE(PlanYear,2,1),2)-1)&gt;=1,5-(WEEKDAY(DATE(PlanYear,2,1),2)-1)&lt;=DAY(EOMONTH(DATE(PlanYear,2,1),0))),DATE(PlanYear,2,1)+5-WEEKDAY(DATE(PlanYear,2,1),2),"")</f>
        <v/>
      </c>
      <c r="N8" s="20">
        <f>IF(AND(6-(WEEKDAY(DATE(PlanYear,2,1),2)-1)&gt;=1,6-(WEEKDAY(DATE(PlanYear,2,1),2)-1)&lt;=DAY(EOMONTH(DATE(PlanYear,2,1),0))),DATE(PlanYear,2,1)+6-WEEKDAY(DATE(PlanYear,2,1),2),"")</f>
        <v/>
      </c>
      <c r="O8" s="20">
        <f>IF(AND(7-(WEEKDAY(DATE(PlanYear,2,1),2)-1)&gt;=1,7-(WEEKDAY(DATE(PlanYear,2,1),2)-1)&lt;=DAY(EOMONTH(DATE(PlanYear,2,1),0))),DATE(PlanYear,2,1)+7-WEEKDAY(DATE(PlanYear,2,1),2),"")</f>
        <v/>
      </c>
      <c r="Q8" s="20">
        <f>IF(AND(1-(WEEKDAY(DATE(PlanYear,3,1),2)-1)&gt;=1,1-(WEEKDAY(DATE(PlanYear,3,1),2)-1)&lt;=DAY(EOMONTH(DATE(PlanYear,3,1),0))),DATE(PlanYear,3,1)+1-WEEKDAY(DATE(PlanYear,3,1),2),"")</f>
        <v/>
      </c>
      <c r="R8" s="20">
        <f>IF(AND(2-(WEEKDAY(DATE(PlanYear,3,1),2)-1)&gt;=1,2-(WEEKDAY(DATE(PlanYear,3,1),2)-1)&lt;=DAY(EOMONTH(DATE(PlanYear,3,1),0))),DATE(PlanYear,3,1)+2-WEEKDAY(DATE(PlanYear,3,1),2),"")</f>
        <v/>
      </c>
      <c r="S8" s="20">
        <f>IF(AND(3-(WEEKDAY(DATE(PlanYear,3,1),2)-1)&gt;=1,3-(WEEKDAY(DATE(PlanYear,3,1),2)-1)&lt;=DAY(EOMONTH(DATE(PlanYear,3,1),0))),DATE(PlanYear,3,1)+3-WEEKDAY(DATE(PlanYear,3,1),2),"")</f>
        <v/>
      </c>
      <c r="T8" s="20">
        <f>IF(AND(4-(WEEKDAY(DATE(PlanYear,3,1),2)-1)&gt;=1,4-(WEEKDAY(DATE(PlanYear,3,1),2)-1)&lt;=DAY(EOMONTH(DATE(PlanYear,3,1),0))),DATE(PlanYear,3,1)+4-WEEKDAY(DATE(PlanYear,3,1),2),"")</f>
        <v/>
      </c>
      <c r="U8" s="20">
        <f>IF(AND(5-(WEEKDAY(DATE(PlanYear,3,1),2)-1)&gt;=1,5-(WEEKDAY(DATE(PlanYear,3,1),2)-1)&lt;=DAY(EOMONTH(DATE(PlanYear,3,1),0))),DATE(PlanYear,3,1)+5-WEEKDAY(DATE(PlanYear,3,1),2),"")</f>
        <v/>
      </c>
      <c r="V8" s="20">
        <f>IF(AND(6-(WEEKDAY(DATE(PlanYear,3,1),2)-1)&gt;=1,6-(WEEKDAY(DATE(PlanYear,3,1),2)-1)&lt;=DAY(EOMONTH(DATE(PlanYear,3,1),0))),DATE(PlanYear,3,1)+6-WEEKDAY(DATE(PlanYear,3,1),2),"")</f>
        <v/>
      </c>
      <c r="W8" s="20">
        <f>IF(AND(7-(WEEKDAY(DATE(PlanYear,3,1),2)-1)&gt;=1,7-(WEEKDAY(DATE(PlanYear,3,1),2)-1)&lt;=DAY(EOMONTH(DATE(PlanYear,3,1),0))),DATE(PlanYear,3,1)+7-WEEKDAY(DATE(PlanYear,3,1),2),"")</f>
        <v/>
      </c>
      <c r="Z8" s="15" t="inlineStr">
        <is>
          <t>March</t>
        </is>
      </c>
      <c r="AA8" s="16">
        <f>IF(AA$5="","",MID(IF(INDEX($Q$9:$W$19,2*INT((0+WEEKDAY(DATE(PlanYear,3,1),2)-1)/7)+1,MOD(0+WEEKDAY(DATE(PlanYear,3,1),2)-1,7)+1)=AA$5,", "&amp;1,"")&amp;IF(INDEX($Q$9:$W$19,2*INT((1+WEEKDAY(DATE(PlanYear,3,1),2)-1)/7)+1,MOD(1+WEEKDAY(DATE(PlanYear,3,1),2)-1,7)+1)=AA$5,", "&amp;2,"")&amp;IF(INDEX($Q$9:$W$19,2*INT((2+WEEKDAY(DATE(PlanYear,3,1),2)-1)/7)+1,MOD(2+WEEKDAY(DATE(PlanYear,3,1),2)-1,7)+1)=AA$5,", "&amp;3,"")&amp;IF(INDEX($Q$9:$W$19,2*INT((3+WEEKDAY(DATE(PlanYear,3,1),2)-1)/7)+1,MOD(3+WEEKDAY(DATE(PlanYear,3,1),2)-1,7)+1)=AA$5,", "&amp;4,"")&amp;IF(INDEX($Q$9:$W$19,2*INT((4+WEEKDAY(DATE(PlanYear,3,1),2)-1)/7)+1,MOD(4+WEEKDAY(DATE(PlanYear,3,1),2)-1,7)+1)=AA$5,", "&amp;5,"")&amp;IF(INDEX($Q$9:$W$19,2*INT((5+WEEKDAY(DATE(PlanYear,3,1),2)-1)/7)+1,MOD(5+WEEKDAY(DATE(PlanYear,3,1),2)-1,7)+1)=AA$5,", "&amp;6,"")&amp;IF(INDEX($Q$9:$W$19,2*INT((6+WEEKDAY(DATE(PlanYear,3,1),2)-1)/7)+1,MOD(6+WEEKDAY(DATE(PlanYear,3,1),2)-1,7)+1)=AA$5,", "&amp;7,"")&amp;IF(INDEX($Q$9:$W$19,2*INT((7+WEEKDAY(DATE(PlanYear,3,1),2)-1)/7)+1,MOD(7+WEEKDAY(DATE(PlanYear,3,1),2)-1,7)+1)=AA$5,", "&amp;8,"")&amp;IF(INDEX($Q$9:$W$19,2*INT((8+WEEKDAY(DATE(PlanYear,3,1),2)-1)/7)+1,MOD(8+WEEKDAY(DATE(PlanYear,3,1),2)-1,7)+1)=AA$5,", "&amp;9,"")&amp;IF(INDEX($Q$9:$W$19,2*INT((9+WEEKDAY(DATE(PlanYear,3,1),2)-1)/7)+1,MOD(9+WEEKDAY(DATE(PlanYear,3,1),2)-1,7)+1)=AA$5,", "&amp;10,"")&amp;IF(INDEX($Q$9:$W$19,2*INT((10+WEEKDAY(DATE(PlanYear,3,1),2)-1)/7)+1,MOD(10+WEEKDAY(DATE(PlanYear,3,1),2)-1,7)+1)=AA$5,", "&amp;11,"")&amp;IF(INDEX($Q$9:$W$19,2*INT((11+WEEKDAY(DATE(PlanYear,3,1),2)-1)/7)+1,MOD(11+WEEKDAY(DATE(PlanYear,3,1),2)-1,7)+1)=AA$5,", "&amp;12,"")&amp;IF(INDEX($Q$9:$W$19,2*INT((12+WEEKDAY(DATE(PlanYear,3,1),2)-1)/7)+1,MOD(12+WEEKDAY(DATE(PlanYear,3,1),2)-1,7)+1)=AA$5,", "&amp;13,"")&amp;IF(INDEX($Q$9:$W$19,2*INT((13+WEEKDAY(DATE(PlanYear,3,1),2)-1)/7)+1,MOD(13+WEEKDAY(DATE(PlanYear,3,1),2)-1,7)+1)=AA$5,", "&amp;14,"")&amp;IF(INDEX($Q$9:$W$19,2*INT((14+WEEKDAY(DATE(PlanYear,3,1),2)-1)/7)+1,MOD(14+WEEKDAY(DATE(PlanYear,3,1),2)-1,7)+1)=AA$5,", "&amp;15,"")&amp;IF(INDEX($Q$9:$W$19,2*INT((15+WEEKDAY(DATE(PlanYear,3,1),2)-1)/7)+1,MOD(15+WEEKDAY(DATE(PlanYear,3,1),2)-1,7)+1)=AA$5,", "&amp;16,"")&amp;IF(INDEX($Q$9:$W$19,2*INT((16+WEEKDAY(DATE(PlanYear,3,1),2)-1)/7)+1,MOD(16+WEEKDAY(DATE(PlanYear,3,1),2)-1,7)+1)=AA$5,", "&amp;17,"")&amp;IF(INDEX($Q$9:$W$19,2*INT((17+WEEKDAY(DATE(PlanYear,3,1),2)-1)/7)+1,MOD(17+WEEKDAY(DATE(PlanYear,3,1),2)-1,7)+1)=AA$5,", "&amp;18,"")&amp;IF(INDEX($Q$9:$W$19,2*INT((18+WEEKDAY(DATE(PlanYear,3,1),2)-1)/7)+1,MOD(18+WEEKDAY(DATE(PlanYear,3,1),2)-1,7)+1)=AA$5,", "&amp;19,"")&amp;IF(INDEX($Q$9:$W$19,2*INT((19+WEEKDAY(DATE(PlanYear,3,1),2)-1)/7)+1,MOD(19+WEEKDAY(DATE(PlanYear,3,1),2)-1,7)+1)=AA$5,", "&amp;20,"")&amp;IF(INDEX($Q$9:$W$19,2*INT((20+WEEKDAY(DATE(PlanYear,3,1),2)-1)/7)+1,MOD(20+WEEKDAY(DATE(PlanYear,3,1),2)-1,7)+1)=AA$5,", "&amp;21,"")&amp;IF(INDEX($Q$9:$W$19,2*INT((21+WEEKDAY(DATE(PlanYear,3,1),2)-1)/7)+1,MOD(21+WEEKDAY(DATE(PlanYear,3,1),2)-1,7)+1)=AA$5,", "&amp;22,"")&amp;IF(INDEX($Q$9:$W$19,2*INT((22+WEEKDAY(DATE(PlanYear,3,1),2)-1)/7)+1,MOD(22+WEEKDAY(DATE(PlanYear,3,1),2)-1,7)+1)=AA$5,", "&amp;23,"")&amp;IF(INDEX($Q$9:$W$19,2*INT((23+WEEKDAY(DATE(PlanYear,3,1),2)-1)/7)+1,MOD(23+WEEKDAY(DATE(PlanYear,3,1),2)-1,7)+1)=AA$5,", "&amp;24,"")&amp;IF(INDEX($Q$9:$W$19,2*INT((24+WEEKDAY(DATE(PlanYear,3,1),2)-1)/7)+1,MOD(24+WEEKDAY(DATE(PlanYear,3,1),2)-1,7)+1)=AA$5,", "&amp;25,"")&amp;IF(INDEX($Q$9:$W$19,2*INT((25+WEEKDAY(DATE(PlanYear,3,1),2)-1)/7)+1,MOD(25+WEEKDAY(DATE(PlanYear,3,1),2)-1,7)+1)=AA$5,", "&amp;26,"")&amp;IF(INDEX($Q$9:$W$19,2*INT((26+WEEKDAY(DATE(PlanYear,3,1),2)-1)/7)+1,MOD(26+WEEKDAY(DATE(PlanYear,3,1),2)-1,7)+1)=AA$5,", "&amp;27,"")&amp;IF(INDEX($Q$9:$W$19,2*INT((27+WEEKDAY(DATE(PlanYear,3,1),2)-1)/7)+1,MOD(27+WEEKDAY(DATE(PlanYear,3,1),2)-1,7)+1)=AA$5,", "&amp;28,"")&amp;IF(INDEX($Q$9:$W$19,2*INT((28+WEEKDAY(DATE(PlanYear,3,1),2)-1)/7)+1,MOD(28+WEEKDAY(DATE(PlanYear,3,1),2)-1,7)+1)=AA$5,", "&amp;29,"")&amp;IF(INDEX($Q$9:$W$19,2*INT((29+WEEKDAY(DATE(PlanYear,3,1),2)-1)/7)+1,MOD(29+WEEKDAY(DATE(PlanYear,3,1),2)-1,7)+1)=AA$5,", "&amp;30,"")&amp;IF(INDEX($Q$9:$W$19,2*INT((30+WEEKDAY(DATE(PlanYear,3,1),2)-1)/7)+1,MOD(30+WEEKDAY(DATE(PlanYear,3,1),2)-1,7)+1)=AA$5,", "&amp;31,""),3,200))</f>
        <v/>
      </c>
      <c r="AB8" s="16">
        <f>IF(AB$5="","",MID(IF(INDEX($Q$9:$W$19,2*INT((0+WEEKDAY(DATE(PlanYear,3,1),2)-1)/7)+1,MOD(0+WEEKDAY(DATE(PlanYear,3,1),2)-1,7)+1)=AB$5,", "&amp;1,"")&amp;IF(INDEX($Q$9:$W$19,2*INT((1+WEEKDAY(DATE(PlanYear,3,1),2)-1)/7)+1,MOD(1+WEEKDAY(DATE(PlanYear,3,1),2)-1,7)+1)=AB$5,", "&amp;2,"")&amp;IF(INDEX($Q$9:$W$19,2*INT((2+WEEKDAY(DATE(PlanYear,3,1),2)-1)/7)+1,MOD(2+WEEKDAY(DATE(PlanYear,3,1),2)-1,7)+1)=AB$5,", "&amp;3,"")&amp;IF(INDEX($Q$9:$W$19,2*INT((3+WEEKDAY(DATE(PlanYear,3,1),2)-1)/7)+1,MOD(3+WEEKDAY(DATE(PlanYear,3,1),2)-1,7)+1)=AB$5,", "&amp;4,"")&amp;IF(INDEX($Q$9:$W$19,2*INT((4+WEEKDAY(DATE(PlanYear,3,1),2)-1)/7)+1,MOD(4+WEEKDAY(DATE(PlanYear,3,1),2)-1,7)+1)=AB$5,", "&amp;5,"")&amp;IF(INDEX($Q$9:$W$19,2*INT((5+WEEKDAY(DATE(PlanYear,3,1),2)-1)/7)+1,MOD(5+WEEKDAY(DATE(PlanYear,3,1),2)-1,7)+1)=AB$5,", "&amp;6,"")&amp;IF(INDEX($Q$9:$W$19,2*INT((6+WEEKDAY(DATE(PlanYear,3,1),2)-1)/7)+1,MOD(6+WEEKDAY(DATE(PlanYear,3,1),2)-1,7)+1)=AB$5,", "&amp;7,"")&amp;IF(INDEX($Q$9:$W$19,2*INT((7+WEEKDAY(DATE(PlanYear,3,1),2)-1)/7)+1,MOD(7+WEEKDAY(DATE(PlanYear,3,1),2)-1,7)+1)=AB$5,", "&amp;8,"")&amp;IF(INDEX($Q$9:$W$19,2*INT((8+WEEKDAY(DATE(PlanYear,3,1),2)-1)/7)+1,MOD(8+WEEKDAY(DATE(PlanYear,3,1),2)-1,7)+1)=AB$5,", "&amp;9,"")&amp;IF(INDEX($Q$9:$W$19,2*INT((9+WEEKDAY(DATE(PlanYear,3,1),2)-1)/7)+1,MOD(9+WEEKDAY(DATE(PlanYear,3,1),2)-1,7)+1)=AB$5,", "&amp;10,"")&amp;IF(INDEX($Q$9:$W$19,2*INT((10+WEEKDAY(DATE(PlanYear,3,1),2)-1)/7)+1,MOD(10+WEEKDAY(DATE(PlanYear,3,1),2)-1,7)+1)=AB$5,", "&amp;11,"")&amp;IF(INDEX($Q$9:$W$19,2*INT((11+WEEKDAY(DATE(PlanYear,3,1),2)-1)/7)+1,MOD(11+WEEKDAY(DATE(PlanYear,3,1),2)-1,7)+1)=AB$5,", "&amp;12,"")&amp;IF(INDEX($Q$9:$W$19,2*INT((12+WEEKDAY(DATE(PlanYear,3,1),2)-1)/7)+1,MOD(12+WEEKDAY(DATE(PlanYear,3,1),2)-1,7)+1)=AB$5,", "&amp;13,"")&amp;IF(INDEX($Q$9:$W$19,2*INT((13+WEEKDAY(DATE(PlanYear,3,1),2)-1)/7)+1,MOD(13+WEEKDAY(DATE(PlanYear,3,1),2)-1,7)+1)=AB$5,", "&amp;14,"")&amp;IF(INDEX($Q$9:$W$19,2*INT((14+WEEKDAY(DATE(PlanYear,3,1),2)-1)/7)+1,MOD(14+WEEKDAY(DATE(PlanYear,3,1),2)-1,7)+1)=AB$5,", "&amp;15,"")&amp;IF(INDEX($Q$9:$W$19,2*INT((15+WEEKDAY(DATE(PlanYear,3,1),2)-1)/7)+1,MOD(15+WEEKDAY(DATE(PlanYear,3,1),2)-1,7)+1)=AB$5,", "&amp;16,"")&amp;IF(INDEX($Q$9:$W$19,2*INT((16+WEEKDAY(DATE(PlanYear,3,1),2)-1)/7)+1,MOD(16+WEEKDAY(DATE(PlanYear,3,1),2)-1,7)+1)=AB$5,", "&amp;17,"")&amp;IF(INDEX($Q$9:$W$19,2*INT((17+WEEKDAY(DATE(PlanYear,3,1),2)-1)/7)+1,MOD(17+WEEKDAY(DATE(PlanYear,3,1),2)-1,7)+1)=AB$5,", "&amp;18,"")&amp;IF(INDEX($Q$9:$W$19,2*INT((18+WEEKDAY(DATE(PlanYear,3,1),2)-1)/7)+1,MOD(18+WEEKDAY(DATE(PlanYear,3,1),2)-1,7)+1)=AB$5,", "&amp;19,"")&amp;IF(INDEX($Q$9:$W$19,2*INT((19+WEEKDAY(DATE(PlanYear,3,1),2)-1)/7)+1,MOD(19+WEEKDAY(DATE(PlanYear,3,1),2)-1,7)+1)=AB$5,", "&amp;20,"")&amp;IF(INDEX($Q$9:$W$19,2*INT((20+WEEKDAY(DATE(PlanYear,3,1),2)-1)/7)+1,MOD(20+WEEKDAY(DATE(PlanYear,3,1),2)-1,7)+1)=AB$5,", "&amp;21,"")&amp;IF(INDEX($Q$9:$W$19,2*INT((21+WEEKDAY(DATE(PlanYear,3,1),2)-1)/7)+1,MOD(21+WEEKDAY(DATE(PlanYear,3,1),2)-1,7)+1)=AB$5,", "&amp;22,"")&amp;IF(INDEX($Q$9:$W$19,2*INT((22+WEEKDAY(DATE(PlanYear,3,1),2)-1)/7)+1,MOD(22+WEEKDAY(DATE(PlanYear,3,1),2)-1,7)+1)=AB$5,", "&amp;23,"")&amp;IF(INDEX($Q$9:$W$19,2*INT((23+WEEKDAY(DATE(PlanYear,3,1),2)-1)/7)+1,MOD(23+WEEKDAY(DATE(PlanYear,3,1),2)-1,7)+1)=AB$5,", "&amp;24,"")&amp;IF(INDEX($Q$9:$W$19,2*INT((24+WEEKDAY(DATE(PlanYear,3,1),2)-1)/7)+1,MOD(24+WEEKDAY(DATE(PlanYear,3,1),2)-1,7)+1)=AB$5,", "&amp;25,"")&amp;IF(INDEX($Q$9:$W$19,2*INT((25+WEEKDAY(DATE(PlanYear,3,1),2)-1)/7)+1,MOD(25+WEEKDAY(DATE(PlanYear,3,1),2)-1,7)+1)=AB$5,", "&amp;26,"")&amp;IF(INDEX($Q$9:$W$19,2*INT((26+WEEKDAY(DATE(PlanYear,3,1),2)-1)/7)+1,MOD(26+WEEKDAY(DATE(PlanYear,3,1),2)-1,7)+1)=AB$5,", "&amp;27,"")&amp;IF(INDEX($Q$9:$W$19,2*INT((27+WEEKDAY(DATE(PlanYear,3,1),2)-1)/7)+1,MOD(27+WEEKDAY(DATE(PlanYear,3,1),2)-1,7)+1)=AB$5,", "&amp;28,"")&amp;IF(INDEX($Q$9:$W$19,2*INT((28+WEEKDAY(DATE(PlanYear,3,1),2)-1)/7)+1,MOD(28+WEEKDAY(DATE(PlanYear,3,1),2)-1,7)+1)=AB$5,", "&amp;29,"")&amp;IF(INDEX($Q$9:$W$19,2*INT((29+WEEKDAY(DATE(PlanYear,3,1),2)-1)/7)+1,MOD(29+WEEKDAY(DATE(PlanYear,3,1),2)-1,7)+1)=AB$5,", "&amp;30,"")&amp;IF(INDEX($Q$9:$W$19,2*INT((30+WEEKDAY(DATE(PlanYear,3,1),2)-1)/7)+1,MOD(30+WEEKDAY(DATE(PlanYear,3,1),2)-1,7)+1)=AB$5,", "&amp;31,""),3,200))</f>
        <v/>
      </c>
      <c r="AC8" s="16">
        <f>IF(AC$5="","",MID(IF(INDEX($Q$9:$W$19,2*INT((0+WEEKDAY(DATE(PlanYear,3,1),2)-1)/7)+1,MOD(0+WEEKDAY(DATE(PlanYear,3,1),2)-1,7)+1)=AC$5,", "&amp;1,"")&amp;IF(INDEX($Q$9:$W$19,2*INT((1+WEEKDAY(DATE(PlanYear,3,1),2)-1)/7)+1,MOD(1+WEEKDAY(DATE(PlanYear,3,1),2)-1,7)+1)=AC$5,", "&amp;2,"")&amp;IF(INDEX($Q$9:$W$19,2*INT((2+WEEKDAY(DATE(PlanYear,3,1),2)-1)/7)+1,MOD(2+WEEKDAY(DATE(PlanYear,3,1),2)-1,7)+1)=AC$5,", "&amp;3,"")&amp;IF(INDEX($Q$9:$W$19,2*INT((3+WEEKDAY(DATE(PlanYear,3,1),2)-1)/7)+1,MOD(3+WEEKDAY(DATE(PlanYear,3,1),2)-1,7)+1)=AC$5,", "&amp;4,"")&amp;IF(INDEX($Q$9:$W$19,2*INT((4+WEEKDAY(DATE(PlanYear,3,1),2)-1)/7)+1,MOD(4+WEEKDAY(DATE(PlanYear,3,1),2)-1,7)+1)=AC$5,", "&amp;5,"")&amp;IF(INDEX($Q$9:$W$19,2*INT((5+WEEKDAY(DATE(PlanYear,3,1),2)-1)/7)+1,MOD(5+WEEKDAY(DATE(PlanYear,3,1),2)-1,7)+1)=AC$5,", "&amp;6,"")&amp;IF(INDEX($Q$9:$W$19,2*INT((6+WEEKDAY(DATE(PlanYear,3,1),2)-1)/7)+1,MOD(6+WEEKDAY(DATE(PlanYear,3,1),2)-1,7)+1)=AC$5,", "&amp;7,"")&amp;IF(INDEX($Q$9:$W$19,2*INT((7+WEEKDAY(DATE(PlanYear,3,1),2)-1)/7)+1,MOD(7+WEEKDAY(DATE(PlanYear,3,1),2)-1,7)+1)=AC$5,", "&amp;8,"")&amp;IF(INDEX($Q$9:$W$19,2*INT((8+WEEKDAY(DATE(PlanYear,3,1),2)-1)/7)+1,MOD(8+WEEKDAY(DATE(PlanYear,3,1),2)-1,7)+1)=AC$5,", "&amp;9,"")&amp;IF(INDEX($Q$9:$W$19,2*INT((9+WEEKDAY(DATE(PlanYear,3,1),2)-1)/7)+1,MOD(9+WEEKDAY(DATE(PlanYear,3,1),2)-1,7)+1)=AC$5,", "&amp;10,"")&amp;IF(INDEX($Q$9:$W$19,2*INT((10+WEEKDAY(DATE(PlanYear,3,1),2)-1)/7)+1,MOD(10+WEEKDAY(DATE(PlanYear,3,1),2)-1,7)+1)=AC$5,", "&amp;11,"")&amp;IF(INDEX($Q$9:$W$19,2*INT((11+WEEKDAY(DATE(PlanYear,3,1),2)-1)/7)+1,MOD(11+WEEKDAY(DATE(PlanYear,3,1),2)-1,7)+1)=AC$5,", "&amp;12,"")&amp;IF(INDEX($Q$9:$W$19,2*INT((12+WEEKDAY(DATE(PlanYear,3,1),2)-1)/7)+1,MOD(12+WEEKDAY(DATE(PlanYear,3,1),2)-1,7)+1)=AC$5,", "&amp;13,"")&amp;IF(INDEX($Q$9:$W$19,2*INT((13+WEEKDAY(DATE(PlanYear,3,1),2)-1)/7)+1,MOD(13+WEEKDAY(DATE(PlanYear,3,1),2)-1,7)+1)=AC$5,", "&amp;14,"")&amp;IF(INDEX($Q$9:$W$19,2*INT((14+WEEKDAY(DATE(PlanYear,3,1),2)-1)/7)+1,MOD(14+WEEKDAY(DATE(PlanYear,3,1),2)-1,7)+1)=AC$5,", "&amp;15,"")&amp;IF(INDEX($Q$9:$W$19,2*INT((15+WEEKDAY(DATE(PlanYear,3,1),2)-1)/7)+1,MOD(15+WEEKDAY(DATE(PlanYear,3,1),2)-1,7)+1)=AC$5,", "&amp;16,"")&amp;IF(INDEX($Q$9:$W$19,2*INT((16+WEEKDAY(DATE(PlanYear,3,1),2)-1)/7)+1,MOD(16+WEEKDAY(DATE(PlanYear,3,1),2)-1,7)+1)=AC$5,", "&amp;17,"")&amp;IF(INDEX($Q$9:$W$19,2*INT((17+WEEKDAY(DATE(PlanYear,3,1),2)-1)/7)+1,MOD(17+WEEKDAY(DATE(PlanYear,3,1),2)-1,7)+1)=AC$5,", "&amp;18,"")&amp;IF(INDEX($Q$9:$W$19,2*INT((18+WEEKDAY(DATE(PlanYear,3,1),2)-1)/7)+1,MOD(18+WEEKDAY(DATE(PlanYear,3,1),2)-1,7)+1)=AC$5,", "&amp;19,"")&amp;IF(INDEX($Q$9:$W$19,2*INT((19+WEEKDAY(DATE(PlanYear,3,1),2)-1)/7)+1,MOD(19+WEEKDAY(DATE(PlanYear,3,1),2)-1,7)+1)=AC$5,", "&amp;20,"")&amp;IF(INDEX($Q$9:$W$19,2*INT((20+WEEKDAY(DATE(PlanYear,3,1),2)-1)/7)+1,MOD(20+WEEKDAY(DATE(PlanYear,3,1),2)-1,7)+1)=AC$5,", "&amp;21,"")&amp;IF(INDEX($Q$9:$W$19,2*INT((21+WEEKDAY(DATE(PlanYear,3,1),2)-1)/7)+1,MOD(21+WEEKDAY(DATE(PlanYear,3,1),2)-1,7)+1)=AC$5,", "&amp;22,"")&amp;IF(INDEX($Q$9:$W$19,2*INT((22+WEEKDAY(DATE(PlanYear,3,1),2)-1)/7)+1,MOD(22+WEEKDAY(DATE(PlanYear,3,1),2)-1,7)+1)=AC$5,", "&amp;23,"")&amp;IF(INDEX($Q$9:$W$19,2*INT((23+WEEKDAY(DATE(PlanYear,3,1),2)-1)/7)+1,MOD(23+WEEKDAY(DATE(PlanYear,3,1),2)-1,7)+1)=AC$5,", "&amp;24,"")&amp;IF(INDEX($Q$9:$W$19,2*INT((24+WEEKDAY(DATE(PlanYear,3,1),2)-1)/7)+1,MOD(24+WEEKDAY(DATE(PlanYear,3,1),2)-1,7)+1)=AC$5,", "&amp;25,"")&amp;IF(INDEX($Q$9:$W$19,2*INT((25+WEEKDAY(DATE(PlanYear,3,1),2)-1)/7)+1,MOD(25+WEEKDAY(DATE(PlanYear,3,1),2)-1,7)+1)=AC$5,", "&amp;26,"")&amp;IF(INDEX($Q$9:$W$19,2*INT((26+WEEKDAY(DATE(PlanYear,3,1),2)-1)/7)+1,MOD(26+WEEKDAY(DATE(PlanYear,3,1),2)-1,7)+1)=AC$5,", "&amp;27,"")&amp;IF(INDEX($Q$9:$W$19,2*INT((27+WEEKDAY(DATE(PlanYear,3,1),2)-1)/7)+1,MOD(27+WEEKDAY(DATE(PlanYear,3,1),2)-1,7)+1)=AC$5,", "&amp;28,"")&amp;IF(INDEX($Q$9:$W$19,2*INT((28+WEEKDAY(DATE(PlanYear,3,1),2)-1)/7)+1,MOD(28+WEEKDAY(DATE(PlanYear,3,1),2)-1,7)+1)=AC$5,", "&amp;29,"")&amp;IF(INDEX($Q$9:$W$19,2*INT((29+WEEKDAY(DATE(PlanYear,3,1),2)-1)/7)+1,MOD(29+WEEKDAY(DATE(PlanYear,3,1),2)-1,7)+1)=AC$5,", "&amp;30,"")&amp;IF(INDEX($Q$9:$W$19,2*INT((30+WEEKDAY(DATE(PlanYear,3,1),2)-1)/7)+1,MOD(30+WEEKDAY(DATE(PlanYear,3,1),2)-1,7)+1)=AC$5,", "&amp;31,""),3,200))</f>
        <v/>
      </c>
      <c r="AD8" s="16">
        <f>IF(AD$5="","",MID(IF(INDEX($Q$9:$W$19,2*INT((0+WEEKDAY(DATE(PlanYear,3,1),2)-1)/7)+1,MOD(0+WEEKDAY(DATE(PlanYear,3,1),2)-1,7)+1)=AD$5,", "&amp;1,"")&amp;IF(INDEX($Q$9:$W$19,2*INT((1+WEEKDAY(DATE(PlanYear,3,1),2)-1)/7)+1,MOD(1+WEEKDAY(DATE(PlanYear,3,1),2)-1,7)+1)=AD$5,", "&amp;2,"")&amp;IF(INDEX($Q$9:$W$19,2*INT((2+WEEKDAY(DATE(PlanYear,3,1),2)-1)/7)+1,MOD(2+WEEKDAY(DATE(PlanYear,3,1),2)-1,7)+1)=AD$5,", "&amp;3,"")&amp;IF(INDEX($Q$9:$W$19,2*INT((3+WEEKDAY(DATE(PlanYear,3,1),2)-1)/7)+1,MOD(3+WEEKDAY(DATE(PlanYear,3,1),2)-1,7)+1)=AD$5,", "&amp;4,"")&amp;IF(INDEX($Q$9:$W$19,2*INT((4+WEEKDAY(DATE(PlanYear,3,1),2)-1)/7)+1,MOD(4+WEEKDAY(DATE(PlanYear,3,1),2)-1,7)+1)=AD$5,", "&amp;5,"")&amp;IF(INDEX($Q$9:$W$19,2*INT((5+WEEKDAY(DATE(PlanYear,3,1),2)-1)/7)+1,MOD(5+WEEKDAY(DATE(PlanYear,3,1),2)-1,7)+1)=AD$5,", "&amp;6,"")&amp;IF(INDEX($Q$9:$W$19,2*INT((6+WEEKDAY(DATE(PlanYear,3,1),2)-1)/7)+1,MOD(6+WEEKDAY(DATE(PlanYear,3,1),2)-1,7)+1)=AD$5,", "&amp;7,"")&amp;IF(INDEX($Q$9:$W$19,2*INT((7+WEEKDAY(DATE(PlanYear,3,1),2)-1)/7)+1,MOD(7+WEEKDAY(DATE(PlanYear,3,1),2)-1,7)+1)=AD$5,", "&amp;8,"")&amp;IF(INDEX($Q$9:$W$19,2*INT((8+WEEKDAY(DATE(PlanYear,3,1),2)-1)/7)+1,MOD(8+WEEKDAY(DATE(PlanYear,3,1),2)-1,7)+1)=AD$5,", "&amp;9,"")&amp;IF(INDEX($Q$9:$W$19,2*INT((9+WEEKDAY(DATE(PlanYear,3,1),2)-1)/7)+1,MOD(9+WEEKDAY(DATE(PlanYear,3,1),2)-1,7)+1)=AD$5,", "&amp;10,"")&amp;IF(INDEX($Q$9:$W$19,2*INT((10+WEEKDAY(DATE(PlanYear,3,1),2)-1)/7)+1,MOD(10+WEEKDAY(DATE(PlanYear,3,1),2)-1,7)+1)=AD$5,", "&amp;11,"")&amp;IF(INDEX($Q$9:$W$19,2*INT((11+WEEKDAY(DATE(PlanYear,3,1),2)-1)/7)+1,MOD(11+WEEKDAY(DATE(PlanYear,3,1),2)-1,7)+1)=AD$5,", "&amp;12,"")&amp;IF(INDEX($Q$9:$W$19,2*INT((12+WEEKDAY(DATE(PlanYear,3,1),2)-1)/7)+1,MOD(12+WEEKDAY(DATE(PlanYear,3,1),2)-1,7)+1)=AD$5,", "&amp;13,"")&amp;IF(INDEX($Q$9:$W$19,2*INT((13+WEEKDAY(DATE(PlanYear,3,1),2)-1)/7)+1,MOD(13+WEEKDAY(DATE(PlanYear,3,1),2)-1,7)+1)=AD$5,", "&amp;14,"")&amp;IF(INDEX($Q$9:$W$19,2*INT((14+WEEKDAY(DATE(PlanYear,3,1),2)-1)/7)+1,MOD(14+WEEKDAY(DATE(PlanYear,3,1),2)-1,7)+1)=AD$5,", "&amp;15,"")&amp;IF(INDEX($Q$9:$W$19,2*INT((15+WEEKDAY(DATE(PlanYear,3,1),2)-1)/7)+1,MOD(15+WEEKDAY(DATE(PlanYear,3,1),2)-1,7)+1)=AD$5,", "&amp;16,"")&amp;IF(INDEX($Q$9:$W$19,2*INT((16+WEEKDAY(DATE(PlanYear,3,1),2)-1)/7)+1,MOD(16+WEEKDAY(DATE(PlanYear,3,1),2)-1,7)+1)=AD$5,", "&amp;17,"")&amp;IF(INDEX($Q$9:$W$19,2*INT((17+WEEKDAY(DATE(PlanYear,3,1),2)-1)/7)+1,MOD(17+WEEKDAY(DATE(PlanYear,3,1),2)-1,7)+1)=AD$5,", "&amp;18,"")&amp;IF(INDEX($Q$9:$W$19,2*INT((18+WEEKDAY(DATE(PlanYear,3,1),2)-1)/7)+1,MOD(18+WEEKDAY(DATE(PlanYear,3,1),2)-1,7)+1)=AD$5,", "&amp;19,"")&amp;IF(INDEX($Q$9:$W$19,2*INT((19+WEEKDAY(DATE(PlanYear,3,1),2)-1)/7)+1,MOD(19+WEEKDAY(DATE(PlanYear,3,1),2)-1,7)+1)=AD$5,", "&amp;20,"")&amp;IF(INDEX($Q$9:$W$19,2*INT((20+WEEKDAY(DATE(PlanYear,3,1),2)-1)/7)+1,MOD(20+WEEKDAY(DATE(PlanYear,3,1),2)-1,7)+1)=AD$5,", "&amp;21,"")&amp;IF(INDEX($Q$9:$W$19,2*INT((21+WEEKDAY(DATE(PlanYear,3,1),2)-1)/7)+1,MOD(21+WEEKDAY(DATE(PlanYear,3,1),2)-1,7)+1)=AD$5,", "&amp;22,"")&amp;IF(INDEX($Q$9:$W$19,2*INT((22+WEEKDAY(DATE(PlanYear,3,1),2)-1)/7)+1,MOD(22+WEEKDAY(DATE(PlanYear,3,1),2)-1,7)+1)=AD$5,", "&amp;23,"")&amp;IF(INDEX($Q$9:$W$19,2*INT((23+WEEKDAY(DATE(PlanYear,3,1),2)-1)/7)+1,MOD(23+WEEKDAY(DATE(PlanYear,3,1),2)-1,7)+1)=AD$5,", "&amp;24,"")&amp;IF(INDEX($Q$9:$W$19,2*INT((24+WEEKDAY(DATE(PlanYear,3,1),2)-1)/7)+1,MOD(24+WEEKDAY(DATE(PlanYear,3,1),2)-1,7)+1)=AD$5,", "&amp;25,"")&amp;IF(INDEX($Q$9:$W$19,2*INT((25+WEEKDAY(DATE(PlanYear,3,1),2)-1)/7)+1,MOD(25+WEEKDAY(DATE(PlanYear,3,1),2)-1,7)+1)=AD$5,", "&amp;26,"")&amp;IF(INDEX($Q$9:$W$19,2*INT((26+WEEKDAY(DATE(PlanYear,3,1),2)-1)/7)+1,MOD(26+WEEKDAY(DATE(PlanYear,3,1),2)-1,7)+1)=AD$5,", "&amp;27,"")&amp;IF(INDEX($Q$9:$W$19,2*INT((27+WEEKDAY(DATE(PlanYear,3,1),2)-1)/7)+1,MOD(27+WEEKDAY(DATE(PlanYear,3,1),2)-1,7)+1)=AD$5,", "&amp;28,"")&amp;IF(INDEX($Q$9:$W$19,2*INT((28+WEEKDAY(DATE(PlanYear,3,1),2)-1)/7)+1,MOD(28+WEEKDAY(DATE(PlanYear,3,1),2)-1,7)+1)=AD$5,", "&amp;29,"")&amp;IF(INDEX($Q$9:$W$19,2*INT((29+WEEKDAY(DATE(PlanYear,3,1),2)-1)/7)+1,MOD(29+WEEKDAY(DATE(PlanYear,3,1),2)-1,7)+1)=AD$5,", "&amp;30,"")&amp;IF(INDEX($Q$9:$W$19,2*INT((30+WEEKDAY(DATE(PlanYear,3,1),2)-1)/7)+1,MOD(30+WEEKDAY(DATE(PlanYear,3,1),2)-1,7)+1)=AD$5,", "&amp;31,""),3,200))</f>
        <v/>
      </c>
      <c r="AE8" s="16">
        <f>IF(AE$5="","",MID(IF(INDEX($Q$9:$W$19,2*INT((0+WEEKDAY(DATE(PlanYear,3,1),2)-1)/7)+1,MOD(0+WEEKDAY(DATE(PlanYear,3,1),2)-1,7)+1)=AE$5,", "&amp;1,"")&amp;IF(INDEX($Q$9:$W$19,2*INT((1+WEEKDAY(DATE(PlanYear,3,1),2)-1)/7)+1,MOD(1+WEEKDAY(DATE(PlanYear,3,1),2)-1,7)+1)=AE$5,", "&amp;2,"")&amp;IF(INDEX($Q$9:$W$19,2*INT((2+WEEKDAY(DATE(PlanYear,3,1),2)-1)/7)+1,MOD(2+WEEKDAY(DATE(PlanYear,3,1),2)-1,7)+1)=AE$5,", "&amp;3,"")&amp;IF(INDEX($Q$9:$W$19,2*INT((3+WEEKDAY(DATE(PlanYear,3,1),2)-1)/7)+1,MOD(3+WEEKDAY(DATE(PlanYear,3,1),2)-1,7)+1)=AE$5,", "&amp;4,"")&amp;IF(INDEX($Q$9:$W$19,2*INT((4+WEEKDAY(DATE(PlanYear,3,1),2)-1)/7)+1,MOD(4+WEEKDAY(DATE(PlanYear,3,1),2)-1,7)+1)=AE$5,", "&amp;5,"")&amp;IF(INDEX($Q$9:$W$19,2*INT((5+WEEKDAY(DATE(PlanYear,3,1),2)-1)/7)+1,MOD(5+WEEKDAY(DATE(PlanYear,3,1),2)-1,7)+1)=AE$5,", "&amp;6,"")&amp;IF(INDEX($Q$9:$W$19,2*INT((6+WEEKDAY(DATE(PlanYear,3,1),2)-1)/7)+1,MOD(6+WEEKDAY(DATE(PlanYear,3,1),2)-1,7)+1)=AE$5,", "&amp;7,"")&amp;IF(INDEX($Q$9:$W$19,2*INT((7+WEEKDAY(DATE(PlanYear,3,1),2)-1)/7)+1,MOD(7+WEEKDAY(DATE(PlanYear,3,1),2)-1,7)+1)=AE$5,", "&amp;8,"")&amp;IF(INDEX($Q$9:$W$19,2*INT((8+WEEKDAY(DATE(PlanYear,3,1),2)-1)/7)+1,MOD(8+WEEKDAY(DATE(PlanYear,3,1),2)-1,7)+1)=AE$5,", "&amp;9,"")&amp;IF(INDEX($Q$9:$W$19,2*INT((9+WEEKDAY(DATE(PlanYear,3,1),2)-1)/7)+1,MOD(9+WEEKDAY(DATE(PlanYear,3,1),2)-1,7)+1)=AE$5,", "&amp;10,"")&amp;IF(INDEX($Q$9:$W$19,2*INT((10+WEEKDAY(DATE(PlanYear,3,1),2)-1)/7)+1,MOD(10+WEEKDAY(DATE(PlanYear,3,1),2)-1,7)+1)=AE$5,", "&amp;11,"")&amp;IF(INDEX($Q$9:$W$19,2*INT((11+WEEKDAY(DATE(PlanYear,3,1),2)-1)/7)+1,MOD(11+WEEKDAY(DATE(PlanYear,3,1),2)-1,7)+1)=AE$5,", "&amp;12,"")&amp;IF(INDEX($Q$9:$W$19,2*INT((12+WEEKDAY(DATE(PlanYear,3,1),2)-1)/7)+1,MOD(12+WEEKDAY(DATE(PlanYear,3,1),2)-1,7)+1)=AE$5,", "&amp;13,"")&amp;IF(INDEX($Q$9:$W$19,2*INT((13+WEEKDAY(DATE(PlanYear,3,1),2)-1)/7)+1,MOD(13+WEEKDAY(DATE(PlanYear,3,1),2)-1,7)+1)=AE$5,", "&amp;14,"")&amp;IF(INDEX($Q$9:$W$19,2*INT((14+WEEKDAY(DATE(PlanYear,3,1),2)-1)/7)+1,MOD(14+WEEKDAY(DATE(PlanYear,3,1),2)-1,7)+1)=AE$5,", "&amp;15,"")&amp;IF(INDEX($Q$9:$W$19,2*INT((15+WEEKDAY(DATE(PlanYear,3,1),2)-1)/7)+1,MOD(15+WEEKDAY(DATE(PlanYear,3,1),2)-1,7)+1)=AE$5,", "&amp;16,"")&amp;IF(INDEX($Q$9:$W$19,2*INT((16+WEEKDAY(DATE(PlanYear,3,1),2)-1)/7)+1,MOD(16+WEEKDAY(DATE(PlanYear,3,1),2)-1,7)+1)=AE$5,", "&amp;17,"")&amp;IF(INDEX($Q$9:$W$19,2*INT((17+WEEKDAY(DATE(PlanYear,3,1),2)-1)/7)+1,MOD(17+WEEKDAY(DATE(PlanYear,3,1),2)-1,7)+1)=AE$5,", "&amp;18,"")&amp;IF(INDEX($Q$9:$W$19,2*INT((18+WEEKDAY(DATE(PlanYear,3,1),2)-1)/7)+1,MOD(18+WEEKDAY(DATE(PlanYear,3,1),2)-1,7)+1)=AE$5,", "&amp;19,"")&amp;IF(INDEX($Q$9:$W$19,2*INT((19+WEEKDAY(DATE(PlanYear,3,1),2)-1)/7)+1,MOD(19+WEEKDAY(DATE(PlanYear,3,1),2)-1,7)+1)=AE$5,", "&amp;20,"")&amp;IF(INDEX($Q$9:$W$19,2*INT((20+WEEKDAY(DATE(PlanYear,3,1),2)-1)/7)+1,MOD(20+WEEKDAY(DATE(PlanYear,3,1),2)-1,7)+1)=AE$5,", "&amp;21,"")&amp;IF(INDEX($Q$9:$W$19,2*INT((21+WEEKDAY(DATE(PlanYear,3,1),2)-1)/7)+1,MOD(21+WEEKDAY(DATE(PlanYear,3,1),2)-1,7)+1)=AE$5,", "&amp;22,"")&amp;IF(INDEX($Q$9:$W$19,2*INT((22+WEEKDAY(DATE(PlanYear,3,1),2)-1)/7)+1,MOD(22+WEEKDAY(DATE(PlanYear,3,1),2)-1,7)+1)=AE$5,", "&amp;23,"")&amp;IF(INDEX($Q$9:$W$19,2*INT((23+WEEKDAY(DATE(PlanYear,3,1),2)-1)/7)+1,MOD(23+WEEKDAY(DATE(PlanYear,3,1),2)-1,7)+1)=AE$5,", "&amp;24,"")&amp;IF(INDEX($Q$9:$W$19,2*INT((24+WEEKDAY(DATE(PlanYear,3,1),2)-1)/7)+1,MOD(24+WEEKDAY(DATE(PlanYear,3,1),2)-1,7)+1)=AE$5,", "&amp;25,"")&amp;IF(INDEX($Q$9:$W$19,2*INT((25+WEEKDAY(DATE(PlanYear,3,1),2)-1)/7)+1,MOD(25+WEEKDAY(DATE(PlanYear,3,1),2)-1,7)+1)=AE$5,", "&amp;26,"")&amp;IF(INDEX($Q$9:$W$19,2*INT((26+WEEKDAY(DATE(PlanYear,3,1),2)-1)/7)+1,MOD(26+WEEKDAY(DATE(PlanYear,3,1),2)-1,7)+1)=AE$5,", "&amp;27,"")&amp;IF(INDEX($Q$9:$W$19,2*INT((27+WEEKDAY(DATE(PlanYear,3,1),2)-1)/7)+1,MOD(27+WEEKDAY(DATE(PlanYear,3,1),2)-1,7)+1)=AE$5,", "&amp;28,"")&amp;IF(INDEX($Q$9:$W$19,2*INT((28+WEEKDAY(DATE(PlanYear,3,1),2)-1)/7)+1,MOD(28+WEEKDAY(DATE(PlanYear,3,1),2)-1,7)+1)=AE$5,", "&amp;29,"")&amp;IF(INDEX($Q$9:$W$19,2*INT((29+WEEKDAY(DATE(PlanYear,3,1),2)-1)/7)+1,MOD(29+WEEKDAY(DATE(PlanYear,3,1),2)-1,7)+1)=AE$5,", "&amp;30,"")&amp;IF(INDEX($Q$9:$W$19,2*INT((30+WEEKDAY(DATE(PlanYear,3,1),2)-1)/7)+1,MOD(30+WEEKDAY(DATE(PlanYear,3,1),2)-1,7)+1)=AE$5,", "&amp;31,""),3,200))</f>
        <v/>
      </c>
      <c r="AF8" s="16">
        <f>IF(AF$5="","",MID(IF(INDEX($Q$9:$W$19,2*INT((0+WEEKDAY(DATE(PlanYear,3,1),2)-1)/7)+1,MOD(0+WEEKDAY(DATE(PlanYear,3,1),2)-1,7)+1)=AF$5,", "&amp;1,"")&amp;IF(INDEX($Q$9:$W$19,2*INT((1+WEEKDAY(DATE(PlanYear,3,1),2)-1)/7)+1,MOD(1+WEEKDAY(DATE(PlanYear,3,1),2)-1,7)+1)=AF$5,", "&amp;2,"")&amp;IF(INDEX($Q$9:$W$19,2*INT((2+WEEKDAY(DATE(PlanYear,3,1),2)-1)/7)+1,MOD(2+WEEKDAY(DATE(PlanYear,3,1),2)-1,7)+1)=AF$5,", "&amp;3,"")&amp;IF(INDEX($Q$9:$W$19,2*INT((3+WEEKDAY(DATE(PlanYear,3,1),2)-1)/7)+1,MOD(3+WEEKDAY(DATE(PlanYear,3,1),2)-1,7)+1)=AF$5,", "&amp;4,"")&amp;IF(INDEX($Q$9:$W$19,2*INT((4+WEEKDAY(DATE(PlanYear,3,1),2)-1)/7)+1,MOD(4+WEEKDAY(DATE(PlanYear,3,1),2)-1,7)+1)=AF$5,", "&amp;5,"")&amp;IF(INDEX($Q$9:$W$19,2*INT((5+WEEKDAY(DATE(PlanYear,3,1),2)-1)/7)+1,MOD(5+WEEKDAY(DATE(PlanYear,3,1),2)-1,7)+1)=AF$5,", "&amp;6,"")&amp;IF(INDEX($Q$9:$W$19,2*INT((6+WEEKDAY(DATE(PlanYear,3,1),2)-1)/7)+1,MOD(6+WEEKDAY(DATE(PlanYear,3,1),2)-1,7)+1)=AF$5,", "&amp;7,"")&amp;IF(INDEX($Q$9:$W$19,2*INT((7+WEEKDAY(DATE(PlanYear,3,1),2)-1)/7)+1,MOD(7+WEEKDAY(DATE(PlanYear,3,1),2)-1,7)+1)=AF$5,", "&amp;8,"")&amp;IF(INDEX($Q$9:$W$19,2*INT((8+WEEKDAY(DATE(PlanYear,3,1),2)-1)/7)+1,MOD(8+WEEKDAY(DATE(PlanYear,3,1),2)-1,7)+1)=AF$5,", "&amp;9,"")&amp;IF(INDEX($Q$9:$W$19,2*INT((9+WEEKDAY(DATE(PlanYear,3,1),2)-1)/7)+1,MOD(9+WEEKDAY(DATE(PlanYear,3,1),2)-1,7)+1)=AF$5,", "&amp;10,"")&amp;IF(INDEX($Q$9:$W$19,2*INT((10+WEEKDAY(DATE(PlanYear,3,1),2)-1)/7)+1,MOD(10+WEEKDAY(DATE(PlanYear,3,1),2)-1,7)+1)=AF$5,", "&amp;11,"")&amp;IF(INDEX($Q$9:$W$19,2*INT((11+WEEKDAY(DATE(PlanYear,3,1),2)-1)/7)+1,MOD(11+WEEKDAY(DATE(PlanYear,3,1),2)-1,7)+1)=AF$5,", "&amp;12,"")&amp;IF(INDEX($Q$9:$W$19,2*INT((12+WEEKDAY(DATE(PlanYear,3,1),2)-1)/7)+1,MOD(12+WEEKDAY(DATE(PlanYear,3,1),2)-1,7)+1)=AF$5,", "&amp;13,"")&amp;IF(INDEX($Q$9:$W$19,2*INT((13+WEEKDAY(DATE(PlanYear,3,1),2)-1)/7)+1,MOD(13+WEEKDAY(DATE(PlanYear,3,1),2)-1,7)+1)=AF$5,", "&amp;14,"")&amp;IF(INDEX($Q$9:$W$19,2*INT((14+WEEKDAY(DATE(PlanYear,3,1),2)-1)/7)+1,MOD(14+WEEKDAY(DATE(PlanYear,3,1),2)-1,7)+1)=AF$5,", "&amp;15,"")&amp;IF(INDEX($Q$9:$W$19,2*INT((15+WEEKDAY(DATE(PlanYear,3,1),2)-1)/7)+1,MOD(15+WEEKDAY(DATE(PlanYear,3,1),2)-1,7)+1)=AF$5,", "&amp;16,"")&amp;IF(INDEX($Q$9:$W$19,2*INT((16+WEEKDAY(DATE(PlanYear,3,1),2)-1)/7)+1,MOD(16+WEEKDAY(DATE(PlanYear,3,1),2)-1,7)+1)=AF$5,", "&amp;17,"")&amp;IF(INDEX($Q$9:$W$19,2*INT((17+WEEKDAY(DATE(PlanYear,3,1),2)-1)/7)+1,MOD(17+WEEKDAY(DATE(PlanYear,3,1),2)-1,7)+1)=AF$5,", "&amp;18,"")&amp;IF(INDEX($Q$9:$W$19,2*INT((18+WEEKDAY(DATE(PlanYear,3,1),2)-1)/7)+1,MOD(18+WEEKDAY(DATE(PlanYear,3,1),2)-1,7)+1)=AF$5,", "&amp;19,"")&amp;IF(INDEX($Q$9:$W$19,2*INT((19+WEEKDAY(DATE(PlanYear,3,1),2)-1)/7)+1,MOD(19+WEEKDAY(DATE(PlanYear,3,1),2)-1,7)+1)=AF$5,", "&amp;20,"")&amp;IF(INDEX($Q$9:$W$19,2*INT((20+WEEKDAY(DATE(PlanYear,3,1),2)-1)/7)+1,MOD(20+WEEKDAY(DATE(PlanYear,3,1),2)-1,7)+1)=AF$5,", "&amp;21,"")&amp;IF(INDEX($Q$9:$W$19,2*INT((21+WEEKDAY(DATE(PlanYear,3,1),2)-1)/7)+1,MOD(21+WEEKDAY(DATE(PlanYear,3,1),2)-1,7)+1)=AF$5,", "&amp;22,"")&amp;IF(INDEX($Q$9:$W$19,2*INT((22+WEEKDAY(DATE(PlanYear,3,1),2)-1)/7)+1,MOD(22+WEEKDAY(DATE(PlanYear,3,1),2)-1,7)+1)=AF$5,", "&amp;23,"")&amp;IF(INDEX($Q$9:$W$19,2*INT((23+WEEKDAY(DATE(PlanYear,3,1),2)-1)/7)+1,MOD(23+WEEKDAY(DATE(PlanYear,3,1),2)-1,7)+1)=AF$5,", "&amp;24,"")&amp;IF(INDEX($Q$9:$W$19,2*INT((24+WEEKDAY(DATE(PlanYear,3,1),2)-1)/7)+1,MOD(24+WEEKDAY(DATE(PlanYear,3,1),2)-1,7)+1)=AF$5,", "&amp;25,"")&amp;IF(INDEX($Q$9:$W$19,2*INT((25+WEEKDAY(DATE(PlanYear,3,1),2)-1)/7)+1,MOD(25+WEEKDAY(DATE(PlanYear,3,1),2)-1,7)+1)=AF$5,", "&amp;26,"")&amp;IF(INDEX($Q$9:$W$19,2*INT((26+WEEKDAY(DATE(PlanYear,3,1),2)-1)/7)+1,MOD(26+WEEKDAY(DATE(PlanYear,3,1),2)-1,7)+1)=AF$5,", "&amp;27,"")&amp;IF(INDEX($Q$9:$W$19,2*INT((27+WEEKDAY(DATE(PlanYear,3,1),2)-1)/7)+1,MOD(27+WEEKDAY(DATE(PlanYear,3,1),2)-1,7)+1)=AF$5,", "&amp;28,"")&amp;IF(INDEX($Q$9:$W$19,2*INT((28+WEEKDAY(DATE(PlanYear,3,1),2)-1)/7)+1,MOD(28+WEEKDAY(DATE(PlanYear,3,1),2)-1,7)+1)=AF$5,", "&amp;29,"")&amp;IF(INDEX($Q$9:$W$19,2*INT((29+WEEKDAY(DATE(PlanYear,3,1),2)-1)/7)+1,MOD(29+WEEKDAY(DATE(PlanYear,3,1),2)-1,7)+1)=AF$5,", "&amp;30,"")&amp;IF(INDEX($Q$9:$W$19,2*INT((30+WEEKDAY(DATE(PlanYear,3,1),2)-1)/7)+1,MOD(30+WEEKDAY(DATE(PlanYear,3,1),2)-1,7)+1)=AF$5,", "&amp;31,""),3,200))</f>
        <v/>
      </c>
      <c r="AG8" s="16">
        <f>IF(AG$5="","",MID(IF(INDEX($Q$9:$W$19,2*INT((0+WEEKDAY(DATE(PlanYear,3,1),2)-1)/7)+1,MOD(0+WEEKDAY(DATE(PlanYear,3,1),2)-1,7)+1)=AG$5,", "&amp;1,"")&amp;IF(INDEX($Q$9:$W$19,2*INT((1+WEEKDAY(DATE(PlanYear,3,1),2)-1)/7)+1,MOD(1+WEEKDAY(DATE(PlanYear,3,1),2)-1,7)+1)=AG$5,", "&amp;2,"")&amp;IF(INDEX($Q$9:$W$19,2*INT((2+WEEKDAY(DATE(PlanYear,3,1),2)-1)/7)+1,MOD(2+WEEKDAY(DATE(PlanYear,3,1),2)-1,7)+1)=AG$5,", "&amp;3,"")&amp;IF(INDEX($Q$9:$W$19,2*INT((3+WEEKDAY(DATE(PlanYear,3,1),2)-1)/7)+1,MOD(3+WEEKDAY(DATE(PlanYear,3,1),2)-1,7)+1)=AG$5,", "&amp;4,"")&amp;IF(INDEX($Q$9:$W$19,2*INT((4+WEEKDAY(DATE(PlanYear,3,1),2)-1)/7)+1,MOD(4+WEEKDAY(DATE(PlanYear,3,1),2)-1,7)+1)=AG$5,", "&amp;5,"")&amp;IF(INDEX($Q$9:$W$19,2*INT((5+WEEKDAY(DATE(PlanYear,3,1),2)-1)/7)+1,MOD(5+WEEKDAY(DATE(PlanYear,3,1),2)-1,7)+1)=AG$5,", "&amp;6,"")&amp;IF(INDEX($Q$9:$W$19,2*INT((6+WEEKDAY(DATE(PlanYear,3,1),2)-1)/7)+1,MOD(6+WEEKDAY(DATE(PlanYear,3,1),2)-1,7)+1)=AG$5,", "&amp;7,"")&amp;IF(INDEX($Q$9:$W$19,2*INT((7+WEEKDAY(DATE(PlanYear,3,1),2)-1)/7)+1,MOD(7+WEEKDAY(DATE(PlanYear,3,1),2)-1,7)+1)=AG$5,", "&amp;8,"")&amp;IF(INDEX($Q$9:$W$19,2*INT((8+WEEKDAY(DATE(PlanYear,3,1),2)-1)/7)+1,MOD(8+WEEKDAY(DATE(PlanYear,3,1),2)-1,7)+1)=AG$5,", "&amp;9,"")&amp;IF(INDEX($Q$9:$W$19,2*INT((9+WEEKDAY(DATE(PlanYear,3,1),2)-1)/7)+1,MOD(9+WEEKDAY(DATE(PlanYear,3,1),2)-1,7)+1)=AG$5,", "&amp;10,"")&amp;IF(INDEX($Q$9:$W$19,2*INT((10+WEEKDAY(DATE(PlanYear,3,1),2)-1)/7)+1,MOD(10+WEEKDAY(DATE(PlanYear,3,1),2)-1,7)+1)=AG$5,", "&amp;11,"")&amp;IF(INDEX($Q$9:$W$19,2*INT((11+WEEKDAY(DATE(PlanYear,3,1),2)-1)/7)+1,MOD(11+WEEKDAY(DATE(PlanYear,3,1),2)-1,7)+1)=AG$5,", "&amp;12,"")&amp;IF(INDEX($Q$9:$W$19,2*INT((12+WEEKDAY(DATE(PlanYear,3,1),2)-1)/7)+1,MOD(12+WEEKDAY(DATE(PlanYear,3,1),2)-1,7)+1)=AG$5,", "&amp;13,"")&amp;IF(INDEX($Q$9:$W$19,2*INT((13+WEEKDAY(DATE(PlanYear,3,1),2)-1)/7)+1,MOD(13+WEEKDAY(DATE(PlanYear,3,1),2)-1,7)+1)=AG$5,", "&amp;14,"")&amp;IF(INDEX($Q$9:$W$19,2*INT((14+WEEKDAY(DATE(PlanYear,3,1),2)-1)/7)+1,MOD(14+WEEKDAY(DATE(PlanYear,3,1),2)-1,7)+1)=AG$5,", "&amp;15,"")&amp;IF(INDEX($Q$9:$W$19,2*INT((15+WEEKDAY(DATE(PlanYear,3,1),2)-1)/7)+1,MOD(15+WEEKDAY(DATE(PlanYear,3,1),2)-1,7)+1)=AG$5,", "&amp;16,"")&amp;IF(INDEX($Q$9:$W$19,2*INT((16+WEEKDAY(DATE(PlanYear,3,1),2)-1)/7)+1,MOD(16+WEEKDAY(DATE(PlanYear,3,1),2)-1,7)+1)=AG$5,", "&amp;17,"")&amp;IF(INDEX($Q$9:$W$19,2*INT((17+WEEKDAY(DATE(PlanYear,3,1),2)-1)/7)+1,MOD(17+WEEKDAY(DATE(PlanYear,3,1),2)-1,7)+1)=AG$5,", "&amp;18,"")&amp;IF(INDEX($Q$9:$W$19,2*INT((18+WEEKDAY(DATE(PlanYear,3,1),2)-1)/7)+1,MOD(18+WEEKDAY(DATE(PlanYear,3,1),2)-1,7)+1)=AG$5,", "&amp;19,"")&amp;IF(INDEX($Q$9:$W$19,2*INT((19+WEEKDAY(DATE(PlanYear,3,1),2)-1)/7)+1,MOD(19+WEEKDAY(DATE(PlanYear,3,1),2)-1,7)+1)=AG$5,", "&amp;20,"")&amp;IF(INDEX($Q$9:$W$19,2*INT((20+WEEKDAY(DATE(PlanYear,3,1),2)-1)/7)+1,MOD(20+WEEKDAY(DATE(PlanYear,3,1),2)-1,7)+1)=AG$5,", "&amp;21,"")&amp;IF(INDEX($Q$9:$W$19,2*INT((21+WEEKDAY(DATE(PlanYear,3,1),2)-1)/7)+1,MOD(21+WEEKDAY(DATE(PlanYear,3,1),2)-1,7)+1)=AG$5,", "&amp;22,"")&amp;IF(INDEX($Q$9:$W$19,2*INT((22+WEEKDAY(DATE(PlanYear,3,1),2)-1)/7)+1,MOD(22+WEEKDAY(DATE(PlanYear,3,1),2)-1,7)+1)=AG$5,", "&amp;23,"")&amp;IF(INDEX($Q$9:$W$19,2*INT((23+WEEKDAY(DATE(PlanYear,3,1),2)-1)/7)+1,MOD(23+WEEKDAY(DATE(PlanYear,3,1),2)-1,7)+1)=AG$5,", "&amp;24,"")&amp;IF(INDEX($Q$9:$W$19,2*INT((24+WEEKDAY(DATE(PlanYear,3,1),2)-1)/7)+1,MOD(24+WEEKDAY(DATE(PlanYear,3,1),2)-1,7)+1)=AG$5,", "&amp;25,"")&amp;IF(INDEX($Q$9:$W$19,2*INT((25+WEEKDAY(DATE(PlanYear,3,1),2)-1)/7)+1,MOD(25+WEEKDAY(DATE(PlanYear,3,1),2)-1,7)+1)=AG$5,", "&amp;26,"")&amp;IF(INDEX($Q$9:$W$19,2*INT((26+WEEKDAY(DATE(PlanYear,3,1),2)-1)/7)+1,MOD(26+WEEKDAY(DATE(PlanYear,3,1),2)-1,7)+1)=AG$5,", "&amp;27,"")&amp;IF(INDEX($Q$9:$W$19,2*INT((27+WEEKDAY(DATE(PlanYear,3,1),2)-1)/7)+1,MOD(27+WEEKDAY(DATE(PlanYear,3,1),2)-1,7)+1)=AG$5,", "&amp;28,"")&amp;IF(INDEX($Q$9:$W$19,2*INT((28+WEEKDAY(DATE(PlanYear,3,1),2)-1)/7)+1,MOD(28+WEEKDAY(DATE(PlanYear,3,1),2)-1,7)+1)=AG$5,", "&amp;29,"")&amp;IF(INDEX($Q$9:$W$19,2*INT((29+WEEKDAY(DATE(PlanYear,3,1),2)-1)/7)+1,MOD(29+WEEKDAY(DATE(PlanYear,3,1),2)-1,7)+1)=AG$5,", "&amp;30,"")&amp;IF(INDEX($Q$9:$W$19,2*INT((30+WEEKDAY(DATE(PlanYear,3,1),2)-1)/7)+1,MOD(30+WEEKDAY(DATE(PlanYear,3,1),2)-1,7)+1)=AG$5,", "&amp;31,""),3,200))</f>
        <v/>
      </c>
      <c r="AH8" s="16">
        <f>IF(AH$5="","",MID(IF(INDEX($Q$9:$W$19,2*INT((0+WEEKDAY(DATE(PlanYear,3,1),2)-1)/7)+1,MOD(0+WEEKDAY(DATE(PlanYear,3,1),2)-1,7)+1)=AH$5,", "&amp;1,"")&amp;IF(INDEX($Q$9:$W$19,2*INT((1+WEEKDAY(DATE(PlanYear,3,1),2)-1)/7)+1,MOD(1+WEEKDAY(DATE(PlanYear,3,1),2)-1,7)+1)=AH$5,", "&amp;2,"")&amp;IF(INDEX($Q$9:$W$19,2*INT((2+WEEKDAY(DATE(PlanYear,3,1),2)-1)/7)+1,MOD(2+WEEKDAY(DATE(PlanYear,3,1),2)-1,7)+1)=AH$5,", "&amp;3,"")&amp;IF(INDEX($Q$9:$W$19,2*INT((3+WEEKDAY(DATE(PlanYear,3,1),2)-1)/7)+1,MOD(3+WEEKDAY(DATE(PlanYear,3,1),2)-1,7)+1)=AH$5,", "&amp;4,"")&amp;IF(INDEX($Q$9:$W$19,2*INT((4+WEEKDAY(DATE(PlanYear,3,1),2)-1)/7)+1,MOD(4+WEEKDAY(DATE(PlanYear,3,1),2)-1,7)+1)=AH$5,", "&amp;5,"")&amp;IF(INDEX($Q$9:$W$19,2*INT((5+WEEKDAY(DATE(PlanYear,3,1),2)-1)/7)+1,MOD(5+WEEKDAY(DATE(PlanYear,3,1),2)-1,7)+1)=AH$5,", "&amp;6,"")&amp;IF(INDEX($Q$9:$W$19,2*INT((6+WEEKDAY(DATE(PlanYear,3,1),2)-1)/7)+1,MOD(6+WEEKDAY(DATE(PlanYear,3,1),2)-1,7)+1)=AH$5,", "&amp;7,"")&amp;IF(INDEX($Q$9:$W$19,2*INT((7+WEEKDAY(DATE(PlanYear,3,1),2)-1)/7)+1,MOD(7+WEEKDAY(DATE(PlanYear,3,1),2)-1,7)+1)=AH$5,", "&amp;8,"")&amp;IF(INDEX($Q$9:$W$19,2*INT((8+WEEKDAY(DATE(PlanYear,3,1),2)-1)/7)+1,MOD(8+WEEKDAY(DATE(PlanYear,3,1),2)-1,7)+1)=AH$5,", "&amp;9,"")&amp;IF(INDEX($Q$9:$W$19,2*INT((9+WEEKDAY(DATE(PlanYear,3,1),2)-1)/7)+1,MOD(9+WEEKDAY(DATE(PlanYear,3,1),2)-1,7)+1)=AH$5,", "&amp;10,"")&amp;IF(INDEX($Q$9:$W$19,2*INT((10+WEEKDAY(DATE(PlanYear,3,1),2)-1)/7)+1,MOD(10+WEEKDAY(DATE(PlanYear,3,1),2)-1,7)+1)=AH$5,", "&amp;11,"")&amp;IF(INDEX($Q$9:$W$19,2*INT((11+WEEKDAY(DATE(PlanYear,3,1),2)-1)/7)+1,MOD(11+WEEKDAY(DATE(PlanYear,3,1),2)-1,7)+1)=AH$5,", "&amp;12,"")&amp;IF(INDEX($Q$9:$W$19,2*INT((12+WEEKDAY(DATE(PlanYear,3,1),2)-1)/7)+1,MOD(12+WEEKDAY(DATE(PlanYear,3,1),2)-1,7)+1)=AH$5,", "&amp;13,"")&amp;IF(INDEX($Q$9:$W$19,2*INT((13+WEEKDAY(DATE(PlanYear,3,1),2)-1)/7)+1,MOD(13+WEEKDAY(DATE(PlanYear,3,1),2)-1,7)+1)=AH$5,", "&amp;14,"")&amp;IF(INDEX($Q$9:$W$19,2*INT((14+WEEKDAY(DATE(PlanYear,3,1),2)-1)/7)+1,MOD(14+WEEKDAY(DATE(PlanYear,3,1),2)-1,7)+1)=AH$5,", "&amp;15,"")&amp;IF(INDEX($Q$9:$W$19,2*INT((15+WEEKDAY(DATE(PlanYear,3,1),2)-1)/7)+1,MOD(15+WEEKDAY(DATE(PlanYear,3,1),2)-1,7)+1)=AH$5,", "&amp;16,"")&amp;IF(INDEX($Q$9:$W$19,2*INT((16+WEEKDAY(DATE(PlanYear,3,1),2)-1)/7)+1,MOD(16+WEEKDAY(DATE(PlanYear,3,1),2)-1,7)+1)=AH$5,", "&amp;17,"")&amp;IF(INDEX($Q$9:$W$19,2*INT((17+WEEKDAY(DATE(PlanYear,3,1),2)-1)/7)+1,MOD(17+WEEKDAY(DATE(PlanYear,3,1),2)-1,7)+1)=AH$5,", "&amp;18,"")&amp;IF(INDEX($Q$9:$W$19,2*INT((18+WEEKDAY(DATE(PlanYear,3,1),2)-1)/7)+1,MOD(18+WEEKDAY(DATE(PlanYear,3,1),2)-1,7)+1)=AH$5,", "&amp;19,"")&amp;IF(INDEX($Q$9:$W$19,2*INT((19+WEEKDAY(DATE(PlanYear,3,1),2)-1)/7)+1,MOD(19+WEEKDAY(DATE(PlanYear,3,1),2)-1,7)+1)=AH$5,", "&amp;20,"")&amp;IF(INDEX($Q$9:$W$19,2*INT((20+WEEKDAY(DATE(PlanYear,3,1),2)-1)/7)+1,MOD(20+WEEKDAY(DATE(PlanYear,3,1),2)-1,7)+1)=AH$5,", "&amp;21,"")&amp;IF(INDEX($Q$9:$W$19,2*INT((21+WEEKDAY(DATE(PlanYear,3,1),2)-1)/7)+1,MOD(21+WEEKDAY(DATE(PlanYear,3,1),2)-1,7)+1)=AH$5,", "&amp;22,"")&amp;IF(INDEX($Q$9:$W$19,2*INT((22+WEEKDAY(DATE(PlanYear,3,1),2)-1)/7)+1,MOD(22+WEEKDAY(DATE(PlanYear,3,1),2)-1,7)+1)=AH$5,", "&amp;23,"")&amp;IF(INDEX($Q$9:$W$19,2*INT((23+WEEKDAY(DATE(PlanYear,3,1),2)-1)/7)+1,MOD(23+WEEKDAY(DATE(PlanYear,3,1),2)-1,7)+1)=AH$5,", "&amp;24,"")&amp;IF(INDEX($Q$9:$W$19,2*INT((24+WEEKDAY(DATE(PlanYear,3,1),2)-1)/7)+1,MOD(24+WEEKDAY(DATE(PlanYear,3,1),2)-1,7)+1)=AH$5,", "&amp;25,"")&amp;IF(INDEX($Q$9:$W$19,2*INT((25+WEEKDAY(DATE(PlanYear,3,1),2)-1)/7)+1,MOD(25+WEEKDAY(DATE(PlanYear,3,1),2)-1,7)+1)=AH$5,", "&amp;26,"")&amp;IF(INDEX($Q$9:$W$19,2*INT((26+WEEKDAY(DATE(PlanYear,3,1),2)-1)/7)+1,MOD(26+WEEKDAY(DATE(PlanYear,3,1),2)-1,7)+1)=AH$5,", "&amp;27,"")&amp;IF(INDEX($Q$9:$W$19,2*INT((27+WEEKDAY(DATE(PlanYear,3,1),2)-1)/7)+1,MOD(27+WEEKDAY(DATE(PlanYear,3,1),2)-1,7)+1)=AH$5,", "&amp;28,"")&amp;IF(INDEX($Q$9:$W$19,2*INT((28+WEEKDAY(DATE(PlanYear,3,1),2)-1)/7)+1,MOD(28+WEEKDAY(DATE(PlanYear,3,1),2)-1,7)+1)=AH$5,", "&amp;29,"")&amp;IF(INDEX($Q$9:$W$19,2*INT((29+WEEKDAY(DATE(PlanYear,3,1),2)-1)/7)+1,MOD(29+WEEKDAY(DATE(PlanYear,3,1),2)-1,7)+1)=AH$5,", "&amp;30,"")&amp;IF(INDEX($Q$9:$W$19,2*INT((30+WEEKDAY(DATE(PlanYear,3,1),2)-1)/7)+1,MOD(30+WEEKDAY(DATE(PlanYear,3,1),2)-1,7)+1)=AH$5,", "&amp;31,""),3,200))</f>
        <v/>
      </c>
      <c r="AI8" s="16">
        <f>IF(AI$5="","",MID(IF(INDEX($Q$9:$W$19,2*INT((0+WEEKDAY(DATE(PlanYear,3,1),2)-1)/7)+1,MOD(0+WEEKDAY(DATE(PlanYear,3,1),2)-1,7)+1)=AI$5,", "&amp;1,"")&amp;IF(INDEX($Q$9:$W$19,2*INT((1+WEEKDAY(DATE(PlanYear,3,1),2)-1)/7)+1,MOD(1+WEEKDAY(DATE(PlanYear,3,1),2)-1,7)+1)=AI$5,", "&amp;2,"")&amp;IF(INDEX($Q$9:$W$19,2*INT((2+WEEKDAY(DATE(PlanYear,3,1),2)-1)/7)+1,MOD(2+WEEKDAY(DATE(PlanYear,3,1),2)-1,7)+1)=AI$5,", "&amp;3,"")&amp;IF(INDEX($Q$9:$W$19,2*INT((3+WEEKDAY(DATE(PlanYear,3,1),2)-1)/7)+1,MOD(3+WEEKDAY(DATE(PlanYear,3,1),2)-1,7)+1)=AI$5,", "&amp;4,"")&amp;IF(INDEX($Q$9:$W$19,2*INT((4+WEEKDAY(DATE(PlanYear,3,1),2)-1)/7)+1,MOD(4+WEEKDAY(DATE(PlanYear,3,1),2)-1,7)+1)=AI$5,", "&amp;5,"")&amp;IF(INDEX($Q$9:$W$19,2*INT((5+WEEKDAY(DATE(PlanYear,3,1),2)-1)/7)+1,MOD(5+WEEKDAY(DATE(PlanYear,3,1),2)-1,7)+1)=AI$5,", "&amp;6,"")&amp;IF(INDEX($Q$9:$W$19,2*INT((6+WEEKDAY(DATE(PlanYear,3,1),2)-1)/7)+1,MOD(6+WEEKDAY(DATE(PlanYear,3,1),2)-1,7)+1)=AI$5,", "&amp;7,"")&amp;IF(INDEX($Q$9:$W$19,2*INT((7+WEEKDAY(DATE(PlanYear,3,1),2)-1)/7)+1,MOD(7+WEEKDAY(DATE(PlanYear,3,1),2)-1,7)+1)=AI$5,", "&amp;8,"")&amp;IF(INDEX($Q$9:$W$19,2*INT((8+WEEKDAY(DATE(PlanYear,3,1),2)-1)/7)+1,MOD(8+WEEKDAY(DATE(PlanYear,3,1),2)-1,7)+1)=AI$5,", "&amp;9,"")&amp;IF(INDEX($Q$9:$W$19,2*INT((9+WEEKDAY(DATE(PlanYear,3,1),2)-1)/7)+1,MOD(9+WEEKDAY(DATE(PlanYear,3,1),2)-1,7)+1)=AI$5,", "&amp;10,"")&amp;IF(INDEX($Q$9:$W$19,2*INT((10+WEEKDAY(DATE(PlanYear,3,1),2)-1)/7)+1,MOD(10+WEEKDAY(DATE(PlanYear,3,1),2)-1,7)+1)=AI$5,", "&amp;11,"")&amp;IF(INDEX($Q$9:$W$19,2*INT((11+WEEKDAY(DATE(PlanYear,3,1),2)-1)/7)+1,MOD(11+WEEKDAY(DATE(PlanYear,3,1),2)-1,7)+1)=AI$5,", "&amp;12,"")&amp;IF(INDEX($Q$9:$W$19,2*INT((12+WEEKDAY(DATE(PlanYear,3,1),2)-1)/7)+1,MOD(12+WEEKDAY(DATE(PlanYear,3,1),2)-1,7)+1)=AI$5,", "&amp;13,"")&amp;IF(INDEX($Q$9:$W$19,2*INT((13+WEEKDAY(DATE(PlanYear,3,1),2)-1)/7)+1,MOD(13+WEEKDAY(DATE(PlanYear,3,1),2)-1,7)+1)=AI$5,", "&amp;14,"")&amp;IF(INDEX($Q$9:$W$19,2*INT((14+WEEKDAY(DATE(PlanYear,3,1),2)-1)/7)+1,MOD(14+WEEKDAY(DATE(PlanYear,3,1),2)-1,7)+1)=AI$5,", "&amp;15,"")&amp;IF(INDEX($Q$9:$W$19,2*INT((15+WEEKDAY(DATE(PlanYear,3,1),2)-1)/7)+1,MOD(15+WEEKDAY(DATE(PlanYear,3,1),2)-1,7)+1)=AI$5,", "&amp;16,"")&amp;IF(INDEX($Q$9:$W$19,2*INT((16+WEEKDAY(DATE(PlanYear,3,1),2)-1)/7)+1,MOD(16+WEEKDAY(DATE(PlanYear,3,1),2)-1,7)+1)=AI$5,", "&amp;17,"")&amp;IF(INDEX($Q$9:$W$19,2*INT((17+WEEKDAY(DATE(PlanYear,3,1),2)-1)/7)+1,MOD(17+WEEKDAY(DATE(PlanYear,3,1),2)-1,7)+1)=AI$5,", "&amp;18,"")&amp;IF(INDEX($Q$9:$W$19,2*INT((18+WEEKDAY(DATE(PlanYear,3,1),2)-1)/7)+1,MOD(18+WEEKDAY(DATE(PlanYear,3,1),2)-1,7)+1)=AI$5,", "&amp;19,"")&amp;IF(INDEX($Q$9:$W$19,2*INT((19+WEEKDAY(DATE(PlanYear,3,1),2)-1)/7)+1,MOD(19+WEEKDAY(DATE(PlanYear,3,1),2)-1,7)+1)=AI$5,", "&amp;20,"")&amp;IF(INDEX($Q$9:$W$19,2*INT((20+WEEKDAY(DATE(PlanYear,3,1),2)-1)/7)+1,MOD(20+WEEKDAY(DATE(PlanYear,3,1),2)-1,7)+1)=AI$5,", "&amp;21,"")&amp;IF(INDEX($Q$9:$W$19,2*INT((21+WEEKDAY(DATE(PlanYear,3,1),2)-1)/7)+1,MOD(21+WEEKDAY(DATE(PlanYear,3,1),2)-1,7)+1)=AI$5,", "&amp;22,"")&amp;IF(INDEX($Q$9:$W$19,2*INT((22+WEEKDAY(DATE(PlanYear,3,1),2)-1)/7)+1,MOD(22+WEEKDAY(DATE(PlanYear,3,1),2)-1,7)+1)=AI$5,", "&amp;23,"")&amp;IF(INDEX($Q$9:$W$19,2*INT((23+WEEKDAY(DATE(PlanYear,3,1),2)-1)/7)+1,MOD(23+WEEKDAY(DATE(PlanYear,3,1),2)-1,7)+1)=AI$5,", "&amp;24,"")&amp;IF(INDEX($Q$9:$W$19,2*INT((24+WEEKDAY(DATE(PlanYear,3,1),2)-1)/7)+1,MOD(24+WEEKDAY(DATE(PlanYear,3,1),2)-1,7)+1)=AI$5,", "&amp;25,"")&amp;IF(INDEX($Q$9:$W$19,2*INT((25+WEEKDAY(DATE(PlanYear,3,1),2)-1)/7)+1,MOD(25+WEEKDAY(DATE(PlanYear,3,1),2)-1,7)+1)=AI$5,", "&amp;26,"")&amp;IF(INDEX($Q$9:$W$19,2*INT((26+WEEKDAY(DATE(PlanYear,3,1),2)-1)/7)+1,MOD(26+WEEKDAY(DATE(PlanYear,3,1),2)-1,7)+1)=AI$5,", "&amp;27,"")&amp;IF(INDEX($Q$9:$W$19,2*INT((27+WEEKDAY(DATE(PlanYear,3,1),2)-1)/7)+1,MOD(27+WEEKDAY(DATE(PlanYear,3,1),2)-1,7)+1)=AI$5,", "&amp;28,"")&amp;IF(INDEX($Q$9:$W$19,2*INT((28+WEEKDAY(DATE(PlanYear,3,1),2)-1)/7)+1,MOD(28+WEEKDAY(DATE(PlanYear,3,1),2)-1,7)+1)=AI$5,", "&amp;29,"")&amp;IF(INDEX($Q$9:$W$19,2*INT((29+WEEKDAY(DATE(PlanYear,3,1),2)-1)/7)+1,MOD(29+WEEKDAY(DATE(PlanYear,3,1),2)-1,7)+1)=AI$5,", "&amp;30,"")&amp;IF(INDEX($Q$9:$W$19,2*INT((30+WEEKDAY(DATE(PlanYear,3,1),2)-1)/7)+1,MOD(30+WEEKDAY(DATE(PlanYear,3,1),2)-1,7)+1)=AI$5,", "&amp;31,""),3,200))</f>
        <v/>
      </c>
      <c r="AJ8" s="16">
        <f>IF(AJ$5="","",MID(IF(INDEX($Q$9:$W$19,2*INT((0+WEEKDAY(DATE(PlanYear,3,1),2)-1)/7)+1,MOD(0+WEEKDAY(DATE(PlanYear,3,1),2)-1,7)+1)=AJ$5,", "&amp;1,"")&amp;IF(INDEX($Q$9:$W$19,2*INT((1+WEEKDAY(DATE(PlanYear,3,1),2)-1)/7)+1,MOD(1+WEEKDAY(DATE(PlanYear,3,1),2)-1,7)+1)=AJ$5,", "&amp;2,"")&amp;IF(INDEX($Q$9:$W$19,2*INT((2+WEEKDAY(DATE(PlanYear,3,1),2)-1)/7)+1,MOD(2+WEEKDAY(DATE(PlanYear,3,1),2)-1,7)+1)=AJ$5,", "&amp;3,"")&amp;IF(INDEX($Q$9:$W$19,2*INT((3+WEEKDAY(DATE(PlanYear,3,1),2)-1)/7)+1,MOD(3+WEEKDAY(DATE(PlanYear,3,1),2)-1,7)+1)=AJ$5,", "&amp;4,"")&amp;IF(INDEX($Q$9:$W$19,2*INT((4+WEEKDAY(DATE(PlanYear,3,1),2)-1)/7)+1,MOD(4+WEEKDAY(DATE(PlanYear,3,1),2)-1,7)+1)=AJ$5,", "&amp;5,"")&amp;IF(INDEX($Q$9:$W$19,2*INT((5+WEEKDAY(DATE(PlanYear,3,1),2)-1)/7)+1,MOD(5+WEEKDAY(DATE(PlanYear,3,1),2)-1,7)+1)=AJ$5,", "&amp;6,"")&amp;IF(INDEX($Q$9:$W$19,2*INT((6+WEEKDAY(DATE(PlanYear,3,1),2)-1)/7)+1,MOD(6+WEEKDAY(DATE(PlanYear,3,1),2)-1,7)+1)=AJ$5,", "&amp;7,"")&amp;IF(INDEX($Q$9:$W$19,2*INT((7+WEEKDAY(DATE(PlanYear,3,1),2)-1)/7)+1,MOD(7+WEEKDAY(DATE(PlanYear,3,1),2)-1,7)+1)=AJ$5,", "&amp;8,"")&amp;IF(INDEX($Q$9:$W$19,2*INT((8+WEEKDAY(DATE(PlanYear,3,1),2)-1)/7)+1,MOD(8+WEEKDAY(DATE(PlanYear,3,1),2)-1,7)+1)=AJ$5,", "&amp;9,"")&amp;IF(INDEX($Q$9:$W$19,2*INT((9+WEEKDAY(DATE(PlanYear,3,1),2)-1)/7)+1,MOD(9+WEEKDAY(DATE(PlanYear,3,1),2)-1,7)+1)=AJ$5,", "&amp;10,"")&amp;IF(INDEX($Q$9:$W$19,2*INT((10+WEEKDAY(DATE(PlanYear,3,1),2)-1)/7)+1,MOD(10+WEEKDAY(DATE(PlanYear,3,1),2)-1,7)+1)=AJ$5,", "&amp;11,"")&amp;IF(INDEX($Q$9:$W$19,2*INT((11+WEEKDAY(DATE(PlanYear,3,1),2)-1)/7)+1,MOD(11+WEEKDAY(DATE(PlanYear,3,1),2)-1,7)+1)=AJ$5,", "&amp;12,"")&amp;IF(INDEX($Q$9:$W$19,2*INT((12+WEEKDAY(DATE(PlanYear,3,1),2)-1)/7)+1,MOD(12+WEEKDAY(DATE(PlanYear,3,1),2)-1,7)+1)=AJ$5,", "&amp;13,"")&amp;IF(INDEX($Q$9:$W$19,2*INT((13+WEEKDAY(DATE(PlanYear,3,1),2)-1)/7)+1,MOD(13+WEEKDAY(DATE(PlanYear,3,1),2)-1,7)+1)=AJ$5,", "&amp;14,"")&amp;IF(INDEX($Q$9:$W$19,2*INT((14+WEEKDAY(DATE(PlanYear,3,1),2)-1)/7)+1,MOD(14+WEEKDAY(DATE(PlanYear,3,1),2)-1,7)+1)=AJ$5,", "&amp;15,"")&amp;IF(INDEX($Q$9:$W$19,2*INT((15+WEEKDAY(DATE(PlanYear,3,1),2)-1)/7)+1,MOD(15+WEEKDAY(DATE(PlanYear,3,1),2)-1,7)+1)=AJ$5,", "&amp;16,"")&amp;IF(INDEX($Q$9:$W$19,2*INT((16+WEEKDAY(DATE(PlanYear,3,1),2)-1)/7)+1,MOD(16+WEEKDAY(DATE(PlanYear,3,1),2)-1,7)+1)=AJ$5,", "&amp;17,"")&amp;IF(INDEX($Q$9:$W$19,2*INT((17+WEEKDAY(DATE(PlanYear,3,1),2)-1)/7)+1,MOD(17+WEEKDAY(DATE(PlanYear,3,1),2)-1,7)+1)=AJ$5,", "&amp;18,"")&amp;IF(INDEX($Q$9:$W$19,2*INT((18+WEEKDAY(DATE(PlanYear,3,1),2)-1)/7)+1,MOD(18+WEEKDAY(DATE(PlanYear,3,1),2)-1,7)+1)=AJ$5,", "&amp;19,"")&amp;IF(INDEX($Q$9:$W$19,2*INT((19+WEEKDAY(DATE(PlanYear,3,1),2)-1)/7)+1,MOD(19+WEEKDAY(DATE(PlanYear,3,1),2)-1,7)+1)=AJ$5,", "&amp;20,"")&amp;IF(INDEX($Q$9:$W$19,2*INT((20+WEEKDAY(DATE(PlanYear,3,1),2)-1)/7)+1,MOD(20+WEEKDAY(DATE(PlanYear,3,1),2)-1,7)+1)=AJ$5,", "&amp;21,"")&amp;IF(INDEX($Q$9:$W$19,2*INT((21+WEEKDAY(DATE(PlanYear,3,1),2)-1)/7)+1,MOD(21+WEEKDAY(DATE(PlanYear,3,1),2)-1,7)+1)=AJ$5,", "&amp;22,"")&amp;IF(INDEX($Q$9:$W$19,2*INT((22+WEEKDAY(DATE(PlanYear,3,1),2)-1)/7)+1,MOD(22+WEEKDAY(DATE(PlanYear,3,1),2)-1,7)+1)=AJ$5,", "&amp;23,"")&amp;IF(INDEX($Q$9:$W$19,2*INT((23+WEEKDAY(DATE(PlanYear,3,1),2)-1)/7)+1,MOD(23+WEEKDAY(DATE(PlanYear,3,1),2)-1,7)+1)=AJ$5,", "&amp;24,"")&amp;IF(INDEX($Q$9:$W$19,2*INT((24+WEEKDAY(DATE(PlanYear,3,1),2)-1)/7)+1,MOD(24+WEEKDAY(DATE(PlanYear,3,1),2)-1,7)+1)=AJ$5,", "&amp;25,"")&amp;IF(INDEX($Q$9:$W$19,2*INT((25+WEEKDAY(DATE(PlanYear,3,1),2)-1)/7)+1,MOD(25+WEEKDAY(DATE(PlanYear,3,1),2)-1,7)+1)=AJ$5,", "&amp;26,"")&amp;IF(INDEX($Q$9:$W$19,2*INT((26+WEEKDAY(DATE(PlanYear,3,1),2)-1)/7)+1,MOD(26+WEEKDAY(DATE(PlanYear,3,1),2)-1,7)+1)=AJ$5,", "&amp;27,"")&amp;IF(INDEX($Q$9:$W$19,2*INT((27+WEEKDAY(DATE(PlanYear,3,1),2)-1)/7)+1,MOD(27+WEEKDAY(DATE(PlanYear,3,1),2)-1,7)+1)=AJ$5,", "&amp;28,"")&amp;IF(INDEX($Q$9:$W$19,2*INT((28+WEEKDAY(DATE(PlanYear,3,1),2)-1)/7)+1,MOD(28+WEEKDAY(DATE(PlanYear,3,1),2)-1,7)+1)=AJ$5,", "&amp;29,"")&amp;IF(INDEX($Q$9:$W$19,2*INT((29+WEEKDAY(DATE(PlanYear,3,1),2)-1)/7)+1,MOD(29+WEEKDAY(DATE(PlanYear,3,1),2)-1,7)+1)=AJ$5,", "&amp;30,"")&amp;IF(INDEX($Q$9:$W$19,2*INT((30+WEEKDAY(DATE(PlanYear,3,1),2)-1)/7)+1,MOD(30+WEEKDAY(DATE(PlanYear,3,1),2)-1,7)+1)=AJ$5,", "&amp;31,""),3,200))</f>
        <v/>
      </c>
      <c r="AK8" s="17">
        <f>DAY(EOMONTH(DATE(PlanYear,3,1),0))-COUNTIF($Q$9:$W$19,"?*")</f>
        <v/>
      </c>
    </row>
    <row r="9" ht="26" customHeight="1">
      <c r="A9" s="21" t="n"/>
      <c r="B9" s="21" t="n"/>
      <c r="C9" s="21" t="n"/>
      <c r="D9" s="21" t="n"/>
      <c r="E9" s="21" t="n"/>
      <c r="F9" s="21" t="n"/>
      <c r="G9" s="21" t="n"/>
      <c r="I9" s="21" t="n"/>
      <c r="J9" s="21" t="n"/>
      <c r="K9" s="21" t="n"/>
      <c r="L9" s="21" t="n"/>
      <c r="M9" s="21" t="n"/>
      <c r="N9" s="21" t="n"/>
      <c r="O9" s="21" t="n"/>
      <c r="Q9" s="21" t="n"/>
      <c r="R9" s="21" t="n"/>
      <c r="S9" s="21" t="n"/>
      <c r="T9" s="21" t="n"/>
      <c r="U9" s="21" t="n"/>
      <c r="V9" s="21" t="n"/>
      <c r="W9" s="21" t="n"/>
      <c r="Z9" s="15" t="inlineStr">
        <is>
          <t>April</t>
        </is>
      </c>
      <c r="AA9" s="16">
        <f>IF(AA$5="","",MID(IF(INDEX($A$25:$G$35,2*INT((0+WEEKDAY(DATE(PlanYear,4,1),2)-1)/7)+1,MOD(0+WEEKDAY(DATE(PlanYear,4,1),2)-1,7)+1)=AA$5,", "&amp;1,"")&amp;IF(INDEX($A$25:$G$35,2*INT((1+WEEKDAY(DATE(PlanYear,4,1),2)-1)/7)+1,MOD(1+WEEKDAY(DATE(PlanYear,4,1),2)-1,7)+1)=AA$5,", "&amp;2,"")&amp;IF(INDEX($A$25:$G$35,2*INT((2+WEEKDAY(DATE(PlanYear,4,1),2)-1)/7)+1,MOD(2+WEEKDAY(DATE(PlanYear,4,1),2)-1,7)+1)=AA$5,", "&amp;3,"")&amp;IF(INDEX($A$25:$G$35,2*INT((3+WEEKDAY(DATE(PlanYear,4,1),2)-1)/7)+1,MOD(3+WEEKDAY(DATE(PlanYear,4,1),2)-1,7)+1)=AA$5,", "&amp;4,"")&amp;IF(INDEX($A$25:$G$35,2*INT((4+WEEKDAY(DATE(PlanYear,4,1),2)-1)/7)+1,MOD(4+WEEKDAY(DATE(PlanYear,4,1),2)-1,7)+1)=AA$5,", "&amp;5,"")&amp;IF(INDEX($A$25:$G$35,2*INT((5+WEEKDAY(DATE(PlanYear,4,1),2)-1)/7)+1,MOD(5+WEEKDAY(DATE(PlanYear,4,1),2)-1,7)+1)=AA$5,", "&amp;6,"")&amp;IF(INDEX($A$25:$G$35,2*INT((6+WEEKDAY(DATE(PlanYear,4,1),2)-1)/7)+1,MOD(6+WEEKDAY(DATE(PlanYear,4,1),2)-1,7)+1)=AA$5,", "&amp;7,"")&amp;IF(INDEX($A$25:$G$35,2*INT((7+WEEKDAY(DATE(PlanYear,4,1),2)-1)/7)+1,MOD(7+WEEKDAY(DATE(PlanYear,4,1),2)-1,7)+1)=AA$5,", "&amp;8,"")&amp;IF(INDEX($A$25:$G$35,2*INT((8+WEEKDAY(DATE(PlanYear,4,1),2)-1)/7)+1,MOD(8+WEEKDAY(DATE(PlanYear,4,1),2)-1,7)+1)=AA$5,", "&amp;9,"")&amp;IF(INDEX($A$25:$G$35,2*INT((9+WEEKDAY(DATE(PlanYear,4,1),2)-1)/7)+1,MOD(9+WEEKDAY(DATE(PlanYear,4,1),2)-1,7)+1)=AA$5,", "&amp;10,"")&amp;IF(INDEX($A$25:$G$35,2*INT((10+WEEKDAY(DATE(PlanYear,4,1),2)-1)/7)+1,MOD(10+WEEKDAY(DATE(PlanYear,4,1),2)-1,7)+1)=AA$5,", "&amp;11,"")&amp;IF(INDEX($A$25:$G$35,2*INT((11+WEEKDAY(DATE(PlanYear,4,1),2)-1)/7)+1,MOD(11+WEEKDAY(DATE(PlanYear,4,1),2)-1,7)+1)=AA$5,", "&amp;12,"")&amp;IF(INDEX($A$25:$G$35,2*INT((12+WEEKDAY(DATE(PlanYear,4,1),2)-1)/7)+1,MOD(12+WEEKDAY(DATE(PlanYear,4,1),2)-1,7)+1)=AA$5,", "&amp;13,"")&amp;IF(INDEX($A$25:$G$35,2*INT((13+WEEKDAY(DATE(PlanYear,4,1),2)-1)/7)+1,MOD(13+WEEKDAY(DATE(PlanYear,4,1),2)-1,7)+1)=AA$5,", "&amp;14,"")&amp;IF(INDEX($A$25:$G$35,2*INT((14+WEEKDAY(DATE(PlanYear,4,1),2)-1)/7)+1,MOD(14+WEEKDAY(DATE(PlanYear,4,1),2)-1,7)+1)=AA$5,", "&amp;15,"")&amp;IF(INDEX($A$25:$G$35,2*INT((15+WEEKDAY(DATE(PlanYear,4,1),2)-1)/7)+1,MOD(15+WEEKDAY(DATE(PlanYear,4,1),2)-1,7)+1)=AA$5,", "&amp;16,"")&amp;IF(INDEX($A$25:$G$35,2*INT((16+WEEKDAY(DATE(PlanYear,4,1),2)-1)/7)+1,MOD(16+WEEKDAY(DATE(PlanYear,4,1),2)-1,7)+1)=AA$5,", "&amp;17,"")&amp;IF(INDEX($A$25:$G$35,2*INT((17+WEEKDAY(DATE(PlanYear,4,1),2)-1)/7)+1,MOD(17+WEEKDAY(DATE(PlanYear,4,1),2)-1,7)+1)=AA$5,", "&amp;18,"")&amp;IF(INDEX($A$25:$G$35,2*INT((18+WEEKDAY(DATE(PlanYear,4,1),2)-1)/7)+1,MOD(18+WEEKDAY(DATE(PlanYear,4,1),2)-1,7)+1)=AA$5,", "&amp;19,"")&amp;IF(INDEX($A$25:$G$35,2*INT((19+WEEKDAY(DATE(PlanYear,4,1),2)-1)/7)+1,MOD(19+WEEKDAY(DATE(PlanYear,4,1),2)-1,7)+1)=AA$5,", "&amp;20,"")&amp;IF(INDEX($A$25:$G$35,2*INT((20+WEEKDAY(DATE(PlanYear,4,1),2)-1)/7)+1,MOD(20+WEEKDAY(DATE(PlanYear,4,1),2)-1,7)+1)=AA$5,", "&amp;21,"")&amp;IF(INDEX($A$25:$G$35,2*INT((21+WEEKDAY(DATE(PlanYear,4,1),2)-1)/7)+1,MOD(21+WEEKDAY(DATE(PlanYear,4,1),2)-1,7)+1)=AA$5,", "&amp;22,"")&amp;IF(INDEX($A$25:$G$35,2*INT((22+WEEKDAY(DATE(PlanYear,4,1),2)-1)/7)+1,MOD(22+WEEKDAY(DATE(PlanYear,4,1),2)-1,7)+1)=AA$5,", "&amp;23,"")&amp;IF(INDEX($A$25:$G$35,2*INT((23+WEEKDAY(DATE(PlanYear,4,1),2)-1)/7)+1,MOD(23+WEEKDAY(DATE(PlanYear,4,1),2)-1,7)+1)=AA$5,", "&amp;24,"")&amp;IF(INDEX($A$25:$G$35,2*INT((24+WEEKDAY(DATE(PlanYear,4,1),2)-1)/7)+1,MOD(24+WEEKDAY(DATE(PlanYear,4,1),2)-1,7)+1)=AA$5,", "&amp;25,"")&amp;IF(INDEX($A$25:$G$35,2*INT((25+WEEKDAY(DATE(PlanYear,4,1),2)-1)/7)+1,MOD(25+WEEKDAY(DATE(PlanYear,4,1),2)-1,7)+1)=AA$5,", "&amp;26,"")&amp;IF(INDEX($A$25:$G$35,2*INT((26+WEEKDAY(DATE(PlanYear,4,1),2)-1)/7)+1,MOD(26+WEEKDAY(DATE(PlanYear,4,1),2)-1,7)+1)=AA$5,", "&amp;27,"")&amp;IF(INDEX($A$25:$G$35,2*INT((27+WEEKDAY(DATE(PlanYear,4,1),2)-1)/7)+1,MOD(27+WEEKDAY(DATE(PlanYear,4,1),2)-1,7)+1)=AA$5,", "&amp;28,"")&amp;IF(INDEX($A$25:$G$35,2*INT((28+WEEKDAY(DATE(PlanYear,4,1),2)-1)/7)+1,MOD(28+WEEKDAY(DATE(PlanYear,4,1),2)-1,7)+1)=AA$5,", "&amp;29,"")&amp;IF(INDEX($A$25:$G$35,2*INT((29+WEEKDAY(DATE(PlanYear,4,1),2)-1)/7)+1,MOD(29+WEEKDAY(DATE(PlanYear,4,1),2)-1,7)+1)=AA$5,", "&amp;30,"")&amp;IF(INDEX($A$25:$G$35,2*INT((30+WEEKDAY(DATE(PlanYear,4,1),2)-1)/7)+1,MOD(30+WEEKDAY(DATE(PlanYear,4,1),2)-1,7)+1)=AA$5,", "&amp;31,""),3,200))</f>
        <v/>
      </c>
      <c r="AB9" s="16">
        <f>IF(AB$5="","",MID(IF(INDEX($A$25:$G$35,2*INT((0+WEEKDAY(DATE(PlanYear,4,1),2)-1)/7)+1,MOD(0+WEEKDAY(DATE(PlanYear,4,1),2)-1,7)+1)=AB$5,", "&amp;1,"")&amp;IF(INDEX($A$25:$G$35,2*INT((1+WEEKDAY(DATE(PlanYear,4,1),2)-1)/7)+1,MOD(1+WEEKDAY(DATE(PlanYear,4,1),2)-1,7)+1)=AB$5,", "&amp;2,"")&amp;IF(INDEX($A$25:$G$35,2*INT((2+WEEKDAY(DATE(PlanYear,4,1),2)-1)/7)+1,MOD(2+WEEKDAY(DATE(PlanYear,4,1),2)-1,7)+1)=AB$5,", "&amp;3,"")&amp;IF(INDEX($A$25:$G$35,2*INT((3+WEEKDAY(DATE(PlanYear,4,1),2)-1)/7)+1,MOD(3+WEEKDAY(DATE(PlanYear,4,1),2)-1,7)+1)=AB$5,", "&amp;4,"")&amp;IF(INDEX($A$25:$G$35,2*INT((4+WEEKDAY(DATE(PlanYear,4,1),2)-1)/7)+1,MOD(4+WEEKDAY(DATE(PlanYear,4,1),2)-1,7)+1)=AB$5,", "&amp;5,"")&amp;IF(INDEX($A$25:$G$35,2*INT((5+WEEKDAY(DATE(PlanYear,4,1),2)-1)/7)+1,MOD(5+WEEKDAY(DATE(PlanYear,4,1),2)-1,7)+1)=AB$5,", "&amp;6,"")&amp;IF(INDEX($A$25:$G$35,2*INT((6+WEEKDAY(DATE(PlanYear,4,1),2)-1)/7)+1,MOD(6+WEEKDAY(DATE(PlanYear,4,1),2)-1,7)+1)=AB$5,", "&amp;7,"")&amp;IF(INDEX($A$25:$G$35,2*INT((7+WEEKDAY(DATE(PlanYear,4,1),2)-1)/7)+1,MOD(7+WEEKDAY(DATE(PlanYear,4,1),2)-1,7)+1)=AB$5,", "&amp;8,"")&amp;IF(INDEX($A$25:$G$35,2*INT((8+WEEKDAY(DATE(PlanYear,4,1),2)-1)/7)+1,MOD(8+WEEKDAY(DATE(PlanYear,4,1),2)-1,7)+1)=AB$5,", "&amp;9,"")&amp;IF(INDEX($A$25:$G$35,2*INT((9+WEEKDAY(DATE(PlanYear,4,1),2)-1)/7)+1,MOD(9+WEEKDAY(DATE(PlanYear,4,1),2)-1,7)+1)=AB$5,", "&amp;10,"")&amp;IF(INDEX($A$25:$G$35,2*INT((10+WEEKDAY(DATE(PlanYear,4,1),2)-1)/7)+1,MOD(10+WEEKDAY(DATE(PlanYear,4,1),2)-1,7)+1)=AB$5,", "&amp;11,"")&amp;IF(INDEX($A$25:$G$35,2*INT((11+WEEKDAY(DATE(PlanYear,4,1),2)-1)/7)+1,MOD(11+WEEKDAY(DATE(PlanYear,4,1),2)-1,7)+1)=AB$5,", "&amp;12,"")&amp;IF(INDEX($A$25:$G$35,2*INT((12+WEEKDAY(DATE(PlanYear,4,1),2)-1)/7)+1,MOD(12+WEEKDAY(DATE(PlanYear,4,1),2)-1,7)+1)=AB$5,", "&amp;13,"")&amp;IF(INDEX($A$25:$G$35,2*INT((13+WEEKDAY(DATE(PlanYear,4,1),2)-1)/7)+1,MOD(13+WEEKDAY(DATE(PlanYear,4,1),2)-1,7)+1)=AB$5,", "&amp;14,"")&amp;IF(INDEX($A$25:$G$35,2*INT((14+WEEKDAY(DATE(PlanYear,4,1),2)-1)/7)+1,MOD(14+WEEKDAY(DATE(PlanYear,4,1),2)-1,7)+1)=AB$5,", "&amp;15,"")&amp;IF(INDEX($A$25:$G$35,2*INT((15+WEEKDAY(DATE(PlanYear,4,1),2)-1)/7)+1,MOD(15+WEEKDAY(DATE(PlanYear,4,1),2)-1,7)+1)=AB$5,", "&amp;16,"")&amp;IF(INDEX($A$25:$G$35,2*INT((16+WEEKDAY(DATE(PlanYear,4,1),2)-1)/7)+1,MOD(16+WEEKDAY(DATE(PlanYear,4,1),2)-1,7)+1)=AB$5,", "&amp;17,"")&amp;IF(INDEX($A$25:$G$35,2*INT((17+WEEKDAY(DATE(PlanYear,4,1),2)-1)/7)+1,MOD(17+WEEKDAY(DATE(PlanYear,4,1),2)-1,7)+1)=AB$5,", "&amp;18,"")&amp;IF(INDEX($A$25:$G$35,2*INT((18+WEEKDAY(DATE(PlanYear,4,1),2)-1)/7)+1,MOD(18+WEEKDAY(DATE(PlanYear,4,1),2)-1,7)+1)=AB$5,", "&amp;19,"")&amp;IF(INDEX($A$25:$G$35,2*INT((19+WEEKDAY(DATE(PlanYear,4,1),2)-1)/7)+1,MOD(19+WEEKDAY(DATE(PlanYear,4,1),2)-1,7)+1)=AB$5,", "&amp;20,"")&amp;IF(INDEX($A$25:$G$35,2*INT((20+WEEKDAY(DATE(PlanYear,4,1),2)-1)/7)+1,MOD(20+WEEKDAY(DATE(PlanYear,4,1),2)-1,7)+1)=AB$5,", "&amp;21,"")&amp;IF(INDEX($A$25:$G$35,2*INT((21+WEEKDAY(DATE(PlanYear,4,1),2)-1)/7)+1,MOD(21+WEEKDAY(DATE(PlanYear,4,1),2)-1,7)+1)=AB$5,", "&amp;22,"")&amp;IF(INDEX($A$25:$G$35,2*INT((22+WEEKDAY(DATE(PlanYear,4,1),2)-1)/7)+1,MOD(22+WEEKDAY(DATE(PlanYear,4,1),2)-1,7)+1)=AB$5,", "&amp;23,"")&amp;IF(INDEX($A$25:$G$35,2*INT((23+WEEKDAY(DATE(PlanYear,4,1),2)-1)/7)+1,MOD(23+WEEKDAY(DATE(PlanYear,4,1),2)-1,7)+1)=AB$5,", "&amp;24,"")&amp;IF(INDEX($A$25:$G$35,2*INT((24+WEEKDAY(DATE(PlanYear,4,1),2)-1)/7)+1,MOD(24+WEEKDAY(DATE(PlanYear,4,1),2)-1,7)+1)=AB$5,", "&amp;25,"")&amp;IF(INDEX($A$25:$G$35,2*INT((25+WEEKDAY(DATE(PlanYear,4,1),2)-1)/7)+1,MOD(25+WEEKDAY(DATE(PlanYear,4,1),2)-1,7)+1)=AB$5,", "&amp;26,"")&amp;IF(INDEX($A$25:$G$35,2*INT((26+WEEKDAY(DATE(PlanYear,4,1),2)-1)/7)+1,MOD(26+WEEKDAY(DATE(PlanYear,4,1),2)-1,7)+1)=AB$5,", "&amp;27,"")&amp;IF(INDEX($A$25:$G$35,2*INT((27+WEEKDAY(DATE(PlanYear,4,1),2)-1)/7)+1,MOD(27+WEEKDAY(DATE(PlanYear,4,1),2)-1,7)+1)=AB$5,", "&amp;28,"")&amp;IF(INDEX($A$25:$G$35,2*INT((28+WEEKDAY(DATE(PlanYear,4,1),2)-1)/7)+1,MOD(28+WEEKDAY(DATE(PlanYear,4,1),2)-1,7)+1)=AB$5,", "&amp;29,"")&amp;IF(INDEX($A$25:$G$35,2*INT((29+WEEKDAY(DATE(PlanYear,4,1),2)-1)/7)+1,MOD(29+WEEKDAY(DATE(PlanYear,4,1),2)-1,7)+1)=AB$5,", "&amp;30,"")&amp;IF(INDEX($A$25:$G$35,2*INT((30+WEEKDAY(DATE(PlanYear,4,1),2)-1)/7)+1,MOD(30+WEEKDAY(DATE(PlanYear,4,1),2)-1,7)+1)=AB$5,", "&amp;31,""),3,200))</f>
        <v/>
      </c>
      <c r="AC9" s="16">
        <f>IF(AC$5="","",MID(IF(INDEX($A$25:$G$35,2*INT((0+WEEKDAY(DATE(PlanYear,4,1),2)-1)/7)+1,MOD(0+WEEKDAY(DATE(PlanYear,4,1),2)-1,7)+1)=AC$5,", "&amp;1,"")&amp;IF(INDEX($A$25:$G$35,2*INT((1+WEEKDAY(DATE(PlanYear,4,1),2)-1)/7)+1,MOD(1+WEEKDAY(DATE(PlanYear,4,1),2)-1,7)+1)=AC$5,", "&amp;2,"")&amp;IF(INDEX($A$25:$G$35,2*INT((2+WEEKDAY(DATE(PlanYear,4,1),2)-1)/7)+1,MOD(2+WEEKDAY(DATE(PlanYear,4,1),2)-1,7)+1)=AC$5,", "&amp;3,"")&amp;IF(INDEX($A$25:$G$35,2*INT((3+WEEKDAY(DATE(PlanYear,4,1),2)-1)/7)+1,MOD(3+WEEKDAY(DATE(PlanYear,4,1),2)-1,7)+1)=AC$5,", "&amp;4,"")&amp;IF(INDEX($A$25:$G$35,2*INT((4+WEEKDAY(DATE(PlanYear,4,1),2)-1)/7)+1,MOD(4+WEEKDAY(DATE(PlanYear,4,1),2)-1,7)+1)=AC$5,", "&amp;5,"")&amp;IF(INDEX($A$25:$G$35,2*INT((5+WEEKDAY(DATE(PlanYear,4,1),2)-1)/7)+1,MOD(5+WEEKDAY(DATE(PlanYear,4,1),2)-1,7)+1)=AC$5,", "&amp;6,"")&amp;IF(INDEX($A$25:$G$35,2*INT((6+WEEKDAY(DATE(PlanYear,4,1),2)-1)/7)+1,MOD(6+WEEKDAY(DATE(PlanYear,4,1),2)-1,7)+1)=AC$5,", "&amp;7,"")&amp;IF(INDEX($A$25:$G$35,2*INT((7+WEEKDAY(DATE(PlanYear,4,1),2)-1)/7)+1,MOD(7+WEEKDAY(DATE(PlanYear,4,1),2)-1,7)+1)=AC$5,", "&amp;8,"")&amp;IF(INDEX($A$25:$G$35,2*INT((8+WEEKDAY(DATE(PlanYear,4,1),2)-1)/7)+1,MOD(8+WEEKDAY(DATE(PlanYear,4,1),2)-1,7)+1)=AC$5,", "&amp;9,"")&amp;IF(INDEX($A$25:$G$35,2*INT((9+WEEKDAY(DATE(PlanYear,4,1),2)-1)/7)+1,MOD(9+WEEKDAY(DATE(PlanYear,4,1),2)-1,7)+1)=AC$5,", "&amp;10,"")&amp;IF(INDEX($A$25:$G$35,2*INT((10+WEEKDAY(DATE(PlanYear,4,1),2)-1)/7)+1,MOD(10+WEEKDAY(DATE(PlanYear,4,1),2)-1,7)+1)=AC$5,", "&amp;11,"")&amp;IF(INDEX($A$25:$G$35,2*INT((11+WEEKDAY(DATE(PlanYear,4,1),2)-1)/7)+1,MOD(11+WEEKDAY(DATE(PlanYear,4,1),2)-1,7)+1)=AC$5,", "&amp;12,"")&amp;IF(INDEX($A$25:$G$35,2*INT((12+WEEKDAY(DATE(PlanYear,4,1),2)-1)/7)+1,MOD(12+WEEKDAY(DATE(PlanYear,4,1),2)-1,7)+1)=AC$5,", "&amp;13,"")&amp;IF(INDEX($A$25:$G$35,2*INT((13+WEEKDAY(DATE(PlanYear,4,1),2)-1)/7)+1,MOD(13+WEEKDAY(DATE(PlanYear,4,1),2)-1,7)+1)=AC$5,", "&amp;14,"")&amp;IF(INDEX($A$25:$G$35,2*INT((14+WEEKDAY(DATE(PlanYear,4,1),2)-1)/7)+1,MOD(14+WEEKDAY(DATE(PlanYear,4,1),2)-1,7)+1)=AC$5,", "&amp;15,"")&amp;IF(INDEX($A$25:$G$35,2*INT((15+WEEKDAY(DATE(PlanYear,4,1),2)-1)/7)+1,MOD(15+WEEKDAY(DATE(PlanYear,4,1),2)-1,7)+1)=AC$5,", "&amp;16,"")&amp;IF(INDEX($A$25:$G$35,2*INT((16+WEEKDAY(DATE(PlanYear,4,1),2)-1)/7)+1,MOD(16+WEEKDAY(DATE(PlanYear,4,1),2)-1,7)+1)=AC$5,", "&amp;17,"")&amp;IF(INDEX($A$25:$G$35,2*INT((17+WEEKDAY(DATE(PlanYear,4,1),2)-1)/7)+1,MOD(17+WEEKDAY(DATE(PlanYear,4,1),2)-1,7)+1)=AC$5,", "&amp;18,"")&amp;IF(INDEX($A$25:$G$35,2*INT((18+WEEKDAY(DATE(PlanYear,4,1),2)-1)/7)+1,MOD(18+WEEKDAY(DATE(PlanYear,4,1),2)-1,7)+1)=AC$5,", "&amp;19,"")&amp;IF(INDEX($A$25:$G$35,2*INT((19+WEEKDAY(DATE(PlanYear,4,1),2)-1)/7)+1,MOD(19+WEEKDAY(DATE(PlanYear,4,1),2)-1,7)+1)=AC$5,", "&amp;20,"")&amp;IF(INDEX($A$25:$G$35,2*INT((20+WEEKDAY(DATE(PlanYear,4,1),2)-1)/7)+1,MOD(20+WEEKDAY(DATE(PlanYear,4,1),2)-1,7)+1)=AC$5,", "&amp;21,"")&amp;IF(INDEX($A$25:$G$35,2*INT((21+WEEKDAY(DATE(PlanYear,4,1),2)-1)/7)+1,MOD(21+WEEKDAY(DATE(PlanYear,4,1),2)-1,7)+1)=AC$5,", "&amp;22,"")&amp;IF(INDEX($A$25:$G$35,2*INT((22+WEEKDAY(DATE(PlanYear,4,1),2)-1)/7)+1,MOD(22+WEEKDAY(DATE(PlanYear,4,1),2)-1,7)+1)=AC$5,", "&amp;23,"")&amp;IF(INDEX($A$25:$G$35,2*INT((23+WEEKDAY(DATE(PlanYear,4,1),2)-1)/7)+1,MOD(23+WEEKDAY(DATE(PlanYear,4,1),2)-1,7)+1)=AC$5,", "&amp;24,"")&amp;IF(INDEX($A$25:$G$35,2*INT((24+WEEKDAY(DATE(PlanYear,4,1),2)-1)/7)+1,MOD(24+WEEKDAY(DATE(PlanYear,4,1),2)-1,7)+1)=AC$5,", "&amp;25,"")&amp;IF(INDEX($A$25:$G$35,2*INT((25+WEEKDAY(DATE(PlanYear,4,1),2)-1)/7)+1,MOD(25+WEEKDAY(DATE(PlanYear,4,1),2)-1,7)+1)=AC$5,", "&amp;26,"")&amp;IF(INDEX($A$25:$G$35,2*INT((26+WEEKDAY(DATE(PlanYear,4,1),2)-1)/7)+1,MOD(26+WEEKDAY(DATE(PlanYear,4,1),2)-1,7)+1)=AC$5,", "&amp;27,"")&amp;IF(INDEX($A$25:$G$35,2*INT((27+WEEKDAY(DATE(PlanYear,4,1),2)-1)/7)+1,MOD(27+WEEKDAY(DATE(PlanYear,4,1),2)-1,7)+1)=AC$5,", "&amp;28,"")&amp;IF(INDEX($A$25:$G$35,2*INT((28+WEEKDAY(DATE(PlanYear,4,1),2)-1)/7)+1,MOD(28+WEEKDAY(DATE(PlanYear,4,1),2)-1,7)+1)=AC$5,", "&amp;29,"")&amp;IF(INDEX($A$25:$G$35,2*INT((29+WEEKDAY(DATE(PlanYear,4,1),2)-1)/7)+1,MOD(29+WEEKDAY(DATE(PlanYear,4,1),2)-1,7)+1)=AC$5,", "&amp;30,"")&amp;IF(INDEX($A$25:$G$35,2*INT((30+WEEKDAY(DATE(PlanYear,4,1),2)-1)/7)+1,MOD(30+WEEKDAY(DATE(PlanYear,4,1),2)-1,7)+1)=AC$5,", "&amp;31,""),3,200))</f>
        <v/>
      </c>
      <c r="AD9" s="16">
        <f>IF(AD$5="","",MID(IF(INDEX($A$25:$G$35,2*INT((0+WEEKDAY(DATE(PlanYear,4,1),2)-1)/7)+1,MOD(0+WEEKDAY(DATE(PlanYear,4,1),2)-1,7)+1)=AD$5,", "&amp;1,"")&amp;IF(INDEX($A$25:$G$35,2*INT((1+WEEKDAY(DATE(PlanYear,4,1),2)-1)/7)+1,MOD(1+WEEKDAY(DATE(PlanYear,4,1),2)-1,7)+1)=AD$5,", "&amp;2,"")&amp;IF(INDEX($A$25:$G$35,2*INT((2+WEEKDAY(DATE(PlanYear,4,1),2)-1)/7)+1,MOD(2+WEEKDAY(DATE(PlanYear,4,1),2)-1,7)+1)=AD$5,", "&amp;3,"")&amp;IF(INDEX($A$25:$G$35,2*INT((3+WEEKDAY(DATE(PlanYear,4,1),2)-1)/7)+1,MOD(3+WEEKDAY(DATE(PlanYear,4,1),2)-1,7)+1)=AD$5,", "&amp;4,"")&amp;IF(INDEX($A$25:$G$35,2*INT((4+WEEKDAY(DATE(PlanYear,4,1),2)-1)/7)+1,MOD(4+WEEKDAY(DATE(PlanYear,4,1),2)-1,7)+1)=AD$5,", "&amp;5,"")&amp;IF(INDEX($A$25:$G$35,2*INT((5+WEEKDAY(DATE(PlanYear,4,1),2)-1)/7)+1,MOD(5+WEEKDAY(DATE(PlanYear,4,1),2)-1,7)+1)=AD$5,", "&amp;6,"")&amp;IF(INDEX($A$25:$G$35,2*INT((6+WEEKDAY(DATE(PlanYear,4,1),2)-1)/7)+1,MOD(6+WEEKDAY(DATE(PlanYear,4,1),2)-1,7)+1)=AD$5,", "&amp;7,"")&amp;IF(INDEX($A$25:$G$35,2*INT((7+WEEKDAY(DATE(PlanYear,4,1),2)-1)/7)+1,MOD(7+WEEKDAY(DATE(PlanYear,4,1),2)-1,7)+1)=AD$5,", "&amp;8,"")&amp;IF(INDEX($A$25:$G$35,2*INT((8+WEEKDAY(DATE(PlanYear,4,1),2)-1)/7)+1,MOD(8+WEEKDAY(DATE(PlanYear,4,1),2)-1,7)+1)=AD$5,", "&amp;9,"")&amp;IF(INDEX($A$25:$G$35,2*INT((9+WEEKDAY(DATE(PlanYear,4,1),2)-1)/7)+1,MOD(9+WEEKDAY(DATE(PlanYear,4,1),2)-1,7)+1)=AD$5,", "&amp;10,"")&amp;IF(INDEX($A$25:$G$35,2*INT((10+WEEKDAY(DATE(PlanYear,4,1),2)-1)/7)+1,MOD(10+WEEKDAY(DATE(PlanYear,4,1),2)-1,7)+1)=AD$5,", "&amp;11,"")&amp;IF(INDEX($A$25:$G$35,2*INT((11+WEEKDAY(DATE(PlanYear,4,1),2)-1)/7)+1,MOD(11+WEEKDAY(DATE(PlanYear,4,1),2)-1,7)+1)=AD$5,", "&amp;12,"")&amp;IF(INDEX($A$25:$G$35,2*INT((12+WEEKDAY(DATE(PlanYear,4,1),2)-1)/7)+1,MOD(12+WEEKDAY(DATE(PlanYear,4,1),2)-1,7)+1)=AD$5,", "&amp;13,"")&amp;IF(INDEX($A$25:$G$35,2*INT((13+WEEKDAY(DATE(PlanYear,4,1),2)-1)/7)+1,MOD(13+WEEKDAY(DATE(PlanYear,4,1),2)-1,7)+1)=AD$5,", "&amp;14,"")&amp;IF(INDEX($A$25:$G$35,2*INT((14+WEEKDAY(DATE(PlanYear,4,1),2)-1)/7)+1,MOD(14+WEEKDAY(DATE(PlanYear,4,1),2)-1,7)+1)=AD$5,", "&amp;15,"")&amp;IF(INDEX($A$25:$G$35,2*INT((15+WEEKDAY(DATE(PlanYear,4,1),2)-1)/7)+1,MOD(15+WEEKDAY(DATE(PlanYear,4,1),2)-1,7)+1)=AD$5,", "&amp;16,"")&amp;IF(INDEX($A$25:$G$35,2*INT((16+WEEKDAY(DATE(PlanYear,4,1),2)-1)/7)+1,MOD(16+WEEKDAY(DATE(PlanYear,4,1),2)-1,7)+1)=AD$5,", "&amp;17,"")&amp;IF(INDEX($A$25:$G$35,2*INT((17+WEEKDAY(DATE(PlanYear,4,1),2)-1)/7)+1,MOD(17+WEEKDAY(DATE(PlanYear,4,1),2)-1,7)+1)=AD$5,", "&amp;18,"")&amp;IF(INDEX($A$25:$G$35,2*INT((18+WEEKDAY(DATE(PlanYear,4,1),2)-1)/7)+1,MOD(18+WEEKDAY(DATE(PlanYear,4,1),2)-1,7)+1)=AD$5,", "&amp;19,"")&amp;IF(INDEX($A$25:$G$35,2*INT((19+WEEKDAY(DATE(PlanYear,4,1),2)-1)/7)+1,MOD(19+WEEKDAY(DATE(PlanYear,4,1),2)-1,7)+1)=AD$5,", "&amp;20,"")&amp;IF(INDEX($A$25:$G$35,2*INT((20+WEEKDAY(DATE(PlanYear,4,1),2)-1)/7)+1,MOD(20+WEEKDAY(DATE(PlanYear,4,1),2)-1,7)+1)=AD$5,", "&amp;21,"")&amp;IF(INDEX($A$25:$G$35,2*INT((21+WEEKDAY(DATE(PlanYear,4,1),2)-1)/7)+1,MOD(21+WEEKDAY(DATE(PlanYear,4,1),2)-1,7)+1)=AD$5,", "&amp;22,"")&amp;IF(INDEX($A$25:$G$35,2*INT((22+WEEKDAY(DATE(PlanYear,4,1),2)-1)/7)+1,MOD(22+WEEKDAY(DATE(PlanYear,4,1),2)-1,7)+1)=AD$5,", "&amp;23,"")&amp;IF(INDEX($A$25:$G$35,2*INT((23+WEEKDAY(DATE(PlanYear,4,1),2)-1)/7)+1,MOD(23+WEEKDAY(DATE(PlanYear,4,1),2)-1,7)+1)=AD$5,", "&amp;24,"")&amp;IF(INDEX($A$25:$G$35,2*INT((24+WEEKDAY(DATE(PlanYear,4,1),2)-1)/7)+1,MOD(24+WEEKDAY(DATE(PlanYear,4,1),2)-1,7)+1)=AD$5,", "&amp;25,"")&amp;IF(INDEX($A$25:$G$35,2*INT((25+WEEKDAY(DATE(PlanYear,4,1),2)-1)/7)+1,MOD(25+WEEKDAY(DATE(PlanYear,4,1),2)-1,7)+1)=AD$5,", "&amp;26,"")&amp;IF(INDEX($A$25:$G$35,2*INT((26+WEEKDAY(DATE(PlanYear,4,1),2)-1)/7)+1,MOD(26+WEEKDAY(DATE(PlanYear,4,1),2)-1,7)+1)=AD$5,", "&amp;27,"")&amp;IF(INDEX($A$25:$G$35,2*INT((27+WEEKDAY(DATE(PlanYear,4,1),2)-1)/7)+1,MOD(27+WEEKDAY(DATE(PlanYear,4,1),2)-1,7)+1)=AD$5,", "&amp;28,"")&amp;IF(INDEX($A$25:$G$35,2*INT((28+WEEKDAY(DATE(PlanYear,4,1),2)-1)/7)+1,MOD(28+WEEKDAY(DATE(PlanYear,4,1),2)-1,7)+1)=AD$5,", "&amp;29,"")&amp;IF(INDEX($A$25:$G$35,2*INT((29+WEEKDAY(DATE(PlanYear,4,1),2)-1)/7)+1,MOD(29+WEEKDAY(DATE(PlanYear,4,1),2)-1,7)+1)=AD$5,", "&amp;30,"")&amp;IF(INDEX($A$25:$G$35,2*INT((30+WEEKDAY(DATE(PlanYear,4,1),2)-1)/7)+1,MOD(30+WEEKDAY(DATE(PlanYear,4,1),2)-1,7)+1)=AD$5,", "&amp;31,""),3,200))</f>
        <v/>
      </c>
      <c r="AE9" s="16">
        <f>IF(AE$5="","",MID(IF(INDEX($A$25:$G$35,2*INT((0+WEEKDAY(DATE(PlanYear,4,1),2)-1)/7)+1,MOD(0+WEEKDAY(DATE(PlanYear,4,1),2)-1,7)+1)=AE$5,", "&amp;1,"")&amp;IF(INDEX($A$25:$G$35,2*INT((1+WEEKDAY(DATE(PlanYear,4,1),2)-1)/7)+1,MOD(1+WEEKDAY(DATE(PlanYear,4,1),2)-1,7)+1)=AE$5,", "&amp;2,"")&amp;IF(INDEX($A$25:$G$35,2*INT((2+WEEKDAY(DATE(PlanYear,4,1),2)-1)/7)+1,MOD(2+WEEKDAY(DATE(PlanYear,4,1),2)-1,7)+1)=AE$5,", "&amp;3,"")&amp;IF(INDEX($A$25:$G$35,2*INT((3+WEEKDAY(DATE(PlanYear,4,1),2)-1)/7)+1,MOD(3+WEEKDAY(DATE(PlanYear,4,1),2)-1,7)+1)=AE$5,", "&amp;4,"")&amp;IF(INDEX($A$25:$G$35,2*INT((4+WEEKDAY(DATE(PlanYear,4,1),2)-1)/7)+1,MOD(4+WEEKDAY(DATE(PlanYear,4,1),2)-1,7)+1)=AE$5,", "&amp;5,"")&amp;IF(INDEX($A$25:$G$35,2*INT((5+WEEKDAY(DATE(PlanYear,4,1),2)-1)/7)+1,MOD(5+WEEKDAY(DATE(PlanYear,4,1),2)-1,7)+1)=AE$5,", "&amp;6,"")&amp;IF(INDEX($A$25:$G$35,2*INT((6+WEEKDAY(DATE(PlanYear,4,1),2)-1)/7)+1,MOD(6+WEEKDAY(DATE(PlanYear,4,1),2)-1,7)+1)=AE$5,", "&amp;7,"")&amp;IF(INDEX($A$25:$G$35,2*INT((7+WEEKDAY(DATE(PlanYear,4,1),2)-1)/7)+1,MOD(7+WEEKDAY(DATE(PlanYear,4,1),2)-1,7)+1)=AE$5,", "&amp;8,"")&amp;IF(INDEX($A$25:$G$35,2*INT((8+WEEKDAY(DATE(PlanYear,4,1),2)-1)/7)+1,MOD(8+WEEKDAY(DATE(PlanYear,4,1),2)-1,7)+1)=AE$5,", "&amp;9,"")&amp;IF(INDEX($A$25:$G$35,2*INT((9+WEEKDAY(DATE(PlanYear,4,1),2)-1)/7)+1,MOD(9+WEEKDAY(DATE(PlanYear,4,1),2)-1,7)+1)=AE$5,", "&amp;10,"")&amp;IF(INDEX($A$25:$G$35,2*INT((10+WEEKDAY(DATE(PlanYear,4,1),2)-1)/7)+1,MOD(10+WEEKDAY(DATE(PlanYear,4,1),2)-1,7)+1)=AE$5,", "&amp;11,"")&amp;IF(INDEX($A$25:$G$35,2*INT((11+WEEKDAY(DATE(PlanYear,4,1),2)-1)/7)+1,MOD(11+WEEKDAY(DATE(PlanYear,4,1),2)-1,7)+1)=AE$5,", "&amp;12,"")&amp;IF(INDEX($A$25:$G$35,2*INT((12+WEEKDAY(DATE(PlanYear,4,1),2)-1)/7)+1,MOD(12+WEEKDAY(DATE(PlanYear,4,1),2)-1,7)+1)=AE$5,", "&amp;13,"")&amp;IF(INDEX($A$25:$G$35,2*INT((13+WEEKDAY(DATE(PlanYear,4,1),2)-1)/7)+1,MOD(13+WEEKDAY(DATE(PlanYear,4,1),2)-1,7)+1)=AE$5,", "&amp;14,"")&amp;IF(INDEX($A$25:$G$35,2*INT((14+WEEKDAY(DATE(PlanYear,4,1),2)-1)/7)+1,MOD(14+WEEKDAY(DATE(PlanYear,4,1),2)-1,7)+1)=AE$5,", "&amp;15,"")&amp;IF(INDEX($A$25:$G$35,2*INT((15+WEEKDAY(DATE(PlanYear,4,1),2)-1)/7)+1,MOD(15+WEEKDAY(DATE(PlanYear,4,1),2)-1,7)+1)=AE$5,", "&amp;16,"")&amp;IF(INDEX($A$25:$G$35,2*INT((16+WEEKDAY(DATE(PlanYear,4,1),2)-1)/7)+1,MOD(16+WEEKDAY(DATE(PlanYear,4,1),2)-1,7)+1)=AE$5,", "&amp;17,"")&amp;IF(INDEX($A$25:$G$35,2*INT((17+WEEKDAY(DATE(PlanYear,4,1),2)-1)/7)+1,MOD(17+WEEKDAY(DATE(PlanYear,4,1),2)-1,7)+1)=AE$5,", "&amp;18,"")&amp;IF(INDEX($A$25:$G$35,2*INT((18+WEEKDAY(DATE(PlanYear,4,1),2)-1)/7)+1,MOD(18+WEEKDAY(DATE(PlanYear,4,1),2)-1,7)+1)=AE$5,", "&amp;19,"")&amp;IF(INDEX($A$25:$G$35,2*INT((19+WEEKDAY(DATE(PlanYear,4,1),2)-1)/7)+1,MOD(19+WEEKDAY(DATE(PlanYear,4,1),2)-1,7)+1)=AE$5,", "&amp;20,"")&amp;IF(INDEX($A$25:$G$35,2*INT((20+WEEKDAY(DATE(PlanYear,4,1),2)-1)/7)+1,MOD(20+WEEKDAY(DATE(PlanYear,4,1),2)-1,7)+1)=AE$5,", "&amp;21,"")&amp;IF(INDEX($A$25:$G$35,2*INT((21+WEEKDAY(DATE(PlanYear,4,1),2)-1)/7)+1,MOD(21+WEEKDAY(DATE(PlanYear,4,1),2)-1,7)+1)=AE$5,", "&amp;22,"")&amp;IF(INDEX($A$25:$G$35,2*INT((22+WEEKDAY(DATE(PlanYear,4,1),2)-1)/7)+1,MOD(22+WEEKDAY(DATE(PlanYear,4,1),2)-1,7)+1)=AE$5,", "&amp;23,"")&amp;IF(INDEX($A$25:$G$35,2*INT((23+WEEKDAY(DATE(PlanYear,4,1),2)-1)/7)+1,MOD(23+WEEKDAY(DATE(PlanYear,4,1),2)-1,7)+1)=AE$5,", "&amp;24,"")&amp;IF(INDEX($A$25:$G$35,2*INT((24+WEEKDAY(DATE(PlanYear,4,1),2)-1)/7)+1,MOD(24+WEEKDAY(DATE(PlanYear,4,1),2)-1,7)+1)=AE$5,", "&amp;25,"")&amp;IF(INDEX($A$25:$G$35,2*INT((25+WEEKDAY(DATE(PlanYear,4,1),2)-1)/7)+1,MOD(25+WEEKDAY(DATE(PlanYear,4,1),2)-1,7)+1)=AE$5,", "&amp;26,"")&amp;IF(INDEX($A$25:$G$35,2*INT((26+WEEKDAY(DATE(PlanYear,4,1),2)-1)/7)+1,MOD(26+WEEKDAY(DATE(PlanYear,4,1),2)-1,7)+1)=AE$5,", "&amp;27,"")&amp;IF(INDEX($A$25:$G$35,2*INT((27+WEEKDAY(DATE(PlanYear,4,1),2)-1)/7)+1,MOD(27+WEEKDAY(DATE(PlanYear,4,1),2)-1,7)+1)=AE$5,", "&amp;28,"")&amp;IF(INDEX($A$25:$G$35,2*INT((28+WEEKDAY(DATE(PlanYear,4,1),2)-1)/7)+1,MOD(28+WEEKDAY(DATE(PlanYear,4,1),2)-1,7)+1)=AE$5,", "&amp;29,"")&amp;IF(INDEX($A$25:$G$35,2*INT((29+WEEKDAY(DATE(PlanYear,4,1),2)-1)/7)+1,MOD(29+WEEKDAY(DATE(PlanYear,4,1),2)-1,7)+1)=AE$5,", "&amp;30,"")&amp;IF(INDEX($A$25:$G$35,2*INT((30+WEEKDAY(DATE(PlanYear,4,1),2)-1)/7)+1,MOD(30+WEEKDAY(DATE(PlanYear,4,1),2)-1,7)+1)=AE$5,", "&amp;31,""),3,200))</f>
        <v/>
      </c>
      <c r="AF9" s="16">
        <f>IF(AF$5="","",MID(IF(INDEX($A$25:$G$35,2*INT((0+WEEKDAY(DATE(PlanYear,4,1),2)-1)/7)+1,MOD(0+WEEKDAY(DATE(PlanYear,4,1),2)-1,7)+1)=AF$5,", "&amp;1,"")&amp;IF(INDEX($A$25:$G$35,2*INT((1+WEEKDAY(DATE(PlanYear,4,1),2)-1)/7)+1,MOD(1+WEEKDAY(DATE(PlanYear,4,1),2)-1,7)+1)=AF$5,", "&amp;2,"")&amp;IF(INDEX($A$25:$G$35,2*INT((2+WEEKDAY(DATE(PlanYear,4,1),2)-1)/7)+1,MOD(2+WEEKDAY(DATE(PlanYear,4,1),2)-1,7)+1)=AF$5,", "&amp;3,"")&amp;IF(INDEX($A$25:$G$35,2*INT((3+WEEKDAY(DATE(PlanYear,4,1),2)-1)/7)+1,MOD(3+WEEKDAY(DATE(PlanYear,4,1),2)-1,7)+1)=AF$5,", "&amp;4,"")&amp;IF(INDEX($A$25:$G$35,2*INT((4+WEEKDAY(DATE(PlanYear,4,1),2)-1)/7)+1,MOD(4+WEEKDAY(DATE(PlanYear,4,1),2)-1,7)+1)=AF$5,", "&amp;5,"")&amp;IF(INDEX($A$25:$G$35,2*INT((5+WEEKDAY(DATE(PlanYear,4,1),2)-1)/7)+1,MOD(5+WEEKDAY(DATE(PlanYear,4,1),2)-1,7)+1)=AF$5,", "&amp;6,"")&amp;IF(INDEX($A$25:$G$35,2*INT((6+WEEKDAY(DATE(PlanYear,4,1),2)-1)/7)+1,MOD(6+WEEKDAY(DATE(PlanYear,4,1),2)-1,7)+1)=AF$5,", "&amp;7,"")&amp;IF(INDEX($A$25:$G$35,2*INT((7+WEEKDAY(DATE(PlanYear,4,1),2)-1)/7)+1,MOD(7+WEEKDAY(DATE(PlanYear,4,1),2)-1,7)+1)=AF$5,", "&amp;8,"")&amp;IF(INDEX($A$25:$G$35,2*INT((8+WEEKDAY(DATE(PlanYear,4,1),2)-1)/7)+1,MOD(8+WEEKDAY(DATE(PlanYear,4,1),2)-1,7)+1)=AF$5,", "&amp;9,"")&amp;IF(INDEX($A$25:$G$35,2*INT((9+WEEKDAY(DATE(PlanYear,4,1),2)-1)/7)+1,MOD(9+WEEKDAY(DATE(PlanYear,4,1),2)-1,7)+1)=AF$5,", "&amp;10,"")&amp;IF(INDEX($A$25:$G$35,2*INT((10+WEEKDAY(DATE(PlanYear,4,1),2)-1)/7)+1,MOD(10+WEEKDAY(DATE(PlanYear,4,1),2)-1,7)+1)=AF$5,", "&amp;11,"")&amp;IF(INDEX($A$25:$G$35,2*INT((11+WEEKDAY(DATE(PlanYear,4,1),2)-1)/7)+1,MOD(11+WEEKDAY(DATE(PlanYear,4,1),2)-1,7)+1)=AF$5,", "&amp;12,"")&amp;IF(INDEX($A$25:$G$35,2*INT((12+WEEKDAY(DATE(PlanYear,4,1),2)-1)/7)+1,MOD(12+WEEKDAY(DATE(PlanYear,4,1),2)-1,7)+1)=AF$5,", "&amp;13,"")&amp;IF(INDEX($A$25:$G$35,2*INT((13+WEEKDAY(DATE(PlanYear,4,1),2)-1)/7)+1,MOD(13+WEEKDAY(DATE(PlanYear,4,1),2)-1,7)+1)=AF$5,", "&amp;14,"")&amp;IF(INDEX($A$25:$G$35,2*INT((14+WEEKDAY(DATE(PlanYear,4,1),2)-1)/7)+1,MOD(14+WEEKDAY(DATE(PlanYear,4,1),2)-1,7)+1)=AF$5,", "&amp;15,"")&amp;IF(INDEX($A$25:$G$35,2*INT((15+WEEKDAY(DATE(PlanYear,4,1),2)-1)/7)+1,MOD(15+WEEKDAY(DATE(PlanYear,4,1),2)-1,7)+1)=AF$5,", "&amp;16,"")&amp;IF(INDEX($A$25:$G$35,2*INT((16+WEEKDAY(DATE(PlanYear,4,1),2)-1)/7)+1,MOD(16+WEEKDAY(DATE(PlanYear,4,1),2)-1,7)+1)=AF$5,", "&amp;17,"")&amp;IF(INDEX($A$25:$G$35,2*INT((17+WEEKDAY(DATE(PlanYear,4,1),2)-1)/7)+1,MOD(17+WEEKDAY(DATE(PlanYear,4,1),2)-1,7)+1)=AF$5,", "&amp;18,"")&amp;IF(INDEX($A$25:$G$35,2*INT((18+WEEKDAY(DATE(PlanYear,4,1),2)-1)/7)+1,MOD(18+WEEKDAY(DATE(PlanYear,4,1),2)-1,7)+1)=AF$5,", "&amp;19,"")&amp;IF(INDEX($A$25:$G$35,2*INT((19+WEEKDAY(DATE(PlanYear,4,1),2)-1)/7)+1,MOD(19+WEEKDAY(DATE(PlanYear,4,1),2)-1,7)+1)=AF$5,", "&amp;20,"")&amp;IF(INDEX($A$25:$G$35,2*INT((20+WEEKDAY(DATE(PlanYear,4,1),2)-1)/7)+1,MOD(20+WEEKDAY(DATE(PlanYear,4,1),2)-1,7)+1)=AF$5,", "&amp;21,"")&amp;IF(INDEX($A$25:$G$35,2*INT((21+WEEKDAY(DATE(PlanYear,4,1),2)-1)/7)+1,MOD(21+WEEKDAY(DATE(PlanYear,4,1),2)-1,7)+1)=AF$5,", "&amp;22,"")&amp;IF(INDEX($A$25:$G$35,2*INT((22+WEEKDAY(DATE(PlanYear,4,1),2)-1)/7)+1,MOD(22+WEEKDAY(DATE(PlanYear,4,1),2)-1,7)+1)=AF$5,", "&amp;23,"")&amp;IF(INDEX($A$25:$G$35,2*INT((23+WEEKDAY(DATE(PlanYear,4,1),2)-1)/7)+1,MOD(23+WEEKDAY(DATE(PlanYear,4,1),2)-1,7)+1)=AF$5,", "&amp;24,"")&amp;IF(INDEX($A$25:$G$35,2*INT((24+WEEKDAY(DATE(PlanYear,4,1),2)-1)/7)+1,MOD(24+WEEKDAY(DATE(PlanYear,4,1),2)-1,7)+1)=AF$5,", "&amp;25,"")&amp;IF(INDEX($A$25:$G$35,2*INT((25+WEEKDAY(DATE(PlanYear,4,1),2)-1)/7)+1,MOD(25+WEEKDAY(DATE(PlanYear,4,1),2)-1,7)+1)=AF$5,", "&amp;26,"")&amp;IF(INDEX($A$25:$G$35,2*INT((26+WEEKDAY(DATE(PlanYear,4,1),2)-1)/7)+1,MOD(26+WEEKDAY(DATE(PlanYear,4,1),2)-1,7)+1)=AF$5,", "&amp;27,"")&amp;IF(INDEX($A$25:$G$35,2*INT((27+WEEKDAY(DATE(PlanYear,4,1),2)-1)/7)+1,MOD(27+WEEKDAY(DATE(PlanYear,4,1),2)-1,7)+1)=AF$5,", "&amp;28,"")&amp;IF(INDEX($A$25:$G$35,2*INT((28+WEEKDAY(DATE(PlanYear,4,1),2)-1)/7)+1,MOD(28+WEEKDAY(DATE(PlanYear,4,1),2)-1,7)+1)=AF$5,", "&amp;29,"")&amp;IF(INDEX($A$25:$G$35,2*INT((29+WEEKDAY(DATE(PlanYear,4,1),2)-1)/7)+1,MOD(29+WEEKDAY(DATE(PlanYear,4,1),2)-1,7)+1)=AF$5,", "&amp;30,"")&amp;IF(INDEX($A$25:$G$35,2*INT((30+WEEKDAY(DATE(PlanYear,4,1),2)-1)/7)+1,MOD(30+WEEKDAY(DATE(PlanYear,4,1),2)-1,7)+1)=AF$5,", "&amp;31,""),3,200))</f>
        <v/>
      </c>
      <c r="AG9" s="16">
        <f>IF(AG$5="","",MID(IF(INDEX($A$25:$G$35,2*INT((0+WEEKDAY(DATE(PlanYear,4,1),2)-1)/7)+1,MOD(0+WEEKDAY(DATE(PlanYear,4,1),2)-1,7)+1)=AG$5,", "&amp;1,"")&amp;IF(INDEX($A$25:$G$35,2*INT((1+WEEKDAY(DATE(PlanYear,4,1),2)-1)/7)+1,MOD(1+WEEKDAY(DATE(PlanYear,4,1),2)-1,7)+1)=AG$5,", "&amp;2,"")&amp;IF(INDEX($A$25:$G$35,2*INT((2+WEEKDAY(DATE(PlanYear,4,1),2)-1)/7)+1,MOD(2+WEEKDAY(DATE(PlanYear,4,1),2)-1,7)+1)=AG$5,", "&amp;3,"")&amp;IF(INDEX($A$25:$G$35,2*INT((3+WEEKDAY(DATE(PlanYear,4,1),2)-1)/7)+1,MOD(3+WEEKDAY(DATE(PlanYear,4,1),2)-1,7)+1)=AG$5,", "&amp;4,"")&amp;IF(INDEX($A$25:$G$35,2*INT((4+WEEKDAY(DATE(PlanYear,4,1),2)-1)/7)+1,MOD(4+WEEKDAY(DATE(PlanYear,4,1),2)-1,7)+1)=AG$5,", "&amp;5,"")&amp;IF(INDEX($A$25:$G$35,2*INT((5+WEEKDAY(DATE(PlanYear,4,1),2)-1)/7)+1,MOD(5+WEEKDAY(DATE(PlanYear,4,1),2)-1,7)+1)=AG$5,", "&amp;6,"")&amp;IF(INDEX($A$25:$G$35,2*INT((6+WEEKDAY(DATE(PlanYear,4,1),2)-1)/7)+1,MOD(6+WEEKDAY(DATE(PlanYear,4,1),2)-1,7)+1)=AG$5,", "&amp;7,"")&amp;IF(INDEX($A$25:$G$35,2*INT((7+WEEKDAY(DATE(PlanYear,4,1),2)-1)/7)+1,MOD(7+WEEKDAY(DATE(PlanYear,4,1),2)-1,7)+1)=AG$5,", "&amp;8,"")&amp;IF(INDEX($A$25:$G$35,2*INT((8+WEEKDAY(DATE(PlanYear,4,1),2)-1)/7)+1,MOD(8+WEEKDAY(DATE(PlanYear,4,1),2)-1,7)+1)=AG$5,", "&amp;9,"")&amp;IF(INDEX($A$25:$G$35,2*INT((9+WEEKDAY(DATE(PlanYear,4,1),2)-1)/7)+1,MOD(9+WEEKDAY(DATE(PlanYear,4,1),2)-1,7)+1)=AG$5,", "&amp;10,"")&amp;IF(INDEX($A$25:$G$35,2*INT((10+WEEKDAY(DATE(PlanYear,4,1),2)-1)/7)+1,MOD(10+WEEKDAY(DATE(PlanYear,4,1),2)-1,7)+1)=AG$5,", "&amp;11,"")&amp;IF(INDEX($A$25:$G$35,2*INT((11+WEEKDAY(DATE(PlanYear,4,1),2)-1)/7)+1,MOD(11+WEEKDAY(DATE(PlanYear,4,1),2)-1,7)+1)=AG$5,", "&amp;12,"")&amp;IF(INDEX($A$25:$G$35,2*INT((12+WEEKDAY(DATE(PlanYear,4,1),2)-1)/7)+1,MOD(12+WEEKDAY(DATE(PlanYear,4,1),2)-1,7)+1)=AG$5,", "&amp;13,"")&amp;IF(INDEX($A$25:$G$35,2*INT((13+WEEKDAY(DATE(PlanYear,4,1),2)-1)/7)+1,MOD(13+WEEKDAY(DATE(PlanYear,4,1),2)-1,7)+1)=AG$5,", "&amp;14,"")&amp;IF(INDEX($A$25:$G$35,2*INT((14+WEEKDAY(DATE(PlanYear,4,1),2)-1)/7)+1,MOD(14+WEEKDAY(DATE(PlanYear,4,1),2)-1,7)+1)=AG$5,", "&amp;15,"")&amp;IF(INDEX($A$25:$G$35,2*INT((15+WEEKDAY(DATE(PlanYear,4,1),2)-1)/7)+1,MOD(15+WEEKDAY(DATE(PlanYear,4,1),2)-1,7)+1)=AG$5,", "&amp;16,"")&amp;IF(INDEX($A$25:$G$35,2*INT((16+WEEKDAY(DATE(PlanYear,4,1),2)-1)/7)+1,MOD(16+WEEKDAY(DATE(PlanYear,4,1),2)-1,7)+1)=AG$5,", "&amp;17,"")&amp;IF(INDEX($A$25:$G$35,2*INT((17+WEEKDAY(DATE(PlanYear,4,1),2)-1)/7)+1,MOD(17+WEEKDAY(DATE(PlanYear,4,1),2)-1,7)+1)=AG$5,", "&amp;18,"")&amp;IF(INDEX($A$25:$G$35,2*INT((18+WEEKDAY(DATE(PlanYear,4,1),2)-1)/7)+1,MOD(18+WEEKDAY(DATE(PlanYear,4,1),2)-1,7)+1)=AG$5,", "&amp;19,"")&amp;IF(INDEX($A$25:$G$35,2*INT((19+WEEKDAY(DATE(PlanYear,4,1),2)-1)/7)+1,MOD(19+WEEKDAY(DATE(PlanYear,4,1),2)-1,7)+1)=AG$5,", "&amp;20,"")&amp;IF(INDEX($A$25:$G$35,2*INT((20+WEEKDAY(DATE(PlanYear,4,1),2)-1)/7)+1,MOD(20+WEEKDAY(DATE(PlanYear,4,1),2)-1,7)+1)=AG$5,", "&amp;21,"")&amp;IF(INDEX($A$25:$G$35,2*INT((21+WEEKDAY(DATE(PlanYear,4,1),2)-1)/7)+1,MOD(21+WEEKDAY(DATE(PlanYear,4,1),2)-1,7)+1)=AG$5,", "&amp;22,"")&amp;IF(INDEX($A$25:$G$35,2*INT((22+WEEKDAY(DATE(PlanYear,4,1),2)-1)/7)+1,MOD(22+WEEKDAY(DATE(PlanYear,4,1),2)-1,7)+1)=AG$5,", "&amp;23,"")&amp;IF(INDEX($A$25:$G$35,2*INT((23+WEEKDAY(DATE(PlanYear,4,1),2)-1)/7)+1,MOD(23+WEEKDAY(DATE(PlanYear,4,1),2)-1,7)+1)=AG$5,", "&amp;24,"")&amp;IF(INDEX($A$25:$G$35,2*INT((24+WEEKDAY(DATE(PlanYear,4,1),2)-1)/7)+1,MOD(24+WEEKDAY(DATE(PlanYear,4,1),2)-1,7)+1)=AG$5,", "&amp;25,"")&amp;IF(INDEX($A$25:$G$35,2*INT((25+WEEKDAY(DATE(PlanYear,4,1),2)-1)/7)+1,MOD(25+WEEKDAY(DATE(PlanYear,4,1),2)-1,7)+1)=AG$5,", "&amp;26,"")&amp;IF(INDEX($A$25:$G$35,2*INT((26+WEEKDAY(DATE(PlanYear,4,1),2)-1)/7)+1,MOD(26+WEEKDAY(DATE(PlanYear,4,1),2)-1,7)+1)=AG$5,", "&amp;27,"")&amp;IF(INDEX($A$25:$G$35,2*INT((27+WEEKDAY(DATE(PlanYear,4,1),2)-1)/7)+1,MOD(27+WEEKDAY(DATE(PlanYear,4,1),2)-1,7)+1)=AG$5,", "&amp;28,"")&amp;IF(INDEX($A$25:$G$35,2*INT((28+WEEKDAY(DATE(PlanYear,4,1),2)-1)/7)+1,MOD(28+WEEKDAY(DATE(PlanYear,4,1),2)-1,7)+1)=AG$5,", "&amp;29,"")&amp;IF(INDEX($A$25:$G$35,2*INT((29+WEEKDAY(DATE(PlanYear,4,1),2)-1)/7)+1,MOD(29+WEEKDAY(DATE(PlanYear,4,1),2)-1,7)+1)=AG$5,", "&amp;30,"")&amp;IF(INDEX($A$25:$G$35,2*INT((30+WEEKDAY(DATE(PlanYear,4,1),2)-1)/7)+1,MOD(30+WEEKDAY(DATE(PlanYear,4,1),2)-1,7)+1)=AG$5,", "&amp;31,""),3,200))</f>
        <v/>
      </c>
      <c r="AH9" s="16">
        <f>IF(AH$5="","",MID(IF(INDEX($A$25:$G$35,2*INT((0+WEEKDAY(DATE(PlanYear,4,1),2)-1)/7)+1,MOD(0+WEEKDAY(DATE(PlanYear,4,1),2)-1,7)+1)=AH$5,", "&amp;1,"")&amp;IF(INDEX($A$25:$G$35,2*INT((1+WEEKDAY(DATE(PlanYear,4,1),2)-1)/7)+1,MOD(1+WEEKDAY(DATE(PlanYear,4,1),2)-1,7)+1)=AH$5,", "&amp;2,"")&amp;IF(INDEX($A$25:$G$35,2*INT((2+WEEKDAY(DATE(PlanYear,4,1),2)-1)/7)+1,MOD(2+WEEKDAY(DATE(PlanYear,4,1),2)-1,7)+1)=AH$5,", "&amp;3,"")&amp;IF(INDEX($A$25:$G$35,2*INT((3+WEEKDAY(DATE(PlanYear,4,1),2)-1)/7)+1,MOD(3+WEEKDAY(DATE(PlanYear,4,1),2)-1,7)+1)=AH$5,", "&amp;4,"")&amp;IF(INDEX($A$25:$G$35,2*INT((4+WEEKDAY(DATE(PlanYear,4,1),2)-1)/7)+1,MOD(4+WEEKDAY(DATE(PlanYear,4,1),2)-1,7)+1)=AH$5,", "&amp;5,"")&amp;IF(INDEX($A$25:$G$35,2*INT((5+WEEKDAY(DATE(PlanYear,4,1),2)-1)/7)+1,MOD(5+WEEKDAY(DATE(PlanYear,4,1),2)-1,7)+1)=AH$5,", "&amp;6,"")&amp;IF(INDEX($A$25:$G$35,2*INT((6+WEEKDAY(DATE(PlanYear,4,1),2)-1)/7)+1,MOD(6+WEEKDAY(DATE(PlanYear,4,1),2)-1,7)+1)=AH$5,", "&amp;7,"")&amp;IF(INDEX($A$25:$G$35,2*INT((7+WEEKDAY(DATE(PlanYear,4,1),2)-1)/7)+1,MOD(7+WEEKDAY(DATE(PlanYear,4,1),2)-1,7)+1)=AH$5,", "&amp;8,"")&amp;IF(INDEX($A$25:$G$35,2*INT((8+WEEKDAY(DATE(PlanYear,4,1),2)-1)/7)+1,MOD(8+WEEKDAY(DATE(PlanYear,4,1),2)-1,7)+1)=AH$5,", "&amp;9,"")&amp;IF(INDEX($A$25:$G$35,2*INT((9+WEEKDAY(DATE(PlanYear,4,1),2)-1)/7)+1,MOD(9+WEEKDAY(DATE(PlanYear,4,1),2)-1,7)+1)=AH$5,", "&amp;10,"")&amp;IF(INDEX($A$25:$G$35,2*INT((10+WEEKDAY(DATE(PlanYear,4,1),2)-1)/7)+1,MOD(10+WEEKDAY(DATE(PlanYear,4,1),2)-1,7)+1)=AH$5,", "&amp;11,"")&amp;IF(INDEX($A$25:$G$35,2*INT((11+WEEKDAY(DATE(PlanYear,4,1),2)-1)/7)+1,MOD(11+WEEKDAY(DATE(PlanYear,4,1),2)-1,7)+1)=AH$5,", "&amp;12,"")&amp;IF(INDEX($A$25:$G$35,2*INT((12+WEEKDAY(DATE(PlanYear,4,1),2)-1)/7)+1,MOD(12+WEEKDAY(DATE(PlanYear,4,1),2)-1,7)+1)=AH$5,", "&amp;13,"")&amp;IF(INDEX($A$25:$G$35,2*INT((13+WEEKDAY(DATE(PlanYear,4,1),2)-1)/7)+1,MOD(13+WEEKDAY(DATE(PlanYear,4,1),2)-1,7)+1)=AH$5,", "&amp;14,"")&amp;IF(INDEX($A$25:$G$35,2*INT((14+WEEKDAY(DATE(PlanYear,4,1),2)-1)/7)+1,MOD(14+WEEKDAY(DATE(PlanYear,4,1),2)-1,7)+1)=AH$5,", "&amp;15,"")&amp;IF(INDEX($A$25:$G$35,2*INT((15+WEEKDAY(DATE(PlanYear,4,1),2)-1)/7)+1,MOD(15+WEEKDAY(DATE(PlanYear,4,1),2)-1,7)+1)=AH$5,", "&amp;16,"")&amp;IF(INDEX($A$25:$G$35,2*INT((16+WEEKDAY(DATE(PlanYear,4,1),2)-1)/7)+1,MOD(16+WEEKDAY(DATE(PlanYear,4,1),2)-1,7)+1)=AH$5,", "&amp;17,"")&amp;IF(INDEX($A$25:$G$35,2*INT((17+WEEKDAY(DATE(PlanYear,4,1),2)-1)/7)+1,MOD(17+WEEKDAY(DATE(PlanYear,4,1),2)-1,7)+1)=AH$5,", "&amp;18,"")&amp;IF(INDEX($A$25:$G$35,2*INT((18+WEEKDAY(DATE(PlanYear,4,1),2)-1)/7)+1,MOD(18+WEEKDAY(DATE(PlanYear,4,1),2)-1,7)+1)=AH$5,", "&amp;19,"")&amp;IF(INDEX($A$25:$G$35,2*INT((19+WEEKDAY(DATE(PlanYear,4,1),2)-1)/7)+1,MOD(19+WEEKDAY(DATE(PlanYear,4,1),2)-1,7)+1)=AH$5,", "&amp;20,"")&amp;IF(INDEX($A$25:$G$35,2*INT((20+WEEKDAY(DATE(PlanYear,4,1),2)-1)/7)+1,MOD(20+WEEKDAY(DATE(PlanYear,4,1),2)-1,7)+1)=AH$5,", "&amp;21,"")&amp;IF(INDEX($A$25:$G$35,2*INT((21+WEEKDAY(DATE(PlanYear,4,1),2)-1)/7)+1,MOD(21+WEEKDAY(DATE(PlanYear,4,1),2)-1,7)+1)=AH$5,", "&amp;22,"")&amp;IF(INDEX($A$25:$G$35,2*INT((22+WEEKDAY(DATE(PlanYear,4,1),2)-1)/7)+1,MOD(22+WEEKDAY(DATE(PlanYear,4,1),2)-1,7)+1)=AH$5,", "&amp;23,"")&amp;IF(INDEX($A$25:$G$35,2*INT((23+WEEKDAY(DATE(PlanYear,4,1),2)-1)/7)+1,MOD(23+WEEKDAY(DATE(PlanYear,4,1),2)-1,7)+1)=AH$5,", "&amp;24,"")&amp;IF(INDEX($A$25:$G$35,2*INT((24+WEEKDAY(DATE(PlanYear,4,1),2)-1)/7)+1,MOD(24+WEEKDAY(DATE(PlanYear,4,1),2)-1,7)+1)=AH$5,", "&amp;25,"")&amp;IF(INDEX($A$25:$G$35,2*INT((25+WEEKDAY(DATE(PlanYear,4,1),2)-1)/7)+1,MOD(25+WEEKDAY(DATE(PlanYear,4,1),2)-1,7)+1)=AH$5,", "&amp;26,"")&amp;IF(INDEX($A$25:$G$35,2*INT((26+WEEKDAY(DATE(PlanYear,4,1),2)-1)/7)+1,MOD(26+WEEKDAY(DATE(PlanYear,4,1),2)-1,7)+1)=AH$5,", "&amp;27,"")&amp;IF(INDEX($A$25:$G$35,2*INT((27+WEEKDAY(DATE(PlanYear,4,1),2)-1)/7)+1,MOD(27+WEEKDAY(DATE(PlanYear,4,1),2)-1,7)+1)=AH$5,", "&amp;28,"")&amp;IF(INDEX($A$25:$G$35,2*INT((28+WEEKDAY(DATE(PlanYear,4,1),2)-1)/7)+1,MOD(28+WEEKDAY(DATE(PlanYear,4,1),2)-1,7)+1)=AH$5,", "&amp;29,"")&amp;IF(INDEX($A$25:$G$35,2*INT((29+WEEKDAY(DATE(PlanYear,4,1),2)-1)/7)+1,MOD(29+WEEKDAY(DATE(PlanYear,4,1),2)-1,7)+1)=AH$5,", "&amp;30,"")&amp;IF(INDEX($A$25:$G$35,2*INT((30+WEEKDAY(DATE(PlanYear,4,1),2)-1)/7)+1,MOD(30+WEEKDAY(DATE(PlanYear,4,1),2)-1,7)+1)=AH$5,", "&amp;31,""),3,200))</f>
        <v/>
      </c>
      <c r="AI9" s="16">
        <f>IF(AI$5="","",MID(IF(INDEX($A$25:$G$35,2*INT((0+WEEKDAY(DATE(PlanYear,4,1),2)-1)/7)+1,MOD(0+WEEKDAY(DATE(PlanYear,4,1),2)-1,7)+1)=AI$5,", "&amp;1,"")&amp;IF(INDEX($A$25:$G$35,2*INT((1+WEEKDAY(DATE(PlanYear,4,1),2)-1)/7)+1,MOD(1+WEEKDAY(DATE(PlanYear,4,1),2)-1,7)+1)=AI$5,", "&amp;2,"")&amp;IF(INDEX($A$25:$G$35,2*INT((2+WEEKDAY(DATE(PlanYear,4,1),2)-1)/7)+1,MOD(2+WEEKDAY(DATE(PlanYear,4,1),2)-1,7)+1)=AI$5,", "&amp;3,"")&amp;IF(INDEX($A$25:$G$35,2*INT((3+WEEKDAY(DATE(PlanYear,4,1),2)-1)/7)+1,MOD(3+WEEKDAY(DATE(PlanYear,4,1),2)-1,7)+1)=AI$5,", "&amp;4,"")&amp;IF(INDEX($A$25:$G$35,2*INT((4+WEEKDAY(DATE(PlanYear,4,1),2)-1)/7)+1,MOD(4+WEEKDAY(DATE(PlanYear,4,1),2)-1,7)+1)=AI$5,", "&amp;5,"")&amp;IF(INDEX($A$25:$G$35,2*INT((5+WEEKDAY(DATE(PlanYear,4,1),2)-1)/7)+1,MOD(5+WEEKDAY(DATE(PlanYear,4,1),2)-1,7)+1)=AI$5,", "&amp;6,"")&amp;IF(INDEX($A$25:$G$35,2*INT((6+WEEKDAY(DATE(PlanYear,4,1),2)-1)/7)+1,MOD(6+WEEKDAY(DATE(PlanYear,4,1),2)-1,7)+1)=AI$5,", "&amp;7,"")&amp;IF(INDEX($A$25:$G$35,2*INT((7+WEEKDAY(DATE(PlanYear,4,1),2)-1)/7)+1,MOD(7+WEEKDAY(DATE(PlanYear,4,1),2)-1,7)+1)=AI$5,", "&amp;8,"")&amp;IF(INDEX($A$25:$G$35,2*INT((8+WEEKDAY(DATE(PlanYear,4,1),2)-1)/7)+1,MOD(8+WEEKDAY(DATE(PlanYear,4,1),2)-1,7)+1)=AI$5,", "&amp;9,"")&amp;IF(INDEX($A$25:$G$35,2*INT((9+WEEKDAY(DATE(PlanYear,4,1),2)-1)/7)+1,MOD(9+WEEKDAY(DATE(PlanYear,4,1),2)-1,7)+1)=AI$5,", "&amp;10,"")&amp;IF(INDEX($A$25:$G$35,2*INT((10+WEEKDAY(DATE(PlanYear,4,1),2)-1)/7)+1,MOD(10+WEEKDAY(DATE(PlanYear,4,1),2)-1,7)+1)=AI$5,", "&amp;11,"")&amp;IF(INDEX($A$25:$G$35,2*INT((11+WEEKDAY(DATE(PlanYear,4,1),2)-1)/7)+1,MOD(11+WEEKDAY(DATE(PlanYear,4,1),2)-1,7)+1)=AI$5,", "&amp;12,"")&amp;IF(INDEX($A$25:$G$35,2*INT((12+WEEKDAY(DATE(PlanYear,4,1),2)-1)/7)+1,MOD(12+WEEKDAY(DATE(PlanYear,4,1),2)-1,7)+1)=AI$5,", "&amp;13,"")&amp;IF(INDEX($A$25:$G$35,2*INT((13+WEEKDAY(DATE(PlanYear,4,1),2)-1)/7)+1,MOD(13+WEEKDAY(DATE(PlanYear,4,1),2)-1,7)+1)=AI$5,", "&amp;14,"")&amp;IF(INDEX($A$25:$G$35,2*INT((14+WEEKDAY(DATE(PlanYear,4,1),2)-1)/7)+1,MOD(14+WEEKDAY(DATE(PlanYear,4,1),2)-1,7)+1)=AI$5,", "&amp;15,"")&amp;IF(INDEX($A$25:$G$35,2*INT((15+WEEKDAY(DATE(PlanYear,4,1),2)-1)/7)+1,MOD(15+WEEKDAY(DATE(PlanYear,4,1),2)-1,7)+1)=AI$5,", "&amp;16,"")&amp;IF(INDEX($A$25:$G$35,2*INT((16+WEEKDAY(DATE(PlanYear,4,1),2)-1)/7)+1,MOD(16+WEEKDAY(DATE(PlanYear,4,1),2)-1,7)+1)=AI$5,", "&amp;17,"")&amp;IF(INDEX($A$25:$G$35,2*INT((17+WEEKDAY(DATE(PlanYear,4,1),2)-1)/7)+1,MOD(17+WEEKDAY(DATE(PlanYear,4,1),2)-1,7)+1)=AI$5,", "&amp;18,"")&amp;IF(INDEX($A$25:$G$35,2*INT((18+WEEKDAY(DATE(PlanYear,4,1),2)-1)/7)+1,MOD(18+WEEKDAY(DATE(PlanYear,4,1),2)-1,7)+1)=AI$5,", "&amp;19,"")&amp;IF(INDEX($A$25:$G$35,2*INT((19+WEEKDAY(DATE(PlanYear,4,1),2)-1)/7)+1,MOD(19+WEEKDAY(DATE(PlanYear,4,1),2)-1,7)+1)=AI$5,", "&amp;20,"")&amp;IF(INDEX($A$25:$G$35,2*INT((20+WEEKDAY(DATE(PlanYear,4,1),2)-1)/7)+1,MOD(20+WEEKDAY(DATE(PlanYear,4,1),2)-1,7)+1)=AI$5,", "&amp;21,"")&amp;IF(INDEX($A$25:$G$35,2*INT((21+WEEKDAY(DATE(PlanYear,4,1),2)-1)/7)+1,MOD(21+WEEKDAY(DATE(PlanYear,4,1),2)-1,7)+1)=AI$5,", "&amp;22,"")&amp;IF(INDEX($A$25:$G$35,2*INT((22+WEEKDAY(DATE(PlanYear,4,1),2)-1)/7)+1,MOD(22+WEEKDAY(DATE(PlanYear,4,1),2)-1,7)+1)=AI$5,", "&amp;23,"")&amp;IF(INDEX($A$25:$G$35,2*INT((23+WEEKDAY(DATE(PlanYear,4,1),2)-1)/7)+1,MOD(23+WEEKDAY(DATE(PlanYear,4,1),2)-1,7)+1)=AI$5,", "&amp;24,"")&amp;IF(INDEX($A$25:$G$35,2*INT((24+WEEKDAY(DATE(PlanYear,4,1),2)-1)/7)+1,MOD(24+WEEKDAY(DATE(PlanYear,4,1),2)-1,7)+1)=AI$5,", "&amp;25,"")&amp;IF(INDEX($A$25:$G$35,2*INT((25+WEEKDAY(DATE(PlanYear,4,1),2)-1)/7)+1,MOD(25+WEEKDAY(DATE(PlanYear,4,1),2)-1,7)+1)=AI$5,", "&amp;26,"")&amp;IF(INDEX($A$25:$G$35,2*INT((26+WEEKDAY(DATE(PlanYear,4,1),2)-1)/7)+1,MOD(26+WEEKDAY(DATE(PlanYear,4,1),2)-1,7)+1)=AI$5,", "&amp;27,"")&amp;IF(INDEX($A$25:$G$35,2*INT((27+WEEKDAY(DATE(PlanYear,4,1),2)-1)/7)+1,MOD(27+WEEKDAY(DATE(PlanYear,4,1),2)-1,7)+1)=AI$5,", "&amp;28,"")&amp;IF(INDEX($A$25:$G$35,2*INT((28+WEEKDAY(DATE(PlanYear,4,1),2)-1)/7)+1,MOD(28+WEEKDAY(DATE(PlanYear,4,1),2)-1,7)+1)=AI$5,", "&amp;29,"")&amp;IF(INDEX($A$25:$G$35,2*INT((29+WEEKDAY(DATE(PlanYear,4,1),2)-1)/7)+1,MOD(29+WEEKDAY(DATE(PlanYear,4,1),2)-1,7)+1)=AI$5,", "&amp;30,"")&amp;IF(INDEX($A$25:$G$35,2*INT((30+WEEKDAY(DATE(PlanYear,4,1),2)-1)/7)+1,MOD(30+WEEKDAY(DATE(PlanYear,4,1),2)-1,7)+1)=AI$5,", "&amp;31,""),3,200))</f>
        <v/>
      </c>
      <c r="AJ9" s="16">
        <f>IF(AJ$5="","",MID(IF(INDEX($A$25:$G$35,2*INT((0+WEEKDAY(DATE(PlanYear,4,1),2)-1)/7)+1,MOD(0+WEEKDAY(DATE(PlanYear,4,1),2)-1,7)+1)=AJ$5,", "&amp;1,"")&amp;IF(INDEX($A$25:$G$35,2*INT((1+WEEKDAY(DATE(PlanYear,4,1),2)-1)/7)+1,MOD(1+WEEKDAY(DATE(PlanYear,4,1),2)-1,7)+1)=AJ$5,", "&amp;2,"")&amp;IF(INDEX($A$25:$G$35,2*INT((2+WEEKDAY(DATE(PlanYear,4,1),2)-1)/7)+1,MOD(2+WEEKDAY(DATE(PlanYear,4,1),2)-1,7)+1)=AJ$5,", "&amp;3,"")&amp;IF(INDEX($A$25:$G$35,2*INT((3+WEEKDAY(DATE(PlanYear,4,1),2)-1)/7)+1,MOD(3+WEEKDAY(DATE(PlanYear,4,1),2)-1,7)+1)=AJ$5,", "&amp;4,"")&amp;IF(INDEX($A$25:$G$35,2*INT((4+WEEKDAY(DATE(PlanYear,4,1),2)-1)/7)+1,MOD(4+WEEKDAY(DATE(PlanYear,4,1),2)-1,7)+1)=AJ$5,", "&amp;5,"")&amp;IF(INDEX($A$25:$G$35,2*INT((5+WEEKDAY(DATE(PlanYear,4,1),2)-1)/7)+1,MOD(5+WEEKDAY(DATE(PlanYear,4,1),2)-1,7)+1)=AJ$5,", "&amp;6,"")&amp;IF(INDEX($A$25:$G$35,2*INT((6+WEEKDAY(DATE(PlanYear,4,1),2)-1)/7)+1,MOD(6+WEEKDAY(DATE(PlanYear,4,1),2)-1,7)+1)=AJ$5,", "&amp;7,"")&amp;IF(INDEX($A$25:$G$35,2*INT((7+WEEKDAY(DATE(PlanYear,4,1),2)-1)/7)+1,MOD(7+WEEKDAY(DATE(PlanYear,4,1),2)-1,7)+1)=AJ$5,", "&amp;8,"")&amp;IF(INDEX($A$25:$G$35,2*INT((8+WEEKDAY(DATE(PlanYear,4,1),2)-1)/7)+1,MOD(8+WEEKDAY(DATE(PlanYear,4,1),2)-1,7)+1)=AJ$5,", "&amp;9,"")&amp;IF(INDEX($A$25:$G$35,2*INT((9+WEEKDAY(DATE(PlanYear,4,1),2)-1)/7)+1,MOD(9+WEEKDAY(DATE(PlanYear,4,1),2)-1,7)+1)=AJ$5,", "&amp;10,"")&amp;IF(INDEX($A$25:$G$35,2*INT((10+WEEKDAY(DATE(PlanYear,4,1),2)-1)/7)+1,MOD(10+WEEKDAY(DATE(PlanYear,4,1),2)-1,7)+1)=AJ$5,", "&amp;11,"")&amp;IF(INDEX($A$25:$G$35,2*INT((11+WEEKDAY(DATE(PlanYear,4,1),2)-1)/7)+1,MOD(11+WEEKDAY(DATE(PlanYear,4,1),2)-1,7)+1)=AJ$5,", "&amp;12,"")&amp;IF(INDEX($A$25:$G$35,2*INT((12+WEEKDAY(DATE(PlanYear,4,1),2)-1)/7)+1,MOD(12+WEEKDAY(DATE(PlanYear,4,1),2)-1,7)+1)=AJ$5,", "&amp;13,"")&amp;IF(INDEX($A$25:$G$35,2*INT((13+WEEKDAY(DATE(PlanYear,4,1),2)-1)/7)+1,MOD(13+WEEKDAY(DATE(PlanYear,4,1),2)-1,7)+1)=AJ$5,", "&amp;14,"")&amp;IF(INDEX($A$25:$G$35,2*INT((14+WEEKDAY(DATE(PlanYear,4,1),2)-1)/7)+1,MOD(14+WEEKDAY(DATE(PlanYear,4,1),2)-1,7)+1)=AJ$5,", "&amp;15,"")&amp;IF(INDEX($A$25:$G$35,2*INT((15+WEEKDAY(DATE(PlanYear,4,1),2)-1)/7)+1,MOD(15+WEEKDAY(DATE(PlanYear,4,1),2)-1,7)+1)=AJ$5,", "&amp;16,"")&amp;IF(INDEX($A$25:$G$35,2*INT((16+WEEKDAY(DATE(PlanYear,4,1),2)-1)/7)+1,MOD(16+WEEKDAY(DATE(PlanYear,4,1),2)-1,7)+1)=AJ$5,", "&amp;17,"")&amp;IF(INDEX($A$25:$G$35,2*INT((17+WEEKDAY(DATE(PlanYear,4,1),2)-1)/7)+1,MOD(17+WEEKDAY(DATE(PlanYear,4,1),2)-1,7)+1)=AJ$5,", "&amp;18,"")&amp;IF(INDEX($A$25:$G$35,2*INT((18+WEEKDAY(DATE(PlanYear,4,1),2)-1)/7)+1,MOD(18+WEEKDAY(DATE(PlanYear,4,1),2)-1,7)+1)=AJ$5,", "&amp;19,"")&amp;IF(INDEX($A$25:$G$35,2*INT((19+WEEKDAY(DATE(PlanYear,4,1),2)-1)/7)+1,MOD(19+WEEKDAY(DATE(PlanYear,4,1),2)-1,7)+1)=AJ$5,", "&amp;20,"")&amp;IF(INDEX($A$25:$G$35,2*INT((20+WEEKDAY(DATE(PlanYear,4,1),2)-1)/7)+1,MOD(20+WEEKDAY(DATE(PlanYear,4,1),2)-1,7)+1)=AJ$5,", "&amp;21,"")&amp;IF(INDEX($A$25:$G$35,2*INT((21+WEEKDAY(DATE(PlanYear,4,1),2)-1)/7)+1,MOD(21+WEEKDAY(DATE(PlanYear,4,1),2)-1,7)+1)=AJ$5,", "&amp;22,"")&amp;IF(INDEX($A$25:$G$35,2*INT((22+WEEKDAY(DATE(PlanYear,4,1),2)-1)/7)+1,MOD(22+WEEKDAY(DATE(PlanYear,4,1),2)-1,7)+1)=AJ$5,", "&amp;23,"")&amp;IF(INDEX($A$25:$G$35,2*INT((23+WEEKDAY(DATE(PlanYear,4,1),2)-1)/7)+1,MOD(23+WEEKDAY(DATE(PlanYear,4,1),2)-1,7)+1)=AJ$5,", "&amp;24,"")&amp;IF(INDEX($A$25:$G$35,2*INT((24+WEEKDAY(DATE(PlanYear,4,1),2)-1)/7)+1,MOD(24+WEEKDAY(DATE(PlanYear,4,1),2)-1,7)+1)=AJ$5,", "&amp;25,"")&amp;IF(INDEX($A$25:$G$35,2*INT((25+WEEKDAY(DATE(PlanYear,4,1),2)-1)/7)+1,MOD(25+WEEKDAY(DATE(PlanYear,4,1),2)-1,7)+1)=AJ$5,", "&amp;26,"")&amp;IF(INDEX($A$25:$G$35,2*INT((26+WEEKDAY(DATE(PlanYear,4,1),2)-1)/7)+1,MOD(26+WEEKDAY(DATE(PlanYear,4,1),2)-1,7)+1)=AJ$5,", "&amp;27,"")&amp;IF(INDEX($A$25:$G$35,2*INT((27+WEEKDAY(DATE(PlanYear,4,1),2)-1)/7)+1,MOD(27+WEEKDAY(DATE(PlanYear,4,1),2)-1,7)+1)=AJ$5,", "&amp;28,"")&amp;IF(INDEX($A$25:$G$35,2*INT((28+WEEKDAY(DATE(PlanYear,4,1),2)-1)/7)+1,MOD(28+WEEKDAY(DATE(PlanYear,4,1),2)-1,7)+1)=AJ$5,", "&amp;29,"")&amp;IF(INDEX($A$25:$G$35,2*INT((29+WEEKDAY(DATE(PlanYear,4,1),2)-1)/7)+1,MOD(29+WEEKDAY(DATE(PlanYear,4,1),2)-1,7)+1)=AJ$5,", "&amp;30,"")&amp;IF(INDEX($A$25:$G$35,2*INT((30+WEEKDAY(DATE(PlanYear,4,1),2)-1)/7)+1,MOD(30+WEEKDAY(DATE(PlanYear,4,1),2)-1,7)+1)=AJ$5,", "&amp;31,""),3,200))</f>
        <v/>
      </c>
      <c r="AK9" s="17">
        <f>DAY(EOMONTH(DATE(PlanYear,4,1),0))-COUNTIF($A$25:$G$35,"?*")</f>
        <v/>
      </c>
    </row>
    <row r="10" ht="26" customHeight="1">
      <c r="A10" s="20">
        <f>IF(AND(8-(WEEKDAY(DATE(PlanYear,1,1),2)-1)&gt;=1,8-(WEEKDAY(DATE(PlanYear,1,1),2)-1)&lt;=DAY(EOMONTH(DATE(PlanYear,1,1),0))),DATE(PlanYear,1,1)+8-WEEKDAY(DATE(PlanYear,1,1),2),"")</f>
        <v/>
      </c>
      <c r="B10" s="20">
        <f>IF(AND(9-(WEEKDAY(DATE(PlanYear,1,1),2)-1)&gt;=1,9-(WEEKDAY(DATE(PlanYear,1,1),2)-1)&lt;=DAY(EOMONTH(DATE(PlanYear,1,1),0))),DATE(PlanYear,1,1)+9-WEEKDAY(DATE(PlanYear,1,1),2),"")</f>
        <v/>
      </c>
      <c r="C10" s="20">
        <f>IF(AND(10-(WEEKDAY(DATE(PlanYear,1,1),2)-1)&gt;=1,10-(WEEKDAY(DATE(PlanYear,1,1),2)-1)&lt;=DAY(EOMONTH(DATE(PlanYear,1,1),0))),DATE(PlanYear,1,1)+10-WEEKDAY(DATE(PlanYear,1,1),2),"")</f>
        <v/>
      </c>
      <c r="D10" s="20">
        <f>IF(AND(11-(WEEKDAY(DATE(PlanYear,1,1),2)-1)&gt;=1,11-(WEEKDAY(DATE(PlanYear,1,1),2)-1)&lt;=DAY(EOMONTH(DATE(PlanYear,1,1),0))),DATE(PlanYear,1,1)+11-WEEKDAY(DATE(PlanYear,1,1),2),"")</f>
        <v/>
      </c>
      <c r="E10" s="20">
        <f>IF(AND(12-(WEEKDAY(DATE(PlanYear,1,1),2)-1)&gt;=1,12-(WEEKDAY(DATE(PlanYear,1,1),2)-1)&lt;=DAY(EOMONTH(DATE(PlanYear,1,1),0))),DATE(PlanYear,1,1)+12-WEEKDAY(DATE(PlanYear,1,1),2),"")</f>
        <v/>
      </c>
      <c r="F10" s="20">
        <f>IF(AND(13-(WEEKDAY(DATE(PlanYear,1,1),2)-1)&gt;=1,13-(WEEKDAY(DATE(PlanYear,1,1),2)-1)&lt;=DAY(EOMONTH(DATE(PlanYear,1,1),0))),DATE(PlanYear,1,1)+13-WEEKDAY(DATE(PlanYear,1,1),2),"")</f>
        <v/>
      </c>
      <c r="G10" s="20">
        <f>IF(AND(14-(WEEKDAY(DATE(PlanYear,1,1),2)-1)&gt;=1,14-(WEEKDAY(DATE(PlanYear,1,1),2)-1)&lt;=DAY(EOMONTH(DATE(PlanYear,1,1),0))),DATE(PlanYear,1,1)+14-WEEKDAY(DATE(PlanYear,1,1),2),"")</f>
        <v/>
      </c>
      <c r="I10" s="20">
        <f>IF(AND(8-(WEEKDAY(DATE(PlanYear,2,1),2)-1)&gt;=1,8-(WEEKDAY(DATE(PlanYear,2,1),2)-1)&lt;=DAY(EOMONTH(DATE(PlanYear,2,1),0))),DATE(PlanYear,2,1)+8-WEEKDAY(DATE(PlanYear,2,1),2),"")</f>
        <v/>
      </c>
      <c r="J10" s="20">
        <f>IF(AND(9-(WEEKDAY(DATE(PlanYear,2,1),2)-1)&gt;=1,9-(WEEKDAY(DATE(PlanYear,2,1),2)-1)&lt;=DAY(EOMONTH(DATE(PlanYear,2,1),0))),DATE(PlanYear,2,1)+9-WEEKDAY(DATE(PlanYear,2,1),2),"")</f>
        <v/>
      </c>
      <c r="K10" s="20">
        <f>IF(AND(10-(WEEKDAY(DATE(PlanYear,2,1),2)-1)&gt;=1,10-(WEEKDAY(DATE(PlanYear,2,1),2)-1)&lt;=DAY(EOMONTH(DATE(PlanYear,2,1),0))),DATE(PlanYear,2,1)+10-WEEKDAY(DATE(PlanYear,2,1),2),"")</f>
        <v/>
      </c>
      <c r="L10" s="20">
        <f>IF(AND(11-(WEEKDAY(DATE(PlanYear,2,1),2)-1)&gt;=1,11-(WEEKDAY(DATE(PlanYear,2,1),2)-1)&lt;=DAY(EOMONTH(DATE(PlanYear,2,1),0))),DATE(PlanYear,2,1)+11-WEEKDAY(DATE(PlanYear,2,1),2),"")</f>
        <v/>
      </c>
      <c r="M10" s="20">
        <f>IF(AND(12-(WEEKDAY(DATE(PlanYear,2,1),2)-1)&gt;=1,12-(WEEKDAY(DATE(PlanYear,2,1),2)-1)&lt;=DAY(EOMONTH(DATE(PlanYear,2,1),0))),DATE(PlanYear,2,1)+12-WEEKDAY(DATE(PlanYear,2,1),2),"")</f>
        <v/>
      </c>
      <c r="N10" s="20">
        <f>IF(AND(13-(WEEKDAY(DATE(PlanYear,2,1),2)-1)&gt;=1,13-(WEEKDAY(DATE(PlanYear,2,1),2)-1)&lt;=DAY(EOMONTH(DATE(PlanYear,2,1),0))),DATE(PlanYear,2,1)+13-WEEKDAY(DATE(PlanYear,2,1),2),"")</f>
        <v/>
      </c>
      <c r="O10" s="20">
        <f>IF(AND(14-(WEEKDAY(DATE(PlanYear,2,1),2)-1)&gt;=1,14-(WEEKDAY(DATE(PlanYear,2,1),2)-1)&lt;=DAY(EOMONTH(DATE(PlanYear,2,1),0))),DATE(PlanYear,2,1)+14-WEEKDAY(DATE(PlanYear,2,1),2),"")</f>
        <v/>
      </c>
      <c r="Q10" s="20">
        <f>IF(AND(8-(WEEKDAY(DATE(PlanYear,3,1),2)-1)&gt;=1,8-(WEEKDAY(DATE(PlanYear,3,1),2)-1)&lt;=DAY(EOMONTH(DATE(PlanYear,3,1),0))),DATE(PlanYear,3,1)+8-WEEKDAY(DATE(PlanYear,3,1),2),"")</f>
        <v/>
      </c>
      <c r="R10" s="20">
        <f>IF(AND(9-(WEEKDAY(DATE(PlanYear,3,1),2)-1)&gt;=1,9-(WEEKDAY(DATE(PlanYear,3,1),2)-1)&lt;=DAY(EOMONTH(DATE(PlanYear,3,1),0))),DATE(PlanYear,3,1)+9-WEEKDAY(DATE(PlanYear,3,1),2),"")</f>
        <v/>
      </c>
      <c r="S10" s="20">
        <f>IF(AND(10-(WEEKDAY(DATE(PlanYear,3,1),2)-1)&gt;=1,10-(WEEKDAY(DATE(PlanYear,3,1),2)-1)&lt;=DAY(EOMONTH(DATE(PlanYear,3,1),0))),DATE(PlanYear,3,1)+10-WEEKDAY(DATE(PlanYear,3,1),2),"")</f>
        <v/>
      </c>
      <c r="T10" s="20">
        <f>IF(AND(11-(WEEKDAY(DATE(PlanYear,3,1),2)-1)&gt;=1,11-(WEEKDAY(DATE(PlanYear,3,1),2)-1)&lt;=DAY(EOMONTH(DATE(PlanYear,3,1),0))),DATE(PlanYear,3,1)+11-WEEKDAY(DATE(PlanYear,3,1),2),"")</f>
        <v/>
      </c>
      <c r="U10" s="20">
        <f>IF(AND(12-(WEEKDAY(DATE(PlanYear,3,1),2)-1)&gt;=1,12-(WEEKDAY(DATE(PlanYear,3,1),2)-1)&lt;=DAY(EOMONTH(DATE(PlanYear,3,1),0))),DATE(PlanYear,3,1)+12-WEEKDAY(DATE(PlanYear,3,1),2),"")</f>
        <v/>
      </c>
      <c r="V10" s="20">
        <f>IF(AND(13-(WEEKDAY(DATE(PlanYear,3,1),2)-1)&gt;=1,13-(WEEKDAY(DATE(PlanYear,3,1),2)-1)&lt;=DAY(EOMONTH(DATE(PlanYear,3,1),0))),DATE(PlanYear,3,1)+13-WEEKDAY(DATE(PlanYear,3,1),2),"")</f>
        <v/>
      </c>
      <c r="W10" s="20">
        <f>IF(AND(14-(WEEKDAY(DATE(PlanYear,3,1),2)-1)&gt;=1,14-(WEEKDAY(DATE(PlanYear,3,1),2)-1)&lt;=DAY(EOMONTH(DATE(PlanYear,3,1),0))),DATE(PlanYear,3,1)+14-WEEKDAY(DATE(PlanYear,3,1),2),"")</f>
        <v/>
      </c>
      <c r="Z10" s="15" t="inlineStr">
        <is>
          <t>May</t>
        </is>
      </c>
      <c r="AA10" s="16">
        <f>IF(AA$5="","",MID(IF(INDEX($I$25:$O$35,2*INT((0+WEEKDAY(DATE(PlanYear,5,1),2)-1)/7)+1,MOD(0+WEEKDAY(DATE(PlanYear,5,1),2)-1,7)+1)=AA$5,", "&amp;1,"")&amp;IF(INDEX($I$25:$O$35,2*INT((1+WEEKDAY(DATE(PlanYear,5,1),2)-1)/7)+1,MOD(1+WEEKDAY(DATE(PlanYear,5,1),2)-1,7)+1)=AA$5,", "&amp;2,"")&amp;IF(INDEX($I$25:$O$35,2*INT((2+WEEKDAY(DATE(PlanYear,5,1),2)-1)/7)+1,MOD(2+WEEKDAY(DATE(PlanYear,5,1),2)-1,7)+1)=AA$5,", "&amp;3,"")&amp;IF(INDEX($I$25:$O$35,2*INT((3+WEEKDAY(DATE(PlanYear,5,1),2)-1)/7)+1,MOD(3+WEEKDAY(DATE(PlanYear,5,1),2)-1,7)+1)=AA$5,", "&amp;4,"")&amp;IF(INDEX($I$25:$O$35,2*INT((4+WEEKDAY(DATE(PlanYear,5,1),2)-1)/7)+1,MOD(4+WEEKDAY(DATE(PlanYear,5,1),2)-1,7)+1)=AA$5,", "&amp;5,"")&amp;IF(INDEX($I$25:$O$35,2*INT((5+WEEKDAY(DATE(PlanYear,5,1),2)-1)/7)+1,MOD(5+WEEKDAY(DATE(PlanYear,5,1),2)-1,7)+1)=AA$5,", "&amp;6,"")&amp;IF(INDEX($I$25:$O$35,2*INT((6+WEEKDAY(DATE(PlanYear,5,1),2)-1)/7)+1,MOD(6+WEEKDAY(DATE(PlanYear,5,1),2)-1,7)+1)=AA$5,", "&amp;7,"")&amp;IF(INDEX($I$25:$O$35,2*INT((7+WEEKDAY(DATE(PlanYear,5,1),2)-1)/7)+1,MOD(7+WEEKDAY(DATE(PlanYear,5,1),2)-1,7)+1)=AA$5,", "&amp;8,"")&amp;IF(INDEX($I$25:$O$35,2*INT((8+WEEKDAY(DATE(PlanYear,5,1),2)-1)/7)+1,MOD(8+WEEKDAY(DATE(PlanYear,5,1),2)-1,7)+1)=AA$5,", "&amp;9,"")&amp;IF(INDEX($I$25:$O$35,2*INT((9+WEEKDAY(DATE(PlanYear,5,1),2)-1)/7)+1,MOD(9+WEEKDAY(DATE(PlanYear,5,1),2)-1,7)+1)=AA$5,", "&amp;10,"")&amp;IF(INDEX($I$25:$O$35,2*INT((10+WEEKDAY(DATE(PlanYear,5,1),2)-1)/7)+1,MOD(10+WEEKDAY(DATE(PlanYear,5,1),2)-1,7)+1)=AA$5,", "&amp;11,"")&amp;IF(INDEX($I$25:$O$35,2*INT((11+WEEKDAY(DATE(PlanYear,5,1),2)-1)/7)+1,MOD(11+WEEKDAY(DATE(PlanYear,5,1),2)-1,7)+1)=AA$5,", "&amp;12,"")&amp;IF(INDEX($I$25:$O$35,2*INT((12+WEEKDAY(DATE(PlanYear,5,1),2)-1)/7)+1,MOD(12+WEEKDAY(DATE(PlanYear,5,1),2)-1,7)+1)=AA$5,", "&amp;13,"")&amp;IF(INDEX($I$25:$O$35,2*INT((13+WEEKDAY(DATE(PlanYear,5,1),2)-1)/7)+1,MOD(13+WEEKDAY(DATE(PlanYear,5,1),2)-1,7)+1)=AA$5,", "&amp;14,"")&amp;IF(INDEX($I$25:$O$35,2*INT((14+WEEKDAY(DATE(PlanYear,5,1),2)-1)/7)+1,MOD(14+WEEKDAY(DATE(PlanYear,5,1),2)-1,7)+1)=AA$5,", "&amp;15,"")&amp;IF(INDEX($I$25:$O$35,2*INT((15+WEEKDAY(DATE(PlanYear,5,1),2)-1)/7)+1,MOD(15+WEEKDAY(DATE(PlanYear,5,1),2)-1,7)+1)=AA$5,", "&amp;16,"")&amp;IF(INDEX($I$25:$O$35,2*INT((16+WEEKDAY(DATE(PlanYear,5,1),2)-1)/7)+1,MOD(16+WEEKDAY(DATE(PlanYear,5,1),2)-1,7)+1)=AA$5,", "&amp;17,"")&amp;IF(INDEX($I$25:$O$35,2*INT((17+WEEKDAY(DATE(PlanYear,5,1),2)-1)/7)+1,MOD(17+WEEKDAY(DATE(PlanYear,5,1),2)-1,7)+1)=AA$5,", "&amp;18,"")&amp;IF(INDEX($I$25:$O$35,2*INT((18+WEEKDAY(DATE(PlanYear,5,1),2)-1)/7)+1,MOD(18+WEEKDAY(DATE(PlanYear,5,1),2)-1,7)+1)=AA$5,", "&amp;19,"")&amp;IF(INDEX($I$25:$O$35,2*INT((19+WEEKDAY(DATE(PlanYear,5,1),2)-1)/7)+1,MOD(19+WEEKDAY(DATE(PlanYear,5,1),2)-1,7)+1)=AA$5,", "&amp;20,"")&amp;IF(INDEX($I$25:$O$35,2*INT((20+WEEKDAY(DATE(PlanYear,5,1),2)-1)/7)+1,MOD(20+WEEKDAY(DATE(PlanYear,5,1),2)-1,7)+1)=AA$5,", "&amp;21,"")&amp;IF(INDEX($I$25:$O$35,2*INT((21+WEEKDAY(DATE(PlanYear,5,1),2)-1)/7)+1,MOD(21+WEEKDAY(DATE(PlanYear,5,1),2)-1,7)+1)=AA$5,", "&amp;22,"")&amp;IF(INDEX($I$25:$O$35,2*INT((22+WEEKDAY(DATE(PlanYear,5,1),2)-1)/7)+1,MOD(22+WEEKDAY(DATE(PlanYear,5,1),2)-1,7)+1)=AA$5,", "&amp;23,"")&amp;IF(INDEX($I$25:$O$35,2*INT((23+WEEKDAY(DATE(PlanYear,5,1),2)-1)/7)+1,MOD(23+WEEKDAY(DATE(PlanYear,5,1),2)-1,7)+1)=AA$5,", "&amp;24,"")&amp;IF(INDEX($I$25:$O$35,2*INT((24+WEEKDAY(DATE(PlanYear,5,1),2)-1)/7)+1,MOD(24+WEEKDAY(DATE(PlanYear,5,1),2)-1,7)+1)=AA$5,", "&amp;25,"")&amp;IF(INDEX($I$25:$O$35,2*INT((25+WEEKDAY(DATE(PlanYear,5,1),2)-1)/7)+1,MOD(25+WEEKDAY(DATE(PlanYear,5,1),2)-1,7)+1)=AA$5,", "&amp;26,"")&amp;IF(INDEX($I$25:$O$35,2*INT((26+WEEKDAY(DATE(PlanYear,5,1),2)-1)/7)+1,MOD(26+WEEKDAY(DATE(PlanYear,5,1),2)-1,7)+1)=AA$5,", "&amp;27,"")&amp;IF(INDEX($I$25:$O$35,2*INT((27+WEEKDAY(DATE(PlanYear,5,1),2)-1)/7)+1,MOD(27+WEEKDAY(DATE(PlanYear,5,1),2)-1,7)+1)=AA$5,", "&amp;28,"")&amp;IF(INDEX($I$25:$O$35,2*INT((28+WEEKDAY(DATE(PlanYear,5,1),2)-1)/7)+1,MOD(28+WEEKDAY(DATE(PlanYear,5,1),2)-1,7)+1)=AA$5,", "&amp;29,"")&amp;IF(INDEX($I$25:$O$35,2*INT((29+WEEKDAY(DATE(PlanYear,5,1),2)-1)/7)+1,MOD(29+WEEKDAY(DATE(PlanYear,5,1),2)-1,7)+1)=AA$5,", "&amp;30,"")&amp;IF(INDEX($I$25:$O$35,2*INT((30+WEEKDAY(DATE(PlanYear,5,1),2)-1)/7)+1,MOD(30+WEEKDAY(DATE(PlanYear,5,1),2)-1,7)+1)=AA$5,", "&amp;31,""),3,200))</f>
        <v/>
      </c>
      <c r="AB10" s="16">
        <f>IF(AB$5="","",MID(IF(INDEX($I$25:$O$35,2*INT((0+WEEKDAY(DATE(PlanYear,5,1),2)-1)/7)+1,MOD(0+WEEKDAY(DATE(PlanYear,5,1),2)-1,7)+1)=AB$5,", "&amp;1,"")&amp;IF(INDEX($I$25:$O$35,2*INT((1+WEEKDAY(DATE(PlanYear,5,1),2)-1)/7)+1,MOD(1+WEEKDAY(DATE(PlanYear,5,1),2)-1,7)+1)=AB$5,", "&amp;2,"")&amp;IF(INDEX($I$25:$O$35,2*INT((2+WEEKDAY(DATE(PlanYear,5,1),2)-1)/7)+1,MOD(2+WEEKDAY(DATE(PlanYear,5,1),2)-1,7)+1)=AB$5,", "&amp;3,"")&amp;IF(INDEX($I$25:$O$35,2*INT((3+WEEKDAY(DATE(PlanYear,5,1),2)-1)/7)+1,MOD(3+WEEKDAY(DATE(PlanYear,5,1),2)-1,7)+1)=AB$5,", "&amp;4,"")&amp;IF(INDEX($I$25:$O$35,2*INT((4+WEEKDAY(DATE(PlanYear,5,1),2)-1)/7)+1,MOD(4+WEEKDAY(DATE(PlanYear,5,1),2)-1,7)+1)=AB$5,", "&amp;5,"")&amp;IF(INDEX($I$25:$O$35,2*INT((5+WEEKDAY(DATE(PlanYear,5,1),2)-1)/7)+1,MOD(5+WEEKDAY(DATE(PlanYear,5,1),2)-1,7)+1)=AB$5,", "&amp;6,"")&amp;IF(INDEX($I$25:$O$35,2*INT((6+WEEKDAY(DATE(PlanYear,5,1),2)-1)/7)+1,MOD(6+WEEKDAY(DATE(PlanYear,5,1),2)-1,7)+1)=AB$5,", "&amp;7,"")&amp;IF(INDEX($I$25:$O$35,2*INT((7+WEEKDAY(DATE(PlanYear,5,1),2)-1)/7)+1,MOD(7+WEEKDAY(DATE(PlanYear,5,1),2)-1,7)+1)=AB$5,", "&amp;8,"")&amp;IF(INDEX($I$25:$O$35,2*INT((8+WEEKDAY(DATE(PlanYear,5,1),2)-1)/7)+1,MOD(8+WEEKDAY(DATE(PlanYear,5,1),2)-1,7)+1)=AB$5,", "&amp;9,"")&amp;IF(INDEX($I$25:$O$35,2*INT((9+WEEKDAY(DATE(PlanYear,5,1),2)-1)/7)+1,MOD(9+WEEKDAY(DATE(PlanYear,5,1),2)-1,7)+1)=AB$5,", "&amp;10,"")&amp;IF(INDEX($I$25:$O$35,2*INT((10+WEEKDAY(DATE(PlanYear,5,1),2)-1)/7)+1,MOD(10+WEEKDAY(DATE(PlanYear,5,1),2)-1,7)+1)=AB$5,", "&amp;11,"")&amp;IF(INDEX($I$25:$O$35,2*INT((11+WEEKDAY(DATE(PlanYear,5,1),2)-1)/7)+1,MOD(11+WEEKDAY(DATE(PlanYear,5,1),2)-1,7)+1)=AB$5,", "&amp;12,"")&amp;IF(INDEX($I$25:$O$35,2*INT((12+WEEKDAY(DATE(PlanYear,5,1),2)-1)/7)+1,MOD(12+WEEKDAY(DATE(PlanYear,5,1),2)-1,7)+1)=AB$5,", "&amp;13,"")&amp;IF(INDEX($I$25:$O$35,2*INT((13+WEEKDAY(DATE(PlanYear,5,1),2)-1)/7)+1,MOD(13+WEEKDAY(DATE(PlanYear,5,1),2)-1,7)+1)=AB$5,", "&amp;14,"")&amp;IF(INDEX($I$25:$O$35,2*INT((14+WEEKDAY(DATE(PlanYear,5,1),2)-1)/7)+1,MOD(14+WEEKDAY(DATE(PlanYear,5,1),2)-1,7)+1)=AB$5,", "&amp;15,"")&amp;IF(INDEX($I$25:$O$35,2*INT((15+WEEKDAY(DATE(PlanYear,5,1),2)-1)/7)+1,MOD(15+WEEKDAY(DATE(PlanYear,5,1),2)-1,7)+1)=AB$5,", "&amp;16,"")&amp;IF(INDEX($I$25:$O$35,2*INT((16+WEEKDAY(DATE(PlanYear,5,1),2)-1)/7)+1,MOD(16+WEEKDAY(DATE(PlanYear,5,1),2)-1,7)+1)=AB$5,", "&amp;17,"")&amp;IF(INDEX($I$25:$O$35,2*INT((17+WEEKDAY(DATE(PlanYear,5,1),2)-1)/7)+1,MOD(17+WEEKDAY(DATE(PlanYear,5,1),2)-1,7)+1)=AB$5,", "&amp;18,"")&amp;IF(INDEX($I$25:$O$35,2*INT((18+WEEKDAY(DATE(PlanYear,5,1),2)-1)/7)+1,MOD(18+WEEKDAY(DATE(PlanYear,5,1),2)-1,7)+1)=AB$5,", "&amp;19,"")&amp;IF(INDEX($I$25:$O$35,2*INT((19+WEEKDAY(DATE(PlanYear,5,1),2)-1)/7)+1,MOD(19+WEEKDAY(DATE(PlanYear,5,1),2)-1,7)+1)=AB$5,", "&amp;20,"")&amp;IF(INDEX($I$25:$O$35,2*INT((20+WEEKDAY(DATE(PlanYear,5,1),2)-1)/7)+1,MOD(20+WEEKDAY(DATE(PlanYear,5,1),2)-1,7)+1)=AB$5,", "&amp;21,"")&amp;IF(INDEX($I$25:$O$35,2*INT((21+WEEKDAY(DATE(PlanYear,5,1),2)-1)/7)+1,MOD(21+WEEKDAY(DATE(PlanYear,5,1),2)-1,7)+1)=AB$5,", "&amp;22,"")&amp;IF(INDEX($I$25:$O$35,2*INT((22+WEEKDAY(DATE(PlanYear,5,1),2)-1)/7)+1,MOD(22+WEEKDAY(DATE(PlanYear,5,1),2)-1,7)+1)=AB$5,", "&amp;23,"")&amp;IF(INDEX($I$25:$O$35,2*INT((23+WEEKDAY(DATE(PlanYear,5,1),2)-1)/7)+1,MOD(23+WEEKDAY(DATE(PlanYear,5,1),2)-1,7)+1)=AB$5,", "&amp;24,"")&amp;IF(INDEX($I$25:$O$35,2*INT((24+WEEKDAY(DATE(PlanYear,5,1),2)-1)/7)+1,MOD(24+WEEKDAY(DATE(PlanYear,5,1),2)-1,7)+1)=AB$5,", "&amp;25,"")&amp;IF(INDEX($I$25:$O$35,2*INT((25+WEEKDAY(DATE(PlanYear,5,1),2)-1)/7)+1,MOD(25+WEEKDAY(DATE(PlanYear,5,1),2)-1,7)+1)=AB$5,", "&amp;26,"")&amp;IF(INDEX($I$25:$O$35,2*INT((26+WEEKDAY(DATE(PlanYear,5,1),2)-1)/7)+1,MOD(26+WEEKDAY(DATE(PlanYear,5,1),2)-1,7)+1)=AB$5,", "&amp;27,"")&amp;IF(INDEX($I$25:$O$35,2*INT((27+WEEKDAY(DATE(PlanYear,5,1),2)-1)/7)+1,MOD(27+WEEKDAY(DATE(PlanYear,5,1),2)-1,7)+1)=AB$5,", "&amp;28,"")&amp;IF(INDEX($I$25:$O$35,2*INT((28+WEEKDAY(DATE(PlanYear,5,1),2)-1)/7)+1,MOD(28+WEEKDAY(DATE(PlanYear,5,1),2)-1,7)+1)=AB$5,", "&amp;29,"")&amp;IF(INDEX($I$25:$O$35,2*INT((29+WEEKDAY(DATE(PlanYear,5,1),2)-1)/7)+1,MOD(29+WEEKDAY(DATE(PlanYear,5,1),2)-1,7)+1)=AB$5,", "&amp;30,"")&amp;IF(INDEX($I$25:$O$35,2*INT((30+WEEKDAY(DATE(PlanYear,5,1),2)-1)/7)+1,MOD(30+WEEKDAY(DATE(PlanYear,5,1),2)-1,7)+1)=AB$5,", "&amp;31,""),3,200))</f>
        <v/>
      </c>
      <c r="AC10" s="16">
        <f>IF(AC$5="","",MID(IF(INDEX($I$25:$O$35,2*INT((0+WEEKDAY(DATE(PlanYear,5,1),2)-1)/7)+1,MOD(0+WEEKDAY(DATE(PlanYear,5,1),2)-1,7)+1)=AC$5,", "&amp;1,"")&amp;IF(INDEX($I$25:$O$35,2*INT((1+WEEKDAY(DATE(PlanYear,5,1),2)-1)/7)+1,MOD(1+WEEKDAY(DATE(PlanYear,5,1),2)-1,7)+1)=AC$5,", "&amp;2,"")&amp;IF(INDEX($I$25:$O$35,2*INT((2+WEEKDAY(DATE(PlanYear,5,1),2)-1)/7)+1,MOD(2+WEEKDAY(DATE(PlanYear,5,1),2)-1,7)+1)=AC$5,", "&amp;3,"")&amp;IF(INDEX($I$25:$O$35,2*INT((3+WEEKDAY(DATE(PlanYear,5,1),2)-1)/7)+1,MOD(3+WEEKDAY(DATE(PlanYear,5,1),2)-1,7)+1)=AC$5,", "&amp;4,"")&amp;IF(INDEX($I$25:$O$35,2*INT((4+WEEKDAY(DATE(PlanYear,5,1),2)-1)/7)+1,MOD(4+WEEKDAY(DATE(PlanYear,5,1),2)-1,7)+1)=AC$5,", "&amp;5,"")&amp;IF(INDEX($I$25:$O$35,2*INT((5+WEEKDAY(DATE(PlanYear,5,1),2)-1)/7)+1,MOD(5+WEEKDAY(DATE(PlanYear,5,1),2)-1,7)+1)=AC$5,", "&amp;6,"")&amp;IF(INDEX($I$25:$O$35,2*INT((6+WEEKDAY(DATE(PlanYear,5,1),2)-1)/7)+1,MOD(6+WEEKDAY(DATE(PlanYear,5,1),2)-1,7)+1)=AC$5,", "&amp;7,"")&amp;IF(INDEX($I$25:$O$35,2*INT((7+WEEKDAY(DATE(PlanYear,5,1),2)-1)/7)+1,MOD(7+WEEKDAY(DATE(PlanYear,5,1),2)-1,7)+1)=AC$5,", "&amp;8,"")&amp;IF(INDEX($I$25:$O$35,2*INT((8+WEEKDAY(DATE(PlanYear,5,1),2)-1)/7)+1,MOD(8+WEEKDAY(DATE(PlanYear,5,1),2)-1,7)+1)=AC$5,", "&amp;9,"")&amp;IF(INDEX($I$25:$O$35,2*INT((9+WEEKDAY(DATE(PlanYear,5,1),2)-1)/7)+1,MOD(9+WEEKDAY(DATE(PlanYear,5,1),2)-1,7)+1)=AC$5,", "&amp;10,"")&amp;IF(INDEX($I$25:$O$35,2*INT((10+WEEKDAY(DATE(PlanYear,5,1),2)-1)/7)+1,MOD(10+WEEKDAY(DATE(PlanYear,5,1),2)-1,7)+1)=AC$5,", "&amp;11,"")&amp;IF(INDEX($I$25:$O$35,2*INT((11+WEEKDAY(DATE(PlanYear,5,1),2)-1)/7)+1,MOD(11+WEEKDAY(DATE(PlanYear,5,1),2)-1,7)+1)=AC$5,", "&amp;12,"")&amp;IF(INDEX($I$25:$O$35,2*INT((12+WEEKDAY(DATE(PlanYear,5,1),2)-1)/7)+1,MOD(12+WEEKDAY(DATE(PlanYear,5,1),2)-1,7)+1)=AC$5,", "&amp;13,"")&amp;IF(INDEX($I$25:$O$35,2*INT((13+WEEKDAY(DATE(PlanYear,5,1),2)-1)/7)+1,MOD(13+WEEKDAY(DATE(PlanYear,5,1),2)-1,7)+1)=AC$5,", "&amp;14,"")&amp;IF(INDEX($I$25:$O$35,2*INT((14+WEEKDAY(DATE(PlanYear,5,1),2)-1)/7)+1,MOD(14+WEEKDAY(DATE(PlanYear,5,1),2)-1,7)+1)=AC$5,", "&amp;15,"")&amp;IF(INDEX($I$25:$O$35,2*INT((15+WEEKDAY(DATE(PlanYear,5,1),2)-1)/7)+1,MOD(15+WEEKDAY(DATE(PlanYear,5,1),2)-1,7)+1)=AC$5,", "&amp;16,"")&amp;IF(INDEX($I$25:$O$35,2*INT((16+WEEKDAY(DATE(PlanYear,5,1),2)-1)/7)+1,MOD(16+WEEKDAY(DATE(PlanYear,5,1),2)-1,7)+1)=AC$5,", "&amp;17,"")&amp;IF(INDEX($I$25:$O$35,2*INT((17+WEEKDAY(DATE(PlanYear,5,1),2)-1)/7)+1,MOD(17+WEEKDAY(DATE(PlanYear,5,1),2)-1,7)+1)=AC$5,", "&amp;18,"")&amp;IF(INDEX($I$25:$O$35,2*INT((18+WEEKDAY(DATE(PlanYear,5,1),2)-1)/7)+1,MOD(18+WEEKDAY(DATE(PlanYear,5,1),2)-1,7)+1)=AC$5,", "&amp;19,"")&amp;IF(INDEX($I$25:$O$35,2*INT((19+WEEKDAY(DATE(PlanYear,5,1),2)-1)/7)+1,MOD(19+WEEKDAY(DATE(PlanYear,5,1),2)-1,7)+1)=AC$5,", "&amp;20,"")&amp;IF(INDEX($I$25:$O$35,2*INT((20+WEEKDAY(DATE(PlanYear,5,1),2)-1)/7)+1,MOD(20+WEEKDAY(DATE(PlanYear,5,1),2)-1,7)+1)=AC$5,", "&amp;21,"")&amp;IF(INDEX($I$25:$O$35,2*INT((21+WEEKDAY(DATE(PlanYear,5,1),2)-1)/7)+1,MOD(21+WEEKDAY(DATE(PlanYear,5,1),2)-1,7)+1)=AC$5,", "&amp;22,"")&amp;IF(INDEX($I$25:$O$35,2*INT((22+WEEKDAY(DATE(PlanYear,5,1),2)-1)/7)+1,MOD(22+WEEKDAY(DATE(PlanYear,5,1),2)-1,7)+1)=AC$5,", "&amp;23,"")&amp;IF(INDEX($I$25:$O$35,2*INT((23+WEEKDAY(DATE(PlanYear,5,1),2)-1)/7)+1,MOD(23+WEEKDAY(DATE(PlanYear,5,1),2)-1,7)+1)=AC$5,", "&amp;24,"")&amp;IF(INDEX($I$25:$O$35,2*INT((24+WEEKDAY(DATE(PlanYear,5,1),2)-1)/7)+1,MOD(24+WEEKDAY(DATE(PlanYear,5,1),2)-1,7)+1)=AC$5,", "&amp;25,"")&amp;IF(INDEX($I$25:$O$35,2*INT((25+WEEKDAY(DATE(PlanYear,5,1),2)-1)/7)+1,MOD(25+WEEKDAY(DATE(PlanYear,5,1),2)-1,7)+1)=AC$5,", "&amp;26,"")&amp;IF(INDEX($I$25:$O$35,2*INT((26+WEEKDAY(DATE(PlanYear,5,1),2)-1)/7)+1,MOD(26+WEEKDAY(DATE(PlanYear,5,1),2)-1,7)+1)=AC$5,", "&amp;27,"")&amp;IF(INDEX($I$25:$O$35,2*INT((27+WEEKDAY(DATE(PlanYear,5,1),2)-1)/7)+1,MOD(27+WEEKDAY(DATE(PlanYear,5,1),2)-1,7)+1)=AC$5,", "&amp;28,"")&amp;IF(INDEX($I$25:$O$35,2*INT((28+WEEKDAY(DATE(PlanYear,5,1),2)-1)/7)+1,MOD(28+WEEKDAY(DATE(PlanYear,5,1),2)-1,7)+1)=AC$5,", "&amp;29,"")&amp;IF(INDEX($I$25:$O$35,2*INT((29+WEEKDAY(DATE(PlanYear,5,1),2)-1)/7)+1,MOD(29+WEEKDAY(DATE(PlanYear,5,1),2)-1,7)+1)=AC$5,", "&amp;30,"")&amp;IF(INDEX($I$25:$O$35,2*INT((30+WEEKDAY(DATE(PlanYear,5,1),2)-1)/7)+1,MOD(30+WEEKDAY(DATE(PlanYear,5,1),2)-1,7)+1)=AC$5,", "&amp;31,""),3,200))</f>
        <v/>
      </c>
      <c r="AD10" s="16">
        <f>IF(AD$5="","",MID(IF(INDEX($I$25:$O$35,2*INT((0+WEEKDAY(DATE(PlanYear,5,1),2)-1)/7)+1,MOD(0+WEEKDAY(DATE(PlanYear,5,1),2)-1,7)+1)=AD$5,", "&amp;1,"")&amp;IF(INDEX($I$25:$O$35,2*INT((1+WEEKDAY(DATE(PlanYear,5,1),2)-1)/7)+1,MOD(1+WEEKDAY(DATE(PlanYear,5,1),2)-1,7)+1)=AD$5,", "&amp;2,"")&amp;IF(INDEX($I$25:$O$35,2*INT((2+WEEKDAY(DATE(PlanYear,5,1),2)-1)/7)+1,MOD(2+WEEKDAY(DATE(PlanYear,5,1),2)-1,7)+1)=AD$5,", "&amp;3,"")&amp;IF(INDEX($I$25:$O$35,2*INT((3+WEEKDAY(DATE(PlanYear,5,1),2)-1)/7)+1,MOD(3+WEEKDAY(DATE(PlanYear,5,1),2)-1,7)+1)=AD$5,", "&amp;4,"")&amp;IF(INDEX($I$25:$O$35,2*INT((4+WEEKDAY(DATE(PlanYear,5,1),2)-1)/7)+1,MOD(4+WEEKDAY(DATE(PlanYear,5,1),2)-1,7)+1)=AD$5,", "&amp;5,"")&amp;IF(INDEX($I$25:$O$35,2*INT((5+WEEKDAY(DATE(PlanYear,5,1),2)-1)/7)+1,MOD(5+WEEKDAY(DATE(PlanYear,5,1),2)-1,7)+1)=AD$5,", "&amp;6,"")&amp;IF(INDEX($I$25:$O$35,2*INT((6+WEEKDAY(DATE(PlanYear,5,1),2)-1)/7)+1,MOD(6+WEEKDAY(DATE(PlanYear,5,1),2)-1,7)+1)=AD$5,", "&amp;7,"")&amp;IF(INDEX($I$25:$O$35,2*INT((7+WEEKDAY(DATE(PlanYear,5,1),2)-1)/7)+1,MOD(7+WEEKDAY(DATE(PlanYear,5,1),2)-1,7)+1)=AD$5,", "&amp;8,"")&amp;IF(INDEX($I$25:$O$35,2*INT((8+WEEKDAY(DATE(PlanYear,5,1),2)-1)/7)+1,MOD(8+WEEKDAY(DATE(PlanYear,5,1),2)-1,7)+1)=AD$5,", "&amp;9,"")&amp;IF(INDEX($I$25:$O$35,2*INT((9+WEEKDAY(DATE(PlanYear,5,1),2)-1)/7)+1,MOD(9+WEEKDAY(DATE(PlanYear,5,1),2)-1,7)+1)=AD$5,", "&amp;10,"")&amp;IF(INDEX($I$25:$O$35,2*INT((10+WEEKDAY(DATE(PlanYear,5,1),2)-1)/7)+1,MOD(10+WEEKDAY(DATE(PlanYear,5,1),2)-1,7)+1)=AD$5,", "&amp;11,"")&amp;IF(INDEX($I$25:$O$35,2*INT((11+WEEKDAY(DATE(PlanYear,5,1),2)-1)/7)+1,MOD(11+WEEKDAY(DATE(PlanYear,5,1),2)-1,7)+1)=AD$5,", "&amp;12,"")&amp;IF(INDEX($I$25:$O$35,2*INT((12+WEEKDAY(DATE(PlanYear,5,1),2)-1)/7)+1,MOD(12+WEEKDAY(DATE(PlanYear,5,1),2)-1,7)+1)=AD$5,", "&amp;13,"")&amp;IF(INDEX($I$25:$O$35,2*INT((13+WEEKDAY(DATE(PlanYear,5,1),2)-1)/7)+1,MOD(13+WEEKDAY(DATE(PlanYear,5,1),2)-1,7)+1)=AD$5,", "&amp;14,"")&amp;IF(INDEX($I$25:$O$35,2*INT((14+WEEKDAY(DATE(PlanYear,5,1),2)-1)/7)+1,MOD(14+WEEKDAY(DATE(PlanYear,5,1),2)-1,7)+1)=AD$5,", "&amp;15,"")&amp;IF(INDEX($I$25:$O$35,2*INT((15+WEEKDAY(DATE(PlanYear,5,1),2)-1)/7)+1,MOD(15+WEEKDAY(DATE(PlanYear,5,1),2)-1,7)+1)=AD$5,", "&amp;16,"")&amp;IF(INDEX($I$25:$O$35,2*INT((16+WEEKDAY(DATE(PlanYear,5,1),2)-1)/7)+1,MOD(16+WEEKDAY(DATE(PlanYear,5,1),2)-1,7)+1)=AD$5,", "&amp;17,"")&amp;IF(INDEX($I$25:$O$35,2*INT((17+WEEKDAY(DATE(PlanYear,5,1),2)-1)/7)+1,MOD(17+WEEKDAY(DATE(PlanYear,5,1),2)-1,7)+1)=AD$5,", "&amp;18,"")&amp;IF(INDEX($I$25:$O$35,2*INT((18+WEEKDAY(DATE(PlanYear,5,1),2)-1)/7)+1,MOD(18+WEEKDAY(DATE(PlanYear,5,1),2)-1,7)+1)=AD$5,", "&amp;19,"")&amp;IF(INDEX($I$25:$O$35,2*INT((19+WEEKDAY(DATE(PlanYear,5,1),2)-1)/7)+1,MOD(19+WEEKDAY(DATE(PlanYear,5,1),2)-1,7)+1)=AD$5,", "&amp;20,"")&amp;IF(INDEX($I$25:$O$35,2*INT((20+WEEKDAY(DATE(PlanYear,5,1),2)-1)/7)+1,MOD(20+WEEKDAY(DATE(PlanYear,5,1),2)-1,7)+1)=AD$5,", "&amp;21,"")&amp;IF(INDEX($I$25:$O$35,2*INT((21+WEEKDAY(DATE(PlanYear,5,1),2)-1)/7)+1,MOD(21+WEEKDAY(DATE(PlanYear,5,1),2)-1,7)+1)=AD$5,", "&amp;22,"")&amp;IF(INDEX($I$25:$O$35,2*INT((22+WEEKDAY(DATE(PlanYear,5,1),2)-1)/7)+1,MOD(22+WEEKDAY(DATE(PlanYear,5,1),2)-1,7)+1)=AD$5,", "&amp;23,"")&amp;IF(INDEX($I$25:$O$35,2*INT((23+WEEKDAY(DATE(PlanYear,5,1),2)-1)/7)+1,MOD(23+WEEKDAY(DATE(PlanYear,5,1),2)-1,7)+1)=AD$5,", "&amp;24,"")&amp;IF(INDEX($I$25:$O$35,2*INT((24+WEEKDAY(DATE(PlanYear,5,1),2)-1)/7)+1,MOD(24+WEEKDAY(DATE(PlanYear,5,1),2)-1,7)+1)=AD$5,", "&amp;25,"")&amp;IF(INDEX($I$25:$O$35,2*INT((25+WEEKDAY(DATE(PlanYear,5,1),2)-1)/7)+1,MOD(25+WEEKDAY(DATE(PlanYear,5,1),2)-1,7)+1)=AD$5,", "&amp;26,"")&amp;IF(INDEX($I$25:$O$35,2*INT((26+WEEKDAY(DATE(PlanYear,5,1),2)-1)/7)+1,MOD(26+WEEKDAY(DATE(PlanYear,5,1),2)-1,7)+1)=AD$5,", "&amp;27,"")&amp;IF(INDEX($I$25:$O$35,2*INT((27+WEEKDAY(DATE(PlanYear,5,1),2)-1)/7)+1,MOD(27+WEEKDAY(DATE(PlanYear,5,1),2)-1,7)+1)=AD$5,", "&amp;28,"")&amp;IF(INDEX($I$25:$O$35,2*INT((28+WEEKDAY(DATE(PlanYear,5,1),2)-1)/7)+1,MOD(28+WEEKDAY(DATE(PlanYear,5,1),2)-1,7)+1)=AD$5,", "&amp;29,"")&amp;IF(INDEX($I$25:$O$35,2*INT((29+WEEKDAY(DATE(PlanYear,5,1),2)-1)/7)+1,MOD(29+WEEKDAY(DATE(PlanYear,5,1),2)-1,7)+1)=AD$5,", "&amp;30,"")&amp;IF(INDEX($I$25:$O$35,2*INT((30+WEEKDAY(DATE(PlanYear,5,1),2)-1)/7)+1,MOD(30+WEEKDAY(DATE(PlanYear,5,1),2)-1,7)+1)=AD$5,", "&amp;31,""),3,200))</f>
        <v/>
      </c>
      <c r="AE10" s="16">
        <f>IF(AE$5="","",MID(IF(INDEX($I$25:$O$35,2*INT((0+WEEKDAY(DATE(PlanYear,5,1),2)-1)/7)+1,MOD(0+WEEKDAY(DATE(PlanYear,5,1),2)-1,7)+1)=AE$5,", "&amp;1,"")&amp;IF(INDEX($I$25:$O$35,2*INT((1+WEEKDAY(DATE(PlanYear,5,1),2)-1)/7)+1,MOD(1+WEEKDAY(DATE(PlanYear,5,1),2)-1,7)+1)=AE$5,", "&amp;2,"")&amp;IF(INDEX($I$25:$O$35,2*INT((2+WEEKDAY(DATE(PlanYear,5,1),2)-1)/7)+1,MOD(2+WEEKDAY(DATE(PlanYear,5,1),2)-1,7)+1)=AE$5,", "&amp;3,"")&amp;IF(INDEX($I$25:$O$35,2*INT((3+WEEKDAY(DATE(PlanYear,5,1),2)-1)/7)+1,MOD(3+WEEKDAY(DATE(PlanYear,5,1),2)-1,7)+1)=AE$5,", "&amp;4,"")&amp;IF(INDEX($I$25:$O$35,2*INT((4+WEEKDAY(DATE(PlanYear,5,1),2)-1)/7)+1,MOD(4+WEEKDAY(DATE(PlanYear,5,1),2)-1,7)+1)=AE$5,", "&amp;5,"")&amp;IF(INDEX($I$25:$O$35,2*INT((5+WEEKDAY(DATE(PlanYear,5,1),2)-1)/7)+1,MOD(5+WEEKDAY(DATE(PlanYear,5,1),2)-1,7)+1)=AE$5,", "&amp;6,"")&amp;IF(INDEX($I$25:$O$35,2*INT((6+WEEKDAY(DATE(PlanYear,5,1),2)-1)/7)+1,MOD(6+WEEKDAY(DATE(PlanYear,5,1),2)-1,7)+1)=AE$5,", "&amp;7,"")&amp;IF(INDEX($I$25:$O$35,2*INT((7+WEEKDAY(DATE(PlanYear,5,1),2)-1)/7)+1,MOD(7+WEEKDAY(DATE(PlanYear,5,1),2)-1,7)+1)=AE$5,", "&amp;8,"")&amp;IF(INDEX($I$25:$O$35,2*INT((8+WEEKDAY(DATE(PlanYear,5,1),2)-1)/7)+1,MOD(8+WEEKDAY(DATE(PlanYear,5,1),2)-1,7)+1)=AE$5,", "&amp;9,"")&amp;IF(INDEX($I$25:$O$35,2*INT((9+WEEKDAY(DATE(PlanYear,5,1),2)-1)/7)+1,MOD(9+WEEKDAY(DATE(PlanYear,5,1),2)-1,7)+1)=AE$5,", "&amp;10,"")&amp;IF(INDEX($I$25:$O$35,2*INT((10+WEEKDAY(DATE(PlanYear,5,1),2)-1)/7)+1,MOD(10+WEEKDAY(DATE(PlanYear,5,1),2)-1,7)+1)=AE$5,", "&amp;11,"")&amp;IF(INDEX($I$25:$O$35,2*INT((11+WEEKDAY(DATE(PlanYear,5,1),2)-1)/7)+1,MOD(11+WEEKDAY(DATE(PlanYear,5,1),2)-1,7)+1)=AE$5,", "&amp;12,"")&amp;IF(INDEX($I$25:$O$35,2*INT((12+WEEKDAY(DATE(PlanYear,5,1),2)-1)/7)+1,MOD(12+WEEKDAY(DATE(PlanYear,5,1),2)-1,7)+1)=AE$5,", "&amp;13,"")&amp;IF(INDEX($I$25:$O$35,2*INT((13+WEEKDAY(DATE(PlanYear,5,1),2)-1)/7)+1,MOD(13+WEEKDAY(DATE(PlanYear,5,1),2)-1,7)+1)=AE$5,", "&amp;14,"")&amp;IF(INDEX($I$25:$O$35,2*INT((14+WEEKDAY(DATE(PlanYear,5,1),2)-1)/7)+1,MOD(14+WEEKDAY(DATE(PlanYear,5,1),2)-1,7)+1)=AE$5,", "&amp;15,"")&amp;IF(INDEX($I$25:$O$35,2*INT((15+WEEKDAY(DATE(PlanYear,5,1),2)-1)/7)+1,MOD(15+WEEKDAY(DATE(PlanYear,5,1),2)-1,7)+1)=AE$5,", "&amp;16,"")&amp;IF(INDEX($I$25:$O$35,2*INT((16+WEEKDAY(DATE(PlanYear,5,1),2)-1)/7)+1,MOD(16+WEEKDAY(DATE(PlanYear,5,1),2)-1,7)+1)=AE$5,", "&amp;17,"")&amp;IF(INDEX($I$25:$O$35,2*INT((17+WEEKDAY(DATE(PlanYear,5,1),2)-1)/7)+1,MOD(17+WEEKDAY(DATE(PlanYear,5,1),2)-1,7)+1)=AE$5,", "&amp;18,"")&amp;IF(INDEX($I$25:$O$35,2*INT((18+WEEKDAY(DATE(PlanYear,5,1),2)-1)/7)+1,MOD(18+WEEKDAY(DATE(PlanYear,5,1),2)-1,7)+1)=AE$5,", "&amp;19,"")&amp;IF(INDEX($I$25:$O$35,2*INT((19+WEEKDAY(DATE(PlanYear,5,1),2)-1)/7)+1,MOD(19+WEEKDAY(DATE(PlanYear,5,1),2)-1,7)+1)=AE$5,", "&amp;20,"")&amp;IF(INDEX($I$25:$O$35,2*INT((20+WEEKDAY(DATE(PlanYear,5,1),2)-1)/7)+1,MOD(20+WEEKDAY(DATE(PlanYear,5,1),2)-1,7)+1)=AE$5,", "&amp;21,"")&amp;IF(INDEX($I$25:$O$35,2*INT((21+WEEKDAY(DATE(PlanYear,5,1),2)-1)/7)+1,MOD(21+WEEKDAY(DATE(PlanYear,5,1),2)-1,7)+1)=AE$5,", "&amp;22,"")&amp;IF(INDEX($I$25:$O$35,2*INT((22+WEEKDAY(DATE(PlanYear,5,1),2)-1)/7)+1,MOD(22+WEEKDAY(DATE(PlanYear,5,1),2)-1,7)+1)=AE$5,", "&amp;23,"")&amp;IF(INDEX($I$25:$O$35,2*INT((23+WEEKDAY(DATE(PlanYear,5,1),2)-1)/7)+1,MOD(23+WEEKDAY(DATE(PlanYear,5,1),2)-1,7)+1)=AE$5,", "&amp;24,"")&amp;IF(INDEX($I$25:$O$35,2*INT((24+WEEKDAY(DATE(PlanYear,5,1),2)-1)/7)+1,MOD(24+WEEKDAY(DATE(PlanYear,5,1),2)-1,7)+1)=AE$5,", "&amp;25,"")&amp;IF(INDEX($I$25:$O$35,2*INT((25+WEEKDAY(DATE(PlanYear,5,1),2)-1)/7)+1,MOD(25+WEEKDAY(DATE(PlanYear,5,1),2)-1,7)+1)=AE$5,", "&amp;26,"")&amp;IF(INDEX($I$25:$O$35,2*INT((26+WEEKDAY(DATE(PlanYear,5,1),2)-1)/7)+1,MOD(26+WEEKDAY(DATE(PlanYear,5,1),2)-1,7)+1)=AE$5,", "&amp;27,"")&amp;IF(INDEX($I$25:$O$35,2*INT((27+WEEKDAY(DATE(PlanYear,5,1),2)-1)/7)+1,MOD(27+WEEKDAY(DATE(PlanYear,5,1),2)-1,7)+1)=AE$5,", "&amp;28,"")&amp;IF(INDEX($I$25:$O$35,2*INT((28+WEEKDAY(DATE(PlanYear,5,1),2)-1)/7)+1,MOD(28+WEEKDAY(DATE(PlanYear,5,1),2)-1,7)+1)=AE$5,", "&amp;29,"")&amp;IF(INDEX($I$25:$O$35,2*INT((29+WEEKDAY(DATE(PlanYear,5,1),2)-1)/7)+1,MOD(29+WEEKDAY(DATE(PlanYear,5,1),2)-1,7)+1)=AE$5,", "&amp;30,"")&amp;IF(INDEX($I$25:$O$35,2*INT((30+WEEKDAY(DATE(PlanYear,5,1),2)-1)/7)+1,MOD(30+WEEKDAY(DATE(PlanYear,5,1),2)-1,7)+1)=AE$5,", "&amp;31,""),3,200))</f>
        <v/>
      </c>
      <c r="AF10" s="16">
        <f>IF(AF$5="","",MID(IF(INDEX($I$25:$O$35,2*INT((0+WEEKDAY(DATE(PlanYear,5,1),2)-1)/7)+1,MOD(0+WEEKDAY(DATE(PlanYear,5,1),2)-1,7)+1)=AF$5,", "&amp;1,"")&amp;IF(INDEX($I$25:$O$35,2*INT((1+WEEKDAY(DATE(PlanYear,5,1),2)-1)/7)+1,MOD(1+WEEKDAY(DATE(PlanYear,5,1),2)-1,7)+1)=AF$5,", "&amp;2,"")&amp;IF(INDEX($I$25:$O$35,2*INT((2+WEEKDAY(DATE(PlanYear,5,1),2)-1)/7)+1,MOD(2+WEEKDAY(DATE(PlanYear,5,1),2)-1,7)+1)=AF$5,", "&amp;3,"")&amp;IF(INDEX($I$25:$O$35,2*INT((3+WEEKDAY(DATE(PlanYear,5,1),2)-1)/7)+1,MOD(3+WEEKDAY(DATE(PlanYear,5,1),2)-1,7)+1)=AF$5,", "&amp;4,"")&amp;IF(INDEX($I$25:$O$35,2*INT((4+WEEKDAY(DATE(PlanYear,5,1),2)-1)/7)+1,MOD(4+WEEKDAY(DATE(PlanYear,5,1),2)-1,7)+1)=AF$5,", "&amp;5,"")&amp;IF(INDEX($I$25:$O$35,2*INT((5+WEEKDAY(DATE(PlanYear,5,1),2)-1)/7)+1,MOD(5+WEEKDAY(DATE(PlanYear,5,1),2)-1,7)+1)=AF$5,", "&amp;6,"")&amp;IF(INDEX($I$25:$O$35,2*INT((6+WEEKDAY(DATE(PlanYear,5,1),2)-1)/7)+1,MOD(6+WEEKDAY(DATE(PlanYear,5,1),2)-1,7)+1)=AF$5,", "&amp;7,"")&amp;IF(INDEX($I$25:$O$35,2*INT((7+WEEKDAY(DATE(PlanYear,5,1),2)-1)/7)+1,MOD(7+WEEKDAY(DATE(PlanYear,5,1),2)-1,7)+1)=AF$5,", "&amp;8,"")&amp;IF(INDEX($I$25:$O$35,2*INT((8+WEEKDAY(DATE(PlanYear,5,1),2)-1)/7)+1,MOD(8+WEEKDAY(DATE(PlanYear,5,1),2)-1,7)+1)=AF$5,", "&amp;9,"")&amp;IF(INDEX($I$25:$O$35,2*INT((9+WEEKDAY(DATE(PlanYear,5,1),2)-1)/7)+1,MOD(9+WEEKDAY(DATE(PlanYear,5,1),2)-1,7)+1)=AF$5,", "&amp;10,"")&amp;IF(INDEX($I$25:$O$35,2*INT((10+WEEKDAY(DATE(PlanYear,5,1),2)-1)/7)+1,MOD(10+WEEKDAY(DATE(PlanYear,5,1),2)-1,7)+1)=AF$5,", "&amp;11,"")&amp;IF(INDEX($I$25:$O$35,2*INT((11+WEEKDAY(DATE(PlanYear,5,1),2)-1)/7)+1,MOD(11+WEEKDAY(DATE(PlanYear,5,1),2)-1,7)+1)=AF$5,", "&amp;12,"")&amp;IF(INDEX($I$25:$O$35,2*INT((12+WEEKDAY(DATE(PlanYear,5,1),2)-1)/7)+1,MOD(12+WEEKDAY(DATE(PlanYear,5,1),2)-1,7)+1)=AF$5,", "&amp;13,"")&amp;IF(INDEX($I$25:$O$35,2*INT((13+WEEKDAY(DATE(PlanYear,5,1),2)-1)/7)+1,MOD(13+WEEKDAY(DATE(PlanYear,5,1),2)-1,7)+1)=AF$5,", "&amp;14,"")&amp;IF(INDEX($I$25:$O$35,2*INT((14+WEEKDAY(DATE(PlanYear,5,1),2)-1)/7)+1,MOD(14+WEEKDAY(DATE(PlanYear,5,1),2)-1,7)+1)=AF$5,", "&amp;15,"")&amp;IF(INDEX($I$25:$O$35,2*INT((15+WEEKDAY(DATE(PlanYear,5,1),2)-1)/7)+1,MOD(15+WEEKDAY(DATE(PlanYear,5,1),2)-1,7)+1)=AF$5,", "&amp;16,"")&amp;IF(INDEX($I$25:$O$35,2*INT((16+WEEKDAY(DATE(PlanYear,5,1),2)-1)/7)+1,MOD(16+WEEKDAY(DATE(PlanYear,5,1),2)-1,7)+1)=AF$5,", "&amp;17,"")&amp;IF(INDEX($I$25:$O$35,2*INT((17+WEEKDAY(DATE(PlanYear,5,1),2)-1)/7)+1,MOD(17+WEEKDAY(DATE(PlanYear,5,1),2)-1,7)+1)=AF$5,", "&amp;18,"")&amp;IF(INDEX($I$25:$O$35,2*INT((18+WEEKDAY(DATE(PlanYear,5,1),2)-1)/7)+1,MOD(18+WEEKDAY(DATE(PlanYear,5,1),2)-1,7)+1)=AF$5,", "&amp;19,"")&amp;IF(INDEX($I$25:$O$35,2*INT((19+WEEKDAY(DATE(PlanYear,5,1),2)-1)/7)+1,MOD(19+WEEKDAY(DATE(PlanYear,5,1),2)-1,7)+1)=AF$5,", "&amp;20,"")&amp;IF(INDEX($I$25:$O$35,2*INT((20+WEEKDAY(DATE(PlanYear,5,1),2)-1)/7)+1,MOD(20+WEEKDAY(DATE(PlanYear,5,1),2)-1,7)+1)=AF$5,", "&amp;21,"")&amp;IF(INDEX($I$25:$O$35,2*INT((21+WEEKDAY(DATE(PlanYear,5,1),2)-1)/7)+1,MOD(21+WEEKDAY(DATE(PlanYear,5,1),2)-1,7)+1)=AF$5,", "&amp;22,"")&amp;IF(INDEX($I$25:$O$35,2*INT((22+WEEKDAY(DATE(PlanYear,5,1),2)-1)/7)+1,MOD(22+WEEKDAY(DATE(PlanYear,5,1),2)-1,7)+1)=AF$5,", "&amp;23,"")&amp;IF(INDEX($I$25:$O$35,2*INT((23+WEEKDAY(DATE(PlanYear,5,1),2)-1)/7)+1,MOD(23+WEEKDAY(DATE(PlanYear,5,1),2)-1,7)+1)=AF$5,", "&amp;24,"")&amp;IF(INDEX($I$25:$O$35,2*INT((24+WEEKDAY(DATE(PlanYear,5,1),2)-1)/7)+1,MOD(24+WEEKDAY(DATE(PlanYear,5,1),2)-1,7)+1)=AF$5,", "&amp;25,"")&amp;IF(INDEX($I$25:$O$35,2*INT((25+WEEKDAY(DATE(PlanYear,5,1),2)-1)/7)+1,MOD(25+WEEKDAY(DATE(PlanYear,5,1),2)-1,7)+1)=AF$5,", "&amp;26,"")&amp;IF(INDEX($I$25:$O$35,2*INT((26+WEEKDAY(DATE(PlanYear,5,1),2)-1)/7)+1,MOD(26+WEEKDAY(DATE(PlanYear,5,1),2)-1,7)+1)=AF$5,", "&amp;27,"")&amp;IF(INDEX($I$25:$O$35,2*INT((27+WEEKDAY(DATE(PlanYear,5,1),2)-1)/7)+1,MOD(27+WEEKDAY(DATE(PlanYear,5,1),2)-1,7)+1)=AF$5,", "&amp;28,"")&amp;IF(INDEX($I$25:$O$35,2*INT((28+WEEKDAY(DATE(PlanYear,5,1),2)-1)/7)+1,MOD(28+WEEKDAY(DATE(PlanYear,5,1),2)-1,7)+1)=AF$5,", "&amp;29,"")&amp;IF(INDEX($I$25:$O$35,2*INT((29+WEEKDAY(DATE(PlanYear,5,1),2)-1)/7)+1,MOD(29+WEEKDAY(DATE(PlanYear,5,1),2)-1,7)+1)=AF$5,", "&amp;30,"")&amp;IF(INDEX($I$25:$O$35,2*INT((30+WEEKDAY(DATE(PlanYear,5,1),2)-1)/7)+1,MOD(30+WEEKDAY(DATE(PlanYear,5,1),2)-1,7)+1)=AF$5,", "&amp;31,""),3,200))</f>
        <v/>
      </c>
      <c r="AG10" s="16">
        <f>IF(AG$5="","",MID(IF(INDEX($I$25:$O$35,2*INT((0+WEEKDAY(DATE(PlanYear,5,1),2)-1)/7)+1,MOD(0+WEEKDAY(DATE(PlanYear,5,1),2)-1,7)+1)=AG$5,", "&amp;1,"")&amp;IF(INDEX($I$25:$O$35,2*INT((1+WEEKDAY(DATE(PlanYear,5,1),2)-1)/7)+1,MOD(1+WEEKDAY(DATE(PlanYear,5,1),2)-1,7)+1)=AG$5,", "&amp;2,"")&amp;IF(INDEX($I$25:$O$35,2*INT((2+WEEKDAY(DATE(PlanYear,5,1),2)-1)/7)+1,MOD(2+WEEKDAY(DATE(PlanYear,5,1),2)-1,7)+1)=AG$5,", "&amp;3,"")&amp;IF(INDEX($I$25:$O$35,2*INT((3+WEEKDAY(DATE(PlanYear,5,1),2)-1)/7)+1,MOD(3+WEEKDAY(DATE(PlanYear,5,1),2)-1,7)+1)=AG$5,", "&amp;4,"")&amp;IF(INDEX($I$25:$O$35,2*INT((4+WEEKDAY(DATE(PlanYear,5,1),2)-1)/7)+1,MOD(4+WEEKDAY(DATE(PlanYear,5,1),2)-1,7)+1)=AG$5,", "&amp;5,"")&amp;IF(INDEX($I$25:$O$35,2*INT((5+WEEKDAY(DATE(PlanYear,5,1),2)-1)/7)+1,MOD(5+WEEKDAY(DATE(PlanYear,5,1),2)-1,7)+1)=AG$5,", "&amp;6,"")&amp;IF(INDEX($I$25:$O$35,2*INT((6+WEEKDAY(DATE(PlanYear,5,1),2)-1)/7)+1,MOD(6+WEEKDAY(DATE(PlanYear,5,1),2)-1,7)+1)=AG$5,", "&amp;7,"")&amp;IF(INDEX($I$25:$O$35,2*INT((7+WEEKDAY(DATE(PlanYear,5,1),2)-1)/7)+1,MOD(7+WEEKDAY(DATE(PlanYear,5,1),2)-1,7)+1)=AG$5,", "&amp;8,"")&amp;IF(INDEX($I$25:$O$35,2*INT((8+WEEKDAY(DATE(PlanYear,5,1),2)-1)/7)+1,MOD(8+WEEKDAY(DATE(PlanYear,5,1),2)-1,7)+1)=AG$5,", "&amp;9,"")&amp;IF(INDEX($I$25:$O$35,2*INT((9+WEEKDAY(DATE(PlanYear,5,1),2)-1)/7)+1,MOD(9+WEEKDAY(DATE(PlanYear,5,1),2)-1,7)+1)=AG$5,", "&amp;10,"")&amp;IF(INDEX($I$25:$O$35,2*INT((10+WEEKDAY(DATE(PlanYear,5,1),2)-1)/7)+1,MOD(10+WEEKDAY(DATE(PlanYear,5,1),2)-1,7)+1)=AG$5,", "&amp;11,"")&amp;IF(INDEX($I$25:$O$35,2*INT((11+WEEKDAY(DATE(PlanYear,5,1),2)-1)/7)+1,MOD(11+WEEKDAY(DATE(PlanYear,5,1),2)-1,7)+1)=AG$5,", "&amp;12,"")&amp;IF(INDEX($I$25:$O$35,2*INT((12+WEEKDAY(DATE(PlanYear,5,1),2)-1)/7)+1,MOD(12+WEEKDAY(DATE(PlanYear,5,1),2)-1,7)+1)=AG$5,", "&amp;13,"")&amp;IF(INDEX($I$25:$O$35,2*INT((13+WEEKDAY(DATE(PlanYear,5,1),2)-1)/7)+1,MOD(13+WEEKDAY(DATE(PlanYear,5,1),2)-1,7)+1)=AG$5,", "&amp;14,"")&amp;IF(INDEX($I$25:$O$35,2*INT((14+WEEKDAY(DATE(PlanYear,5,1),2)-1)/7)+1,MOD(14+WEEKDAY(DATE(PlanYear,5,1),2)-1,7)+1)=AG$5,", "&amp;15,"")&amp;IF(INDEX($I$25:$O$35,2*INT((15+WEEKDAY(DATE(PlanYear,5,1),2)-1)/7)+1,MOD(15+WEEKDAY(DATE(PlanYear,5,1),2)-1,7)+1)=AG$5,", "&amp;16,"")&amp;IF(INDEX($I$25:$O$35,2*INT((16+WEEKDAY(DATE(PlanYear,5,1),2)-1)/7)+1,MOD(16+WEEKDAY(DATE(PlanYear,5,1),2)-1,7)+1)=AG$5,", "&amp;17,"")&amp;IF(INDEX($I$25:$O$35,2*INT((17+WEEKDAY(DATE(PlanYear,5,1),2)-1)/7)+1,MOD(17+WEEKDAY(DATE(PlanYear,5,1),2)-1,7)+1)=AG$5,", "&amp;18,"")&amp;IF(INDEX($I$25:$O$35,2*INT((18+WEEKDAY(DATE(PlanYear,5,1),2)-1)/7)+1,MOD(18+WEEKDAY(DATE(PlanYear,5,1),2)-1,7)+1)=AG$5,", "&amp;19,"")&amp;IF(INDEX($I$25:$O$35,2*INT((19+WEEKDAY(DATE(PlanYear,5,1),2)-1)/7)+1,MOD(19+WEEKDAY(DATE(PlanYear,5,1),2)-1,7)+1)=AG$5,", "&amp;20,"")&amp;IF(INDEX($I$25:$O$35,2*INT((20+WEEKDAY(DATE(PlanYear,5,1),2)-1)/7)+1,MOD(20+WEEKDAY(DATE(PlanYear,5,1),2)-1,7)+1)=AG$5,", "&amp;21,"")&amp;IF(INDEX($I$25:$O$35,2*INT((21+WEEKDAY(DATE(PlanYear,5,1),2)-1)/7)+1,MOD(21+WEEKDAY(DATE(PlanYear,5,1),2)-1,7)+1)=AG$5,", "&amp;22,"")&amp;IF(INDEX($I$25:$O$35,2*INT((22+WEEKDAY(DATE(PlanYear,5,1),2)-1)/7)+1,MOD(22+WEEKDAY(DATE(PlanYear,5,1),2)-1,7)+1)=AG$5,", "&amp;23,"")&amp;IF(INDEX($I$25:$O$35,2*INT((23+WEEKDAY(DATE(PlanYear,5,1),2)-1)/7)+1,MOD(23+WEEKDAY(DATE(PlanYear,5,1),2)-1,7)+1)=AG$5,", "&amp;24,"")&amp;IF(INDEX($I$25:$O$35,2*INT((24+WEEKDAY(DATE(PlanYear,5,1),2)-1)/7)+1,MOD(24+WEEKDAY(DATE(PlanYear,5,1),2)-1,7)+1)=AG$5,", "&amp;25,"")&amp;IF(INDEX($I$25:$O$35,2*INT((25+WEEKDAY(DATE(PlanYear,5,1),2)-1)/7)+1,MOD(25+WEEKDAY(DATE(PlanYear,5,1),2)-1,7)+1)=AG$5,", "&amp;26,"")&amp;IF(INDEX($I$25:$O$35,2*INT((26+WEEKDAY(DATE(PlanYear,5,1),2)-1)/7)+1,MOD(26+WEEKDAY(DATE(PlanYear,5,1),2)-1,7)+1)=AG$5,", "&amp;27,"")&amp;IF(INDEX($I$25:$O$35,2*INT((27+WEEKDAY(DATE(PlanYear,5,1),2)-1)/7)+1,MOD(27+WEEKDAY(DATE(PlanYear,5,1),2)-1,7)+1)=AG$5,", "&amp;28,"")&amp;IF(INDEX($I$25:$O$35,2*INT((28+WEEKDAY(DATE(PlanYear,5,1),2)-1)/7)+1,MOD(28+WEEKDAY(DATE(PlanYear,5,1),2)-1,7)+1)=AG$5,", "&amp;29,"")&amp;IF(INDEX($I$25:$O$35,2*INT((29+WEEKDAY(DATE(PlanYear,5,1),2)-1)/7)+1,MOD(29+WEEKDAY(DATE(PlanYear,5,1),2)-1,7)+1)=AG$5,", "&amp;30,"")&amp;IF(INDEX($I$25:$O$35,2*INT((30+WEEKDAY(DATE(PlanYear,5,1),2)-1)/7)+1,MOD(30+WEEKDAY(DATE(PlanYear,5,1),2)-1,7)+1)=AG$5,", "&amp;31,""),3,200))</f>
        <v/>
      </c>
      <c r="AH10" s="16">
        <f>IF(AH$5="","",MID(IF(INDEX($I$25:$O$35,2*INT((0+WEEKDAY(DATE(PlanYear,5,1),2)-1)/7)+1,MOD(0+WEEKDAY(DATE(PlanYear,5,1),2)-1,7)+1)=AH$5,", "&amp;1,"")&amp;IF(INDEX($I$25:$O$35,2*INT((1+WEEKDAY(DATE(PlanYear,5,1),2)-1)/7)+1,MOD(1+WEEKDAY(DATE(PlanYear,5,1),2)-1,7)+1)=AH$5,", "&amp;2,"")&amp;IF(INDEX($I$25:$O$35,2*INT((2+WEEKDAY(DATE(PlanYear,5,1),2)-1)/7)+1,MOD(2+WEEKDAY(DATE(PlanYear,5,1),2)-1,7)+1)=AH$5,", "&amp;3,"")&amp;IF(INDEX($I$25:$O$35,2*INT((3+WEEKDAY(DATE(PlanYear,5,1),2)-1)/7)+1,MOD(3+WEEKDAY(DATE(PlanYear,5,1),2)-1,7)+1)=AH$5,", "&amp;4,"")&amp;IF(INDEX($I$25:$O$35,2*INT((4+WEEKDAY(DATE(PlanYear,5,1),2)-1)/7)+1,MOD(4+WEEKDAY(DATE(PlanYear,5,1),2)-1,7)+1)=AH$5,", "&amp;5,"")&amp;IF(INDEX($I$25:$O$35,2*INT((5+WEEKDAY(DATE(PlanYear,5,1),2)-1)/7)+1,MOD(5+WEEKDAY(DATE(PlanYear,5,1),2)-1,7)+1)=AH$5,", "&amp;6,"")&amp;IF(INDEX($I$25:$O$35,2*INT((6+WEEKDAY(DATE(PlanYear,5,1),2)-1)/7)+1,MOD(6+WEEKDAY(DATE(PlanYear,5,1),2)-1,7)+1)=AH$5,", "&amp;7,"")&amp;IF(INDEX($I$25:$O$35,2*INT((7+WEEKDAY(DATE(PlanYear,5,1),2)-1)/7)+1,MOD(7+WEEKDAY(DATE(PlanYear,5,1),2)-1,7)+1)=AH$5,", "&amp;8,"")&amp;IF(INDEX($I$25:$O$35,2*INT((8+WEEKDAY(DATE(PlanYear,5,1),2)-1)/7)+1,MOD(8+WEEKDAY(DATE(PlanYear,5,1),2)-1,7)+1)=AH$5,", "&amp;9,"")&amp;IF(INDEX($I$25:$O$35,2*INT((9+WEEKDAY(DATE(PlanYear,5,1),2)-1)/7)+1,MOD(9+WEEKDAY(DATE(PlanYear,5,1),2)-1,7)+1)=AH$5,", "&amp;10,"")&amp;IF(INDEX($I$25:$O$35,2*INT((10+WEEKDAY(DATE(PlanYear,5,1),2)-1)/7)+1,MOD(10+WEEKDAY(DATE(PlanYear,5,1),2)-1,7)+1)=AH$5,", "&amp;11,"")&amp;IF(INDEX($I$25:$O$35,2*INT((11+WEEKDAY(DATE(PlanYear,5,1),2)-1)/7)+1,MOD(11+WEEKDAY(DATE(PlanYear,5,1),2)-1,7)+1)=AH$5,", "&amp;12,"")&amp;IF(INDEX($I$25:$O$35,2*INT((12+WEEKDAY(DATE(PlanYear,5,1),2)-1)/7)+1,MOD(12+WEEKDAY(DATE(PlanYear,5,1),2)-1,7)+1)=AH$5,", "&amp;13,"")&amp;IF(INDEX($I$25:$O$35,2*INT((13+WEEKDAY(DATE(PlanYear,5,1),2)-1)/7)+1,MOD(13+WEEKDAY(DATE(PlanYear,5,1),2)-1,7)+1)=AH$5,", "&amp;14,"")&amp;IF(INDEX($I$25:$O$35,2*INT((14+WEEKDAY(DATE(PlanYear,5,1),2)-1)/7)+1,MOD(14+WEEKDAY(DATE(PlanYear,5,1),2)-1,7)+1)=AH$5,", "&amp;15,"")&amp;IF(INDEX($I$25:$O$35,2*INT((15+WEEKDAY(DATE(PlanYear,5,1),2)-1)/7)+1,MOD(15+WEEKDAY(DATE(PlanYear,5,1),2)-1,7)+1)=AH$5,", "&amp;16,"")&amp;IF(INDEX($I$25:$O$35,2*INT((16+WEEKDAY(DATE(PlanYear,5,1),2)-1)/7)+1,MOD(16+WEEKDAY(DATE(PlanYear,5,1),2)-1,7)+1)=AH$5,", "&amp;17,"")&amp;IF(INDEX($I$25:$O$35,2*INT((17+WEEKDAY(DATE(PlanYear,5,1),2)-1)/7)+1,MOD(17+WEEKDAY(DATE(PlanYear,5,1),2)-1,7)+1)=AH$5,", "&amp;18,"")&amp;IF(INDEX($I$25:$O$35,2*INT((18+WEEKDAY(DATE(PlanYear,5,1),2)-1)/7)+1,MOD(18+WEEKDAY(DATE(PlanYear,5,1),2)-1,7)+1)=AH$5,", "&amp;19,"")&amp;IF(INDEX($I$25:$O$35,2*INT((19+WEEKDAY(DATE(PlanYear,5,1),2)-1)/7)+1,MOD(19+WEEKDAY(DATE(PlanYear,5,1),2)-1,7)+1)=AH$5,", "&amp;20,"")&amp;IF(INDEX($I$25:$O$35,2*INT((20+WEEKDAY(DATE(PlanYear,5,1),2)-1)/7)+1,MOD(20+WEEKDAY(DATE(PlanYear,5,1),2)-1,7)+1)=AH$5,", "&amp;21,"")&amp;IF(INDEX($I$25:$O$35,2*INT((21+WEEKDAY(DATE(PlanYear,5,1),2)-1)/7)+1,MOD(21+WEEKDAY(DATE(PlanYear,5,1),2)-1,7)+1)=AH$5,", "&amp;22,"")&amp;IF(INDEX($I$25:$O$35,2*INT((22+WEEKDAY(DATE(PlanYear,5,1),2)-1)/7)+1,MOD(22+WEEKDAY(DATE(PlanYear,5,1),2)-1,7)+1)=AH$5,", "&amp;23,"")&amp;IF(INDEX($I$25:$O$35,2*INT((23+WEEKDAY(DATE(PlanYear,5,1),2)-1)/7)+1,MOD(23+WEEKDAY(DATE(PlanYear,5,1),2)-1,7)+1)=AH$5,", "&amp;24,"")&amp;IF(INDEX($I$25:$O$35,2*INT((24+WEEKDAY(DATE(PlanYear,5,1),2)-1)/7)+1,MOD(24+WEEKDAY(DATE(PlanYear,5,1),2)-1,7)+1)=AH$5,", "&amp;25,"")&amp;IF(INDEX($I$25:$O$35,2*INT((25+WEEKDAY(DATE(PlanYear,5,1),2)-1)/7)+1,MOD(25+WEEKDAY(DATE(PlanYear,5,1),2)-1,7)+1)=AH$5,", "&amp;26,"")&amp;IF(INDEX($I$25:$O$35,2*INT((26+WEEKDAY(DATE(PlanYear,5,1),2)-1)/7)+1,MOD(26+WEEKDAY(DATE(PlanYear,5,1),2)-1,7)+1)=AH$5,", "&amp;27,"")&amp;IF(INDEX($I$25:$O$35,2*INT((27+WEEKDAY(DATE(PlanYear,5,1),2)-1)/7)+1,MOD(27+WEEKDAY(DATE(PlanYear,5,1),2)-1,7)+1)=AH$5,", "&amp;28,"")&amp;IF(INDEX($I$25:$O$35,2*INT((28+WEEKDAY(DATE(PlanYear,5,1),2)-1)/7)+1,MOD(28+WEEKDAY(DATE(PlanYear,5,1),2)-1,7)+1)=AH$5,", "&amp;29,"")&amp;IF(INDEX($I$25:$O$35,2*INT((29+WEEKDAY(DATE(PlanYear,5,1),2)-1)/7)+1,MOD(29+WEEKDAY(DATE(PlanYear,5,1),2)-1,7)+1)=AH$5,", "&amp;30,"")&amp;IF(INDEX($I$25:$O$35,2*INT((30+WEEKDAY(DATE(PlanYear,5,1),2)-1)/7)+1,MOD(30+WEEKDAY(DATE(PlanYear,5,1),2)-1,7)+1)=AH$5,", "&amp;31,""),3,200))</f>
        <v/>
      </c>
      <c r="AI10" s="16">
        <f>IF(AI$5="","",MID(IF(INDEX($I$25:$O$35,2*INT((0+WEEKDAY(DATE(PlanYear,5,1),2)-1)/7)+1,MOD(0+WEEKDAY(DATE(PlanYear,5,1),2)-1,7)+1)=AI$5,", "&amp;1,"")&amp;IF(INDEX($I$25:$O$35,2*INT((1+WEEKDAY(DATE(PlanYear,5,1),2)-1)/7)+1,MOD(1+WEEKDAY(DATE(PlanYear,5,1),2)-1,7)+1)=AI$5,", "&amp;2,"")&amp;IF(INDEX($I$25:$O$35,2*INT((2+WEEKDAY(DATE(PlanYear,5,1),2)-1)/7)+1,MOD(2+WEEKDAY(DATE(PlanYear,5,1),2)-1,7)+1)=AI$5,", "&amp;3,"")&amp;IF(INDEX($I$25:$O$35,2*INT((3+WEEKDAY(DATE(PlanYear,5,1),2)-1)/7)+1,MOD(3+WEEKDAY(DATE(PlanYear,5,1),2)-1,7)+1)=AI$5,", "&amp;4,"")&amp;IF(INDEX($I$25:$O$35,2*INT((4+WEEKDAY(DATE(PlanYear,5,1),2)-1)/7)+1,MOD(4+WEEKDAY(DATE(PlanYear,5,1),2)-1,7)+1)=AI$5,", "&amp;5,"")&amp;IF(INDEX($I$25:$O$35,2*INT((5+WEEKDAY(DATE(PlanYear,5,1),2)-1)/7)+1,MOD(5+WEEKDAY(DATE(PlanYear,5,1),2)-1,7)+1)=AI$5,", "&amp;6,"")&amp;IF(INDEX($I$25:$O$35,2*INT((6+WEEKDAY(DATE(PlanYear,5,1),2)-1)/7)+1,MOD(6+WEEKDAY(DATE(PlanYear,5,1),2)-1,7)+1)=AI$5,", "&amp;7,"")&amp;IF(INDEX($I$25:$O$35,2*INT((7+WEEKDAY(DATE(PlanYear,5,1),2)-1)/7)+1,MOD(7+WEEKDAY(DATE(PlanYear,5,1),2)-1,7)+1)=AI$5,", "&amp;8,"")&amp;IF(INDEX($I$25:$O$35,2*INT((8+WEEKDAY(DATE(PlanYear,5,1),2)-1)/7)+1,MOD(8+WEEKDAY(DATE(PlanYear,5,1),2)-1,7)+1)=AI$5,", "&amp;9,"")&amp;IF(INDEX($I$25:$O$35,2*INT((9+WEEKDAY(DATE(PlanYear,5,1),2)-1)/7)+1,MOD(9+WEEKDAY(DATE(PlanYear,5,1),2)-1,7)+1)=AI$5,", "&amp;10,"")&amp;IF(INDEX($I$25:$O$35,2*INT((10+WEEKDAY(DATE(PlanYear,5,1),2)-1)/7)+1,MOD(10+WEEKDAY(DATE(PlanYear,5,1),2)-1,7)+1)=AI$5,", "&amp;11,"")&amp;IF(INDEX($I$25:$O$35,2*INT((11+WEEKDAY(DATE(PlanYear,5,1),2)-1)/7)+1,MOD(11+WEEKDAY(DATE(PlanYear,5,1),2)-1,7)+1)=AI$5,", "&amp;12,"")&amp;IF(INDEX($I$25:$O$35,2*INT((12+WEEKDAY(DATE(PlanYear,5,1),2)-1)/7)+1,MOD(12+WEEKDAY(DATE(PlanYear,5,1),2)-1,7)+1)=AI$5,", "&amp;13,"")&amp;IF(INDEX($I$25:$O$35,2*INT((13+WEEKDAY(DATE(PlanYear,5,1),2)-1)/7)+1,MOD(13+WEEKDAY(DATE(PlanYear,5,1),2)-1,7)+1)=AI$5,", "&amp;14,"")&amp;IF(INDEX($I$25:$O$35,2*INT((14+WEEKDAY(DATE(PlanYear,5,1),2)-1)/7)+1,MOD(14+WEEKDAY(DATE(PlanYear,5,1),2)-1,7)+1)=AI$5,", "&amp;15,"")&amp;IF(INDEX($I$25:$O$35,2*INT((15+WEEKDAY(DATE(PlanYear,5,1),2)-1)/7)+1,MOD(15+WEEKDAY(DATE(PlanYear,5,1),2)-1,7)+1)=AI$5,", "&amp;16,"")&amp;IF(INDEX($I$25:$O$35,2*INT((16+WEEKDAY(DATE(PlanYear,5,1),2)-1)/7)+1,MOD(16+WEEKDAY(DATE(PlanYear,5,1),2)-1,7)+1)=AI$5,", "&amp;17,"")&amp;IF(INDEX($I$25:$O$35,2*INT((17+WEEKDAY(DATE(PlanYear,5,1),2)-1)/7)+1,MOD(17+WEEKDAY(DATE(PlanYear,5,1),2)-1,7)+1)=AI$5,", "&amp;18,"")&amp;IF(INDEX($I$25:$O$35,2*INT((18+WEEKDAY(DATE(PlanYear,5,1),2)-1)/7)+1,MOD(18+WEEKDAY(DATE(PlanYear,5,1),2)-1,7)+1)=AI$5,", "&amp;19,"")&amp;IF(INDEX($I$25:$O$35,2*INT((19+WEEKDAY(DATE(PlanYear,5,1),2)-1)/7)+1,MOD(19+WEEKDAY(DATE(PlanYear,5,1),2)-1,7)+1)=AI$5,", "&amp;20,"")&amp;IF(INDEX($I$25:$O$35,2*INT((20+WEEKDAY(DATE(PlanYear,5,1),2)-1)/7)+1,MOD(20+WEEKDAY(DATE(PlanYear,5,1),2)-1,7)+1)=AI$5,", "&amp;21,"")&amp;IF(INDEX($I$25:$O$35,2*INT((21+WEEKDAY(DATE(PlanYear,5,1),2)-1)/7)+1,MOD(21+WEEKDAY(DATE(PlanYear,5,1),2)-1,7)+1)=AI$5,", "&amp;22,"")&amp;IF(INDEX($I$25:$O$35,2*INT((22+WEEKDAY(DATE(PlanYear,5,1),2)-1)/7)+1,MOD(22+WEEKDAY(DATE(PlanYear,5,1),2)-1,7)+1)=AI$5,", "&amp;23,"")&amp;IF(INDEX($I$25:$O$35,2*INT((23+WEEKDAY(DATE(PlanYear,5,1),2)-1)/7)+1,MOD(23+WEEKDAY(DATE(PlanYear,5,1),2)-1,7)+1)=AI$5,", "&amp;24,"")&amp;IF(INDEX($I$25:$O$35,2*INT((24+WEEKDAY(DATE(PlanYear,5,1),2)-1)/7)+1,MOD(24+WEEKDAY(DATE(PlanYear,5,1),2)-1,7)+1)=AI$5,", "&amp;25,"")&amp;IF(INDEX($I$25:$O$35,2*INT((25+WEEKDAY(DATE(PlanYear,5,1),2)-1)/7)+1,MOD(25+WEEKDAY(DATE(PlanYear,5,1),2)-1,7)+1)=AI$5,", "&amp;26,"")&amp;IF(INDEX($I$25:$O$35,2*INT((26+WEEKDAY(DATE(PlanYear,5,1),2)-1)/7)+1,MOD(26+WEEKDAY(DATE(PlanYear,5,1),2)-1,7)+1)=AI$5,", "&amp;27,"")&amp;IF(INDEX($I$25:$O$35,2*INT((27+WEEKDAY(DATE(PlanYear,5,1),2)-1)/7)+1,MOD(27+WEEKDAY(DATE(PlanYear,5,1),2)-1,7)+1)=AI$5,", "&amp;28,"")&amp;IF(INDEX($I$25:$O$35,2*INT((28+WEEKDAY(DATE(PlanYear,5,1),2)-1)/7)+1,MOD(28+WEEKDAY(DATE(PlanYear,5,1),2)-1,7)+1)=AI$5,", "&amp;29,"")&amp;IF(INDEX($I$25:$O$35,2*INT((29+WEEKDAY(DATE(PlanYear,5,1),2)-1)/7)+1,MOD(29+WEEKDAY(DATE(PlanYear,5,1),2)-1,7)+1)=AI$5,", "&amp;30,"")&amp;IF(INDEX($I$25:$O$35,2*INT((30+WEEKDAY(DATE(PlanYear,5,1),2)-1)/7)+1,MOD(30+WEEKDAY(DATE(PlanYear,5,1),2)-1,7)+1)=AI$5,", "&amp;31,""),3,200))</f>
        <v/>
      </c>
      <c r="AJ10" s="16">
        <f>IF(AJ$5="","",MID(IF(INDEX($I$25:$O$35,2*INT((0+WEEKDAY(DATE(PlanYear,5,1),2)-1)/7)+1,MOD(0+WEEKDAY(DATE(PlanYear,5,1),2)-1,7)+1)=AJ$5,", "&amp;1,"")&amp;IF(INDEX($I$25:$O$35,2*INT((1+WEEKDAY(DATE(PlanYear,5,1),2)-1)/7)+1,MOD(1+WEEKDAY(DATE(PlanYear,5,1),2)-1,7)+1)=AJ$5,", "&amp;2,"")&amp;IF(INDEX($I$25:$O$35,2*INT((2+WEEKDAY(DATE(PlanYear,5,1),2)-1)/7)+1,MOD(2+WEEKDAY(DATE(PlanYear,5,1),2)-1,7)+1)=AJ$5,", "&amp;3,"")&amp;IF(INDEX($I$25:$O$35,2*INT((3+WEEKDAY(DATE(PlanYear,5,1),2)-1)/7)+1,MOD(3+WEEKDAY(DATE(PlanYear,5,1),2)-1,7)+1)=AJ$5,", "&amp;4,"")&amp;IF(INDEX($I$25:$O$35,2*INT((4+WEEKDAY(DATE(PlanYear,5,1),2)-1)/7)+1,MOD(4+WEEKDAY(DATE(PlanYear,5,1),2)-1,7)+1)=AJ$5,", "&amp;5,"")&amp;IF(INDEX($I$25:$O$35,2*INT((5+WEEKDAY(DATE(PlanYear,5,1),2)-1)/7)+1,MOD(5+WEEKDAY(DATE(PlanYear,5,1),2)-1,7)+1)=AJ$5,", "&amp;6,"")&amp;IF(INDEX($I$25:$O$35,2*INT((6+WEEKDAY(DATE(PlanYear,5,1),2)-1)/7)+1,MOD(6+WEEKDAY(DATE(PlanYear,5,1),2)-1,7)+1)=AJ$5,", "&amp;7,"")&amp;IF(INDEX($I$25:$O$35,2*INT((7+WEEKDAY(DATE(PlanYear,5,1),2)-1)/7)+1,MOD(7+WEEKDAY(DATE(PlanYear,5,1),2)-1,7)+1)=AJ$5,", "&amp;8,"")&amp;IF(INDEX($I$25:$O$35,2*INT((8+WEEKDAY(DATE(PlanYear,5,1),2)-1)/7)+1,MOD(8+WEEKDAY(DATE(PlanYear,5,1),2)-1,7)+1)=AJ$5,", "&amp;9,"")&amp;IF(INDEX($I$25:$O$35,2*INT((9+WEEKDAY(DATE(PlanYear,5,1),2)-1)/7)+1,MOD(9+WEEKDAY(DATE(PlanYear,5,1),2)-1,7)+1)=AJ$5,", "&amp;10,"")&amp;IF(INDEX($I$25:$O$35,2*INT((10+WEEKDAY(DATE(PlanYear,5,1),2)-1)/7)+1,MOD(10+WEEKDAY(DATE(PlanYear,5,1),2)-1,7)+1)=AJ$5,", "&amp;11,"")&amp;IF(INDEX($I$25:$O$35,2*INT((11+WEEKDAY(DATE(PlanYear,5,1),2)-1)/7)+1,MOD(11+WEEKDAY(DATE(PlanYear,5,1),2)-1,7)+1)=AJ$5,", "&amp;12,"")&amp;IF(INDEX($I$25:$O$35,2*INT((12+WEEKDAY(DATE(PlanYear,5,1),2)-1)/7)+1,MOD(12+WEEKDAY(DATE(PlanYear,5,1),2)-1,7)+1)=AJ$5,", "&amp;13,"")&amp;IF(INDEX($I$25:$O$35,2*INT((13+WEEKDAY(DATE(PlanYear,5,1),2)-1)/7)+1,MOD(13+WEEKDAY(DATE(PlanYear,5,1),2)-1,7)+1)=AJ$5,", "&amp;14,"")&amp;IF(INDEX($I$25:$O$35,2*INT((14+WEEKDAY(DATE(PlanYear,5,1),2)-1)/7)+1,MOD(14+WEEKDAY(DATE(PlanYear,5,1),2)-1,7)+1)=AJ$5,", "&amp;15,"")&amp;IF(INDEX($I$25:$O$35,2*INT((15+WEEKDAY(DATE(PlanYear,5,1),2)-1)/7)+1,MOD(15+WEEKDAY(DATE(PlanYear,5,1),2)-1,7)+1)=AJ$5,", "&amp;16,"")&amp;IF(INDEX($I$25:$O$35,2*INT((16+WEEKDAY(DATE(PlanYear,5,1),2)-1)/7)+1,MOD(16+WEEKDAY(DATE(PlanYear,5,1),2)-1,7)+1)=AJ$5,", "&amp;17,"")&amp;IF(INDEX($I$25:$O$35,2*INT((17+WEEKDAY(DATE(PlanYear,5,1),2)-1)/7)+1,MOD(17+WEEKDAY(DATE(PlanYear,5,1),2)-1,7)+1)=AJ$5,", "&amp;18,"")&amp;IF(INDEX($I$25:$O$35,2*INT((18+WEEKDAY(DATE(PlanYear,5,1),2)-1)/7)+1,MOD(18+WEEKDAY(DATE(PlanYear,5,1),2)-1,7)+1)=AJ$5,", "&amp;19,"")&amp;IF(INDEX($I$25:$O$35,2*INT((19+WEEKDAY(DATE(PlanYear,5,1),2)-1)/7)+1,MOD(19+WEEKDAY(DATE(PlanYear,5,1),2)-1,7)+1)=AJ$5,", "&amp;20,"")&amp;IF(INDEX($I$25:$O$35,2*INT((20+WEEKDAY(DATE(PlanYear,5,1),2)-1)/7)+1,MOD(20+WEEKDAY(DATE(PlanYear,5,1),2)-1,7)+1)=AJ$5,", "&amp;21,"")&amp;IF(INDEX($I$25:$O$35,2*INT((21+WEEKDAY(DATE(PlanYear,5,1),2)-1)/7)+1,MOD(21+WEEKDAY(DATE(PlanYear,5,1),2)-1,7)+1)=AJ$5,", "&amp;22,"")&amp;IF(INDEX($I$25:$O$35,2*INT((22+WEEKDAY(DATE(PlanYear,5,1),2)-1)/7)+1,MOD(22+WEEKDAY(DATE(PlanYear,5,1),2)-1,7)+1)=AJ$5,", "&amp;23,"")&amp;IF(INDEX($I$25:$O$35,2*INT((23+WEEKDAY(DATE(PlanYear,5,1),2)-1)/7)+1,MOD(23+WEEKDAY(DATE(PlanYear,5,1),2)-1,7)+1)=AJ$5,", "&amp;24,"")&amp;IF(INDEX($I$25:$O$35,2*INT((24+WEEKDAY(DATE(PlanYear,5,1),2)-1)/7)+1,MOD(24+WEEKDAY(DATE(PlanYear,5,1),2)-1,7)+1)=AJ$5,", "&amp;25,"")&amp;IF(INDEX($I$25:$O$35,2*INT((25+WEEKDAY(DATE(PlanYear,5,1),2)-1)/7)+1,MOD(25+WEEKDAY(DATE(PlanYear,5,1),2)-1,7)+1)=AJ$5,", "&amp;26,"")&amp;IF(INDEX($I$25:$O$35,2*INT((26+WEEKDAY(DATE(PlanYear,5,1),2)-1)/7)+1,MOD(26+WEEKDAY(DATE(PlanYear,5,1),2)-1,7)+1)=AJ$5,", "&amp;27,"")&amp;IF(INDEX($I$25:$O$35,2*INT((27+WEEKDAY(DATE(PlanYear,5,1),2)-1)/7)+1,MOD(27+WEEKDAY(DATE(PlanYear,5,1),2)-1,7)+1)=AJ$5,", "&amp;28,"")&amp;IF(INDEX($I$25:$O$35,2*INT((28+WEEKDAY(DATE(PlanYear,5,1),2)-1)/7)+1,MOD(28+WEEKDAY(DATE(PlanYear,5,1),2)-1,7)+1)=AJ$5,", "&amp;29,"")&amp;IF(INDEX($I$25:$O$35,2*INT((29+WEEKDAY(DATE(PlanYear,5,1),2)-1)/7)+1,MOD(29+WEEKDAY(DATE(PlanYear,5,1),2)-1,7)+1)=AJ$5,", "&amp;30,"")&amp;IF(INDEX($I$25:$O$35,2*INT((30+WEEKDAY(DATE(PlanYear,5,1),2)-1)/7)+1,MOD(30+WEEKDAY(DATE(PlanYear,5,1),2)-1,7)+1)=AJ$5,", "&amp;31,""),3,200))</f>
        <v/>
      </c>
      <c r="AK10" s="17">
        <f>DAY(EOMONTH(DATE(PlanYear,5,1),0))-COUNTIF($I$25:$O$35,"?*")</f>
        <v/>
      </c>
    </row>
    <row r="11" ht="26" customHeight="1">
      <c r="A11" s="21" t="n"/>
      <c r="B11" s="21" t="n"/>
      <c r="C11" s="21" t="n"/>
      <c r="D11" s="21" t="n"/>
      <c r="E11" s="21" t="n"/>
      <c r="F11" s="21" t="n"/>
      <c r="G11" s="21" t="n"/>
      <c r="I11" s="21" t="n"/>
      <c r="J11" s="21" t="n"/>
      <c r="K11" s="21" t="n"/>
      <c r="L11" s="21" t="n"/>
      <c r="M11" s="21" t="n"/>
      <c r="N11" s="21" t="n"/>
      <c r="O11" s="21" t="n"/>
      <c r="Q11" s="21" t="n"/>
      <c r="R11" s="21" t="n"/>
      <c r="S11" s="21" t="n"/>
      <c r="T11" s="21" t="n"/>
      <c r="U11" s="21" t="n"/>
      <c r="V11" s="21" t="n"/>
      <c r="W11" s="21" t="n"/>
      <c r="Z11" s="15" t="inlineStr">
        <is>
          <t>June</t>
        </is>
      </c>
      <c r="AA11" s="16">
        <f>IF(AA$5="","",MID(IF(INDEX($Q$25:$W$35,2*INT((0+WEEKDAY(DATE(PlanYear,6,1),2)-1)/7)+1,MOD(0+WEEKDAY(DATE(PlanYear,6,1),2)-1,7)+1)=AA$5,", "&amp;1,"")&amp;IF(INDEX($Q$25:$W$35,2*INT((1+WEEKDAY(DATE(PlanYear,6,1),2)-1)/7)+1,MOD(1+WEEKDAY(DATE(PlanYear,6,1),2)-1,7)+1)=AA$5,", "&amp;2,"")&amp;IF(INDEX($Q$25:$W$35,2*INT((2+WEEKDAY(DATE(PlanYear,6,1),2)-1)/7)+1,MOD(2+WEEKDAY(DATE(PlanYear,6,1),2)-1,7)+1)=AA$5,", "&amp;3,"")&amp;IF(INDEX($Q$25:$W$35,2*INT((3+WEEKDAY(DATE(PlanYear,6,1),2)-1)/7)+1,MOD(3+WEEKDAY(DATE(PlanYear,6,1),2)-1,7)+1)=AA$5,", "&amp;4,"")&amp;IF(INDEX($Q$25:$W$35,2*INT((4+WEEKDAY(DATE(PlanYear,6,1),2)-1)/7)+1,MOD(4+WEEKDAY(DATE(PlanYear,6,1),2)-1,7)+1)=AA$5,", "&amp;5,"")&amp;IF(INDEX($Q$25:$W$35,2*INT((5+WEEKDAY(DATE(PlanYear,6,1),2)-1)/7)+1,MOD(5+WEEKDAY(DATE(PlanYear,6,1),2)-1,7)+1)=AA$5,", "&amp;6,"")&amp;IF(INDEX($Q$25:$W$35,2*INT((6+WEEKDAY(DATE(PlanYear,6,1),2)-1)/7)+1,MOD(6+WEEKDAY(DATE(PlanYear,6,1),2)-1,7)+1)=AA$5,", "&amp;7,"")&amp;IF(INDEX($Q$25:$W$35,2*INT((7+WEEKDAY(DATE(PlanYear,6,1),2)-1)/7)+1,MOD(7+WEEKDAY(DATE(PlanYear,6,1),2)-1,7)+1)=AA$5,", "&amp;8,"")&amp;IF(INDEX($Q$25:$W$35,2*INT((8+WEEKDAY(DATE(PlanYear,6,1),2)-1)/7)+1,MOD(8+WEEKDAY(DATE(PlanYear,6,1),2)-1,7)+1)=AA$5,", "&amp;9,"")&amp;IF(INDEX($Q$25:$W$35,2*INT((9+WEEKDAY(DATE(PlanYear,6,1),2)-1)/7)+1,MOD(9+WEEKDAY(DATE(PlanYear,6,1),2)-1,7)+1)=AA$5,", "&amp;10,"")&amp;IF(INDEX($Q$25:$W$35,2*INT((10+WEEKDAY(DATE(PlanYear,6,1),2)-1)/7)+1,MOD(10+WEEKDAY(DATE(PlanYear,6,1),2)-1,7)+1)=AA$5,", "&amp;11,"")&amp;IF(INDEX($Q$25:$W$35,2*INT((11+WEEKDAY(DATE(PlanYear,6,1),2)-1)/7)+1,MOD(11+WEEKDAY(DATE(PlanYear,6,1),2)-1,7)+1)=AA$5,", "&amp;12,"")&amp;IF(INDEX($Q$25:$W$35,2*INT((12+WEEKDAY(DATE(PlanYear,6,1),2)-1)/7)+1,MOD(12+WEEKDAY(DATE(PlanYear,6,1),2)-1,7)+1)=AA$5,", "&amp;13,"")&amp;IF(INDEX($Q$25:$W$35,2*INT((13+WEEKDAY(DATE(PlanYear,6,1),2)-1)/7)+1,MOD(13+WEEKDAY(DATE(PlanYear,6,1),2)-1,7)+1)=AA$5,", "&amp;14,"")&amp;IF(INDEX($Q$25:$W$35,2*INT((14+WEEKDAY(DATE(PlanYear,6,1),2)-1)/7)+1,MOD(14+WEEKDAY(DATE(PlanYear,6,1),2)-1,7)+1)=AA$5,", "&amp;15,"")&amp;IF(INDEX($Q$25:$W$35,2*INT((15+WEEKDAY(DATE(PlanYear,6,1),2)-1)/7)+1,MOD(15+WEEKDAY(DATE(PlanYear,6,1),2)-1,7)+1)=AA$5,", "&amp;16,"")&amp;IF(INDEX($Q$25:$W$35,2*INT((16+WEEKDAY(DATE(PlanYear,6,1),2)-1)/7)+1,MOD(16+WEEKDAY(DATE(PlanYear,6,1),2)-1,7)+1)=AA$5,", "&amp;17,"")&amp;IF(INDEX($Q$25:$W$35,2*INT((17+WEEKDAY(DATE(PlanYear,6,1),2)-1)/7)+1,MOD(17+WEEKDAY(DATE(PlanYear,6,1),2)-1,7)+1)=AA$5,", "&amp;18,"")&amp;IF(INDEX($Q$25:$W$35,2*INT((18+WEEKDAY(DATE(PlanYear,6,1),2)-1)/7)+1,MOD(18+WEEKDAY(DATE(PlanYear,6,1),2)-1,7)+1)=AA$5,", "&amp;19,"")&amp;IF(INDEX($Q$25:$W$35,2*INT((19+WEEKDAY(DATE(PlanYear,6,1),2)-1)/7)+1,MOD(19+WEEKDAY(DATE(PlanYear,6,1),2)-1,7)+1)=AA$5,", "&amp;20,"")&amp;IF(INDEX($Q$25:$W$35,2*INT((20+WEEKDAY(DATE(PlanYear,6,1),2)-1)/7)+1,MOD(20+WEEKDAY(DATE(PlanYear,6,1),2)-1,7)+1)=AA$5,", "&amp;21,"")&amp;IF(INDEX($Q$25:$W$35,2*INT((21+WEEKDAY(DATE(PlanYear,6,1),2)-1)/7)+1,MOD(21+WEEKDAY(DATE(PlanYear,6,1),2)-1,7)+1)=AA$5,", "&amp;22,"")&amp;IF(INDEX($Q$25:$W$35,2*INT((22+WEEKDAY(DATE(PlanYear,6,1),2)-1)/7)+1,MOD(22+WEEKDAY(DATE(PlanYear,6,1),2)-1,7)+1)=AA$5,", "&amp;23,"")&amp;IF(INDEX($Q$25:$W$35,2*INT((23+WEEKDAY(DATE(PlanYear,6,1),2)-1)/7)+1,MOD(23+WEEKDAY(DATE(PlanYear,6,1),2)-1,7)+1)=AA$5,", "&amp;24,"")&amp;IF(INDEX($Q$25:$W$35,2*INT((24+WEEKDAY(DATE(PlanYear,6,1),2)-1)/7)+1,MOD(24+WEEKDAY(DATE(PlanYear,6,1),2)-1,7)+1)=AA$5,", "&amp;25,"")&amp;IF(INDEX($Q$25:$W$35,2*INT((25+WEEKDAY(DATE(PlanYear,6,1),2)-1)/7)+1,MOD(25+WEEKDAY(DATE(PlanYear,6,1),2)-1,7)+1)=AA$5,", "&amp;26,"")&amp;IF(INDEX($Q$25:$W$35,2*INT((26+WEEKDAY(DATE(PlanYear,6,1),2)-1)/7)+1,MOD(26+WEEKDAY(DATE(PlanYear,6,1),2)-1,7)+1)=AA$5,", "&amp;27,"")&amp;IF(INDEX($Q$25:$W$35,2*INT((27+WEEKDAY(DATE(PlanYear,6,1),2)-1)/7)+1,MOD(27+WEEKDAY(DATE(PlanYear,6,1),2)-1,7)+1)=AA$5,", "&amp;28,"")&amp;IF(INDEX($Q$25:$W$35,2*INT((28+WEEKDAY(DATE(PlanYear,6,1),2)-1)/7)+1,MOD(28+WEEKDAY(DATE(PlanYear,6,1),2)-1,7)+1)=AA$5,", "&amp;29,"")&amp;IF(INDEX($Q$25:$W$35,2*INT((29+WEEKDAY(DATE(PlanYear,6,1),2)-1)/7)+1,MOD(29+WEEKDAY(DATE(PlanYear,6,1),2)-1,7)+1)=AA$5,", "&amp;30,"")&amp;IF(INDEX($Q$25:$W$35,2*INT((30+WEEKDAY(DATE(PlanYear,6,1),2)-1)/7)+1,MOD(30+WEEKDAY(DATE(PlanYear,6,1),2)-1,7)+1)=AA$5,", "&amp;31,""),3,200))</f>
        <v/>
      </c>
      <c r="AB11" s="16">
        <f>IF(AB$5="","",MID(IF(INDEX($Q$25:$W$35,2*INT((0+WEEKDAY(DATE(PlanYear,6,1),2)-1)/7)+1,MOD(0+WEEKDAY(DATE(PlanYear,6,1),2)-1,7)+1)=AB$5,", "&amp;1,"")&amp;IF(INDEX($Q$25:$W$35,2*INT((1+WEEKDAY(DATE(PlanYear,6,1),2)-1)/7)+1,MOD(1+WEEKDAY(DATE(PlanYear,6,1),2)-1,7)+1)=AB$5,", "&amp;2,"")&amp;IF(INDEX($Q$25:$W$35,2*INT((2+WEEKDAY(DATE(PlanYear,6,1),2)-1)/7)+1,MOD(2+WEEKDAY(DATE(PlanYear,6,1),2)-1,7)+1)=AB$5,", "&amp;3,"")&amp;IF(INDEX($Q$25:$W$35,2*INT((3+WEEKDAY(DATE(PlanYear,6,1),2)-1)/7)+1,MOD(3+WEEKDAY(DATE(PlanYear,6,1),2)-1,7)+1)=AB$5,", "&amp;4,"")&amp;IF(INDEX($Q$25:$W$35,2*INT((4+WEEKDAY(DATE(PlanYear,6,1),2)-1)/7)+1,MOD(4+WEEKDAY(DATE(PlanYear,6,1),2)-1,7)+1)=AB$5,", "&amp;5,"")&amp;IF(INDEX($Q$25:$W$35,2*INT((5+WEEKDAY(DATE(PlanYear,6,1),2)-1)/7)+1,MOD(5+WEEKDAY(DATE(PlanYear,6,1),2)-1,7)+1)=AB$5,", "&amp;6,"")&amp;IF(INDEX($Q$25:$W$35,2*INT((6+WEEKDAY(DATE(PlanYear,6,1),2)-1)/7)+1,MOD(6+WEEKDAY(DATE(PlanYear,6,1),2)-1,7)+1)=AB$5,", "&amp;7,"")&amp;IF(INDEX($Q$25:$W$35,2*INT((7+WEEKDAY(DATE(PlanYear,6,1),2)-1)/7)+1,MOD(7+WEEKDAY(DATE(PlanYear,6,1),2)-1,7)+1)=AB$5,", "&amp;8,"")&amp;IF(INDEX($Q$25:$W$35,2*INT((8+WEEKDAY(DATE(PlanYear,6,1),2)-1)/7)+1,MOD(8+WEEKDAY(DATE(PlanYear,6,1),2)-1,7)+1)=AB$5,", "&amp;9,"")&amp;IF(INDEX($Q$25:$W$35,2*INT((9+WEEKDAY(DATE(PlanYear,6,1),2)-1)/7)+1,MOD(9+WEEKDAY(DATE(PlanYear,6,1),2)-1,7)+1)=AB$5,", "&amp;10,"")&amp;IF(INDEX($Q$25:$W$35,2*INT((10+WEEKDAY(DATE(PlanYear,6,1),2)-1)/7)+1,MOD(10+WEEKDAY(DATE(PlanYear,6,1),2)-1,7)+1)=AB$5,", "&amp;11,"")&amp;IF(INDEX($Q$25:$W$35,2*INT((11+WEEKDAY(DATE(PlanYear,6,1),2)-1)/7)+1,MOD(11+WEEKDAY(DATE(PlanYear,6,1),2)-1,7)+1)=AB$5,", "&amp;12,"")&amp;IF(INDEX($Q$25:$W$35,2*INT((12+WEEKDAY(DATE(PlanYear,6,1),2)-1)/7)+1,MOD(12+WEEKDAY(DATE(PlanYear,6,1),2)-1,7)+1)=AB$5,", "&amp;13,"")&amp;IF(INDEX($Q$25:$W$35,2*INT((13+WEEKDAY(DATE(PlanYear,6,1),2)-1)/7)+1,MOD(13+WEEKDAY(DATE(PlanYear,6,1),2)-1,7)+1)=AB$5,", "&amp;14,"")&amp;IF(INDEX($Q$25:$W$35,2*INT((14+WEEKDAY(DATE(PlanYear,6,1),2)-1)/7)+1,MOD(14+WEEKDAY(DATE(PlanYear,6,1),2)-1,7)+1)=AB$5,", "&amp;15,"")&amp;IF(INDEX($Q$25:$W$35,2*INT((15+WEEKDAY(DATE(PlanYear,6,1),2)-1)/7)+1,MOD(15+WEEKDAY(DATE(PlanYear,6,1),2)-1,7)+1)=AB$5,", "&amp;16,"")&amp;IF(INDEX($Q$25:$W$35,2*INT((16+WEEKDAY(DATE(PlanYear,6,1),2)-1)/7)+1,MOD(16+WEEKDAY(DATE(PlanYear,6,1),2)-1,7)+1)=AB$5,", "&amp;17,"")&amp;IF(INDEX($Q$25:$W$35,2*INT((17+WEEKDAY(DATE(PlanYear,6,1),2)-1)/7)+1,MOD(17+WEEKDAY(DATE(PlanYear,6,1),2)-1,7)+1)=AB$5,", "&amp;18,"")&amp;IF(INDEX($Q$25:$W$35,2*INT((18+WEEKDAY(DATE(PlanYear,6,1),2)-1)/7)+1,MOD(18+WEEKDAY(DATE(PlanYear,6,1),2)-1,7)+1)=AB$5,", "&amp;19,"")&amp;IF(INDEX($Q$25:$W$35,2*INT((19+WEEKDAY(DATE(PlanYear,6,1),2)-1)/7)+1,MOD(19+WEEKDAY(DATE(PlanYear,6,1),2)-1,7)+1)=AB$5,", "&amp;20,"")&amp;IF(INDEX($Q$25:$W$35,2*INT((20+WEEKDAY(DATE(PlanYear,6,1),2)-1)/7)+1,MOD(20+WEEKDAY(DATE(PlanYear,6,1),2)-1,7)+1)=AB$5,", "&amp;21,"")&amp;IF(INDEX($Q$25:$W$35,2*INT((21+WEEKDAY(DATE(PlanYear,6,1),2)-1)/7)+1,MOD(21+WEEKDAY(DATE(PlanYear,6,1),2)-1,7)+1)=AB$5,", "&amp;22,"")&amp;IF(INDEX($Q$25:$W$35,2*INT((22+WEEKDAY(DATE(PlanYear,6,1),2)-1)/7)+1,MOD(22+WEEKDAY(DATE(PlanYear,6,1),2)-1,7)+1)=AB$5,", "&amp;23,"")&amp;IF(INDEX($Q$25:$W$35,2*INT((23+WEEKDAY(DATE(PlanYear,6,1),2)-1)/7)+1,MOD(23+WEEKDAY(DATE(PlanYear,6,1),2)-1,7)+1)=AB$5,", "&amp;24,"")&amp;IF(INDEX($Q$25:$W$35,2*INT((24+WEEKDAY(DATE(PlanYear,6,1),2)-1)/7)+1,MOD(24+WEEKDAY(DATE(PlanYear,6,1),2)-1,7)+1)=AB$5,", "&amp;25,"")&amp;IF(INDEX($Q$25:$W$35,2*INT((25+WEEKDAY(DATE(PlanYear,6,1),2)-1)/7)+1,MOD(25+WEEKDAY(DATE(PlanYear,6,1),2)-1,7)+1)=AB$5,", "&amp;26,"")&amp;IF(INDEX($Q$25:$W$35,2*INT((26+WEEKDAY(DATE(PlanYear,6,1),2)-1)/7)+1,MOD(26+WEEKDAY(DATE(PlanYear,6,1),2)-1,7)+1)=AB$5,", "&amp;27,"")&amp;IF(INDEX($Q$25:$W$35,2*INT((27+WEEKDAY(DATE(PlanYear,6,1),2)-1)/7)+1,MOD(27+WEEKDAY(DATE(PlanYear,6,1),2)-1,7)+1)=AB$5,", "&amp;28,"")&amp;IF(INDEX($Q$25:$W$35,2*INT((28+WEEKDAY(DATE(PlanYear,6,1),2)-1)/7)+1,MOD(28+WEEKDAY(DATE(PlanYear,6,1),2)-1,7)+1)=AB$5,", "&amp;29,"")&amp;IF(INDEX($Q$25:$W$35,2*INT((29+WEEKDAY(DATE(PlanYear,6,1),2)-1)/7)+1,MOD(29+WEEKDAY(DATE(PlanYear,6,1),2)-1,7)+1)=AB$5,", "&amp;30,"")&amp;IF(INDEX($Q$25:$W$35,2*INT((30+WEEKDAY(DATE(PlanYear,6,1),2)-1)/7)+1,MOD(30+WEEKDAY(DATE(PlanYear,6,1),2)-1,7)+1)=AB$5,", "&amp;31,""),3,200))</f>
        <v/>
      </c>
      <c r="AC11" s="16">
        <f>IF(AC$5="","",MID(IF(INDEX($Q$25:$W$35,2*INT((0+WEEKDAY(DATE(PlanYear,6,1),2)-1)/7)+1,MOD(0+WEEKDAY(DATE(PlanYear,6,1),2)-1,7)+1)=AC$5,", "&amp;1,"")&amp;IF(INDEX($Q$25:$W$35,2*INT((1+WEEKDAY(DATE(PlanYear,6,1),2)-1)/7)+1,MOD(1+WEEKDAY(DATE(PlanYear,6,1),2)-1,7)+1)=AC$5,", "&amp;2,"")&amp;IF(INDEX($Q$25:$W$35,2*INT((2+WEEKDAY(DATE(PlanYear,6,1),2)-1)/7)+1,MOD(2+WEEKDAY(DATE(PlanYear,6,1),2)-1,7)+1)=AC$5,", "&amp;3,"")&amp;IF(INDEX($Q$25:$W$35,2*INT((3+WEEKDAY(DATE(PlanYear,6,1),2)-1)/7)+1,MOD(3+WEEKDAY(DATE(PlanYear,6,1),2)-1,7)+1)=AC$5,", "&amp;4,"")&amp;IF(INDEX($Q$25:$W$35,2*INT((4+WEEKDAY(DATE(PlanYear,6,1),2)-1)/7)+1,MOD(4+WEEKDAY(DATE(PlanYear,6,1),2)-1,7)+1)=AC$5,", "&amp;5,"")&amp;IF(INDEX($Q$25:$W$35,2*INT((5+WEEKDAY(DATE(PlanYear,6,1),2)-1)/7)+1,MOD(5+WEEKDAY(DATE(PlanYear,6,1),2)-1,7)+1)=AC$5,", "&amp;6,"")&amp;IF(INDEX($Q$25:$W$35,2*INT((6+WEEKDAY(DATE(PlanYear,6,1),2)-1)/7)+1,MOD(6+WEEKDAY(DATE(PlanYear,6,1),2)-1,7)+1)=AC$5,", "&amp;7,"")&amp;IF(INDEX($Q$25:$W$35,2*INT((7+WEEKDAY(DATE(PlanYear,6,1),2)-1)/7)+1,MOD(7+WEEKDAY(DATE(PlanYear,6,1),2)-1,7)+1)=AC$5,", "&amp;8,"")&amp;IF(INDEX($Q$25:$W$35,2*INT((8+WEEKDAY(DATE(PlanYear,6,1),2)-1)/7)+1,MOD(8+WEEKDAY(DATE(PlanYear,6,1),2)-1,7)+1)=AC$5,", "&amp;9,"")&amp;IF(INDEX($Q$25:$W$35,2*INT((9+WEEKDAY(DATE(PlanYear,6,1),2)-1)/7)+1,MOD(9+WEEKDAY(DATE(PlanYear,6,1),2)-1,7)+1)=AC$5,", "&amp;10,"")&amp;IF(INDEX($Q$25:$W$35,2*INT((10+WEEKDAY(DATE(PlanYear,6,1),2)-1)/7)+1,MOD(10+WEEKDAY(DATE(PlanYear,6,1),2)-1,7)+1)=AC$5,", "&amp;11,"")&amp;IF(INDEX($Q$25:$W$35,2*INT((11+WEEKDAY(DATE(PlanYear,6,1),2)-1)/7)+1,MOD(11+WEEKDAY(DATE(PlanYear,6,1),2)-1,7)+1)=AC$5,", "&amp;12,"")&amp;IF(INDEX($Q$25:$W$35,2*INT((12+WEEKDAY(DATE(PlanYear,6,1),2)-1)/7)+1,MOD(12+WEEKDAY(DATE(PlanYear,6,1),2)-1,7)+1)=AC$5,", "&amp;13,"")&amp;IF(INDEX($Q$25:$W$35,2*INT((13+WEEKDAY(DATE(PlanYear,6,1),2)-1)/7)+1,MOD(13+WEEKDAY(DATE(PlanYear,6,1),2)-1,7)+1)=AC$5,", "&amp;14,"")&amp;IF(INDEX($Q$25:$W$35,2*INT((14+WEEKDAY(DATE(PlanYear,6,1),2)-1)/7)+1,MOD(14+WEEKDAY(DATE(PlanYear,6,1),2)-1,7)+1)=AC$5,", "&amp;15,"")&amp;IF(INDEX($Q$25:$W$35,2*INT((15+WEEKDAY(DATE(PlanYear,6,1),2)-1)/7)+1,MOD(15+WEEKDAY(DATE(PlanYear,6,1),2)-1,7)+1)=AC$5,", "&amp;16,"")&amp;IF(INDEX($Q$25:$W$35,2*INT((16+WEEKDAY(DATE(PlanYear,6,1),2)-1)/7)+1,MOD(16+WEEKDAY(DATE(PlanYear,6,1),2)-1,7)+1)=AC$5,", "&amp;17,"")&amp;IF(INDEX($Q$25:$W$35,2*INT((17+WEEKDAY(DATE(PlanYear,6,1),2)-1)/7)+1,MOD(17+WEEKDAY(DATE(PlanYear,6,1),2)-1,7)+1)=AC$5,", "&amp;18,"")&amp;IF(INDEX($Q$25:$W$35,2*INT((18+WEEKDAY(DATE(PlanYear,6,1),2)-1)/7)+1,MOD(18+WEEKDAY(DATE(PlanYear,6,1),2)-1,7)+1)=AC$5,", "&amp;19,"")&amp;IF(INDEX($Q$25:$W$35,2*INT((19+WEEKDAY(DATE(PlanYear,6,1),2)-1)/7)+1,MOD(19+WEEKDAY(DATE(PlanYear,6,1),2)-1,7)+1)=AC$5,", "&amp;20,"")&amp;IF(INDEX($Q$25:$W$35,2*INT((20+WEEKDAY(DATE(PlanYear,6,1),2)-1)/7)+1,MOD(20+WEEKDAY(DATE(PlanYear,6,1),2)-1,7)+1)=AC$5,", "&amp;21,"")&amp;IF(INDEX($Q$25:$W$35,2*INT((21+WEEKDAY(DATE(PlanYear,6,1),2)-1)/7)+1,MOD(21+WEEKDAY(DATE(PlanYear,6,1),2)-1,7)+1)=AC$5,", "&amp;22,"")&amp;IF(INDEX($Q$25:$W$35,2*INT((22+WEEKDAY(DATE(PlanYear,6,1),2)-1)/7)+1,MOD(22+WEEKDAY(DATE(PlanYear,6,1),2)-1,7)+1)=AC$5,", "&amp;23,"")&amp;IF(INDEX($Q$25:$W$35,2*INT((23+WEEKDAY(DATE(PlanYear,6,1),2)-1)/7)+1,MOD(23+WEEKDAY(DATE(PlanYear,6,1),2)-1,7)+1)=AC$5,", "&amp;24,"")&amp;IF(INDEX($Q$25:$W$35,2*INT((24+WEEKDAY(DATE(PlanYear,6,1),2)-1)/7)+1,MOD(24+WEEKDAY(DATE(PlanYear,6,1),2)-1,7)+1)=AC$5,", "&amp;25,"")&amp;IF(INDEX($Q$25:$W$35,2*INT((25+WEEKDAY(DATE(PlanYear,6,1),2)-1)/7)+1,MOD(25+WEEKDAY(DATE(PlanYear,6,1),2)-1,7)+1)=AC$5,", "&amp;26,"")&amp;IF(INDEX($Q$25:$W$35,2*INT((26+WEEKDAY(DATE(PlanYear,6,1),2)-1)/7)+1,MOD(26+WEEKDAY(DATE(PlanYear,6,1),2)-1,7)+1)=AC$5,", "&amp;27,"")&amp;IF(INDEX($Q$25:$W$35,2*INT((27+WEEKDAY(DATE(PlanYear,6,1),2)-1)/7)+1,MOD(27+WEEKDAY(DATE(PlanYear,6,1),2)-1,7)+1)=AC$5,", "&amp;28,"")&amp;IF(INDEX($Q$25:$W$35,2*INT((28+WEEKDAY(DATE(PlanYear,6,1),2)-1)/7)+1,MOD(28+WEEKDAY(DATE(PlanYear,6,1),2)-1,7)+1)=AC$5,", "&amp;29,"")&amp;IF(INDEX($Q$25:$W$35,2*INT((29+WEEKDAY(DATE(PlanYear,6,1),2)-1)/7)+1,MOD(29+WEEKDAY(DATE(PlanYear,6,1),2)-1,7)+1)=AC$5,", "&amp;30,"")&amp;IF(INDEX($Q$25:$W$35,2*INT((30+WEEKDAY(DATE(PlanYear,6,1),2)-1)/7)+1,MOD(30+WEEKDAY(DATE(PlanYear,6,1),2)-1,7)+1)=AC$5,", "&amp;31,""),3,200))</f>
        <v/>
      </c>
      <c r="AD11" s="16">
        <f>IF(AD$5="","",MID(IF(INDEX($Q$25:$W$35,2*INT((0+WEEKDAY(DATE(PlanYear,6,1),2)-1)/7)+1,MOD(0+WEEKDAY(DATE(PlanYear,6,1),2)-1,7)+1)=AD$5,", "&amp;1,"")&amp;IF(INDEX($Q$25:$W$35,2*INT((1+WEEKDAY(DATE(PlanYear,6,1),2)-1)/7)+1,MOD(1+WEEKDAY(DATE(PlanYear,6,1),2)-1,7)+1)=AD$5,", "&amp;2,"")&amp;IF(INDEX($Q$25:$W$35,2*INT((2+WEEKDAY(DATE(PlanYear,6,1),2)-1)/7)+1,MOD(2+WEEKDAY(DATE(PlanYear,6,1),2)-1,7)+1)=AD$5,", "&amp;3,"")&amp;IF(INDEX($Q$25:$W$35,2*INT((3+WEEKDAY(DATE(PlanYear,6,1),2)-1)/7)+1,MOD(3+WEEKDAY(DATE(PlanYear,6,1),2)-1,7)+1)=AD$5,", "&amp;4,"")&amp;IF(INDEX($Q$25:$W$35,2*INT((4+WEEKDAY(DATE(PlanYear,6,1),2)-1)/7)+1,MOD(4+WEEKDAY(DATE(PlanYear,6,1),2)-1,7)+1)=AD$5,", "&amp;5,"")&amp;IF(INDEX($Q$25:$W$35,2*INT((5+WEEKDAY(DATE(PlanYear,6,1),2)-1)/7)+1,MOD(5+WEEKDAY(DATE(PlanYear,6,1),2)-1,7)+1)=AD$5,", "&amp;6,"")&amp;IF(INDEX($Q$25:$W$35,2*INT((6+WEEKDAY(DATE(PlanYear,6,1),2)-1)/7)+1,MOD(6+WEEKDAY(DATE(PlanYear,6,1),2)-1,7)+1)=AD$5,", "&amp;7,"")&amp;IF(INDEX($Q$25:$W$35,2*INT((7+WEEKDAY(DATE(PlanYear,6,1),2)-1)/7)+1,MOD(7+WEEKDAY(DATE(PlanYear,6,1),2)-1,7)+1)=AD$5,", "&amp;8,"")&amp;IF(INDEX($Q$25:$W$35,2*INT((8+WEEKDAY(DATE(PlanYear,6,1),2)-1)/7)+1,MOD(8+WEEKDAY(DATE(PlanYear,6,1),2)-1,7)+1)=AD$5,", "&amp;9,"")&amp;IF(INDEX($Q$25:$W$35,2*INT((9+WEEKDAY(DATE(PlanYear,6,1),2)-1)/7)+1,MOD(9+WEEKDAY(DATE(PlanYear,6,1),2)-1,7)+1)=AD$5,", "&amp;10,"")&amp;IF(INDEX($Q$25:$W$35,2*INT((10+WEEKDAY(DATE(PlanYear,6,1),2)-1)/7)+1,MOD(10+WEEKDAY(DATE(PlanYear,6,1),2)-1,7)+1)=AD$5,", "&amp;11,"")&amp;IF(INDEX($Q$25:$W$35,2*INT((11+WEEKDAY(DATE(PlanYear,6,1),2)-1)/7)+1,MOD(11+WEEKDAY(DATE(PlanYear,6,1),2)-1,7)+1)=AD$5,", "&amp;12,"")&amp;IF(INDEX($Q$25:$W$35,2*INT((12+WEEKDAY(DATE(PlanYear,6,1),2)-1)/7)+1,MOD(12+WEEKDAY(DATE(PlanYear,6,1),2)-1,7)+1)=AD$5,", "&amp;13,"")&amp;IF(INDEX($Q$25:$W$35,2*INT((13+WEEKDAY(DATE(PlanYear,6,1),2)-1)/7)+1,MOD(13+WEEKDAY(DATE(PlanYear,6,1),2)-1,7)+1)=AD$5,", "&amp;14,"")&amp;IF(INDEX($Q$25:$W$35,2*INT((14+WEEKDAY(DATE(PlanYear,6,1),2)-1)/7)+1,MOD(14+WEEKDAY(DATE(PlanYear,6,1),2)-1,7)+1)=AD$5,", "&amp;15,"")&amp;IF(INDEX($Q$25:$W$35,2*INT((15+WEEKDAY(DATE(PlanYear,6,1),2)-1)/7)+1,MOD(15+WEEKDAY(DATE(PlanYear,6,1),2)-1,7)+1)=AD$5,", "&amp;16,"")&amp;IF(INDEX($Q$25:$W$35,2*INT((16+WEEKDAY(DATE(PlanYear,6,1),2)-1)/7)+1,MOD(16+WEEKDAY(DATE(PlanYear,6,1),2)-1,7)+1)=AD$5,", "&amp;17,"")&amp;IF(INDEX($Q$25:$W$35,2*INT((17+WEEKDAY(DATE(PlanYear,6,1),2)-1)/7)+1,MOD(17+WEEKDAY(DATE(PlanYear,6,1),2)-1,7)+1)=AD$5,", "&amp;18,"")&amp;IF(INDEX($Q$25:$W$35,2*INT((18+WEEKDAY(DATE(PlanYear,6,1),2)-1)/7)+1,MOD(18+WEEKDAY(DATE(PlanYear,6,1),2)-1,7)+1)=AD$5,", "&amp;19,"")&amp;IF(INDEX($Q$25:$W$35,2*INT((19+WEEKDAY(DATE(PlanYear,6,1),2)-1)/7)+1,MOD(19+WEEKDAY(DATE(PlanYear,6,1),2)-1,7)+1)=AD$5,", "&amp;20,"")&amp;IF(INDEX($Q$25:$W$35,2*INT((20+WEEKDAY(DATE(PlanYear,6,1),2)-1)/7)+1,MOD(20+WEEKDAY(DATE(PlanYear,6,1),2)-1,7)+1)=AD$5,", "&amp;21,"")&amp;IF(INDEX($Q$25:$W$35,2*INT((21+WEEKDAY(DATE(PlanYear,6,1),2)-1)/7)+1,MOD(21+WEEKDAY(DATE(PlanYear,6,1),2)-1,7)+1)=AD$5,", "&amp;22,"")&amp;IF(INDEX($Q$25:$W$35,2*INT((22+WEEKDAY(DATE(PlanYear,6,1),2)-1)/7)+1,MOD(22+WEEKDAY(DATE(PlanYear,6,1),2)-1,7)+1)=AD$5,", "&amp;23,"")&amp;IF(INDEX($Q$25:$W$35,2*INT((23+WEEKDAY(DATE(PlanYear,6,1),2)-1)/7)+1,MOD(23+WEEKDAY(DATE(PlanYear,6,1),2)-1,7)+1)=AD$5,", "&amp;24,"")&amp;IF(INDEX($Q$25:$W$35,2*INT((24+WEEKDAY(DATE(PlanYear,6,1),2)-1)/7)+1,MOD(24+WEEKDAY(DATE(PlanYear,6,1),2)-1,7)+1)=AD$5,", "&amp;25,"")&amp;IF(INDEX($Q$25:$W$35,2*INT((25+WEEKDAY(DATE(PlanYear,6,1),2)-1)/7)+1,MOD(25+WEEKDAY(DATE(PlanYear,6,1),2)-1,7)+1)=AD$5,", "&amp;26,"")&amp;IF(INDEX($Q$25:$W$35,2*INT((26+WEEKDAY(DATE(PlanYear,6,1),2)-1)/7)+1,MOD(26+WEEKDAY(DATE(PlanYear,6,1),2)-1,7)+1)=AD$5,", "&amp;27,"")&amp;IF(INDEX($Q$25:$W$35,2*INT((27+WEEKDAY(DATE(PlanYear,6,1),2)-1)/7)+1,MOD(27+WEEKDAY(DATE(PlanYear,6,1),2)-1,7)+1)=AD$5,", "&amp;28,"")&amp;IF(INDEX($Q$25:$W$35,2*INT((28+WEEKDAY(DATE(PlanYear,6,1),2)-1)/7)+1,MOD(28+WEEKDAY(DATE(PlanYear,6,1),2)-1,7)+1)=AD$5,", "&amp;29,"")&amp;IF(INDEX($Q$25:$W$35,2*INT((29+WEEKDAY(DATE(PlanYear,6,1),2)-1)/7)+1,MOD(29+WEEKDAY(DATE(PlanYear,6,1),2)-1,7)+1)=AD$5,", "&amp;30,"")&amp;IF(INDEX($Q$25:$W$35,2*INT((30+WEEKDAY(DATE(PlanYear,6,1),2)-1)/7)+1,MOD(30+WEEKDAY(DATE(PlanYear,6,1),2)-1,7)+1)=AD$5,", "&amp;31,""),3,200))</f>
        <v/>
      </c>
      <c r="AE11" s="16">
        <f>IF(AE$5="","",MID(IF(INDEX($Q$25:$W$35,2*INT((0+WEEKDAY(DATE(PlanYear,6,1),2)-1)/7)+1,MOD(0+WEEKDAY(DATE(PlanYear,6,1),2)-1,7)+1)=AE$5,", "&amp;1,"")&amp;IF(INDEX($Q$25:$W$35,2*INT((1+WEEKDAY(DATE(PlanYear,6,1),2)-1)/7)+1,MOD(1+WEEKDAY(DATE(PlanYear,6,1),2)-1,7)+1)=AE$5,", "&amp;2,"")&amp;IF(INDEX($Q$25:$W$35,2*INT((2+WEEKDAY(DATE(PlanYear,6,1),2)-1)/7)+1,MOD(2+WEEKDAY(DATE(PlanYear,6,1),2)-1,7)+1)=AE$5,", "&amp;3,"")&amp;IF(INDEX($Q$25:$W$35,2*INT((3+WEEKDAY(DATE(PlanYear,6,1),2)-1)/7)+1,MOD(3+WEEKDAY(DATE(PlanYear,6,1),2)-1,7)+1)=AE$5,", "&amp;4,"")&amp;IF(INDEX($Q$25:$W$35,2*INT((4+WEEKDAY(DATE(PlanYear,6,1),2)-1)/7)+1,MOD(4+WEEKDAY(DATE(PlanYear,6,1),2)-1,7)+1)=AE$5,", "&amp;5,"")&amp;IF(INDEX($Q$25:$W$35,2*INT((5+WEEKDAY(DATE(PlanYear,6,1),2)-1)/7)+1,MOD(5+WEEKDAY(DATE(PlanYear,6,1),2)-1,7)+1)=AE$5,", "&amp;6,"")&amp;IF(INDEX($Q$25:$W$35,2*INT((6+WEEKDAY(DATE(PlanYear,6,1),2)-1)/7)+1,MOD(6+WEEKDAY(DATE(PlanYear,6,1),2)-1,7)+1)=AE$5,", "&amp;7,"")&amp;IF(INDEX($Q$25:$W$35,2*INT((7+WEEKDAY(DATE(PlanYear,6,1),2)-1)/7)+1,MOD(7+WEEKDAY(DATE(PlanYear,6,1),2)-1,7)+1)=AE$5,", "&amp;8,"")&amp;IF(INDEX($Q$25:$W$35,2*INT((8+WEEKDAY(DATE(PlanYear,6,1),2)-1)/7)+1,MOD(8+WEEKDAY(DATE(PlanYear,6,1),2)-1,7)+1)=AE$5,", "&amp;9,"")&amp;IF(INDEX($Q$25:$W$35,2*INT((9+WEEKDAY(DATE(PlanYear,6,1),2)-1)/7)+1,MOD(9+WEEKDAY(DATE(PlanYear,6,1),2)-1,7)+1)=AE$5,", "&amp;10,"")&amp;IF(INDEX($Q$25:$W$35,2*INT((10+WEEKDAY(DATE(PlanYear,6,1),2)-1)/7)+1,MOD(10+WEEKDAY(DATE(PlanYear,6,1),2)-1,7)+1)=AE$5,", "&amp;11,"")&amp;IF(INDEX($Q$25:$W$35,2*INT((11+WEEKDAY(DATE(PlanYear,6,1),2)-1)/7)+1,MOD(11+WEEKDAY(DATE(PlanYear,6,1),2)-1,7)+1)=AE$5,", "&amp;12,"")&amp;IF(INDEX($Q$25:$W$35,2*INT((12+WEEKDAY(DATE(PlanYear,6,1),2)-1)/7)+1,MOD(12+WEEKDAY(DATE(PlanYear,6,1),2)-1,7)+1)=AE$5,", "&amp;13,"")&amp;IF(INDEX($Q$25:$W$35,2*INT((13+WEEKDAY(DATE(PlanYear,6,1),2)-1)/7)+1,MOD(13+WEEKDAY(DATE(PlanYear,6,1),2)-1,7)+1)=AE$5,", "&amp;14,"")&amp;IF(INDEX($Q$25:$W$35,2*INT((14+WEEKDAY(DATE(PlanYear,6,1),2)-1)/7)+1,MOD(14+WEEKDAY(DATE(PlanYear,6,1),2)-1,7)+1)=AE$5,", "&amp;15,"")&amp;IF(INDEX($Q$25:$W$35,2*INT((15+WEEKDAY(DATE(PlanYear,6,1),2)-1)/7)+1,MOD(15+WEEKDAY(DATE(PlanYear,6,1),2)-1,7)+1)=AE$5,", "&amp;16,"")&amp;IF(INDEX($Q$25:$W$35,2*INT((16+WEEKDAY(DATE(PlanYear,6,1),2)-1)/7)+1,MOD(16+WEEKDAY(DATE(PlanYear,6,1),2)-1,7)+1)=AE$5,", "&amp;17,"")&amp;IF(INDEX($Q$25:$W$35,2*INT((17+WEEKDAY(DATE(PlanYear,6,1),2)-1)/7)+1,MOD(17+WEEKDAY(DATE(PlanYear,6,1),2)-1,7)+1)=AE$5,", "&amp;18,"")&amp;IF(INDEX($Q$25:$W$35,2*INT((18+WEEKDAY(DATE(PlanYear,6,1),2)-1)/7)+1,MOD(18+WEEKDAY(DATE(PlanYear,6,1),2)-1,7)+1)=AE$5,", "&amp;19,"")&amp;IF(INDEX($Q$25:$W$35,2*INT((19+WEEKDAY(DATE(PlanYear,6,1),2)-1)/7)+1,MOD(19+WEEKDAY(DATE(PlanYear,6,1),2)-1,7)+1)=AE$5,", "&amp;20,"")&amp;IF(INDEX($Q$25:$W$35,2*INT((20+WEEKDAY(DATE(PlanYear,6,1),2)-1)/7)+1,MOD(20+WEEKDAY(DATE(PlanYear,6,1),2)-1,7)+1)=AE$5,", "&amp;21,"")&amp;IF(INDEX($Q$25:$W$35,2*INT((21+WEEKDAY(DATE(PlanYear,6,1),2)-1)/7)+1,MOD(21+WEEKDAY(DATE(PlanYear,6,1),2)-1,7)+1)=AE$5,", "&amp;22,"")&amp;IF(INDEX($Q$25:$W$35,2*INT((22+WEEKDAY(DATE(PlanYear,6,1),2)-1)/7)+1,MOD(22+WEEKDAY(DATE(PlanYear,6,1),2)-1,7)+1)=AE$5,", "&amp;23,"")&amp;IF(INDEX($Q$25:$W$35,2*INT((23+WEEKDAY(DATE(PlanYear,6,1),2)-1)/7)+1,MOD(23+WEEKDAY(DATE(PlanYear,6,1),2)-1,7)+1)=AE$5,", "&amp;24,"")&amp;IF(INDEX($Q$25:$W$35,2*INT((24+WEEKDAY(DATE(PlanYear,6,1),2)-1)/7)+1,MOD(24+WEEKDAY(DATE(PlanYear,6,1),2)-1,7)+1)=AE$5,", "&amp;25,"")&amp;IF(INDEX($Q$25:$W$35,2*INT((25+WEEKDAY(DATE(PlanYear,6,1),2)-1)/7)+1,MOD(25+WEEKDAY(DATE(PlanYear,6,1),2)-1,7)+1)=AE$5,", "&amp;26,"")&amp;IF(INDEX($Q$25:$W$35,2*INT((26+WEEKDAY(DATE(PlanYear,6,1),2)-1)/7)+1,MOD(26+WEEKDAY(DATE(PlanYear,6,1),2)-1,7)+1)=AE$5,", "&amp;27,"")&amp;IF(INDEX($Q$25:$W$35,2*INT((27+WEEKDAY(DATE(PlanYear,6,1),2)-1)/7)+1,MOD(27+WEEKDAY(DATE(PlanYear,6,1),2)-1,7)+1)=AE$5,", "&amp;28,"")&amp;IF(INDEX($Q$25:$W$35,2*INT((28+WEEKDAY(DATE(PlanYear,6,1),2)-1)/7)+1,MOD(28+WEEKDAY(DATE(PlanYear,6,1),2)-1,7)+1)=AE$5,", "&amp;29,"")&amp;IF(INDEX($Q$25:$W$35,2*INT((29+WEEKDAY(DATE(PlanYear,6,1),2)-1)/7)+1,MOD(29+WEEKDAY(DATE(PlanYear,6,1),2)-1,7)+1)=AE$5,", "&amp;30,"")&amp;IF(INDEX($Q$25:$W$35,2*INT((30+WEEKDAY(DATE(PlanYear,6,1),2)-1)/7)+1,MOD(30+WEEKDAY(DATE(PlanYear,6,1),2)-1,7)+1)=AE$5,", "&amp;31,""),3,200))</f>
        <v/>
      </c>
      <c r="AF11" s="16">
        <f>IF(AF$5="","",MID(IF(INDEX($Q$25:$W$35,2*INT((0+WEEKDAY(DATE(PlanYear,6,1),2)-1)/7)+1,MOD(0+WEEKDAY(DATE(PlanYear,6,1),2)-1,7)+1)=AF$5,", "&amp;1,"")&amp;IF(INDEX($Q$25:$W$35,2*INT((1+WEEKDAY(DATE(PlanYear,6,1),2)-1)/7)+1,MOD(1+WEEKDAY(DATE(PlanYear,6,1),2)-1,7)+1)=AF$5,", "&amp;2,"")&amp;IF(INDEX($Q$25:$W$35,2*INT((2+WEEKDAY(DATE(PlanYear,6,1),2)-1)/7)+1,MOD(2+WEEKDAY(DATE(PlanYear,6,1),2)-1,7)+1)=AF$5,", "&amp;3,"")&amp;IF(INDEX($Q$25:$W$35,2*INT((3+WEEKDAY(DATE(PlanYear,6,1),2)-1)/7)+1,MOD(3+WEEKDAY(DATE(PlanYear,6,1),2)-1,7)+1)=AF$5,", "&amp;4,"")&amp;IF(INDEX($Q$25:$W$35,2*INT((4+WEEKDAY(DATE(PlanYear,6,1),2)-1)/7)+1,MOD(4+WEEKDAY(DATE(PlanYear,6,1),2)-1,7)+1)=AF$5,", "&amp;5,"")&amp;IF(INDEX($Q$25:$W$35,2*INT((5+WEEKDAY(DATE(PlanYear,6,1),2)-1)/7)+1,MOD(5+WEEKDAY(DATE(PlanYear,6,1),2)-1,7)+1)=AF$5,", "&amp;6,"")&amp;IF(INDEX($Q$25:$W$35,2*INT((6+WEEKDAY(DATE(PlanYear,6,1),2)-1)/7)+1,MOD(6+WEEKDAY(DATE(PlanYear,6,1),2)-1,7)+1)=AF$5,", "&amp;7,"")&amp;IF(INDEX($Q$25:$W$35,2*INT((7+WEEKDAY(DATE(PlanYear,6,1),2)-1)/7)+1,MOD(7+WEEKDAY(DATE(PlanYear,6,1),2)-1,7)+1)=AF$5,", "&amp;8,"")&amp;IF(INDEX($Q$25:$W$35,2*INT((8+WEEKDAY(DATE(PlanYear,6,1),2)-1)/7)+1,MOD(8+WEEKDAY(DATE(PlanYear,6,1),2)-1,7)+1)=AF$5,", "&amp;9,"")&amp;IF(INDEX($Q$25:$W$35,2*INT((9+WEEKDAY(DATE(PlanYear,6,1),2)-1)/7)+1,MOD(9+WEEKDAY(DATE(PlanYear,6,1),2)-1,7)+1)=AF$5,", "&amp;10,"")&amp;IF(INDEX($Q$25:$W$35,2*INT((10+WEEKDAY(DATE(PlanYear,6,1),2)-1)/7)+1,MOD(10+WEEKDAY(DATE(PlanYear,6,1),2)-1,7)+1)=AF$5,", "&amp;11,"")&amp;IF(INDEX($Q$25:$W$35,2*INT((11+WEEKDAY(DATE(PlanYear,6,1),2)-1)/7)+1,MOD(11+WEEKDAY(DATE(PlanYear,6,1),2)-1,7)+1)=AF$5,", "&amp;12,"")&amp;IF(INDEX($Q$25:$W$35,2*INT((12+WEEKDAY(DATE(PlanYear,6,1),2)-1)/7)+1,MOD(12+WEEKDAY(DATE(PlanYear,6,1),2)-1,7)+1)=AF$5,", "&amp;13,"")&amp;IF(INDEX($Q$25:$W$35,2*INT((13+WEEKDAY(DATE(PlanYear,6,1),2)-1)/7)+1,MOD(13+WEEKDAY(DATE(PlanYear,6,1),2)-1,7)+1)=AF$5,", "&amp;14,"")&amp;IF(INDEX($Q$25:$W$35,2*INT((14+WEEKDAY(DATE(PlanYear,6,1),2)-1)/7)+1,MOD(14+WEEKDAY(DATE(PlanYear,6,1),2)-1,7)+1)=AF$5,", "&amp;15,"")&amp;IF(INDEX($Q$25:$W$35,2*INT((15+WEEKDAY(DATE(PlanYear,6,1),2)-1)/7)+1,MOD(15+WEEKDAY(DATE(PlanYear,6,1),2)-1,7)+1)=AF$5,", "&amp;16,"")&amp;IF(INDEX($Q$25:$W$35,2*INT((16+WEEKDAY(DATE(PlanYear,6,1),2)-1)/7)+1,MOD(16+WEEKDAY(DATE(PlanYear,6,1),2)-1,7)+1)=AF$5,", "&amp;17,"")&amp;IF(INDEX($Q$25:$W$35,2*INT((17+WEEKDAY(DATE(PlanYear,6,1),2)-1)/7)+1,MOD(17+WEEKDAY(DATE(PlanYear,6,1),2)-1,7)+1)=AF$5,", "&amp;18,"")&amp;IF(INDEX($Q$25:$W$35,2*INT((18+WEEKDAY(DATE(PlanYear,6,1),2)-1)/7)+1,MOD(18+WEEKDAY(DATE(PlanYear,6,1),2)-1,7)+1)=AF$5,", "&amp;19,"")&amp;IF(INDEX($Q$25:$W$35,2*INT((19+WEEKDAY(DATE(PlanYear,6,1),2)-1)/7)+1,MOD(19+WEEKDAY(DATE(PlanYear,6,1),2)-1,7)+1)=AF$5,", "&amp;20,"")&amp;IF(INDEX($Q$25:$W$35,2*INT((20+WEEKDAY(DATE(PlanYear,6,1),2)-1)/7)+1,MOD(20+WEEKDAY(DATE(PlanYear,6,1),2)-1,7)+1)=AF$5,", "&amp;21,"")&amp;IF(INDEX($Q$25:$W$35,2*INT((21+WEEKDAY(DATE(PlanYear,6,1),2)-1)/7)+1,MOD(21+WEEKDAY(DATE(PlanYear,6,1),2)-1,7)+1)=AF$5,", "&amp;22,"")&amp;IF(INDEX($Q$25:$W$35,2*INT((22+WEEKDAY(DATE(PlanYear,6,1),2)-1)/7)+1,MOD(22+WEEKDAY(DATE(PlanYear,6,1),2)-1,7)+1)=AF$5,", "&amp;23,"")&amp;IF(INDEX($Q$25:$W$35,2*INT((23+WEEKDAY(DATE(PlanYear,6,1),2)-1)/7)+1,MOD(23+WEEKDAY(DATE(PlanYear,6,1),2)-1,7)+1)=AF$5,", "&amp;24,"")&amp;IF(INDEX($Q$25:$W$35,2*INT((24+WEEKDAY(DATE(PlanYear,6,1),2)-1)/7)+1,MOD(24+WEEKDAY(DATE(PlanYear,6,1),2)-1,7)+1)=AF$5,", "&amp;25,"")&amp;IF(INDEX($Q$25:$W$35,2*INT((25+WEEKDAY(DATE(PlanYear,6,1),2)-1)/7)+1,MOD(25+WEEKDAY(DATE(PlanYear,6,1),2)-1,7)+1)=AF$5,", "&amp;26,"")&amp;IF(INDEX($Q$25:$W$35,2*INT((26+WEEKDAY(DATE(PlanYear,6,1),2)-1)/7)+1,MOD(26+WEEKDAY(DATE(PlanYear,6,1),2)-1,7)+1)=AF$5,", "&amp;27,"")&amp;IF(INDEX($Q$25:$W$35,2*INT((27+WEEKDAY(DATE(PlanYear,6,1),2)-1)/7)+1,MOD(27+WEEKDAY(DATE(PlanYear,6,1),2)-1,7)+1)=AF$5,", "&amp;28,"")&amp;IF(INDEX($Q$25:$W$35,2*INT((28+WEEKDAY(DATE(PlanYear,6,1),2)-1)/7)+1,MOD(28+WEEKDAY(DATE(PlanYear,6,1),2)-1,7)+1)=AF$5,", "&amp;29,"")&amp;IF(INDEX($Q$25:$W$35,2*INT((29+WEEKDAY(DATE(PlanYear,6,1),2)-1)/7)+1,MOD(29+WEEKDAY(DATE(PlanYear,6,1),2)-1,7)+1)=AF$5,", "&amp;30,"")&amp;IF(INDEX($Q$25:$W$35,2*INT((30+WEEKDAY(DATE(PlanYear,6,1),2)-1)/7)+1,MOD(30+WEEKDAY(DATE(PlanYear,6,1),2)-1,7)+1)=AF$5,", "&amp;31,""),3,200))</f>
        <v/>
      </c>
      <c r="AG11" s="16">
        <f>IF(AG$5="","",MID(IF(INDEX($Q$25:$W$35,2*INT((0+WEEKDAY(DATE(PlanYear,6,1),2)-1)/7)+1,MOD(0+WEEKDAY(DATE(PlanYear,6,1),2)-1,7)+1)=AG$5,", "&amp;1,"")&amp;IF(INDEX($Q$25:$W$35,2*INT((1+WEEKDAY(DATE(PlanYear,6,1),2)-1)/7)+1,MOD(1+WEEKDAY(DATE(PlanYear,6,1),2)-1,7)+1)=AG$5,", "&amp;2,"")&amp;IF(INDEX($Q$25:$W$35,2*INT((2+WEEKDAY(DATE(PlanYear,6,1),2)-1)/7)+1,MOD(2+WEEKDAY(DATE(PlanYear,6,1),2)-1,7)+1)=AG$5,", "&amp;3,"")&amp;IF(INDEX($Q$25:$W$35,2*INT((3+WEEKDAY(DATE(PlanYear,6,1),2)-1)/7)+1,MOD(3+WEEKDAY(DATE(PlanYear,6,1),2)-1,7)+1)=AG$5,", "&amp;4,"")&amp;IF(INDEX($Q$25:$W$35,2*INT((4+WEEKDAY(DATE(PlanYear,6,1),2)-1)/7)+1,MOD(4+WEEKDAY(DATE(PlanYear,6,1),2)-1,7)+1)=AG$5,", "&amp;5,"")&amp;IF(INDEX($Q$25:$W$35,2*INT((5+WEEKDAY(DATE(PlanYear,6,1),2)-1)/7)+1,MOD(5+WEEKDAY(DATE(PlanYear,6,1),2)-1,7)+1)=AG$5,", "&amp;6,"")&amp;IF(INDEX($Q$25:$W$35,2*INT((6+WEEKDAY(DATE(PlanYear,6,1),2)-1)/7)+1,MOD(6+WEEKDAY(DATE(PlanYear,6,1),2)-1,7)+1)=AG$5,", "&amp;7,"")&amp;IF(INDEX($Q$25:$W$35,2*INT((7+WEEKDAY(DATE(PlanYear,6,1),2)-1)/7)+1,MOD(7+WEEKDAY(DATE(PlanYear,6,1),2)-1,7)+1)=AG$5,", "&amp;8,"")&amp;IF(INDEX($Q$25:$W$35,2*INT((8+WEEKDAY(DATE(PlanYear,6,1),2)-1)/7)+1,MOD(8+WEEKDAY(DATE(PlanYear,6,1),2)-1,7)+1)=AG$5,", "&amp;9,"")&amp;IF(INDEX($Q$25:$W$35,2*INT((9+WEEKDAY(DATE(PlanYear,6,1),2)-1)/7)+1,MOD(9+WEEKDAY(DATE(PlanYear,6,1),2)-1,7)+1)=AG$5,", "&amp;10,"")&amp;IF(INDEX($Q$25:$W$35,2*INT((10+WEEKDAY(DATE(PlanYear,6,1),2)-1)/7)+1,MOD(10+WEEKDAY(DATE(PlanYear,6,1),2)-1,7)+1)=AG$5,", "&amp;11,"")&amp;IF(INDEX($Q$25:$W$35,2*INT((11+WEEKDAY(DATE(PlanYear,6,1),2)-1)/7)+1,MOD(11+WEEKDAY(DATE(PlanYear,6,1),2)-1,7)+1)=AG$5,", "&amp;12,"")&amp;IF(INDEX($Q$25:$W$35,2*INT((12+WEEKDAY(DATE(PlanYear,6,1),2)-1)/7)+1,MOD(12+WEEKDAY(DATE(PlanYear,6,1),2)-1,7)+1)=AG$5,", "&amp;13,"")&amp;IF(INDEX($Q$25:$W$35,2*INT((13+WEEKDAY(DATE(PlanYear,6,1),2)-1)/7)+1,MOD(13+WEEKDAY(DATE(PlanYear,6,1),2)-1,7)+1)=AG$5,", "&amp;14,"")&amp;IF(INDEX($Q$25:$W$35,2*INT((14+WEEKDAY(DATE(PlanYear,6,1),2)-1)/7)+1,MOD(14+WEEKDAY(DATE(PlanYear,6,1),2)-1,7)+1)=AG$5,", "&amp;15,"")&amp;IF(INDEX($Q$25:$W$35,2*INT((15+WEEKDAY(DATE(PlanYear,6,1),2)-1)/7)+1,MOD(15+WEEKDAY(DATE(PlanYear,6,1),2)-1,7)+1)=AG$5,", "&amp;16,"")&amp;IF(INDEX($Q$25:$W$35,2*INT((16+WEEKDAY(DATE(PlanYear,6,1),2)-1)/7)+1,MOD(16+WEEKDAY(DATE(PlanYear,6,1),2)-1,7)+1)=AG$5,", "&amp;17,"")&amp;IF(INDEX($Q$25:$W$35,2*INT((17+WEEKDAY(DATE(PlanYear,6,1),2)-1)/7)+1,MOD(17+WEEKDAY(DATE(PlanYear,6,1),2)-1,7)+1)=AG$5,", "&amp;18,"")&amp;IF(INDEX($Q$25:$W$35,2*INT((18+WEEKDAY(DATE(PlanYear,6,1),2)-1)/7)+1,MOD(18+WEEKDAY(DATE(PlanYear,6,1),2)-1,7)+1)=AG$5,", "&amp;19,"")&amp;IF(INDEX($Q$25:$W$35,2*INT((19+WEEKDAY(DATE(PlanYear,6,1),2)-1)/7)+1,MOD(19+WEEKDAY(DATE(PlanYear,6,1),2)-1,7)+1)=AG$5,", "&amp;20,"")&amp;IF(INDEX($Q$25:$W$35,2*INT((20+WEEKDAY(DATE(PlanYear,6,1),2)-1)/7)+1,MOD(20+WEEKDAY(DATE(PlanYear,6,1),2)-1,7)+1)=AG$5,", "&amp;21,"")&amp;IF(INDEX($Q$25:$W$35,2*INT((21+WEEKDAY(DATE(PlanYear,6,1),2)-1)/7)+1,MOD(21+WEEKDAY(DATE(PlanYear,6,1),2)-1,7)+1)=AG$5,", "&amp;22,"")&amp;IF(INDEX($Q$25:$W$35,2*INT((22+WEEKDAY(DATE(PlanYear,6,1),2)-1)/7)+1,MOD(22+WEEKDAY(DATE(PlanYear,6,1),2)-1,7)+1)=AG$5,", "&amp;23,"")&amp;IF(INDEX($Q$25:$W$35,2*INT((23+WEEKDAY(DATE(PlanYear,6,1),2)-1)/7)+1,MOD(23+WEEKDAY(DATE(PlanYear,6,1),2)-1,7)+1)=AG$5,", "&amp;24,"")&amp;IF(INDEX($Q$25:$W$35,2*INT((24+WEEKDAY(DATE(PlanYear,6,1),2)-1)/7)+1,MOD(24+WEEKDAY(DATE(PlanYear,6,1),2)-1,7)+1)=AG$5,", "&amp;25,"")&amp;IF(INDEX($Q$25:$W$35,2*INT((25+WEEKDAY(DATE(PlanYear,6,1),2)-1)/7)+1,MOD(25+WEEKDAY(DATE(PlanYear,6,1),2)-1,7)+1)=AG$5,", "&amp;26,"")&amp;IF(INDEX($Q$25:$W$35,2*INT((26+WEEKDAY(DATE(PlanYear,6,1),2)-1)/7)+1,MOD(26+WEEKDAY(DATE(PlanYear,6,1),2)-1,7)+1)=AG$5,", "&amp;27,"")&amp;IF(INDEX($Q$25:$W$35,2*INT((27+WEEKDAY(DATE(PlanYear,6,1),2)-1)/7)+1,MOD(27+WEEKDAY(DATE(PlanYear,6,1),2)-1,7)+1)=AG$5,", "&amp;28,"")&amp;IF(INDEX($Q$25:$W$35,2*INT((28+WEEKDAY(DATE(PlanYear,6,1),2)-1)/7)+1,MOD(28+WEEKDAY(DATE(PlanYear,6,1),2)-1,7)+1)=AG$5,", "&amp;29,"")&amp;IF(INDEX($Q$25:$W$35,2*INT((29+WEEKDAY(DATE(PlanYear,6,1),2)-1)/7)+1,MOD(29+WEEKDAY(DATE(PlanYear,6,1),2)-1,7)+1)=AG$5,", "&amp;30,"")&amp;IF(INDEX($Q$25:$W$35,2*INT((30+WEEKDAY(DATE(PlanYear,6,1),2)-1)/7)+1,MOD(30+WEEKDAY(DATE(PlanYear,6,1),2)-1,7)+1)=AG$5,", "&amp;31,""),3,200))</f>
        <v/>
      </c>
      <c r="AH11" s="16">
        <f>IF(AH$5="","",MID(IF(INDEX($Q$25:$W$35,2*INT((0+WEEKDAY(DATE(PlanYear,6,1),2)-1)/7)+1,MOD(0+WEEKDAY(DATE(PlanYear,6,1),2)-1,7)+1)=AH$5,", "&amp;1,"")&amp;IF(INDEX($Q$25:$W$35,2*INT((1+WEEKDAY(DATE(PlanYear,6,1),2)-1)/7)+1,MOD(1+WEEKDAY(DATE(PlanYear,6,1),2)-1,7)+1)=AH$5,", "&amp;2,"")&amp;IF(INDEX($Q$25:$W$35,2*INT((2+WEEKDAY(DATE(PlanYear,6,1),2)-1)/7)+1,MOD(2+WEEKDAY(DATE(PlanYear,6,1),2)-1,7)+1)=AH$5,", "&amp;3,"")&amp;IF(INDEX($Q$25:$W$35,2*INT((3+WEEKDAY(DATE(PlanYear,6,1),2)-1)/7)+1,MOD(3+WEEKDAY(DATE(PlanYear,6,1),2)-1,7)+1)=AH$5,", "&amp;4,"")&amp;IF(INDEX($Q$25:$W$35,2*INT((4+WEEKDAY(DATE(PlanYear,6,1),2)-1)/7)+1,MOD(4+WEEKDAY(DATE(PlanYear,6,1),2)-1,7)+1)=AH$5,", "&amp;5,"")&amp;IF(INDEX($Q$25:$W$35,2*INT((5+WEEKDAY(DATE(PlanYear,6,1),2)-1)/7)+1,MOD(5+WEEKDAY(DATE(PlanYear,6,1),2)-1,7)+1)=AH$5,", "&amp;6,"")&amp;IF(INDEX($Q$25:$W$35,2*INT((6+WEEKDAY(DATE(PlanYear,6,1),2)-1)/7)+1,MOD(6+WEEKDAY(DATE(PlanYear,6,1),2)-1,7)+1)=AH$5,", "&amp;7,"")&amp;IF(INDEX($Q$25:$W$35,2*INT((7+WEEKDAY(DATE(PlanYear,6,1),2)-1)/7)+1,MOD(7+WEEKDAY(DATE(PlanYear,6,1),2)-1,7)+1)=AH$5,", "&amp;8,"")&amp;IF(INDEX($Q$25:$W$35,2*INT((8+WEEKDAY(DATE(PlanYear,6,1),2)-1)/7)+1,MOD(8+WEEKDAY(DATE(PlanYear,6,1),2)-1,7)+1)=AH$5,", "&amp;9,"")&amp;IF(INDEX($Q$25:$W$35,2*INT((9+WEEKDAY(DATE(PlanYear,6,1),2)-1)/7)+1,MOD(9+WEEKDAY(DATE(PlanYear,6,1),2)-1,7)+1)=AH$5,", "&amp;10,"")&amp;IF(INDEX($Q$25:$W$35,2*INT((10+WEEKDAY(DATE(PlanYear,6,1),2)-1)/7)+1,MOD(10+WEEKDAY(DATE(PlanYear,6,1),2)-1,7)+1)=AH$5,", "&amp;11,"")&amp;IF(INDEX($Q$25:$W$35,2*INT((11+WEEKDAY(DATE(PlanYear,6,1),2)-1)/7)+1,MOD(11+WEEKDAY(DATE(PlanYear,6,1),2)-1,7)+1)=AH$5,", "&amp;12,"")&amp;IF(INDEX($Q$25:$W$35,2*INT((12+WEEKDAY(DATE(PlanYear,6,1),2)-1)/7)+1,MOD(12+WEEKDAY(DATE(PlanYear,6,1),2)-1,7)+1)=AH$5,", "&amp;13,"")&amp;IF(INDEX($Q$25:$W$35,2*INT((13+WEEKDAY(DATE(PlanYear,6,1),2)-1)/7)+1,MOD(13+WEEKDAY(DATE(PlanYear,6,1),2)-1,7)+1)=AH$5,", "&amp;14,"")&amp;IF(INDEX($Q$25:$W$35,2*INT((14+WEEKDAY(DATE(PlanYear,6,1),2)-1)/7)+1,MOD(14+WEEKDAY(DATE(PlanYear,6,1),2)-1,7)+1)=AH$5,", "&amp;15,"")&amp;IF(INDEX($Q$25:$W$35,2*INT((15+WEEKDAY(DATE(PlanYear,6,1),2)-1)/7)+1,MOD(15+WEEKDAY(DATE(PlanYear,6,1),2)-1,7)+1)=AH$5,", "&amp;16,"")&amp;IF(INDEX($Q$25:$W$35,2*INT((16+WEEKDAY(DATE(PlanYear,6,1),2)-1)/7)+1,MOD(16+WEEKDAY(DATE(PlanYear,6,1),2)-1,7)+1)=AH$5,", "&amp;17,"")&amp;IF(INDEX($Q$25:$W$35,2*INT((17+WEEKDAY(DATE(PlanYear,6,1),2)-1)/7)+1,MOD(17+WEEKDAY(DATE(PlanYear,6,1),2)-1,7)+1)=AH$5,", "&amp;18,"")&amp;IF(INDEX($Q$25:$W$35,2*INT((18+WEEKDAY(DATE(PlanYear,6,1),2)-1)/7)+1,MOD(18+WEEKDAY(DATE(PlanYear,6,1),2)-1,7)+1)=AH$5,", "&amp;19,"")&amp;IF(INDEX($Q$25:$W$35,2*INT((19+WEEKDAY(DATE(PlanYear,6,1),2)-1)/7)+1,MOD(19+WEEKDAY(DATE(PlanYear,6,1),2)-1,7)+1)=AH$5,", "&amp;20,"")&amp;IF(INDEX($Q$25:$W$35,2*INT((20+WEEKDAY(DATE(PlanYear,6,1),2)-1)/7)+1,MOD(20+WEEKDAY(DATE(PlanYear,6,1),2)-1,7)+1)=AH$5,", "&amp;21,"")&amp;IF(INDEX($Q$25:$W$35,2*INT((21+WEEKDAY(DATE(PlanYear,6,1),2)-1)/7)+1,MOD(21+WEEKDAY(DATE(PlanYear,6,1),2)-1,7)+1)=AH$5,", "&amp;22,"")&amp;IF(INDEX($Q$25:$W$35,2*INT((22+WEEKDAY(DATE(PlanYear,6,1),2)-1)/7)+1,MOD(22+WEEKDAY(DATE(PlanYear,6,1),2)-1,7)+1)=AH$5,", "&amp;23,"")&amp;IF(INDEX($Q$25:$W$35,2*INT((23+WEEKDAY(DATE(PlanYear,6,1),2)-1)/7)+1,MOD(23+WEEKDAY(DATE(PlanYear,6,1),2)-1,7)+1)=AH$5,", "&amp;24,"")&amp;IF(INDEX($Q$25:$W$35,2*INT((24+WEEKDAY(DATE(PlanYear,6,1),2)-1)/7)+1,MOD(24+WEEKDAY(DATE(PlanYear,6,1),2)-1,7)+1)=AH$5,", "&amp;25,"")&amp;IF(INDEX($Q$25:$W$35,2*INT((25+WEEKDAY(DATE(PlanYear,6,1),2)-1)/7)+1,MOD(25+WEEKDAY(DATE(PlanYear,6,1),2)-1,7)+1)=AH$5,", "&amp;26,"")&amp;IF(INDEX($Q$25:$W$35,2*INT((26+WEEKDAY(DATE(PlanYear,6,1),2)-1)/7)+1,MOD(26+WEEKDAY(DATE(PlanYear,6,1),2)-1,7)+1)=AH$5,", "&amp;27,"")&amp;IF(INDEX($Q$25:$W$35,2*INT((27+WEEKDAY(DATE(PlanYear,6,1),2)-1)/7)+1,MOD(27+WEEKDAY(DATE(PlanYear,6,1),2)-1,7)+1)=AH$5,", "&amp;28,"")&amp;IF(INDEX($Q$25:$W$35,2*INT((28+WEEKDAY(DATE(PlanYear,6,1),2)-1)/7)+1,MOD(28+WEEKDAY(DATE(PlanYear,6,1),2)-1,7)+1)=AH$5,", "&amp;29,"")&amp;IF(INDEX($Q$25:$W$35,2*INT((29+WEEKDAY(DATE(PlanYear,6,1),2)-1)/7)+1,MOD(29+WEEKDAY(DATE(PlanYear,6,1),2)-1,7)+1)=AH$5,", "&amp;30,"")&amp;IF(INDEX($Q$25:$W$35,2*INT((30+WEEKDAY(DATE(PlanYear,6,1),2)-1)/7)+1,MOD(30+WEEKDAY(DATE(PlanYear,6,1),2)-1,7)+1)=AH$5,", "&amp;31,""),3,200))</f>
        <v/>
      </c>
      <c r="AI11" s="16">
        <f>IF(AI$5="","",MID(IF(INDEX($Q$25:$W$35,2*INT((0+WEEKDAY(DATE(PlanYear,6,1),2)-1)/7)+1,MOD(0+WEEKDAY(DATE(PlanYear,6,1),2)-1,7)+1)=AI$5,", "&amp;1,"")&amp;IF(INDEX($Q$25:$W$35,2*INT((1+WEEKDAY(DATE(PlanYear,6,1),2)-1)/7)+1,MOD(1+WEEKDAY(DATE(PlanYear,6,1),2)-1,7)+1)=AI$5,", "&amp;2,"")&amp;IF(INDEX($Q$25:$W$35,2*INT((2+WEEKDAY(DATE(PlanYear,6,1),2)-1)/7)+1,MOD(2+WEEKDAY(DATE(PlanYear,6,1),2)-1,7)+1)=AI$5,", "&amp;3,"")&amp;IF(INDEX($Q$25:$W$35,2*INT((3+WEEKDAY(DATE(PlanYear,6,1),2)-1)/7)+1,MOD(3+WEEKDAY(DATE(PlanYear,6,1),2)-1,7)+1)=AI$5,", "&amp;4,"")&amp;IF(INDEX($Q$25:$W$35,2*INT((4+WEEKDAY(DATE(PlanYear,6,1),2)-1)/7)+1,MOD(4+WEEKDAY(DATE(PlanYear,6,1),2)-1,7)+1)=AI$5,", "&amp;5,"")&amp;IF(INDEX($Q$25:$W$35,2*INT((5+WEEKDAY(DATE(PlanYear,6,1),2)-1)/7)+1,MOD(5+WEEKDAY(DATE(PlanYear,6,1),2)-1,7)+1)=AI$5,", "&amp;6,"")&amp;IF(INDEX($Q$25:$W$35,2*INT((6+WEEKDAY(DATE(PlanYear,6,1),2)-1)/7)+1,MOD(6+WEEKDAY(DATE(PlanYear,6,1),2)-1,7)+1)=AI$5,", "&amp;7,"")&amp;IF(INDEX($Q$25:$W$35,2*INT((7+WEEKDAY(DATE(PlanYear,6,1),2)-1)/7)+1,MOD(7+WEEKDAY(DATE(PlanYear,6,1),2)-1,7)+1)=AI$5,", "&amp;8,"")&amp;IF(INDEX($Q$25:$W$35,2*INT((8+WEEKDAY(DATE(PlanYear,6,1),2)-1)/7)+1,MOD(8+WEEKDAY(DATE(PlanYear,6,1),2)-1,7)+1)=AI$5,", "&amp;9,"")&amp;IF(INDEX($Q$25:$W$35,2*INT((9+WEEKDAY(DATE(PlanYear,6,1),2)-1)/7)+1,MOD(9+WEEKDAY(DATE(PlanYear,6,1),2)-1,7)+1)=AI$5,", "&amp;10,"")&amp;IF(INDEX($Q$25:$W$35,2*INT((10+WEEKDAY(DATE(PlanYear,6,1),2)-1)/7)+1,MOD(10+WEEKDAY(DATE(PlanYear,6,1),2)-1,7)+1)=AI$5,", "&amp;11,"")&amp;IF(INDEX($Q$25:$W$35,2*INT((11+WEEKDAY(DATE(PlanYear,6,1),2)-1)/7)+1,MOD(11+WEEKDAY(DATE(PlanYear,6,1),2)-1,7)+1)=AI$5,", "&amp;12,"")&amp;IF(INDEX($Q$25:$W$35,2*INT((12+WEEKDAY(DATE(PlanYear,6,1),2)-1)/7)+1,MOD(12+WEEKDAY(DATE(PlanYear,6,1),2)-1,7)+1)=AI$5,", "&amp;13,"")&amp;IF(INDEX($Q$25:$W$35,2*INT((13+WEEKDAY(DATE(PlanYear,6,1),2)-1)/7)+1,MOD(13+WEEKDAY(DATE(PlanYear,6,1),2)-1,7)+1)=AI$5,", "&amp;14,"")&amp;IF(INDEX($Q$25:$W$35,2*INT((14+WEEKDAY(DATE(PlanYear,6,1),2)-1)/7)+1,MOD(14+WEEKDAY(DATE(PlanYear,6,1),2)-1,7)+1)=AI$5,", "&amp;15,"")&amp;IF(INDEX($Q$25:$W$35,2*INT((15+WEEKDAY(DATE(PlanYear,6,1),2)-1)/7)+1,MOD(15+WEEKDAY(DATE(PlanYear,6,1),2)-1,7)+1)=AI$5,", "&amp;16,"")&amp;IF(INDEX($Q$25:$W$35,2*INT((16+WEEKDAY(DATE(PlanYear,6,1),2)-1)/7)+1,MOD(16+WEEKDAY(DATE(PlanYear,6,1),2)-1,7)+1)=AI$5,", "&amp;17,"")&amp;IF(INDEX($Q$25:$W$35,2*INT((17+WEEKDAY(DATE(PlanYear,6,1),2)-1)/7)+1,MOD(17+WEEKDAY(DATE(PlanYear,6,1),2)-1,7)+1)=AI$5,", "&amp;18,"")&amp;IF(INDEX($Q$25:$W$35,2*INT((18+WEEKDAY(DATE(PlanYear,6,1),2)-1)/7)+1,MOD(18+WEEKDAY(DATE(PlanYear,6,1),2)-1,7)+1)=AI$5,", "&amp;19,"")&amp;IF(INDEX($Q$25:$W$35,2*INT((19+WEEKDAY(DATE(PlanYear,6,1),2)-1)/7)+1,MOD(19+WEEKDAY(DATE(PlanYear,6,1),2)-1,7)+1)=AI$5,", "&amp;20,"")&amp;IF(INDEX($Q$25:$W$35,2*INT((20+WEEKDAY(DATE(PlanYear,6,1),2)-1)/7)+1,MOD(20+WEEKDAY(DATE(PlanYear,6,1),2)-1,7)+1)=AI$5,", "&amp;21,"")&amp;IF(INDEX($Q$25:$W$35,2*INT((21+WEEKDAY(DATE(PlanYear,6,1),2)-1)/7)+1,MOD(21+WEEKDAY(DATE(PlanYear,6,1),2)-1,7)+1)=AI$5,", "&amp;22,"")&amp;IF(INDEX($Q$25:$W$35,2*INT((22+WEEKDAY(DATE(PlanYear,6,1),2)-1)/7)+1,MOD(22+WEEKDAY(DATE(PlanYear,6,1),2)-1,7)+1)=AI$5,", "&amp;23,"")&amp;IF(INDEX($Q$25:$W$35,2*INT((23+WEEKDAY(DATE(PlanYear,6,1),2)-1)/7)+1,MOD(23+WEEKDAY(DATE(PlanYear,6,1),2)-1,7)+1)=AI$5,", "&amp;24,"")&amp;IF(INDEX($Q$25:$W$35,2*INT((24+WEEKDAY(DATE(PlanYear,6,1),2)-1)/7)+1,MOD(24+WEEKDAY(DATE(PlanYear,6,1),2)-1,7)+1)=AI$5,", "&amp;25,"")&amp;IF(INDEX($Q$25:$W$35,2*INT((25+WEEKDAY(DATE(PlanYear,6,1),2)-1)/7)+1,MOD(25+WEEKDAY(DATE(PlanYear,6,1),2)-1,7)+1)=AI$5,", "&amp;26,"")&amp;IF(INDEX($Q$25:$W$35,2*INT((26+WEEKDAY(DATE(PlanYear,6,1),2)-1)/7)+1,MOD(26+WEEKDAY(DATE(PlanYear,6,1),2)-1,7)+1)=AI$5,", "&amp;27,"")&amp;IF(INDEX($Q$25:$W$35,2*INT((27+WEEKDAY(DATE(PlanYear,6,1),2)-1)/7)+1,MOD(27+WEEKDAY(DATE(PlanYear,6,1),2)-1,7)+1)=AI$5,", "&amp;28,"")&amp;IF(INDEX($Q$25:$W$35,2*INT((28+WEEKDAY(DATE(PlanYear,6,1),2)-1)/7)+1,MOD(28+WEEKDAY(DATE(PlanYear,6,1),2)-1,7)+1)=AI$5,", "&amp;29,"")&amp;IF(INDEX($Q$25:$W$35,2*INT((29+WEEKDAY(DATE(PlanYear,6,1),2)-1)/7)+1,MOD(29+WEEKDAY(DATE(PlanYear,6,1),2)-1,7)+1)=AI$5,", "&amp;30,"")&amp;IF(INDEX($Q$25:$W$35,2*INT((30+WEEKDAY(DATE(PlanYear,6,1),2)-1)/7)+1,MOD(30+WEEKDAY(DATE(PlanYear,6,1),2)-1,7)+1)=AI$5,", "&amp;31,""),3,200))</f>
        <v/>
      </c>
      <c r="AJ11" s="16">
        <f>IF(AJ$5="","",MID(IF(INDEX($Q$25:$W$35,2*INT((0+WEEKDAY(DATE(PlanYear,6,1),2)-1)/7)+1,MOD(0+WEEKDAY(DATE(PlanYear,6,1),2)-1,7)+1)=AJ$5,", "&amp;1,"")&amp;IF(INDEX($Q$25:$W$35,2*INT((1+WEEKDAY(DATE(PlanYear,6,1),2)-1)/7)+1,MOD(1+WEEKDAY(DATE(PlanYear,6,1),2)-1,7)+1)=AJ$5,", "&amp;2,"")&amp;IF(INDEX($Q$25:$W$35,2*INT((2+WEEKDAY(DATE(PlanYear,6,1),2)-1)/7)+1,MOD(2+WEEKDAY(DATE(PlanYear,6,1),2)-1,7)+1)=AJ$5,", "&amp;3,"")&amp;IF(INDEX($Q$25:$W$35,2*INT((3+WEEKDAY(DATE(PlanYear,6,1),2)-1)/7)+1,MOD(3+WEEKDAY(DATE(PlanYear,6,1),2)-1,7)+1)=AJ$5,", "&amp;4,"")&amp;IF(INDEX($Q$25:$W$35,2*INT((4+WEEKDAY(DATE(PlanYear,6,1),2)-1)/7)+1,MOD(4+WEEKDAY(DATE(PlanYear,6,1),2)-1,7)+1)=AJ$5,", "&amp;5,"")&amp;IF(INDEX($Q$25:$W$35,2*INT((5+WEEKDAY(DATE(PlanYear,6,1),2)-1)/7)+1,MOD(5+WEEKDAY(DATE(PlanYear,6,1),2)-1,7)+1)=AJ$5,", "&amp;6,"")&amp;IF(INDEX($Q$25:$W$35,2*INT((6+WEEKDAY(DATE(PlanYear,6,1),2)-1)/7)+1,MOD(6+WEEKDAY(DATE(PlanYear,6,1),2)-1,7)+1)=AJ$5,", "&amp;7,"")&amp;IF(INDEX($Q$25:$W$35,2*INT((7+WEEKDAY(DATE(PlanYear,6,1),2)-1)/7)+1,MOD(7+WEEKDAY(DATE(PlanYear,6,1),2)-1,7)+1)=AJ$5,", "&amp;8,"")&amp;IF(INDEX($Q$25:$W$35,2*INT((8+WEEKDAY(DATE(PlanYear,6,1),2)-1)/7)+1,MOD(8+WEEKDAY(DATE(PlanYear,6,1),2)-1,7)+1)=AJ$5,", "&amp;9,"")&amp;IF(INDEX($Q$25:$W$35,2*INT((9+WEEKDAY(DATE(PlanYear,6,1),2)-1)/7)+1,MOD(9+WEEKDAY(DATE(PlanYear,6,1),2)-1,7)+1)=AJ$5,", "&amp;10,"")&amp;IF(INDEX($Q$25:$W$35,2*INT((10+WEEKDAY(DATE(PlanYear,6,1),2)-1)/7)+1,MOD(10+WEEKDAY(DATE(PlanYear,6,1),2)-1,7)+1)=AJ$5,", "&amp;11,"")&amp;IF(INDEX($Q$25:$W$35,2*INT((11+WEEKDAY(DATE(PlanYear,6,1),2)-1)/7)+1,MOD(11+WEEKDAY(DATE(PlanYear,6,1),2)-1,7)+1)=AJ$5,", "&amp;12,"")&amp;IF(INDEX($Q$25:$W$35,2*INT((12+WEEKDAY(DATE(PlanYear,6,1),2)-1)/7)+1,MOD(12+WEEKDAY(DATE(PlanYear,6,1),2)-1,7)+1)=AJ$5,", "&amp;13,"")&amp;IF(INDEX($Q$25:$W$35,2*INT((13+WEEKDAY(DATE(PlanYear,6,1),2)-1)/7)+1,MOD(13+WEEKDAY(DATE(PlanYear,6,1),2)-1,7)+1)=AJ$5,", "&amp;14,"")&amp;IF(INDEX($Q$25:$W$35,2*INT((14+WEEKDAY(DATE(PlanYear,6,1),2)-1)/7)+1,MOD(14+WEEKDAY(DATE(PlanYear,6,1),2)-1,7)+1)=AJ$5,", "&amp;15,"")&amp;IF(INDEX($Q$25:$W$35,2*INT((15+WEEKDAY(DATE(PlanYear,6,1),2)-1)/7)+1,MOD(15+WEEKDAY(DATE(PlanYear,6,1),2)-1,7)+1)=AJ$5,", "&amp;16,"")&amp;IF(INDEX($Q$25:$W$35,2*INT((16+WEEKDAY(DATE(PlanYear,6,1),2)-1)/7)+1,MOD(16+WEEKDAY(DATE(PlanYear,6,1),2)-1,7)+1)=AJ$5,", "&amp;17,"")&amp;IF(INDEX($Q$25:$W$35,2*INT((17+WEEKDAY(DATE(PlanYear,6,1),2)-1)/7)+1,MOD(17+WEEKDAY(DATE(PlanYear,6,1),2)-1,7)+1)=AJ$5,", "&amp;18,"")&amp;IF(INDEX($Q$25:$W$35,2*INT((18+WEEKDAY(DATE(PlanYear,6,1),2)-1)/7)+1,MOD(18+WEEKDAY(DATE(PlanYear,6,1),2)-1,7)+1)=AJ$5,", "&amp;19,"")&amp;IF(INDEX($Q$25:$W$35,2*INT((19+WEEKDAY(DATE(PlanYear,6,1),2)-1)/7)+1,MOD(19+WEEKDAY(DATE(PlanYear,6,1),2)-1,7)+1)=AJ$5,", "&amp;20,"")&amp;IF(INDEX($Q$25:$W$35,2*INT((20+WEEKDAY(DATE(PlanYear,6,1),2)-1)/7)+1,MOD(20+WEEKDAY(DATE(PlanYear,6,1),2)-1,7)+1)=AJ$5,", "&amp;21,"")&amp;IF(INDEX($Q$25:$W$35,2*INT((21+WEEKDAY(DATE(PlanYear,6,1),2)-1)/7)+1,MOD(21+WEEKDAY(DATE(PlanYear,6,1),2)-1,7)+1)=AJ$5,", "&amp;22,"")&amp;IF(INDEX($Q$25:$W$35,2*INT((22+WEEKDAY(DATE(PlanYear,6,1),2)-1)/7)+1,MOD(22+WEEKDAY(DATE(PlanYear,6,1),2)-1,7)+1)=AJ$5,", "&amp;23,"")&amp;IF(INDEX($Q$25:$W$35,2*INT((23+WEEKDAY(DATE(PlanYear,6,1),2)-1)/7)+1,MOD(23+WEEKDAY(DATE(PlanYear,6,1),2)-1,7)+1)=AJ$5,", "&amp;24,"")&amp;IF(INDEX($Q$25:$W$35,2*INT((24+WEEKDAY(DATE(PlanYear,6,1),2)-1)/7)+1,MOD(24+WEEKDAY(DATE(PlanYear,6,1),2)-1,7)+1)=AJ$5,", "&amp;25,"")&amp;IF(INDEX($Q$25:$W$35,2*INT((25+WEEKDAY(DATE(PlanYear,6,1),2)-1)/7)+1,MOD(25+WEEKDAY(DATE(PlanYear,6,1),2)-1,7)+1)=AJ$5,", "&amp;26,"")&amp;IF(INDEX($Q$25:$W$35,2*INT((26+WEEKDAY(DATE(PlanYear,6,1),2)-1)/7)+1,MOD(26+WEEKDAY(DATE(PlanYear,6,1),2)-1,7)+1)=AJ$5,", "&amp;27,"")&amp;IF(INDEX($Q$25:$W$35,2*INT((27+WEEKDAY(DATE(PlanYear,6,1),2)-1)/7)+1,MOD(27+WEEKDAY(DATE(PlanYear,6,1),2)-1,7)+1)=AJ$5,", "&amp;28,"")&amp;IF(INDEX($Q$25:$W$35,2*INT((28+WEEKDAY(DATE(PlanYear,6,1),2)-1)/7)+1,MOD(28+WEEKDAY(DATE(PlanYear,6,1),2)-1,7)+1)=AJ$5,", "&amp;29,"")&amp;IF(INDEX($Q$25:$W$35,2*INT((29+WEEKDAY(DATE(PlanYear,6,1),2)-1)/7)+1,MOD(29+WEEKDAY(DATE(PlanYear,6,1),2)-1,7)+1)=AJ$5,", "&amp;30,"")&amp;IF(INDEX($Q$25:$W$35,2*INT((30+WEEKDAY(DATE(PlanYear,6,1),2)-1)/7)+1,MOD(30+WEEKDAY(DATE(PlanYear,6,1),2)-1,7)+1)=AJ$5,", "&amp;31,""),3,200))</f>
        <v/>
      </c>
      <c r="AK11" s="17">
        <f>DAY(EOMONTH(DATE(PlanYear,6,1),0))-COUNTIF($Q$25:$W$35,"?*")</f>
        <v/>
      </c>
    </row>
    <row r="12" ht="26" customHeight="1">
      <c r="A12" s="20">
        <f>IF(AND(15-(WEEKDAY(DATE(PlanYear,1,1),2)-1)&gt;=1,15-(WEEKDAY(DATE(PlanYear,1,1),2)-1)&lt;=DAY(EOMONTH(DATE(PlanYear,1,1),0))),DATE(PlanYear,1,1)+15-WEEKDAY(DATE(PlanYear,1,1),2),"")</f>
        <v/>
      </c>
      <c r="B12" s="20">
        <f>IF(AND(16-(WEEKDAY(DATE(PlanYear,1,1),2)-1)&gt;=1,16-(WEEKDAY(DATE(PlanYear,1,1),2)-1)&lt;=DAY(EOMONTH(DATE(PlanYear,1,1),0))),DATE(PlanYear,1,1)+16-WEEKDAY(DATE(PlanYear,1,1),2),"")</f>
        <v/>
      </c>
      <c r="C12" s="20">
        <f>IF(AND(17-(WEEKDAY(DATE(PlanYear,1,1),2)-1)&gt;=1,17-(WEEKDAY(DATE(PlanYear,1,1),2)-1)&lt;=DAY(EOMONTH(DATE(PlanYear,1,1),0))),DATE(PlanYear,1,1)+17-WEEKDAY(DATE(PlanYear,1,1),2),"")</f>
        <v/>
      </c>
      <c r="D12" s="20">
        <f>IF(AND(18-(WEEKDAY(DATE(PlanYear,1,1),2)-1)&gt;=1,18-(WEEKDAY(DATE(PlanYear,1,1),2)-1)&lt;=DAY(EOMONTH(DATE(PlanYear,1,1),0))),DATE(PlanYear,1,1)+18-WEEKDAY(DATE(PlanYear,1,1),2),"")</f>
        <v/>
      </c>
      <c r="E12" s="20">
        <f>IF(AND(19-(WEEKDAY(DATE(PlanYear,1,1),2)-1)&gt;=1,19-(WEEKDAY(DATE(PlanYear,1,1),2)-1)&lt;=DAY(EOMONTH(DATE(PlanYear,1,1),0))),DATE(PlanYear,1,1)+19-WEEKDAY(DATE(PlanYear,1,1),2),"")</f>
        <v/>
      </c>
      <c r="F12" s="20">
        <f>IF(AND(20-(WEEKDAY(DATE(PlanYear,1,1),2)-1)&gt;=1,20-(WEEKDAY(DATE(PlanYear,1,1),2)-1)&lt;=DAY(EOMONTH(DATE(PlanYear,1,1),0))),DATE(PlanYear,1,1)+20-WEEKDAY(DATE(PlanYear,1,1),2),"")</f>
        <v/>
      </c>
      <c r="G12" s="20">
        <f>IF(AND(21-(WEEKDAY(DATE(PlanYear,1,1),2)-1)&gt;=1,21-(WEEKDAY(DATE(PlanYear,1,1),2)-1)&lt;=DAY(EOMONTH(DATE(PlanYear,1,1),0))),DATE(PlanYear,1,1)+21-WEEKDAY(DATE(PlanYear,1,1),2),"")</f>
        <v/>
      </c>
      <c r="I12" s="20">
        <f>IF(AND(15-(WEEKDAY(DATE(PlanYear,2,1),2)-1)&gt;=1,15-(WEEKDAY(DATE(PlanYear,2,1),2)-1)&lt;=DAY(EOMONTH(DATE(PlanYear,2,1),0))),DATE(PlanYear,2,1)+15-WEEKDAY(DATE(PlanYear,2,1),2),"")</f>
        <v/>
      </c>
      <c r="J12" s="20">
        <f>IF(AND(16-(WEEKDAY(DATE(PlanYear,2,1),2)-1)&gt;=1,16-(WEEKDAY(DATE(PlanYear,2,1),2)-1)&lt;=DAY(EOMONTH(DATE(PlanYear,2,1),0))),DATE(PlanYear,2,1)+16-WEEKDAY(DATE(PlanYear,2,1),2),"")</f>
        <v/>
      </c>
      <c r="K12" s="20">
        <f>IF(AND(17-(WEEKDAY(DATE(PlanYear,2,1),2)-1)&gt;=1,17-(WEEKDAY(DATE(PlanYear,2,1),2)-1)&lt;=DAY(EOMONTH(DATE(PlanYear,2,1),0))),DATE(PlanYear,2,1)+17-WEEKDAY(DATE(PlanYear,2,1),2),"")</f>
        <v/>
      </c>
      <c r="L12" s="20">
        <f>IF(AND(18-(WEEKDAY(DATE(PlanYear,2,1),2)-1)&gt;=1,18-(WEEKDAY(DATE(PlanYear,2,1),2)-1)&lt;=DAY(EOMONTH(DATE(PlanYear,2,1),0))),DATE(PlanYear,2,1)+18-WEEKDAY(DATE(PlanYear,2,1),2),"")</f>
        <v/>
      </c>
      <c r="M12" s="20">
        <f>IF(AND(19-(WEEKDAY(DATE(PlanYear,2,1),2)-1)&gt;=1,19-(WEEKDAY(DATE(PlanYear,2,1),2)-1)&lt;=DAY(EOMONTH(DATE(PlanYear,2,1),0))),DATE(PlanYear,2,1)+19-WEEKDAY(DATE(PlanYear,2,1),2),"")</f>
        <v/>
      </c>
      <c r="N12" s="20">
        <f>IF(AND(20-(WEEKDAY(DATE(PlanYear,2,1),2)-1)&gt;=1,20-(WEEKDAY(DATE(PlanYear,2,1),2)-1)&lt;=DAY(EOMONTH(DATE(PlanYear,2,1),0))),DATE(PlanYear,2,1)+20-WEEKDAY(DATE(PlanYear,2,1),2),"")</f>
        <v/>
      </c>
      <c r="O12" s="20">
        <f>IF(AND(21-(WEEKDAY(DATE(PlanYear,2,1),2)-1)&gt;=1,21-(WEEKDAY(DATE(PlanYear,2,1),2)-1)&lt;=DAY(EOMONTH(DATE(PlanYear,2,1),0))),DATE(PlanYear,2,1)+21-WEEKDAY(DATE(PlanYear,2,1),2),"")</f>
        <v/>
      </c>
      <c r="Q12" s="20">
        <f>IF(AND(15-(WEEKDAY(DATE(PlanYear,3,1),2)-1)&gt;=1,15-(WEEKDAY(DATE(PlanYear,3,1),2)-1)&lt;=DAY(EOMONTH(DATE(PlanYear,3,1),0))),DATE(PlanYear,3,1)+15-WEEKDAY(DATE(PlanYear,3,1),2),"")</f>
        <v/>
      </c>
      <c r="R12" s="20">
        <f>IF(AND(16-(WEEKDAY(DATE(PlanYear,3,1),2)-1)&gt;=1,16-(WEEKDAY(DATE(PlanYear,3,1),2)-1)&lt;=DAY(EOMONTH(DATE(PlanYear,3,1),0))),DATE(PlanYear,3,1)+16-WEEKDAY(DATE(PlanYear,3,1),2),"")</f>
        <v/>
      </c>
      <c r="S12" s="20">
        <f>IF(AND(17-(WEEKDAY(DATE(PlanYear,3,1),2)-1)&gt;=1,17-(WEEKDAY(DATE(PlanYear,3,1),2)-1)&lt;=DAY(EOMONTH(DATE(PlanYear,3,1),0))),DATE(PlanYear,3,1)+17-WEEKDAY(DATE(PlanYear,3,1),2),"")</f>
        <v/>
      </c>
      <c r="T12" s="20">
        <f>IF(AND(18-(WEEKDAY(DATE(PlanYear,3,1),2)-1)&gt;=1,18-(WEEKDAY(DATE(PlanYear,3,1),2)-1)&lt;=DAY(EOMONTH(DATE(PlanYear,3,1),0))),DATE(PlanYear,3,1)+18-WEEKDAY(DATE(PlanYear,3,1),2),"")</f>
        <v/>
      </c>
      <c r="U12" s="20">
        <f>IF(AND(19-(WEEKDAY(DATE(PlanYear,3,1),2)-1)&gt;=1,19-(WEEKDAY(DATE(PlanYear,3,1),2)-1)&lt;=DAY(EOMONTH(DATE(PlanYear,3,1),0))),DATE(PlanYear,3,1)+19-WEEKDAY(DATE(PlanYear,3,1),2),"")</f>
        <v/>
      </c>
      <c r="V12" s="20">
        <f>IF(AND(20-(WEEKDAY(DATE(PlanYear,3,1),2)-1)&gt;=1,20-(WEEKDAY(DATE(PlanYear,3,1),2)-1)&lt;=DAY(EOMONTH(DATE(PlanYear,3,1),0))),DATE(PlanYear,3,1)+20-WEEKDAY(DATE(PlanYear,3,1),2),"")</f>
        <v/>
      </c>
      <c r="W12" s="20">
        <f>IF(AND(21-(WEEKDAY(DATE(PlanYear,3,1),2)-1)&gt;=1,21-(WEEKDAY(DATE(PlanYear,3,1),2)-1)&lt;=DAY(EOMONTH(DATE(PlanYear,3,1),0))),DATE(PlanYear,3,1)+21-WEEKDAY(DATE(PlanYear,3,1),2),"")</f>
        <v/>
      </c>
      <c r="Z12" s="15" t="inlineStr">
        <is>
          <t>July</t>
        </is>
      </c>
      <c r="AA12" s="16">
        <f>IF(AA$5="","",MID(IF(INDEX($A$41:$G$51,2*INT((0+WEEKDAY(DATE(PlanYear,7,1),2)-1)/7)+1,MOD(0+WEEKDAY(DATE(PlanYear,7,1),2)-1,7)+1)=AA$5,", "&amp;1,"")&amp;IF(INDEX($A$41:$G$51,2*INT((1+WEEKDAY(DATE(PlanYear,7,1),2)-1)/7)+1,MOD(1+WEEKDAY(DATE(PlanYear,7,1),2)-1,7)+1)=AA$5,", "&amp;2,"")&amp;IF(INDEX($A$41:$G$51,2*INT((2+WEEKDAY(DATE(PlanYear,7,1),2)-1)/7)+1,MOD(2+WEEKDAY(DATE(PlanYear,7,1),2)-1,7)+1)=AA$5,", "&amp;3,"")&amp;IF(INDEX($A$41:$G$51,2*INT((3+WEEKDAY(DATE(PlanYear,7,1),2)-1)/7)+1,MOD(3+WEEKDAY(DATE(PlanYear,7,1),2)-1,7)+1)=AA$5,", "&amp;4,"")&amp;IF(INDEX($A$41:$G$51,2*INT((4+WEEKDAY(DATE(PlanYear,7,1),2)-1)/7)+1,MOD(4+WEEKDAY(DATE(PlanYear,7,1),2)-1,7)+1)=AA$5,", "&amp;5,"")&amp;IF(INDEX($A$41:$G$51,2*INT((5+WEEKDAY(DATE(PlanYear,7,1),2)-1)/7)+1,MOD(5+WEEKDAY(DATE(PlanYear,7,1),2)-1,7)+1)=AA$5,", "&amp;6,"")&amp;IF(INDEX($A$41:$G$51,2*INT((6+WEEKDAY(DATE(PlanYear,7,1),2)-1)/7)+1,MOD(6+WEEKDAY(DATE(PlanYear,7,1),2)-1,7)+1)=AA$5,", "&amp;7,"")&amp;IF(INDEX($A$41:$G$51,2*INT((7+WEEKDAY(DATE(PlanYear,7,1),2)-1)/7)+1,MOD(7+WEEKDAY(DATE(PlanYear,7,1),2)-1,7)+1)=AA$5,", "&amp;8,"")&amp;IF(INDEX($A$41:$G$51,2*INT((8+WEEKDAY(DATE(PlanYear,7,1),2)-1)/7)+1,MOD(8+WEEKDAY(DATE(PlanYear,7,1),2)-1,7)+1)=AA$5,", "&amp;9,"")&amp;IF(INDEX($A$41:$G$51,2*INT((9+WEEKDAY(DATE(PlanYear,7,1),2)-1)/7)+1,MOD(9+WEEKDAY(DATE(PlanYear,7,1),2)-1,7)+1)=AA$5,", "&amp;10,"")&amp;IF(INDEX($A$41:$G$51,2*INT((10+WEEKDAY(DATE(PlanYear,7,1),2)-1)/7)+1,MOD(10+WEEKDAY(DATE(PlanYear,7,1),2)-1,7)+1)=AA$5,", "&amp;11,"")&amp;IF(INDEX($A$41:$G$51,2*INT((11+WEEKDAY(DATE(PlanYear,7,1),2)-1)/7)+1,MOD(11+WEEKDAY(DATE(PlanYear,7,1),2)-1,7)+1)=AA$5,", "&amp;12,"")&amp;IF(INDEX($A$41:$G$51,2*INT((12+WEEKDAY(DATE(PlanYear,7,1),2)-1)/7)+1,MOD(12+WEEKDAY(DATE(PlanYear,7,1),2)-1,7)+1)=AA$5,", "&amp;13,"")&amp;IF(INDEX($A$41:$G$51,2*INT((13+WEEKDAY(DATE(PlanYear,7,1),2)-1)/7)+1,MOD(13+WEEKDAY(DATE(PlanYear,7,1),2)-1,7)+1)=AA$5,", "&amp;14,"")&amp;IF(INDEX($A$41:$G$51,2*INT((14+WEEKDAY(DATE(PlanYear,7,1),2)-1)/7)+1,MOD(14+WEEKDAY(DATE(PlanYear,7,1),2)-1,7)+1)=AA$5,", "&amp;15,"")&amp;IF(INDEX($A$41:$G$51,2*INT((15+WEEKDAY(DATE(PlanYear,7,1),2)-1)/7)+1,MOD(15+WEEKDAY(DATE(PlanYear,7,1),2)-1,7)+1)=AA$5,", "&amp;16,"")&amp;IF(INDEX($A$41:$G$51,2*INT((16+WEEKDAY(DATE(PlanYear,7,1),2)-1)/7)+1,MOD(16+WEEKDAY(DATE(PlanYear,7,1),2)-1,7)+1)=AA$5,", "&amp;17,"")&amp;IF(INDEX($A$41:$G$51,2*INT((17+WEEKDAY(DATE(PlanYear,7,1),2)-1)/7)+1,MOD(17+WEEKDAY(DATE(PlanYear,7,1),2)-1,7)+1)=AA$5,", "&amp;18,"")&amp;IF(INDEX($A$41:$G$51,2*INT((18+WEEKDAY(DATE(PlanYear,7,1),2)-1)/7)+1,MOD(18+WEEKDAY(DATE(PlanYear,7,1),2)-1,7)+1)=AA$5,", "&amp;19,"")&amp;IF(INDEX($A$41:$G$51,2*INT((19+WEEKDAY(DATE(PlanYear,7,1),2)-1)/7)+1,MOD(19+WEEKDAY(DATE(PlanYear,7,1),2)-1,7)+1)=AA$5,", "&amp;20,"")&amp;IF(INDEX($A$41:$G$51,2*INT((20+WEEKDAY(DATE(PlanYear,7,1),2)-1)/7)+1,MOD(20+WEEKDAY(DATE(PlanYear,7,1),2)-1,7)+1)=AA$5,", "&amp;21,"")&amp;IF(INDEX($A$41:$G$51,2*INT((21+WEEKDAY(DATE(PlanYear,7,1),2)-1)/7)+1,MOD(21+WEEKDAY(DATE(PlanYear,7,1),2)-1,7)+1)=AA$5,", "&amp;22,"")&amp;IF(INDEX($A$41:$G$51,2*INT((22+WEEKDAY(DATE(PlanYear,7,1),2)-1)/7)+1,MOD(22+WEEKDAY(DATE(PlanYear,7,1),2)-1,7)+1)=AA$5,", "&amp;23,"")&amp;IF(INDEX($A$41:$G$51,2*INT((23+WEEKDAY(DATE(PlanYear,7,1),2)-1)/7)+1,MOD(23+WEEKDAY(DATE(PlanYear,7,1),2)-1,7)+1)=AA$5,", "&amp;24,"")&amp;IF(INDEX($A$41:$G$51,2*INT((24+WEEKDAY(DATE(PlanYear,7,1),2)-1)/7)+1,MOD(24+WEEKDAY(DATE(PlanYear,7,1),2)-1,7)+1)=AA$5,", "&amp;25,"")&amp;IF(INDEX($A$41:$G$51,2*INT((25+WEEKDAY(DATE(PlanYear,7,1),2)-1)/7)+1,MOD(25+WEEKDAY(DATE(PlanYear,7,1),2)-1,7)+1)=AA$5,", "&amp;26,"")&amp;IF(INDEX($A$41:$G$51,2*INT((26+WEEKDAY(DATE(PlanYear,7,1),2)-1)/7)+1,MOD(26+WEEKDAY(DATE(PlanYear,7,1),2)-1,7)+1)=AA$5,", "&amp;27,"")&amp;IF(INDEX($A$41:$G$51,2*INT((27+WEEKDAY(DATE(PlanYear,7,1),2)-1)/7)+1,MOD(27+WEEKDAY(DATE(PlanYear,7,1),2)-1,7)+1)=AA$5,", "&amp;28,"")&amp;IF(INDEX($A$41:$G$51,2*INT((28+WEEKDAY(DATE(PlanYear,7,1),2)-1)/7)+1,MOD(28+WEEKDAY(DATE(PlanYear,7,1),2)-1,7)+1)=AA$5,", "&amp;29,"")&amp;IF(INDEX($A$41:$G$51,2*INT((29+WEEKDAY(DATE(PlanYear,7,1),2)-1)/7)+1,MOD(29+WEEKDAY(DATE(PlanYear,7,1),2)-1,7)+1)=AA$5,", "&amp;30,"")&amp;IF(INDEX($A$41:$G$51,2*INT((30+WEEKDAY(DATE(PlanYear,7,1),2)-1)/7)+1,MOD(30+WEEKDAY(DATE(PlanYear,7,1),2)-1,7)+1)=AA$5,", "&amp;31,""),3,200))</f>
        <v/>
      </c>
      <c r="AB12" s="16">
        <f>IF(AB$5="","",MID(IF(INDEX($A$41:$G$51,2*INT((0+WEEKDAY(DATE(PlanYear,7,1),2)-1)/7)+1,MOD(0+WEEKDAY(DATE(PlanYear,7,1),2)-1,7)+1)=AB$5,", "&amp;1,"")&amp;IF(INDEX($A$41:$G$51,2*INT((1+WEEKDAY(DATE(PlanYear,7,1),2)-1)/7)+1,MOD(1+WEEKDAY(DATE(PlanYear,7,1),2)-1,7)+1)=AB$5,", "&amp;2,"")&amp;IF(INDEX($A$41:$G$51,2*INT((2+WEEKDAY(DATE(PlanYear,7,1),2)-1)/7)+1,MOD(2+WEEKDAY(DATE(PlanYear,7,1),2)-1,7)+1)=AB$5,", "&amp;3,"")&amp;IF(INDEX($A$41:$G$51,2*INT((3+WEEKDAY(DATE(PlanYear,7,1),2)-1)/7)+1,MOD(3+WEEKDAY(DATE(PlanYear,7,1),2)-1,7)+1)=AB$5,", "&amp;4,"")&amp;IF(INDEX($A$41:$G$51,2*INT((4+WEEKDAY(DATE(PlanYear,7,1),2)-1)/7)+1,MOD(4+WEEKDAY(DATE(PlanYear,7,1),2)-1,7)+1)=AB$5,", "&amp;5,"")&amp;IF(INDEX($A$41:$G$51,2*INT((5+WEEKDAY(DATE(PlanYear,7,1),2)-1)/7)+1,MOD(5+WEEKDAY(DATE(PlanYear,7,1),2)-1,7)+1)=AB$5,", "&amp;6,"")&amp;IF(INDEX($A$41:$G$51,2*INT((6+WEEKDAY(DATE(PlanYear,7,1),2)-1)/7)+1,MOD(6+WEEKDAY(DATE(PlanYear,7,1),2)-1,7)+1)=AB$5,", "&amp;7,"")&amp;IF(INDEX($A$41:$G$51,2*INT((7+WEEKDAY(DATE(PlanYear,7,1),2)-1)/7)+1,MOD(7+WEEKDAY(DATE(PlanYear,7,1),2)-1,7)+1)=AB$5,", "&amp;8,"")&amp;IF(INDEX($A$41:$G$51,2*INT((8+WEEKDAY(DATE(PlanYear,7,1),2)-1)/7)+1,MOD(8+WEEKDAY(DATE(PlanYear,7,1),2)-1,7)+1)=AB$5,", "&amp;9,"")&amp;IF(INDEX($A$41:$G$51,2*INT((9+WEEKDAY(DATE(PlanYear,7,1),2)-1)/7)+1,MOD(9+WEEKDAY(DATE(PlanYear,7,1),2)-1,7)+1)=AB$5,", "&amp;10,"")&amp;IF(INDEX($A$41:$G$51,2*INT((10+WEEKDAY(DATE(PlanYear,7,1),2)-1)/7)+1,MOD(10+WEEKDAY(DATE(PlanYear,7,1),2)-1,7)+1)=AB$5,", "&amp;11,"")&amp;IF(INDEX($A$41:$G$51,2*INT((11+WEEKDAY(DATE(PlanYear,7,1),2)-1)/7)+1,MOD(11+WEEKDAY(DATE(PlanYear,7,1),2)-1,7)+1)=AB$5,", "&amp;12,"")&amp;IF(INDEX($A$41:$G$51,2*INT((12+WEEKDAY(DATE(PlanYear,7,1),2)-1)/7)+1,MOD(12+WEEKDAY(DATE(PlanYear,7,1),2)-1,7)+1)=AB$5,", "&amp;13,"")&amp;IF(INDEX($A$41:$G$51,2*INT((13+WEEKDAY(DATE(PlanYear,7,1),2)-1)/7)+1,MOD(13+WEEKDAY(DATE(PlanYear,7,1),2)-1,7)+1)=AB$5,", "&amp;14,"")&amp;IF(INDEX($A$41:$G$51,2*INT((14+WEEKDAY(DATE(PlanYear,7,1),2)-1)/7)+1,MOD(14+WEEKDAY(DATE(PlanYear,7,1),2)-1,7)+1)=AB$5,", "&amp;15,"")&amp;IF(INDEX($A$41:$G$51,2*INT((15+WEEKDAY(DATE(PlanYear,7,1),2)-1)/7)+1,MOD(15+WEEKDAY(DATE(PlanYear,7,1),2)-1,7)+1)=AB$5,", "&amp;16,"")&amp;IF(INDEX($A$41:$G$51,2*INT((16+WEEKDAY(DATE(PlanYear,7,1),2)-1)/7)+1,MOD(16+WEEKDAY(DATE(PlanYear,7,1),2)-1,7)+1)=AB$5,", "&amp;17,"")&amp;IF(INDEX($A$41:$G$51,2*INT((17+WEEKDAY(DATE(PlanYear,7,1),2)-1)/7)+1,MOD(17+WEEKDAY(DATE(PlanYear,7,1),2)-1,7)+1)=AB$5,", "&amp;18,"")&amp;IF(INDEX($A$41:$G$51,2*INT((18+WEEKDAY(DATE(PlanYear,7,1),2)-1)/7)+1,MOD(18+WEEKDAY(DATE(PlanYear,7,1),2)-1,7)+1)=AB$5,", "&amp;19,"")&amp;IF(INDEX($A$41:$G$51,2*INT((19+WEEKDAY(DATE(PlanYear,7,1),2)-1)/7)+1,MOD(19+WEEKDAY(DATE(PlanYear,7,1),2)-1,7)+1)=AB$5,", "&amp;20,"")&amp;IF(INDEX($A$41:$G$51,2*INT((20+WEEKDAY(DATE(PlanYear,7,1),2)-1)/7)+1,MOD(20+WEEKDAY(DATE(PlanYear,7,1),2)-1,7)+1)=AB$5,", "&amp;21,"")&amp;IF(INDEX($A$41:$G$51,2*INT((21+WEEKDAY(DATE(PlanYear,7,1),2)-1)/7)+1,MOD(21+WEEKDAY(DATE(PlanYear,7,1),2)-1,7)+1)=AB$5,", "&amp;22,"")&amp;IF(INDEX($A$41:$G$51,2*INT((22+WEEKDAY(DATE(PlanYear,7,1),2)-1)/7)+1,MOD(22+WEEKDAY(DATE(PlanYear,7,1),2)-1,7)+1)=AB$5,", "&amp;23,"")&amp;IF(INDEX($A$41:$G$51,2*INT((23+WEEKDAY(DATE(PlanYear,7,1),2)-1)/7)+1,MOD(23+WEEKDAY(DATE(PlanYear,7,1),2)-1,7)+1)=AB$5,", "&amp;24,"")&amp;IF(INDEX($A$41:$G$51,2*INT((24+WEEKDAY(DATE(PlanYear,7,1),2)-1)/7)+1,MOD(24+WEEKDAY(DATE(PlanYear,7,1),2)-1,7)+1)=AB$5,", "&amp;25,"")&amp;IF(INDEX($A$41:$G$51,2*INT((25+WEEKDAY(DATE(PlanYear,7,1),2)-1)/7)+1,MOD(25+WEEKDAY(DATE(PlanYear,7,1),2)-1,7)+1)=AB$5,", "&amp;26,"")&amp;IF(INDEX($A$41:$G$51,2*INT((26+WEEKDAY(DATE(PlanYear,7,1),2)-1)/7)+1,MOD(26+WEEKDAY(DATE(PlanYear,7,1),2)-1,7)+1)=AB$5,", "&amp;27,"")&amp;IF(INDEX($A$41:$G$51,2*INT((27+WEEKDAY(DATE(PlanYear,7,1),2)-1)/7)+1,MOD(27+WEEKDAY(DATE(PlanYear,7,1),2)-1,7)+1)=AB$5,", "&amp;28,"")&amp;IF(INDEX($A$41:$G$51,2*INT((28+WEEKDAY(DATE(PlanYear,7,1),2)-1)/7)+1,MOD(28+WEEKDAY(DATE(PlanYear,7,1),2)-1,7)+1)=AB$5,", "&amp;29,"")&amp;IF(INDEX($A$41:$G$51,2*INT((29+WEEKDAY(DATE(PlanYear,7,1),2)-1)/7)+1,MOD(29+WEEKDAY(DATE(PlanYear,7,1),2)-1,7)+1)=AB$5,", "&amp;30,"")&amp;IF(INDEX($A$41:$G$51,2*INT((30+WEEKDAY(DATE(PlanYear,7,1),2)-1)/7)+1,MOD(30+WEEKDAY(DATE(PlanYear,7,1),2)-1,7)+1)=AB$5,", "&amp;31,""),3,200))</f>
        <v/>
      </c>
      <c r="AC12" s="16">
        <f>IF(AC$5="","",MID(IF(INDEX($A$41:$G$51,2*INT((0+WEEKDAY(DATE(PlanYear,7,1),2)-1)/7)+1,MOD(0+WEEKDAY(DATE(PlanYear,7,1),2)-1,7)+1)=AC$5,", "&amp;1,"")&amp;IF(INDEX($A$41:$G$51,2*INT((1+WEEKDAY(DATE(PlanYear,7,1),2)-1)/7)+1,MOD(1+WEEKDAY(DATE(PlanYear,7,1),2)-1,7)+1)=AC$5,", "&amp;2,"")&amp;IF(INDEX($A$41:$G$51,2*INT((2+WEEKDAY(DATE(PlanYear,7,1),2)-1)/7)+1,MOD(2+WEEKDAY(DATE(PlanYear,7,1),2)-1,7)+1)=AC$5,", "&amp;3,"")&amp;IF(INDEX($A$41:$G$51,2*INT((3+WEEKDAY(DATE(PlanYear,7,1),2)-1)/7)+1,MOD(3+WEEKDAY(DATE(PlanYear,7,1),2)-1,7)+1)=AC$5,", "&amp;4,"")&amp;IF(INDEX($A$41:$G$51,2*INT((4+WEEKDAY(DATE(PlanYear,7,1),2)-1)/7)+1,MOD(4+WEEKDAY(DATE(PlanYear,7,1),2)-1,7)+1)=AC$5,", "&amp;5,"")&amp;IF(INDEX($A$41:$G$51,2*INT((5+WEEKDAY(DATE(PlanYear,7,1),2)-1)/7)+1,MOD(5+WEEKDAY(DATE(PlanYear,7,1),2)-1,7)+1)=AC$5,", "&amp;6,"")&amp;IF(INDEX($A$41:$G$51,2*INT((6+WEEKDAY(DATE(PlanYear,7,1),2)-1)/7)+1,MOD(6+WEEKDAY(DATE(PlanYear,7,1),2)-1,7)+1)=AC$5,", "&amp;7,"")&amp;IF(INDEX($A$41:$G$51,2*INT((7+WEEKDAY(DATE(PlanYear,7,1),2)-1)/7)+1,MOD(7+WEEKDAY(DATE(PlanYear,7,1),2)-1,7)+1)=AC$5,", "&amp;8,"")&amp;IF(INDEX($A$41:$G$51,2*INT((8+WEEKDAY(DATE(PlanYear,7,1),2)-1)/7)+1,MOD(8+WEEKDAY(DATE(PlanYear,7,1),2)-1,7)+1)=AC$5,", "&amp;9,"")&amp;IF(INDEX($A$41:$G$51,2*INT((9+WEEKDAY(DATE(PlanYear,7,1),2)-1)/7)+1,MOD(9+WEEKDAY(DATE(PlanYear,7,1),2)-1,7)+1)=AC$5,", "&amp;10,"")&amp;IF(INDEX($A$41:$G$51,2*INT((10+WEEKDAY(DATE(PlanYear,7,1),2)-1)/7)+1,MOD(10+WEEKDAY(DATE(PlanYear,7,1),2)-1,7)+1)=AC$5,", "&amp;11,"")&amp;IF(INDEX($A$41:$G$51,2*INT((11+WEEKDAY(DATE(PlanYear,7,1),2)-1)/7)+1,MOD(11+WEEKDAY(DATE(PlanYear,7,1),2)-1,7)+1)=AC$5,", "&amp;12,"")&amp;IF(INDEX($A$41:$G$51,2*INT((12+WEEKDAY(DATE(PlanYear,7,1),2)-1)/7)+1,MOD(12+WEEKDAY(DATE(PlanYear,7,1),2)-1,7)+1)=AC$5,", "&amp;13,"")&amp;IF(INDEX($A$41:$G$51,2*INT((13+WEEKDAY(DATE(PlanYear,7,1),2)-1)/7)+1,MOD(13+WEEKDAY(DATE(PlanYear,7,1),2)-1,7)+1)=AC$5,", "&amp;14,"")&amp;IF(INDEX($A$41:$G$51,2*INT((14+WEEKDAY(DATE(PlanYear,7,1),2)-1)/7)+1,MOD(14+WEEKDAY(DATE(PlanYear,7,1),2)-1,7)+1)=AC$5,", "&amp;15,"")&amp;IF(INDEX($A$41:$G$51,2*INT((15+WEEKDAY(DATE(PlanYear,7,1),2)-1)/7)+1,MOD(15+WEEKDAY(DATE(PlanYear,7,1),2)-1,7)+1)=AC$5,", "&amp;16,"")&amp;IF(INDEX($A$41:$G$51,2*INT((16+WEEKDAY(DATE(PlanYear,7,1),2)-1)/7)+1,MOD(16+WEEKDAY(DATE(PlanYear,7,1),2)-1,7)+1)=AC$5,", "&amp;17,"")&amp;IF(INDEX($A$41:$G$51,2*INT((17+WEEKDAY(DATE(PlanYear,7,1),2)-1)/7)+1,MOD(17+WEEKDAY(DATE(PlanYear,7,1),2)-1,7)+1)=AC$5,", "&amp;18,"")&amp;IF(INDEX($A$41:$G$51,2*INT((18+WEEKDAY(DATE(PlanYear,7,1),2)-1)/7)+1,MOD(18+WEEKDAY(DATE(PlanYear,7,1),2)-1,7)+1)=AC$5,", "&amp;19,"")&amp;IF(INDEX($A$41:$G$51,2*INT((19+WEEKDAY(DATE(PlanYear,7,1),2)-1)/7)+1,MOD(19+WEEKDAY(DATE(PlanYear,7,1),2)-1,7)+1)=AC$5,", "&amp;20,"")&amp;IF(INDEX($A$41:$G$51,2*INT((20+WEEKDAY(DATE(PlanYear,7,1),2)-1)/7)+1,MOD(20+WEEKDAY(DATE(PlanYear,7,1),2)-1,7)+1)=AC$5,", "&amp;21,"")&amp;IF(INDEX($A$41:$G$51,2*INT((21+WEEKDAY(DATE(PlanYear,7,1),2)-1)/7)+1,MOD(21+WEEKDAY(DATE(PlanYear,7,1),2)-1,7)+1)=AC$5,", "&amp;22,"")&amp;IF(INDEX($A$41:$G$51,2*INT((22+WEEKDAY(DATE(PlanYear,7,1),2)-1)/7)+1,MOD(22+WEEKDAY(DATE(PlanYear,7,1),2)-1,7)+1)=AC$5,", "&amp;23,"")&amp;IF(INDEX($A$41:$G$51,2*INT((23+WEEKDAY(DATE(PlanYear,7,1),2)-1)/7)+1,MOD(23+WEEKDAY(DATE(PlanYear,7,1),2)-1,7)+1)=AC$5,", "&amp;24,"")&amp;IF(INDEX($A$41:$G$51,2*INT((24+WEEKDAY(DATE(PlanYear,7,1),2)-1)/7)+1,MOD(24+WEEKDAY(DATE(PlanYear,7,1),2)-1,7)+1)=AC$5,", "&amp;25,"")&amp;IF(INDEX($A$41:$G$51,2*INT((25+WEEKDAY(DATE(PlanYear,7,1),2)-1)/7)+1,MOD(25+WEEKDAY(DATE(PlanYear,7,1),2)-1,7)+1)=AC$5,", "&amp;26,"")&amp;IF(INDEX($A$41:$G$51,2*INT((26+WEEKDAY(DATE(PlanYear,7,1),2)-1)/7)+1,MOD(26+WEEKDAY(DATE(PlanYear,7,1),2)-1,7)+1)=AC$5,", "&amp;27,"")&amp;IF(INDEX($A$41:$G$51,2*INT((27+WEEKDAY(DATE(PlanYear,7,1),2)-1)/7)+1,MOD(27+WEEKDAY(DATE(PlanYear,7,1),2)-1,7)+1)=AC$5,", "&amp;28,"")&amp;IF(INDEX($A$41:$G$51,2*INT((28+WEEKDAY(DATE(PlanYear,7,1),2)-1)/7)+1,MOD(28+WEEKDAY(DATE(PlanYear,7,1),2)-1,7)+1)=AC$5,", "&amp;29,"")&amp;IF(INDEX($A$41:$G$51,2*INT((29+WEEKDAY(DATE(PlanYear,7,1),2)-1)/7)+1,MOD(29+WEEKDAY(DATE(PlanYear,7,1),2)-1,7)+1)=AC$5,", "&amp;30,"")&amp;IF(INDEX($A$41:$G$51,2*INT((30+WEEKDAY(DATE(PlanYear,7,1),2)-1)/7)+1,MOD(30+WEEKDAY(DATE(PlanYear,7,1),2)-1,7)+1)=AC$5,", "&amp;31,""),3,200))</f>
        <v/>
      </c>
      <c r="AD12" s="16">
        <f>IF(AD$5="","",MID(IF(INDEX($A$41:$G$51,2*INT((0+WEEKDAY(DATE(PlanYear,7,1),2)-1)/7)+1,MOD(0+WEEKDAY(DATE(PlanYear,7,1),2)-1,7)+1)=AD$5,", "&amp;1,"")&amp;IF(INDEX($A$41:$G$51,2*INT((1+WEEKDAY(DATE(PlanYear,7,1),2)-1)/7)+1,MOD(1+WEEKDAY(DATE(PlanYear,7,1),2)-1,7)+1)=AD$5,", "&amp;2,"")&amp;IF(INDEX($A$41:$G$51,2*INT((2+WEEKDAY(DATE(PlanYear,7,1),2)-1)/7)+1,MOD(2+WEEKDAY(DATE(PlanYear,7,1),2)-1,7)+1)=AD$5,", "&amp;3,"")&amp;IF(INDEX($A$41:$G$51,2*INT((3+WEEKDAY(DATE(PlanYear,7,1),2)-1)/7)+1,MOD(3+WEEKDAY(DATE(PlanYear,7,1),2)-1,7)+1)=AD$5,", "&amp;4,"")&amp;IF(INDEX($A$41:$G$51,2*INT((4+WEEKDAY(DATE(PlanYear,7,1),2)-1)/7)+1,MOD(4+WEEKDAY(DATE(PlanYear,7,1),2)-1,7)+1)=AD$5,", "&amp;5,"")&amp;IF(INDEX($A$41:$G$51,2*INT((5+WEEKDAY(DATE(PlanYear,7,1),2)-1)/7)+1,MOD(5+WEEKDAY(DATE(PlanYear,7,1),2)-1,7)+1)=AD$5,", "&amp;6,"")&amp;IF(INDEX($A$41:$G$51,2*INT((6+WEEKDAY(DATE(PlanYear,7,1),2)-1)/7)+1,MOD(6+WEEKDAY(DATE(PlanYear,7,1),2)-1,7)+1)=AD$5,", "&amp;7,"")&amp;IF(INDEX($A$41:$G$51,2*INT((7+WEEKDAY(DATE(PlanYear,7,1),2)-1)/7)+1,MOD(7+WEEKDAY(DATE(PlanYear,7,1),2)-1,7)+1)=AD$5,", "&amp;8,"")&amp;IF(INDEX($A$41:$G$51,2*INT((8+WEEKDAY(DATE(PlanYear,7,1),2)-1)/7)+1,MOD(8+WEEKDAY(DATE(PlanYear,7,1),2)-1,7)+1)=AD$5,", "&amp;9,"")&amp;IF(INDEX($A$41:$G$51,2*INT((9+WEEKDAY(DATE(PlanYear,7,1),2)-1)/7)+1,MOD(9+WEEKDAY(DATE(PlanYear,7,1),2)-1,7)+1)=AD$5,", "&amp;10,"")&amp;IF(INDEX($A$41:$G$51,2*INT((10+WEEKDAY(DATE(PlanYear,7,1),2)-1)/7)+1,MOD(10+WEEKDAY(DATE(PlanYear,7,1),2)-1,7)+1)=AD$5,", "&amp;11,"")&amp;IF(INDEX($A$41:$G$51,2*INT((11+WEEKDAY(DATE(PlanYear,7,1),2)-1)/7)+1,MOD(11+WEEKDAY(DATE(PlanYear,7,1),2)-1,7)+1)=AD$5,", "&amp;12,"")&amp;IF(INDEX($A$41:$G$51,2*INT((12+WEEKDAY(DATE(PlanYear,7,1),2)-1)/7)+1,MOD(12+WEEKDAY(DATE(PlanYear,7,1),2)-1,7)+1)=AD$5,", "&amp;13,"")&amp;IF(INDEX($A$41:$G$51,2*INT((13+WEEKDAY(DATE(PlanYear,7,1),2)-1)/7)+1,MOD(13+WEEKDAY(DATE(PlanYear,7,1),2)-1,7)+1)=AD$5,", "&amp;14,"")&amp;IF(INDEX($A$41:$G$51,2*INT((14+WEEKDAY(DATE(PlanYear,7,1),2)-1)/7)+1,MOD(14+WEEKDAY(DATE(PlanYear,7,1),2)-1,7)+1)=AD$5,", "&amp;15,"")&amp;IF(INDEX($A$41:$G$51,2*INT((15+WEEKDAY(DATE(PlanYear,7,1),2)-1)/7)+1,MOD(15+WEEKDAY(DATE(PlanYear,7,1),2)-1,7)+1)=AD$5,", "&amp;16,"")&amp;IF(INDEX($A$41:$G$51,2*INT((16+WEEKDAY(DATE(PlanYear,7,1),2)-1)/7)+1,MOD(16+WEEKDAY(DATE(PlanYear,7,1),2)-1,7)+1)=AD$5,", "&amp;17,"")&amp;IF(INDEX($A$41:$G$51,2*INT((17+WEEKDAY(DATE(PlanYear,7,1),2)-1)/7)+1,MOD(17+WEEKDAY(DATE(PlanYear,7,1),2)-1,7)+1)=AD$5,", "&amp;18,"")&amp;IF(INDEX($A$41:$G$51,2*INT((18+WEEKDAY(DATE(PlanYear,7,1),2)-1)/7)+1,MOD(18+WEEKDAY(DATE(PlanYear,7,1),2)-1,7)+1)=AD$5,", "&amp;19,"")&amp;IF(INDEX($A$41:$G$51,2*INT((19+WEEKDAY(DATE(PlanYear,7,1),2)-1)/7)+1,MOD(19+WEEKDAY(DATE(PlanYear,7,1),2)-1,7)+1)=AD$5,", "&amp;20,"")&amp;IF(INDEX($A$41:$G$51,2*INT((20+WEEKDAY(DATE(PlanYear,7,1),2)-1)/7)+1,MOD(20+WEEKDAY(DATE(PlanYear,7,1),2)-1,7)+1)=AD$5,", "&amp;21,"")&amp;IF(INDEX($A$41:$G$51,2*INT((21+WEEKDAY(DATE(PlanYear,7,1),2)-1)/7)+1,MOD(21+WEEKDAY(DATE(PlanYear,7,1),2)-1,7)+1)=AD$5,", "&amp;22,"")&amp;IF(INDEX($A$41:$G$51,2*INT((22+WEEKDAY(DATE(PlanYear,7,1),2)-1)/7)+1,MOD(22+WEEKDAY(DATE(PlanYear,7,1),2)-1,7)+1)=AD$5,", "&amp;23,"")&amp;IF(INDEX($A$41:$G$51,2*INT((23+WEEKDAY(DATE(PlanYear,7,1),2)-1)/7)+1,MOD(23+WEEKDAY(DATE(PlanYear,7,1),2)-1,7)+1)=AD$5,", "&amp;24,"")&amp;IF(INDEX($A$41:$G$51,2*INT((24+WEEKDAY(DATE(PlanYear,7,1),2)-1)/7)+1,MOD(24+WEEKDAY(DATE(PlanYear,7,1),2)-1,7)+1)=AD$5,", "&amp;25,"")&amp;IF(INDEX($A$41:$G$51,2*INT((25+WEEKDAY(DATE(PlanYear,7,1),2)-1)/7)+1,MOD(25+WEEKDAY(DATE(PlanYear,7,1),2)-1,7)+1)=AD$5,", "&amp;26,"")&amp;IF(INDEX($A$41:$G$51,2*INT((26+WEEKDAY(DATE(PlanYear,7,1),2)-1)/7)+1,MOD(26+WEEKDAY(DATE(PlanYear,7,1),2)-1,7)+1)=AD$5,", "&amp;27,"")&amp;IF(INDEX($A$41:$G$51,2*INT((27+WEEKDAY(DATE(PlanYear,7,1),2)-1)/7)+1,MOD(27+WEEKDAY(DATE(PlanYear,7,1),2)-1,7)+1)=AD$5,", "&amp;28,"")&amp;IF(INDEX($A$41:$G$51,2*INT((28+WEEKDAY(DATE(PlanYear,7,1),2)-1)/7)+1,MOD(28+WEEKDAY(DATE(PlanYear,7,1),2)-1,7)+1)=AD$5,", "&amp;29,"")&amp;IF(INDEX($A$41:$G$51,2*INT((29+WEEKDAY(DATE(PlanYear,7,1),2)-1)/7)+1,MOD(29+WEEKDAY(DATE(PlanYear,7,1),2)-1,7)+1)=AD$5,", "&amp;30,"")&amp;IF(INDEX($A$41:$G$51,2*INT((30+WEEKDAY(DATE(PlanYear,7,1),2)-1)/7)+1,MOD(30+WEEKDAY(DATE(PlanYear,7,1),2)-1,7)+1)=AD$5,", "&amp;31,""),3,200))</f>
        <v/>
      </c>
      <c r="AE12" s="16">
        <f>IF(AE$5="","",MID(IF(INDEX($A$41:$G$51,2*INT((0+WEEKDAY(DATE(PlanYear,7,1),2)-1)/7)+1,MOD(0+WEEKDAY(DATE(PlanYear,7,1),2)-1,7)+1)=AE$5,", "&amp;1,"")&amp;IF(INDEX($A$41:$G$51,2*INT((1+WEEKDAY(DATE(PlanYear,7,1),2)-1)/7)+1,MOD(1+WEEKDAY(DATE(PlanYear,7,1),2)-1,7)+1)=AE$5,", "&amp;2,"")&amp;IF(INDEX($A$41:$G$51,2*INT((2+WEEKDAY(DATE(PlanYear,7,1),2)-1)/7)+1,MOD(2+WEEKDAY(DATE(PlanYear,7,1),2)-1,7)+1)=AE$5,", "&amp;3,"")&amp;IF(INDEX($A$41:$G$51,2*INT((3+WEEKDAY(DATE(PlanYear,7,1),2)-1)/7)+1,MOD(3+WEEKDAY(DATE(PlanYear,7,1),2)-1,7)+1)=AE$5,", "&amp;4,"")&amp;IF(INDEX($A$41:$G$51,2*INT((4+WEEKDAY(DATE(PlanYear,7,1),2)-1)/7)+1,MOD(4+WEEKDAY(DATE(PlanYear,7,1),2)-1,7)+1)=AE$5,", "&amp;5,"")&amp;IF(INDEX($A$41:$G$51,2*INT((5+WEEKDAY(DATE(PlanYear,7,1),2)-1)/7)+1,MOD(5+WEEKDAY(DATE(PlanYear,7,1),2)-1,7)+1)=AE$5,", "&amp;6,"")&amp;IF(INDEX($A$41:$G$51,2*INT((6+WEEKDAY(DATE(PlanYear,7,1),2)-1)/7)+1,MOD(6+WEEKDAY(DATE(PlanYear,7,1),2)-1,7)+1)=AE$5,", "&amp;7,"")&amp;IF(INDEX($A$41:$G$51,2*INT((7+WEEKDAY(DATE(PlanYear,7,1),2)-1)/7)+1,MOD(7+WEEKDAY(DATE(PlanYear,7,1),2)-1,7)+1)=AE$5,", "&amp;8,"")&amp;IF(INDEX($A$41:$G$51,2*INT((8+WEEKDAY(DATE(PlanYear,7,1),2)-1)/7)+1,MOD(8+WEEKDAY(DATE(PlanYear,7,1),2)-1,7)+1)=AE$5,", "&amp;9,"")&amp;IF(INDEX($A$41:$G$51,2*INT((9+WEEKDAY(DATE(PlanYear,7,1),2)-1)/7)+1,MOD(9+WEEKDAY(DATE(PlanYear,7,1),2)-1,7)+1)=AE$5,", "&amp;10,"")&amp;IF(INDEX($A$41:$G$51,2*INT((10+WEEKDAY(DATE(PlanYear,7,1),2)-1)/7)+1,MOD(10+WEEKDAY(DATE(PlanYear,7,1),2)-1,7)+1)=AE$5,", "&amp;11,"")&amp;IF(INDEX($A$41:$G$51,2*INT((11+WEEKDAY(DATE(PlanYear,7,1),2)-1)/7)+1,MOD(11+WEEKDAY(DATE(PlanYear,7,1),2)-1,7)+1)=AE$5,", "&amp;12,"")&amp;IF(INDEX($A$41:$G$51,2*INT((12+WEEKDAY(DATE(PlanYear,7,1),2)-1)/7)+1,MOD(12+WEEKDAY(DATE(PlanYear,7,1),2)-1,7)+1)=AE$5,", "&amp;13,"")&amp;IF(INDEX($A$41:$G$51,2*INT((13+WEEKDAY(DATE(PlanYear,7,1),2)-1)/7)+1,MOD(13+WEEKDAY(DATE(PlanYear,7,1),2)-1,7)+1)=AE$5,", "&amp;14,"")&amp;IF(INDEX($A$41:$G$51,2*INT((14+WEEKDAY(DATE(PlanYear,7,1),2)-1)/7)+1,MOD(14+WEEKDAY(DATE(PlanYear,7,1),2)-1,7)+1)=AE$5,", "&amp;15,"")&amp;IF(INDEX($A$41:$G$51,2*INT((15+WEEKDAY(DATE(PlanYear,7,1),2)-1)/7)+1,MOD(15+WEEKDAY(DATE(PlanYear,7,1),2)-1,7)+1)=AE$5,", "&amp;16,"")&amp;IF(INDEX($A$41:$G$51,2*INT((16+WEEKDAY(DATE(PlanYear,7,1),2)-1)/7)+1,MOD(16+WEEKDAY(DATE(PlanYear,7,1),2)-1,7)+1)=AE$5,", "&amp;17,"")&amp;IF(INDEX($A$41:$G$51,2*INT((17+WEEKDAY(DATE(PlanYear,7,1),2)-1)/7)+1,MOD(17+WEEKDAY(DATE(PlanYear,7,1),2)-1,7)+1)=AE$5,", "&amp;18,"")&amp;IF(INDEX($A$41:$G$51,2*INT((18+WEEKDAY(DATE(PlanYear,7,1),2)-1)/7)+1,MOD(18+WEEKDAY(DATE(PlanYear,7,1),2)-1,7)+1)=AE$5,", "&amp;19,"")&amp;IF(INDEX($A$41:$G$51,2*INT((19+WEEKDAY(DATE(PlanYear,7,1),2)-1)/7)+1,MOD(19+WEEKDAY(DATE(PlanYear,7,1),2)-1,7)+1)=AE$5,", "&amp;20,"")&amp;IF(INDEX($A$41:$G$51,2*INT((20+WEEKDAY(DATE(PlanYear,7,1),2)-1)/7)+1,MOD(20+WEEKDAY(DATE(PlanYear,7,1),2)-1,7)+1)=AE$5,", "&amp;21,"")&amp;IF(INDEX($A$41:$G$51,2*INT((21+WEEKDAY(DATE(PlanYear,7,1),2)-1)/7)+1,MOD(21+WEEKDAY(DATE(PlanYear,7,1),2)-1,7)+1)=AE$5,", "&amp;22,"")&amp;IF(INDEX($A$41:$G$51,2*INT((22+WEEKDAY(DATE(PlanYear,7,1),2)-1)/7)+1,MOD(22+WEEKDAY(DATE(PlanYear,7,1),2)-1,7)+1)=AE$5,", "&amp;23,"")&amp;IF(INDEX($A$41:$G$51,2*INT((23+WEEKDAY(DATE(PlanYear,7,1),2)-1)/7)+1,MOD(23+WEEKDAY(DATE(PlanYear,7,1),2)-1,7)+1)=AE$5,", "&amp;24,"")&amp;IF(INDEX($A$41:$G$51,2*INT((24+WEEKDAY(DATE(PlanYear,7,1),2)-1)/7)+1,MOD(24+WEEKDAY(DATE(PlanYear,7,1),2)-1,7)+1)=AE$5,", "&amp;25,"")&amp;IF(INDEX($A$41:$G$51,2*INT((25+WEEKDAY(DATE(PlanYear,7,1),2)-1)/7)+1,MOD(25+WEEKDAY(DATE(PlanYear,7,1),2)-1,7)+1)=AE$5,", "&amp;26,"")&amp;IF(INDEX($A$41:$G$51,2*INT((26+WEEKDAY(DATE(PlanYear,7,1),2)-1)/7)+1,MOD(26+WEEKDAY(DATE(PlanYear,7,1),2)-1,7)+1)=AE$5,", "&amp;27,"")&amp;IF(INDEX($A$41:$G$51,2*INT((27+WEEKDAY(DATE(PlanYear,7,1),2)-1)/7)+1,MOD(27+WEEKDAY(DATE(PlanYear,7,1),2)-1,7)+1)=AE$5,", "&amp;28,"")&amp;IF(INDEX($A$41:$G$51,2*INT((28+WEEKDAY(DATE(PlanYear,7,1),2)-1)/7)+1,MOD(28+WEEKDAY(DATE(PlanYear,7,1),2)-1,7)+1)=AE$5,", "&amp;29,"")&amp;IF(INDEX($A$41:$G$51,2*INT((29+WEEKDAY(DATE(PlanYear,7,1),2)-1)/7)+1,MOD(29+WEEKDAY(DATE(PlanYear,7,1),2)-1,7)+1)=AE$5,", "&amp;30,"")&amp;IF(INDEX($A$41:$G$51,2*INT((30+WEEKDAY(DATE(PlanYear,7,1),2)-1)/7)+1,MOD(30+WEEKDAY(DATE(PlanYear,7,1),2)-1,7)+1)=AE$5,", "&amp;31,""),3,200))</f>
        <v/>
      </c>
      <c r="AF12" s="16">
        <f>IF(AF$5="","",MID(IF(INDEX($A$41:$G$51,2*INT((0+WEEKDAY(DATE(PlanYear,7,1),2)-1)/7)+1,MOD(0+WEEKDAY(DATE(PlanYear,7,1),2)-1,7)+1)=AF$5,", "&amp;1,"")&amp;IF(INDEX($A$41:$G$51,2*INT((1+WEEKDAY(DATE(PlanYear,7,1),2)-1)/7)+1,MOD(1+WEEKDAY(DATE(PlanYear,7,1),2)-1,7)+1)=AF$5,", "&amp;2,"")&amp;IF(INDEX($A$41:$G$51,2*INT((2+WEEKDAY(DATE(PlanYear,7,1),2)-1)/7)+1,MOD(2+WEEKDAY(DATE(PlanYear,7,1),2)-1,7)+1)=AF$5,", "&amp;3,"")&amp;IF(INDEX($A$41:$G$51,2*INT((3+WEEKDAY(DATE(PlanYear,7,1),2)-1)/7)+1,MOD(3+WEEKDAY(DATE(PlanYear,7,1),2)-1,7)+1)=AF$5,", "&amp;4,"")&amp;IF(INDEX($A$41:$G$51,2*INT((4+WEEKDAY(DATE(PlanYear,7,1),2)-1)/7)+1,MOD(4+WEEKDAY(DATE(PlanYear,7,1),2)-1,7)+1)=AF$5,", "&amp;5,"")&amp;IF(INDEX($A$41:$G$51,2*INT((5+WEEKDAY(DATE(PlanYear,7,1),2)-1)/7)+1,MOD(5+WEEKDAY(DATE(PlanYear,7,1),2)-1,7)+1)=AF$5,", "&amp;6,"")&amp;IF(INDEX($A$41:$G$51,2*INT((6+WEEKDAY(DATE(PlanYear,7,1),2)-1)/7)+1,MOD(6+WEEKDAY(DATE(PlanYear,7,1),2)-1,7)+1)=AF$5,", "&amp;7,"")&amp;IF(INDEX($A$41:$G$51,2*INT((7+WEEKDAY(DATE(PlanYear,7,1),2)-1)/7)+1,MOD(7+WEEKDAY(DATE(PlanYear,7,1),2)-1,7)+1)=AF$5,", "&amp;8,"")&amp;IF(INDEX($A$41:$G$51,2*INT((8+WEEKDAY(DATE(PlanYear,7,1),2)-1)/7)+1,MOD(8+WEEKDAY(DATE(PlanYear,7,1),2)-1,7)+1)=AF$5,", "&amp;9,"")&amp;IF(INDEX($A$41:$G$51,2*INT((9+WEEKDAY(DATE(PlanYear,7,1),2)-1)/7)+1,MOD(9+WEEKDAY(DATE(PlanYear,7,1),2)-1,7)+1)=AF$5,", "&amp;10,"")&amp;IF(INDEX($A$41:$G$51,2*INT((10+WEEKDAY(DATE(PlanYear,7,1),2)-1)/7)+1,MOD(10+WEEKDAY(DATE(PlanYear,7,1),2)-1,7)+1)=AF$5,", "&amp;11,"")&amp;IF(INDEX($A$41:$G$51,2*INT((11+WEEKDAY(DATE(PlanYear,7,1),2)-1)/7)+1,MOD(11+WEEKDAY(DATE(PlanYear,7,1),2)-1,7)+1)=AF$5,", "&amp;12,"")&amp;IF(INDEX($A$41:$G$51,2*INT((12+WEEKDAY(DATE(PlanYear,7,1),2)-1)/7)+1,MOD(12+WEEKDAY(DATE(PlanYear,7,1),2)-1,7)+1)=AF$5,", "&amp;13,"")&amp;IF(INDEX($A$41:$G$51,2*INT((13+WEEKDAY(DATE(PlanYear,7,1),2)-1)/7)+1,MOD(13+WEEKDAY(DATE(PlanYear,7,1),2)-1,7)+1)=AF$5,", "&amp;14,"")&amp;IF(INDEX($A$41:$G$51,2*INT((14+WEEKDAY(DATE(PlanYear,7,1),2)-1)/7)+1,MOD(14+WEEKDAY(DATE(PlanYear,7,1),2)-1,7)+1)=AF$5,", "&amp;15,"")&amp;IF(INDEX($A$41:$G$51,2*INT((15+WEEKDAY(DATE(PlanYear,7,1),2)-1)/7)+1,MOD(15+WEEKDAY(DATE(PlanYear,7,1),2)-1,7)+1)=AF$5,", "&amp;16,"")&amp;IF(INDEX($A$41:$G$51,2*INT((16+WEEKDAY(DATE(PlanYear,7,1),2)-1)/7)+1,MOD(16+WEEKDAY(DATE(PlanYear,7,1),2)-1,7)+1)=AF$5,", "&amp;17,"")&amp;IF(INDEX($A$41:$G$51,2*INT((17+WEEKDAY(DATE(PlanYear,7,1),2)-1)/7)+1,MOD(17+WEEKDAY(DATE(PlanYear,7,1),2)-1,7)+1)=AF$5,", "&amp;18,"")&amp;IF(INDEX($A$41:$G$51,2*INT((18+WEEKDAY(DATE(PlanYear,7,1),2)-1)/7)+1,MOD(18+WEEKDAY(DATE(PlanYear,7,1),2)-1,7)+1)=AF$5,", "&amp;19,"")&amp;IF(INDEX($A$41:$G$51,2*INT((19+WEEKDAY(DATE(PlanYear,7,1),2)-1)/7)+1,MOD(19+WEEKDAY(DATE(PlanYear,7,1),2)-1,7)+1)=AF$5,", "&amp;20,"")&amp;IF(INDEX($A$41:$G$51,2*INT((20+WEEKDAY(DATE(PlanYear,7,1),2)-1)/7)+1,MOD(20+WEEKDAY(DATE(PlanYear,7,1),2)-1,7)+1)=AF$5,", "&amp;21,"")&amp;IF(INDEX($A$41:$G$51,2*INT((21+WEEKDAY(DATE(PlanYear,7,1),2)-1)/7)+1,MOD(21+WEEKDAY(DATE(PlanYear,7,1),2)-1,7)+1)=AF$5,", "&amp;22,"")&amp;IF(INDEX($A$41:$G$51,2*INT((22+WEEKDAY(DATE(PlanYear,7,1),2)-1)/7)+1,MOD(22+WEEKDAY(DATE(PlanYear,7,1),2)-1,7)+1)=AF$5,", "&amp;23,"")&amp;IF(INDEX($A$41:$G$51,2*INT((23+WEEKDAY(DATE(PlanYear,7,1),2)-1)/7)+1,MOD(23+WEEKDAY(DATE(PlanYear,7,1),2)-1,7)+1)=AF$5,", "&amp;24,"")&amp;IF(INDEX($A$41:$G$51,2*INT((24+WEEKDAY(DATE(PlanYear,7,1),2)-1)/7)+1,MOD(24+WEEKDAY(DATE(PlanYear,7,1),2)-1,7)+1)=AF$5,", "&amp;25,"")&amp;IF(INDEX($A$41:$G$51,2*INT((25+WEEKDAY(DATE(PlanYear,7,1),2)-1)/7)+1,MOD(25+WEEKDAY(DATE(PlanYear,7,1),2)-1,7)+1)=AF$5,", "&amp;26,"")&amp;IF(INDEX($A$41:$G$51,2*INT((26+WEEKDAY(DATE(PlanYear,7,1),2)-1)/7)+1,MOD(26+WEEKDAY(DATE(PlanYear,7,1),2)-1,7)+1)=AF$5,", "&amp;27,"")&amp;IF(INDEX($A$41:$G$51,2*INT((27+WEEKDAY(DATE(PlanYear,7,1),2)-1)/7)+1,MOD(27+WEEKDAY(DATE(PlanYear,7,1),2)-1,7)+1)=AF$5,", "&amp;28,"")&amp;IF(INDEX($A$41:$G$51,2*INT((28+WEEKDAY(DATE(PlanYear,7,1),2)-1)/7)+1,MOD(28+WEEKDAY(DATE(PlanYear,7,1),2)-1,7)+1)=AF$5,", "&amp;29,"")&amp;IF(INDEX($A$41:$G$51,2*INT((29+WEEKDAY(DATE(PlanYear,7,1),2)-1)/7)+1,MOD(29+WEEKDAY(DATE(PlanYear,7,1),2)-1,7)+1)=AF$5,", "&amp;30,"")&amp;IF(INDEX($A$41:$G$51,2*INT((30+WEEKDAY(DATE(PlanYear,7,1),2)-1)/7)+1,MOD(30+WEEKDAY(DATE(PlanYear,7,1),2)-1,7)+1)=AF$5,", "&amp;31,""),3,200))</f>
        <v/>
      </c>
      <c r="AG12" s="16">
        <f>IF(AG$5="","",MID(IF(INDEX($A$41:$G$51,2*INT((0+WEEKDAY(DATE(PlanYear,7,1),2)-1)/7)+1,MOD(0+WEEKDAY(DATE(PlanYear,7,1),2)-1,7)+1)=AG$5,", "&amp;1,"")&amp;IF(INDEX($A$41:$G$51,2*INT((1+WEEKDAY(DATE(PlanYear,7,1),2)-1)/7)+1,MOD(1+WEEKDAY(DATE(PlanYear,7,1),2)-1,7)+1)=AG$5,", "&amp;2,"")&amp;IF(INDEX($A$41:$G$51,2*INT((2+WEEKDAY(DATE(PlanYear,7,1),2)-1)/7)+1,MOD(2+WEEKDAY(DATE(PlanYear,7,1),2)-1,7)+1)=AG$5,", "&amp;3,"")&amp;IF(INDEX($A$41:$G$51,2*INT((3+WEEKDAY(DATE(PlanYear,7,1),2)-1)/7)+1,MOD(3+WEEKDAY(DATE(PlanYear,7,1),2)-1,7)+1)=AG$5,", "&amp;4,"")&amp;IF(INDEX($A$41:$G$51,2*INT((4+WEEKDAY(DATE(PlanYear,7,1),2)-1)/7)+1,MOD(4+WEEKDAY(DATE(PlanYear,7,1),2)-1,7)+1)=AG$5,", "&amp;5,"")&amp;IF(INDEX($A$41:$G$51,2*INT((5+WEEKDAY(DATE(PlanYear,7,1),2)-1)/7)+1,MOD(5+WEEKDAY(DATE(PlanYear,7,1),2)-1,7)+1)=AG$5,", "&amp;6,"")&amp;IF(INDEX($A$41:$G$51,2*INT((6+WEEKDAY(DATE(PlanYear,7,1),2)-1)/7)+1,MOD(6+WEEKDAY(DATE(PlanYear,7,1),2)-1,7)+1)=AG$5,", "&amp;7,"")&amp;IF(INDEX($A$41:$G$51,2*INT((7+WEEKDAY(DATE(PlanYear,7,1),2)-1)/7)+1,MOD(7+WEEKDAY(DATE(PlanYear,7,1),2)-1,7)+1)=AG$5,", "&amp;8,"")&amp;IF(INDEX($A$41:$G$51,2*INT((8+WEEKDAY(DATE(PlanYear,7,1),2)-1)/7)+1,MOD(8+WEEKDAY(DATE(PlanYear,7,1),2)-1,7)+1)=AG$5,", "&amp;9,"")&amp;IF(INDEX($A$41:$G$51,2*INT((9+WEEKDAY(DATE(PlanYear,7,1),2)-1)/7)+1,MOD(9+WEEKDAY(DATE(PlanYear,7,1),2)-1,7)+1)=AG$5,", "&amp;10,"")&amp;IF(INDEX($A$41:$G$51,2*INT((10+WEEKDAY(DATE(PlanYear,7,1),2)-1)/7)+1,MOD(10+WEEKDAY(DATE(PlanYear,7,1),2)-1,7)+1)=AG$5,", "&amp;11,"")&amp;IF(INDEX($A$41:$G$51,2*INT((11+WEEKDAY(DATE(PlanYear,7,1),2)-1)/7)+1,MOD(11+WEEKDAY(DATE(PlanYear,7,1),2)-1,7)+1)=AG$5,", "&amp;12,"")&amp;IF(INDEX($A$41:$G$51,2*INT((12+WEEKDAY(DATE(PlanYear,7,1),2)-1)/7)+1,MOD(12+WEEKDAY(DATE(PlanYear,7,1),2)-1,7)+1)=AG$5,", "&amp;13,"")&amp;IF(INDEX($A$41:$G$51,2*INT((13+WEEKDAY(DATE(PlanYear,7,1),2)-1)/7)+1,MOD(13+WEEKDAY(DATE(PlanYear,7,1),2)-1,7)+1)=AG$5,", "&amp;14,"")&amp;IF(INDEX($A$41:$G$51,2*INT((14+WEEKDAY(DATE(PlanYear,7,1),2)-1)/7)+1,MOD(14+WEEKDAY(DATE(PlanYear,7,1),2)-1,7)+1)=AG$5,", "&amp;15,"")&amp;IF(INDEX($A$41:$G$51,2*INT((15+WEEKDAY(DATE(PlanYear,7,1),2)-1)/7)+1,MOD(15+WEEKDAY(DATE(PlanYear,7,1),2)-1,7)+1)=AG$5,", "&amp;16,"")&amp;IF(INDEX($A$41:$G$51,2*INT((16+WEEKDAY(DATE(PlanYear,7,1),2)-1)/7)+1,MOD(16+WEEKDAY(DATE(PlanYear,7,1),2)-1,7)+1)=AG$5,", "&amp;17,"")&amp;IF(INDEX($A$41:$G$51,2*INT((17+WEEKDAY(DATE(PlanYear,7,1),2)-1)/7)+1,MOD(17+WEEKDAY(DATE(PlanYear,7,1),2)-1,7)+1)=AG$5,", "&amp;18,"")&amp;IF(INDEX($A$41:$G$51,2*INT((18+WEEKDAY(DATE(PlanYear,7,1),2)-1)/7)+1,MOD(18+WEEKDAY(DATE(PlanYear,7,1),2)-1,7)+1)=AG$5,", "&amp;19,"")&amp;IF(INDEX($A$41:$G$51,2*INT((19+WEEKDAY(DATE(PlanYear,7,1),2)-1)/7)+1,MOD(19+WEEKDAY(DATE(PlanYear,7,1),2)-1,7)+1)=AG$5,", "&amp;20,"")&amp;IF(INDEX($A$41:$G$51,2*INT((20+WEEKDAY(DATE(PlanYear,7,1),2)-1)/7)+1,MOD(20+WEEKDAY(DATE(PlanYear,7,1),2)-1,7)+1)=AG$5,", "&amp;21,"")&amp;IF(INDEX($A$41:$G$51,2*INT((21+WEEKDAY(DATE(PlanYear,7,1),2)-1)/7)+1,MOD(21+WEEKDAY(DATE(PlanYear,7,1),2)-1,7)+1)=AG$5,", "&amp;22,"")&amp;IF(INDEX($A$41:$G$51,2*INT((22+WEEKDAY(DATE(PlanYear,7,1),2)-1)/7)+1,MOD(22+WEEKDAY(DATE(PlanYear,7,1),2)-1,7)+1)=AG$5,", "&amp;23,"")&amp;IF(INDEX($A$41:$G$51,2*INT((23+WEEKDAY(DATE(PlanYear,7,1),2)-1)/7)+1,MOD(23+WEEKDAY(DATE(PlanYear,7,1),2)-1,7)+1)=AG$5,", "&amp;24,"")&amp;IF(INDEX($A$41:$G$51,2*INT((24+WEEKDAY(DATE(PlanYear,7,1),2)-1)/7)+1,MOD(24+WEEKDAY(DATE(PlanYear,7,1),2)-1,7)+1)=AG$5,", "&amp;25,"")&amp;IF(INDEX($A$41:$G$51,2*INT((25+WEEKDAY(DATE(PlanYear,7,1),2)-1)/7)+1,MOD(25+WEEKDAY(DATE(PlanYear,7,1),2)-1,7)+1)=AG$5,", "&amp;26,"")&amp;IF(INDEX($A$41:$G$51,2*INT((26+WEEKDAY(DATE(PlanYear,7,1),2)-1)/7)+1,MOD(26+WEEKDAY(DATE(PlanYear,7,1),2)-1,7)+1)=AG$5,", "&amp;27,"")&amp;IF(INDEX($A$41:$G$51,2*INT((27+WEEKDAY(DATE(PlanYear,7,1),2)-1)/7)+1,MOD(27+WEEKDAY(DATE(PlanYear,7,1),2)-1,7)+1)=AG$5,", "&amp;28,"")&amp;IF(INDEX($A$41:$G$51,2*INT((28+WEEKDAY(DATE(PlanYear,7,1),2)-1)/7)+1,MOD(28+WEEKDAY(DATE(PlanYear,7,1),2)-1,7)+1)=AG$5,", "&amp;29,"")&amp;IF(INDEX($A$41:$G$51,2*INT((29+WEEKDAY(DATE(PlanYear,7,1),2)-1)/7)+1,MOD(29+WEEKDAY(DATE(PlanYear,7,1),2)-1,7)+1)=AG$5,", "&amp;30,"")&amp;IF(INDEX($A$41:$G$51,2*INT((30+WEEKDAY(DATE(PlanYear,7,1),2)-1)/7)+1,MOD(30+WEEKDAY(DATE(PlanYear,7,1),2)-1,7)+1)=AG$5,", "&amp;31,""),3,200))</f>
        <v/>
      </c>
      <c r="AH12" s="16">
        <f>IF(AH$5="","",MID(IF(INDEX($A$41:$G$51,2*INT((0+WEEKDAY(DATE(PlanYear,7,1),2)-1)/7)+1,MOD(0+WEEKDAY(DATE(PlanYear,7,1),2)-1,7)+1)=AH$5,", "&amp;1,"")&amp;IF(INDEX($A$41:$G$51,2*INT((1+WEEKDAY(DATE(PlanYear,7,1),2)-1)/7)+1,MOD(1+WEEKDAY(DATE(PlanYear,7,1),2)-1,7)+1)=AH$5,", "&amp;2,"")&amp;IF(INDEX($A$41:$G$51,2*INT((2+WEEKDAY(DATE(PlanYear,7,1),2)-1)/7)+1,MOD(2+WEEKDAY(DATE(PlanYear,7,1),2)-1,7)+1)=AH$5,", "&amp;3,"")&amp;IF(INDEX($A$41:$G$51,2*INT((3+WEEKDAY(DATE(PlanYear,7,1),2)-1)/7)+1,MOD(3+WEEKDAY(DATE(PlanYear,7,1),2)-1,7)+1)=AH$5,", "&amp;4,"")&amp;IF(INDEX($A$41:$G$51,2*INT((4+WEEKDAY(DATE(PlanYear,7,1),2)-1)/7)+1,MOD(4+WEEKDAY(DATE(PlanYear,7,1),2)-1,7)+1)=AH$5,", "&amp;5,"")&amp;IF(INDEX($A$41:$G$51,2*INT((5+WEEKDAY(DATE(PlanYear,7,1),2)-1)/7)+1,MOD(5+WEEKDAY(DATE(PlanYear,7,1),2)-1,7)+1)=AH$5,", "&amp;6,"")&amp;IF(INDEX($A$41:$G$51,2*INT((6+WEEKDAY(DATE(PlanYear,7,1),2)-1)/7)+1,MOD(6+WEEKDAY(DATE(PlanYear,7,1),2)-1,7)+1)=AH$5,", "&amp;7,"")&amp;IF(INDEX($A$41:$G$51,2*INT((7+WEEKDAY(DATE(PlanYear,7,1),2)-1)/7)+1,MOD(7+WEEKDAY(DATE(PlanYear,7,1),2)-1,7)+1)=AH$5,", "&amp;8,"")&amp;IF(INDEX($A$41:$G$51,2*INT((8+WEEKDAY(DATE(PlanYear,7,1),2)-1)/7)+1,MOD(8+WEEKDAY(DATE(PlanYear,7,1),2)-1,7)+1)=AH$5,", "&amp;9,"")&amp;IF(INDEX($A$41:$G$51,2*INT((9+WEEKDAY(DATE(PlanYear,7,1),2)-1)/7)+1,MOD(9+WEEKDAY(DATE(PlanYear,7,1),2)-1,7)+1)=AH$5,", "&amp;10,"")&amp;IF(INDEX($A$41:$G$51,2*INT((10+WEEKDAY(DATE(PlanYear,7,1),2)-1)/7)+1,MOD(10+WEEKDAY(DATE(PlanYear,7,1),2)-1,7)+1)=AH$5,", "&amp;11,"")&amp;IF(INDEX($A$41:$G$51,2*INT((11+WEEKDAY(DATE(PlanYear,7,1),2)-1)/7)+1,MOD(11+WEEKDAY(DATE(PlanYear,7,1),2)-1,7)+1)=AH$5,", "&amp;12,"")&amp;IF(INDEX($A$41:$G$51,2*INT((12+WEEKDAY(DATE(PlanYear,7,1),2)-1)/7)+1,MOD(12+WEEKDAY(DATE(PlanYear,7,1),2)-1,7)+1)=AH$5,", "&amp;13,"")&amp;IF(INDEX($A$41:$G$51,2*INT((13+WEEKDAY(DATE(PlanYear,7,1),2)-1)/7)+1,MOD(13+WEEKDAY(DATE(PlanYear,7,1),2)-1,7)+1)=AH$5,", "&amp;14,"")&amp;IF(INDEX($A$41:$G$51,2*INT((14+WEEKDAY(DATE(PlanYear,7,1),2)-1)/7)+1,MOD(14+WEEKDAY(DATE(PlanYear,7,1),2)-1,7)+1)=AH$5,", "&amp;15,"")&amp;IF(INDEX($A$41:$G$51,2*INT((15+WEEKDAY(DATE(PlanYear,7,1),2)-1)/7)+1,MOD(15+WEEKDAY(DATE(PlanYear,7,1),2)-1,7)+1)=AH$5,", "&amp;16,"")&amp;IF(INDEX($A$41:$G$51,2*INT((16+WEEKDAY(DATE(PlanYear,7,1),2)-1)/7)+1,MOD(16+WEEKDAY(DATE(PlanYear,7,1),2)-1,7)+1)=AH$5,", "&amp;17,"")&amp;IF(INDEX($A$41:$G$51,2*INT((17+WEEKDAY(DATE(PlanYear,7,1),2)-1)/7)+1,MOD(17+WEEKDAY(DATE(PlanYear,7,1),2)-1,7)+1)=AH$5,", "&amp;18,"")&amp;IF(INDEX($A$41:$G$51,2*INT((18+WEEKDAY(DATE(PlanYear,7,1),2)-1)/7)+1,MOD(18+WEEKDAY(DATE(PlanYear,7,1),2)-1,7)+1)=AH$5,", "&amp;19,"")&amp;IF(INDEX($A$41:$G$51,2*INT((19+WEEKDAY(DATE(PlanYear,7,1),2)-1)/7)+1,MOD(19+WEEKDAY(DATE(PlanYear,7,1),2)-1,7)+1)=AH$5,", "&amp;20,"")&amp;IF(INDEX($A$41:$G$51,2*INT((20+WEEKDAY(DATE(PlanYear,7,1),2)-1)/7)+1,MOD(20+WEEKDAY(DATE(PlanYear,7,1),2)-1,7)+1)=AH$5,", "&amp;21,"")&amp;IF(INDEX($A$41:$G$51,2*INT((21+WEEKDAY(DATE(PlanYear,7,1),2)-1)/7)+1,MOD(21+WEEKDAY(DATE(PlanYear,7,1),2)-1,7)+1)=AH$5,", "&amp;22,"")&amp;IF(INDEX($A$41:$G$51,2*INT((22+WEEKDAY(DATE(PlanYear,7,1),2)-1)/7)+1,MOD(22+WEEKDAY(DATE(PlanYear,7,1),2)-1,7)+1)=AH$5,", "&amp;23,"")&amp;IF(INDEX($A$41:$G$51,2*INT((23+WEEKDAY(DATE(PlanYear,7,1),2)-1)/7)+1,MOD(23+WEEKDAY(DATE(PlanYear,7,1),2)-1,7)+1)=AH$5,", "&amp;24,"")&amp;IF(INDEX($A$41:$G$51,2*INT((24+WEEKDAY(DATE(PlanYear,7,1),2)-1)/7)+1,MOD(24+WEEKDAY(DATE(PlanYear,7,1),2)-1,7)+1)=AH$5,", "&amp;25,"")&amp;IF(INDEX($A$41:$G$51,2*INT((25+WEEKDAY(DATE(PlanYear,7,1),2)-1)/7)+1,MOD(25+WEEKDAY(DATE(PlanYear,7,1),2)-1,7)+1)=AH$5,", "&amp;26,"")&amp;IF(INDEX($A$41:$G$51,2*INT((26+WEEKDAY(DATE(PlanYear,7,1),2)-1)/7)+1,MOD(26+WEEKDAY(DATE(PlanYear,7,1),2)-1,7)+1)=AH$5,", "&amp;27,"")&amp;IF(INDEX($A$41:$G$51,2*INT((27+WEEKDAY(DATE(PlanYear,7,1),2)-1)/7)+1,MOD(27+WEEKDAY(DATE(PlanYear,7,1),2)-1,7)+1)=AH$5,", "&amp;28,"")&amp;IF(INDEX($A$41:$G$51,2*INT((28+WEEKDAY(DATE(PlanYear,7,1),2)-1)/7)+1,MOD(28+WEEKDAY(DATE(PlanYear,7,1),2)-1,7)+1)=AH$5,", "&amp;29,"")&amp;IF(INDEX($A$41:$G$51,2*INT((29+WEEKDAY(DATE(PlanYear,7,1),2)-1)/7)+1,MOD(29+WEEKDAY(DATE(PlanYear,7,1),2)-1,7)+1)=AH$5,", "&amp;30,"")&amp;IF(INDEX($A$41:$G$51,2*INT((30+WEEKDAY(DATE(PlanYear,7,1),2)-1)/7)+1,MOD(30+WEEKDAY(DATE(PlanYear,7,1),2)-1,7)+1)=AH$5,", "&amp;31,""),3,200))</f>
        <v/>
      </c>
      <c r="AI12" s="16">
        <f>IF(AI$5="","",MID(IF(INDEX($A$41:$G$51,2*INT((0+WEEKDAY(DATE(PlanYear,7,1),2)-1)/7)+1,MOD(0+WEEKDAY(DATE(PlanYear,7,1),2)-1,7)+1)=AI$5,", "&amp;1,"")&amp;IF(INDEX($A$41:$G$51,2*INT((1+WEEKDAY(DATE(PlanYear,7,1),2)-1)/7)+1,MOD(1+WEEKDAY(DATE(PlanYear,7,1),2)-1,7)+1)=AI$5,", "&amp;2,"")&amp;IF(INDEX($A$41:$G$51,2*INT((2+WEEKDAY(DATE(PlanYear,7,1),2)-1)/7)+1,MOD(2+WEEKDAY(DATE(PlanYear,7,1),2)-1,7)+1)=AI$5,", "&amp;3,"")&amp;IF(INDEX($A$41:$G$51,2*INT((3+WEEKDAY(DATE(PlanYear,7,1),2)-1)/7)+1,MOD(3+WEEKDAY(DATE(PlanYear,7,1),2)-1,7)+1)=AI$5,", "&amp;4,"")&amp;IF(INDEX($A$41:$G$51,2*INT((4+WEEKDAY(DATE(PlanYear,7,1),2)-1)/7)+1,MOD(4+WEEKDAY(DATE(PlanYear,7,1),2)-1,7)+1)=AI$5,", "&amp;5,"")&amp;IF(INDEX($A$41:$G$51,2*INT((5+WEEKDAY(DATE(PlanYear,7,1),2)-1)/7)+1,MOD(5+WEEKDAY(DATE(PlanYear,7,1),2)-1,7)+1)=AI$5,", "&amp;6,"")&amp;IF(INDEX($A$41:$G$51,2*INT((6+WEEKDAY(DATE(PlanYear,7,1),2)-1)/7)+1,MOD(6+WEEKDAY(DATE(PlanYear,7,1),2)-1,7)+1)=AI$5,", "&amp;7,"")&amp;IF(INDEX($A$41:$G$51,2*INT((7+WEEKDAY(DATE(PlanYear,7,1),2)-1)/7)+1,MOD(7+WEEKDAY(DATE(PlanYear,7,1),2)-1,7)+1)=AI$5,", "&amp;8,"")&amp;IF(INDEX($A$41:$G$51,2*INT((8+WEEKDAY(DATE(PlanYear,7,1),2)-1)/7)+1,MOD(8+WEEKDAY(DATE(PlanYear,7,1),2)-1,7)+1)=AI$5,", "&amp;9,"")&amp;IF(INDEX($A$41:$G$51,2*INT((9+WEEKDAY(DATE(PlanYear,7,1),2)-1)/7)+1,MOD(9+WEEKDAY(DATE(PlanYear,7,1),2)-1,7)+1)=AI$5,", "&amp;10,"")&amp;IF(INDEX($A$41:$G$51,2*INT((10+WEEKDAY(DATE(PlanYear,7,1),2)-1)/7)+1,MOD(10+WEEKDAY(DATE(PlanYear,7,1),2)-1,7)+1)=AI$5,", "&amp;11,"")&amp;IF(INDEX($A$41:$G$51,2*INT((11+WEEKDAY(DATE(PlanYear,7,1),2)-1)/7)+1,MOD(11+WEEKDAY(DATE(PlanYear,7,1),2)-1,7)+1)=AI$5,", "&amp;12,"")&amp;IF(INDEX($A$41:$G$51,2*INT((12+WEEKDAY(DATE(PlanYear,7,1),2)-1)/7)+1,MOD(12+WEEKDAY(DATE(PlanYear,7,1),2)-1,7)+1)=AI$5,", "&amp;13,"")&amp;IF(INDEX($A$41:$G$51,2*INT((13+WEEKDAY(DATE(PlanYear,7,1),2)-1)/7)+1,MOD(13+WEEKDAY(DATE(PlanYear,7,1),2)-1,7)+1)=AI$5,", "&amp;14,"")&amp;IF(INDEX($A$41:$G$51,2*INT((14+WEEKDAY(DATE(PlanYear,7,1),2)-1)/7)+1,MOD(14+WEEKDAY(DATE(PlanYear,7,1),2)-1,7)+1)=AI$5,", "&amp;15,"")&amp;IF(INDEX($A$41:$G$51,2*INT((15+WEEKDAY(DATE(PlanYear,7,1),2)-1)/7)+1,MOD(15+WEEKDAY(DATE(PlanYear,7,1),2)-1,7)+1)=AI$5,", "&amp;16,"")&amp;IF(INDEX($A$41:$G$51,2*INT((16+WEEKDAY(DATE(PlanYear,7,1),2)-1)/7)+1,MOD(16+WEEKDAY(DATE(PlanYear,7,1),2)-1,7)+1)=AI$5,", "&amp;17,"")&amp;IF(INDEX($A$41:$G$51,2*INT((17+WEEKDAY(DATE(PlanYear,7,1),2)-1)/7)+1,MOD(17+WEEKDAY(DATE(PlanYear,7,1),2)-1,7)+1)=AI$5,", "&amp;18,"")&amp;IF(INDEX($A$41:$G$51,2*INT((18+WEEKDAY(DATE(PlanYear,7,1),2)-1)/7)+1,MOD(18+WEEKDAY(DATE(PlanYear,7,1),2)-1,7)+1)=AI$5,", "&amp;19,"")&amp;IF(INDEX($A$41:$G$51,2*INT((19+WEEKDAY(DATE(PlanYear,7,1),2)-1)/7)+1,MOD(19+WEEKDAY(DATE(PlanYear,7,1),2)-1,7)+1)=AI$5,", "&amp;20,"")&amp;IF(INDEX($A$41:$G$51,2*INT((20+WEEKDAY(DATE(PlanYear,7,1),2)-1)/7)+1,MOD(20+WEEKDAY(DATE(PlanYear,7,1),2)-1,7)+1)=AI$5,", "&amp;21,"")&amp;IF(INDEX($A$41:$G$51,2*INT((21+WEEKDAY(DATE(PlanYear,7,1),2)-1)/7)+1,MOD(21+WEEKDAY(DATE(PlanYear,7,1),2)-1,7)+1)=AI$5,", "&amp;22,"")&amp;IF(INDEX($A$41:$G$51,2*INT((22+WEEKDAY(DATE(PlanYear,7,1),2)-1)/7)+1,MOD(22+WEEKDAY(DATE(PlanYear,7,1),2)-1,7)+1)=AI$5,", "&amp;23,"")&amp;IF(INDEX($A$41:$G$51,2*INT((23+WEEKDAY(DATE(PlanYear,7,1),2)-1)/7)+1,MOD(23+WEEKDAY(DATE(PlanYear,7,1),2)-1,7)+1)=AI$5,", "&amp;24,"")&amp;IF(INDEX($A$41:$G$51,2*INT((24+WEEKDAY(DATE(PlanYear,7,1),2)-1)/7)+1,MOD(24+WEEKDAY(DATE(PlanYear,7,1),2)-1,7)+1)=AI$5,", "&amp;25,"")&amp;IF(INDEX($A$41:$G$51,2*INT((25+WEEKDAY(DATE(PlanYear,7,1),2)-1)/7)+1,MOD(25+WEEKDAY(DATE(PlanYear,7,1),2)-1,7)+1)=AI$5,", "&amp;26,"")&amp;IF(INDEX($A$41:$G$51,2*INT((26+WEEKDAY(DATE(PlanYear,7,1),2)-1)/7)+1,MOD(26+WEEKDAY(DATE(PlanYear,7,1),2)-1,7)+1)=AI$5,", "&amp;27,"")&amp;IF(INDEX($A$41:$G$51,2*INT((27+WEEKDAY(DATE(PlanYear,7,1),2)-1)/7)+1,MOD(27+WEEKDAY(DATE(PlanYear,7,1),2)-1,7)+1)=AI$5,", "&amp;28,"")&amp;IF(INDEX($A$41:$G$51,2*INT((28+WEEKDAY(DATE(PlanYear,7,1),2)-1)/7)+1,MOD(28+WEEKDAY(DATE(PlanYear,7,1),2)-1,7)+1)=AI$5,", "&amp;29,"")&amp;IF(INDEX($A$41:$G$51,2*INT((29+WEEKDAY(DATE(PlanYear,7,1),2)-1)/7)+1,MOD(29+WEEKDAY(DATE(PlanYear,7,1),2)-1,7)+1)=AI$5,", "&amp;30,"")&amp;IF(INDEX($A$41:$G$51,2*INT((30+WEEKDAY(DATE(PlanYear,7,1),2)-1)/7)+1,MOD(30+WEEKDAY(DATE(PlanYear,7,1),2)-1,7)+1)=AI$5,", "&amp;31,""),3,200))</f>
        <v/>
      </c>
      <c r="AJ12" s="16">
        <f>IF(AJ$5="","",MID(IF(INDEX($A$41:$G$51,2*INT((0+WEEKDAY(DATE(PlanYear,7,1),2)-1)/7)+1,MOD(0+WEEKDAY(DATE(PlanYear,7,1),2)-1,7)+1)=AJ$5,", "&amp;1,"")&amp;IF(INDEX($A$41:$G$51,2*INT((1+WEEKDAY(DATE(PlanYear,7,1),2)-1)/7)+1,MOD(1+WEEKDAY(DATE(PlanYear,7,1),2)-1,7)+1)=AJ$5,", "&amp;2,"")&amp;IF(INDEX($A$41:$G$51,2*INT((2+WEEKDAY(DATE(PlanYear,7,1),2)-1)/7)+1,MOD(2+WEEKDAY(DATE(PlanYear,7,1),2)-1,7)+1)=AJ$5,", "&amp;3,"")&amp;IF(INDEX($A$41:$G$51,2*INT((3+WEEKDAY(DATE(PlanYear,7,1),2)-1)/7)+1,MOD(3+WEEKDAY(DATE(PlanYear,7,1),2)-1,7)+1)=AJ$5,", "&amp;4,"")&amp;IF(INDEX($A$41:$G$51,2*INT((4+WEEKDAY(DATE(PlanYear,7,1),2)-1)/7)+1,MOD(4+WEEKDAY(DATE(PlanYear,7,1),2)-1,7)+1)=AJ$5,", "&amp;5,"")&amp;IF(INDEX($A$41:$G$51,2*INT((5+WEEKDAY(DATE(PlanYear,7,1),2)-1)/7)+1,MOD(5+WEEKDAY(DATE(PlanYear,7,1),2)-1,7)+1)=AJ$5,", "&amp;6,"")&amp;IF(INDEX($A$41:$G$51,2*INT((6+WEEKDAY(DATE(PlanYear,7,1),2)-1)/7)+1,MOD(6+WEEKDAY(DATE(PlanYear,7,1),2)-1,7)+1)=AJ$5,", "&amp;7,"")&amp;IF(INDEX($A$41:$G$51,2*INT((7+WEEKDAY(DATE(PlanYear,7,1),2)-1)/7)+1,MOD(7+WEEKDAY(DATE(PlanYear,7,1),2)-1,7)+1)=AJ$5,", "&amp;8,"")&amp;IF(INDEX($A$41:$G$51,2*INT((8+WEEKDAY(DATE(PlanYear,7,1),2)-1)/7)+1,MOD(8+WEEKDAY(DATE(PlanYear,7,1),2)-1,7)+1)=AJ$5,", "&amp;9,"")&amp;IF(INDEX($A$41:$G$51,2*INT((9+WEEKDAY(DATE(PlanYear,7,1),2)-1)/7)+1,MOD(9+WEEKDAY(DATE(PlanYear,7,1),2)-1,7)+1)=AJ$5,", "&amp;10,"")&amp;IF(INDEX($A$41:$G$51,2*INT((10+WEEKDAY(DATE(PlanYear,7,1),2)-1)/7)+1,MOD(10+WEEKDAY(DATE(PlanYear,7,1),2)-1,7)+1)=AJ$5,", "&amp;11,"")&amp;IF(INDEX($A$41:$G$51,2*INT((11+WEEKDAY(DATE(PlanYear,7,1),2)-1)/7)+1,MOD(11+WEEKDAY(DATE(PlanYear,7,1),2)-1,7)+1)=AJ$5,", "&amp;12,"")&amp;IF(INDEX($A$41:$G$51,2*INT((12+WEEKDAY(DATE(PlanYear,7,1),2)-1)/7)+1,MOD(12+WEEKDAY(DATE(PlanYear,7,1),2)-1,7)+1)=AJ$5,", "&amp;13,"")&amp;IF(INDEX($A$41:$G$51,2*INT((13+WEEKDAY(DATE(PlanYear,7,1),2)-1)/7)+1,MOD(13+WEEKDAY(DATE(PlanYear,7,1),2)-1,7)+1)=AJ$5,", "&amp;14,"")&amp;IF(INDEX($A$41:$G$51,2*INT((14+WEEKDAY(DATE(PlanYear,7,1),2)-1)/7)+1,MOD(14+WEEKDAY(DATE(PlanYear,7,1),2)-1,7)+1)=AJ$5,", "&amp;15,"")&amp;IF(INDEX($A$41:$G$51,2*INT((15+WEEKDAY(DATE(PlanYear,7,1),2)-1)/7)+1,MOD(15+WEEKDAY(DATE(PlanYear,7,1),2)-1,7)+1)=AJ$5,", "&amp;16,"")&amp;IF(INDEX($A$41:$G$51,2*INT((16+WEEKDAY(DATE(PlanYear,7,1),2)-1)/7)+1,MOD(16+WEEKDAY(DATE(PlanYear,7,1),2)-1,7)+1)=AJ$5,", "&amp;17,"")&amp;IF(INDEX($A$41:$G$51,2*INT((17+WEEKDAY(DATE(PlanYear,7,1),2)-1)/7)+1,MOD(17+WEEKDAY(DATE(PlanYear,7,1),2)-1,7)+1)=AJ$5,", "&amp;18,"")&amp;IF(INDEX($A$41:$G$51,2*INT((18+WEEKDAY(DATE(PlanYear,7,1),2)-1)/7)+1,MOD(18+WEEKDAY(DATE(PlanYear,7,1),2)-1,7)+1)=AJ$5,", "&amp;19,"")&amp;IF(INDEX($A$41:$G$51,2*INT((19+WEEKDAY(DATE(PlanYear,7,1),2)-1)/7)+1,MOD(19+WEEKDAY(DATE(PlanYear,7,1),2)-1,7)+1)=AJ$5,", "&amp;20,"")&amp;IF(INDEX($A$41:$G$51,2*INT((20+WEEKDAY(DATE(PlanYear,7,1),2)-1)/7)+1,MOD(20+WEEKDAY(DATE(PlanYear,7,1),2)-1,7)+1)=AJ$5,", "&amp;21,"")&amp;IF(INDEX($A$41:$G$51,2*INT((21+WEEKDAY(DATE(PlanYear,7,1),2)-1)/7)+1,MOD(21+WEEKDAY(DATE(PlanYear,7,1),2)-1,7)+1)=AJ$5,", "&amp;22,"")&amp;IF(INDEX($A$41:$G$51,2*INT((22+WEEKDAY(DATE(PlanYear,7,1),2)-1)/7)+1,MOD(22+WEEKDAY(DATE(PlanYear,7,1),2)-1,7)+1)=AJ$5,", "&amp;23,"")&amp;IF(INDEX($A$41:$G$51,2*INT((23+WEEKDAY(DATE(PlanYear,7,1),2)-1)/7)+1,MOD(23+WEEKDAY(DATE(PlanYear,7,1),2)-1,7)+1)=AJ$5,", "&amp;24,"")&amp;IF(INDEX($A$41:$G$51,2*INT((24+WEEKDAY(DATE(PlanYear,7,1),2)-1)/7)+1,MOD(24+WEEKDAY(DATE(PlanYear,7,1),2)-1,7)+1)=AJ$5,", "&amp;25,"")&amp;IF(INDEX($A$41:$G$51,2*INT((25+WEEKDAY(DATE(PlanYear,7,1),2)-1)/7)+1,MOD(25+WEEKDAY(DATE(PlanYear,7,1),2)-1,7)+1)=AJ$5,", "&amp;26,"")&amp;IF(INDEX($A$41:$G$51,2*INT((26+WEEKDAY(DATE(PlanYear,7,1),2)-1)/7)+1,MOD(26+WEEKDAY(DATE(PlanYear,7,1),2)-1,7)+1)=AJ$5,", "&amp;27,"")&amp;IF(INDEX($A$41:$G$51,2*INT((27+WEEKDAY(DATE(PlanYear,7,1),2)-1)/7)+1,MOD(27+WEEKDAY(DATE(PlanYear,7,1),2)-1,7)+1)=AJ$5,", "&amp;28,"")&amp;IF(INDEX($A$41:$G$51,2*INT((28+WEEKDAY(DATE(PlanYear,7,1),2)-1)/7)+1,MOD(28+WEEKDAY(DATE(PlanYear,7,1),2)-1,7)+1)=AJ$5,", "&amp;29,"")&amp;IF(INDEX($A$41:$G$51,2*INT((29+WEEKDAY(DATE(PlanYear,7,1),2)-1)/7)+1,MOD(29+WEEKDAY(DATE(PlanYear,7,1),2)-1,7)+1)=AJ$5,", "&amp;30,"")&amp;IF(INDEX($A$41:$G$51,2*INT((30+WEEKDAY(DATE(PlanYear,7,1),2)-1)/7)+1,MOD(30+WEEKDAY(DATE(PlanYear,7,1),2)-1,7)+1)=AJ$5,", "&amp;31,""),3,200))</f>
        <v/>
      </c>
      <c r="AK12" s="17">
        <f>DAY(EOMONTH(DATE(PlanYear,7,1),0))-COUNTIF($A$41:$G$51,"?*")</f>
        <v/>
      </c>
    </row>
    <row r="13" ht="26" customHeight="1">
      <c r="A13" s="21" t="n"/>
      <c r="B13" s="21" t="n"/>
      <c r="C13" s="21" t="n"/>
      <c r="D13" s="21" t="n"/>
      <c r="E13" s="21" t="n"/>
      <c r="F13" s="21" t="n"/>
      <c r="G13" s="21" t="n"/>
      <c r="I13" s="21" t="n"/>
      <c r="J13" s="21" t="n"/>
      <c r="K13" s="21" t="n"/>
      <c r="L13" s="21" t="n"/>
      <c r="M13" s="21" t="n"/>
      <c r="N13" s="21" t="n"/>
      <c r="O13" s="21" t="n"/>
      <c r="Q13" s="21" t="n"/>
      <c r="R13" s="21" t="n"/>
      <c r="S13" s="21" t="n"/>
      <c r="T13" s="21" t="n"/>
      <c r="U13" s="21" t="n"/>
      <c r="V13" s="21" t="n"/>
      <c r="W13" s="21" t="n"/>
      <c r="Z13" s="15" t="inlineStr">
        <is>
          <t>August</t>
        </is>
      </c>
      <c r="AA13" s="16">
        <f>IF(AA$5="","",MID(IF(INDEX($I$41:$O$51,2*INT((0+WEEKDAY(DATE(PlanYear,8,1),2)-1)/7)+1,MOD(0+WEEKDAY(DATE(PlanYear,8,1),2)-1,7)+1)=AA$5,", "&amp;1,"")&amp;IF(INDEX($I$41:$O$51,2*INT((1+WEEKDAY(DATE(PlanYear,8,1),2)-1)/7)+1,MOD(1+WEEKDAY(DATE(PlanYear,8,1),2)-1,7)+1)=AA$5,", "&amp;2,"")&amp;IF(INDEX($I$41:$O$51,2*INT((2+WEEKDAY(DATE(PlanYear,8,1),2)-1)/7)+1,MOD(2+WEEKDAY(DATE(PlanYear,8,1),2)-1,7)+1)=AA$5,", "&amp;3,"")&amp;IF(INDEX($I$41:$O$51,2*INT((3+WEEKDAY(DATE(PlanYear,8,1),2)-1)/7)+1,MOD(3+WEEKDAY(DATE(PlanYear,8,1),2)-1,7)+1)=AA$5,", "&amp;4,"")&amp;IF(INDEX($I$41:$O$51,2*INT((4+WEEKDAY(DATE(PlanYear,8,1),2)-1)/7)+1,MOD(4+WEEKDAY(DATE(PlanYear,8,1),2)-1,7)+1)=AA$5,", "&amp;5,"")&amp;IF(INDEX($I$41:$O$51,2*INT((5+WEEKDAY(DATE(PlanYear,8,1),2)-1)/7)+1,MOD(5+WEEKDAY(DATE(PlanYear,8,1),2)-1,7)+1)=AA$5,", "&amp;6,"")&amp;IF(INDEX($I$41:$O$51,2*INT((6+WEEKDAY(DATE(PlanYear,8,1),2)-1)/7)+1,MOD(6+WEEKDAY(DATE(PlanYear,8,1),2)-1,7)+1)=AA$5,", "&amp;7,"")&amp;IF(INDEX($I$41:$O$51,2*INT((7+WEEKDAY(DATE(PlanYear,8,1),2)-1)/7)+1,MOD(7+WEEKDAY(DATE(PlanYear,8,1),2)-1,7)+1)=AA$5,", "&amp;8,"")&amp;IF(INDEX($I$41:$O$51,2*INT((8+WEEKDAY(DATE(PlanYear,8,1),2)-1)/7)+1,MOD(8+WEEKDAY(DATE(PlanYear,8,1),2)-1,7)+1)=AA$5,", "&amp;9,"")&amp;IF(INDEX($I$41:$O$51,2*INT((9+WEEKDAY(DATE(PlanYear,8,1),2)-1)/7)+1,MOD(9+WEEKDAY(DATE(PlanYear,8,1),2)-1,7)+1)=AA$5,", "&amp;10,"")&amp;IF(INDEX($I$41:$O$51,2*INT((10+WEEKDAY(DATE(PlanYear,8,1),2)-1)/7)+1,MOD(10+WEEKDAY(DATE(PlanYear,8,1),2)-1,7)+1)=AA$5,", "&amp;11,"")&amp;IF(INDEX($I$41:$O$51,2*INT((11+WEEKDAY(DATE(PlanYear,8,1),2)-1)/7)+1,MOD(11+WEEKDAY(DATE(PlanYear,8,1),2)-1,7)+1)=AA$5,", "&amp;12,"")&amp;IF(INDEX($I$41:$O$51,2*INT((12+WEEKDAY(DATE(PlanYear,8,1),2)-1)/7)+1,MOD(12+WEEKDAY(DATE(PlanYear,8,1),2)-1,7)+1)=AA$5,", "&amp;13,"")&amp;IF(INDEX($I$41:$O$51,2*INT((13+WEEKDAY(DATE(PlanYear,8,1),2)-1)/7)+1,MOD(13+WEEKDAY(DATE(PlanYear,8,1),2)-1,7)+1)=AA$5,", "&amp;14,"")&amp;IF(INDEX($I$41:$O$51,2*INT((14+WEEKDAY(DATE(PlanYear,8,1),2)-1)/7)+1,MOD(14+WEEKDAY(DATE(PlanYear,8,1),2)-1,7)+1)=AA$5,", "&amp;15,"")&amp;IF(INDEX($I$41:$O$51,2*INT((15+WEEKDAY(DATE(PlanYear,8,1),2)-1)/7)+1,MOD(15+WEEKDAY(DATE(PlanYear,8,1),2)-1,7)+1)=AA$5,", "&amp;16,"")&amp;IF(INDEX($I$41:$O$51,2*INT((16+WEEKDAY(DATE(PlanYear,8,1),2)-1)/7)+1,MOD(16+WEEKDAY(DATE(PlanYear,8,1),2)-1,7)+1)=AA$5,", "&amp;17,"")&amp;IF(INDEX($I$41:$O$51,2*INT((17+WEEKDAY(DATE(PlanYear,8,1),2)-1)/7)+1,MOD(17+WEEKDAY(DATE(PlanYear,8,1),2)-1,7)+1)=AA$5,", "&amp;18,"")&amp;IF(INDEX($I$41:$O$51,2*INT((18+WEEKDAY(DATE(PlanYear,8,1),2)-1)/7)+1,MOD(18+WEEKDAY(DATE(PlanYear,8,1),2)-1,7)+1)=AA$5,", "&amp;19,"")&amp;IF(INDEX($I$41:$O$51,2*INT((19+WEEKDAY(DATE(PlanYear,8,1),2)-1)/7)+1,MOD(19+WEEKDAY(DATE(PlanYear,8,1),2)-1,7)+1)=AA$5,", "&amp;20,"")&amp;IF(INDEX($I$41:$O$51,2*INT((20+WEEKDAY(DATE(PlanYear,8,1),2)-1)/7)+1,MOD(20+WEEKDAY(DATE(PlanYear,8,1),2)-1,7)+1)=AA$5,", "&amp;21,"")&amp;IF(INDEX($I$41:$O$51,2*INT((21+WEEKDAY(DATE(PlanYear,8,1),2)-1)/7)+1,MOD(21+WEEKDAY(DATE(PlanYear,8,1),2)-1,7)+1)=AA$5,", "&amp;22,"")&amp;IF(INDEX($I$41:$O$51,2*INT((22+WEEKDAY(DATE(PlanYear,8,1),2)-1)/7)+1,MOD(22+WEEKDAY(DATE(PlanYear,8,1),2)-1,7)+1)=AA$5,", "&amp;23,"")&amp;IF(INDEX($I$41:$O$51,2*INT((23+WEEKDAY(DATE(PlanYear,8,1),2)-1)/7)+1,MOD(23+WEEKDAY(DATE(PlanYear,8,1),2)-1,7)+1)=AA$5,", "&amp;24,"")&amp;IF(INDEX($I$41:$O$51,2*INT((24+WEEKDAY(DATE(PlanYear,8,1),2)-1)/7)+1,MOD(24+WEEKDAY(DATE(PlanYear,8,1),2)-1,7)+1)=AA$5,", "&amp;25,"")&amp;IF(INDEX($I$41:$O$51,2*INT((25+WEEKDAY(DATE(PlanYear,8,1),2)-1)/7)+1,MOD(25+WEEKDAY(DATE(PlanYear,8,1),2)-1,7)+1)=AA$5,", "&amp;26,"")&amp;IF(INDEX($I$41:$O$51,2*INT((26+WEEKDAY(DATE(PlanYear,8,1),2)-1)/7)+1,MOD(26+WEEKDAY(DATE(PlanYear,8,1),2)-1,7)+1)=AA$5,", "&amp;27,"")&amp;IF(INDEX($I$41:$O$51,2*INT((27+WEEKDAY(DATE(PlanYear,8,1),2)-1)/7)+1,MOD(27+WEEKDAY(DATE(PlanYear,8,1),2)-1,7)+1)=AA$5,", "&amp;28,"")&amp;IF(INDEX($I$41:$O$51,2*INT((28+WEEKDAY(DATE(PlanYear,8,1),2)-1)/7)+1,MOD(28+WEEKDAY(DATE(PlanYear,8,1),2)-1,7)+1)=AA$5,", "&amp;29,"")&amp;IF(INDEX($I$41:$O$51,2*INT((29+WEEKDAY(DATE(PlanYear,8,1),2)-1)/7)+1,MOD(29+WEEKDAY(DATE(PlanYear,8,1),2)-1,7)+1)=AA$5,", "&amp;30,"")&amp;IF(INDEX($I$41:$O$51,2*INT((30+WEEKDAY(DATE(PlanYear,8,1),2)-1)/7)+1,MOD(30+WEEKDAY(DATE(PlanYear,8,1),2)-1,7)+1)=AA$5,", "&amp;31,""),3,200))</f>
        <v/>
      </c>
      <c r="AB13" s="16">
        <f>IF(AB$5="","",MID(IF(INDEX($I$41:$O$51,2*INT((0+WEEKDAY(DATE(PlanYear,8,1),2)-1)/7)+1,MOD(0+WEEKDAY(DATE(PlanYear,8,1),2)-1,7)+1)=AB$5,", "&amp;1,"")&amp;IF(INDEX($I$41:$O$51,2*INT((1+WEEKDAY(DATE(PlanYear,8,1),2)-1)/7)+1,MOD(1+WEEKDAY(DATE(PlanYear,8,1),2)-1,7)+1)=AB$5,", "&amp;2,"")&amp;IF(INDEX($I$41:$O$51,2*INT((2+WEEKDAY(DATE(PlanYear,8,1),2)-1)/7)+1,MOD(2+WEEKDAY(DATE(PlanYear,8,1),2)-1,7)+1)=AB$5,", "&amp;3,"")&amp;IF(INDEX($I$41:$O$51,2*INT((3+WEEKDAY(DATE(PlanYear,8,1),2)-1)/7)+1,MOD(3+WEEKDAY(DATE(PlanYear,8,1),2)-1,7)+1)=AB$5,", "&amp;4,"")&amp;IF(INDEX($I$41:$O$51,2*INT((4+WEEKDAY(DATE(PlanYear,8,1),2)-1)/7)+1,MOD(4+WEEKDAY(DATE(PlanYear,8,1),2)-1,7)+1)=AB$5,", "&amp;5,"")&amp;IF(INDEX($I$41:$O$51,2*INT((5+WEEKDAY(DATE(PlanYear,8,1),2)-1)/7)+1,MOD(5+WEEKDAY(DATE(PlanYear,8,1),2)-1,7)+1)=AB$5,", "&amp;6,"")&amp;IF(INDEX($I$41:$O$51,2*INT((6+WEEKDAY(DATE(PlanYear,8,1),2)-1)/7)+1,MOD(6+WEEKDAY(DATE(PlanYear,8,1),2)-1,7)+1)=AB$5,", "&amp;7,"")&amp;IF(INDEX($I$41:$O$51,2*INT((7+WEEKDAY(DATE(PlanYear,8,1),2)-1)/7)+1,MOD(7+WEEKDAY(DATE(PlanYear,8,1),2)-1,7)+1)=AB$5,", "&amp;8,"")&amp;IF(INDEX($I$41:$O$51,2*INT((8+WEEKDAY(DATE(PlanYear,8,1),2)-1)/7)+1,MOD(8+WEEKDAY(DATE(PlanYear,8,1),2)-1,7)+1)=AB$5,", "&amp;9,"")&amp;IF(INDEX($I$41:$O$51,2*INT((9+WEEKDAY(DATE(PlanYear,8,1),2)-1)/7)+1,MOD(9+WEEKDAY(DATE(PlanYear,8,1),2)-1,7)+1)=AB$5,", "&amp;10,"")&amp;IF(INDEX($I$41:$O$51,2*INT((10+WEEKDAY(DATE(PlanYear,8,1),2)-1)/7)+1,MOD(10+WEEKDAY(DATE(PlanYear,8,1),2)-1,7)+1)=AB$5,", "&amp;11,"")&amp;IF(INDEX($I$41:$O$51,2*INT((11+WEEKDAY(DATE(PlanYear,8,1),2)-1)/7)+1,MOD(11+WEEKDAY(DATE(PlanYear,8,1),2)-1,7)+1)=AB$5,", "&amp;12,"")&amp;IF(INDEX($I$41:$O$51,2*INT((12+WEEKDAY(DATE(PlanYear,8,1),2)-1)/7)+1,MOD(12+WEEKDAY(DATE(PlanYear,8,1),2)-1,7)+1)=AB$5,", "&amp;13,"")&amp;IF(INDEX($I$41:$O$51,2*INT((13+WEEKDAY(DATE(PlanYear,8,1),2)-1)/7)+1,MOD(13+WEEKDAY(DATE(PlanYear,8,1),2)-1,7)+1)=AB$5,", "&amp;14,"")&amp;IF(INDEX($I$41:$O$51,2*INT((14+WEEKDAY(DATE(PlanYear,8,1),2)-1)/7)+1,MOD(14+WEEKDAY(DATE(PlanYear,8,1),2)-1,7)+1)=AB$5,", "&amp;15,"")&amp;IF(INDEX($I$41:$O$51,2*INT((15+WEEKDAY(DATE(PlanYear,8,1),2)-1)/7)+1,MOD(15+WEEKDAY(DATE(PlanYear,8,1),2)-1,7)+1)=AB$5,", "&amp;16,"")&amp;IF(INDEX($I$41:$O$51,2*INT((16+WEEKDAY(DATE(PlanYear,8,1),2)-1)/7)+1,MOD(16+WEEKDAY(DATE(PlanYear,8,1),2)-1,7)+1)=AB$5,", "&amp;17,"")&amp;IF(INDEX($I$41:$O$51,2*INT((17+WEEKDAY(DATE(PlanYear,8,1),2)-1)/7)+1,MOD(17+WEEKDAY(DATE(PlanYear,8,1),2)-1,7)+1)=AB$5,", "&amp;18,"")&amp;IF(INDEX($I$41:$O$51,2*INT((18+WEEKDAY(DATE(PlanYear,8,1),2)-1)/7)+1,MOD(18+WEEKDAY(DATE(PlanYear,8,1),2)-1,7)+1)=AB$5,", "&amp;19,"")&amp;IF(INDEX($I$41:$O$51,2*INT((19+WEEKDAY(DATE(PlanYear,8,1),2)-1)/7)+1,MOD(19+WEEKDAY(DATE(PlanYear,8,1),2)-1,7)+1)=AB$5,", "&amp;20,"")&amp;IF(INDEX($I$41:$O$51,2*INT((20+WEEKDAY(DATE(PlanYear,8,1),2)-1)/7)+1,MOD(20+WEEKDAY(DATE(PlanYear,8,1),2)-1,7)+1)=AB$5,", "&amp;21,"")&amp;IF(INDEX($I$41:$O$51,2*INT((21+WEEKDAY(DATE(PlanYear,8,1),2)-1)/7)+1,MOD(21+WEEKDAY(DATE(PlanYear,8,1),2)-1,7)+1)=AB$5,", "&amp;22,"")&amp;IF(INDEX($I$41:$O$51,2*INT((22+WEEKDAY(DATE(PlanYear,8,1),2)-1)/7)+1,MOD(22+WEEKDAY(DATE(PlanYear,8,1),2)-1,7)+1)=AB$5,", "&amp;23,"")&amp;IF(INDEX($I$41:$O$51,2*INT((23+WEEKDAY(DATE(PlanYear,8,1),2)-1)/7)+1,MOD(23+WEEKDAY(DATE(PlanYear,8,1),2)-1,7)+1)=AB$5,", "&amp;24,"")&amp;IF(INDEX($I$41:$O$51,2*INT((24+WEEKDAY(DATE(PlanYear,8,1),2)-1)/7)+1,MOD(24+WEEKDAY(DATE(PlanYear,8,1),2)-1,7)+1)=AB$5,", "&amp;25,"")&amp;IF(INDEX($I$41:$O$51,2*INT((25+WEEKDAY(DATE(PlanYear,8,1),2)-1)/7)+1,MOD(25+WEEKDAY(DATE(PlanYear,8,1),2)-1,7)+1)=AB$5,", "&amp;26,"")&amp;IF(INDEX($I$41:$O$51,2*INT((26+WEEKDAY(DATE(PlanYear,8,1),2)-1)/7)+1,MOD(26+WEEKDAY(DATE(PlanYear,8,1),2)-1,7)+1)=AB$5,", "&amp;27,"")&amp;IF(INDEX($I$41:$O$51,2*INT((27+WEEKDAY(DATE(PlanYear,8,1),2)-1)/7)+1,MOD(27+WEEKDAY(DATE(PlanYear,8,1),2)-1,7)+1)=AB$5,", "&amp;28,"")&amp;IF(INDEX($I$41:$O$51,2*INT((28+WEEKDAY(DATE(PlanYear,8,1),2)-1)/7)+1,MOD(28+WEEKDAY(DATE(PlanYear,8,1),2)-1,7)+1)=AB$5,", "&amp;29,"")&amp;IF(INDEX($I$41:$O$51,2*INT((29+WEEKDAY(DATE(PlanYear,8,1),2)-1)/7)+1,MOD(29+WEEKDAY(DATE(PlanYear,8,1),2)-1,7)+1)=AB$5,", "&amp;30,"")&amp;IF(INDEX($I$41:$O$51,2*INT((30+WEEKDAY(DATE(PlanYear,8,1),2)-1)/7)+1,MOD(30+WEEKDAY(DATE(PlanYear,8,1),2)-1,7)+1)=AB$5,", "&amp;31,""),3,200))</f>
        <v/>
      </c>
      <c r="AC13" s="16">
        <f>IF(AC$5="","",MID(IF(INDEX($I$41:$O$51,2*INT((0+WEEKDAY(DATE(PlanYear,8,1),2)-1)/7)+1,MOD(0+WEEKDAY(DATE(PlanYear,8,1),2)-1,7)+1)=AC$5,", "&amp;1,"")&amp;IF(INDEX($I$41:$O$51,2*INT((1+WEEKDAY(DATE(PlanYear,8,1),2)-1)/7)+1,MOD(1+WEEKDAY(DATE(PlanYear,8,1),2)-1,7)+1)=AC$5,", "&amp;2,"")&amp;IF(INDEX($I$41:$O$51,2*INT((2+WEEKDAY(DATE(PlanYear,8,1),2)-1)/7)+1,MOD(2+WEEKDAY(DATE(PlanYear,8,1),2)-1,7)+1)=AC$5,", "&amp;3,"")&amp;IF(INDEX($I$41:$O$51,2*INT((3+WEEKDAY(DATE(PlanYear,8,1),2)-1)/7)+1,MOD(3+WEEKDAY(DATE(PlanYear,8,1),2)-1,7)+1)=AC$5,", "&amp;4,"")&amp;IF(INDEX($I$41:$O$51,2*INT((4+WEEKDAY(DATE(PlanYear,8,1),2)-1)/7)+1,MOD(4+WEEKDAY(DATE(PlanYear,8,1),2)-1,7)+1)=AC$5,", "&amp;5,"")&amp;IF(INDEX($I$41:$O$51,2*INT((5+WEEKDAY(DATE(PlanYear,8,1),2)-1)/7)+1,MOD(5+WEEKDAY(DATE(PlanYear,8,1),2)-1,7)+1)=AC$5,", "&amp;6,"")&amp;IF(INDEX($I$41:$O$51,2*INT((6+WEEKDAY(DATE(PlanYear,8,1),2)-1)/7)+1,MOD(6+WEEKDAY(DATE(PlanYear,8,1),2)-1,7)+1)=AC$5,", "&amp;7,"")&amp;IF(INDEX($I$41:$O$51,2*INT((7+WEEKDAY(DATE(PlanYear,8,1),2)-1)/7)+1,MOD(7+WEEKDAY(DATE(PlanYear,8,1),2)-1,7)+1)=AC$5,", "&amp;8,"")&amp;IF(INDEX($I$41:$O$51,2*INT((8+WEEKDAY(DATE(PlanYear,8,1),2)-1)/7)+1,MOD(8+WEEKDAY(DATE(PlanYear,8,1),2)-1,7)+1)=AC$5,", "&amp;9,"")&amp;IF(INDEX($I$41:$O$51,2*INT((9+WEEKDAY(DATE(PlanYear,8,1),2)-1)/7)+1,MOD(9+WEEKDAY(DATE(PlanYear,8,1),2)-1,7)+1)=AC$5,", "&amp;10,"")&amp;IF(INDEX($I$41:$O$51,2*INT((10+WEEKDAY(DATE(PlanYear,8,1),2)-1)/7)+1,MOD(10+WEEKDAY(DATE(PlanYear,8,1),2)-1,7)+1)=AC$5,", "&amp;11,"")&amp;IF(INDEX($I$41:$O$51,2*INT((11+WEEKDAY(DATE(PlanYear,8,1),2)-1)/7)+1,MOD(11+WEEKDAY(DATE(PlanYear,8,1),2)-1,7)+1)=AC$5,", "&amp;12,"")&amp;IF(INDEX($I$41:$O$51,2*INT((12+WEEKDAY(DATE(PlanYear,8,1),2)-1)/7)+1,MOD(12+WEEKDAY(DATE(PlanYear,8,1),2)-1,7)+1)=AC$5,", "&amp;13,"")&amp;IF(INDEX($I$41:$O$51,2*INT((13+WEEKDAY(DATE(PlanYear,8,1),2)-1)/7)+1,MOD(13+WEEKDAY(DATE(PlanYear,8,1),2)-1,7)+1)=AC$5,", "&amp;14,"")&amp;IF(INDEX($I$41:$O$51,2*INT((14+WEEKDAY(DATE(PlanYear,8,1),2)-1)/7)+1,MOD(14+WEEKDAY(DATE(PlanYear,8,1),2)-1,7)+1)=AC$5,", "&amp;15,"")&amp;IF(INDEX($I$41:$O$51,2*INT((15+WEEKDAY(DATE(PlanYear,8,1),2)-1)/7)+1,MOD(15+WEEKDAY(DATE(PlanYear,8,1),2)-1,7)+1)=AC$5,", "&amp;16,"")&amp;IF(INDEX($I$41:$O$51,2*INT((16+WEEKDAY(DATE(PlanYear,8,1),2)-1)/7)+1,MOD(16+WEEKDAY(DATE(PlanYear,8,1),2)-1,7)+1)=AC$5,", "&amp;17,"")&amp;IF(INDEX($I$41:$O$51,2*INT((17+WEEKDAY(DATE(PlanYear,8,1),2)-1)/7)+1,MOD(17+WEEKDAY(DATE(PlanYear,8,1),2)-1,7)+1)=AC$5,", "&amp;18,"")&amp;IF(INDEX($I$41:$O$51,2*INT((18+WEEKDAY(DATE(PlanYear,8,1),2)-1)/7)+1,MOD(18+WEEKDAY(DATE(PlanYear,8,1),2)-1,7)+1)=AC$5,", "&amp;19,"")&amp;IF(INDEX($I$41:$O$51,2*INT((19+WEEKDAY(DATE(PlanYear,8,1),2)-1)/7)+1,MOD(19+WEEKDAY(DATE(PlanYear,8,1),2)-1,7)+1)=AC$5,", "&amp;20,"")&amp;IF(INDEX($I$41:$O$51,2*INT((20+WEEKDAY(DATE(PlanYear,8,1),2)-1)/7)+1,MOD(20+WEEKDAY(DATE(PlanYear,8,1),2)-1,7)+1)=AC$5,", "&amp;21,"")&amp;IF(INDEX($I$41:$O$51,2*INT((21+WEEKDAY(DATE(PlanYear,8,1),2)-1)/7)+1,MOD(21+WEEKDAY(DATE(PlanYear,8,1),2)-1,7)+1)=AC$5,", "&amp;22,"")&amp;IF(INDEX($I$41:$O$51,2*INT((22+WEEKDAY(DATE(PlanYear,8,1),2)-1)/7)+1,MOD(22+WEEKDAY(DATE(PlanYear,8,1),2)-1,7)+1)=AC$5,", "&amp;23,"")&amp;IF(INDEX($I$41:$O$51,2*INT((23+WEEKDAY(DATE(PlanYear,8,1),2)-1)/7)+1,MOD(23+WEEKDAY(DATE(PlanYear,8,1),2)-1,7)+1)=AC$5,", "&amp;24,"")&amp;IF(INDEX($I$41:$O$51,2*INT((24+WEEKDAY(DATE(PlanYear,8,1),2)-1)/7)+1,MOD(24+WEEKDAY(DATE(PlanYear,8,1),2)-1,7)+1)=AC$5,", "&amp;25,"")&amp;IF(INDEX($I$41:$O$51,2*INT((25+WEEKDAY(DATE(PlanYear,8,1),2)-1)/7)+1,MOD(25+WEEKDAY(DATE(PlanYear,8,1),2)-1,7)+1)=AC$5,", "&amp;26,"")&amp;IF(INDEX($I$41:$O$51,2*INT((26+WEEKDAY(DATE(PlanYear,8,1),2)-1)/7)+1,MOD(26+WEEKDAY(DATE(PlanYear,8,1),2)-1,7)+1)=AC$5,", "&amp;27,"")&amp;IF(INDEX($I$41:$O$51,2*INT((27+WEEKDAY(DATE(PlanYear,8,1),2)-1)/7)+1,MOD(27+WEEKDAY(DATE(PlanYear,8,1),2)-1,7)+1)=AC$5,", "&amp;28,"")&amp;IF(INDEX($I$41:$O$51,2*INT((28+WEEKDAY(DATE(PlanYear,8,1),2)-1)/7)+1,MOD(28+WEEKDAY(DATE(PlanYear,8,1),2)-1,7)+1)=AC$5,", "&amp;29,"")&amp;IF(INDEX($I$41:$O$51,2*INT((29+WEEKDAY(DATE(PlanYear,8,1),2)-1)/7)+1,MOD(29+WEEKDAY(DATE(PlanYear,8,1),2)-1,7)+1)=AC$5,", "&amp;30,"")&amp;IF(INDEX($I$41:$O$51,2*INT((30+WEEKDAY(DATE(PlanYear,8,1),2)-1)/7)+1,MOD(30+WEEKDAY(DATE(PlanYear,8,1),2)-1,7)+1)=AC$5,", "&amp;31,""),3,200))</f>
        <v/>
      </c>
      <c r="AD13" s="16">
        <f>IF(AD$5="","",MID(IF(INDEX($I$41:$O$51,2*INT((0+WEEKDAY(DATE(PlanYear,8,1),2)-1)/7)+1,MOD(0+WEEKDAY(DATE(PlanYear,8,1),2)-1,7)+1)=AD$5,", "&amp;1,"")&amp;IF(INDEX($I$41:$O$51,2*INT((1+WEEKDAY(DATE(PlanYear,8,1),2)-1)/7)+1,MOD(1+WEEKDAY(DATE(PlanYear,8,1),2)-1,7)+1)=AD$5,", "&amp;2,"")&amp;IF(INDEX($I$41:$O$51,2*INT((2+WEEKDAY(DATE(PlanYear,8,1),2)-1)/7)+1,MOD(2+WEEKDAY(DATE(PlanYear,8,1),2)-1,7)+1)=AD$5,", "&amp;3,"")&amp;IF(INDEX($I$41:$O$51,2*INT((3+WEEKDAY(DATE(PlanYear,8,1),2)-1)/7)+1,MOD(3+WEEKDAY(DATE(PlanYear,8,1),2)-1,7)+1)=AD$5,", "&amp;4,"")&amp;IF(INDEX($I$41:$O$51,2*INT((4+WEEKDAY(DATE(PlanYear,8,1),2)-1)/7)+1,MOD(4+WEEKDAY(DATE(PlanYear,8,1),2)-1,7)+1)=AD$5,", "&amp;5,"")&amp;IF(INDEX($I$41:$O$51,2*INT((5+WEEKDAY(DATE(PlanYear,8,1),2)-1)/7)+1,MOD(5+WEEKDAY(DATE(PlanYear,8,1),2)-1,7)+1)=AD$5,", "&amp;6,"")&amp;IF(INDEX($I$41:$O$51,2*INT((6+WEEKDAY(DATE(PlanYear,8,1),2)-1)/7)+1,MOD(6+WEEKDAY(DATE(PlanYear,8,1),2)-1,7)+1)=AD$5,", "&amp;7,"")&amp;IF(INDEX($I$41:$O$51,2*INT((7+WEEKDAY(DATE(PlanYear,8,1),2)-1)/7)+1,MOD(7+WEEKDAY(DATE(PlanYear,8,1),2)-1,7)+1)=AD$5,", "&amp;8,"")&amp;IF(INDEX($I$41:$O$51,2*INT((8+WEEKDAY(DATE(PlanYear,8,1),2)-1)/7)+1,MOD(8+WEEKDAY(DATE(PlanYear,8,1),2)-1,7)+1)=AD$5,", "&amp;9,"")&amp;IF(INDEX($I$41:$O$51,2*INT((9+WEEKDAY(DATE(PlanYear,8,1),2)-1)/7)+1,MOD(9+WEEKDAY(DATE(PlanYear,8,1),2)-1,7)+1)=AD$5,", "&amp;10,"")&amp;IF(INDEX($I$41:$O$51,2*INT((10+WEEKDAY(DATE(PlanYear,8,1),2)-1)/7)+1,MOD(10+WEEKDAY(DATE(PlanYear,8,1),2)-1,7)+1)=AD$5,", "&amp;11,"")&amp;IF(INDEX($I$41:$O$51,2*INT((11+WEEKDAY(DATE(PlanYear,8,1),2)-1)/7)+1,MOD(11+WEEKDAY(DATE(PlanYear,8,1),2)-1,7)+1)=AD$5,", "&amp;12,"")&amp;IF(INDEX($I$41:$O$51,2*INT((12+WEEKDAY(DATE(PlanYear,8,1),2)-1)/7)+1,MOD(12+WEEKDAY(DATE(PlanYear,8,1),2)-1,7)+1)=AD$5,", "&amp;13,"")&amp;IF(INDEX($I$41:$O$51,2*INT((13+WEEKDAY(DATE(PlanYear,8,1),2)-1)/7)+1,MOD(13+WEEKDAY(DATE(PlanYear,8,1),2)-1,7)+1)=AD$5,", "&amp;14,"")&amp;IF(INDEX($I$41:$O$51,2*INT((14+WEEKDAY(DATE(PlanYear,8,1),2)-1)/7)+1,MOD(14+WEEKDAY(DATE(PlanYear,8,1),2)-1,7)+1)=AD$5,", "&amp;15,"")&amp;IF(INDEX($I$41:$O$51,2*INT((15+WEEKDAY(DATE(PlanYear,8,1),2)-1)/7)+1,MOD(15+WEEKDAY(DATE(PlanYear,8,1),2)-1,7)+1)=AD$5,", "&amp;16,"")&amp;IF(INDEX($I$41:$O$51,2*INT((16+WEEKDAY(DATE(PlanYear,8,1),2)-1)/7)+1,MOD(16+WEEKDAY(DATE(PlanYear,8,1),2)-1,7)+1)=AD$5,", "&amp;17,"")&amp;IF(INDEX($I$41:$O$51,2*INT((17+WEEKDAY(DATE(PlanYear,8,1),2)-1)/7)+1,MOD(17+WEEKDAY(DATE(PlanYear,8,1),2)-1,7)+1)=AD$5,", "&amp;18,"")&amp;IF(INDEX($I$41:$O$51,2*INT((18+WEEKDAY(DATE(PlanYear,8,1),2)-1)/7)+1,MOD(18+WEEKDAY(DATE(PlanYear,8,1),2)-1,7)+1)=AD$5,", "&amp;19,"")&amp;IF(INDEX($I$41:$O$51,2*INT((19+WEEKDAY(DATE(PlanYear,8,1),2)-1)/7)+1,MOD(19+WEEKDAY(DATE(PlanYear,8,1),2)-1,7)+1)=AD$5,", "&amp;20,"")&amp;IF(INDEX($I$41:$O$51,2*INT((20+WEEKDAY(DATE(PlanYear,8,1),2)-1)/7)+1,MOD(20+WEEKDAY(DATE(PlanYear,8,1),2)-1,7)+1)=AD$5,", "&amp;21,"")&amp;IF(INDEX($I$41:$O$51,2*INT((21+WEEKDAY(DATE(PlanYear,8,1),2)-1)/7)+1,MOD(21+WEEKDAY(DATE(PlanYear,8,1),2)-1,7)+1)=AD$5,", "&amp;22,"")&amp;IF(INDEX($I$41:$O$51,2*INT((22+WEEKDAY(DATE(PlanYear,8,1),2)-1)/7)+1,MOD(22+WEEKDAY(DATE(PlanYear,8,1),2)-1,7)+1)=AD$5,", "&amp;23,"")&amp;IF(INDEX($I$41:$O$51,2*INT((23+WEEKDAY(DATE(PlanYear,8,1),2)-1)/7)+1,MOD(23+WEEKDAY(DATE(PlanYear,8,1),2)-1,7)+1)=AD$5,", "&amp;24,"")&amp;IF(INDEX($I$41:$O$51,2*INT((24+WEEKDAY(DATE(PlanYear,8,1),2)-1)/7)+1,MOD(24+WEEKDAY(DATE(PlanYear,8,1),2)-1,7)+1)=AD$5,", "&amp;25,"")&amp;IF(INDEX($I$41:$O$51,2*INT((25+WEEKDAY(DATE(PlanYear,8,1),2)-1)/7)+1,MOD(25+WEEKDAY(DATE(PlanYear,8,1),2)-1,7)+1)=AD$5,", "&amp;26,"")&amp;IF(INDEX($I$41:$O$51,2*INT((26+WEEKDAY(DATE(PlanYear,8,1),2)-1)/7)+1,MOD(26+WEEKDAY(DATE(PlanYear,8,1),2)-1,7)+1)=AD$5,", "&amp;27,"")&amp;IF(INDEX($I$41:$O$51,2*INT((27+WEEKDAY(DATE(PlanYear,8,1),2)-1)/7)+1,MOD(27+WEEKDAY(DATE(PlanYear,8,1),2)-1,7)+1)=AD$5,", "&amp;28,"")&amp;IF(INDEX($I$41:$O$51,2*INT((28+WEEKDAY(DATE(PlanYear,8,1),2)-1)/7)+1,MOD(28+WEEKDAY(DATE(PlanYear,8,1),2)-1,7)+1)=AD$5,", "&amp;29,"")&amp;IF(INDEX($I$41:$O$51,2*INT((29+WEEKDAY(DATE(PlanYear,8,1),2)-1)/7)+1,MOD(29+WEEKDAY(DATE(PlanYear,8,1),2)-1,7)+1)=AD$5,", "&amp;30,"")&amp;IF(INDEX($I$41:$O$51,2*INT((30+WEEKDAY(DATE(PlanYear,8,1),2)-1)/7)+1,MOD(30+WEEKDAY(DATE(PlanYear,8,1),2)-1,7)+1)=AD$5,", "&amp;31,""),3,200))</f>
        <v/>
      </c>
      <c r="AE13" s="16">
        <f>IF(AE$5="","",MID(IF(INDEX($I$41:$O$51,2*INT((0+WEEKDAY(DATE(PlanYear,8,1),2)-1)/7)+1,MOD(0+WEEKDAY(DATE(PlanYear,8,1),2)-1,7)+1)=AE$5,", "&amp;1,"")&amp;IF(INDEX($I$41:$O$51,2*INT((1+WEEKDAY(DATE(PlanYear,8,1),2)-1)/7)+1,MOD(1+WEEKDAY(DATE(PlanYear,8,1),2)-1,7)+1)=AE$5,", "&amp;2,"")&amp;IF(INDEX($I$41:$O$51,2*INT((2+WEEKDAY(DATE(PlanYear,8,1),2)-1)/7)+1,MOD(2+WEEKDAY(DATE(PlanYear,8,1),2)-1,7)+1)=AE$5,", "&amp;3,"")&amp;IF(INDEX($I$41:$O$51,2*INT((3+WEEKDAY(DATE(PlanYear,8,1),2)-1)/7)+1,MOD(3+WEEKDAY(DATE(PlanYear,8,1),2)-1,7)+1)=AE$5,", "&amp;4,"")&amp;IF(INDEX($I$41:$O$51,2*INT((4+WEEKDAY(DATE(PlanYear,8,1),2)-1)/7)+1,MOD(4+WEEKDAY(DATE(PlanYear,8,1),2)-1,7)+1)=AE$5,", "&amp;5,"")&amp;IF(INDEX($I$41:$O$51,2*INT((5+WEEKDAY(DATE(PlanYear,8,1),2)-1)/7)+1,MOD(5+WEEKDAY(DATE(PlanYear,8,1),2)-1,7)+1)=AE$5,", "&amp;6,"")&amp;IF(INDEX($I$41:$O$51,2*INT((6+WEEKDAY(DATE(PlanYear,8,1),2)-1)/7)+1,MOD(6+WEEKDAY(DATE(PlanYear,8,1),2)-1,7)+1)=AE$5,", "&amp;7,"")&amp;IF(INDEX($I$41:$O$51,2*INT((7+WEEKDAY(DATE(PlanYear,8,1),2)-1)/7)+1,MOD(7+WEEKDAY(DATE(PlanYear,8,1),2)-1,7)+1)=AE$5,", "&amp;8,"")&amp;IF(INDEX($I$41:$O$51,2*INT((8+WEEKDAY(DATE(PlanYear,8,1),2)-1)/7)+1,MOD(8+WEEKDAY(DATE(PlanYear,8,1),2)-1,7)+1)=AE$5,", "&amp;9,"")&amp;IF(INDEX($I$41:$O$51,2*INT((9+WEEKDAY(DATE(PlanYear,8,1),2)-1)/7)+1,MOD(9+WEEKDAY(DATE(PlanYear,8,1),2)-1,7)+1)=AE$5,", "&amp;10,"")&amp;IF(INDEX($I$41:$O$51,2*INT((10+WEEKDAY(DATE(PlanYear,8,1),2)-1)/7)+1,MOD(10+WEEKDAY(DATE(PlanYear,8,1),2)-1,7)+1)=AE$5,", "&amp;11,"")&amp;IF(INDEX($I$41:$O$51,2*INT((11+WEEKDAY(DATE(PlanYear,8,1),2)-1)/7)+1,MOD(11+WEEKDAY(DATE(PlanYear,8,1),2)-1,7)+1)=AE$5,", "&amp;12,"")&amp;IF(INDEX($I$41:$O$51,2*INT((12+WEEKDAY(DATE(PlanYear,8,1),2)-1)/7)+1,MOD(12+WEEKDAY(DATE(PlanYear,8,1),2)-1,7)+1)=AE$5,", "&amp;13,"")&amp;IF(INDEX($I$41:$O$51,2*INT((13+WEEKDAY(DATE(PlanYear,8,1),2)-1)/7)+1,MOD(13+WEEKDAY(DATE(PlanYear,8,1),2)-1,7)+1)=AE$5,", "&amp;14,"")&amp;IF(INDEX($I$41:$O$51,2*INT((14+WEEKDAY(DATE(PlanYear,8,1),2)-1)/7)+1,MOD(14+WEEKDAY(DATE(PlanYear,8,1),2)-1,7)+1)=AE$5,", "&amp;15,"")&amp;IF(INDEX($I$41:$O$51,2*INT((15+WEEKDAY(DATE(PlanYear,8,1),2)-1)/7)+1,MOD(15+WEEKDAY(DATE(PlanYear,8,1),2)-1,7)+1)=AE$5,", "&amp;16,"")&amp;IF(INDEX($I$41:$O$51,2*INT((16+WEEKDAY(DATE(PlanYear,8,1),2)-1)/7)+1,MOD(16+WEEKDAY(DATE(PlanYear,8,1),2)-1,7)+1)=AE$5,", "&amp;17,"")&amp;IF(INDEX($I$41:$O$51,2*INT((17+WEEKDAY(DATE(PlanYear,8,1),2)-1)/7)+1,MOD(17+WEEKDAY(DATE(PlanYear,8,1),2)-1,7)+1)=AE$5,", "&amp;18,"")&amp;IF(INDEX($I$41:$O$51,2*INT((18+WEEKDAY(DATE(PlanYear,8,1),2)-1)/7)+1,MOD(18+WEEKDAY(DATE(PlanYear,8,1),2)-1,7)+1)=AE$5,", "&amp;19,"")&amp;IF(INDEX($I$41:$O$51,2*INT((19+WEEKDAY(DATE(PlanYear,8,1),2)-1)/7)+1,MOD(19+WEEKDAY(DATE(PlanYear,8,1),2)-1,7)+1)=AE$5,", "&amp;20,"")&amp;IF(INDEX($I$41:$O$51,2*INT((20+WEEKDAY(DATE(PlanYear,8,1),2)-1)/7)+1,MOD(20+WEEKDAY(DATE(PlanYear,8,1),2)-1,7)+1)=AE$5,", "&amp;21,"")&amp;IF(INDEX($I$41:$O$51,2*INT((21+WEEKDAY(DATE(PlanYear,8,1),2)-1)/7)+1,MOD(21+WEEKDAY(DATE(PlanYear,8,1),2)-1,7)+1)=AE$5,", "&amp;22,"")&amp;IF(INDEX($I$41:$O$51,2*INT((22+WEEKDAY(DATE(PlanYear,8,1),2)-1)/7)+1,MOD(22+WEEKDAY(DATE(PlanYear,8,1),2)-1,7)+1)=AE$5,", "&amp;23,"")&amp;IF(INDEX($I$41:$O$51,2*INT((23+WEEKDAY(DATE(PlanYear,8,1),2)-1)/7)+1,MOD(23+WEEKDAY(DATE(PlanYear,8,1),2)-1,7)+1)=AE$5,", "&amp;24,"")&amp;IF(INDEX($I$41:$O$51,2*INT((24+WEEKDAY(DATE(PlanYear,8,1),2)-1)/7)+1,MOD(24+WEEKDAY(DATE(PlanYear,8,1),2)-1,7)+1)=AE$5,", "&amp;25,"")&amp;IF(INDEX($I$41:$O$51,2*INT((25+WEEKDAY(DATE(PlanYear,8,1),2)-1)/7)+1,MOD(25+WEEKDAY(DATE(PlanYear,8,1),2)-1,7)+1)=AE$5,", "&amp;26,"")&amp;IF(INDEX($I$41:$O$51,2*INT((26+WEEKDAY(DATE(PlanYear,8,1),2)-1)/7)+1,MOD(26+WEEKDAY(DATE(PlanYear,8,1),2)-1,7)+1)=AE$5,", "&amp;27,"")&amp;IF(INDEX($I$41:$O$51,2*INT((27+WEEKDAY(DATE(PlanYear,8,1),2)-1)/7)+1,MOD(27+WEEKDAY(DATE(PlanYear,8,1),2)-1,7)+1)=AE$5,", "&amp;28,"")&amp;IF(INDEX($I$41:$O$51,2*INT((28+WEEKDAY(DATE(PlanYear,8,1),2)-1)/7)+1,MOD(28+WEEKDAY(DATE(PlanYear,8,1),2)-1,7)+1)=AE$5,", "&amp;29,"")&amp;IF(INDEX($I$41:$O$51,2*INT((29+WEEKDAY(DATE(PlanYear,8,1),2)-1)/7)+1,MOD(29+WEEKDAY(DATE(PlanYear,8,1),2)-1,7)+1)=AE$5,", "&amp;30,"")&amp;IF(INDEX($I$41:$O$51,2*INT((30+WEEKDAY(DATE(PlanYear,8,1),2)-1)/7)+1,MOD(30+WEEKDAY(DATE(PlanYear,8,1),2)-1,7)+1)=AE$5,", "&amp;31,""),3,200))</f>
        <v/>
      </c>
      <c r="AF13" s="16">
        <f>IF(AF$5="","",MID(IF(INDEX($I$41:$O$51,2*INT((0+WEEKDAY(DATE(PlanYear,8,1),2)-1)/7)+1,MOD(0+WEEKDAY(DATE(PlanYear,8,1),2)-1,7)+1)=AF$5,", "&amp;1,"")&amp;IF(INDEX($I$41:$O$51,2*INT((1+WEEKDAY(DATE(PlanYear,8,1),2)-1)/7)+1,MOD(1+WEEKDAY(DATE(PlanYear,8,1),2)-1,7)+1)=AF$5,", "&amp;2,"")&amp;IF(INDEX($I$41:$O$51,2*INT((2+WEEKDAY(DATE(PlanYear,8,1),2)-1)/7)+1,MOD(2+WEEKDAY(DATE(PlanYear,8,1),2)-1,7)+1)=AF$5,", "&amp;3,"")&amp;IF(INDEX($I$41:$O$51,2*INT((3+WEEKDAY(DATE(PlanYear,8,1),2)-1)/7)+1,MOD(3+WEEKDAY(DATE(PlanYear,8,1),2)-1,7)+1)=AF$5,", "&amp;4,"")&amp;IF(INDEX($I$41:$O$51,2*INT((4+WEEKDAY(DATE(PlanYear,8,1),2)-1)/7)+1,MOD(4+WEEKDAY(DATE(PlanYear,8,1),2)-1,7)+1)=AF$5,", "&amp;5,"")&amp;IF(INDEX($I$41:$O$51,2*INT((5+WEEKDAY(DATE(PlanYear,8,1),2)-1)/7)+1,MOD(5+WEEKDAY(DATE(PlanYear,8,1),2)-1,7)+1)=AF$5,", "&amp;6,"")&amp;IF(INDEX($I$41:$O$51,2*INT((6+WEEKDAY(DATE(PlanYear,8,1),2)-1)/7)+1,MOD(6+WEEKDAY(DATE(PlanYear,8,1),2)-1,7)+1)=AF$5,", "&amp;7,"")&amp;IF(INDEX($I$41:$O$51,2*INT((7+WEEKDAY(DATE(PlanYear,8,1),2)-1)/7)+1,MOD(7+WEEKDAY(DATE(PlanYear,8,1),2)-1,7)+1)=AF$5,", "&amp;8,"")&amp;IF(INDEX($I$41:$O$51,2*INT((8+WEEKDAY(DATE(PlanYear,8,1),2)-1)/7)+1,MOD(8+WEEKDAY(DATE(PlanYear,8,1),2)-1,7)+1)=AF$5,", "&amp;9,"")&amp;IF(INDEX($I$41:$O$51,2*INT((9+WEEKDAY(DATE(PlanYear,8,1),2)-1)/7)+1,MOD(9+WEEKDAY(DATE(PlanYear,8,1),2)-1,7)+1)=AF$5,", "&amp;10,"")&amp;IF(INDEX($I$41:$O$51,2*INT((10+WEEKDAY(DATE(PlanYear,8,1),2)-1)/7)+1,MOD(10+WEEKDAY(DATE(PlanYear,8,1),2)-1,7)+1)=AF$5,", "&amp;11,"")&amp;IF(INDEX($I$41:$O$51,2*INT((11+WEEKDAY(DATE(PlanYear,8,1),2)-1)/7)+1,MOD(11+WEEKDAY(DATE(PlanYear,8,1),2)-1,7)+1)=AF$5,", "&amp;12,"")&amp;IF(INDEX($I$41:$O$51,2*INT((12+WEEKDAY(DATE(PlanYear,8,1),2)-1)/7)+1,MOD(12+WEEKDAY(DATE(PlanYear,8,1),2)-1,7)+1)=AF$5,", "&amp;13,"")&amp;IF(INDEX($I$41:$O$51,2*INT((13+WEEKDAY(DATE(PlanYear,8,1),2)-1)/7)+1,MOD(13+WEEKDAY(DATE(PlanYear,8,1),2)-1,7)+1)=AF$5,", "&amp;14,"")&amp;IF(INDEX($I$41:$O$51,2*INT((14+WEEKDAY(DATE(PlanYear,8,1),2)-1)/7)+1,MOD(14+WEEKDAY(DATE(PlanYear,8,1),2)-1,7)+1)=AF$5,", "&amp;15,"")&amp;IF(INDEX($I$41:$O$51,2*INT((15+WEEKDAY(DATE(PlanYear,8,1),2)-1)/7)+1,MOD(15+WEEKDAY(DATE(PlanYear,8,1),2)-1,7)+1)=AF$5,", "&amp;16,"")&amp;IF(INDEX($I$41:$O$51,2*INT((16+WEEKDAY(DATE(PlanYear,8,1),2)-1)/7)+1,MOD(16+WEEKDAY(DATE(PlanYear,8,1),2)-1,7)+1)=AF$5,", "&amp;17,"")&amp;IF(INDEX($I$41:$O$51,2*INT((17+WEEKDAY(DATE(PlanYear,8,1),2)-1)/7)+1,MOD(17+WEEKDAY(DATE(PlanYear,8,1),2)-1,7)+1)=AF$5,", "&amp;18,"")&amp;IF(INDEX($I$41:$O$51,2*INT((18+WEEKDAY(DATE(PlanYear,8,1),2)-1)/7)+1,MOD(18+WEEKDAY(DATE(PlanYear,8,1),2)-1,7)+1)=AF$5,", "&amp;19,"")&amp;IF(INDEX($I$41:$O$51,2*INT((19+WEEKDAY(DATE(PlanYear,8,1),2)-1)/7)+1,MOD(19+WEEKDAY(DATE(PlanYear,8,1),2)-1,7)+1)=AF$5,", "&amp;20,"")&amp;IF(INDEX($I$41:$O$51,2*INT((20+WEEKDAY(DATE(PlanYear,8,1),2)-1)/7)+1,MOD(20+WEEKDAY(DATE(PlanYear,8,1),2)-1,7)+1)=AF$5,", "&amp;21,"")&amp;IF(INDEX($I$41:$O$51,2*INT((21+WEEKDAY(DATE(PlanYear,8,1),2)-1)/7)+1,MOD(21+WEEKDAY(DATE(PlanYear,8,1),2)-1,7)+1)=AF$5,", "&amp;22,"")&amp;IF(INDEX($I$41:$O$51,2*INT((22+WEEKDAY(DATE(PlanYear,8,1),2)-1)/7)+1,MOD(22+WEEKDAY(DATE(PlanYear,8,1),2)-1,7)+1)=AF$5,", "&amp;23,"")&amp;IF(INDEX($I$41:$O$51,2*INT((23+WEEKDAY(DATE(PlanYear,8,1),2)-1)/7)+1,MOD(23+WEEKDAY(DATE(PlanYear,8,1),2)-1,7)+1)=AF$5,", "&amp;24,"")&amp;IF(INDEX($I$41:$O$51,2*INT((24+WEEKDAY(DATE(PlanYear,8,1),2)-1)/7)+1,MOD(24+WEEKDAY(DATE(PlanYear,8,1),2)-1,7)+1)=AF$5,", "&amp;25,"")&amp;IF(INDEX($I$41:$O$51,2*INT((25+WEEKDAY(DATE(PlanYear,8,1),2)-1)/7)+1,MOD(25+WEEKDAY(DATE(PlanYear,8,1),2)-1,7)+1)=AF$5,", "&amp;26,"")&amp;IF(INDEX($I$41:$O$51,2*INT((26+WEEKDAY(DATE(PlanYear,8,1),2)-1)/7)+1,MOD(26+WEEKDAY(DATE(PlanYear,8,1),2)-1,7)+1)=AF$5,", "&amp;27,"")&amp;IF(INDEX($I$41:$O$51,2*INT((27+WEEKDAY(DATE(PlanYear,8,1),2)-1)/7)+1,MOD(27+WEEKDAY(DATE(PlanYear,8,1),2)-1,7)+1)=AF$5,", "&amp;28,"")&amp;IF(INDEX($I$41:$O$51,2*INT((28+WEEKDAY(DATE(PlanYear,8,1),2)-1)/7)+1,MOD(28+WEEKDAY(DATE(PlanYear,8,1),2)-1,7)+1)=AF$5,", "&amp;29,"")&amp;IF(INDEX($I$41:$O$51,2*INT((29+WEEKDAY(DATE(PlanYear,8,1),2)-1)/7)+1,MOD(29+WEEKDAY(DATE(PlanYear,8,1),2)-1,7)+1)=AF$5,", "&amp;30,"")&amp;IF(INDEX($I$41:$O$51,2*INT((30+WEEKDAY(DATE(PlanYear,8,1),2)-1)/7)+1,MOD(30+WEEKDAY(DATE(PlanYear,8,1),2)-1,7)+1)=AF$5,", "&amp;31,""),3,200))</f>
        <v/>
      </c>
      <c r="AG13" s="16">
        <f>IF(AG$5="","",MID(IF(INDEX($I$41:$O$51,2*INT((0+WEEKDAY(DATE(PlanYear,8,1),2)-1)/7)+1,MOD(0+WEEKDAY(DATE(PlanYear,8,1),2)-1,7)+1)=AG$5,", "&amp;1,"")&amp;IF(INDEX($I$41:$O$51,2*INT((1+WEEKDAY(DATE(PlanYear,8,1),2)-1)/7)+1,MOD(1+WEEKDAY(DATE(PlanYear,8,1),2)-1,7)+1)=AG$5,", "&amp;2,"")&amp;IF(INDEX($I$41:$O$51,2*INT((2+WEEKDAY(DATE(PlanYear,8,1),2)-1)/7)+1,MOD(2+WEEKDAY(DATE(PlanYear,8,1),2)-1,7)+1)=AG$5,", "&amp;3,"")&amp;IF(INDEX($I$41:$O$51,2*INT((3+WEEKDAY(DATE(PlanYear,8,1),2)-1)/7)+1,MOD(3+WEEKDAY(DATE(PlanYear,8,1),2)-1,7)+1)=AG$5,", "&amp;4,"")&amp;IF(INDEX($I$41:$O$51,2*INT((4+WEEKDAY(DATE(PlanYear,8,1),2)-1)/7)+1,MOD(4+WEEKDAY(DATE(PlanYear,8,1),2)-1,7)+1)=AG$5,", "&amp;5,"")&amp;IF(INDEX($I$41:$O$51,2*INT((5+WEEKDAY(DATE(PlanYear,8,1),2)-1)/7)+1,MOD(5+WEEKDAY(DATE(PlanYear,8,1),2)-1,7)+1)=AG$5,", "&amp;6,"")&amp;IF(INDEX($I$41:$O$51,2*INT((6+WEEKDAY(DATE(PlanYear,8,1),2)-1)/7)+1,MOD(6+WEEKDAY(DATE(PlanYear,8,1),2)-1,7)+1)=AG$5,", "&amp;7,"")&amp;IF(INDEX($I$41:$O$51,2*INT((7+WEEKDAY(DATE(PlanYear,8,1),2)-1)/7)+1,MOD(7+WEEKDAY(DATE(PlanYear,8,1),2)-1,7)+1)=AG$5,", "&amp;8,"")&amp;IF(INDEX($I$41:$O$51,2*INT((8+WEEKDAY(DATE(PlanYear,8,1),2)-1)/7)+1,MOD(8+WEEKDAY(DATE(PlanYear,8,1),2)-1,7)+1)=AG$5,", "&amp;9,"")&amp;IF(INDEX($I$41:$O$51,2*INT((9+WEEKDAY(DATE(PlanYear,8,1),2)-1)/7)+1,MOD(9+WEEKDAY(DATE(PlanYear,8,1),2)-1,7)+1)=AG$5,", "&amp;10,"")&amp;IF(INDEX($I$41:$O$51,2*INT((10+WEEKDAY(DATE(PlanYear,8,1),2)-1)/7)+1,MOD(10+WEEKDAY(DATE(PlanYear,8,1),2)-1,7)+1)=AG$5,", "&amp;11,"")&amp;IF(INDEX($I$41:$O$51,2*INT((11+WEEKDAY(DATE(PlanYear,8,1),2)-1)/7)+1,MOD(11+WEEKDAY(DATE(PlanYear,8,1),2)-1,7)+1)=AG$5,", "&amp;12,"")&amp;IF(INDEX($I$41:$O$51,2*INT((12+WEEKDAY(DATE(PlanYear,8,1),2)-1)/7)+1,MOD(12+WEEKDAY(DATE(PlanYear,8,1),2)-1,7)+1)=AG$5,", "&amp;13,"")&amp;IF(INDEX($I$41:$O$51,2*INT((13+WEEKDAY(DATE(PlanYear,8,1),2)-1)/7)+1,MOD(13+WEEKDAY(DATE(PlanYear,8,1),2)-1,7)+1)=AG$5,", "&amp;14,"")&amp;IF(INDEX($I$41:$O$51,2*INT((14+WEEKDAY(DATE(PlanYear,8,1),2)-1)/7)+1,MOD(14+WEEKDAY(DATE(PlanYear,8,1),2)-1,7)+1)=AG$5,", "&amp;15,"")&amp;IF(INDEX($I$41:$O$51,2*INT((15+WEEKDAY(DATE(PlanYear,8,1),2)-1)/7)+1,MOD(15+WEEKDAY(DATE(PlanYear,8,1),2)-1,7)+1)=AG$5,", "&amp;16,"")&amp;IF(INDEX($I$41:$O$51,2*INT((16+WEEKDAY(DATE(PlanYear,8,1),2)-1)/7)+1,MOD(16+WEEKDAY(DATE(PlanYear,8,1),2)-1,7)+1)=AG$5,", "&amp;17,"")&amp;IF(INDEX($I$41:$O$51,2*INT((17+WEEKDAY(DATE(PlanYear,8,1),2)-1)/7)+1,MOD(17+WEEKDAY(DATE(PlanYear,8,1),2)-1,7)+1)=AG$5,", "&amp;18,"")&amp;IF(INDEX($I$41:$O$51,2*INT((18+WEEKDAY(DATE(PlanYear,8,1),2)-1)/7)+1,MOD(18+WEEKDAY(DATE(PlanYear,8,1),2)-1,7)+1)=AG$5,", "&amp;19,"")&amp;IF(INDEX($I$41:$O$51,2*INT((19+WEEKDAY(DATE(PlanYear,8,1),2)-1)/7)+1,MOD(19+WEEKDAY(DATE(PlanYear,8,1),2)-1,7)+1)=AG$5,", "&amp;20,"")&amp;IF(INDEX($I$41:$O$51,2*INT((20+WEEKDAY(DATE(PlanYear,8,1),2)-1)/7)+1,MOD(20+WEEKDAY(DATE(PlanYear,8,1),2)-1,7)+1)=AG$5,", "&amp;21,"")&amp;IF(INDEX($I$41:$O$51,2*INT((21+WEEKDAY(DATE(PlanYear,8,1),2)-1)/7)+1,MOD(21+WEEKDAY(DATE(PlanYear,8,1),2)-1,7)+1)=AG$5,", "&amp;22,"")&amp;IF(INDEX($I$41:$O$51,2*INT((22+WEEKDAY(DATE(PlanYear,8,1),2)-1)/7)+1,MOD(22+WEEKDAY(DATE(PlanYear,8,1),2)-1,7)+1)=AG$5,", "&amp;23,"")&amp;IF(INDEX($I$41:$O$51,2*INT((23+WEEKDAY(DATE(PlanYear,8,1),2)-1)/7)+1,MOD(23+WEEKDAY(DATE(PlanYear,8,1),2)-1,7)+1)=AG$5,", "&amp;24,"")&amp;IF(INDEX($I$41:$O$51,2*INT((24+WEEKDAY(DATE(PlanYear,8,1),2)-1)/7)+1,MOD(24+WEEKDAY(DATE(PlanYear,8,1),2)-1,7)+1)=AG$5,", "&amp;25,"")&amp;IF(INDEX($I$41:$O$51,2*INT((25+WEEKDAY(DATE(PlanYear,8,1),2)-1)/7)+1,MOD(25+WEEKDAY(DATE(PlanYear,8,1),2)-1,7)+1)=AG$5,", "&amp;26,"")&amp;IF(INDEX($I$41:$O$51,2*INT((26+WEEKDAY(DATE(PlanYear,8,1),2)-1)/7)+1,MOD(26+WEEKDAY(DATE(PlanYear,8,1),2)-1,7)+1)=AG$5,", "&amp;27,"")&amp;IF(INDEX($I$41:$O$51,2*INT((27+WEEKDAY(DATE(PlanYear,8,1),2)-1)/7)+1,MOD(27+WEEKDAY(DATE(PlanYear,8,1),2)-1,7)+1)=AG$5,", "&amp;28,"")&amp;IF(INDEX($I$41:$O$51,2*INT((28+WEEKDAY(DATE(PlanYear,8,1),2)-1)/7)+1,MOD(28+WEEKDAY(DATE(PlanYear,8,1),2)-1,7)+1)=AG$5,", "&amp;29,"")&amp;IF(INDEX($I$41:$O$51,2*INT((29+WEEKDAY(DATE(PlanYear,8,1),2)-1)/7)+1,MOD(29+WEEKDAY(DATE(PlanYear,8,1),2)-1,7)+1)=AG$5,", "&amp;30,"")&amp;IF(INDEX($I$41:$O$51,2*INT((30+WEEKDAY(DATE(PlanYear,8,1),2)-1)/7)+1,MOD(30+WEEKDAY(DATE(PlanYear,8,1),2)-1,7)+1)=AG$5,", "&amp;31,""),3,200))</f>
        <v/>
      </c>
      <c r="AH13" s="16">
        <f>IF(AH$5="","",MID(IF(INDEX($I$41:$O$51,2*INT((0+WEEKDAY(DATE(PlanYear,8,1),2)-1)/7)+1,MOD(0+WEEKDAY(DATE(PlanYear,8,1),2)-1,7)+1)=AH$5,", "&amp;1,"")&amp;IF(INDEX($I$41:$O$51,2*INT((1+WEEKDAY(DATE(PlanYear,8,1),2)-1)/7)+1,MOD(1+WEEKDAY(DATE(PlanYear,8,1),2)-1,7)+1)=AH$5,", "&amp;2,"")&amp;IF(INDEX($I$41:$O$51,2*INT((2+WEEKDAY(DATE(PlanYear,8,1),2)-1)/7)+1,MOD(2+WEEKDAY(DATE(PlanYear,8,1),2)-1,7)+1)=AH$5,", "&amp;3,"")&amp;IF(INDEX($I$41:$O$51,2*INT((3+WEEKDAY(DATE(PlanYear,8,1),2)-1)/7)+1,MOD(3+WEEKDAY(DATE(PlanYear,8,1),2)-1,7)+1)=AH$5,", "&amp;4,"")&amp;IF(INDEX($I$41:$O$51,2*INT((4+WEEKDAY(DATE(PlanYear,8,1),2)-1)/7)+1,MOD(4+WEEKDAY(DATE(PlanYear,8,1),2)-1,7)+1)=AH$5,", "&amp;5,"")&amp;IF(INDEX($I$41:$O$51,2*INT((5+WEEKDAY(DATE(PlanYear,8,1),2)-1)/7)+1,MOD(5+WEEKDAY(DATE(PlanYear,8,1),2)-1,7)+1)=AH$5,", "&amp;6,"")&amp;IF(INDEX($I$41:$O$51,2*INT((6+WEEKDAY(DATE(PlanYear,8,1),2)-1)/7)+1,MOD(6+WEEKDAY(DATE(PlanYear,8,1),2)-1,7)+1)=AH$5,", "&amp;7,"")&amp;IF(INDEX($I$41:$O$51,2*INT((7+WEEKDAY(DATE(PlanYear,8,1),2)-1)/7)+1,MOD(7+WEEKDAY(DATE(PlanYear,8,1),2)-1,7)+1)=AH$5,", "&amp;8,"")&amp;IF(INDEX($I$41:$O$51,2*INT((8+WEEKDAY(DATE(PlanYear,8,1),2)-1)/7)+1,MOD(8+WEEKDAY(DATE(PlanYear,8,1),2)-1,7)+1)=AH$5,", "&amp;9,"")&amp;IF(INDEX($I$41:$O$51,2*INT((9+WEEKDAY(DATE(PlanYear,8,1),2)-1)/7)+1,MOD(9+WEEKDAY(DATE(PlanYear,8,1),2)-1,7)+1)=AH$5,", "&amp;10,"")&amp;IF(INDEX($I$41:$O$51,2*INT((10+WEEKDAY(DATE(PlanYear,8,1),2)-1)/7)+1,MOD(10+WEEKDAY(DATE(PlanYear,8,1),2)-1,7)+1)=AH$5,", "&amp;11,"")&amp;IF(INDEX($I$41:$O$51,2*INT((11+WEEKDAY(DATE(PlanYear,8,1),2)-1)/7)+1,MOD(11+WEEKDAY(DATE(PlanYear,8,1),2)-1,7)+1)=AH$5,", "&amp;12,"")&amp;IF(INDEX($I$41:$O$51,2*INT((12+WEEKDAY(DATE(PlanYear,8,1),2)-1)/7)+1,MOD(12+WEEKDAY(DATE(PlanYear,8,1),2)-1,7)+1)=AH$5,", "&amp;13,"")&amp;IF(INDEX($I$41:$O$51,2*INT((13+WEEKDAY(DATE(PlanYear,8,1),2)-1)/7)+1,MOD(13+WEEKDAY(DATE(PlanYear,8,1),2)-1,7)+1)=AH$5,", "&amp;14,"")&amp;IF(INDEX($I$41:$O$51,2*INT((14+WEEKDAY(DATE(PlanYear,8,1),2)-1)/7)+1,MOD(14+WEEKDAY(DATE(PlanYear,8,1),2)-1,7)+1)=AH$5,", "&amp;15,"")&amp;IF(INDEX($I$41:$O$51,2*INT((15+WEEKDAY(DATE(PlanYear,8,1),2)-1)/7)+1,MOD(15+WEEKDAY(DATE(PlanYear,8,1),2)-1,7)+1)=AH$5,", "&amp;16,"")&amp;IF(INDEX($I$41:$O$51,2*INT((16+WEEKDAY(DATE(PlanYear,8,1),2)-1)/7)+1,MOD(16+WEEKDAY(DATE(PlanYear,8,1),2)-1,7)+1)=AH$5,", "&amp;17,"")&amp;IF(INDEX($I$41:$O$51,2*INT((17+WEEKDAY(DATE(PlanYear,8,1),2)-1)/7)+1,MOD(17+WEEKDAY(DATE(PlanYear,8,1),2)-1,7)+1)=AH$5,", "&amp;18,"")&amp;IF(INDEX($I$41:$O$51,2*INT((18+WEEKDAY(DATE(PlanYear,8,1),2)-1)/7)+1,MOD(18+WEEKDAY(DATE(PlanYear,8,1),2)-1,7)+1)=AH$5,", "&amp;19,"")&amp;IF(INDEX($I$41:$O$51,2*INT((19+WEEKDAY(DATE(PlanYear,8,1),2)-1)/7)+1,MOD(19+WEEKDAY(DATE(PlanYear,8,1),2)-1,7)+1)=AH$5,", "&amp;20,"")&amp;IF(INDEX($I$41:$O$51,2*INT((20+WEEKDAY(DATE(PlanYear,8,1),2)-1)/7)+1,MOD(20+WEEKDAY(DATE(PlanYear,8,1),2)-1,7)+1)=AH$5,", "&amp;21,"")&amp;IF(INDEX($I$41:$O$51,2*INT((21+WEEKDAY(DATE(PlanYear,8,1),2)-1)/7)+1,MOD(21+WEEKDAY(DATE(PlanYear,8,1),2)-1,7)+1)=AH$5,", "&amp;22,"")&amp;IF(INDEX($I$41:$O$51,2*INT((22+WEEKDAY(DATE(PlanYear,8,1),2)-1)/7)+1,MOD(22+WEEKDAY(DATE(PlanYear,8,1),2)-1,7)+1)=AH$5,", "&amp;23,"")&amp;IF(INDEX($I$41:$O$51,2*INT((23+WEEKDAY(DATE(PlanYear,8,1),2)-1)/7)+1,MOD(23+WEEKDAY(DATE(PlanYear,8,1),2)-1,7)+1)=AH$5,", "&amp;24,"")&amp;IF(INDEX($I$41:$O$51,2*INT((24+WEEKDAY(DATE(PlanYear,8,1),2)-1)/7)+1,MOD(24+WEEKDAY(DATE(PlanYear,8,1),2)-1,7)+1)=AH$5,", "&amp;25,"")&amp;IF(INDEX($I$41:$O$51,2*INT((25+WEEKDAY(DATE(PlanYear,8,1),2)-1)/7)+1,MOD(25+WEEKDAY(DATE(PlanYear,8,1),2)-1,7)+1)=AH$5,", "&amp;26,"")&amp;IF(INDEX($I$41:$O$51,2*INT((26+WEEKDAY(DATE(PlanYear,8,1),2)-1)/7)+1,MOD(26+WEEKDAY(DATE(PlanYear,8,1),2)-1,7)+1)=AH$5,", "&amp;27,"")&amp;IF(INDEX($I$41:$O$51,2*INT((27+WEEKDAY(DATE(PlanYear,8,1),2)-1)/7)+1,MOD(27+WEEKDAY(DATE(PlanYear,8,1),2)-1,7)+1)=AH$5,", "&amp;28,"")&amp;IF(INDEX($I$41:$O$51,2*INT((28+WEEKDAY(DATE(PlanYear,8,1),2)-1)/7)+1,MOD(28+WEEKDAY(DATE(PlanYear,8,1),2)-1,7)+1)=AH$5,", "&amp;29,"")&amp;IF(INDEX($I$41:$O$51,2*INT((29+WEEKDAY(DATE(PlanYear,8,1),2)-1)/7)+1,MOD(29+WEEKDAY(DATE(PlanYear,8,1),2)-1,7)+1)=AH$5,", "&amp;30,"")&amp;IF(INDEX($I$41:$O$51,2*INT((30+WEEKDAY(DATE(PlanYear,8,1),2)-1)/7)+1,MOD(30+WEEKDAY(DATE(PlanYear,8,1),2)-1,7)+1)=AH$5,", "&amp;31,""),3,200))</f>
        <v/>
      </c>
      <c r="AI13" s="16">
        <f>IF(AI$5="","",MID(IF(INDEX($I$41:$O$51,2*INT((0+WEEKDAY(DATE(PlanYear,8,1),2)-1)/7)+1,MOD(0+WEEKDAY(DATE(PlanYear,8,1),2)-1,7)+1)=AI$5,", "&amp;1,"")&amp;IF(INDEX($I$41:$O$51,2*INT((1+WEEKDAY(DATE(PlanYear,8,1),2)-1)/7)+1,MOD(1+WEEKDAY(DATE(PlanYear,8,1),2)-1,7)+1)=AI$5,", "&amp;2,"")&amp;IF(INDEX($I$41:$O$51,2*INT((2+WEEKDAY(DATE(PlanYear,8,1),2)-1)/7)+1,MOD(2+WEEKDAY(DATE(PlanYear,8,1),2)-1,7)+1)=AI$5,", "&amp;3,"")&amp;IF(INDEX($I$41:$O$51,2*INT((3+WEEKDAY(DATE(PlanYear,8,1),2)-1)/7)+1,MOD(3+WEEKDAY(DATE(PlanYear,8,1),2)-1,7)+1)=AI$5,", "&amp;4,"")&amp;IF(INDEX($I$41:$O$51,2*INT((4+WEEKDAY(DATE(PlanYear,8,1),2)-1)/7)+1,MOD(4+WEEKDAY(DATE(PlanYear,8,1),2)-1,7)+1)=AI$5,", "&amp;5,"")&amp;IF(INDEX($I$41:$O$51,2*INT((5+WEEKDAY(DATE(PlanYear,8,1),2)-1)/7)+1,MOD(5+WEEKDAY(DATE(PlanYear,8,1),2)-1,7)+1)=AI$5,", "&amp;6,"")&amp;IF(INDEX($I$41:$O$51,2*INT((6+WEEKDAY(DATE(PlanYear,8,1),2)-1)/7)+1,MOD(6+WEEKDAY(DATE(PlanYear,8,1),2)-1,7)+1)=AI$5,", "&amp;7,"")&amp;IF(INDEX($I$41:$O$51,2*INT((7+WEEKDAY(DATE(PlanYear,8,1),2)-1)/7)+1,MOD(7+WEEKDAY(DATE(PlanYear,8,1),2)-1,7)+1)=AI$5,", "&amp;8,"")&amp;IF(INDEX($I$41:$O$51,2*INT((8+WEEKDAY(DATE(PlanYear,8,1),2)-1)/7)+1,MOD(8+WEEKDAY(DATE(PlanYear,8,1),2)-1,7)+1)=AI$5,", "&amp;9,"")&amp;IF(INDEX($I$41:$O$51,2*INT((9+WEEKDAY(DATE(PlanYear,8,1),2)-1)/7)+1,MOD(9+WEEKDAY(DATE(PlanYear,8,1),2)-1,7)+1)=AI$5,", "&amp;10,"")&amp;IF(INDEX($I$41:$O$51,2*INT((10+WEEKDAY(DATE(PlanYear,8,1),2)-1)/7)+1,MOD(10+WEEKDAY(DATE(PlanYear,8,1),2)-1,7)+1)=AI$5,", "&amp;11,"")&amp;IF(INDEX($I$41:$O$51,2*INT((11+WEEKDAY(DATE(PlanYear,8,1),2)-1)/7)+1,MOD(11+WEEKDAY(DATE(PlanYear,8,1),2)-1,7)+1)=AI$5,", "&amp;12,"")&amp;IF(INDEX($I$41:$O$51,2*INT((12+WEEKDAY(DATE(PlanYear,8,1),2)-1)/7)+1,MOD(12+WEEKDAY(DATE(PlanYear,8,1),2)-1,7)+1)=AI$5,", "&amp;13,"")&amp;IF(INDEX($I$41:$O$51,2*INT((13+WEEKDAY(DATE(PlanYear,8,1),2)-1)/7)+1,MOD(13+WEEKDAY(DATE(PlanYear,8,1),2)-1,7)+1)=AI$5,", "&amp;14,"")&amp;IF(INDEX($I$41:$O$51,2*INT((14+WEEKDAY(DATE(PlanYear,8,1),2)-1)/7)+1,MOD(14+WEEKDAY(DATE(PlanYear,8,1),2)-1,7)+1)=AI$5,", "&amp;15,"")&amp;IF(INDEX($I$41:$O$51,2*INT((15+WEEKDAY(DATE(PlanYear,8,1),2)-1)/7)+1,MOD(15+WEEKDAY(DATE(PlanYear,8,1),2)-1,7)+1)=AI$5,", "&amp;16,"")&amp;IF(INDEX($I$41:$O$51,2*INT((16+WEEKDAY(DATE(PlanYear,8,1),2)-1)/7)+1,MOD(16+WEEKDAY(DATE(PlanYear,8,1),2)-1,7)+1)=AI$5,", "&amp;17,"")&amp;IF(INDEX($I$41:$O$51,2*INT((17+WEEKDAY(DATE(PlanYear,8,1),2)-1)/7)+1,MOD(17+WEEKDAY(DATE(PlanYear,8,1),2)-1,7)+1)=AI$5,", "&amp;18,"")&amp;IF(INDEX($I$41:$O$51,2*INT((18+WEEKDAY(DATE(PlanYear,8,1),2)-1)/7)+1,MOD(18+WEEKDAY(DATE(PlanYear,8,1),2)-1,7)+1)=AI$5,", "&amp;19,"")&amp;IF(INDEX($I$41:$O$51,2*INT((19+WEEKDAY(DATE(PlanYear,8,1),2)-1)/7)+1,MOD(19+WEEKDAY(DATE(PlanYear,8,1),2)-1,7)+1)=AI$5,", "&amp;20,"")&amp;IF(INDEX($I$41:$O$51,2*INT((20+WEEKDAY(DATE(PlanYear,8,1),2)-1)/7)+1,MOD(20+WEEKDAY(DATE(PlanYear,8,1),2)-1,7)+1)=AI$5,", "&amp;21,"")&amp;IF(INDEX($I$41:$O$51,2*INT((21+WEEKDAY(DATE(PlanYear,8,1),2)-1)/7)+1,MOD(21+WEEKDAY(DATE(PlanYear,8,1),2)-1,7)+1)=AI$5,", "&amp;22,"")&amp;IF(INDEX($I$41:$O$51,2*INT((22+WEEKDAY(DATE(PlanYear,8,1),2)-1)/7)+1,MOD(22+WEEKDAY(DATE(PlanYear,8,1),2)-1,7)+1)=AI$5,", "&amp;23,"")&amp;IF(INDEX($I$41:$O$51,2*INT((23+WEEKDAY(DATE(PlanYear,8,1),2)-1)/7)+1,MOD(23+WEEKDAY(DATE(PlanYear,8,1),2)-1,7)+1)=AI$5,", "&amp;24,"")&amp;IF(INDEX($I$41:$O$51,2*INT((24+WEEKDAY(DATE(PlanYear,8,1),2)-1)/7)+1,MOD(24+WEEKDAY(DATE(PlanYear,8,1),2)-1,7)+1)=AI$5,", "&amp;25,"")&amp;IF(INDEX($I$41:$O$51,2*INT((25+WEEKDAY(DATE(PlanYear,8,1),2)-1)/7)+1,MOD(25+WEEKDAY(DATE(PlanYear,8,1),2)-1,7)+1)=AI$5,", "&amp;26,"")&amp;IF(INDEX($I$41:$O$51,2*INT((26+WEEKDAY(DATE(PlanYear,8,1),2)-1)/7)+1,MOD(26+WEEKDAY(DATE(PlanYear,8,1),2)-1,7)+1)=AI$5,", "&amp;27,"")&amp;IF(INDEX($I$41:$O$51,2*INT((27+WEEKDAY(DATE(PlanYear,8,1),2)-1)/7)+1,MOD(27+WEEKDAY(DATE(PlanYear,8,1),2)-1,7)+1)=AI$5,", "&amp;28,"")&amp;IF(INDEX($I$41:$O$51,2*INT((28+WEEKDAY(DATE(PlanYear,8,1),2)-1)/7)+1,MOD(28+WEEKDAY(DATE(PlanYear,8,1),2)-1,7)+1)=AI$5,", "&amp;29,"")&amp;IF(INDEX($I$41:$O$51,2*INT((29+WEEKDAY(DATE(PlanYear,8,1),2)-1)/7)+1,MOD(29+WEEKDAY(DATE(PlanYear,8,1),2)-1,7)+1)=AI$5,", "&amp;30,"")&amp;IF(INDEX($I$41:$O$51,2*INT((30+WEEKDAY(DATE(PlanYear,8,1),2)-1)/7)+1,MOD(30+WEEKDAY(DATE(PlanYear,8,1),2)-1,7)+1)=AI$5,", "&amp;31,""),3,200))</f>
        <v/>
      </c>
      <c r="AJ13" s="16">
        <f>IF(AJ$5="","",MID(IF(INDEX($I$41:$O$51,2*INT((0+WEEKDAY(DATE(PlanYear,8,1),2)-1)/7)+1,MOD(0+WEEKDAY(DATE(PlanYear,8,1),2)-1,7)+1)=AJ$5,", "&amp;1,"")&amp;IF(INDEX($I$41:$O$51,2*INT((1+WEEKDAY(DATE(PlanYear,8,1),2)-1)/7)+1,MOD(1+WEEKDAY(DATE(PlanYear,8,1),2)-1,7)+1)=AJ$5,", "&amp;2,"")&amp;IF(INDEX($I$41:$O$51,2*INT((2+WEEKDAY(DATE(PlanYear,8,1),2)-1)/7)+1,MOD(2+WEEKDAY(DATE(PlanYear,8,1),2)-1,7)+1)=AJ$5,", "&amp;3,"")&amp;IF(INDEX($I$41:$O$51,2*INT((3+WEEKDAY(DATE(PlanYear,8,1),2)-1)/7)+1,MOD(3+WEEKDAY(DATE(PlanYear,8,1),2)-1,7)+1)=AJ$5,", "&amp;4,"")&amp;IF(INDEX($I$41:$O$51,2*INT((4+WEEKDAY(DATE(PlanYear,8,1),2)-1)/7)+1,MOD(4+WEEKDAY(DATE(PlanYear,8,1),2)-1,7)+1)=AJ$5,", "&amp;5,"")&amp;IF(INDEX($I$41:$O$51,2*INT((5+WEEKDAY(DATE(PlanYear,8,1),2)-1)/7)+1,MOD(5+WEEKDAY(DATE(PlanYear,8,1),2)-1,7)+1)=AJ$5,", "&amp;6,"")&amp;IF(INDEX($I$41:$O$51,2*INT((6+WEEKDAY(DATE(PlanYear,8,1),2)-1)/7)+1,MOD(6+WEEKDAY(DATE(PlanYear,8,1),2)-1,7)+1)=AJ$5,", "&amp;7,"")&amp;IF(INDEX($I$41:$O$51,2*INT((7+WEEKDAY(DATE(PlanYear,8,1),2)-1)/7)+1,MOD(7+WEEKDAY(DATE(PlanYear,8,1),2)-1,7)+1)=AJ$5,", "&amp;8,"")&amp;IF(INDEX($I$41:$O$51,2*INT((8+WEEKDAY(DATE(PlanYear,8,1),2)-1)/7)+1,MOD(8+WEEKDAY(DATE(PlanYear,8,1),2)-1,7)+1)=AJ$5,", "&amp;9,"")&amp;IF(INDEX($I$41:$O$51,2*INT((9+WEEKDAY(DATE(PlanYear,8,1),2)-1)/7)+1,MOD(9+WEEKDAY(DATE(PlanYear,8,1),2)-1,7)+1)=AJ$5,", "&amp;10,"")&amp;IF(INDEX($I$41:$O$51,2*INT((10+WEEKDAY(DATE(PlanYear,8,1),2)-1)/7)+1,MOD(10+WEEKDAY(DATE(PlanYear,8,1),2)-1,7)+1)=AJ$5,", "&amp;11,"")&amp;IF(INDEX($I$41:$O$51,2*INT((11+WEEKDAY(DATE(PlanYear,8,1),2)-1)/7)+1,MOD(11+WEEKDAY(DATE(PlanYear,8,1),2)-1,7)+1)=AJ$5,", "&amp;12,"")&amp;IF(INDEX($I$41:$O$51,2*INT((12+WEEKDAY(DATE(PlanYear,8,1),2)-1)/7)+1,MOD(12+WEEKDAY(DATE(PlanYear,8,1),2)-1,7)+1)=AJ$5,", "&amp;13,"")&amp;IF(INDEX($I$41:$O$51,2*INT((13+WEEKDAY(DATE(PlanYear,8,1),2)-1)/7)+1,MOD(13+WEEKDAY(DATE(PlanYear,8,1),2)-1,7)+1)=AJ$5,", "&amp;14,"")&amp;IF(INDEX($I$41:$O$51,2*INT((14+WEEKDAY(DATE(PlanYear,8,1),2)-1)/7)+1,MOD(14+WEEKDAY(DATE(PlanYear,8,1),2)-1,7)+1)=AJ$5,", "&amp;15,"")&amp;IF(INDEX($I$41:$O$51,2*INT((15+WEEKDAY(DATE(PlanYear,8,1),2)-1)/7)+1,MOD(15+WEEKDAY(DATE(PlanYear,8,1),2)-1,7)+1)=AJ$5,", "&amp;16,"")&amp;IF(INDEX($I$41:$O$51,2*INT((16+WEEKDAY(DATE(PlanYear,8,1),2)-1)/7)+1,MOD(16+WEEKDAY(DATE(PlanYear,8,1),2)-1,7)+1)=AJ$5,", "&amp;17,"")&amp;IF(INDEX($I$41:$O$51,2*INT((17+WEEKDAY(DATE(PlanYear,8,1),2)-1)/7)+1,MOD(17+WEEKDAY(DATE(PlanYear,8,1),2)-1,7)+1)=AJ$5,", "&amp;18,"")&amp;IF(INDEX($I$41:$O$51,2*INT((18+WEEKDAY(DATE(PlanYear,8,1),2)-1)/7)+1,MOD(18+WEEKDAY(DATE(PlanYear,8,1),2)-1,7)+1)=AJ$5,", "&amp;19,"")&amp;IF(INDEX($I$41:$O$51,2*INT((19+WEEKDAY(DATE(PlanYear,8,1),2)-1)/7)+1,MOD(19+WEEKDAY(DATE(PlanYear,8,1),2)-1,7)+1)=AJ$5,", "&amp;20,"")&amp;IF(INDEX($I$41:$O$51,2*INT((20+WEEKDAY(DATE(PlanYear,8,1),2)-1)/7)+1,MOD(20+WEEKDAY(DATE(PlanYear,8,1),2)-1,7)+1)=AJ$5,", "&amp;21,"")&amp;IF(INDEX($I$41:$O$51,2*INT((21+WEEKDAY(DATE(PlanYear,8,1),2)-1)/7)+1,MOD(21+WEEKDAY(DATE(PlanYear,8,1),2)-1,7)+1)=AJ$5,", "&amp;22,"")&amp;IF(INDEX($I$41:$O$51,2*INT((22+WEEKDAY(DATE(PlanYear,8,1),2)-1)/7)+1,MOD(22+WEEKDAY(DATE(PlanYear,8,1),2)-1,7)+1)=AJ$5,", "&amp;23,"")&amp;IF(INDEX($I$41:$O$51,2*INT((23+WEEKDAY(DATE(PlanYear,8,1),2)-1)/7)+1,MOD(23+WEEKDAY(DATE(PlanYear,8,1),2)-1,7)+1)=AJ$5,", "&amp;24,"")&amp;IF(INDEX($I$41:$O$51,2*INT((24+WEEKDAY(DATE(PlanYear,8,1),2)-1)/7)+1,MOD(24+WEEKDAY(DATE(PlanYear,8,1),2)-1,7)+1)=AJ$5,", "&amp;25,"")&amp;IF(INDEX($I$41:$O$51,2*INT((25+WEEKDAY(DATE(PlanYear,8,1),2)-1)/7)+1,MOD(25+WEEKDAY(DATE(PlanYear,8,1),2)-1,7)+1)=AJ$5,", "&amp;26,"")&amp;IF(INDEX($I$41:$O$51,2*INT((26+WEEKDAY(DATE(PlanYear,8,1),2)-1)/7)+1,MOD(26+WEEKDAY(DATE(PlanYear,8,1),2)-1,7)+1)=AJ$5,", "&amp;27,"")&amp;IF(INDEX($I$41:$O$51,2*INT((27+WEEKDAY(DATE(PlanYear,8,1),2)-1)/7)+1,MOD(27+WEEKDAY(DATE(PlanYear,8,1),2)-1,7)+1)=AJ$5,", "&amp;28,"")&amp;IF(INDEX($I$41:$O$51,2*INT((28+WEEKDAY(DATE(PlanYear,8,1),2)-1)/7)+1,MOD(28+WEEKDAY(DATE(PlanYear,8,1),2)-1,7)+1)=AJ$5,", "&amp;29,"")&amp;IF(INDEX($I$41:$O$51,2*INT((29+WEEKDAY(DATE(PlanYear,8,1),2)-1)/7)+1,MOD(29+WEEKDAY(DATE(PlanYear,8,1),2)-1,7)+1)=AJ$5,", "&amp;30,"")&amp;IF(INDEX($I$41:$O$51,2*INT((30+WEEKDAY(DATE(PlanYear,8,1),2)-1)/7)+1,MOD(30+WEEKDAY(DATE(PlanYear,8,1),2)-1,7)+1)=AJ$5,", "&amp;31,""),3,200))</f>
        <v/>
      </c>
      <c r="AK13" s="17">
        <f>DAY(EOMONTH(DATE(PlanYear,8,1),0))-COUNTIF($I$41:$O$51,"?*")</f>
        <v/>
      </c>
    </row>
    <row r="14" ht="26" customHeight="1">
      <c r="A14" s="20">
        <f>IF(AND(22-(WEEKDAY(DATE(PlanYear,1,1),2)-1)&gt;=1,22-(WEEKDAY(DATE(PlanYear,1,1),2)-1)&lt;=DAY(EOMONTH(DATE(PlanYear,1,1),0))),DATE(PlanYear,1,1)+22-WEEKDAY(DATE(PlanYear,1,1),2),"")</f>
        <v/>
      </c>
      <c r="B14" s="20">
        <f>IF(AND(23-(WEEKDAY(DATE(PlanYear,1,1),2)-1)&gt;=1,23-(WEEKDAY(DATE(PlanYear,1,1),2)-1)&lt;=DAY(EOMONTH(DATE(PlanYear,1,1),0))),DATE(PlanYear,1,1)+23-WEEKDAY(DATE(PlanYear,1,1),2),"")</f>
        <v/>
      </c>
      <c r="C14" s="20">
        <f>IF(AND(24-(WEEKDAY(DATE(PlanYear,1,1),2)-1)&gt;=1,24-(WEEKDAY(DATE(PlanYear,1,1),2)-1)&lt;=DAY(EOMONTH(DATE(PlanYear,1,1),0))),DATE(PlanYear,1,1)+24-WEEKDAY(DATE(PlanYear,1,1),2),"")</f>
        <v/>
      </c>
      <c r="D14" s="20">
        <f>IF(AND(25-(WEEKDAY(DATE(PlanYear,1,1),2)-1)&gt;=1,25-(WEEKDAY(DATE(PlanYear,1,1),2)-1)&lt;=DAY(EOMONTH(DATE(PlanYear,1,1),0))),DATE(PlanYear,1,1)+25-WEEKDAY(DATE(PlanYear,1,1),2),"")</f>
        <v/>
      </c>
      <c r="E14" s="20">
        <f>IF(AND(26-(WEEKDAY(DATE(PlanYear,1,1),2)-1)&gt;=1,26-(WEEKDAY(DATE(PlanYear,1,1),2)-1)&lt;=DAY(EOMONTH(DATE(PlanYear,1,1),0))),DATE(PlanYear,1,1)+26-WEEKDAY(DATE(PlanYear,1,1),2),"")</f>
        <v/>
      </c>
      <c r="F14" s="20">
        <f>IF(AND(27-(WEEKDAY(DATE(PlanYear,1,1),2)-1)&gt;=1,27-(WEEKDAY(DATE(PlanYear,1,1),2)-1)&lt;=DAY(EOMONTH(DATE(PlanYear,1,1),0))),DATE(PlanYear,1,1)+27-WEEKDAY(DATE(PlanYear,1,1),2),"")</f>
        <v/>
      </c>
      <c r="G14" s="20">
        <f>IF(AND(28-(WEEKDAY(DATE(PlanYear,1,1),2)-1)&gt;=1,28-(WEEKDAY(DATE(PlanYear,1,1),2)-1)&lt;=DAY(EOMONTH(DATE(PlanYear,1,1),0))),DATE(PlanYear,1,1)+28-WEEKDAY(DATE(PlanYear,1,1),2),"")</f>
        <v/>
      </c>
      <c r="I14" s="20">
        <f>IF(AND(22-(WEEKDAY(DATE(PlanYear,2,1),2)-1)&gt;=1,22-(WEEKDAY(DATE(PlanYear,2,1),2)-1)&lt;=DAY(EOMONTH(DATE(PlanYear,2,1),0))),DATE(PlanYear,2,1)+22-WEEKDAY(DATE(PlanYear,2,1),2),"")</f>
        <v/>
      </c>
      <c r="J14" s="20">
        <f>IF(AND(23-(WEEKDAY(DATE(PlanYear,2,1),2)-1)&gt;=1,23-(WEEKDAY(DATE(PlanYear,2,1),2)-1)&lt;=DAY(EOMONTH(DATE(PlanYear,2,1),0))),DATE(PlanYear,2,1)+23-WEEKDAY(DATE(PlanYear,2,1),2),"")</f>
        <v/>
      </c>
      <c r="K14" s="20">
        <f>IF(AND(24-(WEEKDAY(DATE(PlanYear,2,1),2)-1)&gt;=1,24-(WEEKDAY(DATE(PlanYear,2,1),2)-1)&lt;=DAY(EOMONTH(DATE(PlanYear,2,1),0))),DATE(PlanYear,2,1)+24-WEEKDAY(DATE(PlanYear,2,1),2),"")</f>
        <v/>
      </c>
      <c r="L14" s="20">
        <f>IF(AND(25-(WEEKDAY(DATE(PlanYear,2,1),2)-1)&gt;=1,25-(WEEKDAY(DATE(PlanYear,2,1),2)-1)&lt;=DAY(EOMONTH(DATE(PlanYear,2,1),0))),DATE(PlanYear,2,1)+25-WEEKDAY(DATE(PlanYear,2,1),2),"")</f>
        <v/>
      </c>
      <c r="M14" s="20">
        <f>IF(AND(26-(WEEKDAY(DATE(PlanYear,2,1),2)-1)&gt;=1,26-(WEEKDAY(DATE(PlanYear,2,1),2)-1)&lt;=DAY(EOMONTH(DATE(PlanYear,2,1),0))),DATE(PlanYear,2,1)+26-WEEKDAY(DATE(PlanYear,2,1),2),"")</f>
        <v/>
      </c>
      <c r="N14" s="20">
        <f>IF(AND(27-(WEEKDAY(DATE(PlanYear,2,1),2)-1)&gt;=1,27-(WEEKDAY(DATE(PlanYear,2,1),2)-1)&lt;=DAY(EOMONTH(DATE(PlanYear,2,1),0))),DATE(PlanYear,2,1)+27-WEEKDAY(DATE(PlanYear,2,1),2),"")</f>
        <v/>
      </c>
      <c r="O14" s="20">
        <f>IF(AND(28-(WEEKDAY(DATE(PlanYear,2,1),2)-1)&gt;=1,28-(WEEKDAY(DATE(PlanYear,2,1),2)-1)&lt;=DAY(EOMONTH(DATE(PlanYear,2,1),0))),DATE(PlanYear,2,1)+28-WEEKDAY(DATE(PlanYear,2,1),2),"")</f>
        <v/>
      </c>
      <c r="Q14" s="20">
        <f>IF(AND(22-(WEEKDAY(DATE(PlanYear,3,1),2)-1)&gt;=1,22-(WEEKDAY(DATE(PlanYear,3,1),2)-1)&lt;=DAY(EOMONTH(DATE(PlanYear,3,1),0))),DATE(PlanYear,3,1)+22-WEEKDAY(DATE(PlanYear,3,1),2),"")</f>
        <v/>
      </c>
      <c r="R14" s="20">
        <f>IF(AND(23-(WEEKDAY(DATE(PlanYear,3,1),2)-1)&gt;=1,23-(WEEKDAY(DATE(PlanYear,3,1),2)-1)&lt;=DAY(EOMONTH(DATE(PlanYear,3,1),0))),DATE(PlanYear,3,1)+23-WEEKDAY(DATE(PlanYear,3,1),2),"")</f>
        <v/>
      </c>
      <c r="S14" s="20">
        <f>IF(AND(24-(WEEKDAY(DATE(PlanYear,3,1),2)-1)&gt;=1,24-(WEEKDAY(DATE(PlanYear,3,1),2)-1)&lt;=DAY(EOMONTH(DATE(PlanYear,3,1),0))),DATE(PlanYear,3,1)+24-WEEKDAY(DATE(PlanYear,3,1),2),"")</f>
        <v/>
      </c>
      <c r="T14" s="20">
        <f>IF(AND(25-(WEEKDAY(DATE(PlanYear,3,1),2)-1)&gt;=1,25-(WEEKDAY(DATE(PlanYear,3,1),2)-1)&lt;=DAY(EOMONTH(DATE(PlanYear,3,1),0))),DATE(PlanYear,3,1)+25-WEEKDAY(DATE(PlanYear,3,1),2),"")</f>
        <v/>
      </c>
      <c r="U14" s="20">
        <f>IF(AND(26-(WEEKDAY(DATE(PlanYear,3,1),2)-1)&gt;=1,26-(WEEKDAY(DATE(PlanYear,3,1),2)-1)&lt;=DAY(EOMONTH(DATE(PlanYear,3,1),0))),DATE(PlanYear,3,1)+26-WEEKDAY(DATE(PlanYear,3,1),2),"")</f>
        <v/>
      </c>
      <c r="V14" s="20">
        <f>IF(AND(27-(WEEKDAY(DATE(PlanYear,3,1),2)-1)&gt;=1,27-(WEEKDAY(DATE(PlanYear,3,1),2)-1)&lt;=DAY(EOMONTH(DATE(PlanYear,3,1),0))),DATE(PlanYear,3,1)+27-WEEKDAY(DATE(PlanYear,3,1),2),"")</f>
        <v/>
      </c>
      <c r="W14" s="20">
        <f>IF(AND(28-(WEEKDAY(DATE(PlanYear,3,1),2)-1)&gt;=1,28-(WEEKDAY(DATE(PlanYear,3,1),2)-1)&lt;=DAY(EOMONTH(DATE(PlanYear,3,1),0))),DATE(PlanYear,3,1)+28-WEEKDAY(DATE(PlanYear,3,1),2),"")</f>
        <v/>
      </c>
      <c r="Z14" s="15" t="inlineStr">
        <is>
          <t>September</t>
        </is>
      </c>
      <c r="AA14" s="16">
        <f>IF(AA$5="","",MID(IF(INDEX($Q$41:$W$51,2*INT((0+WEEKDAY(DATE(PlanYear,9,1),2)-1)/7)+1,MOD(0+WEEKDAY(DATE(PlanYear,9,1),2)-1,7)+1)=AA$5,", "&amp;1,"")&amp;IF(INDEX($Q$41:$W$51,2*INT((1+WEEKDAY(DATE(PlanYear,9,1),2)-1)/7)+1,MOD(1+WEEKDAY(DATE(PlanYear,9,1),2)-1,7)+1)=AA$5,", "&amp;2,"")&amp;IF(INDEX($Q$41:$W$51,2*INT((2+WEEKDAY(DATE(PlanYear,9,1),2)-1)/7)+1,MOD(2+WEEKDAY(DATE(PlanYear,9,1),2)-1,7)+1)=AA$5,", "&amp;3,"")&amp;IF(INDEX($Q$41:$W$51,2*INT((3+WEEKDAY(DATE(PlanYear,9,1),2)-1)/7)+1,MOD(3+WEEKDAY(DATE(PlanYear,9,1),2)-1,7)+1)=AA$5,", "&amp;4,"")&amp;IF(INDEX($Q$41:$W$51,2*INT((4+WEEKDAY(DATE(PlanYear,9,1),2)-1)/7)+1,MOD(4+WEEKDAY(DATE(PlanYear,9,1),2)-1,7)+1)=AA$5,", "&amp;5,"")&amp;IF(INDEX($Q$41:$W$51,2*INT((5+WEEKDAY(DATE(PlanYear,9,1),2)-1)/7)+1,MOD(5+WEEKDAY(DATE(PlanYear,9,1),2)-1,7)+1)=AA$5,", "&amp;6,"")&amp;IF(INDEX($Q$41:$W$51,2*INT((6+WEEKDAY(DATE(PlanYear,9,1),2)-1)/7)+1,MOD(6+WEEKDAY(DATE(PlanYear,9,1),2)-1,7)+1)=AA$5,", "&amp;7,"")&amp;IF(INDEX($Q$41:$W$51,2*INT((7+WEEKDAY(DATE(PlanYear,9,1),2)-1)/7)+1,MOD(7+WEEKDAY(DATE(PlanYear,9,1),2)-1,7)+1)=AA$5,", "&amp;8,"")&amp;IF(INDEX($Q$41:$W$51,2*INT((8+WEEKDAY(DATE(PlanYear,9,1),2)-1)/7)+1,MOD(8+WEEKDAY(DATE(PlanYear,9,1),2)-1,7)+1)=AA$5,", "&amp;9,"")&amp;IF(INDEX($Q$41:$W$51,2*INT((9+WEEKDAY(DATE(PlanYear,9,1),2)-1)/7)+1,MOD(9+WEEKDAY(DATE(PlanYear,9,1),2)-1,7)+1)=AA$5,", "&amp;10,"")&amp;IF(INDEX($Q$41:$W$51,2*INT((10+WEEKDAY(DATE(PlanYear,9,1),2)-1)/7)+1,MOD(10+WEEKDAY(DATE(PlanYear,9,1),2)-1,7)+1)=AA$5,", "&amp;11,"")&amp;IF(INDEX($Q$41:$W$51,2*INT((11+WEEKDAY(DATE(PlanYear,9,1),2)-1)/7)+1,MOD(11+WEEKDAY(DATE(PlanYear,9,1),2)-1,7)+1)=AA$5,", "&amp;12,"")&amp;IF(INDEX($Q$41:$W$51,2*INT((12+WEEKDAY(DATE(PlanYear,9,1),2)-1)/7)+1,MOD(12+WEEKDAY(DATE(PlanYear,9,1),2)-1,7)+1)=AA$5,", "&amp;13,"")&amp;IF(INDEX($Q$41:$W$51,2*INT((13+WEEKDAY(DATE(PlanYear,9,1),2)-1)/7)+1,MOD(13+WEEKDAY(DATE(PlanYear,9,1),2)-1,7)+1)=AA$5,", "&amp;14,"")&amp;IF(INDEX($Q$41:$W$51,2*INT((14+WEEKDAY(DATE(PlanYear,9,1),2)-1)/7)+1,MOD(14+WEEKDAY(DATE(PlanYear,9,1),2)-1,7)+1)=AA$5,", "&amp;15,"")&amp;IF(INDEX($Q$41:$W$51,2*INT((15+WEEKDAY(DATE(PlanYear,9,1),2)-1)/7)+1,MOD(15+WEEKDAY(DATE(PlanYear,9,1),2)-1,7)+1)=AA$5,", "&amp;16,"")&amp;IF(INDEX($Q$41:$W$51,2*INT((16+WEEKDAY(DATE(PlanYear,9,1),2)-1)/7)+1,MOD(16+WEEKDAY(DATE(PlanYear,9,1),2)-1,7)+1)=AA$5,", "&amp;17,"")&amp;IF(INDEX($Q$41:$W$51,2*INT((17+WEEKDAY(DATE(PlanYear,9,1),2)-1)/7)+1,MOD(17+WEEKDAY(DATE(PlanYear,9,1),2)-1,7)+1)=AA$5,", "&amp;18,"")&amp;IF(INDEX($Q$41:$W$51,2*INT((18+WEEKDAY(DATE(PlanYear,9,1),2)-1)/7)+1,MOD(18+WEEKDAY(DATE(PlanYear,9,1),2)-1,7)+1)=AA$5,", "&amp;19,"")&amp;IF(INDEX($Q$41:$W$51,2*INT((19+WEEKDAY(DATE(PlanYear,9,1),2)-1)/7)+1,MOD(19+WEEKDAY(DATE(PlanYear,9,1),2)-1,7)+1)=AA$5,", "&amp;20,"")&amp;IF(INDEX($Q$41:$W$51,2*INT((20+WEEKDAY(DATE(PlanYear,9,1),2)-1)/7)+1,MOD(20+WEEKDAY(DATE(PlanYear,9,1),2)-1,7)+1)=AA$5,", "&amp;21,"")&amp;IF(INDEX($Q$41:$W$51,2*INT((21+WEEKDAY(DATE(PlanYear,9,1),2)-1)/7)+1,MOD(21+WEEKDAY(DATE(PlanYear,9,1),2)-1,7)+1)=AA$5,", "&amp;22,"")&amp;IF(INDEX($Q$41:$W$51,2*INT((22+WEEKDAY(DATE(PlanYear,9,1),2)-1)/7)+1,MOD(22+WEEKDAY(DATE(PlanYear,9,1),2)-1,7)+1)=AA$5,", "&amp;23,"")&amp;IF(INDEX($Q$41:$W$51,2*INT((23+WEEKDAY(DATE(PlanYear,9,1),2)-1)/7)+1,MOD(23+WEEKDAY(DATE(PlanYear,9,1),2)-1,7)+1)=AA$5,", "&amp;24,"")&amp;IF(INDEX($Q$41:$W$51,2*INT((24+WEEKDAY(DATE(PlanYear,9,1),2)-1)/7)+1,MOD(24+WEEKDAY(DATE(PlanYear,9,1),2)-1,7)+1)=AA$5,", "&amp;25,"")&amp;IF(INDEX($Q$41:$W$51,2*INT((25+WEEKDAY(DATE(PlanYear,9,1),2)-1)/7)+1,MOD(25+WEEKDAY(DATE(PlanYear,9,1),2)-1,7)+1)=AA$5,", "&amp;26,"")&amp;IF(INDEX($Q$41:$W$51,2*INT((26+WEEKDAY(DATE(PlanYear,9,1),2)-1)/7)+1,MOD(26+WEEKDAY(DATE(PlanYear,9,1),2)-1,7)+1)=AA$5,", "&amp;27,"")&amp;IF(INDEX($Q$41:$W$51,2*INT((27+WEEKDAY(DATE(PlanYear,9,1),2)-1)/7)+1,MOD(27+WEEKDAY(DATE(PlanYear,9,1),2)-1,7)+1)=AA$5,", "&amp;28,"")&amp;IF(INDEX($Q$41:$W$51,2*INT((28+WEEKDAY(DATE(PlanYear,9,1),2)-1)/7)+1,MOD(28+WEEKDAY(DATE(PlanYear,9,1),2)-1,7)+1)=AA$5,", "&amp;29,"")&amp;IF(INDEX($Q$41:$W$51,2*INT((29+WEEKDAY(DATE(PlanYear,9,1),2)-1)/7)+1,MOD(29+WEEKDAY(DATE(PlanYear,9,1),2)-1,7)+1)=AA$5,", "&amp;30,"")&amp;IF(INDEX($Q$41:$W$51,2*INT((30+WEEKDAY(DATE(PlanYear,9,1),2)-1)/7)+1,MOD(30+WEEKDAY(DATE(PlanYear,9,1),2)-1,7)+1)=AA$5,", "&amp;31,""),3,200))</f>
        <v/>
      </c>
      <c r="AB14" s="16">
        <f>IF(AB$5="","",MID(IF(INDEX($Q$41:$W$51,2*INT((0+WEEKDAY(DATE(PlanYear,9,1),2)-1)/7)+1,MOD(0+WEEKDAY(DATE(PlanYear,9,1),2)-1,7)+1)=AB$5,", "&amp;1,"")&amp;IF(INDEX($Q$41:$W$51,2*INT((1+WEEKDAY(DATE(PlanYear,9,1),2)-1)/7)+1,MOD(1+WEEKDAY(DATE(PlanYear,9,1),2)-1,7)+1)=AB$5,", "&amp;2,"")&amp;IF(INDEX($Q$41:$W$51,2*INT((2+WEEKDAY(DATE(PlanYear,9,1),2)-1)/7)+1,MOD(2+WEEKDAY(DATE(PlanYear,9,1),2)-1,7)+1)=AB$5,", "&amp;3,"")&amp;IF(INDEX($Q$41:$W$51,2*INT((3+WEEKDAY(DATE(PlanYear,9,1),2)-1)/7)+1,MOD(3+WEEKDAY(DATE(PlanYear,9,1),2)-1,7)+1)=AB$5,", "&amp;4,"")&amp;IF(INDEX($Q$41:$W$51,2*INT((4+WEEKDAY(DATE(PlanYear,9,1),2)-1)/7)+1,MOD(4+WEEKDAY(DATE(PlanYear,9,1),2)-1,7)+1)=AB$5,", "&amp;5,"")&amp;IF(INDEX($Q$41:$W$51,2*INT((5+WEEKDAY(DATE(PlanYear,9,1),2)-1)/7)+1,MOD(5+WEEKDAY(DATE(PlanYear,9,1),2)-1,7)+1)=AB$5,", "&amp;6,"")&amp;IF(INDEX($Q$41:$W$51,2*INT((6+WEEKDAY(DATE(PlanYear,9,1),2)-1)/7)+1,MOD(6+WEEKDAY(DATE(PlanYear,9,1),2)-1,7)+1)=AB$5,", "&amp;7,"")&amp;IF(INDEX($Q$41:$W$51,2*INT((7+WEEKDAY(DATE(PlanYear,9,1),2)-1)/7)+1,MOD(7+WEEKDAY(DATE(PlanYear,9,1),2)-1,7)+1)=AB$5,", "&amp;8,"")&amp;IF(INDEX($Q$41:$W$51,2*INT((8+WEEKDAY(DATE(PlanYear,9,1),2)-1)/7)+1,MOD(8+WEEKDAY(DATE(PlanYear,9,1),2)-1,7)+1)=AB$5,", "&amp;9,"")&amp;IF(INDEX($Q$41:$W$51,2*INT((9+WEEKDAY(DATE(PlanYear,9,1),2)-1)/7)+1,MOD(9+WEEKDAY(DATE(PlanYear,9,1),2)-1,7)+1)=AB$5,", "&amp;10,"")&amp;IF(INDEX($Q$41:$W$51,2*INT((10+WEEKDAY(DATE(PlanYear,9,1),2)-1)/7)+1,MOD(10+WEEKDAY(DATE(PlanYear,9,1),2)-1,7)+1)=AB$5,", "&amp;11,"")&amp;IF(INDEX($Q$41:$W$51,2*INT((11+WEEKDAY(DATE(PlanYear,9,1),2)-1)/7)+1,MOD(11+WEEKDAY(DATE(PlanYear,9,1),2)-1,7)+1)=AB$5,", "&amp;12,"")&amp;IF(INDEX($Q$41:$W$51,2*INT((12+WEEKDAY(DATE(PlanYear,9,1),2)-1)/7)+1,MOD(12+WEEKDAY(DATE(PlanYear,9,1),2)-1,7)+1)=AB$5,", "&amp;13,"")&amp;IF(INDEX($Q$41:$W$51,2*INT((13+WEEKDAY(DATE(PlanYear,9,1),2)-1)/7)+1,MOD(13+WEEKDAY(DATE(PlanYear,9,1),2)-1,7)+1)=AB$5,", "&amp;14,"")&amp;IF(INDEX($Q$41:$W$51,2*INT((14+WEEKDAY(DATE(PlanYear,9,1),2)-1)/7)+1,MOD(14+WEEKDAY(DATE(PlanYear,9,1),2)-1,7)+1)=AB$5,", "&amp;15,"")&amp;IF(INDEX($Q$41:$W$51,2*INT((15+WEEKDAY(DATE(PlanYear,9,1),2)-1)/7)+1,MOD(15+WEEKDAY(DATE(PlanYear,9,1),2)-1,7)+1)=AB$5,", "&amp;16,"")&amp;IF(INDEX($Q$41:$W$51,2*INT((16+WEEKDAY(DATE(PlanYear,9,1),2)-1)/7)+1,MOD(16+WEEKDAY(DATE(PlanYear,9,1),2)-1,7)+1)=AB$5,", "&amp;17,"")&amp;IF(INDEX($Q$41:$W$51,2*INT((17+WEEKDAY(DATE(PlanYear,9,1),2)-1)/7)+1,MOD(17+WEEKDAY(DATE(PlanYear,9,1),2)-1,7)+1)=AB$5,", "&amp;18,"")&amp;IF(INDEX($Q$41:$W$51,2*INT((18+WEEKDAY(DATE(PlanYear,9,1),2)-1)/7)+1,MOD(18+WEEKDAY(DATE(PlanYear,9,1),2)-1,7)+1)=AB$5,", "&amp;19,"")&amp;IF(INDEX($Q$41:$W$51,2*INT((19+WEEKDAY(DATE(PlanYear,9,1),2)-1)/7)+1,MOD(19+WEEKDAY(DATE(PlanYear,9,1),2)-1,7)+1)=AB$5,", "&amp;20,"")&amp;IF(INDEX($Q$41:$W$51,2*INT((20+WEEKDAY(DATE(PlanYear,9,1),2)-1)/7)+1,MOD(20+WEEKDAY(DATE(PlanYear,9,1),2)-1,7)+1)=AB$5,", "&amp;21,"")&amp;IF(INDEX($Q$41:$W$51,2*INT((21+WEEKDAY(DATE(PlanYear,9,1),2)-1)/7)+1,MOD(21+WEEKDAY(DATE(PlanYear,9,1),2)-1,7)+1)=AB$5,", "&amp;22,"")&amp;IF(INDEX($Q$41:$W$51,2*INT((22+WEEKDAY(DATE(PlanYear,9,1),2)-1)/7)+1,MOD(22+WEEKDAY(DATE(PlanYear,9,1),2)-1,7)+1)=AB$5,", "&amp;23,"")&amp;IF(INDEX($Q$41:$W$51,2*INT((23+WEEKDAY(DATE(PlanYear,9,1),2)-1)/7)+1,MOD(23+WEEKDAY(DATE(PlanYear,9,1),2)-1,7)+1)=AB$5,", "&amp;24,"")&amp;IF(INDEX($Q$41:$W$51,2*INT((24+WEEKDAY(DATE(PlanYear,9,1),2)-1)/7)+1,MOD(24+WEEKDAY(DATE(PlanYear,9,1),2)-1,7)+1)=AB$5,", "&amp;25,"")&amp;IF(INDEX($Q$41:$W$51,2*INT((25+WEEKDAY(DATE(PlanYear,9,1),2)-1)/7)+1,MOD(25+WEEKDAY(DATE(PlanYear,9,1),2)-1,7)+1)=AB$5,", "&amp;26,"")&amp;IF(INDEX($Q$41:$W$51,2*INT((26+WEEKDAY(DATE(PlanYear,9,1),2)-1)/7)+1,MOD(26+WEEKDAY(DATE(PlanYear,9,1),2)-1,7)+1)=AB$5,", "&amp;27,"")&amp;IF(INDEX($Q$41:$W$51,2*INT((27+WEEKDAY(DATE(PlanYear,9,1),2)-1)/7)+1,MOD(27+WEEKDAY(DATE(PlanYear,9,1),2)-1,7)+1)=AB$5,", "&amp;28,"")&amp;IF(INDEX($Q$41:$W$51,2*INT((28+WEEKDAY(DATE(PlanYear,9,1),2)-1)/7)+1,MOD(28+WEEKDAY(DATE(PlanYear,9,1),2)-1,7)+1)=AB$5,", "&amp;29,"")&amp;IF(INDEX($Q$41:$W$51,2*INT((29+WEEKDAY(DATE(PlanYear,9,1),2)-1)/7)+1,MOD(29+WEEKDAY(DATE(PlanYear,9,1),2)-1,7)+1)=AB$5,", "&amp;30,"")&amp;IF(INDEX($Q$41:$W$51,2*INT((30+WEEKDAY(DATE(PlanYear,9,1),2)-1)/7)+1,MOD(30+WEEKDAY(DATE(PlanYear,9,1),2)-1,7)+1)=AB$5,", "&amp;31,""),3,200))</f>
        <v/>
      </c>
      <c r="AC14" s="16">
        <f>IF(AC$5="","",MID(IF(INDEX($Q$41:$W$51,2*INT((0+WEEKDAY(DATE(PlanYear,9,1),2)-1)/7)+1,MOD(0+WEEKDAY(DATE(PlanYear,9,1),2)-1,7)+1)=AC$5,", "&amp;1,"")&amp;IF(INDEX($Q$41:$W$51,2*INT((1+WEEKDAY(DATE(PlanYear,9,1),2)-1)/7)+1,MOD(1+WEEKDAY(DATE(PlanYear,9,1),2)-1,7)+1)=AC$5,", "&amp;2,"")&amp;IF(INDEX($Q$41:$W$51,2*INT((2+WEEKDAY(DATE(PlanYear,9,1),2)-1)/7)+1,MOD(2+WEEKDAY(DATE(PlanYear,9,1),2)-1,7)+1)=AC$5,", "&amp;3,"")&amp;IF(INDEX($Q$41:$W$51,2*INT((3+WEEKDAY(DATE(PlanYear,9,1),2)-1)/7)+1,MOD(3+WEEKDAY(DATE(PlanYear,9,1),2)-1,7)+1)=AC$5,", "&amp;4,"")&amp;IF(INDEX($Q$41:$W$51,2*INT((4+WEEKDAY(DATE(PlanYear,9,1),2)-1)/7)+1,MOD(4+WEEKDAY(DATE(PlanYear,9,1),2)-1,7)+1)=AC$5,", "&amp;5,"")&amp;IF(INDEX($Q$41:$W$51,2*INT((5+WEEKDAY(DATE(PlanYear,9,1),2)-1)/7)+1,MOD(5+WEEKDAY(DATE(PlanYear,9,1),2)-1,7)+1)=AC$5,", "&amp;6,"")&amp;IF(INDEX($Q$41:$W$51,2*INT((6+WEEKDAY(DATE(PlanYear,9,1),2)-1)/7)+1,MOD(6+WEEKDAY(DATE(PlanYear,9,1),2)-1,7)+1)=AC$5,", "&amp;7,"")&amp;IF(INDEX($Q$41:$W$51,2*INT((7+WEEKDAY(DATE(PlanYear,9,1),2)-1)/7)+1,MOD(7+WEEKDAY(DATE(PlanYear,9,1),2)-1,7)+1)=AC$5,", "&amp;8,"")&amp;IF(INDEX($Q$41:$W$51,2*INT((8+WEEKDAY(DATE(PlanYear,9,1),2)-1)/7)+1,MOD(8+WEEKDAY(DATE(PlanYear,9,1),2)-1,7)+1)=AC$5,", "&amp;9,"")&amp;IF(INDEX($Q$41:$W$51,2*INT((9+WEEKDAY(DATE(PlanYear,9,1),2)-1)/7)+1,MOD(9+WEEKDAY(DATE(PlanYear,9,1),2)-1,7)+1)=AC$5,", "&amp;10,"")&amp;IF(INDEX($Q$41:$W$51,2*INT((10+WEEKDAY(DATE(PlanYear,9,1),2)-1)/7)+1,MOD(10+WEEKDAY(DATE(PlanYear,9,1),2)-1,7)+1)=AC$5,", "&amp;11,"")&amp;IF(INDEX($Q$41:$W$51,2*INT((11+WEEKDAY(DATE(PlanYear,9,1),2)-1)/7)+1,MOD(11+WEEKDAY(DATE(PlanYear,9,1),2)-1,7)+1)=AC$5,", "&amp;12,"")&amp;IF(INDEX($Q$41:$W$51,2*INT((12+WEEKDAY(DATE(PlanYear,9,1),2)-1)/7)+1,MOD(12+WEEKDAY(DATE(PlanYear,9,1),2)-1,7)+1)=AC$5,", "&amp;13,"")&amp;IF(INDEX($Q$41:$W$51,2*INT((13+WEEKDAY(DATE(PlanYear,9,1),2)-1)/7)+1,MOD(13+WEEKDAY(DATE(PlanYear,9,1),2)-1,7)+1)=AC$5,", "&amp;14,"")&amp;IF(INDEX($Q$41:$W$51,2*INT((14+WEEKDAY(DATE(PlanYear,9,1),2)-1)/7)+1,MOD(14+WEEKDAY(DATE(PlanYear,9,1),2)-1,7)+1)=AC$5,", "&amp;15,"")&amp;IF(INDEX($Q$41:$W$51,2*INT((15+WEEKDAY(DATE(PlanYear,9,1),2)-1)/7)+1,MOD(15+WEEKDAY(DATE(PlanYear,9,1),2)-1,7)+1)=AC$5,", "&amp;16,"")&amp;IF(INDEX($Q$41:$W$51,2*INT((16+WEEKDAY(DATE(PlanYear,9,1),2)-1)/7)+1,MOD(16+WEEKDAY(DATE(PlanYear,9,1),2)-1,7)+1)=AC$5,", "&amp;17,"")&amp;IF(INDEX($Q$41:$W$51,2*INT((17+WEEKDAY(DATE(PlanYear,9,1),2)-1)/7)+1,MOD(17+WEEKDAY(DATE(PlanYear,9,1),2)-1,7)+1)=AC$5,", "&amp;18,"")&amp;IF(INDEX($Q$41:$W$51,2*INT((18+WEEKDAY(DATE(PlanYear,9,1),2)-1)/7)+1,MOD(18+WEEKDAY(DATE(PlanYear,9,1),2)-1,7)+1)=AC$5,", "&amp;19,"")&amp;IF(INDEX($Q$41:$W$51,2*INT((19+WEEKDAY(DATE(PlanYear,9,1),2)-1)/7)+1,MOD(19+WEEKDAY(DATE(PlanYear,9,1),2)-1,7)+1)=AC$5,", "&amp;20,"")&amp;IF(INDEX($Q$41:$W$51,2*INT((20+WEEKDAY(DATE(PlanYear,9,1),2)-1)/7)+1,MOD(20+WEEKDAY(DATE(PlanYear,9,1),2)-1,7)+1)=AC$5,", "&amp;21,"")&amp;IF(INDEX($Q$41:$W$51,2*INT((21+WEEKDAY(DATE(PlanYear,9,1),2)-1)/7)+1,MOD(21+WEEKDAY(DATE(PlanYear,9,1),2)-1,7)+1)=AC$5,", "&amp;22,"")&amp;IF(INDEX($Q$41:$W$51,2*INT((22+WEEKDAY(DATE(PlanYear,9,1),2)-1)/7)+1,MOD(22+WEEKDAY(DATE(PlanYear,9,1),2)-1,7)+1)=AC$5,", "&amp;23,"")&amp;IF(INDEX($Q$41:$W$51,2*INT((23+WEEKDAY(DATE(PlanYear,9,1),2)-1)/7)+1,MOD(23+WEEKDAY(DATE(PlanYear,9,1),2)-1,7)+1)=AC$5,", "&amp;24,"")&amp;IF(INDEX($Q$41:$W$51,2*INT((24+WEEKDAY(DATE(PlanYear,9,1),2)-1)/7)+1,MOD(24+WEEKDAY(DATE(PlanYear,9,1),2)-1,7)+1)=AC$5,", "&amp;25,"")&amp;IF(INDEX($Q$41:$W$51,2*INT((25+WEEKDAY(DATE(PlanYear,9,1),2)-1)/7)+1,MOD(25+WEEKDAY(DATE(PlanYear,9,1),2)-1,7)+1)=AC$5,", "&amp;26,"")&amp;IF(INDEX($Q$41:$W$51,2*INT((26+WEEKDAY(DATE(PlanYear,9,1),2)-1)/7)+1,MOD(26+WEEKDAY(DATE(PlanYear,9,1),2)-1,7)+1)=AC$5,", "&amp;27,"")&amp;IF(INDEX($Q$41:$W$51,2*INT((27+WEEKDAY(DATE(PlanYear,9,1),2)-1)/7)+1,MOD(27+WEEKDAY(DATE(PlanYear,9,1),2)-1,7)+1)=AC$5,", "&amp;28,"")&amp;IF(INDEX($Q$41:$W$51,2*INT((28+WEEKDAY(DATE(PlanYear,9,1),2)-1)/7)+1,MOD(28+WEEKDAY(DATE(PlanYear,9,1),2)-1,7)+1)=AC$5,", "&amp;29,"")&amp;IF(INDEX($Q$41:$W$51,2*INT((29+WEEKDAY(DATE(PlanYear,9,1),2)-1)/7)+1,MOD(29+WEEKDAY(DATE(PlanYear,9,1),2)-1,7)+1)=AC$5,", "&amp;30,"")&amp;IF(INDEX($Q$41:$W$51,2*INT((30+WEEKDAY(DATE(PlanYear,9,1),2)-1)/7)+1,MOD(30+WEEKDAY(DATE(PlanYear,9,1),2)-1,7)+1)=AC$5,", "&amp;31,""),3,200))</f>
        <v/>
      </c>
      <c r="AD14" s="16">
        <f>IF(AD$5="","",MID(IF(INDEX($Q$41:$W$51,2*INT((0+WEEKDAY(DATE(PlanYear,9,1),2)-1)/7)+1,MOD(0+WEEKDAY(DATE(PlanYear,9,1),2)-1,7)+1)=AD$5,", "&amp;1,"")&amp;IF(INDEX($Q$41:$W$51,2*INT((1+WEEKDAY(DATE(PlanYear,9,1),2)-1)/7)+1,MOD(1+WEEKDAY(DATE(PlanYear,9,1),2)-1,7)+1)=AD$5,", "&amp;2,"")&amp;IF(INDEX($Q$41:$W$51,2*INT((2+WEEKDAY(DATE(PlanYear,9,1),2)-1)/7)+1,MOD(2+WEEKDAY(DATE(PlanYear,9,1),2)-1,7)+1)=AD$5,", "&amp;3,"")&amp;IF(INDEX($Q$41:$W$51,2*INT((3+WEEKDAY(DATE(PlanYear,9,1),2)-1)/7)+1,MOD(3+WEEKDAY(DATE(PlanYear,9,1),2)-1,7)+1)=AD$5,", "&amp;4,"")&amp;IF(INDEX($Q$41:$W$51,2*INT((4+WEEKDAY(DATE(PlanYear,9,1),2)-1)/7)+1,MOD(4+WEEKDAY(DATE(PlanYear,9,1),2)-1,7)+1)=AD$5,", "&amp;5,"")&amp;IF(INDEX($Q$41:$W$51,2*INT((5+WEEKDAY(DATE(PlanYear,9,1),2)-1)/7)+1,MOD(5+WEEKDAY(DATE(PlanYear,9,1),2)-1,7)+1)=AD$5,", "&amp;6,"")&amp;IF(INDEX($Q$41:$W$51,2*INT((6+WEEKDAY(DATE(PlanYear,9,1),2)-1)/7)+1,MOD(6+WEEKDAY(DATE(PlanYear,9,1),2)-1,7)+1)=AD$5,", "&amp;7,"")&amp;IF(INDEX($Q$41:$W$51,2*INT((7+WEEKDAY(DATE(PlanYear,9,1),2)-1)/7)+1,MOD(7+WEEKDAY(DATE(PlanYear,9,1),2)-1,7)+1)=AD$5,", "&amp;8,"")&amp;IF(INDEX($Q$41:$W$51,2*INT((8+WEEKDAY(DATE(PlanYear,9,1),2)-1)/7)+1,MOD(8+WEEKDAY(DATE(PlanYear,9,1),2)-1,7)+1)=AD$5,", "&amp;9,"")&amp;IF(INDEX($Q$41:$W$51,2*INT((9+WEEKDAY(DATE(PlanYear,9,1),2)-1)/7)+1,MOD(9+WEEKDAY(DATE(PlanYear,9,1),2)-1,7)+1)=AD$5,", "&amp;10,"")&amp;IF(INDEX($Q$41:$W$51,2*INT((10+WEEKDAY(DATE(PlanYear,9,1),2)-1)/7)+1,MOD(10+WEEKDAY(DATE(PlanYear,9,1),2)-1,7)+1)=AD$5,", "&amp;11,"")&amp;IF(INDEX($Q$41:$W$51,2*INT((11+WEEKDAY(DATE(PlanYear,9,1),2)-1)/7)+1,MOD(11+WEEKDAY(DATE(PlanYear,9,1),2)-1,7)+1)=AD$5,", "&amp;12,"")&amp;IF(INDEX($Q$41:$W$51,2*INT((12+WEEKDAY(DATE(PlanYear,9,1),2)-1)/7)+1,MOD(12+WEEKDAY(DATE(PlanYear,9,1),2)-1,7)+1)=AD$5,", "&amp;13,"")&amp;IF(INDEX($Q$41:$W$51,2*INT((13+WEEKDAY(DATE(PlanYear,9,1),2)-1)/7)+1,MOD(13+WEEKDAY(DATE(PlanYear,9,1),2)-1,7)+1)=AD$5,", "&amp;14,"")&amp;IF(INDEX($Q$41:$W$51,2*INT((14+WEEKDAY(DATE(PlanYear,9,1),2)-1)/7)+1,MOD(14+WEEKDAY(DATE(PlanYear,9,1),2)-1,7)+1)=AD$5,", "&amp;15,"")&amp;IF(INDEX($Q$41:$W$51,2*INT((15+WEEKDAY(DATE(PlanYear,9,1),2)-1)/7)+1,MOD(15+WEEKDAY(DATE(PlanYear,9,1),2)-1,7)+1)=AD$5,", "&amp;16,"")&amp;IF(INDEX($Q$41:$W$51,2*INT((16+WEEKDAY(DATE(PlanYear,9,1),2)-1)/7)+1,MOD(16+WEEKDAY(DATE(PlanYear,9,1),2)-1,7)+1)=AD$5,", "&amp;17,"")&amp;IF(INDEX($Q$41:$W$51,2*INT((17+WEEKDAY(DATE(PlanYear,9,1),2)-1)/7)+1,MOD(17+WEEKDAY(DATE(PlanYear,9,1),2)-1,7)+1)=AD$5,", "&amp;18,"")&amp;IF(INDEX($Q$41:$W$51,2*INT((18+WEEKDAY(DATE(PlanYear,9,1),2)-1)/7)+1,MOD(18+WEEKDAY(DATE(PlanYear,9,1),2)-1,7)+1)=AD$5,", "&amp;19,"")&amp;IF(INDEX($Q$41:$W$51,2*INT((19+WEEKDAY(DATE(PlanYear,9,1),2)-1)/7)+1,MOD(19+WEEKDAY(DATE(PlanYear,9,1),2)-1,7)+1)=AD$5,", "&amp;20,"")&amp;IF(INDEX($Q$41:$W$51,2*INT((20+WEEKDAY(DATE(PlanYear,9,1),2)-1)/7)+1,MOD(20+WEEKDAY(DATE(PlanYear,9,1),2)-1,7)+1)=AD$5,", "&amp;21,"")&amp;IF(INDEX($Q$41:$W$51,2*INT((21+WEEKDAY(DATE(PlanYear,9,1),2)-1)/7)+1,MOD(21+WEEKDAY(DATE(PlanYear,9,1),2)-1,7)+1)=AD$5,", "&amp;22,"")&amp;IF(INDEX($Q$41:$W$51,2*INT((22+WEEKDAY(DATE(PlanYear,9,1),2)-1)/7)+1,MOD(22+WEEKDAY(DATE(PlanYear,9,1),2)-1,7)+1)=AD$5,", "&amp;23,"")&amp;IF(INDEX($Q$41:$W$51,2*INT((23+WEEKDAY(DATE(PlanYear,9,1),2)-1)/7)+1,MOD(23+WEEKDAY(DATE(PlanYear,9,1),2)-1,7)+1)=AD$5,", "&amp;24,"")&amp;IF(INDEX($Q$41:$W$51,2*INT((24+WEEKDAY(DATE(PlanYear,9,1),2)-1)/7)+1,MOD(24+WEEKDAY(DATE(PlanYear,9,1),2)-1,7)+1)=AD$5,", "&amp;25,"")&amp;IF(INDEX($Q$41:$W$51,2*INT((25+WEEKDAY(DATE(PlanYear,9,1),2)-1)/7)+1,MOD(25+WEEKDAY(DATE(PlanYear,9,1),2)-1,7)+1)=AD$5,", "&amp;26,"")&amp;IF(INDEX($Q$41:$W$51,2*INT((26+WEEKDAY(DATE(PlanYear,9,1),2)-1)/7)+1,MOD(26+WEEKDAY(DATE(PlanYear,9,1),2)-1,7)+1)=AD$5,", "&amp;27,"")&amp;IF(INDEX($Q$41:$W$51,2*INT((27+WEEKDAY(DATE(PlanYear,9,1),2)-1)/7)+1,MOD(27+WEEKDAY(DATE(PlanYear,9,1),2)-1,7)+1)=AD$5,", "&amp;28,"")&amp;IF(INDEX($Q$41:$W$51,2*INT((28+WEEKDAY(DATE(PlanYear,9,1),2)-1)/7)+1,MOD(28+WEEKDAY(DATE(PlanYear,9,1),2)-1,7)+1)=AD$5,", "&amp;29,"")&amp;IF(INDEX($Q$41:$W$51,2*INT((29+WEEKDAY(DATE(PlanYear,9,1),2)-1)/7)+1,MOD(29+WEEKDAY(DATE(PlanYear,9,1),2)-1,7)+1)=AD$5,", "&amp;30,"")&amp;IF(INDEX($Q$41:$W$51,2*INT((30+WEEKDAY(DATE(PlanYear,9,1),2)-1)/7)+1,MOD(30+WEEKDAY(DATE(PlanYear,9,1),2)-1,7)+1)=AD$5,", "&amp;31,""),3,200))</f>
        <v/>
      </c>
      <c r="AE14" s="16">
        <f>IF(AE$5="","",MID(IF(INDEX($Q$41:$W$51,2*INT((0+WEEKDAY(DATE(PlanYear,9,1),2)-1)/7)+1,MOD(0+WEEKDAY(DATE(PlanYear,9,1),2)-1,7)+1)=AE$5,", "&amp;1,"")&amp;IF(INDEX($Q$41:$W$51,2*INT((1+WEEKDAY(DATE(PlanYear,9,1),2)-1)/7)+1,MOD(1+WEEKDAY(DATE(PlanYear,9,1),2)-1,7)+1)=AE$5,", "&amp;2,"")&amp;IF(INDEX($Q$41:$W$51,2*INT((2+WEEKDAY(DATE(PlanYear,9,1),2)-1)/7)+1,MOD(2+WEEKDAY(DATE(PlanYear,9,1),2)-1,7)+1)=AE$5,", "&amp;3,"")&amp;IF(INDEX($Q$41:$W$51,2*INT((3+WEEKDAY(DATE(PlanYear,9,1),2)-1)/7)+1,MOD(3+WEEKDAY(DATE(PlanYear,9,1),2)-1,7)+1)=AE$5,", "&amp;4,"")&amp;IF(INDEX($Q$41:$W$51,2*INT((4+WEEKDAY(DATE(PlanYear,9,1),2)-1)/7)+1,MOD(4+WEEKDAY(DATE(PlanYear,9,1),2)-1,7)+1)=AE$5,", "&amp;5,"")&amp;IF(INDEX($Q$41:$W$51,2*INT((5+WEEKDAY(DATE(PlanYear,9,1),2)-1)/7)+1,MOD(5+WEEKDAY(DATE(PlanYear,9,1),2)-1,7)+1)=AE$5,", "&amp;6,"")&amp;IF(INDEX($Q$41:$W$51,2*INT((6+WEEKDAY(DATE(PlanYear,9,1),2)-1)/7)+1,MOD(6+WEEKDAY(DATE(PlanYear,9,1),2)-1,7)+1)=AE$5,", "&amp;7,"")&amp;IF(INDEX($Q$41:$W$51,2*INT((7+WEEKDAY(DATE(PlanYear,9,1),2)-1)/7)+1,MOD(7+WEEKDAY(DATE(PlanYear,9,1),2)-1,7)+1)=AE$5,", "&amp;8,"")&amp;IF(INDEX($Q$41:$W$51,2*INT((8+WEEKDAY(DATE(PlanYear,9,1),2)-1)/7)+1,MOD(8+WEEKDAY(DATE(PlanYear,9,1),2)-1,7)+1)=AE$5,", "&amp;9,"")&amp;IF(INDEX($Q$41:$W$51,2*INT((9+WEEKDAY(DATE(PlanYear,9,1),2)-1)/7)+1,MOD(9+WEEKDAY(DATE(PlanYear,9,1),2)-1,7)+1)=AE$5,", "&amp;10,"")&amp;IF(INDEX($Q$41:$W$51,2*INT((10+WEEKDAY(DATE(PlanYear,9,1),2)-1)/7)+1,MOD(10+WEEKDAY(DATE(PlanYear,9,1),2)-1,7)+1)=AE$5,", "&amp;11,"")&amp;IF(INDEX($Q$41:$W$51,2*INT((11+WEEKDAY(DATE(PlanYear,9,1),2)-1)/7)+1,MOD(11+WEEKDAY(DATE(PlanYear,9,1),2)-1,7)+1)=AE$5,", "&amp;12,"")&amp;IF(INDEX($Q$41:$W$51,2*INT((12+WEEKDAY(DATE(PlanYear,9,1),2)-1)/7)+1,MOD(12+WEEKDAY(DATE(PlanYear,9,1),2)-1,7)+1)=AE$5,", "&amp;13,"")&amp;IF(INDEX($Q$41:$W$51,2*INT((13+WEEKDAY(DATE(PlanYear,9,1),2)-1)/7)+1,MOD(13+WEEKDAY(DATE(PlanYear,9,1),2)-1,7)+1)=AE$5,", "&amp;14,"")&amp;IF(INDEX($Q$41:$W$51,2*INT((14+WEEKDAY(DATE(PlanYear,9,1),2)-1)/7)+1,MOD(14+WEEKDAY(DATE(PlanYear,9,1),2)-1,7)+1)=AE$5,", "&amp;15,"")&amp;IF(INDEX($Q$41:$W$51,2*INT((15+WEEKDAY(DATE(PlanYear,9,1),2)-1)/7)+1,MOD(15+WEEKDAY(DATE(PlanYear,9,1),2)-1,7)+1)=AE$5,", "&amp;16,"")&amp;IF(INDEX($Q$41:$W$51,2*INT((16+WEEKDAY(DATE(PlanYear,9,1),2)-1)/7)+1,MOD(16+WEEKDAY(DATE(PlanYear,9,1),2)-1,7)+1)=AE$5,", "&amp;17,"")&amp;IF(INDEX($Q$41:$W$51,2*INT((17+WEEKDAY(DATE(PlanYear,9,1),2)-1)/7)+1,MOD(17+WEEKDAY(DATE(PlanYear,9,1),2)-1,7)+1)=AE$5,", "&amp;18,"")&amp;IF(INDEX($Q$41:$W$51,2*INT((18+WEEKDAY(DATE(PlanYear,9,1),2)-1)/7)+1,MOD(18+WEEKDAY(DATE(PlanYear,9,1),2)-1,7)+1)=AE$5,", "&amp;19,"")&amp;IF(INDEX($Q$41:$W$51,2*INT((19+WEEKDAY(DATE(PlanYear,9,1),2)-1)/7)+1,MOD(19+WEEKDAY(DATE(PlanYear,9,1),2)-1,7)+1)=AE$5,", "&amp;20,"")&amp;IF(INDEX($Q$41:$W$51,2*INT((20+WEEKDAY(DATE(PlanYear,9,1),2)-1)/7)+1,MOD(20+WEEKDAY(DATE(PlanYear,9,1),2)-1,7)+1)=AE$5,", "&amp;21,"")&amp;IF(INDEX($Q$41:$W$51,2*INT((21+WEEKDAY(DATE(PlanYear,9,1),2)-1)/7)+1,MOD(21+WEEKDAY(DATE(PlanYear,9,1),2)-1,7)+1)=AE$5,", "&amp;22,"")&amp;IF(INDEX($Q$41:$W$51,2*INT((22+WEEKDAY(DATE(PlanYear,9,1),2)-1)/7)+1,MOD(22+WEEKDAY(DATE(PlanYear,9,1),2)-1,7)+1)=AE$5,", "&amp;23,"")&amp;IF(INDEX($Q$41:$W$51,2*INT((23+WEEKDAY(DATE(PlanYear,9,1),2)-1)/7)+1,MOD(23+WEEKDAY(DATE(PlanYear,9,1),2)-1,7)+1)=AE$5,", "&amp;24,"")&amp;IF(INDEX($Q$41:$W$51,2*INT((24+WEEKDAY(DATE(PlanYear,9,1),2)-1)/7)+1,MOD(24+WEEKDAY(DATE(PlanYear,9,1),2)-1,7)+1)=AE$5,", "&amp;25,"")&amp;IF(INDEX($Q$41:$W$51,2*INT((25+WEEKDAY(DATE(PlanYear,9,1),2)-1)/7)+1,MOD(25+WEEKDAY(DATE(PlanYear,9,1),2)-1,7)+1)=AE$5,", "&amp;26,"")&amp;IF(INDEX($Q$41:$W$51,2*INT((26+WEEKDAY(DATE(PlanYear,9,1),2)-1)/7)+1,MOD(26+WEEKDAY(DATE(PlanYear,9,1),2)-1,7)+1)=AE$5,", "&amp;27,"")&amp;IF(INDEX($Q$41:$W$51,2*INT((27+WEEKDAY(DATE(PlanYear,9,1),2)-1)/7)+1,MOD(27+WEEKDAY(DATE(PlanYear,9,1),2)-1,7)+1)=AE$5,", "&amp;28,"")&amp;IF(INDEX($Q$41:$W$51,2*INT((28+WEEKDAY(DATE(PlanYear,9,1),2)-1)/7)+1,MOD(28+WEEKDAY(DATE(PlanYear,9,1),2)-1,7)+1)=AE$5,", "&amp;29,"")&amp;IF(INDEX($Q$41:$W$51,2*INT((29+WEEKDAY(DATE(PlanYear,9,1),2)-1)/7)+1,MOD(29+WEEKDAY(DATE(PlanYear,9,1),2)-1,7)+1)=AE$5,", "&amp;30,"")&amp;IF(INDEX($Q$41:$W$51,2*INT((30+WEEKDAY(DATE(PlanYear,9,1),2)-1)/7)+1,MOD(30+WEEKDAY(DATE(PlanYear,9,1),2)-1,7)+1)=AE$5,", "&amp;31,""),3,200))</f>
        <v/>
      </c>
      <c r="AF14" s="16">
        <f>IF(AF$5="","",MID(IF(INDEX($Q$41:$W$51,2*INT((0+WEEKDAY(DATE(PlanYear,9,1),2)-1)/7)+1,MOD(0+WEEKDAY(DATE(PlanYear,9,1),2)-1,7)+1)=AF$5,", "&amp;1,"")&amp;IF(INDEX($Q$41:$W$51,2*INT((1+WEEKDAY(DATE(PlanYear,9,1),2)-1)/7)+1,MOD(1+WEEKDAY(DATE(PlanYear,9,1),2)-1,7)+1)=AF$5,", "&amp;2,"")&amp;IF(INDEX($Q$41:$W$51,2*INT((2+WEEKDAY(DATE(PlanYear,9,1),2)-1)/7)+1,MOD(2+WEEKDAY(DATE(PlanYear,9,1),2)-1,7)+1)=AF$5,", "&amp;3,"")&amp;IF(INDEX($Q$41:$W$51,2*INT((3+WEEKDAY(DATE(PlanYear,9,1),2)-1)/7)+1,MOD(3+WEEKDAY(DATE(PlanYear,9,1),2)-1,7)+1)=AF$5,", "&amp;4,"")&amp;IF(INDEX($Q$41:$W$51,2*INT((4+WEEKDAY(DATE(PlanYear,9,1),2)-1)/7)+1,MOD(4+WEEKDAY(DATE(PlanYear,9,1),2)-1,7)+1)=AF$5,", "&amp;5,"")&amp;IF(INDEX($Q$41:$W$51,2*INT((5+WEEKDAY(DATE(PlanYear,9,1),2)-1)/7)+1,MOD(5+WEEKDAY(DATE(PlanYear,9,1),2)-1,7)+1)=AF$5,", "&amp;6,"")&amp;IF(INDEX($Q$41:$W$51,2*INT((6+WEEKDAY(DATE(PlanYear,9,1),2)-1)/7)+1,MOD(6+WEEKDAY(DATE(PlanYear,9,1),2)-1,7)+1)=AF$5,", "&amp;7,"")&amp;IF(INDEX($Q$41:$W$51,2*INT((7+WEEKDAY(DATE(PlanYear,9,1),2)-1)/7)+1,MOD(7+WEEKDAY(DATE(PlanYear,9,1),2)-1,7)+1)=AF$5,", "&amp;8,"")&amp;IF(INDEX($Q$41:$W$51,2*INT((8+WEEKDAY(DATE(PlanYear,9,1),2)-1)/7)+1,MOD(8+WEEKDAY(DATE(PlanYear,9,1),2)-1,7)+1)=AF$5,", "&amp;9,"")&amp;IF(INDEX($Q$41:$W$51,2*INT((9+WEEKDAY(DATE(PlanYear,9,1),2)-1)/7)+1,MOD(9+WEEKDAY(DATE(PlanYear,9,1),2)-1,7)+1)=AF$5,", "&amp;10,"")&amp;IF(INDEX($Q$41:$W$51,2*INT((10+WEEKDAY(DATE(PlanYear,9,1),2)-1)/7)+1,MOD(10+WEEKDAY(DATE(PlanYear,9,1),2)-1,7)+1)=AF$5,", "&amp;11,"")&amp;IF(INDEX($Q$41:$W$51,2*INT((11+WEEKDAY(DATE(PlanYear,9,1),2)-1)/7)+1,MOD(11+WEEKDAY(DATE(PlanYear,9,1),2)-1,7)+1)=AF$5,", "&amp;12,"")&amp;IF(INDEX($Q$41:$W$51,2*INT((12+WEEKDAY(DATE(PlanYear,9,1),2)-1)/7)+1,MOD(12+WEEKDAY(DATE(PlanYear,9,1),2)-1,7)+1)=AF$5,", "&amp;13,"")&amp;IF(INDEX($Q$41:$W$51,2*INT((13+WEEKDAY(DATE(PlanYear,9,1),2)-1)/7)+1,MOD(13+WEEKDAY(DATE(PlanYear,9,1),2)-1,7)+1)=AF$5,", "&amp;14,"")&amp;IF(INDEX($Q$41:$W$51,2*INT((14+WEEKDAY(DATE(PlanYear,9,1),2)-1)/7)+1,MOD(14+WEEKDAY(DATE(PlanYear,9,1),2)-1,7)+1)=AF$5,", "&amp;15,"")&amp;IF(INDEX($Q$41:$W$51,2*INT((15+WEEKDAY(DATE(PlanYear,9,1),2)-1)/7)+1,MOD(15+WEEKDAY(DATE(PlanYear,9,1),2)-1,7)+1)=AF$5,", "&amp;16,"")&amp;IF(INDEX($Q$41:$W$51,2*INT((16+WEEKDAY(DATE(PlanYear,9,1),2)-1)/7)+1,MOD(16+WEEKDAY(DATE(PlanYear,9,1),2)-1,7)+1)=AF$5,", "&amp;17,"")&amp;IF(INDEX($Q$41:$W$51,2*INT((17+WEEKDAY(DATE(PlanYear,9,1),2)-1)/7)+1,MOD(17+WEEKDAY(DATE(PlanYear,9,1),2)-1,7)+1)=AF$5,", "&amp;18,"")&amp;IF(INDEX($Q$41:$W$51,2*INT((18+WEEKDAY(DATE(PlanYear,9,1),2)-1)/7)+1,MOD(18+WEEKDAY(DATE(PlanYear,9,1),2)-1,7)+1)=AF$5,", "&amp;19,"")&amp;IF(INDEX($Q$41:$W$51,2*INT((19+WEEKDAY(DATE(PlanYear,9,1),2)-1)/7)+1,MOD(19+WEEKDAY(DATE(PlanYear,9,1),2)-1,7)+1)=AF$5,", "&amp;20,"")&amp;IF(INDEX($Q$41:$W$51,2*INT((20+WEEKDAY(DATE(PlanYear,9,1),2)-1)/7)+1,MOD(20+WEEKDAY(DATE(PlanYear,9,1),2)-1,7)+1)=AF$5,", "&amp;21,"")&amp;IF(INDEX($Q$41:$W$51,2*INT((21+WEEKDAY(DATE(PlanYear,9,1),2)-1)/7)+1,MOD(21+WEEKDAY(DATE(PlanYear,9,1),2)-1,7)+1)=AF$5,", "&amp;22,"")&amp;IF(INDEX($Q$41:$W$51,2*INT((22+WEEKDAY(DATE(PlanYear,9,1),2)-1)/7)+1,MOD(22+WEEKDAY(DATE(PlanYear,9,1),2)-1,7)+1)=AF$5,", "&amp;23,"")&amp;IF(INDEX($Q$41:$W$51,2*INT((23+WEEKDAY(DATE(PlanYear,9,1),2)-1)/7)+1,MOD(23+WEEKDAY(DATE(PlanYear,9,1),2)-1,7)+1)=AF$5,", "&amp;24,"")&amp;IF(INDEX($Q$41:$W$51,2*INT((24+WEEKDAY(DATE(PlanYear,9,1),2)-1)/7)+1,MOD(24+WEEKDAY(DATE(PlanYear,9,1),2)-1,7)+1)=AF$5,", "&amp;25,"")&amp;IF(INDEX($Q$41:$W$51,2*INT((25+WEEKDAY(DATE(PlanYear,9,1),2)-1)/7)+1,MOD(25+WEEKDAY(DATE(PlanYear,9,1),2)-1,7)+1)=AF$5,", "&amp;26,"")&amp;IF(INDEX($Q$41:$W$51,2*INT((26+WEEKDAY(DATE(PlanYear,9,1),2)-1)/7)+1,MOD(26+WEEKDAY(DATE(PlanYear,9,1),2)-1,7)+1)=AF$5,", "&amp;27,"")&amp;IF(INDEX($Q$41:$W$51,2*INT((27+WEEKDAY(DATE(PlanYear,9,1),2)-1)/7)+1,MOD(27+WEEKDAY(DATE(PlanYear,9,1),2)-1,7)+1)=AF$5,", "&amp;28,"")&amp;IF(INDEX($Q$41:$W$51,2*INT((28+WEEKDAY(DATE(PlanYear,9,1),2)-1)/7)+1,MOD(28+WEEKDAY(DATE(PlanYear,9,1),2)-1,7)+1)=AF$5,", "&amp;29,"")&amp;IF(INDEX($Q$41:$W$51,2*INT((29+WEEKDAY(DATE(PlanYear,9,1),2)-1)/7)+1,MOD(29+WEEKDAY(DATE(PlanYear,9,1),2)-1,7)+1)=AF$5,", "&amp;30,"")&amp;IF(INDEX($Q$41:$W$51,2*INT((30+WEEKDAY(DATE(PlanYear,9,1),2)-1)/7)+1,MOD(30+WEEKDAY(DATE(PlanYear,9,1),2)-1,7)+1)=AF$5,", "&amp;31,""),3,200))</f>
        <v/>
      </c>
      <c r="AG14" s="16">
        <f>IF(AG$5="","",MID(IF(INDEX($Q$41:$W$51,2*INT((0+WEEKDAY(DATE(PlanYear,9,1),2)-1)/7)+1,MOD(0+WEEKDAY(DATE(PlanYear,9,1),2)-1,7)+1)=AG$5,", "&amp;1,"")&amp;IF(INDEX($Q$41:$W$51,2*INT((1+WEEKDAY(DATE(PlanYear,9,1),2)-1)/7)+1,MOD(1+WEEKDAY(DATE(PlanYear,9,1),2)-1,7)+1)=AG$5,", "&amp;2,"")&amp;IF(INDEX($Q$41:$W$51,2*INT((2+WEEKDAY(DATE(PlanYear,9,1),2)-1)/7)+1,MOD(2+WEEKDAY(DATE(PlanYear,9,1),2)-1,7)+1)=AG$5,", "&amp;3,"")&amp;IF(INDEX($Q$41:$W$51,2*INT((3+WEEKDAY(DATE(PlanYear,9,1),2)-1)/7)+1,MOD(3+WEEKDAY(DATE(PlanYear,9,1),2)-1,7)+1)=AG$5,", "&amp;4,"")&amp;IF(INDEX($Q$41:$W$51,2*INT((4+WEEKDAY(DATE(PlanYear,9,1),2)-1)/7)+1,MOD(4+WEEKDAY(DATE(PlanYear,9,1),2)-1,7)+1)=AG$5,", "&amp;5,"")&amp;IF(INDEX($Q$41:$W$51,2*INT((5+WEEKDAY(DATE(PlanYear,9,1),2)-1)/7)+1,MOD(5+WEEKDAY(DATE(PlanYear,9,1),2)-1,7)+1)=AG$5,", "&amp;6,"")&amp;IF(INDEX($Q$41:$W$51,2*INT((6+WEEKDAY(DATE(PlanYear,9,1),2)-1)/7)+1,MOD(6+WEEKDAY(DATE(PlanYear,9,1),2)-1,7)+1)=AG$5,", "&amp;7,"")&amp;IF(INDEX($Q$41:$W$51,2*INT((7+WEEKDAY(DATE(PlanYear,9,1),2)-1)/7)+1,MOD(7+WEEKDAY(DATE(PlanYear,9,1),2)-1,7)+1)=AG$5,", "&amp;8,"")&amp;IF(INDEX($Q$41:$W$51,2*INT((8+WEEKDAY(DATE(PlanYear,9,1),2)-1)/7)+1,MOD(8+WEEKDAY(DATE(PlanYear,9,1),2)-1,7)+1)=AG$5,", "&amp;9,"")&amp;IF(INDEX($Q$41:$W$51,2*INT((9+WEEKDAY(DATE(PlanYear,9,1),2)-1)/7)+1,MOD(9+WEEKDAY(DATE(PlanYear,9,1),2)-1,7)+1)=AG$5,", "&amp;10,"")&amp;IF(INDEX($Q$41:$W$51,2*INT((10+WEEKDAY(DATE(PlanYear,9,1),2)-1)/7)+1,MOD(10+WEEKDAY(DATE(PlanYear,9,1),2)-1,7)+1)=AG$5,", "&amp;11,"")&amp;IF(INDEX($Q$41:$W$51,2*INT((11+WEEKDAY(DATE(PlanYear,9,1),2)-1)/7)+1,MOD(11+WEEKDAY(DATE(PlanYear,9,1),2)-1,7)+1)=AG$5,", "&amp;12,"")&amp;IF(INDEX($Q$41:$W$51,2*INT((12+WEEKDAY(DATE(PlanYear,9,1),2)-1)/7)+1,MOD(12+WEEKDAY(DATE(PlanYear,9,1),2)-1,7)+1)=AG$5,", "&amp;13,"")&amp;IF(INDEX($Q$41:$W$51,2*INT((13+WEEKDAY(DATE(PlanYear,9,1),2)-1)/7)+1,MOD(13+WEEKDAY(DATE(PlanYear,9,1),2)-1,7)+1)=AG$5,", "&amp;14,"")&amp;IF(INDEX($Q$41:$W$51,2*INT((14+WEEKDAY(DATE(PlanYear,9,1),2)-1)/7)+1,MOD(14+WEEKDAY(DATE(PlanYear,9,1),2)-1,7)+1)=AG$5,", "&amp;15,"")&amp;IF(INDEX($Q$41:$W$51,2*INT((15+WEEKDAY(DATE(PlanYear,9,1),2)-1)/7)+1,MOD(15+WEEKDAY(DATE(PlanYear,9,1),2)-1,7)+1)=AG$5,", "&amp;16,"")&amp;IF(INDEX($Q$41:$W$51,2*INT((16+WEEKDAY(DATE(PlanYear,9,1),2)-1)/7)+1,MOD(16+WEEKDAY(DATE(PlanYear,9,1),2)-1,7)+1)=AG$5,", "&amp;17,"")&amp;IF(INDEX($Q$41:$W$51,2*INT((17+WEEKDAY(DATE(PlanYear,9,1),2)-1)/7)+1,MOD(17+WEEKDAY(DATE(PlanYear,9,1),2)-1,7)+1)=AG$5,", "&amp;18,"")&amp;IF(INDEX($Q$41:$W$51,2*INT((18+WEEKDAY(DATE(PlanYear,9,1),2)-1)/7)+1,MOD(18+WEEKDAY(DATE(PlanYear,9,1),2)-1,7)+1)=AG$5,", "&amp;19,"")&amp;IF(INDEX($Q$41:$W$51,2*INT((19+WEEKDAY(DATE(PlanYear,9,1),2)-1)/7)+1,MOD(19+WEEKDAY(DATE(PlanYear,9,1),2)-1,7)+1)=AG$5,", "&amp;20,"")&amp;IF(INDEX($Q$41:$W$51,2*INT((20+WEEKDAY(DATE(PlanYear,9,1),2)-1)/7)+1,MOD(20+WEEKDAY(DATE(PlanYear,9,1),2)-1,7)+1)=AG$5,", "&amp;21,"")&amp;IF(INDEX($Q$41:$W$51,2*INT((21+WEEKDAY(DATE(PlanYear,9,1),2)-1)/7)+1,MOD(21+WEEKDAY(DATE(PlanYear,9,1),2)-1,7)+1)=AG$5,", "&amp;22,"")&amp;IF(INDEX($Q$41:$W$51,2*INT((22+WEEKDAY(DATE(PlanYear,9,1),2)-1)/7)+1,MOD(22+WEEKDAY(DATE(PlanYear,9,1),2)-1,7)+1)=AG$5,", "&amp;23,"")&amp;IF(INDEX($Q$41:$W$51,2*INT((23+WEEKDAY(DATE(PlanYear,9,1),2)-1)/7)+1,MOD(23+WEEKDAY(DATE(PlanYear,9,1),2)-1,7)+1)=AG$5,", "&amp;24,"")&amp;IF(INDEX($Q$41:$W$51,2*INT((24+WEEKDAY(DATE(PlanYear,9,1),2)-1)/7)+1,MOD(24+WEEKDAY(DATE(PlanYear,9,1),2)-1,7)+1)=AG$5,", "&amp;25,"")&amp;IF(INDEX($Q$41:$W$51,2*INT((25+WEEKDAY(DATE(PlanYear,9,1),2)-1)/7)+1,MOD(25+WEEKDAY(DATE(PlanYear,9,1),2)-1,7)+1)=AG$5,", "&amp;26,"")&amp;IF(INDEX($Q$41:$W$51,2*INT((26+WEEKDAY(DATE(PlanYear,9,1),2)-1)/7)+1,MOD(26+WEEKDAY(DATE(PlanYear,9,1),2)-1,7)+1)=AG$5,", "&amp;27,"")&amp;IF(INDEX($Q$41:$W$51,2*INT((27+WEEKDAY(DATE(PlanYear,9,1),2)-1)/7)+1,MOD(27+WEEKDAY(DATE(PlanYear,9,1),2)-1,7)+1)=AG$5,", "&amp;28,"")&amp;IF(INDEX($Q$41:$W$51,2*INT((28+WEEKDAY(DATE(PlanYear,9,1),2)-1)/7)+1,MOD(28+WEEKDAY(DATE(PlanYear,9,1),2)-1,7)+1)=AG$5,", "&amp;29,"")&amp;IF(INDEX($Q$41:$W$51,2*INT((29+WEEKDAY(DATE(PlanYear,9,1),2)-1)/7)+1,MOD(29+WEEKDAY(DATE(PlanYear,9,1),2)-1,7)+1)=AG$5,", "&amp;30,"")&amp;IF(INDEX($Q$41:$W$51,2*INT((30+WEEKDAY(DATE(PlanYear,9,1),2)-1)/7)+1,MOD(30+WEEKDAY(DATE(PlanYear,9,1),2)-1,7)+1)=AG$5,", "&amp;31,""),3,200))</f>
        <v/>
      </c>
      <c r="AH14" s="16">
        <f>IF(AH$5="","",MID(IF(INDEX($Q$41:$W$51,2*INT((0+WEEKDAY(DATE(PlanYear,9,1),2)-1)/7)+1,MOD(0+WEEKDAY(DATE(PlanYear,9,1),2)-1,7)+1)=AH$5,", "&amp;1,"")&amp;IF(INDEX($Q$41:$W$51,2*INT((1+WEEKDAY(DATE(PlanYear,9,1),2)-1)/7)+1,MOD(1+WEEKDAY(DATE(PlanYear,9,1),2)-1,7)+1)=AH$5,", "&amp;2,"")&amp;IF(INDEX($Q$41:$W$51,2*INT((2+WEEKDAY(DATE(PlanYear,9,1),2)-1)/7)+1,MOD(2+WEEKDAY(DATE(PlanYear,9,1),2)-1,7)+1)=AH$5,", "&amp;3,"")&amp;IF(INDEX($Q$41:$W$51,2*INT((3+WEEKDAY(DATE(PlanYear,9,1),2)-1)/7)+1,MOD(3+WEEKDAY(DATE(PlanYear,9,1),2)-1,7)+1)=AH$5,", "&amp;4,"")&amp;IF(INDEX($Q$41:$W$51,2*INT((4+WEEKDAY(DATE(PlanYear,9,1),2)-1)/7)+1,MOD(4+WEEKDAY(DATE(PlanYear,9,1),2)-1,7)+1)=AH$5,", "&amp;5,"")&amp;IF(INDEX($Q$41:$W$51,2*INT((5+WEEKDAY(DATE(PlanYear,9,1),2)-1)/7)+1,MOD(5+WEEKDAY(DATE(PlanYear,9,1),2)-1,7)+1)=AH$5,", "&amp;6,"")&amp;IF(INDEX($Q$41:$W$51,2*INT((6+WEEKDAY(DATE(PlanYear,9,1),2)-1)/7)+1,MOD(6+WEEKDAY(DATE(PlanYear,9,1),2)-1,7)+1)=AH$5,", "&amp;7,"")&amp;IF(INDEX($Q$41:$W$51,2*INT((7+WEEKDAY(DATE(PlanYear,9,1),2)-1)/7)+1,MOD(7+WEEKDAY(DATE(PlanYear,9,1),2)-1,7)+1)=AH$5,", "&amp;8,"")&amp;IF(INDEX($Q$41:$W$51,2*INT((8+WEEKDAY(DATE(PlanYear,9,1),2)-1)/7)+1,MOD(8+WEEKDAY(DATE(PlanYear,9,1),2)-1,7)+1)=AH$5,", "&amp;9,"")&amp;IF(INDEX($Q$41:$W$51,2*INT((9+WEEKDAY(DATE(PlanYear,9,1),2)-1)/7)+1,MOD(9+WEEKDAY(DATE(PlanYear,9,1),2)-1,7)+1)=AH$5,", "&amp;10,"")&amp;IF(INDEX($Q$41:$W$51,2*INT((10+WEEKDAY(DATE(PlanYear,9,1),2)-1)/7)+1,MOD(10+WEEKDAY(DATE(PlanYear,9,1),2)-1,7)+1)=AH$5,", "&amp;11,"")&amp;IF(INDEX($Q$41:$W$51,2*INT((11+WEEKDAY(DATE(PlanYear,9,1),2)-1)/7)+1,MOD(11+WEEKDAY(DATE(PlanYear,9,1),2)-1,7)+1)=AH$5,", "&amp;12,"")&amp;IF(INDEX($Q$41:$W$51,2*INT((12+WEEKDAY(DATE(PlanYear,9,1),2)-1)/7)+1,MOD(12+WEEKDAY(DATE(PlanYear,9,1),2)-1,7)+1)=AH$5,", "&amp;13,"")&amp;IF(INDEX($Q$41:$W$51,2*INT((13+WEEKDAY(DATE(PlanYear,9,1),2)-1)/7)+1,MOD(13+WEEKDAY(DATE(PlanYear,9,1),2)-1,7)+1)=AH$5,", "&amp;14,"")&amp;IF(INDEX($Q$41:$W$51,2*INT((14+WEEKDAY(DATE(PlanYear,9,1),2)-1)/7)+1,MOD(14+WEEKDAY(DATE(PlanYear,9,1),2)-1,7)+1)=AH$5,", "&amp;15,"")&amp;IF(INDEX($Q$41:$W$51,2*INT((15+WEEKDAY(DATE(PlanYear,9,1),2)-1)/7)+1,MOD(15+WEEKDAY(DATE(PlanYear,9,1),2)-1,7)+1)=AH$5,", "&amp;16,"")&amp;IF(INDEX($Q$41:$W$51,2*INT((16+WEEKDAY(DATE(PlanYear,9,1),2)-1)/7)+1,MOD(16+WEEKDAY(DATE(PlanYear,9,1),2)-1,7)+1)=AH$5,", "&amp;17,"")&amp;IF(INDEX($Q$41:$W$51,2*INT((17+WEEKDAY(DATE(PlanYear,9,1),2)-1)/7)+1,MOD(17+WEEKDAY(DATE(PlanYear,9,1),2)-1,7)+1)=AH$5,", "&amp;18,"")&amp;IF(INDEX($Q$41:$W$51,2*INT((18+WEEKDAY(DATE(PlanYear,9,1),2)-1)/7)+1,MOD(18+WEEKDAY(DATE(PlanYear,9,1),2)-1,7)+1)=AH$5,", "&amp;19,"")&amp;IF(INDEX($Q$41:$W$51,2*INT((19+WEEKDAY(DATE(PlanYear,9,1),2)-1)/7)+1,MOD(19+WEEKDAY(DATE(PlanYear,9,1),2)-1,7)+1)=AH$5,", "&amp;20,"")&amp;IF(INDEX($Q$41:$W$51,2*INT((20+WEEKDAY(DATE(PlanYear,9,1),2)-1)/7)+1,MOD(20+WEEKDAY(DATE(PlanYear,9,1),2)-1,7)+1)=AH$5,", "&amp;21,"")&amp;IF(INDEX($Q$41:$W$51,2*INT((21+WEEKDAY(DATE(PlanYear,9,1),2)-1)/7)+1,MOD(21+WEEKDAY(DATE(PlanYear,9,1),2)-1,7)+1)=AH$5,", "&amp;22,"")&amp;IF(INDEX($Q$41:$W$51,2*INT((22+WEEKDAY(DATE(PlanYear,9,1),2)-1)/7)+1,MOD(22+WEEKDAY(DATE(PlanYear,9,1),2)-1,7)+1)=AH$5,", "&amp;23,"")&amp;IF(INDEX($Q$41:$W$51,2*INT((23+WEEKDAY(DATE(PlanYear,9,1),2)-1)/7)+1,MOD(23+WEEKDAY(DATE(PlanYear,9,1),2)-1,7)+1)=AH$5,", "&amp;24,"")&amp;IF(INDEX($Q$41:$W$51,2*INT((24+WEEKDAY(DATE(PlanYear,9,1),2)-1)/7)+1,MOD(24+WEEKDAY(DATE(PlanYear,9,1),2)-1,7)+1)=AH$5,", "&amp;25,"")&amp;IF(INDEX($Q$41:$W$51,2*INT((25+WEEKDAY(DATE(PlanYear,9,1),2)-1)/7)+1,MOD(25+WEEKDAY(DATE(PlanYear,9,1),2)-1,7)+1)=AH$5,", "&amp;26,"")&amp;IF(INDEX($Q$41:$W$51,2*INT((26+WEEKDAY(DATE(PlanYear,9,1),2)-1)/7)+1,MOD(26+WEEKDAY(DATE(PlanYear,9,1),2)-1,7)+1)=AH$5,", "&amp;27,"")&amp;IF(INDEX($Q$41:$W$51,2*INT((27+WEEKDAY(DATE(PlanYear,9,1),2)-1)/7)+1,MOD(27+WEEKDAY(DATE(PlanYear,9,1),2)-1,7)+1)=AH$5,", "&amp;28,"")&amp;IF(INDEX($Q$41:$W$51,2*INT((28+WEEKDAY(DATE(PlanYear,9,1),2)-1)/7)+1,MOD(28+WEEKDAY(DATE(PlanYear,9,1),2)-1,7)+1)=AH$5,", "&amp;29,"")&amp;IF(INDEX($Q$41:$W$51,2*INT((29+WEEKDAY(DATE(PlanYear,9,1),2)-1)/7)+1,MOD(29+WEEKDAY(DATE(PlanYear,9,1),2)-1,7)+1)=AH$5,", "&amp;30,"")&amp;IF(INDEX($Q$41:$W$51,2*INT((30+WEEKDAY(DATE(PlanYear,9,1),2)-1)/7)+1,MOD(30+WEEKDAY(DATE(PlanYear,9,1),2)-1,7)+1)=AH$5,", "&amp;31,""),3,200))</f>
        <v/>
      </c>
      <c r="AI14" s="16">
        <f>IF(AI$5="","",MID(IF(INDEX($Q$41:$W$51,2*INT((0+WEEKDAY(DATE(PlanYear,9,1),2)-1)/7)+1,MOD(0+WEEKDAY(DATE(PlanYear,9,1),2)-1,7)+1)=AI$5,", "&amp;1,"")&amp;IF(INDEX($Q$41:$W$51,2*INT((1+WEEKDAY(DATE(PlanYear,9,1),2)-1)/7)+1,MOD(1+WEEKDAY(DATE(PlanYear,9,1),2)-1,7)+1)=AI$5,", "&amp;2,"")&amp;IF(INDEX($Q$41:$W$51,2*INT((2+WEEKDAY(DATE(PlanYear,9,1),2)-1)/7)+1,MOD(2+WEEKDAY(DATE(PlanYear,9,1),2)-1,7)+1)=AI$5,", "&amp;3,"")&amp;IF(INDEX($Q$41:$W$51,2*INT((3+WEEKDAY(DATE(PlanYear,9,1),2)-1)/7)+1,MOD(3+WEEKDAY(DATE(PlanYear,9,1),2)-1,7)+1)=AI$5,", "&amp;4,"")&amp;IF(INDEX($Q$41:$W$51,2*INT((4+WEEKDAY(DATE(PlanYear,9,1),2)-1)/7)+1,MOD(4+WEEKDAY(DATE(PlanYear,9,1),2)-1,7)+1)=AI$5,", "&amp;5,"")&amp;IF(INDEX($Q$41:$W$51,2*INT((5+WEEKDAY(DATE(PlanYear,9,1),2)-1)/7)+1,MOD(5+WEEKDAY(DATE(PlanYear,9,1),2)-1,7)+1)=AI$5,", "&amp;6,"")&amp;IF(INDEX($Q$41:$W$51,2*INT((6+WEEKDAY(DATE(PlanYear,9,1),2)-1)/7)+1,MOD(6+WEEKDAY(DATE(PlanYear,9,1),2)-1,7)+1)=AI$5,", "&amp;7,"")&amp;IF(INDEX($Q$41:$W$51,2*INT((7+WEEKDAY(DATE(PlanYear,9,1),2)-1)/7)+1,MOD(7+WEEKDAY(DATE(PlanYear,9,1),2)-1,7)+1)=AI$5,", "&amp;8,"")&amp;IF(INDEX($Q$41:$W$51,2*INT((8+WEEKDAY(DATE(PlanYear,9,1),2)-1)/7)+1,MOD(8+WEEKDAY(DATE(PlanYear,9,1),2)-1,7)+1)=AI$5,", "&amp;9,"")&amp;IF(INDEX($Q$41:$W$51,2*INT((9+WEEKDAY(DATE(PlanYear,9,1),2)-1)/7)+1,MOD(9+WEEKDAY(DATE(PlanYear,9,1),2)-1,7)+1)=AI$5,", "&amp;10,"")&amp;IF(INDEX($Q$41:$W$51,2*INT((10+WEEKDAY(DATE(PlanYear,9,1),2)-1)/7)+1,MOD(10+WEEKDAY(DATE(PlanYear,9,1),2)-1,7)+1)=AI$5,", "&amp;11,"")&amp;IF(INDEX($Q$41:$W$51,2*INT((11+WEEKDAY(DATE(PlanYear,9,1),2)-1)/7)+1,MOD(11+WEEKDAY(DATE(PlanYear,9,1),2)-1,7)+1)=AI$5,", "&amp;12,"")&amp;IF(INDEX($Q$41:$W$51,2*INT((12+WEEKDAY(DATE(PlanYear,9,1),2)-1)/7)+1,MOD(12+WEEKDAY(DATE(PlanYear,9,1),2)-1,7)+1)=AI$5,", "&amp;13,"")&amp;IF(INDEX($Q$41:$W$51,2*INT((13+WEEKDAY(DATE(PlanYear,9,1),2)-1)/7)+1,MOD(13+WEEKDAY(DATE(PlanYear,9,1),2)-1,7)+1)=AI$5,", "&amp;14,"")&amp;IF(INDEX($Q$41:$W$51,2*INT((14+WEEKDAY(DATE(PlanYear,9,1),2)-1)/7)+1,MOD(14+WEEKDAY(DATE(PlanYear,9,1),2)-1,7)+1)=AI$5,", "&amp;15,"")&amp;IF(INDEX($Q$41:$W$51,2*INT((15+WEEKDAY(DATE(PlanYear,9,1),2)-1)/7)+1,MOD(15+WEEKDAY(DATE(PlanYear,9,1),2)-1,7)+1)=AI$5,", "&amp;16,"")&amp;IF(INDEX($Q$41:$W$51,2*INT((16+WEEKDAY(DATE(PlanYear,9,1),2)-1)/7)+1,MOD(16+WEEKDAY(DATE(PlanYear,9,1),2)-1,7)+1)=AI$5,", "&amp;17,"")&amp;IF(INDEX($Q$41:$W$51,2*INT((17+WEEKDAY(DATE(PlanYear,9,1),2)-1)/7)+1,MOD(17+WEEKDAY(DATE(PlanYear,9,1),2)-1,7)+1)=AI$5,", "&amp;18,"")&amp;IF(INDEX($Q$41:$W$51,2*INT((18+WEEKDAY(DATE(PlanYear,9,1),2)-1)/7)+1,MOD(18+WEEKDAY(DATE(PlanYear,9,1),2)-1,7)+1)=AI$5,", "&amp;19,"")&amp;IF(INDEX($Q$41:$W$51,2*INT((19+WEEKDAY(DATE(PlanYear,9,1),2)-1)/7)+1,MOD(19+WEEKDAY(DATE(PlanYear,9,1),2)-1,7)+1)=AI$5,", "&amp;20,"")&amp;IF(INDEX($Q$41:$W$51,2*INT((20+WEEKDAY(DATE(PlanYear,9,1),2)-1)/7)+1,MOD(20+WEEKDAY(DATE(PlanYear,9,1),2)-1,7)+1)=AI$5,", "&amp;21,"")&amp;IF(INDEX($Q$41:$W$51,2*INT((21+WEEKDAY(DATE(PlanYear,9,1),2)-1)/7)+1,MOD(21+WEEKDAY(DATE(PlanYear,9,1),2)-1,7)+1)=AI$5,", "&amp;22,"")&amp;IF(INDEX($Q$41:$W$51,2*INT((22+WEEKDAY(DATE(PlanYear,9,1),2)-1)/7)+1,MOD(22+WEEKDAY(DATE(PlanYear,9,1),2)-1,7)+1)=AI$5,", "&amp;23,"")&amp;IF(INDEX($Q$41:$W$51,2*INT((23+WEEKDAY(DATE(PlanYear,9,1),2)-1)/7)+1,MOD(23+WEEKDAY(DATE(PlanYear,9,1),2)-1,7)+1)=AI$5,", "&amp;24,"")&amp;IF(INDEX($Q$41:$W$51,2*INT((24+WEEKDAY(DATE(PlanYear,9,1),2)-1)/7)+1,MOD(24+WEEKDAY(DATE(PlanYear,9,1),2)-1,7)+1)=AI$5,", "&amp;25,"")&amp;IF(INDEX($Q$41:$W$51,2*INT((25+WEEKDAY(DATE(PlanYear,9,1),2)-1)/7)+1,MOD(25+WEEKDAY(DATE(PlanYear,9,1),2)-1,7)+1)=AI$5,", "&amp;26,"")&amp;IF(INDEX($Q$41:$W$51,2*INT((26+WEEKDAY(DATE(PlanYear,9,1),2)-1)/7)+1,MOD(26+WEEKDAY(DATE(PlanYear,9,1),2)-1,7)+1)=AI$5,", "&amp;27,"")&amp;IF(INDEX($Q$41:$W$51,2*INT((27+WEEKDAY(DATE(PlanYear,9,1),2)-1)/7)+1,MOD(27+WEEKDAY(DATE(PlanYear,9,1),2)-1,7)+1)=AI$5,", "&amp;28,"")&amp;IF(INDEX($Q$41:$W$51,2*INT((28+WEEKDAY(DATE(PlanYear,9,1),2)-1)/7)+1,MOD(28+WEEKDAY(DATE(PlanYear,9,1),2)-1,7)+1)=AI$5,", "&amp;29,"")&amp;IF(INDEX($Q$41:$W$51,2*INT((29+WEEKDAY(DATE(PlanYear,9,1),2)-1)/7)+1,MOD(29+WEEKDAY(DATE(PlanYear,9,1),2)-1,7)+1)=AI$5,", "&amp;30,"")&amp;IF(INDEX($Q$41:$W$51,2*INT((30+WEEKDAY(DATE(PlanYear,9,1),2)-1)/7)+1,MOD(30+WEEKDAY(DATE(PlanYear,9,1),2)-1,7)+1)=AI$5,", "&amp;31,""),3,200))</f>
        <v/>
      </c>
      <c r="AJ14" s="16">
        <f>IF(AJ$5="","",MID(IF(INDEX($Q$41:$W$51,2*INT((0+WEEKDAY(DATE(PlanYear,9,1),2)-1)/7)+1,MOD(0+WEEKDAY(DATE(PlanYear,9,1),2)-1,7)+1)=AJ$5,", "&amp;1,"")&amp;IF(INDEX($Q$41:$W$51,2*INT((1+WEEKDAY(DATE(PlanYear,9,1),2)-1)/7)+1,MOD(1+WEEKDAY(DATE(PlanYear,9,1),2)-1,7)+1)=AJ$5,", "&amp;2,"")&amp;IF(INDEX($Q$41:$W$51,2*INT((2+WEEKDAY(DATE(PlanYear,9,1),2)-1)/7)+1,MOD(2+WEEKDAY(DATE(PlanYear,9,1),2)-1,7)+1)=AJ$5,", "&amp;3,"")&amp;IF(INDEX($Q$41:$W$51,2*INT((3+WEEKDAY(DATE(PlanYear,9,1),2)-1)/7)+1,MOD(3+WEEKDAY(DATE(PlanYear,9,1),2)-1,7)+1)=AJ$5,", "&amp;4,"")&amp;IF(INDEX($Q$41:$W$51,2*INT((4+WEEKDAY(DATE(PlanYear,9,1),2)-1)/7)+1,MOD(4+WEEKDAY(DATE(PlanYear,9,1),2)-1,7)+1)=AJ$5,", "&amp;5,"")&amp;IF(INDEX($Q$41:$W$51,2*INT((5+WEEKDAY(DATE(PlanYear,9,1),2)-1)/7)+1,MOD(5+WEEKDAY(DATE(PlanYear,9,1),2)-1,7)+1)=AJ$5,", "&amp;6,"")&amp;IF(INDEX($Q$41:$W$51,2*INT((6+WEEKDAY(DATE(PlanYear,9,1),2)-1)/7)+1,MOD(6+WEEKDAY(DATE(PlanYear,9,1),2)-1,7)+1)=AJ$5,", "&amp;7,"")&amp;IF(INDEX($Q$41:$W$51,2*INT((7+WEEKDAY(DATE(PlanYear,9,1),2)-1)/7)+1,MOD(7+WEEKDAY(DATE(PlanYear,9,1),2)-1,7)+1)=AJ$5,", "&amp;8,"")&amp;IF(INDEX($Q$41:$W$51,2*INT((8+WEEKDAY(DATE(PlanYear,9,1),2)-1)/7)+1,MOD(8+WEEKDAY(DATE(PlanYear,9,1),2)-1,7)+1)=AJ$5,", "&amp;9,"")&amp;IF(INDEX($Q$41:$W$51,2*INT((9+WEEKDAY(DATE(PlanYear,9,1),2)-1)/7)+1,MOD(9+WEEKDAY(DATE(PlanYear,9,1),2)-1,7)+1)=AJ$5,", "&amp;10,"")&amp;IF(INDEX($Q$41:$W$51,2*INT((10+WEEKDAY(DATE(PlanYear,9,1),2)-1)/7)+1,MOD(10+WEEKDAY(DATE(PlanYear,9,1),2)-1,7)+1)=AJ$5,", "&amp;11,"")&amp;IF(INDEX($Q$41:$W$51,2*INT((11+WEEKDAY(DATE(PlanYear,9,1),2)-1)/7)+1,MOD(11+WEEKDAY(DATE(PlanYear,9,1),2)-1,7)+1)=AJ$5,", "&amp;12,"")&amp;IF(INDEX($Q$41:$W$51,2*INT((12+WEEKDAY(DATE(PlanYear,9,1),2)-1)/7)+1,MOD(12+WEEKDAY(DATE(PlanYear,9,1),2)-1,7)+1)=AJ$5,", "&amp;13,"")&amp;IF(INDEX($Q$41:$W$51,2*INT((13+WEEKDAY(DATE(PlanYear,9,1),2)-1)/7)+1,MOD(13+WEEKDAY(DATE(PlanYear,9,1),2)-1,7)+1)=AJ$5,", "&amp;14,"")&amp;IF(INDEX($Q$41:$W$51,2*INT((14+WEEKDAY(DATE(PlanYear,9,1),2)-1)/7)+1,MOD(14+WEEKDAY(DATE(PlanYear,9,1),2)-1,7)+1)=AJ$5,", "&amp;15,"")&amp;IF(INDEX($Q$41:$W$51,2*INT((15+WEEKDAY(DATE(PlanYear,9,1),2)-1)/7)+1,MOD(15+WEEKDAY(DATE(PlanYear,9,1),2)-1,7)+1)=AJ$5,", "&amp;16,"")&amp;IF(INDEX($Q$41:$W$51,2*INT((16+WEEKDAY(DATE(PlanYear,9,1),2)-1)/7)+1,MOD(16+WEEKDAY(DATE(PlanYear,9,1),2)-1,7)+1)=AJ$5,", "&amp;17,"")&amp;IF(INDEX($Q$41:$W$51,2*INT((17+WEEKDAY(DATE(PlanYear,9,1),2)-1)/7)+1,MOD(17+WEEKDAY(DATE(PlanYear,9,1),2)-1,7)+1)=AJ$5,", "&amp;18,"")&amp;IF(INDEX($Q$41:$W$51,2*INT((18+WEEKDAY(DATE(PlanYear,9,1),2)-1)/7)+1,MOD(18+WEEKDAY(DATE(PlanYear,9,1),2)-1,7)+1)=AJ$5,", "&amp;19,"")&amp;IF(INDEX($Q$41:$W$51,2*INT((19+WEEKDAY(DATE(PlanYear,9,1),2)-1)/7)+1,MOD(19+WEEKDAY(DATE(PlanYear,9,1),2)-1,7)+1)=AJ$5,", "&amp;20,"")&amp;IF(INDEX($Q$41:$W$51,2*INT((20+WEEKDAY(DATE(PlanYear,9,1),2)-1)/7)+1,MOD(20+WEEKDAY(DATE(PlanYear,9,1),2)-1,7)+1)=AJ$5,", "&amp;21,"")&amp;IF(INDEX($Q$41:$W$51,2*INT((21+WEEKDAY(DATE(PlanYear,9,1),2)-1)/7)+1,MOD(21+WEEKDAY(DATE(PlanYear,9,1),2)-1,7)+1)=AJ$5,", "&amp;22,"")&amp;IF(INDEX($Q$41:$W$51,2*INT((22+WEEKDAY(DATE(PlanYear,9,1),2)-1)/7)+1,MOD(22+WEEKDAY(DATE(PlanYear,9,1),2)-1,7)+1)=AJ$5,", "&amp;23,"")&amp;IF(INDEX($Q$41:$W$51,2*INT((23+WEEKDAY(DATE(PlanYear,9,1),2)-1)/7)+1,MOD(23+WEEKDAY(DATE(PlanYear,9,1),2)-1,7)+1)=AJ$5,", "&amp;24,"")&amp;IF(INDEX($Q$41:$W$51,2*INT((24+WEEKDAY(DATE(PlanYear,9,1),2)-1)/7)+1,MOD(24+WEEKDAY(DATE(PlanYear,9,1),2)-1,7)+1)=AJ$5,", "&amp;25,"")&amp;IF(INDEX($Q$41:$W$51,2*INT((25+WEEKDAY(DATE(PlanYear,9,1),2)-1)/7)+1,MOD(25+WEEKDAY(DATE(PlanYear,9,1),2)-1,7)+1)=AJ$5,", "&amp;26,"")&amp;IF(INDEX($Q$41:$W$51,2*INT((26+WEEKDAY(DATE(PlanYear,9,1),2)-1)/7)+1,MOD(26+WEEKDAY(DATE(PlanYear,9,1),2)-1,7)+1)=AJ$5,", "&amp;27,"")&amp;IF(INDEX($Q$41:$W$51,2*INT((27+WEEKDAY(DATE(PlanYear,9,1),2)-1)/7)+1,MOD(27+WEEKDAY(DATE(PlanYear,9,1),2)-1,7)+1)=AJ$5,", "&amp;28,"")&amp;IF(INDEX($Q$41:$W$51,2*INT((28+WEEKDAY(DATE(PlanYear,9,1),2)-1)/7)+1,MOD(28+WEEKDAY(DATE(PlanYear,9,1),2)-1,7)+1)=AJ$5,", "&amp;29,"")&amp;IF(INDEX($Q$41:$W$51,2*INT((29+WEEKDAY(DATE(PlanYear,9,1),2)-1)/7)+1,MOD(29+WEEKDAY(DATE(PlanYear,9,1),2)-1,7)+1)=AJ$5,", "&amp;30,"")&amp;IF(INDEX($Q$41:$W$51,2*INT((30+WEEKDAY(DATE(PlanYear,9,1),2)-1)/7)+1,MOD(30+WEEKDAY(DATE(PlanYear,9,1),2)-1,7)+1)=AJ$5,", "&amp;31,""),3,200))</f>
        <v/>
      </c>
      <c r="AK14" s="17">
        <f>DAY(EOMONTH(DATE(PlanYear,9,1),0))-COUNTIF($Q$41:$W$51,"?*")</f>
        <v/>
      </c>
    </row>
    <row r="15" ht="26" customHeight="1">
      <c r="A15" s="21" t="n"/>
      <c r="B15" s="21" t="n"/>
      <c r="C15" s="21" t="n"/>
      <c r="D15" s="21" t="n"/>
      <c r="E15" s="21" t="n"/>
      <c r="F15" s="21" t="n"/>
      <c r="G15" s="21" t="n"/>
      <c r="I15" s="21" t="n"/>
      <c r="J15" s="21" t="n"/>
      <c r="K15" s="21" t="n"/>
      <c r="L15" s="21" t="n"/>
      <c r="M15" s="21" t="n"/>
      <c r="N15" s="21" t="n"/>
      <c r="O15" s="21" t="n"/>
      <c r="Q15" s="21" t="n"/>
      <c r="R15" s="21" t="n"/>
      <c r="S15" s="21" t="n"/>
      <c r="T15" s="21" t="n"/>
      <c r="U15" s="21" t="n"/>
      <c r="V15" s="21" t="n"/>
      <c r="W15" s="21" t="n"/>
      <c r="Z15" s="15" t="inlineStr">
        <is>
          <t>October</t>
        </is>
      </c>
      <c r="AA15" s="16">
        <f>IF(AA$5="","",MID(IF(INDEX($A$57:$G$67,2*INT((0+WEEKDAY(DATE(PlanYear,10,1),2)-1)/7)+1,MOD(0+WEEKDAY(DATE(PlanYear,10,1),2)-1,7)+1)=AA$5,", "&amp;1,"")&amp;IF(INDEX($A$57:$G$67,2*INT((1+WEEKDAY(DATE(PlanYear,10,1),2)-1)/7)+1,MOD(1+WEEKDAY(DATE(PlanYear,10,1),2)-1,7)+1)=AA$5,", "&amp;2,"")&amp;IF(INDEX($A$57:$G$67,2*INT((2+WEEKDAY(DATE(PlanYear,10,1),2)-1)/7)+1,MOD(2+WEEKDAY(DATE(PlanYear,10,1),2)-1,7)+1)=AA$5,", "&amp;3,"")&amp;IF(INDEX($A$57:$G$67,2*INT((3+WEEKDAY(DATE(PlanYear,10,1),2)-1)/7)+1,MOD(3+WEEKDAY(DATE(PlanYear,10,1),2)-1,7)+1)=AA$5,", "&amp;4,"")&amp;IF(INDEX($A$57:$G$67,2*INT((4+WEEKDAY(DATE(PlanYear,10,1),2)-1)/7)+1,MOD(4+WEEKDAY(DATE(PlanYear,10,1),2)-1,7)+1)=AA$5,", "&amp;5,"")&amp;IF(INDEX($A$57:$G$67,2*INT((5+WEEKDAY(DATE(PlanYear,10,1),2)-1)/7)+1,MOD(5+WEEKDAY(DATE(PlanYear,10,1),2)-1,7)+1)=AA$5,", "&amp;6,"")&amp;IF(INDEX($A$57:$G$67,2*INT((6+WEEKDAY(DATE(PlanYear,10,1),2)-1)/7)+1,MOD(6+WEEKDAY(DATE(PlanYear,10,1),2)-1,7)+1)=AA$5,", "&amp;7,"")&amp;IF(INDEX($A$57:$G$67,2*INT((7+WEEKDAY(DATE(PlanYear,10,1),2)-1)/7)+1,MOD(7+WEEKDAY(DATE(PlanYear,10,1),2)-1,7)+1)=AA$5,", "&amp;8,"")&amp;IF(INDEX($A$57:$G$67,2*INT((8+WEEKDAY(DATE(PlanYear,10,1),2)-1)/7)+1,MOD(8+WEEKDAY(DATE(PlanYear,10,1),2)-1,7)+1)=AA$5,", "&amp;9,"")&amp;IF(INDEX($A$57:$G$67,2*INT((9+WEEKDAY(DATE(PlanYear,10,1),2)-1)/7)+1,MOD(9+WEEKDAY(DATE(PlanYear,10,1),2)-1,7)+1)=AA$5,", "&amp;10,"")&amp;IF(INDEX($A$57:$G$67,2*INT((10+WEEKDAY(DATE(PlanYear,10,1),2)-1)/7)+1,MOD(10+WEEKDAY(DATE(PlanYear,10,1),2)-1,7)+1)=AA$5,", "&amp;11,"")&amp;IF(INDEX($A$57:$G$67,2*INT((11+WEEKDAY(DATE(PlanYear,10,1),2)-1)/7)+1,MOD(11+WEEKDAY(DATE(PlanYear,10,1),2)-1,7)+1)=AA$5,", "&amp;12,"")&amp;IF(INDEX($A$57:$G$67,2*INT((12+WEEKDAY(DATE(PlanYear,10,1),2)-1)/7)+1,MOD(12+WEEKDAY(DATE(PlanYear,10,1),2)-1,7)+1)=AA$5,", "&amp;13,"")&amp;IF(INDEX($A$57:$G$67,2*INT((13+WEEKDAY(DATE(PlanYear,10,1),2)-1)/7)+1,MOD(13+WEEKDAY(DATE(PlanYear,10,1),2)-1,7)+1)=AA$5,", "&amp;14,"")&amp;IF(INDEX($A$57:$G$67,2*INT((14+WEEKDAY(DATE(PlanYear,10,1),2)-1)/7)+1,MOD(14+WEEKDAY(DATE(PlanYear,10,1),2)-1,7)+1)=AA$5,", "&amp;15,"")&amp;IF(INDEX($A$57:$G$67,2*INT((15+WEEKDAY(DATE(PlanYear,10,1),2)-1)/7)+1,MOD(15+WEEKDAY(DATE(PlanYear,10,1),2)-1,7)+1)=AA$5,", "&amp;16,"")&amp;IF(INDEX($A$57:$G$67,2*INT((16+WEEKDAY(DATE(PlanYear,10,1),2)-1)/7)+1,MOD(16+WEEKDAY(DATE(PlanYear,10,1),2)-1,7)+1)=AA$5,", "&amp;17,"")&amp;IF(INDEX($A$57:$G$67,2*INT((17+WEEKDAY(DATE(PlanYear,10,1),2)-1)/7)+1,MOD(17+WEEKDAY(DATE(PlanYear,10,1),2)-1,7)+1)=AA$5,", "&amp;18,"")&amp;IF(INDEX($A$57:$G$67,2*INT((18+WEEKDAY(DATE(PlanYear,10,1),2)-1)/7)+1,MOD(18+WEEKDAY(DATE(PlanYear,10,1),2)-1,7)+1)=AA$5,", "&amp;19,"")&amp;IF(INDEX($A$57:$G$67,2*INT((19+WEEKDAY(DATE(PlanYear,10,1),2)-1)/7)+1,MOD(19+WEEKDAY(DATE(PlanYear,10,1),2)-1,7)+1)=AA$5,", "&amp;20,"")&amp;IF(INDEX($A$57:$G$67,2*INT((20+WEEKDAY(DATE(PlanYear,10,1),2)-1)/7)+1,MOD(20+WEEKDAY(DATE(PlanYear,10,1),2)-1,7)+1)=AA$5,", "&amp;21,"")&amp;IF(INDEX($A$57:$G$67,2*INT((21+WEEKDAY(DATE(PlanYear,10,1),2)-1)/7)+1,MOD(21+WEEKDAY(DATE(PlanYear,10,1),2)-1,7)+1)=AA$5,", "&amp;22,"")&amp;IF(INDEX($A$57:$G$67,2*INT((22+WEEKDAY(DATE(PlanYear,10,1),2)-1)/7)+1,MOD(22+WEEKDAY(DATE(PlanYear,10,1),2)-1,7)+1)=AA$5,", "&amp;23,"")&amp;IF(INDEX($A$57:$G$67,2*INT((23+WEEKDAY(DATE(PlanYear,10,1),2)-1)/7)+1,MOD(23+WEEKDAY(DATE(PlanYear,10,1),2)-1,7)+1)=AA$5,", "&amp;24,"")&amp;IF(INDEX($A$57:$G$67,2*INT((24+WEEKDAY(DATE(PlanYear,10,1),2)-1)/7)+1,MOD(24+WEEKDAY(DATE(PlanYear,10,1),2)-1,7)+1)=AA$5,", "&amp;25,"")&amp;IF(INDEX($A$57:$G$67,2*INT((25+WEEKDAY(DATE(PlanYear,10,1),2)-1)/7)+1,MOD(25+WEEKDAY(DATE(PlanYear,10,1),2)-1,7)+1)=AA$5,", "&amp;26,"")&amp;IF(INDEX($A$57:$G$67,2*INT((26+WEEKDAY(DATE(PlanYear,10,1),2)-1)/7)+1,MOD(26+WEEKDAY(DATE(PlanYear,10,1),2)-1,7)+1)=AA$5,", "&amp;27,"")&amp;IF(INDEX($A$57:$G$67,2*INT((27+WEEKDAY(DATE(PlanYear,10,1),2)-1)/7)+1,MOD(27+WEEKDAY(DATE(PlanYear,10,1),2)-1,7)+1)=AA$5,", "&amp;28,"")&amp;IF(INDEX($A$57:$G$67,2*INT((28+WEEKDAY(DATE(PlanYear,10,1),2)-1)/7)+1,MOD(28+WEEKDAY(DATE(PlanYear,10,1),2)-1,7)+1)=AA$5,", "&amp;29,"")&amp;IF(INDEX($A$57:$G$67,2*INT((29+WEEKDAY(DATE(PlanYear,10,1),2)-1)/7)+1,MOD(29+WEEKDAY(DATE(PlanYear,10,1),2)-1,7)+1)=AA$5,", "&amp;30,"")&amp;IF(INDEX($A$57:$G$67,2*INT((30+WEEKDAY(DATE(PlanYear,10,1),2)-1)/7)+1,MOD(30+WEEKDAY(DATE(PlanYear,10,1),2)-1,7)+1)=AA$5,", "&amp;31,""),3,200))</f>
        <v/>
      </c>
      <c r="AB15" s="16">
        <f>IF(AB$5="","",MID(IF(INDEX($A$57:$G$67,2*INT((0+WEEKDAY(DATE(PlanYear,10,1),2)-1)/7)+1,MOD(0+WEEKDAY(DATE(PlanYear,10,1),2)-1,7)+1)=AB$5,", "&amp;1,"")&amp;IF(INDEX($A$57:$G$67,2*INT((1+WEEKDAY(DATE(PlanYear,10,1),2)-1)/7)+1,MOD(1+WEEKDAY(DATE(PlanYear,10,1),2)-1,7)+1)=AB$5,", "&amp;2,"")&amp;IF(INDEX($A$57:$G$67,2*INT((2+WEEKDAY(DATE(PlanYear,10,1),2)-1)/7)+1,MOD(2+WEEKDAY(DATE(PlanYear,10,1),2)-1,7)+1)=AB$5,", "&amp;3,"")&amp;IF(INDEX($A$57:$G$67,2*INT((3+WEEKDAY(DATE(PlanYear,10,1),2)-1)/7)+1,MOD(3+WEEKDAY(DATE(PlanYear,10,1),2)-1,7)+1)=AB$5,", "&amp;4,"")&amp;IF(INDEX($A$57:$G$67,2*INT((4+WEEKDAY(DATE(PlanYear,10,1),2)-1)/7)+1,MOD(4+WEEKDAY(DATE(PlanYear,10,1),2)-1,7)+1)=AB$5,", "&amp;5,"")&amp;IF(INDEX($A$57:$G$67,2*INT((5+WEEKDAY(DATE(PlanYear,10,1),2)-1)/7)+1,MOD(5+WEEKDAY(DATE(PlanYear,10,1),2)-1,7)+1)=AB$5,", "&amp;6,"")&amp;IF(INDEX($A$57:$G$67,2*INT((6+WEEKDAY(DATE(PlanYear,10,1),2)-1)/7)+1,MOD(6+WEEKDAY(DATE(PlanYear,10,1),2)-1,7)+1)=AB$5,", "&amp;7,"")&amp;IF(INDEX($A$57:$G$67,2*INT((7+WEEKDAY(DATE(PlanYear,10,1),2)-1)/7)+1,MOD(7+WEEKDAY(DATE(PlanYear,10,1),2)-1,7)+1)=AB$5,", "&amp;8,"")&amp;IF(INDEX($A$57:$G$67,2*INT((8+WEEKDAY(DATE(PlanYear,10,1),2)-1)/7)+1,MOD(8+WEEKDAY(DATE(PlanYear,10,1),2)-1,7)+1)=AB$5,", "&amp;9,"")&amp;IF(INDEX($A$57:$G$67,2*INT((9+WEEKDAY(DATE(PlanYear,10,1),2)-1)/7)+1,MOD(9+WEEKDAY(DATE(PlanYear,10,1),2)-1,7)+1)=AB$5,", "&amp;10,"")&amp;IF(INDEX($A$57:$G$67,2*INT((10+WEEKDAY(DATE(PlanYear,10,1),2)-1)/7)+1,MOD(10+WEEKDAY(DATE(PlanYear,10,1),2)-1,7)+1)=AB$5,", "&amp;11,"")&amp;IF(INDEX($A$57:$G$67,2*INT((11+WEEKDAY(DATE(PlanYear,10,1),2)-1)/7)+1,MOD(11+WEEKDAY(DATE(PlanYear,10,1),2)-1,7)+1)=AB$5,", "&amp;12,"")&amp;IF(INDEX($A$57:$G$67,2*INT((12+WEEKDAY(DATE(PlanYear,10,1),2)-1)/7)+1,MOD(12+WEEKDAY(DATE(PlanYear,10,1),2)-1,7)+1)=AB$5,", "&amp;13,"")&amp;IF(INDEX($A$57:$G$67,2*INT((13+WEEKDAY(DATE(PlanYear,10,1),2)-1)/7)+1,MOD(13+WEEKDAY(DATE(PlanYear,10,1),2)-1,7)+1)=AB$5,", "&amp;14,"")&amp;IF(INDEX($A$57:$G$67,2*INT((14+WEEKDAY(DATE(PlanYear,10,1),2)-1)/7)+1,MOD(14+WEEKDAY(DATE(PlanYear,10,1),2)-1,7)+1)=AB$5,", "&amp;15,"")&amp;IF(INDEX($A$57:$G$67,2*INT((15+WEEKDAY(DATE(PlanYear,10,1),2)-1)/7)+1,MOD(15+WEEKDAY(DATE(PlanYear,10,1),2)-1,7)+1)=AB$5,", "&amp;16,"")&amp;IF(INDEX($A$57:$G$67,2*INT((16+WEEKDAY(DATE(PlanYear,10,1),2)-1)/7)+1,MOD(16+WEEKDAY(DATE(PlanYear,10,1),2)-1,7)+1)=AB$5,", "&amp;17,"")&amp;IF(INDEX($A$57:$G$67,2*INT((17+WEEKDAY(DATE(PlanYear,10,1),2)-1)/7)+1,MOD(17+WEEKDAY(DATE(PlanYear,10,1),2)-1,7)+1)=AB$5,", "&amp;18,"")&amp;IF(INDEX($A$57:$G$67,2*INT((18+WEEKDAY(DATE(PlanYear,10,1),2)-1)/7)+1,MOD(18+WEEKDAY(DATE(PlanYear,10,1),2)-1,7)+1)=AB$5,", "&amp;19,"")&amp;IF(INDEX($A$57:$G$67,2*INT((19+WEEKDAY(DATE(PlanYear,10,1),2)-1)/7)+1,MOD(19+WEEKDAY(DATE(PlanYear,10,1),2)-1,7)+1)=AB$5,", "&amp;20,"")&amp;IF(INDEX($A$57:$G$67,2*INT((20+WEEKDAY(DATE(PlanYear,10,1),2)-1)/7)+1,MOD(20+WEEKDAY(DATE(PlanYear,10,1),2)-1,7)+1)=AB$5,", "&amp;21,"")&amp;IF(INDEX($A$57:$G$67,2*INT((21+WEEKDAY(DATE(PlanYear,10,1),2)-1)/7)+1,MOD(21+WEEKDAY(DATE(PlanYear,10,1),2)-1,7)+1)=AB$5,", "&amp;22,"")&amp;IF(INDEX($A$57:$G$67,2*INT((22+WEEKDAY(DATE(PlanYear,10,1),2)-1)/7)+1,MOD(22+WEEKDAY(DATE(PlanYear,10,1),2)-1,7)+1)=AB$5,", "&amp;23,"")&amp;IF(INDEX($A$57:$G$67,2*INT((23+WEEKDAY(DATE(PlanYear,10,1),2)-1)/7)+1,MOD(23+WEEKDAY(DATE(PlanYear,10,1),2)-1,7)+1)=AB$5,", "&amp;24,"")&amp;IF(INDEX($A$57:$G$67,2*INT((24+WEEKDAY(DATE(PlanYear,10,1),2)-1)/7)+1,MOD(24+WEEKDAY(DATE(PlanYear,10,1),2)-1,7)+1)=AB$5,", "&amp;25,"")&amp;IF(INDEX($A$57:$G$67,2*INT((25+WEEKDAY(DATE(PlanYear,10,1),2)-1)/7)+1,MOD(25+WEEKDAY(DATE(PlanYear,10,1),2)-1,7)+1)=AB$5,", "&amp;26,"")&amp;IF(INDEX($A$57:$G$67,2*INT((26+WEEKDAY(DATE(PlanYear,10,1),2)-1)/7)+1,MOD(26+WEEKDAY(DATE(PlanYear,10,1),2)-1,7)+1)=AB$5,", "&amp;27,"")&amp;IF(INDEX($A$57:$G$67,2*INT((27+WEEKDAY(DATE(PlanYear,10,1),2)-1)/7)+1,MOD(27+WEEKDAY(DATE(PlanYear,10,1),2)-1,7)+1)=AB$5,", "&amp;28,"")&amp;IF(INDEX($A$57:$G$67,2*INT((28+WEEKDAY(DATE(PlanYear,10,1),2)-1)/7)+1,MOD(28+WEEKDAY(DATE(PlanYear,10,1),2)-1,7)+1)=AB$5,", "&amp;29,"")&amp;IF(INDEX($A$57:$G$67,2*INT((29+WEEKDAY(DATE(PlanYear,10,1),2)-1)/7)+1,MOD(29+WEEKDAY(DATE(PlanYear,10,1),2)-1,7)+1)=AB$5,", "&amp;30,"")&amp;IF(INDEX($A$57:$G$67,2*INT((30+WEEKDAY(DATE(PlanYear,10,1),2)-1)/7)+1,MOD(30+WEEKDAY(DATE(PlanYear,10,1),2)-1,7)+1)=AB$5,", "&amp;31,""),3,200))</f>
        <v/>
      </c>
      <c r="AC15" s="16">
        <f>IF(AC$5="","",MID(IF(INDEX($A$57:$G$67,2*INT((0+WEEKDAY(DATE(PlanYear,10,1),2)-1)/7)+1,MOD(0+WEEKDAY(DATE(PlanYear,10,1),2)-1,7)+1)=AC$5,", "&amp;1,"")&amp;IF(INDEX($A$57:$G$67,2*INT((1+WEEKDAY(DATE(PlanYear,10,1),2)-1)/7)+1,MOD(1+WEEKDAY(DATE(PlanYear,10,1),2)-1,7)+1)=AC$5,", "&amp;2,"")&amp;IF(INDEX($A$57:$G$67,2*INT((2+WEEKDAY(DATE(PlanYear,10,1),2)-1)/7)+1,MOD(2+WEEKDAY(DATE(PlanYear,10,1),2)-1,7)+1)=AC$5,", "&amp;3,"")&amp;IF(INDEX($A$57:$G$67,2*INT((3+WEEKDAY(DATE(PlanYear,10,1),2)-1)/7)+1,MOD(3+WEEKDAY(DATE(PlanYear,10,1),2)-1,7)+1)=AC$5,", "&amp;4,"")&amp;IF(INDEX($A$57:$G$67,2*INT((4+WEEKDAY(DATE(PlanYear,10,1),2)-1)/7)+1,MOD(4+WEEKDAY(DATE(PlanYear,10,1),2)-1,7)+1)=AC$5,", "&amp;5,"")&amp;IF(INDEX($A$57:$G$67,2*INT((5+WEEKDAY(DATE(PlanYear,10,1),2)-1)/7)+1,MOD(5+WEEKDAY(DATE(PlanYear,10,1),2)-1,7)+1)=AC$5,", "&amp;6,"")&amp;IF(INDEX($A$57:$G$67,2*INT((6+WEEKDAY(DATE(PlanYear,10,1),2)-1)/7)+1,MOD(6+WEEKDAY(DATE(PlanYear,10,1),2)-1,7)+1)=AC$5,", "&amp;7,"")&amp;IF(INDEX($A$57:$G$67,2*INT((7+WEEKDAY(DATE(PlanYear,10,1),2)-1)/7)+1,MOD(7+WEEKDAY(DATE(PlanYear,10,1),2)-1,7)+1)=AC$5,", "&amp;8,"")&amp;IF(INDEX($A$57:$G$67,2*INT((8+WEEKDAY(DATE(PlanYear,10,1),2)-1)/7)+1,MOD(8+WEEKDAY(DATE(PlanYear,10,1),2)-1,7)+1)=AC$5,", "&amp;9,"")&amp;IF(INDEX($A$57:$G$67,2*INT((9+WEEKDAY(DATE(PlanYear,10,1),2)-1)/7)+1,MOD(9+WEEKDAY(DATE(PlanYear,10,1),2)-1,7)+1)=AC$5,", "&amp;10,"")&amp;IF(INDEX($A$57:$G$67,2*INT((10+WEEKDAY(DATE(PlanYear,10,1),2)-1)/7)+1,MOD(10+WEEKDAY(DATE(PlanYear,10,1),2)-1,7)+1)=AC$5,", "&amp;11,"")&amp;IF(INDEX($A$57:$G$67,2*INT((11+WEEKDAY(DATE(PlanYear,10,1),2)-1)/7)+1,MOD(11+WEEKDAY(DATE(PlanYear,10,1),2)-1,7)+1)=AC$5,", "&amp;12,"")&amp;IF(INDEX($A$57:$G$67,2*INT((12+WEEKDAY(DATE(PlanYear,10,1),2)-1)/7)+1,MOD(12+WEEKDAY(DATE(PlanYear,10,1),2)-1,7)+1)=AC$5,", "&amp;13,"")&amp;IF(INDEX($A$57:$G$67,2*INT((13+WEEKDAY(DATE(PlanYear,10,1),2)-1)/7)+1,MOD(13+WEEKDAY(DATE(PlanYear,10,1),2)-1,7)+1)=AC$5,", "&amp;14,"")&amp;IF(INDEX($A$57:$G$67,2*INT((14+WEEKDAY(DATE(PlanYear,10,1),2)-1)/7)+1,MOD(14+WEEKDAY(DATE(PlanYear,10,1),2)-1,7)+1)=AC$5,", "&amp;15,"")&amp;IF(INDEX($A$57:$G$67,2*INT((15+WEEKDAY(DATE(PlanYear,10,1),2)-1)/7)+1,MOD(15+WEEKDAY(DATE(PlanYear,10,1),2)-1,7)+1)=AC$5,", "&amp;16,"")&amp;IF(INDEX($A$57:$G$67,2*INT((16+WEEKDAY(DATE(PlanYear,10,1),2)-1)/7)+1,MOD(16+WEEKDAY(DATE(PlanYear,10,1),2)-1,7)+1)=AC$5,", "&amp;17,"")&amp;IF(INDEX($A$57:$G$67,2*INT((17+WEEKDAY(DATE(PlanYear,10,1),2)-1)/7)+1,MOD(17+WEEKDAY(DATE(PlanYear,10,1),2)-1,7)+1)=AC$5,", "&amp;18,"")&amp;IF(INDEX($A$57:$G$67,2*INT((18+WEEKDAY(DATE(PlanYear,10,1),2)-1)/7)+1,MOD(18+WEEKDAY(DATE(PlanYear,10,1),2)-1,7)+1)=AC$5,", "&amp;19,"")&amp;IF(INDEX($A$57:$G$67,2*INT((19+WEEKDAY(DATE(PlanYear,10,1),2)-1)/7)+1,MOD(19+WEEKDAY(DATE(PlanYear,10,1),2)-1,7)+1)=AC$5,", "&amp;20,"")&amp;IF(INDEX($A$57:$G$67,2*INT((20+WEEKDAY(DATE(PlanYear,10,1),2)-1)/7)+1,MOD(20+WEEKDAY(DATE(PlanYear,10,1),2)-1,7)+1)=AC$5,", "&amp;21,"")&amp;IF(INDEX($A$57:$G$67,2*INT((21+WEEKDAY(DATE(PlanYear,10,1),2)-1)/7)+1,MOD(21+WEEKDAY(DATE(PlanYear,10,1),2)-1,7)+1)=AC$5,", "&amp;22,"")&amp;IF(INDEX($A$57:$G$67,2*INT((22+WEEKDAY(DATE(PlanYear,10,1),2)-1)/7)+1,MOD(22+WEEKDAY(DATE(PlanYear,10,1),2)-1,7)+1)=AC$5,", "&amp;23,"")&amp;IF(INDEX($A$57:$G$67,2*INT((23+WEEKDAY(DATE(PlanYear,10,1),2)-1)/7)+1,MOD(23+WEEKDAY(DATE(PlanYear,10,1),2)-1,7)+1)=AC$5,", "&amp;24,"")&amp;IF(INDEX($A$57:$G$67,2*INT((24+WEEKDAY(DATE(PlanYear,10,1),2)-1)/7)+1,MOD(24+WEEKDAY(DATE(PlanYear,10,1),2)-1,7)+1)=AC$5,", "&amp;25,"")&amp;IF(INDEX($A$57:$G$67,2*INT((25+WEEKDAY(DATE(PlanYear,10,1),2)-1)/7)+1,MOD(25+WEEKDAY(DATE(PlanYear,10,1),2)-1,7)+1)=AC$5,", "&amp;26,"")&amp;IF(INDEX($A$57:$G$67,2*INT((26+WEEKDAY(DATE(PlanYear,10,1),2)-1)/7)+1,MOD(26+WEEKDAY(DATE(PlanYear,10,1),2)-1,7)+1)=AC$5,", "&amp;27,"")&amp;IF(INDEX($A$57:$G$67,2*INT((27+WEEKDAY(DATE(PlanYear,10,1),2)-1)/7)+1,MOD(27+WEEKDAY(DATE(PlanYear,10,1),2)-1,7)+1)=AC$5,", "&amp;28,"")&amp;IF(INDEX($A$57:$G$67,2*INT((28+WEEKDAY(DATE(PlanYear,10,1),2)-1)/7)+1,MOD(28+WEEKDAY(DATE(PlanYear,10,1),2)-1,7)+1)=AC$5,", "&amp;29,"")&amp;IF(INDEX($A$57:$G$67,2*INT((29+WEEKDAY(DATE(PlanYear,10,1),2)-1)/7)+1,MOD(29+WEEKDAY(DATE(PlanYear,10,1),2)-1,7)+1)=AC$5,", "&amp;30,"")&amp;IF(INDEX($A$57:$G$67,2*INT((30+WEEKDAY(DATE(PlanYear,10,1),2)-1)/7)+1,MOD(30+WEEKDAY(DATE(PlanYear,10,1),2)-1,7)+1)=AC$5,", "&amp;31,""),3,200))</f>
        <v/>
      </c>
      <c r="AD15" s="16">
        <f>IF(AD$5="","",MID(IF(INDEX($A$57:$G$67,2*INT((0+WEEKDAY(DATE(PlanYear,10,1),2)-1)/7)+1,MOD(0+WEEKDAY(DATE(PlanYear,10,1),2)-1,7)+1)=AD$5,", "&amp;1,"")&amp;IF(INDEX($A$57:$G$67,2*INT((1+WEEKDAY(DATE(PlanYear,10,1),2)-1)/7)+1,MOD(1+WEEKDAY(DATE(PlanYear,10,1),2)-1,7)+1)=AD$5,", "&amp;2,"")&amp;IF(INDEX($A$57:$G$67,2*INT((2+WEEKDAY(DATE(PlanYear,10,1),2)-1)/7)+1,MOD(2+WEEKDAY(DATE(PlanYear,10,1),2)-1,7)+1)=AD$5,", "&amp;3,"")&amp;IF(INDEX($A$57:$G$67,2*INT((3+WEEKDAY(DATE(PlanYear,10,1),2)-1)/7)+1,MOD(3+WEEKDAY(DATE(PlanYear,10,1),2)-1,7)+1)=AD$5,", "&amp;4,"")&amp;IF(INDEX($A$57:$G$67,2*INT((4+WEEKDAY(DATE(PlanYear,10,1),2)-1)/7)+1,MOD(4+WEEKDAY(DATE(PlanYear,10,1),2)-1,7)+1)=AD$5,", "&amp;5,"")&amp;IF(INDEX($A$57:$G$67,2*INT((5+WEEKDAY(DATE(PlanYear,10,1),2)-1)/7)+1,MOD(5+WEEKDAY(DATE(PlanYear,10,1),2)-1,7)+1)=AD$5,", "&amp;6,"")&amp;IF(INDEX($A$57:$G$67,2*INT((6+WEEKDAY(DATE(PlanYear,10,1),2)-1)/7)+1,MOD(6+WEEKDAY(DATE(PlanYear,10,1),2)-1,7)+1)=AD$5,", "&amp;7,"")&amp;IF(INDEX($A$57:$G$67,2*INT((7+WEEKDAY(DATE(PlanYear,10,1),2)-1)/7)+1,MOD(7+WEEKDAY(DATE(PlanYear,10,1),2)-1,7)+1)=AD$5,", "&amp;8,"")&amp;IF(INDEX($A$57:$G$67,2*INT((8+WEEKDAY(DATE(PlanYear,10,1),2)-1)/7)+1,MOD(8+WEEKDAY(DATE(PlanYear,10,1),2)-1,7)+1)=AD$5,", "&amp;9,"")&amp;IF(INDEX($A$57:$G$67,2*INT((9+WEEKDAY(DATE(PlanYear,10,1),2)-1)/7)+1,MOD(9+WEEKDAY(DATE(PlanYear,10,1),2)-1,7)+1)=AD$5,", "&amp;10,"")&amp;IF(INDEX($A$57:$G$67,2*INT((10+WEEKDAY(DATE(PlanYear,10,1),2)-1)/7)+1,MOD(10+WEEKDAY(DATE(PlanYear,10,1),2)-1,7)+1)=AD$5,", "&amp;11,"")&amp;IF(INDEX($A$57:$G$67,2*INT((11+WEEKDAY(DATE(PlanYear,10,1),2)-1)/7)+1,MOD(11+WEEKDAY(DATE(PlanYear,10,1),2)-1,7)+1)=AD$5,", "&amp;12,"")&amp;IF(INDEX($A$57:$G$67,2*INT((12+WEEKDAY(DATE(PlanYear,10,1),2)-1)/7)+1,MOD(12+WEEKDAY(DATE(PlanYear,10,1),2)-1,7)+1)=AD$5,", "&amp;13,"")&amp;IF(INDEX($A$57:$G$67,2*INT((13+WEEKDAY(DATE(PlanYear,10,1),2)-1)/7)+1,MOD(13+WEEKDAY(DATE(PlanYear,10,1),2)-1,7)+1)=AD$5,", "&amp;14,"")&amp;IF(INDEX($A$57:$G$67,2*INT((14+WEEKDAY(DATE(PlanYear,10,1),2)-1)/7)+1,MOD(14+WEEKDAY(DATE(PlanYear,10,1),2)-1,7)+1)=AD$5,", "&amp;15,"")&amp;IF(INDEX($A$57:$G$67,2*INT((15+WEEKDAY(DATE(PlanYear,10,1),2)-1)/7)+1,MOD(15+WEEKDAY(DATE(PlanYear,10,1),2)-1,7)+1)=AD$5,", "&amp;16,"")&amp;IF(INDEX($A$57:$G$67,2*INT((16+WEEKDAY(DATE(PlanYear,10,1),2)-1)/7)+1,MOD(16+WEEKDAY(DATE(PlanYear,10,1),2)-1,7)+1)=AD$5,", "&amp;17,"")&amp;IF(INDEX($A$57:$G$67,2*INT((17+WEEKDAY(DATE(PlanYear,10,1),2)-1)/7)+1,MOD(17+WEEKDAY(DATE(PlanYear,10,1),2)-1,7)+1)=AD$5,", "&amp;18,"")&amp;IF(INDEX($A$57:$G$67,2*INT((18+WEEKDAY(DATE(PlanYear,10,1),2)-1)/7)+1,MOD(18+WEEKDAY(DATE(PlanYear,10,1),2)-1,7)+1)=AD$5,", "&amp;19,"")&amp;IF(INDEX($A$57:$G$67,2*INT((19+WEEKDAY(DATE(PlanYear,10,1),2)-1)/7)+1,MOD(19+WEEKDAY(DATE(PlanYear,10,1),2)-1,7)+1)=AD$5,", "&amp;20,"")&amp;IF(INDEX($A$57:$G$67,2*INT((20+WEEKDAY(DATE(PlanYear,10,1),2)-1)/7)+1,MOD(20+WEEKDAY(DATE(PlanYear,10,1),2)-1,7)+1)=AD$5,", "&amp;21,"")&amp;IF(INDEX($A$57:$G$67,2*INT((21+WEEKDAY(DATE(PlanYear,10,1),2)-1)/7)+1,MOD(21+WEEKDAY(DATE(PlanYear,10,1),2)-1,7)+1)=AD$5,", "&amp;22,"")&amp;IF(INDEX($A$57:$G$67,2*INT((22+WEEKDAY(DATE(PlanYear,10,1),2)-1)/7)+1,MOD(22+WEEKDAY(DATE(PlanYear,10,1),2)-1,7)+1)=AD$5,", "&amp;23,"")&amp;IF(INDEX($A$57:$G$67,2*INT((23+WEEKDAY(DATE(PlanYear,10,1),2)-1)/7)+1,MOD(23+WEEKDAY(DATE(PlanYear,10,1),2)-1,7)+1)=AD$5,", "&amp;24,"")&amp;IF(INDEX($A$57:$G$67,2*INT((24+WEEKDAY(DATE(PlanYear,10,1),2)-1)/7)+1,MOD(24+WEEKDAY(DATE(PlanYear,10,1),2)-1,7)+1)=AD$5,", "&amp;25,"")&amp;IF(INDEX($A$57:$G$67,2*INT((25+WEEKDAY(DATE(PlanYear,10,1),2)-1)/7)+1,MOD(25+WEEKDAY(DATE(PlanYear,10,1),2)-1,7)+1)=AD$5,", "&amp;26,"")&amp;IF(INDEX($A$57:$G$67,2*INT((26+WEEKDAY(DATE(PlanYear,10,1),2)-1)/7)+1,MOD(26+WEEKDAY(DATE(PlanYear,10,1),2)-1,7)+1)=AD$5,", "&amp;27,"")&amp;IF(INDEX($A$57:$G$67,2*INT((27+WEEKDAY(DATE(PlanYear,10,1),2)-1)/7)+1,MOD(27+WEEKDAY(DATE(PlanYear,10,1),2)-1,7)+1)=AD$5,", "&amp;28,"")&amp;IF(INDEX($A$57:$G$67,2*INT((28+WEEKDAY(DATE(PlanYear,10,1),2)-1)/7)+1,MOD(28+WEEKDAY(DATE(PlanYear,10,1),2)-1,7)+1)=AD$5,", "&amp;29,"")&amp;IF(INDEX($A$57:$G$67,2*INT((29+WEEKDAY(DATE(PlanYear,10,1),2)-1)/7)+1,MOD(29+WEEKDAY(DATE(PlanYear,10,1),2)-1,7)+1)=AD$5,", "&amp;30,"")&amp;IF(INDEX($A$57:$G$67,2*INT((30+WEEKDAY(DATE(PlanYear,10,1),2)-1)/7)+1,MOD(30+WEEKDAY(DATE(PlanYear,10,1),2)-1,7)+1)=AD$5,", "&amp;31,""),3,200))</f>
        <v/>
      </c>
      <c r="AE15" s="16">
        <f>IF(AE$5="","",MID(IF(INDEX($A$57:$G$67,2*INT((0+WEEKDAY(DATE(PlanYear,10,1),2)-1)/7)+1,MOD(0+WEEKDAY(DATE(PlanYear,10,1),2)-1,7)+1)=AE$5,", "&amp;1,"")&amp;IF(INDEX($A$57:$G$67,2*INT((1+WEEKDAY(DATE(PlanYear,10,1),2)-1)/7)+1,MOD(1+WEEKDAY(DATE(PlanYear,10,1),2)-1,7)+1)=AE$5,", "&amp;2,"")&amp;IF(INDEX($A$57:$G$67,2*INT((2+WEEKDAY(DATE(PlanYear,10,1),2)-1)/7)+1,MOD(2+WEEKDAY(DATE(PlanYear,10,1),2)-1,7)+1)=AE$5,", "&amp;3,"")&amp;IF(INDEX($A$57:$G$67,2*INT((3+WEEKDAY(DATE(PlanYear,10,1),2)-1)/7)+1,MOD(3+WEEKDAY(DATE(PlanYear,10,1),2)-1,7)+1)=AE$5,", "&amp;4,"")&amp;IF(INDEX($A$57:$G$67,2*INT((4+WEEKDAY(DATE(PlanYear,10,1),2)-1)/7)+1,MOD(4+WEEKDAY(DATE(PlanYear,10,1),2)-1,7)+1)=AE$5,", "&amp;5,"")&amp;IF(INDEX($A$57:$G$67,2*INT((5+WEEKDAY(DATE(PlanYear,10,1),2)-1)/7)+1,MOD(5+WEEKDAY(DATE(PlanYear,10,1),2)-1,7)+1)=AE$5,", "&amp;6,"")&amp;IF(INDEX($A$57:$G$67,2*INT((6+WEEKDAY(DATE(PlanYear,10,1),2)-1)/7)+1,MOD(6+WEEKDAY(DATE(PlanYear,10,1),2)-1,7)+1)=AE$5,", "&amp;7,"")&amp;IF(INDEX($A$57:$G$67,2*INT((7+WEEKDAY(DATE(PlanYear,10,1),2)-1)/7)+1,MOD(7+WEEKDAY(DATE(PlanYear,10,1),2)-1,7)+1)=AE$5,", "&amp;8,"")&amp;IF(INDEX($A$57:$G$67,2*INT((8+WEEKDAY(DATE(PlanYear,10,1),2)-1)/7)+1,MOD(8+WEEKDAY(DATE(PlanYear,10,1),2)-1,7)+1)=AE$5,", "&amp;9,"")&amp;IF(INDEX($A$57:$G$67,2*INT((9+WEEKDAY(DATE(PlanYear,10,1),2)-1)/7)+1,MOD(9+WEEKDAY(DATE(PlanYear,10,1),2)-1,7)+1)=AE$5,", "&amp;10,"")&amp;IF(INDEX($A$57:$G$67,2*INT((10+WEEKDAY(DATE(PlanYear,10,1),2)-1)/7)+1,MOD(10+WEEKDAY(DATE(PlanYear,10,1),2)-1,7)+1)=AE$5,", "&amp;11,"")&amp;IF(INDEX($A$57:$G$67,2*INT((11+WEEKDAY(DATE(PlanYear,10,1),2)-1)/7)+1,MOD(11+WEEKDAY(DATE(PlanYear,10,1),2)-1,7)+1)=AE$5,", "&amp;12,"")&amp;IF(INDEX($A$57:$G$67,2*INT((12+WEEKDAY(DATE(PlanYear,10,1),2)-1)/7)+1,MOD(12+WEEKDAY(DATE(PlanYear,10,1),2)-1,7)+1)=AE$5,", "&amp;13,"")&amp;IF(INDEX($A$57:$G$67,2*INT((13+WEEKDAY(DATE(PlanYear,10,1),2)-1)/7)+1,MOD(13+WEEKDAY(DATE(PlanYear,10,1),2)-1,7)+1)=AE$5,", "&amp;14,"")&amp;IF(INDEX($A$57:$G$67,2*INT((14+WEEKDAY(DATE(PlanYear,10,1),2)-1)/7)+1,MOD(14+WEEKDAY(DATE(PlanYear,10,1),2)-1,7)+1)=AE$5,", "&amp;15,"")&amp;IF(INDEX($A$57:$G$67,2*INT((15+WEEKDAY(DATE(PlanYear,10,1),2)-1)/7)+1,MOD(15+WEEKDAY(DATE(PlanYear,10,1),2)-1,7)+1)=AE$5,", "&amp;16,"")&amp;IF(INDEX($A$57:$G$67,2*INT((16+WEEKDAY(DATE(PlanYear,10,1),2)-1)/7)+1,MOD(16+WEEKDAY(DATE(PlanYear,10,1),2)-1,7)+1)=AE$5,", "&amp;17,"")&amp;IF(INDEX($A$57:$G$67,2*INT((17+WEEKDAY(DATE(PlanYear,10,1),2)-1)/7)+1,MOD(17+WEEKDAY(DATE(PlanYear,10,1),2)-1,7)+1)=AE$5,", "&amp;18,"")&amp;IF(INDEX($A$57:$G$67,2*INT((18+WEEKDAY(DATE(PlanYear,10,1),2)-1)/7)+1,MOD(18+WEEKDAY(DATE(PlanYear,10,1),2)-1,7)+1)=AE$5,", "&amp;19,"")&amp;IF(INDEX($A$57:$G$67,2*INT((19+WEEKDAY(DATE(PlanYear,10,1),2)-1)/7)+1,MOD(19+WEEKDAY(DATE(PlanYear,10,1),2)-1,7)+1)=AE$5,", "&amp;20,"")&amp;IF(INDEX($A$57:$G$67,2*INT((20+WEEKDAY(DATE(PlanYear,10,1),2)-1)/7)+1,MOD(20+WEEKDAY(DATE(PlanYear,10,1),2)-1,7)+1)=AE$5,", "&amp;21,"")&amp;IF(INDEX($A$57:$G$67,2*INT((21+WEEKDAY(DATE(PlanYear,10,1),2)-1)/7)+1,MOD(21+WEEKDAY(DATE(PlanYear,10,1),2)-1,7)+1)=AE$5,", "&amp;22,"")&amp;IF(INDEX($A$57:$G$67,2*INT((22+WEEKDAY(DATE(PlanYear,10,1),2)-1)/7)+1,MOD(22+WEEKDAY(DATE(PlanYear,10,1),2)-1,7)+1)=AE$5,", "&amp;23,"")&amp;IF(INDEX($A$57:$G$67,2*INT((23+WEEKDAY(DATE(PlanYear,10,1),2)-1)/7)+1,MOD(23+WEEKDAY(DATE(PlanYear,10,1),2)-1,7)+1)=AE$5,", "&amp;24,"")&amp;IF(INDEX($A$57:$G$67,2*INT((24+WEEKDAY(DATE(PlanYear,10,1),2)-1)/7)+1,MOD(24+WEEKDAY(DATE(PlanYear,10,1),2)-1,7)+1)=AE$5,", "&amp;25,"")&amp;IF(INDEX($A$57:$G$67,2*INT((25+WEEKDAY(DATE(PlanYear,10,1),2)-1)/7)+1,MOD(25+WEEKDAY(DATE(PlanYear,10,1),2)-1,7)+1)=AE$5,", "&amp;26,"")&amp;IF(INDEX($A$57:$G$67,2*INT((26+WEEKDAY(DATE(PlanYear,10,1),2)-1)/7)+1,MOD(26+WEEKDAY(DATE(PlanYear,10,1),2)-1,7)+1)=AE$5,", "&amp;27,"")&amp;IF(INDEX($A$57:$G$67,2*INT((27+WEEKDAY(DATE(PlanYear,10,1),2)-1)/7)+1,MOD(27+WEEKDAY(DATE(PlanYear,10,1),2)-1,7)+1)=AE$5,", "&amp;28,"")&amp;IF(INDEX($A$57:$G$67,2*INT((28+WEEKDAY(DATE(PlanYear,10,1),2)-1)/7)+1,MOD(28+WEEKDAY(DATE(PlanYear,10,1),2)-1,7)+1)=AE$5,", "&amp;29,"")&amp;IF(INDEX($A$57:$G$67,2*INT((29+WEEKDAY(DATE(PlanYear,10,1),2)-1)/7)+1,MOD(29+WEEKDAY(DATE(PlanYear,10,1),2)-1,7)+1)=AE$5,", "&amp;30,"")&amp;IF(INDEX($A$57:$G$67,2*INT((30+WEEKDAY(DATE(PlanYear,10,1),2)-1)/7)+1,MOD(30+WEEKDAY(DATE(PlanYear,10,1),2)-1,7)+1)=AE$5,", "&amp;31,""),3,200))</f>
        <v/>
      </c>
      <c r="AF15" s="16">
        <f>IF(AF$5="","",MID(IF(INDEX($A$57:$G$67,2*INT((0+WEEKDAY(DATE(PlanYear,10,1),2)-1)/7)+1,MOD(0+WEEKDAY(DATE(PlanYear,10,1),2)-1,7)+1)=AF$5,", "&amp;1,"")&amp;IF(INDEX($A$57:$G$67,2*INT((1+WEEKDAY(DATE(PlanYear,10,1),2)-1)/7)+1,MOD(1+WEEKDAY(DATE(PlanYear,10,1),2)-1,7)+1)=AF$5,", "&amp;2,"")&amp;IF(INDEX($A$57:$G$67,2*INT((2+WEEKDAY(DATE(PlanYear,10,1),2)-1)/7)+1,MOD(2+WEEKDAY(DATE(PlanYear,10,1),2)-1,7)+1)=AF$5,", "&amp;3,"")&amp;IF(INDEX($A$57:$G$67,2*INT((3+WEEKDAY(DATE(PlanYear,10,1),2)-1)/7)+1,MOD(3+WEEKDAY(DATE(PlanYear,10,1),2)-1,7)+1)=AF$5,", "&amp;4,"")&amp;IF(INDEX($A$57:$G$67,2*INT((4+WEEKDAY(DATE(PlanYear,10,1),2)-1)/7)+1,MOD(4+WEEKDAY(DATE(PlanYear,10,1),2)-1,7)+1)=AF$5,", "&amp;5,"")&amp;IF(INDEX($A$57:$G$67,2*INT((5+WEEKDAY(DATE(PlanYear,10,1),2)-1)/7)+1,MOD(5+WEEKDAY(DATE(PlanYear,10,1),2)-1,7)+1)=AF$5,", "&amp;6,"")&amp;IF(INDEX($A$57:$G$67,2*INT((6+WEEKDAY(DATE(PlanYear,10,1),2)-1)/7)+1,MOD(6+WEEKDAY(DATE(PlanYear,10,1),2)-1,7)+1)=AF$5,", "&amp;7,"")&amp;IF(INDEX($A$57:$G$67,2*INT((7+WEEKDAY(DATE(PlanYear,10,1),2)-1)/7)+1,MOD(7+WEEKDAY(DATE(PlanYear,10,1),2)-1,7)+1)=AF$5,", "&amp;8,"")&amp;IF(INDEX($A$57:$G$67,2*INT((8+WEEKDAY(DATE(PlanYear,10,1),2)-1)/7)+1,MOD(8+WEEKDAY(DATE(PlanYear,10,1),2)-1,7)+1)=AF$5,", "&amp;9,"")&amp;IF(INDEX($A$57:$G$67,2*INT((9+WEEKDAY(DATE(PlanYear,10,1),2)-1)/7)+1,MOD(9+WEEKDAY(DATE(PlanYear,10,1),2)-1,7)+1)=AF$5,", "&amp;10,"")&amp;IF(INDEX($A$57:$G$67,2*INT((10+WEEKDAY(DATE(PlanYear,10,1),2)-1)/7)+1,MOD(10+WEEKDAY(DATE(PlanYear,10,1),2)-1,7)+1)=AF$5,", "&amp;11,"")&amp;IF(INDEX($A$57:$G$67,2*INT((11+WEEKDAY(DATE(PlanYear,10,1),2)-1)/7)+1,MOD(11+WEEKDAY(DATE(PlanYear,10,1),2)-1,7)+1)=AF$5,", "&amp;12,"")&amp;IF(INDEX($A$57:$G$67,2*INT((12+WEEKDAY(DATE(PlanYear,10,1),2)-1)/7)+1,MOD(12+WEEKDAY(DATE(PlanYear,10,1),2)-1,7)+1)=AF$5,", "&amp;13,"")&amp;IF(INDEX($A$57:$G$67,2*INT((13+WEEKDAY(DATE(PlanYear,10,1),2)-1)/7)+1,MOD(13+WEEKDAY(DATE(PlanYear,10,1),2)-1,7)+1)=AF$5,", "&amp;14,"")&amp;IF(INDEX($A$57:$G$67,2*INT((14+WEEKDAY(DATE(PlanYear,10,1),2)-1)/7)+1,MOD(14+WEEKDAY(DATE(PlanYear,10,1),2)-1,7)+1)=AF$5,", "&amp;15,"")&amp;IF(INDEX($A$57:$G$67,2*INT((15+WEEKDAY(DATE(PlanYear,10,1),2)-1)/7)+1,MOD(15+WEEKDAY(DATE(PlanYear,10,1),2)-1,7)+1)=AF$5,", "&amp;16,"")&amp;IF(INDEX($A$57:$G$67,2*INT((16+WEEKDAY(DATE(PlanYear,10,1),2)-1)/7)+1,MOD(16+WEEKDAY(DATE(PlanYear,10,1),2)-1,7)+1)=AF$5,", "&amp;17,"")&amp;IF(INDEX($A$57:$G$67,2*INT((17+WEEKDAY(DATE(PlanYear,10,1),2)-1)/7)+1,MOD(17+WEEKDAY(DATE(PlanYear,10,1),2)-1,7)+1)=AF$5,", "&amp;18,"")&amp;IF(INDEX($A$57:$G$67,2*INT((18+WEEKDAY(DATE(PlanYear,10,1),2)-1)/7)+1,MOD(18+WEEKDAY(DATE(PlanYear,10,1),2)-1,7)+1)=AF$5,", "&amp;19,"")&amp;IF(INDEX($A$57:$G$67,2*INT((19+WEEKDAY(DATE(PlanYear,10,1),2)-1)/7)+1,MOD(19+WEEKDAY(DATE(PlanYear,10,1),2)-1,7)+1)=AF$5,", "&amp;20,"")&amp;IF(INDEX($A$57:$G$67,2*INT((20+WEEKDAY(DATE(PlanYear,10,1),2)-1)/7)+1,MOD(20+WEEKDAY(DATE(PlanYear,10,1),2)-1,7)+1)=AF$5,", "&amp;21,"")&amp;IF(INDEX($A$57:$G$67,2*INT((21+WEEKDAY(DATE(PlanYear,10,1),2)-1)/7)+1,MOD(21+WEEKDAY(DATE(PlanYear,10,1),2)-1,7)+1)=AF$5,", "&amp;22,"")&amp;IF(INDEX($A$57:$G$67,2*INT((22+WEEKDAY(DATE(PlanYear,10,1),2)-1)/7)+1,MOD(22+WEEKDAY(DATE(PlanYear,10,1),2)-1,7)+1)=AF$5,", "&amp;23,"")&amp;IF(INDEX($A$57:$G$67,2*INT((23+WEEKDAY(DATE(PlanYear,10,1),2)-1)/7)+1,MOD(23+WEEKDAY(DATE(PlanYear,10,1),2)-1,7)+1)=AF$5,", "&amp;24,"")&amp;IF(INDEX($A$57:$G$67,2*INT((24+WEEKDAY(DATE(PlanYear,10,1),2)-1)/7)+1,MOD(24+WEEKDAY(DATE(PlanYear,10,1),2)-1,7)+1)=AF$5,", "&amp;25,"")&amp;IF(INDEX($A$57:$G$67,2*INT((25+WEEKDAY(DATE(PlanYear,10,1),2)-1)/7)+1,MOD(25+WEEKDAY(DATE(PlanYear,10,1),2)-1,7)+1)=AF$5,", "&amp;26,"")&amp;IF(INDEX($A$57:$G$67,2*INT((26+WEEKDAY(DATE(PlanYear,10,1),2)-1)/7)+1,MOD(26+WEEKDAY(DATE(PlanYear,10,1),2)-1,7)+1)=AF$5,", "&amp;27,"")&amp;IF(INDEX($A$57:$G$67,2*INT((27+WEEKDAY(DATE(PlanYear,10,1),2)-1)/7)+1,MOD(27+WEEKDAY(DATE(PlanYear,10,1),2)-1,7)+1)=AF$5,", "&amp;28,"")&amp;IF(INDEX($A$57:$G$67,2*INT((28+WEEKDAY(DATE(PlanYear,10,1),2)-1)/7)+1,MOD(28+WEEKDAY(DATE(PlanYear,10,1),2)-1,7)+1)=AF$5,", "&amp;29,"")&amp;IF(INDEX($A$57:$G$67,2*INT((29+WEEKDAY(DATE(PlanYear,10,1),2)-1)/7)+1,MOD(29+WEEKDAY(DATE(PlanYear,10,1),2)-1,7)+1)=AF$5,", "&amp;30,"")&amp;IF(INDEX($A$57:$G$67,2*INT((30+WEEKDAY(DATE(PlanYear,10,1),2)-1)/7)+1,MOD(30+WEEKDAY(DATE(PlanYear,10,1),2)-1,7)+1)=AF$5,", "&amp;31,""),3,200))</f>
        <v/>
      </c>
      <c r="AG15" s="16">
        <f>IF(AG$5="","",MID(IF(INDEX($A$57:$G$67,2*INT((0+WEEKDAY(DATE(PlanYear,10,1),2)-1)/7)+1,MOD(0+WEEKDAY(DATE(PlanYear,10,1),2)-1,7)+1)=AG$5,", "&amp;1,"")&amp;IF(INDEX($A$57:$G$67,2*INT((1+WEEKDAY(DATE(PlanYear,10,1),2)-1)/7)+1,MOD(1+WEEKDAY(DATE(PlanYear,10,1),2)-1,7)+1)=AG$5,", "&amp;2,"")&amp;IF(INDEX($A$57:$G$67,2*INT((2+WEEKDAY(DATE(PlanYear,10,1),2)-1)/7)+1,MOD(2+WEEKDAY(DATE(PlanYear,10,1),2)-1,7)+1)=AG$5,", "&amp;3,"")&amp;IF(INDEX($A$57:$G$67,2*INT((3+WEEKDAY(DATE(PlanYear,10,1),2)-1)/7)+1,MOD(3+WEEKDAY(DATE(PlanYear,10,1),2)-1,7)+1)=AG$5,", "&amp;4,"")&amp;IF(INDEX($A$57:$G$67,2*INT((4+WEEKDAY(DATE(PlanYear,10,1),2)-1)/7)+1,MOD(4+WEEKDAY(DATE(PlanYear,10,1),2)-1,7)+1)=AG$5,", "&amp;5,"")&amp;IF(INDEX($A$57:$G$67,2*INT((5+WEEKDAY(DATE(PlanYear,10,1),2)-1)/7)+1,MOD(5+WEEKDAY(DATE(PlanYear,10,1),2)-1,7)+1)=AG$5,", "&amp;6,"")&amp;IF(INDEX($A$57:$G$67,2*INT((6+WEEKDAY(DATE(PlanYear,10,1),2)-1)/7)+1,MOD(6+WEEKDAY(DATE(PlanYear,10,1),2)-1,7)+1)=AG$5,", "&amp;7,"")&amp;IF(INDEX($A$57:$G$67,2*INT((7+WEEKDAY(DATE(PlanYear,10,1),2)-1)/7)+1,MOD(7+WEEKDAY(DATE(PlanYear,10,1),2)-1,7)+1)=AG$5,", "&amp;8,"")&amp;IF(INDEX($A$57:$G$67,2*INT((8+WEEKDAY(DATE(PlanYear,10,1),2)-1)/7)+1,MOD(8+WEEKDAY(DATE(PlanYear,10,1),2)-1,7)+1)=AG$5,", "&amp;9,"")&amp;IF(INDEX($A$57:$G$67,2*INT((9+WEEKDAY(DATE(PlanYear,10,1),2)-1)/7)+1,MOD(9+WEEKDAY(DATE(PlanYear,10,1),2)-1,7)+1)=AG$5,", "&amp;10,"")&amp;IF(INDEX($A$57:$G$67,2*INT((10+WEEKDAY(DATE(PlanYear,10,1),2)-1)/7)+1,MOD(10+WEEKDAY(DATE(PlanYear,10,1),2)-1,7)+1)=AG$5,", "&amp;11,"")&amp;IF(INDEX($A$57:$G$67,2*INT((11+WEEKDAY(DATE(PlanYear,10,1),2)-1)/7)+1,MOD(11+WEEKDAY(DATE(PlanYear,10,1),2)-1,7)+1)=AG$5,", "&amp;12,"")&amp;IF(INDEX($A$57:$G$67,2*INT((12+WEEKDAY(DATE(PlanYear,10,1),2)-1)/7)+1,MOD(12+WEEKDAY(DATE(PlanYear,10,1),2)-1,7)+1)=AG$5,", "&amp;13,"")&amp;IF(INDEX($A$57:$G$67,2*INT((13+WEEKDAY(DATE(PlanYear,10,1),2)-1)/7)+1,MOD(13+WEEKDAY(DATE(PlanYear,10,1),2)-1,7)+1)=AG$5,", "&amp;14,"")&amp;IF(INDEX($A$57:$G$67,2*INT((14+WEEKDAY(DATE(PlanYear,10,1),2)-1)/7)+1,MOD(14+WEEKDAY(DATE(PlanYear,10,1),2)-1,7)+1)=AG$5,", "&amp;15,"")&amp;IF(INDEX($A$57:$G$67,2*INT((15+WEEKDAY(DATE(PlanYear,10,1),2)-1)/7)+1,MOD(15+WEEKDAY(DATE(PlanYear,10,1),2)-1,7)+1)=AG$5,", "&amp;16,"")&amp;IF(INDEX($A$57:$G$67,2*INT((16+WEEKDAY(DATE(PlanYear,10,1),2)-1)/7)+1,MOD(16+WEEKDAY(DATE(PlanYear,10,1),2)-1,7)+1)=AG$5,", "&amp;17,"")&amp;IF(INDEX($A$57:$G$67,2*INT((17+WEEKDAY(DATE(PlanYear,10,1),2)-1)/7)+1,MOD(17+WEEKDAY(DATE(PlanYear,10,1),2)-1,7)+1)=AG$5,", "&amp;18,"")&amp;IF(INDEX($A$57:$G$67,2*INT((18+WEEKDAY(DATE(PlanYear,10,1),2)-1)/7)+1,MOD(18+WEEKDAY(DATE(PlanYear,10,1),2)-1,7)+1)=AG$5,", "&amp;19,"")&amp;IF(INDEX($A$57:$G$67,2*INT((19+WEEKDAY(DATE(PlanYear,10,1),2)-1)/7)+1,MOD(19+WEEKDAY(DATE(PlanYear,10,1),2)-1,7)+1)=AG$5,", "&amp;20,"")&amp;IF(INDEX($A$57:$G$67,2*INT((20+WEEKDAY(DATE(PlanYear,10,1),2)-1)/7)+1,MOD(20+WEEKDAY(DATE(PlanYear,10,1),2)-1,7)+1)=AG$5,", "&amp;21,"")&amp;IF(INDEX($A$57:$G$67,2*INT((21+WEEKDAY(DATE(PlanYear,10,1),2)-1)/7)+1,MOD(21+WEEKDAY(DATE(PlanYear,10,1),2)-1,7)+1)=AG$5,", "&amp;22,"")&amp;IF(INDEX($A$57:$G$67,2*INT((22+WEEKDAY(DATE(PlanYear,10,1),2)-1)/7)+1,MOD(22+WEEKDAY(DATE(PlanYear,10,1),2)-1,7)+1)=AG$5,", "&amp;23,"")&amp;IF(INDEX($A$57:$G$67,2*INT((23+WEEKDAY(DATE(PlanYear,10,1),2)-1)/7)+1,MOD(23+WEEKDAY(DATE(PlanYear,10,1),2)-1,7)+1)=AG$5,", "&amp;24,"")&amp;IF(INDEX($A$57:$G$67,2*INT((24+WEEKDAY(DATE(PlanYear,10,1),2)-1)/7)+1,MOD(24+WEEKDAY(DATE(PlanYear,10,1),2)-1,7)+1)=AG$5,", "&amp;25,"")&amp;IF(INDEX($A$57:$G$67,2*INT((25+WEEKDAY(DATE(PlanYear,10,1),2)-1)/7)+1,MOD(25+WEEKDAY(DATE(PlanYear,10,1),2)-1,7)+1)=AG$5,", "&amp;26,"")&amp;IF(INDEX($A$57:$G$67,2*INT((26+WEEKDAY(DATE(PlanYear,10,1),2)-1)/7)+1,MOD(26+WEEKDAY(DATE(PlanYear,10,1),2)-1,7)+1)=AG$5,", "&amp;27,"")&amp;IF(INDEX($A$57:$G$67,2*INT((27+WEEKDAY(DATE(PlanYear,10,1),2)-1)/7)+1,MOD(27+WEEKDAY(DATE(PlanYear,10,1),2)-1,7)+1)=AG$5,", "&amp;28,"")&amp;IF(INDEX($A$57:$G$67,2*INT((28+WEEKDAY(DATE(PlanYear,10,1),2)-1)/7)+1,MOD(28+WEEKDAY(DATE(PlanYear,10,1),2)-1,7)+1)=AG$5,", "&amp;29,"")&amp;IF(INDEX($A$57:$G$67,2*INT((29+WEEKDAY(DATE(PlanYear,10,1),2)-1)/7)+1,MOD(29+WEEKDAY(DATE(PlanYear,10,1),2)-1,7)+1)=AG$5,", "&amp;30,"")&amp;IF(INDEX($A$57:$G$67,2*INT((30+WEEKDAY(DATE(PlanYear,10,1),2)-1)/7)+1,MOD(30+WEEKDAY(DATE(PlanYear,10,1),2)-1,7)+1)=AG$5,", "&amp;31,""),3,200))</f>
        <v/>
      </c>
      <c r="AH15" s="16">
        <f>IF(AH$5="","",MID(IF(INDEX($A$57:$G$67,2*INT((0+WEEKDAY(DATE(PlanYear,10,1),2)-1)/7)+1,MOD(0+WEEKDAY(DATE(PlanYear,10,1),2)-1,7)+1)=AH$5,", "&amp;1,"")&amp;IF(INDEX($A$57:$G$67,2*INT((1+WEEKDAY(DATE(PlanYear,10,1),2)-1)/7)+1,MOD(1+WEEKDAY(DATE(PlanYear,10,1),2)-1,7)+1)=AH$5,", "&amp;2,"")&amp;IF(INDEX($A$57:$G$67,2*INT((2+WEEKDAY(DATE(PlanYear,10,1),2)-1)/7)+1,MOD(2+WEEKDAY(DATE(PlanYear,10,1),2)-1,7)+1)=AH$5,", "&amp;3,"")&amp;IF(INDEX($A$57:$G$67,2*INT((3+WEEKDAY(DATE(PlanYear,10,1),2)-1)/7)+1,MOD(3+WEEKDAY(DATE(PlanYear,10,1),2)-1,7)+1)=AH$5,", "&amp;4,"")&amp;IF(INDEX($A$57:$G$67,2*INT((4+WEEKDAY(DATE(PlanYear,10,1),2)-1)/7)+1,MOD(4+WEEKDAY(DATE(PlanYear,10,1),2)-1,7)+1)=AH$5,", "&amp;5,"")&amp;IF(INDEX($A$57:$G$67,2*INT((5+WEEKDAY(DATE(PlanYear,10,1),2)-1)/7)+1,MOD(5+WEEKDAY(DATE(PlanYear,10,1),2)-1,7)+1)=AH$5,", "&amp;6,"")&amp;IF(INDEX($A$57:$G$67,2*INT((6+WEEKDAY(DATE(PlanYear,10,1),2)-1)/7)+1,MOD(6+WEEKDAY(DATE(PlanYear,10,1),2)-1,7)+1)=AH$5,", "&amp;7,"")&amp;IF(INDEX($A$57:$G$67,2*INT((7+WEEKDAY(DATE(PlanYear,10,1),2)-1)/7)+1,MOD(7+WEEKDAY(DATE(PlanYear,10,1),2)-1,7)+1)=AH$5,", "&amp;8,"")&amp;IF(INDEX($A$57:$G$67,2*INT((8+WEEKDAY(DATE(PlanYear,10,1),2)-1)/7)+1,MOD(8+WEEKDAY(DATE(PlanYear,10,1),2)-1,7)+1)=AH$5,", "&amp;9,"")&amp;IF(INDEX($A$57:$G$67,2*INT((9+WEEKDAY(DATE(PlanYear,10,1),2)-1)/7)+1,MOD(9+WEEKDAY(DATE(PlanYear,10,1),2)-1,7)+1)=AH$5,", "&amp;10,"")&amp;IF(INDEX($A$57:$G$67,2*INT((10+WEEKDAY(DATE(PlanYear,10,1),2)-1)/7)+1,MOD(10+WEEKDAY(DATE(PlanYear,10,1),2)-1,7)+1)=AH$5,", "&amp;11,"")&amp;IF(INDEX($A$57:$G$67,2*INT((11+WEEKDAY(DATE(PlanYear,10,1),2)-1)/7)+1,MOD(11+WEEKDAY(DATE(PlanYear,10,1),2)-1,7)+1)=AH$5,", "&amp;12,"")&amp;IF(INDEX($A$57:$G$67,2*INT((12+WEEKDAY(DATE(PlanYear,10,1),2)-1)/7)+1,MOD(12+WEEKDAY(DATE(PlanYear,10,1),2)-1,7)+1)=AH$5,", "&amp;13,"")&amp;IF(INDEX($A$57:$G$67,2*INT((13+WEEKDAY(DATE(PlanYear,10,1),2)-1)/7)+1,MOD(13+WEEKDAY(DATE(PlanYear,10,1),2)-1,7)+1)=AH$5,", "&amp;14,"")&amp;IF(INDEX($A$57:$G$67,2*INT((14+WEEKDAY(DATE(PlanYear,10,1),2)-1)/7)+1,MOD(14+WEEKDAY(DATE(PlanYear,10,1),2)-1,7)+1)=AH$5,", "&amp;15,"")&amp;IF(INDEX($A$57:$G$67,2*INT((15+WEEKDAY(DATE(PlanYear,10,1),2)-1)/7)+1,MOD(15+WEEKDAY(DATE(PlanYear,10,1),2)-1,7)+1)=AH$5,", "&amp;16,"")&amp;IF(INDEX($A$57:$G$67,2*INT((16+WEEKDAY(DATE(PlanYear,10,1),2)-1)/7)+1,MOD(16+WEEKDAY(DATE(PlanYear,10,1),2)-1,7)+1)=AH$5,", "&amp;17,"")&amp;IF(INDEX($A$57:$G$67,2*INT((17+WEEKDAY(DATE(PlanYear,10,1),2)-1)/7)+1,MOD(17+WEEKDAY(DATE(PlanYear,10,1),2)-1,7)+1)=AH$5,", "&amp;18,"")&amp;IF(INDEX($A$57:$G$67,2*INT((18+WEEKDAY(DATE(PlanYear,10,1),2)-1)/7)+1,MOD(18+WEEKDAY(DATE(PlanYear,10,1),2)-1,7)+1)=AH$5,", "&amp;19,"")&amp;IF(INDEX($A$57:$G$67,2*INT((19+WEEKDAY(DATE(PlanYear,10,1),2)-1)/7)+1,MOD(19+WEEKDAY(DATE(PlanYear,10,1),2)-1,7)+1)=AH$5,", "&amp;20,"")&amp;IF(INDEX($A$57:$G$67,2*INT((20+WEEKDAY(DATE(PlanYear,10,1),2)-1)/7)+1,MOD(20+WEEKDAY(DATE(PlanYear,10,1),2)-1,7)+1)=AH$5,", "&amp;21,"")&amp;IF(INDEX($A$57:$G$67,2*INT((21+WEEKDAY(DATE(PlanYear,10,1),2)-1)/7)+1,MOD(21+WEEKDAY(DATE(PlanYear,10,1),2)-1,7)+1)=AH$5,", "&amp;22,"")&amp;IF(INDEX($A$57:$G$67,2*INT((22+WEEKDAY(DATE(PlanYear,10,1),2)-1)/7)+1,MOD(22+WEEKDAY(DATE(PlanYear,10,1),2)-1,7)+1)=AH$5,", "&amp;23,"")&amp;IF(INDEX($A$57:$G$67,2*INT((23+WEEKDAY(DATE(PlanYear,10,1),2)-1)/7)+1,MOD(23+WEEKDAY(DATE(PlanYear,10,1),2)-1,7)+1)=AH$5,", "&amp;24,"")&amp;IF(INDEX($A$57:$G$67,2*INT((24+WEEKDAY(DATE(PlanYear,10,1),2)-1)/7)+1,MOD(24+WEEKDAY(DATE(PlanYear,10,1),2)-1,7)+1)=AH$5,", "&amp;25,"")&amp;IF(INDEX($A$57:$G$67,2*INT((25+WEEKDAY(DATE(PlanYear,10,1),2)-1)/7)+1,MOD(25+WEEKDAY(DATE(PlanYear,10,1),2)-1,7)+1)=AH$5,", "&amp;26,"")&amp;IF(INDEX($A$57:$G$67,2*INT((26+WEEKDAY(DATE(PlanYear,10,1),2)-1)/7)+1,MOD(26+WEEKDAY(DATE(PlanYear,10,1),2)-1,7)+1)=AH$5,", "&amp;27,"")&amp;IF(INDEX($A$57:$G$67,2*INT((27+WEEKDAY(DATE(PlanYear,10,1),2)-1)/7)+1,MOD(27+WEEKDAY(DATE(PlanYear,10,1),2)-1,7)+1)=AH$5,", "&amp;28,"")&amp;IF(INDEX($A$57:$G$67,2*INT((28+WEEKDAY(DATE(PlanYear,10,1),2)-1)/7)+1,MOD(28+WEEKDAY(DATE(PlanYear,10,1),2)-1,7)+1)=AH$5,", "&amp;29,"")&amp;IF(INDEX($A$57:$G$67,2*INT((29+WEEKDAY(DATE(PlanYear,10,1),2)-1)/7)+1,MOD(29+WEEKDAY(DATE(PlanYear,10,1),2)-1,7)+1)=AH$5,", "&amp;30,"")&amp;IF(INDEX($A$57:$G$67,2*INT((30+WEEKDAY(DATE(PlanYear,10,1),2)-1)/7)+1,MOD(30+WEEKDAY(DATE(PlanYear,10,1),2)-1,7)+1)=AH$5,", "&amp;31,""),3,200))</f>
        <v/>
      </c>
      <c r="AI15" s="16">
        <f>IF(AI$5="","",MID(IF(INDEX($A$57:$G$67,2*INT((0+WEEKDAY(DATE(PlanYear,10,1),2)-1)/7)+1,MOD(0+WEEKDAY(DATE(PlanYear,10,1),2)-1,7)+1)=AI$5,", "&amp;1,"")&amp;IF(INDEX($A$57:$G$67,2*INT((1+WEEKDAY(DATE(PlanYear,10,1),2)-1)/7)+1,MOD(1+WEEKDAY(DATE(PlanYear,10,1),2)-1,7)+1)=AI$5,", "&amp;2,"")&amp;IF(INDEX($A$57:$G$67,2*INT((2+WEEKDAY(DATE(PlanYear,10,1),2)-1)/7)+1,MOD(2+WEEKDAY(DATE(PlanYear,10,1),2)-1,7)+1)=AI$5,", "&amp;3,"")&amp;IF(INDEX($A$57:$G$67,2*INT((3+WEEKDAY(DATE(PlanYear,10,1),2)-1)/7)+1,MOD(3+WEEKDAY(DATE(PlanYear,10,1),2)-1,7)+1)=AI$5,", "&amp;4,"")&amp;IF(INDEX($A$57:$G$67,2*INT((4+WEEKDAY(DATE(PlanYear,10,1),2)-1)/7)+1,MOD(4+WEEKDAY(DATE(PlanYear,10,1),2)-1,7)+1)=AI$5,", "&amp;5,"")&amp;IF(INDEX($A$57:$G$67,2*INT((5+WEEKDAY(DATE(PlanYear,10,1),2)-1)/7)+1,MOD(5+WEEKDAY(DATE(PlanYear,10,1),2)-1,7)+1)=AI$5,", "&amp;6,"")&amp;IF(INDEX($A$57:$G$67,2*INT((6+WEEKDAY(DATE(PlanYear,10,1),2)-1)/7)+1,MOD(6+WEEKDAY(DATE(PlanYear,10,1),2)-1,7)+1)=AI$5,", "&amp;7,"")&amp;IF(INDEX($A$57:$G$67,2*INT((7+WEEKDAY(DATE(PlanYear,10,1),2)-1)/7)+1,MOD(7+WEEKDAY(DATE(PlanYear,10,1),2)-1,7)+1)=AI$5,", "&amp;8,"")&amp;IF(INDEX($A$57:$G$67,2*INT((8+WEEKDAY(DATE(PlanYear,10,1),2)-1)/7)+1,MOD(8+WEEKDAY(DATE(PlanYear,10,1),2)-1,7)+1)=AI$5,", "&amp;9,"")&amp;IF(INDEX($A$57:$G$67,2*INT((9+WEEKDAY(DATE(PlanYear,10,1),2)-1)/7)+1,MOD(9+WEEKDAY(DATE(PlanYear,10,1),2)-1,7)+1)=AI$5,", "&amp;10,"")&amp;IF(INDEX($A$57:$G$67,2*INT((10+WEEKDAY(DATE(PlanYear,10,1),2)-1)/7)+1,MOD(10+WEEKDAY(DATE(PlanYear,10,1),2)-1,7)+1)=AI$5,", "&amp;11,"")&amp;IF(INDEX($A$57:$G$67,2*INT((11+WEEKDAY(DATE(PlanYear,10,1),2)-1)/7)+1,MOD(11+WEEKDAY(DATE(PlanYear,10,1),2)-1,7)+1)=AI$5,", "&amp;12,"")&amp;IF(INDEX($A$57:$G$67,2*INT((12+WEEKDAY(DATE(PlanYear,10,1),2)-1)/7)+1,MOD(12+WEEKDAY(DATE(PlanYear,10,1),2)-1,7)+1)=AI$5,", "&amp;13,"")&amp;IF(INDEX($A$57:$G$67,2*INT((13+WEEKDAY(DATE(PlanYear,10,1),2)-1)/7)+1,MOD(13+WEEKDAY(DATE(PlanYear,10,1),2)-1,7)+1)=AI$5,", "&amp;14,"")&amp;IF(INDEX($A$57:$G$67,2*INT((14+WEEKDAY(DATE(PlanYear,10,1),2)-1)/7)+1,MOD(14+WEEKDAY(DATE(PlanYear,10,1),2)-1,7)+1)=AI$5,", "&amp;15,"")&amp;IF(INDEX($A$57:$G$67,2*INT((15+WEEKDAY(DATE(PlanYear,10,1),2)-1)/7)+1,MOD(15+WEEKDAY(DATE(PlanYear,10,1),2)-1,7)+1)=AI$5,", "&amp;16,"")&amp;IF(INDEX($A$57:$G$67,2*INT((16+WEEKDAY(DATE(PlanYear,10,1),2)-1)/7)+1,MOD(16+WEEKDAY(DATE(PlanYear,10,1),2)-1,7)+1)=AI$5,", "&amp;17,"")&amp;IF(INDEX($A$57:$G$67,2*INT((17+WEEKDAY(DATE(PlanYear,10,1),2)-1)/7)+1,MOD(17+WEEKDAY(DATE(PlanYear,10,1),2)-1,7)+1)=AI$5,", "&amp;18,"")&amp;IF(INDEX($A$57:$G$67,2*INT((18+WEEKDAY(DATE(PlanYear,10,1),2)-1)/7)+1,MOD(18+WEEKDAY(DATE(PlanYear,10,1),2)-1,7)+1)=AI$5,", "&amp;19,"")&amp;IF(INDEX($A$57:$G$67,2*INT((19+WEEKDAY(DATE(PlanYear,10,1),2)-1)/7)+1,MOD(19+WEEKDAY(DATE(PlanYear,10,1),2)-1,7)+1)=AI$5,", "&amp;20,"")&amp;IF(INDEX($A$57:$G$67,2*INT((20+WEEKDAY(DATE(PlanYear,10,1),2)-1)/7)+1,MOD(20+WEEKDAY(DATE(PlanYear,10,1),2)-1,7)+1)=AI$5,", "&amp;21,"")&amp;IF(INDEX($A$57:$G$67,2*INT((21+WEEKDAY(DATE(PlanYear,10,1),2)-1)/7)+1,MOD(21+WEEKDAY(DATE(PlanYear,10,1),2)-1,7)+1)=AI$5,", "&amp;22,"")&amp;IF(INDEX($A$57:$G$67,2*INT((22+WEEKDAY(DATE(PlanYear,10,1),2)-1)/7)+1,MOD(22+WEEKDAY(DATE(PlanYear,10,1),2)-1,7)+1)=AI$5,", "&amp;23,"")&amp;IF(INDEX($A$57:$G$67,2*INT((23+WEEKDAY(DATE(PlanYear,10,1),2)-1)/7)+1,MOD(23+WEEKDAY(DATE(PlanYear,10,1),2)-1,7)+1)=AI$5,", "&amp;24,"")&amp;IF(INDEX($A$57:$G$67,2*INT((24+WEEKDAY(DATE(PlanYear,10,1),2)-1)/7)+1,MOD(24+WEEKDAY(DATE(PlanYear,10,1),2)-1,7)+1)=AI$5,", "&amp;25,"")&amp;IF(INDEX($A$57:$G$67,2*INT((25+WEEKDAY(DATE(PlanYear,10,1),2)-1)/7)+1,MOD(25+WEEKDAY(DATE(PlanYear,10,1),2)-1,7)+1)=AI$5,", "&amp;26,"")&amp;IF(INDEX($A$57:$G$67,2*INT((26+WEEKDAY(DATE(PlanYear,10,1),2)-1)/7)+1,MOD(26+WEEKDAY(DATE(PlanYear,10,1),2)-1,7)+1)=AI$5,", "&amp;27,"")&amp;IF(INDEX($A$57:$G$67,2*INT((27+WEEKDAY(DATE(PlanYear,10,1),2)-1)/7)+1,MOD(27+WEEKDAY(DATE(PlanYear,10,1),2)-1,7)+1)=AI$5,", "&amp;28,"")&amp;IF(INDEX($A$57:$G$67,2*INT((28+WEEKDAY(DATE(PlanYear,10,1),2)-1)/7)+1,MOD(28+WEEKDAY(DATE(PlanYear,10,1),2)-1,7)+1)=AI$5,", "&amp;29,"")&amp;IF(INDEX($A$57:$G$67,2*INT((29+WEEKDAY(DATE(PlanYear,10,1),2)-1)/7)+1,MOD(29+WEEKDAY(DATE(PlanYear,10,1),2)-1,7)+1)=AI$5,", "&amp;30,"")&amp;IF(INDEX($A$57:$G$67,2*INT((30+WEEKDAY(DATE(PlanYear,10,1),2)-1)/7)+1,MOD(30+WEEKDAY(DATE(PlanYear,10,1),2)-1,7)+1)=AI$5,", "&amp;31,""),3,200))</f>
        <v/>
      </c>
      <c r="AJ15" s="16">
        <f>IF(AJ$5="","",MID(IF(INDEX($A$57:$G$67,2*INT((0+WEEKDAY(DATE(PlanYear,10,1),2)-1)/7)+1,MOD(0+WEEKDAY(DATE(PlanYear,10,1),2)-1,7)+1)=AJ$5,", "&amp;1,"")&amp;IF(INDEX($A$57:$G$67,2*INT((1+WEEKDAY(DATE(PlanYear,10,1),2)-1)/7)+1,MOD(1+WEEKDAY(DATE(PlanYear,10,1),2)-1,7)+1)=AJ$5,", "&amp;2,"")&amp;IF(INDEX($A$57:$G$67,2*INT((2+WEEKDAY(DATE(PlanYear,10,1),2)-1)/7)+1,MOD(2+WEEKDAY(DATE(PlanYear,10,1),2)-1,7)+1)=AJ$5,", "&amp;3,"")&amp;IF(INDEX($A$57:$G$67,2*INT((3+WEEKDAY(DATE(PlanYear,10,1),2)-1)/7)+1,MOD(3+WEEKDAY(DATE(PlanYear,10,1),2)-1,7)+1)=AJ$5,", "&amp;4,"")&amp;IF(INDEX($A$57:$G$67,2*INT((4+WEEKDAY(DATE(PlanYear,10,1),2)-1)/7)+1,MOD(4+WEEKDAY(DATE(PlanYear,10,1),2)-1,7)+1)=AJ$5,", "&amp;5,"")&amp;IF(INDEX($A$57:$G$67,2*INT((5+WEEKDAY(DATE(PlanYear,10,1),2)-1)/7)+1,MOD(5+WEEKDAY(DATE(PlanYear,10,1),2)-1,7)+1)=AJ$5,", "&amp;6,"")&amp;IF(INDEX($A$57:$G$67,2*INT((6+WEEKDAY(DATE(PlanYear,10,1),2)-1)/7)+1,MOD(6+WEEKDAY(DATE(PlanYear,10,1),2)-1,7)+1)=AJ$5,", "&amp;7,"")&amp;IF(INDEX($A$57:$G$67,2*INT((7+WEEKDAY(DATE(PlanYear,10,1),2)-1)/7)+1,MOD(7+WEEKDAY(DATE(PlanYear,10,1),2)-1,7)+1)=AJ$5,", "&amp;8,"")&amp;IF(INDEX($A$57:$G$67,2*INT((8+WEEKDAY(DATE(PlanYear,10,1),2)-1)/7)+1,MOD(8+WEEKDAY(DATE(PlanYear,10,1),2)-1,7)+1)=AJ$5,", "&amp;9,"")&amp;IF(INDEX($A$57:$G$67,2*INT((9+WEEKDAY(DATE(PlanYear,10,1),2)-1)/7)+1,MOD(9+WEEKDAY(DATE(PlanYear,10,1),2)-1,7)+1)=AJ$5,", "&amp;10,"")&amp;IF(INDEX($A$57:$G$67,2*INT((10+WEEKDAY(DATE(PlanYear,10,1),2)-1)/7)+1,MOD(10+WEEKDAY(DATE(PlanYear,10,1),2)-1,7)+1)=AJ$5,", "&amp;11,"")&amp;IF(INDEX($A$57:$G$67,2*INT((11+WEEKDAY(DATE(PlanYear,10,1),2)-1)/7)+1,MOD(11+WEEKDAY(DATE(PlanYear,10,1),2)-1,7)+1)=AJ$5,", "&amp;12,"")&amp;IF(INDEX($A$57:$G$67,2*INT((12+WEEKDAY(DATE(PlanYear,10,1),2)-1)/7)+1,MOD(12+WEEKDAY(DATE(PlanYear,10,1),2)-1,7)+1)=AJ$5,", "&amp;13,"")&amp;IF(INDEX($A$57:$G$67,2*INT((13+WEEKDAY(DATE(PlanYear,10,1),2)-1)/7)+1,MOD(13+WEEKDAY(DATE(PlanYear,10,1),2)-1,7)+1)=AJ$5,", "&amp;14,"")&amp;IF(INDEX($A$57:$G$67,2*INT((14+WEEKDAY(DATE(PlanYear,10,1),2)-1)/7)+1,MOD(14+WEEKDAY(DATE(PlanYear,10,1),2)-1,7)+1)=AJ$5,", "&amp;15,"")&amp;IF(INDEX($A$57:$G$67,2*INT((15+WEEKDAY(DATE(PlanYear,10,1),2)-1)/7)+1,MOD(15+WEEKDAY(DATE(PlanYear,10,1),2)-1,7)+1)=AJ$5,", "&amp;16,"")&amp;IF(INDEX($A$57:$G$67,2*INT((16+WEEKDAY(DATE(PlanYear,10,1),2)-1)/7)+1,MOD(16+WEEKDAY(DATE(PlanYear,10,1),2)-1,7)+1)=AJ$5,", "&amp;17,"")&amp;IF(INDEX($A$57:$G$67,2*INT((17+WEEKDAY(DATE(PlanYear,10,1),2)-1)/7)+1,MOD(17+WEEKDAY(DATE(PlanYear,10,1),2)-1,7)+1)=AJ$5,", "&amp;18,"")&amp;IF(INDEX($A$57:$G$67,2*INT((18+WEEKDAY(DATE(PlanYear,10,1),2)-1)/7)+1,MOD(18+WEEKDAY(DATE(PlanYear,10,1),2)-1,7)+1)=AJ$5,", "&amp;19,"")&amp;IF(INDEX($A$57:$G$67,2*INT((19+WEEKDAY(DATE(PlanYear,10,1),2)-1)/7)+1,MOD(19+WEEKDAY(DATE(PlanYear,10,1),2)-1,7)+1)=AJ$5,", "&amp;20,"")&amp;IF(INDEX($A$57:$G$67,2*INT((20+WEEKDAY(DATE(PlanYear,10,1),2)-1)/7)+1,MOD(20+WEEKDAY(DATE(PlanYear,10,1),2)-1,7)+1)=AJ$5,", "&amp;21,"")&amp;IF(INDEX($A$57:$G$67,2*INT((21+WEEKDAY(DATE(PlanYear,10,1),2)-1)/7)+1,MOD(21+WEEKDAY(DATE(PlanYear,10,1),2)-1,7)+1)=AJ$5,", "&amp;22,"")&amp;IF(INDEX($A$57:$G$67,2*INT((22+WEEKDAY(DATE(PlanYear,10,1),2)-1)/7)+1,MOD(22+WEEKDAY(DATE(PlanYear,10,1),2)-1,7)+1)=AJ$5,", "&amp;23,"")&amp;IF(INDEX($A$57:$G$67,2*INT((23+WEEKDAY(DATE(PlanYear,10,1),2)-1)/7)+1,MOD(23+WEEKDAY(DATE(PlanYear,10,1),2)-1,7)+1)=AJ$5,", "&amp;24,"")&amp;IF(INDEX($A$57:$G$67,2*INT((24+WEEKDAY(DATE(PlanYear,10,1),2)-1)/7)+1,MOD(24+WEEKDAY(DATE(PlanYear,10,1),2)-1,7)+1)=AJ$5,", "&amp;25,"")&amp;IF(INDEX($A$57:$G$67,2*INT((25+WEEKDAY(DATE(PlanYear,10,1),2)-1)/7)+1,MOD(25+WEEKDAY(DATE(PlanYear,10,1),2)-1,7)+1)=AJ$5,", "&amp;26,"")&amp;IF(INDEX($A$57:$G$67,2*INT((26+WEEKDAY(DATE(PlanYear,10,1),2)-1)/7)+1,MOD(26+WEEKDAY(DATE(PlanYear,10,1),2)-1,7)+1)=AJ$5,", "&amp;27,"")&amp;IF(INDEX($A$57:$G$67,2*INT((27+WEEKDAY(DATE(PlanYear,10,1),2)-1)/7)+1,MOD(27+WEEKDAY(DATE(PlanYear,10,1),2)-1,7)+1)=AJ$5,", "&amp;28,"")&amp;IF(INDEX($A$57:$G$67,2*INT((28+WEEKDAY(DATE(PlanYear,10,1),2)-1)/7)+1,MOD(28+WEEKDAY(DATE(PlanYear,10,1),2)-1,7)+1)=AJ$5,", "&amp;29,"")&amp;IF(INDEX($A$57:$G$67,2*INT((29+WEEKDAY(DATE(PlanYear,10,1),2)-1)/7)+1,MOD(29+WEEKDAY(DATE(PlanYear,10,1),2)-1,7)+1)=AJ$5,", "&amp;30,"")&amp;IF(INDEX($A$57:$G$67,2*INT((30+WEEKDAY(DATE(PlanYear,10,1),2)-1)/7)+1,MOD(30+WEEKDAY(DATE(PlanYear,10,1),2)-1,7)+1)=AJ$5,", "&amp;31,""),3,200))</f>
        <v/>
      </c>
      <c r="AK15" s="17">
        <f>DAY(EOMONTH(DATE(PlanYear,10,1),0))-COUNTIF($A$57:$G$67,"?*")</f>
        <v/>
      </c>
    </row>
    <row r="16" ht="26" customHeight="1">
      <c r="A16" s="20">
        <f>IF(AND(29-(WEEKDAY(DATE(PlanYear,1,1),2)-1)&gt;=1,29-(WEEKDAY(DATE(PlanYear,1,1),2)-1)&lt;=DAY(EOMONTH(DATE(PlanYear,1,1),0))),DATE(PlanYear,1,1)+29-WEEKDAY(DATE(PlanYear,1,1),2),"")</f>
        <v/>
      </c>
      <c r="B16" s="20">
        <f>IF(AND(30-(WEEKDAY(DATE(PlanYear,1,1),2)-1)&gt;=1,30-(WEEKDAY(DATE(PlanYear,1,1),2)-1)&lt;=DAY(EOMONTH(DATE(PlanYear,1,1),0))),DATE(PlanYear,1,1)+30-WEEKDAY(DATE(PlanYear,1,1),2),"")</f>
        <v/>
      </c>
      <c r="C16" s="20">
        <f>IF(AND(31-(WEEKDAY(DATE(PlanYear,1,1),2)-1)&gt;=1,31-(WEEKDAY(DATE(PlanYear,1,1),2)-1)&lt;=DAY(EOMONTH(DATE(PlanYear,1,1),0))),DATE(PlanYear,1,1)+31-WEEKDAY(DATE(PlanYear,1,1),2),"")</f>
        <v/>
      </c>
      <c r="D16" s="20">
        <f>IF(AND(32-(WEEKDAY(DATE(PlanYear,1,1),2)-1)&gt;=1,32-(WEEKDAY(DATE(PlanYear,1,1),2)-1)&lt;=DAY(EOMONTH(DATE(PlanYear,1,1),0))),DATE(PlanYear,1,1)+32-WEEKDAY(DATE(PlanYear,1,1),2),"")</f>
        <v/>
      </c>
      <c r="E16" s="20">
        <f>IF(AND(33-(WEEKDAY(DATE(PlanYear,1,1),2)-1)&gt;=1,33-(WEEKDAY(DATE(PlanYear,1,1),2)-1)&lt;=DAY(EOMONTH(DATE(PlanYear,1,1),0))),DATE(PlanYear,1,1)+33-WEEKDAY(DATE(PlanYear,1,1),2),"")</f>
        <v/>
      </c>
      <c r="F16" s="20">
        <f>IF(AND(34-(WEEKDAY(DATE(PlanYear,1,1),2)-1)&gt;=1,34-(WEEKDAY(DATE(PlanYear,1,1),2)-1)&lt;=DAY(EOMONTH(DATE(PlanYear,1,1),0))),DATE(PlanYear,1,1)+34-WEEKDAY(DATE(PlanYear,1,1),2),"")</f>
        <v/>
      </c>
      <c r="G16" s="20">
        <f>IF(AND(35-(WEEKDAY(DATE(PlanYear,1,1),2)-1)&gt;=1,35-(WEEKDAY(DATE(PlanYear,1,1),2)-1)&lt;=DAY(EOMONTH(DATE(PlanYear,1,1),0))),DATE(PlanYear,1,1)+35-WEEKDAY(DATE(PlanYear,1,1),2),"")</f>
        <v/>
      </c>
      <c r="I16" s="20">
        <f>IF(AND(29-(WEEKDAY(DATE(PlanYear,2,1),2)-1)&gt;=1,29-(WEEKDAY(DATE(PlanYear,2,1),2)-1)&lt;=DAY(EOMONTH(DATE(PlanYear,2,1),0))),DATE(PlanYear,2,1)+29-WEEKDAY(DATE(PlanYear,2,1),2),"")</f>
        <v/>
      </c>
      <c r="J16" s="20">
        <f>IF(AND(30-(WEEKDAY(DATE(PlanYear,2,1),2)-1)&gt;=1,30-(WEEKDAY(DATE(PlanYear,2,1),2)-1)&lt;=DAY(EOMONTH(DATE(PlanYear,2,1),0))),DATE(PlanYear,2,1)+30-WEEKDAY(DATE(PlanYear,2,1),2),"")</f>
        <v/>
      </c>
      <c r="K16" s="20">
        <f>IF(AND(31-(WEEKDAY(DATE(PlanYear,2,1),2)-1)&gt;=1,31-(WEEKDAY(DATE(PlanYear,2,1),2)-1)&lt;=DAY(EOMONTH(DATE(PlanYear,2,1),0))),DATE(PlanYear,2,1)+31-WEEKDAY(DATE(PlanYear,2,1),2),"")</f>
        <v/>
      </c>
      <c r="L16" s="20">
        <f>IF(AND(32-(WEEKDAY(DATE(PlanYear,2,1),2)-1)&gt;=1,32-(WEEKDAY(DATE(PlanYear,2,1),2)-1)&lt;=DAY(EOMONTH(DATE(PlanYear,2,1),0))),DATE(PlanYear,2,1)+32-WEEKDAY(DATE(PlanYear,2,1),2),"")</f>
        <v/>
      </c>
      <c r="M16" s="20">
        <f>IF(AND(33-(WEEKDAY(DATE(PlanYear,2,1),2)-1)&gt;=1,33-(WEEKDAY(DATE(PlanYear,2,1),2)-1)&lt;=DAY(EOMONTH(DATE(PlanYear,2,1),0))),DATE(PlanYear,2,1)+33-WEEKDAY(DATE(PlanYear,2,1),2),"")</f>
        <v/>
      </c>
      <c r="N16" s="20">
        <f>IF(AND(34-(WEEKDAY(DATE(PlanYear,2,1),2)-1)&gt;=1,34-(WEEKDAY(DATE(PlanYear,2,1),2)-1)&lt;=DAY(EOMONTH(DATE(PlanYear,2,1),0))),DATE(PlanYear,2,1)+34-WEEKDAY(DATE(PlanYear,2,1),2),"")</f>
        <v/>
      </c>
      <c r="O16" s="20">
        <f>IF(AND(35-(WEEKDAY(DATE(PlanYear,2,1),2)-1)&gt;=1,35-(WEEKDAY(DATE(PlanYear,2,1),2)-1)&lt;=DAY(EOMONTH(DATE(PlanYear,2,1),0))),DATE(PlanYear,2,1)+35-WEEKDAY(DATE(PlanYear,2,1),2),"")</f>
        <v/>
      </c>
      <c r="Q16" s="20">
        <f>IF(AND(29-(WEEKDAY(DATE(PlanYear,3,1),2)-1)&gt;=1,29-(WEEKDAY(DATE(PlanYear,3,1),2)-1)&lt;=DAY(EOMONTH(DATE(PlanYear,3,1),0))),DATE(PlanYear,3,1)+29-WEEKDAY(DATE(PlanYear,3,1),2),"")</f>
        <v/>
      </c>
      <c r="R16" s="20">
        <f>IF(AND(30-(WEEKDAY(DATE(PlanYear,3,1),2)-1)&gt;=1,30-(WEEKDAY(DATE(PlanYear,3,1),2)-1)&lt;=DAY(EOMONTH(DATE(PlanYear,3,1),0))),DATE(PlanYear,3,1)+30-WEEKDAY(DATE(PlanYear,3,1),2),"")</f>
        <v/>
      </c>
      <c r="S16" s="20">
        <f>IF(AND(31-(WEEKDAY(DATE(PlanYear,3,1),2)-1)&gt;=1,31-(WEEKDAY(DATE(PlanYear,3,1),2)-1)&lt;=DAY(EOMONTH(DATE(PlanYear,3,1),0))),DATE(PlanYear,3,1)+31-WEEKDAY(DATE(PlanYear,3,1),2),"")</f>
        <v/>
      </c>
      <c r="T16" s="20">
        <f>IF(AND(32-(WEEKDAY(DATE(PlanYear,3,1),2)-1)&gt;=1,32-(WEEKDAY(DATE(PlanYear,3,1),2)-1)&lt;=DAY(EOMONTH(DATE(PlanYear,3,1),0))),DATE(PlanYear,3,1)+32-WEEKDAY(DATE(PlanYear,3,1),2),"")</f>
        <v/>
      </c>
      <c r="U16" s="20">
        <f>IF(AND(33-(WEEKDAY(DATE(PlanYear,3,1),2)-1)&gt;=1,33-(WEEKDAY(DATE(PlanYear,3,1),2)-1)&lt;=DAY(EOMONTH(DATE(PlanYear,3,1),0))),DATE(PlanYear,3,1)+33-WEEKDAY(DATE(PlanYear,3,1),2),"")</f>
        <v/>
      </c>
      <c r="V16" s="20">
        <f>IF(AND(34-(WEEKDAY(DATE(PlanYear,3,1),2)-1)&gt;=1,34-(WEEKDAY(DATE(PlanYear,3,1),2)-1)&lt;=DAY(EOMONTH(DATE(PlanYear,3,1),0))),DATE(PlanYear,3,1)+34-WEEKDAY(DATE(PlanYear,3,1),2),"")</f>
        <v/>
      </c>
      <c r="W16" s="20">
        <f>IF(AND(35-(WEEKDAY(DATE(PlanYear,3,1),2)-1)&gt;=1,35-(WEEKDAY(DATE(PlanYear,3,1),2)-1)&lt;=DAY(EOMONTH(DATE(PlanYear,3,1),0))),DATE(PlanYear,3,1)+35-WEEKDAY(DATE(PlanYear,3,1),2),"")</f>
        <v/>
      </c>
      <c r="Z16" s="15" t="inlineStr">
        <is>
          <t>November</t>
        </is>
      </c>
      <c r="AA16" s="16">
        <f>IF(AA$5="","",MID(IF(INDEX($I$57:$O$67,2*INT((0+WEEKDAY(DATE(PlanYear,11,1),2)-1)/7)+1,MOD(0+WEEKDAY(DATE(PlanYear,11,1),2)-1,7)+1)=AA$5,", "&amp;1,"")&amp;IF(INDEX($I$57:$O$67,2*INT((1+WEEKDAY(DATE(PlanYear,11,1),2)-1)/7)+1,MOD(1+WEEKDAY(DATE(PlanYear,11,1),2)-1,7)+1)=AA$5,", "&amp;2,"")&amp;IF(INDEX($I$57:$O$67,2*INT((2+WEEKDAY(DATE(PlanYear,11,1),2)-1)/7)+1,MOD(2+WEEKDAY(DATE(PlanYear,11,1),2)-1,7)+1)=AA$5,", "&amp;3,"")&amp;IF(INDEX($I$57:$O$67,2*INT((3+WEEKDAY(DATE(PlanYear,11,1),2)-1)/7)+1,MOD(3+WEEKDAY(DATE(PlanYear,11,1),2)-1,7)+1)=AA$5,", "&amp;4,"")&amp;IF(INDEX($I$57:$O$67,2*INT((4+WEEKDAY(DATE(PlanYear,11,1),2)-1)/7)+1,MOD(4+WEEKDAY(DATE(PlanYear,11,1),2)-1,7)+1)=AA$5,", "&amp;5,"")&amp;IF(INDEX($I$57:$O$67,2*INT((5+WEEKDAY(DATE(PlanYear,11,1),2)-1)/7)+1,MOD(5+WEEKDAY(DATE(PlanYear,11,1),2)-1,7)+1)=AA$5,", "&amp;6,"")&amp;IF(INDEX($I$57:$O$67,2*INT((6+WEEKDAY(DATE(PlanYear,11,1),2)-1)/7)+1,MOD(6+WEEKDAY(DATE(PlanYear,11,1),2)-1,7)+1)=AA$5,", "&amp;7,"")&amp;IF(INDEX($I$57:$O$67,2*INT((7+WEEKDAY(DATE(PlanYear,11,1),2)-1)/7)+1,MOD(7+WEEKDAY(DATE(PlanYear,11,1),2)-1,7)+1)=AA$5,", "&amp;8,"")&amp;IF(INDEX($I$57:$O$67,2*INT((8+WEEKDAY(DATE(PlanYear,11,1),2)-1)/7)+1,MOD(8+WEEKDAY(DATE(PlanYear,11,1),2)-1,7)+1)=AA$5,", "&amp;9,"")&amp;IF(INDEX($I$57:$O$67,2*INT((9+WEEKDAY(DATE(PlanYear,11,1),2)-1)/7)+1,MOD(9+WEEKDAY(DATE(PlanYear,11,1),2)-1,7)+1)=AA$5,", "&amp;10,"")&amp;IF(INDEX($I$57:$O$67,2*INT((10+WEEKDAY(DATE(PlanYear,11,1),2)-1)/7)+1,MOD(10+WEEKDAY(DATE(PlanYear,11,1),2)-1,7)+1)=AA$5,", "&amp;11,"")&amp;IF(INDEX($I$57:$O$67,2*INT((11+WEEKDAY(DATE(PlanYear,11,1),2)-1)/7)+1,MOD(11+WEEKDAY(DATE(PlanYear,11,1),2)-1,7)+1)=AA$5,", "&amp;12,"")&amp;IF(INDEX($I$57:$O$67,2*INT((12+WEEKDAY(DATE(PlanYear,11,1),2)-1)/7)+1,MOD(12+WEEKDAY(DATE(PlanYear,11,1),2)-1,7)+1)=AA$5,", "&amp;13,"")&amp;IF(INDEX($I$57:$O$67,2*INT((13+WEEKDAY(DATE(PlanYear,11,1),2)-1)/7)+1,MOD(13+WEEKDAY(DATE(PlanYear,11,1),2)-1,7)+1)=AA$5,", "&amp;14,"")&amp;IF(INDEX($I$57:$O$67,2*INT((14+WEEKDAY(DATE(PlanYear,11,1),2)-1)/7)+1,MOD(14+WEEKDAY(DATE(PlanYear,11,1),2)-1,7)+1)=AA$5,", "&amp;15,"")&amp;IF(INDEX($I$57:$O$67,2*INT((15+WEEKDAY(DATE(PlanYear,11,1),2)-1)/7)+1,MOD(15+WEEKDAY(DATE(PlanYear,11,1),2)-1,7)+1)=AA$5,", "&amp;16,"")&amp;IF(INDEX($I$57:$O$67,2*INT((16+WEEKDAY(DATE(PlanYear,11,1),2)-1)/7)+1,MOD(16+WEEKDAY(DATE(PlanYear,11,1),2)-1,7)+1)=AA$5,", "&amp;17,"")&amp;IF(INDEX($I$57:$O$67,2*INT((17+WEEKDAY(DATE(PlanYear,11,1),2)-1)/7)+1,MOD(17+WEEKDAY(DATE(PlanYear,11,1),2)-1,7)+1)=AA$5,", "&amp;18,"")&amp;IF(INDEX($I$57:$O$67,2*INT((18+WEEKDAY(DATE(PlanYear,11,1),2)-1)/7)+1,MOD(18+WEEKDAY(DATE(PlanYear,11,1),2)-1,7)+1)=AA$5,", "&amp;19,"")&amp;IF(INDEX($I$57:$O$67,2*INT((19+WEEKDAY(DATE(PlanYear,11,1),2)-1)/7)+1,MOD(19+WEEKDAY(DATE(PlanYear,11,1),2)-1,7)+1)=AA$5,", "&amp;20,"")&amp;IF(INDEX($I$57:$O$67,2*INT((20+WEEKDAY(DATE(PlanYear,11,1),2)-1)/7)+1,MOD(20+WEEKDAY(DATE(PlanYear,11,1),2)-1,7)+1)=AA$5,", "&amp;21,"")&amp;IF(INDEX($I$57:$O$67,2*INT((21+WEEKDAY(DATE(PlanYear,11,1),2)-1)/7)+1,MOD(21+WEEKDAY(DATE(PlanYear,11,1),2)-1,7)+1)=AA$5,", "&amp;22,"")&amp;IF(INDEX($I$57:$O$67,2*INT((22+WEEKDAY(DATE(PlanYear,11,1),2)-1)/7)+1,MOD(22+WEEKDAY(DATE(PlanYear,11,1),2)-1,7)+1)=AA$5,", "&amp;23,"")&amp;IF(INDEX($I$57:$O$67,2*INT((23+WEEKDAY(DATE(PlanYear,11,1),2)-1)/7)+1,MOD(23+WEEKDAY(DATE(PlanYear,11,1),2)-1,7)+1)=AA$5,", "&amp;24,"")&amp;IF(INDEX($I$57:$O$67,2*INT((24+WEEKDAY(DATE(PlanYear,11,1),2)-1)/7)+1,MOD(24+WEEKDAY(DATE(PlanYear,11,1),2)-1,7)+1)=AA$5,", "&amp;25,"")&amp;IF(INDEX($I$57:$O$67,2*INT((25+WEEKDAY(DATE(PlanYear,11,1),2)-1)/7)+1,MOD(25+WEEKDAY(DATE(PlanYear,11,1),2)-1,7)+1)=AA$5,", "&amp;26,"")&amp;IF(INDEX($I$57:$O$67,2*INT((26+WEEKDAY(DATE(PlanYear,11,1),2)-1)/7)+1,MOD(26+WEEKDAY(DATE(PlanYear,11,1),2)-1,7)+1)=AA$5,", "&amp;27,"")&amp;IF(INDEX($I$57:$O$67,2*INT((27+WEEKDAY(DATE(PlanYear,11,1),2)-1)/7)+1,MOD(27+WEEKDAY(DATE(PlanYear,11,1),2)-1,7)+1)=AA$5,", "&amp;28,"")&amp;IF(INDEX($I$57:$O$67,2*INT((28+WEEKDAY(DATE(PlanYear,11,1),2)-1)/7)+1,MOD(28+WEEKDAY(DATE(PlanYear,11,1),2)-1,7)+1)=AA$5,", "&amp;29,"")&amp;IF(INDEX($I$57:$O$67,2*INT((29+WEEKDAY(DATE(PlanYear,11,1),2)-1)/7)+1,MOD(29+WEEKDAY(DATE(PlanYear,11,1),2)-1,7)+1)=AA$5,", "&amp;30,"")&amp;IF(INDEX($I$57:$O$67,2*INT((30+WEEKDAY(DATE(PlanYear,11,1),2)-1)/7)+1,MOD(30+WEEKDAY(DATE(PlanYear,11,1),2)-1,7)+1)=AA$5,", "&amp;31,""),3,200))</f>
        <v/>
      </c>
      <c r="AB16" s="16">
        <f>IF(AB$5="","",MID(IF(INDEX($I$57:$O$67,2*INT((0+WEEKDAY(DATE(PlanYear,11,1),2)-1)/7)+1,MOD(0+WEEKDAY(DATE(PlanYear,11,1),2)-1,7)+1)=AB$5,", "&amp;1,"")&amp;IF(INDEX($I$57:$O$67,2*INT((1+WEEKDAY(DATE(PlanYear,11,1),2)-1)/7)+1,MOD(1+WEEKDAY(DATE(PlanYear,11,1),2)-1,7)+1)=AB$5,", "&amp;2,"")&amp;IF(INDEX($I$57:$O$67,2*INT((2+WEEKDAY(DATE(PlanYear,11,1),2)-1)/7)+1,MOD(2+WEEKDAY(DATE(PlanYear,11,1),2)-1,7)+1)=AB$5,", "&amp;3,"")&amp;IF(INDEX($I$57:$O$67,2*INT((3+WEEKDAY(DATE(PlanYear,11,1),2)-1)/7)+1,MOD(3+WEEKDAY(DATE(PlanYear,11,1),2)-1,7)+1)=AB$5,", "&amp;4,"")&amp;IF(INDEX($I$57:$O$67,2*INT((4+WEEKDAY(DATE(PlanYear,11,1),2)-1)/7)+1,MOD(4+WEEKDAY(DATE(PlanYear,11,1),2)-1,7)+1)=AB$5,", "&amp;5,"")&amp;IF(INDEX($I$57:$O$67,2*INT((5+WEEKDAY(DATE(PlanYear,11,1),2)-1)/7)+1,MOD(5+WEEKDAY(DATE(PlanYear,11,1),2)-1,7)+1)=AB$5,", "&amp;6,"")&amp;IF(INDEX($I$57:$O$67,2*INT((6+WEEKDAY(DATE(PlanYear,11,1),2)-1)/7)+1,MOD(6+WEEKDAY(DATE(PlanYear,11,1),2)-1,7)+1)=AB$5,", "&amp;7,"")&amp;IF(INDEX($I$57:$O$67,2*INT((7+WEEKDAY(DATE(PlanYear,11,1),2)-1)/7)+1,MOD(7+WEEKDAY(DATE(PlanYear,11,1),2)-1,7)+1)=AB$5,", "&amp;8,"")&amp;IF(INDEX($I$57:$O$67,2*INT((8+WEEKDAY(DATE(PlanYear,11,1),2)-1)/7)+1,MOD(8+WEEKDAY(DATE(PlanYear,11,1),2)-1,7)+1)=AB$5,", "&amp;9,"")&amp;IF(INDEX($I$57:$O$67,2*INT((9+WEEKDAY(DATE(PlanYear,11,1),2)-1)/7)+1,MOD(9+WEEKDAY(DATE(PlanYear,11,1),2)-1,7)+1)=AB$5,", "&amp;10,"")&amp;IF(INDEX($I$57:$O$67,2*INT((10+WEEKDAY(DATE(PlanYear,11,1),2)-1)/7)+1,MOD(10+WEEKDAY(DATE(PlanYear,11,1),2)-1,7)+1)=AB$5,", "&amp;11,"")&amp;IF(INDEX($I$57:$O$67,2*INT((11+WEEKDAY(DATE(PlanYear,11,1),2)-1)/7)+1,MOD(11+WEEKDAY(DATE(PlanYear,11,1),2)-1,7)+1)=AB$5,", "&amp;12,"")&amp;IF(INDEX($I$57:$O$67,2*INT((12+WEEKDAY(DATE(PlanYear,11,1),2)-1)/7)+1,MOD(12+WEEKDAY(DATE(PlanYear,11,1),2)-1,7)+1)=AB$5,", "&amp;13,"")&amp;IF(INDEX($I$57:$O$67,2*INT((13+WEEKDAY(DATE(PlanYear,11,1),2)-1)/7)+1,MOD(13+WEEKDAY(DATE(PlanYear,11,1),2)-1,7)+1)=AB$5,", "&amp;14,"")&amp;IF(INDEX($I$57:$O$67,2*INT((14+WEEKDAY(DATE(PlanYear,11,1),2)-1)/7)+1,MOD(14+WEEKDAY(DATE(PlanYear,11,1),2)-1,7)+1)=AB$5,", "&amp;15,"")&amp;IF(INDEX($I$57:$O$67,2*INT((15+WEEKDAY(DATE(PlanYear,11,1),2)-1)/7)+1,MOD(15+WEEKDAY(DATE(PlanYear,11,1),2)-1,7)+1)=AB$5,", "&amp;16,"")&amp;IF(INDEX($I$57:$O$67,2*INT((16+WEEKDAY(DATE(PlanYear,11,1),2)-1)/7)+1,MOD(16+WEEKDAY(DATE(PlanYear,11,1),2)-1,7)+1)=AB$5,", "&amp;17,"")&amp;IF(INDEX($I$57:$O$67,2*INT((17+WEEKDAY(DATE(PlanYear,11,1),2)-1)/7)+1,MOD(17+WEEKDAY(DATE(PlanYear,11,1),2)-1,7)+1)=AB$5,", "&amp;18,"")&amp;IF(INDEX($I$57:$O$67,2*INT((18+WEEKDAY(DATE(PlanYear,11,1),2)-1)/7)+1,MOD(18+WEEKDAY(DATE(PlanYear,11,1),2)-1,7)+1)=AB$5,", "&amp;19,"")&amp;IF(INDEX($I$57:$O$67,2*INT((19+WEEKDAY(DATE(PlanYear,11,1),2)-1)/7)+1,MOD(19+WEEKDAY(DATE(PlanYear,11,1),2)-1,7)+1)=AB$5,", "&amp;20,"")&amp;IF(INDEX($I$57:$O$67,2*INT((20+WEEKDAY(DATE(PlanYear,11,1),2)-1)/7)+1,MOD(20+WEEKDAY(DATE(PlanYear,11,1),2)-1,7)+1)=AB$5,", "&amp;21,"")&amp;IF(INDEX($I$57:$O$67,2*INT((21+WEEKDAY(DATE(PlanYear,11,1),2)-1)/7)+1,MOD(21+WEEKDAY(DATE(PlanYear,11,1),2)-1,7)+1)=AB$5,", "&amp;22,"")&amp;IF(INDEX($I$57:$O$67,2*INT((22+WEEKDAY(DATE(PlanYear,11,1),2)-1)/7)+1,MOD(22+WEEKDAY(DATE(PlanYear,11,1),2)-1,7)+1)=AB$5,", "&amp;23,"")&amp;IF(INDEX($I$57:$O$67,2*INT((23+WEEKDAY(DATE(PlanYear,11,1),2)-1)/7)+1,MOD(23+WEEKDAY(DATE(PlanYear,11,1),2)-1,7)+1)=AB$5,", "&amp;24,"")&amp;IF(INDEX($I$57:$O$67,2*INT((24+WEEKDAY(DATE(PlanYear,11,1),2)-1)/7)+1,MOD(24+WEEKDAY(DATE(PlanYear,11,1),2)-1,7)+1)=AB$5,", "&amp;25,"")&amp;IF(INDEX($I$57:$O$67,2*INT((25+WEEKDAY(DATE(PlanYear,11,1),2)-1)/7)+1,MOD(25+WEEKDAY(DATE(PlanYear,11,1),2)-1,7)+1)=AB$5,", "&amp;26,"")&amp;IF(INDEX($I$57:$O$67,2*INT((26+WEEKDAY(DATE(PlanYear,11,1),2)-1)/7)+1,MOD(26+WEEKDAY(DATE(PlanYear,11,1),2)-1,7)+1)=AB$5,", "&amp;27,"")&amp;IF(INDEX($I$57:$O$67,2*INT((27+WEEKDAY(DATE(PlanYear,11,1),2)-1)/7)+1,MOD(27+WEEKDAY(DATE(PlanYear,11,1),2)-1,7)+1)=AB$5,", "&amp;28,"")&amp;IF(INDEX($I$57:$O$67,2*INT((28+WEEKDAY(DATE(PlanYear,11,1),2)-1)/7)+1,MOD(28+WEEKDAY(DATE(PlanYear,11,1),2)-1,7)+1)=AB$5,", "&amp;29,"")&amp;IF(INDEX($I$57:$O$67,2*INT((29+WEEKDAY(DATE(PlanYear,11,1),2)-1)/7)+1,MOD(29+WEEKDAY(DATE(PlanYear,11,1),2)-1,7)+1)=AB$5,", "&amp;30,"")&amp;IF(INDEX($I$57:$O$67,2*INT((30+WEEKDAY(DATE(PlanYear,11,1),2)-1)/7)+1,MOD(30+WEEKDAY(DATE(PlanYear,11,1),2)-1,7)+1)=AB$5,", "&amp;31,""),3,200))</f>
        <v/>
      </c>
      <c r="AC16" s="16">
        <f>IF(AC$5="","",MID(IF(INDEX($I$57:$O$67,2*INT((0+WEEKDAY(DATE(PlanYear,11,1),2)-1)/7)+1,MOD(0+WEEKDAY(DATE(PlanYear,11,1),2)-1,7)+1)=AC$5,", "&amp;1,"")&amp;IF(INDEX($I$57:$O$67,2*INT((1+WEEKDAY(DATE(PlanYear,11,1),2)-1)/7)+1,MOD(1+WEEKDAY(DATE(PlanYear,11,1),2)-1,7)+1)=AC$5,", "&amp;2,"")&amp;IF(INDEX($I$57:$O$67,2*INT((2+WEEKDAY(DATE(PlanYear,11,1),2)-1)/7)+1,MOD(2+WEEKDAY(DATE(PlanYear,11,1),2)-1,7)+1)=AC$5,", "&amp;3,"")&amp;IF(INDEX($I$57:$O$67,2*INT((3+WEEKDAY(DATE(PlanYear,11,1),2)-1)/7)+1,MOD(3+WEEKDAY(DATE(PlanYear,11,1),2)-1,7)+1)=AC$5,", "&amp;4,"")&amp;IF(INDEX($I$57:$O$67,2*INT((4+WEEKDAY(DATE(PlanYear,11,1),2)-1)/7)+1,MOD(4+WEEKDAY(DATE(PlanYear,11,1),2)-1,7)+1)=AC$5,", "&amp;5,"")&amp;IF(INDEX($I$57:$O$67,2*INT((5+WEEKDAY(DATE(PlanYear,11,1),2)-1)/7)+1,MOD(5+WEEKDAY(DATE(PlanYear,11,1),2)-1,7)+1)=AC$5,", "&amp;6,"")&amp;IF(INDEX($I$57:$O$67,2*INT((6+WEEKDAY(DATE(PlanYear,11,1),2)-1)/7)+1,MOD(6+WEEKDAY(DATE(PlanYear,11,1),2)-1,7)+1)=AC$5,", "&amp;7,"")&amp;IF(INDEX($I$57:$O$67,2*INT((7+WEEKDAY(DATE(PlanYear,11,1),2)-1)/7)+1,MOD(7+WEEKDAY(DATE(PlanYear,11,1),2)-1,7)+1)=AC$5,", "&amp;8,"")&amp;IF(INDEX($I$57:$O$67,2*INT((8+WEEKDAY(DATE(PlanYear,11,1),2)-1)/7)+1,MOD(8+WEEKDAY(DATE(PlanYear,11,1),2)-1,7)+1)=AC$5,", "&amp;9,"")&amp;IF(INDEX($I$57:$O$67,2*INT((9+WEEKDAY(DATE(PlanYear,11,1),2)-1)/7)+1,MOD(9+WEEKDAY(DATE(PlanYear,11,1),2)-1,7)+1)=AC$5,", "&amp;10,"")&amp;IF(INDEX($I$57:$O$67,2*INT((10+WEEKDAY(DATE(PlanYear,11,1),2)-1)/7)+1,MOD(10+WEEKDAY(DATE(PlanYear,11,1),2)-1,7)+1)=AC$5,", "&amp;11,"")&amp;IF(INDEX($I$57:$O$67,2*INT((11+WEEKDAY(DATE(PlanYear,11,1),2)-1)/7)+1,MOD(11+WEEKDAY(DATE(PlanYear,11,1),2)-1,7)+1)=AC$5,", "&amp;12,"")&amp;IF(INDEX($I$57:$O$67,2*INT((12+WEEKDAY(DATE(PlanYear,11,1),2)-1)/7)+1,MOD(12+WEEKDAY(DATE(PlanYear,11,1),2)-1,7)+1)=AC$5,", "&amp;13,"")&amp;IF(INDEX($I$57:$O$67,2*INT((13+WEEKDAY(DATE(PlanYear,11,1),2)-1)/7)+1,MOD(13+WEEKDAY(DATE(PlanYear,11,1),2)-1,7)+1)=AC$5,", "&amp;14,"")&amp;IF(INDEX($I$57:$O$67,2*INT((14+WEEKDAY(DATE(PlanYear,11,1),2)-1)/7)+1,MOD(14+WEEKDAY(DATE(PlanYear,11,1),2)-1,7)+1)=AC$5,", "&amp;15,"")&amp;IF(INDEX($I$57:$O$67,2*INT((15+WEEKDAY(DATE(PlanYear,11,1),2)-1)/7)+1,MOD(15+WEEKDAY(DATE(PlanYear,11,1),2)-1,7)+1)=AC$5,", "&amp;16,"")&amp;IF(INDEX($I$57:$O$67,2*INT((16+WEEKDAY(DATE(PlanYear,11,1),2)-1)/7)+1,MOD(16+WEEKDAY(DATE(PlanYear,11,1),2)-1,7)+1)=AC$5,", "&amp;17,"")&amp;IF(INDEX($I$57:$O$67,2*INT((17+WEEKDAY(DATE(PlanYear,11,1),2)-1)/7)+1,MOD(17+WEEKDAY(DATE(PlanYear,11,1),2)-1,7)+1)=AC$5,", "&amp;18,"")&amp;IF(INDEX($I$57:$O$67,2*INT((18+WEEKDAY(DATE(PlanYear,11,1),2)-1)/7)+1,MOD(18+WEEKDAY(DATE(PlanYear,11,1),2)-1,7)+1)=AC$5,", "&amp;19,"")&amp;IF(INDEX($I$57:$O$67,2*INT((19+WEEKDAY(DATE(PlanYear,11,1),2)-1)/7)+1,MOD(19+WEEKDAY(DATE(PlanYear,11,1),2)-1,7)+1)=AC$5,", "&amp;20,"")&amp;IF(INDEX($I$57:$O$67,2*INT((20+WEEKDAY(DATE(PlanYear,11,1),2)-1)/7)+1,MOD(20+WEEKDAY(DATE(PlanYear,11,1),2)-1,7)+1)=AC$5,", "&amp;21,"")&amp;IF(INDEX($I$57:$O$67,2*INT((21+WEEKDAY(DATE(PlanYear,11,1),2)-1)/7)+1,MOD(21+WEEKDAY(DATE(PlanYear,11,1),2)-1,7)+1)=AC$5,", "&amp;22,"")&amp;IF(INDEX($I$57:$O$67,2*INT((22+WEEKDAY(DATE(PlanYear,11,1),2)-1)/7)+1,MOD(22+WEEKDAY(DATE(PlanYear,11,1),2)-1,7)+1)=AC$5,", "&amp;23,"")&amp;IF(INDEX($I$57:$O$67,2*INT((23+WEEKDAY(DATE(PlanYear,11,1),2)-1)/7)+1,MOD(23+WEEKDAY(DATE(PlanYear,11,1),2)-1,7)+1)=AC$5,", "&amp;24,"")&amp;IF(INDEX($I$57:$O$67,2*INT((24+WEEKDAY(DATE(PlanYear,11,1),2)-1)/7)+1,MOD(24+WEEKDAY(DATE(PlanYear,11,1),2)-1,7)+1)=AC$5,", "&amp;25,"")&amp;IF(INDEX($I$57:$O$67,2*INT((25+WEEKDAY(DATE(PlanYear,11,1),2)-1)/7)+1,MOD(25+WEEKDAY(DATE(PlanYear,11,1),2)-1,7)+1)=AC$5,", "&amp;26,"")&amp;IF(INDEX($I$57:$O$67,2*INT((26+WEEKDAY(DATE(PlanYear,11,1),2)-1)/7)+1,MOD(26+WEEKDAY(DATE(PlanYear,11,1),2)-1,7)+1)=AC$5,", "&amp;27,"")&amp;IF(INDEX($I$57:$O$67,2*INT((27+WEEKDAY(DATE(PlanYear,11,1),2)-1)/7)+1,MOD(27+WEEKDAY(DATE(PlanYear,11,1),2)-1,7)+1)=AC$5,", "&amp;28,"")&amp;IF(INDEX($I$57:$O$67,2*INT((28+WEEKDAY(DATE(PlanYear,11,1),2)-1)/7)+1,MOD(28+WEEKDAY(DATE(PlanYear,11,1),2)-1,7)+1)=AC$5,", "&amp;29,"")&amp;IF(INDEX($I$57:$O$67,2*INT((29+WEEKDAY(DATE(PlanYear,11,1),2)-1)/7)+1,MOD(29+WEEKDAY(DATE(PlanYear,11,1),2)-1,7)+1)=AC$5,", "&amp;30,"")&amp;IF(INDEX($I$57:$O$67,2*INT((30+WEEKDAY(DATE(PlanYear,11,1),2)-1)/7)+1,MOD(30+WEEKDAY(DATE(PlanYear,11,1),2)-1,7)+1)=AC$5,", "&amp;31,""),3,200))</f>
        <v/>
      </c>
      <c r="AD16" s="16">
        <f>IF(AD$5="","",MID(IF(INDEX($I$57:$O$67,2*INT((0+WEEKDAY(DATE(PlanYear,11,1),2)-1)/7)+1,MOD(0+WEEKDAY(DATE(PlanYear,11,1),2)-1,7)+1)=AD$5,", "&amp;1,"")&amp;IF(INDEX($I$57:$O$67,2*INT((1+WEEKDAY(DATE(PlanYear,11,1),2)-1)/7)+1,MOD(1+WEEKDAY(DATE(PlanYear,11,1),2)-1,7)+1)=AD$5,", "&amp;2,"")&amp;IF(INDEX($I$57:$O$67,2*INT((2+WEEKDAY(DATE(PlanYear,11,1),2)-1)/7)+1,MOD(2+WEEKDAY(DATE(PlanYear,11,1),2)-1,7)+1)=AD$5,", "&amp;3,"")&amp;IF(INDEX($I$57:$O$67,2*INT((3+WEEKDAY(DATE(PlanYear,11,1),2)-1)/7)+1,MOD(3+WEEKDAY(DATE(PlanYear,11,1),2)-1,7)+1)=AD$5,", "&amp;4,"")&amp;IF(INDEX($I$57:$O$67,2*INT((4+WEEKDAY(DATE(PlanYear,11,1),2)-1)/7)+1,MOD(4+WEEKDAY(DATE(PlanYear,11,1),2)-1,7)+1)=AD$5,", "&amp;5,"")&amp;IF(INDEX($I$57:$O$67,2*INT((5+WEEKDAY(DATE(PlanYear,11,1),2)-1)/7)+1,MOD(5+WEEKDAY(DATE(PlanYear,11,1),2)-1,7)+1)=AD$5,", "&amp;6,"")&amp;IF(INDEX($I$57:$O$67,2*INT((6+WEEKDAY(DATE(PlanYear,11,1),2)-1)/7)+1,MOD(6+WEEKDAY(DATE(PlanYear,11,1),2)-1,7)+1)=AD$5,", "&amp;7,"")&amp;IF(INDEX($I$57:$O$67,2*INT((7+WEEKDAY(DATE(PlanYear,11,1),2)-1)/7)+1,MOD(7+WEEKDAY(DATE(PlanYear,11,1),2)-1,7)+1)=AD$5,", "&amp;8,"")&amp;IF(INDEX($I$57:$O$67,2*INT((8+WEEKDAY(DATE(PlanYear,11,1),2)-1)/7)+1,MOD(8+WEEKDAY(DATE(PlanYear,11,1),2)-1,7)+1)=AD$5,", "&amp;9,"")&amp;IF(INDEX($I$57:$O$67,2*INT((9+WEEKDAY(DATE(PlanYear,11,1),2)-1)/7)+1,MOD(9+WEEKDAY(DATE(PlanYear,11,1),2)-1,7)+1)=AD$5,", "&amp;10,"")&amp;IF(INDEX($I$57:$O$67,2*INT((10+WEEKDAY(DATE(PlanYear,11,1),2)-1)/7)+1,MOD(10+WEEKDAY(DATE(PlanYear,11,1),2)-1,7)+1)=AD$5,", "&amp;11,"")&amp;IF(INDEX($I$57:$O$67,2*INT((11+WEEKDAY(DATE(PlanYear,11,1),2)-1)/7)+1,MOD(11+WEEKDAY(DATE(PlanYear,11,1),2)-1,7)+1)=AD$5,", "&amp;12,"")&amp;IF(INDEX($I$57:$O$67,2*INT((12+WEEKDAY(DATE(PlanYear,11,1),2)-1)/7)+1,MOD(12+WEEKDAY(DATE(PlanYear,11,1),2)-1,7)+1)=AD$5,", "&amp;13,"")&amp;IF(INDEX($I$57:$O$67,2*INT((13+WEEKDAY(DATE(PlanYear,11,1),2)-1)/7)+1,MOD(13+WEEKDAY(DATE(PlanYear,11,1),2)-1,7)+1)=AD$5,", "&amp;14,"")&amp;IF(INDEX($I$57:$O$67,2*INT((14+WEEKDAY(DATE(PlanYear,11,1),2)-1)/7)+1,MOD(14+WEEKDAY(DATE(PlanYear,11,1),2)-1,7)+1)=AD$5,", "&amp;15,"")&amp;IF(INDEX($I$57:$O$67,2*INT((15+WEEKDAY(DATE(PlanYear,11,1),2)-1)/7)+1,MOD(15+WEEKDAY(DATE(PlanYear,11,1),2)-1,7)+1)=AD$5,", "&amp;16,"")&amp;IF(INDEX($I$57:$O$67,2*INT((16+WEEKDAY(DATE(PlanYear,11,1),2)-1)/7)+1,MOD(16+WEEKDAY(DATE(PlanYear,11,1),2)-1,7)+1)=AD$5,", "&amp;17,"")&amp;IF(INDEX($I$57:$O$67,2*INT((17+WEEKDAY(DATE(PlanYear,11,1),2)-1)/7)+1,MOD(17+WEEKDAY(DATE(PlanYear,11,1),2)-1,7)+1)=AD$5,", "&amp;18,"")&amp;IF(INDEX($I$57:$O$67,2*INT((18+WEEKDAY(DATE(PlanYear,11,1),2)-1)/7)+1,MOD(18+WEEKDAY(DATE(PlanYear,11,1),2)-1,7)+1)=AD$5,", "&amp;19,"")&amp;IF(INDEX($I$57:$O$67,2*INT((19+WEEKDAY(DATE(PlanYear,11,1),2)-1)/7)+1,MOD(19+WEEKDAY(DATE(PlanYear,11,1),2)-1,7)+1)=AD$5,", "&amp;20,"")&amp;IF(INDEX($I$57:$O$67,2*INT((20+WEEKDAY(DATE(PlanYear,11,1),2)-1)/7)+1,MOD(20+WEEKDAY(DATE(PlanYear,11,1),2)-1,7)+1)=AD$5,", "&amp;21,"")&amp;IF(INDEX($I$57:$O$67,2*INT((21+WEEKDAY(DATE(PlanYear,11,1),2)-1)/7)+1,MOD(21+WEEKDAY(DATE(PlanYear,11,1),2)-1,7)+1)=AD$5,", "&amp;22,"")&amp;IF(INDEX($I$57:$O$67,2*INT((22+WEEKDAY(DATE(PlanYear,11,1),2)-1)/7)+1,MOD(22+WEEKDAY(DATE(PlanYear,11,1),2)-1,7)+1)=AD$5,", "&amp;23,"")&amp;IF(INDEX($I$57:$O$67,2*INT((23+WEEKDAY(DATE(PlanYear,11,1),2)-1)/7)+1,MOD(23+WEEKDAY(DATE(PlanYear,11,1),2)-1,7)+1)=AD$5,", "&amp;24,"")&amp;IF(INDEX($I$57:$O$67,2*INT((24+WEEKDAY(DATE(PlanYear,11,1),2)-1)/7)+1,MOD(24+WEEKDAY(DATE(PlanYear,11,1),2)-1,7)+1)=AD$5,", "&amp;25,"")&amp;IF(INDEX($I$57:$O$67,2*INT((25+WEEKDAY(DATE(PlanYear,11,1),2)-1)/7)+1,MOD(25+WEEKDAY(DATE(PlanYear,11,1),2)-1,7)+1)=AD$5,", "&amp;26,"")&amp;IF(INDEX($I$57:$O$67,2*INT((26+WEEKDAY(DATE(PlanYear,11,1),2)-1)/7)+1,MOD(26+WEEKDAY(DATE(PlanYear,11,1),2)-1,7)+1)=AD$5,", "&amp;27,"")&amp;IF(INDEX($I$57:$O$67,2*INT((27+WEEKDAY(DATE(PlanYear,11,1),2)-1)/7)+1,MOD(27+WEEKDAY(DATE(PlanYear,11,1),2)-1,7)+1)=AD$5,", "&amp;28,"")&amp;IF(INDEX($I$57:$O$67,2*INT((28+WEEKDAY(DATE(PlanYear,11,1),2)-1)/7)+1,MOD(28+WEEKDAY(DATE(PlanYear,11,1),2)-1,7)+1)=AD$5,", "&amp;29,"")&amp;IF(INDEX($I$57:$O$67,2*INT((29+WEEKDAY(DATE(PlanYear,11,1),2)-1)/7)+1,MOD(29+WEEKDAY(DATE(PlanYear,11,1),2)-1,7)+1)=AD$5,", "&amp;30,"")&amp;IF(INDEX($I$57:$O$67,2*INT((30+WEEKDAY(DATE(PlanYear,11,1),2)-1)/7)+1,MOD(30+WEEKDAY(DATE(PlanYear,11,1),2)-1,7)+1)=AD$5,", "&amp;31,""),3,200))</f>
        <v/>
      </c>
      <c r="AE16" s="16">
        <f>IF(AE$5="","",MID(IF(INDEX($I$57:$O$67,2*INT((0+WEEKDAY(DATE(PlanYear,11,1),2)-1)/7)+1,MOD(0+WEEKDAY(DATE(PlanYear,11,1),2)-1,7)+1)=AE$5,", "&amp;1,"")&amp;IF(INDEX($I$57:$O$67,2*INT((1+WEEKDAY(DATE(PlanYear,11,1),2)-1)/7)+1,MOD(1+WEEKDAY(DATE(PlanYear,11,1),2)-1,7)+1)=AE$5,", "&amp;2,"")&amp;IF(INDEX($I$57:$O$67,2*INT((2+WEEKDAY(DATE(PlanYear,11,1),2)-1)/7)+1,MOD(2+WEEKDAY(DATE(PlanYear,11,1),2)-1,7)+1)=AE$5,", "&amp;3,"")&amp;IF(INDEX($I$57:$O$67,2*INT((3+WEEKDAY(DATE(PlanYear,11,1),2)-1)/7)+1,MOD(3+WEEKDAY(DATE(PlanYear,11,1),2)-1,7)+1)=AE$5,", "&amp;4,"")&amp;IF(INDEX($I$57:$O$67,2*INT((4+WEEKDAY(DATE(PlanYear,11,1),2)-1)/7)+1,MOD(4+WEEKDAY(DATE(PlanYear,11,1),2)-1,7)+1)=AE$5,", "&amp;5,"")&amp;IF(INDEX($I$57:$O$67,2*INT((5+WEEKDAY(DATE(PlanYear,11,1),2)-1)/7)+1,MOD(5+WEEKDAY(DATE(PlanYear,11,1),2)-1,7)+1)=AE$5,", "&amp;6,"")&amp;IF(INDEX($I$57:$O$67,2*INT((6+WEEKDAY(DATE(PlanYear,11,1),2)-1)/7)+1,MOD(6+WEEKDAY(DATE(PlanYear,11,1),2)-1,7)+1)=AE$5,", "&amp;7,"")&amp;IF(INDEX($I$57:$O$67,2*INT((7+WEEKDAY(DATE(PlanYear,11,1),2)-1)/7)+1,MOD(7+WEEKDAY(DATE(PlanYear,11,1),2)-1,7)+1)=AE$5,", "&amp;8,"")&amp;IF(INDEX($I$57:$O$67,2*INT((8+WEEKDAY(DATE(PlanYear,11,1),2)-1)/7)+1,MOD(8+WEEKDAY(DATE(PlanYear,11,1),2)-1,7)+1)=AE$5,", "&amp;9,"")&amp;IF(INDEX($I$57:$O$67,2*INT((9+WEEKDAY(DATE(PlanYear,11,1),2)-1)/7)+1,MOD(9+WEEKDAY(DATE(PlanYear,11,1),2)-1,7)+1)=AE$5,", "&amp;10,"")&amp;IF(INDEX($I$57:$O$67,2*INT((10+WEEKDAY(DATE(PlanYear,11,1),2)-1)/7)+1,MOD(10+WEEKDAY(DATE(PlanYear,11,1),2)-1,7)+1)=AE$5,", "&amp;11,"")&amp;IF(INDEX($I$57:$O$67,2*INT((11+WEEKDAY(DATE(PlanYear,11,1),2)-1)/7)+1,MOD(11+WEEKDAY(DATE(PlanYear,11,1),2)-1,7)+1)=AE$5,", "&amp;12,"")&amp;IF(INDEX($I$57:$O$67,2*INT((12+WEEKDAY(DATE(PlanYear,11,1),2)-1)/7)+1,MOD(12+WEEKDAY(DATE(PlanYear,11,1),2)-1,7)+1)=AE$5,", "&amp;13,"")&amp;IF(INDEX($I$57:$O$67,2*INT((13+WEEKDAY(DATE(PlanYear,11,1),2)-1)/7)+1,MOD(13+WEEKDAY(DATE(PlanYear,11,1),2)-1,7)+1)=AE$5,", "&amp;14,"")&amp;IF(INDEX($I$57:$O$67,2*INT((14+WEEKDAY(DATE(PlanYear,11,1),2)-1)/7)+1,MOD(14+WEEKDAY(DATE(PlanYear,11,1),2)-1,7)+1)=AE$5,", "&amp;15,"")&amp;IF(INDEX($I$57:$O$67,2*INT((15+WEEKDAY(DATE(PlanYear,11,1),2)-1)/7)+1,MOD(15+WEEKDAY(DATE(PlanYear,11,1),2)-1,7)+1)=AE$5,", "&amp;16,"")&amp;IF(INDEX($I$57:$O$67,2*INT((16+WEEKDAY(DATE(PlanYear,11,1),2)-1)/7)+1,MOD(16+WEEKDAY(DATE(PlanYear,11,1),2)-1,7)+1)=AE$5,", "&amp;17,"")&amp;IF(INDEX($I$57:$O$67,2*INT((17+WEEKDAY(DATE(PlanYear,11,1),2)-1)/7)+1,MOD(17+WEEKDAY(DATE(PlanYear,11,1),2)-1,7)+1)=AE$5,", "&amp;18,"")&amp;IF(INDEX($I$57:$O$67,2*INT((18+WEEKDAY(DATE(PlanYear,11,1),2)-1)/7)+1,MOD(18+WEEKDAY(DATE(PlanYear,11,1),2)-1,7)+1)=AE$5,", "&amp;19,"")&amp;IF(INDEX($I$57:$O$67,2*INT((19+WEEKDAY(DATE(PlanYear,11,1),2)-1)/7)+1,MOD(19+WEEKDAY(DATE(PlanYear,11,1),2)-1,7)+1)=AE$5,", "&amp;20,"")&amp;IF(INDEX($I$57:$O$67,2*INT((20+WEEKDAY(DATE(PlanYear,11,1),2)-1)/7)+1,MOD(20+WEEKDAY(DATE(PlanYear,11,1),2)-1,7)+1)=AE$5,", "&amp;21,"")&amp;IF(INDEX($I$57:$O$67,2*INT((21+WEEKDAY(DATE(PlanYear,11,1),2)-1)/7)+1,MOD(21+WEEKDAY(DATE(PlanYear,11,1),2)-1,7)+1)=AE$5,", "&amp;22,"")&amp;IF(INDEX($I$57:$O$67,2*INT((22+WEEKDAY(DATE(PlanYear,11,1),2)-1)/7)+1,MOD(22+WEEKDAY(DATE(PlanYear,11,1),2)-1,7)+1)=AE$5,", "&amp;23,"")&amp;IF(INDEX($I$57:$O$67,2*INT((23+WEEKDAY(DATE(PlanYear,11,1),2)-1)/7)+1,MOD(23+WEEKDAY(DATE(PlanYear,11,1),2)-1,7)+1)=AE$5,", "&amp;24,"")&amp;IF(INDEX($I$57:$O$67,2*INT((24+WEEKDAY(DATE(PlanYear,11,1),2)-1)/7)+1,MOD(24+WEEKDAY(DATE(PlanYear,11,1),2)-1,7)+1)=AE$5,", "&amp;25,"")&amp;IF(INDEX($I$57:$O$67,2*INT((25+WEEKDAY(DATE(PlanYear,11,1),2)-1)/7)+1,MOD(25+WEEKDAY(DATE(PlanYear,11,1),2)-1,7)+1)=AE$5,", "&amp;26,"")&amp;IF(INDEX($I$57:$O$67,2*INT((26+WEEKDAY(DATE(PlanYear,11,1),2)-1)/7)+1,MOD(26+WEEKDAY(DATE(PlanYear,11,1),2)-1,7)+1)=AE$5,", "&amp;27,"")&amp;IF(INDEX($I$57:$O$67,2*INT((27+WEEKDAY(DATE(PlanYear,11,1),2)-1)/7)+1,MOD(27+WEEKDAY(DATE(PlanYear,11,1),2)-1,7)+1)=AE$5,", "&amp;28,"")&amp;IF(INDEX($I$57:$O$67,2*INT((28+WEEKDAY(DATE(PlanYear,11,1),2)-1)/7)+1,MOD(28+WEEKDAY(DATE(PlanYear,11,1),2)-1,7)+1)=AE$5,", "&amp;29,"")&amp;IF(INDEX($I$57:$O$67,2*INT((29+WEEKDAY(DATE(PlanYear,11,1),2)-1)/7)+1,MOD(29+WEEKDAY(DATE(PlanYear,11,1),2)-1,7)+1)=AE$5,", "&amp;30,"")&amp;IF(INDEX($I$57:$O$67,2*INT((30+WEEKDAY(DATE(PlanYear,11,1),2)-1)/7)+1,MOD(30+WEEKDAY(DATE(PlanYear,11,1),2)-1,7)+1)=AE$5,", "&amp;31,""),3,200))</f>
        <v/>
      </c>
      <c r="AF16" s="16">
        <f>IF(AF$5="","",MID(IF(INDEX($I$57:$O$67,2*INT((0+WEEKDAY(DATE(PlanYear,11,1),2)-1)/7)+1,MOD(0+WEEKDAY(DATE(PlanYear,11,1),2)-1,7)+1)=AF$5,", "&amp;1,"")&amp;IF(INDEX($I$57:$O$67,2*INT((1+WEEKDAY(DATE(PlanYear,11,1),2)-1)/7)+1,MOD(1+WEEKDAY(DATE(PlanYear,11,1),2)-1,7)+1)=AF$5,", "&amp;2,"")&amp;IF(INDEX($I$57:$O$67,2*INT((2+WEEKDAY(DATE(PlanYear,11,1),2)-1)/7)+1,MOD(2+WEEKDAY(DATE(PlanYear,11,1),2)-1,7)+1)=AF$5,", "&amp;3,"")&amp;IF(INDEX($I$57:$O$67,2*INT((3+WEEKDAY(DATE(PlanYear,11,1),2)-1)/7)+1,MOD(3+WEEKDAY(DATE(PlanYear,11,1),2)-1,7)+1)=AF$5,", "&amp;4,"")&amp;IF(INDEX($I$57:$O$67,2*INT((4+WEEKDAY(DATE(PlanYear,11,1),2)-1)/7)+1,MOD(4+WEEKDAY(DATE(PlanYear,11,1),2)-1,7)+1)=AF$5,", "&amp;5,"")&amp;IF(INDEX($I$57:$O$67,2*INT((5+WEEKDAY(DATE(PlanYear,11,1),2)-1)/7)+1,MOD(5+WEEKDAY(DATE(PlanYear,11,1),2)-1,7)+1)=AF$5,", "&amp;6,"")&amp;IF(INDEX($I$57:$O$67,2*INT((6+WEEKDAY(DATE(PlanYear,11,1),2)-1)/7)+1,MOD(6+WEEKDAY(DATE(PlanYear,11,1),2)-1,7)+1)=AF$5,", "&amp;7,"")&amp;IF(INDEX($I$57:$O$67,2*INT((7+WEEKDAY(DATE(PlanYear,11,1),2)-1)/7)+1,MOD(7+WEEKDAY(DATE(PlanYear,11,1),2)-1,7)+1)=AF$5,", "&amp;8,"")&amp;IF(INDEX($I$57:$O$67,2*INT((8+WEEKDAY(DATE(PlanYear,11,1),2)-1)/7)+1,MOD(8+WEEKDAY(DATE(PlanYear,11,1),2)-1,7)+1)=AF$5,", "&amp;9,"")&amp;IF(INDEX($I$57:$O$67,2*INT((9+WEEKDAY(DATE(PlanYear,11,1),2)-1)/7)+1,MOD(9+WEEKDAY(DATE(PlanYear,11,1),2)-1,7)+1)=AF$5,", "&amp;10,"")&amp;IF(INDEX($I$57:$O$67,2*INT((10+WEEKDAY(DATE(PlanYear,11,1),2)-1)/7)+1,MOD(10+WEEKDAY(DATE(PlanYear,11,1),2)-1,7)+1)=AF$5,", "&amp;11,"")&amp;IF(INDEX($I$57:$O$67,2*INT((11+WEEKDAY(DATE(PlanYear,11,1),2)-1)/7)+1,MOD(11+WEEKDAY(DATE(PlanYear,11,1),2)-1,7)+1)=AF$5,", "&amp;12,"")&amp;IF(INDEX($I$57:$O$67,2*INT((12+WEEKDAY(DATE(PlanYear,11,1),2)-1)/7)+1,MOD(12+WEEKDAY(DATE(PlanYear,11,1),2)-1,7)+1)=AF$5,", "&amp;13,"")&amp;IF(INDEX($I$57:$O$67,2*INT((13+WEEKDAY(DATE(PlanYear,11,1),2)-1)/7)+1,MOD(13+WEEKDAY(DATE(PlanYear,11,1),2)-1,7)+1)=AF$5,", "&amp;14,"")&amp;IF(INDEX($I$57:$O$67,2*INT((14+WEEKDAY(DATE(PlanYear,11,1),2)-1)/7)+1,MOD(14+WEEKDAY(DATE(PlanYear,11,1),2)-1,7)+1)=AF$5,", "&amp;15,"")&amp;IF(INDEX($I$57:$O$67,2*INT((15+WEEKDAY(DATE(PlanYear,11,1),2)-1)/7)+1,MOD(15+WEEKDAY(DATE(PlanYear,11,1),2)-1,7)+1)=AF$5,", "&amp;16,"")&amp;IF(INDEX($I$57:$O$67,2*INT((16+WEEKDAY(DATE(PlanYear,11,1),2)-1)/7)+1,MOD(16+WEEKDAY(DATE(PlanYear,11,1),2)-1,7)+1)=AF$5,", "&amp;17,"")&amp;IF(INDEX($I$57:$O$67,2*INT((17+WEEKDAY(DATE(PlanYear,11,1),2)-1)/7)+1,MOD(17+WEEKDAY(DATE(PlanYear,11,1),2)-1,7)+1)=AF$5,", "&amp;18,"")&amp;IF(INDEX($I$57:$O$67,2*INT((18+WEEKDAY(DATE(PlanYear,11,1),2)-1)/7)+1,MOD(18+WEEKDAY(DATE(PlanYear,11,1),2)-1,7)+1)=AF$5,", "&amp;19,"")&amp;IF(INDEX($I$57:$O$67,2*INT((19+WEEKDAY(DATE(PlanYear,11,1),2)-1)/7)+1,MOD(19+WEEKDAY(DATE(PlanYear,11,1),2)-1,7)+1)=AF$5,", "&amp;20,"")&amp;IF(INDEX($I$57:$O$67,2*INT((20+WEEKDAY(DATE(PlanYear,11,1),2)-1)/7)+1,MOD(20+WEEKDAY(DATE(PlanYear,11,1),2)-1,7)+1)=AF$5,", "&amp;21,"")&amp;IF(INDEX($I$57:$O$67,2*INT((21+WEEKDAY(DATE(PlanYear,11,1),2)-1)/7)+1,MOD(21+WEEKDAY(DATE(PlanYear,11,1),2)-1,7)+1)=AF$5,", "&amp;22,"")&amp;IF(INDEX($I$57:$O$67,2*INT((22+WEEKDAY(DATE(PlanYear,11,1),2)-1)/7)+1,MOD(22+WEEKDAY(DATE(PlanYear,11,1),2)-1,7)+1)=AF$5,", "&amp;23,"")&amp;IF(INDEX($I$57:$O$67,2*INT((23+WEEKDAY(DATE(PlanYear,11,1),2)-1)/7)+1,MOD(23+WEEKDAY(DATE(PlanYear,11,1),2)-1,7)+1)=AF$5,", "&amp;24,"")&amp;IF(INDEX($I$57:$O$67,2*INT((24+WEEKDAY(DATE(PlanYear,11,1),2)-1)/7)+1,MOD(24+WEEKDAY(DATE(PlanYear,11,1),2)-1,7)+1)=AF$5,", "&amp;25,"")&amp;IF(INDEX($I$57:$O$67,2*INT((25+WEEKDAY(DATE(PlanYear,11,1),2)-1)/7)+1,MOD(25+WEEKDAY(DATE(PlanYear,11,1),2)-1,7)+1)=AF$5,", "&amp;26,"")&amp;IF(INDEX($I$57:$O$67,2*INT((26+WEEKDAY(DATE(PlanYear,11,1),2)-1)/7)+1,MOD(26+WEEKDAY(DATE(PlanYear,11,1),2)-1,7)+1)=AF$5,", "&amp;27,"")&amp;IF(INDEX($I$57:$O$67,2*INT((27+WEEKDAY(DATE(PlanYear,11,1),2)-1)/7)+1,MOD(27+WEEKDAY(DATE(PlanYear,11,1),2)-1,7)+1)=AF$5,", "&amp;28,"")&amp;IF(INDEX($I$57:$O$67,2*INT((28+WEEKDAY(DATE(PlanYear,11,1),2)-1)/7)+1,MOD(28+WEEKDAY(DATE(PlanYear,11,1),2)-1,7)+1)=AF$5,", "&amp;29,"")&amp;IF(INDEX($I$57:$O$67,2*INT((29+WEEKDAY(DATE(PlanYear,11,1),2)-1)/7)+1,MOD(29+WEEKDAY(DATE(PlanYear,11,1),2)-1,7)+1)=AF$5,", "&amp;30,"")&amp;IF(INDEX($I$57:$O$67,2*INT((30+WEEKDAY(DATE(PlanYear,11,1),2)-1)/7)+1,MOD(30+WEEKDAY(DATE(PlanYear,11,1),2)-1,7)+1)=AF$5,", "&amp;31,""),3,200))</f>
        <v/>
      </c>
      <c r="AG16" s="16">
        <f>IF(AG$5="","",MID(IF(INDEX($I$57:$O$67,2*INT((0+WEEKDAY(DATE(PlanYear,11,1),2)-1)/7)+1,MOD(0+WEEKDAY(DATE(PlanYear,11,1),2)-1,7)+1)=AG$5,", "&amp;1,"")&amp;IF(INDEX($I$57:$O$67,2*INT((1+WEEKDAY(DATE(PlanYear,11,1),2)-1)/7)+1,MOD(1+WEEKDAY(DATE(PlanYear,11,1),2)-1,7)+1)=AG$5,", "&amp;2,"")&amp;IF(INDEX($I$57:$O$67,2*INT((2+WEEKDAY(DATE(PlanYear,11,1),2)-1)/7)+1,MOD(2+WEEKDAY(DATE(PlanYear,11,1),2)-1,7)+1)=AG$5,", "&amp;3,"")&amp;IF(INDEX($I$57:$O$67,2*INT((3+WEEKDAY(DATE(PlanYear,11,1),2)-1)/7)+1,MOD(3+WEEKDAY(DATE(PlanYear,11,1),2)-1,7)+1)=AG$5,", "&amp;4,"")&amp;IF(INDEX($I$57:$O$67,2*INT((4+WEEKDAY(DATE(PlanYear,11,1),2)-1)/7)+1,MOD(4+WEEKDAY(DATE(PlanYear,11,1),2)-1,7)+1)=AG$5,", "&amp;5,"")&amp;IF(INDEX($I$57:$O$67,2*INT((5+WEEKDAY(DATE(PlanYear,11,1),2)-1)/7)+1,MOD(5+WEEKDAY(DATE(PlanYear,11,1),2)-1,7)+1)=AG$5,", "&amp;6,"")&amp;IF(INDEX($I$57:$O$67,2*INT((6+WEEKDAY(DATE(PlanYear,11,1),2)-1)/7)+1,MOD(6+WEEKDAY(DATE(PlanYear,11,1),2)-1,7)+1)=AG$5,", "&amp;7,"")&amp;IF(INDEX($I$57:$O$67,2*INT((7+WEEKDAY(DATE(PlanYear,11,1),2)-1)/7)+1,MOD(7+WEEKDAY(DATE(PlanYear,11,1),2)-1,7)+1)=AG$5,", "&amp;8,"")&amp;IF(INDEX($I$57:$O$67,2*INT((8+WEEKDAY(DATE(PlanYear,11,1),2)-1)/7)+1,MOD(8+WEEKDAY(DATE(PlanYear,11,1),2)-1,7)+1)=AG$5,", "&amp;9,"")&amp;IF(INDEX($I$57:$O$67,2*INT((9+WEEKDAY(DATE(PlanYear,11,1),2)-1)/7)+1,MOD(9+WEEKDAY(DATE(PlanYear,11,1),2)-1,7)+1)=AG$5,", "&amp;10,"")&amp;IF(INDEX($I$57:$O$67,2*INT((10+WEEKDAY(DATE(PlanYear,11,1),2)-1)/7)+1,MOD(10+WEEKDAY(DATE(PlanYear,11,1),2)-1,7)+1)=AG$5,", "&amp;11,"")&amp;IF(INDEX($I$57:$O$67,2*INT((11+WEEKDAY(DATE(PlanYear,11,1),2)-1)/7)+1,MOD(11+WEEKDAY(DATE(PlanYear,11,1),2)-1,7)+1)=AG$5,", "&amp;12,"")&amp;IF(INDEX($I$57:$O$67,2*INT((12+WEEKDAY(DATE(PlanYear,11,1),2)-1)/7)+1,MOD(12+WEEKDAY(DATE(PlanYear,11,1),2)-1,7)+1)=AG$5,", "&amp;13,"")&amp;IF(INDEX($I$57:$O$67,2*INT((13+WEEKDAY(DATE(PlanYear,11,1),2)-1)/7)+1,MOD(13+WEEKDAY(DATE(PlanYear,11,1),2)-1,7)+1)=AG$5,", "&amp;14,"")&amp;IF(INDEX($I$57:$O$67,2*INT((14+WEEKDAY(DATE(PlanYear,11,1),2)-1)/7)+1,MOD(14+WEEKDAY(DATE(PlanYear,11,1),2)-1,7)+1)=AG$5,", "&amp;15,"")&amp;IF(INDEX($I$57:$O$67,2*INT((15+WEEKDAY(DATE(PlanYear,11,1),2)-1)/7)+1,MOD(15+WEEKDAY(DATE(PlanYear,11,1),2)-1,7)+1)=AG$5,", "&amp;16,"")&amp;IF(INDEX($I$57:$O$67,2*INT((16+WEEKDAY(DATE(PlanYear,11,1),2)-1)/7)+1,MOD(16+WEEKDAY(DATE(PlanYear,11,1),2)-1,7)+1)=AG$5,", "&amp;17,"")&amp;IF(INDEX($I$57:$O$67,2*INT((17+WEEKDAY(DATE(PlanYear,11,1),2)-1)/7)+1,MOD(17+WEEKDAY(DATE(PlanYear,11,1),2)-1,7)+1)=AG$5,", "&amp;18,"")&amp;IF(INDEX($I$57:$O$67,2*INT((18+WEEKDAY(DATE(PlanYear,11,1),2)-1)/7)+1,MOD(18+WEEKDAY(DATE(PlanYear,11,1),2)-1,7)+1)=AG$5,", "&amp;19,"")&amp;IF(INDEX($I$57:$O$67,2*INT((19+WEEKDAY(DATE(PlanYear,11,1),2)-1)/7)+1,MOD(19+WEEKDAY(DATE(PlanYear,11,1),2)-1,7)+1)=AG$5,", "&amp;20,"")&amp;IF(INDEX($I$57:$O$67,2*INT((20+WEEKDAY(DATE(PlanYear,11,1),2)-1)/7)+1,MOD(20+WEEKDAY(DATE(PlanYear,11,1),2)-1,7)+1)=AG$5,", "&amp;21,"")&amp;IF(INDEX($I$57:$O$67,2*INT((21+WEEKDAY(DATE(PlanYear,11,1),2)-1)/7)+1,MOD(21+WEEKDAY(DATE(PlanYear,11,1),2)-1,7)+1)=AG$5,", "&amp;22,"")&amp;IF(INDEX($I$57:$O$67,2*INT((22+WEEKDAY(DATE(PlanYear,11,1),2)-1)/7)+1,MOD(22+WEEKDAY(DATE(PlanYear,11,1),2)-1,7)+1)=AG$5,", "&amp;23,"")&amp;IF(INDEX($I$57:$O$67,2*INT((23+WEEKDAY(DATE(PlanYear,11,1),2)-1)/7)+1,MOD(23+WEEKDAY(DATE(PlanYear,11,1),2)-1,7)+1)=AG$5,", "&amp;24,"")&amp;IF(INDEX($I$57:$O$67,2*INT((24+WEEKDAY(DATE(PlanYear,11,1),2)-1)/7)+1,MOD(24+WEEKDAY(DATE(PlanYear,11,1),2)-1,7)+1)=AG$5,", "&amp;25,"")&amp;IF(INDEX($I$57:$O$67,2*INT((25+WEEKDAY(DATE(PlanYear,11,1),2)-1)/7)+1,MOD(25+WEEKDAY(DATE(PlanYear,11,1),2)-1,7)+1)=AG$5,", "&amp;26,"")&amp;IF(INDEX($I$57:$O$67,2*INT((26+WEEKDAY(DATE(PlanYear,11,1),2)-1)/7)+1,MOD(26+WEEKDAY(DATE(PlanYear,11,1),2)-1,7)+1)=AG$5,", "&amp;27,"")&amp;IF(INDEX($I$57:$O$67,2*INT((27+WEEKDAY(DATE(PlanYear,11,1),2)-1)/7)+1,MOD(27+WEEKDAY(DATE(PlanYear,11,1),2)-1,7)+1)=AG$5,", "&amp;28,"")&amp;IF(INDEX($I$57:$O$67,2*INT((28+WEEKDAY(DATE(PlanYear,11,1),2)-1)/7)+1,MOD(28+WEEKDAY(DATE(PlanYear,11,1),2)-1,7)+1)=AG$5,", "&amp;29,"")&amp;IF(INDEX($I$57:$O$67,2*INT((29+WEEKDAY(DATE(PlanYear,11,1),2)-1)/7)+1,MOD(29+WEEKDAY(DATE(PlanYear,11,1),2)-1,7)+1)=AG$5,", "&amp;30,"")&amp;IF(INDEX($I$57:$O$67,2*INT((30+WEEKDAY(DATE(PlanYear,11,1),2)-1)/7)+1,MOD(30+WEEKDAY(DATE(PlanYear,11,1),2)-1,7)+1)=AG$5,", "&amp;31,""),3,200))</f>
        <v/>
      </c>
      <c r="AH16" s="16">
        <f>IF(AH$5="","",MID(IF(INDEX($I$57:$O$67,2*INT((0+WEEKDAY(DATE(PlanYear,11,1),2)-1)/7)+1,MOD(0+WEEKDAY(DATE(PlanYear,11,1),2)-1,7)+1)=AH$5,", "&amp;1,"")&amp;IF(INDEX($I$57:$O$67,2*INT((1+WEEKDAY(DATE(PlanYear,11,1),2)-1)/7)+1,MOD(1+WEEKDAY(DATE(PlanYear,11,1),2)-1,7)+1)=AH$5,", "&amp;2,"")&amp;IF(INDEX($I$57:$O$67,2*INT((2+WEEKDAY(DATE(PlanYear,11,1),2)-1)/7)+1,MOD(2+WEEKDAY(DATE(PlanYear,11,1),2)-1,7)+1)=AH$5,", "&amp;3,"")&amp;IF(INDEX($I$57:$O$67,2*INT((3+WEEKDAY(DATE(PlanYear,11,1),2)-1)/7)+1,MOD(3+WEEKDAY(DATE(PlanYear,11,1),2)-1,7)+1)=AH$5,", "&amp;4,"")&amp;IF(INDEX($I$57:$O$67,2*INT((4+WEEKDAY(DATE(PlanYear,11,1),2)-1)/7)+1,MOD(4+WEEKDAY(DATE(PlanYear,11,1),2)-1,7)+1)=AH$5,", "&amp;5,"")&amp;IF(INDEX($I$57:$O$67,2*INT((5+WEEKDAY(DATE(PlanYear,11,1),2)-1)/7)+1,MOD(5+WEEKDAY(DATE(PlanYear,11,1),2)-1,7)+1)=AH$5,", "&amp;6,"")&amp;IF(INDEX($I$57:$O$67,2*INT((6+WEEKDAY(DATE(PlanYear,11,1),2)-1)/7)+1,MOD(6+WEEKDAY(DATE(PlanYear,11,1),2)-1,7)+1)=AH$5,", "&amp;7,"")&amp;IF(INDEX($I$57:$O$67,2*INT((7+WEEKDAY(DATE(PlanYear,11,1),2)-1)/7)+1,MOD(7+WEEKDAY(DATE(PlanYear,11,1),2)-1,7)+1)=AH$5,", "&amp;8,"")&amp;IF(INDEX($I$57:$O$67,2*INT((8+WEEKDAY(DATE(PlanYear,11,1),2)-1)/7)+1,MOD(8+WEEKDAY(DATE(PlanYear,11,1),2)-1,7)+1)=AH$5,", "&amp;9,"")&amp;IF(INDEX($I$57:$O$67,2*INT((9+WEEKDAY(DATE(PlanYear,11,1),2)-1)/7)+1,MOD(9+WEEKDAY(DATE(PlanYear,11,1),2)-1,7)+1)=AH$5,", "&amp;10,"")&amp;IF(INDEX($I$57:$O$67,2*INT((10+WEEKDAY(DATE(PlanYear,11,1),2)-1)/7)+1,MOD(10+WEEKDAY(DATE(PlanYear,11,1),2)-1,7)+1)=AH$5,", "&amp;11,"")&amp;IF(INDEX($I$57:$O$67,2*INT((11+WEEKDAY(DATE(PlanYear,11,1),2)-1)/7)+1,MOD(11+WEEKDAY(DATE(PlanYear,11,1),2)-1,7)+1)=AH$5,", "&amp;12,"")&amp;IF(INDEX($I$57:$O$67,2*INT((12+WEEKDAY(DATE(PlanYear,11,1),2)-1)/7)+1,MOD(12+WEEKDAY(DATE(PlanYear,11,1),2)-1,7)+1)=AH$5,", "&amp;13,"")&amp;IF(INDEX($I$57:$O$67,2*INT((13+WEEKDAY(DATE(PlanYear,11,1),2)-1)/7)+1,MOD(13+WEEKDAY(DATE(PlanYear,11,1),2)-1,7)+1)=AH$5,", "&amp;14,"")&amp;IF(INDEX($I$57:$O$67,2*INT((14+WEEKDAY(DATE(PlanYear,11,1),2)-1)/7)+1,MOD(14+WEEKDAY(DATE(PlanYear,11,1),2)-1,7)+1)=AH$5,", "&amp;15,"")&amp;IF(INDEX($I$57:$O$67,2*INT((15+WEEKDAY(DATE(PlanYear,11,1),2)-1)/7)+1,MOD(15+WEEKDAY(DATE(PlanYear,11,1),2)-1,7)+1)=AH$5,", "&amp;16,"")&amp;IF(INDEX($I$57:$O$67,2*INT((16+WEEKDAY(DATE(PlanYear,11,1),2)-1)/7)+1,MOD(16+WEEKDAY(DATE(PlanYear,11,1),2)-1,7)+1)=AH$5,", "&amp;17,"")&amp;IF(INDEX($I$57:$O$67,2*INT((17+WEEKDAY(DATE(PlanYear,11,1),2)-1)/7)+1,MOD(17+WEEKDAY(DATE(PlanYear,11,1),2)-1,7)+1)=AH$5,", "&amp;18,"")&amp;IF(INDEX($I$57:$O$67,2*INT((18+WEEKDAY(DATE(PlanYear,11,1),2)-1)/7)+1,MOD(18+WEEKDAY(DATE(PlanYear,11,1),2)-1,7)+1)=AH$5,", "&amp;19,"")&amp;IF(INDEX($I$57:$O$67,2*INT((19+WEEKDAY(DATE(PlanYear,11,1),2)-1)/7)+1,MOD(19+WEEKDAY(DATE(PlanYear,11,1),2)-1,7)+1)=AH$5,", "&amp;20,"")&amp;IF(INDEX($I$57:$O$67,2*INT((20+WEEKDAY(DATE(PlanYear,11,1),2)-1)/7)+1,MOD(20+WEEKDAY(DATE(PlanYear,11,1),2)-1,7)+1)=AH$5,", "&amp;21,"")&amp;IF(INDEX($I$57:$O$67,2*INT((21+WEEKDAY(DATE(PlanYear,11,1),2)-1)/7)+1,MOD(21+WEEKDAY(DATE(PlanYear,11,1),2)-1,7)+1)=AH$5,", "&amp;22,"")&amp;IF(INDEX($I$57:$O$67,2*INT((22+WEEKDAY(DATE(PlanYear,11,1),2)-1)/7)+1,MOD(22+WEEKDAY(DATE(PlanYear,11,1),2)-1,7)+1)=AH$5,", "&amp;23,"")&amp;IF(INDEX($I$57:$O$67,2*INT((23+WEEKDAY(DATE(PlanYear,11,1),2)-1)/7)+1,MOD(23+WEEKDAY(DATE(PlanYear,11,1),2)-1,7)+1)=AH$5,", "&amp;24,"")&amp;IF(INDEX($I$57:$O$67,2*INT((24+WEEKDAY(DATE(PlanYear,11,1),2)-1)/7)+1,MOD(24+WEEKDAY(DATE(PlanYear,11,1),2)-1,7)+1)=AH$5,", "&amp;25,"")&amp;IF(INDEX($I$57:$O$67,2*INT((25+WEEKDAY(DATE(PlanYear,11,1),2)-1)/7)+1,MOD(25+WEEKDAY(DATE(PlanYear,11,1),2)-1,7)+1)=AH$5,", "&amp;26,"")&amp;IF(INDEX($I$57:$O$67,2*INT((26+WEEKDAY(DATE(PlanYear,11,1),2)-1)/7)+1,MOD(26+WEEKDAY(DATE(PlanYear,11,1),2)-1,7)+1)=AH$5,", "&amp;27,"")&amp;IF(INDEX($I$57:$O$67,2*INT((27+WEEKDAY(DATE(PlanYear,11,1),2)-1)/7)+1,MOD(27+WEEKDAY(DATE(PlanYear,11,1),2)-1,7)+1)=AH$5,", "&amp;28,"")&amp;IF(INDEX($I$57:$O$67,2*INT((28+WEEKDAY(DATE(PlanYear,11,1),2)-1)/7)+1,MOD(28+WEEKDAY(DATE(PlanYear,11,1),2)-1,7)+1)=AH$5,", "&amp;29,"")&amp;IF(INDEX($I$57:$O$67,2*INT((29+WEEKDAY(DATE(PlanYear,11,1),2)-1)/7)+1,MOD(29+WEEKDAY(DATE(PlanYear,11,1),2)-1,7)+1)=AH$5,", "&amp;30,"")&amp;IF(INDEX($I$57:$O$67,2*INT((30+WEEKDAY(DATE(PlanYear,11,1),2)-1)/7)+1,MOD(30+WEEKDAY(DATE(PlanYear,11,1),2)-1,7)+1)=AH$5,", "&amp;31,""),3,200))</f>
        <v/>
      </c>
      <c r="AI16" s="16">
        <f>IF(AI$5="","",MID(IF(INDEX($I$57:$O$67,2*INT((0+WEEKDAY(DATE(PlanYear,11,1),2)-1)/7)+1,MOD(0+WEEKDAY(DATE(PlanYear,11,1),2)-1,7)+1)=AI$5,", "&amp;1,"")&amp;IF(INDEX($I$57:$O$67,2*INT((1+WEEKDAY(DATE(PlanYear,11,1),2)-1)/7)+1,MOD(1+WEEKDAY(DATE(PlanYear,11,1),2)-1,7)+1)=AI$5,", "&amp;2,"")&amp;IF(INDEX($I$57:$O$67,2*INT((2+WEEKDAY(DATE(PlanYear,11,1),2)-1)/7)+1,MOD(2+WEEKDAY(DATE(PlanYear,11,1),2)-1,7)+1)=AI$5,", "&amp;3,"")&amp;IF(INDEX($I$57:$O$67,2*INT((3+WEEKDAY(DATE(PlanYear,11,1),2)-1)/7)+1,MOD(3+WEEKDAY(DATE(PlanYear,11,1),2)-1,7)+1)=AI$5,", "&amp;4,"")&amp;IF(INDEX($I$57:$O$67,2*INT((4+WEEKDAY(DATE(PlanYear,11,1),2)-1)/7)+1,MOD(4+WEEKDAY(DATE(PlanYear,11,1),2)-1,7)+1)=AI$5,", "&amp;5,"")&amp;IF(INDEX($I$57:$O$67,2*INT((5+WEEKDAY(DATE(PlanYear,11,1),2)-1)/7)+1,MOD(5+WEEKDAY(DATE(PlanYear,11,1),2)-1,7)+1)=AI$5,", "&amp;6,"")&amp;IF(INDEX($I$57:$O$67,2*INT((6+WEEKDAY(DATE(PlanYear,11,1),2)-1)/7)+1,MOD(6+WEEKDAY(DATE(PlanYear,11,1),2)-1,7)+1)=AI$5,", "&amp;7,"")&amp;IF(INDEX($I$57:$O$67,2*INT((7+WEEKDAY(DATE(PlanYear,11,1),2)-1)/7)+1,MOD(7+WEEKDAY(DATE(PlanYear,11,1),2)-1,7)+1)=AI$5,", "&amp;8,"")&amp;IF(INDEX($I$57:$O$67,2*INT((8+WEEKDAY(DATE(PlanYear,11,1),2)-1)/7)+1,MOD(8+WEEKDAY(DATE(PlanYear,11,1),2)-1,7)+1)=AI$5,", "&amp;9,"")&amp;IF(INDEX($I$57:$O$67,2*INT((9+WEEKDAY(DATE(PlanYear,11,1),2)-1)/7)+1,MOD(9+WEEKDAY(DATE(PlanYear,11,1),2)-1,7)+1)=AI$5,", "&amp;10,"")&amp;IF(INDEX($I$57:$O$67,2*INT((10+WEEKDAY(DATE(PlanYear,11,1),2)-1)/7)+1,MOD(10+WEEKDAY(DATE(PlanYear,11,1),2)-1,7)+1)=AI$5,", "&amp;11,"")&amp;IF(INDEX($I$57:$O$67,2*INT((11+WEEKDAY(DATE(PlanYear,11,1),2)-1)/7)+1,MOD(11+WEEKDAY(DATE(PlanYear,11,1),2)-1,7)+1)=AI$5,", "&amp;12,"")&amp;IF(INDEX($I$57:$O$67,2*INT((12+WEEKDAY(DATE(PlanYear,11,1),2)-1)/7)+1,MOD(12+WEEKDAY(DATE(PlanYear,11,1),2)-1,7)+1)=AI$5,", "&amp;13,"")&amp;IF(INDEX($I$57:$O$67,2*INT((13+WEEKDAY(DATE(PlanYear,11,1),2)-1)/7)+1,MOD(13+WEEKDAY(DATE(PlanYear,11,1),2)-1,7)+1)=AI$5,", "&amp;14,"")&amp;IF(INDEX($I$57:$O$67,2*INT((14+WEEKDAY(DATE(PlanYear,11,1),2)-1)/7)+1,MOD(14+WEEKDAY(DATE(PlanYear,11,1),2)-1,7)+1)=AI$5,", "&amp;15,"")&amp;IF(INDEX($I$57:$O$67,2*INT((15+WEEKDAY(DATE(PlanYear,11,1),2)-1)/7)+1,MOD(15+WEEKDAY(DATE(PlanYear,11,1),2)-1,7)+1)=AI$5,", "&amp;16,"")&amp;IF(INDEX($I$57:$O$67,2*INT((16+WEEKDAY(DATE(PlanYear,11,1),2)-1)/7)+1,MOD(16+WEEKDAY(DATE(PlanYear,11,1),2)-1,7)+1)=AI$5,", "&amp;17,"")&amp;IF(INDEX($I$57:$O$67,2*INT((17+WEEKDAY(DATE(PlanYear,11,1),2)-1)/7)+1,MOD(17+WEEKDAY(DATE(PlanYear,11,1),2)-1,7)+1)=AI$5,", "&amp;18,"")&amp;IF(INDEX($I$57:$O$67,2*INT((18+WEEKDAY(DATE(PlanYear,11,1),2)-1)/7)+1,MOD(18+WEEKDAY(DATE(PlanYear,11,1),2)-1,7)+1)=AI$5,", "&amp;19,"")&amp;IF(INDEX($I$57:$O$67,2*INT((19+WEEKDAY(DATE(PlanYear,11,1),2)-1)/7)+1,MOD(19+WEEKDAY(DATE(PlanYear,11,1),2)-1,7)+1)=AI$5,", "&amp;20,"")&amp;IF(INDEX($I$57:$O$67,2*INT((20+WEEKDAY(DATE(PlanYear,11,1),2)-1)/7)+1,MOD(20+WEEKDAY(DATE(PlanYear,11,1),2)-1,7)+1)=AI$5,", "&amp;21,"")&amp;IF(INDEX($I$57:$O$67,2*INT((21+WEEKDAY(DATE(PlanYear,11,1),2)-1)/7)+1,MOD(21+WEEKDAY(DATE(PlanYear,11,1),2)-1,7)+1)=AI$5,", "&amp;22,"")&amp;IF(INDEX($I$57:$O$67,2*INT((22+WEEKDAY(DATE(PlanYear,11,1),2)-1)/7)+1,MOD(22+WEEKDAY(DATE(PlanYear,11,1),2)-1,7)+1)=AI$5,", "&amp;23,"")&amp;IF(INDEX($I$57:$O$67,2*INT((23+WEEKDAY(DATE(PlanYear,11,1),2)-1)/7)+1,MOD(23+WEEKDAY(DATE(PlanYear,11,1),2)-1,7)+1)=AI$5,", "&amp;24,"")&amp;IF(INDEX($I$57:$O$67,2*INT((24+WEEKDAY(DATE(PlanYear,11,1),2)-1)/7)+1,MOD(24+WEEKDAY(DATE(PlanYear,11,1),2)-1,7)+1)=AI$5,", "&amp;25,"")&amp;IF(INDEX($I$57:$O$67,2*INT((25+WEEKDAY(DATE(PlanYear,11,1),2)-1)/7)+1,MOD(25+WEEKDAY(DATE(PlanYear,11,1),2)-1,7)+1)=AI$5,", "&amp;26,"")&amp;IF(INDEX($I$57:$O$67,2*INT((26+WEEKDAY(DATE(PlanYear,11,1),2)-1)/7)+1,MOD(26+WEEKDAY(DATE(PlanYear,11,1),2)-1,7)+1)=AI$5,", "&amp;27,"")&amp;IF(INDEX($I$57:$O$67,2*INT((27+WEEKDAY(DATE(PlanYear,11,1),2)-1)/7)+1,MOD(27+WEEKDAY(DATE(PlanYear,11,1),2)-1,7)+1)=AI$5,", "&amp;28,"")&amp;IF(INDEX($I$57:$O$67,2*INT((28+WEEKDAY(DATE(PlanYear,11,1),2)-1)/7)+1,MOD(28+WEEKDAY(DATE(PlanYear,11,1),2)-1,7)+1)=AI$5,", "&amp;29,"")&amp;IF(INDEX($I$57:$O$67,2*INT((29+WEEKDAY(DATE(PlanYear,11,1),2)-1)/7)+1,MOD(29+WEEKDAY(DATE(PlanYear,11,1),2)-1,7)+1)=AI$5,", "&amp;30,"")&amp;IF(INDEX($I$57:$O$67,2*INT((30+WEEKDAY(DATE(PlanYear,11,1),2)-1)/7)+1,MOD(30+WEEKDAY(DATE(PlanYear,11,1),2)-1,7)+1)=AI$5,", "&amp;31,""),3,200))</f>
        <v/>
      </c>
      <c r="AJ16" s="16">
        <f>IF(AJ$5="","",MID(IF(INDEX($I$57:$O$67,2*INT((0+WEEKDAY(DATE(PlanYear,11,1),2)-1)/7)+1,MOD(0+WEEKDAY(DATE(PlanYear,11,1),2)-1,7)+1)=AJ$5,", "&amp;1,"")&amp;IF(INDEX($I$57:$O$67,2*INT((1+WEEKDAY(DATE(PlanYear,11,1),2)-1)/7)+1,MOD(1+WEEKDAY(DATE(PlanYear,11,1),2)-1,7)+1)=AJ$5,", "&amp;2,"")&amp;IF(INDEX($I$57:$O$67,2*INT((2+WEEKDAY(DATE(PlanYear,11,1),2)-1)/7)+1,MOD(2+WEEKDAY(DATE(PlanYear,11,1),2)-1,7)+1)=AJ$5,", "&amp;3,"")&amp;IF(INDEX($I$57:$O$67,2*INT((3+WEEKDAY(DATE(PlanYear,11,1),2)-1)/7)+1,MOD(3+WEEKDAY(DATE(PlanYear,11,1),2)-1,7)+1)=AJ$5,", "&amp;4,"")&amp;IF(INDEX($I$57:$O$67,2*INT((4+WEEKDAY(DATE(PlanYear,11,1),2)-1)/7)+1,MOD(4+WEEKDAY(DATE(PlanYear,11,1),2)-1,7)+1)=AJ$5,", "&amp;5,"")&amp;IF(INDEX($I$57:$O$67,2*INT((5+WEEKDAY(DATE(PlanYear,11,1),2)-1)/7)+1,MOD(5+WEEKDAY(DATE(PlanYear,11,1),2)-1,7)+1)=AJ$5,", "&amp;6,"")&amp;IF(INDEX($I$57:$O$67,2*INT((6+WEEKDAY(DATE(PlanYear,11,1),2)-1)/7)+1,MOD(6+WEEKDAY(DATE(PlanYear,11,1),2)-1,7)+1)=AJ$5,", "&amp;7,"")&amp;IF(INDEX($I$57:$O$67,2*INT((7+WEEKDAY(DATE(PlanYear,11,1),2)-1)/7)+1,MOD(7+WEEKDAY(DATE(PlanYear,11,1),2)-1,7)+1)=AJ$5,", "&amp;8,"")&amp;IF(INDEX($I$57:$O$67,2*INT((8+WEEKDAY(DATE(PlanYear,11,1),2)-1)/7)+1,MOD(8+WEEKDAY(DATE(PlanYear,11,1),2)-1,7)+1)=AJ$5,", "&amp;9,"")&amp;IF(INDEX($I$57:$O$67,2*INT((9+WEEKDAY(DATE(PlanYear,11,1),2)-1)/7)+1,MOD(9+WEEKDAY(DATE(PlanYear,11,1),2)-1,7)+1)=AJ$5,", "&amp;10,"")&amp;IF(INDEX($I$57:$O$67,2*INT((10+WEEKDAY(DATE(PlanYear,11,1),2)-1)/7)+1,MOD(10+WEEKDAY(DATE(PlanYear,11,1),2)-1,7)+1)=AJ$5,", "&amp;11,"")&amp;IF(INDEX($I$57:$O$67,2*INT((11+WEEKDAY(DATE(PlanYear,11,1),2)-1)/7)+1,MOD(11+WEEKDAY(DATE(PlanYear,11,1),2)-1,7)+1)=AJ$5,", "&amp;12,"")&amp;IF(INDEX($I$57:$O$67,2*INT((12+WEEKDAY(DATE(PlanYear,11,1),2)-1)/7)+1,MOD(12+WEEKDAY(DATE(PlanYear,11,1),2)-1,7)+1)=AJ$5,", "&amp;13,"")&amp;IF(INDEX($I$57:$O$67,2*INT((13+WEEKDAY(DATE(PlanYear,11,1),2)-1)/7)+1,MOD(13+WEEKDAY(DATE(PlanYear,11,1),2)-1,7)+1)=AJ$5,", "&amp;14,"")&amp;IF(INDEX($I$57:$O$67,2*INT((14+WEEKDAY(DATE(PlanYear,11,1),2)-1)/7)+1,MOD(14+WEEKDAY(DATE(PlanYear,11,1),2)-1,7)+1)=AJ$5,", "&amp;15,"")&amp;IF(INDEX($I$57:$O$67,2*INT((15+WEEKDAY(DATE(PlanYear,11,1),2)-1)/7)+1,MOD(15+WEEKDAY(DATE(PlanYear,11,1),2)-1,7)+1)=AJ$5,", "&amp;16,"")&amp;IF(INDEX($I$57:$O$67,2*INT((16+WEEKDAY(DATE(PlanYear,11,1),2)-1)/7)+1,MOD(16+WEEKDAY(DATE(PlanYear,11,1),2)-1,7)+1)=AJ$5,", "&amp;17,"")&amp;IF(INDEX($I$57:$O$67,2*INT((17+WEEKDAY(DATE(PlanYear,11,1),2)-1)/7)+1,MOD(17+WEEKDAY(DATE(PlanYear,11,1),2)-1,7)+1)=AJ$5,", "&amp;18,"")&amp;IF(INDEX($I$57:$O$67,2*INT((18+WEEKDAY(DATE(PlanYear,11,1),2)-1)/7)+1,MOD(18+WEEKDAY(DATE(PlanYear,11,1),2)-1,7)+1)=AJ$5,", "&amp;19,"")&amp;IF(INDEX($I$57:$O$67,2*INT((19+WEEKDAY(DATE(PlanYear,11,1),2)-1)/7)+1,MOD(19+WEEKDAY(DATE(PlanYear,11,1),2)-1,7)+1)=AJ$5,", "&amp;20,"")&amp;IF(INDEX($I$57:$O$67,2*INT((20+WEEKDAY(DATE(PlanYear,11,1),2)-1)/7)+1,MOD(20+WEEKDAY(DATE(PlanYear,11,1),2)-1,7)+1)=AJ$5,", "&amp;21,"")&amp;IF(INDEX($I$57:$O$67,2*INT((21+WEEKDAY(DATE(PlanYear,11,1),2)-1)/7)+1,MOD(21+WEEKDAY(DATE(PlanYear,11,1),2)-1,7)+1)=AJ$5,", "&amp;22,"")&amp;IF(INDEX($I$57:$O$67,2*INT((22+WEEKDAY(DATE(PlanYear,11,1),2)-1)/7)+1,MOD(22+WEEKDAY(DATE(PlanYear,11,1),2)-1,7)+1)=AJ$5,", "&amp;23,"")&amp;IF(INDEX($I$57:$O$67,2*INT((23+WEEKDAY(DATE(PlanYear,11,1),2)-1)/7)+1,MOD(23+WEEKDAY(DATE(PlanYear,11,1),2)-1,7)+1)=AJ$5,", "&amp;24,"")&amp;IF(INDEX($I$57:$O$67,2*INT((24+WEEKDAY(DATE(PlanYear,11,1),2)-1)/7)+1,MOD(24+WEEKDAY(DATE(PlanYear,11,1),2)-1,7)+1)=AJ$5,", "&amp;25,"")&amp;IF(INDEX($I$57:$O$67,2*INT((25+WEEKDAY(DATE(PlanYear,11,1),2)-1)/7)+1,MOD(25+WEEKDAY(DATE(PlanYear,11,1),2)-1,7)+1)=AJ$5,", "&amp;26,"")&amp;IF(INDEX($I$57:$O$67,2*INT((26+WEEKDAY(DATE(PlanYear,11,1),2)-1)/7)+1,MOD(26+WEEKDAY(DATE(PlanYear,11,1),2)-1,7)+1)=AJ$5,", "&amp;27,"")&amp;IF(INDEX($I$57:$O$67,2*INT((27+WEEKDAY(DATE(PlanYear,11,1),2)-1)/7)+1,MOD(27+WEEKDAY(DATE(PlanYear,11,1),2)-1,7)+1)=AJ$5,", "&amp;28,"")&amp;IF(INDEX($I$57:$O$67,2*INT((28+WEEKDAY(DATE(PlanYear,11,1),2)-1)/7)+1,MOD(28+WEEKDAY(DATE(PlanYear,11,1),2)-1,7)+1)=AJ$5,", "&amp;29,"")&amp;IF(INDEX($I$57:$O$67,2*INT((29+WEEKDAY(DATE(PlanYear,11,1),2)-1)/7)+1,MOD(29+WEEKDAY(DATE(PlanYear,11,1),2)-1,7)+1)=AJ$5,", "&amp;30,"")&amp;IF(INDEX($I$57:$O$67,2*INT((30+WEEKDAY(DATE(PlanYear,11,1),2)-1)/7)+1,MOD(30+WEEKDAY(DATE(PlanYear,11,1),2)-1,7)+1)=AJ$5,", "&amp;31,""),3,200))</f>
        <v/>
      </c>
      <c r="AK16" s="17">
        <f>DAY(EOMONTH(DATE(PlanYear,11,1),0))-COUNTIF($I$57:$O$67,"?*")</f>
        <v/>
      </c>
    </row>
    <row r="17" ht="26" customHeight="1">
      <c r="A17" s="21" t="n"/>
      <c r="B17" s="21" t="n"/>
      <c r="C17" s="21" t="n"/>
      <c r="D17" s="21" t="n"/>
      <c r="E17" s="21" t="n"/>
      <c r="F17" s="21" t="n"/>
      <c r="G17" s="21" t="n"/>
      <c r="I17" s="21" t="n"/>
      <c r="J17" s="21" t="n"/>
      <c r="K17" s="21" t="n"/>
      <c r="L17" s="21" t="n"/>
      <c r="M17" s="21" t="n"/>
      <c r="N17" s="21" t="n"/>
      <c r="O17" s="21" t="n"/>
      <c r="Q17" s="21" t="n"/>
      <c r="R17" s="21" t="n"/>
      <c r="S17" s="21" t="n"/>
      <c r="T17" s="21" t="n"/>
      <c r="U17" s="21" t="n"/>
      <c r="V17" s="21" t="n"/>
      <c r="W17" s="21" t="n"/>
      <c r="Z17" s="15" t="inlineStr">
        <is>
          <t>December</t>
        </is>
      </c>
      <c r="AA17" s="16">
        <f>IF(AA$5="","",MID(IF(INDEX($Q$57:$W$67,2*INT((0+WEEKDAY(DATE(PlanYear,12,1),2)-1)/7)+1,MOD(0+WEEKDAY(DATE(PlanYear,12,1),2)-1,7)+1)=AA$5,", "&amp;1,"")&amp;IF(INDEX($Q$57:$W$67,2*INT((1+WEEKDAY(DATE(PlanYear,12,1),2)-1)/7)+1,MOD(1+WEEKDAY(DATE(PlanYear,12,1),2)-1,7)+1)=AA$5,", "&amp;2,"")&amp;IF(INDEX($Q$57:$W$67,2*INT((2+WEEKDAY(DATE(PlanYear,12,1),2)-1)/7)+1,MOD(2+WEEKDAY(DATE(PlanYear,12,1),2)-1,7)+1)=AA$5,", "&amp;3,"")&amp;IF(INDEX($Q$57:$W$67,2*INT((3+WEEKDAY(DATE(PlanYear,12,1),2)-1)/7)+1,MOD(3+WEEKDAY(DATE(PlanYear,12,1),2)-1,7)+1)=AA$5,", "&amp;4,"")&amp;IF(INDEX($Q$57:$W$67,2*INT((4+WEEKDAY(DATE(PlanYear,12,1),2)-1)/7)+1,MOD(4+WEEKDAY(DATE(PlanYear,12,1),2)-1,7)+1)=AA$5,", "&amp;5,"")&amp;IF(INDEX($Q$57:$W$67,2*INT((5+WEEKDAY(DATE(PlanYear,12,1),2)-1)/7)+1,MOD(5+WEEKDAY(DATE(PlanYear,12,1),2)-1,7)+1)=AA$5,", "&amp;6,"")&amp;IF(INDEX($Q$57:$W$67,2*INT((6+WEEKDAY(DATE(PlanYear,12,1),2)-1)/7)+1,MOD(6+WEEKDAY(DATE(PlanYear,12,1),2)-1,7)+1)=AA$5,", "&amp;7,"")&amp;IF(INDEX($Q$57:$W$67,2*INT((7+WEEKDAY(DATE(PlanYear,12,1),2)-1)/7)+1,MOD(7+WEEKDAY(DATE(PlanYear,12,1),2)-1,7)+1)=AA$5,", "&amp;8,"")&amp;IF(INDEX($Q$57:$W$67,2*INT((8+WEEKDAY(DATE(PlanYear,12,1),2)-1)/7)+1,MOD(8+WEEKDAY(DATE(PlanYear,12,1),2)-1,7)+1)=AA$5,", "&amp;9,"")&amp;IF(INDEX($Q$57:$W$67,2*INT((9+WEEKDAY(DATE(PlanYear,12,1),2)-1)/7)+1,MOD(9+WEEKDAY(DATE(PlanYear,12,1),2)-1,7)+1)=AA$5,", "&amp;10,"")&amp;IF(INDEX($Q$57:$W$67,2*INT((10+WEEKDAY(DATE(PlanYear,12,1),2)-1)/7)+1,MOD(10+WEEKDAY(DATE(PlanYear,12,1),2)-1,7)+1)=AA$5,", "&amp;11,"")&amp;IF(INDEX($Q$57:$W$67,2*INT((11+WEEKDAY(DATE(PlanYear,12,1),2)-1)/7)+1,MOD(11+WEEKDAY(DATE(PlanYear,12,1),2)-1,7)+1)=AA$5,", "&amp;12,"")&amp;IF(INDEX($Q$57:$W$67,2*INT((12+WEEKDAY(DATE(PlanYear,12,1),2)-1)/7)+1,MOD(12+WEEKDAY(DATE(PlanYear,12,1),2)-1,7)+1)=AA$5,", "&amp;13,"")&amp;IF(INDEX($Q$57:$W$67,2*INT((13+WEEKDAY(DATE(PlanYear,12,1),2)-1)/7)+1,MOD(13+WEEKDAY(DATE(PlanYear,12,1),2)-1,7)+1)=AA$5,", "&amp;14,"")&amp;IF(INDEX($Q$57:$W$67,2*INT((14+WEEKDAY(DATE(PlanYear,12,1),2)-1)/7)+1,MOD(14+WEEKDAY(DATE(PlanYear,12,1),2)-1,7)+1)=AA$5,", "&amp;15,"")&amp;IF(INDEX($Q$57:$W$67,2*INT((15+WEEKDAY(DATE(PlanYear,12,1),2)-1)/7)+1,MOD(15+WEEKDAY(DATE(PlanYear,12,1),2)-1,7)+1)=AA$5,", "&amp;16,"")&amp;IF(INDEX($Q$57:$W$67,2*INT((16+WEEKDAY(DATE(PlanYear,12,1),2)-1)/7)+1,MOD(16+WEEKDAY(DATE(PlanYear,12,1),2)-1,7)+1)=AA$5,", "&amp;17,"")&amp;IF(INDEX($Q$57:$W$67,2*INT((17+WEEKDAY(DATE(PlanYear,12,1),2)-1)/7)+1,MOD(17+WEEKDAY(DATE(PlanYear,12,1),2)-1,7)+1)=AA$5,", "&amp;18,"")&amp;IF(INDEX($Q$57:$W$67,2*INT((18+WEEKDAY(DATE(PlanYear,12,1),2)-1)/7)+1,MOD(18+WEEKDAY(DATE(PlanYear,12,1),2)-1,7)+1)=AA$5,", "&amp;19,"")&amp;IF(INDEX($Q$57:$W$67,2*INT((19+WEEKDAY(DATE(PlanYear,12,1),2)-1)/7)+1,MOD(19+WEEKDAY(DATE(PlanYear,12,1),2)-1,7)+1)=AA$5,", "&amp;20,"")&amp;IF(INDEX($Q$57:$W$67,2*INT((20+WEEKDAY(DATE(PlanYear,12,1),2)-1)/7)+1,MOD(20+WEEKDAY(DATE(PlanYear,12,1),2)-1,7)+1)=AA$5,", "&amp;21,"")&amp;IF(INDEX($Q$57:$W$67,2*INT((21+WEEKDAY(DATE(PlanYear,12,1),2)-1)/7)+1,MOD(21+WEEKDAY(DATE(PlanYear,12,1),2)-1,7)+1)=AA$5,", "&amp;22,"")&amp;IF(INDEX($Q$57:$W$67,2*INT((22+WEEKDAY(DATE(PlanYear,12,1),2)-1)/7)+1,MOD(22+WEEKDAY(DATE(PlanYear,12,1),2)-1,7)+1)=AA$5,", "&amp;23,"")&amp;IF(INDEX($Q$57:$W$67,2*INT((23+WEEKDAY(DATE(PlanYear,12,1),2)-1)/7)+1,MOD(23+WEEKDAY(DATE(PlanYear,12,1),2)-1,7)+1)=AA$5,", "&amp;24,"")&amp;IF(INDEX($Q$57:$W$67,2*INT((24+WEEKDAY(DATE(PlanYear,12,1),2)-1)/7)+1,MOD(24+WEEKDAY(DATE(PlanYear,12,1),2)-1,7)+1)=AA$5,", "&amp;25,"")&amp;IF(INDEX($Q$57:$W$67,2*INT((25+WEEKDAY(DATE(PlanYear,12,1),2)-1)/7)+1,MOD(25+WEEKDAY(DATE(PlanYear,12,1),2)-1,7)+1)=AA$5,", "&amp;26,"")&amp;IF(INDEX($Q$57:$W$67,2*INT((26+WEEKDAY(DATE(PlanYear,12,1),2)-1)/7)+1,MOD(26+WEEKDAY(DATE(PlanYear,12,1),2)-1,7)+1)=AA$5,", "&amp;27,"")&amp;IF(INDEX($Q$57:$W$67,2*INT((27+WEEKDAY(DATE(PlanYear,12,1),2)-1)/7)+1,MOD(27+WEEKDAY(DATE(PlanYear,12,1),2)-1,7)+1)=AA$5,", "&amp;28,"")&amp;IF(INDEX($Q$57:$W$67,2*INT((28+WEEKDAY(DATE(PlanYear,12,1),2)-1)/7)+1,MOD(28+WEEKDAY(DATE(PlanYear,12,1),2)-1,7)+1)=AA$5,", "&amp;29,"")&amp;IF(INDEX($Q$57:$W$67,2*INT((29+WEEKDAY(DATE(PlanYear,12,1),2)-1)/7)+1,MOD(29+WEEKDAY(DATE(PlanYear,12,1),2)-1,7)+1)=AA$5,", "&amp;30,"")&amp;IF(INDEX($Q$57:$W$67,2*INT((30+WEEKDAY(DATE(PlanYear,12,1),2)-1)/7)+1,MOD(30+WEEKDAY(DATE(PlanYear,12,1),2)-1,7)+1)=AA$5,", "&amp;31,""),3,200))</f>
        <v/>
      </c>
      <c r="AB17" s="16">
        <f>IF(AB$5="","",MID(IF(INDEX($Q$57:$W$67,2*INT((0+WEEKDAY(DATE(PlanYear,12,1),2)-1)/7)+1,MOD(0+WEEKDAY(DATE(PlanYear,12,1),2)-1,7)+1)=AB$5,", "&amp;1,"")&amp;IF(INDEX($Q$57:$W$67,2*INT((1+WEEKDAY(DATE(PlanYear,12,1),2)-1)/7)+1,MOD(1+WEEKDAY(DATE(PlanYear,12,1),2)-1,7)+1)=AB$5,", "&amp;2,"")&amp;IF(INDEX($Q$57:$W$67,2*INT((2+WEEKDAY(DATE(PlanYear,12,1),2)-1)/7)+1,MOD(2+WEEKDAY(DATE(PlanYear,12,1),2)-1,7)+1)=AB$5,", "&amp;3,"")&amp;IF(INDEX($Q$57:$W$67,2*INT((3+WEEKDAY(DATE(PlanYear,12,1),2)-1)/7)+1,MOD(3+WEEKDAY(DATE(PlanYear,12,1),2)-1,7)+1)=AB$5,", "&amp;4,"")&amp;IF(INDEX($Q$57:$W$67,2*INT((4+WEEKDAY(DATE(PlanYear,12,1),2)-1)/7)+1,MOD(4+WEEKDAY(DATE(PlanYear,12,1),2)-1,7)+1)=AB$5,", "&amp;5,"")&amp;IF(INDEX($Q$57:$W$67,2*INT((5+WEEKDAY(DATE(PlanYear,12,1),2)-1)/7)+1,MOD(5+WEEKDAY(DATE(PlanYear,12,1),2)-1,7)+1)=AB$5,", "&amp;6,"")&amp;IF(INDEX($Q$57:$W$67,2*INT((6+WEEKDAY(DATE(PlanYear,12,1),2)-1)/7)+1,MOD(6+WEEKDAY(DATE(PlanYear,12,1),2)-1,7)+1)=AB$5,", "&amp;7,"")&amp;IF(INDEX($Q$57:$W$67,2*INT((7+WEEKDAY(DATE(PlanYear,12,1),2)-1)/7)+1,MOD(7+WEEKDAY(DATE(PlanYear,12,1),2)-1,7)+1)=AB$5,", "&amp;8,"")&amp;IF(INDEX($Q$57:$W$67,2*INT((8+WEEKDAY(DATE(PlanYear,12,1),2)-1)/7)+1,MOD(8+WEEKDAY(DATE(PlanYear,12,1),2)-1,7)+1)=AB$5,", "&amp;9,"")&amp;IF(INDEX($Q$57:$W$67,2*INT((9+WEEKDAY(DATE(PlanYear,12,1),2)-1)/7)+1,MOD(9+WEEKDAY(DATE(PlanYear,12,1),2)-1,7)+1)=AB$5,", "&amp;10,"")&amp;IF(INDEX($Q$57:$W$67,2*INT((10+WEEKDAY(DATE(PlanYear,12,1),2)-1)/7)+1,MOD(10+WEEKDAY(DATE(PlanYear,12,1),2)-1,7)+1)=AB$5,", "&amp;11,"")&amp;IF(INDEX($Q$57:$W$67,2*INT((11+WEEKDAY(DATE(PlanYear,12,1),2)-1)/7)+1,MOD(11+WEEKDAY(DATE(PlanYear,12,1),2)-1,7)+1)=AB$5,", "&amp;12,"")&amp;IF(INDEX($Q$57:$W$67,2*INT((12+WEEKDAY(DATE(PlanYear,12,1),2)-1)/7)+1,MOD(12+WEEKDAY(DATE(PlanYear,12,1),2)-1,7)+1)=AB$5,", "&amp;13,"")&amp;IF(INDEX($Q$57:$W$67,2*INT((13+WEEKDAY(DATE(PlanYear,12,1),2)-1)/7)+1,MOD(13+WEEKDAY(DATE(PlanYear,12,1),2)-1,7)+1)=AB$5,", "&amp;14,"")&amp;IF(INDEX($Q$57:$W$67,2*INT((14+WEEKDAY(DATE(PlanYear,12,1),2)-1)/7)+1,MOD(14+WEEKDAY(DATE(PlanYear,12,1),2)-1,7)+1)=AB$5,", "&amp;15,"")&amp;IF(INDEX($Q$57:$W$67,2*INT((15+WEEKDAY(DATE(PlanYear,12,1),2)-1)/7)+1,MOD(15+WEEKDAY(DATE(PlanYear,12,1),2)-1,7)+1)=AB$5,", "&amp;16,"")&amp;IF(INDEX($Q$57:$W$67,2*INT((16+WEEKDAY(DATE(PlanYear,12,1),2)-1)/7)+1,MOD(16+WEEKDAY(DATE(PlanYear,12,1),2)-1,7)+1)=AB$5,", "&amp;17,"")&amp;IF(INDEX($Q$57:$W$67,2*INT((17+WEEKDAY(DATE(PlanYear,12,1),2)-1)/7)+1,MOD(17+WEEKDAY(DATE(PlanYear,12,1),2)-1,7)+1)=AB$5,", "&amp;18,"")&amp;IF(INDEX($Q$57:$W$67,2*INT((18+WEEKDAY(DATE(PlanYear,12,1),2)-1)/7)+1,MOD(18+WEEKDAY(DATE(PlanYear,12,1),2)-1,7)+1)=AB$5,", "&amp;19,"")&amp;IF(INDEX($Q$57:$W$67,2*INT((19+WEEKDAY(DATE(PlanYear,12,1),2)-1)/7)+1,MOD(19+WEEKDAY(DATE(PlanYear,12,1),2)-1,7)+1)=AB$5,", "&amp;20,"")&amp;IF(INDEX($Q$57:$W$67,2*INT((20+WEEKDAY(DATE(PlanYear,12,1),2)-1)/7)+1,MOD(20+WEEKDAY(DATE(PlanYear,12,1),2)-1,7)+1)=AB$5,", "&amp;21,"")&amp;IF(INDEX($Q$57:$W$67,2*INT((21+WEEKDAY(DATE(PlanYear,12,1),2)-1)/7)+1,MOD(21+WEEKDAY(DATE(PlanYear,12,1),2)-1,7)+1)=AB$5,", "&amp;22,"")&amp;IF(INDEX($Q$57:$W$67,2*INT((22+WEEKDAY(DATE(PlanYear,12,1),2)-1)/7)+1,MOD(22+WEEKDAY(DATE(PlanYear,12,1),2)-1,7)+1)=AB$5,", "&amp;23,"")&amp;IF(INDEX($Q$57:$W$67,2*INT((23+WEEKDAY(DATE(PlanYear,12,1),2)-1)/7)+1,MOD(23+WEEKDAY(DATE(PlanYear,12,1),2)-1,7)+1)=AB$5,", "&amp;24,"")&amp;IF(INDEX($Q$57:$W$67,2*INT((24+WEEKDAY(DATE(PlanYear,12,1),2)-1)/7)+1,MOD(24+WEEKDAY(DATE(PlanYear,12,1),2)-1,7)+1)=AB$5,", "&amp;25,"")&amp;IF(INDEX($Q$57:$W$67,2*INT((25+WEEKDAY(DATE(PlanYear,12,1),2)-1)/7)+1,MOD(25+WEEKDAY(DATE(PlanYear,12,1),2)-1,7)+1)=AB$5,", "&amp;26,"")&amp;IF(INDEX($Q$57:$W$67,2*INT((26+WEEKDAY(DATE(PlanYear,12,1),2)-1)/7)+1,MOD(26+WEEKDAY(DATE(PlanYear,12,1),2)-1,7)+1)=AB$5,", "&amp;27,"")&amp;IF(INDEX($Q$57:$W$67,2*INT((27+WEEKDAY(DATE(PlanYear,12,1),2)-1)/7)+1,MOD(27+WEEKDAY(DATE(PlanYear,12,1),2)-1,7)+1)=AB$5,", "&amp;28,"")&amp;IF(INDEX($Q$57:$W$67,2*INT((28+WEEKDAY(DATE(PlanYear,12,1),2)-1)/7)+1,MOD(28+WEEKDAY(DATE(PlanYear,12,1),2)-1,7)+1)=AB$5,", "&amp;29,"")&amp;IF(INDEX($Q$57:$W$67,2*INT((29+WEEKDAY(DATE(PlanYear,12,1),2)-1)/7)+1,MOD(29+WEEKDAY(DATE(PlanYear,12,1),2)-1,7)+1)=AB$5,", "&amp;30,"")&amp;IF(INDEX($Q$57:$W$67,2*INT((30+WEEKDAY(DATE(PlanYear,12,1),2)-1)/7)+1,MOD(30+WEEKDAY(DATE(PlanYear,12,1),2)-1,7)+1)=AB$5,", "&amp;31,""),3,200))</f>
        <v/>
      </c>
      <c r="AC17" s="16">
        <f>IF(AC$5="","",MID(IF(INDEX($Q$57:$W$67,2*INT((0+WEEKDAY(DATE(PlanYear,12,1),2)-1)/7)+1,MOD(0+WEEKDAY(DATE(PlanYear,12,1),2)-1,7)+1)=AC$5,", "&amp;1,"")&amp;IF(INDEX($Q$57:$W$67,2*INT((1+WEEKDAY(DATE(PlanYear,12,1),2)-1)/7)+1,MOD(1+WEEKDAY(DATE(PlanYear,12,1),2)-1,7)+1)=AC$5,", "&amp;2,"")&amp;IF(INDEX($Q$57:$W$67,2*INT((2+WEEKDAY(DATE(PlanYear,12,1),2)-1)/7)+1,MOD(2+WEEKDAY(DATE(PlanYear,12,1),2)-1,7)+1)=AC$5,", "&amp;3,"")&amp;IF(INDEX($Q$57:$W$67,2*INT((3+WEEKDAY(DATE(PlanYear,12,1),2)-1)/7)+1,MOD(3+WEEKDAY(DATE(PlanYear,12,1),2)-1,7)+1)=AC$5,", "&amp;4,"")&amp;IF(INDEX($Q$57:$W$67,2*INT((4+WEEKDAY(DATE(PlanYear,12,1),2)-1)/7)+1,MOD(4+WEEKDAY(DATE(PlanYear,12,1),2)-1,7)+1)=AC$5,", "&amp;5,"")&amp;IF(INDEX($Q$57:$W$67,2*INT((5+WEEKDAY(DATE(PlanYear,12,1),2)-1)/7)+1,MOD(5+WEEKDAY(DATE(PlanYear,12,1),2)-1,7)+1)=AC$5,", "&amp;6,"")&amp;IF(INDEX($Q$57:$W$67,2*INT((6+WEEKDAY(DATE(PlanYear,12,1),2)-1)/7)+1,MOD(6+WEEKDAY(DATE(PlanYear,12,1),2)-1,7)+1)=AC$5,", "&amp;7,"")&amp;IF(INDEX($Q$57:$W$67,2*INT((7+WEEKDAY(DATE(PlanYear,12,1),2)-1)/7)+1,MOD(7+WEEKDAY(DATE(PlanYear,12,1),2)-1,7)+1)=AC$5,", "&amp;8,"")&amp;IF(INDEX($Q$57:$W$67,2*INT((8+WEEKDAY(DATE(PlanYear,12,1),2)-1)/7)+1,MOD(8+WEEKDAY(DATE(PlanYear,12,1),2)-1,7)+1)=AC$5,", "&amp;9,"")&amp;IF(INDEX($Q$57:$W$67,2*INT((9+WEEKDAY(DATE(PlanYear,12,1),2)-1)/7)+1,MOD(9+WEEKDAY(DATE(PlanYear,12,1),2)-1,7)+1)=AC$5,", "&amp;10,"")&amp;IF(INDEX($Q$57:$W$67,2*INT((10+WEEKDAY(DATE(PlanYear,12,1),2)-1)/7)+1,MOD(10+WEEKDAY(DATE(PlanYear,12,1),2)-1,7)+1)=AC$5,", "&amp;11,"")&amp;IF(INDEX($Q$57:$W$67,2*INT((11+WEEKDAY(DATE(PlanYear,12,1),2)-1)/7)+1,MOD(11+WEEKDAY(DATE(PlanYear,12,1),2)-1,7)+1)=AC$5,", "&amp;12,"")&amp;IF(INDEX($Q$57:$W$67,2*INT((12+WEEKDAY(DATE(PlanYear,12,1),2)-1)/7)+1,MOD(12+WEEKDAY(DATE(PlanYear,12,1),2)-1,7)+1)=AC$5,", "&amp;13,"")&amp;IF(INDEX($Q$57:$W$67,2*INT((13+WEEKDAY(DATE(PlanYear,12,1),2)-1)/7)+1,MOD(13+WEEKDAY(DATE(PlanYear,12,1),2)-1,7)+1)=AC$5,", "&amp;14,"")&amp;IF(INDEX($Q$57:$W$67,2*INT((14+WEEKDAY(DATE(PlanYear,12,1),2)-1)/7)+1,MOD(14+WEEKDAY(DATE(PlanYear,12,1),2)-1,7)+1)=AC$5,", "&amp;15,"")&amp;IF(INDEX($Q$57:$W$67,2*INT((15+WEEKDAY(DATE(PlanYear,12,1),2)-1)/7)+1,MOD(15+WEEKDAY(DATE(PlanYear,12,1),2)-1,7)+1)=AC$5,", "&amp;16,"")&amp;IF(INDEX($Q$57:$W$67,2*INT((16+WEEKDAY(DATE(PlanYear,12,1),2)-1)/7)+1,MOD(16+WEEKDAY(DATE(PlanYear,12,1),2)-1,7)+1)=AC$5,", "&amp;17,"")&amp;IF(INDEX($Q$57:$W$67,2*INT((17+WEEKDAY(DATE(PlanYear,12,1),2)-1)/7)+1,MOD(17+WEEKDAY(DATE(PlanYear,12,1),2)-1,7)+1)=AC$5,", "&amp;18,"")&amp;IF(INDEX($Q$57:$W$67,2*INT((18+WEEKDAY(DATE(PlanYear,12,1),2)-1)/7)+1,MOD(18+WEEKDAY(DATE(PlanYear,12,1),2)-1,7)+1)=AC$5,", "&amp;19,"")&amp;IF(INDEX($Q$57:$W$67,2*INT((19+WEEKDAY(DATE(PlanYear,12,1),2)-1)/7)+1,MOD(19+WEEKDAY(DATE(PlanYear,12,1),2)-1,7)+1)=AC$5,", "&amp;20,"")&amp;IF(INDEX($Q$57:$W$67,2*INT((20+WEEKDAY(DATE(PlanYear,12,1),2)-1)/7)+1,MOD(20+WEEKDAY(DATE(PlanYear,12,1),2)-1,7)+1)=AC$5,", "&amp;21,"")&amp;IF(INDEX($Q$57:$W$67,2*INT((21+WEEKDAY(DATE(PlanYear,12,1),2)-1)/7)+1,MOD(21+WEEKDAY(DATE(PlanYear,12,1),2)-1,7)+1)=AC$5,", "&amp;22,"")&amp;IF(INDEX($Q$57:$W$67,2*INT((22+WEEKDAY(DATE(PlanYear,12,1),2)-1)/7)+1,MOD(22+WEEKDAY(DATE(PlanYear,12,1),2)-1,7)+1)=AC$5,", "&amp;23,"")&amp;IF(INDEX($Q$57:$W$67,2*INT((23+WEEKDAY(DATE(PlanYear,12,1),2)-1)/7)+1,MOD(23+WEEKDAY(DATE(PlanYear,12,1),2)-1,7)+1)=AC$5,", "&amp;24,"")&amp;IF(INDEX($Q$57:$W$67,2*INT((24+WEEKDAY(DATE(PlanYear,12,1),2)-1)/7)+1,MOD(24+WEEKDAY(DATE(PlanYear,12,1),2)-1,7)+1)=AC$5,", "&amp;25,"")&amp;IF(INDEX($Q$57:$W$67,2*INT((25+WEEKDAY(DATE(PlanYear,12,1),2)-1)/7)+1,MOD(25+WEEKDAY(DATE(PlanYear,12,1),2)-1,7)+1)=AC$5,", "&amp;26,"")&amp;IF(INDEX($Q$57:$W$67,2*INT((26+WEEKDAY(DATE(PlanYear,12,1),2)-1)/7)+1,MOD(26+WEEKDAY(DATE(PlanYear,12,1),2)-1,7)+1)=AC$5,", "&amp;27,"")&amp;IF(INDEX($Q$57:$W$67,2*INT((27+WEEKDAY(DATE(PlanYear,12,1),2)-1)/7)+1,MOD(27+WEEKDAY(DATE(PlanYear,12,1),2)-1,7)+1)=AC$5,", "&amp;28,"")&amp;IF(INDEX($Q$57:$W$67,2*INT((28+WEEKDAY(DATE(PlanYear,12,1),2)-1)/7)+1,MOD(28+WEEKDAY(DATE(PlanYear,12,1),2)-1,7)+1)=AC$5,", "&amp;29,"")&amp;IF(INDEX($Q$57:$W$67,2*INT((29+WEEKDAY(DATE(PlanYear,12,1),2)-1)/7)+1,MOD(29+WEEKDAY(DATE(PlanYear,12,1),2)-1,7)+1)=AC$5,", "&amp;30,"")&amp;IF(INDEX($Q$57:$W$67,2*INT((30+WEEKDAY(DATE(PlanYear,12,1),2)-1)/7)+1,MOD(30+WEEKDAY(DATE(PlanYear,12,1),2)-1,7)+1)=AC$5,", "&amp;31,""),3,200))</f>
        <v/>
      </c>
      <c r="AD17" s="16">
        <f>IF(AD$5="","",MID(IF(INDEX($Q$57:$W$67,2*INT((0+WEEKDAY(DATE(PlanYear,12,1),2)-1)/7)+1,MOD(0+WEEKDAY(DATE(PlanYear,12,1),2)-1,7)+1)=AD$5,", "&amp;1,"")&amp;IF(INDEX($Q$57:$W$67,2*INT((1+WEEKDAY(DATE(PlanYear,12,1),2)-1)/7)+1,MOD(1+WEEKDAY(DATE(PlanYear,12,1),2)-1,7)+1)=AD$5,", "&amp;2,"")&amp;IF(INDEX($Q$57:$W$67,2*INT((2+WEEKDAY(DATE(PlanYear,12,1),2)-1)/7)+1,MOD(2+WEEKDAY(DATE(PlanYear,12,1),2)-1,7)+1)=AD$5,", "&amp;3,"")&amp;IF(INDEX($Q$57:$W$67,2*INT((3+WEEKDAY(DATE(PlanYear,12,1),2)-1)/7)+1,MOD(3+WEEKDAY(DATE(PlanYear,12,1),2)-1,7)+1)=AD$5,", "&amp;4,"")&amp;IF(INDEX($Q$57:$W$67,2*INT((4+WEEKDAY(DATE(PlanYear,12,1),2)-1)/7)+1,MOD(4+WEEKDAY(DATE(PlanYear,12,1),2)-1,7)+1)=AD$5,", "&amp;5,"")&amp;IF(INDEX($Q$57:$W$67,2*INT((5+WEEKDAY(DATE(PlanYear,12,1),2)-1)/7)+1,MOD(5+WEEKDAY(DATE(PlanYear,12,1),2)-1,7)+1)=AD$5,", "&amp;6,"")&amp;IF(INDEX($Q$57:$W$67,2*INT((6+WEEKDAY(DATE(PlanYear,12,1),2)-1)/7)+1,MOD(6+WEEKDAY(DATE(PlanYear,12,1),2)-1,7)+1)=AD$5,", "&amp;7,"")&amp;IF(INDEX($Q$57:$W$67,2*INT((7+WEEKDAY(DATE(PlanYear,12,1),2)-1)/7)+1,MOD(7+WEEKDAY(DATE(PlanYear,12,1),2)-1,7)+1)=AD$5,", "&amp;8,"")&amp;IF(INDEX($Q$57:$W$67,2*INT((8+WEEKDAY(DATE(PlanYear,12,1),2)-1)/7)+1,MOD(8+WEEKDAY(DATE(PlanYear,12,1),2)-1,7)+1)=AD$5,", "&amp;9,"")&amp;IF(INDEX($Q$57:$W$67,2*INT((9+WEEKDAY(DATE(PlanYear,12,1),2)-1)/7)+1,MOD(9+WEEKDAY(DATE(PlanYear,12,1),2)-1,7)+1)=AD$5,", "&amp;10,"")&amp;IF(INDEX($Q$57:$W$67,2*INT((10+WEEKDAY(DATE(PlanYear,12,1),2)-1)/7)+1,MOD(10+WEEKDAY(DATE(PlanYear,12,1),2)-1,7)+1)=AD$5,", "&amp;11,"")&amp;IF(INDEX($Q$57:$W$67,2*INT((11+WEEKDAY(DATE(PlanYear,12,1),2)-1)/7)+1,MOD(11+WEEKDAY(DATE(PlanYear,12,1),2)-1,7)+1)=AD$5,", "&amp;12,"")&amp;IF(INDEX($Q$57:$W$67,2*INT((12+WEEKDAY(DATE(PlanYear,12,1),2)-1)/7)+1,MOD(12+WEEKDAY(DATE(PlanYear,12,1),2)-1,7)+1)=AD$5,", "&amp;13,"")&amp;IF(INDEX($Q$57:$W$67,2*INT((13+WEEKDAY(DATE(PlanYear,12,1),2)-1)/7)+1,MOD(13+WEEKDAY(DATE(PlanYear,12,1),2)-1,7)+1)=AD$5,", "&amp;14,"")&amp;IF(INDEX($Q$57:$W$67,2*INT((14+WEEKDAY(DATE(PlanYear,12,1),2)-1)/7)+1,MOD(14+WEEKDAY(DATE(PlanYear,12,1),2)-1,7)+1)=AD$5,", "&amp;15,"")&amp;IF(INDEX($Q$57:$W$67,2*INT((15+WEEKDAY(DATE(PlanYear,12,1),2)-1)/7)+1,MOD(15+WEEKDAY(DATE(PlanYear,12,1),2)-1,7)+1)=AD$5,", "&amp;16,"")&amp;IF(INDEX($Q$57:$W$67,2*INT((16+WEEKDAY(DATE(PlanYear,12,1),2)-1)/7)+1,MOD(16+WEEKDAY(DATE(PlanYear,12,1),2)-1,7)+1)=AD$5,", "&amp;17,"")&amp;IF(INDEX($Q$57:$W$67,2*INT((17+WEEKDAY(DATE(PlanYear,12,1),2)-1)/7)+1,MOD(17+WEEKDAY(DATE(PlanYear,12,1),2)-1,7)+1)=AD$5,", "&amp;18,"")&amp;IF(INDEX($Q$57:$W$67,2*INT((18+WEEKDAY(DATE(PlanYear,12,1),2)-1)/7)+1,MOD(18+WEEKDAY(DATE(PlanYear,12,1),2)-1,7)+1)=AD$5,", "&amp;19,"")&amp;IF(INDEX($Q$57:$W$67,2*INT((19+WEEKDAY(DATE(PlanYear,12,1),2)-1)/7)+1,MOD(19+WEEKDAY(DATE(PlanYear,12,1),2)-1,7)+1)=AD$5,", "&amp;20,"")&amp;IF(INDEX($Q$57:$W$67,2*INT((20+WEEKDAY(DATE(PlanYear,12,1),2)-1)/7)+1,MOD(20+WEEKDAY(DATE(PlanYear,12,1),2)-1,7)+1)=AD$5,", "&amp;21,"")&amp;IF(INDEX($Q$57:$W$67,2*INT((21+WEEKDAY(DATE(PlanYear,12,1),2)-1)/7)+1,MOD(21+WEEKDAY(DATE(PlanYear,12,1),2)-1,7)+1)=AD$5,", "&amp;22,"")&amp;IF(INDEX($Q$57:$W$67,2*INT((22+WEEKDAY(DATE(PlanYear,12,1),2)-1)/7)+1,MOD(22+WEEKDAY(DATE(PlanYear,12,1),2)-1,7)+1)=AD$5,", "&amp;23,"")&amp;IF(INDEX($Q$57:$W$67,2*INT((23+WEEKDAY(DATE(PlanYear,12,1),2)-1)/7)+1,MOD(23+WEEKDAY(DATE(PlanYear,12,1),2)-1,7)+1)=AD$5,", "&amp;24,"")&amp;IF(INDEX($Q$57:$W$67,2*INT((24+WEEKDAY(DATE(PlanYear,12,1),2)-1)/7)+1,MOD(24+WEEKDAY(DATE(PlanYear,12,1),2)-1,7)+1)=AD$5,", "&amp;25,"")&amp;IF(INDEX($Q$57:$W$67,2*INT((25+WEEKDAY(DATE(PlanYear,12,1),2)-1)/7)+1,MOD(25+WEEKDAY(DATE(PlanYear,12,1),2)-1,7)+1)=AD$5,", "&amp;26,"")&amp;IF(INDEX($Q$57:$W$67,2*INT((26+WEEKDAY(DATE(PlanYear,12,1),2)-1)/7)+1,MOD(26+WEEKDAY(DATE(PlanYear,12,1),2)-1,7)+1)=AD$5,", "&amp;27,"")&amp;IF(INDEX($Q$57:$W$67,2*INT((27+WEEKDAY(DATE(PlanYear,12,1),2)-1)/7)+1,MOD(27+WEEKDAY(DATE(PlanYear,12,1),2)-1,7)+1)=AD$5,", "&amp;28,"")&amp;IF(INDEX($Q$57:$W$67,2*INT((28+WEEKDAY(DATE(PlanYear,12,1),2)-1)/7)+1,MOD(28+WEEKDAY(DATE(PlanYear,12,1),2)-1,7)+1)=AD$5,", "&amp;29,"")&amp;IF(INDEX($Q$57:$W$67,2*INT((29+WEEKDAY(DATE(PlanYear,12,1),2)-1)/7)+1,MOD(29+WEEKDAY(DATE(PlanYear,12,1),2)-1,7)+1)=AD$5,", "&amp;30,"")&amp;IF(INDEX($Q$57:$W$67,2*INT((30+WEEKDAY(DATE(PlanYear,12,1),2)-1)/7)+1,MOD(30+WEEKDAY(DATE(PlanYear,12,1),2)-1,7)+1)=AD$5,", "&amp;31,""),3,200))</f>
        <v/>
      </c>
      <c r="AE17" s="16">
        <f>IF(AE$5="","",MID(IF(INDEX($Q$57:$W$67,2*INT((0+WEEKDAY(DATE(PlanYear,12,1),2)-1)/7)+1,MOD(0+WEEKDAY(DATE(PlanYear,12,1),2)-1,7)+1)=AE$5,", "&amp;1,"")&amp;IF(INDEX($Q$57:$W$67,2*INT((1+WEEKDAY(DATE(PlanYear,12,1),2)-1)/7)+1,MOD(1+WEEKDAY(DATE(PlanYear,12,1),2)-1,7)+1)=AE$5,", "&amp;2,"")&amp;IF(INDEX($Q$57:$W$67,2*INT((2+WEEKDAY(DATE(PlanYear,12,1),2)-1)/7)+1,MOD(2+WEEKDAY(DATE(PlanYear,12,1),2)-1,7)+1)=AE$5,", "&amp;3,"")&amp;IF(INDEX($Q$57:$W$67,2*INT((3+WEEKDAY(DATE(PlanYear,12,1),2)-1)/7)+1,MOD(3+WEEKDAY(DATE(PlanYear,12,1),2)-1,7)+1)=AE$5,", "&amp;4,"")&amp;IF(INDEX($Q$57:$W$67,2*INT((4+WEEKDAY(DATE(PlanYear,12,1),2)-1)/7)+1,MOD(4+WEEKDAY(DATE(PlanYear,12,1),2)-1,7)+1)=AE$5,", "&amp;5,"")&amp;IF(INDEX($Q$57:$W$67,2*INT((5+WEEKDAY(DATE(PlanYear,12,1),2)-1)/7)+1,MOD(5+WEEKDAY(DATE(PlanYear,12,1),2)-1,7)+1)=AE$5,", "&amp;6,"")&amp;IF(INDEX($Q$57:$W$67,2*INT((6+WEEKDAY(DATE(PlanYear,12,1),2)-1)/7)+1,MOD(6+WEEKDAY(DATE(PlanYear,12,1),2)-1,7)+1)=AE$5,", "&amp;7,"")&amp;IF(INDEX($Q$57:$W$67,2*INT((7+WEEKDAY(DATE(PlanYear,12,1),2)-1)/7)+1,MOD(7+WEEKDAY(DATE(PlanYear,12,1),2)-1,7)+1)=AE$5,", "&amp;8,"")&amp;IF(INDEX($Q$57:$W$67,2*INT((8+WEEKDAY(DATE(PlanYear,12,1),2)-1)/7)+1,MOD(8+WEEKDAY(DATE(PlanYear,12,1),2)-1,7)+1)=AE$5,", "&amp;9,"")&amp;IF(INDEX($Q$57:$W$67,2*INT((9+WEEKDAY(DATE(PlanYear,12,1),2)-1)/7)+1,MOD(9+WEEKDAY(DATE(PlanYear,12,1),2)-1,7)+1)=AE$5,", "&amp;10,"")&amp;IF(INDEX($Q$57:$W$67,2*INT((10+WEEKDAY(DATE(PlanYear,12,1),2)-1)/7)+1,MOD(10+WEEKDAY(DATE(PlanYear,12,1),2)-1,7)+1)=AE$5,", "&amp;11,"")&amp;IF(INDEX($Q$57:$W$67,2*INT((11+WEEKDAY(DATE(PlanYear,12,1),2)-1)/7)+1,MOD(11+WEEKDAY(DATE(PlanYear,12,1),2)-1,7)+1)=AE$5,", "&amp;12,"")&amp;IF(INDEX($Q$57:$W$67,2*INT((12+WEEKDAY(DATE(PlanYear,12,1),2)-1)/7)+1,MOD(12+WEEKDAY(DATE(PlanYear,12,1),2)-1,7)+1)=AE$5,", "&amp;13,"")&amp;IF(INDEX($Q$57:$W$67,2*INT((13+WEEKDAY(DATE(PlanYear,12,1),2)-1)/7)+1,MOD(13+WEEKDAY(DATE(PlanYear,12,1),2)-1,7)+1)=AE$5,", "&amp;14,"")&amp;IF(INDEX($Q$57:$W$67,2*INT((14+WEEKDAY(DATE(PlanYear,12,1),2)-1)/7)+1,MOD(14+WEEKDAY(DATE(PlanYear,12,1),2)-1,7)+1)=AE$5,", "&amp;15,"")&amp;IF(INDEX($Q$57:$W$67,2*INT((15+WEEKDAY(DATE(PlanYear,12,1),2)-1)/7)+1,MOD(15+WEEKDAY(DATE(PlanYear,12,1),2)-1,7)+1)=AE$5,", "&amp;16,"")&amp;IF(INDEX($Q$57:$W$67,2*INT((16+WEEKDAY(DATE(PlanYear,12,1),2)-1)/7)+1,MOD(16+WEEKDAY(DATE(PlanYear,12,1),2)-1,7)+1)=AE$5,", "&amp;17,"")&amp;IF(INDEX($Q$57:$W$67,2*INT((17+WEEKDAY(DATE(PlanYear,12,1),2)-1)/7)+1,MOD(17+WEEKDAY(DATE(PlanYear,12,1),2)-1,7)+1)=AE$5,", "&amp;18,"")&amp;IF(INDEX($Q$57:$W$67,2*INT((18+WEEKDAY(DATE(PlanYear,12,1),2)-1)/7)+1,MOD(18+WEEKDAY(DATE(PlanYear,12,1),2)-1,7)+1)=AE$5,", "&amp;19,"")&amp;IF(INDEX($Q$57:$W$67,2*INT((19+WEEKDAY(DATE(PlanYear,12,1),2)-1)/7)+1,MOD(19+WEEKDAY(DATE(PlanYear,12,1),2)-1,7)+1)=AE$5,", "&amp;20,"")&amp;IF(INDEX($Q$57:$W$67,2*INT((20+WEEKDAY(DATE(PlanYear,12,1),2)-1)/7)+1,MOD(20+WEEKDAY(DATE(PlanYear,12,1),2)-1,7)+1)=AE$5,", "&amp;21,"")&amp;IF(INDEX($Q$57:$W$67,2*INT((21+WEEKDAY(DATE(PlanYear,12,1),2)-1)/7)+1,MOD(21+WEEKDAY(DATE(PlanYear,12,1),2)-1,7)+1)=AE$5,", "&amp;22,"")&amp;IF(INDEX($Q$57:$W$67,2*INT((22+WEEKDAY(DATE(PlanYear,12,1),2)-1)/7)+1,MOD(22+WEEKDAY(DATE(PlanYear,12,1),2)-1,7)+1)=AE$5,", "&amp;23,"")&amp;IF(INDEX($Q$57:$W$67,2*INT((23+WEEKDAY(DATE(PlanYear,12,1),2)-1)/7)+1,MOD(23+WEEKDAY(DATE(PlanYear,12,1),2)-1,7)+1)=AE$5,", "&amp;24,"")&amp;IF(INDEX($Q$57:$W$67,2*INT((24+WEEKDAY(DATE(PlanYear,12,1),2)-1)/7)+1,MOD(24+WEEKDAY(DATE(PlanYear,12,1),2)-1,7)+1)=AE$5,", "&amp;25,"")&amp;IF(INDEX($Q$57:$W$67,2*INT((25+WEEKDAY(DATE(PlanYear,12,1),2)-1)/7)+1,MOD(25+WEEKDAY(DATE(PlanYear,12,1),2)-1,7)+1)=AE$5,", "&amp;26,"")&amp;IF(INDEX($Q$57:$W$67,2*INT((26+WEEKDAY(DATE(PlanYear,12,1),2)-1)/7)+1,MOD(26+WEEKDAY(DATE(PlanYear,12,1),2)-1,7)+1)=AE$5,", "&amp;27,"")&amp;IF(INDEX($Q$57:$W$67,2*INT((27+WEEKDAY(DATE(PlanYear,12,1),2)-1)/7)+1,MOD(27+WEEKDAY(DATE(PlanYear,12,1),2)-1,7)+1)=AE$5,", "&amp;28,"")&amp;IF(INDEX($Q$57:$W$67,2*INT((28+WEEKDAY(DATE(PlanYear,12,1),2)-1)/7)+1,MOD(28+WEEKDAY(DATE(PlanYear,12,1),2)-1,7)+1)=AE$5,", "&amp;29,"")&amp;IF(INDEX($Q$57:$W$67,2*INT((29+WEEKDAY(DATE(PlanYear,12,1),2)-1)/7)+1,MOD(29+WEEKDAY(DATE(PlanYear,12,1),2)-1,7)+1)=AE$5,", "&amp;30,"")&amp;IF(INDEX($Q$57:$W$67,2*INT((30+WEEKDAY(DATE(PlanYear,12,1),2)-1)/7)+1,MOD(30+WEEKDAY(DATE(PlanYear,12,1),2)-1,7)+1)=AE$5,", "&amp;31,""),3,200))</f>
        <v/>
      </c>
      <c r="AF17" s="16">
        <f>IF(AF$5="","",MID(IF(INDEX($Q$57:$W$67,2*INT((0+WEEKDAY(DATE(PlanYear,12,1),2)-1)/7)+1,MOD(0+WEEKDAY(DATE(PlanYear,12,1),2)-1,7)+1)=AF$5,", "&amp;1,"")&amp;IF(INDEX($Q$57:$W$67,2*INT((1+WEEKDAY(DATE(PlanYear,12,1),2)-1)/7)+1,MOD(1+WEEKDAY(DATE(PlanYear,12,1),2)-1,7)+1)=AF$5,", "&amp;2,"")&amp;IF(INDEX($Q$57:$W$67,2*INT((2+WEEKDAY(DATE(PlanYear,12,1),2)-1)/7)+1,MOD(2+WEEKDAY(DATE(PlanYear,12,1),2)-1,7)+1)=AF$5,", "&amp;3,"")&amp;IF(INDEX($Q$57:$W$67,2*INT((3+WEEKDAY(DATE(PlanYear,12,1),2)-1)/7)+1,MOD(3+WEEKDAY(DATE(PlanYear,12,1),2)-1,7)+1)=AF$5,", "&amp;4,"")&amp;IF(INDEX($Q$57:$W$67,2*INT((4+WEEKDAY(DATE(PlanYear,12,1),2)-1)/7)+1,MOD(4+WEEKDAY(DATE(PlanYear,12,1),2)-1,7)+1)=AF$5,", "&amp;5,"")&amp;IF(INDEX($Q$57:$W$67,2*INT((5+WEEKDAY(DATE(PlanYear,12,1),2)-1)/7)+1,MOD(5+WEEKDAY(DATE(PlanYear,12,1),2)-1,7)+1)=AF$5,", "&amp;6,"")&amp;IF(INDEX($Q$57:$W$67,2*INT((6+WEEKDAY(DATE(PlanYear,12,1),2)-1)/7)+1,MOD(6+WEEKDAY(DATE(PlanYear,12,1),2)-1,7)+1)=AF$5,", "&amp;7,"")&amp;IF(INDEX($Q$57:$W$67,2*INT((7+WEEKDAY(DATE(PlanYear,12,1),2)-1)/7)+1,MOD(7+WEEKDAY(DATE(PlanYear,12,1),2)-1,7)+1)=AF$5,", "&amp;8,"")&amp;IF(INDEX($Q$57:$W$67,2*INT((8+WEEKDAY(DATE(PlanYear,12,1),2)-1)/7)+1,MOD(8+WEEKDAY(DATE(PlanYear,12,1),2)-1,7)+1)=AF$5,", "&amp;9,"")&amp;IF(INDEX($Q$57:$W$67,2*INT((9+WEEKDAY(DATE(PlanYear,12,1),2)-1)/7)+1,MOD(9+WEEKDAY(DATE(PlanYear,12,1),2)-1,7)+1)=AF$5,", "&amp;10,"")&amp;IF(INDEX($Q$57:$W$67,2*INT((10+WEEKDAY(DATE(PlanYear,12,1),2)-1)/7)+1,MOD(10+WEEKDAY(DATE(PlanYear,12,1),2)-1,7)+1)=AF$5,", "&amp;11,"")&amp;IF(INDEX($Q$57:$W$67,2*INT((11+WEEKDAY(DATE(PlanYear,12,1),2)-1)/7)+1,MOD(11+WEEKDAY(DATE(PlanYear,12,1),2)-1,7)+1)=AF$5,", "&amp;12,"")&amp;IF(INDEX($Q$57:$W$67,2*INT((12+WEEKDAY(DATE(PlanYear,12,1),2)-1)/7)+1,MOD(12+WEEKDAY(DATE(PlanYear,12,1),2)-1,7)+1)=AF$5,", "&amp;13,"")&amp;IF(INDEX($Q$57:$W$67,2*INT((13+WEEKDAY(DATE(PlanYear,12,1),2)-1)/7)+1,MOD(13+WEEKDAY(DATE(PlanYear,12,1),2)-1,7)+1)=AF$5,", "&amp;14,"")&amp;IF(INDEX($Q$57:$W$67,2*INT((14+WEEKDAY(DATE(PlanYear,12,1),2)-1)/7)+1,MOD(14+WEEKDAY(DATE(PlanYear,12,1),2)-1,7)+1)=AF$5,", "&amp;15,"")&amp;IF(INDEX($Q$57:$W$67,2*INT((15+WEEKDAY(DATE(PlanYear,12,1),2)-1)/7)+1,MOD(15+WEEKDAY(DATE(PlanYear,12,1),2)-1,7)+1)=AF$5,", "&amp;16,"")&amp;IF(INDEX($Q$57:$W$67,2*INT((16+WEEKDAY(DATE(PlanYear,12,1),2)-1)/7)+1,MOD(16+WEEKDAY(DATE(PlanYear,12,1),2)-1,7)+1)=AF$5,", "&amp;17,"")&amp;IF(INDEX($Q$57:$W$67,2*INT((17+WEEKDAY(DATE(PlanYear,12,1),2)-1)/7)+1,MOD(17+WEEKDAY(DATE(PlanYear,12,1),2)-1,7)+1)=AF$5,", "&amp;18,"")&amp;IF(INDEX($Q$57:$W$67,2*INT((18+WEEKDAY(DATE(PlanYear,12,1),2)-1)/7)+1,MOD(18+WEEKDAY(DATE(PlanYear,12,1),2)-1,7)+1)=AF$5,", "&amp;19,"")&amp;IF(INDEX($Q$57:$W$67,2*INT((19+WEEKDAY(DATE(PlanYear,12,1),2)-1)/7)+1,MOD(19+WEEKDAY(DATE(PlanYear,12,1),2)-1,7)+1)=AF$5,", "&amp;20,"")&amp;IF(INDEX($Q$57:$W$67,2*INT((20+WEEKDAY(DATE(PlanYear,12,1),2)-1)/7)+1,MOD(20+WEEKDAY(DATE(PlanYear,12,1),2)-1,7)+1)=AF$5,", "&amp;21,"")&amp;IF(INDEX($Q$57:$W$67,2*INT((21+WEEKDAY(DATE(PlanYear,12,1),2)-1)/7)+1,MOD(21+WEEKDAY(DATE(PlanYear,12,1),2)-1,7)+1)=AF$5,", "&amp;22,"")&amp;IF(INDEX($Q$57:$W$67,2*INT((22+WEEKDAY(DATE(PlanYear,12,1),2)-1)/7)+1,MOD(22+WEEKDAY(DATE(PlanYear,12,1),2)-1,7)+1)=AF$5,", "&amp;23,"")&amp;IF(INDEX($Q$57:$W$67,2*INT((23+WEEKDAY(DATE(PlanYear,12,1),2)-1)/7)+1,MOD(23+WEEKDAY(DATE(PlanYear,12,1),2)-1,7)+1)=AF$5,", "&amp;24,"")&amp;IF(INDEX($Q$57:$W$67,2*INT((24+WEEKDAY(DATE(PlanYear,12,1),2)-1)/7)+1,MOD(24+WEEKDAY(DATE(PlanYear,12,1),2)-1,7)+1)=AF$5,", "&amp;25,"")&amp;IF(INDEX($Q$57:$W$67,2*INT((25+WEEKDAY(DATE(PlanYear,12,1),2)-1)/7)+1,MOD(25+WEEKDAY(DATE(PlanYear,12,1),2)-1,7)+1)=AF$5,", "&amp;26,"")&amp;IF(INDEX($Q$57:$W$67,2*INT((26+WEEKDAY(DATE(PlanYear,12,1),2)-1)/7)+1,MOD(26+WEEKDAY(DATE(PlanYear,12,1),2)-1,7)+1)=AF$5,", "&amp;27,"")&amp;IF(INDEX($Q$57:$W$67,2*INT((27+WEEKDAY(DATE(PlanYear,12,1),2)-1)/7)+1,MOD(27+WEEKDAY(DATE(PlanYear,12,1),2)-1,7)+1)=AF$5,", "&amp;28,"")&amp;IF(INDEX($Q$57:$W$67,2*INT((28+WEEKDAY(DATE(PlanYear,12,1),2)-1)/7)+1,MOD(28+WEEKDAY(DATE(PlanYear,12,1),2)-1,7)+1)=AF$5,", "&amp;29,"")&amp;IF(INDEX($Q$57:$W$67,2*INT((29+WEEKDAY(DATE(PlanYear,12,1),2)-1)/7)+1,MOD(29+WEEKDAY(DATE(PlanYear,12,1),2)-1,7)+1)=AF$5,", "&amp;30,"")&amp;IF(INDEX($Q$57:$W$67,2*INT((30+WEEKDAY(DATE(PlanYear,12,1),2)-1)/7)+1,MOD(30+WEEKDAY(DATE(PlanYear,12,1),2)-1,7)+1)=AF$5,", "&amp;31,""),3,200))</f>
        <v/>
      </c>
      <c r="AG17" s="16">
        <f>IF(AG$5="","",MID(IF(INDEX($Q$57:$W$67,2*INT((0+WEEKDAY(DATE(PlanYear,12,1),2)-1)/7)+1,MOD(0+WEEKDAY(DATE(PlanYear,12,1),2)-1,7)+1)=AG$5,", "&amp;1,"")&amp;IF(INDEX($Q$57:$W$67,2*INT((1+WEEKDAY(DATE(PlanYear,12,1),2)-1)/7)+1,MOD(1+WEEKDAY(DATE(PlanYear,12,1),2)-1,7)+1)=AG$5,", "&amp;2,"")&amp;IF(INDEX($Q$57:$W$67,2*INT((2+WEEKDAY(DATE(PlanYear,12,1),2)-1)/7)+1,MOD(2+WEEKDAY(DATE(PlanYear,12,1),2)-1,7)+1)=AG$5,", "&amp;3,"")&amp;IF(INDEX($Q$57:$W$67,2*INT((3+WEEKDAY(DATE(PlanYear,12,1),2)-1)/7)+1,MOD(3+WEEKDAY(DATE(PlanYear,12,1),2)-1,7)+1)=AG$5,", "&amp;4,"")&amp;IF(INDEX($Q$57:$W$67,2*INT((4+WEEKDAY(DATE(PlanYear,12,1),2)-1)/7)+1,MOD(4+WEEKDAY(DATE(PlanYear,12,1),2)-1,7)+1)=AG$5,", "&amp;5,"")&amp;IF(INDEX($Q$57:$W$67,2*INT((5+WEEKDAY(DATE(PlanYear,12,1),2)-1)/7)+1,MOD(5+WEEKDAY(DATE(PlanYear,12,1),2)-1,7)+1)=AG$5,", "&amp;6,"")&amp;IF(INDEX($Q$57:$W$67,2*INT((6+WEEKDAY(DATE(PlanYear,12,1),2)-1)/7)+1,MOD(6+WEEKDAY(DATE(PlanYear,12,1),2)-1,7)+1)=AG$5,", "&amp;7,"")&amp;IF(INDEX($Q$57:$W$67,2*INT((7+WEEKDAY(DATE(PlanYear,12,1),2)-1)/7)+1,MOD(7+WEEKDAY(DATE(PlanYear,12,1),2)-1,7)+1)=AG$5,", "&amp;8,"")&amp;IF(INDEX($Q$57:$W$67,2*INT((8+WEEKDAY(DATE(PlanYear,12,1),2)-1)/7)+1,MOD(8+WEEKDAY(DATE(PlanYear,12,1),2)-1,7)+1)=AG$5,", "&amp;9,"")&amp;IF(INDEX($Q$57:$W$67,2*INT((9+WEEKDAY(DATE(PlanYear,12,1),2)-1)/7)+1,MOD(9+WEEKDAY(DATE(PlanYear,12,1),2)-1,7)+1)=AG$5,", "&amp;10,"")&amp;IF(INDEX($Q$57:$W$67,2*INT((10+WEEKDAY(DATE(PlanYear,12,1),2)-1)/7)+1,MOD(10+WEEKDAY(DATE(PlanYear,12,1),2)-1,7)+1)=AG$5,", "&amp;11,"")&amp;IF(INDEX($Q$57:$W$67,2*INT((11+WEEKDAY(DATE(PlanYear,12,1),2)-1)/7)+1,MOD(11+WEEKDAY(DATE(PlanYear,12,1),2)-1,7)+1)=AG$5,", "&amp;12,"")&amp;IF(INDEX($Q$57:$W$67,2*INT((12+WEEKDAY(DATE(PlanYear,12,1),2)-1)/7)+1,MOD(12+WEEKDAY(DATE(PlanYear,12,1),2)-1,7)+1)=AG$5,", "&amp;13,"")&amp;IF(INDEX($Q$57:$W$67,2*INT((13+WEEKDAY(DATE(PlanYear,12,1),2)-1)/7)+1,MOD(13+WEEKDAY(DATE(PlanYear,12,1),2)-1,7)+1)=AG$5,", "&amp;14,"")&amp;IF(INDEX($Q$57:$W$67,2*INT((14+WEEKDAY(DATE(PlanYear,12,1),2)-1)/7)+1,MOD(14+WEEKDAY(DATE(PlanYear,12,1),2)-1,7)+1)=AG$5,", "&amp;15,"")&amp;IF(INDEX($Q$57:$W$67,2*INT((15+WEEKDAY(DATE(PlanYear,12,1),2)-1)/7)+1,MOD(15+WEEKDAY(DATE(PlanYear,12,1),2)-1,7)+1)=AG$5,", "&amp;16,"")&amp;IF(INDEX($Q$57:$W$67,2*INT((16+WEEKDAY(DATE(PlanYear,12,1),2)-1)/7)+1,MOD(16+WEEKDAY(DATE(PlanYear,12,1),2)-1,7)+1)=AG$5,", "&amp;17,"")&amp;IF(INDEX($Q$57:$W$67,2*INT((17+WEEKDAY(DATE(PlanYear,12,1),2)-1)/7)+1,MOD(17+WEEKDAY(DATE(PlanYear,12,1),2)-1,7)+1)=AG$5,", "&amp;18,"")&amp;IF(INDEX($Q$57:$W$67,2*INT((18+WEEKDAY(DATE(PlanYear,12,1),2)-1)/7)+1,MOD(18+WEEKDAY(DATE(PlanYear,12,1),2)-1,7)+1)=AG$5,", "&amp;19,"")&amp;IF(INDEX($Q$57:$W$67,2*INT((19+WEEKDAY(DATE(PlanYear,12,1),2)-1)/7)+1,MOD(19+WEEKDAY(DATE(PlanYear,12,1),2)-1,7)+1)=AG$5,", "&amp;20,"")&amp;IF(INDEX($Q$57:$W$67,2*INT((20+WEEKDAY(DATE(PlanYear,12,1),2)-1)/7)+1,MOD(20+WEEKDAY(DATE(PlanYear,12,1),2)-1,7)+1)=AG$5,", "&amp;21,"")&amp;IF(INDEX($Q$57:$W$67,2*INT((21+WEEKDAY(DATE(PlanYear,12,1),2)-1)/7)+1,MOD(21+WEEKDAY(DATE(PlanYear,12,1),2)-1,7)+1)=AG$5,", "&amp;22,"")&amp;IF(INDEX($Q$57:$W$67,2*INT((22+WEEKDAY(DATE(PlanYear,12,1),2)-1)/7)+1,MOD(22+WEEKDAY(DATE(PlanYear,12,1),2)-1,7)+1)=AG$5,", "&amp;23,"")&amp;IF(INDEX($Q$57:$W$67,2*INT((23+WEEKDAY(DATE(PlanYear,12,1),2)-1)/7)+1,MOD(23+WEEKDAY(DATE(PlanYear,12,1),2)-1,7)+1)=AG$5,", "&amp;24,"")&amp;IF(INDEX($Q$57:$W$67,2*INT((24+WEEKDAY(DATE(PlanYear,12,1),2)-1)/7)+1,MOD(24+WEEKDAY(DATE(PlanYear,12,1),2)-1,7)+1)=AG$5,", "&amp;25,"")&amp;IF(INDEX($Q$57:$W$67,2*INT((25+WEEKDAY(DATE(PlanYear,12,1),2)-1)/7)+1,MOD(25+WEEKDAY(DATE(PlanYear,12,1),2)-1,7)+1)=AG$5,", "&amp;26,"")&amp;IF(INDEX($Q$57:$W$67,2*INT((26+WEEKDAY(DATE(PlanYear,12,1),2)-1)/7)+1,MOD(26+WEEKDAY(DATE(PlanYear,12,1),2)-1,7)+1)=AG$5,", "&amp;27,"")&amp;IF(INDEX($Q$57:$W$67,2*INT((27+WEEKDAY(DATE(PlanYear,12,1),2)-1)/7)+1,MOD(27+WEEKDAY(DATE(PlanYear,12,1),2)-1,7)+1)=AG$5,", "&amp;28,"")&amp;IF(INDEX($Q$57:$W$67,2*INT((28+WEEKDAY(DATE(PlanYear,12,1),2)-1)/7)+1,MOD(28+WEEKDAY(DATE(PlanYear,12,1),2)-1,7)+1)=AG$5,", "&amp;29,"")&amp;IF(INDEX($Q$57:$W$67,2*INT((29+WEEKDAY(DATE(PlanYear,12,1),2)-1)/7)+1,MOD(29+WEEKDAY(DATE(PlanYear,12,1),2)-1,7)+1)=AG$5,", "&amp;30,"")&amp;IF(INDEX($Q$57:$W$67,2*INT((30+WEEKDAY(DATE(PlanYear,12,1),2)-1)/7)+1,MOD(30+WEEKDAY(DATE(PlanYear,12,1),2)-1,7)+1)=AG$5,", "&amp;31,""),3,200))</f>
        <v/>
      </c>
      <c r="AH17" s="16">
        <f>IF(AH$5="","",MID(IF(INDEX($Q$57:$W$67,2*INT((0+WEEKDAY(DATE(PlanYear,12,1),2)-1)/7)+1,MOD(0+WEEKDAY(DATE(PlanYear,12,1),2)-1,7)+1)=AH$5,", "&amp;1,"")&amp;IF(INDEX($Q$57:$W$67,2*INT((1+WEEKDAY(DATE(PlanYear,12,1),2)-1)/7)+1,MOD(1+WEEKDAY(DATE(PlanYear,12,1),2)-1,7)+1)=AH$5,", "&amp;2,"")&amp;IF(INDEX($Q$57:$W$67,2*INT((2+WEEKDAY(DATE(PlanYear,12,1),2)-1)/7)+1,MOD(2+WEEKDAY(DATE(PlanYear,12,1),2)-1,7)+1)=AH$5,", "&amp;3,"")&amp;IF(INDEX($Q$57:$W$67,2*INT((3+WEEKDAY(DATE(PlanYear,12,1),2)-1)/7)+1,MOD(3+WEEKDAY(DATE(PlanYear,12,1),2)-1,7)+1)=AH$5,", "&amp;4,"")&amp;IF(INDEX($Q$57:$W$67,2*INT((4+WEEKDAY(DATE(PlanYear,12,1),2)-1)/7)+1,MOD(4+WEEKDAY(DATE(PlanYear,12,1),2)-1,7)+1)=AH$5,", "&amp;5,"")&amp;IF(INDEX($Q$57:$W$67,2*INT((5+WEEKDAY(DATE(PlanYear,12,1),2)-1)/7)+1,MOD(5+WEEKDAY(DATE(PlanYear,12,1),2)-1,7)+1)=AH$5,", "&amp;6,"")&amp;IF(INDEX($Q$57:$W$67,2*INT((6+WEEKDAY(DATE(PlanYear,12,1),2)-1)/7)+1,MOD(6+WEEKDAY(DATE(PlanYear,12,1),2)-1,7)+1)=AH$5,", "&amp;7,"")&amp;IF(INDEX($Q$57:$W$67,2*INT((7+WEEKDAY(DATE(PlanYear,12,1),2)-1)/7)+1,MOD(7+WEEKDAY(DATE(PlanYear,12,1),2)-1,7)+1)=AH$5,", "&amp;8,"")&amp;IF(INDEX($Q$57:$W$67,2*INT((8+WEEKDAY(DATE(PlanYear,12,1),2)-1)/7)+1,MOD(8+WEEKDAY(DATE(PlanYear,12,1),2)-1,7)+1)=AH$5,", "&amp;9,"")&amp;IF(INDEX($Q$57:$W$67,2*INT((9+WEEKDAY(DATE(PlanYear,12,1),2)-1)/7)+1,MOD(9+WEEKDAY(DATE(PlanYear,12,1),2)-1,7)+1)=AH$5,", "&amp;10,"")&amp;IF(INDEX($Q$57:$W$67,2*INT((10+WEEKDAY(DATE(PlanYear,12,1),2)-1)/7)+1,MOD(10+WEEKDAY(DATE(PlanYear,12,1),2)-1,7)+1)=AH$5,", "&amp;11,"")&amp;IF(INDEX($Q$57:$W$67,2*INT((11+WEEKDAY(DATE(PlanYear,12,1),2)-1)/7)+1,MOD(11+WEEKDAY(DATE(PlanYear,12,1),2)-1,7)+1)=AH$5,", "&amp;12,"")&amp;IF(INDEX($Q$57:$W$67,2*INT((12+WEEKDAY(DATE(PlanYear,12,1),2)-1)/7)+1,MOD(12+WEEKDAY(DATE(PlanYear,12,1),2)-1,7)+1)=AH$5,", "&amp;13,"")&amp;IF(INDEX($Q$57:$W$67,2*INT((13+WEEKDAY(DATE(PlanYear,12,1),2)-1)/7)+1,MOD(13+WEEKDAY(DATE(PlanYear,12,1),2)-1,7)+1)=AH$5,", "&amp;14,"")&amp;IF(INDEX($Q$57:$W$67,2*INT((14+WEEKDAY(DATE(PlanYear,12,1),2)-1)/7)+1,MOD(14+WEEKDAY(DATE(PlanYear,12,1),2)-1,7)+1)=AH$5,", "&amp;15,"")&amp;IF(INDEX($Q$57:$W$67,2*INT((15+WEEKDAY(DATE(PlanYear,12,1),2)-1)/7)+1,MOD(15+WEEKDAY(DATE(PlanYear,12,1),2)-1,7)+1)=AH$5,", "&amp;16,"")&amp;IF(INDEX($Q$57:$W$67,2*INT((16+WEEKDAY(DATE(PlanYear,12,1),2)-1)/7)+1,MOD(16+WEEKDAY(DATE(PlanYear,12,1),2)-1,7)+1)=AH$5,", "&amp;17,"")&amp;IF(INDEX($Q$57:$W$67,2*INT((17+WEEKDAY(DATE(PlanYear,12,1),2)-1)/7)+1,MOD(17+WEEKDAY(DATE(PlanYear,12,1),2)-1,7)+1)=AH$5,", "&amp;18,"")&amp;IF(INDEX($Q$57:$W$67,2*INT((18+WEEKDAY(DATE(PlanYear,12,1),2)-1)/7)+1,MOD(18+WEEKDAY(DATE(PlanYear,12,1),2)-1,7)+1)=AH$5,", "&amp;19,"")&amp;IF(INDEX($Q$57:$W$67,2*INT((19+WEEKDAY(DATE(PlanYear,12,1),2)-1)/7)+1,MOD(19+WEEKDAY(DATE(PlanYear,12,1),2)-1,7)+1)=AH$5,", "&amp;20,"")&amp;IF(INDEX($Q$57:$W$67,2*INT((20+WEEKDAY(DATE(PlanYear,12,1),2)-1)/7)+1,MOD(20+WEEKDAY(DATE(PlanYear,12,1),2)-1,7)+1)=AH$5,", "&amp;21,"")&amp;IF(INDEX($Q$57:$W$67,2*INT((21+WEEKDAY(DATE(PlanYear,12,1),2)-1)/7)+1,MOD(21+WEEKDAY(DATE(PlanYear,12,1),2)-1,7)+1)=AH$5,", "&amp;22,"")&amp;IF(INDEX($Q$57:$W$67,2*INT((22+WEEKDAY(DATE(PlanYear,12,1),2)-1)/7)+1,MOD(22+WEEKDAY(DATE(PlanYear,12,1),2)-1,7)+1)=AH$5,", "&amp;23,"")&amp;IF(INDEX($Q$57:$W$67,2*INT((23+WEEKDAY(DATE(PlanYear,12,1),2)-1)/7)+1,MOD(23+WEEKDAY(DATE(PlanYear,12,1),2)-1,7)+1)=AH$5,", "&amp;24,"")&amp;IF(INDEX($Q$57:$W$67,2*INT((24+WEEKDAY(DATE(PlanYear,12,1),2)-1)/7)+1,MOD(24+WEEKDAY(DATE(PlanYear,12,1),2)-1,7)+1)=AH$5,", "&amp;25,"")&amp;IF(INDEX($Q$57:$W$67,2*INT((25+WEEKDAY(DATE(PlanYear,12,1),2)-1)/7)+1,MOD(25+WEEKDAY(DATE(PlanYear,12,1),2)-1,7)+1)=AH$5,", "&amp;26,"")&amp;IF(INDEX($Q$57:$W$67,2*INT((26+WEEKDAY(DATE(PlanYear,12,1),2)-1)/7)+1,MOD(26+WEEKDAY(DATE(PlanYear,12,1),2)-1,7)+1)=AH$5,", "&amp;27,"")&amp;IF(INDEX($Q$57:$W$67,2*INT((27+WEEKDAY(DATE(PlanYear,12,1),2)-1)/7)+1,MOD(27+WEEKDAY(DATE(PlanYear,12,1),2)-1,7)+1)=AH$5,", "&amp;28,"")&amp;IF(INDEX($Q$57:$W$67,2*INT((28+WEEKDAY(DATE(PlanYear,12,1),2)-1)/7)+1,MOD(28+WEEKDAY(DATE(PlanYear,12,1),2)-1,7)+1)=AH$5,", "&amp;29,"")&amp;IF(INDEX($Q$57:$W$67,2*INT((29+WEEKDAY(DATE(PlanYear,12,1),2)-1)/7)+1,MOD(29+WEEKDAY(DATE(PlanYear,12,1),2)-1,7)+1)=AH$5,", "&amp;30,"")&amp;IF(INDEX($Q$57:$W$67,2*INT((30+WEEKDAY(DATE(PlanYear,12,1),2)-1)/7)+1,MOD(30+WEEKDAY(DATE(PlanYear,12,1),2)-1,7)+1)=AH$5,", "&amp;31,""),3,200))</f>
        <v/>
      </c>
      <c r="AI17" s="16">
        <f>IF(AI$5="","",MID(IF(INDEX($Q$57:$W$67,2*INT((0+WEEKDAY(DATE(PlanYear,12,1),2)-1)/7)+1,MOD(0+WEEKDAY(DATE(PlanYear,12,1),2)-1,7)+1)=AI$5,", "&amp;1,"")&amp;IF(INDEX($Q$57:$W$67,2*INT((1+WEEKDAY(DATE(PlanYear,12,1),2)-1)/7)+1,MOD(1+WEEKDAY(DATE(PlanYear,12,1),2)-1,7)+1)=AI$5,", "&amp;2,"")&amp;IF(INDEX($Q$57:$W$67,2*INT((2+WEEKDAY(DATE(PlanYear,12,1),2)-1)/7)+1,MOD(2+WEEKDAY(DATE(PlanYear,12,1),2)-1,7)+1)=AI$5,", "&amp;3,"")&amp;IF(INDEX($Q$57:$W$67,2*INT((3+WEEKDAY(DATE(PlanYear,12,1),2)-1)/7)+1,MOD(3+WEEKDAY(DATE(PlanYear,12,1),2)-1,7)+1)=AI$5,", "&amp;4,"")&amp;IF(INDEX($Q$57:$W$67,2*INT((4+WEEKDAY(DATE(PlanYear,12,1),2)-1)/7)+1,MOD(4+WEEKDAY(DATE(PlanYear,12,1),2)-1,7)+1)=AI$5,", "&amp;5,"")&amp;IF(INDEX($Q$57:$W$67,2*INT((5+WEEKDAY(DATE(PlanYear,12,1),2)-1)/7)+1,MOD(5+WEEKDAY(DATE(PlanYear,12,1),2)-1,7)+1)=AI$5,", "&amp;6,"")&amp;IF(INDEX($Q$57:$W$67,2*INT((6+WEEKDAY(DATE(PlanYear,12,1),2)-1)/7)+1,MOD(6+WEEKDAY(DATE(PlanYear,12,1),2)-1,7)+1)=AI$5,", "&amp;7,"")&amp;IF(INDEX($Q$57:$W$67,2*INT((7+WEEKDAY(DATE(PlanYear,12,1),2)-1)/7)+1,MOD(7+WEEKDAY(DATE(PlanYear,12,1),2)-1,7)+1)=AI$5,", "&amp;8,"")&amp;IF(INDEX($Q$57:$W$67,2*INT((8+WEEKDAY(DATE(PlanYear,12,1),2)-1)/7)+1,MOD(8+WEEKDAY(DATE(PlanYear,12,1),2)-1,7)+1)=AI$5,", "&amp;9,"")&amp;IF(INDEX($Q$57:$W$67,2*INT((9+WEEKDAY(DATE(PlanYear,12,1),2)-1)/7)+1,MOD(9+WEEKDAY(DATE(PlanYear,12,1),2)-1,7)+1)=AI$5,", "&amp;10,"")&amp;IF(INDEX($Q$57:$W$67,2*INT((10+WEEKDAY(DATE(PlanYear,12,1),2)-1)/7)+1,MOD(10+WEEKDAY(DATE(PlanYear,12,1),2)-1,7)+1)=AI$5,", "&amp;11,"")&amp;IF(INDEX($Q$57:$W$67,2*INT((11+WEEKDAY(DATE(PlanYear,12,1),2)-1)/7)+1,MOD(11+WEEKDAY(DATE(PlanYear,12,1),2)-1,7)+1)=AI$5,", "&amp;12,"")&amp;IF(INDEX($Q$57:$W$67,2*INT((12+WEEKDAY(DATE(PlanYear,12,1),2)-1)/7)+1,MOD(12+WEEKDAY(DATE(PlanYear,12,1),2)-1,7)+1)=AI$5,", "&amp;13,"")&amp;IF(INDEX($Q$57:$W$67,2*INT((13+WEEKDAY(DATE(PlanYear,12,1),2)-1)/7)+1,MOD(13+WEEKDAY(DATE(PlanYear,12,1),2)-1,7)+1)=AI$5,", "&amp;14,"")&amp;IF(INDEX($Q$57:$W$67,2*INT((14+WEEKDAY(DATE(PlanYear,12,1),2)-1)/7)+1,MOD(14+WEEKDAY(DATE(PlanYear,12,1),2)-1,7)+1)=AI$5,", "&amp;15,"")&amp;IF(INDEX($Q$57:$W$67,2*INT((15+WEEKDAY(DATE(PlanYear,12,1),2)-1)/7)+1,MOD(15+WEEKDAY(DATE(PlanYear,12,1),2)-1,7)+1)=AI$5,", "&amp;16,"")&amp;IF(INDEX($Q$57:$W$67,2*INT((16+WEEKDAY(DATE(PlanYear,12,1),2)-1)/7)+1,MOD(16+WEEKDAY(DATE(PlanYear,12,1),2)-1,7)+1)=AI$5,", "&amp;17,"")&amp;IF(INDEX($Q$57:$W$67,2*INT((17+WEEKDAY(DATE(PlanYear,12,1),2)-1)/7)+1,MOD(17+WEEKDAY(DATE(PlanYear,12,1),2)-1,7)+1)=AI$5,", "&amp;18,"")&amp;IF(INDEX($Q$57:$W$67,2*INT((18+WEEKDAY(DATE(PlanYear,12,1),2)-1)/7)+1,MOD(18+WEEKDAY(DATE(PlanYear,12,1),2)-1,7)+1)=AI$5,", "&amp;19,"")&amp;IF(INDEX($Q$57:$W$67,2*INT((19+WEEKDAY(DATE(PlanYear,12,1),2)-1)/7)+1,MOD(19+WEEKDAY(DATE(PlanYear,12,1),2)-1,7)+1)=AI$5,", "&amp;20,"")&amp;IF(INDEX($Q$57:$W$67,2*INT((20+WEEKDAY(DATE(PlanYear,12,1),2)-1)/7)+1,MOD(20+WEEKDAY(DATE(PlanYear,12,1),2)-1,7)+1)=AI$5,", "&amp;21,"")&amp;IF(INDEX($Q$57:$W$67,2*INT((21+WEEKDAY(DATE(PlanYear,12,1),2)-1)/7)+1,MOD(21+WEEKDAY(DATE(PlanYear,12,1),2)-1,7)+1)=AI$5,", "&amp;22,"")&amp;IF(INDEX($Q$57:$W$67,2*INT((22+WEEKDAY(DATE(PlanYear,12,1),2)-1)/7)+1,MOD(22+WEEKDAY(DATE(PlanYear,12,1),2)-1,7)+1)=AI$5,", "&amp;23,"")&amp;IF(INDEX($Q$57:$W$67,2*INT((23+WEEKDAY(DATE(PlanYear,12,1),2)-1)/7)+1,MOD(23+WEEKDAY(DATE(PlanYear,12,1),2)-1,7)+1)=AI$5,", "&amp;24,"")&amp;IF(INDEX($Q$57:$W$67,2*INT((24+WEEKDAY(DATE(PlanYear,12,1),2)-1)/7)+1,MOD(24+WEEKDAY(DATE(PlanYear,12,1),2)-1,7)+1)=AI$5,", "&amp;25,"")&amp;IF(INDEX($Q$57:$W$67,2*INT((25+WEEKDAY(DATE(PlanYear,12,1),2)-1)/7)+1,MOD(25+WEEKDAY(DATE(PlanYear,12,1),2)-1,7)+1)=AI$5,", "&amp;26,"")&amp;IF(INDEX($Q$57:$W$67,2*INT((26+WEEKDAY(DATE(PlanYear,12,1),2)-1)/7)+1,MOD(26+WEEKDAY(DATE(PlanYear,12,1),2)-1,7)+1)=AI$5,", "&amp;27,"")&amp;IF(INDEX($Q$57:$W$67,2*INT((27+WEEKDAY(DATE(PlanYear,12,1),2)-1)/7)+1,MOD(27+WEEKDAY(DATE(PlanYear,12,1),2)-1,7)+1)=AI$5,", "&amp;28,"")&amp;IF(INDEX($Q$57:$W$67,2*INT((28+WEEKDAY(DATE(PlanYear,12,1),2)-1)/7)+1,MOD(28+WEEKDAY(DATE(PlanYear,12,1),2)-1,7)+1)=AI$5,", "&amp;29,"")&amp;IF(INDEX($Q$57:$W$67,2*INT((29+WEEKDAY(DATE(PlanYear,12,1),2)-1)/7)+1,MOD(29+WEEKDAY(DATE(PlanYear,12,1),2)-1,7)+1)=AI$5,", "&amp;30,"")&amp;IF(INDEX($Q$57:$W$67,2*INT((30+WEEKDAY(DATE(PlanYear,12,1),2)-1)/7)+1,MOD(30+WEEKDAY(DATE(PlanYear,12,1),2)-1,7)+1)=AI$5,", "&amp;31,""),3,200))</f>
        <v/>
      </c>
      <c r="AJ17" s="16">
        <f>IF(AJ$5="","",MID(IF(INDEX($Q$57:$W$67,2*INT((0+WEEKDAY(DATE(PlanYear,12,1),2)-1)/7)+1,MOD(0+WEEKDAY(DATE(PlanYear,12,1),2)-1,7)+1)=AJ$5,", "&amp;1,"")&amp;IF(INDEX($Q$57:$W$67,2*INT((1+WEEKDAY(DATE(PlanYear,12,1),2)-1)/7)+1,MOD(1+WEEKDAY(DATE(PlanYear,12,1),2)-1,7)+1)=AJ$5,", "&amp;2,"")&amp;IF(INDEX($Q$57:$W$67,2*INT((2+WEEKDAY(DATE(PlanYear,12,1),2)-1)/7)+1,MOD(2+WEEKDAY(DATE(PlanYear,12,1),2)-1,7)+1)=AJ$5,", "&amp;3,"")&amp;IF(INDEX($Q$57:$W$67,2*INT((3+WEEKDAY(DATE(PlanYear,12,1),2)-1)/7)+1,MOD(3+WEEKDAY(DATE(PlanYear,12,1),2)-1,7)+1)=AJ$5,", "&amp;4,"")&amp;IF(INDEX($Q$57:$W$67,2*INT((4+WEEKDAY(DATE(PlanYear,12,1),2)-1)/7)+1,MOD(4+WEEKDAY(DATE(PlanYear,12,1),2)-1,7)+1)=AJ$5,", "&amp;5,"")&amp;IF(INDEX($Q$57:$W$67,2*INT((5+WEEKDAY(DATE(PlanYear,12,1),2)-1)/7)+1,MOD(5+WEEKDAY(DATE(PlanYear,12,1),2)-1,7)+1)=AJ$5,", "&amp;6,"")&amp;IF(INDEX($Q$57:$W$67,2*INT((6+WEEKDAY(DATE(PlanYear,12,1),2)-1)/7)+1,MOD(6+WEEKDAY(DATE(PlanYear,12,1),2)-1,7)+1)=AJ$5,", "&amp;7,"")&amp;IF(INDEX($Q$57:$W$67,2*INT((7+WEEKDAY(DATE(PlanYear,12,1),2)-1)/7)+1,MOD(7+WEEKDAY(DATE(PlanYear,12,1),2)-1,7)+1)=AJ$5,", "&amp;8,"")&amp;IF(INDEX($Q$57:$W$67,2*INT((8+WEEKDAY(DATE(PlanYear,12,1),2)-1)/7)+1,MOD(8+WEEKDAY(DATE(PlanYear,12,1),2)-1,7)+1)=AJ$5,", "&amp;9,"")&amp;IF(INDEX($Q$57:$W$67,2*INT((9+WEEKDAY(DATE(PlanYear,12,1),2)-1)/7)+1,MOD(9+WEEKDAY(DATE(PlanYear,12,1),2)-1,7)+1)=AJ$5,", "&amp;10,"")&amp;IF(INDEX($Q$57:$W$67,2*INT((10+WEEKDAY(DATE(PlanYear,12,1),2)-1)/7)+1,MOD(10+WEEKDAY(DATE(PlanYear,12,1),2)-1,7)+1)=AJ$5,", "&amp;11,"")&amp;IF(INDEX($Q$57:$W$67,2*INT((11+WEEKDAY(DATE(PlanYear,12,1),2)-1)/7)+1,MOD(11+WEEKDAY(DATE(PlanYear,12,1),2)-1,7)+1)=AJ$5,", "&amp;12,"")&amp;IF(INDEX($Q$57:$W$67,2*INT((12+WEEKDAY(DATE(PlanYear,12,1),2)-1)/7)+1,MOD(12+WEEKDAY(DATE(PlanYear,12,1),2)-1,7)+1)=AJ$5,", "&amp;13,"")&amp;IF(INDEX($Q$57:$W$67,2*INT((13+WEEKDAY(DATE(PlanYear,12,1),2)-1)/7)+1,MOD(13+WEEKDAY(DATE(PlanYear,12,1),2)-1,7)+1)=AJ$5,", "&amp;14,"")&amp;IF(INDEX($Q$57:$W$67,2*INT((14+WEEKDAY(DATE(PlanYear,12,1),2)-1)/7)+1,MOD(14+WEEKDAY(DATE(PlanYear,12,1),2)-1,7)+1)=AJ$5,", "&amp;15,"")&amp;IF(INDEX($Q$57:$W$67,2*INT((15+WEEKDAY(DATE(PlanYear,12,1),2)-1)/7)+1,MOD(15+WEEKDAY(DATE(PlanYear,12,1),2)-1,7)+1)=AJ$5,", "&amp;16,"")&amp;IF(INDEX($Q$57:$W$67,2*INT((16+WEEKDAY(DATE(PlanYear,12,1),2)-1)/7)+1,MOD(16+WEEKDAY(DATE(PlanYear,12,1),2)-1,7)+1)=AJ$5,", "&amp;17,"")&amp;IF(INDEX($Q$57:$W$67,2*INT((17+WEEKDAY(DATE(PlanYear,12,1),2)-1)/7)+1,MOD(17+WEEKDAY(DATE(PlanYear,12,1),2)-1,7)+1)=AJ$5,", "&amp;18,"")&amp;IF(INDEX($Q$57:$W$67,2*INT((18+WEEKDAY(DATE(PlanYear,12,1),2)-1)/7)+1,MOD(18+WEEKDAY(DATE(PlanYear,12,1),2)-1,7)+1)=AJ$5,", "&amp;19,"")&amp;IF(INDEX($Q$57:$W$67,2*INT((19+WEEKDAY(DATE(PlanYear,12,1),2)-1)/7)+1,MOD(19+WEEKDAY(DATE(PlanYear,12,1),2)-1,7)+1)=AJ$5,", "&amp;20,"")&amp;IF(INDEX($Q$57:$W$67,2*INT((20+WEEKDAY(DATE(PlanYear,12,1),2)-1)/7)+1,MOD(20+WEEKDAY(DATE(PlanYear,12,1),2)-1,7)+1)=AJ$5,", "&amp;21,"")&amp;IF(INDEX($Q$57:$W$67,2*INT((21+WEEKDAY(DATE(PlanYear,12,1),2)-1)/7)+1,MOD(21+WEEKDAY(DATE(PlanYear,12,1),2)-1,7)+1)=AJ$5,", "&amp;22,"")&amp;IF(INDEX($Q$57:$W$67,2*INT((22+WEEKDAY(DATE(PlanYear,12,1),2)-1)/7)+1,MOD(22+WEEKDAY(DATE(PlanYear,12,1),2)-1,7)+1)=AJ$5,", "&amp;23,"")&amp;IF(INDEX($Q$57:$W$67,2*INT((23+WEEKDAY(DATE(PlanYear,12,1),2)-1)/7)+1,MOD(23+WEEKDAY(DATE(PlanYear,12,1),2)-1,7)+1)=AJ$5,", "&amp;24,"")&amp;IF(INDEX($Q$57:$W$67,2*INT((24+WEEKDAY(DATE(PlanYear,12,1),2)-1)/7)+1,MOD(24+WEEKDAY(DATE(PlanYear,12,1),2)-1,7)+1)=AJ$5,", "&amp;25,"")&amp;IF(INDEX($Q$57:$W$67,2*INT((25+WEEKDAY(DATE(PlanYear,12,1),2)-1)/7)+1,MOD(25+WEEKDAY(DATE(PlanYear,12,1),2)-1,7)+1)=AJ$5,", "&amp;26,"")&amp;IF(INDEX($Q$57:$W$67,2*INT((26+WEEKDAY(DATE(PlanYear,12,1),2)-1)/7)+1,MOD(26+WEEKDAY(DATE(PlanYear,12,1),2)-1,7)+1)=AJ$5,", "&amp;27,"")&amp;IF(INDEX($Q$57:$W$67,2*INT((27+WEEKDAY(DATE(PlanYear,12,1),2)-1)/7)+1,MOD(27+WEEKDAY(DATE(PlanYear,12,1),2)-1,7)+1)=AJ$5,", "&amp;28,"")&amp;IF(INDEX($Q$57:$W$67,2*INT((28+WEEKDAY(DATE(PlanYear,12,1),2)-1)/7)+1,MOD(28+WEEKDAY(DATE(PlanYear,12,1),2)-1,7)+1)=AJ$5,", "&amp;29,"")&amp;IF(INDEX($Q$57:$W$67,2*INT((29+WEEKDAY(DATE(PlanYear,12,1),2)-1)/7)+1,MOD(29+WEEKDAY(DATE(PlanYear,12,1),2)-1,7)+1)=AJ$5,", "&amp;30,"")&amp;IF(INDEX($Q$57:$W$67,2*INT((30+WEEKDAY(DATE(PlanYear,12,1),2)-1)/7)+1,MOD(30+WEEKDAY(DATE(PlanYear,12,1),2)-1,7)+1)=AJ$5,", "&amp;31,""),3,200))</f>
        <v/>
      </c>
      <c r="AK17" s="17">
        <f>DAY(EOMONTH(DATE(PlanYear,12,1),0))-COUNTIF($Q$57:$W$67,"?*")</f>
        <v/>
      </c>
    </row>
    <row r="18" ht="14" customHeight="1">
      <c r="A18" s="20">
        <f>IF(AND(36-(WEEKDAY(DATE(PlanYear,1,1),2)-1)&gt;=1,36-(WEEKDAY(DATE(PlanYear,1,1),2)-1)&lt;=DAY(EOMONTH(DATE(PlanYear,1,1),0))),DATE(PlanYear,1,1)+36-WEEKDAY(DATE(PlanYear,1,1),2),"")</f>
        <v/>
      </c>
      <c r="B18" s="20">
        <f>IF(AND(37-(WEEKDAY(DATE(PlanYear,1,1),2)-1)&gt;=1,37-(WEEKDAY(DATE(PlanYear,1,1),2)-1)&lt;=DAY(EOMONTH(DATE(PlanYear,1,1),0))),DATE(PlanYear,1,1)+37-WEEKDAY(DATE(PlanYear,1,1),2),"")</f>
        <v/>
      </c>
      <c r="C18" s="20">
        <f>IF(AND(38-(WEEKDAY(DATE(PlanYear,1,1),2)-1)&gt;=1,38-(WEEKDAY(DATE(PlanYear,1,1),2)-1)&lt;=DAY(EOMONTH(DATE(PlanYear,1,1),0))),DATE(PlanYear,1,1)+38-WEEKDAY(DATE(PlanYear,1,1),2),"")</f>
        <v/>
      </c>
      <c r="D18" s="20">
        <f>IF(AND(39-(WEEKDAY(DATE(PlanYear,1,1),2)-1)&gt;=1,39-(WEEKDAY(DATE(PlanYear,1,1),2)-1)&lt;=DAY(EOMONTH(DATE(PlanYear,1,1),0))),DATE(PlanYear,1,1)+39-WEEKDAY(DATE(PlanYear,1,1),2),"")</f>
        <v/>
      </c>
      <c r="E18" s="20">
        <f>IF(AND(40-(WEEKDAY(DATE(PlanYear,1,1),2)-1)&gt;=1,40-(WEEKDAY(DATE(PlanYear,1,1),2)-1)&lt;=DAY(EOMONTH(DATE(PlanYear,1,1),0))),DATE(PlanYear,1,1)+40-WEEKDAY(DATE(PlanYear,1,1),2),"")</f>
        <v/>
      </c>
      <c r="F18" s="20">
        <f>IF(AND(41-(WEEKDAY(DATE(PlanYear,1,1),2)-1)&gt;=1,41-(WEEKDAY(DATE(PlanYear,1,1),2)-1)&lt;=DAY(EOMONTH(DATE(PlanYear,1,1),0))),DATE(PlanYear,1,1)+41-WEEKDAY(DATE(PlanYear,1,1),2),"")</f>
        <v/>
      </c>
      <c r="G18" s="20">
        <f>IF(AND(42-(WEEKDAY(DATE(PlanYear,1,1),2)-1)&gt;=1,42-(WEEKDAY(DATE(PlanYear,1,1),2)-1)&lt;=DAY(EOMONTH(DATE(PlanYear,1,1),0))),DATE(PlanYear,1,1)+42-WEEKDAY(DATE(PlanYear,1,1),2),"")</f>
        <v/>
      </c>
      <c r="I18" s="20">
        <f>IF(AND(36-(WEEKDAY(DATE(PlanYear,2,1),2)-1)&gt;=1,36-(WEEKDAY(DATE(PlanYear,2,1),2)-1)&lt;=DAY(EOMONTH(DATE(PlanYear,2,1),0))),DATE(PlanYear,2,1)+36-WEEKDAY(DATE(PlanYear,2,1),2),"")</f>
        <v/>
      </c>
      <c r="J18" s="20">
        <f>IF(AND(37-(WEEKDAY(DATE(PlanYear,2,1),2)-1)&gt;=1,37-(WEEKDAY(DATE(PlanYear,2,1),2)-1)&lt;=DAY(EOMONTH(DATE(PlanYear,2,1),0))),DATE(PlanYear,2,1)+37-WEEKDAY(DATE(PlanYear,2,1),2),"")</f>
        <v/>
      </c>
      <c r="K18" s="20">
        <f>IF(AND(38-(WEEKDAY(DATE(PlanYear,2,1),2)-1)&gt;=1,38-(WEEKDAY(DATE(PlanYear,2,1),2)-1)&lt;=DAY(EOMONTH(DATE(PlanYear,2,1),0))),DATE(PlanYear,2,1)+38-WEEKDAY(DATE(PlanYear,2,1),2),"")</f>
        <v/>
      </c>
      <c r="L18" s="20">
        <f>IF(AND(39-(WEEKDAY(DATE(PlanYear,2,1),2)-1)&gt;=1,39-(WEEKDAY(DATE(PlanYear,2,1),2)-1)&lt;=DAY(EOMONTH(DATE(PlanYear,2,1),0))),DATE(PlanYear,2,1)+39-WEEKDAY(DATE(PlanYear,2,1),2),"")</f>
        <v/>
      </c>
      <c r="M18" s="20">
        <f>IF(AND(40-(WEEKDAY(DATE(PlanYear,2,1),2)-1)&gt;=1,40-(WEEKDAY(DATE(PlanYear,2,1),2)-1)&lt;=DAY(EOMONTH(DATE(PlanYear,2,1),0))),DATE(PlanYear,2,1)+40-WEEKDAY(DATE(PlanYear,2,1),2),"")</f>
        <v/>
      </c>
      <c r="N18" s="20">
        <f>IF(AND(41-(WEEKDAY(DATE(PlanYear,2,1),2)-1)&gt;=1,41-(WEEKDAY(DATE(PlanYear,2,1),2)-1)&lt;=DAY(EOMONTH(DATE(PlanYear,2,1),0))),DATE(PlanYear,2,1)+41-WEEKDAY(DATE(PlanYear,2,1),2),"")</f>
        <v/>
      </c>
      <c r="O18" s="20">
        <f>IF(AND(42-(WEEKDAY(DATE(PlanYear,2,1),2)-1)&gt;=1,42-(WEEKDAY(DATE(PlanYear,2,1),2)-1)&lt;=DAY(EOMONTH(DATE(PlanYear,2,1),0))),DATE(PlanYear,2,1)+42-WEEKDAY(DATE(PlanYear,2,1),2),"")</f>
        <v/>
      </c>
      <c r="Q18" s="20">
        <f>IF(AND(36-(WEEKDAY(DATE(PlanYear,3,1),2)-1)&gt;=1,36-(WEEKDAY(DATE(PlanYear,3,1),2)-1)&lt;=DAY(EOMONTH(DATE(PlanYear,3,1),0))),DATE(PlanYear,3,1)+36-WEEKDAY(DATE(PlanYear,3,1),2),"")</f>
        <v/>
      </c>
      <c r="R18" s="20">
        <f>IF(AND(37-(WEEKDAY(DATE(PlanYear,3,1),2)-1)&gt;=1,37-(WEEKDAY(DATE(PlanYear,3,1),2)-1)&lt;=DAY(EOMONTH(DATE(PlanYear,3,1),0))),DATE(PlanYear,3,1)+37-WEEKDAY(DATE(PlanYear,3,1),2),"")</f>
        <v/>
      </c>
      <c r="S18" s="20">
        <f>IF(AND(38-(WEEKDAY(DATE(PlanYear,3,1),2)-1)&gt;=1,38-(WEEKDAY(DATE(PlanYear,3,1),2)-1)&lt;=DAY(EOMONTH(DATE(PlanYear,3,1),0))),DATE(PlanYear,3,1)+38-WEEKDAY(DATE(PlanYear,3,1),2),"")</f>
        <v/>
      </c>
      <c r="T18" s="20">
        <f>IF(AND(39-(WEEKDAY(DATE(PlanYear,3,1),2)-1)&gt;=1,39-(WEEKDAY(DATE(PlanYear,3,1),2)-1)&lt;=DAY(EOMONTH(DATE(PlanYear,3,1),0))),DATE(PlanYear,3,1)+39-WEEKDAY(DATE(PlanYear,3,1),2),"")</f>
        <v/>
      </c>
      <c r="U18" s="20">
        <f>IF(AND(40-(WEEKDAY(DATE(PlanYear,3,1),2)-1)&gt;=1,40-(WEEKDAY(DATE(PlanYear,3,1),2)-1)&lt;=DAY(EOMONTH(DATE(PlanYear,3,1),0))),DATE(PlanYear,3,1)+40-WEEKDAY(DATE(PlanYear,3,1),2),"")</f>
        <v/>
      </c>
      <c r="V18" s="20">
        <f>IF(AND(41-(WEEKDAY(DATE(PlanYear,3,1),2)-1)&gt;=1,41-(WEEKDAY(DATE(PlanYear,3,1),2)-1)&lt;=DAY(EOMONTH(DATE(PlanYear,3,1),0))),DATE(PlanYear,3,1)+41-WEEKDAY(DATE(PlanYear,3,1),2),"")</f>
        <v/>
      </c>
      <c r="W18" s="20">
        <f>IF(AND(42-(WEEKDAY(DATE(PlanYear,3,1),2)-1)&gt;=1,42-(WEEKDAY(DATE(PlanYear,3,1),2)-1)&lt;=DAY(EOMONTH(DATE(PlanYear,3,1),0))),DATE(PlanYear,3,1)+42-WEEKDAY(DATE(PlanYear,3,1),2),"")</f>
        <v/>
      </c>
      <c r="Z18" s="22" t="inlineStr">
        <is>
          <t>Total days</t>
        </is>
      </c>
      <c r="AA18" s="23">
        <f>IF(AA$5="","",COUNTIF($A$9:$G$19,AA$5)+COUNTIF($I$9:$O$19,AA$5)+COUNTIF($Q$9:$W$19,AA$5)+COUNTIF($A$25:$G$35,AA$5)+COUNTIF($I$25:$O$35,AA$5)+COUNTIF($Q$25:$W$35,AA$5)+COUNTIF($A$41:$G$51,AA$5)+COUNTIF($I$41:$O$51,AA$5)+COUNTIF($Q$41:$W$51,AA$5)+COUNTIF($A$57:$G$67,AA$5)+COUNTIF($I$57:$O$67,AA$5)+COUNTIF($Q$57:$W$67,AA$5))</f>
        <v/>
      </c>
      <c r="AB18" s="23">
        <f>IF(AB$5="","",COUNTIF($A$9:$G$19,AB$5)+COUNTIF($I$9:$O$19,AB$5)+COUNTIF($Q$9:$W$19,AB$5)+COUNTIF($A$25:$G$35,AB$5)+COUNTIF($I$25:$O$35,AB$5)+COUNTIF($Q$25:$W$35,AB$5)+COUNTIF($A$41:$G$51,AB$5)+COUNTIF($I$41:$O$51,AB$5)+COUNTIF($Q$41:$W$51,AB$5)+COUNTIF($A$57:$G$67,AB$5)+COUNTIF($I$57:$O$67,AB$5)+COUNTIF($Q$57:$W$67,AB$5))</f>
        <v/>
      </c>
      <c r="AC18" s="23">
        <f>IF(AC$5="","",COUNTIF($A$9:$G$19,AC$5)+COUNTIF($I$9:$O$19,AC$5)+COUNTIF($Q$9:$W$19,AC$5)+COUNTIF($A$25:$G$35,AC$5)+COUNTIF($I$25:$O$35,AC$5)+COUNTIF($Q$25:$W$35,AC$5)+COUNTIF($A$41:$G$51,AC$5)+COUNTIF($I$41:$O$51,AC$5)+COUNTIF($Q$41:$W$51,AC$5)+COUNTIF($A$57:$G$67,AC$5)+COUNTIF($I$57:$O$67,AC$5)+COUNTIF($Q$57:$W$67,AC$5))</f>
        <v/>
      </c>
      <c r="AD18" s="23">
        <f>IF(AD$5="","",COUNTIF($A$9:$G$19,AD$5)+COUNTIF($I$9:$O$19,AD$5)+COUNTIF($Q$9:$W$19,AD$5)+COUNTIF($A$25:$G$35,AD$5)+COUNTIF($I$25:$O$35,AD$5)+COUNTIF($Q$25:$W$35,AD$5)+COUNTIF($A$41:$G$51,AD$5)+COUNTIF($I$41:$O$51,AD$5)+COUNTIF($Q$41:$W$51,AD$5)+COUNTIF($A$57:$G$67,AD$5)+COUNTIF($I$57:$O$67,AD$5)+COUNTIF($Q$57:$W$67,AD$5))</f>
        <v/>
      </c>
      <c r="AE18" s="23">
        <f>IF(AE$5="","",COUNTIF($A$9:$G$19,AE$5)+COUNTIF($I$9:$O$19,AE$5)+COUNTIF($Q$9:$W$19,AE$5)+COUNTIF($A$25:$G$35,AE$5)+COUNTIF($I$25:$O$35,AE$5)+COUNTIF($Q$25:$W$35,AE$5)+COUNTIF($A$41:$G$51,AE$5)+COUNTIF($I$41:$O$51,AE$5)+COUNTIF($Q$41:$W$51,AE$5)+COUNTIF($A$57:$G$67,AE$5)+COUNTIF($I$57:$O$67,AE$5)+COUNTIF($Q$57:$W$67,AE$5))</f>
        <v/>
      </c>
      <c r="AF18" s="23">
        <f>IF(AF$5="","",COUNTIF($A$9:$G$19,AF$5)+COUNTIF($I$9:$O$19,AF$5)+COUNTIF($Q$9:$W$19,AF$5)+COUNTIF($A$25:$G$35,AF$5)+COUNTIF($I$25:$O$35,AF$5)+COUNTIF($Q$25:$W$35,AF$5)+COUNTIF($A$41:$G$51,AF$5)+COUNTIF($I$41:$O$51,AF$5)+COUNTIF($Q$41:$W$51,AF$5)+COUNTIF($A$57:$G$67,AF$5)+COUNTIF($I$57:$O$67,AF$5)+COUNTIF($Q$57:$W$67,AF$5))</f>
        <v/>
      </c>
      <c r="AG18" s="23">
        <f>IF(AG$5="","",COUNTIF($A$9:$G$19,AG$5)+COUNTIF($I$9:$O$19,AG$5)+COUNTIF($Q$9:$W$19,AG$5)+COUNTIF($A$25:$G$35,AG$5)+COUNTIF($I$25:$O$35,AG$5)+COUNTIF($Q$25:$W$35,AG$5)+COUNTIF($A$41:$G$51,AG$5)+COUNTIF($I$41:$O$51,AG$5)+COUNTIF($Q$41:$W$51,AG$5)+COUNTIF($A$57:$G$67,AG$5)+COUNTIF($I$57:$O$67,AG$5)+COUNTIF($Q$57:$W$67,AG$5))</f>
        <v/>
      </c>
      <c r="AH18" s="23">
        <f>IF(AH$5="","",COUNTIF($A$9:$G$19,AH$5)+COUNTIF($I$9:$O$19,AH$5)+COUNTIF($Q$9:$W$19,AH$5)+COUNTIF($A$25:$G$35,AH$5)+COUNTIF($I$25:$O$35,AH$5)+COUNTIF($Q$25:$W$35,AH$5)+COUNTIF($A$41:$G$51,AH$5)+COUNTIF($I$41:$O$51,AH$5)+COUNTIF($Q$41:$W$51,AH$5)+COUNTIF($A$57:$G$67,AH$5)+COUNTIF($I$57:$O$67,AH$5)+COUNTIF($Q$57:$W$67,AH$5))</f>
        <v/>
      </c>
      <c r="AI18" s="23">
        <f>IF(AI$5="","",COUNTIF($A$9:$G$19,AI$5)+COUNTIF($I$9:$O$19,AI$5)+COUNTIF($Q$9:$W$19,AI$5)+COUNTIF($A$25:$G$35,AI$5)+COUNTIF($I$25:$O$35,AI$5)+COUNTIF($Q$25:$W$35,AI$5)+COUNTIF($A$41:$G$51,AI$5)+COUNTIF($I$41:$O$51,AI$5)+COUNTIF($Q$41:$W$51,AI$5)+COUNTIF($A$57:$G$67,AI$5)+COUNTIF($I$57:$O$67,AI$5)+COUNTIF($Q$57:$W$67,AI$5))</f>
        <v/>
      </c>
      <c r="AJ18" s="23">
        <f>IF(AJ$5="","",COUNTIF($A$9:$G$19,AJ$5)+COUNTIF($I$9:$O$19,AJ$5)+COUNTIF($Q$9:$W$19,AJ$5)+COUNTIF($A$25:$G$35,AJ$5)+COUNTIF($I$25:$O$35,AJ$5)+COUNTIF($Q$25:$W$35,AJ$5)+COUNTIF($A$41:$G$51,AJ$5)+COUNTIF($I$41:$O$51,AJ$5)+COUNTIF($Q$41:$W$51,AJ$5)+COUNTIF($A$57:$G$67,AJ$5)+COUNTIF($I$57:$O$67,AJ$5)+COUNTIF($Q$57:$W$67,AJ$5))</f>
        <v/>
      </c>
    </row>
    <row r="19" ht="26" customHeight="1">
      <c r="A19" s="21" t="n"/>
      <c r="B19" s="21" t="n"/>
      <c r="C19" s="21" t="n"/>
      <c r="D19" s="21" t="n"/>
      <c r="E19" s="21" t="n"/>
      <c r="F19" s="21" t="n"/>
      <c r="G19" s="21" t="n"/>
      <c r="I19" s="21" t="n"/>
      <c r="J19" s="21" t="n"/>
      <c r="K19" s="21" t="n"/>
      <c r="L19" s="21" t="n"/>
      <c r="M19" s="21" t="n"/>
      <c r="N19" s="21" t="n"/>
      <c r="O19" s="21" t="n"/>
      <c r="Q19" s="21" t="n"/>
      <c r="R19" s="21" t="n"/>
      <c r="S19" s="21" t="n"/>
      <c r="T19" s="21" t="n"/>
      <c r="U19" s="21" t="n"/>
      <c r="V19" s="21" t="n"/>
      <c r="W19" s="21" t="n"/>
      <c r="Z19" s="15" t="inlineStr">
        <is>
          <t>Jan (next yr)</t>
        </is>
      </c>
      <c r="AA19" s="16">
        <f>IF(AA$5="","",MID(IF(INDEX($A$73:$G$83,2*INT((0+WEEKDAY(DATE(PlanYear,13,1),2)-1)/7)+1,MOD(0+WEEKDAY(DATE(PlanYear,13,1),2)-1,7)+1)=AA$5,", "&amp;1,"")&amp;IF(INDEX($A$73:$G$83,2*INT((1+WEEKDAY(DATE(PlanYear,13,1),2)-1)/7)+1,MOD(1+WEEKDAY(DATE(PlanYear,13,1),2)-1,7)+1)=AA$5,", "&amp;2,"")&amp;IF(INDEX($A$73:$G$83,2*INT((2+WEEKDAY(DATE(PlanYear,13,1),2)-1)/7)+1,MOD(2+WEEKDAY(DATE(PlanYear,13,1),2)-1,7)+1)=AA$5,", "&amp;3,"")&amp;IF(INDEX($A$73:$G$83,2*INT((3+WEEKDAY(DATE(PlanYear,13,1),2)-1)/7)+1,MOD(3+WEEKDAY(DATE(PlanYear,13,1),2)-1,7)+1)=AA$5,", "&amp;4,"")&amp;IF(INDEX($A$73:$G$83,2*INT((4+WEEKDAY(DATE(PlanYear,13,1),2)-1)/7)+1,MOD(4+WEEKDAY(DATE(PlanYear,13,1),2)-1,7)+1)=AA$5,", "&amp;5,"")&amp;IF(INDEX($A$73:$G$83,2*INT((5+WEEKDAY(DATE(PlanYear,13,1),2)-1)/7)+1,MOD(5+WEEKDAY(DATE(PlanYear,13,1),2)-1,7)+1)=AA$5,", "&amp;6,"")&amp;IF(INDEX($A$73:$G$83,2*INT((6+WEEKDAY(DATE(PlanYear,13,1),2)-1)/7)+1,MOD(6+WEEKDAY(DATE(PlanYear,13,1),2)-1,7)+1)=AA$5,", "&amp;7,"")&amp;IF(INDEX($A$73:$G$83,2*INT((7+WEEKDAY(DATE(PlanYear,13,1),2)-1)/7)+1,MOD(7+WEEKDAY(DATE(PlanYear,13,1),2)-1,7)+1)=AA$5,", "&amp;8,"")&amp;IF(INDEX($A$73:$G$83,2*INT((8+WEEKDAY(DATE(PlanYear,13,1),2)-1)/7)+1,MOD(8+WEEKDAY(DATE(PlanYear,13,1),2)-1,7)+1)=AA$5,", "&amp;9,"")&amp;IF(INDEX($A$73:$G$83,2*INT((9+WEEKDAY(DATE(PlanYear,13,1),2)-1)/7)+1,MOD(9+WEEKDAY(DATE(PlanYear,13,1),2)-1,7)+1)=AA$5,", "&amp;10,"")&amp;IF(INDEX($A$73:$G$83,2*INT((10+WEEKDAY(DATE(PlanYear,13,1),2)-1)/7)+1,MOD(10+WEEKDAY(DATE(PlanYear,13,1),2)-1,7)+1)=AA$5,", "&amp;11,"")&amp;IF(INDEX($A$73:$G$83,2*INT((11+WEEKDAY(DATE(PlanYear,13,1),2)-1)/7)+1,MOD(11+WEEKDAY(DATE(PlanYear,13,1),2)-1,7)+1)=AA$5,", "&amp;12,"")&amp;IF(INDEX($A$73:$G$83,2*INT((12+WEEKDAY(DATE(PlanYear,13,1),2)-1)/7)+1,MOD(12+WEEKDAY(DATE(PlanYear,13,1),2)-1,7)+1)=AA$5,", "&amp;13,"")&amp;IF(INDEX($A$73:$G$83,2*INT((13+WEEKDAY(DATE(PlanYear,13,1),2)-1)/7)+1,MOD(13+WEEKDAY(DATE(PlanYear,13,1),2)-1,7)+1)=AA$5,", "&amp;14,"")&amp;IF(INDEX($A$73:$G$83,2*INT((14+WEEKDAY(DATE(PlanYear,13,1),2)-1)/7)+1,MOD(14+WEEKDAY(DATE(PlanYear,13,1),2)-1,7)+1)=AA$5,", "&amp;15,"")&amp;IF(INDEX($A$73:$G$83,2*INT((15+WEEKDAY(DATE(PlanYear,13,1),2)-1)/7)+1,MOD(15+WEEKDAY(DATE(PlanYear,13,1),2)-1,7)+1)=AA$5,", "&amp;16,"")&amp;IF(INDEX($A$73:$G$83,2*INT((16+WEEKDAY(DATE(PlanYear,13,1),2)-1)/7)+1,MOD(16+WEEKDAY(DATE(PlanYear,13,1),2)-1,7)+1)=AA$5,", "&amp;17,"")&amp;IF(INDEX($A$73:$G$83,2*INT((17+WEEKDAY(DATE(PlanYear,13,1),2)-1)/7)+1,MOD(17+WEEKDAY(DATE(PlanYear,13,1),2)-1,7)+1)=AA$5,", "&amp;18,"")&amp;IF(INDEX($A$73:$G$83,2*INT((18+WEEKDAY(DATE(PlanYear,13,1),2)-1)/7)+1,MOD(18+WEEKDAY(DATE(PlanYear,13,1),2)-1,7)+1)=AA$5,", "&amp;19,"")&amp;IF(INDEX($A$73:$G$83,2*INT((19+WEEKDAY(DATE(PlanYear,13,1),2)-1)/7)+1,MOD(19+WEEKDAY(DATE(PlanYear,13,1),2)-1,7)+1)=AA$5,", "&amp;20,"")&amp;IF(INDEX($A$73:$G$83,2*INT((20+WEEKDAY(DATE(PlanYear,13,1),2)-1)/7)+1,MOD(20+WEEKDAY(DATE(PlanYear,13,1),2)-1,7)+1)=AA$5,", "&amp;21,"")&amp;IF(INDEX($A$73:$G$83,2*INT((21+WEEKDAY(DATE(PlanYear,13,1),2)-1)/7)+1,MOD(21+WEEKDAY(DATE(PlanYear,13,1),2)-1,7)+1)=AA$5,", "&amp;22,"")&amp;IF(INDEX($A$73:$G$83,2*INT((22+WEEKDAY(DATE(PlanYear,13,1),2)-1)/7)+1,MOD(22+WEEKDAY(DATE(PlanYear,13,1),2)-1,7)+1)=AA$5,", "&amp;23,"")&amp;IF(INDEX($A$73:$G$83,2*INT((23+WEEKDAY(DATE(PlanYear,13,1),2)-1)/7)+1,MOD(23+WEEKDAY(DATE(PlanYear,13,1),2)-1,7)+1)=AA$5,", "&amp;24,"")&amp;IF(INDEX($A$73:$G$83,2*INT((24+WEEKDAY(DATE(PlanYear,13,1),2)-1)/7)+1,MOD(24+WEEKDAY(DATE(PlanYear,13,1),2)-1,7)+1)=AA$5,", "&amp;25,"")&amp;IF(INDEX($A$73:$G$83,2*INT((25+WEEKDAY(DATE(PlanYear,13,1),2)-1)/7)+1,MOD(25+WEEKDAY(DATE(PlanYear,13,1),2)-1,7)+1)=AA$5,", "&amp;26,"")&amp;IF(INDEX($A$73:$G$83,2*INT((26+WEEKDAY(DATE(PlanYear,13,1),2)-1)/7)+1,MOD(26+WEEKDAY(DATE(PlanYear,13,1),2)-1,7)+1)=AA$5,", "&amp;27,"")&amp;IF(INDEX($A$73:$G$83,2*INT((27+WEEKDAY(DATE(PlanYear,13,1),2)-1)/7)+1,MOD(27+WEEKDAY(DATE(PlanYear,13,1),2)-1,7)+1)=AA$5,", "&amp;28,"")&amp;IF(INDEX($A$73:$G$83,2*INT((28+WEEKDAY(DATE(PlanYear,13,1),2)-1)/7)+1,MOD(28+WEEKDAY(DATE(PlanYear,13,1),2)-1,7)+1)=AA$5,", "&amp;29,"")&amp;IF(INDEX($A$73:$G$83,2*INT((29+WEEKDAY(DATE(PlanYear,13,1),2)-1)/7)+1,MOD(29+WEEKDAY(DATE(PlanYear,13,1),2)-1,7)+1)=AA$5,", "&amp;30,"")&amp;IF(INDEX($A$73:$G$83,2*INT((30+WEEKDAY(DATE(PlanYear,13,1),2)-1)/7)+1,MOD(30+WEEKDAY(DATE(PlanYear,13,1),2)-1,7)+1)=AA$5,", "&amp;31,""),3,200))</f>
        <v/>
      </c>
      <c r="AB19" s="16">
        <f>IF(AB$5="","",MID(IF(INDEX($A$73:$G$83,2*INT((0+WEEKDAY(DATE(PlanYear,13,1),2)-1)/7)+1,MOD(0+WEEKDAY(DATE(PlanYear,13,1),2)-1,7)+1)=AB$5,", "&amp;1,"")&amp;IF(INDEX($A$73:$G$83,2*INT((1+WEEKDAY(DATE(PlanYear,13,1),2)-1)/7)+1,MOD(1+WEEKDAY(DATE(PlanYear,13,1),2)-1,7)+1)=AB$5,", "&amp;2,"")&amp;IF(INDEX($A$73:$G$83,2*INT((2+WEEKDAY(DATE(PlanYear,13,1),2)-1)/7)+1,MOD(2+WEEKDAY(DATE(PlanYear,13,1),2)-1,7)+1)=AB$5,", "&amp;3,"")&amp;IF(INDEX($A$73:$G$83,2*INT((3+WEEKDAY(DATE(PlanYear,13,1),2)-1)/7)+1,MOD(3+WEEKDAY(DATE(PlanYear,13,1),2)-1,7)+1)=AB$5,", "&amp;4,"")&amp;IF(INDEX($A$73:$G$83,2*INT((4+WEEKDAY(DATE(PlanYear,13,1),2)-1)/7)+1,MOD(4+WEEKDAY(DATE(PlanYear,13,1),2)-1,7)+1)=AB$5,", "&amp;5,"")&amp;IF(INDEX($A$73:$G$83,2*INT((5+WEEKDAY(DATE(PlanYear,13,1),2)-1)/7)+1,MOD(5+WEEKDAY(DATE(PlanYear,13,1),2)-1,7)+1)=AB$5,", "&amp;6,"")&amp;IF(INDEX($A$73:$G$83,2*INT((6+WEEKDAY(DATE(PlanYear,13,1),2)-1)/7)+1,MOD(6+WEEKDAY(DATE(PlanYear,13,1),2)-1,7)+1)=AB$5,", "&amp;7,"")&amp;IF(INDEX($A$73:$G$83,2*INT((7+WEEKDAY(DATE(PlanYear,13,1),2)-1)/7)+1,MOD(7+WEEKDAY(DATE(PlanYear,13,1),2)-1,7)+1)=AB$5,", "&amp;8,"")&amp;IF(INDEX($A$73:$G$83,2*INT((8+WEEKDAY(DATE(PlanYear,13,1),2)-1)/7)+1,MOD(8+WEEKDAY(DATE(PlanYear,13,1),2)-1,7)+1)=AB$5,", "&amp;9,"")&amp;IF(INDEX($A$73:$G$83,2*INT((9+WEEKDAY(DATE(PlanYear,13,1),2)-1)/7)+1,MOD(9+WEEKDAY(DATE(PlanYear,13,1),2)-1,7)+1)=AB$5,", "&amp;10,"")&amp;IF(INDEX($A$73:$G$83,2*INT((10+WEEKDAY(DATE(PlanYear,13,1),2)-1)/7)+1,MOD(10+WEEKDAY(DATE(PlanYear,13,1),2)-1,7)+1)=AB$5,", "&amp;11,"")&amp;IF(INDEX($A$73:$G$83,2*INT((11+WEEKDAY(DATE(PlanYear,13,1),2)-1)/7)+1,MOD(11+WEEKDAY(DATE(PlanYear,13,1),2)-1,7)+1)=AB$5,", "&amp;12,"")&amp;IF(INDEX($A$73:$G$83,2*INT((12+WEEKDAY(DATE(PlanYear,13,1),2)-1)/7)+1,MOD(12+WEEKDAY(DATE(PlanYear,13,1),2)-1,7)+1)=AB$5,", "&amp;13,"")&amp;IF(INDEX($A$73:$G$83,2*INT((13+WEEKDAY(DATE(PlanYear,13,1),2)-1)/7)+1,MOD(13+WEEKDAY(DATE(PlanYear,13,1),2)-1,7)+1)=AB$5,", "&amp;14,"")&amp;IF(INDEX($A$73:$G$83,2*INT((14+WEEKDAY(DATE(PlanYear,13,1),2)-1)/7)+1,MOD(14+WEEKDAY(DATE(PlanYear,13,1),2)-1,7)+1)=AB$5,", "&amp;15,"")&amp;IF(INDEX($A$73:$G$83,2*INT((15+WEEKDAY(DATE(PlanYear,13,1),2)-1)/7)+1,MOD(15+WEEKDAY(DATE(PlanYear,13,1),2)-1,7)+1)=AB$5,", "&amp;16,"")&amp;IF(INDEX($A$73:$G$83,2*INT((16+WEEKDAY(DATE(PlanYear,13,1),2)-1)/7)+1,MOD(16+WEEKDAY(DATE(PlanYear,13,1),2)-1,7)+1)=AB$5,", "&amp;17,"")&amp;IF(INDEX($A$73:$G$83,2*INT((17+WEEKDAY(DATE(PlanYear,13,1),2)-1)/7)+1,MOD(17+WEEKDAY(DATE(PlanYear,13,1),2)-1,7)+1)=AB$5,", "&amp;18,"")&amp;IF(INDEX($A$73:$G$83,2*INT((18+WEEKDAY(DATE(PlanYear,13,1),2)-1)/7)+1,MOD(18+WEEKDAY(DATE(PlanYear,13,1),2)-1,7)+1)=AB$5,", "&amp;19,"")&amp;IF(INDEX($A$73:$G$83,2*INT((19+WEEKDAY(DATE(PlanYear,13,1),2)-1)/7)+1,MOD(19+WEEKDAY(DATE(PlanYear,13,1),2)-1,7)+1)=AB$5,", "&amp;20,"")&amp;IF(INDEX($A$73:$G$83,2*INT((20+WEEKDAY(DATE(PlanYear,13,1),2)-1)/7)+1,MOD(20+WEEKDAY(DATE(PlanYear,13,1),2)-1,7)+1)=AB$5,", "&amp;21,"")&amp;IF(INDEX($A$73:$G$83,2*INT((21+WEEKDAY(DATE(PlanYear,13,1),2)-1)/7)+1,MOD(21+WEEKDAY(DATE(PlanYear,13,1),2)-1,7)+1)=AB$5,", "&amp;22,"")&amp;IF(INDEX($A$73:$G$83,2*INT((22+WEEKDAY(DATE(PlanYear,13,1),2)-1)/7)+1,MOD(22+WEEKDAY(DATE(PlanYear,13,1),2)-1,7)+1)=AB$5,", "&amp;23,"")&amp;IF(INDEX($A$73:$G$83,2*INT((23+WEEKDAY(DATE(PlanYear,13,1),2)-1)/7)+1,MOD(23+WEEKDAY(DATE(PlanYear,13,1),2)-1,7)+1)=AB$5,", "&amp;24,"")&amp;IF(INDEX($A$73:$G$83,2*INT((24+WEEKDAY(DATE(PlanYear,13,1),2)-1)/7)+1,MOD(24+WEEKDAY(DATE(PlanYear,13,1),2)-1,7)+1)=AB$5,", "&amp;25,"")&amp;IF(INDEX($A$73:$G$83,2*INT((25+WEEKDAY(DATE(PlanYear,13,1),2)-1)/7)+1,MOD(25+WEEKDAY(DATE(PlanYear,13,1),2)-1,7)+1)=AB$5,", "&amp;26,"")&amp;IF(INDEX($A$73:$G$83,2*INT((26+WEEKDAY(DATE(PlanYear,13,1),2)-1)/7)+1,MOD(26+WEEKDAY(DATE(PlanYear,13,1),2)-1,7)+1)=AB$5,", "&amp;27,"")&amp;IF(INDEX($A$73:$G$83,2*INT((27+WEEKDAY(DATE(PlanYear,13,1),2)-1)/7)+1,MOD(27+WEEKDAY(DATE(PlanYear,13,1),2)-1,7)+1)=AB$5,", "&amp;28,"")&amp;IF(INDEX($A$73:$G$83,2*INT((28+WEEKDAY(DATE(PlanYear,13,1),2)-1)/7)+1,MOD(28+WEEKDAY(DATE(PlanYear,13,1),2)-1,7)+1)=AB$5,", "&amp;29,"")&amp;IF(INDEX($A$73:$G$83,2*INT((29+WEEKDAY(DATE(PlanYear,13,1),2)-1)/7)+1,MOD(29+WEEKDAY(DATE(PlanYear,13,1),2)-1,7)+1)=AB$5,", "&amp;30,"")&amp;IF(INDEX($A$73:$G$83,2*INT((30+WEEKDAY(DATE(PlanYear,13,1),2)-1)/7)+1,MOD(30+WEEKDAY(DATE(PlanYear,13,1),2)-1,7)+1)=AB$5,", "&amp;31,""),3,200))</f>
        <v/>
      </c>
      <c r="AC19" s="16">
        <f>IF(AC$5="","",MID(IF(INDEX($A$73:$G$83,2*INT((0+WEEKDAY(DATE(PlanYear,13,1),2)-1)/7)+1,MOD(0+WEEKDAY(DATE(PlanYear,13,1),2)-1,7)+1)=AC$5,", "&amp;1,"")&amp;IF(INDEX($A$73:$G$83,2*INT((1+WEEKDAY(DATE(PlanYear,13,1),2)-1)/7)+1,MOD(1+WEEKDAY(DATE(PlanYear,13,1),2)-1,7)+1)=AC$5,", "&amp;2,"")&amp;IF(INDEX($A$73:$G$83,2*INT((2+WEEKDAY(DATE(PlanYear,13,1),2)-1)/7)+1,MOD(2+WEEKDAY(DATE(PlanYear,13,1),2)-1,7)+1)=AC$5,", "&amp;3,"")&amp;IF(INDEX($A$73:$G$83,2*INT((3+WEEKDAY(DATE(PlanYear,13,1),2)-1)/7)+1,MOD(3+WEEKDAY(DATE(PlanYear,13,1),2)-1,7)+1)=AC$5,", "&amp;4,"")&amp;IF(INDEX($A$73:$G$83,2*INT((4+WEEKDAY(DATE(PlanYear,13,1),2)-1)/7)+1,MOD(4+WEEKDAY(DATE(PlanYear,13,1),2)-1,7)+1)=AC$5,", "&amp;5,"")&amp;IF(INDEX($A$73:$G$83,2*INT((5+WEEKDAY(DATE(PlanYear,13,1),2)-1)/7)+1,MOD(5+WEEKDAY(DATE(PlanYear,13,1),2)-1,7)+1)=AC$5,", "&amp;6,"")&amp;IF(INDEX($A$73:$G$83,2*INT((6+WEEKDAY(DATE(PlanYear,13,1),2)-1)/7)+1,MOD(6+WEEKDAY(DATE(PlanYear,13,1),2)-1,7)+1)=AC$5,", "&amp;7,"")&amp;IF(INDEX($A$73:$G$83,2*INT((7+WEEKDAY(DATE(PlanYear,13,1),2)-1)/7)+1,MOD(7+WEEKDAY(DATE(PlanYear,13,1),2)-1,7)+1)=AC$5,", "&amp;8,"")&amp;IF(INDEX($A$73:$G$83,2*INT((8+WEEKDAY(DATE(PlanYear,13,1),2)-1)/7)+1,MOD(8+WEEKDAY(DATE(PlanYear,13,1),2)-1,7)+1)=AC$5,", "&amp;9,"")&amp;IF(INDEX($A$73:$G$83,2*INT((9+WEEKDAY(DATE(PlanYear,13,1),2)-1)/7)+1,MOD(9+WEEKDAY(DATE(PlanYear,13,1),2)-1,7)+1)=AC$5,", "&amp;10,"")&amp;IF(INDEX($A$73:$G$83,2*INT((10+WEEKDAY(DATE(PlanYear,13,1),2)-1)/7)+1,MOD(10+WEEKDAY(DATE(PlanYear,13,1),2)-1,7)+1)=AC$5,", "&amp;11,"")&amp;IF(INDEX($A$73:$G$83,2*INT((11+WEEKDAY(DATE(PlanYear,13,1),2)-1)/7)+1,MOD(11+WEEKDAY(DATE(PlanYear,13,1),2)-1,7)+1)=AC$5,", "&amp;12,"")&amp;IF(INDEX($A$73:$G$83,2*INT((12+WEEKDAY(DATE(PlanYear,13,1),2)-1)/7)+1,MOD(12+WEEKDAY(DATE(PlanYear,13,1),2)-1,7)+1)=AC$5,", "&amp;13,"")&amp;IF(INDEX($A$73:$G$83,2*INT((13+WEEKDAY(DATE(PlanYear,13,1),2)-1)/7)+1,MOD(13+WEEKDAY(DATE(PlanYear,13,1),2)-1,7)+1)=AC$5,", "&amp;14,"")&amp;IF(INDEX($A$73:$G$83,2*INT((14+WEEKDAY(DATE(PlanYear,13,1),2)-1)/7)+1,MOD(14+WEEKDAY(DATE(PlanYear,13,1),2)-1,7)+1)=AC$5,", "&amp;15,"")&amp;IF(INDEX($A$73:$G$83,2*INT((15+WEEKDAY(DATE(PlanYear,13,1),2)-1)/7)+1,MOD(15+WEEKDAY(DATE(PlanYear,13,1),2)-1,7)+1)=AC$5,", "&amp;16,"")&amp;IF(INDEX($A$73:$G$83,2*INT((16+WEEKDAY(DATE(PlanYear,13,1),2)-1)/7)+1,MOD(16+WEEKDAY(DATE(PlanYear,13,1),2)-1,7)+1)=AC$5,", "&amp;17,"")&amp;IF(INDEX($A$73:$G$83,2*INT((17+WEEKDAY(DATE(PlanYear,13,1),2)-1)/7)+1,MOD(17+WEEKDAY(DATE(PlanYear,13,1),2)-1,7)+1)=AC$5,", "&amp;18,"")&amp;IF(INDEX($A$73:$G$83,2*INT((18+WEEKDAY(DATE(PlanYear,13,1),2)-1)/7)+1,MOD(18+WEEKDAY(DATE(PlanYear,13,1),2)-1,7)+1)=AC$5,", "&amp;19,"")&amp;IF(INDEX($A$73:$G$83,2*INT((19+WEEKDAY(DATE(PlanYear,13,1),2)-1)/7)+1,MOD(19+WEEKDAY(DATE(PlanYear,13,1),2)-1,7)+1)=AC$5,", "&amp;20,"")&amp;IF(INDEX($A$73:$G$83,2*INT((20+WEEKDAY(DATE(PlanYear,13,1),2)-1)/7)+1,MOD(20+WEEKDAY(DATE(PlanYear,13,1),2)-1,7)+1)=AC$5,", "&amp;21,"")&amp;IF(INDEX($A$73:$G$83,2*INT((21+WEEKDAY(DATE(PlanYear,13,1),2)-1)/7)+1,MOD(21+WEEKDAY(DATE(PlanYear,13,1),2)-1,7)+1)=AC$5,", "&amp;22,"")&amp;IF(INDEX($A$73:$G$83,2*INT((22+WEEKDAY(DATE(PlanYear,13,1),2)-1)/7)+1,MOD(22+WEEKDAY(DATE(PlanYear,13,1),2)-1,7)+1)=AC$5,", "&amp;23,"")&amp;IF(INDEX($A$73:$G$83,2*INT((23+WEEKDAY(DATE(PlanYear,13,1),2)-1)/7)+1,MOD(23+WEEKDAY(DATE(PlanYear,13,1),2)-1,7)+1)=AC$5,", "&amp;24,"")&amp;IF(INDEX($A$73:$G$83,2*INT((24+WEEKDAY(DATE(PlanYear,13,1),2)-1)/7)+1,MOD(24+WEEKDAY(DATE(PlanYear,13,1),2)-1,7)+1)=AC$5,", "&amp;25,"")&amp;IF(INDEX($A$73:$G$83,2*INT((25+WEEKDAY(DATE(PlanYear,13,1),2)-1)/7)+1,MOD(25+WEEKDAY(DATE(PlanYear,13,1),2)-1,7)+1)=AC$5,", "&amp;26,"")&amp;IF(INDEX($A$73:$G$83,2*INT((26+WEEKDAY(DATE(PlanYear,13,1),2)-1)/7)+1,MOD(26+WEEKDAY(DATE(PlanYear,13,1),2)-1,7)+1)=AC$5,", "&amp;27,"")&amp;IF(INDEX($A$73:$G$83,2*INT((27+WEEKDAY(DATE(PlanYear,13,1),2)-1)/7)+1,MOD(27+WEEKDAY(DATE(PlanYear,13,1),2)-1,7)+1)=AC$5,", "&amp;28,"")&amp;IF(INDEX($A$73:$G$83,2*INT((28+WEEKDAY(DATE(PlanYear,13,1),2)-1)/7)+1,MOD(28+WEEKDAY(DATE(PlanYear,13,1),2)-1,7)+1)=AC$5,", "&amp;29,"")&amp;IF(INDEX($A$73:$G$83,2*INT((29+WEEKDAY(DATE(PlanYear,13,1),2)-1)/7)+1,MOD(29+WEEKDAY(DATE(PlanYear,13,1),2)-1,7)+1)=AC$5,", "&amp;30,"")&amp;IF(INDEX($A$73:$G$83,2*INT((30+WEEKDAY(DATE(PlanYear,13,1),2)-1)/7)+1,MOD(30+WEEKDAY(DATE(PlanYear,13,1),2)-1,7)+1)=AC$5,", "&amp;31,""),3,200))</f>
        <v/>
      </c>
      <c r="AD19" s="16">
        <f>IF(AD$5="","",MID(IF(INDEX($A$73:$G$83,2*INT((0+WEEKDAY(DATE(PlanYear,13,1),2)-1)/7)+1,MOD(0+WEEKDAY(DATE(PlanYear,13,1),2)-1,7)+1)=AD$5,", "&amp;1,"")&amp;IF(INDEX($A$73:$G$83,2*INT((1+WEEKDAY(DATE(PlanYear,13,1),2)-1)/7)+1,MOD(1+WEEKDAY(DATE(PlanYear,13,1),2)-1,7)+1)=AD$5,", "&amp;2,"")&amp;IF(INDEX($A$73:$G$83,2*INT((2+WEEKDAY(DATE(PlanYear,13,1),2)-1)/7)+1,MOD(2+WEEKDAY(DATE(PlanYear,13,1),2)-1,7)+1)=AD$5,", "&amp;3,"")&amp;IF(INDEX($A$73:$G$83,2*INT((3+WEEKDAY(DATE(PlanYear,13,1),2)-1)/7)+1,MOD(3+WEEKDAY(DATE(PlanYear,13,1),2)-1,7)+1)=AD$5,", "&amp;4,"")&amp;IF(INDEX($A$73:$G$83,2*INT((4+WEEKDAY(DATE(PlanYear,13,1),2)-1)/7)+1,MOD(4+WEEKDAY(DATE(PlanYear,13,1),2)-1,7)+1)=AD$5,", "&amp;5,"")&amp;IF(INDEX($A$73:$G$83,2*INT((5+WEEKDAY(DATE(PlanYear,13,1),2)-1)/7)+1,MOD(5+WEEKDAY(DATE(PlanYear,13,1),2)-1,7)+1)=AD$5,", "&amp;6,"")&amp;IF(INDEX($A$73:$G$83,2*INT((6+WEEKDAY(DATE(PlanYear,13,1),2)-1)/7)+1,MOD(6+WEEKDAY(DATE(PlanYear,13,1),2)-1,7)+1)=AD$5,", "&amp;7,"")&amp;IF(INDEX($A$73:$G$83,2*INT((7+WEEKDAY(DATE(PlanYear,13,1),2)-1)/7)+1,MOD(7+WEEKDAY(DATE(PlanYear,13,1),2)-1,7)+1)=AD$5,", "&amp;8,"")&amp;IF(INDEX($A$73:$G$83,2*INT((8+WEEKDAY(DATE(PlanYear,13,1),2)-1)/7)+1,MOD(8+WEEKDAY(DATE(PlanYear,13,1),2)-1,7)+1)=AD$5,", "&amp;9,"")&amp;IF(INDEX($A$73:$G$83,2*INT((9+WEEKDAY(DATE(PlanYear,13,1),2)-1)/7)+1,MOD(9+WEEKDAY(DATE(PlanYear,13,1),2)-1,7)+1)=AD$5,", "&amp;10,"")&amp;IF(INDEX($A$73:$G$83,2*INT((10+WEEKDAY(DATE(PlanYear,13,1),2)-1)/7)+1,MOD(10+WEEKDAY(DATE(PlanYear,13,1),2)-1,7)+1)=AD$5,", "&amp;11,"")&amp;IF(INDEX($A$73:$G$83,2*INT((11+WEEKDAY(DATE(PlanYear,13,1),2)-1)/7)+1,MOD(11+WEEKDAY(DATE(PlanYear,13,1),2)-1,7)+1)=AD$5,", "&amp;12,"")&amp;IF(INDEX($A$73:$G$83,2*INT((12+WEEKDAY(DATE(PlanYear,13,1),2)-1)/7)+1,MOD(12+WEEKDAY(DATE(PlanYear,13,1),2)-1,7)+1)=AD$5,", "&amp;13,"")&amp;IF(INDEX($A$73:$G$83,2*INT((13+WEEKDAY(DATE(PlanYear,13,1),2)-1)/7)+1,MOD(13+WEEKDAY(DATE(PlanYear,13,1),2)-1,7)+1)=AD$5,", "&amp;14,"")&amp;IF(INDEX($A$73:$G$83,2*INT((14+WEEKDAY(DATE(PlanYear,13,1),2)-1)/7)+1,MOD(14+WEEKDAY(DATE(PlanYear,13,1),2)-1,7)+1)=AD$5,", "&amp;15,"")&amp;IF(INDEX($A$73:$G$83,2*INT((15+WEEKDAY(DATE(PlanYear,13,1),2)-1)/7)+1,MOD(15+WEEKDAY(DATE(PlanYear,13,1),2)-1,7)+1)=AD$5,", "&amp;16,"")&amp;IF(INDEX($A$73:$G$83,2*INT((16+WEEKDAY(DATE(PlanYear,13,1),2)-1)/7)+1,MOD(16+WEEKDAY(DATE(PlanYear,13,1),2)-1,7)+1)=AD$5,", "&amp;17,"")&amp;IF(INDEX($A$73:$G$83,2*INT((17+WEEKDAY(DATE(PlanYear,13,1),2)-1)/7)+1,MOD(17+WEEKDAY(DATE(PlanYear,13,1),2)-1,7)+1)=AD$5,", "&amp;18,"")&amp;IF(INDEX($A$73:$G$83,2*INT((18+WEEKDAY(DATE(PlanYear,13,1),2)-1)/7)+1,MOD(18+WEEKDAY(DATE(PlanYear,13,1),2)-1,7)+1)=AD$5,", "&amp;19,"")&amp;IF(INDEX($A$73:$G$83,2*INT((19+WEEKDAY(DATE(PlanYear,13,1),2)-1)/7)+1,MOD(19+WEEKDAY(DATE(PlanYear,13,1),2)-1,7)+1)=AD$5,", "&amp;20,"")&amp;IF(INDEX($A$73:$G$83,2*INT((20+WEEKDAY(DATE(PlanYear,13,1),2)-1)/7)+1,MOD(20+WEEKDAY(DATE(PlanYear,13,1),2)-1,7)+1)=AD$5,", "&amp;21,"")&amp;IF(INDEX($A$73:$G$83,2*INT((21+WEEKDAY(DATE(PlanYear,13,1),2)-1)/7)+1,MOD(21+WEEKDAY(DATE(PlanYear,13,1),2)-1,7)+1)=AD$5,", "&amp;22,"")&amp;IF(INDEX($A$73:$G$83,2*INT((22+WEEKDAY(DATE(PlanYear,13,1),2)-1)/7)+1,MOD(22+WEEKDAY(DATE(PlanYear,13,1),2)-1,7)+1)=AD$5,", "&amp;23,"")&amp;IF(INDEX($A$73:$G$83,2*INT((23+WEEKDAY(DATE(PlanYear,13,1),2)-1)/7)+1,MOD(23+WEEKDAY(DATE(PlanYear,13,1),2)-1,7)+1)=AD$5,", "&amp;24,"")&amp;IF(INDEX($A$73:$G$83,2*INT((24+WEEKDAY(DATE(PlanYear,13,1),2)-1)/7)+1,MOD(24+WEEKDAY(DATE(PlanYear,13,1),2)-1,7)+1)=AD$5,", "&amp;25,"")&amp;IF(INDEX($A$73:$G$83,2*INT((25+WEEKDAY(DATE(PlanYear,13,1),2)-1)/7)+1,MOD(25+WEEKDAY(DATE(PlanYear,13,1),2)-1,7)+1)=AD$5,", "&amp;26,"")&amp;IF(INDEX($A$73:$G$83,2*INT((26+WEEKDAY(DATE(PlanYear,13,1),2)-1)/7)+1,MOD(26+WEEKDAY(DATE(PlanYear,13,1),2)-1,7)+1)=AD$5,", "&amp;27,"")&amp;IF(INDEX($A$73:$G$83,2*INT((27+WEEKDAY(DATE(PlanYear,13,1),2)-1)/7)+1,MOD(27+WEEKDAY(DATE(PlanYear,13,1),2)-1,7)+1)=AD$5,", "&amp;28,"")&amp;IF(INDEX($A$73:$G$83,2*INT((28+WEEKDAY(DATE(PlanYear,13,1),2)-1)/7)+1,MOD(28+WEEKDAY(DATE(PlanYear,13,1),2)-1,7)+1)=AD$5,", "&amp;29,"")&amp;IF(INDEX($A$73:$G$83,2*INT((29+WEEKDAY(DATE(PlanYear,13,1),2)-1)/7)+1,MOD(29+WEEKDAY(DATE(PlanYear,13,1),2)-1,7)+1)=AD$5,", "&amp;30,"")&amp;IF(INDEX($A$73:$G$83,2*INT((30+WEEKDAY(DATE(PlanYear,13,1),2)-1)/7)+1,MOD(30+WEEKDAY(DATE(PlanYear,13,1),2)-1,7)+1)=AD$5,", "&amp;31,""),3,200))</f>
        <v/>
      </c>
      <c r="AE19" s="16">
        <f>IF(AE$5="","",MID(IF(INDEX($A$73:$G$83,2*INT((0+WEEKDAY(DATE(PlanYear,13,1),2)-1)/7)+1,MOD(0+WEEKDAY(DATE(PlanYear,13,1),2)-1,7)+1)=AE$5,", "&amp;1,"")&amp;IF(INDEX($A$73:$G$83,2*INT((1+WEEKDAY(DATE(PlanYear,13,1),2)-1)/7)+1,MOD(1+WEEKDAY(DATE(PlanYear,13,1),2)-1,7)+1)=AE$5,", "&amp;2,"")&amp;IF(INDEX($A$73:$G$83,2*INT((2+WEEKDAY(DATE(PlanYear,13,1),2)-1)/7)+1,MOD(2+WEEKDAY(DATE(PlanYear,13,1),2)-1,7)+1)=AE$5,", "&amp;3,"")&amp;IF(INDEX($A$73:$G$83,2*INT((3+WEEKDAY(DATE(PlanYear,13,1),2)-1)/7)+1,MOD(3+WEEKDAY(DATE(PlanYear,13,1),2)-1,7)+1)=AE$5,", "&amp;4,"")&amp;IF(INDEX($A$73:$G$83,2*INT((4+WEEKDAY(DATE(PlanYear,13,1),2)-1)/7)+1,MOD(4+WEEKDAY(DATE(PlanYear,13,1),2)-1,7)+1)=AE$5,", "&amp;5,"")&amp;IF(INDEX($A$73:$G$83,2*INT((5+WEEKDAY(DATE(PlanYear,13,1),2)-1)/7)+1,MOD(5+WEEKDAY(DATE(PlanYear,13,1),2)-1,7)+1)=AE$5,", "&amp;6,"")&amp;IF(INDEX($A$73:$G$83,2*INT((6+WEEKDAY(DATE(PlanYear,13,1),2)-1)/7)+1,MOD(6+WEEKDAY(DATE(PlanYear,13,1),2)-1,7)+1)=AE$5,", "&amp;7,"")&amp;IF(INDEX($A$73:$G$83,2*INT((7+WEEKDAY(DATE(PlanYear,13,1),2)-1)/7)+1,MOD(7+WEEKDAY(DATE(PlanYear,13,1),2)-1,7)+1)=AE$5,", "&amp;8,"")&amp;IF(INDEX($A$73:$G$83,2*INT((8+WEEKDAY(DATE(PlanYear,13,1),2)-1)/7)+1,MOD(8+WEEKDAY(DATE(PlanYear,13,1),2)-1,7)+1)=AE$5,", "&amp;9,"")&amp;IF(INDEX($A$73:$G$83,2*INT((9+WEEKDAY(DATE(PlanYear,13,1),2)-1)/7)+1,MOD(9+WEEKDAY(DATE(PlanYear,13,1),2)-1,7)+1)=AE$5,", "&amp;10,"")&amp;IF(INDEX($A$73:$G$83,2*INT((10+WEEKDAY(DATE(PlanYear,13,1),2)-1)/7)+1,MOD(10+WEEKDAY(DATE(PlanYear,13,1),2)-1,7)+1)=AE$5,", "&amp;11,"")&amp;IF(INDEX($A$73:$G$83,2*INT((11+WEEKDAY(DATE(PlanYear,13,1),2)-1)/7)+1,MOD(11+WEEKDAY(DATE(PlanYear,13,1),2)-1,7)+1)=AE$5,", "&amp;12,"")&amp;IF(INDEX($A$73:$G$83,2*INT((12+WEEKDAY(DATE(PlanYear,13,1),2)-1)/7)+1,MOD(12+WEEKDAY(DATE(PlanYear,13,1),2)-1,7)+1)=AE$5,", "&amp;13,"")&amp;IF(INDEX($A$73:$G$83,2*INT((13+WEEKDAY(DATE(PlanYear,13,1),2)-1)/7)+1,MOD(13+WEEKDAY(DATE(PlanYear,13,1),2)-1,7)+1)=AE$5,", "&amp;14,"")&amp;IF(INDEX($A$73:$G$83,2*INT((14+WEEKDAY(DATE(PlanYear,13,1),2)-1)/7)+1,MOD(14+WEEKDAY(DATE(PlanYear,13,1),2)-1,7)+1)=AE$5,", "&amp;15,"")&amp;IF(INDEX($A$73:$G$83,2*INT((15+WEEKDAY(DATE(PlanYear,13,1),2)-1)/7)+1,MOD(15+WEEKDAY(DATE(PlanYear,13,1),2)-1,7)+1)=AE$5,", "&amp;16,"")&amp;IF(INDEX($A$73:$G$83,2*INT((16+WEEKDAY(DATE(PlanYear,13,1),2)-1)/7)+1,MOD(16+WEEKDAY(DATE(PlanYear,13,1),2)-1,7)+1)=AE$5,", "&amp;17,"")&amp;IF(INDEX($A$73:$G$83,2*INT((17+WEEKDAY(DATE(PlanYear,13,1),2)-1)/7)+1,MOD(17+WEEKDAY(DATE(PlanYear,13,1),2)-1,7)+1)=AE$5,", "&amp;18,"")&amp;IF(INDEX($A$73:$G$83,2*INT((18+WEEKDAY(DATE(PlanYear,13,1),2)-1)/7)+1,MOD(18+WEEKDAY(DATE(PlanYear,13,1),2)-1,7)+1)=AE$5,", "&amp;19,"")&amp;IF(INDEX($A$73:$G$83,2*INT((19+WEEKDAY(DATE(PlanYear,13,1),2)-1)/7)+1,MOD(19+WEEKDAY(DATE(PlanYear,13,1),2)-1,7)+1)=AE$5,", "&amp;20,"")&amp;IF(INDEX($A$73:$G$83,2*INT((20+WEEKDAY(DATE(PlanYear,13,1),2)-1)/7)+1,MOD(20+WEEKDAY(DATE(PlanYear,13,1),2)-1,7)+1)=AE$5,", "&amp;21,"")&amp;IF(INDEX($A$73:$G$83,2*INT((21+WEEKDAY(DATE(PlanYear,13,1),2)-1)/7)+1,MOD(21+WEEKDAY(DATE(PlanYear,13,1),2)-1,7)+1)=AE$5,", "&amp;22,"")&amp;IF(INDEX($A$73:$G$83,2*INT((22+WEEKDAY(DATE(PlanYear,13,1),2)-1)/7)+1,MOD(22+WEEKDAY(DATE(PlanYear,13,1),2)-1,7)+1)=AE$5,", "&amp;23,"")&amp;IF(INDEX($A$73:$G$83,2*INT((23+WEEKDAY(DATE(PlanYear,13,1),2)-1)/7)+1,MOD(23+WEEKDAY(DATE(PlanYear,13,1),2)-1,7)+1)=AE$5,", "&amp;24,"")&amp;IF(INDEX($A$73:$G$83,2*INT((24+WEEKDAY(DATE(PlanYear,13,1),2)-1)/7)+1,MOD(24+WEEKDAY(DATE(PlanYear,13,1),2)-1,7)+1)=AE$5,", "&amp;25,"")&amp;IF(INDEX($A$73:$G$83,2*INT((25+WEEKDAY(DATE(PlanYear,13,1),2)-1)/7)+1,MOD(25+WEEKDAY(DATE(PlanYear,13,1),2)-1,7)+1)=AE$5,", "&amp;26,"")&amp;IF(INDEX($A$73:$G$83,2*INT((26+WEEKDAY(DATE(PlanYear,13,1),2)-1)/7)+1,MOD(26+WEEKDAY(DATE(PlanYear,13,1),2)-1,7)+1)=AE$5,", "&amp;27,"")&amp;IF(INDEX($A$73:$G$83,2*INT((27+WEEKDAY(DATE(PlanYear,13,1),2)-1)/7)+1,MOD(27+WEEKDAY(DATE(PlanYear,13,1),2)-1,7)+1)=AE$5,", "&amp;28,"")&amp;IF(INDEX($A$73:$G$83,2*INT((28+WEEKDAY(DATE(PlanYear,13,1),2)-1)/7)+1,MOD(28+WEEKDAY(DATE(PlanYear,13,1),2)-1,7)+1)=AE$5,", "&amp;29,"")&amp;IF(INDEX($A$73:$G$83,2*INT((29+WEEKDAY(DATE(PlanYear,13,1),2)-1)/7)+1,MOD(29+WEEKDAY(DATE(PlanYear,13,1),2)-1,7)+1)=AE$5,", "&amp;30,"")&amp;IF(INDEX($A$73:$G$83,2*INT((30+WEEKDAY(DATE(PlanYear,13,1),2)-1)/7)+1,MOD(30+WEEKDAY(DATE(PlanYear,13,1),2)-1,7)+1)=AE$5,", "&amp;31,""),3,200))</f>
        <v/>
      </c>
      <c r="AF19" s="16">
        <f>IF(AF$5="","",MID(IF(INDEX($A$73:$G$83,2*INT((0+WEEKDAY(DATE(PlanYear,13,1),2)-1)/7)+1,MOD(0+WEEKDAY(DATE(PlanYear,13,1),2)-1,7)+1)=AF$5,", "&amp;1,"")&amp;IF(INDEX($A$73:$G$83,2*INT((1+WEEKDAY(DATE(PlanYear,13,1),2)-1)/7)+1,MOD(1+WEEKDAY(DATE(PlanYear,13,1),2)-1,7)+1)=AF$5,", "&amp;2,"")&amp;IF(INDEX($A$73:$G$83,2*INT((2+WEEKDAY(DATE(PlanYear,13,1),2)-1)/7)+1,MOD(2+WEEKDAY(DATE(PlanYear,13,1),2)-1,7)+1)=AF$5,", "&amp;3,"")&amp;IF(INDEX($A$73:$G$83,2*INT((3+WEEKDAY(DATE(PlanYear,13,1),2)-1)/7)+1,MOD(3+WEEKDAY(DATE(PlanYear,13,1),2)-1,7)+1)=AF$5,", "&amp;4,"")&amp;IF(INDEX($A$73:$G$83,2*INT((4+WEEKDAY(DATE(PlanYear,13,1),2)-1)/7)+1,MOD(4+WEEKDAY(DATE(PlanYear,13,1),2)-1,7)+1)=AF$5,", "&amp;5,"")&amp;IF(INDEX($A$73:$G$83,2*INT((5+WEEKDAY(DATE(PlanYear,13,1),2)-1)/7)+1,MOD(5+WEEKDAY(DATE(PlanYear,13,1),2)-1,7)+1)=AF$5,", "&amp;6,"")&amp;IF(INDEX($A$73:$G$83,2*INT((6+WEEKDAY(DATE(PlanYear,13,1),2)-1)/7)+1,MOD(6+WEEKDAY(DATE(PlanYear,13,1),2)-1,7)+1)=AF$5,", "&amp;7,"")&amp;IF(INDEX($A$73:$G$83,2*INT((7+WEEKDAY(DATE(PlanYear,13,1),2)-1)/7)+1,MOD(7+WEEKDAY(DATE(PlanYear,13,1),2)-1,7)+1)=AF$5,", "&amp;8,"")&amp;IF(INDEX($A$73:$G$83,2*INT((8+WEEKDAY(DATE(PlanYear,13,1),2)-1)/7)+1,MOD(8+WEEKDAY(DATE(PlanYear,13,1),2)-1,7)+1)=AF$5,", "&amp;9,"")&amp;IF(INDEX($A$73:$G$83,2*INT((9+WEEKDAY(DATE(PlanYear,13,1),2)-1)/7)+1,MOD(9+WEEKDAY(DATE(PlanYear,13,1),2)-1,7)+1)=AF$5,", "&amp;10,"")&amp;IF(INDEX($A$73:$G$83,2*INT((10+WEEKDAY(DATE(PlanYear,13,1),2)-1)/7)+1,MOD(10+WEEKDAY(DATE(PlanYear,13,1),2)-1,7)+1)=AF$5,", "&amp;11,"")&amp;IF(INDEX($A$73:$G$83,2*INT((11+WEEKDAY(DATE(PlanYear,13,1),2)-1)/7)+1,MOD(11+WEEKDAY(DATE(PlanYear,13,1),2)-1,7)+1)=AF$5,", "&amp;12,"")&amp;IF(INDEX($A$73:$G$83,2*INT((12+WEEKDAY(DATE(PlanYear,13,1),2)-1)/7)+1,MOD(12+WEEKDAY(DATE(PlanYear,13,1),2)-1,7)+1)=AF$5,", "&amp;13,"")&amp;IF(INDEX($A$73:$G$83,2*INT((13+WEEKDAY(DATE(PlanYear,13,1),2)-1)/7)+1,MOD(13+WEEKDAY(DATE(PlanYear,13,1),2)-1,7)+1)=AF$5,", "&amp;14,"")&amp;IF(INDEX($A$73:$G$83,2*INT((14+WEEKDAY(DATE(PlanYear,13,1),2)-1)/7)+1,MOD(14+WEEKDAY(DATE(PlanYear,13,1),2)-1,7)+1)=AF$5,", "&amp;15,"")&amp;IF(INDEX($A$73:$G$83,2*INT((15+WEEKDAY(DATE(PlanYear,13,1),2)-1)/7)+1,MOD(15+WEEKDAY(DATE(PlanYear,13,1),2)-1,7)+1)=AF$5,", "&amp;16,"")&amp;IF(INDEX($A$73:$G$83,2*INT((16+WEEKDAY(DATE(PlanYear,13,1),2)-1)/7)+1,MOD(16+WEEKDAY(DATE(PlanYear,13,1),2)-1,7)+1)=AF$5,", "&amp;17,"")&amp;IF(INDEX($A$73:$G$83,2*INT((17+WEEKDAY(DATE(PlanYear,13,1),2)-1)/7)+1,MOD(17+WEEKDAY(DATE(PlanYear,13,1),2)-1,7)+1)=AF$5,", "&amp;18,"")&amp;IF(INDEX($A$73:$G$83,2*INT((18+WEEKDAY(DATE(PlanYear,13,1),2)-1)/7)+1,MOD(18+WEEKDAY(DATE(PlanYear,13,1),2)-1,7)+1)=AF$5,", "&amp;19,"")&amp;IF(INDEX($A$73:$G$83,2*INT((19+WEEKDAY(DATE(PlanYear,13,1),2)-1)/7)+1,MOD(19+WEEKDAY(DATE(PlanYear,13,1),2)-1,7)+1)=AF$5,", "&amp;20,"")&amp;IF(INDEX($A$73:$G$83,2*INT((20+WEEKDAY(DATE(PlanYear,13,1),2)-1)/7)+1,MOD(20+WEEKDAY(DATE(PlanYear,13,1),2)-1,7)+1)=AF$5,", "&amp;21,"")&amp;IF(INDEX($A$73:$G$83,2*INT((21+WEEKDAY(DATE(PlanYear,13,1),2)-1)/7)+1,MOD(21+WEEKDAY(DATE(PlanYear,13,1),2)-1,7)+1)=AF$5,", "&amp;22,"")&amp;IF(INDEX($A$73:$G$83,2*INT((22+WEEKDAY(DATE(PlanYear,13,1),2)-1)/7)+1,MOD(22+WEEKDAY(DATE(PlanYear,13,1),2)-1,7)+1)=AF$5,", "&amp;23,"")&amp;IF(INDEX($A$73:$G$83,2*INT((23+WEEKDAY(DATE(PlanYear,13,1),2)-1)/7)+1,MOD(23+WEEKDAY(DATE(PlanYear,13,1),2)-1,7)+1)=AF$5,", "&amp;24,"")&amp;IF(INDEX($A$73:$G$83,2*INT((24+WEEKDAY(DATE(PlanYear,13,1),2)-1)/7)+1,MOD(24+WEEKDAY(DATE(PlanYear,13,1),2)-1,7)+1)=AF$5,", "&amp;25,"")&amp;IF(INDEX($A$73:$G$83,2*INT((25+WEEKDAY(DATE(PlanYear,13,1),2)-1)/7)+1,MOD(25+WEEKDAY(DATE(PlanYear,13,1),2)-1,7)+1)=AF$5,", "&amp;26,"")&amp;IF(INDEX($A$73:$G$83,2*INT((26+WEEKDAY(DATE(PlanYear,13,1),2)-1)/7)+1,MOD(26+WEEKDAY(DATE(PlanYear,13,1),2)-1,7)+1)=AF$5,", "&amp;27,"")&amp;IF(INDEX($A$73:$G$83,2*INT((27+WEEKDAY(DATE(PlanYear,13,1),2)-1)/7)+1,MOD(27+WEEKDAY(DATE(PlanYear,13,1),2)-1,7)+1)=AF$5,", "&amp;28,"")&amp;IF(INDEX($A$73:$G$83,2*INT((28+WEEKDAY(DATE(PlanYear,13,1),2)-1)/7)+1,MOD(28+WEEKDAY(DATE(PlanYear,13,1),2)-1,7)+1)=AF$5,", "&amp;29,"")&amp;IF(INDEX($A$73:$G$83,2*INT((29+WEEKDAY(DATE(PlanYear,13,1),2)-1)/7)+1,MOD(29+WEEKDAY(DATE(PlanYear,13,1),2)-1,7)+1)=AF$5,", "&amp;30,"")&amp;IF(INDEX($A$73:$G$83,2*INT((30+WEEKDAY(DATE(PlanYear,13,1),2)-1)/7)+1,MOD(30+WEEKDAY(DATE(PlanYear,13,1),2)-1,7)+1)=AF$5,", "&amp;31,""),3,200))</f>
        <v/>
      </c>
      <c r="AG19" s="16">
        <f>IF(AG$5="","",MID(IF(INDEX($A$73:$G$83,2*INT((0+WEEKDAY(DATE(PlanYear,13,1),2)-1)/7)+1,MOD(0+WEEKDAY(DATE(PlanYear,13,1),2)-1,7)+1)=AG$5,", "&amp;1,"")&amp;IF(INDEX($A$73:$G$83,2*INT((1+WEEKDAY(DATE(PlanYear,13,1),2)-1)/7)+1,MOD(1+WEEKDAY(DATE(PlanYear,13,1),2)-1,7)+1)=AG$5,", "&amp;2,"")&amp;IF(INDEX($A$73:$G$83,2*INT((2+WEEKDAY(DATE(PlanYear,13,1),2)-1)/7)+1,MOD(2+WEEKDAY(DATE(PlanYear,13,1),2)-1,7)+1)=AG$5,", "&amp;3,"")&amp;IF(INDEX($A$73:$G$83,2*INT((3+WEEKDAY(DATE(PlanYear,13,1),2)-1)/7)+1,MOD(3+WEEKDAY(DATE(PlanYear,13,1),2)-1,7)+1)=AG$5,", "&amp;4,"")&amp;IF(INDEX($A$73:$G$83,2*INT((4+WEEKDAY(DATE(PlanYear,13,1),2)-1)/7)+1,MOD(4+WEEKDAY(DATE(PlanYear,13,1),2)-1,7)+1)=AG$5,", "&amp;5,"")&amp;IF(INDEX($A$73:$G$83,2*INT((5+WEEKDAY(DATE(PlanYear,13,1),2)-1)/7)+1,MOD(5+WEEKDAY(DATE(PlanYear,13,1),2)-1,7)+1)=AG$5,", "&amp;6,"")&amp;IF(INDEX($A$73:$G$83,2*INT((6+WEEKDAY(DATE(PlanYear,13,1),2)-1)/7)+1,MOD(6+WEEKDAY(DATE(PlanYear,13,1),2)-1,7)+1)=AG$5,", "&amp;7,"")&amp;IF(INDEX($A$73:$G$83,2*INT((7+WEEKDAY(DATE(PlanYear,13,1),2)-1)/7)+1,MOD(7+WEEKDAY(DATE(PlanYear,13,1),2)-1,7)+1)=AG$5,", "&amp;8,"")&amp;IF(INDEX($A$73:$G$83,2*INT((8+WEEKDAY(DATE(PlanYear,13,1),2)-1)/7)+1,MOD(8+WEEKDAY(DATE(PlanYear,13,1),2)-1,7)+1)=AG$5,", "&amp;9,"")&amp;IF(INDEX($A$73:$G$83,2*INT((9+WEEKDAY(DATE(PlanYear,13,1),2)-1)/7)+1,MOD(9+WEEKDAY(DATE(PlanYear,13,1),2)-1,7)+1)=AG$5,", "&amp;10,"")&amp;IF(INDEX($A$73:$G$83,2*INT((10+WEEKDAY(DATE(PlanYear,13,1),2)-1)/7)+1,MOD(10+WEEKDAY(DATE(PlanYear,13,1),2)-1,7)+1)=AG$5,", "&amp;11,"")&amp;IF(INDEX($A$73:$G$83,2*INT((11+WEEKDAY(DATE(PlanYear,13,1),2)-1)/7)+1,MOD(11+WEEKDAY(DATE(PlanYear,13,1),2)-1,7)+1)=AG$5,", "&amp;12,"")&amp;IF(INDEX($A$73:$G$83,2*INT((12+WEEKDAY(DATE(PlanYear,13,1),2)-1)/7)+1,MOD(12+WEEKDAY(DATE(PlanYear,13,1),2)-1,7)+1)=AG$5,", "&amp;13,"")&amp;IF(INDEX($A$73:$G$83,2*INT((13+WEEKDAY(DATE(PlanYear,13,1),2)-1)/7)+1,MOD(13+WEEKDAY(DATE(PlanYear,13,1),2)-1,7)+1)=AG$5,", "&amp;14,"")&amp;IF(INDEX($A$73:$G$83,2*INT((14+WEEKDAY(DATE(PlanYear,13,1),2)-1)/7)+1,MOD(14+WEEKDAY(DATE(PlanYear,13,1),2)-1,7)+1)=AG$5,", "&amp;15,"")&amp;IF(INDEX($A$73:$G$83,2*INT((15+WEEKDAY(DATE(PlanYear,13,1),2)-1)/7)+1,MOD(15+WEEKDAY(DATE(PlanYear,13,1),2)-1,7)+1)=AG$5,", "&amp;16,"")&amp;IF(INDEX($A$73:$G$83,2*INT((16+WEEKDAY(DATE(PlanYear,13,1),2)-1)/7)+1,MOD(16+WEEKDAY(DATE(PlanYear,13,1),2)-1,7)+1)=AG$5,", "&amp;17,"")&amp;IF(INDEX($A$73:$G$83,2*INT((17+WEEKDAY(DATE(PlanYear,13,1),2)-1)/7)+1,MOD(17+WEEKDAY(DATE(PlanYear,13,1),2)-1,7)+1)=AG$5,", "&amp;18,"")&amp;IF(INDEX($A$73:$G$83,2*INT((18+WEEKDAY(DATE(PlanYear,13,1),2)-1)/7)+1,MOD(18+WEEKDAY(DATE(PlanYear,13,1),2)-1,7)+1)=AG$5,", "&amp;19,"")&amp;IF(INDEX($A$73:$G$83,2*INT((19+WEEKDAY(DATE(PlanYear,13,1),2)-1)/7)+1,MOD(19+WEEKDAY(DATE(PlanYear,13,1),2)-1,7)+1)=AG$5,", "&amp;20,"")&amp;IF(INDEX($A$73:$G$83,2*INT((20+WEEKDAY(DATE(PlanYear,13,1),2)-1)/7)+1,MOD(20+WEEKDAY(DATE(PlanYear,13,1),2)-1,7)+1)=AG$5,", "&amp;21,"")&amp;IF(INDEX($A$73:$G$83,2*INT((21+WEEKDAY(DATE(PlanYear,13,1),2)-1)/7)+1,MOD(21+WEEKDAY(DATE(PlanYear,13,1),2)-1,7)+1)=AG$5,", "&amp;22,"")&amp;IF(INDEX($A$73:$G$83,2*INT((22+WEEKDAY(DATE(PlanYear,13,1),2)-1)/7)+1,MOD(22+WEEKDAY(DATE(PlanYear,13,1),2)-1,7)+1)=AG$5,", "&amp;23,"")&amp;IF(INDEX($A$73:$G$83,2*INT((23+WEEKDAY(DATE(PlanYear,13,1),2)-1)/7)+1,MOD(23+WEEKDAY(DATE(PlanYear,13,1),2)-1,7)+1)=AG$5,", "&amp;24,"")&amp;IF(INDEX($A$73:$G$83,2*INT((24+WEEKDAY(DATE(PlanYear,13,1),2)-1)/7)+1,MOD(24+WEEKDAY(DATE(PlanYear,13,1),2)-1,7)+1)=AG$5,", "&amp;25,"")&amp;IF(INDEX($A$73:$G$83,2*INT((25+WEEKDAY(DATE(PlanYear,13,1),2)-1)/7)+1,MOD(25+WEEKDAY(DATE(PlanYear,13,1),2)-1,7)+1)=AG$5,", "&amp;26,"")&amp;IF(INDEX($A$73:$G$83,2*INT((26+WEEKDAY(DATE(PlanYear,13,1),2)-1)/7)+1,MOD(26+WEEKDAY(DATE(PlanYear,13,1),2)-1,7)+1)=AG$5,", "&amp;27,"")&amp;IF(INDEX($A$73:$G$83,2*INT((27+WEEKDAY(DATE(PlanYear,13,1),2)-1)/7)+1,MOD(27+WEEKDAY(DATE(PlanYear,13,1),2)-1,7)+1)=AG$5,", "&amp;28,"")&amp;IF(INDEX($A$73:$G$83,2*INT((28+WEEKDAY(DATE(PlanYear,13,1),2)-1)/7)+1,MOD(28+WEEKDAY(DATE(PlanYear,13,1),2)-1,7)+1)=AG$5,", "&amp;29,"")&amp;IF(INDEX($A$73:$G$83,2*INT((29+WEEKDAY(DATE(PlanYear,13,1),2)-1)/7)+1,MOD(29+WEEKDAY(DATE(PlanYear,13,1),2)-1,7)+1)=AG$5,", "&amp;30,"")&amp;IF(INDEX($A$73:$G$83,2*INT((30+WEEKDAY(DATE(PlanYear,13,1),2)-1)/7)+1,MOD(30+WEEKDAY(DATE(PlanYear,13,1),2)-1,7)+1)=AG$5,", "&amp;31,""),3,200))</f>
        <v/>
      </c>
      <c r="AH19" s="16">
        <f>IF(AH$5="","",MID(IF(INDEX($A$73:$G$83,2*INT((0+WEEKDAY(DATE(PlanYear,13,1),2)-1)/7)+1,MOD(0+WEEKDAY(DATE(PlanYear,13,1),2)-1,7)+1)=AH$5,", "&amp;1,"")&amp;IF(INDEX($A$73:$G$83,2*INT((1+WEEKDAY(DATE(PlanYear,13,1),2)-1)/7)+1,MOD(1+WEEKDAY(DATE(PlanYear,13,1),2)-1,7)+1)=AH$5,", "&amp;2,"")&amp;IF(INDEX($A$73:$G$83,2*INT((2+WEEKDAY(DATE(PlanYear,13,1),2)-1)/7)+1,MOD(2+WEEKDAY(DATE(PlanYear,13,1),2)-1,7)+1)=AH$5,", "&amp;3,"")&amp;IF(INDEX($A$73:$G$83,2*INT((3+WEEKDAY(DATE(PlanYear,13,1),2)-1)/7)+1,MOD(3+WEEKDAY(DATE(PlanYear,13,1),2)-1,7)+1)=AH$5,", "&amp;4,"")&amp;IF(INDEX($A$73:$G$83,2*INT((4+WEEKDAY(DATE(PlanYear,13,1),2)-1)/7)+1,MOD(4+WEEKDAY(DATE(PlanYear,13,1),2)-1,7)+1)=AH$5,", "&amp;5,"")&amp;IF(INDEX($A$73:$G$83,2*INT((5+WEEKDAY(DATE(PlanYear,13,1),2)-1)/7)+1,MOD(5+WEEKDAY(DATE(PlanYear,13,1),2)-1,7)+1)=AH$5,", "&amp;6,"")&amp;IF(INDEX($A$73:$G$83,2*INT((6+WEEKDAY(DATE(PlanYear,13,1),2)-1)/7)+1,MOD(6+WEEKDAY(DATE(PlanYear,13,1),2)-1,7)+1)=AH$5,", "&amp;7,"")&amp;IF(INDEX($A$73:$G$83,2*INT((7+WEEKDAY(DATE(PlanYear,13,1),2)-1)/7)+1,MOD(7+WEEKDAY(DATE(PlanYear,13,1),2)-1,7)+1)=AH$5,", "&amp;8,"")&amp;IF(INDEX($A$73:$G$83,2*INT((8+WEEKDAY(DATE(PlanYear,13,1),2)-1)/7)+1,MOD(8+WEEKDAY(DATE(PlanYear,13,1),2)-1,7)+1)=AH$5,", "&amp;9,"")&amp;IF(INDEX($A$73:$G$83,2*INT((9+WEEKDAY(DATE(PlanYear,13,1),2)-1)/7)+1,MOD(9+WEEKDAY(DATE(PlanYear,13,1),2)-1,7)+1)=AH$5,", "&amp;10,"")&amp;IF(INDEX($A$73:$G$83,2*INT((10+WEEKDAY(DATE(PlanYear,13,1),2)-1)/7)+1,MOD(10+WEEKDAY(DATE(PlanYear,13,1),2)-1,7)+1)=AH$5,", "&amp;11,"")&amp;IF(INDEX($A$73:$G$83,2*INT((11+WEEKDAY(DATE(PlanYear,13,1),2)-1)/7)+1,MOD(11+WEEKDAY(DATE(PlanYear,13,1),2)-1,7)+1)=AH$5,", "&amp;12,"")&amp;IF(INDEX($A$73:$G$83,2*INT((12+WEEKDAY(DATE(PlanYear,13,1),2)-1)/7)+1,MOD(12+WEEKDAY(DATE(PlanYear,13,1),2)-1,7)+1)=AH$5,", "&amp;13,"")&amp;IF(INDEX($A$73:$G$83,2*INT((13+WEEKDAY(DATE(PlanYear,13,1),2)-1)/7)+1,MOD(13+WEEKDAY(DATE(PlanYear,13,1),2)-1,7)+1)=AH$5,", "&amp;14,"")&amp;IF(INDEX($A$73:$G$83,2*INT((14+WEEKDAY(DATE(PlanYear,13,1),2)-1)/7)+1,MOD(14+WEEKDAY(DATE(PlanYear,13,1),2)-1,7)+1)=AH$5,", "&amp;15,"")&amp;IF(INDEX($A$73:$G$83,2*INT((15+WEEKDAY(DATE(PlanYear,13,1),2)-1)/7)+1,MOD(15+WEEKDAY(DATE(PlanYear,13,1),2)-1,7)+1)=AH$5,", "&amp;16,"")&amp;IF(INDEX($A$73:$G$83,2*INT((16+WEEKDAY(DATE(PlanYear,13,1),2)-1)/7)+1,MOD(16+WEEKDAY(DATE(PlanYear,13,1),2)-1,7)+1)=AH$5,", "&amp;17,"")&amp;IF(INDEX($A$73:$G$83,2*INT((17+WEEKDAY(DATE(PlanYear,13,1),2)-1)/7)+1,MOD(17+WEEKDAY(DATE(PlanYear,13,1),2)-1,7)+1)=AH$5,", "&amp;18,"")&amp;IF(INDEX($A$73:$G$83,2*INT((18+WEEKDAY(DATE(PlanYear,13,1),2)-1)/7)+1,MOD(18+WEEKDAY(DATE(PlanYear,13,1),2)-1,7)+1)=AH$5,", "&amp;19,"")&amp;IF(INDEX($A$73:$G$83,2*INT((19+WEEKDAY(DATE(PlanYear,13,1),2)-1)/7)+1,MOD(19+WEEKDAY(DATE(PlanYear,13,1),2)-1,7)+1)=AH$5,", "&amp;20,"")&amp;IF(INDEX($A$73:$G$83,2*INT((20+WEEKDAY(DATE(PlanYear,13,1),2)-1)/7)+1,MOD(20+WEEKDAY(DATE(PlanYear,13,1),2)-1,7)+1)=AH$5,", "&amp;21,"")&amp;IF(INDEX($A$73:$G$83,2*INT((21+WEEKDAY(DATE(PlanYear,13,1),2)-1)/7)+1,MOD(21+WEEKDAY(DATE(PlanYear,13,1),2)-1,7)+1)=AH$5,", "&amp;22,"")&amp;IF(INDEX($A$73:$G$83,2*INT((22+WEEKDAY(DATE(PlanYear,13,1),2)-1)/7)+1,MOD(22+WEEKDAY(DATE(PlanYear,13,1),2)-1,7)+1)=AH$5,", "&amp;23,"")&amp;IF(INDEX($A$73:$G$83,2*INT((23+WEEKDAY(DATE(PlanYear,13,1),2)-1)/7)+1,MOD(23+WEEKDAY(DATE(PlanYear,13,1),2)-1,7)+1)=AH$5,", "&amp;24,"")&amp;IF(INDEX($A$73:$G$83,2*INT((24+WEEKDAY(DATE(PlanYear,13,1),2)-1)/7)+1,MOD(24+WEEKDAY(DATE(PlanYear,13,1),2)-1,7)+1)=AH$5,", "&amp;25,"")&amp;IF(INDEX($A$73:$G$83,2*INT((25+WEEKDAY(DATE(PlanYear,13,1),2)-1)/7)+1,MOD(25+WEEKDAY(DATE(PlanYear,13,1),2)-1,7)+1)=AH$5,", "&amp;26,"")&amp;IF(INDEX($A$73:$G$83,2*INT((26+WEEKDAY(DATE(PlanYear,13,1),2)-1)/7)+1,MOD(26+WEEKDAY(DATE(PlanYear,13,1),2)-1,7)+1)=AH$5,", "&amp;27,"")&amp;IF(INDEX($A$73:$G$83,2*INT((27+WEEKDAY(DATE(PlanYear,13,1),2)-1)/7)+1,MOD(27+WEEKDAY(DATE(PlanYear,13,1),2)-1,7)+1)=AH$5,", "&amp;28,"")&amp;IF(INDEX($A$73:$G$83,2*INT((28+WEEKDAY(DATE(PlanYear,13,1),2)-1)/7)+1,MOD(28+WEEKDAY(DATE(PlanYear,13,1),2)-1,7)+1)=AH$5,", "&amp;29,"")&amp;IF(INDEX($A$73:$G$83,2*INT((29+WEEKDAY(DATE(PlanYear,13,1),2)-1)/7)+1,MOD(29+WEEKDAY(DATE(PlanYear,13,1),2)-1,7)+1)=AH$5,", "&amp;30,"")&amp;IF(INDEX($A$73:$G$83,2*INT((30+WEEKDAY(DATE(PlanYear,13,1),2)-1)/7)+1,MOD(30+WEEKDAY(DATE(PlanYear,13,1),2)-1,7)+1)=AH$5,", "&amp;31,""),3,200))</f>
        <v/>
      </c>
      <c r="AI19" s="16">
        <f>IF(AI$5="","",MID(IF(INDEX($A$73:$G$83,2*INT((0+WEEKDAY(DATE(PlanYear,13,1),2)-1)/7)+1,MOD(0+WEEKDAY(DATE(PlanYear,13,1),2)-1,7)+1)=AI$5,", "&amp;1,"")&amp;IF(INDEX($A$73:$G$83,2*INT((1+WEEKDAY(DATE(PlanYear,13,1),2)-1)/7)+1,MOD(1+WEEKDAY(DATE(PlanYear,13,1),2)-1,7)+1)=AI$5,", "&amp;2,"")&amp;IF(INDEX($A$73:$G$83,2*INT((2+WEEKDAY(DATE(PlanYear,13,1),2)-1)/7)+1,MOD(2+WEEKDAY(DATE(PlanYear,13,1),2)-1,7)+1)=AI$5,", "&amp;3,"")&amp;IF(INDEX($A$73:$G$83,2*INT((3+WEEKDAY(DATE(PlanYear,13,1),2)-1)/7)+1,MOD(3+WEEKDAY(DATE(PlanYear,13,1),2)-1,7)+1)=AI$5,", "&amp;4,"")&amp;IF(INDEX($A$73:$G$83,2*INT((4+WEEKDAY(DATE(PlanYear,13,1),2)-1)/7)+1,MOD(4+WEEKDAY(DATE(PlanYear,13,1),2)-1,7)+1)=AI$5,", "&amp;5,"")&amp;IF(INDEX($A$73:$G$83,2*INT((5+WEEKDAY(DATE(PlanYear,13,1),2)-1)/7)+1,MOD(5+WEEKDAY(DATE(PlanYear,13,1),2)-1,7)+1)=AI$5,", "&amp;6,"")&amp;IF(INDEX($A$73:$G$83,2*INT((6+WEEKDAY(DATE(PlanYear,13,1),2)-1)/7)+1,MOD(6+WEEKDAY(DATE(PlanYear,13,1),2)-1,7)+1)=AI$5,", "&amp;7,"")&amp;IF(INDEX($A$73:$G$83,2*INT((7+WEEKDAY(DATE(PlanYear,13,1),2)-1)/7)+1,MOD(7+WEEKDAY(DATE(PlanYear,13,1),2)-1,7)+1)=AI$5,", "&amp;8,"")&amp;IF(INDEX($A$73:$G$83,2*INT((8+WEEKDAY(DATE(PlanYear,13,1),2)-1)/7)+1,MOD(8+WEEKDAY(DATE(PlanYear,13,1),2)-1,7)+1)=AI$5,", "&amp;9,"")&amp;IF(INDEX($A$73:$G$83,2*INT((9+WEEKDAY(DATE(PlanYear,13,1),2)-1)/7)+1,MOD(9+WEEKDAY(DATE(PlanYear,13,1),2)-1,7)+1)=AI$5,", "&amp;10,"")&amp;IF(INDEX($A$73:$G$83,2*INT((10+WEEKDAY(DATE(PlanYear,13,1),2)-1)/7)+1,MOD(10+WEEKDAY(DATE(PlanYear,13,1),2)-1,7)+1)=AI$5,", "&amp;11,"")&amp;IF(INDEX($A$73:$G$83,2*INT((11+WEEKDAY(DATE(PlanYear,13,1),2)-1)/7)+1,MOD(11+WEEKDAY(DATE(PlanYear,13,1),2)-1,7)+1)=AI$5,", "&amp;12,"")&amp;IF(INDEX($A$73:$G$83,2*INT((12+WEEKDAY(DATE(PlanYear,13,1),2)-1)/7)+1,MOD(12+WEEKDAY(DATE(PlanYear,13,1),2)-1,7)+1)=AI$5,", "&amp;13,"")&amp;IF(INDEX($A$73:$G$83,2*INT((13+WEEKDAY(DATE(PlanYear,13,1),2)-1)/7)+1,MOD(13+WEEKDAY(DATE(PlanYear,13,1),2)-1,7)+1)=AI$5,", "&amp;14,"")&amp;IF(INDEX($A$73:$G$83,2*INT((14+WEEKDAY(DATE(PlanYear,13,1),2)-1)/7)+1,MOD(14+WEEKDAY(DATE(PlanYear,13,1),2)-1,7)+1)=AI$5,", "&amp;15,"")&amp;IF(INDEX($A$73:$G$83,2*INT((15+WEEKDAY(DATE(PlanYear,13,1),2)-1)/7)+1,MOD(15+WEEKDAY(DATE(PlanYear,13,1),2)-1,7)+1)=AI$5,", "&amp;16,"")&amp;IF(INDEX($A$73:$G$83,2*INT((16+WEEKDAY(DATE(PlanYear,13,1),2)-1)/7)+1,MOD(16+WEEKDAY(DATE(PlanYear,13,1),2)-1,7)+1)=AI$5,", "&amp;17,"")&amp;IF(INDEX($A$73:$G$83,2*INT((17+WEEKDAY(DATE(PlanYear,13,1),2)-1)/7)+1,MOD(17+WEEKDAY(DATE(PlanYear,13,1),2)-1,7)+1)=AI$5,", "&amp;18,"")&amp;IF(INDEX($A$73:$G$83,2*INT((18+WEEKDAY(DATE(PlanYear,13,1),2)-1)/7)+1,MOD(18+WEEKDAY(DATE(PlanYear,13,1),2)-1,7)+1)=AI$5,", "&amp;19,"")&amp;IF(INDEX($A$73:$G$83,2*INT((19+WEEKDAY(DATE(PlanYear,13,1),2)-1)/7)+1,MOD(19+WEEKDAY(DATE(PlanYear,13,1),2)-1,7)+1)=AI$5,", "&amp;20,"")&amp;IF(INDEX($A$73:$G$83,2*INT((20+WEEKDAY(DATE(PlanYear,13,1),2)-1)/7)+1,MOD(20+WEEKDAY(DATE(PlanYear,13,1),2)-1,7)+1)=AI$5,", "&amp;21,"")&amp;IF(INDEX($A$73:$G$83,2*INT((21+WEEKDAY(DATE(PlanYear,13,1),2)-1)/7)+1,MOD(21+WEEKDAY(DATE(PlanYear,13,1),2)-1,7)+1)=AI$5,", "&amp;22,"")&amp;IF(INDEX($A$73:$G$83,2*INT((22+WEEKDAY(DATE(PlanYear,13,1),2)-1)/7)+1,MOD(22+WEEKDAY(DATE(PlanYear,13,1),2)-1,7)+1)=AI$5,", "&amp;23,"")&amp;IF(INDEX($A$73:$G$83,2*INT((23+WEEKDAY(DATE(PlanYear,13,1),2)-1)/7)+1,MOD(23+WEEKDAY(DATE(PlanYear,13,1),2)-1,7)+1)=AI$5,", "&amp;24,"")&amp;IF(INDEX($A$73:$G$83,2*INT((24+WEEKDAY(DATE(PlanYear,13,1),2)-1)/7)+1,MOD(24+WEEKDAY(DATE(PlanYear,13,1),2)-1,7)+1)=AI$5,", "&amp;25,"")&amp;IF(INDEX($A$73:$G$83,2*INT((25+WEEKDAY(DATE(PlanYear,13,1),2)-1)/7)+1,MOD(25+WEEKDAY(DATE(PlanYear,13,1),2)-1,7)+1)=AI$5,", "&amp;26,"")&amp;IF(INDEX($A$73:$G$83,2*INT((26+WEEKDAY(DATE(PlanYear,13,1),2)-1)/7)+1,MOD(26+WEEKDAY(DATE(PlanYear,13,1),2)-1,7)+1)=AI$5,", "&amp;27,"")&amp;IF(INDEX($A$73:$G$83,2*INT((27+WEEKDAY(DATE(PlanYear,13,1),2)-1)/7)+1,MOD(27+WEEKDAY(DATE(PlanYear,13,1),2)-1,7)+1)=AI$5,", "&amp;28,"")&amp;IF(INDEX($A$73:$G$83,2*INT((28+WEEKDAY(DATE(PlanYear,13,1),2)-1)/7)+1,MOD(28+WEEKDAY(DATE(PlanYear,13,1),2)-1,7)+1)=AI$5,", "&amp;29,"")&amp;IF(INDEX($A$73:$G$83,2*INT((29+WEEKDAY(DATE(PlanYear,13,1),2)-1)/7)+1,MOD(29+WEEKDAY(DATE(PlanYear,13,1),2)-1,7)+1)=AI$5,", "&amp;30,"")&amp;IF(INDEX($A$73:$G$83,2*INT((30+WEEKDAY(DATE(PlanYear,13,1),2)-1)/7)+1,MOD(30+WEEKDAY(DATE(PlanYear,13,1),2)-1,7)+1)=AI$5,", "&amp;31,""),3,200))</f>
        <v/>
      </c>
      <c r="AJ19" s="16">
        <f>IF(AJ$5="","",MID(IF(INDEX($A$73:$G$83,2*INT((0+WEEKDAY(DATE(PlanYear,13,1),2)-1)/7)+1,MOD(0+WEEKDAY(DATE(PlanYear,13,1),2)-1,7)+1)=AJ$5,", "&amp;1,"")&amp;IF(INDEX($A$73:$G$83,2*INT((1+WEEKDAY(DATE(PlanYear,13,1),2)-1)/7)+1,MOD(1+WEEKDAY(DATE(PlanYear,13,1),2)-1,7)+1)=AJ$5,", "&amp;2,"")&amp;IF(INDEX($A$73:$G$83,2*INT((2+WEEKDAY(DATE(PlanYear,13,1),2)-1)/7)+1,MOD(2+WEEKDAY(DATE(PlanYear,13,1),2)-1,7)+1)=AJ$5,", "&amp;3,"")&amp;IF(INDEX($A$73:$G$83,2*INT((3+WEEKDAY(DATE(PlanYear,13,1),2)-1)/7)+1,MOD(3+WEEKDAY(DATE(PlanYear,13,1),2)-1,7)+1)=AJ$5,", "&amp;4,"")&amp;IF(INDEX($A$73:$G$83,2*INT((4+WEEKDAY(DATE(PlanYear,13,1),2)-1)/7)+1,MOD(4+WEEKDAY(DATE(PlanYear,13,1),2)-1,7)+1)=AJ$5,", "&amp;5,"")&amp;IF(INDEX($A$73:$G$83,2*INT((5+WEEKDAY(DATE(PlanYear,13,1),2)-1)/7)+1,MOD(5+WEEKDAY(DATE(PlanYear,13,1),2)-1,7)+1)=AJ$5,", "&amp;6,"")&amp;IF(INDEX($A$73:$G$83,2*INT((6+WEEKDAY(DATE(PlanYear,13,1),2)-1)/7)+1,MOD(6+WEEKDAY(DATE(PlanYear,13,1),2)-1,7)+1)=AJ$5,", "&amp;7,"")&amp;IF(INDEX($A$73:$G$83,2*INT((7+WEEKDAY(DATE(PlanYear,13,1),2)-1)/7)+1,MOD(7+WEEKDAY(DATE(PlanYear,13,1),2)-1,7)+1)=AJ$5,", "&amp;8,"")&amp;IF(INDEX($A$73:$G$83,2*INT((8+WEEKDAY(DATE(PlanYear,13,1),2)-1)/7)+1,MOD(8+WEEKDAY(DATE(PlanYear,13,1),2)-1,7)+1)=AJ$5,", "&amp;9,"")&amp;IF(INDEX($A$73:$G$83,2*INT((9+WEEKDAY(DATE(PlanYear,13,1),2)-1)/7)+1,MOD(9+WEEKDAY(DATE(PlanYear,13,1),2)-1,7)+1)=AJ$5,", "&amp;10,"")&amp;IF(INDEX($A$73:$G$83,2*INT((10+WEEKDAY(DATE(PlanYear,13,1),2)-1)/7)+1,MOD(10+WEEKDAY(DATE(PlanYear,13,1),2)-1,7)+1)=AJ$5,", "&amp;11,"")&amp;IF(INDEX($A$73:$G$83,2*INT((11+WEEKDAY(DATE(PlanYear,13,1),2)-1)/7)+1,MOD(11+WEEKDAY(DATE(PlanYear,13,1),2)-1,7)+1)=AJ$5,", "&amp;12,"")&amp;IF(INDEX($A$73:$G$83,2*INT((12+WEEKDAY(DATE(PlanYear,13,1),2)-1)/7)+1,MOD(12+WEEKDAY(DATE(PlanYear,13,1),2)-1,7)+1)=AJ$5,", "&amp;13,"")&amp;IF(INDEX($A$73:$G$83,2*INT((13+WEEKDAY(DATE(PlanYear,13,1),2)-1)/7)+1,MOD(13+WEEKDAY(DATE(PlanYear,13,1),2)-1,7)+1)=AJ$5,", "&amp;14,"")&amp;IF(INDEX($A$73:$G$83,2*INT((14+WEEKDAY(DATE(PlanYear,13,1),2)-1)/7)+1,MOD(14+WEEKDAY(DATE(PlanYear,13,1),2)-1,7)+1)=AJ$5,", "&amp;15,"")&amp;IF(INDEX($A$73:$G$83,2*INT((15+WEEKDAY(DATE(PlanYear,13,1),2)-1)/7)+1,MOD(15+WEEKDAY(DATE(PlanYear,13,1),2)-1,7)+1)=AJ$5,", "&amp;16,"")&amp;IF(INDEX($A$73:$G$83,2*INT((16+WEEKDAY(DATE(PlanYear,13,1),2)-1)/7)+1,MOD(16+WEEKDAY(DATE(PlanYear,13,1),2)-1,7)+1)=AJ$5,", "&amp;17,"")&amp;IF(INDEX($A$73:$G$83,2*INT((17+WEEKDAY(DATE(PlanYear,13,1),2)-1)/7)+1,MOD(17+WEEKDAY(DATE(PlanYear,13,1),2)-1,7)+1)=AJ$5,", "&amp;18,"")&amp;IF(INDEX($A$73:$G$83,2*INT((18+WEEKDAY(DATE(PlanYear,13,1),2)-1)/7)+1,MOD(18+WEEKDAY(DATE(PlanYear,13,1),2)-1,7)+1)=AJ$5,", "&amp;19,"")&amp;IF(INDEX($A$73:$G$83,2*INT((19+WEEKDAY(DATE(PlanYear,13,1),2)-1)/7)+1,MOD(19+WEEKDAY(DATE(PlanYear,13,1),2)-1,7)+1)=AJ$5,", "&amp;20,"")&amp;IF(INDEX($A$73:$G$83,2*INT((20+WEEKDAY(DATE(PlanYear,13,1),2)-1)/7)+1,MOD(20+WEEKDAY(DATE(PlanYear,13,1),2)-1,7)+1)=AJ$5,", "&amp;21,"")&amp;IF(INDEX($A$73:$G$83,2*INT((21+WEEKDAY(DATE(PlanYear,13,1),2)-1)/7)+1,MOD(21+WEEKDAY(DATE(PlanYear,13,1),2)-1,7)+1)=AJ$5,", "&amp;22,"")&amp;IF(INDEX($A$73:$G$83,2*INT((22+WEEKDAY(DATE(PlanYear,13,1),2)-1)/7)+1,MOD(22+WEEKDAY(DATE(PlanYear,13,1),2)-1,7)+1)=AJ$5,", "&amp;23,"")&amp;IF(INDEX($A$73:$G$83,2*INT((23+WEEKDAY(DATE(PlanYear,13,1),2)-1)/7)+1,MOD(23+WEEKDAY(DATE(PlanYear,13,1),2)-1,7)+1)=AJ$5,", "&amp;24,"")&amp;IF(INDEX($A$73:$G$83,2*INT((24+WEEKDAY(DATE(PlanYear,13,1),2)-1)/7)+1,MOD(24+WEEKDAY(DATE(PlanYear,13,1),2)-1,7)+1)=AJ$5,", "&amp;25,"")&amp;IF(INDEX($A$73:$G$83,2*INT((25+WEEKDAY(DATE(PlanYear,13,1),2)-1)/7)+1,MOD(25+WEEKDAY(DATE(PlanYear,13,1),2)-1,7)+1)=AJ$5,", "&amp;26,"")&amp;IF(INDEX($A$73:$G$83,2*INT((26+WEEKDAY(DATE(PlanYear,13,1),2)-1)/7)+1,MOD(26+WEEKDAY(DATE(PlanYear,13,1),2)-1,7)+1)=AJ$5,", "&amp;27,"")&amp;IF(INDEX($A$73:$G$83,2*INT((27+WEEKDAY(DATE(PlanYear,13,1),2)-1)/7)+1,MOD(27+WEEKDAY(DATE(PlanYear,13,1),2)-1,7)+1)=AJ$5,", "&amp;28,"")&amp;IF(INDEX($A$73:$G$83,2*INT((28+WEEKDAY(DATE(PlanYear,13,1),2)-1)/7)+1,MOD(28+WEEKDAY(DATE(PlanYear,13,1),2)-1,7)+1)=AJ$5,", "&amp;29,"")&amp;IF(INDEX($A$73:$G$83,2*INT((29+WEEKDAY(DATE(PlanYear,13,1),2)-1)/7)+1,MOD(29+WEEKDAY(DATE(PlanYear,13,1),2)-1,7)+1)=AJ$5,", "&amp;30,"")&amp;IF(INDEX($A$73:$G$83,2*INT((30+WEEKDAY(DATE(PlanYear,13,1),2)-1)/7)+1,MOD(30+WEEKDAY(DATE(PlanYear,13,1),2)-1,7)+1)=AJ$5,", "&amp;31,""),3,200))</f>
        <v/>
      </c>
      <c r="AK19" s="17">
        <f>DAY(EOMONTH(DATE(PlanYear,13,1),0))-COUNTIF($A$73:$G$83,"?*")</f>
        <v/>
      </c>
    </row>
    <row r="20" ht="10" customHeight="1"/>
    <row r="21" ht="10" customHeight="1"/>
    <row r="22" ht="20" customHeight="1">
      <c r="A22" s="24">
        <f>UPPER(TEXT(DATE(PlanYear,4,1),"mmmm yyyy"))&amp;"  ·  SDO"</f>
        <v/>
      </c>
      <c r="B22" s="25" t="n"/>
      <c r="C22" s="25" t="n"/>
      <c r="D22" s="25" t="n"/>
      <c r="E22" s="25" t="n"/>
      <c r="F22" s="25" t="n"/>
      <c r="G22" s="25" t="n"/>
      <c r="I22" s="24">
        <f>UPPER(TEXT(DATE(PlanYear,5,1),"mmmm yyyy"))&amp;"  ·  SDO"</f>
        <v/>
      </c>
      <c r="J22" s="25" t="n"/>
      <c r="K22" s="25" t="n"/>
      <c r="L22" s="25" t="n"/>
      <c r="M22" s="25" t="n"/>
      <c r="N22" s="25" t="n"/>
      <c r="O22" s="25" t="n"/>
      <c r="Q22" s="24">
        <f>UPPER(TEXT(DATE(PlanYear,6,1),"mmmm yyyy"))&amp;"  ·  SDO"</f>
        <v/>
      </c>
      <c r="R22" s="25" t="n"/>
      <c r="S22" s="25" t="n"/>
      <c r="T22" s="25" t="n"/>
      <c r="U22" s="25" t="n"/>
      <c r="V22" s="25" t="n"/>
      <c r="W22" s="25" t="n"/>
    </row>
    <row r="23" ht="15" customHeight="1">
      <c r="A23" s="18" t="inlineStr">
        <is>
          <t>Mon</t>
        </is>
      </c>
      <c r="B23" s="18" t="inlineStr">
        <is>
          <t>Tue</t>
        </is>
      </c>
      <c r="C23" s="18" t="inlineStr">
        <is>
          <t>Wed</t>
        </is>
      </c>
      <c r="D23" s="18" t="inlineStr">
        <is>
          <t>Thu</t>
        </is>
      </c>
      <c r="E23" s="18" t="inlineStr">
        <is>
          <t>Fri</t>
        </is>
      </c>
      <c r="F23" s="19" t="inlineStr">
        <is>
          <t>Sat</t>
        </is>
      </c>
      <c r="G23" s="19" t="inlineStr">
        <is>
          <t>Sun</t>
        </is>
      </c>
      <c r="I23" s="18" t="inlineStr">
        <is>
          <t>Mon</t>
        </is>
      </c>
      <c r="J23" s="18" t="inlineStr">
        <is>
          <t>Tue</t>
        </is>
      </c>
      <c r="K23" s="18" t="inlineStr">
        <is>
          <t>Wed</t>
        </is>
      </c>
      <c r="L23" s="18" t="inlineStr">
        <is>
          <t>Thu</t>
        </is>
      </c>
      <c r="M23" s="18" t="inlineStr">
        <is>
          <t>Fri</t>
        </is>
      </c>
      <c r="N23" s="19" t="inlineStr">
        <is>
          <t>Sat</t>
        </is>
      </c>
      <c r="O23" s="19" t="inlineStr">
        <is>
          <t>Sun</t>
        </is>
      </c>
      <c r="Q23" s="18" t="inlineStr">
        <is>
          <t>Mon</t>
        </is>
      </c>
      <c r="R23" s="18" t="inlineStr">
        <is>
          <t>Tue</t>
        </is>
      </c>
      <c r="S23" s="18" t="inlineStr">
        <is>
          <t>Wed</t>
        </is>
      </c>
      <c r="T23" s="18" t="inlineStr">
        <is>
          <t>Thu</t>
        </is>
      </c>
      <c r="U23" s="18" t="inlineStr">
        <is>
          <t>Fri</t>
        </is>
      </c>
      <c r="V23" s="19" t="inlineStr">
        <is>
          <t>Sat</t>
        </is>
      </c>
      <c r="W23" s="19" t="inlineStr">
        <is>
          <t>Sun</t>
        </is>
      </c>
    </row>
    <row r="24" ht="14" customHeight="1">
      <c r="A24" s="20">
        <f>IF(AND(1-(WEEKDAY(DATE(PlanYear,4,1),2)-1)&gt;=1,1-(WEEKDAY(DATE(PlanYear,4,1),2)-1)&lt;=DAY(EOMONTH(DATE(PlanYear,4,1),0))),DATE(PlanYear,4,1)+1-WEEKDAY(DATE(PlanYear,4,1),2),"")</f>
        <v/>
      </c>
      <c r="B24" s="20">
        <f>IF(AND(2-(WEEKDAY(DATE(PlanYear,4,1),2)-1)&gt;=1,2-(WEEKDAY(DATE(PlanYear,4,1),2)-1)&lt;=DAY(EOMONTH(DATE(PlanYear,4,1),0))),DATE(PlanYear,4,1)+2-WEEKDAY(DATE(PlanYear,4,1),2),"")</f>
        <v/>
      </c>
      <c r="C24" s="20">
        <f>IF(AND(3-(WEEKDAY(DATE(PlanYear,4,1),2)-1)&gt;=1,3-(WEEKDAY(DATE(PlanYear,4,1),2)-1)&lt;=DAY(EOMONTH(DATE(PlanYear,4,1),0))),DATE(PlanYear,4,1)+3-WEEKDAY(DATE(PlanYear,4,1),2),"")</f>
        <v/>
      </c>
      <c r="D24" s="20">
        <f>IF(AND(4-(WEEKDAY(DATE(PlanYear,4,1),2)-1)&gt;=1,4-(WEEKDAY(DATE(PlanYear,4,1),2)-1)&lt;=DAY(EOMONTH(DATE(PlanYear,4,1),0))),DATE(PlanYear,4,1)+4-WEEKDAY(DATE(PlanYear,4,1),2),"")</f>
        <v/>
      </c>
      <c r="E24" s="20">
        <f>IF(AND(5-(WEEKDAY(DATE(PlanYear,4,1),2)-1)&gt;=1,5-(WEEKDAY(DATE(PlanYear,4,1),2)-1)&lt;=DAY(EOMONTH(DATE(PlanYear,4,1),0))),DATE(PlanYear,4,1)+5-WEEKDAY(DATE(PlanYear,4,1),2),"")</f>
        <v/>
      </c>
      <c r="F24" s="20">
        <f>IF(AND(6-(WEEKDAY(DATE(PlanYear,4,1),2)-1)&gt;=1,6-(WEEKDAY(DATE(PlanYear,4,1),2)-1)&lt;=DAY(EOMONTH(DATE(PlanYear,4,1),0))),DATE(PlanYear,4,1)+6-WEEKDAY(DATE(PlanYear,4,1),2),"")</f>
        <v/>
      </c>
      <c r="G24" s="20">
        <f>IF(AND(7-(WEEKDAY(DATE(PlanYear,4,1),2)-1)&gt;=1,7-(WEEKDAY(DATE(PlanYear,4,1),2)-1)&lt;=DAY(EOMONTH(DATE(PlanYear,4,1),0))),DATE(PlanYear,4,1)+7-WEEKDAY(DATE(PlanYear,4,1),2),"")</f>
        <v/>
      </c>
      <c r="I24" s="20">
        <f>IF(AND(1-(WEEKDAY(DATE(PlanYear,5,1),2)-1)&gt;=1,1-(WEEKDAY(DATE(PlanYear,5,1),2)-1)&lt;=DAY(EOMONTH(DATE(PlanYear,5,1),0))),DATE(PlanYear,5,1)+1-WEEKDAY(DATE(PlanYear,5,1),2),"")</f>
        <v/>
      </c>
      <c r="J24" s="20">
        <f>IF(AND(2-(WEEKDAY(DATE(PlanYear,5,1),2)-1)&gt;=1,2-(WEEKDAY(DATE(PlanYear,5,1),2)-1)&lt;=DAY(EOMONTH(DATE(PlanYear,5,1),0))),DATE(PlanYear,5,1)+2-WEEKDAY(DATE(PlanYear,5,1),2),"")</f>
        <v/>
      </c>
      <c r="K24" s="20">
        <f>IF(AND(3-(WEEKDAY(DATE(PlanYear,5,1),2)-1)&gt;=1,3-(WEEKDAY(DATE(PlanYear,5,1),2)-1)&lt;=DAY(EOMONTH(DATE(PlanYear,5,1),0))),DATE(PlanYear,5,1)+3-WEEKDAY(DATE(PlanYear,5,1),2),"")</f>
        <v/>
      </c>
      <c r="L24" s="20">
        <f>IF(AND(4-(WEEKDAY(DATE(PlanYear,5,1),2)-1)&gt;=1,4-(WEEKDAY(DATE(PlanYear,5,1),2)-1)&lt;=DAY(EOMONTH(DATE(PlanYear,5,1),0))),DATE(PlanYear,5,1)+4-WEEKDAY(DATE(PlanYear,5,1),2),"")</f>
        <v/>
      </c>
      <c r="M24" s="20">
        <f>IF(AND(5-(WEEKDAY(DATE(PlanYear,5,1),2)-1)&gt;=1,5-(WEEKDAY(DATE(PlanYear,5,1),2)-1)&lt;=DAY(EOMONTH(DATE(PlanYear,5,1),0))),DATE(PlanYear,5,1)+5-WEEKDAY(DATE(PlanYear,5,1),2),"")</f>
        <v/>
      </c>
      <c r="N24" s="20">
        <f>IF(AND(6-(WEEKDAY(DATE(PlanYear,5,1),2)-1)&gt;=1,6-(WEEKDAY(DATE(PlanYear,5,1),2)-1)&lt;=DAY(EOMONTH(DATE(PlanYear,5,1),0))),DATE(PlanYear,5,1)+6-WEEKDAY(DATE(PlanYear,5,1),2),"")</f>
        <v/>
      </c>
      <c r="O24" s="20">
        <f>IF(AND(7-(WEEKDAY(DATE(PlanYear,5,1),2)-1)&gt;=1,7-(WEEKDAY(DATE(PlanYear,5,1),2)-1)&lt;=DAY(EOMONTH(DATE(PlanYear,5,1),0))),DATE(PlanYear,5,1)+7-WEEKDAY(DATE(PlanYear,5,1),2),"")</f>
        <v/>
      </c>
      <c r="Q24" s="20">
        <f>IF(AND(1-(WEEKDAY(DATE(PlanYear,6,1),2)-1)&gt;=1,1-(WEEKDAY(DATE(PlanYear,6,1),2)-1)&lt;=DAY(EOMONTH(DATE(PlanYear,6,1),0))),DATE(PlanYear,6,1)+1-WEEKDAY(DATE(PlanYear,6,1),2),"")</f>
        <v/>
      </c>
      <c r="R24" s="20">
        <f>IF(AND(2-(WEEKDAY(DATE(PlanYear,6,1),2)-1)&gt;=1,2-(WEEKDAY(DATE(PlanYear,6,1),2)-1)&lt;=DAY(EOMONTH(DATE(PlanYear,6,1),0))),DATE(PlanYear,6,1)+2-WEEKDAY(DATE(PlanYear,6,1),2),"")</f>
        <v/>
      </c>
      <c r="S24" s="20">
        <f>IF(AND(3-(WEEKDAY(DATE(PlanYear,6,1),2)-1)&gt;=1,3-(WEEKDAY(DATE(PlanYear,6,1),2)-1)&lt;=DAY(EOMONTH(DATE(PlanYear,6,1),0))),DATE(PlanYear,6,1)+3-WEEKDAY(DATE(PlanYear,6,1),2),"")</f>
        <v/>
      </c>
      <c r="T24" s="20">
        <f>IF(AND(4-(WEEKDAY(DATE(PlanYear,6,1),2)-1)&gt;=1,4-(WEEKDAY(DATE(PlanYear,6,1),2)-1)&lt;=DAY(EOMONTH(DATE(PlanYear,6,1),0))),DATE(PlanYear,6,1)+4-WEEKDAY(DATE(PlanYear,6,1),2),"")</f>
        <v/>
      </c>
      <c r="U24" s="20">
        <f>IF(AND(5-(WEEKDAY(DATE(PlanYear,6,1),2)-1)&gt;=1,5-(WEEKDAY(DATE(PlanYear,6,1),2)-1)&lt;=DAY(EOMONTH(DATE(PlanYear,6,1),0))),DATE(PlanYear,6,1)+5-WEEKDAY(DATE(PlanYear,6,1),2),"")</f>
        <v/>
      </c>
      <c r="V24" s="20">
        <f>IF(AND(6-(WEEKDAY(DATE(PlanYear,6,1),2)-1)&gt;=1,6-(WEEKDAY(DATE(PlanYear,6,1),2)-1)&lt;=DAY(EOMONTH(DATE(PlanYear,6,1),0))),DATE(PlanYear,6,1)+6-WEEKDAY(DATE(PlanYear,6,1),2),"")</f>
        <v/>
      </c>
      <c r="W24" s="20">
        <f>IF(AND(7-(WEEKDAY(DATE(PlanYear,6,1),2)-1)&gt;=1,7-(WEEKDAY(DATE(PlanYear,6,1),2)-1)&lt;=DAY(EOMONTH(DATE(PlanYear,6,1),0))),DATE(PlanYear,6,1)+7-WEEKDAY(DATE(PlanYear,6,1),2),"")</f>
        <v/>
      </c>
    </row>
    <row r="25" ht="24" customHeight="1">
      <c r="A25" s="21" t="n"/>
      <c r="B25" s="21" t="n"/>
      <c r="C25" s="21" t="n"/>
      <c r="D25" s="21" t="n"/>
      <c r="E25" s="21" t="n"/>
      <c r="F25" s="21" t="n"/>
      <c r="G25" s="21" t="n"/>
      <c r="I25" s="21" t="n"/>
      <c r="J25" s="21" t="n"/>
      <c r="K25" s="21" t="n"/>
      <c r="L25" s="21" t="n"/>
      <c r="M25" s="21" t="n"/>
      <c r="N25" s="21" t="n"/>
      <c r="O25" s="21" t="n"/>
      <c r="Q25" s="21" t="n"/>
      <c r="R25" s="21" t="n"/>
      <c r="S25" s="21" t="n"/>
      <c r="T25" s="21" t="n"/>
      <c r="U25" s="21" t="n"/>
      <c r="V25" s="21" t="n"/>
      <c r="W25" s="21" t="n"/>
    </row>
    <row r="26" ht="14" customHeight="1">
      <c r="A26" s="20">
        <f>IF(AND(8-(WEEKDAY(DATE(PlanYear,4,1),2)-1)&gt;=1,8-(WEEKDAY(DATE(PlanYear,4,1),2)-1)&lt;=DAY(EOMONTH(DATE(PlanYear,4,1),0))),DATE(PlanYear,4,1)+8-WEEKDAY(DATE(PlanYear,4,1),2),"")</f>
        <v/>
      </c>
      <c r="B26" s="20">
        <f>IF(AND(9-(WEEKDAY(DATE(PlanYear,4,1),2)-1)&gt;=1,9-(WEEKDAY(DATE(PlanYear,4,1),2)-1)&lt;=DAY(EOMONTH(DATE(PlanYear,4,1),0))),DATE(PlanYear,4,1)+9-WEEKDAY(DATE(PlanYear,4,1),2),"")</f>
        <v/>
      </c>
      <c r="C26" s="20">
        <f>IF(AND(10-(WEEKDAY(DATE(PlanYear,4,1),2)-1)&gt;=1,10-(WEEKDAY(DATE(PlanYear,4,1),2)-1)&lt;=DAY(EOMONTH(DATE(PlanYear,4,1),0))),DATE(PlanYear,4,1)+10-WEEKDAY(DATE(PlanYear,4,1),2),"")</f>
        <v/>
      </c>
      <c r="D26" s="20">
        <f>IF(AND(11-(WEEKDAY(DATE(PlanYear,4,1),2)-1)&gt;=1,11-(WEEKDAY(DATE(PlanYear,4,1),2)-1)&lt;=DAY(EOMONTH(DATE(PlanYear,4,1),0))),DATE(PlanYear,4,1)+11-WEEKDAY(DATE(PlanYear,4,1),2),"")</f>
        <v/>
      </c>
      <c r="E26" s="20">
        <f>IF(AND(12-(WEEKDAY(DATE(PlanYear,4,1),2)-1)&gt;=1,12-(WEEKDAY(DATE(PlanYear,4,1),2)-1)&lt;=DAY(EOMONTH(DATE(PlanYear,4,1),0))),DATE(PlanYear,4,1)+12-WEEKDAY(DATE(PlanYear,4,1),2),"")</f>
        <v/>
      </c>
      <c r="F26" s="20">
        <f>IF(AND(13-(WEEKDAY(DATE(PlanYear,4,1),2)-1)&gt;=1,13-(WEEKDAY(DATE(PlanYear,4,1),2)-1)&lt;=DAY(EOMONTH(DATE(PlanYear,4,1),0))),DATE(PlanYear,4,1)+13-WEEKDAY(DATE(PlanYear,4,1),2),"")</f>
        <v/>
      </c>
      <c r="G26" s="20">
        <f>IF(AND(14-(WEEKDAY(DATE(PlanYear,4,1),2)-1)&gt;=1,14-(WEEKDAY(DATE(PlanYear,4,1),2)-1)&lt;=DAY(EOMONTH(DATE(PlanYear,4,1),0))),DATE(PlanYear,4,1)+14-WEEKDAY(DATE(PlanYear,4,1),2),"")</f>
        <v/>
      </c>
      <c r="I26" s="20">
        <f>IF(AND(8-(WEEKDAY(DATE(PlanYear,5,1),2)-1)&gt;=1,8-(WEEKDAY(DATE(PlanYear,5,1),2)-1)&lt;=DAY(EOMONTH(DATE(PlanYear,5,1),0))),DATE(PlanYear,5,1)+8-WEEKDAY(DATE(PlanYear,5,1),2),"")</f>
        <v/>
      </c>
      <c r="J26" s="20">
        <f>IF(AND(9-(WEEKDAY(DATE(PlanYear,5,1),2)-1)&gt;=1,9-(WEEKDAY(DATE(PlanYear,5,1),2)-1)&lt;=DAY(EOMONTH(DATE(PlanYear,5,1),0))),DATE(PlanYear,5,1)+9-WEEKDAY(DATE(PlanYear,5,1),2),"")</f>
        <v/>
      </c>
      <c r="K26" s="20">
        <f>IF(AND(10-(WEEKDAY(DATE(PlanYear,5,1),2)-1)&gt;=1,10-(WEEKDAY(DATE(PlanYear,5,1),2)-1)&lt;=DAY(EOMONTH(DATE(PlanYear,5,1),0))),DATE(PlanYear,5,1)+10-WEEKDAY(DATE(PlanYear,5,1),2),"")</f>
        <v/>
      </c>
      <c r="L26" s="20">
        <f>IF(AND(11-(WEEKDAY(DATE(PlanYear,5,1),2)-1)&gt;=1,11-(WEEKDAY(DATE(PlanYear,5,1),2)-1)&lt;=DAY(EOMONTH(DATE(PlanYear,5,1),0))),DATE(PlanYear,5,1)+11-WEEKDAY(DATE(PlanYear,5,1),2),"")</f>
        <v/>
      </c>
      <c r="M26" s="20">
        <f>IF(AND(12-(WEEKDAY(DATE(PlanYear,5,1),2)-1)&gt;=1,12-(WEEKDAY(DATE(PlanYear,5,1),2)-1)&lt;=DAY(EOMONTH(DATE(PlanYear,5,1),0))),DATE(PlanYear,5,1)+12-WEEKDAY(DATE(PlanYear,5,1),2),"")</f>
        <v/>
      </c>
      <c r="N26" s="20">
        <f>IF(AND(13-(WEEKDAY(DATE(PlanYear,5,1),2)-1)&gt;=1,13-(WEEKDAY(DATE(PlanYear,5,1),2)-1)&lt;=DAY(EOMONTH(DATE(PlanYear,5,1),0))),DATE(PlanYear,5,1)+13-WEEKDAY(DATE(PlanYear,5,1),2),"")</f>
        <v/>
      </c>
      <c r="O26" s="20">
        <f>IF(AND(14-(WEEKDAY(DATE(PlanYear,5,1),2)-1)&gt;=1,14-(WEEKDAY(DATE(PlanYear,5,1),2)-1)&lt;=DAY(EOMONTH(DATE(PlanYear,5,1),0))),DATE(PlanYear,5,1)+14-WEEKDAY(DATE(PlanYear,5,1),2),"")</f>
        <v/>
      </c>
      <c r="Q26" s="20">
        <f>IF(AND(8-(WEEKDAY(DATE(PlanYear,6,1),2)-1)&gt;=1,8-(WEEKDAY(DATE(PlanYear,6,1),2)-1)&lt;=DAY(EOMONTH(DATE(PlanYear,6,1),0))),DATE(PlanYear,6,1)+8-WEEKDAY(DATE(PlanYear,6,1),2),"")</f>
        <v/>
      </c>
      <c r="R26" s="20">
        <f>IF(AND(9-(WEEKDAY(DATE(PlanYear,6,1),2)-1)&gt;=1,9-(WEEKDAY(DATE(PlanYear,6,1),2)-1)&lt;=DAY(EOMONTH(DATE(PlanYear,6,1),0))),DATE(PlanYear,6,1)+9-WEEKDAY(DATE(PlanYear,6,1),2),"")</f>
        <v/>
      </c>
      <c r="S26" s="20">
        <f>IF(AND(10-(WEEKDAY(DATE(PlanYear,6,1),2)-1)&gt;=1,10-(WEEKDAY(DATE(PlanYear,6,1),2)-1)&lt;=DAY(EOMONTH(DATE(PlanYear,6,1),0))),DATE(PlanYear,6,1)+10-WEEKDAY(DATE(PlanYear,6,1),2),"")</f>
        <v/>
      </c>
      <c r="T26" s="20">
        <f>IF(AND(11-(WEEKDAY(DATE(PlanYear,6,1),2)-1)&gt;=1,11-(WEEKDAY(DATE(PlanYear,6,1),2)-1)&lt;=DAY(EOMONTH(DATE(PlanYear,6,1),0))),DATE(PlanYear,6,1)+11-WEEKDAY(DATE(PlanYear,6,1),2),"")</f>
        <v/>
      </c>
      <c r="U26" s="20">
        <f>IF(AND(12-(WEEKDAY(DATE(PlanYear,6,1),2)-1)&gt;=1,12-(WEEKDAY(DATE(PlanYear,6,1),2)-1)&lt;=DAY(EOMONTH(DATE(PlanYear,6,1),0))),DATE(PlanYear,6,1)+12-WEEKDAY(DATE(PlanYear,6,1),2),"")</f>
        <v/>
      </c>
      <c r="V26" s="20">
        <f>IF(AND(13-(WEEKDAY(DATE(PlanYear,6,1),2)-1)&gt;=1,13-(WEEKDAY(DATE(PlanYear,6,1),2)-1)&lt;=DAY(EOMONTH(DATE(PlanYear,6,1),0))),DATE(PlanYear,6,1)+13-WEEKDAY(DATE(PlanYear,6,1),2),"")</f>
        <v/>
      </c>
      <c r="W26" s="20">
        <f>IF(AND(14-(WEEKDAY(DATE(PlanYear,6,1),2)-1)&gt;=1,14-(WEEKDAY(DATE(PlanYear,6,1),2)-1)&lt;=DAY(EOMONTH(DATE(PlanYear,6,1),0))),DATE(PlanYear,6,1)+14-WEEKDAY(DATE(PlanYear,6,1),2),"")</f>
        <v/>
      </c>
    </row>
    <row r="27" ht="24" customHeight="1">
      <c r="A27" s="21" t="n"/>
      <c r="B27" s="21" t="n"/>
      <c r="C27" s="21" t="n"/>
      <c r="D27" s="21" t="n"/>
      <c r="E27" s="21" t="n"/>
      <c r="F27" s="21" t="n"/>
      <c r="G27" s="21" t="n"/>
      <c r="I27" s="21" t="n"/>
      <c r="J27" s="21" t="n"/>
      <c r="K27" s="21" t="n"/>
      <c r="L27" s="21" t="n"/>
      <c r="M27" s="21" t="n"/>
      <c r="N27" s="21" t="n"/>
      <c r="O27" s="21" t="n"/>
      <c r="Q27" s="21" t="n"/>
      <c r="R27" s="21" t="n"/>
      <c r="S27" s="21" t="n"/>
      <c r="T27" s="21" t="n"/>
      <c r="U27" s="21" t="n"/>
      <c r="V27" s="21" t="n"/>
      <c r="W27" s="21" t="n"/>
    </row>
    <row r="28" ht="14" customHeight="1">
      <c r="A28" s="20">
        <f>IF(AND(15-(WEEKDAY(DATE(PlanYear,4,1),2)-1)&gt;=1,15-(WEEKDAY(DATE(PlanYear,4,1),2)-1)&lt;=DAY(EOMONTH(DATE(PlanYear,4,1),0))),DATE(PlanYear,4,1)+15-WEEKDAY(DATE(PlanYear,4,1),2),"")</f>
        <v/>
      </c>
      <c r="B28" s="20">
        <f>IF(AND(16-(WEEKDAY(DATE(PlanYear,4,1),2)-1)&gt;=1,16-(WEEKDAY(DATE(PlanYear,4,1),2)-1)&lt;=DAY(EOMONTH(DATE(PlanYear,4,1),0))),DATE(PlanYear,4,1)+16-WEEKDAY(DATE(PlanYear,4,1),2),"")</f>
        <v/>
      </c>
      <c r="C28" s="20">
        <f>IF(AND(17-(WEEKDAY(DATE(PlanYear,4,1),2)-1)&gt;=1,17-(WEEKDAY(DATE(PlanYear,4,1),2)-1)&lt;=DAY(EOMONTH(DATE(PlanYear,4,1),0))),DATE(PlanYear,4,1)+17-WEEKDAY(DATE(PlanYear,4,1),2),"")</f>
        <v/>
      </c>
      <c r="D28" s="20">
        <f>IF(AND(18-(WEEKDAY(DATE(PlanYear,4,1),2)-1)&gt;=1,18-(WEEKDAY(DATE(PlanYear,4,1),2)-1)&lt;=DAY(EOMONTH(DATE(PlanYear,4,1),0))),DATE(PlanYear,4,1)+18-WEEKDAY(DATE(PlanYear,4,1),2),"")</f>
        <v/>
      </c>
      <c r="E28" s="20">
        <f>IF(AND(19-(WEEKDAY(DATE(PlanYear,4,1),2)-1)&gt;=1,19-(WEEKDAY(DATE(PlanYear,4,1),2)-1)&lt;=DAY(EOMONTH(DATE(PlanYear,4,1),0))),DATE(PlanYear,4,1)+19-WEEKDAY(DATE(PlanYear,4,1),2),"")</f>
        <v/>
      </c>
      <c r="F28" s="20">
        <f>IF(AND(20-(WEEKDAY(DATE(PlanYear,4,1),2)-1)&gt;=1,20-(WEEKDAY(DATE(PlanYear,4,1),2)-1)&lt;=DAY(EOMONTH(DATE(PlanYear,4,1),0))),DATE(PlanYear,4,1)+20-WEEKDAY(DATE(PlanYear,4,1),2),"")</f>
        <v/>
      </c>
      <c r="G28" s="20">
        <f>IF(AND(21-(WEEKDAY(DATE(PlanYear,4,1),2)-1)&gt;=1,21-(WEEKDAY(DATE(PlanYear,4,1),2)-1)&lt;=DAY(EOMONTH(DATE(PlanYear,4,1),0))),DATE(PlanYear,4,1)+21-WEEKDAY(DATE(PlanYear,4,1),2),"")</f>
        <v/>
      </c>
      <c r="I28" s="20">
        <f>IF(AND(15-(WEEKDAY(DATE(PlanYear,5,1),2)-1)&gt;=1,15-(WEEKDAY(DATE(PlanYear,5,1),2)-1)&lt;=DAY(EOMONTH(DATE(PlanYear,5,1),0))),DATE(PlanYear,5,1)+15-WEEKDAY(DATE(PlanYear,5,1),2),"")</f>
        <v/>
      </c>
      <c r="J28" s="20">
        <f>IF(AND(16-(WEEKDAY(DATE(PlanYear,5,1),2)-1)&gt;=1,16-(WEEKDAY(DATE(PlanYear,5,1),2)-1)&lt;=DAY(EOMONTH(DATE(PlanYear,5,1),0))),DATE(PlanYear,5,1)+16-WEEKDAY(DATE(PlanYear,5,1),2),"")</f>
        <v/>
      </c>
      <c r="K28" s="20">
        <f>IF(AND(17-(WEEKDAY(DATE(PlanYear,5,1),2)-1)&gt;=1,17-(WEEKDAY(DATE(PlanYear,5,1),2)-1)&lt;=DAY(EOMONTH(DATE(PlanYear,5,1),0))),DATE(PlanYear,5,1)+17-WEEKDAY(DATE(PlanYear,5,1),2),"")</f>
        <v/>
      </c>
      <c r="L28" s="20">
        <f>IF(AND(18-(WEEKDAY(DATE(PlanYear,5,1),2)-1)&gt;=1,18-(WEEKDAY(DATE(PlanYear,5,1),2)-1)&lt;=DAY(EOMONTH(DATE(PlanYear,5,1),0))),DATE(PlanYear,5,1)+18-WEEKDAY(DATE(PlanYear,5,1),2),"")</f>
        <v/>
      </c>
      <c r="M28" s="20">
        <f>IF(AND(19-(WEEKDAY(DATE(PlanYear,5,1),2)-1)&gt;=1,19-(WEEKDAY(DATE(PlanYear,5,1),2)-1)&lt;=DAY(EOMONTH(DATE(PlanYear,5,1),0))),DATE(PlanYear,5,1)+19-WEEKDAY(DATE(PlanYear,5,1),2),"")</f>
        <v/>
      </c>
      <c r="N28" s="20">
        <f>IF(AND(20-(WEEKDAY(DATE(PlanYear,5,1),2)-1)&gt;=1,20-(WEEKDAY(DATE(PlanYear,5,1),2)-1)&lt;=DAY(EOMONTH(DATE(PlanYear,5,1),0))),DATE(PlanYear,5,1)+20-WEEKDAY(DATE(PlanYear,5,1),2),"")</f>
        <v/>
      </c>
      <c r="O28" s="20">
        <f>IF(AND(21-(WEEKDAY(DATE(PlanYear,5,1),2)-1)&gt;=1,21-(WEEKDAY(DATE(PlanYear,5,1),2)-1)&lt;=DAY(EOMONTH(DATE(PlanYear,5,1),0))),DATE(PlanYear,5,1)+21-WEEKDAY(DATE(PlanYear,5,1),2),"")</f>
        <v/>
      </c>
      <c r="Q28" s="20">
        <f>IF(AND(15-(WEEKDAY(DATE(PlanYear,6,1),2)-1)&gt;=1,15-(WEEKDAY(DATE(PlanYear,6,1),2)-1)&lt;=DAY(EOMONTH(DATE(PlanYear,6,1),0))),DATE(PlanYear,6,1)+15-WEEKDAY(DATE(PlanYear,6,1),2),"")</f>
        <v/>
      </c>
      <c r="R28" s="20">
        <f>IF(AND(16-(WEEKDAY(DATE(PlanYear,6,1),2)-1)&gt;=1,16-(WEEKDAY(DATE(PlanYear,6,1),2)-1)&lt;=DAY(EOMONTH(DATE(PlanYear,6,1),0))),DATE(PlanYear,6,1)+16-WEEKDAY(DATE(PlanYear,6,1),2),"")</f>
        <v/>
      </c>
      <c r="S28" s="20">
        <f>IF(AND(17-(WEEKDAY(DATE(PlanYear,6,1),2)-1)&gt;=1,17-(WEEKDAY(DATE(PlanYear,6,1),2)-1)&lt;=DAY(EOMONTH(DATE(PlanYear,6,1),0))),DATE(PlanYear,6,1)+17-WEEKDAY(DATE(PlanYear,6,1),2),"")</f>
        <v/>
      </c>
      <c r="T28" s="20">
        <f>IF(AND(18-(WEEKDAY(DATE(PlanYear,6,1),2)-1)&gt;=1,18-(WEEKDAY(DATE(PlanYear,6,1),2)-1)&lt;=DAY(EOMONTH(DATE(PlanYear,6,1),0))),DATE(PlanYear,6,1)+18-WEEKDAY(DATE(PlanYear,6,1),2),"")</f>
        <v/>
      </c>
      <c r="U28" s="20">
        <f>IF(AND(19-(WEEKDAY(DATE(PlanYear,6,1),2)-1)&gt;=1,19-(WEEKDAY(DATE(PlanYear,6,1),2)-1)&lt;=DAY(EOMONTH(DATE(PlanYear,6,1),0))),DATE(PlanYear,6,1)+19-WEEKDAY(DATE(PlanYear,6,1),2),"")</f>
        <v/>
      </c>
      <c r="V28" s="20">
        <f>IF(AND(20-(WEEKDAY(DATE(PlanYear,6,1),2)-1)&gt;=1,20-(WEEKDAY(DATE(PlanYear,6,1),2)-1)&lt;=DAY(EOMONTH(DATE(PlanYear,6,1),0))),DATE(PlanYear,6,1)+20-WEEKDAY(DATE(PlanYear,6,1),2),"")</f>
        <v/>
      </c>
      <c r="W28" s="20">
        <f>IF(AND(21-(WEEKDAY(DATE(PlanYear,6,1),2)-1)&gt;=1,21-(WEEKDAY(DATE(PlanYear,6,1),2)-1)&lt;=DAY(EOMONTH(DATE(PlanYear,6,1),0))),DATE(PlanYear,6,1)+21-WEEKDAY(DATE(PlanYear,6,1),2),"")</f>
        <v/>
      </c>
    </row>
    <row r="29" ht="24" customHeight="1">
      <c r="A29" s="21" t="n"/>
      <c r="B29" s="21" t="n"/>
      <c r="C29" s="21" t="n"/>
      <c r="D29" s="21" t="n"/>
      <c r="E29" s="21" t="n"/>
      <c r="F29" s="21" t="n"/>
      <c r="G29" s="21" t="n"/>
      <c r="I29" s="21" t="n"/>
      <c r="J29" s="21" t="n"/>
      <c r="K29" s="21" t="n"/>
      <c r="L29" s="21" t="n"/>
      <c r="M29" s="21" t="n"/>
      <c r="N29" s="21" t="n"/>
      <c r="O29" s="21" t="n"/>
      <c r="Q29" s="21" t="n"/>
      <c r="R29" s="21" t="n"/>
      <c r="S29" s="21" t="n"/>
      <c r="T29" s="21" t="n"/>
      <c r="U29" s="21" t="n"/>
      <c r="V29" s="21" t="n"/>
      <c r="W29" s="21" t="n"/>
    </row>
    <row r="30" ht="14" customHeight="1">
      <c r="A30" s="20">
        <f>IF(AND(22-(WEEKDAY(DATE(PlanYear,4,1),2)-1)&gt;=1,22-(WEEKDAY(DATE(PlanYear,4,1),2)-1)&lt;=DAY(EOMONTH(DATE(PlanYear,4,1),0))),DATE(PlanYear,4,1)+22-WEEKDAY(DATE(PlanYear,4,1),2),"")</f>
        <v/>
      </c>
      <c r="B30" s="20">
        <f>IF(AND(23-(WEEKDAY(DATE(PlanYear,4,1),2)-1)&gt;=1,23-(WEEKDAY(DATE(PlanYear,4,1),2)-1)&lt;=DAY(EOMONTH(DATE(PlanYear,4,1),0))),DATE(PlanYear,4,1)+23-WEEKDAY(DATE(PlanYear,4,1),2),"")</f>
        <v/>
      </c>
      <c r="C30" s="20">
        <f>IF(AND(24-(WEEKDAY(DATE(PlanYear,4,1),2)-1)&gt;=1,24-(WEEKDAY(DATE(PlanYear,4,1),2)-1)&lt;=DAY(EOMONTH(DATE(PlanYear,4,1),0))),DATE(PlanYear,4,1)+24-WEEKDAY(DATE(PlanYear,4,1),2),"")</f>
        <v/>
      </c>
      <c r="D30" s="20">
        <f>IF(AND(25-(WEEKDAY(DATE(PlanYear,4,1),2)-1)&gt;=1,25-(WEEKDAY(DATE(PlanYear,4,1),2)-1)&lt;=DAY(EOMONTH(DATE(PlanYear,4,1),0))),DATE(PlanYear,4,1)+25-WEEKDAY(DATE(PlanYear,4,1),2),"")</f>
        <v/>
      </c>
      <c r="E30" s="20">
        <f>IF(AND(26-(WEEKDAY(DATE(PlanYear,4,1),2)-1)&gt;=1,26-(WEEKDAY(DATE(PlanYear,4,1),2)-1)&lt;=DAY(EOMONTH(DATE(PlanYear,4,1),0))),DATE(PlanYear,4,1)+26-WEEKDAY(DATE(PlanYear,4,1),2),"")</f>
        <v/>
      </c>
      <c r="F30" s="20">
        <f>IF(AND(27-(WEEKDAY(DATE(PlanYear,4,1),2)-1)&gt;=1,27-(WEEKDAY(DATE(PlanYear,4,1),2)-1)&lt;=DAY(EOMONTH(DATE(PlanYear,4,1),0))),DATE(PlanYear,4,1)+27-WEEKDAY(DATE(PlanYear,4,1),2),"")</f>
        <v/>
      </c>
      <c r="G30" s="20">
        <f>IF(AND(28-(WEEKDAY(DATE(PlanYear,4,1),2)-1)&gt;=1,28-(WEEKDAY(DATE(PlanYear,4,1),2)-1)&lt;=DAY(EOMONTH(DATE(PlanYear,4,1),0))),DATE(PlanYear,4,1)+28-WEEKDAY(DATE(PlanYear,4,1),2),"")</f>
        <v/>
      </c>
      <c r="I30" s="20">
        <f>IF(AND(22-(WEEKDAY(DATE(PlanYear,5,1),2)-1)&gt;=1,22-(WEEKDAY(DATE(PlanYear,5,1),2)-1)&lt;=DAY(EOMONTH(DATE(PlanYear,5,1),0))),DATE(PlanYear,5,1)+22-WEEKDAY(DATE(PlanYear,5,1),2),"")</f>
        <v/>
      </c>
      <c r="J30" s="20">
        <f>IF(AND(23-(WEEKDAY(DATE(PlanYear,5,1),2)-1)&gt;=1,23-(WEEKDAY(DATE(PlanYear,5,1),2)-1)&lt;=DAY(EOMONTH(DATE(PlanYear,5,1),0))),DATE(PlanYear,5,1)+23-WEEKDAY(DATE(PlanYear,5,1),2),"")</f>
        <v/>
      </c>
      <c r="K30" s="20">
        <f>IF(AND(24-(WEEKDAY(DATE(PlanYear,5,1),2)-1)&gt;=1,24-(WEEKDAY(DATE(PlanYear,5,1),2)-1)&lt;=DAY(EOMONTH(DATE(PlanYear,5,1),0))),DATE(PlanYear,5,1)+24-WEEKDAY(DATE(PlanYear,5,1),2),"")</f>
        <v/>
      </c>
      <c r="L30" s="20">
        <f>IF(AND(25-(WEEKDAY(DATE(PlanYear,5,1),2)-1)&gt;=1,25-(WEEKDAY(DATE(PlanYear,5,1),2)-1)&lt;=DAY(EOMONTH(DATE(PlanYear,5,1),0))),DATE(PlanYear,5,1)+25-WEEKDAY(DATE(PlanYear,5,1),2),"")</f>
        <v/>
      </c>
      <c r="M30" s="20">
        <f>IF(AND(26-(WEEKDAY(DATE(PlanYear,5,1),2)-1)&gt;=1,26-(WEEKDAY(DATE(PlanYear,5,1),2)-1)&lt;=DAY(EOMONTH(DATE(PlanYear,5,1),0))),DATE(PlanYear,5,1)+26-WEEKDAY(DATE(PlanYear,5,1),2),"")</f>
        <v/>
      </c>
      <c r="N30" s="20">
        <f>IF(AND(27-(WEEKDAY(DATE(PlanYear,5,1),2)-1)&gt;=1,27-(WEEKDAY(DATE(PlanYear,5,1),2)-1)&lt;=DAY(EOMONTH(DATE(PlanYear,5,1),0))),DATE(PlanYear,5,1)+27-WEEKDAY(DATE(PlanYear,5,1),2),"")</f>
        <v/>
      </c>
      <c r="O30" s="20">
        <f>IF(AND(28-(WEEKDAY(DATE(PlanYear,5,1),2)-1)&gt;=1,28-(WEEKDAY(DATE(PlanYear,5,1),2)-1)&lt;=DAY(EOMONTH(DATE(PlanYear,5,1),0))),DATE(PlanYear,5,1)+28-WEEKDAY(DATE(PlanYear,5,1),2),"")</f>
        <v/>
      </c>
      <c r="Q30" s="20">
        <f>IF(AND(22-(WEEKDAY(DATE(PlanYear,6,1),2)-1)&gt;=1,22-(WEEKDAY(DATE(PlanYear,6,1),2)-1)&lt;=DAY(EOMONTH(DATE(PlanYear,6,1),0))),DATE(PlanYear,6,1)+22-WEEKDAY(DATE(PlanYear,6,1),2),"")</f>
        <v/>
      </c>
      <c r="R30" s="20">
        <f>IF(AND(23-(WEEKDAY(DATE(PlanYear,6,1),2)-1)&gt;=1,23-(WEEKDAY(DATE(PlanYear,6,1),2)-1)&lt;=DAY(EOMONTH(DATE(PlanYear,6,1),0))),DATE(PlanYear,6,1)+23-WEEKDAY(DATE(PlanYear,6,1),2),"")</f>
        <v/>
      </c>
      <c r="S30" s="20">
        <f>IF(AND(24-(WEEKDAY(DATE(PlanYear,6,1),2)-1)&gt;=1,24-(WEEKDAY(DATE(PlanYear,6,1),2)-1)&lt;=DAY(EOMONTH(DATE(PlanYear,6,1),0))),DATE(PlanYear,6,1)+24-WEEKDAY(DATE(PlanYear,6,1),2),"")</f>
        <v/>
      </c>
      <c r="T30" s="20">
        <f>IF(AND(25-(WEEKDAY(DATE(PlanYear,6,1),2)-1)&gt;=1,25-(WEEKDAY(DATE(PlanYear,6,1),2)-1)&lt;=DAY(EOMONTH(DATE(PlanYear,6,1),0))),DATE(PlanYear,6,1)+25-WEEKDAY(DATE(PlanYear,6,1),2),"")</f>
        <v/>
      </c>
      <c r="U30" s="20">
        <f>IF(AND(26-(WEEKDAY(DATE(PlanYear,6,1),2)-1)&gt;=1,26-(WEEKDAY(DATE(PlanYear,6,1),2)-1)&lt;=DAY(EOMONTH(DATE(PlanYear,6,1),0))),DATE(PlanYear,6,1)+26-WEEKDAY(DATE(PlanYear,6,1),2),"")</f>
        <v/>
      </c>
      <c r="V30" s="20">
        <f>IF(AND(27-(WEEKDAY(DATE(PlanYear,6,1),2)-1)&gt;=1,27-(WEEKDAY(DATE(PlanYear,6,1),2)-1)&lt;=DAY(EOMONTH(DATE(PlanYear,6,1),0))),DATE(PlanYear,6,1)+27-WEEKDAY(DATE(PlanYear,6,1),2),"")</f>
        <v/>
      </c>
      <c r="W30" s="20">
        <f>IF(AND(28-(WEEKDAY(DATE(PlanYear,6,1),2)-1)&gt;=1,28-(WEEKDAY(DATE(PlanYear,6,1),2)-1)&lt;=DAY(EOMONTH(DATE(PlanYear,6,1),0))),DATE(PlanYear,6,1)+28-WEEKDAY(DATE(PlanYear,6,1),2),"")</f>
        <v/>
      </c>
    </row>
    <row r="31" ht="24" customHeight="1">
      <c r="A31" s="21" t="n"/>
      <c r="B31" s="21" t="n"/>
      <c r="C31" s="21" t="n"/>
      <c r="D31" s="21" t="n"/>
      <c r="E31" s="21" t="n"/>
      <c r="F31" s="21" t="n"/>
      <c r="G31" s="21" t="n"/>
      <c r="I31" s="21" t="n"/>
      <c r="J31" s="21" t="n"/>
      <c r="K31" s="21" t="n"/>
      <c r="L31" s="21" t="n"/>
      <c r="M31" s="21" t="n"/>
      <c r="N31" s="21" t="n"/>
      <c r="O31" s="21" t="n"/>
      <c r="Q31" s="21" t="n"/>
      <c r="R31" s="21" t="n"/>
      <c r="S31" s="21" t="n"/>
      <c r="T31" s="21" t="n"/>
      <c r="U31" s="21" t="n"/>
      <c r="V31" s="21" t="n"/>
      <c r="W31" s="21" t="n"/>
    </row>
    <row r="32" ht="14" customHeight="1">
      <c r="A32" s="20">
        <f>IF(AND(29-(WEEKDAY(DATE(PlanYear,4,1),2)-1)&gt;=1,29-(WEEKDAY(DATE(PlanYear,4,1),2)-1)&lt;=DAY(EOMONTH(DATE(PlanYear,4,1),0))),DATE(PlanYear,4,1)+29-WEEKDAY(DATE(PlanYear,4,1),2),"")</f>
        <v/>
      </c>
      <c r="B32" s="20">
        <f>IF(AND(30-(WEEKDAY(DATE(PlanYear,4,1),2)-1)&gt;=1,30-(WEEKDAY(DATE(PlanYear,4,1),2)-1)&lt;=DAY(EOMONTH(DATE(PlanYear,4,1),0))),DATE(PlanYear,4,1)+30-WEEKDAY(DATE(PlanYear,4,1),2),"")</f>
        <v/>
      </c>
      <c r="C32" s="20">
        <f>IF(AND(31-(WEEKDAY(DATE(PlanYear,4,1),2)-1)&gt;=1,31-(WEEKDAY(DATE(PlanYear,4,1),2)-1)&lt;=DAY(EOMONTH(DATE(PlanYear,4,1),0))),DATE(PlanYear,4,1)+31-WEEKDAY(DATE(PlanYear,4,1),2),"")</f>
        <v/>
      </c>
      <c r="D32" s="20">
        <f>IF(AND(32-(WEEKDAY(DATE(PlanYear,4,1),2)-1)&gt;=1,32-(WEEKDAY(DATE(PlanYear,4,1),2)-1)&lt;=DAY(EOMONTH(DATE(PlanYear,4,1),0))),DATE(PlanYear,4,1)+32-WEEKDAY(DATE(PlanYear,4,1),2),"")</f>
        <v/>
      </c>
      <c r="E32" s="20">
        <f>IF(AND(33-(WEEKDAY(DATE(PlanYear,4,1),2)-1)&gt;=1,33-(WEEKDAY(DATE(PlanYear,4,1),2)-1)&lt;=DAY(EOMONTH(DATE(PlanYear,4,1),0))),DATE(PlanYear,4,1)+33-WEEKDAY(DATE(PlanYear,4,1),2),"")</f>
        <v/>
      </c>
      <c r="F32" s="20">
        <f>IF(AND(34-(WEEKDAY(DATE(PlanYear,4,1),2)-1)&gt;=1,34-(WEEKDAY(DATE(PlanYear,4,1),2)-1)&lt;=DAY(EOMONTH(DATE(PlanYear,4,1),0))),DATE(PlanYear,4,1)+34-WEEKDAY(DATE(PlanYear,4,1),2),"")</f>
        <v/>
      </c>
      <c r="G32" s="20">
        <f>IF(AND(35-(WEEKDAY(DATE(PlanYear,4,1),2)-1)&gt;=1,35-(WEEKDAY(DATE(PlanYear,4,1),2)-1)&lt;=DAY(EOMONTH(DATE(PlanYear,4,1),0))),DATE(PlanYear,4,1)+35-WEEKDAY(DATE(PlanYear,4,1),2),"")</f>
        <v/>
      </c>
      <c r="I32" s="20">
        <f>IF(AND(29-(WEEKDAY(DATE(PlanYear,5,1),2)-1)&gt;=1,29-(WEEKDAY(DATE(PlanYear,5,1),2)-1)&lt;=DAY(EOMONTH(DATE(PlanYear,5,1),0))),DATE(PlanYear,5,1)+29-WEEKDAY(DATE(PlanYear,5,1),2),"")</f>
        <v/>
      </c>
      <c r="J32" s="20">
        <f>IF(AND(30-(WEEKDAY(DATE(PlanYear,5,1),2)-1)&gt;=1,30-(WEEKDAY(DATE(PlanYear,5,1),2)-1)&lt;=DAY(EOMONTH(DATE(PlanYear,5,1),0))),DATE(PlanYear,5,1)+30-WEEKDAY(DATE(PlanYear,5,1),2),"")</f>
        <v/>
      </c>
      <c r="K32" s="20">
        <f>IF(AND(31-(WEEKDAY(DATE(PlanYear,5,1),2)-1)&gt;=1,31-(WEEKDAY(DATE(PlanYear,5,1),2)-1)&lt;=DAY(EOMONTH(DATE(PlanYear,5,1),0))),DATE(PlanYear,5,1)+31-WEEKDAY(DATE(PlanYear,5,1),2),"")</f>
        <v/>
      </c>
      <c r="L32" s="20">
        <f>IF(AND(32-(WEEKDAY(DATE(PlanYear,5,1),2)-1)&gt;=1,32-(WEEKDAY(DATE(PlanYear,5,1),2)-1)&lt;=DAY(EOMONTH(DATE(PlanYear,5,1),0))),DATE(PlanYear,5,1)+32-WEEKDAY(DATE(PlanYear,5,1),2),"")</f>
        <v/>
      </c>
      <c r="M32" s="20">
        <f>IF(AND(33-(WEEKDAY(DATE(PlanYear,5,1),2)-1)&gt;=1,33-(WEEKDAY(DATE(PlanYear,5,1),2)-1)&lt;=DAY(EOMONTH(DATE(PlanYear,5,1),0))),DATE(PlanYear,5,1)+33-WEEKDAY(DATE(PlanYear,5,1),2),"")</f>
        <v/>
      </c>
      <c r="N32" s="20">
        <f>IF(AND(34-(WEEKDAY(DATE(PlanYear,5,1),2)-1)&gt;=1,34-(WEEKDAY(DATE(PlanYear,5,1),2)-1)&lt;=DAY(EOMONTH(DATE(PlanYear,5,1),0))),DATE(PlanYear,5,1)+34-WEEKDAY(DATE(PlanYear,5,1),2),"")</f>
        <v/>
      </c>
      <c r="O32" s="20">
        <f>IF(AND(35-(WEEKDAY(DATE(PlanYear,5,1),2)-1)&gt;=1,35-(WEEKDAY(DATE(PlanYear,5,1),2)-1)&lt;=DAY(EOMONTH(DATE(PlanYear,5,1),0))),DATE(PlanYear,5,1)+35-WEEKDAY(DATE(PlanYear,5,1),2),"")</f>
        <v/>
      </c>
      <c r="Q32" s="20">
        <f>IF(AND(29-(WEEKDAY(DATE(PlanYear,6,1),2)-1)&gt;=1,29-(WEEKDAY(DATE(PlanYear,6,1),2)-1)&lt;=DAY(EOMONTH(DATE(PlanYear,6,1),0))),DATE(PlanYear,6,1)+29-WEEKDAY(DATE(PlanYear,6,1),2),"")</f>
        <v/>
      </c>
      <c r="R32" s="20">
        <f>IF(AND(30-(WEEKDAY(DATE(PlanYear,6,1),2)-1)&gt;=1,30-(WEEKDAY(DATE(PlanYear,6,1),2)-1)&lt;=DAY(EOMONTH(DATE(PlanYear,6,1),0))),DATE(PlanYear,6,1)+30-WEEKDAY(DATE(PlanYear,6,1),2),"")</f>
        <v/>
      </c>
      <c r="S32" s="20">
        <f>IF(AND(31-(WEEKDAY(DATE(PlanYear,6,1),2)-1)&gt;=1,31-(WEEKDAY(DATE(PlanYear,6,1),2)-1)&lt;=DAY(EOMONTH(DATE(PlanYear,6,1),0))),DATE(PlanYear,6,1)+31-WEEKDAY(DATE(PlanYear,6,1),2),"")</f>
        <v/>
      </c>
      <c r="T32" s="20">
        <f>IF(AND(32-(WEEKDAY(DATE(PlanYear,6,1),2)-1)&gt;=1,32-(WEEKDAY(DATE(PlanYear,6,1),2)-1)&lt;=DAY(EOMONTH(DATE(PlanYear,6,1),0))),DATE(PlanYear,6,1)+32-WEEKDAY(DATE(PlanYear,6,1),2),"")</f>
        <v/>
      </c>
      <c r="U32" s="20">
        <f>IF(AND(33-(WEEKDAY(DATE(PlanYear,6,1),2)-1)&gt;=1,33-(WEEKDAY(DATE(PlanYear,6,1),2)-1)&lt;=DAY(EOMONTH(DATE(PlanYear,6,1),0))),DATE(PlanYear,6,1)+33-WEEKDAY(DATE(PlanYear,6,1),2),"")</f>
        <v/>
      </c>
      <c r="V32" s="20">
        <f>IF(AND(34-(WEEKDAY(DATE(PlanYear,6,1),2)-1)&gt;=1,34-(WEEKDAY(DATE(PlanYear,6,1),2)-1)&lt;=DAY(EOMONTH(DATE(PlanYear,6,1),0))),DATE(PlanYear,6,1)+34-WEEKDAY(DATE(PlanYear,6,1),2),"")</f>
        <v/>
      </c>
      <c r="W32" s="20">
        <f>IF(AND(35-(WEEKDAY(DATE(PlanYear,6,1),2)-1)&gt;=1,35-(WEEKDAY(DATE(PlanYear,6,1),2)-1)&lt;=DAY(EOMONTH(DATE(PlanYear,6,1),0))),DATE(PlanYear,6,1)+35-WEEKDAY(DATE(PlanYear,6,1),2),"")</f>
        <v/>
      </c>
    </row>
    <row r="33" ht="24" customHeight="1">
      <c r="A33" s="21" t="n"/>
      <c r="B33" s="21" t="n"/>
      <c r="C33" s="21" t="n"/>
      <c r="D33" s="21" t="n"/>
      <c r="E33" s="21" t="n"/>
      <c r="F33" s="21" t="n"/>
      <c r="G33" s="21" t="n"/>
      <c r="I33" s="21" t="n"/>
      <c r="J33" s="21" t="n"/>
      <c r="K33" s="21" t="n"/>
      <c r="L33" s="21" t="n"/>
      <c r="M33" s="21" t="n"/>
      <c r="N33" s="21" t="n"/>
      <c r="O33" s="21" t="n"/>
      <c r="Q33" s="21" t="n"/>
      <c r="R33" s="21" t="n"/>
      <c r="S33" s="21" t="n"/>
      <c r="T33" s="21" t="n"/>
      <c r="U33" s="21" t="n"/>
      <c r="V33" s="21" t="n"/>
      <c r="W33" s="21" t="n"/>
    </row>
    <row r="34" ht="14" customHeight="1">
      <c r="A34" s="20">
        <f>IF(AND(36-(WEEKDAY(DATE(PlanYear,4,1),2)-1)&gt;=1,36-(WEEKDAY(DATE(PlanYear,4,1),2)-1)&lt;=DAY(EOMONTH(DATE(PlanYear,4,1),0))),DATE(PlanYear,4,1)+36-WEEKDAY(DATE(PlanYear,4,1),2),"")</f>
        <v/>
      </c>
      <c r="B34" s="20">
        <f>IF(AND(37-(WEEKDAY(DATE(PlanYear,4,1),2)-1)&gt;=1,37-(WEEKDAY(DATE(PlanYear,4,1),2)-1)&lt;=DAY(EOMONTH(DATE(PlanYear,4,1),0))),DATE(PlanYear,4,1)+37-WEEKDAY(DATE(PlanYear,4,1),2),"")</f>
        <v/>
      </c>
      <c r="C34" s="20">
        <f>IF(AND(38-(WEEKDAY(DATE(PlanYear,4,1),2)-1)&gt;=1,38-(WEEKDAY(DATE(PlanYear,4,1),2)-1)&lt;=DAY(EOMONTH(DATE(PlanYear,4,1),0))),DATE(PlanYear,4,1)+38-WEEKDAY(DATE(PlanYear,4,1),2),"")</f>
        <v/>
      </c>
      <c r="D34" s="20">
        <f>IF(AND(39-(WEEKDAY(DATE(PlanYear,4,1),2)-1)&gt;=1,39-(WEEKDAY(DATE(PlanYear,4,1),2)-1)&lt;=DAY(EOMONTH(DATE(PlanYear,4,1),0))),DATE(PlanYear,4,1)+39-WEEKDAY(DATE(PlanYear,4,1),2),"")</f>
        <v/>
      </c>
      <c r="E34" s="20">
        <f>IF(AND(40-(WEEKDAY(DATE(PlanYear,4,1),2)-1)&gt;=1,40-(WEEKDAY(DATE(PlanYear,4,1),2)-1)&lt;=DAY(EOMONTH(DATE(PlanYear,4,1),0))),DATE(PlanYear,4,1)+40-WEEKDAY(DATE(PlanYear,4,1),2),"")</f>
        <v/>
      </c>
      <c r="F34" s="20">
        <f>IF(AND(41-(WEEKDAY(DATE(PlanYear,4,1),2)-1)&gt;=1,41-(WEEKDAY(DATE(PlanYear,4,1),2)-1)&lt;=DAY(EOMONTH(DATE(PlanYear,4,1),0))),DATE(PlanYear,4,1)+41-WEEKDAY(DATE(PlanYear,4,1),2),"")</f>
        <v/>
      </c>
      <c r="G34" s="20">
        <f>IF(AND(42-(WEEKDAY(DATE(PlanYear,4,1),2)-1)&gt;=1,42-(WEEKDAY(DATE(PlanYear,4,1),2)-1)&lt;=DAY(EOMONTH(DATE(PlanYear,4,1),0))),DATE(PlanYear,4,1)+42-WEEKDAY(DATE(PlanYear,4,1),2),"")</f>
        <v/>
      </c>
      <c r="I34" s="20">
        <f>IF(AND(36-(WEEKDAY(DATE(PlanYear,5,1),2)-1)&gt;=1,36-(WEEKDAY(DATE(PlanYear,5,1),2)-1)&lt;=DAY(EOMONTH(DATE(PlanYear,5,1),0))),DATE(PlanYear,5,1)+36-WEEKDAY(DATE(PlanYear,5,1),2),"")</f>
        <v/>
      </c>
      <c r="J34" s="20">
        <f>IF(AND(37-(WEEKDAY(DATE(PlanYear,5,1),2)-1)&gt;=1,37-(WEEKDAY(DATE(PlanYear,5,1),2)-1)&lt;=DAY(EOMONTH(DATE(PlanYear,5,1),0))),DATE(PlanYear,5,1)+37-WEEKDAY(DATE(PlanYear,5,1),2),"")</f>
        <v/>
      </c>
      <c r="K34" s="20">
        <f>IF(AND(38-(WEEKDAY(DATE(PlanYear,5,1),2)-1)&gt;=1,38-(WEEKDAY(DATE(PlanYear,5,1),2)-1)&lt;=DAY(EOMONTH(DATE(PlanYear,5,1),0))),DATE(PlanYear,5,1)+38-WEEKDAY(DATE(PlanYear,5,1),2),"")</f>
        <v/>
      </c>
      <c r="L34" s="20">
        <f>IF(AND(39-(WEEKDAY(DATE(PlanYear,5,1),2)-1)&gt;=1,39-(WEEKDAY(DATE(PlanYear,5,1),2)-1)&lt;=DAY(EOMONTH(DATE(PlanYear,5,1),0))),DATE(PlanYear,5,1)+39-WEEKDAY(DATE(PlanYear,5,1),2),"")</f>
        <v/>
      </c>
      <c r="M34" s="20">
        <f>IF(AND(40-(WEEKDAY(DATE(PlanYear,5,1),2)-1)&gt;=1,40-(WEEKDAY(DATE(PlanYear,5,1),2)-1)&lt;=DAY(EOMONTH(DATE(PlanYear,5,1),0))),DATE(PlanYear,5,1)+40-WEEKDAY(DATE(PlanYear,5,1),2),"")</f>
        <v/>
      </c>
      <c r="N34" s="20">
        <f>IF(AND(41-(WEEKDAY(DATE(PlanYear,5,1),2)-1)&gt;=1,41-(WEEKDAY(DATE(PlanYear,5,1),2)-1)&lt;=DAY(EOMONTH(DATE(PlanYear,5,1),0))),DATE(PlanYear,5,1)+41-WEEKDAY(DATE(PlanYear,5,1),2),"")</f>
        <v/>
      </c>
      <c r="O34" s="20">
        <f>IF(AND(42-(WEEKDAY(DATE(PlanYear,5,1),2)-1)&gt;=1,42-(WEEKDAY(DATE(PlanYear,5,1),2)-1)&lt;=DAY(EOMONTH(DATE(PlanYear,5,1),0))),DATE(PlanYear,5,1)+42-WEEKDAY(DATE(PlanYear,5,1),2),"")</f>
        <v/>
      </c>
      <c r="Q34" s="20">
        <f>IF(AND(36-(WEEKDAY(DATE(PlanYear,6,1),2)-1)&gt;=1,36-(WEEKDAY(DATE(PlanYear,6,1),2)-1)&lt;=DAY(EOMONTH(DATE(PlanYear,6,1),0))),DATE(PlanYear,6,1)+36-WEEKDAY(DATE(PlanYear,6,1),2),"")</f>
        <v/>
      </c>
      <c r="R34" s="20">
        <f>IF(AND(37-(WEEKDAY(DATE(PlanYear,6,1),2)-1)&gt;=1,37-(WEEKDAY(DATE(PlanYear,6,1),2)-1)&lt;=DAY(EOMONTH(DATE(PlanYear,6,1),0))),DATE(PlanYear,6,1)+37-WEEKDAY(DATE(PlanYear,6,1),2),"")</f>
        <v/>
      </c>
      <c r="S34" s="20">
        <f>IF(AND(38-(WEEKDAY(DATE(PlanYear,6,1),2)-1)&gt;=1,38-(WEEKDAY(DATE(PlanYear,6,1),2)-1)&lt;=DAY(EOMONTH(DATE(PlanYear,6,1),0))),DATE(PlanYear,6,1)+38-WEEKDAY(DATE(PlanYear,6,1),2),"")</f>
        <v/>
      </c>
      <c r="T34" s="20">
        <f>IF(AND(39-(WEEKDAY(DATE(PlanYear,6,1),2)-1)&gt;=1,39-(WEEKDAY(DATE(PlanYear,6,1),2)-1)&lt;=DAY(EOMONTH(DATE(PlanYear,6,1),0))),DATE(PlanYear,6,1)+39-WEEKDAY(DATE(PlanYear,6,1),2),"")</f>
        <v/>
      </c>
      <c r="U34" s="20">
        <f>IF(AND(40-(WEEKDAY(DATE(PlanYear,6,1),2)-1)&gt;=1,40-(WEEKDAY(DATE(PlanYear,6,1),2)-1)&lt;=DAY(EOMONTH(DATE(PlanYear,6,1),0))),DATE(PlanYear,6,1)+40-WEEKDAY(DATE(PlanYear,6,1),2),"")</f>
        <v/>
      </c>
      <c r="V34" s="20">
        <f>IF(AND(41-(WEEKDAY(DATE(PlanYear,6,1),2)-1)&gt;=1,41-(WEEKDAY(DATE(PlanYear,6,1),2)-1)&lt;=DAY(EOMONTH(DATE(PlanYear,6,1),0))),DATE(PlanYear,6,1)+41-WEEKDAY(DATE(PlanYear,6,1),2),"")</f>
        <v/>
      </c>
      <c r="W34" s="20">
        <f>IF(AND(42-(WEEKDAY(DATE(PlanYear,6,1),2)-1)&gt;=1,42-(WEEKDAY(DATE(PlanYear,6,1),2)-1)&lt;=DAY(EOMONTH(DATE(PlanYear,6,1),0))),DATE(PlanYear,6,1)+42-WEEKDAY(DATE(PlanYear,6,1),2),"")</f>
        <v/>
      </c>
    </row>
    <row r="35" ht="24" customHeight="1">
      <c r="A35" s="21" t="n"/>
      <c r="B35" s="21" t="n"/>
      <c r="C35" s="21" t="n"/>
      <c r="D35" s="21" t="n"/>
      <c r="E35" s="21" t="n"/>
      <c r="F35" s="21" t="n"/>
      <c r="G35" s="21" t="n"/>
      <c r="I35" s="21" t="n"/>
      <c r="J35" s="21" t="n"/>
      <c r="K35" s="21" t="n"/>
      <c r="L35" s="21" t="n"/>
      <c r="M35" s="21" t="n"/>
      <c r="N35" s="21" t="n"/>
      <c r="O35" s="21" t="n"/>
      <c r="Q35" s="21" t="n"/>
      <c r="R35" s="21" t="n"/>
      <c r="S35" s="21" t="n"/>
      <c r="T35" s="21" t="n"/>
      <c r="U35" s="21" t="n"/>
      <c r="V35" s="21" t="n"/>
      <c r="W35" s="21" t="n"/>
    </row>
    <row r="36" ht="10" customHeight="1"/>
    <row r="37" ht="10" customHeight="1"/>
    <row r="38" ht="20" customHeight="1">
      <c r="A38" s="24">
        <f>UPPER(TEXT(DATE(PlanYear,7,1),"mmmm yyyy"))&amp;"  ·  SDO"</f>
        <v/>
      </c>
      <c r="B38" s="25" t="n"/>
      <c r="C38" s="25" t="n"/>
      <c r="D38" s="25" t="n"/>
      <c r="E38" s="25" t="n"/>
      <c r="F38" s="25" t="n"/>
      <c r="G38" s="25" t="n"/>
      <c r="I38" s="24">
        <f>UPPER(TEXT(DATE(PlanYear,8,1),"mmmm yyyy"))&amp;"  ·  SDO"</f>
        <v/>
      </c>
      <c r="J38" s="25" t="n"/>
      <c r="K38" s="25" t="n"/>
      <c r="L38" s="25" t="n"/>
      <c r="M38" s="25" t="n"/>
      <c r="N38" s="25" t="n"/>
      <c r="O38" s="25" t="n"/>
      <c r="Q38" s="24">
        <f>UPPER(TEXT(DATE(PlanYear,9,1),"mmmm yyyy"))&amp;"  ·  SDO"</f>
        <v/>
      </c>
      <c r="R38" s="25" t="n"/>
      <c r="S38" s="25" t="n"/>
      <c r="T38" s="25" t="n"/>
      <c r="U38" s="25" t="n"/>
      <c r="V38" s="25" t="n"/>
      <c r="W38" s="25" t="n"/>
    </row>
    <row r="39" ht="15" customHeight="1">
      <c r="A39" s="18" t="inlineStr">
        <is>
          <t>Mon</t>
        </is>
      </c>
      <c r="B39" s="18" t="inlineStr">
        <is>
          <t>Tue</t>
        </is>
      </c>
      <c r="C39" s="18" t="inlineStr">
        <is>
          <t>Wed</t>
        </is>
      </c>
      <c r="D39" s="18" t="inlineStr">
        <is>
          <t>Thu</t>
        </is>
      </c>
      <c r="E39" s="18" t="inlineStr">
        <is>
          <t>Fri</t>
        </is>
      </c>
      <c r="F39" s="19" t="inlineStr">
        <is>
          <t>Sat</t>
        </is>
      </c>
      <c r="G39" s="19" t="inlineStr">
        <is>
          <t>Sun</t>
        </is>
      </c>
      <c r="I39" s="18" t="inlineStr">
        <is>
          <t>Mon</t>
        </is>
      </c>
      <c r="J39" s="18" t="inlineStr">
        <is>
          <t>Tue</t>
        </is>
      </c>
      <c r="K39" s="18" t="inlineStr">
        <is>
          <t>Wed</t>
        </is>
      </c>
      <c r="L39" s="18" t="inlineStr">
        <is>
          <t>Thu</t>
        </is>
      </c>
      <c r="M39" s="18" t="inlineStr">
        <is>
          <t>Fri</t>
        </is>
      </c>
      <c r="N39" s="19" t="inlineStr">
        <is>
          <t>Sat</t>
        </is>
      </c>
      <c r="O39" s="19" t="inlineStr">
        <is>
          <t>Sun</t>
        </is>
      </c>
      <c r="Q39" s="18" t="inlineStr">
        <is>
          <t>Mon</t>
        </is>
      </c>
      <c r="R39" s="18" t="inlineStr">
        <is>
          <t>Tue</t>
        </is>
      </c>
      <c r="S39" s="18" t="inlineStr">
        <is>
          <t>Wed</t>
        </is>
      </c>
      <c r="T39" s="18" t="inlineStr">
        <is>
          <t>Thu</t>
        </is>
      </c>
      <c r="U39" s="18" t="inlineStr">
        <is>
          <t>Fri</t>
        </is>
      </c>
      <c r="V39" s="19" t="inlineStr">
        <is>
          <t>Sat</t>
        </is>
      </c>
      <c r="W39" s="19" t="inlineStr">
        <is>
          <t>Sun</t>
        </is>
      </c>
    </row>
    <row r="40" ht="14" customHeight="1">
      <c r="A40" s="20">
        <f>IF(AND(1-(WEEKDAY(DATE(PlanYear,7,1),2)-1)&gt;=1,1-(WEEKDAY(DATE(PlanYear,7,1),2)-1)&lt;=DAY(EOMONTH(DATE(PlanYear,7,1),0))),DATE(PlanYear,7,1)+1-WEEKDAY(DATE(PlanYear,7,1),2),"")</f>
        <v/>
      </c>
      <c r="B40" s="20">
        <f>IF(AND(2-(WEEKDAY(DATE(PlanYear,7,1),2)-1)&gt;=1,2-(WEEKDAY(DATE(PlanYear,7,1),2)-1)&lt;=DAY(EOMONTH(DATE(PlanYear,7,1),0))),DATE(PlanYear,7,1)+2-WEEKDAY(DATE(PlanYear,7,1),2),"")</f>
        <v/>
      </c>
      <c r="C40" s="20">
        <f>IF(AND(3-(WEEKDAY(DATE(PlanYear,7,1),2)-1)&gt;=1,3-(WEEKDAY(DATE(PlanYear,7,1),2)-1)&lt;=DAY(EOMONTH(DATE(PlanYear,7,1),0))),DATE(PlanYear,7,1)+3-WEEKDAY(DATE(PlanYear,7,1),2),"")</f>
        <v/>
      </c>
      <c r="D40" s="20">
        <f>IF(AND(4-(WEEKDAY(DATE(PlanYear,7,1),2)-1)&gt;=1,4-(WEEKDAY(DATE(PlanYear,7,1),2)-1)&lt;=DAY(EOMONTH(DATE(PlanYear,7,1),0))),DATE(PlanYear,7,1)+4-WEEKDAY(DATE(PlanYear,7,1),2),"")</f>
        <v/>
      </c>
      <c r="E40" s="20">
        <f>IF(AND(5-(WEEKDAY(DATE(PlanYear,7,1),2)-1)&gt;=1,5-(WEEKDAY(DATE(PlanYear,7,1),2)-1)&lt;=DAY(EOMONTH(DATE(PlanYear,7,1),0))),DATE(PlanYear,7,1)+5-WEEKDAY(DATE(PlanYear,7,1),2),"")</f>
        <v/>
      </c>
      <c r="F40" s="20">
        <f>IF(AND(6-(WEEKDAY(DATE(PlanYear,7,1),2)-1)&gt;=1,6-(WEEKDAY(DATE(PlanYear,7,1),2)-1)&lt;=DAY(EOMONTH(DATE(PlanYear,7,1),0))),DATE(PlanYear,7,1)+6-WEEKDAY(DATE(PlanYear,7,1),2),"")</f>
        <v/>
      </c>
      <c r="G40" s="20">
        <f>IF(AND(7-(WEEKDAY(DATE(PlanYear,7,1),2)-1)&gt;=1,7-(WEEKDAY(DATE(PlanYear,7,1),2)-1)&lt;=DAY(EOMONTH(DATE(PlanYear,7,1),0))),DATE(PlanYear,7,1)+7-WEEKDAY(DATE(PlanYear,7,1),2),"")</f>
        <v/>
      </c>
      <c r="I40" s="20">
        <f>IF(AND(1-(WEEKDAY(DATE(PlanYear,8,1),2)-1)&gt;=1,1-(WEEKDAY(DATE(PlanYear,8,1),2)-1)&lt;=DAY(EOMONTH(DATE(PlanYear,8,1),0))),DATE(PlanYear,8,1)+1-WEEKDAY(DATE(PlanYear,8,1),2),"")</f>
        <v/>
      </c>
      <c r="J40" s="20">
        <f>IF(AND(2-(WEEKDAY(DATE(PlanYear,8,1),2)-1)&gt;=1,2-(WEEKDAY(DATE(PlanYear,8,1),2)-1)&lt;=DAY(EOMONTH(DATE(PlanYear,8,1),0))),DATE(PlanYear,8,1)+2-WEEKDAY(DATE(PlanYear,8,1),2),"")</f>
        <v/>
      </c>
      <c r="K40" s="20">
        <f>IF(AND(3-(WEEKDAY(DATE(PlanYear,8,1),2)-1)&gt;=1,3-(WEEKDAY(DATE(PlanYear,8,1),2)-1)&lt;=DAY(EOMONTH(DATE(PlanYear,8,1),0))),DATE(PlanYear,8,1)+3-WEEKDAY(DATE(PlanYear,8,1),2),"")</f>
        <v/>
      </c>
      <c r="L40" s="20">
        <f>IF(AND(4-(WEEKDAY(DATE(PlanYear,8,1),2)-1)&gt;=1,4-(WEEKDAY(DATE(PlanYear,8,1),2)-1)&lt;=DAY(EOMONTH(DATE(PlanYear,8,1),0))),DATE(PlanYear,8,1)+4-WEEKDAY(DATE(PlanYear,8,1),2),"")</f>
        <v/>
      </c>
      <c r="M40" s="20">
        <f>IF(AND(5-(WEEKDAY(DATE(PlanYear,8,1),2)-1)&gt;=1,5-(WEEKDAY(DATE(PlanYear,8,1),2)-1)&lt;=DAY(EOMONTH(DATE(PlanYear,8,1),0))),DATE(PlanYear,8,1)+5-WEEKDAY(DATE(PlanYear,8,1),2),"")</f>
        <v/>
      </c>
      <c r="N40" s="20">
        <f>IF(AND(6-(WEEKDAY(DATE(PlanYear,8,1),2)-1)&gt;=1,6-(WEEKDAY(DATE(PlanYear,8,1),2)-1)&lt;=DAY(EOMONTH(DATE(PlanYear,8,1),0))),DATE(PlanYear,8,1)+6-WEEKDAY(DATE(PlanYear,8,1),2),"")</f>
        <v/>
      </c>
      <c r="O40" s="20">
        <f>IF(AND(7-(WEEKDAY(DATE(PlanYear,8,1),2)-1)&gt;=1,7-(WEEKDAY(DATE(PlanYear,8,1),2)-1)&lt;=DAY(EOMONTH(DATE(PlanYear,8,1),0))),DATE(PlanYear,8,1)+7-WEEKDAY(DATE(PlanYear,8,1),2),"")</f>
        <v/>
      </c>
      <c r="Q40" s="20">
        <f>IF(AND(1-(WEEKDAY(DATE(PlanYear,9,1),2)-1)&gt;=1,1-(WEEKDAY(DATE(PlanYear,9,1),2)-1)&lt;=DAY(EOMONTH(DATE(PlanYear,9,1),0))),DATE(PlanYear,9,1)+1-WEEKDAY(DATE(PlanYear,9,1),2),"")</f>
        <v/>
      </c>
      <c r="R40" s="20">
        <f>IF(AND(2-(WEEKDAY(DATE(PlanYear,9,1),2)-1)&gt;=1,2-(WEEKDAY(DATE(PlanYear,9,1),2)-1)&lt;=DAY(EOMONTH(DATE(PlanYear,9,1),0))),DATE(PlanYear,9,1)+2-WEEKDAY(DATE(PlanYear,9,1),2),"")</f>
        <v/>
      </c>
      <c r="S40" s="20">
        <f>IF(AND(3-(WEEKDAY(DATE(PlanYear,9,1),2)-1)&gt;=1,3-(WEEKDAY(DATE(PlanYear,9,1),2)-1)&lt;=DAY(EOMONTH(DATE(PlanYear,9,1),0))),DATE(PlanYear,9,1)+3-WEEKDAY(DATE(PlanYear,9,1),2),"")</f>
        <v/>
      </c>
      <c r="T40" s="20">
        <f>IF(AND(4-(WEEKDAY(DATE(PlanYear,9,1),2)-1)&gt;=1,4-(WEEKDAY(DATE(PlanYear,9,1),2)-1)&lt;=DAY(EOMONTH(DATE(PlanYear,9,1),0))),DATE(PlanYear,9,1)+4-WEEKDAY(DATE(PlanYear,9,1),2),"")</f>
        <v/>
      </c>
      <c r="U40" s="20">
        <f>IF(AND(5-(WEEKDAY(DATE(PlanYear,9,1),2)-1)&gt;=1,5-(WEEKDAY(DATE(PlanYear,9,1),2)-1)&lt;=DAY(EOMONTH(DATE(PlanYear,9,1),0))),DATE(PlanYear,9,1)+5-WEEKDAY(DATE(PlanYear,9,1),2),"")</f>
        <v/>
      </c>
      <c r="V40" s="20">
        <f>IF(AND(6-(WEEKDAY(DATE(PlanYear,9,1),2)-1)&gt;=1,6-(WEEKDAY(DATE(PlanYear,9,1),2)-1)&lt;=DAY(EOMONTH(DATE(PlanYear,9,1),0))),DATE(PlanYear,9,1)+6-WEEKDAY(DATE(PlanYear,9,1),2),"")</f>
        <v/>
      </c>
      <c r="W40" s="20">
        <f>IF(AND(7-(WEEKDAY(DATE(PlanYear,9,1),2)-1)&gt;=1,7-(WEEKDAY(DATE(PlanYear,9,1),2)-1)&lt;=DAY(EOMONTH(DATE(PlanYear,9,1),0))),DATE(PlanYear,9,1)+7-WEEKDAY(DATE(PlanYear,9,1),2),"")</f>
        <v/>
      </c>
    </row>
    <row r="41" ht="24" customHeight="1">
      <c r="A41" s="21" t="n"/>
      <c r="B41" s="21" t="n"/>
      <c r="C41" s="21" t="n"/>
      <c r="D41" s="21" t="n"/>
      <c r="E41" s="21" t="n"/>
      <c r="F41" s="21" t="n"/>
      <c r="G41" s="21" t="n"/>
      <c r="I41" s="21" t="n"/>
      <c r="J41" s="21" t="n"/>
      <c r="K41" s="21" t="n"/>
      <c r="L41" s="21" t="n"/>
      <c r="M41" s="21" t="n"/>
      <c r="N41" s="21" t="n"/>
      <c r="O41" s="21" t="n"/>
      <c r="Q41" s="21" t="n"/>
      <c r="R41" s="21" t="n"/>
      <c r="S41" s="21" t="n"/>
      <c r="T41" s="21" t="n"/>
      <c r="U41" s="21" t="n"/>
      <c r="V41" s="21" t="n"/>
      <c r="W41" s="21" t="n"/>
    </row>
    <row r="42" ht="14" customHeight="1">
      <c r="A42" s="20">
        <f>IF(AND(8-(WEEKDAY(DATE(PlanYear,7,1),2)-1)&gt;=1,8-(WEEKDAY(DATE(PlanYear,7,1),2)-1)&lt;=DAY(EOMONTH(DATE(PlanYear,7,1),0))),DATE(PlanYear,7,1)+8-WEEKDAY(DATE(PlanYear,7,1),2),"")</f>
        <v/>
      </c>
      <c r="B42" s="20">
        <f>IF(AND(9-(WEEKDAY(DATE(PlanYear,7,1),2)-1)&gt;=1,9-(WEEKDAY(DATE(PlanYear,7,1),2)-1)&lt;=DAY(EOMONTH(DATE(PlanYear,7,1),0))),DATE(PlanYear,7,1)+9-WEEKDAY(DATE(PlanYear,7,1),2),"")</f>
        <v/>
      </c>
      <c r="C42" s="20">
        <f>IF(AND(10-(WEEKDAY(DATE(PlanYear,7,1),2)-1)&gt;=1,10-(WEEKDAY(DATE(PlanYear,7,1),2)-1)&lt;=DAY(EOMONTH(DATE(PlanYear,7,1),0))),DATE(PlanYear,7,1)+10-WEEKDAY(DATE(PlanYear,7,1),2),"")</f>
        <v/>
      </c>
      <c r="D42" s="20">
        <f>IF(AND(11-(WEEKDAY(DATE(PlanYear,7,1),2)-1)&gt;=1,11-(WEEKDAY(DATE(PlanYear,7,1),2)-1)&lt;=DAY(EOMONTH(DATE(PlanYear,7,1),0))),DATE(PlanYear,7,1)+11-WEEKDAY(DATE(PlanYear,7,1),2),"")</f>
        <v/>
      </c>
      <c r="E42" s="20">
        <f>IF(AND(12-(WEEKDAY(DATE(PlanYear,7,1),2)-1)&gt;=1,12-(WEEKDAY(DATE(PlanYear,7,1),2)-1)&lt;=DAY(EOMONTH(DATE(PlanYear,7,1),0))),DATE(PlanYear,7,1)+12-WEEKDAY(DATE(PlanYear,7,1),2),"")</f>
        <v/>
      </c>
      <c r="F42" s="20">
        <f>IF(AND(13-(WEEKDAY(DATE(PlanYear,7,1),2)-1)&gt;=1,13-(WEEKDAY(DATE(PlanYear,7,1),2)-1)&lt;=DAY(EOMONTH(DATE(PlanYear,7,1),0))),DATE(PlanYear,7,1)+13-WEEKDAY(DATE(PlanYear,7,1),2),"")</f>
        <v/>
      </c>
      <c r="G42" s="20">
        <f>IF(AND(14-(WEEKDAY(DATE(PlanYear,7,1),2)-1)&gt;=1,14-(WEEKDAY(DATE(PlanYear,7,1),2)-1)&lt;=DAY(EOMONTH(DATE(PlanYear,7,1),0))),DATE(PlanYear,7,1)+14-WEEKDAY(DATE(PlanYear,7,1),2),"")</f>
        <v/>
      </c>
      <c r="I42" s="20">
        <f>IF(AND(8-(WEEKDAY(DATE(PlanYear,8,1),2)-1)&gt;=1,8-(WEEKDAY(DATE(PlanYear,8,1),2)-1)&lt;=DAY(EOMONTH(DATE(PlanYear,8,1),0))),DATE(PlanYear,8,1)+8-WEEKDAY(DATE(PlanYear,8,1),2),"")</f>
        <v/>
      </c>
      <c r="J42" s="20">
        <f>IF(AND(9-(WEEKDAY(DATE(PlanYear,8,1),2)-1)&gt;=1,9-(WEEKDAY(DATE(PlanYear,8,1),2)-1)&lt;=DAY(EOMONTH(DATE(PlanYear,8,1),0))),DATE(PlanYear,8,1)+9-WEEKDAY(DATE(PlanYear,8,1),2),"")</f>
        <v/>
      </c>
      <c r="K42" s="20">
        <f>IF(AND(10-(WEEKDAY(DATE(PlanYear,8,1),2)-1)&gt;=1,10-(WEEKDAY(DATE(PlanYear,8,1),2)-1)&lt;=DAY(EOMONTH(DATE(PlanYear,8,1),0))),DATE(PlanYear,8,1)+10-WEEKDAY(DATE(PlanYear,8,1),2),"")</f>
        <v/>
      </c>
      <c r="L42" s="20">
        <f>IF(AND(11-(WEEKDAY(DATE(PlanYear,8,1),2)-1)&gt;=1,11-(WEEKDAY(DATE(PlanYear,8,1),2)-1)&lt;=DAY(EOMONTH(DATE(PlanYear,8,1),0))),DATE(PlanYear,8,1)+11-WEEKDAY(DATE(PlanYear,8,1),2),"")</f>
        <v/>
      </c>
      <c r="M42" s="20">
        <f>IF(AND(12-(WEEKDAY(DATE(PlanYear,8,1),2)-1)&gt;=1,12-(WEEKDAY(DATE(PlanYear,8,1),2)-1)&lt;=DAY(EOMONTH(DATE(PlanYear,8,1),0))),DATE(PlanYear,8,1)+12-WEEKDAY(DATE(PlanYear,8,1),2),"")</f>
        <v/>
      </c>
      <c r="N42" s="20">
        <f>IF(AND(13-(WEEKDAY(DATE(PlanYear,8,1),2)-1)&gt;=1,13-(WEEKDAY(DATE(PlanYear,8,1),2)-1)&lt;=DAY(EOMONTH(DATE(PlanYear,8,1),0))),DATE(PlanYear,8,1)+13-WEEKDAY(DATE(PlanYear,8,1),2),"")</f>
        <v/>
      </c>
      <c r="O42" s="20">
        <f>IF(AND(14-(WEEKDAY(DATE(PlanYear,8,1),2)-1)&gt;=1,14-(WEEKDAY(DATE(PlanYear,8,1),2)-1)&lt;=DAY(EOMONTH(DATE(PlanYear,8,1),0))),DATE(PlanYear,8,1)+14-WEEKDAY(DATE(PlanYear,8,1),2),"")</f>
        <v/>
      </c>
      <c r="Q42" s="20">
        <f>IF(AND(8-(WEEKDAY(DATE(PlanYear,9,1),2)-1)&gt;=1,8-(WEEKDAY(DATE(PlanYear,9,1),2)-1)&lt;=DAY(EOMONTH(DATE(PlanYear,9,1),0))),DATE(PlanYear,9,1)+8-WEEKDAY(DATE(PlanYear,9,1),2),"")</f>
        <v/>
      </c>
      <c r="R42" s="20">
        <f>IF(AND(9-(WEEKDAY(DATE(PlanYear,9,1),2)-1)&gt;=1,9-(WEEKDAY(DATE(PlanYear,9,1),2)-1)&lt;=DAY(EOMONTH(DATE(PlanYear,9,1),0))),DATE(PlanYear,9,1)+9-WEEKDAY(DATE(PlanYear,9,1),2),"")</f>
        <v/>
      </c>
      <c r="S42" s="20">
        <f>IF(AND(10-(WEEKDAY(DATE(PlanYear,9,1),2)-1)&gt;=1,10-(WEEKDAY(DATE(PlanYear,9,1),2)-1)&lt;=DAY(EOMONTH(DATE(PlanYear,9,1),0))),DATE(PlanYear,9,1)+10-WEEKDAY(DATE(PlanYear,9,1),2),"")</f>
        <v/>
      </c>
      <c r="T42" s="20">
        <f>IF(AND(11-(WEEKDAY(DATE(PlanYear,9,1),2)-1)&gt;=1,11-(WEEKDAY(DATE(PlanYear,9,1),2)-1)&lt;=DAY(EOMONTH(DATE(PlanYear,9,1),0))),DATE(PlanYear,9,1)+11-WEEKDAY(DATE(PlanYear,9,1),2),"")</f>
        <v/>
      </c>
      <c r="U42" s="20">
        <f>IF(AND(12-(WEEKDAY(DATE(PlanYear,9,1),2)-1)&gt;=1,12-(WEEKDAY(DATE(PlanYear,9,1),2)-1)&lt;=DAY(EOMONTH(DATE(PlanYear,9,1),0))),DATE(PlanYear,9,1)+12-WEEKDAY(DATE(PlanYear,9,1),2),"")</f>
        <v/>
      </c>
      <c r="V42" s="20">
        <f>IF(AND(13-(WEEKDAY(DATE(PlanYear,9,1),2)-1)&gt;=1,13-(WEEKDAY(DATE(PlanYear,9,1),2)-1)&lt;=DAY(EOMONTH(DATE(PlanYear,9,1),0))),DATE(PlanYear,9,1)+13-WEEKDAY(DATE(PlanYear,9,1),2),"")</f>
        <v/>
      </c>
      <c r="W42" s="20">
        <f>IF(AND(14-(WEEKDAY(DATE(PlanYear,9,1),2)-1)&gt;=1,14-(WEEKDAY(DATE(PlanYear,9,1),2)-1)&lt;=DAY(EOMONTH(DATE(PlanYear,9,1),0))),DATE(PlanYear,9,1)+14-WEEKDAY(DATE(PlanYear,9,1),2),"")</f>
        <v/>
      </c>
    </row>
    <row r="43" ht="24" customHeight="1">
      <c r="A43" s="21" t="n"/>
      <c r="B43" s="21" t="n"/>
      <c r="C43" s="21" t="n"/>
      <c r="D43" s="21" t="n"/>
      <c r="E43" s="21" t="n"/>
      <c r="F43" s="21" t="n"/>
      <c r="G43" s="21" t="n"/>
      <c r="I43" s="21" t="n"/>
      <c r="J43" s="21" t="n"/>
      <c r="K43" s="21" t="n"/>
      <c r="L43" s="21" t="n"/>
      <c r="M43" s="21" t="n"/>
      <c r="N43" s="21" t="n"/>
      <c r="O43" s="21" t="n"/>
      <c r="Q43" s="21" t="n"/>
      <c r="R43" s="21" t="n"/>
      <c r="S43" s="21" t="n"/>
      <c r="T43" s="21" t="n"/>
      <c r="U43" s="21" t="n"/>
      <c r="V43" s="21" t="n"/>
      <c r="W43" s="21" t="n"/>
    </row>
    <row r="44" ht="14" customHeight="1">
      <c r="A44" s="20">
        <f>IF(AND(15-(WEEKDAY(DATE(PlanYear,7,1),2)-1)&gt;=1,15-(WEEKDAY(DATE(PlanYear,7,1),2)-1)&lt;=DAY(EOMONTH(DATE(PlanYear,7,1),0))),DATE(PlanYear,7,1)+15-WEEKDAY(DATE(PlanYear,7,1),2),"")</f>
        <v/>
      </c>
      <c r="B44" s="20">
        <f>IF(AND(16-(WEEKDAY(DATE(PlanYear,7,1),2)-1)&gt;=1,16-(WEEKDAY(DATE(PlanYear,7,1),2)-1)&lt;=DAY(EOMONTH(DATE(PlanYear,7,1),0))),DATE(PlanYear,7,1)+16-WEEKDAY(DATE(PlanYear,7,1),2),"")</f>
        <v/>
      </c>
      <c r="C44" s="20">
        <f>IF(AND(17-(WEEKDAY(DATE(PlanYear,7,1),2)-1)&gt;=1,17-(WEEKDAY(DATE(PlanYear,7,1),2)-1)&lt;=DAY(EOMONTH(DATE(PlanYear,7,1),0))),DATE(PlanYear,7,1)+17-WEEKDAY(DATE(PlanYear,7,1),2),"")</f>
        <v/>
      </c>
      <c r="D44" s="20">
        <f>IF(AND(18-(WEEKDAY(DATE(PlanYear,7,1),2)-1)&gt;=1,18-(WEEKDAY(DATE(PlanYear,7,1),2)-1)&lt;=DAY(EOMONTH(DATE(PlanYear,7,1),0))),DATE(PlanYear,7,1)+18-WEEKDAY(DATE(PlanYear,7,1),2),"")</f>
        <v/>
      </c>
      <c r="E44" s="20">
        <f>IF(AND(19-(WEEKDAY(DATE(PlanYear,7,1),2)-1)&gt;=1,19-(WEEKDAY(DATE(PlanYear,7,1),2)-1)&lt;=DAY(EOMONTH(DATE(PlanYear,7,1),0))),DATE(PlanYear,7,1)+19-WEEKDAY(DATE(PlanYear,7,1),2),"")</f>
        <v/>
      </c>
      <c r="F44" s="20">
        <f>IF(AND(20-(WEEKDAY(DATE(PlanYear,7,1),2)-1)&gt;=1,20-(WEEKDAY(DATE(PlanYear,7,1),2)-1)&lt;=DAY(EOMONTH(DATE(PlanYear,7,1),0))),DATE(PlanYear,7,1)+20-WEEKDAY(DATE(PlanYear,7,1),2),"")</f>
        <v/>
      </c>
      <c r="G44" s="20">
        <f>IF(AND(21-(WEEKDAY(DATE(PlanYear,7,1),2)-1)&gt;=1,21-(WEEKDAY(DATE(PlanYear,7,1),2)-1)&lt;=DAY(EOMONTH(DATE(PlanYear,7,1),0))),DATE(PlanYear,7,1)+21-WEEKDAY(DATE(PlanYear,7,1),2),"")</f>
        <v/>
      </c>
      <c r="I44" s="20">
        <f>IF(AND(15-(WEEKDAY(DATE(PlanYear,8,1),2)-1)&gt;=1,15-(WEEKDAY(DATE(PlanYear,8,1),2)-1)&lt;=DAY(EOMONTH(DATE(PlanYear,8,1),0))),DATE(PlanYear,8,1)+15-WEEKDAY(DATE(PlanYear,8,1),2),"")</f>
        <v/>
      </c>
      <c r="J44" s="20">
        <f>IF(AND(16-(WEEKDAY(DATE(PlanYear,8,1),2)-1)&gt;=1,16-(WEEKDAY(DATE(PlanYear,8,1),2)-1)&lt;=DAY(EOMONTH(DATE(PlanYear,8,1),0))),DATE(PlanYear,8,1)+16-WEEKDAY(DATE(PlanYear,8,1),2),"")</f>
        <v/>
      </c>
      <c r="K44" s="20">
        <f>IF(AND(17-(WEEKDAY(DATE(PlanYear,8,1),2)-1)&gt;=1,17-(WEEKDAY(DATE(PlanYear,8,1),2)-1)&lt;=DAY(EOMONTH(DATE(PlanYear,8,1),0))),DATE(PlanYear,8,1)+17-WEEKDAY(DATE(PlanYear,8,1),2),"")</f>
        <v/>
      </c>
      <c r="L44" s="20">
        <f>IF(AND(18-(WEEKDAY(DATE(PlanYear,8,1),2)-1)&gt;=1,18-(WEEKDAY(DATE(PlanYear,8,1),2)-1)&lt;=DAY(EOMONTH(DATE(PlanYear,8,1),0))),DATE(PlanYear,8,1)+18-WEEKDAY(DATE(PlanYear,8,1),2),"")</f>
        <v/>
      </c>
      <c r="M44" s="20">
        <f>IF(AND(19-(WEEKDAY(DATE(PlanYear,8,1),2)-1)&gt;=1,19-(WEEKDAY(DATE(PlanYear,8,1),2)-1)&lt;=DAY(EOMONTH(DATE(PlanYear,8,1),0))),DATE(PlanYear,8,1)+19-WEEKDAY(DATE(PlanYear,8,1),2),"")</f>
        <v/>
      </c>
      <c r="N44" s="20">
        <f>IF(AND(20-(WEEKDAY(DATE(PlanYear,8,1),2)-1)&gt;=1,20-(WEEKDAY(DATE(PlanYear,8,1),2)-1)&lt;=DAY(EOMONTH(DATE(PlanYear,8,1),0))),DATE(PlanYear,8,1)+20-WEEKDAY(DATE(PlanYear,8,1),2),"")</f>
        <v/>
      </c>
      <c r="O44" s="20">
        <f>IF(AND(21-(WEEKDAY(DATE(PlanYear,8,1),2)-1)&gt;=1,21-(WEEKDAY(DATE(PlanYear,8,1),2)-1)&lt;=DAY(EOMONTH(DATE(PlanYear,8,1),0))),DATE(PlanYear,8,1)+21-WEEKDAY(DATE(PlanYear,8,1),2),"")</f>
        <v/>
      </c>
      <c r="Q44" s="20">
        <f>IF(AND(15-(WEEKDAY(DATE(PlanYear,9,1),2)-1)&gt;=1,15-(WEEKDAY(DATE(PlanYear,9,1),2)-1)&lt;=DAY(EOMONTH(DATE(PlanYear,9,1),0))),DATE(PlanYear,9,1)+15-WEEKDAY(DATE(PlanYear,9,1),2),"")</f>
        <v/>
      </c>
      <c r="R44" s="20">
        <f>IF(AND(16-(WEEKDAY(DATE(PlanYear,9,1),2)-1)&gt;=1,16-(WEEKDAY(DATE(PlanYear,9,1),2)-1)&lt;=DAY(EOMONTH(DATE(PlanYear,9,1),0))),DATE(PlanYear,9,1)+16-WEEKDAY(DATE(PlanYear,9,1),2),"")</f>
        <v/>
      </c>
      <c r="S44" s="20">
        <f>IF(AND(17-(WEEKDAY(DATE(PlanYear,9,1),2)-1)&gt;=1,17-(WEEKDAY(DATE(PlanYear,9,1),2)-1)&lt;=DAY(EOMONTH(DATE(PlanYear,9,1),0))),DATE(PlanYear,9,1)+17-WEEKDAY(DATE(PlanYear,9,1),2),"")</f>
        <v/>
      </c>
      <c r="T44" s="20">
        <f>IF(AND(18-(WEEKDAY(DATE(PlanYear,9,1),2)-1)&gt;=1,18-(WEEKDAY(DATE(PlanYear,9,1),2)-1)&lt;=DAY(EOMONTH(DATE(PlanYear,9,1),0))),DATE(PlanYear,9,1)+18-WEEKDAY(DATE(PlanYear,9,1),2),"")</f>
        <v/>
      </c>
      <c r="U44" s="20">
        <f>IF(AND(19-(WEEKDAY(DATE(PlanYear,9,1),2)-1)&gt;=1,19-(WEEKDAY(DATE(PlanYear,9,1),2)-1)&lt;=DAY(EOMONTH(DATE(PlanYear,9,1),0))),DATE(PlanYear,9,1)+19-WEEKDAY(DATE(PlanYear,9,1),2),"")</f>
        <v/>
      </c>
      <c r="V44" s="20">
        <f>IF(AND(20-(WEEKDAY(DATE(PlanYear,9,1),2)-1)&gt;=1,20-(WEEKDAY(DATE(PlanYear,9,1),2)-1)&lt;=DAY(EOMONTH(DATE(PlanYear,9,1),0))),DATE(PlanYear,9,1)+20-WEEKDAY(DATE(PlanYear,9,1),2),"")</f>
        <v/>
      </c>
      <c r="W44" s="20">
        <f>IF(AND(21-(WEEKDAY(DATE(PlanYear,9,1),2)-1)&gt;=1,21-(WEEKDAY(DATE(PlanYear,9,1),2)-1)&lt;=DAY(EOMONTH(DATE(PlanYear,9,1),0))),DATE(PlanYear,9,1)+21-WEEKDAY(DATE(PlanYear,9,1),2),"")</f>
        <v/>
      </c>
    </row>
    <row r="45" ht="24" customHeight="1">
      <c r="A45" s="21" t="n"/>
      <c r="B45" s="21" t="n"/>
      <c r="C45" s="21" t="n"/>
      <c r="D45" s="21" t="n"/>
      <c r="E45" s="21" t="n"/>
      <c r="F45" s="21" t="n"/>
      <c r="G45" s="21" t="n"/>
      <c r="I45" s="21" t="n"/>
      <c r="J45" s="21" t="n"/>
      <c r="K45" s="21" t="n"/>
      <c r="L45" s="21" t="n"/>
      <c r="M45" s="21" t="n"/>
      <c r="N45" s="21" t="n"/>
      <c r="O45" s="21" t="n"/>
      <c r="Q45" s="21" t="n"/>
      <c r="R45" s="21" t="n"/>
      <c r="S45" s="21" t="n"/>
      <c r="T45" s="21" t="n"/>
      <c r="U45" s="21" t="n"/>
      <c r="V45" s="21" t="n"/>
      <c r="W45" s="21" t="n"/>
    </row>
    <row r="46" ht="14" customHeight="1">
      <c r="A46" s="20">
        <f>IF(AND(22-(WEEKDAY(DATE(PlanYear,7,1),2)-1)&gt;=1,22-(WEEKDAY(DATE(PlanYear,7,1),2)-1)&lt;=DAY(EOMONTH(DATE(PlanYear,7,1),0))),DATE(PlanYear,7,1)+22-WEEKDAY(DATE(PlanYear,7,1),2),"")</f>
        <v/>
      </c>
      <c r="B46" s="20">
        <f>IF(AND(23-(WEEKDAY(DATE(PlanYear,7,1),2)-1)&gt;=1,23-(WEEKDAY(DATE(PlanYear,7,1),2)-1)&lt;=DAY(EOMONTH(DATE(PlanYear,7,1),0))),DATE(PlanYear,7,1)+23-WEEKDAY(DATE(PlanYear,7,1),2),"")</f>
        <v/>
      </c>
      <c r="C46" s="20">
        <f>IF(AND(24-(WEEKDAY(DATE(PlanYear,7,1),2)-1)&gt;=1,24-(WEEKDAY(DATE(PlanYear,7,1),2)-1)&lt;=DAY(EOMONTH(DATE(PlanYear,7,1),0))),DATE(PlanYear,7,1)+24-WEEKDAY(DATE(PlanYear,7,1),2),"")</f>
        <v/>
      </c>
      <c r="D46" s="20">
        <f>IF(AND(25-(WEEKDAY(DATE(PlanYear,7,1),2)-1)&gt;=1,25-(WEEKDAY(DATE(PlanYear,7,1),2)-1)&lt;=DAY(EOMONTH(DATE(PlanYear,7,1),0))),DATE(PlanYear,7,1)+25-WEEKDAY(DATE(PlanYear,7,1),2),"")</f>
        <v/>
      </c>
      <c r="E46" s="20">
        <f>IF(AND(26-(WEEKDAY(DATE(PlanYear,7,1),2)-1)&gt;=1,26-(WEEKDAY(DATE(PlanYear,7,1),2)-1)&lt;=DAY(EOMONTH(DATE(PlanYear,7,1),0))),DATE(PlanYear,7,1)+26-WEEKDAY(DATE(PlanYear,7,1),2),"")</f>
        <v/>
      </c>
      <c r="F46" s="20">
        <f>IF(AND(27-(WEEKDAY(DATE(PlanYear,7,1),2)-1)&gt;=1,27-(WEEKDAY(DATE(PlanYear,7,1),2)-1)&lt;=DAY(EOMONTH(DATE(PlanYear,7,1),0))),DATE(PlanYear,7,1)+27-WEEKDAY(DATE(PlanYear,7,1),2),"")</f>
        <v/>
      </c>
      <c r="G46" s="20">
        <f>IF(AND(28-(WEEKDAY(DATE(PlanYear,7,1),2)-1)&gt;=1,28-(WEEKDAY(DATE(PlanYear,7,1),2)-1)&lt;=DAY(EOMONTH(DATE(PlanYear,7,1),0))),DATE(PlanYear,7,1)+28-WEEKDAY(DATE(PlanYear,7,1),2),"")</f>
        <v/>
      </c>
      <c r="I46" s="20">
        <f>IF(AND(22-(WEEKDAY(DATE(PlanYear,8,1),2)-1)&gt;=1,22-(WEEKDAY(DATE(PlanYear,8,1),2)-1)&lt;=DAY(EOMONTH(DATE(PlanYear,8,1),0))),DATE(PlanYear,8,1)+22-WEEKDAY(DATE(PlanYear,8,1),2),"")</f>
        <v/>
      </c>
      <c r="J46" s="20">
        <f>IF(AND(23-(WEEKDAY(DATE(PlanYear,8,1),2)-1)&gt;=1,23-(WEEKDAY(DATE(PlanYear,8,1),2)-1)&lt;=DAY(EOMONTH(DATE(PlanYear,8,1),0))),DATE(PlanYear,8,1)+23-WEEKDAY(DATE(PlanYear,8,1),2),"")</f>
        <v/>
      </c>
      <c r="K46" s="20">
        <f>IF(AND(24-(WEEKDAY(DATE(PlanYear,8,1),2)-1)&gt;=1,24-(WEEKDAY(DATE(PlanYear,8,1),2)-1)&lt;=DAY(EOMONTH(DATE(PlanYear,8,1),0))),DATE(PlanYear,8,1)+24-WEEKDAY(DATE(PlanYear,8,1),2),"")</f>
        <v/>
      </c>
      <c r="L46" s="20">
        <f>IF(AND(25-(WEEKDAY(DATE(PlanYear,8,1),2)-1)&gt;=1,25-(WEEKDAY(DATE(PlanYear,8,1),2)-1)&lt;=DAY(EOMONTH(DATE(PlanYear,8,1),0))),DATE(PlanYear,8,1)+25-WEEKDAY(DATE(PlanYear,8,1),2),"")</f>
        <v/>
      </c>
      <c r="M46" s="20">
        <f>IF(AND(26-(WEEKDAY(DATE(PlanYear,8,1),2)-1)&gt;=1,26-(WEEKDAY(DATE(PlanYear,8,1),2)-1)&lt;=DAY(EOMONTH(DATE(PlanYear,8,1),0))),DATE(PlanYear,8,1)+26-WEEKDAY(DATE(PlanYear,8,1),2),"")</f>
        <v/>
      </c>
      <c r="N46" s="20">
        <f>IF(AND(27-(WEEKDAY(DATE(PlanYear,8,1),2)-1)&gt;=1,27-(WEEKDAY(DATE(PlanYear,8,1),2)-1)&lt;=DAY(EOMONTH(DATE(PlanYear,8,1),0))),DATE(PlanYear,8,1)+27-WEEKDAY(DATE(PlanYear,8,1),2),"")</f>
        <v/>
      </c>
      <c r="O46" s="20">
        <f>IF(AND(28-(WEEKDAY(DATE(PlanYear,8,1),2)-1)&gt;=1,28-(WEEKDAY(DATE(PlanYear,8,1),2)-1)&lt;=DAY(EOMONTH(DATE(PlanYear,8,1),0))),DATE(PlanYear,8,1)+28-WEEKDAY(DATE(PlanYear,8,1),2),"")</f>
        <v/>
      </c>
      <c r="Q46" s="20">
        <f>IF(AND(22-(WEEKDAY(DATE(PlanYear,9,1),2)-1)&gt;=1,22-(WEEKDAY(DATE(PlanYear,9,1),2)-1)&lt;=DAY(EOMONTH(DATE(PlanYear,9,1),0))),DATE(PlanYear,9,1)+22-WEEKDAY(DATE(PlanYear,9,1),2),"")</f>
        <v/>
      </c>
      <c r="R46" s="20">
        <f>IF(AND(23-(WEEKDAY(DATE(PlanYear,9,1),2)-1)&gt;=1,23-(WEEKDAY(DATE(PlanYear,9,1),2)-1)&lt;=DAY(EOMONTH(DATE(PlanYear,9,1),0))),DATE(PlanYear,9,1)+23-WEEKDAY(DATE(PlanYear,9,1),2),"")</f>
        <v/>
      </c>
      <c r="S46" s="20">
        <f>IF(AND(24-(WEEKDAY(DATE(PlanYear,9,1),2)-1)&gt;=1,24-(WEEKDAY(DATE(PlanYear,9,1),2)-1)&lt;=DAY(EOMONTH(DATE(PlanYear,9,1),0))),DATE(PlanYear,9,1)+24-WEEKDAY(DATE(PlanYear,9,1),2),"")</f>
        <v/>
      </c>
      <c r="T46" s="20">
        <f>IF(AND(25-(WEEKDAY(DATE(PlanYear,9,1),2)-1)&gt;=1,25-(WEEKDAY(DATE(PlanYear,9,1),2)-1)&lt;=DAY(EOMONTH(DATE(PlanYear,9,1),0))),DATE(PlanYear,9,1)+25-WEEKDAY(DATE(PlanYear,9,1),2),"")</f>
        <v/>
      </c>
      <c r="U46" s="20">
        <f>IF(AND(26-(WEEKDAY(DATE(PlanYear,9,1),2)-1)&gt;=1,26-(WEEKDAY(DATE(PlanYear,9,1),2)-1)&lt;=DAY(EOMONTH(DATE(PlanYear,9,1),0))),DATE(PlanYear,9,1)+26-WEEKDAY(DATE(PlanYear,9,1),2),"")</f>
        <v/>
      </c>
      <c r="V46" s="20">
        <f>IF(AND(27-(WEEKDAY(DATE(PlanYear,9,1),2)-1)&gt;=1,27-(WEEKDAY(DATE(PlanYear,9,1),2)-1)&lt;=DAY(EOMONTH(DATE(PlanYear,9,1),0))),DATE(PlanYear,9,1)+27-WEEKDAY(DATE(PlanYear,9,1),2),"")</f>
        <v/>
      </c>
      <c r="W46" s="20">
        <f>IF(AND(28-(WEEKDAY(DATE(PlanYear,9,1),2)-1)&gt;=1,28-(WEEKDAY(DATE(PlanYear,9,1),2)-1)&lt;=DAY(EOMONTH(DATE(PlanYear,9,1),0))),DATE(PlanYear,9,1)+28-WEEKDAY(DATE(PlanYear,9,1),2),"")</f>
        <v/>
      </c>
    </row>
    <row r="47" ht="24" customHeight="1">
      <c r="A47" s="21" t="n"/>
      <c r="B47" s="21" t="n"/>
      <c r="C47" s="21" t="n"/>
      <c r="D47" s="21" t="n"/>
      <c r="E47" s="21" t="n"/>
      <c r="F47" s="21" t="n"/>
      <c r="G47" s="21" t="n"/>
      <c r="I47" s="21" t="n"/>
      <c r="J47" s="21" t="n"/>
      <c r="K47" s="21" t="n"/>
      <c r="L47" s="21" t="n"/>
      <c r="M47" s="21" t="n"/>
      <c r="N47" s="21" t="n"/>
      <c r="O47" s="21" t="n"/>
      <c r="Q47" s="21" t="n"/>
      <c r="R47" s="21" t="n"/>
      <c r="S47" s="21" t="n"/>
      <c r="T47" s="21" t="n"/>
      <c r="U47" s="21" t="n"/>
      <c r="V47" s="21" t="n"/>
      <c r="W47" s="21" t="n"/>
    </row>
    <row r="48" ht="14" customHeight="1">
      <c r="A48" s="20">
        <f>IF(AND(29-(WEEKDAY(DATE(PlanYear,7,1),2)-1)&gt;=1,29-(WEEKDAY(DATE(PlanYear,7,1),2)-1)&lt;=DAY(EOMONTH(DATE(PlanYear,7,1),0))),DATE(PlanYear,7,1)+29-WEEKDAY(DATE(PlanYear,7,1),2),"")</f>
        <v/>
      </c>
      <c r="B48" s="20">
        <f>IF(AND(30-(WEEKDAY(DATE(PlanYear,7,1),2)-1)&gt;=1,30-(WEEKDAY(DATE(PlanYear,7,1),2)-1)&lt;=DAY(EOMONTH(DATE(PlanYear,7,1),0))),DATE(PlanYear,7,1)+30-WEEKDAY(DATE(PlanYear,7,1),2),"")</f>
        <v/>
      </c>
      <c r="C48" s="20">
        <f>IF(AND(31-(WEEKDAY(DATE(PlanYear,7,1),2)-1)&gt;=1,31-(WEEKDAY(DATE(PlanYear,7,1),2)-1)&lt;=DAY(EOMONTH(DATE(PlanYear,7,1),0))),DATE(PlanYear,7,1)+31-WEEKDAY(DATE(PlanYear,7,1),2),"")</f>
        <v/>
      </c>
      <c r="D48" s="20">
        <f>IF(AND(32-(WEEKDAY(DATE(PlanYear,7,1),2)-1)&gt;=1,32-(WEEKDAY(DATE(PlanYear,7,1),2)-1)&lt;=DAY(EOMONTH(DATE(PlanYear,7,1),0))),DATE(PlanYear,7,1)+32-WEEKDAY(DATE(PlanYear,7,1),2),"")</f>
        <v/>
      </c>
      <c r="E48" s="20">
        <f>IF(AND(33-(WEEKDAY(DATE(PlanYear,7,1),2)-1)&gt;=1,33-(WEEKDAY(DATE(PlanYear,7,1),2)-1)&lt;=DAY(EOMONTH(DATE(PlanYear,7,1),0))),DATE(PlanYear,7,1)+33-WEEKDAY(DATE(PlanYear,7,1),2),"")</f>
        <v/>
      </c>
      <c r="F48" s="20">
        <f>IF(AND(34-(WEEKDAY(DATE(PlanYear,7,1),2)-1)&gt;=1,34-(WEEKDAY(DATE(PlanYear,7,1),2)-1)&lt;=DAY(EOMONTH(DATE(PlanYear,7,1),0))),DATE(PlanYear,7,1)+34-WEEKDAY(DATE(PlanYear,7,1),2),"")</f>
        <v/>
      </c>
      <c r="G48" s="20">
        <f>IF(AND(35-(WEEKDAY(DATE(PlanYear,7,1),2)-1)&gt;=1,35-(WEEKDAY(DATE(PlanYear,7,1),2)-1)&lt;=DAY(EOMONTH(DATE(PlanYear,7,1),0))),DATE(PlanYear,7,1)+35-WEEKDAY(DATE(PlanYear,7,1),2),"")</f>
        <v/>
      </c>
      <c r="I48" s="20">
        <f>IF(AND(29-(WEEKDAY(DATE(PlanYear,8,1),2)-1)&gt;=1,29-(WEEKDAY(DATE(PlanYear,8,1),2)-1)&lt;=DAY(EOMONTH(DATE(PlanYear,8,1),0))),DATE(PlanYear,8,1)+29-WEEKDAY(DATE(PlanYear,8,1),2),"")</f>
        <v/>
      </c>
      <c r="J48" s="20">
        <f>IF(AND(30-(WEEKDAY(DATE(PlanYear,8,1),2)-1)&gt;=1,30-(WEEKDAY(DATE(PlanYear,8,1),2)-1)&lt;=DAY(EOMONTH(DATE(PlanYear,8,1),0))),DATE(PlanYear,8,1)+30-WEEKDAY(DATE(PlanYear,8,1),2),"")</f>
        <v/>
      </c>
      <c r="K48" s="20">
        <f>IF(AND(31-(WEEKDAY(DATE(PlanYear,8,1),2)-1)&gt;=1,31-(WEEKDAY(DATE(PlanYear,8,1),2)-1)&lt;=DAY(EOMONTH(DATE(PlanYear,8,1),0))),DATE(PlanYear,8,1)+31-WEEKDAY(DATE(PlanYear,8,1),2),"")</f>
        <v/>
      </c>
      <c r="L48" s="20">
        <f>IF(AND(32-(WEEKDAY(DATE(PlanYear,8,1),2)-1)&gt;=1,32-(WEEKDAY(DATE(PlanYear,8,1),2)-1)&lt;=DAY(EOMONTH(DATE(PlanYear,8,1),0))),DATE(PlanYear,8,1)+32-WEEKDAY(DATE(PlanYear,8,1),2),"")</f>
        <v/>
      </c>
      <c r="M48" s="20">
        <f>IF(AND(33-(WEEKDAY(DATE(PlanYear,8,1),2)-1)&gt;=1,33-(WEEKDAY(DATE(PlanYear,8,1),2)-1)&lt;=DAY(EOMONTH(DATE(PlanYear,8,1),0))),DATE(PlanYear,8,1)+33-WEEKDAY(DATE(PlanYear,8,1),2),"")</f>
        <v/>
      </c>
      <c r="N48" s="20">
        <f>IF(AND(34-(WEEKDAY(DATE(PlanYear,8,1),2)-1)&gt;=1,34-(WEEKDAY(DATE(PlanYear,8,1),2)-1)&lt;=DAY(EOMONTH(DATE(PlanYear,8,1),0))),DATE(PlanYear,8,1)+34-WEEKDAY(DATE(PlanYear,8,1),2),"")</f>
        <v/>
      </c>
      <c r="O48" s="20">
        <f>IF(AND(35-(WEEKDAY(DATE(PlanYear,8,1),2)-1)&gt;=1,35-(WEEKDAY(DATE(PlanYear,8,1),2)-1)&lt;=DAY(EOMONTH(DATE(PlanYear,8,1),0))),DATE(PlanYear,8,1)+35-WEEKDAY(DATE(PlanYear,8,1),2),"")</f>
        <v/>
      </c>
      <c r="Q48" s="20">
        <f>IF(AND(29-(WEEKDAY(DATE(PlanYear,9,1),2)-1)&gt;=1,29-(WEEKDAY(DATE(PlanYear,9,1),2)-1)&lt;=DAY(EOMONTH(DATE(PlanYear,9,1),0))),DATE(PlanYear,9,1)+29-WEEKDAY(DATE(PlanYear,9,1),2),"")</f>
        <v/>
      </c>
      <c r="R48" s="20">
        <f>IF(AND(30-(WEEKDAY(DATE(PlanYear,9,1),2)-1)&gt;=1,30-(WEEKDAY(DATE(PlanYear,9,1),2)-1)&lt;=DAY(EOMONTH(DATE(PlanYear,9,1),0))),DATE(PlanYear,9,1)+30-WEEKDAY(DATE(PlanYear,9,1),2),"")</f>
        <v/>
      </c>
      <c r="S48" s="20">
        <f>IF(AND(31-(WEEKDAY(DATE(PlanYear,9,1),2)-1)&gt;=1,31-(WEEKDAY(DATE(PlanYear,9,1),2)-1)&lt;=DAY(EOMONTH(DATE(PlanYear,9,1),0))),DATE(PlanYear,9,1)+31-WEEKDAY(DATE(PlanYear,9,1),2),"")</f>
        <v/>
      </c>
      <c r="T48" s="20">
        <f>IF(AND(32-(WEEKDAY(DATE(PlanYear,9,1),2)-1)&gt;=1,32-(WEEKDAY(DATE(PlanYear,9,1),2)-1)&lt;=DAY(EOMONTH(DATE(PlanYear,9,1),0))),DATE(PlanYear,9,1)+32-WEEKDAY(DATE(PlanYear,9,1),2),"")</f>
        <v/>
      </c>
      <c r="U48" s="20">
        <f>IF(AND(33-(WEEKDAY(DATE(PlanYear,9,1),2)-1)&gt;=1,33-(WEEKDAY(DATE(PlanYear,9,1),2)-1)&lt;=DAY(EOMONTH(DATE(PlanYear,9,1),0))),DATE(PlanYear,9,1)+33-WEEKDAY(DATE(PlanYear,9,1),2),"")</f>
        <v/>
      </c>
      <c r="V48" s="20">
        <f>IF(AND(34-(WEEKDAY(DATE(PlanYear,9,1),2)-1)&gt;=1,34-(WEEKDAY(DATE(PlanYear,9,1),2)-1)&lt;=DAY(EOMONTH(DATE(PlanYear,9,1),0))),DATE(PlanYear,9,1)+34-WEEKDAY(DATE(PlanYear,9,1),2),"")</f>
        <v/>
      </c>
      <c r="W48" s="20">
        <f>IF(AND(35-(WEEKDAY(DATE(PlanYear,9,1),2)-1)&gt;=1,35-(WEEKDAY(DATE(PlanYear,9,1),2)-1)&lt;=DAY(EOMONTH(DATE(PlanYear,9,1),0))),DATE(PlanYear,9,1)+35-WEEKDAY(DATE(PlanYear,9,1),2),"")</f>
        <v/>
      </c>
    </row>
    <row r="49" ht="24" customHeight="1">
      <c r="A49" s="21" t="n"/>
      <c r="B49" s="21" t="n"/>
      <c r="C49" s="21" t="n"/>
      <c r="D49" s="21" t="n"/>
      <c r="E49" s="21" t="n"/>
      <c r="F49" s="21" t="n"/>
      <c r="G49" s="21" t="n"/>
      <c r="I49" s="21" t="n"/>
      <c r="J49" s="21" t="n"/>
      <c r="K49" s="21" t="n"/>
      <c r="L49" s="21" t="n"/>
      <c r="M49" s="21" t="n"/>
      <c r="N49" s="21" t="n"/>
      <c r="O49" s="21" t="n"/>
      <c r="Q49" s="21" t="n"/>
      <c r="R49" s="21" t="n"/>
      <c r="S49" s="21" t="n"/>
      <c r="T49" s="21" t="n"/>
      <c r="U49" s="21" t="n"/>
      <c r="V49" s="21" t="n"/>
      <c r="W49" s="21" t="n"/>
    </row>
    <row r="50" ht="14" customHeight="1">
      <c r="A50" s="20">
        <f>IF(AND(36-(WEEKDAY(DATE(PlanYear,7,1),2)-1)&gt;=1,36-(WEEKDAY(DATE(PlanYear,7,1),2)-1)&lt;=DAY(EOMONTH(DATE(PlanYear,7,1),0))),DATE(PlanYear,7,1)+36-WEEKDAY(DATE(PlanYear,7,1),2),"")</f>
        <v/>
      </c>
      <c r="B50" s="20">
        <f>IF(AND(37-(WEEKDAY(DATE(PlanYear,7,1),2)-1)&gt;=1,37-(WEEKDAY(DATE(PlanYear,7,1),2)-1)&lt;=DAY(EOMONTH(DATE(PlanYear,7,1),0))),DATE(PlanYear,7,1)+37-WEEKDAY(DATE(PlanYear,7,1),2),"")</f>
        <v/>
      </c>
      <c r="C50" s="20">
        <f>IF(AND(38-(WEEKDAY(DATE(PlanYear,7,1),2)-1)&gt;=1,38-(WEEKDAY(DATE(PlanYear,7,1),2)-1)&lt;=DAY(EOMONTH(DATE(PlanYear,7,1),0))),DATE(PlanYear,7,1)+38-WEEKDAY(DATE(PlanYear,7,1),2),"")</f>
        <v/>
      </c>
      <c r="D50" s="20">
        <f>IF(AND(39-(WEEKDAY(DATE(PlanYear,7,1),2)-1)&gt;=1,39-(WEEKDAY(DATE(PlanYear,7,1),2)-1)&lt;=DAY(EOMONTH(DATE(PlanYear,7,1),0))),DATE(PlanYear,7,1)+39-WEEKDAY(DATE(PlanYear,7,1),2),"")</f>
        <v/>
      </c>
      <c r="E50" s="20">
        <f>IF(AND(40-(WEEKDAY(DATE(PlanYear,7,1),2)-1)&gt;=1,40-(WEEKDAY(DATE(PlanYear,7,1),2)-1)&lt;=DAY(EOMONTH(DATE(PlanYear,7,1),0))),DATE(PlanYear,7,1)+40-WEEKDAY(DATE(PlanYear,7,1),2),"")</f>
        <v/>
      </c>
      <c r="F50" s="20">
        <f>IF(AND(41-(WEEKDAY(DATE(PlanYear,7,1),2)-1)&gt;=1,41-(WEEKDAY(DATE(PlanYear,7,1),2)-1)&lt;=DAY(EOMONTH(DATE(PlanYear,7,1),0))),DATE(PlanYear,7,1)+41-WEEKDAY(DATE(PlanYear,7,1),2),"")</f>
        <v/>
      </c>
      <c r="G50" s="20">
        <f>IF(AND(42-(WEEKDAY(DATE(PlanYear,7,1),2)-1)&gt;=1,42-(WEEKDAY(DATE(PlanYear,7,1),2)-1)&lt;=DAY(EOMONTH(DATE(PlanYear,7,1),0))),DATE(PlanYear,7,1)+42-WEEKDAY(DATE(PlanYear,7,1),2),"")</f>
        <v/>
      </c>
      <c r="I50" s="20">
        <f>IF(AND(36-(WEEKDAY(DATE(PlanYear,8,1),2)-1)&gt;=1,36-(WEEKDAY(DATE(PlanYear,8,1),2)-1)&lt;=DAY(EOMONTH(DATE(PlanYear,8,1),0))),DATE(PlanYear,8,1)+36-WEEKDAY(DATE(PlanYear,8,1),2),"")</f>
        <v/>
      </c>
      <c r="J50" s="20">
        <f>IF(AND(37-(WEEKDAY(DATE(PlanYear,8,1),2)-1)&gt;=1,37-(WEEKDAY(DATE(PlanYear,8,1),2)-1)&lt;=DAY(EOMONTH(DATE(PlanYear,8,1),0))),DATE(PlanYear,8,1)+37-WEEKDAY(DATE(PlanYear,8,1),2),"")</f>
        <v/>
      </c>
      <c r="K50" s="20">
        <f>IF(AND(38-(WEEKDAY(DATE(PlanYear,8,1),2)-1)&gt;=1,38-(WEEKDAY(DATE(PlanYear,8,1),2)-1)&lt;=DAY(EOMONTH(DATE(PlanYear,8,1),0))),DATE(PlanYear,8,1)+38-WEEKDAY(DATE(PlanYear,8,1),2),"")</f>
        <v/>
      </c>
      <c r="L50" s="20">
        <f>IF(AND(39-(WEEKDAY(DATE(PlanYear,8,1),2)-1)&gt;=1,39-(WEEKDAY(DATE(PlanYear,8,1),2)-1)&lt;=DAY(EOMONTH(DATE(PlanYear,8,1),0))),DATE(PlanYear,8,1)+39-WEEKDAY(DATE(PlanYear,8,1),2),"")</f>
        <v/>
      </c>
      <c r="M50" s="20">
        <f>IF(AND(40-(WEEKDAY(DATE(PlanYear,8,1),2)-1)&gt;=1,40-(WEEKDAY(DATE(PlanYear,8,1),2)-1)&lt;=DAY(EOMONTH(DATE(PlanYear,8,1),0))),DATE(PlanYear,8,1)+40-WEEKDAY(DATE(PlanYear,8,1),2),"")</f>
        <v/>
      </c>
      <c r="N50" s="20">
        <f>IF(AND(41-(WEEKDAY(DATE(PlanYear,8,1),2)-1)&gt;=1,41-(WEEKDAY(DATE(PlanYear,8,1),2)-1)&lt;=DAY(EOMONTH(DATE(PlanYear,8,1),0))),DATE(PlanYear,8,1)+41-WEEKDAY(DATE(PlanYear,8,1),2),"")</f>
        <v/>
      </c>
      <c r="O50" s="20">
        <f>IF(AND(42-(WEEKDAY(DATE(PlanYear,8,1),2)-1)&gt;=1,42-(WEEKDAY(DATE(PlanYear,8,1),2)-1)&lt;=DAY(EOMONTH(DATE(PlanYear,8,1),0))),DATE(PlanYear,8,1)+42-WEEKDAY(DATE(PlanYear,8,1),2),"")</f>
        <v/>
      </c>
      <c r="Q50" s="20">
        <f>IF(AND(36-(WEEKDAY(DATE(PlanYear,9,1),2)-1)&gt;=1,36-(WEEKDAY(DATE(PlanYear,9,1),2)-1)&lt;=DAY(EOMONTH(DATE(PlanYear,9,1),0))),DATE(PlanYear,9,1)+36-WEEKDAY(DATE(PlanYear,9,1),2),"")</f>
        <v/>
      </c>
      <c r="R50" s="20">
        <f>IF(AND(37-(WEEKDAY(DATE(PlanYear,9,1),2)-1)&gt;=1,37-(WEEKDAY(DATE(PlanYear,9,1),2)-1)&lt;=DAY(EOMONTH(DATE(PlanYear,9,1),0))),DATE(PlanYear,9,1)+37-WEEKDAY(DATE(PlanYear,9,1),2),"")</f>
        <v/>
      </c>
      <c r="S50" s="20">
        <f>IF(AND(38-(WEEKDAY(DATE(PlanYear,9,1),2)-1)&gt;=1,38-(WEEKDAY(DATE(PlanYear,9,1),2)-1)&lt;=DAY(EOMONTH(DATE(PlanYear,9,1),0))),DATE(PlanYear,9,1)+38-WEEKDAY(DATE(PlanYear,9,1),2),"")</f>
        <v/>
      </c>
      <c r="T50" s="20">
        <f>IF(AND(39-(WEEKDAY(DATE(PlanYear,9,1),2)-1)&gt;=1,39-(WEEKDAY(DATE(PlanYear,9,1),2)-1)&lt;=DAY(EOMONTH(DATE(PlanYear,9,1),0))),DATE(PlanYear,9,1)+39-WEEKDAY(DATE(PlanYear,9,1),2),"")</f>
        <v/>
      </c>
      <c r="U50" s="20">
        <f>IF(AND(40-(WEEKDAY(DATE(PlanYear,9,1),2)-1)&gt;=1,40-(WEEKDAY(DATE(PlanYear,9,1),2)-1)&lt;=DAY(EOMONTH(DATE(PlanYear,9,1),0))),DATE(PlanYear,9,1)+40-WEEKDAY(DATE(PlanYear,9,1),2),"")</f>
        <v/>
      </c>
      <c r="V50" s="20">
        <f>IF(AND(41-(WEEKDAY(DATE(PlanYear,9,1),2)-1)&gt;=1,41-(WEEKDAY(DATE(PlanYear,9,1),2)-1)&lt;=DAY(EOMONTH(DATE(PlanYear,9,1),0))),DATE(PlanYear,9,1)+41-WEEKDAY(DATE(PlanYear,9,1),2),"")</f>
        <v/>
      </c>
      <c r="W50" s="20">
        <f>IF(AND(42-(WEEKDAY(DATE(PlanYear,9,1),2)-1)&gt;=1,42-(WEEKDAY(DATE(PlanYear,9,1),2)-1)&lt;=DAY(EOMONTH(DATE(PlanYear,9,1),0))),DATE(PlanYear,9,1)+42-WEEKDAY(DATE(PlanYear,9,1),2),"")</f>
        <v/>
      </c>
    </row>
    <row r="51" ht="24" customHeight="1">
      <c r="A51" s="21" t="n"/>
      <c r="B51" s="21" t="n"/>
      <c r="C51" s="21" t="n"/>
      <c r="D51" s="21" t="n"/>
      <c r="E51" s="21" t="n"/>
      <c r="F51" s="21" t="n"/>
      <c r="G51" s="21" t="n"/>
      <c r="I51" s="21" t="n"/>
      <c r="J51" s="21" t="n"/>
      <c r="K51" s="21" t="n"/>
      <c r="L51" s="21" t="n"/>
      <c r="M51" s="21" t="n"/>
      <c r="N51" s="21" t="n"/>
      <c r="O51" s="21" t="n"/>
      <c r="Q51" s="21" t="n"/>
      <c r="R51" s="21" t="n"/>
      <c r="S51" s="21" t="n"/>
      <c r="T51" s="21" t="n"/>
      <c r="U51" s="21" t="n"/>
      <c r="V51" s="21" t="n"/>
      <c r="W51" s="21" t="n"/>
    </row>
    <row r="52" ht="10" customHeight="1"/>
    <row r="53" ht="10" customHeight="1"/>
    <row r="54" ht="20" customHeight="1">
      <c r="A54" s="24">
        <f>UPPER(TEXT(DATE(PlanYear,10,1),"mmmm yyyy"))&amp;"  ·  SDO"</f>
        <v/>
      </c>
      <c r="B54" s="25" t="n"/>
      <c r="C54" s="25" t="n"/>
      <c r="D54" s="25" t="n"/>
      <c r="E54" s="25" t="n"/>
      <c r="F54" s="25" t="n"/>
      <c r="G54" s="25" t="n"/>
      <c r="I54" s="24">
        <f>UPPER(TEXT(DATE(PlanYear,11,1),"mmmm yyyy"))&amp;"  ·  SDO"</f>
        <v/>
      </c>
      <c r="J54" s="25" t="n"/>
      <c r="K54" s="25" t="n"/>
      <c r="L54" s="25" t="n"/>
      <c r="M54" s="25" t="n"/>
      <c r="N54" s="25" t="n"/>
      <c r="O54" s="25" t="n"/>
      <c r="Q54" s="24">
        <f>UPPER(TEXT(DATE(PlanYear,12,1),"mmmm yyyy"))&amp;"  ·  SDO"</f>
        <v/>
      </c>
      <c r="R54" s="25" t="n"/>
      <c r="S54" s="25" t="n"/>
      <c r="T54" s="25" t="n"/>
      <c r="U54" s="25" t="n"/>
      <c r="V54" s="25" t="n"/>
      <c r="W54" s="25" t="n"/>
    </row>
    <row r="55" ht="15" customHeight="1">
      <c r="A55" s="18" t="inlineStr">
        <is>
          <t>Mon</t>
        </is>
      </c>
      <c r="B55" s="18" t="inlineStr">
        <is>
          <t>Tue</t>
        </is>
      </c>
      <c r="C55" s="18" t="inlineStr">
        <is>
          <t>Wed</t>
        </is>
      </c>
      <c r="D55" s="18" t="inlineStr">
        <is>
          <t>Thu</t>
        </is>
      </c>
      <c r="E55" s="18" t="inlineStr">
        <is>
          <t>Fri</t>
        </is>
      </c>
      <c r="F55" s="19" t="inlineStr">
        <is>
          <t>Sat</t>
        </is>
      </c>
      <c r="G55" s="19" t="inlineStr">
        <is>
          <t>Sun</t>
        </is>
      </c>
      <c r="I55" s="18" t="inlineStr">
        <is>
          <t>Mon</t>
        </is>
      </c>
      <c r="J55" s="18" t="inlineStr">
        <is>
          <t>Tue</t>
        </is>
      </c>
      <c r="K55" s="18" t="inlineStr">
        <is>
          <t>Wed</t>
        </is>
      </c>
      <c r="L55" s="18" t="inlineStr">
        <is>
          <t>Thu</t>
        </is>
      </c>
      <c r="M55" s="18" t="inlineStr">
        <is>
          <t>Fri</t>
        </is>
      </c>
      <c r="N55" s="19" t="inlineStr">
        <is>
          <t>Sat</t>
        </is>
      </c>
      <c r="O55" s="19" t="inlineStr">
        <is>
          <t>Sun</t>
        </is>
      </c>
      <c r="Q55" s="18" t="inlineStr">
        <is>
          <t>Mon</t>
        </is>
      </c>
      <c r="R55" s="18" t="inlineStr">
        <is>
          <t>Tue</t>
        </is>
      </c>
      <c r="S55" s="18" t="inlineStr">
        <is>
          <t>Wed</t>
        </is>
      </c>
      <c r="T55" s="18" t="inlineStr">
        <is>
          <t>Thu</t>
        </is>
      </c>
      <c r="U55" s="18" t="inlineStr">
        <is>
          <t>Fri</t>
        </is>
      </c>
      <c r="V55" s="19" t="inlineStr">
        <is>
          <t>Sat</t>
        </is>
      </c>
      <c r="W55" s="19" t="inlineStr">
        <is>
          <t>Sun</t>
        </is>
      </c>
    </row>
    <row r="56" ht="14" customHeight="1">
      <c r="A56" s="20">
        <f>IF(AND(1-(WEEKDAY(DATE(PlanYear,10,1),2)-1)&gt;=1,1-(WEEKDAY(DATE(PlanYear,10,1),2)-1)&lt;=DAY(EOMONTH(DATE(PlanYear,10,1),0))),DATE(PlanYear,10,1)+1-WEEKDAY(DATE(PlanYear,10,1),2),"")</f>
        <v/>
      </c>
      <c r="B56" s="20">
        <f>IF(AND(2-(WEEKDAY(DATE(PlanYear,10,1),2)-1)&gt;=1,2-(WEEKDAY(DATE(PlanYear,10,1),2)-1)&lt;=DAY(EOMONTH(DATE(PlanYear,10,1),0))),DATE(PlanYear,10,1)+2-WEEKDAY(DATE(PlanYear,10,1),2),"")</f>
        <v/>
      </c>
      <c r="C56" s="20">
        <f>IF(AND(3-(WEEKDAY(DATE(PlanYear,10,1),2)-1)&gt;=1,3-(WEEKDAY(DATE(PlanYear,10,1),2)-1)&lt;=DAY(EOMONTH(DATE(PlanYear,10,1),0))),DATE(PlanYear,10,1)+3-WEEKDAY(DATE(PlanYear,10,1),2),"")</f>
        <v/>
      </c>
      <c r="D56" s="20">
        <f>IF(AND(4-(WEEKDAY(DATE(PlanYear,10,1),2)-1)&gt;=1,4-(WEEKDAY(DATE(PlanYear,10,1),2)-1)&lt;=DAY(EOMONTH(DATE(PlanYear,10,1),0))),DATE(PlanYear,10,1)+4-WEEKDAY(DATE(PlanYear,10,1),2),"")</f>
        <v/>
      </c>
      <c r="E56" s="20">
        <f>IF(AND(5-(WEEKDAY(DATE(PlanYear,10,1),2)-1)&gt;=1,5-(WEEKDAY(DATE(PlanYear,10,1),2)-1)&lt;=DAY(EOMONTH(DATE(PlanYear,10,1),0))),DATE(PlanYear,10,1)+5-WEEKDAY(DATE(PlanYear,10,1),2),"")</f>
        <v/>
      </c>
      <c r="F56" s="20">
        <f>IF(AND(6-(WEEKDAY(DATE(PlanYear,10,1),2)-1)&gt;=1,6-(WEEKDAY(DATE(PlanYear,10,1),2)-1)&lt;=DAY(EOMONTH(DATE(PlanYear,10,1),0))),DATE(PlanYear,10,1)+6-WEEKDAY(DATE(PlanYear,10,1),2),"")</f>
        <v/>
      </c>
      <c r="G56" s="20">
        <f>IF(AND(7-(WEEKDAY(DATE(PlanYear,10,1),2)-1)&gt;=1,7-(WEEKDAY(DATE(PlanYear,10,1),2)-1)&lt;=DAY(EOMONTH(DATE(PlanYear,10,1),0))),DATE(PlanYear,10,1)+7-WEEKDAY(DATE(PlanYear,10,1),2),"")</f>
        <v/>
      </c>
      <c r="I56" s="20">
        <f>IF(AND(1-(WEEKDAY(DATE(PlanYear,11,1),2)-1)&gt;=1,1-(WEEKDAY(DATE(PlanYear,11,1),2)-1)&lt;=DAY(EOMONTH(DATE(PlanYear,11,1),0))),DATE(PlanYear,11,1)+1-WEEKDAY(DATE(PlanYear,11,1),2),"")</f>
        <v/>
      </c>
      <c r="J56" s="20">
        <f>IF(AND(2-(WEEKDAY(DATE(PlanYear,11,1),2)-1)&gt;=1,2-(WEEKDAY(DATE(PlanYear,11,1),2)-1)&lt;=DAY(EOMONTH(DATE(PlanYear,11,1),0))),DATE(PlanYear,11,1)+2-WEEKDAY(DATE(PlanYear,11,1),2),"")</f>
        <v/>
      </c>
      <c r="K56" s="20">
        <f>IF(AND(3-(WEEKDAY(DATE(PlanYear,11,1),2)-1)&gt;=1,3-(WEEKDAY(DATE(PlanYear,11,1),2)-1)&lt;=DAY(EOMONTH(DATE(PlanYear,11,1),0))),DATE(PlanYear,11,1)+3-WEEKDAY(DATE(PlanYear,11,1),2),"")</f>
        <v/>
      </c>
      <c r="L56" s="20">
        <f>IF(AND(4-(WEEKDAY(DATE(PlanYear,11,1),2)-1)&gt;=1,4-(WEEKDAY(DATE(PlanYear,11,1),2)-1)&lt;=DAY(EOMONTH(DATE(PlanYear,11,1),0))),DATE(PlanYear,11,1)+4-WEEKDAY(DATE(PlanYear,11,1),2),"")</f>
        <v/>
      </c>
      <c r="M56" s="20">
        <f>IF(AND(5-(WEEKDAY(DATE(PlanYear,11,1),2)-1)&gt;=1,5-(WEEKDAY(DATE(PlanYear,11,1),2)-1)&lt;=DAY(EOMONTH(DATE(PlanYear,11,1),0))),DATE(PlanYear,11,1)+5-WEEKDAY(DATE(PlanYear,11,1),2),"")</f>
        <v/>
      </c>
      <c r="N56" s="20">
        <f>IF(AND(6-(WEEKDAY(DATE(PlanYear,11,1),2)-1)&gt;=1,6-(WEEKDAY(DATE(PlanYear,11,1),2)-1)&lt;=DAY(EOMONTH(DATE(PlanYear,11,1),0))),DATE(PlanYear,11,1)+6-WEEKDAY(DATE(PlanYear,11,1),2),"")</f>
        <v/>
      </c>
      <c r="O56" s="20">
        <f>IF(AND(7-(WEEKDAY(DATE(PlanYear,11,1),2)-1)&gt;=1,7-(WEEKDAY(DATE(PlanYear,11,1),2)-1)&lt;=DAY(EOMONTH(DATE(PlanYear,11,1),0))),DATE(PlanYear,11,1)+7-WEEKDAY(DATE(PlanYear,11,1),2),"")</f>
        <v/>
      </c>
      <c r="Q56" s="20">
        <f>IF(AND(1-(WEEKDAY(DATE(PlanYear,12,1),2)-1)&gt;=1,1-(WEEKDAY(DATE(PlanYear,12,1),2)-1)&lt;=DAY(EOMONTH(DATE(PlanYear,12,1),0))),DATE(PlanYear,12,1)+1-WEEKDAY(DATE(PlanYear,12,1),2),"")</f>
        <v/>
      </c>
      <c r="R56" s="20">
        <f>IF(AND(2-(WEEKDAY(DATE(PlanYear,12,1),2)-1)&gt;=1,2-(WEEKDAY(DATE(PlanYear,12,1),2)-1)&lt;=DAY(EOMONTH(DATE(PlanYear,12,1),0))),DATE(PlanYear,12,1)+2-WEEKDAY(DATE(PlanYear,12,1),2),"")</f>
        <v/>
      </c>
      <c r="S56" s="20">
        <f>IF(AND(3-(WEEKDAY(DATE(PlanYear,12,1),2)-1)&gt;=1,3-(WEEKDAY(DATE(PlanYear,12,1),2)-1)&lt;=DAY(EOMONTH(DATE(PlanYear,12,1),0))),DATE(PlanYear,12,1)+3-WEEKDAY(DATE(PlanYear,12,1),2),"")</f>
        <v/>
      </c>
      <c r="T56" s="20">
        <f>IF(AND(4-(WEEKDAY(DATE(PlanYear,12,1),2)-1)&gt;=1,4-(WEEKDAY(DATE(PlanYear,12,1),2)-1)&lt;=DAY(EOMONTH(DATE(PlanYear,12,1),0))),DATE(PlanYear,12,1)+4-WEEKDAY(DATE(PlanYear,12,1),2),"")</f>
        <v/>
      </c>
      <c r="U56" s="20">
        <f>IF(AND(5-(WEEKDAY(DATE(PlanYear,12,1),2)-1)&gt;=1,5-(WEEKDAY(DATE(PlanYear,12,1),2)-1)&lt;=DAY(EOMONTH(DATE(PlanYear,12,1),0))),DATE(PlanYear,12,1)+5-WEEKDAY(DATE(PlanYear,12,1),2),"")</f>
        <v/>
      </c>
      <c r="V56" s="20">
        <f>IF(AND(6-(WEEKDAY(DATE(PlanYear,12,1),2)-1)&gt;=1,6-(WEEKDAY(DATE(PlanYear,12,1),2)-1)&lt;=DAY(EOMONTH(DATE(PlanYear,12,1),0))),DATE(PlanYear,12,1)+6-WEEKDAY(DATE(PlanYear,12,1),2),"")</f>
        <v/>
      </c>
      <c r="W56" s="20">
        <f>IF(AND(7-(WEEKDAY(DATE(PlanYear,12,1),2)-1)&gt;=1,7-(WEEKDAY(DATE(PlanYear,12,1),2)-1)&lt;=DAY(EOMONTH(DATE(PlanYear,12,1),0))),DATE(PlanYear,12,1)+7-WEEKDAY(DATE(PlanYear,12,1),2),"")</f>
        <v/>
      </c>
    </row>
    <row r="57" ht="24" customHeight="1">
      <c r="A57" s="21" t="n"/>
      <c r="B57" s="21" t="n"/>
      <c r="C57" s="21" t="n"/>
      <c r="D57" s="21" t="inlineStr">
        <is>
          <t>SUP 1</t>
        </is>
      </c>
      <c r="E57" s="21" t="inlineStr">
        <is>
          <t>SUP 2</t>
        </is>
      </c>
      <c r="F57" s="21" t="inlineStr">
        <is>
          <t>SUP 2</t>
        </is>
      </c>
      <c r="G57" s="21" t="inlineStr">
        <is>
          <t>SUP 2</t>
        </is>
      </c>
      <c r="I57" s="21" t="n"/>
      <c r="J57" s="21" t="n"/>
      <c r="K57" s="21" t="n"/>
      <c r="L57" s="21" t="n"/>
      <c r="M57" s="21" t="n"/>
      <c r="N57" s="21" t="n"/>
      <c r="O57" s="21" t="inlineStr">
        <is>
          <t>SUP 1</t>
        </is>
      </c>
      <c r="Q57" s="21" t="n"/>
      <c r="R57" s="21" t="n"/>
      <c r="S57" s="21" t="n"/>
      <c r="T57" s="21" t="n"/>
      <c r="U57" s="21" t="n"/>
      <c r="V57" s="21" t="n"/>
      <c r="W57" s="21" t="n"/>
    </row>
    <row r="58" ht="14" customHeight="1">
      <c r="A58" s="20">
        <f>IF(AND(8-(WEEKDAY(DATE(PlanYear,10,1),2)-1)&gt;=1,8-(WEEKDAY(DATE(PlanYear,10,1),2)-1)&lt;=DAY(EOMONTH(DATE(PlanYear,10,1),0))),DATE(PlanYear,10,1)+8-WEEKDAY(DATE(PlanYear,10,1),2),"")</f>
        <v/>
      </c>
      <c r="B58" s="20">
        <f>IF(AND(9-(WEEKDAY(DATE(PlanYear,10,1),2)-1)&gt;=1,9-(WEEKDAY(DATE(PlanYear,10,1),2)-1)&lt;=DAY(EOMONTH(DATE(PlanYear,10,1),0))),DATE(PlanYear,10,1)+9-WEEKDAY(DATE(PlanYear,10,1),2),"")</f>
        <v/>
      </c>
      <c r="C58" s="20">
        <f>IF(AND(10-(WEEKDAY(DATE(PlanYear,10,1),2)-1)&gt;=1,10-(WEEKDAY(DATE(PlanYear,10,1),2)-1)&lt;=DAY(EOMONTH(DATE(PlanYear,10,1),0))),DATE(PlanYear,10,1)+10-WEEKDAY(DATE(PlanYear,10,1),2),"")</f>
        <v/>
      </c>
      <c r="D58" s="20">
        <f>IF(AND(11-(WEEKDAY(DATE(PlanYear,10,1),2)-1)&gt;=1,11-(WEEKDAY(DATE(PlanYear,10,1),2)-1)&lt;=DAY(EOMONTH(DATE(PlanYear,10,1),0))),DATE(PlanYear,10,1)+11-WEEKDAY(DATE(PlanYear,10,1),2),"")</f>
        <v/>
      </c>
      <c r="E58" s="20">
        <f>IF(AND(12-(WEEKDAY(DATE(PlanYear,10,1),2)-1)&gt;=1,12-(WEEKDAY(DATE(PlanYear,10,1),2)-1)&lt;=DAY(EOMONTH(DATE(PlanYear,10,1),0))),DATE(PlanYear,10,1)+12-WEEKDAY(DATE(PlanYear,10,1),2),"")</f>
        <v/>
      </c>
      <c r="F58" s="20">
        <f>IF(AND(13-(WEEKDAY(DATE(PlanYear,10,1),2)-1)&gt;=1,13-(WEEKDAY(DATE(PlanYear,10,1),2)-1)&lt;=DAY(EOMONTH(DATE(PlanYear,10,1),0))),DATE(PlanYear,10,1)+13-WEEKDAY(DATE(PlanYear,10,1),2),"")</f>
        <v/>
      </c>
      <c r="G58" s="20">
        <f>IF(AND(14-(WEEKDAY(DATE(PlanYear,10,1),2)-1)&gt;=1,14-(WEEKDAY(DATE(PlanYear,10,1),2)-1)&lt;=DAY(EOMONTH(DATE(PlanYear,10,1),0))),DATE(PlanYear,10,1)+14-WEEKDAY(DATE(PlanYear,10,1),2),"")</f>
        <v/>
      </c>
      <c r="I58" s="20">
        <f>IF(AND(8-(WEEKDAY(DATE(PlanYear,11,1),2)-1)&gt;=1,8-(WEEKDAY(DATE(PlanYear,11,1),2)-1)&lt;=DAY(EOMONTH(DATE(PlanYear,11,1),0))),DATE(PlanYear,11,1)+8-WEEKDAY(DATE(PlanYear,11,1),2),"")</f>
        <v/>
      </c>
      <c r="J58" s="20">
        <f>IF(AND(9-(WEEKDAY(DATE(PlanYear,11,1),2)-1)&gt;=1,9-(WEEKDAY(DATE(PlanYear,11,1),2)-1)&lt;=DAY(EOMONTH(DATE(PlanYear,11,1),0))),DATE(PlanYear,11,1)+9-WEEKDAY(DATE(PlanYear,11,1),2),"")</f>
        <v/>
      </c>
      <c r="K58" s="20">
        <f>IF(AND(10-(WEEKDAY(DATE(PlanYear,11,1),2)-1)&gt;=1,10-(WEEKDAY(DATE(PlanYear,11,1),2)-1)&lt;=DAY(EOMONTH(DATE(PlanYear,11,1),0))),DATE(PlanYear,11,1)+10-WEEKDAY(DATE(PlanYear,11,1),2),"")</f>
        <v/>
      </c>
      <c r="L58" s="20">
        <f>IF(AND(11-(WEEKDAY(DATE(PlanYear,11,1),2)-1)&gt;=1,11-(WEEKDAY(DATE(PlanYear,11,1),2)-1)&lt;=DAY(EOMONTH(DATE(PlanYear,11,1),0))),DATE(PlanYear,11,1)+11-WEEKDAY(DATE(PlanYear,11,1),2),"")</f>
        <v/>
      </c>
      <c r="M58" s="20">
        <f>IF(AND(12-(WEEKDAY(DATE(PlanYear,11,1),2)-1)&gt;=1,12-(WEEKDAY(DATE(PlanYear,11,1),2)-1)&lt;=DAY(EOMONTH(DATE(PlanYear,11,1),0))),DATE(PlanYear,11,1)+12-WEEKDAY(DATE(PlanYear,11,1),2),"")</f>
        <v/>
      </c>
      <c r="N58" s="20">
        <f>IF(AND(13-(WEEKDAY(DATE(PlanYear,11,1),2)-1)&gt;=1,13-(WEEKDAY(DATE(PlanYear,11,1),2)-1)&lt;=DAY(EOMONTH(DATE(PlanYear,11,1),0))),DATE(PlanYear,11,1)+13-WEEKDAY(DATE(PlanYear,11,1),2),"")</f>
        <v/>
      </c>
      <c r="O58" s="20">
        <f>IF(AND(14-(WEEKDAY(DATE(PlanYear,11,1),2)-1)&gt;=1,14-(WEEKDAY(DATE(PlanYear,11,1),2)-1)&lt;=DAY(EOMONTH(DATE(PlanYear,11,1),0))),DATE(PlanYear,11,1)+14-WEEKDAY(DATE(PlanYear,11,1),2),"")</f>
        <v/>
      </c>
      <c r="Q58" s="20">
        <f>IF(AND(8-(WEEKDAY(DATE(PlanYear,12,1),2)-1)&gt;=1,8-(WEEKDAY(DATE(PlanYear,12,1),2)-1)&lt;=DAY(EOMONTH(DATE(PlanYear,12,1),0))),DATE(PlanYear,12,1)+8-WEEKDAY(DATE(PlanYear,12,1),2),"")</f>
        <v/>
      </c>
      <c r="R58" s="20">
        <f>IF(AND(9-(WEEKDAY(DATE(PlanYear,12,1),2)-1)&gt;=1,9-(WEEKDAY(DATE(PlanYear,12,1),2)-1)&lt;=DAY(EOMONTH(DATE(PlanYear,12,1),0))),DATE(PlanYear,12,1)+9-WEEKDAY(DATE(PlanYear,12,1),2),"")</f>
        <v/>
      </c>
      <c r="S58" s="20">
        <f>IF(AND(10-(WEEKDAY(DATE(PlanYear,12,1),2)-1)&gt;=1,10-(WEEKDAY(DATE(PlanYear,12,1),2)-1)&lt;=DAY(EOMONTH(DATE(PlanYear,12,1),0))),DATE(PlanYear,12,1)+10-WEEKDAY(DATE(PlanYear,12,1),2),"")</f>
        <v/>
      </c>
      <c r="T58" s="20">
        <f>IF(AND(11-(WEEKDAY(DATE(PlanYear,12,1),2)-1)&gt;=1,11-(WEEKDAY(DATE(PlanYear,12,1),2)-1)&lt;=DAY(EOMONTH(DATE(PlanYear,12,1),0))),DATE(PlanYear,12,1)+11-WEEKDAY(DATE(PlanYear,12,1),2),"")</f>
        <v/>
      </c>
      <c r="U58" s="20">
        <f>IF(AND(12-(WEEKDAY(DATE(PlanYear,12,1),2)-1)&gt;=1,12-(WEEKDAY(DATE(PlanYear,12,1),2)-1)&lt;=DAY(EOMONTH(DATE(PlanYear,12,1),0))),DATE(PlanYear,12,1)+12-WEEKDAY(DATE(PlanYear,12,1),2),"")</f>
        <v/>
      </c>
      <c r="V58" s="20">
        <f>IF(AND(13-(WEEKDAY(DATE(PlanYear,12,1),2)-1)&gt;=1,13-(WEEKDAY(DATE(PlanYear,12,1),2)-1)&lt;=DAY(EOMONTH(DATE(PlanYear,12,1),0))),DATE(PlanYear,12,1)+13-WEEKDAY(DATE(PlanYear,12,1),2),"")</f>
        <v/>
      </c>
      <c r="W58" s="20">
        <f>IF(AND(14-(WEEKDAY(DATE(PlanYear,12,1),2)-1)&gt;=1,14-(WEEKDAY(DATE(PlanYear,12,1),2)-1)&lt;=DAY(EOMONTH(DATE(PlanYear,12,1),0))),DATE(PlanYear,12,1)+14-WEEKDAY(DATE(PlanYear,12,1),2),"")</f>
        <v/>
      </c>
    </row>
    <row r="59" ht="24" customHeight="1">
      <c r="A59" s="21" t="inlineStr">
        <is>
          <t>Loadmaster</t>
        </is>
      </c>
      <c r="B59" s="21" t="inlineStr">
        <is>
          <t>SUP 1</t>
        </is>
      </c>
      <c r="C59" s="21" t="inlineStr">
        <is>
          <t>Loadmaster</t>
        </is>
      </c>
      <c r="D59" s="21" t="inlineStr">
        <is>
          <t>SUP 1</t>
        </is>
      </c>
      <c r="E59" s="21" t="inlineStr">
        <is>
          <t>Loadmaster</t>
        </is>
      </c>
      <c r="F59" s="21" t="inlineStr">
        <is>
          <t>SUP 2</t>
        </is>
      </c>
      <c r="G59" s="21" t="inlineStr">
        <is>
          <t>SUP 1</t>
        </is>
      </c>
      <c r="I59" s="21" t="inlineStr">
        <is>
          <t>SUP 2</t>
        </is>
      </c>
      <c r="J59" s="21" t="inlineStr">
        <is>
          <t>Loadmaster</t>
        </is>
      </c>
      <c r="K59" s="21" t="inlineStr">
        <is>
          <t>SUP 1</t>
        </is>
      </c>
      <c r="L59" s="21" t="inlineStr">
        <is>
          <t>SUP 2</t>
        </is>
      </c>
      <c r="M59" s="21" t="inlineStr">
        <is>
          <t>Loadmaster</t>
        </is>
      </c>
      <c r="N59" s="21" t="inlineStr">
        <is>
          <t>SUP 1</t>
        </is>
      </c>
      <c r="O59" s="21" t="inlineStr">
        <is>
          <t>SUP 2</t>
        </is>
      </c>
      <c r="Q59" s="21" t="n"/>
      <c r="R59" s="21" t="n"/>
      <c r="S59" s="21" t="n"/>
      <c r="T59" s="21" t="n"/>
      <c r="U59" s="21" t="n"/>
      <c r="V59" s="21" t="n"/>
      <c r="W59" s="21" t="n"/>
    </row>
    <row r="60" ht="14" customHeight="1">
      <c r="A60" s="20">
        <f>IF(AND(15-(WEEKDAY(DATE(PlanYear,10,1),2)-1)&gt;=1,15-(WEEKDAY(DATE(PlanYear,10,1),2)-1)&lt;=DAY(EOMONTH(DATE(PlanYear,10,1),0))),DATE(PlanYear,10,1)+15-WEEKDAY(DATE(PlanYear,10,1),2),"")</f>
        <v/>
      </c>
      <c r="B60" s="20">
        <f>IF(AND(16-(WEEKDAY(DATE(PlanYear,10,1),2)-1)&gt;=1,16-(WEEKDAY(DATE(PlanYear,10,1),2)-1)&lt;=DAY(EOMONTH(DATE(PlanYear,10,1),0))),DATE(PlanYear,10,1)+16-WEEKDAY(DATE(PlanYear,10,1),2),"")</f>
        <v/>
      </c>
      <c r="C60" s="20">
        <f>IF(AND(17-(WEEKDAY(DATE(PlanYear,10,1),2)-1)&gt;=1,17-(WEEKDAY(DATE(PlanYear,10,1),2)-1)&lt;=DAY(EOMONTH(DATE(PlanYear,10,1),0))),DATE(PlanYear,10,1)+17-WEEKDAY(DATE(PlanYear,10,1),2),"")</f>
        <v/>
      </c>
      <c r="D60" s="20">
        <f>IF(AND(18-(WEEKDAY(DATE(PlanYear,10,1),2)-1)&gt;=1,18-(WEEKDAY(DATE(PlanYear,10,1),2)-1)&lt;=DAY(EOMONTH(DATE(PlanYear,10,1),0))),DATE(PlanYear,10,1)+18-WEEKDAY(DATE(PlanYear,10,1),2),"")</f>
        <v/>
      </c>
      <c r="E60" s="20">
        <f>IF(AND(19-(WEEKDAY(DATE(PlanYear,10,1),2)-1)&gt;=1,19-(WEEKDAY(DATE(PlanYear,10,1),2)-1)&lt;=DAY(EOMONTH(DATE(PlanYear,10,1),0))),DATE(PlanYear,10,1)+19-WEEKDAY(DATE(PlanYear,10,1),2),"")</f>
        <v/>
      </c>
      <c r="F60" s="20">
        <f>IF(AND(20-(WEEKDAY(DATE(PlanYear,10,1),2)-1)&gt;=1,20-(WEEKDAY(DATE(PlanYear,10,1),2)-1)&lt;=DAY(EOMONTH(DATE(PlanYear,10,1),0))),DATE(PlanYear,10,1)+20-WEEKDAY(DATE(PlanYear,10,1),2),"")</f>
        <v/>
      </c>
      <c r="G60" s="20">
        <f>IF(AND(21-(WEEKDAY(DATE(PlanYear,10,1),2)-1)&gt;=1,21-(WEEKDAY(DATE(PlanYear,10,1),2)-1)&lt;=DAY(EOMONTH(DATE(PlanYear,10,1),0))),DATE(PlanYear,10,1)+21-WEEKDAY(DATE(PlanYear,10,1),2),"")</f>
        <v/>
      </c>
      <c r="I60" s="20">
        <f>IF(AND(15-(WEEKDAY(DATE(PlanYear,11,1),2)-1)&gt;=1,15-(WEEKDAY(DATE(PlanYear,11,1),2)-1)&lt;=DAY(EOMONTH(DATE(PlanYear,11,1),0))),DATE(PlanYear,11,1)+15-WEEKDAY(DATE(PlanYear,11,1),2),"")</f>
        <v/>
      </c>
      <c r="J60" s="20">
        <f>IF(AND(16-(WEEKDAY(DATE(PlanYear,11,1),2)-1)&gt;=1,16-(WEEKDAY(DATE(PlanYear,11,1),2)-1)&lt;=DAY(EOMONTH(DATE(PlanYear,11,1),0))),DATE(PlanYear,11,1)+16-WEEKDAY(DATE(PlanYear,11,1),2),"")</f>
        <v/>
      </c>
      <c r="K60" s="20">
        <f>IF(AND(17-(WEEKDAY(DATE(PlanYear,11,1),2)-1)&gt;=1,17-(WEEKDAY(DATE(PlanYear,11,1),2)-1)&lt;=DAY(EOMONTH(DATE(PlanYear,11,1),0))),DATE(PlanYear,11,1)+17-WEEKDAY(DATE(PlanYear,11,1),2),"")</f>
        <v/>
      </c>
      <c r="L60" s="20">
        <f>IF(AND(18-(WEEKDAY(DATE(PlanYear,11,1),2)-1)&gt;=1,18-(WEEKDAY(DATE(PlanYear,11,1),2)-1)&lt;=DAY(EOMONTH(DATE(PlanYear,11,1),0))),DATE(PlanYear,11,1)+18-WEEKDAY(DATE(PlanYear,11,1),2),"")</f>
        <v/>
      </c>
      <c r="M60" s="20">
        <f>IF(AND(19-(WEEKDAY(DATE(PlanYear,11,1),2)-1)&gt;=1,19-(WEEKDAY(DATE(PlanYear,11,1),2)-1)&lt;=DAY(EOMONTH(DATE(PlanYear,11,1),0))),DATE(PlanYear,11,1)+19-WEEKDAY(DATE(PlanYear,11,1),2),"")</f>
        <v/>
      </c>
      <c r="N60" s="20">
        <f>IF(AND(20-(WEEKDAY(DATE(PlanYear,11,1),2)-1)&gt;=1,20-(WEEKDAY(DATE(PlanYear,11,1),2)-1)&lt;=DAY(EOMONTH(DATE(PlanYear,11,1),0))),DATE(PlanYear,11,1)+20-WEEKDAY(DATE(PlanYear,11,1),2),"")</f>
        <v/>
      </c>
      <c r="O60" s="20">
        <f>IF(AND(21-(WEEKDAY(DATE(PlanYear,11,1),2)-1)&gt;=1,21-(WEEKDAY(DATE(PlanYear,11,1),2)-1)&lt;=DAY(EOMONTH(DATE(PlanYear,11,1),0))),DATE(PlanYear,11,1)+21-WEEKDAY(DATE(PlanYear,11,1),2),"")</f>
        <v/>
      </c>
      <c r="Q60" s="20">
        <f>IF(AND(15-(WEEKDAY(DATE(PlanYear,12,1),2)-1)&gt;=1,15-(WEEKDAY(DATE(PlanYear,12,1),2)-1)&lt;=DAY(EOMONTH(DATE(PlanYear,12,1),0))),DATE(PlanYear,12,1)+15-WEEKDAY(DATE(PlanYear,12,1),2),"")</f>
        <v/>
      </c>
      <c r="R60" s="20">
        <f>IF(AND(16-(WEEKDAY(DATE(PlanYear,12,1),2)-1)&gt;=1,16-(WEEKDAY(DATE(PlanYear,12,1),2)-1)&lt;=DAY(EOMONTH(DATE(PlanYear,12,1),0))),DATE(PlanYear,12,1)+16-WEEKDAY(DATE(PlanYear,12,1),2),"")</f>
        <v/>
      </c>
      <c r="S60" s="20">
        <f>IF(AND(17-(WEEKDAY(DATE(PlanYear,12,1),2)-1)&gt;=1,17-(WEEKDAY(DATE(PlanYear,12,1),2)-1)&lt;=DAY(EOMONTH(DATE(PlanYear,12,1),0))),DATE(PlanYear,12,1)+17-WEEKDAY(DATE(PlanYear,12,1),2),"")</f>
        <v/>
      </c>
      <c r="T60" s="20">
        <f>IF(AND(18-(WEEKDAY(DATE(PlanYear,12,1),2)-1)&gt;=1,18-(WEEKDAY(DATE(PlanYear,12,1),2)-1)&lt;=DAY(EOMONTH(DATE(PlanYear,12,1),0))),DATE(PlanYear,12,1)+18-WEEKDAY(DATE(PlanYear,12,1),2),"")</f>
        <v/>
      </c>
      <c r="U60" s="20">
        <f>IF(AND(19-(WEEKDAY(DATE(PlanYear,12,1),2)-1)&gt;=1,19-(WEEKDAY(DATE(PlanYear,12,1),2)-1)&lt;=DAY(EOMONTH(DATE(PlanYear,12,1),0))),DATE(PlanYear,12,1)+19-WEEKDAY(DATE(PlanYear,12,1),2),"")</f>
        <v/>
      </c>
      <c r="V60" s="20">
        <f>IF(AND(20-(WEEKDAY(DATE(PlanYear,12,1),2)-1)&gt;=1,20-(WEEKDAY(DATE(PlanYear,12,1),2)-1)&lt;=DAY(EOMONTH(DATE(PlanYear,12,1),0))),DATE(PlanYear,12,1)+20-WEEKDAY(DATE(PlanYear,12,1),2),"")</f>
        <v/>
      </c>
      <c r="W60" s="20">
        <f>IF(AND(21-(WEEKDAY(DATE(PlanYear,12,1),2)-1)&gt;=1,21-(WEEKDAY(DATE(PlanYear,12,1),2)-1)&lt;=DAY(EOMONTH(DATE(PlanYear,12,1),0))),DATE(PlanYear,12,1)+21-WEEKDAY(DATE(PlanYear,12,1),2),"")</f>
        <v/>
      </c>
    </row>
    <row r="61" ht="24" customHeight="1">
      <c r="A61" s="21" t="inlineStr">
        <is>
          <t>SUP 2</t>
        </is>
      </c>
      <c r="B61" s="21" t="inlineStr">
        <is>
          <t>Loadmaster</t>
        </is>
      </c>
      <c r="C61" s="21" t="inlineStr">
        <is>
          <t>SUP 1</t>
        </is>
      </c>
      <c r="D61" s="21" t="inlineStr">
        <is>
          <t>SUP 2</t>
        </is>
      </c>
      <c r="E61" s="21" t="inlineStr">
        <is>
          <t>Loadmaster</t>
        </is>
      </c>
      <c r="F61" s="21" t="inlineStr">
        <is>
          <t>SUP 1</t>
        </is>
      </c>
      <c r="G61" s="21" t="inlineStr">
        <is>
          <t>SUP 2</t>
        </is>
      </c>
      <c r="I61" s="21" t="inlineStr">
        <is>
          <t>Loadmaster</t>
        </is>
      </c>
      <c r="J61" s="21" t="inlineStr">
        <is>
          <t>SUP 1</t>
        </is>
      </c>
      <c r="K61" s="21" t="inlineStr">
        <is>
          <t>SUP 2</t>
        </is>
      </c>
      <c r="L61" s="21" t="inlineStr">
        <is>
          <t>Loadmaster</t>
        </is>
      </c>
      <c r="M61" s="21" t="inlineStr">
        <is>
          <t>SUP 1</t>
        </is>
      </c>
      <c r="N61" s="21" t="inlineStr">
        <is>
          <t>SUP 2</t>
        </is>
      </c>
      <c r="O61" s="21" t="inlineStr">
        <is>
          <t>Loadmaster</t>
        </is>
      </c>
      <c r="Q61" s="21" t="n"/>
      <c r="R61" s="21" t="n"/>
      <c r="S61" s="21" t="n"/>
      <c r="T61" s="21" t="n"/>
      <c r="U61" s="21" t="n"/>
      <c r="V61" s="21" t="n"/>
      <c r="W61" s="21" t="n"/>
    </row>
    <row r="62" ht="14" customHeight="1">
      <c r="A62" s="20">
        <f>IF(AND(22-(WEEKDAY(DATE(PlanYear,10,1),2)-1)&gt;=1,22-(WEEKDAY(DATE(PlanYear,10,1),2)-1)&lt;=DAY(EOMONTH(DATE(PlanYear,10,1),0))),DATE(PlanYear,10,1)+22-WEEKDAY(DATE(PlanYear,10,1),2),"")</f>
        <v/>
      </c>
      <c r="B62" s="20">
        <f>IF(AND(23-(WEEKDAY(DATE(PlanYear,10,1),2)-1)&gt;=1,23-(WEEKDAY(DATE(PlanYear,10,1),2)-1)&lt;=DAY(EOMONTH(DATE(PlanYear,10,1),0))),DATE(PlanYear,10,1)+23-WEEKDAY(DATE(PlanYear,10,1),2),"")</f>
        <v/>
      </c>
      <c r="C62" s="20">
        <f>IF(AND(24-(WEEKDAY(DATE(PlanYear,10,1),2)-1)&gt;=1,24-(WEEKDAY(DATE(PlanYear,10,1),2)-1)&lt;=DAY(EOMONTH(DATE(PlanYear,10,1),0))),DATE(PlanYear,10,1)+24-WEEKDAY(DATE(PlanYear,10,1),2),"")</f>
        <v/>
      </c>
      <c r="D62" s="20">
        <f>IF(AND(25-(WEEKDAY(DATE(PlanYear,10,1),2)-1)&gt;=1,25-(WEEKDAY(DATE(PlanYear,10,1),2)-1)&lt;=DAY(EOMONTH(DATE(PlanYear,10,1),0))),DATE(PlanYear,10,1)+25-WEEKDAY(DATE(PlanYear,10,1),2),"")</f>
        <v/>
      </c>
      <c r="E62" s="20">
        <f>IF(AND(26-(WEEKDAY(DATE(PlanYear,10,1),2)-1)&gt;=1,26-(WEEKDAY(DATE(PlanYear,10,1),2)-1)&lt;=DAY(EOMONTH(DATE(PlanYear,10,1),0))),DATE(PlanYear,10,1)+26-WEEKDAY(DATE(PlanYear,10,1),2),"")</f>
        <v/>
      </c>
      <c r="F62" s="20">
        <f>IF(AND(27-(WEEKDAY(DATE(PlanYear,10,1),2)-1)&gt;=1,27-(WEEKDAY(DATE(PlanYear,10,1),2)-1)&lt;=DAY(EOMONTH(DATE(PlanYear,10,1),0))),DATE(PlanYear,10,1)+27-WEEKDAY(DATE(PlanYear,10,1),2),"")</f>
        <v/>
      </c>
      <c r="G62" s="20">
        <f>IF(AND(28-(WEEKDAY(DATE(PlanYear,10,1),2)-1)&gt;=1,28-(WEEKDAY(DATE(PlanYear,10,1),2)-1)&lt;=DAY(EOMONTH(DATE(PlanYear,10,1),0))),DATE(PlanYear,10,1)+28-WEEKDAY(DATE(PlanYear,10,1),2),"")</f>
        <v/>
      </c>
      <c r="I62" s="20">
        <f>IF(AND(22-(WEEKDAY(DATE(PlanYear,11,1),2)-1)&gt;=1,22-(WEEKDAY(DATE(PlanYear,11,1),2)-1)&lt;=DAY(EOMONTH(DATE(PlanYear,11,1),0))),DATE(PlanYear,11,1)+22-WEEKDAY(DATE(PlanYear,11,1),2),"")</f>
        <v/>
      </c>
      <c r="J62" s="20">
        <f>IF(AND(23-(WEEKDAY(DATE(PlanYear,11,1),2)-1)&gt;=1,23-(WEEKDAY(DATE(PlanYear,11,1),2)-1)&lt;=DAY(EOMONTH(DATE(PlanYear,11,1),0))),DATE(PlanYear,11,1)+23-WEEKDAY(DATE(PlanYear,11,1),2),"")</f>
        <v/>
      </c>
      <c r="K62" s="20">
        <f>IF(AND(24-(WEEKDAY(DATE(PlanYear,11,1),2)-1)&gt;=1,24-(WEEKDAY(DATE(PlanYear,11,1),2)-1)&lt;=DAY(EOMONTH(DATE(PlanYear,11,1),0))),DATE(PlanYear,11,1)+24-WEEKDAY(DATE(PlanYear,11,1),2),"")</f>
        <v/>
      </c>
      <c r="L62" s="20">
        <f>IF(AND(25-(WEEKDAY(DATE(PlanYear,11,1),2)-1)&gt;=1,25-(WEEKDAY(DATE(PlanYear,11,1),2)-1)&lt;=DAY(EOMONTH(DATE(PlanYear,11,1),0))),DATE(PlanYear,11,1)+25-WEEKDAY(DATE(PlanYear,11,1),2),"")</f>
        <v/>
      </c>
      <c r="M62" s="20">
        <f>IF(AND(26-(WEEKDAY(DATE(PlanYear,11,1),2)-1)&gt;=1,26-(WEEKDAY(DATE(PlanYear,11,1),2)-1)&lt;=DAY(EOMONTH(DATE(PlanYear,11,1),0))),DATE(PlanYear,11,1)+26-WEEKDAY(DATE(PlanYear,11,1),2),"")</f>
        <v/>
      </c>
      <c r="N62" s="20">
        <f>IF(AND(27-(WEEKDAY(DATE(PlanYear,11,1),2)-1)&gt;=1,27-(WEEKDAY(DATE(PlanYear,11,1),2)-1)&lt;=DAY(EOMONTH(DATE(PlanYear,11,1),0))),DATE(PlanYear,11,1)+27-WEEKDAY(DATE(PlanYear,11,1),2),"")</f>
        <v/>
      </c>
      <c r="O62" s="20">
        <f>IF(AND(28-(WEEKDAY(DATE(PlanYear,11,1),2)-1)&gt;=1,28-(WEEKDAY(DATE(PlanYear,11,1),2)-1)&lt;=DAY(EOMONTH(DATE(PlanYear,11,1),0))),DATE(PlanYear,11,1)+28-WEEKDAY(DATE(PlanYear,11,1),2),"")</f>
        <v/>
      </c>
      <c r="Q62" s="20">
        <f>IF(AND(22-(WEEKDAY(DATE(PlanYear,12,1),2)-1)&gt;=1,22-(WEEKDAY(DATE(PlanYear,12,1),2)-1)&lt;=DAY(EOMONTH(DATE(PlanYear,12,1),0))),DATE(PlanYear,12,1)+22-WEEKDAY(DATE(PlanYear,12,1),2),"")</f>
        <v/>
      </c>
      <c r="R62" s="20">
        <f>IF(AND(23-(WEEKDAY(DATE(PlanYear,12,1),2)-1)&gt;=1,23-(WEEKDAY(DATE(PlanYear,12,1),2)-1)&lt;=DAY(EOMONTH(DATE(PlanYear,12,1),0))),DATE(PlanYear,12,1)+23-WEEKDAY(DATE(PlanYear,12,1),2),"")</f>
        <v/>
      </c>
      <c r="S62" s="20">
        <f>IF(AND(24-(WEEKDAY(DATE(PlanYear,12,1),2)-1)&gt;=1,24-(WEEKDAY(DATE(PlanYear,12,1),2)-1)&lt;=DAY(EOMONTH(DATE(PlanYear,12,1),0))),DATE(PlanYear,12,1)+24-WEEKDAY(DATE(PlanYear,12,1),2),"")</f>
        <v/>
      </c>
      <c r="T62" s="20">
        <f>IF(AND(25-(WEEKDAY(DATE(PlanYear,12,1),2)-1)&gt;=1,25-(WEEKDAY(DATE(PlanYear,12,1),2)-1)&lt;=DAY(EOMONTH(DATE(PlanYear,12,1),0))),DATE(PlanYear,12,1)+25-WEEKDAY(DATE(PlanYear,12,1),2),"")</f>
        <v/>
      </c>
      <c r="U62" s="20">
        <f>IF(AND(26-(WEEKDAY(DATE(PlanYear,12,1),2)-1)&gt;=1,26-(WEEKDAY(DATE(PlanYear,12,1),2)-1)&lt;=DAY(EOMONTH(DATE(PlanYear,12,1),0))),DATE(PlanYear,12,1)+26-WEEKDAY(DATE(PlanYear,12,1),2),"")</f>
        <v/>
      </c>
      <c r="V62" s="20">
        <f>IF(AND(27-(WEEKDAY(DATE(PlanYear,12,1),2)-1)&gt;=1,27-(WEEKDAY(DATE(PlanYear,12,1),2)-1)&lt;=DAY(EOMONTH(DATE(PlanYear,12,1),0))),DATE(PlanYear,12,1)+27-WEEKDAY(DATE(PlanYear,12,1),2),"")</f>
        <v/>
      </c>
      <c r="W62" s="20">
        <f>IF(AND(28-(WEEKDAY(DATE(PlanYear,12,1),2)-1)&gt;=1,28-(WEEKDAY(DATE(PlanYear,12,1),2)-1)&lt;=DAY(EOMONTH(DATE(PlanYear,12,1),0))),DATE(PlanYear,12,1)+28-WEEKDAY(DATE(PlanYear,12,1),2),"")</f>
        <v/>
      </c>
    </row>
    <row r="63" ht="24" customHeight="1">
      <c r="A63" s="21" t="inlineStr">
        <is>
          <t>Loadmaster</t>
        </is>
      </c>
      <c r="B63" s="21" t="inlineStr">
        <is>
          <t>SUP 1</t>
        </is>
      </c>
      <c r="C63" s="21" t="inlineStr">
        <is>
          <t>SUP 2</t>
        </is>
      </c>
      <c r="D63" s="21" t="inlineStr">
        <is>
          <t>Loadmaster</t>
        </is>
      </c>
      <c r="E63" s="21" t="inlineStr">
        <is>
          <t>SUP 1</t>
        </is>
      </c>
      <c r="F63" s="21" t="inlineStr">
        <is>
          <t>SUP 2</t>
        </is>
      </c>
      <c r="G63" s="21" t="inlineStr">
        <is>
          <t>Loadmaster</t>
        </is>
      </c>
      <c r="I63" s="21" t="inlineStr">
        <is>
          <t>SUP 1</t>
        </is>
      </c>
      <c r="J63" s="21" t="inlineStr">
        <is>
          <t>SUP 2</t>
        </is>
      </c>
      <c r="K63" s="21" t="inlineStr">
        <is>
          <t>Loadmaster</t>
        </is>
      </c>
      <c r="L63" s="21" t="inlineStr">
        <is>
          <t>SUP 1</t>
        </is>
      </c>
      <c r="M63" s="21" t="inlineStr">
        <is>
          <t>SUP 2</t>
        </is>
      </c>
      <c r="N63" s="21" t="inlineStr">
        <is>
          <t>Loadmaster</t>
        </is>
      </c>
      <c r="O63" s="21" t="inlineStr">
        <is>
          <t>SUP 1</t>
        </is>
      </c>
      <c r="Q63" s="21" t="n"/>
      <c r="R63" s="21" t="n"/>
      <c r="S63" s="21" t="n"/>
      <c r="T63" s="21" t="n"/>
      <c r="U63" s="21" t="n"/>
      <c r="V63" s="21" t="n"/>
      <c r="W63" s="21" t="n"/>
    </row>
    <row r="64" ht="14" customHeight="1">
      <c r="A64" s="20">
        <f>IF(AND(29-(WEEKDAY(DATE(PlanYear,10,1),2)-1)&gt;=1,29-(WEEKDAY(DATE(PlanYear,10,1),2)-1)&lt;=DAY(EOMONTH(DATE(PlanYear,10,1),0))),DATE(PlanYear,10,1)+29-WEEKDAY(DATE(PlanYear,10,1),2),"")</f>
        <v/>
      </c>
      <c r="B64" s="20">
        <f>IF(AND(30-(WEEKDAY(DATE(PlanYear,10,1),2)-1)&gt;=1,30-(WEEKDAY(DATE(PlanYear,10,1),2)-1)&lt;=DAY(EOMONTH(DATE(PlanYear,10,1),0))),DATE(PlanYear,10,1)+30-WEEKDAY(DATE(PlanYear,10,1),2),"")</f>
        <v/>
      </c>
      <c r="C64" s="20">
        <f>IF(AND(31-(WEEKDAY(DATE(PlanYear,10,1),2)-1)&gt;=1,31-(WEEKDAY(DATE(PlanYear,10,1),2)-1)&lt;=DAY(EOMONTH(DATE(PlanYear,10,1),0))),DATE(PlanYear,10,1)+31-WEEKDAY(DATE(PlanYear,10,1),2),"")</f>
        <v/>
      </c>
      <c r="D64" s="20">
        <f>IF(AND(32-(WEEKDAY(DATE(PlanYear,10,1),2)-1)&gt;=1,32-(WEEKDAY(DATE(PlanYear,10,1),2)-1)&lt;=DAY(EOMONTH(DATE(PlanYear,10,1),0))),DATE(PlanYear,10,1)+32-WEEKDAY(DATE(PlanYear,10,1),2),"")</f>
        <v/>
      </c>
      <c r="E64" s="20">
        <f>IF(AND(33-(WEEKDAY(DATE(PlanYear,10,1),2)-1)&gt;=1,33-(WEEKDAY(DATE(PlanYear,10,1),2)-1)&lt;=DAY(EOMONTH(DATE(PlanYear,10,1),0))),DATE(PlanYear,10,1)+33-WEEKDAY(DATE(PlanYear,10,1),2),"")</f>
        <v/>
      </c>
      <c r="F64" s="20">
        <f>IF(AND(34-(WEEKDAY(DATE(PlanYear,10,1),2)-1)&gt;=1,34-(WEEKDAY(DATE(PlanYear,10,1),2)-1)&lt;=DAY(EOMONTH(DATE(PlanYear,10,1),0))),DATE(PlanYear,10,1)+34-WEEKDAY(DATE(PlanYear,10,1),2),"")</f>
        <v/>
      </c>
      <c r="G64" s="20">
        <f>IF(AND(35-(WEEKDAY(DATE(PlanYear,10,1),2)-1)&gt;=1,35-(WEEKDAY(DATE(PlanYear,10,1),2)-1)&lt;=DAY(EOMONTH(DATE(PlanYear,10,1),0))),DATE(PlanYear,10,1)+35-WEEKDAY(DATE(PlanYear,10,1),2),"")</f>
        <v/>
      </c>
      <c r="I64" s="20">
        <f>IF(AND(29-(WEEKDAY(DATE(PlanYear,11,1),2)-1)&gt;=1,29-(WEEKDAY(DATE(PlanYear,11,1),2)-1)&lt;=DAY(EOMONTH(DATE(PlanYear,11,1),0))),DATE(PlanYear,11,1)+29-WEEKDAY(DATE(PlanYear,11,1),2),"")</f>
        <v/>
      </c>
      <c r="J64" s="20">
        <f>IF(AND(30-(WEEKDAY(DATE(PlanYear,11,1),2)-1)&gt;=1,30-(WEEKDAY(DATE(PlanYear,11,1),2)-1)&lt;=DAY(EOMONTH(DATE(PlanYear,11,1),0))),DATE(PlanYear,11,1)+30-WEEKDAY(DATE(PlanYear,11,1),2),"")</f>
        <v/>
      </c>
      <c r="K64" s="20">
        <f>IF(AND(31-(WEEKDAY(DATE(PlanYear,11,1),2)-1)&gt;=1,31-(WEEKDAY(DATE(PlanYear,11,1),2)-1)&lt;=DAY(EOMONTH(DATE(PlanYear,11,1),0))),DATE(PlanYear,11,1)+31-WEEKDAY(DATE(PlanYear,11,1),2),"")</f>
        <v/>
      </c>
      <c r="L64" s="20">
        <f>IF(AND(32-(WEEKDAY(DATE(PlanYear,11,1),2)-1)&gt;=1,32-(WEEKDAY(DATE(PlanYear,11,1),2)-1)&lt;=DAY(EOMONTH(DATE(PlanYear,11,1),0))),DATE(PlanYear,11,1)+32-WEEKDAY(DATE(PlanYear,11,1),2),"")</f>
        <v/>
      </c>
      <c r="M64" s="20">
        <f>IF(AND(33-(WEEKDAY(DATE(PlanYear,11,1),2)-1)&gt;=1,33-(WEEKDAY(DATE(PlanYear,11,1),2)-1)&lt;=DAY(EOMONTH(DATE(PlanYear,11,1),0))),DATE(PlanYear,11,1)+33-WEEKDAY(DATE(PlanYear,11,1),2),"")</f>
        <v/>
      </c>
      <c r="N64" s="20">
        <f>IF(AND(34-(WEEKDAY(DATE(PlanYear,11,1),2)-1)&gt;=1,34-(WEEKDAY(DATE(PlanYear,11,1),2)-1)&lt;=DAY(EOMONTH(DATE(PlanYear,11,1),0))),DATE(PlanYear,11,1)+34-WEEKDAY(DATE(PlanYear,11,1),2),"")</f>
        <v/>
      </c>
      <c r="O64" s="20">
        <f>IF(AND(35-(WEEKDAY(DATE(PlanYear,11,1),2)-1)&gt;=1,35-(WEEKDAY(DATE(PlanYear,11,1),2)-1)&lt;=DAY(EOMONTH(DATE(PlanYear,11,1),0))),DATE(PlanYear,11,1)+35-WEEKDAY(DATE(PlanYear,11,1),2),"")</f>
        <v/>
      </c>
      <c r="Q64" s="20">
        <f>IF(AND(29-(WEEKDAY(DATE(PlanYear,12,1),2)-1)&gt;=1,29-(WEEKDAY(DATE(PlanYear,12,1),2)-1)&lt;=DAY(EOMONTH(DATE(PlanYear,12,1),0))),DATE(PlanYear,12,1)+29-WEEKDAY(DATE(PlanYear,12,1),2),"")</f>
        <v/>
      </c>
      <c r="R64" s="20">
        <f>IF(AND(30-(WEEKDAY(DATE(PlanYear,12,1),2)-1)&gt;=1,30-(WEEKDAY(DATE(PlanYear,12,1),2)-1)&lt;=DAY(EOMONTH(DATE(PlanYear,12,1),0))),DATE(PlanYear,12,1)+30-WEEKDAY(DATE(PlanYear,12,1),2),"")</f>
        <v/>
      </c>
      <c r="S64" s="20">
        <f>IF(AND(31-(WEEKDAY(DATE(PlanYear,12,1),2)-1)&gt;=1,31-(WEEKDAY(DATE(PlanYear,12,1),2)-1)&lt;=DAY(EOMONTH(DATE(PlanYear,12,1),0))),DATE(PlanYear,12,1)+31-WEEKDAY(DATE(PlanYear,12,1),2),"")</f>
        <v/>
      </c>
      <c r="T64" s="20">
        <f>IF(AND(32-(WEEKDAY(DATE(PlanYear,12,1),2)-1)&gt;=1,32-(WEEKDAY(DATE(PlanYear,12,1),2)-1)&lt;=DAY(EOMONTH(DATE(PlanYear,12,1),0))),DATE(PlanYear,12,1)+32-WEEKDAY(DATE(PlanYear,12,1),2),"")</f>
        <v/>
      </c>
      <c r="U64" s="20">
        <f>IF(AND(33-(WEEKDAY(DATE(PlanYear,12,1),2)-1)&gt;=1,33-(WEEKDAY(DATE(PlanYear,12,1),2)-1)&lt;=DAY(EOMONTH(DATE(PlanYear,12,1),0))),DATE(PlanYear,12,1)+33-WEEKDAY(DATE(PlanYear,12,1),2),"")</f>
        <v/>
      </c>
      <c r="V64" s="20">
        <f>IF(AND(34-(WEEKDAY(DATE(PlanYear,12,1),2)-1)&gt;=1,34-(WEEKDAY(DATE(PlanYear,12,1),2)-1)&lt;=DAY(EOMONTH(DATE(PlanYear,12,1),0))),DATE(PlanYear,12,1)+34-WEEKDAY(DATE(PlanYear,12,1),2),"")</f>
        <v/>
      </c>
      <c r="W64" s="20">
        <f>IF(AND(35-(WEEKDAY(DATE(PlanYear,12,1),2)-1)&gt;=1,35-(WEEKDAY(DATE(PlanYear,12,1),2)-1)&lt;=DAY(EOMONTH(DATE(PlanYear,12,1),0))),DATE(PlanYear,12,1)+35-WEEKDAY(DATE(PlanYear,12,1),2),"")</f>
        <v/>
      </c>
    </row>
    <row r="65" ht="24" customHeight="1">
      <c r="A65" s="21" t="inlineStr">
        <is>
          <t>SUP 1</t>
        </is>
      </c>
      <c r="B65" s="21" t="inlineStr">
        <is>
          <t>SUP 2</t>
        </is>
      </c>
      <c r="C65" s="21" t="inlineStr">
        <is>
          <t>Loadmaster</t>
        </is>
      </c>
      <c r="D65" s="21" t="inlineStr">
        <is>
          <t>SUP 1</t>
        </is>
      </c>
      <c r="E65" s="21" t="inlineStr">
        <is>
          <t>SUP 2</t>
        </is>
      </c>
      <c r="F65" s="21" t="inlineStr">
        <is>
          <t>Loadmaster</t>
        </is>
      </c>
      <c r="G65" s="21" t="n"/>
      <c r="I65" s="21" t="inlineStr">
        <is>
          <t>SUP 2</t>
        </is>
      </c>
      <c r="J65" s="21" t="inlineStr">
        <is>
          <t>Loadmaster</t>
        </is>
      </c>
      <c r="K65" s="21" t="inlineStr">
        <is>
          <t>SUP 1</t>
        </is>
      </c>
      <c r="L65" s="21" t="inlineStr">
        <is>
          <t>SUP 2</t>
        </is>
      </c>
      <c r="M65" s="21" t="inlineStr">
        <is>
          <t>Loadmaster</t>
        </is>
      </c>
      <c r="N65" s="21" t="inlineStr">
        <is>
          <t>SUP 1</t>
        </is>
      </c>
      <c r="O65" s="21" t="inlineStr">
        <is>
          <t>SUP 2</t>
        </is>
      </c>
      <c r="Q65" s="21" t="n"/>
      <c r="R65" s="21" t="n"/>
      <c r="S65" s="21" t="n"/>
      <c r="T65" s="21" t="n"/>
      <c r="U65" s="21" t="n"/>
      <c r="V65" s="21" t="n"/>
      <c r="W65" s="21" t="n"/>
    </row>
    <row r="66" ht="14" customHeight="1">
      <c r="A66" s="20">
        <f>IF(AND(36-(WEEKDAY(DATE(PlanYear,10,1),2)-1)&gt;=1,36-(WEEKDAY(DATE(PlanYear,10,1),2)-1)&lt;=DAY(EOMONTH(DATE(PlanYear,10,1),0))),DATE(PlanYear,10,1)+36-WEEKDAY(DATE(PlanYear,10,1),2),"")</f>
        <v/>
      </c>
      <c r="B66" s="20">
        <f>IF(AND(37-(WEEKDAY(DATE(PlanYear,10,1),2)-1)&gt;=1,37-(WEEKDAY(DATE(PlanYear,10,1),2)-1)&lt;=DAY(EOMONTH(DATE(PlanYear,10,1),0))),DATE(PlanYear,10,1)+37-WEEKDAY(DATE(PlanYear,10,1),2),"")</f>
        <v/>
      </c>
      <c r="C66" s="20">
        <f>IF(AND(38-(WEEKDAY(DATE(PlanYear,10,1),2)-1)&gt;=1,38-(WEEKDAY(DATE(PlanYear,10,1),2)-1)&lt;=DAY(EOMONTH(DATE(PlanYear,10,1),0))),DATE(PlanYear,10,1)+38-WEEKDAY(DATE(PlanYear,10,1),2),"")</f>
        <v/>
      </c>
      <c r="D66" s="20">
        <f>IF(AND(39-(WEEKDAY(DATE(PlanYear,10,1),2)-1)&gt;=1,39-(WEEKDAY(DATE(PlanYear,10,1),2)-1)&lt;=DAY(EOMONTH(DATE(PlanYear,10,1),0))),DATE(PlanYear,10,1)+39-WEEKDAY(DATE(PlanYear,10,1),2),"")</f>
        <v/>
      </c>
      <c r="E66" s="20">
        <f>IF(AND(40-(WEEKDAY(DATE(PlanYear,10,1),2)-1)&gt;=1,40-(WEEKDAY(DATE(PlanYear,10,1),2)-1)&lt;=DAY(EOMONTH(DATE(PlanYear,10,1),0))),DATE(PlanYear,10,1)+40-WEEKDAY(DATE(PlanYear,10,1),2),"")</f>
        <v/>
      </c>
      <c r="F66" s="20">
        <f>IF(AND(41-(WEEKDAY(DATE(PlanYear,10,1),2)-1)&gt;=1,41-(WEEKDAY(DATE(PlanYear,10,1),2)-1)&lt;=DAY(EOMONTH(DATE(PlanYear,10,1),0))),DATE(PlanYear,10,1)+41-WEEKDAY(DATE(PlanYear,10,1),2),"")</f>
        <v/>
      </c>
      <c r="G66" s="20">
        <f>IF(AND(42-(WEEKDAY(DATE(PlanYear,10,1),2)-1)&gt;=1,42-(WEEKDAY(DATE(PlanYear,10,1),2)-1)&lt;=DAY(EOMONTH(DATE(PlanYear,10,1),0))),DATE(PlanYear,10,1)+42-WEEKDAY(DATE(PlanYear,10,1),2),"")</f>
        <v/>
      </c>
      <c r="I66" s="20">
        <f>IF(AND(36-(WEEKDAY(DATE(PlanYear,11,1),2)-1)&gt;=1,36-(WEEKDAY(DATE(PlanYear,11,1),2)-1)&lt;=DAY(EOMONTH(DATE(PlanYear,11,1),0))),DATE(PlanYear,11,1)+36-WEEKDAY(DATE(PlanYear,11,1),2),"")</f>
        <v/>
      </c>
      <c r="J66" s="20">
        <f>IF(AND(37-(WEEKDAY(DATE(PlanYear,11,1),2)-1)&gt;=1,37-(WEEKDAY(DATE(PlanYear,11,1),2)-1)&lt;=DAY(EOMONTH(DATE(PlanYear,11,1),0))),DATE(PlanYear,11,1)+37-WEEKDAY(DATE(PlanYear,11,1),2),"")</f>
        <v/>
      </c>
      <c r="K66" s="20">
        <f>IF(AND(38-(WEEKDAY(DATE(PlanYear,11,1),2)-1)&gt;=1,38-(WEEKDAY(DATE(PlanYear,11,1),2)-1)&lt;=DAY(EOMONTH(DATE(PlanYear,11,1),0))),DATE(PlanYear,11,1)+38-WEEKDAY(DATE(PlanYear,11,1),2),"")</f>
        <v/>
      </c>
      <c r="L66" s="20">
        <f>IF(AND(39-(WEEKDAY(DATE(PlanYear,11,1),2)-1)&gt;=1,39-(WEEKDAY(DATE(PlanYear,11,1),2)-1)&lt;=DAY(EOMONTH(DATE(PlanYear,11,1),0))),DATE(PlanYear,11,1)+39-WEEKDAY(DATE(PlanYear,11,1),2),"")</f>
        <v/>
      </c>
      <c r="M66" s="20">
        <f>IF(AND(40-(WEEKDAY(DATE(PlanYear,11,1),2)-1)&gt;=1,40-(WEEKDAY(DATE(PlanYear,11,1),2)-1)&lt;=DAY(EOMONTH(DATE(PlanYear,11,1),0))),DATE(PlanYear,11,1)+40-WEEKDAY(DATE(PlanYear,11,1),2),"")</f>
        <v/>
      </c>
      <c r="N66" s="20">
        <f>IF(AND(41-(WEEKDAY(DATE(PlanYear,11,1),2)-1)&gt;=1,41-(WEEKDAY(DATE(PlanYear,11,1),2)-1)&lt;=DAY(EOMONTH(DATE(PlanYear,11,1),0))),DATE(PlanYear,11,1)+41-WEEKDAY(DATE(PlanYear,11,1),2),"")</f>
        <v/>
      </c>
      <c r="O66" s="20">
        <f>IF(AND(42-(WEEKDAY(DATE(PlanYear,11,1),2)-1)&gt;=1,42-(WEEKDAY(DATE(PlanYear,11,1),2)-1)&lt;=DAY(EOMONTH(DATE(PlanYear,11,1),0))),DATE(PlanYear,11,1)+42-WEEKDAY(DATE(PlanYear,11,1),2),"")</f>
        <v/>
      </c>
      <c r="Q66" s="20">
        <f>IF(AND(36-(WEEKDAY(DATE(PlanYear,12,1),2)-1)&gt;=1,36-(WEEKDAY(DATE(PlanYear,12,1),2)-1)&lt;=DAY(EOMONTH(DATE(PlanYear,12,1),0))),DATE(PlanYear,12,1)+36-WEEKDAY(DATE(PlanYear,12,1),2),"")</f>
        <v/>
      </c>
      <c r="R66" s="20">
        <f>IF(AND(37-(WEEKDAY(DATE(PlanYear,12,1),2)-1)&gt;=1,37-(WEEKDAY(DATE(PlanYear,12,1),2)-1)&lt;=DAY(EOMONTH(DATE(PlanYear,12,1),0))),DATE(PlanYear,12,1)+37-WEEKDAY(DATE(PlanYear,12,1),2),"")</f>
        <v/>
      </c>
      <c r="S66" s="20">
        <f>IF(AND(38-(WEEKDAY(DATE(PlanYear,12,1),2)-1)&gt;=1,38-(WEEKDAY(DATE(PlanYear,12,1),2)-1)&lt;=DAY(EOMONTH(DATE(PlanYear,12,1),0))),DATE(PlanYear,12,1)+38-WEEKDAY(DATE(PlanYear,12,1),2),"")</f>
        <v/>
      </c>
      <c r="T66" s="20">
        <f>IF(AND(39-(WEEKDAY(DATE(PlanYear,12,1),2)-1)&gt;=1,39-(WEEKDAY(DATE(PlanYear,12,1),2)-1)&lt;=DAY(EOMONTH(DATE(PlanYear,12,1),0))),DATE(PlanYear,12,1)+39-WEEKDAY(DATE(PlanYear,12,1),2),"")</f>
        <v/>
      </c>
      <c r="U66" s="20">
        <f>IF(AND(40-(WEEKDAY(DATE(PlanYear,12,1),2)-1)&gt;=1,40-(WEEKDAY(DATE(PlanYear,12,1),2)-1)&lt;=DAY(EOMONTH(DATE(PlanYear,12,1),0))),DATE(PlanYear,12,1)+40-WEEKDAY(DATE(PlanYear,12,1),2),"")</f>
        <v/>
      </c>
      <c r="V66" s="20">
        <f>IF(AND(41-(WEEKDAY(DATE(PlanYear,12,1),2)-1)&gt;=1,41-(WEEKDAY(DATE(PlanYear,12,1),2)-1)&lt;=DAY(EOMONTH(DATE(PlanYear,12,1),0))),DATE(PlanYear,12,1)+41-WEEKDAY(DATE(PlanYear,12,1),2),"")</f>
        <v/>
      </c>
      <c r="W66" s="20">
        <f>IF(AND(42-(WEEKDAY(DATE(PlanYear,12,1),2)-1)&gt;=1,42-(WEEKDAY(DATE(PlanYear,12,1),2)-1)&lt;=DAY(EOMONTH(DATE(PlanYear,12,1),0))),DATE(PlanYear,12,1)+42-WEEKDAY(DATE(PlanYear,12,1),2),"")</f>
        <v/>
      </c>
    </row>
    <row r="67" ht="24" customHeight="1">
      <c r="A67" s="21" t="n"/>
      <c r="B67" s="21" t="n"/>
      <c r="C67" s="21" t="n"/>
      <c r="D67" s="21" t="n"/>
      <c r="E67" s="21" t="n"/>
      <c r="F67" s="21" t="n"/>
      <c r="G67" s="21" t="n"/>
      <c r="I67" s="21" t="inlineStr">
        <is>
          <t>Loadmaster</t>
        </is>
      </c>
      <c r="J67" s="21" t="n"/>
      <c r="K67" s="21" t="n"/>
      <c r="L67" s="21" t="n"/>
      <c r="M67" s="21" t="n"/>
      <c r="N67" s="21" t="n"/>
      <c r="O67" s="21" t="n"/>
      <c r="Q67" s="21" t="n"/>
      <c r="R67" s="21" t="n"/>
      <c r="S67" s="21" t="n"/>
      <c r="T67" s="21" t="n"/>
      <c r="U67" s="21" t="n"/>
      <c r="V67" s="21" t="n"/>
      <c r="W67" s="21" t="n"/>
    </row>
    <row r="68" ht="10" customHeight="1"/>
    <row r="69" ht="10" customHeight="1"/>
    <row r="70" ht="20" customHeight="1">
      <c r="A70" s="24">
        <f>UPPER(TEXT(DATE(PlanYear,13,1),"mmmm yyyy"))&amp;"  ·  SDO"</f>
        <v/>
      </c>
      <c r="B70" s="25" t="n"/>
      <c r="C70" s="25" t="n"/>
      <c r="D70" s="25" t="n"/>
      <c r="E70" s="25" t="n"/>
      <c r="F70" s="25" t="n"/>
      <c r="G70" s="25" t="n"/>
    </row>
    <row r="71" ht="15" customHeight="1">
      <c r="A71" s="18" t="inlineStr">
        <is>
          <t>Mon</t>
        </is>
      </c>
      <c r="B71" s="18" t="inlineStr">
        <is>
          <t>Tue</t>
        </is>
      </c>
      <c r="C71" s="18" t="inlineStr">
        <is>
          <t>Wed</t>
        </is>
      </c>
      <c r="D71" s="18" t="inlineStr">
        <is>
          <t>Thu</t>
        </is>
      </c>
      <c r="E71" s="18" t="inlineStr">
        <is>
          <t>Fri</t>
        </is>
      </c>
      <c r="F71" s="19" t="inlineStr">
        <is>
          <t>Sat</t>
        </is>
      </c>
      <c r="G71" s="19" t="inlineStr">
        <is>
          <t>Sun</t>
        </is>
      </c>
    </row>
    <row r="72" ht="14" customHeight="1">
      <c r="A72" s="20">
        <f>IF(AND(1-(WEEKDAY(DATE(PlanYear,13,1),2)-1)&gt;=1,1-(WEEKDAY(DATE(PlanYear,13,1),2)-1)&lt;=DAY(EOMONTH(DATE(PlanYear,13,1),0))),DATE(PlanYear,13,1)+1-WEEKDAY(DATE(PlanYear,13,1),2),"")</f>
        <v/>
      </c>
      <c r="B72" s="20">
        <f>IF(AND(2-(WEEKDAY(DATE(PlanYear,13,1),2)-1)&gt;=1,2-(WEEKDAY(DATE(PlanYear,13,1),2)-1)&lt;=DAY(EOMONTH(DATE(PlanYear,13,1),0))),DATE(PlanYear,13,1)+2-WEEKDAY(DATE(PlanYear,13,1),2),"")</f>
        <v/>
      </c>
      <c r="C72" s="20">
        <f>IF(AND(3-(WEEKDAY(DATE(PlanYear,13,1),2)-1)&gt;=1,3-(WEEKDAY(DATE(PlanYear,13,1),2)-1)&lt;=DAY(EOMONTH(DATE(PlanYear,13,1),0))),DATE(PlanYear,13,1)+3-WEEKDAY(DATE(PlanYear,13,1),2),"")</f>
        <v/>
      </c>
      <c r="D72" s="20">
        <f>IF(AND(4-(WEEKDAY(DATE(PlanYear,13,1),2)-1)&gt;=1,4-(WEEKDAY(DATE(PlanYear,13,1),2)-1)&lt;=DAY(EOMONTH(DATE(PlanYear,13,1),0))),DATE(PlanYear,13,1)+4-WEEKDAY(DATE(PlanYear,13,1),2),"")</f>
        <v/>
      </c>
      <c r="E72" s="20">
        <f>IF(AND(5-(WEEKDAY(DATE(PlanYear,13,1),2)-1)&gt;=1,5-(WEEKDAY(DATE(PlanYear,13,1),2)-1)&lt;=DAY(EOMONTH(DATE(PlanYear,13,1),0))),DATE(PlanYear,13,1)+5-WEEKDAY(DATE(PlanYear,13,1),2),"")</f>
        <v/>
      </c>
      <c r="F72" s="20">
        <f>IF(AND(6-(WEEKDAY(DATE(PlanYear,13,1),2)-1)&gt;=1,6-(WEEKDAY(DATE(PlanYear,13,1),2)-1)&lt;=DAY(EOMONTH(DATE(PlanYear,13,1),0))),DATE(PlanYear,13,1)+6-WEEKDAY(DATE(PlanYear,13,1),2),"")</f>
        <v/>
      </c>
      <c r="G72" s="20">
        <f>IF(AND(7-(WEEKDAY(DATE(PlanYear,13,1),2)-1)&gt;=1,7-(WEEKDAY(DATE(PlanYear,13,1),2)-1)&lt;=DAY(EOMONTH(DATE(PlanYear,13,1),0))),DATE(PlanYear,13,1)+7-WEEKDAY(DATE(PlanYear,13,1),2),"")</f>
        <v/>
      </c>
    </row>
    <row r="73" ht="24" customHeight="1">
      <c r="A73" s="21" t="n"/>
      <c r="B73" s="21" t="n"/>
      <c r="C73" s="21" t="n"/>
      <c r="D73" s="21" t="n"/>
      <c r="E73" s="21" t="n"/>
      <c r="F73" s="21" t="n"/>
      <c r="G73" s="21" t="n"/>
    </row>
    <row r="74" ht="14" customHeight="1">
      <c r="A74" s="20">
        <f>IF(AND(8-(WEEKDAY(DATE(PlanYear,13,1),2)-1)&gt;=1,8-(WEEKDAY(DATE(PlanYear,13,1),2)-1)&lt;=DAY(EOMONTH(DATE(PlanYear,13,1),0))),DATE(PlanYear,13,1)+8-WEEKDAY(DATE(PlanYear,13,1),2),"")</f>
        <v/>
      </c>
      <c r="B74" s="20">
        <f>IF(AND(9-(WEEKDAY(DATE(PlanYear,13,1),2)-1)&gt;=1,9-(WEEKDAY(DATE(PlanYear,13,1),2)-1)&lt;=DAY(EOMONTH(DATE(PlanYear,13,1),0))),DATE(PlanYear,13,1)+9-WEEKDAY(DATE(PlanYear,13,1),2),"")</f>
        <v/>
      </c>
      <c r="C74" s="20">
        <f>IF(AND(10-(WEEKDAY(DATE(PlanYear,13,1),2)-1)&gt;=1,10-(WEEKDAY(DATE(PlanYear,13,1),2)-1)&lt;=DAY(EOMONTH(DATE(PlanYear,13,1),0))),DATE(PlanYear,13,1)+10-WEEKDAY(DATE(PlanYear,13,1),2),"")</f>
        <v/>
      </c>
      <c r="D74" s="20">
        <f>IF(AND(11-(WEEKDAY(DATE(PlanYear,13,1),2)-1)&gt;=1,11-(WEEKDAY(DATE(PlanYear,13,1),2)-1)&lt;=DAY(EOMONTH(DATE(PlanYear,13,1),0))),DATE(PlanYear,13,1)+11-WEEKDAY(DATE(PlanYear,13,1),2),"")</f>
        <v/>
      </c>
      <c r="E74" s="20">
        <f>IF(AND(12-(WEEKDAY(DATE(PlanYear,13,1),2)-1)&gt;=1,12-(WEEKDAY(DATE(PlanYear,13,1),2)-1)&lt;=DAY(EOMONTH(DATE(PlanYear,13,1),0))),DATE(PlanYear,13,1)+12-WEEKDAY(DATE(PlanYear,13,1),2),"")</f>
        <v/>
      </c>
      <c r="F74" s="20">
        <f>IF(AND(13-(WEEKDAY(DATE(PlanYear,13,1),2)-1)&gt;=1,13-(WEEKDAY(DATE(PlanYear,13,1),2)-1)&lt;=DAY(EOMONTH(DATE(PlanYear,13,1),0))),DATE(PlanYear,13,1)+13-WEEKDAY(DATE(PlanYear,13,1),2),"")</f>
        <v/>
      </c>
      <c r="G74" s="20">
        <f>IF(AND(14-(WEEKDAY(DATE(PlanYear,13,1),2)-1)&gt;=1,14-(WEEKDAY(DATE(PlanYear,13,1),2)-1)&lt;=DAY(EOMONTH(DATE(PlanYear,13,1),0))),DATE(PlanYear,13,1)+14-WEEKDAY(DATE(PlanYear,13,1),2),"")</f>
        <v/>
      </c>
    </row>
    <row r="75" ht="24" customHeight="1">
      <c r="A75" s="21" t="n"/>
      <c r="B75" s="21" t="n"/>
      <c r="C75" s="21" t="n"/>
      <c r="D75" s="21" t="n"/>
      <c r="E75" s="21" t="n"/>
      <c r="F75" s="21" t="n"/>
      <c r="G75" s="21" t="n"/>
    </row>
    <row r="76" ht="14" customHeight="1">
      <c r="A76" s="20">
        <f>IF(AND(15-(WEEKDAY(DATE(PlanYear,13,1),2)-1)&gt;=1,15-(WEEKDAY(DATE(PlanYear,13,1),2)-1)&lt;=DAY(EOMONTH(DATE(PlanYear,13,1),0))),DATE(PlanYear,13,1)+15-WEEKDAY(DATE(PlanYear,13,1),2),"")</f>
        <v/>
      </c>
      <c r="B76" s="20">
        <f>IF(AND(16-(WEEKDAY(DATE(PlanYear,13,1),2)-1)&gt;=1,16-(WEEKDAY(DATE(PlanYear,13,1),2)-1)&lt;=DAY(EOMONTH(DATE(PlanYear,13,1),0))),DATE(PlanYear,13,1)+16-WEEKDAY(DATE(PlanYear,13,1),2),"")</f>
        <v/>
      </c>
      <c r="C76" s="20">
        <f>IF(AND(17-(WEEKDAY(DATE(PlanYear,13,1),2)-1)&gt;=1,17-(WEEKDAY(DATE(PlanYear,13,1),2)-1)&lt;=DAY(EOMONTH(DATE(PlanYear,13,1),0))),DATE(PlanYear,13,1)+17-WEEKDAY(DATE(PlanYear,13,1),2),"")</f>
        <v/>
      </c>
      <c r="D76" s="20">
        <f>IF(AND(18-(WEEKDAY(DATE(PlanYear,13,1),2)-1)&gt;=1,18-(WEEKDAY(DATE(PlanYear,13,1),2)-1)&lt;=DAY(EOMONTH(DATE(PlanYear,13,1),0))),DATE(PlanYear,13,1)+18-WEEKDAY(DATE(PlanYear,13,1),2),"")</f>
        <v/>
      </c>
      <c r="E76" s="20">
        <f>IF(AND(19-(WEEKDAY(DATE(PlanYear,13,1),2)-1)&gt;=1,19-(WEEKDAY(DATE(PlanYear,13,1),2)-1)&lt;=DAY(EOMONTH(DATE(PlanYear,13,1),0))),DATE(PlanYear,13,1)+19-WEEKDAY(DATE(PlanYear,13,1),2),"")</f>
        <v/>
      </c>
      <c r="F76" s="20">
        <f>IF(AND(20-(WEEKDAY(DATE(PlanYear,13,1),2)-1)&gt;=1,20-(WEEKDAY(DATE(PlanYear,13,1),2)-1)&lt;=DAY(EOMONTH(DATE(PlanYear,13,1),0))),DATE(PlanYear,13,1)+20-WEEKDAY(DATE(PlanYear,13,1),2),"")</f>
        <v/>
      </c>
      <c r="G76" s="20">
        <f>IF(AND(21-(WEEKDAY(DATE(PlanYear,13,1),2)-1)&gt;=1,21-(WEEKDAY(DATE(PlanYear,13,1),2)-1)&lt;=DAY(EOMONTH(DATE(PlanYear,13,1),0))),DATE(PlanYear,13,1)+21-WEEKDAY(DATE(PlanYear,13,1),2),"")</f>
        <v/>
      </c>
    </row>
    <row r="77" ht="24" customHeight="1">
      <c r="A77" s="21" t="n"/>
      <c r="B77" s="21" t="n"/>
      <c r="C77" s="21" t="n"/>
      <c r="D77" s="21" t="n"/>
      <c r="E77" s="21" t="n"/>
      <c r="F77" s="21" t="n"/>
      <c r="G77" s="21" t="n"/>
    </row>
    <row r="78" ht="14" customHeight="1">
      <c r="A78" s="20">
        <f>IF(AND(22-(WEEKDAY(DATE(PlanYear,13,1),2)-1)&gt;=1,22-(WEEKDAY(DATE(PlanYear,13,1),2)-1)&lt;=DAY(EOMONTH(DATE(PlanYear,13,1),0))),DATE(PlanYear,13,1)+22-WEEKDAY(DATE(PlanYear,13,1),2),"")</f>
        <v/>
      </c>
      <c r="B78" s="20">
        <f>IF(AND(23-(WEEKDAY(DATE(PlanYear,13,1),2)-1)&gt;=1,23-(WEEKDAY(DATE(PlanYear,13,1),2)-1)&lt;=DAY(EOMONTH(DATE(PlanYear,13,1),0))),DATE(PlanYear,13,1)+23-WEEKDAY(DATE(PlanYear,13,1),2),"")</f>
        <v/>
      </c>
      <c r="C78" s="20">
        <f>IF(AND(24-(WEEKDAY(DATE(PlanYear,13,1),2)-1)&gt;=1,24-(WEEKDAY(DATE(PlanYear,13,1),2)-1)&lt;=DAY(EOMONTH(DATE(PlanYear,13,1),0))),DATE(PlanYear,13,1)+24-WEEKDAY(DATE(PlanYear,13,1),2),"")</f>
        <v/>
      </c>
      <c r="D78" s="20">
        <f>IF(AND(25-(WEEKDAY(DATE(PlanYear,13,1),2)-1)&gt;=1,25-(WEEKDAY(DATE(PlanYear,13,1),2)-1)&lt;=DAY(EOMONTH(DATE(PlanYear,13,1),0))),DATE(PlanYear,13,1)+25-WEEKDAY(DATE(PlanYear,13,1),2),"")</f>
        <v/>
      </c>
      <c r="E78" s="20">
        <f>IF(AND(26-(WEEKDAY(DATE(PlanYear,13,1),2)-1)&gt;=1,26-(WEEKDAY(DATE(PlanYear,13,1),2)-1)&lt;=DAY(EOMONTH(DATE(PlanYear,13,1),0))),DATE(PlanYear,13,1)+26-WEEKDAY(DATE(PlanYear,13,1),2),"")</f>
        <v/>
      </c>
      <c r="F78" s="20">
        <f>IF(AND(27-(WEEKDAY(DATE(PlanYear,13,1),2)-1)&gt;=1,27-(WEEKDAY(DATE(PlanYear,13,1),2)-1)&lt;=DAY(EOMONTH(DATE(PlanYear,13,1),0))),DATE(PlanYear,13,1)+27-WEEKDAY(DATE(PlanYear,13,1),2),"")</f>
        <v/>
      </c>
      <c r="G78" s="20">
        <f>IF(AND(28-(WEEKDAY(DATE(PlanYear,13,1),2)-1)&gt;=1,28-(WEEKDAY(DATE(PlanYear,13,1),2)-1)&lt;=DAY(EOMONTH(DATE(PlanYear,13,1),0))),DATE(PlanYear,13,1)+28-WEEKDAY(DATE(PlanYear,13,1),2),"")</f>
        <v/>
      </c>
    </row>
    <row r="79" ht="24" customHeight="1">
      <c r="A79" s="21" t="n"/>
      <c r="B79" s="21" t="n"/>
      <c r="C79" s="21" t="n"/>
      <c r="D79" s="21" t="n"/>
      <c r="E79" s="21" t="n"/>
      <c r="F79" s="21" t="n"/>
      <c r="G79" s="21" t="n"/>
    </row>
    <row r="80" ht="14" customHeight="1">
      <c r="A80" s="20">
        <f>IF(AND(29-(WEEKDAY(DATE(PlanYear,13,1),2)-1)&gt;=1,29-(WEEKDAY(DATE(PlanYear,13,1),2)-1)&lt;=DAY(EOMONTH(DATE(PlanYear,13,1),0))),DATE(PlanYear,13,1)+29-WEEKDAY(DATE(PlanYear,13,1),2),"")</f>
        <v/>
      </c>
      <c r="B80" s="20">
        <f>IF(AND(30-(WEEKDAY(DATE(PlanYear,13,1),2)-1)&gt;=1,30-(WEEKDAY(DATE(PlanYear,13,1),2)-1)&lt;=DAY(EOMONTH(DATE(PlanYear,13,1),0))),DATE(PlanYear,13,1)+30-WEEKDAY(DATE(PlanYear,13,1),2),"")</f>
        <v/>
      </c>
      <c r="C80" s="20">
        <f>IF(AND(31-(WEEKDAY(DATE(PlanYear,13,1),2)-1)&gt;=1,31-(WEEKDAY(DATE(PlanYear,13,1),2)-1)&lt;=DAY(EOMONTH(DATE(PlanYear,13,1),0))),DATE(PlanYear,13,1)+31-WEEKDAY(DATE(PlanYear,13,1),2),"")</f>
        <v/>
      </c>
      <c r="D80" s="20">
        <f>IF(AND(32-(WEEKDAY(DATE(PlanYear,13,1),2)-1)&gt;=1,32-(WEEKDAY(DATE(PlanYear,13,1),2)-1)&lt;=DAY(EOMONTH(DATE(PlanYear,13,1),0))),DATE(PlanYear,13,1)+32-WEEKDAY(DATE(PlanYear,13,1),2),"")</f>
        <v/>
      </c>
      <c r="E80" s="20">
        <f>IF(AND(33-(WEEKDAY(DATE(PlanYear,13,1),2)-1)&gt;=1,33-(WEEKDAY(DATE(PlanYear,13,1),2)-1)&lt;=DAY(EOMONTH(DATE(PlanYear,13,1),0))),DATE(PlanYear,13,1)+33-WEEKDAY(DATE(PlanYear,13,1),2),"")</f>
        <v/>
      </c>
      <c r="F80" s="20">
        <f>IF(AND(34-(WEEKDAY(DATE(PlanYear,13,1),2)-1)&gt;=1,34-(WEEKDAY(DATE(PlanYear,13,1),2)-1)&lt;=DAY(EOMONTH(DATE(PlanYear,13,1),0))),DATE(PlanYear,13,1)+34-WEEKDAY(DATE(PlanYear,13,1),2),"")</f>
        <v/>
      </c>
      <c r="G80" s="20">
        <f>IF(AND(35-(WEEKDAY(DATE(PlanYear,13,1),2)-1)&gt;=1,35-(WEEKDAY(DATE(PlanYear,13,1),2)-1)&lt;=DAY(EOMONTH(DATE(PlanYear,13,1),0))),DATE(PlanYear,13,1)+35-WEEKDAY(DATE(PlanYear,13,1),2),"")</f>
        <v/>
      </c>
    </row>
    <row r="81" ht="24" customHeight="1">
      <c r="A81" s="21" t="n"/>
      <c r="B81" s="21" t="n"/>
      <c r="C81" s="21" t="n"/>
      <c r="D81" s="21" t="n"/>
      <c r="E81" s="21" t="n"/>
      <c r="F81" s="21" t="n"/>
      <c r="G81" s="21" t="n"/>
    </row>
    <row r="82" ht="14" customHeight="1">
      <c r="A82" s="20">
        <f>IF(AND(36-(WEEKDAY(DATE(PlanYear,13,1),2)-1)&gt;=1,36-(WEEKDAY(DATE(PlanYear,13,1),2)-1)&lt;=DAY(EOMONTH(DATE(PlanYear,13,1),0))),DATE(PlanYear,13,1)+36-WEEKDAY(DATE(PlanYear,13,1),2),"")</f>
        <v/>
      </c>
      <c r="B82" s="20">
        <f>IF(AND(37-(WEEKDAY(DATE(PlanYear,13,1),2)-1)&gt;=1,37-(WEEKDAY(DATE(PlanYear,13,1),2)-1)&lt;=DAY(EOMONTH(DATE(PlanYear,13,1),0))),DATE(PlanYear,13,1)+37-WEEKDAY(DATE(PlanYear,13,1),2),"")</f>
        <v/>
      </c>
      <c r="C82" s="20">
        <f>IF(AND(38-(WEEKDAY(DATE(PlanYear,13,1),2)-1)&gt;=1,38-(WEEKDAY(DATE(PlanYear,13,1),2)-1)&lt;=DAY(EOMONTH(DATE(PlanYear,13,1),0))),DATE(PlanYear,13,1)+38-WEEKDAY(DATE(PlanYear,13,1),2),"")</f>
        <v/>
      </c>
      <c r="D82" s="20">
        <f>IF(AND(39-(WEEKDAY(DATE(PlanYear,13,1),2)-1)&gt;=1,39-(WEEKDAY(DATE(PlanYear,13,1),2)-1)&lt;=DAY(EOMONTH(DATE(PlanYear,13,1),0))),DATE(PlanYear,13,1)+39-WEEKDAY(DATE(PlanYear,13,1),2),"")</f>
        <v/>
      </c>
      <c r="E82" s="20">
        <f>IF(AND(40-(WEEKDAY(DATE(PlanYear,13,1),2)-1)&gt;=1,40-(WEEKDAY(DATE(PlanYear,13,1),2)-1)&lt;=DAY(EOMONTH(DATE(PlanYear,13,1),0))),DATE(PlanYear,13,1)+40-WEEKDAY(DATE(PlanYear,13,1),2),"")</f>
        <v/>
      </c>
      <c r="F82" s="20">
        <f>IF(AND(41-(WEEKDAY(DATE(PlanYear,13,1),2)-1)&gt;=1,41-(WEEKDAY(DATE(PlanYear,13,1),2)-1)&lt;=DAY(EOMONTH(DATE(PlanYear,13,1),0))),DATE(PlanYear,13,1)+41-WEEKDAY(DATE(PlanYear,13,1),2),"")</f>
        <v/>
      </c>
      <c r="G82" s="20">
        <f>IF(AND(42-(WEEKDAY(DATE(PlanYear,13,1),2)-1)&gt;=1,42-(WEEKDAY(DATE(PlanYear,13,1),2)-1)&lt;=DAY(EOMONTH(DATE(PlanYear,13,1),0))),DATE(PlanYear,13,1)+42-WEEKDAY(DATE(PlanYear,13,1),2),"")</f>
        <v/>
      </c>
    </row>
    <row r="83" ht="24" customHeight="1">
      <c r="A83" s="21" t="n"/>
      <c r="B83" s="21" t="n"/>
      <c r="C83" s="21" t="n"/>
      <c r="D83" s="21" t="n"/>
      <c r="E83" s="21" t="n"/>
      <c r="F83" s="21" t="n"/>
      <c r="G83" s="21" t="n"/>
    </row>
    <row r="84" ht="10" customHeight="1"/>
    <row r="85" ht="10" customHeight="1"/>
  </sheetData>
  <mergeCells count="18">
    <mergeCell ref="A4:B4"/>
    <mergeCell ref="Q22:W22"/>
    <mergeCell ref="A1:AJ1"/>
    <mergeCell ref="I22:O22"/>
    <mergeCell ref="A70:G70"/>
    <mergeCell ref="A6:G6"/>
    <mergeCell ref="A22:G22"/>
    <mergeCell ref="Q54:W54"/>
    <mergeCell ref="A38:G38"/>
    <mergeCell ref="A54:G54"/>
    <mergeCell ref="A2:AJ2"/>
    <mergeCell ref="I6:O6"/>
    <mergeCell ref="I38:O38"/>
    <mergeCell ref="I54:O54"/>
    <mergeCell ref="Z4:AK4"/>
    <mergeCell ref="Q6:W6"/>
    <mergeCell ref="Q38:W38"/>
    <mergeCell ref="C4:D4"/>
  </mergeCells>
  <conditionalFormatting sqref="A8:G9">
    <cfRule type="expression" priority="1" dxfId="0" stopIfTrue="1">
      <formula>A$8=""</formula>
    </cfRule>
  </conditionalFormatting>
  <conditionalFormatting sqref="A9:G9">
    <cfRule type="expression" priority="2" dxfId="1" stopIfTrue="1">
      <formula>AND($C$4&lt;&gt;"",A9=$C$4)</formula>
    </cfRule>
    <cfRule type="expression" priority="3" dxfId="2" stopIfTrue="1">
      <formula>AND(A9&lt;&gt;"",A9=Departments!$A$6)</formula>
    </cfRule>
    <cfRule type="expression" priority="4" dxfId="3" stopIfTrue="1">
      <formula>AND(A9&lt;&gt;"",A9=Departments!$A$7)</formula>
    </cfRule>
    <cfRule type="expression" priority="5" dxfId="4" stopIfTrue="1">
      <formula>AND(A9&lt;&gt;"",A9=Departments!$A$8)</formula>
    </cfRule>
    <cfRule type="expression" priority="6" dxfId="5" stopIfTrue="1">
      <formula>AND(A9&lt;&gt;"",A9=Departments!$A$9)</formula>
    </cfRule>
    <cfRule type="expression" priority="7" dxfId="6" stopIfTrue="1">
      <formula>AND(A9&lt;&gt;"",A9=Departments!$A$10)</formula>
    </cfRule>
    <cfRule type="expression" priority="8" dxfId="7" stopIfTrue="1">
      <formula>AND(A9&lt;&gt;"",A9=Departments!$A$11)</formula>
    </cfRule>
    <cfRule type="expression" priority="9" dxfId="8" stopIfTrue="1">
      <formula>AND(A9&lt;&gt;"",A9=Departments!$A$12)</formula>
    </cfRule>
    <cfRule type="expression" priority="10" dxfId="9" stopIfTrue="1">
      <formula>AND(A9&lt;&gt;"",A9=Departments!$A$13)</formula>
    </cfRule>
  </conditionalFormatting>
  <conditionalFormatting sqref="A10:G11">
    <cfRule type="expression" priority="11" dxfId="0" stopIfTrue="1">
      <formula>A$10=""</formula>
    </cfRule>
  </conditionalFormatting>
  <conditionalFormatting sqref="A11:G11">
    <cfRule type="expression" priority="12" dxfId="1" stopIfTrue="1">
      <formula>AND($C$4&lt;&gt;"",A11=$C$4)</formula>
    </cfRule>
    <cfRule type="expression" priority="13" dxfId="2" stopIfTrue="1">
      <formula>AND(A11&lt;&gt;"",A11=Departments!$A$6)</formula>
    </cfRule>
    <cfRule type="expression" priority="14" dxfId="3" stopIfTrue="1">
      <formula>AND(A11&lt;&gt;"",A11=Departments!$A$7)</formula>
    </cfRule>
    <cfRule type="expression" priority="15" dxfId="4" stopIfTrue="1">
      <formula>AND(A11&lt;&gt;"",A11=Departments!$A$8)</formula>
    </cfRule>
    <cfRule type="expression" priority="16" dxfId="5" stopIfTrue="1">
      <formula>AND(A11&lt;&gt;"",A11=Departments!$A$9)</formula>
    </cfRule>
    <cfRule type="expression" priority="17" dxfId="6" stopIfTrue="1">
      <formula>AND(A11&lt;&gt;"",A11=Departments!$A$10)</formula>
    </cfRule>
    <cfRule type="expression" priority="18" dxfId="7" stopIfTrue="1">
      <formula>AND(A11&lt;&gt;"",A11=Departments!$A$11)</formula>
    </cfRule>
    <cfRule type="expression" priority="19" dxfId="8" stopIfTrue="1">
      <formula>AND(A11&lt;&gt;"",A11=Departments!$A$12)</formula>
    </cfRule>
    <cfRule type="expression" priority="20" dxfId="9" stopIfTrue="1">
      <formula>AND(A11&lt;&gt;"",A11=Departments!$A$13)</formula>
    </cfRule>
  </conditionalFormatting>
  <conditionalFormatting sqref="A12:G13">
    <cfRule type="expression" priority="21" dxfId="0" stopIfTrue="1">
      <formula>A$12=""</formula>
    </cfRule>
  </conditionalFormatting>
  <conditionalFormatting sqref="A13:G13">
    <cfRule type="expression" priority="22" dxfId="1" stopIfTrue="1">
      <formula>AND($C$4&lt;&gt;"",A13=$C$4)</formula>
    </cfRule>
    <cfRule type="expression" priority="23" dxfId="2" stopIfTrue="1">
      <formula>AND(A13&lt;&gt;"",A13=Departments!$A$6)</formula>
    </cfRule>
    <cfRule type="expression" priority="24" dxfId="3" stopIfTrue="1">
      <formula>AND(A13&lt;&gt;"",A13=Departments!$A$7)</formula>
    </cfRule>
    <cfRule type="expression" priority="25" dxfId="4" stopIfTrue="1">
      <formula>AND(A13&lt;&gt;"",A13=Departments!$A$8)</formula>
    </cfRule>
    <cfRule type="expression" priority="26" dxfId="5" stopIfTrue="1">
      <formula>AND(A13&lt;&gt;"",A13=Departments!$A$9)</formula>
    </cfRule>
    <cfRule type="expression" priority="27" dxfId="6" stopIfTrue="1">
      <formula>AND(A13&lt;&gt;"",A13=Departments!$A$10)</formula>
    </cfRule>
    <cfRule type="expression" priority="28" dxfId="7" stopIfTrue="1">
      <formula>AND(A13&lt;&gt;"",A13=Departments!$A$11)</formula>
    </cfRule>
    <cfRule type="expression" priority="29" dxfId="8" stopIfTrue="1">
      <formula>AND(A13&lt;&gt;"",A13=Departments!$A$12)</formula>
    </cfRule>
    <cfRule type="expression" priority="30" dxfId="9" stopIfTrue="1">
      <formula>AND(A13&lt;&gt;"",A13=Departments!$A$13)</formula>
    </cfRule>
  </conditionalFormatting>
  <conditionalFormatting sqref="A14:G15">
    <cfRule type="expression" priority="31" dxfId="0" stopIfTrue="1">
      <formula>A$14=""</formula>
    </cfRule>
  </conditionalFormatting>
  <conditionalFormatting sqref="A15:G15">
    <cfRule type="expression" priority="32" dxfId="1" stopIfTrue="1">
      <formula>AND($C$4&lt;&gt;"",A15=$C$4)</formula>
    </cfRule>
    <cfRule type="expression" priority="33" dxfId="2" stopIfTrue="1">
      <formula>AND(A15&lt;&gt;"",A15=Departments!$A$6)</formula>
    </cfRule>
    <cfRule type="expression" priority="34" dxfId="3" stopIfTrue="1">
      <formula>AND(A15&lt;&gt;"",A15=Departments!$A$7)</formula>
    </cfRule>
    <cfRule type="expression" priority="35" dxfId="4" stopIfTrue="1">
      <formula>AND(A15&lt;&gt;"",A15=Departments!$A$8)</formula>
    </cfRule>
    <cfRule type="expression" priority="36" dxfId="5" stopIfTrue="1">
      <formula>AND(A15&lt;&gt;"",A15=Departments!$A$9)</formula>
    </cfRule>
    <cfRule type="expression" priority="37" dxfId="6" stopIfTrue="1">
      <formula>AND(A15&lt;&gt;"",A15=Departments!$A$10)</formula>
    </cfRule>
    <cfRule type="expression" priority="38" dxfId="7" stopIfTrue="1">
      <formula>AND(A15&lt;&gt;"",A15=Departments!$A$11)</formula>
    </cfRule>
    <cfRule type="expression" priority="39" dxfId="8" stopIfTrue="1">
      <formula>AND(A15&lt;&gt;"",A15=Departments!$A$12)</formula>
    </cfRule>
    <cfRule type="expression" priority="40" dxfId="9" stopIfTrue="1">
      <formula>AND(A15&lt;&gt;"",A15=Departments!$A$13)</formula>
    </cfRule>
  </conditionalFormatting>
  <conditionalFormatting sqref="A16:G17">
    <cfRule type="expression" priority="41" dxfId="0" stopIfTrue="1">
      <formula>A$16=""</formula>
    </cfRule>
  </conditionalFormatting>
  <conditionalFormatting sqref="A17:G17">
    <cfRule type="expression" priority="42" dxfId="1" stopIfTrue="1">
      <formula>AND($C$4&lt;&gt;"",A17=$C$4)</formula>
    </cfRule>
    <cfRule type="expression" priority="43" dxfId="2" stopIfTrue="1">
      <formula>AND(A17&lt;&gt;"",A17=Departments!$A$6)</formula>
    </cfRule>
    <cfRule type="expression" priority="44" dxfId="3" stopIfTrue="1">
      <formula>AND(A17&lt;&gt;"",A17=Departments!$A$7)</formula>
    </cfRule>
    <cfRule type="expression" priority="45" dxfId="4" stopIfTrue="1">
      <formula>AND(A17&lt;&gt;"",A17=Departments!$A$8)</formula>
    </cfRule>
    <cfRule type="expression" priority="46" dxfId="5" stopIfTrue="1">
      <formula>AND(A17&lt;&gt;"",A17=Departments!$A$9)</formula>
    </cfRule>
    <cfRule type="expression" priority="47" dxfId="6" stopIfTrue="1">
      <formula>AND(A17&lt;&gt;"",A17=Departments!$A$10)</formula>
    </cfRule>
    <cfRule type="expression" priority="48" dxfId="7" stopIfTrue="1">
      <formula>AND(A17&lt;&gt;"",A17=Departments!$A$11)</formula>
    </cfRule>
    <cfRule type="expression" priority="49" dxfId="8" stopIfTrue="1">
      <formula>AND(A17&lt;&gt;"",A17=Departments!$A$12)</formula>
    </cfRule>
    <cfRule type="expression" priority="50" dxfId="9" stopIfTrue="1">
      <formula>AND(A17&lt;&gt;"",A17=Departments!$A$13)</formula>
    </cfRule>
  </conditionalFormatting>
  <conditionalFormatting sqref="A18:G19">
    <cfRule type="expression" priority="51" dxfId="0" stopIfTrue="1">
      <formula>A$18=""</formula>
    </cfRule>
  </conditionalFormatting>
  <conditionalFormatting sqref="A19:G19">
    <cfRule type="expression" priority="52" dxfId="1" stopIfTrue="1">
      <formula>AND($C$4&lt;&gt;"",A19=$C$4)</formula>
    </cfRule>
    <cfRule type="expression" priority="53" dxfId="2" stopIfTrue="1">
      <formula>AND(A19&lt;&gt;"",A19=Departments!$A$6)</formula>
    </cfRule>
    <cfRule type="expression" priority="54" dxfId="3" stopIfTrue="1">
      <formula>AND(A19&lt;&gt;"",A19=Departments!$A$7)</formula>
    </cfRule>
    <cfRule type="expression" priority="55" dxfId="4" stopIfTrue="1">
      <formula>AND(A19&lt;&gt;"",A19=Departments!$A$8)</formula>
    </cfRule>
    <cfRule type="expression" priority="56" dxfId="5" stopIfTrue="1">
      <formula>AND(A19&lt;&gt;"",A19=Departments!$A$9)</formula>
    </cfRule>
    <cfRule type="expression" priority="57" dxfId="6" stopIfTrue="1">
      <formula>AND(A19&lt;&gt;"",A19=Departments!$A$10)</formula>
    </cfRule>
    <cfRule type="expression" priority="58" dxfId="7" stopIfTrue="1">
      <formula>AND(A19&lt;&gt;"",A19=Departments!$A$11)</formula>
    </cfRule>
    <cfRule type="expression" priority="59" dxfId="8" stopIfTrue="1">
      <formula>AND(A19&lt;&gt;"",A19=Departments!$A$12)</formula>
    </cfRule>
    <cfRule type="expression" priority="60" dxfId="9" stopIfTrue="1">
      <formula>AND(A19&lt;&gt;"",A19=Departments!$A$13)</formula>
    </cfRule>
  </conditionalFormatting>
  <conditionalFormatting sqref="I8:O9">
    <cfRule type="expression" priority="61" dxfId="0" stopIfTrue="1">
      <formula>I$8=""</formula>
    </cfRule>
  </conditionalFormatting>
  <conditionalFormatting sqref="I9:O9">
    <cfRule type="expression" priority="62" dxfId="1" stopIfTrue="1">
      <formula>AND($C$4&lt;&gt;"",I9=$C$4)</formula>
    </cfRule>
    <cfRule type="expression" priority="63" dxfId="2" stopIfTrue="1">
      <formula>AND(I9&lt;&gt;"",I9=Departments!$A$6)</formula>
    </cfRule>
    <cfRule type="expression" priority="64" dxfId="3" stopIfTrue="1">
      <formula>AND(I9&lt;&gt;"",I9=Departments!$A$7)</formula>
    </cfRule>
    <cfRule type="expression" priority="65" dxfId="4" stopIfTrue="1">
      <formula>AND(I9&lt;&gt;"",I9=Departments!$A$8)</formula>
    </cfRule>
    <cfRule type="expression" priority="66" dxfId="5" stopIfTrue="1">
      <formula>AND(I9&lt;&gt;"",I9=Departments!$A$9)</formula>
    </cfRule>
    <cfRule type="expression" priority="67" dxfId="6" stopIfTrue="1">
      <formula>AND(I9&lt;&gt;"",I9=Departments!$A$10)</formula>
    </cfRule>
    <cfRule type="expression" priority="68" dxfId="7" stopIfTrue="1">
      <formula>AND(I9&lt;&gt;"",I9=Departments!$A$11)</formula>
    </cfRule>
    <cfRule type="expression" priority="69" dxfId="8" stopIfTrue="1">
      <formula>AND(I9&lt;&gt;"",I9=Departments!$A$12)</formula>
    </cfRule>
    <cfRule type="expression" priority="70" dxfId="9" stopIfTrue="1">
      <formula>AND(I9&lt;&gt;"",I9=Departments!$A$13)</formula>
    </cfRule>
  </conditionalFormatting>
  <conditionalFormatting sqref="I10:O11">
    <cfRule type="expression" priority="71" dxfId="0" stopIfTrue="1">
      <formula>I$10=""</formula>
    </cfRule>
  </conditionalFormatting>
  <conditionalFormatting sqref="I11:O11">
    <cfRule type="expression" priority="72" dxfId="1" stopIfTrue="1">
      <formula>AND($C$4&lt;&gt;"",I11=$C$4)</formula>
    </cfRule>
    <cfRule type="expression" priority="73" dxfId="2" stopIfTrue="1">
      <formula>AND(I11&lt;&gt;"",I11=Departments!$A$6)</formula>
    </cfRule>
    <cfRule type="expression" priority="74" dxfId="3" stopIfTrue="1">
      <formula>AND(I11&lt;&gt;"",I11=Departments!$A$7)</formula>
    </cfRule>
    <cfRule type="expression" priority="75" dxfId="4" stopIfTrue="1">
      <formula>AND(I11&lt;&gt;"",I11=Departments!$A$8)</formula>
    </cfRule>
    <cfRule type="expression" priority="76" dxfId="5" stopIfTrue="1">
      <formula>AND(I11&lt;&gt;"",I11=Departments!$A$9)</formula>
    </cfRule>
    <cfRule type="expression" priority="77" dxfId="6" stopIfTrue="1">
      <formula>AND(I11&lt;&gt;"",I11=Departments!$A$10)</formula>
    </cfRule>
    <cfRule type="expression" priority="78" dxfId="7" stopIfTrue="1">
      <formula>AND(I11&lt;&gt;"",I11=Departments!$A$11)</formula>
    </cfRule>
    <cfRule type="expression" priority="79" dxfId="8" stopIfTrue="1">
      <formula>AND(I11&lt;&gt;"",I11=Departments!$A$12)</formula>
    </cfRule>
    <cfRule type="expression" priority="80" dxfId="9" stopIfTrue="1">
      <formula>AND(I11&lt;&gt;"",I11=Departments!$A$13)</formula>
    </cfRule>
  </conditionalFormatting>
  <conditionalFormatting sqref="I12:O13">
    <cfRule type="expression" priority="81" dxfId="0" stopIfTrue="1">
      <formula>I$12=""</formula>
    </cfRule>
  </conditionalFormatting>
  <conditionalFormatting sqref="I13:O13">
    <cfRule type="expression" priority="82" dxfId="1" stopIfTrue="1">
      <formula>AND($C$4&lt;&gt;"",I13=$C$4)</formula>
    </cfRule>
    <cfRule type="expression" priority="83" dxfId="2" stopIfTrue="1">
      <formula>AND(I13&lt;&gt;"",I13=Departments!$A$6)</formula>
    </cfRule>
    <cfRule type="expression" priority="84" dxfId="3" stopIfTrue="1">
      <formula>AND(I13&lt;&gt;"",I13=Departments!$A$7)</formula>
    </cfRule>
    <cfRule type="expression" priority="85" dxfId="4" stopIfTrue="1">
      <formula>AND(I13&lt;&gt;"",I13=Departments!$A$8)</formula>
    </cfRule>
    <cfRule type="expression" priority="86" dxfId="5" stopIfTrue="1">
      <formula>AND(I13&lt;&gt;"",I13=Departments!$A$9)</formula>
    </cfRule>
    <cfRule type="expression" priority="87" dxfId="6" stopIfTrue="1">
      <formula>AND(I13&lt;&gt;"",I13=Departments!$A$10)</formula>
    </cfRule>
    <cfRule type="expression" priority="88" dxfId="7" stopIfTrue="1">
      <formula>AND(I13&lt;&gt;"",I13=Departments!$A$11)</formula>
    </cfRule>
    <cfRule type="expression" priority="89" dxfId="8" stopIfTrue="1">
      <formula>AND(I13&lt;&gt;"",I13=Departments!$A$12)</formula>
    </cfRule>
    <cfRule type="expression" priority="90" dxfId="9" stopIfTrue="1">
      <formula>AND(I13&lt;&gt;"",I13=Departments!$A$13)</formula>
    </cfRule>
  </conditionalFormatting>
  <conditionalFormatting sqref="I14:O15">
    <cfRule type="expression" priority="91" dxfId="0" stopIfTrue="1">
      <formula>I$14=""</formula>
    </cfRule>
  </conditionalFormatting>
  <conditionalFormatting sqref="I15:O15">
    <cfRule type="expression" priority="92" dxfId="1" stopIfTrue="1">
      <formula>AND($C$4&lt;&gt;"",I15=$C$4)</formula>
    </cfRule>
    <cfRule type="expression" priority="93" dxfId="2" stopIfTrue="1">
      <formula>AND(I15&lt;&gt;"",I15=Departments!$A$6)</formula>
    </cfRule>
    <cfRule type="expression" priority="94" dxfId="3" stopIfTrue="1">
      <formula>AND(I15&lt;&gt;"",I15=Departments!$A$7)</formula>
    </cfRule>
    <cfRule type="expression" priority="95" dxfId="4" stopIfTrue="1">
      <formula>AND(I15&lt;&gt;"",I15=Departments!$A$8)</formula>
    </cfRule>
    <cfRule type="expression" priority="96" dxfId="5" stopIfTrue="1">
      <formula>AND(I15&lt;&gt;"",I15=Departments!$A$9)</formula>
    </cfRule>
    <cfRule type="expression" priority="97" dxfId="6" stopIfTrue="1">
      <formula>AND(I15&lt;&gt;"",I15=Departments!$A$10)</formula>
    </cfRule>
    <cfRule type="expression" priority="98" dxfId="7" stopIfTrue="1">
      <formula>AND(I15&lt;&gt;"",I15=Departments!$A$11)</formula>
    </cfRule>
    <cfRule type="expression" priority="99" dxfId="8" stopIfTrue="1">
      <formula>AND(I15&lt;&gt;"",I15=Departments!$A$12)</formula>
    </cfRule>
    <cfRule type="expression" priority="100" dxfId="9" stopIfTrue="1">
      <formula>AND(I15&lt;&gt;"",I15=Departments!$A$13)</formula>
    </cfRule>
  </conditionalFormatting>
  <conditionalFormatting sqref="I16:O17">
    <cfRule type="expression" priority="101" dxfId="0" stopIfTrue="1">
      <formula>I$16=""</formula>
    </cfRule>
  </conditionalFormatting>
  <conditionalFormatting sqref="I17:O17">
    <cfRule type="expression" priority="102" dxfId="1" stopIfTrue="1">
      <formula>AND($C$4&lt;&gt;"",I17=$C$4)</formula>
    </cfRule>
    <cfRule type="expression" priority="103" dxfId="2" stopIfTrue="1">
      <formula>AND(I17&lt;&gt;"",I17=Departments!$A$6)</formula>
    </cfRule>
    <cfRule type="expression" priority="104" dxfId="3" stopIfTrue="1">
      <formula>AND(I17&lt;&gt;"",I17=Departments!$A$7)</formula>
    </cfRule>
    <cfRule type="expression" priority="105" dxfId="4" stopIfTrue="1">
      <formula>AND(I17&lt;&gt;"",I17=Departments!$A$8)</formula>
    </cfRule>
    <cfRule type="expression" priority="106" dxfId="5" stopIfTrue="1">
      <formula>AND(I17&lt;&gt;"",I17=Departments!$A$9)</formula>
    </cfRule>
    <cfRule type="expression" priority="107" dxfId="6" stopIfTrue="1">
      <formula>AND(I17&lt;&gt;"",I17=Departments!$A$10)</formula>
    </cfRule>
    <cfRule type="expression" priority="108" dxfId="7" stopIfTrue="1">
      <formula>AND(I17&lt;&gt;"",I17=Departments!$A$11)</formula>
    </cfRule>
    <cfRule type="expression" priority="109" dxfId="8" stopIfTrue="1">
      <formula>AND(I17&lt;&gt;"",I17=Departments!$A$12)</formula>
    </cfRule>
    <cfRule type="expression" priority="110" dxfId="9" stopIfTrue="1">
      <formula>AND(I17&lt;&gt;"",I17=Departments!$A$13)</formula>
    </cfRule>
  </conditionalFormatting>
  <conditionalFormatting sqref="I18:O19">
    <cfRule type="expression" priority="111" dxfId="0" stopIfTrue="1">
      <formula>I$18=""</formula>
    </cfRule>
  </conditionalFormatting>
  <conditionalFormatting sqref="I19:O19">
    <cfRule type="expression" priority="112" dxfId="1" stopIfTrue="1">
      <formula>AND($C$4&lt;&gt;"",I19=$C$4)</formula>
    </cfRule>
    <cfRule type="expression" priority="113" dxfId="2" stopIfTrue="1">
      <formula>AND(I19&lt;&gt;"",I19=Departments!$A$6)</formula>
    </cfRule>
    <cfRule type="expression" priority="114" dxfId="3" stopIfTrue="1">
      <formula>AND(I19&lt;&gt;"",I19=Departments!$A$7)</formula>
    </cfRule>
    <cfRule type="expression" priority="115" dxfId="4" stopIfTrue="1">
      <formula>AND(I19&lt;&gt;"",I19=Departments!$A$8)</formula>
    </cfRule>
    <cfRule type="expression" priority="116" dxfId="5" stopIfTrue="1">
      <formula>AND(I19&lt;&gt;"",I19=Departments!$A$9)</formula>
    </cfRule>
    <cfRule type="expression" priority="117" dxfId="6" stopIfTrue="1">
      <formula>AND(I19&lt;&gt;"",I19=Departments!$A$10)</formula>
    </cfRule>
    <cfRule type="expression" priority="118" dxfId="7" stopIfTrue="1">
      <formula>AND(I19&lt;&gt;"",I19=Departments!$A$11)</formula>
    </cfRule>
    <cfRule type="expression" priority="119" dxfId="8" stopIfTrue="1">
      <formula>AND(I19&lt;&gt;"",I19=Departments!$A$12)</formula>
    </cfRule>
    <cfRule type="expression" priority="120" dxfId="9" stopIfTrue="1">
      <formula>AND(I19&lt;&gt;"",I19=Departments!$A$13)</formula>
    </cfRule>
  </conditionalFormatting>
  <conditionalFormatting sqref="Q8:W9">
    <cfRule type="expression" priority="121" dxfId="0" stopIfTrue="1">
      <formula>Q$8=""</formula>
    </cfRule>
  </conditionalFormatting>
  <conditionalFormatting sqref="Q9:W9">
    <cfRule type="expression" priority="122" dxfId="1" stopIfTrue="1">
      <formula>AND($C$4&lt;&gt;"",Q9=$C$4)</formula>
    </cfRule>
    <cfRule type="expression" priority="123" dxfId="2" stopIfTrue="1">
      <formula>AND(Q9&lt;&gt;"",Q9=Departments!$A$6)</formula>
    </cfRule>
    <cfRule type="expression" priority="124" dxfId="3" stopIfTrue="1">
      <formula>AND(Q9&lt;&gt;"",Q9=Departments!$A$7)</formula>
    </cfRule>
    <cfRule type="expression" priority="125" dxfId="4" stopIfTrue="1">
      <formula>AND(Q9&lt;&gt;"",Q9=Departments!$A$8)</formula>
    </cfRule>
    <cfRule type="expression" priority="126" dxfId="5" stopIfTrue="1">
      <formula>AND(Q9&lt;&gt;"",Q9=Departments!$A$9)</formula>
    </cfRule>
    <cfRule type="expression" priority="127" dxfId="6" stopIfTrue="1">
      <formula>AND(Q9&lt;&gt;"",Q9=Departments!$A$10)</formula>
    </cfRule>
    <cfRule type="expression" priority="128" dxfId="7" stopIfTrue="1">
      <formula>AND(Q9&lt;&gt;"",Q9=Departments!$A$11)</formula>
    </cfRule>
    <cfRule type="expression" priority="129" dxfId="8" stopIfTrue="1">
      <formula>AND(Q9&lt;&gt;"",Q9=Departments!$A$12)</formula>
    </cfRule>
    <cfRule type="expression" priority="130" dxfId="9" stopIfTrue="1">
      <formula>AND(Q9&lt;&gt;"",Q9=Departments!$A$13)</formula>
    </cfRule>
  </conditionalFormatting>
  <conditionalFormatting sqref="Q10:W11">
    <cfRule type="expression" priority="131" dxfId="0" stopIfTrue="1">
      <formula>Q$10=""</formula>
    </cfRule>
  </conditionalFormatting>
  <conditionalFormatting sqref="Q11:W11">
    <cfRule type="expression" priority="132" dxfId="1" stopIfTrue="1">
      <formula>AND($C$4&lt;&gt;"",Q11=$C$4)</formula>
    </cfRule>
    <cfRule type="expression" priority="133" dxfId="2" stopIfTrue="1">
      <formula>AND(Q11&lt;&gt;"",Q11=Departments!$A$6)</formula>
    </cfRule>
    <cfRule type="expression" priority="134" dxfId="3" stopIfTrue="1">
      <formula>AND(Q11&lt;&gt;"",Q11=Departments!$A$7)</formula>
    </cfRule>
    <cfRule type="expression" priority="135" dxfId="4" stopIfTrue="1">
      <formula>AND(Q11&lt;&gt;"",Q11=Departments!$A$8)</formula>
    </cfRule>
    <cfRule type="expression" priority="136" dxfId="5" stopIfTrue="1">
      <formula>AND(Q11&lt;&gt;"",Q11=Departments!$A$9)</formula>
    </cfRule>
    <cfRule type="expression" priority="137" dxfId="6" stopIfTrue="1">
      <formula>AND(Q11&lt;&gt;"",Q11=Departments!$A$10)</formula>
    </cfRule>
    <cfRule type="expression" priority="138" dxfId="7" stopIfTrue="1">
      <formula>AND(Q11&lt;&gt;"",Q11=Departments!$A$11)</formula>
    </cfRule>
    <cfRule type="expression" priority="139" dxfId="8" stopIfTrue="1">
      <formula>AND(Q11&lt;&gt;"",Q11=Departments!$A$12)</formula>
    </cfRule>
    <cfRule type="expression" priority="140" dxfId="9" stopIfTrue="1">
      <formula>AND(Q11&lt;&gt;"",Q11=Departments!$A$13)</formula>
    </cfRule>
  </conditionalFormatting>
  <conditionalFormatting sqref="Q12:W13">
    <cfRule type="expression" priority="141" dxfId="0" stopIfTrue="1">
      <formula>Q$12=""</formula>
    </cfRule>
  </conditionalFormatting>
  <conditionalFormatting sqref="Q13:W13">
    <cfRule type="expression" priority="142" dxfId="1" stopIfTrue="1">
      <formula>AND($C$4&lt;&gt;"",Q13=$C$4)</formula>
    </cfRule>
    <cfRule type="expression" priority="143" dxfId="2" stopIfTrue="1">
      <formula>AND(Q13&lt;&gt;"",Q13=Departments!$A$6)</formula>
    </cfRule>
    <cfRule type="expression" priority="144" dxfId="3" stopIfTrue="1">
      <formula>AND(Q13&lt;&gt;"",Q13=Departments!$A$7)</formula>
    </cfRule>
    <cfRule type="expression" priority="145" dxfId="4" stopIfTrue="1">
      <formula>AND(Q13&lt;&gt;"",Q13=Departments!$A$8)</formula>
    </cfRule>
    <cfRule type="expression" priority="146" dxfId="5" stopIfTrue="1">
      <formula>AND(Q13&lt;&gt;"",Q13=Departments!$A$9)</formula>
    </cfRule>
    <cfRule type="expression" priority="147" dxfId="6" stopIfTrue="1">
      <formula>AND(Q13&lt;&gt;"",Q13=Departments!$A$10)</formula>
    </cfRule>
    <cfRule type="expression" priority="148" dxfId="7" stopIfTrue="1">
      <formula>AND(Q13&lt;&gt;"",Q13=Departments!$A$11)</formula>
    </cfRule>
    <cfRule type="expression" priority="149" dxfId="8" stopIfTrue="1">
      <formula>AND(Q13&lt;&gt;"",Q13=Departments!$A$12)</formula>
    </cfRule>
    <cfRule type="expression" priority="150" dxfId="9" stopIfTrue="1">
      <formula>AND(Q13&lt;&gt;"",Q13=Departments!$A$13)</formula>
    </cfRule>
  </conditionalFormatting>
  <conditionalFormatting sqref="Q14:W15">
    <cfRule type="expression" priority="151" dxfId="0" stopIfTrue="1">
      <formula>Q$14=""</formula>
    </cfRule>
  </conditionalFormatting>
  <conditionalFormatting sqref="Q15:W15">
    <cfRule type="expression" priority="152" dxfId="1" stopIfTrue="1">
      <formula>AND($C$4&lt;&gt;"",Q15=$C$4)</formula>
    </cfRule>
    <cfRule type="expression" priority="153" dxfId="2" stopIfTrue="1">
      <formula>AND(Q15&lt;&gt;"",Q15=Departments!$A$6)</formula>
    </cfRule>
    <cfRule type="expression" priority="154" dxfId="3" stopIfTrue="1">
      <formula>AND(Q15&lt;&gt;"",Q15=Departments!$A$7)</formula>
    </cfRule>
    <cfRule type="expression" priority="155" dxfId="4" stopIfTrue="1">
      <formula>AND(Q15&lt;&gt;"",Q15=Departments!$A$8)</formula>
    </cfRule>
    <cfRule type="expression" priority="156" dxfId="5" stopIfTrue="1">
      <formula>AND(Q15&lt;&gt;"",Q15=Departments!$A$9)</formula>
    </cfRule>
    <cfRule type="expression" priority="157" dxfId="6" stopIfTrue="1">
      <formula>AND(Q15&lt;&gt;"",Q15=Departments!$A$10)</formula>
    </cfRule>
    <cfRule type="expression" priority="158" dxfId="7" stopIfTrue="1">
      <formula>AND(Q15&lt;&gt;"",Q15=Departments!$A$11)</formula>
    </cfRule>
    <cfRule type="expression" priority="159" dxfId="8" stopIfTrue="1">
      <formula>AND(Q15&lt;&gt;"",Q15=Departments!$A$12)</formula>
    </cfRule>
    <cfRule type="expression" priority="160" dxfId="9" stopIfTrue="1">
      <formula>AND(Q15&lt;&gt;"",Q15=Departments!$A$13)</formula>
    </cfRule>
  </conditionalFormatting>
  <conditionalFormatting sqref="Q16:W17">
    <cfRule type="expression" priority="161" dxfId="0" stopIfTrue="1">
      <formula>Q$16=""</formula>
    </cfRule>
  </conditionalFormatting>
  <conditionalFormatting sqref="Q17:W17">
    <cfRule type="expression" priority="162" dxfId="1" stopIfTrue="1">
      <formula>AND($C$4&lt;&gt;"",Q17=$C$4)</formula>
    </cfRule>
    <cfRule type="expression" priority="163" dxfId="2" stopIfTrue="1">
      <formula>AND(Q17&lt;&gt;"",Q17=Departments!$A$6)</formula>
    </cfRule>
    <cfRule type="expression" priority="164" dxfId="3" stopIfTrue="1">
      <formula>AND(Q17&lt;&gt;"",Q17=Departments!$A$7)</formula>
    </cfRule>
    <cfRule type="expression" priority="165" dxfId="4" stopIfTrue="1">
      <formula>AND(Q17&lt;&gt;"",Q17=Departments!$A$8)</formula>
    </cfRule>
    <cfRule type="expression" priority="166" dxfId="5" stopIfTrue="1">
      <formula>AND(Q17&lt;&gt;"",Q17=Departments!$A$9)</formula>
    </cfRule>
    <cfRule type="expression" priority="167" dxfId="6" stopIfTrue="1">
      <formula>AND(Q17&lt;&gt;"",Q17=Departments!$A$10)</formula>
    </cfRule>
    <cfRule type="expression" priority="168" dxfId="7" stopIfTrue="1">
      <formula>AND(Q17&lt;&gt;"",Q17=Departments!$A$11)</formula>
    </cfRule>
    <cfRule type="expression" priority="169" dxfId="8" stopIfTrue="1">
      <formula>AND(Q17&lt;&gt;"",Q17=Departments!$A$12)</formula>
    </cfRule>
    <cfRule type="expression" priority="170" dxfId="9" stopIfTrue="1">
      <formula>AND(Q17&lt;&gt;"",Q17=Departments!$A$13)</formula>
    </cfRule>
  </conditionalFormatting>
  <conditionalFormatting sqref="Q18:W19">
    <cfRule type="expression" priority="171" dxfId="0" stopIfTrue="1">
      <formula>Q$18=""</formula>
    </cfRule>
  </conditionalFormatting>
  <conditionalFormatting sqref="Q19:W19">
    <cfRule type="expression" priority="172" dxfId="1" stopIfTrue="1">
      <formula>AND($C$4&lt;&gt;"",Q19=$C$4)</formula>
    </cfRule>
    <cfRule type="expression" priority="173" dxfId="2" stopIfTrue="1">
      <formula>AND(Q19&lt;&gt;"",Q19=Departments!$A$6)</formula>
    </cfRule>
    <cfRule type="expression" priority="174" dxfId="3" stopIfTrue="1">
      <formula>AND(Q19&lt;&gt;"",Q19=Departments!$A$7)</formula>
    </cfRule>
    <cfRule type="expression" priority="175" dxfId="4" stopIfTrue="1">
      <formula>AND(Q19&lt;&gt;"",Q19=Departments!$A$8)</formula>
    </cfRule>
    <cfRule type="expression" priority="176" dxfId="5" stopIfTrue="1">
      <formula>AND(Q19&lt;&gt;"",Q19=Departments!$A$9)</formula>
    </cfRule>
    <cfRule type="expression" priority="177" dxfId="6" stopIfTrue="1">
      <formula>AND(Q19&lt;&gt;"",Q19=Departments!$A$10)</formula>
    </cfRule>
    <cfRule type="expression" priority="178" dxfId="7" stopIfTrue="1">
      <formula>AND(Q19&lt;&gt;"",Q19=Departments!$A$11)</formula>
    </cfRule>
    <cfRule type="expression" priority="179" dxfId="8" stopIfTrue="1">
      <formula>AND(Q19&lt;&gt;"",Q19=Departments!$A$12)</formula>
    </cfRule>
    <cfRule type="expression" priority="180" dxfId="9" stopIfTrue="1">
      <formula>AND(Q19&lt;&gt;"",Q19=Departments!$A$13)</formula>
    </cfRule>
  </conditionalFormatting>
  <conditionalFormatting sqref="A24:G25">
    <cfRule type="expression" priority="181" dxfId="0" stopIfTrue="1">
      <formula>A$24=""</formula>
    </cfRule>
  </conditionalFormatting>
  <conditionalFormatting sqref="A25:G25">
    <cfRule type="expression" priority="182" dxfId="1" stopIfTrue="1">
      <formula>AND($C$4&lt;&gt;"",A25=$C$4)</formula>
    </cfRule>
    <cfRule type="expression" priority="183" dxfId="2" stopIfTrue="1">
      <formula>AND(A25&lt;&gt;"",A25=Departments!$A$6)</formula>
    </cfRule>
    <cfRule type="expression" priority="184" dxfId="3" stopIfTrue="1">
      <formula>AND(A25&lt;&gt;"",A25=Departments!$A$7)</formula>
    </cfRule>
    <cfRule type="expression" priority="185" dxfId="4" stopIfTrue="1">
      <formula>AND(A25&lt;&gt;"",A25=Departments!$A$8)</formula>
    </cfRule>
    <cfRule type="expression" priority="186" dxfId="5" stopIfTrue="1">
      <formula>AND(A25&lt;&gt;"",A25=Departments!$A$9)</formula>
    </cfRule>
    <cfRule type="expression" priority="187" dxfId="6" stopIfTrue="1">
      <formula>AND(A25&lt;&gt;"",A25=Departments!$A$10)</formula>
    </cfRule>
    <cfRule type="expression" priority="188" dxfId="7" stopIfTrue="1">
      <formula>AND(A25&lt;&gt;"",A25=Departments!$A$11)</formula>
    </cfRule>
    <cfRule type="expression" priority="189" dxfId="8" stopIfTrue="1">
      <formula>AND(A25&lt;&gt;"",A25=Departments!$A$12)</formula>
    </cfRule>
    <cfRule type="expression" priority="190" dxfId="9" stopIfTrue="1">
      <formula>AND(A25&lt;&gt;"",A25=Departments!$A$13)</formula>
    </cfRule>
  </conditionalFormatting>
  <conditionalFormatting sqref="A26:G27">
    <cfRule type="expression" priority="191" dxfId="0" stopIfTrue="1">
      <formula>A$26=""</formula>
    </cfRule>
  </conditionalFormatting>
  <conditionalFormatting sqref="A27:G27">
    <cfRule type="expression" priority="192" dxfId="1" stopIfTrue="1">
      <formula>AND($C$4&lt;&gt;"",A27=$C$4)</formula>
    </cfRule>
    <cfRule type="expression" priority="193" dxfId="2" stopIfTrue="1">
      <formula>AND(A27&lt;&gt;"",A27=Departments!$A$6)</formula>
    </cfRule>
    <cfRule type="expression" priority="194" dxfId="3" stopIfTrue="1">
      <formula>AND(A27&lt;&gt;"",A27=Departments!$A$7)</formula>
    </cfRule>
    <cfRule type="expression" priority="195" dxfId="4" stopIfTrue="1">
      <formula>AND(A27&lt;&gt;"",A27=Departments!$A$8)</formula>
    </cfRule>
    <cfRule type="expression" priority="196" dxfId="5" stopIfTrue="1">
      <formula>AND(A27&lt;&gt;"",A27=Departments!$A$9)</formula>
    </cfRule>
    <cfRule type="expression" priority="197" dxfId="6" stopIfTrue="1">
      <formula>AND(A27&lt;&gt;"",A27=Departments!$A$10)</formula>
    </cfRule>
    <cfRule type="expression" priority="198" dxfId="7" stopIfTrue="1">
      <formula>AND(A27&lt;&gt;"",A27=Departments!$A$11)</formula>
    </cfRule>
    <cfRule type="expression" priority="199" dxfId="8" stopIfTrue="1">
      <formula>AND(A27&lt;&gt;"",A27=Departments!$A$12)</formula>
    </cfRule>
    <cfRule type="expression" priority="200" dxfId="9" stopIfTrue="1">
      <formula>AND(A27&lt;&gt;"",A27=Departments!$A$13)</formula>
    </cfRule>
  </conditionalFormatting>
  <conditionalFormatting sqref="A28:G29">
    <cfRule type="expression" priority="201" dxfId="0" stopIfTrue="1">
      <formula>A$28=""</formula>
    </cfRule>
  </conditionalFormatting>
  <conditionalFormatting sqref="A29:G29">
    <cfRule type="expression" priority="202" dxfId="1" stopIfTrue="1">
      <formula>AND($C$4&lt;&gt;"",A29=$C$4)</formula>
    </cfRule>
    <cfRule type="expression" priority="203" dxfId="2" stopIfTrue="1">
      <formula>AND(A29&lt;&gt;"",A29=Departments!$A$6)</formula>
    </cfRule>
    <cfRule type="expression" priority="204" dxfId="3" stopIfTrue="1">
      <formula>AND(A29&lt;&gt;"",A29=Departments!$A$7)</formula>
    </cfRule>
    <cfRule type="expression" priority="205" dxfId="4" stopIfTrue="1">
      <formula>AND(A29&lt;&gt;"",A29=Departments!$A$8)</formula>
    </cfRule>
    <cfRule type="expression" priority="206" dxfId="5" stopIfTrue="1">
      <formula>AND(A29&lt;&gt;"",A29=Departments!$A$9)</formula>
    </cfRule>
    <cfRule type="expression" priority="207" dxfId="6" stopIfTrue="1">
      <formula>AND(A29&lt;&gt;"",A29=Departments!$A$10)</formula>
    </cfRule>
    <cfRule type="expression" priority="208" dxfId="7" stopIfTrue="1">
      <formula>AND(A29&lt;&gt;"",A29=Departments!$A$11)</formula>
    </cfRule>
    <cfRule type="expression" priority="209" dxfId="8" stopIfTrue="1">
      <formula>AND(A29&lt;&gt;"",A29=Departments!$A$12)</formula>
    </cfRule>
    <cfRule type="expression" priority="210" dxfId="9" stopIfTrue="1">
      <formula>AND(A29&lt;&gt;"",A29=Departments!$A$13)</formula>
    </cfRule>
  </conditionalFormatting>
  <conditionalFormatting sqref="A30:G31">
    <cfRule type="expression" priority="211" dxfId="0" stopIfTrue="1">
      <formula>A$30=""</formula>
    </cfRule>
  </conditionalFormatting>
  <conditionalFormatting sqref="A31:G31">
    <cfRule type="expression" priority="212" dxfId="1" stopIfTrue="1">
      <formula>AND($C$4&lt;&gt;"",A31=$C$4)</formula>
    </cfRule>
    <cfRule type="expression" priority="213" dxfId="2" stopIfTrue="1">
      <formula>AND(A31&lt;&gt;"",A31=Departments!$A$6)</formula>
    </cfRule>
    <cfRule type="expression" priority="214" dxfId="3" stopIfTrue="1">
      <formula>AND(A31&lt;&gt;"",A31=Departments!$A$7)</formula>
    </cfRule>
    <cfRule type="expression" priority="215" dxfId="4" stopIfTrue="1">
      <formula>AND(A31&lt;&gt;"",A31=Departments!$A$8)</formula>
    </cfRule>
    <cfRule type="expression" priority="216" dxfId="5" stopIfTrue="1">
      <formula>AND(A31&lt;&gt;"",A31=Departments!$A$9)</formula>
    </cfRule>
    <cfRule type="expression" priority="217" dxfId="6" stopIfTrue="1">
      <formula>AND(A31&lt;&gt;"",A31=Departments!$A$10)</formula>
    </cfRule>
    <cfRule type="expression" priority="218" dxfId="7" stopIfTrue="1">
      <formula>AND(A31&lt;&gt;"",A31=Departments!$A$11)</formula>
    </cfRule>
    <cfRule type="expression" priority="219" dxfId="8" stopIfTrue="1">
      <formula>AND(A31&lt;&gt;"",A31=Departments!$A$12)</formula>
    </cfRule>
    <cfRule type="expression" priority="220" dxfId="9" stopIfTrue="1">
      <formula>AND(A31&lt;&gt;"",A31=Departments!$A$13)</formula>
    </cfRule>
  </conditionalFormatting>
  <conditionalFormatting sqref="A32:G33">
    <cfRule type="expression" priority="221" dxfId="0" stopIfTrue="1">
      <formula>A$32=""</formula>
    </cfRule>
  </conditionalFormatting>
  <conditionalFormatting sqref="A33:G33">
    <cfRule type="expression" priority="222" dxfId="1" stopIfTrue="1">
      <formula>AND($C$4&lt;&gt;"",A33=$C$4)</formula>
    </cfRule>
    <cfRule type="expression" priority="223" dxfId="2" stopIfTrue="1">
      <formula>AND(A33&lt;&gt;"",A33=Departments!$A$6)</formula>
    </cfRule>
    <cfRule type="expression" priority="224" dxfId="3" stopIfTrue="1">
      <formula>AND(A33&lt;&gt;"",A33=Departments!$A$7)</formula>
    </cfRule>
    <cfRule type="expression" priority="225" dxfId="4" stopIfTrue="1">
      <formula>AND(A33&lt;&gt;"",A33=Departments!$A$8)</formula>
    </cfRule>
    <cfRule type="expression" priority="226" dxfId="5" stopIfTrue="1">
      <formula>AND(A33&lt;&gt;"",A33=Departments!$A$9)</formula>
    </cfRule>
    <cfRule type="expression" priority="227" dxfId="6" stopIfTrue="1">
      <formula>AND(A33&lt;&gt;"",A33=Departments!$A$10)</formula>
    </cfRule>
    <cfRule type="expression" priority="228" dxfId="7" stopIfTrue="1">
      <formula>AND(A33&lt;&gt;"",A33=Departments!$A$11)</formula>
    </cfRule>
    <cfRule type="expression" priority="229" dxfId="8" stopIfTrue="1">
      <formula>AND(A33&lt;&gt;"",A33=Departments!$A$12)</formula>
    </cfRule>
    <cfRule type="expression" priority="230" dxfId="9" stopIfTrue="1">
      <formula>AND(A33&lt;&gt;"",A33=Departments!$A$13)</formula>
    </cfRule>
  </conditionalFormatting>
  <conditionalFormatting sqref="A34:G35">
    <cfRule type="expression" priority="231" dxfId="0" stopIfTrue="1">
      <formula>A$34=""</formula>
    </cfRule>
  </conditionalFormatting>
  <conditionalFormatting sqref="A35:G35">
    <cfRule type="expression" priority="232" dxfId="1" stopIfTrue="1">
      <formula>AND($C$4&lt;&gt;"",A35=$C$4)</formula>
    </cfRule>
    <cfRule type="expression" priority="233" dxfId="2" stopIfTrue="1">
      <formula>AND(A35&lt;&gt;"",A35=Departments!$A$6)</formula>
    </cfRule>
    <cfRule type="expression" priority="234" dxfId="3" stopIfTrue="1">
      <formula>AND(A35&lt;&gt;"",A35=Departments!$A$7)</formula>
    </cfRule>
    <cfRule type="expression" priority="235" dxfId="4" stopIfTrue="1">
      <formula>AND(A35&lt;&gt;"",A35=Departments!$A$8)</formula>
    </cfRule>
    <cfRule type="expression" priority="236" dxfId="5" stopIfTrue="1">
      <formula>AND(A35&lt;&gt;"",A35=Departments!$A$9)</formula>
    </cfRule>
    <cfRule type="expression" priority="237" dxfId="6" stopIfTrue="1">
      <formula>AND(A35&lt;&gt;"",A35=Departments!$A$10)</formula>
    </cfRule>
    <cfRule type="expression" priority="238" dxfId="7" stopIfTrue="1">
      <formula>AND(A35&lt;&gt;"",A35=Departments!$A$11)</formula>
    </cfRule>
    <cfRule type="expression" priority="239" dxfId="8" stopIfTrue="1">
      <formula>AND(A35&lt;&gt;"",A35=Departments!$A$12)</formula>
    </cfRule>
    <cfRule type="expression" priority="240" dxfId="9" stopIfTrue="1">
      <formula>AND(A35&lt;&gt;"",A35=Departments!$A$13)</formula>
    </cfRule>
  </conditionalFormatting>
  <conditionalFormatting sqref="I24:O25">
    <cfRule type="expression" priority="241" dxfId="0" stopIfTrue="1">
      <formula>I$24=""</formula>
    </cfRule>
  </conditionalFormatting>
  <conditionalFormatting sqref="I25:O25">
    <cfRule type="expression" priority="242" dxfId="1" stopIfTrue="1">
      <formula>AND($C$4&lt;&gt;"",I25=$C$4)</formula>
    </cfRule>
    <cfRule type="expression" priority="243" dxfId="2" stopIfTrue="1">
      <formula>AND(I25&lt;&gt;"",I25=Departments!$A$6)</formula>
    </cfRule>
    <cfRule type="expression" priority="244" dxfId="3" stopIfTrue="1">
      <formula>AND(I25&lt;&gt;"",I25=Departments!$A$7)</formula>
    </cfRule>
    <cfRule type="expression" priority="245" dxfId="4" stopIfTrue="1">
      <formula>AND(I25&lt;&gt;"",I25=Departments!$A$8)</formula>
    </cfRule>
    <cfRule type="expression" priority="246" dxfId="5" stopIfTrue="1">
      <formula>AND(I25&lt;&gt;"",I25=Departments!$A$9)</formula>
    </cfRule>
    <cfRule type="expression" priority="247" dxfId="6" stopIfTrue="1">
      <formula>AND(I25&lt;&gt;"",I25=Departments!$A$10)</formula>
    </cfRule>
    <cfRule type="expression" priority="248" dxfId="7" stopIfTrue="1">
      <formula>AND(I25&lt;&gt;"",I25=Departments!$A$11)</formula>
    </cfRule>
    <cfRule type="expression" priority="249" dxfId="8" stopIfTrue="1">
      <formula>AND(I25&lt;&gt;"",I25=Departments!$A$12)</formula>
    </cfRule>
    <cfRule type="expression" priority="250" dxfId="9" stopIfTrue="1">
      <formula>AND(I25&lt;&gt;"",I25=Departments!$A$13)</formula>
    </cfRule>
  </conditionalFormatting>
  <conditionalFormatting sqref="I26:O27">
    <cfRule type="expression" priority="251" dxfId="0" stopIfTrue="1">
      <formula>I$26=""</formula>
    </cfRule>
  </conditionalFormatting>
  <conditionalFormatting sqref="I27:O27">
    <cfRule type="expression" priority="252" dxfId="1" stopIfTrue="1">
      <formula>AND($C$4&lt;&gt;"",I27=$C$4)</formula>
    </cfRule>
    <cfRule type="expression" priority="253" dxfId="2" stopIfTrue="1">
      <formula>AND(I27&lt;&gt;"",I27=Departments!$A$6)</formula>
    </cfRule>
    <cfRule type="expression" priority="254" dxfId="3" stopIfTrue="1">
      <formula>AND(I27&lt;&gt;"",I27=Departments!$A$7)</formula>
    </cfRule>
    <cfRule type="expression" priority="255" dxfId="4" stopIfTrue="1">
      <formula>AND(I27&lt;&gt;"",I27=Departments!$A$8)</formula>
    </cfRule>
    <cfRule type="expression" priority="256" dxfId="5" stopIfTrue="1">
      <formula>AND(I27&lt;&gt;"",I27=Departments!$A$9)</formula>
    </cfRule>
    <cfRule type="expression" priority="257" dxfId="6" stopIfTrue="1">
      <formula>AND(I27&lt;&gt;"",I27=Departments!$A$10)</formula>
    </cfRule>
    <cfRule type="expression" priority="258" dxfId="7" stopIfTrue="1">
      <formula>AND(I27&lt;&gt;"",I27=Departments!$A$11)</formula>
    </cfRule>
    <cfRule type="expression" priority="259" dxfId="8" stopIfTrue="1">
      <formula>AND(I27&lt;&gt;"",I27=Departments!$A$12)</formula>
    </cfRule>
    <cfRule type="expression" priority="260" dxfId="9" stopIfTrue="1">
      <formula>AND(I27&lt;&gt;"",I27=Departments!$A$13)</formula>
    </cfRule>
  </conditionalFormatting>
  <conditionalFormatting sqref="I28:O29">
    <cfRule type="expression" priority="261" dxfId="0" stopIfTrue="1">
      <formula>I$28=""</formula>
    </cfRule>
  </conditionalFormatting>
  <conditionalFormatting sqref="I29:O29">
    <cfRule type="expression" priority="262" dxfId="1" stopIfTrue="1">
      <formula>AND($C$4&lt;&gt;"",I29=$C$4)</formula>
    </cfRule>
    <cfRule type="expression" priority="263" dxfId="2" stopIfTrue="1">
      <formula>AND(I29&lt;&gt;"",I29=Departments!$A$6)</formula>
    </cfRule>
    <cfRule type="expression" priority="264" dxfId="3" stopIfTrue="1">
      <formula>AND(I29&lt;&gt;"",I29=Departments!$A$7)</formula>
    </cfRule>
    <cfRule type="expression" priority="265" dxfId="4" stopIfTrue="1">
      <formula>AND(I29&lt;&gt;"",I29=Departments!$A$8)</formula>
    </cfRule>
    <cfRule type="expression" priority="266" dxfId="5" stopIfTrue="1">
      <formula>AND(I29&lt;&gt;"",I29=Departments!$A$9)</formula>
    </cfRule>
    <cfRule type="expression" priority="267" dxfId="6" stopIfTrue="1">
      <formula>AND(I29&lt;&gt;"",I29=Departments!$A$10)</formula>
    </cfRule>
    <cfRule type="expression" priority="268" dxfId="7" stopIfTrue="1">
      <formula>AND(I29&lt;&gt;"",I29=Departments!$A$11)</formula>
    </cfRule>
    <cfRule type="expression" priority="269" dxfId="8" stopIfTrue="1">
      <formula>AND(I29&lt;&gt;"",I29=Departments!$A$12)</formula>
    </cfRule>
    <cfRule type="expression" priority="270" dxfId="9" stopIfTrue="1">
      <formula>AND(I29&lt;&gt;"",I29=Departments!$A$13)</formula>
    </cfRule>
  </conditionalFormatting>
  <conditionalFormatting sqref="I30:O31">
    <cfRule type="expression" priority="271" dxfId="0" stopIfTrue="1">
      <formula>I$30=""</formula>
    </cfRule>
  </conditionalFormatting>
  <conditionalFormatting sqref="I31:O31">
    <cfRule type="expression" priority="272" dxfId="1" stopIfTrue="1">
      <formula>AND($C$4&lt;&gt;"",I31=$C$4)</formula>
    </cfRule>
    <cfRule type="expression" priority="273" dxfId="2" stopIfTrue="1">
      <formula>AND(I31&lt;&gt;"",I31=Departments!$A$6)</formula>
    </cfRule>
    <cfRule type="expression" priority="274" dxfId="3" stopIfTrue="1">
      <formula>AND(I31&lt;&gt;"",I31=Departments!$A$7)</formula>
    </cfRule>
    <cfRule type="expression" priority="275" dxfId="4" stopIfTrue="1">
      <formula>AND(I31&lt;&gt;"",I31=Departments!$A$8)</formula>
    </cfRule>
    <cfRule type="expression" priority="276" dxfId="5" stopIfTrue="1">
      <formula>AND(I31&lt;&gt;"",I31=Departments!$A$9)</formula>
    </cfRule>
    <cfRule type="expression" priority="277" dxfId="6" stopIfTrue="1">
      <formula>AND(I31&lt;&gt;"",I31=Departments!$A$10)</formula>
    </cfRule>
    <cfRule type="expression" priority="278" dxfId="7" stopIfTrue="1">
      <formula>AND(I31&lt;&gt;"",I31=Departments!$A$11)</formula>
    </cfRule>
    <cfRule type="expression" priority="279" dxfId="8" stopIfTrue="1">
      <formula>AND(I31&lt;&gt;"",I31=Departments!$A$12)</formula>
    </cfRule>
    <cfRule type="expression" priority="280" dxfId="9" stopIfTrue="1">
      <formula>AND(I31&lt;&gt;"",I31=Departments!$A$13)</formula>
    </cfRule>
  </conditionalFormatting>
  <conditionalFormatting sqref="I32:O33">
    <cfRule type="expression" priority="281" dxfId="0" stopIfTrue="1">
      <formula>I$32=""</formula>
    </cfRule>
  </conditionalFormatting>
  <conditionalFormatting sqref="I33:O33">
    <cfRule type="expression" priority="282" dxfId="1" stopIfTrue="1">
      <formula>AND($C$4&lt;&gt;"",I33=$C$4)</formula>
    </cfRule>
    <cfRule type="expression" priority="283" dxfId="2" stopIfTrue="1">
      <formula>AND(I33&lt;&gt;"",I33=Departments!$A$6)</formula>
    </cfRule>
    <cfRule type="expression" priority="284" dxfId="3" stopIfTrue="1">
      <formula>AND(I33&lt;&gt;"",I33=Departments!$A$7)</formula>
    </cfRule>
    <cfRule type="expression" priority="285" dxfId="4" stopIfTrue="1">
      <formula>AND(I33&lt;&gt;"",I33=Departments!$A$8)</formula>
    </cfRule>
    <cfRule type="expression" priority="286" dxfId="5" stopIfTrue="1">
      <formula>AND(I33&lt;&gt;"",I33=Departments!$A$9)</formula>
    </cfRule>
    <cfRule type="expression" priority="287" dxfId="6" stopIfTrue="1">
      <formula>AND(I33&lt;&gt;"",I33=Departments!$A$10)</formula>
    </cfRule>
    <cfRule type="expression" priority="288" dxfId="7" stopIfTrue="1">
      <formula>AND(I33&lt;&gt;"",I33=Departments!$A$11)</formula>
    </cfRule>
    <cfRule type="expression" priority="289" dxfId="8" stopIfTrue="1">
      <formula>AND(I33&lt;&gt;"",I33=Departments!$A$12)</formula>
    </cfRule>
    <cfRule type="expression" priority="290" dxfId="9" stopIfTrue="1">
      <formula>AND(I33&lt;&gt;"",I33=Departments!$A$13)</formula>
    </cfRule>
  </conditionalFormatting>
  <conditionalFormatting sqref="I34:O35">
    <cfRule type="expression" priority="291" dxfId="0" stopIfTrue="1">
      <formula>I$34=""</formula>
    </cfRule>
  </conditionalFormatting>
  <conditionalFormatting sqref="I35:O35">
    <cfRule type="expression" priority="292" dxfId="1" stopIfTrue="1">
      <formula>AND($C$4&lt;&gt;"",I35=$C$4)</formula>
    </cfRule>
    <cfRule type="expression" priority="293" dxfId="2" stopIfTrue="1">
      <formula>AND(I35&lt;&gt;"",I35=Departments!$A$6)</formula>
    </cfRule>
    <cfRule type="expression" priority="294" dxfId="3" stopIfTrue="1">
      <formula>AND(I35&lt;&gt;"",I35=Departments!$A$7)</formula>
    </cfRule>
    <cfRule type="expression" priority="295" dxfId="4" stopIfTrue="1">
      <formula>AND(I35&lt;&gt;"",I35=Departments!$A$8)</formula>
    </cfRule>
    <cfRule type="expression" priority="296" dxfId="5" stopIfTrue="1">
      <formula>AND(I35&lt;&gt;"",I35=Departments!$A$9)</formula>
    </cfRule>
    <cfRule type="expression" priority="297" dxfId="6" stopIfTrue="1">
      <formula>AND(I35&lt;&gt;"",I35=Departments!$A$10)</formula>
    </cfRule>
    <cfRule type="expression" priority="298" dxfId="7" stopIfTrue="1">
      <formula>AND(I35&lt;&gt;"",I35=Departments!$A$11)</formula>
    </cfRule>
    <cfRule type="expression" priority="299" dxfId="8" stopIfTrue="1">
      <formula>AND(I35&lt;&gt;"",I35=Departments!$A$12)</formula>
    </cfRule>
    <cfRule type="expression" priority="300" dxfId="9" stopIfTrue="1">
      <formula>AND(I35&lt;&gt;"",I35=Departments!$A$13)</formula>
    </cfRule>
  </conditionalFormatting>
  <conditionalFormatting sqref="Q24:W25">
    <cfRule type="expression" priority="301" dxfId="0" stopIfTrue="1">
      <formula>Q$24=""</formula>
    </cfRule>
  </conditionalFormatting>
  <conditionalFormatting sqref="Q25:W25">
    <cfRule type="expression" priority="302" dxfId="1" stopIfTrue="1">
      <formula>AND($C$4&lt;&gt;"",Q25=$C$4)</formula>
    </cfRule>
    <cfRule type="expression" priority="303" dxfId="2" stopIfTrue="1">
      <formula>AND(Q25&lt;&gt;"",Q25=Departments!$A$6)</formula>
    </cfRule>
    <cfRule type="expression" priority="304" dxfId="3" stopIfTrue="1">
      <formula>AND(Q25&lt;&gt;"",Q25=Departments!$A$7)</formula>
    </cfRule>
    <cfRule type="expression" priority="305" dxfId="4" stopIfTrue="1">
      <formula>AND(Q25&lt;&gt;"",Q25=Departments!$A$8)</formula>
    </cfRule>
    <cfRule type="expression" priority="306" dxfId="5" stopIfTrue="1">
      <formula>AND(Q25&lt;&gt;"",Q25=Departments!$A$9)</formula>
    </cfRule>
    <cfRule type="expression" priority="307" dxfId="6" stopIfTrue="1">
      <formula>AND(Q25&lt;&gt;"",Q25=Departments!$A$10)</formula>
    </cfRule>
    <cfRule type="expression" priority="308" dxfId="7" stopIfTrue="1">
      <formula>AND(Q25&lt;&gt;"",Q25=Departments!$A$11)</formula>
    </cfRule>
    <cfRule type="expression" priority="309" dxfId="8" stopIfTrue="1">
      <formula>AND(Q25&lt;&gt;"",Q25=Departments!$A$12)</formula>
    </cfRule>
    <cfRule type="expression" priority="310" dxfId="9" stopIfTrue="1">
      <formula>AND(Q25&lt;&gt;"",Q25=Departments!$A$13)</formula>
    </cfRule>
  </conditionalFormatting>
  <conditionalFormatting sqref="Q26:W27">
    <cfRule type="expression" priority="311" dxfId="0" stopIfTrue="1">
      <formula>Q$26=""</formula>
    </cfRule>
  </conditionalFormatting>
  <conditionalFormatting sqref="Q27:W27">
    <cfRule type="expression" priority="312" dxfId="1" stopIfTrue="1">
      <formula>AND($C$4&lt;&gt;"",Q27=$C$4)</formula>
    </cfRule>
    <cfRule type="expression" priority="313" dxfId="2" stopIfTrue="1">
      <formula>AND(Q27&lt;&gt;"",Q27=Departments!$A$6)</formula>
    </cfRule>
    <cfRule type="expression" priority="314" dxfId="3" stopIfTrue="1">
      <formula>AND(Q27&lt;&gt;"",Q27=Departments!$A$7)</formula>
    </cfRule>
    <cfRule type="expression" priority="315" dxfId="4" stopIfTrue="1">
      <formula>AND(Q27&lt;&gt;"",Q27=Departments!$A$8)</formula>
    </cfRule>
    <cfRule type="expression" priority="316" dxfId="5" stopIfTrue="1">
      <formula>AND(Q27&lt;&gt;"",Q27=Departments!$A$9)</formula>
    </cfRule>
    <cfRule type="expression" priority="317" dxfId="6" stopIfTrue="1">
      <formula>AND(Q27&lt;&gt;"",Q27=Departments!$A$10)</formula>
    </cfRule>
    <cfRule type="expression" priority="318" dxfId="7" stopIfTrue="1">
      <formula>AND(Q27&lt;&gt;"",Q27=Departments!$A$11)</formula>
    </cfRule>
    <cfRule type="expression" priority="319" dxfId="8" stopIfTrue="1">
      <formula>AND(Q27&lt;&gt;"",Q27=Departments!$A$12)</formula>
    </cfRule>
    <cfRule type="expression" priority="320" dxfId="9" stopIfTrue="1">
      <formula>AND(Q27&lt;&gt;"",Q27=Departments!$A$13)</formula>
    </cfRule>
  </conditionalFormatting>
  <conditionalFormatting sqref="Q28:W29">
    <cfRule type="expression" priority="321" dxfId="0" stopIfTrue="1">
      <formula>Q$28=""</formula>
    </cfRule>
  </conditionalFormatting>
  <conditionalFormatting sqref="Q29:W29">
    <cfRule type="expression" priority="322" dxfId="1" stopIfTrue="1">
      <formula>AND($C$4&lt;&gt;"",Q29=$C$4)</formula>
    </cfRule>
    <cfRule type="expression" priority="323" dxfId="2" stopIfTrue="1">
      <formula>AND(Q29&lt;&gt;"",Q29=Departments!$A$6)</formula>
    </cfRule>
    <cfRule type="expression" priority="324" dxfId="3" stopIfTrue="1">
      <formula>AND(Q29&lt;&gt;"",Q29=Departments!$A$7)</formula>
    </cfRule>
    <cfRule type="expression" priority="325" dxfId="4" stopIfTrue="1">
      <formula>AND(Q29&lt;&gt;"",Q29=Departments!$A$8)</formula>
    </cfRule>
    <cfRule type="expression" priority="326" dxfId="5" stopIfTrue="1">
      <formula>AND(Q29&lt;&gt;"",Q29=Departments!$A$9)</formula>
    </cfRule>
    <cfRule type="expression" priority="327" dxfId="6" stopIfTrue="1">
      <formula>AND(Q29&lt;&gt;"",Q29=Departments!$A$10)</formula>
    </cfRule>
    <cfRule type="expression" priority="328" dxfId="7" stopIfTrue="1">
      <formula>AND(Q29&lt;&gt;"",Q29=Departments!$A$11)</formula>
    </cfRule>
    <cfRule type="expression" priority="329" dxfId="8" stopIfTrue="1">
      <formula>AND(Q29&lt;&gt;"",Q29=Departments!$A$12)</formula>
    </cfRule>
    <cfRule type="expression" priority="330" dxfId="9" stopIfTrue="1">
      <formula>AND(Q29&lt;&gt;"",Q29=Departments!$A$13)</formula>
    </cfRule>
  </conditionalFormatting>
  <conditionalFormatting sqref="Q30:W31">
    <cfRule type="expression" priority="331" dxfId="0" stopIfTrue="1">
      <formula>Q$30=""</formula>
    </cfRule>
  </conditionalFormatting>
  <conditionalFormatting sqref="Q31:W31">
    <cfRule type="expression" priority="332" dxfId="1" stopIfTrue="1">
      <formula>AND($C$4&lt;&gt;"",Q31=$C$4)</formula>
    </cfRule>
    <cfRule type="expression" priority="333" dxfId="2" stopIfTrue="1">
      <formula>AND(Q31&lt;&gt;"",Q31=Departments!$A$6)</formula>
    </cfRule>
    <cfRule type="expression" priority="334" dxfId="3" stopIfTrue="1">
      <formula>AND(Q31&lt;&gt;"",Q31=Departments!$A$7)</formula>
    </cfRule>
    <cfRule type="expression" priority="335" dxfId="4" stopIfTrue="1">
      <formula>AND(Q31&lt;&gt;"",Q31=Departments!$A$8)</formula>
    </cfRule>
    <cfRule type="expression" priority="336" dxfId="5" stopIfTrue="1">
      <formula>AND(Q31&lt;&gt;"",Q31=Departments!$A$9)</formula>
    </cfRule>
    <cfRule type="expression" priority="337" dxfId="6" stopIfTrue="1">
      <formula>AND(Q31&lt;&gt;"",Q31=Departments!$A$10)</formula>
    </cfRule>
    <cfRule type="expression" priority="338" dxfId="7" stopIfTrue="1">
      <formula>AND(Q31&lt;&gt;"",Q31=Departments!$A$11)</formula>
    </cfRule>
    <cfRule type="expression" priority="339" dxfId="8" stopIfTrue="1">
      <formula>AND(Q31&lt;&gt;"",Q31=Departments!$A$12)</formula>
    </cfRule>
    <cfRule type="expression" priority="340" dxfId="9" stopIfTrue="1">
      <formula>AND(Q31&lt;&gt;"",Q31=Departments!$A$13)</formula>
    </cfRule>
  </conditionalFormatting>
  <conditionalFormatting sqref="Q32:W33">
    <cfRule type="expression" priority="341" dxfId="0" stopIfTrue="1">
      <formula>Q$32=""</formula>
    </cfRule>
  </conditionalFormatting>
  <conditionalFormatting sqref="Q33:W33">
    <cfRule type="expression" priority="342" dxfId="1" stopIfTrue="1">
      <formula>AND($C$4&lt;&gt;"",Q33=$C$4)</formula>
    </cfRule>
    <cfRule type="expression" priority="343" dxfId="2" stopIfTrue="1">
      <formula>AND(Q33&lt;&gt;"",Q33=Departments!$A$6)</formula>
    </cfRule>
    <cfRule type="expression" priority="344" dxfId="3" stopIfTrue="1">
      <formula>AND(Q33&lt;&gt;"",Q33=Departments!$A$7)</formula>
    </cfRule>
    <cfRule type="expression" priority="345" dxfId="4" stopIfTrue="1">
      <formula>AND(Q33&lt;&gt;"",Q33=Departments!$A$8)</formula>
    </cfRule>
    <cfRule type="expression" priority="346" dxfId="5" stopIfTrue="1">
      <formula>AND(Q33&lt;&gt;"",Q33=Departments!$A$9)</formula>
    </cfRule>
    <cfRule type="expression" priority="347" dxfId="6" stopIfTrue="1">
      <formula>AND(Q33&lt;&gt;"",Q33=Departments!$A$10)</formula>
    </cfRule>
    <cfRule type="expression" priority="348" dxfId="7" stopIfTrue="1">
      <formula>AND(Q33&lt;&gt;"",Q33=Departments!$A$11)</formula>
    </cfRule>
    <cfRule type="expression" priority="349" dxfId="8" stopIfTrue="1">
      <formula>AND(Q33&lt;&gt;"",Q33=Departments!$A$12)</formula>
    </cfRule>
    <cfRule type="expression" priority="350" dxfId="9" stopIfTrue="1">
      <formula>AND(Q33&lt;&gt;"",Q33=Departments!$A$13)</formula>
    </cfRule>
  </conditionalFormatting>
  <conditionalFormatting sqref="Q34:W35">
    <cfRule type="expression" priority="351" dxfId="0" stopIfTrue="1">
      <formula>Q$34=""</formula>
    </cfRule>
  </conditionalFormatting>
  <conditionalFormatting sqref="Q35:W35">
    <cfRule type="expression" priority="352" dxfId="1" stopIfTrue="1">
      <formula>AND($C$4&lt;&gt;"",Q35=$C$4)</formula>
    </cfRule>
    <cfRule type="expression" priority="353" dxfId="2" stopIfTrue="1">
      <formula>AND(Q35&lt;&gt;"",Q35=Departments!$A$6)</formula>
    </cfRule>
    <cfRule type="expression" priority="354" dxfId="3" stopIfTrue="1">
      <formula>AND(Q35&lt;&gt;"",Q35=Departments!$A$7)</formula>
    </cfRule>
    <cfRule type="expression" priority="355" dxfId="4" stopIfTrue="1">
      <formula>AND(Q35&lt;&gt;"",Q35=Departments!$A$8)</formula>
    </cfRule>
    <cfRule type="expression" priority="356" dxfId="5" stopIfTrue="1">
      <formula>AND(Q35&lt;&gt;"",Q35=Departments!$A$9)</formula>
    </cfRule>
    <cfRule type="expression" priority="357" dxfId="6" stopIfTrue="1">
      <formula>AND(Q35&lt;&gt;"",Q35=Departments!$A$10)</formula>
    </cfRule>
    <cfRule type="expression" priority="358" dxfId="7" stopIfTrue="1">
      <formula>AND(Q35&lt;&gt;"",Q35=Departments!$A$11)</formula>
    </cfRule>
    <cfRule type="expression" priority="359" dxfId="8" stopIfTrue="1">
      <formula>AND(Q35&lt;&gt;"",Q35=Departments!$A$12)</formula>
    </cfRule>
    <cfRule type="expression" priority="360" dxfId="9" stopIfTrue="1">
      <formula>AND(Q35&lt;&gt;"",Q35=Departments!$A$13)</formula>
    </cfRule>
  </conditionalFormatting>
  <conditionalFormatting sqref="A40:G41">
    <cfRule type="expression" priority="361" dxfId="0" stopIfTrue="1">
      <formula>A$40=""</formula>
    </cfRule>
  </conditionalFormatting>
  <conditionalFormatting sqref="A41:G41">
    <cfRule type="expression" priority="362" dxfId="1" stopIfTrue="1">
      <formula>AND($C$4&lt;&gt;"",A41=$C$4)</formula>
    </cfRule>
    <cfRule type="expression" priority="363" dxfId="2" stopIfTrue="1">
      <formula>AND(A41&lt;&gt;"",A41=Departments!$A$6)</formula>
    </cfRule>
    <cfRule type="expression" priority="364" dxfId="3" stopIfTrue="1">
      <formula>AND(A41&lt;&gt;"",A41=Departments!$A$7)</formula>
    </cfRule>
    <cfRule type="expression" priority="365" dxfId="4" stopIfTrue="1">
      <formula>AND(A41&lt;&gt;"",A41=Departments!$A$8)</formula>
    </cfRule>
    <cfRule type="expression" priority="366" dxfId="5" stopIfTrue="1">
      <formula>AND(A41&lt;&gt;"",A41=Departments!$A$9)</formula>
    </cfRule>
    <cfRule type="expression" priority="367" dxfId="6" stopIfTrue="1">
      <formula>AND(A41&lt;&gt;"",A41=Departments!$A$10)</formula>
    </cfRule>
    <cfRule type="expression" priority="368" dxfId="7" stopIfTrue="1">
      <formula>AND(A41&lt;&gt;"",A41=Departments!$A$11)</formula>
    </cfRule>
    <cfRule type="expression" priority="369" dxfId="8" stopIfTrue="1">
      <formula>AND(A41&lt;&gt;"",A41=Departments!$A$12)</formula>
    </cfRule>
    <cfRule type="expression" priority="370" dxfId="9" stopIfTrue="1">
      <formula>AND(A41&lt;&gt;"",A41=Departments!$A$13)</formula>
    </cfRule>
  </conditionalFormatting>
  <conditionalFormatting sqref="A42:G43">
    <cfRule type="expression" priority="371" dxfId="0" stopIfTrue="1">
      <formula>A$42=""</formula>
    </cfRule>
  </conditionalFormatting>
  <conditionalFormatting sqref="A43:G43">
    <cfRule type="expression" priority="372" dxfId="1" stopIfTrue="1">
      <formula>AND($C$4&lt;&gt;"",A43=$C$4)</formula>
    </cfRule>
    <cfRule type="expression" priority="373" dxfId="2" stopIfTrue="1">
      <formula>AND(A43&lt;&gt;"",A43=Departments!$A$6)</formula>
    </cfRule>
    <cfRule type="expression" priority="374" dxfId="3" stopIfTrue="1">
      <formula>AND(A43&lt;&gt;"",A43=Departments!$A$7)</formula>
    </cfRule>
    <cfRule type="expression" priority="375" dxfId="4" stopIfTrue="1">
      <formula>AND(A43&lt;&gt;"",A43=Departments!$A$8)</formula>
    </cfRule>
    <cfRule type="expression" priority="376" dxfId="5" stopIfTrue="1">
      <formula>AND(A43&lt;&gt;"",A43=Departments!$A$9)</formula>
    </cfRule>
    <cfRule type="expression" priority="377" dxfId="6" stopIfTrue="1">
      <formula>AND(A43&lt;&gt;"",A43=Departments!$A$10)</formula>
    </cfRule>
    <cfRule type="expression" priority="378" dxfId="7" stopIfTrue="1">
      <formula>AND(A43&lt;&gt;"",A43=Departments!$A$11)</formula>
    </cfRule>
    <cfRule type="expression" priority="379" dxfId="8" stopIfTrue="1">
      <formula>AND(A43&lt;&gt;"",A43=Departments!$A$12)</formula>
    </cfRule>
    <cfRule type="expression" priority="380" dxfId="9" stopIfTrue="1">
      <formula>AND(A43&lt;&gt;"",A43=Departments!$A$13)</formula>
    </cfRule>
  </conditionalFormatting>
  <conditionalFormatting sqref="A44:G45">
    <cfRule type="expression" priority="381" dxfId="0" stopIfTrue="1">
      <formula>A$44=""</formula>
    </cfRule>
  </conditionalFormatting>
  <conditionalFormatting sqref="A45:G45">
    <cfRule type="expression" priority="382" dxfId="1" stopIfTrue="1">
      <formula>AND($C$4&lt;&gt;"",A45=$C$4)</formula>
    </cfRule>
    <cfRule type="expression" priority="383" dxfId="2" stopIfTrue="1">
      <formula>AND(A45&lt;&gt;"",A45=Departments!$A$6)</formula>
    </cfRule>
    <cfRule type="expression" priority="384" dxfId="3" stopIfTrue="1">
      <formula>AND(A45&lt;&gt;"",A45=Departments!$A$7)</formula>
    </cfRule>
    <cfRule type="expression" priority="385" dxfId="4" stopIfTrue="1">
      <formula>AND(A45&lt;&gt;"",A45=Departments!$A$8)</formula>
    </cfRule>
    <cfRule type="expression" priority="386" dxfId="5" stopIfTrue="1">
      <formula>AND(A45&lt;&gt;"",A45=Departments!$A$9)</formula>
    </cfRule>
    <cfRule type="expression" priority="387" dxfId="6" stopIfTrue="1">
      <formula>AND(A45&lt;&gt;"",A45=Departments!$A$10)</formula>
    </cfRule>
    <cfRule type="expression" priority="388" dxfId="7" stopIfTrue="1">
      <formula>AND(A45&lt;&gt;"",A45=Departments!$A$11)</formula>
    </cfRule>
    <cfRule type="expression" priority="389" dxfId="8" stopIfTrue="1">
      <formula>AND(A45&lt;&gt;"",A45=Departments!$A$12)</formula>
    </cfRule>
    <cfRule type="expression" priority="390" dxfId="9" stopIfTrue="1">
      <formula>AND(A45&lt;&gt;"",A45=Departments!$A$13)</formula>
    </cfRule>
  </conditionalFormatting>
  <conditionalFormatting sqref="A46:G47">
    <cfRule type="expression" priority="391" dxfId="0" stopIfTrue="1">
      <formula>A$46=""</formula>
    </cfRule>
  </conditionalFormatting>
  <conditionalFormatting sqref="A47:G47">
    <cfRule type="expression" priority="392" dxfId="1" stopIfTrue="1">
      <formula>AND($C$4&lt;&gt;"",A47=$C$4)</formula>
    </cfRule>
    <cfRule type="expression" priority="393" dxfId="2" stopIfTrue="1">
      <formula>AND(A47&lt;&gt;"",A47=Departments!$A$6)</formula>
    </cfRule>
    <cfRule type="expression" priority="394" dxfId="3" stopIfTrue="1">
      <formula>AND(A47&lt;&gt;"",A47=Departments!$A$7)</formula>
    </cfRule>
    <cfRule type="expression" priority="395" dxfId="4" stopIfTrue="1">
      <formula>AND(A47&lt;&gt;"",A47=Departments!$A$8)</formula>
    </cfRule>
    <cfRule type="expression" priority="396" dxfId="5" stopIfTrue="1">
      <formula>AND(A47&lt;&gt;"",A47=Departments!$A$9)</formula>
    </cfRule>
    <cfRule type="expression" priority="397" dxfId="6" stopIfTrue="1">
      <formula>AND(A47&lt;&gt;"",A47=Departments!$A$10)</formula>
    </cfRule>
    <cfRule type="expression" priority="398" dxfId="7" stopIfTrue="1">
      <formula>AND(A47&lt;&gt;"",A47=Departments!$A$11)</formula>
    </cfRule>
    <cfRule type="expression" priority="399" dxfId="8" stopIfTrue="1">
      <formula>AND(A47&lt;&gt;"",A47=Departments!$A$12)</formula>
    </cfRule>
    <cfRule type="expression" priority="400" dxfId="9" stopIfTrue="1">
      <formula>AND(A47&lt;&gt;"",A47=Departments!$A$13)</formula>
    </cfRule>
  </conditionalFormatting>
  <conditionalFormatting sqref="A48:G49">
    <cfRule type="expression" priority="401" dxfId="0" stopIfTrue="1">
      <formula>A$48=""</formula>
    </cfRule>
  </conditionalFormatting>
  <conditionalFormatting sqref="A49:G49">
    <cfRule type="expression" priority="402" dxfId="1" stopIfTrue="1">
      <formula>AND($C$4&lt;&gt;"",A49=$C$4)</formula>
    </cfRule>
    <cfRule type="expression" priority="403" dxfId="2" stopIfTrue="1">
      <formula>AND(A49&lt;&gt;"",A49=Departments!$A$6)</formula>
    </cfRule>
    <cfRule type="expression" priority="404" dxfId="3" stopIfTrue="1">
      <formula>AND(A49&lt;&gt;"",A49=Departments!$A$7)</formula>
    </cfRule>
    <cfRule type="expression" priority="405" dxfId="4" stopIfTrue="1">
      <formula>AND(A49&lt;&gt;"",A49=Departments!$A$8)</formula>
    </cfRule>
    <cfRule type="expression" priority="406" dxfId="5" stopIfTrue="1">
      <formula>AND(A49&lt;&gt;"",A49=Departments!$A$9)</formula>
    </cfRule>
    <cfRule type="expression" priority="407" dxfId="6" stopIfTrue="1">
      <formula>AND(A49&lt;&gt;"",A49=Departments!$A$10)</formula>
    </cfRule>
    <cfRule type="expression" priority="408" dxfId="7" stopIfTrue="1">
      <formula>AND(A49&lt;&gt;"",A49=Departments!$A$11)</formula>
    </cfRule>
    <cfRule type="expression" priority="409" dxfId="8" stopIfTrue="1">
      <formula>AND(A49&lt;&gt;"",A49=Departments!$A$12)</formula>
    </cfRule>
    <cfRule type="expression" priority="410" dxfId="9" stopIfTrue="1">
      <formula>AND(A49&lt;&gt;"",A49=Departments!$A$13)</formula>
    </cfRule>
  </conditionalFormatting>
  <conditionalFormatting sqref="A50:G51">
    <cfRule type="expression" priority="411" dxfId="0" stopIfTrue="1">
      <formula>A$50=""</formula>
    </cfRule>
  </conditionalFormatting>
  <conditionalFormatting sqref="A51:G51">
    <cfRule type="expression" priority="412" dxfId="1" stopIfTrue="1">
      <formula>AND($C$4&lt;&gt;"",A51=$C$4)</formula>
    </cfRule>
    <cfRule type="expression" priority="413" dxfId="2" stopIfTrue="1">
      <formula>AND(A51&lt;&gt;"",A51=Departments!$A$6)</formula>
    </cfRule>
    <cfRule type="expression" priority="414" dxfId="3" stopIfTrue="1">
      <formula>AND(A51&lt;&gt;"",A51=Departments!$A$7)</formula>
    </cfRule>
    <cfRule type="expression" priority="415" dxfId="4" stopIfTrue="1">
      <formula>AND(A51&lt;&gt;"",A51=Departments!$A$8)</formula>
    </cfRule>
    <cfRule type="expression" priority="416" dxfId="5" stopIfTrue="1">
      <formula>AND(A51&lt;&gt;"",A51=Departments!$A$9)</formula>
    </cfRule>
    <cfRule type="expression" priority="417" dxfId="6" stopIfTrue="1">
      <formula>AND(A51&lt;&gt;"",A51=Departments!$A$10)</formula>
    </cfRule>
    <cfRule type="expression" priority="418" dxfId="7" stopIfTrue="1">
      <formula>AND(A51&lt;&gt;"",A51=Departments!$A$11)</formula>
    </cfRule>
    <cfRule type="expression" priority="419" dxfId="8" stopIfTrue="1">
      <formula>AND(A51&lt;&gt;"",A51=Departments!$A$12)</formula>
    </cfRule>
    <cfRule type="expression" priority="420" dxfId="9" stopIfTrue="1">
      <formula>AND(A51&lt;&gt;"",A51=Departments!$A$13)</formula>
    </cfRule>
  </conditionalFormatting>
  <conditionalFormatting sqref="I40:O41">
    <cfRule type="expression" priority="421" dxfId="0" stopIfTrue="1">
      <formula>I$40=""</formula>
    </cfRule>
  </conditionalFormatting>
  <conditionalFormatting sqref="I41:O41">
    <cfRule type="expression" priority="422" dxfId="1" stopIfTrue="1">
      <formula>AND($C$4&lt;&gt;"",I41=$C$4)</formula>
    </cfRule>
    <cfRule type="expression" priority="423" dxfId="2" stopIfTrue="1">
      <formula>AND(I41&lt;&gt;"",I41=Departments!$A$6)</formula>
    </cfRule>
    <cfRule type="expression" priority="424" dxfId="3" stopIfTrue="1">
      <formula>AND(I41&lt;&gt;"",I41=Departments!$A$7)</formula>
    </cfRule>
    <cfRule type="expression" priority="425" dxfId="4" stopIfTrue="1">
      <formula>AND(I41&lt;&gt;"",I41=Departments!$A$8)</formula>
    </cfRule>
    <cfRule type="expression" priority="426" dxfId="5" stopIfTrue="1">
      <formula>AND(I41&lt;&gt;"",I41=Departments!$A$9)</formula>
    </cfRule>
    <cfRule type="expression" priority="427" dxfId="6" stopIfTrue="1">
      <formula>AND(I41&lt;&gt;"",I41=Departments!$A$10)</formula>
    </cfRule>
    <cfRule type="expression" priority="428" dxfId="7" stopIfTrue="1">
      <formula>AND(I41&lt;&gt;"",I41=Departments!$A$11)</formula>
    </cfRule>
    <cfRule type="expression" priority="429" dxfId="8" stopIfTrue="1">
      <formula>AND(I41&lt;&gt;"",I41=Departments!$A$12)</formula>
    </cfRule>
    <cfRule type="expression" priority="430" dxfId="9" stopIfTrue="1">
      <formula>AND(I41&lt;&gt;"",I41=Departments!$A$13)</formula>
    </cfRule>
  </conditionalFormatting>
  <conditionalFormatting sqref="I42:O43">
    <cfRule type="expression" priority="431" dxfId="0" stopIfTrue="1">
      <formula>I$42=""</formula>
    </cfRule>
  </conditionalFormatting>
  <conditionalFormatting sqref="I43:O43">
    <cfRule type="expression" priority="432" dxfId="1" stopIfTrue="1">
      <formula>AND($C$4&lt;&gt;"",I43=$C$4)</formula>
    </cfRule>
    <cfRule type="expression" priority="433" dxfId="2" stopIfTrue="1">
      <formula>AND(I43&lt;&gt;"",I43=Departments!$A$6)</formula>
    </cfRule>
    <cfRule type="expression" priority="434" dxfId="3" stopIfTrue="1">
      <formula>AND(I43&lt;&gt;"",I43=Departments!$A$7)</formula>
    </cfRule>
    <cfRule type="expression" priority="435" dxfId="4" stopIfTrue="1">
      <formula>AND(I43&lt;&gt;"",I43=Departments!$A$8)</formula>
    </cfRule>
    <cfRule type="expression" priority="436" dxfId="5" stopIfTrue="1">
      <formula>AND(I43&lt;&gt;"",I43=Departments!$A$9)</formula>
    </cfRule>
    <cfRule type="expression" priority="437" dxfId="6" stopIfTrue="1">
      <formula>AND(I43&lt;&gt;"",I43=Departments!$A$10)</formula>
    </cfRule>
    <cfRule type="expression" priority="438" dxfId="7" stopIfTrue="1">
      <formula>AND(I43&lt;&gt;"",I43=Departments!$A$11)</formula>
    </cfRule>
    <cfRule type="expression" priority="439" dxfId="8" stopIfTrue="1">
      <formula>AND(I43&lt;&gt;"",I43=Departments!$A$12)</formula>
    </cfRule>
    <cfRule type="expression" priority="440" dxfId="9" stopIfTrue="1">
      <formula>AND(I43&lt;&gt;"",I43=Departments!$A$13)</formula>
    </cfRule>
  </conditionalFormatting>
  <conditionalFormatting sqref="I44:O45">
    <cfRule type="expression" priority="441" dxfId="0" stopIfTrue="1">
      <formula>I$44=""</formula>
    </cfRule>
  </conditionalFormatting>
  <conditionalFormatting sqref="I45:O45">
    <cfRule type="expression" priority="442" dxfId="1" stopIfTrue="1">
      <formula>AND($C$4&lt;&gt;"",I45=$C$4)</formula>
    </cfRule>
    <cfRule type="expression" priority="443" dxfId="2" stopIfTrue="1">
      <formula>AND(I45&lt;&gt;"",I45=Departments!$A$6)</formula>
    </cfRule>
    <cfRule type="expression" priority="444" dxfId="3" stopIfTrue="1">
      <formula>AND(I45&lt;&gt;"",I45=Departments!$A$7)</formula>
    </cfRule>
    <cfRule type="expression" priority="445" dxfId="4" stopIfTrue="1">
      <formula>AND(I45&lt;&gt;"",I45=Departments!$A$8)</formula>
    </cfRule>
    <cfRule type="expression" priority="446" dxfId="5" stopIfTrue="1">
      <formula>AND(I45&lt;&gt;"",I45=Departments!$A$9)</formula>
    </cfRule>
    <cfRule type="expression" priority="447" dxfId="6" stopIfTrue="1">
      <formula>AND(I45&lt;&gt;"",I45=Departments!$A$10)</formula>
    </cfRule>
    <cfRule type="expression" priority="448" dxfId="7" stopIfTrue="1">
      <formula>AND(I45&lt;&gt;"",I45=Departments!$A$11)</formula>
    </cfRule>
    <cfRule type="expression" priority="449" dxfId="8" stopIfTrue="1">
      <formula>AND(I45&lt;&gt;"",I45=Departments!$A$12)</formula>
    </cfRule>
    <cfRule type="expression" priority="450" dxfId="9" stopIfTrue="1">
      <formula>AND(I45&lt;&gt;"",I45=Departments!$A$13)</formula>
    </cfRule>
  </conditionalFormatting>
  <conditionalFormatting sqref="I46:O47">
    <cfRule type="expression" priority="451" dxfId="0" stopIfTrue="1">
      <formula>I$46=""</formula>
    </cfRule>
  </conditionalFormatting>
  <conditionalFormatting sqref="I47:O47">
    <cfRule type="expression" priority="452" dxfId="1" stopIfTrue="1">
      <formula>AND($C$4&lt;&gt;"",I47=$C$4)</formula>
    </cfRule>
    <cfRule type="expression" priority="453" dxfId="2" stopIfTrue="1">
      <formula>AND(I47&lt;&gt;"",I47=Departments!$A$6)</formula>
    </cfRule>
    <cfRule type="expression" priority="454" dxfId="3" stopIfTrue="1">
      <formula>AND(I47&lt;&gt;"",I47=Departments!$A$7)</formula>
    </cfRule>
    <cfRule type="expression" priority="455" dxfId="4" stopIfTrue="1">
      <formula>AND(I47&lt;&gt;"",I47=Departments!$A$8)</formula>
    </cfRule>
    <cfRule type="expression" priority="456" dxfId="5" stopIfTrue="1">
      <formula>AND(I47&lt;&gt;"",I47=Departments!$A$9)</formula>
    </cfRule>
    <cfRule type="expression" priority="457" dxfId="6" stopIfTrue="1">
      <formula>AND(I47&lt;&gt;"",I47=Departments!$A$10)</formula>
    </cfRule>
    <cfRule type="expression" priority="458" dxfId="7" stopIfTrue="1">
      <formula>AND(I47&lt;&gt;"",I47=Departments!$A$11)</formula>
    </cfRule>
    <cfRule type="expression" priority="459" dxfId="8" stopIfTrue="1">
      <formula>AND(I47&lt;&gt;"",I47=Departments!$A$12)</formula>
    </cfRule>
    <cfRule type="expression" priority="460" dxfId="9" stopIfTrue="1">
      <formula>AND(I47&lt;&gt;"",I47=Departments!$A$13)</formula>
    </cfRule>
  </conditionalFormatting>
  <conditionalFormatting sqref="I48:O49">
    <cfRule type="expression" priority="461" dxfId="0" stopIfTrue="1">
      <formula>I$48=""</formula>
    </cfRule>
  </conditionalFormatting>
  <conditionalFormatting sqref="I49:O49">
    <cfRule type="expression" priority="462" dxfId="1" stopIfTrue="1">
      <formula>AND($C$4&lt;&gt;"",I49=$C$4)</formula>
    </cfRule>
    <cfRule type="expression" priority="463" dxfId="2" stopIfTrue="1">
      <formula>AND(I49&lt;&gt;"",I49=Departments!$A$6)</formula>
    </cfRule>
    <cfRule type="expression" priority="464" dxfId="3" stopIfTrue="1">
      <formula>AND(I49&lt;&gt;"",I49=Departments!$A$7)</formula>
    </cfRule>
    <cfRule type="expression" priority="465" dxfId="4" stopIfTrue="1">
      <formula>AND(I49&lt;&gt;"",I49=Departments!$A$8)</formula>
    </cfRule>
    <cfRule type="expression" priority="466" dxfId="5" stopIfTrue="1">
      <formula>AND(I49&lt;&gt;"",I49=Departments!$A$9)</formula>
    </cfRule>
    <cfRule type="expression" priority="467" dxfId="6" stopIfTrue="1">
      <formula>AND(I49&lt;&gt;"",I49=Departments!$A$10)</formula>
    </cfRule>
    <cfRule type="expression" priority="468" dxfId="7" stopIfTrue="1">
      <formula>AND(I49&lt;&gt;"",I49=Departments!$A$11)</formula>
    </cfRule>
    <cfRule type="expression" priority="469" dxfId="8" stopIfTrue="1">
      <formula>AND(I49&lt;&gt;"",I49=Departments!$A$12)</formula>
    </cfRule>
    <cfRule type="expression" priority="470" dxfId="9" stopIfTrue="1">
      <formula>AND(I49&lt;&gt;"",I49=Departments!$A$13)</formula>
    </cfRule>
  </conditionalFormatting>
  <conditionalFormatting sqref="I50:O51">
    <cfRule type="expression" priority="471" dxfId="0" stopIfTrue="1">
      <formula>I$50=""</formula>
    </cfRule>
  </conditionalFormatting>
  <conditionalFormatting sqref="I51:O51">
    <cfRule type="expression" priority="472" dxfId="1" stopIfTrue="1">
      <formula>AND($C$4&lt;&gt;"",I51=$C$4)</formula>
    </cfRule>
    <cfRule type="expression" priority="473" dxfId="2" stopIfTrue="1">
      <formula>AND(I51&lt;&gt;"",I51=Departments!$A$6)</formula>
    </cfRule>
    <cfRule type="expression" priority="474" dxfId="3" stopIfTrue="1">
      <formula>AND(I51&lt;&gt;"",I51=Departments!$A$7)</formula>
    </cfRule>
    <cfRule type="expression" priority="475" dxfId="4" stopIfTrue="1">
      <formula>AND(I51&lt;&gt;"",I51=Departments!$A$8)</formula>
    </cfRule>
    <cfRule type="expression" priority="476" dxfId="5" stopIfTrue="1">
      <formula>AND(I51&lt;&gt;"",I51=Departments!$A$9)</formula>
    </cfRule>
    <cfRule type="expression" priority="477" dxfId="6" stopIfTrue="1">
      <formula>AND(I51&lt;&gt;"",I51=Departments!$A$10)</formula>
    </cfRule>
    <cfRule type="expression" priority="478" dxfId="7" stopIfTrue="1">
      <formula>AND(I51&lt;&gt;"",I51=Departments!$A$11)</formula>
    </cfRule>
    <cfRule type="expression" priority="479" dxfId="8" stopIfTrue="1">
      <formula>AND(I51&lt;&gt;"",I51=Departments!$A$12)</formula>
    </cfRule>
    <cfRule type="expression" priority="480" dxfId="9" stopIfTrue="1">
      <formula>AND(I51&lt;&gt;"",I51=Departments!$A$13)</formula>
    </cfRule>
  </conditionalFormatting>
  <conditionalFormatting sqref="Q40:W41">
    <cfRule type="expression" priority="481" dxfId="0" stopIfTrue="1">
      <formula>Q$40=""</formula>
    </cfRule>
  </conditionalFormatting>
  <conditionalFormatting sqref="Q41:W41">
    <cfRule type="expression" priority="482" dxfId="1" stopIfTrue="1">
      <formula>AND($C$4&lt;&gt;"",Q41=$C$4)</formula>
    </cfRule>
    <cfRule type="expression" priority="483" dxfId="2" stopIfTrue="1">
      <formula>AND(Q41&lt;&gt;"",Q41=Departments!$A$6)</formula>
    </cfRule>
    <cfRule type="expression" priority="484" dxfId="3" stopIfTrue="1">
      <formula>AND(Q41&lt;&gt;"",Q41=Departments!$A$7)</formula>
    </cfRule>
    <cfRule type="expression" priority="485" dxfId="4" stopIfTrue="1">
      <formula>AND(Q41&lt;&gt;"",Q41=Departments!$A$8)</formula>
    </cfRule>
    <cfRule type="expression" priority="486" dxfId="5" stopIfTrue="1">
      <formula>AND(Q41&lt;&gt;"",Q41=Departments!$A$9)</formula>
    </cfRule>
    <cfRule type="expression" priority="487" dxfId="6" stopIfTrue="1">
      <formula>AND(Q41&lt;&gt;"",Q41=Departments!$A$10)</formula>
    </cfRule>
    <cfRule type="expression" priority="488" dxfId="7" stopIfTrue="1">
      <formula>AND(Q41&lt;&gt;"",Q41=Departments!$A$11)</formula>
    </cfRule>
    <cfRule type="expression" priority="489" dxfId="8" stopIfTrue="1">
      <formula>AND(Q41&lt;&gt;"",Q41=Departments!$A$12)</formula>
    </cfRule>
    <cfRule type="expression" priority="490" dxfId="9" stopIfTrue="1">
      <formula>AND(Q41&lt;&gt;"",Q41=Departments!$A$13)</formula>
    </cfRule>
  </conditionalFormatting>
  <conditionalFormatting sqref="Q42:W43">
    <cfRule type="expression" priority="491" dxfId="0" stopIfTrue="1">
      <formula>Q$42=""</formula>
    </cfRule>
  </conditionalFormatting>
  <conditionalFormatting sqref="Q43:W43">
    <cfRule type="expression" priority="492" dxfId="1" stopIfTrue="1">
      <formula>AND($C$4&lt;&gt;"",Q43=$C$4)</formula>
    </cfRule>
    <cfRule type="expression" priority="493" dxfId="2" stopIfTrue="1">
      <formula>AND(Q43&lt;&gt;"",Q43=Departments!$A$6)</formula>
    </cfRule>
    <cfRule type="expression" priority="494" dxfId="3" stopIfTrue="1">
      <formula>AND(Q43&lt;&gt;"",Q43=Departments!$A$7)</formula>
    </cfRule>
    <cfRule type="expression" priority="495" dxfId="4" stopIfTrue="1">
      <formula>AND(Q43&lt;&gt;"",Q43=Departments!$A$8)</formula>
    </cfRule>
    <cfRule type="expression" priority="496" dxfId="5" stopIfTrue="1">
      <formula>AND(Q43&lt;&gt;"",Q43=Departments!$A$9)</formula>
    </cfRule>
    <cfRule type="expression" priority="497" dxfId="6" stopIfTrue="1">
      <formula>AND(Q43&lt;&gt;"",Q43=Departments!$A$10)</formula>
    </cfRule>
    <cfRule type="expression" priority="498" dxfId="7" stopIfTrue="1">
      <formula>AND(Q43&lt;&gt;"",Q43=Departments!$A$11)</formula>
    </cfRule>
    <cfRule type="expression" priority="499" dxfId="8" stopIfTrue="1">
      <formula>AND(Q43&lt;&gt;"",Q43=Departments!$A$12)</formula>
    </cfRule>
    <cfRule type="expression" priority="500" dxfId="9" stopIfTrue="1">
      <formula>AND(Q43&lt;&gt;"",Q43=Departments!$A$13)</formula>
    </cfRule>
  </conditionalFormatting>
  <conditionalFormatting sqref="Q44:W45">
    <cfRule type="expression" priority="501" dxfId="0" stopIfTrue="1">
      <formula>Q$44=""</formula>
    </cfRule>
  </conditionalFormatting>
  <conditionalFormatting sqref="Q45:W45">
    <cfRule type="expression" priority="502" dxfId="1" stopIfTrue="1">
      <formula>AND($C$4&lt;&gt;"",Q45=$C$4)</formula>
    </cfRule>
    <cfRule type="expression" priority="503" dxfId="2" stopIfTrue="1">
      <formula>AND(Q45&lt;&gt;"",Q45=Departments!$A$6)</formula>
    </cfRule>
    <cfRule type="expression" priority="504" dxfId="3" stopIfTrue="1">
      <formula>AND(Q45&lt;&gt;"",Q45=Departments!$A$7)</formula>
    </cfRule>
    <cfRule type="expression" priority="505" dxfId="4" stopIfTrue="1">
      <formula>AND(Q45&lt;&gt;"",Q45=Departments!$A$8)</formula>
    </cfRule>
    <cfRule type="expression" priority="506" dxfId="5" stopIfTrue="1">
      <formula>AND(Q45&lt;&gt;"",Q45=Departments!$A$9)</formula>
    </cfRule>
    <cfRule type="expression" priority="507" dxfId="6" stopIfTrue="1">
      <formula>AND(Q45&lt;&gt;"",Q45=Departments!$A$10)</formula>
    </cfRule>
    <cfRule type="expression" priority="508" dxfId="7" stopIfTrue="1">
      <formula>AND(Q45&lt;&gt;"",Q45=Departments!$A$11)</formula>
    </cfRule>
    <cfRule type="expression" priority="509" dxfId="8" stopIfTrue="1">
      <formula>AND(Q45&lt;&gt;"",Q45=Departments!$A$12)</formula>
    </cfRule>
    <cfRule type="expression" priority="510" dxfId="9" stopIfTrue="1">
      <formula>AND(Q45&lt;&gt;"",Q45=Departments!$A$13)</formula>
    </cfRule>
  </conditionalFormatting>
  <conditionalFormatting sqref="Q46:W47">
    <cfRule type="expression" priority="511" dxfId="0" stopIfTrue="1">
      <formula>Q$46=""</formula>
    </cfRule>
  </conditionalFormatting>
  <conditionalFormatting sqref="Q47:W47">
    <cfRule type="expression" priority="512" dxfId="1" stopIfTrue="1">
      <formula>AND($C$4&lt;&gt;"",Q47=$C$4)</formula>
    </cfRule>
    <cfRule type="expression" priority="513" dxfId="2" stopIfTrue="1">
      <formula>AND(Q47&lt;&gt;"",Q47=Departments!$A$6)</formula>
    </cfRule>
    <cfRule type="expression" priority="514" dxfId="3" stopIfTrue="1">
      <formula>AND(Q47&lt;&gt;"",Q47=Departments!$A$7)</formula>
    </cfRule>
    <cfRule type="expression" priority="515" dxfId="4" stopIfTrue="1">
      <formula>AND(Q47&lt;&gt;"",Q47=Departments!$A$8)</formula>
    </cfRule>
    <cfRule type="expression" priority="516" dxfId="5" stopIfTrue="1">
      <formula>AND(Q47&lt;&gt;"",Q47=Departments!$A$9)</formula>
    </cfRule>
    <cfRule type="expression" priority="517" dxfId="6" stopIfTrue="1">
      <formula>AND(Q47&lt;&gt;"",Q47=Departments!$A$10)</formula>
    </cfRule>
    <cfRule type="expression" priority="518" dxfId="7" stopIfTrue="1">
      <formula>AND(Q47&lt;&gt;"",Q47=Departments!$A$11)</formula>
    </cfRule>
    <cfRule type="expression" priority="519" dxfId="8" stopIfTrue="1">
      <formula>AND(Q47&lt;&gt;"",Q47=Departments!$A$12)</formula>
    </cfRule>
    <cfRule type="expression" priority="520" dxfId="9" stopIfTrue="1">
      <formula>AND(Q47&lt;&gt;"",Q47=Departments!$A$13)</formula>
    </cfRule>
  </conditionalFormatting>
  <conditionalFormatting sqref="Q48:W49">
    <cfRule type="expression" priority="521" dxfId="0" stopIfTrue="1">
      <formula>Q$48=""</formula>
    </cfRule>
  </conditionalFormatting>
  <conditionalFormatting sqref="Q49:W49">
    <cfRule type="expression" priority="522" dxfId="1" stopIfTrue="1">
      <formula>AND($C$4&lt;&gt;"",Q49=$C$4)</formula>
    </cfRule>
    <cfRule type="expression" priority="523" dxfId="2" stopIfTrue="1">
      <formula>AND(Q49&lt;&gt;"",Q49=Departments!$A$6)</formula>
    </cfRule>
    <cfRule type="expression" priority="524" dxfId="3" stopIfTrue="1">
      <formula>AND(Q49&lt;&gt;"",Q49=Departments!$A$7)</formula>
    </cfRule>
    <cfRule type="expression" priority="525" dxfId="4" stopIfTrue="1">
      <formula>AND(Q49&lt;&gt;"",Q49=Departments!$A$8)</formula>
    </cfRule>
    <cfRule type="expression" priority="526" dxfId="5" stopIfTrue="1">
      <formula>AND(Q49&lt;&gt;"",Q49=Departments!$A$9)</formula>
    </cfRule>
    <cfRule type="expression" priority="527" dxfId="6" stopIfTrue="1">
      <formula>AND(Q49&lt;&gt;"",Q49=Departments!$A$10)</formula>
    </cfRule>
    <cfRule type="expression" priority="528" dxfId="7" stopIfTrue="1">
      <formula>AND(Q49&lt;&gt;"",Q49=Departments!$A$11)</formula>
    </cfRule>
    <cfRule type="expression" priority="529" dxfId="8" stopIfTrue="1">
      <formula>AND(Q49&lt;&gt;"",Q49=Departments!$A$12)</formula>
    </cfRule>
    <cfRule type="expression" priority="530" dxfId="9" stopIfTrue="1">
      <formula>AND(Q49&lt;&gt;"",Q49=Departments!$A$13)</formula>
    </cfRule>
  </conditionalFormatting>
  <conditionalFormatting sqref="Q50:W51">
    <cfRule type="expression" priority="531" dxfId="0" stopIfTrue="1">
      <formula>Q$50=""</formula>
    </cfRule>
  </conditionalFormatting>
  <conditionalFormatting sqref="Q51:W51">
    <cfRule type="expression" priority="532" dxfId="1" stopIfTrue="1">
      <formula>AND($C$4&lt;&gt;"",Q51=$C$4)</formula>
    </cfRule>
    <cfRule type="expression" priority="533" dxfId="2" stopIfTrue="1">
      <formula>AND(Q51&lt;&gt;"",Q51=Departments!$A$6)</formula>
    </cfRule>
    <cfRule type="expression" priority="534" dxfId="3" stopIfTrue="1">
      <formula>AND(Q51&lt;&gt;"",Q51=Departments!$A$7)</formula>
    </cfRule>
    <cfRule type="expression" priority="535" dxfId="4" stopIfTrue="1">
      <formula>AND(Q51&lt;&gt;"",Q51=Departments!$A$8)</formula>
    </cfRule>
    <cfRule type="expression" priority="536" dxfId="5" stopIfTrue="1">
      <formula>AND(Q51&lt;&gt;"",Q51=Departments!$A$9)</formula>
    </cfRule>
    <cfRule type="expression" priority="537" dxfId="6" stopIfTrue="1">
      <formula>AND(Q51&lt;&gt;"",Q51=Departments!$A$10)</formula>
    </cfRule>
    <cfRule type="expression" priority="538" dxfId="7" stopIfTrue="1">
      <formula>AND(Q51&lt;&gt;"",Q51=Departments!$A$11)</formula>
    </cfRule>
    <cfRule type="expression" priority="539" dxfId="8" stopIfTrue="1">
      <formula>AND(Q51&lt;&gt;"",Q51=Departments!$A$12)</formula>
    </cfRule>
    <cfRule type="expression" priority="540" dxfId="9" stopIfTrue="1">
      <formula>AND(Q51&lt;&gt;"",Q51=Departments!$A$13)</formula>
    </cfRule>
  </conditionalFormatting>
  <conditionalFormatting sqref="A56:G57">
    <cfRule type="expression" priority="541" dxfId="0" stopIfTrue="1">
      <formula>A$56=""</formula>
    </cfRule>
  </conditionalFormatting>
  <conditionalFormatting sqref="A57:G57">
    <cfRule type="expression" priority="542" dxfId="1" stopIfTrue="1">
      <formula>AND($C$4&lt;&gt;"",A57=$C$4)</formula>
    </cfRule>
    <cfRule type="expression" priority="543" dxfId="2" stopIfTrue="1">
      <formula>AND(A57&lt;&gt;"",A57=Departments!$A$6)</formula>
    </cfRule>
    <cfRule type="expression" priority="544" dxfId="3" stopIfTrue="1">
      <formula>AND(A57&lt;&gt;"",A57=Departments!$A$7)</formula>
    </cfRule>
    <cfRule type="expression" priority="545" dxfId="4" stopIfTrue="1">
      <formula>AND(A57&lt;&gt;"",A57=Departments!$A$8)</formula>
    </cfRule>
    <cfRule type="expression" priority="546" dxfId="5" stopIfTrue="1">
      <formula>AND(A57&lt;&gt;"",A57=Departments!$A$9)</formula>
    </cfRule>
    <cfRule type="expression" priority="547" dxfId="6" stopIfTrue="1">
      <formula>AND(A57&lt;&gt;"",A57=Departments!$A$10)</formula>
    </cfRule>
    <cfRule type="expression" priority="548" dxfId="7" stopIfTrue="1">
      <formula>AND(A57&lt;&gt;"",A57=Departments!$A$11)</formula>
    </cfRule>
    <cfRule type="expression" priority="549" dxfId="8" stopIfTrue="1">
      <formula>AND(A57&lt;&gt;"",A57=Departments!$A$12)</formula>
    </cfRule>
    <cfRule type="expression" priority="550" dxfId="9" stopIfTrue="1">
      <formula>AND(A57&lt;&gt;"",A57=Departments!$A$13)</formula>
    </cfRule>
  </conditionalFormatting>
  <conditionalFormatting sqref="A58:G59">
    <cfRule type="expression" priority="551" dxfId="0" stopIfTrue="1">
      <formula>A$58=""</formula>
    </cfRule>
  </conditionalFormatting>
  <conditionalFormatting sqref="A59:G59">
    <cfRule type="expression" priority="552" dxfId="1" stopIfTrue="1">
      <formula>AND($C$4&lt;&gt;"",A59=$C$4)</formula>
    </cfRule>
    <cfRule type="expression" priority="553" dxfId="2" stopIfTrue="1">
      <formula>AND(A59&lt;&gt;"",A59=Departments!$A$6)</formula>
    </cfRule>
    <cfRule type="expression" priority="554" dxfId="3" stopIfTrue="1">
      <formula>AND(A59&lt;&gt;"",A59=Departments!$A$7)</formula>
    </cfRule>
    <cfRule type="expression" priority="555" dxfId="4" stopIfTrue="1">
      <formula>AND(A59&lt;&gt;"",A59=Departments!$A$8)</formula>
    </cfRule>
    <cfRule type="expression" priority="556" dxfId="5" stopIfTrue="1">
      <formula>AND(A59&lt;&gt;"",A59=Departments!$A$9)</formula>
    </cfRule>
    <cfRule type="expression" priority="557" dxfId="6" stopIfTrue="1">
      <formula>AND(A59&lt;&gt;"",A59=Departments!$A$10)</formula>
    </cfRule>
    <cfRule type="expression" priority="558" dxfId="7" stopIfTrue="1">
      <formula>AND(A59&lt;&gt;"",A59=Departments!$A$11)</formula>
    </cfRule>
    <cfRule type="expression" priority="559" dxfId="8" stopIfTrue="1">
      <formula>AND(A59&lt;&gt;"",A59=Departments!$A$12)</formula>
    </cfRule>
    <cfRule type="expression" priority="560" dxfId="9" stopIfTrue="1">
      <formula>AND(A59&lt;&gt;"",A59=Departments!$A$13)</formula>
    </cfRule>
  </conditionalFormatting>
  <conditionalFormatting sqref="A60:G61">
    <cfRule type="expression" priority="561" dxfId="0" stopIfTrue="1">
      <formula>A$60=""</formula>
    </cfRule>
  </conditionalFormatting>
  <conditionalFormatting sqref="A61:G61">
    <cfRule type="expression" priority="562" dxfId="1" stopIfTrue="1">
      <formula>AND($C$4&lt;&gt;"",A61=$C$4)</formula>
    </cfRule>
    <cfRule type="expression" priority="563" dxfId="2" stopIfTrue="1">
      <formula>AND(A61&lt;&gt;"",A61=Departments!$A$6)</formula>
    </cfRule>
    <cfRule type="expression" priority="564" dxfId="3" stopIfTrue="1">
      <formula>AND(A61&lt;&gt;"",A61=Departments!$A$7)</formula>
    </cfRule>
    <cfRule type="expression" priority="565" dxfId="4" stopIfTrue="1">
      <formula>AND(A61&lt;&gt;"",A61=Departments!$A$8)</formula>
    </cfRule>
    <cfRule type="expression" priority="566" dxfId="5" stopIfTrue="1">
      <formula>AND(A61&lt;&gt;"",A61=Departments!$A$9)</formula>
    </cfRule>
    <cfRule type="expression" priority="567" dxfId="6" stopIfTrue="1">
      <formula>AND(A61&lt;&gt;"",A61=Departments!$A$10)</formula>
    </cfRule>
    <cfRule type="expression" priority="568" dxfId="7" stopIfTrue="1">
      <formula>AND(A61&lt;&gt;"",A61=Departments!$A$11)</formula>
    </cfRule>
    <cfRule type="expression" priority="569" dxfId="8" stopIfTrue="1">
      <formula>AND(A61&lt;&gt;"",A61=Departments!$A$12)</formula>
    </cfRule>
    <cfRule type="expression" priority="570" dxfId="9" stopIfTrue="1">
      <formula>AND(A61&lt;&gt;"",A61=Departments!$A$13)</formula>
    </cfRule>
  </conditionalFormatting>
  <conditionalFormatting sqref="A62:G63">
    <cfRule type="expression" priority="571" dxfId="0" stopIfTrue="1">
      <formula>A$62=""</formula>
    </cfRule>
  </conditionalFormatting>
  <conditionalFormatting sqref="A63:G63">
    <cfRule type="expression" priority="572" dxfId="1" stopIfTrue="1">
      <formula>AND($C$4&lt;&gt;"",A63=$C$4)</formula>
    </cfRule>
    <cfRule type="expression" priority="573" dxfId="2" stopIfTrue="1">
      <formula>AND(A63&lt;&gt;"",A63=Departments!$A$6)</formula>
    </cfRule>
    <cfRule type="expression" priority="574" dxfId="3" stopIfTrue="1">
      <formula>AND(A63&lt;&gt;"",A63=Departments!$A$7)</formula>
    </cfRule>
    <cfRule type="expression" priority="575" dxfId="4" stopIfTrue="1">
      <formula>AND(A63&lt;&gt;"",A63=Departments!$A$8)</formula>
    </cfRule>
    <cfRule type="expression" priority="576" dxfId="5" stopIfTrue="1">
      <formula>AND(A63&lt;&gt;"",A63=Departments!$A$9)</formula>
    </cfRule>
    <cfRule type="expression" priority="577" dxfId="6" stopIfTrue="1">
      <formula>AND(A63&lt;&gt;"",A63=Departments!$A$10)</formula>
    </cfRule>
    <cfRule type="expression" priority="578" dxfId="7" stopIfTrue="1">
      <formula>AND(A63&lt;&gt;"",A63=Departments!$A$11)</formula>
    </cfRule>
    <cfRule type="expression" priority="579" dxfId="8" stopIfTrue="1">
      <formula>AND(A63&lt;&gt;"",A63=Departments!$A$12)</formula>
    </cfRule>
    <cfRule type="expression" priority="580" dxfId="9" stopIfTrue="1">
      <formula>AND(A63&lt;&gt;"",A63=Departments!$A$13)</formula>
    </cfRule>
  </conditionalFormatting>
  <conditionalFormatting sqref="A64:G65">
    <cfRule type="expression" priority="581" dxfId="0" stopIfTrue="1">
      <formula>A$64=""</formula>
    </cfRule>
  </conditionalFormatting>
  <conditionalFormatting sqref="A65:G65">
    <cfRule type="expression" priority="582" dxfId="1" stopIfTrue="1">
      <formula>AND($C$4&lt;&gt;"",A65=$C$4)</formula>
    </cfRule>
    <cfRule type="expression" priority="583" dxfId="2" stopIfTrue="1">
      <formula>AND(A65&lt;&gt;"",A65=Departments!$A$6)</formula>
    </cfRule>
    <cfRule type="expression" priority="584" dxfId="3" stopIfTrue="1">
      <formula>AND(A65&lt;&gt;"",A65=Departments!$A$7)</formula>
    </cfRule>
    <cfRule type="expression" priority="585" dxfId="4" stopIfTrue="1">
      <formula>AND(A65&lt;&gt;"",A65=Departments!$A$8)</formula>
    </cfRule>
    <cfRule type="expression" priority="586" dxfId="5" stopIfTrue="1">
      <formula>AND(A65&lt;&gt;"",A65=Departments!$A$9)</formula>
    </cfRule>
    <cfRule type="expression" priority="587" dxfId="6" stopIfTrue="1">
      <formula>AND(A65&lt;&gt;"",A65=Departments!$A$10)</formula>
    </cfRule>
    <cfRule type="expression" priority="588" dxfId="7" stopIfTrue="1">
      <formula>AND(A65&lt;&gt;"",A65=Departments!$A$11)</formula>
    </cfRule>
    <cfRule type="expression" priority="589" dxfId="8" stopIfTrue="1">
      <formula>AND(A65&lt;&gt;"",A65=Departments!$A$12)</formula>
    </cfRule>
    <cfRule type="expression" priority="590" dxfId="9" stopIfTrue="1">
      <formula>AND(A65&lt;&gt;"",A65=Departments!$A$13)</formula>
    </cfRule>
  </conditionalFormatting>
  <conditionalFormatting sqref="A66:G67">
    <cfRule type="expression" priority="591" dxfId="0" stopIfTrue="1">
      <formula>A$66=""</formula>
    </cfRule>
  </conditionalFormatting>
  <conditionalFormatting sqref="A67:G67">
    <cfRule type="expression" priority="592" dxfId="1" stopIfTrue="1">
      <formula>AND($C$4&lt;&gt;"",A67=$C$4)</formula>
    </cfRule>
    <cfRule type="expression" priority="593" dxfId="2" stopIfTrue="1">
      <formula>AND(A67&lt;&gt;"",A67=Departments!$A$6)</formula>
    </cfRule>
    <cfRule type="expression" priority="594" dxfId="3" stopIfTrue="1">
      <formula>AND(A67&lt;&gt;"",A67=Departments!$A$7)</formula>
    </cfRule>
    <cfRule type="expression" priority="595" dxfId="4" stopIfTrue="1">
      <formula>AND(A67&lt;&gt;"",A67=Departments!$A$8)</formula>
    </cfRule>
    <cfRule type="expression" priority="596" dxfId="5" stopIfTrue="1">
      <formula>AND(A67&lt;&gt;"",A67=Departments!$A$9)</formula>
    </cfRule>
    <cfRule type="expression" priority="597" dxfId="6" stopIfTrue="1">
      <formula>AND(A67&lt;&gt;"",A67=Departments!$A$10)</formula>
    </cfRule>
    <cfRule type="expression" priority="598" dxfId="7" stopIfTrue="1">
      <formula>AND(A67&lt;&gt;"",A67=Departments!$A$11)</formula>
    </cfRule>
    <cfRule type="expression" priority="599" dxfId="8" stopIfTrue="1">
      <formula>AND(A67&lt;&gt;"",A67=Departments!$A$12)</formula>
    </cfRule>
    <cfRule type="expression" priority="600" dxfId="9" stopIfTrue="1">
      <formula>AND(A67&lt;&gt;"",A67=Departments!$A$13)</formula>
    </cfRule>
  </conditionalFormatting>
  <conditionalFormatting sqref="I56:O57">
    <cfRule type="expression" priority="601" dxfId="0" stopIfTrue="1">
      <formula>I$56=""</formula>
    </cfRule>
  </conditionalFormatting>
  <conditionalFormatting sqref="I57:O57">
    <cfRule type="expression" priority="602" dxfId="1" stopIfTrue="1">
      <formula>AND($C$4&lt;&gt;"",I57=$C$4)</formula>
    </cfRule>
    <cfRule type="expression" priority="603" dxfId="2" stopIfTrue="1">
      <formula>AND(I57&lt;&gt;"",I57=Departments!$A$6)</formula>
    </cfRule>
    <cfRule type="expression" priority="604" dxfId="3" stopIfTrue="1">
      <formula>AND(I57&lt;&gt;"",I57=Departments!$A$7)</formula>
    </cfRule>
    <cfRule type="expression" priority="605" dxfId="4" stopIfTrue="1">
      <formula>AND(I57&lt;&gt;"",I57=Departments!$A$8)</formula>
    </cfRule>
    <cfRule type="expression" priority="606" dxfId="5" stopIfTrue="1">
      <formula>AND(I57&lt;&gt;"",I57=Departments!$A$9)</formula>
    </cfRule>
    <cfRule type="expression" priority="607" dxfId="6" stopIfTrue="1">
      <formula>AND(I57&lt;&gt;"",I57=Departments!$A$10)</formula>
    </cfRule>
    <cfRule type="expression" priority="608" dxfId="7" stopIfTrue="1">
      <formula>AND(I57&lt;&gt;"",I57=Departments!$A$11)</formula>
    </cfRule>
    <cfRule type="expression" priority="609" dxfId="8" stopIfTrue="1">
      <formula>AND(I57&lt;&gt;"",I57=Departments!$A$12)</formula>
    </cfRule>
    <cfRule type="expression" priority="610" dxfId="9" stopIfTrue="1">
      <formula>AND(I57&lt;&gt;"",I57=Departments!$A$13)</formula>
    </cfRule>
  </conditionalFormatting>
  <conditionalFormatting sqref="I58:O59">
    <cfRule type="expression" priority="611" dxfId="0" stopIfTrue="1">
      <formula>I$58=""</formula>
    </cfRule>
  </conditionalFormatting>
  <conditionalFormatting sqref="I59:O59">
    <cfRule type="expression" priority="612" dxfId="1" stopIfTrue="1">
      <formula>AND($C$4&lt;&gt;"",I59=$C$4)</formula>
    </cfRule>
    <cfRule type="expression" priority="613" dxfId="2" stopIfTrue="1">
      <formula>AND(I59&lt;&gt;"",I59=Departments!$A$6)</formula>
    </cfRule>
    <cfRule type="expression" priority="614" dxfId="3" stopIfTrue="1">
      <formula>AND(I59&lt;&gt;"",I59=Departments!$A$7)</formula>
    </cfRule>
    <cfRule type="expression" priority="615" dxfId="4" stopIfTrue="1">
      <formula>AND(I59&lt;&gt;"",I59=Departments!$A$8)</formula>
    </cfRule>
    <cfRule type="expression" priority="616" dxfId="5" stopIfTrue="1">
      <formula>AND(I59&lt;&gt;"",I59=Departments!$A$9)</formula>
    </cfRule>
    <cfRule type="expression" priority="617" dxfId="6" stopIfTrue="1">
      <formula>AND(I59&lt;&gt;"",I59=Departments!$A$10)</formula>
    </cfRule>
    <cfRule type="expression" priority="618" dxfId="7" stopIfTrue="1">
      <formula>AND(I59&lt;&gt;"",I59=Departments!$A$11)</formula>
    </cfRule>
    <cfRule type="expression" priority="619" dxfId="8" stopIfTrue="1">
      <formula>AND(I59&lt;&gt;"",I59=Departments!$A$12)</formula>
    </cfRule>
    <cfRule type="expression" priority="620" dxfId="9" stopIfTrue="1">
      <formula>AND(I59&lt;&gt;"",I59=Departments!$A$13)</formula>
    </cfRule>
  </conditionalFormatting>
  <conditionalFormatting sqref="I60:O61">
    <cfRule type="expression" priority="621" dxfId="0" stopIfTrue="1">
      <formula>I$60=""</formula>
    </cfRule>
  </conditionalFormatting>
  <conditionalFormatting sqref="I61:O61">
    <cfRule type="expression" priority="622" dxfId="1" stopIfTrue="1">
      <formula>AND($C$4&lt;&gt;"",I61=$C$4)</formula>
    </cfRule>
    <cfRule type="expression" priority="623" dxfId="2" stopIfTrue="1">
      <formula>AND(I61&lt;&gt;"",I61=Departments!$A$6)</formula>
    </cfRule>
    <cfRule type="expression" priority="624" dxfId="3" stopIfTrue="1">
      <formula>AND(I61&lt;&gt;"",I61=Departments!$A$7)</formula>
    </cfRule>
    <cfRule type="expression" priority="625" dxfId="4" stopIfTrue="1">
      <formula>AND(I61&lt;&gt;"",I61=Departments!$A$8)</formula>
    </cfRule>
    <cfRule type="expression" priority="626" dxfId="5" stopIfTrue="1">
      <formula>AND(I61&lt;&gt;"",I61=Departments!$A$9)</formula>
    </cfRule>
    <cfRule type="expression" priority="627" dxfId="6" stopIfTrue="1">
      <formula>AND(I61&lt;&gt;"",I61=Departments!$A$10)</formula>
    </cfRule>
    <cfRule type="expression" priority="628" dxfId="7" stopIfTrue="1">
      <formula>AND(I61&lt;&gt;"",I61=Departments!$A$11)</formula>
    </cfRule>
    <cfRule type="expression" priority="629" dxfId="8" stopIfTrue="1">
      <formula>AND(I61&lt;&gt;"",I61=Departments!$A$12)</formula>
    </cfRule>
    <cfRule type="expression" priority="630" dxfId="9" stopIfTrue="1">
      <formula>AND(I61&lt;&gt;"",I61=Departments!$A$13)</formula>
    </cfRule>
  </conditionalFormatting>
  <conditionalFormatting sqref="I62:O63">
    <cfRule type="expression" priority="631" dxfId="0" stopIfTrue="1">
      <formula>I$62=""</formula>
    </cfRule>
  </conditionalFormatting>
  <conditionalFormatting sqref="I63:O63">
    <cfRule type="expression" priority="632" dxfId="1" stopIfTrue="1">
      <formula>AND($C$4&lt;&gt;"",I63=$C$4)</formula>
    </cfRule>
    <cfRule type="expression" priority="633" dxfId="2" stopIfTrue="1">
      <formula>AND(I63&lt;&gt;"",I63=Departments!$A$6)</formula>
    </cfRule>
    <cfRule type="expression" priority="634" dxfId="3" stopIfTrue="1">
      <formula>AND(I63&lt;&gt;"",I63=Departments!$A$7)</formula>
    </cfRule>
    <cfRule type="expression" priority="635" dxfId="4" stopIfTrue="1">
      <formula>AND(I63&lt;&gt;"",I63=Departments!$A$8)</formula>
    </cfRule>
    <cfRule type="expression" priority="636" dxfId="5" stopIfTrue="1">
      <formula>AND(I63&lt;&gt;"",I63=Departments!$A$9)</formula>
    </cfRule>
    <cfRule type="expression" priority="637" dxfId="6" stopIfTrue="1">
      <formula>AND(I63&lt;&gt;"",I63=Departments!$A$10)</formula>
    </cfRule>
    <cfRule type="expression" priority="638" dxfId="7" stopIfTrue="1">
      <formula>AND(I63&lt;&gt;"",I63=Departments!$A$11)</formula>
    </cfRule>
    <cfRule type="expression" priority="639" dxfId="8" stopIfTrue="1">
      <formula>AND(I63&lt;&gt;"",I63=Departments!$A$12)</formula>
    </cfRule>
    <cfRule type="expression" priority="640" dxfId="9" stopIfTrue="1">
      <formula>AND(I63&lt;&gt;"",I63=Departments!$A$13)</formula>
    </cfRule>
  </conditionalFormatting>
  <conditionalFormatting sqref="I64:O65">
    <cfRule type="expression" priority="641" dxfId="0" stopIfTrue="1">
      <formula>I$64=""</formula>
    </cfRule>
  </conditionalFormatting>
  <conditionalFormatting sqref="I65:O65">
    <cfRule type="expression" priority="642" dxfId="1" stopIfTrue="1">
      <formula>AND($C$4&lt;&gt;"",I65=$C$4)</formula>
    </cfRule>
    <cfRule type="expression" priority="643" dxfId="2" stopIfTrue="1">
      <formula>AND(I65&lt;&gt;"",I65=Departments!$A$6)</formula>
    </cfRule>
    <cfRule type="expression" priority="644" dxfId="3" stopIfTrue="1">
      <formula>AND(I65&lt;&gt;"",I65=Departments!$A$7)</formula>
    </cfRule>
    <cfRule type="expression" priority="645" dxfId="4" stopIfTrue="1">
      <formula>AND(I65&lt;&gt;"",I65=Departments!$A$8)</formula>
    </cfRule>
    <cfRule type="expression" priority="646" dxfId="5" stopIfTrue="1">
      <formula>AND(I65&lt;&gt;"",I65=Departments!$A$9)</formula>
    </cfRule>
    <cfRule type="expression" priority="647" dxfId="6" stopIfTrue="1">
      <formula>AND(I65&lt;&gt;"",I65=Departments!$A$10)</formula>
    </cfRule>
    <cfRule type="expression" priority="648" dxfId="7" stopIfTrue="1">
      <formula>AND(I65&lt;&gt;"",I65=Departments!$A$11)</formula>
    </cfRule>
    <cfRule type="expression" priority="649" dxfId="8" stopIfTrue="1">
      <formula>AND(I65&lt;&gt;"",I65=Departments!$A$12)</formula>
    </cfRule>
    <cfRule type="expression" priority="650" dxfId="9" stopIfTrue="1">
      <formula>AND(I65&lt;&gt;"",I65=Departments!$A$13)</formula>
    </cfRule>
  </conditionalFormatting>
  <conditionalFormatting sqref="I66:O67">
    <cfRule type="expression" priority="651" dxfId="0" stopIfTrue="1">
      <formula>I$66=""</formula>
    </cfRule>
  </conditionalFormatting>
  <conditionalFormatting sqref="I67:O67">
    <cfRule type="expression" priority="652" dxfId="1" stopIfTrue="1">
      <formula>AND($C$4&lt;&gt;"",I67=$C$4)</formula>
    </cfRule>
    <cfRule type="expression" priority="653" dxfId="2" stopIfTrue="1">
      <formula>AND(I67&lt;&gt;"",I67=Departments!$A$6)</formula>
    </cfRule>
    <cfRule type="expression" priority="654" dxfId="3" stopIfTrue="1">
      <formula>AND(I67&lt;&gt;"",I67=Departments!$A$7)</formula>
    </cfRule>
    <cfRule type="expression" priority="655" dxfId="4" stopIfTrue="1">
      <formula>AND(I67&lt;&gt;"",I67=Departments!$A$8)</formula>
    </cfRule>
    <cfRule type="expression" priority="656" dxfId="5" stopIfTrue="1">
      <formula>AND(I67&lt;&gt;"",I67=Departments!$A$9)</formula>
    </cfRule>
    <cfRule type="expression" priority="657" dxfId="6" stopIfTrue="1">
      <formula>AND(I67&lt;&gt;"",I67=Departments!$A$10)</formula>
    </cfRule>
    <cfRule type="expression" priority="658" dxfId="7" stopIfTrue="1">
      <formula>AND(I67&lt;&gt;"",I67=Departments!$A$11)</formula>
    </cfRule>
    <cfRule type="expression" priority="659" dxfId="8" stopIfTrue="1">
      <formula>AND(I67&lt;&gt;"",I67=Departments!$A$12)</formula>
    </cfRule>
    <cfRule type="expression" priority="660" dxfId="9" stopIfTrue="1">
      <formula>AND(I67&lt;&gt;"",I67=Departments!$A$13)</formula>
    </cfRule>
  </conditionalFormatting>
  <conditionalFormatting sqref="Q56:W57">
    <cfRule type="expression" priority="661" dxfId="0" stopIfTrue="1">
      <formula>Q$56=""</formula>
    </cfRule>
  </conditionalFormatting>
  <conditionalFormatting sqref="Q57:W57">
    <cfRule type="expression" priority="662" dxfId="1" stopIfTrue="1">
      <formula>AND($C$4&lt;&gt;"",Q57=$C$4)</formula>
    </cfRule>
    <cfRule type="expression" priority="663" dxfId="2" stopIfTrue="1">
      <formula>AND(Q57&lt;&gt;"",Q57=Departments!$A$6)</formula>
    </cfRule>
    <cfRule type="expression" priority="664" dxfId="3" stopIfTrue="1">
      <formula>AND(Q57&lt;&gt;"",Q57=Departments!$A$7)</formula>
    </cfRule>
    <cfRule type="expression" priority="665" dxfId="4" stopIfTrue="1">
      <formula>AND(Q57&lt;&gt;"",Q57=Departments!$A$8)</formula>
    </cfRule>
    <cfRule type="expression" priority="666" dxfId="5" stopIfTrue="1">
      <formula>AND(Q57&lt;&gt;"",Q57=Departments!$A$9)</formula>
    </cfRule>
    <cfRule type="expression" priority="667" dxfId="6" stopIfTrue="1">
      <formula>AND(Q57&lt;&gt;"",Q57=Departments!$A$10)</formula>
    </cfRule>
    <cfRule type="expression" priority="668" dxfId="7" stopIfTrue="1">
      <formula>AND(Q57&lt;&gt;"",Q57=Departments!$A$11)</formula>
    </cfRule>
    <cfRule type="expression" priority="669" dxfId="8" stopIfTrue="1">
      <formula>AND(Q57&lt;&gt;"",Q57=Departments!$A$12)</formula>
    </cfRule>
    <cfRule type="expression" priority="670" dxfId="9" stopIfTrue="1">
      <formula>AND(Q57&lt;&gt;"",Q57=Departments!$A$13)</formula>
    </cfRule>
  </conditionalFormatting>
  <conditionalFormatting sqref="Q58:W59">
    <cfRule type="expression" priority="671" dxfId="0" stopIfTrue="1">
      <formula>Q$58=""</formula>
    </cfRule>
  </conditionalFormatting>
  <conditionalFormatting sqref="Q59:W59">
    <cfRule type="expression" priority="672" dxfId="1" stopIfTrue="1">
      <formula>AND($C$4&lt;&gt;"",Q59=$C$4)</formula>
    </cfRule>
    <cfRule type="expression" priority="673" dxfId="2" stopIfTrue="1">
      <formula>AND(Q59&lt;&gt;"",Q59=Departments!$A$6)</formula>
    </cfRule>
    <cfRule type="expression" priority="674" dxfId="3" stopIfTrue="1">
      <formula>AND(Q59&lt;&gt;"",Q59=Departments!$A$7)</formula>
    </cfRule>
    <cfRule type="expression" priority="675" dxfId="4" stopIfTrue="1">
      <formula>AND(Q59&lt;&gt;"",Q59=Departments!$A$8)</formula>
    </cfRule>
    <cfRule type="expression" priority="676" dxfId="5" stopIfTrue="1">
      <formula>AND(Q59&lt;&gt;"",Q59=Departments!$A$9)</formula>
    </cfRule>
    <cfRule type="expression" priority="677" dxfId="6" stopIfTrue="1">
      <formula>AND(Q59&lt;&gt;"",Q59=Departments!$A$10)</formula>
    </cfRule>
    <cfRule type="expression" priority="678" dxfId="7" stopIfTrue="1">
      <formula>AND(Q59&lt;&gt;"",Q59=Departments!$A$11)</formula>
    </cfRule>
    <cfRule type="expression" priority="679" dxfId="8" stopIfTrue="1">
      <formula>AND(Q59&lt;&gt;"",Q59=Departments!$A$12)</formula>
    </cfRule>
    <cfRule type="expression" priority="680" dxfId="9" stopIfTrue="1">
      <formula>AND(Q59&lt;&gt;"",Q59=Departments!$A$13)</formula>
    </cfRule>
  </conditionalFormatting>
  <conditionalFormatting sqref="Q60:W61">
    <cfRule type="expression" priority="681" dxfId="0" stopIfTrue="1">
      <formula>Q$60=""</formula>
    </cfRule>
  </conditionalFormatting>
  <conditionalFormatting sqref="Q61:W61">
    <cfRule type="expression" priority="682" dxfId="1" stopIfTrue="1">
      <formula>AND($C$4&lt;&gt;"",Q61=$C$4)</formula>
    </cfRule>
    <cfRule type="expression" priority="683" dxfId="2" stopIfTrue="1">
      <formula>AND(Q61&lt;&gt;"",Q61=Departments!$A$6)</formula>
    </cfRule>
    <cfRule type="expression" priority="684" dxfId="3" stopIfTrue="1">
      <formula>AND(Q61&lt;&gt;"",Q61=Departments!$A$7)</formula>
    </cfRule>
    <cfRule type="expression" priority="685" dxfId="4" stopIfTrue="1">
      <formula>AND(Q61&lt;&gt;"",Q61=Departments!$A$8)</formula>
    </cfRule>
    <cfRule type="expression" priority="686" dxfId="5" stopIfTrue="1">
      <formula>AND(Q61&lt;&gt;"",Q61=Departments!$A$9)</formula>
    </cfRule>
    <cfRule type="expression" priority="687" dxfId="6" stopIfTrue="1">
      <formula>AND(Q61&lt;&gt;"",Q61=Departments!$A$10)</formula>
    </cfRule>
    <cfRule type="expression" priority="688" dxfId="7" stopIfTrue="1">
      <formula>AND(Q61&lt;&gt;"",Q61=Departments!$A$11)</formula>
    </cfRule>
    <cfRule type="expression" priority="689" dxfId="8" stopIfTrue="1">
      <formula>AND(Q61&lt;&gt;"",Q61=Departments!$A$12)</formula>
    </cfRule>
    <cfRule type="expression" priority="690" dxfId="9" stopIfTrue="1">
      <formula>AND(Q61&lt;&gt;"",Q61=Departments!$A$13)</formula>
    </cfRule>
  </conditionalFormatting>
  <conditionalFormatting sqref="Q62:W63">
    <cfRule type="expression" priority="691" dxfId="0" stopIfTrue="1">
      <formula>Q$62=""</formula>
    </cfRule>
  </conditionalFormatting>
  <conditionalFormatting sqref="Q63:W63">
    <cfRule type="expression" priority="692" dxfId="1" stopIfTrue="1">
      <formula>AND($C$4&lt;&gt;"",Q63=$C$4)</formula>
    </cfRule>
    <cfRule type="expression" priority="693" dxfId="2" stopIfTrue="1">
      <formula>AND(Q63&lt;&gt;"",Q63=Departments!$A$6)</formula>
    </cfRule>
    <cfRule type="expression" priority="694" dxfId="3" stopIfTrue="1">
      <formula>AND(Q63&lt;&gt;"",Q63=Departments!$A$7)</formula>
    </cfRule>
    <cfRule type="expression" priority="695" dxfId="4" stopIfTrue="1">
      <formula>AND(Q63&lt;&gt;"",Q63=Departments!$A$8)</formula>
    </cfRule>
    <cfRule type="expression" priority="696" dxfId="5" stopIfTrue="1">
      <formula>AND(Q63&lt;&gt;"",Q63=Departments!$A$9)</formula>
    </cfRule>
    <cfRule type="expression" priority="697" dxfId="6" stopIfTrue="1">
      <formula>AND(Q63&lt;&gt;"",Q63=Departments!$A$10)</formula>
    </cfRule>
    <cfRule type="expression" priority="698" dxfId="7" stopIfTrue="1">
      <formula>AND(Q63&lt;&gt;"",Q63=Departments!$A$11)</formula>
    </cfRule>
    <cfRule type="expression" priority="699" dxfId="8" stopIfTrue="1">
      <formula>AND(Q63&lt;&gt;"",Q63=Departments!$A$12)</formula>
    </cfRule>
    <cfRule type="expression" priority="700" dxfId="9" stopIfTrue="1">
      <formula>AND(Q63&lt;&gt;"",Q63=Departments!$A$13)</formula>
    </cfRule>
  </conditionalFormatting>
  <conditionalFormatting sqref="Q64:W65">
    <cfRule type="expression" priority="701" dxfId="0" stopIfTrue="1">
      <formula>Q$64=""</formula>
    </cfRule>
  </conditionalFormatting>
  <conditionalFormatting sqref="Q65:W65">
    <cfRule type="expression" priority="702" dxfId="1" stopIfTrue="1">
      <formula>AND($C$4&lt;&gt;"",Q65=$C$4)</formula>
    </cfRule>
    <cfRule type="expression" priority="703" dxfId="2" stopIfTrue="1">
      <formula>AND(Q65&lt;&gt;"",Q65=Departments!$A$6)</formula>
    </cfRule>
    <cfRule type="expression" priority="704" dxfId="3" stopIfTrue="1">
      <formula>AND(Q65&lt;&gt;"",Q65=Departments!$A$7)</formula>
    </cfRule>
    <cfRule type="expression" priority="705" dxfId="4" stopIfTrue="1">
      <formula>AND(Q65&lt;&gt;"",Q65=Departments!$A$8)</formula>
    </cfRule>
    <cfRule type="expression" priority="706" dxfId="5" stopIfTrue="1">
      <formula>AND(Q65&lt;&gt;"",Q65=Departments!$A$9)</formula>
    </cfRule>
    <cfRule type="expression" priority="707" dxfId="6" stopIfTrue="1">
      <formula>AND(Q65&lt;&gt;"",Q65=Departments!$A$10)</formula>
    </cfRule>
    <cfRule type="expression" priority="708" dxfId="7" stopIfTrue="1">
      <formula>AND(Q65&lt;&gt;"",Q65=Departments!$A$11)</formula>
    </cfRule>
    <cfRule type="expression" priority="709" dxfId="8" stopIfTrue="1">
      <formula>AND(Q65&lt;&gt;"",Q65=Departments!$A$12)</formula>
    </cfRule>
    <cfRule type="expression" priority="710" dxfId="9" stopIfTrue="1">
      <formula>AND(Q65&lt;&gt;"",Q65=Departments!$A$13)</formula>
    </cfRule>
  </conditionalFormatting>
  <conditionalFormatting sqref="Q66:W67">
    <cfRule type="expression" priority="711" dxfId="0" stopIfTrue="1">
      <formula>Q$66=""</formula>
    </cfRule>
  </conditionalFormatting>
  <conditionalFormatting sqref="Q67:W67">
    <cfRule type="expression" priority="712" dxfId="1" stopIfTrue="1">
      <formula>AND($C$4&lt;&gt;"",Q67=$C$4)</formula>
    </cfRule>
    <cfRule type="expression" priority="713" dxfId="2" stopIfTrue="1">
      <formula>AND(Q67&lt;&gt;"",Q67=Departments!$A$6)</formula>
    </cfRule>
    <cfRule type="expression" priority="714" dxfId="3" stopIfTrue="1">
      <formula>AND(Q67&lt;&gt;"",Q67=Departments!$A$7)</formula>
    </cfRule>
    <cfRule type="expression" priority="715" dxfId="4" stopIfTrue="1">
      <formula>AND(Q67&lt;&gt;"",Q67=Departments!$A$8)</formula>
    </cfRule>
    <cfRule type="expression" priority="716" dxfId="5" stopIfTrue="1">
      <formula>AND(Q67&lt;&gt;"",Q67=Departments!$A$9)</formula>
    </cfRule>
    <cfRule type="expression" priority="717" dxfId="6" stopIfTrue="1">
      <formula>AND(Q67&lt;&gt;"",Q67=Departments!$A$10)</formula>
    </cfRule>
    <cfRule type="expression" priority="718" dxfId="7" stopIfTrue="1">
      <formula>AND(Q67&lt;&gt;"",Q67=Departments!$A$11)</formula>
    </cfRule>
    <cfRule type="expression" priority="719" dxfId="8" stopIfTrue="1">
      <formula>AND(Q67&lt;&gt;"",Q67=Departments!$A$12)</formula>
    </cfRule>
    <cfRule type="expression" priority="720" dxfId="9" stopIfTrue="1">
      <formula>AND(Q67&lt;&gt;"",Q67=Departments!$A$13)</formula>
    </cfRule>
  </conditionalFormatting>
  <conditionalFormatting sqref="A72:G73">
    <cfRule type="expression" priority="721" dxfId="0" stopIfTrue="1">
      <formula>A$72=""</formula>
    </cfRule>
  </conditionalFormatting>
  <conditionalFormatting sqref="A73:G73">
    <cfRule type="expression" priority="722" dxfId="1" stopIfTrue="1">
      <formula>AND($C$4&lt;&gt;"",A73=$C$4)</formula>
    </cfRule>
    <cfRule type="expression" priority="723" dxfId="2" stopIfTrue="1">
      <formula>AND(A73&lt;&gt;"",A73=Departments!$A$6)</formula>
    </cfRule>
    <cfRule type="expression" priority="724" dxfId="3" stopIfTrue="1">
      <formula>AND(A73&lt;&gt;"",A73=Departments!$A$7)</formula>
    </cfRule>
    <cfRule type="expression" priority="725" dxfId="4" stopIfTrue="1">
      <formula>AND(A73&lt;&gt;"",A73=Departments!$A$8)</formula>
    </cfRule>
    <cfRule type="expression" priority="726" dxfId="5" stopIfTrue="1">
      <formula>AND(A73&lt;&gt;"",A73=Departments!$A$9)</formula>
    </cfRule>
    <cfRule type="expression" priority="727" dxfId="6" stopIfTrue="1">
      <formula>AND(A73&lt;&gt;"",A73=Departments!$A$10)</formula>
    </cfRule>
    <cfRule type="expression" priority="728" dxfId="7" stopIfTrue="1">
      <formula>AND(A73&lt;&gt;"",A73=Departments!$A$11)</formula>
    </cfRule>
    <cfRule type="expression" priority="729" dxfId="8" stopIfTrue="1">
      <formula>AND(A73&lt;&gt;"",A73=Departments!$A$12)</formula>
    </cfRule>
    <cfRule type="expression" priority="730" dxfId="9" stopIfTrue="1">
      <formula>AND(A73&lt;&gt;"",A73=Departments!$A$13)</formula>
    </cfRule>
  </conditionalFormatting>
  <conditionalFormatting sqref="A74:G75">
    <cfRule type="expression" priority="731" dxfId="0" stopIfTrue="1">
      <formula>A$74=""</formula>
    </cfRule>
  </conditionalFormatting>
  <conditionalFormatting sqref="A75:G75">
    <cfRule type="expression" priority="732" dxfId="1" stopIfTrue="1">
      <formula>AND($C$4&lt;&gt;"",A75=$C$4)</formula>
    </cfRule>
    <cfRule type="expression" priority="733" dxfId="2" stopIfTrue="1">
      <formula>AND(A75&lt;&gt;"",A75=Departments!$A$6)</formula>
    </cfRule>
    <cfRule type="expression" priority="734" dxfId="3" stopIfTrue="1">
      <formula>AND(A75&lt;&gt;"",A75=Departments!$A$7)</formula>
    </cfRule>
    <cfRule type="expression" priority="735" dxfId="4" stopIfTrue="1">
      <formula>AND(A75&lt;&gt;"",A75=Departments!$A$8)</formula>
    </cfRule>
    <cfRule type="expression" priority="736" dxfId="5" stopIfTrue="1">
      <formula>AND(A75&lt;&gt;"",A75=Departments!$A$9)</formula>
    </cfRule>
    <cfRule type="expression" priority="737" dxfId="6" stopIfTrue="1">
      <formula>AND(A75&lt;&gt;"",A75=Departments!$A$10)</formula>
    </cfRule>
    <cfRule type="expression" priority="738" dxfId="7" stopIfTrue="1">
      <formula>AND(A75&lt;&gt;"",A75=Departments!$A$11)</formula>
    </cfRule>
    <cfRule type="expression" priority="739" dxfId="8" stopIfTrue="1">
      <formula>AND(A75&lt;&gt;"",A75=Departments!$A$12)</formula>
    </cfRule>
    <cfRule type="expression" priority="740" dxfId="9" stopIfTrue="1">
      <formula>AND(A75&lt;&gt;"",A75=Departments!$A$13)</formula>
    </cfRule>
  </conditionalFormatting>
  <conditionalFormatting sqref="A76:G77">
    <cfRule type="expression" priority="741" dxfId="0" stopIfTrue="1">
      <formula>A$76=""</formula>
    </cfRule>
  </conditionalFormatting>
  <conditionalFormatting sqref="A77:G77">
    <cfRule type="expression" priority="742" dxfId="1" stopIfTrue="1">
      <formula>AND($C$4&lt;&gt;"",A77=$C$4)</formula>
    </cfRule>
    <cfRule type="expression" priority="743" dxfId="2" stopIfTrue="1">
      <formula>AND(A77&lt;&gt;"",A77=Departments!$A$6)</formula>
    </cfRule>
    <cfRule type="expression" priority="744" dxfId="3" stopIfTrue="1">
      <formula>AND(A77&lt;&gt;"",A77=Departments!$A$7)</formula>
    </cfRule>
    <cfRule type="expression" priority="745" dxfId="4" stopIfTrue="1">
      <formula>AND(A77&lt;&gt;"",A77=Departments!$A$8)</formula>
    </cfRule>
    <cfRule type="expression" priority="746" dxfId="5" stopIfTrue="1">
      <formula>AND(A77&lt;&gt;"",A77=Departments!$A$9)</formula>
    </cfRule>
    <cfRule type="expression" priority="747" dxfId="6" stopIfTrue="1">
      <formula>AND(A77&lt;&gt;"",A77=Departments!$A$10)</formula>
    </cfRule>
    <cfRule type="expression" priority="748" dxfId="7" stopIfTrue="1">
      <formula>AND(A77&lt;&gt;"",A77=Departments!$A$11)</formula>
    </cfRule>
    <cfRule type="expression" priority="749" dxfId="8" stopIfTrue="1">
      <formula>AND(A77&lt;&gt;"",A77=Departments!$A$12)</formula>
    </cfRule>
    <cfRule type="expression" priority="750" dxfId="9" stopIfTrue="1">
      <formula>AND(A77&lt;&gt;"",A77=Departments!$A$13)</formula>
    </cfRule>
  </conditionalFormatting>
  <conditionalFormatting sqref="A78:G79">
    <cfRule type="expression" priority="751" dxfId="0" stopIfTrue="1">
      <formula>A$78=""</formula>
    </cfRule>
  </conditionalFormatting>
  <conditionalFormatting sqref="A79:G79">
    <cfRule type="expression" priority="752" dxfId="1" stopIfTrue="1">
      <formula>AND($C$4&lt;&gt;"",A79=$C$4)</formula>
    </cfRule>
    <cfRule type="expression" priority="753" dxfId="2" stopIfTrue="1">
      <formula>AND(A79&lt;&gt;"",A79=Departments!$A$6)</formula>
    </cfRule>
    <cfRule type="expression" priority="754" dxfId="3" stopIfTrue="1">
      <formula>AND(A79&lt;&gt;"",A79=Departments!$A$7)</formula>
    </cfRule>
    <cfRule type="expression" priority="755" dxfId="4" stopIfTrue="1">
      <formula>AND(A79&lt;&gt;"",A79=Departments!$A$8)</formula>
    </cfRule>
    <cfRule type="expression" priority="756" dxfId="5" stopIfTrue="1">
      <formula>AND(A79&lt;&gt;"",A79=Departments!$A$9)</formula>
    </cfRule>
    <cfRule type="expression" priority="757" dxfId="6" stopIfTrue="1">
      <formula>AND(A79&lt;&gt;"",A79=Departments!$A$10)</formula>
    </cfRule>
    <cfRule type="expression" priority="758" dxfId="7" stopIfTrue="1">
      <formula>AND(A79&lt;&gt;"",A79=Departments!$A$11)</formula>
    </cfRule>
    <cfRule type="expression" priority="759" dxfId="8" stopIfTrue="1">
      <formula>AND(A79&lt;&gt;"",A79=Departments!$A$12)</formula>
    </cfRule>
    <cfRule type="expression" priority="760" dxfId="9" stopIfTrue="1">
      <formula>AND(A79&lt;&gt;"",A79=Departments!$A$13)</formula>
    </cfRule>
  </conditionalFormatting>
  <conditionalFormatting sqref="A80:G81">
    <cfRule type="expression" priority="761" dxfId="0" stopIfTrue="1">
      <formula>A$80=""</formula>
    </cfRule>
  </conditionalFormatting>
  <conditionalFormatting sqref="A81:G81">
    <cfRule type="expression" priority="762" dxfId="1" stopIfTrue="1">
      <formula>AND($C$4&lt;&gt;"",A81=$C$4)</formula>
    </cfRule>
    <cfRule type="expression" priority="763" dxfId="2" stopIfTrue="1">
      <formula>AND(A81&lt;&gt;"",A81=Departments!$A$6)</formula>
    </cfRule>
    <cfRule type="expression" priority="764" dxfId="3" stopIfTrue="1">
      <formula>AND(A81&lt;&gt;"",A81=Departments!$A$7)</formula>
    </cfRule>
    <cfRule type="expression" priority="765" dxfId="4" stopIfTrue="1">
      <formula>AND(A81&lt;&gt;"",A81=Departments!$A$8)</formula>
    </cfRule>
    <cfRule type="expression" priority="766" dxfId="5" stopIfTrue="1">
      <formula>AND(A81&lt;&gt;"",A81=Departments!$A$9)</formula>
    </cfRule>
    <cfRule type="expression" priority="767" dxfId="6" stopIfTrue="1">
      <formula>AND(A81&lt;&gt;"",A81=Departments!$A$10)</formula>
    </cfRule>
    <cfRule type="expression" priority="768" dxfId="7" stopIfTrue="1">
      <formula>AND(A81&lt;&gt;"",A81=Departments!$A$11)</formula>
    </cfRule>
    <cfRule type="expression" priority="769" dxfId="8" stopIfTrue="1">
      <formula>AND(A81&lt;&gt;"",A81=Departments!$A$12)</formula>
    </cfRule>
    <cfRule type="expression" priority="770" dxfId="9" stopIfTrue="1">
      <formula>AND(A81&lt;&gt;"",A81=Departments!$A$13)</formula>
    </cfRule>
  </conditionalFormatting>
  <conditionalFormatting sqref="A82:G83">
    <cfRule type="expression" priority="771" dxfId="0" stopIfTrue="1">
      <formula>A$82=""</formula>
    </cfRule>
  </conditionalFormatting>
  <conditionalFormatting sqref="A83:G83">
    <cfRule type="expression" priority="772" dxfId="1" stopIfTrue="1">
      <formula>AND($C$4&lt;&gt;"",A83=$C$4)</formula>
    </cfRule>
    <cfRule type="expression" priority="773" dxfId="2" stopIfTrue="1">
      <formula>AND(A83&lt;&gt;"",A83=Departments!$A$6)</formula>
    </cfRule>
    <cfRule type="expression" priority="774" dxfId="3" stopIfTrue="1">
      <formula>AND(A83&lt;&gt;"",A83=Departments!$A$7)</formula>
    </cfRule>
    <cfRule type="expression" priority="775" dxfId="4" stopIfTrue="1">
      <formula>AND(A83&lt;&gt;"",A83=Departments!$A$8)</formula>
    </cfRule>
    <cfRule type="expression" priority="776" dxfId="5" stopIfTrue="1">
      <formula>AND(A83&lt;&gt;"",A83=Departments!$A$9)</formula>
    </cfRule>
    <cfRule type="expression" priority="777" dxfId="6" stopIfTrue="1">
      <formula>AND(A83&lt;&gt;"",A83=Departments!$A$10)</formula>
    </cfRule>
    <cfRule type="expression" priority="778" dxfId="7" stopIfTrue="1">
      <formula>AND(A83&lt;&gt;"",A83=Departments!$A$11)</formula>
    </cfRule>
    <cfRule type="expression" priority="779" dxfId="8" stopIfTrue="1">
      <formula>AND(A83&lt;&gt;"",A83=Departments!$A$12)</formula>
    </cfRule>
    <cfRule type="expression" priority="780" dxfId="9" stopIfTrue="1">
      <formula>AND(A83&lt;&gt;"",A83=Departments!$A$13)</formula>
    </cfRule>
  </conditionalFormatting>
  <conditionalFormatting sqref="AA5:AJ5">
    <cfRule type="expression" priority="781" dxfId="2" stopIfTrue="1">
      <formula>AND(AA5&lt;&gt;"",AA5=Departments!$A$6)</formula>
    </cfRule>
    <cfRule type="expression" priority="782" dxfId="3" stopIfTrue="1">
      <formula>AND(AA5&lt;&gt;"",AA5=Departments!$A$7)</formula>
    </cfRule>
    <cfRule type="expression" priority="783" dxfId="4" stopIfTrue="1">
      <formula>AND(AA5&lt;&gt;"",AA5=Departments!$A$8)</formula>
    </cfRule>
    <cfRule type="expression" priority="784" dxfId="5" stopIfTrue="1">
      <formula>AND(AA5&lt;&gt;"",AA5=Departments!$A$9)</formula>
    </cfRule>
    <cfRule type="expression" priority="785" dxfId="6" stopIfTrue="1">
      <formula>AND(AA5&lt;&gt;"",AA5=Departments!$A$10)</formula>
    </cfRule>
    <cfRule type="expression" priority="786" dxfId="7" stopIfTrue="1">
      <formula>AND(AA5&lt;&gt;"",AA5=Departments!$A$11)</formula>
    </cfRule>
    <cfRule type="expression" priority="787" dxfId="8" stopIfTrue="1">
      <formula>AND(AA5&lt;&gt;"",AA5=Departments!$A$12)</formula>
    </cfRule>
    <cfRule type="expression" priority="788" dxfId="9" stopIfTrue="1">
      <formula>AND(AA5&lt;&gt;"",AA5=Departments!$A$13)</formula>
    </cfRule>
  </conditionalFormatting>
  <dataValidations count="2">
    <dataValidation sqref="C4" showDropDown="0" showInputMessage="0" showErrorMessage="0" allowBlank="1" type="list">
      <formula1>Depts</formula1>
    </dataValidation>
    <dataValidation sqref="A9:G9 A11:G11 A13:G13 A15:G15 A17:G17 A19:G19 A25:G25 A27:G27 A29:G29 A31:G31 A33:G33 A35:G35 A41:G41 A43:G43 A45:G45 A47:G47 A49:G49 A51:G51 A57:G57 A59:G59 A61:G61 A63:G63 A65:G65 A67:G67 A73:G73 A75:G75 A77:G77 A79:G79 A81:G81 A83:G83 I9:O9 I11:O11 I13:O13 I15:O15 I17:O17 I19:O19 I25:O25 I27:O27 I29:O29 I31:O31 I33:O33 I35:O35 I41:O41 I43:O43 I45:O45 I47:O47 I49:O49 I51:O51 I57:O57 I59:O59 I61:O61 I63:O63 I65:O65 I67:O67 Q9:W9 Q11:W11 Q13:W13 Q15:W15 Q17:W17 Q19:W19 Q25:W25 Q27:W27 Q29:W29 Q31:W31 Q33:W33 Q35:W35 Q41:W41 Q43:W43 Q45:W45 Q47:W47 Q49:W49 Q51:W51 Q57:W57 Q59:W59 Q61:W61 Q63:W63 Q65:W65 Q67:W67" showDropDown="0" showInputMessage="0" showErrorMessage="1" allowBlank="1" errorTitle="SDO department" error="Pick a department from the list. Departments are listed on the Departments sheet." type="list" errorStyle="stop">
      <formula1>Depts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G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3" customWidth="1" min="4" max="4"/>
    <col width="12" customWidth="1" min="5" max="5"/>
    <col width="26" customWidth="1" min="6" max="6"/>
    <col width="14" customWidth="1" min="7" max="7"/>
  </cols>
  <sheetData>
    <row r="1" ht="30" customHeight="1">
      <c r="A1" s="1" t="inlineStr">
        <is>
          <t>DUTY CREW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Who can do each duty. Add people in the empty rows (no gaps). Department must match the Departments sheet.</t>
        </is>
      </c>
      <c r="B2" s="2" t="n"/>
      <c r="C2" s="2" t="n"/>
      <c r="D2" s="2" t="n"/>
      <c r="E2" s="2" t="n"/>
      <c r="F2" s="2" t="n"/>
      <c r="G2" s="2" t="n"/>
    </row>
    <row r="4">
      <c r="A4" s="13" t="inlineStr">
        <is>
          <t>BDO  |  BASE DUTY OFFICER</t>
        </is>
      </c>
      <c r="B4" s="14" t="n"/>
      <c r="C4" s="14" t="n"/>
      <c r="E4" s="24" t="inlineStr">
        <is>
          <t>SDO  |  SQUADRON DUTY ORDERLY</t>
        </is>
      </c>
      <c r="F4" s="25" t="n"/>
      <c r="G4" s="25" t="n"/>
    </row>
    <row r="5">
      <c r="A5" s="12" t="inlineStr">
        <is>
          <t>Callsign</t>
        </is>
      </c>
      <c r="B5" s="12" t="inlineStr">
        <is>
          <t>Name</t>
        </is>
      </c>
      <c r="C5" s="12" t="inlineStr">
        <is>
          <t>Department</t>
        </is>
      </c>
      <c r="E5" s="12" t="inlineStr">
        <is>
          <t>Callsign</t>
        </is>
      </c>
      <c r="F5" s="12" t="inlineStr">
        <is>
          <t>Name</t>
        </is>
      </c>
      <c r="G5" s="12" t="inlineStr">
        <is>
          <t>Department</t>
        </is>
      </c>
    </row>
    <row r="6">
      <c r="A6" s="26" t="inlineStr">
        <is>
          <t>VIPER</t>
        </is>
      </c>
      <c r="B6" s="27" t="inlineStr">
        <is>
          <t>MAJ Tan Wei Ming</t>
        </is>
      </c>
      <c r="C6" s="27" t="inlineStr">
        <is>
          <t>SUP 2</t>
        </is>
      </c>
      <c r="E6" s="26" t="inlineStr">
        <is>
          <t>ALPHA</t>
        </is>
      </c>
      <c r="F6" s="27" t="inlineStr">
        <is>
          <t>CPT Alan Teo</t>
        </is>
      </c>
      <c r="G6" s="27" t="inlineStr">
        <is>
          <t>SUP 1</t>
        </is>
      </c>
    </row>
    <row r="7">
      <c r="A7" s="26" t="inlineStr">
        <is>
          <t>HAWK</t>
        </is>
      </c>
      <c r="B7" s="27" t="inlineStr">
        <is>
          <t>CPT Sarah Lim</t>
        </is>
      </c>
      <c r="C7" s="27" t="inlineStr">
        <is>
          <t>SUP 2</t>
        </is>
      </c>
      <c r="E7" s="26" t="inlineStr">
        <is>
          <t>BRAVO</t>
        </is>
      </c>
      <c r="F7" s="27" t="inlineStr">
        <is>
          <t>LTA Grace Wong</t>
        </is>
      </c>
      <c r="G7" s="27" t="inlineStr">
        <is>
          <t>SUP 1</t>
        </is>
      </c>
    </row>
    <row r="8">
      <c r="A8" s="26" t="inlineStr">
        <is>
          <t>ALPHA</t>
        </is>
      </c>
      <c r="B8" s="27" t="inlineStr">
        <is>
          <t>CPT Alan Teo</t>
        </is>
      </c>
      <c r="C8" s="27" t="inlineStr">
        <is>
          <t>SUP 1</t>
        </is>
      </c>
      <c r="E8" s="26" t="inlineStr">
        <is>
          <t>CHARLIE</t>
        </is>
      </c>
      <c r="F8" s="27" t="inlineStr">
        <is>
          <t>CPT Daniel Tay</t>
        </is>
      </c>
      <c r="G8" s="27" t="inlineStr">
        <is>
          <t>SUP 1</t>
        </is>
      </c>
    </row>
    <row r="9">
      <c r="A9" s="26" t="inlineStr">
        <is>
          <t>CHARLIE</t>
        </is>
      </c>
      <c r="B9" s="27" t="inlineStr">
        <is>
          <t>CPT Daniel Tay</t>
        </is>
      </c>
      <c r="C9" s="27" t="inlineStr">
        <is>
          <t>SUP 1</t>
        </is>
      </c>
      <c r="E9" s="26" t="inlineStr">
        <is>
          <t>DELTA</t>
        </is>
      </c>
      <c r="F9" s="27" t="inlineStr">
        <is>
          <t>LTA Mei Ling Ho</t>
        </is>
      </c>
      <c r="G9" s="27" t="inlineStr">
        <is>
          <t>SUP 1</t>
        </is>
      </c>
    </row>
    <row r="10">
      <c r="A10" s="26" t="inlineStr">
        <is>
          <t>COBRA</t>
        </is>
      </c>
      <c r="B10" s="27" t="inlineStr">
        <is>
          <t>MAJ Faizal Rahman</t>
        </is>
      </c>
      <c r="C10" s="27" t="inlineStr">
        <is>
          <t>Pilot</t>
        </is>
      </c>
      <c r="E10" s="26" t="inlineStr">
        <is>
          <t>HAWK</t>
        </is>
      </c>
      <c r="F10" s="27" t="inlineStr">
        <is>
          <t>CPT Sarah Lim</t>
        </is>
      </c>
      <c r="G10" s="27" t="inlineStr">
        <is>
          <t>SUP 2</t>
        </is>
      </c>
    </row>
    <row r="11">
      <c r="A11" s="26" t="inlineStr">
        <is>
          <t>MAMBA</t>
        </is>
      </c>
      <c r="B11" s="27" t="inlineStr">
        <is>
          <t>LTC Goh Chee Keong</t>
        </is>
      </c>
      <c r="C11" s="27" t="inlineStr">
        <is>
          <t>Pilot</t>
        </is>
      </c>
      <c r="E11" s="26" t="inlineStr">
        <is>
          <t>RAPTOR</t>
        </is>
      </c>
      <c r="F11" s="27" t="inlineStr">
        <is>
          <t>CPT Kumaravel S.</t>
        </is>
      </c>
      <c r="G11" s="27" t="inlineStr">
        <is>
          <t>SUP 2</t>
        </is>
      </c>
    </row>
    <row r="12">
      <c r="A12" s="26" t="inlineStr">
        <is>
          <t>COPPERHEAD</t>
        </is>
      </c>
      <c r="B12" s="27" t="inlineStr">
        <is>
          <t>MAJ Ong Li Ting</t>
        </is>
      </c>
      <c r="C12" s="27" t="inlineStr">
        <is>
          <t>Pilot</t>
        </is>
      </c>
      <c r="E12" s="26" t="inlineStr">
        <is>
          <t>FALCON</t>
        </is>
      </c>
      <c r="F12" s="27" t="inlineStr">
        <is>
          <t>LTA Rachel Goh</t>
        </is>
      </c>
      <c r="G12" s="27" t="inlineStr">
        <is>
          <t>SUP 2</t>
        </is>
      </c>
    </row>
    <row r="13">
      <c r="A13" s="26" t="inlineStr">
        <is>
          <t>ADDER</t>
        </is>
      </c>
      <c r="B13" s="27" t="inlineStr">
        <is>
          <t>CPT Ryan Seah</t>
        </is>
      </c>
      <c r="C13" s="27" t="inlineStr">
        <is>
          <t>Pilot</t>
        </is>
      </c>
      <c r="E13" s="26" t="inlineStr">
        <is>
          <t>EAGLE</t>
        </is>
      </c>
      <c r="F13" s="27" t="inlineStr">
        <is>
          <t>LTA Marcus Chua</t>
        </is>
      </c>
      <c r="G13" s="27" t="inlineStr">
        <is>
          <t>SUP 2</t>
        </is>
      </c>
    </row>
    <row r="14">
      <c r="A14" s="26" t="inlineStr">
        <is>
          <t>ORCA</t>
        </is>
      </c>
      <c r="B14" s="27" t="inlineStr">
        <is>
          <t>CPT Priya Nair</t>
        </is>
      </c>
      <c r="C14" s="27" t="inlineStr">
        <is>
          <t>TACCO</t>
        </is>
      </c>
      <c r="E14" s="26" t="inlineStr">
        <is>
          <t>ATLAS</t>
        </is>
      </c>
      <c r="F14" s="27" t="inlineStr">
        <is>
          <t>ME2 Daniel Ong</t>
        </is>
      </c>
      <c r="G14" s="27" t="inlineStr">
        <is>
          <t>Loadmaster</t>
        </is>
      </c>
    </row>
    <row r="15">
      <c r="A15" s="26" t="inlineStr">
        <is>
          <t>MARLIN</t>
        </is>
      </c>
      <c r="B15" s="27" t="inlineStr">
        <is>
          <t>MAJ Ho Jun Jie</t>
        </is>
      </c>
      <c r="C15" s="27" t="inlineStr">
        <is>
          <t>TACCO</t>
        </is>
      </c>
      <c r="E15" s="26" t="inlineStr">
        <is>
          <t>ZEUS</t>
        </is>
      </c>
      <c r="F15" s="27" t="inlineStr">
        <is>
          <t>ME3 Kelvin Goh</t>
        </is>
      </c>
      <c r="G15" s="27" t="inlineStr">
        <is>
          <t>Loadmaster</t>
        </is>
      </c>
    </row>
    <row r="16">
      <c r="A16" s="26" t="inlineStr">
        <is>
          <t>BARRACUDA</t>
        </is>
      </c>
      <c r="B16" s="27" t="inlineStr">
        <is>
          <t>CPT Nadia Salleh</t>
        </is>
      </c>
      <c r="C16" s="27" t="inlineStr">
        <is>
          <t>TACCO</t>
        </is>
      </c>
      <c r="E16" s="26" t="inlineStr">
        <is>
          <t>APOLLO</t>
        </is>
      </c>
      <c r="F16" s="27" t="inlineStr">
        <is>
          <t>ME2 Farhan Ismail</t>
        </is>
      </c>
      <c r="G16" s="27" t="inlineStr">
        <is>
          <t>Loadmaster</t>
        </is>
      </c>
    </row>
    <row r="17">
      <c r="A17" s="26" t="n"/>
      <c r="B17" s="27" t="n"/>
      <c r="C17" s="27" t="n"/>
      <c r="E17" s="26" t="inlineStr">
        <is>
          <t>HERMES</t>
        </is>
      </c>
      <c r="F17" s="27" t="inlineStr">
        <is>
          <t>ME1 Joanne Teo</t>
        </is>
      </c>
      <c r="G17" s="27" t="inlineStr">
        <is>
          <t>Loadmaster</t>
        </is>
      </c>
    </row>
    <row r="18">
      <c r="A18" s="26" t="n"/>
      <c r="B18" s="27" t="n"/>
      <c r="C18" s="27" t="n"/>
      <c r="E18" s="26" t="n"/>
      <c r="F18" s="27" t="n"/>
      <c r="G18" s="27" t="n"/>
    </row>
    <row r="19">
      <c r="A19" s="26" t="n"/>
      <c r="B19" s="27" t="n"/>
      <c r="C19" s="27" t="n"/>
      <c r="E19" s="26" t="n"/>
      <c r="F19" s="27" t="n"/>
      <c r="G19" s="27" t="n"/>
    </row>
    <row r="20">
      <c r="A20" s="26" t="n"/>
      <c r="B20" s="27" t="n"/>
      <c r="C20" s="27" t="n"/>
      <c r="E20" s="26" t="n"/>
      <c r="F20" s="27" t="n"/>
      <c r="G20" s="27" t="n"/>
    </row>
    <row r="21">
      <c r="A21" s="26" t="n"/>
      <c r="B21" s="27" t="n"/>
      <c r="C21" s="27" t="n"/>
      <c r="E21" s="26" t="n"/>
      <c r="F21" s="27" t="n"/>
      <c r="G21" s="27" t="n"/>
    </row>
    <row r="22">
      <c r="A22" s="26" t="n"/>
      <c r="B22" s="27" t="n"/>
      <c r="C22" s="27" t="n"/>
      <c r="E22" s="26" t="n"/>
      <c r="F22" s="27" t="n"/>
      <c r="G22" s="27" t="n"/>
    </row>
    <row r="23">
      <c r="A23" s="26" t="n"/>
      <c r="B23" s="27" t="n"/>
      <c r="C23" s="27" t="n"/>
      <c r="E23" s="26" t="n"/>
      <c r="F23" s="27" t="n"/>
      <c r="G23" s="27" t="n"/>
    </row>
    <row r="24">
      <c r="A24" s="26" t="n"/>
      <c r="B24" s="27" t="n"/>
      <c r="C24" s="27" t="n"/>
      <c r="E24" s="26" t="n"/>
      <c r="F24" s="27" t="n"/>
      <c r="G24" s="27" t="n"/>
    </row>
    <row r="25">
      <c r="A25" s="26" t="n"/>
      <c r="B25" s="27" t="n"/>
      <c r="C25" s="27" t="n"/>
      <c r="E25" s="26" t="n"/>
      <c r="F25" s="27" t="n"/>
      <c r="G25" s="27" t="n"/>
    </row>
    <row r="26">
      <c r="A26" s="26" t="n"/>
      <c r="B26" s="27" t="n"/>
      <c r="C26" s="27" t="n"/>
      <c r="E26" s="26" t="n"/>
      <c r="F26" s="27" t="n"/>
      <c r="G26" s="27" t="n"/>
    </row>
    <row r="27">
      <c r="A27" s="26" t="n"/>
      <c r="B27" s="27" t="n"/>
      <c r="C27" s="27" t="n"/>
      <c r="E27" s="26" t="n"/>
      <c r="F27" s="27" t="n"/>
      <c r="G27" s="27" t="n"/>
    </row>
    <row r="28">
      <c r="A28" s="26" t="n"/>
      <c r="B28" s="27" t="n"/>
      <c r="C28" s="27" t="n"/>
      <c r="E28" s="26" t="n"/>
      <c r="F28" s="27" t="n"/>
      <c r="G28" s="27" t="n"/>
    </row>
    <row r="29">
      <c r="A29" s="26" t="n"/>
      <c r="B29" s="27" t="n"/>
      <c r="C29" s="27" t="n"/>
      <c r="E29" s="26" t="n"/>
      <c r="F29" s="27" t="n"/>
      <c r="G29" s="27" t="n"/>
    </row>
    <row r="30">
      <c r="A30" s="26" t="n"/>
      <c r="B30" s="27" t="n"/>
      <c r="C30" s="27" t="n"/>
      <c r="E30" s="26" t="n"/>
      <c r="F30" s="27" t="n"/>
      <c r="G30" s="27" t="n"/>
    </row>
    <row r="31">
      <c r="A31" s="26" t="n"/>
      <c r="B31" s="27" t="n"/>
      <c r="C31" s="27" t="n"/>
      <c r="E31" s="26" t="n"/>
      <c r="F31" s="27" t="n"/>
      <c r="G31" s="27" t="n"/>
    </row>
    <row r="32">
      <c r="A32" s="26" t="n"/>
      <c r="B32" s="27" t="n"/>
      <c r="C32" s="27" t="n"/>
      <c r="E32" s="26" t="n"/>
      <c r="F32" s="27" t="n"/>
      <c r="G32" s="27" t="n"/>
    </row>
    <row r="33">
      <c r="A33" s="26" t="n"/>
      <c r="B33" s="27" t="n"/>
      <c r="C33" s="27" t="n"/>
      <c r="E33" s="26" t="n"/>
      <c r="F33" s="27" t="n"/>
      <c r="G33" s="27" t="n"/>
    </row>
    <row r="34">
      <c r="A34" s="26" t="n"/>
      <c r="B34" s="27" t="n"/>
      <c r="C34" s="27" t="n"/>
      <c r="E34" s="26" t="n"/>
      <c r="F34" s="27" t="n"/>
      <c r="G34" s="27" t="n"/>
    </row>
    <row r="35">
      <c r="A35" s="26" t="n"/>
      <c r="B35" s="27" t="n"/>
      <c r="C35" s="27" t="n"/>
      <c r="E35" s="26" t="n"/>
      <c r="F35" s="27" t="n"/>
      <c r="G35" s="27" t="n"/>
    </row>
    <row r="36">
      <c r="A36" s="26" t="n"/>
      <c r="B36" s="27" t="n"/>
      <c r="C36" s="27" t="n"/>
      <c r="E36" s="26" t="n"/>
      <c r="F36" s="27" t="n"/>
      <c r="G36" s="27" t="n"/>
    </row>
    <row r="37">
      <c r="A37" s="26" t="n"/>
      <c r="B37" s="27" t="n"/>
      <c r="C37" s="27" t="n"/>
      <c r="E37" s="26" t="n"/>
      <c r="F37" s="27" t="n"/>
      <c r="G37" s="27" t="n"/>
    </row>
    <row r="38">
      <c r="A38" s="26" t="n"/>
      <c r="B38" s="27" t="n"/>
      <c r="C38" s="27" t="n"/>
      <c r="E38" s="26" t="n"/>
      <c r="F38" s="27" t="n"/>
      <c r="G38" s="27" t="n"/>
    </row>
    <row r="39">
      <c r="A39" s="26" t="n"/>
      <c r="B39" s="27" t="n"/>
      <c r="C39" s="27" t="n"/>
      <c r="E39" s="26" t="n"/>
      <c r="F39" s="27" t="n"/>
      <c r="G39" s="27" t="n"/>
    </row>
    <row r="40">
      <c r="A40" s="26" t="n"/>
      <c r="B40" s="27" t="n"/>
      <c r="C40" s="27" t="n"/>
      <c r="E40" s="26" t="n"/>
      <c r="F40" s="27" t="n"/>
      <c r="G40" s="27" t="n"/>
    </row>
    <row r="41">
      <c r="A41" s="26" t="n"/>
      <c r="B41" s="27" t="n"/>
      <c r="C41" s="27" t="n"/>
      <c r="E41" s="26" t="n"/>
      <c r="F41" s="27" t="n"/>
      <c r="G41" s="27" t="n"/>
    </row>
    <row r="42">
      <c r="A42" s="26" t="n"/>
      <c r="B42" s="27" t="n"/>
      <c r="C42" s="27" t="n"/>
      <c r="E42" s="26" t="n"/>
      <c r="F42" s="27" t="n"/>
      <c r="G42" s="27" t="n"/>
    </row>
    <row r="43">
      <c r="A43" s="26" t="n"/>
      <c r="B43" s="27" t="n"/>
      <c r="C43" s="27" t="n"/>
      <c r="E43" s="26" t="n"/>
      <c r="F43" s="27" t="n"/>
      <c r="G43" s="27" t="n"/>
    </row>
    <row r="44">
      <c r="A44" s="26" t="n"/>
      <c r="B44" s="27" t="n"/>
      <c r="C44" s="27" t="n"/>
      <c r="E44" s="26" t="n"/>
      <c r="F44" s="27" t="n"/>
      <c r="G44" s="27" t="n"/>
    </row>
    <row r="45">
      <c r="A45" s="26" t="n"/>
      <c r="B45" s="27" t="n"/>
      <c r="C45" s="27" t="n"/>
      <c r="E45" s="26" t="n"/>
      <c r="F45" s="27" t="n"/>
      <c r="G45" s="27" t="n"/>
    </row>
    <row r="46">
      <c r="A46" s="26" t="n"/>
      <c r="B46" s="27" t="n"/>
      <c r="C46" s="27" t="n"/>
      <c r="E46" s="26" t="n"/>
      <c r="F46" s="27" t="n"/>
      <c r="G46" s="27" t="n"/>
    </row>
    <row r="47">
      <c r="A47" s="26" t="n"/>
      <c r="B47" s="27" t="n"/>
      <c r="C47" s="27" t="n"/>
      <c r="E47" s="26" t="n"/>
      <c r="F47" s="27" t="n"/>
      <c r="G47" s="27" t="n"/>
    </row>
    <row r="48">
      <c r="A48" s="26" t="n"/>
      <c r="B48" s="27" t="n"/>
      <c r="C48" s="27" t="n"/>
      <c r="E48" s="26" t="n"/>
      <c r="F48" s="27" t="n"/>
      <c r="G48" s="27" t="n"/>
    </row>
    <row r="49">
      <c r="A49" s="26" t="n"/>
      <c r="B49" s="27" t="n"/>
      <c r="C49" s="27" t="n"/>
      <c r="E49" s="26" t="n"/>
      <c r="F49" s="27" t="n"/>
      <c r="G49" s="27" t="n"/>
    </row>
    <row r="50">
      <c r="A50" s="26" t="n"/>
      <c r="B50" s="27" t="n"/>
      <c r="C50" s="27" t="n"/>
      <c r="E50" s="26" t="n"/>
      <c r="F50" s="27" t="n"/>
      <c r="G50" s="27" t="n"/>
    </row>
    <row r="51">
      <c r="A51" s="26" t="n"/>
      <c r="B51" s="27" t="n"/>
      <c r="C51" s="27" t="n"/>
      <c r="E51" s="26" t="n"/>
      <c r="F51" s="27" t="n"/>
      <c r="G51" s="27" t="n"/>
    </row>
    <row r="52">
      <c r="A52" s="26" t="n"/>
      <c r="B52" s="27" t="n"/>
      <c r="C52" s="27" t="n"/>
      <c r="E52" s="26" t="n"/>
      <c r="F52" s="27" t="n"/>
      <c r="G52" s="27" t="n"/>
    </row>
    <row r="53">
      <c r="A53" s="26" t="n"/>
      <c r="B53" s="27" t="n"/>
      <c r="C53" s="27" t="n"/>
      <c r="E53" s="26" t="n"/>
      <c r="F53" s="27" t="n"/>
      <c r="G53" s="27" t="n"/>
    </row>
    <row r="54">
      <c r="A54" s="26" t="n"/>
      <c r="B54" s="27" t="n"/>
      <c r="C54" s="27" t="n"/>
      <c r="E54" s="26" t="n"/>
      <c r="F54" s="27" t="n"/>
      <c r="G54" s="27" t="n"/>
    </row>
    <row r="55">
      <c r="A55" s="26" t="n"/>
      <c r="B55" s="27" t="n"/>
      <c r="C55" s="27" t="n"/>
      <c r="E55" s="26" t="n"/>
      <c r="F55" s="27" t="n"/>
      <c r="G55" s="27" t="n"/>
    </row>
  </sheetData>
  <mergeCells count="4">
    <mergeCell ref="A4:C4"/>
    <mergeCell ref="A2:G2"/>
    <mergeCell ref="E4:G4"/>
    <mergeCell ref="A1:G1"/>
  </mergeCells>
  <conditionalFormatting sqref="C6:C55">
    <cfRule type="expression" priority="1" dxfId="2" stopIfTrue="1">
      <formula>AND(C6&lt;&gt;"",C6=Departments!$A$6)</formula>
    </cfRule>
    <cfRule type="expression" priority="2" dxfId="3" stopIfTrue="1">
      <formula>AND(C6&lt;&gt;"",C6=Departments!$A$7)</formula>
    </cfRule>
    <cfRule type="expression" priority="3" dxfId="4" stopIfTrue="1">
      <formula>AND(C6&lt;&gt;"",C6=Departments!$A$8)</formula>
    </cfRule>
    <cfRule type="expression" priority="4" dxfId="5" stopIfTrue="1">
      <formula>AND(C6&lt;&gt;"",C6=Departments!$A$9)</formula>
    </cfRule>
    <cfRule type="expression" priority="5" dxfId="6" stopIfTrue="1">
      <formula>AND(C6&lt;&gt;"",C6=Departments!$A$10)</formula>
    </cfRule>
    <cfRule type="expression" priority="6" dxfId="7" stopIfTrue="1">
      <formula>AND(C6&lt;&gt;"",C6=Departments!$A$11)</formula>
    </cfRule>
    <cfRule type="expression" priority="7" dxfId="8" stopIfTrue="1">
      <formula>AND(C6&lt;&gt;"",C6=Departments!$A$12)</formula>
    </cfRule>
    <cfRule type="expression" priority="8" dxfId="9" stopIfTrue="1">
      <formula>AND(C6&lt;&gt;"",C6=Departments!$A$13)</formula>
    </cfRule>
  </conditionalFormatting>
  <conditionalFormatting sqref="G6:G55">
    <cfRule type="expression" priority="9" dxfId="2" stopIfTrue="1">
      <formula>AND(G6&lt;&gt;"",G6=Departments!$A$6)</formula>
    </cfRule>
    <cfRule type="expression" priority="10" dxfId="3" stopIfTrue="1">
      <formula>AND(G6&lt;&gt;"",G6=Departments!$A$7)</formula>
    </cfRule>
    <cfRule type="expression" priority="11" dxfId="4" stopIfTrue="1">
      <formula>AND(G6&lt;&gt;"",G6=Departments!$A$8)</formula>
    </cfRule>
    <cfRule type="expression" priority="12" dxfId="5" stopIfTrue="1">
      <formula>AND(G6&lt;&gt;"",G6=Departments!$A$9)</formula>
    </cfRule>
    <cfRule type="expression" priority="13" dxfId="6" stopIfTrue="1">
      <formula>AND(G6&lt;&gt;"",G6=Departments!$A$10)</formula>
    </cfRule>
    <cfRule type="expression" priority="14" dxfId="7" stopIfTrue="1">
      <formula>AND(G6&lt;&gt;"",G6=Departments!$A$11)</formula>
    </cfRule>
    <cfRule type="expression" priority="15" dxfId="8" stopIfTrue="1">
      <formula>AND(G6&lt;&gt;"",G6=Departments!$A$12)</formula>
    </cfRule>
    <cfRule type="expression" priority="16" dxfId="9" stopIfTrue="1">
      <formula>AND(G6&lt;&gt;"",G6=Departments!$A$13)</formula>
    </cfRule>
  </conditionalFormatting>
  <dataValidations count="2">
    <dataValidation sqref="C6:C55" showDropDown="0" showInputMessage="0" showErrorMessage="0" allowBlank="1" type="list">
      <formula1>Depts</formula1>
    </dataValidation>
    <dataValidation sqref="G6:G55" showDropDown="0" showInputMessage="0" showErrorMessage="0" allowBlank="1" type="list">
      <formula1>Depts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</cols>
  <sheetData>
    <row r="1" ht="30" customHeight="1">
      <c r="A1" s="1" t="inlineStr">
        <is>
          <t>DEPARTMENTS</t>
        </is>
      </c>
      <c r="B1" s="2" t="n"/>
      <c r="C1" s="2" t="n"/>
    </row>
    <row r="2" ht="18" customHeight="1">
      <c r="A2" s="3" t="inlineStr">
        <is>
          <t>Add a department in the next empty cell (no gaps). Spell it exactly as in that department's planner (Dashboard, cell G5).</t>
        </is>
      </c>
      <c r="B2" s="2" t="n"/>
      <c r="C2" s="2" t="n"/>
    </row>
    <row r="5">
      <c r="A5" s="12" t="inlineStr">
        <is>
          <t>Department</t>
        </is>
      </c>
    </row>
    <row r="6">
      <c r="A6" s="28" t="inlineStr">
        <is>
          <t>SUP 1</t>
        </is>
      </c>
    </row>
    <row r="7">
      <c r="A7" s="29" t="inlineStr">
        <is>
          <t>SUP 2</t>
        </is>
      </c>
    </row>
    <row r="8">
      <c r="A8" s="30" t="inlineStr">
        <is>
          <t>Loadmaster</t>
        </is>
      </c>
    </row>
    <row r="9">
      <c r="A9" s="31" t="inlineStr">
        <is>
          <t>TACCO</t>
        </is>
      </c>
    </row>
    <row r="10">
      <c r="A10" s="32" t="inlineStr">
        <is>
          <t>Pilot</t>
        </is>
      </c>
    </row>
    <row r="11">
      <c r="A11" s="33" t="n"/>
    </row>
    <row r="12">
      <c r="A12" s="34" t="n"/>
    </row>
    <row r="13">
      <c r="A13" s="35" t="n"/>
    </row>
    <row r="14">
      <c r="A14" s="36" t="n"/>
    </row>
    <row r="15">
      <c r="A15" s="36" t="n"/>
    </row>
    <row r="16">
      <c r="A16" s="36" t="n"/>
    </row>
    <row r="17">
      <c r="A17" s="36" t="n"/>
    </row>
    <row r="18">
      <c r="A18" s="36" t="n"/>
    </row>
    <row r="19">
      <c r="A19" s="36" t="n"/>
    </row>
    <row r="20">
      <c r="A20" s="36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2026-10-31T05:20:30Z</dcterms:created>
  <dcterms:modified xmlns:dcterms="http://purl.org/dc/terms/" xmlns:xsi="http://www.w3.org/2001/XMLSchema-instance" xsi:type="dcterms:W3CDTF">2026-10-31T05:20:30Z</dcterms:modified>
</cp:coreProperties>
</file>