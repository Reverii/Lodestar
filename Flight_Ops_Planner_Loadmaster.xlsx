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Daily View" sheetId="3" state="visible" r:id="rId3"/>
    <sheet xmlns:r="http://schemas.openxmlformats.org/officeDocument/2006/relationships" name="SDO Plan" sheetId="4" state="visible" r:id="rId4"/>
    <sheet xmlns:r="http://schemas.openxmlformats.org/officeDocument/2006/relationships" name="BDO Plan" sheetId="5" state="visible" r:id="rId5"/>
    <sheet xmlns:r="http://schemas.openxmlformats.org/officeDocument/2006/relationships" name="Roster" sheetId="6" state="visible" r:id="rId6"/>
    <sheet xmlns:r="http://schemas.openxmlformats.org/officeDocument/2006/relationships" name="Personnel Info" sheetId="7" state="visible" r:id="rId7"/>
    <sheet xmlns:r="http://schemas.openxmlformats.org/officeDocument/2006/relationships" name="Cell Notes" sheetId="8" state="visible" r:id="rId8"/>
    <sheet xmlns:r="http://schemas.openxmlformats.org/officeDocument/2006/relationships" name="Medical Chits" sheetId="9" state="visible" r:id="rId9"/>
    <sheet xmlns:r="http://schemas.openxmlformats.org/officeDocument/2006/relationships" name="Requests" sheetId="10" state="visible" r:id="rId10"/>
    <sheet xmlns:r="http://schemas.openxmlformats.org/officeDocument/2006/relationships" name="Syllabus Log" sheetId="11" state="visible" r:id="rId11"/>
    <sheet xmlns:r="http://schemas.openxmlformats.org/officeDocument/2006/relationships" name="Syllabus Settings" sheetId="12" state="visible" r:id="rId12"/>
    <sheet xmlns:r="http://schemas.openxmlformats.org/officeDocument/2006/relationships" name="Syllabus Stages" sheetId="13" state="visible" r:id="rId13"/>
    <sheet xmlns:r="http://schemas.openxmlformats.org/officeDocument/2006/relationships" name="Syllabus Items" sheetId="14" state="visible" r:id="rId14"/>
    <sheet xmlns:r="http://schemas.openxmlformats.org/officeDocument/2006/relationships" name="Currency" sheetId="15" state="visible" r:id="rId15"/>
    <sheet xmlns:r="http://schemas.openxmlformats.org/officeDocument/2006/relationships" name="Currency Rules" sheetId="16" state="visible" r:id="rId16"/>
    <sheet xmlns:r="http://schemas.openxmlformats.org/officeDocument/2006/relationships" name="Activities" sheetId="17" state="visible" r:id="rId17"/>
    <sheet xmlns:r="http://schemas.openxmlformats.org/officeDocument/2006/relationships" name="Jan" sheetId="18" state="visible" r:id="rId18"/>
    <sheet xmlns:r="http://schemas.openxmlformats.org/officeDocument/2006/relationships" name="Feb" sheetId="19" state="visible" r:id="rId19"/>
    <sheet xmlns:r="http://schemas.openxmlformats.org/officeDocument/2006/relationships" name="Mar" sheetId="20" state="visible" r:id="rId20"/>
    <sheet xmlns:r="http://schemas.openxmlformats.org/officeDocument/2006/relationships" name="Apr" sheetId="21" state="visible" r:id="rId21"/>
    <sheet xmlns:r="http://schemas.openxmlformats.org/officeDocument/2006/relationships" name="May" sheetId="22" state="visible" r:id="rId22"/>
    <sheet xmlns:r="http://schemas.openxmlformats.org/officeDocument/2006/relationships" name="Jun" sheetId="23" state="visible" r:id="rId23"/>
    <sheet xmlns:r="http://schemas.openxmlformats.org/officeDocument/2006/relationships" name="Jul" sheetId="24" state="visible" r:id="rId24"/>
    <sheet xmlns:r="http://schemas.openxmlformats.org/officeDocument/2006/relationships" name="Aug" sheetId="25" state="visible" r:id="rId25"/>
    <sheet xmlns:r="http://schemas.openxmlformats.org/officeDocument/2006/relationships" name="Sep" sheetId="26" state="visible" r:id="rId26"/>
    <sheet xmlns:r="http://schemas.openxmlformats.org/officeDocument/2006/relationships" name="Oct" sheetId="27" state="visible" r:id="rId27"/>
    <sheet xmlns:r="http://schemas.openxmlformats.org/officeDocument/2006/relationships" name="Nov" sheetId="28" state="visible" r:id="rId28"/>
    <sheet xmlns:r="http://schemas.openxmlformats.org/officeDocument/2006/relationships" name="Dec" sheetId="29" state="visible" r:id="rId29"/>
    <sheet xmlns:r="http://schemas.openxmlformats.org/officeDocument/2006/relationships" name="Jan (next year)" sheetId="30" state="visible" r:id="rId30"/>
  </sheets>
  <definedNames>
    <definedName name="CrewName">Roster!$C$6:$C$65</definedName>
    <definedName name="CrewCat">Roster!$E$6:$E$65</definedName>
    <definedName name="CrewStatus">Roster!$G$6:$G$65</definedName>
    <definedName name="NoteKey">'Cell Notes'!$G$6:$G$1505</definedName>
    <definedName name="SylStageList">'Syllabus Stages'!$A$6:INDEX('Syllabus Stages'!$A$6:$A$25,MAX(1,COUNTA('Syllabus Stages'!$A$6:$A$25)))</definedName>
    <definedName name="ActSort">Activities!$L$6:$L$65</definedName>
    <definedName name="FlightCodes">Activities!$N$6:INDEX(Activities!$N$6:$N$65,MAX(1,COUNTIF(Activities!$C$6:$C$65,Activities!$G$6)))</definedName>
    <definedName name="WdCodes">Activities!$P$6:INDEX(Activities!$P$6:$P$65,MAX(1,COUNTIF(Activities!$C$6:$C$65,Activities!$G$8)+COUNTIF(Activities!$C$6:$C$65,Activities!$G$12)))</definedName>
    <definedName name="ActCodesAll">Activities!$A$6:$A$65</definedName>
    <definedName name="ActCat">Activities!$C$6:$C$65</definedName>
    <definedName name="ActHrs">Activities!$D$6:$D$65</definedName>
    <definedName name="ActCodes">Activities!$A$6:INDEX(Activities!$A$6:$A$65,MAX(1,COUNTA(Activities!$A$6:$A$65)))</definedName>
    <definedName name="Categories">Activities!$G$6:$G$14</definedName>
    <definedName name="Holidays">Activities!$I$6:$I$35</definedName>
    <definedName name="ThisDept">Dashboard!$G$5</definedName>
    <definedName name="PlanYear">Dashboard!$A$5</definedName>
    <definedName name="MonthIdx">Dashboard!$Z$1</definedName>
    <definedName name="_xlnm._FilterDatabase" localSheetId="0" hidden="1">'Dashboard'!$A$11:$I$71</definedName>
    <definedName name="_xlnm._FilterDatabase" localSheetId="2" hidden="1">'Daily View'!$A$10:$G$70</definedName>
    <definedName name="_xlnm._FilterDatabase" localSheetId="6" hidden="1">'Personnel Info'!$A$5:$R$65</definedName>
    <definedName name="_xlnm._FilterDatabase" localSheetId="7" hidden="1">'Cell Notes'!$A$5:$G$1505</definedName>
    <definedName name="_xlnm._FilterDatabase" localSheetId="14" hidden="1">'Currency'!$A$5:$AA$65</definedName>
    <definedName name="_xlnm._FilterDatabase" localSheetId="17" hidden="1">'Jan'!$A$26:$A$266</definedName>
    <definedName name="_xlnm.Print_Titles" localSheetId="17">'Jan'!$4:$5</definedName>
    <definedName name="_xlnm._FilterDatabase" localSheetId="18" hidden="1">'Feb'!$A$26:$A$266</definedName>
    <definedName name="_xlnm.Print_Titles" localSheetId="18">'Feb'!$4:$5</definedName>
    <definedName name="_xlnm._FilterDatabase" localSheetId="19" hidden="1">'Mar'!$A$26:$A$266</definedName>
    <definedName name="_xlnm.Print_Titles" localSheetId="19">'Mar'!$4:$5</definedName>
    <definedName name="_xlnm._FilterDatabase" localSheetId="20" hidden="1">'Apr'!$A$26:$A$266</definedName>
    <definedName name="_xlnm.Print_Titles" localSheetId="20">'Apr'!$4:$5</definedName>
    <definedName name="_xlnm._FilterDatabase" localSheetId="21" hidden="1">'May'!$A$26:$A$266</definedName>
    <definedName name="_xlnm.Print_Titles" localSheetId="21">'May'!$4:$5</definedName>
    <definedName name="_xlnm._FilterDatabase" localSheetId="22" hidden="1">'Jun'!$A$26:$A$266</definedName>
    <definedName name="_xlnm.Print_Titles" localSheetId="22">'Jun'!$4:$5</definedName>
    <definedName name="_xlnm._FilterDatabase" localSheetId="23" hidden="1">'Jul'!$A$26:$A$266</definedName>
    <definedName name="_xlnm.Print_Titles" localSheetId="23">'Jul'!$4:$5</definedName>
    <definedName name="_xlnm._FilterDatabase" localSheetId="24" hidden="1">'Aug'!$A$26:$A$266</definedName>
    <definedName name="_xlnm.Print_Titles" localSheetId="24">'Aug'!$4:$5</definedName>
    <definedName name="_xlnm._FilterDatabase" localSheetId="25" hidden="1">'Sep'!$A$26:$A$266</definedName>
    <definedName name="_xlnm.Print_Titles" localSheetId="25">'Sep'!$4:$5</definedName>
    <definedName name="_xlnm._FilterDatabase" localSheetId="26" hidden="1">'Oct'!$A$26:$A$266</definedName>
    <definedName name="_xlnm.Print_Titles" localSheetId="26">'Oct'!$4:$5</definedName>
    <definedName name="_xlnm._FilterDatabase" localSheetId="27" hidden="1">'Nov'!$A$26:$A$266</definedName>
    <definedName name="_xlnm.Print_Titles" localSheetId="27">'Nov'!$4:$5</definedName>
    <definedName name="_xlnm._FilterDatabase" localSheetId="28" hidden="1">'Dec'!$A$26:$A$266</definedName>
    <definedName name="_xlnm.Print_Titles" localSheetId="28">'Dec'!$4:$5</definedName>
    <definedName name="_xlnm._FilterDatabase" localSheetId="29" hidden="1">'Jan (next year)'!$A$26:$A$266</definedName>
    <definedName name="_xlnm.Print_Titles" localSheetId="29">'Jan (next year)'!$4:$5</definedName>
  </definedNames>
  <calcPr calcId="124519" fullCalcOnLoad="1"/>
</workbook>
</file>

<file path=xl/styles.xml><?xml version="1.0" encoding="utf-8"?>
<styleSheet xmlns="http://schemas.openxmlformats.org/spreadsheetml/2006/main">
  <numFmts count="12">
    <numFmt numFmtId="164" formatCode="ddd dd mmm yyyy"/>
    <numFmt numFmtId="165" formatCode="dd mmm yyyy"/>
    <numFmt numFmtId="166" formatCode="0.0;-0.0;-"/>
    <numFmt numFmtId="167" formatCode="dd-mmm-yy"/>
    <numFmt numFmtId="168" formatCode="d"/>
    <numFmt numFmtId="169" formatCode="0;-0;-"/>
    <numFmt numFmtId="170" formatCode=";;;"/>
    <numFmt numFmtId="171" formatCode="dd"/>
    <numFmt numFmtId="172" formatCode="ddd"/>
    <numFmt numFmtId="173" formatCode="0.0"/>
    <numFmt numFmtId="174" formatCode="0.0;-0.0;"/>
    <numFmt numFmtId="175" formatCode="ddd dd-mmm-yyyy"/>
  </numFmts>
  <fonts count="68">
    <font>
      <name val="Calibri"/>
      <family val="2"/>
      <color theme="1"/>
      <sz val="11"/>
      <scheme val="minor"/>
    </font>
    <font>
      <name val="Arial"/>
      <b val="1"/>
      <color rgb="00FFFFFF"/>
      <sz val="16"/>
    </font>
    <font>
      <name val="Arial"/>
      <color rgb="0094A3B8"/>
      <sz val="10"/>
    </font>
    <font>
      <name val="Arial"/>
      <b val="1"/>
      <color rgb="00FFFFFF"/>
      <sz val="10"/>
    </font>
    <font>
      <name val="Arial"/>
      <color rgb="001D4ED8"/>
      <sz val="10"/>
    </font>
    <font>
      <name val="Arial"/>
      <i val="1"/>
      <color rgb="0064748B"/>
      <sz val="10"/>
    </font>
    <font>
      <name val="Arial"/>
      <b val="1"/>
      <color rgb="007E22CE"/>
      <sz val="9"/>
    </font>
    <font>
      <name val="Arial"/>
      <i val="1"/>
      <color rgb="0064748B"/>
      <sz val="9"/>
    </font>
    <font>
      <name val="Arial"/>
      <color rgb="0094A3B8"/>
      <sz val="8"/>
    </font>
    <font>
      <name val="Arial"/>
      <b val="1"/>
      <color rgb="000F172A"/>
      <sz val="10"/>
    </font>
    <font>
      <name val="Arial"/>
      <b val="1"/>
      <color rgb="001D4ED8"/>
      <sz val="12"/>
    </font>
    <font>
      <name val="Arial"/>
      <color rgb="0064748B"/>
      <sz val="9"/>
    </font>
    <font>
      <name val="Arial"/>
      <b val="1"/>
      <color rgb="001D4ED8"/>
      <sz val="10"/>
    </font>
    <font>
      <name val="Arial"/>
      <b val="1"/>
      <color rgb="001E3A8A"/>
      <sz val="10"/>
    </font>
    <font>
      <name val="Arial"/>
      <b val="1"/>
      <color rgb="00164E63"/>
      <sz val="10"/>
    </font>
    <font>
      <name val="Arial"/>
      <b val="1"/>
      <color rgb="0078350F"/>
      <sz val="10"/>
    </font>
    <font>
      <name val="Arial"/>
      <b val="1"/>
      <color rgb="00881337"/>
      <sz val="10"/>
    </font>
    <font>
      <name val="Arial"/>
      <b val="1"/>
      <i val="1"/>
      <color rgb="0064748B"/>
      <sz val="10"/>
    </font>
    <font>
      <name val="Arial"/>
      <b val="1"/>
      <color rgb="0094A3B8"/>
      <sz val="10"/>
    </font>
    <font>
      <name val="Arial"/>
      <b val="1"/>
      <color rgb="005B21B6"/>
      <sz val="10"/>
    </font>
    <font>
      <name val="Arial"/>
      <b val="1"/>
      <color rgb="009D174D"/>
      <sz val="10"/>
    </font>
    <font>
      <name val="Arial"/>
      <b val="1"/>
      <color rgb="0014532D"/>
      <sz val="10"/>
    </font>
    <font>
      <name val="Arial"/>
      <i val="1"/>
      <color rgb="0064748B"/>
      <sz val="8"/>
    </font>
    <font>
      <name val="Arial"/>
      <color rgb="00334155"/>
      <sz val="9"/>
    </font>
    <font>
      <name val="Arial"/>
      <b val="1"/>
      <color rgb="00334155"/>
      <sz val="9"/>
    </font>
    <font>
      <name val="Arial"/>
      <b val="1"/>
      <color rgb="005B21B6"/>
      <sz val="8"/>
    </font>
    <font>
      <name val="Arial"/>
      <color rgb="001E293B"/>
      <sz val="10"/>
    </font>
    <font>
      <name val="Arial"/>
      <b val="1"/>
      <color rgb="00B91C1C"/>
      <sz val="10"/>
    </font>
    <font>
      <name val="Arial"/>
      <b val="1"/>
      <color rgb="00FFFFFF"/>
      <sz val="11"/>
    </font>
    <font>
      <name val="Arial"/>
      <b val="1"/>
      <color rgb="00FFFFFF"/>
      <sz val="9"/>
    </font>
    <font>
      <name val="Arial"/>
      <b val="1"/>
      <color rgb="00FCD34D"/>
      <sz val="9"/>
    </font>
    <font>
      <name val="Arial"/>
      <b val="1"/>
      <color rgb="0064748B"/>
      <sz val="9"/>
    </font>
    <font>
      <name val="Arial"/>
      <b val="1"/>
      <color rgb="000F172A"/>
      <sz val="11"/>
    </font>
    <font>
      <name val="Arial"/>
      <color rgb="001D4ED8"/>
      <sz val="9"/>
      <u val="single"/>
    </font>
    <font>
      <name val="Consolas"/>
      <b val="1"/>
      <color rgb="00075985"/>
      <sz val="9"/>
    </font>
    <font>
      <name val="Arial"/>
      <i val="1"/>
      <color rgb="0092400E"/>
      <sz val="9"/>
    </font>
    <font>
      <name val="Consolas"/>
      <b val="1"/>
      <color rgb="0092400E"/>
      <sz val="9"/>
    </font>
    <font>
      <name val="Consolas"/>
      <b val="1"/>
      <color rgb="00C7D2FE"/>
      <sz val="9"/>
    </font>
    <font>
      <name val="Consolas"/>
      <b val="1"/>
      <color rgb="00166534"/>
      <sz val="9"/>
    </font>
    <font>
      <name val="Arial"/>
      <b val="1"/>
      <color rgb="00166534"/>
      <sz val="8"/>
    </font>
    <font>
      <name val="Arial"/>
      <i val="1"/>
      <color rgb="00166534"/>
      <sz val="8"/>
    </font>
    <font>
      <name val="Consolas"/>
      <b val="1"/>
      <color rgb="00881337"/>
      <sz val="9"/>
    </font>
    <font>
      <name val="Arial"/>
      <b val="1"/>
      <color rgb="00881337"/>
      <sz val="9"/>
    </font>
    <font>
      <name val="Arial"/>
      <i val="1"/>
      <color rgb="00881337"/>
      <sz val="8"/>
    </font>
    <font>
      <name val="Arial"/>
      <i val="1"/>
      <color rgb="0094A3B8"/>
      <sz val="8"/>
    </font>
    <font>
      <name val="Arial"/>
      <b val="1"/>
      <color rgb="001E293B"/>
      <sz val="11"/>
    </font>
    <font>
      <name val="Arial"/>
      <color rgb="00334155"/>
      <sz val="10"/>
    </font>
    <font>
      <name val="Consolas"/>
      <b val="1"/>
      <color rgb="00115E59"/>
      <sz val="9"/>
    </font>
    <font>
      <name val="Arial"/>
      <b val="1"/>
      <color rgb="000F172A"/>
      <sz val="12"/>
    </font>
    <font>
      <name val="Arial"/>
      <b val="1"/>
      <color rgb="001E293B"/>
      <sz val="10"/>
    </font>
    <font>
      <name val="Arial"/>
      <b val="1"/>
      <color rgb="001D4ED8"/>
      <sz val="14"/>
    </font>
    <font>
      <name val="Arial"/>
      <b val="1"/>
      <color rgb="00FFFFFF"/>
      <sz val="11"/>
      <u val="single"/>
    </font>
    <font>
      <name val="Arial"/>
      <b val="1"/>
      <color rgb="00BE123C"/>
      <sz val="14"/>
    </font>
    <font>
      <name val="Arial"/>
      <b val="1"/>
      <color rgb="001D4ED8"/>
      <sz val="18"/>
    </font>
    <font>
      <name val="Arial"/>
      <b val="1"/>
      <color rgb="000F766E"/>
      <sz val="18"/>
    </font>
    <font>
      <name val="Arial"/>
      <b val="1"/>
      <color rgb="00B45309"/>
      <sz val="18"/>
    </font>
    <font>
      <name val="Arial"/>
      <b val="1"/>
      <color rgb="00BE123C"/>
      <sz val="18"/>
    </font>
    <font>
      <name val="Arial"/>
      <b val="1"/>
      <color rgb="00334155"/>
      <sz val="18"/>
    </font>
    <font>
      <name val="Arial"/>
      <b val="1"/>
      <color rgb="00DC2626"/>
      <sz val="18"/>
    </font>
    <font>
      <name val="Arial"/>
      <b val="1"/>
      <color rgb="00B91C1C"/>
      <sz val="18"/>
    </font>
    <font>
      <name val="Arial"/>
      <color rgb="0064748B"/>
      <sz val="10"/>
    </font>
    <font>
      <name val="Arial"/>
      <b val="1"/>
      <color rgb="000F172A"/>
      <sz val="9"/>
    </font>
    <font>
      <name val="Arial"/>
      <color rgb="001D4ED8"/>
      <sz val="10"/>
      <u val="single"/>
    </font>
    <font>
      <name val="Arial"/>
      <color rgb="0015803D"/>
      <sz val="10"/>
    </font>
    <font>
      <name val="Arial"/>
      <b val="1"/>
      <color rgb="00DC2626"/>
      <sz val="10"/>
    </font>
    <font>
      <name val="Arial"/>
      <b val="1"/>
      <color rgb="0015803D"/>
      <sz val="18"/>
    </font>
    <font>
      <name val="Arial"/>
      <color rgb="00334155"/>
      <sz val="11"/>
    </font>
    <font>
      <name val="Arial"/>
      <b val="1"/>
      <color rgb="00DC2626"/>
      <sz val="11"/>
    </font>
  </fonts>
  <fills count="34">
    <fill>
      <patternFill/>
    </fill>
    <fill>
      <patternFill patternType="gray125"/>
    </fill>
    <fill>
      <patternFill patternType="solid">
        <fgColor rgb="000F172A"/>
        <bgColor rgb="000F172A"/>
      </patternFill>
    </fill>
    <fill>
      <patternFill patternType="solid">
        <fgColor rgb="00FFFBEB"/>
        <bgColor rgb="00FFFBEB"/>
      </patternFill>
    </fill>
    <fill>
      <patternFill patternType="solid">
        <fgColor rgb="00F3E8FF"/>
        <bgColor rgb="00F3E8FF"/>
      </patternFill>
    </fill>
    <fill>
      <patternFill patternType="solid">
        <fgColor rgb="00F1F5F9"/>
        <bgColor rgb="00F1F5F9"/>
      </patternFill>
    </fill>
    <fill>
      <patternFill patternType="solid">
        <fgColor rgb="00DBEAFE"/>
        <bgColor rgb="00DBEAFE"/>
      </patternFill>
    </fill>
    <fill>
      <patternFill patternType="solid">
        <fgColor rgb="00CFFAFE"/>
        <bgColor rgb="00CFFAFE"/>
      </patternFill>
    </fill>
    <fill>
      <patternFill patternType="solid">
        <fgColor rgb="00FEF3C7"/>
        <bgColor rgb="00FEF3C7"/>
      </patternFill>
    </fill>
    <fill>
      <patternFill patternType="solid">
        <fgColor rgb="00FECDD3"/>
        <bgColor rgb="00FECDD3"/>
      </patternFill>
    </fill>
    <fill>
      <patternFill patternType="solid">
        <fgColor rgb="00E2E8F0"/>
        <bgColor rgb="00E2E8F0"/>
      </patternFill>
    </fill>
    <fill>
      <patternFill patternType="solid">
        <fgColor rgb="00EDE9FE"/>
        <bgColor rgb="00EDE9FE"/>
      </patternFill>
    </fill>
    <fill>
      <patternFill patternType="solid">
        <fgColor rgb="00FCE7F3"/>
        <bgColor rgb="00FCE7F3"/>
      </patternFill>
    </fill>
    <fill>
      <patternFill patternType="solid">
        <fgColor rgb="00DCFCE7"/>
        <bgColor rgb="00DCFCE7"/>
      </patternFill>
    </fill>
    <fill>
      <patternFill patternType="solid">
        <fgColor rgb="005B21B6"/>
        <bgColor rgb="005B21B6"/>
      </patternFill>
    </fill>
    <fill>
      <patternFill patternType="solid">
        <fgColor rgb="001E293B"/>
        <bgColor rgb="001E293B"/>
      </patternFill>
    </fill>
    <fill>
      <patternFill patternType="solid">
        <fgColor rgb="00334155"/>
        <bgColor rgb="00334155"/>
      </patternFill>
    </fill>
    <fill>
      <patternFill patternType="solid">
        <fgColor rgb="00172554"/>
        <bgColor rgb="00172554"/>
      </patternFill>
    </fill>
    <fill>
      <patternFill patternType="solid">
        <fgColor rgb="00042F2E"/>
        <bgColor rgb="00042F2E"/>
      </patternFill>
    </fill>
    <fill>
      <patternFill patternType="solid">
        <fgColor rgb="00451A03"/>
        <bgColor rgb="00451A03"/>
      </patternFill>
    </fill>
    <fill>
      <patternFill patternType="solid">
        <fgColor rgb="004C0519"/>
        <bgColor rgb="004C0519"/>
      </patternFill>
    </fill>
    <fill>
      <patternFill patternType="solid">
        <fgColor rgb="001D4ED8"/>
        <bgColor rgb="001D4ED8"/>
      </patternFill>
    </fill>
    <fill>
      <patternFill patternType="solid">
        <fgColor rgb="00F0F9FF"/>
        <bgColor rgb="00F0F9FF"/>
      </patternFill>
    </fill>
    <fill>
      <patternFill patternType="solid">
        <fgColor rgb="00EFF6FF"/>
        <bgColor rgb="00EFF6FF"/>
      </patternFill>
    </fill>
    <fill>
      <patternFill patternType="solid">
        <fgColor rgb="00F8FAFC"/>
        <bgColor rgb="00F8FAFC"/>
      </patternFill>
    </fill>
    <fill>
      <patternFill patternType="solid">
        <fgColor rgb="001E1B4B"/>
        <bgColor rgb="001E1B4B"/>
      </patternFill>
    </fill>
    <fill>
      <patternFill patternType="solid">
        <fgColor rgb="0015803D"/>
        <bgColor rgb="0015803D"/>
      </patternFill>
    </fill>
    <fill>
      <patternFill patternType="solid">
        <fgColor rgb="00F0FDF4"/>
        <bgColor rgb="00F0FDF4"/>
      </patternFill>
    </fill>
    <fill>
      <patternFill patternType="solid">
        <fgColor rgb="00BE123C"/>
        <bgColor rgb="00BE123C"/>
      </patternFill>
    </fill>
    <fill>
      <patternFill patternType="solid">
        <fgColor rgb="00FFE4E6"/>
        <bgColor rgb="00FFE4E6"/>
      </patternFill>
    </fill>
    <fill>
      <patternFill patternType="solid">
        <fgColor rgb="00FFF1F2"/>
        <bgColor rgb="00FFF1F2"/>
      </patternFill>
    </fill>
    <fill>
      <patternFill patternType="solid">
        <fgColor rgb="00FFFFFF"/>
        <bgColor rgb="00FFFFFF"/>
      </patternFill>
    </fill>
    <fill>
      <patternFill patternType="solid">
        <fgColor rgb="00CCFBF1"/>
        <bgColor rgb="00CCFBF1"/>
      </patternFill>
    </fill>
    <fill>
      <patternFill patternType="solid">
        <fgColor rgb="00F0FDFA"/>
        <bgColor rgb="00F0FDFA"/>
      </patternFill>
    </fill>
  </fills>
  <borders count="4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ck">
        <color rgb="007E22CE"/>
      </top>
      <bottom style="thin">
        <color rgb="00CBD5E1"/>
      </bottom>
    </border>
    <border>
      <left style="thin">
        <color rgb="00CBD5E1"/>
      </left>
      <right style="thin">
        <color rgb="00CBD5E1"/>
      </right>
      <top style="thin">
        <color rgb="00CBD5E1"/>
      </top>
    </border>
    <border>
      <left style="thin">
        <color rgb="00CBD5E1"/>
      </left>
      <right style="thin">
        <color rgb="00CBD5E1"/>
      </right>
      <bottom style="thin">
        <color rgb="00CBD5E1"/>
      </bottom>
    </border>
    <border>
      <left style="thin">
        <color rgb="00CBD5E1"/>
      </left>
      <right style="thin">
        <color rgb="00CBD5E1"/>
      </right>
    </border>
    <border>
      <left style="thin">
        <color rgb="00CBD5E1"/>
      </left>
      <right style="thin">
        <color rgb="00CBD5E1"/>
      </right>
      <bottom style="hair">
        <color rgb="00CBD5E1"/>
      </bottom>
    </border>
    <border>
      <left style="thin">
        <color rgb="00CBD5E1"/>
      </left>
      <right style="thin">
        <color rgb="00CBD5E1"/>
      </right>
      <top style="hair">
        <color rgb="00CBD5E1"/>
      </top>
    </border>
    <border>
      <left style="thin">
        <color rgb="00CBD5E1"/>
      </left>
      <right style="thin">
        <color rgb="00CBD5E1"/>
      </right>
      <bottom style="medium">
        <color rgb="0094A3B8"/>
      </bottom>
    </border>
    <border>
      <left style="thin">
        <color rgb="00CBD5E1"/>
      </left>
      <right style="thin">
        <color rgb="00CBD5E1"/>
      </right>
      <top style="thin">
        <color rgb="00CBD5E1"/>
      </top>
      <bottom style="medium">
        <color rgb="0094A3B8"/>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medium">
        <color rgb="0094A3B8"/>
      </bottom>
      <diagonal/>
    </border>
    <border>
      <left/>
      <right/>
      <top/>
      <bottom style="medium">
        <color rgb="0094A3B8"/>
      </bottom>
      <diagonal/>
    </border>
    <border>
      <left/>
      <right style="thin">
        <color rgb="00CBD5E1"/>
      </right>
      <top/>
      <bottom style="medium">
        <color rgb="0094A3B8"/>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medium">
        <color rgb="0094A3B8"/>
      </top>
      <bottom style="thin">
        <color rgb="00E2E8F0"/>
      </bottom>
    </border>
    <border>
      <left style="thin">
        <color rgb="00CBD5E1"/>
      </left>
      <right style="thin">
        <color rgb="00CBD5E1"/>
      </right>
      <top style="thin">
        <color rgb="00E2E8F0"/>
      </top>
      <bottom style="thin">
        <color rgb="00E2E8F0"/>
      </bottom>
    </border>
    <border>
      <left style="thin">
        <color rgb="00CBD5E1"/>
      </left>
      <right style="thin">
        <color rgb="00CBD5E1"/>
      </right>
      <top style="thin">
        <color rgb="00E2E8F0"/>
      </top>
      <bottom style="medium">
        <color rgb="0094A3B8"/>
      </bottom>
    </border>
    <border>
      <left style="thin">
        <color rgb="00CBD5E1"/>
      </left>
      <right style="thin">
        <color rgb="00CBD5E1"/>
      </right>
      <top/>
      <bottom/>
      <diagonal/>
    </border>
    <border>
      <left style="thin">
        <color rgb="00CBD5E1"/>
      </left>
      <right style="thin">
        <color rgb="00CBD5E1"/>
      </right>
      <top/>
      <bottom style="thin">
        <color rgb="00E2E8F0"/>
      </bottom>
      <diagonal/>
    </border>
    <border>
      <left style="thin">
        <color rgb="00CBD5E1"/>
      </left>
      <right style="thin">
        <color rgb="00CBD5E1"/>
      </right>
      <top style="thick">
        <color rgb="007E22CE"/>
      </top>
      <bottom style="thin">
        <color rgb="00E2E8F0"/>
      </bottom>
    </border>
    <border>
      <left style="thin">
        <color rgb="00CBD5E1"/>
      </left>
      <right style="thin">
        <color rgb="00CBD5E1"/>
      </right>
      <top style="thick">
        <color rgb="001D4ED8"/>
      </top>
    </border>
    <border>
      <left style="thin">
        <color rgb="00CBD5E1"/>
      </left>
      <right style="thin">
        <color rgb="00CBD5E1"/>
      </right>
      <top style="thick">
        <color rgb="000F766E"/>
      </top>
    </border>
    <border>
      <left style="thin">
        <color rgb="00CBD5E1"/>
      </left>
      <right style="thin">
        <color rgb="00CBD5E1"/>
      </right>
      <top style="thick">
        <color rgb="00B45309"/>
      </top>
    </border>
    <border>
      <left style="thin">
        <color rgb="00CBD5E1"/>
      </left>
      <top style="thick">
        <color rgb="00BE123C"/>
      </top>
    </border>
    <border>
      <left style="thin">
        <color rgb="00CBD5E1"/>
      </left>
      <bottom style="thin">
        <color rgb="00CBD5E1"/>
      </bottom>
    </border>
    <border>
      <right style="thin">
        <color rgb="00CBD5E1"/>
      </right>
      <top style="thick">
        <color rgb="00BE123C"/>
      </top>
    </border>
    <border>
      <right style="thin">
        <color rgb="00CBD5E1"/>
      </right>
      <bottom style="thin">
        <color rgb="00CBD5E1"/>
      </bottom>
    </border>
    <border>
      <left style="thin">
        <color rgb="00CBD5E1"/>
      </left>
      <top style="thick">
        <color rgb="00334155"/>
      </top>
    </border>
    <border>
      <right style="thin">
        <color rgb="00CBD5E1"/>
      </right>
      <top style="thick">
        <color rgb="00334155"/>
      </top>
    </border>
    <border>
      <left style="thin">
        <color rgb="00CBD5E1"/>
      </left>
      <top style="thick">
        <color rgb="00DC2626"/>
      </top>
    </border>
    <border>
      <right style="thin">
        <color rgb="00CBD5E1"/>
      </right>
      <top style="thick">
        <color rgb="00DC2626"/>
      </top>
    </border>
    <border>
      <left style="thin">
        <color rgb="00CBD5E1"/>
      </left>
      <top style="thick">
        <color rgb="00B91C1C"/>
      </top>
    </border>
    <border>
      <right style="thin">
        <color rgb="00CBD5E1"/>
      </right>
      <top style="thick">
        <color rgb="00B91C1C"/>
      </top>
    </border>
    <border>
      <top style="medium">
        <color rgb="000F172A"/>
      </top>
    </border>
    <border>
      <left style="thin">
        <color rgb="00CBD5E1"/>
      </left>
      <top style="thick">
        <color rgb="001D4ED8"/>
      </top>
    </border>
    <border>
      <right style="thin">
        <color rgb="00CBD5E1"/>
      </right>
      <top style="thick">
        <color rgb="001D4ED8"/>
      </top>
    </border>
    <border>
      <left style="thin">
        <color rgb="00CBD5E1"/>
      </left>
      <right style="thin">
        <color rgb="00CBD5E1"/>
      </right>
      <top style="thick">
        <color rgb="00BE123C"/>
      </top>
    </border>
    <border>
      <left style="thin">
        <color rgb="00CBD5E1"/>
      </left>
      <right style="thin">
        <color rgb="00CBD5E1"/>
      </right>
      <top style="thick">
        <color rgb="00334155"/>
      </top>
    </border>
    <border>
      <left style="thin">
        <color rgb="00CBD5E1"/>
      </left>
      <right style="thin">
        <color rgb="00CBD5E1"/>
      </right>
      <top style="thick">
        <color rgb="0015803D"/>
      </top>
    </border>
  </borders>
  <cellStyleXfs count="1">
    <xf numFmtId="0" fontId="0" fillId="0" borderId="0"/>
  </cellStyleXfs>
  <cellXfs count="2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1" fillId="0" borderId="0" pivotButton="0" quotePrefix="0" xfId="0"/>
    <xf numFmtId="0" fontId="50" fillId="3" borderId="1" applyAlignment="1" pivotButton="0" quotePrefix="0" xfId="0">
      <alignment horizontal="center" vertical="center" wrapText="1"/>
    </xf>
    <xf numFmtId="0" fontId="50" fillId="3" borderId="1" applyAlignment="1" pivotButton="0" quotePrefix="0" xfId="0">
      <alignment horizontal="left" vertical="center" indent="1"/>
    </xf>
    <xf numFmtId="0" fontId="51" fillId="21" borderId="0" applyAlignment="1" pivotButton="0" quotePrefix="0" xfId="0">
      <alignment horizontal="center" vertical="center" wrapText="1"/>
    </xf>
    <xf numFmtId="0" fontId="51" fillId="28" borderId="0" applyAlignment="1" pivotButton="0" quotePrefix="0" xfId="0">
      <alignment horizontal="center" vertical="center" wrapText="1"/>
    </xf>
    <xf numFmtId="0" fontId="52" fillId="3" borderId="1" applyAlignment="1" pivotButton="0" quotePrefix="0" xfId="0">
      <alignment horizontal="left" vertical="center" indent="1"/>
    </xf>
    <xf numFmtId="0" fontId="31" fillId="31" borderId="25" applyAlignment="1" pivotButton="0" quotePrefix="0" xfId="0">
      <alignment horizontal="left" vertical="center" indent="1"/>
    </xf>
    <xf numFmtId="0" fontId="31" fillId="31" borderId="26" applyAlignment="1" pivotButton="0" quotePrefix="0" xfId="0">
      <alignment horizontal="left" vertical="center" indent="1"/>
    </xf>
    <xf numFmtId="0" fontId="31" fillId="31" borderId="27" applyAlignment="1" pivotButton="0" quotePrefix="0" xfId="0">
      <alignment horizontal="left" vertical="center" indent="1"/>
    </xf>
    <xf numFmtId="0" fontId="31" fillId="31" borderId="28" applyAlignment="1" pivotButton="0" quotePrefix="0" xfId="0">
      <alignment horizontal="left" vertical="center" indent="1"/>
    </xf>
    <xf numFmtId="0" fontId="0" fillId="31" borderId="30" pivotButton="0" quotePrefix="0" xfId="0"/>
    <xf numFmtId="0" fontId="31" fillId="31" borderId="32" applyAlignment="1" pivotButton="0" quotePrefix="0" xfId="0">
      <alignment horizontal="left" vertical="center" indent="1"/>
    </xf>
    <xf numFmtId="0" fontId="0" fillId="31" borderId="33" pivotButton="0" quotePrefix="0" xfId="0"/>
    <xf numFmtId="0" fontId="31" fillId="31" borderId="34" applyAlignment="1" pivotButton="0" quotePrefix="0" xfId="0">
      <alignment horizontal="left" vertical="center" indent="1"/>
    </xf>
    <xf numFmtId="0" fontId="0" fillId="31" borderId="35" pivotButton="0" quotePrefix="0" xfId="0"/>
    <xf numFmtId="0" fontId="31" fillId="31" borderId="36" applyAlignment="1" pivotButton="0" quotePrefix="0" xfId="0">
      <alignment horizontal="left" vertical="center" indent="1"/>
    </xf>
    <xf numFmtId="0" fontId="0" fillId="31" borderId="37" pivotButton="0" quotePrefix="0" xfId="0"/>
    <xf numFmtId="1" fontId="53" fillId="31" borderId="4" applyAlignment="1" pivotButton="0" quotePrefix="0" xfId="0">
      <alignment horizontal="left" vertical="center" indent="1"/>
    </xf>
    <xf numFmtId="173" fontId="54" fillId="31" borderId="4" applyAlignment="1" pivotButton="0" quotePrefix="0" xfId="0">
      <alignment horizontal="left" vertical="center" indent="1"/>
    </xf>
    <xf numFmtId="1" fontId="55" fillId="31" borderId="4" applyAlignment="1" pivotButton="0" quotePrefix="0" xfId="0">
      <alignment horizontal="left" vertical="center" indent="1"/>
    </xf>
    <xf numFmtId="1" fontId="56" fillId="31" borderId="29" applyAlignment="1" pivotButton="0" quotePrefix="0" xfId="0">
      <alignment horizontal="left" vertical="center" indent="1"/>
    </xf>
    <xf numFmtId="0" fontId="0" fillId="31" borderId="31" pivotButton="0" quotePrefix="0" xfId="0"/>
    <xf numFmtId="1" fontId="57" fillId="31" borderId="29" applyAlignment="1" pivotButton="0" quotePrefix="0" xfId="0">
      <alignment horizontal="left" vertical="center" indent="1"/>
    </xf>
    <xf numFmtId="1" fontId="58" fillId="31" borderId="29" applyAlignment="1" pivotButton="0" quotePrefix="0" xfId="0">
      <alignment horizontal="left" vertical="center" indent="1"/>
    </xf>
    <xf numFmtId="1" fontId="59" fillId="31" borderId="29" applyAlignment="1" pivotButton="0" quotePrefix="0" xfId="0">
      <alignment horizontal="left" vertical="center" indent="1"/>
    </xf>
    <xf numFmtId="0" fontId="32" fillId="0" borderId="0" pivotButton="0" quotePrefix="0" xfId="0"/>
    <xf numFmtId="0" fontId="22" fillId="0" borderId="0" pivotButton="0" quotePrefix="0" xfId="0"/>
    <xf numFmtId="0" fontId="3" fillId="2"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15" borderId="1" applyAlignment="1" pivotButton="0" quotePrefix="0" xfId="0">
      <alignment horizontal="center" vertical="center" wrapText="1"/>
    </xf>
    <xf numFmtId="0" fontId="0" fillId="0" borderId="18" pivotButton="0" quotePrefix="0" xfId="0"/>
    <xf numFmtId="0" fontId="9" fillId="0" borderId="1" pivotButton="0" quotePrefix="0" xfId="0"/>
    <xf numFmtId="0" fontId="49" fillId="0" borderId="1" pivotButton="0" quotePrefix="0" xfId="0"/>
    <xf numFmtId="0" fontId="46" fillId="0" borderId="1" pivotButton="0" quotePrefix="0" xfId="0"/>
    <xf numFmtId="0" fontId="60" fillId="0" borderId="1" pivotButton="0" quotePrefix="0" xfId="0"/>
    <xf numFmtId="169" fontId="32" fillId="0" borderId="1" applyAlignment="1" pivotButton="0" quotePrefix="0" xfId="0">
      <alignment horizontal="center" vertical="center" wrapText="1"/>
    </xf>
    <xf numFmtId="166" fontId="32" fillId="0" borderId="1" applyAlignment="1" pivotButton="0" quotePrefix="0" xfId="0">
      <alignment horizontal="center" vertical="center" wrapText="1"/>
    </xf>
    <xf numFmtId="0" fontId="61" fillId="0" borderId="0" applyAlignment="1" pivotButton="0" quotePrefix="0" xfId="0">
      <alignment horizontal="center" vertical="center" wrapText="1"/>
    </xf>
    <xf numFmtId="0" fontId="23" fillId="0" borderId="0" pivotButton="0" quotePrefix="0" xfId="0"/>
    <xf numFmtId="174" fontId="23" fillId="0" borderId="0" applyAlignment="1" pivotButton="0" quotePrefix="0" xfId="0">
      <alignment horizontal="center" vertical="center" wrapText="1"/>
    </xf>
    <xf numFmtId="0" fontId="9" fillId="24" borderId="1" pivotButton="0" quotePrefix="0" xfId="0"/>
    <xf numFmtId="0" fontId="49" fillId="24" borderId="1" pivotButton="0" quotePrefix="0" xfId="0"/>
    <xf numFmtId="0" fontId="46" fillId="24" borderId="1" pivotButton="0" quotePrefix="0" xfId="0"/>
    <xf numFmtId="0" fontId="60" fillId="24" borderId="1" pivotButton="0" quotePrefix="0" xfId="0"/>
    <xf numFmtId="169" fontId="32" fillId="24" borderId="1" applyAlignment="1" pivotButton="0" quotePrefix="0" xfId="0">
      <alignment horizontal="center" vertical="center" wrapText="1"/>
    </xf>
    <xf numFmtId="166" fontId="32" fillId="24" borderId="1" applyAlignment="1" pivotButton="0" quotePrefix="0" xfId="0">
      <alignment horizontal="center" vertical="center" wrapText="1"/>
    </xf>
    <xf numFmtId="0" fontId="9" fillId="4" borderId="1" pivotButton="0" quotePrefix="0" xfId="0"/>
    <xf numFmtId="0" fontId="49" fillId="4" borderId="1" pivotButton="0" quotePrefix="0" xfId="0"/>
    <xf numFmtId="0" fontId="46" fillId="4" borderId="1" pivotButton="0" quotePrefix="0" xfId="0"/>
    <xf numFmtId="0" fontId="60" fillId="4" borderId="1" pivotButton="0" quotePrefix="0" xfId="0"/>
    <xf numFmtId="169" fontId="32" fillId="4" borderId="1" applyAlignment="1" pivotButton="0" quotePrefix="0" xfId="0">
      <alignment horizontal="center" vertical="center" wrapText="1"/>
    </xf>
    <xf numFmtId="166" fontId="32" fillId="4" borderId="1" applyAlignment="1" pivotButton="0" quotePrefix="0" xfId="0">
      <alignment horizontal="center" vertical="center" wrapText="1"/>
    </xf>
    <xf numFmtId="0" fontId="0" fillId="5" borderId="38" pivotButton="0" quotePrefix="0" xfId="0"/>
    <xf numFmtId="0" fontId="9" fillId="5" borderId="38" pivotButton="0" quotePrefix="0" xfId="0"/>
    <xf numFmtId="1" fontId="9" fillId="5" borderId="38" applyAlignment="1" pivotButton="0" quotePrefix="0" xfId="0">
      <alignment horizontal="center" vertical="center" wrapText="1"/>
    </xf>
    <xf numFmtId="173" fontId="9" fillId="5" borderId="38" applyAlignment="1" pivotButton="0" quotePrefix="0" xfId="0">
      <alignment horizontal="center" vertical="center" wrapText="1"/>
    </xf>
    <xf numFmtId="0" fontId="62" fillId="0" borderId="1" pivotButton="0" quotePrefix="0" xfId="0"/>
    <xf numFmtId="169" fontId="63" fillId="0" borderId="1" applyAlignment="1" pivotButton="0" quotePrefix="0" xfId="0">
      <alignment horizontal="center" vertical="center" wrapText="1"/>
    </xf>
    <xf numFmtId="166" fontId="63" fillId="0" borderId="1" applyAlignment="1" pivotButton="0" quotePrefix="0" xfId="0">
      <alignment horizontal="center" vertical="center" wrapText="1"/>
    </xf>
    <xf numFmtId="0" fontId="48" fillId="0" borderId="0" applyAlignment="1" pivotButton="0" quotePrefix="0" xfId="0">
      <alignment vertical="top" wrapText="1" indent="1"/>
    </xf>
    <xf numFmtId="0" fontId="66" fillId="0" borderId="0" applyAlignment="1" pivotButton="0" quotePrefix="0" xfId="0">
      <alignment vertical="top" wrapText="1" indent="1"/>
    </xf>
    <xf numFmtId="0" fontId="67" fillId="0" borderId="0" applyAlignment="1" pivotButton="0" quotePrefix="0" xfId="0">
      <alignment vertical="top" wrapText="1" indent="1"/>
    </xf>
    <xf numFmtId="175" fontId="10" fillId="3" borderId="1" pivotButton="0" quotePrefix="0" xfId="0"/>
    <xf numFmtId="0" fontId="64" fillId="0" borderId="0" pivotButton="0" quotePrefix="0" xfId="0"/>
    <xf numFmtId="0" fontId="31" fillId="31" borderId="39" applyAlignment="1" pivotButton="0" quotePrefix="0" xfId="0">
      <alignment horizontal="left" vertical="center" indent="1"/>
    </xf>
    <xf numFmtId="0" fontId="0" fillId="31" borderId="40" pivotButton="0" quotePrefix="0" xfId="0"/>
    <xf numFmtId="0" fontId="31" fillId="31" borderId="41" applyAlignment="1" pivotButton="0" quotePrefix="0" xfId="0">
      <alignment horizontal="left" vertical="center" indent="1"/>
    </xf>
    <xf numFmtId="0" fontId="31" fillId="31" borderId="42" applyAlignment="1" pivotButton="0" quotePrefix="0" xfId="0">
      <alignment horizontal="left" vertical="center" indent="1"/>
    </xf>
    <xf numFmtId="0" fontId="31" fillId="31" borderId="43" applyAlignment="1" pivotButton="0" quotePrefix="0" xfId="0">
      <alignment horizontal="left" vertical="center" indent="1"/>
    </xf>
    <xf numFmtId="1" fontId="53" fillId="31" borderId="29" applyAlignment="1" pivotButton="0" quotePrefix="0" xfId="0">
      <alignment horizontal="left" vertical="center" indent="1"/>
    </xf>
    <xf numFmtId="1" fontId="56" fillId="31" borderId="4" applyAlignment="1" pivotButton="0" quotePrefix="0" xfId="0">
      <alignment horizontal="left" vertical="center" indent="1"/>
    </xf>
    <xf numFmtId="1" fontId="57" fillId="31" borderId="4" applyAlignment="1" pivotButton="0" quotePrefix="0" xfId="0">
      <alignment horizontal="left" vertical="center" indent="1"/>
    </xf>
    <xf numFmtId="1" fontId="65" fillId="31" borderId="4" applyAlignment="1" pivotButton="0" quotePrefix="0" xfId="0">
      <alignment horizontal="left" vertical="center" indent="1"/>
    </xf>
    <xf numFmtId="49" fontId="56" fillId="31" borderId="4" applyAlignment="1" pivotButton="0" quotePrefix="0" xfId="0">
      <alignment horizontal="left" vertical="center" indent="1"/>
    </xf>
    <xf numFmtId="0" fontId="46" fillId="0" borderId="1" applyAlignment="1" pivotButton="0" quotePrefix="0" xfId="0">
      <alignment horizontal="center" vertical="center" wrapText="1"/>
    </xf>
    <xf numFmtId="0" fontId="7" fillId="0" borderId="0" pivotButton="0" quotePrefix="0" xfId="0"/>
    <xf numFmtId="0" fontId="28" fillId="2" borderId="0" applyAlignment="1" pivotButton="0" quotePrefix="0" xfId="0">
      <alignment horizontal="center" vertical="center" wrapText="1"/>
    </xf>
    <xf numFmtId="0" fontId="33" fillId="0" borderId="1" applyAlignment="1" pivotButton="0" quotePrefix="0" xfId="0">
      <alignment vertical="top"/>
    </xf>
    <xf numFmtId="0" fontId="26" fillId="0" borderId="1" applyAlignment="1" pivotButton="0" quotePrefix="0" xfId="0">
      <alignment horizontal="left" vertical="top" wrapText="1"/>
    </xf>
    <xf numFmtId="169" fontId="9" fillId="0" borderId="1" applyAlignment="1" pivotButton="0" quotePrefix="0" xfId="0">
      <alignment horizontal="center" vertical="center" wrapText="1"/>
    </xf>
    <xf numFmtId="0" fontId="29" fillId="15" borderId="0" applyAlignment="1" pivotButton="0" quotePrefix="0" xfId="0">
      <alignment horizontal="center" vertical="center" wrapText="1"/>
    </xf>
    <xf numFmtId="0" fontId="30" fillId="16" borderId="0" applyAlignment="1" pivotButton="0" quotePrefix="0" xfId="0">
      <alignment horizontal="center" vertical="center" wrapText="1"/>
    </xf>
    <xf numFmtId="168" fontId="31" fillId="0" borderId="3" applyAlignment="1" pivotButton="0" quotePrefix="0" xfId="0">
      <alignment horizontal="left" vertical="top"/>
    </xf>
    <xf numFmtId="0" fontId="12" fillId="3" borderId="4" applyAlignment="1" pivotButton="0" quotePrefix="0" xfId="0">
      <alignment horizontal="center" vertical="center" shrinkToFit="1"/>
    </xf>
    <xf numFmtId="0" fontId="9" fillId="5" borderId="1" pivotButton="0" quotePrefix="0" xfId="0"/>
    <xf numFmtId="0" fontId="0" fillId="5" borderId="1" pivotButton="0" quotePrefix="0" xfId="0"/>
    <xf numFmtId="0" fontId="9" fillId="5"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pivotButton="0" quotePrefix="0" xfId="0"/>
    <xf numFmtId="0" fontId="5" fillId="0" borderId="0" pivotButton="0" quotePrefix="0" xfId="0"/>
    <xf numFmtId="0" fontId="2" fillId="4" borderId="2" applyAlignment="1" pivotButton="0" quotePrefix="0" xfId="0">
      <alignment horizontal="center" vertical="center" wrapText="1"/>
    </xf>
    <xf numFmtId="0" fontId="4" fillId="4" borderId="2" pivotButton="0" quotePrefix="0" xfId="0"/>
    <xf numFmtId="0" fontId="6" fillId="0" borderId="0" pivotButton="0" quotePrefix="0" xfId="0"/>
    <xf numFmtId="0" fontId="2" fillId="4" borderId="0" applyAlignment="1" pivotButton="0" quotePrefix="0" xfId="0">
      <alignment horizontal="center" vertical="center" wrapText="1"/>
    </xf>
    <xf numFmtId="0" fontId="4" fillId="4" borderId="1" pivotButton="0" quotePrefix="0" xfId="0"/>
    <xf numFmtId="0" fontId="2" fillId="5" borderId="1" applyAlignment="1" pivotButton="0" quotePrefix="0" xfId="0">
      <alignment horizontal="center" vertical="center" wrapText="1"/>
    </xf>
    <xf numFmtId="165" fontId="4" fillId="3" borderId="1" applyAlignment="1" pivotButton="0" quotePrefix="0" xfId="0">
      <alignment horizontal="center" vertical="center" wrapText="1"/>
    </xf>
    <xf numFmtId="0" fontId="0" fillId="5" borderId="1" applyAlignment="1" pivotButton="0" quotePrefix="0" xfId="0">
      <alignment horizontal="center" vertical="center" wrapText="1"/>
    </xf>
    <xf numFmtId="49" fontId="4" fillId="3" borderId="1" pivotButton="0" quotePrefix="0" xfId="0"/>
    <xf numFmtId="0" fontId="4" fillId="3" borderId="1" applyAlignment="1" pivotButton="0" quotePrefix="0" xfId="0">
      <alignment vertical="center" wrapText="1"/>
    </xf>
    <xf numFmtId="0" fontId="4" fillId="3" borderId="1" applyAlignment="1" pivotButton="0" quotePrefix="0" xfId="0">
      <alignment horizontal="center" vertical="center" wrapText="1"/>
    </xf>
    <xf numFmtId="0" fontId="9" fillId="4" borderId="2" pivotButton="0" quotePrefix="0" xfId="0"/>
    <xf numFmtId="0" fontId="0" fillId="4" borderId="2" pivotButton="0" quotePrefix="0" xfId="0"/>
    <xf numFmtId="165" fontId="4" fillId="4" borderId="2" applyAlignment="1" pivotButton="0" quotePrefix="0" xfId="0">
      <alignment horizontal="center" vertical="center" wrapText="1"/>
    </xf>
    <xf numFmtId="0" fontId="0" fillId="4" borderId="2" applyAlignment="1" pivotButton="0" quotePrefix="0" xfId="0">
      <alignment horizontal="center" vertical="center" wrapText="1"/>
    </xf>
    <xf numFmtId="49" fontId="4" fillId="4" borderId="2" pivotButton="0" quotePrefix="0" xfId="0"/>
    <xf numFmtId="0" fontId="4" fillId="4" borderId="2" applyAlignment="1" pivotButton="0" quotePrefix="0" xfId="0">
      <alignment vertical="center" wrapText="1"/>
    </xf>
    <xf numFmtId="0" fontId="4"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165"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49" fontId="4" fillId="4" borderId="1" pivotButton="0" quotePrefix="0" xfId="0"/>
    <xf numFmtId="0" fontId="4" fillId="4" borderId="1" applyAlignment="1" pivotButton="0" quotePrefix="0" xfId="0">
      <alignment vertical="center" wrapText="1"/>
    </xf>
    <xf numFmtId="0" fontId="4" fillId="4" borderId="1" applyAlignment="1" pivotButton="0" quotePrefix="0" xfId="0">
      <alignment horizontal="center" vertical="center" wrapText="1"/>
    </xf>
    <xf numFmtId="164" fontId="4" fillId="3" borderId="1" pivotButton="0" quotePrefix="0" xfId="0"/>
    <xf numFmtId="0" fontId="8" fillId="5" borderId="1" pivotButton="0" quotePrefix="0" xfId="0"/>
    <xf numFmtId="165" fontId="4" fillId="3" borderId="1" pivotButton="0" quotePrefix="0" xfId="0"/>
    <xf numFmtId="0" fontId="10" fillId="3" borderId="1" applyAlignment="1" pivotButton="0" quotePrefix="0" xfId="0">
      <alignment horizontal="center" vertical="center" wrapText="1"/>
    </xf>
    <xf numFmtId="0" fontId="11" fillId="0" borderId="1" pivotButton="0" quotePrefix="0" xfId="0"/>
    <xf numFmtId="0" fontId="12" fillId="3" borderId="1" applyAlignment="1" pivotButton="0" quotePrefix="0" xfId="0">
      <alignment vertical="center" wrapText="1"/>
    </xf>
    <xf numFmtId="0" fontId="24" fillId="0" borderId="0" pivotButton="0" quotePrefix="0" xfId="0"/>
    <xf numFmtId="167" fontId="19" fillId="0" borderId="0" pivotButton="0" quotePrefix="0" xfId="0"/>
    <xf numFmtId="0" fontId="3" fillId="2" borderId="0" applyAlignment="1" pivotButton="0" quotePrefix="0" xfId="0">
      <alignment horizontal="center" vertical="center" wrapText="1"/>
    </xf>
    <xf numFmtId="0" fontId="3" fillId="14" borderId="0" applyAlignment="1" pivotButton="0" quotePrefix="0" xfId="0">
      <alignment horizontal="center" vertical="center" wrapText="1"/>
    </xf>
    <xf numFmtId="0" fontId="0" fillId="14" borderId="0" pivotButton="0" quotePrefix="0" xfId="0"/>
    <xf numFmtId="0" fontId="25" fillId="11" borderId="1" applyAlignment="1" pivotButton="0" quotePrefix="0" xfId="0">
      <alignment horizontal="center" vertical="center" wrapText="1"/>
    </xf>
    <xf numFmtId="0" fontId="24" fillId="0" borderId="1"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center" vertical="center" wrapText="1"/>
    </xf>
    <xf numFmtId="167" fontId="4" fillId="3" borderId="1" applyAlignment="1" pivotButton="0" quotePrefix="0" xfId="0">
      <alignment horizontal="center" vertical="center" wrapText="1"/>
    </xf>
    <xf numFmtId="0" fontId="23" fillId="0" borderId="1" applyAlignment="1" pivotButton="0" quotePrefix="0" xfId="0">
      <alignment horizontal="left" vertical="center" shrinkToFit="1" indent="1"/>
    </xf>
    <xf numFmtId="0" fontId="24" fillId="4" borderId="1" applyAlignment="1" pivotButton="0" quotePrefix="0" xfId="0">
      <alignment horizontal="center" vertical="center" wrapText="1"/>
    </xf>
    <xf numFmtId="0" fontId="26" fillId="4" borderId="1" pivotButton="0" quotePrefix="0" xfId="0"/>
    <xf numFmtId="0" fontId="4" fillId="3" borderId="1" applyAlignment="1" pivotButton="0" quotePrefix="0" xfId="0">
      <alignment vertical="center"/>
    </xf>
    <xf numFmtId="0" fontId="19" fillId="0" borderId="0" pivotButton="0" quotePrefix="0" xfId="0"/>
    <xf numFmtId="166" fontId="4" fillId="3" borderId="1" pivotButton="0" quotePrefix="0" xfId="0"/>
    <xf numFmtId="0" fontId="13" fillId="6" borderId="1" pivotButton="0" quotePrefix="0" xfId="0"/>
    <xf numFmtId="167" fontId="4" fillId="3" borderId="1" pivotButton="0" quotePrefix="0" xfId="0"/>
    <xf numFmtId="0" fontId="14" fillId="7" borderId="1" pivotButton="0" quotePrefix="0" xfId="0"/>
    <xf numFmtId="0" fontId="15" fillId="8" borderId="1" pivotButton="0" quotePrefix="0" xfId="0"/>
    <xf numFmtId="0" fontId="16" fillId="9" borderId="1" pivotButton="0" quotePrefix="0" xfId="0"/>
    <xf numFmtId="0" fontId="17" fillId="10" borderId="1" pivotButton="0" quotePrefix="0" xfId="0"/>
    <xf numFmtId="0" fontId="18" fillId="5" borderId="1" pivotButton="0" quotePrefix="0" xfId="0"/>
    <xf numFmtId="0" fontId="19" fillId="11" borderId="1" pivotButton="0" quotePrefix="0" xfId="0"/>
    <xf numFmtId="0" fontId="20" fillId="12" borderId="1" pivotButton="0" quotePrefix="0" xfId="0"/>
    <xf numFmtId="0" fontId="21" fillId="13" borderId="1" pivotButton="0" quotePrefix="0" xfId="0"/>
    <xf numFmtId="170" fontId="0" fillId="0" borderId="0" pivotButton="0" quotePrefix="0" xfId="0"/>
    <xf numFmtId="172" fontId="8" fillId="15" borderId="0" applyAlignment="1" pivotButton="0" quotePrefix="0" xfId="0">
      <alignment horizontal="center" vertical="center"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3" fillId="15" borderId="0" applyAlignment="1" pivotButton="0" quotePrefix="0" xfId="0">
      <alignment horizontal="center" vertical="center" wrapText="1"/>
    </xf>
    <xf numFmtId="171" fontId="28" fillId="15" borderId="0" applyAlignment="1" pivotButton="0" quotePrefix="0" xfId="0">
      <alignment horizontal="center" vertical="center" wrapText="1"/>
    </xf>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15" borderId="0" pivotButton="0" quotePrefix="0" xfId="0"/>
    <xf numFmtId="0" fontId="3" fillId="21" borderId="3" applyAlignment="1" pivotButton="0" quotePrefix="0" xfId="0">
      <alignment horizontal="center" vertical="center" wrapText="1"/>
    </xf>
    <xf numFmtId="0" fontId="13" fillId="6" borderId="3" applyAlignment="1" pivotButton="0" quotePrefix="0" xfId="0">
      <alignment horizontal="left" vertical="center" wrapText="1" indent="1"/>
    </xf>
    <xf numFmtId="0" fontId="34" fillId="22" borderId="3" applyAlignment="1" pivotButton="0" quotePrefix="0" xfId="0">
      <alignment horizontal="center" vertical="center" wrapText="1"/>
    </xf>
    <xf numFmtId="0" fontId="12" fillId="23" borderId="3" applyAlignment="1" pivotButton="0" quotePrefix="0" xfId="0">
      <alignment horizontal="center" vertical="bottom" shrinkToFit="1"/>
    </xf>
    <xf numFmtId="0" fontId="13" fillId="23" borderId="9"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5" pivotButton="0" quotePrefix="0" xfId="0"/>
    <xf numFmtId="49" fontId="23" fillId="24" borderId="5" applyAlignment="1" pivotButton="0" quotePrefix="0" xfId="0">
      <alignment horizontal="center" vertical="top" shrinkToFit="1"/>
    </xf>
    <xf numFmtId="0" fontId="0" fillId="0" borderId="11" pivotButton="0" quotePrefix="0" xfId="0"/>
    <xf numFmtId="0" fontId="0" fillId="0" borderId="13" pivotButton="0" quotePrefix="0" xfId="0"/>
    <xf numFmtId="0" fontId="0" fillId="0" borderId="6" pivotButton="0" quotePrefix="0" xfId="0"/>
    <xf numFmtId="49" fontId="35" fillId="3" borderId="6" applyAlignment="1" pivotButton="0" quotePrefix="0" xfId="0">
      <alignment horizontal="center" vertical="top" shrinkToFit="1"/>
    </xf>
    <xf numFmtId="0" fontId="0" fillId="0" borderId="7" pivotButton="0" quotePrefix="0" xfId="0"/>
    <xf numFmtId="0" fontId="34" fillId="22" borderId="7" applyAlignment="1" pivotButton="0" quotePrefix="0" xfId="0">
      <alignment horizontal="center" vertical="center" wrapText="1"/>
    </xf>
    <xf numFmtId="0" fontId="12" fillId="23" borderId="7" applyAlignment="1" pivotButton="0" quotePrefix="0" xfId="0">
      <alignment horizontal="center" vertical="bottom" shrinkToFit="1"/>
    </xf>
    <xf numFmtId="0" fontId="0" fillId="0" borderId="8" pivotButton="0" quotePrefix="0" xfId="0"/>
    <xf numFmtId="49" fontId="35" fillId="3" borderId="8" applyAlignment="1" pivotButton="0" quotePrefix="0" xfId="0">
      <alignment horizontal="center" vertical="top" shrinkToFit="1"/>
    </xf>
    <xf numFmtId="0" fontId="0" fillId="0" borderId="3" pivotButton="0" quotePrefix="0" xfId="0"/>
    <xf numFmtId="0" fontId="36" fillId="3" borderId="3" applyAlignment="1" pivotButton="0" quotePrefix="0" xfId="0">
      <alignment horizontal="center" vertical="center" wrapText="1"/>
    </xf>
    <xf numFmtId="0" fontId="36" fillId="3" borderId="7" applyAlignment="1" pivotButton="0" quotePrefix="0" xfId="0">
      <alignment horizontal="center" vertical="center" wrapText="1"/>
    </xf>
    <xf numFmtId="0" fontId="37" fillId="25" borderId="3" applyAlignment="1" pivotButton="0" quotePrefix="0" xfId="0">
      <alignment horizontal="center" vertical="center" wrapText="1"/>
    </xf>
    <xf numFmtId="0" fontId="37" fillId="25" borderId="7"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29" fillId="26" borderId="1" applyAlignment="1" pivotButton="0" quotePrefix="0" xfId="0">
      <alignment horizontal="left" vertical="center" indent="1"/>
    </xf>
    <xf numFmtId="0" fontId="0" fillId="26" borderId="1" pivotButton="0" quotePrefix="0" xfId="0"/>
    <xf numFmtId="0" fontId="38" fillId="13" borderId="1" applyAlignment="1" pivotButton="0" quotePrefix="0" xfId="0">
      <alignment horizontal="center" vertical="center" wrapText="1"/>
    </xf>
    <xf numFmtId="49" fontId="39" fillId="27" borderId="1" applyAlignment="1" pivotButton="0" quotePrefix="0" xfId="0">
      <alignment horizontal="center" vertical="center" wrapText="1"/>
    </xf>
    <xf numFmtId="0" fontId="40" fillId="27" borderId="1" applyAlignment="1" pivotButton="0" quotePrefix="0" xfId="0">
      <alignment horizontal="center" vertical="center" wrapText="1"/>
    </xf>
    <xf numFmtId="0" fontId="0" fillId="0" borderId="17" pivotButton="0" quotePrefix="0" xfId="0"/>
    <xf numFmtId="0" fontId="29" fillId="28" borderId="0" applyAlignment="1" pivotButton="0" quotePrefix="0" xfId="0">
      <alignment horizontal="left" vertical="center" indent="1"/>
    </xf>
    <xf numFmtId="0" fontId="0" fillId="28" borderId="0" pivotButton="0" quotePrefix="0" xfId="0"/>
    <xf numFmtId="0" fontId="41" fillId="29" borderId="0" applyAlignment="1" pivotButton="0" quotePrefix="0" xfId="0">
      <alignment horizontal="center" vertical="center" wrapText="1"/>
    </xf>
    <xf numFmtId="0" fontId="42" fillId="30" borderId="1" applyAlignment="1" pivotButton="0" quotePrefix="0" xfId="0">
      <alignment horizontal="center" vertical="center" shrinkToFit="1"/>
    </xf>
    <xf numFmtId="0" fontId="43" fillId="30" borderId="1" applyAlignment="1" pivotButton="0" quotePrefix="0" xfId="0">
      <alignment horizontal="center" vertical="center" wrapText="1"/>
    </xf>
    <xf numFmtId="0" fontId="29" fillId="2" borderId="0" applyAlignment="1" pivotButton="0" quotePrefix="0" xfId="0">
      <alignment horizontal="left" vertical="center"/>
    </xf>
    <xf numFmtId="0" fontId="44" fillId="2" borderId="0" pivotButton="0" quotePrefix="0" xfId="0"/>
    <xf numFmtId="0" fontId="24" fillId="31" borderId="19" applyAlignment="1" pivotButton="0" quotePrefix="0" xfId="0">
      <alignment horizontal="center" vertical="center" shrinkToFit="1"/>
    </xf>
    <xf numFmtId="0" fontId="45" fillId="31" borderId="19" applyAlignment="1" pivotButton="0" quotePrefix="0" xfId="0">
      <alignment horizontal="left" vertical="bottom" wrapText="1" indent="1"/>
    </xf>
    <xf numFmtId="0" fontId="34" fillId="22" borderId="19" applyAlignment="1" pivotButton="0" quotePrefix="0" xfId="0">
      <alignment horizontal="center" vertical="center" wrapText="1"/>
    </xf>
    <xf numFmtId="0" fontId="46" fillId="31" borderId="19" applyAlignment="1" pivotButton="0" quotePrefix="0" xfId="0">
      <alignment horizontal="center" vertical="center" shrinkToFit="1"/>
    </xf>
    <xf numFmtId="169" fontId="48" fillId="31" borderId="19" applyAlignment="1" pivotButton="0" quotePrefix="0" xfId="0">
      <alignment horizontal="center" vertical="center" wrapText="1"/>
    </xf>
    <xf numFmtId="166" fontId="48" fillId="31" borderId="19" applyAlignment="1" pivotButton="0" quotePrefix="0" xfId="0">
      <alignment horizontal="center" vertical="center" wrapText="1"/>
    </xf>
    <xf numFmtId="170" fontId="24" fillId="31" borderId="20" applyAlignment="1" pivotButton="0" quotePrefix="0" xfId="0">
      <alignment horizontal="center" vertical="center" shrinkToFit="1"/>
    </xf>
    <xf numFmtId="0" fontId="0" fillId="31" borderId="20" pivotButton="0" quotePrefix="0" xfId="0"/>
    <xf numFmtId="0" fontId="36" fillId="3" borderId="20" applyAlignment="1" pivotButton="0" quotePrefix="0" xfId="0">
      <alignment horizontal="center" vertical="center" wrapText="1"/>
    </xf>
    <xf numFmtId="0" fontId="46" fillId="31" borderId="20" applyAlignment="1" pivotButton="0" quotePrefix="0" xfId="0">
      <alignment horizontal="center" vertical="center" shrinkToFit="1"/>
    </xf>
    <xf numFmtId="0" fontId="0" fillId="0" borderId="22" pivotButton="0" quotePrefix="0" xfId="0"/>
    <xf numFmtId="0" fontId="11" fillId="31" borderId="20" applyAlignment="1" pivotButton="0" quotePrefix="0" xfId="0">
      <alignment horizontal="left" vertical="top" shrinkToFit="1" indent="1"/>
    </xf>
    <xf numFmtId="0" fontId="37" fillId="25" borderId="20" applyAlignment="1" pivotButton="0" quotePrefix="0" xfId="0">
      <alignment horizontal="center" vertical="center" wrapText="1"/>
    </xf>
    <xf numFmtId="170" fontId="24" fillId="31" borderId="21" applyAlignment="1" pivotButton="0" quotePrefix="0" xfId="0">
      <alignment horizontal="center" vertical="center" shrinkToFit="1"/>
    </xf>
    <xf numFmtId="0" fontId="0" fillId="31" borderId="21" pivotButton="0" quotePrefix="0" xfId="0"/>
    <xf numFmtId="0" fontId="47" fillId="32" borderId="21" applyAlignment="1" pivotButton="0" quotePrefix="0" xfId="0">
      <alignment horizontal="center" vertical="center" wrapText="1"/>
    </xf>
    <xf numFmtId="0" fontId="46" fillId="33" borderId="21" applyAlignment="1" pivotButton="0" quotePrefix="0" xfId="0">
      <alignment horizontal="center" vertical="center" shrinkToFit="1"/>
    </xf>
    <xf numFmtId="0" fontId="0" fillId="0" borderId="23" pivotButton="0" quotePrefix="0" xfId="0"/>
    <xf numFmtId="0" fontId="24" fillId="24" borderId="19" applyAlignment="1" pivotButton="0" quotePrefix="0" xfId="0">
      <alignment horizontal="center" vertical="center" shrinkToFit="1"/>
    </xf>
    <xf numFmtId="0" fontId="45" fillId="24" borderId="19" applyAlignment="1" pivotButton="0" quotePrefix="0" xfId="0">
      <alignment horizontal="left" vertical="bottom" wrapText="1" indent="1"/>
    </xf>
    <xf numFmtId="0" fontId="46" fillId="24" borderId="19" applyAlignment="1" pivotButton="0" quotePrefix="0" xfId="0">
      <alignment horizontal="center" vertical="center" shrinkToFit="1"/>
    </xf>
    <xf numFmtId="169" fontId="48" fillId="24" borderId="19" applyAlignment="1" pivotButton="0" quotePrefix="0" xfId="0">
      <alignment horizontal="center" vertical="center" wrapText="1"/>
    </xf>
    <xf numFmtId="166" fontId="48" fillId="24" borderId="19" applyAlignment="1" pivotButton="0" quotePrefix="0" xfId="0">
      <alignment horizontal="center" vertical="center" wrapText="1"/>
    </xf>
    <xf numFmtId="170" fontId="24" fillId="24" borderId="20" applyAlignment="1" pivotButton="0" quotePrefix="0" xfId="0">
      <alignment horizontal="center" vertical="center" shrinkToFit="1"/>
    </xf>
    <xf numFmtId="0" fontId="0" fillId="24" borderId="20" pivotButton="0" quotePrefix="0" xfId="0"/>
    <xf numFmtId="0" fontId="46" fillId="24" borderId="20" applyAlignment="1" pivotButton="0" quotePrefix="0" xfId="0">
      <alignment horizontal="center" vertical="center" shrinkToFit="1"/>
    </xf>
    <xf numFmtId="0" fontId="11" fillId="24" borderId="20" applyAlignment="1" pivotButton="0" quotePrefix="0" xfId="0">
      <alignment horizontal="left" vertical="top" shrinkToFit="1" indent="1"/>
    </xf>
    <xf numFmtId="170" fontId="24" fillId="24" borderId="21" applyAlignment="1" pivotButton="0" quotePrefix="0" xfId="0">
      <alignment horizontal="center" vertical="center" shrinkToFit="1"/>
    </xf>
    <xf numFmtId="0" fontId="0" fillId="24" borderId="21" pivotButton="0" quotePrefix="0" xfId="0"/>
    <xf numFmtId="0" fontId="24" fillId="4" borderId="24" applyAlignment="1" pivotButton="0" quotePrefix="0" xfId="0">
      <alignment horizontal="center" vertical="center" shrinkToFit="1"/>
    </xf>
    <xf numFmtId="0" fontId="45" fillId="4" borderId="24" applyAlignment="1" pivotButton="0" quotePrefix="0" xfId="0">
      <alignment horizontal="left" vertical="bottom" wrapText="1" indent="1"/>
    </xf>
    <xf numFmtId="0" fontId="34" fillId="22" borderId="24" applyAlignment="1" pivotButton="0" quotePrefix="0" xfId="0">
      <alignment horizontal="center" vertical="center" wrapText="1"/>
    </xf>
    <xf numFmtId="0" fontId="46" fillId="0" borderId="24" applyAlignment="1" pivotButton="0" quotePrefix="0" xfId="0">
      <alignment horizontal="center" vertical="center" shrinkToFit="1"/>
    </xf>
    <xf numFmtId="169" fontId="48" fillId="4" borderId="24" applyAlignment="1" pivotButton="0" quotePrefix="0" xfId="0">
      <alignment horizontal="center" vertical="center" wrapText="1"/>
    </xf>
    <xf numFmtId="166" fontId="48" fillId="4" borderId="24" applyAlignment="1" pivotButton="0" quotePrefix="0" xfId="0">
      <alignment horizontal="center" vertical="center" wrapText="1"/>
    </xf>
    <xf numFmtId="170" fontId="24" fillId="4" borderId="20" applyAlignment="1" pivotButton="0" quotePrefix="0" xfId="0">
      <alignment horizontal="center" vertical="center" shrinkToFit="1"/>
    </xf>
    <xf numFmtId="0" fontId="0" fillId="4" borderId="20" pivotButton="0" quotePrefix="0" xfId="0"/>
    <xf numFmtId="0" fontId="46" fillId="0" borderId="20" applyAlignment="1" pivotButton="0" quotePrefix="0" xfId="0">
      <alignment horizontal="center" vertical="center" shrinkToFit="1"/>
    </xf>
    <xf numFmtId="0" fontId="11" fillId="4" borderId="20" applyAlignment="1" pivotButton="0" quotePrefix="0" xfId="0">
      <alignment horizontal="left" vertical="top" shrinkToFit="1" indent="1"/>
    </xf>
    <xf numFmtId="170" fontId="24" fillId="4" borderId="21" applyAlignment="1" pivotButton="0" quotePrefix="0" xfId="0">
      <alignment horizontal="center" vertical="center" shrinkToFit="1"/>
    </xf>
    <xf numFmtId="0" fontId="0" fillId="4" borderId="21" pivotButton="0" quotePrefix="0" xfId="0"/>
    <xf numFmtId="0" fontId="46" fillId="0" borderId="21" applyAlignment="1" pivotButton="0" quotePrefix="0" xfId="0">
      <alignment horizontal="center" vertical="center" shrinkToFit="1"/>
    </xf>
    <xf numFmtId="0" fontId="24" fillId="4" borderId="19" applyAlignment="1" pivotButton="0" quotePrefix="0" xfId="0">
      <alignment horizontal="center" vertical="center" shrinkToFit="1"/>
    </xf>
    <xf numFmtId="0" fontId="45" fillId="4" borderId="19" applyAlignment="1" pivotButton="0" quotePrefix="0" xfId="0">
      <alignment horizontal="left" vertical="bottom" wrapText="1" indent="1"/>
    </xf>
    <xf numFmtId="0" fontId="46" fillId="0" borderId="19" applyAlignment="1" pivotButton="0" quotePrefix="0" xfId="0">
      <alignment horizontal="center" vertical="center" shrinkToFit="1"/>
    </xf>
    <xf numFmtId="169" fontId="48" fillId="4" borderId="19" applyAlignment="1" pivotButton="0" quotePrefix="0" xfId="0">
      <alignment horizontal="center" vertical="center" wrapText="1"/>
    </xf>
    <xf numFmtId="166" fontId="48" fillId="4" borderId="19" applyAlignment="1" pivotButton="0" quotePrefix="0" xfId="0">
      <alignment horizontal="center" vertical="center" wrapText="1"/>
    </xf>
    <xf numFmtId="0" fontId="26" fillId="24" borderId="1" applyAlignment="1" pivotButton="0" quotePrefix="0" xfId="0">
      <alignment horizontal="left" vertical="center" indent="1"/>
    </xf>
    <xf numFmtId="0" fontId="0" fillId="24" borderId="1" pivotButton="0" quotePrefix="0" xfId="0"/>
    <xf numFmtId="169" fontId="23" fillId="0" borderId="1" applyAlignment="1" pivotButton="0" quotePrefix="0" xfId="0">
      <alignment horizontal="center" vertical="center" wrapText="1"/>
    </xf>
    <xf numFmtId="0" fontId="49" fillId="24" borderId="1" applyAlignment="1" pivotButton="0" quotePrefix="0" xfId="0">
      <alignment horizontal="left" vertical="center" indent="1"/>
    </xf>
    <xf numFmtId="169" fontId="24" fillId="0" borderId="1" applyAlignment="1" pivotButton="0" quotePrefix="0" xfId="0">
      <alignment horizontal="center" vertical="center" wrapText="1"/>
    </xf>
    <xf numFmtId="166" fontId="23" fillId="0" borderId="1" applyAlignment="1" pivotButton="0" quotePrefix="0" xfId="0">
      <alignment horizontal="center" vertical="center" wrapText="1"/>
    </xf>
  </cellXfs>
  <cellStyles count="1">
    <cellStyle name="Normal" xfId="0" builtinId="0" hidden="0"/>
  </cellStyles>
  <dxfs count="38">
    <dxf>
      <font>
        <i val="1"/>
        <strike val="1"/>
        <color rgb="0094A3B8"/>
      </font>
    </dxf>
    <dxf>
      <font>
        <b val="1"/>
        <color rgb="00000000"/>
      </font>
    </dxf>
    <dxf>
      <font>
        <b val="1"/>
        <color rgb="0015803D"/>
      </font>
    </dxf>
    <dxf>
      <font>
        <b val="1"/>
        <color rgb="00D4A800"/>
      </font>
    </dxf>
    <dxf>
      <font>
        <b val="1"/>
        <color rgb="00DC2626"/>
      </font>
    </dxf>
    <dxf>
      <font>
        <b val="1"/>
        <color rgb="00C026D3"/>
      </font>
    </dxf>
    <dxf>
      <font>
        <b val="1"/>
        <color rgb="001E3A8A"/>
      </font>
      <fill>
        <patternFill patternType="solid">
          <fgColor rgb="00DBEAFE"/>
          <bgColor rgb="00DBEAFE"/>
        </patternFill>
      </fill>
    </dxf>
    <dxf>
      <font>
        <b val="1"/>
        <color rgb="00164E63"/>
      </font>
      <fill>
        <patternFill patternType="solid">
          <fgColor rgb="00CFFAFE"/>
          <bgColor rgb="00CFFAFE"/>
        </patternFill>
      </fill>
    </dxf>
    <dxf>
      <font>
        <b val="1"/>
        <color rgb="0078350F"/>
      </font>
      <fill>
        <patternFill patternType="solid">
          <fgColor rgb="00FEF3C7"/>
          <bgColor rgb="00FEF3C7"/>
        </patternFill>
      </fill>
    </dxf>
    <dxf>
      <font>
        <b val="1"/>
        <color rgb="00881337"/>
      </font>
      <fill>
        <patternFill patternType="solid">
          <fgColor rgb="00FECDD3"/>
          <bgColor rgb="00FECDD3"/>
        </patternFill>
      </fill>
    </dxf>
    <dxf>
      <font>
        <i val="1"/>
        <color rgb="0064748B"/>
      </font>
      <fill>
        <patternFill patternType="solid">
          <fgColor rgb="00E2E8F0"/>
          <bgColor rgb="00E2E8F0"/>
        </patternFill>
      </fill>
    </dxf>
    <dxf>
      <font>
        <b val="1"/>
        <color rgb="0094A3B8"/>
      </font>
      <fill>
        <patternFill patternType="solid">
          <fgColor rgb="00F1F5F9"/>
          <bgColor rgb="00F1F5F9"/>
        </patternFill>
      </fill>
    </dxf>
    <dxf>
      <font>
        <b val="1"/>
        <color rgb="005B21B6"/>
      </font>
      <fill>
        <patternFill patternType="solid">
          <fgColor rgb="00EDE9FE"/>
          <bgColor rgb="00EDE9FE"/>
        </patternFill>
      </fill>
    </dxf>
    <dxf>
      <font>
        <b val="1"/>
        <color rgb="009D174D"/>
      </font>
      <fill>
        <patternFill patternType="solid">
          <fgColor rgb="00FCE7F3"/>
          <bgColor rgb="00FCE7F3"/>
        </patternFill>
      </fill>
    </dxf>
    <dxf>
      <font>
        <b val="1"/>
        <color rgb="0014532D"/>
      </font>
      <fill>
        <patternFill patternType="solid">
          <fgColor rgb="00DCFCE7"/>
          <bgColor rgb="00DCFCE7"/>
        </patternFill>
      </fill>
    </dxf>
    <dxf>
      <fill>
        <patternFill patternType="solid">
          <fgColor rgb="00DBEAFE"/>
          <bgColor rgb="00DBEAFE"/>
        </patternFill>
      </fill>
    </dxf>
    <dxf>
      <fill>
        <patternFill patternType="solid">
          <fgColor rgb="00E2E8F0"/>
          <bgColor rgb="00E2E8F0"/>
        </patternFill>
      </fill>
    </dxf>
    <dxf>
      <font>
        <b val="1"/>
        <color rgb="009F1239"/>
      </font>
      <fill>
        <patternFill patternType="solid">
          <fgColor rgb="00FFE4E6"/>
          <bgColor rgb="00FFE4E6"/>
        </patternFill>
      </fill>
    </dxf>
    <dxf>
      <font>
        <i val="1"/>
        <strike val="1"/>
        <color rgb="0094A3B8"/>
      </font>
      <fill>
        <patternFill patternType="solid">
          <fgColor rgb="00F1F5F9"/>
          <bgColor rgb="00F1F5F9"/>
        </patternFill>
      </fill>
    </dxf>
    <dxf>
      <font>
        <b val="1"/>
        <color rgb="00FFFFFF"/>
      </font>
      <fill>
        <patternFill patternType="solid">
          <fgColor rgb="00DC2626"/>
          <bgColor rgb="00DC2626"/>
        </patternFill>
      </fill>
    </dxf>
    <dxf>
      <font>
        <b val="1"/>
        <color rgb="00FFFFFF"/>
      </font>
      <fill>
        <patternFill patternType="solid">
          <fgColor rgb="00F59E0B"/>
          <bgColor rgb="00F59E0B"/>
        </patternFill>
      </fill>
    </dxf>
    <dxf>
      <font>
        <b val="1"/>
        <color rgb="00166534"/>
      </font>
      <fill>
        <patternFill patternType="solid">
          <fgColor rgb="00DCFCE7"/>
          <bgColor rgb="00DCFCE7"/>
        </patternFill>
      </fill>
    </dxf>
    <dxf>
      <font>
        <b val="1"/>
        <color rgb="00B91C1C"/>
      </font>
    </dxf>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11827"/>
      </font>
      <fill>
        <patternFill patternType="solid">
          <fgColor rgb="00F59E0B"/>
          <bgColor rgb="00F59E0B"/>
        </patternFill>
      </fill>
    </dxf>
    <dxf>
      <font>
        <b val="1"/>
        <color rgb="00B91C1C"/>
      </font>
      <fill>
        <patternFill patternType="solid">
          <fgColor rgb="00FEE2E2"/>
          <bgColor rgb="00FEE2E2"/>
        </patternFill>
      </fill>
    </dxf>
    <dxf>
      <fill>
        <patternFill patternType="solid">
          <fgColor rgb="0094A3B8"/>
          <bgColor rgb="0094A3B8"/>
        </patternFill>
      </fill>
    </dxf>
    <dxf>
      <font>
        <color rgb="0094A3B8"/>
      </font>
      <fill>
        <patternFill patternType="solid">
          <fgColor rgb="00E5E7EB"/>
          <bgColor rgb="00E5E7EB"/>
        </patternFill>
      </fill>
    </dxf>
    <dxf>
      <font>
        <b val="1"/>
        <color rgb="00FFFFFF"/>
      </font>
      <fill>
        <patternFill patternType="solid">
          <fgColor rgb="00B91C1C"/>
          <bgColor rgb="00B91C1C"/>
        </patternFill>
      </fill>
    </dxf>
    <dxf>
      <font>
        <b val="1"/>
        <color rgb="00FFFFFF"/>
      </font>
      <numFmt numFmtId="200" formatCode="&quot;⚠ &quot;@"/>
      <fill>
        <patternFill patternType="solid">
          <fgColor rgb="00DC2626"/>
          <bgColor rgb="00DC2626"/>
        </patternFill>
      </fill>
    </dxf>
    <dxf>
      <font>
        <b val="1"/>
        <color rgb="00FFFFFF"/>
      </font>
      <numFmt numFmtId="201" formatCode="&quot;! &quot;@"/>
      <fill>
        <patternFill patternType="solid">
          <fgColor rgb="00F59E0B"/>
          <bgColor rgb="00F59E0B"/>
        </patternFill>
      </fill>
    </dxf>
    <dxf>
      <fill>
        <patternFill patternType="solid">
          <fgColor rgb="00DCFCE7"/>
          <bgColor rgb="00DCFCE7"/>
        </patternFill>
      </fill>
    </dxf>
    <dxf>
      <font>
        <b val="1"/>
        <color rgb="00FFFFFF"/>
      </font>
      <fill>
        <patternFill patternType="solid">
          <fgColor rgb="00F43F5E"/>
          <bgColor rgb="00F43F5E"/>
        </patternFill>
      </fill>
    </dxf>
    <dxf>
      <font>
        <u val="single"/>
      </font>
      <border>
        <left style="thin">
          <color rgb="007E22CE"/>
        </left>
        <right style="thin">
          <color rgb="007E22CE"/>
        </right>
        <top style="thin">
          <color rgb="007E22CE"/>
        </top>
        <bottom style="thin">
          <color rgb="007E22CE"/>
        </bottom>
      </border>
    </dxf>
    <dxf>
      <fill>
        <patternFill patternType="solid">
          <fgColor rgb="00FFE4E6"/>
          <bgColor rgb="00FFE4E6"/>
        </patternFill>
      </fill>
    </dxf>
    <dxf>
      <font>
        <b val="1"/>
        <color rgb="00FFFFFF"/>
      </font>
      <fill>
        <patternFill patternType="solid">
          <fgColor rgb="009F1239"/>
          <bgColor rgb="009F1239"/>
        </patternFill>
      </fill>
    </dxf>
    <dxf>
      <font>
        <b val="1"/>
        <color rgb="00FCD34D"/>
      </font>
      <fill>
        <patternFill patternType="solid">
          <fgColor rgb="00334155"/>
          <bgColor rgb="003341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Flights per month</a:t>
            </a:r>
          </a:p>
        </rich>
      </tx>
    </title>
    <plotArea>
      <barChart>
        <barDir val="col"/>
        <grouping val="clustered"/>
        <ser>
          <idx val="0"/>
          <order val="0"/>
          <tx>
            <strRef>
              <f>'Dashboard'!B76</f>
            </strRef>
          </tx>
          <spPr>
            <a:ln xmlns:a="http://schemas.openxmlformats.org/drawingml/2006/main">
              <a:prstDash val="solid"/>
            </a:ln>
          </spPr>
          <cat>
            <numRef>
              <f>'Dashboard'!$A$77:$A$88</f>
            </numRef>
          </cat>
          <val>
            <numRef>
              <f>'Dashboard'!$B$77:$B$88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Flying hours per month</a:t>
            </a:r>
          </a:p>
        </rich>
      </tx>
    </title>
    <plotArea>
      <barChart>
        <barDir val="col"/>
        <grouping val="clustered"/>
        <ser>
          <idx val="0"/>
          <order val="0"/>
          <tx>
            <strRef>
              <f>'Dashboard'!C76</f>
            </strRef>
          </tx>
          <spPr>
            <a:ln xmlns:a="http://schemas.openxmlformats.org/drawingml/2006/main">
              <a:prstDash val="solid"/>
            </a:ln>
          </spPr>
          <cat>
            <numRef>
              <f>'Dashboard'!$A$77:$A$88</f>
            </numRef>
          </cat>
          <val>
            <numRef>
              <f>'Dashboard'!$C$77:$C$88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Claude</author>
  </authors>
  <commentList>
    <comment ref="A5" authorId="0" shapeId="0">
      <text>
        <t>Planning year for the whole workbook. For a new year, save a copy of the file, change this, and clear the month grids and SDO Plan.</t>
      </text>
    </comment>
    <comment ref="G5" authorId="0" shapeId="0">
      <text>
        <t>The department that owns this file. The dashboard uses it to label this file when several departments are open.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75</row>
      <rowOff>0</rowOff>
    </from>
    <ext cx="43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89</row>
      <rowOff>0</rowOff>
    </from>
    <ext cx="43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89"/>
  <sheetViews>
    <sheetView showGridLines="0" tabSelected="1" workbookViewId="0">
      <pane ySplit="6" topLeftCell="A7" activePane="bottomLeft" state="frozen"/>
      <selection pane="bottomLeft" activeCell="A1" sqref="A1"/>
    </sheetView>
  </sheetViews>
  <sheetFormatPr baseColWidth="8" defaultRowHeight="15"/>
  <cols>
    <col width="15" customWidth="1" min="1" max="1"/>
    <col width="24" customWidth="1" min="2" max="2"/>
    <col width="13" customWidth="1" min="3" max="3"/>
    <col width="11" customWidth="1" min="4" max="4"/>
    <col width="10" customWidth="1" min="5" max="5"/>
    <col width="10" customWidth="1" min="6" max="6"/>
    <col width="10" customWidth="1" min="7" max="7"/>
    <col width="10" customWidth="1" min="8" max="8"/>
    <col width="10" customWidth="1" min="9" max="9"/>
    <col width="3" customWidth="1" min="10" max="10"/>
    <col width="11" customWidth="1" min="11" max="11"/>
    <col width="15" customWidth="1" min="12" max="12"/>
    <col width="15" customWidth="1" min="13" max="13"/>
    <col width="8" customWidth="1" min="14" max="14"/>
    <col hidden="1" width="13" customWidth="1" min="26" max="26"/>
  </cols>
  <sheetData>
    <row r="1" ht="30" customHeight="1">
      <c r="A1" s="1" t="inlineStr">
        <is>
          <t>LODESTAR  |  LOADMASTER  |  FLIGHT &amp; OPS PLANNING DASHBOARD</t>
        </is>
      </c>
      <c r="B1" s="2" t="n"/>
      <c r="C1" s="2" t="n"/>
      <c r="D1" s="2" t="n"/>
      <c r="E1" s="2" t="n"/>
      <c r="F1" s="2" t="n"/>
      <c r="G1" s="2" t="n"/>
      <c r="H1" s="2" t="n"/>
      <c r="I1" s="2" t="n"/>
      <c r="J1" s="2" t="n"/>
      <c r="K1" s="2" t="n"/>
      <c r="L1" s="2" t="n"/>
      <c r="M1" s="2" t="n"/>
      <c r="N1" s="2" t="n"/>
      <c r="Z1">
        <f>MATCH($B$5,{"January","February","March","April","May","June","July","August","September","October","November","December"},0)</f>
        <v/>
      </c>
    </row>
    <row r="2" ht="18" customHeight="1">
      <c r="A2" s="3" t="inlineStr">
        <is>
          <t>Pick a year and month to see its totals. Planning is done on the month tabs: click Open planner.</t>
        </is>
      </c>
      <c r="B2" s="2" t="n"/>
      <c r="C2" s="2" t="n"/>
      <c r="D2" s="2" t="n"/>
      <c r="E2" s="2" t="n"/>
      <c r="F2" s="2" t="n"/>
      <c r="G2" s="2" t="n"/>
      <c r="H2" s="2" t="n"/>
      <c r="I2" s="2" t="n"/>
      <c r="J2" s="2" t="n"/>
      <c r="K2" s="2" t="n"/>
      <c r="L2" s="2" t="n"/>
      <c r="M2" s="2" t="n"/>
      <c r="N2" s="2" t="n"/>
      <c r="Z2" t="inlineStr">
        <is>
          <t>LODESTAR dept layout 3</t>
        </is>
      </c>
    </row>
    <row r="3" ht="8" customHeight="1"/>
    <row r="4">
      <c r="A4" s="4" t="inlineStr">
        <is>
          <t>YEAR</t>
        </is>
      </c>
      <c r="B4" s="4" t="inlineStr">
        <is>
          <t>MONTH</t>
        </is>
      </c>
      <c r="G4" s="4" t="inlineStr">
        <is>
          <t>DEPARTMENT (this file)</t>
        </is>
      </c>
    </row>
    <row r="5" ht="24" customHeight="1">
      <c r="A5" s="5" t="n">
        <v>2026</v>
      </c>
      <c r="B5" s="6" t="inlineStr">
        <is>
          <t>October</t>
        </is>
      </c>
      <c r="C5" s="7">
        <f>HYPERLINK("#'"&amp;LEFT($B$5,3)&amp;"'!D27","Open "&amp;$B$5&amp;" planner  &gt;")</f>
        <v/>
      </c>
      <c r="E5" s="8">
        <f>HYPERLINK("#'SDO Plan'!A1","SDO Plan  &gt;")</f>
        <v/>
      </c>
      <c r="G5" s="9" t="inlineStr">
        <is>
          <t>Loadmaster</t>
        </is>
      </c>
    </row>
    <row r="6" ht="8" customHeight="1"/>
    <row r="7">
      <c r="A7" s="10" t="inlineStr">
        <is>
          <t>TOTAL FLIGHTS</t>
        </is>
      </c>
      <c r="B7" s="11" t="inlineStr">
        <is>
          <t>TOTAL FLYING HRS</t>
        </is>
      </c>
      <c r="C7" s="12" t="inlineStr">
        <is>
          <t>GROUND DUTIES</t>
        </is>
      </c>
      <c r="D7" s="13" t="inlineStr">
        <is>
          <t>SDO PLANNED</t>
        </is>
      </c>
      <c r="E7" s="14" t="n"/>
      <c r="F7" s="15" t="inlineStr">
        <is>
          <t>ACTIVE CREW</t>
        </is>
      </c>
      <c r="G7" s="16" t="n"/>
      <c r="H7" s="17" t="inlineStr">
        <is>
          <t>SDO DAYS UNCOVERED</t>
        </is>
      </c>
      <c r="I7" s="18" t="n"/>
      <c r="K7" s="19" t="inlineStr">
        <is>
          <t>UNCREWED SHIFTS</t>
        </is>
      </c>
      <c r="L7" s="20" t="n"/>
    </row>
    <row r="8" ht="30" customHeight="1">
      <c r="A8" s="21">
        <f>CHOOSE(MonthIdx,'Jan'!D3,'Feb'!D3,'Mar'!D3,'Apr'!D3,'May'!D3,'Jun'!D3,'Jul'!D3,'Aug'!D3,'Sep'!D3,'Oct'!D3,'Nov'!D3,'Dec'!D3)</f>
        <v/>
      </c>
      <c r="B8" s="22">
        <f>CHOOSE(MonthIdx,'Jan'!E3,'Feb'!E3,'Mar'!E3,'Apr'!E3,'May'!E3,'Jun'!E3,'Jul'!E3,'Aug'!E3,'Sep'!E3,'Oct'!E3,'Nov'!E3,'Dec'!E3)</f>
        <v/>
      </c>
      <c r="C8" s="23">
        <f>CHOOSE(MonthIdx,'Jan'!F3,'Feb'!F3,'Mar'!F3,'Apr'!F3,'May'!F3,'Jun'!F3,'Jul'!F3,'Aug'!F3,'Sep'!F3,'Oct'!F3,'Nov'!F3,'Dec'!F3)</f>
        <v/>
      </c>
      <c r="D8" s="24">
        <f>CHOOSE(MonthIdx,'Jan'!G3,'Feb'!G3,'Mar'!G3,'Apr'!G3,'May'!G3,'Jun'!G3,'Jul'!G3,'Aug'!G3,'Sep'!G3,'Oct'!G3,'Nov'!G3,'Dec'!G3)</f>
        <v/>
      </c>
      <c r="E8" s="25" t="n"/>
      <c r="F8" s="26">
        <f>(COUNTIFS(CrewName,"&lt;&gt;")-COUNTIFS(CrewName,"&lt;&gt;",CrewStatus,"Inactive"))</f>
        <v/>
      </c>
      <c r="G8" s="25" t="n"/>
      <c r="H8" s="27">
        <f>CHOOSE(MonthIdx,'Jan'!I3,'Feb'!I3,'Mar'!I3,'Apr'!I3,'May'!I3,'Jun'!I3,'Jul'!I3,'Aug'!I3,'Sep'!I3,'Oct'!I3,'Nov'!I3,'Dec'!I3)</f>
        <v/>
      </c>
      <c r="I8" s="25" t="n"/>
      <c r="K8" s="28">
        <f>CHOOSE(MonthIdx,'Jan'!J3,'Feb'!J3,'Mar'!J3,'Apr'!J3,'May'!J3,'Jun'!J3,'Jul'!J3,'Aug'!J3,'Sep'!J3,'Oct'!J3,'Nov'!J3,'Dec'!J3)</f>
        <v/>
      </c>
      <c r="L8" s="25" t="n"/>
    </row>
    <row r="10">
      <c r="A10" s="29">
        <f>"CREW TOTALS  |  "&amp;UPPER($B$5)&amp;" "&amp;$A$5</f>
        <v/>
      </c>
      <c r="D10" s="30" t="inlineStr">
        <is>
          <t>Empty slots are hidden: Data &gt; Reapply shows new crew</t>
        </is>
      </c>
      <c r="K10" s="29" t="inlineStr">
        <is>
          <t>ACTIVITY LEGEND</t>
        </is>
      </c>
    </row>
    <row r="11">
      <c r="A11" s="31" t="inlineStr">
        <is>
          <t>Callsign</t>
        </is>
      </c>
      <c r="B11" s="31" t="inlineStr">
        <is>
          <t>Crew Member</t>
        </is>
      </c>
      <c r="C11" s="31" t="inlineStr">
        <is>
          <t>Role</t>
        </is>
      </c>
      <c r="D11" s="31" t="inlineStr">
        <is>
          <t>Status</t>
        </is>
      </c>
      <c r="E11" s="32" t="inlineStr">
        <is>
          <t>Flights</t>
        </is>
      </c>
      <c r="F11" s="33" t="inlineStr">
        <is>
          <t>Fly Hrs</t>
        </is>
      </c>
      <c r="G11" s="34" t="inlineStr">
        <is>
          <t>Gnd Duty</t>
        </is>
      </c>
      <c r="H11" s="35" t="inlineStr">
        <is>
          <t>Sqn Duty</t>
        </is>
      </c>
      <c r="I11" s="36" t="inlineStr">
        <is>
          <t>Leave</t>
        </is>
      </c>
      <c r="K11" s="31" t="inlineStr">
        <is>
          <t>Code</t>
        </is>
      </c>
      <c r="L11" s="31" t="inlineStr">
        <is>
          <t>Description</t>
        </is>
      </c>
      <c r="M11" s="37" t="n"/>
      <c r="N11" s="31" t="inlineStr">
        <is>
          <t>Hrs</t>
        </is>
      </c>
    </row>
    <row r="12">
      <c r="A12" s="38">
        <f>IF(Roster!$B$6="","",Roster!$B$6)</f>
        <v/>
      </c>
      <c r="B12" s="39">
        <f>IF(Roster!$C$6="","",Roster!$C$6)</f>
        <v/>
      </c>
      <c r="C12" s="40">
        <f>IF(Roster!$C$6="","",Roster!$F$6&amp;"")</f>
        <v/>
      </c>
      <c r="D12" s="41">
        <f>IF(Roster!$C$6="","",Roster!$G$6&amp;"")</f>
        <v/>
      </c>
      <c r="E12" s="42">
        <f>IF($B12="","",CHOOSE(MonthIdx,'Jan'!AI27,'Feb'!AI27,'Mar'!AI27,'Apr'!AI27,'May'!AI27,'Jun'!AI27,'Jul'!AI27,'Aug'!AI27,'Sep'!AI27,'Oct'!AI27,'Nov'!AI27,'Dec'!AI27))</f>
        <v/>
      </c>
      <c r="F12" s="43">
        <f>IF($B12="","",CHOOSE(MonthIdx,'Jan'!AJ27,'Feb'!AJ27,'Mar'!AJ27,'Apr'!AJ27,'May'!AJ27,'Jun'!AJ27,'Jul'!AJ27,'Aug'!AJ27,'Sep'!AJ27,'Oct'!AJ27,'Nov'!AJ27,'Dec'!AJ27))</f>
        <v/>
      </c>
      <c r="G12" s="42">
        <f>IF($B12="","",CHOOSE(MonthIdx,'Jan'!AK27,'Feb'!AK27,'Mar'!AK27,'Apr'!AK27,'May'!AK27,'Jun'!AK27,'Jul'!AK27,'Aug'!AK27,'Sep'!AK27,'Oct'!AK27,'Nov'!AK27,'Dec'!AK27))</f>
        <v/>
      </c>
      <c r="H12" s="42">
        <f>IF($B12="","",CHOOSE(MonthIdx,'Jan'!AL27,'Feb'!AL27,'Mar'!AL27,'Apr'!AL27,'May'!AL27,'Jun'!AL27,'Jul'!AL27,'Aug'!AL27,'Sep'!AL27,'Oct'!AL27,'Nov'!AL27,'Dec'!AL27))</f>
        <v/>
      </c>
      <c r="I12" s="42">
        <f>IF($B12="","",CHOOSE(MonthIdx,'Jan'!AM27,'Feb'!AM27,'Mar'!AM27,'Apr'!AM27,'May'!AM27,'Jun'!AM27,'Jul'!AM27,'Aug'!AM27,'Sep'!AM27,'Oct'!AM27,'Nov'!AM27,'Dec'!AM27))</f>
        <v/>
      </c>
      <c r="K12" s="44">
        <f>IF(Activities!$A$6="","",Activities!$A$6)</f>
        <v/>
      </c>
      <c r="L12" s="45">
        <f>IF(Activities!$A$6="","",Activities!$B$6&amp;"")</f>
        <v/>
      </c>
      <c r="N12" s="46">
        <f>IF(Activities!$A$6="","",Activities!$D$6)</f>
        <v/>
      </c>
    </row>
    <row r="13">
      <c r="A13" s="47">
        <f>IF(Roster!$B$7="","",Roster!$B$7)</f>
        <v/>
      </c>
      <c r="B13" s="48">
        <f>IF(Roster!$C$7="","",Roster!$C$7)</f>
        <v/>
      </c>
      <c r="C13" s="49">
        <f>IF(Roster!$C$7="","",Roster!$F$7&amp;"")</f>
        <v/>
      </c>
      <c r="D13" s="50">
        <f>IF(Roster!$C$7="","",Roster!$G$7&amp;"")</f>
        <v/>
      </c>
      <c r="E13" s="51">
        <f>IF($B13="","",CHOOSE(MonthIdx,'Jan'!AI31,'Feb'!AI31,'Mar'!AI31,'Apr'!AI31,'May'!AI31,'Jun'!AI31,'Jul'!AI31,'Aug'!AI31,'Sep'!AI31,'Oct'!AI31,'Nov'!AI31,'Dec'!AI31))</f>
        <v/>
      </c>
      <c r="F13" s="52">
        <f>IF($B13="","",CHOOSE(MonthIdx,'Jan'!AJ31,'Feb'!AJ31,'Mar'!AJ31,'Apr'!AJ31,'May'!AJ31,'Jun'!AJ31,'Jul'!AJ31,'Aug'!AJ31,'Sep'!AJ31,'Oct'!AJ31,'Nov'!AJ31,'Dec'!AJ31))</f>
        <v/>
      </c>
      <c r="G13" s="51">
        <f>IF($B13="","",CHOOSE(MonthIdx,'Jan'!AK31,'Feb'!AK31,'Mar'!AK31,'Apr'!AK31,'May'!AK31,'Jun'!AK31,'Jul'!AK31,'Aug'!AK31,'Sep'!AK31,'Oct'!AK31,'Nov'!AK31,'Dec'!AK31))</f>
        <v/>
      </c>
      <c r="H13" s="51">
        <f>IF($B13="","",CHOOSE(MonthIdx,'Jan'!AL31,'Feb'!AL31,'Mar'!AL31,'Apr'!AL31,'May'!AL31,'Jun'!AL31,'Jul'!AL31,'Aug'!AL31,'Sep'!AL31,'Oct'!AL31,'Nov'!AL31,'Dec'!AL31))</f>
        <v/>
      </c>
      <c r="I13" s="51">
        <f>IF($B13="","",CHOOSE(MonthIdx,'Jan'!AM31,'Feb'!AM31,'Mar'!AM31,'Apr'!AM31,'May'!AM31,'Jun'!AM31,'Jul'!AM31,'Aug'!AM31,'Sep'!AM31,'Oct'!AM31,'Nov'!AM31,'Dec'!AM31))</f>
        <v/>
      </c>
      <c r="K13" s="44">
        <f>IF(Activities!$A$7="","",Activities!$A$7)</f>
        <v/>
      </c>
      <c r="L13" s="45">
        <f>IF(Activities!$A$7="","",Activities!$B$7&amp;"")</f>
        <v/>
      </c>
      <c r="N13" s="46">
        <f>IF(Activities!$A$7="","",Activities!$D$7)</f>
        <v/>
      </c>
    </row>
    <row r="14">
      <c r="A14" s="38">
        <f>IF(Roster!$B$8="","",Roster!$B$8)</f>
        <v/>
      </c>
      <c r="B14" s="39">
        <f>IF(Roster!$C$8="","",Roster!$C$8)</f>
        <v/>
      </c>
      <c r="C14" s="40">
        <f>IF(Roster!$C$8="","",Roster!$F$8&amp;"")</f>
        <v/>
      </c>
      <c r="D14" s="41">
        <f>IF(Roster!$C$8="","",Roster!$G$8&amp;"")</f>
        <v/>
      </c>
      <c r="E14" s="42">
        <f>IF($B14="","",CHOOSE(MonthIdx,'Jan'!AI35,'Feb'!AI35,'Mar'!AI35,'Apr'!AI35,'May'!AI35,'Jun'!AI35,'Jul'!AI35,'Aug'!AI35,'Sep'!AI35,'Oct'!AI35,'Nov'!AI35,'Dec'!AI35))</f>
        <v/>
      </c>
      <c r="F14" s="43">
        <f>IF($B14="","",CHOOSE(MonthIdx,'Jan'!AJ35,'Feb'!AJ35,'Mar'!AJ35,'Apr'!AJ35,'May'!AJ35,'Jun'!AJ35,'Jul'!AJ35,'Aug'!AJ35,'Sep'!AJ35,'Oct'!AJ35,'Nov'!AJ35,'Dec'!AJ35))</f>
        <v/>
      </c>
      <c r="G14" s="42">
        <f>IF($B14="","",CHOOSE(MonthIdx,'Jan'!AK35,'Feb'!AK35,'Mar'!AK35,'Apr'!AK35,'May'!AK35,'Jun'!AK35,'Jul'!AK35,'Aug'!AK35,'Sep'!AK35,'Oct'!AK35,'Nov'!AK35,'Dec'!AK35))</f>
        <v/>
      </c>
      <c r="H14" s="42">
        <f>IF($B14="","",CHOOSE(MonthIdx,'Jan'!AL35,'Feb'!AL35,'Mar'!AL35,'Apr'!AL35,'May'!AL35,'Jun'!AL35,'Jul'!AL35,'Aug'!AL35,'Sep'!AL35,'Oct'!AL35,'Nov'!AL35,'Dec'!AL35))</f>
        <v/>
      </c>
      <c r="I14" s="42">
        <f>IF($B14="","",CHOOSE(MonthIdx,'Jan'!AM35,'Feb'!AM35,'Mar'!AM35,'Apr'!AM35,'May'!AM35,'Jun'!AM35,'Jul'!AM35,'Aug'!AM35,'Sep'!AM35,'Oct'!AM35,'Nov'!AM35,'Dec'!AM35))</f>
        <v/>
      </c>
      <c r="K14" s="44">
        <f>IF(Activities!$A$8="","",Activities!$A$8)</f>
        <v/>
      </c>
      <c r="L14" s="45">
        <f>IF(Activities!$A$8="","",Activities!$B$8&amp;"")</f>
        <v/>
      </c>
      <c r="N14" s="46">
        <f>IF(Activities!$A$8="","",Activities!$D$8)</f>
        <v/>
      </c>
    </row>
    <row r="15">
      <c r="A15" s="47">
        <f>IF(Roster!$B$9="","",Roster!$B$9)</f>
        <v/>
      </c>
      <c r="B15" s="48">
        <f>IF(Roster!$C$9="","",Roster!$C$9)</f>
        <v/>
      </c>
      <c r="C15" s="49">
        <f>IF(Roster!$C$9="","",Roster!$F$9&amp;"")</f>
        <v/>
      </c>
      <c r="D15" s="50">
        <f>IF(Roster!$C$9="","",Roster!$G$9&amp;"")</f>
        <v/>
      </c>
      <c r="E15" s="51">
        <f>IF($B15="","",CHOOSE(MonthIdx,'Jan'!AI39,'Feb'!AI39,'Mar'!AI39,'Apr'!AI39,'May'!AI39,'Jun'!AI39,'Jul'!AI39,'Aug'!AI39,'Sep'!AI39,'Oct'!AI39,'Nov'!AI39,'Dec'!AI39))</f>
        <v/>
      </c>
      <c r="F15" s="52">
        <f>IF($B15="","",CHOOSE(MonthIdx,'Jan'!AJ39,'Feb'!AJ39,'Mar'!AJ39,'Apr'!AJ39,'May'!AJ39,'Jun'!AJ39,'Jul'!AJ39,'Aug'!AJ39,'Sep'!AJ39,'Oct'!AJ39,'Nov'!AJ39,'Dec'!AJ39))</f>
        <v/>
      </c>
      <c r="G15" s="51">
        <f>IF($B15="","",CHOOSE(MonthIdx,'Jan'!AK39,'Feb'!AK39,'Mar'!AK39,'Apr'!AK39,'May'!AK39,'Jun'!AK39,'Jul'!AK39,'Aug'!AK39,'Sep'!AK39,'Oct'!AK39,'Nov'!AK39,'Dec'!AK39))</f>
        <v/>
      </c>
      <c r="H15" s="51">
        <f>IF($B15="","",CHOOSE(MonthIdx,'Jan'!AL39,'Feb'!AL39,'Mar'!AL39,'Apr'!AL39,'May'!AL39,'Jun'!AL39,'Jul'!AL39,'Aug'!AL39,'Sep'!AL39,'Oct'!AL39,'Nov'!AL39,'Dec'!AL39))</f>
        <v/>
      </c>
      <c r="I15" s="51">
        <f>IF($B15="","",CHOOSE(MonthIdx,'Jan'!AM39,'Feb'!AM39,'Mar'!AM39,'Apr'!AM39,'May'!AM39,'Jun'!AM39,'Jul'!AM39,'Aug'!AM39,'Sep'!AM39,'Oct'!AM39,'Nov'!AM39,'Dec'!AM39))</f>
        <v/>
      </c>
      <c r="K15" s="44">
        <f>IF(Activities!$A$9="","",Activities!$A$9)</f>
        <v/>
      </c>
      <c r="L15" s="45">
        <f>IF(Activities!$A$9="","",Activities!$B$9&amp;"")</f>
        <v/>
      </c>
      <c r="N15" s="46">
        <f>IF(Activities!$A$9="","",Activities!$D$9)</f>
        <v/>
      </c>
    </row>
    <row r="16">
      <c r="A16" s="38">
        <f>IF(Roster!$B$10="","",Roster!$B$10)</f>
        <v/>
      </c>
      <c r="B16" s="39">
        <f>IF(Roster!$C$10="","",Roster!$C$10)</f>
        <v/>
      </c>
      <c r="C16" s="40">
        <f>IF(Roster!$C$10="","",Roster!$F$10&amp;"")</f>
        <v/>
      </c>
      <c r="D16" s="41">
        <f>IF(Roster!$C$10="","",Roster!$G$10&amp;"")</f>
        <v/>
      </c>
      <c r="E16" s="42">
        <f>IF($B16="","",CHOOSE(MonthIdx,'Jan'!AI43,'Feb'!AI43,'Mar'!AI43,'Apr'!AI43,'May'!AI43,'Jun'!AI43,'Jul'!AI43,'Aug'!AI43,'Sep'!AI43,'Oct'!AI43,'Nov'!AI43,'Dec'!AI43))</f>
        <v/>
      </c>
      <c r="F16" s="43">
        <f>IF($B16="","",CHOOSE(MonthIdx,'Jan'!AJ43,'Feb'!AJ43,'Mar'!AJ43,'Apr'!AJ43,'May'!AJ43,'Jun'!AJ43,'Jul'!AJ43,'Aug'!AJ43,'Sep'!AJ43,'Oct'!AJ43,'Nov'!AJ43,'Dec'!AJ43))</f>
        <v/>
      </c>
      <c r="G16" s="42">
        <f>IF($B16="","",CHOOSE(MonthIdx,'Jan'!AK43,'Feb'!AK43,'Mar'!AK43,'Apr'!AK43,'May'!AK43,'Jun'!AK43,'Jul'!AK43,'Aug'!AK43,'Sep'!AK43,'Oct'!AK43,'Nov'!AK43,'Dec'!AK43))</f>
        <v/>
      </c>
      <c r="H16" s="42">
        <f>IF($B16="","",CHOOSE(MonthIdx,'Jan'!AL43,'Feb'!AL43,'Mar'!AL43,'Apr'!AL43,'May'!AL43,'Jun'!AL43,'Jul'!AL43,'Aug'!AL43,'Sep'!AL43,'Oct'!AL43,'Nov'!AL43,'Dec'!AL43))</f>
        <v/>
      </c>
      <c r="I16" s="42">
        <f>IF($B16="","",CHOOSE(MonthIdx,'Jan'!AM43,'Feb'!AM43,'Mar'!AM43,'Apr'!AM43,'May'!AM43,'Jun'!AM43,'Jul'!AM43,'Aug'!AM43,'Sep'!AM43,'Oct'!AM43,'Nov'!AM43,'Dec'!AM43))</f>
        <v/>
      </c>
      <c r="K16" s="44">
        <f>IF(Activities!$A$10="","",Activities!$A$10)</f>
        <v/>
      </c>
      <c r="L16" s="45">
        <f>IF(Activities!$A$10="","",Activities!$B$10&amp;"")</f>
        <v/>
      </c>
      <c r="N16" s="46">
        <f>IF(Activities!$A$10="","",Activities!$D$10)</f>
        <v/>
      </c>
    </row>
    <row r="17">
      <c r="A17" s="47">
        <f>IF(Roster!$B$11="","",Roster!$B$11)</f>
        <v/>
      </c>
      <c r="B17" s="48">
        <f>IF(Roster!$C$11="","",Roster!$C$11)</f>
        <v/>
      </c>
      <c r="C17" s="49">
        <f>IF(Roster!$C$11="","",Roster!$F$11&amp;"")</f>
        <v/>
      </c>
      <c r="D17" s="50">
        <f>IF(Roster!$C$11="","",Roster!$G$11&amp;"")</f>
        <v/>
      </c>
      <c r="E17" s="51">
        <f>IF($B17="","",CHOOSE(MonthIdx,'Jan'!AI47,'Feb'!AI47,'Mar'!AI47,'Apr'!AI47,'May'!AI47,'Jun'!AI47,'Jul'!AI47,'Aug'!AI47,'Sep'!AI47,'Oct'!AI47,'Nov'!AI47,'Dec'!AI47))</f>
        <v/>
      </c>
      <c r="F17" s="52">
        <f>IF($B17="","",CHOOSE(MonthIdx,'Jan'!AJ47,'Feb'!AJ47,'Mar'!AJ47,'Apr'!AJ47,'May'!AJ47,'Jun'!AJ47,'Jul'!AJ47,'Aug'!AJ47,'Sep'!AJ47,'Oct'!AJ47,'Nov'!AJ47,'Dec'!AJ47))</f>
        <v/>
      </c>
      <c r="G17" s="51">
        <f>IF($B17="","",CHOOSE(MonthIdx,'Jan'!AK47,'Feb'!AK47,'Mar'!AK47,'Apr'!AK47,'May'!AK47,'Jun'!AK47,'Jul'!AK47,'Aug'!AK47,'Sep'!AK47,'Oct'!AK47,'Nov'!AK47,'Dec'!AK47))</f>
        <v/>
      </c>
      <c r="H17" s="51">
        <f>IF($B17="","",CHOOSE(MonthIdx,'Jan'!AL47,'Feb'!AL47,'Mar'!AL47,'Apr'!AL47,'May'!AL47,'Jun'!AL47,'Jul'!AL47,'Aug'!AL47,'Sep'!AL47,'Oct'!AL47,'Nov'!AL47,'Dec'!AL47))</f>
        <v/>
      </c>
      <c r="I17" s="51">
        <f>IF($B17="","",CHOOSE(MonthIdx,'Jan'!AM47,'Feb'!AM47,'Mar'!AM47,'Apr'!AM47,'May'!AM47,'Jun'!AM47,'Jul'!AM47,'Aug'!AM47,'Sep'!AM47,'Oct'!AM47,'Nov'!AM47,'Dec'!AM47))</f>
        <v/>
      </c>
      <c r="K17" s="44">
        <f>IF(Activities!$A$11="","",Activities!$A$11)</f>
        <v/>
      </c>
      <c r="L17" s="45">
        <f>IF(Activities!$A$11="","",Activities!$B$11&amp;"")</f>
        <v/>
      </c>
      <c r="N17" s="46">
        <f>IF(Activities!$A$11="","",Activities!$D$11)</f>
        <v/>
      </c>
    </row>
    <row r="18" hidden="1">
      <c r="A18" s="38">
        <f>IF(Roster!$B$12="","",Roster!$B$12)</f>
        <v/>
      </c>
      <c r="B18" s="39">
        <f>IF(Roster!$C$12="","",Roster!$C$12)</f>
        <v/>
      </c>
      <c r="C18" s="40">
        <f>IF(Roster!$C$12="","",Roster!$F$12&amp;"")</f>
        <v/>
      </c>
      <c r="D18" s="41">
        <f>IF(Roster!$C$12="","",Roster!$G$12&amp;"")</f>
        <v/>
      </c>
      <c r="E18" s="42">
        <f>IF($B18="","",CHOOSE(MonthIdx,'Jan'!AI51,'Feb'!AI51,'Mar'!AI51,'Apr'!AI51,'May'!AI51,'Jun'!AI51,'Jul'!AI51,'Aug'!AI51,'Sep'!AI51,'Oct'!AI51,'Nov'!AI51,'Dec'!AI51))</f>
        <v/>
      </c>
      <c r="F18" s="43">
        <f>IF($B18="","",CHOOSE(MonthIdx,'Jan'!AJ51,'Feb'!AJ51,'Mar'!AJ51,'Apr'!AJ51,'May'!AJ51,'Jun'!AJ51,'Jul'!AJ51,'Aug'!AJ51,'Sep'!AJ51,'Oct'!AJ51,'Nov'!AJ51,'Dec'!AJ51))</f>
        <v/>
      </c>
      <c r="G18" s="42">
        <f>IF($B18="","",CHOOSE(MonthIdx,'Jan'!AK51,'Feb'!AK51,'Mar'!AK51,'Apr'!AK51,'May'!AK51,'Jun'!AK51,'Jul'!AK51,'Aug'!AK51,'Sep'!AK51,'Oct'!AK51,'Nov'!AK51,'Dec'!AK51))</f>
        <v/>
      </c>
      <c r="H18" s="42">
        <f>IF($B18="","",CHOOSE(MonthIdx,'Jan'!AL51,'Feb'!AL51,'Mar'!AL51,'Apr'!AL51,'May'!AL51,'Jun'!AL51,'Jul'!AL51,'Aug'!AL51,'Sep'!AL51,'Oct'!AL51,'Nov'!AL51,'Dec'!AL51))</f>
        <v/>
      </c>
      <c r="I18" s="42">
        <f>IF($B18="","",CHOOSE(MonthIdx,'Jan'!AM51,'Feb'!AM51,'Mar'!AM51,'Apr'!AM51,'May'!AM51,'Jun'!AM51,'Jul'!AM51,'Aug'!AM51,'Sep'!AM51,'Oct'!AM51,'Nov'!AM51,'Dec'!AM51))</f>
        <v/>
      </c>
      <c r="K18" s="44">
        <f>IF(Activities!$A$12="","",Activities!$A$12)</f>
        <v/>
      </c>
      <c r="L18" s="45">
        <f>IF(Activities!$A$12="","",Activities!$B$12&amp;"")</f>
        <v/>
      </c>
      <c r="N18" s="46">
        <f>IF(Activities!$A$12="","",Activities!$D$12)</f>
        <v/>
      </c>
    </row>
    <row r="19" hidden="1">
      <c r="A19" s="47">
        <f>IF(Roster!$B$13="","",Roster!$B$13)</f>
        <v/>
      </c>
      <c r="B19" s="48">
        <f>IF(Roster!$C$13="","",Roster!$C$13)</f>
        <v/>
      </c>
      <c r="C19" s="49">
        <f>IF(Roster!$C$13="","",Roster!$F$13&amp;"")</f>
        <v/>
      </c>
      <c r="D19" s="50">
        <f>IF(Roster!$C$13="","",Roster!$G$13&amp;"")</f>
        <v/>
      </c>
      <c r="E19" s="51">
        <f>IF($B19="","",CHOOSE(MonthIdx,'Jan'!AI55,'Feb'!AI55,'Mar'!AI55,'Apr'!AI55,'May'!AI55,'Jun'!AI55,'Jul'!AI55,'Aug'!AI55,'Sep'!AI55,'Oct'!AI55,'Nov'!AI55,'Dec'!AI55))</f>
        <v/>
      </c>
      <c r="F19" s="52">
        <f>IF($B19="","",CHOOSE(MonthIdx,'Jan'!AJ55,'Feb'!AJ55,'Mar'!AJ55,'Apr'!AJ55,'May'!AJ55,'Jun'!AJ55,'Jul'!AJ55,'Aug'!AJ55,'Sep'!AJ55,'Oct'!AJ55,'Nov'!AJ55,'Dec'!AJ55))</f>
        <v/>
      </c>
      <c r="G19" s="51">
        <f>IF($B19="","",CHOOSE(MonthIdx,'Jan'!AK55,'Feb'!AK55,'Mar'!AK55,'Apr'!AK55,'May'!AK55,'Jun'!AK55,'Jul'!AK55,'Aug'!AK55,'Sep'!AK55,'Oct'!AK55,'Nov'!AK55,'Dec'!AK55))</f>
        <v/>
      </c>
      <c r="H19" s="51">
        <f>IF($B19="","",CHOOSE(MonthIdx,'Jan'!AL55,'Feb'!AL55,'Mar'!AL55,'Apr'!AL55,'May'!AL55,'Jun'!AL55,'Jul'!AL55,'Aug'!AL55,'Sep'!AL55,'Oct'!AL55,'Nov'!AL55,'Dec'!AL55))</f>
        <v/>
      </c>
      <c r="I19" s="51">
        <f>IF($B19="","",CHOOSE(MonthIdx,'Jan'!AM55,'Feb'!AM55,'Mar'!AM55,'Apr'!AM55,'May'!AM55,'Jun'!AM55,'Jul'!AM55,'Aug'!AM55,'Sep'!AM55,'Oct'!AM55,'Nov'!AM55,'Dec'!AM55))</f>
        <v/>
      </c>
      <c r="K19" s="44">
        <f>IF(Activities!$A$13="","",Activities!$A$13)</f>
        <v/>
      </c>
      <c r="L19" s="45">
        <f>IF(Activities!$A$13="","",Activities!$B$13&amp;"")</f>
        <v/>
      </c>
      <c r="N19" s="46">
        <f>IF(Activities!$A$13="","",Activities!$D$13)</f>
        <v/>
      </c>
    </row>
    <row r="20" hidden="1">
      <c r="A20" s="38">
        <f>IF(Roster!$B$14="","",Roster!$B$14)</f>
        <v/>
      </c>
      <c r="B20" s="39">
        <f>IF(Roster!$C$14="","",Roster!$C$14)</f>
        <v/>
      </c>
      <c r="C20" s="40">
        <f>IF(Roster!$C$14="","",Roster!$F$14&amp;"")</f>
        <v/>
      </c>
      <c r="D20" s="41">
        <f>IF(Roster!$C$14="","",Roster!$G$14&amp;"")</f>
        <v/>
      </c>
      <c r="E20" s="42">
        <f>IF($B20="","",CHOOSE(MonthIdx,'Jan'!AI59,'Feb'!AI59,'Mar'!AI59,'Apr'!AI59,'May'!AI59,'Jun'!AI59,'Jul'!AI59,'Aug'!AI59,'Sep'!AI59,'Oct'!AI59,'Nov'!AI59,'Dec'!AI59))</f>
        <v/>
      </c>
      <c r="F20" s="43">
        <f>IF($B20="","",CHOOSE(MonthIdx,'Jan'!AJ59,'Feb'!AJ59,'Mar'!AJ59,'Apr'!AJ59,'May'!AJ59,'Jun'!AJ59,'Jul'!AJ59,'Aug'!AJ59,'Sep'!AJ59,'Oct'!AJ59,'Nov'!AJ59,'Dec'!AJ59))</f>
        <v/>
      </c>
      <c r="G20" s="42">
        <f>IF($B20="","",CHOOSE(MonthIdx,'Jan'!AK59,'Feb'!AK59,'Mar'!AK59,'Apr'!AK59,'May'!AK59,'Jun'!AK59,'Jul'!AK59,'Aug'!AK59,'Sep'!AK59,'Oct'!AK59,'Nov'!AK59,'Dec'!AK59))</f>
        <v/>
      </c>
      <c r="H20" s="42">
        <f>IF($B20="","",CHOOSE(MonthIdx,'Jan'!AL59,'Feb'!AL59,'Mar'!AL59,'Apr'!AL59,'May'!AL59,'Jun'!AL59,'Jul'!AL59,'Aug'!AL59,'Sep'!AL59,'Oct'!AL59,'Nov'!AL59,'Dec'!AL59))</f>
        <v/>
      </c>
      <c r="I20" s="42">
        <f>IF($B20="","",CHOOSE(MonthIdx,'Jan'!AM59,'Feb'!AM59,'Mar'!AM59,'Apr'!AM59,'May'!AM59,'Jun'!AM59,'Jul'!AM59,'Aug'!AM59,'Sep'!AM59,'Oct'!AM59,'Nov'!AM59,'Dec'!AM59))</f>
        <v/>
      </c>
      <c r="K20" s="44">
        <f>IF(Activities!$A$14="","",Activities!$A$14)</f>
        <v/>
      </c>
      <c r="L20" s="45">
        <f>IF(Activities!$A$14="","",Activities!$B$14&amp;"")</f>
        <v/>
      </c>
      <c r="N20" s="46">
        <f>IF(Activities!$A$14="","",Activities!$D$14)</f>
        <v/>
      </c>
    </row>
    <row r="21" hidden="1">
      <c r="A21" s="47">
        <f>IF(Roster!$B$15="","",Roster!$B$15)</f>
        <v/>
      </c>
      <c r="B21" s="48">
        <f>IF(Roster!$C$15="","",Roster!$C$15)</f>
        <v/>
      </c>
      <c r="C21" s="49">
        <f>IF(Roster!$C$15="","",Roster!$F$15&amp;"")</f>
        <v/>
      </c>
      <c r="D21" s="50">
        <f>IF(Roster!$C$15="","",Roster!$G$15&amp;"")</f>
        <v/>
      </c>
      <c r="E21" s="51">
        <f>IF($B21="","",CHOOSE(MonthIdx,'Jan'!AI63,'Feb'!AI63,'Mar'!AI63,'Apr'!AI63,'May'!AI63,'Jun'!AI63,'Jul'!AI63,'Aug'!AI63,'Sep'!AI63,'Oct'!AI63,'Nov'!AI63,'Dec'!AI63))</f>
        <v/>
      </c>
      <c r="F21" s="52">
        <f>IF($B21="","",CHOOSE(MonthIdx,'Jan'!AJ63,'Feb'!AJ63,'Mar'!AJ63,'Apr'!AJ63,'May'!AJ63,'Jun'!AJ63,'Jul'!AJ63,'Aug'!AJ63,'Sep'!AJ63,'Oct'!AJ63,'Nov'!AJ63,'Dec'!AJ63))</f>
        <v/>
      </c>
      <c r="G21" s="51">
        <f>IF($B21="","",CHOOSE(MonthIdx,'Jan'!AK63,'Feb'!AK63,'Mar'!AK63,'Apr'!AK63,'May'!AK63,'Jun'!AK63,'Jul'!AK63,'Aug'!AK63,'Sep'!AK63,'Oct'!AK63,'Nov'!AK63,'Dec'!AK63))</f>
        <v/>
      </c>
      <c r="H21" s="51">
        <f>IF($B21="","",CHOOSE(MonthIdx,'Jan'!AL63,'Feb'!AL63,'Mar'!AL63,'Apr'!AL63,'May'!AL63,'Jun'!AL63,'Jul'!AL63,'Aug'!AL63,'Sep'!AL63,'Oct'!AL63,'Nov'!AL63,'Dec'!AL63))</f>
        <v/>
      </c>
      <c r="I21" s="51">
        <f>IF($B21="","",CHOOSE(MonthIdx,'Jan'!AM63,'Feb'!AM63,'Mar'!AM63,'Apr'!AM63,'May'!AM63,'Jun'!AM63,'Jul'!AM63,'Aug'!AM63,'Sep'!AM63,'Oct'!AM63,'Nov'!AM63,'Dec'!AM63))</f>
        <v/>
      </c>
      <c r="K21" s="44">
        <f>IF(Activities!$A$15="","",Activities!$A$15)</f>
        <v/>
      </c>
      <c r="L21" s="45">
        <f>IF(Activities!$A$15="","",Activities!$B$15&amp;"")</f>
        <v/>
      </c>
      <c r="N21" s="46">
        <f>IF(Activities!$A$15="","",Activities!$D$15)</f>
        <v/>
      </c>
    </row>
    <row r="22" hidden="1">
      <c r="A22" s="38">
        <f>IF(Roster!$B$16="","",Roster!$B$16)</f>
        <v/>
      </c>
      <c r="B22" s="39">
        <f>IF(Roster!$C$16="","",Roster!$C$16)</f>
        <v/>
      </c>
      <c r="C22" s="40">
        <f>IF(Roster!$C$16="","",Roster!$F$16&amp;"")</f>
        <v/>
      </c>
      <c r="D22" s="41">
        <f>IF(Roster!$C$16="","",Roster!$G$16&amp;"")</f>
        <v/>
      </c>
      <c r="E22" s="42">
        <f>IF($B22="","",CHOOSE(MonthIdx,'Jan'!AI67,'Feb'!AI67,'Mar'!AI67,'Apr'!AI67,'May'!AI67,'Jun'!AI67,'Jul'!AI67,'Aug'!AI67,'Sep'!AI67,'Oct'!AI67,'Nov'!AI67,'Dec'!AI67))</f>
        <v/>
      </c>
      <c r="F22" s="43">
        <f>IF($B22="","",CHOOSE(MonthIdx,'Jan'!AJ67,'Feb'!AJ67,'Mar'!AJ67,'Apr'!AJ67,'May'!AJ67,'Jun'!AJ67,'Jul'!AJ67,'Aug'!AJ67,'Sep'!AJ67,'Oct'!AJ67,'Nov'!AJ67,'Dec'!AJ67))</f>
        <v/>
      </c>
      <c r="G22" s="42">
        <f>IF($B22="","",CHOOSE(MonthIdx,'Jan'!AK67,'Feb'!AK67,'Mar'!AK67,'Apr'!AK67,'May'!AK67,'Jun'!AK67,'Jul'!AK67,'Aug'!AK67,'Sep'!AK67,'Oct'!AK67,'Nov'!AK67,'Dec'!AK67))</f>
        <v/>
      </c>
      <c r="H22" s="42">
        <f>IF($B22="","",CHOOSE(MonthIdx,'Jan'!AL67,'Feb'!AL67,'Mar'!AL67,'Apr'!AL67,'May'!AL67,'Jun'!AL67,'Jul'!AL67,'Aug'!AL67,'Sep'!AL67,'Oct'!AL67,'Nov'!AL67,'Dec'!AL67))</f>
        <v/>
      </c>
      <c r="I22" s="42">
        <f>IF($B22="","",CHOOSE(MonthIdx,'Jan'!AM67,'Feb'!AM67,'Mar'!AM67,'Apr'!AM67,'May'!AM67,'Jun'!AM67,'Jul'!AM67,'Aug'!AM67,'Sep'!AM67,'Oct'!AM67,'Nov'!AM67,'Dec'!AM67))</f>
        <v/>
      </c>
      <c r="K22" s="44">
        <f>IF(Activities!$A$16="","",Activities!$A$16)</f>
        <v/>
      </c>
      <c r="L22" s="45">
        <f>IF(Activities!$A$16="","",Activities!$B$16&amp;"")</f>
        <v/>
      </c>
      <c r="N22" s="46">
        <f>IF(Activities!$A$16="","",Activities!$D$16)</f>
        <v/>
      </c>
    </row>
    <row r="23" hidden="1">
      <c r="A23" s="47">
        <f>IF(Roster!$B$17="","",Roster!$B$17)</f>
        <v/>
      </c>
      <c r="B23" s="48">
        <f>IF(Roster!$C$17="","",Roster!$C$17)</f>
        <v/>
      </c>
      <c r="C23" s="49">
        <f>IF(Roster!$C$17="","",Roster!$F$17&amp;"")</f>
        <v/>
      </c>
      <c r="D23" s="50">
        <f>IF(Roster!$C$17="","",Roster!$G$17&amp;"")</f>
        <v/>
      </c>
      <c r="E23" s="51">
        <f>IF($B23="","",CHOOSE(MonthIdx,'Jan'!AI71,'Feb'!AI71,'Mar'!AI71,'Apr'!AI71,'May'!AI71,'Jun'!AI71,'Jul'!AI71,'Aug'!AI71,'Sep'!AI71,'Oct'!AI71,'Nov'!AI71,'Dec'!AI71))</f>
        <v/>
      </c>
      <c r="F23" s="52">
        <f>IF($B23="","",CHOOSE(MonthIdx,'Jan'!AJ71,'Feb'!AJ71,'Mar'!AJ71,'Apr'!AJ71,'May'!AJ71,'Jun'!AJ71,'Jul'!AJ71,'Aug'!AJ71,'Sep'!AJ71,'Oct'!AJ71,'Nov'!AJ71,'Dec'!AJ71))</f>
        <v/>
      </c>
      <c r="G23" s="51">
        <f>IF($B23="","",CHOOSE(MonthIdx,'Jan'!AK71,'Feb'!AK71,'Mar'!AK71,'Apr'!AK71,'May'!AK71,'Jun'!AK71,'Jul'!AK71,'Aug'!AK71,'Sep'!AK71,'Oct'!AK71,'Nov'!AK71,'Dec'!AK71))</f>
        <v/>
      </c>
      <c r="H23" s="51">
        <f>IF($B23="","",CHOOSE(MonthIdx,'Jan'!AL71,'Feb'!AL71,'Mar'!AL71,'Apr'!AL71,'May'!AL71,'Jun'!AL71,'Jul'!AL71,'Aug'!AL71,'Sep'!AL71,'Oct'!AL71,'Nov'!AL71,'Dec'!AL71))</f>
        <v/>
      </c>
      <c r="I23" s="51">
        <f>IF($B23="","",CHOOSE(MonthIdx,'Jan'!AM71,'Feb'!AM71,'Mar'!AM71,'Apr'!AM71,'May'!AM71,'Jun'!AM71,'Jul'!AM71,'Aug'!AM71,'Sep'!AM71,'Oct'!AM71,'Nov'!AM71,'Dec'!AM71))</f>
        <v/>
      </c>
      <c r="K23" s="44">
        <f>IF(Activities!$A$17="","",Activities!$A$17)</f>
        <v/>
      </c>
      <c r="L23" s="45">
        <f>IF(Activities!$A$17="","",Activities!$B$17&amp;"")</f>
        <v/>
      </c>
      <c r="N23" s="46">
        <f>IF(Activities!$A$17="","",Activities!$D$17)</f>
        <v/>
      </c>
    </row>
    <row r="24" hidden="1">
      <c r="A24" s="38">
        <f>IF(Roster!$B$18="","",Roster!$B$18)</f>
        <v/>
      </c>
      <c r="B24" s="39">
        <f>IF(Roster!$C$18="","",Roster!$C$18)</f>
        <v/>
      </c>
      <c r="C24" s="40">
        <f>IF(Roster!$C$18="","",Roster!$F$18&amp;"")</f>
        <v/>
      </c>
      <c r="D24" s="41">
        <f>IF(Roster!$C$18="","",Roster!$G$18&amp;"")</f>
        <v/>
      </c>
      <c r="E24" s="42">
        <f>IF($B24="","",CHOOSE(MonthIdx,'Jan'!AI75,'Feb'!AI75,'Mar'!AI75,'Apr'!AI75,'May'!AI75,'Jun'!AI75,'Jul'!AI75,'Aug'!AI75,'Sep'!AI75,'Oct'!AI75,'Nov'!AI75,'Dec'!AI75))</f>
        <v/>
      </c>
      <c r="F24" s="43">
        <f>IF($B24="","",CHOOSE(MonthIdx,'Jan'!AJ75,'Feb'!AJ75,'Mar'!AJ75,'Apr'!AJ75,'May'!AJ75,'Jun'!AJ75,'Jul'!AJ75,'Aug'!AJ75,'Sep'!AJ75,'Oct'!AJ75,'Nov'!AJ75,'Dec'!AJ75))</f>
        <v/>
      </c>
      <c r="G24" s="42">
        <f>IF($B24="","",CHOOSE(MonthIdx,'Jan'!AK75,'Feb'!AK75,'Mar'!AK75,'Apr'!AK75,'May'!AK75,'Jun'!AK75,'Jul'!AK75,'Aug'!AK75,'Sep'!AK75,'Oct'!AK75,'Nov'!AK75,'Dec'!AK75))</f>
        <v/>
      </c>
      <c r="H24" s="42">
        <f>IF($B24="","",CHOOSE(MonthIdx,'Jan'!AL75,'Feb'!AL75,'Mar'!AL75,'Apr'!AL75,'May'!AL75,'Jun'!AL75,'Jul'!AL75,'Aug'!AL75,'Sep'!AL75,'Oct'!AL75,'Nov'!AL75,'Dec'!AL75))</f>
        <v/>
      </c>
      <c r="I24" s="42">
        <f>IF($B24="","",CHOOSE(MonthIdx,'Jan'!AM75,'Feb'!AM75,'Mar'!AM75,'Apr'!AM75,'May'!AM75,'Jun'!AM75,'Jul'!AM75,'Aug'!AM75,'Sep'!AM75,'Oct'!AM75,'Nov'!AM75,'Dec'!AM75))</f>
        <v/>
      </c>
      <c r="K24" s="44">
        <f>IF(Activities!$A$18="","",Activities!$A$18)</f>
        <v/>
      </c>
      <c r="L24" s="45">
        <f>IF(Activities!$A$18="","",Activities!$B$18&amp;"")</f>
        <v/>
      </c>
      <c r="N24" s="46">
        <f>IF(Activities!$A$18="","",Activities!$D$18)</f>
        <v/>
      </c>
    </row>
    <row r="25" hidden="1">
      <c r="A25" s="47">
        <f>IF(Roster!$B$19="","",Roster!$B$19)</f>
        <v/>
      </c>
      <c r="B25" s="48">
        <f>IF(Roster!$C$19="","",Roster!$C$19)</f>
        <v/>
      </c>
      <c r="C25" s="49">
        <f>IF(Roster!$C$19="","",Roster!$F$19&amp;"")</f>
        <v/>
      </c>
      <c r="D25" s="50">
        <f>IF(Roster!$C$19="","",Roster!$G$19&amp;"")</f>
        <v/>
      </c>
      <c r="E25" s="51">
        <f>IF($B25="","",CHOOSE(MonthIdx,'Jan'!AI79,'Feb'!AI79,'Mar'!AI79,'Apr'!AI79,'May'!AI79,'Jun'!AI79,'Jul'!AI79,'Aug'!AI79,'Sep'!AI79,'Oct'!AI79,'Nov'!AI79,'Dec'!AI79))</f>
        <v/>
      </c>
      <c r="F25" s="52">
        <f>IF($B25="","",CHOOSE(MonthIdx,'Jan'!AJ79,'Feb'!AJ79,'Mar'!AJ79,'Apr'!AJ79,'May'!AJ79,'Jun'!AJ79,'Jul'!AJ79,'Aug'!AJ79,'Sep'!AJ79,'Oct'!AJ79,'Nov'!AJ79,'Dec'!AJ79))</f>
        <v/>
      </c>
      <c r="G25" s="51">
        <f>IF($B25="","",CHOOSE(MonthIdx,'Jan'!AK79,'Feb'!AK79,'Mar'!AK79,'Apr'!AK79,'May'!AK79,'Jun'!AK79,'Jul'!AK79,'Aug'!AK79,'Sep'!AK79,'Oct'!AK79,'Nov'!AK79,'Dec'!AK79))</f>
        <v/>
      </c>
      <c r="H25" s="51">
        <f>IF($B25="","",CHOOSE(MonthIdx,'Jan'!AL79,'Feb'!AL79,'Mar'!AL79,'Apr'!AL79,'May'!AL79,'Jun'!AL79,'Jul'!AL79,'Aug'!AL79,'Sep'!AL79,'Oct'!AL79,'Nov'!AL79,'Dec'!AL79))</f>
        <v/>
      </c>
      <c r="I25" s="51">
        <f>IF($B25="","",CHOOSE(MonthIdx,'Jan'!AM79,'Feb'!AM79,'Mar'!AM79,'Apr'!AM79,'May'!AM79,'Jun'!AM79,'Jul'!AM79,'Aug'!AM79,'Sep'!AM79,'Oct'!AM79,'Nov'!AM79,'Dec'!AM79))</f>
        <v/>
      </c>
      <c r="K25" s="44">
        <f>IF(Activities!$A$19="","",Activities!$A$19)</f>
        <v/>
      </c>
      <c r="L25" s="45">
        <f>IF(Activities!$A$19="","",Activities!$B$19&amp;"")</f>
        <v/>
      </c>
      <c r="N25" s="46">
        <f>IF(Activities!$A$19="","",Activities!$D$19)</f>
        <v/>
      </c>
    </row>
    <row r="26" hidden="1">
      <c r="A26" s="38">
        <f>IF(Roster!$B$20="","",Roster!$B$20)</f>
        <v/>
      </c>
      <c r="B26" s="39">
        <f>IF(Roster!$C$20="","",Roster!$C$20)</f>
        <v/>
      </c>
      <c r="C26" s="40">
        <f>IF(Roster!$C$20="","",Roster!$F$20&amp;"")</f>
        <v/>
      </c>
      <c r="D26" s="41">
        <f>IF(Roster!$C$20="","",Roster!$G$20&amp;"")</f>
        <v/>
      </c>
      <c r="E26" s="42">
        <f>IF($B26="","",CHOOSE(MonthIdx,'Jan'!AI83,'Feb'!AI83,'Mar'!AI83,'Apr'!AI83,'May'!AI83,'Jun'!AI83,'Jul'!AI83,'Aug'!AI83,'Sep'!AI83,'Oct'!AI83,'Nov'!AI83,'Dec'!AI83))</f>
        <v/>
      </c>
      <c r="F26" s="43">
        <f>IF($B26="","",CHOOSE(MonthIdx,'Jan'!AJ83,'Feb'!AJ83,'Mar'!AJ83,'Apr'!AJ83,'May'!AJ83,'Jun'!AJ83,'Jul'!AJ83,'Aug'!AJ83,'Sep'!AJ83,'Oct'!AJ83,'Nov'!AJ83,'Dec'!AJ83))</f>
        <v/>
      </c>
      <c r="G26" s="42">
        <f>IF($B26="","",CHOOSE(MonthIdx,'Jan'!AK83,'Feb'!AK83,'Mar'!AK83,'Apr'!AK83,'May'!AK83,'Jun'!AK83,'Jul'!AK83,'Aug'!AK83,'Sep'!AK83,'Oct'!AK83,'Nov'!AK83,'Dec'!AK83))</f>
        <v/>
      </c>
      <c r="H26" s="42">
        <f>IF($B26="","",CHOOSE(MonthIdx,'Jan'!AL83,'Feb'!AL83,'Mar'!AL83,'Apr'!AL83,'May'!AL83,'Jun'!AL83,'Jul'!AL83,'Aug'!AL83,'Sep'!AL83,'Oct'!AL83,'Nov'!AL83,'Dec'!AL83))</f>
        <v/>
      </c>
      <c r="I26" s="42">
        <f>IF($B26="","",CHOOSE(MonthIdx,'Jan'!AM83,'Feb'!AM83,'Mar'!AM83,'Apr'!AM83,'May'!AM83,'Jun'!AM83,'Jul'!AM83,'Aug'!AM83,'Sep'!AM83,'Oct'!AM83,'Nov'!AM83,'Dec'!AM83))</f>
        <v/>
      </c>
      <c r="K26" s="44">
        <f>IF(Activities!$A$20="","",Activities!$A$20)</f>
        <v/>
      </c>
      <c r="L26" s="45">
        <f>IF(Activities!$A$20="","",Activities!$B$20&amp;"")</f>
        <v/>
      </c>
      <c r="N26" s="46">
        <f>IF(Activities!$A$20="","",Activities!$D$20)</f>
        <v/>
      </c>
    </row>
    <row r="27" hidden="1">
      <c r="A27" s="47">
        <f>IF(Roster!$B$21="","",Roster!$B$21)</f>
        <v/>
      </c>
      <c r="B27" s="48">
        <f>IF(Roster!$C$21="","",Roster!$C$21)</f>
        <v/>
      </c>
      <c r="C27" s="49">
        <f>IF(Roster!$C$21="","",Roster!$F$21&amp;"")</f>
        <v/>
      </c>
      <c r="D27" s="50">
        <f>IF(Roster!$C$21="","",Roster!$G$21&amp;"")</f>
        <v/>
      </c>
      <c r="E27" s="51">
        <f>IF($B27="","",CHOOSE(MonthIdx,'Jan'!AI87,'Feb'!AI87,'Mar'!AI87,'Apr'!AI87,'May'!AI87,'Jun'!AI87,'Jul'!AI87,'Aug'!AI87,'Sep'!AI87,'Oct'!AI87,'Nov'!AI87,'Dec'!AI87))</f>
        <v/>
      </c>
      <c r="F27" s="52">
        <f>IF($B27="","",CHOOSE(MonthIdx,'Jan'!AJ87,'Feb'!AJ87,'Mar'!AJ87,'Apr'!AJ87,'May'!AJ87,'Jun'!AJ87,'Jul'!AJ87,'Aug'!AJ87,'Sep'!AJ87,'Oct'!AJ87,'Nov'!AJ87,'Dec'!AJ87))</f>
        <v/>
      </c>
      <c r="G27" s="51">
        <f>IF($B27="","",CHOOSE(MonthIdx,'Jan'!AK87,'Feb'!AK87,'Mar'!AK87,'Apr'!AK87,'May'!AK87,'Jun'!AK87,'Jul'!AK87,'Aug'!AK87,'Sep'!AK87,'Oct'!AK87,'Nov'!AK87,'Dec'!AK87))</f>
        <v/>
      </c>
      <c r="H27" s="51">
        <f>IF($B27="","",CHOOSE(MonthIdx,'Jan'!AL87,'Feb'!AL87,'Mar'!AL87,'Apr'!AL87,'May'!AL87,'Jun'!AL87,'Jul'!AL87,'Aug'!AL87,'Sep'!AL87,'Oct'!AL87,'Nov'!AL87,'Dec'!AL87))</f>
        <v/>
      </c>
      <c r="I27" s="51">
        <f>IF($B27="","",CHOOSE(MonthIdx,'Jan'!AM87,'Feb'!AM87,'Mar'!AM87,'Apr'!AM87,'May'!AM87,'Jun'!AM87,'Jul'!AM87,'Aug'!AM87,'Sep'!AM87,'Oct'!AM87,'Nov'!AM87,'Dec'!AM87))</f>
        <v/>
      </c>
      <c r="K27" s="44">
        <f>IF(Activities!$A$21="","",Activities!$A$21)</f>
        <v/>
      </c>
      <c r="L27" s="45">
        <f>IF(Activities!$A$21="","",Activities!$B$21&amp;"")</f>
        <v/>
      </c>
      <c r="N27" s="46">
        <f>IF(Activities!$A$21="","",Activities!$D$21)</f>
        <v/>
      </c>
    </row>
    <row r="28" hidden="1">
      <c r="A28" s="38">
        <f>IF(Roster!$B$22="","",Roster!$B$22)</f>
        <v/>
      </c>
      <c r="B28" s="39">
        <f>IF(Roster!$C$22="","",Roster!$C$22)</f>
        <v/>
      </c>
      <c r="C28" s="40">
        <f>IF(Roster!$C$22="","",Roster!$F$22&amp;"")</f>
        <v/>
      </c>
      <c r="D28" s="41">
        <f>IF(Roster!$C$22="","",Roster!$G$22&amp;"")</f>
        <v/>
      </c>
      <c r="E28" s="42">
        <f>IF($B28="","",CHOOSE(MonthIdx,'Jan'!AI91,'Feb'!AI91,'Mar'!AI91,'Apr'!AI91,'May'!AI91,'Jun'!AI91,'Jul'!AI91,'Aug'!AI91,'Sep'!AI91,'Oct'!AI91,'Nov'!AI91,'Dec'!AI91))</f>
        <v/>
      </c>
      <c r="F28" s="43">
        <f>IF($B28="","",CHOOSE(MonthIdx,'Jan'!AJ91,'Feb'!AJ91,'Mar'!AJ91,'Apr'!AJ91,'May'!AJ91,'Jun'!AJ91,'Jul'!AJ91,'Aug'!AJ91,'Sep'!AJ91,'Oct'!AJ91,'Nov'!AJ91,'Dec'!AJ91))</f>
        <v/>
      </c>
      <c r="G28" s="42">
        <f>IF($B28="","",CHOOSE(MonthIdx,'Jan'!AK91,'Feb'!AK91,'Mar'!AK91,'Apr'!AK91,'May'!AK91,'Jun'!AK91,'Jul'!AK91,'Aug'!AK91,'Sep'!AK91,'Oct'!AK91,'Nov'!AK91,'Dec'!AK91))</f>
        <v/>
      </c>
      <c r="H28" s="42">
        <f>IF($B28="","",CHOOSE(MonthIdx,'Jan'!AL91,'Feb'!AL91,'Mar'!AL91,'Apr'!AL91,'May'!AL91,'Jun'!AL91,'Jul'!AL91,'Aug'!AL91,'Sep'!AL91,'Oct'!AL91,'Nov'!AL91,'Dec'!AL91))</f>
        <v/>
      </c>
      <c r="I28" s="42">
        <f>IF($B28="","",CHOOSE(MonthIdx,'Jan'!AM91,'Feb'!AM91,'Mar'!AM91,'Apr'!AM91,'May'!AM91,'Jun'!AM91,'Jul'!AM91,'Aug'!AM91,'Sep'!AM91,'Oct'!AM91,'Nov'!AM91,'Dec'!AM91))</f>
        <v/>
      </c>
      <c r="K28" s="44">
        <f>IF(Activities!$A$22="","",Activities!$A$22)</f>
        <v/>
      </c>
      <c r="L28" s="45">
        <f>IF(Activities!$A$22="","",Activities!$B$22&amp;"")</f>
        <v/>
      </c>
      <c r="N28" s="46">
        <f>IF(Activities!$A$22="","",Activities!$D$22)</f>
        <v/>
      </c>
    </row>
    <row r="29" hidden="1">
      <c r="A29" s="47">
        <f>IF(Roster!$B$23="","",Roster!$B$23)</f>
        <v/>
      </c>
      <c r="B29" s="48">
        <f>IF(Roster!$C$23="","",Roster!$C$23)</f>
        <v/>
      </c>
      <c r="C29" s="49">
        <f>IF(Roster!$C$23="","",Roster!$F$23&amp;"")</f>
        <v/>
      </c>
      <c r="D29" s="50">
        <f>IF(Roster!$C$23="","",Roster!$G$23&amp;"")</f>
        <v/>
      </c>
      <c r="E29" s="51">
        <f>IF($B29="","",CHOOSE(MonthIdx,'Jan'!AI95,'Feb'!AI95,'Mar'!AI95,'Apr'!AI95,'May'!AI95,'Jun'!AI95,'Jul'!AI95,'Aug'!AI95,'Sep'!AI95,'Oct'!AI95,'Nov'!AI95,'Dec'!AI95))</f>
        <v/>
      </c>
      <c r="F29" s="52">
        <f>IF($B29="","",CHOOSE(MonthIdx,'Jan'!AJ95,'Feb'!AJ95,'Mar'!AJ95,'Apr'!AJ95,'May'!AJ95,'Jun'!AJ95,'Jul'!AJ95,'Aug'!AJ95,'Sep'!AJ95,'Oct'!AJ95,'Nov'!AJ95,'Dec'!AJ95))</f>
        <v/>
      </c>
      <c r="G29" s="51">
        <f>IF($B29="","",CHOOSE(MonthIdx,'Jan'!AK95,'Feb'!AK95,'Mar'!AK95,'Apr'!AK95,'May'!AK95,'Jun'!AK95,'Jul'!AK95,'Aug'!AK95,'Sep'!AK95,'Oct'!AK95,'Nov'!AK95,'Dec'!AK95))</f>
        <v/>
      </c>
      <c r="H29" s="51">
        <f>IF($B29="","",CHOOSE(MonthIdx,'Jan'!AL95,'Feb'!AL95,'Mar'!AL95,'Apr'!AL95,'May'!AL95,'Jun'!AL95,'Jul'!AL95,'Aug'!AL95,'Sep'!AL95,'Oct'!AL95,'Nov'!AL95,'Dec'!AL95))</f>
        <v/>
      </c>
      <c r="I29" s="51">
        <f>IF($B29="","",CHOOSE(MonthIdx,'Jan'!AM95,'Feb'!AM95,'Mar'!AM95,'Apr'!AM95,'May'!AM95,'Jun'!AM95,'Jul'!AM95,'Aug'!AM95,'Sep'!AM95,'Oct'!AM95,'Nov'!AM95,'Dec'!AM95))</f>
        <v/>
      </c>
      <c r="K29" s="44">
        <f>IF(Activities!$A$23="","",Activities!$A$23)</f>
        <v/>
      </c>
      <c r="L29" s="45">
        <f>IF(Activities!$A$23="","",Activities!$B$23&amp;"")</f>
        <v/>
      </c>
      <c r="N29" s="46">
        <f>IF(Activities!$A$23="","",Activities!$D$23)</f>
        <v/>
      </c>
    </row>
    <row r="30" hidden="1">
      <c r="A30" s="38">
        <f>IF(Roster!$B$24="","",Roster!$B$24)</f>
        <v/>
      </c>
      <c r="B30" s="39">
        <f>IF(Roster!$C$24="","",Roster!$C$24)</f>
        <v/>
      </c>
      <c r="C30" s="40">
        <f>IF(Roster!$C$24="","",Roster!$F$24&amp;"")</f>
        <v/>
      </c>
      <c r="D30" s="41">
        <f>IF(Roster!$C$24="","",Roster!$G$24&amp;"")</f>
        <v/>
      </c>
      <c r="E30" s="42">
        <f>IF($B30="","",CHOOSE(MonthIdx,'Jan'!AI99,'Feb'!AI99,'Mar'!AI99,'Apr'!AI99,'May'!AI99,'Jun'!AI99,'Jul'!AI99,'Aug'!AI99,'Sep'!AI99,'Oct'!AI99,'Nov'!AI99,'Dec'!AI99))</f>
        <v/>
      </c>
      <c r="F30" s="43">
        <f>IF($B30="","",CHOOSE(MonthIdx,'Jan'!AJ99,'Feb'!AJ99,'Mar'!AJ99,'Apr'!AJ99,'May'!AJ99,'Jun'!AJ99,'Jul'!AJ99,'Aug'!AJ99,'Sep'!AJ99,'Oct'!AJ99,'Nov'!AJ99,'Dec'!AJ99))</f>
        <v/>
      </c>
      <c r="G30" s="42">
        <f>IF($B30="","",CHOOSE(MonthIdx,'Jan'!AK99,'Feb'!AK99,'Mar'!AK99,'Apr'!AK99,'May'!AK99,'Jun'!AK99,'Jul'!AK99,'Aug'!AK99,'Sep'!AK99,'Oct'!AK99,'Nov'!AK99,'Dec'!AK99))</f>
        <v/>
      </c>
      <c r="H30" s="42">
        <f>IF($B30="","",CHOOSE(MonthIdx,'Jan'!AL99,'Feb'!AL99,'Mar'!AL99,'Apr'!AL99,'May'!AL99,'Jun'!AL99,'Jul'!AL99,'Aug'!AL99,'Sep'!AL99,'Oct'!AL99,'Nov'!AL99,'Dec'!AL99))</f>
        <v/>
      </c>
      <c r="I30" s="42">
        <f>IF($B30="","",CHOOSE(MonthIdx,'Jan'!AM99,'Feb'!AM99,'Mar'!AM99,'Apr'!AM99,'May'!AM99,'Jun'!AM99,'Jul'!AM99,'Aug'!AM99,'Sep'!AM99,'Oct'!AM99,'Nov'!AM99,'Dec'!AM99))</f>
        <v/>
      </c>
      <c r="K30" s="44">
        <f>IF(Activities!$A$24="","",Activities!$A$24)</f>
        <v/>
      </c>
      <c r="L30" s="45">
        <f>IF(Activities!$A$24="","",Activities!$B$24&amp;"")</f>
        <v/>
      </c>
      <c r="N30" s="46">
        <f>IF(Activities!$A$24="","",Activities!$D$24)</f>
        <v/>
      </c>
    </row>
    <row r="31" hidden="1">
      <c r="A31" s="47">
        <f>IF(Roster!$B$25="","",Roster!$B$25)</f>
        <v/>
      </c>
      <c r="B31" s="48">
        <f>IF(Roster!$C$25="","",Roster!$C$25)</f>
        <v/>
      </c>
      <c r="C31" s="49">
        <f>IF(Roster!$C$25="","",Roster!$F$25&amp;"")</f>
        <v/>
      </c>
      <c r="D31" s="50">
        <f>IF(Roster!$C$25="","",Roster!$G$25&amp;"")</f>
        <v/>
      </c>
      <c r="E31" s="51">
        <f>IF($B31="","",CHOOSE(MonthIdx,'Jan'!AI103,'Feb'!AI103,'Mar'!AI103,'Apr'!AI103,'May'!AI103,'Jun'!AI103,'Jul'!AI103,'Aug'!AI103,'Sep'!AI103,'Oct'!AI103,'Nov'!AI103,'Dec'!AI103))</f>
        <v/>
      </c>
      <c r="F31" s="52">
        <f>IF($B31="","",CHOOSE(MonthIdx,'Jan'!AJ103,'Feb'!AJ103,'Mar'!AJ103,'Apr'!AJ103,'May'!AJ103,'Jun'!AJ103,'Jul'!AJ103,'Aug'!AJ103,'Sep'!AJ103,'Oct'!AJ103,'Nov'!AJ103,'Dec'!AJ103))</f>
        <v/>
      </c>
      <c r="G31" s="51">
        <f>IF($B31="","",CHOOSE(MonthIdx,'Jan'!AK103,'Feb'!AK103,'Mar'!AK103,'Apr'!AK103,'May'!AK103,'Jun'!AK103,'Jul'!AK103,'Aug'!AK103,'Sep'!AK103,'Oct'!AK103,'Nov'!AK103,'Dec'!AK103))</f>
        <v/>
      </c>
      <c r="H31" s="51">
        <f>IF($B31="","",CHOOSE(MonthIdx,'Jan'!AL103,'Feb'!AL103,'Mar'!AL103,'Apr'!AL103,'May'!AL103,'Jun'!AL103,'Jul'!AL103,'Aug'!AL103,'Sep'!AL103,'Oct'!AL103,'Nov'!AL103,'Dec'!AL103))</f>
        <v/>
      </c>
      <c r="I31" s="51">
        <f>IF($B31="","",CHOOSE(MonthIdx,'Jan'!AM103,'Feb'!AM103,'Mar'!AM103,'Apr'!AM103,'May'!AM103,'Jun'!AM103,'Jul'!AM103,'Aug'!AM103,'Sep'!AM103,'Oct'!AM103,'Nov'!AM103,'Dec'!AM103))</f>
        <v/>
      </c>
      <c r="K31" s="44">
        <f>IF(Activities!$A$25="","",Activities!$A$25)</f>
        <v/>
      </c>
      <c r="L31" s="45">
        <f>IF(Activities!$A$25="","",Activities!$B$25&amp;"")</f>
        <v/>
      </c>
      <c r="N31" s="46">
        <f>IF(Activities!$A$25="","",Activities!$D$25)</f>
        <v/>
      </c>
    </row>
    <row r="32" hidden="1">
      <c r="A32" s="38">
        <f>IF(Roster!$B$26="","",Roster!$B$26)</f>
        <v/>
      </c>
      <c r="B32" s="39">
        <f>IF(Roster!$C$26="","",Roster!$C$26)</f>
        <v/>
      </c>
      <c r="C32" s="40">
        <f>IF(Roster!$C$26="","",Roster!$F$26&amp;"")</f>
        <v/>
      </c>
      <c r="D32" s="41">
        <f>IF(Roster!$C$26="","",Roster!$G$26&amp;"")</f>
        <v/>
      </c>
      <c r="E32" s="42">
        <f>IF($B32="","",CHOOSE(MonthIdx,'Jan'!AI107,'Feb'!AI107,'Mar'!AI107,'Apr'!AI107,'May'!AI107,'Jun'!AI107,'Jul'!AI107,'Aug'!AI107,'Sep'!AI107,'Oct'!AI107,'Nov'!AI107,'Dec'!AI107))</f>
        <v/>
      </c>
      <c r="F32" s="43">
        <f>IF($B32="","",CHOOSE(MonthIdx,'Jan'!AJ107,'Feb'!AJ107,'Mar'!AJ107,'Apr'!AJ107,'May'!AJ107,'Jun'!AJ107,'Jul'!AJ107,'Aug'!AJ107,'Sep'!AJ107,'Oct'!AJ107,'Nov'!AJ107,'Dec'!AJ107))</f>
        <v/>
      </c>
      <c r="G32" s="42">
        <f>IF($B32="","",CHOOSE(MonthIdx,'Jan'!AK107,'Feb'!AK107,'Mar'!AK107,'Apr'!AK107,'May'!AK107,'Jun'!AK107,'Jul'!AK107,'Aug'!AK107,'Sep'!AK107,'Oct'!AK107,'Nov'!AK107,'Dec'!AK107))</f>
        <v/>
      </c>
      <c r="H32" s="42">
        <f>IF($B32="","",CHOOSE(MonthIdx,'Jan'!AL107,'Feb'!AL107,'Mar'!AL107,'Apr'!AL107,'May'!AL107,'Jun'!AL107,'Jul'!AL107,'Aug'!AL107,'Sep'!AL107,'Oct'!AL107,'Nov'!AL107,'Dec'!AL107))</f>
        <v/>
      </c>
      <c r="I32" s="42">
        <f>IF($B32="","",CHOOSE(MonthIdx,'Jan'!AM107,'Feb'!AM107,'Mar'!AM107,'Apr'!AM107,'May'!AM107,'Jun'!AM107,'Jul'!AM107,'Aug'!AM107,'Sep'!AM107,'Oct'!AM107,'Nov'!AM107,'Dec'!AM107))</f>
        <v/>
      </c>
    </row>
    <row r="33" hidden="1">
      <c r="A33" s="47">
        <f>IF(Roster!$B$27="","",Roster!$B$27)</f>
        <v/>
      </c>
      <c r="B33" s="48">
        <f>IF(Roster!$C$27="","",Roster!$C$27)</f>
        <v/>
      </c>
      <c r="C33" s="49">
        <f>IF(Roster!$C$27="","",Roster!$F$27&amp;"")</f>
        <v/>
      </c>
      <c r="D33" s="50">
        <f>IF(Roster!$C$27="","",Roster!$G$27&amp;"")</f>
        <v/>
      </c>
      <c r="E33" s="51">
        <f>IF($B33="","",CHOOSE(MonthIdx,'Jan'!AI111,'Feb'!AI111,'Mar'!AI111,'Apr'!AI111,'May'!AI111,'Jun'!AI111,'Jul'!AI111,'Aug'!AI111,'Sep'!AI111,'Oct'!AI111,'Nov'!AI111,'Dec'!AI111))</f>
        <v/>
      </c>
      <c r="F33" s="52">
        <f>IF($B33="","",CHOOSE(MonthIdx,'Jan'!AJ111,'Feb'!AJ111,'Mar'!AJ111,'Apr'!AJ111,'May'!AJ111,'Jun'!AJ111,'Jul'!AJ111,'Aug'!AJ111,'Sep'!AJ111,'Oct'!AJ111,'Nov'!AJ111,'Dec'!AJ111))</f>
        <v/>
      </c>
      <c r="G33" s="51">
        <f>IF($B33="","",CHOOSE(MonthIdx,'Jan'!AK111,'Feb'!AK111,'Mar'!AK111,'Apr'!AK111,'May'!AK111,'Jun'!AK111,'Jul'!AK111,'Aug'!AK111,'Sep'!AK111,'Oct'!AK111,'Nov'!AK111,'Dec'!AK111))</f>
        <v/>
      </c>
      <c r="H33" s="51">
        <f>IF($B33="","",CHOOSE(MonthIdx,'Jan'!AL111,'Feb'!AL111,'Mar'!AL111,'Apr'!AL111,'May'!AL111,'Jun'!AL111,'Jul'!AL111,'Aug'!AL111,'Sep'!AL111,'Oct'!AL111,'Nov'!AL111,'Dec'!AL111))</f>
        <v/>
      </c>
      <c r="I33" s="51">
        <f>IF($B33="","",CHOOSE(MonthIdx,'Jan'!AM111,'Feb'!AM111,'Mar'!AM111,'Apr'!AM111,'May'!AM111,'Jun'!AM111,'Jul'!AM111,'Aug'!AM111,'Sep'!AM111,'Oct'!AM111,'Nov'!AM111,'Dec'!AM111))</f>
        <v/>
      </c>
    </row>
    <row r="34" hidden="1">
      <c r="A34" s="38">
        <f>IF(Roster!$B$28="","",Roster!$B$28)</f>
        <v/>
      </c>
      <c r="B34" s="39">
        <f>IF(Roster!$C$28="","",Roster!$C$28)</f>
        <v/>
      </c>
      <c r="C34" s="40">
        <f>IF(Roster!$C$28="","",Roster!$F$28&amp;"")</f>
        <v/>
      </c>
      <c r="D34" s="41">
        <f>IF(Roster!$C$28="","",Roster!$G$28&amp;"")</f>
        <v/>
      </c>
      <c r="E34" s="42">
        <f>IF($B34="","",CHOOSE(MonthIdx,'Jan'!AI115,'Feb'!AI115,'Mar'!AI115,'Apr'!AI115,'May'!AI115,'Jun'!AI115,'Jul'!AI115,'Aug'!AI115,'Sep'!AI115,'Oct'!AI115,'Nov'!AI115,'Dec'!AI115))</f>
        <v/>
      </c>
      <c r="F34" s="43">
        <f>IF($B34="","",CHOOSE(MonthIdx,'Jan'!AJ115,'Feb'!AJ115,'Mar'!AJ115,'Apr'!AJ115,'May'!AJ115,'Jun'!AJ115,'Jul'!AJ115,'Aug'!AJ115,'Sep'!AJ115,'Oct'!AJ115,'Nov'!AJ115,'Dec'!AJ115))</f>
        <v/>
      </c>
      <c r="G34" s="42">
        <f>IF($B34="","",CHOOSE(MonthIdx,'Jan'!AK115,'Feb'!AK115,'Mar'!AK115,'Apr'!AK115,'May'!AK115,'Jun'!AK115,'Jul'!AK115,'Aug'!AK115,'Sep'!AK115,'Oct'!AK115,'Nov'!AK115,'Dec'!AK115))</f>
        <v/>
      </c>
      <c r="H34" s="42">
        <f>IF($B34="","",CHOOSE(MonthIdx,'Jan'!AL115,'Feb'!AL115,'Mar'!AL115,'Apr'!AL115,'May'!AL115,'Jun'!AL115,'Jul'!AL115,'Aug'!AL115,'Sep'!AL115,'Oct'!AL115,'Nov'!AL115,'Dec'!AL115))</f>
        <v/>
      </c>
      <c r="I34" s="42">
        <f>IF($B34="","",CHOOSE(MonthIdx,'Jan'!AM115,'Feb'!AM115,'Mar'!AM115,'Apr'!AM115,'May'!AM115,'Jun'!AM115,'Jul'!AM115,'Aug'!AM115,'Sep'!AM115,'Oct'!AM115,'Nov'!AM115,'Dec'!AM115))</f>
        <v/>
      </c>
    </row>
    <row r="35" hidden="1">
      <c r="A35" s="47">
        <f>IF(Roster!$B$29="","",Roster!$B$29)</f>
        <v/>
      </c>
      <c r="B35" s="48">
        <f>IF(Roster!$C$29="","",Roster!$C$29)</f>
        <v/>
      </c>
      <c r="C35" s="49">
        <f>IF(Roster!$C$29="","",Roster!$F$29&amp;"")</f>
        <v/>
      </c>
      <c r="D35" s="50">
        <f>IF(Roster!$C$29="","",Roster!$G$29&amp;"")</f>
        <v/>
      </c>
      <c r="E35" s="51">
        <f>IF($B35="","",CHOOSE(MonthIdx,'Jan'!AI119,'Feb'!AI119,'Mar'!AI119,'Apr'!AI119,'May'!AI119,'Jun'!AI119,'Jul'!AI119,'Aug'!AI119,'Sep'!AI119,'Oct'!AI119,'Nov'!AI119,'Dec'!AI119))</f>
        <v/>
      </c>
      <c r="F35" s="52">
        <f>IF($B35="","",CHOOSE(MonthIdx,'Jan'!AJ119,'Feb'!AJ119,'Mar'!AJ119,'Apr'!AJ119,'May'!AJ119,'Jun'!AJ119,'Jul'!AJ119,'Aug'!AJ119,'Sep'!AJ119,'Oct'!AJ119,'Nov'!AJ119,'Dec'!AJ119))</f>
        <v/>
      </c>
      <c r="G35" s="51">
        <f>IF($B35="","",CHOOSE(MonthIdx,'Jan'!AK119,'Feb'!AK119,'Mar'!AK119,'Apr'!AK119,'May'!AK119,'Jun'!AK119,'Jul'!AK119,'Aug'!AK119,'Sep'!AK119,'Oct'!AK119,'Nov'!AK119,'Dec'!AK119))</f>
        <v/>
      </c>
      <c r="H35" s="51">
        <f>IF($B35="","",CHOOSE(MonthIdx,'Jan'!AL119,'Feb'!AL119,'Mar'!AL119,'Apr'!AL119,'May'!AL119,'Jun'!AL119,'Jul'!AL119,'Aug'!AL119,'Sep'!AL119,'Oct'!AL119,'Nov'!AL119,'Dec'!AL119))</f>
        <v/>
      </c>
      <c r="I35" s="51">
        <f>IF($B35="","",CHOOSE(MonthIdx,'Jan'!AM119,'Feb'!AM119,'Mar'!AM119,'Apr'!AM119,'May'!AM119,'Jun'!AM119,'Jul'!AM119,'Aug'!AM119,'Sep'!AM119,'Oct'!AM119,'Nov'!AM119,'Dec'!AM119))</f>
        <v/>
      </c>
    </row>
    <row r="36" hidden="1">
      <c r="A36" s="38">
        <f>IF(Roster!$B$30="","",Roster!$B$30)</f>
        <v/>
      </c>
      <c r="B36" s="39">
        <f>IF(Roster!$C$30="","",Roster!$C$30)</f>
        <v/>
      </c>
      <c r="C36" s="40">
        <f>IF(Roster!$C$30="","",Roster!$F$30&amp;"")</f>
        <v/>
      </c>
      <c r="D36" s="41">
        <f>IF(Roster!$C$30="","",Roster!$G$30&amp;"")</f>
        <v/>
      </c>
      <c r="E36" s="42">
        <f>IF($B36="","",CHOOSE(MonthIdx,'Jan'!AI123,'Feb'!AI123,'Mar'!AI123,'Apr'!AI123,'May'!AI123,'Jun'!AI123,'Jul'!AI123,'Aug'!AI123,'Sep'!AI123,'Oct'!AI123,'Nov'!AI123,'Dec'!AI123))</f>
        <v/>
      </c>
      <c r="F36" s="43">
        <f>IF($B36="","",CHOOSE(MonthIdx,'Jan'!AJ123,'Feb'!AJ123,'Mar'!AJ123,'Apr'!AJ123,'May'!AJ123,'Jun'!AJ123,'Jul'!AJ123,'Aug'!AJ123,'Sep'!AJ123,'Oct'!AJ123,'Nov'!AJ123,'Dec'!AJ123))</f>
        <v/>
      </c>
      <c r="G36" s="42">
        <f>IF($B36="","",CHOOSE(MonthIdx,'Jan'!AK123,'Feb'!AK123,'Mar'!AK123,'Apr'!AK123,'May'!AK123,'Jun'!AK123,'Jul'!AK123,'Aug'!AK123,'Sep'!AK123,'Oct'!AK123,'Nov'!AK123,'Dec'!AK123))</f>
        <v/>
      </c>
      <c r="H36" s="42">
        <f>IF($B36="","",CHOOSE(MonthIdx,'Jan'!AL123,'Feb'!AL123,'Mar'!AL123,'Apr'!AL123,'May'!AL123,'Jun'!AL123,'Jul'!AL123,'Aug'!AL123,'Sep'!AL123,'Oct'!AL123,'Nov'!AL123,'Dec'!AL123))</f>
        <v/>
      </c>
      <c r="I36" s="42">
        <f>IF($B36="","",CHOOSE(MonthIdx,'Jan'!AM123,'Feb'!AM123,'Mar'!AM123,'Apr'!AM123,'May'!AM123,'Jun'!AM123,'Jul'!AM123,'Aug'!AM123,'Sep'!AM123,'Oct'!AM123,'Nov'!AM123,'Dec'!AM123))</f>
        <v/>
      </c>
    </row>
    <row r="37" hidden="1">
      <c r="A37" s="47">
        <f>IF(Roster!$B$31="","",Roster!$B$31)</f>
        <v/>
      </c>
      <c r="B37" s="48">
        <f>IF(Roster!$C$31="","",Roster!$C$31)</f>
        <v/>
      </c>
      <c r="C37" s="49">
        <f>IF(Roster!$C$31="","",Roster!$F$31&amp;"")</f>
        <v/>
      </c>
      <c r="D37" s="50">
        <f>IF(Roster!$C$31="","",Roster!$G$31&amp;"")</f>
        <v/>
      </c>
      <c r="E37" s="51">
        <f>IF($B37="","",CHOOSE(MonthIdx,'Jan'!AI127,'Feb'!AI127,'Mar'!AI127,'Apr'!AI127,'May'!AI127,'Jun'!AI127,'Jul'!AI127,'Aug'!AI127,'Sep'!AI127,'Oct'!AI127,'Nov'!AI127,'Dec'!AI127))</f>
        <v/>
      </c>
      <c r="F37" s="52">
        <f>IF($B37="","",CHOOSE(MonthIdx,'Jan'!AJ127,'Feb'!AJ127,'Mar'!AJ127,'Apr'!AJ127,'May'!AJ127,'Jun'!AJ127,'Jul'!AJ127,'Aug'!AJ127,'Sep'!AJ127,'Oct'!AJ127,'Nov'!AJ127,'Dec'!AJ127))</f>
        <v/>
      </c>
      <c r="G37" s="51">
        <f>IF($B37="","",CHOOSE(MonthIdx,'Jan'!AK127,'Feb'!AK127,'Mar'!AK127,'Apr'!AK127,'May'!AK127,'Jun'!AK127,'Jul'!AK127,'Aug'!AK127,'Sep'!AK127,'Oct'!AK127,'Nov'!AK127,'Dec'!AK127))</f>
        <v/>
      </c>
      <c r="H37" s="51">
        <f>IF($B37="","",CHOOSE(MonthIdx,'Jan'!AL127,'Feb'!AL127,'Mar'!AL127,'Apr'!AL127,'May'!AL127,'Jun'!AL127,'Jul'!AL127,'Aug'!AL127,'Sep'!AL127,'Oct'!AL127,'Nov'!AL127,'Dec'!AL127))</f>
        <v/>
      </c>
      <c r="I37" s="51">
        <f>IF($B37="","",CHOOSE(MonthIdx,'Jan'!AM127,'Feb'!AM127,'Mar'!AM127,'Apr'!AM127,'May'!AM127,'Jun'!AM127,'Jul'!AM127,'Aug'!AM127,'Sep'!AM127,'Oct'!AM127,'Nov'!AM127,'Dec'!AM127))</f>
        <v/>
      </c>
    </row>
    <row r="38" hidden="1">
      <c r="A38" s="38">
        <f>IF(Roster!$B$32="","",Roster!$B$32)</f>
        <v/>
      </c>
      <c r="B38" s="39">
        <f>IF(Roster!$C$32="","",Roster!$C$32)</f>
        <v/>
      </c>
      <c r="C38" s="40">
        <f>IF(Roster!$C$32="","",Roster!$F$32&amp;"")</f>
        <v/>
      </c>
      <c r="D38" s="41">
        <f>IF(Roster!$C$32="","",Roster!$G$32&amp;"")</f>
        <v/>
      </c>
      <c r="E38" s="42">
        <f>IF($B38="","",CHOOSE(MonthIdx,'Jan'!AI131,'Feb'!AI131,'Mar'!AI131,'Apr'!AI131,'May'!AI131,'Jun'!AI131,'Jul'!AI131,'Aug'!AI131,'Sep'!AI131,'Oct'!AI131,'Nov'!AI131,'Dec'!AI131))</f>
        <v/>
      </c>
      <c r="F38" s="43">
        <f>IF($B38="","",CHOOSE(MonthIdx,'Jan'!AJ131,'Feb'!AJ131,'Mar'!AJ131,'Apr'!AJ131,'May'!AJ131,'Jun'!AJ131,'Jul'!AJ131,'Aug'!AJ131,'Sep'!AJ131,'Oct'!AJ131,'Nov'!AJ131,'Dec'!AJ131))</f>
        <v/>
      </c>
      <c r="G38" s="42">
        <f>IF($B38="","",CHOOSE(MonthIdx,'Jan'!AK131,'Feb'!AK131,'Mar'!AK131,'Apr'!AK131,'May'!AK131,'Jun'!AK131,'Jul'!AK131,'Aug'!AK131,'Sep'!AK131,'Oct'!AK131,'Nov'!AK131,'Dec'!AK131))</f>
        <v/>
      </c>
      <c r="H38" s="42">
        <f>IF($B38="","",CHOOSE(MonthIdx,'Jan'!AL131,'Feb'!AL131,'Mar'!AL131,'Apr'!AL131,'May'!AL131,'Jun'!AL131,'Jul'!AL131,'Aug'!AL131,'Sep'!AL131,'Oct'!AL131,'Nov'!AL131,'Dec'!AL131))</f>
        <v/>
      </c>
      <c r="I38" s="42">
        <f>IF($B38="","",CHOOSE(MonthIdx,'Jan'!AM131,'Feb'!AM131,'Mar'!AM131,'Apr'!AM131,'May'!AM131,'Jun'!AM131,'Jul'!AM131,'Aug'!AM131,'Sep'!AM131,'Oct'!AM131,'Nov'!AM131,'Dec'!AM131))</f>
        <v/>
      </c>
    </row>
    <row r="39" hidden="1">
      <c r="A39" s="47">
        <f>IF(Roster!$B$33="","",Roster!$B$33)</f>
        <v/>
      </c>
      <c r="B39" s="48">
        <f>IF(Roster!$C$33="","",Roster!$C$33)</f>
        <v/>
      </c>
      <c r="C39" s="49">
        <f>IF(Roster!$C$33="","",Roster!$F$33&amp;"")</f>
        <v/>
      </c>
      <c r="D39" s="50">
        <f>IF(Roster!$C$33="","",Roster!$G$33&amp;"")</f>
        <v/>
      </c>
      <c r="E39" s="51">
        <f>IF($B39="","",CHOOSE(MonthIdx,'Jan'!AI135,'Feb'!AI135,'Mar'!AI135,'Apr'!AI135,'May'!AI135,'Jun'!AI135,'Jul'!AI135,'Aug'!AI135,'Sep'!AI135,'Oct'!AI135,'Nov'!AI135,'Dec'!AI135))</f>
        <v/>
      </c>
      <c r="F39" s="52">
        <f>IF($B39="","",CHOOSE(MonthIdx,'Jan'!AJ135,'Feb'!AJ135,'Mar'!AJ135,'Apr'!AJ135,'May'!AJ135,'Jun'!AJ135,'Jul'!AJ135,'Aug'!AJ135,'Sep'!AJ135,'Oct'!AJ135,'Nov'!AJ135,'Dec'!AJ135))</f>
        <v/>
      </c>
      <c r="G39" s="51">
        <f>IF($B39="","",CHOOSE(MonthIdx,'Jan'!AK135,'Feb'!AK135,'Mar'!AK135,'Apr'!AK135,'May'!AK135,'Jun'!AK135,'Jul'!AK135,'Aug'!AK135,'Sep'!AK135,'Oct'!AK135,'Nov'!AK135,'Dec'!AK135))</f>
        <v/>
      </c>
      <c r="H39" s="51">
        <f>IF($B39="","",CHOOSE(MonthIdx,'Jan'!AL135,'Feb'!AL135,'Mar'!AL135,'Apr'!AL135,'May'!AL135,'Jun'!AL135,'Jul'!AL135,'Aug'!AL135,'Sep'!AL135,'Oct'!AL135,'Nov'!AL135,'Dec'!AL135))</f>
        <v/>
      </c>
      <c r="I39" s="51">
        <f>IF($B39="","",CHOOSE(MonthIdx,'Jan'!AM135,'Feb'!AM135,'Mar'!AM135,'Apr'!AM135,'May'!AM135,'Jun'!AM135,'Jul'!AM135,'Aug'!AM135,'Sep'!AM135,'Oct'!AM135,'Nov'!AM135,'Dec'!AM135))</f>
        <v/>
      </c>
    </row>
    <row r="40" hidden="1">
      <c r="A40" s="38">
        <f>IF(Roster!$B$34="","",Roster!$B$34)</f>
        <v/>
      </c>
      <c r="B40" s="39">
        <f>IF(Roster!$C$34="","",Roster!$C$34)</f>
        <v/>
      </c>
      <c r="C40" s="40">
        <f>IF(Roster!$C$34="","",Roster!$F$34&amp;"")</f>
        <v/>
      </c>
      <c r="D40" s="41">
        <f>IF(Roster!$C$34="","",Roster!$G$34&amp;"")</f>
        <v/>
      </c>
      <c r="E40" s="42">
        <f>IF($B40="","",CHOOSE(MonthIdx,'Jan'!AI139,'Feb'!AI139,'Mar'!AI139,'Apr'!AI139,'May'!AI139,'Jun'!AI139,'Jul'!AI139,'Aug'!AI139,'Sep'!AI139,'Oct'!AI139,'Nov'!AI139,'Dec'!AI139))</f>
        <v/>
      </c>
      <c r="F40" s="43">
        <f>IF($B40="","",CHOOSE(MonthIdx,'Jan'!AJ139,'Feb'!AJ139,'Mar'!AJ139,'Apr'!AJ139,'May'!AJ139,'Jun'!AJ139,'Jul'!AJ139,'Aug'!AJ139,'Sep'!AJ139,'Oct'!AJ139,'Nov'!AJ139,'Dec'!AJ139))</f>
        <v/>
      </c>
      <c r="G40" s="42">
        <f>IF($B40="","",CHOOSE(MonthIdx,'Jan'!AK139,'Feb'!AK139,'Mar'!AK139,'Apr'!AK139,'May'!AK139,'Jun'!AK139,'Jul'!AK139,'Aug'!AK139,'Sep'!AK139,'Oct'!AK139,'Nov'!AK139,'Dec'!AK139))</f>
        <v/>
      </c>
      <c r="H40" s="42">
        <f>IF($B40="","",CHOOSE(MonthIdx,'Jan'!AL139,'Feb'!AL139,'Mar'!AL139,'Apr'!AL139,'May'!AL139,'Jun'!AL139,'Jul'!AL139,'Aug'!AL139,'Sep'!AL139,'Oct'!AL139,'Nov'!AL139,'Dec'!AL139))</f>
        <v/>
      </c>
      <c r="I40" s="42">
        <f>IF($B40="","",CHOOSE(MonthIdx,'Jan'!AM139,'Feb'!AM139,'Mar'!AM139,'Apr'!AM139,'May'!AM139,'Jun'!AM139,'Jul'!AM139,'Aug'!AM139,'Sep'!AM139,'Oct'!AM139,'Nov'!AM139,'Dec'!AM139))</f>
        <v/>
      </c>
    </row>
    <row r="41" hidden="1">
      <c r="A41" s="47">
        <f>IF(Roster!$B$35="","",Roster!$B$35)</f>
        <v/>
      </c>
      <c r="B41" s="48">
        <f>IF(Roster!$C$35="","",Roster!$C$35)</f>
        <v/>
      </c>
      <c r="C41" s="49">
        <f>IF(Roster!$C$35="","",Roster!$F$35&amp;"")</f>
        <v/>
      </c>
      <c r="D41" s="50">
        <f>IF(Roster!$C$35="","",Roster!$G$35&amp;"")</f>
        <v/>
      </c>
      <c r="E41" s="51">
        <f>IF($B41="","",CHOOSE(MonthIdx,'Jan'!AI143,'Feb'!AI143,'Mar'!AI143,'Apr'!AI143,'May'!AI143,'Jun'!AI143,'Jul'!AI143,'Aug'!AI143,'Sep'!AI143,'Oct'!AI143,'Nov'!AI143,'Dec'!AI143))</f>
        <v/>
      </c>
      <c r="F41" s="52">
        <f>IF($B41="","",CHOOSE(MonthIdx,'Jan'!AJ143,'Feb'!AJ143,'Mar'!AJ143,'Apr'!AJ143,'May'!AJ143,'Jun'!AJ143,'Jul'!AJ143,'Aug'!AJ143,'Sep'!AJ143,'Oct'!AJ143,'Nov'!AJ143,'Dec'!AJ143))</f>
        <v/>
      </c>
      <c r="G41" s="51">
        <f>IF($B41="","",CHOOSE(MonthIdx,'Jan'!AK143,'Feb'!AK143,'Mar'!AK143,'Apr'!AK143,'May'!AK143,'Jun'!AK143,'Jul'!AK143,'Aug'!AK143,'Sep'!AK143,'Oct'!AK143,'Nov'!AK143,'Dec'!AK143))</f>
        <v/>
      </c>
      <c r="H41" s="51">
        <f>IF($B41="","",CHOOSE(MonthIdx,'Jan'!AL143,'Feb'!AL143,'Mar'!AL143,'Apr'!AL143,'May'!AL143,'Jun'!AL143,'Jul'!AL143,'Aug'!AL143,'Sep'!AL143,'Oct'!AL143,'Nov'!AL143,'Dec'!AL143))</f>
        <v/>
      </c>
      <c r="I41" s="51">
        <f>IF($B41="","",CHOOSE(MonthIdx,'Jan'!AM143,'Feb'!AM143,'Mar'!AM143,'Apr'!AM143,'May'!AM143,'Jun'!AM143,'Jul'!AM143,'Aug'!AM143,'Sep'!AM143,'Oct'!AM143,'Nov'!AM143,'Dec'!AM143))</f>
        <v/>
      </c>
    </row>
    <row r="42" hidden="1">
      <c r="A42" s="38">
        <f>IF(Roster!$B$36="","",Roster!$B$36)</f>
        <v/>
      </c>
      <c r="B42" s="39">
        <f>IF(Roster!$C$36="","",Roster!$C$36)</f>
        <v/>
      </c>
      <c r="C42" s="40">
        <f>IF(Roster!$C$36="","",Roster!$F$36&amp;"")</f>
        <v/>
      </c>
      <c r="D42" s="41">
        <f>IF(Roster!$C$36="","",Roster!$G$36&amp;"")</f>
        <v/>
      </c>
      <c r="E42" s="42">
        <f>IF($B42="","",CHOOSE(MonthIdx,'Jan'!AI147,'Feb'!AI147,'Mar'!AI147,'Apr'!AI147,'May'!AI147,'Jun'!AI147,'Jul'!AI147,'Aug'!AI147,'Sep'!AI147,'Oct'!AI147,'Nov'!AI147,'Dec'!AI147))</f>
        <v/>
      </c>
      <c r="F42" s="43">
        <f>IF($B42="","",CHOOSE(MonthIdx,'Jan'!AJ147,'Feb'!AJ147,'Mar'!AJ147,'Apr'!AJ147,'May'!AJ147,'Jun'!AJ147,'Jul'!AJ147,'Aug'!AJ147,'Sep'!AJ147,'Oct'!AJ147,'Nov'!AJ147,'Dec'!AJ147))</f>
        <v/>
      </c>
      <c r="G42" s="42">
        <f>IF($B42="","",CHOOSE(MonthIdx,'Jan'!AK147,'Feb'!AK147,'Mar'!AK147,'Apr'!AK147,'May'!AK147,'Jun'!AK147,'Jul'!AK147,'Aug'!AK147,'Sep'!AK147,'Oct'!AK147,'Nov'!AK147,'Dec'!AK147))</f>
        <v/>
      </c>
      <c r="H42" s="42">
        <f>IF($B42="","",CHOOSE(MonthIdx,'Jan'!AL147,'Feb'!AL147,'Mar'!AL147,'Apr'!AL147,'May'!AL147,'Jun'!AL147,'Jul'!AL147,'Aug'!AL147,'Sep'!AL147,'Oct'!AL147,'Nov'!AL147,'Dec'!AL147))</f>
        <v/>
      </c>
      <c r="I42" s="42">
        <f>IF($B42="","",CHOOSE(MonthIdx,'Jan'!AM147,'Feb'!AM147,'Mar'!AM147,'Apr'!AM147,'May'!AM147,'Jun'!AM147,'Jul'!AM147,'Aug'!AM147,'Sep'!AM147,'Oct'!AM147,'Nov'!AM147,'Dec'!AM147))</f>
        <v/>
      </c>
    </row>
    <row r="43" hidden="1">
      <c r="A43" s="47">
        <f>IF(Roster!$B$37="","",Roster!$B$37)</f>
        <v/>
      </c>
      <c r="B43" s="48">
        <f>IF(Roster!$C$37="","",Roster!$C$37)</f>
        <v/>
      </c>
      <c r="C43" s="49">
        <f>IF(Roster!$C$37="","",Roster!$F$37&amp;"")</f>
        <v/>
      </c>
      <c r="D43" s="50">
        <f>IF(Roster!$C$37="","",Roster!$G$37&amp;"")</f>
        <v/>
      </c>
      <c r="E43" s="51">
        <f>IF($B43="","",CHOOSE(MonthIdx,'Jan'!AI151,'Feb'!AI151,'Mar'!AI151,'Apr'!AI151,'May'!AI151,'Jun'!AI151,'Jul'!AI151,'Aug'!AI151,'Sep'!AI151,'Oct'!AI151,'Nov'!AI151,'Dec'!AI151))</f>
        <v/>
      </c>
      <c r="F43" s="52">
        <f>IF($B43="","",CHOOSE(MonthIdx,'Jan'!AJ151,'Feb'!AJ151,'Mar'!AJ151,'Apr'!AJ151,'May'!AJ151,'Jun'!AJ151,'Jul'!AJ151,'Aug'!AJ151,'Sep'!AJ151,'Oct'!AJ151,'Nov'!AJ151,'Dec'!AJ151))</f>
        <v/>
      </c>
      <c r="G43" s="51">
        <f>IF($B43="","",CHOOSE(MonthIdx,'Jan'!AK151,'Feb'!AK151,'Mar'!AK151,'Apr'!AK151,'May'!AK151,'Jun'!AK151,'Jul'!AK151,'Aug'!AK151,'Sep'!AK151,'Oct'!AK151,'Nov'!AK151,'Dec'!AK151))</f>
        <v/>
      </c>
      <c r="H43" s="51">
        <f>IF($B43="","",CHOOSE(MonthIdx,'Jan'!AL151,'Feb'!AL151,'Mar'!AL151,'Apr'!AL151,'May'!AL151,'Jun'!AL151,'Jul'!AL151,'Aug'!AL151,'Sep'!AL151,'Oct'!AL151,'Nov'!AL151,'Dec'!AL151))</f>
        <v/>
      </c>
      <c r="I43" s="51">
        <f>IF($B43="","",CHOOSE(MonthIdx,'Jan'!AM151,'Feb'!AM151,'Mar'!AM151,'Apr'!AM151,'May'!AM151,'Jun'!AM151,'Jul'!AM151,'Aug'!AM151,'Sep'!AM151,'Oct'!AM151,'Nov'!AM151,'Dec'!AM151))</f>
        <v/>
      </c>
    </row>
    <row r="44" hidden="1">
      <c r="A44" s="38">
        <f>IF(Roster!$B$38="","",Roster!$B$38)</f>
        <v/>
      </c>
      <c r="B44" s="39">
        <f>IF(Roster!$C$38="","",Roster!$C$38)</f>
        <v/>
      </c>
      <c r="C44" s="40">
        <f>IF(Roster!$C$38="","",Roster!$F$38&amp;"")</f>
        <v/>
      </c>
      <c r="D44" s="41">
        <f>IF(Roster!$C$38="","",Roster!$G$38&amp;"")</f>
        <v/>
      </c>
      <c r="E44" s="42">
        <f>IF($B44="","",CHOOSE(MonthIdx,'Jan'!AI155,'Feb'!AI155,'Mar'!AI155,'Apr'!AI155,'May'!AI155,'Jun'!AI155,'Jul'!AI155,'Aug'!AI155,'Sep'!AI155,'Oct'!AI155,'Nov'!AI155,'Dec'!AI155))</f>
        <v/>
      </c>
      <c r="F44" s="43">
        <f>IF($B44="","",CHOOSE(MonthIdx,'Jan'!AJ155,'Feb'!AJ155,'Mar'!AJ155,'Apr'!AJ155,'May'!AJ155,'Jun'!AJ155,'Jul'!AJ155,'Aug'!AJ155,'Sep'!AJ155,'Oct'!AJ155,'Nov'!AJ155,'Dec'!AJ155))</f>
        <v/>
      </c>
      <c r="G44" s="42">
        <f>IF($B44="","",CHOOSE(MonthIdx,'Jan'!AK155,'Feb'!AK155,'Mar'!AK155,'Apr'!AK155,'May'!AK155,'Jun'!AK155,'Jul'!AK155,'Aug'!AK155,'Sep'!AK155,'Oct'!AK155,'Nov'!AK155,'Dec'!AK155))</f>
        <v/>
      </c>
      <c r="H44" s="42">
        <f>IF($B44="","",CHOOSE(MonthIdx,'Jan'!AL155,'Feb'!AL155,'Mar'!AL155,'Apr'!AL155,'May'!AL155,'Jun'!AL155,'Jul'!AL155,'Aug'!AL155,'Sep'!AL155,'Oct'!AL155,'Nov'!AL155,'Dec'!AL155))</f>
        <v/>
      </c>
      <c r="I44" s="42">
        <f>IF($B44="","",CHOOSE(MonthIdx,'Jan'!AM155,'Feb'!AM155,'Mar'!AM155,'Apr'!AM155,'May'!AM155,'Jun'!AM155,'Jul'!AM155,'Aug'!AM155,'Sep'!AM155,'Oct'!AM155,'Nov'!AM155,'Dec'!AM155))</f>
        <v/>
      </c>
    </row>
    <row r="45" hidden="1">
      <c r="A45" s="47">
        <f>IF(Roster!$B$39="","",Roster!$B$39)</f>
        <v/>
      </c>
      <c r="B45" s="48">
        <f>IF(Roster!$C$39="","",Roster!$C$39)</f>
        <v/>
      </c>
      <c r="C45" s="49">
        <f>IF(Roster!$C$39="","",Roster!$F$39&amp;"")</f>
        <v/>
      </c>
      <c r="D45" s="50">
        <f>IF(Roster!$C$39="","",Roster!$G$39&amp;"")</f>
        <v/>
      </c>
      <c r="E45" s="51">
        <f>IF($B45="","",CHOOSE(MonthIdx,'Jan'!AI159,'Feb'!AI159,'Mar'!AI159,'Apr'!AI159,'May'!AI159,'Jun'!AI159,'Jul'!AI159,'Aug'!AI159,'Sep'!AI159,'Oct'!AI159,'Nov'!AI159,'Dec'!AI159))</f>
        <v/>
      </c>
      <c r="F45" s="52">
        <f>IF($B45="","",CHOOSE(MonthIdx,'Jan'!AJ159,'Feb'!AJ159,'Mar'!AJ159,'Apr'!AJ159,'May'!AJ159,'Jun'!AJ159,'Jul'!AJ159,'Aug'!AJ159,'Sep'!AJ159,'Oct'!AJ159,'Nov'!AJ159,'Dec'!AJ159))</f>
        <v/>
      </c>
      <c r="G45" s="51">
        <f>IF($B45="","",CHOOSE(MonthIdx,'Jan'!AK159,'Feb'!AK159,'Mar'!AK159,'Apr'!AK159,'May'!AK159,'Jun'!AK159,'Jul'!AK159,'Aug'!AK159,'Sep'!AK159,'Oct'!AK159,'Nov'!AK159,'Dec'!AK159))</f>
        <v/>
      </c>
      <c r="H45" s="51">
        <f>IF($B45="","",CHOOSE(MonthIdx,'Jan'!AL159,'Feb'!AL159,'Mar'!AL159,'Apr'!AL159,'May'!AL159,'Jun'!AL159,'Jul'!AL159,'Aug'!AL159,'Sep'!AL159,'Oct'!AL159,'Nov'!AL159,'Dec'!AL159))</f>
        <v/>
      </c>
      <c r="I45" s="51">
        <f>IF($B45="","",CHOOSE(MonthIdx,'Jan'!AM159,'Feb'!AM159,'Mar'!AM159,'Apr'!AM159,'May'!AM159,'Jun'!AM159,'Jul'!AM159,'Aug'!AM159,'Sep'!AM159,'Oct'!AM159,'Nov'!AM159,'Dec'!AM159))</f>
        <v/>
      </c>
    </row>
    <row r="46" hidden="1">
      <c r="A46" s="38">
        <f>IF(Roster!$B$40="","",Roster!$B$40)</f>
        <v/>
      </c>
      <c r="B46" s="39">
        <f>IF(Roster!$C$40="","",Roster!$C$40)</f>
        <v/>
      </c>
      <c r="C46" s="40">
        <f>IF(Roster!$C$40="","",Roster!$F$40&amp;"")</f>
        <v/>
      </c>
      <c r="D46" s="41">
        <f>IF(Roster!$C$40="","",Roster!$G$40&amp;"")</f>
        <v/>
      </c>
      <c r="E46" s="42">
        <f>IF($B46="","",CHOOSE(MonthIdx,'Jan'!AI163,'Feb'!AI163,'Mar'!AI163,'Apr'!AI163,'May'!AI163,'Jun'!AI163,'Jul'!AI163,'Aug'!AI163,'Sep'!AI163,'Oct'!AI163,'Nov'!AI163,'Dec'!AI163))</f>
        <v/>
      </c>
      <c r="F46" s="43">
        <f>IF($B46="","",CHOOSE(MonthIdx,'Jan'!AJ163,'Feb'!AJ163,'Mar'!AJ163,'Apr'!AJ163,'May'!AJ163,'Jun'!AJ163,'Jul'!AJ163,'Aug'!AJ163,'Sep'!AJ163,'Oct'!AJ163,'Nov'!AJ163,'Dec'!AJ163))</f>
        <v/>
      </c>
      <c r="G46" s="42">
        <f>IF($B46="","",CHOOSE(MonthIdx,'Jan'!AK163,'Feb'!AK163,'Mar'!AK163,'Apr'!AK163,'May'!AK163,'Jun'!AK163,'Jul'!AK163,'Aug'!AK163,'Sep'!AK163,'Oct'!AK163,'Nov'!AK163,'Dec'!AK163))</f>
        <v/>
      </c>
      <c r="H46" s="42">
        <f>IF($B46="","",CHOOSE(MonthIdx,'Jan'!AL163,'Feb'!AL163,'Mar'!AL163,'Apr'!AL163,'May'!AL163,'Jun'!AL163,'Jul'!AL163,'Aug'!AL163,'Sep'!AL163,'Oct'!AL163,'Nov'!AL163,'Dec'!AL163))</f>
        <v/>
      </c>
      <c r="I46" s="42">
        <f>IF($B46="","",CHOOSE(MonthIdx,'Jan'!AM163,'Feb'!AM163,'Mar'!AM163,'Apr'!AM163,'May'!AM163,'Jun'!AM163,'Jul'!AM163,'Aug'!AM163,'Sep'!AM163,'Oct'!AM163,'Nov'!AM163,'Dec'!AM163))</f>
        <v/>
      </c>
    </row>
    <row r="47" hidden="1">
      <c r="A47" s="47">
        <f>IF(Roster!$B$41="","",Roster!$B$41)</f>
        <v/>
      </c>
      <c r="B47" s="48">
        <f>IF(Roster!$C$41="","",Roster!$C$41)</f>
        <v/>
      </c>
      <c r="C47" s="49">
        <f>IF(Roster!$C$41="","",Roster!$F$41&amp;"")</f>
        <v/>
      </c>
      <c r="D47" s="50">
        <f>IF(Roster!$C$41="","",Roster!$G$41&amp;"")</f>
        <v/>
      </c>
      <c r="E47" s="51">
        <f>IF($B47="","",CHOOSE(MonthIdx,'Jan'!AI167,'Feb'!AI167,'Mar'!AI167,'Apr'!AI167,'May'!AI167,'Jun'!AI167,'Jul'!AI167,'Aug'!AI167,'Sep'!AI167,'Oct'!AI167,'Nov'!AI167,'Dec'!AI167))</f>
        <v/>
      </c>
      <c r="F47" s="52">
        <f>IF($B47="","",CHOOSE(MonthIdx,'Jan'!AJ167,'Feb'!AJ167,'Mar'!AJ167,'Apr'!AJ167,'May'!AJ167,'Jun'!AJ167,'Jul'!AJ167,'Aug'!AJ167,'Sep'!AJ167,'Oct'!AJ167,'Nov'!AJ167,'Dec'!AJ167))</f>
        <v/>
      </c>
      <c r="G47" s="51">
        <f>IF($B47="","",CHOOSE(MonthIdx,'Jan'!AK167,'Feb'!AK167,'Mar'!AK167,'Apr'!AK167,'May'!AK167,'Jun'!AK167,'Jul'!AK167,'Aug'!AK167,'Sep'!AK167,'Oct'!AK167,'Nov'!AK167,'Dec'!AK167))</f>
        <v/>
      </c>
      <c r="H47" s="51">
        <f>IF($B47="","",CHOOSE(MonthIdx,'Jan'!AL167,'Feb'!AL167,'Mar'!AL167,'Apr'!AL167,'May'!AL167,'Jun'!AL167,'Jul'!AL167,'Aug'!AL167,'Sep'!AL167,'Oct'!AL167,'Nov'!AL167,'Dec'!AL167))</f>
        <v/>
      </c>
      <c r="I47" s="51">
        <f>IF($B47="","",CHOOSE(MonthIdx,'Jan'!AM167,'Feb'!AM167,'Mar'!AM167,'Apr'!AM167,'May'!AM167,'Jun'!AM167,'Jul'!AM167,'Aug'!AM167,'Sep'!AM167,'Oct'!AM167,'Nov'!AM167,'Dec'!AM167))</f>
        <v/>
      </c>
    </row>
    <row r="48" hidden="1">
      <c r="A48" s="38">
        <f>IF(Roster!$B$42="","",Roster!$B$42)</f>
        <v/>
      </c>
      <c r="B48" s="39">
        <f>IF(Roster!$C$42="","",Roster!$C$42)</f>
        <v/>
      </c>
      <c r="C48" s="40">
        <f>IF(Roster!$C$42="","",Roster!$F$42&amp;"")</f>
        <v/>
      </c>
      <c r="D48" s="41">
        <f>IF(Roster!$C$42="","",Roster!$G$42&amp;"")</f>
        <v/>
      </c>
      <c r="E48" s="42">
        <f>IF($B48="","",CHOOSE(MonthIdx,'Jan'!AI171,'Feb'!AI171,'Mar'!AI171,'Apr'!AI171,'May'!AI171,'Jun'!AI171,'Jul'!AI171,'Aug'!AI171,'Sep'!AI171,'Oct'!AI171,'Nov'!AI171,'Dec'!AI171))</f>
        <v/>
      </c>
      <c r="F48" s="43">
        <f>IF($B48="","",CHOOSE(MonthIdx,'Jan'!AJ171,'Feb'!AJ171,'Mar'!AJ171,'Apr'!AJ171,'May'!AJ171,'Jun'!AJ171,'Jul'!AJ171,'Aug'!AJ171,'Sep'!AJ171,'Oct'!AJ171,'Nov'!AJ171,'Dec'!AJ171))</f>
        <v/>
      </c>
      <c r="G48" s="42">
        <f>IF($B48="","",CHOOSE(MonthIdx,'Jan'!AK171,'Feb'!AK171,'Mar'!AK171,'Apr'!AK171,'May'!AK171,'Jun'!AK171,'Jul'!AK171,'Aug'!AK171,'Sep'!AK171,'Oct'!AK171,'Nov'!AK171,'Dec'!AK171))</f>
        <v/>
      </c>
      <c r="H48" s="42">
        <f>IF($B48="","",CHOOSE(MonthIdx,'Jan'!AL171,'Feb'!AL171,'Mar'!AL171,'Apr'!AL171,'May'!AL171,'Jun'!AL171,'Jul'!AL171,'Aug'!AL171,'Sep'!AL171,'Oct'!AL171,'Nov'!AL171,'Dec'!AL171))</f>
        <v/>
      </c>
      <c r="I48" s="42">
        <f>IF($B48="","",CHOOSE(MonthIdx,'Jan'!AM171,'Feb'!AM171,'Mar'!AM171,'Apr'!AM171,'May'!AM171,'Jun'!AM171,'Jul'!AM171,'Aug'!AM171,'Sep'!AM171,'Oct'!AM171,'Nov'!AM171,'Dec'!AM171))</f>
        <v/>
      </c>
    </row>
    <row r="49" hidden="1">
      <c r="A49" s="47">
        <f>IF(Roster!$B$43="","",Roster!$B$43)</f>
        <v/>
      </c>
      <c r="B49" s="48">
        <f>IF(Roster!$C$43="","",Roster!$C$43)</f>
        <v/>
      </c>
      <c r="C49" s="49">
        <f>IF(Roster!$C$43="","",Roster!$F$43&amp;"")</f>
        <v/>
      </c>
      <c r="D49" s="50">
        <f>IF(Roster!$C$43="","",Roster!$G$43&amp;"")</f>
        <v/>
      </c>
      <c r="E49" s="51">
        <f>IF($B49="","",CHOOSE(MonthIdx,'Jan'!AI175,'Feb'!AI175,'Mar'!AI175,'Apr'!AI175,'May'!AI175,'Jun'!AI175,'Jul'!AI175,'Aug'!AI175,'Sep'!AI175,'Oct'!AI175,'Nov'!AI175,'Dec'!AI175))</f>
        <v/>
      </c>
      <c r="F49" s="52">
        <f>IF($B49="","",CHOOSE(MonthIdx,'Jan'!AJ175,'Feb'!AJ175,'Mar'!AJ175,'Apr'!AJ175,'May'!AJ175,'Jun'!AJ175,'Jul'!AJ175,'Aug'!AJ175,'Sep'!AJ175,'Oct'!AJ175,'Nov'!AJ175,'Dec'!AJ175))</f>
        <v/>
      </c>
      <c r="G49" s="51">
        <f>IF($B49="","",CHOOSE(MonthIdx,'Jan'!AK175,'Feb'!AK175,'Mar'!AK175,'Apr'!AK175,'May'!AK175,'Jun'!AK175,'Jul'!AK175,'Aug'!AK175,'Sep'!AK175,'Oct'!AK175,'Nov'!AK175,'Dec'!AK175))</f>
        <v/>
      </c>
      <c r="H49" s="51">
        <f>IF($B49="","",CHOOSE(MonthIdx,'Jan'!AL175,'Feb'!AL175,'Mar'!AL175,'Apr'!AL175,'May'!AL175,'Jun'!AL175,'Jul'!AL175,'Aug'!AL175,'Sep'!AL175,'Oct'!AL175,'Nov'!AL175,'Dec'!AL175))</f>
        <v/>
      </c>
      <c r="I49" s="51">
        <f>IF($B49="","",CHOOSE(MonthIdx,'Jan'!AM175,'Feb'!AM175,'Mar'!AM175,'Apr'!AM175,'May'!AM175,'Jun'!AM175,'Jul'!AM175,'Aug'!AM175,'Sep'!AM175,'Oct'!AM175,'Nov'!AM175,'Dec'!AM175))</f>
        <v/>
      </c>
    </row>
    <row r="50" hidden="1">
      <c r="A50" s="38">
        <f>IF(Roster!$B$44="","",Roster!$B$44)</f>
        <v/>
      </c>
      <c r="B50" s="39">
        <f>IF(Roster!$C$44="","",Roster!$C$44)</f>
        <v/>
      </c>
      <c r="C50" s="40">
        <f>IF(Roster!$C$44="","",Roster!$F$44&amp;"")</f>
        <v/>
      </c>
      <c r="D50" s="41">
        <f>IF(Roster!$C$44="","",Roster!$G$44&amp;"")</f>
        <v/>
      </c>
      <c r="E50" s="42">
        <f>IF($B50="","",CHOOSE(MonthIdx,'Jan'!AI179,'Feb'!AI179,'Mar'!AI179,'Apr'!AI179,'May'!AI179,'Jun'!AI179,'Jul'!AI179,'Aug'!AI179,'Sep'!AI179,'Oct'!AI179,'Nov'!AI179,'Dec'!AI179))</f>
        <v/>
      </c>
      <c r="F50" s="43">
        <f>IF($B50="","",CHOOSE(MonthIdx,'Jan'!AJ179,'Feb'!AJ179,'Mar'!AJ179,'Apr'!AJ179,'May'!AJ179,'Jun'!AJ179,'Jul'!AJ179,'Aug'!AJ179,'Sep'!AJ179,'Oct'!AJ179,'Nov'!AJ179,'Dec'!AJ179))</f>
        <v/>
      </c>
      <c r="G50" s="42">
        <f>IF($B50="","",CHOOSE(MonthIdx,'Jan'!AK179,'Feb'!AK179,'Mar'!AK179,'Apr'!AK179,'May'!AK179,'Jun'!AK179,'Jul'!AK179,'Aug'!AK179,'Sep'!AK179,'Oct'!AK179,'Nov'!AK179,'Dec'!AK179))</f>
        <v/>
      </c>
      <c r="H50" s="42">
        <f>IF($B50="","",CHOOSE(MonthIdx,'Jan'!AL179,'Feb'!AL179,'Mar'!AL179,'Apr'!AL179,'May'!AL179,'Jun'!AL179,'Jul'!AL179,'Aug'!AL179,'Sep'!AL179,'Oct'!AL179,'Nov'!AL179,'Dec'!AL179))</f>
        <v/>
      </c>
      <c r="I50" s="42">
        <f>IF($B50="","",CHOOSE(MonthIdx,'Jan'!AM179,'Feb'!AM179,'Mar'!AM179,'Apr'!AM179,'May'!AM179,'Jun'!AM179,'Jul'!AM179,'Aug'!AM179,'Sep'!AM179,'Oct'!AM179,'Nov'!AM179,'Dec'!AM179))</f>
        <v/>
      </c>
    </row>
    <row r="51" hidden="1">
      <c r="A51" s="47">
        <f>IF(Roster!$B$45="","",Roster!$B$45)</f>
        <v/>
      </c>
      <c r="B51" s="48">
        <f>IF(Roster!$C$45="","",Roster!$C$45)</f>
        <v/>
      </c>
      <c r="C51" s="49">
        <f>IF(Roster!$C$45="","",Roster!$F$45&amp;"")</f>
        <v/>
      </c>
      <c r="D51" s="50">
        <f>IF(Roster!$C$45="","",Roster!$G$45&amp;"")</f>
        <v/>
      </c>
      <c r="E51" s="51">
        <f>IF($B51="","",CHOOSE(MonthIdx,'Jan'!AI183,'Feb'!AI183,'Mar'!AI183,'Apr'!AI183,'May'!AI183,'Jun'!AI183,'Jul'!AI183,'Aug'!AI183,'Sep'!AI183,'Oct'!AI183,'Nov'!AI183,'Dec'!AI183))</f>
        <v/>
      </c>
      <c r="F51" s="52">
        <f>IF($B51="","",CHOOSE(MonthIdx,'Jan'!AJ183,'Feb'!AJ183,'Mar'!AJ183,'Apr'!AJ183,'May'!AJ183,'Jun'!AJ183,'Jul'!AJ183,'Aug'!AJ183,'Sep'!AJ183,'Oct'!AJ183,'Nov'!AJ183,'Dec'!AJ183))</f>
        <v/>
      </c>
      <c r="G51" s="51">
        <f>IF($B51="","",CHOOSE(MonthIdx,'Jan'!AK183,'Feb'!AK183,'Mar'!AK183,'Apr'!AK183,'May'!AK183,'Jun'!AK183,'Jul'!AK183,'Aug'!AK183,'Sep'!AK183,'Oct'!AK183,'Nov'!AK183,'Dec'!AK183))</f>
        <v/>
      </c>
      <c r="H51" s="51">
        <f>IF($B51="","",CHOOSE(MonthIdx,'Jan'!AL183,'Feb'!AL183,'Mar'!AL183,'Apr'!AL183,'May'!AL183,'Jun'!AL183,'Jul'!AL183,'Aug'!AL183,'Sep'!AL183,'Oct'!AL183,'Nov'!AL183,'Dec'!AL183))</f>
        <v/>
      </c>
      <c r="I51" s="51">
        <f>IF($B51="","",CHOOSE(MonthIdx,'Jan'!AM183,'Feb'!AM183,'Mar'!AM183,'Apr'!AM183,'May'!AM183,'Jun'!AM183,'Jul'!AM183,'Aug'!AM183,'Sep'!AM183,'Oct'!AM183,'Nov'!AM183,'Dec'!AM183))</f>
        <v/>
      </c>
    </row>
    <row r="52" hidden="1">
      <c r="A52" s="38">
        <f>IF(Roster!$B$46="","",Roster!$B$46)</f>
        <v/>
      </c>
      <c r="B52" s="39">
        <f>IF(Roster!$C$46="","",Roster!$C$46)</f>
        <v/>
      </c>
      <c r="C52" s="40">
        <f>IF(Roster!$C$46="","",Roster!$F$46&amp;"")</f>
        <v/>
      </c>
      <c r="D52" s="41">
        <f>IF(Roster!$C$46="","",Roster!$G$46&amp;"")</f>
        <v/>
      </c>
      <c r="E52" s="42">
        <f>IF($B52="","",CHOOSE(MonthIdx,'Jan'!AI187,'Feb'!AI187,'Mar'!AI187,'Apr'!AI187,'May'!AI187,'Jun'!AI187,'Jul'!AI187,'Aug'!AI187,'Sep'!AI187,'Oct'!AI187,'Nov'!AI187,'Dec'!AI187))</f>
        <v/>
      </c>
      <c r="F52" s="43">
        <f>IF($B52="","",CHOOSE(MonthIdx,'Jan'!AJ187,'Feb'!AJ187,'Mar'!AJ187,'Apr'!AJ187,'May'!AJ187,'Jun'!AJ187,'Jul'!AJ187,'Aug'!AJ187,'Sep'!AJ187,'Oct'!AJ187,'Nov'!AJ187,'Dec'!AJ187))</f>
        <v/>
      </c>
      <c r="G52" s="42">
        <f>IF($B52="","",CHOOSE(MonthIdx,'Jan'!AK187,'Feb'!AK187,'Mar'!AK187,'Apr'!AK187,'May'!AK187,'Jun'!AK187,'Jul'!AK187,'Aug'!AK187,'Sep'!AK187,'Oct'!AK187,'Nov'!AK187,'Dec'!AK187))</f>
        <v/>
      </c>
      <c r="H52" s="42">
        <f>IF($B52="","",CHOOSE(MonthIdx,'Jan'!AL187,'Feb'!AL187,'Mar'!AL187,'Apr'!AL187,'May'!AL187,'Jun'!AL187,'Jul'!AL187,'Aug'!AL187,'Sep'!AL187,'Oct'!AL187,'Nov'!AL187,'Dec'!AL187))</f>
        <v/>
      </c>
      <c r="I52" s="42">
        <f>IF($B52="","",CHOOSE(MonthIdx,'Jan'!AM187,'Feb'!AM187,'Mar'!AM187,'Apr'!AM187,'May'!AM187,'Jun'!AM187,'Jul'!AM187,'Aug'!AM187,'Sep'!AM187,'Oct'!AM187,'Nov'!AM187,'Dec'!AM187))</f>
        <v/>
      </c>
    </row>
    <row r="53" hidden="1">
      <c r="A53" s="47">
        <f>IF(Roster!$B$47="","",Roster!$B$47)</f>
        <v/>
      </c>
      <c r="B53" s="48">
        <f>IF(Roster!$C$47="","",Roster!$C$47)</f>
        <v/>
      </c>
      <c r="C53" s="49">
        <f>IF(Roster!$C$47="","",Roster!$F$47&amp;"")</f>
        <v/>
      </c>
      <c r="D53" s="50">
        <f>IF(Roster!$C$47="","",Roster!$G$47&amp;"")</f>
        <v/>
      </c>
      <c r="E53" s="51">
        <f>IF($B53="","",CHOOSE(MonthIdx,'Jan'!AI191,'Feb'!AI191,'Mar'!AI191,'Apr'!AI191,'May'!AI191,'Jun'!AI191,'Jul'!AI191,'Aug'!AI191,'Sep'!AI191,'Oct'!AI191,'Nov'!AI191,'Dec'!AI191))</f>
        <v/>
      </c>
      <c r="F53" s="52">
        <f>IF($B53="","",CHOOSE(MonthIdx,'Jan'!AJ191,'Feb'!AJ191,'Mar'!AJ191,'Apr'!AJ191,'May'!AJ191,'Jun'!AJ191,'Jul'!AJ191,'Aug'!AJ191,'Sep'!AJ191,'Oct'!AJ191,'Nov'!AJ191,'Dec'!AJ191))</f>
        <v/>
      </c>
      <c r="G53" s="51">
        <f>IF($B53="","",CHOOSE(MonthIdx,'Jan'!AK191,'Feb'!AK191,'Mar'!AK191,'Apr'!AK191,'May'!AK191,'Jun'!AK191,'Jul'!AK191,'Aug'!AK191,'Sep'!AK191,'Oct'!AK191,'Nov'!AK191,'Dec'!AK191))</f>
        <v/>
      </c>
      <c r="H53" s="51">
        <f>IF($B53="","",CHOOSE(MonthIdx,'Jan'!AL191,'Feb'!AL191,'Mar'!AL191,'Apr'!AL191,'May'!AL191,'Jun'!AL191,'Jul'!AL191,'Aug'!AL191,'Sep'!AL191,'Oct'!AL191,'Nov'!AL191,'Dec'!AL191))</f>
        <v/>
      </c>
      <c r="I53" s="51">
        <f>IF($B53="","",CHOOSE(MonthIdx,'Jan'!AM191,'Feb'!AM191,'Mar'!AM191,'Apr'!AM191,'May'!AM191,'Jun'!AM191,'Jul'!AM191,'Aug'!AM191,'Sep'!AM191,'Oct'!AM191,'Nov'!AM191,'Dec'!AM191))</f>
        <v/>
      </c>
    </row>
    <row r="54" hidden="1">
      <c r="A54" s="38">
        <f>IF(Roster!$B$48="","",Roster!$B$48)</f>
        <v/>
      </c>
      <c r="B54" s="39">
        <f>IF(Roster!$C$48="","",Roster!$C$48)</f>
        <v/>
      </c>
      <c r="C54" s="40">
        <f>IF(Roster!$C$48="","",Roster!$F$48&amp;"")</f>
        <v/>
      </c>
      <c r="D54" s="41">
        <f>IF(Roster!$C$48="","",Roster!$G$48&amp;"")</f>
        <v/>
      </c>
      <c r="E54" s="42">
        <f>IF($B54="","",CHOOSE(MonthIdx,'Jan'!AI195,'Feb'!AI195,'Mar'!AI195,'Apr'!AI195,'May'!AI195,'Jun'!AI195,'Jul'!AI195,'Aug'!AI195,'Sep'!AI195,'Oct'!AI195,'Nov'!AI195,'Dec'!AI195))</f>
        <v/>
      </c>
      <c r="F54" s="43">
        <f>IF($B54="","",CHOOSE(MonthIdx,'Jan'!AJ195,'Feb'!AJ195,'Mar'!AJ195,'Apr'!AJ195,'May'!AJ195,'Jun'!AJ195,'Jul'!AJ195,'Aug'!AJ195,'Sep'!AJ195,'Oct'!AJ195,'Nov'!AJ195,'Dec'!AJ195))</f>
        <v/>
      </c>
      <c r="G54" s="42">
        <f>IF($B54="","",CHOOSE(MonthIdx,'Jan'!AK195,'Feb'!AK195,'Mar'!AK195,'Apr'!AK195,'May'!AK195,'Jun'!AK195,'Jul'!AK195,'Aug'!AK195,'Sep'!AK195,'Oct'!AK195,'Nov'!AK195,'Dec'!AK195))</f>
        <v/>
      </c>
      <c r="H54" s="42">
        <f>IF($B54="","",CHOOSE(MonthIdx,'Jan'!AL195,'Feb'!AL195,'Mar'!AL195,'Apr'!AL195,'May'!AL195,'Jun'!AL195,'Jul'!AL195,'Aug'!AL195,'Sep'!AL195,'Oct'!AL195,'Nov'!AL195,'Dec'!AL195))</f>
        <v/>
      </c>
      <c r="I54" s="42">
        <f>IF($B54="","",CHOOSE(MonthIdx,'Jan'!AM195,'Feb'!AM195,'Mar'!AM195,'Apr'!AM195,'May'!AM195,'Jun'!AM195,'Jul'!AM195,'Aug'!AM195,'Sep'!AM195,'Oct'!AM195,'Nov'!AM195,'Dec'!AM195))</f>
        <v/>
      </c>
    </row>
    <row r="55" hidden="1">
      <c r="A55" s="47">
        <f>IF(Roster!$B$49="","",Roster!$B$49)</f>
        <v/>
      </c>
      <c r="B55" s="48">
        <f>IF(Roster!$C$49="","",Roster!$C$49)</f>
        <v/>
      </c>
      <c r="C55" s="49">
        <f>IF(Roster!$C$49="","",Roster!$F$49&amp;"")</f>
        <v/>
      </c>
      <c r="D55" s="50">
        <f>IF(Roster!$C$49="","",Roster!$G$49&amp;"")</f>
        <v/>
      </c>
      <c r="E55" s="51">
        <f>IF($B55="","",CHOOSE(MonthIdx,'Jan'!AI199,'Feb'!AI199,'Mar'!AI199,'Apr'!AI199,'May'!AI199,'Jun'!AI199,'Jul'!AI199,'Aug'!AI199,'Sep'!AI199,'Oct'!AI199,'Nov'!AI199,'Dec'!AI199))</f>
        <v/>
      </c>
      <c r="F55" s="52">
        <f>IF($B55="","",CHOOSE(MonthIdx,'Jan'!AJ199,'Feb'!AJ199,'Mar'!AJ199,'Apr'!AJ199,'May'!AJ199,'Jun'!AJ199,'Jul'!AJ199,'Aug'!AJ199,'Sep'!AJ199,'Oct'!AJ199,'Nov'!AJ199,'Dec'!AJ199))</f>
        <v/>
      </c>
      <c r="G55" s="51">
        <f>IF($B55="","",CHOOSE(MonthIdx,'Jan'!AK199,'Feb'!AK199,'Mar'!AK199,'Apr'!AK199,'May'!AK199,'Jun'!AK199,'Jul'!AK199,'Aug'!AK199,'Sep'!AK199,'Oct'!AK199,'Nov'!AK199,'Dec'!AK199))</f>
        <v/>
      </c>
      <c r="H55" s="51">
        <f>IF($B55="","",CHOOSE(MonthIdx,'Jan'!AL199,'Feb'!AL199,'Mar'!AL199,'Apr'!AL199,'May'!AL199,'Jun'!AL199,'Jul'!AL199,'Aug'!AL199,'Sep'!AL199,'Oct'!AL199,'Nov'!AL199,'Dec'!AL199))</f>
        <v/>
      </c>
      <c r="I55" s="51">
        <f>IF($B55="","",CHOOSE(MonthIdx,'Jan'!AM199,'Feb'!AM199,'Mar'!AM199,'Apr'!AM199,'May'!AM199,'Jun'!AM199,'Jul'!AM199,'Aug'!AM199,'Sep'!AM199,'Oct'!AM199,'Nov'!AM199,'Dec'!AM199))</f>
        <v/>
      </c>
    </row>
    <row r="56" hidden="1">
      <c r="A56" s="38">
        <f>IF(Roster!$B$50="","",Roster!$B$50)</f>
        <v/>
      </c>
      <c r="B56" s="39">
        <f>IF(Roster!$C$50="","",Roster!$C$50)</f>
        <v/>
      </c>
      <c r="C56" s="40">
        <f>IF(Roster!$C$50="","",Roster!$F$50&amp;"")</f>
        <v/>
      </c>
      <c r="D56" s="41">
        <f>IF(Roster!$C$50="","",Roster!$G$50&amp;"")</f>
        <v/>
      </c>
      <c r="E56" s="42">
        <f>IF($B56="","",CHOOSE(MonthIdx,'Jan'!AI203,'Feb'!AI203,'Mar'!AI203,'Apr'!AI203,'May'!AI203,'Jun'!AI203,'Jul'!AI203,'Aug'!AI203,'Sep'!AI203,'Oct'!AI203,'Nov'!AI203,'Dec'!AI203))</f>
        <v/>
      </c>
      <c r="F56" s="43">
        <f>IF($B56="","",CHOOSE(MonthIdx,'Jan'!AJ203,'Feb'!AJ203,'Mar'!AJ203,'Apr'!AJ203,'May'!AJ203,'Jun'!AJ203,'Jul'!AJ203,'Aug'!AJ203,'Sep'!AJ203,'Oct'!AJ203,'Nov'!AJ203,'Dec'!AJ203))</f>
        <v/>
      </c>
      <c r="G56" s="42">
        <f>IF($B56="","",CHOOSE(MonthIdx,'Jan'!AK203,'Feb'!AK203,'Mar'!AK203,'Apr'!AK203,'May'!AK203,'Jun'!AK203,'Jul'!AK203,'Aug'!AK203,'Sep'!AK203,'Oct'!AK203,'Nov'!AK203,'Dec'!AK203))</f>
        <v/>
      </c>
      <c r="H56" s="42">
        <f>IF($B56="","",CHOOSE(MonthIdx,'Jan'!AL203,'Feb'!AL203,'Mar'!AL203,'Apr'!AL203,'May'!AL203,'Jun'!AL203,'Jul'!AL203,'Aug'!AL203,'Sep'!AL203,'Oct'!AL203,'Nov'!AL203,'Dec'!AL203))</f>
        <v/>
      </c>
      <c r="I56" s="42">
        <f>IF($B56="","",CHOOSE(MonthIdx,'Jan'!AM203,'Feb'!AM203,'Mar'!AM203,'Apr'!AM203,'May'!AM203,'Jun'!AM203,'Jul'!AM203,'Aug'!AM203,'Sep'!AM203,'Oct'!AM203,'Nov'!AM203,'Dec'!AM203))</f>
        <v/>
      </c>
    </row>
    <row r="57">
      <c r="A57" s="53">
        <f>IF(Roster!$B$51="","",Roster!$B$51)</f>
        <v/>
      </c>
      <c r="B57" s="54">
        <f>IF(Roster!$C$51="","",Roster!$C$51)</f>
        <v/>
      </c>
      <c r="C57" s="55">
        <f>IF(Roster!$C$51="","",Roster!$F$51&amp;"")</f>
        <v/>
      </c>
      <c r="D57" s="56">
        <f>IF(Roster!$C$51="","",Roster!$G$51&amp;"")</f>
        <v/>
      </c>
      <c r="E57" s="57">
        <f>IF($B57="","",CHOOSE(MonthIdx,'Jan'!AI207,'Feb'!AI207,'Mar'!AI207,'Apr'!AI207,'May'!AI207,'Jun'!AI207,'Jul'!AI207,'Aug'!AI207,'Sep'!AI207,'Oct'!AI207,'Nov'!AI207,'Dec'!AI207))</f>
        <v/>
      </c>
      <c r="F57" s="58">
        <f>IF($B57="","",CHOOSE(MonthIdx,'Jan'!AJ207,'Feb'!AJ207,'Mar'!AJ207,'Apr'!AJ207,'May'!AJ207,'Jun'!AJ207,'Jul'!AJ207,'Aug'!AJ207,'Sep'!AJ207,'Oct'!AJ207,'Nov'!AJ207,'Dec'!AJ207))</f>
        <v/>
      </c>
      <c r="G57" s="57">
        <f>IF($B57="","",CHOOSE(MonthIdx,'Jan'!AK207,'Feb'!AK207,'Mar'!AK207,'Apr'!AK207,'May'!AK207,'Jun'!AK207,'Jul'!AK207,'Aug'!AK207,'Sep'!AK207,'Oct'!AK207,'Nov'!AK207,'Dec'!AK207))</f>
        <v/>
      </c>
      <c r="H57" s="57">
        <f>IF($B57="","",CHOOSE(MonthIdx,'Jan'!AL207,'Feb'!AL207,'Mar'!AL207,'Apr'!AL207,'May'!AL207,'Jun'!AL207,'Jul'!AL207,'Aug'!AL207,'Sep'!AL207,'Oct'!AL207,'Nov'!AL207,'Dec'!AL207))</f>
        <v/>
      </c>
      <c r="I57" s="57">
        <f>IF($B57="","",CHOOSE(MonthIdx,'Jan'!AM207,'Feb'!AM207,'Mar'!AM207,'Apr'!AM207,'May'!AM207,'Jun'!AM207,'Jul'!AM207,'Aug'!AM207,'Sep'!AM207,'Oct'!AM207,'Nov'!AM207,'Dec'!AM207))</f>
        <v/>
      </c>
    </row>
    <row r="58" hidden="1">
      <c r="A58" s="53">
        <f>IF(Roster!$B$52="","",Roster!$B$52)</f>
        <v/>
      </c>
      <c r="B58" s="54">
        <f>IF(Roster!$C$52="","",Roster!$C$52)</f>
        <v/>
      </c>
      <c r="C58" s="55">
        <f>IF(Roster!$C$52="","",Roster!$F$52&amp;"")</f>
        <v/>
      </c>
      <c r="D58" s="56">
        <f>IF(Roster!$C$52="","",Roster!$G$52&amp;"")</f>
        <v/>
      </c>
      <c r="E58" s="57">
        <f>IF($B58="","",CHOOSE(MonthIdx,'Jan'!AI211,'Feb'!AI211,'Mar'!AI211,'Apr'!AI211,'May'!AI211,'Jun'!AI211,'Jul'!AI211,'Aug'!AI211,'Sep'!AI211,'Oct'!AI211,'Nov'!AI211,'Dec'!AI211))</f>
        <v/>
      </c>
      <c r="F58" s="58">
        <f>IF($B58="","",CHOOSE(MonthIdx,'Jan'!AJ211,'Feb'!AJ211,'Mar'!AJ211,'Apr'!AJ211,'May'!AJ211,'Jun'!AJ211,'Jul'!AJ211,'Aug'!AJ211,'Sep'!AJ211,'Oct'!AJ211,'Nov'!AJ211,'Dec'!AJ211))</f>
        <v/>
      </c>
      <c r="G58" s="57">
        <f>IF($B58="","",CHOOSE(MonthIdx,'Jan'!AK211,'Feb'!AK211,'Mar'!AK211,'Apr'!AK211,'May'!AK211,'Jun'!AK211,'Jul'!AK211,'Aug'!AK211,'Sep'!AK211,'Oct'!AK211,'Nov'!AK211,'Dec'!AK211))</f>
        <v/>
      </c>
      <c r="H58" s="57">
        <f>IF($B58="","",CHOOSE(MonthIdx,'Jan'!AL211,'Feb'!AL211,'Mar'!AL211,'Apr'!AL211,'May'!AL211,'Jun'!AL211,'Jul'!AL211,'Aug'!AL211,'Sep'!AL211,'Oct'!AL211,'Nov'!AL211,'Dec'!AL211))</f>
        <v/>
      </c>
      <c r="I58" s="57">
        <f>IF($B58="","",CHOOSE(MonthIdx,'Jan'!AM211,'Feb'!AM211,'Mar'!AM211,'Apr'!AM211,'May'!AM211,'Jun'!AM211,'Jul'!AM211,'Aug'!AM211,'Sep'!AM211,'Oct'!AM211,'Nov'!AM211,'Dec'!AM211))</f>
        <v/>
      </c>
    </row>
    <row r="59" hidden="1">
      <c r="A59" s="53">
        <f>IF(Roster!$B$53="","",Roster!$B$53)</f>
        <v/>
      </c>
      <c r="B59" s="54">
        <f>IF(Roster!$C$53="","",Roster!$C$53)</f>
        <v/>
      </c>
      <c r="C59" s="55">
        <f>IF(Roster!$C$53="","",Roster!$F$53&amp;"")</f>
        <v/>
      </c>
      <c r="D59" s="56">
        <f>IF(Roster!$C$53="","",Roster!$G$53&amp;"")</f>
        <v/>
      </c>
      <c r="E59" s="57">
        <f>IF($B59="","",CHOOSE(MonthIdx,'Jan'!AI215,'Feb'!AI215,'Mar'!AI215,'Apr'!AI215,'May'!AI215,'Jun'!AI215,'Jul'!AI215,'Aug'!AI215,'Sep'!AI215,'Oct'!AI215,'Nov'!AI215,'Dec'!AI215))</f>
        <v/>
      </c>
      <c r="F59" s="58">
        <f>IF($B59="","",CHOOSE(MonthIdx,'Jan'!AJ215,'Feb'!AJ215,'Mar'!AJ215,'Apr'!AJ215,'May'!AJ215,'Jun'!AJ215,'Jul'!AJ215,'Aug'!AJ215,'Sep'!AJ215,'Oct'!AJ215,'Nov'!AJ215,'Dec'!AJ215))</f>
        <v/>
      </c>
      <c r="G59" s="57">
        <f>IF($B59="","",CHOOSE(MonthIdx,'Jan'!AK215,'Feb'!AK215,'Mar'!AK215,'Apr'!AK215,'May'!AK215,'Jun'!AK215,'Jul'!AK215,'Aug'!AK215,'Sep'!AK215,'Oct'!AK215,'Nov'!AK215,'Dec'!AK215))</f>
        <v/>
      </c>
      <c r="H59" s="57">
        <f>IF($B59="","",CHOOSE(MonthIdx,'Jan'!AL215,'Feb'!AL215,'Mar'!AL215,'Apr'!AL215,'May'!AL215,'Jun'!AL215,'Jul'!AL215,'Aug'!AL215,'Sep'!AL215,'Oct'!AL215,'Nov'!AL215,'Dec'!AL215))</f>
        <v/>
      </c>
      <c r="I59" s="57">
        <f>IF($B59="","",CHOOSE(MonthIdx,'Jan'!AM215,'Feb'!AM215,'Mar'!AM215,'Apr'!AM215,'May'!AM215,'Jun'!AM215,'Jul'!AM215,'Aug'!AM215,'Sep'!AM215,'Oct'!AM215,'Nov'!AM215,'Dec'!AM215))</f>
        <v/>
      </c>
    </row>
    <row r="60" hidden="1">
      <c r="A60" s="53">
        <f>IF(Roster!$B$54="","",Roster!$B$54)</f>
        <v/>
      </c>
      <c r="B60" s="54">
        <f>IF(Roster!$C$54="","",Roster!$C$54)</f>
        <v/>
      </c>
      <c r="C60" s="55">
        <f>IF(Roster!$C$54="","",Roster!$F$54&amp;"")</f>
        <v/>
      </c>
      <c r="D60" s="56">
        <f>IF(Roster!$C$54="","",Roster!$G$54&amp;"")</f>
        <v/>
      </c>
      <c r="E60" s="57">
        <f>IF($B60="","",CHOOSE(MonthIdx,'Jan'!AI219,'Feb'!AI219,'Mar'!AI219,'Apr'!AI219,'May'!AI219,'Jun'!AI219,'Jul'!AI219,'Aug'!AI219,'Sep'!AI219,'Oct'!AI219,'Nov'!AI219,'Dec'!AI219))</f>
        <v/>
      </c>
      <c r="F60" s="58">
        <f>IF($B60="","",CHOOSE(MonthIdx,'Jan'!AJ219,'Feb'!AJ219,'Mar'!AJ219,'Apr'!AJ219,'May'!AJ219,'Jun'!AJ219,'Jul'!AJ219,'Aug'!AJ219,'Sep'!AJ219,'Oct'!AJ219,'Nov'!AJ219,'Dec'!AJ219))</f>
        <v/>
      </c>
      <c r="G60" s="57">
        <f>IF($B60="","",CHOOSE(MonthIdx,'Jan'!AK219,'Feb'!AK219,'Mar'!AK219,'Apr'!AK219,'May'!AK219,'Jun'!AK219,'Jul'!AK219,'Aug'!AK219,'Sep'!AK219,'Oct'!AK219,'Nov'!AK219,'Dec'!AK219))</f>
        <v/>
      </c>
      <c r="H60" s="57">
        <f>IF($B60="","",CHOOSE(MonthIdx,'Jan'!AL219,'Feb'!AL219,'Mar'!AL219,'Apr'!AL219,'May'!AL219,'Jun'!AL219,'Jul'!AL219,'Aug'!AL219,'Sep'!AL219,'Oct'!AL219,'Nov'!AL219,'Dec'!AL219))</f>
        <v/>
      </c>
      <c r="I60" s="57">
        <f>IF($B60="","",CHOOSE(MonthIdx,'Jan'!AM219,'Feb'!AM219,'Mar'!AM219,'Apr'!AM219,'May'!AM219,'Jun'!AM219,'Jul'!AM219,'Aug'!AM219,'Sep'!AM219,'Oct'!AM219,'Nov'!AM219,'Dec'!AM219))</f>
        <v/>
      </c>
    </row>
    <row r="61" hidden="1">
      <c r="A61" s="53">
        <f>IF(Roster!$B$55="","",Roster!$B$55)</f>
        <v/>
      </c>
      <c r="B61" s="54">
        <f>IF(Roster!$C$55="","",Roster!$C$55)</f>
        <v/>
      </c>
      <c r="C61" s="55">
        <f>IF(Roster!$C$55="","",Roster!$F$55&amp;"")</f>
        <v/>
      </c>
      <c r="D61" s="56">
        <f>IF(Roster!$C$55="","",Roster!$G$55&amp;"")</f>
        <v/>
      </c>
      <c r="E61" s="57">
        <f>IF($B61="","",CHOOSE(MonthIdx,'Jan'!AI223,'Feb'!AI223,'Mar'!AI223,'Apr'!AI223,'May'!AI223,'Jun'!AI223,'Jul'!AI223,'Aug'!AI223,'Sep'!AI223,'Oct'!AI223,'Nov'!AI223,'Dec'!AI223))</f>
        <v/>
      </c>
      <c r="F61" s="58">
        <f>IF($B61="","",CHOOSE(MonthIdx,'Jan'!AJ223,'Feb'!AJ223,'Mar'!AJ223,'Apr'!AJ223,'May'!AJ223,'Jun'!AJ223,'Jul'!AJ223,'Aug'!AJ223,'Sep'!AJ223,'Oct'!AJ223,'Nov'!AJ223,'Dec'!AJ223))</f>
        <v/>
      </c>
      <c r="G61" s="57">
        <f>IF($B61="","",CHOOSE(MonthIdx,'Jan'!AK223,'Feb'!AK223,'Mar'!AK223,'Apr'!AK223,'May'!AK223,'Jun'!AK223,'Jul'!AK223,'Aug'!AK223,'Sep'!AK223,'Oct'!AK223,'Nov'!AK223,'Dec'!AK223))</f>
        <v/>
      </c>
      <c r="H61" s="57">
        <f>IF($B61="","",CHOOSE(MonthIdx,'Jan'!AL223,'Feb'!AL223,'Mar'!AL223,'Apr'!AL223,'May'!AL223,'Jun'!AL223,'Jul'!AL223,'Aug'!AL223,'Sep'!AL223,'Oct'!AL223,'Nov'!AL223,'Dec'!AL223))</f>
        <v/>
      </c>
      <c r="I61" s="57">
        <f>IF($B61="","",CHOOSE(MonthIdx,'Jan'!AM223,'Feb'!AM223,'Mar'!AM223,'Apr'!AM223,'May'!AM223,'Jun'!AM223,'Jul'!AM223,'Aug'!AM223,'Sep'!AM223,'Oct'!AM223,'Nov'!AM223,'Dec'!AM223))</f>
        <v/>
      </c>
    </row>
    <row r="62" hidden="1">
      <c r="A62" s="53">
        <f>IF(Roster!$B$56="","",Roster!$B$56)</f>
        <v/>
      </c>
      <c r="B62" s="54">
        <f>IF(Roster!$C$56="","",Roster!$C$56)</f>
        <v/>
      </c>
      <c r="C62" s="55">
        <f>IF(Roster!$C$56="","",Roster!$F$56&amp;"")</f>
        <v/>
      </c>
      <c r="D62" s="56">
        <f>IF(Roster!$C$56="","",Roster!$G$56&amp;"")</f>
        <v/>
      </c>
      <c r="E62" s="57">
        <f>IF($B62="","",CHOOSE(MonthIdx,'Jan'!AI227,'Feb'!AI227,'Mar'!AI227,'Apr'!AI227,'May'!AI227,'Jun'!AI227,'Jul'!AI227,'Aug'!AI227,'Sep'!AI227,'Oct'!AI227,'Nov'!AI227,'Dec'!AI227))</f>
        <v/>
      </c>
      <c r="F62" s="58">
        <f>IF($B62="","",CHOOSE(MonthIdx,'Jan'!AJ227,'Feb'!AJ227,'Mar'!AJ227,'Apr'!AJ227,'May'!AJ227,'Jun'!AJ227,'Jul'!AJ227,'Aug'!AJ227,'Sep'!AJ227,'Oct'!AJ227,'Nov'!AJ227,'Dec'!AJ227))</f>
        <v/>
      </c>
      <c r="G62" s="57">
        <f>IF($B62="","",CHOOSE(MonthIdx,'Jan'!AK227,'Feb'!AK227,'Mar'!AK227,'Apr'!AK227,'May'!AK227,'Jun'!AK227,'Jul'!AK227,'Aug'!AK227,'Sep'!AK227,'Oct'!AK227,'Nov'!AK227,'Dec'!AK227))</f>
        <v/>
      </c>
      <c r="H62" s="57">
        <f>IF($B62="","",CHOOSE(MonthIdx,'Jan'!AL227,'Feb'!AL227,'Mar'!AL227,'Apr'!AL227,'May'!AL227,'Jun'!AL227,'Jul'!AL227,'Aug'!AL227,'Sep'!AL227,'Oct'!AL227,'Nov'!AL227,'Dec'!AL227))</f>
        <v/>
      </c>
      <c r="I62" s="57">
        <f>IF($B62="","",CHOOSE(MonthIdx,'Jan'!AM227,'Feb'!AM227,'Mar'!AM227,'Apr'!AM227,'May'!AM227,'Jun'!AM227,'Jul'!AM227,'Aug'!AM227,'Sep'!AM227,'Oct'!AM227,'Nov'!AM227,'Dec'!AM227))</f>
        <v/>
      </c>
    </row>
    <row r="63" hidden="1">
      <c r="A63" s="53">
        <f>IF(Roster!$B$57="","",Roster!$B$57)</f>
        <v/>
      </c>
      <c r="B63" s="54">
        <f>IF(Roster!$C$57="","",Roster!$C$57)</f>
        <v/>
      </c>
      <c r="C63" s="55">
        <f>IF(Roster!$C$57="","",Roster!$F$57&amp;"")</f>
        <v/>
      </c>
      <c r="D63" s="56">
        <f>IF(Roster!$C$57="","",Roster!$G$57&amp;"")</f>
        <v/>
      </c>
      <c r="E63" s="57">
        <f>IF($B63="","",CHOOSE(MonthIdx,'Jan'!AI231,'Feb'!AI231,'Mar'!AI231,'Apr'!AI231,'May'!AI231,'Jun'!AI231,'Jul'!AI231,'Aug'!AI231,'Sep'!AI231,'Oct'!AI231,'Nov'!AI231,'Dec'!AI231))</f>
        <v/>
      </c>
      <c r="F63" s="58">
        <f>IF($B63="","",CHOOSE(MonthIdx,'Jan'!AJ231,'Feb'!AJ231,'Mar'!AJ231,'Apr'!AJ231,'May'!AJ231,'Jun'!AJ231,'Jul'!AJ231,'Aug'!AJ231,'Sep'!AJ231,'Oct'!AJ231,'Nov'!AJ231,'Dec'!AJ231))</f>
        <v/>
      </c>
      <c r="G63" s="57">
        <f>IF($B63="","",CHOOSE(MonthIdx,'Jan'!AK231,'Feb'!AK231,'Mar'!AK231,'Apr'!AK231,'May'!AK231,'Jun'!AK231,'Jul'!AK231,'Aug'!AK231,'Sep'!AK231,'Oct'!AK231,'Nov'!AK231,'Dec'!AK231))</f>
        <v/>
      </c>
      <c r="H63" s="57">
        <f>IF($B63="","",CHOOSE(MonthIdx,'Jan'!AL231,'Feb'!AL231,'Mar'!AL231,'Apr'!AL231,'May'!AL231,'Jun'!AL231,'Jul'!AL231,'Aug'!AL231,'Sep'!AL231,'Oct'!AL231,'Nov'!AL231,'Dec'!AL231))</f>
        <v/>
      </c>
      <c r="I63" s="57">
        <f>IF($B63="","",CHOOSE(MonthIdx,'Jan'!AM231,'Feb'!AM231,'Mar'!AM231,'Apr'!AM231,'May'!AM231,'Jun'!AM231,'Jul'!AM231,'Aug'!AM231,'Sep'!AM231,'Oct'!AM231,'Nov'!AM231,'Dec'!AM231))</f>
        <v/>
      </c>
    </row>
    <row r="64" hidden="1">
      <c r="A64" s="53">
        <f>IF(Roster!$B$58="","",Roster!$B$58)</f>
        <v/>
      </c>
      <c r="B64" s="54">
        <f>IF(Roster!$C$58="","",Roster!$C$58)</f>
        <v/>
      </c>
      <c r="C64" s="55">
        <f>IF(Roster!$C$58="","",Roster!$F$58&amp;"")</f>
        <v/>
      </c>
      <c r="D64" s="56">
        <f>IF(Roster!$C$58="","",Roster!$G$58&amp;"")</f>
        <v/>
      </c>
      <c r="E64" s="57">
        <f>IF($B64="","",CHOOSE(MonthIdx,'Jan'!AI235,'Feb'!AI235,'Mar'!AI235,'Apr'!AI235,'May'!AI235,'Jun'!AI235,'Jul'!AI235,'Aug'!AI235,'Sep'!AI235,'Oct'!AI235,'Nov'!AI235,'Dec'!AI235))</f>
        <v/>
      </c>
      <c r="F64" s="58">
        <f>IF($B64="","",CHOOSE(MonthIdx,'Jan'!AJ235,'Feb'!AJ235,'Mar'!AJ235,'Apr'!AJ235,'May'!AJ235,'Jun'!AJ235,'Jul'!AJ235,'Aug'!AJ235,'Sep'!AJ235,'Oct'!AJ235,'Nov'!AJ235,'Dec'!AJ235))</f>
        <v/>
      </c>
      <c r="G64" s="57">
        <f>IF($B64="","",CHOOSE(MonthIdx,'Jan'!AK235,'Feb'!AK235,'Mar'!AK235,'Apr'!AK235,'May'!AK235,'Jun'!AK235,'Jul'!AK235,'Aug'!AK235,'Sep'!AK235,'Oct'!AK235,'Nov'!AK235,'Dec'!AK235))</f>
        <v/>
      </c>
      <c r="H64" s="57">
        <f>IF($B64="","",CHOOSE(MonthIdx,'Jan'!AL235,'Feb'!AL235,'Mar'!AL235,'Apr'!AL235,'May'!AL235,'Jun'!AL235,'Jul'!AL235,'Aug'!AL235,'Sep'!AL235,'Oct'!AL235,'Nov'!AL235,'Dec'!AL235))</f>
        <v/>
      </c>
      <c r="I64" s="57">
        <f>IF($B64="","",CHOOSE(MonthIdx,'Jan'!AM235,'Feb'!AM235,'Mar'!AM235,'Apr'!AM235,'May'!AM235,'Jun'!AM235,'Jul'!AM235,'Aug'!AM235,'Sep'!AM235,'Oct'!AM235,'Nov'!AM235,'Dec'!AM235))</f>
        <v/>
      </c>
    </row>
    <row r="65" hidden="1">
      <c r="A65" s="53">
        <f>IF(Roster!$B$59="","",Roster!$B$59)</f>
        <v/>
      </c>
      <c r="B65" s="54">
        <f>IF(Roster!$C$59="","",Roster!$C$59)</f>
        <v/>
      </c>
      <c r="C65" s="55">
        <f>IF(Roster!$C$59="","",Roster!$F$59&amp;"")</f>
        <v/>
      </c>
      <c r="D65" s="56">
        <f>IF(Roster!$C$59="","",Roster!$G$59&amp;"")</f>
        <v/>
      </c>
      <c r="E65" s="57">
        <f>IF($B65="","",CHOOSE(MonthIdx,'Jan'!AI239,'Feb'!AI239,'Mar'!AI239,'Apr'!AI239,'May'!AI239,'Jun'!AI239,'Jul'!AI239,'Aug'!AI239,'Sep'!AI239,'Oct'!AI239,'Nov'!AI239,'Dec'!AI239))</f>
        <v/>
      </c>
      <c r="F65" s="58">
        <f>IF($B65="","",CHOOSE(MonthIdx,'Jan'!AJ239,'Feb'!AJ239,'Mar'!AJ239,'Apr'!AJ239,'May'!AJ239,'Jun'!AJ239,'Jul'!AJ239,'Aug'!AJ239,'Sep'!AJ239,'Oct'!AJ239,'Nov'!AJ239,'Dec'!AJ239))</f>
        <v/>
      </c>
      <c r="G65" s="57">
        <f>IF($B65="","",CHOOSE(MonthIdx,'Jan'!AK239,'Feb'!AK239,'Mar'!AK239,'Apr'!AK239,'May'!AK239,'Jun'!AK239,'Jul'!AK239,'Aug'!AK239,'Sep'!AK239,'Oct'!AK239,'Nov'!AK239,'Dec'!AK239))</f>
        <v/>
      </c>
      <c r="H65" s="57">
        <f>IF($B65="","",CHOOSE(MonthIdx,'Jan'!AL239,'Feb'!AL239,'Mar'!AL239,'Apr'!AL239,'May'!AL239,'Jun'!AL239,'Jul'!AL239,'Aug'!AL239,'Sep'!AL239,'Oct'!AL239,'Nov'!AL239,'Dec'!AL239))</f>
        <v/>
      </c>
      <c r="I65" s="57">
        <f>IF($B65="","",CHOOSE(MonthIdx,'Jan'!AM239,'Feb'!AM239,'Mar'!AM239,'Apr'!AM239,'May'!AM239,'Jun'!AM239,'Jul'!AM239,'Aug'!AM239,'Sep'!AM239,'Oct'!AM239,'Nov'!AM239,'Dec'!AM239))</f>
        <v/>
      </c>
    </row>
    <row r="66" hidden="1">
      <c r="A66" s="53">
        <f>IF(Roster!$B$60="","",Roster!$B$60)</f>
        <v/>
      </c>
      <c r="B66" s="54">
        <f>IF(Roster!$C$60="","",Roster!$C$60)</f>
        <v/>
      </c>
      <c r="C66" s="55">
        <f>IF(Roster!$C$60="","",Roster!$F$60&amp;"")</f>
        <v/>
      </c>
      <c r="D66" s="56">
        <f>IF(Roster!$C$60="","",Roster!$G$60&amp;"")</f>
        <v/>
      </c>
      <c r="E66" s="57">
        <f>IF($B66="","",CHOOSE(MonthIdx,'Jan'!AI243,'Feb'!AI243,'Mar'!AI243,'Apr'!AI243,'May'!AI243,'Jun'!AI243,'Jul'!AI243,'Aug'!AI243,'Sep'!AI243,'Oct'!AI243,'Nov'!AI243,'Dec'!AI243))</f>
        <v/>
      </c>
      <c r="F66" s="58">
        <f>IF($B66="","",CHOOSE(MonthIdx,'Jan'!AJ243,'Feb'!AJ243,'Mar'!AJ243,'Apr'!AJ243,'May'!AJ243,'Jun'!AJ243,'Jul'!AJ243,'Aug'!AJ243,'Sep'!AJ243,'Oct'!AJ243,'Nov'!AJ243,'Dec'!AJ243))</f>
        <v/>
      </c>
      <c r="G66" s="57">
        <f>IF($B66="","",CHOOSE(MonthIdx,'Jan'!AK243,'Feb'!AK243,'Mar'!AK243,'Apr'!AK243,'May'!AK243,'Jun'!AK243,'Jul'!AK243,'Aug'!AK243,'Sep'!AK243,'Oct'!AK243,'Nov'!AK243,'Dec'!AK243))</f>
        <v/>
      </c>
      <c r="H66" s="57">
        <f>IF($B66="","",CHOOSE(MonthIdx,'Jan'!AL243,'Feb'!AL243,'Mar'!AL243,'Apr'!AL243,'May'!AL243,'Jun'!AL243,'Jul'!AL243,'Aug'!AL243,'Sep'!AL243,'Oct'!AL243,'Nov'!AL243,'Dec'!AL243))</f>
        <v/>
      </c>
      <c r="I66" s="57">
        <f>IF($B66="","",CHOOSE(MonthIdx,'Jan'!AM243,'Feb'!AM243,'Mar'!AM243,'Apr'!AM243,'May'!AM243,'Jun'!AM243,'Jul'!AM243,'Aug'!AM243,'Sep'!AM243,'Oct'!AM243,'Nov'!AM243,'Dec'!AM243))</f>
        <v/>
      </c>
    </row>
    <row r="67" hidden="1">
      <c r="A67" s="53">
        <f>IF(Roster!$B$61="","",Roster!$B$61)</f>
        <v/>
      </c>
      <c r="B67" s="54">
        <f>IF(Roster!$C$61="","",Roster!$C$61)</f>
        <v/>
      </c>
      <c r="C67" s="55">
        <f>IF(Roster!$C$61="","",Roster!$F$61&amp;"")</f>
        <v/>
      </c>
      <c r="D67" s="56">
        <f>IF(Roster!$C$61="","",Roster!$G$61&amp;"")</f>
        <v/>
      </c>
      <c r="E67" s="57">
        <f>IF($B67="","",CHOOSE(MonthIdx,'Jan'!AI247,'Feb'!AI247,'Mar'!AI247,'Apr'!AI247,'May'!AI247,'Jun'!AI247,'Jul'!AI247,'Aug'!AI247,'Sep'!AI247,'Oct'!AI247,'Nov'!AI247,'Dec'!AI247))</f>
        <v/>
      </c>
      <c r="F67" s="58">
        <f>IF($B67="","",CHOOSE(MonthIdx,'Jan'!AJ247,'Feb'!AJ247,'Mar'!AJ247,'Apr'!AJ247,'May'!AJ247,'Jun'!AJ247,'Jul'!AJ247,'Aug'!AJ247,'Sep'!AJ247,'Oct'!AJ247,'Nov'!AJ247,'Dec'!AJ247))</f>
        <v/>
      </c>
      <c r="G67" s="57">
        <f>IF($B67="","",CHOOSE(MonthIdx,'Jan'!AK247,'Feb'!AK247,'Mar'!AK247,'Apr'!AK247,'May'!AK247,'Jun'!AK247,'Jul'!AK247,'Aug'!AK247,'Sep'!AK247,'Oct'!AK247,'Nov'!AK247,'Dec'!AK247))</f>
        <v/>
      </c>
      <c r="H67" s="57">
        <f>IF($B67="","",CHOOSE(MonthIdx,'Jan'!AL247,'Feb'!AL247,'Mar'!AL247,'Apr'!AL247,'May'!AL247,'Jun'!AL247,'Jul'!AL247,'Aug'!AL247,'Sep'!AL247,'Oct'!AL247,'Nov'!AL247,'Dec'!AL247))</f>
        <v/>
      </c>
      <c r="I67" s="57">
        <f>IF($B67="","",CHOOSE(MonthIdx,'Jan'!AM247,'Feb'!AM247,'Mar'!AM247,'Apr'!AM247,'May'!AM247,'Jun'!AM247,'Jul'!AM247,'Aug'!AM247,'Sep'!AM247,'Oct'!AM247,'Nov'!AM247,'Dec'!AM247))</f>
        <v/>
      </c>
    </row>
    <row r="68" hidden="1">
      <c r="A68" s="53">
        <f>IF(Roster!$B$62="","",Roster!$B$62)</f>
        <v/>
      </c>
      <c r="B68" s="54">
        <f>IF(Roster!$C$62="","",Roster!$C$62)</f>
        <v/>
      </c>
      <c r="C68" s="55">
        <f>IF(Roster!$C$62="","",Roster!$F$62&amp;"")</f>
        <v/>
      </c>
      <c r="D68" s="56">
        <f>IF(Roster!$C$62="","",Roster!$G$62&amp;"")</f>
        <v/>
      </c>
      <c r="E68" s="57">
        <f>IF($B68="","",CHOOSE(MonthIdx,'Jan'!AI251,'Feb'!AI251,'Mar'!AI251,'Apr'!AI251,'May'!AI251,'Jun'!AI251,'Jul'!AI251,'Aug'!AI251,'Sep'!AI251,'Oct'!AI251,'Nov'!AI251,'Dec'!AI251))</f>
        <v/>
      </c>
      <c r="F68" s="58">
        <f>IF($B68="","",CHOOSE(MonthIdx,'Jan'!AJ251,'Feb'!AJ251,'Mar'!AJ251,'Apr'!AJ251,'May'!AJ251,'Jun'!AJ251,'Jul'!AJ251,'Aug'!AJ251,'Sep'!AJ251,'Oct'!AJ251,'Nov'!AJ251,'Dec'!AJ251))</f>
        <v/>
      </c>
      <c r="G68" s="57">
        <f>IF($B68="","",CHOOSE(MonthIdx,'Jan'!AK251,'Feb'!AK251,'Mar'!AK251,'Apr'!AK251,'May'!AK251,'Jun'!AK251,'Jul'!AK251,'Aug'!AK251,'Sep'!AK251,'Oct'!AK251,'Nov'!AK251,'Dec'!AK251))</f>
        <v/>
      </c>
      <c r="H68" s="57">
        <f>IF($B68="","",CHOOSE(MonthIdx,'Jan'!AL251,'Feb'!AL251,'Mar'!AL251,'Apr'!AL251,'May'!AL251,'Jun'!AL251,'Jul'!AL251,'Aug'!AL251,'Sep'!AL251,'Oct'!AL251,'Nov'!AL251,'Dec'!AL251))</f>
        <v/>
      </c>
      <c r="I68" s="57">
        <f>IF($B68="","",CHOOSE(MonthIdx,'Jan'!AM251,'Feb'!AM251,'Mar'!AM251,'Apr'!AM251,'May'!AM251,'Jun'!AM251,'Jul'!AM251,'Aug'!AM251,'Sep'!AM251,'Oct'!AM251,'Nov'!AM251,'Dec'!AM251))</f>
        <v/>
      </c>
    </row>
    <row r="69" hidden="1">
      <c r="A69" s="53">
        <f>IF(Roster!$B$63="","",Roster!$B$63)</f>
        <v/>
      </c>
      <c r="B69" s="54">
        <f>IF(Roster!$C$63="","",Roster!$C$63)</f>
        <v/>
      </c>
      <c r="C69" s="55">
        <f>IF(Roster!$C$63="","",Roster!$F$63&amp;"")</f>
        <v/>
      </c>
      <c r="D69" s="56">
        <f>IF(Roster!$C$63="","",Roster!$G$63&amp;"")</f>
        <v/>
      </c>
      <c r="E69" s="57">
        <f>IF($B69="","",CHOOSE(MonthIdx,'Jan'!AI255,'Feb'!AI255,'Mar'!AI255,'Apr'!AI255,'May'!AI255,'Jun'!AI255,'Jul'!AI255,'Aug'!AI255,'Sep'!AI255,'Oct'!AI255,'Nov'!AI255,'Dec'!AI255))</f>
        <v/>
      </c>
      <c r="F69" s="58">
        <f>IF($B69="","",CHOOSE(MonthIdx,'Jan'!AJ255,'Feb'!AJ255,'Mar'!AJ255,'Apr'!AJ255,'May'!AJ255,'Jun'!AJ255,'Jul'!AJ255,'Aug'!AJ255,'Sep'!AJ255,'Oct'!AJ255,'Nov'!AJ255,'Dec'!AJ255))</f>
        <v/>
      </c>
      <c r="G69" s="57">
        <f>IF($B69="","",CHOOSE(MonthIdx,'Jan'!AK255,'Feb'!AK255,'Mar'!AK255,'Apr'!AK255,'May'!AK255,'Jun'!AK255,'Jul'!AK255,'Aug'!AK255,'Sep'!AK255,'Oct'!AK255,'Nov'!AK255,'Dec'!AK255))</f>
        <v/>
      </c>
      <c r="H69" s="57">
        <f>IF($B69="","",CHOOSE(MonthIdx,'Jan'!AL255,'Feb'!AL255,'Mar'!AL255,'Apr'!AL255,'May'!AL255,'Jun'!AL255,'Jul'!AL255,'Aug'!AL255,'Sep'!AL255,'Oct'!AL255,'Nov'!AL255,'Dec'!AL255))</f>
        <v/>
      </c>
      <c r="I69" s="57">
        <f>IF($B69="","",CHOOSE(MonthIdx,'Jan'!AM255,'Feb'!AM255,'Mar'!AM255,'Apr'!AM255,'May'!AM255,'Jun'!AM255,'Jul'!AM255,'Aug'!AM255,'Sep'!AM255,'Oct'!AM255,'Nov'!AM255,'Dec'!AM255))</f>
        <v/>
      </c>
    </row>
    <row r="70" hidden="1">
      <c r="A70" s="53">
        <f>IF(Roster!$B$64="","",Roster!$B$64)</f>
        <v/>
      </c>
      <c r="B70" s="54">
        <f>IF(Roster!$C$64="","",Roster!$C$64)</f>
        <v/>
      </c>
      <c r="C70" s="55">
        <f>IF(Roster!$C$64="","",Roster!$F$64&amp;"")</f>
        <v/>
      </c>
      <c r="D70" s="56">
        <f>IF(Roster!$C$64="","",Roster!$G$64&amp;"")</f>
        <v/>
      </c>
      <c r="E70" s="57">
        <f>IF($B70="","",CHOOSE(MonthIdx,'Jan'!AI259,'Feb'!AI259,'Mar'!AI259,'Apr'!AI259,'May'!AI259,'Jun'!AI259,'Jul'!AI259,'Aug'!AI259,'Sep'!AI259,'Oct'!AI259,'Nov'!AI259,'Dec'!AI259))</f>
        <v/>
      </c>
      <c r="F70" s="58">
        <f>IF($B70="","",CHOOSE(MonthIdx,'Jan'!AJ259,'Feb'!AJ259,'Mar'!AJ259,'Apr'!AJ259,'May'!AJ259,'Jun'!AJ259,'Jul'!AJ259,'Aug'!AJ259,'Sep'!AJ259,'Oct'!AJ259,'Nov'!AJ259,'Dec'!AJ259))</f>
        <v/>
      </c>
      <c r="G70" s="57">
        <f>IF($B70="","",CHOOSE(MonthIdx,'Jan'!AK259,'Feb'!AK259,'Mar'!AK259,'Apr'!AK259,'May'!AK259,'Jun'!AK259,'Jul'!AK259,'Aug'!AK259,'Sep'!AK259,'Oct'!AK259,'Nov'!AK259,'Dec'!AK259))</f>
        <v/>
      </c>
      <c r="H70" s="57">
        <f>IF($B70="","",CHOOSE(MonthIdx,'Jan'!AL259,'Feb'!AL259,'Mar'!AL259,'Apr'!AL259,'May'!AL259,'Jun'!AL259,'Jul'!AL259,'Aug'!AL259,'Sep'!AL259,'Oct'!AL259,'Nov'!AL259,'Dec'!AL259))</f>
        <v/>
      </c>
      <c r="I70" s="57">
        <f>IF($B70="","",CHOOSE(MonthIdx,'Jan'!AM259,'Feb'!AM259,'Mar'!AM259,'Apr'!AM259,'May'!AM259,'Jun'!AM259,'Jul'!AM259,'Aug'!AM259,'Sep'!AM259,'Oct'!AM259,'Nov'!AM259,'Dec'!AM259))</f>
        <v/>
      </c>
    </row>
    <row r="71" hidden="1">
      <c r="A71" s="53">
        <f>IF(Roster!$B$65="","",Roster!$B$65)</f>
        <v/>
      </c>
      <c r="B71" s="54">
        <f>IF(Roster!$C$65="","",Roster!$C$65)</f>
        <v/>
      </c>
      <c r="C71" s="55">
        <f>IF(Roster!$C$65="","",Roster!$F$65&amp;"")</f>
        <v/>
      </c>
      <c r="D71" s="56">
        <f>IF(Roster!$C$65="","",Roster!$G$65&amp;"")</f>
        <v/>
      </c>
      <c r="E71" s="57">
        <f>IF($B71="","",CHOOSE(MonthIdx,'Jan'!AI263,'Feb'!AI263,'Mar'!AI263,'Apr'!AI263,'May'!AI263,'Jun'!AI263,'Jul'!AI263,'Aug'!AI263,'Sep'!AI263,'Oct'!AI263,'Nov'!AI263,'Dec'!AI263))</f>
        <v/>
      </c>
      <c r="F71" s="58">
        <f>IF($B71="","",CHOOSE(MonthIdx,'Jan'!AJ263,'Feb'!AJ263,'Mar'!AJ263,'Apr'!AJ263,'May'!AJ263,'Jun'!AJ263,'Jul'!AJ263,'Aug'!AJ263,'Sep'!AJ263,'Oct'!AJ263,'Nov'!AJ263,'Dec'!AJ263))</f>
        <v/>
      </c>
      <c r="G71" s="57">
        <f>IF($B71="","",CHOOSE(MonthIdx,'Jan'!AK263,'Feb'!AK263,'Mar'!AK263,'Apr'!AK263,'May'!AK263,'Jun'!AK263,'Jul'!AK263,'Aug'!AK263,'Sep'!AK263,'Oct'!AK263,'Nov'!AK263,'Dec'!AK263))</f>
        <v/>
      </c>
      <c r="H71" s="57">
        <f>IF($B71="","",CHOOSE(MonthIdx,'Jan'!AL263,'Feb'!AL263,'Mar'!AL263,'Apr'!AL263,'May'!AL263,'Jun'!AL263,'Jul'!AL263,'Aug'!AL263,'Sep'!AL263,'Oct'!AL263,'Nov'!AL263,'Dec'!AL263))</f>
        <v/>
      </c>
      <c r="I71" s="57">
        <f>IF($B71="","",CHOOSE(MonthIdx,'Jan'!AM263,'Feb'!AM263,'Mar'!AM263,'Apr'!AM263,'May'!AM263,'Jun'!AM263,'Jul'!AM263,'Aug'!AM263,'Sep'!AM263,'Oct'!AM263,'Nov'!AM263,'Dec'!AM263))</f>
        <v/>
      </c>
    </row>
    <row r="72">
      <c r="A72" s="59" t="n"/>
      <c r="B72" s="60" t="inlineStr">
        <is>
          <t>Squadron total</t>
        </is>
      </c>
      <c r="C72" s="59" t="n"/>
      <c r="D72" s="59" t="n"/>
      <c r="E72" s="61">
        <f>SUM(E12:E71)</f>
        <v/>
      </c>
      <c r="F72" s="62">
        <f>SUM(F12:F71)</f>
        <v/>
      </c>
      <c r="G72" s="61">
        <f>SUM(G12:G71)</f>
        <v/>
      </c>
      <c r="H72" s="61">
        <f>SUM(H12:H71)</f>
        <v/>
      </c>
      <c r="I72" s="61">
        <f>SUM(I12:I71)</f>
        <v/>
      </c>
    </row>
    <row r="75">
      <c r="A75" s="29">
        <f>"YEAR OVERVIEW  |  "&amp;$A$5</f>
        <v/>
      </c>
    </row>
    <row r="76">
      <c r="A76" s="31" t="inlineStr">
        <is>
          <t>Month</t>
        </is>
      </c>
      <c r="B76" s="31" t="inlineStr">
        <is>
          <t>Flights</t>
        </is>
      </c>
      <c r="C76" s="31" t="inlineStr">
        <is>
          <t>Flying Hrs</t>
        </is>
      </c>
      <c r="D76" s="31" t="inlineStr">
        <is>
          <t>Ground Duties</t>
        </is>
      </c>
      <c r="E76" s="31" t="inlineStr">
        <is>
          <t>SDO Planned</t>
        </is>
      </c>
      <c r="F76" s="31" t="inlineStr">
        <is>
          <t>SDO Days Uncovered</t>
        </is>
      </c>
      <c r="G76" s="31" t="inlineStr">
        <is>
          <t>Uncrewed Shifts</t>
        </is>
      </c>
    </row>
    <row r="77">
      <c r="A77" s="63">
        <f>HYPERLINK("#'Jan'!D27","January")</f>
        <v/>
      </c>
      <c r="B77" s="64">
        <f>'Jan'!D3</f>
        <v/>
      </c>
      <c r="C77" s="65">
        <f>'Jan'!E3</f>
        <v/>
      </c>
      <c r="D77" s="64">
        <f>'Jan'!F3</f>
        <v/>
      </c>
      <c r="E77" s="64">
        <f>'Jan'!G3</f>
        <v/>
      </c>
      <c r="F77" s="64">
        <f>'Jan'!I3</f>
        <v/>
      </c>
      <c r="G77" s="64">
        <f>'Jan'!J3</f>
        <v/>
      </c>
    </row>
    <row r="78">
      <c r="A78" s="63">
        <f>HYPERLINK("#'Feb'!D27","February")</f>
        <v/>
      </c>
      <c r="B78" s="64">
        <f>'Feb'!D3</f>
        <v/>
      </c>
      <c r="C78" s="65">
        <f>'Feb'!E3</f>
        <v/>
      </c>
      <c r="D78" s="64">
        <f>'Feb'!F3</f>
        <v/>
      </c>
      <c r="E78" s="64">
        <f>'Feb'!G3</f>
        <v/>
      </c>
      <c r="F78" s="64">
        <f>'Feb'!I3</f>
        <v/>
      </c>
      <c r="G78" s="64">
        <f>'Feb'!J3</f>
        <v/>
      </c>
    </row>
    <row r="79">
      <c r="A79" s="63">
        <f>HYPERLINK("#'Mar'!D27","March")</f>
        <v/>
      </c>
      <c r="B79" s="64">
        <f>'Mar'!D3</f>
        <v/>
      </c>
      <c r="C79" s="65">
        <f>'Mar'!E3</f>
        <v/>
      </c>
      <c r="D79" s="64">
        <f>'Mar'!F3</f>
        <v/>
      </c>
      <c r="E79" s="64">
        <f>'Mar'!G3</f>
        <v/>
      </c>
      <c r="F79" s="64">
        <f>'Mar'!I3</f>
        <v/>
      </c>
      <c r="G79" s="64">
        <f>'Mar'!J3</f>
        <v/>
      </c>
    </row>
    <row r="80">
      <c r="A80" s="63">
        <f>HYPERLINK("#'Apr'!D27","April")</f>
        <v/>
      </c>
      <c r="B80" s="64">
        <f>'Apr'!D3</f>
        <v/>
      </c>
      <c r="C80" s="65">
        <f>'Apr'!E3</f>
        <v/>
      </c>
      <c r="D80" s="64">
        <f>'Apr'!F3</f>
        <v/>
      </c>
      <c r="E80" s="64">
        <f>'Apr'!G3</f>
        <v/>
      </c>
      <c r="F80" s="64">
        <f>'Apr'!I3</f>
        <v/>
      </c>
      <c r="G80" s="64">
        <f>'Apr'!J3</f>
        <v/>
      </c>
    </row>
    <row r="81">
      <c r="A81" s="63">
        <f>HYPERLINK("#'May'!D27","May")</f>
        <v/>
      </c>
      <c r="B81" s="64">
        <f>'May'!D3</f>
        <v/>
      </c>
      <c r="C81" s="65">
        <f>'May'!E3</f>
        <v/>
      </c>
      <c r="D81" s="64">
        <f>'May'!F3</f>
        <v/>
      </c>
      <c r="E81" s="64">
        <f>'May'!G3</f>
        <v/>
      </c>
      <c r="F81" s="64">
        <f>'May'!I3</f>
        <v/>
      </c>
      <c r="G81" s="64">
        <f>'May'!J3</f>
        <v/>
      </c>
    </row>
    <row r="82">
      <c r="A82" s="63">
        <f>HYPERLINK("#'Jun'!D27","June")</f>
        <v/>
      </c>
      <c r="B82" s="64">
        <f>'Jun'!D3</f>
        <v/>
      </c>
      <c r="C82" s="65">
        <f>'Jun'!E3</f>
        <v/>
      </c>
      <c r="D82" s="64">
        <f>'Jun'!F3</f>
        <v/>
      </c>
      <c r="E82" s="64">
        <f>'Jun'!G3</f>
        <v/>
      </c>
      <c r="F82" s="64">
        <f>'Jun'!I3</f>
        <v/>
      </c>
      <c r="G82" s="64">
        <f>'Jun'!J3</f>
        <v/>
      </c>
    </row>
    <row r="83">
      <c r="A83" s="63">
        <f>HYPERLINK("#'Jul'!D27","July")</f>
        <v/>
      </c>
      <c r="B83" s="64">
        <f>'Jul'!D3</f>
        <v/>
      </c>
      <c r="C83" s="65">
        <f>'Jul'!E3</f>
        <v/>
      </c>
      <c r="D83" s="64">
        <f>'Jul'!F3</f>
        <v/>
      </c>
      <c r="E83" s="64">
        <f>'Jul'!G3</f>
        <v/>
      </c>
      <c r="F83" s="64">
        <f>'Jul'!I3</f>
        <v/>
      </c>
      <c r="G83" s="64">
        <f>'Jul'!J3</f>
        <v/>
      </c>
    </row>
    <row r="84">
      <c r="A84" s="63">
        <f>HYPERLINK("#'Aug'!D27","August")</f>
        <v/>
      </c>
      <c r="B84" s="64">
        <f>'Aug'!D3</f>
        <v/>
      </c>
      <c r="C84" s="65">
        <f>'Aug'!E3</f>
        <v/>
      </c>
      <c r="D84" s="64">
        <f>'Aug'!F3</f>
        <v/>
      </c>
      <c r="E84" s="64">
        <f>'Aug'!G3</f>
        <v/>
      </c>
      <c r="F84" s="64">
        <f>'Aug'!I3</f>
        <v/>
      </c>
      <c r="G84" s="64">
        <f>'Aug'!J3</f>
        <v/>
      </c>
    </row>
    <row r="85">
      <c r="A85" s="63">
        <f>HYPERLINK("#'Sep'!D27","September")</f>
        <v/>
      </c>
      <c r="B85" s="64">
        <f>'Sep'!D3</f>
        <v/>
      </c>
      <c r="C85" s="65">
        <f>'Sep'!E3</f>
        <v/>
      </c>
      <c r="D85" s="64">
        <f>'Sep'!F3</f>
        <v/>
      </c>
      <c r="E85" s="64">
        <f>'Sep'!G3</f>
        <v/>
      </c>
      <c r="F85" s="64">
        <f>'Sep'!I3</f>
        <v/>
      </c>
      <c r="G85" s="64">
        <f>'Sep'!J3</f>
        <v/>
      </c>
    </row>
    <row r="86">
      <c r="A86" s="63">
        <f>HYPERLINK("#'Oct'!D27","October")</f>
        <v/>
      </c>
      <c r="B86" s="64">
        <f>'Oct'!D3</f>
        <v/>
      </c>
      <c r="C86" s="65">
        <f>'Oct'!E3</f>
        <v/>
      </c>
      <c r="D86" s="64">
        <f>'Oct'!F3</f>
        <v/>
      </c>
      <c r="E86" s="64">
        <f>'Oct'!G3</f>
        <v/>
      </c>
      <c r="F86" s="64">
        <f>'Oct'!I3</f>
        <v/>
      </c>
      <c r="G86" s="64">
        <f>'Oct'!J3</f>
        <v/>
      </c>
    </row>
    <row r="87">
      <c r="A87" s="63">
        <f>HYPERLINK("#'Nov'!D27","November")</f>
        <v/>
      </c>
      <c r="B87" s="64">
        <f>'Nov'!D3</f>
        <v/>
      </c>
      <c r="C87" s="65">
        <f>'Nov'!E3</f>
        <v/>
      </c>
      <c r="D87" s="64">
        <f>'Nov'!F3</f>
        <v/>
      </c>
      <c r="E87" s="64">
        <f>'Nov'!G3</f>
        <v/>
      </c>
      <c r="F87" s="64">
        <f>'Nov'!I3</f>
        <v/>
      </c>
      <c r="G87" s="64">
        <f>'Nov'!J3</f>
        <v/>
      </c>
    </row>
    <row r="88">
      <c r="A88" s="63">
        <f>HYPERLINK("#'Dec'!D27","December")</f>
        <v/>
      </c>
      <c r="B88" s="64">
        <f>'Dec'!D3</f>
        <v/>
      </c>
      <c r="C88" s="65">
        <f>'Dec'!E3</f>
        <v/>
      </c>
      <c r="D88" s="64">
        <f>'Dec'!F3</f>
        <v/>
      </c>
      <c r="E88" s="64">
        <f>'Dec'!G3</f>
        <v/>
      </c>
      <c r="F88" s="64">
        <f>'Dec'!I3</f>
        <v/>
      </c>
      <c r="G88" s="64">
        <f>'Dec'!J3</f>
        <v/>
      </c>
    </row>
    <row r="89">
      <c r="A89" s="60" t="inlineStr">
        <is>
          <t>Year</t>
        </is>
      </c>
      <c r="B89" s="61">
        <f>SUM(B77:B88)</f>
        <v/>
      </c>
      <c r="C89" s="62">
        <f>SUM(C77:C88)</f>
        <v/>
      </c>
      <c r="D89" s="61">
        <f>SUM(D77:D88)</f>
        <v/>
      </c>
      <c r="E89" s="61">
        <f>SUM(E77:E88)</f>
        <v/>
      </c>
      <c r="F89" s="61">
        <f>SUM(F77:F88)</f>
        <v/>
      </c>
      <c r="G89" s="61">
        <f>SUM(G77:G88)</f>
        <v/>
      </c>
    </row>
  </sheetData>
  <autoFilter ref="A11:I71">
    <filterColumn colId="1" hiddenButton="0" showButton="1">
      <customFilters>
        <customFilter val=" " operator="notEqual"/>
      </customFilters>
    </filterColumn>
  </autoFilter>
  <mergeCells count="41">
    <mergeCell ref="A8"/>
    <mergeCell ref="L17:M17"/>
    <mergeCell ref="C8"/>
    <mergeCell ref="A75:C75"/>
    <mergeCell ref="L16:M16"/>
    <mergeCell ref="C7"/>
    <mergeCell ref="C5:D5"/>
    <mergeCell ref="E5:F5"/>
    <mergeCell ref="L19:M19"/>
    <mergeCell ref="L28:M28"/>
    <mergeCell ref="L13:M13"/>
    <mergeCell ref="F7:G7"/>
    <mergeCell ref="A1:N1"/>
    <mergeCell ref="L12:M12"/>
    <mergeCell ref="G5:I5"/>
    <mergeCell ref="L24:M24"/>
    <mergeCell ref="B7"/>
    <mergeCell ref="L15:M15"/>
    <mergeCell ref="L18:M18"/>
    <mergeCell ref="L23:M23"/>
    <mergeCell ref="L14:M14"/>
    <mergeCell ref="F8:G8"/>
    <mergeCell ref="L30:M30"/>
    <mergeCell ref="L26:M26"/>
    <mergeCell ref="L29:M29"/>
    <mergeCell ref="D7:E7"/>
    <mergeCell ref="L20:M20"/>
    <mergeCell ref="K8:L8"/>
    <mergeCell ref="H7:I7"/>
    <mergeCell ref="A2:N2"/>
    <mergeCell ref="A7"/>
    <mergeCell ref="L25:M25"/>
    <mergeCell ref="L31:M31"/>
    <mergeCell ref="L22:M22"/>
    <mergeCell ref="D8:E8"/>
    <mergeCell ref="B8"/>
    <mergeCell ref="K7:L7"/>
    <mergeCell ref="L21:M21"/>
    <mergeCell ref="L11:M11"/>
    <mergeCell ref="L27:M27"/>
    <mergeCell ref="H8:I8"/>
  </mergeCells>
  <conditionalFormatting sqref="A12:D71">
    <cfRule type="expression" priority="1" dxfId="0" stopIfTrue="1">
      <formula>$D12="Inactive"</formula>
    </cfRule>
  </conditionalFormatting>
  <conditionalFormatting sqref="B12:B71">
    <cfRule type="expression" priority="2" dxfId="1">
      <formula>INDEX(CrewCat,ROW()-11)="CAT A"</formula>
    </cfRule>
    <cfRule type="expression" priority="3" dxfId="2">
      <formula>INDEX(CrewCat,ROW()-11)="CAT B"</formula>
    </cfRule>
    <cfRule type="expression" priority="4" dxfId="3">
      <formula>INDEX(CrewCat,ROW()-11)="CAT C"</formula>
    </cfRule>
    <cfRule type="expression" priority="5" dxfId="4">
      <formula>INDEX(CrewCat,ROW()-11)="CAT D"</formula>
    </cfRule>
    <cfRule type="expression" priority="6" dxfId="5">
      <formula>INDEX(CrewCat,ROW()-11)="TRAINEE"</formula>
    </cfRule>
  </conditionalFormatting>
  <conditionalFormatting sqref="K12:K31">
    <cfRule type="expression" priority="7" dxfId="6" stopIfTrue="1">
      <formula>AND(K12&lt;&gt;"",IFERROR(INDEX(ActCat,MATCH(K12,ActCodesAll,0)),"")=Activities!$G$6)</formula>
    </cfRule>
    <cfRule type="expression" priority="8" dxfId="7" stopIfTrue="1">
      <formula>AND(K12&lt;&gt;"",IFERROR(INDEX(ActCat,MATCH(K12,ActCodesAll,0)),"")=Activities!$G$7)</formula>
    </cfRule>
    <cfRule type="expression" priority="9" dxfId="8" stopIfTrue="1">
      <formula>AND(K12&lt;&gt;"",IFERROR(INDEX(ActCat,MATCH(K12,ActCodesAll,0)),"")=Activities!$G$8)</formula>
    </cfRule>
    <cfRule type="expression" priority="10" dxfId="9" stopIfTrue="1">
      <formula>AND(K12&lt;&gt;"",IFERROR(INDEX(ActCat,MATCH(K12,ActCodesAll,0)),"")=Activities!$G$9)</formula>
    </cfRule>
    <cfRule type="expression" priority="11" dxfId="10" stopIfTrue="1">
      <formula>AND(K12&lt;&gt;"",IFERROR(INDEX(ActCat,MATCH(K12,ActCodesAll,0)),"")=Activities!$G$10)</formula>
    </cfRule>
    <cfRule type="expression" priority="12" dxfId="11" stopIfTrue="1">
      <formula>AND(K12&lt;&gt;"",IFERROR(INDEX(ActCat,MATCH(K12,ActCodesAll,0)),"")=Activities!$G$11)</formula>
    </cfRule>
    <cfRule type="expression" priority="13" dxfId="12" stopIfTrue="1">
      <formula>AND(K12&lt;&gt;"",IFERROR(INDEX(ActCat,MATCH(K12,ActCodesAll,0)),"")=Activities!$G$12)</formula>
    </cfRule>
    <cfRule type="expression" priority="14" dxfId="13" stopIfTrue="1">
      <formula>AND(K12&lt;&gt;"",IFERROR(INDEX(ActCat,MATCH(K12,ActCodesAll,0)),"")=Activities!$G$13)</formula>
    </cfRule>
    <cfRule type="expression" priority="15" dxfId="14" stopIfTrue="1">
      <formula>AND(K12&lt;&gt;"",IFERROR(INDEX(ActCat,MATCH(K12,ActCodesAll,0)),"")=Activities!$G$14)</formula>
    </cfRule>
  </conditionalFormatting>
  <conditionalFormatting sqref="A77:G88">
    <cfRule type="expression" priority="16" dxfId="15">
      <formula>MonthIdx=ROW()-76</formula>
    </cfRule>
  </conditionalFormatting>
  <dataValidations count="2">
    <dataValidation sqref="A5" showDropDown="0" showInputMessage="0" showErrorMessage="0" allowBlank="0" type="list">
      <formula1>"2025,2026,2027,2028,2029,2030,2031,2032,2033,2034,2035"</formula1>
    </dataValidation>
    <dataValidation sqref="B5" showDropDown="0" showInputMessage="0" showErrorMessage="0" allowBlank="0" type="list">
      <formula1>"January,February,March,April,May,June,July,August,September,October,November,December"</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40"/>
  <sheetViews>
    <sheetView showGridLines="0" tabSelected="0" workbookViewId="0">
      <selection activeCell="A1" sqref="A1"/>
    </sheetView>
  </sheetViews>
  <sheetFormatPr baseColWidth="8" defaultRowHeight="15"/>
  <cols>
    <col width="140" customWidth="1" min="1" max="1"/>
  </cols>
  <sheetData>
    <row r="1" ht="30" customHeight="1">
      <c r="A1" s="1" t="inlineStr">
        <is>
          <t>LODESTAR FLIGHT &amp; OPS PLANNER: HOW IT WORKS</t>
        </is>
      </c>
    </row>
    <row r="2" ht="18" customHeight="1">
      <c r="A2" s="3" t="inlineStr">
        <is>
          <t>Offline, macro-free. Desktop Excel 2010 or later.</t>
        </is>
      </c>
    </row>
    <row r="4">
      <c r="A4" s="66" t="inlineStr">
        <is>
          <t>ONE FILE PER DEPARTMENT</t>
        </is>
      </c>
    </row>
    <row r="5">
      <c r="A5" s="67" t="inlineStr">
        <is>
          <t>Each department keeps its own copy of this workbook, with its own roster, flight programme and SDO days. The department name is on the Dashboard (cell G5).</t>
        </is>
      </c>
    </row>
    <row r="6">
      <c r="A6" s="67" t="inlineStr">
        <is>
          <t>To see other departments, open the planner dashboard (the .html file), open your own Excel, then click 'Add other departments' and pick their Excel files. Each one shows as a read-only tab, and the SDO Plan tab combines everyone's SDO days.</t>
        </is>
      </c>
    </row>
    <row r="7">
      <c r="A7" s="67" t="inlineStr">
        <is>
          <t>Duty days (BDO = Base Duty Officer, SDO = Squadron Duty Orderly) come from the Duty Planner's Duty Roster file. In the dashboard, open your own file, Add other departments and pick the Duty Roster, then on the Duty Planner tab click 'Copy my duty days from the Duty Roster' and Save to Excel.</t>
        </is>
      </c>
    </row>
    <row r="8">
      <c r="A8" s="67" t="inlineStr">
        <is>
          <t>New department: copy an empty file, change the Department name on the Dashboard, and fill in its roster.</t>
        </is>
      </c>
    </row>
    <row r="9">
      <c r="A9" s="67" t="inlineStr"/>
    </row>
    <row r="10">
      <c r="A10" s="66" t="inlineStr">
        <is>
          <t>SHEETS</t>
        </is>
      </c>
    </row>
    <row r="11">
      <c r="A11" s="67" t="inlineStr">
        <is>
          <t>Dashboard: pick a year and month to see KPI cards, crew totals, the activity legend and the year overview. 'Open planner' jumps to that month.</t>
        </is>
      </c>
    </row>
    <row r="12">
      <c r="A12" s="67" t="inlineStr">
        <is>
          <t>Jan to Dec: the planning matrix. Each crew member has AM, PM and NIGHT rows. Click a day cell and pick an activity from the dropdown.</t>
        </is>
      </c>
    </row>
    <row r="13">
      <c r="A13" s="67" t="inlineStr">
        <is>
          <t>BDO Plan and SDO Plan: year calendars of your department's BDO and SDO days, copied from the Duty Roster. Each month tab shows them in the pink DUTY DAYS row and the table on the right lists the dates.</t>
        </is>
      </c>
    </row>
    <row r="14">
      <c r="A14" s="67" t="inlineStr">
        <is>
          <t>DUTY DAYS row (month tabs): green when someone in your department has that duty planned (activity BDO or SDO), red when nobody does.</t>
        </is>
      </c>
    </row>
    <row r="15">
      <c r="A15" s="67" t="inlineStr">
        <is>
          <t>Master rows (top of each month tab): the flight programme. Each shift has two flight slots (AM 1, AM 2, PM 1 ...); pick a flight from the dropdown in each. Leave slot 2 empty if only one flight is planned.</t>
        </is>
      </c>
    </row>
    <row r="16">
      <c r="A16" s="67" t="inlineStr">
        <is>
          <t>Flight timing: type it in the grey row under each master flight, in any form (0830, 0830-1030, TBC). Display only.</t>
        </is>
      </c>
    </row>
    <row r="17">
      <c r="A17" s="67" t="inlineStr">
        <is>
          <t>Flight comments: type any short note in the cream row under the time (e.g. 'Wx dependent', 'Need 2nd crew'). Display only; long notes shrink to fit the cell.</t>
        </is>
      </c>
    </row>
    <row r="18">
      <c r="A18" s="67" t="inlineStr">
        <is>
          <t>More than two flights in a shift, or one person flying twice in a shift: use a combined code such as 2xFLT-1.5 (Activities sheet, Sorties = 2). It counts as 2 flights and its total hours.</t>
        </is>
      </c>
    </row>
    <row r="19">
      <c r="A19" s="67" t="inlineStr">
        <is>
          <t>Master warnings: red with a warning sign = flights planned but nobody in that shift is flying. Amber with ! = fewer crew sorties than planned sorties. Green = covered.</t>
        </is>
      </c>
    </row>
    <row r="20">
      <c r="A20" s="67" t="inlineStr">
        <is>
          <t>Daily View: type any date to see every crew member's AM, PM and NIGHT activity, that day's totals and whether it's an SDO day.</t>
        </is>
      </c>
    </row>
    <row r="21">
      <c r="A21" s="67" t="inlineStr">
        <is>
          <t>Roster: the crew list (callsign, name with rank, initials, Cat Status, role, status). Activities: the dropdown catalog, categories and public holidays.</t>
        </is>
      </c>
    </row>
    <row r="22">
      <c r="A22" s="67" t="inlineStr"/>
    </row>
    <row r="23">
      <c r="A23" s="66" t="inlineStr">
        <is>
          <t>ADDING AND REMOVING CREW</t>
        </is>
      </c>
    </row>
    <row r="24">
      <c r="A24" s="67" t="inlineStr">
        <is>
          <t>Add: type them in the next empty Roster row. They appear on every month tab, the Dashboard and Daily View.</t>
        </is>
      </c>
    </row>
    <row r="25">
      <c r="A25" s="67" t="inlineStr">
        <is>
          <t>Regular crew go in rows 6-50 (Status Active). SANS and NSmen go in the purple rows 51-65 (Status SANS or NSMEN), so they always show at the bottom of every planner.</t>
        </is>
      </c>
    </row>
    <row r="26">
      <c r="A26" s="67" t="inlineStr">
        <is>
          <t>Cat Status colours the crew member's name: CAT A black, CAT B green, CAT C yellow, CAT D red, TRAINEE magenta.</t>
        </is>
      </c>
    </row>
    <row r="27">
      <c r="A27" s="67" t="inlineStr">
        <is>
          <t>Empty crew slots are hidden by a filter. After adding someone in Excel, click Data &gt; Reapply (or Ctrl+Alt+L) on each month tab, the Dashboard and Daily View to show them. Crew added through the dashboard show up straight away. There are 60 slots.</t>
        </is>
      </c>
    </row>
    <row r="28">
      <c r="A28" s="67" t="inlineStr">
        <is>
          <t>Remove: set Status to Inactive. Their name is struck through and the crew count drops, but their past plans and totals are kept.</t>
        </is>
      </c>
    </row>
    <row r="29">
      <c r="A29" s="68" t="inlineStr">
        <is>
          <t>Don't delete or re-order Roster rows. Month tabs link to the Roster by row, so deleting a row moves everyone's plan onto the wrong person.</t>
        </is>
      </c>
    </row>
    <row r="30">
      <c r="A30" s="67" t="inlineStr"/>
    </row>
    <row r="31">
      <c r="A31" s="66" t="inlineStr">
        <is>
          <t>ADDING ACTIVITIES</t>
        </is>
      </c>
    </row>
    <row r="32">
      <c r="A32" s="67" t="inlineStr">
        <is>
          <t>Type a new code on the Activities sheet directly under the last one (no gaps), pick its category and enter its flight hours. It appears in every dropdown.</t>
        </is>
      </c>
    </row>
    <row r="33">
      <c r="A33" s="67" t="inlineStr"/>
    </row>
    <row r="34">
      <c r="A34" s="66" t="inlineStr">
        <is>
          <t>HOW TOTALS ARE COUNTED</t>
        </is>
      </c>
    </row>
    <row r="35">
      <c r="A35" s="67" t="inlineStr">
        <is>
          <t>Flights: one per Flight-category cell, so flying AM and NIGHT on the same day is 2 flights. Fly Hrs adds each activity's Flight Hrs.</t>
        </is>
      </c>
    </row>
    <row r="36">
      <c r="A36" s="67" t="inlineStr">
        <is>
          <t>Gnd Duty, SDO and Leave are counted in days. A day counts once if any of AM, PM or NIGHT has that category, so a 24h SDO filled into all three rows is 1 SDO.</t>
        </is>
      </c>
    </row>
    <row r="37">
      <c r="A37" s="67" t="inlineStr"/>
    </row>
    <row r="38">
      <c r="A38" s="66" t="inlineStr">
        <is>
          <t>SAMPLE DATA</t>
        </is>
      </c>
    </row>
    <row r="39">
      <c r="A39" s="67" t="inlineStr">
        <is>
          <t>The crew, October entries and October SDO days are samples. Clear them (select the cells and press Delete) before real use.</t>
        </is>
      </c>
    </row>
    <row r="40">
      <c r="A40" s="67" t="inlineStr">
        <is>
          <t>New year: in the dashboard Ops Room, Master Planner menu &gt; Start new year. It archives this year's files and moves every file to the next year (crew, activities, currency dates and open down-chits carry over).</t>
        </is>
      </c>
    </row>
  </sheetData>
  <mergeCells count="2">
    <mergeCell ref="A2"/>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showGridLines="0" tabSelected="0" workbookViewId="0">
      <pane ySplit="10" topLeftCell="A11" activePane="bottomLeft" state="frozen"/>
      <selection pane="bottomLeft" activeCell="A1" sqref="A1"/>
    </sheetView>
  </sheetViews>
  <sheetFormatPr baseColWidth="8" defaultRowHeight="15"/>
  <cols>
    <col width="12" customWidth="1" min="1" max="1"/>
    <col width="26" customWidth="1" min="2" max="2"/>
    <col width="14" customWidth="1" min="3" max="3"/>
    <col width="15" customWidth="1" min="4" max="4"/>
    <col width="15" customWidth="1" min="5" max="5"/>
    <col width="15" customWidth="1" min="6" max="6"/>
    <col width="15" customWidth="1" min="7" max="7"/>
    <col width="3" customWidth="1" min="8" max="8"/>
  </cols>
  <sheetData>
    <row r="1" ht="30" customHeight="1">
      <c r="A1" s="1" t="inlineStr">
        <is>
          <t>DAILY OPS VIEW  |  LOADMASTER</t>
        </is>
      </c>
      <c r="B1" s="2" t="n"/>
      <c r="C1" s="2" t="n"/>
      <c r="D1" s="2" t="n"/>
      <c r="E1" s="2" t="n"/>
      <c r="F1" s="2" t="n"/>
      <c r="G1" s="2" t="n"/>
      <c r="H1" s="2" t="n"/>
    </row>
    <row r="2" ht="18" customHeight="1">
      <c r="A2" s="3" t="inlineStr">
        <is>
          <t>Type a date to see who is on what. Shows today by default.</t>
        </is>
      </c>
      <c r="B2" s="2" t="n"/>
      <c r="C2" s="2" t="n"/>
      <c r="D2" s="2" t="n"/>
      <c r="E2" s="2" t="n"/>
      <c r="F2" s="2" t="n"/>
      <c r="G2" s="2" t="n"/>
      <c r="H2" s="2" t="n"/>
    </row>
    <row r="4">
      <c r="A4" s="4" t="inlineStr">
        <is>
          <t>DATE</t>
        </is>
      </c>
    </row>
    <row r="5">
      <c r="A5" s="69">
        <f>TODAY()</f>
        <v/>
      </c>
      <c r="B5" s="37" t="n"/>
      <c r="C5" s="70">
        <f>IF(NOT(AND(A5&gt;=DATE(PlanYear,1,1),A5&lt;=DATE(PlanYear+1,1,31))),"Date is outside planning year "&amp;PlanYear&amp;" and January "&amp;(PlanYear+1),"")</f>
        <v/>
      </c>
    </row>
    <row r="7">
      <c r="A7" s="71" t="inlineStr">
        <is>
          <t>FLIGHTS</t>
        </is>
      </c>
      <c r="B7" s="72" t="n"/>
      <c r="C7" s="11" t="inlineStr">
        <is>
          <t>FLYING HRS</t>
        </is>
      </c>
      <c r="D7" s="73" t="inlineStr">
        <is>
          <t>SDO ON DUTY</t>
        </is>
      </c>
      <c r="E7" s="74" t="inlineStr">
        <is>
          <t>ON LEAVE</t>
        </is>
      </c>
      <c r="F7" s="75" t="inlineStr">
        <is>
          <t>AVAILABLE CREW</t>
        </is>
      </c>
      <c r="G7" s="73" t="inlineStr">
        <is>
          <t>DUTY DAY</t>
        </is>
      </c>
    </row>
    <row r="8" ht="30" customHeight="1">
      <c r="A8" s="76">
        <f>IF(NOT(AND($A$5&gt;=DATE(PlanYear,1,1),$A$5&lt;=DATE(PlanYear+1,1,31))),"",INDEX({ref},1,DAY($A$5)))</f>
        <v/>
      </c>
      <c r="B8" s="25" t="n"/>
      <c r="C8" s="22">
        <f>IF(NOT(AND($A$5&gt;=DATE(PlanYear,1,1),$A$5&lt;=DATE(PlanYear+1,1,31))),"",INDEX({ref},1,DAY($A$5)))</f>
        <v/>
      </c>
      <c r="D8" s="77">
        <f>IF(NOT(AND($A$5&gt;=DATE(PlanYear,1,1),$A$5&lt;=DATE(PlanYear+1,1,31))),"",INDEX({ref},1,DAY($A$5)))</f>
        <v/>
      </c>
      <c r="E8" s="78">
        <f>IF(NOT(AND($A$5&gt;=DATE(PlanYear,1,1),$A$5&lt;=DATE(PlanYear+1,1,31))),"",INDEX({ref},1,DAY($A$5)))</f>
        <v/>
      </c>
      <c r="F8" s="79">
        <f>IF(NOT(AND($A$5&gt;=DATE(PlanYear,1,1),$A$5&lt;=DATE(PlanYear+1,1,31))),"",INDEX({ref},1,DAY($A$5)))</f>
        <v/>
      </c>
      <c r="G8" s="80">
        <f>IF(NOT(AND($A$5&gt;=DATE(PlanYear,1,1),$A$5&lt;=DATE(PlanYear+1,1,31))),"",IF(INDEX({sdoref},1,DAY($A$5))="","No",INDEX({sdoref},1,DAY($A$5))))</f>
        <v/>
      </c>
    </row>
    <row r="10">
      <c r="A10" s="31" t="inlineStr">
        <is>
          <t>Callsign</t>
        </is>
      </c>
      <c r="B10" s="31" t="inlineStr">
        <is>
          <t>Crew Member</t>
        </is>
      </c>
      <c r="C10" s="31" t="inlineStr">
        <is>
          <t>Role</t>
        </is>
      </c>
      <c r="D10" s="31" t="inlineStr">
        <is>
          <t>AM</t>
        </is>
      </c>
      <c r="E10" s="31" t="inlineStr">
        <is>
          <t>PM</t>
        </is>
      </c>
      <c r="F10" s="31" t="inlineStr">
        <is>
          <t>NIGHT</t>
        </is>
      </c>
      <c r="G10" s="31" t="inlineStr">
        <is>
          <t>WD</t>
        </is>
      </c>
    </row>
    <row r="11">
      <c r="A11" s="38">
        <f>IF(Roster!$B$6="","",Roster!$B$6)</f>
        <v/>
      </c>
      <c r="B11" s="39">
        <f>IF(Roster!$C$6="","",Roster!$C$6)</f>
        <v/>
      </c>
      <c r="C11" s="40">
        <f>IF(Roster!$C$6="","",Roster!$F$6&amp;IF(OR(Roster!$G$6="SANS",Roster!$G$6="NSMEN")," | "&amp;Roster!$G$6,""))</f>
        <v/>
      </c>
      <c r="D11" s="81">
        <f>IF(OR($B11="",NOT(AND($A$5&gt;=DATE(PlanYear,1,1),$A$5&lt;=DATE(PlanYear+1,1,31)))),"",INDEX(CHOOSE(IF(YEAR($A$5)&gt;PlanYear,13,MONTH($A$5)),'Jan'!$D$27:$AH$266,'Feb'!$D$27:$AH$266,'Mar'!$D$27:$AH$266,'Apr'!$D$27:$AH$266,'May'!$D$27:$AH$266,'Jun'!$D$27:$AH$266,'Jul'!$D$27:$AH$266,'Aug'!$D$27:$AH$266,'Sep'!$D$27:$AH$266,'Oct'!$D$27:$AH$266,'Nov'!$D$27:$AH$266,'Dec'!$D$27:$AH$266,'Jan (next year)'!$D$27:$AH$266),1,DAY($A$5))&amp;"")</f>
        <v/>
      </c>
      <c r="E11" s="81">
        <f>IF(OR($B11="",NOT(AND($A$5&gt;=DATE(PlanYear,1,1),$A$5&lt;=DATE(PlanYear+1,1,31)))),"",INDEX(CHOOSE(IF(YEAR($A$5)&gt;PlanYear,13,MONTH($A$5)),'Jan'!$D$27:$AH$266,'Feb'!$D$27:$AH$266,'Mar'!$D$27:$AH$266,'Apr'!$D$27:$AH$266,'May'!$D$27:$AH$266,'Jun'!$D$27:$AH$266,'Jul'!$D$27:$AH$266,'Aug'!$D$27:$AH$266,'Sep'!$D$27:$AH$266,'Oct'!$D$27:$AH$266,'Nov'!$D$27:$AH$266,'Dec'!$D$27:$AH$266,'Jan (next year)'!$D$27:$AH$266),2,DAY($A$5))&amp;"")</f>
        <v/>
      </c>
      <c r="F11" s="81">
        <f>IF(OR($B11="",NOT(AND($A$5&gt;=DATE(PlanYear,1,1),$A$5&lt;=DATE(PlanYear+1,1,31)))),"",INDEX(CHOOSE(IF(YEAR($A$5)&gt;PlanYear,13,MONTH($A$5)),'Jan'!$D$27:$AH$266,'Feb'!$D$27:$AH$266,'Mar'!$D$27:$AH$266,'Apr'!$D$27:$AH$266,'May'!$D$27:$AH$266,'Jun'!$D$27:$AH$266,'Jul'!$D$27:$AH$266,'Aug'!$D$27:$AH$266,'Sep'!$D$27:$AH$266,'Oct'!$D$27:$AH$266,'Nov'!$D$27:$AH$266,'Dec'!$D$27:$AH$266,'Jan (next year)'!$D$27:$AH$266),3,DAY($A$5))&amp;"")</f>
        <v/>
      </c>
      <c r="G11" s="81">
        <f>IF(OR($B11="",NOT(AND($A$5&gt;=DATE(PlanYear,1,1),$A$5&lt;=DATE(PlanYear+1,1,31)))),"",INDEX(CHOOSE(IF(YEAR($A$5)&gt;PlanYear,13,MONTH($A$5)),'Jan'!$D$27:$AH$266,'Feb'!$D$27:$AH$266,'Mar'!$D$27:$AH$266,'Apr'!$D$27:$AH$266,'May'!$D$27:$AH$266,'Jun'!$D$27:$AH$266,'Jul'!$D$27:$AH$266,'Aug'!$D$27:$AH$266,'Sep'!$D$27:$AH$266,'Oct'!$D$27:$AH$266,'Nov'!$D$27:$AH$266,'Dec'!$D$27:$AH$266,'Jan (next year)'!$D$27:$AH$266),4,DAY($A$5))&amp;"")</f>
        <v/>
      </c>
    </row>
    <row r="12">
      <c r="A12" s="38">
        <f>IF(Roster!$B$7="","",Roster!$B$7)</f>
        <v/>
      </c>
      <c r="B12" s="39">
        <f>IF(Roster!$C$7="","",Roster!$C$7)</f>
        <v/>
      </c>
      <c r="C12" s="40">
        <f>IF(Roster!$C$7="","",Roster!$F$7&amp;IF(OR(Roster!$G$7="SANS",Roster!$G$7="NSMEN")," | "&amp;Roster!$G$7,""))</f>
        <v/>
      </c>
      <c r="D12" s="81">
        <f>IF(OR($B12="",NOT(AND($A$5&gt;=DATE(PlanYear,1,1),$A$5&lt;=DATE(PlanYear+1,1,31)))),"",INDEX(CHOOSE(IF(YEAR($A$5)&gt;PlanYear,13,MONTH($A$5)),'Jan'!$D$27:$AH$266,'Feb'!$D$27:$AH$266,'Mar'!$D$27:$AH$266,'Apr'!$D$27:$AH$266,'May'!$D$27:$AH$266,'Jun'!$D$27:$AH$266,'Jul'!$D$27:$AH$266,'Aug'!$D$27:$AH$266,'Sep'!$D$27:$AH$266,'Oct'!$D$27:$AH$266,'Nov'!$D$27:$AH$266,'Dec'!$D$27:$AH$266,'Jan (next year)'!$D$27:$AH$266),5,DAY($A$5))&amp;"")</f>
        <v/>
      </c>
      <c r="E12" s="81">
        <f>IF(OR($B12="",NOT(AND($A$5&gt;=DATE(PlanYear,1,1),$A$5&lt;=DATE(PlanYear+1,1,31)))),"",INDEX(CHOOSE(IF(YEAR($A$5)&gt;PlanYear,13,MONTH($A$5)),'Jan'!$D$27:$AH$266,'Feb'!$D$27:$AH$266,'Mar'!$D$27:$AH$266,'Apr'!$D$27:$AH$266,'May'!$D$27:$AH$266,'Jun'!$D$27:$AH$266,'Jul'!$D$27:$AH$266,'Aug'!$D$27:$AH$266,'Sep'!$D$27:$AH$266,'Oct'!$D$27:$AH$266,'Nov'!$D$27:$AH$266,'Dec'!$D$27:$AH$266,'Jan (next year)'!$D$27:$AH$266),6,DAY($A$5))&amp;"")</f>
        <v/>
      </c>
      <c r="F12" s="81">
        <f>IF(OR($B12="",NOT(AND($A$5&gt;=DATE(PlanYear,1,1),$A$5&lt;=DATE(PlanYear+1,1,31)))),"",INDEX(CHOOSE(IF(YEAR($A$5)&gt;PlanYear,13,MONTH($A$5)),'Jan'!$D$27:$AH$266,'Feb'!$D$27:$AH$266,'Mar'!$D$27:$AH$266,'Apr'!$D$27:$AH$266,'May'!$D$27:$AH$266,'Jun'!$D$27:$AH$266,'Jul'!$D$27:$AH$266,'Aug'!$D$27:$AH$266,'Sep'!$D$27:$AH$266,'Oct'!$D$27:$AH$266,'Nov'!$D$27:$AH$266,'Dec'!$D$27:$AH$266,'Jan (next year)'!$D$27:$AH$266),7,DAY($A$5))&amp;"")</f>
        <v/>
      </c>
      <c r="G12" s="81">
        <f>IF(OR($B12="",NOT(AND($A$5&gt;=DATE(PlanYear,1,1),$A$5&lt;=DATE(PlanYear+1,1,31)))),"",INDEX(CHOOSE(IF(YEAR($A$5)&gt;PlanYear,13,MONTH($A$5)),'Jan'!$D$27:$AH$266,'Feb'!$D$27:$AH$266,'Mar'!$D$27:$AH$266,'Apr'!$D$27:$AH$266,'May'!$D$27:$AH$266,'Jun'!$D$27:$AH$266,'Jul'!$D$27:$AH$266,'Aug'!$D$27:$AH$266,'Sep'!$D$27:$AH$266,'Oct'!$D$27:$AH$266,'Nov'!$D$27:$AH$266,'Dec'!$D$27:$AH$266,'Jan (next year)'!$D$27:$AH$266),8,DAY($A$5))&amp;"")</f>
        <v/>
      </c>
    </row>
    <row r="13">
      <c r="A13" s="38">
        <f>IF(Roster!$B$8="","",Roster!$B$8)</f>
        <v/>
      </c>
      <c r="B13" s="39">
        <f>IF(Roster!$C$8="","",Roster!$C$8)</f>
        <v/>
      </c>
      <c r="C13" s="40">
        <f>IF(Roster!$C$8="","",Roster!$F$8&amp;IF(OR(Roster!$G$8="SANS",Roster!$G$8="NSMEN")," | "&amp;Roster!$G$8,""))</f>
        <v/>
      </c>
      <c r="D13" s="81">
        <f>IF(OR($B13="",NOT(AND($A$5&gt;=DATE(PlanYear,1,1),$A$5&lt;=DATE(PlanYear+1,1,31)))),"",INDEX(CHOOSE(IF(YEAR($A$5)&gt;PlanYear,13,MONTH($A$5)),'Jan'!$D$27:$AH$266,'Feb'!$D$27:$AH$266,'Mar'!$D$27:$AH$266,'Apr'!$D$27:$AH$266,'May'!$D$27:$AH$266,'Jun'!$D$27:$AH$266,'Jul'!$D$27:$AH$266,'Aug'!$D$27:$AH$266,'Sep'!$D$27:$AH$266,'Oct'!$D$27:$AH$266,'Nov'!$D$27:$AH$266,'Dec'!$D$27:$AH$266,'Jan (next year)'!$D$27:$AH$266),9,DAY($A$5))&amp;"")</f>
        <v/>
      </c>
      <c r="E13" s="81">
        <f>IF(OR($B13="",NOT(AND($A$5&gt;=DATE(PlanYear,1,1),$A$5&lt;=DATE(PlanYear+1,1,31)))),"",INDEX(CHOOSE(IF(YEAR($A$5)&gt;PlanYear,13,MONTH($A$5)),'Jan'!$D$27:$AH$266,'Feb'!$D$27:$AH$266,'Mar'!$D$27:$AH$266,'Apr'!$D$27:$AH$266,'May'!$D$27:$AH$266,'Jun'!$D$27:$AH$266,'Jul'!$D$27:$AH$266,'Aug'!$D$27:$AH$266,'Sep'!$D$27:$AH$266,'Oct'!$D$27:$AH$266,'Nov'!$D$27:$AH$266,'Dec'!$D$27:$AH$266,'Jan (next year)'!$D$27:$AH$266),10,DAY($A$5))&amp;"")</f>
        <v/>
      </c>
      <c r="F13" s="81">
        <f>IF(OR($B13="",NOT(AND($A$5&gt;=DATE(PlanYear,1,1),$A$5&lt;=DATE(PlanYear+1,1,31)))),"",INDEX(CHOOSE(IF(YEAR($A$5)&gt;PlanYear,13,MONTH($A$5)),'Jan'!$D$27:$AH$266,'Feb'!$D$27:$AH$266,'Mar'!$D$27:$AH$266,'Apr'!$D$27:$AH$266,'May'!$D$27:$AH$266,'Jun'!$D$27:$AH$266,'Jul'!$D$27:$AH$266,'Aug'!$D$27:$AH$266,'Sep'!$D$27:$AH$266,'Oct'!$D$27:$AH$266,'Nov'!$D$27:$AH$266,'Dec'!$D$27:$AH$266,'Jan (next year)'!$D$27:$AH$266),11,DAY($A$5))&amp;"")</f>
        <v/>
      </c>
      <c r="G13" s="81">
        <f>IF(OR($B13="",NOT(AND($A$5&gt;=DATE(PlanYear,1,1),$A$5&lt;=DATE(PlanYear+1,1,31)))),"",INDEX(CHOOSE(IF(YEAR($A$5)&gt;PlanYear,13,MONTH($A$5)),'Jan'!$D$27:$AH$266,'Feb'!$D$27:$AH$266,'Mar'!$D$27:$AH$266,'Apr'!$D$27:$AH$266,'May'!$D$27:$AH$266,'Jun'!$D$27:$AH$266,'Jul'!$D$27:$AH$266,'Aug'!$D$27:$AH$266,'Sep'!$D$27:$AH$266,'Oct'!$D$27:$AH$266,'Nov'!$D$27:$AH$266,'Dec'!$D$27:$AH$266,'Jan (next year)'!$D$27:$AH$266),12,DAY($A$5))&amp;"")</f>
        <v/>
      </c>
    </row>
    <row r="14">
      <c r="A14" s="38">
        <f>IF(Roster!$B$9="","",Roster!$B$9)</f>
        <v/>
      </c>
      <c r="B14" s="39">
        <f>IF(Roster!$C$9="","",Roster!$C$9)</f>
        <v/>
      </c>
      <c r="C14" s="40">
        <f>IF(Roster!$C$9="","",Roster!$F$9&amp;IF(OR(Roster!$G$9="SANS",Roster!$G$9="NSMEN")," | "&amp;Roster!$G$9,""))</f>
        <v/>
      </c>
      <c r="D14" s="81">
        <f>IF(OR($B14="",NOT(AND($A$5&gt;=DATE(PlanYear,1,1),$A$5&lt;=DATE(PlanYear+1,1,31)))),"",INDEX(CHOOSE(IF(YEAR($A$5)&gt;PlanYear,13,MONTH($A$5)),'Jan'!$D$27:$AH$266,'Feb'!$D$27:$AH$266,'Mar'!$D$27:$AH$266,'Apr'!$D$27:$AH$266,'May'!$D$27:$AH$266,'Jun'!$D$27:$AH$266,'Jul'!$D$27:$AH$266,'Aug'!$D$27:$AH$266,'Sep'!$D$27:$AH$266,'Oct'!$D$27:$AH$266,'Nov'!$D$27:$AH$266,'Dec'!$D$27:$AH$266,'Jan (next year)'!$D$27:$AH$266),13,DAY($A$5))&amp;"")</f>
        <v/>
      </c>
      <c r="E14" s="81">
        <f>IF(OR($B14="",NOT(AND($A$5&gt;=DATE(PlanYear,1,1),$A$5&lt;=DATE(PlanYear+1,1,31)))),"",INDEX(CHOOSE(IF(YEAR($A$5)&gt;PlanYear,13,MONTH($A$5)),'Jan'!$D$27:$AH$266,'Feb'!$D$27:$AH$266,'Mar'!$D$27:$AH$266,'Apr'!$D$27:$AH$266,'May'!$D$27:$AH$266,'Jun'!$D$27:$AH$266,'Jul'!$D$27:$AH$266,'Aug'!$D$27:$AH$266,'Sep'!$D$27:$AH$266,'Oct'!$D$27:$AH$266,'Nov'!$D$27:$AH$266,'Dec'!$D$27:$AH$266,'Jan (next year)'!$D$27:$AH$266),14,DAY($A$5))&amp;"")</f>
        <v/>
      </c>
      <c r="F14" s="81">
        <f>IF(OR($B14="",NOT(AND($A$5&gt;=DATE(PlanYear,1,1),$A$5&lt;=DATE(PlanYear+1,1,31)))),"",INDEX(CHOOSE(IF(YEAR($A$5)&gt;PlanYear,13,MONTH($A$5)),'Jan'!$D$27:$AH$266,'Feb'!$D$27:$AH$266,'Mar'!$D$27:$AH$266,'Apr'!$D$27:$AH$266,'May'!$D$27:$AH$266,'Jun'!$D$27:$AH$266,'Jul'!$D$27:$AH$266,'Aug'!$D$27:$AH$266,'Sep'!$D$27:$AH$266,'Oct'!$D$27:$AH$266,'Nov'!$D$27:$AH$266,'Dec'!$D$27:$AH$266,'Jan (next year)'!$D$27:$AH$266),15,DAY($A$5))&amp;"")</f>
        <v/>
      </c>
      <c r="G14" s="81">
        <f>IF(OR($B14="",NOT(AND($A$5&gt;=DATE(PlanYear,1,1),$A$5&lt;=DATE(PlanYear+1,1,31)))),"",INDEX(CHOOSE(IF(YEAR($A$5)&gt;PlanYear,13,MONTH($A$5)),'Jan'!$D$27:$AH$266,'Feb'!$D$27:$AH$266,'Mar'!$D$27:$AH$266,'Apr'!$D$27:$AH$266,'May'!$D$27:$AH$266,'Jun'!$D$27:$AH$266,'Jul'!$D$27:$AH$266,'Aug'!$D$27:$AH$266,'Sep'!$D$27:$AH$266,'Oct'!$D$27:$AH$266,'Nov'!$D$27:$AH$266,'Dec'!$D$27:$AH$266,'Jan (next year)'!$D$27:$AH$266),16,DAY($A$5))&amp;"")</f>
        <v/>
      </c>
    </row>
    <row r="15">
      <c r="A15" s="38">
        <f>IF(Roster!$B$10="","",Roster!$B$10)</f>
        <v/>
      </c>
      <c r="B15" s="39">
        <f>IF(Roster!$C$10="","",Roster!$C$10)</f>
        <v/>
      </c>
      <c r="C15" s="40">
        <f>IF(Roster!$C$10="","",Roster!$F$10&amp;IF(OR(Roster!$G$10="SANS",Roster!$G$10="NSMEN")," | "&amp;Roster!$G$10,""))</f>
        <v/>
      </c>
      <c r="D15" s="81">
        <f>IF(OR($B15="",NOT(AND($A$5&gt;=DATE(PlanYear,1,1),$A$5&lt;=DATE(PlanYear+1,1,31)))),"",INDEX(CHOOSE(IF(YEAR($A$5)&gt;PlanYear,13,MONTH($A$5)),'Jan'!$D$27:$AH$266,'Feb'!$D$27:$AH$266,'Mar'!$D$27:$AH$266,'Apr'!$D$27:$AH$266,'May'!$D$27:$AH$266,'Jun'!$D$27:$AH$266,'Jul'!$D$27:$AH$266,'Aug'!$D$27:$AH$266,'Sep'!$D$27:$AH$266,'Oct'!$D$27:$AH$266,'Nov'!$D$27:$AH$266,'Dec'!$D$27:$AH$266,'Jan (next year)'!$D$27:$AH$266),17,DAY($A$5))&amp;"")</f>
        <v/>
      </c>
      <c r="E15" s="81">
        <f>IF(OR($B15="",NOT(AND($A$5&gt;=DATE(PlanYear,1,1),$A$5&lt;=DATE(PlanYear+1,1,31)))),"",INDEX(CHOOSE(IF(YEAR($A$5)&gt;PlanYear,13,MONTH($A$5)),'Jan'!$D$27:$AH$266,'Feb'!$D$27:$AH$266,'Mar'!$D$27:$AH$266,'Apr'!$D$27:$AH$266,'May'!$D$27:$AH$266,'Jun'!$D$27:$AH$266,'Jul'!$D$27:$AH$266,'Aug'!$D$27:$AH$266,'Sep'!$D$27:$AH$266,'Oct'!$D$27:$AH$266,'Nov'!$D$27:$AH$266,'Dec'!$D$27:$AH$266,'Jan (next year)'!$D$27:$AH$266),18,DAY($A$5))&amp;"")</f>
        <v/>
      </c>
      <c r="F15" s="81">
        <f>IF(OR($B15="",NOT(AND($A$5&gt;=DATE(PlanYear,1,1),$A$5&lt;=DATE(PlanYear+1,1,31)))),"",INDEX(CHOOSE(IF(YEAR($A$5)&gt;PlanYear,13,MONTH($A$5)),'Jan'!$D$27:$AH$266,'Feb'!$D$27:$AH$266,'Mar'!$D$27:$AH$266,'Apr'!$D$27:$AH$266,'May'!$D$27:$AH$266,'Jun'!$D$27:$AH$266,'Jul'!$D$27:$AH$266,'Aug'!$D$27:$AH$266,'Sep'!$D$27:$AH$266,'Oct'!$D$27:$AH$266,'Nov'!$D$27:$AH$266,'Dec'!$D$27:$AH$266,'Jan (next year)'!$D$27:$AH$266),19,DAY($A$5))&amp;"")</f>
        <v/>
      </c>
      <c r="G15" s="81">
        <f>IF(OR($B15="",NOT(AND($A$5&gt;=DATE(PlanYear,1,1),$A$5&lt;=DATE(PlanYear+1,1,31)))),"",INDEX(CHOOSE(IF(YEAR($A$5)&gt;PlanYear,13,MONTH($A$5)),'Jan'!$D$27:$AH$266,'Feb'!$D$27:$AH$266,'Mar'!$D$27:$AH$266,'Apr'!$D$27:$AH$266,'May'!$D$27:$AH$266,'Jun'!$D$27:$AH$266,'Jul'!$D$27:$AH$266,'Aug'!$D$27:$AH$266,'Sep'!$D$27:$AH$266,'Oct'!$D$27:$AH$266,'Nov'!$D$27:$AH$266,'Dec'!$D$27:$AH$266,'Jan (next year)'!$D$27:$AH$266),20,DAY($A$5))&amp;"")</f>
        <v/>
      </c>
    </row>
    <row r="16">
      <c r="A16" s="38">
        <f>IF(Roster!$B$11="","",Roster!$B$11)</f>
        <v/>
      </c>
      <c r="B16" s="39">
        <f>IF(Roster!$C$11="","",Roster!$C$11)</f>
        <v/>
      </c>
      <c r="C16" s="40">
        <f>IF(Roster!$C$11="","",Roster!$F$11&amp;IF(OR(Roster!$G$11="SANS",Roster!$G$11="NSMEN")," | "&amp;Roster!$G$11,""))</f>
        <v/>
      </c>
      <c r="D16" s="81">
        <f>IF(OR($B16="",NOT(AND($A$5&gt;=DATE(PlanYear,1,1),$A$5&lt;=DATE(PlanYear+1,1,31)))),"",INDEX(CHOOSE(IF(YEAR($A$5)&gt;PlanYear,13,MONTH($A$5)),'Jan'!$D$27:$AH$266,'Feb'!$D$27:$AH$266,'Mar'!$D$27:$AH$266,'Apr'!$D$27:$AH$266,'May'!$D$27:$AH$266,'Jun'!$D$27:$AH$266,'Jul'!$D$27:$AH$266,'Aug'!$D$27:$AH$266,'Sep'!$D$27:$AH$266,'Oct'!$D$27:$AH$266,'Nov'!$D$27:$AH$266,'Dec'!$D$27:$AH$266,'Jan (next year)'!$D$27:$AH$266),21,DAY($A$5))&amp;"")</f>
        <v/>
      </c>
      <c r="E16" s="81">
        <f>IF(OR($B16="",NOT(AND($A$5&gt;=DATE(PlanYear,1,1),$A$5&lt;=DATE(PlanYear+1,1,31)))),"",INDEX(CHOOSE(IF(YEAR($A$5)&gt;PlanYear,13,MONTH($A$5)),'Jan'!$D$27:$AH$266,'Feb'!$D$27:$AH$266,'Mar'!$D$27:$AH$266,'Apr'!$D$27:$AH$266,'May'!$D$27:$AH$266,'Jun'!$D$27:$AH$266,'Jul'!$D$27:$AH$266,'Aug'!$D$27:$AH$266,'Sep'!$D$27:$AH$266,'Oct'!$D$27:$AH$266,'Nov'!$D$27:$AH$266,'Dec'!$D$27:$AH$266,'Jan (next year)'!$D$27:$AH$266),22,DAY($A$5))&amp;"")</f>
        <v/>
      </c>
      <c r="F16" s="81">
        <f>IF(OR($B16="",NOT(AND($A$5&gt;=DATE(PlanYear,1,1),$A$5&lt;=DATE(PlanYear+1,1,31)))),"",INDEX(CHOOSE(IF(YEAR($A$5)&gt;PlanYear,13,MONTH($A$5)),'Jan'!$D$27:$AH$266,'Feb'!$D$27:$AH$266,'Mar'!$D$27:$AH$266,'Apr'!$D$27:$AH$266,'May'!$D$27:$AH$266,'Jun'!$D$27:$AH$266,'Jul'!$D$27:$AH$266,'Aug'!$D$27:$AH$266,'Sep'!$D$27:$AH$266,'Oct'!$D$27:$AH$266,'Nov'!$D$27:$AH$266,'Dec'!$D$27:$AH$266,'Jan (next year)'!$D$27:$AH$266),23,DAY($A$5))&amp;"")</f>
        <v/>
      </c>
      <c r="G16" s="81">
        <f>IF(OR($B16="",NOT(AND($A$5&gt;=DATE(PlanYear,1,1),$A$5&lt;=DATE(PlanYear+1,1,31)))),"",INDEX(CHOOSE(IF(YEAR($A$5)&gt;PlanYear,13,MONTH($A$5)),'Jan'!$D$27:$AH$266,'Feb'!$D$27:$AH$266,'Mar'!$D$27:$AH$266,'Apr'!$D$27:$AH$266,'May'!$D$27:$AH$266,'Jun'!$D$27:$AH$266,'Jul'!$D$27:$AH$266,'Aug'!$D$27:$AH$266,'Sep'!$D$27:$AH$266,'Oct'!$D$27:$AH$266,'Nov'!$D$27:$AH$266,'Dec'!$D$27:$AH$266,'Jan (next year)'!$D$27:$AH$266),24,DAY($A$5))&amp;"")</f>
        <v/>
      </c>
    </row>
    <row r="17" hidden="1">
      <c r="A17" s="38">
        <f>IF(Roster!$B$12="","",Roster!$B$12)</f>
        <v/>
      </c>
      <c r="B17" s="39">
        <f>IF(Roster!$C$12="","",Roster!$C$12)</f>
        <v/>
      </c>
      <c r="C17" s="40">
        <f>IF(Roster!$C$12="","",Roster!$F$12&amp;IF(OR(Roster!$G$12="SANS",Roster!$G$12="NSMEN")," | "&amp;Roster!$G$12,""))</f>
        <v/>
      </c>
      <c r="D17" s="81">
        <f>IF(OR($B17="",NOT(AND($A$5&gt;=DATE(PlanYear,1,1),$A$5&lt;=DATE(PlanYear+1,1,31)))),"",INDEX(CHOOSE(IF(YEAR($A$5)&gt;PlanYear,13,MONTH($A$5)),'Jan'!$D$27:$AH$266,'Feb'!$D$27:$AH$266,'Mar'!$D$27:$AH$266,'Apr'!$D$27:$AH$266,'May'!$D$27:$AH$266,'Jun'!$D$27:$AH$266,'Jul'!$D$27:$AH$266,'Aug'!$D$27:$AH$266,'Sep'!$D$27:$AH$266,'Oct'!$D$27:$AH$266,'Nov'!$D$27:$AH$266,'Dec'!$D$27:$AH$266,'Jan (next year)'!$D$27:$AH$266),25,DAY($A$5))&amp;"")</f>
        <v/>
      </c>
      <c r="E17" s="81">
        <f>IF(OR($B17="",NOT(AND($A$5&gt;=DATE(PlanYear,1,1),$A$5&lt;=DATE(PlanYear+1,1,31)))),"",INDEX(CHOOSE(IF(YEAR($A$5)&gt;PlanYear,13,MONTH($A$5)),'Jan'!$D$27:$AH$266,'Feb'!$D$27:$AH$266,'Mar'!$D$27:$AH$266,'Apr'!$D$27:$AH$266,'May'!$D$27:$AH$266,'Jun'!$D$27:$AH$266,'Jul'!$D$27:$AH$266,'Aug'!$D$27:$AH$266,'Sep'!$D$27:$AH$266,'Oct'!$D$27:$AH$266,'Nov'!$D$27:$AH$266,'Dec'!$D$27:$AH$266,'Jan (next year)'!$D$27:$AH$266),26,DAY($A$5))&amp;"")</f>
        <v/>
      </c>
      <c r="F17" s="81">
        <f>IF(OR($B17="",NOT(AND($A$5&gt;=DATE(PlanYear,1,1),$A$5&lt;=DATE(PlanYear+1,1,31)))),"",INDEX(CHOOSE(IF(YEAR($A$5)&gt;PlanYear,13,MONTH($A$5)),'Jan'!$D$27:$AH$266,'Feb'!$D$27:$AH$266,'Mar'!$D$27:$AH$266,'Apr'!$D$27:$AH$266,'May'!$D$27:$AH$266,'Jun'!$D$27:$AH$266,'Jul'!$D$27:$AH$266,'Aug'!$D$27:$AH$266,'Sep'!$D$27:$AH$266,'Oct'!$D$27:$AH$266,'Nov'!$D$27:$AH$266,'Dec'!$D$27:$AH$266,'Jan (next year)'!$D$27:$AH$266),27,DAY($A$5))&amp;"")</f>
        <v/>
      </c>
      <c r="G17" s="81">
        <f>IF(OR($B17="",NOT(AND($A$5&gt;=DATE(PlanYear,1,1),$A$5&lt;=DATE(PlanYear+1,1,31)))),"",INDEX(CHOOSE(IF(YEAR($A$5)&gt;PlanYear,13,MONTH($A$5)),'Jan'!$D$27:$AH$266,'Feb'!$D$27:$AH$266,'Mar'!$D$27:$AH$266,'Apr'!$D$27:$AH$266,'May'!$D$27:$AH$266,'Jun'!$D$27:$AH$266,'Jul'!$D$27:$AH$266,'Aug'!$D$27:$AH$266,'Sep'!$D$27:$AH$266,'Oct'!$D$27:$AH$266,'Nov'!$D$27:$AH$266,'Dec'!$D$27:$AH$266,'Jan (next year)'!$D$27:$AH$266),28,DAY($A$5))&amp;"")</f>
        <v/>
      </c>
    </row>
    <row r="18" hidden="1">
      <c r="A18" s="38">
        <f>IF(Roster!$B$13="","",Roster!$B$13)</f>
        <v/>
      </c>
      <c r="B18" s="39">
        <f>IF(Roster!$C$13="","",Roster!$C$13)</f>
        <v/>
      </c>
      <c r="C18" s="40">
        <f>IF(Roster!$C$13="","",Roster!$F$13&amp;IF(OR(Roster!$G$13="SANS",Roster!$G$13="NSMEN")," | "&amp;Roster!$G$13,""))</f>
        <v/>
      </c>
      <c r="D18" s="81">
        <f>IF(OR($B18="",NOT(AND($A$5&gt;=DATE(PlanYear,1,1),$A$5&lt;=DATE(PlanYear+1,1,31)))),"",INDEX(CHOOSE(IF(YEAR($A$5)&gt;PlanYear,13,MONTH($A$5)),'Jan'!$D$27:$AH$266,'Feb'!$D$27:$AH$266,'Mar'!$D$27:$AH$266,'Apr'!$D$27:$AH$266,'May'!$D$27:$AH$266,'Jun'!$D$27:$AH$266,'Jul'!$D$27:$AH$266,'Aug'!$D$27:$AH$266,'Sep'!$D$27:$AH$266,'Oct'!$D$27:$AH$266,'Nov'!$D$27:$AH$266,'Dec'!$D$27:$AH$266,'Jan (next year)'!$D$27:$AH$266),29,DAY($A$5))&amp;"")</f>
        <v/>
      </c>
      <c r="E18" s="81">
        <f>IF(OR($B18="",NOT(AND($A$5&gt;=DATE(PlanYear,1,1),$A$5&lt;=DATE(PlanYear+1,1,31)))),"",INDEX(CHOOSE(IF(YEAR($A$5)&gt;PlanYear,13,MONTH($A$5)),'Jan'!$D$27:$AH$266,'Feb'!$D$27:$AH$266,'Mar'!$D$27:$AH$266,'Apr'!$D$27:$AH$266,'May'!$D$27:$AH$266,'Jun'!$D$27:$AH$266,'Jul'!$D$27:$AH$266,'Aug'!$D$27:$AH$266,'Sep'!$D$27:$AH$266,'Oct'!$D$27:$AH$266,'Nov'!$D$27:$AH$266,'Dec'!$D$27:$AH$266,'Jan (next year)'!$D$27:$AH$266),30,DAY($A$5))&amp;"")</f>
        <v/>
      </c>
      <c r="F18" s="81">
        <f>IF(OR($B18="",NOT(AND($A$5&gt;=DATE(PlanYear,1,1),$A$5&lt;=DATE(PlanYear+1,1,31)))),"",INDEX(CHOOSE(IF(YEAR($A$5)&gt;PlanYear,13,MONTH($A$5)),'Jan'!$D$27:$AH$266,'Feb'!$D$27:$AH$266,'Mar'!$D$27:$AH$266,'Apr'!$D$27:$AH$266,'May'!$D$27:$AH$266,'Jun'!$D$27:$AH$266,'Jul'!$D$27:$AH$266,'Aug'!$D$27:$AH$266,'Sep'!$D$27:$AH$266,'Oct'!$D$27:$AH$266,'Nov'!$D$27:$AH$266,'Dec'!$D$27:$AH$266,'Jan (next year)'!$D$27:$AH$266),31,DAY($A$5))&amp;"")</f>
        <v/>
      </c>
      <c r="G18" s="81">
        <f>IF(OR($B18="",NOT(AND($A$5&gt;=DATE(PlanYear,1,1),$A$5&lt;=DATE(PlanYear+1,1,31)))),"",INDEX(CHOOSE(IF(YEAR($A$5)&gt;PlanYear,13,MONTH($A$5)),'Jan'!$D$27:$AH$266,'Feb'!$D$27:$AH$266,'Mar'!$D$27:$AH$266,'Apr'!$D$27:$AH$266,'May'!$D$27:$AH$266,'Jun'!$D$27:$AH$266,'Jul'!$D$27:$AH$266,'Aug'!$D$27:$AH$266,'Sep'!$D$27:$AH$266,'Oct'!$D$27:$AH$266,'Nov'!$D$27:$AH$266,'Dec'!$D$27:$AH$266,'Jan (next year)'!$D$27:$AH$266),32,DAY($A$5))&amp;"")</f>
        <v/>
      </c>
    </row>
    <row r="19" hidden="1">
      <c r="A19" s="38">
        <f>IF(Roster!$B$14="","",Roster!$B$14)</f>
        <v/>
      </c>
      <c r="B19" s="39">
        <f>IF(Roster!$C$14="","",Roster!$C$14)</f>
        <v/>
      </c>
      <c r="C19" s="40">
        <f>IF(Roster!$C$14="","",Roster!$F$14&amp;IF(OR(Roster!$G$14="SANS",Roster!$G$14="NSMEN")," | "&amp;Roster!$G$14,""))</f>
        <v/>
      </c>
      <c r="D19" s="81">
        <f>IF(OR($B19="",NOT(AND($A$5&gt;=DATE(PlanYear,1,1),$A$5&lt;=DATE(PlanYear+1,1,31)))),"",INDEX(CHOOSE(IF(YEAR($A$5)&gt;PlanYear,13,MONTH($A$5)),'Jan'!$D$27:$AH$266,'Feb'!$D$27:$AH$266,'Mar'!$D$27:$AH$266,'Apr'!$D$27:$AH$266,'May'!$D$27:$AH$266,'Jun'!$D$27:$AH$266,'Jul'!$D$27:$AH$266,'Aug'!$D$27:$AH$266,'Sep'!$D$27:$AH$266,'Oct'!$D$27:$AH$266,'Nov'!$D$27:$AH$266,'Dec'!$D$27:$AH$266,'Jan (next year)'!$D$27:$AH$266),33,DAY($A$5))&amp;"")</f>
        <v/>
      </c>
      <c r="E19" s="81">
        <f>IF(OR($B19="",NOT(AND($A$5&gt;=DATE(PlanYear,1,1),$A$5&lt;=DATE(PlanYear+1,1,31)))),"",INDEX(CHOOSE(IF(YEAR($A$5)&gt;PlanYear,13,MONTH($A$5)),'Jan'!$D$27:$AH$266,'Feb'!$D$27:$AH$266,'Mar'!$D$27:$AH$266,'Apr'!$D$27:$AH$266,'May'!$D$27:$AH$266,'Jun'!$D$27:$AH$266,'Jul'!$D$27:$AH$266,'Aug'!$D$27:$AH$266,'Sep'!$D$27:$AH$266,'Oct'!$D$27:$AH$266,'Nov'!$D$27:$AH$266,'Dec'!$D$27:$AH$266,'Jan (next year)'!$D$27:$AH$266),34,DAY($A$5))&amp;"")</f>
        <v/>
      </c>
      <c r="F19" s="81">
        <f>IF(OR($B19="",NOT(AND($A$5&gt;=DATE(PlanYear,1,1),$A$5&lt;=DATE(PlanYear+1,1,31)))),"",INDEX(CHOOSE(IF(YEAR($A$5)&gt;PlanYear,13,MONTH($A$5)),'Jan'!$D$27:$AH$266,'Feb'!$D$27:$AH$266,'Mar'!$D$27:$AH$266,'Apr'!$D$27:$AH$266,'May'!$D$27:$AH$266,'Jun'!$D$27:$AH$266,'Jul'!$D$27:$AH$266,'Aug'!$D$27:$AH$266,'Sep'!$D$27:$AH$266,'Oct'!$D$27:$AH$266,'Nov'!$D$27:$AH$266,'Dec'!$D$27:$AH$266,'Jan (next year)'!$D$27:$AH$266),35,DAY($A$5))&amp;"")</f>
        <v/>
      </c>
      <c r="G19" s="81">
        <f>IF(OR($B19="",NOT(AND($A$5&gt;=DATE(PlanYear,1,1),$A$5&lt;=DATE(PlanYear+1,1,31)))),"",INDEX(CHOOSE(IF(YEAR($A$5)&gt;PlanYear,13,MONTH($A$5)),'Jan'!$D$27:$AH$266,'Feb'!$D$27:$AH$266,'Mar'!$D$27:$AH$266,'Apr'!$D$27:$AH$266,'May'!$D$27:$AH$266,'Jun'!$D$27:$AH$266,'Jul'!$D$27:$AH$266,'Aug'!$D$27:$AH$266,'Sep'!$D$27:$AH$266,'Oct'!$D$27:$AH$266,'Nov'!$D$27:$AH$266,'Dec'!$D$27:$AH$266,'Jan (next year)'!$D$27:$AH$266),36,DAY($A$5))&amp;"")</f>
        <v/>
      </c>
    </row>
    <row r="20" hidden="1">
      <c r="A20" s="38">
        <f>IF(Roster!$B$15="","",Roster!$B$15)</f>
        <v/>
      </c>
      <c r="B20" s="39">
        <f>IF(Roster!$C$15="","",Roster!$C$15)</f>
        <v/>
      </c>
      <c r="C20" s="40">
        <f>IF(Roster!$C$15="","",Roster!$F$15&amp;IF(OR(Roster!$G$15="SANS",Roster!$G$15="NSMEN")," | "&amp;Roster!$G$15,""))</f>
        <v/>
      </c>
      <c r="D20" s="81">
        <f>IF(OR($B20="",NOT(AND($A$5&gt;=DATE(PlanYear,1,1),$A$5&lt;=DATE(PlanYear+1,1,31)))),"",INDEX(CHOOSE(IF(YEAR($A$5)&gt;PlanYear,13,MONTH($A$5)),'Jan'!$D$27:$AH$266,'Feb'!$D$27:$AH$266,'Mar'!$D$27:$AH$266,'Apr'!$D$27:$AH$266,'May'!$D$27:$AH$266,'Jun'!$D$27:$AH$266,'Jul'!$D$27:$AH$266,'Aug'!$D$27:$AH$266,'Sep'!$D$27:$AH$266,'Oct'!$D$27:$AH$266,'Nov'!$D$27:$AH$266,'Dec'!$D$27:$AH$266,'Jan (next year)'!$D$27:$AH$266),37,DAY($A$5))&amp;"")</f>
        <v/>
      </c>
      <c r="E20" s="81">
        <f>IF(OR($B20="",NOT(AND($A$5&gt;=DATE(PlanYear,1,1),$A$5&lt;=DATE(PlanYear+1,1,31)))),"",INDEX(CHOOSE(IF(YEAR($A$5)&gt;PlanYear,13,MONTH($A$5)),'Jan'!$D$27:$AH$266,'Feb'!$D$27:$AH$266,'Mar'!$D$27:$AH$266,'Apr'!$D$27:$AH$266,'May'!$D$27:$AH$266,'Jun'!$D$27:$AH$266,'Jul'!$D$27:$AH$266,'Aug'!$D$27:$AH$266,'Sep'!$D$27:$AH$266,'Oct'!$D$27:$AH$266,'Nov'!$D$27:$AH$266,'Dec'!$D$27:$AH$266,'Jan (next year)'!$D$27:$AH$266),38,DAY($A$5))&amp;"")</f>
        <v/>
      </c>
      <c r="F20" s="81">
        <f>IF(OR($B20="",NOT(AND($A$5&gt;=DATE(PlanYear,1,1),$A$5&lt;=DATE(PlanYear+1,1,31)))),"",INDEX(CHOOSE(IF(YEAR($A$5)&gt;PlanYear,13,MONTH($A$5)),'Jan'!$D$27:$AH$266,'Feb'!$D$27:$AH$266,'Mar'!$D$27:$AH$266,'Apr'!$D$27:$AH$266,'May'!$D$27:$AH$266,'Jun'!$D$27:$AH$266,'Jul'!$D$27:$AH$266,'Aug'!$D$27:$AH$266,'Sep'!$D$27:$AH$266,'Oct'!$D$27:$AH$266,'Nov'!$D$27:$AH$266,'Dec'!$D$27:$AH$266,'Jan (next year)'!$D$27:$AH$266),39,DAY($A$5))&amp;"")</f>
        <v/>
      </c>
      <c r="G20" s="81">
        <f>IF(OR($B20="",NOT(AND($A$5&gt;=DATE(PlanYear,1,1),$A$5&lt;=DATE(PlanYear+1,1,31)))),"",INDEX(CHOOSE(IF(YEAR($A$5)&gt;PlanYear,13,MONTH($A$5)),'Jan'!$D$27:$AH$266,'Feb'!$D$27:$AH$266,'Mar'!$D$27:$AH$266,'Apr'!$D$27:$AH$266,'May'!$D$27:$AH$266,'Jun'!$D$27:$AH$266,'Jul'!$D$27:$AH$266,'Aug'!$D$27:$AH$266,'Sep'!$D$27:$AH$266,'Oct'!$D$27:$AH$266,'Nov'!$D$27:$AH$266,'Dec'!$D$27:$AH$266,'Jan (next year)'!$D$27:$AH$266),40,DAY($A$5))&amp;"")</f>
        <v/>
      </c>
    </row>
    <row r="21" hidden="1">
      <c r="A21" s="38">
        <f>IF(Roster!$B$16="","",Roster!$B$16)</f>
        <v/>
      </c>
      <c r="B21" s="39">
        <f>IF(Roster!$C$16="","",Roster!$C$16)</f>
        <v/>
      </c>
      <c r="C21" s="40">
        <f>IF(Roster!$C$16="","",Roster!$F$16&amp;IF(OR(Roster!$G$16="SANS",Roster!$G$16="NSMEN")," | "&amp;Roster!$G$16,""))</f>
        <v/>
      </c>
      <c r="D21" s="81">
        <f>IF(OR($B21="",NOT(AND($A$5&gt;=DATE(PlanYear,1,1),$A$5&lt;=DATE(PlanYear+1,1,31)))),"",INDEX(CHOOSE(IF(YEAR($A$5)&gt;PlanYear,13,MONTH($A$5)),'Jan'!$D$27:$AH$266,'Feb'!$D$27:$AH$266,'Mar'!$D$27:$AH$266,'Apr'!$D$27:$AH$266,'May'!$D$27:$AH$266,'Jun'!$D$27:$AH$266,'Jul'!$D$27:$AH$266,'Aug'!$D$27:$AH$266,'Sep'!$D$27:$AH$266,'Oct'!$D$27:$AH$266,'Nov'!$D$27:$AH$266,'Dec'!$D$27:$AH$266,'Jan (next year)'!$D$27:$AH$266),41,DAY($A$5))&amp;"")</f>
        <v/>
      </c>
      <c r="E21" s="81">
        <f>IF(OR($B21="",NOT(AND($A$5&gt;=DATE(PlanYear,1,1),$A$5&lt;=DATE(PlanYear+1,1,31)))),"",INDEX(CHOOSE(IF(YEAR($A$5)&gt;PlanYear,13,MONTH($A$5)),'Jan'!$D$27:$AH$266,'Feb'!$D$27:$AH$266,'Mar'!$D$27:$AH$266,'Apr'!$D$27:$AH$266,'May'!$D$27:$AH$266,'Jun'!$D$27:$AH$266,'Jul'!$D$27:$AH$266,'Aug'!$D$27:$AH$266,'Sep'!$D$27:$AH$266,'Oct'!$D$27:$AH$266,'Nov'!$D$27:$AH$266,'Dec'!$D$27:$AH$266,'Jan (next year)'!$D$27:$AH$266),42,DAY($A$5))&amp;"")</f>
        <v/>
      </c>
      <c r="F21" s="81">
        <f>IF(OR($B21="",NOT(AND($A$5&gt;=DATE(PlanYear,1,1),$A$5&lt;=DATE(PlanYear+1,1,31)))),"",INDEX(CHOOSE(IF(YEAR($A$5)&gt;PlanYear,13,MONTH($A$5)),'Jan'!$D$27:$AH$266,'Feb'!$D$27:$AH$266,'Mar'!$D$27:$AH$266,'Apr'!$D$27:$AH$266,'May'!$D$27:$AH$266,'Jun'!$D$27:$AH$266,'Jul'!$D$27:$AH$266,'Aug'!$D$27:$AH$266,'Sep'!$D$27:$AH$266,'Oct'!$D$27:$AH$266,'Nov'!$D$27:$AH$266,'Dec'!$D$27:$AH$266,'Jan (next year)'!$D$27:$AH$266),43,DAY($A$5))&amp;"")</f>
        <v/>
      </c>
      <c r="G21" s="81">
        <f>IF(OR($B21="",NOT(AND($A$5&gt;=DATE(PlanYear,1,1),$A$5&lt;=DATE(PlanYear+1,1,31)))),"",INDEX(CHOOSE(IF(YEAR($A$5)&gt;PlanYear,13,MONTH($A$5)),'Jan'!$D$27:$AH$266,'Feb'!$D$27:$AH$266,'Mar'!$D$27:$AH$266,'Apr'!$D$27:$AH$266,'May'!$D$27:$AH$266,'Jun'!$D$27:$AH$266,'Jul'!$D$27:$AH$266,'Aug'!$D$27:$AH$266,'Sep'!$D$27:$AH$266,'Oct'!$D$27:$AH$266,'Nov'!$D$27:$AH$266,'Dec'!$D$27:$AH$266,'Jan (next year)'!$D$27:$AH$266),44,DAY($A$5))&amp;"")</f>
        <v/>
      </c>
    </row>
    <row r="22" hidden="1">
      <c r="A22" s="38">
        <f>IF(Roster!$B$17="","",Roster!$B$17)</f>
        <v/>
      </c>
      <c r="B22" s="39">
        <f>IF(Roster!$C$17="","",Roster!$C$17)</f>
        <v/>
      </c>
      <c r="C22" s="40">
        <f>IF(Roster!$C$17="","",Roster!$F$17&amp;IF(OR(Roster!$G$17="SANS",Roster!$G$17="NSMEN")," | "&amp;Roster!$G$17,""))</f>
        <v/>
      </c>
      <c r="D22" s="81">
        <f>IF(OR($B22="",NOT(AND($A$5&gt;=DATE(PlanYear,1,1),$A$5&lt;=DATE(PlanYear+1,1,31)))),"",INDEX(CHOOSE(IF(YEAR($A$5)&gt;PlanYear,13,MONTH($A$5)),'Jan'!$D$27:$AH$266,'Feb'!$D$27:$AH$266,'Mar'!$D$27:$AH$266,'Apr'!$D$27:$AH$266,'May'!$D$27:$AH$266,'Jun'!$D$27:$AH$266,'Jul'!$D$27:$AH$266,'Aug'!$D$27:$AH$266,'Sep'!$D$27:$AH$266,'Oct'!$D$27:$AH$266,'Nov'!$D$27:$AH$266,'Dec'!$D$27:$AH$266,'Jan (next year)'!$D$27:$AH$266),45,DAY($A$5))&amp;"")</f>
        <v/>
      </c>
      <c r="E22" s="81">
        <f>IF(OR($B22="",NOT(AND($A$5&gt;=DATE(PlanYear,1,1),$A$5&lt;=DATE(PlanYear+1,1,31)))),"",INDEX(CHOOSE(IF(YEAR($A$5)&gt;PlanYear,13,MONTH($A$5)),'Jan'!$D$27:$AH$266,'Feb'!$D$27:$AH$266,'Mar'!$D$27:$AH$266,'Apr'!$D$27:$AH$266,'May'!$D$27:$AH$266,'Jun'!$D$27:$AH$266,'Jul'!$D$27:$AH$266,'Aug'!$D$27:$AH$266,'Sep'!$D$27:$AH$266,'Oct'!$D$27:$AH$266,'Nov'!$D$27:$AH$266,'Dec'!$D$27:$AH$266,'Jan (next year)'!$D$27:$AH$266),46,DAY($A$5))&amp;"")</f>
        <v/>
      </c>
      <c r="F22" s="81">
        <f>IF(OR($B22="",NOT(AND($A$5&gt;=DATE(PlanYear,1,1),$A$5&lt;=DATE(PlanYear+1,1,31)))),"",INDEX(CHOOSE(IF(YEAR($A$5)&gt;PlanYear,13,MONTH($A$5)),'Jan'!$D$27:$AH$266,'Feb'!$D$27:$AH$266,'Mar'!$D$27:$AH$266,'Apr'!$D$27:$AH$266,'May'!$D$27:$AH$266,'Jun'!$D$27:$AH$266,'Jul'!$D$27:$AH$266,'Aug'!$D$27:$AH$266,'Sep'!$D$27:$AH$266,'Oct'!$D$27:$AH$266,'Nov'!$D$27:$AH$266,'Dec'!$D$27:$AH$266,'Jan (next year)'!$D$27:$AH$266),47,DAY($A$5))&amp;"")</f>
        <v/>
      </c>
      <c r="G22" s="81">
        <f>IF(OR($B22="",NOT(AND($A$5&gt;=DATE(PlanYear,1,1),$A$5&lt;=DATE(PlanYear+1,1,31)))),"",INDEX(CHOOSE(IF(YEAR($A$5)&gt;PlanYear,13,MONTH($A$5)),'Jan'!$D$27:$AH$266,'Feb'!$D$27:$AH$266,'Mar'!$D$27:$AH$266,'Apr'!$D$27:$AH$266,'May'!$D$27:$AH$266,'Jun'!$D$27:$AH$266,'Jul'!$D$27:$AH$266,'Aug'!$D$27:$AH$266,'Sep'!$D$27:$AH$266,'Oct'!$D$27:$AH$266,'Nov'!$D$27:$AH$266,'Dec'!$D$27:$AH$266,'Jan (next year)'!$D$27:$AH$266),48,DAY($A$5))&amp;"")</f>
        <v/>
      </c>
    </row>
    <row r="23" hidden="1">
      <c r="A23" s="38">
        <f>IF(Roster!$B$18="","",Roster!$B$18)</f>
        <v/>
      </c>
      <c r="B23" s="39">
        <f>IF(Roster!$C$18="","",Roster!$C$18)</f>
        <v/>
      </c>
      <c r="C23" s="40">
        <f>IF(Roster!$C$18="","",Roster!$F$18&amp;IF(OR(Roster!$G$18="SANS",Roster!$G$18="NSMEN")," | "&amp;Roster!$G$18,""))</f>
        <v/>
      </c>
      <c r="D23" s="81">
        <f>IF(OR($B23="",NOT(AND($A$5&gt;=DATE(PlanYear,1,1),$A$5&lt;=DATE(PlanYear+1,1,31)))),"",INDEX(CHOOSE(IF(YEAR($A$5)&gt;PlanYear,13,MONTH($A$5)),'Jan'!$D$27:$AH$266,'Feb'!$D$27:$AH$266,'Mar'!$D$27:$AH$266,'Apr'!$D$27:$AH$266,'May'!$D$27:$AH$266,'Jun'!$D$27:$AH$266,'Jul'!$D$27:$AH$266,'Aug'!$D$27:$AH$266,'Sep'!$D$27:$AH$266,'Oct'!$D$27:$AH$266,'Nov'!$D$27:$AH$266,'Dec'!$D$27:$AH$266,'Jan (next year)'!$D$27:$AH$266),49,DAY($A$5))&amp;"")</f>
        <v/>
      </c>
      <c r="E23" s="81">
        <f>IF(OR($B23="",NOT(AND($A$5&gt;=DATE(PlanYear,1,1),$A$5&lt;=DATE(PlanYear+1,1,31)))),"",INDEX(CHOOSE(IF(YEAR($A$5)&gt;PlanYear,13,MONTH($A$5)),'Jan'!$D$27:$AH$266,'Feb'!$D$27:$AH$266,'Mar'!$D$27:$AH$266,'Apr'!$D$27:$AH$266,'May'!$D$27:$AH$266,'Jun'!$D$27:$AH$266,'Jul'!$D$27:$AH$266,'Aug'!$D$27:$AH$266,'Sep'!$D$27:$AH$266,'Oct'!$D$27:$AH$266,'Nov'!$D$27:$AH$266,'Dec'!$D$27:$AH$266,'Jan (next year)'!$D$27:$AH$266),50,DAY($A$5))&amp;"")</f>
        <v/>
      </c>
      <c r="F23" s="81">
        <f>IF(OR($B23="",NOT(AND($A$5&gt;=DATE(PlanYear,1,1),$A$5&lt;=DATE(PlanYear+1,1,31)))),"",INDEX(CHOOSE(IF(YEAR($A$5)&gt;PlanYear,13,MONTH($A$5)),'Jan'!$D$27:$AH$266,'Feb'!$D$27:$AH$266,'Mar'!$D$27:$AH$266,'Apr'!$D$27:$AH$266,'May'!$D$27:$AH$266,'Jun'!$D$27:$AH$266,'Jul'!$D$27:$AH$266,'Aug'!$D$27:$AH$266,'Sep'!$D$27:$AH$266,'Oct'!$D$27:$AH$266,'Nov'!$D$27:$AH$266,'Dec'!$D$27:$AH$266,'Jan (next year)'!$D$27:$AH$266),51,DAY($A$5))&amp;"")</f>
        <v/>
      </c>
      <c r="G23" s="81">
        <f>IF(OR($B23="",NOT(AND($A$5&gt;=DATE(PlanYear,1,1),$A$5&lt;=DATE(PlanYear+1,1,31)))),"",INDEX(CHOOSE(IF(YEAR($A$5)&gt;PlanYear,13,MONTH($A$5)),'Jan'!$D$27:$AH$266,'Feb'!$D$27:$AH$266,'Mar'!$D$27:$AH$266,'Apr'!$D$27:$AH$266,'May'!$D$27:$AH$266,'Jun'!$D$27:$AH$266,'Jul'!$D$27:$AH$266,'Aug'!$D$27:$AH$266,'Sep'!$D$27:$AH$266,'Oct'!$D$27:$AH$266,'Nov'!$D$27:$AH$266,'Dec'!$D$27:$AH$266,'Jan (next year)'!$D$27:$AH$266),52,DAY($A$5))&amp;"")</f>
        <v/>
      </c>
    </row>
    <row r="24" hidden="1">
      <c r="A24" s="38">
        <f>IF(Roster!$B$19="","",Roster!$B$19)</f>
        <v/>
      </c>
      <c r="B24" s="39">
        <f>IF(Roster!$C$19="","",Roster!$C$19)</f>
        <v/>
      </c>
      <c r="C24" s="40">
        <f>IF(Roster!$C$19="","",Roster!$F$19&amp;IF(OR(Roster!$G$19="SANS",Roster!$G$19="NSMEN")," | "&amp;Roster!$G$19,""))</f>
        <v/>
      </c>
      <c r="D24" s="81">
        <f>IF(OR($B24="",NOT(AND($A$5&gt;=DATE(PlanYear,1,1),$A$5&lt;=DATE(PlanYear+1,1,31)))),"",INDEX(CHOOSE(IF(YEAR($A$5)&gt;PlanYear,13,MONTH($A$5)),'Jan'!$D$27:$AH$266,'Feb'!$D$27:$AH$266,'Mar'!$D$27:$AH$266,'Apr'!$D$27:$AH$266,'May'!$D$27:$AH$266,'Jun'!$D$27:$AH$266,'Jul'!$D$27:$AH$266,'Aug'!$D$27:$AH$266,'Sep'!$D$27:$AH$266,'Oct'!$D$27:$AH$266,'Nov'!$D$27:$AH$266,'Dec'!$D$27:$AH$266,'Jan (next year)'!$D$27:$AH$266),53,DAY($A$5))&amp;"")</f>
        <v/>
      </c>
      <c r="E24" s="81">
        <f>IF(OR($B24="",NOT(AND($A$5&gt;=DATE(PlanYear,1,1),$A$5&lt;=DATE(PlanYear+1,1,31)))),"",INDEX(CHOOSE(IF(YEAR($A$5)&gt;PlanYear,13,MONTH($A$5)),'Jan'!$D$27:$AH$266,'Feb'!$D$27:$AH$266,'Mar'!$D$27:$AH$266,'Apr'!$D$27:$AH$266,'May'!$D$27:$AH$266,'Jun'!$D$27:$AH$266,'Jul'!$D$27:$AH$266,'Aug'!$D$27:$AH$266,'Sep'!$D$27:$AH$266,'Oct'!$D$27:$AH$266,'Nov'!$D$27:$AH$266,'Dec'!$D$27:$AH$266,'Jan (next year)'!$D$27:$AH$266),54,DAY($A$5))&amp;"")</f>
        <v/>
      </c>
      <c r="F24" s="81">
        <f>IF(OR($B24="",NOT(AND($A$5&gt;=DATE(PlanYear,1,1),$A$5&lt;=DATE(PlanYear+1,1,31)))),"",INDEX(CHOOSE(IF(YEAR($A$5)&gt;PlanYear,13,MONTH($A$5)),'Jan'!$D$27:$AH$266,'Feb'!$D$27:$AH$266,'Mar'!$D$27:$AH$266,'Apr'!$D$27:$AH$266,'May'!$D$27:$AH$266,'Jun'!$D$27:$AH$266,'Jul'!$D$27:$AH$266,'Aug'!$D$27:$AH$266,'Sep'!$D$27:$AH$266,'Oct'!$D$27:$AH$266,'Nov'!$D$27:$AH$266,'Dec'!$D$27:$AH$266,'Jan (next year)'!$D$27:$AH$266),55,DAY($A$5))&amp;"")</f>
        <v/>
      </c>
      <c r="G24" s="81">
        <f>IF(OR($B24="",NOT(AND($A$5&gt;=DATE(PlanYear,1,1),$A$5&lt;=DATE(PlanYear+1,1,31)))),"",INDEX(CHOOSE(IF(YEAR($A$5)&gt;PlanYear,13,MONTH($A$5)),'Jan'!$D$27:$AH$266,'Feb'!$D$27:$AH$266,'Mar'!$D$27:$AH$266,'Apr'!$D$27:$AH$266,'May'!$D$27:$AH$266,'Jun'!$D$27:$AH$266,'Jul'!$D$27:$AH$266,'Aug'!$D$27:$AH$266,'Sep'!$D$27:$AH$266,'Oct'!$D$27:$AH$266,'Nov'!$D$27:$AH$266,'Dec'!$D$27:$AH$266,'Jan (next year)'!$D$27:$AH$266),56,DAY($A$5))&amp;"")</f>
        <v/>
      </c>
    </row>
    <row r="25" hidden="1">
      <c r="A25" s="38">
        <f>IF(Roster!$B$20="","",Roster!$B$20)</f>
        <v/>
      </c>
      <c r="B25" s="39">
        <f>IF(Roster!$C$20="","",Roster!$C$20)</f>
        <v/>
      </c>
      <c r="C25" s="40">
        <f>IF(Roster!$C$20="","",Roster!$F$20&amp;IF(OR(Roster!$G$20="SANS",Roster!$G$20="NSMEN")," | "&amp;Roster!$G$20,""))</f>
        <v/>
      </c>
      <c r="D25" s="81">
        <f>IF(OR($B25="",NOT(AND($A$5&gt;=DATE(PlanYear,1,1),$A$5&lt;=DATE(PlanYear+1,1,31)))),"",INDEX(CHOOSE(IF(YEAR($A$5)&gt;PlanYear,13,MONTH($A$5)),'Jan'!$D$27:$AH$266,'Feb'!$D$27:$AH$266,'Mar'!$D$27:$AH$266,'Apr'!$D$27:$AH$266,'May'!$D$27:$AH$266,'Jun'!$D$27:$AH$266,'Jul'!$D$27:$AH$266,'Aug'!$D$27:$AH$266,'Sep'!$D$27:$AH$266,'Oct'!$D$27:$AH$266,'Nov'!$D$27:$AH$266,'Dec'!$D$27:$AH$266,'Jan (next year)'!$D$27:$AH$266),57,DAY($A$5))&amp;"")</f>
        <v/>
      </c>
      <c r="E25" s="81">
        <f>IF(OR($B25="",NOT(AND($A$5&gt;=DATE(PlanYear,1,1),$A$5&lt;=DATE(PlanYear+1,1,31)))),"",INDEX(CHOOSE(IF(YEAR($A$5)&gt;PlanYear,13,MONTH($A$5)),'Jan'!$D$27:$AH$266,'Feb'!$D$27:$AH$266,'Mar'!$D$27:$AH$266,'Apr'!$D$27:$AH$266,'May'!$D$27:$AH$266,'Jun'!$D$27:$AH$266,'Jul'!$D$27:$AH$266,'Aug'!$D$27:$AH$266,'Sep'!$D$27:$AH$266,'Oct'!$D$27:$AH$266,'Nov'!$D$27:$AH$266,'Dec'!$D$27:$AH$266,'Jan (next year)'!$D$27:$AH$266),58,DAY($A$5))&amp;"")</f>
        <v/>
      </c>
      <c r="F25" s="81">
        <f>IF(OR($B25="",NOT(AND($A$5&gt;=DATE(PlanYear,1,1),$A$5&lt;=DATE(PlanYear+1,1,31)))),"",INDEX(CHOOSE(IF(YEAR($A$5)&gt;PlanYear,13,MONTH($A$5)),'Jan'!$D$27:$AH$266,'Feb'!$D$27:$AH$266,'Mar'!$D$27:$AH$266,'Apr'!$D$27:$AH$266,'May'!$D$27:$AH$266,'Jun'!$D$27:$AH$266,'Jul'!$D$27:$AH$266,'Aug'!$D$27:$AH$266,'Sep'!$D$27:$AH$266,'Oct'!$D$27:$AH$266,'Nov'!$D$27:$AH$266,'Dec'!$D$27:$AH$266,'Jan (next year)'!$D$27:$AH$266),59,DAY($A$5))&amp;"")</f>
        <v/>
      </c>
      <c r="G25" s="81">
        <f>IF(OR($B25="",NOT(AND($A$5&gt;=DATE(PlanYear,1,1),$A$5&lt;=DATE(PlanYear+1,1,31)))),"",INDEX(CHOOSE(IF(YEAR($A$5)&gt;PlanYear,13,MONTH($A$5)),'Jan'!$D$27:$AH$266,'Feb'!$D$27:$AH$266,'Mar'!$D$27:$AH$266,'Apr'!$D$27:$AH$266,'May'!$D$27:$AH$266,'Jun'!$D$27:$AH$266,'Jul'!$D$27:$AH$266,'Aug'!$D$27:$AH$266,'Sep'!$D$27:$AH$266,'Oct'!$D$27:$AH$266,'Nov'!$D$27:$AH$266,'Dec'!$D$27:$AH$266,'Jan (next year)'!$D$27:$AH$266),60,DAY($A$5))&amp;"")</f>
        <v/>
      </c>
    </row>
    <row r="26" hidden="1">
      <c r="A26" s="38">
        <f>IF(Roster!$B$21="","",Roster!$B$21)</f>
        <v/>
      </c>
      <c r="B26" s="39">
        <f>IF(Roster!$C$21="","",Roster!$C$21)</f>
        <v/>
      </c>
      <c r="C26" s="40">
        <f>IF(Roster!$C$21="","",Roster!$F$21&amp;IF(OR(Roster!$G$21="SANS",Roster!$G$21="NSMEN")," | "&amp;Roster!$G$21,""))</f>
        <v/>
      </c>
      <c r="D26" s="81">
        <f>IF(OR($B26="",NOT(AND($A$5&gt;=DATE(PlanYear,1,1),$A$5&lt;=DATE(PlanYear+1,1,31)))),"",INDEX(CHOOSE(IF(YEAR($A$5)&gt;PlanYear,13,MONTH($A$5)),'Jan'!$D$27:$AH$266,'Feb'!$D$27:$AH$266,'Mar'!$D$27:$AH$266,'Apr'!$D$27:$AH$266,'May'!$D$27:$AH$266,'Jun'!$D$27:$AH$266,'Jul'!$D$27:$AH$266,'Aug'!$D$27:$AH$266,'Sep'!$D$27:$AH$266,'Oct'!$D$27:$AH$266,'Nov'!$D$27:$AH$266,'Dec'!$D$27:$AH$266,'Jan (next year)'!$D$27:$AH$266),61,DAY($A$5))&amp;"")</f>
        <v/>
      </c>
      <c r="E26" s="81">
        <f>IF(OR($B26="",NOT(AND($A$5&gt;=DATE(PlanYear,1,1),$A$5&lt;=DATE(PlanYear+1,1,31)))),"",INDEX(CHOOSE(IF(YEAR($A$5)&gt;PlanYear,13,MONTH($A$5)),'Jan'!$D$27:$AH$266,'Feb'!$D$27:$AH$266,'Mar'!$D$27:$AH$266,'Apr'!$D$27:$AH$266,'May'!$D$27:$AH$266,'Jun'!$D$27:$AH$266,'Jul'!$D$27:$AH$266,'Aug'!$D$27:$AH$266,'Sep'!$D$27:$AH$266,'Oct'!$D$27:$AH$266,'Nov'!$D$27:$AH$266,'Dec'!$D$27:$AH$266,'Jan (next year)'!$D$27:$AH$266),62,DAY($A$5))&amp;"")</f>
        <v/>
      </c>
      <c r="F26" s="81">
        <f>IF(OR($B26="",NOT(AND($A$5&gt;=DATE(PlanYear,1,1),$A$5&lt;=DATE(PlanYear+1,1,31)))),"",INDEX(CHOOSE(IF(YEAR($A$5)&gt;PlanYear,13,MONTH($A$5)),'Jan'!$D$27:$AH$266,'Feb'!$D$27:$AH$266,'Mar'!$D$27:$AH$266,'Apr'!$D$27:$AH$266,'May'!$D$27:$AH$266,'Jun'!$D$27:$AH$266,'Jul'!$D$27:$AH$266,'Aug'!$D$27:$AH$266,'Sep'!$D$27:$AH$266,'Oct'!$D$27:$AH$266,'Nov'!$D$27:$AH$266,'Dec'!$D$27:$AH$266,'Jan (next year)'!$D$27:$AH$266),63,DAY($A$5))&amp;"")</f>
        <v/>
      </c>
      <c r="G26" s="81">
        <f>IF(OR($B26="",NOT(AND($A$5&gt;=DATE(PlanYear,1,1),$A$5&lt;=DATE(PlanYear+1,1,31)))),"",INDEX(CHOOSE(IF(YEAR($A$5)&gt;PlanYear,13,MONTH($A$5)),'Jan'!$D$27:$AH$266,'Feb'!$D$27:$AH$266,'Mar'!$D$27:$AH$266,'Apr'!$D$27:$AH$266,'May'!$D$27:$AH$266,'Jun'!$D$27:$AH$266,'Jul'!$D$27:$AH$266,'Aug'!$D$27:$AH$266,'Sep'!$D$27:$AH$266,'Oct'!$D$27:$AH$266,'Nov'!$D$27:$AH$266,'Dec'!$D$27:$AH$266,'Jan (next year)'!$D$27:$AH$266),64,DAY($A$5))&amp;"")</f>
        <v/>
      </c>
    </row>
    <row r="27" hidden="1">
      <c r="A27" s="38">
        <f>IF(Roster!$B$22="","",Roster!$B$22)</f>
        <v/>
      </c>
      <c r="B27" s="39">
        <f>IF(Roster!$C$22="","",Roster!$C$22)</f>
        <v/>
      </c>
      <c r="C27" s="40">
        <f>IF(Roster!$C$22="","",Roster!$F$22&amp;IF(OR(Roster!$G$22="SANS",Roster!$G$22="NSMEN")," | "&amp;Roster!$G$22,""))</f>
        <v/>
      </c>
      <c r="D27" s="81">
        <f>IF(OR($B27="",NOT(AND($A$5&gt;=DATE(PlanYear,1,1),$A$5&lt;=DATE(PlanYear+1,1,31)))),"",INDEX(CHOOSE(IF(YEAR($A$5)&gt;PlanYear,13,MONTH($A$5)),'Jan'!$D$27:$AH$266,'Feb'!$D$27:$AH$266,'Mar'!$D$27:$AH$266,'Apr'!$D$27:$AH$266,'May'!$D$27:$AH$266,'Jun'!$D$27:$AH$266,'Jul'!$D$27:$AH$266,'Aug'!$D$27:$AH$266,'Sep'!$D$27:$AH$266,'Oct'!$D$27:$AH$266,'Nov'!$D$27:$AH$266,'Dec'!$D$27:$AH$266,'Jan (next year)'!$D$27:$AH$266),65,DAY($A$5))&amp;"")</f>
        <v/>
      </c>
      <c r="E27" s="81">
        <f>IF(OR($B27="",NOT(AND($A$5&gt;=DATE(PlanYear,1,1),$A$5&lt;=DATE(PlanYear+1,1,31)))),"",INDEX(CHOOSE(IF(YEAR($A$5)&gt;PlanYear,13,MONTH($A$5)),'Jan'!$D$27:$AH$266,'Feb'!$D$27:$AH$266,'Mar'!$D$27:$AH$266,'Apr'!$D$27:$AH$266,'May'!$D$27:$AH$266,'Jun'!$D$27:$AH$266,'Jul'!$D$27:$AH$266,'Aug'!$D$27:$AH$266,'Sep'!$D$27:$AH$266,'Oct'!$D$27:$AH$266,'Nov'!$D$27:$AH$266,'Dec'!$D$27:$AH$266,'Jan (next year)'!$D$27:$AH$266),66,DAY($A$5))&amp;"")</f>
        <v/>
      </c>
      <c r="F27" s="81">
        <f>IF(OR($B27="",NOT(AND($A$5&gt;=DATE(PlanYear,1,1),$A$5&lt;=DATE(PlanYear+1,1,31)))),"",INDEX(CHOOSE(IF(YEAR($A$5)&gt;PlanYear,13,MONTH($A$5)),'Jan'!$D$27:$AH$266,'Feb'!$D$27:$AH$266,'Mar'!$D$27:$AH$266,'Apr'!$D$27:$AH$266,'May'!$D$27:$AH$266,'Jun'!$D$27:$AH$266,'Jul'!$D$27:$AH$266,'Aug'!$D$27:$AH$266,'Sep'!$D$27:$AH$266,'Oct'!$D$27:$AH$266,'Nov'!$D$27:$AH$266,'Dec'!$D$27:$AH$266,'Jan (next year)'!$D$27:$AH$266),67,DAY($A$5))&amp;"")</f>
        <v/>
      </c>
      <c r="G27" s="81">
        <f>IF(OR($B27="",NOT(AND($A$5&gt;=DATE(PlanYear,1,1),$A$5&lt;=DATE(PlanYear+1,1,31)))),"",INDEX(CHOOSE(IF(YEAR($A$5)&gt;PlanYear,13,MONTH($A$5)),'Jan'!$D$27:$AH$266,'Feb'!$D$27:$AH$266,'Mar'!$D$27:$AH$266,'Apr'!$D$27:$AH$266,'May'!$D$27:$AH$266,'Jun'!$D$27:$AH$266,'Jul'!$D$27:$AH$266,'Aug'!$D$27:$AH$266,'Sep'!$D$27:$AH$266,'Oct'!$D$27:$AH$266,'Nov'!$D$27:$AH$266,'Dec'!$D$27:$AH$266,'Jan (next year)'!$D$27:$AH$266),68,DAY($A$5))&amp;"")</f>
        <v/>
      </c>
    </row>
    <row r="28" hidden="1">
      <c r="A28" s="38">
        <f>IF(Roster!$B$23="","",Roster!$B$23)</f>
        <v/>
      </c>
      <c r="B28" s="39">
        <f>IF(Roster!$C$23="","",Roster!$C$23)</f>
        <v/>
      </c>
      <c r="C28" s="40">
        <f>IF(Roster!$C$23="","",Roster!$F$23&amp;IF(OR(Roster!$G$23="SANS",Roster!$G$23="NSMEN")," | "&amp;Roster!$G$23,""))</f>
        <v/>
      </c>
      <c r="D28" s="81">
        <f>IF(OR($B28="",NOT(AND($A$5&gt;=DATE(PlanYear,1,1),$A$5&lt;=DATE(PlanYear+1,1,31)))),"",INDEX(CHOOSE(IF(YEAR($A$5)&gt;PlanYear,13,MONTH($A$5)),'Jan'!$D$27:$AH$266,'Feb'!$D$27:$AH$266,'Mar'!$D$27:$AH$266,'Apr'!$D$27:$AH$266,'May'!$D$27:$AH$266,'Jun'!$D$27:$AH$266,'Jul'!$D$27:$AH$266,'Aug'!$D$27:$AH$266,'Sep'!$D$27:$AH$266,'Oct'!$D$27:$AH$266,'Nov'!$D$27:$AH$266,'Dec'!$D$27:$AH$266,'Jan (next year)'!$D$27:$AH$266),69,DAY($A$5))&amp;"")</f>
        <v/>
      </c>
      <c r="E28" s="81">
        <f>IF(OR($B28="",NOT(AND($A$5&gt;=DATE(PlanYear,1,1),$A$5&lt;=DATE(PlanYear+1,1,31)))),"",INDEX(CHOOSE(IF(YEAR($A$5)&gt;PlanYear,13,MONTH($A$5)),'Jan'!$D$27:$AH$266,'Feb'!$D$27:$AH$266,'Mar'!$D$27:$AH$266,'Apr'!$D$27:$AH$266,'May'!$D$27:$AH$266,'Jun'!$D$27:$AH$266,'Jul'!$D$27:$AH$266,'Aug'!$D$27:$AH$266,'Sep'!$D$27:$AH$266,'Oct'!$D$27:$AH$266,'Nov'!$D$27:$AH$266,'Dec'!$D$27:$AH$266,'Jan (next year)'!$D$27:$AH$266),70,DAY($A$5))&amp;"")</f>
        <v/>
      </c>
      <c r="F28" s="81">
        <f>IF(OR($B28="",NOT(AND($A$5&gt;=DATE(PlanYear,1,1),$A$5&lt;=DATE(PlanYear+1,1,31)))),"",INDEX(CHOOSE(IF(YEAR($A$5)&gt;PlanYear,13,MONTH($A$5)),'Jan'!$D$27:$AH$266,'Feb'!$D$27:$AH$266,'Mar'!$D$27:$AH$266,'Apr'!$D$27:$AH$266,'May'!$D$27:$AH$266,'Jun'!$D$27:$AH$266,'Jul'!$D$27:$AH$266,'Aug'!$D$27:$AH$266,'Sep'!$D$27:$AH$266,'Oct'!$D$27:$AH$266,'Nov'!$D$27:$AH$266,'Dec'!$D$27:$AH$266,'Jan (next year)'!$D$27:$AH$266),71,DAY($A$5))&amp;"")</f>
        <v/>
      </c>
      <c r="G28" s="81">
        <f>IF(OR($B28="",NOT(AND($A$5&gt;=DATE(PlanYear,1,1),$A$5&lt;=DATE(PlanYear+1,1,31)))),"",INDEX(CHOOSE(IF(YEAR($A$5)&gt;PlanYear,13,MONTH($A$5)),'Jan'!$D$27:$AH$266,'Feb'!$D$27:$AH$266,'Mar'!$D$27:$AH$266,'Apr'!$D$27:$AH$266,'May'!$D$27:$AH$266,'Jun'!$D$27:$AH$266,'Jul'!$D$27:$AH$266,'Aug'!$D$27:$AH$266,'Sep'!$D$27:$AH$266,'Oct'!$D$27:$AH$266,'Nov'!$D$27:$AH$266,'Dec'!$D$27:$AH$266,'Jan (next year)'!$D$27:$AH$266),72,DAY($A$5))&amp;"")</f>
        <v/>
      </c>
    </row>
    <row r="29" hidden="1">
      <c r="A29" s="38">
        <f>IF(Roster!$B$24="","",Roster!$B$24)</f>
        <v/>
      </c>
      <c r="B29" s="39">
        <f>IF(Roster!$C$24="","",Roster!$C$24)</f>
        <v/>
      </c>
      <c r="C29" s="40">
        <f>IF(Roster!$C$24="","",Roster!$F$24&amp;IF(OR(Roster!$G$24="SANS",Roster!$G$24="NSMEN")," | "&amp;Roster!$G$24,""))</f>
        <v/>
      </c>
      <c r="D29" s="81">
        <f>IF(OR($B29="",NOT(AND($A$5&gt;=DATE(PlanYear,1,1),$A$5&lt;=DATE(PlanYear+1,1,31)))),"",INDEX(CHOOSE(IF(YEAR($A$5)&gt;PlanYear,13,MONTH($A$5)),'Jan'!$D$27:$AH$266,'Feb'!$D$27:$AH$266,'Mar'!$D$27:$AH$266,'Apr'!$D$27:$AH$266,'May'!$D$27:$AH$266,'Jun'!$D$27:$AH$266,'Jul'!$D$27:$AH$266,'Aug'!$D$27:$AH$266,'Sep'!$D$27:$AH$266,'Oct'!$D$27:$AH$266,'Nov'!$D$27:$AH$266,'Dec'!$D$27:$AH$266,'Jan (next year)'!$D$27:$AH$266),73,DAY($A$5))&amp;"")</f>
        <v/>
      </c>
      <c r="E29" s="81">
        <f>IF(OR($B29="",NOT(AND($A$5&gt;=DATE(PlanYear,1,1),$A$5&lt;=DATE(PlanYear+1,1,31)))),"",INDEX(CHOOSE(IF(YEAR($A$5)&gt;PlanYear,13,MONTH($A$5)),'Jan'!$D$27:$AH$266,'Feb'!$D$27:$AH$266,'Mar'!$D$27:$AH$266,'Apr'!$D$27:$AH$266,'May'!$D$27:$AH$266,'Jun'!$D$27:$AH$266,'Jul'!$D$27:$AH$266,'Aug'!$D$27:$AH$266,'Sep'!$D$27:$AH$266,'Oct'!$D$27:$AH$266,'Nov'!$D$27:$AH$266,'Dec'!$D$27:$AH$266,'Jan (next year)'!$D$27:$AH$266),74,DAY($A$5))&amp;"")</f>
        <v/>
      </c>
      <c r="F29" s="81">
        <f>IF(OR($B29="",NOT(AND($A$5&gt;=DATE(PlanYear,1,1),$A$5&lt;=DATE(PlanYear+1,1,31)))),"",INDEX(CHOOSE(IF(YEAR($A$5)&gt;PlanYear,13,MONTH($A$5)),'Jan'!$D$27:$AH$266,'Feb'!$D$27:$AH$266,'Mar'!$D$27:$AH$266,'Apr'!$D$27:$AH$266,'May'!$D$27:$AH$266,'Jun'!$D$27:$AH$266,'Jul'!$D$27:$AH$266,'Aug'!$D$27:$AH$266,'Sep'!$D$27:$AH$266,'Oct'!$D$27:$AH$266,'Nov'!$D$27:$AH$266,'Dec'!$D$27:$AH$266,'Jan (next year)'!$D$27:$AH$266),75,DAY($A$5))&amp;"")</f>
        <v/>
      </c>
      <c r="G29" s="81">
        <f>IF(OR($B29="",NOT(AND($A$5&gt;=DATE(PlanYear,1,1),$A$5&lt;=DATE(PlanYear+1,1,31)))),"",INDEX(CHOOSE(IF(YEAR($A$5)&gt;PlanYear,13,MONTH($A$5)),'Jan'!$D$27:$AH$266,'Feb'!$D$27:$AH$266,'Mar'!$D$27:$AH$266,'Apr'!$D$27:$AH$266,'May'!$D$27:$AH$266,'Jun'!$D$27:$AH$266,'Jul'!$D$27:$AH$266,'Aug'!$D$27:$AH$266,'Sep'!$D$27:$AH$266,'Oct'!$D$27:$AH$266,'Nov'!$D$27:$AH$266,'Dec'!$D$27:$AH$266,'Jan (next year)'!$D$27:$AH$266),76,DAY($A$5))&amp;"")</f>
        <v/>
      </c>
    </row>
    <row r="30" hidden="1">
      <c r="A30" s="38">
        <f>IF(Roster!$B$25="","",Roster!$B$25)</f>
        <v/>
      </c>
      <c r="B30" s="39">
        <f>IF(Roster!$C$25="","",Roster!$C$25)</f>
        <v/>
      </c>
      <c r="C30" s="40">
        <f>IF(Roster!$C$25="","",Roster!$F$25&amp;IF(OR(Roster!$G$25="SANS",Roster!$G$25="NSMEN")," | "&amp;Roster!$G$25,""))</f>
        <v/>
      </c>
      <c r="D30" s="81">
        <f>IF(OR($B30="",NOT(AND($A$5&gt;=DATE(PlanYear,1,1),$A$5&lt;=DATE(PlanYear+1,1,31)))),"",INDEX(CHOOSE(IF(YEAR($A$5)&gt;PlanYear,13,MONTH($A$5)),'Jan'!$D$27:$AH$266,'Feb'!$D$27:$AH$266,'Mar'!$D$27:$AH$266,'Apr'!$D$27:$AH$266,'May'!$D$27:$AH$266,'Jun'!$D$27:$AH$266,'Jul'!$D$27:$AH$266,'Aug'!$D$27:$AH$266,'Sep'!$D$27:$AH$266,'Oct'!$D$27:$AH$266,'Nov'!$D$27:$AH$266,'Dec'!$D$27:$AH$266,'Jan (next year)'!$D$27:$AH$266),77,DAY($A$5))&amp;"")</f>
        <v/>
      </c>
      <c r="E30" s="81">
        <f>IF(OR($B30="",NOT(AND($A$5&gt;=DATE(PlanYear,1,1),$A$5&lt;=DATE(PlanYear+1,1,31)))),"",INDEX(CHOOSE(IF(YEAR($A$5)&gt;PlanYear,13,MONTH($A$5)),'Jan'!$D$27:$AH$266,'Feb'!$D$27:$AH$266,'Mar'!$D$27:$AH$266,'Apr'!$D$27:$AH$266,'May'!$D$27:$AH$266,'Jun'!$D$27:$AH$266,'Jul'!$D$27:$AH$266,'Aug'!$D$27:$AH$266,'Sep'!$D$27:$AH$266,'Oct'!$D$27:$AH$266,'Nov'!$D$27:$AH$266,'Dec'!$D$27:$AH$266,'Jan (next year)'!$D$27:$AH$266),78,DAY($A$5))&amp;"")</f>
        <v/>
      </c>
      <c r="F30" s="81">
        <f>IF(OR($B30="",NOT(AND($A$5&gt;=DATE(PlanYear,1,1),$A$5&lt;=DATE(PlanYear+1,1,31)))),"",INDEX(CHOOSE(IF(YEAR($A$5)&gt;PlanYear,13,MONTH($A$5)),'Jan'!$D$27:$AH$266,'Feb'!$D$27:$AH$266,'Mar'!$D$27:$AH$266,'Apr'!$D$27:$AH$266,'May'!$D$27:$AH$266,'Jun'!$D$27:$AH$266,'Jul'!$D$27:$AH$266,'Aug'!$D$27:$AH$266,'Sep'!$D$27:$AH$266,'Oct'!$D$27:$AH$266,'Nov'!$D$27:$AH$266,'Dec'!$D$27:$AH$266,'Jan (next year)'!$D$27:$AH$266),79,DAY($A$5))&amp;"")</f>
        <v/>
      </c>
      <c r="G30" s="81">
        <f>IF(OR($B30="",NOT(AND($A$5&gt;=DATE(PlanYear,1,1),$A$5&lt;=DATE(PlanYear+1,1,31)))),"",INDEX(CHOOSE(IF(YEAR($A$5)&gt;PlanYear,13,MONTH($A$5)),'Jan'!$D$27:$AH$266,'Feb'!$D$27:$AH$266,'Mar'!$D$27:$AH$266,'Apr'!$D$27:$AH$266,'May'!$D$27:$AH$266,'Jun'!$D$27:$AH$266,'Jul'!$D$27:$AH$266,'Aug'!$D$27:$AH$266,'Sep'!$D$27:$AH$266,'Oct'!$D$27:$AH$266,'Nov'!$D$27:$AH$266,'Dec'!$D$27:$AH$266,'Jan (next year)'!$D$27:$AH$266),80,DAY($A$5))&amp;"")</f>
        <v/>
      </c>
    </row>
    <row r="31" hidden="1">
      <c r="A31" s="38">
        <f>IF(Roster!$B$26="","",Roster!$B$26)</f>
        <v/>
      </c>
      <c r="B31" s="39">
        <f>IF(Roster!$C$26="","",Roster!$C$26)</f>
        <v/>
      </c>
      <c r="C31" s="40">
        <f>IF(Roster!$C$26="","",Roster!$F$26&amp;IF(OR(Roster!$G$26="SANS",Roster!$G$26="NSMEN")," | "&amp;Roster!$G$26,""))</f>
        <v/>
      </c>
      <c r="D31" s="81">
        <f>IF(OR($B31="",NOT(AND($A$5&gt;=DATE(PlanYear,1,1),$A$5&lt;=DATE(PlanYear+1,1,31)))),"",INDEX(CHOOSE(IF(YEAR($A$5)&gt;PlanYear,13,MONTH($A$5)),'Jan'!$D$27:$AH$266,'Feb'!$D$27:$AH$266,'Mar'!$D$27:$AH$266,'Apr'!$D$27:$AH$266,'May'!$D$27:$AH$266,'Jun'!$D$27:$AH$266,'Jul'!$D$27:$AH$266,'Aug'!$D$27:$AH$266,'Sep'!$D$27:$AH$266,'Oct'!$D$27:$AH$266,'Nov'!$D$27:$AH$266,'Dec'!$D$27:$AH$266,'Jan (next year)'!$D$27:$AH$266),81,DAY($A$5))&amp;"")</f>
        <v/>
      </c>
      <c r="E31" s="81">
        <f>IF(OR($B31="",NOT(AND($A$5&gt;=DATE(PlanYear,1,1),$A$5&lt;=DATE(PlanYear+1,1,31)))),"",INDEX(CHOOSE(IF(YEAR($A$5)&gt;PlanYear,13,MONTH($A$5)),'Jan'!$D$27:$AH$266,'Feb'!$D$27:$AH$266,'Mar'!$D$27:$AH$266,'Apr'!$D$27:$AH$266,'May'!$D$27:$AH$266,'Jun'!$D$27:$AH$266,'Jul'!$D$27:$AH$266,'Aug'!$D$27:$AH$266,'Sep'!$D$27:$AH$266,'Oct'!$D$27:$AH$266,'Nov'!$D$27:$AH$266,'Dec'!$D$27:$AH$266,'Jan (next year)'!$D$27:$AH$266),82,DAY($A$5))&amp;"")</f>
        <v/>
      </c>
      <c r="F31" s="81">
        <f>IF(OR($B31="",NOT(AND($A$5&gt;=DATE(PlanYear,1,1),$A$5&lt;=DATE(PlanYear+1,1,31)))),"",INDEX(CHOOSE(IF(YEAR($A$5)&gt;PlanYear,13,MONTH($A$5)),'Jan'!$D$27:$AH$266,'Feb'!$D$27:$AH$266,'Mar'!$D$27:$AH$266,'Apr'!$D$27:$AH$266,'May'!$D$27:$AH$266,'Jun'!$D$27:$AH$266,'Jul'!$D$27:$AH$266,'Aug'!$D$27:$AH$266,'Sep'!$D$27:$AH$266,'Oct'!$D$27:$AH$266,'Nov'!$D$27:$AH$266,'Dec'!$D$27:$AH$266,'Jan (next year)'!$D$27:$AH$266),83,DAY($A$5))&amp;"")</f>
        <v/>
      </c>
      <c r="G31" s="81">
        <f>IF(OR($B31="",NOT(AND($A$5&gt;=DATE(PlanYear,1,1),$A$5&lt;=DATE(PlanYear+1,1,31)))),"",INDEX(CHOOSE(IF(YEAR($A$5)&gt;PlanYear,13,MONTH($A$5)),'Jan'!$D$27:$AH$266,'Feb'!$D$27:$AH$266,'Mar'!$D$27:$AH$266,'Apr'!$D$27:$AH$266,'May'!$D$27:$AH$266,'Jun'!$D$27:$AH$266,'Jul'!$D$27:$AH$266,'Aug'!$D$27:$AH$266,'Sep'!$D$27:$AH$266,'Oct'!$D$27:$AH$266,'Nov'!$D$27:$AH$266,'Dec'!$D$27:$AH$266,'Jan (next year)'!$D$27:$AH$266),84,DAY($A$5))&amp;"")</f>
        <v/>
      </c>
    </row>
    <row r="32" hidden="1">
      <c r="A32" s="38">
        <f>IF(Roster!$B$27="","",Roster!$B$27)</f>
        <v/>
      </c>
      <c r="B32" s="39">
        <f>IF(Roster!$C$27="","",Roster!$C$27)</f>
        <v/>
      </c>
      <c r="C32" s="40">
        <f>IF(Roster!$C$27="","",Roster!$F$27&amp;IF(OR(Roster!$G$27="SANS",Roster!$G$27="NSMEN")," | "&amp;Roster!$G$27,""))</f>
        <v/>
      </c>
      <c r="D32" s="81">
        <f>IF(OR($B32="",NOT(AND($A$5&gt;=DATE(PlanYear,1,1),$A$5&lt;=DATE(PlanYear+1,1,31)))),"",INDEX(CHOOSE(IF(YEAR($A$5)&gt;PlanYear,13,MONTH($A$5)),'Jan'!$D$27:$AH$266,'Feb'!$D$27:$AH$266,'Mar'!$D$27:$AH$266,'Apr'!$D$27:$AH$266,'May'!$D$27:$AH$266,'Jun'!$D$27:$AH$266,'Jul'!$D$27:$AH$266,'Aug'!$D$27:$AH$266,'Sep'!$D$27:$AH$266,'Oct'!$D$27:$AH$266,'Nov'!$D$27:$AH$266,'Dec'!$D$27:$AH$266,'Jan (next year)'!$D$27:$AH$266),85,DAY($A$5))&amp;"")</f>
        <v/>
      </c>
      <c r="E32" s="81">
        <f>IF(OR($B32="",NOT(AND($A$5&gt;=DATE(PlanYear,1,1),$A$5&lt;=DATE(PlanYear+1,1,31)))),"",INDEX(CHOOSE(IF(YEAR($A$5)&gt;PlanYear,13,MONTH($A$5)),'Jan'!$D$27:$AH$266,'Feb'!$D$27:$AH$266,'Mar'!$D$27:$AH$266,'Apr'!$D$27:$AH$266,'May'!$D$27:$AH$266,'Jun'!$D$27:$AH$266,'Jul'!$D$27:$AH$266,'Aug'!$D$27:$AH$266,'Sep'!$D$27:$AH$266,'Oct'!$D$27:$AH$266,'Nov'!$D$27:$AH$266,'Dec'!$D$27:$AH$266,'Jan (next year)'!$D$27:$AH$266),86,DAY($A$5))&amp;"")</f>
        <v/>
      </c>
      <c r="F32" s="81">
        <f>IF(OR($B32="",NOT(AND($A$5&gt;=DATE(PlanYear,1,1),$A$5&lt;=DATE(PlanYear+1,1,31)))),"",INDEX(CHOOSE(IF(YEAR($A$5)&gt;PlanYear,13,MONTH($A$5)),'Jan'!$D$27:$AH$266,'Feb'!$D$27:$AH$266,'Mar'!$D$27:$AH$266,'Apr'!$D$27:$AH$266,'May'!$D$27:$AH$266,'Jun'!$D$27:$AH$266,'Jul'!$D$27:$AH$266,'Aug'!$D$27:$AH$266,'Sep'!$D$27:$AH$266,'Oct'!$D$27:$AH$266,'Nov'!$D$27:$AH$266,'Dec'!$D$27:$AH$266,'Jan (next year)'!$D$27:$AH$266),87,DAY($A$5))&amp;"")</f>
        <v/>
      </c>
      <c r="G32" s="81">
        <f>IF(OR($B32="",NOT(AND($A$5&gt;=DATE(PlanYear,1,1),$A$5&lt;=DATE(PlanYear+1,1,31)))),"",INDEX(CHOOSE(IF(YEAR($A$5)&gt;PlanYear,13,MONTH($A$5)),'Jan'!$D$27:$AH$266,'Feb'!$D$27:$AH$266,'Mar'!$D$27:$AH$266,'Apr'!$D$27:$AH$266,'May'!$D$27:$AH$266,'Jun'!$D$27:$AH$266,'Jul'!$D$27:$AH$266,'Aug'!$D$27:$AH$266,'Sep'!$D$27:$AH$266,'Oct'!$D$27:$AH$266,'Nov'!$D$27:$AH$266,'Dec'!$D$27:$AH$266,'Jan (next year)'!$D$27:$AH$266),88,DAY($A$5))&amp;"")</f>
        <v/>
      </c>
    </row>
    <row r="33" hidden="1">
      <c r="A33" s="38">
        <f>IF(Roster!$B$28="","",Roster!$B$28)</f>
        <v/>
      </c>
      <c r="B33" s="39">
        <f>IF(Roster!$C$28="","",Roster!$C$28)</f>
        <v/>
      </c>
      <c r="C33" s="40">
        <f>IF(Roster!$C$28="","",Roster!$F$28&amp;IF(OR(Roster!$G$28="SANS",Roster!$G$28="NSMEN")," | "&amp;Roster!$G$28,""))</f>
        <v/>
      </c>
      <c r="D33" s="81">
        <f>IF(OR($B33="",NOT(AND($A$5&gt;=DATE(PlanYear,1,1),$A$5&lt;=DATE(PlanYear+1,1,31)))),"",INDEX(CHOOSE(IF(YEAR($A$5)&gt;PlanYear,13,MONTH($A$5)),'Jan'!$D$27:$AH$266,'Feb'!$D$27:$AH$266,'Mar'!$D$27:$AH$266,'Apr'!$D$27:$AH$266,'May'!$D$27:$AH$266,'Jun'!$D$27:$AH$266,'Jul'!$D$27:$AH$266,'Aug'!$D$27:$AH$266,'Sep'!$D$27:$AH$266,'Oct'!$D$27:$AH$266,'Nov'!$D$27:$AH$266,'Dec'!$D$27:$AH$266,'Jan (next year)'!$D$27:$AH$266),89,DAY($A$5))&amp;"")</f>
        <v/>
      </c>
      <c r="E33" s="81">
        <f>IF(OR($B33="",NOT(AND($A$5&gt;=DATE(PlanYear,1,1),$A$5&lt;=DATE(PlanYear+1,1,31)))),"",INDEX(CHOOSE(IF(YEAR($A$5)&gt;PlanYear,13,MONTH($A$5)),'Jan'!$D$27:$AH$266,'Feb'!$D$27:$AH$266,'Mar'!$D$27:$AH$266,'Apr'!$D$27:$AH$266,'May'!$D$27:$AH$266,'Jun'!$D$27:$AH$266,'Jul'!$D$27:$AH$266,'Aug'!$D$27:$AH$266,'Sep'!$D$27:$AH$266,'Oct'!$D$27:$AH$266,'Nov'!$D$27:$AH$266,'Dec'!$D$27:$AH$266,'Jan (next year)'!$D$27:$AH$266),90,DAY($A$5))&amp;"")</f>
        <v/>
      </c>
      <c r="F33" s="81">
        <f>IF(OR($B33="",NOT(AND($A$5&gt;=DATE(PlanYear,1,1),$A$5&lt;=DATE(PlanYear+1,1,31)))),"",INDEX(CHOOSE(IF(YEAR($A$5)&gt;PlanYear,13,MONTH($A$5)),'Jan'!$D$27:$AH$266,'Feb'!$D$27:$AH$266,'Mar'!$D$27:$AH$266,'Apr'!$D$27:$AH$266,'May'!$D$27:$AH$266,'Jun'!$D$27:$AH$266,'Jul'!$D$27:$AH$266,'Aug'!$D$27:$AH$266,'Sep'!$D$27:$AH$266,'Oct'!$D$27:$AH$266,'Nov'!$D$27:$AH$266,'Dec'!$D$27:$AH$266,'Jan (next year)'!$D$27:$AH$266),91,DAY($A$5))&amp;"")</f>
        <v/>
      </c>
      <c r="G33" s="81">
        <f>IF(OR($B33="",NOT(AND($A$5&gt;=DATE(PlanYear,1,1),$A$5&lt;=DATE(PlanYear+1,1,31)))),"",INDEX(CHOOSE(IF(YEAR($A$5)&gt;PlanYear,13,MONTH($A$5)),'Jan'!$D$27:$AH$266,'Feb'!$D$27:$AH$266,'Mar'!$D$27:$AH$266,'Apr'!$D$27:$AH$266,'May'!$D$27:$AH$266,'Jun'!$D$27:$AH$266,'Jul'!$D$27:$AH$266,'Aug'!$D$27:$AH$266,'Sep'!$D$27:$AH$266,'Oct'!$D$27:$AH$266,'Nov'!$D$27:$AH$266,'Dec'!$D$27:$AH$266,'Jan (next year)'!$D$27:$AH$266),92,DAY($A$5))&amp;"")</f>
        <v/>
      </c>
    </row>
    <row r="34" hidden="1">
      <c r="A34" s="38">
        <f>IF(Roster!$B$29="","",Roster!$B$29)</f>
        <v/>
      </c>
      <c r="B34" s="39">
        <f>IF(Roster!$C$29="","",Roster!$C$29)</f>
        <v/>
      </c>
      <c r="C34" s="40">
        <f>IF(Roster!$C$29="","",Roster!$F$29&amp;IF(OR(Roster!$G$29="SANS",Roster!$G$29="NSMEN")," | "&amp;Roster!$G$29,""))</f>
        <v/>
      </c>
      <c r="D34" s="81">
        <f>IF(OR($B34="",NOT(AND($A$5&gt;=DATE(PlanYear,1,1),$A$5&lt;=DATE(PlanYear+1,1,31)))),"",INDEX(CHOOSE(IF(YEAR($A$5)&gt;PlanYear,13,MONTH($A$5)),'Jan'!$D$27:$AH$266,'Feb'!$D$27:$AH$266,'Mar'!$D$27:$AH$266,'Apr'!$D$27:$AH$266,'May'!$D$27:$AH$266,'Jun'!$D$27:$AH$266,'Jul'!$D$27:$AH$266,'Aug'!$D$27:$AH$266,'Sep'!$D$27:$AH$266,'Oct'!$D$27:$AH$266,'Nov'!$D$27:$AH$266,'Dec'!$D$27:$AH$266,'Jan (next year)'!$D$27:$AH$266),93,DAY($A$5))&amp;"")</f>
        <v/>
      </c>
      <c r="E34" s="81">
        <f>IF(OR($B34="",NOT(AND($A$5&gt;=DATE(PlanYear,1,1),$A$5&lt;=DATE(PlanYear+1,1,31)))),"",INDEX(CHOOSE(IF(YEAR($A$5)&gt;PlanYear,13,MONTH($A$5)),'Jan'!$D$27:$AH$266,'Feb'!$D$27:$AH$266,'Mar'!$D$27:$AH$266,'Apr'!$D$27:$AH$266,'May'!$D$27:$AH$266,'Jun'!$D$27:$AH$266,'Jul'!$D$27:$AH$266,'Aug'!$D$27:$AH$266,'Sep'!$D$27:$AH$266,'Oct'!$D$27:$AH$266,'Nov'!$D$27:$AH$266,'Dec'!$D$27:$AH$266,'Jan (next year)'!$D$27:$AH$266),94,DAY($A$5))&amp;"")</f>
        <v/>
      </c>
      <c r="F34" s="81">
        <f>IF(OR($B34="",NOT(AND($A$5&gt;=DATE(PlanYear,1,1),$A$5&lt;=DATE(PlanYear+1,1,31)))),"",INDEX(CHOOSE(IF(YEAR($A$5)&gt;PlanYear,13,MONTH($A$5)),'Jan'!$D$27:$AH$266,'Feb'!$D$27:$AH$266,'Mar'!$D$27:$AH$266,'Apr'!$D$27:$AH$266,'May'!$D$27:$AH$266,'Jun'!$D$27:$AH$266,'Jul'!$D$27:$AH$266,'Aug'!$D$27:$AH$266,'Sep'!$D$27:$AH$266,'Oct'!$D$27:$AH$266,'Nov'!$D$27:$AH$266,'Dec'!$D$27:$AH$266,'Jan (next year)'!$D$27:$AH$266),95,DAY($A$5))&amp;"")</f>
        <v/>
      </c>
      <c r="G34" s="81">
        <f>IF(OR($B34="",NOT(AND($A$5&gt;=DATE(PlanYear,1,1),$A$5&lt;=DATE(PlanYear+1,1,31)))),"",INDEX(CHOOSE(IF(YEAR($A$5)&gt;PlanYear,13,MONTH($A$5)),'Jan'!$D$27:$AH$266,'Feb'!$D$27:$AH$266,'Mar'!$D$27:$AH$266,'Apr'!$D$27:$AH$266,'May'!$D$27:$AH$266,'Jun'!$D$27:$AH$266,'Jul'!$D$27:$AH$266,'Aug'!$D$27:$AH$266,'Sep'!$D$27:$AH$266,'Oct'!$D$27:$AH$266,'Nov'!$D$27:$AH$266,'Dec'!$D$27:$AH$266,'Jan (next year)'!$D$27:$AH$266),96,DAY($A$5))&amp;"")</f>
        <v/>
      </c>
    </row>
    <row r="35" hidden="1">
      <c r="A35" s="38">
        <f>IF(Roster!$B$30="","",Roster!$B$30)</f>
        <v/>
      </c>
      <c r="B35" s="39">
        <f>IF(Roster!$C$30="","",Roster!$C$30)</f>
        <v/>
      </c>
      <c r="C35" s="40">
        <f>IF(Roster!$C$30="","",Roster!$F$30&amp;IF(OR(Roster!$G$30="SANS",Roster!$G$30="NSMEN")," | "&amp;Roster!$G$30,""))</f>
        <v/>
      </c>
      <c r="D35" s="81">
        <f>IF(OR($B35="",NOT(AND($A$5&gt;=DATE(PlanYear,1,1),$A$5&lt;=DATE(PlanYear+1,1,31)))),"",INDEX(CHOOSE(IF(YEAR($A$5)&gt;PlanYear,13,MONTH($A$5)),'Jan'!$D$27:$AH$266,'Feb'!$D$27:$AH$266,'Mar'!$D$27:$AH$266,'Apr'!$D$27:$AH$266,'May'!$D$27:$AH$266,'Jun'!$D$27:$AH$266,'Jul'!$D$27:$AH$266,'Aug'!$D$27:$AH$266,'Sep'!$D$27:$AH$266,'Oct'!$D$27:$AH$266,'Nov'!$D$27:$AH$266,'Dec'!$D$27:$AH$266,'Jan (next year)'!$D$27:$AH$266),97,DAY($A$5))&amp;"")</f>
        <v/>
      </c>
      <c r="E35" s="81">
        <f>IF(OR($B35="",NOT(AND($A$5&gt;=DATE(PlanYear,1,1),$A$5&lt;=DATE(PlanYear+1,1,31)))),"",INDEX(CHOOSE(IF(YEAR($A$5)&gt;PlanYear,13,MONTH($A$5)),'Jan'!$D$27:$AH$266,'Feb'!$D$27:$AH$266,'Mar'!$D$27:$AH$266,'Apr'!$D$27:$AH$266,'May'!$D$27:$AH$266,'Jun'!$D$27:$AH$266,'Jul'!$D$27:$AH$266,'Aug'!$D$27:$AH$266,'Sep'!$D$27:$AH$266,'Oct'!$D$27:$AH$266,'Nov'!$D$27:$AH$266,'Dec'!$D$27:$AH$266,'Jan (next year)'!$D$27:$AH$266),98,DAY($A$5))&amp;"")</f>
        <v/>
      </c>
      <c r="F35" s="81">
        <f>IF(OR($B35="",NOT(AND($A$5&gt;=DATE(PlanYear,1,1),$A$5&lt;=DATE(PlanYear+1,1,31)))),"",INDEX(CHOOSE(IF(YEAR($A$5)&gt;PlanYear,13,MONTH($A$5)),'Jan'!$D$27:$AH$266,'Feb'!$D$27:$AH$266,'Mar'!$D$27:$AH$266,'Apr'!$D$27:$AH$266,'May'!$D$27:$AH$266,'Jun'!$D$27:$AH$266,'Jul'!$D$27:$AH$266,'Aug'!$D$27:$AH$266,'Sep'!$D$27:$AH$266,'Oct'!$D$27:$AH$266,'Nov'!$D$27:$AH$266,'Dec'!$D$27:$AH$266,'Jan (next year)'!$D$27:$AH$266),99,DAY($A$5))&amp;"")</f>
        <v/>
      </c>
      <c r="G35" s="81">
        <f>IF(OR($B35="",NOT(AND($A$5&gt;=DATE(PlanYear,1,1),$A$5&lt;=DATE(PlanYear+1,1,31)))),"",INDEX(CHOOSE(IF(YEAR($A$5)&gt;PlanYear,13,MONTH($A$5)),'Jan'!$D$27:$AH$266,'Feb'!$D$27:$AH$266,'Mar'!$D$27:$AH$266,'Apr'!$D$27:$AH$266,'May'!$D$27:$AH$266,'Jun'!$D$27:$AH$266,'Jul'!$D$27:$AH$266,'Aug'!$D$27:$AH$266,'Sep'!$D$27:$AH$266,'Oct'!$D$27:$AH$266,'Nov'!$D$27:$AH$266,'Dec'!$D$27:$AH$266,'Jan (next year)'!$D$27:$AH$266),100,DAY($A$5))&amp;"")</f>
        <v/>
      </c>
    </row>
    <row r="36" hidden="1">
      <c r="A36" s="38">
        <f>IF(Roster!$B$31="","",Roster!$B$31)</f>
        <v/>
      </c>
      <c r="B36" s="39">
        <f>IF(Roster!$C$31="","",Roster!$C$31)</f>
        <v/>
      </c>
      <c r="C36" s="40">
        <f>IF(Roster!$C$31="","",Roster!$F$31&amp;IF(OR(Roster!$G$31="SANS",Roster!$G$31="NSMEN")," | "&amp;Roster!$G$31,""))</f>
        <v/>
      </c>
      <c r="D36" s="81">
        <f>IF(OR($B36="",NOT(AND($A$5&gt;=DATE(PlanYear,1,1),$A$5&lt;=DATE(PlanYear+1,1,31)))),"",INDEX(CHOOSE(IF(YEAR($A$5)&gt;PlanYear,13,MONTH($A$5)),'Jan'!$D$27:$AH$266,'Feb'!$D$27:$AH$266,'Mar'!$D$27:$AH$266,'Apr'!$D$27:$AH$266,'May'!$D$27:$AH$266,'Jun'!$D$27:$AH$266,'Jul'!$D$27:$AH$266,'Aug'!$D$27:$AH$266,'Sep'!$D$27:$AH$266,'Oct'!$D$27:$AH$266,'Nov'!$D$27:$AH$266,'Dec'!$D$27:$AH$266,'Jan (next year)'!$D$27:$AH$266),101,DAY($A$5))&amp;"")</f>
        <v/>
      </c>
      <c r="E36" s="81">
        <f>IF(OR($B36="",NOT(AND($A$5&gt;=DATE(PlanYear,1,1),$A$5&lt;=DATE(PlanYear+1,1,31)))),"",INDEX(CHOOSE(IF(YEAR($A$5)&gt;PlanYear,13,MONTH($A$5)),'Jan'!$D$27:$AH$266,'Feb'!$D$27:$AH$266,'Mar'!$D$27:$AH$266,'Apr'!$D$27:$AH$266,'May'!$D$27:$AH$266,'Jun'!$D$27:$AH$266,'Jul'!$D$27:$AH$266,'Aug'!$D$27:$AH$266,'Sep'!$D$27:$AH$266,'Oct'!$D$27:$AH$266,'Nov'!$D$27:$AH$266,'Dec'!$D$27:$AH$266,'Jan (next year)'!$D$27:$AH$266),102,DAY($A$5))&amp;"")</f>
        <v/>
      </c>
      <c r="F36" s="81">
        <f>IF(OR($B36="",NOT(AND($A$5&gt;=DATE(PlanYear,1,1),$A$5&lt;=DATE(PlanYear+1,1,31)))),"",INDEX(CHOOSE(IF(YEAR($A$5)&gt;PlanYear,13,MONTH($A$5)),'Jan'!$D$27:$AH$266,'Feb'!$D$27:$AH$266,'Mar'!$D$27:$AH$266,'Apr'!$D$27:$AH$266,'May'!$D$27:$AH$266,'Jun'!$D$27:$AH$266,'Jul'!$D$27:$AH$266,'Aug'!$D$27:$AH$266,'Sep'!$D$27:$AH$266,'Oct'!$D$27:$AH$266,'Nov'!$D$27:$AH$266,'Dec'!$D$27:$AH$266,'Jan (next year)'!$D$27:$AH$266),103,DAY($A$5))&amp;"")</f>
        <v/>
      </c>
      <c r="G36" s="81">
        <f>IF(OR($B36="",NOT(AND($A$5&gt;=DATE(PlanYear,1,1),$A$5&lt;=DATE(PlanYear+1,1,31)))),"",INDEX(CHOOSE(IF(YEAR($A$5)&gt;PlanYear,13,MONTH($A$5)),'Jan'!$D$27:$AH$266,'Feb'!$D$27:$AH$266,'Mar'!$D$27:$AH$266,'Apr'!$D$27:$AH$266,'May'!$D$27:$AH$266,'Jun'!$D$27:$AH$266,'Jul'!$D$27:$AH$266,'Aug'!$D$27:$AH$266,'Sep'!$D$27:$AH$266,'Oct'!$D$27:$AH$266,'Nov'!$D$27:$AH$266,'Dec'!$D$27:$AH$266,'Jan (next year)'!$D$27:$AH$266),104,DAY($A$5))&amp;"")</f>
        <v/>
      </c>
    </row>
    <row r="37" hidden="1">
      <c r="A37" s="38">
        <f>IF(Roster!$B$32="","",Roster!$B$32)</f>
        <v/>
      </c>
      <c r="B37" s="39">
        <f>IF(Roster!$C$32="","",Roster!$C$32)</f>
        <v/>
      </c>
      <c r="C37" s="40">
        <f>IF(Roster!$C$32="","",Roster!$F$32&amp;IF(OR(Roster!$G$32="SANS",Roster!$G$32="NSMEN")," | "&amp;Roster!$G$32,""))</f>
        <v/>
      </c>
      <c r="D37" s="81">
        <f>IF(OR($B37="",NOT(AND($A$5&gt;=DATE(PlanYear,1,1),$A$5&lt;=DATE(PlanYear+1,1,31)))),"",INDEX(CHOOSE(IF(YEAR($A$5)&gt;PlanYear,13,MONTH($A$5)),'Jan'!$D$27:$AH$266,'Feb'!$D$27:$AH$266,'Mar'!$D$27:$AH$266,'Apr'!$D$27:$AH$266,'May'!$D$27:$AH$266,'Jun'!$D$27:$AH$266,'Jul'!$D$27:$AH$266,'Aug'!$D$27:$AH$266,'Sep'!$D$27:$AH$266,'Oct'!$D$27:$AH$266,'Nov'!$D$27:$AH$266,'Dec'!$D$27:$AH$266,'Jan (next year)'!$D$27:$AH$266),105,DAY($A$5))&amp;"")</f>
        <v/>
      </c>
      <c r="E37" s="81">
        <f>IF(OR($B37="",NOT(AND($A$5&gt;=DATE(PlanYear,1,1),$A$5&lt;=DATE(PlanYear+1,1,31)))),"",INDEX(CHOOSE(IF(YEAR($A$5)&gt;PlanYear,13,MONTH($A$5)),'Jan'!$D$27:$AH$266,'Feb'!$D$27:$AH$266,'Mar'!$D$27:$AH$266,'Apr'!$D$27:$AH$266,'May'!$D$27:$AH$266,'Jun'!$D$27:$AH$266,'Jul'!$D$27:$AH$266,'Aug'!$D$27:$AH$266,'Sep'!$D$27:$AH$266,'Oct'!$D$27:$AH$266,'Nov'!$D$27:$AH$266,'Dec'!$D$27:$AH$266,'Jan (next year)'!$D$27:$AH$266),106,DAY($A$5))&amp;"")</f>
        <v/>
      </c>
      <c r="F37" s="81">
        <f>IF(OR($B37="",NOT(AND($A$5&gt;=DATE(PlanYear,1,1),$A$5&lt;=DATE(PlanYear+1,1,31)))),"",INDEX(CHOOSE(IF(YEAR($A$5)&gt;PlanYear,13,MONTH($A$5)),'Jan'!$D$27:$AH$266,'Feb'!$D$27:$AH$266,'Mar'!$D$27:$AH$266,'Apr'!$D$27:$AH$266,'May'!$D$27:$AH$266,'Jun'!$D$27:$AH$266,'Jul'!$D$27:$AH$266,'Aug'!$D$27:$AH$266,'Sep'!$D$27:$AH$266,'Oct'!$D$27:$AH$266,'Nov'!$D$27:$AH$266,'Dec'!$D$27:$AH$266,'Jan (next year)'!$D$27:$AH$266),107,DAY($A$5))&amp;"")</f>
        <v/>
      </c>
      <c r="G37" s="81">
        <f>IF(OR($B37="",NOT(AND($A$5&gt;=DATE(PlanYear,1,1),$A$5&lt;=DATE(PlanYear+1,1,31)))),"",INDEX(CHOOSE(IF(YEAR($A$5)&gt;PlanYear,13,MONTH($A$5)),'Jan'!$D$27:$AH$266,'Feb'!$D$27:$AH$266,'Mar'!$D$27:$AH$266,'Apr'!$D$27:$AH$266,'May'!$D$27:$AH$266,'Jun'!$D$27:$AH$266,'Jul'!$D$27:$AH$266,'Aug'!$D$27:$AH$266,'Sep'!$D$27:$AH$266,'Oct'!$D$27:$AH$266,'Nov'!$D$27:$AH$266,'Dec'!$D$27:$AH$266,'Jan (next year)'!$D$27:$AH$266),108,DAY($A$5))&amp;"")</f>
        <v/>
      </c>
    </row>
    <row r="38" hidden="1">
      <c r="A38" s="38">
        <f>IF(Roster!$B$33="","",Roster!$B$33)</f>
        <v/>
      </c>
      <c r="B38" s="39">
        <f>IF(Roster!$C$33="","",Roster!$C$33)</f>
        <v/>
      </c>
      <c r="C38" s="40">
        <f>IF(Roster!$C$33="","",Roster!$F$33&amp;IF(OR(Roster!$G$33="SANS",Roster!$G$33="NSMEN")," | "&amp;Roster!$G$33,""))</f>
        <v/>
      </c>
      <c r="D38" s="81">
        <f>IF(OR($B38="",NOT(AND($A$5&gt;=DATE(PlanYear,1,1),$A$5&lt;=DATE(PlanYear+1,1,31)))),"",INDEX(CHOOSE(IF(YEAR($A$5)&gt;PlanYear,13,MONTH($A$5)),'Jan'!$D$27:$AH$266,'Feb'!$D$27:$AH$266,'Mar'!$D$27:$AH$266,'Apr'!$D$27:$AH$266,'May'!$D$27:$AH$266,'Jun'!$D$27:$AH$266,'Jul'!$D$27:$AH$266,'Aug'!$D$27:$AH$266,'Sep'!$D$27:$AH$266,'Oct'!$D$27:$AH$266,'Nov'!$D$27:$AH$266,'Dec'!$D$27:$AH$266,'Jan (next year)'!$D$27:$AH$266),109,DAY($A$5))&amp;"")</f>
        <v/>
      </c>
      <c r="E38" s="81">
        <f>IF(OR($B38="",NOT(AND($A$5&gt;=DATE(PlanYear,1,1),$A$5&lt;=DATE(PlanYear+1,1,31)))),"",INDEX(CHOOSE(IF(YEAR($A$5)&gt;PlanYear,13,MONTH($A$5)),'Jan'!$D$27:$AH$266,'Feb'!$D$27:$AH$266,'Mar'!$D$27:$AH$266,'Apr'!$D$27:$AH$266,'May'!$D$27:$AH$266,'Jun'!$D$27:$AH$266,'Jul'!$D$27:$AH$266,'Aug'!$D$27:$AH$266,'Sep'!$D$27:$AH$266,'Oct'!$D$27:$AH$266,'Nov'!$D$27:$AH$266,'Dec'!$D$27:$AH$266,'Jan (next year)'!$D$27:$AH$266),110,DAY($A$5))&amp;"")</f>
        <v/>
      </c>
      <c r="F38" s="81">
        <f>IF(OR($B38="",NOT(AND($A$5&gt;=DATE(PlanYear,1,1),$A$5&lt;=DATE(PlanYear+1,1,31)))),"",INDEX(CHOOSE(IF(YEAR($A$5)&gt;PlanYear,13,MONTH($A$5)),'Jan'!$D$27:$AH$266,'Feb'!$D$27:$AH$266,'Mar'!$D$27:$AH$266,'Apr'!$D$27:$AH$266,'May'!$D$27:$AH$266,'Jun'!$D$27:$AH$266,'Jul'!$D$27:$AH$266,'Aug'!$D$27:$AH$266,'Sep'!$D$27:$AH$266,'Oct'!$D$27:$AH$266,'Nov'!$D$27:$AH$266,'Dec'!$D$27:$AH$266,'Jan (next year)'!$D$27:$AH$266),111,DAY($A$5))&amp;"")</f>
        <v/>
      </c>
      <c r="G38" s="81">
        <f>IF(OR($B38="",NOT(AND($A$5&gt;=DATE(PlanYear,1,1),$A$5&lt;=DATE(PlanYear+1,1,31)))),"",INDEX(CHOOSE(IF(YEAR($A$5)&gt;PlanYear,13,MONTH($A$5)),'Jan'!$D$27:$AH$266,'Feb'!$D$27:$AH$266,'Mar'!$D$27:$AH$266,'Apr'!$D$27:$AH$266,'May'!$D$27:$AH$266,'Jun'!$D$27:$AH$266,'Jul'!$D$27:$AH$266,'Aug'!$D$27:$AH$266,'Sep'!$D$27:$AH$266,'Oct'!$D$27:$AH$266,'Nov'!$D$27:$AH$266,'Dec'!$D$27:$AH$266,'Jan (next year)'!$D$27:$AH$266),112,DAY($A$5))&amp;"")</f>
        <v/>
      </c>
    </row>
    <row r="39" hidden="1">
      <c r="A39" s="38">
        <f>IF(Roster!$B$34="","",Roster!$B$34)</f>
        <v/>
      </c>
      <c r="B39" s="39">
        <f>IF(Roster!$C$34="","",Roster!$C$34)</f>
        <v/>
      </c>
      <c r="C39" s="40">
        <f>IF(Roster!$C$34="","",Roster!$F$34&amp;IF(OR(Roster!$G$34="SANS",Roster!$G$34="NSMEN")," | "&amp;Roster!$G$34,""))</f>
        <v/>
      </c>
      <c r="D39" s="81">
        <f>IF(OR($B39="",NOT(AND($A$5&gt;=DATE(PlanYear,1,1),$A$5&lt;=DATE(PlanYear+1,1,31)))),"",INDEX(CHOOSE(IF(YEAR($A$5)&gt;PlanYear,13,MONTH($A$5)),'Jan'!$D$27:$AH$266,'Feb'!$D$27:$AH$266,'Mar'!$D$27:$AH$266,'Apr'!$D$27:$AH$266,'May'!$D$27:$AH$266,'Jun'!$D$27:$AH$266,'Jul'!$D$27:$AH$266,'Aug'!$D$27:$AH$266,'Sep'!$D$27:$AH$266,'Oct'!$D$27:$AH$266,'Nov'!$D$27:$AH$266,'Dec'!$D$27:$AH$266,'Jan (next year)'!$D$27:$AH$266),113,DAY($A$5))&amp;"")</f>
        <v/>
      </c>
      <c r="E39" s="81">
        <f>IF(OR($B39="",NOT(AND($A$5&gt;=DATE(PlanYear,1,1),$A$5&lt;=DATE(PlanYear+1,1,31)))),"",INDEX(CHOOSE(IF(YEAR($A$5)&gt;PlanYear,13,MONTH($A$5)),'Jan'!$D$27:$AH$266,'Feb'!$D$27:$AH$266,'Mar'!$D$27:$AH$266,'Apr'!$D$27:$AH$266,'May'!$D$27:$AH$266,'Jun'!$D$27:$AH$266,'Jul'!$D$27:$AH$266,'Aug'!$D$27:$AH$266,'Sep'!$D$27:$AH$266,'Oct'!$D$27:$AH$266,'Nov'!$D$27:$AH$266,'Dec'!$D$27:$AH$266,'Jan (next year)'!$D$27:$AH$266),114,DAY($A$5))&amp;"")</f>
        <v/>
      </c>
      <c r="F39" s="81">
        <f>IF(OR($B39="",NOT(AND($A$5&gt;=DATE(PlanYear,1,1),$A$5&lt;=DATE(PlanYear+1,1,31)))),"",INDEX(CHOOSE(IF(YEAR($A$5)&gt;PlanYear,13,MONTH($A$5)),'Jan'!$D$27:$AH$266,'Feb'!$D$27:$AH$266,'Mar'!$D$27:$AH$266,'Apr'!$D$27:$AH$266,'May'!$D$27:$AH$266,'Jun'!$D$27:$AH$266,'Jul'!$D$27:$AH$266,'Aug'!$D$27:$AH$266,'Sep'!$D$27:$AH$266,'Oct'!$D$27:$AH$266,'Nov'!$D$27:$AH$266,'Dec'!$D$27:$AH$266,'Jan (next year)'!$D$27:$AH$266),115,DAY($A$5))&amp;"")</f>
        <v/>
      </c>
      <c r="G39" s="81">
        <f>IF(OR($B39="",NOT(AND($A$5&gt;=DATE(PlanYear,1,1),$A$5&lt;=DATE(PlanYear+1,1,31)))),"",INDEX(CHOOSE(IF(YEAR($A$5)&gt;PlanYear,13,MONTH($A$5)),'Jan'!$D$27:$AH$266,'Feb'!$D$27:$AH$266,'Mar'!$D$27:$AH$266,'Apr'!$D$27:$AH$266,'May'!$D$27:$AH$266,'Jun'!$D$27:$AH$266,'Jul'!$D$27:$AH$266,'Aug'!$D$27:$AH$266,'Sep'!$D$27:$AH$266,'Oct'!$D$27:$AH$266,'Nov'!$D$27:$AH$266,'Dec'!$D$27:$AH$266,'Jan (next year)'!$D$27:$AH$266),116,DAY($A$5))&amp;"")</f>
        <v/>
      </c>
    </row>
    <row r="40" hidden="1">
      <c r="A40" s="38">
        <f>IF(Roster!$B$35="","",Roster!$B$35)</f>
        <v/>
      </c>
      <c r="B40" s="39">
        <f>IF(Roster!$C$35="","",Roster!$C$35)</f>
        <v/>
      </c>
      <c r="C40" s="40">
        <f>IF(Roster!$C$35="","",Roster!$F$35&amp;IF(OR(Roster!$G$35="SANS",Roster!$G$35="NSMEN")," | "&amp;Roster!$G$35,""))</f>
        <v/>
      </c>
      <c r="D40" s="81">
        <f>IF(OR($B40="",NOT(AND($A$5&gt;=DATE(PlanYear,1,1),$A$5&lt;=DATE(PlanYear+1,1,31)))),"",INDEX(CHOOSE(IF(YEAR($A$5)&gt;PlanYear,13,MONTH($A$5)),'Jan'!$D$27:$AH$266,'Feb'!$D$27:$AH$266,'Mar'!$D$27:$AH$266,'Apr'!$D$27:$AH$266,'May'!$D$27:$AH$266,'Jun'!$D$27:$AH$266,'Jul'!$D$27:$AH$266,'Aug'!$D$27:$AH$266,'Sep'!$D$27:$AH$266,'Oct'!$D$27:$AH$266,'Nov'!$D$27:$AH$266,'Dec'!$D$27:$AH$266,'Jan (next year)'!$D$27:$AH$266),117,DAY($A$5))&amp;"")</f>
        <v/>
      </c>
      <c r="E40" s="81">
        <f>IF(OR($B40="",NOT(AND($A$5&gt;=DATE(PlanYear,1,1),$A$5&lt;=DATE(PlanYear+1,1,31)))),"",INDEX(CHOOSE(IF(YEAR($A$5)&gt;PlanYear,13,MONTH($A$5)),'Jan'!$D$27:$AH$266,'Feb'!$D$27:$AH$266,'Mar'!$D$27:$AH$266,'Apr'!$D$27:$AH$266,'May'!$D$27:$AH$266,'Jun'!$D$27:$AH$266,'Jul'!$D$27:$AH$266,'Aug'!$D$27:$AH$266,'Sep'!$D$27:$AH$266,'Oct'!$D$27:$AH$266,'Nov'!$D$27:$AH$266,'Dec'!$D$27:$AH$266,'Jan (next year)'!$D$27:$AH$266),118,DAY($A$5))&amp;"")</f>
        <v/>
      </c>
      <c r="F40" s="81">
        <f>IF(OR($B40="",NOT(AND($A$5&gt;=DATE(PlanYear,1,1),$A$5&lt;=DATE(PlanYear+1,1,31)))),"",INDEX(CHOOSE(IF(YEAR($A$5)&gt;PlanYear,13,MONTH($A$5)),'Jan'!$D$27:$AH$266,'Feb'!$D$27:$AH$266,'Mar'!$D$27:$AH$266,'Apr'!$D$27:$AH$266,'May'!$D$27:$AH$266,'Jun'!$D$27:$AH$266,'Jul'!$D$27:$AH$266,'Aug'!$D$27:$AH$266,'Sep'!$D$27:$AH$266,'Oct'!$D$27:$AH$266,'Nov'!$D$27:$AH$266,'Dec'!$D$27:$AH$266,'Jan (next year)'!$D$27:$AH$266),119,DAY($A$5))&amp;"")</f>
        <v/>
      </c>
      <c r="G40" s="81">
        <f>IF(OR($B40="",NOT(AND($A$5&gt;=DATE(PlanYear,1,1),$A$5&lt;=DATE(PlanYear+1,1,31)))),"",INDEX(CHOOSE(IF(YEAR($A$5)&gt;PlanYear,13,MONTH($A$5)),'Jan'!$D$27:$AH$266,'Feb'!$D$27:$AH$266,'Mar'!$D$27:$AH$266,'Apr'!$D$27:$AH$266,'May'!$D$27:$AH$266,'Jun'!$D$27:$AH$266,'Jul'!$D$27:$AH$266,'Aug'!$D$27:$AH$266,'Sep'!$D$27:$AH$266,'Oct'!$D$27:$AH$266,'Nov'!$D$27:$AH$266,'Dec'!$D$27:$AH$266,'Jan (next year)'!$D$27:$AH$266),120,DAY($A$5))&amp;"")</f>
        <v/>
      </c>
    </row>
    <row r="41" hidden="1">
      <c r="A41" s="38">
        <f>IF(Roster!$B$36="","",Roster!$B$36)</f>
        <v/>
      </c>
      <c r="B41" s="39">
        <f>IF(Roster!$C$36="","",Roster!$C$36)</f>
        <v/>
      </c>
      <c r="C41" s="40">
        <f>IF(Roster!$C$36="","",Roster!$F$36&amp;IF(OR(Roster!$G$36="SANS",Roster!$G$36="NSMEN")," | "&amp;Roster!$G$36,""))</f>
        <v/>
      </c>
      <c r="D41" s="81">
        <f>IF(OR($B41="",NOT(AND($A$5&gt;=DATE(PlanYear,1,1),$A$5&lt;=DATE(PlanYear+1,1,31)))),"",INDEX(CHOOSE(IF(YEAR($A$5)&gt;PlanYear,13,MONTH($A$5)),'Jan'!$D$27:$AH$266,'Feb'!$D$27:$AH$266,'Mar'!$D$27:$AH$266,'Apr'!$D$27:$AH$266,'May'!$D$27:$AH$266,'Jun'!$D$27:$AH$266,'Jul'!$D$27:$AH$266,'Aug'!$D$27:$AH$266,'Sep'!$D$27:$AH$266,'Oct'!$D$27:$AH$266,'Nov'!$D$27:$AH$266,'Dec'!$D$27:$AH$266,'Jan (next year)'!$D$27:$AH$266),121,DAY($A$5))&amp;"")</f>
        <v/>
      </c>
      <c r="E41" s="81">
        <f>IF(OR($B41="",NOT(AND($A$5&gt;=DATE(PlanYear,1,1),$A$5&lt;=DATE(PlanYear+1,1,31)))),"",INDEX(CHOOSE(IF(YEAR($A$5)&gt;PlanYear,13,MONTH($A$5)),'Jan'!$D$27:$AH$266,'Feb'!$D$27:$AH$266,'Mar'!$D$27:$AH$266,'Apr'!$D$27:$AH$266,'May'!$D$27:$AH$266,'Jun'!$D$27:$AH$266,'Jul'!$D$27:$AH$266,'Aug'!$D$27:$AH$266,'Sep'!$D$27:$AH$266,'Oct'!$D$27:$AH$266,'Nov'!$D$27:$AH$266,'Dec'!$D$27:$AH$266,'Jan (next year)'!$D$27:$AH$266),122,DAY($A$5))&amp;"")</f>
        <v/>
      </c>
      <c r="F41" s="81">
        <f>IF(OR($B41="",NOT(AND($A$5&gt;=DATE(PlanYear,1,1),$A$5&lt;=DATE(PlanYear+1,1,31)))),"",INDEX(CHOOSE(IF(YEAR($A$5)&gt;PlanYear,13,MONTH($A$5)),'Jan'!$D$27:$AH$266,'Feb'!$D$27:$AH$266,'Mar'!$D$27:$AH$266,'Apr'!$D$27:$AH$266,'May'!$D$27:$AH$266,'Jun'!$D$27:$AH$266,'Jul'!$D$27:$AH$266,'Aug'!$D$27:$AH$266,'Sep'!$D$27:$AH$266,'Oct'!$D$27:$AH$266,'Nov'!$D$27:$AH$266,'Dec'!$D$27:$AH$266,'Jan (next year)'!$D$27:$AH$266),123,DAY($A$5))&amp;"")</f>
        <v/>
      </c>
      <c r="G41" s="81">
        <f>IF(OR($B41="",NOT(AND($A$5&gt;=DATE(PlanYear,1,1),$A$5&lt;=DATE(PlanYear+1,1,31)))),"",INDEX(CHOOSE(IF(YEAR($A$5)&gt;PlanYear,13,MONTH($A$5)),'Jan'!$D$27:$AH$266,'Feb'!$D$27:$AH$266,'Mar'!$D$27:$AH$266,'Apr'!$D$27:$AH$266,'May'!$D$27:$AH$266,'Jun'!$D$27:$AH$266,'Jul'!$D$27:$AH$266,'Aug'!$D$27:$AH$266,'Sep'!$D$27:$AH$266,'Oct'!$D$27:$AH$266,'Nov'!$D$27:$AH$266,'Dec'!$D$27:$AH$266,'Jan (next year)'!$D$27:$AH$266),124,DAY($A$5))&amp;"")</f>
        <v/>
      </c>
    </row>
    <row r="42" hidden="1">
      <c r="A42" s="38">
        <f>IF(Roster!$B$37="","",Roster!$B$37)</f>
        <v/>
      </c>
      <c r="B42" s="39">
        <f>IF(Roster!$C$37="","",Roster!$C$37)</f>
        <v/>
      </c>
      <c r="C42" s="40">
        <f>IF(Roster!$C$37="","",Roster!$F$37&amp;IF(OR(Roster!$G$37="SANS",Roster!$G$37="NSMEN")," | "&amp;Roster!$G$37,""))</f>
        <v/>
      </c>
      <c r="D42" s="81">
        <f>IF(OR($B42="",NOT(AND($A$5&gt;=DATE(PlanYear,1,1),$A$5&lt;=DATE(PlanYear+1,1,31)))),"",INDEX(CHOOSE(IF(YEAR($A$5)&gt;PlanYear,13,MONTH($A$5)),'Jan'!$D$27:$AH$266,'Feb'!$D$27:$AH$266,'Mar'!$D$27:$AH$266,'Apr'!$D$27:$AH$266,'May'!$D$27:$AH$266,'Jun'!$D$27:$AH$266,'Jul'!$D$27:$AH$266,'Aug'!$D$27:$AH$266,'Sep'!$D$27:$AH$266,'Oct'!$D$27:$AH$266,'Nov'!$D$27:$AH$266,'Dec'!$D$27:$AH$266,'Jan (next year)'!$D$27:$AH$266),125,DAY($A$5))&amp;"")</f>
        <v/>
      </c>
      <c r="E42" s="81">
        <f>IF(OR($B42="",NOT(AND($A$5&gt;=DATE(PlanYear,1,1),$A$5&lt;=DATE(PlanYear+1,1,31)))),"",INDEX(CHOOSE(IF(YEAR($A$5)&gt;PlanYear,13,MONTH($A$5)),'Jan'!$D$27:$AH$266,'Feb'!$D$27:$AH$266,'Mar'!$D$27:$AH$266,'Apr'!$D$27:$AH$266,'May'!$D$27:$AH$266,'Jun'!$D$27:$AH$266,'Jul'!$D$27:$AH$266,'Aug'!$D$27:$AH$266,'Sep'!$D$27:$AH$266,'Oct'!$D$27:$AH$266,'Nov'!$D$27:$AH$266,'Dec'!$D$27:$AH$266,'Jan (next year)'!$D$27:$AH$266),126,DAY($A$5))&amp;"")</f>
        <v/>
      </c>
      <c r="F42" s="81">
        <f>IF(OR($B42="",NOT(AND($A$5&gt;=DATE(PlanYear,1,1),$A$5&lt;=DATE(PlanYear+1,1,31)))),"",INDEX(CHOOSE(IF(YEAR($A$5)&gt;PlanYear,13,MONTH($A$5)),'Jan'!$D$27:$AH$266,'Feb'!$D$27:$AH$266,'Mar'!$D$27:$AH$266,'Apr'!$D$27:$AH$266,'May'!$D$27:$AH$266,'Jun'!$D$27:$AH$266,'Jul'!$D$27:$AH$266,'Aug'!$D$27:$AH$266,'Sep'!$D$27:$AH$266,'Oct'!$D$27:$AH$266,'Nov'!$D$27:$AH$266,'Dec'!$D$27:$AH$266,'Jan (next year)'!$D$27:$AH$266),127,DAY($A$5))&amp;"")</f>
        <v/>
      </c>
      <c r="G42" s="81">
        <f>IF(OR($B42="",NOT(AND($A$5&gt;=DATE(PlanYear,1,1),$A$5&lt;=DATE(PlanYear+1,1,31)))),"",INDEX(CHOOSE(IF(YEAR($A$5)&gt;PlanYear,13,MONTH($A$5)),'Jan'!$D$27:$AH$266,'Feb'!$D$27:$AH$266,'Mar'!$D$27:$AH$266,'Apr'!$D$27:$AH$266,'May'!$D$27:$AH$266,'Jun'!$D$27:$AH$266,'Jul'!$D$27:$AH$266,'Aug'!$D$27:$AH$266,'Sep'!$D$27:$AH$266,'Oct'!$D$27:$AH$266,'Nov'!$D$27:$AH$266,'Dec'!$D$27:$AH$266,'Jan (next year)'!$D$27:$AH$266),128,DAY($A$5))&amp;"")</f>
        <v/>
      </c>
    </row>
    <row r="43" hidden="1">
      <c r="A43" s="38">
        <f>IF(Roster!$B$38="","",Roster!$B$38)</f>
        <v/>
      </c>
      <c r="B43" s="39">
        <f>IF(Roster!$C$38="","",Roster!$C$38)</f>
        <v/>
      </c>
      <c r="C43" s="40">
        <f>IF(Roster!$C$38="","",Roster!$F$38&amp;IF(OR(Roster!$G$38="SANS",Roster!$G$38="NSMEN")," | "&amp;Roster!$G$38,""))</f>
        <v/>
      </c>
      <c r="D43" s="81">
        <f>IF(OR($B43="",NOT(AND($A$5&gt;=DATE(PlanYear,1,1),$A$5&lt;=DATE(PlanYear+1,1,31)))),"",INDEX(CHOOSE(IF(YEAR($A$5)&gt;PlanYear,13,MONTH($A$5)),'Jan'!$D$27:$AH$266,'Feb'!$D$27:$AH$266,'Mar'!$D$27:$AH$266,'Apr'!$D$27:$AH$266,'May'!$D$27:$AH$266,'Jun'!$D$27:$AH$266,'Jul'!$D$27:$AH$266,'Aug'!$D$27:$AH$266,'Sep'!$D$27:$AH$266,'Oct'!$D$27:$AH$266,'Nov'!$D$27:$AH$266,'Dec'!$D$27:$AH$266,'Jan (next year)'!$D$27:$AH$266),129,DAY($A$5))&amp;"")</f>
        <v/>
      </c>
      <c r="E43" s="81">
        <f>IF(OR($B43="",NOT(AND($A$5&gt;=DATE(PlanYear,1,1),$A$5&lt;=DATE(PlanYear+1,1,31)))),"",INDEX(CHOOSE(IF(YEAR($A$5)&gt;PlanYear,13,MONTH($A$5)),'Jan'!$D$27:$AH$266,'Feb'!$D$27:$AH$266,'Mar'!$D$27:$AH$266,'Apr'!$D$27:$AH$266,'May'!$D$27:$AH$266,'Jun'!$D$27:$AH$266,'Jul'!$D$27:$AH$266,'Aug'!$D$27:$AH$266,'Sep'!$D$27:$AH$266,'Oct'!$D$27:$AH$266,'Nov'!$D$27:$AH$266,'Dec'!$D$27:$AH$266,'Jan (next year)'!$D$27:$AH$266),130,DAY($A$5))&amp;"")</f>
        <v/>
      </c>
      <c r="F43" s="81">
        <f>IF(OR($B43="",NOT(AND($A$5&gt;=DATE(PlanYear,1,1),$A$5&lt;=DATE(PlanYear+1,1,31)))),"",INDEX(CHOOSE(IF(YEAR($A$5)&gt;PlanYear,13,MONTH($A$5)),'Jan'!$D$27:$AH$266,'Feb'!$D$27:$AH$266,'Mar'!$D$27:$AH$266,'Apr'!$D$27:$AH$266,'May'!$D$27:$AH$266,'Jun'!$D$27:$AH$266,'Jul'!$D$27:$AH$266,'Aug'!$D$27:$AH$266,'Sep'!$D$27:$AH$266,'Oct'!$D$27:$AH$266,'Nov'!$D$27:$AH$266,'Dec'!$D$27:$AH$266,'Jan (next year)'!$D$27:$AH$266),131,DAY($A$5))&amp;"")</f>
        <v/>
      </c>
      <c r="G43" s="81">
        <f>IF(OR($B43="",NOT(AND($A$5&gt;=DATE(PlanYear,1,1),$A$5&lt;=DATE(PlanYear+1,1,31)))),"",INDEX(CHOOSE(IF(YEAR($A$5)&gt;PlanYear,13,MONTH($A$5)),'Jan'!$D$27:$AH$266,'Feb'!$D$27:$AH$266,'Mar'!$D$27:$AH$266,'Apr'!$D$27:$AH$266,'May'!$D$27:$AH$266,'Jun'!$D$27:$AH$266,'Jul'!$D$27:$AH$266,'Aug'!$D$27:$AH$266,'Sep'!$D$27:$AH$266,'Oct'!$D$27:$AH$266,'Nov'!$D$27:$AH$266,'Dec'!$D$27:$AH$266,'Jan (next year)'!$D$27:$AH$266),132,DAY($A$5))&amp;"")</f>
        <v/>
      </c>
    </row>
    <row r="44" hidden="1">
      <c r="A44" s="38">
        <f>IF(Roster!$B$39="","",Roster!$B$39)</f>
        <v/>
      </c>
      <c r="B44" s="39">
        <f>IF(Roster!$C$39="","",Roster!$C$39)</f>
        <v/>
      </c>
      <c r="C44" s="40">
        <f>IF(Roster!$C$39="","",Roster!$F$39&amp;IF(OR(Roster!$G$39="SANS",Roster!$G$39="NSMEN")," | "&amp;Roster!$G$39,""))</f>
        <v/>
      </c>
      <c r="D44" s="81">
        <f>IF(OR($B44="",NOT(AND($A$5&gt;=DATE(PlanYear,1,1),$A$5&lt;=DATE(PlanYear+1,1,31)))),"",INDEX(CHOOSE(IF(YEAR($A$5)&gt;PlanYear,13,MONTH($A$5)),'Jan'!$D$27:$AH$266,'Feb'!$D$27:$AH$266,'Mar'!$D$27:$AH$266,'Apr'!$D$27:$AH$266,'May'!$D$27:$AH$266,'Jun'!$D$27:$AH$266,'Jul'!$D$27:$AH$266,'Aug'!$D$27:$AH$266,'Sep'!$D$27:$AH$266,'Oct'!$D$27:$AH$266,'Nov'!$D$27:$AH$266,'Dec'!$D$27:$AH$266,'Jan (next year)'!$D$27:$AH$266),133,DAY($A$5))&amp;"")</f>
        <v/>
      </c>
      <c r="E44" s="81">
        <f>IF(OR($B44="",NOT(AND($A$5&gt;=DATE(PlanYear,1,1),$A$5&lt;=DATE(PlanYear+1,1,31)))),"",INDEX(CHOOSE(IF(YEAR($A$5)&gt;PlanYear,13,MONTH($A$5)),'Jan'!$D$27:$AH$266,'Feb'!$D$27:$AH$266,'Mar'!$D$27:$AH$266,'Apr'!$D$27:$AH$266,'May'!$D$27:$AH$266,'Jun'!$D$27:$AH$266,'Jul'!$D$27:$AH$266,'Aug'!$D$27:$AH$266,'Sep'!$D$27:$AH$266,'Oct'!$D$27:$AH$266,'Nov'!$D$27:$AH$266,'Dec'!$D$27:$AH$266,'Jan (next year)'!$D$27:$AH$266),134,DAY($A$5))&amp;"")</f>
        <v/>
      </c>
      <c r="F44" s="81">
        <f>IF(OR($B44="",NOT(AND($A$5&gt;=DATE(PlanYear,1,1),$A$5&lt;=DATE(PlanYear+1,1,31)))),"",INDEX(CHOOSE(IF(YEAR($A$5)&gt;PlanYear,13,MONTH($A$5)),'Jan'!$D$27:$AH$266,'Feb'!$D$27:$AH$266,'Mar'!$D$27:$AH$266,'Apr'!$D$27:$AH$266,'May'!$D$27:$AH$266,'Jun'!$D$27:$AH$266,'Jul'!$D$27:$AH$266,'Aug'!$D$27:$AH$266,'Sep'!$D$27:$AH$266,'Oct'!$D$27:$AH$266,'Nov'!$D$27:$AH$266,'Dec'!$D$27:$AH$266,'Jan (next year)'!$D$27:$AH$266),135,DAY($A$5))&amp;"")</f>
        <v/>
      </c>
      <c r="G44" s="81">
        <f>IF(OR($B44="",NOT(AND($A$5&gt;=DATE(PlanYear,1,1),$A$5&lt;=DATE(PlanYear+1,1,31)))),"",INDEX(CHOOSE(IF(YEAR($A$5)&gt;PlanYear,13,MONTH($A$5)),'Jan'!$D$27:$AH$266,'Feb'!$D$27:$AH$266,'Mar'!$D$27:$AH$266,'Apr'!$D$27:$AH$266,'May'!$D$27:$AH$266,'Jun'!$D$27:$AH$266,'Jul'!$D$27:$AH$266,'Aug'!$D$27:$AH$266,'Sep'!$D$27:$AH$266,'Oct'!$D$27:$AH$266,'Nov'!$D$27:$AH$266,'Dec'!$D$27:$AH$266,'Jan (next year)'!$D$27:$AH$266),136,DAY($A$5))&amp;"")</f>
        <v/>
      </c>
    </row>
    <row r="45" hidden="1">
      <c r="A45" s="38">
        <f>IF(Roster!$B$40="","",Roster!$B$40)</f>
        <v/>
      </c>
      <c r="B45" s="39">
        <f>IF(Roster!$C$40="","",Roster!$C$40)</f>
        <v/>
      </c>
      <c r="C45" s="40">
        <f>IF(Roster!$C$40="","",Roster!$F$40&amp;IF(OR(Roster!$G$40="SANS",Roster!$G$40="NSMEN")," | "&amp;Roster!$G$40,""))</f>
        <v/>
      </c>
      <c r="D45" s="81">
        <f>IF(OR($B45="",NOT(AND($A$5&gt;=DATE(PlanYear,1,1),$A$5&lt;=DATE(PlanYear+1,1,31)))),"",INDEX(CHOOSE(IF(YEAR($A$5)&gt;PlanYear,13,MONTH($A$5)),'Jan'!$D$27:$AH$266,'Feb'!$D$27:$AH$266,'Mar'!$D$27:$AH$266,'Apr'!$D$27:$AH$266,'May'!$D$27:$AH$266,'Jun'!$D$27:$AH$266,'Jul'!$D$27:$AH$266,'Aug'!$D$27:$AH$266,'Sep'!$D$27:$AH$266,'Oct'!$D$27:$AH$266,'Nov'!$D$27:$AH$266,'Dec'!$D$27:$AH$266,'Jan (next year)'!$D$27:$AH$266),137,DAY($A$5))&amp;"")</f>
        <v/>
      </c>
      <c r="E45" s="81">
        <f>IF(OR($B45="",NOT(AND($A$5&gt;=DATE(PlanYear,1,1),$A$5&lt;=DATE(PlanYear+1,1,31)))),"",INDEX(CHOOSE(IF(YEAR($A$5)&gt;PlanYear,13,MONTH($A$5)),'Jan'!$D$27:$AH$266,'Feb'!$D$27:$AH$266,'Mar'!$D$27:$AH$266,'Apr'!$D$27:$AH$266,'May'!$D$27:$AH$266,'Jun'!$D$27:$AH$266,'Jul'!$D$27:$AH$266,'Aug'!$D$27:$AH$266,'Sep'!$D$27:$AH$266,'Oct'!$D$27:$AH$266,'Nov'!$D$27:$AH$266,'Dec'!$D$27:$AH$266,'Jan (next year)'!$D$27:$AH$266),138,DAY($A$5))&amp;"")</f>
        <v/>
      </c>
      <c r="F45" s="81">
        <f>IF(OR($B45="",NOT(AND($A$5&gt;=DATE(PlanYear,1,1),$A$5&lt;=DATE(PlanYear+1,1,31)))),"",INDEX(CHOOSE(IF(YEAR($A$5)&gt;PlanYear,13,MONTH($A$5)),'Jan'!$D$27:$AH$266,'Feb'!$D$27:$AH$266,'Mar'!$D$27:$AH$266,'Apr'!$D$27:$AH$266,'May'!$D$27:$AH$266,'Jun'!$D$27:$AH$266,'Jul'!$D$27:$AH$266,'Aug'!$D$27:$AH$266,'Sep'!$D$27:$AH$266,'Oct'!$D$27:$AH$266,'Nov'!$D$27:$AH$266,'Dec'!$D$27:$AH$266,'Jan (next year)'!$D$27:$AH$266),139,DAY($A$5))&amp;"")</f>
        <v/>
      </c>
      <c r="G45" s="81">
        <f>IF(OR($B45="",NOT(AND($A$5&gt;=DATE(PlanYear,1,1),$A$5&lt;=DATE(PlanYear+1,1,31)))),"",INDEX(CHOOSE(IF(YEAR($A$5)&gt;PlanYear,13,MONTH($A$5)),'Jan'!$D$27:$AH$266,'Feb'!$D$27:$AH$266,'Mar'!$D$27:$AH$266,'Apr'!$D$27:$AH$266,'May'!$D$27:$AH$266,'Jun'!$D$27:$AH$266,'Jul'!$D$27:$AH$266,'Aug'!$D$27:$AH$266,'Sep'!$D$27:$AH$266,'Oct'!$D$27:$AH$266,'Nov'!$D$27:$AH$266,'Dec'!$D$27:$AH$266,'Jan (next year)'!$D$27:$AH$266),140,DAY($A$5))&amp;"")</f>
        <v/>
      </c>
    </row>
    <row r="46" hidden="1">
      <c r="A46" s="38">
        <f>IF(Roster!$B$41="","",Roster!$B$41)</f>
        <v/>
      </c>
      <c r="B46" s="39">
        <f>IF(Roster!$C$41="","",Roster!$C$41)</f>
        <v/>
      </c>
      <c r="C46" s="40">
        <f>IF(Roster!$C$41="","",Roster!$F$41&amp;IF(OR(Roster!$G$41="SANS",Roster!$G$41="NSMEN")," | "&amp;Roster!$G$41,""))</f>
        <v/>
      </c>
      <c r="D46" s="81">
        <f>IF(OR($B46="",NOT(AND($A$5&gt;=DATE(PlanYear,1,1),$A$5&lt;=DATE(PlanYear+1,1,31)))),"",INDEX(CHOOSE(IF(YEAR($A$5)&gt;PlanYear,13,MONTH($A$5)),'Jan'!$D$27:$AH$266,'Feb'!$D$27:$AH$266,'Mar'!$D$27:$AH$266,'Apr'!$D$27:$AH$266,'May'!$D$27:$AH$266,'Jun'!$D$27:$AH$266,'Jul'!$D$27:$AH$266,'Aug'!$D$27:$AH$266,'Sep'!$D$27:$AH$266,'Oct'!$D$27:$AH$266,'Nov'!$D$27:$AH$266,'Dec'!$D$27:$AH$266,'Jan (next year)'!$D$27:$AH$266),141,DAY($A$5))&amp;"")</f>
        <v/>
      </c>
      <c r="E46" s="81">
        <f>IF(OR($B46="",NOT(AND($A$5&gt;=DATE(PlanYear,1,1),$A$5&lt;=DATE(PlanYear+1,1,31)))),"",INDEX(CHOOSE(IF(YEAR($A$5)&gt;PlanYear,13,MONTH($A$5)),'Jan'!$D$27:$AH$266,'Feb'!$D$27:$AH$266,'Mar'!$D$27:$AH$266,'Apr'!$D$27:$AH$266,'May'!$D$27:$AH$266,'Jun'!$D$27:$AH$266,'Jul'!$D$27:$AH$266,'Aug'!$D$27:$AH$266,'Sep'!$D$27:$AH$266,'Oct'!$D$27:$AH$266,'Nov'!$D$27:$AH$266,'Dec'!$D$27:$AH$266,'Jan (next year)'!$D$27:$AH$266),142,DAY($A$5))&amp;"")</f>
        <v/>
      </c>
      <c r="F46" s="81">
        <f>IF(OR($B46="",NOT(AND($A$5&gt;=DATE(PlanYear,1,1),$A$5&lt;=DATE(PlanYear+1,1,31)))),"",INDEX(CHOOSE(IF(YEAR($A$5)&gt;PlanYear,13,MONTH($A$5)),'Jan'!$D$27:$AH$266,'Feb'!$D$27:$AH$266,'Mar'!$D$27:$AH$266,'Apr'!$D$27:$AH$266,'May'!$D$27:$AH$266,'Jun'!$D$27:$AH$266,'Jul'!$D$27:$AH$266,'Aug'!$D$27:$AH$266,'Sep'!$D$27:$AH$266,'Oct'!$D$27:$AH$266,'Nov'!$D$27:$AH$266,'Dec'!$D$27:$AH$266,'Jan (next year)'!$D$27:$AH$266),143,DAY($A$5))&amp;"")</f>
        <v/>
      </c>
      <c r="G46" s="81">
        <f>IF(OR($B46="",NOT(AND($A$5&gt;=DATE(PlanYear,1,1),$A$5&lt;=DATE(PlanYear+1,1,31)))),"",INDEX(CHOOSE(IF(YEAR($A$5)&gt;PlanYear,13,MONTH($A$5)),'Jan'!$D$27:$AH$266,'Feb'!$D$27:$AH$266,'Mar'!$D$27:$AH$266,'Apr'!$D$27:$AH$266,'May'!$D$27:$AH$266,'Jun'!$D$27:$AH$266,'Jul'!$D$27:$AH$266,'Aug'!$D$27:$AH$266,'Sep'!$D$27:$AH$266,'Oct'!$D$27:$AH$266,'Nov'!$D$27:$AH$266,'Dec'!$D$27:$AH$266,'Jan (next year)'!$D$27:$AH$266),144,DAY($A$5))&amp;"")</f>
        <v/>
      </c>
    </row>
    <row r="47" hidden="1">
      <c r="A47" s="38">
        <f>IF(Roster!$B$42="","",Roster!$B$42)</f>
        <v/>
      </c>
      <c r="B47" s="39">
        <f>IF(Roster!$C$42="","",Roster!$C$42)</f>
        <v/>
      </c>
      <c r="C47" s="40">
        <f>IF(Roster!$C$42="","",Roster!$F$42&amp;IF(OR(Roster!$G$42="SANS",Roster!$G$42="NSMEN")," | "&amp;Roster!$G$42,""))</f>
        <v/>
      </c>
      <c r="D47" s="81">
        <f>IF(OR($B47="",NOT(AND($A$5&gt;=DATE(PlanYear,1,1),$A$5&lt;=DATE(PlanYear+1,1,31)))),"",INDEX(CHOOSE(IF(YEAR($A$5)&gt;PlanYear,13,MONTH($A$5)),'Jan'!$D$27:$AH$266,'Feb'!$D$27:$AH$266,'Mar'!$D$27:$AH$266,'Apr'!$D$27:$AH$266,'May'!$D$27:$AH$266,'Jun'!$D$27:$AH$266,'Jul'!$D$27:$AH$266,'Aug'!$D$27:$AH$266,'Sep'!$D$27:$AH$266,'Oct'!$D$27:$AH$266,'Nov'!$D$27:$AH$266,'Dec'!$D$27:$AH$266,'Jan (next year)'!$D$27:$AH$266),145,DAY($A$5))&amp;"")</f>
        <v/>
      </c>
      <c r="E47" s="81">
        <f>IF(OR($B47="",NOT(AND($A$5&gt;=DATE(PlanYear,1,1),$A$5&lt;=DATE(PlanYear+1,1,31)))),"",INDEX(CHOOSE(IF(YEAR($A$5)&gt;PlanYear,13,MONTH($A$5)),'Jan'!$D$27:$AH$266,'Feb'!$D$27:$AH$266,'Mar'!$D$27:$AH$266,'Apr'!$D$27:$AH$266,'May'!$D$27:$AH$266,'Jun'!$D$27:$AH$266,'Jul'!$D$27:$AH$266,'Aug'!$D$27:$AH$266,'Sep'!$D$27:$AH$266,'Oct'!$D$27:$AH$266,'Nov'!$D$27:$AH$266,'Dec'!$D$27:$AH$266,'Jan (next year)'!$D$27:$AH$266),146,DAY($A$5))&amp;"")</f>
        <v/>
      </c>
      <c r="F47" s="81">
        <f>IF(OR($B47="",NOT(AND($A$5&gt;=DATE(PlanYear,1,1),$A$5&lt;=DATE(PlanYear+1,1,31)))),"",INDEX(CHOOSE(IF(YEAR($A$5)&gt;PlanYear,13,MONTH($A$5)),'Jan'!$D$27:$AH$266,'Feb'!$D$27:$AH$266,'Mar'!$D$27:$AH$266,'Apr'!$D$27:$AH$266,'May'!$D$27:$AH$266,'Jun'!$D$27:$AH$266,'Jul'!$D$27:$AH$266,'Aug'!$D$27:$AH$266,'Sep'!$D$27:$AH$266,'Oct'!$D$27:$AH$266,'Nov'!$D$27:$AH$266,'Dec'!$D$27:$AH$266,'Jan (next year)'!$D$27:$AH$266),147,DAY($A$5))&amp;"")</f>
        <v/>
      </c>
      <c r="G47" s="81">
        <f>IF(OR($B47="",NOT(AND($A$5&gt;=DATE(PlanYear,1,1),$A$5&lt;=DATE(PlanYear+1,1,31)))),"",INDEX(CHOOSE(IF(YEAR($A$5)&gt;PlanYear,13,MONTH($A$5)),'Jan'!$D$27:$AH$266,'Feb'!$D$27:$AH$266,'Mar'!$D$27:$AH$266,'Apr'!$D$27:$AH$266,'May'!$D$27:$AH$266,'Jun'!$D$27:$AH$266,'Jul'!$D$27:$AH$266,'Aug'!$D$27:$AH$266,'Sep'!$D$27:$AH$266,'Oct'!$D$27:$AH$266,'Nov'!$D$27:$AH$266,'Dec'!$D$27:$AH$266,'Jan (next year)'!$D$27:$AH$266),148,DAY($A$5))&amp;"")</f>
        <v/>
      </c>
    </row>
    <row r="48" hidden="1">
      <c r="A48" s="38">
        <f>IF(Roster!$B$43="","",Roster!$B$43)</f>
        <v/>
      </c>
      <c r="B48" s="39">
        <f>IF(Roster!$C$43="","",Roster!$C$43)</f>
        <v/>
      </c>
      <c r="C48" s="40">
        <f>IF(Roster!$C$43="","",Roster!$F$43&amp;IF(OR(Roster!$G$43="SANS",Roster!$G$43="NSMEN")," | "&amp;Roster!$G$43,""))</f>
        <v/>
      </c>
      <c r="D48" s="81">
        <f>IF(OR($B48="",NOT(AND($A$5&gt;=DATE(PlanYear,1,1),$A$5&lt;=DATE(PlanYear+1,1,31)))),"",INDEX(CHOOSE(IF(YEAR($A$5)&gt;PlanYear,13,MONTH($A$5)),'Jan'!$D$27:$AH$266,'Feb'!$D$27:$AH$266,'Mar'!$D$27:$AH$266,'Apr'!$D$27:$AH$266,'May'!$D$27:$AH$266,'Jun'!$D$27:$AH$266,'Jul'!$D$27:$AH$266,'Aug'!$D$27:$AH$266,'Sep'!$D$27:$AH$266,'Oct'!$D$27:$AH$266,'Nov'!$D$27:$AH$266,'Dec'!$D$27:$AH$266,'Jan (next year)'!$D$27:$AH$266),149,DAY($A$5))&amp;"")</f>
        <v/>
      </c>
      <c r="E48" s="81">
        <f>IF(OR($B48="",NOT(AND($A$5&gt;=DATE(PlanYear,1,1),$A$5&lt;=DATE(PlanYear+1,1,31)))),"",INDEX(CHOOSE(IF(YEAR($A$5)&gt;PlanYear,13,MONTH($A$5)),'Jan'!$D$27:$AH$266,'Feb'!$D$27:$AH$266,'Mar'!$D$27:$AH$266,'Apr'!$D$27:$AH$266,'May'!$D$27:$AH$266,'Jun'!$D$27:$AH$266,'Jul'!$D$27:$AH$266,'Aug'!$D$27:$AH$266,'Sep'!$D$27:$AH$266,'Oct'!$D$27:$AH$266,'Nov'!$D$27:$AH$266,'Dec'!$D$27:$AH$266,'Jan (next year)'!$D$27:$AH$266),150,DAY($A$5))&amp;"")</f>
        <v/>
      </c>
      <c r="F48" s="81">
        <f>IF(OR($B48="",NOT(AND($A$5&gt;=DATE(PlanYear,1,1),$A$5&lt;=DATE(PlanYear+1,1,31)))),"",INDEX(CHOOSE(IF(YEAR($A$5)&gt;PlanYear,13,MONTH($A$5)),'Jan'!$D$27:$AH$266,'Feb'!$D$27:$AH$266,'Mar'!$D$27:$AH$266,'Apr'!$D$27:$AH$266,'May'!$D$27:$AH$266,'Jun'!$D$27:$AH$266,'Jul'!$D$27:$AH$266,'Aug'!$D$27:$AH$266,'Sep'!$D$27:$AH$266,'Oct'!$D$27:$AH$266,'Nov'!$D$27:$AH$266,'Dec'!$D$27:$AH$266,'Jan (next year)'!$D$27:$AH$266),151,DAY($A$5))&amp;"")</f>
        <v/>
      </c>
      <c r="G48" s="81">
        <f>IF(OR($B48="",NOT(AND($A$5&gt;=DATE(PlanYear,1,1),$A$5&lt;=DATE(PlanYear+1,1,31)))),"",INDEX(CHOOSE(IF(YEAR($A$5)&gt;PlanYear,13,MONTH($A$5)),'Jan'!$D$27:$AH$266,'Feb'!$D$27:$AH$266,'Mar'!$D$27:$AH$266,'Apr'!$D$27:$AH$266,'May'!$D$27:$AH$266,'Jun'!$D$27:$AH$266,'Jul'!$D$27:$AH$266,'Aug'!$D$27:$AH$266,'Sep'!$D$27:$AH$266,'Oct'!$D$27:$AH$266,'Nov'!$D$27:$AH$266,'Dec'!$D$27:$AH$266,'Jan (next year)'!$D$27:$AH$266),152,DAY($A$5))&amp;"")</f>
        <v/>
      </c>
    </row>
    <row r="49" hidden="1">
      <c r="A49" s="38">
        <f>IF(Roster!$B$44="","",Roster!$B$44)</f>
        <v/>
      </c>
      <c r="B49" s="39">
        <f>IF(Roster!$C$44="","",Roster!$C$44)</f>
        <v/>
      </c>
      <c r="C49" s="40">
        <f>IF(Roster!$C$44="","",Roster!$F$44&amp;IF(OR(Roster!$G$44="SANS",Roster!$G$44="NSMEN")," | "&amp;Roster!$G$44,""))</f>
        <v/>
      </c>
      <c r="D49" s="81">
        <f>IF(OR($B49="",NOT(AND($A$5&gt;=DATE(PlanYear,1,1),$A$5&lt;=DATE(PlanYear+1,1,31)))),"",INDEX(CHOOSE(IF(YEAR($A$5)&gt;PlanYear,13,MONTH($A$5)),'Jan'!$D$27:$AH$266,'Feb'!$D$27:$AH$266,'Mar'!$D$27:$AH$266,'Apr'!$D$27:$AH$266,'May'!$D$27:$AH$266,'Jun'!$D$27:$AH$266,'Jul'!$D$27:$AH$266,'Aug'!$D$27:$AH$266,'Sep'!$D$27:$AH$266,'Oct'!$D$27:$AH$266,'Nov'!$D$27:$AH$266,'Dec'!$D$27:$AH$266,'Jan (next year)'!$D$27:$AH$266),153,DAY($A$5))&amp;"")</f>
        <v/>
      </c>
      <c r="E49" s="81">
        <f>IF(OR($B49="",NOT(AND($A$5&gt;=DATE(PlanYear,1,1),$A$5&lt;=DATE(PlanYear+1,1,31)))),"",INDEX(CHOOSE(IF(YEAR($A$5)&gt;PlanYear,13,MONTH($A$5)),'Jan'!$D$27:$AH$266,'Feb'!$D$27:$AH$266,'Mar'!$D$27:$AH$266,'Apr'!$D$27:$AH$266,'May'!$D$27:$AH$266,'Jun'!$D$27:$AH$266,'Jul'!$D$27:$AH$266,'Aug'!$D$27:$AH$266,'Sep'!$D$27:$AH$266,'Oct'!$D$27:$AH$266,'Nov'!$D$27:$AH$266,'Dec'!$D$27:$AH$266,'Jan (next year)'!$D$27:$AH$266),154,DAY($A$5))&amp;"")</f>
        <v/>
      </c>
      <c r="F49" s="81">
        <f>IF(OR($B49="",NOT(AND($A$5&gt;=DATE(PlanYear,1,1),$A$5&lt;=DATE(PlanYear+1,1,31)))),"",INDEX(CHOOSE(IF(YEAR($A$5)&gt;PlanYear,13,MONTH($A$5)),'Jan'!$D$27:$AH$266,'Feb'!$D$27:$AH$266,'Mar'!$D$27:$AH$266,'Apr'!$D$27:$AH$266,'May'!$D$27:$AH$266,'Jun'!$D$27:$AH$266,'Jul'!$D$27:$AH$266,'Aug'!$D$27:$AH$266,'Sep'!$D$27:$AH$266,'Oct'!$D$27:$AH$266,'Nov'!$D$27:$AH$266,'Dec'!$D$27:$AH$266,'Jan (next year)'!$D$27:$AH$266),155,DAY($A$5))&amp;"")</f>
        <v/>
      </c>
      <c r="G49" s="81">
        <f>IF(OR($B49="",NOT(AND($A$5&gt;=DATE(PlanYear,1,1),$A$5&lt;=DATE(PlanYear+1,1,31)))),"",INDEX(CHOOSE(IF(YEAR($A$5)&gt;PlanYear,13,MONTH($A$5)),'Jan'!$D$27:$AH$266,'Feb'!$D$27:$AH$266,'Mar'!$D$27:$AH$266,'Apr'!$D$27:$AH$266,'May'!$D$27:$AH$266,'Jun'!$D$27:$AH$266,'Jul'!$D$27:$AH$266,'Aug'!$D$27:$AH$266,'Sep'!$D$27:$AH$266,'Oct'!$D$27:$AH$266,'Nov'!$D$27:$AH$266,'Dec'!$D$27:$AH$266,'Jan (next year)'!$D$27:$AH$266),156,DAY($A$5))&amp;"")</f>
        <v/>
      </c>
    </row>
    <row r="50" hidden="1">
      <c r="A50" s="38">
        <f>IF(Roster!$B$45="","",Roster!$B$45)</f>
        <v/>
      </c>
      <c r="B50" s="39">
        <f>IF(Roster!$C$45="","",Roster!$C$45)</f>
        <v/>
      </c>
      <c r="C50" s="40">
        <f>IF(Roster!$C$45="","",Roster!$F$45&amp;IF(OR(Roster!$G$45="SANS",Roster!$G$45="NSMEN")," | "&amp;Roster!$G$45,""))</f>
        <v/>
      </c>
      <c r="D50" s="81">
        <f>IF(OR($B50="",NOT(AND($A$5&gt;=DATE(PlanYear,1,1),$A$5&lt;=DATE(PlanYear+1,1,31)))),"",INDEX(CHOOSE(IF(YEAR($A$5)&gt;PlanYear,13,MONTH($A$5)),'Jan'!$D$27:$AH$266,'Feb'!$D$27:$AH$266,'Mar'!$D$27:$AH$266,'Apr'!$D$27:$AH$266,'May'!$D$27:$AH$266,'Jun'!$D$27:$AH$266,'Jul'!$D$27:$AH$266,'Aug'!$D$27:$AH$266,'Sep'!$D$27:$AH$266,'Oct'!$D$27:$AH$266,'Nov'!$D$27:$AH$266,'Dec'!$D$27:$AH$266,'Jan (next year)'!$D$27:$AH$266),157,DAY($A$5))&amp;"")</f>
        <v/>
      </c>
      <c r="E50" s="81">
        <f>IF(OR($B50="",NOT(AND($A$5&gt;=DATE(PlanYear,1,1),$A$5&lt;=DATE(PlanYear+1,1,31)))),"",INDEX(CHOOSE(IF(YEAR($A$5)&gt;PlanYear,13,MONTH($A$5)),'Jan'!$D$27:$AH$266,'Feb'!$D$27:$AH$266,'Mar'!$D$27:$AH$266,'Apr'!$D$27:$AH$266,'May'!$D$27:$AH$266,'Jun'!$D$27:$AH$266,'Jul'!$D$27:$AH$266,'Aug'!$D$27:$AH$266,'Sep'!$D$27:$AH$266,'Oct'!$D$27:$AH$266,'Nov'!$D$27:$AH$266,'Dec'!$D$27:$AH$266,'Jan (next year)'!$D$27:$AH$266),158,DAY($A$5))&amp;"")</f>
        <v/>
      </c>
      <c r="F50" s="81">
        <f>IF(OR($B50="",NOT(AND($A$5&gt;=DATE(PlanYear,1,1),$A$5&lt;=DATE(PlanYear+1,1,31)))),"",INDEX(CHOOSE(IF(YEAR($A$5)&gt;PlanYear,13,MONTH($A$5)),'Jan'!$D$27:$AH$266,'Feb'!$D$27:$AH$266,'Mar'!$D$27:$AH$266,'Apr'!$D$27:$AH$266,'May'!$D$27:$AH$266,'Jun'!$D$27:$AH$266,'Jul'!$D$27:$AH$266,'Aug'!$D$27:$AH$266,'Sep'!$D$27:$AH$266,'Oct'!$D$27:$AH$266,'Nov'!$D$27:$AH$266,'Dec'!$D$27:$AH$266,'Jan (next year)'!$D$27:$AH$266),159,DAY($A$5))&amp;"")</f>
        <v/>
      </c>
      <c r="G50" s="81">
        <f>IF(OR($B50="",NOT(AND($A$5&gt;=DATE(PlanYear,1,1),$A$5&lt;=DATE(PlanYear+1,1,31)))),"",INDEX(CHOOSE(IF(YEAR($A$5)&gt;PlanYear,13,MONTH($A$5)),'Jan'!$D$27:$AH$266,'Feb'!$D$27:$AH$266,'Mar'!$D$27:$AH$266,'Apr'!$D$27:$AH$266,'May'!$D$27:$AH$266,'Jun'!$D$27:$AH$266,'Jul'!$D$27:$AH$266,'Aug'!$D$27:$AH$266,'Sep'!$D$27:$AH$266,'Oct'!$D$27:$AH$266,'Nov'!$D$27:$AH$266,'Dec'!$D$27:$AH$266,'Jan (next year)'!$D$27:$AH$266),160,DAY($A$5))&amp;"")</f>
        <v/>
      </c>
    </row>
    <row r="51" hidden="1">
      <c r="A51" s="38">
        <f>IF(Roster!$B$46="","",Roster!$B$46)</f>
        <v/>
      </c>
      <c r="B51" s="39">
        <f>IF(Roster!$C$46="","",Roster!$C$46)</f>
        <v/>
      </c>
      <c r="C51" s="40">
        <f>IF(Roster!$C$46="","",Roster!$F$46&amp;IF(OR(Roster!$G$46="SANS",Roster!$G$46="NSMEN")," | "&amp;Roster!$G$46,""))</f>
        <v/>
      </c>
      <c r="D51" s="81">
        <f>IF(OR($B51="",NOT(AND($A$5&gt;=DATE(PlanYear,1,1),$A$5&lt;=DATE(PlanYear+1,1,31)))),"",INDEX(CHOOSE(IF(YEAR($A$5)&gt;PlanYear,13,MONTH($A$5)),'Jan'!$D$27:$AH$266,'Feb'!$D$27:$AH$266,'Mar'!$D$27:$AH$266,'Apr'!$D$27:$AH$266,'May'!$D$27:$AH$266,'Jun'!$D$27:$AH$266,'Jul'!$D$27:$AH$266,'Aug'!$D$27:$AH$266,'Sep'!$D$27:$AH$266,'Oct'!$D$27:$AH$266,'Nov'!$D$27:$AH$266,'Dec'!$D$27:$AH$266,'Jan (next year)'!$D$27:$AH$266),161,DAY($A$5))&amp;"")</f>
        <v/>
      </c>
      <c r="E51" s="81">
        <f>IF(OR($B51="",NOT(AND($A$5&gt;=DATE(PlanYear,1,1),$A$5&lt;=DATE(PlanYear+1,1,31)))),"",INDEX(CHOOSE(IF(YEAR($A$5)&gt;PlanYear,13,MONTH($A$5)),'Jan'!$D$27:$AH$266,'Feb'!$D$27:$AH$266,'Mar'!$D$27:$AH$266,'Apr'!$D$27:$AH$266,'May'!$D$27:$AH$266,'Jun'!$D$27:$AH$266,'Jul'!$D$27:$AH$266,'Aug'!$D$27:$AH$266,'Sep'!$D$27:$AH$266,'Oct'!$D$27:$AH$266,'Nov'!$D$27:$AH$266,'Dec'!$D$27:$AH$266,'Jan (next year)'!$D$27:$AH$266),162,DAY($A$5))&amp;"")</f>
        <v/>
      </c>
      <c r="F51" s="81">
        <f>IF(OR($B51="",NOT(AND($A$5&gt;=DATE(PlanYear,1,1),$A$5&lt;=DATE(PlanYear+1,1,31)))),"",INDEX(CHOOSE(IF(YEAR($A$5)&gt;PlanYear,13,MONTH($A$5)),'Jan'!$D$27:$AH$266,'Feb'!$D$27:$AH$266,'Mar'!$D$27:$AH$266,'Apr'!$D$27:$AH$266,'May'!$D$27:$AH$266,'Jun'!$D$27:$AH$266,'Jul'!$D$27:$AH$266,'Aug'!$D$27:$AH$266,'Sep'!$D$27:$AH$266,'Oct'!$D$27:$AH$266,'Nov'!$D$27:$AH$266,'Dec'!$D$27:$AH$266,'Jan (next year)'!$D$27:$AH$266),163,DAY($A$5))&amp;"")</f>
        <v/>
      </c>
      <c r="G51" s="81">
        <f>IF(OR($B51="",NOT(AND($A$5&gt;=DATE(PlanYear,1,1),$A$5&lt;=DATE(PlanYear+1,1,31)))),"",INDEX(CHOOSE(IF(YEAR($A$5)&gt;PlanYear,13,MONTH($A$5)),'Jan'!$D$27:$AH$266,'Feb'!$D$27:$AH$266,'Mar'!$D$27:$AH$266,'Apr'!$D$27:$AH$266,'May'!$D$27:$AH$266,'Jun'!$D$27:$AH$266,'Jul'!$D$27:$AH$266,'Aug'!$D$27:$AH$266,'Sep'!$D$27:$AH$266,'Oct'!$D$27:$AH$266,'Nov'!$D$27:$AH$266,'Dec'!$D$27:$AH$266,'Jan (next year)'!$D$27:$AH$266),164,DAY($A$5))&amp;"")</f>
        <v/>
      </c>
    </row>
    <row r="52" hidden="1">
      <c r="A52" s="38">
        <f>IF(Roster!$B$47="","",Roster!$B$47)</f>
        <v/>
      </c>
      <c r="B52" s="39">
        <f>IF(Roster!$C$47="","",Roster!$C$47)</f>
        <v/>
      </c>
      <c r="C52" s="40">
        <f>IF(Roster!$C$47="","",Roster!$F$47&amp;IF(OR(Roster!$G$47="SANS",Roster!$G$47="NSMEN")," | "&amp;Roster!$G$47,""))</f>
        <v/>
      </c>
      <c r="D52" s="81">
        <f>IF(OR($B52="",NOT(AND($A$5&gt;=DATE(PlanYear,1,1),$A$5&lt;=DATE(PlanYear+1,1,31)))),"",INDEX(CHOOSE(IF(YEAR($A$5)&gt;PlanYear,13,MONTH($A$5)),'Jan'!$D$27:$AH$266,'Feb'!$D$27:$AH$266,'Mar'!$D$27:$AH$266,'Apr'!$D$27:$AH$266,'May'!$D$27:$AH$266,'Jun'!$D$27:$AH$266,'Jul'!$D$27:$AH$266,'Aug'!$D$27:$AH$266,'Sep'!$D$27:$AH$266,'Oct'!$D$27:$AH$266,'Nov'!$D$27:$AH$266,'Dec'!$D$27:$AH$266,'Jan (next year)'!$D$27:$AH$266),165,DAY($A$5))&amp;"")</f>
        <v/>
      </c>
      <c r="E52" s="81">
        <f>IF(OR($B52="",NOT(AND($A$5&gt;=DATE(PlanYear,1,1),$A$5&lt;=DATE(PlanYear+1,1,31)))),"",INDEX(CHOOSE(IF(YEAR($A$5)&gt;PlanYear,13,MONTH($A$5)),'Jan'!$D$27:$AH$266,'Feb'!$D$27:$AH$266,'Mar'!$D$27:$AH$266,'Apr'!$D$27:$AH$266,'May'!$D$27:$AH$266,'Jun'!$D$27:$AH$266,'Jul'!$D$27:$AH$266,'Aug'!$D$27:$AH$266,'Sep'!$D$27:$AH$266,'Oct'!$D$27:$AH$266,'Nov'!$D$27:$AH$266,'Dec'!$D$27:$AH$266,'Jan (next year)'!$D$27:$AH$266),166,DAY($A$5))&amp;"")</f>
        <v/>
      </c>
      <c r="F52" s="81">
        <f>IF(OR($B52="",NOT(AND($A$5&gt;=DATE(PlanYear,1,1),$A$5&lt;=DATE(PlanYear+1,1,31)))),"",INDEX(CHOOSE(IF(YEAR($A$5)&gt;PlanYear,13,MONTH($A$5)),'Jan'!$D$27:$AH$266,'Feb'!$D$27:$AH$266,'Mar'!$D$27:$AH$266,'Apr'!$D$27:$AH$266,'May'!$D$27:$AH$266,'Jun'!$D$27:$AH$266,'Jul'!$D$27:$AH$266,'Aug'!$D$27:$AH$266,'Sep'!$D$27:$AH$266,'Oct'!$D$27:$AH$266,'Nov'!$D$27:$AH$266,'Dec'!$D$27:$AH$266,'Jan (next year)'!$D$27:$AH$266),167,DAY($A$5))&amp;"")</f>
        <v/>
      </c>
      <c r="G52" s="81">
        <f>IF(OR($B52="",NOT(AND($A$5&gt;=DATE(PlanYear,1,1),$A$5&lt;=DATE(PlanYear+1,1,31)))),"",INDEX(CHOOSE(IF(YEAR($A$5)&gt;PlanYear,13,MONTH($A$5)),'Jan'!$D$27:$AH$266,'Feb'!$D$27:$AH$266,'Mar'!$D$27:$AH$266,'Apr'!$D$27:$AH$266,'May'!$D$27:$AH$266,'Jun'!$D$27:$AH$266,'Jul'!$D$27:$AH$266,'Aug'!$D$27:$AH$266,'Sep'!$D$27:$AH$266,'Oct'!$D$27:$AH$266,'Nov'!$D$27:$AH$266,'Dec'!$D$27:$AH$266,'Jan (next year)'!$D$27:$AH$266),168,DAY($A$5))&amp;"")</f>
        <v/>
      </c>
    </row>
    <row r="53" hidden="1">
      <c r="A53" s="38">
        <f>IF(Roster!$B$48="","",Roster!$B$48)</f>
        <v/>
      </c>
      <c r="B53" s="39">
        <f>IF(Roster!$C$48="","",Roster!$C$48)</f>
        <v/>
      </c>
      <c r="C53" s="40">
        <f>IF(Roster!$C$48="","",Roster!$F$48&amp;IF(OR(Roster!$G$48="SANS",Roster!$G$48="NSMEN")," | "&amp;Roster!$G$48,""))</f>
        <v/>
      </c>
      <c r="D53" s="81">
        <f>IF(OR($B53="",NOT(AND($A$5&gt;=DATE(PlanYear,1,1),$A$5&lt;=DATE(PlanYear+1,1,31)))),"",INDEX(CHOOSE(IF(YEAR($A$5)&gt;PlanYear,13,MONTH($A$5)),'Jan'!$D$27:$AH$266,'Feb'!$D$27:$AH$266,'Mar'!$D$27:$AH$266,'Apr'!$D$27:$AH$266,'May'!$D$27:$AH$266,'Jun'!$D$27:$AH$266,'Jul'!$D$27:$AH$266,'Aug'!$D$27:$AH$266,'Sep'!$D$27:$AH$266,'Oct'!$D$27:$AH$266,'Nov'!$D$27:$AH$266,'Dec'!$D$27:$AH$266,'Jan (next year)'!$D$27:$AH$266),169,DAY($A$5))&amp;"")</f>
        <v/>
      </c>
      <c r="E53" s="81">
        <f>IF(OR($B53="",NOT(AND($A$5&gt;=DATE(PlanYear,1,1),$A$5&lt;=DATE(PlanYear+1,1,31)))),"",INDEX(CHOOSE(IF(YEAR($A$5)&gt;PlanYear,13,MONTH($A$5)),'Jan'!$D$27:$AH$266,'Feb'!$D$27:$AH$266,'Mar'!$D$27:$AH$266,'Apr'!$D$27:$AH$266,'May'!$D$27:$AH$266,'Jun'!$D$27:$AH$266,'Jul'!$D$27:$AH$266,'Aug'!$D$27:$AH$266,'Sep'!$D$27:$AH$266,'Oct'!$D$27:$AH$266,'Nov'!$D$27:$AH$266,'Dec'!$D$27:$AH$266,'Jan (next year)'!$D$27:$AH$266),170,DAY($A$5))&amp;"")</f>
        <v/>
      </c>
      <c r="F53" s="81">
        <f>IF(OR($B53="",NOT(AND($A$5&gt;=DATE(PlanYear,1,1),$A$5&lt;=DATE(PlanYear+1,1,31)))),"",INDEX(CHOOSE(IF(YEAR($A$5)&gt;PlanYear,13,MONTH($A$5)),'Jan'!$D$27:$AH$266,'Feb'!$D$27:$AH$266,'Mar'!$D$27:$AH$266,'Apr'!$D$27:$AH$266,'May'!$D$27:$AH$266,'Jun'!$D$27:$AH$266,'Jul'!$D$27:$AH$266,'Aug'!$D$27:$AH$266,'Sep'!$D$27:$AH$266,'Oct'!$D$27:$AH$266,'Nov'!$D$27:$AH$266,'Dec'!$D$27:$AH$266,'Jan (next year)'!$D$27:$AH$266),171,DAY($A$5))&amp;"")</f>
        <v/>
      </c>
      <c r="G53" s="81">
        <f>IF(OR($B53="",NOT(AND($A$5&gt;=DATE(PlanYear,1,1),$A$5&lt;=DATE(PlanYear+1,1,31)))),"",INDEX(CHOOSE(IF(YEAR($A$5)&gt;PlanYear,13,MONTH($A$5)),'Jan'!$D$27:$AH$266,'Feb'!$D$27:$AH$266,'Mar'!$D$27:$AH$266,'Apr'!$D$27:$AH$266,'May'!$D$27:$AH$266,'Jun'!$D$27:$AH$266,'Jul'!$D$27:$AH$266,'Aug'!$D$27:$AH$266,'Sep'!$D$27:$AH$266,'Oct'!$D$27:$AH$266,'Nov'!$D$27:$AH$266,'Dec'!$D$27:$AH$266,'Jan (next year)'!$D$27:$AH$266),172,DAY($A$5))&amp;"")</f>
        <v/>
      </c>
    </row>
    <row r="54" hidden="1">
      <c r="A54" s="38">
        <f>IF(Roster!$B$49="","",Roster!$B$49)</f>
        <v/>
      </c>
      <c r="B54" s="39">
        <f>IF(Roster!$C$49="","",Roster!$C$49)</f>
        <v/>
      </c>
      <c r="C54" s="40">
        <f>IF(Roster!$C$49="","",Roster!$F$49&amp;IF(OR(Roster!$G$49="SANS",Roster!$G$49="NSMEN")," | "&amp;Roster!$G$49,""))</f>
        <v/>
      </c>
      <c r="D54" s="81">
        <f>IF(OR($B54="",NOT(AND($A$5&gt;=DATE(PlanYear,1,1),$A$5&lt;=DATE(PlanYear+1,1,31)))),"",INDEX(CHOOSE(IF(YEAR($A$5)&gt;PlanYear,13,MONTH($A$5)),'Jan'!$D$27:$AH$266,'Feb'!$D$27:$AH$266,'Mar'!$D$27:$AH$266,'Apr'!$D$27:$AH$266,'May'!$D$27:$AH$266,'Jun'!$D$27:$AH$266,'Jul'!$D$27:$AH$266,'Aug'!$D$27:$AH$266,'Sep'!$D$27:$AH$266,'Oct'!$D$27:$AH$266,'Nov'!$D$27:$AH$266,'Dec'!$D$27:$AH$266,'Jan (next year)'!$D$27:$AH$266),173,DAY($A$5))&amp;"")</f>
        <v/>
      </c>
      <c r="E54" s="81">
        <f>IF(OR($B54="",NOT(AND($A$5&gt;=DATE(PlanYear,1,1),$A$5&lt;=DATE(PlanYear+1,1,31)))),"",INDEX(CHOOSE(IF(YEAR($A$5)&gt;PlanYear,13,MONTH($A$5)),'Jan'!$D$27:$AH$266,'Feb'!$D$27:$AH$266,'Mar'!$D$27:$AH$266,'Apr'!$D$27:$AH$266,'May'!$D$27:$AH$266,'Jun'!$D$27:$AH$266,'Jul'!$D$27:$AH$266,'Aug'!$D$27:$AH$266,'Sep'!$D$27:$AH$266,'Oct'!$D$27:$AH$266,'Nov'!$D$27:$AH$266,'Dec'!$D$27:$AH$266,'Jan (next year)'!$D$27:$AH$266),174,DAY($A$5))&amp;"")</f>
        <v/>
      </c>
      <c r="F54" s="81">
        <f>IF(OR($B54="",NOT(AND($A$5&gt;=DATE(PlanYear,1,1),$A$5&lt;=DATE(PlanYear+1,1,31)))),"",INDEX(CHOOSE(IF(YEAR($A$5)&gt;PlanYear,13,MONTH($A$5)),'Jan'!$D$27:$AH$266,'Feb'!$D$27:$AH$266,'Mar'!$D$27:$AH$266,'Apr'!$D$27:$AH$266,'May'!$D$27:$AH$266,'Jun'!$D$27:$AH$266,'Jul'!$D$27:$AH$266,'Aug'!$D$27:$AH$266,'Sep'!$D$27:$AH$266,'Oct'!$D$27:$AH$266,'Nov'!$D$27:$AH$266,'Dec'!$D$27:$AH$266,'Jan (next year)'!$D$27:$AH$266),175,DAY($A$5))&amp;"")</f>
        <v/>
      </c>
      <c r="G54" s="81">
        <f>IF(OR($B54="",NOT(AND($A$5&gt;=DATE(PlanYear,1,1),$A$5&lt;=DATE(PlanYear+1,1,31)))),"",INDEX(CHOOSE(IF(YEAR($A$5)&gt;PlanYear,13,MONTH($A$5)),'Jan'!$D$27:$AH$266,'Feb'!$D$27:$AH$266,'Mar'!$D$27:$AH$266,'Apr'!$D$27:$AH$266,'May'!$D$27:$AH$266,'Jun'!$D$27:$AH$266,'Jul'!$D$27:$AH$266,'Aug'!$D$27:$AH$266,'Sep'!$D$27:$AH$266,'Oct'!$D$27:$AH$266,'Nov'!$D$27:$AH$266,'Dec'!$D$27:$AH$266,'Jan (next year)'!$D$27:$AH$266),176,DAY($A$5))&amp;"")</f>
        <v/>
      </c>
    </row>
    <row r="55" hidden="1">
      <c r="A55" s="38">
        <f>IF(Roster!$B$50="","",Roster!$B$50)</f>
        <v/>
      </c>
      <c r="B55" s="39">
        <f>IF(Roster!$C$50="","",Roster!$C$50)</f>
        <v/>
      </c>
      <c r="C55" s="40">
        <f>IF(Roster!$C$50="","",Roster!$F$50&amp;IF(OR(Roster!$G$50="SANS",Roster!$G$50="NSMEN")," | "&amp;Roster!$G$50,""))</f>
        <v/>
      </c>
      <c r="D55" s="81">
        <f>IF(OR($B55="",NOT(AND($A$5&gt;=DATE(PlanYear,1,1),$A$5&lt;=DATE(PlanYear+1,1,31)))),"",INDEX(CHOOSE(IF(YEAR($A$5)&gt;PlanYear,13,MONTH($A$5)),'Jan'!$D$27:$AH$266,'Feb'!$D$27:$AH$266,'Mar'!$D$27:$AH$266,'Apr'!$D$27:$AH$266,'May'!$D$27:$AH$266,'Jun'!$D$27:$AH$266,'Jul'!$D$27:$AH$266,'Aug'!$D$27:$AH$266,'Sep'!$D$27:$AH$266,'Oct'!$D$27:$AH$266,'Nov'!$D$27:$AH$266,'Dec'!$D$27:$AH$266,'Jan (next year)'!$D$27:$AH$266),177,DAY($A$5))&amp;"")</f>
        <v/>
      </c>
      <c r="E55" s="81">
        <f>IF(OR($B55="",NOT(AND($A$5&gt;=DATE(PlanYear,1,1),$A$5&lt;=DATE(PlanYear+1,1,31)))),"",INDEX(CHOOSE(IF(YEAR($A$5)&gt;PlanYear,13,MONTH($A$5)),'Jan'!$D$27:$AH$266,'Feb'!$D$27:$AH$266,'Mar'!$D$27:$AH$266,'Apr'!$D$27:$AH$266,'May'!$D$27:$AH$266,'Jun'!$D$27:$AH$266,'Jul'!$D$27:$AH$266,'Aug'!$D$27:$AH$266,'Sep'!$D$27:$AH$266,'Oct'!$D$27:$AH$266,'Nov'!$D$27:$AH$266,'Dec'!$D$27:$AH$266,'Jan (next year)'!$D$27:$AH$266),178,DAY($A$5))&amp;"")</f>
        <v/>
      </c>
      <c r="F55" s="81">
        <f>IF(OR($B55="",NOT(AND($A$5&gt;=DATE(PlanYear,1,1),$A$5&lt;=DATE(PlanYear+1,1,31)))),"",INDEX(CHOOSE(IF(YEAR($A$5)&gt;PlanYear,13,MONTH($A$5)),'Jan'!$D$27:$AH$266,'Feb'!$D$27:$AH$266,'Mar'!$D$27:$AH$266,'Apr'!$D$27:$AH$266,'May'!$D$27:$AH$266,'Jun'!$D$27:$AH$266,'Jul'!$D$27:$AH$266,'Aug'!$D$27:$AH$266,'Sep'!$D$27:$AH$266,'Oct'!$D$27:$AH$266,'Nov'!$D$27:$AH$266,'Dec'!$D$27:$AH$266,'Jan (next year)'!$D$27:$AH$266),179,DAY($A$5))&amp;"")</f>
        <v/>
      </c>
      <c r="G55" s="81">
        <f>IF(OR($B55="",NOT(AND($A$5&gt;=DATE(PlanYear,1,1),$A$5&lt;=DATE(PlanYear+1,1,31)))),"",INDEX(CHOOSE(IF(YEAR($A$5)&gt;PlanYear,13,MONTH($A$5)),'Jan'!$D$27:$AH$266,'Feb'!$D$27:$AH$266,'Mar'!$D$27:$AH$266,'Apr'!$D$27:$AH$266,'May'!$D$27:$AH$266,'Jun'!$D$27:$AH$266,'Jul'!$D$27:$AH$266,'Aug'!$D$27:$AH$266,'Sep'!$D$27:$AH$266,'Oct'!$D$27:$AH$266,'Nov'!$D$27:$AH$266,'Dec'!$D$27:$AH$266,'Jan (next year)'!$D$27:$AH$266),180,DAY($A$5))&amp;"")</f>
        <v/>
      </c>
    </row>
    <row r="56">
      <c r="A56" s="53">
        <f>IF(Roster!$B$51="","",Roster!$B$51)</f>
        <v/>
      </c>
      <c r="B56" s="54">
        <f>IF(Roster!$C$51="","",Roster!$C$51)</f>
        <v/>
      </c>
      <c r="C56" s="55">
        <f>IF(Roster!$C$51="","",Roster!$F$51&amp;IF(OR(Roster!$G$51="SANS",Roster!$G$51="NSMEN")," | "&amp;Roster!$G$51,""))</f>
        <v/>
      </c>
      <c r="D56" s="81">
        <f>IF(OR($B56="",NOT(AND($A$5&gt;=DATE(PlanYear,1,1),$A$5&lt;=DATE(PlanYear+1,1,31)))),"",INDEX(CHOOSE(IF(YEAR($A$5)&gt;PlanYear,13,MONTH($A$5)),'Jan'!$D$27:$AH$266,'Feb'!$D$27:$AH$266,'Mar'!$D$27:$AH$266,'Apr'!$D$27:$AH$266,'May'!$D$27:$AH$266,'Jun'!$D$27:$AH$266,'Jul'!$D$27:$AH$266,'Aug'!$D$27:$AH$266,'Sep'!$D$27:$AH$266,'Oct'!$D$27:$AH$266,'Nov'!$D$27:$AH$266,'Dec'!$D$27:$AH$266,'Jan (next year)'!$D$27:$AH$266),181,DAY($A$5))&amp;"")</f>
        <v/>
      </c>
      <c r="E56" s="81">
        <f>IF(OR($B56="",NOT(AND($A$5&gt;=DATE(PlanYear,1,1),$A$5&lt;=DATE(PlanYear+1,1,31)))),"",INDEX(CHOOSE(IF(YEAR($A$5)&gt;PlanYear,13,MONTH($A$5)),'Jan'!$D$27:$AH$266,'Feb'!$D$27:$AH$266,'Mar'!$D$27:$AH$266,'Apr'!$D$27:$AH$266,'May'!$D$27:$AH$266,'Jun'!$D$27:$AH$266,'Jul'!$D$27:$AH$266,'Aug'!$D$27:$AH$266,'Sep'!$D$27:$AH$266,'Oct'!$D$27:$AH$266,'Nov'!$D$27:$AH$266,'Dec'!$D$27:$AH$266,'Jan (next year)'!$D$27:$AH$266),182,DAY($A$5))&amp;"")</f>
        <v/>
      </c>
      <c r="F56" s="81">
        <f>IF(OR($B56="",NOT(AND($A$5&gt;=DATE(PlanYear,1,1),$A$5&lt;=DATE(PlanYear+1,1,31)))),"",INDEX(CHOOSE(IF(YEAR($A$5)&gt;PlanYear,13,MONTH($A$5)),'Jan'!$D$27:$AH$266,'Feb'!$D$27:$AH$266,'Mar'!$D$27:$AH$266,'Apr'!$D$27:$AH$266,'May'!$D$27:$AH$266,'Jun'!$D$27:$AH$266,'Jul'!$D$27:$AH$266,'Aug'!$D$27:$AH$266,'Sep'!$D$27:$AH$266,'Oct'!$D$27:$AH$266,'Nov'!$D$27:$AH$266,'Dec'!$D$27:$AH$266,'Jan (next year)'!$D$27:$AH$266),183,DAY($A$5))&amp;"")</f>
        <v/>
      </c>
      <c r="G56" s="81">
        <f>IF(OR($B56="",NOT(AND($A$5&gt;=DATE(PlanYear,1,1),$A$5&lt;=DATE(PlanYear+1,1,31)))),"",INDEX(CHOOSE(IF(YEAR($A$5)&gt;PlanYear,13,MONTH($A$5)),'Jan'!$D$27:$AH$266,'Feb'!$D$27:$AH$266,'Mar'!$D$27:$AH$266,'Apr'!$D$27:$AH$266,'May'!$D$27:$AH$266,'Jun'!$D$27:$AH$266,'Jul'!$D$27:$AH$266,'Aug'!$D$27:$AH$266,'Sep'!$D$27:$AH$266,'Oct'!$D$27:$AH$266,'Nov'!$D$27:$AH$266,'Dec'!$D$27:$AH$266,'Jan (next year)'!$D$27:$AH$266),184,DAY($A$5))&amp;"")</f>
        <v/>
      </c>
    </row>
    <row r="57" hidden="1">
      <c r="A57" s="53">
        <f>IF(Roster!$B$52="","",Roster!$B$52)</f>
        <v/>
      </c>
      <c r="B57" s="54">
        <f>IF(Roster!$C$52="","",Roster!$C$52)</f>
        <v/>
      </c>
      <c r="C57" s="55">
        <f>IF(Roster!$C$52="","",Roster!$F$52&amp;IF(OR(Roster!$G$52="SANS",Roster!$G$52="NSMEN")," | "&amp;Roster!$G$52,""))</f>
        <v/>
      </c>
      <c r="D57" s="81">
        <f>IF(OR($B57="",NOT(AND($A$5&gt;=DATE(PlanYear,1,1),$A$5&lt;=DATE(PlanYear+1,1,31)))),"",INDEX(CHOOSE(IF(YEAR($A$5)&gt;PlanYear,13,MONTH($A$5)),'Jan'!$D$27:$AH$266,'Feb'!$D$27:$AH$266,'Mar'!$D$27:$AH$266,'Apr'!$D$27:$AH$266,'May'!$D$27:$AH$266,'Jun'!$D$27:$AH$266,'Jul'!$D$27:$AH$266,'Aug'!$D$27:$AH$266,'Sep'!$D$27:$AH$266,'Oct'!$D$27:$AH$266,'Nov'!$D$27:$AH$266,'Dec'!$D$27:$AH$266,'Jan (next year)'!$D$27:$AH$266),185,DAY($A$5))&amp;"")</f>
        <v/>
      </c>
      <c r="E57" s="81">
        <f>IF(OR($B57="",NOT(AND($A$5&gt;=DATE(PlanYear,1,1),$A$5&lt;=DATE(PlanYear+1,1,31)))),"",INDEX(CHOOSE(IF(YEAR($A$5)&gt;PlanYear,13,MONTH($A$5)),'Jan'!$D$27:$AH$266,'Feb'!$D$27:$AH$266,'Mar'!$D$27:$AH$266,'Apr'!$D$27:$AH$266,'May'!$D$27:$AH$266,'Jun'!$D$27:$AH$266,'Jul'!$D$27:$AH$266,'Aug'!$D$27:$AH$266,'Sep'!$D$27:$AH$266,'Oct'!$D$27:$AH$266,'Nov'!$D$27:$AH$266,'Dec'!$D$27:$AH$266,'Jan (next year)'!$D$27:$AH$266),186,DAY($A$5))&amp;"")</f>
        <v/>
      </c>
      <c r="F57" s="81">
        <f>IF(OR($B57="",NOT(AND($A$5&gt;=DATE(PlanYear,1,1),$A$5&lt;=DATE(PlanYear+1,1,31)))),"",INDEX(CHOOSE(IF(YEAR($A$5)&gt;PlanYear,13,MONTH($A$5)),'Jan'!$D$27:$AH$266,'Feb'!$D$27:$AH$266,'Mar'!$D$27:$AH$266,'Apr'!$D$27:$AH$266,'May'!$D$27:$AH$266,'Jun'!$D$27:$AH$266,'Jul'!$D$27:$AH$266,'Aug'!$D$27:$AH$266,'Sep'!$D$27:$AH$266,'Oct'!$D$27:$AH$266,'Nov'!$D$27:$AH$266,'Dec'!$D$27:$AH$266,'Jan (next year)'!$D$27:$AH$266),187,DAY($A$5))&amp;"")</f>
        <v/>
      </c>
      <c r="G57" s="81">
        <f>IF(OR($B57="",NOT(AND($A$5&gt;=DATE(PlanYear,1,1),$A$5&lt;=DATE(PlanYear+1,1,31)))),"",INDEX(CHOOSE(IF(YEAR($A$5)&gt;PlanYear,13,MONTH($A$5)),'Jan'!$D$27:$AH$266,'Feb'!$D$27:$AH$266,'Mar'!$D$27:$AH$266,'Apr'!$D$27:$AH$266,'May'!$D$27:$AH$266,'Jun'!$D$27:$AH$266,'Jul'!$D$27:$AH$266,'Aug'!$D$27:$AH$266,'Sep'!$D$27:$AH$266,'Oct'!$D$27:$AH$266,'Nov'!$D$27:$AH$266,'Dec'!$D$27:$AH$266,'Jan (next year)'!$D$27:$AH$266),188,DAY($A$5))&amp;"")</f>
        <v/>
      </c>
    </row>
    <row r="58" hidden="1">
      <c r="A58" s="53">
        <f>IF(Roster!$B$53="","",Roster!$B$53)</f>
        <v/>
      </c>
      <c r="B58" s="54">
        <f>IF(Roster!$C$53="","",Roster!$C$53)</f>
        <v/>
      </c>
      <c r="C58" s="55">
        <f>IF(Roster!$C$53="","",Roster!$F$53&amp;IF(OR(Roster!$G$53="SANS",Roster!$G$53="NSMEN")," | "&amp;Roster!$G$53,""))</f>
        <v/>
      </c>
      <c r="D58" s="81">
        <f>IF(OR($B58="",NOT(AND($A$5&gt;=DATE(PlanYear,1,1),$A$5&lt;=DATE(PlanYear+1,1,31)))),"",INDEX(CHOOSE(IF(YEAR($A$5)&gt;PlanYear,13,MONTH($A$5)),'Jan'!$D$27:$AH$266,'Feb'!$D$27:$AH$266,'Mar'!$D$27:$AH$266,'Apr'!$D$27:$AH$266,'May'!$D$27:$AH$266,'Jun'!$D$27:$AH$266,'Jul'!$D$27:$AH$266,'Aug'!$D$27:$AH$266,'Sep'!$D$27:$AH$266,'Oct'!$D$27:$AH$266,'Nov'!$D$27:$AH$266,'Dec'!$D$27:$AH$266,'Jan (next year)'!$D$27:$AH$266),189,DAY($A$5))&amp;"")</f>
        <v/>
      </c>
      <c r="E58" s="81">
        <f>IF(OR($B58="",NOT(AND($A$5&gt;=DATE(PlanYear,1,1),$A$5&lt;=DATE(PlanYear+1,1,31)))),"",INDEX(CHOOSE(IF(YEAR($A$5)&gt;PlanYear,13,MONTH($A$5)),'Jan'!$D$27:$AH$266,'Feb'!$D$27:$AH$266,'Mar'!$D$27:$AH$266,'Apr'!$D$27:$AH$266,'May'!$D$27:$AH$266,'Jun'!$D$27:$AH$266,'Jul'!$D$27:$AH$266,'Aug'!$D$27:$AH$266,'Sep'!$D$27:$AH$266,'Oct'!$D$27:$AH$266,'Nov'!$D$27:$AH$266,'Dec'!$D$27:$AH$266,'Jan (next year)'!$D$27:$AH$266),190,DAY($A$5))&amp;"")</f>
        <v/>
      </c>
      <c r="F58" s="81">
        <f>IF(OR($B58="",NOT(AND($A$5&gt;=DATE(PlanYear,1,1),$A$5&lt;=DATE(PlanYear+1,1,31)))),"",INDEX(CHOOSE(IF(YEAR($A$5)&gt;PlanYear,13,MONTH($A$5)),'Jan'!$D$27:$AH$266,'Feb'!$D$27:$AH$266,'Mar'!$D$27:$AH$266,'Apr'!$D$27:$AH$266,'May'!$D$27:$AH$266,'Jun'!$D$27:$AH$266,'Jul'!$D$27:$AH$266,'Aug'!$D$27:$AH$266,'Sep'!$D$27:$AH$266,'Oct'!$D$27:$AH$266,'Nov'!$D$27:$AH$266,'Dec'!$D$27:$AH$266,'Jan (next year)'!$D$27:$AH$266),191,DAY($A$5))&amp;"")</f>
        <v/>
      </c>
      <c r="G58" s="81">
        <f>IF(OR($B58="",NOT(AND($A$5&gt;=DATE(PlanYear,1,1),$A$5&lt;=DATE(PlanYear+1,1,31)))),"",INDEX(CHOOSE(IF(YEAR($A$5)&gt;PlanYear,13,MONTH($A$5)),'Jan'!$D$27:$AH$266,'Feb'!$D$27:$AH$266,'Mar'!$D$27:$AH$266,'Apr'!$D$27:$AH$266,'May'!$D$27:$AH$266,'Jun'!$D$27:$AH$266,'Jul'!$D$27:$AH$266,'Aug'!$D$27:$AH$266,'Sep'!$D$27:$AH$266,'Oct'!$D$27:$AH$266,'Nov'!$D$27:$AH$266,'Dec'!$D$27:$AH$266,'Jan (next year)'!$D$27:$AH$266),192,DAY($A$5))&amp;"")</f>
        <v/>
      </c>
    </row>
    <row r="59" hidden="1">
      <c r="A59" s="53">
        <f>IF(Roster!$B$54="","",Roster!$B$54)</f>
        <v/>
      </c>
      <c r="B59" s="54">
        <f>IF(Roster!$C$54="","",Roster!$C$54)</f>
        <v/>
      </c>
      <c r="C59" s="55">
        <f>IF(Roster!$C$54="","",Roster!$F$54&amp;IF(OR(Roster!$G$54="SANS",Roster!$G$54="NSMEN")," | "&amp;Roster!$G$54,""))</f>
        <v/>
      </c>
      <c r="D59" s="81">
        <f>IF(OR($B59="",NOT(AND($A$5&gt;=DATE(PlanYear,1,1),$A$5&lt;=DATE(PlanYear+1,1,31)))),"",INDEX(CHOOSE(IF(YEAR($A$5)&gt;PlanYear,13,MONTH($A$5)),'Jan'!$D$27:$AH$266,'Feb'!$D$27:$AH$266,'Mar'!$D$27:$AH$266,'Apr'!$D$27:$AH$266,'May'!$D$27:$AH$266,'Jun'!$D$27:$AH$266,'Jul'!$D$27:$AH$266,'Aug'!$D$27:$AH$266,'Sep'!$D$27:$AH$266,'Oct'!$D$27:$AH$266,'Nov'!$D$27:$AH$266,'Dec'!$D$27:$AH$266,'Jan (next year)'!$D$27:$AH$266),193,DAY($A$5))&amp;"")</f>
        <v/>
      </c>
      <c r="E59" s="81">
        <f>IF(OR($B59="",NOT(AND($A$5&gt;=DATE(PlanYear,1,1),$A$5&lt;=DATE(PlanYear+1,1,31)))),"",INDEX(CHOOSE(IF(YEAR($A$5)&gt;PlanYear,13,MONTH($A$5)),'Jan'!$D$27:$AH$266,'Feb'!$D$27:$AH$266,'Mar'!$D$27:$AH$266,'Apr'!$D$27:$AH$266,'May'!$D$27:$AH$266,'Jun'!$D$27:$AH$266,'Jul'!$D$27:$AH$266,'Aug'!$D$27:$AH$266,'Sep'!$D$27:$AH$266,'Oct'!$D$27:$AH$266,'Nov'!$D$27:$AH$266,'Dec'!$D$27:$AH$266,'Jan (next year)'!$D$27:$AH$266),194,DAY($A$5))&amp;"")</f>
        <v/>
      </c>
      <c r="F59" s="81">
        <f>IF(OR($B59="",NOT(AND($A$5&gt;=DATE(PlanYear,1,1),$A$5&lt;=DATE(PlanYear+1,1,31)))),"",INDEX(CHOOSE(IF(YEAR($A$5)&gt;PlanYear,13,MONTH($A$5)),'Jan'!$D$27:$AH$266,'Feb'!$D$27:$AH$266,'Mar'!$D$27:$AH$266,'Apr'!$D$27:$AH$266,'May'!$D$27:$AH$266,'Jun'!$D$27:$AH$266,'Jul'!$D$27:$AH$266,'Aug'!$D$27:$AH$266,'Sep'!$D$27:$AH$266,'Oct'!$D$27:$AH$266,'Nov'!$D$27:$AH$266,'Dec'!$D$27:$AH$266,'Jan (next year)'!$D$27:$AH$266),195,DAY($A$5))&amp;"")</f>
        <v/>
      </c>
      <c r="G59" s="81">
        <f>IF(OR($B59="",NOT(AND($A$5&gt;=DATE(PlanYear,1,1),$A$5&lt;=DATE(PlanYear+1,1,31)))),"",INDEX(CHOOSE(IF(YEAR($A$5)&gt;PlanYear,13,MONTH($A$5)),'Jan'!$D$27:$AH$266,'Feb'!$D$27:$AH$266,'Mar'!$D$27:$AH$266,'Apr'!$D$27:$AH$266,'May'!$D$27:$AH$266,'Jun'!$D$27:$AH$266,'Jul'!$D$27:$AH$266,'Aug'!$D$27:$AH$266,'Sep'!$D$27:$AH$266,'Oct'!$D$27:$AH$266,'Nov'!$D$27:$AH$266,'Dec'!$D$27:$AH$266,'Jan (next year)'!$D$27:$AH$266),196,DAY($A$5))&amp;"")</f>
        <v/>
      </c>
    </row>
    <row r="60" hidden="1">
      <c r="A60" s="53">
        <f>IF(Roster!$B$55="","",Roster!$B$55)</f>
        <v/>
      </c>
      <c r="B60" s="54">
        <f>IF(Roster!$C$55="","",Roster!$C$55)</f>
        <v/>
      </c>
      <c r="C60" s="55">
        <f>IF(Roster!$C$55="","",Roster!$F$55&amp;IF(OR(Roster!$G$55="SANS",Roster!$G$55="NSMEN")," | "&amp;Roster!$G$55,""))</f>
        <v/>
      </c>
      <c r="D60" s="81">
        <f>IF(OR($B60="",NOT(AND($A$5&gt;=DATE(PlanYear,1,1),$A$5&lt;=DATE(PlanYear+1,1,31)))),"",INDEX(CHOOSE(IF(YEAR($A$5)&gt;PlanYear,13,MONTH($A$5)),'Jan'!$D$27:$AH$266,'Feb'!$D$27:$AH$266,'Mar'!$D$27:$AH$266,'Apr'!$D$27:$AH$266,'May'!$D$27:$AH$266,'Jun'!$D$27:$AH$266,'Jul'!$D$27:$AH$266,'Aug'!$D$27:$AH$266,'Sep'!$D$27:$AH$266,'Oct'!$D$27:$AH$266,'Nov'!$D$27:$AH$266,'Dec'!$D$27:$AH$266,'Jan (next year)'!$D$27:$AH$266),197,DAY($A$5))&amp;"")</f>
        <v/>
      </c>
      <c r="E60" s="81">
        <f>IF(OR($B60="",NOT(AND($A$5&gt;=DATE(PlanYear,1,1),$A$5&lt;=DATE(PlanYear+1,1,31)))),"",INDEX(CHOOSE(IF(YEAR($A$5)&gt;PlanYear,13,MONTH($A$5)),'Jan'!$D$27:$AH$266,'Feb'!$D$27:$AH$266,'Mar'!$D$27:$AH$266,'Apr'!$D$27:$AH$266,'May'!$D$27:$AH$266,'Jun'!$D$27:$AH$266,'Jul'!$D$27:$AH$266,'Aug'!$D$27:$AH$266,'Sep'!$D$27:$AH$266,'Oct'!$D$27:$AH$266,'Nov'!$D$27:$AH$266,'Dec'!$D$27:$AH$266,'Jan (next year)'!$D$27:$AH$266),198,DAY($A$5))&amp;"")</f>
        <v/>
      </c>
      <c r="F60" s="81">
        <f>IF(OR($B60="",NOT(AND($A$5&gt;=DATE(PlanYear,1,1),$A$5&lt;=DATE(PlanYear+1,1,31)))),"",INDEX(CHOOSE(IF(YEAR($A$5)&gt;PlanYear,13,MONTH($A$5)),'Jan'!$D$27:$AH$266,'Feb'!$D$27:$AH$266,'Mar'!$D$27:$AH$266,'Apr'!$D$27:$AH$266,'May'!$D$27:$AH$266,'Jun'!$D$27:$AH$266,'Jul'!$D$27:$AH$266,'Aug'!$D$27:$AH$266,'Sep'!$D$27:$AH$266,'Oct'!$D$27:$AH$266,'Nov'!$D$27:$AH$266,'Dec'!$D$27:$AH$266,'Jan (next year)'!$D$27:$AH$266),199,DAY($A$5))&amp;"")</f>
        <v/>
      </c>
      <c r="G60" s="81">
        <f>IF(OR($B60="",NOT(AND($A$5&gt;=DATE(PlanYear,1,1),$A$5&lt;=DATE(PlanYear+1,1,31)))),"",INDEX(CHOOSE(IF(YEAR($A$5)&gt;PlanYear,13,MONTH($A$5)),'Jan'!$D$27:$AH$266,'Feb'!$D$27:$AH$266,'Mar'!$D$27:$AH$266,'Apr'!$D$27:$AH$266,'May'!$D$27:$AH$266,'Jun'!$D$27:$AH$266,'Jul'!$D$27:$AH$266,'Aug'!$D$27:$AH$266,'Sep'!$D$27:$AH$266,'Oct'!$D$27:$AH$266,'Nov'!$D$27:$AH$266,'Dec'!$D$27:$AH$266,'Jan (next year)'!$D$27:$AH$266),200,DAY($A$5))&amp;"")</f>
        <v/>
      </c>
    </row>
    <row r="61" hidden="1">
      <c r="A61" s="53">
        <f>IF(Roster!$B$56="","",Roster!$B$56)</f>
        <v/>
      </c>
      <c r="B61" s="54">
        <f>IF(Roster!$C$56="","",Roster!$C$56)</f>
        <v/>
      </c>
      <c r="C61" s="55">
        <f>IF(Roster!$C$56="","",Roster!$F$56&amp;IF(OR(Roster!$G$56="SANS",Roster!$G$56="NSMEN")," | "&amp;Roster!$G$56,""))</f>
        <v/>
      </c>
      <c r="D61" s="81">
        <f>IF(OR($B61="",NOT(AND($A$5&gt;=DATE(PlanYear,1,1),$A$5&lt;=DATE(PlanYear+1,1,31)))),"",INDEX(CHOOSE(IF(YEAR($A$5)&gt;PlanYear,13,MONTH($A$5)),'Jan'!$D$27:$AH$266,'Feb'!$D$27:$AH$266,'Mar'!$D$27:$AH$266,'Apr'!$D$27:$AH$266,'May'!$D$27:$AH$266,'Jun'!$D$27:$AH$266,'Jul'!$D$27:$AH$266,'Aug'!$D$27:$AH$266,'Sep'!$D$27:$AH$266,'Oct'!$D$27:$AH$266,'Nov'!$D$27:$AH$266,'Dec'!$D$27:$AH$266,'Jan (next year)'!$D$27:$AH$266),201,DAY($A$5))&amp;"")</f>
        <v/>
      </c>
      <c r="E61" s="81">
        <f>IF(OR($B61="",NOT(AND($A$5&gt;=DATE(PlanYear,1,1),$A$5&lt;=DATE(PlanYear+1,1,31)))),"",INDEX(CHOOSE(IF(YEAR($A$5)&gt;PlanYear,13,MONTH($A$5)),'Jan'!$D$27:$AH$266,'Feb'!$D$27:$AH$266,'Mar'!$D$27:$AH$266,'Apr'!$D$27:$AH$266,'May'!$D$27:$AH$266,'Jun'!$D$27:$AH$266,'Jul'!$D$27:$AH$266,'Aug'!$D$27:$AH$266,'Sep'!$D$27:$AH$266,'Oct'!$D$27:$AH$266,'Nov'!$D$27:$AH$266,'Dec'!$D$27:$AH$266,'Jan (next year)'!$D$27:$AH$266),202,DAY($A$5))&amp;"")</f>
        <v/>
      </c>
      <c r="F61" s="81">
        <f>IF(OR($B61="",NOT(AND($A$5&gt;=DATE(PlanYear,1,1),$A$5&lt;=DATE(PlanYear+1,1,31)))),"",INDEX(CHOOSE(IF(YEAR($A$5)&gt;PlanYear,13,MONTH($A$5)),'Jan'!$D$27:$AH$266,'Feb'!$D$27:$AH$266,'Mar'!$D$27:$AH$266,'Apr'!$D$27:$AH$266,'May'!$D$27:$AH$266,'Jun'!$D$27:$AH$266,'Jul'!$D$27:$AH$266,'Aug'!$D$27:$AH$266,'Sep'!$D$27:$AH$266,'Oct'!$D$27:$AH$266,'Nov'!$D$27:$AH$266,'Dec'!$D$27:$AH$266,'Jan (next year)'!$D$27:$AH$266),203,DAY($A$5))&amp;"")</f>
        <v/>
      </c>
      <c r="G61" s="81">
        <f>IF(OR($B61="",NOT(AND($A$5&gt;=DATE(PlanYear,1,1),$A$5&lt;=DATE(PlanYear+1,1,31)))),"",INDEX(CHOOSE(IF(YEAR($A$5)&gt;PlanYear,13,MONTH($A$5)),'Jan'!$D$27:$AH$266,'Feb'!$D$27:$AH$266,'Mar'!$D$27:$AH$266,'Apr'!$D$27:$AH$266,'May'!$D$27:$AH$266,'Jun'!$D$27:$AH$266,'Jul'!$D$27:$AH$266,'Aug'!$D$27:$AH$266,'Sep'!$D$27:$AH$266,'Oct'!$D$27:$AH$266,'Nov'!$D$27:$AH$266,'Dec'!$D$27:$AH$266,'Jan (next year)'!$D$27:$AH$266),204,DAY($A$5))&amp;"")</f>
        <v/>
      </c>
    </row>
    <row r="62" hidden="1">
      <c r="A62" s="53">
        <f>IF(Roster!$B$57="","",Roster!$B$57)</f>
        <v/>
      </c>
      <c r="B62" s="54">
        <f>IF(Roster!$C$57="","",Roster!$C$57)</f>
        <v/>
      </c>
      <c r="C62" s="55">
        <f>IF(Roster!$C$57="","",Roster!$F$57&amp;IF(OR(Roster!$G$57="SANS",Roster!$G$57="NSMEN")," | "&amp;Roster!$G$57,""))</f>
        <v/>
      </c>
      <c r="D62" s="81">
        <f>IF(OR($B62="",NOT(AND($A$5&gt;=DATE(PlanYear,1,1),$A$5&lt;=DATE(PlanYear+1,1,31)))),"",INDEX(CHOOSE(IF(YEAR($A$5)&gt;PlanYear,13,MONTH($A$5)),'Jan'!$D$27:$AH$266,'Feb'!$D$27:$AH$266,'Mar'!$D$27:$AH$266,'Apr'!$D$27:$AH$266,'May'!$D$27:$AH$266,'Jun'!$D$27:$AH$266,'Jul'!$D$27:$AH$266,'Aug'!$D$27:$AH$266,'Sep'!$D$27:$AH$266,'Oct'!$D$27:$AH$266,'Nov'!$D$27:$AH$266,'Dec'!$D$27:$AH$266,'Jan (next year)'!$D$27:$AH$266),205,DAY($A$5))&amp;"")</f>
        <v/>
      </c>
      <c r="E62" s="81">
        <f>IF(OR($B62="",NOT(AND($A$5&gt;=DATE(PlanYear,1,1),$A$5&lt;=DATE(PlanYear+1,1,31)))),"",INDEX(CHOOSE(IF(YEAR($A$5)&gt;PlanYear,13,MONTH($A$5)),'Jan'!$D$27:$AH$266,'Feb'!$D$27:$AH$266,'Mar'!$D$27:$AH$266,'Apr'!$D$27:$AH$266,'May'!$D$27:$AH$266,'Jun'!$D$27:$AH$266,'Jul'!$D$27:$AH$266,'Aug'!$D$27:$AH$266,'Sep'!$D$27:$AH$266,'Oct'!$D$27:$AH$266,'Nov'!$D$27:$AH$266,'Dec'!$D$27:$AH$266,'Jan (next year)'!$D$27:$AH$266),206,DAY($A$5))&amp;"")</f>
        <v/>
      </c>
      <c r="F62" s="81">
        <f>IF(OR($B62="",NOT(AND($A$5&gt;=DATE(PlanYear,1,1),$A$5&lt;=DATE(PlanYear+1,1,31)))),"",INDEX(CHOOSE(IF(YEAR($A$5)&gt;PlanYear,13,MONTH($A$5)),'Jan'!$D$27:$AH$266,'Feb'!$D$27:$AH$266,'Mar'!$D$27:$AH$266,'Apr'!$D$27:$AH$266,'May'!$D$27:$AH$266,'Jun'!$D$27:$AH$266,'Jul'!$D$27:$AH$266,'Aug'!$D$27:$AH$266,'Sep'!$D$27:$AH$266,'Oct'!$D$27:$AH$266,'Nov'!$D$27:$AH$266,'Dec'!$D$27:$AH$266,'Jan (next year)'!$D$27:$AH$266),207,DAY($A$5))&amp;"")</f>
        <v/>
      </c>
      <c r="G62" s="81">
        <f>IF(OR($B62="",NOT(AND($A$5&gt;=DATE(PlanYear,1,1),$A$5&lt;=DATE(PlanYear+1,1,31)))),"",INDEX(CHOOSE(IF(YEAR($A$5)&gt;PlanYear,13,MONTH($A$5)),'Jan'!$D$27:$AH$266,'Feb'!$D$27:$AH$266,'Mar'!$D$27:$AH$266,'Apr'!$D$27:$AH$266,'May'!$D$27:$AH$266,'Jun'!$D$27:$AH$266,'Jul'!$D$27:$AH$266,'Aug'!$D$27:$AH$266,'Sep'!$D$27:$AH$266,'Oct'!$D$27:$AH$266,'Nov'!$D$27:$AH$266,'Dec'!$D$27:$AH$266,'Jan (next year)'!$D$27:$AH$266),208,DAY($A$5))&amp;"")</f>
        <v/>
      </c>
    </row>
    <row r="63" hidden="1">
      <c r="A63" s="53">
        <f>IF(Roster!$B$58="","",Roster!$B$58)</f>
        <v/>
      </c>
      <c r="B63" s="54">
        <f>IF(Roster!$C$58="","",Roster!$C$58)</f>
        <v/>
      </c>
      <c r="C63" s="55">
        <f>IF(Roster!$C$58="","",Roster!$F$58&amp;IF(OR(Roster!$G$58="SANS",Roster!$G$58="NSMEN")," | "&amp;Roster!$G$58,""))</f>
        <v/>
      </c>
      <c r="D63" s="81">
        <f>IF(OR($B63="",NOT(AND($A$5&gt;=DATE(PlanYear,1,1),$A$5&lt;=DATE(PlanYear+1,1,31)))),"",INDEX(CHOOSE(IF(YEAR($A$5)&gt;PlanYear,13,MONTH($A$5)),'Jan'!$D$27:$AH$266,'Feb'!$D$27:$AH$266,'Mar'!$D$27:$AH$266,'Apr'!$D$27:$AH$266,'May'!$D$27:$AH$266,'Jun'!$D$27:$AH$266,'Jul'!$D$27:$AH$266,'Aug'!$D$27:$AH$266,'Sep'!$D$27:$AH$266,'Oct'!$D$27:$AH$266,'Nov'!$D$27:$AH$266,'Dec'!$D$27:$AH$266,'Jan (next year)'!$D$27:$AH$266),209,DAY($A$5))&amp;"")</f>
        <v/>
      </c>
      <c r="E63" s="81">
        <f>IF(OR($B63="",NOT(AND($A$5&gt;=DATE(PlanYear,1,1),$A$5&lt;=DATE(PlanYear+1,1,31)))),"",INDEX(CHOOSE(IF(YEAR($A$5)&gt;PlanYear,13,MONTH($A$5)),'Jan'!$D$27:$AH$266,'Feb'!$D$27:$AH$266,'Mar'!$D$27:$AH$266,'Apr'!$D$27:$AH$266,'May'!$D$27:$AH$266,'Jun'!$D$27:$AH$266,'Jul'!$D$27:$AH$266,'Aug'!$D$27:$AH$266,'Sep'!$D$27:$AH$266,'Oct'!$D$27:$AH$266,'Nov'!$D$27:$AH$266,'Dec'!$D$27:$AH$266,'Jan (next year)'!$D$27:$AH$266),210,DAY($A$5))&amp;"")</f>
        <v/>
      </c>
      <c r="F63" s="81">
        <f>IF(OR($B63="",NOT(AND($A$5&gt;=DATE(PlanYear,1,1),$A$5&lt;=DATE(PlanYear+1,1,31)))),"",INDEX(CHOOSE(IF(YEAR($A$5)&gt;PlanYear,13,MONTH($A$5)),'Jan'!$D$27:$AH$266,'Feb'!$D$27:$AH$266,'Mar'!$D$27:$AH$266,'Apr'!$D$27:$AH$266,'May'!$D$27:$AH$266,'Jun'!$D$27:$AH$266,'Jul'!$D$27:$AH$266,'Aug'!$D$27:$AH$266,'Sep'!$D$27:$AH$266,'Oct'!$D$27:$AH$266,'Nov'!$D$27:$AH$266,'Dec'!$D$27:$AH$266,'Jan (next year)'!$D$27:$AH$266),211,DAY($A$5))&amp;"")</f>
        <v/>
      </c>
      <c r="G63" s="81">
        <f>IF(OR($B63="",NOT(AND($A$5&gt;=DATE(PlanYear,1,1),$A$5&lt;=DATE(PlanYear+1,1,31)))),"",INDEX(CHOOSE(IF(YEAR($A$5)&gt;PlanYear,13,MONTH($A$5)),'Jan'!$D$27:$AH$266,'Feb'!$D$27:$AH$266,'Mar'!$D$27:$AH$266,'Apr'!$D$27:$AH$266,'May'!$D$27:$AH$266,'Jun'!$D$27:$AH$266,'Jul'!$D$27:$AH$266,'Aug'!$D$27:$AH$266,'Sep'!$D$27:$AH$266,'Oct'!$D$27:$AH$266,'Nov'!$D$27:$AH$266,'Dec'!$D$27:$AH$266,'Jan (next year)'!$D$27:$AH$266),212,DAY($A$5))&amp;"")</f>
        <v/>
      </c>
    </row>
    <row r="64" hidden="1">
      <c r="A64" s="53">
        <f>IF(Roster!$B$59="","",Roster!$B$59)</f>
        <v/>
      </c>
      <c r="B64" s="54">
        <f>IF(Roster!$C$59="","",Roster!$C$59)</f>
        <v/>
      </c>
      <c r="C64" s="55">
        <f>IF(Roster!$C$59="","",Roster!$F$59&amp;IF(OR(Roster!$G$59="SANS",Roster!$G$59="NSMEN")," | "&amp;Roster!$G$59,""))</f>
        <v/>
      </c>
      <c r="D64" s="81">
        <f>IF(OR($B64="",NOT(AND($A$5&gt;=DATE(PlanYear,1,1),$A$5&lt;=DATE(PlanYear+1,1,31)))),"",INDEX(CHOOSE(IF(YEAR($A$5)&gt;PlanYear,13,MONTH($A$5)),'Jan'!$D$27:$AH$266,'Feb'!$D$27:$AH$266,'Mar'!$D$27:$AH$266,'Apr'!$D$27:$AH$266,'May'!$D$27:$AH$266,'Jun'!$D$27:$AH$266,'Jul'!$D$27:$AH$266,'Aug'!$D$27:$AH$266,'Sep'!$D$27:$AH$266,'Oct'!$D$27:$AH$266,'Nov'!$D$27:$AH$266,'Dec'!$D$27:$AH$266,'Jan (next year)'!$D$27:$AH$266),213,DAY($A$5))&amp;"")</f>
        <v/>
      </c>
      <c r="E64" s="81">
        <f>IF(OR($B64="",NOT(AND($A$5&gt;=DATE(PlanYear,1,1),$A$5&lt;=DATE(PlanYear+1,1,31)))),"",INDEX(CHOOSE(IF(YEAR($A$5)&gt;PlanYear,13,MONTH($A$5)),'Jan'!$D$27:$AH$266,'Feb'!$D$27:$AH$266,'Mar'!$D$27:$AH$266,'Apr'!$D$27:$AH$266,'May'!$D$27:$AH$266,'Jun'!$D$27:$AH$266,'Jul'!$D$27:$AH$266,'Aug'!$D$27:$AH$266,'Sep'!$D$27:$AH$266,'Oct'!$D$27:$AH$266,'Nov'!$D$27:$AH$266,'Dec'!$D$27:$AH$266,'Jan (next year)'!$D$27:$AH$266),214,DAY($A$5))&amp;"")</f>
        <v/>
      </c>
      <c r="F64" s="81">
        <f>IF(OR($B64="",NOT(AND($A$5&gt;=DATE(PlanYear,1,1),$A$5&lt;=DATE(PlanYear+1,1,31)))),"",INDEX(CHOOSE(IF(YEAR($A$5)&gt;PlanYear,13,MONTH($A$5)),'Jan'!$D$27:$AH$266,'Feb'!$D$27:$AH$266,'Mar'!$D$27:$AH$266,'Apr'!$D$27:$AH$266,'May'!$D$27:$AH$266,'Jun'!$D$27:$AH$266,'Jul'!$D$27:$AH$266,'Aug'!$D$27:$AH$266,'Sep'!$D$27:$AH$266,'Oct'!$D$27:$AH$266,'Nov'!$D$27:$AH$266,'Dec'!$D$27:$AH$266,'Jan (next year)'!$D$27:$AH$266),215,DAY($A$5))&amp;"")</f>
        <v/>
      </c>
      <c r="G64" s="81">
        <f>IF(OR($B64="",NOT(AND($A$5&gt;=DATE(PlanYear,1,1),$A$5&lt;=DATE(PlanYear+1,1,31)))),"",INDEX(CHOOSE(IF(YEAR($A$5)&gt;PlanYear,13,MONTH($A$5)),'Jan'!$D$27:$AH$266,'Feb'!$D$27:$AH$266,'Mar'!$D$27:$AH$266,'Apr'!$D$27:$AH$266,'May'!$D$27:$AH$266,'Jun'!$D$27:$AH$266,'Jul'!$D$27:$AH$266,'Aug'!$D$27:$AH$266,'Sep'!$D$27:$AH$266,'Oct'!$D$27:$AH$266,'Nov'!$D$27:$AH$266,'Dec'!$D$27:$AH$266,'Jan (next year)'!$D$27:$AH$266),216,DAY($A$5))&amp;"")</f>
        <v/>
      </c>
    </row>
    <row r="65" hidden="1">
      <c r="A65" s="53">
        <f>IF(Roster!$B$60="","",Roster!$B$60)</f>
        <v/>
      </c>
      <c r="B65" s="54">
        <f>IF(Roster!$C$60="","",Roster!$C$60)</f>
        <v/>
      </c>
      <c r="C65" s="55">
        <f>IF(Roster!$C$60="","",Roster!$F$60&amp;IF(OR(Roster!$G$60="SANS",Roster!$G$60="NSMEN")," | "&amp;Roster!$G$60,""))</f>
        <v/>
      </c>
      <c r="D65" s="81">
        <f>IF(OR($B65="",NOT(AND($A$5&gt;=DATE(PlanYear,1,1),$A$5&lt;=DATE(PlanYear+1,1,31)))),"",INDEX(CHOOSE(IF(YEAR($A$5)&gt;PlanYear,13,MONTH($A$5)),'Jan'!$D$27:$AH$266,'Feb'!$D$27:$AH$266,'Mar'!$D$27:$AH$266,'Apr'!$D$27:$AH$266,'May'!$D$27:$AH$266,'Jun'!$D$27:$AH$266,'Jul'!$D$27:$AH$266,'Aug'!$D$27:$AH$266,'Sep'!$D$27:$AH$266,'Oct'!$D$27:$AH$266,'Nov'!$D$27:$AH$266,'Dec'!$D$27:$AH$266,'Jan (next year)'!$D$27:$AH$266),217,DAY($A$5))&amp;"")</f>
        <v/>
      </c>
      <c r="E65" s="81">
        <f>IF(OR($B65="",NOT(AND($A$5&gt;=DATE(PlanYear,1,1),$A$5&lt;=DATE(PlanYear+1,1,31)))),"",INDEX(CHOOSE(IF(YEAR($A$5)&gt;PlanYear,13,MONTH($A$5)),'Jan'!$D$27:$AH$266,'Feb'!$D$27:$AH$266,'Mar'!$D$27:$AH$266,'Apr'!$D$27:$AH$266,'May'!$D$27:$AH$266,'Jun'!$D$27:$AH$266,'Jul'!$D$27:$AH$266,'Aug'!$D$27:$AH$266,'Sep'!$D$27:$AH$266,'Oct'!$D$27:$AH$266,'Nov'!$D$27:$AH$266,'Dec'!$D$27:$AH$266,'Jan (next year)'!$D$27:$AH$266),218,DAY($A$5))&amp;"")</f>
        <v/>
      </c>
      <c r="F65" s="81">
        <f>IF(OR($B65="",NOT(AND($A$5&gt;=DATE(PlanYear,1,1),$A$5&lt;=DATE(PlanYear+1,1,31)))),"",INDEX(CHOOSE(IF(YEAR($A$5)&gt;PlanYear,13,MONTH($A$5)),'Jan'!$D$27:$AH$266,'Feb'!$D$27:$AH$266,'Mar'!$D$27:$AH$266,'Apr'!$D$27:$AH$266,'May'!$D$27:$AH$266,'Jun'!$D$27:$AH$266,'Jul'!$D$27:$AH$266,'Aug'!$D$27:$AH$266,'Sep'!$D$27:$AH$266,'Oct'!$D$27:$AH$266,'Nov'!$D$27:$AH$266,'Dec'!$D$27:$AH$266,'Jan (next year)'!$D$27:$AH$266),219,DAY($A$5))&amp;"")</f>
        <v/>
      </c>
      <c r="G65" s="81">
        <f>IF(OR($B65="",NOT(AND($A$5&gt;=DATE(PlanYear,1,1),$A$5&lt;=DATE(PlanYear+1,1,31)))),"",INDEX(CHOOSE(IF(YEAR($A$5)&gt;PlanYear,13,MONTH($A$5)),'Jan'!$D$27:$AH$266,'Feb'!$D$27:$AH$266,'Mar'!$D$27:$AH$266,'Apr'!$D$27:$AH$266,'May'!$D$27:$AH$266,'Jun'!$D$27:$AH$266,'Jul'!$D$27:$AH$266,'Aug'!$D$27:$AH$266,'Sep'!$D$27:$AH$266,'Oct'!$D$27:$AH$266,'Nov'!$D$27:$AH$266,'Dec'!$D$27:$AH$266,'Jan (next year)'!$D$27:$AH$266),220,DAY($A$5))&amp;"")</f>
        <v/>
      </c>
    </row>
    <row r="66" hidden="1">
      <c r="A66" s="53">
        <f>IF(Roster!$B$61="","",Roster!$B$61)</f>
        <v/>
      </c>
      <c r="B66" s="54">
        <f>IF(Roster!$C$61="","",Roster!$C$61)</f>
        <v/>
      </c>
      <c r="C66" s="55">
        <f>IF(Roster!$C$61="","",Roster!$F$61&amp;IF(OR(Roster!$G$61="SANS",Roster!$G$61="NSMEN")," | "&amp;Roster!$G$61,""))</f>
        <v/>
      </c>
      <c r="D66" s="81">
        <f>IF(OR($B66="",NOT(AND($A$5&gt;=DATE(PlanYear,1,1),$A$5&lt;=DATE(PlanYear+1,1,31)))),"",INDEX(CHOOSE(IF(YEAR($A$5)&gt;PlanYear,13,MONTH($A$5)),'Jan'!$D$27:$AH$266,'Feb'!$D$27:$AH$266,'Mar'!$D$27:$AH$266,'Apr'!$D$27:$AH$266,'May'!$D$27:$AH$266,'Jun'!$D$27:$AH$266,'Jul'!$D$27:$AH$266,'Aug'!$D$27:$AH$266,'Sep'!$D$27:$AH$266,'Oct'!$D$27:$AH$266,'Nov'!$D$27:$AH$266,'Dec'!$D$27:$AH$266,'Jan (next year)'!$D$27:$AH$266),221,DAY($A$5))&amp;"")</f>
        <v/>
      </c>
      <c r="E66" s="81">
        <f>IF(OR($B66="",NOT(AND($A$5&gt;=DATE(PlanYear,1,1),$A$5&lt;=DATE(PlanYear+1,1,31)))),"",INDEX(CHOOSE(IF(YEAR($A$5)&gt;PlanYear,13,MONTH($A$5)),'Jan'!$D$27:$AH$266,'Feb'!$D$27:$AH$266,'Mar'!$D$27:$AH$266,'Apr'!$D$27:$AH$266,'May'!$D$27:$AH$266,'Jun'!$D$27:$AH$266,'Jul'!$D$27:$AH$266,'Aug'!$D$27:$AH$266,'Sep'!$D$27:$AH$266,'Oct'!$D$27:$AH$266,'Nov'!$D$27:$AH$266,'Dec'!$D$27:$AH$266,'Jan (next year)'!$D$27:$AH$266),222,DAY($A$5))&amp;"")</f>
        <v/>
      </c>
      <c r="F66" s="81">
        <f>IF(OR($B66="",NOT(AND($A$5&gt;=DATE(PlanYear,1,1),$A$5&lt;=DATE(PlanYear+1,1,31)))),"",INDEX(CHOOSE(IF(YEAR($A$5)&gt;PlanYear,13,MONTH($A$5)),'Jan'!$D$27:$AH$266,'Feb'!$D$27:$AH$266,'Mar'!$D$27:$AH$266,'Apr'!$D$27:$AH$266,'May'!$D$27:$AH$266,'Jun'!$D$27:$AH$266,'Jul'!$D$27:$AH$266,'Aug'!$D$27:$AH$266,'Sep'!$D$27:$AH$266,'Oct'!$D$27:$AH$266,'Nov'!$D$27:$AH$266,'Dec'!$D$27:$AH$266,'Jan (next year)'!$D$27:$AH$266),223,DAY($A$5))&amp;"")</f>
        <v/>
      </c>
      <c r="G66" s="81">
        <f>IF(OR($B66="",NOT(AND($A$5&gt;=DATE(PlanYear,1,1),$A$5&lt;=DATE(PlanYear+1,1,31)))),"",INDEX(CHOOSE(IF(YEAR($A$5)&gt;PlanYear,13,MONTH($A$5)),'Jan'!$D$27:$AH$266,'Feb'!$D$27:$AH$266,'Mar'!$D$27:$AH$266,'Apr'!$D$27:$AH$266,'May'!$D$27:$AH$266,'Jun'!$D$27:$AH$266,'Jul'!$D$27:$AH$266,'Aug'!$D$27:$AH$266,'Sep'!$D$27:$AH$266,'Oct'!$D$27:$AH$266,'Nov'!$D$27:$AH$266,'Dec'!$D$27:$AH$266,'Jan (next year)'!$D$27:$AH$266),224,DAY($A$5))&amp;"")</f>
        <v/>
      </c>
    </row>
    <row r="67" hidden="1">
      <c r="A67" s="53">
        <f>IF(Roster!$B$62="","",Roster!$B$62)</f>
        <v/>
      </c>
      <c r="B67" s="54">
        <f>IF(Roster!$C$62="","",Roster!$C$62)</f>
        <v/>
      </c>
      <c r="C67" s="55">
        <f>IF(Roster!$C$62="","",Roster!$F$62&amp;IF(OR(Roster!$G$62="SANS",Roster!$G$62="NSMEN")," | "&amp;Roster!$G$62,""))</f>
        <v/>
      </c>
      <c r="D67" s="81">
        <f>IF(OR($B67="",NOT(AND($A$5&gt;=DATE(PlanYear,1,1),$A$5&lt;=DATE(PlanYear+1,1,31)))),"",INDEX(CHOOSE(IF(YEAR($A$5)&gt;PlanYear,13,MONTH($A$5)),'Jan'!$D$27:$AH$266,'Feb'!$D$27:$AH$266,'Mar'!$D$27:$AH$266,'Apr'!$D$27:$AH$266,'May'!$D$27:$AH$266,'Jun'!$D$27:$AH$266,'Jul'!$D$27:$AH$266,'Aug'!$D$27:$AH$266,'Sep'!$D$27:$AH$266,'Oct'!$D$27:$AH$266,'Nov'!$D$27:$AH$266,'Dec'!$D$27:$AH$266,'Jan (next year)'!$D$27:$AH$266),225,DAY($A$5))&amp;"")</f>
        <v/>
      </c>
      <c r="E67" s="81">
        <f>IF(OR($B67="",NOT(AND($A$5&gt;=DATE(PlanYear,1,1),$A$5&lt;=DATE(PlanYear+1,1,31)))),"",INDEX(CHOOSE(IF(YEAR($A$5)&gt;PlanYear,13,MONTH($A$5)),'Jan'!$D$27:$AH$266,'Feb'!$D$27:$AH$266,'Mar'!$D$27:$AH$266,'Apr'!$D$27:$AH$266,'May'!$D$27:$AH$266,'Jun'!$D$27:$AH$266,'Jul'!$D$27:$AH$266,'Aug'!$D$27:$AH$266,'Sep'!$D$27:$AH$266,'Oct'!$D$27:$AH$266,'Nov'!$D$27:$AH$266,'Dec'!$D$27:$AH$266,'Jan (next year)'!$D$27:$AH$266),226,DAY($A$5))&amp;"")</f>
        <v/>
      </c>
      <c r="F67" s="81">
        <f>IF(OR($B67="",NOT(AND($A$5&gt;=DATE(PlanYear,1,1),$A$5&lt;=DATE(PlanYear+1,1,31)))),"",INDEX(CHOOSE(IF(YEAR($A$5)&gt;PlanYear,13,MONTH($A$5)),'Jan'!$D$27:$AH$266,'Feb'!$D$27:$AH$266,'Mar'!$D$27:$AH$266,'Apr'!$D$27:$AH$266,'May'!$D$27:$AH$266,'Jun'!$D$27:$AH$266,'Jul'!$D$27:$AH$266,'Aug'!$D$27:$AH$266,'Sep'!$D$27:$AH$266,'Oct'!$D$27:$AH$266,'Nov'!$D$27:$AH$266,'Dec'!$D$27:$AH$266,'Jan (next year)'!$D$27:$AH$266),227,DAY($A$5))&amp;"")</f>
        <v/>
      </c>
      <c r="G67" s="81">
        <f>IF(OR($B67="",NOT(AND($A$5&gt;=DATE(PlanYear,1,1),$A$5&lt;=DATE(PlanYear+1,1,31)))),"",INDEX(CHOOSE(IF(YEAR($A$5)&gt;PlanYear,13,MONTH($A$5)),'Jan'!$D$27:$AH$266,'Feb'!$D$27:$AH$266,'Mar'!$D$27:$AH$266,'Apr'!$D$27:$AH$266,'May'!$D$27:$AH$266,'Jun'!$D$27:$AH$266,'Jul'!$D$27:$AH$266,'Aug'!$D$27:$AH$266,'Sep'!$D$27:$AH$266,'Oct'!$D$27:$AH$266,'Nov'!$D$27:$AH$266,'Dec'!$D$27:$AH$266,'Jan (next year)'!$D$27:$AH$266),228,DAY($A$5))&amp;"")</f>
        <v/>
      </c>
    </row>
    <row r="68" hidden="1">
      <c r="A68" s="53">
        <f>IF(Roster!$B$63="","",Roster!$B$63)</f>
        <v/>
      </c>
      <c r="B68" s="54">
        <f>IF(Roster!$C$63="","",Roster!$C$63)</f>
        <v/>
      </c>
      <c r="C68" s="55">
        <f>IF(Roster!$C$63="","",Roster!$F$63&amp;IF(OR(Roster!$G$63="SANS",Roster!$G$63="NSMEN")," | "&amp;Roster!$G$63,""))</f>
        <v/>
      </c>
      <c r="D68" s="81">
        <f>IF(OR($B68="",NOT(AND($A$5&gt;=DATE(PlanYear,1,1),$A$5&lt;=DATE(PlanYear+1,1,31)))),"",INDEX(CHOOSE(IF(YEAR($A$5)&gt;PlanYear,13,MONTH($A$5)),'Jan'!$D$27:$AH$266,'Feb'!$D$27:$AH$266,'Mar'!$D$27:$AH$266,'Apr'!$D$27:$AH$266,'May'!$D$27:$AH$266,'Jun'!$D$27:$AH$266,'Jul'!$D$27:$AH$266,'Aug'!$D$27:$AH$266,'Sep'!$D$27:$AH$266,'Oct'!$D$27:$AH$266,'Nov'!$D$27:$AH$266,'Dec'!$D$27:$AH$266,'Jan (next year)'!$D$27:$AH$266),229,DAY($A$5))&amp;"")</f>
        <v/>
      </c>
      <c r="E68" s="81">
        <f>IF(OR($B68="",NOT(AND($A$5&gt;=DATE(PlanYear,1,1),$A$5&lt;=DATE(PlanYear+1,1,31)))),"",INDEX(CHOOSE(IF(YEAR($A$5)&gt;PlanYear,13,MONTH($A$5)),'Jan'!$D$27:$AH$266,'Feb'!$D$27:$AH$266,'Mar'!$D$27:$AH$266,'Apr'!$D$27:$AH$266,'May'!$D$27:$AH$266,'Jun'!$D$27:$AH$266,'Jul'!$D$27:$AH$266,'Aug'!$D$27:$AH$266,'Sep'!$D$27:$AH$266,'Oct'!$D$27:$AH$266,'Nov'!$D$27:$AH$266,'Dec'!$D$27:$AH$266,'Jan (next year)'!$D$27:$AH$266),230,DAY($A$5))&amp;"")</f>
        <v/>
      </c>
      <c r="F68" s="81">
        <f>IF(OR($B68="",NOT(AND($A$5&gt;=DATE(PlanYear,1,1),$A$5&lt;=DATE(PlanYear+1,1,31)))),"",INDEX(CHOOSE(IF(YEAR($A$5)&gt;PlanYear,13,MONTH($A$5)),'Jan'!$D$27:$AH$266,'Feb'!$D$27:$AH$266,'Mar'!$D$27:$AH$266,'Apr'!$D$27:$AH$266,'May'!$D$27:$AH$266,'Jun'!$D$27:$AH$266,'Jul'!$D$27:$AH$266,'Aug'!$D$27:$AH$266,'Sep'!$D$27:$AH$266,'Oct'!$D$27:$AH$266,'Nov'!$D$27:$AH$266,'Dec'!$D$27:$AH$266,'Jan (next year)'!$D$27:$AH$266),231,DAY($A$5))&amp;"")</f>
        <v/>
      </c>
      <c r="G68" s="81">
        <f>IF(OR($B68="",NOT(AND($A$5&gt;=DATE(PlanYear,1,1),$A$5&lt;=DATE(PlanYear+1,1,31)))),"",INDEX(CHOOSE(IF(YEAR($A$5)&gt;PlanYear,13,MONTH($A$5)),'Jan'!$D$27:$AH$266,'Feb'!$D$27:$AH$266,'Mar'!$D$27:$AH$266,'Apr'!$D$27:$AH$266,'May'!$D$27:$AH$266,'Jun'!$D$27:$AH$266,'Jul'!$D$27:$AH$266,'Aug'!$D$27:$AH$266,'Sep'!$D$27:$AH$266,'Oct'!$D$27:$AH$266,'Nov'!$D$27:$AH$266,'Dec'!$D$27:$AH$266,'Jan (next year)'!$D$27:$AH$266),232,DAY($A$5))&amp;"")</f>
        <v/>
      </c>
    </row>
    <row r="69" hidden="1">
      <c r="A69" s="53">
        <f>IF(Roster!$B$64="","",Roster!$B$64)</f>
        <v/>
      </c>
      <c r="B69" s="54">
        <f>IF(Roster!$C$64="","",Roster!$C$64)</f>
        <v/>
      </c>
      <c r="C69" s="55">
        <f>IF(Roster!$C$64="","",Roster!$F$64&amp;IF(OR(Roster!$G$64="SANS",Roster!$G$64="NSMEN")," | "&amp;Roster!$G$64,""))</f>
        <v/>
      </c>
      <c r="D69" s="81">
        <f>IF(OR($B69="",NOT(AND($A$5&gt;=DATE(PlanYear,1,1),$A$5&lt;=DATE(PlanYear+1,1,31)))),"",INDEX(CHOOSE(IF(YEAR($A$5)&gt;PlanYear,13,MONTH($A$5)),'Jan'!$D$27:$AH$266,'Feb'!$D$27:$AH$266,'Mar'!$D$27:$AH$266,'Apr'!$D$27:$AH$266,'May'!$D$27:$AH$266,'Jun'!$D$27:$AH$266,'Jul'!$D$27:$AH$266,'Aug'!$D$27:$AH$266,'Sep'!$D$27:$AH$266,'Oct'!$D$27:$AH$266,'Nov'!$D$27:$AH$266,'Dec'!$D$27:$AH$266,'Jan (next year)'!$D$27:$AH$266),233,DAY($A$5))&amp;"")</f>
        <v/>
      </c>
      <c r="E69" s="81">
        <f>IF(OR($B69="",NOT(AND($A$5&gt;=DATE(PlanYear,1,1),$A$5&lt;=DATE(PlanYear+1,1,31)))),"",INDEX(CHOOSE(IF(YEAR($A$5)&gt;PlanYear,13,MONTH($A$5)),'Jan'!$D$27:$AH$266,'Feb'!$D$27:$AH$266,'Mar'!$D$27:$AH$266,'Apr'!$D$27:$AH$266,'May'!$D$27:$AH$266,'Jun'!$D$27:$AH$266,'Jul'!$D$27:$AH$266,'Aug'!$D$27:$AH$266,'Sep'!$D$27:$AH$266,'Oct'!$D$27:$AH$266,'Nov'!$D$27:$AH$266,'Dec'!$D$27:$AH$266,'Jan (next year)'!$D$27:$AH$266),234,DAY($A$5))&amp;"")</f>
        <v/>
      </c>
      <c r="F69" s="81">
        <f>IF(OR($B69="",NOT(AND($A$5&gt;=DATE(PlanYear,1,1),$A$5&lt;=DATE(PlanYear+1,1,31)))),"",INDEX(CHOOSE(IF(YEAR($A$5)&gt;PlanYear,13,MONTH($A$5)),'Jan'!$D$27:$AH$266,'Feb'!$D$27:$AH$266,'Mar'!$D$27:$AH$266,'Apr'!$D$27:$AH$266,'May'!$D$27:$AH$266,'Jun'!$D$27:$AH$266,'Jul'!$D$27:$AH$266,'Aug'!$D$27:$AH$266,'Sep'!$D$27:$AH$266,'Oct'!$D$27:$AH$266,'Nov'!$D$27:$AH$266,'Dec'!$D$27:$AH$266,'Jan (next year)'!$D$27:$AH$266),235,DAY($A$5))&amp;"")</f>
        <v/>
      </c>
      <c r="G69" s="81">
        <f>IF(OR($B69="",NOT(AND($A$5&gt;=DATE(PlanYear,1,1),$A$5&lt;=DATE(PlanYear+1,1,31)))),"",INDEX(CHOOSE(IF(YEAR($A$5)&gt;PlanYear,13,MONTH($A$5)),'Jan'!$D$27:$AH$266,'Feb'!$D$27:$AH$266,'Mar'!$D$27:$AH$266,'Apr'!$D$27:$AH$266,'May'!$D$27:$AH$266,'Jun'!$D$27:$AH$266,'Jul'!$D$27:$AH$266,'Aug'!$D$27:$AH$266,'Sep'!$D$27:$AH$266,'Oct'!$D$27:$AH$266,'Nov'!$D$27:$AH$266,'Dec'!$D$27:$AH$266,'Jan (next year)'!$D$27:$AH$266),236,DAY($A$5))&amp;"")</f>
        <v/>
      </c>
    </row>
    <row r="70" hidden="1">
      <c r="A70" s="53">
        <f>IF(Roster!$B$65="","",Roster!$B$65)</f>
        <v/>
      </c>
      <c r="B70" s="54">
        <f>IF(Roster!$C$65="","",Roster!$C$65)</f>
        <v/>
      </c>
      <c r="C70" s="55">
        <f>IF(Roster!$C$65="","",Roster!$F$65&amp;IF(OR(Roster!$G$65="SANS",Roster!$G$65="NSMEN")," | "&amp;Roster!$G$65,""))</f>
        <v/>
      </c>
      <c r="D70" s="81">
        <f>IF(OR($B70="",NOT(AND($A$5&gt;=DATE(PlanYear,1,1),$A$5&lt;=DATE(PlanYear+1,1,31)))),"",INDEX(CHOOSE(IF(YEAR($A$5)&gt;PlanYear,13,MONTH($A$5)),'Jan'!$D$27:$AH$266,'Feb'!$D$27:$AH$266,'Mar'!$D$27:$AH$266,'Apr'!$D$27:$AH$266,'May'!$D$27:$AH$266,'Jun'!$D$27:$AH$266,'Jul'!$D$27:$AH$266,'Aug'!$D$27:$AH$266,'Sep'!$D$27:$AH$266,'Oct'!$D$27:$AH$266,'Nov'!$D$27:$AH$266,'Dec'!$D$27:$AH$266,'Jan (next year)'!$D$27:$AH$266),237,DAY($A$5))&amp;"")</f>
        <v/>
      </c>
      <c r="E70" s="81">
        <f>IF(OR($B70="",NOT(AND($A$5&gt;=DATE(PlanYear,1,1),$A$5&lt;=DATE(PlanYear+1,1,31)))),"",INDEX(CHOOSE(IF(YEAR($A$5)&gt;PlanYear,13,MONTH($A$5)),'Jan'!$D$27:$AH$266,'Feb'!$D$27:$AH$266,'Mar'!$D$27:$AH$266,'Apr'!$D$27:$AH$266,'May'!$D$27:$AH$266,'Jun'!$D$27:$AH$266,'Jul'!$D$27:$AH$266,'Aug'!$D$27:$AH$266,'Sep'!$D$27:$AH$266,'Oct'!$D$27:$AH$266,'Nov'!$D$27:$AH$266,'Dec'!$D$27:$AH$266,'Jan (next year)'!$D$27:$AH$266),238,DAY($A$5))&amp;"")</f>
        <v/>
      </c>
      <c r="F70" s="81">
        <f>IF(OR($B70="",NOT(AND($A$5&gt;=DATE(PlanYear,1,1),$A$5&lt;=DATE(PlanYear+1,1,31)))),"",INDEX(CHOOSE(IF(YEAR($A$5)&gt;PlanYear,13,MONTH($A$5)),'Jan'!$D$27:$AH$266,'Feb'!$D$27:$AH$266,'Mar'!$D$27:$AH$266,'Apr'!$D$27:$AH$266,'May'!$D$27:$AH$266,'Jun'!$D$27:$AH$266,'Jul'!$D$27:$AH$266,'Aug'!$D$27:$AH$266,'Sep'!$D$27:$AH$266,'Oct'!$D$27:$AH$266,'Nov'!$D$27:$AH$266,'Dec'!$D$27:$AH$266,'Jan (next year)'!$D$27:$AH$266),239,DAY($A$5))&amp;"")</f>
        <v/>
      </c>
      <c r="G70" s="81">
        <f>IF(OR($B70="",NOT(AND($A$5&gt;=DATE(PlanYear,1,1),$A$5&lt;=DATE(PlanYear+1,1,31)))),"",INDEX(CHOOSE(IF(YEAR($A$5)&gt;PlanYear,13,MONTH($A$5)),'Jan'!$D$27:$AH$266,'Feb'!$D$27:$AH$266,'Mar'!$D$27:$AH$266,'Apr'!$D$27:$AH$266,'May'!$D$27:$AH$266,'Jun'!$D$27:$AH$266,'Jul'!$D$27:$AH$266,'Aug'!$D$27:$AH$266,'Sep'!$D$27:$AH$266,'Oct'!$D$27:$AH$266,'Nov'!$D$27:$AH$266,'Dec'!$D$27:$AH$266,'Jan (next year)'!$D$27:$AH$266),240,DAY($A$5))&amp;"")</f>
        <v/>
      </c>
    </row>
  </sheetData>
  <autoFilter ref="A10:G70">
    <filterColumn colId="1" hiddenButton="0" showButton="1">
      <customFilters>
        <customFilter val=" " operator="notEqual"/>
      </customFilters>
    </filterColumn>
  </autoFilter>
  <mergeCells count="15">
    <mergeCell ref="E8"/>
    <mergeCell ref="C8"/>
    <mergeCell ref="F7"/>
    <mergeCell ref="F8"/>
    <mergeCell ref="A7:B7"/>
    <mergeCell ref="G8"/>
    <mergeCell ref="A2:H2"/>
    <mergeCell ref="C7"/>
    <mergeCell ref="D7"/>
    <mergeCell ref="A5:B5"/>
    <mergeCell ref="D8"/>
    <mergeCell ref="E7"/>
    <mergeCell ref="G7"/>
    <mergeCell ref="A1:H1"/>
    <mergeCell ref="A8:B8"/>
  </mergeCells>
  <conditionalFormatting sqref="D11:G70">
    <cfRule type="expression" priority="1" dxfId="6" stopIfTrue="1">
      <formula>AND(D11&lt;&gt;"",IFERROR(INDEX(ActCat,MATCH(D11,ActCodesAll,0)),"")=Activities!$G$6)</formula>
    </cfRule>
    <cfRule type="expression" priority="2" dxfId="7" stopIfTrue="1">
      <formula>AND(D11&lt;&gt;"",IFERROR(INDEX(ActCat,MATCH(D11,ActCodesAll,0)),"")=Activities!$G$7)</formula>
    </cfRule>
    <cfRule type="expression" priority="3" dxfId="8" stopIfTrue="1">
      <formula>AND(D11&lt;&gt;"",IFERROR(INDEX(ActCat,MATCH(D11,ActCodesAll,0)),"")=Activities!$G$8)</formula>
    </cfRule>
    <cfRule type="expression" priority="4" dxfId="9" stopIfTrue="1">
      <formula>AND(D11&lt;&gt;"",IFERROR(INDEX(ActCat,MATCH(D11,ActCodesAll,0)),"")=Activities!$G$9)</formula>
    </cfRule>
    <cfRule type="expression" priority="5" dxfId="10" stopIfTrue="1">
      <formula>AND(D11&lt;&gt;"",IFERROR(INDEX(ActCat,MATCH(D11,ActCodesAll,0)),"")=Activities!$G$10)</formula>
    </cfRule>
    <cfRule type="expression" priority="6" dxfId="11" stopIfTrue="1">
      <formula>AND(D11&lt;&gt;"",IFERROR(INDEX(ActCat,MATCH(D11,ActCodesAll,0)),"")=Activities!$G$11)</formula>
    </cfRule>
    <cfRule type="expression" priority="7" dxfId="12" stopIfTrue="1">
      <formula>AND(D11&lt;&gt;"",IFERROR(INDEX(ActCat,MATCH(D11,ActCodesAll,0)),"")=Activities!$G$12)</formula>
    </cfRule>
    <cfRule type="expression" priority="8" dxfId="13" stopIfTrue="1">
      <formula>AND(D11&lt;&gt;"",IFERROR(INDEX(ActCat,MATCH(D11,ActCodesAll,0)),"")=Activities!$G$13)</formula>
    </cfRule>
    <cfRule type="expression" priority="9" dxfId="14" stopIfTrue="1">
      <formula>AND(D11&lt;&gt;"",IFERROR(INDEX(ActCat,MATCH(D11,ActCodesAll,0)),"")=Activities!$G$14)</formula>
    </cfRule>
  </conditionalFormatting>
  <conditionalFormatting sqref="A11:B70">
    <cfRule type="expression" priority="10" dxfId="0" stopIfTrue="1">
      <formula>INDEX(CrewStatus,ROW()-10)="Inactive"</formula>
    </cfRule>
  </conditionalFormatting>
  <conditionalFormatting sqref="B11:B70">
    <cfRule type="expression" priority="11" dxfId="1">
      <formula>INDEX(CrewCat,ROW()-10)="CAT A"</formula>
    </cfRule>
    <cfRule type="expression" priority="12" dxfId="2">
      <formula>INDEX(CrewCat,ROW()-10)="CAT B"</formula>
    </cfRule>
    <cfRule type="expression" priority="13" dxfId="3">
      <formula>INDEX(CrewCat,ROW()-10)="CAT C"</formula>
    </cfRule>
    <cfRule type="expression" priority="14" dxfId="4">
      <formula>INDEX(CrewCat,ROW()-10)="CAT D"</formula>
    </cfRule>
    <cfRule type="expression" priority="15" dxfId="5">
      <formula>INDEX(CrewCat,ROW()-10)="TRAINEE"</formula>
    </cfRule>
  </conditionalFormatting>
  <pageMargins left="0.75" right="0.75" top="1" bottom="1" header="0.5" footer="0.5"/>
</worksheet>
</file>

<file path=xl/worksheets/sheet4.xml><?xml version="1.0" encoding="utf-8"?>
<worksheet xmlns="http://schemas.openxmlformats.org/spreadsheetml/2006/main">
  <sheetPr>
    <tabColor rgb="00BE123C"/>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SDO PLANNING CALENDAR  |  LOADMASTER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Squadron Duty Orderly (SDO) days for Loadmaster.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SDO days are kept in their own files. Open them in the dashboard to see the combined calendar.</t>
        </is>
      </c>
      <c r="Z4" s="29">
        <f>"SDO DATES  |  "&amp;UPPER(ThisDept)</f>
        <v/>
      </c>
    </row>
    <row r="5">
      <c r="Z5" s="31" t="inlineStr">
        <is>
          <t>Month</t>
        </is>
      </c>
      <c r="AA5" s="31" t="inlineStr">
        <is>
          <t>SDO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MID(IF(ISNUMBER(SEARCH("SDO",'Jan'!D$25)),", "&amp;1,"")&amp;IF(ISNUMBER(SEARCH("SDO",'Jan'!E$25)),", "&amp;2,"")&amp;IF(ISNUMBER(SEARCH("SDO",'Jan'!F$25)),", "&amp;3,"")&amp;IF(ISNUMBER(SEARCH("SDO",'Jan'!G$25)),", "&amp;4,"")&amp;IF(ISNUMBER(SEARCH("SDO",'Jan'!H$25)),", "&amp;5,"")&amp;IF(ISNUMBER(SEARCH("SDO",'Jan'!I$25)),", "&amp;6,"")&amp;IF(ISNUMBER(SEARCH("SDO",'Jan'!J$25)),", "&amp;7,"")&amp;IF(ISNUMBER(SEARCH("SDO",'Jan'!K$25)),", "&amp;8,"")&amp;IF(ISNUMBER(SEARCH("SDO",'Jan'!L$25)),", "&amp;9,"")&amp;IF(ISNUMBER(SEARCH("SDO",'Jan'!M$25)),", "&amp;10,"")&amp;IF(ISNUMBER(SEARCH("SDO",'Jan'!N$25)),", "&amp;11,"")&amp;IF(ISNUMBER(SEARCH("SDO",'Jan'!O$25)),", "&amp;12,"")&amp;IF(ISNUMBER(SEARCH("SDO",'Jan'!P$25)),", "&amp;13,"")&amp;IF(ISNUMBER(SEARCH("SDO",'Jan'!Q$25)),", "&amp;14,"")&amp;IF(ISNUMBER(SEARCH("SDO",'Jan'!R$25)),", "&amp;15,"")&amp;IF(ISNUMBER(SEARCH("SDO",'Jan'!S$25)),", "&amp;16,"")&amp;IF(ISNUMBER(SEARCH("SDO",'Jan'!T$25)),", "&amp;17,"")&amp;IF(ISNUMBER(SEARCH("SDO",'Jan'!U$25)),", "&amp;18,"")&amp;IF(ISNUMBER(SEARCH("SDO",'Jan'!V$25)),", "&amp;19,"")&amp;IF(ISNUMBER(SEARCH("SDO",'Jan'!W$25)),", "&amp;20,"")&amp;IF(ISNUMBER(SEARCH("SDO",'Jan'!X$25)),", "&amp;21,"")&amp;IF(ISNUMBER(SEARCH("SDO",'Jan'!Y$25)),", "&amp;22,"")&amp;IF(ISNUMBER(SEARCH("SDO",'Jan'!Z$25)),", "&amp;23,"")&amp;IF(ISNUMBER(SEARCH("SDO",'Jan'!AA$25)),", "&amp;24,"")&amp;IF(ISNUMBER(SEARCH("SDO",'Jan'!AB$25)),", "&amp;25,"")&amp;IF(ISNUMBER(SEARCH("SDO",'Jan'!AC$25)),", "&amp;26,"")&amp;IF(ISNUMBER(SEARCH("SDO",'Jan'!AD$25)),", "&amp;27,"")&amp;IF(ISNUMBER(SEARCH("SDO",'Jan'!AE$25)),", "&amp;28,"")&amp;IF(ISNUMBER(SEARCH("SDO",'Jan'!AF$25)),", "&amp;29,"")&amp;IF(ISNUMBER(SEARCH("SDO",'Jan'!AG$25)),", "&amp;30,"")&amp;IF(ISNUMBER(SEARCH("SDO",'Jan'!AH$25)),", "&amp;31,""),3,200)</f>
        <v/>
      </c>
      <c r="AB6" s="86">
        <f>COUNTIF('Jan'!$D$25:$AH$25,"*SDO*")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MID(IF(ISNUMBER(SEARCH("SDO",'Feb'!D$25)),", "&amp;1,"")&amp;IF(ISNUMBER(SEARCH("SDO",'Feb'!E$25)),", "&amp;2,"")&amp;IF(ISNUMBER(SEARCH("SDO",'Feb'!F$25)),", "&amp;3,"")&amp;IF(ISNUMBER(SEARCH("SDO",'Feb'!G$25)),", "&amp;4,"")&amp;IF(ISNUMBER(SEARCH("SDO",'Feb'!H$25)),", "&amp;5,"")&amp;IF(ISNUMBER(SEARCH("SDO",'Feb'!I$25)),", "&amp;6,"")&amp;IF(ISNUMBER(SEARCH("SDO",'Feb'!J$25)),", "&amp;7,"")&amp;IF(ISNUMBER(SEARCH("SDO",'Feb'!K$25)),", "&amp;8,"")&amp;IF(ISNUMBER(SEARCH("SDO",'Feb'!L$25)),", "&amp;9,"")&amp;IF(ISNUMBER(SEARCH("SDO",'Feb'!M$25)),", "&amp;10,"")&amp;IF(ISNUMBER(SEARCH("SDO",'Feb'!N$25)),", "&amp;11,"")&amp;IF(ISNUMBER(SEARCH("SDO",'Feb'!O$25)),", "&amp;12,"")&amp;IF(ISNUMBER(SEARCH("SDO",'Feb'!P$25)),", "&amp;13,"")&amp;IF(ISNUMBER(SEARCH("SDO",'Feb'!Q$25)),", "&amp;14,"")&amp;IF(ISNUMBER(SEARCH("SDO",'Feb'!R$25)),", "&amp;15,"")&amp;IF(ISNUMBER(SEARCH("SDO",'Feb'!S$25)),", "&amp;16,"")&amp;IF(ISNUMBER(SEARCH("SDO",'Feb'!T$25)),", "&amp;17,"")&amp;IF(ISNUMBER(SEARCH("SDO",'Feb'!U$25)),", "&amp;18,"")&amp;IF(ISNUMBER(SEARCH("SDO",'Feb'!V$25)),", "&amp;19,"")&amp;IF(ISNUMBER(SEARCH("SDO",'Feb'!W$25)),", "&amp;20,"")&amp;IF(ISNUMBER(SEARCH("SDO",'Feb'!X$25)),", "&amp;21,"")&amp;IF(ISNUMBER(SEARCH("SDO",'Feb'!Y$25)),", "&amp;22,"")&amp;IF(ISNUMBER(SEARCH("SDO",'Feb'!Z$25)),", "&amp;23,"")&amp;IF(ISNUMBER(SEARCH("SDO",'Feb'!AA$25)),", "&amp;24,"")&amp;IF(ISNUMBER(SEARCH("SDO",'Feb'!AB$25)),", "&amp;25,"")&amp;IF(ISNUMBER(SEARCH("SDO",'Feb'!AC$25)),", "&amp;26,"")&amp;IF(ISNUMBER(SEARCH("SDO",'Feb'!AD$25)),", "&amp;27,"")&amp;IF(ISNUMBER(SEARCH("SDO",'Feb'!AE$25)),", "&amp;28,"")&amp;IF(ISNUMBER(SEARCH("SDO",'Feb'!AF$25)),", "&amp;29,"")&amp;IF(ISNUMBER(SEARCH("SDO",'Feb'!AG$25)),", "&amp;30,"")&amp;IF(ISNUMBER(SEARCH("SDO",'Feb'!AH$25)),", "&amp;31,""),3,200)</f>
        <v/>
      </c>
      <c r="AB7" s="86">
        <f>COUNTIF('Feb'!$D$25:$AH$25,"*SDO*")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MID(IF(ISNUMBER(SEARCH("SDO",'Mar'!D$25)),", "&amp;1,"")&amp;IF(ISNUMBER(SEARCH("SDO",'Mar'!E$25)),", "&amp;2,"")&amp;IF(ISNUMBER(SEARCH("SDO",'Mar'!F$25)),", "&amp;3,"")&amp;IF(ISNUMBER(SEARCH("SDO",'Mar'!G$25)),", "&amp;4,"")&amp;IF(ISNUMBER(SEARCH("SDO",'Mar'!H$25)),", "&amp;5,"")&amp;IF(ISNUMBER(SEARCH("SDO",'Mar'!I$25)),", "&amp;6,"")&amp;IF(ISNUMBER(SEARCH("SDO",'Mar'!J$25)),", "&amp;7,"")&amp;IF(ISNUMBER(SEARCH("SDO",'Mar'!K$25)),", "&amp;8,"")&amp;IF(ISNUMBER(SEARCH("SDO",'Mar'!L$25)),", "&amp;9,"")&amp;IF(ISNUMBER(SEARCH("SDO",'Mar'!M$25)),", "&amp;10,"")&amp;IF(ISNUMBER(SEARCH("SDO",'Mar'!N$25)),", "&amp;11,"")&amp;IF(ISNUMBER(SEARCH("SDO",'Mar'!O$25)),", "&amp;12,"")&amp;IF(ISNUMBER(SEARCH("SDO",'Mar'!P$25)),", "&amp;13,"")&amp;IF(ISNUMBER(SEARCH("SDO",'Mar'!Q$25)),", "&amp;14,"")&amp;IF(ISNUMBER(SEARCH("SDO",'Mar'!R$25)),", "&amp;15,"")&amp;IF(ISNUMBER(SEARCH("SDO",'Mar'!S$25)),", "&amp;16,"")&amp;IF(ISNUMBER(SEARCH("SDO",'Mar'!T$25)),", "&amp;17,"")&amp;IF(ISNUMBER(SEARCH("SDO",'Mar'!U$25)),", "&amp;18,"")&amp;IF(ISNUMBER(SEARCH("SDO",'Mar'!V$25)),", "&amp;19,"")&amp;IF(ISNUMBER(SEARCH("SDO",'Mar'!W$25)),", "&amp;20,"")&amp;IF(ISNUMBER(SEARCH("SDO",'Mar'!X$25)),", "&amp;21,"")&amp;IF(ISNUMBER(SEARCH("SDO",'Mar'!Y$25)),", "&amp;22,"")&amp;IF(ISNUMBER(SEARCH("SDO",'Mar'!Z$25)),", "&amp;23,"")&amp;IF(ISNUMBER(SEARCH("SDO",'Mar'!AA$25)),", "&amp;24,"")&amp;IF(ISNUMBER(SEARCH("SDO",'Mar'!AB$25)),", "&amp;25,"")&amp;IF(ISNUMBER(SEARCH("SDO",'Mar'!AC$25)),", "&amp;26,"")&amp;IF(ISNUMBER(SEARCH("SDO",'Mar'!AD$25)),", "&amp;27,"")&amp;IF(ISNUMBER(SEARCH("SDO",'Mar'!AE$25)),", "&amp;28,"")&amp;IF(ISNUMBER(SEARCH("SDO",'Mar'!AF$25)),", "&amp;29,"")&amp;IF(ISNUMBER(SEARCH("SDO",'Mar'!AG$25)),", "&amp;30,"")&amp;IF(ISNUMBER(SEARCH("SDO",'Mar'!AH$25)),", "&amp;31,""),3,200)</f>
        <v/>
      </c>
      <c r="AB8" s="86">
        <f>COUNTIF('Mar'!$D$25:$AH$25,"*SDO*")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MID(IF(ISNUMBER(SEARCH("SDO",'Apr'!D$25)),", "&amp;1,"")&amp;IF(ISNUMBER(SEARCH("SDO",'Apr'!E$25)),", "&amp;2,"")&amp;IF(ISNUMBER(SEARCH("SDO",'Apr'!F$25)),", "&amp;3,"")&amp;IF(ISNUMBER(SEARCH("SDO",'Apr'!G$25)),", "&amp;4,"")&amp;IF(ISNUMBER(SEARCH("SDO",'Apr'!H$25)),", "&amp;5,"")&amp;IF(ISNUMBER(SEARCH("SDO",'Apr'!I$25)),", "&amp;6,"")&amp;IF(ISNUMBER(SEARCH("SDO",'Apr'!J$25)),", "&amp;7,"")&amp;IF(ISNUMBER(SEARCH("SDO",'Apr'!K$25)),", "&amp;8,"")&amp;IF(ISNUMBER(SEARCH("SDO",'Apr'!L$25)),", "&amp;9,"")&amp;IF(ISNUMBER(SEARCH("SDO",'Apr'!M$25)),", "&amp;10,"")&amp;IF(ISNUMBER(SEARCH("SDO",'Apr'!N$25)),", "&amp;11,"")&amp;IF(ISNUMBER(SEARCH("SDO",'Apr'!O$25)),", "&amp;12,"")&amp;IF(ISNUMBER(SEARCH("SDO",'Apr'!P$25)),", "&amp;13,"")&amp;IF(ISNUMBER(SEARCH("SDO",'Apr'!Q$25)),", "&amp;14,"")&amp;IF(ISNUMBER(SEARCH("SDO",'Apr'!R$25)),", "&amp;15,"")&amp;IF(ISNUMBER(SEARCH("SDO",'Apr'!S$25)),", "&amp;16,"")&amp;IF(ISNUMBER(SEARCH("SDO",'Apr'!T$25)),", "&amp;17,"")&amp;IF(ISNUMBER(SEARCH("SDO",'Apr'!U$25)),", "&amp;18,"")&amp;IF(ISNUMBER(SEARCH("SDO",'Apr'!V$25)),", "&amp;19,"")&amp;IF(ISNUMBER(SEARCH("SDO",'Apr'!W$25)),", "&amp;20,"")&amp;IF(ISNUMBER(SEARCH("SDO",'Apr'!X$25)),", "&amp;21,"")&amp;IF(ISNUMBER(SEARCH("SDO",'Apr'!Y$25)),", "&amp;22,"")&amp;IF(ISNUMBER(SEARCH("SDO",'Apr'!Z$25)),", "&amp;23,"")&amp;IF(ISNUMBER(SEARCH("SDO",'Apr'!AA$25)),", "&amp;24,"")&amp;IF(ISNUMBER(SEARCH("SDO",'Apr'!AB$25)),", "&amp;25,"")&amp;IF(ISNUMBER(SEARCH("SDO",'Apr'!AC$25)),", "&amp;26,"")&amp;IF(ISNUMBER(SEARCH("SDO",'Apr'!AD$25)),", "&amp;27,"")&amp;IF(ISNUMBER(SEARCH("SDO",'Apr'!AE$25)),", "&amp;28,"")&amp;IF(ISNUMBER(SEARCH("SDO",'Apr'!AF$25)),", "&amp;29,"")&amp;IF(ISNUMBER(SEARCH("SDO",'Apr'!AG$25)),", "&amp;30,"")&amp;IF(ISNUMBER(SEARCH("SDO",'Apr'!AH$25)),", "&amp;31,""),3,200)</f>
        <v/>
      </c>
      <c r="AB9" s="86">
        <f>COUNTIF('Apr'!$D$25:$AH$25,"*SDO*")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MID(IF(ISNUMBER(SEARCH("SDO",'May'!D$25)),", "&amp;1,"")&amp;IF(ISNUMBER(SEARCH("SDO",'May'!E$25)),", "&amp;2,"")&amp;IF(ISNUMBER(SEARCH("SDO",'May'!F$25)),", "&amp;3,"")&amp;IF(ISNUMBER(SEARCH("SDO",'May'!G$25)),", "&amp;4,"")&amp;IF(ISNUMBER(SEARCH("SDO",'May'!H$25)),", "&amp;5,"")&amp;IF(ISNUMBER(SEARCH("SDO",'May'!I$25)),", "&amp;6,"")&amp;IF(ISNUMBER(SEARCH("SDO",'May'!J$25)),", "&amp;7,"")&amp;IF(ISNUMBER(SEARCH("SDO",'May'!K$25)),", "&amp;8,"")&amp;IF(ISNUMBER(SEARCH("SDO",'May'!L$25)),", "&amp;9,"")&amp;IF(ISNUMBER(SEARCH("SDO",'May'!M$25)),", "&amp;10,"")&amp;IF(ISNUMBER(SEARCH("SDO",'May'!N$25)),", "&amp;11,"")&amp;IF(ISNUMBER(SEARCH("SDO",'May'!O$25)),", "&amp;12,"")&amp;IF(ISNUMBER(SEARCH("SDO",'May'!P$25)),", "&amp;13,"")&amp;IF(ISNUMBER(SEARCH("SDO",'May'!Q$25)),", "&amp;14,"")&amp;IF(ISNUMBER(SEARCH("SDO",'May'!R$25)),", "&amp;15,"")&amp;IF(ISNUMBER(SEARCH("SDO",'May'!S$25)),", "&amp;16,"")&amp;IF(ISNUMBER(SEARCH("SDO",'May'!T$25)),", "&amp;17,"")&amp;IF(ISNUMBER(SEARCH("SDO",'May'!U$25)),", "&amp;18,"")&amp;IF(ISNUMBER(SEARCH("SDO",'May'!V$25)),", "&amp;19,"")&amp;IF(ISNUMBER(SEARCH("SDO",'May'!W$25)),", "&amp;20,"")&amp;IF(ISNUMBER(SEARCH("SDO",'May'!X$25)),", "&amp;21,"")&amp;IF(ISNUMBER(SEARCH("SDO",'May'!Y$25)),", "&amp;22,"")&amp;IF(ISNUMBER(SEARCH("SDO",'May'!Z$25)),", "&amp;23,"")&amp;IF(ISNUMBER(SEARCH("SDO",'May'!AA$25)),", "&amp;24,"")&amp;IF(ISNUMBER(SEARCH("SDO",'May'!AB$25)),", "&amp;25,"")&amp;IF(ISNUMBER(SEARCH("SDO",'May'!AC$25)),", "&amp;26,"")&amp;IF(ISNUMBER(SEARCH("SDO",'May'!AD$25)),", "&amp;27,"")&amp;IF(ISNUMBER(SEARCH("SDO",'May'!AE$25)),", "&amp;28,"")&amp;IF(ISNUMBER(SEARCH("SDO",'May'!AF$25)),", "&amp;29,"")&amp;IF(ISNUMBER(SEARCH("SDO",'May'!AG$25)),", "&amp;30,"")&amp;IF(ISNUMBER(SEARCH("SDO",'May'!AH$25)),", "&amp;31,""),3,200)</f>
        <v/>
      </c>
      <c r="AB10" s="86">
        <f>COUNTIF('May'!$D$25:$AH$25,"*SDO*")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MID(IF(ISNUMBER(SEARCH("SDO",'Jun'!D$25)),", "&amp;1,"")&amp;IF(ISNUMBER(SEARCH("SDO",'Jun'!E$25)),", "&amp;2,"")&amp;IF(ISNUMBER(SEARCH("SDO",'Jun'!F$25)),", "&amp;3,"")&amp;IF(ISNUMBER(SEARCH("SDO",'Jun'!G$25)),", "&amp;4,"")&amp;IF(ISNUMBER(SEARCH("SDO",'Jun'!H$25)),", "&amp;5,"")&amp;IF(ISNUMBER(SEARCH("SDO",'Jun'!I$25)),", "&amp;6,"")&amp;IF(ISNUMBER(SEARCH("SDO",'Jun'!J$25)),", "&amp;7,"")&amp;IF(ISNUMBER(SEARCH("SDO",'Jun'!K$25)),", "&amp;8,"")&amp;IF(ISNUMBER(SEARCH("SDO",'Jun'!L$25)),", "&amp;9,"")&amp;IF(ISNUMBER(SEARCH("SDO",'Jun'!M$25)),", "&amp;10,"")&amp;IF(ISNUMBER(SEARCH("SDO",'Jun'!N$25)),", "&amp;11,"")&amp;IF(ISNUMBER(SEARCH("SDO",'Jun'!O$25)),", "&amp;12,"")&amp;IF(ISNUMBER(SEARCH("SDO",'Jun'!P$25)),", "&amp;13,"")&amp;IF(ISNUMBER(SEARCH("SDO",'Jun'!Q$25)),", "&amp;14,"")&amp;IF(ISNUMBER(SEARCH("SDO",'Jun'!R$25)),", "&amp;15,"")&amp;IF(ISNUMBER(SEARCH("SDO",'Jun'!S$25)),", "&amp;16,"")&amp;IF(ISNUMBER(SEARCH("SDO",'Jun'!T$25)),", "&amp;17,"")&amp;IF(ISNUMBER(SEARCH("SDO",'Jun'!U$25)),", "&amp;18,"")&amp;IF(ISNUMBER(SEARCH("SDO",'Jun'!V$25)),", "&amp;19,"")&amp;IF(ISNUMBER(SEARCH("SDO",'Jun'!W$25)),", "&amp;20,"")&amp;IF(ISNUMBER(SEARCH("SDO",'Jun'!X$25)),", "&amp;21,"")&amp;IF(ISNUMBER(SEARCH("SDO",'Jun'!Y$25)),", "&amp;22,"")&amp;IF(ISNUMBER(SEARCH("SDO",'Jun'!Z$25)),", "&amp;23,"")&amp;IF(ISNUMBER(SEARCH("SDO",'Jun'!AA$25)),", "&amp;24,"")&amp;IF(ISNUMBER(SEARCH("SDO",'Jun'!AB$25)),", "&amp;25,"")&amp;IF(ISNUMBER(SEARCH("SDO",'Jun'!AC$25)),", "&amp;26,"")&amp;IF(ISNUMBER(SEARCH("SDO",'Jun'!AD$25)),", "&amp;27,"")&amp;IF(ISNUMBER(SEARCH("SDO",'Jun'!AE$25)),", "&amp;28,"")&amp;IF(ISNUMBER(SEARCH("SDO",'Jun'!AF$25)),", "&amp;29,"")&amp;IF(ISNUMBER(SEARCH("SDO",'Jun'!AG$25)),", "&amp;30,"")&amp;IF(ISNUMBER(SEARCH("SDO",'Jun'!AH$25)),", "&amp;31,""),3,200)</f>
        <v/>
      </c>
      <c r="AB11" s="86">
        <f>COUNTIF('Jun'!$D$25:$AH$25,"*SDO*")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MID(IF(ISNUMBER(SEARCH("SDO",'Jul'!D$25)),", "&amp;1,"")&amp;IF(ISNUMBER(SEARCH("SDO",'Jul'!E$25)),", "&amp;2,"")&amp;IF(ISNUMBER(SEARCH("SDO",'Jul'!F$25)),", "&amp;3,"")&amp;IF(ISNUMBER(SEARCH("SDO",'Jul'!G$25)),", "&amp;4,"")&amp;IF(ISNUMBER(SEARCH("SDO",'Jul'!H$25)),", "&amp;5,"")&amp;IF(ISNUMBER(SEARCH("SDO",'Jul'!I$25)),", "&amp;6,"")&amp;IF(ISNUMBER(SEARCH("SDO",'Jul'!J$25)),", "&amp;7,"")&amp;IF(ISNUMBER(SEARCH("SDO",'Jul'!K$25)),", "&amp;8,"")&amp;IF(ISNUMBER(SEARCH("SDO",'Jul'!L$25)),", "&amp;9,"")&amp;IF(ISNUMBER(SEARCH("SDO",'Jul'!M$25)),", "&amp;10,"")&amp;IF(ISNUMBER(SEARCH("SDO",'Jul'!N$25)),", "&amp;11,"")&amp;IF(ISNUMBER(SEARCH("SDO",'Jul'!O$25)),", "&amp;12,"")&amp;IF(ISNUMBER(SEARCH("SDO",'Jul'!P$25)),", "&amp;13,"")&amp;IF(ISNUMBER(SEARCH("SDO",'Jul'!Q$25)),", "&amp;14,"")&amp;IF(ISNUMBER(SEARCH("SDO",'Jul'!R$25)),", "&amp;15,"")&amp;IF(ISNUMBER(SEARCH("SDO",'Jul'!S$25)),", "&amp;16,"")&amp;IF(ISNUMBER(SEARCH("SDO",'Jul'!T$25)),", "&amp;17,"")&amp;IF(ISNUMBER(SEARCH("SDO",'Jul'!U$25)),", "&amp;18,"")&amp;IF(ISNUMBER(SEARCH("SDO",'Jul'!V$25)),", "&amp;19,"")&amp;IF(ISNUMBER(SEARCH("SDO",'Jul'!W$25)),", "&amp;20,"")&amp;IF(ISNUMBER(SEARCH("SDO",'Jul'!X$25)),", "&amp;21,"")&amp;IF(ISNUMBER(SEARCH("SDO",'Jul'!Y$25)),", "&amp;22,"")&amp;IF(ISNUMBER(SEARCH("SDO",'Jul'!Z$25)),", "&amp;23,"")&amp;IF(ISNUMBER(SEARCH("SDO",'Jul'!AA$25)),", "&amp;24,"")&amp;IF(ISNUMBER(SEARCH("SDO",'Jul'!AB$25)),", "&amp;25,"")&amp;IF(ISNUMBER(SEARCH("SDO",'Jul'!AC$25)),", "&amp;26,"")&amp;IF(ISNUMBER(SEARCH("SDO",'Jul'!AD$25)),", "&amp;27,"")&amp;IF(ISNUMBER(SEARCH("SDO",'Jul'!AE$25)),", "&amp;28,"")&amp;IF(ISNUMBER(SEARCH("SDO",'Jul'!AF$25)),", "&amp;29,"")&amp;IF(ISNUMBER(SEARCH("SDO",'Jul'!AG$25)),", "&amp;30,"")&amp;IF(ISNUMBER(SEARCH("SDO",'Jul'!AH$25)),", "&amp;31,""),3,200)</f>
        <v/>
      </c>
      <c r="AB12" s="86">
        <f>COUNTIF('Jul'!$D$25:$AH$25,"*SDO*")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MID(IF(ISNUMBER(SEARCH("SDO",'Aug'!D$25)),", "&amp;1,"")&amp;IF(ISNUMBER(SEARCH("SDO",'Aug'!E$25)),", "&amp;2,"")&amp;IF(ISNUMBER(SEARCH("SDO",'Aug'!F$25)),", "&amp;3,"")&amp;IF(ISNUMBER(SEARCH("SDO",'Aug'!G$25)),", "&amp;4,"")&amp;IF(ISNUMBER(SEARCH("SDO",'Aug'!H$25)),", "&amp;5,"")&amp;IF(ISNUMBER(SEARCH("SDO",'Aug'!I$25)),", "&amp;6,"")&amp;IF(ISNUMBER(SEARCH("SDO",'Aug'!J$25)),", "&amp;7,"")&amp;IF(ISNUMBER(SEARCH("SDO",'Aug'!K$25)),", "&amp;8,"")&amp;IF(ISNUMBER(SEARCH("SDO",'Aug'!L$25)),", "&amp;9,"")&amp;IF(ISNUMBER(SEARCH("SDO",'Aug'!M$25)),", "&amp;10,"")&amp;IF(ISNUMBER(SEARCH("SDO",'Aug'!N$25)),", "&amp;11,"")&amp;IF(ISNUMBER(SEARCH("SDO",'Aug'!O$25)),", "&amp;12,"")&amp;IF(ISNUMBER(SEARCH("SDO",'Aug'!P$25)),", "&amp;13,"")&amp;IF(ISNUMBER(SEARCH("SDO",'Aug'!Q$25)),", "&amp;14,"")&amp;IF(ISNUMBER(SEARCH("SDO",'Aug'!R$25)),", "&amp;15,"")&amp;IF(ISNUMBER(SEARCH("SDO",'Aug'!S$25)),", "&amp;16,"")&amp;IF(ISNUMBER(SEARCH("SDO",'Aug'!T$25)),", "&amp;17,"")&amp;IF(ISNUMBER(SEARCH("SDO",'Aug'!U$25)),", "&amp;18,"")&amp;IF(ISNUMBER(SEARCH("SDO",'Aug'!V$25)),", "&amp;19,"")&amp;IF(ISNUMBER(SEARCH("SDO",'Aug'!W$25)),", "&amp;20,"")&amp;IF(ISNUMBER(SEARCH("SDO",'Aug'!X$25)),", "&amp;21,"")&amp;IF(ISNUMBER(SEARCH("SDO",'Aug'!Y$25)),", "&amp;22,"")&amp;IF(ISNUMBER(SEARCH("SDO",'Aug'!Z$25)),", "&amp;23,"")&amp;IF(ISNUMBER(SEARCH("SDO",'Aug'!AA$25)),", "&amp;24,"")&amp;IF(ISNUMBER(SEARCH("SDO",'Aug'!AB$25)),", "&amp;25,"")&amp;IF(ISNUMBER(SEARCH("SDO",'Aug'!AC$25)),", "&amp;26,"")&amp;IF(ISNUMBER(SEARCH("SDO",'Aug'!AD$25)),", "&amp;27,"")&amp;IF(ISNUMBER(SEARCH("SDO",'Aug'!AE$25)),", "&amp;28,"")&amp;IF(ISNUMBER(SEARCH("SDO",'Aug'!AF$25)),", "&amp;29,"")&amp;IF(ISNUMBER(SEARCH("SDO",'Aug'!AG$25)),", "&amp;30,"")&amp;IF(ISNUMBER(SEARCH("SDO",'Aug'!AH$25)),", "&amp;31,""),3,200)</f>
        <v/>
      </c>
      <c r="AB13" s="86">
        <f>COUNTIF('Aug'!$D$25:$AH$25,"*SDO*")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MID(IF(ISNUMBER(SEARCH("SDO",'Sep'!D$25)),", "&amp;1,"")&amp;IF(ISNUMBER(SEARCH("SDO",'Sep'!E$25)),", "&amp;2,"")&amp;IF(ISNUMBER(SEARCH("SDO",'Sep'!F$25)),", "&amp;3,"")&amp;IF(ISNUMBER(SEARCH("SDO",'Sep'!G$25)),", "&amp;4,"")&amp;IF(ISNUMBER(SEARCH("SDO",'Sep'!H$25)),", "&amp;5,"")&amp;IF(ISNUMBER(SEARCH("SDO",'Sep'!I$25)),", "&amp;6,"")&amp;IF(ISNUMBER(SEARCH("SDO",'Sep'!J$25)),", "&amp;7,"")&amp;IF(ISNUMBER(SEARCH("SDO",'Sep'!K$25)),", "&amp;8,"")&amp;IF(ISNUMBER(SEARCH("SDO",'Sep'!L$25)),", "&amp;9,"")&amp;IF(ISNUMBER(SEARCH("SDO",'Sep'!M$25)),", "&amp;10,"")&amp;IF(ISNUMBER(SEARCH("SDO",'Sep'!N$25)),", "&amp;11,"")&amp;IF(ISNUMBER(SEARCH("SDO",'Sep'!O$25)),", "&amp;12,"")&amp;IF(ISNUMBER(SEARCH("SDO",'Sep'!P$25)),", "&amp;13,"")&amp;IF(ISNUMBER(SEARCH("SDO",'Sep'!Q$25)),", "&amp;14,"")&amp;IF(ISNUMBER(SEARCH("SDO",'Sep'!R$25)),", "&amp;15,"")&amp;IF(ISNUMBER(SEARCH("SDO",'Sep'!S$25)),", "&amp;16,"")&amp;IF(ISNUMBER(SEARCH("SDO",'Sep'!T$25)),", "&amp;17,"")&amp;IF(ISNUMBER(SEARCH("SDO",'Sep'!U$25)),", "&amp;18,"")&amp;IF(ISNUMBER(SEARCH("SDO",'Sep'!V$25)),", "&amp;19,"")&amp;IF(ISNUMBER(SEARCH("SDO",'Sep'!W$25)),", "&amp;20,"")&amp;IF(ISNUMBER(SEARCH("SDO",'Sep'!X$25)),", "&amp;21,"")&amp;IF(ISNUMBER(SEARCH("SDO",'Sep'!Y$25)),", "&amp;22,"")&amp;IF(ISNUMBER(SEARCH("SDO",'Sep'!Z$25)),", "&amp;23,"")&amp;IF(ISNUMBER(SEARCH("SDO",'Sep'!AA$25)),", "&amp;24,"")&amp;IF(ISNUMBER(SEARCH("SDO",'Sep'!AB$25)),", "&amp;25,"")&amp;IF(ISNUMBER(SEARCH("SDO",'Sep'!AC$25)),", "&amp;26,"")&amp;IF(ISNUMBER(SEARCH("SDO",'Sep'!AD$25)),", "&amp;27,"")&amp;IF(ISNUMBER(SEARCH("SDO",'Sep'!AE$25)),", "&amp;28,"")&amp;IF(ISNUMBER(SEARCH("SDO",'Sep'!AF$25)),", "&amp;29,"")&amp;IF(ISNUMBER(SEARCH("SDO",'Sep'!AG$25)),", "&amp;30,"")&amp;IF(ISNUMBER(SEARCH("SDO",'Sep'!AH$25)),", "&amp;31,""),3,200)</f>
        <v/>
      </c>
      <c r="AB14" s="86">
        <f>COUNTIF('Sep'!$D$25:$AH$25,"*SDO*")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MID(IF(ISNUMBER(SEARCH("SDO",'Oct'!D$25)),", "&amp;1,"")&amp;IF(ISNUMBER(SEARCH("SDO",'Oct'!E$25)),", "&amp;2,"")&amp;IF(ISNUMBER(SEARCH("SDO",'Oct'!F$25)),", "&amp;3,"")&amp;IF(ISNUMBER(SEARCH("SDO",'Oct'!G$25)),", "&amp;4,"")&amp;IF(ISNUMBER(SEARCH("SDO",'Oct'!H$25)),", "&amp;5,"")&amp;IF(ISNUMBER(SEARCH("SDO",'Oct'!I$25)),", "&amp;6,"")&amp;IF(ISNUMBER(SEARCH("SDO",'Oct'!J$25)),", "&amp;7,"")&amp;IF(ISNUMBER(SEARCH("SDO",'Oct'!K$25)),", "&amp;8,"")&amp;IF(ISNUMBER(SEARCH("SDO",'Oct'!L$25)),", "&amp;9,"")&amp;IF(ISNUMBER(SEARCH("SDO",'Oct'!M$25)),", "&amp;10,"")&amp;IF(ISNUMBER(SEARCH("SDO",'Oct'!N$25)),", "&amp;11,"")&amp;IF(ISNUMBER(SEARCH("SDO",'Oct'!O$25)),", "&amp;12,"")&amp;IF(ISNUMBER(SEARCH("SDO",'Oct'!P$25)),", "&amp;13,"")&amp;IF(ISNUMBER(SEARCH("SDO",'Oct'!Q$25)),", "&amp;14,"")&amp;IF(ISNUMBER(SEARCH("SDO",'Oct'!R$25)),", "&amp;15,"")&amp;IF(ISNUMBER(SEARCH("SDO",'Oct'!S$25)),", "&amp;16,"")&amp;IF(ISNUMBER(SEARCH("SDO",'Oct'!T$25)),", "&amp;17,"")&amp;IF(ISNUMBER(SEARCH("SDO",'Oct'!U$25)),", "&amp;18,"")&amp;IF(ISNUMBER(SEARCH("SDO",'Oct'!V$25)),", "&amp;19,"")&amp;IF(ISNUMBER(SEARCH("SDO",'Oct'!W$25)),", "&amp;20,"")&amp;IF(ISNUMBER(SEARCH("SDO",'Oct'!X$25)),", "&amp;21,"")&amp;IF(ISNUMBER(SEARCH("SDO",'Oct'!Y$25)),", "&amp;22,"")&amp;IF(ISNUMBER(SEARCH("SDO",'Oct'!Z$25)),", "&amp;23,"")&amp;IF(ISNUMBER(SEARCH("SDO",'Oct'!AA$25)),", "&amp;24,"")&amp;IF(ISNUMBER(SEARCH("SDO",'Oct'!AB$25)),", "&amp;25,"")&amp;IF(ISNUMBER(SEARCH("SDO",'Oct'!AC$25)),", "&amp;26,"")&amp;IF(ISNUMBER(SEARCH("SDO",'Oct'!AD$25)),", "&amp;27,"")&amp;IF(ISNUMBER(SEARCH("SDO",'Oct'!AE$25)),", "&amp;28,"")&amp;IF(ISNUMBER(SEARCH("SDO",'Oct'!AF$25)),", "&amp;29,"")&amp;IF(ISNUMBER(SEARCH("SDO",'Oct'!AG$25)),", "&amp;30,"")&amp;IF(ISNUMBER(SEARCH("SDO",'Oct'!AH$25)),", "&amp;31,""),3,200)</f>
        <v/>
      </c>
      <c r="AB15" s="86">
        <f>COUNTIF('Oct'!$D$25:$AH$25,"*SDO*")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MID(IF(ISNUMBER(SEARCH("SDO",'Nov'!D$25)),", "&amp;1,"")&amp;IF(ISNUMBER(SEARCH("SDO",'Nov'!E$25)),", "&amp;2,"")&amp;IF(ISNUMBER(SEARCH("SDO",'Nov'!F$25)),", "&amp;3,"")&amp;IF(ISNUMBER(SEARCH("SDO",'Nov'!G$25)),", "&amp;4,"")&amp;IF(ISNUMBER(SEARCH("SDO",'Nov'!H$25)),", "&amp;5,"")&amp;IF(ISNUMBER(SEARCH("SDO",'Nov'!I$25)),", "&amp;6,"")&amp;IF(ISNUMBER(SEARCH("SDO",'Nov'!J$25)),", "&amp;7,"")&amp;IF(ISNUMBER(SEARCH("SDO",'Nov'!K$25)),", "&amp;8,"")&amp;IF(ISNUMBER(SEARCH("SDO",'Nov'!L$25)),", "&amp;9,"")&amp;IF(ISNUMBER(SEARCH("SDO",'Nov'!M$25)),", "&amp;10,"")&amp;IF(ISNUMBER(SEARCH("SDO",'Nov'!N$25)),", "&amp;11,"")&amp;IF(ISNUMBER(SEARCH("SDO",'Nov'!O$25)),", "&amp;12,"")&amp;IF(ISNUMBER(SEARCH("SDO",'Nov'!P$25)),", "&amp;13,"")&amp;IF(ISNUMBER(SEARCH("SDO",'Nov'!Q$25)),", "&amp;14,"")&amp;IF(ISNUMBER(SEARCH("SDO",'Nov'!R$25)),", "&amp;15,"")&amp;IF(ISNUMBER(SEARCH("SDO",'Nov'!S$25)),", "&amp;16,"")&amp;IF(ISNUMBER(SEARCH("SDO",'Nov'!T$25)),", "&amp;17,"")&amp;IF(ISNUMBER(SEARCH("SDO",'Nov'!U$25)),", "&amp;18,"")&amp;IF(ISNUMBER(SEARCH("SDO",'Nov'!V$25)),", "&amp;19,"")&amp;IF(ISNUMBER(SEARCH("SDO",'Nov'!W$25)),", "&amp;20,"")&amp;IF(ISNUMBER(SEARCH("SDO",'Nov'!X$25)),", "&amp;21,"")&amp;IF(ISNUMBER(SEARCH("SDO",'Nov'!Y$25)),", "&amp;22,"")&amp;IF(ISNUMBER(SEARCH("SDO",'Nov'!Z$25)),", "&amp;23,"")&amp;IF(ISNUMBER(SEARCH("SDO",'Nov'!AA$25)),", "&amp;24,"")&amp;IF(ISNUMBER(SEARCH("SDO",'Nov'!AB$25)),", "&amp;25,"")&amp;IF(ISNUMBER(SEARCH("SDO",'Nov'!AC$25)),", "&amp;26,"")&amp;IF(ISNUMBER(SEARCH("SDO",'Nov'!AD$25)),", "&amp;27,"")&amp;IF(ISNUMBER(SEARCH("SDO",'Nov'!AE$25)),", "&amp;28,"")&amp;IF(ISNUMBER(SEARCH("SDO",'Nov'!AF$25)),", "&amp;29,"")&amp;IF(ISNUMBER(SEARCH("SDO",'Nov'!AG$25)),", "&amp;30,"")&amp;IF(ISNUMBER(SEARCH("SDO",'Nov'!AH$25)),", "&amp;31,""),3,200)</f>
        <v/>
      </c>
      <c r="AB16" s="86">
        <f>COUNTIF('Nov'!$D$25:$AH$25,"*SDO*")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MID(IF(ISNUMBER(SEARCH("SDO",'Dec'!D$25)),", "&amp;1,"")&amp;IF(ISNUMBER(SEARCH("SDO",'Dec'!E$25)),", "&amp;2,"")&amp;IF(ISNUMBER(SEARCH("SDO",'Dec'!F$25)),", "&amp;3,"")&amp;IF(ISNUMBER(SEARCH("SDO",'Dec'!G$25)),", "&amp;4,"")&amp;IF(ISNUMBER(SEARCH("SDO",'Dec'!H$25)),", "&amp;5,"")&amp;IF(ISNUMBER(SEARCH("SDO",'Dec'!I$25)),", "&amp;6,"")&amp;IF(ISNUMBER(SEARCH("SDO",'Dec'!J$25)),", "&amp;7,"")&amp;IF(ISNUMBER(SEARCH("SDO",'Dec'!K$25)),", "&amp;8,"")&amp;IF(ISNUMBER(SEARCH("SDO",'Dec'!L$25)),", "&amp;9,"")&amp;IF(ISNUMBER(SEARCH("SDO",'Dec'!M$25)),", "&amp;10,"")&amp;IF(ISNUMBER(SEARCH("SDO",'Dec'!N$25)),", "&amp;11,"")&amp;IF(ISNUMBER(SEARCH("SDO",'Dec'!O$25)),", "&amp;12,"")&amp;IF(ISNUMBER(SEARCH("SDO",'Dec'!P$25)),", "&amp;13,"")&amp;IF(ISNUMBER(SEARCH("SDO",'Dec'!Q$25)),", "&amp;14,"")&amp;IF(ISNUMBER(SEARCH("SDO",'Dec'!R$25)),", "&amp;15,"")&amp;IF(ISNUMBER(SEARCH("SDO",'Dec'!S$25)),", "&amp;16,"")&amp;IF(ISNUMBER(SEARCH("SDO",'Dec'!T$25)),", "&amp;17,"")&amp;IF(ISNUMBER(SEARCH("SDO",'Dec'!U$25)),", "&amp;18,"")&amp;IF(ISNUMBER(SEARCH("SDO",'Dec'!V$25)),", "&amp;19,"")&amp;IF(ISNUMBER(SEARCH("SDO",'Dec'!W$25)),", "&amp;20,"")&amp;IF(ISNUMBER(SEARCH("SDO",'Dec'!X$25)),", "&amp;21,"")&amp;IF(ISNUMBER(SEARCH("SDO",'Dec'!Y$25)),", "&amp;22,"")&amp;IF(ISNUMBER(SEARCH("SDO",'Dec'!Z$25)),", "&amp;23,"")&amp;IF(ISNUMBER(SEARCH("SDO",'Dec'!AA$25)),", "&amp;24,"")&amp;IF(ISNUMBER(SEARCH("SDO",'Dec'!AB$25)),", "&amp;25,"")&amp;IF(ISNUMBER(SEARCH("SDO",'Dec'!AC$25)),", "&amp;26,"")&amp;IF(ISNUMBER(SEARCH("SDO",'Dec'!AD$25)),", "&amp;27,"")&amp;IF(ISNUMBER(SEARCH("SDO",'Dec'!AE$25)),", "&amp;28,"")&amp;IF(ISNUMBER(SEARCH("SDO",'Dec'!AF$25)),", "&amp;29,"")&amp;IF(ISNUMBER(SEARCH("SDO",'Dec'!AG$25)),", "&amp;30,"")&amp;IF(ISNUMBER(SEARCH("SDO",'Dec'!AH$25)),", "&amp;31,""),3,200)</f>
        <v/>
      </c>
      <c r="AB17" s="86">
        <f>COUNTIF('Dec'!$D$25:$AH$25,"*SDO*")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MID(IF(ISNUMBER(SEARCH("SDO",'Jan (next year)'!D$25)),", "&amp;1,"")&amp;IF(ISNUMBER(SEARCH("SDO",'Jan (next year)'!E$25)),", "&amp;2,"")&amp;IF(ISNUMBER(SEARCH("SDO",'Jan (next year)'!F$25)),", "&amp;3,"")&amp;IF(ISNUMBER(SEARCH("SDO",'Jan (next year)'!G$25)),", "&amp;4,"")&amp;IF(ISNUMBER(SEARCH("SDO",'Jan (next year)'!H$25)),", "&amp;5,"")&amp;IF(ISNUMBER(SEARCH("SDO",'Jan (next year)'!I$25)),", "&amp;6,"")&amp;IF(ISNUMBER(SEARCH("SDO",'Jan (next year)'!J$25)),", "&amp;7,"")&amp;IF(ISNUMBER(SEARCH("SDO",'Jan (next year)'!K$25)),", "&amp;8,"")&amp;IF(ISNUMBER(SEARCH("SDO",'Jan (next year)'!L$25)),", "&amp;9,"")&amp;IF(ISNUMBER(SEARCH("SDO",'Jan (next year)'!M$25)),", "&amp;10,"")&amp;IF(ISNUMBER(SEARCH("SDO",'Jan (next year)'!N$25)),", "&amp;11,"")&amp;IF(ISNUMBER(SEARCH("SDO",'Jan (next year)'!O$25)),", "&amp;12,"")&amp;IF(ISNUMBER(SEARCH("SDO",'Jan (next year)'!P$25)),", "&amp;13,"")&amp;IF(ISNUMBER(SEARCH("SDO",'Jan (next year)'!Q$25)),", "&amp;14,"")&amp;IF(ISNUMBER(SEARCH("SDO",'Jan (next year)'!R$25)),", "&amp;15,"")&amp;IF(ISNUMBER(SEARCH("SDO",'Jan (next year)'!S$25)),", "&amp;16,"")&amp;IF(ISNUMBER(SEARCH("SDO",'Jan (next year)'!T$25)),", "&amp;17,"")&amp;IF(ISNUMBER(SEARCH("SDO",'Jan (next year)'!U$25)),", "&amp;18,"")&amp;IF(ISNUMBER(SEARCH("SDO",'Jan (next year)'!V$25)),", "&amp;19,"")&amp;IF(ISNUMBER(SEARCH("SDO",'Jan (next year)'!W$25)),", "&amp;20,"")&amp;IF(ISNUMBER(SEARCH("SDO",'Jan (next year)'!X$25)),", "&amp;21,"")&amp;IF(ISNUMBER(SEARCH("SDO",'Jan (next year)'!Y$25)),", "&amp;22,"")&amp;IF(ISNUMBER(SEARCH("SDO",'Jan (next year)'!Z$25)),", "&amp;23,"")&amp;IF(ISNUMBER(SEARCH("SDO",'Jan (next year)'!AA$25)),", "&amp;24,"")&amp;IF(ISNUMBER(SEARCH("SDO",'Jan (next year)'!AB$25)),", "&amp;25,"")&amp;IF(ISNUMBER(SEARCH("SDO",'Jan (next year)'!AC$25)),", "&amp;26,"")&amp;IF(ISNUMBER(SEARCH("SDO",'Jan (next year)'!AD$25)),", "&amp;27,"")&amp;IF(ISNUMBER(SEARCH("SDO",'Jan (next year)'!AE$25)),", "&amp;28,"")&amp;IF(ISNUMBER(SEARCH("SDO",'Jan (next year)'!AF$25)),", "&amp;29,"")&amp;IF(ISNUMBER(SEARCH("SDO",'Jan (next year)'!AG$25)),", "&amp;30,"")&amp;IF(ISNUMBER(SEARCH("SDO",'Jan (next year)'!AH$25)),", "&amp;31,""),3,200)</f>
        <v/>
      </c>
      <c r="AB19" s="86">
        <f>COUNTIF('Jan (next year)'!$D$25:$AH$25,"*SDO*")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n"/>
      <c r="F57" s="90" t="n"/>
      <c r="G57" s="90" t="n"/>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inlineStr">
        <is>
          <t>Loadmaster</t>
        </is>
      </c>
      <c r="B59" s="90" t="n"/>
      <c r="C59" s="90" t="inlineStr">
        <is>
          <t>Loadmaster</t>
        </is>
      </c>
      <c r="D59" s="90" t="n"/>
      <c r="E59" s="90" t="inlineStr">
        <is>
          <t>Loadmaster</t>
        </is>
      </c>
      <c r="F59" s="90" t="n"/>
      <c r="G59" s="90" t="n"/>
      <c r="I59" s="90" t="n"/>
      <c r="J59" s="90" t="inlineStr">
        <is>
          <t>Loadmaster</t>
        </is>
      </c>
      <c r="K59" s="90" t="n"/>
      <c r="L59" s="90" t="n"/>
      <c r="M59" s="90" t="inlineStr">
        <is>
          <t>Loadmaster</t>
        </is>
      </c>
      <c r="N59" s="90" t="n"/>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inlineStr">
        <is>
          <t>Loadmaster</t>
        </is>
      </c>
      <c r="C61" s="90" t="n"/>
      <c r="D61" s="90" t="n"/>
      <c r="E61" s="90" t="inlineStr">
        <is>
          <t>Loadmaster</t>
        </is>
      </c>
      <c r="F61" s="90" t="n"/>
      <c r="G61" s="90" t="n"/>
      <c r="I61" s="90" t="inlineStr">
        <is>
          <t>Loadmaster</t>
        </is>
      </c>
      <c r="J61" s="90" t="n"/>
      <c r="K61" s="90" t="n"/>
      <c r="L61" s="90" t="inlineStr">
        <is>
          <t>Loadmaster</t>
        </is>
      </c>
      <c r="M61" s="90" t="n"/>
      <c r="N61" s="90" t="n"/>
      <c r="O61" s="90" t="inlineStr">
        <is>
          <t>Loadmaster</t>
        </is>
      </c>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inlineStr">
        <is>
          <t>Loadmaster</t>
        </is>
      </c>
      <c r="B63" s="90" t="n"/>
      <c r="C63" s="90" t="n"/>
      <c r="D63" s="90" t="inlineStr">
        <is>
          <t>Loadmaster</t>
        </is>
      </c>
      <c r="E63" s="90" t="n"/>
      <c r="F63" s="90" t="n"/>
      <c r="G63" s="90" t="inlineStr">
        <is>
          <t>Loadmaster</t>
        </is>
      </c>
      <c r="I63" s="90" t="n"/>
      <c r="J63" s="90" t="n"/>
      <c r="K63" s="90" t="inlineStr">
        <is>
          <t>Loadmaster</t>
        </is>
      </c>
      <c r="L63" s="90" t="n"/>
      <c r="M63" s="90" t="n"/>
      <c r="N63" s="90" t="inlineStr">
        <is>
          <t>Loadmaster</t>
        </is>
      </c>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n"/>
      <c r="C65" s="90" t="inlineStr">
        <is>
          <t>Loadmaster</t>
        </is>
      </c>
      <c r="D65" s="90" t="n"/>
      <c r="E65" s="90" t="n"/>
      <c r="F65" s="90" t="inlineStr">
        <is>
          <t>Loadmaster</t>
        </is>
      </c>
      <c r="G65" s="90" t="n"/>
      <c r="I65" s="90" t="n"/>
      <c r="J65" s="90" t="inlineStr">
        <is>
          <t>Loadmaster</t>
        </is>
      </c>
      <c r="K65" s="90" t="n"/>
      <c r="L65" s="90" t="n"/>
      <c r="M65" s="90" t="inlineStr">
        <is>
          <t>Loadmaster</t>
        </is>
      </c>
      <c r="N65" s="90" t="n"/>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inlineStr">
        <is>
          <t>Loadmaster</t>
        </is>
      </c>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SDO day" error="Pick your department from the dropdown, or leave the day empty." type="list" errorStyle="stop">
      <formula1>ThisDept</formula1>
    </dataValidation>
  </dataValidations>
  <pageMargins left="0.75" right="0.75" top="1" bottom="1" header="0.5" footer="0.5"/>
</worksheet>
</file>

<file path=xl/worksheets/sheet5.xml><?xml version="1.0" encoding="utf-8"?>
<worksheet xmlns="http://schemas.openxmlformats.org/spreadsheetml/2006/main">
  <sheetPr>
    <tabColor rgb="001D4ED8"/>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BDO PLANNING CALENDAR  |  LOADMASTER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Base Duty Officer (BDO) days for Loadmaster.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BDO days are kept in their own files. Open them in the dashboard to see the combined calendar.</t>
        </is>
      </c>
      <c r="Z4" s="29">
        <f>"BDO DATES  |  "&amp;UPPER(ThisDept)</f>
        <v/>
      </c>
    </row>
    <row r="5">
      <c r="Z5" s="31" t="inlineStr">
        <is>
          <t>Month</t>
        </is>
      </c>
      <c r="AA5" s="31" t="inlineStr">
        <is>
          <t>BDO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MID(IF(ISNUMBER(SEARCH("BDO",'Jan'!D$25)),", "&amp;1,"")&amp;IF(ISNUMBER(SEARCH("BDO",'Jan'!E$25)),", "&amp;2,"")&amp;IF(ISNUMBER(SEARCH("BDO",'Jan'!F$25)),", "&amp;3,"")&amp;IF(ISNUMBER(SEARCH("BDO",'Jan'!G$25)),", "&amp;4,"")&amp;IF(ISNUMBER(SEARCH("BDO",'Jan'!H$25)),", "&amp;5,"")&amp;IF(ISNUMBER(SEARCH("BDO",'Jan'!I$25)),", "&amp;6,"")&amp;IF(ISNUMBER(SEARCH("BDO",'Jan'!J$25)),", "&amp;7,"")&amp;IF(ISNUMBER(SEARCH("BDO",'Jan'!K$25)),", "&amp;8,"")&amp;IF(ISNUMBER(SEARCH("BDO",'Jan'!L$25)),", "&amp;9,"")&amp;IF(ISNUMBER(SEARCH("BDO",'Jan'!M$25)),", "&amp;10,"")&amp;IF(ISNUMBER(SEARCH("BDO",'Jan'!N$25)),", "&amp;11,"")&amp;IF(ISNUMBER(SEARCH("BDO",'Jan'!O$25)),", "&amp;12,"")&amp;IF(ISNUMBER(SEARCH("BDO",'Jan'!P$25)),", "&amp;13,"")&amp;IF(ISNUMBER(SEARCH("BDO",'Jan'!Q$25)),", "&amp;14,"")&amp;IF(ISNUMBER(SEARCH("BDO",'Jan'!R$25)),", "&amp;15,"")&amp;IF(ISNUMBER(SEARCH("BDO",'Jan'!S$25)),", "&amp;16,"")&amp;IF(ISNUMBER(SEARCH("BDO",'Jan'!T$25)),", "&amp;17,"")&amp;IF(ISNUMBER(SEARCH("BDO",'Jan'!U$25)),", "&amp;18,"")&amp;IF(ISNUMBER(SEARCH("BDO",'Jan'!V$25)),", "&amp;19,"")&amp;IF(ISNUMBER(SEARCH("BDO",'Jan'!W$25)),", "&amp;20,"")&amp;IF(ISNUMBER(SEARCH("BDO",'Jan'!X$25)),", "&amp;21,"")&amp;IF(ISNUMBER(SEARCH("BDO",'Jan'!Y$25)),", "&amp;22,"")&amp;IF(ISNUMBER(SEARCH("BDO",'Jan'!Z$25)),", "&amp;23,"")&amp;IF(ISNUMBER(SEARCH("BDO",'Jan'!AA$25)),", "&amp;24,"")&amp;IF(ISNUMBER(SEARCH("BDO",'Jan'!AB$25)),", "&amp;25,"")&amp;IF(ISNUMBER(SEARCH("BDO",'Jan'!AC$25)),", "&amp;26,"")&amp;IF(ISNUMBER(SEARCH("BDO",'Jan'!AD$25)),", "&amp;27,"")&amp;IF(ISNUMBER(SEARCH("BDO",'Jan'!AE$25)),", "&amp;28,"")&amp;IF(ISNUMBER(SEARCH("BDO",'Jan'!AF$25)),", "&amp;29,"")&amp;IF(ISNUMBER(SEARCH("BDO",'Jan'!AG$25)),", "&amp;30,"")&amp;IF(ISNUMBER(SEARCH("BDO",'Jan'!AH$25)),", "&amp;31,""),3,200)</f>
        <v/>
      </c>
      <c r="AB6" s="86">
        <f>COUNTIF('Jan'!$D$25:$AH$25,"*BDO*")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MID(IF(ISNUMBER(SEARCH("BDO",'Feb'!D$25)),", "&amp;1,"")&amp;IF(ISNUMBER(SEARCH("BDO",'Feb'!E$25)),", "&amp;2,"")&amp;IF(ISNUMBER(SEARCH("BDO",'Feb'!F$25)),", "&amp;3,"")&amp;IF(ISNUMBER(SEARCH("BDO",'Feb'!G$25)),", "&amp;4,"")&amp;IF(ISNUMBER(SEARCH("BDO",'Feb'!H$25)),", "&amp;5,"")&amp;IF(ISNUMBER(SEARCH("BDO",'Feb'!I$25)),", "&amp;6,"")&amp;IF(ISNUMBER(SEARCH("BDO",'Feb'!J$25)),", "&amp;7,"")&amp;IF(ISNUMBER(SEARCH("BDO",'Feb'!K$25)),", "&amp;8,"")&amp;IF(ISNUMBER(SEARCH("BDO",'Feb'!L$25)),", "&amp;9,"")&amp;IF(ISNUMBER(SEARCH("BDO",'Feb'!M$25)),", "&amp;10,"")&amp;IF(ISNUMBER(SEARCH("BDO",'Feb'!N$25)),", "&amp;11,"")&amp;IF(ISNUMBER(SEARCH("BDO",'Feb'!O$25)),", "&amp;12,"")&amp;IF(ISNUMBER(SEARCH("BDO",'Feb'!P$25)),", "&amp;13,"")&amp;IF(ISNUMBER(SEARCH("BDO",'Feb'!Q$25)),", "&amp;14,"")&amp;IF(ISNUMBER(SEARCH("BDO",'Feb'!R$25)),", "&amp;15,"")&amp;IF(ISNUMBER(SEARCH("BDO",'Feb'!S$25)),", "&amp;16,"")&amp;IF(ISNUMBER(SEARCH("BDO",'Feb'!T$25)),", "&amp;17,"")&amp;IF(ISNUMBER(SEARCH("BDO",'Feb'!U$25)),", "&amp;18,"")&amp;IF(ISNUMBER(SEARCH("BDO",'Feb'!V$25)),", "&amp;19,"")&amp;IF(ISNUMBER(SEARCH("BDO",'Feb'!W$25)),", "&amp;20,"")&amp;IF(ISNUMBER(SEARCH("BDO",'Feb'!X$25)),", "&amp;21,"")&amp;IF(ISNUMBER(SEARCH("BDO",'Feb'!Y$25)),", "&amp;22,"")&amp;IF(ISNUMBER(SEARCH("BDO",'Feb'!Z$25)),", "&amp;23,"")&amp;IF(ISNUMBER(SEARCH("BDO",'Feb'!AA$25)),", "&amp;24,"")&amp;IF(ISNUMBER(SEARCH("BDO",'Feb'!AB$25)),", "&amp;25,"")&amp;IF(ISNUMBER(SEARCH("BDO",'Feb'!AC$25)),", "&amp;26,"")&amp;IF(ISNUMBER(SEARCH("BDO",'Feb'!AD$25)),", "&amp;27,"")&amp;IF(ISNUMBER(SEARCH("BDO",'Feb'!AE$25)),", "&amp;28,"")&amp;IF(ISNUMBER(SEARCH("BDO",'Feb'!AF$25)),", "&amp;29,"")&amp;IF(ISNUMBER(SEARCH("BDO",'Feb'!AG$25)),", "&amp;30,"")&amp;IF(ISNUMBER(SEARCH("BDO",'Feb'!AH$25)),", "&amp;31,""),3,200)</f>
        <v/>
      </c>
      <c r="AB7" s="86">
        <f>COUNTIF('Feb'!$D$25:$AH$25,"*BDO*")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MID(IF(ISNUMBER(SEARCH("BDO",'Mar'!D$25)),", "&amp;1,"")&amp;IF(ISNUMBER(SEARCH("BDO",'Mar'!E$25)),", "&amp;2,"")&amp;IF(ISNUMBER(SEARCH("BDO",'Mar'!F$25)),", "&amp;3,"")&amp;IF(ISNUMBER(SEARCH("BDO",'Mar'!G$25)),", "&amp;4,"")&amp;IF(ISNUMBER(SEARCH("BDO",'Mar'!H$25)),", "&amp;5,"")&amp;IF(ISNUMBER(SEARCH("BDO",'Mar'!I$25)),", "&amp;6,"")&amp;IF(ISNUMBER(SEARCH("BDO",'Mar'!J$25)),", "&amp;7,"")&amp;IF(ISNUMBER(SEARCH("BDO",'Mar'!K$25)),", "&amp;8,"")&amp;IF(ISNUMBER(SEARCH("BDO",'Mar'!L$25)),", "&amp;9,"")&amp;IF(ISNUMBER(SEARCH("BDO",'Mar'!M$25)),", "&amp;10,"")&amp;IF(ISNUMBER(SEARCH("BDO",'Mar'!N$25)),", "&amp;11,"")&amp;IF(ISNUMBER(SEARCH("BDO",'Mar'!O$25)),", "&amp;12,"")&amp;IF(ISNUMBER(SEARCH("BDO",'Mar'!P$25)),", "&amp;13,"")&amp;IF(ISNUMBER(SEARCH("BDO",'Mar'!Q$25)),", "&amp;14,"")&amp;IF(ISNUMBER(SEARCH("BDO",'Mar'!R$25)),", "&amp;15,"")&amp;IF(ISNUMBER(SEARCH("BDO",'Mar'!S$25)),", "&amp;16,"")&amp;IF(ISNUMBER(SEARCH("BDO",'Mar'!T$25)),", "&amp;17,"")&amp;IF(ISNUMBER(SEARCH("BDO",'Mar'!U$25)),", "&amp;18,"")&amp;IF(ISNUMBER(SEARCH("BDO",'Mar'!V$25)),", "&amp;19,"")&amp;IF(ISNUMBER(SEARCH("BDO",'Mar'!W$25)),", "&amp;20,"")&amp;IF(ISNUMBER(SEARCH("BDO",'Mar'!X$25)),", "&amp;21,"")&amp;IF(ISNUMBER(SEARCH("BDO",'Mar'!Y$25)),", "&amp;22,"")&amp;IF(ISNUMBER(SEARCH("BDO",'Mar'!Z$25)),", "&amp;23,"")&amp;IF(ISNUMBER(SEARCH("BDO",'Mar'!AA$25)),", "&amp;24,"")&amp;IF(ISNUMBER(SEARCH("BDO",'Mar'!AB$25)),", "&amp;25,"")&amp;IF(ISNUMBER(SEARCH("BDO",'Mar'!AC$25)),", "&amp;26,"")&amp;IF(ISNUMBER(SEARCH("BDO",'Mar'!AD$25)),", "&amp;27,"")&amp;IF(ISNUMBER(SEARCH("BDO",'Mar'!AE$25)),", "&amp;28,"")&amp;IF(ISNUMBER(SEARCH("BDO",'Mar'!AF$25)),", "&amp;29,"")&amp;IF(ISNUMBER(SEARCH("BDO",'Mar'!AG$25)),", "&amp;30,"")&amp;IF(ISNUMBER(SEARCH("BDO",'Mar'!AH$25)),", "&amp;31,""),3,200)</f>
        <v/>
      </c>
      <c r="AB8" s="86">
        <f>COUNTIF('Mar'!$D$25:$AH$25,"*BDO*")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MID(IF(ISNUMBER(SEARCH("BDO",'Apr'!D$25)),", "&amp;1,"")&amp;IF(ISNUMBER(SEARCH("BDO",'Apr'!E$25)),", "&amp;2,"")&amp;IF(ISNUMBER(SEARCH("BDO",'Apr'!F$25)),", "&amp;3,"")&amp;IF(ISNUMBER(SEARCH("BDO",'Apr'!G$25)),", "&amp;4,"")&amp;IF(ISNUMBER(SEARCH("BDO",'Apr'!H$25)),", "&amp;5,"")&amp;IF(ISNUMBER(SEARCH("BDO",'Apr'!I$25)),", "&amp;6,"")&amp;IF(ISNUMBER(SEARCH("BDO",'Apr'!J$25)),", "&amp;7,"")&amp;IF(ISNUMBER(SEARCH("BDO",'Apr'!K$25)),", "&amp;8,"")&amp;IF(ISNUMBER(SEARCH("BDO",'Apr'!L$25)),", "&amp;9,"")&amp;IF(ISNUMBER(SEARCH("BDO",'Apr'!M$25)),", "&amp;10,"")&amp;IF(ISNUMBER(SEARCH("BDO",'Apr'!N$25)),", "&amp;11,"")&amp;IF(ISNUMBER(SEARCH("BDO",'Apr'!O$25)),", "&amp;12,"")&amp;IF(ISNUMBER(SEARCH("BDO",'Apr'!P$25)),", "&amp;13,"")&amp;IF(ISNUMBER(SEARCH("BDO",'Apr'!Q$25)),", "&amp;14,"")&amp;IF(ISNUMBER(SEARCH("BDO",'Apr'!R$25)),", "&amp;15,"")&amp;IF(ISNUMBER(SEARCH("BDO",'Apr'!S$25)),", "&amp;16,"")&amp;IF(ISNUMBER(SEARCH("BDO",'Apr'!T$25)),", "&amp;17,"")&amp;IF(ISNUMBER(SEARCH("BDO",'Apr'!U$25)),", "&amp;18,"")&amp;IF(ISNUMBER(SEARCH("BDO",'Apr'!V$25)),", "&amp;19,"")&amp;IF(ISNUMBER(SEARCH("BDO",'Apr'!W$25)),", "&amp;20,"")&amp;IF(ISNUMBER(SEARCH("BDO",'Apr'!X$25)),", "&amp;21,"")&amp;IF(ISNUMBER(SEARCH("BDO",'Apr'!Y$25)),", "&amp;22,"")&amp;IF(ISNUMBER(SEARCH("BDO",'Apr'!Z$25)),", "&amp;23,"")&amp;IF(ISNUMBER(SEARCH("BDO",'Apr'!AA$25)),", "&amp;24,"")&amp;IF(ISNUMBER(SEARCH("BDO",'Apr'!AB$25)),", "&amp;25,"")&amp;IF(ISNUMBER(SEARCH("BDO",'Apr'!AC$25)),", "&amp;26,"")&amp;IF(ISNUMBER(SEARCH("BDO",'Apr'!AD$25)),", "&amp;27,"")&amp;IF(ISNUMBER(SEARCH("BDO",'Apr'!AE$25)),", "&amp;28,"")&amp;IF(ISNUMBER(SEARCH("BDO",'Apr'!AF$25)),", "&amp;29,"")&amp;IF(ISNUMBER(SEARCH("BDO",'Apr'!AG$25)),", "&amp;30,"")&amp;IF(ISNUMBER(SEARCH("BDO",'Apr'!AH$25)),", "&amp;31,""),3,200)</f>
        <v/>
      </c>
      <c r="AB9" s="86">
        <f>COUNTIF('Apr'!$D$25:$AH$25,"*BDO*")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MID(IF(ISNUMBER(SEARCH("BDO",'May'!D$25)),", "&amp;1,"")&amp;IF(ISNUMBER(SEARCH("BDO",'May'!E$25)),", "&amp;2,"")&amp;IF(ISNUMBER(SEARCH("BDO",'May'!F$25)),", "&amp;3,"")&amp;IF(ISNUMBER(SEARCH("BDO",'May'!G$25)),", "&amp;4,"")&amp;IF(ISNUMBER(SEARCH("BDO",'May'!H$25)),", "&amp;5,"")&amp;IF(ISNUMBER(SEARCH("BDO",'May'!I$25)),", "&amp;6,"")&amp;IF(ISNUMBER(SEARCH("BDO",'May'!J$25)),", "&amp;7,"")&amp;IF(ISNUMBER(SEARCH("BDO",'May'!K$25)),", "&amp;8,"")&amp;IF(ISNUMBER(SEARCH("BDO",'May'!L$25)),", "&amp;9,"")&amp;IF(ISNUMBER(SEARCH("BDO",'May'!M$25)),", "&amp;10,"")&amp;IF(ISNUMBER(SEARCH("BDO",'May'!N$25)),", "&amp;11,"")&amp;IF(ISNUMBER(SEARCH("BDO",'May'!O$25)),", "&amp;12,"")&amp;IF(ISNUMBER(SEARCH("BDO",'May'!P$25)),", "&amp;13,"")&amp;IF(ISNUMBER(SEARCH("BDO",'May'!Q$25)),", "&amp;14,"")&amp;IF(ISNUMBER(SEARCH("BDO",'May'!R$25)),", "&amp;15,"")&amp;IF(ISNUMBER(SEARCH("BDO",'May'!S$25)),", "&amp;16,"")&amp;IF(ISNUMBER(SEARCH("BDO",'May'!T$25)),", "&amp;17,"")&amp;IF(ISNUMBER(SEARCH("BDO",'May'!U$25)),", "&amp;18,"")&amp;IF(ISNUMBER(SEARCH("BDO",'May'!V$25)),", "&amp;19,"")&amp;IF(ISNUMBER(SEARCH("BDO",'May'!W$25)),", "&amp;20,"")&amp;IF(ISNUMBER(SEARCH("BDO",'May'!X$25)),", "&amp;21,"")&amp;IF(ISNUMBER(SEARCH("BDO",'May'!Y$25)),", "&amp;22,"")&amp;IF(ISNUMBER(SEARCH("BDO",'May'!Z$25)),", "&amp;23,"")&amp;IF(ISNUMBER(SEARCH("BDO",'May'!AA$25)),", "&amp;24,"")&amp;IF(ISNUMBER(SEARCH("BDO",'May'!AB$25)),", "&amp;25,"")&amp;IF(ISNUMBER(SEARCH("BDO",'May'!AC$25)),", "&amp;26,"")&amp;IF(ISNUMBER(SEARCH("BDO",'May'!AD$25)),", "&amp;27,"")&amp;IF(ISNUMBER(SEARCH("BDO",'May'!AE$25)),", "&amp;28,"")&amp;IF(ISNUMBER(SEARCH("BDO",'May'!AF$25)),", "&amp;29,"")&amp;IF(ISNUMBER(SEARCH("BDO",'May'!AG$25)),", "&amp;30,"")&amp;IF(ISNUMBER(SEARCH("BDO",'May'!AH$25)),", "&amp;31,""),3,200)</f>
        <v/>
      </c>
      <c r="AB10" s="86">
        <f>COUNTIF('May'!$D$25:$AH$25,"*BDO*")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MID(IF(ISNUMBER(SEARCH("BDO",'Jun'!D$25)),", "&amp;1,"")&amp;IF(ISNUMBER(SEARCH("BDO",'Jun'!E$25)),", "&amp;2,"")&amp;IF(ISNUMBER(SEARCH("BDO",'Jun'!F$25)),", "&amp;3,"")&amp;IF(ISNUMBER(SEARCH("BDO",'Jun'!G$25)),", "&amp;4,"")&amp;IF(ISNUMBER(SEARCH("BDO",'Jun'!H$25)),", "&amp;5,"")&amp;IF(ISNUMBER(SEARCH("BDO",'Jun'!I$25)),", "&amp;6,"")&amp;IF(ISNUMBER(SEARCH("BDO",'Jun'!J$25)),", "&amp;7,"")&amp;IF(ISNUMBER(SEARCH("BDO",'Jun'!K$25)),", "&amp;8,"")&amp;IF(ISNUMBER(SEARCH("BDO",'Jun'!L$25)),", "&amp;9,"")&amp;IF(ISNUMBER(SEARCH("BDO",'Jun'!M$25)),", "&amp;10,"")&amp;IF(ISNUMBER(SEARCH("BDO",'Jun'!N$25)),", "&amp;11,"")&amp;IF(ISNUMBER(SEARCH("BDO",'Jun'!O$25)),", "&amp;12,"")&amp;IF(ISNUMBER(SEARCH("BDO",'Jun'!P$25)),", "&amp;13,"")&amp;IF(ISNUMBER(SEARCH("BDO",'Jun'!Q$25)),", "&amp;14,"")&amp;IF(ISNUMBER(SEARCH("BDO",'Jun'!R$25)),", "&amp;15,"")&amp;IF(ISNUMBER(SEARCH("BDO",'Jun'!S$25)),", "&amp;16,"")&amp;IF(ISNUMBER(SEARCH("BDO",'Jun'!T$25)),", "&amp;17,"")&amp;IF(ISNUMBER(SEARCH("BDO",'Jun'!U$25)),", "&amp;18,"")&amp;IF(ISNUMBER(SEARCH("BDO",'Jun'!V$25)),", "&amp;19,"")&amp;IF(ISNUMBER(SEARCH("BDO",'Jun'!W$25)),", "&amp;20,"")&amp;IF(ISNUMBER(SEARCH("BDO",'Jun'!X$25)),", "&amp;21,"")&amp;IF(ISNUMBER(SEARCH("BDO",'Jun'!Y$25)),", "&amp;22,"")&amp;IF(ISNUMBER(SEARCH("BDO",'Jun'!Z$25)),", "&amp;23,"")&amp;IF(ISNUMBER(SEARCH("BDO",'Jun'!AA$25)),", "&amp;24,"")&amp;IF(ISNUMBER(SEARCH("BDO",'Jun'!AB$25)),", "&amp;25,"")&amp;IF(ISNUMBER(SEARCH("BDO",'Jun'!AC$25)),", "&amp;26,"")&amp;IF(ISNUMBER(SEARCH("BDO",'Jun'!AD$25)),", "&amp;27,"")&amp;IF(ISNUMBER(SEARCH("BDO",'Jun'!AE$25)),", "&amp;28,"")&amp;IF(ISNUMBER(SEARCH("BDO",'Jun'!AF$25)),", "&amp;29,"")&amp;IF(ISNUMBER(SEARCH("BDO",'Jun'!AG$25)),", "&amp;30,"")&amp;IF(ISNUMBER(SEARCH("BDO",'Jun'!AH$25)),", "&amp;31,""),3,200)</f>
        <v/>
      </c>
      <c r="AB11" s="86">
        <f>COUNTIF('Jun'!$D$25:$AH$25,"*BDO*")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MID(IF(ISNUMBER(SEARCH("BDO",'Jul'!D$25)),", "&amp;1,"")&amp;IF(ISNUMBER(SEARCH("BDO",'Jul'!E$25)),", "&amp;2,"")&amp;IF(ISNUMBER(SEARCH("BDO",'Jul'!F$25)),", "&amp;3,"")&amp;IF(ISNUMBER(SEARCH("BDO",'Jul'!G$25)),", "&amp;4,"")&amp;IF(ISNUMBER(SEARCH("BDO",'Jul'!H$25)),", "&amp;5,"")&amp;IF(ISNUMBER(SEARCH("BDO",'Jul'!I$25)),", "&amp;6,"")&amp;IF(ISNUMBER(SEARCH("BDO",'Jul'!J$25)),", "&amp;7,"")&amp;IF(ISNUMBER(SEARCH("BDO",'Jul'!K$25)),", "&amp;8,"")&amp;IF(ISNUMBER(SEARCH("BDO",'Jul'!L$25)),", "&amp;9,"")&amp;IF(ISNUMBER(SEARCH("BDO",'Jul'!M$25)),", "&amp;10,"")&amp;IF(ISNUMBER(SEARCH("BDO",'Jul'!N$25)),", "&amp;11,"")&amp;IF(ISNUMBER(SEARCH("BDO",'Jul'!O$25)),", "&amp;12,"")&amp;IF(ISNUMBER(SEARCH("BDO",'Jul'!P$25)),", "&amp;13,"")&amp;IF(ISNUMBER(SEARCH("BDO",'Jul'!Q$25)),", "&amp;14,"")&amp;IF(ISNUMBER(SEARCH("BDO",'Jul'!R$25)),", "&amp;15,"")&amp;IF(ISNUMBER(SEARCH("BDO",'Jul'!S$25)),", "&amp;16,"")&amp;IF(ISNUMBER(SEARCH("BDO",'Jul'!T$25)),", "&amp;17,"")&amp;IF(ISNUMBER(SEARCH("BDO",'Jul'!U$25)),", "&amp;18,"")&amp;IF(ISNUMBER(SEARCH("BDO",'Jul'!V$25)),", "&amp;19,"")&amp;IF(ISNUMBER(SEARCH("BDO",'Jul'!W$25)),", "&amp;20,"")&amp;IF(ISNUMBER(SEARCH("BDO",'Jul'!X$25)),", "&amp;21,"")&amp;IF(ISNUMBER(SEARCH("BDO",'Jul'!Y$25)),", "&amp;22,"")&amp;IF(ISNUMBER(SEARCH("BDO",'Jul'!Z$25)),", "&amp;23,"")&amp;IF(ISNUMBER(SEARCH("BDO",'Jul'!AA$25)),", "&amp;24,"")&amp;IF(ISNUMBER(SEARCH("BDO",'Jul'!AB$25)),", "&amp;25,"")&amp;IF(ISNUMBER(SEARCH("BDO",'Jul'!AC$25)),", "&amp;26,"")&amp;IF(ISNUMBER(SEARCH("BDO",'Jul'!AD$25)),", "&amp;27,"")&amp;IF(ISNUMBER(SEARCH("BDO",'Jul'!AE$25)),", "&amp;28,"")&amp;IF(ISNUMBER(SEARCH("BDO",'Jul'!AF$25)),", "&amp;29,"")&amp;IF(ISNUMBER(SEARCH("BDO",'Jul'!AG$25)),", "&amp;30,"")&amp;IF(ISNUMBER(SEARCH("BDO",'Jul'!AH$25)),", "&amp;31,""),3,200)</f>
        <v/>
      </c>
      <c r="AB12" s="86">
        <f>COUNTIF('Jul'!$D$25:$AH$25,"*BDO*")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MID(IF(ISNUMBER(SEARCH("BDO",'Aug'!D$25)),", "&amp;1,"")&amp;IF(ISNUMBER(SEARCH("BDO",'Aug'!E$25)),", "&amp;2,"")&amp;IF(ISNUMBER(SEARCH("BDO",'Aug'!F$25)),", "&amp;3,"")&amp;IF(ISNUMBER(SEARCH("BDO",'Aug'!G$25)),", "&amp;4,"")&amp;IF(ISNUMBER(SEARCH("BDO",'Aug'!H$25)),", "&amp;5,"")&amp;IF(ISNUMBER(SEARCH("BDO",'Aug'!I$25)),", "&amp;6,"")&amp;IF(ISNUMBER(SEARCH("BDO",'Aug'!J$25)),", "&amp;7,"")&amp;IF(ISNUMBER(SEARCH("BDO",'Aug'!K$25)),", "&amp;8,"")&amp;IF(ISNUMBER(SEARCH("BDO",'Aug'!L$25)),", "&amp;9,"")&amp;IF(ISNUMBER(SEARCH("BDO",'Aug'!M$25)),", "&amp;10,"")&amp;IF(ISNUMBER(SEARCH("BDO",'Aug'!N$25)),", "&amp;11,"")&amp;IF(ISNUMBER(SEARCH("BDO",'Aug'!O$25)),", "&amp;12,"")&amp;IF(ISNUMBER(SEARCH("BDO",'Aug'!P$25)),", "&amp;13,"")&amp;IF(ISNUMBER(SEARCH("BDO",'Aug'!Q$25)),", "&amp;14,"")&amp;IF(ISNUMBER(SEARCH("BDO",'Aug'!R$25)),", "&amp;15,"")&amp;IF(ISNUMBER(SEARCH("BDO",'Aug'!S$25)),", "&amp;16,"")&amp;IF(ISNUMBER(SEARCH("BDO",'Aug'!T$25)),", "&amp;17,"")&amp;IF(ISNUMBER(SEARCH("BDO",'Aug'!U$25)),", "&amp;18,"")&amp;IF(ISNUMBER(SEARCH("BDO",'Aug'!V$25)),", "&amp;19,"")&amp;IF(ISNUMBER(SEARCH("BDO",'Aug'!W$25)),", "&amp;20,"")&amp;IF(ISNUMBER(SEARCH("BDO",'Aug'!X$25)),", "&amp;21,"")&amp;IF(ISNUMBER(SEARCH("BDO",'Aug'!Y$25)),", "&amp;22,"")&amp;IF(ISNUMBER(SEARCH("BDO",'Aug'!Z$25)),", "&amp;23,"")&amp;IF(ISNUMBER(SEARCH("BDO",'Aug'!AA$25)),", "&amp;24,"")&amp;IF(ISNUMBER(SEARCH("BDO",'Aug'!AB$25)),", "&amp;25,"")&amp;IF(ISNUMBER(SEARCH("BDO",'Aug'!AC$25)),", "&amp;26,"")&amp;IF(ISNUMBER(SEARCH("BDO",'Aug'!AD$25)),", "&amp;27,"")&amp;IF(ISNUMBER(SEARCH("BDO",'Aug'!AE$25)),", "&amp;28,"")&amp;IF(ISNUMBER(SEARCH("BDO",'Aug'!AF$25)),", "&amp;29,"")&amp;IF(ISNUMBER(SEARCH("BDO",'Aug'!AG$25)),", "&amp;30,"")&amp;IF(ISNUMBER(SEARCH("BDO",'Aug'!AH$25)),", "&amp;31,""),3,200)</f>
        <v/>
      </c>
      <c r="AB13" s="86">
        <f>COUNTIF('Aug'!$D$25:$AH$25,"*BDO*")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MID(IF(ISNUMBER(SEARCH("BDO",'Sep'!D$25)),", "&amp;1,"")&amp;IF(ISNUMBER(SEARCH("BDO",'Sep'!E$25)),", "&amp;2,"")&amp;IF(ISNUMBER(SEARCH("BDO",'Sep'!F$25)),", "&amp;3,"")&amp;IF(ISNUMBER(SEARCH("BDO",'Sep'!G$25)),", "&amp;4,"")&amp;IF(ISNUMBER(SEARCH("BDO",'Sep'!H$25)),", "&amp;5,"")&amp;IF(ISNUMBER(SEARCH("BDO",'Sep'!I$25)),", "&amp;6,"")&amp;IF(ISNUMBER(SEARCH("BDO",'Sep'!J$25)),", "&amp;7,"")&amp;IF(ISNUMBER(SEARCH("BDO",'Sep'!K$25)),", "&amp;8,"")&amp;IF(ISNUMBER(SEARCH("BDO",'Sep'!L$25)),", "&amp;9,"")&amp;IF(ISNUMBER(SEARCH("BDO",'Sep'!M$25)),", "&amp;10,"")&amp;IF(ISNUMBER(SEARCH("BDO",'Sep'!N$25)),", "&amp;11,"")&amp;IF(ISNUMBER(SEARCH("BDO",'Sep'!O$25)),", "&amp;12,"")&amp;IF(ISNUMBER(SEARCH("BDO",'Sep'!P$25)),", "&amp;13,"")&amp;IF(ISNUMBER(SEARCH("BDO",'Sep'!Q$25)),", "&amp;14,"")&amp;IF(ISNUMBER(SEARCH("BDO",'Sep'!R$25)),", "&amp;15,"")&amp;IF(ISNUMBER(SEARCH("BDO",'Sep'!S$25)),", "&amp;16,"")&amp;IF(ISNUMBER(SEARCH("BDO",'Sep'!T$25)),", "&amp;17,"")&amp;IF(ISNUMBER(SEARCH("BDO",'Sep'!U$25)),", "&amp;18,"")&amp;IF(ISNUMBER(SEARCH("BDO",'Sep'!V$25)),", "&amp;19,"")&amp;IF(ISNUMBER(SEARCH("BDO",'Sep'!W$25)),", "&amp;20,"")&amp;IF(ISNUMBER(SEARCH("BDO",'Sep'!X$25)),", "&amp;21,"")&amp;IF(ISNUMBER(SEARCH("BDO",'Sep'!Y$25)),", "&amp;22,"")&amp;IF(ISNUMBER(SEARCH("BDO",'Sep'!Z$25)),", "&amp;23,"")&amp;IF(ISNUMBER(SEARCH("BDO",'Sep'!AA$25)),", "&amp;24,"")&amp;IF(ISNUMBER(SEARCH("BDO",'Sep'!AB$25)),", "&amp;25,"")&amp;IF(ISNUMBER(SEARCH("BDO",'Sep'!AC$25)),", "&amp;26,"")&amp;IF(ISNUMBER(SEARCH("BDO",'Sep'!AD$25)),", "&amp;27,"")&amp;IF(ISNUMBER(SEARCH("BDO",'Sep'!AE$25)),", "&amp;28,"")&amp;IF(ISNUMBER(SEARCH("BDO",'Sep'!AF$25)),", "&amp;29,"")&amp;IF(ISNUMBER(SEARCH("BDO",'Sep'!AG$25)),", "&amp;30,"")&amp;IF(ISNUMBER(SEARCH("BDO",'Sep'!AH$25)),", "&amp;31,""),3,200)</f>
        <v/>
      </c>
      <c r="AB14" s="86">
        <f>COUNTIF('Sep'!$D$25:$AH$25,"*BDO*")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MID(IF(ISNUMBER(SEARCH("BDO",'Oct'!D$25)),", "&amp;1,"")&amp;IF(ISNUMBER(SEARCH("BDO",'Oct'!E$25)),", "&amp;2,"")&amp;IF(ISNUMBER(SEARCH("BDO",'Oct'!F$25)),", "&amp;3,"")&amp;IF(ISNUMBER(SEARCH("BDO",'Oct'!G$25)),", "&amp;4,"")&amp;IF(ISNUMBER(SEARCH("BDO",'Oct'!H$25)),", "&amp;5,"")&amp;IF(ISNUMBER(SEARCH("BDO",'Oct'!I$25)),", "&amp;6,"")&amp;IF(ISNUMBER(SEARCH("BDO",'Oct'!J$25)),", "&amp;7,"")&amp;IF(ISNUMBER(SEARCH("BDO",'Oct'!K$25)),", "&amp;8,"")&amp;IF(ISNUMBER(SEARCH("BDO",'Oct'!L$25)),", "&amp;9,"")&amp;IF(ISNUMBER(SEARCH("BDO",'Oct'!M$25)),", "&amp;10,"")&amp;IF(ISNUMBER(SEARCH("BDO",'Oct'!N$25)),", "&amp;11,"")&amp;IF(ISNUMBER(SEARCH("BDO",'Oct'!O$25)),", "&amp;12,"")&amp;IF(ISNUMBER(SEARCH("BDO",'Oct'!P$25)),", "&amp;13,"")&amp;IF(ISNUMBER(SEARCH("BDO",'Oct'!Q$25)),", "&amp;14,"")&amp;IF(ISNUMBER(SEARCH("BDO",'Oct'!R$25)),", "&amp;15,"")&amp;IF(ISNUMBER(SEARCH("BDO",'Oct'!S$25)),", "&amp;16,"")&amp;IF(ISNUMBER(SEARCH("BDO",'Oct'!T$25)),", "&amp;17,"")&amp;IF(ISNUMBER(SEARCH("BDO",'Oct'!U$25)),", "&amp;18,"")&amp;IF(ISNUMBER(SEARCH("BDO",'Oct'!V$25)),", "&amp;19,"")&amp;IF(ISNUMBER(SEARCH("BDO",'Oct'!W$25)),", "&amp;20,"")&amp;IF(ISNUMBER(SEARCH("BDO",'Oct'!X$25)),", "&amp;21,"")&amp;IF(ISNUMBER(SEARCH("BDO",'Oct'!Y$25)),", "&amp;22,"")&amp;IF(ISNUMBER(SEARCH("BDO",'Oct'!Z$25)),", "&amp;23,"")&amp;IF(ISNUMBER(SEARCH("BDO",'Oct'!AA$25)),", "&amp;24,"")&amp;IF(ISNUMBER(SEARCH("BDO",'Oct'!AB$25)),", "&amp;25,"")&amp;IF(ISNUMBER(SEARCH("BDO",'Oct'!AC$25)),", "&amp;26,"")&amp;IF(ISNUMBER(SEARCH("BDO",'Oct'!AD$25)),", "&amp;27,"")&amp;IF(ISNUMBER(SEARCH("BDO",'Oct'!AE$25)),", "&amp;28,"")&amp;IF(ISNUMBER(SEARCH("BDO",'Oct'!AF$25)),", "&amp;29,"")&amp;IF(ISNUMBER(SEARCH("BDO",'Oct'!AG$25)),", "&amp;30,"")&amp;IF(ISNUMBER(SEARCH("BDO",'Oct'!AH$25)),", "&amp;31,""),3,200)</f>
        <v/>
      </c>
      <c r="AB15" s="86">
        <f>COUNTIF('Oct'!$D$25:$AH$25,"*BDO*")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MID(IF(ISNUMBER(SEARCH("BDO",'Nov'!D$25)),", "&amp;1,"")&amp;IF(ISNUMBER(SEARCH("BDO",'Nov'!E$25)),", "&amp;2,"")&amp;IF(ISNUMBER(SEARCH("BDO",'Nov'!F$25)),", "&amp;3,"")&amp;IF(ISNUMBER(SEARCH("BDO",'Nov'!G$25)),", "&amp;4,"")&amp;IF(ISNUMBER(SEARCH("BDO",'Nov'!H$25)),", "&amp;5,"")&amp;IF(ISNUMBER(SEARCH("BDO",'Nov'!I$25)),", "&amp;6,"")&amp;IF(ISNUMBER(SEARCH("BDO",'Nov'!J$25)),", "&amp;7,"")&amp;IF(ISNUMBER(SEARCH("BDO",'Nov'!K$25)),", "&amp;8,"")&amp;IF(ISNUMBER(SEARCH("BDO",'Nov'!L$25)),", "&amp;9,"")&amp;IF(ISNUMBER(SEARCH("BDO",'Nov'!M$25)),", "&amp;10,"")&amp;IF(ISNUMBER(SEARCH("BDO",'Nov'!N$25)),", "&amp;11,"")&amp;IF(ISNUMBER(SEARCH("BDO",'Nov'!O$25)),", "&amp;12,"")&amp;IF(ISNUMBER(SEARCH("BDO",'Nov'!P$25)),", "&amp;13,"")&amp;IF(ISNUMBER(SEARCH("BDO",'Nov'!Q$25)),", "&amp;14,"")&amp;IF(ISNUMBER(SEARCH("BDO",'Nov'!R$25)),", "&amp;15,"")&amp;IF(ISNUMBER(SEARCH("BDO",'Nov'!S$25)),", "&amp;16,"")&amp;IF(ISNUMBER(SEARCH("BDO",'Nov'!T$25)),", "&amp;17,"")&amp;IF(ISNUMBER(SEARCH("BDO",'Nov'!U$25)),", "&amp;18,"")&amp;IF(ISNUMBER(SEARCH("BDO",'Nov'!V$25)),", "&amp;19,"")&amp;IF(ISNUMBER(SEARCH("BDO",'Nov'!W$25)),", "&amp;20,"")&amp;IF(ISNUMBER(SEARCH("BDO",'Nov'!X$25)),", "&amp;21,"")&amp;IF(ISNUMBER(SEARCH("BDO",'Nov'!Y$25)),", "&amp;22,"")&amp;IF(ISNUMBER(SEARCH("BDO",'Nov'!Z$25)),", "&amp;23,"")&amp;IF(ISNUMBER(SEARCH("BDO",'Nov'!AA$25)),", "&amp;24,"")&amp;IF(ISNUMBER(SEARCH("BDO",'Nov'!AB$25)),", "&amp;25,"")&amp;IF(ISNUMBER(SEARCH("BDO",'Nov'!AC$25)),", "&amp;26,"")&amp;IF(ISNUMBER(SEARCH("BDO",'Nov'!AD$25)),", "&amp;27,"")&amp;IF(ISNUMBER(SEARCH("BDO",'Nov'!AE$25)),", "&amp;28,"")&amp;IF(ISNUMBER(SEARCH("BDO",'Nov'!AF$25)),", "&amp;29,"")&amp;IF(ISNUMBER(SEARCH("BDO",'Nov'!AG$25)),", "&amp;30,"")&amp;IF(ISNUMBER(SEARCH("BDO",'Nov'!AH$25)),", "&amp;31,""),3,200)</f>
        <v/>
      </c>
      <c r="AB16" s="86">
        <f>COUNTIF('Nov'!$D$25:$AH$25,"*BDO*")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MID(IF(ISNUMBER(SEARCH("BDO",'Dec'!D$25)),", "&amp;1,"")&amp;IF(ISNUMBER(SEARCH("BDO",'Dec'!E$25)),", "&amp;2,"")&amp;IF(ISNUMBER(SEARCH("BDO",'Dec'!F$25)),", "&amp;3,"")&amp;IF(ISNUMBER(SEARCH("BDO",'Dec'!G$25)),", "&amp;4,"")&amp;IF(ISNUMBER(SEARCH("BDO",'Dec'!H$25)),", "&amp;5,"")&amp;IF(ISNUMBER(SEARCH("BDO",'Dec'!I$25)),", "&amp;6,"")&amp;IF(ISNUMBER(SEARCH("BDO",'Dec'!J$25)),", "&amp;7,"")&amp;IF(ISNUMBER(SEARCH("BDO",'Dec'!K$25)),", "&amp;8,"")&amp;IF(ISNUMBER(SEARCH("BDO",'Dec'!L$25)),", "&amp;9,"")&amp;IF(ISNUMBER(SEARCH("BDO",'Dec'!M$25)),", "&amp;10,"")&amp;IF(ISNUMBER(SEARCH("BDO",'Dec'!N$25)),", "&amp;11,"")&amp;IF(ISNUMBER(SEARCH("BDO",'Dec'!O$25)),", "&amp;12,"")&amp;IF(ISNUMBER(SEARCH("BDO",'Dec'!P$25)),", "&amp;13,"")&amp;IF(ISNUMBER(SEARCH("BDO",'Dec'!Q$25)),", "&amp;14,"")&amp;IF(ISNUMBER(SEARCH("BDO",'Dec'!R$25)),", "&amp;15,"")&amp;IF(ISNUMBER(SEARCH("BDO",'Dec'!S$25)),", "&amp;16,"")&amp;IF(ISNUMBER(SEARCH("BDO",'Dec'!T$25)),", "&amp;17,"")&amp;IF(ISNUMBER(SEARCH("BDO",'Dec'!U$25)),", "&amp;18,"")&amp;IF(ISNUMBER(SEARCH("BDO",'Dec'!V$25)),", "&amp;19,"")&amp;IF(ISNUMBER(SEARCH("BDO",'Dec'!W$25)),", "&amp;20,"")&amp;IF(ISNUMBER(SEARCH("BDO",'Dec'!X$25)),", "&amp;21,"")&amp;IF(ISNUMBER(SEARCH("BDO",'Dec'!Y$25)),", "&amp;22,"")&amp;IF(ISNUMBER(SEARCH("BDO",'Dec'!Z$25)),", "&amp;23,"")&amp;IF(ISNUMBER(SEARCH("BDO",'Dec'!AA$25)),", "&amp;24,"")&amp;IF(ISNUMBER(SEARCH("BDO",'Dec'!AB$25)),", "&amp;25,"")&amp;IF(ISNUMBER(SEARCH("BDO",'Dec'!AC$25)),", "&amp;26,"")&amp;IF(ISNUMBER(SEARCH("BDO",'Dec'!AD$25)),", "&amp;27,"")&amp;IF(ISNUMBER(SEARCH("BDO",'Dec'!AE$25)),", "&amp;28,"")&amp;IF(ISNUMBER(SEARCH("BDO",'Dec'!AF$25)),", "&amp;29,"")&amp;IF(ISNUMBER(SEARCH("BDO",'Dec'!AG$25)),", "&amp;30,"")&amp;IF(ISNUMBER(SEARCH("BDO",'Dec'!AH$25)),", "&amp;31,""),3,200)</f>
        <v/>
      </c>
      <c r="AB17" s="86">
        <f>COUNTIF('Dec'!$D$25:$AH$25,"*BDO*")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MID(IF(ISNUMBER(SEARCH("BDO",'Jan (next year)'!D$25)),", "&amp;1,"")&amp;IF(ISNUMBER(SEARCH("BDO",'Jan (next year)'!E$25)),", "&amp;2,"")&amp;IF(ISNUMBER(SEARCH("BDO",'Jan (next year)'!F$25)),", "&amp;3,"")&amp;IF(ISNUMBER(SEARCH("BDO",'Jan (next year)'!G$25)),", "&amp;4,"")&amp;IF(ISNUMBER(SEARCH("BDO",'Jan (next year)'!H$25)),", "&amp;5,"")&amp;IF(ISNUMBER(SEARCH("BDO",'Jan (next year)'!I$25)),", "&amp;6,"")&amp;IF(ISNUMBER(SEARCH("BDO",'Jan (next year)'!J$25)),", "&amp;7,"")&amp;IF(ISNUMBER(SEARCH("BDO",'Jan (next year)'!K$25)),", "&amp;8,"")&amp;IF(ISNUMBER(SEARCH("BDO",'Jan (next year)'!L$25)),", "&amp;9,"")&amp;IF(ISNUMBER(SEARCH("BDO",'Jan (next year)'!M$25)),", "&amp;10,"")&amp;IF(ISNUMBER(SEARCH("BDO",'Jan (next year)'!N$25)),", "&amp;11,"")&amp;IF(ISNUMBER(SEARCH("BDO",'Jan (next year)'!O$25)),", "&amp;12,"")&amp;IF(ISNUMBER(SEARCH("BDO",'Jan (next year)'!P$25)),", "&amp;13,"")&amp;IF(ISNUMBER(SEARCH("BDO",'Jan (next year)'!Q$25)),", "&amp;14,"")&amp;IF(ISNUMBER(SEARCH("BDO",'Jan (next year)'!R$25)),", "&amp;15,"")&amp;IF(ISNUMBER(SEARCH("BDO",'Jan (next year)'!S$25)),", "&amp;16,"")&amp;IF(ISNUMBER(SEARCH("BDO",'Jan (next year)'!T$25)),", "&amp;17,"")&amp;IF(ISNUMBER(SEARCH("BDO",'Jan (next year)'!U$25)),", "&amp;18,"")&amp;IF(ISNUMBER(SEARCH("BDO",'Jan (next year)'!V$25)),", "&amp;19,"")&amp;IF(ISNUMBER(SEARCH("BDO",'Jan (next year)'!W$25)),", "&amp;20,"")&amp;IF(ISNUMBER(SEARCH("BDO",'Jan (next year)'!X$25)),", "&amp;21,"")&amp;IF(ISNUMBER(SEARCH("BDO",'Jan (next year)'!Y$25)),", "&amp;22,"")&amp;IF(ISNUMBER(SEARCH("BDO",'Jan (next year)'!Z$25)),", "&amp;23,"")&amp;IF(ISNUMBER(SEARCH("BDO",'Jan (next year)'!AA$25)),", "&amp;24,"")&amp;IF(ISNUMBER(SEARCH("BDO",'Jan (next year)'!AB$25)),", "&amp;25,"")&amp;IF(ISNUMBER(SEARCH("BDO",'Jan (next year)'!AC$25)),", "&amp;26,"")&amp;IF(ISNUMBER(SEARCH("BDO",'Jan (next year)'!AD$25)),", "&amp;27,"")&amp;IF(ISNUMBER(SEARCH("BDO",'Jan (next year)'!AE$25)),", "&amp;28,"")&amp;IF(ISNUMBER(SEARCH("BDO",'Jan (next year)'!AF$25)),", "&amp;29,"")&amp;IF(ISNUMBER(SEARCH("BDO",'Jan (next year)'!AG$25)),", "&amp;30,"")&amp;IF(ISNUMBER(SEARCH("BDO",'Jan (next year)'!AH$25)),", "&amp;31,""),3,200)</f>
        <v/>
      </c>
      <c r="AB19" s="86">
        <f>COUNTIF('Jan (next year)'!$D$25:$AH$25,"*BDO*")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n"/>
      <c r="F57" s="90" t="n"/>
      <c r="G57" s="90" t="n"/>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n"/>
      <c r="C59" s="90" t="n"/>
      <c r="D59" s="90" t="n"/>
      <c r="E59" s="90" t="n"/>
      <c r="F59" s="90" t="n"/>
      <c r="G59" s="90" t="n"/>
      <c r="I59" s="90" t="n"/>
      <c r="J59" s="90" t="n"/>
      <c r="K59" s="90" t="n"/>
      <c r="L59" s="90" t="n"/>
      <c r="M59" s="90" t="n"/>
      <c r="N59" s="90" t="n"/>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n"/>
      <c r="C61" s="90" t="n"/>
      <c r="D61" s="90" t="n"/>
      <c r="E61" s="90" t="n"/>
      <c r="F61" s="90" t="n"/>
      <c r="G61" s="90" t="n"/>
      <c r="I61" s="90" t="n"/>
      <c r="J61" s="90" t="n"/>
      <c r="K61" s="90" t="n"/>
      <c r="L61" s="90" t="n"/>
      <c r="M61" s="90" t="n"/>
      <c r="N61" s="90" t="n"/>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n"/>
      <c r="D63" s="90" t="n"/>
      <c r="E63" s="90" t="n"/>
      <c r="F63" s="90" t="n"/>
      <c r="G63" s="90" t="n"/>
      <c r="I63" s="90" t="n"/>
      <c r="J63" s="90" t="n"/>
      <c r="K63" s="90" t="n"/>
      <c r="L63" s="90" t="n"/>
      <c r="M63" s="90" t="n"/>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n"/>
      <c r="C65" s="90" t="n"/>
      <c r="D65" s="90" t="n"/>
      <c r="E65" s="90" t="n"/>
      <c r="F65" s="90" t="n"/>
      <c r="G65" s="90" t="n"/>
      <c r="I65" s="90" t="n"/>
      <c r="J65" s="90" t="n"/>
      <c r="K65" s="90" t="n"/>
      <c r="L65" s="90" t="n"/>
      <c r="M65" s="90" t="n"/>
      <c r="N65" s="90" t="n"/>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BDO day" error="Pick your department from the dropdown, or leave the day empty." type="list" errorStyle="stop">
      <formula1>ThisDept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5"/>
  <sheetViews>
    <sheetView showGridLines="0" tabSelected="0" workbookViewId="0">
      <pane ySplit="5" topLeftCell="A6" activePane="bottomLeft" state="frozen"/>
      <selection pane="bottomLeft" activeCell="A1" sqref="A1"/>
    </sheetView>
  </sheetViews>
  <sheetFormatPr baseColWidth="8" defaultRowHeight="15"/>
  <cols>
    <col width="5" customWidth="1" min="1" max="1"/>
    <col width="12" customWidth="1" min="2" max="2"/>
    <col width="28" customWidth="1" min="3" max="3"/>
    <col width="9" customWidth="1" min="4" max="4"/>
    <col width="11" customWidth="1" min="5" max="5"/>
    <col width="14" customWidth="1" min="6" max="6"/>
    <col width="10" customWidth="1" min="7" max="7"/>
    <col width="30" customWidth="1" min="8" max="8"/>
    <col width="2" customWidth="1" min="9" max="9"/>
    <col width="22" customWidth="1" min="10" max="10"/>
  </cols>
  <sheetData>
    <row r="1" ht="30" customHeight="1">
      <c r="A1" s="1" t="inlineStr">
        <is>
          <t>CREW ROSTER  |  LOADMASTER</t>
        </is>
      </c>
      <c r="B1" s="2" t="n"/>
      <c r="C1" s="2" t="n"/>
      <c r="D1" s="2" t="n"/>
      <c r="E1" s="2" t="n"/>
      <c r="F1" s="2" t="n"/>
      <c r="G1" s="2" t="n"/>
    </row>
    <row r="2" ht="18" customHeight="1">
      <c r="A2" s="3" t="inlineStr">
        <is>
          <t>Rows 6-50: regular crew. Rows 51-65 (purple): SANS / NSmen, shown at the bottom of the planner. To remove someone set Status to Inactive. Do not delete or re-order rows: the month tabs link to this list by row.</t>
        </is>
      </c>
      <c r="B2" s="2" t="n"/>
      <c r="C2" s="2" t="n"/>
      <c r="D2" s="2" t="n"/>
      <c r="E2" s="2" t="n"/>
      <c r="F2" s="2" t="n"/>
      <c r="G2" s="2" t="n"/>
    </row>
    <row r="5">
      <c r="A5" s="31" t="inlineStr">
        <is>
          <t>#</t>
        </is>
      </c>
      <c r="B5" s="31" t="inlineStr">
        <is>
          <t>Callsign</t>
        </is>
      </c>
      <c r="C5" s="31" t="inlineStr">
        <is>
          <t>Crew Member (with rank)</t>
        </is>
      </c>
      <c r="D5" s="31" t="inlineStr">
        <is>
          <t>Initials</t>
        </is>
      </c>
      <c r="E5" s="31" t="inlineStr">
        <is>
          <t>Cat Status</t>
        </is>
      </c>
      <c r="F5" s="31" t="inlineStr">
        <is>
          <t>Role</t>
        </is>
      </c>
      <c r="G5" s="31" t="inlineStr">
        <is>
          <t>Status</t>
        </is>
      </c>
      <c r="H5" s="31" t="inlineStr">
        <is>
          <t>Remarks</t>
        </is>
      </c>
    </row>
    <row r="6">
      <c r="A6" s="94" t="n">
        <v>1</v>
      </c>
      <c r="B6" s="95" t="inlineStr">
        <is>
          <t>ATLAS</t>
        </is>
      </c>
      <c r="C6" s="95" t="inlineStr">
        <is>
          <t>ME2 Daniel Ong</t>
        </is>
      </c>
      <c r="D6" s="95" t="inlineStr">
        <is>
          <t>DO</t>
        </is>
      </c>
      <c r="E6" s="95" t="inlineStr">
        <is>
          <t>CAT A</t>
        </is>
      </c>
      <c r="F6" s="95" t="inlineStr">
        <is>
          <t>Senior CAT A</t>
        </is>
      </c>
      <c r="G6" s="95" t="inlineStr">
        <is>
          <t>Active</t>
        </is>
      </c>
      <c r="H6" s="95" t="inlineStr">
        <is>
          <t>Sample crew: replace with your own</t>
        </is>
      </c>
    </row>
    <row r="7">
      <c r="A7" s="94" t="n">
        <v>2</v>
      </c>
      <c r="B7" s="95" t="inlineStr">
        <is>
          <t>TITAN</t>
        </is>
      </c>
      <c r="C7" s="95" t="inlineStr">
        <is>
          <t>ME1 Siti Aminah</t>
        </is>
      </c>
      <c r="D7" s="95" t="inlineStr">
        <is>
          <t>SA</t>
        </is>
      </c>
      <c r="E7" s="95" t="inlineStr">
        <is>
          <t>TRAINEE</t>
        </is>
      </c>
      <c r="F7" s="95" t="inlineStr">
        <is>
          <t>Junior</t>
        </is>
      </c>
      <c r="G7" s="95" t="inlineStr">
        <is>
          <t>Active</t>
        </is>
      </c>
      <c r="H7" s="95" t="n"/>
    </row>
    <row r="8">
      <c r="A8" s="94" t="n">
        <v>3</v>
      </c>
      <c r="B8" s="95" t="inlineStr">
        <is>
          <t>ZEUS</t>
        </is>
      </c>
      <c r="C8" s="95" t="inlineStr">
        <is>
          <t>ME3 Kelvin Goh</t>
        </is>
      </c>
      <c r="D8" s="95" t="inlineStr">
        <is>
          <t>KG</t>
        </is>
      </c>
      <c r="E8" s="95" t="inlineStr">
        <is>
          <t>CAT A</t>
        </is>
      </c>
      <c r="F8" s="95" t="inlineStr">
        <is>
          <t>Instructor</t>
        </is>
      </c>
      <c r="G8" s="95" t="inlineStr">
        <is>
          <t>Active</t>
        </is>
      </c>
      <c r="H8" s="95" t="n"/>
    </row>
    <row r="9">
      <c r="A9" s="94" t="n">
        <v>4</v>
      </c>
      <c r="B9" s="95" t="inlineStr">
        <is>
          <t>APOLLO</t>
        </is>
      </c>
      <c r="C9" s="95" t="inlineStr">
        <is>
          <t>ME2 Farhan Ismail</t>
        </is>
      </c>
      <c r="D9" s="95" t="inlineStr">
        <is>
          <t>FI</t>
        </is>
      </c>
      <c r="E9" s="95" t="inlineStr">
        <is>
          <t>CAT B</t>
        </is>
      </c>
      <c r="F9" s="95" t="inlineStr">
        <is>
          <t>Senior CAT A</t>
        </is>
      </c>
      <c r="G9" s="95" t="inlineStr">
        <is>
          <t>Active</t>
        </is>
      </c>
      <c r="H9" s="95" t="n"/>
    </row>
    <row r="10">
      <c r="A10" s="94" t="n">
        <v>5</v>
      </c>
      <c r="B10" s="95" t="inlineStr">
        <is>
          <t>HERMES</t>
        </is>
      </c>
      <c r="C10" s="95" t="inlineStr">
        <is>
          <t>ME1 Joanne Teo</t>
        </is>
      </c>
      <c r="D10" s="95" t="inlineStr">
        <is>
          <t>JT</t>
        </is>
      </c>
      <c r="E10" s="95" t="inlineStr">
        <is>
          <t>CAT C</t>
        </is>
      </c>
      <c r="F10" s="95" t="inlineStr">
        <is>
          <t>Junior</t>
        </is>
      </c>
      <c r="G10" s="95" t="inlineStr">
        <is>
          <t>Active</t>
        </is>
      </c>
      <c r="H10" s="95" t="n"/>
    </row>
    <row r="11">
      <c r="A11" s="94" t="n">
        <v>6</v>
      </c>
      <c r="B11" s="95" t="inlineStr">
        <is>
          <t>ARES</t>
        </is>
      </c>
      <c r="C11" s="95" t="inlineStr">
        <is>
          <t>ME1 Muthu Raj</t>
        </is>
      </c>
      <c r="D11" s="95" t="inlineStr">
        <is>
          <t>MR</t>
        </is>
      </c>
      <c r="E11" s="95" t="inlineStr">
        <is>
          <t>CAT D</t>
        </is>
      </c>
      <c r="F11" s="95" t="inlineStr">
        <is>
          <t>Junior</t>
        </is>
      </c>
      <c r="G11" s="95" t="inlineStr">
        <is>
          <t>Active</t>
        </is>
      </c>
      <c r="H11" s="95" t="n"/>
    </row>
    <row r="12">
      <c r="A12" s="94" t="n">
        <v>7</v>
      </c>
      <c r="B12" s="95" t="n"/>
      <c r="C12" s="95" t="n"/>
      <c r="D12" s="95" t="n"/>
      <c r="E12" s="95" t="n"/>
      <c r="F12" s="95" t="n"/>
      <c r="G12" s="95" t="n"/>
      <c r="H12" s="95" t="n"/>
    </row>
    <row r="13">
      <c r="A13" s="94" t="n">
        <v>8</v>
      </c>
      <c r="B13" s="95" t="n"/>
      <c r="C13" s="95" t="n"/>
      <c r="D13" s="95" t="n"/>
      <c r="E13" s="95" t="n"/>
      <c r="F13" s="95" t="n"/>
      <c r="G13" s="95" t="n"/>
      <c r="H13" s="95" t="n"/>
    </row>
    <row r="14">
      <c r="A14" s="94" t="n">
        <v>9</v>
      </c>
      <c r="B14" s="95" t="n"/>
      <c r="C14" s="95" t="n"/>
      <c r="D14" s="95" t="n"/>
      <c r="E14" s="95" t="n"/>
      <c r="F14" s="95" t="n"/>
      <c r="G14" s="95" t="n"/>
      <c r="H14" s="95" t="n"/>
    </row>
    <row r="15">
      <c r="A15" s="94" t="n">
        <v>10</v>
      </c>
      <c r="B15" s="95" t="n"/>
      <c r="C15" s="95" t="n"/>
      <c r="D15" s="95" t="n"/>
      <c r="E15" s="95" t="n"/>
      <c r="F15" s="95" t="n"/>
      <c r="G15" s="95" t="n"/>
      <c r="H15" s="95" t="n"/>
    </row>
    <row r="16">
      <c r="A16" s="94" t="n">
        <v>11</v>
      </c>
      <c r="B16" s="95" t="n"/>
      <c r="C16" s="95" t="n"/>
      <c r="D16" s="95" t="n"/>
      <c r="E16" s="95" t="n"/>
      <c r="F16" s="95" t="n"/>
      <c r="G16" s="95" t="n"/>
      <c r="H16" s="95" t="n"/>
    </row>
    <row r="17">
      <c r="A17" s="94" t="n">
        <v>12</v>
      </c>
      <c r="B17" s="95" t="n"/>
      <c r="C17" s="95" t="n"/>
      <c r="D17" s="95" t="n"/>
      <c r="E17" s="95" t="n"/>
      <c r="F17" s="95" t="n"/>
      <c r="G17" s="95" t="n"/>
      <c r="H17" s="95" t="n"/>
    </row>
    <row r="18">
      <c r="A18" s="94" t="n">
        <v>13</v>
      </c>
      <c r="B18" s="95" t="n"/>
      <c r="C18" s="95" t="n"/>
      <c r="D18" s="95" t="n"/>
      <c r="E18" s="95" t="n"/>
      <c r="F18" s="95" t="n"/>
      <c r="G18" s="95" t="n"/>
      <c r="H18" s="95" t="n"/>
    </row>
    <row r="19">
      <c r="A19" s="94" t="n">
        <v>14</v>
      </c>
      <c r="B19" s="95" t="n"/>
      <c r="C19" s="95" t="n"/>
      <c r="D19" s="95" t="n"/>
      <c r="E19" s="95" t="n"/>
      <c r="F19" s="95" t="n"/>
      <c r="G19" s="95" t="n"/>
      <c r="H19" s="95" t="n"/>
    </row>
    <row r="20">
      <c r="A20" s="94" t="n">
        <v>15</v>
      </c>
      <c r="B20" s="95" t="n"/>
      <c r="C20" s="95" t="n"/>
      <c r="D20" s="95" t="n"/>
      <c r="E20" s="95" t="n"/>
      <c r="F20" s="95" t="n"/>
      <c r="G20" s="95" t="n"/>
      <c r="H20" s="95" t="n"/>
    </row>
    <row r="21">
      <c r="A21" s="94" t="n">
        <v>16</v>
      </c>
      <c r="B21" s="95" t="n"/>
      <c r="C21" s="95" t="n"/>
      <c r="D21" s="95" t="n"/>
      <c r="E21" s="95" t="n"/>
      <c r="F21" s="95" t="n"/>
      <c r="G21" s="95" t="n"/>
      <c r="H21" s="95" t="n"/>
    </row>
    <row r="22">
      <c r="A22" s="94" t="n">
        <v>17</v>
      </c>
      <c r="B22" s="95" t="n"/>
      <c r="C22" s="95" t="n"/>
      <c r="D22" s="95" t="n"/>
      <c r="E22" s="95" t="n"/>
      <c r="F22" s="95" t="n"/>
      <c r="G22" s="95" t="n"/>
      <c r="H22" s="95" t="n"/>
    </row>
    <row r="23">
      <c r="A23" s="94" t="n">
        <v>18</v>
      </c>
      <c r="B23" s="95" t="n"/>
      <c r="C23" s="95" t="n"/>
      <c r="D23" s="95" t="n"/>
      <c r="E23" s="95" t="n"/>
      <c r="F23" s="95" t="n"/>
      <c r="G23" s="95" t="n"/>
      <c r="H23" s="95" t="n"/>
    </row>
    <row r="24">
      <c r="A24" s="94" t="n">
        <v>19</v>
      </c>
      <c r="B24" s="95" t="n"/>
      <c r="C24" s="95" t="n"/>
      <c r="D24" s="95" t="n"/>
      <c r="E24" s="95" t="n"/>
      <c r="F24" s="95" t="n"/>
      <c r="G24" s="95" t="n"/>
      <c r="H24" s="95" t="n"/>
    </row>
    <row r="25">
      <c r="A25" s="94" t="n">
        <v>20</v>
      </c>
      <c r="B25" s="95" t="n"/>
      <c r="C25" s="95" t="n"/>
      <c r="D25" s="95" t="n"/>
      <c r="E25" s="95" t="n"/>
      <c r="F25" s="95" t="n"/>
      <c r="G25" s="95" t="n"/>
      <c r="H25" s="95" t="n"/>
    </row>
    <row r="26">
      <c r="A26" s="94" t="n">
        <v>21</v>
      </c>
      <c r="B26" s="95" t="n"/>
      <c r="C26" s="95" t="n"/>
      <c r="D26" s="95" t="n"/>
      <c r="E26" s="95" t="n"/>
      <c r="F26" s="95" t="n"/>
      <c r="G26" s="95" t="n"/>
      <c r="H26" s="95" t="n"/>
    </row>
    <row r="27">
      <c r="A27" s="94" t="n">
        <v>22</v>
      </c>
      <c r="B27" s="95" t="n"/>
      <c r="C27" s="95" t="n"/>
      <c r="D27" s="95" t="n"/>
      <c r="E27" s="95" t="n"/>
      <c r="F27" s="95" t="n"/>
      <c r="G27" s="95" t="n"/>
      <c r="H27" s="95" t="n"/>
    </row>
    <row r="28">
      <c r="A28" s="94" t="n">
        <v>23</v>
      </c>
      <c r="B28" s="95" t="n"/>
      <c r="C28" s="95" t="n"/>
      <c r="D28" s="95" t="n"/>
      <c r="E28" s="95" t="n"/>
      <c r="F28" s="95" t="n"/>
      <c r="G28" s="95" t="n"/>
      <c r="H28" s="95" t="n"/>
    </row>
    <row r="29">
      <c r="A29" s="94" t="n">
        <v>24</v>
      </c>
      <c r="B29" s="95" t="n"/>
      <c r="C29" s="95" t="n"/>
      <c r="D29" s="95" t="n"/>
      <c r="E29" s="95" t="n"/>
      <c r="F29" s="95" t="n"/>
      <c r="G29" s="95" t="n"/>
      <c r="H29" s="95" t="n"/>
    </row>
    <row r="30">
      <c r="A30" s="94" t="n">
        <v>25</v>
      </c>
      <c r="B30" s="95" t="n"/>
      <c r="C30" s="95" t="n"/>
      <c r="D30" s="95" t="n"/>
      <c r="E30" s="95" t="n"/>
      <c r="F30" s="95" t="n"/>
      <c r="G30" s="95" t="n"/>
      <c r="H30" s="95" t="n"/>
    </row>
    <row r="31">
      <c r="A31" s="94" t="n">
        <v>26</v>
      </c>
      <c r="B31" s="95" t="n"/>
      <c r="C31" s="95" t="n"/>
      <c r="D31" s="95" t="n"/>
      <c r="E31" s="95" t="n"/>
      <c r="F31" s="95" t="n"/>
      <c r="G31" s="95" t="n"/>
      <c r="H31" s="95" t="n"/>
    </row>
    <row r="32">
      <c r="A32" s="94" t="n">
        <v>27</v>
      </c>
      <c r="B32" s="95" t="n"/>
      <c r="C32" s="95" t="n"/>
      <c r="D32" s="95" t="n"/>
      <c r="E32" s="95" t="n"/>
      <c r="F32" s="95" t="n"/>
      <c r="G32" s="95" t="n"/>
      <c r="H32" s="95" t="n"/>
    </row>
    <row r="33">
      <c r="A33" s="94" t="n">
        <v>28</v>
      </c>
      <c r="B33" s="95" t="n"/>
      <c r="C33" s="95" t="n"/>
      <c r="D33" s="95" t="n"/>
      <c r="E33" s="95" t="n"/>
      <c r="F33" s="95" t="n"/>
      <c r="G33" s="95" t="n"/>
      <c r="H33" s="95" t="n"/>
    </row>
    <row r="34">
      <c r="A34" s="94" t="n">
        <v>29</v>
      </c>
      <c r="B34" s="95" t="n"/>
      <c r="C34" s="95" t="n"/>
      <c r="D34" s="95" t="n"/>
      <c r="E34" s="95" t="n"/>
      <c r="F34" s="95" t="n"/>
      <c r="G34" s="95" t="n"/>
      <c r="H34" s="95" t="n"/>
    </row>
    <row r="35">
      <c r="A35" s="94" t="n">
        <v>30</v>
      </c>
      <c r="B35" s="95" t="n"/>
      <c r="C35" s="95" t="n"/>
      <c r="D35" s="95" t="n"/>
      <c r="E35" s="95" t="n"/>
      <c r="F35" s="95" t="n"/>
      <c r="G35" s="95" t="n"/>
      <c r="H35" s="95" t="n"/>
    </row>
    <row r="36">
      <c r="A36" s="94" t="n">
        <v>31</v>
      </c>
      <c r="B36" s="95" t="n"/>
      <c r="C36" s="95" t="n"/>
      <c r="D36" s="95" t="n"/>
      <c r="E36" s="95" t="n"/>
      <c r="F36" s="95" t="n"/>
      <c r="G36" s="95" t="n"/>
      <c r="H36" s="95" t="n"/>
    </row>
    <row r="37">
      <c r="A37" s="94" t="n">
        <v>32</v>
      </c>
      <c r="B37" s="95" t="n"/>
      <c r="C37" s="95" t="n"/>
      <c r="D37" s="95" t="n"/>
      <c r="E37" s="95" t="n"/>
      <c r="F37" s="95" t="n"/>
      <c r="G37" s="95" t="n"/>
      <c r="H37" s="95" t="n"/>
    </row>
    <row r="38">
      <c r="A38" s="94" t="n">
        <v>33</v>
      </c>
      <c r="B38" s="95" t="n"/>
      <c r="C38" s="95" t="n"/>
      <c r="D38" s="95" t="n"/>
      <c r="E38" s="95" t="n"/>
      <c r="F38" s="95" t="n"/>
      <c r="G38" s="95" t="n"/>
      <c r="H38" s="95" t="n"/>
    </row>
    <row r="39">
      <c r="A39" s="94" t="n">
        <v>34</v>
      </c>
      <c r="B39" s="95" t="n"/>
      <c r="C39" s="95" t="n"/>
      <c r="D39" s="95" t="n"/>
      <c r="E39" s="95" t="n"/>
      <c r="F39" s="95" t="n"/>
      <c r="G39" s="95" t="n"/>
      <c r="H39" s="95" t="n"/>
    </row>
    <row r="40">
      <c r="A40" s="94" t="n">
        <v>35</v>
      </c>
      <c r="B40" s="95" t="n"/>
      <c r="C40" s="95" t="n"/>
      <c r="D40" s="95" t="n"/>
      <c r="E40" s="95" t="n"/>
      <c r="F40" s="95" t="n"/>
      <c r="G40" s="95" t="n"/>
      <c r="H40" s="95" t="n"/>
    </row>
    <row r="41">
      <c r="A41" s="94" t="n">
        <v>36</v>
      </c>
      <c r="B41" s="95" t="n"/>
      <c r="C41" s="95" t="n"/>
      <c r="D41" s="95" t="n"/>
      <c r="E41" s="95" t="n"/>
      <c r="F41" s="95" t="n"/>
      <c r="G41" s="95" t="n"/>
      <c r="H41" s="95" t="n"/>
    </row>
    <row r="42">
      <c r="A42" s="94" t="n">
        <v>37</v>
      </c>
      <c r="B42" s="95" t="n"/>
      <c r="C42" s="95" t="n"/>
      <c r="D42" s="95" t="n"/>
      <c r="E42" s="95" t="n"/>
      <c r="F42" s="95" t="n"/>
      <c r="G42" s="95" t="n"/>
      <c r="H42" s="95" t="n"/>
    </row>
    <row r="43">
      <c r="A43" s="94" t="n">
        <v>38</v>
      </c>
      <c r="B43" s="95" t="n"/>
      <c r="C43" s="95" t="n"/>
      <c r="D43" s="95" t="n"/>
      <c r="E43" s="95" t="n"/>
      <c r="F43" s="95" t="n"/>
      <c r="G43" s="95" t="n"/>
      <c r="H43" s="95" t="n"/>
    </row>
    <row r="44">
      <c r="A44" s="94" t="n">
        <v>39</v>
      </c>
      <c r="B44" s="95" t="n"/>
      <c r="C44" s="95" t="n"/>
      <c r="D44" s="95" t="n"/>
      <c r="E44" s="95" t="n"/>
      <c r="F44" s="95" t="n"/>
      <c r="G44" s="95" t="n"/>
      <c r="H44" s="95" t="n"/>
    </row>
    <row r="45">
      <c r="A45" s="94" t="n">
        <v>40</v>
      </c>
      <c r="B45" s="95" t="n"/>
      <c r="C45" s="95" t="n"/>
      <c r="D45" s="95" t="n"/>
      <c r="E45" s="95" t="n"/>
      <c r="F45" s="95" t="n"/>
      <c r="G45" s="95" t="n"/>
      <c r="H45" s="95" t="n"/>
    </row>
    <row r="46">
      <c r="A46" s="94" t="n">
        <v>41</v>
      </c>
      <c r="B46" s="95" t="n"/>
      <c r="C46" s="95" t="n"/>
      <c r="D46" s="95" t="n"/>
      <c r="E46" s="95" t="n"/>
      <c r="F46" s="95" t="n"/>
      <c r="G46" s="95" t="n"/>
      <c r="H46" s="95" t="n"/>
    </row>
    <row r="47">
      <c r="A47" s="94" t="n">
        <v>42</v>
      </c>
      <c r="B47" s="95" t="n"/>
      <c r="C47" s="95" t="n"/>
      <c r="D47" s="95" t="n"/>
      <c r="E47" s="95" t="n"/>
      <c r="F47" s="95" t="n"/>
      <c r="G47" s="95" t="n"/>
      <c r="H47" s="95" t="n"/>
    </row>
    <row r="48">
      <c r="A48" s="94" t="n">
        <v>43</v>
      </c>
      <c r="B48" s="95" t="n"/>
      <c r="C48" s="95" t="n"/>
      <c r="D48" s="95" t="n"/>
      <c r="E48" s="95" t="n"/>
      <c r="F48" s="95" t="n"/>
      <c r="G48" s="95" t="n"/>
      <c r="H48" s="95" t="n"/>
    </row>
    <row r="49">
      <c r="A49" s="94" t="n">
        <v>44</v>
      </c>
      <c r="B49" s="95" t="n"/>
      <c r="C49" s="95" t="n"/>
      <c r="D49" s="95" t="n"/>
      <c r="E49" s="95" t="n"/>
      <c r="F49" s="95" t="n"/>
      <c r="G49" s="95" t="n"/>
      <c r="H49" s="95" t="n"/>
    </row>
    <row r="50">
      <c r="A50" s="94" t="n">
        <v>45</v>
      </c>
      <c r="B50" s="95" t="n"/>
      <c r="C50" s="95" t="n"/>
      <c r="D50" s="95" t="n"/>
      <c r="E50" s="95" t="n"/>
      <c r="F50" s="95" t="n"/>
      <c r="G50" s="95" t="n"/>
      <c r="H50" s="95" t="n"/>
      <c r="J50" s="96" t="inlineStr">
        <is>
          <t>Regular crew above</t>
        </is>
      </c>
    </row>
    <row r="51">
      <c r="A51" s="97" t="n">
        <v>46</v>
      </c>
      <c r="B51" s="98" t="inlineStr">
        <is>
          <t>ODIN</t>
        </is>
      </c>
      <c r="C51" s="98" t="inlineStr">
        <is>
          <t>ME2 (NS) Chua Wei Jie</t>
        </is>
      </c>
      <c r="D51" s="98" t="inlineStr">
        <is>
          <t>CWJ</t>
        </is>
      </c>
      <c r="E51" s="98" t="inlineStr">
        <is>
          <t>CAT B</t>
        </is>
      </c>
      <c r="F51" s="98" t="inlineStr">
        <is>
          <t>Senior CAT A</t>
        </is>
      </c>
      <c r="G51" s="98" t="inlineStr">
        <is>
          <t>NSMEN</t>
        </is>
      </c>
      <c r="H51" s="98" t="n"/>
      <c r="J51" s="99" t="inlineStr">
        <is>
          <t>SANS / NSmen from here</t>
        </is>
      </c>
    </row>
    <row r="52">
      <c r="A52" s="100" t="n">
        <v>47</v>
      </c>
      <c r="B52" s="101" t="n"/>
      <c r="C52" s="101" t="n"/>
      <c r="D52" s="101" t="n"/>
      <c r="E52" s="101" t="n"/>
      <c r="F52" s="101" t="n"/>
      <c r="G52" s="101" t="n"/>
      <c r="H52" s="101" t="n"/>
    </row>
    <row r="53">
      <c r="A53" s="100" t="n">
        <v>48</v>
      </c>
      <c r="B53" s="101" t="n"/>
      <c r="C53" s="101" t="n"/>
      <c r="D53" s="101" t="n"/>
      <c r="E53" s="101" t="n"/>
      <c r="F53" s="101" t="n"/>
      <c r="G53" s="101" t="n"/>
      <c r="H53" s="101" t="n"/>
    </row>
    <row r="54">
      <c r="A54" s="100" t="n">
        <v>49</v>
      </c>
      <c r="B54" s="101" t="n"/>
      <c r="C54" s="101" t="n"/>
      <c r="D54" s="101" t="n"/>
      <c r="E54" s="101" t="n"/>
      <c r="F54" s="101" t="n"/>
      <c r="G54" s="101" t="n"/>
      <c r="H54" s="101" t="n"/>
    </row>
    <row r="55">
      <c r="A55" s="100" t="n">
        <v>50</v>
      </c>
      <c r="B55" s="101" t="n"/>
      <c r="C55" s="101" t="n"/>
      <c r="D55" s="101" t="n"/>
      <c r="E55" s="101" t="n"/>
      <c r="F55" s="101" t="n"/>
      <c r="G55" s="101" t="n"/>
      <c r="H55" s="101" t="n"/>
    </row>
    <row r="56">
      <c r="A56" s="100" t="n">
        <v>51</v>
      </c>
      <c r="B56" s="101" t="n"/>
      <c r="C56" s="101" t="n"/>
      <c r="D56" s="101" t="n"/>
      <c r="E56" s="101" t="n"/>
      <c r="F56" s="101" t="n"/>
      <c r="G56" s="101" t="n"/>
      <c r="H56" s="101" t="n"/>
    </row>
    <row r="57">
      <c r="A57" s="100" t="n">
        <v>52</v>
      </c>
      <c r="B57" s="101" t="n"/>
      <c r="C57" s="101" t="n"/>
      <c r="D57" s="101" t="n"/>
      <c r="E57" s="101" t="n"/>
      <c r="F57" s="101" t="n"/>
      <c r="G57" s="101" t="n"/>
      <c r="H57" s="101" t="n"/>
    </row>
    <row r="58">
      <c r="A58" s="100" t="n">
        <v>53</v>
      </c>
      <c r="B58" s="101" t="n"/>
      <c r="C58" s="101" t="n"/>
      <c r="D58" s="101" t="n"/>
      <c r="E58" s="101" t="n"/>
      <c r="F58" s="101" t="n"/>
      <c r="G58" s="101" t="n"/>
      <c r="H58" s="101" t="n"/>
    </row>
    <row r="59">
      <c r="A59" s="100" t="n">
        <v>54</v>
      </c>
      <c r="B59" s="101" t="n"/>
      <c r="C59" s="101" t="n"/>
      <c r="D59" s="101" t="n"/>
      <c r="E59" s="101" t="n"/>
      <c r="F59" s="101" t="n"/>
      <c r="G59" s="101" t="n"/>
      <c r="H59" s="101" t="n"/>
    </row>
    <row r="60">
      <c r="A60" s="100" t="n">
        <v>55</v>
      </c>
      <c r="B60" s="101" t="n"/>
      <c r="C60" s="101" t="n"/>
      <c r="D60" s="101" t="n"/>
      <c r="E60" s="101" t="n"/>
      <c r="F60" s="101" t="n"/>
      <c r="G60" s="101" t="n"/>
      <c r="H60" s="101" t="n"/>
    </row>
    <row r="61">
      <c r="A61" s="100" t="n">
        <v>56</v>
      </c>
      <c r="B61" s="101" t="n"/>
      <c r="C61" s="101" t="n"/>
      <c r="D61" s="101" t="n"/>
      <c r="E61" s="101" t="n"/>
      <c r="F61" s="101" t="n"/>
      <c r="G61" s="101" t="n"/>
      <c r="H61" s="101" t="n"/>
    </row>
    <row r="62">
      <c r="A62" s="100" t="n">
        <v>57</v>
      </c>
      <c r="B62" s="101" t="n"/>
      <c r="C62" s="101" t="n"/>
      <c r="D62" s="101" t="n"/>
      <c r="E62" s="101" t="n"/>
      <c r="F62" s="101" t="n"/>
      <c r="G62" s="101" t="n"/>
      <c r="H62" s="101" t="n"/>
    </row>
    <row r="63">
      <c r="A63" s="100" t="n">
        <v>58</v>
      </c>
      <c r="B63" s="101" t="n"/>
      <c r="C63" s="101" t="n"/>
      <c r="D63" s="101" t="n"/>
      <c r="E63" s="101" t="n"/>
      <c r="F63" s="101" t="n"/>
      <c r="G63" s="101" t="n"/>
      <c r="H63" s="101" t="n"/>
    </row>
    <row r="64">
      <c r="A64" s="100" t="n">
        <v>59</v>
      </c>
      <c r="B64" s="101" t="n"/>
      <c r="C64" s="101" t="n"/>
      <c r="D64" s="101" t="n"/>
      <c r="E64" s="101" t="n"/>
      <c r="F64" s="101" t="n"/>
      <c r="G64" s="101" t="n"/>
      <c r="H64" s="101" t="n"/>
    </row>
    <row r="65">
      <c r="A65" s="100" t="n">
        <v>60</v>
      </c>
      <c r="B65" s="101" t="n"/>
      <c r="C65" s="101" t="n"/>
      <c r="D65" s="101" t="n"/>
      <c r="E65" s="101" t="n"/>
      <c r="F65" s="101" t="n"/>
      <c r="G65" s="101" t="n"/>
      <c r="H65" s="101" t="n"/>
    </row>
  </sheetData>
  <mergeCells count="2">
    <mergeCell ref="A2:G2"/>
    <mergeCell ref="A1:G1"/>
  </mergeCells>
  <conditionalFormatting sqref="B6:H65">
    <cfRule type="expression" priority="1" dxfId="18" stopIfTrue="1">
      <formula>$G6="Inactive"</formula>
    </cfRule>
  </conditionalFormatting>
  <conditionalFormatting sqref="C6:C65">
    <cfRule type="expression" priority="2" dxfId="1">
      <formula>INDEX(CrewCat,ROW()-5)="CAT A"</formula>
    </cfRule>
    <cfRule type="expression" priority="3" dxfId="2">
      <formula>INDEX(CrewCat,ROW()-5)="CAT B"</formula>
    </cfRule>
    <cfRule type="expression" priority="4" dxfId="3">
      <formula>INDEX(CrewCat,ROW()-5)="CAT C"</formula>
    </cfRule>
    <cfRule type="expression" priority="5" dxfId="4">
      <formula>INDEX(CrewCat,ROW()-5)="CAT D"</formula>
    </cfRule>
    <cfRule type="expression" priority="6" dxfId="5">
      <formula>INDEX(CrewCat,ROW()-5)="TRAINEE"</formula>
    </cfRule>
  </conditionalFormatting>
  <dataValidations count="5">
    <dataValidation sqref="E6:E65" showDropDown="0" showInputMessage="0" showErrorMessage="0" allowBlank="1" type="list">
      <formula1>"CAT A,CAT B,CAT C,CAT D,TRAINEE"</formula1>
    </dataValidation>
    <dataValidation sqref="F6:F65" showDropDown="0" showInputMessage="0" showErrorMessage="0" allowBlank="1" type="list">
      <formula1>"Instructor,Senior CAT A,Junior"</formula1>
    </dataValidation>
    <dataValidation sqref="G6:G50" showDropDown="0" showInputMessage="0" showErrorMessage="1" allowBlank="1" errorTitle="Regular crew" error="SANS and NSmen go in the purple rows 51-65." type="list">
      <formula1>"Active,Inactive"</formula1>
    </dataValidation>
    <dataValidation sqref="G51:G65" showDropDown="0" showInputMessage="0" showErrorMessage="1" allowBlank="1" errorTitle="SANS / NSmen rows" error="These rows are for SANS and NSmen. Regular (Active) crew go in rows 6-50." type="list">
      <formula1>"SANS,NSMEN,Inactive"</formula1>
    </dataValidation>
    <dataValidation sqref="B6:B65" showDropDown="0" showInputMessage="0" showErrorMessage="1" allowBlank="1" errorTitle="Duplicate callsign" error="That callsign is already used." type="custom">
      <formula1>COUNTIF($B$6:$B$65,B6)=1</formula1>
    </dataValidation>
  </dataValidations>
  <pageMargins left="0.75" right="0.75" top="1" bottom="1" header="0.5" footer="0.5"/>
</worksheet>
</file>

<file path=xl/worksheets/sheet7.xml><?xml version="1.0" encoding="utf-8"?>
<worksheet xmlns="http://schemas.openxmlformats.org/spreadsheetml/2006/main">
  <sheetPr>
    <tabColor rgb="00B91C1C"/>
    <outlinePr summaryBelow="1" summaryRight="1"/>
    <pageSetUpPr/>
  </sheetPr>
  <dimension ref="A1:T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8" customWidth="1" min="3" max="3"/>
    <col width="13" customWidth="1" min="4" max="4"/>
    <col width="6" customWidth="1" min="5" max="5"/>
    <col width="13" customWidth="1" min="6" max="6"/>
    <col width="13" customWidth="1" min="7" max="7"/>
    <col width="14" customWidth="1" min="8" max="8"/>
    <col width="14" customWidth="1" min="9" max="9"/>
    <col width="14" customWidth="1" min="10" max="10"/>
    <col width="12" customWidth="1" min="11" max="11"/>
    <col width="14" customWidth="1" min="12" max="12"/>
    <col width="13" customWidth="1" min="13" max="13"/>
    <col width="40" customWidth="1" min="14" max="14"/>
    <col width="10" customWidth="1" min="15" max="15"/>
    <col width="24" customWidth="1" min="16" max="16"/>
    <col width="14" customWidth="1" min="17" max="17"/>
    <col width="26" customWidth="1" min="18" max="18"/>
  </cols>
  <sheetData>
    <row r="1" ht="30" customHeight="1">
      <c r="A1" s="1" t="inlineStr">
        <is>
          <t>PERSONNEL INFO  |  LOADMASTER</t>
        </is>
      </c>
      <c r="B1" s="2" t="n"/>
      <c r="C1" s="2" t="n"/>
      <c r="D1" s="2" t="n"/>
      <c r="E1" s="2" t="n"/>
      <c r="F1" s="2" t="n"/>
      <c r="G1" s="2" t="n"/>
      <c r="H1" s="2" t="n"/>
      <c r="I1" s="2" t="n"/>
      <c r="J1" s="2" t="n"/>
      <c r="K1" s="2" t="n"/>
      <c r="L1" s="2" t="n"/>
      <c r="M1" s="2" t="n"/>
      <c r="N1" s="2" t="n"/>
      <c r="O1" s="2" t="n"/>
      <c r="P1" s="2" t="n"/>
      <c r="Q1" s="2" t="n"/>
      <c r="R1" s="2" t="n"/>
    </row>
    <row r="2" ht="18" customHeight="1">
      <c r="A2" s="3" t="inlineStr">
        <is>
          <t>Restricted: personal data. Callsign and name come from the Roster (same rows), so add or change crew on the Roster and fill in their details here.</t>
        </is>
      </c>
      <c r="B2" s="2" t="n"/>
      <c r="C2" s="2" t="n"/>
      <c r="D2" s="2" t="n"/>
      <c r="E2" s="2" t="n"/>
      <c r="F2" s="2" t="n"/>
      <c r="G2" s="2" t="n"/>
      <c r="H2" s="2" t="n"/>
      <c r="I2" s="2" t="n"/>
      <c r="J2" s="2" t="n"/>
      <c r="K2" s="2" t="n"/>
      <c r="L2" s="2" t="n"/>
      <c r="M2" s="2" t="n"/>
      <c r="N2" s="2" t="n"/>
      <c r="O2" s="2" t="n"/>
      <c r="P2" s="2" t="n"/>
      <c r="Q2" s="2" t="n"/>
      <c r="R2" s="2" t="n"/>
    </row>
    <row r="3">
      <c r="A3" s="82" t="inlineStr">
        <is>
          <t>Grey columns fill in by themselves. Passport turns amber when it expires within 6 months and red once expired.</t>
        </is>
      </c>
    </row>
    <row r="5" ht="22" customHeight="1">
      <c r="A5" s="31" t="inlineStr">
        <is>
          <t>#</t>
        </is>
      </c>
      <c r="B5" s="31" t="inlineStr">
        <is>
          <t>Callsign</t>
        </is>
      </c>
      <c r="C5" s="31" t="inlineStr">
        <is>
          <t>Crew Member</t>
        </is>
      </c>
      <c r="D5" s="31" t="inlineStr">
        <is>
          <t>DOB</t>
        </is>
      </c>
      <c r="E5" s="31" t="inlineStr">
        <is>
          <t>Age</t>
        </is>
      </c>
      <c r="F5" s="31" t="inlineStr">
        <is>
          <t>NRIC</t>
        </is>
      </c>
      <c r="G5" s="31" t="inlineStr">
        <is>
          <t>Pers ID</t>
        </is>
      </c>
      <c r="H5" s="31" t="inlineStr">
        <is>
          <t>Passport No</t>
        </is>
      </c>
      <c r="I5" s="31" t="inlineStr">
        <is>
          <t>Passport Issue</t>
        </is>
      </c>
      <c r="J5" s="31" t="inlineStr">
        <is>
          <t>Passport Expiry</t>
        </is>
      </c>
      <c r="K5" s="31" t="inlineStr">
        <is>
          <t>Passport</t>
        </is>
      </c>
      <c r="L5" s="31" t="inlineStr">
        <is>
          <t>Contact</t>
        </is>
      </c>
      <c r="M5" s="31" t="inlineStr">
        <is>
          <t>Vehicle Plate</t>
        </is>
      </c>
      <c r="N5" s="31" t="inlineStr">
        <is>
          <t>Address</t>
        </is>
      </c>
      <c r="O5" s="31" t="inlineStr">
        <is>
          <t>Blood Type</t>
        </is>
      </c>
      <c r="P5" s="31" t="inlineStr">
        <is>
          <t>NOK</t>
        </is>
      </c>
      <c r="Q5" s="31" t="inlineStr">
        <is>
          <t>NOK Contact</t>
        </is>
      </c>
      <c r="R5" s="31" t="inlineStr">
        <is>
          <t>Allergies</t>
        </is>
      </c>
    </row>
    <row r="6">
      <c r="A6" s="102" t="n">
        <v>1</v>
      </c>
      <c r="B6" s="91">
        <f>IF(Roster!B6="","",Roster!B6)</f>
        <v/>
      </c>
      <c r="C6" s="92">
        <f>IF(Roster!C6="","",Roster!C6)</f>
        <v/>
      </c>
      <c r="D6" s="103" t="n"/>
      <c r="E6" s="104">
        <f>IF(D6="","",DATEDIF(D6,TODAY(),"y"))</f>
        <v/>
      </c>
      <c r="F6" s="105" t="n"/>
      <c r="G6" s="105" t="n"/>
      <c r="H6" s="105" t="n"/>
      <c r="I6" s="103" t="n"/>
      <c r="J6" s="103" t="n"/>
      <c r="K6" s="104">
        <f>IF(J6="","",IF(J6&lt;TODAY(),"EXPIRED",IF(J6&lt;EDATE(TODAY(),6),"&lt; 6 months","Valid")))</f>
        <v/>
      </c>
      <c r="L6" s="105" t="n"/>
      <c r="M6" s="105" t="n"/>
      <c r="N6" s="106" t="n"/>
      <c r="O6" s="107" t="n"/>
      <c r="P6" s="95" t="n"/>
      <c r="Q6" s="105" t="n"/>
      <c r="R6" s="95" t="n"/>
    </row>
    <row r="7">
      <c r="A7" s="102" t="n">
        <v>2</v>
      </c>
      <c r="B7" s="91">
        <f>IF(Roster!B7="","",Roster!B7)</f>
        <v/>
      </c>
      <c r="C7" s="92">
        <f>IF(Roster!C7="","",Roster!C7)</f>
        <v/>
      </c>
      <c r="D7" s="103" t="n"/>
      <c r="E7" s="104">
        <f>IF(D7="","",DATEDIF(D7,TODAY(),"y"))</f>
        <v/>
      </c>
      <c r="F7" s="105" t="n"/>
      <c r="G7" s="105" t="n"/>
      <c r="H7" s="105" t="n"/>
      <c r="I7" s="103" t="n"/>
      <c r="J7" s="103" t="n"/>
      <c r="K7" s="104">
        <f>IF(J7="","",IF(J7&lt;TODAY(),"EXPIRED",IF(J7&lt;EDATE(TODAY(),6),"&lt; 6 months","Valid")))</f>
        <v/>
      </c>
      <c r="L7" s="105" t="n"/>
      <c r="M7" s="105" t="n"/>
      <c r="N7" s="106" t="n"/>
      <c r="O7" s="107" t="n"/>
      <c r="P7" s="95" t="n"/>
      <c r="Q7" s="105" t="n"/>
      <c r="R7" s="95" t="n"/>
    </row>
    <row r="8">
      <c r="A8" s="102" t="n">
        <v>3</v>
      </c>
      <c r="B8" s="91">
        <f>IF(Roster!B8="","",Roster!B8)</f>
        <v/>
      </c>
      <c r="C8" s="92">
        <f>IF(Roster!C8="","",Roster!C8)</f>
        <v/>
      </c>
      <c r="D8" s="103" t="n"/>
      <c r="E8" s="104">
        <f>IF(D8="","",DATEDIF(D8,TODAY(),"y"))</f>
        <v/>
      </c>
      <c r="F8" s="105" t="n"/>
      <c r="G8" s="105" t="n"/>
      <c r="H8" s="105" t="n"/>
      <c r="I8" s="103" t="n"/>
      <c r="J8" s="103" t="n"/>
      <c r="K8" s="104">
        <f>IF(J8="","",IF(J8&lt;TODAY(),"EXPIRED",IF(J8&lt;EDATE(TODAY(),6),"&lt; 6 months","Valid")))</f>
        <v/>
      </c>
      <c r="L8" s="105" t="n"/>
      <c r="M8" s="105" t="n"/>
      <c r="N8" s="106" t="n"/>
      <c r="O8" s="107" t="n"/>
      <c r="P8" s="95" t="n"/>
      <c r="Q8" s="105" t="n"/>
      <c r="R8" s="95" t="n"/>
    </row>
    <row r="9">
      <c r="A9" s="102" t="n">
        <v>4</v>
      </c>
      <c r="B9" s="91">
        <f>IF(Roster!B9="","",Roster!B9)</f>
        <v/>
      </c>
      <c r="C9" s="92">
        <f>IF(Roster!C9="","",Roster!C9)</f>
        <v/>
      </c>
      <c r="D9" s="103" t="n"/>
      <c r="E9" s="104">
        <f>IF(D9="","",DATEDIF(D9,TODAY(),"y"))</f>
        <v/>
      </c>
      <c r="F9" s="105" t="n"/>
      <c r="G9" s="105" t="n"/>
      <c r="H9" s="105" t="n"/>
      <c r="I9" s="103" t="n"/>
      <c r="J9" s="103" t="n"/>
      <c r="K9" s="104">
        <f>IF(J9="","",IF(J9&lt;TODAY(),"EXPIRED",IF(J9&lt;EDATE(TODAY(),6),"&lt; 6 months","Valid")))</f>
        <v/>
      </c>
      <c r="L9" s="105" t="n"/>
      <c r="M9" s="105" t="n"/>
      <c r="N9" s="106" t="n"/>
      <c r="O9" s="107" t="n"/>
      <c r="P9" s="95" t="n"/>
      <c r="Q9" s="105" t="n"/>
      <c r="R9" s="95" t="n"/>
    </row>
    <row r="10">
      <c r="A10" s="102" t="n">
        <v>5</v>
      </c>
      <c r="B10" s="91">
        <f>IF(Roster!B10="","",Roster!B10)</f>
        <v/>
      </c>
      <c r="C10" s="92">
        <f>IF(Roster!C10="","",Roster!C10)</f>
        <v/>
      </c>
      <c r="D10" s="103" t="n"/>
      <c r="E10" s="104">
        <f>IF(D10="","",DATEDIF(D10,TODAY(),"y"))</f>
        <v/>
      </c>
      <c r="F10" s="105" t="n"/>
      <c r="G10" s="105" t="n"/>
      <c r="H10" s="105" t="n"/>
      <c r="I10" s="103" t="n"/>
      <c r="J10" s="103" t="n"/>
      <c r="K10" s="104">
        <f>IF(J10="","",IF(J10&lt;TODAY(),"EXPIRED",IF(J10&lt;EDATE(TODAY(),6),"&lt; 6 months","Valid")))</f>
        <v/>
      </c>
      <c r="L10" s="105" t="n"/>
      <c r="M10" s="105" t="n"/>
      <c r="N10" s="106" t="n"/>
      <c r="O10" s="107" t="n"/>
      <c r="P10" s="95" t="n"/>
      <c r="Q10" s="105" t="n"/>
      <c r="R10" s="95" t="n"/>
    </row>
    <row r="11">
      <c r="A11" s="102" t="n">
        <v>6</v>
      </c>
      <c r="B11" s="91">
        <f>IF(Roster!B11="","",Roster!B11)</f>
        <v/>
      </c>
      <c r="C11" s="92">
        <f>IF(Roster!C11="","",Roster!C11)</f>
        <v/>
      </c>
      <c r="D11" s="103" t="n"/>
      <c r="E11" s="104">
        <f>IF(D11="","",DATEDIF(D11,TODAY(),"y"))</f>
        <v/>
      </c>
      <c r="F11" s="105" t="n"/>
      <c r="G11" s="105" t="n"/>
      <c r="H11" s="105" t="n"/>
      <c r="I11" s="103" t="n"/>
      <c r="J11" s="103" t="n"/>
      <c r="K11" s="104">
        <f>IF(J11="","",IF(J11&lt;TODAY(),"EXPIRED",IF(J11&lt;EDATE(TODAY(),6),"&lt; 6 months","Valid")))</f>
        <v/>
      </c>
      <c r="L11" s="105" t="n"/>
      <c r="M11" s="105" t="n"/>
      <c r="N11" s="106" t="n"/>
      <c r="O11" s="107" t="n"/>
      <c r="P11" s="95" t="n"/>
      <c r="Q11" s="105" t="n"/>
      <c r="R11" s="95" t="n"/>
    </row>
    <row r="12">
      <c r="A12" s="102" t="n">
        <v>7</v>
      </c>
      <c r="B12" s="91">
        <f>IF(Roster!B12="","",Roster!B12)</f>
        <v/>
      </c>
      <c r="C12" s="92">
        <f>IF(Roster!C12="","",Roster!C12)</f>
        <v/>
      </c>
      <c r="D12" s="103" t="n"/>
      <c r="E12" s="104">
        <f>IF(D12="","",DATEDIF(D12,TODAY(),"y"))</f>
        <v/>
      </c>
      <c r="F12" s="105" t="n"/>
      <c r="G12" s="105" t="n"/>
      <c r="H12" s="105" t="n"/>
      <c r="I12" s="103" t="n"/>
      <c r="J12" s="103" t="n"/>
      <c r="K12" s="104">
        <f>IF(J12="","",IF(J12&lt;TODAY(),"EXPIRED",IF(J12&lt;EDATE(TODAY(),6),"&lt; 6 months","Valid")))</f>
        <v/>
      </c>
      <c r="L12" s="105" t="n"/>
      <c r="M12" s="105" t="n"/>
      <c r="N12" s="106" t="n"/>
      <c r="O12" s="107" t="n"/>
      <c r="P12" s="95" t="n"/>
      <c r="Q12" s="105" t="n"/>
      <c r="R12" s="95" t="n"/>
    </row>
    <row r="13">
      <c r="A13" s="102" t="n">
        <v>8</v>
      </c>
      <c r="B13" s="91">
        <f>IF(Roster!B13="","",Roster!B13)</f>
        <v/>
      </c>
      <c r="C13" s="92">
        <f>IF(Roster!C13="","",Roster!C13)</f>
        <v/>
      </c>
      <c r="D13" s="103" t="n"/>
      <c r="E13" s="104">
        <f>IF(D13="","",DATEDIF(D13,TODAY(),"y"))</f>
        <v/>
      </c>
      <c r="F13" s="105" t="n"/>
      <c r="G13" s="105" t="n"/>
      <c r="H13" s="105" t="n"/>
      <c r="I13" s="103" t="n"/>
      <c r="J13" s="103" t="n"/>
      <c r="K13" s="104">
        <f>IF(J13="","",IF(J13&lt;TODAY(),"EXPIRED",IF(J13&lt;EDATE(TODAY(),6),"&lt; 6 months","Valid")))</f>
        <v/>
      </c>
      <c r="L13" s="105" t="n"/>
      <c r="M13" s="105" t="n"/>
      <c r="N13" s="106" t="n"/>
      <c r="O13" s="107" t="n"/>
      <c r="P13" s="95" t="n"/>
      <c r="Q13" s="105" t="n"/>
      <c r="R13" s="95" t="n"/>
    </row>
    <row r="14">
      <c r="A14" s="102" t="n">
        <v>9</v>
      </c>
      <c r="B14" s="91">
        <f>IF(Roster!B14="","",Roster!B14)</f>
        <v/>
      </c>
      <c r="C14" s="92">
        <f>IF(Roster!C14="","",Roster!C14)</f>
        <v/>
      </c>
      <c r="D14" s="103" t="n"/>
      <c r="E14" s="104">
        <f>IF(D14="","",DATEDIF(D14,TODAY(),"y"))</f>
        <v/>
      </c>
      <c r="F14" s="105" t="n"/>
      <c r="G14" s="105" t="n"/>
      <c r="H14" s="105" t="n"/>
      <c r="I14" s="103" t="n"/>
      <c r="J14" s="103" t="n"/>
      <c r="K14" s="104">
        <f>IF(J14="","",IF(J14&lt;TODAY(),"EXPIRED",IF(J14&lt;EDATE(TODAY(),6),"&lt; 6 months","Valid")))</f>
        <v/>
      </c>
      <c r="L14" s="105" t="n"/>
      <c r="M14" s="105" t="n"/>
      <c r="N14" s="106" t="n"/>
      <c r="O14" s="107" t="n"/>
      <c r="P14" s="95" t="n"/>
      <c r="Q14" s="105" t="n"/>
      <c r="R14" s="95" t="n"/>
    </row>
    <row r="15">
      <c r="A15" s="102" t="n">
        <v>10</v>
      </c>
      <c r="B15" s="91">
        <f>IF(Roster!B15="","",Roster!B15)</f>
        <v/>
      </c>
      <c r="C15" s="92">
        <f>IF(Roster!C15="","",Roster!C15)</f>
        <v/>
      </c>
      <c r="D15" s="103" t="n"/>
      <c r="E15" s="104">
        <f>IF(D15="","",DATEDIF(D15,TODAY(),"y"))</f>
        <v/>
      </c>
      <c r="F15" s="105" t="n"/>
      <c r="G15" s="105" t="n"/>
      <c r="H15" s="105" t="n"/>
      <c r="I15" s="103" t="n"/>
      <c r="J15" s="103" t="n"/>
      <c r="K15" s="104">
        <f>IF(J15="","",IF(J15&lt;TODAY(),"EXPIRED",IF(J15&lt;EDATE(TODAY(),6),"&lt; 6 months","Valid")))</f>
        <v/>
      </c>
      <c r="L15" s="105" t="n"/>
      <c r="M15" s="105" t="n"/>
      <c r="N15" s="106" t="n"/>
      <c r="O15" s="107" t="n"/>
      <c r="P15" s="95" t="n"/>
      <c r="Q15" s="105" t="n"/>
      <c r="R15" s="95" t="n"/>
    </row>
    <row r="16">
      <c r="A16" s="102" t="n">
        <v>11</v>
      </c>
      <c r="B16" s="91">
        <f>IF(Roster!B16="","",Roster!B16)</f>
        <v/>
      </c>
      <c r="C16" s="92">
        <f>IF(Roster!C16="","",Roster!C16)</f>
        <v/>
      </c>
      <c r="D16" s="103" t="n"/>
      <c r="E16" s="104">
        <f>IF(D16="","",DATEDIF(D16,TODAY(),"y"))</f>
        <v/>
      </c>
      <c r="F16" s="105" t="n"/>
      <c r="G16" s="105" t="n"/>
      <c r="H16" s="105" t="n"/>
      <c r="I16" s="103" t="n"/>
      <c r="J16" s="103" t="n"/>
      <c r="K16" s="104">
        <f>IF(J16="","",IF(J16&lt;TODAY(),"EXPIRED",IF(J16&lt;EDATE(TODAY(),6),"&lt; 6 months","Valid")))</f>
        <v/>
      </c>
      <c r="L16" s="105" t="n"/>
      <c r="M16" s="105" t="n"/>
      <c r="N16" s="106" t="n"/>
      <c r="O16" s="107" t="n"/>
      <c r="P16" s="95" t="n"/>
      <c r="Q16" s="105" t="n"/>
      <c r="R16" s="95" t="n"/>
    </row>
    <row r="17">
      <c r="A17" s="102" t="n">
        <v>12</v>
      </c>
      <c r="B17" s="91">
        <f>IF(Roster!B17="","",Roster!B17)</f>
        <v/>
      </c>
      <c r="C17" s="92">
        <f>IF(Roster!C17="","",Roster!C17)</f>
        <v/>
      </c>
      <c r="D17" s="103" t="n"/>
      <c r="E17" s="104">
        <f>IF(D17="","",DATEDIF(D17,TODAY(),"y"))</f>
        <v/>
      </c>
      <c r="F17" s="105" t="n"/>
      <c r="G17" s="105" t="n"/>
      <c r="H17" s="105" t="n"/>
      <c r="I17" s="103" t="n"/>
      <c r="J17" s="103" t="n"/>
      <c r="K17" s="104">
        <f>IF(J17="","",IF(J17&lt;TODAY(),"EXPIRED",IF(J17&lt;EDATE(TODAY(),6),"&lt; 6 months","Valid")))</f>
        <v/>
      </c>
      <c r="L17" s="105" t="n"/>
      <c r="M17" s="105" t="n"/>
      <c r="N17" s="106" t="n"/>
      <c r="O17" s="107" t="n"/>
      <c r="P17" s="95" t="n"/>
      <c r="Q17" s="105" t="n"/>
      <c r="R17" s="95" t="n"/>
    </row>
    <row r="18">
      <c r="A18" s="102" t="n">
        <v>13</v>
      </c>
      <c r="B18" s="91">
        <f>IF(Roster!B18="","",Roster!B18)</f>
        <v/>
      </c>
      <c r="C18" s="92">
        <f>IF(Roster!C18="","",Roster!C18)</f>
        <v/>
      </c>
      <c r="D18" s="103" t="n"/>
      <c r="E18" s="104">
        <f>IF(D18="","",DATEDIF(D18,TODAY(),"y"))</f>
        <v/>
      </c>
      <c r="F18" s="105" t="n"/>
      <c r="G18" s="105" t="n"/>
      <c r="H18" s="105" t="n"/>
      <c r="I18" s="103" t="n"/>
      <c r="J18" s="103" t="n"/>
      <c r="K18" s="104">
        <f>IF(J18="","",IF(J18&lt;TODAY(),"EXPIRED",IF(J18&lt;EDATE(TODAY(),6),"&lt; 6 months","Valid")))</f>
        <v/>
      </c>
      <c r="L18" s="105" t="n"/>
      <c r="M18" s="105" t="n"/>
      <c r="N18" s="106" t="n"/>
      <c r="O18" s="107" t="n"/>
      <c r="P18" s="95" t="n"/>
      <c r="Q18" s="105" t="n"/>
      <c r="R18" s="95" t="n"/>
    </row>
    <row r="19">
      <c r="A19" s="102" t="n">
        <v>14</v>
      </c>
      <c r="B19" s="91">
        <f>IF(Roster!B19="","",Roster!B19)</f>
        <v/>
      </c>
      <c r="C19" s="92">
        <f>IF(Roster!C19="","",Roster!C19)</f>
        <v/>
      </c>
      <c r="D19" s="103" t="n"/>
      <c r="E19" s="104">
        <f>IF(D19="","",DATEDIF(D19,TODAY(),"y"))</f>
        <v/>
      </c>
      <c r="F19" s="105" t="n"/>
      <c r="G19" s="105" t="n"/>
      <c r="H19" s="105" t="n"/>
      <c r="I19" s="103" t="n"/>
      <c r="J19" s="103" t="n"/>
      <c r="K19" s="104">
        <f>IF(J19="","",IF(J19&lt;TODAY(),"EXPIRED",IF(J19&lt;EDATE(TODAY(),6),"&lt; 6 months","Valid")))</f>
        <v/>
      </c>
      <c r="L19" s="105" t="n"/>
      <c r="M19" s="105" t="n"/>
      <c r="N19" s="106" t="n"/>
      <c r="O19" s="107" t="n"/>
      <c r="P19" s="95" t="n"/>
      <c r="Q19" s="105" t="n"/>
      <c r="R19" s="95" t="n"/>
    </row>
    <row r="20">
      <c r="A20" s="102" t="n">
        <v>15</v>
      </c>
      <c r="B20" s="91">
        <f>IF(Roster!B20="","",Roster!B20)</f>
        <v/>
      </c>
      <c r="C20" s="92">
        <f>IF(Roster!C20="","",Roster!C20)</f>
        <v/>
      </c>
      <c r="D20" s="103" t="n"/>
      <c r="E20" s="104">
        <f>IF(D20="","",DATEDIF(D20,TODAY(),"y"))</f>
        <v/>
      </c>
      <c r="F20" s="105" t="n"/>
      <c r="G20" s="105" t="n"/>
      <c r="H20" s="105" t="n"/>
      <c r="I20" s="103" t="n"/>
      <c r="J20" s="103" t="n"/>
      <c r="K20" s="104">
        <f>IF(J20="","",IF(J20&lt;TODAY(),"EXPIRED",IF(J20&lt;EDATE(TODAY(),6),"&lt; 6 months","Valid")))</f>
        <v/>
      </c>
      <c r="L20" s="105" t="n"/>
      <c r="M20" s="105" t="n"/>
      <c r="N20" s="106" t="n"/>
      <c r="O20" s="107" t="n"/>
      <c r="P20" s="95" t="n"/>
      <c r="Q20" s="105" t="n"/>
      <c r="R20" s="95" t="n"/>
    </row>
    <row r="21">
      <c r="A21" s="102" t="n">
        <v>16</v>
      </c>
      <c r="B21" s="91">
        <f>IF(Roster!B21="","",Roster!B21)</f>
        <v/>
      </c>
      <c r="C21" s="92">
        <f>IF(Roster!C21="","",Roster!C21)</f>
        <v/>
      </c>
      <c r="D21" s="103" t="n"/>
      <c r="E21" s="104">
        <f>IF(D21="","",DATEDIF(D21,TODAY(),"y"))</f>
        <v/>
      </c>
      <c r="F21" s="105" t="n"/>
      <c r="G21" s="105" t="n"/>
      <c r="H21" s="105" t="n"/>
      <c r="I21" s="103" t="n"/>
      <c r="J21" s="103" t="n"/>
      <c r="K21" s="104">
        <f>IF(J21="","",IF(J21&lt;TODAY(),"EXPIRED",IF(J21&lt;EDATE(TODAY(),6),"&lt; 6 months","Valid")))</f>
        <v/>
      </c>
      <c r="L21" s="105" t="n"/>
      <c r="M21" s="105" t="n"/>
      <c r="N21" s="106" t="n"/>
      <c r="O21" s="107" t="n"/>
      <c r="P21" s="95" t="n"/>
      <c r="Q21" s="105" t="n"/>
      <c r="R21" s="95" t="n"/>
    </row>
    <row r="22">
      <c r="A22" s="102" t="n">
        <v>17</v>
      </c>
      <c r="B22" s="91">
        <f>IF(Roster!B22="","",Roster!B22)</f>
        <v/>
      </c>
      <c r="C22" s="92">
        <f>IF(Roster!C22="","",Roster!C22)</f>
        <v/>
      </c>
      <c r="D22" s="103" t="n"/>
      <c r="E22" s="104">
        <f>IF(D22="","",DATEDIF(D22,TODAY(),"y"))</f>
        <v/>
      </c>
      <c r="F22" s="105" t="n"/>
      <c r="G22" s="105" t="n"/>
      <c r="H22" s="105" t="n"/>
      <c r="I22" s="103" t="n"/>
      <c r="J22" s="103" t="n"/>
      <c r="K22" s="104">
        <f>IF(J22="","",IF(J22&lt;TODAY(),"EXPIRED",IF(J22&lt;EDATE(TODAY(),6),"&lt; 6 months","Valid")))</f>
        <v/>
      </c>
      <c r="L22" s="105" t="n"/>
      <c r="M22" s="105" t="n"/>
      <c r="N22" s="106" t="n"/>
      <c r="O22" s="107" t="n"/>
      <c r="P22" s="95" t="n"/>
      <c r="Q22" s="105" t="n"/>
      <c r="R22" s="95" t="n"/>
    </row>
    <row r="23">
      <c r="A23" s="102" t="n">
        <v>18</v>
      </c>
      <c r="B23" s="91">
        <f>IF(Roster!B23="","",Roster!B23)</f>
        <v/>
      </c>
      <c r="C23" s="92">
        <f>IF(Roster!C23="","",Roster!C23)</f>
        <v/>
      </c>
      <c r="D23" s="103" t="n"/>
      <c r="E23" s="104">
        <f>IF(D23="","",DATEDIF(D23,TODAY(),"y"))</f>
        <v/>
      </c>
      <c r="F23" s="105" t="n"/>
      <c r="G23" s="105" t="n"/>
      <c r="H23" s="105" t="n"/>
      <c r="I23" s="103" t="n"/>
      <c r="J23" s="103" t="n"/>
      <c r="K23" s="104">
        <f>IF(J23="","",IF(J23&lt;TODAY(),"EXPIRED",IF(J23&lt;EDATE(TODAY(),6),"&lt; 6 months","Valid")))</f>
        <v/>
      </c>
      <c r="L23" s="105" t="n"/>
      <c r="M23" s="105" t="n"/>
      <c r="N23" s="106" t="n"/>
      <c r="O23" s="107" t="n"/>
      <c r="P23" s="95" t="n"/>
      <c r="Q23" s="105" t="n"/>
      <c r="R23" s="95" t="n"/>
    </row>
    <row r="24">
      <c r="A24" s="102" t="n">
        <v>19</v>
      </c>
      <c r="B24" s="91">
        <f>IF(Roster!B24="","",Roster!B24)</f>
        <v/>
      </c>
      <c r="C24" s="92">
        <f>IF(Roster!C24="","",Roster!C24)</f>
        <v/>
      </c>
      <c r="D24" s="103" t="n"/>
      <c r="E24" s="104">
        <f>IF(D24="","",DATEDIF(D24,TODAY(),"y"))</f>
        <v/>
      </c>
      <c r="F24" s="105" t="n"/>
      <c r="G24" s="105" t="n"/>
      <c r="H24" s="105" t="n"/>
      <c r="I24" s="103" t="n"/>
      <c r="J24" s="103" t="n"/>
      <c r="K24" s="104">
        <f>IF(J24="","",IF(J24&lt;TODAY(),"EXPIRED",IF(J24&lt;EDATE(TODAY(),6),"&lt; 6 months","Valid")))</f>
        <v/>
      </c>
      <c r="L24" s="105" t="n"/>
      <c r="M24" s="105" t="n"/>
      <c r="N24" s="106" t="n"/>
      <c r="O24" s="107" t="n"/>
      <c r="P24" s="95" t="n"/>
      <c r="Q24" s="105" t="n"/>
      <c r="R24" s="95" t="n"/>
    </row>
    <row r="25">
      <c r="A25" s="102" t="n">
        <v>20</v>
      </c>
      <c r="B25" s="91">
        <f>IF(Roster!B25="","",Roster!B25)</f>
        <v/>
      </c>
      <c r="C25" s="92">
        <f>IF(Roster!C25="","",Roster!C25)</f>
        <v/>
      </c>
      <c r="D25" s="103" t="n"/>
      <c r="E25" s="104">
        <f>IF(D25="","",DATEDIF(D25,TODAY(),"y"))</f>
        <v/>
      </c>
      <c r="F25" s="105" t="n"/>
      <c r="G25" s="105" t="n"/>
      <c r="H25" s="105" t="n"/>
      <c r="I25" s="103" t="n"/>
      <c r="J25" s="103" t="n"/>
      <c r="K25" s="104">
        <f>IF(J25="","",IF(J25&lt;TODAY(),"EXPIRED",IF(J25&lt;EDATE(TODAY(),6),"&lt; 6 months","Valid")))</f>
        <v/>
      </c>
      <c r="L25" s="105" t="n"/>
      <c r="M25" s="105" t="n"/>
      <c r="N25" s="106" t="n"/>
      <c r="O25" s="107" t="n"/>
      <c r="P25" s="95" t="n"/>
      <c r="Q25" s="105" t="n"/>
      <c r="R25" s="95" t="n"/>
    </row>
    <row r="26">
      <c r="A26" s="102" t="n">
        <v>21</v>
      </c>
      <c r="B26" s="91">
        <f>IF(Roster!B26="","",Roster!B26)</f>
        <v/>
      </c>
      <c r="C26" s="92">
        <f>IF(Roster!C26="","",Roster!C26)</f>
        <v/>
      </c>
      <c r="D26" s="103" t="n"/>
      <c r="E26" s="104">
        <f>IF(D26="","",DATEDIF(D26,TODAY(),"y"))</f>
        <v/>
      </c>
      <c r="F26" s="105" t="n"/>
      <c r="G26" s="105" t="n"/>
      <c r="H26" s="105" t="n"/>
      <c r="I26" s="103" t="n"/>
      <c r="J26" s="103" t="n"/>
      <c r="K26" s="104">
        <f>IF(J26="","",IF(J26&lt;TODAY(),"EXPIRED",IF(J26&lt;EDATE(TODAY(),6),"&lt; 6 months","Valid")))</f>
        <v/>
      </c>
      <c r="L26" s="105" t="n"/>
      <c r="M26" s="105" t="n"/>
      <c r="N26" s="106" t="n"/>
      <c r="O26" s="107" t="n"/>
      <c r="P26" s="95" t="n"/>
      <c r="Q26" s="105" t="n"/>
      <c r="R26" s="95" t="n"/>
    </row>
    <row r="27">
      <c r="A27" s="102" t="n">
        <v>22</v>
      </c>
      <c r="B27" s="91">
        <f>IF(Roster!B27="","",Roster!B27)</f>
        <v/>
      </c>
      <c r="C27" s="92">
        <f>IF(Roster!C27="","",Roster!C27)</f>
        <v/>
      </c>
      <c r="D27" s="103" t="n"/>
      <c r="E27" s="104">
        <f>IF(D27="","",DATEDIF(D27,TODAY(),"y"))</f>
        <v/>
      </c>
      <c r="F27" s="105" t="n"/>
      <c r="G27" s="105" t="n"/>
      <c r="H27" s="105" t="n"/>
      <c r="I27" s="103" t="n"/>
      <c r="J27" s="103" t="n"/>
      <c r="K27" s="104">
        <f>IF(J27="","",IF(J27&lt;TODAY(),"EXPIRED",IF(J27&lt;EDATE(TODAY(),6),"&lt; 6 months","Valid")))</f>
        <v/>
      </c>
      <c r="L27" s="105" t="n"/>
      <c r="M27" s="105" t="n"/>
      <c r="N27" s="106" t="n"/>
      <c r="O27" s="107" t="n"/>
      <c r="P27" s="95" t="n"/>
      <c r="Q27" s="105" t="n"/>
      <c r="R27" s="95" t="n"/>
    </row>
    <row r="28">
      <c r="A28" s="102" t="n">
        <v>23</v>
      </c>
      <c r="B28" s="91">
        <f>IF(Roster!B28="","",Roster!B28)</f>
        <v/>
      </c>
      <c r="C28" s="92">
        <f>IF(Roster!C28="","",Roster!C28)</f>
        <v/>
      </c>
      <c r="D28" s="103" t="n"/>
      <c r="E28" s="104">
        <f>IF(D28="","",DATEDIF(D28,TODAY(),"y"))</f>
        <v/>
      </c>
      <c r="F28" s="105" t="n"/>
      <c r="G28" s="105" t="n"/>
      <c r="H28" s="105" t="n"/>
      <c r="I28" s="103" t="n"/>
      <c r="J28" s="103" t="n"/>
      <c r="K28" s="104">
        <f>IF(J28="","",IF(J28&lt;TODAY(),"EXPIRED",IF(J28&lt;EDATE(TODAY(),6),"&lt; 6 months","Valid")))</f>
        <v/>
      </c>
      <c r="L28" s="105" t="n"/>
      <c r="M28" s="105" t="n"/>
      <c r="N28" s="106" t="n"/>
      <c r="O28" s="107" t="n"/>
      <c r="P28" s="95" t="n"/>
      <c r="Q28" s="105" t="n"/>
      <c r="R28" s="95" t="n"/>
    </row>
    <row r="29">
      <c r="A29" s="102" t="n">
        <v>24</v>
      </c>
      <c r="B29" s="91">
        <f>IF(Roster!B29="","",Roster!B29)</f>
        <v/>
      </c>
      <c r="C29" s="92">
        <f>IF(Roster!C29="","",Roster!C29)</f>
        <v/>
      </c>
      <c r="D29" s="103" t="n"/>
      <c r="E29" s="104">
        <f>IF(D29="","",DATEDIF(D29,TODAY(),"y"))</f>
        <v/>
      </c>
      <c r="F29" s="105" t="n"/>
      <c r="G29" s="105" t="n"/>
      <c r="H29" s="105" t="n"/>
      <c r="I29" s="103" t="n"/>
      <c r="J29" s="103" t="n"/>
      <c r="K29" s="104">
        <f>IF(J29="","",IF(J29&lt;TODAY(),"EXPIRED",IF(J29&lt;EDATE(TODAY(),6),"&lt; 6 months","Valid")))</f>
        <v/>
      </c>
      <c r="L29" s="105" t="n"/>
      <c r="M29" s="105" t="n"/>
      <c r="N29" s="106" t="n"/>
      <c r="O29" s="107" t="n"/>
      <c r="P29" s="95" t="n"/>
      <c r="Q29" s="105" t="n"/>
      <c r="R29" s="95" t="n"/>
    </row>
    <row r="30">
      <c r="A30" s="102" t="n">
        <v>25</v>
      </c>
      <c r="B30" s="91">
        <f>IF(Roster!B30="","",Roster!B30)</f>
        <v/>
      </c>
      <c r="C30" s="92">
        <f>IF(Roster!C30="","",Roster!C30)</f>
        <v/>
      </c>
      <c r="D30" s="103" t="n"/>
      <c r="E30" s="104">
        <f>IF(D30="","",DATEDIF(D30,TODAY(),"y"))</f>
        <v/>
      </c>
      <c r="F30" s="105" t="n"/>
      <c r="G30" s="105" t="n"/>
      <c r="H30" s="105" t="n"/>
      <c r="I30" s="103" t="n"/>
      <c r="J30" s="103" t="n"/>
      <c r="K30" s="104">
        <f>IF(J30="","",IF(J30&lt;TODAY(),"EXPIRED",IF(J30&lt;EDATE(TODAY(),6),"&lt; 6 months","Valid")))</f>
        <v/>
      </c>
      <c r="L30" s="105" t="n"/>
      <c r="M30" s="105" t="n"/>
      <c r="N30" s="106" t="n"/>
      <c r="O30" s="107" t="n"/>
      <c r="P30" s="95" t="n"/>
      <c r="Q30" s="105" t="n"/>
      <c r="R30" s="95" t="n"/>
    </row>
    <row r="31">
      <c r="A31" s="102" t="n">
        <v>26</v>
      </c>
      <c r="B31" s="91">
        <f>IF(Roster!B31="","",Roster!B31)</f>
        <v/>
      </c>
      <c r="C31" s="92">
        <f>IF(Roster!C31="","",Roster!C31)</f>
        <v/>
      </c>
      <c r="D31" s="103" t="n"/>
      <c r="E31" s="104">
        <f>IF(D31="","",DATEDIF(D31,TODAY(),"y"))</f>
        <v/>
      </c>
      <c r="F31" s="105" t="n"/>
      <c r="G31" s="105" t="n"/>
      <c r="H31" s="105" t="n"/>
      <c r="I31" s="103" t="n"/>
      <c r="J31" s="103" t="n"/>
      <c r="K31" s="104">
        <f>IF(J31="","",IF(J31&lt;TODAY(),"EXPIRED",IF(J31&lt;EDATE(TODAY(),6),"&lt; 6 months","Valid")))</f>
        <v/>
      </c>
      <c r="L31" s="105" t="n"/>
      <c r="M31" s="105" t="n"/>
      <c r="N31" s="106" t="n"/>
      <c r="O31" s="107" t="n"/>
      <c r="P31" s="95" t="n"/>
      <c r="Q31" s="105" t="n"/>
      <c r="R31" s="95" t="n"/>
    </row>
    <row r="32">
      <c r="A32" s="102" t="n">
        <v>27</v>
      </c>
      <c r="B32" s="91">
        <f>IF(Roster!B32="","",Roster!B32)</f>
        <v/>
      </c>
      <c r="C32" s="92">
        <f>IF(Roster!C32="","",Roster!C32)</f>
        <v/>
      </c>
      <c r="D32" s="103" t="n"/>
      <c r="E32" s="104">
        <f>IF(D32="","",DATEDIF(D32,TODAY(),"y"))</f>
        <v/>
      </c>
      <c r="F32" s="105" t="n"/>
      <c r="G32" s="105" t="n"/>
      <c r="H32" s="105" t="n"/>
      <c r="I32" s="103" t="n"/>
      <c r="J32" s="103" t="n"/>
      <c r="K32" s="104">
        <f>IF(J32="","",IF(J32&lt;TODAY(),"EXPIRED",IF(J32&lt;EDATE(TODAY(),6),"&lt; 6 months","Valid")))</f>
        <v/>
      </c>
      <c r="L32" s="105" t="n"/>
      <c r="M32" s="105" t="n"/>
      <c r="N32" s="106" t="n"/>
      <c r="O32" s="107" t="n"/>
      <c r="P32" s="95" t="n"/>
      <c r="Q32" s="105" t="n"/>
      <c r="R32" s="95" t="n"/>
    </row>
    <row r="33">
      <c r="A33" s="102" t="n">
        <v>28</v>
      </c>
      <c r="B33" s="91">
        <f>IF(Roster!B33="","",Roster!B33)</f>
        <v/>
      </c>
      <c r="C33" s="92">
        <f>IF(Roster!C33="","",Roster!C33)</f>
        <v/>
      </c>
      <c r="D33" s="103" t="n"/>
      <c r="E33" s="104">
        <f>IF(D33="","",DATEDIF(D33,TODAY(),"y"))</f>
        <v/>
      </c>
      <c r="F33" s="105" t="n"/>
      <c r="G33" s="105" t="n"/>
      <c r="H33" s="105" t="n"/>
      <c r="I33" s="103" t="n"/>
      <c r="J33" s="103" t="n"/>
      <c r="K33" s="104">
        <f>IF(J33="","",IF(J33&lt;TODAY(),"EXPIRED",IF(J33&lt;EDATE(TODAY(),6),"&lt; 6 months","Valid")))</f>
        <v/>
      </c>
      <c r="L33" s="105" t="n"/>
      <c r="M33" s="105" t="n"/>
      <c r="N33" s="106" t="n"/>
      <c r="O33" s="107" t="n"/>
      <c r="P33" s="95" t="n"/>
      <c r="Q33" s="105" t="n"/>
      <c r="R33" s="95" t="n"/>
    </row>
    <row r="34">
      <c r="A34" s="102" t="n">
        <v>29</v>
      </c>
      <c r="B34" s="91">
        <f>IF(Roster!B34="","",Roster!B34)</f>
        <v/>
      </c>
      <c r="C34" s="92">
        <f>IF(Roster!C34="","",Roster!C34)</f>
        <v/>
      </c>
      <c r="D34" s="103" t="n"/>
      <c r="E34" s="104">
        <f>IF(D34="","",DATEDIF(D34,TODAY(),"y"))</f>
        <v/>
      </c>
      <c r="F34" s="105" t="n"/>
      <c r="G34" s="105" t="n"/>
      <c r="H34" s="105" t="n"/>
      <c r="I34" s="103" t="n"/>
      <c r="J34" s="103" t="n"/>
      <c r="K34" s="104">
        <f>IF(J34="","",IF(J34&lt;TODAY(),"EXPIRED",IF(J34&lt;EDATE(TODAY(),6),"&lt; 6 months","Valid")))</f>
        <v/>
      </c>
      <c r="L34" s="105" t="n"/>
      <c r="M34" s="105" t="n"/>
      <c r="N34" s="106" t="n"/>
      <c r="O34" s="107" t="n"/>
      <c r="P34" s="95" t="n"/>
      <c r="Q34" s="105" t="n"/>
      <c r="R34" s="95" t="n"/>
    </row>
    <row r="35">
      <c r="A35" s="102" t="n">
        <v>30</v>
      </c>
      <c r="B35" s="91">
        <f>IF(Roster!B35="","",Roster!B35)</f>
        <v/>
      </c>
      <c r="C35" s="92">
        <f>IF(Roster!C35="","",Roster!C35)</f>
        <v/>
      </c>
      <c r="D35" s="103" t="n"/>
      <c r="E35" s="104">
        <f>IF(D35="","",DATEDIF(D35,TODAY(),"y"))</f>
        <v/>
      </c>
      <c r="F35" s="105" t="n"/>
      <c r="G35" s="105" t="n"/>
      <c r="H35" s="105" t="n"/>
      <c r="I35" s="103" t="n"/>
      <c r="J35" s="103" t="n"/>
      <c r="K35" s="104">
        <f>IF(J35="","",IF(J35&lt;TODAY(),"EXPIRED",IF(J35&lt;EDATE(TODAY(),6),"&lt; 6 months","Valid")))</f>
        <v/>
      </c>
      <c r="L35" s="105" t="n"/>
      <c r="M35" s="105" t="n"/>
      <c r="N35" s="106" t="n"/>
      <c r="O35" s="107" t="n"/>
      <c r="P35" s="95" t="n"/>
      <c r="Q35" s="105" t="n"/>
      <c r="R35" s="95" t="n"/>
    </row>
    <row r="36">
      <c r="A36" s="102" t="n">
        <v>31</v>
      </c>
      <c r="B36" s="91">
        <f>IF(Roster!B36="","",Roster!B36)</f>
        <v/>
      </c>
      <c r="C36" s="92">
        <f>IF(Roster!C36="","",Roster!C36)</f>
        <v/>
      </c>
      <c r="D36" s="103" t="n"/>
      <c r="E36" s="104">
        <f>IF(D36="","",DATEDIF(D36,TODAY(),"y"))</f>
        <v/>
      </c>
      <c r="F36" s="105" t="n"/>
      <c r="G36" s="105" t="n"/>
      <c r="H36" s="105" t="n"/>
      <c r="I36" s="103" t="n"/>
      <c r="J36" s="103" t="n"/>
      <c r="K36" s="104">
        <f>IF(J36="","",IF(J36&lt;TODAY(),"EXPIRED",IF(J36&lt;EDATE(TODAY(),6),"&lt; 6 months","Valid")))</f>
        <v/>
      </c>
      <c r="L36" s="105" t="n"/>
      <c r="M36" s="105" t="n"/>
      <c r="N36" s="106" t="n"/>
      <c r="O36" s="107" t="n"/>
      <c r="P36" s="95" t="n"/>
      <c r="Q36" s="105" t="n"/>
      <c r="R36" s="95" t="n"/>
    </row>
    <row r="37">
      <c r="A37" s="102" t="n">
        <v>32</v>
      </c>
      <c r="B37" s="91">
        <f>IF(Roster!B37="","",Roster!B37)</f>
        <v/>
      </c>
      <c r="C37" s="92">
        <f>IF(Roster!C37="","",Roster!C37)</f>
        <v/>
      </c>
      <c r="D37" s="103" t="n"/>
      <c r="E37" s="104">
        <f>IF(D37="","",DATEDIF(D37,TODAY(),"y"))</f>
        <v/>
      </c>
      <c r="F37" s="105" t="n"/>
      <c r="G37" s="105" t="n"/>
      <c r="H37" s="105" t="n"/>
      <c r="I37" s="103" t="n"/>
      <c r="J37" s="103" t="n"/>
      <c r="K37" s="104">
        <f>IF(J37="","",IF(J37&lt;TODAY(),"EXPIRED",IF(J37&lt;EDATE(TODAY(),6),"&lt; 6 months","Valid")))</f>
        <v/>
      </c>
      <c r="L37" s="105" t="n"/>
      <c r="M37" s="105" t="n"/>
      <c r="N37" s="106" t="n"/>
      <c r="O37" s="107" t="n"/>
      <c r="P37" s="95" t="n"/>
      <c r="Q37" s="105" t="n"/>
      <c r="R37" s="95" t="n"/>
    </row>
    <row r="38">
      <c r="A38" s="102" t="n">
        <v>33</v>
      </c>
      <c r="B38" s="91">
        <f>IF(Roster!B38="","",Roster!B38)</f>
        <v/>
      </c>
      <c r="C38" s="92">
        <f>IF(Roster!C38="","",Roster!C38)</f>
        <v/>
      </c>
      <c r="D38" s="103" t="n"/>
      <c r="E38" s="104">
        <f>IF(D38="","",DATEDIF(D38,TODAY(),"y"))</f>
        <v/>
      </c>
      <c r="F38" s="105" t="n"/>
      <c r="G38" s="105" t="n"/>
      <c r="H38" s="105" t="n"/>
      <c r="I38" s="103" t="n"/>
      <c r="J38" s="103" t="n"/>
      <c r="K38" s="104">
        <f>IF(J38="","",IF(J38&lt;TODAY(),"EXPIRED",IF(J38&lt;EDATE(TODAY(),6),"&lt; 6 months","Valid")))</f>
        <v/>
      </c>
      <c r="L38" s="105" t="n"/>
      <c r="M38" s="105" t="n"/>
      <c r="N38" s="106" t="n"/>
      <c r="O38" s="107" t="n"/>
      <c r="P38" s="95" t="n"/>
      <c r="Q38" s="105" t="n"/>
      <c r="R38" s="95" t="n"/>
    </row>
    <row r="39">
      <c r="A39" s="102" t="n">
        <v>34</v>
      </c>
      <c r="B39" s="91">
        <f>IF(Roster!B39="","",Roster!B39)</f>
        <v/>
      </c>
      <c r="C39" s="92">
        <f>IF(Roster!C39="","",Roster!C39)</f>
        <v/>
      </c>
      <c r="D39" s="103" t="n"/>
      <c r="E39" s="104">
        <f>IF(D39="","",DATEDIF(D39,TODAY(),"y"))</f>
        <v/>
      </c>
      <c r="F39" s="105" t="n"/>
      <c r="G39" s="105" t="n"/>
      <c r="H39" s="105" t="n"/>
      <c r="I39" s="103" t="n"/>
      <c r="J39" s="103" t="n"/>
      <c r="K39" s="104">
        <f>IF(J39="","",IF(J39&lt;TODAY(),"EXPIRED",IF(J39&lt;EDATE(TODAY(),6),"&lt; 6 months","Valid")))</f>
        <v/>
      </c>
      <c r="L39" s="105" t="n"/>
      <c r="M39" s="105" t="n"/>
      <c r="N39" s="106" t="n"/>
      <c r="O39" s="107" t="n"/>
      <c r="P39" s="95" t="n"/>
      <c r="Q39" s="105" t="n"/>
      <c r="R39" s="95" t="n"/>
    </row>
    <row r="40">
      <c r="A40" s="102" t="n">
        <v>35</v>
      </c>
      <c r="B40" s="91">
        <f>IF(Roster!B40="","",Roster!B40)</f>
        <v/>
      </c>
      <c r="C40" s="92">
        <f>IF(Roster!C40="","",Roster!C40)</f>
        <v/>
      </c>
      <c r="D40" s="103" t="n"/>
      <c r="E40" s="104">
        <f>IF(D40="","",DATEDIF(D40,TODAY(),"y"))</f>
        <v/>
      </c>
      <c r="F40" s="105" t="n"/>
      <c r="G40" s="105" t="n"/>
      <c r="H40" s="105" t="n"/>
      <c r="I40" s="103" t="n"/>
      <c r="J40" s="103" t="n"/>
      <c r="K40" s="104">
        <f>IF(J40="","",IF(J40&lt;TODAY(),"EXPIRED",IF(J40&lt;EDATE(TODAY(),6),"&lt; 6 months","Valid")))</f>
        <v/>
      </c>
      <c r="L40" s="105" t="n"/>
      <c r="M40" s="105" t="n"/>
      <c r="N40" s="106" t="n"/>
      <c r="O40" s="107" t="n"/>
      <c r="P40" s="95" t="n"/>
      <c r="Q40" s="105" t="n"/>
      <c r="R40" s="95" t="n"/>
    </row>
    <row r="41">
      <c r="A41" s="102" t="n">
        <v>36</v>
      </c>
      <c r="B41" s="91">
        <f>IF(Roster!B41="","",Roster!B41)</f>
        <v/>
      </c>
      <c r="C41" s="92">
        <f>IF(Roster!C41="","",Roster!C41)</f>
        <v/>
      </c>
      <c r="D41" s="103" t="n"/>
      <c r="E41" s="104">
        <f>IF(D41="","",DATEDIF(D41,TODAY(),"y"))</f>
        <v/>
      </c>
      <c r="F41" s="105" t="n"/>
      <c r="G41" s="105" t="n"/>
      <c r="H41" s="105" t="n"/>
      <c r="I41" s="103" t="n"/>
      <c r="J41" s="103" t="n"/>
      <c r="K41" s="104">
        <f>IF(J41="","",IF(J41&lt;TODAY(),"EXPIRED",IF(J41&lt;EDATE(TODAY(),6),"&lt; 6 months","Valid")))</f>
        <v/>
      </c>
      <c r="L41" s="105" t="n"/>
      <c r="M41" s="105" t="n"/>
      <c r="N41" s="106" t="n"/>
      <c r="O41" s="107" t="n"/>
      <c r="P41" s="95" t="n"/>
      <c r="Q41" s="105" t="n"/>
      <c r="R41" s="95" t="n"/>
    </row>
    <row r="42">
      <c r="A42" s="102" t="n">
        <v>37</v>
      </c>
      <c r="B42" s="91">
        <f>IF(Roster!B42="","",Roster!B42)</f>
        <v/>
      </c>
      <c r="C42" s="92">
        <f>IF(Roster!C42="","",Roster!C42)</f>
        <v/>
      </c>
      <c r="D42" s="103" t="n"/>
      <c r="E42" s="104">
        <f>IF(D42="","",DATEDIF(D42,TODAY(),"y"))</f>
        <v/>
      </c>
      <c r="F42" s="105" t="n"/>
      <c r="G42" s="105" t="n"/>
      <c r="H42" s="105" t="n"/>
      <c r="I42" s="103" t="n"/>
      <c r="J42" s="103" t="n"/>
      <c r="K42" s="104">
        <f>IF(J42="","",IF(J42&lt;TODAY(),"EXPIRED",IF(J42&lt;EDATE(TODAY(),6),"&lt; 6 months","Valid")))</f>
        <v/>
      </c>
      <c r="L42" s="105" t="n"/>
      <c r="M42" s="105" t="n"/>
      <c r="N42" s="106" t="n"/>
      <c r="O42" s="107" t="n"/>
      <c r="P42" s="95" t="n"/>
      <c r="Q42" s="105" t="n"/>
      <c r="R42" s="95" t="n"/>
    </row>
    <row r="43">
      <c r="A43" s="102" t="n">
        <v>38</v>
      </c>
      <c r="B43" s="91">
        <f>IF(Roster!B43="","",Roster!B43)</f>
        <v/>
      </c>
      <c r="C43" s="92">
        <f>IF(Roster!C43="","",Roster!C43)</f>
        <v/>
      </c>
      <c r="D43" s="103" t="n"/>
      <c r="E43" s="104">
        <f>IF(D43="","",DATEDIF(D43,TODAY(),"y"))</f>
        <v/>
      </c>
      <c r="F43" s="105" t="n"/>
      <c r="G43" s="105" t="n"/>
      <c r="H43" s="105" t="n"/>
      <c r="I43" s="103" t="n"/>
      <c r="J43" s="103" t="n"/>
      <c r="K43" s="104">
        <f>IF(J43="","",IF(J43&lt;TODAY(),"EXPIRED",IF(J43&lt;EDATE(TODAY(),6),"&lt; 6 months","Valid")))</f>
        <v/>
      </c>
      <c r="L43" s="105" t="n"/>
      <c r="M43" s="105" t="n"/>
      <c r="N43" s="106" t="n"/>
      <c r="O43" s="107" t="n"/>
      <c r="P43" s="95" t="n"/>
      <c r="Q43" s="105" t="n"/>
      <c r="R43" s="95" t="n"/>
    </row>
    <row r="44">
      <c r="A44" s="102" t="n">
        <v>39</v>
      </c>
      <c r="B44" s="91">
        <f>IF(Roster!B44="","",Roster!B44)</f>
        <v/>
      </c>
      <c r="C44" s="92">
        <f>IF(Roster!C44="","",Roster!C44)</f>
        <v/>
      </c>
      <c r="D44" s="103" t="n"/>
      <c r="E44" s="104">
        <f>IF(D44="","",DATEDIF(D44,TODAY(),"y"))</f>
        <v/>
      </c>
      <c r="F44" s="105" t="n"/>
      <c r="G44" s="105" t="n"/>
      <c r="H44" s="105" t="n"/>
      <c r="I44" s="103" t="n"/>
      <c r="J44" s="103" t="n"/>
      <c r="K44" s="104">
        <f>IF(J44="","",IF(J44&lt;TODAY(),"EXPIRED",IF(J44&lt;EDATE(TODAY(),6),"&lt; 6 months","Valid")))</f>
        <v/>
      </c>
      <c r="L44" s="105" t="n"/>
      <c r="M44" s="105" t="n"/>
      <c r="N44" s="106" t="n"/>
      <c r="O44" s="107" t="n"/>
      <c r="P44" s="95" t="n"/>
      <c r="Q44" s="105" t="n"/>
      <c r="R44" s="95" t="n"/>
    </row>
    <row r="45">
      <c r="A45" s="102" t="n">
        <v>40</v>
      </c>
      <c r="B45" s="91">
        <f>IF(Roster!B45="","",Roster!B45)</f>
        <v/>
      </c>
      <c r="C45" s="92">
        <f>IF(Roster!C45="","",Roster!C45)</f>
        <v/>
      </c>
      <c r="D45" s="103" t="n"/>
      <c r="E45" s="104">
        <f>IF(D45="","",DATEDIF(D45,TODAY(),"y"))</f>
        <v/>
      </c>
      <c r="F45" s="105" t="n"/>
      <c r="G45" s="105" t="n"/>
      <c r="H45" s="105" t="n"/>
      <c r="I45" s="103" t="n"/>
      <c r="J45" s="103" t="n"/>
      <c r="K45" s="104">
        <f>IF(J45="","",IF(J45&lt;TODAY(),"EXPIRED",IF(J45&lt;EDATE(TODAY(),6),"&lt; 6 months","Valid")))</f>
        <v/>
      </c>
      <c r="L45" s="105" t="n"/>
      <c r="M45" s="105" t="n"/>
      <c r="N45" s="106" t="n"/>
      <c r="O45" s="107" t="n"/>
      <c r="P45" s="95" t="n"/>
      <c r="Q45" s="105" t="n"/>
      <c r="R45" s="95" t="n"/>
    </row>
    <row r="46">
      <c r="A46" s="102" t="n">
        <v>41</v>
      </c>
      <c r="B46" s="91">
        <f>IF(Roster!B46="","",Roster!B46)</f>
        <v/>
      </c>
      <c r="C46" s="92">
        <f>IF(Roster!C46="","",Roster!C46)</f>
        <v/>
      </c>
      <c r="D46" s="103" t="n"/>
      <c r="E46" s="104">
        <f>IF(D46="","",DATEDIF(D46,TODAY(),"y"))</f>
        <v/>
      </c>
      <c r="F46" s="105" t="n"/>
      <c r="G46" s="105" t="n"/>
      <c r="H46" s="105" t="n"/>
      <c r="I46" s="103" t="n"/>
      <c r="J46" s="103" t="n"/>
      <c r="K46" s="104">
        <f>IF(J46="","",IF(J46&lt;TODAY(),"EXPIRED",IF(J46&lt;EDATE(TODAY(),6),"&lt; 6 months","Valid")))</f>
        <v/>
      </c>
      <c r="L46" s="105" t="n"/>
      <c r="M46" s="105" t="n"/>
      <c r="N46" s="106" t="n"/>
      <c r="O46" s="107" t="n"/>
      <c r="P46" s="95" t="n"/>
      <c r="Q46" s="105" t="n"/>
      <c r="R46" s="95" t="n"/>
    </row>
    <row r="47">
      <c r="A47" s="102" t="n">
        <v>42</v>
      </c>
      <c r="B47" s="91">
        <f>IF(Roster!B47="","",Roster!B47)</f>
        <v/>
      </c>
      <c r="C47" s="92">
        <f>IF(Roster!C47="","",Roster!C47)</f>
        <v/>
      </c>
      <c r="D47" s="103" t="n"/>
      <c r="E47" s="104">
        <f>IF(D47="","",DATEDIF(D47,TODAY(),"y"))</f>
        <v/>
      </c>
      <c r="F47" s="105" t="n"/>
      <c r="G47" s="105" t="n"/>
      <c r="H47" s="105" t="n"/>
      <c r="I47" s="103" t="n"/>
      <c r="J47" s="103" t="n"/>
      <c r="K47" s="104">
        <f>IF(J47="","",IF(J47&lt;TODAY(),"EXPIRED",IF(J47&lt;EDATE(TODAY(),6),"&lt; 6 months","Valid")))</f>
        <v/>
      </c>
      <c r="L47" s="105" t="n"/>
      <c r="M47" s="105" t="n"/>
      <c r="N47" s="106" t="n"/>
      <c r="O47" s="107" t="n"/>
      <c r="P47" s="95" t="n"/>
      <c r="Q47" s="105" t="n"/>
      <c r="R47" s="95" t="n"/>
    </row>
    <row r="48">
      <c r="A48" s="102" t="n">
        <v>43</v>
      </c>
      <c r="B48" s="91">
        <f>IF(Roster!B48="","",Roster!B48)</f>
        <v/>
      </c>
      <c r="C48" s="92">
        <f>IF(Roster!C48="","",Roster!C48)</f>
        <v/>
      </c>
      <c r="D48" s="103" t="n"/>
      <c r="E48" s="104">
        <f>IF(D48="","",DATEDIF(D48,TODAY(),"y"))</f>
        <v/>
      </c>
      <c r="F48" s="105" t="n"/>
      <c r="G48" s="105" t="n"/>
      <c r="H48" s="105" t="n"/>
      <c r="I48" s="103" t="n"/>
      <c r="J48" s="103" t="n"/>
      <c r="K48" s="104">
        <f>IF(J48="","",IF(J48&lt;TODAY(),"EXPIRED",IF(J48&lt;EDATE(TODAY(),6),"&lt; 6 months","Valid")))</f>
        <v/>
      </c>
      <c r="L48" s="105" t="n"/>
      <c r="M48" s="105" t="n"/>
      <c r="N48" s="106" t="n"/>
      <c r="O48" s="107" t="n"/>
      <c r="P48" s="95" t="n"/>
      <c r="Q48" s="105" t="n"/>
      <c r="R48" s="95" t="n"/>
    </row>
    <row r="49">
      <c r="A49" s="102" t="n">
        <v>44</v>
      </c>
      <c r="B49" s="91">
        <f>IF(Roster!B49="","",Roster!B49)</f>
        <v/>
      </c>
      <c r="C49" s="92">
        <f>IF(Roster!C49="","",Roster!C49)</f>
        <v/>
      </c>
      <c r="D49" s="103" t="n"/>
      <c r="E49" s="104">
        <f>IF(D49="","",DATEDIF(D49,TODAY(),"y"))</f>
        <v/>
      </c>
      <c r="F49" s="105" t="n"/>
      <c r="G49" s="105" t="n"/>
      <c r="H49" s="105" t="n"/>
      <c r="I49" s="103" t="n"/>
      <c r="J49" s="103" t="n"/>
      <c r="K49" s="104">
        <f>IF(J49="","",IF(J49&lt;TODAY(),"EXPIRED",IF(J49&lt;EDATE(TODAY(),6),"&lt; 6 months","Valid")))</f>
        <v/>
      </c>
      <c r="L49" s="105" t="n"/>
      <c r="M49" s="105" t="n"/>
      <c r="N49" s="106" t="n"/>
      <c r="O49" s="107" t="n"/>
      <c r="P49" s="95" t="n"/>
      <c r="Q49" s="105" t="n"/>
      <c r="R49" s="95" t="n"/>
    </row>
    <row r="50">
      <c r="A50" s="102" t="n">
        <v>45</v>
      </c>
      <c r="B50" s="91">
        <f>IF(Roster!B50="","",Roster!B50)</f>
        <v/>
      </c>
      <c r="C50" s="92">
        <f>IF(Roster!C50="","",Roster!C50)</f>
        <v/>
      </c>
      <c r="D50" s="103" t="n"/>
      <c r="E50" s="104">
        <f>IF(D50="","",DATEDIF(D50,TODAY(),"y"))</f>
        <v/>
      </c>
      <c r="F50" s="105" t="n"/>
      <c r="G50" s="105" t="n"/>
      <c r="H50" s="105" t="n"/>
      <c r="I50" s="103" t="n"/>
      <c r="J50" s="103" t="n"/>
      <c r="K50" s="104">
        <f>IF(J50="","",IF(J50&lt;TODAY(),"EXPIRED",IF(J50&lt;EDATE(TODAY(),6),"&lt; 6 months","Valid")))</f>
        <v/>
      </c>
      <c r="L50" s="105" t="n"/>
      <c r="M50" s="105" t="n"/>
      <c r="N50" s="106" t="n"/>
      <c r="O50" s="107" t="n"/>
      <c r="P50" s="95" t="n"/>
      <c r="Q50" s="105" t="n"/>
      <c r="R50" s="95" t="n"/>
    </row>
    <row r="51">
      <c r="A51" s="97" t="n">
        <v>46</v>
      </c>
      <c r="B51" s="108">
        <f>IF(Roster!B51="","",Roster!B51)</f>
        <v/>
      </c>
      <c r="C51" s="109">
        <f>IF(Roster!C51="","",Roster!C51)</f>
        <v/>
      </c>
      <c r="D51" s="110" t="n"/>
      <c r="E51" s="111">
        <f>IF(D51="","",DATEDIF(D51,TODAY(),"y"))</f>
        <v/>
      </c>
      <c r="F51" s="112" t="n"/>
      <c r="G51" s="112" t="n"/>
      <c r="H51" s="112" t="n"/>
      <c r="I51" s="110" t="n"/>
      <c r="J51" s="110" t="n"/>
      <c r="K51" s="111">
        <f>IF(J51="","",IF(J51&lt;TODAY(),"EXPIRED",IF(J51&lt;EDATE(TODAY(),6),"&lt; 6 months","Valid")))</f>
        <v/>
      </c>
      <c r="L51" s="112" t="n"/>
      <c r="M51" s="112" t="n"/>
      <c r="N51" s="113" t="n"/>
      <c r="O51" s="114" t="n"/>
      <c r="P51" s="98" t="n"/>
      <c r="Q51" s="112" t="n"/>
      <c r="R51" s="98" t="n"/>
      <c r="T51" s="99" t="inlineStr">
        <is>
          <t>SANS / NSmen from here</t>
        </is>
      </c>
    </row>
    <row r="52">
      <c r="A52" s="115" t="n">
        <v>47</v>
      </c>
      <c r="B52" s="53">
        <f>IF(Roster!B52="","",Roster!B52)</f>
        <v/>
      </c>
      <c r="C52" s="116">
        <f>IF(Roster!C52="","",Roster!C52)</f>
        <v/>
      </c>
      <c r="D52" s="117" t="n"/>
      <c r="E52" s="118">
        <f>IF(D52="","",DATEDIF(D52,TODAY(),"y"))</f>
        <v/>
      </c>
      <c r="F52" s="119" t="n"/>
      <c r="G52" s="119" t="n"/>
      <c r="H52" s="119" t="n"/>
      <c r="I52" s="117" t="n"/>
      <c r="J52" s="117" t="n"/>
      <c r="K52" s="118">
        <f>IF(J52="","",IF(J52&lt;TODAY(),"EXPIRED",IF(J52&lt;EDATE(TODAY(),6),"&lt; 6 months","Valid")))</f>
        <v/>
      </c>
      <c r="L52" s="119" t="n"/>
      <c r="M52" s="119" t="n"/>
      <c r="N52" s="120" t="n"/>
      <c r="O52" s="121" t="n"/>
      <c r="P52" s="101" t="n"/>
      <c r="Q52" s="119" t="n"/>
      <c r="R52" s="101" t="n"/>
    </row>
    <row r="53">
      <c r="A53" s="115" t="n">
        <v>48</v>
      </c>
      <c r="B53" s="53">
        <f>IF(Roster!B53="","",Roster!B53)</f>
        <v/>
      </c>
      <c r="C53" s="116">
        <f>IF(Roster!C53="","",Roster!C53)</f>
        <v/>
      </c>
      <c r="D53" s="117" t="n"/>
      <c r="E53" s="118">
        <f>IF(D53="","",DATEDIF(D53,TODAY(),"y"))</f>
        <v/>
      </c>
      <c r="F53" s="119" t="n"/>
      <c r="G53" s="119" t="n"/>
      <c r="H53" s="119" t="n"/>
      <c r="I53" s="117" t="n"/>
      <c r="J53" s="117" t="n"/>
      <c r="K53" s="118">
        <f>IF(J53="","",IF(J53&lt;TODAY(),"EXPIRED",IF(J53&lt;EDATE(TODAY(),6),"&lt; 6 months","Valid")))</f>
        <v/>
      </c>
      <c r="L53" s="119" t="n"/>
      <c r="M53" s="119" t="n"/>
      <c r="N53" s="120" t="n"/>
      <c r="O53" s="121" t="n"/>
      <c r="P53" s="101" t="n"/>
      <c r="Q53" s="119" t="n"/>
      <c r="R53" s="101" t="n"/>
    </row>
    <row r="54">
      <c r="A54" s="115" t="n">
        <v>49</v>
      </c>
      <c r="B54" s="53">
        <f>IF(Roster!B54="","",Roster!B54)</f>
        <v/>
      </c>
      <c r="C54" s="116">
        <f>IF(Roster!C54="","",Roster!C54)</f>
        <v/>
      </c>
      <c r="D54" s="117" t="n"/>
      <c r="E54" s="118">
        <f>IF(D54="","",DATEDIF(D54,TODAY(),"y"))</f>
        <v/>
      </c>
      <c r="F54" s="119" t="n"/>
      <c r="G54" s="119" t="n"/>
      <c r="H54" s="119" t="n"/>
      <c r="I54" s="117" t="n"/>
      <c r="J54" s="117" t="n"/>
      <c r="K54" s="118">
        <f>IF(J54="","",IF(J54&lt;TODAY(),"EXPIRED",IF(J54&lt;EDATE(TODAY(),6),"&lt; 6 months","Valid")))</f>
        <v/>
      </c>
      <c r="L54" s="119" t="n"/>
      <c r="M54" s="119" t="n"/>
      <c r="N54" s="120" t="n"/>
      <c r="O54" s="121" t="n"/>
      <c r="P54" s="101" t="n"/>
      <c r="Q54" s="119" t="n"/>
      <c r="R54" s="101" t="n"/>
    </row>
    <row r="55">
      <c r="A55" s="115" t="n">
        <v>50</v>
      </c>
      <c r="B55" s="53">
        <f>IF(Roster!B55="","",Roster!B55)</f>
        <v/>
      </c>
      <c r="C55" s="116">
        <f>IF(Roster!C55="","",Roster!C55)</f>
        <v/>
      </c>
      <c r="D55" s="117" t="n"/>
      <c r="E55" s="118">
        <f>IF(D55="","",DATEDIF(D55,TODAY(),"y"))</f>
        <v/>
      </c>
      <c r="F55" s="119" t="n"/>
      <c r="G55" s="119" t="n"/>
      <c r="H55" s="119" t="n"/>
      <c r="I55" s="117" t="n"/>
      <c r="J55" s="117" t="n"/>
      <c r="K55" s="118">
        <f>IF(J55="","",IF(J55&lt;TODAY(),"EXPIRED",IF(J55&lt;EDATE(TODAY(),6),"&lt; 6 months","Valid")))</f>
        <v/>
      </c>
      <c r="L55" s="119" t="n"/>
      <c r="M55" s="119" t="n"/>
      <c r="N55" s="120" t="n"/>
      <c r="O55" s="121" t="n"/>
      <c r="P55" s="101" t="n"/>
      <c r="Q55" s="119" t="n"/>
      <c r="R55" s="101" t="n"/>
    </row>
    <row r="56">
      <c r="A56" s="115" t="n">
        <v>51</v>
      </c>
      <c r="B56" s="53">
        <f>IF(Roster!B56="","",Roster!B56)</f>
        <v/>
      </c>
      <c r="C56" s="116">
        <f>IF(Roster!C56="","",Roster!C56)</f>
        <v/>
      </c>
      <c r="D56" s="117" t="n"/>
      <c r="E56" s="118">
        <f>IF(D56="","",DATEDIF(D56,TODAY(),"y"))</f>
        <v/>
      </c>
      <c r="F56" s="119" t="n"/>
      <c r="G56" s="119" t="n"/>
      <c r="H56" s="119" t="n"/>
      <c r="I56" s="117" t="n"/>
      <c r="J56" s="117" t="n"/>
      <c r="K56" s="118">
        <f>IF(J56="","",IF(J56&lt;TODAY(),"EXPIRED",IF(J56&lt;EDATE(TODAY(),6),"&lt; 6 months","Valid")))</f>
        <v/>
      </c>
      <c r="L56" s="119" t="n"/>
      <c r="M56" s="119" t="n"/>
      <c r="N56" s="120" t="n"/>
      <c r="O56" s="121" t="n"/>
      <c r="P56" s="101" t="n"/>
      <c r="Q56" s="119" t="n"/>
      <c r="R56" s="101" t="n"/>
    </row>
    <row r="57">
      <c r="A57" s="115" t="n">
        <v>52</v>
      </c>
      <c r="B57" s="53">
        <f>IF(Roster!B57="","",Roster!B57)</f>
        <v/>
      </c>
      <c r="C57" s="116">
        <f>IF(Roster!C57="","",Roster!C57)</f>
        <v/>
      </c>
      <c r="D57" s="117" t="n"/>
      <c r="E57" s="118">
        <f>IF(D57="","",DATEDIF(D57,TODAY(),"y"))</f>
        <v/>
      </c>
      <c r="F57" s="119" t="n"/>
      <c r="G57" s="119" t="n"/>
      <c r="H57" s="119" t="n"/>
      <c r="I57" s="117" t="n"/>
      <c r="J57" s="117" t="n"/>
      <c r="K57" s="118">
        <f>IF(J57="","",IF(J57&lt;TODAY(),"EXPIRED",IF(J57&lt;EDATE(TODAY(),6),"&lt; 6 months","Valid")))</f>
        <v/>
      </c>
      <c r="L57" s="119" t="n"/>
      <c r="M57" s="119" t="n"/>
      <c r="N57" s="120" t="n"/>
      <c r="O57" s="121" t="n"/>
      <c r="P57" s="101" t="n"/>
      <c r="Q57" s="119" t="n"/>
      <c r="R57" s="101" t="n"/>
    </row>
    <row r="58">
      <c r="A58" s="115" t="n">
        <v>53</v>
      </c>
      <c r="B58" s="53">
        <f>IF(Roster!B58="","",Roster!B58)</f>
        <v/>
      </c>
      <c r="C58" s="116">
        <f>IF(Roster!C58="","",Roster!C58)</f>
        <v/>
      </c>
      <c r="D58" s="117" t="n"/>
      <c r="E58" s="118">
        <f>IF(D58="","",DATEDIF(D58,TODAY(),"y"))</f>
        <v/>
      </c>
      <c r="F58" s="119" t="n"/>
      <c r="G58" s="119" t="n"/>
      <c r="H58" s="119" t="n"/>
      <c r="I58" s="117" t="n"/>
      <c r="J58" s="117" t="n"/>
      <c r="K58" s="118">
        <f>IF(J58="","",IF(J58&lt;TODAY(),"EXPIRED",IF(J58&lt;EDATE(TODAY(),6),"&lt; 6 months","Valid")))</f>
        <v/>
      </c>
      <c r="L58" s="119" t="n"/>
      <c r="M58" s="119" t="n"/>
      <c r="N58" s="120" t="n"/>
      <c r="O58" s="121" t="n"/>
      <c r="P58" s="101" t="n"/>
      <c r="Q58" s="119" t="n"/>
      <c r="R58" s="101" t="n"/>
    </row>
    <row r="59">
      <c r="A59" s="115" t="n">
        <v>54</v>
      </c>
      <c r="B59" s="53">
        <f>IF(Roster!B59="","",Roster!B59)</f>
        <v/>
      </c>
      <c r="C59" s="116">
        <f>IF(Roster!C59="","",Roster!C59)</f>
        <v/>
      </c>
      <c r="D59" s="117" t="n"/>
      <c r="E59" s="118">
        <f>IF(D59="","",DATEDIF(D59,TODAY(),"y"))</f>
        <v/>
      </c>
      <c r="F59" s="119" t="n"/>
      <c r="G59" s="119" t="n"/>
      <c r="H59" s="119" t="n"/>
      <c r="I59" s="117" t="n"/>
      <c r="J59" s="117" t="n"/>
      <c r="K59" s="118">
        <f>IF(J59="","",IF(J59&lt;TODAY(),"EXPIRED",IF(J59&lt;EDATE(TODAY(),6),"&lt; 6 months","Valid")))</f>
        <v/>
      </c>
      <c r="L59" s="119" t="n"/>
      <c r="M59" s="119" t="n"/>
      <c r="N59" s="120" t="n"/>
      <c r="O59" s="121" t="n"/>
      <c r="P59" s="101" t="n"/>
      <c r="Q59" s="119" t="n"/>
      <c r="R59" s="101" t="n"/>
    </row>
    <row r="60">
      <c r="A60" s="115" t="n">
        <v>55</v>
      </c>
      <c r="B60" s="53">
        <f>IF(Roster!B60="","",Roster!B60)</f>
        <v/>
      </c>
      <c r="C60" s="116">
        <f>IF(Roster!C60="","",Roster!C60)</f>
        <v/>
      </c>
      <c r="D60" s="117" t="n"/>
      <c r="E60" s="118">
        <f>IF(D60="","",DATEDIF(D60,TODAY(),"y"))</f>
        <v/>
      </c>
      <c r="F60" s="119" t="n"/>
      <c r="G60" s="119" t="n"/>
      <c r="H60" s="119" t="n"/>
      <c r="I60" s="117" t="n"/>
      <c r="J60" s="117" t="n"/>
      <c r="K60" s="118">
        <f>IF(J60="","",IF(J60&lt;TODAY(),"EXPIRED",IF(J60&lt;EDATE(TODAY(),6),"&lt; 6 months","Valid")))</f>
        <v/>
      </c>
      <c r="L60" s="119" t="n"/>
      <c r="M60" s="119" t="n"/>
      <c r="N60" s="120" t="n"/>
      <c r="O60" s="121" t="n"/>
      <c r="P60" s="101" t="n"/>
      <c r="Q60" s="119" t="n"/>
      <c r="R60" s="101" t="n"/>
    </row>
    <row r="61">
      <c r="A61" s="115" t="n">
        <v>56</v>
      </c>
      <c r="B61" s="53">
        <f>IF(Roster!B61="","",Roster!B61)</f>
        <v/>
      </c>
      <c r="C61" s="116">
        <f>IF(Roster!C61="","",Roster!C61)</f>
        <v/>
      </c>
      <c r="D61" s="117" t="n"/>
      <c r="E61" s="118">
        <f>IF(D61="","",DATEDIF(D61,TODAY(),"y"))</f>
        <v/>
      </c>
      <c r="F61" s="119" t="n"/>
      <c r="G61" s="119" t="n"/>
      <c r="H61" s="119" t="n"/>
      <c r="I61" s="117" t="n"/>
      <c r="J61" s="117" t="n"/>
      <c r="K61" s="118">
        <f>IF(J61="","",IF(J61&lt;TODAY(),"EXPIRED",IF(J61&lt;EDATE(TODAY(),6),"&lt; 6 months","Valid")))</f>
        <v/>
      </c>
      <c r="L61" s="119" t="n"/>
      <c r="M61" s="119" t="n"/>
      <c r="N61" s="120" t="n"/>
      <c r="O61" s="121" t="n"/>
      <c r="P61" s="101" t="n"/>
      <c r="Q61" s="119" t="n"/>
      <c r="R61" s="101" t="n"/>
    </row>
    <row r="62">
      <c r="A62" s="115" t="n">
        <v>57</v>
      </c>
      <c r="B62" s="53">
        <f>IF(Roster!B62="","",Roster!B62)</f>
        <v/>
      </c>
      <c r="C62" s="116">
        <f>IF(Roster!C62="","",Roster!C62)</f>
        <v/>
      </c>
      <c r="D62" s="117" t="n"/>
      <c r="E62" s="118">
        <f>IF(D62="","",DATEDIF(D62,TODAY(),"y"))</f>
        <v/>
      </c>
      <c r="F62" s="119" t="n"/>
      <c r="G62" s="119" t="n"/>
      <c r="H62" s="119" t="n"/>
      <c r="I62" s="117" t="n"/>
      <c r="J62" s="117" t="n"/>
      <c r="K62" s="118">
        <f>IF(J62="","",IF(J62&lt;TODAY(),"EXPIRED",IF(J62&lt;EDATE(TODAY(),6),"&lt; 6 months","Valid")))</f>
        <v/>
      </c>
      <c r="L62" s="119" t="n"/>
      <c r="M62" s="119" t="n"/>
      <c r="N62" s="120" t="n"/>
      <c r="O62" s="121" t="n"/>
      <c r="P62" s="101" t="n"/>
      <c r="Q62" s="119" t="n"/>
      <c r="R62" s="101" t="n"/>
    </row>
    <row r="63">
      <c r="A63" s="115" t="n">
        <v>58</v>
      </c>
      <c r="B63" s="53">
        <f>IF(Roster!B63="","",Roster!B63)</f>
        <v/>
      </c>
      <c r="C63" s="116">
        <f>IF(Roster!C63="","",Roster!C63)</f>
        <v/>
      </c>
      <c r="D63" s="117" t="n"/>
      <c r="E63" s="118">
        <f>IF(D63="","",DATEDIF(D63,TODAY(),"y"))</f>
        <v/>
      </c>
      <c r="F63" s="119" t="n"/>
      <c r="G63" s="119" t="n"/>
      <c r="H63" s="119" t="n"/>
      <c r="I63" s="117" t="n"/>
      <c r="J63" s="117" t="n"/>
      <c r="K63" s="118">
        <f>IF(J63="","",IF(J63&lt;TODAY(),"EXPIRED",IF(J63&lt;EDATE(TODAY(),6),"&lt; 6 months","Valid")))</f>
        <v/>
      </c>
      <c r="L63" s="119" t="n"/>
      <c r="M63" s="119" t="n"/>
      <c r="N63" s="120" t="n"/>
      <c r="O63" s="121" t="n"/>
      <c r="P63" s="101" t="n"/>
      <c r="Q63" s="119" t="n"/>
      <c r="R63" s="101" t="n"/>
    </row>
    <row r="64">
      <c r="A64" s="115" t="n">
        <v>59</v>
      </c>
      <c r="B64" s="53">
        <f>IF(Roster!B64="","",Roster!B64)</f>
        <v/>
      </c>
      <c r="C64" s="116">
        <f>IF(Roster!C64="","",Roster!C64)</f>
        <v/>
      </c>
      <c r="D64" s="117" t="n"/>
      <c r="E64" s="118">
        <f>IF(D64="","",DATEDIF(D64,TODAY(),"y"))</f>
        <v/>
      </c>
      <c r="F64" s="119" t="n"/>
      <c r="G64" s="119" t="n"/>
      <c r="H64" s="119" t="n"/>
      <c r="I64" s="117" t="n"/>
      <c r="J64" s="117" t="n"/>
      <c r="K64" s="118">
        <f>IF(J64="","",IF(J64&lt;TODAY(),"EXPIRED",IF(J64&lt;EDATE(TODAY(),6),"&lt; 6 months","Valid")))</f>
        <v/>
      </c>
      <c r="L64" s="119" t="n"/>
      <c r="M64" s="119" t="n"/>
      <c r="N64" s="120" t="n"/>
      <c r="O64" s="121" t="n"/>
      <c r="P64" s="101" t="n"/>
      <c r="Q64" s="119" t="n"/>
      <c r="R64" s="101" t="n"/>
    </row>
    <row r="65">
      <c r="A65" s="115" t="n">
        <v>60</v>
      </c>
      <c r="B65" s="53">
        <f>IF(Roster!B65="","",Roster!B65)</f>
        <v/>
      </c>
      <c r="C65" s="116">
        <f>IF(Roster!C65="","",Roster!C65)</f>
        <v/>
      </c>
      <c r="D65" s="117" t="n"/>
      <c r="E65" s="118">
        <f>IF(D65="","",DATEDIF(D65,TODAY(),"y"))</f>
        <v/>
      </c>
      <c r="F65" s="119" t="n"/>
      <c r="G65" s="119" t="n"/>
      <c r="H65" s="119" t="n"/>
      <c r="I65" s="117" t="n"/>
      <c r="J65" s="117" t="n"/>
      <c r="K65" s="118">
        <f>IF(J65="","",IF(J65&lt;TODAY(),"EXPIRED",IF(J65&lt;EDATE(TODAY(),6),"&lt; 6 months","Valid")))</f>
        <v/>
      </c>
      <c r="L65" s="119" t="n"/>
      <c r="M65" s="119" t="n"/>
      <c r="N65" s="120" t="n"/>
      <c r="O65" s="121" t="n"/>
      <c r="P65" s="101" t="n"/>
      <c r="Q65" s="119" t="n"/>
      <c r="R65" s="101" t="n"/>
    </row>
  </sheetData>
  <autoFilter ref="A5:R65"/>
  <mergeCells count="2">
    <mergeCell ref="A2:R2"/>
    <mergeCell ref="A1:R1"/>
  </mergeCells>
  <conditionalFormatting sqref="K6:K65">
    <cfRule type="expression" priority="1" dxfId="19" stopIfTrue="1">
      <formula>$K6="EXPIRED"</formula>
    </cfRule>
    <cfRule type="expression" priority="2" dxfId="20" stopIfTrue="1">
      <formula>$K6="&lt; 6 months"</formula>
    </cfRule>
    <cfRule type="expression" priority="3" dxfId="21" stopIfTrue="1">
      <formula>$K6="Valid"</formula>
    </cfRule>
  </conditionalFormatting>
  <conditionalFormatting sqref="R6:R65">
    <cfRule type="expression" priority="4" dxfId="22">
      <formula>$R6&lt;&gt;""</formula>
    </cfRule>
  </conditionalFormatting>
  <conditionalFormatting sqref="B6:R65">
    <cfRule type="expression" priority="5" dxfId="0">
      <formula>INDEX(CrewStatus,ROW()-5)="Inactive"</formula>
    </cfRule>
  </conditionalFormatting>
  <conditionalFormatting sqref="C6:C65">
    <cfRule type="expression" priority="6" dxfId="1">
      <formula>INDEX(CrewCat,ROW()-5)="CAT A"</formula>
    </cfRule>
    <cfRule type="expression" priority="7" dxfId="2">
      <formula>INDEX(CrewCat,ROW()-5)="CAT B"</formula>
    </cfRule>
    <cfRule type="expression" priority="8" dxfId="3">
      <formula>INDEX(CrewCat,ROW()-5)="CAT C"</formula>
    </cfRule>
    <cfRule type="expression" priority="9" dxfId="4">
      <formula>INDEX(CrewCat,ROW()-5)="CAT D"</formula>
    </cfRule>
    <cfRule type="expression" priority="10" dxfId="5">
      <formula>INDEX(CrewCat,ROW()-5)="TRAINEE"</formula>
    </cfRule>
  </conditionalFormatting>
  <dataValidations count="3">
    <dataValidation sqref="O6:O65" showDropDown="0" showInputMessage="0" showErrorMessage="0" allowBlank="1" type="list">
      <formula1>"A+,A-,B+,B-,AB+,AB-,O+,O-"</formula1>
    </dataValidation>
    <dataValidation sqref="D6:D65" showDropDown="0" showInputMessage="0" showErrorMessage="1" allowBlank="1" errorTitle="Date of birth" error="Type a date, e.g. 14/03/1990." type="date" operator="between">
      <formula1>DATE(1940,1,1)</formula1>
      <formula2>TODAY()</formula2>
    </dataValidation>
    <dataValidation sqref="I6:J65" showDropDown="0" showInputMessage="0" showErrorMessage="1" allowBlank="1" errorTitle="Passport date" error="Type a date, e.g. 01/06/2030." type="date" operator="greaterThan">
      <formula1>DATE(1990,1,1)</formula1>
    </dataValidation>
  </dataValidations>
  <pageMargins left="0.75" right="0.75" top="1" bottom="1" header="0.5" footer="0.5"/>
</worksheet>
</file>

<file path=xl/worksheets/sheet8.xml><?xml version="1.0" encoding="utf-8"?>
<worksheet xmlns="http://schemas.openxmlformats.org/spreadsheetml/2006/main">
  <sheetPr>
    <tabColor rgb="007E22CE"/>
    <outlinePr summaryBelow="1" summaryRight="1"/>
    <pageSetUpPr/>
  </sheetPr>
  <dimension ref="A1:G15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9" customWidth="1" min="2" max="2"/>
    <col width="12" customWidth="1" min="3" max="3"/>
    <col width="26" customWidth="1" min="4" max="4"/>
    <col width="50" customWidth="1" min="5" max="5"/>
    <col width="12" customWidth="1" min="6" max="6"/>
    <col width="14" customWidth="1" min="7" max="7"/>
  </cols>
  <sheetData>
    <row r="1" ht="30" customHeight="1">
      <c r="A1" s="1" t="inlineStr">
        <is>
          <t>CELL NOTES  |  LOADMASTER</t>
        </is>
      </c>
      <c r="B1" s="2" t="n"/>
      <c r="C1" s="2" t="n"/>
      <c r="D1" s="2" t="n"/>
      <c r="E1" s="2" t="n"/>
      <c r="F1" s="2" t="n"/>
      <c r="G1" s="2" t="n"/>
    </row>
    <row r="2" ht="18" customHeight="1">
      <c r="A2" s="3" t="inlineStr">
        <is>
          <t>Comments on crew cells. Add them in the planner dashboard (click a cell, type in Comment), or type a row here. Cells with a comment get a purple outline on the month tabs.</t>
        </is>
      </c>
      <c r="B2" s="2" t="n"/>
      <c r="C2" s="2" t="n"/>
      <c r="D2" s="2" t="n"/>
      <c r="E2" s="2" t="n"/>
      <c r="F2" s="2" t="n"/>
      <c r="G2" s="2" t="n"/>
    </row>
    <row r="3">
      <c r="A3" s="82" t="inlineStr">
        <is>
          <t>To remove a comment, clear its row. Callsign can also be the crew member's name if they have no callsign.</t>
        </is>
      </c>
    </row>
    <row r="5">
      <c r="A5" s="31" t="inlineStr">
        <is>
          <t>Date</t>
        </is>
      </c>
      <c r="B5" s="31" t="inlineStr">
        <is>
          <t>Shift</t>
        </is>
      </c>
      <c r="C5" s="31" t="inlineStr">
        <is>
          <t>Callsign</t>
        </is>
      </c>
      <c r="D5" s="31" t="inlineStr">
        <is>
          <t>Crew Member</t>
        </is>
      </c>
      <c r="E5" s="31" t="inlineStr">
        <is>
          <t>Comment</t>
        </is>
      </c>
      <c r="F5" s="31" t="inlineStr">
        <is>
          <t>Activity</t>
        </is>
      </c>
      <c r="G5" s="31" t="inlineStr">
        <is>
          <t>Key</t>
        </is>
      </c>
    </row>
    <row r="6">
      <c r="A6" s="122" t="n"/>
      <c r="B6" s="107" t="n"/>
      <c r="C6" s="105" t="n"/>
      <c r="D6" s="92">
        <f>IF(C6="","",IFERROR(INDEX(Roster!$C$6:$C$65,IFERROR(MATCH(C6,Roster!$B$6:$B$65,0),MATCH(C6,Roster!$C$6:$C$65,0))),"not on the Roster"))</f>
        <v/>
      </c>
      <c r="E6" s="106" t="n"/>
      <c r="F6" s="104">
        <f>IF(OR(A6="",C6="",B6=""),"",IFERROR(INDEX(CHOOSE(IF(YEAR(A6)&gt;PlanYear,13,MONTH(A6)),'Jan'!$D$27:$AH$266,'Feb'!$D$27:$AH$266,'Mar'!$D$27:$AH$266,'Apr'!$D$27:$AH$266,'May'!$D$27:$AH$266,'Jun'!$D$27:$AH$266,'Jul'!$D$27:$AH$266,'Aug'!$D$27:$AH$266,'Sep'!$D$27:$AH$266,'Oct'!$D$27:$AH$266,'Nov'!$D$27:$AH$266,'Dec'!$D$27:$AH$266,'Jan (next year)'!$D$27:$AH$266),27+4*(IFERROR(MATCH(C6,Roster!$B$6:$B$65,0),MATCH(C6,Roster!$C$6:$C$65,0))-1)+MATCH(B6,{"AM","PM","NIGHT","WD"},0)-1-27+1,DAY(A6))&amp;"",""))</f>
        <v/>
      </c>
      <c r="G6" s="123">
        <f>IF(OR(A6="",C6="",B6="",E6=""),"",IFERROR(A6&amp;"|"&amp;(27+4*(IFERROR(MATCH(C6,Roster!$B$6:$B$65,0),MATCH(C6,Roster!$C$6:$C$65,0))-1)+MATCH(B6,{"AM","PM","NIGHT","WD"},0)-1),""))</f>
        <v/>
      </c>
    </row>
    <row r="7">
      <c r="A7" s="122" t="n"/>
      <c r="B7" s="107" t="n"/>
      <c r="C7" s="105" t="n"/>
      <c r="D7" s="92">
        <f>IF(C7="","",IFERROR(INDEX(Roster!$C$6:$C$65,IFERROR(MATCH(C7,Roster!$B$6:$B$65,0),MATCH(C7,Roster!$C$6:$C$65,0))),"not on the Roster"))</f>
        <v/>
      </c>
      <c r="E7" s="106" t="n"/>
      <c r="F7" s="104">
        <f>IF(OR(A7="",C7="",B7=""),"",IFERROR(INDEX(CHOOSE(IF(YEAR(A7)&gt;PlanYear,13,MONTH(A7)),'Jan'!$D$27:$AH$266,'Feb'!$D$27:$AH$266,'Mar'!$D$27:$AH$266,'Apr'!$D$27:$AH$266,'May'!$D$27:$AH$266,'Jun'!$D$27:$AH$266,'Jul'!$D$27:$AH$266,'Aug'!$D$27:$AH$266,'Sep'!$D$27:$AH$266,'Oct'!$D$27:$AH$266,'Nov'!$D$27:$AH$266,'Dec'!$D$27:$AH$266,'Jan (next year)'!$D$27:$AH$266),27+4*(IFERROR(MATCH(C7,Roster!$B$6:$B$65,0),MATCH(C7,Roster!$C$6:$C$65,0))-1)+MATCH(B7,{"AM","PM","NIGHT","WD"},0)-1-27+1,DAY(A7))&amp;"",""))</f>
        <v/>
      </c>
      <c r="G7" s="123">
        <f>IF(OR(A7="",C7="",B7="",E7=""),"",IFERROR(A7&amp;"|"&amp;(27+4*(IFERROR(MATCH(C7,Roster!$B$6:$B$65,0),MATCH(C7,Roster!$C$6:$C$65,0))-1)+MATCH(B7,{"AM","PM","NIGHT","WD"},0)-1),""))</f>
        <v/>
      </c>
    </row>
    <row r="8">
      <c r="A8" s="122" t="n"/>
      <c r="B8" s="107" t="n"/>
      <c r="C8" s="105" t="n"/>
      <c r="D8" s="92">
        <f>IF(C8="","",IFERROR(INDEX(Roster!$C$6:$C$65,IFERROR(MATCH(C8,Roster!$B$6:$B$65,0),MATCH(C8,Roster!$C$6:$C$65,0))),"not on the Roster"))</f>
        <v/>
      </c>
      <c r="E8" s="106" t="n"/>
      <c r="F8" s="104">
        <f>IF(OR(A8="",C8="",B8=""),"",IFERROR(INDEX(CHOOSE(IF(YEAR(A8)&gt;PlanYear,13,MONTH(A8)),'Jan'!$D$27:$AH$266,'Feb'!$D$27:$AH$266,'Mar'!$D$27:$AH$266,'Apr'!$D$27:$AH$266,'May'!$D$27:$AH$266,'Jun'!$D$27:$AH$266,'Jul'!$D$27:$AH$266,'Aug'!$D$27:$AH$266,'Sep'!$D$27:$AH$266,'Oct'!$D$27:$AH$266,'Nov'!$D$27:$AH$266,'Dec'!$D$27:$AH$266,'Jan (next year)'!$D$27:$AH$266),27+4*(IFERROR(MATCH(C8,Roster!$B$6:$B$65,0),MATCH(C8,Roster!$C$6:$C$65,0))-1)+MATCH(B8,{"AM","PM","NIGHT","WD"},0)-1-27+1,DAY(A8))&amp;"",""))</f>
        <v/>
      </c>
      <c r="G8" s="123">
        <f>IF(OR(A8="",C8="",B8="",E8=""),"",IFERROR(A8&amp;"|"&amp;(27+4*(IFERROR(MATCH(C8,Roster!$B$6:$B$65,0),MATCH(C8,Roster!$C$6:$C$65,0))-1)+MATCH(B8,{"AM","PM","NIGHT","WD"},0)-1),""))</f>
        <v/>
      </c>
    </row>
    <row r="9">
      <c r="A9" s="122" t="n"/>
      <c r="B9" s="107" t="n"/>
      <c r="C9" s="105" t="n"/>
      <c r="D9" s="92">
        <f>IF(C9="","",IFERROR(INDEX(Roster!$C$6:$C$65,IFERROR(MATCH(C9,Roster!$B$6:$B$65,0),MATCH(C9,Roster!$C$6:$C$65,0))),"not on the Roster"))</f>
        <v/>
      </c>
      <c r="E9" s="106" t="n"/>
      <c r="F9" s="104">
        <f>IF(OR(A9="",C9="",B9=""),"",IFERROR(INDEX(CHOOSE(IF(YEAR(A9)&gt;PlanYear,13,MONTH(A9)),'Jan'!$D$27:$AH$266,'Feb'!$D$27:$AH$266,'Mar'!$D$27:$AH$266,'Apr'!$D$27:$AH$266,'May'!$D$27:$AH$266,'Jun'!$D$27:$AH$266,'Jul'!$D$27:$AH$266,'Aug'!$D$27:$AH$266,'Sep'!$D$27:$AH$266,'Oct'!$D$27:$AH$266,'Nov'!$D$27:$AH$266,'Dec'!$D$27:$AH$266,'Jan (next year)'!$D$27:$AH$266),27+4*(IFERROR(MATCH(C9,Roster!$B$6:$B$65,0),MATCH(C9,Roster!$C$6:$C$65,0))-1)+MATCH(B9,{"AM","PM","NIGHT","WD"},0)-1-27+1,DAY(A9))&amp;"",""))</f>
        <v/>
      </c>
      <c r="G9" s="123">
        <f>IF(OR(A9="",C9="",B9="",E9=""),"",IFERROR(A9&amp;"|"&amp;(27+4*(IFERROR(MATCH(C9,Roster!$B$6:$B$65,0),MATCH(C9,Roster!$C$6:$C$65,0))-1)+MATCH(B9,{"AM","PM","NIGHT","WD"},0)-1),""))</f>
        <v/>
      </c>
    </row>
    <row r="10">
      <c r="A10" s="122" t="n"/>
      <c r="B10" s="107" t="n"/>
      <c r="C10" s="105" t="n"/>
      <c r="D10" s="92">
        <f>IF(C10="","",IFERROR(INDEX(Roster!$C$6:$C$65,IFERROR(MATCH(C10,Roster!$B$6:$B$65,0),MATCH(C10,Roster!$C$6:$C$65,0))),"not on the Roster"))</f>
        <v/>
      </c>
      <c r="E10" s="106" t="n"/>
      <c r="F10" s="104">
        <f>IF(OR(A10="",C10="",B10=""),"",IFERROR(INDEX(CHOOSE(IF(YEAR(A10)&gt;PlanYear,13,MONTH(A10)),'Jan'!$D$27:$AH$266,'Feb'!$D$27:$AH$266,'Mar'!$D$27:$AH$266,'Apr'!$D$27:$AH$266,'May'!$D$27:$AH$266,'Jun'!$D$27:$AH$266,'Jul'!$D$27:$AH$266,'Aug'!$D$27:$AH$266,'Sep'!$D$27:$AH$266,'Oct'!$D$27:$AH$266,'Nov'!$D$27:$AH$266,'Dec'!$D$27:$AH$266,'Jan (next year)'!$D$27:$AH$266),27+4*(IFERROR(MATCH(C10,Roster!$B$6:$B$65,0),MATCH(C10,Roster!$C$6:$C$65,0))-1)+MATCH(B10,{"AM","PM","NIGHT","WD"},0)-1-27+1,DAY(A10))&amp;"",""))</f>
        <v/>
      </c>
      <c r="G10" s="123">
        <f>IF(OR(A10="",C10="",B10="",E10=""),"",IFERROR(A10&amp;"|"&amp;(27+4*(IFERROR(MATCH(C10,Roster!$B$6:$B$65,0),MATCH(C10,Roster!$C$6:$C$65,0))-1)+MATCH(B10,{"AM","PM","NIGHT","WD"},0)-1),""))</f>
        <v/>
      </c>
    </row>
    <row r="11">
      <c r="A11" s="122" t="n"/>
      <c r="B11" s="107" t="n"/>
      <c r="C11" s="105" t="n"/>
      <c r="D11" s="92">
        <f>IF(C11="","",IFERROR(INDEX(Roster!$C$6:$C$65,IFERROR(MATCH(C11,Roster!$B$6:$B$65,0),MATCH(C11,Roster!$C$6:$C$65,0))),"not on the Roster"))</f>
        <v/>
      </c>
      <c r="E11" s="106" t="n"/>
      <c r="F11" s="104">
        <f>IF(OR(A11="",C11="",B11=""),"",IFERROR(INDEX(CHOOSE(IF(YEAR(A11)&gt;PlanYear,13,MONTH(A11)),'Jan'!$D$27:$AH$266,'Feb'!$D$27:$AH$266,'Mar'!$D$27:$AH$266,'Apr'!$D$27:$AH$266,'May'!$D$27:$AH$266,'Jun'!$D$27:$AH$266,'Jul'!$D$27:$AH$266,'Aug'!$D$27:$AH$266,'Sep'!$D$27:$AH$266,'Oct'!$D$27:$AH$266,'Nov'!$D$27:$AH$266,'Dec'!$D$27:$AH$266,'Jan (next year)'!$D$27:$AH$266),27+4*(IFERROR(MATCH(C11,Roster!$B$6:$B$65,0),MATCH(C11,Roster!$C$6:$C$65,0))-1)+MATCH(B11,{"AM","PM","NIGHT","WD"},0)-1-27+1,DAY(A11))&amp;"",""))</f>
        <v/>
      </c>
      <c r="G11" s="123">
        <f>IF(OR(A11="",C11="",B11="",E11=""),"",IFERROR(A11&amp;"|"&amp;(27+4*(IFERROR(MATCH(C11,Roster!$B$6:$B$65,0),MATCH(C11,Roster!$C$6:$C$65,0))-1)+MATCH(B11,{"AM","PM","NIGHT","WD"},0)-1),""))</f>
        <v/>
      </c>
    </row>
    <row r="12">
      <c r="A12" s="122" t="n"/>
      <c r="B12" s="107" t="n"/>
      <c r="C12" s="105" t="n"/>
      <c r="D12" s="92">
        <f>IF(C12="","",IFERROR(INDEX(Roster!$C$6:$C$65,IFERROR(MATCH(C12,Roster!$B$6:$B$65,0),MATCH(C12,Roster!$C$6:$C$65,0))),"not on the Roster"))</f>
        <v/>
      </c>
      <c r="E12" s="106" t="n"/>
      <c r="F12" s="104">
        <f>IF(OR(A12="",C12="",B12=""),"",IFERROR(INDEX(CHOOSE(IF(YEAR(A12)&gt;PlanYear,13,MONTH(A12)),'Jan'!$D$27:$AH$266,'Feb'!$D$27:$AH$266,'Mar'!$D$27:$AH$266,'Apr'!$D$27:$AH$266,'May'!$D$27:$AH$266,'Jun'!$D$27:$AH$266,'Jul'!$D$27:$AH$266,'Aug'!$D$27:$AH$266,'Sep'!$D$27:$AH$266,'Oct'!$D$27:$AH$266,'Nov'!$D$27:$AH$266,'Dec'!$D$27:$AH$266,'Jan (next year)'!$D$27:$AH$266),27+4*(IFERROR(MATCH(C12,Roster!$B$6:$B$65,0),MATCH(C12,Roster!$C$6:$C$65,0))-1)+MATCH(B12,{"AM","PM","NIGHT","WD"},0)-1-27+1,DAY(A12))&amp;"",""))</f>
        <v/>
      </c>
      <c r="G12" s="123">
        <f>IF(OR(A12="",C12="",B12="",E12=""),"",IFERROR(A12&amp;"|"&amp;(27+4*(IFERROR(MATCH(C12,Roster!$B$6:$B$65,0),MATCH(C12,Roster!$C$6:$C$65,0))-1)+MATCH(B12,{"AM","PM","NIGHT","WD"},0)-1),""))</f>
        <v/>
      </c>
    </row>
    <row r="13">
      <c r="A13" s="122" t="n"/>
      <c r="B13" s="107" t="n"/>
      <c r="C13" s="105" t="n"/>
      <c r="D13" s="92">
        <f>IF(C13="","",IFERROR(INDEX(Roster!$C$6:$C$65,IFERROR(MATCH(C13,Roster!$B$6:$B$65,0),MATCH(C13,Roster!$C$6:$C$65,0))),"not on the Roster"))</f>
        <v/>
      </c>
      <c r="E13" s="106" t="n"/>
      <c r="F13" s="104">
        <f>IF(OR(A13="",C13="",B13=""),"",IFERROR(INDEX(CHOOSE(IF(YEAR(A13)&gt;PlanYear,13,MONTH(A13)),'Jan'!$D$27:$AH$266,'Feb'!$D$27:$AH$266,'Mar'!$D$27:$AH$266,'Apr'!$D$27:$AH$266,'May'!$D$27:$AH$266,'Jun'!$D$27:$AH$266,'Jul'!$D$27:$AH$266,'Aug'!$D$27:$AH$266,'Sep'!$D$27:$AH$266,'Oct'!$D$27:$AH$266,'Nov'!$D$27:$AH$266,'Dec'!$D$27:$AH$266,'Jan (next year)'!$D$27:$AH$266),27+4*(IFERROR(MATCH(C13,Roster!$B$6:$B$65,0),MATCH(C13,Roster!$C$6:$C$65,0))-1)+MATCH(B13,{"AM","PM","NIGHT","WD"},0)-1-27+1,DAY(A13))&amp;"",""))</f>
        <v/>
      </c>
      <c r="G13" s="123">
        <f>IF(OR(A13="",C13="",B13="",E13=""),"",IFERROR(A13&amp;"|"&amp;(27+4*(IFERROR(MATCH(C13,Roster!$B$6:$B$65,0),MATCH(C13,Roster!$C$6:$C$65,0))-1)+MATCH(B13,{"AM","PM","NIGHT","WD"},0)-1),""))</f>
        <v/>
      </c>
    </row>
    <row r="14">
      <c r="A14" s="122" t="n"/>
      <c r="B14" s="107" t="n"/>
      <c r="C14" s="105" t="n"/>
      <c r="D14" s="92">
        <f>IF(C14="","",IFERROR(INDEX(Roster!$C$6:$C$65,IFERROR(MATCH(C14,Roster!$B$6:$B$65,0),MATCH(C14,Roster!$C$6:$C$65,0))),"not on the Roster"))</f>
        <v/>
      </c>
      <c r="E14" s="106" t="n"/>
      <c r="F14" s="104">
        <f>IF(OR(A14="",C14="",B14=""),"",IFERROR(INDEX(CHOOSE(IF(YEAR(A14)&gt;PlanYear,13,MONTH(A14)),'Jan'!$D$27:$AH$266,'Feb'!$D$27:$AH$266,'Mar'!$D$27:$AH$266,'Apr'!$D$27:$AH$266,'May'!$D$27:$AH$266,'Jun'!$D$27:$AH$266,'Jul'!$D$27:$AH$266,'Aug'!$D$27:$AH$266,'Sep'!$D$27:$AH$266,'Oct'!$D$27:$AH$266,'Nov'!$D$27:$AH$266,'Dec'!$D$27:$AH$266,'Jan (next year)'!$D$27:$AH$266),27+4*(IFERROR(MATCH(C14,Roster!$B$6:$B$65,0),MATCH(C14,Roster!$C$6:$C$65,0))-1)+MATCH(B14,{"AM","PM","NIGHT","WD"},0)-1-27+1,DAY(A14))&amp;"",""))</f>
        <v/>
      </c>
      <c r="G14" s="123">
        <f>IF(OR(A14="",C14="",B14="",E14=""),"",IFERROR(A14&amp;"|"&amp;(27+4*(IFERROR(MATCH(C14,Roster!$B$6:$B$65,0),MATCH(C14,Roster!$C$6:$C$65,0))-1)+MATCH(B14,{"AM","PM","NIGHT","WD"},0)-1),""))</f>
        <v/>
      </c>
    </row>
    <row r="15">
      <c r="A15" s="122" t="n"/>
      <c r="B15" s="107" t="n"/>
      <c r="C15" s="105" t="n"/>
      <c r="D15" s="92">
        <f>IF(C15="","",IFERROR(INDEX(Roster!$C$6:$C$65,IFERROR(MATCH(C15,Roster!$B$6:$B$65,0),MATCH(C15,Roster!$C$6:$C$65,0))),"not on the Roster"))</f>
        <v/>
      </c>
      <c r="E15" s="106" t="n"/>
      <c r="F15" s="104">
        <f>IF(OR(A15="",C15="",B15=""),"",IFERROR(INDEX(CHOOSE(IF(YEAR(A15)&gt;PlanYear,13,MONTH(A15)),'Jan'!$D$27:$AH$266,'Feb'!$D$27:$AH$266,'Mar'!$D$27:$AH$266,'Apr'!$D$27:$AH$266,'May'!$D$27:$AH$266,'Jun'!$D$27:$AH$266,'Jul'!$D$27:$AH$266,'Aug'!$D$27:$AH$266,'Sep'!$D$27:$AH$266,'Oct'!$D$27:$AH$266,'Nov'!$D$27:$AH$266,'Dec'!$D$27:$AH$266,'Jan (next year)'!$D$27:$AH$266),27+4*(IFERROR(MATCH(C15,Roster!$B$6:$B$65,0),MATCH(C15,Roster!$C$6:$C$65,0))-1)+MATCH(B15,{"AM","PM","NIGHT","WD"},0)-1-27+1,DAY(A15))&amp;"",""))</f>
        <v/>
      </c>
      <c r="G15" s="123">
        <f>IF(OR(A15="",C15="",B15="",E15=""),"",IFERROR(A15&amp;"|"&amp;(27+4*(IFERROR(MATCH(C15,Roster!$B$6:$B$65,0),MATCH(C15,Roster!$C$6:$C$65,0))-1)+MATCH(B15,{"AM","PM","NIGHT","WD"},0)-1),""))</f>
        <v/>
      </c>
    </row>
    <row r="16">
      <c r="A16" s="122" t="n"/>
      <c r="B16" s="107" t="n"/>
      <c r="C16" s="105" t="n"/>
      <c r="D16" s="92">
        <f>IF(C16="","",IFERROR(INDEX(Roster!$C$6:$C$65,IFERROR(MATCH(C16,Roster!$B$6:$B$65,0),MATCH(C16,Roster!$C$6:$C$65,0))),"not on the Roster"))</f>
        <v/>
      </c>
      <c r="E16" s="106" t="n"/>
      <c r="F16" s="104">
        <f>IF(OR(A16="",C16="",B16=""),"",IFERROR(INDEX(CHOOSE(IF(YEAR(A16)&gt;PlanYear,13,MONTH(A16)),'Jan'!$D$27:$AH$266,'Feb'!$D$27:$AH$266,'Mar'!$D$27:$AH$266,'Apr'!$D$27:$AH$266,'May'!$D$27:$AH$266,'Jun'!$D$27:$AH$266,'Jul'!$D$27:$AH$266,'Aug'!$D$27:$AH$266,'Sep'!$D$27:$AH$266,'Oct'!$D$27:$AH$266,'Nov'!$D$27:$AH$266,'Dec'!$D$27:$AH$266,'Jan (next year)'!$D$27:$AH$266),27+4*(IFERROR(MATCH(C16,Roster!$B$6:$B$65,0),MATCH(C16,Roster!$C$6:$C$65,0))-1)+MATCH(B16,{"AM","PM","NIGHT","WD"},0)-1-27+1,DAY(A16))&amp;"",""))</f>
        <v/>
      </c>
      <c r="G16" s="123">
        <f>IF(OR(A16="",C16="",B16="",E16=""),"",IFERROR(A16&amp;"|"&amp;(27+4*(IFERROR(MATCH(C16,Roster!$B$6:$B$65,0),MATCH(C16,Roster!$C$6:$C$65,0))-1)+MATCH(B16,{"AM","PM","NIGHT","WD"},0)-1),""))</f>
        <v/>
      </c>
    </row>
    <row r="17">
      <c r="A17" s="122" t="n"/>
      <c r="B17" s="107" t="n"/>
      <c r="C17" s="105" t="n"/>
      <c r="D17" s="92">
        <f>IF(C17="","",IFERROR(INDEX(Roster!$C$6:$C$65,IFERROR(MATCH(C17,Roster!$B$6:$B$65,0),MATCH(C17,Roster!$C$6:$C$65,0))),"not on the Roster"))</f>
        <v/>
      </c>
      <c r="E17" s="106" t="n"/>
      <c r="F17" s="104">
        <f>IF(OR(A17="",C17="",B17=""),"",IFERROR(INDEX(CHOOSE(IF(YEAR(A17)&gt;PlanYear,13,MONTH(A17)),'Jan'!$D$27:$AH$266,'Feb'!$D$27:$AH$266,'Mar'!$D$27:$AH$266,'Apr'!$D$27:$AH$266,'May'!$D$27:$AH$266,'Jun'!$D$27:$AH$266,'Jul'!$D$27:$AH$266,'Aug'!$D$27:$AH$266,'Sep'!$D$27:$AH$266,'Oct'!$D$27:$AH$266,'Nov'!$D$27:$AH$266,'Dec'!$D$27:$AH$266,'Jan (next year)'!$D$27:$AH$266),27+4*(IFERROR(MATCH(C17,Roster!$B$6:$B$65,0),MATCH(C17,Roster!$C$6:$C$65,0))-1)+MATCH(B17,{"AM","PM","NIGHT","WD"},0)-1-27+1,DAY(A17))&amp;"",""))</f>
        <v/>
      </c>
      <c r="G17" s="123">
        <f>IF(OR(A17="",C17="",B17="",E17=""),"",IFERROR(A17&amp;"|"&amp;(27+4*(IFERROR(MATCH(C17,Roster!$B$6:$B$65,0),MATCH(C17,Roster!$C$6:$C$65,0))-1)+MATCH(B17,{"AM","PM","NIGHT","WD"},0)-1),""))</f>
        <v/>
      </c>
    </row>
    <row r="18">
      <c r="A18" s="122" t="n"/>
      <c r="B18" s="107" t="n"/>
      <c r="C18" s="105" t="n"/>
      <c r="D18" s="92">
        <f>IF(C18="","",IFERROR(INDEX(Roster!$C$6:$C$65,IFERROR(MATCH(C18,Roster!$B$6:$B$65,0),MATCH(C18,Roster!$C$6:$C$65,0))),"not on the Roster"))</f>
        <v/>
      </c>
      <c r="E18" s="106" t="n"/>
      <c r="F18" s="104">
        <f>IF(OR(A18="",C18="",B18=""),"",IFERROR(INDEX(CHOOSE(IF(YEAR(A18)&gt;PlanYear,13,MONTH(A18)),'Jan'!$D$27:$AH$266,'Feb'!$D$27:$AH$266,'Mar'!$D$27:$AH$266,'Apr'!$D$27:$AH$266,'May'!$D$27:$AH$266,'Jun'!$D$27:$AH$266,'Jul'!$D$27:$AH$266,'Aug'!$D$27:$AH$266,'Sep'!$D$27:$AH$266,'Oct'!$D$27:$AH$266,'Nov'!$D$27:$AH$266,'Dec'!$D$27:$AH$266,'Jan (next year)'!$D$27:$AH$266),27+4*(IFERROR(MATCH(C18,Roster!$B$6:$B$65,0),MATCH(C18,Roster!$C$6:$C$65,0))-1)+MATCH(B18,{"AM","PM","NIGHT","WD"},0)-1-27+1,DAY(A18))&amp;"",""))</f>
        <v/>
      </c>
      <c r="G18" s="123">
        <f>IF(OR(A18="",C18="",B18="",E18=""),"",IFERROR(A18&amp;"|"&amp;(27+4*(IFERROR(MATCH(C18,Roster!$B$6:$B$65,0),MATCH(C18,Roster!$C$6:$C$65,0))-1)+MATCH(B18,{"AM","PM","NIGHT","WD"},0)-1),""))</f>
        <v/>
      </c>
    </row>
    <row r="19">
      <c r="A19" s="122" t="n"/>
      <c r="B19" s="107" t="n"/>
      <c r="C19" s="105" t="n"/>
      <c r="D19" s="92">
        <f>IF(C19="","",IFERROR(INDEX(Roster!$C$6:$C$65,IFERROR(MATCH(C19,Roster!$B$6:$B$65,0),MATCH(C19,Roster!$C$6:$C$65,0))),"not on the Roster"))</f>
        <v/>
      </c>
      <c r="E19" s="106" t="n"/>
      <c r="F19" s="104">
        <f>IF(OR(A19="",C19="",B19=""),"",IFERROR(INDEX(CHOOSE(IF(YEAR(A19)&gt;PlanYear,13,MONTH(A19)),'Jan'!$D$27:$AH$266,'Feb'!$D$27:$AH$266,'Mar'!$D$27:$AH$266,'Apr'!$D$27:$AH$266,'May'!$D$27:$AH$266,'Jun'!$D$27:$AH$266,'Jul'!$D$27:$AH$266,'Aug'!$D$27:$AH$266,'Sep'!$D$27:$AH$266,'Oct'!$D$27:$AH$266,'Nov'!$D$27:$AH$266,'Dec'!$D$27:$AH$266,'Jan (next year)'!$D$27:$AH$266),27+4*(IFERROR(MATCH(C19,Roster!$B$6:$B$65,0),MATCH(C19,Roster!$C$6:$C$65,0))-1)+MATCH(B19,{"AM","PM","NIGHT","WD"},0)-1-27+1,DAY(A19))&amp;"",""))</f>
        <v/>
      </c>
      <c r="G19" s="123">
        <f>IF(OR(A19="",C19="",B19="",E19=""),"",IFERROR(A19&amp;"|"&amp;(27+4*(IFERROR(MATCH(C19,Roster!$B$6:$B$65,0),MATCH(C19,Roster!$C$6:$C$65,0))-1)+MATCH(B19,{"AM","PM","NIGHT","WD"},0)-1),""))</f>
        <v/>
      </c>
    </row>
    <row r="20">
      <c r="A20" s="122" t="n"/>
      <c r="B20" s="107" t="n"/>
      <c r="C20" s="105" t="n"/>
      <c r="D20" s="92">
        <f>IF(C20="","",IFERROR(INDEX(Roster!$C$6:$C$65,IFERROR(MATCH(C20,Roster!$B$6:$B$65,0),MATCH(C20,Roster!$C$6:$C$65,0))),"not on the Roster"))</f>
        <v/>
      </c>
      <c r="E20" s="106" t="n"/>
      <c r="F20" s="104">
        <f>IF(OR(A20="",C20="",B20=""),"",IFERROR(INDEX(CHOOSE(IF(YEAR(A20)&gt;PlanYear,13,MONTH(A20)),'Jan'!$D$27:$AH$266,'Feb'!$D$27:$AH$266,'Mar'!$D$27:$AH$266,'Apr'!$D$27:$AH$266,'May'!$D$27:$AH$266,'Jun'!$D$27:$AH$266,'Jul'!$D$27:$AH$266,'Aug'!$D$27:$AH$266,'Sep'!$D$27:$AH$266,'Oct'!$D$27:$AH$266,'Nov'!$D$27:$AH$266,'Dec'!$D$27:$AH$266,'Jan (next year)'!$D$27:$AH$266),27+4*(IFERROR(MATCH(C20,Roster!$B$6:$B$65,0),MATCH(C20,Roster!$C$6:$C$65,0))-1)+MATCH(B20,{"AM","PM","NIGHT","WD"},0)-1-27+1,DAY(A20))&amp;"",""))</f>
        <v/>
      </c>
      <c r="G20" s="123">
        <f>IF(OR(A20="",C20="",B20="",E20=""),"",IFERROR(A20&amp;"|"&amp;(27+4*(IFERROR(MATCH(C20,Roster!$B$6:$B$65,0),MATCH(C20,Roster!$C$6:$C$65,0))-1)+MATCH(B20,{"AM","PM","NIGHT","WD"},0)-1),""))</f>
        <v/>
      </c>
    </row>
    <row r="21">
      <c r="A21" s="122" t="n"/>
      <c r="B21" s="107" t="n"/>
      <c r="C21" s="105" t="n"/>
      <c r="D21" s="92">
        <f>IF(C21="","",IFERROR(INDEX(Roster!$C$6:$C$65,IFERROR(MATCH(C21,Roster!$B$6:$B$65,0),MATCH(C21,Roster!$C$6:$C$65,0))),"not on the Roster"))</f>
        <v/>
      </c>
      <c r="E21" s="106" t="n"/>
      <c r="F21" s="104">
        <f>IF(OR(A21="",C21="",B21=""),"",IFERROR(INDEX(CHOOSE(IF(YEAR(A21)&gt;PlanYear,13,MONTH(A21)),'Jan'!$D$27:$AH$266,'Feb'!$D$27:$AH$266,'Mar'!$D$27:$AH$266,'Apr'!$D$27:$AH$266,'May'!$D$27:$AH$266,'Jun'!$D$27:$AH$266,'Jul'!$D$27:$AH$266,'Aug'!$D$27:$AH$266,'Sep'!$D$27:$AH$266,'Oct'!$D$27:$AH$266,'Nov'!$D$27:$AH$266,'Dec'!$D$27:$AH$266,'Jan (next year)'!$D$27:$AH$266),27+4*(IFERROR(MATCH(C21,Roster!$B$6:$B$65,0),MATCH(C21,Roster!$C$6:$C$65,0))-1)+MATCH(B21,{"AM","PM","NIGHT","WD"},0)-1-27+1,DAY(A21))&amp;"",""))</f>
        <v/>
      </c>
      <c r="G21" s="123">
        <f>IF(OR(A21="",C21="",B21="",E21=""),"",IFERROR(A21&amp;"|"&amp;(27+4*(IFERROR(MATCH(C21,Roster!$B$6:$B$65,0),MATCH(C21,Roster!$C$6:$C$65,0))-1)+MATCH(B21,{"AM","PM","NIGHT","WD"},0)-1),""))</f>
        <v/>
      </c>
    </row>
    <row r="22">
      <c r="A22" s="122" t="n"/>
      <c r="B22" s="107" t="n"/>
      <c r="C22" s="105" t="n"/>
      <c r="D22" s="92">
        <f>IF(C22="","",IFERROR(INDEX(Roster!$C$6:$C$65,IFERROR(MATCH(C22,Roster!$B$6:$B$65,0),MATCH(C22,Roster!$C$6:$C$65,0))),"not on the Roster"))</f>
        <v/>
      </c>
      <c r="E22" s="106" t="n"/>
      <c r="F22" s="104">
        <f>IF(OR(A22="",C22="",B22=""),"",IFERROR(INDEX(CHOOSE(IF(YEAR(A22)&gt;PlanYear,13,MONTH(A22)),'Jan'!$D$27:$AH$266,'Feb'!$D$27:$AH$266,'Mar'!$D$27:$AH$266,'Apr'!$D$27:$AH$266,'May'!$D$27:$AH$266,'Jun'!$D$27:$AH$266,'Jul'!$D$27:$AH$266,'Aug'!$D$27:$AH$266,'Sep'!$D$27:$AH$266,'Oct'!$D$27:$AH$266,'Nov'!$D$27:$AH$266,'Dec'!$D$27:$AH$266,'Jan (next year)'!$D$27:$AH$266),27+4*(IFERROR(MATCH(C22,Roster!$B$6:$B$65,0),MATCH(C22,Roster!$C$6:$C$65,0))-1)+MATCH(B22,{"AM","PM","NIGHT","WD"},0)-1-27+1,DAY(A22))&amp;"",""))</f>
        <v/>
      </c>
      <c r="G22" s="123">
        <f>IF(OR(A22="",C22="",B22="",E22=""),"",IFERROR(A22&amp;"|"&amp;(27+4*(IFERROR(MATCH(C22,Roster!$B$6:$B$65,0),MATCH(C22,Roster!$C$6:$C$65,0))-1)+MATCH(B22,{"AM","PM","NIGHT","WD"},0)-1),""))</f>
        <v/>
      </c>
    </row>
    <row r="23">
      <c r="A23" s="122" t="n"/>
      <c r="B23" s="107" t="n"/>
      <c r="C23" s="105" t="n"/>
      <c r="D23" s="92">
        <f>IF(C23="","",IFERROR(INDEX(Roster!$C$6:$C$65,IFERROR(MATCH(C23,Roster!$B$6:$B$65,0),MATCH(C23,Roster!$C$6:$C$65,0))),"not on the Roster"))</f>
        <v/>
      </c>
      <c r="E23" s="106" t="n"/>
      <c r="F23" s="104">
        <f>IF(OR(A23="",C23="",B23=""),"",IFERROR(INDEX(CHOOSE(IF(YEAR(A23)&gt;PlanYear,13,MONTH(A23)),'Jan'!$D$27:$AH$266,'Feb'!$D$27:$AH$266,'Mar'!$D$27:$AH$266,'Apr'!$D$27:$AH$266,'May'!$D$27:$AH$266,'Jun'!$D$27:$AH$266,'Jul'!$D$27:$AH$266,'Aug'!$D$27:$AH$266,'Sep'!$D$27:$AH$266,'Oct'!$D$27:$AH$266,'Nov'!$D$27:$AH$266,'Dec'!$D$27:$AH$266,'Jan (next year)'!$D$27:$AH$266),27+4*(IFERROR(MATCH(C23,Roster!$B$6:$B$65,0),MATCH(C23,Roster!$C$6:$C$65,0))-1)+MATCH(B23,{"AM","PM","NIGHT","WD"},0)-1-27+1,DAY(A23))&amp;"",""))</f>
        <v/>
      </c>
      <c r="G23" s="123">
        <f>IF(OR(A23="",C23="",B23="",E23=""),"",IFERROR(A23&amp;"|"&amp;(27+4*(IFERROR(MATCH(C23,Roster!$B$6:$B$65,0),MATCH(C23,Roster!$C$6:$C$65,0))-1)+MATCH(B23,{"AM","PM","NIGHT","WD"},0)-1),""))</f>
        <v/>
      </c>
    </row>
    <row r="24">
      <c r="A24" s="122" t="n"/>
      <c r="B24" s="107" t="n"/>
      <c r="C24" s="105" t="n"/>
      <c r="D24" s="92">
        <f>IF(C24="","",IFERROR(INDEX(Roster!$C$6:$C$65,IFERROR(MATCH(C24,Roster!$B$6:$B$65,0),MATCH(C24,Roster!$C$6:$C$65,0))),"not on the Roster"))</f>
        <v/>
      </c>
      <c r="E24" s="106" t="n"/>
      <c r="F24" s="104">
        <f>IF(OR(A24="",C24="",B24=""),"",IFERROR(INDEX(CHOOSE(IF(YEAR(A24)&gt;PlanYear,13,MONTH(A24)),'Jan'!$D$27:$AH$266,'Feb'!$D$27:$AH$266,'Mar'!$D$27:$AH$266,'Apr'!$D$27:$AH$266,'May'!$D$27:$AH$266,'Jun'!$D$27:$AH$266,'Jul'!$D$27:$AH$266,'Aug'!$D$27:$AH$266,'Sep'!$D$27:$AH$266,'Oct'!$D$27:$AH$266,'Nov'!$D$27:$AH$266,'Dec'!$D$27:$AH$266,'Jan (next year)'!$D$27:$AH$266),27+4*(IFERROR(MATCH(C24,Roster!$B$6:$B$65,0),MATCH(C24,Roster!$C$6:$C$65,0))-1)+MATCH(B24,{"AM","PM","NIGHT","WD"},0)-1-27+1,DAY(A24))&amp;"",""))</f>
        <v/>
      </c>
      <c r="G24" s="123">
        <f>IF(OR(A24="",C24="",B24="",E24=""),"",IFERROR(A24&amp;"|"&amp;(27+4*(IFERROR(MATCH(C24,Roster!$B$6:$B$65,0),MATCH(C24,Roster!$C$6:$C$65,0))-1)+MATCH(B24,{"AM","PM","NIGHT","WD"},0)-1),""))</f>
        <v/>
      </c>
    </row>
    <row r="25">
      <c r="A25" s="122" t="n"/>
      <c r="B25" s="107" t="n"/>
      <c r="C25" s="105" t="n"/>
      <c r="D25" s="92">
        <f>IF(C25="","",IFERROR(INDEX(Roster!$C$6:$C$65,IFERROR(MATCH(C25,Roster!$B$6:$B$65,0),MATCH(C25,Roster!$C$6:$C$65,0))),"not on the Roster"))</f>
        <v/>
      </c>
      <c r="E25" s="106" t="n"/>
      <c r="F25" s="104">
        <f>IF(OR(A25="",C25="",B25=""),"",IFERROR(INDEX(CHOOSE(IF(YEAR(A25)&gt;PlanYear,13,MONTH(A25)),'Jan'!$D$27:$AH$266,'Feb'!$D$27:$AH$266,'Mar'!$D$27:$AH$266,'Apr'!$D$27:$AH$266,'May'!$D$27:$AH$266,'Jun'!$D$27:$AH$266,'Jul'!$D$27:$AH$266,'Aug'!$D$27:$AH$266,'Sep'!$D$27:$AH$266,'Oct'!$D$27:$AH$266,'Nov'!$D$27:$AH$266,'Dec'!$D$27:$AH$266,'Jan (next year)'!$D$27:$AH$266),27+4*(IFERROR(MATCH(C25,Roster!$B$6:$B$65,0),MATCH(C25,Roster!$C$6:$C$65,0))-1)+MATCH(B25,{"AM","PM","NIGHT","WD"},0)-1-27+1,DAY(A25))&amp;"",""))</f>
        <v/>
      </c>
      <c r="G25" s="123">
        <f>IF(OR(A25="",C25="",B25="",E25=""),"",IFERROR(A25&amp;"|"&amp;(27+4*(IFERROR(MATCH(C25,Roster!$B$6:$B$65,0),MATCH(C25,Roster!$C$6:$C$65,0))-1)+MATCH(B25,{"AM","PM","NIGHT","WD"},0)-1),""))</f>
        <v/>
      </c>
    </row>
    <row r="26">
      <c r="A26" s="122" t="n"/>
      <c r="B26" s="107" t="n"/>
      <c r="C26" s="105" t="n"/>
      <c r="D26" s="92">
        <f>IF(C26="","",IFERROR(INDEX(Roster!$C$6:$C$65,IFERROR(MATCH(C26,Roster!$B$6:$B$65,0),MATCH(C26,Roster!$C$6:$C$65,0))),"not on the Roster"))</f>
        <v/>
      </c>
      <c r="E26" s="106" t="n"/>
      <c r="F26" s="104">
        <f>IF(OR(A26="",C26="",B26=""),"",IFERROR(INDEX(CHOOSE(IF(YEAR(A26)&gt;PlanYear,13,MONTH(A26)),'Jan'!$D$27:$AH$266,'Feb'!$D$27:$AH$266,'Mar'!$D$27:$AH$266,'Apr'!$D$27:$AH$266,'May'!$D$27:$AH$266,'Jun'!$D$27:$AH$266,'Jul'!$D$27:$AH$266,'Aug'!$D$27:$AH$266,'Sep'!$D$27:$AH$266,'Oct'!$D$27:$AH$266,'Nov'!$D$27:$AH$266,'Dec'!$D$27:$AH$266,'Jan (next year)'!$D$27:$AH$266),27+4*(IFERROR(MATCH(C26,Roster!$B$6:$B$65,0),MATCH(C26,Roster!$C$6:$C$65,0))-1)+MATCH(B26,{"AM","PM","NIGHT","WD"},0)-1-27+1,DAY(A26))&amp;"",""))</f>
        <v/>
      </c>
      <c r="G26" s="123">
        <f>IF(OR(A26="",C26="",B26="",E26=""),"",IFERROR(A26&amp;"|"&amp;(27+4*(IFERROR(MATCH(C26,Roster!$B$6:$B$65,0),MATCH(C26,Roster!$C$6:$C$65,0))-1)+MATCH(B26,{"AM","PM","NIGHT","WD"},0)-1),""))</f>
        <v/>
      </c>
    </row>
    <row r="27">
      <c r="A27" s="122" t="n"/>
      <c r="B27" s="107" t="n"/>
      <c r="C27" s="105" t="n"/>
      <c r="D27" s="92">
        <f>IF(C27="","",IFERROR(INDEX(Roster!$C$6:$C$65,IFERROR(MATCH(C27,Roster!$B$6:$B$65,0),MATCH(C27,Roster!$C$6:$C$65,0))),"not on the Roster"))</f>
        <v/>
      </c>
      <c r="E27" s="106" t="n"/>
      <c r="F27" s="104">
        <f>IF(OR(A27="",C27="",B27=""),"",IFERROR(INDEX(CHOOSE(IF(YEAR(A27)&gt;PlanYear,13,MONTH(A27)),'Jan'!$D$27:$AH$266,'Feb'!$D$27:$AH$266,'Mar'!$D$27:$AH$266,'Apr'!$D$27:$AH$266,'May'!$D$27:$AH$266,'Jun'!$D$27:$AH$266,'Jul'!$D$27:$AH$266,'Aug'!$D$27:$AH$266,'Sep'!$D$27:$AH$266,'Oct'!$D$27:$AH$266,'Nov'!$D$27:$AH$266,'Dec'!$D$27:$AH$266,'Jan (next year)'!$D$27:$AH$266),27+4*(IFERROR(MATCH(C27,Roster!$B$6:$B$65,0),MATCH(C27,Roster!$C$6:$C$65,0))-1)+MATCH(B27,{"AM","PM","NIGHT","WD"},0)-1-27+1,DAY(A27))&amp;"",""))</f>
        <v/>
      </c>
      <c r="G27" s="123">
        <f>IF(OR(A27="",C27="",B27="",E27=""),"",IFERROR(A27&amp;"|"&amp;(27+4*(IFERROR(MATCH(C27,Roster!$B$6:$B$65,0),MATCH(C27,Roster!$C$6:$C$65,0))-1)+MATCH(B27,{"AM","PM","NIGHT","WD"},0)-1),""))</f>
        <v/>
      </c>
    </row>
    <row r="28">
      <c r="A28" s="122" t="n"/>
      <c r="B28" s="107" t="n"/>
      <c r="C28" s="105" t="n"/>
      <c r="D28" s="92">
        <f>IF(C28="","",IFERROR(INDEX(Roster!$C$6:$C$65,IFERROR(MATCH(C28,Roster!$B$6:$B$65,0),MATCH(C28,Roster!$C$6:$C$65,0))),"not on the Roster"))</f>
        <v/>
      </c>
      <c r="E28" s="106" t="n"/>
      <c r="F28" s="104">
        <f>IF(OR(A28="",C28="",B28=""),"",IFERROR(INDEX(CHOOSE(IF(YEAR(A28)&gt;PlanYear,13,MONTH(A28)),'Jan'!$D$27:$AH$266,'Feb'!$D$27:$AH$266,'Mar'!$D$27:$AH$266,'Apr'!$D$27:$AH$266,'May'!$D$27:$AH$266,'Jun'!$D$27:$AH$266,'Jul'!$D$27:$AH$266,'Aug'!$D$27:$AH$266,'Sep'!$D$27:$AH$266,'Oct'!$D$27:$AH$266,'Nov'!$D$27:$AH$266,'Dec'!$D$27:$AH$266,'Jan (next year)'!$D$27:$AH$266),27+4*(IFERROR(MATCH(C28,Roster!$B$6:$B$65,0),MATCH(C28,Roster!$C$6:$C$65,0))-1)+MATCH(B28,{"AM","PM","NIGHT","WD"},0)-1-27+1,DAY(A28))&amp;"",""))</f>
        <v/>
      </c>
      <c r="G28" s="123">
        <f>IF(OR(A28="",C28="",B28="",E28=""),"",IFERROR(A28&amp;"|"&amp;(27+4*(IFERROR(MATCH(C28,Roster!$B$6:$B$65,0),MATCH(C28,Roster!$C$6:$C$65,0))-1)+MATCH(B28,{"AM","PM","NIGHT","WD"},0)-1),""))</f>
        <v/>
      </c>
    </row>
    <row r="29">
      <c r="A29" s="122" t="n"/>
      <c r="B29" s="107" t="n"/>
      <c r="C29" s="105" t="n"/>
      <c r="D29" s="92">
        <f>IF(C29="","",IFERROR(INDEX(Roster!$C$6:$C$65,IFERROR(MATCH(C29,Roster!$B$6:$B$65,0),MATCH(C29,Roster!$C$6:$C$65,0))),"not on the Roster"))</f>
        <v/>
      </c>
      <c r="E29" s="106" t="n"/>
      <c r="F29" s="104">
        <f>IF(OR(A29="",C29="",B29=""),"",IFERROR(INDEX(CHOOSE(IF(YEAR(A29)&gt;PlanYear,13,MONTH(A29)),'Jan'!$D$27:$AH$266,'Feb'!$D$27:$AH$266,'Mar'!$D$27:$AH$266,'Apr'!$D$27:$AH$266,'May'!$D$27:$AH$266,'Jun'!$D$27:$AH$266,'Jul'!$D$27:$AH$266,'Aug'!$D$27:$AH$266,'Sep'!$D$27:$AH$266,'Oct'!$D$27:$AH$266,'Nov'!$D$27:$AH$266,'Dec'!$D$27:$AH$266,'Jan (next year)'!$D$27:$AH$266),27+4*(IFERROR(MATCH(C29,Roster!$B$6:$B$65,0),MATCH(C29,Roster!$C$6:$C$65,0))-1)+MATCH(B29,{"AM","PM","NIGHT","WD"},0)-1-27+1,DAY(A29))&amp;"",""))</f>
        <v/>
      </c>
      <c r="G29" s="123">
        <f>IF(OR(A29="",C29="",B29="",E29=""),"",IFERROR(A29&amp;"|"&amp;(27+4*(IFERROR(MATCH(C29,Roster!$B$6:$B$65,0),MATCH(C29,Roster!$C$6:$C$65,0))-1)+MATCH(B29,{"AM","PM","NIGHT","WD"},0)-1),""))</f>
        <v/>
      </c>
    </row>
    <row r="30">
      <c r="A30" s="122" t="n"/>
      <c r="B30" s="107" t="n"/>
      <c r="C30" s="105" t="n"/>
      <c r="D30" s="92">
        <f>IF(C30="","",IFERROR(INDEX(Roster!$C$6:$C$65,IFERROR(MATCH(C30,Roster!$B$6:$B$65,0),MATCH(C30,Roster!$C$6:$C$65,0))),"not on the Roster"))</f>
        <v/>
      </c>
      <c r="E30" s="106" t="n"/>
      <c r="F30" s="104">
        <f>IF(OR(A30="",C30="",B30=""),"",IFERROR(INDEX(CHOOSE(IF(YEAR(A30)&gt;PlanYear,13,MONTH(A30)),'Jan'!$D$27:$AH$266,'Feb'!$D$27:$AH$266,'Mar'!$D$27:$AH$266,'Apr'!$D$27:$AH$266,'May'!$D$27:$AH$266,'Jun'!$D$27:$AH$266,'Jul'!$D$27:$AH$266,'Aug'!$D$27:$AH$266,'Sep'!$D$27:$AH$266,'Oct'!$D$27:$AH$266,'Nov'!$D$27:$AH$266,'Dec'!$D$27:$AH$266,'Jan (next year)'!$D$27:$AH$266),27+4*(IFERROR(MATCH(C30,Roster!$B$6:$B$65,0),MATCH(C30,Roster!$C$6:$C$65,0))-1)+MATCH(B30,{"AM","PM","NIGHT","WD"},0)-1-27+1,DAY(A30))&amp;"",""))</f>
        <v/>
      </c>
      <c r="G30" s="123">
        <f>IF(OR(A30="",C30="",B30="",E30=""),"",IFERROR(A30&amp;"|"&amp;(27+4*(IFERROR(MATCH(C30,Roster!$B$6:$B$65,0),MATCH(C30,Roster!$C$6:$C$65,0))-1)+MATCH(B30,{"AM","PM","NIGHT","WD"},0)-1),""))</f>
        <v/>
      </c>
    </row>
    <row r="31">
      <c r="A31" s="122" t="n"/>
      <c r="B31" s="107" t="n"/>
      <c r="C31" s="105" t="n"/>
      <c r="D31" s="92">
        <f>IF(C31="","",IFERROR(INDEX(Roster!$C$6:$C$65,IFERROR(MATCH(C31,Roster!$B$6:$B$65,0),MATCH(C31,Roster!$C$6:$C$65,0))),"not on the Roster"))</f>
        <v/>
      </c>
      <c r="E31" s="106" t="n"/>
      <c r="F31" s="104">
        <f>IF(OR(A31="",C31="",B31=""),"",IFERROR(INDEX(CHOOSE(IF(YEAR(A31)&gt;PlanYear,13,MONTH(A31)),'Jan'!$D$27:$AH$266,'Feb'!$D$27:$AH$266,'Mar'!$D$27:$AH$266,'Apr'!$D$27:$AH$266,'May'!$D$27:$AH$266,'Jun'!$D$27:$AH$266,'Jul'!$D$27:$AH$266,'Aug'!$D$27:$AH$266,'Sep'!$D$27:$AH$266,'Oct'!$D$27:$AH$266,'Nov'!$D$27:$AH$266,'Dec'!$D$27:$AH$266,'Jan (next year)'!$D$27:$AH$266),27+4*(IFERROR(MATCH(C31,Roster!$B$6:$B$65,0),MATCH(C31,Roster!$C$6:$C$65,0))-1)+MATCH(B31,{"AM","PM","NIGHT","WD"},0)-1-27+1,DAY(A31))&amp;"",""))</f>
        <v/>
      </c>
      <c r="G31" s="123">
        <f>IF(OR(A31="",C31="",B31="",E31=""),"",IFERROR(A31&amp;"|"&amp;(27+4*(IFERROR(MATCH(C31,Roster!$B$6:$B$65,0),MATCH(C31,Roster!$C$6:$C$65,0))-1)+MATCH(B31,{"AM","PM","NIGHT","WD"},0)-1),""))</f>
        <v/>
      </c>
    </row>
    <row r="32">
      <c r="A32" s="122" t="n"/>
      <c r="B32" s="107" t="n"/>
      <c r="C32" s="105" t="n"/>
      <c r="D32" s="92">
        <f>IF(C32="","",IFERROR(INDEX(Roster!$C$6:$C$65,IFERROR(MATCH(C32,Roster!$B$6:$B$65,0),MATCH(C32,Roster!$C$6:$C$65,0))),"not on the Roster"))</f>
        <v/>
      </c>
      <c r="E32" s="106" t="n"/>
      <c r="F32" s="104">
        <f>IF(OR(A32="",C32="",B32=""),"",IFERROR(INDEX(CHOOSE(IF(YEAR(A32)&gt;PlanYear,13,MONTH(A32)),'Jan'!$D$27:$AH$266,'Feb'!$D$27:$AH$266,'Mar'!$D$27:$AH$266,'Apr'!$D$27:$AH$266,'May'!$D$27:$AH$266,'Jun'!$D$27:$AH$266,'Jul'!$D$27:$AH$266,'Aug'!$D$27:$AH$266,'Sep'!$D$27:$AH$266,'Oct'!$D$27:$AH$266,'Nov'!$D$27:$AH$266,'Dec'!$D$27:$AH$266,'Jan (next year)'!$D$27:$AH$266),27+4*(IFERROR(MATCH(C32,Roster!$B$6:$B$65,0),MATCH(C32,Roster!$C$6:$C$65,0))-1)+MATCH(B32,{"AM","PM","NIGHT","WD"},0)-1-27+1,DAY(A32))&amp;"",""))</f>
        <v/>
      </c>
      <c r="G32" s="123">
        <f>IF(OR(A32="",C32="",B32="",E32=""),"",IFERROR(A32&amp;"|"&amp;(27+4*(IFERROR(MATCH(C32,Roster!$B$6:$B$65,0),MATCH(C32,Roster!$C$6:$C$65,0))-1)+MATCH(B32,{"AM","PM","NIGHT","WD"},0)-1),""))</f>
        <v/>
      </c>
    </row>
    <row r="33">
      <c r="A33" s="122" t="n"/>
      <c r="B33" s="107" t="n"/>
      <c r="C33" s="105" t="n"/>
      <c r="D33" s="92">
        <f>IF(C33="","",IFERROR(INDEX(Roster!$C$6:$C$65,IFERROR(MATCH(C33,Roster!$B$6:$B$65,0),MATCH(C33,Roster!$C$6:$C$65,0))),"not on the Roster"))</f>
        <v/>
      </c>
      <c r="E33" s="106" t="n"/>
      <c r="F33" s="104">
        <f>IF(OR(A33="",C33="",B33=""),"",IFERROR(INDEX(CHOOSE(IF(YEAR(A33)&gt;PlanYear,13,MONTH(A33)),'Jan'!$D$27:$AH$266,'Feb'!$D$27:$AH$266,'Mar'!$D$27:$AH$266,'Apr'!$D$27:$AH$266,'May'!$D$27:$AH$266,'Jun'!$D$27:$AH$266,'Jul'!$D$27:$AH$266,'Aug'!$D$27:$AH$266,'Sep'!$D$27:$AH$266,'Oct'!$D$27:$AH$266,'Nov'!$D$27:$AH$266,'Dec'!$D$27:$AH$266,'Jan (next year)'!$D$27:$AH$266),27+4*(IFERROR(MATCH(C33,Roster!$B$6:$B$65,0),MATCH(C33,Roster!$C$6:$C$65,0))-1)+MATCH(B33,{"AM","PM","NIGHT","WD"},0)-1-27+1,DAY(A33))&amp;"",""))</f>
        <v/>
      </c>
      <c r="G33" s="123">
        <f>IF(OR(A33="",C33="",B33="",E33=""),"",IFERROR(A33&amp;"|"&amp;(27+4*(IFERROR(MATCH(C33,Roster!$B$6:$B$65,0),MATCH(C33,Roster!$C$6:$C$65,0))-1)+MATCH(B33,{"AM","PM","NIGHT","WD"},0)-1),""))</f>
        <v/>
      </c>
    </row>
    <row r="34">
      <c r="A34" s="122" t="n"/>
      <c r="B34" s="107" t="n"/>
      <c r="C34" s="105" t="n"/>
      <c r="D34" s="92">
        <f>IF(C34="","",IFERROR(INDEX(Roster!$C$6:$C$65,IFERROR(MATCH(C34,Roster!$B$6:$B$65,0),MATCH(C34,Roster!$C$6:$C$65,0))),"not on the Roster"))</f>
        <v/>
      </c>
      <c r="E34" s="106" t="n"/>
      <c r="F34" s="104">
        <f>IF(OR(A34="",C34="",B34=""),"",IFERROR(INDEX(CHOOSE(IF(YEAR(A34)&gt;PlanYear,13,MONTH(A34)),'Jan'!$D$27:$AH$266,'Feb'!$D$27:$AH$266,'Mar'!$D$27:$AH$266,'Apr'!$D$27:$AH$266,'May'!$D$27:$AH$266,'Jun'!$D$27:$AH$266,'Jul'!$D$27:$AH$266,'Aug'!$D$27:$AH$266,'Sep'!$D$27:$AH$266,'Oct'!$D$27:$AH$266,'Nov'!$D$27:$AH$266,'Dec'!$D$27:$AH$266,'Jan (next year)'!$D$27:$AH$266),27+4*(IFERROR(MATCH(C34,Roster!$B$6:$B$65,0),MATCH(C34,Roster!$C$6:$C$65,0))-1)+MATCH(B34,{"AM","PM","NIGHT","WD"},0)-1-27+1,DAY(A34))&amp;"",""))</f>
        <v/>
      </c>
      <c r="G34" s="123">
        <f>IF(OR(A34="",C34="",B34="",E34=""),"",IFERROR(A34&amp;"|"&amp;(27+4*(IFERROR(MATCH(C34,Roster!$B$6:$B$65,0),MATCH(C34,Roster!$C$6:$C$65,0))-1)+MATCH(B34,{"AM","PM","NIGHT","WD"},0)-1),""))</f>
        <v/>
      </c>
    </row>
    <row r="35">
      <c r="A35" s="122" t="n"/>
      <c r="B35" s="107" t="n"/>
      <c r="C35" s="105" t="n"/>
      <c r="D35" s="92">
        <f>IF(C35="","",IFERROR(INDEX(Roster!$C$6:$C$65,IFERROR(MATCH(C35,Roster!$B$6:$B$65,0),MATCH(C35,Roster!$C$6:$C$65,0))),"not on the Roster"))</f>
        <v/>
      </c>
      <c r="E35" s="106" t="n"/>
      <c r="F35" s="104">
        <f>IF(OR(A35="",C35="",B35=""),"",IFERROR(INDEX(CHOOSE(IF(YEAR(A35)&gt;PlanYear,13,MONTH(A35)),'Jan'!$D$27:$AH$266,'Feb'!$D$27:$AH$266,'Mar'!$D$27:$AH$266,'Apr'!$D$27:$AH$266,'May'!$D$27:$AH$266,'Jun'!$D$27:$AH$266,'Jul'!$D$27:$AH$266,'Aug'!$D$27:$AH$266,'Sep'!$D$27:$AH$266,'Oct'!$D$27:$AH$266,'Nov'!$D$27:$AH$266,'Dec'!$D$27:$AH$266,'Jan (next year)'!$D$27:$AH$266),27+4*(IFERROR(MATCH(C35,Roster!$B$6:$B$65,0),MATCH(C35,Roster!$C$6:$C$65,0))-1)+MATCH(B35,{"AM","PM","NIGHT","WD"},0)-1-27+1,DAY(A35))&amp;"",""))</f>
        <v/>
      </c>
      <c r="G35" s="123">
        <f>IF(OR(A35="",C35="",B35="",E35=""),"",IFERROR(A35&amp;"|"&amp;(27+4*(IFERROR(MATCH(C35,Roster!$B$6:$B$65,0),MATCH(C35,Roster!$C$6:$C$65,0))-1)+MATCH(B35,{"AM","PM","NIGHT","WD"},0)-1),""))</f>
        <v/>
      </c>
    </row>
    <row r="36">
      <c r="A36" s="122" t="n"/>
      <c r="B36" s="107" t="n"/>
      <c r="C36" s="105" t="n"/>
      <c r="D36" s="92">
        <f>IF(C36="","",IFERROR(INDEX(Roster!$C$6:$C$65,IFERROR(MATCH(C36,Roster!$B$6:$B$65,0),MATCH(C36,Roster!$C$6:$C$65,0))),"not on the Roster"))</f>
        <v/>
      </c>
      <c r="E36" s="106" t="n"/>
      <c r="F36" s="104">
        <f>IF(OR(A36="",C36="",B36=""),"",IFERROR(INDEX(CHOOSE(IF(YEAR(A36)&gt;PlanYear,13,MONTH(A36)),'Jan'!$D$27:$AH$266,'Feb'!$D$27:$AH$266,'Mar'!$D$27:$AH$266,'Apr'!$D$27:$AH$266,'May'!$D$27:$AH$266,'Jun'!$D$27:$AH$266,'Jul'!$D$27:$AH$266,'Aug'!$D$27:$AH$266,'Sep'!$D$27:$AH$266,'Oct'!$D$27:$AH$266,'Nov'!$D$27:$AH$266,'Dec'!$D$27:$AH$266,'Jan (next year)'!$D$27:$AH$266),27+4*(IFERROR(MATCH(C36,Roster!$B$6:$B$65,0),MATCH(C36,Roster!$C$6:$C$65,0))-1)+MATCH(B36,{"AM","PM","NIGHT","WD"},0)-1-27+1,DAY(A36))&amp;"",""))</f>
        <v/>
      </c>
      <c r="G36" s="123">
        <f>IF(OR(A36="",C36="",B36="",E36=""),"",IFERROR(A36&amp;"|"&amp;(27+4*(IFERROR(MATCH(C36,Roster!$B$6:$B$65,0),MATCH(C36,Roster!$C$6:$C$65,0))-1)+MATCH(B36,{"AM","PM","NIGHT","WD"},0)-1),""))</f>
        <v/>
      </c>
    </row>
    <row r="37">
      <c r="A37" s="122" t="n"/>
      <c r="B37" s="107" t="n"/>
      <c r="C37" s="105" t="n"/>
      <c r="D37" s="92">
        <f>IF(C37="","",IFERROR(INDEX(Roster!$C$6:$C$65,IFERROR(MATCH(C37,Roster!$B$6:$B$65,0),MATCH(C37,Roster!$C$6:$C$65,0))),"not on the Roster"))</f>
        <v/>
      </c>
      <c r="E37" s="106" t="n"/>
      <c r="F37" s="104">
        <f>IF(OR(A37="",C37="",B37=""),"",IFERROR(INDEX(CHOOSE(IF(YEAR(A37)&gt;PlanYear,13,MONTH(A37)),'Jan'!$D$27:$AH$266,'Feb'!$D$27:$AH$266,'Mar'!$D$27:$AH$266,'Apr'!$D$27:$AH$266,'May'!$D$27:$AH$266,'Jun'!$D$27:$AH$266,'Jul'!$D$27:$AH$266,'Aug'!$D$27:$AH$266,'Sep'!$D$27:$AH$266,'Oct'!$D$27:$AH$266,'Nov'!$D$27:$AH$266,'Dec'!$D$27:$AH$266,'Jan (next year)'!$D$27:$AH$266),27+4*(IFERROR(MATCH(C37,Roster!$B$6:$B$65,0),MATCH(C37,Roster!$C$6:$C$65,0))-1)+MATCH(B37,{"AM","PM","NIGHT","WD"},0)-1-27+1,DAY(A37))&amp;"",""))</f>
        <v/>
      </c>
      <c r="G37" s="123">
        <f>IF(OR(A37="",C37="",B37="",E37=""),"",IFERROR(A37&amp;"|"&amp;(27+4*(IFERROR(MATCH(C37,Roster!$B$6:$B$65,0),MATCH(C37,Roster!$C$6:$C$65,0))-1)+MATCH(B37,{"AM","PM","NIGHT","WD"},0)-1),""))</f>
        <v/>
      </c>
    </row>
    <row r="38">
      <c r="A38" s="122" t="n"/>
      <c r="B38" s="107" t="n"/>
      <c r="C38" s="105" t="n"/>
      <c r="D38" s="92">
        <f>IF(C38="","",IFERROR(INDEX(Roster!$C$6:$C$65,IFERROR(MATCH(C38,Roster!$B$6:$B$65,0),MATCH(C38,Roster!$C$6:$C$65,0))),"not on the Roster"))</f>
        <v/>
      </c>
      <c r="E38" s="106" t="n"/>
      <c r="F38" s="104">
        <f>IF(OR(A38="",C38="",B38=""),"",IFERROR(INDEX(CHOOSE(IF(YEAR(A38)&gt;PlanYear,13,MONTH(A38)),'Jan'!$D$27:$AH$266,'Feb'!$D$27:$AH$266,'Mar'!$D$27:$AH$266,'Apr'!$D$27:$AH$266,'May'!$D$27:$AH$266,'Jun'!$D$27:$AH$266,'Jul'!$D$27:$AH$266,'Aug'!$D$27:$AH$266,'Sep'!$D$27:$AH$266,'Oct'!$D$27:$AH$266,'Nov'!$D$27:$AH$266,'Dec'!$D$27:$AH$266,'Jan (next year)'!$D$27:$AH$266),27+4*(IFERROR(MATCH(C38,Roster!$B$6:$B$65,0),MATCH(C38,Roster!$C$6:$C$65,0))-1)+MATCH(B38,{"AM","PM","NIGHT","WD"},0)-1-27+1,DAY(A38))&amp;"",""))</f>
        <v/>
      </c>
      <c r="G38" s="123">
        <f>IF(OR(A38="",C38="",B38="",E38=""),"",IFERROR(A38&amp;"|"&amp;(27+4*(IFERROR(MATCH(C38,Roster!$B$6:$B$65,0),MATCH(C38,Roster!$C$6:$C$65,0))-1)+MATCH(B38,{"AM","PM","NIGHT","WD"},0)-1),""))</f>
        <v/>
      </c>
    </row>
    <row r="39">
      <c r="A39" s="122" t="n"/>
      <c r="B39" s="107" t="n"/>
      <c r="C39" s="105" t="n"/>
      <c r="D39" s="92">
        <f>IF(C39="","",IFERROR(INDEX(Roster!$C$6:$C$65,IFERROR(MATCH(C39,Roster!$B$6:$B$65,0),MATCH(C39,Roster!$C$6:$C$65,0))),"not on the Roster"))</f>
        <v/>
      </c>
      <c r="E39" s="106" t="n"/>
      <c r="F39" s="104">
        <f>IF(OR(A39="",C39="",B39=""),"",IFERROR(INDEX(CHOOSE(IF(YEAR(A39)&gt;PlanYear,13,MONTH(A39)),'Jan'!$D$27:$AH$266,'Feb'!$D$27:$AH$266,'Mar'!$D$27:$AH$266,'Apr'!$D$27:$AH$266,'May'!$D$27:$AH$266,'Jun'!$D$27:$AH$266,'Jul'!$D$27:$AH$266,'Aug'!$D$27:$AH$266,'Sep'!$D$27:$AH$266,'Oct'!$D$27:$AH$266,'Nov'!$D$27:$AH$266,'Dec'!$D$27:$AH$266,'Jan (next year)'!$D$27:$AH$266),27+4*(IFERROR(MATCH(C39,Roster!$B$6:$B$65,0),MATCH(C39,Roster!$C$6:$C$65,0))-1)+MATCH(B39,{"AM","PM","NIGHT","WD"},0)-1-27+1,DAY(A39))&amp;"",""))</f>
        <v/>
      </c>
      <c r="G39" s="123">
        <f>IF(OR(A39="",C39="",B39="",E39=""),"",IFERROR(A39&amp;"|"&amp;(27+4*(IFERROR(MATCH(C39,Roster!$B$6:$B$65,0),MATCH(C39,Roster!$C$6:$C$65,0))-1)+MATCH(B39,{"AM","PM","NIGHT","WD"},0)-1),""))</f>
        <v/>
      </c>
    </row>
    <row r="40">
      <c r="A40" s="122" t="n"/>
      <c r="B40" s="107" t="n"/>
      <c r="C40" s="105" t="n"/>
      <c r="D40" s="92">
        <f>IF(C40="","",IFERROR(INDEX(Roster!$C$6:$C$65,IFERROR(MATCH(C40,Roster!$B$6:$B$65,0),MATCH(C40,Roster!$C$6:$C$65,0))),"not on the Roster"))</f>
        <v/>
      </c>
      <c r="E40" s="106" t="n"/>
      <c r="F40" s="104">
        <f>IF(OR(A40="",C40="",B40=""),"",IFERROR(INDEX(CHOOSE(IF(YEAR(A40)&gt;PlanYear,13,MONTH(A40)),'Jan'!$D$27:$AH$266,'Feb'!$D$27:$AH$266,'Mar'!$D$27:$AH$266,'Apr'!$D$27:$AH$266,'May'!$D$27:$AH$266,'Jun'!$D$27:$AH$266,'Jul'!$D$27:$AH$266,'Aug'!$D$27:$AH$266,'Sep'!$D$27:$AH$266,'Oct'!$D$27:$AH$266,'Nov'!$D$27:$AH$266,'Dec'!$D$27:$AH$266,'Jan (next year)'!$D$27:$AH$266),27+4*(IFERROR(MATCH(C40,Roster!$B$6:$B$65,0),MATCH(C40,Roster!$C$6:$C$65,0))-1)+MATCH(B40,{"AM","PM","NIGHT","WD"},0)-1-27+1,DAY(A40))&amp;"",""))</f>
        <v/>
      </c>
      <c r="G40" s="123">
        <f>IF(OR(A40="",C40="",B40="",E40=""),"",IFERROR(A40&amp;"|"&amp;(27+4*(IFERROR(MATCH(C40,Roster!$B$6:$B$65,0),MATCH(C40,Roster!$C$6:$C$65,0))-1)+MATCH(B40,{"AM","PM","NIGHT","WD"},0)-1),""))</f>
        <v/>
      </c>
    </row>
    <row r="41">
      <c r="A41" s="122" t="n"/>
      <c r="B41" s="107" t="n"/>
      <c r="C41" s="105" t="n"/>
      <c r="D41" s="92">
        <f>IF(C41="","",IFERROR(INDEX(Roster!$C$6:$C$65,IFERROR(MATCH(C41,Roster!$B$6:$B$65,0),MATCH(C41,Roster!$C$6:$C$65,0))),"not on the Roster"))</f>
        <v/>
      </c>
      <c r="E41" s="106" t="n"/>
      <c r="F41" s="104">
        <f>IF(OR(A41="",C41="",B41=""),"",IFERROR(INDEX(CHOOSE(IF(YEAR(A41)&gt;PlanYear,13,MONTH(A41)),'Jan'!$D$27:$AH$266,'Feb'!$D$27:$AH$266,'Mar'!$D$27:$AH$266,'Apr'!$D$27:$AH$266,'May'!$D$27:$AH$266,'Jun'!$D$27:$AH$266,'Jul'!$D$27:$AH$266,'Aug'!$D$27:$AH$266,'Sep'!$D$27:$AH$266,'Oct'!$D$27:$AH$266,'Nov'!$D$27:$AH$266,'Dec'!$D$27:$AH$266,'Jan (next year)'!$D$27:$AH$266),27+4*(IFERROR(MATCH(C41,Roster!$B$6:$B$65,0),MATCH(C41,Roster!$C$6:$C$65,0))-1)+MATCH(B41,{"AM","PM","NIGHT","WD"},0)-1-27+1,DAY(A41))&amp;"",""))</f>
        <v/>
      </c>
      <c r="G41" s="123">
        <f>IF(OR(A41="",C41="",B41="",E41=""),"",IFERROR(A41&amp;"|"&amp;(27+4*(IFERROR(MATCH(C41,Roster!$B$6:$B$65,0),MATCH(C41,Roster!$C$6:$C$65,0))-1)+MATCH(B41,{"AM","PM","NIGHT","WD"},0)-1),""))</f>
        <v/>
      </c>
    </row>
    <row r="42">
      <c r="A42" s="122" t="n"/>
      <c r="B42" s="107" t="n"/>
      <c r="C42" s="105" t="n"/>
      <c r="D42" s="92">
        <f>IF(C42="","",IFERROR(INDEX(Roster!$C$6:$C$65,IFERROR(MATCH(C42,Roster!$B$6:$B$65,0),MATCH(C42,Roster!$C$6:$C$65,0))),"not on the Roster"))</f>
        <v/>
      </c>
      <c r="E42" s="106" t="n"/>
      <c r="F42" s="104">
        <f>IF(OR(A42="",C42="",B42=""),"",IFERROR(INDEX(CHOOSE(IF(YEAR(A42)&gt;PlanYear,13,MONTH(A42)),'Jan'!$D$27:$AH$266,'Feb'!$D$27:$AH$266,'Mar'!$D$27:$AH$266,'Apr'!$D$27:$AH$266,'May'!$D$27:$AH$266,'Jun'!$D$27:$AH$266,'Jul'!$D$27:$AH$266,'Aug'!$D$27:$AH$266,'Sep'!$D$27:$AH$266,'Oct'!$D$27:$AH$266,'Nov'!$D$27:$AH$266,'Dec'!$D$27:$AH$266,'Jan (next year)'!$D$27:$AH$266),27+4*(IFERROR(MATCH(C42,Roster!$B$6:$B$65,0),MATCH(C42,Roster!$C$6:$C$65,0))-1)+MATCH(B42,{"AM","PM","NIGHT","WD"},0)-1-27+1,DAY(A42))&amp;"",""))</f>
        <v/>
      </c>
      <c r="G42" s="123">
        <f>IF(OR(A42="",C42="",B42="",E42=""),"",IFERROR(A42&amp;"|"&amp;(27+4*(IFERROR(MATCH(C42,Roster!$B$6:$B$65,0),MATCH(C42,Roster!$C$6:$C$65,0))-1)+MATCH(B42,{"AM","PM","NIGHT","WD"},0)-1),""))</f>
        <v/>
      </c>
    </row>
    <row r="43">
      <c r="A43" s="122" t="n"/>
      <c r="B43" s="107" t="n"/>
      <c r="C43" s="105" t="n"/>
      <c r="D43" s="92">
        <f>IF(C43="","",IFERROR(INDEX(Roster!$C$6:$C$65,IFERROR(MATCH(C43,Roster!$B$6:$B$65,0),MATCH(C43,Roster!$C$6:$C$65,0))),"not on the Roster"))</f>
        <v/>
      </c>
      <c r="E43" s="106" t="n"/>
      <c r="F43" s="104">
        <f>IF(OR(A43="",C43="",B43=""),"",IFERROR(INDEX(CHOOSE(IF(YEAR(A43)&gt;PlanYear,13,MONTH(A43)),'Jan'!$D$27:$AH$266,'Feb'!$D$27:$AH$266,'Mar'!$D$27:$AH$266,'Apr'!$D$27:$AH$266,'May'!$D$27:$AH$266,'Jun'!$D$27:$AH$266,'Jul'!$D$27:$AH$266,'Aug'!$D$27:$AH$266,'Sep'!$D$27:$AH$266,'Oct'!$D$27:$AH$266,'Nov'!$D$27:$AH$266,'Dec'!$D$27:$AH$266,'Jan (next year)'!$D$27:$AH$266),27+4*(IFERROR(MATCH(C43,Roster!$B$6:$B$65,0),MATCH(C43,Roster!$C$6:$C$65,0))-1)+MATCH(B43,{"AM","PM","NIGHT","WD"},0)-1-27+1,DAY(A43))&amp;"",""))</f>
        <v/>
      </c>
      <c r="G43" s="123">
        <f>IF(OR(A43="",C43="",B43="",E43=""),"",IFERROR(A43&amp;"|"&amp;(27+4*(IFERROR(MATCH(C43,Roster!$B$6:$B$65,0),MATCH(C43,Roster!$C$6:$C$65,0))-1)+MATCH(B43,{"AM","PM","NIGHT","WD"},0)-1),""))</f>
        <v/>
      </c>
    </row>
    <row r="44">
      <c r="A44" s="122" t="n"/>
      <c r="B44" s="107" t="n"/>
      <c r="C44" s="105" t="n"/>
      <c r="D44" s="92">
        <f>IF(C44="","",IFERROR(INDEX(Roster!$C$6:$C$65,IFERROR(MATCH(C44,Roster!$B$6:$B$65,0),MATCH(C44,Roster!$C$6:$C$65,0))),"not on the Roster"))</f>
        <v/>
      </c>
      <c r="E44" s="106" t="n"/>
      <c r="F44" s="104">
        <f>IF(OR(A44="",C44="",B44=""),"",IFERROR(INDEX(CHOOSE(IF(YEAR(A44)&gt;PlanYear,13,MONTH(A44)),'Jan'!$D$27:$AH$266,'Feb'!$D$27:$AH$266,'Mar'!$D$27:$AH$266,'Apr'!$D$27:$AH$266,'May'!$D$27:$AH$266,'Jun'!$D$27:$AH$266,'Jul'!$D$27:$AH$266,'Aug'!$D$27:$AH$266,'Sep'!$D$27:$AH$266,'Oct'!$D$27:$AH$266,'Nov'!$D$27:$AH$266,'Dec'!$D$27:$AH$266,'Jan (next year)'!$D$27:$AH$266),27+4*(IFERROR(MATCH(C44,Roster!$B$6:$B$65,0),MATCH(C44,Roster!$C$6:$C$65,0))-1)+MATCH(B44,{"AM","PM","NIGHT","WD"},0)-1-27+1,DAY(A44))&amp;"",""))</f>
        <v/>
      </c>
      <c r="G44" s="123">
        <f>IF(OR(A44="",C44="",B44="",E44=""),"",IFERROR(A44&amp;"|"&amp;(27+4*(IFERROR(MATCH(C44,Roster!$B$6:$B$65,0),MATCH(C44,Roster!$C$6:$C$65,0))-1)+MATCH(B44,{"AM","PM","NIGHT","WD"},0)-1),""))</f>
        <v/>
      </c>
    </row>
    <row r="45">
      <c r="A45" s="122" t="n"/>
      <c r="B45" s="107" t="n"/>
      <c r="C45" s="105" t="n"/>
      <c r="D45" s="92">
        <f>IF(C45="","",IFERROR(INDEX(Roster!$C$6:$C$65,IFERROR(MATCH(C45,Roster!$B$6:$B$65,0),MATCH(C45,Roster!$C$6:$C$65,0))),"not on the Roster"))</f>
        <v/>
      </c>
      <c r="E45" s="106" t="n"/>
      <c r="F45" s="104">
        <f>IF(OR(A45="",C45="",B45=""),"",IFERROR(INDEX(CHOOSE(IF(YEAR(A45)&gt;PlanYear,13,MONTH(A45)),'Jan'!$D$27:$AH$266,'Feb'!$D$27:$AH$266,'Mar'!$D$27:$AH$266,'Apr'!$D$27:$AH$266,'May'!$D$27:$AH$266,'Jun'!$D$27:$AH$266,'Jul'!$D$27:$AH$266,'Aug'!$D$27:$AH$266,'Sep'!$D$27:$AH$266,'Oct'!$D$27:$AH$266,'Nov'!$D$27:$AH$266,'Dec'!$D$27:$AH$266,'Jan (next year)'!$D$27:$AH$266),27+4*(IFERROR(MATCH(C45,Roster!$B$6:$B$65,0),MATCH(C45,Roster!$C$6:$C$65,0))-1)+MATCH(B45,{"AM","PM","NIGHT","WD"},0)-1-27+1,DAY(A45))&amp;"",""))</f>
        <v/>
      </c>
      <c r="G45" s="123">
        <f>IF(OR(A45="",C45="",B45="",E45=""),"",IFERROR(A45&amp;"|"&amp;(27+4*(IFERROR(MATCH(C45,Roster!$B$6:$B$65,0),MATCH(C45,Roster!$C$6:$C$65,0))-1)+MATCH(B45,{"AM","PM","NIGHT","WD"},0)-1),""))</f>
        <v/>
      </c>
    </row>
    <row r="46">
      <c r="A46" s="122" t="n"/>
      <c r="B46" s="107" t="n"/>
      <c r="C46" s="105" t="n"/>
      <c r="D46" s="92">
        <f>IF(C46="","",IFERROR(INDEX(Roster!$C$6:$C$65,IFERROR(MATCH(C46,Roster!$B$6:$B$65,0),MATCH(C46,Roster!$C$6:$C$65,0))),"not on the Roster"))</f>
        <v/>
      </c>
      <c r="E46" s="106" t="n"/>
      <c r="F46" s="104">
        <f>IF(OR(A46="",C46="",B46=""),"",IFERROR(INDEX(CHOOSE(IF(YEAR(A46)&gt;PlanYear,13,MONTH(A46)),'Jan'!$D$27:$AH$266,'Feb'!$D$27:$AH$266,'Mar'!$D$27:$AH$266,'Apr'!$D$27:$AH$266,'May'!$D$27:$AH$266,'Jun'!$D$27:$AH$266,'Jul'!$D$27:$AH$266,'Aug'!$D$27:$AH$266,'Sep'!$D$27:$AH$266,'Oct'!$D$27:$AH$266,'Nov'!$D$27:$AH$266,'Dec'!$D$27:$AH$266,'Jan (next year)'!$D$27:$AH$266),27+4*(IFERROR(MATCH(C46,Roster!$B$6:$B$65,0),MATCH(C46,Roster!$C$6:$C$65,0))-1)+MATCH(B46,{"AM","PM","NIGHT","WD"},0)-1-27+1,DAY(A46))&amp;"",""))</f>
        <v/>
      </c>
      <c r="G46" s="123">
        <f>IF(OR(A46="",C46="",B46="",E46=""),"",IFERROR(A46&amp;"|"&amp;(27+4*(IFERROR(MATCH(C46,Roster!$B$6:$B$65,0),MATCH(C46,Roster!$C$6:$C$65,0))-1)+MATCH(B46,{"AM","PM","NIGHT","WD"},0)-1),""))</f>
        <v/>
      </c>
    </row>
    <row r="47">
      <c r="A47" s="122" t="n"/>
      <c r="B47" s="107" t="n"/>
      <c r="C47" s="105" t="n"/>
      <c r="D47" s="92">
        <f>IF(C47="","",IFERROR(INDEX(Roster!$C$6:$C$65,IFERROR(MATCH(C47,Roster!$B$6:$B$65,0),MATCH(C47,Roster!$C$6:$C$65,0))),"not on the Roster"))</f>
        <v/>
      </c>
      <c r="E47" s="106" t="n"/>
      <c r="F47" s="104">
        <f>IF(OR(A47="",C47="",B47=""),"",IFERROR(INDEX(CHOOSE(IF(YEAR(A47)&gt;PlanYear,13,MONTH(A47)),'Jan'!$D$27:$AH$266,'Feb'!$D$27:$AH$266,'Mar'!$D$27:$AH$266,'Apr'!$D$27:$AH$266,'May'!$D$27:$AH$266,'Jun'!$D$27:$AH$266,'Jul'!$D$27:$AH$266,'Aug'!$D$27:$AH$266,'Sep'!$D$27:$AH$266,'Oct'!$D$27:$AH$266,'Nov'!$D$27:$AH$266,'Dec'!$D$27:$AH$266,'Jan (next year)'!$D$27:$AH$266),27+4*(IFERROR(MATCH(C47,Roster!$B$6:$B$65,0),MATCH(C47,Roster!$C$6:$C$65,0))-1)+MATCH(B47,{"AM","PM","NIGHT","WD"},0)-1-27+1,DAY(A47))&amp;"",""))</f>
        <v/>
      </c>
      <c r="G47" s="123">
        <f>IF(OR(A47="",C47="",B47="",E47=""),"",IFERROR(A47&amp;"|"&amp;(27+4*(IFERROR(MATCH(C47,Roster!$B$6:$B$65,0),MATCH(C47,Roster!$C$6:$C$65,0))-1)+MATCH(B47,{"AM","PM","NIGHT","WD"},0)-1),""))</f>
        <v/>
      </c>
    </row>
    <row r="48">
      <c r="A48" s="122" t="n"/>
      <c r="B48" s="107" t="n"/>
      <c r="C48" s="105" t="n"/>
      <c r="D48" s="92">
        <f>IF(C48="","",IFERROR(INDEX(Roster!$C$6:$C$65,IFERROR(MATCH(C48,Roster!$B$6:$B$65,0),MATCH(C48,Roster!$C$6:$C$65,0))),"not on the Roster"))</f>
        <v/>
      </c>
      <c r="E48" s="106" t="n"/>
      <c r="F48" s="104">
        <f>IF(OR(A48="",C48="",B48=""),"",IFERROR(INDEX(CHOOSE(IF(YEAR(A48)&gt;PlanYear,13,MONTH(A48)),'Jan'!$D$27:$AH$266,'Feb'!$D$27:$AH$266,'Mar'!$D$27:$AH$266,'Apr'!$D$27:$AH$266,'May'!$D$27:$AH$266,'Jun'!$D$27:$AH$266,'Jul'!$D$27:$AH$266,'Aug'!$D$27:$AH$266,'Sep'!$D$27:$AH$266,'Oct'!$D$27:$AH$266,'Nov'!$D$27:$AH$266,'Dec'!$D$27:$AH$266,'Jan (next year)'!$D$27:$AH$266),27+4*(IFERROR(MATCH(C48,Roster!$B$6:$B$65,0),MATCH(C48,Roster!$C$6:$C$65,0))-1)+MATCH(B48,{"AM","PM","NIGHT","WD"},0)-1-27+1,DAY(A48))&amp;"",""))</f>
        <v/>
      </c>
      <c r="G48" s="123">
        <f>IF(OR(A48="",C48="",B48="",E48=""),"",IFERROR(A48&amp;"|"&amp;(27+4*(IFERROR(MATCH(C48,Roster!$B$6:$B$65,0),MATCH(C48,Roster!$C$6:$C$65,0))-1)+MATCH(B48,{"AM","PM","NIGHT","WD"},0)-1),""))</f>
        <v/>
      </c>
    </row>
    <row r="49">
      <c r="A49" s="122" t="n"/>
      <c r="B49" s="107" t="n"/>
      <c r="C49" s="105" t="n"/>
      <c r="D49" s="92">
        <f>IF(C49="","",IFERROR(INDEX(Roster!$C$6:$C$65,IFERROR(MATCH(C49,Roster!$B$6:$B$65,0),MATCH(C49,Roster!$C$6:$C$65,0))),"not on the Roster"))</f>
        <v/>
      </c>
      <c r="E49" s="106" t="n"/>
      <c r="F49" s="104">
        <f>IF(OR(A49="",C49="",B49=""),"",IFERROR(INDEX(CHOOSE(IF(YEAR(A49)&gt;PlanYear,13,MONTH(A49)),'Jan'!$D$27:$AH$266,'Feb'!$D$27:$AH$266,'Mar'!$D$27:$AH$266,'Apr'!$D$27:$AH$266,'May'!$D$27:$AH$266,'Jun'!$D$27:$AH$266,'Jul'!$D$27:$AH$266,'Aug'!$D$27:$AH$266,'Sep'!$D$27:$AH$266,'Oct'!$D$27:$AH$266,'Nov'!$D$27:$AH$266,'Dec'!$D$27:$AH$266,'Jan (next year)'!$D$27:$AH$266),27+4*(IFERROR(MATCH(C49,Roster!$B$6:$B$65,0),MATCH(C49,Roster!$C$6:$C$65,0))-1)+MATCH(B49,{"AM","PM","NIGHT","WD"},0)-1-27+1,DAY(A49))&amp;"",""))</f>
        <v/>
      </c>
      <c r="G49" s="123">
        <f>IF(OR(A49="",C49="",B49="",E49=""),"",IFERROR(A49&amp;"|"&amp;(27+4*(IFERROR(MATCH(C49,Roster!$B$6:$B$65,0),MATCH(C49,Roster!$C$6:$C$65,0))-1)+MATCH(B49,{"AM","PM","NIGHT","WD"},0)-1),""))</f>
        <v/>
      </c>
    </row>
    <row r="50">
      <c r="A50" s="122" t="n"/>
      <c r="B50" s="107" t="n"/>
      <c r="C50" s="105" t="n"/>
      <c r="D50" s="92">
        <f>IF(C50="","",IFERROR(INDEX(Roster!$C$6:$C$65,IFERROR(MATCH(C50,Roster!$B$6:$B$65,0),MATCH(C50,Roster!$C$6:$C$65,0))),"not on the Roster"))</f>
        <v/>
      </c>
      <c r="E50" s="106" t="n"/>
      <c r="F50" s="104">
        <f>IF(OR(A50="",C50="",B50=""),"",IFERROR(INDEX(CHOOSE(IF(YEAR(A50)&gt;PlanYear,13,MONTH(A50)),'Jan'!$D$27:$AH$266,'Feb'!$D$27:$AH$266,'Mar'!$D$27:$AH$266,'Apr'!$D$27:$AH$266,'May'!$D$27:$AH$266,'Jun'!$D$27:$AH$266,'Jul'!$D$27:$AH$266,'Aug'!$D$27:$AH$266,'Sep'!$D$27:$AH$266,'Oct'!$D$27:$AH$266,'Nov'!$D$27:$AH$266,'Dec'!$D$27:$AH$266,'Jan (next year)'!$D$27:$AH$266),27+4*(IFERROR(MATCH(C50,Roster!$B$6:$B$65,0),MATCH(C50,Roster!$C$6:$C$65,0))-1)+MATCH(B50,{"AM","PM","NIGHT","WD"},0)-1-27+1,DAY(A50))&amp;"",""))</f>
        <v/>
      </c>
      <c r="G50" s="123">
        <f>IF(OR(A50="",C50="",B50="",E50=""),"",IFERROR(A50&amp;"|"&amp;(27+4*(IFERROR(MATCH(C50,Roster!$B$6:$B$65,0),MATCH(C50,Roster!$C$6:$C$65,0))-1)+MATCH(B50,{"AM","PM","NIGHT","WD"},0)-1),""))</f>
        <v/>
      </c>
    </row>
    <row r="51">
      <c r="A51" s="122" t="n"/>
      <c r="B51" s="107" t="n"/>
      <c r="C51" s="105" t="n"/>
      <c r="D51" s="92">
        <f>IF(C51="","",IFERROR(INDEX(Roster!$C$6:$C$65,IFERROR(MATCH(C51,Roster!$B$6:$B$65,0),MATCH(C51,Roster!$C$6:$C$65,0))),"not on the Roster"))</f>
        <v/>
      </c>
      <c r="E51" s="106" t="n"/>
      <c r="F51" s="104">
        <f>IF(OR(A51="",C51="",B51=""),"",IFERROR(INDEX(CHOOSE(IF(YEAR(A51)&gt;PlanYear,13,MONTH(A51)),'Jan'!$D$27:$AH$266,'Feb'!$D$27:$AH$266,'Mar'!$D$27:$AH$266,'Apr'!$D$27:$AH$266,'May'!$D$27:$AH$266,'Jun'!$D$27:$AH$266,'Jul'!$D$27:$AH$266,'Aug'!$D$27:$AH$266,'Sep'!$D$27:$AH$266,'Oct'!$D$27:$AH$266,'Nov'!$D$27:$AH$266,'Dec'!$D$27:$AH$266,'Jan (next year)'!$D$27:$AH$266),27+4*(IFERROR(MATCH(C51,Roster!$B$6:$B$65,0),MATCH(C51,Roster!$C$6:$C$65,0))-1)+MATCH(B51,{"AM","PM","NIGHT","WD"},0)-1-27+1,DAY(A51))&amp;"",""))</f>
        <v/>
      </c>
      <c r="G51" s="123">
        <f>IF(OR(A51="",C51="",B51="",E51=""),"",IFERROR(A51&amp;"|"&amp;(27+4*(IFERROR(MATCH(C51,Roster!$B$6:$B$65,0),MATCH(C51,Roster!$C$6:$C$65,0))-1)+MATCH(B51,{"AM","PM","NIGHT","WD"},0)-1),""))</f>
        <v/>
      </c>
    </row>
    <row r="52">
      <c r="A52" s="122" t="n"/>
      <c r="B52" s="107" t="n"/>
      <c r="C52" s="105" t="n"/>
      <c r="D52" s="92">
        <f>IF(C52="","",IFERROR(INDEX(Roster!$C$6:$C$65,IFERROR(MATCH(C52,Roster!$B$6:$B$65,0),MATCH(C52,Roster!$C$6:$C$65,0))),"not on the Roster"))</f>
        <v/>
      </c>
      <c r="E52" s="106" t="n"/>
      <c r="F52" s="104">
        <f>IF(OR(A52="",C52="",B52=""),"",IFERROR(INDEX(CHOOSE(IF(YEAR(A52)&gt;PlanYear,13,MONTH(A52)),'Jan'!$D$27:$AH$266,'Feb'!$D$27:$AH$266,'Mar'!$D$27:$AH$266,'Apr'!$D$27:$AH$266,'May'!$D$27:$AH$266,'Jun'!$D$27:$AH$266,'Jul'!$D$27:$AH$266,'Aug'!$D$27:$AH$266,'Sep'!$D$27:$AH$266,'Oct'!$D$27:$AH$266,'Nov'!$D$27:$AH$266,'Dec'!$D$27:$AH$266,'Jan (next year)'!$D$27:$AH$266),27+4*(IFERROR(MATCH(C52,Roster!$B$6:$B$65,0),MATCH(C52,Roster!$C$6:$C$65,0))-1)+MATCH(B52,{"AM","PM","NIGHT","WD"},0)-1-27+1,DAY(A52))&amp;"",""))</f>
        <v/>
      </c>
      <c r="G52" s="123">
        <f>IF(OR(A52="",C52="",B52="",E52=""),"",IFERROR(A52&amp;"|"&amp;(27+4*(IFERROR(MATCH(C52,Roster!$B$6:$B$65,0),MATCH(C52,Roster!$C$6:$C$65,0))-1)+MATCH(B52,{"AM","PM","NIGHT","WD"},0)-1),""))</f>
        <v/>
      </c>
    </row>
    <row r="53">
      <c r="A53" s="122" t="n"/>
      <c r="B53" s="107" t="n"/>
      <c r="C53" s="105" t="n"/>
      <c r="D53" s="92">
        <f>IF(C53="","",IFERROR(INDEX(Roster!$C$6:$C$65,IFERROR(MATCH(C53,Roster!$B$6:$B$65,0),MATCH(C53,Roster!$C$6:$C$65,0))),"not on the Roster"))</f>
        <v/>
      </c>
      <c r="E53" s="106" t="n"/>
      <c r="F53" s="104">
        <f>IF(OR(A53="",C53="",B53=""),"",IFERROR(INDEX(CHOOSE(IF(YEAR(A53)&gt;PlanYear,13,MONTH(A53)),'Jan'!$D$27:$AH$266,'Feb'!$D$27:$AH$266,'Mar'!$D$27:$AH$266,'Apr'!$D$27:$AH$266,'May'!$D$27:$AH$266,'Jun'!$D$27:$AH$266,'Jul'!$D$27:$AH$266,'Aug'!$D$27:$AH$266,'Sep'!$D$27:$AH$266,'Oct'!$D$27:$AH$266,'Nov'!$D$27:$AH$266,'Dec'!$D$27:$AH$266,'Jan (next year)'!$D$27:$AH$266),27+4*(IFERROR(MATCH(C53,Roster!$B$6:$B$65,0),MATCH(C53,Roster!$C$6:$C$65,0))-1)+MATCH(B53,{"AM","PM","NIGHT","WD"},0)-1-27+1,DAY(A53))&amp;"",""))</f>
        <v/>
      </c>
      <c r="G53" s="123">
        <f>IF(OR(A53="",C53="",B53="",E53=""),"",IFERROR(A53&amp;"|"&amp;(27+4*(IFERROR(MATCH(C53,Roster!$B$6:$B$65,0),MATCH(C53,Roster!$C$6:$C$65,0))-1)+MATCH(B53,{"AM","PM","NIGHT","WD"},0)-1),""))</f>
        <v/>
      </c>
    </row>
    <row r="54">
      <c r="A54" s="122" t="n"/>
      <c r="B54" s="107" t="n"/>
      <c r="C54" s="105" t="n"/>
      <c r="D54" s="92">
        <f>IF(C54="","",IFERROR(INDEX(Roster!$C$6:$C$65,IFERROR(MATCH(C54,Roster!$B$6:$B$65,0),MATCH(C54,Roster!$C$6:$C$65,0))),"not on the Roster"))</f>
        <v/>
      </c>
      <c r="E54" s="106" t="n"/>
      <c r="F54" s="104">
        <f>IF(OR(A54="",C54="",B54=""),"",IFERROR(INDEX(CHOOSE(IF(YEAR(A54)&gt;PlanYear,13,MONTH(A54)),'Jan'!$D$27:$AH$266,'Feb'!$D$27:$AH$266,'Mar'!$D$27:$AH$266,'Apr'!$D$27:$AH$266,'May'!$D$27:$AH$266,'Jun'!$D$27:$AH$266,'Jul'!$D$27:$AH$266,'Aug'!$D$27:$AH$266,'Sep'!$D$27:$AH$266,'Oct'!$D$27:$AH$266,'Nov'!$D$27:$AH$266,'Dec'!$D$27:$AH$266,'Jan (next year)'!$D$27:$AH$266),27+4*(IFERROR(MATCH(C54,Roster!$B$6:$B$65,0),MATCH(C54,Roster!$C$6:$C$65,0))-1)+MATCH(B54,{"AM","PM","NIGHT","WD"},0)-1-27+1,DAY(A54))&amp;"",""))</f>
        <v/>
      </c>
      <c r="G54" s="123">
        <f>IF(OR(A54="",C54="",B54="",E54=""),"",IFERROR(A54&amp;"|"&amp;(27+4*(IFERROR(MATCH(C54,Roster!$B$6:$B$65,0),MATCH(C54,Roster!$C$6:$C$65,0))-1)+MATCH(B54,{"AM","PM","NIGHT","WD"},0)-1),""))</f>
        <v/>
      </c>
    </row>
    <row r="55">
      <c r="A55" s="122" t="n"/>
      <c r="B55" s="107" t="n"/>
      <c r="C55" s="105" t="n"/>
      <c r="D55" s="92">
        <f>IF(C55="","",IFERROR(INDEX(Roster!$C$6:$C$65,IFERROR(MATCH(C55,Roster!$B$6:$B$65,0),MATCH(C55,Roster!$C$6:$C$65,0))),"not on the Roster"))</f>
        <v/>
      </c>
      <c r="E55" s="106" t="n"/>
      <c r="F55" s="104">
        <f>IF(OR(A55="",C55="",B55=""),"",IFERROR(INDEX(CHOOSE(IF(YEAR(A55)&gt;PlanYear,13,MONTH(A55)),'Jan'!$D$27:$AH$266,'Feb'!$D$27:$AH$266,'Mar'!$D$27:$AH$266,'Apr'!$D$27:$AH$266,'May'!$D$27:$AH$266,'Jun'!$D$27:$AH$266,'Jul'!$D$27:$AH$266,'Aug'!$D$27:$AH$266,'Sep'!$D$27:$AH$266,'Oct'!$D$27:$AH$266,'Nov'!$D$27:$AH$266,'Dec'!$D$27:$AH$266,'Jan (next year)'!$D$27:$AH$266),27+4*(IFERROR(MATCH(C55,Roster!$B$6:$B$65,0),MATCH(C55,Roster!$C$6:$C$65,0))-1)+MATCH(B55,{"AM","PM","NIGHT","WD"},0)-1-27+1,DAY(A55))&amp;"",""))</f>
        <v/>
      </c>
      <c r="G55" s="123">
        <f>IF(OR(A55="",C55="",B55="",E55=""),"",IFERROR(A55&amp;"|"&amp;(27+4*(IFERROR(MATCH(C55,Roster!$B$6:$B$65,0),MATCH(C55,Roster!$C$6:$C$65,0))-1)+MATCH(B55,{"AM","PM","NIGHT","WD"},0)-1),""))</f>
        <v/>
      </c>
    </row>
    <row r="56">
      <c r="A56" s="122" t="n"/>
      <c r="B56" s="107" t="n"/>
      <c r="C56" s="105" t="n"/>
      <c r="D56" s="92">
        <f>IF(C56="","",IFERROR(INDEX(Roster!$C$6:$C$65,IFERROR(MATCH(C56,Roster!$B$6:$B$65,0),MATCH(C56,Roster!$C$6:$C$65,0))),"not on the Roster"))</f>
        <v/>
      </c>
      <c r="E56" s="106" t="n"/>
      <c r="F56" s="104">
        <f>IF(OR(A56="",C56="",B56=""),"",IFERROR(INDEX(CHOOSE(IF(YEAR(A56)&gt;PlanYear,13,MONTH(A56)),'Jan'!$D$27:$AH$266,'Feb'!$D$27:$AH$266,'Mar'!$D$27:$AH$266,'Apr'!$D$27:$AH$266,'May'!$D$27:$AH$266,'Jun'!$D$27:$AH$266,'Jul'!$D$27:$AH$266,'Aug'!$D$27:$AH$266,'Sep'!$D$27:$AH$266,'Oct'!$D$27:$AH$266,'Nov'!$D$27:$AH$266,'Dec'!$D$27:$AH$266,'Jan (next year)'!$D$27:$AH$266),27+4*(IFERROR(MATCH(C56,Roster!$B$6:$B$65,0),MATCH(C56,Roster!$C$6:$C$65,0))-1)+MATCH(B56,{"AM","PM","NIGHT","WD"},0)-1-27+1,DAY(A56))&amp;"",""))</f>
        <v/>
      </c>
      <c r="G56" s="123">
        <f>IF(OR(A56="",C56="",B56="",E56=""),"",IFERROR(A56&amp;"|"&amp;(27+4*(IFERROR(MATCH(C56,Roster!$B$6:$B$65,0),MATCH(C56,Roster!$C$6:$C$65,0))-1)+MATCH(B56,{"AM","PM","NIGHT","WD"},0)-1),""))</f>
        <v/>
      </c>
    </row>
    <row r="57">
      <c r="A57" s="122" t="n"/>
      <c r="B57" s="107" t="n"/>
      <c r="C57" s="105" t="n"/>
      <c r="D57" s="92">
        <f>IF(C57="","",IFERROR(INDEX(Roster!$C$6:$C$65,IFERROR(MATCH(C57,Roster!$B$6:$B$65,0),MATCH(C57,Roster!$C$6:$C$65,0))),"not on the Roster"))</f>
        <v/>
      </c>
      <c r="E57" s="106" t="n"/>
      <c r="F57" s="104">
        <f>IF(OR(A57="",C57="",B57=""),"",IFERROR(INDEX(CHOOSE(IF(YEAR(A57)&gt;PlanYear,13,MONTH(A57)),'Jan'!$D$27:$AH$266,'Feb'!$D$27:$AH$266,'Mar'!$D$27:$AH$266,'Apr'!$D$27:$AH$266,'May'!$D$27:$AH$266,'Jun'!$D$27:$AH$266,'Jul'!$D$27:$AH$266,'Aug'!$D$27:$AH$266,'Sep'!$D$27:$AH$266,'Oct'!$D$27:$AH$266,'Nov'!$D$27:$AH$266,'Dec'!$D$27:$AH$266,'Jan (next year)'!$D$27:$AH$266),27+4*(IFERROR(MATCH(C57,Roster!$B$6:$B$65,0),MATCH(C57,Roster!$C$6:$C$65,0))-1)+MATCH(B57,{"AM","PM","NIGHT","WD"},0)-1-27+1,DAY(A57))&amp;"",""))</f>
        <v/>
      </c>
      <c r="G57" s="123">
        <f>IF(OR(A57="",C57="",B57="",E57=""),"",IFERROR(A57&amp;"|"&amp;(27+4*(IFERROR(MATCH(C57,Roster!$B$6:$B$65,0),MATCH(C57,Roster!$C$6:$C$65,0))-1)+MATCH(B57,{"AM","PM","NIGHT","WD"},0)-1),""))</f>
        <v/>
      </c>
    </row>
    <row r="58">
      <c r="A58" s="122" t="n"/>
      <c r="B58" s="107" t="n"/>
      <c r="C58" s="105" t="n"/>
      <c r="D58" s="92">
        <f>IF(C58="","",IFERROR(INDEX(Roster!$C$6:$C$65,IFERROR(MATCH(C58,Roster!$B$6:$B$65,0),MATCH(C58,Roster!$C$6:$C$65,0))),"not on the Roster"))</f>
        <v/>
      </c>
      <c r="E58" s="106" t="n"/>
      <c r="F58" s="104">
        <f>IF(OR(A58="",C58="",B58=""),"",IFERROR(INDEX(CHOOSE(IF(YEAR(A58)&gt;PlanYear,13,MONTH(A58)),'Jan'!$D$27:$AH$266,'Feb'!$D$27:$AH$266,'Mar'!$D$27:$AH$266,'Apr'!$D$27:$AH$266,'May'!$D$27:$AH$266,'Jun'!$D$27:$AH$266,'Jul'!$D$27:$AH$266,'Aug'!$D$27:$AH$266,'Sep'!$D$27:$AH$266,'Oct'!$D$27:$AH$266,'Nov'!$D$27:$AH$266,'Dec'!$D$27:$AH$266,'Jan (next year)'!$D$27:$AH$266),27+4*(IFERROR(MATCH(C58,Roster!$B$6:$B$65,0),MATCH(C58,Roster!$C$6:$C$65,0))-1)+MATCH(B58,{"AM","PM","NIGHT","WD"},0)-1-27+1,DAY(A58))&amp;"",""))</f>
        <v/>
      </c>
      <c r="G58" s="123">
        <f>IF(OR(A58="",C58="",B58="",E58=""),"",IFERROR(A58&amp;"|"&amp;(27+4*(IFERROR(MATCH(C58,Roster!$B$6:$B$65,0),MATCH(C58,Roster!$C$6:$C$65,0))-1)+MATCH(B58,{"AM","PM","NIGHT","WD"},0)-1),""))</f>
        <v/>
      </c>
    </row>
    <row r="59">
      <c r="A59" s="122" t="n"/>
      <c r="B59" s="107" t="n"/>
      <c r="C59" s="105" t="n"/>
      <c r="D59" s="92">
        <f>IF(C59="","",IFERROR(INDEX(Roster!$C$6:$C$65,IFERROR(MATCH(C59,Roster!$B$6:$B$65,0),MATCH(C59,Roster!$C$6:$C$65,0))),"not on the Roster"))</f>
        <v/>
      </c>
      <c r="E59" s="106" t="n"/>
      <c r="F59" s="104">
        <f>IF(OR(A59="",C59="",B59=""),"",IFERROR(INDEX(CHOOSE(IF(YEAR(A59)&gt;PlanYear,13,MONTH(A59)),'Jan'!$D$27:$AH$266,'Feb'!$D$27:$AH$266,'Mar'!$D$27:$AH$266,'Apr'!$D$27:$AH$266,'May'!$D$27:$AH$266,'Jun'!$D$27:$AH$266,'Jul'!$D$27:$AH$266,'Aug'!$D$27:$AH$266,'Sep'!$D$27:$AH$266,'Oct'!$D$27:$AH$266,'Nov'!$D$27:$AH$266,'Dec'!$D$27:$AH$266,'Jan (next year)'!$D$27:$AH$266),27+4*(IFERROR(MATCH(C59,Roster!$B$6:$B$65,0),MATCH(C59,Roster!$C$6:$C$65,0))-1)+MATCH(B59,{"AM","PM","NIGHT","WD"},0)-1-27+1,DAY(A59))&amp;"",""))</f>
        <v/>
      </c>
      <c r="G59" s="123">
        <f>IF(OR(A59="",C59="",B59="",E59=""),"",IFERROR(A59&amp;"|"&amp;(27+4*(IFERROR(MATCH(C59,Roster!$B$6:$B$65,0),MATCH(C59,Roster!$C$6:$C$65,0))-1)+MATCH(B59,{"AM","PM","NIGHT","WD"},0)-1),""))</f>
        <v/>
      </c>
    </row>
    <row r="60">
      <c r="A60" s="122" t="n"/>
      <c r="B60" s="107" t="n"/>
      <c r="C60" s="105" t="n"/>
      <c r="D60" s="92">
        <f>IF(C60="","",IFERROR(INDEX(Roster!$C$6:$C$65,IFERROR(MATCH(C60,Roster!$B$6:$B$65,0),MATCH(C60,Roster!$C$6:$C$65,0))),"not on the Roster"))</f>
        <v/>
      </c>
      <c r="E60" s="106" t="n"/>
      <c r="F60" s="104">
        <f>IF(OR(A60="",C60="",B60=""),"",IFERROR(INDEX(CHOOSE(IF(YEAR(A60)&gt;PlanYear,13,MONTH(A60)),'Jan'!$D$27:$AH$266,'Feb'!$D$27:$AH$266,'Mar'!$D$27:$AH$266,'Apr'!$D$27:$AH$266,'May'!$D$27:$AH$266,'Jun'!$D$27:$AH$266,'Jul'!$D$27:$AH$266,'Aug'!$D$27:$AH$266,'Sep'!$D$27:$AH$266,'Oct'!$D$27:$AH$266,'Nov'!$D$27:$AH$266,'Dec'!$D$27:$AH$266,'Jan (next year)'!$D$27:$AH$266),27+4*(IFERROR(MATCH(C60,Roster!$B$6:$B$65,0),MATCH(C60,Roster!$C$6:$C$65,0))-1)+MATCH(B60,{"AM","PM","NIGHT","WD"},0)-1-27+1,DAY(A60))&amp;"",""))</f>
        <v/>
      </c>
      <c r="G60" s="123">
        <f>IF(OR(A60="",C60="",B60="",E60=""),"",IFERROR(A60&amp;"|"&amp;(27+4*(IFERROR(MATCH(C60,Roster!$B$6:$B$65,0),MATCH(C60,Roster!$C$6:$C$65,0))-1)+MATCH(B60,{"AM","PM","NIGHT","WD"},0)-1),""))</f>
        <v/>
      </c>
    </row>
    <row r="61">
      <c r="A61" s="122" t="n"/>
      <c r="B61" s="107" t="n"/>
      <c r="C61" s="105" t="n"/>
      <c r="D61" s="92">
        <f>IF(C61="","",IFERROR(INDEX(Roster!$C$6:$C$65,IFERROR(MATCH(C61,Roster!$B$6:$B$65,0),MATCH(C61,Roster!$C$6:$C$65,0))),"not on the Roster"))</f>
        <v/>
      </c>
      <c r="E61" s="106" t="n"/>
      <c r="F61" s="104">
        <f>IF(OR(A61="",C61="",B61=""),"",IFERROR(INDEX(CHOOSE(IF(YEAR(A61)&gt;PlanYear,13,MONTH(A61)),'Jan'!$D$27:$AH$266,'Feb'!$D$27:$AH$266,'Mar'!$D$27:$AH$266,'Apr'!$D$27:$AH$266,'May'!$D$27:$AH$266,'Jun'!$D$27:$AH$266,'Jul'!$D$27:$AH$266,'Aug'!$D$27:$AH$266,'Sep'!$D$27:$AH$266,'Oct'!$D$27:$AH$266,'Nov'!$D$27:$AH$266,'Dec'!$D$27:$AH$266,'Jan (next year)'!$D$27:$AH$266),27+4*(IFERROR(MATCH(C61,Roster!$B$6:$B$65,0),MATCH(C61,Roster!$C$6:$C$65,0))-1)+MATCH(B61,{"AM","PM","NIGHT","WD"},0)-1-27+1,DAY(A61))&amp;"",""))</f>
        <v/>
      </c>
      <c r="G61" s="123">
        <f>IF(OR(A61="",C61="",B61="",E61=""),"",IFERROR(A61&amp;"|"&amp;(27+4*(IFERROR(MATCH(C61,Roster!$B$6:$B$65,0),MATCH(C61,Roster!$C$6:$C$65,0))-1)+MATCH(B61,{"AM","PM","NIGHT","WD"},0)-1),""))</f>
        <v/>
      </c>
    </row>
    <row r="62">
      <c r="A62" s="122" t="n"/>
      <c r="B62" s="107" t="n"/>
      <c r="C62" s="105" t="n"/>
      <c r="D62" s="92">
        <f>IF(C62="","",IFERROR(INDEX(Roster!$C$6:$C$65,IFERROR(MATCH(C62,Roster!$B$6:$B$65,0),MATCH(C62,Roster!$C$6:$C$65,0))),"not on the Roster"))</f>
        <v/>
      </c>
      <c r="E62" s="106" t="n"/>
      <c r="F62" s="104">
        <f>IF(OR(A62="",C62="",B62=""),"",IFERROR(INDEX(CHOOSE(IF(YEAR(A62)&gt;PlanYear,13,MONTH(A62)),'Jan'!$D$27:$AH$266,'Feb'!$D$27:$AH$266,'Mar'!$D$27:$AH$266,'Apr'!$D$27:$AH$266,'May'!$D$27:$AH$266,'Jun'!$D$27:$AH$266,'Jul'!$D$27:$AH$266,'Aug'!$D$27:$AH$266,'Sep'!$D$27:$AH$266,'Oct'!$D$27:$AH$266,'Nov'!$D$27:$AH$266,'Dec'!$D$27:$AH$266,'Jan (next year)'!$D$27:$AH$266),27+4*(IFERROR(MATCH(C62,Roster!$B$6:$B$65,0),MATCH(C62,Roster!$C$6:$C$65,0))-1)+MATCH(B62,{"AM","PM","NIGHT","WD"},0)-1-27+1,DAY(A62))&amp;"",""))</f>
        <v/>
      </c>
      <c r="G62" s="123">
        <f>IF(OR(A62="",C62="",B62="",E62=""),"",IFERROR(A62&amp;"|"&amp;(27+4*(IFERROR(MATCH(C62,Roster!$B$6:$B$65,0),MATCH(C62,Roster!$C$6:$C$65,0))-1)+MATCH(B62,{"AM","PM","NIGHT","WD"},0)-1),""))</f>
        <v/>
      </c>
    </row>
    <row r="63">
      <c r="A63" s="122" t="n"/>
      <c r="B63" s="107" t="n"/>
      <c r="C63" s="105" t="n"/>
      <c r="D63" s="92">
        <f>IF(C63="","",IFERROR(INDEX(Roster!$C$6:$C$65,IFERROR(MATCH(C63,Roster!$B$6:$B$65,0),MATCH(C63,Roster!$C$6:$C$65,0))),"not on the Roster"))</f>
        <v/>
      </c>
      <c r="E63" s="106" t="n"/>
      <c r="F63" s="104">
        <f>IF(OR(A63="",C63="",B63=""),"",IFERROR(INDEX(CHOOSE(IF(YEAR(A63)&gt;PlanYear,13,MONTH(A63)),'Jan'!$D$27:$AH$266,'Feb'!$D$27:$AH$266,'Mar'!$D$27:$AH$266,'Apr'!$D$27:$AH$266,'May'!$D$27:$AH$266,'Jun'!$D$27:$AH$266,'Jul'!$D$27:$AH$266,'Aug'!$D$27:$AH$266,'Sep'!$D$27:$AH$266,'Oct'!$D$27:$AH$266,'Nov'!$D$27:$AH$266,'Dec'!$D$27:$AH$266,'Jan (next year)'!$D$27:$AH$266),27+4*(IFERROR(MATCH(C63,Roster!$B$6:$B$65,0),MATCH(C63,Roster!$C$6:$C$65,0))-1)+MATCH(B63,{"AM","PM","NIGHT","WD"},0)-1-27+1,DAY(A63))&amp;"",""))</f>
        <v/>
      </c>
      <c r="G63" s="123">
        <f>IF(OR(A63="",C63="",B63="",E63=""),"",IFERROR(A63&amp;"|"&amp;(27+4*(IFERROR(MATCH(C63,Roster!$B$6:$B$65,0),MATCH(C63,Roster!$C$6:$C$65,0))-1)+MATCH(B63,{"AM","PM","NIGHT","WD"},0)-1),""))</f>
        <v/>
      </c>
    </row>
    <row r="64">
      <c r="A64" s="122" t="n"/>
      <c r="B64" s="107" t="n"/>
      <c r="C64" s="105" t="n"/>
      <c r="D64" s="92">
        <f>IF(C64="","",IFERROR(INDEX(Roster!$C$6:$C$65,IFERROR(MATCH(C64,Roster!$B$6:$B$65,0),MATCH(C64,Roster!$C$6:$C$65,0))),"not on the Roster"))</f>
        <v/>
      </c>
      <c r="E64" s="106" t="n"/>
      <c r="F64" s="104">
        <f>IF(OR(A64="",C64="",B64=""),"",IFERROR(INDEX(CHOOSE(IF(YEAR(A64)&gt;PlanYear,13,MONTH(A64)),'Jan'!$D$27:$AH$266,'Feb'!$D$27:$AH$266,'Mar'!$D$27:$AH$266,'Apr'!$D$27:$AH$266,'May'!$D$27:$AH$266,'Jun'!$D$27:$AH$266,'Jul'!$D$27:$AH$266,'Aug'!$D$27:$AH$266,'Sep'!$D$27:$AH$266,'Oct'!$D$27:$AH$266,'Nov'!$D$27:$AH$266,'Dec'!$D$27:$AH$266,'Jan (next year)'!$D$27:$AH$266),27+4*(IFERROR(MATCH(C64,Roster!$B$6:$B$65,0),MATCH(C64,Roster!$C$6:$C$65,0))-1)+MATCH(B64,{"AM","PM","NIGHT","WD"},0)-1-27+1,DAY(A64))&amp;"",""))</f>
        <v/>
      </c>
      <c r="G64" s="123">
        <f>IF(OR(A64="",C64="",B64="",E64=""),"",IFERROR(A64&amp;"|"&amp;(27+4*(IFERROR(MATCH(C64,Roster!$B$6:$B$65,0),MATCH(C64,Roster!$C$6:$C$65,0))-1)+MATCH(B64,{"AM","PM","NIGHT","WD"},0)-1),""))</f>
        <v/>
      </c>
    </row>
    <row r="65">
      <c r="A65" s="122" t="n"/>
      <c r="B65" s="107" t="n"/>
      <c r="C65" s="105" t="n"/>
      <c r="D65" s="92">
        <f>IF(C65="","",IFERROR(INDEX(Roster!$C$6:$C$65,IFERROR(MATCH(C65,Roster!$B$6:$B$65,0),MATCH(C65,Roster!$C$6:$C$65,0))),"not on the Roster"))</f>
        <v/>
      </c>
      <c r="E65" s="106" t="n"/>
      <c r="F65" s="104">
        <f>IF(OR(A65="",C65="",B65=""),"",IFERROR(INDEX(CHOOSE(IF(YEAR(A65)&gt;PlanYear,13,MONTH(A65)),'Jan'!$D$27:$AH$266,'Feb'!$D$27:$AH$266,'Mar'!$D$27:$AH$266,'Apr'!$D$27:$AH$266,'May'!$D$27:$AH$266,'Jun'!$D$27:$AH$266,'Jul'!$D$27:$AH$266,'Aug'!$D$27:$AH$266,'Sep'!$D$27:$AH$266,'Oct'!$D$27:$AH$266,'Nov'!$D$27:$AH$266,'Dec'!$D$27:$AH$266,'Jan (next year)'!$D$27:$AH$266),27+4*(IFERROR(MATCH(C65,Roster!$B$6:$B$65,0),MATCH(C65,Roster!$C$6:$C$65,0))-1)+MATCH(B65,{"AM","PM","NIGHT","WD"},0)-1-27+1,DAY(A65))&amp;"",""))</f>
        <v/>
      </c>
      <c r="G65" s="123">
        <f>IF(OR(A65="",C65="",B65="",E65=""),"",IFERROR(A65&amp;"|"&amp;(27+4*(IFERROR(MATCH(C65,Roster!$B$6:$B$65,0),MATCH(C65,Roster!$C$6:$C$65,0))-1)+MATCH(B65,{"AM","PM","NIGHT","WD"},0)-1),""))</f>
        <v/>
      </c>
    </row>
    <row r="66">
      <c r="A66" s="122" t="n"/>
      <c r="B66" s="107" t="n"/>
      <c r="C66" s="105" t="n"/>
      <c r="D66" s="92">
        <f>IF(C66="","",IFERROR(INDEX(Roster!$C$6:$C$65,IFERROR(MATCH(C66,Roster!$B$6:$B$65,0),MATCH(C66,Roster!$C$6:$C$65,0))),"not on the Roster"))</f>
        <v/>
      </c>
      <c r="E66" s="106" t="n"/>
      <c r="F66" s="104">
        <f>IF(OR(A66="",C66="",B66=""),"",IFERROR(INDEX(CHOOSE(IF(YEAR(A66)&gt;PlanYear,13,MONTH(A66)),'Jan'!$D$27:$AH$266,'Feb'!$D$27:$AH$266,'Mar'!$D$27:$AH$266,'Apr'!$D$27:$AH$266,'May'!$D$27:$AH$266,'Jun'!$D$27:$AH$266,'Jul'!$D$27:$AH$266,'Aug'!$D$27:$AH$266,'Sep'!$D$27:$AH$266,'Oct'!$D$27:$AH$266,'Nov'!$D$27:$AH$266,'Dec'!$D$27:$AH$266,'Jan (next year)'!$D$27:$AH$266),27+4*(IFERROR(MATCH(C66,Roster!$B$6:$B$65,0),MATCH(C66,Roster!$C$6:$C$65,0))-1)+MATCH(B66,{"AM","PM","NIGHT","WD"},0)-1-27+1,DAY(A66))&amp;"",""))</f>
        <v/>
      </c>
      <c r="G66" s="123">
        <f>IF(OR(A66="",C66="",B66="",E66=""),"",IFERROR(A66&amp;"|"&amp;(27+4*(IFERROR(MATCH(C66,Roster!$B$6:$B$65,0),MATCH(C66,Roster!$C$6:$C$65,0))-1)+MATCH(B66,{"AM","PM","NIGHT","WD"},0)-1),""))</f>
        <v/>
      </c>
    </row>
    <row r="67">
      <c r="A67" s="122" t="n"/>
      <c r="B67" s="107" t="n"/>
      <c r="C67" s="105" t="n"/>
      <c r="D67" s="92">
        <f>IF(C67="","",IFERROR(INDEX(Roster!$C$6:$C$65,IFERROR(MATCH(C67,Roster!$B$6:$B$65,0),MATCH(C67,Roster!$C$6:$C$65,0))),"not on the Roster"))</f>
        <v/>
      </c>
      <c r="E67" s="106" t="n"/>
      <c r="F67" s="104">
        <f>IF(OR(A67="",C67="",B67=""),"",IFERROR(INDEX(CHOOSE(IF(YEAR(A67)&gt;PlanYear,13,MONTH(A67)),'Jan'!$D$27:$AH$266,'Feb'!$D$27:$AH$266,'Mar'!$D$27:$AH$266,'Apr'!$D$27:$AH$266,'May'!$D$27:$AH$266,'Jun'!$D$27:$AH$266,'Jul'!$D$27:$AH$266,'Aug'!$D$27:$AH$266,'Sep'!$D$27:$AH$266,'Oct'!$D$27:$AH$266,'Nov'!$D$27:$AH$266,'Dec'!$D$27:$AH$266,'Jan (next year)'!$D$27:$AH$266),27+4*(IFERROR(MATCH(C67,Roster!$B$6:$B$65,0),MATCH(C67,Roster!$C$6:$C$65,0))-1)+MATCH(B67,{"AM","PM","NIGHT","WD"},0)-1-27+1,DAY(A67))&amp;"",""))</f>
        <v/>
      </c>
      <c r="G67" s="123">
        <f>IF(OR(A67="",C67="",B67="",E67=""),"",IFERROR(A67&amp;"|"&amp;(27+4*(IFERROR(MATCH(C67,Roster!$B$6:$B$65,0),MATCH(C67,Roster!$C$6:$C$65,0))-1)+MATCH(B67,{"AM","PM","NIGHT","WD"},0)-1),""))</f>
        <v/>
      </c>
    </row>
    <row r="68">
      <c r="A68" s="122" t="n"/>
      <c r="B68" s="107" t="n"/>
      <c r="C68" s="105" t="n"/>
      <c r="D68" s="92">
        <f>IF(C68="","",IFERROR(INDEX(Roster!$C$6:$C$65,IFERROR(MATCH(C68,Roster!$B$6:$B$65,0),MATCH(C68,Roster!$C$6:$C$65,0))),"not on the Roster"))</f>
        <v/>
      </c>
      <c r="E68" s="106" t="n"/>
      <c r="F68" s="104">
        <f>IF(OR(A68="",C68="",B68=""),"",IFERROR(INDEX(CHOOSE(IF(YEAR(A68)&gt;PlanYear,13,MONTH(A68)),'Jan'!$D$27:$AH$266,'Feb'!$D$27:$AH$266,'Mar'!$D$27:$AH$266,'Apr'!$D$27:$AH$266,'May'!$D$27:$AH$266,'Jun'!$D$27:$AH$266,'Jul'!$D$27:$AH$266,'Aug'!$D$27:$AH$266,'Sep'!$D$27:$AH$266,'Oct'!$D$27:$AH$266,'Nov'!$D$27:$AH$266,'Dec'!$D$27:$AH$266,'Jan (next year)'!$D$27:$AH$266),27+4*(IFERROR(MATCH(C68,Roster!$B$6:$B$65,0),MATCH(C68,Roster!$C$6:$C$65,0))-1)+MATCH(B68,{"AM","PM","NIGHT","WD"},0)-1-27+1,DAY(A68))&amp;"",""))</f>
        <v/>
      </c>
      <c r="G68" s="123">
        <f>IF(OR(A68="",C68="",B68="",E68=""),"",IFERROR(A68&amp;"|"&amp;(27+4*(IFERROR(MATCH(C68,Roster!$B$6:$B$65,0),MATCH(C68,Roster!$C$6:$C$65,0))-1)+MATCH(B68,{"AM","PM","NIGHT","WD"},0)-1),""))</f>
        <v/>
      </c>
    </row>
    <row r="69">
      <c r="A69" s="122" t="n"/>
      <c r="B69" s="107" t="n"/>
      <c r="C69" s="105" t="n"/>
      <c r="D69" s="92">
        <f>IF(C69="","",IFERROR(INDEX(Roster!$C$6:$C$65,IFERROR(MATCH(C69,Roster!$B$6:$B$65,0),MATCH(C69,Roster!$C$6:$C$65,0))),"not on the Roster"))</f>
        <v/>
      </c>
      <c r="E69" s="106" t="n"/>
      <c r="F69" s="104">
        <f>IF(OR(A69="",C69="",B69=""),"",IFERROR(INDEX(CHOOSE(IF(YEAR(A69)&gt;PlanYear,13,MONTH(A69)),'Jan'!$D$27:$AH$266,'Feb'!$D$27:$AH$266,'Mar'!$D$27:$AH$266,'Apr'!$D$27:$AH$266,'May'!$D$27:$AH$266,'Jun'!$D$27:$AH$266,'Jul'!$D$27:$AH$266,'Aug'!$D$27:$AH$266,'Sep'!$D$27:$AH$266,'Oct'!$D$27:$AH$266,'Nov'!$D$27:$AH$266,'Dec'!$D$27:$AH$266,'Jan (next year)'!$D$27:$AH$266),27+4*(IFERROR(MATCH(C69,Roster!$B$6:$B$65,0),MATCH(C69,Roster!$C$6:$C$65,0))-1)+MATCH(B69,{"AM","PM","NIGHT","WD"},0)-1-27+1,DAY(A69))&amp;"",""))</f>
        <v/>
      </c>
      <c r="G69" s="123">
        <f>IF(OR(A69="",C69="",B69="",E69=""),"",IFERROR(A69&amp;"|"&amp;(27+4*(IFERROR(MATCH(C69,Roster!$B$6:$B$65,0),MATCH(C69,Roster!$C$6:$C$65,0))-1)+MATCH(B69,{"AM","PM","NIGHT","WD"},0)-1),""))</f>
        <v/>
      </c>
    </row>
    <row r="70">
      <c r="A70" s="122" t="n"/>
      <c r="B70" s="107" t="n"/>
      <c r="C70" s="105" t="n"/>
      <c r="D70" s="92">
        <f>IF(C70="","",IFERROR(INDEX(Roster!$C$6:$C$65,IFERROR(MATCH(C70,Roster!$B$6:$B$65,0),MATCH(C70,Roster!$C$6:$C$65,0))),"not on the Roster"))</f>
        <v/>
      </c>
      <c r="E70" s="106" t="n"/>
      <c r="F70" s="104">
        <f>IF(OR(A70="",C70="",B70=""),"",IFERROR(INDEX(CHOOSE(IF(YEAR(A70)&gt;PlanYear,13,MONTH(A70)),'Jan'!$D$27:$AH$266,'Feb'!$D$27:$AH$266,'Mar'!$D$27:$AH$266,'Apr'!$D$27:$AH$266,'May'!$D$27:$AH$266,'Jun'!$D$27:$AH$266,'Jul'!$D$27:$AH$266,'Aug'!$D$27:$AH$266,'Sep'!$D$27:$AH$266,'Oct'!$D$27:$AH$266,'Nov'!$D$27:$AH$266,'Dec'!$D$27:$AH$266,'Jan (next year)'!$D$27:$AH$266),27+4*(IFERROR(MATCH(C70,Roster!$B$6:$B$65,0),MATCH(C70,Roster!$C$6:$C$65,0))-1)+MATCH(B70,{"AM","PM","NIGHT","WD"},0)-1-27+1,DAY(A70))&amp;"",""))</f>
        <v/>
      </c>
      <c r="G70" s="123">
        <f>IF(OR(A70="",C70="",B70="",E70=""),"",IFERROR(A70&amp;"|"&amp;(27+4*(IFERROR(MATCH(C70,Roster!$B$6:$B$65,0),MATCH(C70,Roster!$C$6:$C$65,0))-1)+MATCH(B70,{"AM","PM","NIGHT","WD"},0)-1),""))</f>
        <v/>
      </c>
    </row>
    <row r="71">
      <c r="A71" s="122" t="n"/>
      <c r="B71" s="107" t="n"/>
      <c r="C71" s="105" t="n"/>
      <c r="D71" s="92">
        <f>IF(C71="","",IFERROR(INDEX(Roster!$C$6:$C$65,IFERROR(MATCH(C71,Roster!$B$6:$B$65,0),MATCH(C71,Roster!$C$6:$C$65,0))),"not on the Roster"))</f>
        <v/>
      </c>
      <c r="E71" s="106" t="n"/>
      <c r="F71" s="104">
        <f>IF(OR(A71="",C71="",B71=""),"",IFERROR(INDEX(CHOOSE(IF(YEAR(A71)&gt;PlanYear,13,MONTH(A71)),'Jan'!$D$27:$AH$266,'Feb'!$D$27:$AH$266,'Mar'!$D$27:$AH$266,'Apr'!$D$27:$AH$266,'May'!$D$27:$AH$266,'Jun'!$D$27:$AH$266,'Jul'!$D$27:$AH$266,'Aug'!$D$27:$AH$266,'Sep'!$D$27:$AH$266,'Oct'!$D$27:$AH$266,'Nov'!$D$27:$AH$266,'Dec'!$D$27:$AH$266,'Jan (next year)'!$D$27:$AH$266),27+4*(IFERROR(MATCH(C71,Roster!$B$6:$B$65,0),MATCH(C71,Roster!$C$6:$C$65,0))-1)+MATCH(B71,{"AM","PM","NIGHT","WD"},0)-1-27+1,DAY(A71))&amp;"",""))</f>
        <v/>
      </c>
      <c r="G71" s="123">
        <f>IF(OR(A71="",C71="",B71="",E71=""),"",IFERROR(A71&amp;"|"&amp;(27+4*(IFERROR(MATCH(C71,Roster!$B$6:$B$65,0),MATCH(C71,Roster!$C$6:$C$65,0))-1)+MATCH(B71,{"AM","PM","NIGHT","WD"},0)-1),""))</f>
        <v/>
      </c>
    </row>
    <row r="72">
      <c r="A72" s="122" t="n"/>
      <c r="B72" s="107" t="n"/>
      <c r="C72" s="105" t="n"/>
      <c r="D72" s="92">
        <f>IF(C72="","",IFERROR(INDEX(Roster!$C$6:$C$65,IFERROR(MATCH(C72,Roster!$B$6:$B$65,0),MATCH(C72,Roster!$C$6:$C$65,0))),"not on the Roster"))</f>
        <v/>
      </c>
      <c r="E72" s="106" t="n"/>
      <c r="F72" s="104">
        <f>IF(OR(A72="",C72="",B72=""),"",IFERROR(INDEX(CHOOSE(IF(YEAR(A72)&gt;PlanYear,13,MONTH(A72)),'Jan'!$D$27:$AH$266,'Feb'!$D$27:$AH$266,'Mar'!$D$27:$AH$266,'Apr'!$D$27:$AH$266,'May'!$D$27:$AH$266,'Jun'!$D$27:$AH$266,'Jul'!$D$27:$AH$266,'Aug'!$D$27:$AH$266,'Sep'!$D$27:$AH$266,'Oct'!$D$27:$AH$266,'Nov'!$D$27:$AH$266,'Dec'!$D$27:$AH$266,'Jan (next year)'!$D$27:$AH$266),27+4*(IFERROR(MATCH(C72,Roster!$B$6:$B$65,0),MATCH(C72,Roster!$C$6:$C$65,0))-1)+MATCH(B72,{"AM","PM","NIGHT","WD"},0)-1-27+1,DAY(A72))&amp;"",""))</f>
        <v/>
      </c>
      <c r="G72" s="123">
        <f>IF(OR(A72="",C72="",B72="",E72=""),"",IFERROR(A72&amp;"|"&amp;(27+4*(IFERROR(MATCH(C72,Roster!$B$6:$B$65,0),MATCH(C72,Roster!$C$6:$C$65,0))-1)+MATCH(B72,{"AM","PM","NIGHT","WD"},0)-1),""))</f>
        <v/>
      </c>
    </row>
    <row r="73">
      <c r="A73" s="122" t="n"/>
      <c r="B73" s="107" t="n"/>
      <c r="C73" s="105" t="n"/>
      <c r="D73" s="92">
        <f>IF(C73="","",IFERROR(INDEX(Roster!$C$6:$C$65,IFERROR(MATCH(C73,Roster!$B$6:$B$65,0),MATCH(C73,Roster!$C$6:$C$65,0))),"not on the Roster"))</f>
        <v/>
      </c>
      <c r="E73" s="106" t="n"/>
      <c r="F73" s="104">
        <f>IF(OR(A73="",C73="",B73=""),"",IFERROR(INDEX(CHOOSE(IF(YEAR(A73)&gt;PlanYear,13,MONTH(A73)),'Jan'!$D$27:$AH$266,'Feb'!$D$27:$AH$266,'Mar'!$D$27:$AH$266,'Apr'!$D$27:$AH$266,'May'!$D$27:$AH$266,'Jun'!$D$27:$AH$266,'Jul'!$D$27:$AH$266,'Aug'!$D$27:$AH$266,'Sep'!$D$27:$AH$266,'Oct'!$D$27:$AH$266,'Nov'!$D$27:$AH$266,'Dec'!$D$27:$AH$266,'Jan (next year)'!$D$27:$AH$266),27+4*(IFERROR(MATCH(C73,Roster!$B$6:$B$65,0),MATCH(C73,Roster!$C$6:$C$65,0))-1)+MATCH(B73,{"AM","PM","NIGHT","WD"},0)-1-27+1,DAY(A73))&amp;"",""))</f>
        <v/>
      </c>
      <c r="G73" s="123">
        <f>IF(OR(A73="",C73="",B73="",E73=""),"",IFERROR(A73&amp;"|"&amp;(27+4*(IFERROR(MATCH(C73,Roster!$B$6:$B$65,0),MATCH(C73,Roster!$C$6:$C$65,0))-1)+MATCH(B73,{"AM","PM","NIGHT","WD"},0)-1),""))</f>
        <v/>
      </c>
    </row>
    <row r="74">
      <c r="A74" s="122" t="n"/>
      <c r="B74" s="107" t="n"/>
      <c r="C74" s="105" t="n"/>
      <c r="D74" s="92">
        <f>IF(C74="","",IFERROR(INDEX(Roster!$C$6:$C$65,IFERROR(MATCH(C74,Roster!$B$6:$B$65,0),MATCH(C74,Roster!$C$6:$C$65,0))),"not on the Roster"))</f>
        <v/>
      </c>
      <c r="E74" s="106" t="n"/>
      <c r="F74" s="104">
        <f>IF(OR(A74="",C74="",B74=""),"",IFERROR(INDEX(CHOOSE(IF(YEAR(A74)&gt;PlanYear,13,MONTH(A74)),'Jan'!$D$27:$AH$266,'Feb'!$D$27:$AH$266,'Mar'!$D$27:$AH$266,'Apr'!$D$27:$AH$266,'May'!$D$27:$AH$266,'Jun'!$D$27:$AH$266,'Jul'!$D$27:$AH$266,'Aug'!$D$27:$AH$266,'Sep'!$D$27:$AH$266,'Oct'!$D$27:$AH$266,'Nov'!$D$27:$AH$266,'Dec'!$D$27:$AH$266,'Jan (next year)'!$D$27:$AH$266),27+4*(IFERROR(MATCH(C74,Roster!$B$6:$B$65,0),MATCH(C74,Roster!$C$6:$C$65,0))-1)+MATCH(B74,{"AM","PM","NIGHT","WD"},0)-1-27+1,DAY(A74))&amp;"",""))</f>
        <v/>
      </c>
      <c r="G74" s="123">
        <f>IF(OR(A74="",C74="",B74="",E74=""),"",IFERROR(A74&amp;"|"&amp;(27+4*(IFERROR(MATCH(C74,Roster!$B$6:$B$65,0),MATCH(C74,Roster!$C$6:$C$65,0))-1)+MATCH(B74,{"AM","PM","NIGHT","WD"},0)-1),""))</f>
        <v/>
      </c>
    </row>
    <row r="75">
      <c r="A75" s="122" t="n"/>
      <c r="B75" s="107" t="n"/>
      <c r="C75" s="105" t="n"/>
      <c r="D75" s="92">
        <f>IF(C75="","",IFERROR(INDEX(Roster!$C$6:$C$65,IFERROR(MATCH(C75,Roster!$B$6:$B$65,0),MATCH(C75,Roster!$C$6:$C$65,0))),"not on the Roster"))</f>
        <v/>
      </c>
      <c r="E75" s="106" t="n"/>
      <c r="F75" s="104">
        <f>IF(OR(A75="",C75="",B75=""),"",IFERROR(INDEX(CHOOSE(IF(YEAR(A75)&gt;PlanYear,13,MONTH(A75)),'Jan'!$D$27:$AH$266,'Feb'!$D$27:$AH$266,'Mar'!$D$27:$AH$266,'Apr'!$D$27:$AH$266,'May'!$D$27:$AH$266,'Jun'!$D$27:$AH$266,'Jul'!$D$27:$AH$266,'Aug'!$D$27:$AH$266,'Sep'!$D$27:$AH$266,'Oct'!$D$27:$AH$266,'Nov'!$D$27:$AH$266,'Dec'!$D$27:$AH$266,'Jan (next year)'!$D$27:$AH$266),27+4*(IFERROR(MATCH(C75,Roster!$B$6:$B$65,0),MATCH(C75,Roster!$C$6:$C$65,0))-1)+MATCH(B75,{"AM","PM","NIGHT","WD"},0)-1-27+1,DAY(A75))&amp;"",""))</f>
        <v/>
      </c>
      <c r="G75" s="123">
        <f>IF(OR(A75="",C75="",B75="",E75=""),"",IFERROR(A75&amp;"|"&amp;(27+4*(IFERROR(MATCH(C75,Roster!$B$6:$B$65,0),MATCH(C75,Roster!$C$6:$C$65,0))-1)+MATCH(B75,{"AM","PM","NIGHT","WD"},0)-1),""))</f>
        <v/>
      </c>
    </row>
    <row r="76">
      <c r="A76" s="122" t="n"/>
      <c r="B76" s="107" t="n"/>
      <c r="C76" s="105" t="n"/>
      <c r="D76" s="92">
        <f>IF(C76="","",IFERROR(INDEX(Roster!$C$6:$C$65,IFERROR(MATCH(C76,Roster!$B$6:$B$65,0),MATCH(C76,Roster!$C$6:$C$65,0))),"not on the Roster"))</f>
        <v/>
      </c>
      <c r="E76" s="106" t="n"/>
      <c r="F76" s="104">
        <f>IF(OR(A76="",C76="",B76=""),"",IFERROR(INDEX(CHOOSE(IF(YEAR(A76)&gt;PlanYear,13,MONTH(A76)),'Jan'!$D$27:$AH$266,'Feb'!$D$27:$AH$266,'Mar'!$D$27:$AH$266,'Apr'!$D$27:$AH$266,'May'!$D$27:$AH$266,'Jun'!$D$27:$AH$266,'Jul'!$D$27:$AH$266,'Aug'!$D$27:$AH$266,'Sep'!$D$27:$AH$266,'Oct'!$D$27:$AH$266,'Nov'!$D$27:$AH$266,'Dec'!$D$27:$AH$266,'Jan (next year)'!$D$27:$AH$266),27+4*(IFERROR(MATCH(C76,Roster!$B$6:$B$65,0),MATCH(C76,Roster!$C$6:$C$65,0))-1)+MATCH(B76,{"AM","PM","NIGHT","WD"},0)-1-27+1,DAY(A76))&amp;"",""))</f>
        <v/>
      </c>
      <c r="G76" s="123">
        <f>IF(OR(A76="",C76="",B76="",E76=""),"",IFERROR(A76&amp;"|"&amp;(27+4*(IFERROR(MATCH(C76,Roster!$B$6:$B$65,0),MATCH(C76,Roster!$C$6:$C$65,0))-1)+MATCH(B76,{"AM","PM","NIGHT","WD"},0)-1),""))</f>
        <v/>
      </c>
    </row>
    <row r="77">
      <c r="A77" s="122" t="n"/>
      <c r="B77" s="107" t="n"/>
      <c r="C77" s="105" t="n"/>
      <c r="D77" s="92">
        <f>IF(C77="","",IFERROR(INDEX(Roster!$C$6:$C$65,IFERROR(MATCH(C77,Roster!$B$6:$B$65,0),MATCH(C77,Roster!$C$6:$C$65,0))),"not on the Roster"))</f>
        <v/>
      </c>
      <c r="E77" s="106" t="n"/>
      <c r="F77" s="104">
        <f>IF(OR(A77="",C77="",B77=""),"",IFERROR(INDEX(CHOOSE(IF(YEAR(A77)&gt;PlanYear,13,MONTH(A77)),'Jan'!$D$27:$AH$266,'Feb'!$D$27:$AH$266,'Mar'!$D$27:$AH$266,'Apr'!$D$27:$AH$266,'May'!$D$27:$AH$266,'Jun'!$D$27:$AH$266,'Jul'!$D$27:$AH$266,'Aug'!$D$27:$AH$266,'Sep'!$D$27:$AH$266,'Oct'!$D$27:$AH$266,'Nov'!$D$27:$AH$266,'Dec'!$D$27:$AH$266,'Jan (next year)'!$D$27:$AH$266),27+4*(IFERROR(MATCH(C77,Roster!$B$6:$B$65,0),MATCH(C77,Roster!$C$6:$C$65,0))-1)+MATCH(B77,{"AM","PM","NIGHT","WD"},0)-1-27+1,DAY(A77))&amp;"",""))</f>
        <v/>
      </c>
      <c r="G77" s="123">
        <f>IF(OR(A77="",C77="",B77="",E77=""),"",IFERROR(A77&amp;"|"&amp;(27+4*(IFERROR(MATCH(C77,Roster!$B$6:$B$65,0),MATCH(C77,Roster!$C$6:$C$65,0))-1)+MATCH(B77,{"AM","PM","NIGHT","WD"},0)-1),""))</f>
        <v/>
      </c>
    </row>
    <row r="78">
      <c r="A78" s="122" t="n"/>
      <c r="B78" s="107" t="n"/>
      <c r="C78" s="105" t="n"/>
      <c r="D78" s="92">
        <f>IF(C78="","",IFERROR(INDEX(Roster!$C$6:$C$65,IFERROR(MATCH(C78,Roster!$B$6:$B$65,0),MATCH(C78,Roster!$C$6:$C$65,0))),"not on the Roster"))</f>
        <v/>
      </c>
      <c r="E78" s="106" t="n"/>
      <c r="F78" s="104">
        <f>IF(OR(A78="",C78="",B78=""),"",IFERROR(INDEX(CHOOSE(IF(YEAR(A78)&gt;PlanYear,13,MONTH(A78)),'Jan'!$D$27:$AH$266,'Feb'!$D$27:$AH$266,'Mar'!$D$27:$AH$266,'Apr'!$D$27:$AH$266,'May'!$D$27:$AH$266,'Jun'!$D$27:$AH$266,'Jul'!$D$27:$AH$266,'Aug'!$D$27:$AH$266,'Sep'!$D$27:$AH$266,'Oct'!$D$27:$AH$266,'Nov'!$D$27:$AH$266,'Dec'!$D$27:$AH$266,'Jan (next year)'!$D$27:$AH$266),27+4*(IFERROR(MATCH(C78,Roster!$B$6:$B$65,0),MATCH(C78,Roster!$C$6:$C$65,0))-1)+MATCH(B78,{"AM","PM","NIGHT","WD"},0)-1-27+1,DAY(A78))&amp;"",""))</f>
        <v/>
      </c>
      <c r="G78" s="123">
        <f>IF(OR(A78="",C78="",B78="",E78=""),"",IFERROR(A78&amp;"|"&amp;(27+4*(IFERROR(MATCH(C78,Roster!$B$6:$B$65,0),MATCH(C78,Roster!$C$6:$C$65,0))-1)+MATCH(B78,{"AM","PM","NIGHT","WD"},0)-1),""))</f>
        <v/>
      </c>
    </row>
    <row r="79">
      <c r="A79" s="122" t="n"/>
      <c r="B79" s="107" t="n"/>
      <c r="C79" s="105" t="n"/>
      <c r="D79" s="92">
        <f>IF(C79="","",IFERROR(INDEX(Roster!$C$6:$C$65,IFERROR(MATCH(C79,Roster!$B$6:$B$65,0),MATCH(C79,Roster!$C$6:$C$65,0))),"not on the Roster"))</f>
        <v/>
      </c>
      <c r="E79" s="106" t="n"/>
      <c r="F79" s="104">
        <f>IF(OR(A79="",C79="",B79=""),"",IFERROR(INDEX(CHOOSE(IF(YEAR(A79)&gt;PlanYear,13,MONTH(A79)),'Jan'!$D$27:$AH$266,'Feb'!$D$27:$AH$266,'Mar'!$D$27:$AH$266,'Apr'!$D$27:$AH$266,'May'!$D$27:$AH$266,'Jun'!$D$27:$AH$266,'Jul'!$D$27:$AH$266,'Aug'!$D$27:$AH$266,'Sep'!$D$27:$AH$266,'Oct'!$D$27:$AH$266,'Nov'!$D$27:$AH$266,'Dec'!$D$27:$AH$266,'Jan (next year)'!$D$27:$AH$266),27+4*(IFERROR(MATCH(C79,Roster!$B$6:$B$65,0),MATCH(C79,Roster!$C$6:$C$65,0))-1)+MATCH(B79,{"AM","PM","NIGHT","WD"},0)-1-27+1,DAY(A79))&amp;"",""))</f>
        <v/>
      </c>
      <c r="G79" s="123">
        <f>IF(OR(A79="",C79="",B79="",E79=""),"",IFERROR(A79&amp;"|"&amp;(27+4*(IFERROR(MATCH(C79,Roster!$B$6:$B$65,0),MATCH(C79,Roster!$C$6:$C$65,0))-1)+MATCH(B79,{"AM","PM","NIGHT","WD"},0)-1),""))</f>
        <v/>
      </c>
    </row>
    <row r="80">
      <c r="A80" s="122" t="n"/>
      <c r="B80" s="107" t="n"/>
      <c r="C80" s="105" t="n"/>
      <c r="D80" s="92">
        <f>IF(C80="","",IFERROR(INDEX(Roster!$C$6:$C$65,IFERROR(MATCH(C80,Roster!$B$6:$B$65,0),MATCH(C80,Roster!$C$6:$C$65,0))),"not on the Roster"))</f>
        <v/>
      </c>
      <c r="E80" s="106" t="n"/>
      <c r="F80" s="104">
        <f>IF(OR(A80="",C80="",B80=""),"",IFERROR(INDEX(CHOOSE(IF(YEAR(A80)&gt;PlanYear,13,MONTH(A80)),'Jan'!$D$27:$AH$266,'Feb'!$D$27:$AH$266,'Mar'!$D$27:$AH$266,'Apr'!$D$27:$AH$266,'May'!$D$27:$AH$266,'Jun'!$D$27:$AH$266,'Jul'!$D$27:$AH$266,'Aug'!$D$27:$AH$266,'Sep'!$D$27:$AH$266,'Oct'!$D$27:$AH$266,'Nov'!$D$27:$AH$266,'Dec'!$D$27:$AH$266,'Jan (next year)'!$D$27:$AH$266),27+4*(IFERROR(MATCH(C80,Roster!$B$6:$B$65,0),MATCH(C80,Roster!$C$6:$C$65,0))-1)+MATCH(B80,{"AM","PM","NIGHT","WD"},0)-1-27+1,DAY(A80))&amp;"",""))</f>
        <v/>
      </c>
      <c r="G80" s="123">
        <f>IF(OR(A80="",C80="",B80="",E80=""),"",IFERROR(A80&amp;"|"&amp;(27+4*(IFERROR(MATCH(C80,Roster!$B$6:$B$65,0),MATCH(C80,Roster!$C$6:$C$65,0))-1)+MATCH(B80,{"AM","PM","NIGHT","WD"},0)-1),""))</f>
        <v/>
      </c>
    </row>
    <row r="81">
      <c r="A81" s="122" t="n"/>
      <c r="B81" s="107" t="n"/>
      <c r="C81" s="105" t="n"/>
      <c r="D81" s="92">
        <f>IF(C81="","",IFERROR(INDEX(Roster!$C$6:$C$65,IFERROR(MATCH(C81,Roster!$B$6:$B$65,0),MATCH(C81,Roster!$C$6:$C$65,0))),"not on the Roster"))</f>
        <v/>
      </c>
      <c r="E81" s="106" t="n"/>
      <c r="F81" s="104">
        <f>IF(OR(A81="",C81="",B81=""),"",IFERROR(INDEX(CHOOSE(IF(YEAR(A81)&gt;PlanYear,13,MONTH(A81)),'Jan'!$D$27:$AH$266,'Feb'!$D$27:$AH$266,'Mar'!$D$27:$AH$266,'Apr'!$D$27:$AH$266,'May'!$D$27:$AH$266,'Jun'!$D$27:$AH$266,'Jul'!$D$27:$AH$266,'Aug'!$D$27:$AH$266,'Sep'!$D$27:$AH$266,'Oct'!$D$27:$AH$266,'Nov'!$D$27:$AH$266,'Dec'!$D$27:$AH$266,'Jan (next year)'!$D$27:$AH$266),27+4*(IFERROR(MATCH(C81,Roster!$B$6:$B$65,0),MATCH(C81,Roster!$C$6:$C$65,0))-1)+MATCH(B81,{"AM","PM","NIGHT","WD"},0)-1-27+1,DAY(A81))&amp;"",""))</f>
        <v/>
      </c>
      <c r="G81" s="123">
        <f>IF(OR(A81="",C81="",B81="",E81=""),"",IFERROR(A81&amp;"|"&amp;(27+4*(IFERROR(MATCH(C81,Roster!$B$6:$B$65,0),MATCH(C81,Roster!$C$6:$C$65,0))-1)+MATCH(B81,{"AM","PM","NIGHT","WD"},0)-1),""))</f>
        <v/>
      </c>
    </row>
    <row r="82">
      <c r="A82" s="122" t="n"/>
      <c r="B82" s="107" t="n"/>
      <c r="C82" s="105" t="n"/>
      <c r="D82" s="92">
        <f>IF(C82="","",IFERROR(INDEX(Roster!$C$6:$C$65,IFERROR(MATCH(C82,Roster!$B$6:$B$65,0),MATCH(C82,Roster!$C$6:$C$65,0))),"not on the Roster"))</f>
        <v/>
      </c>
      <c r="E82" s="106" t="n"/>
      <c r="F82" s="104">
        <f>IF(OR(A82="",C82="",B82=""),"",IFERROR(INDEX(CHOOSE(IF(YEAR(A82)&gt;PlanYear,13,MONTH(A82)),'Jan'!$D$27:$AH$266,'Feb'!$D$27:$AH$266,'Mar'!$D$27:$AH$266,'Apr'!$D$27:$AH$266,'May'!$D$27:$AH$266,'Jun'!$D$27:$AH$266,'Jul'!$D$27:$AH$266,'Aug'!$D$27:$AH$266,'Sep'!$D$27:$AH$266,'Oct'!$D$27:$AH$266,'Nov'!$D$27:$AH$266,'Dec'!$D$27:$AH$266,'Jan (next year)'!$D$27:$AH$266),27+4*(IFERROR(MATCH(C82,Roster!$B$6:$B$65,0),MATCH(C82,Roster!$C$6:$C$65,0))-1)+MATCH(B82,{"AM","PM","NIGHT","WD"},0)-1-27+1,DAY(A82))&amp;"",""))</f>
        <v/>
      </c>
      <c r="G82" s="123">
        <f>IF(OR(A82="",C82="",B82="",E82=""),"",IFERROR(A82&amp;"|"&amp;(27+4*(IFERROR(MATCH(C82,Roster!$B$6:$B$65,0),MATCH(C82,Roster!$C$6:$C$65,0))-1)+MATCH(B82,{"AM","PM","NIGHT","WD"},0)-1),""))</f>
        <v/>
      </c>
    </row>
    <row r="83">
      <c r="A83" s="122" t="n"/>
      <c r="B83" s="107" t="n"/>
      <c r="C83" s="105" t="n"/>
      <c r="D83" s="92">
        <f>IF(C83="","",IFERROR(INDEX(Roster!$C$6:$C$65,IFERROR(MATCH(C83,Roster!$B$6:$B$65,0),MATCH(C83,Roster!$C$6:$C$65,0))),"not on the Roster"))</f>
        <v/>
      </c>
      <c r="E83" s="106" t="n"/>
      <c r="F83" s="104">
        <f>IF(OR(A83="",C83="",B83=""),"",IFERROR(INDEX(CHOOSE(IF(YEAR(A83)&gt;PlanYear,13,MONTH(A83)),'Jan'!$D$27:$AH$266,'Feb'!$D$27:$AH$266,'Mar'!$D$27:$AH$266,'Apr'!$D$27:$AH$266,'May'!$D$27:$AH$266,'Jun'!$D$27:$AH$266,'Jul'!$D$27:$AH$266,'Aug'!$D$27:$AH$266,'Sep'!$D$27:$AH$266,'Oct'!$D$27:$AH$266,'Nov'!$D$27:$AH$266,'Dec'!$D$27:$AH$266,'Jan (next year)'!$D$27:$AH$266),27+4*(IFERROR(MATCH(C83,Roster!$B$6:$B$65,0),MATCH(C83,Roster!$C$6:$C$65,0))-1)+MATCH(B83,{"AM","PM","NIGHT","WD"},0)-1-27+1,DAY(A83))&amp;"",""))</f>
        <v/>
      </c>
      <c r="G83" s="123">
        <f>IF(OR(A83="",C83="",B83="",E83=""),"",IFERROR(A83&amp;"|"&amp;(27+4*(IFERROR(MATCH(C83,Roster!$B$6:$B$65,0),MATCH(C83,Roster!$C$6:$C$65,0))-1)+MATCH(B83,{"AM","PM","NIGHT","WD"},0)-1),""))</f>
        <v/>
      </c>
    </row>
    <row r="84">
      <c r="A84" s="122" t="n"/>
      <c r="B84" s="107" t="n"/>
      <c r="C84" s="105" t="n"/>
      <c r="D84" s="92">
        <f>IF(C84="","",IFERROR(INDEX(Roster!$C$6:$C$65,IFERROR(MATCH(C84,Roster!$B$6:$B$65,0),MATCH(C84,Roster!$C$6:$C$65,0))),"not on the Roster"))</f>
        <v/>
      </c>
      <c r="E84" s="106" t="n"/>
      <c r="F84" s="104">
        <f>IF(OR(A84="",C84="",B84=""),"",IFERROR(INDEX(CHOOSE(IF(YEAR(A84)&gt;PlanYear,13,MONTH(A84)),'Jan'!$D$27:$AH$266,'Feb'!$D$27:$AH$266,'Mar'!$D$27:$AH$266,'Apr'!$D$27:$AH$266,'May'!$D$27:$AH$266,'Jun'!$D$27:$AH$266,'Jul'!$D$27:$AH$266,'Aug'!$D$27:$AH$266,'Sep'!$D$27:$AH$266,'Oct'!$D$27:$AH$266,'Nov'!$D$27:$AH$266,'Dec'!$D$27:$AH$266,'Jan (next year)'!$D$27:$AH$266),27+4*(IFERROR(MATCH(C84,Roster!$B$6:$B$65,0),MATCH(C84,Roster!$C$6:$C$65,0))-1)+MATCH(B84,{"AM","PM","NIGHT","WD"},0)-1-27+1,DAY(A84))&amp;"",""))</f>
        <v/>
      </c>
      <c r="G84" s="123">
        <f>IF(OR(A84="",C84="",B84="",E84=""),"",IFERROR(A84&amp;"|"&amp;(27+4*(IFERROR(MATCH(C84,Roster!$B$6:$B$65,0),MATCH(C84,Roster!$C$6:$C$65,0))-1)+MATCH(B84,{"AM","PM","NIGHT","WD"},0)-1),""))</f>
        <v/>
      </c>
    </row>
    <row r="85">
      <c r="A85" s="122" t="n"/>
      <c r="B85" s="107" t="n"/>
      <c r="C85" s="105" t="n"/>
      <c r="D85" s="92">
        <f>IF(C85="","",IFERROR(INDEX(Roster!$C$6:$C$65,IFERROR(MATCH(C85,Roster!$B$6:$B$65,0),MATCH(C85,Roster!$C$6:$C$65,0))),"not on the Roster"))</f>
        <v/>
      </c>
      <c r="E85" s="106" t="n"/>
      <c r="F85" s="104">
        <f>IF(OR(A85="",C85="",B85=""),"",IFERROR(INDEX(CHOOSE(IF(YEAR(A85)&gt;PlanYear,13,MONTH(A85)),'Jan'!$D$27:$AH$266,'Feb'!$D$27:$AH$266,'Mar'!$D$27:$AH$266,'Apr'!$D$27:$AH$266,'May'!$D$27:$AH$266,'Jun'!$D$27:$AH$266,'Jul'!$D$27:$AH$266,'Aug'!$D$27:$AH$266,'Sep'!$D$27:$AH$266,'Oct'!$D$27:$AH$266,'Nov'!$D$27:$AH$266,'Dec'!$D$27:$AH$266,'Jan (next year)'!$D$27:$AH$266),27+4*(IFERROR(MATCH(C85,Roster!$B$6:$B$65,0),MATCH(C85,Roster!$C$6:$C$65,0))-1)+MATCH(B85,{"AM","PM","NIGHT","WD"},0)-1-27+1,DAY(A85))&amp;"",""))</f>
        <v/>
      </c>
      <c r="G85" s="123">
        <f>IF(OR(A85="",C85="",B85="",E85=""),"",IFERROR(A85&amp;"|"&amp;(27+4*(IFERROR(MATCH(C85,Roster!$B$6:$B$65,0),MATCH(C85,Roster!$C$6:$C$65,0))-1)+MATCH(B85,{"AM","PM","NIGHT","WD"},0)-1),""))</f>
        <v/>
      </c>
    </row>
    <row r="86">
      <c r="A86" s="122" t="n"/>
      <c r="B86" s="107" t="n"/>
      <c r="C86" s="105" t="n"/>
      <c r="D86" s="92">
        <f>IF(C86="","",IFERROR(INDEX(Roster!$C$6:$C$65,IFERROR(MATCH(C86,Roster!$B$6:$B$65,0),MATCH(C86,Roster!$C$6:$C$65,0))),"not on the Roster"))</f>
        <v/>
      </c>
      <c r="E86" s="106" t="n"/>
      <c r="F86" s="104">
        <f>IF(OR(A86="",C86="",B86=""),"",IFERROR(INDEX(CHOOSE(IF(YEAR(A86)&gt;PlanYear,13,MONTH(A86)),'Jan'!$D$27:$AH$266,'Feb'!$D$27:$AH$266,'Mar'!$D$27:$AH$266,'Apr'!$D$27:$AH$266,'May'!$D$27:$AH$266,'Jun'!$D$27:$AH$266,'Jul'!$D$27:$AH$266,'Aug'!$D$27:$AH$266,'Sep'!$D$27:$AH$266,'Oct'!$D$27:$AH$266,'Nov'!$D$27:$AH$266,'Dec'!$D$27:$AH$266,'Jan (next year)'!$D$27:$AH$266),27+4*(IFERROR(MATCH(C86,Roster!$B$6:$B$65,0),MATCH(C86,Roster!$C$6:$C$65,0))-1)+MATCH(B86,{"AM","PM","NIGHT","WD"},0)-1-27+1,DAY(A86))&amp;"",""))</f>
        <v/>
      </c>
      <c r="G86" s="123">
        <f>IF(OR(A86="",C86="",B86="",E86=""),"",IFERROR(A86&amp;"|"&amp;(27+4*(IFERROR(MATCH(C86,Roster!$B$6:$B$65,0),MATCH(C86,Roster!$C$6:$C$65,0))-1)+MATCH(B86,{"AM","PM","NIGHT","WD"},0)-1),""))</f>
        <v/>
      </c>
    </row>
    <row r="87">
      <c r="A87" s="122" t="n"/>
      <c r="B87" s="107" t="n"/>
      <c r="C87" s="105" t="n"/>
      <c r="D87" s="92">
        <f>IF(C87="","",IFERROR(INDEX(Roster!$C$6:$C$65,IFERROR(MATCH(C87,Roster!$B$6:$B$65,0),MATCH(C87,Roster!$C$6:$C$65,0))),"not on the Roster"))</f>
        <v/>
      </c>
      <c r="E87" s="106" t="n"/>
      <c r="F87" s="104">
        <f>IF(OR(A87="",C87="",B87=""),"",IFERROR(INDEX(CHOOSE(IF(YEAR(A87)&gt;PlanYear,13,MONTH(A87)),'Jan'!$D$27:$AH$266,'Feb'!$D$27:$AH$266,'Mar'!$D$27:$AH$266,'Apr'!$D$27:$AH$266,'May'!$D$27:$AH$266,'Jun'!$D$27:$AH$266,'Jul'!$D$27:$AH$266,'Aug'!$D$27:$AH$266,'Sep'!$D$27:$AH$266,'Oct'!$D$27:$AH$266,'Nov'!$D$27:$AH$266,'Dec'!$D$27:$AH$266,'Jan (next year)'!$D$27:$AH$266),27+4*(IFERROR(MATCH(C87,Roster!$B$6:$B$65,0),MATCH(C87,Roster!$C$6:$C$65,0))-1)+MATCH(B87,{"AM","PM","NIGHT","WD"},0)-1-27+1,DAY(A87))&amp;"",""))</f>
        <v/>
      </c>
      <c r="G87" s="123">
        <f>IF(OR(A87="",C87="",B87="",E87=""),"",IFERROR(A87&amp;"|"&amp;(27+4*(IFERROR(MATCH(C87,Roster!$B$6:$B$65,0),MATCH(C87,Roster!$C$6:$C$65,0))-1)+MATCH(B87,{"AM","PM","NIGHT","WD"},0)-1),""))</f>
        <v/>
      </c>
    </row>
    <row r="88">
      <c r="A88" s="122" t="n"/>
      <c r="B88" s="107" t="n"/>
      <c r="C88" s="105" t="n"/>
      <c r="D88" s="92">
        <f>IF(C88="","",IFERROR(INDEX(Roster!$C$6:$C$65,IFERROR(MATCH(C88,Roster!$B$6:$B$65,0),MATCH(C88,Roster!$C$6:$C$65,0))),"not on the Roster"))</f>
        <v/>
      </c>
      <c r="E88" s="106" t="n"/>
      <c r="F88" s="104">
        <f>IF(OR(A88="",C88="",B88=""),"",IFERROR(INDEX(CHOOSE(IF(YEAR(A88)&gt;PlanYear,13,MONTH(A88)),'Jan'!$D$27:$AH$266,'Feb'!$D$27:$AH$266,'Mar'!$D$27:$AH$266,'Apr'!$D$27:$AH$266,'May'!$D$27:$AH$266,'Jun'!$D$27:$AH$266,'Jul'!$D$27:$AH$266,'Aug'!$D$27:$AH$266,'Sep'!$D$27:$AH$266,'Oct'!$D$27:$AH$266,'Nov'!$D$27:$AH$266,'Dec'!$D$27:$AH$266,'Jan (next year)'!$D$27:$AH$266),27+4*(IFERROR(MATCH(C88,Roster!$B$6:$B$65,0),MATCH(C88,Roster!$C$6:$C$65,0))-1)+MATCH(B88,{"AM","PM","NIGHT","WD"},0)-1-27+1,DAY(A88))&amp;"",""))</f>
        <v/>
      </c>
      <c r="G88" s="123">
        <f>IF(OR(A88="",C88="",B88="",E88=""),"",IFERROR(A88&amp;"|"&amp;(27+4*(IFERROR(MATCH(C88,Roster!$B$6:$B$65,0),MATCH(C88,Roster!$C$6:$C$65,0))-1)+MATCH(B88,{"AM","PM","NIGHT","WD"},0)-1),""))</f>
        <v/>
      </c>
    </row>
    <row r="89">
      <c r="A89" s="122" t="n"/>
      <c r="B89" s="107" t="n"/>
      <c r="C89" s="105" t="n"/>
      <c r="D89" s="92">
        <f>IF(C89="","",IFERROR(INDEX(Roster!$C$6:$C$65,IFERROR(MATCH(C89,Roster!$B$6:$B$65,0),MATCH(C89,Roster!$C$6:$C$65,0))),"not on the Roster"))</f>
        <v/>
      </c>
      <c r="E89" s="106" t="n"/>
      <c r="F89" s="104">
        <f>IF(OR(A89="",C89="",B89=""),"",IFERROR(INDEX(CHOOSE(IF(YEAR(A89)&gt;PlanYear,13,MONTH(A89)),'Jan'!$D$27:$AH$266,'Feb'!$D$27:$AH$266,'Mar'!$D$27:$AH$266,'Apr'!$D$27:$AH$266,'May'!$D$27:$AH$266,'Jun'!$D$27:$AH$266,'Jul'!$D$27:$AH$266,'Aug'!$D$27:$AH$266,'Sep'!$D$27:$AH$266,'Oct'!$D$27:$AH$266,'Nov'!$D$27:$AH$266,'Dec'!$D$27:$AH$266,'Jan (next year)'!$D$27:$AH$266),27+4*(IFERROR(MATCH(C89,Roster!$B$6:$B$65,0),MATCH(C89,Roster!$C$6:$C$65,0))-1)+MATCH(B89,{"AM","PM","NIGHT","WD"},0)-1-27+1,DAY(A89))&amp;"",""))</f>
        <v/>
      </c>
      <c r="G89" s="123">
        <f>IF(OR(A89="",C89="",B89="",E89=""),"",IFERROR(A89&amp;"|"&amp;(27+4*(IFERROR(MATCH(C89,Roster!$B$6:$B$65,0),MATCH(C89,Roster!$C$6:$C$65,0))-1)+MATCH(B89,{"AM","PM","NIGHT","WD"},0)-1),""))</f>
        <v/>
      </c>
    </row>
    <row r="90">
      <c r="A90" s="122" t="n"/>
      <c r="B90" s="107" t="n"/>
      <c r="C90" s="105" t="n"/>
      <c r="D90" s="92">
        <f>IF(C90="","",IFERROR(INDEX(Roster!$C$6:$C$65,IFERROR(MATCH(C90,Roster!$B$6:$B$65,0),MATCH(C90,Roster!$C$6:$C$65,0))),"not on the Roster"))</f>
        <v/>
      </c>
      <c r="E90" s="106" t="n"/>
      <c r="F90" s="104">
        <f>IF(OR(A90="",C90="",B90=""),"",IFERROR(INDEX(CHOOSE(IF(YEAR(A90)&gt;PlanYear,13,MONTH(A90)),'Jan'!$D$27:$AH$266,'Feb'!$D$27:$AH$266,'Mar'!$D$27:$AH$266,'Apr'!$D$27:$AH$266,'May'!$D$27:$AH$266,'Jun'!$D$27:$AH$266,'Jul'!$D$27:$AH$266,'Aug'!$D$27:$AH$266,'Sep'!$D$27:$AH$266,'Oct'!$D$27:$AH$266,'Nov'!$D$27:$AH$266,'Dec'!$D$27:$AH$266,'Jan (next year)'!$D$27:$AH$266),27+4*(IFERROR(MATCH(C90,Roster!$B$6:$B$65,0),MATCH(C90,Roster!$C$6:$C$65,0))-1)+MATCH(B90,{"AM","PM","NIGHT","WD"},0)-1-27+1,DAY(A90))&amp;"",""))</f>
        <v/>
      </c>
      <c r="G90" s="123">
        <f>IF(OR(A90="",C90="",B90="",E90=""),"",IFERROR(A90&amp;"|"&amp;(27+4*(IFERROR(MATCH(C90,Roster!$B$6:$B$65,0),MATCH(C90,Roster!$C$6:$C$65,0))-1)+MATCH(B90,{"AM","PM","NIGHT","WD"},0)-1),""))</f>
        <v/>
      </c>
    </row>
    <row r="91">
      <c r="A91" s="122" t="n"/>
      <c r="B91" s="107" t="n"/>
      <c r="C91" s="105" t="n"/>
      <c r="D91" s="92">
        <f>IF(C91="","",IFERROR(INDEX(Roster!$C$6:$C$65,IFERROR(MATCH(C91,Roster!$B$6:$B$65,0),MATCH(C91,Roster!$C$6:$C$65,0))),"not on the Roster"))</f>
        <v/>
      </c>
      <c r="E91" s="106" t="n"/>
      <c r="F91" s="104">
        <f>IF(OR(A91="",C91="",B91=""),"",IFERROR(INDEX(CHOOSE(IF(YEAR(A91)&gt;PlanYear,13,MONTH(A91)),'Jan'!$D$27:$AH$266,'Feb'!$D$27:$AH$266,'Mar'!$D$27:$AH$266,'Apr'!$D$27:$AH$266,'May'!$D$27:$AH$266,'Jun'!$D$27:$AH$266,'Jul'!$D$27:$AH$266,'Aug'!$D$27:$AH$266,'Sep'!$D$27:$AH$266,'Oct'!$D$27:$AH$266,'Nov'!$D$27:$AH$266,'Dec'!$D$27:$AH$266,'Jan (next year)'!$D$27:$AH$266),27+4*(IFERROR(MATCH(C91,Roster!$B$6:$B$65,0),MATCH(C91,Roster!$C$6:$C$65,0))-1)+MATCH(B91,{"AM","PM","NIGHT","WD"},0)-1-27+1,DAY(A91))&amp;"",""))</f>
        <v/>
      </c>
      <c r="G91" s="123">
        <f>IF(OR(A91="",C91="",B91="",E91=""),"",IFERROR(A91&amp;"|"&amp;(27+4*(IFERROR(MATCH(C91,Roster!$B$6:$B$65,0),MATCH(C91,Roster!$C$6:$C$65,0))-1)+MATCH(B91,{"AM","PM","NIGHT","WD"},0)-1),""))</f>
        <v/>
      </c>
    </row>
    <row r="92">
      <c r="A92" s="122" t="n"/>
      <c r="B92" s="107" t="n"/>
      <c r="C92" s="105" t="n"/>
      <c r="D92" s="92">
        <f>IF(C92="","",IFERROR(INDEX(Roster!$C$6:$C$65,IFERROR(MATCH(C92,Roster!$B$6:$B$65,0),MATCH(C92,Roster!$C$6:$C$65,0))),"not on the Roster"))</f>
        <v/>
      </c>
      <c r="E92" s="106" t="n"/>
      <c r="F92" s="104">
        <f>IF(OR(A92="",C92="",B92=""),"",IFERROR(INDEX(CHOOSE(IF(YEAR(A92)&gt;PlanYear,13,MONTH(A92)),'Jan'!$D$27:$AH$266,'Feb'!$D$27:$AH$266,'Mar'!$D$27:$AH$266,'Apr'!$D$27:$AH$266,'May'!$D$27:$AH$266,'Jun'!$D$27:$AH$266,'Jul'!$D$27:$AH$266,'Aug'!$D$27:$AH$266,'Sep'!$D$27:$AH$266,'Oct'!$D$27:$AH$266,'Nov'!$D$27:$AH$266,'Dec'!$D$27:$AH$266,'Jan (next year)'!$D$27:$AH$266),27+4*(IFERROR(MATCH(C92,Roster!$B$6:$B$65,0),MATCH(C92,Roster!$C$6:$C$65,0))-1)+MATCH(B92,{"AM","PM","NIGHT","WD"},0)-1-27+1,DAY(A92))&amp;"",""))</f>
        <v/>
      </c>
      <c r="G92" s="123">
        <f>IF(OR(A92="",C92="",B92="",E92=""),"",IFERROR(A92&amp;"|"&amp;(27+4*(IFERROR(MATCH(C92,Roster!$B$6:$B$65,0),MATCH(C92,Roster!$C$6:$C$65,0))-1)+MATCH(B92,{"AM","PM","NIGHT","WD"},0)-1),""))</f>
        <v/>
      </c>
    </row>
    <row r="93">
      <c r="A93" s="122" t="n"/>
      <c r="B93" s="107" t="n"/>
      <c r="C93" s="105" t="n"/>
      <c r="D93" s="92">
        <f>IF(C93="","",IFERROR(INDEX(Roster!$C$6:$C$65,IFERROR(MATCH(C93,Roster!$B$6:$B$65,0),MATCH(C93,Roster!$C$6:$C$65,0))),"not on the Roster"))</f>
        <v/>
      </c>
      <c r="E93" s="106" t="n"/>
      <c r="F93" s="104">
        <f>IF(OR(A93="",C93="",B93=""),"",IFERROR(INDEX(CHOOSE(IF(YEAR(A93)&gt;PlanYear,13,MONTH(A93)),'Jan'!$D$27:$AH$266,'Feb'!$D$27:$AH$266,'Mar'!$D$27:$AH$266,'Apr'!$D$27:$AH$266,'May'!$D$27:$AH$266,'Jun'!$D$27:$AH$266,'Jul'!$D$27:$AH$266,'Aug'!$D$27:$AH$266,'Sep'!$D$27:$AH$266,'Oct'!$D$27:$AH$266,'Nov'!$D$27:$AH$266,'Dec'!$D$27:$AH$266,'Jan (next year)'!$D$27:$AH$266),27+4*(IFERROR(MATCH(C93,Roster!$B$6:$B$65,0),MATCH(C93,Roster!$C$6:$C$65,0))-1)+MATCH(B93,{"AM","PM","NIGHT","WD"},0)-1-27+1,DAY(A93))&amp;"",""))</f>
        <v/>
      </c>
      <c r="G93" s="123">
        <f>IF(OR(A93="",C93="",B93="",E93=""),"",IFERROR(A93&amp;"|"&amp;(27+4*(IFERROR(MATCH(C93,Roster!$B$6:$B$65,0),MATCH(C93,Roster!$C$6:$C$65,0))-1)+MATCH(B93,{"AM","PM","NIGHT","WD"},0)-1),""))</f>
        <v/>
      </c>
    </row>
    <row r="94">
      <c r="A94" s="122" t="n"/>
      <c r="B94" s="107" t="n"/>
      <c r="C94" s="105" t="n"/>
      <c r="D94" s="92">
        <f>IF(C94="","",IFERROR(INDEX(Roster!$C$6:$C$65,IFERROR(MATCH(C94,Roster!$B$6:$B$65,0),MATCH(C94,Roster!$C$6:$C$65,0))),"not on the Roster"))</f>
        <v/>
      </c>
      <c r="E94" s="106" t="n"/>
      <c r="F94" s="104">
        <f>IF(OR(A94="",C94="",B94=""),"",IFERROR(INDEX(CHOOSE(IF(YEAR(A94)&gt;PlanYear,13,MONTH(A94)),'Jan'!$D$27:$AH$266,'Feb'!$D$27:$AH$266,'Mar'!$D$27:$AH$266,'Apr'!$D$27:$AH$266,'May'!$D$27:$AH$266,'Jun'!$D$27:$AH$266,'Jul'!$D$27:$AH$266,'Aug'!$D$27:$AH$266,'Sep'!$D$27:$AH$266,'Oct'!$D$27:$AH$266,'Nov'!$D$27:$AH$266,'Dec'!$D$27:$AH$266,'Jan (next year)'!$D$27:$AH$266),27+4*(IFERROR(MATCH(C94,Roster!$B$6:$B$65,0),MATCH(C94,Roster!$C$6:$C$65,0))-1)+MATCH(B94,{"AM","PM","NIGHT","WD"},0)-1-27+1,DAY(A94))&amp;"",""))</f>
        <v/>
      </c>
      <c r="G94" s="123">
        <f>IF(OR(A94="",C94="",B94="",E94=""),"",IFERROR(A94&amp;"|"&amp;(27+4*(IFERROR(MATCH(C94,Roster!$B$6:$B$65,0),MATCH(C94,Roster!$C$6:$C$65,0))-1)+MATCH(B94,{"AM","PM","NIGHT","WD"},0)-1),""))</f>
        <v/>
      </c>
    </row>
    <row r="95">
      <c r="A95" s="122" t="n"/>
      <c r="B95" s="107" t="n"/>
      <c r="C95" s="105" t="n"/>
      <c r="D95" s="92">
        <f>IF(C95="","",IFERROR(INDEX(Roster!$C$6:$C$65,IFERROR(MATCH(C95,Roster!$B$6:$B$65,0),MATCH(C95,Roster!$C$6:$C$65,0))),"not on the Roster"))</f>
        <v/>
      </c>
      <c r="E95" s="106" t="n"/>
      <c r="F95" s="104">
        <f>IF(OR(A95="",C95="",B95=""),"",IFERROR(INDEX(CHOOSE(IF(YEAR(A95)&gt;PlanYear,13,MONTH(A95)),'Jan'!$D$27:$AH$266,'Feb'!$D$27:$AH$266,'Mar'!$D$27:$AH$266,'Apr'!$D$27:$AH$266,'May'!$D$27:$AH$266,'Jun'!$D$27:$AH$266,'Jul'!$D$27:$AH$266,'Aug'!$D$27:$AH$266,'Sep'!$D$27:$AH$266,'Oct'!$D$27:$AH$266,'Nov'!$D$27:$AH$266,'Dec'!$D$27:$AH$266,'Jan (next year)'!$D$27:$AH$266),27+4*(IFERROR(MATCH(C95,Roster!$B$6:$B$65,0),MATCH(C95,Roster!$C$6:$C$65,0))-1)+MATCH(B95,{"AM","PM","NIGHT","WD"},0)-1-27+1,DAY(A95))&amp;"",""))</f>
        <v/>
      </c>
      <c r="G95" s="123">
        <f>IF(OR(A95="",C95="",B95="",E95=""),"",IFERROR(A95&amp;"|"&amp;(27+4*(IFERROR(MATCH(C95,Roster!$B$6:$B$65,0),MATCH(C95,Roster!$C$6:$C$65,0))-1)+MATCH(B95,{"AM","PM","NIGHT","WD"},0)-1),""))</f>
        <v/>
      </c>
    </row>
    <row r="96">
      <c r="A96" s="122" t="n"/>
      <c r="B96" s="107" t="n"/>
      <c r="C96" s="105" t="n"/>
      <c r="D96" s="92">
        <f>IF(C96="","",IFERROR(INDEX(Roster!$C$6:$C$65,IFERROR(MATCH(C96,Roster!$B$6:$B$65,0),MATCH(C96,Roster!$C$6:$C$65,0))),"not on the Roster"))</f>
        <v/>
      </c>
      <c r="E96" s="106" t="n"/>
      <c r="F96" s="104">
        <f>IF(OR(A96="",C96="",B96=""),"",IFERROR(INDEX(CHOOSE(IF(YEAR(A96)&gt;PlanYear,13,MONTH(A96)),'Jan'!$D$27:$AH$266,'Feb'!$D$27:$AH$266,'Mar'!$D$27:$AH$266,'Apr'!$D$27:$AH$266,'May'!$D$27:$AH$266,'Jun'!$D$27:$AH$266,'Jul'!$D$27:$AH$266,'Aug'!$D$27:$AH$266,'Sep'!$D$27:$AH$266,'Oct'!$D$27:$AH$266,'Nov'!$D$27:$AH$266,'Dec'!$D$27:$AH$266,'Jan (next year)'!$D$27:$AH$266),27+4*(IFERROR(MATCH(C96,Roster!$B$6:$B$65,0),MATCH(C96,Roster!$C$6:$C$65,0))-1)+MATCH(B96,{"AM","PM","NIGHT","WD"},0)-1-27+1,DAY(A96))&amp;"",""))</f>
        <v/>
      </c>
      <c r="G96" s="123">
        <f>IF(OR(A96="",C96="",B96="",E96=""),"",IFERROR(A96&amp;"|"&amp;(27+4*(IFERROR(MATCH(C96,Roster!$B$6:$B$65,0),MATCH(C96,Roster!$C$6:$C$65,0))-1)+MATCH(B96,{"AM","PM","NIGHT","WD"},0)-1),""))</f>
        <v/>
      </c>
    </row>
    <row r="97">
      <c r="A97" s="122" t="n"/>
      <c r="B97" s="107" t="n"/>
      <c r="C97" s="105" t="n"/>
      <c r="D97" s="92">
        <f>IF(C97="","",IFERROR(INDEX(Roster!$C$6:$C$65,IFERROR(MATCH(C97,Roster!$B$6:$B$65,0),MATCH(C97,Roster!$C$6:$C$65,0))),"not on the Roster"))</f>
        <v/>
      </c>
      <c r="E97" s="106" t="n"/>
      <c r="F97" s="104">
        <f>IF(OR(A97="",C97="",B97=""),"",IFERROR(INDEX(CHOOSE(IF(YEAR(A97)&gt;PlanYear,13,MONTH(A97)),'Jan'!$D$27:$AH$266,'Feb'!$D$27:$AH$266,'Mar'!$D$27:$AH$266,'Apr'!$D$27:$AH$266,'May'!$D$27:$AH$266,'Jun'!$D$27:$AH$266,'Jul'!$D$27:$AH$266,'Aug'!$D$27:$AH$266,'Sep'!$D$27:$AH$266,'Oct'!$D$27:$AH$266,'Nov'!$D$27:$AH$266,'Dec'!$D$27:$AH$266,'Jan (next year)'!$D$27:$AH$266),27+4*(IFERROR(MATCH(C97,Roster!$B$6:$B$65,0),MATCH(C97,Roster!$C$6:$C$65,0))-1)+MATCH(B97,{"AM","PM","NIGHT","WD"},0)-1-27+1,DAY(A97))&amp;"",""))</f>
        <v/>
      </c>
      <c r="G97" s="123">
        <f>IF(OR(A97="",C97="",B97="",E97=""),"",IFERROR(A97&amp;"|"&amp;(27+4*(IFERROR(MATCH(C97,Roster!$B$6:$B$65,0),MATCH(C97,Roster!$C$6:$C$65,0))-1)+MATCH(B97,{"AM","PM","NIGHT","WD"},0)-1),""))</f>
        <v/>
      </c>
    </row>
    <row r="98">
      <c r="A98" s="122" t="n"/>
      <c r="B98" s="107" t="n"/>
      <c r="C98" s="105" t="n"/>
      <c r="D98" s="92">
        <f>IF(C98="","",IFERROR(INDEX(Roster!$C$6:$C$65,IFERROR(MATCH(C98,Roster!$B$6:$B$65,0),MATCH(C98,Roster!$C$6:$C$65,0))),"not on the Roster"))</f>
        <v/>
      </c>
      <c r="E98" s="106" t="n"/>
      <c r="F98" s="104">
        <f>IF(OR(A98="",C98="",B98=""),"",IFERROR(INDEX(CHOOSE(IF(YEAR(A98)&gt;PlanYear,13,MONTH(A98)),'Jan'!$D$27:$AH$266,'Feb'!$D$27:$AH$266,'Mar'!$D$27:$AH$266,'Apr'!$D$27:$AH$266,'May'!$D$27:$AH$266,'Jun'!$D$27:$AH$266,'Jul'!$D$27:$AH$266,'Aug'!$D$27:$AH$266,'Sep'!$D$27:$AH$266,'Oct'!$D$27:$AH$266,'Nov'!$D$27:$AH$266,'Dec'!$D$27:$AH$266,'Jan (next year)'!$D$27:$AH$266),27+4*(IFERROR(MATCH(C98,Roster!$B$6:$B$65,0),MATCH(C98,Roster!$C$6:$C$65,0))-1)+MATCH(B98,{"AM","PM","NIGHT","WD"},0)-1-27+1,DAY(A98))&amp;"",""))</f>
        <v/>
      </c>
      <c r="G98" s="123">
        <f>IF(OR(A98="",C98="",B98="",E98=""),"",IFERROR(A98&amp;"|"&amp;(27+4*(IFERROR(MATCH(C98,Roster!$B$6:$B$65,0),MATCH(C98,Roster!$C$6:$C$65,0))-1)+MATCH(B98,{"AM","PM","NIGHT","WD"},0)-1),""))</f>
        <v/>
      </c>
    </row>
    <row r="99">
      <c r="A99" s="122" t="n"/>
      <c r="B99" s="107" t="n"/>
      <c r="C99" s="105" t="n"/>
      <c r="D99" s="92">
        <f>IF(C99="","",IFERROR(INDEX(Roster!$C$6:$C$65,IFERROR(MATCH(C99,Roster!$B$6:$B$65,0),MATCH(C99,Roster!$C$6:$C$65,0))),"not on the Roster"))</f>
        <v/>
      </c>
      <c r="E99" s="106" t="n"/>
      <c r="F99" s="104">
        <f>IF(OR(A99="",C99="",B99=""),"",IFERROR(INDEX(CHOOSE(IF(YEAR(A99)&gt;PlanYear,13,MONTH(A99)),'Jan'!$D$27:$AH$266,'Feb'!$D$27:$AH$266,'Mar'!$D$27:$AH$266,'Apr'!$D$27:$AH$266,'May'!$D$27:$AH$266,'Jun'!$D$27:$AH$266,'Jul'!$D$27:$AH$266,'Aug'!$D$27:$AH$266,'Sep'!$D$27:$AH$266,'Oct'!$D$27:$AH$266,'Nov'!$D$27:$AH$266,'Dec'!$D$27:$AH$266,'Jan (next year)'!$D$27:$AH$266),27+4*(IFERROR(MATCH(C99,Roster!$B$6:$B$65,0),MATCH(C99,Roster!$C$6:$C$65,0))-1)+MATCH(B99,{"AM","PM","NIGHT","WD"},0)-1-27+1,DAY(A99))&amp;"",""))</f>
        <v/>
      </c>
      <c r="G99" s="123">
        <f>IF(OR(A99="",C99="",B99="",E99=""),"",IFERROR(A99&amp;"|"&amp;(27+4*(IFERROR(MATCH(C99,Roster!$B$6:$B$65,0),MATCH(C99,Roster!$C$6:$C$65,0))-1)+MATCH(B99,{"AM","PM","NIGHT","WD"},0)-1),""))</f>
        <v/>
      </c>
    </row>
    <row r="100">
      <c r="A100" s="122" t="n"/>
      <c r="B100" s="107" t="n"/>
      <c r="C100" s="105" t="n"/>
      <c r="D100" s="92">
        <f>IF(C100="","",IFERROR(INDEX(Roster!$C$6:$C$65,IFERROR(MATCH(C100,Roster!$B$6:$B$65,0),MATCH(C100,Roster!$C$6:$C$65,0))),"not on the Roster"))</f>
        <v/>
      </c>
      <c r="E100" s="106" t="n"/>
      <c r="F100" s="104">
        <f>IF(OR(A100="",C100="",B100=""),"",IFERROR(INDEX(CHOOSE(IF(YEAR(A100)&gt;PlanYear,13,MONTH(A100)),'Jan'!$D$27:$AH$266,'Feb'!$D$27:$AH$266,'Mar'!$D$27:$AH$266,'Apr'!$D$27:$AH$266,'May'!$D$27:$AH$266,'Jun'!$D$27:$AH$266,'Jul'!$D$27:$AH$266,'Aug'!$D$27:$AH$266,'Sep'!$D$27:$AH$266,'Oct'!$D$27:$AH$266,'Nov'!$D$27:$AH$266,'Dec'!$D$27:$AH$266,'Jan (next year)'!$D$27:$AH$266),27+4*(IFERROR(MATCH(C100,Roster!$B$6:$B$65,0),MATCH(C100,Roster!$C$6:$C$65,0))-1)+MATCH(B100,{"AM","PM","NIGHT","WD"},0)-1-27+1,DAY(A100))&amp;"",""))</f>
        <v/>
      </c>
      <c r="G100" s="123">
        <f>IF(OR(A100="",C100="",B100="",E100=""),"",IFERROR(A100&amp;"|"&amp;(27+4*(IFERROR(MATCH(C100,Roster!$B$6:$B$65,0),MATCH(C100,Roster!$C$6:$C$65,0))-1)+MATCH(B100,{"AM","PM","NIGHT","WD"},0)-1),""))</f>
        <v/>
      </c>
    </row>
    <row r="101">
      <c r="A101" s="122" t="n"/>
      <c r="B101" s="107" t="n"/>
      <c r="C101" s="105" t="n"/>
      <c r="D101" s="92">
        <f>IF(C101="","",IFERROR(INDEX(Roster!$C$6:$C$65,IFERROR(MATCH(C101,Roster!$B$6:$B$65,0),MATCH(C101,Roster!$C$6:$C$65,0))),"not on the Roster"))</f>
        <v/>
      </c>
      <c r="E101" s="106" t="n"/>
      <c r="F101" s="104">
        <f>IF(OR(A101="",C101="",B101=""),"",IFERROR(INDEX(CHOOSE(IF(YEAR(A101)&gt;PlanYear,13,MONTH(A101)),'Jan'!$D$27:$AH$266,'Feb'!$D$27:$AH$266,'Mar'!$D$27:$AH$266,'Apr'!$D$27:$AH$266,'May'!$D$27:$AH$266,'Jun'!$D$27:$AH$266,'Jul'!$D$27:$AH$266,'Aug'!$D$27:$AH$266,'Sep'!$D$27:$AH$266,'Oct'!$D$27:$AH$266,'Nov'!$D$27:$AH$266,'Dec'!$D$27:$AH$266,'Jan (next year)'!$D$27:$AH$266),27+4*(IFERROR(MATCH(C101,Roster!$B$6:$B$65,0),MATCH(C101,Roster!$C$6:$C$65,0))-1)+MATCH(B101,{"AM","PM","NIGHT","WD"},0)-1-27+1,DAY(A101))&amp;"",""))</f>
        <v/>
      </c>
      <c r="G101" s="123">
        <f>IF(OR(A101="",C101="",B101="",E101=""),"",IFERROR(A101&amp;"|"&amp;(27+4*(IFERROR(MATCH(C101,Roster!$B$6:$B$65,0),MATCH(C101,Roster!$C$6:$C$65,0))-1)+MATCH(B101,{"AM","PM","NIGHT","WD"},0)-1),""))</f>
        <v/>
      </c>
    </row>
    <row r="102">
      <c r="A102" s="122" t="n"/>
      <c r="B102" s="107" t="n"/>
      <c r="C102" s="105" t="n"/>
      <c r="D102" s="92">
        <f>IF(C102="","",IFERROR(INDEX(Roster!$C$6:$C$65,IFERROR(MATCH(C102,Roster!$B$6:$B$65,0),MATCH(C102,Roster!$C$6:$C$65,0))),"not on the Roster"))</f>
        <v/>
      </c>
      <c r="E102" s="106" t="n"/>
      <c r="F102" s="104">
        <f>IF(OR(A102="",C102="",B102=""),"",IFERROR(INDEX(CHOOSE(IF(YEAR(A102)&gt;PlanYear,13,MONTH(A102)),'Jan'!$D$27:$AH$266,'Feb'!$D$27:$AH$266,'Mar'!$D$27:$AH$266,'Apr'!$D$27:$AH$266,'May'!$D$27:$AH$266,'Jun'!$D$27:$AH$266,'Jul'!$D$27:$AH$266,'Aug'!$D$27:$AH$266,'Sep'!$D$27:$AH$266,'Oct'!$D$27:$AH$266,'Nov'!$D$27:$AH$266,'Dec'!$D$27:$AH$266,'Jan (next year)'!$D$27:$AH$266),27+4*(IFERROR(MATCH(C102,Roster!$B$6:$B$65,0),MATCH(C102,Roster!$C$6:$C$65,0))-1)+MATCH(B102,{"AM","PM","NIGHT","WD"},0)-1-27+1,DAY(A102))&amp;"",""))</f>
        <v/>
      </c>
      <c r="G102" s="123">
        <f>IF(OR(A102="",C102="",B102="",E102=""),"",IFERROR(A102&amp;"|"&amp;(27+4*(IFERROR(MATCH(C102,Roster!$B$6:$B$65,0),MATCH(C102,Roster!$C$6:$C$65,0))-1)+MATCH(B102,{"AM","PM","NIGHT","WD"},0)-1),""))</f>
        <v/>
      </c>
    </row>
    <row r="103">
      <c r="A103" s="122" t="n"/>
      <c r="B103" s="107" t="n"/>
      <c r="C103" s="105" t="n"/>
      <c r="D103" s="92">
        <f>IF(C103="","",IFERROR(INDEX(Roster!$C$6:$C$65,IFERROR(MATCH(C103,Roster!$B$6:$B$65,0),MATCH(C103,Roster!$C$6:$C$65,0))),"not on the Roster"))</f>
        <v/>
      </c>
      <c r="E103" s="106" t="n"/>
      <c r="F103" s="104">
        <f>IF(OR(A103="",C103="",B103=""),"",IFERROR(INDEX(CHOOSE(IF(YEAR(A103)&gt;PlanYear,13,MONTH(A103)),'Jan'!$D$27:$AH$266,'Feb'!$D$27:$AH$266,'Mar'!$D$27:$AH$266,'Apr'!$D$27:$AH$266,'May'!$D$27:$AH$266,'Jun'!$D$27:$AH$266,'Jul'!$D$27:$AH$266,'Aug'!$D$27:$AH$266,'Sep'!$D$27:$AH$266,'Oct'!$D$27:$AH$266,'Nov'!$D$27:$AH$266,'Dec'!$D$27:$AH$266,'Jan (next year)'!$D$27:$AH$266),27+4*(IFERROR(MATCH(C103,Roster!$B$6:$B$65,0),MATCH(C103,Roster!$C$6:$C$65,0))-1)+MATCH(B103,{"AM","PM","NIGHT","WD"},0)-1-27+1,DAY(A103))&amp;"",""))</f>
        <v/>
      </c>
      <c r="G103" s="123">
        <f>IF(OR(A103="",C103="",B103="",E103=""),"",IFERROR(A103&amp;"|"&amp;(27+4*(IFERROR(MATCH(C103,Roster!$B$6:$B$65,0),MATCH(C103,Roster!$C$6:$C$65,0))-1)+MATCH(B103,{"AM","PM","NIGHT","WD"},0)-1),""))</f>
        <v/>
      </c>
    </row>
    <row r="104">
      <c r="A104" s="122" t="n"/>
      <c r="B104" s="107" t="n"/>
      <c r="C104" s="105" t="n"/>
      <c r="D104" s="92">
        <f>IF(C104="","",IFERROR(INDEX(Roster!$C$6:$C$65,IFERROR(MATCH(C104,Roster!$B$6:$B$65,0),MATCH(C104,Roster!$C$6:$C$65,0))),"not on the Roster"))</f>
        <v/>
      </c>
      <c r="E104" s="106" t="n"/>
      <c r="F104" s="104">
        <f>IF(OR(A104="",C104="",B104=""),"",IFERROR(INDEX(CHOOSE(IF(YEAR(A104)&gt;PlanYear,13,MONTH(A104)),'Jan'!$D$27:$AH$266,'Feb'!$D$27:$AH$266,'Mar'!$D$27:$AH$266,'Apr'!$D$27:$AH$266,'May'!$D$27:$AH$266,'Jun'!$D$27:$AH$266,'Jul'!$D$27:$AH$266,'Aug'!$D$27:$AH$266,'Sep'!$D$27:$AH$266,'Oct'!$D$27:$AH$266,'Nov'!$D$27:$AH$266,'Dec'!$D$27:$AH$266,'Jan (next year)'!$D$27:$AH$266),27+4*(IFERROR(MATCH(C104,Roster!$B$6:$B$65,0),MATCH(C104,Roster!$C$6:$C$65,0))-1)+MATCH(B104,{"AM","PM","NIGHT","WD"},0)-1-27+1,DAY(A104))&amp;"",""))</f>
        <v/>
      </c>
      <c r="G104" s="123">
        <f>IF(OR(A104="",C104="",B104="",E104=""),"",IFERROR(A104&amp;"|"&amp;(27+4*(IFERROR(MATCH(C104,Roster!$B$6:$B$65,0),MATCH(C104,Roster!$C$6:$C$65,0))-1)+MATCH(B104,{"AM","PM","NIGHT","WD"},0)-1),""))</f>
        <v/>
      </c>
    </row>
    <row r="105">
      <c r="A105" s="122" t="n"/>
      <c r="B105" s="107" t="n"/>
      <c r="C105" s="105" t="n"/>
      <c r="D105" s="92">
        <f>IF(C105="","",IFERROR(INDEX(Roster!$C$6:$C$65,IFERROR(MATCH(C105,Roster!$B$6:$B$65,0),MATCH(C105,Roster!$C$6:$C$65,0))),"not on the Roster"))</f>
        <v/>
      </c>
      <c r="E105" s="106" t="n"/>
      <c r="F105" s="104">
        <f>IF(OR(A105="",C105="",B105=""),"",IFERROR(INDEX(CHOOSE(IF(YEAR(A105)&gt;PlanYear,13,MONTH(A105)),'Jan'!$D$27:$AH$266,'Feb'!$D$27:$AH$266,'Mar'!$D$27:$AH$266,'Apr'!$D$27:$AH$266,'May'!$D$27:$AH$266,'Jun'!$D$27:$AH$266,'Jul'!$D$27:$AH$266,'Aug'!$D$27:$AH$266,'Sep'!$D$27:$AH$266,'Oct'!$D$27:$AH$266,'Nov'!$D$27:$AH$266,'Dec'!$D$27:$AH$266,'Jan (next year)'!$D$27:$AH$266),27+4*(IFERROR(MATCH(C105,Roster!$B$6:$B$65,0),MATCH(C105,Roster!$C$6:$C$65,0))-1)+MATCH(B105,{"AM","PM","NIGHT","WD"},0)-1-27+1,DAY(A105))&amp;"",""))</f>
        <v/>
      </c>
      <c r="G105" s="123">
        <f>IF(OR(A105="",C105="",B105="",E105=""),"",IFERROR(A105&amp;"|"&amp;(27+4*(IFERROR(MATCH(C105,Roster!$B$6:$B$65,0),MATCH(C105,Roster!$C$6:$C$65,0))-1)+MATCH(B105,{"AM","PM","NIGHT","WD"},0)-1),""))</f>
        <v/>
      </c>
    </row>
    <row r="106">
      <c r="A106" s="122" t="n"/>
      <c r="B106" s="107" t="n"/>
      <c r="C106" s="105" t="n"/>
      <c r="D106" s="92">
        <f>IF(C106="","",IFERROR(INDEX(Roster!$C$6:$C$65,IFERROR(MATCH(C106,Roster!$B$6:$B$65,0),MATCH(C106,Roster!$C$6:$C$65,0))),"not on the Roster"))</f>
        <v/>
      </c>
      <c r="E106" s="106" t="n"/>
      <c r="F106" s="104">
        <f>IF(OR(A106="",C106="",B106=""),"",IFERROR(INDEX(CHOOSE(IF(YEAR(A106)&gt;PlanYear,13,MONTH(A106)),'Jan'!$D$27:$AH$266,'Feb'!$D$27:$AH$266,'Mar'!$D$27:$AH$266,'Apr'!$D$27:$AH$266,'May'!$D$27:$AH$266,'Jun'!$D$27:$AH$266,'Jul'!$D$27:$AH$266,'Aug'!$D$27:$AH$266,'Sep'!$D$27:$AH$266,'Oct'!$D$27:$AH$266,'Nov'!$D$27:$AH$266,'Dec'!$D$27:$AH$266,'Jan (next year)'!$D$27:$AH$266),27+4*(IFERROR(MATCH(C106,Roster!$B$6:$B$65,0),MATCH(C106,Roster!$C$6:$C$65,0))-1)+MATCH(B106,{"AM","PM","NIGHT","WD"},0)-1-27+1,DAY(A106))&amp;"",""))</f>
        <v/>
      </c>
      <c r="G106" s="123">
        <f>IF(OR(A106="",C106="",B106="",E106=""),"",IFERROR(A106&amp;"|"&amp;(27+4*(IFERROR(MATCH(C106,Roster!$B$6:$B$65,0),MATCH(C106,Roster!$C$6:$C$65,0))-1)+MATCH(B106,{"AM","PM","NIGHT","WD"},0)-1),""))</f>
        <v/>
      </c>
    </row>
    <row r="107">
      <c r="A107" s="122" t="n"/>
      <c r="B107" s="107" t="n"/>
      <c r="C107" s="105" t="n"/>
      <c r="D107" s="92">
        <f>IF(C107="","",IFERROR(INDEX(Roster!$C$6:$C$65,IFERROR(MATCH(C107,Roster!$B$6:$B$65,0),MATCH(C107,Roster!$C$6:$C$65,0))),"not on the Roster"))</f>
        <v/>
      </c>
      <c r="E107" s="106" t="n"/>
      <c r="F107" s="104">
        <f>IF(OR(A107="",C107="",B107=""),"",IFERROR(INDEX(CHOOSE(IF(YEAR(A107)&gt;PlanYear,13,MONTH(A107)),'Jan'!$D$27:$AH$266,'Feb'!$D$27:$AH$266,'Mar'!$D$27:$AH$266,'Apr'!$D$27:$AH$266,'May'!$D$27:$AH$266,'Jun'!$D$27:$AH$266,'Jul'!$D$27:$AH$266,'Aug'!$D$27:$AH$266,'Sep'!$D$27:$AH$266,'Oct'!$D$27:$AH$266,'Nov'!$D$27:$AH$266,'Dec'!$D$27:$AH$266,'Jan (next year)'!$D$27:$AH$266),27+4*(IFERROR(MATCH(C107,Roster!$B$6:$B$65,0),MATCH(C107,Roster!$C$6:$C$65,0))-1)+MATCH(B107,{"AM","PM","NIGHT","WD"},0)-1-27+1,DAY(A107))&amp;"",""))</f>
        <v/>
      </c>
      <c r="G107" s="123">
        <f>IF(OR(A107="",C107="",B107="",E107=""),"",IFERROR(A107&amp;"|"&amp;(27+4*(IFERROR(MATCH(C107,Roster!$B$6:$B$65,0),MATCH(C107,Roster!$C$6:$C$65,0))-1)+MATCH(B107,{"AM","PM","NIGHT","WD"},0)-1),""))</f>
        <v/>
      </c>
    </row>
    <row r="108">
      <c r="A108" s="122" t="n"/>
      <c r="B108" s="107" t="n"/>
      <c r="C108" s="105" t="n"/>
      <c r="D108" s="92">
        <f>IF(C108="","",IFERROR(INDEX(Roster!$C$6:$C$65,IFERROR(MATCH(C108,Roster!$B$6:$B$65,0),MATCH(C108,Roster!$C$6:$C$65,0))),"not on the Roster"))</f>
        <v/>
      </c>
      <c r="E108" s="106" t="n"/>
      <c r="F108" s="104">
        <f>IF(OR(A108="",C108="",B108=""),"",IFERROR(INDEX(CHOOSE(IF(YEAR(A108)&gt;PlanYear,13,MONTH(A108)),'Jan'!$D$27:$AH$266,'Feb'!$D$27:$AH$266,'Mar'!$D$27:$AH$266,'Apr'!$D$27:$AH$266,'May'!$D$27:$AH$266,'Jun'!$D$27:$AH$266,'Jul'!$D$27:$AH$266,'Aug'!$D$27:$AH$266,'Sep'!$D$27:$AH$266,'Oct'!$D$27:$AH$266,'Nov'!$D$27:$AH$266,'Dec'!$D$27:$AH$266,'Jan (next year)'!$D$27:$AH$266),27+4*(IFERROR(MATCH(C108,Roster!$B$6:$B$65,0),MATCH(C108,Roster!$C$6:$C$65,0))-1)+MATCH(B108,{"AM","PM","NIGHT","WD"},0)-1-27+1,DAY(A108))&amp;"",""))</f>
        <v/>
      </c>
      <c r="G108" s="123">
        <f>IF(OR(A108="",C108="",B108="",E108=""),"",IFERROR(A108&amp;"|"&amp;(27+4*(IFERROR(MATCH(C108,Roster!$B$6:$B$65,0),MATCH(C108,Roster!$C$6:$C$65,0))-1)+MATCH(B108,{"AM","PM","NIGHT","WD"},0)-1),""))</f>
        <v/>
      </c>
    </row>
    <row r="109">
      <c r="A109" s="122" t="n"/>
      <c r="B109" s="107" t="n"/>
      <c r="C109" s="105" t="n"/>
      <c r="D109" s="92">
        <f>IF(C109="","",IFERROR(INDEX(Roster!$C$6:$C$65,IFERROR(MATCH(C109,Roster!$B$6:$B$65,0),MATCH(C109,Roster!$C$6:$C$65,0))),"not on the Roster"))</f>
        <v/>
      </c>
      <c r="E109" s="106" t="n"/>
      <c r="F109" s="104">
        <f>IF(OR(A109="",C109="",B109=""),"",IFERROR(INDEX(CHOOSE(IF(YEAR(A109)&gt;PlanYear,13,MONTH(A109)),'Jan'!$D$27:$AH$266,'Feb'!$D$27:$AH$266,'Mar'!$D$27:$AH$266,'Apr'!$D$27:$AH$266,'May'!$D$27:$AH$266,'Jun'!$D$27:$AH$266,'Jul'!$D$27:$AH$266,'Aug'!$D$27:$AH$266,'Sep'!$D$27:$AH$266,'Oct'!$D$27:$AH$266,'Nov'!$D$27:$AH$266,'Dec'!$D$27:$AH$266,'Jan (next year)'!$D$27:$AH$266),27+4*(IFERROR(MATCH(C109,Roster!$B$6:$B$65,0),MATCH(C109,Roster!$C$6:$C$65,0))-1)+MATCH(B109,{"AM","PM","NIGHT","WD"},0)-1-27+1,DAY(A109))&amp;"",""))</f>
        <v/>
      </c>
      <c r="G109" s="123">
        <f>IF(OR(A109="",C109="",B109="",E109=""),"",IFERROR(A109&amp;"|"&amp;(27+4*(IFERROR(MATCH(C109,Roster!$B$6:$B$65,0),MATCH(C109,Roster!$C$6:$C$65,0))-1)+MATCH(B109,{"AM","PM","NIGHT","WD"},0)-1),""))</f>
        <v/>
      </c>
    </row>
    <row r="110">
      <c r="A110" s="122" t="n"/>
      <c r="B110" s="107" t="n"/>
      <c r="C110" s="105" t="n"/>
      <c r="D110" s="92">
        <f>IF(C110="","",IFERROR(INDEX(Roster!$C$6:$C$65,IFERROR(MATCH(C110,Roster!$B$6:$B$65,0),MATCH(C110,Roster!$C$6:$C$65,0))),"not on the Roster"))</f>
        <v/>
      </c>
      <c r="E110" s="106" t="n"/>
      <c r="F110" s="104">
        <f>IF(OR(A110="",C110="",B110=""),"",IFERROR(INDEX(CHOOSE(IF(YEAR(A110)&gt;PlanYear,13,MONTH(A110)),'Jan'!$D$27:$AH$266,'Feb'!$D$27:$AH$266,'Mar'!$D$27:$AH$266,'Apr'!$D$27:$AH$266,'May'!$D$27:$AH$266,'Jun'!$D$27:$AH$266,'Jul'!$D$27:$AH$266,'Aug'!$D$27:$AH$266,'Sep'!$D$27:$AH$266,'Oct'!$D$27:$AH$266,'Nov'!$D$27:$AH$266,'Dec'!$D$27:$AH$266,'Jan (next year)'!$D$27:$AH$266),27+4*(IFERROR(MATCH(C110,Roster!$B$6:$B$65,0),MATCH(C110,Roster!$C$6:$C$65,0))-1)+MATCH(B110,{"AM","PM","NIGHT","WD"},0)-1-27+1,DAY(A110))&amp;"",""))</f>
        <v/>
      </c>
      <c r="G110" s="123">
        <f>IF(OR(A110="",C110="",B110="",E110=""),"",IFERROR(A110&amp;"|"&amp;(27+4*(IFERROR(MATCH(C110,Roster!$B$6:$B$65,0),MATCH(C110,Roster!$C$6:$C$65,0))-1)+MATCH(B110,{"AM","PM","NIGHT","WD"},0)-1),""))</f>
        <v/>
      </c>
    </row>
    <row r="111">
      <c r="A111" s="122" t="n"/>
      <c r="B111" s="107" t="n"/>
      <c r="C111" s="105" t="n"/>
      <c r="D111" s="92">
        <f>IF(C111="","",IFERROR(INDEX(Roster!$C$6:$C$65,IFERROR(MATCH(C111,Roster!$B$6:$B$65,0),MATCH(C111,Roster!$C$6:$C$65,0))),"not on the Roster"))</f>
        <v/>
      </c>
      <c r="E111" s="106" t="n"/>
      <c r="F111" s="104">
        <f>IF(OR(A111="",C111="",B111=""),"",IFERROR(INDEX(CHOOSE(IF(YEAR(A111)&gt;PlanYear,13,MONTH(A111)),'Jan'!$D$27:$AH$266,'Feb'!$D$27:$AH$266,'Mar'!$D$27:$AH$266,'Apr'!$D$27:$AH$266,'May'!$D$27:$AH$266,'Jun'!$D$27:$AH$266,'Jul'!$D$27:$AH$266,'Aug'!$D$27:$AH$266,'Sep'!$D$27:$AH$266,'Oct'!$D$27:$AH$266,'Nov'!$D$27:$AH$266,'Dec'!$D$27:$AH$266,'Jan (next year)'!$D$27:$AH$266),27+4*(IFERROR(MATCH(C111,Roster!$B$6:$B$65,0),MATCH(C111,Roster!$C$6:$C$65,0))-1)+MATCH(B111,{"AM","PM","NIGHT","WD"},0)-1-27+1,DAY(A111))&amp;"",""))</f>
        <v/>
      </c>
      <c r="G111" s="123">
        <f>IF(OR(A111="",C111="",B111="",E111=""),"",IFERROR(A111&amp;"|"&amp;(27+4*(IFERROR(MATCH(C111,Roster!$B$6:$B$65,0),MATCH(C111,Roster!$C$6:$C$65,0))-1)+MATCH(B111,{"AM","PM","NIGHT","WD"},0)-1),""))</f>
        <v/>
      </c>
    </row>
    <row r="112">
      <c r="A112" s="122" t="n"/>
      <c r="B112" s="107" t="n"/>
      <c r="C112" s="105" t="n"/>
      <c r="D112" s="92">
        <f>IF(C112="","",IFERROR(INDEX(Roster!$C$6:$C$65,IFERROR(MATCH(C112,Roster!$B$6:$B$65,0),MATCH(C112,Roster!$C$6:$C$65,0))),"not on the Roster"))</f>
        <v/>
      </c>
      <c r="E112" s="106" t="n"/>
      <c r="F112" s="104">
        <f>IF(OR(A112="",C112="",B112=""),"",IFERROR(INDEX(CHOOSE(IF(YEAR(A112)&gt;PlanYear,13,MONTH(A112)),'Jan'!$D$27:$AH$266,'Feb'!$D$27:$AH$266,'Mar'!$D$27:$AH$266,'Apr'!$D$27:$AH$266,'May'!$D$27:$AH$266,'Jun'!$D$27:$AH$266,'Jul'!$D$27:$AH$266,'Aug'!$D$27:$AH$266,'Sep'!$D$27:$AH$266,'Oct'!$D$27:$AH$266,'Nov'!$D$27:$AH$266,'Dec'!$D$27:$AH$266,'Jan (next year)'!$D$27:$AH$266),27+4*(IFERROR(MATCH(C112,Roster!$B$6:$B$65,0),MATCH(C112,Roster!$C$6:$C$65,0))-1)+MATCH(B112,{"AM","PM","NIGHT","WD"},0)-1-27+1,DAY(A112))&amp;"",""))</f>
        <v/>
      </c>
      <c r="G112" s="123">
        <f>IF(OR(A112="",C112="",B112="",E112=""),"",IFERROR(A112&amp;"|"&amp;(27+4*(IFERROR(MATCH(C112,Roster!$B$6:$B$65,0),MATCH(C112,Roster!$C$6:$C$65,0))-1)+MATCH(B112,{"AM","PM","NIGHT","WD"},0)-1),""))</f>
        <v/>
      </c>
    </row>
    <row r="113">
      <c r="A113" s="122" t="n"/>
      <c r="B113" s="107" t="n"/>
      <c r="C113" s="105" t="n"/>
      <c r="D113" s="92">
        <f>IF(C113="","",IFERROR(INDEX(Roster!$C$6:$C$65,IFERROR(MATCH(C113,Roster!$B$6:$B$65,0),MATCH(C113,Roster!$C$6:$C$65,0))),"not on the Roster"))</f>
        <v/>
      </c>
      <c r="E113" s="106" t="n"/>
      <c r="F113" s="104">
        <f>IF(OR(A113="",C113="",B113=""),"",IFERROR(INDEX(CHOOSE(IF(YEAR(A113)&gt;PlanYear,13,MONTH(A113)),'Jan'!$D$27:$AH$266,'Feb'!$D$27:$AH$266,'Mar'!$D$27:$AH$266,'Apr'!$D$27:$AH$266,'May'!$D$27:$AH$266,'Jun'!$D$27:$AH$266,'Jul'!$D$27:$AH$266,'Aug'!$D$27:$AH$266,'Sep'!$D$27:$AH$266,'Oct'!$D$27:$AH$266,'Nov'!$D$27:$AH$266,'Dec'!$D$27:$AH$266,'Jan (next year)'!$D$27:$AH$266),27+4*(IFERROR(MATCH(C113,Roster!$B$6:$B$65,0),MATCH(C113,Roster!$C$6:$C$65,0))-1)+MATCH(B113,{"AM","PM","NIGHT","WD"},0)-1-27+1,DAY(A113))&amp;"",""))</f>
        <v/>
      </c>
      <c r="G113" s="123">
        <f>IF(OR(A113="",C113="",B113="",E113=""),"",IFERROR(A113&amp;"|"&amp;(27+4*(IFERROR(MATCH(C113,Roster!$B$6:$B$65,0),MATCH(C113,Roster!$C$6:$C$65,0))-1)+MATCH(B113,{"AM","PM","NIGHT","WD"},0)-1),""))</f>
        <v/>
      </c>
    </row>
    <row r="114">
      <c r="A114" s="122" t="n"/>
      <c r="B114" s="107" t="n"/>
      <c r="C114" s="105" t="n"/>
      <c r="D114" s="92">
        <f>IF(C114="","",IFERROR(INDEX(Roster!$C$6:$C$65,IFERROR(MATCH(C114,Roster!$B$6:$B$65,0),MATCH(C114,Roster!$C$6:$C$65,0))),"not on the Roster"))</f>
        <v/>
      </c>
      <c r="E114" s="106" t="n"/>
      <c r="F114" s="104">
        <f>IF(OR(A114="",C114="",B114=""),"",IFERROR(INDEX(CHOOSE(IF(YEAR(A114)&gt;PlanYear,13,MONTH(A114)),'Jan'!$D$27:$AH$266,'Feb'!$D$27:$AH$266,'Mar'!$D$27:$AH$266,'Apr'!$D$27:$AH$266,'May'!$D$27:$AH$266,'Jun'!$D$27:$AH$266,'Jul'!$D$27:$AH$266,'Aug'!$D$27:$AH$266,'Sep'!$D$27:$AH$266,'Oct'!$D$27:$AH$266,'Nov'!$D$27:$AH$266,'Dec'!$D$27:$AH$266,'Jan (next year)'!$D$27:$AH$266),27+4*(IFERROR(MATCH(C114,Roster!$B$6:$B$65,0),MATCH(C114,Roster!$C$6:$C$65,0))-1)+MATCH(B114,{"AM","PM","NIGHT","WD"},0)-1-27+1,DAY(A114))&amp;"",""))</f>
        <v/>
      </c>
      <c r="G114" s="123">
        <f>IF(OR(A114="",C114="",B114="",E114=""),"",IFERROR(A114&amp;"|"&amp;(27+4*(IFERROR(MATCH(C114,Roster!$B$6:$B$65,0),MATCH(C114,Roster!$C$6:$C$65,0))-1)+MATCH(B114,{"AM","PM","NIGHT","WD"},0)-1),""))</f>
        <v/>
      </c>
    </row>
    <row r="115">
      <c r="A115" s="122" t="n"/>
      <c r="B115" s="107" t="n"/>
      <c r="C115" s="105" t="n"/>
      <c r="D115" s="92">
        <f>IF(C115="","",IFERROR(INDEX(Roster!$C$6:$C$65,IFERROR(MATCH(C115,Roster!$B$6:$B$65,0),MATCH(C115,Roster!$C$6:$C$65,0))),"not on the Roster"))</f>
        <v/>
      </c>
      <c r="E115" s="106" t="n"/>
      <c r="F115" s="104">
        <f>IF(OR(A115="",C115="",B115=""),"",IFERROR(INDEX(CHOOSE(IF(YEAR(A115)&gt;PlanYear,13,MONTH(A115)),'Jan'!$D$27:$AH$266,'Feb'!$D$27:$AH$266,'Mar'!$D$27:$AH$266,'Apr'!$D$27:$AH$266,'May'!$D$27:$AH$266,'Jun'!$D$27:$AH$266,'Jul'!$D$27:$AH$266,'Aug'!$D$27:$AH$266,'Sep'!$D$27:$AH$266,'Oct'!$D$27:$AH$266,'Nov'!$D$27:$AH$266,'Dec'!$D$27:$AH$266,'Jan (next year)'!$D$27:$AH$266),27+4*(IFERROR(MATCH(C115,Roster!$B$6:$B$65,0),MATCH(C115,Roster!$C$6:$C$65,0))-1)+MATCH(B115,{"AM","PM","NIGHT","WD"},0)-1-27+1,DAY(A115))&amp;"",""))</f>
        <v/>
      </c>
      <c r="G115" s="123">
        <f>IF(OR(A115="",C115="",B115="",E115=""),"",IFERROR(A115&amp;"|"&amp;(27+4*(IFERROR(MATCH(C115,Roster!$B$6:$B$65,0),MATCH(C115,Roster!$C$6:$C$65,0))-1)+MATCH(B115,{"AM","PM","NIGHT","WD"},0)-1),""))</f>
        <v/>
      </c>
    </row>
    <row r="116">
      <c r="A116" s="122" t="n"/>
      <c r="B116" s="107" t="n"/>
      <c r="C116" s="105" t="n"/>
      <c r="D116" s="92">
        <f>IF(C116="","",IFERROR(INDEX(Roster!$C$6:$C$65,IFERROR(MATCH(C116,Roster!$B$6:$B$65,0),MATCH(C116,Roster!$C$6:$C$65,0))),"not on the Roster"))</f>
        <v/>
      </c>
      <c r="E116" s="106" t="n"/>
      <c r="F116" s="104">
        <f>IF(OR(A116="",C116="",B116=""),"",IFERROR(INDEX(CHOOSE(IF(YEAR(A116)&gt;PlanYear,13,MONTH(A116)),'Jan'!$D$27:$AH$266,'Feb'!$D$27:$AH$266,'Mar'!$D$27:$AH$266,'Apr'!$D$27:$AH$266,'May'!$D$27:$AH$266,'Jun'!$D$27:$AH$266,'Jul'!$D$27:$AH$266,'Aug'!$D$27:$AH$266,'Sep'!$D$27:$AH$266,'Oct'!$D$27:$AH$266,'Nov'!$D$27:$AH$266,'Dec'!$D$27:$AH$266,'Jan (next year)'!$D$27:$AH$266),27+4*(IFERROR(MATCH(C116,Roster!$B$6:$B$65,0),MATCH(C116,Roster!$C$6:$C$65,0))-1)+MATCH(B116,{"AM","PM","NIGHT","WD"},0)-1-27+1,DAY(A116))&amp;"",""))</f>
        <v/>
      </c>
      <c r="G116" s="123">
        <f>IF(OR(A116="",C116="",B116="",E116=""),"",IFERROR(A116&amp;"|"&amp;(27+4*(IFERROR(MATCH(C116,Roster!$B$6:$B$65,0),MATCH(C116,Roster!$C$6:$C$65,0))-1)+MATCH(B116,{"AM","PM","NIGHT","WD"},0)-1),""))</f>
        <v/>
      </c>
    </row>
    <row r="117">
      <c r="A117" s="122" t="n"/>
      <c r="B117" s="107" t="n"/>
      <c r="C117" s="105" t="n"/>
      <c r="D117" s="92">
        <f>IF(C117="","",IFERROR(INDEX(Roster!$C$6:$C$65,IFERROR(MATCH(C117,Roster!$B$6:$B$65,0),MATCH(C117,Roster!$C$6:$C$65,0))),"not on the Roster"))</f>
        <v/>
      </c>
      <c r="E117" s="106" t="n"/>
      <c r="F117" s="104">
        <f>IF(OR(A117="",C117="",B117=""),"",IFERROR(INDEX(CHOOSE(IF(YEAR(A117)&gt;PlanYear,13,MONTH(A117)),'Jan'!$D$27:$AH$266,'Feb'!$D$27:$AH$266,'Mar'!$D$27:$AH$266,'Apr'!$D$27:$AH$266,'May'!$D$27:$AH$266,'Jun'!$D$27:$AH$266,'Jul'!$D$27:$AH$266,'Aug'!$D$27:$AH$266,'Sep'!$D$27:$AH$266,'Oct'!$D$27:$AH$266,'Nov'!$D$27:$AH$266,'Dec'!$D$27:$AH$266,'Jan (next year)'!$D$27:$AH$266),27+4*(IFERROR(MATCH(C117,Roster!$B$6:$B$65,0),MATCH(C117,Roster!$C$6:$C$65,0))-1)+MATCH(B117,{"AM","PM","NIGHT","WD"},0)-1-27+1,DAY(A117))&amp;"",""))</f>
        <v/>
      </c>
      <c r="G117" s="123">
        <f>IF(OR(A117="",C117="",B117="",E117=""),"",IFERROR(A117&amp;"|"&amp;(27+4*(IFERROR(MATCH(C117,Roster!$B$6:$B$65,0),MATCH(C117,Roster!$C$6:$C$65,0))-1)+MATCH(B117,{"AM","PM","NIGHT","WD"},0)-1),""))</f>
        <v/>
      </c>
    </row>
    <row r="118">
      <c r="A118" s="122" t="n"/>
      <c r="B118" s="107" t="n"/>
      <c r="C118" s="105" t="n"/>
      <c r="D118" s="92">
        <f>IF(C118="","",IFERROR(INDEX(Roster!$C$6:$C$65,IFERROR(MATCH(C118,Roster!$B$6:$B$65,0),MATCH(C118,Roster!$C$6:$C$65,0))),"not on the Roster"))</f>
        <v/>
      </c>
      <c r="E118" s="106" t="n"/>
      <c r="F118" s="104">
        <f>IF(OR(A118="",C118="",B118=""),"",IFERROR(INDEX(CHOOSE(IF(YEAR(A118)&gt;PlanYear,13,MONTH(A118)),'Jan'!$D$27:$AH$266,'Feb'!$D$27:$AH$266,'Mar'!$D$27:$AH$266,'Apr'!$D$27:$AH$266,'May'!$D$27:$AH$266,'Jun'!$D$27:$AH$266,'Jul'!$D$27:$AH$266,'Aug'!$D$27:$AH$266,'Sep'!$D$27:$AH$266,'Oct'!$D$27:$AH$266,'Nov'!$D$27:$AH$266,'Dec'!$D$27:$AH$266,'Jan (next year)'!$D$27:$AH$266),27+4*(IFERROR(MATCH(C118,Roster!$B$6:$B$65,0),MATCH(C118,Roster!$C$6:$C$65,0))-1)+MATCH(B118,{"AM","PM","NIGHT","WD"},0)-1-27+1,DAY(A118))&amp;"",""))</f>
        <v/>
      </c>
      <c r="G118" s="123">
        <f>IF(OR(A118="",C118="",B118="",E118=""),"",IFERROR(A118&amp;"|"&amp;(27+4*(IFERROR(MATCH(C118,Roster!$B$6:$B$65,0),MATCH(C118,Roster!$C$6:$C$65,0))-1)+MATCH(B118,{"AM","PM","NIGHT","WD"},0)-1),""))</f>
        <v/>
      </c>
    </row>
    <row r="119">
      <c r="A119" s="122" t="n"/>
      <c r="B119" s="107" t="n"/>
      <c r="C119" s="105" t="n"/>
      <c r="D119" s="92">
        <f>IF(C119="","",IFERROR(INDEX(Roster!$C$6:$C$65,IFERROR(MATCH(C119,Roster!$B$6:$B$65,0),MATCH(C119,Roster!$C$6:$C$65,0))),"not on the Roster"))</f>
        <v/>
      </c>
      <c r="E119" s="106" t="n"/>
      <c r="F119" s="104">
        <f>IF(OR(A119="",C119="",B119=""),"",IFERROR(INDEX(CHOOSE(IF(YEAR(A119)&gt;PlanYear,13,MONTH(A119)),'Jan'!$D$27:$AH$266,'Feb'!$D$27:$AH$266,'Mar'!$D$27:$AH$266,'Apr'!$D$27:$AH$266,'May'!$D$27:$AH$266,'Jun'!$D$27:$AH$266,'Jul'!$D$27:$AH$266,'Aug'!$D$27:$AH$266,'Sep'!$D$27:$AH$266,'Oct'!$D$27:$AH$266,'Nov'!$D$27:$AH$266,'Dec'!$D$27:$AH$266,'Jan (next year)'!$D$27:$AH$266),27+4*(IFERROR(MATCH(C119,Roster!$B$6:$B$65,0),MATCH(C119,Roster!$C$6:$C$65,0))-1)+MATCH(B119,{"AM","PM","NIGHT","WD"},0)-1-27+1,DAY(A119))&amp;"",""))</f>
        <v/>
      </c>
      <c r="G119" s="123">
        <f>IF(OR(A119="",C119="",B119="",E119=""),"",IFERROR(A119&amp;"|"&amp;(27+4*(IFERROR(MATCH(C119,Roster!$B$6:$B$65,0),MATCH(C119,Roster!$C$6:$C$65,0))-1)+MATCH(B119,{"AM","PM","NIGHT","WD"},0)-1),""))</f>
        <v/>
      </c>
    </row>
    <row r="120">
      <c r="A120" s="122" t="n"/>
      <c r="B120" s="107" t="n"/>
      <c r="C120" s="105" t="n"/>
      <c r="D120" s="92">
        <f>IF(C120="","",IFERROR(INDEX(Roster!$C$6:$C$65,IFERROR(MATCH(C120,Roster!$B$6:$B$65,0),MATCH(C120,Roster!$C$6:$C$65,0))),"not on the Roster"))</f>
        <v/>
      </c>
      <c r="E120" s="106" t="n"/>
      <c r="F120" s="104">
        <f>IF(OR(A120="",C120="",B120=""),"",IFERROR(INDEX(CHOOSE(IF(YEAR(A120)&gt;PlanYear,13,MONTH(A120)),'Jan'!$D$27:$AH$266,'Feb'!$D$27:$AH$266,'Mar'!$D$27:$AH$266,'Apr'!$D$27:$AH$266,'May'!$D$27:$AH$266,'Jun'!$D$27:$AH$266,'Jul'!$D$27:$AH$266,'Aug'!$D$27:$AH$266,'Sep'!$D$27:$AH$266,'Oct'!$D$27:$AH$266,'Nov'!$D$27:$AH$266,'Dec'!$D$27:$AH$266,'Jan (next year)'!$D$27:$AH$266),27+4*(IFERROR(MATCH(C120,Roster!$B$6:$B$65,0),MATCH(C120,Roster!$C$6:$C$65,0))-1)+MATCH(B120,{"AM","PM","NIGHT","WD"},0)-1-27+1,DAY(A120))&amp;"",""))</f>
        <v/>
      </c>
      <c r="G120" s="123">
        <f>IF(OR(A120="",C120="",B120="",E120=""),"",IFERROR(A120&amp;"|"&amp;(27+4*(IFERROR(MATCH(C120,Roster!$B$6:$B$65,0),MATCH(C120,Roster!$C$6:$C$65,0))-1)+MATCH(B120,{"AM","PM","NIGHT","WD"},0)-1),""))</f>
        <v/>
      </c>
    </row>
    <row r="121">
      <c r="A121" s="122" t="n"/>
      <c r="B121" s="107" t="n"/>
      <c r="C121" s="105" t="n"/>
      <c r="D121" s="92">
        <f>IF(C121="","",IFERROR(INDEX(Roster!$C$6:$C$65,IFERROR(MATCH(C121,Roster!$B$6:$B$65,0),MATCH(C121,Roster!$C$6:$C$65,0))),"not on the Roster"))</f>
        <v/>
      </c>
      <c r="E121" s="106" t="n"/>
      <c r="F121" s="104">
        <f>IF(OR(A121="",C121="",B121=""),"",IFERROR(INDEX(CHOOSE(IF(YEAR(A121)&gt;PlanYear,13,MONTH(A121)),'Jan'!$D$27:$AH$266,'Feb'!$D$27:$AH$266,'Mar'!$D$27:$AH$266,'Apr'!$D$27:$AH$266,'May'!$D$27:$AH$266,'Jun'!$D$27:$AH$266,'Jul'!$D$27:$AH$266,'Aug'!$D$27:$AH$266,'Sep'!$D$27:$AH$266,'Oct'!$D$27:$AH$266,'Nov'!$D$27:$AH$266,'Dec'!$D$27:$AH$266,'Jan (next year)'!$D$27:$AH$266),27+4*(IFERROR(MATCH(C121,Roster!$B$6:$B$65,0),MATCH(C121,Roster!$C$6:$C$65,0))-1)+MATCH(B121,{"AM","PM","NIGHT","WD"},0)-1-27+1,DAY(A121))&amp;"",""))</f>
        <v/>
      </c>
      <c r="G121" s="123">
        <f>IF(OR(A121="",C121="",B121="",E121=""),"",IFERROR(A121&amp;"|"&amp;(27+4*(IFERROR(MATCH(C121,Roster!$B$6:$B$65,0),MATCH(C121,Roster!$C$6:$C$65,0))-1)+MATCH(B121,{"AM","PM","NIGHT","WD"},0)-1),""))</f>
        <v/>
      </c>
    </row>
    <row r="122">
      <c r="A122" s="122" t="n"/>
      <c r="B122" s="107" t="n"/>
      <c r="C122" s="105" t="n"/>
      <c r="D122" s="92">
        <f>IF(C122="","",IFERROR(INDEX(Roster!$C$6:$C$65,IFERROR(MATCH(C122,Roster!$B$6:$B$65,0),MATCH(C122,Roster!$C$6:$C$65,0))),"not on the Roster"))</f>
        <v/>
      </c>
      <c r="E122" s="106" t="n"/>
      <c r="F122" s="104">
        <f>IF(OR(A122="",C122="",B122=""),"",IFERROR(INDEX(CHOOSE(IF(YEAR(A122)&gt;PlanYear,13,MONTH(A122)),'Jan'!$D$27:$AH$266,'Feb'!$D$27:$AH$266,'Mar'!$D$27:$AH$266,'Apr'!$D$27:$AH$266,'May'!$D$27:$AH$266,'Jun'!$D$27:$AH$266,'Jul'!$D$27:$AH$266,'Aug'!$D$27:$AH$266,'Sep'!$D$27:$AH$266,'Oct'!$D$27:$AH$266,'Nov'!$D$27:$AH$266,'Dec'!$D$27:$AH$266,'Jan (next year)'!$D$27:$AH$266),27+4*(IFERROR(MATCH(C122,Roster!$B$6:$B$65,0),MATCH(C122,Roster!$C$6:$C$65,0))-1)+MATCH(B122,{"AM","PM","NIGHT","WD"},0)-1-27+1,DAY(A122))&amp;"",""))</f>
        <v/>
      </c>
      <c r="G122" s="123">
        <f>IF(OR(A122="",C122="",B122="",E122=""),"",IFERROR(A122&amp;"|"&amp;(27+4*(IFERROR(MATCH(C122,Roster!$B$6:$B$65,0),MATCH(C122,Roster!$C$6:$C$65,0))-1)+MATCH(B122,{"AM","PM","NIGHT","WD"},0)-1),""))</f>
        <v/>
      </c>
    </row>
    <row r="123">
      <c r="A123" s="122" t="n"/>
      <c r="B123" s="107" t="n"/>
      <c r="C123" s="105" t="n"/>
      <c r="D123" s="92">
        <f>IF(C123="","",IFERROR(INDEX(Roster!$C$6:$C$65,IFERROR(MATCH(C123,Roster!$B$6:$B$65,0),MATCH(C123,Roster!$C$6:$C$65,0))),"not on the Roster"))</f>
        <v/>
      </c>
      <c r="E123" s="106" t="n"/>
      <c r="F123" s="104">
        <f>IF(OR(A123="",C123="",B123=""),"",IFERROR(INDEX(CHOOSE(IF(YEAR(A123)&gt;PlanYear,13,MONTH(A123)),'Jan'!$D$27:$AH$266,'Feb'!$D$27:$AH$266,'Mar'!$D$27:$AH$266,'Apr'!$D$27:$AH$266,'May'!$D$27:$AH$266,'Jun'!$D$27:$AH$266,'Jul'!$D$27:$AH$266,'Aug'!$D$27:$AH$266,'Sep'!$D$27:$AH$266,'Oct'!$D$27:$AH$266,'Nov'!$D$27:$AH$266,'Dec'!$D$27:$AH$266,'Jan (next year)'!$D$27:$AH$266),27+4*(IFERROR(MATCH(C123,Roster!$B$6:$B$65,0),MATCH(C123,Roster!$C$6:$C$65,0))-1)+MATCH(B123,{"AM","PM","NIGHT","WD"},0)-1-27+1,DAY(A123))&amp;"",""))</f>
        <v/>
      </c>
      <c r="G123" s="123">
        <f>IF(OR(A123="",C123="",B123="",E123=""),"",IFERROR(A123&amp;"|"&amp;(27+4*(IFERROR(MATCH(C123,Roster!$B$6:$B$65,0),MATCH(C123,Roster!$C$6:$C$65,0))-1)+MATCH(B123,{"AM","PM","NIGHT","WD"},0)-1),""))</f>
        <v/>
      </c>
    </row>
    <row r="124">
      <c r="A124" s="122" t="n"/>
      <c r="B124" s="107" t="n"/>
      <c r="C124" s="105" t="n"/>
      <c r="D124" s="92">
        <f>IF(C124="","",IFERROR(INDEX(Roster!$C$6:$C$65,IFERROR(MATCH(C124,Roster!$B$6:$B$65,0),MATCH(C124,Roster!$C$6:$C$65,0))),"not on the Roster"))</f>
        <v/>
      </c>
      <c r="E124" s="106" t="n"/>
      <c r="F124" s="104">
        <f>IF(OR(A124="",C124="",B124=""),"",IFERROR(INDEX(CHOOSE(IF(YEAR(A124)&gt;PlanYear,13,MONTH(A124)),'Jan'!$D$27:$AH$266,'Feb'!$D$27:$AH$266,'Mar'!$D$27:$AH$266,'Apr'!$D$27:$AH$266,'May'!$D$27:$AH$266,'Jun'!$D$27:$AH$266,'Jul'!$D$27:$AH$266,'Aug'!$D$27:$AH$266,'Sep'!$D$27:$AH$266,'Oct'!$D$27:$AH$266,'Nov'!$D$27:$AH$266,'Dec'!$D$27:$AH$266,'Jan (next year)'!$D$27:$AH$266),27+4*(IFERROR(MATCH(C124,Roster!$B$6:$B$65,0),MATCH(C124,Roster!$C$6:$C$65,0))-1)+MATCH(B124,{"AM","PM","NIGHT","WD"},0)-1-27+1,DAY(A124))&amp;"",""))</f>
        <v/>
      </c>
      <c r="G124" s="123">
        <f>IF(OR(A124="",C124="",B124="",E124=""),"",IFERROR(A124&amp;"|"&amp;(27+4*(IFERROR(MATCH(C124,Roster!$B$6:$B$65,0),MATCH(C124,Roster!$C$6:$C$65,0))-1)+MATCH(B124,{"AM","PM","NIGHT","WD"},0)-1),""))</f>
        <v/>
      </c>
    </row>
    <row r="125">
      <c r="A125" s="122" t="n"/>
      <c r="B125" s="107" t="n"/>
      <c r="C125" s="105" t="n"/>
      <c r="D125" s="92">
        <f>IF(C125="","",IFERROR(INDEX(Roster!$C$6:$C$65,IFERROR(MATCH(C125,Roster!$B$6:$B$65,0),MATCH(C125,Roster!$C$6:$C$65,0))),"not on the Roster"))</f>
        <v/>
      </c>
      <c r="E125" s="106" t="n"/>
      <c r="F125" s="104">
        <f>IF(OR(A125="",C125="",B125=""),"",IFERROR(INDEX(CHOOSE(IF(YEAR(A125)&gt;PlanYear,13,MONTH(A125)),'Jan'!$D$27:$AH$266,'Feb'!$D$27:$AH$266,'Mar'!$D$27:$AH$266,'Apr'!$D$27:$AH$266,'May'!$D$27:$AH$266,'Jun'!$D$27:$AH$266,'Jul'!$D$27:$AH$266,'Aug'!$D$27:$AH$266,'Sep'!$D$27:$AH$266,'Oct'!$D$27:$AH$266,'Nov'!$D$27:$AH$266,'Dec'!$D$27:$AH$266,'Jan (next year)'!$D$27:$AH$266),27+4*(IFERROR(MATCH(C125,Roster!$B$6:$B$65,0),MATCH(C125,Roster!$C$6:$C$65,0))-1)+MATCH(B125,{"AM","PM","NIGHT","WD"},0)-1-27+1,DAY(A125))&amp;"",""))</f>
        <v/>
      </c>
      <c r="G125" s="123">
        <f>IF(OR(A125="",C125="",B125="",E125=""),"",IFERROR(A125&amp;"|"&amp;(27+4*(IFERROR(MATCH(C125,Roster!$B$6:$B$65,0),MATCH(C125,Roster!$C$6:$C$65,0))-1)+MATCH(B125,{"AM","PM","NIGHT","WD"},0)-1),""))</f>
        <v/>
      </c>
    </row>
    <row r="126">
      <c r="A126" s="122" t="n"/>
      <c r="B126" s="107" t="n"/>
      <c r="C126" s="105" t="n"/>
      <c r="D126" s="92">
        <f>IF(C126="","",IFERROR(INDEX(Roster!$C$6:$C$65,IFERROR(MATCH(C126,Roster!$B$6:$B$65,0),MATCH(C126,Roster!$C$6:$C$65,0))),"not on the Roster"))</f>
        <v/>
      </c>
      <c r="E126" s="106" t="n"/>
      <c r="F126" s="104">
        <f>IF(OR(A126="",C126="",B126=""),"",IFERROR(INDEX(CHOOSE(IF(YEAR(A126)&gt;PlanYear,13,MONTH(A126)),'Jan'!$D$27:$AH$266,'Feb'!$D$27:$AH$266,'Mar'!$D$27:$AH$266,'Apr'!$D$27:$AH$266,'May'!$D$27:$AH$266,'Jun'!$D$27:$AH$266,'Jul'!$D$27:$AH$266,'Aug'!$D$27:$AH$266,'Sep'!$D$27:$AH$266,'Oct'!$D$27:$AH$266,'Nov'!$D$27:$AH$266,'Dec'!$D$27:$AH$266,'Jan (next year)'!$D$27:$AH$266),27+4*(IFERROR(MATCH(C126,Roster!$B$6:$B$65,0),MATCH(C126,Roster!$C$6:$C$65,0))-1)+MATCH(B126,{"AM","PM","NIGHT","WD"},0)-1-27+1,DAY(A126))&amp;"",""))</f>
        <v/>
      </c>
      <c r="G126" s="123">
        <f>IF(OR(A126="",C126="",B126="",E126=""),"",IFERROR(A126&amp;"|"&amp;(27+4*(IFERROR(MATCH(C126,Roster!$B$6:$B$65,0),MATCH(C126,Roster!$C$6:$C$65,0))-1)+MATCH(B126,{"AM","PM","NIGHT","WD"},0)-1),""))</f>
        <v/>
      </c>
    </row>
    <row r="127">
      <c r="A127" s="122" t="n"/>
      <c r="B127" s="107" t="n"/>
      <c r="C127" s="105" t="n"/>
      <c r="D127" s="92">
        <f>IF(C127="","",IFERROR(INDEX(Roster!$C$6:$C$65,IFERROR(MATCH(C127,Roster!$B$6:$B$65,0),MATCH(C127,Roster!$C$6:$C$65,0))),"not on the Roster"))</f>
        <v/>
      </c>
      <c r="E127" s="106" t="n"/>
      <c r="F127" s="104">
        <f>IF(OR(A127="",C127="",B127=""),"",IFERROR(INDEX(CHOOSE(IF(YEAR(A127)&gt;PlanYear,13,MONTH(A127)),'Jan'!$D$27:$AH$266,'Feb'!$D$27:$AH$266,'Mar'!$D$27:$AH$266,'Apr'!$D$27:$AH$266,'May'!$D$27:$AH$266,'Jun'!$D$27:$AH$266,'Jul'!$D$27:$AH$266,'Aug'!$D$27:$AH$266,'Sep'!$D$27:$AH$266,'Oct'!$D$27:$AH$266,'Nov'!$D$27:$AH$266,'Dec'!$D$27:$AH$266,'Jan (next year)'!$D$27:$AH$266),27+4*(IFERROR(MATCH(C127,Roster!$B$6:$B$65,0),MATCH(C127,Roster!$C$6:$C$65,0))-1)+MATCH(B127,{"AM","PM","NIGHT","WD"},0)-1-27+1,DAY(A127))&amp;"",""))</f>
        <v/>
      </c>
      <c r="G127" s="123">
        <f>IF(OR(A127="",C127="",B127="",E127=""),"",IFERROR(A127&amp;"|"&amp;(27+4*(IFERROR(MATCH(C127,Roster!$B$6:$B$65,0),MATCH(C127,Roster!$C$6:$C$65,0))-1)+MATCH(B127,{"AM","PM","NIGHT","WD"},0)-1),""))</f>
        <v/>
      </c>
    </row>
    <row r="128">
      <c r="A128" s="122" t="n"/>
      <c r="B128" s="107" t="n"/>
      <c r="C128" s="105" t="n"/>
      <c r="D128" s="92">
        <f>IF(C128="","",IFERROR(INDEX(Roster!$C$6:$C$65,IFERROR(MATCH(C128,Roster!$B$6:$B$65,0),MATCH(C128,Roster!$C$6:$C$65,0))),"not on the Roster"))</f>
        <v/>
      </c>
      <c r="E128" s="106" t="n"/>
      <c r="F128" s="104">
        <f>IF(OR(A128="",C128="",B128=""),"",IFERROR(INDEX(CHOOSE(IF(YEAR(A128)&gt;PlanYear,13,MONTH(A128)),'Jan'!$D$27:$AH$266,'Feb'!$D$27:$AH$266,'Mar'!$D$27:$AH$266,'Apr'!$D$27:$AH$266,'May'!$D$27:$AH$266,'Jun'!$D$27:$AH$266,'Jul'!$D$27:$AH$266,'Aug'!$D$27:$AH$266,'Sep'!$D$27:$AH$266,'Oct'!$D$27:$AH$266,'Nov'!$D$27:$AH$266,'Dec'!$D$27:$AH$266,'Jan (next year)'!$D$27:$AH$266),27+4*(IFERROR(MATCH(C128,Roster!$B$6:$B$65,0),MATCH(C128,Roster!$C$6:$C$65,0))-1)+MATCH(B128,{"AM","PM","NIGHT","WD"},0)-1-27+1,DAY(A128))&amp;"",""))</f>
        <v/>
      </c>
      <c r="G128" s="123">
        <f>IF(OR(A128="",C128="",B128="",E128=""),"",IFERROR(A128&amp;"|"&amp;(27+4*(IFERROR(MATCH(C128,Roster!$B$6:$B$65,0),MATCH(C128,Roster!$C$6:$C$65,0))-1)+MATCH(B128,{"AM","PM","NIGHT","WD"},0)-1),""))</f>
        <v/>
      </c>
    </row>
    <row r="129">
      <c r="A129" s="122" t="n"/>
      <c r="B129" s="107" t="n"/>
      <c r="C129" s="105" t="n"/>
      <c r="D129" s="92">
        <f>IF(C129="","",IFERROR(INDEX(Roster!$C$6:$C$65,IFERROR(MATCH(C129,Roster!$B$6:$B$65,0),MATCH(C129,Roster!$C$6:$C$65,0))),"not on the Roster"))</f>
        <v/>
      </c>
      <c r="E129" s="106" t="n"/>
      <c r="F129" s="104">
        <f>IF(OR(A129="",C129="",B129=""),"",IFERROR(INDEX(CHOOSE(IF(YEAR(A129)&gt;PlanYear,13,MONTH(A129)),'Jan'!$D$27:$AH$266,'Feb'!$D$27:$AH$266,'Mar'!$D$27:$AH$266,'Apr'!$D$27:$AH$266,'May'!$D$27:$AH$266,'Jun'!$D$27:$AH$266,'Jul'!$D$27:$AH$266,'Aug'!$D$27:$AH$266,'Sep'!$D$27:$AH$266,'Oct'!$D$27:$AH$266,'Nov'!$D$27:$AH$266,'Dec'!$D$27:$AH$266,'Jan (next year)'!$D$27:$AH$266),27+4*(IFERROR(MATCH(C129,Roster!$B$6:$B$65,0),MATCH(C129,Roster!$C$6:$C$65,0))-1)+MATCH(B129,{"AM","PM","NIGHT","WD"},0)-1-27+1,DAY(A129))&amp;"",""))</f>
        <v/>
      </c>
      <c r="G129" s="123">
        <f>IF(OR(A129="",C129="",B129="",E129=""),"",IFERROR(A129&amp;"|"&amp;(27+4*(IFERROR(MATCH(C129,Roster!$B$6:$B$65,0),MATCH(C129,Roster!$C$6:$C$65,0))-1)+MATCH(B129,{"AM","PM","NIGHT","WD"},0)-1),""))</f>
        <v/>
      </c>
    </row>
    <row r="130">
      <c r="A130" s="122" t="n"/>
      <c r="B130" s="107" t="n"/>
      <c r="C130" s="105" t="n"/>
      <c r="D130" s="92">
        <f>IF(C130="","",IFERROR(INDEX(Roster!$C$6:$C$65,IFERROR(MATCH(C130,Roster!$B$6:$B$65,0),MATCH(C130,Roster!$C$6:$C$65,0))),"not on the Roster"))</f>
        <v/>
      </c>
      <c r="E130" s="106" t="n"/>
      <c r="F130" s="104">
        <f>IF(OR(A130="",C130="",B130=""),"",IFERROR(INDEX(CHOOSE(IF(YEAR(A130)&gt;PlanYear,13,MONTH(A130)),'Jan'!$D$27:$AH$266,'Feb'!$D$27:$AH$266,'Mar'!$D$27:$AH$266,'Apr'!$D$27:$AH$266,'May'!$D$27:$AH$266,'Jun'!$D$27:$AH$266,'Jul'!$D$27:$AH$266,'Aug'!$D$27:$AH$266,'Sep'!$D$27:$AH$266,'Oct'!$D$27:$AH$266,'Nov'!$D$27:$AH$266,'Dec'!$D$27:$AH$266,'Jan (next year)'!$D$27:$AH$266),27+4*(IFERROR(MATCH(C130,Roster!$B$6:$B$65,0),MATCH(C130,Roster!$C$6:$C$65,0))-1)+MATCH(B130,{"AM","PM","NIGHT","WD"},0)-1-27+1,DAY(A130))&amp;"",""))</f>
        <v/>
      </c>
      <c r="G130" s="123">
        <f>IF(OR(A130="",C130="",B130="",E130=""),"",IFERROR(A130&amp;"|"&amp;(27+4*(IFERROR(MATCH(C130,Roster!$B$6:$B$65,0),MATCH(C130,Roster!$C$6:$C$65,0))-1)+MATCH(B130,{"AM","PM","NIGHT","WD"},0)-1),""))</f>
        <v/>
      </c>
    </row>
    <row r="131">
      <c r="A131" s="122" t="n"/>
      <c r="B131" s="107" t="n"/>
      <c r="C131" s="105" t="n"/>
      <c r="D131" s="92">
        <f>IF(C131="","",IFERROR(INDEX(Roster!$C$6:$C$65,IFERROR(MATCH(C131,Roster!$B$6:$B$65,0),MATCH(C131,Roster!$C$6:$C$65,0))),"not on the Roster"))</f>
        <v/>
      </c>
      <c r="E131" s="106" t="n"/>
      <c r="F131" s="104">
        <f>IF(OR(A131="",C131="",B131=""),"",IFERROR(INDEX(CHOOSE(IF(YEAR(A131)&gt;PlanYear,13,MONTH(A131)),'Jan'!$D$27:$AH$266,'Feb'!$D$27:$AH$266,'Mar'!$D$27:$AH$266,'Apr'!$D$27:$AH$266,'May'!$D$27:$AH$266,'Jun'!$D$27:$AH$266,'Jul'!$D$27:$AH$266,'Aug'!$D$27:$AH$266,'Sep'!$D$27:$AH$266,'Oct'!$D$27:$AH$266,'Nov'!$D$27:$AH$266,'Dec'!$D$27:$AH$266,'Jan (next year)'!$D$27:$AH$266),27+4*(IFERROR(MATCH(C131,Roster!$B$6:$B$65,0),MATCH(C131,Roster!$C$6:$C$65,0))-1)+MATCH(B131,{"AM","PM","NIGHT","WD"},0)-1-27+1,DAY(A131))&amp;"",""))</f>
        <v/>
      </c>
      <c r="G131" s="123">
        <f>IF(OR(A131="",C131="",B131="",E131=""),"",IFERROR(A131&amp;"|"&amp;(27+4*(IFERROR(MATCH(C131,Roster!$B$6:$B$65,0),MATCH(C131,Roster!$C$6:$C$65,0))-1)+MATCH(B131,{"AM","PM","NIGHT","WD"},0)-1),""))</f>
        <v/>
      </c>
    </row>
    <row r="132">
      <c r="A132" s="122" t="n"/>
      <c r="B132" s="107" t="n"/>
      <c r="C132" s="105" t="n"/>
      <c r="D132" s="92">
        <f>IF(C132="","",IFERROR(INDEX(Roster!$C$6:$C$65,IFERROR(MATCH(C132,Roster!$B$6:$B$65,0),MATCH(C132,Roster!$C$6:$C$65,0))),"not on the Roster"))</f>
        <v/>
      </c>
      <c r="E132" s="106" t="n"/>
      <c r="F132" s="104">
        <f>IF(OR(A132="",C132="",B132=""),"",IFERROR(INDEX(CHOOSE(IF(YEAR(A132)&gt;PlanYear,13,MONTH(A132)),'Jan'!$D$27:$AH$266,'Feb'!$D$27:$AH$266,'Mar'!$D$27:$AH$266,'Apr'!$D$27:$AH$266,'May'!$D$27:$AH$266,'Jun'!$D$27:$AH$266,'Jul'!$D$27:$AH$266,'Aug'!$D$27:$AH$266,'Sep'!$D$27:$AH$266,'Oct'!$D$27:$AH$266,'Nov'!$D$27:$AH$266,'Dec'!$D$27:$AH$266,'Jan (next year)'!$D$27:$AH$266),27+4*(IFERROR(MATCH(C132,Roster!$B$6:$B$65,0),MATCH(C132,Roster!$C$6:$C$65,0))-1)+MATCH(B132,{"AM","PM","NIGHT","WD"},0)-1-27+1,DAY(A132))&amp;"",""))</f>
        <v/>
      </c>
      <c r="G132" s="123">
        <f>IF(OR(A132="",C132="",B132="",E132=""),"",IFERROR(A132&amp;"|"&amp;(27+4*(IFERROR(MATCH(C132,Roster!$B$6:$B$65,0),MATCH(C132,Roster!$C$6:$C$65,0))-1)+MATCH(B132,{"AM","PM","NIGHT","WD"},0)-1),""))</f>
        <v/>
      </c>
    </row>
    <row r="133">
      <c r="A133" s="122" t="n"/>
      <c r="B133" s="107" t="n"/>
      <c r="C133" s="105" t="n"/>
      <c r="D133" s="92">
        <f>IF(C133="","",IFERROR(INDEX(Roster!$C$6:$C$65,IFERROR(MATCH(C133,Roster!$B$6:$B$65,0),MATCH(C133,Roster!$C$6:$C$65,0))),"not on the Roster"))</f>
        <v/>
      </c>
      <c r="E133" s="106" t="n"/>
      <c r="F133" s="104">
        <f>IF(OR(A133="",C133="",B133=""),"",IFERROR(INDEX(CHOOSE(IF(YEAR(A133)&gt;PlanYear,13,MONTH(A133)),'Jan'!$D$27:$AH$266,'Feb'!$D$27:$AH$266,'Mar'!$D$27:$AH$266,'Apr'!$D$27:$AH$266,'May'!$D$27:$AH$266,'Jun'!$D$27:$AH$266,'Jul'!$D$27:$AH$266,'Aug'!$D$27:$AH$266,'Sep'!$D$27:$AH$266,'Oct'!$D$27:$AH$266,'Nov'!$D$27:$AH$266,'Dec'!$D$27:$AH$266,'Jan (next year)'!$D$27:$AH$266),27+4*(IFERROR(MATCH(C133,Roster!$B$6:$B$65,0),MATCH(C133,Roster!$C$6:$C$65,0))-1)+MATCH(B133,{"AM","PM","NIGHT","WD"},0)-1-27+1,DAY(A133))&amp;"",""))</f>
        <v/>
      </c>
      <c r="G133" s="123">
        <f>IF(OR(A133="",C133="",B133="",E133=""),"",IFERROR(A133&amp;"|"&amp;(27+4*(IFERROR(MATCH(C133,Roster!$B$6:$B$65,0),MATCH(C133,Roster!$C$6:$C$65,0))-1)+MATCH(B133,{"AM","PM","NIGHT","WD"},0)-1),""))</f>
        <v/>
      </c>
    </row>
    <row r="134">
      <c r="A134" s="122" t="n"/>
      <c r="B134" s="107" t="n"/>
      <c r="C134" s="105" t="n"/>
      <c r="D134" s="92">
        <f>IF(C134="","",IFERROR(INDEX(Roster!$C$6:$C$65,IFERROR(MATCH(C134,Roster!$B$6:$B$65,0),MATCH(C134,Roster!$C$6:$C$65,0))),"not on the Roster"))</f>
        <v/>
      </c>
      <c r="E134" s="106" t="n"/>
      <c r="F134" s="104">
        <f>IF(OR(A134="",C134="",B134=""),"",IFERROR(INDEX(CHOOSE(IF(YEAR(A134)&gt;PlanYear,13,MONTH(A134)),'Jan'!$D$27:$AH$266,'Feb'!$D$27:$AH$266,'Mar'!$D$27:$AH$266,'Apr'!$D$27:$AH$266,'May'!$D$27:$AH$266,'Jun'!$D$27:$AH$266,'Jul'!$D$27:$AH$266,'Aug'!$D$27:$AH$266,'Sep'!$D$27:$AH$266,'Oct'!$D$27:$AH$266,'Nov'!$D$27:$AH$266,'Dec'!$D$27:$AH$266,'Jan (next year)'!$D$27:$AH$266),27+4*(IFERROR(MATCH(C134,Roster!$B$6:$B$65,0),MATCH(C134,Roster!$C$6:$C$65,0))-1)+MATCH(B134,{"AM","PM","NIGHT","WD"},0)-1-27+1,DAY(A134))&amp;"",""))</f>
        <v/>
      </c>
      <c r="G134" s="123">
        <f>IF(OR(A134="",C134="",B134="",E134=""),"",IFERROR(A134&amp;"|"&amp;(27+4*(IFERROR(MATCH(C134,Roster!$B$6:$B$65,0),MATCH(C134,Roster!$C$6:$C$65,0))-1)+MATCH(B134,{"AM","PM","NIGHT","WD"},0)-1),""))</f>
        <v/>
      </c>
    </row>
    <row r="135">
      <c r="A135" s="122" t="n"/>
      <c r="B135" s="107" t="n"/>
      <c r="C135" s="105" t="n"/>
      <c r="D135" s="92">
        <f>IF(C135="","",IFERROR(INDEX(Roster!$C$6:$C$65,IFERROR(MATCH(C135,Roster!$B$6:$B$65,0),MATCH(C135,Roster!$C$6:$C$65,0))),"not on the Roster"))</f>
        <v/>
      </c>
      <c r="E135" s="106" t="n"/>
      <c r="F135" s="104">
        <f>IF(OR(A135="",C135="",B135=""),"",IFERROR(INDEX(CHOOSE(IF(YEAR(A135)&gt;PlanYear,13,MONTH(A135)),'Jan'!$D$27:$AH$266,'Feb'!$D$27:$AH$266,'Mar'!$D$27:$AH$266,'Apr'!$D$27:$AH$266,'May'!$D$27:$AH$266,'Jun'!$D$27:$AH$266,'Jul'!$D$27:$AH$266,'Aug'!$D$27:$AH$266,'Sep'!$D$27:$AH$266,'Oct'!$D$27:$AH$266,'Nov'!$D$27:$AH$266,'Dec'!$D$27:$AH$266,'Jan (next year)'!$D$27:$AH$266),27+4*(IFERROR(MATCH(C135,Roster!$B$6:$B$65,0),MATCH(C135,Roster!$C$6:$C$65,0))-1)+MATCH(B135,{"AM","PM","NIGHT","WD"},0)-1-27+1,DAY(A135))&amp;"",""))</f>
        <v/>
      </c>
      <c r="G135" s="123">
        <f>IF(OR(A135="",C135="",B135="",E135=""),"",IFERROR(A135&amp;"|"&amp;(27+4*(IFERROR(MATCH(C135,Roster!$B$6:$B$65,0),MATCH(C135,Roster!$C$6:$C$65,0))-1)+MATCH(B135,{"AM","PM","NIGHT","WD"},0)-1),""))</f>
        <v/>
      </c>
    </row>
    <row r="136">
      <c r="A136" s="122" t="n"/>
      <c r="B136" s="107" t="n"/>
      <c r="C136" s="105" t="n"/>
      <c r="D136" s="92">
        <f>IF(C136="","",IFERROR(INDEX(Roster!$C$6:$C$65,IFERROR(MATCH(C136,Roster!$B$6:$B$65,0),MATCH(C136,Roster!$C$6:$C$65,0))),"not on the Roster"))</f>
        <v/>
      </c>
      <c r="E136" s="106" t="n"/>
      <c r="F136" s="104">
        <f>IF(OR(A136="",C136="",B136=""),"",IFERROR(INDEX(CHOOSE(IF(YEAR(A136)&gt;PlanYear,13,MONTH(A136)),'Jan'!$D$27:$AH$266,'Feb'!$D$27:$AH$266,'Mar'!$D$27:$AH$266,'Apr'!$D$27:$AH$266,'May'!$D$27:$AH$266,'Jun'!$D$27:$AH$266,'Jul'!$D$27:$AH$266,'Aug'!$D$27:$AH$266,'Sep'!$D$27:$AH$266,'Oct'!$D$27:$AH$266,'Nov'!$D$27:$AH$266,'Dec'!$D$27:$AH$266,'Jan (next year)'!$D$27:$AH$266),27+4*(IFERROR(MATCH(C136,Roster!$B$6:$B$65,0),MATCH(C136,Roster!$C$6:$C$65,0))-1)+MATCH(B136,{"AM","PM","NIGHT","WD"},0)-1-27+1,DAY(A136))&amp;"",""))</f>
        <v/>
      </c>
      <c r="G136" s="123">
        <f>IF(OR(A136="",C136="",B136="",E136=""),"",IFERROR(A136&amp;"|"&amp;(27+4*(IFERROR(MATCH(C136,Roster!$B$6:$B$65,0),MATCH(C136,Roster!$C$6:$C$65,0))-1)+MATCH(B136,{"AM","PM","NIGHT","WD"},0)-1),""))</f>
        <v/>
      </c>
    </row>
    <row r="137">
      <c r="A137" s="122" t="n"/>
      <c r="B137" s="107" t="n"/>
      <c r="C137" s="105" t="n"/>
      <c r="D137" s="92">
        <f>IF(C137="","",IFERROR(INDEX(Roster!$C$6:$C$65,IFERROR(MATCH(C137,Roster!$B$6:$B$65,0),MATCH(C137,Roster!$C$6:$C$65,0))),"not on the Roster"))</f>
        <v/>
      </c>
      <c r="E137" s="106" t="n"/>
      <c r="F137" s="104">
        <f>IF(OR(A137="",C137="",B137=""),"",IFERROR(INDEX(CHOOSE(IF(YEAR(A137)&gt;PlanYear,13,MONTH(A137)),'Jan'!$D$27:$AH$266,'Feb'!$D$27:$AH$266,'Mar'!$D$27:$AH$266,'Apr'!$D$27:$AH$266,'May'!$D$27:$AH$266,'Jun'!$D$27:$AH$266,'Jul'!$D$27:$AH$266,'Aug'!$D$27:$AH$266,'Sep'!$D$27:$AH$266,'Oct'!$D$27:$AH$266,'Nov'!$D$27:$AH$266,'Dec'!$D$27:$AH$266,'Jan (next year)'!$D$27:$AH$266),27+4*(IFERROR(MATCH(C137,Roster!$B$6:$B$65,0),MATCH(C137,Roster!$C$6:$C$65,0))-1)+MATCH(B137,{"AM","PM","NIGHT","WD"},0)-1-27+1,DAY(A137))&amp;"",""))</f>
        <v/>
      </c>
      <c r="G137" s="123">
        <f>IF(OR(A137="",C137="",B137="",E137=""),"",IFERROR(A137&amp;"|"&amp;(27+4*(IFERROR(MATCH(C137,Roster!$B$6:$B$65,0),MATCH(C137,Roster!$C$6:$C$65,0))-1)+MATCH(B137,{"AM","PM","NIGHT","WD"},0)-1),""))</f>
        <v/>
      </c>
    </row>
    <row r="138">
      <c r="A138" s="122" t="n"/>
      <c r="B138" s="107" t="n"/>
      <c r="C138" s="105" t="n"/>
      <c r="D138" s="92">
        <f>IF(C138="","",IFERROR(INDEX(Roster!$C$6:$C$65,IFERROR(MATCH(C138,Roster!$B$6:$B$65,0),MATCH(C138,Roster!$C$6:$C$65,0))),"not on the Roster"))</f>
        <v/>
      </c>
      <c r="E138" s="106" t="n"/>
      <c r="F138" s="104">
        <f>IF(OR(A138="",C138="",B138=""),"",IFERROR(INDEX(CHOOSE(IF(YEAR(A138)&gt;PlanYear,13,MONTH(A138)),'Jan'!$D$27:$AH$266,'Feb'!$D$27:$AH$266,'Mar'!$D$27:$AH$266,'Apr'!$D$27:$AH$266,'May'!$D$27:$AH$266,'Jun'!$D$27:$AH$266,'Jul'!$D$27:$AH$266,'Aug'!$D$27:$AH$266,'Sep'!$D$27:$AH$266,'Oct'!$D$27:$AH$266,'Nov'!$D$27:$AH$266,'Dec'!$D$27:$AH$266,'Jan (next year)'!$D$27:$AH$266),27+4*(IFERROR(MATCH(C138,Roster!$B$6:$B$65,0),MATCH(C138,Roster!$C$6:$C$65,0))-1)+MATCH(B138,{"AM","PM","NIGHT","WD"},0)-1-27+1,DAY(A138))&amp;"",""))</f>
        <v/>
      </c>
      <c r="G138" s="123">
        <f>IF(OR(A138="",C138="",B138="",E138=""),"",IFERROR(A138&amp;"|"&amp;(27+4*(IFERROR(MATCH(C138,Roster!$B$6:$B$65,0),MATCH(C138,Roster!$C$6:$C$65,0))-1)+MATCH(B138,{"AM","PM","NIGHT","WD"},0)-1),""))</f>
        <v/>
      </c>
    </row>
    <row r="139">
      <c r="A139" s="122" t="n"/>
      <c r="B139" s="107" t="n"/>
      <c r="C139" s="105" t="n"/>
      <c r="D139" s="92">
        <f>IF(C139="","",IFERROR(INDEX(Roster!$C$6:$C$65,IFERROR(MATCH(C139,Roster!$B$6:$B$65,0),MATCH(C139,Roster!$C$6:$C$65,0))),"not on the Roster"))</f>
        <v/>
      </c>
      <c r="E139" s="106" t="n"/>
      <c r="F139" s="104">
        <f>IF(OR(A139="",C139="",B139=""),"",IFERROR(INDEX(CHOOSE(IF(YEAR(A139)&gt;PlanYear,13,MONTH(A139)),'Jan'!$D$27:$AH$266,'Feb'!$D$27:$AH$266,'Mar'!$D$27:$AH$266,'Apr'!$D$27:$AH$266,'May'!$D$27:$AH$266,'Jun'!$D$27:$AH$266,'Jul'!$D$27:$AH$266,'Aug'!$D$27:$AH$266,'Sep'!$D$27:$AH$266,'Oct'!$D$27:$AH$266,'Nov'!$D$27:$AH$266,'Dec'!$D$27:$AH$266,'Jan (next year)'!$D$27:$AH$266),27+4*(IFERROR(MATCH(C139,Roster!$B$6:$B$65,0),MATCH(C139,Roster!$C$6:$C$65,0))-1)+MATCH(B139,{"AM","PM","NIGHT","WD"},0)-1-27+1,DAY(A139))&amp;"",""))</f>
        <v/>
      </c>
      <c r="G139" s="123">
        <f>IF(OR(A139="",C139="",B139="",E139=""),"",IFERROR(A139&amp;"|"&amp;(27+4*(IFERROR(MATCH(C139,Roster!$B$6:$B$65,0),MATCH(C139,Roster!$C$6:$C$65,0))-1)+MATCH(B139,{"AM","PM","NIGHT","WD"},0)-1),""))</f>
        <v/>
      </c>
    </row>
    <row r="140">
      <c r="A140" s="122" t="n"/>
      <c r="B140" s="107" t="n"/>
      <c r="C140" s="105" t="n"/>
      <c r="D140" s="92">
        <f>IF(C140="","",IFERROR(INDEX(Roster!$C$6:$C$65,IFERROR(MATCH(C140,Roster!$B$6:$B$65,0),MATCH(C140,Roster!$C$6:$C$65,0))),"not on the Roster"))</f>
        <v/>
      </c>
      <c r="E140" s="106" t="n"/>
      <c r="F140" s="104">
        <f>IF(OR(A140="",C140="",B140=""),"",IFERROR(INDEX(CHOOSE(IF(YEAR(A140)&gt;PlanYear,13,MONTH(A140)),'Jan'!$D$27:$AH$266,'Feb'!$D$27:$AH$266,'Mar'!$D$27:$AH$266,'Apr'!$D$27:$AH$266,'May'!$D$27:$AH$266,'Jun'!$D$27:$AH$266,'Jul'!$D$27:$AH$266,'Aug'!$D$27:$AH$266,'Sep'!$D$27:$AH$266,'Oct'!$D$27:$AH$266,'Nov'!$D$27:$AH$266,'Dec'!$D$27:$AH$266,'Jan (next year)'!$D$27:$AH$266),27+4*(IFERROR(MATCH(C140,Roster!$B$6:$B$65,0),MATCH(C140,Roster!$C$6:$C$65,0))-1)+MATCH(B140,{"AM","PM","NIGHT","WD"},0)-1-27+1,DAY(A140))&amp;"",""))</f>
        <v/>
      </c>
      <c r="G140" s="123">
        <f>IF(OR(A140="",C140="",B140="",E140=""),"",IFERROR(A140&amp;"|"&amp;(27+4*(IFERROR(MATCH(C140,Roster!$B$6:$B$65,0),MATCH(C140,Roster!$C$6:$C$65,0))-1)+MATCH(B140,{"AM","PM","NIGHT","WD"},0)-1),""))</f>
        <v/>
      </c>
    </row>
    <row r="141">
      <c r="A141" s="122" t="n"/>
      <c r="B141" s="107" t="n"/>
      <c r="C141" s="105" t="n"/>
      <c r="D141" s="92">
        <f>IF(C141="","",IFERROR(INDEX(Roster!$C$6:$C$65,IFERROR(MATCH(C141,Roster!$B$6:$B$65,0),MATCH(C141,Roster!$C$6:$C$65,0))),"not on the Roster"))</f>
        <v/>
      </c>
      <c r="E141" s="106" t="n"/>
      <c r="F141" s="104">
        <f>IF(OR(A141="",C141="",B141=""),"",IFERROR(INDEX(CHOOSE(IF(YEAR(A141)&gt;PlanYear,13,MONTH(A141)),'Jan'!$D$27:$AH$266,'Feb'!$D$27:$AH$266,'Mar'!$D$27:$AH$266,'Apr'!$D$27:$AH$266,'May'!$D$27:$AH$266,'Jun'!$D$27:$AH$266,'Jul'!$D$27:$AH$266,'Aug'!$D$27:$AH$266,'Sep'!$D$27:$AH$266,'Oct'!$D$27:$AH$266,'Nov'!$D$27:$AH$266,'Dec'!$D$27:$AH$266,'Jan (next year)'!$D$27:$AH$266),27+4*(IFERROR(MATCH(C141,Roster!$B$6:$B$65,0),MATCH(C141,Roster!$C$6:$C$65,0))-1)+MATCH(B141,{"AM","PM","NIGHT","WD"},0)-1-27+1,DAY(A141))&amp;"",""))</f>
        <v/>
      </c>
      <c r="G141" s="123">
        <f>IF(OR(A141="",C141="",B141="",E141=""),"",IFERROR(A141&amp;"|"&amp;(27+4*(IFERROR(MATCH(C141,Roster!$B$6:$B$65,0),MATCH(C141,Roster!$C$6:$C$65,0))-1)+MATCH(B141,{"AM","PM","NIGHT","WD"},0)-1),""))</f>
        <v/>
      </c>
    </row>
    <row r="142">
      <c r="A142" s="122" t="n"/>
      <c r="B142" s="107" t="n"/>
      <c r="C142" s="105" t="n"/>
      <c r="D142" s="92">
        <f>IF(C142="","",IFERROR(INDEX(Roster!$C$6:$C$65,IFERROR(MATCH(C142,Roster!$B$6:$B$65,0),MATCH(C142,Roster!$C$6:$C$65,0))),"not on the Roster"))</f>
        <v/>
      </c>
      <c r="E142" s="106" t="n"/>
      <c r="F142" s="104">
        <f>IF(OR(A142="",C142="",B142=""),"",IFERROR(INDEX(CHOOSE(IF(YEAR(A142)&gt;PlanYear,13,MONTH(A142)),'Jan'!$D$27:$AH$266,'Feb'!$D$27:$AH$266,'Mar'!$D$27:$AH$266,'Apr'!$D$27:$AH$266,'May'!$D$27:$AH$266,'Jun'!$D$27:$AH$266,'Jul'!$D$27:$AH$266,'Aug'!$D$27:$AH$266,'Sep'!$D$27:$AH$266,'Oct'!$D$27:$AH$266,'Nov'!$D$27:$AH$266,'Dec'!$D$27:$AH$266,'Jan (next year)'!$D$27:$AH$266),27+4*(IFERROR(MATCH(C142,Roster!$B$6:$B$65,0),MATCH(C142,Roster!$C$6:$C$65,0))-1)+MATCH(B142,{"AM","PM","NIGHT","WD"},0)-1-27+1,DAY(A142))&amp;"",""))</f>
        <v/>
      </c>
      <c r="G142" s="123">
        <f>IF(OR(A142="",C142="",B142="",E142=""),"",IFERROR(A142&amp;"|"&amp;(27+4*(IFERROR(MATCH(C142,Roster!$B$6:$B$65,0),MATCH(C142,Roster!$C$6:$C$65,0))-1)+MATCH(B142,{"AM","PM","NIGHT","WD"},0)-1),""))</f>
        <v/>
      </c>
    </row>
    <row r="143">
      <c r="A143" s="122" t="n"/>
      <c r="B143" s="107" t="n"/>
      <c r="C143" s="105" t="n"/>
      <c r="D143" s="92">
        <f>IF(C143="","",IFERROR(INDEX(Roster!$C$6:$C$65,IFERROR(MATCH(C143,Roster!$B$6:$B$65,0),MATCH(C143,Roster!$C$6:$C$65,0))),"not on the Roster"))</f>
        <v/>
      </c>
      <c r="E143" s="106" t="n"/>
      <c r="F143" s="104">
        <f>IF(OR(A143="",C143="",B143=""),"",IFERROR(INDEX(CHOOSE(IF(YEAR(A143)&gt;PlanYear,13,MONTH(A143)),'Jan'!$D$27:$AH$266,'Feb'!$D$27:$AH$266,'Mar'!$D$27:$AH$266,'Apr'!$D$27:$AH$266,'May'!$D$27:$AH$266,'Jun'!$D$27:$AH$266,'Jul'!$D$27:$AH$266,'Aug'!$D$27:$AH$266,'Sep'!$D$27:$AH$266,'Oct'!$D$27:$AH$266,'Nov'!$D$27:$AH$266,'Dec'!$D$27:$AH$266,'Jan (next year)'!$D$27:$AH$266),27+4*(IFERROR(MATCH(C143,Roster!$B$6:$B$65,0),MATCH(C143,Roster!$C$6:$C$65,0))-1)+MATCH(B143,{"AM","PM","NIGHT","WD"},0)-1-27+1,DAY(A143))&amp;"",""))</f>
        <v/>
      </c>
      <c r="G143" s="123">
        <f>IF(OR(A143="",C143="",B143="",E143=""),"",IFERROR(A143&amp;"|"&amp;(27+4*(IFERROR(MATCH(C143,Roster!$B$6:$B$65,0),MATCH(C143,Roster!$C$6:$C$65,0))-1)+MATCH(B143,{"AM","PM","NIGHT","WD"},0)-1),""))</f>
        <v/>
      </c>
    </row>
    <row r="144">
      <c r="A144" s="122" t="n"/>
      <c r="B144" s="107" t="n"/>
      <c r="C144" s="105" t="n"/>
      <c r="D144" s="92">
        <f>IF(C144="","",IFERROR(INDEX(Roster!$C$6:$C$65,IFERROR(MATCH(C144,Roster!$B$6:$B$65,0),MATCH(C144,Roster!$C$6:$C$65,0))),"not on the Roster"))</f>
        <v/>
      </c>
      <c r="E144" s="106" t="n"/>
      <c r="F144" s="104">
        <f>IF(OR(A144="",C144="",B144=""),"",IFERROR(INDEX(CHOOSE(IF(YEAR(A144)&gt;PlanYear,13,MONTH(A144)),'Jan'!$D$27:$AH$266,'Feb'!$D$27:$AH$266,'Mar'!$D$27:$AH$266,'Apr'!$D$27:$AH$266,'May'!$D$27:$AH$266,'Jun'!$D$27:$AH$266,'Jul'!$D$27:$AH$266,'Aug'!$D$27:$AH$266,'Sep'!$D$27:$AH$266,'Oct'!$D$27:$AH$266,'Nov'!$D$27:$AH$266,'Dec'!$D$27:$AH$266,'Jan (next year)'!$D$27:$AH$266),27+4*(IFERROR(MATCH(C144,Roster!$B$6:$B$65,0),MATCH(C144,Roster!$C$6:$C$65,0))-1)+MATCH(B144,{"AM","PM","NIGHT","WD"},0)-1-27+1,DAY(A144))&amp;"",""))</f>
        <v/>
      </c>
      <c r="G144" s="123">
        <f>IF(OR(A144="",C144="",B144="",E144=""),"",IFERROR(A144&amp;"|"&amp;(27+4*(IFERROR(MATCH(C144,Roster!$B$6:$B$65,0),MATCH(C144,Roster!$C$6:$C$65,0))-1)+MATCH(B144,{"AM","PM","NIGHT","WD"},0)-1),""))</f>
        <v/>
      </c>
    </row>
    <row r="145">
      <c r="A145" s="122" t="n"/>
      <c r="B145" s="107" t="n"/>
      <c r="C145" s="105" t="n"/>
      <c r="D145" s="92">
        <f>IF(C145="","",IFERROR(INDEX(Roster!$C$6:$C$65,IFERROR(MATCH(C145,Roster!$B$6:$B$65,0),MATCH(C145,Roster!$C$6:$C$65,0))),"not on the Roster"))</f>
        <v/>
      </c>
      <c r="E145" s="106" t="n"/>
      <c r="F145" s="104">
        <f>IF(OR(A145="",C145="",B145=""),"",IFERROR(INDEX(CHOOSE(IF(YEAR(A145)&gt;PlanYear,13,MONTH(A145)),'Jan'!$D$27:$AH$266,'Feb'!$D$27:$AH$266,'Mar'!$D$27:$AH$266,'Apr'!$D$27:$AH$266,'May'!$D$27:$AH$266,'Jun'!$D$27:$AH$266,'Jul'!$D$27:$AH$266,'Aug'!$D$27:$AH$266,'Sep'!$D$27:$AH$266,'Oct'!$D$27:$AH$266,'Nov'!$D$27:$AH$266,'Dec'!$D$27:$AH$266,'Jan (next year)'!$D$27:$AH$266),27+4*(IFERROR(MATCH(C145,Roster!$B$6:$B$65,0),MATCH(C145,Roster!$C$6:$C$65,0))-1)+MATCH(B145,{"AM","PM","NIGHT","WD"},0)-1-27+1,DAY(A145))&amp;"",""))</f>
        <v/>
      </c>
      <c r="G145" s="123">
        <f>IF(OR(A145="",C145="",B145="",E145=""),"",IFERROR(A145&amp;"|"&amp;(27+4*(IFERROR(MATCH(C145,Roster!$B$6:$B$65,0),MATCH(C145,Roster!$C$6:$C$65,0))-1)+MATCH(B145,{"AM","PM","NIGHT","WD"},0)-1),""))</f>
        <v/>
      </c>
    </row>
    <row r="146">
      <c r="A146" s="122" t="n"/>
      <c r="B146" s="107" t="n"/>
      <c r="C146" s="105" t="n"/>
      <c r="D146" s="92">
        <f>IF(C146="","",IFERROR(INDEX(Roster!$C$6:$C$65,IFERROR(MATCH(C146,Roster!$B$6:$B$65,0),MATCH(C146,Roster!$C$6:$C$65,0))),"not on the Roster"))</f>
        <v/>
      </c>
      <c r="E146" s="106" t="n"/>
      <c r="F146" s="104">
        <f>IF(OR(A146="",C146="",B146=""),"",IFERROR(INDEX(CHOOSE(IF(YEAR(A146)&gt;PlanYear,13,MONTH(A146)),'Jan'!$D$27:$AH$266,'Feb'!$D$27:$AH$266,'Mar'!$D$27:$AH$266,'Apr'!$D$27:$AH$266,'May'!$D$27:$AH$266,'Jun'!$D$27:$AH$266,'Jul'!$D$27:$AH$266,'Aug'!$D$27:$AH$266,'Sep'!$D$27:$AH$266,'Oct'!$D$27:$AH$266,'Nov'!$D$27:$AH$266,'Dec'!$D$27:$AH$266,'Jan (next year)'!$D$27:$AH$266),27+4*(IFERROR(MATCH(C146,Roster!$B$6:$B$65,0),MATCH(C146,Roster!$C$6:$C$65,0))-1)+MATCH(B146,{"AM","PM","NIGHT","WD"},0)-1-27+1,DAY(A146))&amp;"",""))</f>
        <v/>
      </c>
      <c r="G146" s="123">
        <f>IF(OR(A146="",C146="",B146="",E146=""),"",IFERROR(A146&amp;"|"&amp;(27+4*(IFERROR(MATCH(C146,Roster!$B$6:$B$65,0),MATCH(C146,Roster!$C$6:$C$65,0))-1)+MATCH(B146,{"AM","PM","NIGHT","WD"},0)-1),""))</f>
        <v/>
      </c>
    </row>
    <row r="147">
      <c r="A147" s="122" t="n"/>
      <c r="B147" s="107" t="n"/>
      <c r="C147" s="105" t="n"/>
      <c r="D147" s="92">
        <f>IF(C147="","",IFERROR(INDEX(Roster!$C$6:$C$65,IFERROR(MATCH(C147,Roster!$B$6:$B$65,0),MATCH(C147,Roster!$C$6:$C$65,0))),"not on the Roster"))</f>
        <v/>
      </c>
      <c r="E147" s="106" t="n"/>
      <c r="F147" s="104">
        <f>IF(OR(A147="",C147="",B147=""),"",IFERROR(INDEX(CHOOSE(IF(YEAR(A147)&gt;PlanYear,13,MONTH(A147)),'Jan'!$D$27:$AH$266,'Feb'!$D$27:$AH$266,'Mar'!$D$27:$AH$266,'Apr'!$D$27:$AH$266,'May'!$D$27:$AH$266,'Jun'!$D$27:$AH$266,'Jul'!$D$27:$AH$266,'Aug'!$D$27:$AH$266,'Sep'!$D$27:$AH$266,'Oct'!$D$27:$AH$266,'Nov'!$D$27:$AH$266,'Dec'!$D$27:$AH$266,'Jan (next year)'!$D$27:$AH$266),27+4*(IFERROR(MATCH(C147,Roster!$B$6:$B$65,0),MATCH(C147,Roster!$C$6:$C$65,0))-1)+MATCH(B147,{"AM","PM","NIGHT","WD"},0)-1-27+1,DAY(A147))&amp;"",""))</f>
        <v/>
      </c>
      <c r="G147" s="123">
        <f>IF(OR(A147="",C147="",B147="",E147=""),"",IFERROR(A147&amp;"|"&amp;(27+4*(IFERROR(MATCH(C147,Roster!$B$6:$B$65,0),MATCH(C147,Roster!$C$6:$C$65,0))-1)+MATCH(B147,{"AM","PM","NIGHT","WD"},0)-1),""))</f>
        <v/>
      </c>
    </row>
    <row r="148">
      <c r="A148" s="122" t="n"/>
      <c r="B148" s="107" t="n"/>
      <c r="C148" s="105" t="n"/>
      <c r="D148" s="92">
        <f>IF(C148="","",IFERROR(INDEX(Roster!$C$6:$C$65,IFERROR(MATCH(C148,Roster!$B$6:$B$65,0),MATCH(C148,Roster!$C$6:$C$65,0))),"not on the Roster"))</f>
        <v/>
      </c>
      <c r="E148" s="106" t="n"/>
      <c r="F148" s="104">
        <f>IF(OR(A148="",C148="",B148=""),"",IFERROR(INDEX(CHOOSE(IF(YEAR(A148)&gt;PlanYear,13,MONTH(A148)),'Jan'!$D$27:$AH$266,'Feb'!$D$27:$AH$266,'Mar'!$D$27:$AH$266,'Apr'!$D$27:$AH$266,'May'!$D$27:$AH$266,'Jun'!$D$27:$AH$266,'Jul'!$D$27:$AH$266,'Aug'!$D$27:$AH$266,'Sep'!$D$27:$AH$266,'Oct'!$D$27:$AH$266,'Nov'!$D$27:$AH$266,'Dec'!$D$27:$AH$266,'Jan (next year)'!$D$27:$AH$266),27+4*(IFERROR(MATCH(C148,Roster!$B$6:$B$65,0),MATCH(C148,Roster!$C$6:$C$65,0))-1)+MATCH(B148,{"AM","PM","NIGHT","WD"},0)-1-27+1,DAY(A148))&amp;"",""))</f>
        <v/>
      </c>
      <c r="G148" s="123">
        <f>IF(OR(A148="",C148="",B148="",E148=""),"",IFERROR(A148&amp;"|"&amp;(27+4*(IFERROR(MATCH(C148,Roster!$B$6:$B$65,0),MATCH(C148,Roster!$C$6:$C$65,0))-1)+MATCH(B148,{"AM","PM","NIGHT","WD"},0)-1),""))</f>
        <v/>
      </c>
    </row>
    <row r="149">
      <c r="A149" s="122" t="n"/>
      <c r="B149" s="107" t="n"/>
      <c r="C149" s="105" t="n"/>
      <c r="D149" s="92">
        <f>IF(C149="","",IFERROR(INDEX(Roster!$C$6:$C$65,IFERROR(MATCH(C149,Roster!$B$6:$B$65,0),MATCH(C149,Roster!$C$6:$C$65,0))),"not on the Roster"))</f>
        <v/>
      </c>
      <c r="E149" s="106" t="n"/>
      <c r="F149" s="104">
        <f>IF(OR(A149="",C149="",B149=""),"",IFERROR(INDEX(CHOOSE(IF(YEAR(A149)&gt;PlanYear,13,MONTH(A149)),'Jan'!$D$27:$AH$266,'Feb'!$D$27:$AH$266,'Mar'!$D$27:$AH$266,'Apr'!$D$27:$AH$266,'May'!$D$27:$AH$266,'Jun'!$D$27:$AH$266,'Jul'!$D$27:$AH$266,'Aug'!$D$27:$AH$266,'Sep'!$D$27:$AH$266,'Oct'!$D$27:$AH$266,'Nov'!$D$27:$AH$266,'Dec'!$D$27:$AH$266,'Jan (next year)'!$D$27:$AH$266),27+4*(IFERROR(MATCH(C149,Roster!$B$6:$B$65,0),MATCH(C149,Roster!$C$6:$C$65,0))-1)+MATCH(B149,{"AM","PM","NIGHT","WD"},0)-1-27+1,DAY(A149))&amp;"",""))</f>
        <v/>
      </c>
      <c r="G149" s="123">
        <f>IF(OR(A149="",C149="",B149="",E149=""),"",IFERROR(A149&amp;"|"&amp;(27+4*(IFERROR(MATCH(C149,Roster!$B$6:$B$65,0),MATCH(C149,Roster!$C$6:$C$65,0))-1)+MATCH(B149,{"AM","PM","NIGHT","WD"},0)-1),""))</f>
        <v/>
      </c>
    </row>
    <row r="150">
      <c r="A150" s="122" t="n"/>
      <c r="B150" s="107" t="n"/>
      <c r="C150" s="105" t="n"/>
      <c r="D150" s="92">
        <f>IF(C150="","",IFERROR(INDEX(Roster!$C$6:$C$65,IFERROR(MATCH(C150,Roster!$B$6:$B$65,0),MATCH(C150,Roster!$C$6:$C$65,0))),"not on the Roster"))</f>
        <v/>
      </c>
      <c r="E150" s="106" t="n"/>
      <c r="F150" s="104">
        <f>IF(OR(A150="",C150="",B150=""),"",IFERROR(INDEX(CHOOSE(IF(YEAR(A150)&gt;PlanYear,13,MONTH(A150)),'Jan'!$D$27:$AH$266,'Feb'!$D$27:$AH$266,'Mar'!$D$27:$AH$266,'Apr'!$D$27:$AH$266,'May'!$D$27:$AH$266,'Jun'!$D$27:$AH$266,'Jul'!$D$27:$AH$266,'Aug'!$D$27:$AH$266,'Sep'!$D$27:$AH$266,'Oct'!$D$27:$AH$266,'Nov'!$D$27:$AH$266,'Dec'!$D$27:$AH$266,'Jan (next year)'!$D$27:$AH$266),27+4*(IFERROR(MATCH(C150,Roster!$B$6:$B$65,0),MATCH(C150,Roster!$C$6:$C$65,0))-1)+MATCH(B150,{"AM","PM","NIGHT","WD"},0)-1-27+1,DAY(A150))&amp;"",""))</f>
        <v/>
      </c>
      <c r="G150" s="123">
        <f>IF(OR(A150="",C150="",B150="",E150=""),"",IFERROR(A150&amp;"|"&amp;(27+4*(IFERROR(MATCH(C150,Roster!$B$6:$B$65,0),MATCH(C150,Roster!$C$6:$C$65,0))-1)+MATCH(B150,{"AM","PM","NIGHT","WD"},0)-1),""))</f>
        <v/>
      </c>
    </row>
    <row r="151">
      <c r="A151" s="122" t="n"/>
      <c r="B151" s="107" t="n"/>
      <c r="C151" s="105" t="n"/>
      <c r="D151" s="92">
        <f>IF(C151="","",IFERROR(INDEX(Roster!$C$6:$C$65,IFERROR(MATCH(C151,Roster!$B$6:$B$65,0),MATCH(C151,Roster!$C$6:$C$65,0))),"not on the Roster"))</f>
        <v/>
      </c>
      <c r="E151" s="106" t="n"/>
      <c r="F151" s="104">
        <f>IF(OR(A151="",C151="",B151=""),"",IFERROR(INDEX(CHOOSE(IF(YEAR(A151)&gt;PlanYear,13,MONTH(A151)),'Jan'!$D$27:$AH$266,'Feb'!$D$27:$AH$266,'Mar'!$D$27:$AH$266,'Apr'!$D$27:$AH$266,'May'!$D$27:$AH$266,'Jun'!$D$27:$AH$266,'Jul'!$D$27:$AH$266,'Aug'!$D$27:$AH$266,'Sep'!$D$27:$AH$266,'Oct'!$D$27:$AH$266,'Nov'!$D$27:$AH$266,'Dec'!$D$27:$AH$266,'Jan (next year)'!$D$27:$AH$266),27+4*(IFERROR(MATCH(C151,Roster!$B$6:$B$65,0),MATCH(C151,Roster!$C$6:$C$65,0))-1)+MATCH(B151,{"AM","PM","NIGHT","WD"},0)-1-27+1,DAY(A151))&amp;"",""))</f>
        <v/>
      </c>
      <c r="G151" s="123">
        <f>IF(OR(A151="",C151="",B151="",E151=""),"",IFERROR(A151&amp;"|"&amp;(27+4*(IFERROR(MATCH(C151,Roster!$B$6:$B$65,0),MATCH(C151,Roster!$C$6:$C$65,0))-1)+MATCH(B151,{"AM","PM","NIGHT","WD"},0)-1),""))</f>
        <v/>
      </c>
    </row>
    <row r="152">
      <c r="A152" s="122" t="n"/>
      <c r="B152" s="107" t="n"/>
      <c r="C152" s="105" t="n"/>
      <c r="D152" s="92">
        <f>IF(C152="","",IFERROR(INDEX(Roster!$C$6:$C$65,IFERROR(MATCH(C152,Roster!$B$6:$B$65,0),MATCH(C152,Roster!$C$6:$C$65,0))),"not on the Roster"))</f>
        <v/>
      </c>
      <c r="E152" s="106" t="n"/>
      <c r="F152" s="104">
        <f>IF(OR(A152="",C152="",B152=""),"",IFERROR(INDEX(CHOOSE(IF(YEAR(A152)&gt;PlanYear,13,MONTH(A152)),'Jan'!$D$27:$AH$266,'Feb'!$D$27:$AH$266,'Mar'!$D$27:$AH$266,'Apr'!$D$27:$AH$266,'May'!$D$27:$AH$266,'Jun'!$D$27:$AH$266,'Jul'!$D$27:$AH$266,'Aug'!$D$27:$AH$266,'Sep'!$D$27:$AH$266,'Oct'!$D$27:$AH$266,'Nov'!$D$27:$AH$266,'Dec'!$D$27:$AH$266,'Jan (next year)'!$D$27:$AH$266),27+4*(IFERROR(MATCH(C152,Roster!$B$6:$B$65,0),MATCH(C152,Roster!$C$6:$C$65,0))-1)+MATCH(B152,{"AM","PM","NIGHT","WD"},0)-1-27+1,DAY(A152))&amp;"",""))</f>
        <v/>
      </c>
      <c r="G152" s="123">
        <f>IF(OR(A152="",C152="",B152="",E152=""),"",IFERROR(A152&amp;"|"&amp;(27+4*(IFERROR(MATCH(C152,Roster!$B$6:$B$65,0),MATCH(C152,Roster!$C$6:$C$65,0))-1)+MATCH(B152,{"AM","PM","NIGHT","WD"},0)-1),""))</f>
        <v/>
      </c>
    </row>
    <row r="153">
      <c r="A153" s="122" t="n"/>
      <c r="B153" s="107" t="n"/>
      <c r="C153" s="105" t="n"/>
      <c r="D153" s="92">
        <f>IF(C153="","",IFERROR(INDEX(Roster!$C$6:$C$65,IFERROR(MATCH(C153,Roster!$B$6:$B$65,0),MATCH(C153,Roster!$C$6:$C$65,0))),"not on the Roster"))</f>
        <v/>
      </c>
      <c r="E153" s="106" t="n"/>
      <c r="F153" s="104">
        <f>IF(OR(A153="",C153="",B153=""),"",IFERROR(INDEX(CHOOSE(IF(YEAR(A153)&gt;PlanYear,13,MONTH(A153)),'Jan'!$D$27:$AH$266,'Feb'!$D$27:$AH$266,'Mar'!$D$27:$AH$266,'Apr'!$D$27:$AH$266,'May'!$D$27:$AH$266,'Jun'!$D$27:$AH$266,'Jul'!$D$27:$AH$266,'Aug'!$D$27:$AH$266,'Sep'!$D$27:$AH$266,'Oct'!$D$27:$AH$266,'Nov'!$D$27:$AH$266,'Dec'!$D$27:$AH$266,'Jan (next year)'!$D$27:$AH$266),27+4*(IFERROR(MATCH(C153,Roster!$B$6:$B$65,0),MATCH(C153,Roster!$C$6:$C$65,0))-1)+MATCH(B153,{"AM","PM","NIGHT","WD"},0)-1-27+1,DAY(A153))&amp;"",""))</f>
        <v/>
      </c>
      <c r="G153" s="123">
        <f>IF(OR(A153="",C153="",B153="",E153=""),"",IFERROR(A153&amp;"|"&amp;(27+4*(IFERROR(MATCH(C153,Roster!$B$6:$B$65,0),MATCH(C153,Roster!$C$6:$C$65,0))-1)+MATCH(B153,{"AM","PM","NIGHT","WD"},0)-1),""))</f>
        <v/>
      </c>
    </row>
    <row r="154">
      <c r="A154" s="122" t="n"/>
      <c r="B154" s="107" t="n"/>
      <c r="C154" s="105" t="n"/>
      <c r="D154" s="92">
        <f>IF(C154="","",IFERROR(INDEX(Roster!$C$6:$C$65,IFERROR(MATCH(C154,Roster!$B$6:$B$65,0),MATCH(C154,Roster!$C$6:$C$65,0))),"not on the Roster"))</f>
        <v/>
      </c>
      <c r="E154" s="106" t="n"/>
      <c r="F154" s="104">
        <f>IF(OR(A154="",C154="",B154=""),"",IFERROR(INDEX(CHOOSE(IF(YEAR(A154)&gt;PlanYear,13,MONTH(A154)),'Jan'!$D$27:$AH$266,'Feb'!$D$27:$AH$266,'Mar'!$D$27:$AH$266,'Apr'!$D$27:$AH$266,'May'!$D$27:$AH$266,'Jun'!$D$27:$AH$266,'Jul'!$D$27:$AH$266,'Aug'!$D$27:$AH$266,'Sep'!$D$27:$AH$266,'Oct'!$D$27:$AH$266,'Nov'!$D$27:$AH$266,'Dec'!$D$27:$AH$266,'Jan (next year)'!$D$27:$AH$266),27+4*(IFERROR(MATCH(C154,Roster!$B$6:$B$65,0),MATCH(C154,Roster!$C$6:$C$65,0))-1)+MATCH(B154,{"AM","PM","NIGHT","WD"},0)-1-27+1,DAY(A154))&amp;"",""))</f>
        <v/>
      </c>
      <c r="G154" s="123">
        <f>IF(OR(A154="",C154="",B154="",E154=""),"",IFERROR(A154&amp;"|"&amp;(27+4*(IFERROR(MATCH(C154,Roster!$B$6:$B$65,0),MATCH(C154,Roster!$C$6:$C$65,0))-1)+MATCH(B154,{"AM","PM","NIGHT","WD"},0)-1),""))</f>
        <v/>
      </c>
    </row>
    <row r="155">
      <c r="A155" s="122" t="n"/>
      <c r="B155" s="107" t="n"/>
      <c r="C155" s="105" t="n"/>
      <c r="D155" s="92">
        <f>IF(C155="","",IFERROR(INDEX(Roster!$C$6:$C$65,IFERROR(MATCH(C155,Roster!$B$6:$B$65,0),MATCH(C155,Roster!$C$6:$C$65,0))),"not on the Roster"))</f>
        <v/>
      </c>
      <c r="E155" s="106" t="n"/>
      <c r="F155" s="104">
        <f>IF(OR(A155="",C155="",B155=""),"",IFERROR(INDEX(CHOOSE(IF(YEAR(A155)&gt;PlanYear,13,MONTH(A155)),'Jan'!$D$27:$AH$266,'Feb'!$D$27:$AH$266,'Mar'!$D$27:$AH$266,'Apr'!$D$27:$AH$266,'May'!$D$27:$AH$266,'Jun'!$D$27:$AH$266,'Jul'!$D$27:$AH$266,'Aug'!$D$27:$AH$266,'Sep'!$D$27:$AH$266,'Oct'!$D$27:$AH$266,'Nov'!$D$27:$AH$266,'Dec'!$D$27:$AH$266,'Jan (next year)'!$D$27:$AH$266),27+4*(IFERROR(MATCH(C155,Roster!$B$6:$B$65,0),MATCH(C155,Roster!$C$6:$C$65,0))-1)+MATCH(B155,{"AM","PM","NIGHT","WD"},0)-1-27+1,DAY(A155))&amp;"",""))</f>
        <v/>
      </c>
      <c r="G155" s="123">
        <f>IF(OR(A155="",C155="",B155="",E155=""),"",IFERROR(A155&amp;"|"&amp;(27+4*(IFERROR(MATCH(C155,Roster!$B$6:$B$65,0),MATCH(C155,Roster!$C$6:$C$65,0))-1)+MATCH(B155,{"AM","PM","NIGHT","WD"},0)-1),""))</f>
        <v/>
      </c>
    </row>
    <row r="156">
      <c r="A156" s="122" t="n"/>
      <c r="B156" s="107" t="n"/>
      <c r="C156" s="105" t="n"/>
      <c r="D156" s="92">
        <f>IF(C156="","",IFERROR(INDEX(Roster!$C$6:$C$65,IFERROR(MATCH(C156,Roster!$B$6:$B$65,0),MATCH(C156,Roster!$C$6:$C$65,0))),"not on the Roster"))</f>
        <v/>
      </c>
      <c r="E156" s="106" t="n"/>
      <c r="F156" s="104">
        <f>IF(OR(A156="",C156="",B156=""),"",IFERROR(INDEX(CHOOSE(IF(YEAR(A156)&gt;PlanYear,13,MONTH(A156)),'Jan'!$D$27:$AH$266,'Feb'!$D$27:$AH$266,'Mar'!$D$27:$AH$266,'Apr'!$D$27:$AH$266,'May'!$D$27:$AH$266,'Jun'!$D$27:$AH$266,'Jul'!$D$27:$AH$266,'Aug'!$D$27:$AH$266,'Sep'!$D$27:$AH$266,'Oct'!$D$27:$AH$266,'Nov'!$D$27:$AH$266,'Dec'!$D$27:$AH$266,'Jan (next year)'!$D$27:$AH$266),27+4*(IFERROR(MATCH(C156,Roster!$B$6:$B$65,0),MATCH(C156,Roster!$C$6:$C$65,0))-1)+MATCH(B156,{"AM","PM","NIGHT","WD"},0)-1-27+1,DAY(A156))&amp;"",""))</f>
        <v/>
      </c>
      <c r="G156" s="123">
        <f>IF(OR(A156="",C156="",B156="",E156=""),"",IFERROR(A156&amp;"|"&amp;(27+4*(IFERROR(MATCH(C156,Roster!$B$6:$B$65,0),MATCH(C156,Roster!$C$6:$C$65,0))-1)+MATCH(B156,{"AM","PM","NIGHT","WD"},0)-1),""))</f>
        <v/>
      </c>
    </row>
    <row r="157">
      <c r="A157" s="122" t="n"/>
      <c r="B157" s="107" t="n"/>
      <c r="C157" s="105" t="n"/>
      <c r="D157" s="92">
        <f>IF(C157="","",IFERROR(INDEX(Roster!$C$6:$C$65,IFERROR(MATCH(C157,Roster!$B$6:$B$65,0),MATCH(C157,Roster!$C$6:$C$65,0))),"not on the Roster"))</f>
        <v/>
      </c>
      <c r="E157" s="106" t="n"/>
      <c r="F157" s="104">
        <f>IF(OR(A157="",C157="",B157=""),"",IFERROR(INDEX(CHOOSE(IF(YEAR(A157)&gt;PlanYear,13,MONTH(A157)),'Jan'!$D$27:$AH$266,'Feb'!$D$27:$AH$266,'Mar'!$D$27:$AH$266,'Apr'!$D$27:$AH$266,'May'!$D$27:$AH$266,'Jun'!$D$27:$AH$266,'Jul'!$D$27:$AH$266,'Aug'!$D$27:$AH$266,'Sep'!$D$27:$AH$266,'Oct'!$D$27:$AH$266,'Nov'!$D$27:$AH$266,'Dec'!$D$27:$AH$266,'Jan (next year)'!$D$27:$AH$266),27+4*(IFERROR(MATCH(C157,Roster!$B$6:$B$65,0),MATCH(C157,Roster!$C$6:$C$65,0))-1)+MATCH(B157,{"AM","PM","NIGHT","WD"},0)-1-27+1,DAY(A157))&amp;"",""))</f>
        <v/>
      </c>
      <c r="G157" s="123">
        <f>IF(OR(A157="",C157="",B157="",E157=""),"",IFERROR(A157&amp;"|"&amp;(27+4*(IFERROR(MATCH(C157,Roster!$B$6:$B$65,0),MATCH(C157,Roster!$C$6:$C$65,0))-1)+MATCH(B157,{"AM","PM","NIGHT","WD"},0)-1),""))</f>
        <v/>
      </c>
    </row>
    <row r="158">
      <c r="A158" s="122" t="n"/>
      <c r="B158" s="107" t="n"/>
      <c r="C158" s="105" t="n"/>
      <c r="D158" s="92">
        <f>IF(C158="","",IFERROR(INDEX(Roster!$C$6:$C$65,IFERROR(MATCH(C158,Roster!$B$6:$B$65,0),MATCH(C158,Roster!$C$6:$C$65,0))),"not on the Roster"))</f>
        <v/>
      </c>
      <c r="E158" s="106" t="n"/>
      <c r="F158" s="104">
        <f>IF(OR(A158="",C158="",B158=""),"",IFERROR(INDEX(CHOOSE(IF(YEAR(A158)&gt;PlanYear,13,MONTH(A158)),'Jan'!$D$27:$AH$266,'Feb'!$D$27:$AH$266,'Mar'!$D$27:$AH$266,'Apr'!$D$27:$AH$266,'May'!$D$27:$AH$266,'Jun'!$D$27:$AH$266,'Jul'!$D$27:$AH$266,'Aug'!$D$27:$AH$266,'Sep'!$D$27:$AH$266,'Oct'!$D$27:$AH$266,'Nov'!$D$27:$AH$266,'Dec'!$D$27:$AH$266,'Jan (next year)'!$D$27:$AH$266),27+4*(IFERROR(MATCH(C158,Roster!$B$6:$B$65,0),MATCH(C158,Roster!$C$6:$C$65,0))-1)+MATCH(B158,{"AM","PM","NIGHT","WD"},0)-1-27+1,DAY(A158))&amp;"",""))</f>
        <v/>
      </c>
      <c r="G158" s="123">
        <f>IF(OR(A158="",C158="",B158="",E158=""),"",IFERROR(A158&amp;"|"&amp;(27+4*(IFERROR(MATCH(C158,Roster!$B$6:$B$65,0),MATCH(C158,Roster!$C$6:$C$65,0))-1)+MATCH(B158,{"AM","PM","NIGHT","WD"},0)-1),""))</f>
        <v/>
      </c>
    </row>
    <row r="159">
      <c r="A159" s="122" t="n"/>
      <c r="B159" s="107" t="n"/>
      <c r="C159" s="105" t="n"/>
      <c r="D159" s="92">
        <f>IF(C159="","",IFERROR(INDEX(Roster!$C$6:$C$65,IFERROR(MATCH(C159,Roster!$B$6:$B$65,0),MATCH(C159,Roster!$C$6:$C$65,0))),"not on the Roster"))</f>
        <v/>
      </c>
      <c r="E159" s="106" t="n"/>
      <c r="F159" s="104">
        <f>IF(OR(A159="",C159="",B159=""),"",IFERROR(INDEX(CHOOSE(IF(YEAR(A159)&gt;PlanYear,13,MONTH(A159)),'Jan'!$D$27:$AH$266,'Feb'!$D$27:$AH$266,'Mar'!$D$27:$AH$266,'Apr'!$D$27:$AH$266,'May'!$D$27:$AH$266,'Jun'!$D$27:$AH$266,'Jul'!$D$27:$AH$266,'Aug'!$D$27:$AH$266,'Sep'!$D$27:$AH$266,'Oct'!$D$27:$AH$266,'Nov'!$D$27:$AH$266,'Dec'!$D$27:$AH$266,'Jan (next year)'!$D$27:$AH$266),27+4*(IFERROR(MATCH(C159,Roster!$B$6:$B$65,0),MATCH(C159,Roster!$C$6:$C$65,0))-1)+MATCH(B159,{"AM","PM","NIGHT","WD"},0)-1-27+1,DAY(A159))&amp;"",""))</f>
        <v/>
      </c>
      <c r="G159" s="123">
        <f>IF(OR(A159="",C159="",B159="",E159=""),"",IFERROR(A159&amp;"|"&amp;(27+4*(IFERROR(MATCH(C159,Roster!$B$6:$B$65,0),MATCH(C159,Roster!$C$6:$C$65,0))-1)+MATCH(B159,{"AM","PM","NIGHT","WD"},0)-1),""))</f>
        <v/>
      </c>
    </row>
    <row r="160">
      <c r="A160" s="122" t="n"/>
      <c r="B160" s="107" t="n"/>
      <c r="C160" s="105" t="n"/>
      <c r="D160" s="92">
        <f>IF(C160="","",IFERROR(INDEX(Roster!$C$6:$C$65,IFERROR(MATCH(C160,Roster!$B$6:$B$65,0),MATCH(C160,Roster!$C$6:$C$65,0))),"not on the Roster"))</f>
        <v/>
      </c>
      <c r="E160" s="106" t="n"/>
      <c r="F160" s="104">
        <f>IF(OR(A160="",C160="",B160=""),"",IFERROR(INDEX(CHOOSE(IF(YEAR(A160)&gt;PlanYear,13,MONTH(A160)),'Jan'!$D$27:$AH$266,'Feb'!$D$27:$AH$266,'Mar'!$D$27:$AH$266,'Apr'!$D$27:$AH$266,'May'!$D$27:$AH$266,'Jun'!$D$27:$AH$266,'Jul'!$D$27:$AH$266,'Aug'!$D$27:$AH$266,'Sep'!$D$27:$AH$266,'Oct'!$D$27:$AH$266,'Nov'!$D$27:$AH$266,'Dec'!$D$27:$AH$266,'Jan (next year)'!$D$27:$AH$266),27+4*(IFERROR(MATCH(C160,Roster!$B$6:$B$65,0),MATCH(C160,Roster!$C$6:$C$65,0))-1)+MATCH(B160,{"AM","PM","NIGHT","WD"},0)-1-27+1,DAY(A160))&amp;"",""))</f>
        <v/>
      </c>
      <c r="G160" s="123">
        <f>IF(OR(A160="",C160="",B160="",E160=""),"",IFERROR(A160&amp;"|"&amp;(27+4*(IFERROR(MATCH(C160,Roster!$B$6:$B$65,0),MATCH(C160,Roster!$C$6:$C$65,0))-1)+MATCH(B160,{"AM","PM","NIGHT","WD"},0)-1),""))</f>
        <v/>
      </c>
    </row>
    <row r="161">
      <c r="A161" s="122" t="n"/>
      <c r="B161" s="107" t="n"/>
      <c r="C161" s="105" t="n"/>
      <c r="D161" s="92">
        <f>IF(C161="","",IFERROR(INDEX(Roster!$C$6:$C$65,IFERROR(MATCH(C161,Roster!$B$6:$B$65,0),MATCH(C161,Roster!$C$6:$C$65,0))),"not on the Roster"))</f>
        <v/>
      </c>
      <c r="E161" s="106" t="n"/>
      <c r="F161" s="104">
        <f>IF(OR(A161="",C161="",B161=""),"",IFERROR(INDEX(CHOOSE(IF(YEAR(A161)&gt;PlanYear,13,MONTH(A161)),'Jan'!$D$27:$AH$266,'Feb'!$D$27:$AH$266,'Mar'!$D$27:$AH$266,'Apr'!$D$27:$AH$266,'May'!$D$27:$AH$266,'Jun'!$D$27:$AH$266,'Jul'!$D$27:$AH$266,'Aug'!$D$27:$AH$266,'Sep'!$D$27:$AH$266,'Oct'!$D$27:$AH$266,'Nov'!$D$27:$AH$266,'Dec'!$D$27:$AH$266,'Jan (next year)'!$D$27:$AH$266),27+4*(IFERROR(MATCH(C161,Roster!$B$6:$B$65,0),MATCH(C161,Roster!$C$6:$C$65,0))-1)+MATCH(B161,{"AM","PM","NIGHT","WD"},0)-1-27+1,DAY(A161))&amp;"",""))</f>
        <v/>
      </c>
      <c r="G161" s="123">
        <f>IF(OR(A161="",C161="",B161="",E161=""),"",IFERROR(A161&amp;"|"&amp;(27+4*(IFERROR(MATCH(C161,Roster!$B$6:$B$65,0),MATCH(C161,Roster!$C$6:$C$65,0))-1)+MATCH(B161,{"AM","PM","NIGHT","WD"},0)-1),""))</f>
        <v/>
      </c>
    </row>
    <row r="162">
      <c r="A162" s="122" t="n"/>
      <c r="B162" s="107" t="n"/>
      <c r="C162" s="105" t="n"/>
      <c r="D162" s="92">
        <f>IF(C162="","",IFERROR(INDEX(Roster!$C$6:$C$65,IFERROR(MATCH(C162,Roster!$B$6:$B$65,0),MATCH(C162,Roster!$C$6:$C$65,0))),"not on the Roster"))</f>
        <v/>
      </c>
      <c r="E162" s="106" t="n"/>
      <c r="F162" s="104">
        <f>IF(OR(A162="",C162="",B162=""),"",IFERROR(INDEX(CHOOSE(IF(YEAR(A162)&gt;PlanYear,13,MONTH(A162)),'Jan'!$D$27:$AH$266,'Feb'!$D$27:$AH$266,'Mar'!$D$27:$AH$266,'Apr'!$D$27:$AH$266,'May'!$D$27:$AH$266,'Jun'!$D$27:$AH$266,'Jul'!$D$27:$AH$266,'Aug'!$D$27:$AH$266,'Sep'!$D$27:$AH$266,'Oct'!$D$27:$AH$266,'Nov'!$D$27:$AH$266,'Dec'!$D$27:$AH$266,'Jan (next year)'!$D$27:$AH$266),27+4*(IFERROR(MATCH(C162,Roster!$B$6:$B$65,0),MATCH(C162,Roster!$C$6:$C$65,0))-1)+MATCH(B162,{"AM","PM","NIGHT","WD"},0)-1-27+1,DAY(A162))&amp;"",""))</f>
        <v/>
      </c>
      <c r="G162" s="123">
        <f>IF(OR(A162="",C162="",B162="",E162=""),"",IFERROR(A162&amp;"|"&amp;(27+4*(IFERROR(MATCH(C162,Roster!$B$6:$B$65,0),MATCH(C162,Roster!$C$6:$C$65,0))-1)+MATCH(B162,{"AM","PM","NIGHT","WD"},0)-1),""))</f>
        <v/>
      </c>
    </row>
    <row r="163">
      <c r="A163" s="122" t="n"/>
      <c r="B163" s="107" t="n"/>
      <c r="C163" s="105" t="n"/>
      <c r="D163" s="92">
        <f>IF(C163="","",IFERROR(INDEX(Roster!$C$6:$C$65,IFERROR(MATCH(C163,Roster!$B$6:$B$65,0),MATCH(C163,Roster!$C$6:$C$65,0))),"not on the Roster"))</f>
        <v/>
      </c>
      <c r="E163" s="106" t="n"/>
      <c r="F163" s="104">
        <f>IF(OR(A163="",C163="",B163=""),"",IFERROR(INDEX(CHOOSE(IF(YEAR(A163)&gt;PlanYear,13,MONTH(A163)),'Jan'!$D$27:$AH$266,'Feb'!$D$27:$AH$266,'Mar'!$D$27:$AH$266,'Apr'!$D$27:$AH$266,'May'!$D$27:$AH$266,'Jun'!$D$27:$AH$266,'Jul'!$D$27:$AH$266,'Aug'!$D$27:$AH$266,'Sep'!$D$27:$AH$266,'Oct'!$D$27:$AH$266,'Nov'!$D$27:$AH$266,'Dec'!$D$27:$AH$266,'Jan (next year)'!$D$27:$AH$266),27+4*(IFERROR(MATCH(C163,Roster!$B$6:$B$65,0),MATCH(C163,Roster!$C$6:$C$65,0))-1)+MATCH(B163,{"AM","PM","NIGHT","WD"},0)-1-27+1,DAY(A163))&amp;"",""))</f>
        <v/>
      </c>
      <c r="G163" s="123">
        <f>IF(OR(A163="",C163="",B163="",E163=""),"",IFERROR(A163&amp;"|"&amp;(27+4*(IFERROR(MATCH(C163,Roster!$B$6:$B$65,0),MATCH(C163,Roster!$C$6:$C$65,0))-1)+MATCH(B163,{"AM","PM","NIGHT","WD"},0)-1),""))</f>
        <v/>
      </c>
    </row>
    <row r="164">
      <c r="A164" s="122" t="n"/>
      <c r="B164" s="107" t="n"/>
      <c r="C164" s="105" t="n"/>
      <c r="D164" s="92">
        <f>IF(C164="","",IFERROR(INDEX(Roster!$C$6:$C$65,IFERROR(MATCH(C164,Roster!$B$6:$B$65,0),MATCH(C164,Roster!$C$6:$C$65,0))),"not on the Roster"))</f>
        <v/>
      </c>
      <c r="E164" s="106" t="n"/>
      <c r="F164" s="104">
        <f>IF(OR(A164="",C164="",B164=""),"",IFERROR(INDEX(CHOOSE(IF(YEAR(A164)&gt;PlanYear,13,MONTH(A164)),'Jan'!$D$27:$AH$266,'Feb'!$D$27:$AH$266,'Mar'!$D$27:$AH$266,'Apr'!$D$27:$AH$266,'May'!$D$27:$AH$266,'Jun'!$D$27:$AH$266,'Jul'!$D$27:$AH$266,'Aug'!$D$27:$AH$266,'Sep'!$D$27:$AH$266,'Oct'!$D$27:$AH$266,'Nov'!$D$27:$AH$266,'Dec'!$D$27:$AH$266,'Jan (next year)'!$D$27:$AH$266),27+4*(IFERROR(MATCH(C164,Roster!$B$6:$B$65,0),MATCH(C164,Roster!$C$6:$C$65,0))-1)+MATCH(B164,{"AM","PM","NIGHT","WD"},0)-1-27+1,DAY(A164))&amp;"",""))</f>
        <v/>
      </c>
      <c r="G164" s="123">
        <f>IF(OR(A164="",C164="",B164="",E164=""),"",IFERROR(A164&amp;"|"&amp;(27+4*(IFERROR(MATCH(C164,Roster!$B$6:$B$65,0),MATCH(C164,Roster!$C$6:$C$65,0))-1)+MATCH(B164,{"AM","PM","NIGHT","WD"},0)-1),""))</f>
        <v/>
      </c>
    </row>
    <row r="165">
      <c r="A165" s="122" t="n"/>
      <c r="B165" s="107" t="n"/>
      <c r="C165" s="105" t="n"/>
      <c r="D165" s="92">
        <f>IF(C165="","",IFERROR(INDEX(Roster!$C$6:$C$65,IFERROR(MATCH(C165,Roster!$B$6:$B$65,0),MATCH(C165,Roster!$C$6:$C$65,0))),"not on the Roster"))</f>
        <v/>
      </c>
      <c r="E165" s="106" t="n"/>
      <c r="F165" s="104">
        <f>IF(OR(A165="",C165="",B165=""),"",IFERROR(INDEX(CHOOSE(IF(YEAR(A165)&gt;PlanYear,13,MONTH(A165)),'Jan'!$D$27:$AH$266,'Feb'!$D$27:$AH$266,'Mar'!$D$27:$AH$266,'Apr'!$D$27:$AH$266,'May'!$D$27:$AH$266,'Jun'!$D$27:$AH$266,'Jul'!$D$27:$AH$266,'Aug'!$D$27:$AH$266,'Sep'!$D$27:$AH$266,'Oct'!$D$27:$AH$266,'Nov'!$D$27:$AH$266,'Dec'!$D$27:$AH$266,'Jan (next year)'!$D$27:$AH$266),27+4*(IFERROR(MATCH(C165,Roster!$B$6:$B$65,0),MATCH(C165,Roster!$C$6:$C$65,0))-1)+MATCH(B165,{"AM","PM","NIGHT","WD"},0)-1-27+1,DAY(A165))&amp;"",""))</f>
        <v/>
      </c>
      <c r="G165" s="123">
        <f>IF(OR(A165="",C165="",B165="",E165=""),"",IFERROR(A165&amp;"|"&amp;(27+4*(IFERROR(MATCH(C165,Roster!$B$6:$B$65,0),MATCH(C165,Roster!$C$6:$C$65,0))-1)+MATCH(B165,{"AM","PM","NIGHT","WD"},0)-1),""))</f>
        <v/>
      </c>
    </row>
    <row r="166">
      <c r="A166" s="122" t="n"/>
      <c r="B166" s="107" t="n"/>
      <c r="C166" s="105" t="n"/>
      <c r="D166" s="92">
        <f>IF(C166="","",IFERROR(INDEX(Roster!$C$6:$C$65,IFERROR(MATCH(C166,Roster!$B$6:$B$65,0),MATCH(C166,Roster!$C$6:$C$65,0))),"not on the Roster"))</f>
        <v/>
      </c>
      <c r="E166" s="106" t="n"/>
      <c r="F166" s="104">
        <f>IF(OR(A166="",C166="",B166=""),"",IFERROR(INDEX(CHOOSE(IF(YEAR(A166)&gt;PlanYear,13,MONTH(A166)),'Jan'!$D$27:$AH$266,'Feb'!$D$27:$AH$266,'Mar'!$D$27:$AH$266,'Apr'!$D$27:$AH$266,'May'!$D$27:$AH$266,'Jun'!$D$27:$AH$266,'Jul'!$D$27:$AH$266,'Aug'!$D$27:$AH$266,'Sep'!$D$27:$AH$266,'Oct'!$D$27:$AH$266,'Nov'!$D$27:$AH$266,'Dec'!$D$27:$AH$266,'Jan (next year)'!$D$27:$AH$266),27+4*(IFERROR(MATCH(C166,Roster!$B$6:$B$65,0),MATCH(C166,Roster!$C$6:$C$65,0))-1)+MATCH(B166,{"AM","PM","NIGHT","WD"},0)-1-27+1,DAY(A166))&amp;"",""))</f>
        <v/>
      </c>
      <c r="G166" s="123">
        <f>IF(OR(A166="",C166="",B166="",E166=""),"",IFERROR(A166&amp;"|"&amp;(27+4*(IFERROR(MATCH(C166,Roster!$B$6:$B$65,0),MATCH(C166,Roster!$C$6:$C$65,0))-1)+MATCH(B166,{"AM","PM","NIGHT","WD"},0)-1),""))</f>
        <v/>
      </c>
    </row>
    <row r="167">
      <c r="A167" s="122" t="n"/>
      <c r="B167" s="107" t="n"/>
      <c r="C167" s="105" t="n"/>
      <c r="D167" s="92">
        <f>IF(C167="","",IFERROR(INDEX(Roster!$C$6:$C$65,IFERROR(MATCH(C167,Roster!$B$6:$B$65,0),MATCH(C167,Roster!$C$6:$C$65,0))),"not on the Roster"))</f>
        <v/>
      </c>
      <c r="E167" s="106" t="n"/>
      <c r="F167" s="104">
        <f>IF(OR(A167="",C167="",B167=""),"",IFERROR(INDEX(CHOOSE(IF(YEAR(A167)&gt;PlanYear,13,MONTH(A167)),'Jan'!$D$27:$AH$266,'Feb'!$D$27:$AH$266,'Mar'!$D$27:$AH$266,'Apr'!$D$27:$AH$266,'May'!$D$27:$AH$266,'Jun'!$D$27:$AH$266,'Jul'!$D$27:$AH$266,'Aug'!$D$27:$AH$266,'Sep'!$D$27:$AH$266,'Oct'!$D$27:$AH$266,'Nov'!$D$27:$AH$266,'Dec'!$D$27:$AH$266,'Jan (next year)'!$D$27:$AH$266),27+4*(IFERROR(MATCH(C167,Roster!$B$6:$B$65,0),MATCH(C167,Roster!$C$6:$C$65,0))-1)+MATCH(B167,{"AM","PM","NIGHT","WD"},0)-1-27+1,DAY(A167))&amp;"",""))</f>
        <v/>
      </c>
      <c r="G167" s="123">
        <f>IF(OR(A167="",C167="",B167="",E167=""),"",IFERROR(A167&amp;"|"&amp;(27+4*(IFERROR(MATCH(C167,Roster!$B$6:$B$65,0),MATCH(C167,Roster!$C$6:$C$65,0))-1)+MATCH(B167,{"AM","PM","NIGHT","WD"},0)-1),""))</f>
        <v/>
      </c>
    </row>
    <row r="168">
      <c r="A168" s="122" t="n"/>
      <c r="B168" s="107" t="n"/>
      <c r="C168" s="105" t="n"/>
      <c r="D168" s="92">
        <f>IF(C168="","",IFERROR(INDEX(Roster!$C$6:$C$65,IFERROR(MATCH(C168,Roster!$B$6:$B$65,0),MATCH(C168,Roster!$C$6:$C$65,0))),"not on the Roster"))</f>
        <v/>
      </c>
      <c r="E168" s="106" t="n"/>
      <c r="F168" s="104">
        <f>IF(OR(A168="",C168="",B168=""),"",IFERROR(INDEX(CHOOSE(IF(YEAR(A168)&gt;PlanYear,13,MONTH(A168)),'Jan'!$D$27:$AH$266,'Feb'!$D$27:$AH$266,'Mar'!$D$27:$AH$266,'Apr'!$D$27:$AH$266,'May'!$D$27:$AH$266,'Jun'!$D$27:$AH$266,'Jul'!$D$27:$AH$266,'Aug'!$D$27:$AH$266,'Sep'!$D$27:$AH$266,'Oct'!$D$27:$AH$266,'Nov'!$D$27:$AH$266,'Dec'!$D$27:$AH$266,'Jan (next year)'!$D$27:$AH$266),27+4*(IFERROR(MATCH(C168,Roster!$B$6:$B$65,0),MATCH(C168,Roster!$C$6:$C$65,0))-1)+MATCH(B168,{"AM","PM","NIGHT","WD"},0)-1-27+1,DAY(A168))&amp;"",""))</f>
        <v/>
      </c>
      <c r="G168" s="123">
        <f>IF(OR(A168="",C168="",B168="",E168=""),"",IFERROR(A168&amp;"|"&amp;(27+4*(IFERROR(MATCH(C168,Roster!$B$6:$B$65,0),MATCH(C168,Roster!$C$6:$C$65,0))-1)+MATCH(B168,{"AM","PM","NIGHT","WD"},0)-1),""))</f>
        <v/>
      </c>
    </row>
    <row r="169">
      <c r="A169" s="122" t="n"/>
      <c r="B169" s="107" t="n"/>
      <c r="C169" s="105" t="n"/>
      <c r="D169" s="92">
        <f>IF(C169="","",IFERROR(INDEX(Roster!$C$6:$C$65,IFERROR(MATCH(C169,Roster!$B$6:$B$65,0),MATCH(C169,Roster!$C$6:$C$65,0))),"not on the Roster"))</f>
        <v/>
      </c>
      <c r="E169" s="106" t="n"/>
      <c r="F169" s="104">
        <f>IF(OR(A169="",C169="",B169=""),"",IFERROR(INDEX(CHOOSE(IF(YEAR(A169)&gt;PlanYear,13,MONTH(A169)),'Jan'!$D$27:$AH$266,'Feb'!$D$27:$AH$266,'Mar'!$D$27:$AH$266,'Apr'!$D$27:$AH$266,'May'!$D$27:$AH$266,'Jun'!$D$27:$AH$266,'Jul'!$D$27:$AH$266,'Aug'!$D$27:$AH$266,'Sep'!$D$27:$AH$266,'Oct'!$D$27:$AH$266,'Nov'!$D$27:$AH$266,'Dec'!$D$27:$AH$266,'Jan (next year)'!$D$27:$AH$266),27+4*(IFERROR(MATCH(C169,Roster!$B$6:$B$65,0),MATCH(C169,Roster!$C$6:$C$65,0))-1)+MATCH(B169,{"AM","PM","NIGHT","WD"},0)-1-27+1,DAY(A169))&amp;"",""))</f>
        <v/>
      </c>
      <c r="G169" s="123">
        <f>IF(OR(A169="",C169="",B169="",E169=""),"",IFERROR(A169&amp;"|"&amp;(27+4*(IFERROR(MATCH(C169,Roster!$B$6:$B$65,0),MATCH(C169,Roster!$C$6:$C$65,0))-1)+MATCH(B169,{"AM","PM","NIGHT","WD"},0)-1),""))</f>
        <v/>
      </c>
    </row>
    <row r="170">
      <c r="A170" s="122" t="n"/>
      <c r="B170" s="107" t="n"/>
      <c r="C170" s="105" t="n"/>
      <c r="D170" s="92">
        <f>IF(C170="","",IFERROR(INDEX(Roster!$C$6:$C$65,IFERROR(MATCH(C170,Roster!$B$6:$B$65,0),MATCH(C170,Roster!$C$6:$C$65,0))),"not on the Roster"))</f>
        <v/>
      </c>
      <c r="E170" s="106" t="n"/>
      <c r="F170" s="104">
        <f>IF(OR(A170="",C170="",B170=""),"",IFERROR(INDEX(CHOOSE(IF(YEAR(A170)&gt;PlanYear,13,MONTH(A170)),'Jan'!$D$27:$AH$266,'Feb'!$D$27:$AH$266,'Mar'!$D$27:$AH$266,'Apr'!$D$27:$AH$266,'May'!$D$27:$AH$266,'Jun'!$D$27:$AH$266,'Jul'!$D$27:$AH$266,'Aug'!$D$27:$AH$266,'Sep'!$D$27:$AH$266,'Oct'!$D$27:$AH$266,'Nov'!$D$27:$AH$266,'Dec'!$D$27:$AH$266,'Jan (next year)'!$D$27:$AH$266),27+4*(IFERROR(MATCH(C170,Roster!$B$6:$B$65,0),MATCH(C170,Roster!$C$6:$C$65,0))-1)+MATCH(B170,{"AM","PM","NIGHT","WD"},0)-1-27+1,DAY(A170))&amp;"",""))</f>
        <v/>
      </c>
      <c r="G170" s="123">
        <f>IF(OR(A170="",C170="",B170="",E170=""),"",IFERROR(A170&amp;"|"&amp;(27+4*(IFERROR(MATCH(C170,Roster!$B$6:$B$65,0),MATCH(C170,Roster!$C$6:$C$65,0))-1)+MATCH(B170,{"AM","PM","NIGHT","WD"},0)-1),""))</f>
        <v/>
      </c>
    </row>
    <row r="171">
      <c r="A171" s="122" t="n"/>
      <c r="B171" s="107" t="n"/>
      <c r="C171" s="105" t="n"/>
      <c r="D171" s="92">
        <f>IF(C171="","",IFERROR(INDEX(Roster!$C$6:$C$65,IFERROR(MATCH(C171,Roster!$B$6:$B$65,0),MATCH(C171,Roster!$C$6:$C$65,0))),"not on the Roster"))</f>
        <v/>
      </c>
      <c r="E171" s="106" t="n"/>
      <c r="F171" s="104">
        <f>IF(OR(A171="",C171="",B171=""),"",IFERROR(INDEX(CHOOSE(IF(YEAR(A171)&gt;PlanYear,13,MONTH(A171)),'Jan'!$D$27:$AH$266,'Feb'!$D$27:$AH$266,'Mar'!$D$27:$AH$266,'Apr'!$D$27:$AH$266,'May'!$D$27:$AH$266,'Jun'!$D$27:$AH$266,'Jul'!$D$27:$AH$266,'Aug'!$D$27:$AH$266,'Sep'!$D$27:$AH$266,'Oct'!$D$27:$AH$266,'Nov'!$D$27:$AH$266,'Dec'!$D$27:$AH$266,'Jan (next year)'!$D$27:$AH$266),27+4*(IFERROR(MATCH(C171,Roster!$B$6:$B$65,0),MATCH(C171,Roster!$C$6:$C$65,0))-1)+MATCH(B171,{"AM","PM","NIGHT","WD"},0)-1-27+1,DAY(A171))&amp;"",""))</f>
        <v/>
      </c>
      <c r="G171" s="123">
        <f>IF(OR(A171="",C171="",B171="",E171=""),"",IFERROR(A171&amp;"|"&amp;(27+4*(IFERROR(MATCH(C171,Roster!$B$6:$B$65,0),MATCH(C171,Roster!$C$6:$C$65,0))-1)+MATCH(B171,{"AM","PM","NIGHT","WD"},0)-1),""))</f>
        <v/>
      </c>
    </row>
    <row r="172">
      <c r="A172" s="122" t="n"/>
      <c r="B172" s="107" t="n"/>
      <c r="C172" s="105" t="n"/>
      <c r="D172" s="92">
        <f>IF(C172="","",IFERROR(INDEX(Roster!$C$6:$C$65,IFERROR(MATCH(C172,Roster!$B$6:$B$65,0),MATCH(C172,Roster!$C$6:$C$65,0))),"not on the Roster"))</f>
        <v/>
      </c>
      <c r="E172" s="106" t="n"/>
      <c r="F172" s="104">
        <f>IF(OR(A172="",C172="",B172=""),"",IFERROR(INDEX(CHOOSE(IF(YEAR(A172)&gt;PlanYear,13,MONTH(A172)),'Jan'!$D$27:$AH$266,'Feb'!$D$27:$AH$266,'Mar'!$D$27:$AH$266,'Apr'!$D$27:$AH$266,'May'!$D$27:$AH$266,'Jun'!$D$27:$AH$266,'Jul'!$D$27:$AH$266,'Aug'!$D$27:$AH$266,'Sep'!$D$27:$AH$266,'Oct'!$D$27:$AH$266,'Nov'!$D$27:$AH$266,'Dec'!$D$27:$AH$266,'Jan (next year)'!$D$27:$AH$266),27+4*(IFERROR(MATCH(C172,Roster!$B$6:$B$65,0),MATCH(C172,Roster!$C$6:$C$65,0))-1)+MATCH(B172,{"AM","PM","NIGHT","WD"},0)-1-27+1,DAY(A172))&amp;"",""))</f>
        <v/>
      </c>
      <c r="G172" s="123">
        <f>IF(OR(A172="",C172="",B172="",E172=""),"",IFERROR(A172&amp;"|"&amp;(27+4*(IFERROR(MATCH(C172,Roster!$B$6:$B$65,0),MATCH(C172,Roster!$C$6:$C$65,0))-1)+MATCH(B172,{"AM","PM","NIGHT","WD"},0)-1),""))</f>
        <v/>
      </c>
    </row>
    <row r="173">
      <c r="A173" s="122" t="n"/>
      <c r="B173" s="107" t="n"/>
      <c r="C173" s="105" t="n"/>
      <c r="D173" s="92">
        <f>IF(C173="","",IFERROR(INDEX(Roster!$C$6:$C$65,IFERROR(MATCH(C173,Roster!$B$6:$B$65,0),MATCH(C173,Roster!$C$6:$C$65,0))),"not on the Roster"))</f>
        <v/>
      </c>
      <c r="E173" s="106" t="n"/>
      <c r="F173" s="104">
        <f>IF(OR(A173="",C173="",B173=""),"",IFERROR(INDEX(CHOOSE(IF(YEAR(A173)&gt;PlanYear,13,MONTH(A173)),'Jan'!$D$27:$AH$266,'Feb'!$D$27:$AH$266,'Mar'!$D$27:$AH$266,'Apr'!$D$27:$AH$266,'May'!$D$27:$AH$266,'Jun'!$D$27:$AH$266,'Jul'!$D$27:$AH$266,'Aug'!$D$27:$AH$266,'Sep'!$D$27:$AH$266,'Oct'!$D$27:$AH$266,'Nov'!$D$27:$AH$266,'Dec'!$D$27:$AH$266,'Jan (next year)'!$D$27:$AH$266),27+4*(IFERROR(MATCH(C173,Roster!$B$6:$B$65,0),MATCH(C173,Roster!$C$6:$C$65,0))-1)+MATCH(B173,{"AM","PM","NIGHT","WD"},0)-1-27+1,DAY(A173))&amp;"",""))</f>
        <v/>
      </c>
      <c r="G173" s="123">
        <f>IF(OR(A173="",C173="",B173="",E173=""),"",IFERROR(A173&amp;"|"&amp;(27+4*(IFERROR(MATCH(C173,Roster!$B$6:$B$65,0),MATCH(C173,Roster!$C$6:$C$65,0))-1)+MATCH(B173,{"AM","PM","NIGHT","WD"},0)-1),""))</f>
        <v/>
      </c>
    </row>
    <row r="174">
      <c r="A174" s="122" t="n"/>
      <c r="B174" s="107" t="n"/>
      <c r="C174" s="105" t="n"/>
      <c r="D174" s="92">
        <f>IF(C174="","",IFERROR(INDEX(Roster!$C$6:$C$65,IFERROR(MATCH(C174,Roster!$B$6:$B$65,0),MATCH(C174,Roster!$C$6:$C$65,0))),"not on the Roster"))</f>
        <v/>
      </c>
      <c r="E174" s="106" t="n"/>
      <c r="F174" s="104">
        <f>IF(OR(A174="",C174="",B174=""),"",IFERROR(INDEX(CHOOSE(IF(YEAR(A174)&gt;PlanYear,13,MONTH(A174)),'Jan'!$D$27:$AH$266,'Feb'!$D$27:$AH$266,'Mar'!$D$27:$AH$266,'Apr'!$D$27:$AH$266,'May'!$D$27:$AH$266,'Jun'!$D$27:$AH$266,'Jul'!$D$27:$AH$266,'Aug'!$D$27:$AH$266,'Sep'!$D$27:$AH$266,'Oct'!$D$27:$AH$266,'Nov'!$D$27:$AH$266,'Dec'!$D$27:$AH$266,'Jan (next year)'!$D$27:$AH$266),27+4*(IFERROR(MATCH(C174,Roster!$B$6:$B$65,0),MATCH(C174,Roster!$C$6:$C$65,0))-1)+MATCH(B174,{"AM","PM","NIGHT","WD"},0)-1-27+1,DAY(A174))&amp;"",""))</f>
        <v/>
      </c>
      <c r="G174" s="123">
        <f>IF(OR(A174="",C174="",B174="",E174=""),"",IFERROR(A174&amp;"|"&amp;(27+4*(IFERROR(MATCH(C174,Roster!$B$6:$B$65,0),MATCH(C174,Roster!$C$6:$C$65,0))-1)+MATCH(B174,{"AM","PM","NIGHT","WD"},0)-1),""))</f>
        <v/>
      </c>
    </row>
    <row r="175">
      <c r="A175" s="122" t="n"/>
      <c r="B175" s="107" t="n"/>
      <c r="C175" s="105" t="n"/>
      <c r="D175" s="92">
        <f>IF(C175="","",IFERROR(INDEX(Roster!$C$6:$C$65,IFERROR(MATCH(C175,Roster!$B$6:$B$65,0),MATCH(C175,Roster!$C$6:$C$65,0))),"not on the Roster"))</f>
        <v/>
      </c>
      <c r="E175" s="106" t="n"/>
      <c r="F175" s="104">
        <f>IF(OR(A175="",C175="",B175=""),"",IFERROR(INDEX(CHOOSE(IF(YEAR(A175)&gt;PlanYear,13,MONTH(A175)),'Jan'!$D$27:$AH$266,'Feb'!$D$27:$AH$266,'Mar'!$D$27:$AH$266,'Apr'!$D$27:$AH$266,'May'!$D$27:$AH$266,'Jun'!$D$27:$AH$266,'Jul'!$D$27:$AH$266,'Aug'!$D$27:$AH$266,'Sep'!$D$27:$AH$266,'Oct'!$D$27:$AH$266,'Nov'!$D$27:$AH$266,'Dec'!$D$27:$AH$266,'Jan (next year)'!$D$27:$AH$266),27+4*(IFERROR(MATCH(C175,Roster!$B$6:$B$65,0),MATCH(C175,Roster!$C$6:$C$65,0))-1)+MATCH(B175,{"AM","PM","NIGHT","WD"},0)-1-27+1,DAY(A175))&amp;"",""))</f>
        <v/>
      </c>
      <c r="G175" s="123">
        <f>IF(OR(A175="",C175="",B175="",E175=""),"",IFERROR(A175&amp;"|"&amp;(27+4*(IFERROR(MATCH(C175,Roster!$B$6:$B$65,0),MATCH(C175,Roster!$C$6:$C$65,0))-1)+MATCH(B175,{"AM","PM","NIGHT","WD"},0)-1),""))</f>
        <v/>
      </c>
    </row>
    <row r="176">
      <c r="A176" s="122" t="n"/>
      <c r="B176" s="107" t="n"/>
      <c r="C176" s="105" t="n"/>
      <c r="D176" s="92">
        <f>IF(C176="","",IFERROR(INDEX(Roster!$C$6:$C$65,IFERROR(MATCH(C176,Roster!$B$6:$B$65,0),MATCH(C176,Roster!$C$6:$C$65,0))),"not on the Roster"))</f>
        <v/>
      </c>
      <c r="E176" s="106" t="n"/>
      <c r="F176" s="104">
        <f>IF(OR(A176="",C176="",B176=""),"",IFERROR(INDEX(CHOOSE(IF(YEAR(A176)&gt;PlanYear,13,MONTH(A176)),'Jan'!$D$27:$AH$266,'Feb'!$D$27:$AH$266,'Mar'!$D$27:$AH$266,'Apr'!$D$27:$AH$266,'May'!$D$27:$AH$266,'Jun'!$D$27:$AH$266,'Jul'!$D$27:$AH$266,'Aug'!$D$27:$AH$266,'Sep'!$D$27:$AH$266,'Oct'!$D$27:$AH$266,'Nov'!$D$27:$AH$266,'Dec'!$D$27:$AH$266,'Jan (next year)'!$D$27:$AH$266),27+4*(IFERROR(MATCH(C176,Roster!$B$6:$B$65,0),MATCH(C176,Roster!$C$6:$C$65,0))-1)+MATCH(B176,{"AM","PM","NIGHT","WD"},0)-1-27+1,DAY(A176))&amp;"",""))</f>
        <v/>
      </c>
      <c r="G176" s="123">
        <f>IF(OR(A176="",C176="",B176="",E176=""),"",IFERROR(A176&amp;"|"&amp;(27+4*(IFERROR(MATCH(C176,Roster!$B$6:$B$65,0),MATCH(C176,Roster!$C$6:$C$65,0))-1)+MATCH(B176,{"AM","PM","NIGHT","WD"},0)-1),""))</f>
        <v/>
      </c>
    </row>
    <row r="177">
      <c r="A177" s="122" t="n"/>
      <c r="B177" s="107" t="n"/>
      <c r="C177" s="105" t="n"/>
      <c r="D177" s="92">
        <f>IF(C177="","",IFERROR(INDEX(Roster!$C$6:$C$65,IFERROR(MATCH(C177,Roster!$B$6:$B$65,0),MATCH(C177,Roster!$C$6:$C$65,0))),"not on the Roster"))</f>
        <v/>
      </c>
      <c r="E177" s="106" t="n"/>
      <c r="F177" s="104">
        <f>IF(OR(A177="",C177="",B177=""),"",IFERROR(INDEX(CHOOSE(IF(YEAR(A177)&gt;PlanYear,13,MONTH(A177)),'Jan'!$D$27:$AH$266,'Feb'!$D$27:$AH$266,'Mar'!$D$27:$AH$266,'Apr'!$D$27:$AH$266,'May'!$D$27:$AH$266,'Jun'!$D$27:$AH$266,'Jul'!$D$27:$AH$266,'Aug'!$D$27:$AH$266,'Sep'!$D$27:$AH$266,'Oct'!$D$27:$AH$266,'Nov'!$D$27:$AH$266,'Dec'!$D$27:$AH$266,'Jan (next year)'!$D$27:$AH$266),27+4*(IFERROR(MATCH(C177,Roster!$B$6:$B$65,0),MATCH(C177,Roster!$C$6:$C$65,0))-1)+MATCH(B177,{"AM","PM","NIGHT","WD"},0)-1-27+1,DAY(A177))&amp;"",""))</f>
        <v/>
      </c>
      <c r="G177" s="123">
        <f>IF(OR(A177="",C177="",B177="",E177=""),"",IFERROR(A177&amp;"|"&amp;(27+4*(IFERROR(MATCH(C177,Roster!$B$6:$B$65,0),MATCH(C177,Roster!$C$6:$C$65,0))-1)+MATCH(B177,{"AM","PM","NIGHT","WD"},0)-1),""))</f>
        <v/>
      </c>
    </row>
    <row r="178">
      <c r="A178" s="122" t="n"/>
      <c r="B178" s="107" t="n"/>
      <c r="C178" s="105" t="n"/>
      <c r="D178" s="92">
        <f>IF(C178="","",IFERROR(INDEX(Roster!$C$6:$C$65,IFERROR(MATCH(C178,Roster!$B$6:$B$65,0),MATCH(C178,Roster!$C$6:$C$65,0))),"not on the Roster"))</f>
        <v/>
      </c>
      <c r="E178" s="106" t="n"/>
      <c r="F178" s="104">
        <f>IF(OR(A178="",C178="",B178=""),"",IFERROR(INDEX(CHOOSE(IF(YEAR(A178)&gt;PlanYear,13,MONTH(A178)),'Jan'!$D$27:$AH$266,'Feb'!$D$27:$AH$266,'Mar'!$D$27:$AH$266,'Apr'!$D$27:$AH$266,'May'!$D$27:$AH$266,'Jun'!$D$27:$AH$266,'Jul'!$D$27:$AH$266,'Aug'!$D$27:$AH$266,'Sep'!$D$27:$AH$266,'Oct'!$D$27:$AH$266,'Nov'!$D$27:$AH$266,'Dec'!$D$27:$AH$266,'Jan (next year)'!$D$27:$AH$266),27+4*(IFERROR(MATCH(C178,Roster!$B$6:$B$65,0),MATCH(C178,Roster!$C$6:$C$65,0))-1)+MATCH(B178,{"AM","PM","NIGHT","WD"},0)-1-27+1,DAY(A178))&amp;"",""))</f>
        <v/>
      </c>
      <c r="G178" s="123">
        <f>IF(OR(A178="",C178="",B178="",E178=""),"",IFERROR(A178&amp;"|"&amp;(27+4*(IFERROR(MATCH(C178,Roster!$B$6:$B$65,0),MATCH(C178,Roster!$C$6:$C$65,0))-1)+MATCH(B178,{"AM","PM","NIGHT","WD"},0)-1),""))</f>
        <v/>
      </c>
    </row>
    <row r="179">
      <c r="A179" s="122" t="n"/>
      <c r="B179" s="107" t="n"/>
      <c r="C179" s="105" t="n"/>
      <c r="D179" s="92">
        <f>IF(C179="","",IFERROR(INDEX(Roster!$C$6:$C$65,IFERROR(MATCH(C179,Roster!$B$6:$B$65,0),MATCH(C179,Roster!$C$6:$C$65,0))),"not on the Roster"))</f>
        <v/>
      </c>
      <c r="E179" s="106" t="n"/>
      <c r="F179" s="104">
        <f>IF(OR(A179="",C179="",B179=""),"",IFERROR(INDEX(CHOOSE(IF(YEAR(A179)&gt;PlanYear,13,MONTH(A179)),'Jan'!$D$27:$AH$266,'Feb'!$D$27:$AH$266,'Mar'!$D$27:$AH$266,'Apr'!$D$27:$AH$266,'May'!$D$27:$AH$266,'Jun'!$D$27:$AH$266,'Jul'!$D$27:$AH$266,'Aug'!$D$27:$AH$266,'Sep'!$D$27:$AH$266,'Oct'!$D$27:$AH$266,'Nov'!$D$27:$AH$266,'Dec'!$D$27:$AH$266,'Jan (next year)'!$D$27:$AH$266),27+4*(IFERROR(MATCH(C179,Roster!$B$6:$B$65,0),MATCH(C179,Roster!$C$6:$C$65,0))-1)+MATCH(B179,{"AM","PM","NIGHT","WD"},0)-1-27+1,DAY(A179))&amp;"",""))</f>
        <v/>
      </c>
      <c r="G179" s="123">
        <f>IF(OR(A179="",C179="",B179="",E179=""),"",IFERROR(A179&amp;"|"&amp;(27+4*(IFERROR(MATCH(C179,Roster!$B$6:$B$65,0),MATCH(C179,Roster!$C$6:$C$65,0))-1)+MATCH(B179,{"AM","PM","NIGHT","WD"},0)-1),""))</f>
        <v/>
      </c>
    </row>
    <row r="180">
      <c r="A180" s="122" t="n"/>
      <c r="B180" s="107" t="n"/>
      <c r="C180" s="105" t="n"/>
      <c r="D180" s="92">
        <f>IF(C180="","",IFERROR(INDEX(Roster!$C$6:$C$65,IFERROR(MATCH(C180,Roster!$B$6:$B$65,0),MATCH(C180,Roster!$C$6:$C$65,0))),"not on the Roster"))</f>
        <v/>
      </c>
      <c r="E180" s="106" t="n"/>
      <c r="F180" s="104">
        <f>IF(OR(A180="",C180="",B180=""),"",IFERROR(INDEX(CHOOSE(IF(YEAR(A180)&gt;PlanYear,13,MONTH(A180)),'Jan'!$D$27:$AH$266,'Feb'!$D$27:$AH$266,'Mar'!$D$27:$AH$266,'Apr'!$D$27:$AH$266,'May'!$D$27:$AH$266,'Jun'!$D$27:$AH$266,'Jul'!$D$27:$AH$266,'Aug'!$D$27:$AH$266,'Sep'!$D$27:$AH$266,'Oct'!$D$27:$AH$266,'Nov'!$D$27:$AH$266,'Dec'!$D$27:$AH$266,'Jan (next year)'!$D$27:$AH$266),27+4*(IFERROR(MATCH(C180,Roster!$B$6:$B$65,0),MATCH(C180,Roster!$C$6:$C$65,0))-1)+MATCH(B180,{"AM","PM","NIGHT","WD"},0)-1-27+1,DAY(A180))&amp;"",""))</f>
        <v/>
      </c>
      <c r="G180" s="123">
        <f>IF(OR(A180="",C180="",B180="",E180=""),"",IFERROR(A180&amp;"|"&amp;(27+4*(IFERROR(MATCH(C180,Roster!$B$6:$B$65,0),MATCH(C180,Roster!$C$6:$C$65,0))-1)+MATCH(B180,{"AM","PM","NIGHT","WD"},0)-1),""))</f>
        <v/>
      </c>
    </row>
    <row r="181">
      <c r="A181" s="122" t="n"/>
      <c r="B181" s="107" t="n"/>
      <c r="C181" s="105" t="n"/>
      <c r="D181" s="92">
        <f>IF(C181="","",IFERROR(INDEX(Roster!$C$6:$C$65,IFERROR(MATCH(C181,Roster!$B$6:$B$65,0),MATCH(C181,Roster!$C$6:$C$65,0))),"not on the Roster"))</f>
        <v/>
      </c>
      <c r="E181" s="106" t="n"/>
      <c r="F181" s="104">
        <f>IF(OR(A181="",C181="",B181=""),"",IFERROR(INDEX(CHOOSE(IF(YEAR(A181)&gt;PlanYear,13,MONTH(A181)),'Jan'!$D$27:$AH$266,'Feb'!$D$27:$AH$266,'Mar'!$D$27:$AH$266,'Apr'!$D$27:$AH$266,'May'!$D$27:$AH$266,'Jun'!$D$27:$AH$266,'Jul'!$D$27:$AH$266,'Aug'!$D$27:$AH$266,'Sep'!$D$27:$AH$266,'Oct'!$D$27:$AH$266,'Nov'!$D$27:$AH$266,'Dec'!$D$27:$AH$266,'Jan (next year)'!$D$27:$AH$266),27+4*(IFERROR(MATCH(C181,Roster!$B$6:$B$65,0),MATCH(C181,Roster!$C$6:$C$65,0))-1)+MATCH(B181,{"AM","PM","NIGHT","WD"},0)-1-27+1,DAY(A181))&amp;"",""))</f>
        <v/>
      </c>
      <c r="G181" s="123">
        <f>IF(OR(A181="",C181="",B181="",E181=""),"",IFERROR(A181&amp;"|"&amp;(27+4*(IFERROR(MATCH(C181,Roster!$B$6:$B$65,0),MATCH(C181,Roster!$C$6:$C$65,0))-1)+MATCH(B181,{"AM","PM","NIGHT","WD"},0)-1),""))</f>
        <v/>
      </c>
    </row>
    <row r="182">
      <c r="A182" s="122" t="n"/>
      <c r="B182" s="107" t="n"/>
      <c r="C182" s="105" t="n"/>
      <c r="D182" s="92">
        <f>IF(C182="","",IFERROR(INDEX(Roster!$C$6:$C$65,IFERROR(MATCH(C182,Roster!$B$6:$B$65,0),MATCH(C182,Roster!$C$6:$C$65,0))),"not on the Roster"))</f>
        <v/>
      </c>
      <c r="E182" s="106" t="n"/>
      <c r="F182" s="104">
        <f>IF(OR(A182="",C182="",B182=""),"",IFERROR(INDEX(CHOOSE(IF(YEAR(A182)&gt;PlanYear,13,MONTH(A182)),'Jan'!$D$27:$AH$266,'Feb'!$D$27:$AH$266,'Mar'!$D$27:$AH$266,'Apr'!$D$27:$AH$266,'May'!$D$27:$AH$266,'Jun'!$D$27:$AH$266,'Jul'!$D$27:$AH$266,'Aug'!$D$27:$AH$266,'Sep'!$D$27:$AH$266,'Oct'!$D$27:$AH$266,'Nov'!$D$27:$AH$266,'Dec'!$D$27:$AH$266,'Jan (next year)'!$D$27:$AH$266),27+4*(IFERROR(MATCH(C182,Roster!$B$6:$B$65,0),MATCH(C182,Roster!$C$6:$C$65,0))-1)+MATCH(B182,{"AM","PM","NIGHT","WD"},0)-1-27+1,DAY(A182))&amp;"",""))</f>
        <v/>
      </c>
      <c r="G182" s="123">
        <f>IF(OR(A182="",C182="",B182="",E182=""),"",IFERROR(A182&amp;"|"&amp;(27+4*(IFERROR(MATCH(C182,Roster!$B$6:$B$65,0),MATCH(C182,Roster!$C$6:$C$65,0))-1)+MATCH(B182,{"AM","PM","NIGHT","WD"},0)-1),""))</f>
        <v/>
      </c>
    </row>
    <row r="183">
      <c r="A183" s="122" t="n"/>
      <c r="B183" s="107" t="n"/>
      <c r="C183" s="105" t="n"/>
      <c r="D183" s="92">
        <f>IF(C183="","",IFERROR(INDEX(Roster!$C$6:$C$65,IFERROR(MATCH(C183,Roster!$B$6:$B$65,0),MATCH(C183,Roster!$C$6:$C$65,0))),"not on the Roster"))</f>
        <v/>
      </c>
      <c r="E183" s="106" t="n"/>
      <c r="F183" s="104">
        <f>IF(OR(A183="",C183="",B183=""),"",IFERROR(INDEX(CHOOSE(IF(YEAR(A183)&gt;PlanYear,13,MONTH(A183)),'Jan'!$D$27:$AH$266,'Feb'!$D$27:$AH$266,'Mar'!$D$27:$AH$266,'Apr'!$D$27:$AH$266,'May'!$D$27:$AH$266,'Jun'!$D$27:$AH$266,'Jul'!$D$27:$AH$266,'Aug'!$D$27:$AH$266,'Sep'!$D$27:$AH$266,'Oct'!$D$27:$AH$266,'Nov'!$D$27:$AH$266,'Dec'!$D$27:$AH$266,'Jan (next year)'!$D$27:$AH$266),27+4*(IFERROR(MATCH(C183,Roster!$B$6:$B$65,0),MATCH(C183,Roster!$C$6:$C$65,0))-1)+MATCH(B183,{"AM","PM","NIGHT","WD"},0)-1-27+1,DAY(A183))&amp;"",""))</f>
        <v/>
      </c>
      <c r="G183" s="123">
        <f>IF(OR(A183="",C183="",B183="",E183=""),"",IFERROR(A183&amp;"|"&amp;(27+4*(IFERROR(MATCH(C183,Roster!$B$6:$B$65,0),MATCH(C183,Roster!$C$6:$C$65,0))-1)+MATCH(B183,{"AM","PM","NIGHT","WD"},0)-1),""))</f>
        <v/>
      </c>
    </row>
    <row r="184">
      <c r="A184" s="122" t="n"/>
      <c r="B184" s="107" t="n"/>
      <c r="C184" s="105" t="n"/>
      <c r="D184" s="92">
        <f>IF(C184="","",IFERROR(INDEX(Roster!$C$6:$C$65,IFERROR(MATCH(C184,Roster!$B$6:$B$65,0),MATCH(C184,Roster!$C$6:$C$65,0))),"not on the Roster"))</f>
        <v/>
      </c>
      <c r="E184" s="106" t="n"/>
      <c r="F184" s="104">
        <f>IF(OR(A184="",C184="",B184=""),"",IFERROR(INDEX(CHOOSE(IF(YEAR(A184)&gt;PlanYear,13,MONTH(A184)),'Jan'!$D$27:$AH$266,'Feb'!$D$27:$AH$266,'Mar'!$D$27:$AH$266,'Apr'!$D$27:$AH$266,'May'!$D$27:$AH$266,'Jun'!$D$27:$AH$266,'Jul'!$D$27:$AH$266,'Aug'!$D$27:$AH$266,'Sep'!$D$27:$AH$266,'Oct'!$D$27:$AH$266,'Nov'!$D$27:$AH$266,'Dec'!$D$27:$AH$266,'Jan (next year)'!$D$27:$AH$266),27+4*(IFERROR(MATCH(C184,Roster!$B$6:$B$65,0),MATCH(C184,Roster!$C$6:$C$65,0))-1)+MATCH(B184,{"AM","PM","NIGHT","WD"},0)-1-27+1,DAY(A184))&amp;"",""))</f>
        <v/>
      </c>
      <c r="G184" s="123">
        <f>IF(OR(A184="",C184="",B184="",E184=""),"",IFERROR(A184&amp;"|"&amp;(27+4*(IFERROR(MATCH(C184,Roster!$B$6:$B$65,0),MATCH(C184,Roster!$C$6:$C$65,0))-1)+MATCH(B184,{"AM","PM","NIGHT","WD"},0)-1),""))</f>
        <v/>
      </c>
    </row>
    <row r="185">
      <c r="A185" s="122" t="n"/>
      <c r="B185" s="107" t="n"/>
      <c r="C185" s="105" t="n"/>
      <c r="D185" s="92">
        <f>IF(C185="","",IFERROR(INDEX(Roster!$C$6:$C$65,IFERROR(MATCH(C185,Roster!$B$6:$B$65,0),MATCH(C185,Roster!$C$6:$C$65,0))),"not on the Roster"))</f>
        <v/>
      </c>
      <c r="E185" s="106" t="n"/>
      <c r="F185" s="104">
        <f>IF(OR(A185="",C185="",B185=""),"",IFERROR(INDEX(CHOOSE(IF(YEAR(A185)&gt;PlanYear,13,MONTH(A185)),'Jan'!$D$27:$AH$266,'Feb'!$D$27:$AH$266,'Mar'!$D$27:$AH$266,'Apr'!$D$27:$AH$266,'May'!$D$27:$AH$266,'Jun'!$D$27:$AH$266,'Jul'!$D$27:$AH$266,'Aug'!$D$27:$AH$266,'Sep'!$D$27:$AH$266,'Oct'!$D$27:$AH$266,'Nov'!$D$27:$AH$266,'Dec'!$D$27:$AH$266,'Jan (next year)'!$D$27:$AH$266),27+4*(IFERROR(MATCH(C185,Roster!$B$6:$B$65,0),MATCH(C185,Roster!$C$6:$C$65,0))-1)+MATCH(B185,{"AM","PM","NIGHT","WD"},0)-1-27+1,DAY(A185))&amp;"",""))</f>
        <v/>
      </c>
      <c r="G185" s="123">
        <f>IF(OR(A185="",C185="",B185="",E185=""),"",IFERROR(A185&amp;"|"&amp;(27+4*(IFERROR(MATCH(C185,Roster!$B$6:$B$65,0),MATCH(C185,Roster!$C$6:$C$65,0))-1)+MATCH(B185,{"AM","PM","NIGHT","WD"},0)-1),""))</f>
        <v/>
      </c>
    </row>
    <row r="186">
      <c r="A186" s="122" t="n"/>
      <c r="B186" s="107" t="n"/>
      <c r="C186" s="105" t="n"/>
      <c r="D186" s="92">
        <f>IF(C186="","",IFERROR(INDEX(Roster!$C$6:$C$65,IFERROR(MATCH(C186,Roster!$B$6:$B$65,0),MATCH(C186,Roster!$C$6:$C$65,0))),"not on the Roster"))</f>
        <v/>
      </c>
      <c r="E186" s="106" t="n"/>
      <c r="F186" s="104">
        <f>IF(OR(A186="",C186="",B186=""),"",IFERROR(INDEX(CHOOSE(IF(YEAR(A186)&gt;PlanYear,13,MONTH(A186)),'Jan'!$D$27:$AH$266,'Feb'!$D$27:$AH$266,'Mar'!$D$27:$AH$266,'Apr'!$D$27:$AH$266,'May'!$D$27:$AH$266,'Jun'!$D$27:$AH$266,'Jul'!$D$27:$AH$266,'Aug'!$D$27:$AH$266,'Sep'!$D$27:$AH$266,'Oct'!$D$27:$AH$266,'Nov'!$D$27:$AH$266,'Dec'!$D$27:$AH$266,'Jan (next year)'!$D$27:$AH$266),27+4*(IFERROR(MATCH(C186,Roster!$B$6:$B$65,0),MATCH(C186,Roster!$C$6:$C$65,0))-1)+MATCH(B186,{"AM","PM","NIGHT","WD"},0)-1-27+1,DAY(A186))&amp;"",""))</f>
        <v/>
      </c>
      <c r="G186" s="123">
        <f>IF(OR(A186="",C186="",B186="",E186=""),"",IFERROR(A186&amp;"|"&amp;(27+4*(IFERROR(MATCH(C186,Roster!$B$6:$B$65,0),MATCH(C186,Roster!$C$6:$C$65,0))-1)+MATCH(B186,{"AM","PM","NIGHT","WD"},0)-1),""))</f>
        <v/>
      </c>
    </row>
    <row r="187">
      <c r="A187" s="122" t="n"/>
      <c r="B187" s="107" t="n"/>
      <c r="C187" s="105" t="n"/>
      <c r="D187" s="92">
        <f>IF(C187="","",IFERROR(INDEX(Roster!$C$6:$C$65,IFERROR(MATCH(C187,Roster!$B$6:$B$65,0),MATCH(C187,Roster!$C$6:$C$65,0))),"not on the Roster"))</f>
        <v/>
      </c>
      <c r="E187" s="106" t="n"/>
      <c r="F187" s="104">
        <f>IF(OR(A187="",C187="",B187=""),"",IFERROR(INDEX(CHOOSE(IF(YEAR(A187)&gt;PlanYear,13,MONTH(A187)),'Jan'!$D$27:$AH$266,'Feb'!$D$27:$AH$266,'Mar'!$D$27:$AH$266,'Apr'!$D$27:$AH$266,'May'!$D$27:$AH$266,'Jun'!$D$27:$AH$266,'Jul'!$D$27:$AH$266,'Aug'!$D$27:$AH$266,'Sep'!$D$27:$AH$266,'Oct'!$D$27:$AH$266,'Nov'!$D$27:$AH$266,'Dec'!$D$27:$AH$266,'Jan (next year)'!$D$27:$AH$266),27+4*(IFERROR(MATCH(C187,Roster!$B$6:$B$65,0),MATCH(C187,Roster!$C$6:$C$65,0))-1)+MATCH(B187,{"AM","PM","NIGHT","WD"},0)-1-27+1,DAY(A187))&amp;"",""))</f>
        <v/>
      </c>
      <c r="G187" s="123">
        <f>IF(OR(A187="",C187="",B187="",E187=""),"",IFERROR(A187&amp;"|"&amp;(27+4*(IFERROR(MATCH(C187,Roster!$B$6:$B$65,0),MATCH(C187,Roster!$C$6:$C$65,0))-1)+MATCH(B187,{"AM","PM","NIGHT","WD"},0)-1),""))</f>
        <v/>
      </c>
    </row>
    <row r="188">
      <c r="A188" s="122" t="n"/>
      <c r="B188" s="107" t="n"/>
      <c r="C188" s="105" t="n"/>
      <c r="D188" s="92">
        <f>IF(C188="","",IFERROR(INDEX(Roster!$C$6:$C$65,IFERROR(MATCH(C188,Roster!$B$6:$B$65,0),MATCH(C188,Roster!$C$6:$C$65,0))),"not on the Roster"))</f>
        <v/>
      </c>
      <c r="E188" s="106" t="n"/>
      <c r="F188" s="104">
        <f>IF(OR(A188="",C188="",B188=""),"",IFERROR(INDEX(CHOOSE(IF(YEAR(A188)&gt;PlanYear,13,MONTH(A188)),'Jan'!$D$27:$AH$266,'Feb'!$D$27:$AH$266,'Mar'!$D$27:$AH$266,'Apr'!$D$27:$AH$266,'May'!$D$27:$AH$266,'Jun'!$D$27:$AH$266,'Jul'!$D$27:$AH$266,'Aug'!$D$27:$AH$266,'Sep'!$D$27:$AH$266,'Oct'!$D$27:$AH$266,'Nov'!$D$27:$AH$266,'Dec'!$D$27:$AH$266,'Jan (next year)'!$D$27:$AH$266),27+4*(IFERROR(MATCH(C188,Roster!$B$6:$B$65,0),MATCH(C188,Roster!$C$6:$C$65,0))-1)+MATCH(B188,{"AM","PM","NIGHT","WD"},0)-1-27+1,DAY(A188))&amp;"",""))</f>
        <v/>
      </c>
      <c r="G188" s="123">
        <f>IF(OR(A188="",C188="",B188="",E188=""),"",IFERROR(A188&amp;"|"&amp;(27+4*(IFERROR(MATCH(C188,Roster!$B$6:$B$65,0),MATCH(C188,Roster!$C$6:$C$65,0))-1)+MATCH(B188,{"AM","PM","NIGHT","WD"},0)-1),""))</f>
        <v/>
      </c>
    </row>
    <row r="189">
      <c r="A189" s="122" t="n"/>
      <c r="B189" s="107" t="n"/>
      <c r="C189" s="105" t="n"/>
      <c r="D189" s="92">
        <f>IF(C189="","",IFERROR(INDEX(Roster!$C$6:$C$65,IFERROR(MATCH(C189,Roster!$B$6:$B$65,0),MATCH(C189,Roster!$C$6:$C$65,0))),"not on the Roster"))</f>
        <v/>
      </c>
      <c r="E189" s="106" t="n"/>
      <c r="F189" s="104">
        <f>IF(OR(A189="",C189="",B189=""),"",IFERROR(INDEX(CHOOSE(IF(YEAR(A189)&gt;PlanYear,13,MONTH(A189)),'Jan'!$D$27:$AH$266,'Feb'!$D$27:$AH$266,'Mar'!$D$27:$AH$266,'Apr'!$D$27:$AH$266,'May'!$D$27:$AH$266,'Jun'!$D$27:$AH$266,'Jul'!$D$27:$AH$266,'Aug'!$D$27:$AH$266,'Sep'!$D$27:$AH$266,'Oct'!$D$27:$AH$266,'Nov'!$D$27:$AH$266,'Dec'!$D$27:$AH$266,'Jan (next year)'!$D$27:$AH$266),27+4*(IFERROR(MATCH(C189,Roster!$B$6:$B$65,0),MATCH(C189,Roster!$C$6:$C$65,0))-1)+MATCH(B189,{"AM","PM","NIGHT","WD"},0)-1-27+1,DAY(A189))&amp;"",""))</f>
        <v/>
      </c>
      <c r="G189" s="123">
        <f>IF(OR(A189="",C189="",B189="",E189=""),"",IFERROR(A189&amp;"|"&amp;(27+4*(IFERROR(MATCH(C189,Roster!$B$6:$B$65,0),MATCH(C189,Roster!$C$6:$C$65,0))-1)+MATCH(B189,{"AM","PM","NIGHT","WD"},0)-1),""))</f>
        <v/>
      </c>
    </row>
    <row r="190">
      <c r="A190" s="122" t="n"/>
      <c r="B190" s="107" t="n"/>
      <c r="C190" s="105" t="n"/>
      <c r="D190" s="92">
        <f>IF(C190="","",IFERROR(INDEX(Roster!$C$6:$C$65,IFERROR(MATCH(C190,Roster!$B$6:$B$65,0),MATCH(C190,Roster!$C$6:$C$65,0))),"not on the Roster"))</f>
        <v/>
      </c>
      <c r="E190" s="106" t="n"/>
      <c r="F190" s="104">
        <f>IF(OR(A190="",C190="",B190=""),"",IFERROR(INDEX(CHOOSE(IF(YEAR(A190)&gt;PlanYear,13,MONTH(A190)),'Jan'!$D$27:$AH$266,'Feb'!$D$27:$AH$266,'Mar'!$D$27:$AH$266,'Apr'!$D$27:$AH$266,'May'!$D$27:$AH$266,'Jun'!$D$27:$AH$266,'Jul'!$D$27:$AH$266,'Aug'!$D$27:$AH$266,'Sep'!$D$27:$AH$266,'Oct'!$D$27:$AH$266,'Nov'!$D$27:$AH$266,'Dec'!$D$27:$AH$266,'Jan (next year)'!$D$27:$AH$266),27+4*(IFERROR(MATCH(C190,Roster!$B$6:$B$65,0),MATCH(C190,Roster!$C$6:$C$65,0))-1)+MATCH(B190,{"AM","PM","NIGHT","WD"},0)-1-27+1,DAY(A190))&amp;"",""))</f>
        <v/>
      </c>
      <c r="G190" s="123">
        <f>IF(OR(A190="",C190="",B190="",E190=""),"",IFERROR(A190&amp;"|"&amp;(27+4*(IFERROR(MATCH(C190,Roster!$B$6:$B$65,0),MATCH(C190,Roster!$C$6:$C$65,0))-1)+MATCH(B190,{"AM","PM","NIGHT","WD"},0)-1),""))</f>
        <v/>
      </c>
    </row>
    <row r="191">
      <c r="A191" s="122" t="n"/>
      <c r="B191" s="107" t="n"/>
      <c r="C191" s="105" t="n"/>
      <c r="D191" s="92">
        <f>IF(C191="","",IFERROR(INDEX(Roster!$C$6:$C$65,IFERROR(MATCH(C191,Roster!$B$6:$B$65,0),MATCH(C191,Roster!$C$6:$C$65,0))),"not on the Roster"))</f>
        <v/>
      </c>
      <c r="E191" s="106" t="n"/>
      <c r="F191" s="104">
        <f>IF(OR(A191="",C191="",B191=""),"",IFERROR(INDEX(CHOOSE(IF(YEAR(A191)&gt;PlanYear,13,MONTH(A191)),'Jan'!$D$27:$AH$266,'Feb'!$D$27:$AH$266,'Mar'!$D$27:$AH$266,'Apr'!$D$27:$AH$266,'May'!$D$27:$AH$266,'Jun'!$D$27:$AH$266,'Jul'!$D$27:$AH$266,'Aug'!$D$27:$AH$266,'Sep'!$D$27:$AH$266,'Oct'!$D$27:$AH$266,'Nov'!$D$27:$AH$266,'Dec'!$D$27:$AH$266,'Jan (next year)'!$D$27:$AH$266),27+4*(IFERROR(MATCH(C191,Roster!$B$6:$B$65,0),MATCH(C191,Roster!$C$6:$C$65,0))-1)+MATCH(B191,{"AM","PM","NIGHT","WD"},0)-1-27+1,DAY(A191))&amp;"",""))</f>
        <v/>
      </c>
      <c r="G191" s="123">
        <f>IF(OR(A191="",C191="",B191="",E191=""),"",IFERROR(A191&amp;"|"&amp;(27+4*(IFERROR(MATCH(C191,Roster!$B$6:$B$65,0),MATCH(C191,Roster!$C$6:$C$65,0))-1)+MATCH(B191,{"AM","PM","NIGHT","WD"},0)-1),""))</f>
        <v/>
      </c>
    </row>
    <row r="192">
      <c r="A192" s="122" t="n"/>
      <c r="B192" s="107" t="n"/>
      <c r="C192" s="105" t="n"/>
      <c r="D192" s="92">
        <f>IF(C192="","",IFERROR(INDEX(Roster!$C$6:$C$65,IFERROR(MATCH(C192,Roster!$B$6:$B$65,0),MATCH(C192,Roster!$C$6:$C$65,0))),"not on the Roster"))</f>
        <v/>
      </c>
      <c r="E192" s="106" t="n"/>
      <c r="F192" s="104">
        <f>IF(OR(A192="",C192="",B192=""),"",IFERROR(INDEX(CHOOSE(IF(YEAR(A192)&gt;PlanYear,13,MONTH(A192)),'Jan'!$D$27:$AH$266,'Feb'!$D$27:$AH$266,'Mar'!$D$27:$AH$266,'Apr'!$D$27:$AH$266,'May'!$D$27:$AH$266,'Jun'!$D$27:$AH$266,'Jul'!$D$27:$AH$266,'Aug'!$D$27:$AH$266,'Sep'!$D$27:$AH$266,'Oct'!$D$27:$AH$266,'Nov'!$D$27:$AH$266,'Dec'!$D$27:$AH$266,'Jan (next year)'!$D$27:$AH$266),27+4*(IFERROR(MATCH(C192,Roster!$B$6:$B$65,0),MATCH(C192,Roster!$C$6:$C$65,0))-1)+MATCH(B192,{"AM","PM","NIGHT","WD"},0)-1-27+1,DAY(A192))&amp;"",""))</f>
        <v/>
      </c>
      <c r="G192" s="123">
        <f>IF(OR(A192="",C192="",B192="",E192=""),"",IFERROR(A192&amp;"|"&amp;(27+4*(IFERROR(MATCH(C192,Roster!$B$6:$B$65,0),MATCH(C192,Roster!$C$6:$C$65,0))-1)+MATCH(B192,{"AM","PM","NIGHT","WD"},0)-1),""))</f>
        <v/>
      </c>
    </row>
    <row r="193">
      <c r="A193" s="122" t="n"/>
      <c r="B193" s="107" t="n"/>
      <c r="C193" s="105" t="n"/>
      <c r="D193" s="92">
        <f>IF(C193="","",IFERROR(INDEX(Roster!$C$6:$C$65,IFERROR(MATCH(C193,Roster!$B$6:$B$65,0),MATCH(C193,Roster!$C$6:$C$65,0))),"not on the Roster"))</f>
        <v/>
      </c>
      <c r="E193" s="106" t="n"/>
      <c r="F193" s="104">
        <f>IF(OR(A193="",C193="",B193=""),"",IFERROR(INDEX(CHOOSE(IF(YEAR(A193)&gt;PlanYear,13,MONTH(A193)),'Jan'!$D$27:$AH$266,'Feb'!$D$27:$AH$266,'Mar'!$D$27:$AH$266,'Apr'!$D$27:$AH$266,'May'!$D$27:$AH$266,'Jun'!$D$27:$AH$266,'Jul'!$D$27:$AH$266,'Aug'!$D$27:$AH$266,'Sep'!$D$27:$AH$266,'Oct'!$D$27:$AH$266,'Nov'!$D$27:$AH$266,'Dec'!$D$27:$AH$266,'Jan (next year)'!$D$27:$AH$266),27+4*(IFERROR(MATCH(C193,Roster!$B$6:$B$65,0),MATCH(C193,Roster!$C$6:$C$65,0))-1)+MATCH(B193,{"AM","PM","NIGHT","WD"},0)-1-27+1,DAY(A193))&amp;"",""))</f>
        <v/>
      </c>
      <c r="G193" s="123">
        <f>IF(OR(A193="",C193="",B193="",E193=""),"",IFERROR(A193&amp;"|"&amp;(27+4*(IFERROR(MATCH(C193,Roster!$B$6:$B$65,0),MATCH(C193,Roster!$C$6:$C$65,0))-1)+MATCH(B193,{"AM","PM","NIGHT","WD"},0)-1),""))</f>
        <v/>
      </c>
    </row>
    <row r="194">
      <c r="A194" s="122" t="n"/>
      <c r="B194" s="107" t="n"/>
      <c r="C194" s="105" t="n"/>
      <c r="D194" s="92">
        <f>IF(C194="","",IFERROR(INDEX(Roster!$C$6:$C$65,IFERROR(MATCH(C194,Roster!$B$6:$B$65,0),MATCH(C194,Roster!$C$6:$C$65,0))),"not on the Roster"))</f>
        <v/>
      </c>
      <c r="E194" s="106" t="n"/>
      <c r="F194" s="104">
        <f>IF(OR(A194="",C194="",B194=""),"",IFERROR(INDEX(CHOOSE(IF(YEAR(A194)&gt;PlanYear,13,MONTH(A194)),'Jan'!$D$27:$AH$266,'Feb'!$D$27:$AH$266,'Mar'!$D$27:$AH$266,'Apr'!$D$27:$AH$266,'May'!$D$27:$AH$266,'Jun'!$D$27:$AH$266,'Jul'!$D$27:$AH$266,'Aug'!$D$27:$AH$266,'Sep'!$D$27:$AH$266,'Oct'!$D$27:$AH$266,'Nov'!$D$27:$AH$266,'Dec'!$D$27:$AH$266,'Jan (next year)'!$D$27:$AH$266),27+4*(IFERROR(MATCH(C194,Roster!$B$6:$B$65,0),MATCH(C194,Roster!$C$6:$C$65,0))-1)+MATCH(B194,{"AM","PM","NIGHT","WD"},0)-1-27+1,DAY(A194))&amp;"",""))</f>
        <v/>
      </c>
      <c r="G194" s="123">
        <f>IF(OR(A194="",C194="",B194="",E194=""),"",IFERROR(A194&amp;"|"&amp;(27+4*(IFERROR(MATCH(C194,Roster!$B$6:$B$65,0),MATCH(C194,Roster!$C$6:$C$65,0))-1)+MATCH(B194,{"AM","PM","NIGHT","WD"},0)-1),""))</f>
        <v/>
      </c>
    </row>
    <row r="195">
      <c r="A195" s="122" t="n"/>
      <c r="B195" s="107" t="n"/>
      <c r="C195" s="105" t="n"/>
      <c r="D195" s="92">
        <f>IF(C195="","",IFERROR(INDEX(Roster!$C$6:$C$65,IFERROR(MATCH(C195,Roster!$B$6:$B$65,0),MATCH(C195,Roster!$C$6:$C$65,0))),"not on the Roster"))</f>
        <v/>
      </c>
      <c r="E195" s="106" t="n"/>
      <c r="F195" s="104">
        <f>IF(OR(A195="",C195="",B195=""),"",IFERROR(INDEX(CHOOSE(IF(YEAR(A195)&gt;PlanYear,13,MONTH(A195)),'Jan'!$D$27:$AH$266,'Feb'!$D$27:$AH$266,'Mar'!$D$27:$AH$266,'Apr'!$D$27:$AH$266,'May'!$D$27:$AH$266,'Jun'!$D$27:$AH$266,'Jul'!$D$27:$AH$266,'Aug'!$D$27:$AH$266,'Sep'!$D$27:$AH$266,'Oct'!$D$27:$AH$266,'Nov'!$D$27:$AH$266,'Dec'!$D$27:$AH$266,'Jan (next year)'!$D$27:$AH$266),27+4*(IFERROR(MATCH(C195,Roster!$B$6:$B$65,0),MATCH(C195,Roster!$C$6:$C$65,0))-1)+MATCH(B195,{"AM","PM","NIGHT","WD"},0)-1-27+1,DAY(A195))&amp;"",""))</f>
        <v/>
      </c>
      <c r="G195" s="123">
        <f>IF(OR(A195="",C195="",B195="",E195=""),"",IFERROR(A195&amp;"|"&amp;(27+4*(IFERROR(MATCH(C195,Roster!$B$6:$B$65,0),MATCH(C195,Roster!$C$6:$C$65,0))-1)+MATCH(B195,{"AM","PM","NIGHT","WD"},0)-1),""))</f>
        <v/>
      </c>
    </row>
    <row r="196">
      <c r="A196" s="122" t="n"/>
      <c r="B196" s="107" t="n"/>
      <c r="C196" s="105" t="n"/>
      <c r="D196" s="92">
        <f>IF(C196="","",IFERROR(INDEX(Roster!$C$6:$C$65,IFERROR(MATCH(C196,Roster!$B$6:$B$65,0),MATCH(C196,Roster!$C$6:$C$65,0))),"not on the Roster"))</f>
        <v/>
      </c>
      <c r="E196" s="106" t="n"/>
      <c r="F196" s="104">
        <f>IF(OR(A196="",C196="",B196=""),"",IFERROR(INDEX(CHOOSE(IF(YEAR(A196)&gt;PlanYear,13,MONTH(A196)),'Jan'!$D$27:$AH$266,'Feb'!$D$27:$AH$266,'Mar'!$D$27:$AH$266,'Apr'!$D$27:$AH$266,'May'!$D$27:$AH$266,'Jun'!$D$27:$AH$266,'Jul'!$D$27:$AH$266,'Aug'!$D$27:$AH$266,'Sep'!$D$27:$AH$266,'Oct'!$D$27:$AH$266,'Nov'!$D$27:$AH$266,'Dec'!$D$27:$AH$266,'Jan (next year)'!$D$27:$AH$266),27+4*(IFERROR(MATCH(C196,Roster!$B$6:$B$65,0),MATCH(C196,Roster!$C$6:$C$65,0))-1)+MATCH(B196,{"AM","PM","NIGHT","WD"},0)-1-27+1,DAY(A196))&amp;"",""))</f>
        <v/>
      </c>
      <c r="G196" s="123">
        <f>IF(OR(A196="",C196="",B196="",E196=""),"",IFERROR(A196&amp;"|"&amp;(27+4*(IFERROR(MATCH(C196,Roster!$B$6:$B$65,0),MATCH(C196,Roster!$C$6:$C$65,0))-1)+MATCH(B196,{"AM","PM","NIGHT","WD"},0)-1),""))</f>
        <v/>
      </c>
    </row>
    <row r="197">
      <c r="A197" s="122" t="n"/>
      <c r="B197" s="107" t="n"/>
      <c r="C197" s="105" t="n"/>
      <c r="D197" s="92">
        <f>IF(C197="","",IFERROR(INDEX(Roster!$C$6:$C$65,IFERROR(MATCH(C197,Roster!$B$6:$B$65,0),MATCH(C197,Roster!$C$6:$C$65,0))),"not on the Roster"))</f>
        <v/>
      </c>
      <c r="E197" s="106" t="n"/>
      <c r="F197" s="104">
        <f>IF(OR(A197="",C197="",B197=""),"",IFERROR(INDEX(CHOOSE(IF(YEAR(A197)&gt;PlanYear,13,MONTH(A197)),'Jan'!$D$27:$AH$266,'Feb'!$D$27:$AH$266,'Mar'!$D$27:$AH$266,'Apr'!$D$27:$AH$266,'May'!$D$27:$AH$266,'Jun'!$D$27:$AH$266,'Jul'!$D$27:$AH$266,'Aug'!$D$27:$AH$266,'Sep'!$D$27:$AH$266,'Oct'!$D$27:$AH$266,'Nov'!$D$27:$AH$266,'Dec'!$D$27:$AH$266,'Jan (next year)'!$D$27:$AH$266),27+4*(IFERROR(MATCH(C197,Roster!$B$6:$B$65,0),MATCH(C197,Roster!$C$6:$C$65,0))-1)+MATCH(B197,{"AM","PM","NIGHT","WD"},0)-1-27+1,DAY(A197))&amp;"",""))</f>
        <v/>
      </c>
      <c r="G197" s="123">
        <f>IF(OR(A197="",C197="",B197="",E197=""),"",IFERROR(A197&amp;"|"&amp;(27+4*(IFERROR(MATCH(C197,Roster!$B$6:$B$65,0),MATCH(C197,Roster!$C$6:$C$65,0))-1)+MATCH(B197,{"AM","PM","NIGHT","WD"},0)-1),""))</f>
        <v/>
      </c>
    </row>
    <row r="198">
      <c r="A198" s="122" t="n"/>
      <c r="B198" s="107" t="n"/>
      <c r="C198" s="105" t="n"/>
      <c r="D198" s="92">
        <f>IF(C198="","",IFERROR(INDEX(Roster!$C$6:$C$65,IFERROR(MATCH(C198,Roster!$B$6:$B$65,0),MATCH(C198,Roster!$C$6:$C$65,0))),"not on the Roster"))</f>
        <v/>
      </c>
      <c r="E198" s="106" t="n"/>
      <c r="F198" s="104">
        <f>IF(OR(A198="",C198="",B198=""),"",IFERROR(INDEX(CHOOSE(IF(YEAR(A198)&gt;PlanYear,13,MONTH(A198)),'Jan'!$D$27:$AH$266,'Feb'!$D$27:$AH$266,'Mar'!$D$27:$AH$266,'Apr'!$D$27:$AH$266,'May'!$D$27:$AH$266,'Jun'!$D$27:$AH$266,'Jul'!$D$27:$AH$266,'Aug'!$D$27:$AH$266,'Sep'!$D$27:$AH$266,'Oct'!$D$27:$AH$266,'Nov'!$D$27:$AH$266,'Dec'!$D$27:$AH$266,'Jan (next year)'!$D$27:$AH$266),27+4*(IFERROR(MATCH(C198,Roster!$B$6:$B$65,0),MATCH(C198,Roster!$C$6:$C$65,0))-1)+MATCH(B198,{"AM","PM","NIGHT","WD"},0)-1-27+1,DAY(A198))&amp;"",""))</f>
        <v/>
      </c>
      <c r="G198" s="123">
        <f>IF(OR(A198="",C198="",B198="",E198=""),"",IFERROR(A198&amp;"|"&amp;(27+4*(IFERROR(MATCH(C198,Roster!$B$6:$B$65,0),MATCH(C198,Roster!$C$6:$C$65,0))-1)+MATCH(B198,{"AM","PM","NIGHT","WD"},0)-1),""))</f>
        <v/>
      </c>
    </row>
    <row r="199">
      <c r="A199" s="122" t="n"/>
      <c r="B199" s="107" t="n"/>
      <c r="C199" s="105" t="n"/>
      <c r="D199" s="92">
        <f>IF(C199="","",IFERROR(INDEX(Roster!$C$6:$C$65,IFERROR(MATCH(C199,Roster!$B$6:$B$65,0),MATCH(C199,Roster!$C$6:$C$65,0))),"not on the Roster"))</f>
        <v/>
      </c>
      <c r="E199" s="106" t="n"/>
      <c r="F199" s="104">
        <f>IF(OR(A199="",C199="",B199=""),"",IFERROR(INDEX(CHOOSE(IF(YEAR(A199)&gt;PlanYear,13,MONTH(A199)),'Jan'!$D$27:$AH$266,'Feb'!$D$27:$AH$266,'Mar'!$D$27:$AH$266,'Apr'!$D$27:$AH$266,'May'!$D$27:$AH$266,'Jun'!$D$27:$AH$266,'Jul'!$D$27:$AH$266,'Aug'!$D$27:$AH$266,'Sep'!$D$27:$AH$266,'Oct'!$D$27:$AH$266,'Nov'!$D$27:$AH$266,'Dec'!$D$27:$AH$266,'Jan (next year)'!$D$27:$AH$266),27+4*(IFERROR(MATCH(C199,Roster!$B$6:$B$65,0),MATCH(C199,Roster!$C$6:$C$65,0))-1)+MATCH(B199,{"AM","PM","NIGHT","WD"},0)-1-27+1,DAY(A199))&amp;"",""))</f>
        <v/>
      </c>
      <c r="G199" s="123">
        <f>IF(OR(A199="",C199="",B199="",E199=""),"",IFERROR(A199&amp;"|"&amp;(27+4*(IFERROR(MATCH(C199,Roster!$B$6:$B$65,0),MATCH(C199,Roster!$C$6:$C$65,0))-1)+MATCH(B199,{"AM","PM","NIGHT","WD"},0)-1),""))</f>
        <v/>
      </c>
    </row>
    <row r="200">
      <c r="A200" s="122" t="n"/>
      <c r="B200" s="107" t="n"/>
      <c r="C200" s="105" t="n"/>
      <c r="D200" s="92">
        <f>IF(C200="","",IFERROR(INDEX(Roster!$C$6:$C$65,IFERROR(MATCH(C200,Roster!$B$6:$B$65,0),MATCH(C200,Roster!$C$6:$C$65,0))),"not on the Roster"))</f>
        <v/>
      </c>
      <c r="E200" s="106" t="n"/>
      <c r="F200" s="104">
        <f>IF(OR(A200="",C200="",B200=""),"",IFERROR(INDEX(CHOOSE(IF(YEAR(A200)&gt;PlanYear,13,MONTH(A200)),'Jan'!$D$27:$AH$266,'Feb'!$D$27:$AH$266,'Mar'!$D$27:$AH$266,'Apr'!$D$27:$AH$266,'May'!$D$27:$AH$266,'Jun'!$D$27:$AH$266,'Jul'!$D$27:$AH$266,'Aug'!$D$27:$AH$266,'Sep'!$D$27:$AH$266,'Oct'!$D$27:$AH$266,'Nov'!$D$27:$AH$266,'Dec'!$D$27:$AH$266,'Jan (next year)'!$D$27:$AH$266),27+4*(IFERROR(MATCH(C200,Roster!$B$6:$B$65,0),MATCH(C200,Roster!$C$6:$C$65,0))-1)+MATCH(B200,{"AM","PM","NIGHT","WD"},0)-1-27+1,DAY(A200))&amp;"",""))</f>
        <v/>
      </c>
      <c r="G200" s="123">
        <f>IF(OR(A200="",C200="",B200="",E200=""),"",IFERROR(A200&amp;"|"&amp;(27+4*(IFERROR(MATCH(C200,Roster!$B$6:$B$65,0),MATCH(C200,Roster!$C$6:$C$65,0))-1)+MATCH(B200,{"AM","PM","NIGHT","WD"},0)-1),""))</f>
        <v/>
      </c>
    </row>
    <row r="201">
      <c r="A201" s="122" t="n"/>
      <c r="B201" s="107" t="n"/>
      <c r="C201" s="105" t="n"/>
      <c r="D201" s="92">
        <f>IF(C201="","",IFERROR(INDEX(Roster!$C$6:$C$65,IFERROR(MATCH(C201,Roster!$B$6:$B$65,0),MATCH(C201,Roster!$C$6:$C$65,0))),"not on the Roster"))</f>
        <v/>
      </c>
      <c r="E201" s="106" t="n"/>
      <c r="F201" s="104">
        <f>IF(OR(A201="",C201="",B201=""),"",IFERROR(INDEX(CHOOSE(IF(YEAR(A201)&gt;PlanYear,13,MONTH(A201)),'Jan'!$D$27:$AH$266,'Feb'!$D$27:$AH$266,'Mar'!$D$27:$AH$266,'Apr'!$D$27:$AH$266,'May'!$D$27:$AH$266,'Jun'!$D$27:$AH$266,'Jul'!$D$27:$AH$266,'Aug'!$D$27:$AH$266,'Sep'!$D$27:$AH$266,'Oct'!$D$27:$AH$266,'Nov'!$D$27:$AH$266,'Dec'!$D$27:$AH$266,'Jan (next year)'!$D$27:$AH$266),27+4*(IFERROR(MATCH(C201,Roster!$B$6:$B$65,0),MATCH(C201,Roster!$C$6:$C$65,0))-1)+MATCH(B201,{"AM","PM","NIGHT","WD"},0)-1-27+1,DAY(A201))&amp;"",""))</f>
        <v/>
      </c>
      <c r="G201" s="123">
        <f>IF(OR(A201="",C201="",B201="",E201=""),"",IFERROR(A201&amp;"|"&amp;(27+4*(IFERROR(MATCH(C201,Roster!$B$6:$B$65,0),MATCH(C201,Roster!$C$6:$C$65,0))-1)+MATCH(B201,{"AM","PM","NIGHT","WD"},0)-1),""))</f>
        <v/>
      </c>
    </row>
    <row r="202">
      <c r="A202" s="122" t="n"/>
      <c r="B202" s="107" t="n"/>
      <c r="C202" s="105" t="n"/>
      <c r="D202" s="92">
        <f>IF(C202="","",IFERROR(INDEX(Roster!$C$6:$C$65,IFERROR(MATCH(C202,Roster!$B$6:$B$65,0),MATCH(C202,Roster!$C$6:$C$65,0))),"not on the Roster"))</f>
        <v/>
      </c>
      <c r="E202" s="106" t="n"/>
      <c r="F202" s="104">
        <f>IF(OR(A202="",C202="",B202=""),"",IFERROR(INDEX(CHOOSE(IF(YEAR(A202)&gt;PlanYear,13,MONTH(A202)),'Jan'!$D$27:$AH$266,'Feb'!$D$27:$AH$266,'Mar'!$D$27:$AH$266,'Apr'!$D$27:$AH$266,'May'!$D$27:$AH$266,'Jun'!$D$27:$AH$266,'Jul'!$D$27:$AH$266,'Aug'!$D$27:$AH$266,'Sep'!$D$27:$AH$266,'Oct'!$D$27:$AH$266,'Nov'!$D$27:$AH$266,'Dec'!$D$27:$AH$266,'Jan (next year)'!$D$27:$AH$266),27+4*(IFERROR(MATCH(C202,Roster!$B$6:$B$65,0),MATCH(C202,Roster!$C$6:$C$65,0))-1)+MATCH(B202,{"AM","PM","NIGHT","WD"},0)-1-27+1,DAY(A202))&amp;"",""))</f>
        <v/>
      </c>
      <c r="G202" s="123">
        <f>IF(OR(A202="",C202="",B202="",E202=""),"",IFERROR(A202&amp;"|"&amp;(27+4*(IFERROR(MATCH(C202,Roster!$B$6:$B$65,0),MATCH(C202,Roster!$C$6:$C$65,0))-1)+MATCH(B202,{"AM","PM","NIGHT","WD"},0)-1),""))</f>
        <v/>
      </c>
    </row>
    <row r="203">
      <c r="A203" s="122" t="n"/>
      <c r="B203" s="107" t="n"/>
      <c r="C203" s="105" t="n"/>
      <c r="D203" s="92">
        <f>IF(C203="","",IFERROR(INDEX(Roster!$C$6:$C$65,IFERROR(MATCH(C203,Roster!$B$6:$B$65,0),MATCH(C203,Roster!$C$6:$C$65,0))),"not on the Roster"))</f>
        <v/>
      </c>
      <c r="E203" s="106" t="n"/>
      <c r="F203" s="104">
        <f>IF(OR(A203="",C203="",B203=""),"",IFERROR(INDEX(CHOOSE(IF(YEAR(A203)&gt;PlanYear,13,MONTH(A203)),'Jan'!$D$27:$AH$266,'Feb'!$D$27:$AH$266,'Mar'!$D$27:$AH$266,'Apr'!$D$27:$AH$266,'May'!$D$27:$AH$266,'Jun'!$D$27:$AH$266,'Jul'!$D$27:$AH$266,'Aug'!$D$27:$AH$266,'Sep'!$D$27:$AH$266,'Oct'!$D$27:$AH$266,'Nov'!$D$27:$AH$266,'Dec'!$D$27:$AH$266,'Jan (next year)'!$D$27:$AH$266),27+4*(IFERROR(MATCH(C203,Roster!$B$6:$B$65,0),MATCH(C203,Roster!$C$6:$C$65,0))-1)+MATCH(B203,{"AM","PM","NIGHT","WD"},0)-1-27+1,DAY(A203))&amp;"",""))</f>
        <v/>
      </c>
      <c r="G203" s="123">
        <f>IF(OR(A203="",C203="",B203="",E203=""),"",IFERROR(A203&amp;"|"&amp;(27+4*(IFERROR(MATCH(C203,Roster!$B$6:$B$65,0),MATCH(C203,Roster!$C$6:$C$65,0))-1)+MATCH(B203,{"AM","PM","NIGHT","WD"},0)-1),""))</f>
        <v/>
      </c>
    </row>
    <row r="204">
      <c r="A204" s="122" t="n"/>
      <c r="B204" s="107" t="n"/>
      <c r="C204" s="105" t="n"/>
      <c r="D204" s="92">
        <f>IF(C204="","",IFERROR(INDEX(Roster!$C$6:$C$65,IFERROR(MATCH(C204,Roster!$B$6:$B$65,0),MATCH(C204,Roster!$C$6:$C$65,0))),"not on the Roster"))</f>
        <v/>
      </c>
      <c r="E204" s="106" t="n"/>
      <c r="F204" s="104">
        <f>IF(OR(A204="",C204="",B204=""),"",IFERROR(INDEX(CHOOSE(IF(YEAR(A204)&gt;PlanYear,13,MONTH(A204)),'Jan'!$D$27:$AH$266,'Feb'!$D$27:$AH$266,'Mar'!$D$27:$AH$266,'Apr'!$D$27:$AH$266,'May'!$D$27:$AH$266,'Jun'!$D$27:$AH$266,'Jul'!$D$27:$AH$266,'Aug'!$D$27:$AH$266,'Sep'!$D$27:$AH$266,'Oct'!$D$27:$AH$266,'Nov'!$D$27:$AH$266,'Dec'!$D$27:$AH$266,'Jan (next year)'!$D$27:$AH$266),27+4*(IFERROR(MATCH(C204,Roster!$B$6:$B$65,0),MATCH(C204,Roster!$C$6:$C$65,0))-1)+MATCH(B204,{"AM","PM","NIGHT","WD"},0)-1-27+1,DAY(A204))&amp;"",""))</f>
        <v/>
      </c>
      <c r="G204" s="123">
        <f>IF(OR(A204="",C204="",B204="",E204=""),"",IFERROR(A204&amp;"|"&amp;(27+4*(IFERROR(MATCH(C204,Roster!$B$6:$B$65,0),MATCH(C204,Roster!$C$6:$C$65,0))-1)+MATCH(B204,{"AM","PM","NIGHT","WD"},0)-1),""))</f>
        <v/>
      </c>
    </row>
    <row r="205">
      <c r="A205" s="122" t="n"/>
      <c r="B205" s="107" t="n"/>
      <c r="C205" s="105" t="n"/>
      <c r="D205" s="92">
        <f>IF(C205="","",IFERROR(INDEX(Roster!$C$6:$C$65,IFERROR(MATCH(C205,Roster!$B$6:$B$65,0),MATCH(C205,Roster!$C$6:$C$65,0))),"not on the Roster"))</f>
        <v/>
      </c>
      <c r="E205" s="106" t="n"/>
      <c r="F205" s="104">
        <f>IF(OR(A205="",C205="",B205=""),"",IFERROR(INDEX(CHOOSE(IF(YEAR(A205)&gt;PlanYear,13,MONTH(A205)),'Jan'!$D$27:$AH$266,'Feb'!$D$27:$AH$266,'Mar'!$D$27:$AH$266,'Apr'!$D$27:$AH$266,'May'!$D$27:$AH$266,'Jun'!$D$27:$AH$266,'Jul'!$D$27:$AH$266,'Aug'!$D$27:$AH$266,'Sep'!$D$27:$AH$266,'Oct'!$D$27:$AH$266,'Nov'!$D$27:$AH$266,'Dec'!$D$27:$AH$266,'Jan (next year)'!$D$27:$AH$266),27+4*(IFERROR(MATCH(C205,Roster!$B$6:$B$65,0),MATCH(C205,Roster!$C$6:$C$65,0))-1)+MATCH(B205,{"AM","PM","NIGHT","WD"},0)-1-27+1,DAY(A205))&amp;"",""))</f>
        <v/>
      </c>
      <c r="G205" s="123">
        <f>IF(OR(A205="",C205="",B205="",E205=""),"",IFERROR(A205&amp;"|"&amp;(27+4*(IFERROR(MATCH(C205,Roster!$B$6:$B$65,0),MATCH(C205,Roster!$C$6:$C$65,0))-1)+MATCH(B205,{"AM","PM","NIGHT","WD"},0)-1),""))</f>
        <v/>
      </c>
    </row>
    <row r="206">
      <c r="A206" s="122" t="n"/>
      <c r="B206" s="107" t="n"/>
      <c r="C206" s="105" t="n"/>
      <c r="D206" s="92">
        <f>IF(C206="","",IFERROR(INDEX(Roster!$C$6:$C$65,IFERROR(MATCH(C206,Roster!$B$6:$B$65,0),MATCH(C206,Roster!$C$6:$C$65,0))),"not on the Roster"))</f>
        <v/>
      </c>
      <c r="E206" s="106" t="n"/>
      <c r="F206" s="104">
        <f>IF(OR(A206="",C206="",B206=""),"",IFERROR(INDEX(CHOOSE(IF(YEAR(A206)&gt;PlanYear,13,MONTH(A206)),'Jan'!$D$27:$AH$266,'Feb'!$D$27:$AH$266,'Mar'!$D$27:$AH$266,'Apr'!$D$27:$AH$266,'May'!$D$27:$AH$266,'Jun'!$D$27:$AH$266,'Jul'!$D$27:$AH$266,'Aug'!$D$27:$AH$266,'Sep'!$D$27:$AH$266,'Oct'!$D$27:$AH$266,'Nov'!$D$27:$AH$266,'Dec'!$D$27:$AH$266,'Jan (next year)'!$D$27:$AH$266),27+4*(IFERROR(MATCH(C206,Roster!$B$6:$B$65,0),MATCH(C206,Roster!$C$6:$C$65,0))-1)+MATCH(B206,{"AM","PM","NIGHT","WD"},0)-1-27+1,DAY(A206))&amp;"",""))</f>
        <v/>
      </c>
      <c r="G206" s="123">
        <f>IF(OR(A206="",C206="",B206="",E206=""),"",IFERROR(A206&amp;"|"&amp;(27+4*(IFERROR(MATCH(C206,Roster!$B$6:$B$65,0),MATCH(C206,Roster!$C$6:$C$65,0))-1)+MATCH(B206,{"AM","PM","NIGHT","WD"},0)-1),""))</f>
        <v/>
      </c>
    </row>
    <row r="207">
      <c r="A207" s="122" t="n"/>
      <c r="B207" s="107" t="n"/>
      <c r="C207" s="105" t="n"/>
      <c r="D207" s="92">
        <f>IF(C207="","",IFERROR(INDEX(Roster!$C$6:$C$65,IFERROR(MATCH(C207,Roster!$B$6:$B$65,0),MATCH(C207,Roster!$C$6:$C$65,0))),"not on the Roster"))</f>
        <v/>
      </c>
      <c r="E207" s="106" t="n"/>
      <c r="F207" s="104">
        <f>IF(OR(A207="",C207="",B207=""),"",IFERROR(INDEX(CHOOSE(IF(YEAR(A207)&gt;PlanYear,13,MONTH(A207)),'Jan'!$D$27:$AH$266,'Feb'!$D$27:$AH$266,'Mar'!$D$27:$AH$266,'Apr'!$D$27:$AH$266,'May'!$D$27:$AH$266,'Jun'!$D$27:$AH$266,'Jul'!$D$27:$AH$266,'Aug'!$D$27:$AH$266,'Sep'!$D$27:$AH$266,'Oct'!$D$27:$AH$266,'Nov'!$D$27:$AH$266,'Dec'!$D$27:$AH$266,'Jan (next year)'!$D$27:$AH$266),27+4*(IFERROR(MATCH(C207,Roster!$B$6:$B$65,0),MATCH(C207,Roster!$C$6:$C$65,0))-1)+MATCH(B207,{"AM","PM","NIGHT","WD"},0)-1-27+1,DAY(A207))&amp;"",""))</f>
        <v/>
      </c>
      <c r="G207" s="123">
        <f>IF(OR(A207="",C207="",B207="",E207=""),"",IFERROR(A207&amp;"|"&amp;(27+4*(IFERROR(MATCH(C207,Roster!$B$6:$B$65,0),MATCH(C207,Roster!$C$6:$C$65,0))-1)+MATCH(B207,{"AM","PM","NIGHT","WD"},0)-1),""))</f>
        <v/>
      </c>
    </row>
    <row r="208">
      <c r="A208" s="122" t="n"/>
      <c r="B208" s="107" t="n"/>
      <c r="C208" s="105" t="n"/>
      <c r="D208" s="92">
        <f>IF(C208="","",IFERROR(INDEX(Roster!$C$6:$C$65,IFERROR(MATCH(C208,Roster!$B$6:$B$65,0),MATCH(C208,Roster!$C$6:$C$65,0))),"not on the Roster"))</f>
        <v/>
      </c>
      <c r="E208" s="106" t="n"/>
      <c r="F208" s="104">
        <f>IF(OR(A208="",C208="",B208=""),"",IFERROR(INDEX(CHOOSE(IF(YEAR(A208)&gt;PlanYear,13,MONTH(A208)),'Jan'!$D$27:$AH$266,'Feb'!$D$27:$AH$266,'Mar'!$D$27:$AH$266,'Apr'!$D$27:$AH$266,'May'!$D$27:$AH$266,'Jun'!$D$27:$AH$266,'Jul'!$D$27:$AH$266,'Aug'!$D$27:$AH$266,'Sep'!$D$27:$AH$266,'Oct'!$D$27:$AH$266,'Nov'!$D$27:$AH$266,'Dec'!$D$27:$AH$266,'Jan (next year)'!$D$27:$AH$266),27+4*(IFERROR(MATCH(C208,Roster!$B$6:$B$65,0),MATCH(C208,Roster!$C$6:$C$65,0))-1)+MATCH(B208,{"AM","PM","NIGHT","WD"},0)-1-27+1,DAY(A208))&amp;"",""))</f>
        <v/>
      </c>
      <c r="G208" s="123">
        <f>IF(OR(A208="",C208="",B208="",E208=""),"",IFERROR(A208&amp;"|"&amp;(27+4*(IFERROR(MATCH(C208,Roster!$B$6:$B$65,0),MATCH(C208,Roster!$C$6:$C$65,0))-1)+MATCH(B208,{"AM","PM","NIGHT","WD"},0)-1),""))</f>
        <v/>
      </c>
    </row>
    <row r="209">
      <c r="A209" s="122" t="n"/>
      <c r="B209" s="107" t="n"/>
      <c r="C209" s="105" t="n"/>
      <c r="D209" s="92">
        <f>IF(C209="","",IFERROR(INDEX(Roster!$C$6:$C$65,IFERROR(MATCH(C209,Roster!$B$6:$B$65,0),MATCH(C209,Roster!$C$6:$C$65,0))),"not on the Roster"))</f>
        <v/>
      </c>
      <c r="E209" s="106" t="n"/>
      <c r="F209" s="104">
        <f>IF(OR(A209="",C209="",B209=""),"",IFERROR(INDEX(CHOOSE(IF(YEAR(A209)&gt;PlanYear,13,MONTH(A209)),'Jan'!$D$27:$AH$266,'Feb'!$D$27:$AH$266,'Mar'!$D$27:$AH$266,'Apr'!$D$27:$AH$266,'May'!$D$27:$AH$266,'Jun'!$D$27:$AH$266,'Jul'!$D$27:$AH$266,'Aug'!$D$27:$AH$266,'Sep'!$D$27:$AH$266,'Oct'!$D$27:$AH$266,'Nov'!$D$27:$AH$266,'Dec'!$D$27:$AH$266,'Jan (next year)'!$D$27:$AH$266),27+4*(IFERROR(MATCH(C209,Roster!$B$6:$B$65,0),MATCH(C209,Roster!$C$6:$C$65,0))-1)+MATCH(B209,{"AM","PM","NIGHT","WD"},0)-1-27+1,DAY(A209))&amp;"",""))</f>
        <v/>
      </c>
      <c r="G209" s="123">
        <f>IF(OR(A209="",C209="",B209="",E209=""),"",IFERROR(A209&amp;"|"&amp;(27+4*(IFERROR(MATCH(C209,Roster!$B$6:$B$65,0),MATCH(C209,Roster!$C$6:$C$65,0))-1)+MATCH(B209,{"AM","PM","NIGHT","WD"},0)-1),""))</f>
        <v/>
      </c>
    </row>
    <row r="210">
      <c r="A210" s="122" t="n"/>
      <c r="B210" s="107" t="n"/>
      <c r="C210" s="105" t="n"/>
      <c r="D210" s="92">
        <f>IF(C210="","",IFERROR(INDEX(Roster!$C$6:$C$65,IFERROR(MATCH(C210,Roster!$B$6:$B$65,0),MATCH(C210,Roster!$C$6:$C$65,0))),"not on the Roster"))</f>
        <v/>
      </c>
      <c r="E210" s="106" t="n"/>
      <c r="F210" s="104">
        <f>IF(OR(A210="",C210="",B210=""),"",IFERROR(INDEX(CHOOSE(IF(YEAR(A210)&gt;PlanYear,13,MONTH(A210)),'Jan'!$D$27:$AH$266,'Feb'!$D$27:$AH$266,'Mar'!$D$27:$AH$266,'Apr'!$D$27:$AH$266,'May'!$D$27:$AH$266,'Jun'!$D$27:$AH$266,'Jul'!$D$27:$AH$266,'Aug'!$D$27:$AH$266,'Sep'!$D$27:$AH$266,'Oct'!$D$27:$AH$266,'Nov'!$D$27:$AH$266,'Dec'!$D$27:$AH$266,'Jan (next year)'!$D$27:$AH$266),27+4*(IFERROR(MATCH(C210,Roster!$B$6:$B$65,0),MATCH(C210,Roster!$C$6:$C$65,0))-1)+MATCH(B210,{"AM","PM","NIGHT","WD"},0)-1-27+1,DAY(A210))&amp;"",""))</f>
        <v/>
      </c>
      <c r="G210" s="123">
        <f>IF(OR(A210="",C210="",B210="",E210=""),"",IFERROR(A210&amp;"|"&amp;(27+4*(IFERROR(MATCH(C210,Roster!$B$6:$B$65,0),MATCH(C210,Roster!$C$6:$C$65,0))-1)+MATCH(B210,{"AM","PM","NIGHT","WD"},0)-1),""))</f>
        <v/>
      </c>
    </row>
    <row r="211">
      <c r="A211" s="122" t="n"/>
      <c r="B211" s="107" t="n"/>
      <c r="C211" s="105" t="n"/>
      <c r="D211" s="92">
        <f>IF(C211="","",IFERROR(INDEX(Roster!$C$6:$C$65,IFERROR(MATCH(C211,Roster!$B$6:$B$65,0),MATCH(C211,Roster!$C$6:$C$65,0))),"not on the Roster"))</f>
        <v/>
      </c>
      <c r="E211" s="106" t="n"/>
      <c r="F211" s="104">
        <f>IF(OR(A211="",C211="",B211=""),"",IFERROR(INDEX(CHOOSE(IF(YEAR(A211)&gt;PlanYear,13,MONTH(A211)),'Jan'!$D$27:$AH$266,'Feb'!$D$27:$AH$266,'Mar'!$D$27:$AH$266,'Apr'!$D$27:$AH$266,'May'!$D$27:$AH$266,'Jun'!$D$27:$AH$266,'Jul'!$D$27:$AH$266,'Aug'!$D$27:$AH$266,'Sep'!$D$27:$AH$266,'Oct'!$D$27:$AH$266,'Nov'!$D$27:$AH$266,'Dec'!$D$27:$AH$266,'Jan (next year)'!$D$27:$AH$266),27+4*(IFERROR(MATCH(C211,Roster!$B$6:$B$65,0),MATCH(C211,Roster!$C$6:$C$65,0))-1)+MATCH(B211,{"AM","PM","NIGHT","WD"},0)-1-27+1,DAY(A211))&amp;"",""))</f>
        <v/>
      </c>
      <c r="G211" s="123">
        <f>IF(OR(A211="",C211="",B211="",E211=""),"",IFERROR(A211&amp;"|"&amp;(27+4*(IFERROR(MATCH(C211,Roster!$B$6:$B$65,0),MATCH(C211,Roster!$C$6:$C$65,0))-1)+MATCH(B211,{"AM","PM","NIGHT","WD"},0)-1),""))</f>
        <v/>
      </c>
    </row>
    <row r="212">
      <c r="A212" s="122" t="n"/>
      <c r="B212" s="107" t="n"/>
      <c r="C212" s="105" t="n"/>
      <c r="D212" s="92">
        <f>IF(C212="","",IFERROR(INDEX(Roster!$C$6:$C$65,IFERROR(MATCH(C212,Roster!$B$6:$B$65,0),MATCH(C212,Roster!$C$6:$C$65,0))),"not on the Roster"))</f>
        <v/>
      </c>
      <c r="E212" s="106" t="n"/>
      <c r="F212" s="104">
        <f>IF(OR(A212="",C212="",B212=""),"",IFERROR(INDEX(CHOOSE(IF(YEAR(A212)&gt;PlanYear,13,MONTH(A212)),'Jan'!$D$27:$AH$266,'Feb'!$D$27:$AH$266,'Mar'!$D$27:$AH$266,'Apr'!$D$27:$AH$266,'May'!$D$27:$AH$266,'Jun'!$D$27:$AH$266,'Jul'!$D$27:$AH$266,'Aug'!$D$27:$AH$266,'Sep'!$D$27:$AH$266,'Oct'!$D$27:$AH$266,'Nov'!$D$27:$AH$266,'Dec'!$D$27:$AH$266,'Jan (next year)'!$D$27:$AH$266),27+4*(IFERROR(MATCH(C212,Roster!$B$6:$B$65,0),MATCH(C212,Roster!$C$6:$C$65,0))-1)+MATCH(B212,{"AM","PM","NIGHT","WD"},0)-1-27+1,DAY(A212))&amp;"",""))</f>
        <v/>
      </c>
      <c r="G212" s="123">
        <f>IF(OR(A212="",C212="",B212="",E212=""),"",IFERROR(A212&amp;"|"&amp;(27+4*(IFERROR(MATCH(C212,Roster!$B$6:$B$65,0),MATCH(C212,Roster!$C$6:$C$65,0))-1)+MATCH(B212,{"AM","PM","NIGHT","WD"},0)-1),""))</f>
        <v/>
      </c>
    </row>
    <row r="213">
      <c r="A213" s="122" t="n"/>
      <c r="B213" s="107" t="n"/>
      <c r="C213" s="105" t="n"/>
      <c r="D213" s="92">
        <f>IF(C213="","",IFERROR(INDEX(Roster!$C$6:$C$65,IFERROR(MATCH(C213,Roster!$B$6:$B$65,0),MATCH(C213,Roster!$C$6:$C$65,0))),"not on the Roster"))</f>
        <v/>
      </c>
      <c r="E213" s="106" t="n"/>
      <c r="F213" s="104">
        <f>IF(OR(A213="",C213="",B213=""),"",IFERROR(INDEX(CHOOSE(IF(YEAR(A213)&gt;PlanYear,13,MONTH(A213)),'Jan'!$D$27:$AH$266,'Feb'!$D$27:$AH$266,'Mar'!$D$27:$AH$266,'Apr'!$D$27:$AH$266,'May'!$D$27:$AH$266,'Jun'!$D$27:$AH$266,'Jul'!$D$27:$AH$266,'Aug'!$D$27:$AH$266,'Sep'!$D$27:$AH$266,'Oct'!$D$27:$AH$266,'Nov'!$D$27:$AH$266,'Dec'!$D$27:$AH$266,'Jan (next year)'!$D$27:$AH$266),27+4*(IFERROR(MATCH(C213,Roster!$B$6:$B$65,0),MATCH(C213,Roster!$C$6:$C$65,0))-1)+MATCH(B213,{"AM","PM","NIGHT","WD"},0)-1-27+1,DAY(A213))&amp;"",""))</f>
        <v/>
      </c>
      <c r="G213" s="123">
        <f>IF(OR(A213="",C213="",B213="",E213=""),"",IFERROR(A213&amp;"|"&amp;(27+4*(IFERROR(MATCH(C213,Roster!$B$6:$B$65,0),MATCH(C213,Roster!$C$6:$C$65,0))-1)+MATCH(B213,{"AM","PM","NIGHT","WD"},0)-1),""))</f>
        <v/>
      </c>
    </row>
    <row r="214">
      <c r="A214" s="122" t="n"/>
      <c r="B214" s="107" t="n"/>
      <c r="C214" s="105" t="n"/>
      <c r="D214" s="92">
        <f>IF(C214="","",IFERROR(INDEX(Roster!$C$6:$C$65,IFERROR(MATCH(C214,Roster!$B$6:$B$65,0),MATCH(C214,Roster!$C$6:$C$65,0))),"not on the Roster"))</f>
        <v/>
      </c>
      <c r="E214" s="106" t="n"/>
      <c r="F214" s="104">
        <f>IF(OR(A214="",C214="",B214=""),"",IFERROR(INDEX(CHOOSE(IF(YEAR(A214)&gt;PlanYear,13,MONTH(A214)),'Jan'!$D$27:$AH$266,'Feb'!$D$27:$AH$266,'Mar'!$D$27:$AH$266,'Apr'!$D$27:$AH$266,'May'!$D$27:$AH$266,'Jun'!$D$27:$AH$266,'Jul'!$D$27:$AH$266,'Aug'!$D$27:$AH$266,'Sep'!$D$27:$AH$266,'Oct'!$D$27:$AH$266,'Nov'!$D$27:$AH$266,'Dec'!$D$27:$AH$266,'Jan (next year)'!$D$27:$AH$266),27+4*(IFERROR(MATCH(C214,Roster!$B$6:$B$65,0),MATCH(C214,Roster!$C$6:$C$65,0))-1)+MATCH(B214,{"AM","PM","NIGHT","WD"},0)-1-27+1,DAY(A214))&amp;"",""))</f>
        <v/>
      </c>
      <c r="G214" s="123">
        <f>IF(OR(A214="",C214="",B214="",E214=""),"",IFERROR(A214&amp;"|"&amp;(27+4*(IFERROR(MATCH(C214,Roster!$B$6:$B$65,0),MATCH(C214,Roster!$C$6:$C$65,0))-1)+MATCH(B214,{"AM","PM","NIGHT","WD"},0)-1),""))</f>
        <v/>
      </c>
    </row>
    <row r="215">
      <c r="A215" s="122" t="n"/>
      <c r="B215" s="107" t="n"/>
      <c r="C215" s="105" t="n"/>
      <c r="D215" s="92">
        <f>IF(C215="","",IFERROR(INDEX(Roster!$C$6:$C$65,IFERROR(MATCH(C215,Roster!$B$6:$B$65,0),MATCH(C215,Roster!$C$6:$C$65,0))),"not on the Roster"))</f>
        <v/>
      </c>
      <c r="E215" s="106" t="n"/>
      <c r="F215" s="104">
        <f>IF(OR(A215="",C215="",B215=""),"",IFERROR(INDEX(CHOOSE(IF(YEAR(A215)&gt;PlanYear,13,MONTH(A215)),'Jan'!$D$27:$AH$266,'Feb'!$D$27:$AH$266,'Mar'!$D$27:$AH$266,'Apr'!$D$27:$AH$266,'May'!$D$27:$AH$266,'Jun'!$D$27:$AH$266,'Jul'!$D$27:$AH$266,'Aug'!$D$27:$AH$266,'Sep'!$D$27:$AH$266,'Oct'!$D$27:$AH$266,'Nov'!$D$27:$AH$266,'Dec'!$D$27:$AH$266,'Jan (next year)'!$D$27:$AH$266),27+4*(IFERROR(MATCH(C215,Roster!$B$6:$B$65,0),MATCH(C215,Roster!$C$6:$C$65,0))-1)+MATCH(B215,{"AM","PM","NIGHT","WD"},0)-1-27+1,DAY(A215))&amp;"",""))</f>
        <v/>
      </c>
      <c r="G215" s="123">
        <f>IF(OR(A215="",C215="",B215="",E215=""),"",IFERROR(A215&amp;"|"&amp;(27+4*(IFERROR(MATCH(C215,Roster!$B$6:$B$65,0),MATCH(C215,Roster!$C$6:$C$65,0))-1)+MATCH(B215,{"AM","PM","NIGHT","WD"},0)-1),""))</f>
        <v/>
      </c>
    </row>
    <row r="216">
      <c r="A216" s="122" t="n"/>
      <c r="B216" s="107" t="n"/>
      <c r="C216" s="105" t="n"/>
      <c r="D216" s="92">
        <f>IF(C216="","",IFERROR(INDEX(Roster!$C$6:$C$65,IFERROR(MATCH(C216,Roster!$B$6:$B$65,0),MATCH(C216,Roster!$C$6:$C$65,0))),"not on the Roster"))</f>
        <v/>
      </c>
      <c r="E216" s="106" t="n"/>
      <c r="F216" s="104">
        <f>IF(OR(A216="",C216="",B216=""),"",IFERROR(INDEX(CHOOSE(IF(YEAR(A216)&gt;PlanYear,13,MONTH(A216)),'Jan'!$D$27:$AH$266,'Feb'!$D$27:$AH$266,'Mar'!$D$27:$AH$266,'Apr'!$D$27:$AH$266,'May'!$D$27:$AH$266,'Jun'!$D$27:$AH$266,'Jul'!$D$27:$AH$266,'Aug'!$D$27:$AH$266,'Sep'!$D$27:$AH$266,'Oct'!$D$27:$AH$266,'Nov'!$D$27:$AH$266,'Dec'!$D$27:$AH$266,'Jan (next year)'!$D$27:$AH$266),27+4*(IFERROR(MATCH(C216,Roster!$B$6:$B$65,0),MATCH(C216,Roster!$C$6:$C$65,0))-1)+MATCH(B216,{"AM","PM","NIGHT","WD"},0)-1-27+1,DAY(A216))&amp;"",""))</f>
        <v/>
      </c>
      <c r="G216" s="123">
        <f>IF(OR(A216="",C216="",B216="",E216=""),"",IFERROR(A216&amp;"|"&amp;(27+4*(IFERROR(MATCH(C216,Roster!$B$6:$B$65,0),MATCH(C216,Roster!$C$6:$C$65,0))-1)+MATCH(B216,{"AM","PM","NIGHT","WD"},0)-1),""))</f>
        <v/>
      </c>
    </row>
    <row r="217">
      <c r="A217" s="122" t="n"/>
      <c r="B217" s="107" t="n"/>
      <c r="C217" s="105" t="n"/>
      <c r="D217" s="92">
        <f>IF(C217="","",IFERROR(INDEX(Roster!$C$6:$C$65,IFERROR(MATCH(C217,Roster!$B$6:$B$65,0),MATCH(C217,Roster!$C$6:$C$65,0))),"not on the Roster"))</f>
        <v/>
      </c>
      <c r="E217" s="106" t="n"/>
      <c r="F217" s="104">
        <f>IF(OR(A217="",C217="",B217=""),"",IFERROR(INDEX(CHOOSE(IF(YEAR(A217)&gt;PlanYear,13,MONTH(A217)),'Jan'!$D$27:$AH$266,'Feb'!$D$27:$AH$266,'Mar'!$D$27:$AH$266,'Apr'!$D$27:$AH$266,'May'!$D$27:$AH$266,'Jun'!$D$27:$AH$266,'Jul'!$D$27:$AH$266,'Aug'!$D$27:$AH$266,'Sep'!$D$27:$AH$266,'Oct'!$D$27:$AH$266,'Nov'!$D$27:$AH$266,'Dec'!$D$27:$AH$266,'Jan (next year)'!$D$27:$AH$266),27+4*(IFERROR(MATCH(C217,Roster!$B$6:$B$65,0),MATCH(C217,Roster!$C$6:$C$65,0))-1)+MATCH(B217,{"AM","PM","NIGHT","WD"},0)-1-27+1,DAY(A217))&amp;"",""))</f>
        <v/>
      </c>
      <c r="G217" s="123">
        <f>IF(OR(A217="",C217="",B217="",E217=""),"",IFERROR(A217&amp;"|"&amp;(27+4*(IFERROR(MATCH(C217,Roster!$B$6:$B$65,0),MATCH(C217,Roster!$C$6:$C$65,0))-1)+MATCH(B217,{"AM","PM","NIGHT","WD"},0)-1),""))</f>
        <v/>
      </c>
    </row>
    <row r="218">
      <c r="A218" s="122" t="n"/>
      <c r="B218" s="107" t="n"/>
      <c r="C218" s="105" t="n"/>
      <c r="D218" s="92">
        <f>IF(C218="","",IFERROR(INDEX(Roster!$C$6:$C$65,IFERROR(MATCH(C218,Roster!$B$6:$B$65,0),MATCH(C218,Roster!$C$6:$C$65,0))),"not on the Roster"))</f>
        <v/>
      </c>
      <c r="E218" s="106" t="n"/>
      <c r="F218" s="104">
        <f>IF(OR(A218="",C218="",B218=""),"",IFERROR(INDEX(CHOOSE(IF(YEAR(A218)&gt;PlanYear,13,MONTH(A218)),'Jan'!$D$27:$AH$266,'Feb'!$D$27:$AH$266,'Mar'!$D$27:$AH$266,'Apr'!$D$27:$AH$266,'May'!$D$27:$AH$266,'Jun'!$D$27:$AH$266,'Jul'!$D$27:$AH$266,'Aug'!$D$27:$AH$266,'Sep'!$D$27:$AH$266,'Oct'!$D$27:$AH$266,'Nov'!$D$27:$AH$266,'Dec'!$D$27:$AH$266,'Jan (next year)'!$D$27:$AH$266),27+4*(IFERROR(MATCH(C218,Roster!$B$6:$B$65,0),MATCH(C218,Roster!$C$6:$C$65,0))-1)+MATCH(B218,{"AM","PM","NIGHT","WD"},0)-1-27+1,DAY(A218))&amp;"",""))</f>
        <v/>
      </c>
      <c r="G218" s="123">
        <f>IF(OR(A218="",C218="",B218="",E218=""),"",IFERROR(A218&amp;"|"&amp;(27+4*(IFERROR(MATCH(C218,Roster!$B$6:$B$65,0),MATCH(C218,Roster!$C$6:$C$65,0))-1)+MATCH(B218,{"AM","PM","NIGHT","WD"},0)-1),""))</f>
        <v/>
      </c>
    </row>
    <row r="219">
      <c r="A219" s="122" t="n"/>
      <c r="B219" s="107" t="n"/>
      <c r="C219" s="105" t="n"/>
      <c r="D219" s="92">
        <f>IF(C219="","",IFERROR(INDEX(Roster!$C$6:$C$65,IFERROR(MATCH(C219,Roster!$B$6:$B$65,0),MATCH(C219,Roster!$C$6:$C$65,0))),"not on the Roster"))</f>
        <v/>
      </c>
      <c r="E219" s="106" t="n"/>
      <c r="F219" s="104">
        <f>IF(OR(A219="",C219="",B219=""),"",IFERROR(INDEX(CHOOSE(IF(YEAR(A219)&gt;PlanYear,13,MONTH(A219)),'Jan'!$D$27:$AH$266,'Feb'!$D$27:$AH$266,'Mar'!$D$27:$AH$266,'Apr'!$D$27:$AH$266,'May'!$D$27:$AH$266,'Jun'!$D$27:$AH$266,'Jul'!$D$27:$AH$266,'Aug'!$D$27:$AH$266,'Sep'!$D$27:$AH$266,'Oct'!$D$27:$AH$266,'Nov'!$D$27:$AH$266,'Dec'!$D$27:$AH$266,'Jan (next year)'!$D$27:$AH$266),27+4*(IFERROR(MATCH(C219,Roster!$B$6:$B$65,0),MATCH(C219,Roster!$C$6:$C$65,0))-1)+MATCH(B219,{"AM","PM","NIGHT","WD"},0)-1-27+1,DAY(A219))&amp;"",""))</f>
        <v/>
      </c>
      <c r="G219" s="123">
        <f>IF(OR(A219="",C219="",B219="",E219=""),"",IFERROR(A219&amp;"|"&amp;(27+4*(IFERROR(MATCH(C219,Roster!$B$6:$B$65,0),MATCH(C219,Roster!$C$6:$C$65,0))-1)+MATCH(B219,{"AM","PM","NIGHT","WD"},0)-1),""))</f>
        <v/>
      </c>
    </row>
    <row r="220">
      <c r="A220" s="122" t="n"/>
      <c r="B220" s="107" t="n"/>
      <c r="C220" s="105" t="n"/>
      <c r="D220" s="92">
        <f>IF(C220="","",IFERROR(INDEX(Roster!$C$6:$C$65,IFERROR(MATCH(C220,Roster!$B$6:$B$65,0),MATCH(C220,Roster!$C$6:$C$65,0))),"not on the Roster"))</f>
        <v/>
      </c>
      <c r="E220" s="106" t="n"/>
      <c r="F220" s="104">
        <f>IF(OR(A220="",C220="",B220=""),"",IFERROR(INDEX(CHOOSE(IF(YEAR(A220)&gt;PlanYear,13,MONTH(A220)),'Jan'!$D$27:$AH$266,'Feb'!$D$27:$AH$266,'Mar'!$D$27:$AH$266,'Apr'!$D$27:$AH$266,'May'!$D$27:$AH$266,'Jun'!$D$27:$AH$266,'Jul'!$D$27:$AH$266,'Aug'!$D$27:$AH$266,'Sep'!$D$27:$AH$266,'Oct'!$D$27:$AH$266,'Nov'!$D$27:$AH$266,'Dec'!$D$27:$AH$266,'Jan (next year)'!$D$27:$AH$266),27+4*(IFERROR(MATCH(C220,Roster!$B$6:$B$65,0),MATCH(C220,Roster!$C$6:$C$65,0))-1)+MATCH(B220,{"AM","PM","NIGHT","WD"},0)-1-27+1,DAY(A220))&amp;"",""))</f>
        <v/>
      </c>
      <c r="G220" s="123">
        <f>IF(OR(A220="",C220="",B220="",E220=""),"",IFERROR(A220&amp;"|"&amp;(27+4*(IFERROR(MATCH(C220,Roster!$B$6:$B$65,0),MATCH(C220,Roster!$C$6:$C$65,0))-1)+MATCH(B220,{"AM","PM","NIGHT","WD"},0)-1),""))</f>
        <v/>
      </c>
    </row>
    <row r="221">
      <c r="A221" s="122" t="n"/>
      <c r="B221" s="107" t="n"/>
      <c r="C221" s="105" t="n"/>
      <c r="D221" s="92">
        <f>IF(C221="","",IFERROR(INDEX(Roster!$C$6:$C$65,IFERROR(MATCH(C221,Roster!$B$6:$B$65,0),MATCH(C221,Roster!$C$6:$C$65,0))),"not on the Roster"))</f>
        <v/>
      </c>
      <c r="E221" s="106" t="n"/>
      <c r="F221" s="104">
        <f>IF(OR(A221="",C221="",B221=""),"",IFERROR(INDEX(CHOOSE(IF(YEAR(A221)&gt;PlanYear,13,MONTH(A221)),'Jan'!$D$27:$AH$266,'Feb'!$D$27:$AH$266,'Mar'!$D$27:$AH$266,'Apr'!$D$27:$AH$266,'May'!$D$27:$AH$266,'Jun'!$D$27:$AH$266,'Jul'!$D$27:$AH$266,'Aug'!$D$27:$AH$266,'Sep'!$D$27:$AH$266,'Oct'!$D$27:$AH$266,'Nov'!$D$27:$AH$266,'Dec'!$D$27:$AH$266,'Jan (next year)'!$D$27:$AH$266),27+4*(IFERROR(MATCH(C221,Roster!$B$6:$B$65,0),MATCH(C221,Roster!$C$6:$C$65,0))-1)+MATCH(B221,{"AM","PM","NIGHT","WD"},0)-1-27+1,DAY(A221))&amp;"",""))</f>
        <v/>
      </c>
      <c r="G221" s="123">
        <f>IF(OR(A221="",C221="",B221="",E221=""),"",IFERROR(A221&amp;"|"&amp;(27+4*(IFERROR(MATCH(C221,Roster!$B$6:$B$65,0),MATCH(C221,Roster!$C$6:$C$65,0))-1)+MATCH(B221,{"AM","PM","NIGHT","WD"},0)-1),""))</f>
        <v/>
      </c>
    </row>
    <row r="222">
      <c r="A222" s="122" t="n"/>
      <c r="B222" s="107" t="n"/>
      <c r="C222" s="105" t="n"/>
      <c r="D222" s="92">
        <f>IF(C222="","",IFERROR(INDEX(Roster!$C$6:$C$65,IFERROR(MATCH(C222,Roster!$B$6:$B$65,0),MATCH(C222,Roster!$C$6:$C$65,0))),"not on the Roster"))</f>
        <v/>
      </c>
      <c r="E222" s="106" t="n"/>
      <c r="F222" s="104">
        <f>IF(OR(A222="",C222="",B222=""),"",IFERROR(INDEX(CHOOSE(IF(YEAR(A222)&gt;PlanYear,13,MONTH(A222)),'Jan'!$D$27:$AH$266,'Feb'!$D$27:$AH$266,'Mar'!$D$27:$AH$266,'Apr'!$D$27:$AH$266,'May'!$D$27:$AH$266,'Jun'!$D$27:$AH$266,'Jul'!$D$27:$AH$266,'Aug'!$D$27:$AH$266,'Sep'!$D$27:$AH$266,'Oct'!$D$27:$AH$266,'Nov'!$D$27:$AH$266,'Dec'!$D$27:$AH$266,'Jan (next year)'!$D$27:$AH$266),27+4*(IFERROR(MATCH(C222,Roster!$B$6:$B$65,0),MATCH(C222,Roster!$C$6:$C$65,0))-1)+MATCH(B222,{"AM","PM","NIGHT","WD"},0)-1-27+1,DAY(A222))&amp;"",""))</f>
        <v/>
      </c>
      <c r="G222" s="123">
        <f>IF(OR(A222="",C222="",B222="",E222=""),"",IFERROR(A222&amp;"|"&amp;(27+4*(IFERROR(MATCH(C222,Roster!$B$6:$B$65,0),MATCH(C222,Roster!$C$6:$C$65,0))-1)+MATCH(B222,{"AM","PM","NIGHT","WD"},0)-1),""))</f>
        <v/>
      </c>
    </row>
    <row r="223">
      <c r="A223" s="122" t="n"/>
      <c r="B223" s="107" t="n"/>
      <c r="C223" s="105" t="n"/>
      <c r="D223" s="92">
        <f>IF(C223="","",IFERROR(INDEX(Roster!$C$6:$C$65,IFERROR(MATCH(C223,Roster!$B$6:$B$65,0),MATCH(C223,Roster!$C$6:$C$65,0))),"not on the Roster"))</f>
        <v/>
      </c>
      <c r="E223" s="106" t="n"/>
      <c r="F223" s="104">
        <f>IF(OR(A223="",C223="",B223=""),"",IFERROR(INDEX(CHOOSE(IF(YEAR(A223)&gt;PlanYear,13,MONTH(A223)),'Jan'!$D$27:$AH$266,'Feb'!$D$27:$AH$266,'Mar'!$D$27:$AH$266,'Apr'!$D$27:$AH$266,'May'!$D$27:$AH$266,'Jun'!$D$27:$AH$266,'Jul'!$D$27:$AH$266,'Aug'!$D$27:$AH$266,'Sep'!$D$27:$AH$266,'Oct'!$D$27:$AH$266,'Nov'!$D$27:$AH$266,'Dec'!$D$27:$AH$266,'Jan (next year)'!$D$27:$AH$266),27+4*(IFERROR(MATCH(C223,Roster!$B$6:$B$65,0),MATCH(C223,Roster!$C$6:$C$65,0))-1)+MATCH(B223,{"AM","PM","NIGHT","WD"},0)-1-27+1,DAY(A223))&amp;"",""))</f>
        <v/>
      </c>
      <c r="G223" s="123">
        <f>IF(OR(A223="",C223="",B223="",E223=""),"",IFERROR(A223&amp;"|"&amp;(27+4*(IFERROR(MATCH(C223,Roster!$B$6:$B$65,0),MATCH(C223,Roster!$C$6:$C$65,0))-1)+MATCH(B223,{"AM","PM","NIGHT","WD"},0)-1),""))</f>
        <v/>
      </c>
    </row>
    <row r="224">
      <c r="A224" s="122" t="n"/>
      <c r="B224" s="107" t="n"/>
      <c r="C224" s="105" t="n"/>
      <c r="D224" s="92">
        <f>IF(C224="","",IFERROR(INDEX(Roster!$C$6:$C$65,IFERROR(MATCH(C224,Roster!$B$6:$B$65,0),MATCH(C224,Roster!$C$6:$C$65,0))),"not on the Roster"))</f>
        <v/>
      </c>
      <c r="E224" s="106" t="n"/>
      <c r="F224" s="104">
        <f>IF(OR(A224="",C224="",B224=""),"",IFERROR(INDEX(CHOOSE(IF(YEAR(A224)&gt;PlanYear,13,MONTH(A224)),'Jan'!$D$27:$AH$266,'Feb'!$D$27:$AH$266,'Mar'!$D$27:$AH$266,'Apr'!$D$27:$AH$266,'May'!$D$27:$AH$266,'Jun'!$D$27:$AH$266,'Jul'!$D$27:$AH$266,'Aug'!$D$27:$AH$266,'Sep'!$D$27:$AH$266,'Oct'!$D$27:$AH$266,'Nov'!$D$27:$AH$266,'Dec'!$D$27:$AH$266,'Jan (next year)'!$D$27:$AH$266),27+4*(IFERROR(MATCH(C224,Roster!$B$6:$B$65,0),MATCH(C224,Roster!$C$6:$C$65,0))-1)+MATCH(B224,{"AM","PM","NIGHT","WD"},0)-1-27+1,DAY(A224))&amp;"",""))</f>
        <v/>
      </c>
      <c r="G224" s="123">
        <f>IF(OR(A224="",C224="",B224="",E224=""),"",IFERROR(A224&amp;"|"&amp;(27+4*(IFERROR(MATCH(C224,Roster!$B$6:$B$65,0),MATCH(C224,Roster!$C$6:$C$65,0))-1)+MATCH(B224,{"AM","PM","NIGHT","WD"},0)-1),""))</f>
        <v/>
      </c>
    </row>
    <row r="225">
      <c r="A225" s="122" t="n"/>
      <c r="B225" s="107" t="n"/>
      <c r="C225" s="105" t="n"/>
      <c r="D225" s="92">
        <f>IF(C225="","",IFERROR(INDEX(Roster!$C$6:$C$65,IFERROR(MATCH(C225,Roster!$B$6:$B$65,0),MATCH(C225,Roster!$C$6:$C$65,0))),"not on the Roster"))</f>
        <v/>
      </c>
      <c r="E225" s="106" t="n"/>
      <c r="F225" s="104">
        <f>IF(OR(A225="",C225="",B225=""),"",IFERROR(INDEX(CHOOSE(IF(YEAR(A225)&gt;PlanYear,13,MONTH(A225)),'Jan'!$D$27:$AH$266,'Feb'!$D$27:$AH$266,'Mar'!$D$27:$AH$266,'Apr'!$D$27:$AH$266,'May'!$D$27:$AH$266,'Jun'!$D$27:$AH$266,'Jul'!$D$27:$AH$266,'Aug'!$D$27:$AH$266,'Sep'!$D$27:$AH$266,'Oct'!$D$27:$AH$266,'Nov'!$D$27:$AH$266,'Dec'!$D$27:$AH$266,'Jan (next year)'!$D$27:$AH$266),27+4*(IFERROR(MATCH(C225,Roster!$B$6:$B$65,0),MATCH(C225,Roster!$C$6:$C$65,0))-1)+MATCH(B225,{"AM","PM","NIGHT","WD"},0)-1-27+1,DAY(A225))&amp;"",""))</f>
        <v/>
      </c>
      <c r="G225" s="123">
        <f>IF(OR(A225="",C225="",B225="",E225=""),"",IFERROR(A225&amp;"|"&amp;(27+4*(IFERROR(MATCH(C225,Roster!$B$6:$B$65,0),MATCH(C225,Roster!$C$6:$C$65,0))-1)+MATCH(B225,{"AM","PM","NIGHT","WD"},0)-1),""))</f>
        <v/>
      </c>
    </row>
    <row r="226">
      <c r="A226" s="122" t="n"/>
      <c r="B226" s="107" t="n"/>
      <c r="C226" s="105" t="n"/>
      <c r="D226" s="92">
        <f>IF(C226="","",IFERROR(INDEX(Roster!$C$6:$C$65,IFERROR(MATCH(C226,Roster!$B$6:$B$65,0),MATCH(C226,Roster!$C$6:$C$65,0))),"not on the Roster"))</f>
        <v/>
      </c>
      <c r="E226" s="106" t="n"/>
      <c r="F226" s="104">
        <f>IF(OR(A226="",C226="",B226=""),"",IFERROR(INDEX(CHOOSE(IF(YEAR(A226)&gt;PlanYear,13,MONTH(A226)),'Jan'!$D$27:$AH$266,'Feb'!$D$27:$AH$266,'Mar'!$D$27:$AH$266,'Apr'!$D$27:$AH$266,'May'!$D$27:$AH$266,'Jun'!$D$27:$AH$266,'Jul'!$D$27:$AH$266,'Aug'!$D$27:$AH$266,'Sep'!$D$27:$AH$266,'Oct'!$D$27:$AH$266,'Nov'!$D$27:$AH$266,'Dec'!$D$27:$AH$266,'Jan (next year)'!$D$27:$AH$266),27+4*(IFERROR(MATCH(C226,Roster!$B$6:$B$65,0),MATCH(C226,Roster!$C$6:$C$65,0))-1)+MATCH(B226,{"AM","PM","NIGHT","WD"},0)-1-27+1,DAY(A226))&amp;"",""))</f>
        <v/>
      </c>
      <c r="G226" s="123">
        <f>IF(OR(A226="",C226="",B226="",E226=""),"",IFERROR(A226&amp;"|"&amp;(27+4*(IFERROR(MATCH(C226,Roster!$B$6:$B$65,0),MATCH(C226,Roster!$C$6:$C$65,0))-1)+MATCH(B226,{"AM","PM","NIGHT","WD"},0)-1),""))</f>
        <v/>
      </c>
    </row>
    <row r="227">
      <c r="A227" s="122" t="n"/>
      <c r="B227" s="107" t="n"/>
      <c r="C227" s="105" t="n"/>
      <c r="D227" s="92">
        <f>IF(C227="","",IFERROR(INDEX(Roster!$C$6:$C$65,IFERROR(MATCH(C227,Roster!$B$6:$B$65,0),MATCH(C227,Roster!$C$6:$C$65,0))),"not on the Roster"))</f>
        <v/>
      </c>
      <c r="E227" s="106" t="n"/>
      <c r="F227" s="104">
        <f>IF(OR(A227="",C227="",B227=""),"",IFERROR(INDEX(CHOOSE(IF(YEAR(A227)&gt;PlanYear,13,MONTH(A227)),'Jan'!$D$27:$AH$266,'Feb'!$D$27:$AH$266,'Mar'!$D$27:$AH$266,'Apr'!$D$27:$AH$266,'May'!$D$27:$AH$266,'Jun'!$D$27:$AH$266,'Jul'!$D$27:$AH$266,'Aug'!$D$27:$AH$266,'Sep'!$D$27:$AH$266,'Oct'!$D$27:$AH$266,'Nov'!$D$27:$AH$266,'Dec'!$D$27:$AH$266,'Jan (next year)'!$D$27:$AH$266),27+4*(IFERROR(MATCH(C227,Roster!$B$6:$B$65,0),MATCH(C227,Roster!$C$6:$C$65,0))-1)+MATCH(B227,{"AM","PM","NIGHT","WD"},0)-1-27+1,DAY(A227))&amp;"",""))</f>
        <v/>
      </c>
      <c r="G227" s="123">
        <f>IF(OR(A227="",C227="",B227="",E227=""),"",IFERROR(A227&amp;"|"&amp;(27+4*(IFERROR(MATCH(C227,Roster!$B$6:$B$65,0),MATCH(C227,Roster!$C$6:$C$65,0))-1)+MATCH(B227,{"AM","PM","NIGHT","WD"},0)-1),""))</f>
        <v/>
      </c>
    </row>
    <row r="228">
      <c r="A228" s="122" t="n"/>
      <c r="B228" s="107" t="n"/>
      <c r="C228" s="105" t="n"/>
      <c r="D228" s="92">
        <f>IF(C228="","",IFERROR(INDEX(Roster!$C$6:$C$65,IFERROR(MATCH(C228,Roster!$B$6:$B$65,0),MATCH(C228,Roster!$C$6:$C$65,0))),"not on the Roster"))</f>
        <v/>
      </c>
      <c r="E228" s="106" t="n"/>
      <c r="F228" s="104">
        <f>IF(OR(A228="",C228="",B228=""),"",IFERROR(INDEX(CHOOSE(IF(YEAR(A228)&gt;PlanYear,13,MONTH(A228)),'Jan'!$D$27:$AH$266,'Feb'!$D$27:$AH$266,'Mar'!$D$27:$AH$266,'Apr'!$D$27:$AH$266,'May'!$D$27:$AH$266,'Jun'!$D$27:$AH$266,'Jul'!$D$27:$AH$266,'Aug'!$D$27:$AH$266,'Sep'!$D$27:$AH$266,'Oct'!$D$27:$AH$266,'Nov'!$D$27:$AH$266,'Dec'!$D$27:$AH$266,'Jan (next year)'!$D$27:$AH$266),27+4*(IFERROR(MATCH(C228,Roster!$B$6:$B$65,0),MATCH(C228,Roster!$C$6:$C$65,0))-1)+MATCH(B228,{"AM","PM","NIGHT","WD"},0)-1-27+1,DAY(A228))&amp;"",""))</f>
        <v/>
      </c>
      <c r="G228" s="123">
        <f>IF(OR(A228="",C228="",B228="",E228=""),"",IFERROR(A228&amp;"|"&amp;(27+4*(IFERROR(MATCH(C228,Roster!$B$6:$B$65,0),MATCH(C228,Roster!$C$6:$C$65,0))-1)+MATCH(B228,{"AM","PM","NIGHT","WD"},0)-1),""))</f>
        <v/>
      </c>
    </row>
    <row r="229">
      <c r="A229" s="122" t="n"/>
      <c r="B229" s="107" t="n"/>
      <c r="C229" s="105" t="n"/>
      <c r="D229" s="92">
        <f>IF(C229="","",IFERROR(INDEX(Roster!$C$6:$C$65,IFERROR(MATCH(C229,Roster!$B$6:$B$65,0),MATCH(C229,Roster!$C$6:$C$65,0))),"not on the Roster"))</f>
        <v/>
      </c>
      <c r="E229" s="106" t="n"/>
      <c r="F229" s="104">
        <f>IF(OR(A229="",C229="",B229=""),"",IFERROR(INDEX(CHOOSE(IF(YEAR(A229)&gt;PlanYear,13,MONTH(A229)),'Jan'!$D$27:$AH$266,'Feb'!$D$27:$AH$266,'Mar'!$D$27:$AH$266,'Apr'!$D$27:$AH$266,'May'!$D$27:$AH$266,'Jun'!$D$27:$AH$266,'Jul'!$D$27:$AH$266,'Aug'!$D$27:$AH$266,'Sep'!$D$27:$AH$266,'Oct'!$D$27:$AH$266,'Nov'!$D$27:$AH$266,'Dec'!$D$27:$AH$266,'Jan (next year)'!$D$27:$AH$266),27+4*(IFERROR(MATCH(C229,Roster!$B$6:$B$65,0),MATCH(C229,Roster!$C$6:$C$65,0))-1)+MATCH(B229,{"AM","PM","NIGHT","WD"},0)-1-27+1,DAY(A229))&amp;"",""))</f>
        <v/>
      </c>
      <c r="G229" s="123">
        <f>IF(OR(A229="",C229="",B229="",E229=""),"",IFERROR(A229&amp;"|"&amp;(27+4*(IFERROR(MATCH(C229,Roster!$B$6:$B$65,0),MATCH(C229,Roster!$C$6:$C$65,0))-1)+MATCH(B229,{"AM","PM","NIGHT","WD"},0)-1),""))</f>
        <v/>
      </c>
    </row>
    <row r="230">
      <c r="A230" s="122" t="n"/>
      <c r="B230" s="107" t="n"/>
      <c r="C230" s="105" t="n"/>
      <c r="D230" s="92">
        <f>IF(C230="","",IFERROR(INDEX(Roster!$C$6:$C$65,IFERROR(MATCH(C230,Roster!$B$6:$B$65,0),MATCH(C230,Roster!$C$6:$C$65,0))),"not on the Roster"))</f>
        <v/>
      </c>
      <c r="E230" s="106" t="n"/>
      <c r="F230" s="104">
        <f>IF(OR(A230="",C230="",B230=""),"",IFERROR(INDEX(CHOOSE(IF(YEAR(A230)&gt;PlanYear,13,MONTH(A230)),'Jan'!$D$27:$AH$266,'Feb'!$D$27:$AH$266,'Mar'!$D$27:$AH$266,'Apr'!$D$27:$AH$266,'May'!$D$27:$AH$266,'Jun'!$D$27:$AH$266,'Jul'!$D$27:$AH$266,'Aug'!$D$27:$AH$266,'Sep'!$D$27:$AH$266,'Oct'!$D$27:$AH$266,'Nov'!$D$27:$AH$266,'Dec'!$D$27:$AH$266,'Jan (next year)'!$D$27:$AH$266),27+4*(IFERROR(MATCH(C230,Roster!$B$6:$B$65,0),MATCH(C230,Roster!$C$6:$C$65,0))-1)+MATCH(B230,{"AM","PM","NIGHT","WD"},0)-1-27+1,DAY(A230))&amp;"",""))</f>
        <v/>
      </c>
      <c r="G230" s="123">
        <f>IF(OR(A230="",C230="",B230="",E230=""),"",IFERROR(A230&amp;"|"&amp;(27+4*(IFERROR(MATCH(C230,Roster!$B$6:$B$65,0),MATCH(C230,Roster!$C$6:$C$65,0))-1)+MATCH(B230,{"AM","PM","NIGHT","WD"},0)-1),""))</f>
        <v/>
      </c>
    </row>
    <row r="231">
      <c r="A231" s="122" t="n"/>
      <c r="B231" s="107" t="n"/>
      <c r="C231" s="105" t="n"/>
      <c r="D231" s="92">
        <f>IF(C231="","",IFERROR(INDEX(Roster!$C$6:$C$65,IFERROR(MATCH(C231,Roster!$B$6:$B$65,0),MATCH(C231,Roster!$C$6:$C$65,0))),"not on the Roster"))</f>
        <v/>
      </c>
      <c r="E231" s="106" t="n"/>
      <c r="F231" s="104">
        <f>IF(OR(A231="",C231="",B231=""),"",IFERROR(INDEX(CHOOSE(IF(YEAR(A231)&gt;PlanYear,13,MONTH(A231)),'Jan'!$D$27:$AH$266,'Feb'!$D$27:$AH$266,'Mar'!$D$27:$AH$266,'Apr'!$D$27:$AH$266,'May'!$D$27:$AH$266,'Jun'!$D$27:$AH$266,'Jul'!$D$27:$AH$266,'Aug'!$D$27:$AH$266,'Sep'!$D$27:$AH$266,'Oct'!$D$27:$AH$266,'Nov'!$D$27:$AH$266,'Dec'!$D$27:$AH$266,'Jan (next year)'!$D$27:$AH$266),27+4*(IFERROR(MATCH(C231,Roster!$B$6:$B$65,0),MATCH(C231,Roster!$C$6:$C$65,0))-1)+MATCH(B231,{"AM","PM","NIGHT","WD"},0)-1-27+1,DAY(A231))&amp;"",""))</f>
        <v/>
      </c>
      <c r="G231" s="123">
        <f>IF(OR(A231="",C231="",B231="",E231=""),"",IFERROR(A231&amp;"|"&amp;(27+4*(IFERROR(MATCH(C231,Roster!$B$6:$B$65,0),MATCH(C231,Roster!$C$6:$C$65,0))-1)+MATCH(B231,{"AM","PM","NIGHT","WD"},0)-1),""))</f>
        <v/>
      </c>
    </row>
    <row r="232">
      <c r="A232" s="122" t="n"/>
      <c r="B232" s="107" t="n"/>
      <c r="C232" s="105" t="n"/>
      <c r="D232" s="92">
        <f>IF(C232="","",IFERROR(INDEX(Roster!$C$6:$C$65,IFERROR(MATCH(C232,Roster!$B$6:$B$65,0),MATCH(C232,Roster!$C$6:$C$65,0))),"not on the Roster"))</f>
        <v/>
      </c>
      <c r="E232" s="106" t="n"/>
      <c r="F232" s="104">
        <f>IF(OR(A232="",C232="",B232=""),"",IFERROR(INDEX(CHOOSE(IF(YEAR(A232)&gt;PlanYear,13,MONTH(A232)),'Jan'!$D$27:$AH$266,'Feb'!$D$27:$AH$266,'Mar'!$D$27:$AH$266,'Apr'!$D$27:$AH$266,'May'!$D$27:$AH$266,'Jun'!$D$27:$AH$266,'Jul'!$D$27:$AH$266,'Aug'!$D$27:$AH$266,'Sep'!$D$27:$AH$266,'Oct'!$D$27:$AH$266,'Nov'!$D$27:$AH$266,'Dec'!$D$27:$AH$266,'Jan (next year)'!$D$27:$AH$266),27+4*(IFERROR(MATCH(C232,Roster!$B$6:$B$65,0),MATCH(C232,Roster!$C$6:$C$65,0))-1)+MATCH(B232,{"AM","PM","NIGHT","WD"},0)-1-27+1,DAY(A232))&amp;"",""))</f>
        <v/>
      </c>
      <c r="G232" s="123">
        <f>IF(OR(A232="",C232="",B232="",E232=""),"",IFERROR(A232&amp;"|"&amp;(27+4*(IFERROR(MATCH(C232,Roster!$B$6:$B$65,0),MATCH(C232,Roster!$C$6:$C$65,0))-1)+MATCH(B232,{"AM","PM","NIGHT","WD"},0)-1),""))</f>
        <v/>
      </c>
    </row>
    <row r="233">
      <c r="A233" s="122" t="n"/>
      <c r="B233" s="107" t="n"/>
      <c r="C233" s="105" t="n"/>
      <c r="D233" s="92">
        <f>IF(C233="","",IFERROR(INDEX(Roster!$C$6:$C$65,IFERROR(MATCH(C233,Roster!$B$6:$B$65,0),MATCH(C233,Roster!$C$6:$C$65,0))),"not on the Roster"))</f>
        <v/>
      </c>
      <c r="E233" s="106" t="n"/>
      <c r="F233" s="104">
        <f>IF(OR(A233="",C233="",B233=""),"",IFERROR(INDEX(CHOOSE(IF(YEAR(A233)&gt;PlanYear,13,MONTH(A233)),'Jan'!$D$27:$AH$266,'Feb'!$D$27:$AH$266,'Mar'!$D$27:$AH$266,'Apr'!$D$27:$AH$266,'May'!$D$27:$AH$266,'Jun'!$D$27:$AH$266,'Jul'!$D$27:$AH$266,'Aug'!$D$27:$AH$266,'Sep'!$D$27:$AH$266,'Oct'!$D$27:$AH$266,'Nov'!$D$27:$AH$266,'Dec'!$D$27:$AH$266,'Jan (next year)'!$D$27:$AH$266),27+4*(IFERROR(MATCH(C233,Roster!$B$6:$B$65,0),MATCH(C233,Roster!$C$6:$C$65,0))-1)+MATCH(B233,{"AM","PM","NIGHT","WD"},0)-1-27+1,DAY(A233))&amp;"",""))</f>
        <v/>
      </c>
      <c r="G233" s="123">
        <f>IF(OR(A233="",C233="",B233="",E233=""),"",IFERROR(A233&amp;"|"&amp;(27+4*(IFERROR(MATCH(C233,Roster!$B$6:$B$65,0),MATCH(C233,Roster!$C$6:$C$65,0))-1)+MATCH(B233,{"AM","PM","NIGHT","WD"},0)-1),""))</f>
        <v/>
      </c>
    </row>
    <row r="234">
      <c r="A234" s="122" t="n"/>
      <c r="B234" s="107" t="n"/>
      <c r="C234" s="105" t="n"/>
      <c r="D234" s="92">
        <f>IF(C234="","",IFERROR(INDEX(Roster!$C$6:$C$65,IFERROR(MATCH(C234,Roster!$B$6:$B$65,0),MATCH(C234,Roster!$C$6:$C$65,0))),"not on the Roster"))</f>
        <v/>
      </c>
      <c r="E234" s="106" t="n"/>
      <c r="F234" s="104">
        <f>IF(OR(A234="",C234="",B234=""),"",IFERROR(INDEX(CHOOSE(IF(YEAR(A234)&gt;PlanYear,13,MONTH(A234)),'Jan'!$D$27:$AH$266,'Feb'!$D$27:$AH$266,'Mar'!$D$27:$AH$266,'Apr'!$D$27:$AH$266,'May'!$D$27:$AH$266,'Jun'!$D$27:$AH$266,'Jul'!$D$27:$AH$266,'Aug'!$D$27:$AH$266,'Sep'!$D$27:$AH$266,'Oct'!$D$27:$AH$266,'Nov'!$D$27:$AH$266,'Dec'!$D$27:$AH$266,'Jan (next year)'!$D$27:$AH$266),27+4*(IFERROR(MATCH(C234,Roster!$B$6:$B$65,0),MATCH(C234,Roster!$C$6:$C$65,0))-1)+MATCH(B234,{"AM","PM","NIGHT","WD"},0)-1-27+1,DAY(A234))&amp;"",""))</f>
        <v/>
      </c>
      <c r="G234" s="123">
        <f>IF(OR(A234="",C234="",B234="",E234=""),"",IFERROR(A234&amp;"|"&amp;(27+4*(IFERROR(MATCH(C234,Roster!$B$6:$B$65,0),MATCH(C234,Roster!$C$6:$C$65,0))-1)+MATCH(B234,{"AM","PM","NIGHT","WD"},0)-1),""))</f>
        <v/>
      </c>
    </row>
    <row r="235">
      <c r="A235" s="122" t="n"/>
      <c r="B235" s="107" t="n"/>
      <c r="C235" s="105" t="n"/>
      <c r="D235" s="92">
        <f>IF(C235="","",IFERROR(INDEX(Roster!$C$6:$C$65,IFERROR(MATCH(C235,Roster!$B$6:$B$65,0),MATCH(C235,Roster!$C$6:$C$65,0))),"not on the Roster"))</f>
        <v/>
      </c>
      <c r="E235" s="106" t="n"/>
      <c r="F235" s="104">
        <f>IF(OR(A235="",C235="",B235=""),"",IFERROR(INDEX(CHOOSE(IF(YEAR(A235)&gt;PlanYear,13,MONTH(A235)),'Jan'!$D$27:$AH$266,'Feb'!$D$27:$AH$266,'Mar'!$D$27:$AH$266,'Apr'!$D$27:$AH$266,'May'!$D$27:$AH$266,'Jun'!$D$27:$AH$266,'Jul'!$D$27:$AH$266,'Aug'!$D$27:$AH$266,'Sep'!$D$27:$AH$266,'Oct'!$D$27:$AH$266,'Nov'!$D$27:$AH$266,'Dec'!$D$27:$AH$266,'Jan (next year)'!$D$27:$AH$266),27+4*(IFERROR(MATCH(C235,Roster!$B$6:$B$65,0),MATCH(C235,Roster!$C$6:$C$65,0))-1)+MATCH(B235,{"AM","PM","NIGHT","WD"},0)-1-27+1,DAY(A235))&amp;"",""))</f>
        <v/>
      </c>
      <c r="G235" s="123">
        <f>IF(OR(A235="",C235="",B235="",E235=""),"",IFERROR(A235&amp;"|"&amp;(27+4*(IFERROR(MATCH(C235,Roster!$B$6:$B$65,0),MATCH(C235,Roster!$C$6:$C$65,0))-1)+MATCH(B235,{"AM","PM","NIGHT","WD"},0)-1),""))</f>
        <v/>
      </c>
    </row>
    <row r="236">
      <c r="A236" s="122" t="n"/>
      <c r="B236" s="107" t="n"/>
      <c r="C236" s="105" t="n"/>
      <c r="D236" s="92">
        <f>IF(C236="","",IFERROR(INDEX(Roster!$C$6:$C$65,IFERROR(MATCH(C236,Roster!$B$6:$B$65,0),MATCH(C236,Roster!$C$6:$C$65,0))),"not on the Roster"))</f>
        <v/>
      </c>
      <c r="E236" s="106" t="n"/>
      <c r="F236" s="104">
        <f>IF(OR(A236="",C236="",B236=""),"",IFERROR(INDEX(CHOOSE(IF(YEAR(A236)&gt;PlanYear,13,MONTH(A236)),'Jan'!$D$27:$AH$266,'Feb'!$D$27:$AH$266,'Mar'!$D$27:$AH$266,'Apr'!$D$27:$AH$266,'May'!$D$27:$AH$266,'Jun'!$D$27:$AH$266,'Jul'!$D$27:$AH$266,'Aug'!$D$27:$AH$266,'Sep'!$D$27:$AH$266,'Oct'!$D$27:$AH$266,'Nov'!$D$27:$AH$266,'Dec'!$D$27:$AH$266,'Jan (next year)'!$D$27:$AH$266),27+4*(IFERROR(MATCH(C236,Roster!$B$6:$B$65,0),MATCH(C236,Roster!$C$6:$C$65,0))-1)+MATCH(B236,{"AM","PM","NIGHT","WD"},0)-1-27+1,DAY(A236))&amp;"",""))</f>
        <v/>
      </c>
      <c r="G236" s="123">
        <f>IF(OR(A236="",C236="",B236="",E236=""),"",IFERROR(A236&amp;"|"&amp;(27+4*(IFERROR(MATCH(C236,Roster!$B$6:$B$65,0),MATCH(C236,Roster!$C$6:$C$65,0))-1)+MATCH(B236,{"AM","PM","NIGHT","WD"},0)-1),""))</f>
        <v/>
      </c>
    </row>
    <row r="237">
      <c r="A237" s="122" t="n"/>
      <c r="B237" s="107" t="n"/>
      <c r="C237" s="105" t="n"/>
      <c r="D237" s="92">
        <f>IF(C237="","",IFERROR(INDEX(Roster!$C$6:$C$65,IFERROR(MATCH(C237,Roster!$B$6:$B$65,0),MATCH(C237,Roster!$C$6:$C$65,0))),"not on the Roster"))</f>
        <v/>
      </c>
      <c r="E237" s="106" t="n"/>
      <c r="F237" s="104">
        <f>IF(OR(A237="",C237="",B237=""),"",IFERROR(INDEX(CHOOSE(IF(YEAR(A237)&gt;PlanYear,13,MONTH(A237)),'Jan'!$D$27:$AH$266,'Feb'!$D$27:$AH$266,'Mar'!$D$27:$AH$266,'Apr'!$D$27:$AH$266,'May'!$D$27:$AH$266,'Jun'!$D$27:$AH$266,'Jul'!$D$27:$AH$266,'Aug'!$D$27:$AH$266,'Sep'!$D$27:$AH$266,'Oct'!$D$27:$AH$266,'Nov'!$D$27:$AH$266,'Dec'!$D$27:$AH$266,'Jan (next year)'!$D$27:$AH$266),27+4*(IFERROR(MATCH(C237,Roster!$B$6:$B$65,0),MATCH(C237,Roster!$C$6:$C$65,0))-1)+MATCH(B237,{"AM","PM","NIGHT","WD"},0)-1-27+1,DAY(A237))&amp;"",""))</f>
        <v/>
      </c>
      <c r="G237" s="123">
        <f>IF(OR(A237="",C237="",B237="",E237=""),"",IFERROR(A237&amp;"|"&amp;(27+4*(IFERROR(MATCH(C237,Roster!$B$6:$B$65,0),MATCH(C237,Roster!$C$6:$C$65,0))-1)+MATCH(B237,{"AM","PM","NIGHT","WD"},0)-1),""))</f>
        <v/>
      </c>
    </row>
    <row r="238">
      <c r="A238" s="122" t="n"/>
      <c r="B238" s="107" t="n"/>
      <c r="C238" s="105" t="n"/>
      <c r="D238" s="92">
        <f>IF(C238="","",IFERROR(INDEX(Roster!$C$6:$C$65,IFERROR(MATCH(C238,Roster!$B$6:$B$65,0),MATCH(C238,Roster!$C$6:$C$65,0))),"not on the Roster"))</f>
        <v/>
      </c>
      <c r="E238" s="106" t="n"/>
      <c r="F238" s="104">
        <f>IF(OR(A238="",C238="",B238=""),"",IFERROR(INDEX(CHOOSE(IF(YEAR(A238)&gt;PlanYear,13,MONTH(A238)),'Jan'!$D$27:$AH$266,'Feb'!$D$27:$AH$266,'Mar'!$D$27:$AH$266,'Apr'!$D$27:$AH$266,'May'!$D$27:$AH$266,'Jun'!$D$27:$AH$266,'Jul'!$D$27:$AH$266,'Aug'!$D$27:$AH$266,'Sep'!$D$27:$AH$266,'Oct'!$D$27:$AH$266,'Nov'!$D$27:$AH$266,'Dec'!$D$27:$AH$266,'Jan (next year)'!$D$27:$AH$266),27+4*(IFERROR(MATCH(C238,Roster!$B$6:$B$65,0),MATCH(C238,Roster!$C$6:$C$65,0))-1)+MATCH(B238,{"AM","PM","NIGHT","WD"},0)-1-27+1,DAY(A238))&amp;"",""))</f>
        <v/>
      </c>
      <c r="G238" s="123">
        <f>IF(OR(A238="",C238="",B238="",E238=""),"",IFERROR(A238&amp;"|"&amp;(27+4*(IFERROR(MATCH(C238,Roster!$B$6:$B$65,0),MATCH(C238,Roster!$C$6:$C$65,0))-1)+MATCH(B238,{"AM","PM","NIGHT","WD"},0)-1),""))</f>
        <v/>
      </c>
    </row>
    <row r="239">
      <c r="A239" s="122" t="n"/>
      <c r="B239" s="107" t="n"/>
      <c r="C239" s="105" t="n"/>
      <c r="D239" s="92">
        <f>IF(C239="","",IFERROR(INDEX(Roster!$C$6:$C$65,IFERROR(MATCH(C239,Roster!$B$6:$B$65,0),MATCH(C239,Roster!$C$6:$C$65,0))),"not on the Roster"))</f>
        <v/>
      </c>
      <c r="E239" s="106" t="n"/>
      <c r="F239" s="104">
        <f>IF(OR(A239="",C239="",B239=""),"",IFERROR(INDEX(CHOOSE(IF(YEAR(A239)&gt;PlanYear,13,MONTH(A239)),'Jan'!$D$27:$AH$266,'Feb'!$D$27:$AH$266,'Mar'!$D$27:$AH$266,'Apr'!$D$27:$AH$266,'May'!$D$27:$AH$266,'Jun'!$D$27:$AH$266,'Jul'!$D$27:$AH$266,'Aug'!$D$27:$AH$266,'Sep'!$D$27:$AH$266,'Oct'!$D$27:$AH$266,'Nov'!$D$27:$AH$266,'Dec'!$D$27:$AH$266,'Jan (next year)'!$D$27:$AH$266),27+4*(IFERROR(MATCH(C239,Roster!$B$6:$B$65,0),MATCH(C239,Roster!$C$6:$C$65,0))-1)+MATCH(B239,{"AM","PM","NIGHT","WD"},0)-1-27+1,DAY(A239))&amp;"",""))</f>
        <v/>
      </c>
      <c r="G239" s="123">
        <f>IF(OR(A239="",C239="",B239="",E239=""),"",IFERROR(A239&amp;"|"&amp;(27+4*(IFERROR(MATCH(C239,Roster!$B$6:$B$65,0),MATCH(C239,Roster!$C$6:$C$65,0))-1)+MATCH(B239,{"AM","PM","NIGHT","WD"},0)-1),""))</f>
        <v/>
      </c>
    </row>
    <row r="240">
      <c r="A240" s="122" t="n"/>
      <c r="B240" s="107" t="n"/>
      <c r="C240" s="105" t="n"/>
      <c r="D240" s="92">
        <f>IF(C240="","",IFERROR(INDEX(Roster!$C$6:$C$65,IFERROR(MATCH(C240,Roster!$B$6:$B$65,0),MATCH(C240,Roster!$C$6:$C$65,0))),"not on the Roster"))</f>
        <v/>
      </c>
      <c r="E240" s="106" t="n"/>
      <c r="F240" s="104">
        <f>IF(OR(A240="",C240="",B240=""),"",IFERROR(INDEX(CHOOSE(IF(YEAR(A240)&gt;PlanYear,13,MONTH(A240)),'Jan'!$D$27:$AH$266,'Feb'!$D$27:$AH$266,'Mar'!$D$27:$AH$266,'Apr'!$D$27:$AH$266,'May'!$D$27:$AH$266,'Jun'!$D$27:$AH$266,'Jul'!$D$27:$AH$266,'Aug'!$D$27:$AH$266,'Sep'!$D$27:$AH$266,'Oct'!$D$27:$AH$266,'Nov'!$D$27:$AH$266,'Dec'!$D$27:$AH$266,'Jan (next year)'!$D$27:$AH$266),27+4*(IFERROR(MATCH(C240,Roster!$B$6:$B$65,0),MATCH(C240,Roster!$C$6:$C$65,0))-1)+MATCH(B240,{"AM","PM","NIGHT","WD"},0)-1-27+1,DAY(A240))&amp;"",""))</f>
        <v/>
      </c>
      <c r="G240" s="123">
        <f>IF(OR(A240="",C240="",B240="",E240=""),"",IFERROR(A240&amp;"|"&amp;(27+4*(IFERROR(MATCH(C240,Roster!$B$6:$B$65,0),MATCH(C240,Roster!$C$6:$C$65,0))-1)+MATCH(B240,{"AM","PM","NIGHT","WD"},0)-1),""))</f>
        <v/>
      </c>
    </row>
    <row r="241">
      <c r="A241" s="122" t="n"/>
      <c r="B241" s="107" t="n"/>
      <c r="C241" s="105" t="n"/>
      <c r="D241" s="92">
        <f>IF(C241="","",IFERROR(INDEX(Roster!$C$6:$C$65,IFERROR(MATCH(C241,Roster!$B$6:$B$65,0),MATCH(C241,Roster!$C$6:$C$65,0))),"not on the Roster"))</f>
        <v/>
      </c>
      <c r="E241" s="106" t="n"/>
      <c r="F241" s="104">
        <f>IF(OR(A241="",C241="",B241=""),"",IFERROR(INDEX(CHOOSE(IF(YEAR(A241)&gt;PlanYear,13,MONTH(A241)),'Jan'!$D$27:$AH$266,'Feb'!$D$27:$AH$266,'Mar'!$D$27:$AH$266,'Apr'!$D$27:$AH$266,'May'!$D$27:$AH$266,'Jun'!$D$27:$AH$266,'Jul'!$D$27:$AH$266,'Aug'!$D$27:$AH$266,'Sep'!$D$27:$AH$266,'Oct'!$D$27:$AH$266,'Nov'!$D$27:$AH$266,'Dec'!$D$27:$AH$266,'Jan (next year)'!$D$27:$AH$266),27+4*(IFERROR(MATCH(C241,Roster!$B$6:$B$65,0),MATCH(C241,Roster!$C$6:$C$65,0))-1)+MATCH(B241,{"AM","PM","NIGHT","WD"},0)-1-27+1,DAY(A241))&amp;"",""))</f>
        <v/>
      </c>
      <c r="G241" s="123">
        <f>IF(OR(A241="",C241="",B241="",E241=""),"",IFERROR(A241&amp;"|"&amp;(27+4*(IFERROR(MATCH(C241,Roster!$B$6:$B$65,0),MATCH(C241,Roster!$C$6:$C$65,0))-1)+MATCH(B241,{"AM","PM","NIGHT","WD"},0)-1),""))</f>
        <v/>
      </c>
    </row>
    <row r="242">
      <c r="A242" s="122" t="n"/>
      <c r="B242" s="107" t="n"/>
      <c r="C242" s="105" t="n"/>
      <c r="D242" s="92">
        <f>IF(C242="","",IFERROR(INDEX(Roster!$C$6:$C$65,IFERROR(MATCH(C242,Roster!$B$6:$B$65,0),MATCH(C242,Roster!$C$6:$C$65,0))),"not on the Roster"))</f>
        <v/>
      </c>
      <c r="E242" s="106" t="n"/>
      <c r="F242" s="104">
        <f>IF(OR(A242="",C242="",B242=""),"",IFERROR(INDEX(CHOOSE(IF(YEAR(A242)&gt;PlanYear,13,MONTH(A242)),'Jan'!$D$27:$AH$266,'Feb'!$D$27:$AH$266,'Mar'!$D$27:$AH$266,'Apr'!$D$27:$AH$266,'May'!$D$27:$AH$266,'Jun'!$D$27:$AH$266,'Jul'!$D$27:$AH$266,'Aug'!$D$27:$AH$266,'Sep'!$D$27:$AH$266,'Oct'!$D$27:$AH$266,'Nov'!$D$27:$AH$266,'Dec'!$D$27:$AH$266,'Jan (next year)'!$D$27:$AH$266),27+4*(IFERROR(MATCH(C242,Roster!$B$6:$B$65,0),MATCH(C242,Roster!$C$6:$C$65,0))-1)+MATCH(B242,{"AM","PM","NIGHT","WD"},0)-1-27+1,DAY(A242))&amp;"",""))</f>
        <v/>
      </c>
      <c r="G242" s="123">
        <f>IF(OR(A242="",C242="",B242="",E242=""),"",IFERROR(A242&amp;"|"&amp;(27+4*(IFERROR(MATCH(C242,Roster!$B$6:$B$65,0),MATCH(C242,Roster!$C$6:$C$65,0))-1)+MATCH(B242,{"AM","PM","NIGHT","WD"},0)-1),""))</f>
        <v/>
      </c>
    </row>
    <row r="243">
      <c r="A243" s="122" t="n"/>
      <c r="B243" s="107" t="n"/>
      <c r="C243" s="105" t="n"/>
      <c r="D243" s="92">
        <f>IF(C243="","",IFERROR(INDEX(Roster!$C$6:$C$65,IFERROR(MATCH(C243,Roster!$B$6:$B$65,0),MATCH(C243,Roster!$C$6:$C$65,0))),"not on the Roster"))</f>
        <v/>
      </c>
      <c r="E243" s="106" t="n"/>
      <c r="F243" s="104">
        <f>IF(OR(A243="",C243="",B243=""),"",IFERROR(INDEX(CHOOSE(IF(YEAR(A243)&gt;PlanYear,13,MONTH(A243)),'Jan'!$D$27:$AH$266,'Feb'!$D$27:$AH$266,'Mar'!$D$27:$AH$266,'Apr'!$D$27:$AH$266,'May'!$D$27:$AH$266,'Jun'!$D$27:$AH$266,'Jul'!$D$27:$AH$266,'Aug'!$D$27:$AH$266,'Sep'!$D$27:$AH$266,'Oct'!$D$27:$AH$266,'Nov'!$D$27:$AH$266,'Dec'!$D$27:$AH$266,'Jan (next year)'!$D$27:$AH$266),27+4*(IFERROR(MATCH(C243,Roster!$B$6:$B$65,0),MATCH(C243,Roster!$C$6:$C$65,0))-1)+MATCH(B243,{"AM","PM","NIGHT","WD"},0)-1-27+1,DAY(A243))&amp;"",""))</f>
        <v/>
      </c>
      <c r="G243" s="123">
        <f>IF(OR(A243="",C243="",B243="",E243=""),"",IFERROR(A243&amp;"|"&amp;(27+4*(IFERROR(MATCH(C243,Roster!$B$6:$B$65,0),MATCH(C243,Roster!$C$6:$C$65,0))-1)+MATCH(B243,{"AM","PM","NIGHT","WD"},0)-1),""))</f>
        <v/>
      </c>
    </row>
    <row r="244">
      <c r="A244" s="122" t="n"/>
      <c r="B244" s="107" t="n"/>
      <c r="C244" s="105" t="n"/>
      <c r="D244" s="92">
        <f>IF(C244="","",IFERROR(INDEX(Roster!$C$6:$C$65,IFERROR(MATCH(C244,Roster!$B$6:$B$65,0),MATCH(C244,Roster!$C$6:$C$65,0))),"not on the Roster"))</f>
        <v/>
      </c>
      <c r="E244" s="106" t="n"/>
      <c r="F244" s="104">
        <f>IF(OR(A244="",C244="",B244=""),"",IFERROR(INDEX(CHOOSE(IF(YEAR(A244)&gt;PlanYear,13,MONTH(A244)),'Jan'!$D$27:$AH$266,'Feb'!$D$27:$AH$266,'Mar'!$D$27:$AH$266,'Apr'!$D$27:$AH$266,'May'!$D$27:$AH$266,'Jun'!$D$27:$AH$266,'Jul'!$D$27:$AH$266,'Aug'!$D$27:$AH$266,'Sep'!$D$27:$AH$266,'Oct'!$D$27:$AH$266,'Nov'!$D$27:$AH$266,'Dec'!$D$27:$AH$266,'Jan (next year)'!$D$27:$AH$266),27+4*(IFERROR(MATCH(C244,Roster!$B$6:$B$65,0),MATCH(C244,Roster!$C$6:$C$65,0))-1)+MATCH(B244,{"AM","PM","NIGHT","WD"},0)-1-27+1,DAY(A244))&amp;"",""))</f>
        <v/>
      </c>
      <c r="G244" s="123">
        <f>IF(OR(A244="",C244="",B244="",E244=""),"",IFERROR(A244&amp;"|"&amp;(27+4*(IFERROR(MATCH(C244,Roster!$B$6:$B$65,0),MATCH(C244,Roster!$C$6:$C$65,0))-1)+MATCH(B244,{"AM","PM","NIGHT","WD"},0)-1),""))</f>
        <v/>
      </c>
    </row>
    <row r="245">
      <c r="A245" s="122" t="n"/>
      <c r="B245" s="107" t="n"/>
      <c r="C245" s="105" t="n"/>
      <c r="D245" s="92">
        <f>IF(C245="","",IFERROR(INDEX(Roster!$C$6:$C$65,IFERROR(MATCH(C245,Roster!$B$6:$B$65,0),MATCH(C245,Roster!$C$6:$C$65,0))),"not on the Roster"))</f>
        <v/>
      </c>
      <c r="E245" s="106" t="n"/>
      <c r="F245" s="104">
        <f>IF(OR(A245="",C245="",B245=""),"",IFERROR(INDEX(CHOOSE(IF(YEAR(A245)&gt;PlanYear,13,MONTH(A245)),'Jan'!$D$27:$AH$266,'Feb'!$D$27:$AH$266,'Mar'!$D$27:$AH$266,'Apr'!$D$27:$AH$266,'May'!$D$27:$AH$266,'Jun'!$D$27:$AH$266,'Jul'!$D$27:$AH$266,'Aug'!$D$27:$AH$266,'Sep'!$D$27:$AH$266,'Oct'!$D$27:$AH$266,'Nov'!$D$27:$AH$266,'Dec'!$D$27:$AH$266,'Jan (next year)'!$D$27:$AH$266),27+4*(IFERROR(MATCH(C245,Roster!$B$6:$B$65,0),MATCH(C245,Roster!$C$6:$C$65,0))-1)+MATCH(B245,{"AM","PM","NIGHT","WD"},0)-1-27+1,DAY(A245))&amp;"",""))</f>
        <v/>
      </c>
      <c r="G245" s="123">
        <f>IF(OR(A245="",C245="",B245="",E245=""),"",IFERROR(A245&amp;"|"&amp;(27+4*(IFERROR(MATCH(C245,Roster!$B$6:$B$65,0),MATCH(C245,Roster!$C$6:$C$65,0))-1)+MATCH(B245,{"AM","PM","NIGHT","WD"},0)-1),""))</f>
        <v/>
      </c>
    </row>
    <row r="246">
      <c r="A246" s="122" t="n"/>
      <c r="B246" s="107" t="n"/>
      <c r="C246" s="105" t="n"/>
      <c r="D246" s="92">
        <f>IF(C246="","",IFERROR(INDEX(Roster!$C$6:$C$65,IFERROR(MATCH(C246,Roster!$B$6:$B$65,0),MATCH(C246,Roster!$C$6:$C$65,0))),"not on the Roster"))</f>
        <v/>
      </c>
      <c r="E246" s="106" t="n"/>
      <c r="F246" s="104">
        <f>IF(OR(A246="",C246="",B246=""),"",IFERROR(INDEX(CHOOSE(IF(YEAR(A246)&gt;PlanYear,13,MONTH(A246)),'Jan'!$D$27:$AH$266,'Feb'!$D$27:$AH$266,'Mar'!$D$27:$AH$266,'Apr'!$D$27:$AH$266,'May'!$D$27:$AH$266,'Jun'!$D$27:$AH$266,'Jul'!$D$27:$AH$266,'Aug'!$D$27:$AH$266,'Sep'!$D$27:$AH$266,'Oct'!$D$27:$AH$266,'Nov'!$D$27:$AH$266,'Dec'!$D$27:$AH$266,'Jan (next year)'!$D$27:$AH$266),27+4*(IFERROR(MATCH(C246,Roster!$B$6:$B$65,0),MATCH(C246,Roster!$C$6:$C$65,0))-1)+MATCH(B246,{"AM","PM","NIGHT","WD"},0)-1-27+1,DAY(A246))&amp;"",""))</f>
        <v/>
      </c>
      <c r="G246" s="123">
        <f>IF(OR(A246="",C246="",B246="",E246=""),"",IFERROR(A246&amp;"|"&amp;(27+4*(IFERROR(MATCH(C246,Roster!$B$6:$B$65,0),MATCH(C246,Roster!$C$6:$C$65,0))-1)+MATCH(B246,{"AM","PM","NIGHT","WD"},0)-1),""))</f>
        <v/>
      </c>
    </row>
    <row r="247">
      <c r="A247" s="122" t="n"/>
      <c r="B247" s="107" t="n"/>
      <c r="C247" s="105" t="n"/>
      <c r="D247" s="92">
        <f>IF(C247="","",IFERROR(INDEX(Roster!$C$6:$C$65,IFERROR(MATCH(C247,Roster!$B$6:$B$65,0),MATCH(C247,Roster!$C$6:$C$65,0))),"not on the Roster"))</f>
        <v/>
      </c>
      <c r="E247" s="106" t="n"/>
      <c r="F247" s="104">
        <f>IF(OR(A247="",C247="",B247=""),"",IFERROR(INDEX(CHOOSE(IF(YEAR(A247)&gt;PlanYear,13,MONTH(A247)),'Jan'!$D$27:$AH$266,'Feb'!$D$27:$AH$266,'Mar'!$D$27:$AH$266,'Apr'!$D$27:$AH$266,'May'!$D$27:$AH$266,'Jun'!$D$27:$AH$266,'Jul'!$D$27:$AH$266,'Aug'!$D$27:$AH$266,'Sep'!$D$27:$AH$266,'Oct'!$D$27:$AH$266,'Nov'!$D$27:$AH$266,'Dec'!$D$27:$AH$266,'Jan (next year)'!$D$27:$AH$266),27+4*(IFERROR(MATCH(C247,Roster!$B$6:$B$65,0),MATCH(C247,Roster!$C$6:$C$65,0))-1)+MATCH(B247,{"AM","PM","NIGHT","WD"},0)-1-27+1,DAY(A247))&amp;"",""))</f>
        <v/>
      </c>
      <c r="G247" s="123">
        <f>IF(OR(A247="",C247="",B247="",E247=""),"",IFERROR(A247&amp;"|"&amp;(27+4*(IFERROR(MATCH(C247,Roster!$B$6:$B$65,0),MATCH(C247,Roster!$C$6:$C$65,0))-1)+MATCH(B247,{"AM","PM","NIGHT","WD"},0)-1),""))</f>
        <v/>
      </c>
    </row>
    <row r="248">
      <c r="A248" s="122" t="n"/>
      <c r="B248" s="107" t="n"/>
      <c r="C248" s="105" t="n"/>
      <c r="D248" s="92">
        <f>IF(C248="","",IFERROR(INDEX(Roster!$C$6:$C$65,IFERROR(MATCH(C248,Roster!$B$6:$B$65,0),MATCH(C248,Roster!$C$6:$C$65,0))),"not on the Roster"))</f>
        <v/>
      </c>
      <c r="E248" s="106" t="n"/>
      <c r="F248" s="104">
        <f>IF(OR(A248="",C248="",B248=""),"",IFERROR(INDEX(CHOOSE(IF(YEAR(A248)&gt;PlanYear,13,MONTH(A248)),'Jan'!$D$27:$AH$266,'Feb'!$D$27:$AH$266,'Mar'!$D$27:$AH$266,'Apr'!$D$27:$AH$266,'May'!$D$27:$AH$266,'Jun'!$D$27:$AH$266,'Jul'!$D$27:$AH$266,'Aug'!$D$27:$AH$266,'Sep'!$D$27:$AH$266,'Oct'!$D$27:$AH$266,'Nov'!$D$27:$AH$266,'Dec'!$D$27:$AH$266,'Jan (next year)'!$D$27:$AH$266),27+4*(IFERROR(MATCH(C248,Roster!$B$6:$B$65,0),MATCH(C248,Roster!$C$6:$C$65,0))-1)+MATCH(B248,{"AM","PM","NIGHT","WD"},0)-1-27+1,DAY(A248))&amp;"",""))</f>
        <v/>
      </c>
      <c r="G248" s="123">
        <f>IF(OR(A248="",C248="",B248="",E248=""),"",IFERROR(A248&amp;"|"&amp;(27+4*(IFERROR(MATCH(C248,Roster!$B$6:$B$65,0),MATCH(C248,Roster!$C$6:$C$65,0))-1)+MATCH(B248,{"AM","PM","NIGHT","WD"},0)-1),""))</f>
        <v/>
      </c>
    </row>
    <row r="249">
      <c r="A249" s="122" t="n"/>
      <c r="B249" s="107" t="n"/>
      <c r="C249" s="105" t="n"/>
      <c r="D249" s="92">
        <f>IF(C249="","",IFERROR(INDEX(Roster!$C$6:$C$65,IFERROR(MATCH(C249,Roster!$B$6:$B$65,0),MATCH(C249,Roster!$C$6:$C$65,0))),"not on the Roster"))</f>
        <v/>
      </c>
      <c r="E249" s="106" t="n"/>
      <c r="F249" s="104">
        <f>IF(OR(A249="",C249="",B249=""),"",IFERROR(INDEX(CHOOSE(IF(YEAR(A249)&gt;PlanYear,13,MONTH(A249)),'Jan'!$D$27:$AH$266,'Feb'!$D$27:$AH$266,'Mar'!$D$27:$AH$266,'Apr'!$D$27:$AH$266,'May'!$D$27:$AH$266,'Jun'!$D$27:$AH$266,'Jul'!$D$27:$AH$266,'Aug'!$D$27:$AH$266,'Sep'!$D$27:$AH$266,'Oct'!$D$27:$AH$266,'Nov'!$D$27:$AH$266,'Dec'!$D$27:$AH$266,'Jan (next year)'!$D$27:$AH$266),27+4*(IFERROR(MATCH(C249,Roster!$B$6:$B$65,0),MATCH(C249,Roster!$C$6:$C$65,0))-1)+MATCH(B249,{"AM","PM","NIGHT","WD"},0)-1-27+1,DAY(A249))&amp;"",""))</f>
        <v/>
      </c>
      <c r="G249" s="123">
        <f>IF(OR(A249="",C249="",B249="",E249=""),"",IFERROR(A249&amp;"|"&amp;(27+4*(IFERROR(MATCH(C249,Roster!$B$6:$B$65,0),MATCH(C249,Roster!$C$6:$C$65,0))-1)+MATCH(B249,{"AM","PM","NIGHT","WD"},0)-1),""))</f>
        <v/>
      </c>
    </row>
    <row r="250">
      <c r="A250" s="122" t="n"/>
      <c r="B250" s="107" t="n"/>
      <c r="C250" s="105" t="n"/>
      <c r="D250" s="92">
        <f>IF(C250="","",IFERROR(INDEX(Roster!$C$6:$C$65,IFERROR(MATCH(C250,Roster!$B$6:$B$65,0),MATCH(C250,Roster!$C$6:$C$65,0))),"not on the Roster"))</f>
        <v/>
      </c>
      <c r="E250" s="106" t="n"/>
      <c r="F250" s="104">
        <f>IF(OR(A250="",C250="",B250=""),"",IFERROR(INDEX(CHOOSE(IF(YEAR(A250)&gt;PlanYear,13,MONTH(A250)),'Jan'!$D$27:$AH$266,'Feb'!$D$27:$AH$266,'Mar'!$D$27:$AH$266,'Apr'!$D$27:$AH$266,'May'!$D$27:$AH$266,'Jun'!$D$27:$AH$266,'Jul'!$D$27:$AH$266,'Aug'!$D$27:$AH$266,'Sep'!$D$27:$AH$266,'Oct'!$D$27:$AH$266,'Nov'!$D$27:$AH$266,'Dec'!$D$27:$AH$266,'Jan (next year)'!$D$27:$AH$266),27+4*(IFERROR(MATCH(C250,Roster!$B$6:$B$65,0),MATCH(C250,Roster!$C$6:$C$65,0))-1)+MATCH(B250,{"AM","PM","NIGHT","WD"},0)-1-27+1,DAY(A250))&amp;"",""))</f>
        <v/>
      </c>
      <c r="G250" s="123">
        <f>IF(OR(A250="",C250="",B250="",E250=""),"",IFERROR(A250&amp;"|"&amp;(27+4*(IFERROR(MATCH(C250,Roster!$B$6:$B$65,0),MATCH(C250,Roster!$C$6:$C$65,0))-1)+MATCH(B250,{"AM","PM","NIGHT","WD"},0)-1),""))</f>
        <v/>
      </c>
    </row>
    <row r="251">
      <c r="A251" s="122" t="n"/>
      <c r="B251" s="107" t="n"/>
      <c r="C251" s="105" t="n"/>
      <c r="D251" s="92">
        <f>IF(C251="","",IFERROR(INDEX(Roster!$C$6:$C$65,IFERROR(MATCH(C251,Roster!$B$6:$B$65,0),MATCH(C251,Roster!$C$6:$C$65,0))),"not on the Roster"))</f>
        <v/>
      </c>
      <c r="E251" s="106" t="n"/>
      <c r="F251" s="104">
        <f>IF(OR(A251="",C251="",B251=""),"",IFERROR(INDEX(CHOOSE(IF(YEAR(A251)&gt;PlanYear,13,MONTH(A251)),'Jan'!$D$27:$AH$266,'Feb'!$D$27:$AH$266,'Mar'!$D$27:$AH$266,'Apr'!$D$27:$AH$266,'May'!$D$27:$AH$266,'Jun'!$D$27:$AH$266,'Jul'!$D$27:$AH$266,'Aug'!$D$27:$AH$266,'Sep'!$D$27:$AH$266,'Oct'!$D$27:$AH$266,'Nov'!$D$27:$AH$266,'Dec'!$D$27:$AH$266,'Jan (next year)'!$D$27:$AH$266),27+4*(IFERROR(MATCH(C251,Roster!$B$6:$B$65,0),MATCH(C251,Roster!$C$6:$C$65,0))-1)+MATCH(B251,{"AM","PM","NIGHT","WD"},0)-1-27+1,DAY(A251))&amp;"",""))</f>
        <v/>
      </c>
      <c r="G251" s="123">
        <f>IF(OR(A251="",C251="",B251="",E251=""),"",IFERROR(A251&amp;"|"&amp;(27+4*(IFERROR(MATCH(C251,Roster!$B$6:$B$65,0),MATCH(C251,Roster!$C$6:$C$65,0))-1)+MATCH(B251,{"AM","PM","NIGHT","WD"},0)-1),""))</f>
        <v/>
      </c>
    </row>
    <row r="252">
      <c r="A252" s="122" t="n"/>
      <c r="B252" s="107" t="n"/>
      <c r="C252" s="105" t="n"/>
      <c r="D252" s="92">
        <f>IF(C252="","",IFERROR(INDEX(Roster!$C$6:$C$65,IFERROR(MATCH(C252,Roster!$B$6:$B$65,0),MATCH(C252,Roster!$C$6:$C$65,0))),"not on the Roster"))</f>
        <v/>
      </c>
      <c r="E252" s="106" t="n"/>
      <c r="F252" s="104">
        <f>IF(OR(A252="",C252="",B252=""),"",IFERROR(INDEX(CHOOSE(IF(YEAR(A252)&gt;PlanYear,13,MONTH(A252)),'Jan'!$D$27:$AH$266,'Feb'!$D$27:$AH$266,'Mar'!$D$27:$AH$266,'Apr'!$D$27:$AH$266,'May'!$D$27:$AH$266,'Jun'!$D$27:$AH$266,'Jul'!$D$27:$AH$266,'Aug'!$D$27:$AH$266,'Sep'!$D$27:$AH$266,'Oct'!$D$27:$AH$266,'Nov'!$D$27:$AH$266,'Dec'!$D$27:$AH$266,'Jan (next year)'!$D$27:$AH$266),27+4*(IFERROR(MATCH(C252,Roster!$B$6:$B$65,0),MATCH(C252,Roster!$C$6:$C$65,0))-1)+MATCH(B252,{"AM","PM","NIGHT","WD"},0)-1-27+1,DAY(A252))&amp;"",""))</f>
        <v/>
      </c>
      <c r="G252" s="123">
        <f>IF(OR(A252="",C252="",B252="",E252=""),"",IFERROR(A252&amp;"|"&amp;(27+4*(IFERROR(MATCH(C252,Roster!$B$6:$B$65,0),MATCH(C252,Roster!$C$6:$C$65,0))-1)+MATCH(B252,{"AM","PM","NIGHT","WD"},0)-1),""))</f>
        <v/>
      </c>
    </row>
    <row r="253">
      <c r="A253" s="122" t="n"/>
      <c r="B253" s="107" t="n"/>
      <c r="C253" s="105" t="n"/>
      <c r="D253" s="92">
        <f>IF(C253="","",IFERROR(INDEX(Roster!$C$6:$C$65,IFERROR(MATCH(C253,Roster!$B$6:$B$65,0),MATCH(C253,Roster!$C$6:$C$65,0))),"not on the Roster"))</f>
        <v/>
      </c>
      <c r="E253" s="106" t="n"/>
      <c r="F253" s="104">
        <f>IF(OR(A253="",C253="",B253=""),"",IFERROR(INDEX(CHOOSE(IF(YEAR(A253)&gt;PlanYear,13,MONTH(A253)),'Jan'!$D$27:$AH$266,'Feb'!$D$27:$AH$266,'Mar'!$D$27:$AH$266,'Apr'!$D$27:$AH$266,'May'!$D$27:$AH$266,'Jun'!$D$27:$AH$266,'Jul'!$D$27:$AH$266,'Aug'!$D$27:$AH$266,'Sep'!$D$27:$AH$266,'Oct'!$D$27:$AH$266,'Nov'!$D$27:$AH$266,'Dec'!$D$27:$AH$266,'Jan (next year)'!$D$27:$AH$266),27+4*(IFERROR(MATCH(C253,Roster!$B$6:$B$65,0),MATCH(C253,Roster!$C$6:$C$65,0))-1)+MATCH(B253,{"AM","PM","NIGHT","WD"},0)-1-27+1,DAY(A253))&amp;"",""))</f>
        <v/>
      </c>
      <c r="G253" s="123">
        <f>IF(OR(A253="",C253="",B253="",E253=""),"",IFERROR(A253&amp;"|"&amp;(27+4*(IFERROR(MATCH(C253,Roster!$B$6:$B$65,0),MATCH(C253,Roster!$C$6:$C$65,0))-1)+MATCH(B253,{"AM","PM","NIGHT","WD"},0)-1),""))</f>
        <v/>
      </c>
    </row>
    <row r="254">
      <c r="A254" s="122" t="n"/>
      <c r="B254" s="107" t="n"/>
      <c r="C254" s="105" t="n"/>
      <c r="D254" s="92">
        <f>IF(C254="","",IFERROR(INDEX(Roster!$C$6:$C$65,IFERROR(MATCH(C254,Roster!$B$6:$B$65,0),MATCH(C254,Roster!$C$6:$C$65,0))),"not on the Roster"))</f>
        <v/>
      </c>
      <c r="E254" s="106" t="n"/>
      <c r="F254" s="104">
        <f>IF(OR(A254="",C254="",B254=""),"",IFERROR(INDEX(CHOOSE(IF(YEAR(A254)&gt;PlanYear,13,MONTH(A254)),'Jan'!$D$27:$AH$266,'Feb'!$D$27:$AH$266,'Mar'!$D$27:$AH$266,'Apr'!$D$27:$AH$266,'May'!$D$27:$AH$266,'Jun'!$D$27:$AH$266,'Jul'!$D$27:$AH$266,'Aug'!$D$27:$AH$266,'Sep'!$D$27:$AH$266,'Oct'!$D$27:$AH$266,'Nov'!$D$27:$AH$266,'Dec'!$D$27:$AH$266,'Jan (next year)'!$D$27:$AH$266),27+4*(IFERROR(MATCH(C254,Roster!$B$6:$B$65,0),MATCH(C254,Roster!$C$6:$C$65,0))-1)+MATCH(B254,{"AM","PM","NIGHT","WD"},0)-1-27+1,DAY(A254))&amp;"",""))</f>
        <v/>
      </c>
      <c r="G254" s="123">
        <f>IF(OR(A254="",C254="",B254="",E254=""),"",IFERROR(A254&amp;"|"&amp;(27+4*(IFERROR(MATCH(C254,Roster!$B$6:$B$65,0),MATCH(C254,Roster!$C$6:$C$65,0))-1)+MATCH(B254,{"AM","PM","NIGHT","WD"},0)-1),""))</f>
        <v/>
      </c>
    </row>
    <row r="255">
      <c r="A255" s="122" t="n"/>
      <c r="B255" s="107" t="n"/>
      <c r="C255" s="105" t="n"/>
      <c r="D255" s="92">
        <f>IF(C255="","",IFERROR(INDEX(Roster!$C$6:$C$65,IFERROR(MATCH(C255,Roster!$B$6:$B$65,0),MATCH(C255,Roster!$C$6:$C$65,0))),"not on the Roster"))</f>
        <v/>
      </c>
      <c r="E255" s="106" t="n"/>
      <c r="F255" s="104">
        <f>IF(OR(A255="",C255="",B255=""),"",IFERROR(INDEX(CHOOSE(IF(YEAR(A255)&gt;PlanYear,13,MONTH(A255)),'Jan'!$D$27:$AH$266,'Feb'!$D$27:$AH$266,'Mar'!$D$27:$AH$266,'Apr'!$D$27:$AH$266,'May'!$D$27:$AH$266,'Jun'!$D$27:$AH$266,'Jul'!$D$27:$AH$266,'Aug'!$D$27:$AH$266,'Sep'!$D$27:$AH$266,'Oct'!$D$27:$AH$266,'Nov'!$D$27:$AH$266,'Dec'!$D$27:$AH$266,'Jan (next year)'!$D$27:$AH$266),27+4*(IFERROR(MATCH(C255,Roster!$B$6:$B$65,0),MATCH(C255,Roster!$C$6:$C$65,0))-1)+MATCH(B255,{"AM","PM","NIGHT","WD"},0)-1-27+1,DAY(A255))&amp;"",""))</f>
        <v/>
      </c>
      <c r="G255" s="123">
        <f>IF(OR(A255="",C255="",B255="",E255=""),"",IFERROR(A255&amp;"|"&amp;(27+4*(IFERROR(MATCH(C255,Roster!$B$6:$B$65,0),MATCH(C255,Roster!$C$6:$C$65,0))-1)+MATCH(B255,{"AM","PM","NIGHT","WD"},0)-1),""))</f>
        <v/>
      </c>
    </row>
    <row r="256">
      <c r="A256" s="122" t="n"/>
      <c r="B256" s="107" t="n"/>
      <c r="C256" s="105" t="n"/>
      <c r="D256" s="92">
        <f>IF(C256="","",IFERROR(INDEX(Roster!$C$6:$C$65,IFERROR(MATCH(C256,Roster!$B$6:$B$65,0),MATCH(C256,Roster!$C$6:$C$65,0))),"not on the Roster"))</f>
        <v/>
      </c>
      <c r="E256" s="106" t="n"/>
      <c r="F256" s="104">
        <f>IF(OR(A256="",C256="",B256=""),"",IFERROR(INDEX(CHOOSE(IF(YEAR(A256)&gt;PlanYear,13,MONTH(A256)),'Jan'!$D$27:$AH$266,'Feb'!$D$27:$AH$266,'Mar'!$D$27:$AH$266,'Apr'!$D$27:$AH$266,'May'!$D$27:$AH$266,'Jun'!$D$27:$AH$266,'Jul'!$D$27:$AH$266,'Aug'!$D$27:$AH$266,'Sep'!$D$27:$AH$266,'Oct'!$D$27:$AH$266,'Nov'!$D$27:$AH$266,'Dec'!$D$27:$AH$266,'Jan (next year)'!$D$27:$AH$266),27+4*(IFERROR(MATCH(C256,Roster!$B$6:$B$65,0),MATCH(C256,Roster!$C$6:$C$65,0))-1)+MATCH(B256,{"AM","PM","NIGHT","WD"},0)-1-27+1,DAY(A256))&amp;"",""))</f>
        <v/>
      </c>
      <c r="G256" s="123">
        <f>IF(OR(A256="",C256="",B256="",E256=""),"",IFERROR(A256&amp;"|"&amp;(27+4*(IFERROR(MATCH(C256,Roster!$B$6:$B$65,0),MATCH(C256,Roster!$C$6:$C$65,0))-1)+MATCH(B256,{"AM","PM","NIGHT","WD"},0)-1),""))</f>
        <v/>
      </c>
    </row>
    <row r="257">
      <c r="A257" s="122" t="n"/>
      <c r="B257" s="107" t="n"/>
      <c r="C257" s="105" t="n"/>
      <c r="D257" s="92">
        <f>IF(C257="","",IFERROR(INDEX(Roster!$C$6:$C$65,IFERROR(MATCH(C257,Roster!$B$6:$B$65,0),MATCH(C257,Roster!$C$6:$C$65,0))),"not on the Roster"))</f>
        <v/>
      </c>
      <c r="E257" s="106" t="n"/>
      <c r="F257" s="104">
        <f>IF(OR(A257="",C257="",B257=""),"",IFERROR(INDEX(CHOOSE(IF(YEAR(A257)&gt;PlanYear,13,MONTH(A257)),'Jan'!$D$27:$AH$266,'Feb'!$D$27:$AH$266,'Mar'!$D$27:$AH$266,'Apr'!$D$27:$AH$266,'May'!$D$27:$AH$266,'Jun'!$D$27:$AH$266,'Jul'!$D$27:$AH$266,'Aug'!$D$27:$AH$266,'Sep'!$D$27:$AH$266,'Oct'!$D$27:$AH$266,'Nov'!$D$27:$AH$266,'Dec'!$D$27:$AH$266,'Jan (next year)'!$D$27:$AH$266),27+4*(IFERROR(MATCH(C257,Roster!$B$6:$B$65,0),MATCH(C257,Roster!$C$6:$C$65,0))-1)+MATCH(B257,{"AM","PM","NIGHT","WD"},0)-1-27+1,DAY(A257))&amp;"",""))</f>
        <v/>
      </c>
      <c r="G257" s="123">
        <f>IF(OR(A257="",C257="",B257="",E257=""),"",IFERROR(A257&amp;"|"&amp;(27+4*(IFERROR(MATCH(C257,Roster!$B$6:$B$65,0),MATCH(C257,Roster!$C$6:$C$65,0))-1)+MATCH(B257,{"AM","PM","NIGHT","WD"},0)-1),""))</f>
        <v/>
      </c>
    </row>
    <row r="258">
      <c r="A258" s="122" t="n"/>
      <c r="B258" s="107" t="n"/>
      <c r="C258" s="105" t="n"/>
      <c r="D258" s="92">
        <f>IF(C258="","",IFERROR(INDEX(Roster!$C$6:$C$65,IFERROR(MATCH(C258,Roster!$B$6:$B$65,0),MATCH(C258,Roster!$C$6:$C$65,0))),"not on the Roster"))</f>
        <v/>
      </c>
      <c r="E258" s="106" t="n"/>
      <c r="F258" s="104">
        <f>IF(OR(A258="",C258="",B258=""),"",IFERROR(INDEX(CHOOSE(IF(YEAR(A258)&gt;PlanYear,13,MONTH(A258)),'Jan'!$D$27:$AH$266,'Feb'!$D$27:$AH$266,'Mar'!$D$27:$AH$266,'Apr'!$D$27:$AH$266,'May'!$D$27:$AH$266,'Jun'!$D$27:$AH$266,'Jul'!$D$27:$AH$266,'Aug'!$D$27:$AH$266,'Sep'!$D$27:$AH$266,'Oct'!$D$27:$AH$266,'Nov'!$D$27:$AH$266,'Dec'!$D$27:$AH$266,'Jan (next year)'!$D$27:$AH$266),27+4*(IFERROR(MATCH(C258,Roster!$B$6:$B$65,0),MATCH(C258,Roster!$C$6:$C$65,0))-1)+MATCH(B258,{"AM","PM","NIGHT","WD"},0)-1-27+1,DAY(A258))&amp;"",""))</f>
        <v/>
      </c>
      <c r="G258" s="123">
        <f>IF(OR(A258="",C258="",B258="",E258=""),"",IFERROR(A258&amp;"|"&amp;(27+4*(IFERROR(MATCH(C258,Roster!$B$6:$B$65,0),MATCH(C258,Roster!$C$6:$C$65,0))-1)+MATCH(B258,{"AM","PM","NIGHT","WD"},0)-1),""))</f>
        <v/>
      </c>
    </row>
    <row r="259">
      <c r="A259" s="122" t="n"/>
      <c r="B259" s="107" t="n"/>
      <c r="C259" s="105" t="n"/>
      <c r="D259" s="92">
        <f>IF(C259="","",IFERROR(INDEX(Roster!$C$6:$C$65,IFERROR(MATCH(C259,Roster!$B$6:$B$65,0),MATCH(C259,Roster!$C$6:$C$65,0))),"not on the Roster"))</f>
        <v/>
      </c>
      <c r="E259" s="106" t="n"/>
      <c r="F259" s="104">
        <f>IF(OR(A259="",C259="",B259=""),"",IFERROR(INDEX(CHOOSE(IF(YEAR(A259)&gt;PlanYear,13,MONTH(A259)),'Jan'!$D$27:$AH$266,'Feb'!$D$27:$AH$266,'Mar'!$D$27:$AH$266,'Apr'!$D$27:$AH$266,'May'!$D$27:$AH$266,'Jun'!$D$27:$AH$266,'Jul'!$D$27:$AH$266,'Aug'!$D$27:$AH$266,'Sep'!$D$27:$AH$266,'Oct'!$D$27:$AH$266,'Nov'!$D$27:$AH$266,'Dec'!$D$27:$AH$266,'Jan (next year)'!$D$27:$AH$266),27+4*(IFERROR(MATCH(C259,Roster!$B$6:$B$65,0),MATCH(C259,Roster!$C$6:$C$65,0))-1)+MATCH(B259,{"AM","PM","NIGHT","WD"},0)-1-27+1,DAY(A259))&amp;"",""))</f>
        <v/>
      </c>
      <c r="G259" s="123">
        <f>IF(OR(A259="",C259="",B259="",E259=""),"",IFERROR(A259&amp;"|"&amp;(27+4*(IFERROR(MATCH(C259,Roster!$B$6:$B$65,0),MATCH(C259,Roster!$C$6:$C$65,0))-1)+MATCH(B259,{"AM","PM","NIGHT","WD"},0)-1),""))</f>
        <v/>
      </c>
    </row>
    <row r="260">
      <c r="A260" s="122" t="n"/>
      <c r="B260" s="107" t="n"/>
      <c r="C260" s="105" t="n"/>
      <c r="D260" s="92">
        <f>IF(C260="","",IFERROR(INDEX(Roster!$C$6:$C$65,IFERROR(MATCH(C260,Roster!$B$6:$B$65,0),MATCH(C260,Roster!$C$6:$C$65,0))),"not on the Roster"))</f>
        <v/>
      </c>
      <c r="E260" s="106" t="n"/>
      <c r="F260" s="104">
        <f>IF(OR(A260="",C260="",B260=""),"",IFERROR(INDEX(CHOOSE(IF(YEAR(A260)&gt;PlanYear,13,MONTH(A260)),'Jan'!$D$27:$AH$266,'Feb'!$D$27:$AH$266,'Mar'!$D$27:$AH$266,'Apr'!$D$27:$AH$266,'May'!$D$27:$AH$266,'Jun'!$D$27:$AH$266,'Jul'!$D$27:$AH$266,'Aug'!$D$27:$AH$266,'Sep'!$D$27:$AH$266,'Oct'!$D$27:$AH$266,'Nov'!$D$27:$AH$266,'Dec'!$D$27:$AH$266,'Jan (next year)'!$D$27:$AH$266),27+4*(IFERROR(MATCH(C260,Roster!$B$6:$B$65,0),MATCH(C260,Roster!$C$6:$C$65,0))-1)+MATCH(B260,{"AM","PM","NIGHT","WD"},0)-1-27+1,DAY(A260))&amp;"",""))</f>
        <v/>
      </c>
      <c r="G260" s="123">
        <f>IF(OR(A260="",C260="",B260="",E260=""),"",IFERROR(A260&amp;"|"&amp;(27+4*(IFERROR(MATCH(C260,Roster!$B$6:$B$65,0),MATCH(C260,Roster!$C$6:$C$65,0))-1)+MATCH(B260,{"AM","PM","NIGHT","WD"},0)-1),""))</f>
        <v/>
      </c>
    </row>
    <row r="261">
      <c r="A261" s="122" t="n"/>
      <c r="B261" s="107" t="n"/>
      <c r="C261" s="105" t="n"/>
      <c r="D261" s="92">
        <f>IF(C261="","",IFERROR(INDEX(Roster!$C$6:$C$65,IFERROR(MATCH(C261,Roster!$B$6:$B$65,0),MATCH(C261,Roster!$C$6:$C$65,0))),"not on the Roster"))</f>
        <v/>
      </c>
      <c r="E261" s="106" t="n"/>
      <c r="F261" s="104">
        <f>IF(OR(A261="",C261="",B261=""),"",IFERROR(INDEX(CHOOSE(IF(YEAR(A261)&gt;PlanYear,13,MONTH(A261)),'Jan'!$D$27:$AH$266,'Feb'!$D$27:$AH$266,'Mar'!$D$27:$AH$266,'Apr'!$D$27:$AH$266,'May'!$D$27:$AH$266,'Jun'!$D$27:$AH$266,'Jul'!$D$27:$AH$266,'Aug'!$D$27:$AH$266,'Sep'!$D$27:$AH$266,'Oct'!$D$27:$AH$266,'Nov'!$D$27:$AH$266,'Dec'!$D$27:$AH$266,'Jan (next year)'!$D$27:$AH$266),27+4*(IFERROR(MATCH(C261,Roster!$B$6:$B$65,0),MATCH(C261,Roster!$C$6:$C$65,0))-1)+MATCH(B261,{"AM","PM","NIGHT","WD"},0)-1-27+1,DAY(A261))&amp;"",""))</f>
        <v/>
      </c>
      <c r="G261" s="123">
        <f>IF(OR(A261="",C261="",B261="",E261=""),"",IFERROR(A261&amp;"|"&amp;(27+4*(IFERROR(MATCH(C261,Roster!$B$6:$B$65,0),MATCH(C261,Roster!$C$6:$C$65,0))-1)+MATCH(B261,{"AM","PM","NIGHT","WD"},0)-1),""))</f>
        <v/>
      </c>
    </row>
    <row r="262">
      <c r="A262" s="122" t="n"/>
      <c r="B262" s="107" t="n"/>
      <c r="C262" s="105" t="n"/>
      <c r="D262" s="92">
        <f>IF(C262="","",IFERROR(INDEX(Roster!$C$6:$C$65,IFERROR(MATCH(C262,Roster!$B$6:$B$65,0),MATCH(C262,Roster!$C$6:$C$65,0))),"not on the Roster"))</f>
        <v/>
      </c>
      <c r="E262" s="106" t="n"/>
      <c r="F262" s="104">
        <f>IF(OR(A262="",C262="",B262=""),"",IFERROR(INDEX(CHOOSE(IF(YEAR(A262)&gt;PlanYear,13,MONTH(A262)),'Jan'!$D$27:$AH$266,'Feb'!$D$27:$AH$266,'Mar'!$D$27:$AH$266,'Apr'!$D$27:$AH$266,'May'!$D$27:$AH$266,'Jun'!$D$27:$AH$266,'Jul'!$D$27:$AH$266,'Aug'!$D$27:$AH$266,'Sep'!$D$27:$AH$266,'Oct'!$D$27:$AH$266,'Nov'!$D$27:$AH$266,'Dec'!$D$27:$AH$266,'Jan (next year)'!$D$27:$AH$266),27+4*(IFERROR(MATCH(C262,Roster!$B$6:$B$65,0),MATCH(C262,Roster!$C$6:$C$65,0))-1)+MATCH(B262,{"AM","PM","NIGHT","WD"},0)-1-27+1,DAY(A262))&amp;"",""))</f>
        <v/>
      </c>
      <c r="G262" s="123">
        <f>IF(OR(A262="",C262="",B262="",E262=""),"",IFERROR(A262&amp;"|"&amp;(27+4*(IFERROR(MATCH(C262,Roster!$B$6:$B$65,0),MATCH(C262,Roster!$C$6:$C$65,0))-1)+MATCH(B262,{"AM","PM","NIGHT","WD"},0)-1),""))</f>
        <v/>
      </c>
    </row>
    <row r="263">
      <c r="A263" s="122" t="n"/>
      <c r="B263" s="107" t="n"/>
      <c r="C263" s="105" t="n"/>
      <c r="D263" s="92">
        <f>IF(C263="","",IFERROR(INDEX(Roster!$C$6:$C$65,IFERROR(MATCH(C263,Roster!$B$6:$B$65,0),MATCH(C263,Roster!$C$6:$C$65,0))),"not on the Roster"))</f>
        <v/>
      </c>
      <c r="E263" s="106" t="n"/>
      <c r="F263" s="104">
        <f>IF(OR(A263="",C263="",B263=""),"",IFERROR(INDEX(CHOOSE(IF(YEAR(A263)&gt;PlanYear,13,MONTH(A263)),'Jan'!$D$27:$AH$266,'Feb'!$D$27:$AH$266,'Mar'!$D$27:$AH$266,'Apr'!$D$27:$AH$266,'May'!$D$27:$AH$266,'Jun'!$D$27:$AH$266,'Jul'!$D$27:$AH$266,'Aug'!$D$27:$AH$266,'Sep'!$D$27:$AH$266,'Oct'!$D$27:$AH$266,'Nov'!$D$27:$AH$266,'Dec'!$D$27:$AH$266,'Jan (next year)'!$D$27:$AH$266),27+4*(IFERROR(MATCH(C263,Roster!$B$6:$B$65,0),MATCH(C263,Roster!$C$6:$C$65,0))-1)+MATCH(B263,{"AM","PM","NIGHT","WD"},0)-1-27+1,DAY(A263))&amp;"",""))</f>
        <v/>
      </c>
      <c r="G263" s="123">
        <f>IF(OR(A263="",C263="",B263="",E263=""),"",IFERROR(A263&amp;"|"&amp;(27+4*(IFERROR(MATCH(C263,Roster!$B$6:$B$65,0),MATCH(C263,Roster!$C$6:$C$65,0))-1)+MATCH(B263,{"AM","PM","NIGHT","WD"},0)-1),""))</f>
        <v/>
      </c>
    </row>
    <row r="264">
      <c r="A264" s="122" t="n"/>
      <c r="B264" s="107" t="n"/>
      <c r="C264" s="105" t="n"/>
      <c r="D264" s="92">
        <f>IF(C264="","",IFERROR(INDEX(Roster!$C$6:$C$65,IFERROR(MATCH(C264,Roster!$B$6:$B$65,0),MATCH(C264,Roster!$C$6:$C$65,0))),"not on the Roster"))</f>
        <v/>
      </c>
      <c r="E264" s="106" t="n"/>
      <c r="F264" s="104">
        <f>IF(OR(A264="",C264="",B264=""),"",IFERROR(INDEX(CHOOSE(IF(YEAR(A264)&gt;PlanYear,13,MONTH(A264)),'Jan'!$D$27:$AH$266,'Feb'!$D$27:$AH$266,'Mar'!$D$27:$AH$266,'Apr'!$D$27:$AH$266,'May'!$D$27:$AH$266,'Jun'!$D$27:$AH$266,'Jul'!$D$27:$AH$266,'Aug'!$D$27:$AH$266,'Sep'!$D$27:$AH$266,'Oct'!$D$27:$AH$266,'Nov'!$D$27:$AH$266,'Dec'!$D$27:$AH$266,'Jan (next year)'!$D$27:$AH$266),27+4*(IFERROR(MATCH(C264,Roster!$B$6:$B$65,0),MATCH(C264,Roster!$C$6:$C$65,0))-1)+MATCH(B264,{"AM","PM","NIGHT","WD"},0)-1-27+1,DAY(A264))&amp;"",""))</f>
        <v/>
      </c>
      <c r="G264" s="123">
        <f>IF(OR(A264="",C264="",B264="",E264=""),"",IFERROR(A264&amp;"|"&amp;(27+4*(IFERROR(MATCH(C264,Roster!$B$6:$B$65,0),MATCH(C264,Roster!$C$6:$C$65,0))-1)+MATCH(B264,{"AM","PM","NIGHT","WD"},0)-1),""))</f>
        <v/>
      </c>
    </row>
    <row r="265">
      <c r="A265" s="122" t="n"/>
      <c r="B265" s="107" t="n"/>
      <c r="C265" s="105" t="n"/>
      <c r="D265" s="92">
        <f>IF(C265="","",IFERROR(INDEX(Roster!$C$6:$C$65,IFERROR(MATCH(C265,Roster!$B$6:$B$65,0),MATCH(C265,Roster!$C$6:$C$65,0))),"not on the Roster"))</f>
        <v/>
      </c>
      <c r="E265" s="106" t="n"/>
      <c r="F265" s="104">
        <f>IF(OR(A265="",C265="",B265=""),"",IFERROR(INDEX(CHOOSE(IF(YEAR(A265)&gt;PlanYear,13,MONTH(A265)),'Jan'!$D$27:$AH$266,'Feb'!$D$27:$AH$266,'Mar'!$D$27:$AH$266,'Apr'!$D$27:$AH$266,'May'!$D$27:$AH$266,'Jun'!$D$27:$AH$266,'Jul'!$D$27:$AH$266,'Aug'!$D$27:$AH$266,'Sep'!$D$27:$AH$266,'Oct'!$D$27:$AH$266,'Nov'!$D$27:$AH$266,'Dec'!$D$27:$AH$266,'Jan (next year)'!$D$27:$AH$266),27+4*(IFERROR(MATCH(C265,Roster!$B$6:$B$65,0),MATCH(C265,Roster!$C$6:$C$65,0))-1)+MATCH(B265,{"AM","PM","NIGHT","WD"},0)-1-27+1,DAY(A265))&amp;"",""))</f>
        <v/>
      </c>
      <c r="G265" s="123">
        <f>IF(OR(A265="",C265="",B265="",E265=""),"",IFERROR(A265&amp;"|"&amp;(27+4*(IFERROR(MATCH(C265,Roster!$B$6:$B$65,0),MATCH(C265,Roster!$C$6:$C$65,0))-1)+MATCH(B265,{"AM","PM","NIGHT","WD"},0)-1),""))</f>
        <v/>
      </c>
    </row>
    <row r="266">
      <c r="A266" s="122" t="n"/>
      <c r="B266" s="107" t="n"/>
      <c r="C266" s="105" t="n"/>
      <c r="D266" s="92">
        <f>IF(C266="","",IFERROR(INDEX(Roster!$C$6:$C$65,IFERROR(MATCH(C266,Roster!$B$6:$B$65,0),MATCH(C266,Roster!$C$6:$C$65,0))),"not on the Roster"))</f>
        <v/>
      </c>
      <c r="E266" s="106" t="n"/>
      <c r="F266" s="104">
        <f>IF(OR(A266="",C266="",B266=""),"",IFERROR(INDEX(CHOOSE(IF(YEAR(A266)&gt;PlanYear,13,MONTH(A266)),'Jan'!$D$27:$AH$266,'Feb'!$D$27:$AH$266,'Mar'!$D$27:$AH$266,'Apr'!$D$27:$AH$266,'May'!$D$27:$AH$266,'Jun'!$D$27:$AH$266,'Jul'!$D$27:$AH$266,'Aug'!$D$27:$AH$266,'Sep'!$D$27:$AH$266,'Oct'!$D$27:$AH$266,'Nov'!$D$27:$AH$266,'Dec'!$D$27:$AH$266,'Jan (next year)'!$D$27:$AH$266),27+4*(IFERROR(MATCH(C266,Roster!$B$6:$B$65,0),MATCH(C266,Roster!$C$6:$C$65,0))-1)+MATCH(B266,{"AM","PM","NIGHT","WD"},0)-1-27+1,DAY(A266))&amp;"",""))</f>
        <v/>
      </c>
      <c r="G266" s="123">
        <f>IF(OR(A266="",C266="",B266="",E266=""),"",IFERROR(A266&amp;"|"&amp;(27+4*(IFERROR(MATCH(C266,Roster!$B$6:$B$65,0),MATCH(C266,Roster!$C$6:$C$65,0))-1)+MATCH(B266,{"AM","PM","NIGHT","WD"},0)-1),""))</f>
        <v/>
      </c>
    </row>
    <row r="267">
      <c r="A267" s="122" t="n"/>
      <c r="B267" s="107" t="n"/>
      <c r="C267" s="105" t="n"/>
      <c r="D267" s="92">
        <f>IF(C267="","",IFERROR(INDEX(Roster!$C$6:$C$65,IFERROR(MATCH(C267,Roster!$B$6:$B$65,0),MATCH(C267,Roster!$C$6:$C$65,0))),"not on the Roster"))</f>
        <v/>
      </c>
      <c r="E267" s="106" t="n"/>
      <c r="F267" s="104">
        <f>IF(OR(A267="",C267="",B267=""),"",IFERROR(INDEX(CHOOSE(IF(YEAR(A267)&gt;PlanYear,13,MONTH(A267)),'Jan'!$D$27:$AH$266,'Feb'!$D$27:$AH$266,'Mar'!$D$27:$AH$266,'Apr'!$D$27:$AH$266,'May'!$D$27:$AH$266,'Jun'!$D$27:$AH$266,'Jul'!$D$27:$AH$266,'Aug'!$D$27:$AH$266,'Sep'!$D$27:$AH$266,'Oct'!$D$27:$AH$266,'Nov'!$D$27:$AH$266,'Dec'!$D$27:$AH$266,'Jan (next year)'!$D$27:$AH$266),27+4*(IFERROR(MATCH(C267,Roster!$B$6:$B$65,0),MATCH(C267,Roster!$C$6:$C$65,0))-1)+MATCH(B267,{"AM","PM","NIGHT","WD"},0)-1-27+1,DAY(A267))&amp;"",""))</f>
        <v/>
      </c>
      <c r="G267" s="123">
        <f>IF(OR(A267="",C267="",B267="",E267=""),"",IFERROR(A267&amp;"|"&amp;(27+4*(IFERROR(MATCH(C267,Roster!$B$6:$B$65,0),MATCH(C267,Roster!$C$6:$C$65,0))-1)+MATCH(B267,{"AM","PM","NIGHT","WD"},0)-1),""))</f>
        <v/>
      </c>
    </row>
    <row r="268">
      <c r="A268" s="122" t="n"/>
      <c r="B268" s="107" t="n"/>
      <c r="C268" s="105" t="n"/>
      <c r="D268" s="92">
        <f>IF(C268="","",IFERROR(INDEX(Roster!$C$6:$C$65,IFERROR(MATCH(C268,Roster!$B$6:$B$65,0),MATCH(C268,Roster!$C$6:$C$65,0))),"not on the Roster"))</f>
        <v/>
      </c>
      <c r="E268" s="106" t="n"/>
      <c r="F268" s="104">
        <f>IF(OR(A268="",C268="",B268=""),"",IFERROR(INDEX(CHOOSE(IF(YEAR(A268)&gt;PlanYear,13,MONTH(A268)),'Jan'!$D$27:$AH$266,'Feb'!$D$27:$AH$266,'Mar'!$D$27:$AH$266,'Apr'!$D$27:$AH$266,'May'!$D$27:$AH$266,'Jun'!$D$27:$AH$266,'Jul'!$D$27:$AH$266,'Aug'!$D$27:$AH$266,'Sep'!$D$27:$AH$266,'Oct'!$D$27:$AH$266,'Nov'!$D$27:$AH$266,'Dec'!$D$27:$AH$266,'Jan (next year)'!$D$27:$AH$266),27+4*(IFERROR(MATCH(C268,Roster!$B$6:$B$65,0),MATCH(C268,Roster!$C$6:$C$65,0))-1)+MATCH(B268,{"AM","PM","NIGHT","WD"},0)-1-27+1,DAY(A268))&amp;"",""))</f>
        <v/>
      </c>
      <c r="G268" s="123">
        <f>IF(OR(A268="",C268="",B268="",E268=""),"",IFERROR(A268&amp;"|"&amp;(27+4*(IFERROR(MATCH(C268,Roster!$B$6:$B$65,0),MATCH(C268,Roster!$C$6:$C$65,0))-1)+MATCH(B268,{"AM","PM","NIGHT","WD"},0)-1),""))</f>
        <v/>
      </c>
    </row>
    <row r="269">
      <c r="A269" s="122" t="n"/>
      <c r="B269" s="107" t="n"/>
      <c r="C269" s="105" t="n"/>
      <c r="D269" s="92">
        <f>IF(C269="","",IFERROR(INDEX(Roster!$C$6:$C$65,IFERROR(MATCH(C269,Roster!$B$6:$B$65,0),MATCH(C269,Roster!$C$6:$C$65,0))),"not on the Roster"))</f>
        <v/>
      </c>
      <c r="E269" s="106" t="n"/>
      <c r="F269" s="104">
        <f>IF(OR(A269="",C269="",B269=""),"",IFERROR(INDEX(CHOOSE(IF(YEAR(A269)&gt;PlanYear,13,MONTH(A269)),'Jan'!$D$27:$AH$266,'Feb'!$D$27:$AH$266,'Mar'!$D$27:$AH$266,'Apr'!$D$27:$AH$266,'May'!$D$27:$AH$266,'Jun'!$D$27:$AH$266,'Jul'!$D$27:$AH$266,'Aug'!$D$27:$AH$266,'Sep'!$D$27:$AH$266,'Oct'!$D$27:$AH$266,'Nov'!$D$27:$AH$266,'Dec'!$D$27:$AH$266,'Jan (next year)'!$D$27:$AH$266),27+4*(IFERROR(MATCH(C269,Roster!$B$6:$B$65,0),MATCH(C269,Roster!$C$6:$C$65,0))-1)+MATCH(B269,{"AM","PM","NIGHT","WD"},0)-1-27+1,DAY(A269))&amp;"",""))</f>
        <v/>
      </c>
      <c r="G269" s="123">
        <f>IF(OR(A269="",C269="",B269="",E269=""),"",IFERROR(A269&amp;"|"&amp;(27+4*(IFERROR(MATCH(C269,Roster!$B$6:$B$65,0),MATCH(C269,Roster!$C$6:$C$65,0))-1)+MATCH(B269,{"AM","PM","NIGHT","WD"},0)-1),""))</f>
        <v/>
      </c>
    </row>
    <row r="270">
      <c r="A270" s="122" t="n"/>
      <c r="B270" s="107" t="n"/>
      <c r="C270" s="105" t="n"/>
      <c r="D270" s="92">
        <f>IF(C270="","",IFERROR(INDEX(Roster!$C$6:$C$65,IFERROR(MATCH(C270,Roster!$B$6:$B$65,0),MATCH(C270,Roster!$C$6:$C$65,0))),"not on the Roster"))</f>
        <v/>
      </c>
      <c r="E270" s="106" t="n"/>
      <c r="F270" s="104">
        <f>IF(OR(A270="",C270="",B270=""),"",IFERROR(INDEX(CHOOSE(IF(YEAR(A270)&gt;PlanYear,13,MONTH(A270)),'Jan'!$D$27:$AH$266,'Feb'!$D$27:$AH$266,'Mar'!$D$27:$AH$266,'Apr'!$D$27:$AH$266,'May'!$D$27:$AH$266,'Jun'!$D$27:$AH$266,'Jul'!$D$27:$AH$266,'Aug'!$D$27:$AH$266,'Sep'!$D$27:$AH$266,'Oct'!$D$27:$AH$266,'Nov'!$D$27:$AH$266,'Dec'!$D$27:$AH$266,'Jan (next year)'!$D$27:$AH$266),27+4*(IFERROR(MATCH(C270,Roster!$B$6:$B$65,0),MATCH(C270,Roster!$C$6:$C$65,0))-1)+MATCH(B270,{"AM","PM","NIGHT","WD"},0)-1-27+1,DAY(A270))&amp;"",""))</f>
        <v/>
      </c>
      <c r="G270" s="123">
        <f>IF(OR(A270="",C270="",B270="",E270=""),"",IFERROR(A270&amp;"|"&amp;(27+4*(IFERROR(MATCH(C270,Roster!$B$6:$B$65,0),MATCH(C270,Roster!$C$6:$C$65,0))-1)+MATCH(B270,{"AM","PM","NIGHT","WD"},0)-1),""))</f>
        <v/>
      </c>
    </row>
    <row r="271">
      <c r="A271" s="122" t="n"/>
      <c r="B271" s="107" t="n"/>
      <c r="C271" s="105" t="n"/>
      <c r="D271" s="92">
        <f>IF(C271="","",IFERROR(INDEX(Roster!$C$6:$C$65,IFERROR(MATCH(C271,Roster!$B$6:$B$65,0),MATCH(C271,Roster!$C$6:$C$65,0))),"not on the Roster"))</f>
        <v/>
      </c>
      <c r="E271" s="106" t="n"/>
      <c r="F271" s="104">
        <f>IF(OR(A271="",C271="",B271=""),"",IFERROR(INDEX(CHOOSE(IF(YEAR(A271)&gt;PlanYear,13,MONTH(A271)),'Jan'!$D$27:$AH$266,'Feb'!$D$27:$AH$266,'Mar'!$D$27:$AH$266,'Apr'!$D$27:$AH$266,'May'!$D$27:$AH$266,'Jun'!$D$27:$AH$266,'Jul'!$D$27:$AH$266,'Aug'!$D$27:$AH$266,'Sep'!$D$27:$AH$266,'Oct'!$D$27:$AH$266,'Nov'!$D$27:$AH$266,'Dec'!$D$27:$AH$266,'Jan (next year)'!$D$27:$AH$266),27+4*(IFERROR(MATCH(C271,Roster!$B$6:$B$65,0),MATCH(C271,Roster!$C$6:$C$65,0))-1)+MATCH(B271,{"AM","PM","NIGHT","WD"},0)-1-27+1,DAY(A271))&amp;"",""))</f>
        <v/>
      </c>
      <c r="G271" s="123">
        <f>IF(OR(A271="",C271="",B271="",E271=""),"",IFERROR(A271&amp;"|"&amp;(27+4*(IFERROR(MATCH(C271,Roster!$B$6:$B$65,0),MATCH(C271,Roster!$C$6:$C$65,0))-1)+MATCH(B271,{"AM","PM","NIGHT","WD"},0)-1),""))</f>
        <v/>
      </c>
    </row>
    <row r="272">
      <c r="A272" s="122" t="n"/>
      <c r="B272" s="107" t="n"/>
      <c r="C272" s="105" t="n"/>
      <c r="D272" s="92">
        <f>IF(C272="","",IFERROR(INDEX(Roster!$C$6:$C$65,IFERROR(MATCH(C272,Roster!$B$6:$B$65,0),MATCH(C272,Roster!$C$6:$C$65,0))),"not on the Roster"))</f>
        <v/>
      </c>
      <c r="E272" s="106" t="n"/>
      <c r="F272" s="104">
        <f>IF(OR(A272="",C272="",B272=""),"",IFERROR(INDEX(CHOOSE(IF(YEAR(A272)&gt;PlanYear,13,MONTH(A272)),'Jan'!$D$27:$AH$266,'Feb'!$D$27:$AH$266,'Mar'!$D$27:$AH$266,'Apr'!$D$27:$AH$266,'May'!$D$27:$AH$266,'Jun'!$D$27:$AH$266,'Jul'!$D$27:$AH$266,'Aug'!$D$27:$AH$266,'Sep'!$D$27:$AH$266,'Oct'!$D$27:$AH$266,'Nov'!$D$27:$AH$266,'Dec'!$D$27:$AH$266,'Jan (next year)'!$D$27:$AH$266),27+4*(IFERROR(MATCH(C272,Roster!$B$6:$B$65,0),MATCH(C272,Roster!$C$6:$C$65,0))-1)+MATCH(B272,{"AM","PM","NIGHT","WD"},0)-1-27+1,DAY(A272))&amp;"",""))</f>
        <v/>
      </c>
      <c r="G272" s="123">
        <f>IF(OR(A272="",C272="",B272="",E272=""),"",IFERROR(A272&amp;"|"&amp;(27+4*(IFERROR(MATCH(C272,Roster!$B$6:$B$65,0),MATCH(C272,Roster!$C$6:$C$65,0))-1)+MATCH(B272,{"AM","PM","NIGHT","WD"},0)-1),""))</f>
        <v/>
      </c>
    </row>
    <row r="273">
      <c r="A273" s="122" t="n"/>
      <c r="B273" s="107" t="n"/>
      <c r="C273" s="105" t="n"/>
      <c r="D273" s="92">
        <f>IF(C273="","",IFERROR(INDEX(Roster!$C$6:$C$65,IFERROR(MATCH(C273,Roster!$B$6:$B$65,0),MATCH(C273,Roster!$C$6:$C$65,0))),"not on the Roster"))</f>
        <v/>
      </c>
      <c r="E273" s="106" t="n"/>
      <c r="F273" s="104">
        <f>IF(OR(A273="",C273="",B273=""),"",IFERROR(INDEX(CHOOSE(IF(YEAR(A273)&gt;PlanYear,13,MONTH(A273)),'Jan'!$D$27:$AH$266,'Feb'!$D$27:$AH$266,'Mar'!$D$27:$AH$266,'Apr'!$D$27:$AH$266,'May'!$D$27:$AH$266,'Jun'!$D$27:$AH$266,'Jul'!$D$27:$AH$266,'Aug'!$D$27:$AH$266,'Sep'!$D$27:$AH$266,'Oct'!$D$27:$AH$266,'Nov'!$D$27:$AH$266,'Dec'!$D$27:$AH$266,'Jan (next year)'!$D$27:$AH$266),27+4*(IFERROR(MATCH(C273,Roster!$B$6:$B$65,0),MATCH(C273,Roster!$C$6:$C$65,0))-1)+MATCH(B273,{"AM","PM","NIGHT","WD"},0)-1-27+1,DAY(A273))&amp;"",""))</f>
        <v/>
      </c>
      <c r="G273" s="123">
        <f>IF(OR(A273="",C273="",B273="",E273=""),"",IFERROR(A273&amp;"|"&amp;(27+4*(IFERROR(MATCH(C273,Roster!$B$6:$B$65,0),MATCH(C273,Roster!$C$6:$C$65,0))-1)+MATCH(B273,{"AM","PM","NIGHT","WD"},0)-1),""))</f>
        <v/>
      </c>
    </row>
    <row r="274">
      <c r="A274" s="122" t="n"/>
      <c r="B274" s="107" t="n"/>
      <c r="C274" s="105" t="n"/>
      <c r="D274" s="92">
        <f>IF(C274="","",IFERROR(INDEX(Roster!$C$6:$C$65,IFERROR(MATCH(C274,Roster!$B$6:$B$65,0),MATCH(C274,Roster!$C$6:$C$65,0))),"not on the Roster"))</f>
        <v/>
      </c>
      <c r="E274" s="106" t="n"/>
      <c r="F274" s="104">
        <f>IF(OR(A274="",C274="",B274=""),"",IFERROR(INDEX(CHOOSE(IF(YEAR(A274)&gt;PlanYear,13,MONTH(A274)),'Jan'!$D$27:$AH$266,'Feb'!$D$27:$AH$266,'Mar'!$D$27:$AH$266,'Apr'!$D$27:$AH$266,'May'!$D$27:$AH$266,'Jun'!$D$27:$AH$266,'Jul'!$D$27:$AH$266,'Aug'!$D$27:$AH$266,'Sep'!$D$27:$AH$266,'Oct'!$D$27:$AH$266,'Nov'!$D$27:$AH$266,'Dec'!$D$27:$AH$266,'Jan (next year)'!$D$27:$AH$266),27+4*(IFERROR(MATCH(C274,Roster!$B$6:$B$65,0),MATCH(C274,Roster!$C$6:$C$65,0))-1)+MATCH(B274,{"AM","PM","NIGHT","WD"},0)-1-27+1,DAY(A274))&amp;"",""))</f>
        <v/>
      </c>
      <c r="G274" s="123">
        <f>IF(OR(A274="",C274="",B274="",E274=""),"",IFERROR(A274&amp;"|"&amp;(27+4*(IFERROR(MATCH(C274,Roster!$B$6:$B$65,0),MATCH(C274,Roster!$C$6:$C$65,0))-1)+MATCH(B274,{"AM","PM","NIGHT","WD"},0)-1),""))</f>
        <v/>
      </c>
    </row>
    <row r="275">
      <c r="A275" s="122" t="n"/>
      <c r="B275" s="107" t="n"/>
      <c r="C275" s="105" t="n"/>
      <c r="D275" s="92">
        <f>IF(C275="","",IFERROR(INDEX(Roster!$C$6:$C$65,IFERROR(MATCH(C275,Roster!$B$6:$B$65,0),MATCH(C275,Roster!$C$6:$C$65,0))),"not on the Roster"))</f>
        <v/>
      </c>
      <c r="E275" s="106" t="n"/>
      <c r="F275" s="104">
        <f>IF(OR(A275="",C275="",B275=""),"",IFERROR(INDEX(CHOOSE(IF(YEAR(A275)&gt;PlanYear,13,MONTH(A275)),'Jan'!$D$27:$AH$266,'Feb'!$D$27:$AH$266,'Mar'!$D$27:$AH$266,'Apr'!$D$27:$AH$266,'May'!$D$27:$AH$266,'Jun'!$D$27:$AH$266,'Jul'!$D$27:$AH$266,'Aug'!$D$27:$AH$266,'Sep'!$D$27:$AH$266,'Oct'!$D$27:$AH$266,'Nov'!$D$27:$AH$266,'Dec'!$D$27:$AH$266,'Jan (next year)'!$D$27:$AH$266),27+4*(IFERROR(MATCH(C275,Roster!$B$6:$B$65,0),MATCH(C275,Roster!$C$6:$C$65,0))-1)+MATCH(B275,{"AM","PM","NIGHT","WD"},0)-1-27+1,DAY(A275))&amp;"",""))</f>
        <v/>
      </c>
      <c r="G275" s="123">
        <f>IF(OR(A275="",C275="",B275="",E275=""),"",IFERROR(A275&amp;"|"&amp;(27+4*(IFERROR(MATCH(C275,Roster!$B$6:$B$65,0),MATCH(C275,Roster!$C$6:$C$65,0))-1)+MATCH(B275,{"AM","PM","NIGHT","WD"},0)-1),""))</f>
        <v/>
      </c>
    </row>
    <row r="276">
      <c r="A276" s="122" t="n"/>
      <c r="B276" s="107" t="n"/>
      <c r="C276" s="105" t="n"/>
      <c r="D276" s="92">
        <f>IF(C276="","",IFERROR(INDEX(Roster!$C$6:$C$65,IFERROR(MATCH(C276,Roster!$B$6:$B$65,0),MATCH(C276,Roster!$C$6:$C$65,0))),"not on the Roster"))</f>
        <v/>
      </c>
      <c r="E276" s="106" t="n"/>
      <c r="F276" s="104">
        <f>IF(OR(A276="",C276="",B276=""),"",IFERROR(INDEX(CHOOSE(IF(YEAR(A276)&gt;PlanYear,13,MONTH(A276)),'Jan'!$D$27:$AH$266,'Feb'!$D$27:$AH$266,'Mar'!$D$27:$AH$266,'Apr'!$D$27:$AH$266,'May'!$D$27:$AH$266,'Jun'!$D$27:$AH$266,'Jul'!$D$27:$AH$266,'Aug'!$D$27:$AH$266,'Sep'!$D$27:$AH$266,'Oct'!$D$27:$AH$266,'Nov'!$D$27:$AH$266,'Dec'!$D$27:$AH$266,'Jan (next year)'!$D$27:$AH$266),27+4*(IFERROR(MATCH(C276,Roster!$B$6:$B$65,0),MATCH(C276,Roster!$C$6:$C$65,0))-1)+MATCH(B276,{"AM","PM","NIGHT","WD"},0)-1-27+1,DAY(A276))&amp;"",""))</f>
        <v/>
      </c>
      <c r="G276" s="123">
        <f>IF(OR(A276="",C276="",B276="",E276=""),"",IFERROR(A276&amp;"|"&amp;(27+4*(IFERROR(MATCH(C276,Roster!$B$6:$B$65,0),MATCH(C276,Roster!$C$6:$C$65,0))-1)+MATCH(B276,{"AM","PM","NIGHT","WD"},0)-1),""))</f>
        <v/>
      </c>
    </row>
    <row r="277">
      <c r="A277" s="122" t="n"/>
      <c r="B277" s="107" t="n"/>
      <c r="C277" s="105" t="n"/>
      <c r="D277" s="92">
        <f>IF(C277="","",IFERROR(INDEX(Roster!$C$6:$C$65,IFERROR(MATCH(C277,Roster!$B$6:$B$65,0),MATCH(C277,Roster!$C$6:$C$65,0))),"not on the Roster"))</f>
        <v/>
      </c>
      <c r="E277" s="106" t="n"/>
      <c r="F277" s="104">
        <f>IF(OR(A277="",C277="",B277=""),"",IFERROR(INDEX(CHOOSE(IF(YEAR(A277)&gt;PlanYear,13,MONTH(A277)),'Jan'!$D$27:$AH$266,'Feb'!$D$27:$AH$266,'Mar'!$D$27:$AH$266,'Apr'!$D$27:$AH$266,'May'!$D$27:$AH$266,'Jun'!$D$27:$AH$266,'Jul'!$D$27:$AH$266,'Aug'!$D$27:$AH$266,'Sep'!$D$27:$AH$266,'Oct'!$D$27:$AH$266,'Nov'!$D$27:$AH$266,'Dec'!$D$27:$AH$266,'Jan (next year)'!$D$27:$AH$266),27+4*(IFERROR(MATCH(C277,Roster!$B$6:$B$65,0),MATCH(C277,Roster!$C$6:$C$65,0))-1)+MATCH(B277,{"AM","PM","NIGHT","WD"},0)-1-27+1,DAY(A277))&amp;"",""))</f>
        <v/>
      </c>
      <c r="G277" s="123">
        <f>IF(OR(A277="",C277="",B277="",E277=""),"",IFERROR(A277&amp;"|"&amp;(27+4*(IFERROR(MATCH(C277,Roster!$B$6:$B$65,0),MATCH(C277,Roster!$C$6:$C$65,0))-1)+MATCH(B277,{"AM","PM","NIGHT","WD"},0)-1),""))</f>
        <v/>
      </c>
    </row>
    <row r="278">
      <c r="A278" s="122" t="n"/>
      <c r="B278" s="107" t="n"/>
      <c r="C278" s="105" t="n"/>
      <c r="D278" s="92">
        <f>IF(C278="","",IFERROR(INDEX(Roster!$C$6:$C$65,IFERROR(MATCH(C278,Roster!$B$6:$B$65,0),MATCH(C278,Roster!$C$6:$C$65,0))),"not on the Roster"))</f>
        <v/>
      </c>
      <c r="E278" s="106" t="n"/>
      <c r="F278" s="104">
        <f>IF(OR(A278="",C278="",B278=""),"",IFERROR(INDEX(CHOOSE(IF(YEAR(A278)&gt;PlanYear,13,MONTH(A278)),'Jan'!$D$27:$AH$266,'Feb'!$D$27:$AH$266,'Mar'!$D$27:$AH$266,'Apr'!$D$27:$AH$266,'May'!$D$27:$AH$266,'Jun'!$D$27:$AH$266,'Jul'!$D$27:$AH$266,'Aug'!$D$27:$AH$266,'Sep'!$D$27:$AH$266,'Oct'!$D$27:$AH$266,'Nov'!$D$27:$AH$266,'Dec'!$D$27:$AH$266,'Jan (next year)'!$D$27:$AH$266),27+4*(IFERROR(MATCH(C278,Roster!$B$6:$B$65,0),MATCH(C278,Roster!$C$6:$C$65,0))-1)+MATCH(B278,{"AM","PM","NIGHT","WD"},0)-1-27+1,DAY(A278))&amp;"",""))</f>
        <v/>
      </c>
      <c r="G278" s="123">
        <f>IF(OR(A278="",C278="",B278="",E278=""),"",IFERROR(A278&amp;"|"&amp;(27+4*(IFERROR(MATCH(C278,Roster!$B$6:$B$65,0),MATCH(C278,Roster!$C$6:$C$65,0))-1)+MATCH(B278,{"AM","PM","NIGHT","WD"},0)-1),""))</f>
        <v/>
      </c>
    </row>
    <row r="279">
      <c r="A279" s="122" t="n"/>
      <c r="B279" s="107" t="n"/>
      <c r="C279" s="105" t="n"/>
      <c r="D279" s="92">
        <f>IF(C279="","",IFERROR(INDEX(Roster!$C$6:$C$65,IFERROR(MATCH(C279,Roster!$B$6:$B$65,0),MATCH(C279,Roster!$C$6:$C$65,0))),"not on the Roster"))</f>
        <v/>
      </c>
      <c r="E279" s="106" t="n"/>
      <c r="F279" s="104">
        <f>IF(OR(A279="",C279="",B279=""),"",IFERROR(INDEX(CHOOSE(IF(YEAR(A279)&gt;PlanYear,13,MONTH(A279)),'Jan'!$D$27:$AH$266,'Feb'!$D$27:$AH$266,'Mar'!$D$27:$AH$266,'Apr'!$D$27:$AH$266,'May'!$D$27:$AH$266,'Jun'!$D$27:$AH$266,'Jul'!$D$27:$AH$266,'Aug'!$D$27:$AH$266,'Sep'!$D$27:$AH$266,'Oct'!$D$27:$AH$266,'Nov'!$D$27:$AH$266,'Dec'!$D$27:$AH$266,'Jan (next year)'!$D$27:$AH$266),27+4*(IFERROR(MATCH(C279,Roster!$B$6:$B$65,0),MATCH(C279,Roster!$C$6:$C$65,0))-1)+MATCH(B279,{"AM","PM","NIGHT","WD"},0)-1-27+1,DAY(A279))&amp;"",""))</f>
        <v/>
      </c>
      <c r="G279" s="123">
        <f>IF(OR(A279="",C279="",B279="",E279=""),"",IFERROR(A279&amp;"|"&amp;(27+4*(IFERROR(MATCH(C279,Roster!$B$6:$B$65,0),MATCH(C279,Roster!$C$6:$C$65,0))-1)+MATCH(B279,{"AM","PM","NIGHT","WD"},0)-1),""))</f>
        <v/>
      </c>
    </row>
    <row r="280">
      <c r="A280" s="122" t="n"/>
      <c r="B280" s="107" t="n"/>
      <c r="C280" s="105" t="n"/>
      <c r="D280" s="92">
        <f>IF(C280="","",IFERROR(INDEX(Roster!$C$6:$C$65,IFERROR(MATCH(C280,Roster!$B$6:$B$65,0),MATCH(C280,Roster!$C$6:$C$65,0))),"not on the Roster"))</f>
        <v/>
      </c>
      <c r="E280" s="106" t="n"/>
      <c r="F280" s="104">
        <f>IF(OR(A280="",C280="",B280=""),"",IFERROR(INDEX(CHOOSE(IF(YEAR(A280)&gt;PlanYear,13,MONTH(A280)),'Jan'!$D$27:$AH$266,'Feb'!$D$27:$AH$266,'Mar'!$D$27:$AH$266,'Apr'!$D$27:$AH$266,'May'!$D$27:$AH$266,'Jun'!$D$27:$AH$266,'Jul'!$D$27:$AH$266,'Aug'!$D$27:$AH$266,'Sep'!$D$27:$AH$266,'Oct'!$D$27:$AH$266,'Nov'!$D$27:$AH$266,'Dec'!$D$27:$AH$266,'Jan (next year)'!$D$27:$AH$266),27+4*(IFERROR(MATCH(C280,Roster!$B$6:$B$65,0),MATCH(C280,Roster!$C$6:$C$65,0))-1)+MATCH(B280,{"AM","PM","NIGHT","WD"},0)-1-27+1,DAY(A280))&amp;"",""))</f>
        <v/>
      </c>
      <c r="G280" s="123">
        <f>IF(OR(A280="",C280="",B280="",E280=""),"",IFERROR(A280&amp;"|"&amp;(27+4*(IFERROR(MATCH(C280,Roster!$B$6:$B$65,0),MATCH(C280,Roster!$C$6:$C$65,0))-1)+MATCH(B280,{"AM","PM","NIGHT","WD"},0)-1),""))</f>
        <v/>
      </c>
    </row>
    <row r="281">
      <c r="A281" s="122" t="n"/>
      <c r="B281" s="107" t="n"/>
      <c r="C281" s="105" t="n"/>
      <c r="D281" s="92">
        <f>IF(C281="","",IFERROR(INDEX(Roster!$C$6:$C$65,IFERROR(MATCH(C281,Roster!$B$6:$B$65,0),MATCH(C281,Roster!$C$6:$C$65,0))),"not on the Roster"))</f>
        <v/>
      </c>
      <c r="E281" s="106" t="n"/>
      <c r="F281" s="104">
        <f>IF(OR(A281="",C281="",B281=""),"",IFERROR(INDEX(CHOOSE(IF(YEAR(A281)&gt;PlanYear,13,MONTH(A281)),'Jan'!$D$27:$AH$266,'Feb'!$D$27:$AH$266,'Mar'!$D$27:$AH$266,'Apr'!$D$27:$AH$266,'May'!$D$27:$AH$266,'Jun'!$D$27:$AH$266,'Jul'!$D$27:$AH$266,'Aug'!$D$27:$AH$266,'Sep'!$D$27:$AH$266,'Oct'!$D$27:$AH$266,'Nov'!$D$27:$AH$266,'Dec'!$D$27:$AH$266,'Jan (next year)'!$D$27:$AH$266),27+4*(IFERROR(MATCH(C281,Roster!$B$6:$B$65,0),MATCH(C281,Roster!$C$6:$C$65,0))-1)+MATCH(B281,{"AM","PM","NIGHT","WD"},0)-1-27+1,DAY(A281))&amp;"",""))</f>
        <v/>
      </c>
      <c r="G281" s="123">
        <f>IF(OR(A281="",C281="",B281="",E281=""),"",IFERROR(A281&amp;"|"&amp;(27+4*(IFERROR(MATCH(C281,Roster!$B$6:$B$65,0),MATCH(C281,Roster!$C$6:$C$65,0))-1)+MATCH(B281,{"AM","PM","NIGHT","WD"},0)-1),""))</f>
        <v/>
      </c>
    </row>
    <row r="282">
      <c r="A282" s="122" t="n"/>
      <c r="B282" s="107" t="n"/>
      <c r="C282" s="105" t="n"/>
      <c r="D282" s="92">
        <f>IF(C282="","",IFERROR(INDEX(Roster!$C$6:$C$65,IFERROR(MATCH(C282,Roster!$B$6:$B$65,0),MATCH(C282,Roster!$C$6:$C$65,0))),"not on the Roster"))</f>
        <v/>
      </c>
      <c r="E282" s="106" t="n"/>
      <c r="F282" s="104">
        <f>IF(OR(A282="",C282="",B282=""),"",IFERROR(INDEX(CHOOSE(IF(YEAR(A282)&gt;PlanYear,13,MONTH(A282)),'Jan'!$D$27:$AH$266,'Feb'!$D$27:$AH$266,'Mar'!$D$27:$AH$266,'Apr'!$D$27:$AH$266,'May'!$D$27:$AH$266,'Jun'!$D$27:$AH$266,'Jul'!$D$27:$AH$266,'Aug'!$D$27:$AH$266,'Sep'!$D$27:$AH$266,'Oct'!$D$27:$AH$266,'Nov'!$D$27:$AH$266,'Dec'!$D$27:$AH$266,'Jan (next year)'!$D$27:$AH$266),27+4*(IFERROR(MATCH(C282,Roster!$B$6:$B$65,0),MATCH(C282,Roster!$C$6:$C$65,0))-1)+MATCH(B282,{"AM","PM","NIGHT","WD"},0)-1-27+1,DAY(A282))&amp;"",""))</f>
        <v/>
      </c>
      <c r="G282" s="123">
        <f>IF(OR(A282="",C282="",B282="",E282=""),"",IFERROR(A282&amp;"|"&amp;(27+4*(IFERROR(MATCH(C282,Roster!$B$6:$B$65,0),MATCH(C282,Roster!$C$6:$C$65,0))-1)+MATCH(B282,{"AM","PM","NIGHT","WD"},0)-1),""))</f>
        <v/>
      </c>
    </row>
    <row r="283">
      <c r="A283" s="122" t="n"/>
      <c r="B283" s="107" t="n"/>
      <c r="C283" s="105" t="n"/>
      <c r="D283" s="92">
        <f>IF(C283="","",IFERROR(INDEX(Roster!$C$6:$C$65,IFERROR(MATCH(C283,Roster!$B$6:$B$65,0),MATCH(C283,Roster!$C$6:$C$65,0))),"not on the Roster"))</f>
        <v/>
      </c>
      <c r="E283" s="106" t="n"/>
      <c r="F283" s="104">
        <f>IF(OR(A283="",C283="",B283=""),"",IFERROR(INDEX(CHOOSE(IF(YEAR(A283)&gt;PlanYear,13,MONTH(A283)),'Jan'!$D$27:$AH$266,'Feb'!$D$27:$AH$266,'Mar'!$D$27:$AH$266,'Apr'!$D$27:$AH$266,'May'!$D$27:$AH$266,'Jun'!$D$27:$AH$266,'Jul'!$D$27:$AH$266,'Aug'!$D$27:$AH$266,'Sep'!$D$27:$AH$266,'Oct'!$D$27:$AH$266,'Nov'!$D$27:$AH$266,'Dec'!$D$27:$AH$266,'Jan (next year)'!$D$27:$AH$266),27+4*(IFERROR(MATCH(C283,Roster!$B$6:$B$65,0),MATCH(C283,Roster!$C$6:$C$65,0))-1)+MATCH(B283,{"AM","PM","NIGHT","WD"},0)-1-27+1,DAY(A283))&amp;"",""))</f>
        <v/>
      </c>
      <c r="G283" s="123">
        <f>IF(OR(A283="",C283="",B283="",E283=""),"",IFERROR(A283&amp;"|"&amp;(27+4*(IFERROR(MATCH(C283,Roster!$B$6:$B$65,0),MATCH(C283,Roster!$C$6:$C$65,0))-1)+MATCH(B283,{"AM","PM","NIGHT","WD"},0)-1),""))</f>
        <v/>
      </c>
    </row>
    <row r="284">
      <c r="A284" s="122" t="n"/>
      <c r="B284" s="107" t="n"/>
      <c r="C284" s="105" t="n"/>
      <c r="D284" s="92">
        <f>IF(C284="","",IFERROR(INDEX(Roster!$C$6:$C$65,IFERROR(MATCH(C284,Roster!$B$6:$B$65,0),MATCH(C284,Roster!$C$6:$C$65,0))),"not on the Roster"))</f>
        <v/>
      </c>
      <c r="E284" s="106" t="n"/>
      <c r="F284" s="104">
        <f>IF(OR(A284="",C284="",B284=""),"",IFERROR(INDEX(CHOOSE(IF(YEAR(A284)&gt;PlanYear,13,MONTH(A284)),'Jan'!$D$27:$AH$266,'Feb'!$D$27:$AH$266,'Mar'!$D$27:$AH$266,'Apr'!$D$27:$AH$266,'May'!$D$27:$AH$266,'Jun'!$D$27:$AH$266,'Jul'!$D$27:$AH$266,'Aug'!$D$27:$AH$266,'Sep'!$D$27:$AH$266,'Oct'!$D$27:$AH$266,'Nov'!$D$27:$AH$266,'Dec'!$D$27:$AH$266,'Jan (next year)'!$D$27:$AH$266),27+4*(IFERROR(MATCH(C284,Roster!$B$6:$B$65,0),MATCH(C284,Roster!$C$6:$C$65,0))-1)+MATCH(B284,{"AM","PM","NIGHT","WD"},0)-1-27+1,DAY(A284))&amp;"",""))</f>
        <v/>
      </c>
      <c r="G284" s="123">
        <f>IF(OR(A284="",C284="",B284="",E284=""),"",IFERROR(A284&amp;"|"&amp;(27+4*(IFERROR(MATCH(C284,Roster!$B$6:$B$65,0),MATCH(C284,Roster!$C$6:$C$65,0))-1)+MATCH(B284,{"AM","PM","NIGHT","WD"},0)-1),""))</f>
        <v/>
      </c>
    </row>
    <row r="285">
      <c r="A285" s="122" t="n"/>
      <c r="B285" s="107" t="n"/>
      <c r="C285" s="105" t="n"/>
      <c r="D285" s="92">
        <f>IF(C285="","",IFERROR(INDEX(Roster!$C$6:$C$65,IFERROR(MATCH(C285,Roster!$B$6:$B$65,0),MATCH(C285,Roster!$C$6:$C$65,0))),"not on the Roster"))</f>
        <v/>
      </c>
      <c r="E285" s="106" t="n"/>
      <c r="F285" s="104">
        <f>IF(OR(A285="",C285="",B285=""),"",IFERROR(INDEX(CHOOSE(IF(YEAR(A285)&gt;PlanYear,13,MONTH(A285)),'Jan'!$D$27:$AH$266,'Feb'!$D$27:$AH$266,'Mar'!$D$27:$AH$266,'Apr'!$D$27:$AH$266,'May'!$D$27:$AH$266,'Jun'!$D$27:$AH$266,'Jul'!$D$27:$AH$266,'Aug'!$D$27:$AH$266,'Sep'!$D$27:$AH$266,'Oct'!$D$27:$AH$266,'Nov'!$D$27:$AH$266,'Dec'!$D$27:$AH$266,'Jan (next year)'!$D$27:$AH$266),27+4*(IFERROR(MATCH(C285,Roster!$B$6:$B$65,0),MATCH(C285,Roster!$C$6:$C$65,0))-1)+MATCH(B285,{"AM","PM","NIGHT","WD"},0)-1-27+1,DAY(A285))&amp;"",""))</f>
        <v/>
      </c>
      <c r="G285" s="123">
        <f>IF(OR(A285="",C285="",B285="",E285=""),"",IFERROR(A285&amp;"|"&amp;(27+4*(IFERROR(MATCH(C285,Roster!$B$6:$B$65,0),MATCH(C285,Roster!$C$6:$C$65,0))-1)+MATCH(B285,{"AM","PM","NIGHT","WD"},0)-1),""))</f>
        <v/>
      </c>
    </row>
    <row r="286">
      <c r="A286" s="122" t="n"/>
      <c r="B286" s="107" t="n"/>
      <c r="C286" s="105" t="n"/>
      <c r="D286" s="92">
        <f>IF(C286="","",IFERROR(INDEX(Roster!$C$6:$C$65,IFERROR(MATCH(C286,Roster!$B$6:$B$65,0),MATCH(C286,Roster!$C$6:$C$65,0))),"not on the Roster"))</f>
        <v/>
      </c>
      <c r="E286" s="106" t="n"/>
      <c r="F286" s="104">
        <f>IF(OR(A286="",C286="",B286=""),"",IFERROR(INDEX(CHOOSE(IF(YEAR(A286)&gt;PlanYear,13,MONTH(A286)),'Jan'!$D$27:$AH$266,'Feb'!$D$27:$AH$266,'Mar'!$D$27:$AH$266,'Apr'!$D$27:$AH$266,'May'!$D$27:$AH$266,'Jun'!$D$27:$AH$266,'Jul'!$D$27:$AH$266,'Aug'!$D$27:$AH$266,'Sep'!$D$27:$AH$266,'Oct'!$D$27:$AH$266,'Nov'!$D$27:$AH$266,'Dec'!$D$27:$AH$266,'Jan (next year)'!$D$27:$AH$266),27+4*(IFERROR(MATCH(C286,Roster!$B$6:$B$65,0),MATCH(C286,Roster!$C$6:$C$65,0))-1)+MATCH(B286,{"AM","PM","NIGHT","WD"},0)-1-27+1,DAY(A286))&amp;"",""))</f>
        <v/>
      </c>
      <c r="G286" s="123">
        <f>IF(OR(A286="",C286="",B286="",E286=""),"",IFERROR(A286&amp;"|"&amp;(27+4*(IFERROR(MATCH(C286,Roster!$B$6:$B$65,0),MATCH(C286,Roster!$C$6:$C$65,0))-1)+MATCH(B286,{"AM","PM","NIGHT","WD"},0)-1),""))</f>
        <v/>
      </c>
    </row>
    <row r="287">
      <c r="A287" s="122" t="n"/>
      <c r="B287" s="107" t="n"/>
      <c r="C287" s="105" t="n"/>
      <c r="D287" s="92">
        <f>IF(C287="","",IFERROR(INDEX(Roster!$C$6:$C$65,IFERROR(MATCH(C287,Roster!$B$6:$B$65,0),MATCH(C287,Roster!$C$6:$C$65,0))),"not on the Roster"))</f>
        <v/>
      </c>
      <c r="E287" s="106" t="n"/>
      <c r="F287" s="104">
        <f>IF(OR(A287="",C287="",B287=""),"",IFERROR(INDEX(CHOOSE(IF(YEAR(A287)&gt;PlanYear,13,MONTH(A287)),'Jan'!$D$27:$AH$266,'Feb'!$D$27:$AH$266,'Mar'!$D$27:$AH$266,'Apr'!$D$27:$AH$266,'May'!$D$27:$AH$266,'Jun'!$D$27:$AH$266,'Jul'!$D$27:$AH$266,'Aug'!$D$27:$AH$266,'Sep'!$D$27:$AH$266,'Oct'!$D$27:$AH$266,'Nov'!$D$27:$AH$266,'Dec'!$D$27:$AH$266,'Jan (next year)'!$D$27:$AH$266),27+4*(IFERROR(MATCH(C287,Roster!$B$6:$B$65,0),MATCH(C287,Roster!$C$6:$C$65,0))-1)+MATCH(B287,{"AM","PM","NIGHT","WD"},0)-1-27+1,DAY(A287))&amp;"",""))</f>
        <v/>
      </c>
      <c r="G287" s="123">
        <f>IF(OR(A287="",C287="",B287="",E287=""),"",IFERROR(A287&amp;"|"&amp;(27+4*(IFERROR(MATCH(C287,Roster!$B$6:$B$65,0),MATCH(C287,Roster!$C$6:$C$65,0))-1)+MATCH(B287,{"AM","PM","NIGHT","WD"},0)-1),""))</f>
        <v/>
      </c>
    </row>
    <row r="288">
      <c r="A288" s="122" t="n"/>
      <c r="B288" s="107" t="n"/>
      <c r="C288" s="105" t="n"/>
      <c r="D288" s="92">
        <f>IF(C288="","",IFERROR(INDEX(Roster!$C$6:$C$65,IFERROR(MATCH(C288,Roster!$B$6:$B$65,0),MATCH(C288,Roster!$C$6:$C$65,0))),"not on the Roster"))</f>
        <v/>
      </c>
      <c r="E288" s="106" t="n"/>
      <c r="F288" s="104">
        <f>IF(OR(A288="",C288="",B288=""),"",IFERROR(INDEX(CHOOSE(IF(YEAR(A288)&gt;PlanYear,13,MONTH(A288)),'Jan'!$D$27:$AH$266,'Feb'!$D$27:$AH$266,'Mar'!$D$27:$AH$266,'Apr'!$D$27:$AH$266,'May'!$D$27:$AH$266,'Jun'!$D$27:$AH$266,'Jul'!$D$27:$AH$266,'Aug'!$D$27:$AH$266,'Sep'!$D$27:$AH$266,'Oct'!$D$27:$AH$266,'Nov'!$D$27:$AH$266,'Dec'!$D$27:$AH$266,'Jan (next year)'!$D$27:$AH$266),27+4*(IFERROR(MATCH(C288,Roster!$B$6:$B$65,0),MATCH(C288,Roster!$C$6:$C$65,0))-1)+MATCH(B288,{"AM","PM","NIGHT","WD"},0)-1-27+1,DAY(A288))&amp;"",""))</f>
        <v/>
      </c>
      <c r="G288" s="123">
        <f>IF(OR(A288="",C288="",B288="",E288=""),"",IFERROR(A288&amp;"|"&amp;(27+4*(IFERROR(MATCH(C288,Roster!$B$6:$B$65,0),MATCH(C288,Roster!$C$6:$C$65,0))-1)+MATCH(B288,{"AM","PM","NIGHT","WD"},0)-1),""))</f>
        <v/>
      </c>
    </row>
    <row r="289">
      <c r="A289" s="122" t="n"/>
      <c r="B289" s="107" t="n"/>
      <c r="C289" s="105" t="n"/>
      <c r="D289" s="92">
        <f>IF(C289="","",IFERROR(INDEX(Roster!$C$6:$C$65,IFERROR(MATCH(C289,Roster!$B$6:$B$65,0),MATCH(C289,Roster!$C$6:$C$65,0))),"not on the Roster"))</f>
        <v/>
      </c>
      <c r="E289" s="106" t="n"/>
      <c r="F289" s="104">
        <f>IF(OR(A289="",C289="",B289=""),"",IFERROR(INDEX(CHOOSE(IF(YEAR(A289)&gt;PlanYear,13,MONTH(A289)),'Jan'!$D$27:$AH$266,'Feb'!$D$27:$AH$266,'Mar'!$D$27:$AH$266,'Apr'!$D$27:$AH$266,'May'!$D$27:$AH$266,'Jun'!$D$27:$AH$266,'Jul'!$D$27:$AH$266,'Aug'!$D$27:$AH$266,'Sep'!$D$27:$AH$266,'Oct'!$D$27:$AH$266,'Nov'!$D$27:$AH$266,'Dec'!$D$27:$AH$266,'Jan (next year)'!$D$27:$AH$266),27+4*(IFERROR(MATCH(C289,Roster!$B$6:$B$65,0),MATCH(C289,Roster!$C$6:$C$65,0))-1)+MATCH(B289,{"AM","PM","NIGHT","WD"},0)-1-27+1,DAY(A289))&amp;"",""))</f>
        <v/>
      </c>
      <c r="G289" s="123">
        <f>IF(OR(A289="",C289="",B289="",E289=""),"",IFERROR(A289&amp;"|"&amp;(27+4*(IFERROR(MATCH(C289,Roster!$B$6:$B$65,0),MATCH(C289,Roster!$C$6:$C$65,0))-1)+MATCH(B289,{"AM","PM","NIGHT","WD"},0)-1),""))</f>
        <v/>
      </c>
    </row>
    <row r="290">
      <c r="A290" s="122" t="n"/>
      <c r="B290" s="107" t="n"/>
      <c r="C290" s="105" t="n"/>
      <c r="D290" s="92">
        <f>IF(C290="","",IFERROR(INDEX(Roster!$C$6:$C$65,IFERROR(MATCH(C290,Roster!$B$6:$B$65,0),MATCH(C290,Roster!$C$6:$C$65,0))),"not on the Roster"))</f>
        <v/>
      </c>
      <c r="E290" s="106" t="n"/>
      <c r="F290" s="104">
        <f>IF(OR(A290="",C290="",B290=""),"",IFERROR(INDEX(CHOOSE(IF(YEAR(A290)&gt;PlanYear,13,MONTH(A290)),'Jan'!$D$27:$AH$266,'Feb'!$D$27:$AH$266,'Mar'!$D$27:$AH$266,'Apr'!$D$27:$AH$266,'May'!$D$27:$AH$266,'Jun'!$D$27:$AH$266,'Jul'!$D$27:$AH$266,'Aug'!$D$27:$AH$266,'Sep'!$D$27:$AH$266,'Oct'!$D$27:$AH$266,'Nov'!$D$27:$AH$266,'Dec'!$D$27:$AH$266,'Jan (next year)'!$D$27:$AH$266),27+4*(IFERROR(MATCH(C290,Roster!$B$6:$B$65,0),MATCH(C290,Roster!$C$6:$C$65,0))-1)+MATCH(B290,{"AM","PM","NIGHT","WD"},0)-1-27+1,DAY(A290))&amp;"",""))</f>
        <v/>
      </c>
      <c r="G290" s="123">
        <f>IF(OR(A290="",C290="",B290="",E290=""),"",IFERROR(A290&amp;"|"&amp;(27+4*(IFERROR(MATCH(C290,Roster!$B$6:$B$65,0),MATCH(C290,Roster!$C$6:$C$65,0))-1)+MATCH(B290,{"AM","PM","NIGHT","WD"},0)-1),""))</f>
        <v/>
      </c>
    </row>
    <row r="291">
      <c r="A291" s="122" t="n"/>
      <c r="B291" s="107" t="n"/>
      <c r="C291" s="105" t="n"/>
      <c r="D291" s="92">
        <f>IF(C291="","",IFERROR(INDEX(Roster!$C$6:$C$65,IFERROR(MATCH(C291,Roster!$B$6:$B$65,0),MATCH(C291,Roster!$C$6:$C$65,0))),"not on the Roster"))</f>
        <v/>
      </c>
      <c r="E291" s="106" t="n"/>
      <c r="F291" s="104">
        <f>IF(OR(A291="",C291="",B291=""),"",IFERROR(INDEX(CHOOSE(IF(YEAR(A291)&gt;PlanYear,13,MONTH(A291)),'Jan'!$D$27:$AH$266,'Feb'!$D$27:$AH$266,'Mar'!$D$27:$AH$266,'Apr'!$D$27:$AH$266,'May'!$D$27:$AH$266,'Jun'!$D$27:$AH$266,'Jul'!$D$27:$AH$266,'Aug'!$D$27:$AH$266,'Sep'!$D$27:$AH$266,'Oct'!$D$27:$AH$266,'Nov'!$D$27:$AH$266,'Dec'!$D$27:$AH$266,'Jan (next year)'!$D$27:$AH$266),27+4*(IFERROR(MATCH(C291,Roster!$B$6:$B$65,0),MATCH(C291,Roster!$C$6:$C$65,0))-1)+MATCH(B291,{"AM","PM","NIGHT","WD"},0)-1-27+1,DAY(A291))&amp;"",""))</f>
        <v/>
      </c>
      <c r="G291" s="123">
        <f>IF(OR(A291="",C291="",B291="",E291=""),"",IFERROR(A291&amp;"|"&amp;(27+4*(IFERROR(MATCH(C291,Roster!$B$6:$B$65,0),MATCH(C291,Roster!$C$6:$C$65,0))-1)+MATCH(B291,{"AM","PM","NIGHT","WD"},0)-1),""))</f>
        <v/>
      </c>
    </row>
    <row r="292">
      <c r="A292" s="122" t="n"/>
      <c r="B292" s="107" t="n"/>
      <c r="C292" s="105" t="n"/>
      <c r="D292" s="92">
        <f>IF(C292="","",IFERROR(INDEX(Roster!$C$6:$C$65,IFERROR(MATCH(C292,Roster!$B$6:$B$65,0),MATCH(C292,Roster!$C$6:$C$65,0))),"not on the Roster"))</f>
        <v/>
      </c>
      <c r="E292" s="106" t="n"/>
      <c r="F292" s="104">
        <f>IF(OR(A292="",C292="",B292=""),"",IFERROR(INDEX(CHOOSE(IF(YEAR(A292)&gt;PlanYear,13,MONTH(A292)),'Jan'!$D$27:$AH$266,'Feb'!$D$27:$AH$266,'Mar'!$D$27:$AH$266,'Apr'!$D$27:$AH$266,'May'!$D$27:$AH$266,'Jun'!$D$27:$AH$266,'Jul'!$D$27:$AH$266,'Aug'!$D$27:$AH$266,'Sep'!$D$27:$AH$266,'Oct'!$D$27:$AH$266,'Nov'!$D$27:$AH$266,'Dec'!$D$27:$AH$266,'Jan (next year)'!$D$27:$AH$266),27+4*(IFERROR(MATCH(C292,Roster!$B$6:$B$65,0),MATCH(C292,Roster!$C$6:$C$65,0))-1)+MATCH(B292,{"AM","PM","NIGHT","WD"},0)-1-27+1,DAY(A292))&amp;"",""))</f>
        <v/>
      </c>
      <c r="G292" s="123">
        <f>IF(OR(A292="",C292="",B292="",E292=""),"",IFERROR(A292&amp;"|"&amp;(27+4*(IFERROR(MATCH(C292,Roster!$B$6:$B$65,0),MATCH(C292,Roster!$C$6:$C$65,0))-1)+MATCH(B292,{"AM","PM","NIGHT","WD"},0)-1),""))</f>
        <v/>
      </c>
    </row>
    <row r="293">
      <c r="A293" s="122" t="n"/>
      <c r="B293" s="107" t="n"/>
      <c r="C293" s="105" t="n"/>
      <c r="D293" s="92">
        <f>IF(C293="","",IFERROR(INDEX(Roster!$C$6:$C$65,IFERROR(MATCH(C293,Roster!$B$6:$B$65,0),MATCH(C293,Roster!$C$6:$C$65,0))),"not on the Roster"))</f>
        <v/>
      </c>
      <c r="E293" s="106" t="n"/>
      <c r="F293" s="104">
        <f>IF(OR(A293="",C293="",B293=""),"",IFERROR(INDEX(CHOOSE(IF(YEAR(A293)&gt;PlanYear,13,MONTH(A293)),'Jan'!$D$27:$AH$266,'Feb'!$D$27:$AH$266,'Mar'!$D$27:$AH$266,'Apr'!$D$27:$AH$266,'May'!$D$27:$AH$266,'Jun'!$D$27:$AH$266,'Jul'!$D$27:$AH$266,'Aug'!$D$27:$AH$266,'Sep'!$D$27:$AH$266,'Oct'!$D$27:$AH$266,'Nov'!$D$27:$AH$266,'Dec'!$D$27:$AH$266,'Jan (next year)'!$D$27:$AH$266),27+4*(IFERROR(MATCH(C293,Roster!$B$6:$B$65,0),MATCH(C293,Roster!$C$6:$C$65,0))-1)+MATCH(B293,{"AM","PM","NIGHT","WD"},0)-1-27+1,DAY(A293))&amp;"",""))</f>
        <v/>
      </c>
      <c r="G293" s="123">
        <f>IF(OR(A293="",C293="",B293="",E293=""),"",IFERROR(A293&amp;"|"&amp;(27+4*(IFERROR(MATCH(C293,Roster!$B$6:$B$65,0),MATCH(C293,Roster!$C$6:$C$65,0))-1)+MATCH(B293,{"AM","PM","NIGHT","WD"},0)-1),""))</f>
        <v/>
      </c>
    </row>
    <row r="294">
      <c r="A294" s="122" t="n"/>
      <c r="B294" s="107" t="n"/>
      <c r="C294" s="105" t="n"/>
      <c r="D294" s="92">
        <f>IF(C294="","",IFERROR(INDEX(Roster!$C$6:$C$65,IFERROR(MATCH(C294,Roster!$B$6:$B$65,0),MATCH(C294,Roster!$C$6:$C$65,0))),"not on the Roster"))</f>
        <v/>
      </c>
      <c r="E294" s="106" t="n"/>
      <c r="F294" s="104">
        <f>IF(OR(A294="",C294="",B294=""),"",IFERROR(INDEX(CHOOSE(IF(YEAR(A294)&gt;PlanYear,13,MONTH(A294)),'Jan'!$D$27:$AH$266,'Feb'!$D$27:$AH$266,'Mar'!$D$27:$AH$266,'Apr'!$D$27:$AH$266,'May'!$D$27:$AH$266,'Jun'!$D$27:$AH$266,'Jul'!$D$27:$AH$266,'Aug'!$D$27:$AH$266,'Sep'!$D$27:$AH$266,'Oct'!$D$27:$AH$266,'Nov'!$D$27:$AH$266,'Dec'!$D$27:$AH$266,'Jan (next year)'!$D$27:$AH$266),27+4*(IFERROR(MATCH(C294,Roster!$B$6:$B$65,0),MATCH(C294,Roster!$C$6:$C$65,0))-1)+MATCH(B294,{"AM","PM","NIGHT","WD"},0)-1-27+1,DAY(A294))&amp;"",""))</f>
        <v/>
      </c>
      <c r="G294" s="123">
        <f>IF(OR(A294="",C294="",B294="",E294=""),"",IFERROR(A294&amp;"|"&amp;(27+4*(IFERROR(MATCH(C294,Roster!$B$6:$B$65,0),MATCH(C294,Roster!$C$6:$C$65,0))-1)+MATCH(B294,{"AM","PM","NIGHT","WD"},0)-1),""))</f>
        <v/>
      </c>
    </row>
    <row r="295">
      <c r="A295" s="122" t="n"/>
      <c r="B295" s="107" t="n"/>
      <c r="C295" s="105" t="n"/>
      <c r="D295" s="92">
        <f>IF(C295="","",IFERROR(INDEX(Roster!$C$6:$C$65,IFERROR(MATCH(C295,Roster!$B$6:$B$65,0),MATCH(C295,Roster!$C$6:$C$65,0))),"not on the Roster"))</f>
        <v/>
      </c>
      <c r="E295" s="106" t="n"/>
      <c r="F295" s="104">
        <f>IF(OR(A295="",C295="",B295=""),"",IFERROR(INDEX(CHOOSE(IF(YEAR(A295)&gt;PlanYear,13,MONTH(A295)),'Jan'!$D$27:$AH$266,'Feb'!$D$27:$AH$266,'Mar'!$D$27:$AH$266,'Apr'!$D$27:$AH$266,'May'!$D$27:$AH$266,'Jun'!$D$27:$AH$266,'Jul'!$D$27:$AH$266,'Aug'!$D$27:$AH$266,'Sep'!$D$27:$AH$266,'Oct'!$D$27:$AH$266,'Nov'!$D$27:$AH$266,'Dec'!$D$27:$AH$266,'Jan (next year)'!$D$27:$AH$266),27+4*(IFERROR(MATCH(C295,Roster!$B$6:$B$65,0),MATCH(C295,Roster!$C$6:$C$65,0))-1)+MATCH(B295,{"AM","PM","NIGHT","WD"},0)-1-27+1,DAY(A295))&amp;"",""))</f>
        <v/>
      </c>
      <c r="G295" s="123">
        <f>IF(OR(A295="",C295="",B295="",E295=""),"",IFERROR(A295&amp;"|"&amp;(27+4*(IFERROR(MATCH(C295,Roster!$B$6:$B$65,0),MATCH(C295,Roster!$C$6:$C$65,0))-1)+MATCH(B295,{"AM","PM","NIGHT","WD"},0)-1),""))</f>
        <v/>
      </c>
    </row>
    <row r="296">
      <c r="A296" s="122" t="n"/>
      <c r="B296" s="107" t="n"/>
      <c r="C296" s="105" t="n"/>
      <c r="D296" s="92">
        <f>IF(C296="","",IFERROR(INDEX(Roster!$C$6:$C$65,IFERROR(MATCH(C296,Roster!$B$6:$B$65,0),MATCH(C296,Roster!$C$6:$C$65,0))),"not on the Roster"))</f>
        <v/>
      </c>
      <c r="E296" s="106" t="n"/>
      <c r="F296" s="104">
        <f>IF(OR(A296="",C296="",B296=""),"",IFERROR(INDEX(CHOOSE(IF(YEAR(A296)&gt;PlanYear,13,MONTH(A296)),'Jan'!$D$27:$AH$266,'Feb'!$D$27:$AH$266,'Mar'!$D$27:$AH$266,'Apr'!$D$27:$AH$266,'May'!$D$27:$AH$266,'Jun'!$D$27:$AH$266,'Jul'!$D$27:$AH$266,'Aug'!$D$27:$AH$266,'Sep'!$D$27:$AH$266,'Oct'!$D$27:$AH$266,'Nov'!$D$27:$AH$266,'Dec'!$D$27:$AH$266,'Jan (next year)'!$D$27:$AH$266),27+4*(IFERROR(MATCH(C296,Roster!$B$6:$B$65,0),MATCH(C296,Roster!$C$6:$C$65,0))-1)+MATCH(B296,{"AM","PM","NIGHT","WD"},0)-1-27+1,DAY(A296))&amp;"",""))</f>
        <v/>
      </c>
      <c r="G296" s="123">
        <f>IF(OR(A296="",C296="",B296="",E296=""),"",IFERROR(A296&amp;"|"&amp;(27+4*(IFERROR(MATCH(C296,Roster!$B$6:$B$65,0),MATCH(C296,Roster!$C$6:$C$65,0))-1)+MATCH(B296,{"AM","PM","NIGHT","WD"},0)-1),""))</f>
        <v/>
      </c>
    </row>
    <row r="297">
      <c r="A297" s="122" t="n"/>
      <c r="B297" s="107" t="n"/>
      <c r="C297" s="105" t="n"/>
      <c r="D297" s="92">
        <f>IF(C297="","",IFERROR(INDEX(Roster!$C$6:$C$65,IFERROR(MATCH(C297,Roster!$B$6:$B$65,0),MATCH(C297,Roster!$C$6:$C$65,0))),"not on the Roster"))</f>
        <v/>
      </c>
      <c r="E297" s="106" t="n"/>
      <c r="F297" s="104">
        <f>IF(OR(A297="",C297="",B297=""),"",IFERROR(INDEX(CHOOSE(IF(YEAR(A297)&gt;PlanYear,13,MONTH(A297)),'Jan'!$D$27:$AH$266,'Feb'!$D$27:$AH$266,'Mar'!$D$27:$AH$266,'Apr'!$D$27:$AH$266,'May'!$D$27:$AH$266,'Jun'!$D$27:$AH$266,'Jul'!$D$27:$AH$266,'Aug'!$D$27:$AH$266,'Sep'!$D$27:$AH$266,'Oct'!$D$27:$AH$266,'Nov'!$D$27:$AH$266,'Dec'!$D$27:$AH$266,'Jan (next year)'!$D$27:$AH$266),27+4*(IFERROR(MATCH(C297,Roster!$B$6:$B$65,0),MATCH(C297,Roster!$C$6:$C$65,0))-1)+MATCH(B297,{"AM","PM","NIGHT","WD"},0)-1-27+1,DAY(A297))&amp;"",""))</f>
        <v/>
      </c>
      <c r="G297" s="123">
        <f>IF(OR(A297="",C297="",B297="",E297=""),"",IFERROR(A297&amp;"|"&amp;(27+4*(IFERROR(MATCH(C297,Roster!$B$6:$B$65,0),MATCH(C297,Roster!$C$6:$C$65,0))-1)+MATCH(B297,{"AM","PM","NIGHT","WD"},0)-1),""))</f>
        <v/>
      </c>
    </row>
    <row r="298">
      <c r="A298" s="122" t="n"/>
      <c r="B298" s="107" t="n"/>
      <c r="C298" s="105" t="n"/>
      <c r="D298" s="92">
        <f>IF(C298="","",IFERROR(INDEX(Roster!$C$6:$C$65,IFERROR(MATCH(C298,Roster!$B$6:$B$65,0),MATCH(C298,Roster!$C$6:$C$65,0))),"not on the Roster"))</f>
        <v/>
      </c>
      <c r="E298" s="106" t="n"/>
      <c r="F298" s="104">
        <f>IF(OR(A298="",C298="",B298=""),"",IFERROR(INDEX(CHOOSE(IF(YEAR(A298)&gt;PlanYear,13,MONTH(A298)),'Jan'!$D$27:$AH$266,'Feb'!$D$27:$AH$266,'Mar'!$D$27:$AH$266,'Apr'!$D$27:$AH$266,'May'!$D$27:$AH$266,'Jun'!$D$27:$AH$266,'Jul'!$D$27:$AH$266,'Aug'!$D$27:$AH$266,'Sep'!$D$27:$AH$266,'Oct'!$D$27:$AH$266,'Nov'!$D$27:$AH$266,'Dec'!$D$27:$AH$266,'Jan (next year)'!$D$27:$AH$266),27+4*(IFERROR(MATCH(C298,Roster!$B$6:$B$65,0),MATCH(C298,Roster!$C$6:$C$65,0))-1)+MATCH(B298,{"AM","PM","NIGHT","WD"},0)-1-27+1,DAY(A298))&amp;"",""))</f>
        <v/>
      </c>
      <c r="G298" s="123">
        <f>IF(OR(A298="",C298="",B298="",E298=""),"",IFERROR(A298&amp;"|"&amp;(27+4*(IFERROR(MATCH(C298,Roster!$B$6:$B$65,0),MATCH(C298,Roster!$C$6:$C$65,0))-1)+MATCH(B298,{"AM","PM","NIGHT","WD"},0)-1),""))</f>
        <v/>
      </c>
    </row>
    <row r="299">
      <c r="A299" s="122" t="n"/>
      <c r="B299" s="107" t="n"/>
      <c r="C299" s="105" t="n"/>
      <c r="D299" s="92">
        <f>IF(C299="","",IFERROR(INDEX(Roster!$C$6:$C$65,IFERROR(MATCH(C299,Roster!$B$6:$B$65,0),MATCH(C299,Roster!$C$6:$C$65,0))),"not on the Roster"))</f>
        <v/>
      </c>
      <c r="E299" s="106" t="n"/>
      <c r="F299" s="104">
        <f>IF(OR(A299="",C299="",B299=""),"",IFERROR(INDEX(CHOOSE(IF(YEAR(A299)&gt;PlanYear,13,MONTH(A299)),'Jan'!$D$27:$AH$266,'Feb'!$D$27:$AH$266,'Mar'!$D$27:$AH$266,'Apr'!$D$27:$AH$266,'May'!$D$27:$AH$266,'Jun'!$D$27:$AH$266,'Jul'!$D$27:$AH$266,'Aug'!$D$27:$AH$266,'Sep'!$D$27:$AH$266,'Oct'!$D$27:$AH$266,'Nov'!$D$27:$AH$266,'Dec'!$D$27:$AH$266,'Jan (next year)'!$D$27:$AH$266),27+4*(IFERROR(MATCH(C299,Roster!$B$6:$B$65,0),MATCH(C299,Roster!$C$6:$C$65,0))-1)+MATCH(B299,{"AM","PM","NIGHT","WD"},0)-1-27+1,DAY(A299))&amp;"",""))</f>
        <v/>
      </c>
      <c r="G299" s="123">
        <f>IF(OR(A299="",C299="",B299="",E299=""),"",IFERROR(A299&amp;"|"&amp;(27+4*(IFERROR(MATCH(C299,Roster!$B$6:$B$65,0),MATCH(C299,Roster!$C$6:$C$65,0))-1)+MATCH(B299,{"AM","PM","NIGHT","WD"},0)-1),""))</f>
        <v/>
      </c>
    </row>
    <row r="300">
      <c r="A300" s="122" t="n"/>
      <c r="B300" s="107" t="n"/>
      <c r="C300" s="105" t="n"/>
      <c r="D300" s="92">
        <f>IF(C300="","",IFERROR(INDEX(Roster!$C$6:$C$65,IFERROR(MATCH(C300,Roster!$B$6:$B$65,0),MATCH(C300,Roster!$C$6:$C$65,0))),"not on the Roster"))</f>
        <v/>
      </c>
      <c r="E300" s="106" t="n"/>
      <c r="F300" s="104">
        <f>IF(OR(A300="",C300="",B300=""),"",IFERROR(INDEX(CHOOSE(IF(YEAR(A300)&gt;PlanYear,13,MONTH(A300)),'Jan'!$D$27:$AH$266,'Feb'!$D$27:$AH$266,'Mar'!$D$27:$AH$266,'Apr'!$D$27:$AH$266,'May'!$D$27:$AH$266,'Jun'!$D$27:$AH$266,'Jul'!$D$27:$AH$266,'Aug'!$D$27:$AH$266,'Sep'!$D$27:$AH$266,'Oct'!$D$27:$AH$266,'Nov'!$D$27:$AH$266,'Dec'!$D$27:$AH$266,'Jan (next year)'!$D$27:$AH$266),27+4*(IFERROR(MATCH(C300,Roster!$B$6:$B$65,0),MATCH(C300,Roster!$C$6:$C$65,0))-1)+MATCH(B300,{"AM","PM","NIGHT","WD"},0)-1-27+1,DAY(A300))&amp;"",""))</f>
        <v/>
      </c>
      <c r="G300" s="123">
        <f>IF(OR(A300="",C300="",B300="",E300=""),"",IFERROR(A300&amp;"|"&amp;(27+4*(IFERROR(MATCH(C300,Roster!$B$6:$B$65,0),MATCH(C300,Roster!$C$6:$C$65,0))-1)+MATCH(B300,{"AM","PM","NIGHT","WD"},0)-1),""))</f>
        <v/>
      </c>
    </row>
    <row r="301">
      <c r="A301" s="122" t="n"/>
      <c r="B301" s="107" t="n"/>
      <c r="C301" s="105" t="n"/>
      <c r="D301" s="92">
        <f>IF(C301="","",IFERROR(INDEX(Roster!$C$6:$C$65,IFERROR(MATCH(C301,Roster!$B$6:$B$65,0),MATCH(C301,Roster!$C$6:$C$65,0))),"not on the Roster"))</f>
        <v/>
      </c>
      <c r="E301" s="106" t="n"/>
      <c r="F301" s="104">
        <f>IF(OR(A301="",C301="",B301=""),"",IFERROR(INDEX(CHOOSE(IF(YEAR(A301)&gt;PlanYear,13,MONTH(A301)),'Jan'!$D$27:$AH$266,'Feb'!$D$27:$AH$266,'Mar'!$D$27:$AH$266,'Apr'!$D$27:$AH$266,'May'!$D$27:$AH$266,'Jun'!$D$27:$AH$266,'Jul'!$D$27:$AH$266,'Aug'!$D$27:$AH$266,'Sep'!$D$27:$AH$266,'Oct'!$D$27:$AH$266,'Nov'!$D$27:$AH$266,'Dec'!$D$27:$AH$266,'Jan (next year)'!$D$27:$AH$266),27+4*(IFERROR(MATCH(C301,Roster!$B$6:$B$65,0),MATCH(C301,Roster!$C$6:$C$65,0))-1)+MATCH(B301,{"AM","PM","NIGHT","WD"},0)-1-27+1,DAY(A301))&amp;"",""))</f>
        <v/>
      </c>
      <c r="G301" s="123">
        <f>IF(OR(A301="",C301="",B301="",E301=""),"",IFERROR(A301&amp;"|"&amp;(27+4*(IFERROR(MATCH(C301,Roster!$B$6:$B$65,0),MATCH(C301,Roster!$C$6:$C$65,0))-1)+MATCH(B301,{"AM","PM","NIGHT","WD"},0)-1),""))</f>
        <v/>
      </c>
    </row>
    <row r="302">
      <c r="A302" s="122" t="n"/>
      <c r="B302" s="107" t="n"/>
      <c r="C302" s="105" t="n"/>
      <c r="D302" s="92">
        <f>IF(C302="","",IFERROR(INDEX(Roster!$C$6:$C$65,IFERROR(MATCH(C302,Roster!$B$6:$B$65,0),MATCH(C302,Roster!$C$6:$C$65,0))),"not on the Roster"))</f>
        <v/>
      </c>
      <c r="E302" s="106" t="n"/>
      <c r="F302" s="104">
        <f>IF(OR(A302="",C302="",B302=""),"",IFERROR(INDEX(CHOOSE(IF(YEAR(A302)&gt;PlanYear,13,MONTH(A302)),'Jan'!$D$27:$AH$266,'Feb'!$D$27:$AH$266,'Mar'!$D$27:$AH$266,'Apr'!$D$27:$AH$266,'May'!$D$27:$AH$266,'Jun'!$D$27:$AH$266,'Jul'!$D$27:$AH$266,'Aug'!$D$27:$AH$266,'Sep'!$D$27:$AH$266,'Oct'!$D$27:$AH$266,'Nov'!$D$27:$AH$266,'Dec'!$D$27:$AH$266,'Jan (next year)'!$D$27:$AH$266),27+4*(IFERROR(MATCH(C302,Roster!$B$6:$B$65,0),MATCH(C302,Roster!$C$6:$C$65,0))-1)+MATCH(B302,{"AM","PM","NIGHT","WD"},0)-1-27+1,DAY(A302))&amp;"",""))</f>
        <v/>
      </c>
      <c r="G302" s="123">
        <f>IF(OR(A302="",C302="",B302="",E302=""),"",IFERROR(A302&amp;"|"&amp;(27+4*(IFERROR(MATCH(C302,Roster!$B$6:$B$65,0),MATCH(C302,Roster!$C$6:$C$65,0))-1)+MATCH(B302,{"AM","PM","NIGHT","WD"},0)-1),""))</f>
        <v/>
      </c>
    </row>
    <row r="303">
      <c r="A303" s="122" t="n"/>
      <c r="B303" s="107" t="n"/>
      <c r="C303" s="105" t="n"/>
      <c r="D303" s="92">
        <f>IF(C303="","",IFERROR(INDEX(Roster!$C$6:$C$65,IFERROR(MATCH(C303,Roster!$B$6:$B$65,0),MATCH(C303,Roster!$C$6:$C$65,0))),"not on the Roster"))</f>
        <v/>
      </c>
      <c r="E303" s="106" t="n"/>
      <c r="F303" s="104">
        <f>IF(OR(A303="",C303="",B303=""),"",IFERROR(INDEX(CHOOSE(IF(YEAR(A303)&gt;PlanYear,13,MONTH(A303)),'Jan'!$D$27:$AH$266,'Feb'!$D$27:$AH$266,'Mar'!$D$27:$AH$266,'Apr'!$D$27:$AH$266,'May'!$D$27:$AH$266,'Jun'!$D$27:$AH$266,'Jul'!$D$27:$AH$266,'Aug'!$D$27:$AH$266,'Sep'!$D$27:$AH$266,'Oct'!$D$27:$AH$266,'Nov'!$D$27:$AH$266,'Dec'!$D$27:$AH$266,'Jan (next year)'!$D$27:$AH$266),27+4*(IFERROR(MATCH(C303,Roster!$B$6:$B$65,0),MATCH(C303,Roster!$C$6:$C$65,0))-1)+MATCH(B303,{"AM","PM","NIGHT","WD"},0)-1-27+1,DAY(A303))&amp;"",""))</f>
        <v/>
      </c>
      <c r="G303" s="123">
        <f>IF(OR(A303="",C303="",B303="",E303=""),"",IFERROR(A303&amp;"|"&amp;(27+4*(IFERROR(MATCH(C303,Roster!$B$6:$B$65,0),MATCH(C303,Roster!$C$6:$C$65,0))-1)+MATCH(B303,{"AM","PM","NIGHT","WD"},0)-1),""))</f>
        <v/>
      </c>
    </row>
    <row r="304">
      <c r="A304" s="122" t="n"/>
      <c r="B304" s="107" t="n"/>
      <c r="C304" s="105" t="n"/>
      <c r="D304" s="92">
        <f>IF(C304="","",IFERROR(INDEX(Roster!$C$6:$C$65,IFERROR(MATCH(C304,Roster!$B$6:$B$65,0),MATCH(C304,Roster!$C$6:$C$65,0))),"not on the Roster"))</f>
        <v/>
      </c>
      <c r="E304" s="106" t="n"/>
      <c r="F304" s="104">
        <f>IF(OR(A304="",C304="",B304=""),"",IFERROR(INDEX(CHOOSE(IF(YEAR(A304)&gt;PlanYear,13,MONTH(A304)),'Jan'!$D$27:$AH$266,'Feb'!$D$27:$AH$266,'Mar'!$D$27:$AH$266,'Apr'!$D$27:$AH$266,'May'!$D$27:$AH$266,'Jun'!$D$27:$AH$266,'Jul'!$D$27:$AH$266,'Aug'!$D$27:$AH$266,'Sep'!$D$27:$AH$266,'Oct'!$D$27:$AH$266,'Nov'!$D$27:$AH$266,'Dec'!$D$27:$AH$266,'Jan (next year)'!$D$27:$AH$266),27+4*(IFERROR(MATCH(C304,Roster!$B$6:$B$65,0),MATCH(C304,Roster!$C$6:$C$65,0))-1)+MATCH(B304,{"AM","PM","NIGHT","WD"},0)-1-27+1,DAY(A304))&amp;"",""))</f>
        <v/>
      </c>
      <c r="G304" s="123">
        <f>IF(OR(A304="",C304="",B304="",E304=""),"",IFERROR(A304&amp;"|"&amp;(27+4*(IFERROR(MATCH(C304,Roster!$B$6:$B$65,0),MATCH(C304,Roster!$C$6:$C$65,0))-1)+MATCH(B304,{"AM","PM","NIGHT","WD"},0)-1),""))</f>
        <v/>
      </c>
    </row>
    <row r="305">
      <c r="A305" s="122" t="n"/>
      <c r="B305" s="107" t="n"/>
      <c r="C305" s="105" t="n"/>
      <c r="D305" s="92">
        <f>IF(C305="","",IFERROR(INDEX(Roster!$C$6:$C$65,IFERROR(MATCH(C305,Roster!$B$6:$B$65,0),MATCH(C305,Roster!$C$6:$C$65,0))),"not on the Roster"))</f>
        <v/>
      </c>
      <c r="E305" s="106" t="n"/>
      <c r="F305" s="104">
        <f>IF(OR(A305="",C305="",B305=""),"",IFERROR(INDEX(CHOOSE(IF(YEAR(A305)&gt;PlanYear,13,MONTH(A305)),'Jan'!$D$27:$AH$266,'Feb'!$D$27:$AH$266,'Mar'!$D$27:$AH$266,'Apr'!$D$27:$AH$266,'May'!$D$27:$AH$266,'Jun'!$D$27:$AH$266,'Jul'!$D$27:$AH$266,'Aug'!$D$27:$AH$266,'Sep'!$D$27:$AH$266,'Oct'!$D$27:$AH$266,'Nov'!$D$27:$AH$266,'Dec'!$D$27:$AH$266,'Jan (next year)'!$D$27:$AH$266),27+4*(IFERROR(MATCH(C305,Roster!$B$6:$B$65,0),MATCH(C305,Roster!$C$6:$C$65,0))-1)+MATCH(B305,{"AM","PM","NIGHT","WD"},0)-1-27+1,DAY(A305))&amp;"",""))</f>
        <v/>
      </c>
      <c r="G305" s="123">
        <f>IF(OR(A305="",C305="",B305="",E305=""),"",IFERROR(A305&amp;"|"&amp;(27+4*(IFERROR(MATCH(C305,Roster!$B$6:$B$65,0),MATCH(C305,Roster!$C$6:$C$65,0))-1)+MATCH(B305,{"AM","PM","NIGHT","WD"},0)-1),""))</f>
        <v/>
      </c>
    </row>
    <row r="306">
      <c r="A306" s="122" t="n"/>
      <c r="B306" s="107" t="n"/>
      <c r="C306" s="105" t="n"/>
      <c r="D306" s="92">
        <f>IF(C306="","",IFERROR(INDEX(Roster!$C$6:$C$65,IFERROR(MATCH(C306,Roster!$B$6:$B$65,0),MATCH(C306,Roster!$C$6:$C$65,0))),"not on the Roster"))</f>
        <v/>
      </c>
      <c r="E306" s="106" t="n"/>
      <c r="F306" s="104">
        <f>IF(OR(A306="",C306="",B306=""),"",IFERROR(INDEX(CHOOSE(IF(YEAR(A306)&gt;PlanYear,13,MONTH(A306)),'Jan'!$D$27:$AH$266,'Feb'!$D$27:$AH$266,'Mar'!$D$27:$AH$266,'Apr'!$D$27:$AH$266,'May'!$D$27:$AH$266,'Jun'!$D$27:$AH$266,'Jul'!$D$27:$AH$266,'Aug'!$D$27:$AH$266,'Sep'!$D$27:$AH$266,'Oct'!$D$27:$AH$266,'Nov'!$D$27:$AH$266,'Dec'!$D$27:$AH$266,'Jan (next year)'!$D$27:$AH$266),27+4*(IFERROR(MATCH(C306,Roster!$B$6:$B$65,0),MATCH(C306,Roster!$C$6:$C$65,0))-1)+MATCH(B306,{"AM","PM","NIGHT","WD"},0)-1-27+1,DAY(A306))&amp;"",""))</f>
        <v/>
      </c>
      <c r="G306" s="123">
        <f>IF(OR(A306="",C306="",B306="",E306=""),"",IFERROR(A306&amp;"|"&amp;(27+4*(IFERROR(MATCH(C306,Roster!$B$6:$B$65,0),MATCH(C306,Roster!$C$6:$C$65,0))-1)+MATCH(B306,{"AM","PM","NIGHT","WD"},0)-1),""))</f>
        <v/>
      </c>
    </row>
    <row r="307">
      <c r="A307" s="122" t="n"/>
      <c r="B307" s="107" t="n"/>
      <c r="C307" s="105" t="n"/>
      <c r="D307" s="92">
        <f>IF(C307="","",IFERROR(INDEX(Roster!$C$6:$C$65,IFERROR(MATCH(C307,Roster!$B$6:$B$65,0),MATCH(C307,Roster!$C$6:$C$65,0))),"not on the Roster"))</f>
        <v/>
      </c>
      <c r="E307" s="106" t="n"/>
      <c r="F307" s="104">
        <f>IF(OR(A307="",C307="",B307=""),"",IFERROR(INDEX(CHOOSE(IF(YEAR(A307)&gt;PlanYear,13,MONTH(A307)),'Jan'!$D$27:$AH$266,'Feb'!$D$27:$AH$266,'Mar'!$D$27:$AH$266,'Apr'!$D$27:$AH$266,'May'!$D$27:$AH$266,'Jun'!$D$27:$AH$266,'Jul'!$D$27:$AH$266,'Aug'!$D$27:$AH$266,'Sep'!$D$27:$AH$266,'Oct'!$D$27:$AH$266,'Nov'!$D$27:$AH$266,'Dec'!$D$27:$AH$266,'Jan (next year)'!$D$27:$AH$266),27+4*(IFERROR(MATCH(C307,Roster!$B$6:$B$65,0),MATCH(C307,Roster!$C$6:$C$65,0))-1)+MATCH(B307,{"AM","PM","NIGHT","WD"},0)-1-27+1,DAY(A307))&amp;"",""))</f>
        <v/>
      </c>
      <c r="G307" s="123">
        <f>IF(OR(A307="",C307="",B307="",E307=""),"",IFERROR(A307&amp;"|"&amp;(27+4*(IFERROR(MATCH(C307,Roster!$B$6:$B$65,0),MATCH(C307,Roster!$C$6:$C$65,0))-1)+MATCH(B307,{"AM","PM","NIGHT","WD"},0)-1),""))</f>
        <v/>
      </c>
    </row>
    <row r="308">
      <c r="A308" s="122" t="n"/>
      <c r="B308" s="107" t="n"/>
      <c r="C308" s="105" t="n"/>
      <c r="D308" s="92">
        <f>IF(C308="","",IFERROR(INDEX(Roster!$C$6:$C$65,IFERROR(MATCH(C308,Roster!$B$6:$B$65,0),MATCH(C308,Roster!$C$6:$C$65,0))),"not on the Roster"))</f>
        <v/>
      </c>
      <c r="E308" s="106" t="n"/>
      <c r="F308" s="104">
        <f>IF(OR(A308="",C308="",B308=""),"",IFERROR(INDEX(CHOOSE(IF(YEAR(A308)&gt;PlanYear,13,MONTH(A308)),'Jan'!$D$27:$AH$266,'Feb'!$D$27:$AH$266,'Mar'!$D$27:$AH$266,'Apr'!$D$27:$AH$266,'May'!$D$27:$AH$266,'Jun'!$D$27:$AH$266,'Jul'!$D$27:$AH$266,'Aug'!$D$27:$AH$266,'Sep'!$D$27:$AH$266,'Oct'!$D$27:$AH$266,'Nov'!$D$27:$AH$266,'Dec'!$D$27:$AH$266,'Jan (next year)'!$D$27:$AH$266),27+4*(IFERROR(MATCH(C308,Roster!$B$6:$B$65,0),MATCH(C308,Roster!$C$6:$C$65,0))-1)+MATCH(B308,{"AM","PM","NIGHT","WD"},0)-1-27+1,DAY(A308))&amp;"",""))</f>
        <v/>
      </c>
      <c r="G308" s="123">
        <f>IF(OR(A308="",C308="",B308="",E308=""),"",IFERROR(A308&amp;"|"&amp;(27+4*(IFERROR(MATCH(C308,Roster!$B$6:$B$65,0),MATCH(C308,Roster!$C$6:$C$65,0))-1)+MATCH(B308,{"AM","PM","NIGHT","WD"},0)-1),""))</f>
        <v/>
      </c>
    </row>
    <row r="309">
      <c r="A309" s="122" t="n"/>
      <c r="B309" s="107" t="n"/>
      <c r="C309" s="105" t="n"/>
      <c r="D309" s="92">
        <f>IF(C309="","",IFERROR(INDEX(Roster!$C$6:$C$65,IFERROR(MATCH(C309,Roster!$B$6:$B$65,0),MATCH(C309,Roster!$C$6:$C$65,0))),"not on the Roster"))</f>
        <v/>
      </c>
      <c r="E309" s="106" t="n"/>
      <c r="F309" s="104">
        <f>IF(OR(A309="",C309="",B309=""),"",IFERROR(INDEX(CHOOSE(IF(YEAR(A309)&gt;PlanYear,13,MONTH(A309)),'Jan'!$D$27:$AH$266,'Feb'!$D$27:$AH$266,'Mar'!$D$27:$AH$266,'Apr'!$D$27:$AH$266,'May'!$D$27:$AH$266,'Jun'!$D$27:$AH$266,'Jul'!$D$27:$AH$266,'Aug'!$D$27:$AH$266,'Sep'!$D$27:$AH$266,'Oct'!$D$27:$AH$266,'Nov'!$D$27:$AH$266,'Dec'!$D$27:$AH$266,'Jan (next year)'!$D$27:$AH$266),27+4*(IFERROR(MATCH(C309,Roster!$B$6:$B$65,0),MATCH(C309,Roster!$C$6:$C$65,0))-1)+MATCH(B309,{"AM","PM","NIGHT","WD"},0)-1-27+1,DAY(A309))&amp;"",""))</f>
        <v/>
      </c>
      <c r="G309" s="123">
        <f>IF(OR(A309="",C309="",B309="",E309=""),"",IFERROR(A309&amp;"|"&amp;(27+4*(IFERROR(MATCH(C309,Roster!$B$6:$B$65,0),MATCH(C309,Roster!$C$6:$C$65,0))-1)+MATCH(B309,{"AM","PM","NIGHT","WD"},0)-1),""))</f>
        <v/>
      </c>
    </row>
    <row r="310">
      <c r="A310" s="122" t="n"/>
      <c r="B310" s="107" t="n"/>
      <c r="C310" s="105" t="n"/>
      <c r="D310" s="92">
        <f>IF(C310="","",IFERROR(INDEX(Roster!$C$6:$C$65,IFERROR(MATCH(C310,Roster!$B$6:$B$65,0),MATCH(C310,Roster!$C$6:$C$65,0))),"not on the Roster"))</f>
        <v/>
      </c>
      <c r="E310" s="106" t="n"/>
      <c r="F310" s="104">
        <f>IF(OR(A310="",C310="",B310=""),"",IFERROR(INDEX(CHOOSE(IF(YEAR(A310)&gt;PlanYear,13,MONTH(A310)),'Jan'!$D$27:$AH$266,'Feb'!$D$27:$AH$266,'Mar'!$D$27:$AH$266,'Apr'!$D$27:$AH$266,'May'!$D$27:$AH$266,'Jun'!$D$27:$AH$266,'Jul'!$D$27:$AH$266,'Aug'!$D$27:$AH$266,'Sep'!$D$27:$AH$266,'Oct'!$D$27:$AH$266,'Nov'!$D$27:$AH$266,'Dec'!$D$27:$AH$266,'Jan (next year)'!$D$27:$AH$266),27+4*(IFERROR(MATCH(C310,Roster!$B$6:$B$65,0),MATCH(C310,Roster!$C$6:$C$65,0))-1)+MATCH(B310,{"AM","PM","NIGHT","WD"},0)-1-27+1,DAY(A310))&amp;"",""))</f>
        <v/>
      </c>
      <c r="G310" s="123">
        <f>IF(OR(A310="",C310="",B310="",E310=""),"",IFERROR(A310&amp;"|"&amp;(27+4*(IFERROR(MATCH(C310,Roster!$B$6:$B$65,0),MATCH(C310,Roster!$C$6:$C$65,0))-1)+MATCH(B310,{"AM","PM","NIGHT","WD"},0)-1),""))</f>
        <v/>
      </c>
    </row>
    <row r="311">
      <c r="A311" s="122" t="n"/>
      <c r="B311" s="107" t="n"/>
      <c r="C311" s="105" t="n"/>
      <c r="D311" s="92">
        <f>IF(C311="","",IFERROR(INDEX(Roster!$C$6:$C$65,IFERROR(MATCH(C311,Roster!$B$6:$B$65,0),MATCH(C311,Roster!$C$6:$C$65,0))),"not on the Roster"))</f>
        <v/>
      </c>
      <c r="E311" s="106" t="n"/>
      <c r="F311" s="104">
        <f>IF(OR(A311="",C311="",B311=""),"",IFERROR(INDEX(CHOOSE(IF(YEAR(A311)&gt;PlanYear,13,MONTH(A311)),'Jan'!$D$27:$AH$266,'Feb'!$D$27:$AH$266,'Mar'!$D$27:$AH$266,'Apr'!$D$27:$AH$266,'May'!$D$27:$AH$266,'Jun'!$D$27:$AH$266,'Jul'!$D$27:$AH$266,'Aug'!$D$27:$AH$266,'Sep'!$D$27:$AH$266,'Oct'!$D$27:$AH$266,'Nov'!$D$27:$AH$266,'Dec'!$D$27:$AH$266,'Jan (next year)'!$D$27:$AH$266),27+4*(IFERROR(MATCH(C311,Roster!$B$6:$B$65,0),MATCH(C311,Roster!$C$6:$C$65,0))-1)+MATCH(B311,{"AM","PM","NIGHT","WD"},0)-1-27+1,DAY(A311))&amp;"",""))</f>
        <v/>
      </c>
      <c r="G311" s="123">
        <f>IF(OR(A311="",C311="",B311="",E311=""),"",IFERROR(A311&amp;"|"&amp;(27+4*(IFERROR(MATCH(C311,Roster!$B$6:$B$65,0),MATCH(C311,Roster!$C$6:$C$65,0))-1)+MATCH(B311,{"AM","PM","NIGHT","WD"},0)-1),""))</f>
        <v/>
      </c>
    </row>
    <row r="312">
      <c r="A312" s="122" t="n"/>
      <c r="B312" s="107" t="n"/>
      <c r="C312" s="105" t="n"/>
      <c r="D312" s="92">
        <f>IF(C312="","",IFERROR(INDEX(Roster!$C$6:$C$65,IFERROR(MATCH(C312,Roster!$B$6:$B$65,0),MATCH(C312,Roster!$C$6:$C$65,0))),"not on the Roster"))</f>
        <v/>
      </c>
      <c r="E312" s="106" t="n"/>
      <c r="F312" s="104">
        <f>IF(OR(A312="",C312="",B312=""),"",IFERROR(INDEX(CHOOSE(IF(YEAR(A312)&gt;PlanYear,13,MONTH(A312)),'Jan'!$D$27:$AH$266,'Feb'!$D$27:$AH$266,'Mar'!$D$27:$AH$266,'Apr'!$D$27:$AH$266,'May'!$D$27:$AH$266,'Jun'!$D$27:$AH$266,'Jul'!$D$27:$AH$266,'Aug'!$D$27:$AH$266,'Sep'!$D$27:$AH$266,'Oct'!$D$27:$AH$266,'Nov'!$D$27:$AH$266,'Dec'!$D$27:$AH$266,'Jan (next year)'!$D$27:$AH$266),27+4*(IFERROR(MATCH(C312,Roster!$B$6:$B$65,0),MATCH(C312,Roster!$C$6:$C$65,0))-1)+MATCH(B312,{"AM","PM","NIGHT","WD"},0)-1-27+1,DAY(A312))&amp;"",""))</f>
        <v/>
      </c>
      <c r="G312" s="123">
        <f>IF(OR(A312="",C312="",B312="",E312=""),"",IFERROR(A312&amp;"|"&amp;(27+4*(IFERROR(MATCH(C312,Roster!$B$6:$B$65,0),MATCH(C312,Roster!$C$6:$C$65,0))-1)+MATCH(B312,{"AM","PM","NIGHT","WD"},0)-1),""))</f>
        <v/>
      </c>
    </row>
    <row r="313">
      <c r="A313" s="122" t="n"/>
      <c r="B313" s="107" t="n"/>
      <c r="C313" s="105" t="n"/>
      <c r="D313" s="92">
        <f>IF(C313="","",IFERROR(INDEX(Roster!$C$6:$C$65,IFERROR(MATCH(C313,Roster!$B$6:$B$65,0),MATCH(C313,Roster!$C$6:$C$65,0))),"not on the Roster"))</f>
        <v/>
      </c>
      <c r="E313" s="106" t="n"/>
      <c r="F313" s="104">
        <f>IF(OR(A313="",C313="",B313=""),"",IFERROR(INDEX(CHOOSE(IF(YEAR(A313)&gt;PlanYear,13,MONTH(A313)),'Jan'!$D$27:$AH$266,'Feb'!$D$27:$AH$266,'Mar'!$D$27:$AH$266,'Apr'!$D$27:$AH$266,'May'!$D$27:$AH$266,'Jun'!$D$27:$AH$266,'Jul'!$D$27:$AH$266,'Aug'!$D$27:$AH$266,'Sep'!$D$27:$AH$266,'Oct'!$D$27:$AH$266,'Nov'!$D$27:$AH$266,'Dec'!$D$27:$AH$266,'Jan (next year)'!$D$27:$AH$266),27+4*(IFERROR(MATCH(C313,Roster!$B$6:$B$65,0),MATCH(C313,Roster!$C$6:$C$65,0))-1)+MATCH(B313,{"AM","PM","NIGHT","WD"},0)-1-27+1,DAY(A313))&amp;"",""))</f>
        <v/>
      </c>
      <c r="G313" s="123">
        <f>IF(OR(A313="",C313="",B313="",E313=""),"",IFERROR(A313&amp;"|"&amp;(27+4*(IFERROR(MATCH(C313,Roster!$B$6:$B$65,0),MATCH(C313,Roster!$C$6:$C$65,0))-1)+MATCH(B313,{"AM","PM","NIGHT","WD"},0)-1),""))</f>
        <v/>
      </c>
    </row>
    <row r="314">
      <c r="A314" s="122" t="n"/>
      <c r="B314" s="107" t="n"/>
      <c r="C314" s="105" t="n"/>
      <c r="D314" s="92">
        <f>IF(C314="","",IFERROR(INDEX(Roster!$C$6:$C$65,IFERROR(MATCH(C314,Roster!$B$6:$B$65,0),MATCH(C314,Roster!$C$6:$C$65,0))),"not on the Roster"))</f>
        <v/>
      </c>
      <c r="E314" s="106" t="n"/>
      <c r="F314" s="104">
        <f>IF(OR(A314="",C314="",B314=""),"",IFERROR(INDEX(CHOOSE(IF(YEAR(A314)&gt;PlanYear,13,MONTH(A314)),'Jan'!$D$27:$AH$266,'Feb'!$D$27:$AH$266,'Mar'!$D$27:$AH$266,'Apr'!$D$27:$AH$266,'May'!$D$27:$AH$266,'Jun'!$D$27:$AH$266,'Jul'!$D$27:$AH$266,'Aug'!$D$27:$AH$266,'Sep'!$D$27:$AH$266,'Oct'!$D$27:$AH$266,'Nov'!$D$27:$AH$266,'Dec'!$D$27:$AH$266,'Jan (next year)'!$D$27:$AH$266),27+4*(IFERROR(MATCH(C314,Roster!$B$6:$B$65,0),MATCH(C314,Roster!$C$6:$C$65,0))-1)+MATCH(B314,{"AM","PM","NIGHT","WD"},0)-1-27+1,DAY(A314))&amp;"",""))</f>
        <v/>
      </c>
      <c r="G314" s="123">
        <f>IF(OR(A314="",C314="",B314="",E314=""),"",IFERROR(A314&amp;"|"&amp;(27+4*(IFERROR(MATCH(C314,Roster!$B$6:$B$65,0),MATCH(C314,Roster!$C$6:$C$65,0))-1)+MATCH(B314,{"AM","PM","NIGHT","WD"},0)-1),""))</f>
        <v/>
      </c>
    </row>
    <row r="315">
      <c r="A315" s="122" t="n"/>
      <c r="B315" s="107" t="n"/>
      <c r="C315" s="105" t="n"/>
      <c r="D315" s="92">
        <f>IF(C315="","",IFERROR(INDEX(Roster!$C$6:$C$65,IFERROR(MATCH(C315,Roster!$B$6:$B$65,0),MATCH(C315,Roster!$C$6:$C$65,0))),"not on the Roster"))</f>
        <v/>
      </c>
      <c r="E315" s="106" t="n"/>
      <c r="F315" s="104">
        <f>IF(OR(A315="",C315="",B315=""),"",IFERROR(INDEX(CHOOSE(IF(YEAR(A315)&gt;PlanYear,13,MONTH(A315)),'Jan'!$D$27:$AH$266,'Feb'!$D$27:$AH$266,'Mar'!$D$27:$AH$266,'Apr'!$D$27:$AH$266,'May'!$D$27:$AH$266,'Jun'!$D$27:$AH$266,'Jul'!$D$27:$AH$266,'Aug'!$D$27:$AH$266,'Sep'!$D$27:$AH$266,'Oct'!$D$27:$AH$266,'Nov'!$D$27:$AH$266,'Dec'!$D$27:$AH$266,'Jan (next year)'!$D$27:$AH$266),27+4*(IFERROR(MATCH(C315,Roster!$B$6:$B$65,0),MATCH(C315,Roster!$C$6:$C$65,0))-1)+MATCH(B315,{"AM","PM","NIGHT","WD"},0)-1-27+1,DAY(A315))&amp;"",""))</f>
        <v/>
      </c>
      <c r="G315" s="123">
        <f>IF(OR(A315="",C315="",B315="",E315=""),"",IFERROR(A315&amp;"|"&amp;(27+4*(IFERROR(MATCH(C315,Roster!$B$6:$B$65,0),MATCH(C315,Roster!$C$6:$C$65,0))-1)+MATCH(B315,{"AM","PM","NIGHT","WD"},0)-1),""))</f>
        <v/>
      </c>
    </row>
    <row r="316">
      <c r="A316" s="122" t="n"/>
      <c r="B316" s="107" t="n"/>
      <c r="C316" s="105" t="n"/>
      <c r="D316" s="92">
        <f>IF(C316="","",IFERROR(INDEX(Roster!$C$6:$C$65,IFERROR(MATCH(C316,Roster!$B$6:$B$65,0),MATCH(C316,Roster!$C$6:$C$65,0))),"not on the Roster"))</f>
        <v/>
      </c>
      <c r="E316" s="106" t="n"/>
      <c r="F316" s="104">
        <f>IF(OR(A316="",C316="",B316=""),"",IFERROR(INDEX(CHOOSE(IF(YEAR(A316)&gt;PlanYear,13,MONTH(A316)),'Jan'!$D$27:$AH$266,'Feb'!$D$27:$AH$266,'Mar'!$D$27:$AH$266,'Apr'!$D$27:$AH$266,'May'!$D$27:$AH$266,'Jun'!$D$27:$AH$266,'Jul'!$D$27:$AH$266,'Aug'!$D$27:$AH$266,'Sep'!$D$27:$AH$266,'Oct'!$D$27:$AH$266,'Nov'!$D$27:$AH$266,'Dec'!$D$27:$AH$266,'Jan (next year)'!$D$27:$AH$266),27+4*(IFERROR(MATCH(C316,Roster!$B$6:$B$65,0),MATCH(C316,Roster!$C$6:$C$65,0))-1)+MATCH(B316,{"AM","PM","NIGHT","WD"},0)-1-27+1,DAY(A316))&amp;"",""))</f>
        <v/>
      </c>
      <c r="G316" s="123">
        <f>IF(OR(A316="",C316="",B316="",E316=""),"",IFERROR(A316&amp;"|"&amp;(27+4*(IFERROR(MATCH(C316,Roster!$B$6:$B$65,0),MATCH(C316,Roster!$C$6:$C$65,0))-1)+MATCH(B316,{"AM","PM","NIGHT","WD"},0)-1),""))</f>
        <v/>
      </c>
    </row>
    <row r="317">
      <c r="A317" s="122" t="n"/>
      <c r="B317" s="107" t="n"/>
      <c r="C317" s="105" t="n"/>
      <c r="D317" s="92">
        <f>IF(C317="","",IFERROR(INDEX(Roster!$C$6:$C$65,IFERROR(MATCH(C317,Roster!$B$6:$B$65,0),MATCH(C317,Roster!$C$6:$C$65,0))),"not on the Roster"))</f>
        <v/>
      </c>
      <c r="E317" s="106" t="n"/>
      <c r="F317" s="104">
        <f>IF(OR(A317="",C317="",B317=""),"",IFERROR(INDEX(CHOOSE(IF(YEAR(A317)&gt;PlanYear,13,MONTH(A317)),'Jan'!$D$27:$AH$266,'Feb'!$D$27:$AH$266,'Mar'!$D$27:$AH$266,'Apr'!$D$27:$AH$266,'May'!$D$27:$AH$266,'Jun'!$D$27:$AH$266,'Jul'!$D$27:$AH$266,'Aug'!$D$27:$AH$266,'Sep'!$D$27:$AH$266,'Oct'!$D$27:$AH$266,'Nov'!$D$27:$AH$266,'Dec'!$D$27:$AH$266,'Jan (next year)'!$D$27:$AH$266),27+4*(IFERROR(MATCH(C317,Roster!$B$6:$B$65,0),MATCH(C317,Roster!$C$6:$C$65,0))-1)+MATCH(B317,{"AM","PM","NIGHT","WD"},0)-1-27+1,DAY(A317))&amp;"",""))</f>
        <v/>
      </c>
      <c r="G317" s="123">
        <f>IF(OR(A317="",C317="",B317="",E317=""),"",IFERROR(A317&amp;"|"&amp;(27+4*(IFERROR(MATCH(C317,Roster!$B$6:$B$65,0),MATCH(C317,Roster!$C$6:$C$65,0))-1)+MATCH(B317,{"AM","PM","NIGHT","WD"},0)-1),""))</f>
        <v/>
      </c>
    </row>
    <row r="318">
      <c r="A318" s="122" t="n"/>
      <c r="B318" s="107" t="n"/>
      <c r="C318" s="105" t="n"/>
      <c r="D318" s="92">
        <f>IF(C318="","",IFERROR(INDEX(Roster!$C$6:$C$65,IFERROR(MATCH(C318,Roster!$B$6:$B$65,0),MATCH(C318,Roster!$C$6:$C$65,0))),"not on the Roster"))</f>
        <v/>
      </c>
      <c r="E318" s="106" t="n"/>
      <c r="F318" s="104">
        <f>IF(OR(A318="",C318="",B318=""),"",IFERROR(INDEX(CHOOSE(IF(YEAR(A318)&gt;PlanYear,13,MONTH(A318)),'Jan'!$D$27:$AH$266,'Feb'!$D$27:$AH$266,'Mar'!$D$27:$AH$266,'Apr'!$D$27:$AH$266,'May'!$D$27:$AH$266,'Jun'!$D$27:$AH$266,'Jul'!$D$27:$AH$266,'Aug'!$D$27:$AH$266,'Sep'!$D$27:$AH$266,'Oct'!$D$27:$AH$266,'Nov'!$D$27:$AH$266,'Dec'!$D$27:$AH$266,'Jan (next year)'!$D$27:$AH$266),27+4*(IFERROR(MATCH(C318,Roster!$B$6:$B$65,0),MATCH(C318,Roster!$C$6:$C$65,0))-1)+MATCH(B318,{"AM","PM","NIGHT","WD"},0)-1-27+1,DAY(A318))&amp;"",""))</f>
        <v/>
      </c>
      <c r="G318" s="123">
        <f>IF(OR(A318="",C318="",B318="",E318=""),"",IFERROR(A318&amp;"|"&amp;(27+4*(IFERROR(MATCH(C318,Roster!$B$6:$B$65,0),MATCH(C318,Roster!$C$6:$C$65,0))-1)+MATCH(B318,{"AM","PM","NIGHT","WD"},0)-1),""))</f>
        <v/>
      </c>
    </row>
    <row r="319">
      <c r="A319" s="122" t="n"/>
      <c r="B319" s="107" t="n"/>
      <c r="C319" s="105" t="n"/>
      <c r="D319" s="92">
        <f>IF(C319="","",IFERROR(INDEX(Roster!$C$6:$C$65,IFERROR(MATCH(C319,Roster!$B$6:$B$65,0),MATCH(C319,Roster!$C$6:$C$65,0))),"not on the Roster"))</f>
        <v/>
      </c>
      <c r="E319" s="106" t="n"/>
      <c r="F319" s="104">
        <f>IF(OR(A319="",C319="",B319=""),"",IFERROR(INDEX(CHOOSE(IF(YEAR(A319)&gt;PlanYear,13,MONTH(A319)),'Jan'!$D$27:$AH$266,'Feb'!$D$27:$AH$266,'Mar'!$D$27:$AH$266,'Apr'!$D$27:$AH$266,'May'!$D$27:$AH$266,'Jun'!$D$27:$AH$266,'Jul'!$D$27:$AH$266,'Aug'!$D$27:$AH$266,'Sep'!$D$27:$AH$266,'Oct'!$D$27:$AH$266,'Nov'!$D$27:$AH$266,'Dec'!$D$27:$AH$266,'Jan (next year)'!$D$27:$AH$266),27+4*(IFERROR(MATCH(C319,Roster!$B$6:$B$65,0),MATCH(C319,Roster!$C$6:$C$65,0))-1)+MATCH(B319,{"AM","PM","NIGHT","WD"},0)-1-27+1,DAY(A319))&amp;"",""))</f>
        <v/>
      </c>
      <c r="G319" s="123">
        <f>IF(OR(A319="",C319="",B319="",E319=""),"",IFERROR(A319&amp;"|"&amp;(27+4*(IFERROR(MATCH(C319,Roster!$B$6:$B$65,0),MATCH(C319,Roster!$C$6:$C$65,0))-1)+MATCH(B319,{"AM","PM","NIGHT","WD"},0)-1),""))</f>
        <v/>
      </c>
    </row>
    <row r="320">
      <c r="A320" s="122" t="n"/>
      <c r="B320" s="107" t="n"/>
      <c r="C320" s="105" t="n"/>
      <c r="D320" s="92">
        <f>IF(C320="","",IFERROR(INDEX(Roster!$C$6:$C$65,IFERROR(MATCH(C320,Roster!$B$6:$B$65,0),MATCH(C320,Roster!$C$6:$C$65,0))),"not on the Roster"))</f>
        <v/>
      </c>
      <c r="E320" s="106" t="n"/>
      <c r="F320" s="104">
        <f>IF(OR(A320="",C320="",B320=""),"",IFERROR(INDEX(CHOOSE(IF(YEAR(A320)&gt;PlanYear,13,MONTH(A320)),'Jan'!$D$27:$AH$266,'Feb'!$D$27:$AH$266,'Mar'!$D$27:$AH$266,'Apr'!$D$27:$AH$266,'May'!$D$27:$AH$266,'Jun'!$D$27:$AH$266,'Jul'!$D$27:$AH$266,'Aug'!$D$27:$AH$266,'Sep'!$D$27:$AH$266,'Oct'!$D$27:$AH$266,'Nov'!$D$27:$AH$266,'Dec'!$D$27:$AH$266,'Jan (next year)'!$D$27:$AH$266),27+4*(IFERROR(MATCH(C320,Roster!$B$6:$B$65,0),MATCH(C320,Roster!$C$6:$C$65,0))-1)+MATCH(B320,{"AM","PM","NIGHT","WD"},0)-1-27+1,DAY(A320))&amp;"",""))</f>
        <v/>
      </c>
      <c r="G320" s="123">
        <f>IF(OR(A320="",C320="",B320="",E320=""),"",IFERROR(A320&amp;"|"&amp;(27+4*(IFERROR(MATCH(C320,Roster!$B$6:$B$65,0),MATCH(C320,Roster!$C$6:$C$65,0))-1)+MATCH(B320,{"AM","PM","NIGHT","WD"},0)-1),""))</f>
        <v/>
      </c>
    </row>
    <row r="321">
      <c r="A321" s="122" t="n"/>
      <c r="B321" s="107" t="n"/>
      <c r="C321" s="105" t="n"/>
      <c r="D321" s="92">
        <f>IF(C321="","",IFERROR(INDEX(Roster!$C$6:$C$65,IFERROR(MATCH(C321,Roster!$B$6:$B$65,0),MATCH(C321,Roster!$C$6:$C$65,0))),"not on the Roster"))</f>
        <v/>
      </c>
      <c r="E321" s="106" t="n"/>
      <c r="F321" s="104">
        <f>IF(OR(A321="",C321="",B321=""),"",IFERROR(INDEX(CHOOSE(IF(YEAR(A321)&gt;PlanYear,13,MONTH(A321)),'Jan'!$D$27:$AH$266,'Feb'!$D$27:$AH$266,'Mar'!$D$27:$AH$266,'Apr'!$D$27:$AH$266,'May'!$D$27:$AH$266,'Jun'!$D$27:$AH$266,'Jul'!$D$27:$AH$266,'Aug'!$D$27:$AH$266,'Sep'!$D$27:$AH$266,'Oct'!$D$27:$AH$266,'Nov'!$D$27:$AH$266,'Dec'!$D$27:$AH$266,'Jan (next year)'!$D$27:$AH$266),27+4*(IFERROR(MATCH(C321,Roster!$B$6:$B$65,0),MATCH(C321,Roster!$C$6:$C$65,0))-1)+MATCH(B321,{"AM","PM","NIGHT","WD"},0)-1-27+1,DAY(A321))&amp;"",""))</f>
        <v/>
      </c>
      <c r="G321" s="123">
        <f>IF(OR(A321="",C321="",B321="",E321=""),"",IFERROR(A321&amp;"|"&amp;(27+4*(IFERROR(MATCH(C321,Roster!$B$6:$B$65,0),MATCH(C321,Roster!$C$6:$C$65,0))-1)+MATCH(B321,{"AM","PM","NIGHT","WD"},0)-1),""))</f>
        <v/>
      </c>
    </row>
    <row r="322">
      <c r="A322" s="122" t="n"/>
      <c r="B322" s="107" t="n"/>
      <c r="C322" s="105" t="n"/>
      <c r="D322" s="92">
        <f>IF(C322="","",IFERROR(INDEX(Roster!$C$6:$C$65,IFERROR(MATCH(C322,Roster!$B$6:$B$65,0),MATCH(C322,Roster!$C$6:$C$65,0))),"not on the Roster"))</f>
        <v/>
      </c>
      <c r="E322" s="106" t="n"/>
      <c r="F322" s="104">
        <f>IF(OR(A322="",C322="",B322=""),"",IFERROR(INDEX(CHOOSE(IF(YEAR(A322)&gt;PlanYear,13,MONTH(A322)),'Jan'!$D$27:$AH$266,'Feb'!$D$27:$AH$266,'Mar'!$D$27:$AH$266,'Apr'!$D$27:$AH$266,'May'!$D$27:$AH$266,'Jun'!$D$27:$AH$266,'Jul'!$D$27:$AH$266,'Aug'!$D$27:$AH$266,'Sep'!$D$27:$AH$266,'Oct'!$D$27:$AH$266,'Nov'!$D$27:$AH$266,'Dec'!$D$27:$AH$266,'Jan (next year)'!$D$27:$AH$266),27+4*(IFERROR(MATCH(C322,Roster!$B$6:$B$65,0),MATCH(C322,Roster!$C$6:$C$65,0))-1)+MATCH(B322,{"AM","PM","NIGHT","WD"},0)-1-27+1,DAY(A322))&amp;"",""))</f>
        <v/>
      </c>
      <c r="G322" s="123">
        <f>IF(OR(A322="",C322="",B322="",E322=""),"",IFERROR(A322&amp;"|"&amp;(27+4*(IFERROR(MATCH(C322,Roster!$B$6:$B$65,0),MATCH(C322,Roster!$C$6:$C$65,0))-1)+MATCH(B322,{"AM","PM","NIGHT","WD"},0)-1),""))</f>
        <v/>
      </c>
    </row>
    <row r="323">
      <c r="A323" s="122" t="n"/>
      <c r="B323" s="107" t="n"/>
      <c r="C323" s="105" t="n"/>
      <c r="D323" s="92">
        <f>IF(C323="","",IFERROR(INDEX(Roster!$C$6:$C$65,IFERROR(MATCH(C323,Roster!$B$6:$B$65,0),MATCH(C323,Roster!$C$6:$C$65,0))),"not on the Roster"))</f>
        <v/>
      </c>
      <c r="E323" s="106" t="n"/>
      <c r="F323" s="104">
        <f>IF(OR(A323="",C323="",B323=""),"",IFERROR(INDEX(CHOOSE(IF(YEAR(A323)&gt;PlanYear,13,MONTH(A323)),'Jan'!$D$27:$AH$266,'Feb'!$D$27:$AH$266,'Mar'!$D$27:$AH$266,'Apr'!$D$27:$AH$266,'May'!$D$27:$AH$266,'Jun'!$D$27:$AH$266,'Jul'!$D$27:$AH$266,'Aug'!$D$27:$AH$266,'Sep'!$D$27:$AH$266,'Oct'!$D$27:$AH$266,'Nov'!$D$27:$AH$266,'Dec'!$D$27:$AH$266,'Jan (next year)'!$D$27:$AH$266),27+4*(IFERROR(MATCH(C323,Roster!$B$6:$B$65,0),MATCH(C323,Roster!$C$6:$C$65,0))-1)+MATCH(B323,{"AM","PM","NIGHT","WD"},0)-1-27+1,DAY(A323))&amp;"",""))</f>
        <v/>
      </c>
      <c r="G323" s="123">
        <f>IF(OR(A323="",C323="",B323="",E323=""),"",IFERROR(A323&amp;"|"&amp;(27+4*(IFERROR(MATCH(C323,Roster!$B$6:$B$65,0),MATCH(C323,Roster!$C$6:$C$65,0))-1)+MATCH(B323,{"AM","PM","NIGHT","WD"},0)-1),""))</f>
        <v/>
      </c>
    </row>
    <row r="324">
      <c r="A324" s="122" t="n"/>
      <c r="B324" s="107" t="n"/>
      <c r="C324" s="105" t="n"/>
      <c r="D324" s="92">
        <f>IF(C324="","",IFERROR(INDEX(Roster!$C$6:$C$65,IFERROR(MATCH(C324,Roster!$B$6:$B$65,0),MATCH(C324,Roster!$C$6:$C$65,0))),"not on the Roster"))</f>
        <v/>
      </c>
      <c r="E324" s="106" t="n"/>
      <c r="F324" s="104">
        <f>IF(OR(A324="",C324="",B324=""),"",IFERROR(INDEX(CHOOSE(IF(YEAR(A324)&gt;PlanYear,13,MONTH(A324)),'Jan'!$D$27:$AH$266,'Feb'!$D$27:$AH$266,'Mar'!$D$27:$AH$266,'Apr'!$D$27:$AH$266,'May'!$D$27:$AH$266,'Jun'!$D$27:$AH$266,'Jul'!$D$27:$AH$266,'Aug'!$D$27:$AH$266,'Sep'!$D$27:$AH$266,'Oct'!$D$27:$AH$266,'Nov'!$D$27:$AH$266,'Dec'!$D$27:$AH$266,'Jan (next year)'!$D$27:$AH$266),27+4*(IFERROR(MATCH(C324,Roster!$B$6:$B$65,0),MATCH(C324,Roster!$C$6:$C$65,0))-1)+MATCH(B324,{"AM","PM","NIGHT","WD"},0)-1-27+1,DAY(A324))&amp;"",""))</f>
        <v/>
      </c>
      <c r="G324" s="123">
        <f>IF(OR(A324="",C324="",B324="",E324=""),"",IFERROR(A324&amp;"|"&amp;(27+4*(IFERROR(MATCH(C324,Roster!$B$6:$B$65,0),MATCH(C324,Roster!$C$6:$C$65,0))-1)+MATCH(B324,{"AM","PM","NIGHT","WD"},0)-1),""))</f>
        <v/>
      </c>
    </row>
    <row r="325">
      <c r="A325" s="122" t="n"/>
      <c r="B325" s="107" t="n"/>
      <c r="C325" s="105" t="n"/>
      <c r="D325" s="92">
        <f>IF(C325="","",IFERROR(INDEX(Roster!$C$6:$C$65,IFERROR(MATCH(C325,Roster!$B$6:$B$65,0),MATCH(C325,Roster!$C$6:$C$65,0))),"not on the Roster"))</f>
        <v/>
      </c>
      <c r="E325" s="106" t="n"/>
      <c r="F325" s="104">
        <f>IF(OR(A325="",C325="",B325=""),"",IFERROR(INDEX(CHOOSE(IF(YEAR(A325)&gt;PlanYear,13,MONTH(A325)),'Jan'!$D$27:$AH$266,'Feb'!$D$27:$AH$266,'Mar'!$D$27:$AH$266,'Apr'!$D$27:$AH$266,'May'!$D$27:$AH$266,'Jun'!$D$27:$AH$266,'Jul'!$D$27:$AH$266,'Aug'!$D$27:$AH$266,'Sep'!$D$27:$AH$266,'Oct'!$D$27:$AH$266,'Nov'!$D$27:$AH$266,'Dec'!$D$27:$AH$266,'Jan (next year)'!$D$27:$AH$266),27+4*(IFERROR(MATCH(C325,Roster!$B$6:$B$65,0),MATCH(C325,Roster!$C$6:$C$65,0))-1)+MATCH(B325,{"AM","PM","NIGHT","WD"},0)-1-27+1,DAY(A325))&amp;"",""))</f>
        <v/>
      </c>
      <c r="G325" s="123">
        <f>IF(OR(A325="",C325="",B325="",E325=""),"",IFERROR(A325&amp;"|"&amp;(27+4*(IFERROR(MATCH(C325,Roster!$B$6:$B$65,0),MATCH(C325,Roster!$C$6:$C$65,0))-1)+MATCH(B325,{"AM","PM","NIGHT","WD"},0)-1),""))</f>
        <v/>
      </c>
    </row>
    <row r="326">
      <c r="A326" s="122" t="n"/>
      <c r="B326" s="107" t="n"/>
      <c r="C326" s="105" t="n"/>
      <c r="D326" s="92">
        <f>IF(C326="","",IFERROR(INDEX(Roster!$C$6:$C$65,IFERROR(MATCH(C326,Roster!$B$6:$B$65,0),MATCH(C326,Roster!$C$6:$C$65,0))),"not on the Roster"))</f>
        <v/>
      </c>
      <c r="E326" s="106" t="n"/>
      <c r="F326" s="104">
        <f>IF(OR(A326="",C326="",B326=""),"",IFERROR(INDEX(CHOOSE(IF(YEAR(A326)&gt;PlanYear,13,MONTH(A326)),'Jan'!$D$27:$AH$266,'Feb'!$D$27:$AH$266,'Mar'!$D$27:$AH$266,'Apr'!$D$27:$AH$266,'May'!$D$27:$AH$266,'Jun'!$D$27:$AH$266,'Jul'!$D$27:$AH$266,'Aug'!$D$27:$AH$266,'Sep'!$D$27:$AH$266,'Oct'!$D$27:$AH$266,'Nov'!$D$27:$AH$266,'Dec'!$D$27:$AH$266,'Jan (next year)'!$D$27:$AH$266),27+4*(IFERROR(MATCH(C326,Roster!$B$6:$B$65,0),MATCH(C326,Roster!$C$6:$C$65,0))-1)+MATCH(B326,{"AM","PM","NIGHT","WD"},0)-1-27+1,DAY(A326))&amp;"",""))</f>
        <v/>
      </c>
      <c r="G326" s="123">
        <f>IF(OR(A326="",C326="",B326="",E326=""),"",IFERROR(A326&amp;"|"&amp;(27+4*(IFERROR(MATCH(C326,Roster!$B$6:$B$65,0),MATCH(C326,Roster!$C$6:$C$65,0))-1)+MATCH(B326,{"AM","PM","NIGHT","WD"},0)-1),""))</f>
        <v/>
      </c>
    </row>
    <row r="327">
      <c r="A327" s="122" t="n"/>
      <c r="B327" s="107" t="n"/>
      <c r="C327" s="105" t="n"/>
      <c r="D327" s="92">
        <f>IF(C327="","",IFERROR(INDEX(Roster!$C$6:$C$65,IFERROR(MATCH(C327,Roster!$B$6:$B$65,0),MATCH(C327,Roster!$C$6:$C$65,0))),"not on the Roster"))</f>
        <v/>
      </c>
      <c r="E327" s="106" t="n"/>
      <c r="F327" s="104">
        <f>IF(OR(A327="",C327="",B327=""),"",IFERROR(INDEX(CHOOSE(IF(YEAR(A327)&gt;PlanYear,13,MONTH(A327)),'Jan'!$D$27:$AH$266,'Feb'!$D$27:$AH$266,'Mar'!$D$27:$AH$266,'Apr'!$D$27:$AH$266,'May'!$D$27:$AH$266,'Jun'!$D$27:$AH$266,'Jul'!$D$27:$AH$266,'Aug'!$D$27:$AH$266,'Sep'!$D$27:$AH$266,'Oct'!$D$27:$AH$266,'Nov'!$D$27:$AH$266,'Dec'!$D$27:$AH$266,'Jan (next year)'!$D$27:$AH$266),27+4*(IFERROR(MATCH(C327,Roster!$B$6:$B$65,0),MATCH(C327,Roster!$C$6:$C$65,0))-1)+MATCH(B327,{"AM","PM","NIGHT","WD"},0)-1-27+1,DAY(A327))&amp;"",""))</f>
        <v/>
      </c>
      <c r="G327" s="123">
        <f>IF(OR(A327="",C327="",B327="",E327=""),"",IFERROR(A327&amp;"|"&amp;(27+4*(IFERROR(MATCH(C327,Roster!$B$6:$B$65,0),MATCH(C327,Roster!$C$6:$C$65,0))-1)+MATCH(B327,{"AM","PM","NIGHT","WD"},0)-1),""))</f>
        <v/>
      </c>
    </row>
    <row r="328">
      <c r="A328" s="122" t="n"/>
      <c r="B328" s="107" t="n"/>
      <c r="C328" s="105" t="n"/>
      <c r="D328" s="92">
        <f>IF(C328="","",IFERROR(INDEX(Roster!$C$6:$C$65,IFERROR(MATCH(C328,Roster!$B$6:$B$65,0),MATCH(C328,Roster!$C$6:$C$65,0))),"not on the Roster"))</f>
        <v/>
      </c>
      <c r="E328" s="106" t="n"/>
      <c r="F328" s="104">
        <f>IF(OR(A328="",C328="",B328=""),"",IFERROR(INDEX(CHOOSE(IF(YEAR(A328)&gt;PlanYear,13,MONTH(A328)),'Jan'!$D$27:$AH$266,'Feb'!$D$27:$AH$266,'Mar'!$D$27:$AH$266,'Apr'!$D$27:$AH$266,'May'!$D$27:$AH$266,'Jun'!$D$27:$AH$266,'Jul'!$D$27:$AH$266,'Aug'!$D$27:$AH$266,'Sep'!$D$27:$AH$266,'Oct'!$D$27:$AH$266,'Nov'!$D$27:$AH$266,'Dec'!$D$27:$AH$266,'Jan (next year)'!$D$27:$AH$266),27+4*(IFERROR(MATCH(C328,Roster!$B$6:$B$65,0),MATCH(C328,Roster!$C$6:$C$65,0))-1)+MATCH(B328,{"AM","PM","NIGHT","WD"},0)-1-27+1,DAY(A328))&amp;"",""))</f>
        <v/>
      </c>
      <c r="G328" s="123">
        <f>IF(OR(A328="",C328="",B328="",E328=""),"",IFERROR(A328&amp;"|"&amp;(27+4*(IFERROR(MATCH(C328,Roster!$B$6:$B$65,0),MATCH(C328,Roster!$C$6:$C$65,0))-1)+MATCH(B328,{"AM","PM","NIGHT","WD"},0)-1),""))</f>
        <v/>
      </c>
    </row>
    <row r="329">
      <c r="A329" s="122" t="n"/>
      <c r="B329" s="107" t="n"/>
      <c r="C329" s="105" t="n"/>
      <c r="D329" s="92">
        <f>IF(C329="","",IFERROR(INDEX(Roster!$C$6:$C$65,IFERROR(MATCH(C329,Roster!$B$6:$B$65,0),MATCH(C329,Roster!$C$6:$C$65,0))),"not on the Roster"))</f>
        <v/>
      </c>
      <c r="E329" s="106" t="n"/>
      <c r="F329" s="104">
        <f>IF(OR(A329="",C329="",B329=""),"",IFERROR(INDEX(CHOOSE(IF(YEAR(A329)&gt;PlanYear,13,MONTH(A329)),'Jan'!$D$27:$AH$266,'Feb'!$D$27:$AH$266,'Mar'!$D$27:$AH$266,'Apr'!$D$27:$AH$266,'May'!$D$27:$AH$266,'Jun'!$D$27:$AH$266,'Jul'!$D$27:$AH$266,'Aug'!$D$27:$AH$266,'Sep'!$D$27:$AH$266,'Oct'!$D$27:$AH$266,'Nov'!$D$27:$AH$266,'Dec'!$D$27:$AH$266,'Jan (next year)'!$D$27:$AH$266),27+4*(IFERROR(MATCH(C329,Roster!$B$6:$B$65,0),MATCH(C329,Roster!$C$6:$C$65,0))-1)+MATCH(B329,{"AM","PM","NIGHT","WD"},0)-1-27+1,DAY(A329))&amp;"",""))</f>
        <v/>
      </c>
      <c r="G329" s="123">
        <f>IF(OR(A329="",C329="",B329="",E329=""),"",IFERROR(A329&amp;"|"&amp;(27+4*(IFERROR(MATCH(C329,Roster!$B$6:$B$65,0),MATCH(C329,Roster!$C$6:$C$65,0))-1)+MATCH(B329,{"AM","PM","NIGHT","WD"},0)-1),""))</f>
        <v/>
      </c>
    </row>
    <row r="330">
      <c r="A330" s="122" t="n"/>
      <c r="B330" s="107" t="n"/>
      <c r="C330" s="105" t="n"/>
      <c r="D330" s="92">
        <f>IF(C330="","",IFERROR(INDEX(Roster!$C$6:$C$65,IFERROR(MATCH(C330,Roster!$B$6:$B$65,0),MATCH(C330,Roster!$C$6:$C$65,0))),"not on the Roster"))</f>
        <v/>
      </c>
      <c r="E330" s="106" t="n"/>
      <c r="F330" s="104">
        <f>IF(OR(A330="",C330="",B330=""),"",IFERROR(INDEX(CHOOSE(IF(YEAR(A330)&gt;PlanYear,13,MONTH(A330)),'Jan'!$D$27:$AH$266,'Feb'!$D$27:$AH$266,'Mar'!$D$27:$AH$266,'Apr'!$D$27:$AH$266,'May'!$D$27:$AH$266,'Jun'!$D$27:$AH$266,'Jul'!$D$27:$AH$266,'Aug'!$D$27:$AH$266,'Sep'!$D$27:$AH$266,'Oct'!$D$27:$AH$266,'Nov'!$D$27:$AH$266,'Dec'!$D$27:$AH$266,'Jan (next year)'!$D$27:$AH$266),27+4*(IFERROR(MATCH(C330,Roster!$B$6:$B$65,0),MATCH(C330,Roster!$C$6:$C$65,0))-1)+MATCH(B330,{"AM","PM","NIGHT","WD"},0)-1-27+1,DAY(A330))&amp;"",""))</f>
        <v/>
      </c>
      <c r="G330" s="123">
        <f>IF(OR(A330="",C330="",B330="",E330=""),"",IFERROR(A330&amp;"|"&amp;(27+4*(IFERROR(MATCH(C330,Roster!$B$6:$B$65,0),MATCH(C330,Roster!$C$6:$C$65,0))-1)+MATCH(B330,{"AM","PM","NIGHT","WD"},0)-1),""))</f>
        <v/>
      </c>
    </row>
    <row r="331">
      <c r="A331" s="122" t="n"/>
      <c r="B331" s="107" t="n"/>
      <c r="C331" s="105" t="n"/>
      <c r="D331" s="92">
        <f>IF(C331="","",IFERROR(INDEX(Roster!$C$6:$C$65,IFERROR(MATCH(C331,Roster!$B$6:$B$65,0),MATCH(C331,Roster!$C$6:$C$65,0))),"not on the Roster"))</f>
        <v/>
      </c>
      <c r="E331" s="106" t="n"/>
      <c r="F331" s="104">
        <f>IF(OR(A331="",C331="",B331=""),"",IFERROR(INDEX(CHOOSE(IF(YEAR(A331)&gt;PlanYear,13,MONTH(A331)),'Jan'!$D$27:$AH$266,'Feb'!$D$27:$AH$266,'Mar'!$D$27:$AH$266,'Apr'!$D$27:$AH$266,'May'!$D$27:$AH$266,'Jun'!$D$27:$AH$266,'Jul'!$D$27:$AH$266,'Aug'!$D$27:$AH$266,'Sep'!$D$27:$AH$266,'Oct'!$D$27:$AH$266,'Nov'!$D$27:$AH$266,'Dec'!$D$27:$AH$266,'Jan (next year)'!$D$27:$AH$266),27+4*(IFERROR(MATCH(C331,Roster!$B$6:$B$65,0),MATCH(C331,Roster!$C$6:$C$65,0))-1)+MATCH(B331,{"AM","PM","NIGHT","WD"},0)-1-27+1,DAY(A331))&amp;"",""))</f>
        <v/>
      </c>
      <c r="G331" s="123">
        <f>IF(OR(A331="",C331="",B331="",E331=""),"",IFERROR(A331&amp;"|"&amp;(27+4*(IFERROR(MATCH(C331,Roster!$B$6:$B$65,0),MATCH(C331,Roster!$C$6:$C$65,0))-1)+MATCH(B331,{"AM","PM","NIGHT","WD"},0)-1),""))</f>
        <v/>
      </c>
    </row>
    <row r="332">
      <c r="A332" s="122" t="n"/>
      <c r="B332" s="107" t="n"/>
      <c r="C332" s="105" t="n"/>
      <c r="D332" s="92">
        <f>IF(C332="","",IFERROR(INDEX(Roster!$C$6:$C$65,IFERROR(MATCH(C332,Roster!$B$6:$B$65,0),MATCH(C332,Roster!$C$6:$C$65,0))),"not on the Roster"))</f>
        <v/>
      </c>
      <c r="E332" s="106" t="n"/>
      <c r="F332" s="104">
        <f>IF(OR(A332="",C332="",B332=""),"",IFERROR(INDEX(CHOOSE(IF(YEAR(A332)&gt;PlanYear,13,MONTH(A332)),'Jan'!$D$27:$AH$266,'Feb'!$D$27:$AH$266,'Mar'!$D$27:$AH$266,'Apr'!$D$27:$AH$266,'May'!$D$27:$AH$266,'Jun'!$D$27:$AH$266,'Jul'!$D$27:$AH$266,'Aug'!$D$27:$AH$266,'Sep'!$D$27:$AH$266,'Oct'!$D$27:$AH$266,'Nov'!$D$27:$AH$266,'Dec'!$D$27:$AH$266,'Jan (next year)'!$D$27:$AH$266),27+4*(IFERROR(MATCH(C332,Roster!$B$6:$B$65,0),MATCH(C332,Roster!$C$6:$C$65,0))-1)+MATCH(B332,{"AM","PM","NIGHT","WD"},0)-1-27+1,DAY(A332))&amp;"",""))</f>
        <v/>
      </c>
      <c r="G332" s="123">
        <f>IF(OR(A332="",C332="",B332="",E332=""),"",IFERROR(A332&amp;"|"&amp;(27+4*(IFERROR(MATCH(C332,Roster!$B$6:$B$65,0),MATCH(C332,Roster!$C$6:$C$65,0))-1)+MATCH(B332,{"AM","PM","NIGHT","WD"},0)-1),""))</f>
        <v/>
      </c>
    </row>
    <row r="333">
      <c r="A333" s="122" t="n"/>
      <c r="B333" s="107" t="n"/>
      <c r="C333" s="105" t="n"/>
      <c r="D333" s="92">
        <f>IF(C333="","",IFERROR(INDEX(Roster!$C$6:$C$65,IFERROR(MATCH(C333,Roster!$B$6:$B$65,0),MATCH(C333,Roster!$C$6:$C$65,0))),"not on the Roster"))</f>
        <v/>
      </c>
      <c r="E333" s="106" t="n"/>
      <c r="F333" s="104">
        <f>IF(OR(A333="",C333="",B333=""),"",IFERROR(INDEX(CHOOSE(IF(YEAR(A333)&gt;PlanYear,13,MONTH(A333)),'Jan'!$D$27:$AH$266,'Feb'!$D$27:$AH$266,'Mar'!$D$27:$AH$266,'Apr'!$D$27:$AH$266,'May'!$D$27:$AH$266,'Jun'!$D$27:$AH$266,'Jul'!$D$27:$AH$266,'Aug'!$D$27:$AH$266,'Sep'!$D$27:$AH$266,'Oct'!$D$27:$AH$266,'Nov'!$D$27:$AH$266,'Dec'!$D$27:$AH$266,'Jan (next year)'!$D$27:$AH$266),27+4*(IFERROR(MATCH(C333,Roster!$B$6:$B$65,0),MATCH(C333,Roster!$C$6:$C$65,0))-1)+MATCH(B333,{"AM","PM","NIGHT","WD"},0)-1-27+1,DAY(A333))&amp;"",""))</f>
        <v/>
      </c>
      <c r="G333" s="123">
        <f>IF(OR(A333="",C333="",B333="",E333=""),"",IFERROR(A333&amp;"|"&amp;(27+4*(IFERROR(MATCH(C333,Roster!$B$6:$B$65,0),MATCH(C333,Roster!$C$6:$C$65,0))-1)+MATCH(B333,{"AM","PM","NIGHT","WD"},0)-1),""))</f>
        <v/>
      </c>
    </row>
    <row r="334">
      <c r="A334" s="122" t="n"/>
      <c r="B334" s="107" t="n"/>
      <c r="C334" s="105" t="n"/>
      <c r="D334" s="92">
        <f>IF(C334="","",IFERROR(INDEX(Roster!$C$6:$C$65,IFERROR(MATCH(C334,Roster!$B$6:$B$65,0),MATCH(C334,Roster!$C$6:$C$65,0))),"not on the Roster"))</f>
        <v/>
      </c>
      <c r="E334" s="106" t="n"/>
      <c r="F334" s="104">
        <f>IF(OR(A334="",C334="",B334=""),"",IFERROR(INDEX(CHOOSE(IF(YEAR(A334)&gt;PlanYear,13,MONTH(A334)),'Jan'!$D$27:$AH$266,'Feb'!$D$27:$AH$266,'Mar'!$D$27:$AH$266,'Apr'!$D$27:$AH$266,'May'!$D$27:$AH$266,'Jun'!$D$27:$AH$266,'Jul'!$D$27:$AH$266,'Aug'!$D$27:$AH$266,'Sep'!$D$27:$AH$266,'Oct'!$D$27:$AH$266,'Nov'!$D$27:$AH$266,'Dec'!$D$27:$AH$266,'Jan (next year)'!$D$27:$AH$266),27+4*(IFERROR(MATCH(C334,Roster!$B$6:$B$65,0),MATCH(C334,Roster!$C$6:$C$65,0))-1)+MATCH(B334,{"AM","PM","NIGHT","WD"},0)-1-27+1,DAY(A334))&amp;"",""))</f>
        <v/>
      </c>
      <c r="G334" s="123">
        <f>IF(OR(A334="",C334="",B334="",E334=""),"",IFERROR(A334&amp;"|"&amp;(27+4*(IFERROR(MATCH(C334,Roster!$B$6:$B$65,0),MATCH(C334,Roster!$C$6:$C$65,0))-1)+MATCH(B334,{"AM","PM","NIGHT","WD"},0)-1),""))</f>
        <v/>
      </c>
    </row>
    <row r="335">
      <c r="A335" s="122" t="n"/>
      <c r="B335" s="107" t="n"/>
      <c r="C335" s="105" t="n"/>
      <c r="D335" s="92">
        <f>IF(C335="","",IFERROR(INDEX(Roster!$C$6:$C$65,IFERROR(MATCH(C335,Roster!$B$6:$B$65,0),MATCH(C335,Roster!$C$6:$C$65,0))),"not on the Roster"))</f>
        <v/>
      </c>
      <c r="E335" s="106" t="n"/>
      <c r="F335" s="104">
        <f>IF(OR(A335="",C335="",B335=""),"",IFERROR(INDEX(CHOOSE(IF(YEAR(A335)&gt;PlanYear,13,MONTH(A335)),'Jan'!$D$27:$AH$266,'Feb'!$D$27:$AH$266,'Mar'!$D$27:$AH$266,'Apr'!$D$27:$AH$266,'May'!$D$27:$AH$266,'Jun'!$D$27:$AH$266,'Jul'!$D$27:$AH$266,'Aug'!$D$27:$AH$266,'Sep'!$D$27:$AH$266,'Oct'!$D$27:$AH$266,'Nov'!$D$27:$AH$266,'Dec'!$D$27:$AH$266,'Jan (next year)'!$D$27:$AH$266),27+4*(IFERROR(MATCH(C335,Roster!$B$6:$B$65,0),MATCH(C335,Roster!$C$6:$C$65,0))-1)+MATCH(B335,{"AM","PM","NIGHT","WD"},0)-1-27+1,DAY(A335))&amp;"",""))</f>
        <v/>
      </c>
      <c r="G335" s="123">
        <f>IF(OR(A335="",C335="",B335="",E335=""),"",IFERROR(A335&amp;"|"&amp;(27+4*(IFERROR(MATCH(C335,Roster!$B$6:$B$65,0),MATCH(C335,Roster!$C$6:$C$65,0))-1)+MATCH(B335,{"AM","PM","NIGHT","WD"},0)-1),""))</f>
        <v/>
      </c>
    </row>
    <row r="336">
      <c r="A336" s="122" t="n"/>
      <c r="B336" s="107" t="n"/>
      <c r="C336" s="105" t="n"/>
      <c r="D336" s="92">
        <f>IF(C336="","",IFERROR(INDEX(Roster!$C$6:$C$65,IFERROR(MATCH(C336,Roster!$B$6:$B$65,0),MATCH(C336,Roster!$C$6:$C$65,0))),"not on the Roster"))</f>
        <v/>
      </c>
      <c r="E336" s="106" t="n"/>
      <c r="F336" s="104">
        <f>IF(OR(A336="",C336="",B336=""),"",IFERROR(INDEX(CHOOSE(IF(YEAR(A336)&gt;PlanYear,13,MONTH(A336)),'Jan'!$D$27:$AH$266,'Feb'!$D$27:$AH$266,'Mar'!$D$27:$AH$266,'Apr'!$D$27:$AH$266,'May'!$D$27:$AH$266,'Jun'!$D$27:$AH$266,'Jul'!$D$27:$AH$266,'Aug'!$D$27:$AH$266,'Sep'!$D$27:$AH$266,'Oct'!$D$27:$AH$266,'Nov'!$D$27:$AH$266,'Dec'!$D$27:$AH$266,'Jan (next year)'!$D$27:$AH$266),27+4*(IFERROR(MATCH(C336,Roster!$B$6:$B$65,0),MATCH(C336,Roster!$C$6:$C$65,0))-1)+MATCH(B336,{"AM","PM","NIGHT","WD"},0)-1-27+1,DAY(A336))&amp;"",""))</f>
        <v/>
      </c>
      <c r="G336" s="123">
        <f>IF(OR(A336="",C336="",B336="",E336=""),"",IFERROR(A336&amp;"|"&amp;(27+4*(IFERROR(MATCH(C336,Roster!$B$6:$B$65,0),MATCH(C336,Roster!$C$6:$C$65,0))-1)+MATCH(B336,{"AM","PM","NIGHT","WD"},0)-1),""))</f>
        <v/>
      </c>
    </row>
    <row r="337">
      <c r="A337" s="122" t="n"/>
      <c r="B337" s="107" t="n"/>
      <c r="C337" s="105" t="n"/>
      <c r="D337" s="92">
        <f>IF(C337="","",IFERROR(INDEX(Roster!$C$6:$C$65,IFERROR(MATCH(C337,Roster!$B$6:$B$65,0),MATCH(C337,Roster!$C$6:$C$65,0))),"not on the Roster"))</f>
        <v/>
      </c>
      <c r="E337" s="106" t="n"/>
      <c r="F337" s="104">
        <f>IF(OR(A337="",C337="",B337=""),"",IFERROR(INDEX(CHOOSE(IF(YEAR(A337)&gt;PlanYear,13,MONTH(A337)),'Jan'!$D$27:$AH$266,'Feb'!$D$27:$AH$266,'Mar'!$D$27:$AH$266,'Apr'!$D$27:$AH$266,'May'!$D$27:$AH$266,'Jun'!$D$27:$AH$266,'Jul'!$D$27:$AH$266,'Aug'!$D$27:$AH$266,'Sep'!$D$27:$AH$266,'Oct'!$D$27:$AH$266,'Nov'!$D$27:$AH$266,'Dec'!$D$27:$AH$266,'Jan (next year)'!$D$27:$AH$266),27+4*(IFERROR(MATCH(C337,Roster!$B$6:$B$65,0),MATCH(C337,Roster!$C$6:$C$65,0))-1)+MATCH(B337,{"AM","PM","NIGHT","WD"},0)-1-27+1,DAY(A337))&amp;"",""))</f>
        <v/>
      </c>
      <c r="G337" s="123">
        <f>IF(OR(A337="",C337="",B337="",E337=""),"",IFERROR(A337&amp;"|"&amp;(27+4*(IFERROR(MATCH(C337,Roster!$B$6:$B$65,0),MATCH(C337,Roster!$C$6:$C$65,0))-1)+MATCH(B337,{"AM","PM","NIGHT","WD"},0)-1),""))</f>
        <v/>
      </c>
    </row>
    <row r="338">
      <c r="A338" s="122" t="n"/>
      <c r="B338" s="107" t="n"/>
      <c r="C338" s="105" t="n"/>
      <c r="D338" s="92">
        <f>IF(C338="","",IFERROR(INDEX(Roster!$C$6:$C$65,IFERROR(MATCH(C338,Roster!$B$6:$B$65,0),MATCH(C338,Roster!$C$6:$C$65,0))),"not on the Roster"))</f>
        <v/>
      </c>
      <c r="E338" s="106" t="n"/>
      <c r="F338" s="104">
        <f>IF(OR(A338="",C338="",B338=""),"",IFERROR(INDEX(CHOOSE(IF(YEAR(A338)&gt;PlanYear,13,MONTH(A338)),'Jan'!$D$27:$AH$266,'Feb'!$D$27:$AH$266,'Mar'!$D$27:$AH$266,'Apr'!$D$27:$AH$266,'May'!$D$27:$AH$266,'Jun'!$D$27:$AH$266,'Jul'!$D$27:$AH$266,'Aug'!$D$27:$AH$266,'Sep'!$D$27:$AH$266,'Oct'!$D$27:$AH$266,'Nov'!$D$27:$AH$266,'Dec'!$D$27:$AH$266,'Jan (next year)'!$D$27:$AH$266),27+4*(IFERROR(MATCH(C338,Roster!$B$6:$B$65,0),MATCH(C338,Roster!$C$6:$C$65,0))-1)+MATCH(B338,{"AM","PM","NIGHT","WD"},0)-1-27+1,DAY(A338))&amp;"",""))</f>
        <v/>
      </c>
      <c r="G338" s="123">
        <f>IF(OR(A338="",C338="",B338="",E338=""),"",IFERROR(A338&amp;"|"&amp;(27+4*(IFERROR(MATCH(C338,Roster!$B$6:$B$65,0),MATCH(C338,Roster!$C$6:$C$65,0))-1)+MATCH(B338,{"AM","PM","NIGHT","WD"},0)-1),""))</f>
        <v/>
      </c>
    </row>
    <row r="339">
      <c r="A339" s="122" t="n"/>
      <c r="B339" s="107" t="n"/>
      <c r="C339" s="105" t="n"/>
      <c r="D339" s="92">
        <f>IF(C339="","",IFERROR(INDEX(Roster!$C$6:$C$65,IFERROR(MATCH(C339,Roster!$B$6:$B$65,0),MATCH(C339,Roster!$C$6:$C$65,0))),"not on the Roster"))</f>
        <v/>
      </c>
      <c r="E339" s="106" t="n"/>
      <c r="F339" s="104">
        <f>IF(OR(A339="",C339="",B339=""),"",IFERROR(INDEX(CHOOSE(IF(YEAR(A339)&gt;PlanYear,13,MONTH(A339)),'Jan'!$D$27:$AH$266,'Feb'!$D$27:$AH$266,'Mar'!$D$27:$AH$266,'Apr'!$D$27:$AH$266,'May'!$D$27:$AH$266,'Jun'!$D$27:$AH$266,'Jul'!$D$27:$AH$266,'Aug'!$D$27:$AH$266,'Sep'!$D$27:$AH$266,'Oct'!$D$27:$AH$266,'Nov'!$D$27:$AH$266,'Dec'!$D$27:$AH$266,'Jan (next year)'!$D$27:$AH$266),27+4*(IFERROR(MATCH(C339,Roster!$B$6:$B$65,0),MATCH(C339,Roster!$C$6:$C$65,0))-1)+MATCH(B339,{"AM","PM","NIGHT","WD"},0)-1-27+1,DAY(A339))&amp;"",""))</f>
        <v/>
      </c>
      <c r="G339" s="123">
        <f>IF(OR(A339="",C339="",B339="",E339=""),"",IFERROR(A339&amp;"|"&amp;(27+4*(IFERROR(MATCH(C339,Roster!$B$6:$B$65,0),MATCH(C339,Roster!$C$6:$C$65,0))-1)+MATCH(B339,{"AM","PM","NIGHT","WD"},0)-1),""))</f>
        <v/>
      </c>
    </row>
    <row r="340">
      <c r="A340" s="122" t="n"/>
      <c r="B340" s="107" t="n"/>
      <c r="C340" s="105" t="n"/>
      <c r="D340" s="92">
        <f>IF(C340="","",IFERROR(INDEX(Roster!$C$6:$C$65,IFERROR(MATCH(C340,Roster!$B$6:$B$65,0),MATCH(C340,Roster!$C$6:$C$65,0))),"not on the Roster"))</f>
        <v/>
      </c>
      <c r="E340" s="106" t="n"/>
      <c r="F340" s="104">
        <f>IF(OR(A340="",C340="",B340=""),"",IFERROR(INDEX(CHOOSE(IF(YEAR(A340)&gt;PlanYear,13,MONTH(A340)),'Jan'!$D$27:$AH$266,'Feb'!$D$27:$AH$266,'Mar'!$D$27:$AH$266,'Apr'!$D$27:$AH$266,'May'!$D$27:$AH$266,'Jun'!$D$27:$AH$266,'Jul'!$D$27:$AH$266,'Aug'!$D$27:$AH$266,'Sep'!$D$27:$AH$266,'Oct'!$D$27:$AH$266,'Nov'!$D$27:$AH$266,'Dec'!$D$27:$AH$266,'Jan (next year)'!$D$27:$AH$266),27+4*(IFERROR(MATCH(C340,Roster!$B$6:$B$65,0),MATCH(C340,Roster!$C$6:$C$65,0))-1)+MATCH(B340,{"AM","PM","NIGHT","WD"},0)-1-27+1,DAY(A340))&amp;"",""))</f>
        <v/>
      </c>
      <c r="G340" s="123">
        <f>IF(OR(A340="",C340="",B340="",E340=""),"",IFERROR(A340&amp;"|"&amp;(27+4*(IFERROR(MATCH(C340,Roster!$B$6:$B$65,0),MATCH(C340,Roster!$C$6:$C$65,0))-1)+MATCH(B340,{"AM","PM","NIGHT","WD"},0)-1),""))</f>
        <v/>
      </c>
    </row>
    <row r="341">
      <c r="A341" s="122" t="n"/>
      <c r="B341" s="107" t="n"/>
      <c r="C341" s="105" t="n"/>
      <c r="D341" s="92">
        <f>IF(C341="","",IFERROR(INDEX(Roster!$C$6:$C$65,IFERROR(MATCH(C341,Roster!$B$6:$B$65,0),MATCH(C341,Roster!$C$6:$C$65,0))),"not on the Roster"))</f>
        <v/>
      </c>
      <c r="E341" s="106" t="n"/>
      <c r="F341" s="104">
        <f>IF(OR(A341="",C341="",B341=""),"",IFERROR(INDEX(CHOOSE(IF(YEAR(A341)&gt;PlanYear,13,MONTH(A341)),'Jan'!$D$27:$AH$266,'Feb'!$D$27:$AH$266,'Mar'!$D$27:$AH$266,'Apr'!$D$27:$AH$266,'May'!$D$27:$AH$266,'Jun'!$D$27:$AH$266,'Jul'!$D$27:$AH$266,'Aug'!$D$27:$AH$266,'Sep'!$D$27:$AH$266,'Oct'!$D$27:$AH$266,'Nov'!$D$27:$AH$266,'Dec'!$D$27:$AH$266,'Jan (next year)'!$D$27:$AH$266),27+4*(IFERROR(MATCH(C341,Roster!$B$6:$B$65,0),MATCH(C341,Roster!$C$6:$C$65,0))-1)+MATCH(B341,{"AM","PM","NIGHT","WD"},0)-1-27+1,DAY(A341))&amp;"",""))</f>
        <v/>
      </c>
      <c r="G341" s="123">
        <f>IF(OR(A341="",C341="",B341="",E341=""),"",IFERROR(A341&amp;"|"&amp;(27+4*(IFERROR(MATCH(C341,Roster!$B$6:$B$65,0),MATCH(C341,Roster!$C$6:$C$65,0))-1)+MATCH(B341,{"AM","PM","NIGHT","WD"},0)-1),""))</f>
        <v/>
      </c>
    </row>
    <row r="342">
      <c r="A342" s="122" t="n"/>
      <c r="B342" s="107" t="n"/>
      <c r="C342" s="105" t="n"/>
      <c r="D342" s="92">
        <f>IF(C342="","",IFERROR(INDEX(Roster!$C$6:$C$65,IFERROR(MATCH(C342,Roster!$B$6:$B$65,0),MATCH(C342,Roster!$C$6:$C$65,0))),"not on the Roster"))</f>
        <v/>
      </c>
      <c r="E342" s="106" t="n"/>
      <c r="F342" s="104">
        <f>IF(OR(A342="",C342="",B342=""),"",IFERROR(INDEX(CHOOSE(IF(YEAR(A342)&gt;PlanYear,13,MONTH(A342)),'Jan'!$D$27:$AH$266,'Feb'!$D$27:$AH$266,'Mar'!$D$27:$AH$266,'Apr'!$D$27:$AH$266,'May'!$D$27:$AH$266,'Jun'!$D$27:$AH$266,'Jul'!$D$27:$AH$266,'Aug'!$D$27:$AH$266,'Sep'!$D$27:$AH$266,'Oct'!$D$27:$AH$266,'Nov'!$D$27:$AH$266,'Dec'!$D$27:$AH$266,'Jan (next year)'!$D$27:$AH$266),27+4*(IFERROR(MATCH(C342,Roster!$B$6:$B$65,0),MATCH(C342,Roster!$C$6:$C$65,0))-1)+MATCH(B342,{"AM","PM","NIGHT","WD"},0)-1-27+1,DAY(A342))&amp;"",""))</f>
        <v/>
      </c>
      <c r="G342" s="123">
        <f>IF(OR(A342="",C342="",B342="",E342=""),"",IFERROR(A342&amp;"|"&amp;(27+4*(IFERROR(MATCH(C342,Roster!$B$6:$B$65,0),MATCH(C342,Roster!$C$6:$C$65,0))-1)+MATCH(B342,{"AM","PM","NIGHT","WD"},0)-1),""))</f>
        <v/>
      </c>
    </row>
    <row r="343">
      <c r="A343" s="122" t="n"/>
      <c r="B343" s="107" t="n"/>
      <c r="C343" s="105" t="n"/>
      <c r="D343" s="92">
        <f>IF(C343="","",IFERROR(INDEX(Roster!$C$6:$C$65,IFERROR(MATCH(C343,Roster!$B$6:$B$65,0),MATCH(C343,Roster!$C$6:$C$65,0))),"not on the Roster"))</f>
        <v/>
      </c>
      <c r="E343" s="106" t="n"/>
      <c r="F343" s="104">
        <f>IF(OR(A343="",C343="",B343=""),"",IFERROR(INDEX(CHOOSE(IF(YEAR(A343)&gt;PlanYear,13,MONTH(A343)),'Jan'!$D$27:$AH$266,'Feb'!$D$27:$AH$266,'Mar'!$D$27:$AH$266,'Apr'!$D$27:$AH$266,'May'!$D$27:$AH$266,'Jun'!$D$27:$AH$266,'Jul'!$D$27:$AH$266,'Aug'!$D$27:$AH$266,'Sep'!$D$27:$AH$266,'Oct'!$D$27:$AH$266,'Nov'!$D$27:$AH$266,'Dec'!$D$27:$AH$266,'Jan (next year)'!$D$27:$AH$266),27+4*(IFERROR(MATCH(C343,Roster!$B$6:$B$65,0),MATCH(C343,Roster!$C$6:$C$65,0))-1)+MATCH(B343,{"AM","PM","NIGHT","WD"},0)-1-27+1,DAY(A343))&amp;"",""))</f>
        <v/>
      </c>
      <c r="G343" s="123">
        <f>IF(OR(A343="",C343="",B343="",E343=""),"",IFERROR(A343&amp;"|"&amp;(27+4*(IFERROR(MATCH(C343,Roster!$B$6:$B$65,0),MATCH(C343,Roster!$C$6:$C$65,0))-1)+MATCH(B343,{"AM","PM","NIGHT","WD"},0)-1),""))</f>
        <v/>
      </c>
    </row>
    <row r="344">
      <c r="A344" s="122" t="n"/>
      <c r="B344" s="107" t="n"/>
      <c r="C344" s="105" t="n"/>
      <c r="D344" s="92">
        <f>IF(C344="","",IFERROR(INDEX(Roster!$C$6:$C$65,IFERROR(MATCH(C344,Roster!$B$6:$B$65,0),MATCH(C344,Roster!$C$6:$C$65,0))),"not on the Roster"))</f>
        <v/>
      </c>
      <c r="E344" s="106" t="n"/>
      <c r="F344" s="104">
        <f>IF(OR(A344="",C344="",B344=""),"",IFERROR(INDEX(CHOOSE(IF(YEAR(A344)&gt;PlanYear,13,MONTH(A344)),'Jan'!$D$27:$AH$266,'Feb'!$D$27:$AH$266,'Mar'!$D$27:$AH$266,'Apr'!$D$27:$AH$266,'May'!$D$27:$AH$266,'Jun'!$D$27:$AH$266,'Jul'!$D$27:$AH$266,'Aug'!$D$27:$AH$266,'Sep'!$D$27:$AH$266,'Oct'!$D$27:$AH$266,'Nov'!$D$27:$AH$266,'Dec'!$D$27:$AH$266,'Jan (next year)'!$D$27:$AH$266),27+4*(IFERROR(MATCH(C344,Roster!$B$6:$B$65,0),MATCH(C344,Roster!$C$6:$C$65,0))-1)+MATCH(B344,{"AM","PM","NIGHT","WD"},0)-1-27+1,DAY(A344))&amp;"",""))</f>
        <v/>
      </c>
      <c r="G344" s="123">
        <f>IF(OR(A344="",C344="",B344="",E344=""),"",IFERROR(A344&amp;"|"&amp;(27+4*(IFERROR(MATCH(C344,Roster!$B$6:$B$65,0),MATCH(C344,Roster!$C$6:$C$65,0))-1)+MATCH(B344,{"AM","PM","NIGHT","WD"},0)-1),""))</f>
        <v/>
      </c>
    </row>
    <row r="345">
      <c r="A345" s="122" t="n"/>
      <c r="B345" s="107" t="n"/>
      <c r="C345" s="105" t="n"/>
      <c r="D345" s="92">
        <f>IF(C345="","",IFERROR(INDEX(Roster!$C$6:$C$65,IFERROR(MATCH(C345,Roster!$B$6:$B$65,0),MATCH(C345,Roster!$C$6:$C$65,0))),"not on the Roster"))</f>
        <v/>
      </c>
      <c r="E345" s="106" t="n"/>
      <c r="F345" s="104">
        <f>IF(OR(A345="",C345="",B345=""),"",IFERROR(INDEX(CHOOSE(IF(YEAR(A345)&gt;PlanYear,13,MONTH(A345)),'Jan'!$D$27:$AH$266,'Feb'!$D$27:$AH$266,'Mar'!$D$27:$AH$266,'Apr'!$D$27:$AH$266,'May'!$D$27:$AH$266,'Jun'!$D$27:$AH$266,'Jul'!$D$27:$AH$266,'Aug'!$D$27:$AH$266,'Sep'!$D$27:$AH$266,'Oct'!$D$27:$AH$266,'Nov'!$D$27:$AH$266,'Dec'!$D$27:$AH$266,'Jan (next year)'!$D$27:$AH$266),27+4*(IFERROR(MATCH(C345,Roster!$B$6:$B$65,0),MATCH(C345,Roster!$C$6:$C$65,0))-1)+MATCH(B345,{"AM","PM","NIGHT","WD"},0)-1-27+1,DAY(A345))&amp;"",""))</f>
        <v/>
      </c>
      <c r="G345" s="123">
        <f>IF(OR(A345="",C345="",B345="",E345=""),"",IFERROR(A345&amp;"|"&amp;(27+4*(IFERROR(MATCH(C345,Roster!$B$6:$B$65,0),MATCH(C345,Roster!$C$6:$C$65,0))-1)+MATCH(B345,{"AM","PM","NIGHT","WD"},0)-1),""))</f>
        <v/>
      </c>
    </row>
    <row r="346">
      <c r="A346" s="122" t="n"/>
      <c r="B346" s="107" t="n"/>
      <c r="C346" s="105" t="n"/>
      <c r="D346" s="92">
        <f>IF(C346="","",IFERROR(INDEX(Roster!$C$6:$C$65,IFERROR(MATCH(C346,Roster!$B$6:$B$65,0),MATCH(C346,Roster!$C$6:$C$65,0))),"not on the Roster"))</f>
        <v/>
      </c>
      <c r="E346" s="106" t="n"/>
      <c r="F346" s="104">
        <f>IF(OR(A346="",C346="",B346=""),"",IFERROR(INDEX(CHOOSE(IF(YEAR(A346)&gt;PlanYear,13,MONTH(A346)),'Jan'!$D$27:$AH$266,'Feb'!$D$27:$AH$266,'Mar'!$D$27:$AH$266,'Apr'!$D$27:$AH$266,'May'!$D$27:$AH$266,'Jun'!$D$27:$AH$266,'Jul'!$D$27:$AH$266,'Aug'!$D$27:$AH$266,'Sep'!$D$27:$AH$266,'Oct'!$D$27:$AH$266,'Nov'!$D$27:$AH$266,'Dec'!$D$27:$AH$266,'Jan (next year)'!$D$27:$AH$266),27+4*(IFERROR(MATCH(C346,Roster!$B$6:$B$65,0),MATCH(C346,Roster!$C$6:$C$65,0))-1)+MATCH(B346,{"AM","PM","NIGHT","WD"},0)-1-27+1,DAY(A346))&amp;"",""))</f>
        <v/>
      </c>
      <c r="G346" s="123">
        <f>IF(OR(A346="",C346="",B346="",E346=""),"",IFERROR(A346&amp;"|"&amp;(27+4*(IFERROR(MATCH(C346,Roster!$B$6:$B$65,0),MATCH(C346,Roster!$C$6:$C$65,0))-1)+MATCH(B346,{"AM","PM","NIGHT","WD"},0)-1),""))</f>
        <v/>
      </c>
    </row>
    <row r="347">
      <c r="A347" s="122" t="n"/>
      <c r="B347" s="107" t="n"/>
      <c r="C347" s="105" t="n"/>
      <c r="D347" s="92">
        <f>IF(C347="","",IFERROR(INDEX(Roster!$C$6:$C$65,IFERROR(MATCH(C347,Roster!$B$6:$B$65,0),MATCH(C347,Roster!$C$6:$C$65,0))),"not on the Roster"))</f>
        <v/>
      </c>
      <c r="E347" s="106" t="n"/>
      <c r="F347" s="104">
        <f>IF(OR(A347="",C347="",B347=""),"",IFERROR(INDEX(CHOOSE(IF(YEAR(A347)&gt;PlanYear,13,MONTH(A347)),'Jan'!$D$27:$AH$266,'Feb'!$D$27:$AH$266,'Mar'!$D$27:$AH$266,'Apr'!$D$27:$AH$266,'May'!$D$27:$AH$266,'Jun'!$D$27:$AH$266,'Jul'!$D$27:$AH$266,'Aug'!$D$27:$AH$266,'Sep'!$D$27:$AH$266,'Oct'!$D$27:$AH$266,'Nov'!$D$27:$AH$266,'Dec'!$D$27:$AH$266,'Jan (next year)'!$D$27:$AH$266),27+4*(IFERROR(MATCH(C347,Roster!$B$6:$B$65,0),MATCH(C347,Roster!$C$6:$C$65,0))-1)+MATCH(B347,{"AM","PM","NIGHT","WD"},0)-1-27+1,DAY(A347))&amp;"",""))</f>
        <v/>
      </c>
      <c r="G347" s="123">
        <f>IF(OR(A347="",C347="",B347="",E347=""),"",IFERROR(A347&amp;"|"&amp;(27+4*(IFERROR(MATCH(C347,Roster!$B$6:$B$65,0),MATCH(C347,Roster!$C$6:$C$65,0))-1)+MATCH(B347,{"AM","PM","NIGHT","WD"},0)-1),""))</f>
        <v/>
      </c>
    </row>
    <row r="348">
      <c r="A348" s="122" t="n"/>
      <c r="B348" s="107" t="n"/>
      <c r="C348" s="105" t="n"/>
      <c r="D348" s="92">
        <f>IF(C348="","",IFERROR(INDEX(Roster!$C$6:$C$65,IFERROR(MATCH(C348,Roster!$B$6:$B$65,0),MATCH(C348,Roster!$C$6:$C$65,0))),"not on the Roster"))</f>
        <v/>
      </c>
      <c r="E348" s="106" t="n"/>
      <c r="F348" s="104">
        <f>IF(OR(A348="",C348="",B348=""),"",IFERROR(INDEX(CHOOSE(IF(YEAR(A348)&gt;PlanYear,13,MONTH(A348)),'Jan'!$D$27:$AH$266,'Feb'!$D$27:$AH$266,'Mar'!$D$27:$AH$266,'Apr'!$D$27:$AH$266,'May'!$D$27:$AH$266,'Jun'!$D$27:$AH$266,'Jul'!$D$27:$AH$266,'Aug'!$D$27:$AH$266,'Sep'!$D$27:$AH$266,'Oct'!$D$27:$AH$266,'Nov'!$D$27:$AH$266,'Dec'!$D$27:$AH$266,'Jan (next year)'!$D$27:$AH$266),27+4*(IFERROR(MATCH(C348,Roster!$B$6:$B$65,0),MATCH(C348,Roster!$C$6:$C$65,0))-1)+MATCH(B348,{"AM","PM","NIGHT","WD"},0)-1-27+1,DAY(A348))&amp;"",""))</f>
        <v/>
      </c>
      <c r="G348" s="123">
        <f>IF(OR(A348="",C348="",B348="",E348=""),"",IFERROR(A348&amp;"|"&amp;(27+4*(IFERROR(MATCH(C348,Roster!$B$6:$B$65,0),MATCH(C348,Roster!$C$6:$C$65,0))-1)+MATCH(B348,{"AM","PM","NIGHT","WD"},0)-1),""))</f>
        <v/>
      </c>
    </row>
    <row r="349">
      <c r="A349" s="122" t="n"/>
      <c r="B349" s="107" t="n"/>
      <c r="C349" s="105" t="n"/>
      <c r="D349" s="92">
        <f>IF(C349="","",IFERROR(INDEX(Roster!$C$6:$C$65,IFERROR(MATCH(C349,Roster!$B$6:$B$65,0),MATCH(C349,Roster!$C$6:$C$65,0))),"not on the Roster"))</f>
        <v/>
      </c>
      <c r="E349" s="106" t="n"/>
      <c r="F349" s="104">
        <f>IF(OR(A349="",C349="",B349=""),"",IFERROR(INDEX(CHOOSE(IF(YEAR(A349)&gt;PlanYear,13,MONTH(A349)),'Jan'!$D$27:$AH$266,'Feb'!$D$27:$AH$266,'Mar'!$D$27:$AH$266,'Apr'!$D$27:$AH$266,'May'!$D$27:$AH$266,'Jun'!$D$27:$AH$266,'Jul'!$D$27:$AH$266,'Aug'!$D$27:$AH$266,'Sep'!$D$27:$AH$266,'Oct'!$D$27:$AH$266,'Nov'!$D$27:$AH$266,'Dec'!$D$27:$AH$266,'Jan (next year)'!$D$27:$AH$266),27+4*(IFERROR(MATCH(C349,Roster!$B$6:$B$65,0),MATCH(C349,Roster!$C$6:$C$65,0))-1)+MATCH(B349,{"AM","PM","NIGHT","WD"},0)-1-27+1,DAY(A349))&amp;"",""))</f>
        <v/>
      </c>
      <c r="G349" s="123">
        <f>IF(OR(A349="",C349="",B349="",E349=""),"",IFERROR(A349&amp;"|"&amp;(27+4*(IFERROR(MATCH(C349,Roster!$B$6:$B$65,0),MATCH(C349,Roster!$C$6:$C$65,0))-1)+MATCH(B349,{"AM","PM","NIGHT","WD"},0)-1),""))</f>
        <v/>
      </c>
    </row>
    <row r="350">
      <c r="A350" s="122" t="n"/>
      <c r="B350" s="107" t="n"/>
      <c r="C350" s="105" t="n"/>
      <c r="D350" s="92">
        <f>IF(C350="","",IFERROR(INDEX(Roster!$C$6:$C$65,IFERROR(MATCH(C350,Roster!$B$6:$B$65,0),MATCH(C350,Roster!$C$6:$C$65,0))),"not on the Roster"))</f>
        <v/>
      </c>
      <c r="E350" s="106" t="n"/>
      <c r="F350" s="104">
        <f>IF(OR(A350="",C350="",B350=""),"",IFERROR(INDEX(CHOOSE(IF(YEAR(A350)&gt;PlanYear,13,MONTH(A350)),'Jan'!$D$27:$AH$266,'Feb'!$D$27:$AH$266,'Mar'!$D$27:$AH$266,'Apr'!$D$27:$AH$266,'May'!$D$27:$AH$266,'Jun'!$D$27:$AH$266,'Jul'!$D$27:$AH$266,'Aug'!$D$27:$AH$266,'Sep'!$D$27:$AH$266,'Oct'!$D$27:$AH$266,'Nov'!$D$27:$AH$266,'Dec'!$D$27:$AH$266,'Jan (next year)'!$D$27:$AH$266),27+4*(IFERROR(MATCH(C350,Roster!$B$6:$B$65,0),MATCH(C350,Roster!$C$6:$C$65,0))-1)+MATCH(B350,{"AM","PM","NIGHT","WD"},0)-1-27+1,DAY(A350))&amp;"",""))</f>
        <v/>
      </c>
      <c r="G350" s="123">
        <f>IF(OR(A350="",C350="",B350="",E350=""),"",IFERROR(A350&amp;"|"&amp;(27+4*(IFERROR(MATCH(C350,Roster!$B$6:$B$65,0),MATCH(C350,Roster!$C$6:$C$65,0))-1)+MATCH(B350,{"AM","PM","NIGHT","WD"},0)-1),""))</f>
        <v/>
      </c>
    </row>
    <row r="351">
      <c r="A351" s="122" t="n"/>
      <c r="B351" s="107" t="n"/>
      <c r="C351" s="105" t="n"/>
      <c r="D351" s="92">
        <f>IF(C351="","",IFERROR(INDEX(Roster!$C$6:$C$65,IFERROR(MATCH(C351,Roster!$B$6:$B$65,0),MATCH(C351,Roster!$C$6:$C$65,0))),"not on the Roster"))</f>
        <v/>
      </c>
      <c r="E351" s="106" t="n"/>
      <c r="F351" s="104">
        <f>IF(OR(A351="",C351="",B351=""),"",IFERROR(INDEX(CHOOSE(IF(YEAR(A351)&gt;PlanYear,13,MONTH(A351)),'Jan'!$D$27:$AH$266,'Feb'!$D$27:$AH$266,'Mar'!$D$27:$AH$266,'Apr'!$D$27:$AH$266,'May'!$D$27:$AH$266,'Jun'!$D$27:$AH$266,'Jul'!$D$27:$AH$266,'Aug'!$D$27:$AH$266,'Sep'!$D$27:$AH$266,'Oct'!$D$27:$AH$266,'Nov'!$D$27:$AH$266,'Dec'!$D$27:$AH$266,'Jan (next year)'!$D$27:$AH$266),27+4*(IFERROR(MATCH(C351,Roster!$B$6:$B$65,0),MATCH(C351,Roster!$C$6:$C$65,0))-1)+MATCH(B351,{"AM","PM","NIGHT","WD"},0)-1-27+1,DAY(A351))&amp;"",""))</f>
        <v/>
      </c>
      <c r="G351" s="123">
        <f>IF(OR(A351="",C351="",B351="",E351=""),"",IFERROR(A351&amp;"|"&amp;(27+4*(IFERROR(MATCH(C351,Roster!$B$6:$B$65,0),MATCH(C351,Roster!$C$6:$C$65,0))-1)+MATCH(B351,{"AM","PM","NIGHT","WD"},0)-1),""))</f>
        <v/>
      </c>
    </row>
    <row r="352">
      <c r="A352" s="122" t="n"/>
      <c r="B352" s="107" t="n"/>
      <c r="C352" s="105" t="n"/>
      <c r="D352" s="92">
        <f>IF(C352="","",IFERROR(INDEX(Roster!$C$6:$C$65,IFERROR(MATCH(C352,Roster!$B$6:$B$65,0),MATCH(C352,Roster!$C$6:$C$65,0))),"not on the Roster"))</f>
        <v/>
      </c>
      <c r="E352" s="106" t="n"/>
      <c r="F352" s="104">
        <f>IF(OR(A352="",C352="",B352=""),"",IFERROR(INDEX(CHOOSE(IF(YEAR(A352)&gt;PlanYear,13,MONTH(A352)),'Jan'!$D$27:$AH$266,'Feb'!$D$27:$AH$266,'Mar'!$D$27:$AH$266,'Apr'!$D$27:$AH$266,'May'!$D$27:$AH$266,'Jun'!$D$27:$AH$266,'Jul'!$D$27:$AH$266,'Aug'!$D$27:$AH$266,'Sep'!$D$27:$AH$266,'Oct'!$D$27:$AH$266,'Nov'!$D$27:$AH$266,'Dec'!$D$27:$AH$266,'Jan (next year)'!$D$27:$AH$266),27+4*(IFERROR(MATCH(C352,Roster!$B$6:$B$65,0),MATCH(C352,Roster!$C$6:$C$65,0))-1)+MATCH(B352,{"AM","PM","NIGHT","WD"},0)-1-27+1,DAY(A352))&amp;"",""))</f>
        <v/>
      </c>
      <c r="G352" s="123">
        <f>IF(OR(A352="",C352="",B352="",E352=""),"",IFERROR(A352&amp;"|"&amp;(27+4*(IFERROR(MATCH(C352,Roster!$B$6:$B$65,0),MATCH(C352,Roster!$C$6:$C$65,0))-1)+MATCH(B352,{"AM","PM","NIGHT","WD"},0)-1),""))</f>
        <v/>
      </c>
    </row>
    <row r="353">
      <c r="A353" s="122" t="n"/>
      <c r="B353" s="107" t="n"/>
      <c r="C353" s="105" t="n"/>
      <c r="D353" s="92">
        <f>IF(C353="","",IFERROR(INDEX(Roster!$C$6:$C$65,IFERROR(MATCH(C353,Roster!$B$6:$B$65,0),MATCH(C353,Roster!$C$6:$C$65,0))),"not on the Roster"))</f>
        <v/>
      </c>
      <c r="E353" s="106" t="n"/>
      <c r="F353" s="104">
        <f>IF(OR(A353="",C353="",B353=""),"",IFERROR(INDEX(CHOOSE(IF(YEAR(A353)&gt;PlanYear,13,MONTH(A353)),'Jan'!$D$27:$AH$266,'Feb'!$D$27:$AH$266,'Mar'!$D$27:$AH$266,'Apr'!$D$27:$AH$266,'May'!$D$27:$AH$266,'Jun'!$D$27:$AH$266,'Jul'!$D$27:$AH$266,'Aug'!$D$27:$AH$266,'Sep'!$D$27:$AH$266,'Oct'!$D$27:$AH$266,'Nov'!$D$27:$AH$266,'Dec'!$D$27:$AH$266,'Jan (next year)'!$D$27:$AH$266),27+4*(IFERROR(MATCH(C353,Roster!$B$6:$B$65,0),MATCH(C353,Roster!$C$6:$C$65,0))-1)+MATCH(B353,{"AM","PM","NIGHT","WD"},0)-1-27+1,DAY(A353))&amp;"",""))</f>
        <v/>
      </c>
      <c r="G353" s="123">
        <f>IF(OR(A353="",C353="",B353="",E353=""),"",IFERROR(A353&amp;"|"&amp;(27+4*(IFERROR(MATCH(C353,Roster!$B$6:$B$65,0),MATCH(C353,Roster!$C$6:$C$65,0))-1)+MATCH(B353,{"AM","PM","NIGHT","WD"},0)-1),""))</f>
        <v/>
      </c>
    </row>
    <row r="354">
      <c r="A354" s="122" t="n"/>
      <c r="B354" s="107" t="n"/>
      <c r="C354" s="105" t="n"/>
      <c r="D354" s="92">
        <f>IF(C354="","",IFERROR(INDEX(Roster!$C$6:$C$65,IFERROR(MATCH(C354,Roster!$B$6:$B$65,0),MATCH(C354,Roster!$C$6:$C$65,0))),"not on the Roster"))</f>
        <v/>
      </c>
      <c r="E354" s="106" t="n"/>
      <c r="F354" s="104">
        <f>IF(OR(A354="",C354="",B354=""),"",IFERROR(INDEX(CHOOSE(IF(YEAR(A354)&gt;PlanYear,13,MONTH(A354)),'Jan'!$D$27:$AH$266,'Feb'!$D$27:$AH$266,'Mar'!$D$27:$AH$266,'Apr'!$D$27:$AH$266,'May'!$D$27:$AH$266,'Jun'!$D$27:$AH$266,'Jul'!$D$27:$AH$266,'Aug'!$D$27:$AH$266,'Sep'!$D$27:$AH$266,'Oct'!$D$27:$AH$266,'Nov'!$D$27:$AH$266,'Dec'!$D$27:$AH$266,'Jan (next year)'!$D$27:$AH$266),27+4*(IFERROR(MATCH(C354,Roster!$B$6:$B$65,0),MATCH(C354,Roster!$C$6:$C$65,0))-1)+MATCH(B354,{"AM","PM","NIGHT","WD"},0)-1-27+1,DAY(A354))&amp;"",""))</f>
        <v/>
      </c>
      <c r="G354" s="123">
        <f>IF(OR(A354="",C354="",B354="",E354=""),"",IFERROR(A354&amp;"|"&amp;(27+4*(IFERROR(MATCH(C354,Roster!$B$6:$B$65,0),MATCH(C354,Roster!$C$6:$C$65,0))-1)+MATCH(B354,{"AM","PM","NIGHT","WD"},0)-1),""))</f>
        <v/>
      </c>
    </row>
    <row r="355">
      <c r="A355" s="122" t="n"/>
      <c r="B355" s="107" t="n"/>
      <c r="C355" s="105" t="n"/>
      <c r="D355" s="92">
        <f>IF(C355="","",IFERROR(INDEX(Roster!$C$6:$C$65,IFERROR(MATCH(C355,Roster!$B$6:$B$65,0),MATCH(C355,Roster!$C$6:$C$65,0))),"not on the Roster"))</f>
        <v/>
      </c>
      <c r="E355" s="106" t="n"/>
      <c r="F355" s="104">
        <f>IF(OR(A355="",C355="",B355=""),"",IFERROR(INDEX(CHOOSE(IF(YEAR(A355)&gt;PlanYear,13,MONTH(A355)),'Jan'!$D$27:$AH$266,'Feb'!$D$27:$AH$266,'Mar'!$D$27:$AH$266,'Apr'!$D$27:$AH$266,'May'!$D$27:$AH$266,'Jun'!$D$27:$AH$266,'Jul'!$D$27:$AH$266,'Aug'!$D$27:$AH$266,'Sep'!$D$27:$AH$266,'Oct'!$D$27:$AH$266,'Nov'!$D$27:$AH$266,'Dec'!$D$27:$AH$266,'Jan (next year)'!$D$27:$AH$266),27+4*(IFERROR(MATCH(C355,Roster!$B$6:$B$65,0),MATCH(C355,Roster!$C$6:$C$65,0))-1)+MATCH(B355,{"AM","PM","NIGHT","WD"},0)-1-27+1,DAY(A355))&amp;"",""))</f>
        <v/>
      </c>
      <c r="G355" s="123">
        <f>IF(OR(A355="",C355="",B355="",E355=""),"",IFERROR(A355&amp;"|"&amp;(27+4*(IFERROR(MATCH(C355,Roster!$B$6:$B$65,0),MATCH(C355,Roster!$C$6:$C$65,0))-1)+MATCH(B355,{"AM","PM","NIGHT","WD"},0)-1),""))</f>
        <v/>
      </c>
    </row>
    <row r="356">
      <c r="A356" s="122" t="n"/>
      <c r="B356" s="107" t="n"/>
      <c r="C356" s="105" t="n"/>
      <c r="D356" s="92">
        <f>IF(C356="","",IFERROR(INDEX(Roster!$C$6:$C$65,IFERROR(MATCH(C356,Roster!$B$6:$B$65,0),MATCH(C356,Roster!$C$6:$C$65,0))),"not on the Roster"))</f>
        <v/>
      </c>
      <c r="E356" s="106" t="n"/>
      <c r="F356" s="104">
        <f>IF(OR(A356="",C356="",B356=""),"",IFERROR(INDEX(CHOOSE(IF(YEAR(A356)&gt;PlanYear,13,MONTH(A356)),'Jan'!$D$27:$AH$266,'Feb'!$D$27:$AH$266,'Mar'!$D$27:$AH$266,'Apr'!$D$27:$AH$266,'May'!$D$27:$AH$266,'Jun'!$D$27:$AH$266,'Jul'!$D$27:$AH$266,'Aug'!$D$27:$AH$266,'Sep'!$D$27:$AH$266,'Oct'!$D$27:$AH$266,'Nov'!$D$27:$AH$266,'Dec'!$D$27:$AH$266,'Jan (next year)'!$D$27:$AH$266),27+4*(IFERROR(MATCH(C356,Roster!$B$6:$B$65,0),MATCH(C356,Roster!$C$6:$C$65,0))-1)+MATCH(B356,{"AM","PM","NIGHT","WD"},0)-1-27+1,DAY(A356))&amp;"",""))</f>
        <v/>
      </c>
      <c r="G356" s="123">
        <f>IF(OR(A356="",C356="",B356="",E356=""),"",IFERROR(A356&amp;"|"&amp;(27+4*(IFERROR(MATCH(C356,Roster!$B$6:$B$65,0),MATCH(C356,Roster!$C$6:$C$65,0))-1)+MATCH(B356,{"AM","PM","NIGHT","WD"},0)-1),""))</f>
        <v/>
      </c>
    </row>
    <row r="357">
      <c r="A357" s="122" t="n"/>
      <c r="B357" s="107" t="n"/>
      <c r="C357" s="105" t="n"/>
      <c r="D357" s="92">
        <f>IF(C357="","",IFERROR(INDEX(Roster!$C$6:$C$65,IFERROR(MATCH(C357,Roster!$B$6:$B$65,0),MATCH(C357,Roster!$C$6:$C$65,0))),"not on the Roster"))</f>
        <v/>
      </c>
      <c r="E357" s="106" t="n"/>
      <c r="F357" s="104">
        <f>IF(OR(A357="",C357="",B357=""),"",IFERROR(INDEX(CHOOSE(IF(YEAR(A357)&gt;PlanYear,13,MONTH(A357)),'Jan'!$D$27:$AH$266,'Feb'!$D$27:$AH$266,'Mar'!$D$27:$AH$266,'Apr'!$D$27:$AH$266,'May'!$D$27:$AH$266,'Jun'!$D$27:$AH$266,'Jul'!$D$27:$AH$266,'Aug'!$D$27:$AH$266,'Sep'!$D$27:$AH$266,'Oct'!$D$27:$AH$266,'Nov'!$D$27:$AH$266,'Dec'!$D$27:$AH$266,'Jan (next year)'!$D$27:$AH$266),27+4*(IFERROR(MATCH(C357,Roster!$B$6:$B$65,0),MATCH(C357,Roster!$C$6:$C$65,0))-1)+MATCH(B357,{"AM","PM","NIGHT","WD"},0)-1-27+1,DAY(A357))&amp;"",""))</f>
        <v/>
      </c>
      <c r="G357" s="123">
        <f>IF(OR(A357="",C357="",B357="",E357=""),"",IFERROR(A357&amp;"|"&amp;(27+4*(IFERROR(MATCH(C357,Roster!$B$6:$B$65,0),MATCH(C357,Roster!$C$6:$C$65,0))-1)+MATCH(B357,{"AM","PM","NIGHT","WD"},0)-1),""))</f>
        <v/>
      </c>
    </row>
    <row r="358">
      <c r="A358" s="122" t="n"/>
      <c r="B358" s="107" t="n"/>
      <c r="C358" s="105" t="n"/>
      <c r="D358" s="92">
        <f>IF(C358="","",IFERROR(INDEX(Roster!$C$6:$C$65,IFERROR(MATCH(C358,Roster!$B$6:$B$65,0),MATCH(C358,Roster!$C$6:$C$65,0))),"not on the Roster"))</f>
        <v/>
      </c>
      <c r="E358" s="106" t="n"/>
      <c r="F358" s="104">
        <f>IF(OR(A358="",C358="",B358=""),"",IFERROR(INDEX(CHOOSE(IF(YEAR(A358)&gt;PlanYear,13,MONTH(A358)),'Jan'!$D$27:$AH$266,'Feb'!$D$27:$AH$266,'Mar'!$D$27:$AH$266,'Apr'!$D$27:$AH$266,'May'!$D$27:$AH$266,'Jun'!$D$27:$AH$266,'Jul'!$D$27:$AH$266,'Aug'!$D$27:$AH$266,'Sep'!$D$27:$AH$266,'Oct'!$D$27:$AH$266,'Nov'!$D$27:$AH$266,'Dec'!$D$27:$AH$266,'Jan (next year)'!$D$27:$AH$266),27+4*(IFERROR(MATCH(C358,Roster!$B$6:$B$65,0),MATCH(C358,Roster!$C$6:$C$65,0))-1)+MATCH(B358,{"AM","PM","NIGHT","WD"},0)-1-27+1,DAY(A358))&amp;"",""))</f>
        <v/>
      </c>
      <c r="G358" s="123">
        <f>IF(OR(A358="",C358="",B358="",E358=""),"",IFERROR(A358&amp;"|"&amp;(27+4*(IFERROR(MATCH(C358,Roster!$B$6:$B$65,0),MATCH(C358,Roster!$C$6:$C$65,0))-1)+MATCH(B358,{"AM","PM","NIGHT","WD"},0)-1),""))</f>
        <v/>
      </c>
    </row>
    <row r="359">
      <c r="A359" s="122" t="n"/>
      <c r="B359" s="107" t="n"/>
      <c r="C359" s="105" t="n"/>
      <c r="D359" s="92">
        <f>IF(C359="","",IFERROR(INDEX(Roster!$C$6:$C$65,IFERROR(MATCH(C359,Roster!$B$6:$B$65,0),MATCH(C359,Roster!$C$6:$C$65,0))),"not on the Roster"))</f>
        <v/>
      </c>
      <c r="E359" s="106" t="n"/>
      <c r="F359" s="104">
        <f>IF(OR(A359="",C359="",B359=""),"",IFERROR(INDEX(CHOOSE(IF(YEAR(A359)&gt;PlanYear,13,MONTH(A359)),'Jan'!$D$27:$AH$266,'Feb'!$D$27:$AH$266,'Mar'!$D$27:$AH$266,'Apr'!$D$27:$AH$266,'May'!$D$27:$AH$266,'Jun'!$D$27:$AH$266,'Jul'!$D$27:$AH$266,'Aug'!$D$27:$AH$266,'Sep'!$D$27:$AH$266,'Oct'!$D$27:$AH$266,'Nov'!$D$27:$AH$266,'Dec'!$D$27:$AH$266,'Jan (next year)'!$D$27:$AH$266),27+4*(IFERROR(MATCH(C359,Roster!$B$6:$B$65,0),MATCH(C359,Roster!$C$6:$C$65,0))-1)+MATCH(B359,{"AM","PM","NIGHT","WD"},0)-1-27+1,DAY(A359))&amp;"",""))</f>
        <v/>
      </c>
      <c r="G359" s="123">
        <f>IF(OR(A359="",C359="",B359="",E359=""),"",IFERROR(A359&amp;"|"&amp;(27+4*(IFERROR(MATCH(C359,Roster!$B$6:$B$65,0),MATCH(C359,Roster!$C$6:$C$65,0))-1)+MATCH(B359,{"AM","PM","NIGHT","WD"},0)-1),""))</f>
        <v/>
      </c>
    </row>
    <row r="360">
      <c r="A360" s="122" t="n"/>
      <c r="B360" s="107" t="n"/>
      <c r="C360" s="105" t="n"/>
      <c r="D360" s="92">
        <f>IF(C360="","",IFERROR(INDEX(Roster!$C$6:$C$65,IFERROR(MATCH(C360,Roster!$B$6:$B$65,0),MATCH(C360,Roster!$C$6:$C$65,0))),"not on the Roster"))</f>
        <v/>
      </c>
      <c r="E360" s="106" t="n"/>
      <c r="F360" s="104">
        <f>IF(OR(A360="",C360="",B360=""),"",IFERROR(INDEX(CHOOSE(IF(YEAR(A360)&gt;PlanYear,13,MONTH(A360)),'Jan'!$D$27:$AH$266,'Feb'!$D$27:$AH$266,'Mar'!$D$27:$AH$266,'Apr'!$D$27:$AH$266,'May'!$D$27:$AH$266,'Jun'!$D$27:$AH$266,'Jul'!$D$27:$AH$266,'Aug'!$D$27:$AH$266,'Sep'!$D$27:$AH$266,'Oct'!$D$27:$AH$266,'Nov'!$D$27:$AH$266,'Dec'!$D$27:$AH$266,'Jan (next year)'!$D$27:$AH$266),27+4*(IFERROR(MATCH(C360,Roster!$B$6:$B$65,0),MATCH(C360,Roster!$C$6:$C$65,0))-1)+MATCH(B360,{"AM","PM","NIGHT","WD"},0)-1-27+1,DAY(A360))&amp;"",""))</f>
        <v/>
      </c>
      <c r="G360" s="123">
        <f>IF(OR(A360="",C360="",B360="",E360=""),"",IFERROR(A360&amp;"|"&amp;(27+4*(IFERROR(MATCH(C360,Roster!$B$6:$B$65,0),MATCH(C360,Roster!$C$6:$C$65,0))-1)+MATCH(B360,{"AM","PM","NIGHT","WD"},0)-1),""))</f>
        <v/>
      </c>
    </row>
    <row r="361">
      <c r="A361" s="122" t="n"/>
      <c r="B361" s="107" t="n"/>
      <c r="C361" s="105" t="n"/>
      <c r="D361" s="92">
        <f>IF(C361="","",IFERROR(INDEX(Roster!$C$6:$C$65,IFERROR(MATCH(C361,Roster!$B$6:$B$65,0),MATCH(C361,Roster!$C$6:$C$65,0))),"not on the Roster"))</f>
        <v/>
      </c>
      <c r="E361" s="106" t="n"/>
      <c r="F361" s="104">
        <f>IF(OR(A361="",C361="",B361=""),"",IFERROR(INDEX(CHOOSE(IF(YEAR(A361)&gt;PlanYear,13,MONTH(A361)),'Jan'!$D$27:$AH$266,'Feb'!$D$27:$AH$266,'Mar'!$D$27:$AH$266,'Apr'!$D$27:$AH$266,'May'!$D$27:$AH$266,'Jun'!$D$27:$AH$266,'Jul'!$D$27:$AH$266,'Aug'!$D$27:$AH$266,'Sep'!$D$27:$AH$266,'Oct'!$D$27:$AH$266,'Nov'!$D$27:$AH$266,'Dec'!$D$27:$AH$266,'Jan (next year)'!$D$27:$AH$266),27+4*(IFERROR(MATCH(C361,Roster!$B$6:$B$65,0),MATCH(C361,Roster!$C$6:$C$65,0))-1)+MATCH(B361,{"AM","PM","NIGHT","WD"},0)-1-27+1,DAY(A361))&amp;"",""))</f>
        <v/>
      </c>
      <c r="G361" s="123">
        <f>IF(OR(A361="",C361="",B361="",E361=""),"",IFERROR(A361&amp;"|"&amp;(27+4*(IFERROR(MATCH(C361,Roster!$B$6:$B$65,0),MATCH(C361,Roster!$C$6:$C$65,0))-1)+MATCH(B361,{"AM","PM","NIGHT","WD"},0)-1),""))</f>
        <v/>
      </c>
    </row>
    <row r="362">
      <c r="A362" s="122" t="n"/>
      <c r="B362" s="107" t="n"/>
      <c r="C362" s="105" t="n"/>
      <c r="D362" s="92">
        <f>IF(C362="","",IFERROR(INDEX(Roster!$C$6:$C$65,IFERROR(MATCH(C362,Roster!$B$6:$B$65,0),MATCH(C362,Roster!$C$6:$C$65,0))),"not on the Roster"))</f>
        <v/>
      </c>
      <c r="E362" s="106" t="n"/>
      <c r="F362" s="104">
        <f>IF(OR(A362="",C362="",B362=""),"",IFERROR(INDEX(CHOOSE(IF(YEAR(A362)&gt;PlanYear,13,MONTH(A362)),'Jan'!$D$27:$AH$266,'Feb'!$D$27:$AH$266,'Mar'!$D$27:$AH$266,'Apr'!$D$27:$AH$266,'May'!$D$27:$AH$266,'Jun'!$D$27:$AH$266,'Jul'!$D$27:$AH$266,'Aug'!$D$27:$AH$266,'Sep'!$D$27:$AH$266,'Oct'!$D$27:$AH$266,'Nov'!$D$27:$AH$266,'Dec'!$D$27:$AH$266,'Jan (next year)'!$D$27:$AH$266),27+4*(IFERROR(MATCH(C362,Roster!$B$6:$B$65,0),MATCH(C362,Roster!$C$6:$C$65,0))-1)+MATCH(B362,{"AM","PM","NIGHT","WD"},0)-1-27+1,DAY(A362))&amp;"",""))</f>
        <v/>
      </c>
      <c r="G362" s="123">
        <f>IF(OR(A362="",C362="",B362="",E362=""),"",IFERROR(A362&amp;"|"&amp;(27+4*(IFERROR(MATCH(C362,Roster!$B$6:$B$65,0),MATCH(C362,Roster!$C$6:$C$65,0))-1)+MATCH(B362,{"AM","PM","NIGHT","WD"},0)-1),""))</f>
        <v/>
      </c>
    </row>
    <row r="363">
      <c r="A363" s="122" t="n"/>
      <c r="B363" s="107" t="n"/>
      <c r="C363" s="105" t="n"/>
      <c r="D363" s="92">
        <f>IF(C363="","",IFERROR(INDEX(Roster!$C$6:$C$65,IFERROR(MATCH(C363,Roster!$B$6:$B$65,0),MATCH(C363,Roster!$C$6:$C$65,0))),"not on the Roster"))</f>
        <v/>
      </c>
      <c r="E363" s="106" t="n"/>
      <c r="F363" s="104">
        <f>IF(OR(A363="",C363="",B363=""),"",IFERROR(INDEX(CHOOSE(IF(YEAR(A363)&gt;PlanYear,13,MONTH(A363)),'Jan'!$D$27:$AH$266,'Feb'!$D$27:$AH$266,'Mar'!$D$27:$AH$266,'Apr'!$D$27:$AH$266,'May'!$D$27:$AH$266,'Jun'!$D$27:$AH$266,'Jul'!$D$27:$AH$266,'Aug'!$D$27:$AH$266,'Sep'!$D$27:$AH$266,'Oct'!$D$27:$AH$266,'Nov'!$D$27:$AH$266,'Dec'!$D$27:$AH$266,'Jan (next year)'!$D$27:$AH$266),27+4*(IFERROR(MATCH(C363,Roster!$B$6:$B$65,0),MATCH(C363,Roster!$C$6:$C$65,0))-1)+MATCH(B363,{"AM","PM","NIGHT","WD"},0)-1-27+1,DAY(A363))&amp;"",""))</f>
        <v/>
      </c>
      <c r="G363" s="123">
        <f>IF(OR(A363="",C363="",B363="",E363=""),"",IFERROR(A363&amp;"|"&amp;(27+4*(IFERROR(MATCH(C363,Roster!$B$6:$B$65,0),MATCH(C363,Roster!$C$6:$C$65,0))-1)+MATCH(B363,{"AM","PM","NIGHT","WD"},0)-1),""))</f>
        <v/>
      </c>
    </row>
    <row r="364">
      <c r="A364" s="122" t="n"/>
      <c r="B364" s="107" t="n"/>
      <c r="C364" s="105" t="n"/>
      <c r="D364" s="92">
        <f>IF(C364="","",IFERROR(INDEX(Roster!$C$6:$C$65,IFERROR(MATCH(C364,Roster!$B$6:$B$65,0),MATCH(C364,Roster!$C$6:$C$65,0))),"not on the Roster"))</f>
        <v/>
      </c>
      <c r="E364" s="106" t="n"/>
      <c r="F364" s="104">
        <f>IF(OR(A364="",C364="",B364=""),"",IFERROR(INDEX(CHOOSE(IF(YEAR(A364)&gt;PlanYear,13,MONTH(A364)),'Jan'!$D$27:$AH$266,'Feb'!$D$27:$AH$266,'Mar'!$D$27:$AH$266,'Apr'!$D$27:$AH$266,'May'!$D$27:$AH$266,'Jun'!$D$27:$AH$266,'Jul'!$D$27:$AH$266,'Aug'!$D$27:$AH$266,'Sep'!$D$27:$AH$266,'Oct'!$D$27:$AH$266,'Nov'!$D$27:$AH$266,'Dec'!$D$27:$AH$266,'Jan (next year)'!$D$27:$AH$266),27+4*(IFERROR(MATCH(C364,Roster!$B$6:$B$65,0),MATCH(C364,Roster!$C$6:$C$65,0))-1)+MATCH(B364,{"AM","PM","NIGHT","WD"},0)-1-27+1,DAY(A364))&amp;"",""))</f>
        <v/>
      </c>
      <c r="G364" s="123">
        <f>IF(OR(A364="",C364="",B364="",E364=""),"",IFERROR(A364&amp;"|"&amp;(27+4*(IFERROR(MATCH(C364,Roster!$B$6:$B$65,0),MATCH(C364,Roster!$C$6:$C$65,0))-1)+MATCH(B364,{"AM","PM","NIGHT","WD"},0)-1),""))</f>
        <v/>
      </c>
    </row>
    <row r="365">
      <c r="A365" s="122" t="n"/>
      <c r="B365" s="107" t="n"/>
      <c r="C365" s="105" t="n"/>
      <c r="D365" s="92">
        <f>IF(C365="","",IFERROR(INDEX(Roster!$C$6:$C$65,IFERROR(MATCH(C365,Roster!$B$6:$B$65,0),MATCH(C365,Roster!$C$6:$C$65,0))),"not on the Roster"))</f>
        <v/>
      </c>
      <c r="E365" s="106" t="n"/>
      <c r="F365" s="104">
        <f>IF(OR(A365="",C365="",B365=""),"",IFERROR(INDEX(CHOOSE(IF(YEAR(A365)&gt;PlanYear,13,MONTH(A365)),'Jan'!$D$27:$AH$266,'Feb'!$D$27:$AH$266,'Mar'!$D$27:$AH$266,'Apr'!$D$27:$AH$266,'May'!$D$27:$AH$266,'Jun'!$D$27:$AH$266,'Jul'!$D$27:$AH$266,'Aug'!$D$27:$AH$266,'Sep'!$D$27:$AH$266,'Oct'!$D$27:$AH$266,'Nov'!$D$27:$AH$266,'Dec'!$D$27:$AH$266,'Jan (next year)'!$D$27:$AH$266),27+4*(IFERROR(MATCH(C365,Roster!$B$6:$B$65,0),MATCH(C365,Roster!$C$6:$C$65,0))-1)+MATCH(B365,{"AM","PM","NIGHT","WD"},0)-1-27+1,DAY(A365))&amp;"",""))</f>
        <v/>
      </c>
      <c r="G365" s="123">
        <f>IF(OR(A365="",C365="",B365="",E365=""),"",IFERROR(A365&amp;"|"&amp;(27+4*(IFERROR(MATCH(C365,Roster!$B$6:$B$65,0),MATCH(C365,Roster!$C$6:$C$65,0))-1)+MATCH(B365,{"AM","PM","NIGHT","WD"},0)-1),""))</f>
        <v/>
      </c>
    </row>
    <row r="366">
      <c r="A366" s="122" t="n"/>
      <c r="B366" s="107" t="n"/>
      <c r="C366" s="105" t="n"/>
      <c r="D366" s="92">
        <f>IF(C366="","",IFERROR(INDEX(Roster!$C$6:$C$65,IFERROR(MATCH(C366,Roster!$B$6:$B$65,0),MATCH(C366,Roster!$C$6:$C$65,0))),"not on the Roster"))</f>
        <v/>
      </c>
      <c r="E366" s="106" t="n"/>
      <c r="F366" s="104">
        <f>IF(OR(A366="",C366="",B366=""),"",IFERROR(INDEX(CHOOSE(IF(YEAR(A366)&gt;PlanYear,13,MONTH(A366)),'Jan'!$D$27:$AH$266,'Feb'!$D$27:$AH$266,'Mar'!$D$27:$AH$266,'Apr'!$D$27:$AH$266,'May'!$D$27:$AH$266,'Jun'!$D$27:$AH$266,'Jul'!$D$27:$AH$266,'Aug'!$D$27:$AH$266,'Sep'!$D$27:$AH$266,'Oct'!$D$27:$AH$266,'Nov'!$D$27:$AH$266,'Dec'!$D$27:$AH$266,'Jan (next year)'!$D$27:$AH$266),27+4*(IFERROR(MATCH(C366,Roster!$B$6:$B$65,0),MATCH(C366,Roster!$C$6:$C$65,0))-1)+MATCH(B366,{"AM","PM","NIGHT","WD"},0)-1-27+1,DAY(A366))&amp;"",""))</f>
        <v/>
      </c>
      <c r="G366" s="123">
        <f>IF(OR(A366="",C366="",B366="",E366=""),"",IFERROR(A366&amp;"|"&amp;(27+4*(IFERROR(MATCH(C366,Roster!$B$6:$B$65,0),MATCH(C366,Roster!$C$6:$C$65,0))-1)+MATCH(B366,{"AM","PM","NIGHT","WD"},0)-1),""))</f>
        <v/>
      </c>
    </row>
    <row r="367">
      <c r="A367" s="122" t="n"/>
      <c r="B367" s="107" t="n"/>
      <c r="C367" s="105" t="n"/>
      <c r="D367" s="92">
        <f>IF(C367="","",IFERROR(INDEX(Roster!$C$6:$C$65,IFERROR(MATCH(C367,Roster!$B$6:$B$65,0),MATCH(C367,Roster!$C$6:$C$65,0))),"not on the Roster"))</f>
        <v/>
      </c>
      <c r="E367" s="106" t="n"/>
      <c r="F367" s="104">
        <f>IF(OR(A367="",C367="",B367=""),"",IFERROR(INDEX(CHOOSE(IF(YEAR(A367)&gt;PlanYear,13,MONTH(A367)),'Jan'!$D$27:$AH$266,'Feb'!$D$27:$AH$266,'Mar'!$D$27:$AH$266,'Apr'!$D$27:$AH$266,'May'!$D$27:$AH$266,'Jun'!$D$27:$AH$266,'Jul'!$D$27:$AH$266,'Aug'!$D$27:$AH$266,'Sep'!$D$27:$AH$266,'Oct'!$D$27:$AH$266,'Nov'!$D$27:$AH$266,'Dec'!$D$27:$AH$266,'Jan (next year)'!$D$27:$AH$266),27+4*(IFERROR(MATCH(C367,Roster!$B$6:$B$65,0),MATCH(C367,Roster!$C$6:$C$65,0))-1)+MATCH(B367,{"AM","PM","NIGHT","WD"},0)-1-27+1,DAY(A367))&amp;"",""))</f>
        <v/>
      </c>
      <c r="G367" s="123">
        <f>IF(OR(A367="",C367="",B367="",E367=""),"",IFERROR(A367&amp;"|"&amp;(27+4*(IFERROR(MATCH(C367,Roster!$B$6:$B$65,0),MATCH(C367,Roster!$C$6:$C$65,0))-1)+MATCH(B367,{"AM","PM","NIGHT","WD"},0)-1),""))</f>
        <v/>
      </c>
    </row>
    <row r="368">
      <c r="A368" s="122" t="n"/>
      <c r="B368" s="107" t="n"/>
      <c r="C368" s="105" t="n"/>
      <c r="D368" s="92">
        <f>IF(C368="","",IFERROR(INDEX(Roster!$C$6:$C$65,IFERROR(MATCH(C368,Roster!$B$6:$B$65,0),MATCH(C368,Roster!$C$6:$C$65,0))),"not on the Roster"))</f>
        <v/>
      </c>
      <c r="E368" s="106" t="n"/>
      <c r="F368" s="104">
        <f>IF(OR(A368="",C368="",B368=""),"",IFERROR(INDEX(CHOOSE(IF(YEAR(A368)&gt;PlanYear,13,MONTH(A368)),'Jan'!$D$27:$AH$266,'Feb'!$D$27:$AH$266,'Mar'!$D$27:$AH$266,'Apr'!$D$27:$AH$266,'May'!$D$27:$AH$266,'Jun'!$D$27:$AH$266,'Jul'!$D$27:$AH$266,'Aug'!$D$27:$AH$266,'Sep'!$D$27:$AH$266,'Oct'!$D$27:$AH$266,'Nov'!$D$27:$AH$266,'Dec'!$D$27:$AH$266,'Jan (next year)'!$D$27:$AH$266),27+4*(IFERROR(MATCH(C368,Roster!$B$6:$B$65,0),MATCH(C368,Roster!$C$6:$C$65,0))-1)+MATCH(B368,{"AM","PM","NIGHT","WD"},0)-1-27+1,DAY(A368))&amp;"",""))</f>
        <v/>
      </c>
      <c r="G368" s="123">
        <f>IF(OR(A368="",C368="",B368="",E368=""),"",IFERROR(A368&amp;"|"&amp;(27+4*(IFERROR(MATCH(C368,Roster!$B$6:$B$65,0),MATCH(C368,Roster!$C$6:$C$65,0))-1)+MATCH(B368,{"AM","PM","NIGHT","WD"},0)-1),""))</f>
        <v/>
      </c>
    </row>
    <row r="369">
      <c r="A369" s="122" t="n"/>
      <c r="B369" s="107" t="n"/>
      <c r="C369" s="105" t="n"/>
      <c r="D369" s="92">
        <f>IF(C369="","",IFERROR(INDEX(Roster!$C$6:$C$65,IFERROR(MATCH(C369,Roster!$B$6:$B$65,0),MATCH(C369,Roster!$C$6:$C$65,0))),"not on the Roster"))</f>
        <v/>
      </c>
      <c r="E369" s="106" t="n"/>
      <c r="F369" s="104">
        <f>IF(OR(A369="",C369="",B369=""),"",IFERROR(INDEX(CHOOSE(IF(YEAR(A369)&gt;PlanYear,13,MONTH(A369)),'Jan'!$D$27:$AH$266,'Feb'!$D$27:$AH$266,'Mar'!$D$27:$AH$266,'Apr'!$D$27:$AH$266,'May'!$D$27:$AH$266,'Jun'!$D$27:$AH$266,'Jul'!$D$27:$AH$266,'Aug'!$D$27:$AH$266,'Sep'!$D$27:$AH$266,'Oct'!$D$27:$AH$266,'Nov'!$D$27:$AH$266,'Dec'!$D$27:$AH$266,'Jan (next year)'!$D$27:$AH$266),27+4*(IFERROR(MATCH(C369,Roster!$B$6:$B$65,0),MATCH(C369,Roster!$C$6:$C$65,0))-1)+MATCH(B369,{"AM","PM","NIGHT","WD"},0)-1-27+1,DAY(A369))&amp;"",""))</f>
        <v/>
      </c>
      <c r="G369" s="123">
        <f>IF(OR(A369="",C369="",B369="",E369=""),"",IFERROR(A369&amp;"|"&amp;(27+4*(IFERROR(MATCH(C369,Roster!$B$6:$B$65,0),MATCH(C369,Roster!$C$6:$C$65,0))-1)+MATCH(B369,{"AM","PM","NIGHT","WD"},0)-1),""))</f>
        <v/>
      </c>
    </row>
    <row r="370">
      <c r="A370" s="122" t="n"/>
      <c r="B370" s="107" t="n"/>
      <c r="C370" s="105" t="n"/>
      <c r="D370" s="92">
        <f>IF(C370="","",IFERROR(INDEX(Roster!$C$6:$C$65,IFERROR(MATCH(C370,Roster!$B$6:$B$65,0),MATCH(C370,Roster!$C$6:$C$65,0))),"not on the Roster"))</f>
        <v/>
      </c>
      <c r="E370" s="106" t="n"/>
      <c r="F370" s="104">
        <f>IF(OR(A370="",C370="",B370=""),"",IFERROR(INDEX(CHOOSE(IF(YEAR(A370)&gt;PlanYear,13,MONTH(A370)),'Jan'!$D$27:$AH$266,'Feb'!$D$27:$AH$266,'Mar'!$D$27:$AH$266,'Apr'!$D$27:$AH$266,'May'!$D$27:$AH$266,'Jun'!$D$27:$AH$266,'Jul'!$D$27:$AH$266,'Aug'!$D$27:$AH$266,'Sep'!$D$27:$AH$266,'Oct'!$D$27:$AH$266,'Nov'!$D$27:$AH$266,'Dec'!$D$27:$AH$266,'Jan (next year)'!$D$27:$AH$266),27+4*(IFERROR(MATCH(C370,Roster!$B$6:$B$65,0),MATCH(C370,Roster!$C$6:$C$65,0))-1)+MATCH(B370,{"AM","PM","NIGHT","WD"},0)-1-27+1,DAY(A370))&amp;"",""))</f>
        <v/>
      </c>
      <c r="G370" s="123">
        <f>IF(OR(A370="",C370="",B370="",E370=""),"",IFERROR(A370&amp;"|"&amp;(27+4*(IFERROR(MATCH(C370,Roster!$B$6:$B$65,0),MATCH(C370,Roster!$C$6:$C$65,0))-1)+MATCH(B370,{"AM","PM","NIGHT","WD"},0)-1),""))</f>
        <v/>
      </c>
    </row>
    <row r="371">
      <c r="A371" s="122" t="n"/>
      <c r="B371" s="107" t="n"/>
      <c r="C371" s="105" t="n"/>
      <c r="D371" s="92">
        <f>IF(C371="","",IFERROR(INDEX(Roster!$C$6:$C$65,IFERROR(MATCH(C371,Roster!$B$6:$B$65,0),MATCH(C371,Roster!$C$6:$C$65,0))),"not on the Roster"))</f>
        <v/>
      </c>
      <c r="E371" s="106" t="n"/>
      <c r="F371" s="104">
        <f>IF(OR(A371="",C371="",B371=""),"",IFERROR(INDEX(CHOOSE(IF(YEAR(A371)&gt;PlanYear,13,MONTH(A371)),'Jan'!$D$27:$AH$266,'Feb'!$D$27:$AH$266,'Mar'!$D$27:$AH$266,'Apr'!$D$27:$AH$266,'May'!$D$27:$AH$266,'Jun'!$D$27:$AH$266,'Jul'!$D$27:$AH$266,'Aug'!$D$27:$AH$266,'Sep'!$D$27:$AH$266,'Oct'!$D$27:$AH$266,'Nov'!$D$27:$AH$266,'Dec'!$D$27:$AH$266,'Jan (next year)'!$D$27:$AH$266),27+4*(IFERROR(MATCH(C371,Roster!$B$6:$B$65,0),MATCH(C371,Roster!$C$6:$C$65,0))-1)+MATCH(B371,{"AM","PM","NIGHT","WD"},0)-1-27+1,DAY(A371))&amp;"",""))</f>
        <v/>
      </c>
      <c r="G371" s="123">
        <f>IF(OR(A371="",C371="",B371="",E371=""),"",IFERROR(A371&amp;"|"&amp;(27+4*(IFERROR(MATCH(C371,Roster!$B$6:$B$65,0),MATCH(C371,Roster!$C$6:$C$65,0))-1)+MATCH(B371,{"AM","PM","NIGHT","WD"},0)-1),""))</f>
        <v/>
      </c>
    </row>
    <row r="372">
      <c r="A372" s="122" t="n"/>
      <c r="B372" s="107" t="n"/>
      <c r="C372" s="105" t="n"/>
      <c r="D372" s="92">
        <f>IF(C372="","",IFERROR(INDEX(Roster!$C$6:$C$65,IFERROR(MATCH(C372,Roster!$B$6:$B$65,0),MATCH(C372,Roster!$C$6:$C$65,0))),"not on the Roster"))</f>
        <v/>
      </c>
      <c r="E372" s="106" t="n"/>
      <c r="F372" s="104">
        <f>IF(OR(A372="",C372="",B372=""),"",IFERROR(INDEX(CHOOSE(IF(YEAR(A372)&gt;PlanYear,13,MONTH(A372)),'Jan'!$D$27:$AH$266,'Feb'!$D$27:$AH$266,'Mar'!$D$27:$AH$266,'Apr'!$D$27:$AH$266,'May'!$D$27:$AH$266,'Jun'!$D$27:$AH$266,'Jul'!$D$27:$AH$266,'Aug'!$D$27:$AH$266,'Sep'!$D$27:$AH$266,'Oct'!$D$27:$AH$266,'Nov'!$D$27:$AH$266,'Dec'!$D$27:$AH$266,'Jan (next year)'!$D$27:$AH$266),27+4*(IFERROR(MATCH(C372,Roster!$B$6:$B$65,0),MATCH(C372,Roster!$C$6:$C$65,0))-1)+MATCH(B372,{"AM","PM","NIGHT","WD"},0)-1-27+1,DAY(A372))&amp;"",""))</f>
        <v/>
      </c>
      <c r="G372" s="123">
        <f>IF(OR(A372="",C372="",B372="",E372=""),"",IFERROR(A372&amp;"|"&amp;(27+4*(IFERROR(MATCH(C372,Roster!$B$6:$B$65,0),MATCH(C372,Roster!$C$6:$C$65,0))-1)+MATCH(B372,{"AM","PM","NIGHT","WD"},0)-1),""))</f>
        <v/>
      </c>
    </row>
    <row r="373">
      <c r="A373" s="122" t="n"/>
      <c r="B373" s="107" t="n"/>
      <c r="C373" s="105" t="n"/>
      <c r="D373" s="92">
        <f>IF(C373="","",IFERROR(INDEX(Roster!$C$6:$C$65,IFERROR(MATCH(C373,Roster!$B$6:$B$65,0),MATCH(C373,Roster!$C$6:$C$65,0))),"not on the Roster"))</f>
        <v/>
      </c>
      <c r="E373" s="106" t="n"/>
      <c r="F373" s="104">
        <f>IF(OR(A373="",C373="",B373=""),"",IFERROR(INDEX(CHOOSE(IF(YEAR(A373)&gt;PlanYear,13,MONTH(A373)),'Jan'!$D$27:$AH$266,'Feb'!$D$27:$AH$266,'Mar'!$D$27:$AH$266,'Apr'!$D$27:$AH$266,'May'!$D$27:$AH$266,'Jun'!$D$27:$AH$266,'Jul'!$D$27:$AH$266,'Aug'!$D$27:$AH$266,'Sep'!$D$27:$AH$266,'Oct'!$D$27:$AH$266,'Nov'!$D$27:$AH$266,'Dec'!$D$27:$AH$266,'Jan (next year)'!$D$27:$AH$266),27+4*(IFERROR(MATCH(C373,Roster!$B$6:$B$65,0),MATCH(C373,Roster!$C$6:$C$65,0))-1)+MATCH(B373,{"AM","PM","NIGHT","WD"},0)-1-27+1,DAY(A373))&amp;"",""))</f>
        <v/>
      </c>
      <c r="G373" s="123">
        <f>IF(OR(A373="",C373="",B373="",E373=""),"",IFERROR(A373&amp;"|"&amp;(27+4*(IFERROR(MATCH(C373,Roster!$B$6:$B$65,0),MATCH(C373,Roster!$C$6:$C$65,0))-1)+MATCH(B373,{"AM","PM","NIGHT","WD"},0)-1),""))</f>
        <v/>
      </c>
    </row>
    <row r="374">
      <c r="A374" s="122" t="n"/>
      <c r="B374" s="107" t="n"/>
      <c r="C374" s="105" t="n"/>
      <c r="D374" s="92">
        <f>IF(C374="","",IFERROR(INDEX(Roster!$C$6:$C$65,IFERROR(MATCH(C374,Roster!$B$6:$B$65,0),MATCH(C374,Roster!$C$6:$C$65,0))),"not on the Roster"))</f>
        <v/>
      </c>
      <c r="E374" s="106" t="n"/>
      <c r="F374" s="104">
        <f>IF(OR(A374="",C374="",B374=""),"",IFERROR(INDEX(CHOOSE(IF(YEAR(A374)&gt;PlanYear,13,MONTH(A374)),'Jan'!$D$27:$AH$266,'Feb'!$D$27:$AH$266,'Mar'!$D$27:$AH$266,'Apr'!$D$27:$AH$266,'May'!$D$27:$AH$266,'Jun'!$D$27:$AH$266,'Jul'!$D$27:$AH$266,'Aug'!$D$27:$AH$266,'Sep'!$D$27:$AH$266,'Oct'!$D$27:$AH$266,'Nov'!$D$27:$AH$266,'Dec'!$D$27:$AH$266,'Jan (next year)'!$D$27:$AH$266),27+4*(IFERROR(MATCH(C374,Roster!$B$6:$B$65,0),MATCH(C374,Roster!$C$6:$C$65,0))-1)+MATCH(B374,{"AM","PM","NIGHT","WD"},0)-1-27+1,DAY(A374))&amp;"",""))</f>
        <v/>
      </c>
      <c r="G374" s="123">
        <f>IF(OR(A374="",C374="",B374="",E374=""),"",IFERROR(A374&amp;"|"&amp;(27+4*(IFERROR(MATCH(C374,Roster!$B$6:$B$65,0),MATCH(C374,Roster!$C$6:$C$65,0))-1)+MATCH(B374,{"AM","PM","NIGHT","WD"},0)-1),""))</f>
        <v/>
      </c>
    </row>
    <row r="375">
      <c r="A375" s="122" t="n"/>
      <c r="B375" s="107" t="n"/>
      <c r="C375" s="105" t="n"/>
      <c r="D375" s="92">
        <f>IF(C375="","",IFERROR(INDEX(Roster!$C$6:$C$65,IFERROR(MATCH(C375,Roster!$B$6:$B$65,0),MATCH(C375,Roster!$C$6:$C$65,0))),"not on the Roster"))</f>
        <v/>
      </c>
      <c r="E375" s="106" t="n"/>
      <c r="F375" s="104">
        <f>IF(OR(A375="",C375="",B375=""),"",IFERROR(INDEX(CHOOSE(IF(YEAR(A375)&gt;PlanYear,13,MONTH(A375)),'Jan'!$D$27:$AH$266,'Feb'!$D$27:$AH$266,'Mar'!$D$27:$AH$266,'Apr'!$D$27:$AH$266,'May'!$D$27:$AH$266,'Jun'!$D$27:$AH$266,'Jul'!$D$27:$AH$266,'Aug'!$D$27:$AH$266,'Sep'!$D$27:$AH$266,'Oct'!$D$27:$AH$266,'Nov'!$D$27:$AH$266,'Dec'!$D$27:$AH$266,'Jan (next year)'!$D$27:$AH$266),27+4*(IFERROR(MATCH(C375,Roster!$B$6:$B$65,0),MATCH(C375,Roster!$C$6:$C$65,0))-1)+MATCH(B375,{"AM","PM","NIGHT","WD"},0)-1-27+1,DAY(A375))&amp;"",""))</f>
        <v/>
      </c>
      <c r="G375" s="123">
        <f>IF(OR(A375="",C375="",B375="",E375=""),"",IFERROR(A375&amp;"|"&amp;(27+4*(IFERROR(MATCH(C375,Roster!$B$6:$B$65,0),MATCH(C375,Roster!$C$6:$C$65,0))-1)+MATCH(B375,{"AM","PM","NIGHT","WD"},0)-1),""))</f>
        <v/>
      </c>
    </row>
    <row r="376">
      <c r="A376" s="122" t="n"/>
      <c r="B376" s="107" t="n"/>
      <c r="C376" s="105" t="n"/>
      <c r="D376" s="92">
        <f>IF(C376="","",IFERROR(INDEX(Roster!$C$6:$C$65,IFERROR(MATCH(C376,Roster!$B$6:$B$65,0),MATCH(C376,Roster!$C$6:$C$65,0))),"not on the Roster"))</f>
        <v/>
      </c>
      <c r="E376" s="106" t="n"/>
      <c r="F376" s="104">
        <f>IF(OR(A376="",C376="",B376=""),"",IFERROR(INDEX(CHOOSE(IF(YEAR(A376)&gt;PlanYear,13,MONTH(A376)),'Jan'!$D$27:$AH$266,'Feb'!$D$27:$AH$266,'Mar'!$D$27:$AH$266,'Apr'!$D$27:$AH$266,'May'!$D$27:$AH$266,'Jun'!$D$27:$AH$266,'Jul'!$D$27:$AH$266,'Aug'!$D$27:$AH$266,'Sep'!$D$27:$AH$266,'Oct'!$D$27:$AH$266,'Nov'!$D$27:$AH$266,'Dec'!$D$27:$AH$266,'Jan (next year)'!$D$27:$AH$266),27+4*(IFERROR(MATCH(C376,Roster!$B$6:$B$65,0),MATCH(C376,Roster!$C$6:$C$65,0))-1)+MATCH(B376,{"AM","PM","NIGHT","WD"},0)-1-27+1,DAY(A376))&amp;"",""))</f>
        <v/>
      </c>
      <c r="G376" s="123">
        <f>IF(OR(A376="",C376="",B376="",E376=""),"",IFERROR(A376&amp;"|"&amp;(27+4*(IFERROR(MATCH(C376,Roster!$B$6:$B$65,0),MATCH(C376,Roster!$C$6:$C$65,0))-1)+MATCH(B376,{"AM","PM","NIGHT","WD"},0)-1),""))</f>
        <v/>
      </c>
    </row>
    <row r="377">
      <c r="A377" s="122" t="n"/>
      <c r="B377" s="107" t="n"/>
      <c r="C377" s="105" t="n"/>
      <c r="D377" s="92">
        <f>IF(C377="","",IFERROR(INDEX(Roster!$C$6:$C$65,IFERROR(MATCH(C377,Roster!$B$6:$B$65,0),MATCH(C377,Roster!$C$6:$C$65,0))),"not on the Roster"))</f>
        <v/>
      </c>
      <c r="E377" s="106" t="n"/>
      <c r="F377" s="104">
        <f>IF(OR(A377="",C377="",B377=""),"",IFERROR(INDEX(CHOOSE(IF(YEAR(A377)&gt;PlanYear,13,MONTH(A377)),'Jan'!$D$27:$AH$266,'Feb'!$D$27:$AH$266,'Mar'!$D$27:$AH$266,'Apr'!$D$27:$AH$266,'May'!$D$27:$AH$266,'Jun'!$D$27:$AH$266,'Jul'!$D$27:$AH$266,'Aug'!$D$27:$AH$266,'Sep'!$D$27:$AH$266,'Oct'!$D$27:$AH$266,'Nov'!$D$27:$AH$266,'Dec'!$D$27:$AH$266,'Jan (next year)'!$D$27:$AH$266),27+4*(IFERROR(MATCH(C377,Roster!$B$6:$B$65,0),MATCH(C377,Roster!$C$6:$C$65,0))-1)+MATCH(B377,{"AM","PM","NIGHT","WD"},0)-1-27+1,DAY(A377))&amp;"",""))</f>
        <v/>
      </c>
      <c r="G377" s="123">
        <f>IF(OR(A377="",C377="",B377="",E377=""),"",IFERROR(A377&amp;"|"&amp;(27+4*(IFERROR(MATCH(C377,Roster!$B$6:$B$65,0),MATCH(C377,Roster!$C$6:$C$65,0))-1)+MATCH(B377,{"AM","PM","NIGHT","WD"},0)-1),""))</f>
        <v/>
      </c>
    </row>
    <row r="378">
      <c r="A378" s="122" t="n"/>
      <c r="B378" s="107" t="n"/>
      <c r="C378" s="105" t="n"/>
      <c r="D378" s="92">
        <f>IF(C378="","",IFERROR(INDEX(Roster!$C$6:$C$65,IFERROR(MATCH(C378,Roster!$B$6:$B$65,0),MATCH(C378,Roster!$C$6:$C$65,0))),"not on the Roster"))</f>
        <v/>
      </c>
      <c r="E378" s="106" t="n"/>
      <c r="F378" s="104">
        <f>IF(OR(A378="",C378="",B378=""),"",IFERROR(INDEX(CHOOSE(IF(YEAR(A378)&gt;PlanYear,13,MONTH(A378)),'Jan'!$D$27:$AH$266,'Feb'!$D$27:$AH$266,'Mar'!$D$27:$AH$266,'Apr'!$D$27:$AH$266,'May'!$D$27:$AH$266,'Jun'!$D$27:$AH$266,'Jul'!$D$27:$AH$266,'Aug'!$D$27:$AH$266,'Sep'!$D$27:$AH$266,'Oct'!$D$27:$AH$266,'Nov'!$D$27:$AH$266,'Dec'!$D$27:$AH$266,'Jan (next year)'!$D$27:$AH$266),27+4*(IFERROR(MATCH(C378,Roster!$B$6:$B$65,0),MATCH(C378,Roster!$C$6:$C$65,0))-1)+MATCH(B378,{"AM","PM","NIGHT","WD"},0)-1-27+1,DAY(A378))&amp;"",""))</f>
        <v/>
      </c>
      <c r="G378" s="123">
        <f>IF(OR(A378="",C378="",B378="",E378=""),"",IFERROR(A378&amp;"|"&amp;(27+4*(IFERROR(MATCH(C378,Roster!$B$6:$B$65,0),MATCH(C378,Roster!$C$6:$C$65,0))-1)+MATCH(B378,{"AM","PM","NIGHT","WD"},0)-1),""))</f>
        <v/>
      </c>
    </row>
    <row r="379">
      <c r="A379" s="122" t="n"/>
      <c r="B379" s="107" t="n"/>
      <c r="C379" s="105" t="n"/>
      <c r="D379" s="92">
        <f>IF(C379="","",IFERROR(INDEX(Roster!$C$6:$C$65,IFERROR(MATCH(C379,Roster!$B$6:$B$65,0),MATCH(C379,Roster!$C$6:$C$65,0))),"not on the Roster"))</f>
        <v/>
      </c>
      <c r="E379" s="106" t="n"/>
      <c r="F379" s="104">
        <f>IF(OR(A379="",C379="",B379=""),"",IFERROR(INDEX(CHOOSE(IF(YEAR(A379)&gt;PlanYear,13,MONTH(A379)),'Jan'!$D$27:$AH$266,'Feb'!$D$27:$AH$266,'Mar'!$D$27:$AH$266,'Apr'!$D$27:$AH$266,'May'!$D$27:$AH$266,'Jun'!$D$27:$AH$266,'Jul'!$D$27:$AH$266,'Aug'!$D$27:$AH$266,'Sep'!$D$27:$AH$266,'Oct'!$D$27:$AH$266,'Nov'!$D$27:$AH$266,'Dec'!$D$27:$AH$266,'Jan (next year)'!$D$27:$AH$266),27+4*(IFERROR(MATCH(C379,Roster!$B$6:$B$65,0),MATCH(C379,Roster!$C$6:$C$65,0))-1)+MATCH(B379,{"AM","PM","NIGHT","WD"},0)-1-27+1,DAY(A379))&amp;"",""))</f>
        <v/>
      </c>
      <c r="G379" s="123">
        <f>IF(OR(A379="",C379="",B379="",E379=""),"",IFERROR(A379&amp;"|"&amp;(27+4*(IFERROR(MATCH(C379,Roster!$B$6:$B$65,0),MATCH(C379,Roster!$C$6:$C$65,0))-1)+MATCH(B379,{"AM","PM","NIGHT","WD"},0)-1),""))</f>
        <v/>
      </c>
    </row>
    <row r="380">
      <c r="A380" s="122" t="n"/>
      <c r="B380" s="107" t="n"/>
      <c r="C380" s="105" t="n"/>
      <c r="D380" s="92">
        <f>IF(C380="","",IFERROR(INDEX(Roster!$C$6:$C$65,IFERROR(MATCH(C380,Roster!$B$6:$B$65,0),MATCH(C380,Roster!$C$6:$C$65,0))),"not on the Roster"))</f>
        <v/>
      </c>
      <c r="E380" s="106" t="n"/>
      <c r="F380" s="104">
        <f>IF(OR(A380="",C380="",B380=""),"",IFERROR(INDEX(CHOOSE(IF(YEAR(A380)&gt;PlanYear,13,MONTH(A380)),'Jan'!$D$27:$AH$266,'Feb'!$D$27:$AH$266,'Mar'!$D$27:$AH$266,'Apr'!$D$27:$AH$266,'May'!$D$27:$AH$266,'Jun'!$D$27:$AH$266,'Jul'!$D$27:$AH$266,'Aug'!$D$27:$AH$266,'Sep'!$D$27:$AH$266,'Oct'!$D$27:$AH$266,'Nov'!$D$27:$AH$266,'Dec'!$D$27:$AH$266,'Jan (next year)'!$D$27:$AH$266),27+4*(IFERROR(MATCH(C380,Roster!$B$6:$B$65,0),MATCH(C380,Roster!$C$6:$C$65,0))-1)+MATCH(B380,{"AM","PM","NIGHT","WD"},0)-1-27+1,DAY(A380))&amp;"",""))</f>
        <v/>
      </c>
      <c r="G380" s="123">
        <f>IF(OR(A380="",C380="",B380="",E380=""),"",IFERROR(A380&amp;"|"&amp;(27+4*(IFERROR(MATCH(C380,Roster!$B$6:$B$65,0),MATCH(C380,Roster!$C$6:$C$65,0))-1)+MATCH(B380,{"AM","PM","NIGHT","WD"},0)-1),""))</f>
        <v/>
      </c>
    </row>
    <row r="381">
      <c r="A381" s="122" t="n"/>
      <c r="B381" s="107" t="n"/>
      <c r="C381" s="105" t="n"/>
      <c r="D381" s="92">
        <f>IF(C381="","",IFERROR(INDEX(Roster!$C$6:$C$65,IFERROR(MATCH(C381,Roster!$B$6:$B$65,0),MATCH(C381,Roster!$C$6:$C$65,0))),"not on the Roster"))</f>
        <v/>
      </c>
      <c r="E381" s="106" t="n"/>
      <c r="F381" s="104">
        <f>IF(OR(A381="",C381="",B381=""),"",IFERROR(INDEX(CHOOSE(IF(YEAR(A381)&gt;PlanYear,13,MONTH(A381)),'Jan'!$D$27:$AH$266,'Feb'!$D$27:$AH$266,'Mar'!$D$27:$AH$266,'Apr'!$D$27:$AH$266,'May'!$D$27:$AH$266,'Jun'!$D$27:$AH$266,'Jul'!$D$27:$AH$266,'Aug'!$D$27:$AH$266,'Sep'!$D$27:$AH$266,'Oct'!$D$27:$AH$266,'Nov'!$D$27:$AH$266,'Dec'!$D$27:$AH$266,'Jan (next year)'!$D$27:$AH$266),27+4*(IFERROR(MATCH(C381,Roster!$B$6:$B$65,0),MATCH(C381,Roster!$C$6:$C$65,0))-1)+MATCH(B381,{"AM","PM","NIGHT","WD"},0)-1-27+1,DAY(A381))&amp;"",""))</f>
        <v/>
      </c>
      <c r="G381" s="123">
        <f>IF(OR(A381="",C381="",B381="",E381=""),"",IFERROR(A381&amp;"|"&amp;(27+4*(IFERROR(MATCH(C381,Roster!$B$6:$B$65,0),MATCH(C381,Roster!$C$6:$C$65,0))-1)+MATCH(B381,{"AM","PM","NIGHT","WD"},0)-1),""))</f>
        <v/>
      </c>
    </row>
    <row r="382">
      <c r="A382" s="122" t="n"/>
      <c r="B382" s="107" t="n"/>
      <c r="C382" s="105" t="n"/>
      <c r="D382" s="92">
        <f>IF(C382="","",IFERROR(INDEX(Roster!$C$6:$C$65,IFERROR(MATCH(C382,Roster!$B$6:$B$65,0),MATCH(C382,Roster!$C$6:$C$65,0))),"not on the Roster"))</f>
        <v/>
      </c>
      <c r="E382" s="106" t="n"/>
      <c r="F382" s="104">
        <f>IF(OR(A382="",C382="",B382=""),"",IFERROR(INDEX(CHOOSE(IF(YEAR(A382)&gt;PlanYear,13,MONTH(A382)),'Jan'!$D$27:$AH$266,'Feb'!$D$27:$AH$266,'Mar'!$D$27:$AH$266,'Apr'!$D$27:$AH$266,'May'!$D$27:$AH$266,'Jun'!$D$27:$AH$266,'Jul'!$D$27:$AH$266,'Aug'!$D$27:$AH$266,'Sep'!$D$27:$AH$266,'Oct'!$D$27:$AH$266,'Nov'!$D$27:$AH$266,'Dec'!$D$27:$AH$266,'Jan (next year)'!$D$27:$AH$266),27+4*(IFERROR(MATCH(C382,Roster!$B$6:$B$65,0),MATCH(C382,Roster!$C$6:$C$65,0))-1)+MATCH(B382,{"AM","PM","NIGHT","WD"},0)-1-27+1,DAY(A382))&amp;"",""))</f>
        <v/>
      </c>
      <c r="G382" s="123">
        <f>IF(OR(A382="",C382="",B382="",E382=""),"",IFERROR(A382&amp;"|"&amp;(27+4*(IFERROR(MATCH(C382,Roster!$B$6:$B$65,0),MATCH(C382,Roster!$C$6:$C$65,0))-1)+MATCH(B382,{"AM","PM","NIGHT","WD"},0)-1),""))</f>
        <v/>
      </c>
    </row>
    <row r="383">
      <c r="A383" s="122" t="n"/>
      <c r="B383" s="107" t="n"/>
      <c r="C383" s="105" t="n"/>
      <c r="D383" s="92">
        <f>IF(C383="","",IFERROR(INDEX(Roster!$C$6:$C$65,IFERROR(MATCH(C383,Roster!$B$6:$B$65,0),MATCH(C383,Roster!$C$6:$C$65,0))),"not on the Roster"))</f>
        <v/>
      </c>
      <c r="E383" s="106" t="n"/>
      <c r="F383" s="104">
        <f>IF(OR(A383="",C383="",B383=""),"",IFERROR(INDEX(CHOOSE(IF(YEAR(A383)&gt;PlanYear,13,MONTH(A383)),'Jan'!$D$27:$AH$266,'Feb'!$D$27:$AH$266,'Mar'!$D$27:$AH$266,'Apr'!$D$27:$AH$266,'May'!$D$27:$AH$266,'Jun'!$D$27:$AH$266,'Jul'!$D$27:$AH$266,'Aug'!$D$27:$AH$266,'Sep'!$D$27:$AH$266,'Oct'!$D$27:$AH$266,'Nov'!$D$27:$AH$266,'Dec'!$D$27:$AH$266,'Jan (next year)'!$D$27:$AH$266),27+4*(IFERROR(MATCH(C383,Roster!$B$6:$B$65,0),MATCH(C383,Roster!$C$6:$C$65,0))-1)+MATCH(B383,{"AM","PM","NIGHT","WD"},0)-1-27+1,DAY(A383))&amp;"",""))</f>
        <v/>
      </c>
      <c r="G383" s="123">
        <f>IF(OR(A383="",C383="",B383="",E383=""),"",IFERROR(A383&amp;"|"&amp;(27+4*(IFERROR(MATCH(C383,Roster!$B$6:$B$65,0),MATCH(C383,Roster!$C$6:$C$65,0))-1)+MATCH(B383,{"AM","PM","NIGHT","WD"},0)-1),""))</f>
        <v/>
      </c>
    </row>
    <row r="384">
      <c r="A384" s="122" t="n"/>
      <c r="B384" s="107" t="n"/>
      <c r="C384" s="105" t="n"/>
      <c r="D384" s="92">
        <f>IF(C384="","",IFERROR(INDEX(Roster!$C$6:$C$65,IFERROR(MATCH(C384,Roster!$B$6:$B$65,0),MATCH(C384,Roster!$C$6:$C$65,0))),"not on the Roster"))</f>
        <v/>
      </c>
      <c r="E384" s="106" t="n"/>
      <c r="F384" s="104">
        <f>IF(OR(A384="",C384="",B384=""),"",IFERROR(INDEX(CHOOSE(IF(YEAR(A384)&gt;PlanYear,13,MONTH(A384)),'Jan'!$D$27:$AH$266,'Feb'!$D$27:$AH$266,'Mar'!$D$27:$AH$266,'Apr'!$D$27:$AH$266,'May'!$D$27:$AH$266,'Jun'!$D$27:$AH$266,'Jul'!$D$27:$AH$266,'Aug'!$D$27:$AH$266,'Sep'!$D$27:$AH$266,'Oct'!$D$27:$AH$266,'Nov'!$D$27:$AH$266,'Dec'!$D$27:$AH$266,'Jan (next year)'!$D$27:$AH$266),27+4*(IFERROR(MATCH(C384,Roster!$B$6:$B$65,0),MATCH(C384,Roster!$C$6:$C$65,0))-1)+MATCH(B384,{"AM","PM","NIGHT","WD"},0)-1-27+1,DAY(A384))&amp;"",""))</f>
        <v/>
      </c>
      <c r="G384" s="123">
        <f>IF(OR(A384="",C384="",B384="",E384=""),"",IFERROR(A384&amp;"|"&amp;(27+4*(IFERROR(MATCH(C384,Roster!$B$6:$B$65,0),MATCH(C384,Roster!$C$6:$C$65,0))-1)+MATCH(B384,{"AM","PM","NIGHT","WD"},0)-1),""))</f>
        <v/>
      </c>
    </row>
    <row r="385">
      <c r="A385" s="122" t="n"/>
      <c r="B385" s="107" t="n"/>
      <c r="C385" s="105" t="n"/>
      <c r="D385" s="92">
        <f>IF(C385="","",IFERROR(INDEX(Roster!$C$6:$C$65,IFERROR(MATCH(C385,Roster!$B$6:$B$65,0),MATCH(C385,Roster!$C$6:$C$65,0))),"not on the Roster"))</f>
        <v/>
      </c>
      <c r="E385" s="106" t="n"/>
      <c r="F385" s="104">
        <f>IF(OR(A385="",C385="",B385=""),"",IFERROR(INDEX(CHOOSE(IF(YEAR(A385)&gt;PlanYear,13,MONTH(A385)),'Jan'!$D$27:$AH$266,'Feb'!$D$27:$AH$266,'Mar'!$D$27:$AH$266,'Apr'!$D$27:$AH$266,'May'!$D$27:$AH$266,'Jun'!$D$27:$AH$266,'Jul'!$D$27:$AH$266,'Aug'!$D$27:$AH$266,'Sep'!$D$27:$AH$266,'Oct'!$D$27:$AH$266,'Nov'!$D$27:$AH$266,'Dec'!$D$27:$AH$266,'Jan (next year)'!$D$27:$AH$266),27+4*(IFERROR(MATCH(C385,Roster!$B$6:$B$65,0),MATCH(C385,Roster!$C$6:$C$65,0))-1)+MATCH(B385,{"AM","PM","NIGHT","WD"},0)-1-27+1,DAY(A385))&amp;"",""))</f>
        <v/>
      </c>
      <c r="G385" s="123">
        <f>IF(OR(A385="",C385="",B385="",E385=""),"",IFERROR(A385&amp;"|"&amp;(27+4*(IFERROR(MATCH(C385,Roster!$B$6:$B$65,0),MATCH(C385,Roster!$C$6:$C$65,0))-1)+MATCH(B385,{"AM","PM","NIGHT","WD"},0)-1),""))</f>
        <v/>
      </c>
    </row>
    <row r="386">
      <c r="A386" s="122" t="n"/>
      <c r="B386" s="107" t="n"/>
      <c r="C386" s="105" t="n"/>
      <c r="D386" s="92">
        <f>IF(C386="","",IFERROR(INDEX(Roster!$C$6:$C$65,IFERROR(MATCH(C386,Roster!$B$6:$B$65,0),MATCH(C386,Roster!$C$6:$C$65,0))),"not on the Roster"))</f>
        <v/>
      </c>
      <c r="E386" s="106" t="n"/>
      <c r="F386" s="104">
        <f>IF(OR(A386="",C386="",B386=""),"",IFERROR(INDEX(CHOOSE(IF(YEAR(A386)&gt;PlanYear,13,MONTH(A386)),'Jan'!$D$27:$AH$266,'Feb'!$D$27:$AH$266,'Mar'!$D$27:$AH$266,'Apr'!$D$27:$AH$266,'May'!$D$27:$AH$266,'Jun'!$D$27:$AH$266,'Jul'!$D$27:$AH$266,'Aug'!$D$27:$AH$266,'Sep'!$D$27:$AH$266,'Oct'!$D$27:$AH$266,'Nov'!$D$27:$AH$266,'Dec'!$D$27:$AH$266,'Jan (next year)'!$D$27:$AH$266),27+4*(IFERROR(MATCH(C386,Roster!$B$6:$B$65,0),MATCH(C386,Roster!$C$6:$C$65,0))-1)+MATCH(B386,{"AM","PM","NIGHT","WD"},0)-1-27+1,DAY(A386))&amp;"",""))</f>
        <v/>
      </c>
      <c r="G386" s="123">
        <f>IF(OR(A386="",C386="",B386="",E386=""),"",IFERROR(A386&amp;"|"&amp;(27+4*(IFERROR(MATCH(C386,Roster!$B$6:$B$65,0),MATCH(C386,Roster!$C$6:$C$65,0))-1)+MATCH(B386,{"AM","PM","NIGHT","WD"},0)-1),""))</f>
        <v/>
      </c>
    </row>
    <row r="387">
      <c r="A387" s="122" t="n"/>
      <c r="B387" s="107" t="n"/>
      <c r="C387" s="105" t="n"/>
      <c r="D387" s="92">
        <f>IF(C387="","",IFERROR(INDEX(Roster!$C$6:$C$65,IFERROR(MATCH(C387,Roster!$B$6:$B$65,0),MATCH(C387,Roster!$C$6:$C$65,0))),"not on the Roster"))</f>
        <v/>
      </c>
      <c r="E387" s="106" t="n"/>
      <c r="F387" s="104">
        <f>IF(OR(A387="",C387="",B387=""),"",IFERROR(INDEX(CHOOSE(IF(YEAR(A387)&gt;PlanYear,13,MONTH(A387)),'Jan'!$D$27:$AH$266,'Feb'!$D$27:$AH$266,'Mar'!$D$27:$AH$266,'Apr'!$D$27:$AH$266,'May'!$D$27:$AH$266,'Jun'!$D$27:$AH$266,'Jul'!$D$27:$AH$266,'Aug'!$D$27:$AH$266,'Sep'!$D$27:$AH$266,'Oct'!$D$27:$AH$266,'Nov'!$D$27:$AH$266,'Dec'!$D$27:$AH$266,'Jan (next year)'!$D$27:$AH$266),27+4*(IFERROR(MATCH(C387,Roster!$B$6:$B$65,0),MATCH(C387,Roster!$C$6:$C$65,0))-1)+MATCH(B387,{"AM","PM","NIGHT","WD"},0)-1-27+1,DAY(A387))&amp;"",""))</f>
        <v/>
      </c>
      <c r="G387" s="123">
        <f>IF(OR(A387="",C387="",B387="",E387=""),"",IFERROR(A387&amp;"|"&amp;(27+4*(IFERROR(MATCH(C387,Roster!$B$6:$B$65,0),MATCH(C387,Roster!$C$6:$C$65,0))-1)+MATCH(B387,{"AM","PM","NIGHT","WD"},0)-1),""))</f>
        <v/>
      </c>
    </row>
    <row r="388">
      <c r="A388" s="122" t="n"/>
      <c r="B388" s="107" t="n"/>
      <c r="C388" s="105" t="n"/>
      <c r="D388" s="92">
        <f>IF(C388="","",IFERROR(INDEX(Roster!$C$6:$C$65,IFERROR(MATCH(C388,Roster!$B$6:$B$65,0),MATCH(C388,Roster!$C$6:$C$65,0))),"not on the Roster"))</f>
        <v/>
      </c>
      <c r="E388" s="106" t="n"/>
      <c r="F388" s="104">
        <f>IF(OR(A388="",C388="",B388=""),"",IFERROR(INDEX(CHOOSE(IF(YEAR(A388)&gt;PlanYear,13,MONTH(A388)),'Jan'!$D$27:$AH$266,'Feb'!$D$27:$AH$266,'Mar'!$D$27:$AH$266,'Apr'!$D$27:$AH$266,'May'!$D$27:$AH$266,'Jun'!$D$27:$AH$266,'Jul'!$D$27:$AH$266,'Aug'!$D$27:$AH$266,'Sep'!$D$27:$AH$266,'Oct'!$D$27:$AH$266,'Nov'!$D$27:$AH$266,'Dec'!$D$27:$AH$266,'Jan (next year)'!$D$27:$AH$266),27+4*(IFERROR(MATCH(C388,Roster!$B$6:$B$65,0),MATCH(C388,Roster!$C$6:$C$65,0))-1)+MATCH(B388,{"AM","PM","NIGHT","WD"},0)-1-27+1,DAY(A388))&amp;"",""))</f>
        <v/>
      </c>
      <c r="G388" s="123">
        <f>IF(OR(A388="",C388="",B388="",E388=""),"",IFERROR(A388&amp;"|"&amp;(27+4*(IFERROR(MATCH(C388,Roster!$B$6:$B$65,0),MATCH(C388,Roster!$C$6:$C$65,0))-1)+MATCH(B388,{"AM","PM","NIGHT","WD"},0)-1),""))</f>
        <v/>
      </c>
    </row>
    <row r="389">
      <c r="A389" s="122" t="n"/>
      <c r="B389" s="107" t="n"/>
      <c r="C389" s="105" t="n"/>
      <c r="D389" s="92">
        <f>IF(C389="","",IFERROR(INDEX(Roster!$C$6:$C$65,IFERROR(MATCH(C389,Roster!$B$6:$B$65,0),MATCH(C389,Roster!$C$6:$C$65,0))),"not on the Roster"))</f>
        <v/>
      </c>
      <c r="E389" s="106" t="n"/>
      <c r="F389" s="104">
        <f>IF(OR(A389="",C389="",B389=""),"",IFERROR(INDEX(CHOOSE(IF(YEAR(A389)&gt;PlanYear,13,MONTH(A389)),'Jan'!$D$27:$AH$266,'Feb'!$D$27:$AH$266,'Mar'!$D$27:$AH$266,'Apr'!$D$27:$AH$266,'May'!$D$27:$AH$266,'Jun'!$D$27:$AH$266,'Jul'!$D$27:$AH$266,'Aug'!$D$27:$AH$266,'Sep'!$D$27:$AH$266,'Oct'!$D$27:$AH$266,'Nov'!$D$27:$AH$266,'Dec'!$D$27:$AH$266,'Jan (next year)'!$D$27:$AH$266),27+4*(IFERROR(MATCH(C389,Roster!$B$6:$B$65,0),MATCH(C389,Roster!$C$6:$C$65,0))-1)+MATCH(B389,{"AM","PM","NIGHT","WD"},0)-1-27+1,DAY(A389))&amp;"",""))</f>
        <v/>
      </c>
      <c r="G389" s="123">
        <f>IF(OR(A389="",C389="",B389="",E389=""),"",IFERROR(A389&amp;"|"&amp;(27+4*(IFERROR(MATCH(C389,Roster!$B$6:$B$65,0),MATCH(C389,Roster!$C$6:$C$65,0))-1)+MATCH(B389,{"AM","PM","NIGHT","WD"},0)-1),""))</f>
        <v/>
      </c>
    </row>
    <row r="390">
      <c r="A390" s="122" t="n"/>
      <c r="B390" s="107" t="n"/>
      <c r="C390" s="105" t="n"/>
      <c r="D390" s="92">
        <f>IF(C390="","",IFERROR(INDEX(Roster!$C$6:$C$65,IFERROR(MATCH(C390,Roster!$B$6:$B$65,0),MATCH(C390,Roster!$C$6:$C$65,0))),"not on the Roster"))</f>
        <v/>
      </c>
      <c r="E390" s="106" t="n"/>
      <c r="F390" s="104">
        <f>IF(OR(A390="",C390="",B390=""),"",IFERROR(INDEX(CHOOSE(IF(YEAR(A390)&gt;PlanYear,13,MONTH(A390)),'Jan'!$D$27:$AH$266,'Feb'!$D$27:$AH$266,'Mar'!$D$27:$AH$266,'Apr'!$D$27:$AH$266,'May'!$D$27:$AH$266,'Jun'!$D$27:$AH$266,'Jul'!$D$27:$AH$266,'Aug'!$D$27:$AH$266,'Sep'!$D$27:$AH$266,'Oct'!$D$27:$AH$266,'Nov'!$D$27:$AH$266,'Dec'!$D$27:$AH$266,'Jan (next year)'!$D$27:$AH$266),27+4*(IFERROR(MATCH(C390,Roster!$B$6:$B$65,0),MATCH(C390,Roster!$C$6:$C$65,0))-1)+MATCH(B390,{"AM","PM","NIGHT","WD"},0)-1-27+1,DAY(A390))&amp;"",""))</f>
        <v/>
      </c>
      <c r="G390" s="123">
        <f>IF(OR(A390="",C390="",B390="",E390=""),"",IFERROR(A390&amp;"|"&amp;(27+4*(IFERROR(MATCH(C390,Roster!$B$6:$B$65,0),MATCH(C390,Roster!$C$6:$C$65,0))-1)+MATCH(B390,{"AM","PM","NIGHT","WD"},0)-1),""))</f>
        <v/>
      </c>
    </row>
    <row r="391">
      <c r="A391" s="122" t="n"/>
      <c r="B391" s="107" t="n"/>
      <c r="C391" s="105" t="n"/>
      <c r="D391" s="92">
        <f>IF(C391="","",IFERROR(INDEX(Roster!$C$6:$C$65,IFERROR(MATCH(C391,Roster!$B$6:$B$65,0),MATCH(C391,Roster!$C$6:$C$65,0))),"not on the Roster"))</f>
        <v/>
      </c>
      <c r="E391" s="106" t="n"/>
      <c r="F391" s="104">
        <f>IF(OR(A391="",C391="",B391=""),"",IFERROR(INDEX(CHOOSE(IF(YEAR(A391)&gt;PlanYear,13,MONTH(A391)),'Jan'!$D$27:$AH$266,'Feb'!$D$27:$AH$266,'Mar'!$D$27:$AH$266,'Apr'!$D$27:$AH$266,'May'!$D$27:$AH$266,'Jun'!$D$27:$AH$266,'Jul'!$D$27:$AH$266,'Aug'!$D$27:$AH$266,'Sep'!$D$27:$AH$266,'Oct'!$D$27:$AH$266,'Nov'!$D$27:$AH$266,'Dec'!$D$27:$AH$266,'Jan (next year)'!$D$27:$AH$266),27+4*(IFERROR(MATCH(C391,Roster!$B$6:$B$65,0),MATCH(C391,Roster!$C$6:$C$65,0))-1)+MATCH(B391,{"AM","PM","NIGHT","WD"},0)-1-27+1,DAY(A391))&amp;"",""))</f>
        <v/>
      </c>
      <c r="G391" s="123">
        <f>IF(OR(A391="",C391="",B391="",E391=""),"",IFERROR(A391&amp;"|"&amp;(27+4*(IFERROR(MATCH(C391,Roster!$B$6:$B$65,0),MATCH(C391,Roster!$C$6:$C$65,0))-1)+MATCH(B391,{"AM","PM","NIGHT","WD"},0)-1),""))</f>
        <v/>
      </c>
    </row>
    <row r="392">
      <c r="A392" s="122" t="n"/>
      <c r="B392" s="107" t="n"/>
      <c r="C392" s="105" t="n"/>
      <c r="D392" s="92">
        <f>IF(C392="","",IFERROR(INDEX(Roster!$C$6:$C$65,IFERROR(MATCH(C392,Roster!$B$6:$B$65,0),MATCH(C392,Roster!$C$6:$C$65,0))),"not on the Roster"))</f>
        <v/>
      </c>
      <c r="E392" s="106" t="n"/>
      <c r="F392" s="104">
        <f>IF(OR(A392="",C392="",B392=""),"",IFERROR(INDEX(CHOOSE(IF(YEAR(A392)&gt;PlanYear,13,MONTH(A392)),'Jan'!$D$27:$AH$266,'Feb'!$D$27:$AH$266,'Mar'!$D$27:$AH$266,'Apr'!$D$27:$AH$266,'May'!$D$27:$AH$266,'Jun'!$D$27:$AH$266,'Jul'!$D$27:$AH$266,'Aug'!$D$27:$AH$266,'Sep'!$D$27:$AH$266,'Oct'!$D$27:$AH$266,'Nov'!$D$27:$AH$266,'Dec'!$D$27:$AH$266,'Jan (next year)'!$D$27:$AH$266),27+4*(IFERROR(MATCH(C392,Roster!$B$6:$B$65,0),MATCH(C392,Roster!$C$6:$C$65,0))-1)+MATCH(B392,{"AM","PM","NIGHT","WD"},0)-1-27+1,DAY(A392))&amp;"",""))</f>
        <v/>
      </c>
      <c r="G392" s="123">
        <f>IF(OR(A392="",C392="",B392="",E392=""),"",IFERROR(A392&amp;"|"&amp;(27+4*(IFERROR(MATCH(C392,Roster!$B$6:$B$65,0),MATCH(C392,Roster!$C$6:$C$65,0))-1)+MATCH(B392,{"AM","PM","NIGHT","WD"},0)-1),""))</f>
        <v/>
      </c>
    </row>
    <row r="393">
      <c r="A393" s="122" t="n"/>
      <c r="B393" s="107" t="n"/>
      <c r="C393" s="105" t="n"/>
      <c r="D393" s="92">
        <f>IF(C393="","",IFERROR(INDEX(Roster!$C$6:$C$65,IFERROR(MATCH(C393,Roster!$B$6:$B$65,0),MATCH(C393,Roster!$C$6:$C$65,0))),"not on the Roster"))</f>
        <v/>
      </c>
      <c r="E393" s="106" t="n"/>
      <c r="F393" s="104">
        <f>IF(OR(A393="",C393="",B393=""),"",IFERROR(INDEX(CHOOSE(IF(YEAR(A393)&gt;PlanYear,13,MONTH(A393)),'Jan'!$D$27:$AH$266,'Feb'!$D$27:$AH$266,'Mar'!$D$27:$AH$266,'Apr'!$D$27:$AH$266,'May'!$D$27:$AH$266,'Jun'!$D$27:$AH$266,'Jul'!$D$27:$AH$266,'Aug'!$D$27:$AH$266,'Sep'!$D$27:$AH$266,'Oct'!$D$27:$AH$266,'Nov'!$D$27:$AH$266,'Dec'!$D$27:$AH$266,'Jan (next year)'!$D$27:$AH$266),27+4*(IFERROR(MATCH(C393,Roster!$B$6:$B$65,0),MATCH(C393,Roster!$C$6:$C$65,0))-1)+MATCH(B393,{"AM","PM","NIGHT","WD"},0)-1-27+1,DAY(A393))&amp;"",""))</f>
        <v/>
      </c>
      <c r="G393" s="123">
        <f>IF(OR(A393="",C393="",B393="",E393=""),"",IFERROR(A393&amp;"|"&amp;(27+4*(IFERROR(MATCH(C393,Roster!$B$6:$B$65,0),MATCH(C393,Roster!$C$6:$C$65,0))-1)+MATCH(B393,{"AM","PM","NIGHT","WD"},0)-1),""))</f>
        <v/>
      </c>
    </row>
    <row r="394">
      <c r="A394" s="122" t="n"/>
      <c r="B394" s="107" t="n"/>
      <c r="C394" s="105" t="n"/>
      <c r="D394" s="92">
        <f>IF(C394="","",IFERROR(INDEX(Roster!$C$6:$C$65,IFERROR(MATCH(C394,Roster!$B$6:$B$65,0),MATCH(C394,Roster!$C$6:$C$65,0))),"not on the Roster"))</f>
        <v/>
      </c>
      <c r="E394" s="106" t="n"/>
      <c r="F394" s="104">
        <f>IF(OR(A394="",C394="",B394=""),"",IFERROR(INDEX(CHOOSE(IF(YEAR(A394)&gt;PlanYear,13,MONTH(A394)),'Jan'!$D$27:$AH$266,'Feb'!$D$27:$AH$266,'Mar'!$D$27:$AH$266,'Apr'!$D$27:$AH$266,'May'!$D$27:$AH$266,'Jun'!$D$27:$AH$266,'Jul'!$D$27:$AH$266,'Aug'!$D$27:$AH$266,'Sep'!$D$27:$AH$266,'Oct'!$D$27:$AH$266,'Nov'!$D$27:$AH$266,'Dec'!$D$27:$AH$266,'Jan (next year)'!$D$27:$AH$266),27+4*(IFERROR(MATCH(C394,Roster!$B$6:$B$65,0),MATCH(C394,Roster!$C$6:$C$65,0))-1)+MATCH(B394,{"AM","PM","NIGHT","WD"},0)-1-27+1,DAY(A394))&amp;"",""))</f>
        <v/>
      </c>
      <c r="G394" s="123">
        <f>IF(OR(A394="",C394="",B394="",E394=""),"",IFERROR(A394&amp;"|"&amp;(27+4*(IFERROR(MATCH(C394,Roster!$B$6:$B$65,0),MATCH(C394,Roster!$C$6:$C$65,0))-1)+MATCH(B394,{"AM","PM","NIGHT","WD"},0)-1),""))</f>
        <v/>
      </c>
    </row>
    <row r="395">
      <c r="A395" s="122" t="n"/>
      <c r="B395" s="107" t="n"/>
      <c r="C395" s="105" t="n"/>
      <c r="D395" s="92">
        <f>IF(C395="","",IFERROR(INDEX(Roster!$C$6:$C$65,IFERROR(MATCH(C395,Roster!$B$6:$B$65,0),MATCH(C395,Roster!$C$6:$C$65,0))),"not on the Roster"))</f>
        <v/>
      </c>
      <c r="E395" s="106" t="n"/>
      <c r="F395" s="104">
        <f>IF(OR(A395="",C395="",B395=""),"",IFERROR(INDEX(CHOOSE(IF(YEAR(A395)&gt;PlanYear,13,MONTH(A395)),'Jan'!$D$27:$AH$266,'Feb'!$D$27:$AH$266,'Mar'!$D$27:$AH$266,'Apr'!$D$27:$AH$266,'May'!$D$27:$AH$266,'Jun'!$D$27:$AH$266,'Jul'!$D$27:$AH$266,'Aug'!$D$27:$AH$266,'Sep'!$D$27:$AH$266,'Oct'!$D$27:$AH$266,'Nov'!$D$27:$AH$266,'Dec'!$D$27:$AH$266,'Jan (next year)'!$D$27:$AH$266),27+4*(IFERROR(MATCH(C395,Roster!$B$6:$B$65,0),MATCH(C395,Roster!$C$6:$C$65,0))-1)+MATCH(B395,{"AM","PM","NIGHT","WD"},0)-1-27+1,DAY(A395))&amp;"",""))</f>
        <v/>
      </c>
      <c r="G395" s="123">
        <f>IF(OR(A395="",C395="",B395="",E395=""),"",IFERROR(A395&amp;"|"&amp;(27+4*(IFERROR(MATCH(C395,Roster!$B$6:$B$65,0),MATCH(C395,Roster!$C$6:$C$65,0))-1)+MATCH(B395,{"AM","PM","NIGHT","WD"},0)-1),""))</f>
        <v/>
      </c>
    </row>
    <row r="396">
      <c r="A396" s="122" t="n"/>
      <c r="B396" s="107" t="n"/>
      <c r="C396" s="105" t="n"/>
      <c r="D396" s="92">
        <f>IF(C396="","",IFERROR(INDEX(Roster!$C$6:$C$65,IFERROR(MATCH(C396,Roster!$B$6:$B$65,0),MATCH(C396,Roster!$C$6:$C$65,0))),"not on the Roster"))</f>
        <v/>
      </c>
      <c r="E396" s="106" t="n"/>
      <c r="F396" s="104">
        <f>IF(OR(A396="",C396="",B396=""),"",IFERROR(INDEX(CHOOSE(IF(YEAR(A396)&gt;PlanYear,13,MONTH(A396)),'Jan'!$D$27:$AH$266,'Feb'!$D$27:$AH$266,'Mar'!$D$27:$AH$266,'Apr'!$D$27:$AH$266,'May'!$D$27:$AH$266,'Jun'!$D$27:$AH$266,'Jul'!$D$27:$AH$266,'Aug'!$D$27:$AH$266,'Sep'!$D$27:$AH$266,'Oct'!$D$27:$AH$266,'Nov'!$D$27:$AH$266,'Dec'!$D$27:$AH$266,'Jan (next year)'!$D$27:$AH$266),27+4*(IFERROR(MATCH(C396,Roster!$B$6:$B$65,0),MATCH(C396,Roster!$C$6:$C$65,0))-1)+MATCH(B396,{"AM","PM","NIGHT","WD"},0)-1-27+1,DAY(A396))&amp;"",""))</f>
        <v/>
      </c>
      <c r="G396" s="123">
        <f>IF(OR(A396="",C396="",B396="",E396=""),"",IFERROR(A396&amp;"|"&amp;(27+4*(IFERROR(MATCH(C396,Roster!$B$6:$B$65,0),MATCH(C396,Roster!$C$6:$C$65,0))-1)+MATCH(B396,{"AM","PM","NIGHT","WD"},0)-1),""))</f>
        <v/>
      </c>
    </row>
    <row r="397">
      <c r="A397" s="122" t="n"/>
      <c r="B397" s="107" t="n"/>
      <c r="C397" s="105" t="n"/>
      <c r="D397" s="92">
        <f>IF(C397="","",IFERROR(INDEX(Roster!$C$6:$C$65,IFERROR(MATCH(C397,Roster!$B$6:$B$65,0),MATCH(C397,Roster!$C$6:$C$65,0))),"not on the Roster"))</f>
        <v/>
      </c>
      <c r="E397" s="106" t="n"/>
      <c r="F397" s="104">
        <f>IF(OR(A397="",C397="",B397=""),"",IFERROR(INDEX(CHOOSE(IF(YEAR(A397)&gt;PlanYear,13,MONTH(A397)),'Jan'!$D$27:$AH$266,'Feb'!$D$27:$AH$266,'Mar'!$D$27:$AH$266,'Apr'!$D$27:$AH$266,'May'!$D$27:$AH$266,'Jun'!$D$27:$AH$266,'Jul'!$D$27:$AH$266,'Aug'!$D$27:$AH$266,'Sep'!$D$27:$AH$266,'Oct'!$D$27:$AH$266,'Nov'!$D$27:$AH$266,'Dec'!$D$27:$AH$266,'Jan (next year)'!$D$27:$AH$266),27+4*(IFERROR(MATCH(C397,Roster!$B$6:$B$65,0),MATCH(C397,Roster!$C$6:$C$65,0))-1)+MATCH(B397,{"AM","PM","NIGHT","WD"},0)-1-27+1,DAY(A397))&amp;"",""))</f>
        <v/>
      </c>
      <c r="G397" s="123">
        <f>IF(OR(A397="",C397="",B397="",E397=""),"",IFERROR(A397&amp;"|"&amp;(27+4*(IFERROR(MATCH(C397,Roster!$B$6:$B$65,0),MATCH(C397,Roster!$C$6:$C$65,0))-1)+MATCH(B397,{"AM","PM","NIGHT","WD"},0)-1),""))</f>
        <v/>
      </c>
    </row>
    <row r="398">
      <c r="A398" s="122" t="n"/>
      <c r="B398" s="107" t="n"/>
      <c r="C398" s="105" t="n"/>
      <c r="D398" s="92">
        <f>IF(C398="","",IFERROR(INDEX(Roster!$C$6:$C$65,IFERROR(MATCH(C398,Roster!$B$6:$B$65,0),MATCH(C398,Roster!$C$6:$C$65,0))),"not on the Roster"))</f>
        <v/>
      </c>
      <c r="E398" s="106" t="n"/>
      <c r="F398" s="104">
        <f>IF(OR(A398="",C398="",B398=""),"",IFERROR(INDEX(CHOOSE(IF(YEAR(A398)&gt;PlanYear,13,MONTH(A398)),'Jan'!$D$27:$AH$266,'Feb'!$D$27:$AH$266,'Mar'!$D$27:$AH$266,'Apr'!$D$27:$AH$266,'May'!$D$27:$AH$266,'Jun'!$D$27:$AH$266,'Jul'!$D$27:$AH$266,'Aug'!$D$27:$AH$266,'Sep'!$D$27:$AH$266,'Oct'!$D$27:$AH$266,'Nov'!$D$27:$AH$266,'Dec'!$D$27:$AH$266,'Jan (next year)'!$D$27:$AH$266),27+4*(IFERROR(MATCH(C398,Roster!$B$6:$B$65,0),MATCH(C398,Roster!$C$6:$C$65,0))-1)+MATCH(B398,{"AM","PM","NIGHT","WD"},0)-1-27+1,DAY(A398))&amp;"",""))</f>
        <v/>
      </c>
      <c r="G398" s="123">
        <f>IF(OR(A398="",C398="",B398="",E398=""),"",IFERROR(A398&amp;"|"&amp;(27+4*(IFERROR(MATCH(C398,Roster!$B$6:$B$65,0),MATCH(C398,Roster!$C$6:$C$65,0))-1)+MATCH(B398,{"AM","PM","NIGHT","WD"},0)-1),""))</f>
        <v/>
      </c>
    </row>
    <row r="399">
      <c r="A399" s="122" t="n"/>
      <c r="B399" s="107" t="n"/>
      <c r="C399" s="105" t="n"/>
      <c r="D399" s="92">
        <f>IF(C399="","",IFERROR(INDEX(Roster!$C$6:$C$65,IFERROR(MATCH(C399,Roster!$B$6:$B$65,0),MATCH(C399,Roster!$C$6:$C$65,0))),"not on the Roster"))</f>
        <v/>
      </c>
      <c r="E399" s="106" t="n"/>
      <c r="F399" s="104">
        <f>IF(OR(A399="",C399="",B399=""),"",IFERROR(INDEX(CHOOSE(IF(YEAR(A399)&gt;PlanYear,13,MONTH(A399)),'Jan'!$D$27:$AH$266,'Feb'!$D$27:$AH$266,'Mar'!$D$27:$AH$266,'Apr'!$D$27:$AH$266,'May'!$D$27:$AH$266,'Jun'!$D$27:$AH$266,'Jul'!$D$27:$AH$266,'Aug'!$D$27:$AH$266,'Sep'!$D$27:$AH$266,'Oct'!$D$27:$AH$266,'Nov'!$D$27:$AH$266,'Dec'!$D$27:$AH$266,'Jan (next year)'!$D$27:$AH$266),27+4*(IFERROR(MATCH(C399,Roster!$B$6:$B$65,0),MATCH(C399,Roster!$C$6:$C$65,0))-1)+MATCH(B399,{"AM","PM","NIGHT","WD"},0)-1-27+1,DAY(A399))&amp;"",""))</f>
        <v/>
      </c>
      <c r="G399" s="123">
        <f>IF(OR(A399="",C399="",B399="",E399=""),"",IFERROR(A399&amp;"|"&amp;(27+4*(IFERROR(MATCH(C399,Roster!$B$6:$B$65,0),MATCH(C399,Roster!$C$6:$C$65,0))-1)+MATCH(B399,{"AM","PM","NIGHT","WD"},0)-1),""))</f>
        <v/>
      </c>
    </row>
    <row r="400">
      <c r="A400" s="122" t="n"/>
      <c r="B400" s="107" t="n"/>
      <c r="C400" s="105" t="n"/>
      <c r="D400" s="92">
        <f>IF(C400="","",IFERROR(INDEX(Roster!$C$6:$C$65,IFERROR(MATCH(C400,Roster!$B$6:$B$65,0),MATCH(C400,Roster!$C$6:$C$65,0))),"not on the Roster"))</f>
        <v/>
      </c>
      <c r="E400" s="106" t="n"/>
      <c r="F400" s="104">
        <f>IF(OR(A400="",C400="",B400=""),"",IFERROR(INDEX(CHOOSE(IF(YEAR(A400)&gt;PlanYear,13,MONTH(A400)),'Jan'!$D$27:$AH$266,'Feb'!$D$27:$AH$266,'Mar'!$D$27:$AH$266,'Apr'!$D$27:$AH$266,'May'!$D$27:$AH$266,'Jun'!$D$27:$AH$266,'Jul'!$D$27:$AH$266,'Aug'!$D$27:$AH$266,'Sep'!$D$27:$AH$266,'Oct'!$D$27:$AH$266,'Nov'!$D$27:$AH$266,'Dec'!$D$27:$AH$266,'Jan (next year)'!$D$27:$AH$266),27+4*(IFERROR(MATCH(C400,Roster!$B$6:$B$65,0),MATCH(C400,Roster!$C$6:$C$65,0))-1)+MATCH(B400,{"AM","PM","NIGHT","WD"},0)-1-27+1,DAY(A400))&amp;"",""))</f>
        <v/>
      </c>
      <c r="G400" s="123">
        <f>IF(OR(A400="",C400="",B400="",E400=""),"",IFERROR(A400&amp;"|"&amp;(27+4*(IFERROR(MATCH(C400,Roster!$B$6:$B$65,0),MATCH(C400,Roster!$C$6:$C$65,0))-1)+MATCH(B400,{"AM","PM","NIGHT","WD"},0)-1),""))</f>
        <v/>
      </c>
    </row>
    <row r="401">
      <c r="A401" s="122" t="n"/>
      <c r="B401" s="107" t="n"/>
      <c r="C401" s="105" t="n"/>
      <c r="D401" s="92">
        <f>IF(C401="","",IFERROR(INDEX(Roster!$C$6:$C$65,IFERROR(MATCH(C401,Roster!$B$6:$B$65,0),MATCH(C401,Roster!$C$6:$C$65,0))),"not on the Roster"))</f>
        <v/>
      </c>
      <c r="E401" s="106" t="n"/>
      <c r="F401" s="104">
        <f>IF(OR(A401="",C401="",B401=""),"",IFERROR(INDEX(CHOOSE(IF(YEAR(A401)&gt;PlanYear,13,MONTH(A401)),'Jan'!$D$27:$AH$266,'Feb'!$D$27:$AH$266,'Mar'!$D$27:$AH$266,'Apr'!$D$27:$AH$266,'May'!$D$27:$AH$266,'Jun'!$D$27:$AH$266,'Jul'!$D$27:$AH$266,'Aug'!$D$27:$AH$266,'Sep'!$D$27:$AH$266,'Oct'!$D$27:$AH$266,'Nov'!$D$27:$AH$266,'Dec'!$D$27:$AH$266,'Jan (next year)'!$D$27:$AH$266),27+4*(IFERROR(MATCH(C401,Roster!$B$6:$B$65,0),MATCH(C401,Roster!$C$6:$C$65,0))-1)+MATCH(B401,{"AM","PM","NIGHT","WD"},0)-1-27+1,DAY(A401))&amp;"",""))</f>
        <v/>
      </c>
      <c r="G401" s="123">
        <f>IF(OR(A401="",C401="",B401="",E401=""),"",IFERROR(A401&amp;"|"&amp;(27+4*(IFERROR(MATCH(C401,Roster!$B$6:$B$65,0),MATCH(C401,Roster!$C$6:$C$65,0))-1)+MATCH(B401,{"AM","PM","NIGHT","WD"},0)-1),""))</f>
        <v/>
      </c>
    </row>
    <row r="402">
      <c r="A402" s="122" t="n"/>
      <c r="B402" s="107" t="n"/>
      <c r="C402" s="105" t="n"/>
      <c r="D402" s="92">
        <f>IF(C402="","",IFERROR(INDEX(Roster!$C$6:$C$65,IFERROR(MATCH(C402,Roster!$B$6:$B$65,0),MATCH(C402,Roster!$C$6:$C$65,0))),"not on the Roster"))</f>
        <v/>
      </c>
      <c r="E402" s="106" t="n"/>
      <c r="F402" s="104">
        <f>IF(OR(A402="",C402="",B402=""),"",IFERROR(INDEX(CHOOSE(IF(YEAR(A402)&gt;PlanYear,13,MONTH(A402)),'Jan'!$D$27:$AH$266,'Feb'!$D$27:$AH$266,'Mar'!$D$27:$AH$266,'Apr'!$D$27:$AH$266,'May'!$D$27:$AH$266,'Jun'!$D$27:$AH$266,'Jul'!$D$27:$AH$266,'Aug'!$D$27:$AH$266,'Sep'!$D$27:$AH$266,'Oct'!$D$27:$AH$266,'Nov'!$D$27:$AH$266,'Dec'!$D$27:$AH$266,'Jan (next year)'!$D$27:$AH$266),27+4*(IFERROR(MATCH(C402,Roster!$B$6:$B$65,0),MATCH(C402,Roster!$C$6:$C$65,0))-1)+MATCH(B402,{"AM","PM","NIGHT","WD"},0)-1-27+1,DAY(A402))&amp;"",""))</f>
        <v/>
      </c>
      <c r="G402" s="123">
        <f>IF(OR(A402="",C402="",B402="",E402=""),"",IFERROR(A402&amp;"|"&amp;(27+4*(IFERROR(MATCH(C402,Roster!$B$6:$B$65,0),MATCH(C402,Roster!$C$6:$C$65,0))-1)+MATCH(B402,{"AM","PM","NIGHT","WD"},0)-1),""))</f>
        <v/>
      </c>
    </row>
    <row r="403">
      <c r="A403" s="122" t="n"/>
      <c r="B403" s="107" t="n"/>
      <c r="C403" s="105" t="n"/>
      <c r="D403" s="92">
        <f>IF(C403="","",IFERROR(INDEX(Roster!$C$6:$C$65,IFERROR(MATCH(C403,Roster!$B$6:$B$65,0),MATCH(C403,Roster!$C$6:$C$65,0))),"not on the Roster"))</f>
        <v/>
      </c>
      <c r="E403" s="106" t="n"/>
      <c r="F403" s="104">
        <f>IF(OR(A403="",C403="",B403=""),"",IFERROR(INDEX(CHOOSE(IF(YEAR(A403)&gt;PlanYear,13,MONTH(A403)),'Jan'!$D$27:$AH$266,'Feb'!$D$27:$AH$266,'Mar'!$D$27:$AH$266,'Apr'!$D$27:$AH$266,'May'!$D$27:$AH$266,'Jun'!$D$27:$AH$266,'Jul'!$D$27:$AH$266,'Aug'!$D$27:$AH$266,'Sep'!$D$27:$AH$266,'Oct'!$D$27:$AH$266,'Nov'!$D$27:$AH$266,'Dec'!$D$27:$AH$266,'Jan (next year)'!$D$27:$AH$266),27+4*(IFERROR(MATCH(C403,Roster!$B$6:$B$65,0),MATCH(C403,Roster!$C$6:$C$65,0))-1)+MATCH(B403,{"AM","PM","NIGHT","WD"},0)-1-27+1,DAY(A403))&amp;"",""))</f>
        <v/>
      </c>
      <c r="G403" s="123">
        <f>IF(OR(A403="",C403="",B403="",E403=""),"",IFERROR(A403&amp;"|"&amp;(27+4*(IFERROR(MATCH(C403,Roster!$B$6:$B$65,0),MATCH(C403,Roster!$C$6:$C$65,0))-1)+MATCH(B403,{"AM","PM","NIGHT","WD"},0)-1),""))</f>
        <v/>
      </c>
    </row>
    <row r="404">
      <c r="A404" s="122" t="n"/>
      <c r="B404" s="107" t="n"/>
      <c r="C404" s="105" t="n"/>
      <c r="D404" s="92">
        <f>IF(C404="","",IFERROR(INDEX(Roster!$C$6:$C$65,IFERROR(MATCH(C404,Roster!$B$6:$B$65,0),MATCH(C404,Roster!$C$6:$C$65,0))),"not on the Roster"))</f>
        <v/>
      </c>
      <c r="E404" s="106" t="n"/>
      <c r="F404" s="104">
        <f>IF(OR(A404="",C404="",B404=""),"",IFERROR(INDEX(CHOOSE(IF(YEAR(A404)&gt;PlanYear,13,MONTH(A404)),'Jan'!$D$27:$AH$266,'Feb'!$D$27:$AH$266,'Mar'!$D$27:$AH$266,'Apr'!$D$27:$AH$266,'May'!$D$27:$AH$266,'Jun'!$D$27:$AH$266,'Jul'!$D$27:$AH$266,'Aug'!$D$27:$AH$266,'Sep'!$D$27:$AH$266,'Oct'!$D$27:$AH$266,'Nov'!$D$27:$AH$266,'Dec'!$D$27:$AH$266,'Jan (next year)'!$D$27:$AH$266),27+4*(IFERROR(MATCH(C404,Roster!$B$6:$B$65,0),MATCH(C404,Roster!$C$6:$C$65,0))-1)+MATCH(B404,{"AM","PM","NIGHT","WD"},0)-1-27+1,DAY(A404))&amp;"",""))</f>
        <v/>
      </c>
      <c r="G404" s="123">
        <f>IF(OR(A404="",C404="",B404="",E404=""),"",IFERROR(A404&amp;"|"&amp;(27+4*(IFERROR(MATCH(C404,Roster!$B$6:$B$65,0),MATCH(C404,Roster!$C$6:$C$65,0))-1)+MATCH(B404,{"AM","PM","NIGHT","WD"},0)-1),""))</f>
        <v/>
      </c>
    </row>
    <row r="405">
      <c r="A405" s="122" t="n"/>
      <c r="B405" s="107" t="n"/>
      <c r="C405" s="105" t="n"/>
      <c r="D405" s="92">
        <f>IF(C405="","",IFERROR(INDEX(Roster!$C$6:$C$65,IFERROR(MATCH(C405,Roster!$B$6:$B$65,0),MATCH(C405,Roster!$C$6:$C$65,0))),"not on the Roster"))</f>
        <v/>
      </c>
      <c r="E405" s="106" t="n"/>
      <c r="F405" s="104">
        <f>IF(OR(A405="",C405="",B405=""),"",IFERROR(INDEX(CHOOSE(IF(YEAR(A405)&gt;PlanYear,13,MONTH(A405)),'Jan'!$D$27:$AH$266,'Feb'!$D$27:$AH$266,'Mar'!$D$27:$AH$266,'Apr'!$D$27:$AH$266,'May'!$D$27:$AH$266,'Jun'!$D$27:$AH$266,'Jul'!$D$27:$AH$266,'Aug'!$D$27:$AH$266,'Sep'!$D$27:$AH$266,'Oct'!$D$27:$AH$266,'Nov'!$D$27:$AH$266,'Dec'!$D$27:$AH$266,'Jan (next year)'!$D$27:$AH$266),27+4*(IFERROR(MATCH(C405,Roster!$B$6:$B$65,0),MATCH(C405,Roster!$C$6:$C$65,0))-1)+MATCH(B405,{"AM","PM","NIGHT","WD"},0)-1-27+1,DAY(A405))&amp;"",""))</f>
        <v/>
      </c>
      <c r="G405" s="123">
        <f>IF(OR(A405="",C405="",B405="",E405=""),"",IFERROR(A405&amp;"|"&amp;(27+4*(IFERROR(MATCH(C405,Roster!$B$6:$B$65,0),MATCH(C405,Roster!$C$6:$C$65,0))-1)+MATCH(B405,{"AM","PM","NIGHT","WD"},0)-1),""))</f>
        <v/>
      </c>
    </row>
    <row r="406">
      <c r="A406" s="122" t="n"/>
      <c r="B406" s="107" t="n"/>
      <c r="C406" s="105" t="n"/>
      <c r="D406" s="92">
        <f>IF(C406="","",IFERROR(INDEX(Roster!$C$6:$C$65,IFERROR(MATCH(C406,Roster!$B$6:$B$65,0),MATCH(C406,Roster!$C$6:$C$65,0))),"not on the Roster"))</f>
        <v/>
      </c>
      <c r="E406" s="106" t="n"/>
      <c r="F406" s="104">
        <f>IF(OR(A406="",C406="",B406=""),"",IFERROR(INDEX(CHOOSE(IF(YEAR(A406)&gt;PlanYear,13,MONTH(A406)),'Jan'!$D$27:$AH$266,'Feb'!$D$27:$AH$266,'Mar'!$D$27:$AH$266,'Apr'!$D$27:$AH$266,'May'!$D$27:$AH$266,'Jun'!$D$27:$AH$266,'Jul'!$D$27:$AH$266,'Aug'!$D$27:$AH$266,'Sep'!$D$27:$AH$266,'Oct'!$D$27:$AH$266,'Nov'!$D$27:$AH$266,'Dec'!$D$27:$AH$266,'Jan (next year)'!$D$27:$AH$266),27+4*(IFERROR(MATCH(C406,Roster!$B$6:$B$65,0),MATCH(C406,Roster!$C$6:$C$65,0))-1)+MATCH(B406,{"AM","PM","NIGHT","WD"},0)-1-27+1,DAY(A406))&amp;"",""))</f>
        <v/>
      </c>
      <c r="G406" s="123">
        <f>IF(OR(A406="",C406="",B406="",E406=""),"",IFERROR(A406&amp;"|"&amp;(27+4*(IFERROR(MATCH(C406,Roster!$B$6:$B$65,0),MATCH(C406,Roster!$C$6:$C$65,0))-1)+MATCH(B406,{"AM","PM","NIGHT","WD"},0)-1),""))</f>
        <v/>
      </c>
    </row>
    <row r="407">
      <c r="A407" s="122" t="n"/>
      <c r="B407" s="107" t="n"/>
      <c r="C407" s="105" t="n"/>
      <c r="D407" s="92">
        <f>IF(C407="","",IFERROR(INDEX(Roster!$C$6:$C$65,IFERROR(MATCH(C407,Roster!$B$6:$B$65,0),MATCH(C407,Roster!$C$6:$C$65,0))),"not on the Roster"))</f>
        <v/>
      </c>
      <c r="E407" s="106" t="n"/>
      <c r="F407" s="104">
        <f>IF(OR(A407="",C407="",B407=""),"",IFERROR(INDEX(CHOOSE(IF(YEAR(A407)&gt;PlanYear,13,MONTH(A407)),'Jan'!$D$27:$AH$266,'Feb'!$D$27:$AH$266,'Mar'!$D$27:$AH$266,'Apr'!$D$27:$AH$266,'May'!$D$27:$AH$266,'Jun'!$D$27:$AH$266,'Jul'!$D$27:$AH$266,'Aug'!$D$27:$AH$266,'Sep'!$D$27:$AH$266,'Oct'!$D$27:$AH$266,'Nov'!$D$27:$AH$266,'Dec'!$D$27:$AH$266,'Jan (next year)'!$D$27:$AH$266),27+4*(IFERROR(MATCH(C407,Roster!$B$6:$B$65,0),MATCH(C407,Roster!$C$6:$C$65,0))-1)+MATCH(B407,{"AM","PM","NIGHT","WD"},0)-1-27+1,DAY(A407))&amp;"",""))</f>
        <v/>
      </c>
      <c r="G407" s="123">
        <f>IF(OR(A407="",C407="",B407="",E407=""),"",IFERROR(A407&amp;"|"&amp;(27+4*(IFERROR(MATCH(C407,Roster!$B$6:$B$65,0),MATCH(C407,Roster!$C$6:$C$65,0))-1)+MATCH(B407,{"AM","PM","NIGHT","WD"},0)-1),""))</f>
        <v/>
      </c>
    </row>
    <row r="408">
      <c r="A408" s="122" t="n"/>
      <c r="B408" s="107" t="n"/>
      <c r="C408" s="105" t="n"/>
      <c r="D408" s="92">
        <f>IF(C408="","",IFERROR(INDEX(Roster!$C$6:$C$65,IFERROR(MATCH(C408,Roster!$B$6:$B$65,0),MATCH(C408,Roster!$C$6:$C$65,0))),"not on the Roster"))</f>
        <v/>
      </c>
      <c r="E408" s="106" t="n"/>
      <c r="F408" s="104">
        <f>IF(OR(A408="",C408="",B408=""),"",IFERROR(INDEX(CHOOSE(IF(YEAR(A408)&gt;PlanYear,13,MONTH(A408)),'Jan'!$D$27:$AH$266,'Feb'!$D$27:$AH$266,'Mar'!$D$27:$AH$266,'Apr'!$D$27:$AH$266,'May'!$D$27:$AH$266,'Jun'!$D$27:$AH$266,'Jul'!$D$27:$AH$266,'Aug'!$D$27:$AH$266,'Sep'!$D$27:$AH$266,'Oct'!$D$27:$AH$266,'Nov'!$D$27:$AH$266,'Dec'!$D$27:$AH$266,'Jan (next year)'!$D$27:$AH$266),27+4*(IFERROR(MATCH(C408,Roster!$B$6:$B$65,0),MATCH(C408,Roster!$C$6:$C$65,0))-1)+MATCH(B408,{"AM","PM","NIGHT","WD"},0)-1-27+1,DAY(A408))&amp;"",""))</f>
        <v/>
      </c>
      <c r="G408" s="123">
        <f>IF(OR(A408="",C408="",B408="",E408=""),"",IFERROR(A408&amp;"|"&amp;(27+4*(IFERROR(MATCH(C408,Roster!$B$6:$B$65,0),MATCH(C408,Roster!$C$6:$C$65,0))-1)+MATCH(B408,{"AM","PM","NIGHT","WD"},0)-1),""))</f>
        <v/>
      </c>
    </row>
    <row r="409">
      <c r="A409" s="122" t="n"/>
      <c r="B409" s="107" t="n"/>
      <c r="C409" s="105" t="n"/>
      <c r="D409" s="92">
        <f>IF(C409="","",IFERROR(INDEX(Roster!$C$6:$C$65,IFERROR(MATCH(C409,Roster!$B$6:$B$65,0),MATCH(C409,Roster!$C$6:$C$65,0))),"not on the Roster"))</f>
        <v/>
      </c>
      <c r="E409" s="106" t="n"/>
      <c r="F409" s="104">
        <f>IF(OR(A409="",C409="",B409=""),"",IFERROR(INDEX(CHOOSE(IF(YEAR(A409)&gt;PlanYear,13,MONTH(A409)),'Jan'!$D$27:$AH$266,'Feb'!$D$27:$AH$266,'Mar'!$D$27:$AH$266,'Apr'!$D$27:$AH$266,'May'!$D$27:$AH$266,'Jun'!$D$27:$AH$266,'Jul'!$D$27:$AH$266,'Aug'!$D$27:$AH$266,'Sep'!$D$27:$AH$266,'Oct'!$D$27:$AH$266,'Nov'!$D$27:$AH$266,'Dec'!$D$27:$AH$266,'Jan (next year)'!$D$27:$AH$266),27+4*(IFERROR(MATCH(C409,Roster!$B$6:$B$65,0),MATCH(C409,Roster!$C$6:$C$65,0))-1)+MATCH(B409,{"AM","PM","NIGHT","WD"},0)-1-27+1,DAY(A409))&amp;"",""))</f>
        <v/>
      </c>
      <c r="G409" s="123">
        <f>IF(OR(A409="",C409="",B409="",E409=""),"",IFERROR(A409&amp;"|"&amp;(27+4*(IFERROR(MATCH(C409,Roster!$B$6:$B$65,0),MATCH(C409,Roster!$C$6:$C$65,0))-1)+MATCH(B409,{"AM","PM","NIGHT","WD"},0)-1),""))</f>
        <v/>
      </c>
    </row>
    <row r="410">
      <c r="A410" s="122" t="n"/>
      <c r="B410" s="107" t="n"/>
      <c r="C410" s="105" t="n"/>
      <c r="D410" s="92">
        <f>IF(C410="","",IFERROR(INDEX(Roster!$C$6:$C$65,IFERROR(MATCH(C410,Roster!$B$6:$B$65,0),MATCH(C410,Roster!$C$6:$C$65,0))),"not on the Roster"))</f>
        <v/>
      </c>
      <c r="E410" s="106" t="n"/>
      <c r="F410" s="104">
        <f>IF(OR(A410="",C410="",B410=""),"",IFERROR(INDEX(CHOOSE(IF(YEAR(A410)&gt;PlanYear,13,MONTH(A410)),'Jan'!$D$27:$AH$266,'Feb'!$D$27:$AH$266,'Mar'!$D$27:$AH$266,'Apr'!$D$27:$AH$266,'May'!$D$27:$AH$266,'Jun'!$D$27:$AH$266,'Jul'!$D$27:$AH$266,'Aug'!$D$27:$AH$266,'Sep'!$D$27:$AH$266,'Oct'!$D$27:$AH$266,'Nov'!$D$27:$AH$266,'Dec'!$D$27:$AH$266,'Jan (next year)'!$D$27:$AH$266),27+4*(IFERROR(MATCH(C410,Roster!$B$6:$B$65,0),MATCH(C410,Roster!$C$6:$C$65,0))-1)+MATCH(B410,{"AM","PM","NIGHT","WD"},0)-1-27+1,DAY(A410))&amp;"",""))</f>
        <v/>
      </c>
      <c r="G410" s="123">
        <f>IF(OR(A410="",C410="",B410="",E410=""),"",IFERROR(A410&amp;"|"&amp;(27+4*(IFERROR(MATCH(C410,Roster!$B$6:$B$65,0),MATCH(C410,Roster!$C$6:$C$65,0))-1)+MATCH(B410,{"AM","PM","NIGHT","WD"},0)-1),""))</f>
        <v/>
      </c>
    </row>
    <row r="411">
      <c r="A411" s="122" t="n"/>
      <c r="B411" s="107" t="n"/>
      <c r="C411" s="105" t="n"/>
      <c r="D411" s="92">
        <f>IF(C411="","",IFERROR(INDEX(Roster!$C$6:$C$65,IFERROR(MATCH(C411,Roster!$B$6:$B$65,0),MATCH(C411,Roster!$C$6:$C$65,0))),"not on the Roster"))</f>
        <v/>
      </c>
      <c r="E411" s="106" t="n"/>
      <c r="F411" s="104">
        <f>IF(OR(A411="",C411="",B411=""),"",IFERROR(INDEX(CHOOSE(IF(YEAR(A411)&gt;PlanYear,13,MONTH(A411)),'Jan'!$D$27:$AH$266,'Feb'!$D$27:$AH$266,'Mar'!$D$27:$AH$266,'Apr'!$D$27:$AH$266,'May'!$D$27:$AH$266,'Jun'!$D$27:$AH$266,'Jul'!$D$27:$AH$266,'Aug'!$D$27:$AH$266,'Sep'!$D$27:$AH$266,'Oct'!$D$27:$AH$266,'Nov'!$D$27:$AH$266,'Dec'!$D$27:$AH$266,'Jan (next year)'!$D$27:$AH$266),27+4*(IFERROR(MATCH(C411,Roster!$B$6:$B$65,0),MATCH(C411,Roster!$C$6:$C$65,0))-1)+MATCH(B411,{"AM","PM","NIGHT","WD"},0)-1-27+1,DAY(A411))&amp;"",""))</f>
        <v/>
      </c>
      <c r="G411" s="123">
        <f>IF(OR(A411="",C411="",B411="",E411=""),"",IFERROR(A411&amp;"|"&amp;(27+4*(IFERROR(MATCH(C411,Roster!$B$6:$B$65,0),MATCH(C411,Roster!$C$6:$C$65,0))-1)+MATCH(B411,{"AM","PM","NIGHT","WD"},0)-1),""))</f>
        <v/>
      </c>
    </row>
    <row r="412">
      <c r="A412" s="122" t="n"/>
      <c r="B412" s="107" t="n"/>
      <c r="C412" s="105" t="n"/>
      <c r="D412" s="92">
        <f>IF(C412="","",IFERROR(INDEX(Roster!$C$6:$C$65,IFERROR(MATCH(C412,Roster!$B$6:$B$65,0),MATCH(C412,Roster!$C$6:$C$65,0))),"not on the Roster"))</f>
        <v/>
      </c>
      <c r="E412" s="106" t="n"/>
      <c r="F412" s="104">
        <f>IF(OR(A412="",C412="",B412=""),"",IFERROR(INDEX(CHOOSE(IF(YEAR(A412)&gt;PlanYear,13,MONTH(A412)),'Jan'!$D$27:$AH$266,'Feb'!$D$27:$AH$266,'Mar'!$D$27:$AH$266,'Apr'!$D$27:$AH$266,'May'!$D$27:$AH$266,'Jun'!$D$27:$AH$266,'Jul'!$D$27:$AH$266,'Aug'!$D$27:$AH$266,'Sep'!$D$27:$AH$266,'Oct'!$D$27:$AH$266,'Nov'!$D$27:$AH$266,'Dec'!$D$27:$AH$266,'Jan (next year)'!$D$27:$AH$266),27+4*(IFERROR(MATCH(C412,Roster!$B$6:$B$65,0),MATCH(C412,Roster!$C$6:$C$65,0))-1)+MATCH(B412,{"AM","PM","NIGHT","WD"},0)-1-27+1,DAY(A412))&amp;"",""))</f>
        <v/>
      </c>
      <c r="G412" s="123">
        <f>IF(OR(A412="",C412="",B412="",E412=""),"",IFERROR(A412&amp;"|"&amp;(27+4*(IFERROR(MATCH(C412,Roster!$B$6:$B$65,0),MATCH(C412,Roster!$C$6:$C$65,0))-1)+MATCH(B412,{"AM","PM","NIGHT","WD"},0)-1),""))</f>
        <v/>
      </c>
    </row>
    <row r="413">
      <c r="A413" s="122" t="n"/>
      <c r="B413" s="107" t="n"/>
      <c r="C413" s="105" t="n"/>
      <c r="D413" s="92">
        <f>IF(C413="","",IFERROR(INDEX(Roster!$C$6:$C$65,IFERROR(MATCH(C413,Roster!$B$6:$B$65,0),MATCH(C413,Roster!$C$6:$C$65,0))),"not on the Roster"))</f>
        <v/>
      </c>
      <c r="E413" s="106" t="n"/>
      <c r="F413" s="104">
        <f>IF(OR(A413="",C413="",B413=""),"",IFERROR(INDEX(CHOOSE(IF(YEAR(A413)&gt;PlanYear,13,MONTH(A413)),'Jan'!$D$27:$AH$266,'Feb'!$D$27:$AH$266,'Mar'!$D$27:$AH$266,'Apr'!$D$27:$AH$266,'May'!$D$27:$AH$266,'Jun'!$D$27:$AH$266,'Jul'!$D$27:$AH$266,'Aug'!$D$27:$AH$266,'Sep'!$D$27:$AH$266,'Oct'!$D$27:$AH$266,'Nov'!$D$27:$AH$266,'Dec'!$D$27:$AH$266,'Jan (next year)'!$D$27:$AH$266),27+4*(IFERROR(MATCH(C413,Roster!$B$6:$B$65,0),MATCH(C413,Roster!$C$6:$C$65,0))-1)+MATCH(B413,{"AM","PM","NIGHT","WD"},0)-1-27+1,DAY(A413))&amp;"",""))</f>
        <v/>
      </c>
      <c r="G413" s="123">
        <f>IF(OR(A413="",C413="",B413="",E413=""),"",IFERROR(A413&amp;"|"&amp;(27+4*(IFERROR(MATCH(C413,Roster!$B$6:$B$65,0),MATCH(C413,Roster!$C$6:$C$65,0))-1)+MATCH(B413,{"AM","PM","NIGHT","WD"},0)-1),""))</f>
        <v/>
      </c>
    </row>
    <row r="414">
      <c r="A414" s="122" t="n"/>
      <c r="B414" s="107" t="n"/>
      <c r="C414" s="105" t="n"/>
      <c r="D414" s="92">
        <f>IF(C414="","",IFERROR(INDEX(Roster!$C$6:$C$65,IFERROR(MATCH(C414,Roster!$B$6:$B$65,0),MATCH(C414,Roster!$C$6:$C$65,0))),"not on the Roster"))</f>
        <v/>
      </c>
      <c r="E414" s="106" t="n"/>
      <c r="F414" s="104">
        <f>IF(OR(A414="",C414="",B414=""),"",IFERROR(INDEX(CHOOSE(IF(YEAR(A414)&gt;PlanYear,13,MONTH(A414)),'Jan'!$D$27:$AH$266,'Feb'!$D$27:$AH$266,'Mar'!$D$27:$AH$266,'Apr'!$D$27:$AH$266,'May'!$D$27:$AH$266,'Jun'!$D$27:$AH$266,'Jul'!$D$27:$AH$266,'Aug'!$D$27:$AH$266,'Sep'!$D$27:$AH$266,'Oct'!$D$27:$AH$266,'Nov'!$D$27:$AH$266,'Dec'!$D$27:$AH$266,'Jan (next year)'!$D$27:$AH$266),27+4*(IFERROR(MATCH(C414,Roster!$B$6:$B$65,0),MATCH(C414,Roster!$C$6:$C$65,0))-1)+MATCH(B414,{"AM","PM","NIGHT","WD"},0)-1-27+1,DAY(A414))&amp;"",""))</f>
        <v/>
      </c>
      <c r="G414" s="123">
        <f>IF(OR(A414="",C414="",B414="",E414=""),"",IFERROR(A414&amp;"|"&amp;(27+4*(IFERROR(MATCH(C414,Roster!$B$6:$B$65,0),MATCH(C414,Roster!$C$6:$C$65,0))-1)+MATCH(B414,{"AM","PM","NIGHT","WD"},0)-1),""))</f>
        <v/>
      </c>
    </row>
    <row r="415">
      <c r="A415" s="122" t="n"/>
      <c r="B415" s="107" t="n"/>
      <c r="C415" s="105" t="n"/>
      <c r="D415" s="92">
        <f>IF(C415="","",IFERROR(INDEX(Roster!$C$6:$C$65,IFERROR(MATCH(C415,Roster!$B$6:$B$65,0),MATCH(C415,Roster!$C$6:$C$65,0))),"not on the Roster"))</f>
        <v/>
      </c>
      <c r="E415" s="106" t="n"/>
      <c r="F415" s="104">
        <f>IF(OR(A415="",C415="",B415=""),"",IFERROR(INDEX(CHOOSE(IF(YEAR(A415)&gt;PlanYear,13,MONTH(A415)),'Jan'!$D$27:$AH$266,'Feb'!$D$27:$AH$266,'Mar'!$D$27:$AH$266,'Apr'!$D$27:$AH$266,'May'!$D$27:$AH$266,'Jun'!$D$27:$AH$266,'Jul'!$D$27:$AH$266,'Aug'!$D$27:$AH$266,'Sep'!$D$27:$AH$266,'Oct'!$D$27:$AH$266,'Nov'!$D$27:$AH$266,'Dec'!$D$27:$AH$266,'Jan (next year)'!$D$27:$AH$266),27+4*(IFERROR(MATCH(C415,Roster!$B$6:$B$65,0),MATCH(C415,Roster!$C$6:$C$65,0))-1)+MATCH(B415,{"AM","PM","NIGHT","WD"},0)-1-27+1,DAY(A415))&amp;"",""))</f>
        <v/>
      </c>
      <c r="G415" s="123">
        <f>IF(OR(A415="",C415="",B415="",E415=""),"",IFERROR(A415&amp;"|"&amp;(27+4*(IFERROR(MATCH(C415,Roster!$B$6:$B$65,0),MATCH(C415,Roster!$C$6:$C$65,0))-1)+MATCH(B415,{"AM","PM","NIGHT","WD"},0)-1),""))</f>
        <v/>
      </c>
    </row>
    <row r="416">
      <c r="A416" s="122" t="n"/>
      <c r="B416" s="107" t="n"/>
      <c r="C416" s="105" t="n"/>
      <c r="D416" s="92">
        <f>IF(C416="","",IFERROR(INDEX(Roster!$C$6:$C$65,IFERROR(MATCH(C416,Roster!$B$6:$B$65,0),MATCH(C416,Roster!$C$6:$C$65,0))),"not on the Roster"))</f>
        <v/>
      </c>
      <c r="E416" s="106" t="n"/>
      <c r="F416" s="104">
        <f>IF(OR(A416="",C416="",B416=""),"",IFERROR(INDEX(CHOOSE(IF(YEAR(A416)&gt;PlanYear,13,MONTH(A416)),'Jan'!$D$27:$AH$266,'Feb'!$D$27:$AH$266,'Mar'!$D$27:$AH$266,'Apr'!$D$27:$AH$266,'May'!$D$27:$AH$266,'Jun'!$D$27:$AH$266,'Jul'!$D$27:$AH$266,'Aug'!$D$27:$AH$266,'Sep'!$D$27:$AH$266,'Oct'!$D$27:$AH$266,'Nov'!$D$27:$AH$266,'Dec'!$D$27:$AH$266,'Jan (next year)'!$D$27:$AH$266),27+4*(IFERROR(MATCH(C416,Roster!$B$6:$B$65,0),MATCH(C416,Roster!$C$6:$C$65,0))-1)+MATCH(B416,{"AM","PM","NIGHT","WD"},0)-1-27+1,DAY(A416))&amp;"",""))</f>
        <v/>
      </c>
      <c r="G416" s="123">
        <f>IF(OR(A416="",C416="",B416="",E416=""),"",IFERROR(A416&amp;"|"&amp;(27+4*(IFERROR(MATCH(C416,Roster!$B$6:$B$65,0),MATCH(C416,Roster!$C$6:$C$65,0))-1)+MATCH(B416,{"AM","PM","NIGHT","WD"},0)-1),""))</f>
        <v/>
      </c>
    </row>
    <row r="417">
      <c r="A417" s="122" t="n"/>
      <c r="B417" s="107" t="n"/>
      <c r="C417" s="105" t="n"/>
      <c r="D417" s="92">
        <f>IF(C417="","",IFERROR(INDEX(Roster!$C$6:$C$65,IFERROR(MATCH(C417,Roster!$B$6:$B$65,0),MATCH(C417,Roster!$C$6:$C$65,0))),"not on the Roster"))</f>
        <v/>
      </c>
      <c r="E417" s="106" t="n"/>
      <c r="F417" s="104">
        <f>IF(OR(A417="",C417="",B417=""),"",IFERROR(INDEX(CHOOSE(IF(YEAR(A417)&gt;PlanYear,13,MONTH(A417)),'Jan'!$D$27:$AH$266,'Feb'!$D$27:$AH$266,'Mar'!$D$27:$AH$266,'Apr'!$D$27:$AH$266,'May'!$D$27:$AH$266,'Jun'!$D$27:$AH$266,'Jul'!$D$27:$AH$266,'Aug'!$D$27:$AH$266,'Sep'!$D$27:$AH$266,'Oct'!$D$27:$AH$266,'Nov'!$D$27:$AH$266,'Dec'!$D$27:$AH$266,'Jan (next year)'!$D$27:$AH$266),27+4*(IFERROR(MATCH(C417,Roster!$B$6:$B$65,0),MATCH(C417,Roster!$C$6:$C$65,0))-1)+MATCH(B417,{"AM","PM","NIGHT","WD"},0)-1-27+1,DAY(A417))&amp;"",""))</f>
        <v/>
      </c>
      <c r="G417" s="123">
        <f>IF(OR(A417="",C417="",B417="",E417=""),"",IFERROR(A417&amp;"|"&amp;(27+4*(IFERROR(MATCH(C417,Roster!$B$6:$B$65,0),MATCH(C417,Roster!$C$6:$C$65,0))-1)+MATCH(B417,{"AM","PM","NIGHT","WD"},0)-1),""))</f>
        <v/>
      </c>
    </row>
    <row r="418">
      <c r="A418" s="122" t="n"/>
      <c r="B418" s="107" t="n"/>
      <c r="C418" s="105" t="n"/>
      <c r="D418" s="92">
        <f>IF(C418="","",IFERROR(INDEX(Roster!$C$6:$C$65,IFERROR(MATCH(C418,Roster!$B$6:$B$65,0),MATCH(C418,Roster!$C$6:$C$65,0))),"not on the Roster"))</f>
        <v/>
      </c>
      <c r="E418" s="106" t="n"/>
      <c r="F418" s="104">
        <f>IF(OR(A418="",C418="",B418=""),"",IFERROR(INDEX(CHOOSE(IF(YEAR(A418)&gt;PlanYear,13,MONTH(A418)),'Jan'!$D$27:$AH$266,'Feb'!$D$27:$AH$266,'Mar'!$D$27:$AH$266,'Apr'!$D$27:$AH$266,'May'!$D$27:$AH$266,'Jun'!$D$27:$AH$266,'Jul'!$D$27:$AH$266,'Aug'!$D$27:$AH$266,'Sep'!$D$27:$AH$266,'Oct'!$D$27:$AH$266,'Nov'!$D$27:$AH$266,'Dec'!$D$27:$AH$266,'Jan (next year)'!$D$27:$AH$266),27+4*(IFERROR(MATCH(C418,Roster!$B$6:$B$65,0),MATCH(C418,Roster!$C$6:$C$65,0))-1)+MATCH(B418,{"AM","PM","NIGHT","WD"},0)-1-27+1,DAY(A418))&amp;"",""))</f>
        <v/>
      </c>
      <c r="G418" s="123">
        <f>IF(OR(A418="",C418="",B418="",E418=""),"",IFERROR(A418&amp;"|"&amp;(27+4*(IFERROR(MATCH(C418,Roster!$B$6:$B$65,0),MATCH(C418,Roster!$C$6:$C$65,0))-1)+MATCH(B418,{"AM","PM","NIGHT","WD"},0)-1),""))</f>
        <v/>
      </c>
    </row>
    <row r="419">
      <c r="A419" s="122" t="n"/>
      <c r="B419" s="107" t="n"/>
      <c r="C419" s="105" t="n"/>
      <c r="D419" s="92">
        <f>IF(C419="","",IFERROR(INDEX(Roster!$C$6:$C$65,IFERROR(MATCH(C419,Roster!$B$6:$B$65,0),MATCH(C419,Roster!$C$6:$C$65,0))),"not on the Roster"))</f>
        <v/>
      </c>
      <c r="E419" s="106" t="n"/>
      <c r="F419" s="104">
        <f>IF(OR(A419="",C419="",B419=""),"",IFERROR(INDEX(CHOOSE(IF(YEAR(A419)&gt;PlanYear,13,MONTH(A419)),'Jan'!$D$27:$AH$266,'Feb'!$D$27:$AH$266,'Mar'!$D$27:$AH$266,'Apr'!$D$27:$AH$266,'May'!$D$27:$AH$266,'Jun'!$D$27:$AH$266,'Jul'!$D$27:$AH$266,'Aug'!$D$27:$AH$266,'Sep'!$D$27:$AH$266,'Oct'!$D$27:$AH$266,'Nov'!$D$27:$AH$266,'Dec'!$D$27:$AH$266,'Jan (next year)'!$D$27:$AH$266),27+4*(IFERROR(MATCH(C419,Roster!$B$6:$B$65,0),MATCH(C419,Roster!$C$6:$C$65,0))-1)+MATCH(B419,{"AM","PM","NIGHT","WD"},0)-1-27+1,DAY(A419))&amp;"",""))</f>
        <v/>
      </c>
      <c r="G419" s="123">
        <f>IF(OR(A419="",C419="",B419="",E419=""),"",IFERROR(A419&amp;"|"&amp;(27+4*(IFERROR(MATCH(C419,Roster!$B$6:$B$65,0),MATCH(C419,Roster!$C$6:$C$65,0))-1)+MATCH(B419,{"AM","PM","NIGHT","WD"},0)-1),""))</f>
        <v/>
      </c>
    </row>
    <row r="420">
      <c r="A420" s="122" t="n"/>
      <c r="B420" s="107" t="n"/>
      <c r="C420" s="105" t="n"/>
      <c r="D420" s="92">
        <f>IF(C420="","",IFERROR(INDEX(Roster!$C$6:$C$65,IFERROR(MATCH(C420,Roster!$B$6:$B$65,0),MATCH(C420,Roster!$C$6:$C$65,0))),"not on the Roster"))</f>
        <v/>
      </c>
      <c r="E420" s="106" t="n"/>
      <c r="F420" s="104">
        <f>IF(OR(A420="",C420="",B420=""),"",IFERROR(INDEX(CHOOSE(IF(YEAR(A420)&gt;PlanYear,13,MONTH(A420)),'Jan'!$D$27:$AH$266,'Feb'!$D$27:$AH$266,'Mar'!$D$27:$AH$266,'Apr'!$D$27:$AH$266,'May'!$D$27:$AH$266,'Jun'!$D$27:$AH$266,'Jul'!$D$27:$AH$266,'Aug'!$D$27:$AH$266,'Sep'!$D$27:$AH$266,'Oct'!$D$27:$AH$266,'Nov'!$D$27:$AH$266,'Dec'!$D$27:$AH$266,'Jan (next year)'!$D$27:$AH$266),27+4*(IFERROR(MATCH(C420,Roster!$B$6:$B$65,0),MATCH(C420,Roster!$C$6:$C$65,0))-1)+MATCH(B420,{"AM","PM","NIGHT","WD"},0)-1-27+1,DAY(A420))&amp;"",""))</f>
        <v/>
      </c>
      <c r="G420" s="123">
        <f>IF(OR(A420="",C420="",B420="",E420=""),"",IFERROR(A420&amp;"|"&amp;(27+4*(IFERROR(MATCH(C420,Roster!$B$6:$B$65,0),MATCH(C420,Roster!$C$6:$C$65,0))-1)+MATCH(B420,{"AM","PM","NIGHT","WD"},0)-1),""))</f>
        <v/>
      </c>
    </row>
    <row r="421">
      <c r="A421" s="122" t="n"/>
      <c r="B421" s="107" t="n"/>
      <c r="C421" s="105" t="n"/>
      <c r="D421" s="92">
        <f>IF(C421="","",IFERROR(INDEX(Roster!$C$6:$C$65,IFERROR(MATCH(C421,Roster!$B$6:$B$65,0),MATCH(C421,Roster!$C$6:$C$65,0))),"not on the Roster"))</f>
        <v/>
      </c>
      <c r="E421" s="106" t="n"/>
      <c r="F421" s="104">
        <f>IF(OR(A421="",C421="",B421=""),"",IFERROR(INDEX(CHOOSE(IF(YEAR(A421)&gt;PlanYear,13,MONTH(A421)),'Jan'!$D$27:$AH$266,'Feb'!$D$27:$AH$266,'Mar'!$D$27:$AH$266,'Apr'!$D$27:$AH$266,'May'!$D$27:$AH$266,'Jun'!$D$27:$AH$266,'Jul'!$D$27:$AH$266,'Aug'!$D$27:$AH$266,'Sep'!$D$27:$AH$266,'Oct'!$D$27:$AH$266,'Nov'!$D$27:$AH$266,'Dec'!$D$27:$AH$266,'Jan (next year)'!$D$27:$AH$266),27+4*(IFERROR(MATCH(C421,Roster!$B$6:$B$65,0),MATCH(C421,Roster!$C$6:$C$65,0))-1)+MATCH(B421,{"AM","PM","NIGHT","WD"},0)-1-27+1,DAY(A421))&amp;"",""))</f>
        <v/>
      </c>
      <c r="G421" s="123">
        <f>IF(OR(A421="",C421="",B421="",E421=""),"",IFERROR(A421&amp;"|"&amp;(27+4*(IFERROR(MATCH(C421,Roster!$B$6:$B$65,0),MATCH(C421,Roster!$C$6:$C$65,0))-1)+MATCH(B421,{"AM","PM","NIGHT","WD"},0)-1),""))</f>
        <v/>
      </c>
    </row>
    <row r="422">
      <c r="A422" s="122" t="n"/>
      <c r="B422" s="107" t="n"/>
      <c r="C422" s="105" t="n"/>
      <c r="D422" s="92">
        <f>IF(C422="","",IFERROR(INDEX(Roster!$C$6:$C$65,IFERROR(MATCH(C422,Roster!$B$6:$B$65,0),MATCH(C422,Roster!$C$6:$C$65,0))),"not on the Roster"))</f>
        <v/>
      </c>
      <c r="E422" s="106" t="n"/>
      <c r="F422" s="104">
        <f>IF(OR(A422="",C422="",B422=""),"",IFERROR(INDEX(CHOOSE(IF(YEAR(A422)&gt;PlanYear,13,MONTH(A422)),'Jan'!$D$27:$AH$266,'Feb'!$D$27:$AH$266,'Mar'!$D$27:$AH$266,'Apr'!$D$27:$AH$266,'May'!$D$27:$AH$266,'Jun'!$D$27:$AH$266,'Jul'!$D$27:$AH$266,'Aug'!$D$27:$AH$266,'Sep'!$D$27:$AH$266,'Oct'!$D$27:$AH$266,'Nov'!$D$27:$AH$266,'Dec'!$D$27:$AH$266,'Jan (next year)'!$D$27:$AH$266),27+4*(IFERROR(MATCH(C422,Roster!$B$6:$B$65,0),MATCH(C422,Roster!$C$6:$C$65,0))-1)+MATCH(B422,{"AM","PM","NIGHT","WD"},0)-1-27+1,DAY(A422))&amp;"",""))</f>
        <v/>
      </c>
      <c r="G422" s="123">
        <f>IF(OR(A422="",C422="",B422="",E422=""),"",IFERROR(A422&amp;"|"&amp;(27+4*(IFERROR(MATCH(C422,Roster!$B$6:$B$65,0),MATCH(C422,Roster!$C$6:$C$65,0))-1)+MATCH(B422,{"AM","PM","NIGHT","WD"},0)-1),""))</f>
        <v/>
      </c>
    </row>
    <row r="423">
      <c r="A423" s="122" t="n"/>
      <c r="B423" s="107" t="n"/>
      <c r="C423" s="105" t="n"/>
      <c r="D423" s="92">
        <f>IF(C423="","",IFERROR(INDEX(Roster!$C$6:$C$65,IFERROR(MATCH(C423,Roster!$B$6:$B$65,0),MATCH(C423,Roster!$C$6:$C$65,0))),"not on the Roster"))</f>
        <v/>
      </c>
      <c r="E423" s="106" t="n"/>
      <c r="F423" s="104">
        <f>IF(OR(A423="",C423="",B423=""),"",IFERROR(INDEX(CHOOSE(IF(YEAR(A423)&gt;PlanYear,13,MONTH(A423)),'Jan'!$D$27:$AH$266,'Feb'!$D$27:$AH$266,'Mar'!$D$27:$AH$266,'Apr'!$D$27:$AH$266,'May'!$D$27:$AH$266,'Jun'!$D$27:$AH$266,'Jul'!$D$27:$AH$266,'Aug'!$D$27:$AH$266,'Sep'!$D$27:$AH$266,'Oct'!$D$27:$AH$266,'Nov'!$D$27:$AH$266,'Dec'!$D$27:$AH$266,'Jan (next year)'!$D$27:$AH$266),27+4*(IFERROR(MATCH(C423,Roster!$B$6:$B$65,0),MATCH(C423,Roster!$C$6:$C$65,0))-1)+MATCH(B423,{"AM","PM","NIGHT","WD"},0)-1-27+1,DAY(A423))&amp;"",""))</f>
        <v/>
      </c>
      <c r="G423" s="123">
        <f>IF(OR(A423="",C423="",B423="",E423=""),"",IFERROR(A423&amp;"|"&amp;(27+4*(IFERROR(MATCH(C423,Roster!$B$6:$B$65,0),MATCH(C423,Roster!$C$6:$C$65,0))-1)+MATCH(B423,{"AM","PM","NIGHT","WD"},0)-1),""))</f>
        <v/>
      </c>
    </row>
    <row r="424">
      <c r="A424" s="122" t="n"/>
      <c r="B424" s="107" t="n"/>
      <c r="C424" s="105" t="n"/>
      <c r="D424" s="92">
        <f>IF(C424="","",IFERROR(INDEX(Roster!$C$6:$C$65,IFERROR(MATCH(C424,Roster!$B$6:$B$65,0),MATCH(C424,Roster!$C$6:$C$65,0))),"not on the Roster"))</f>
        <v/>
      </c>
      <c r="E424" s="106" t="n"/>
      <c r="F424" s="104">
        <f>IF(OR(A424="",C424="",B424=""),"",IFERROR(INDEX(CHOOSE(IF(YEAR(A424)&gt;PlanYear,13,MONTH(A424)),'Jan'!$D$27:$AH$266,'Feb'!$D$27:$AH$266,'Mar'!$D$27:$AH$266,'Apr'!$D$27:$AH$266,'May'!$D$27:$AH$266,'Jun'!$D$27:$AH$266,'Jul'!$D$27:$AH$266,'Aug'!$D$27:$AH$266,'Sep'!$D$27:$AH$266,'Oct'!$D$27:$AH$266,'Nov'!$D$27:$AH$266,'Dec'!$D$27:$AH$266,'Jan (next year)'!$D$27:$AH$266),27+4*(IFERROR(MATCH(C424,Roster!$B$6:$B$65,0),MATCH(C424,Roster!$C$6:$C$65,0))-1)+MATCH(B424,{"AM","PM","NIGHT","WD"},0)-1-27+1,DAY(A424))&amp;"",""))</f>
        <v/>
      </c>
      <c r="G424" s="123">
        <f>IF(OR(A424="",C424="",B424="",E424=""),"",IFERROR(A424&amp;"|"&amp;(27+4*(IFERROR(MATCH(C424,Roster!$B$6:$B$65,0),MATCH(C424,Roster!$C$6:$C$65,0))-1)+MATCH(B424,{"AM","PM","NIGHT","WD"},0)-1),""))</f>
        <v/>
      </c>
    </row>
    <row r="425">
      <c r="A425" s="122" t="n"/>
      <c r="B425" s="107" t="n"/>
      <c r="C425" s="105" t="n"/>
      <c r="D425" s="92">
        <f>IF(C425="","",IFERROR(INDEX(Roster!$C$6:$C$65,IFERROR(MATCH(C425,Roster!$B$6:$B$65,0),MATCH(C425,Roster!$C$6:$C$65,0))),"not on the Roster"))</f>
        <v/>
      </c>
      <c r="E425" s="106" t="n"/>
      <c r="F425" s="104">
        <f>IF(OR(A425="",C425="",B425=""),"",IFERROR(INDEX(CHOOSE(IF(YEAR(A425)&gt;PlanYear,13,MONTH(A425)),'Jan'!$D$27:$AH$266,'Feb'!$D$27:$AH$266,'Mar'!$D$27:$AH$266,'Apr'!$D$27:$AH$266,'May'!$D$27:$AH$266,'Jun'!$D$27:$AH$266,'Jul'!$D$27:$AH$266,'Aug'!$D$27:$AH$266,'Sep'!$D$27:$AH$266,'Oct'!$D$27:$AH$266,'Nov'!$D$27:$AH$266,'Dec'!$D$27:$AH$266,'Jan (next year)'!$D$27:$AH$266),27+4*(IFERROR(MATCH(C425,Roster!$B$6:$B$65,0),MATCH(C425,Roster!$C$6:$C$65,0))-1)+MATCH(B425,{"AM","PM","NIGHT","WD"},0)-1-27+1,DAY(A425))&amp;"",""))</f>
        <v/>
      </c>
      <c r="G425" s="123">
        <f>IF(OR(A425="",C425="",B425="",E425=""),"",IFERROR(A425&amp;"|"&amp;(27+4*(IFERROR(MATCH(C425,Roster!$B$6:$B$65,0),MATCH(C425,Roster!$C$6:$C$65,0))-1)+MATCH(B425,{"AM","PM","NIGHT","WD"},0)-1),""))</f>
        <v/>
      </c>
    </row>
    <row r="426">
      <c r="A426" s="122" t="n"/>
      <c r="B426" s="107" t="n"/>
      <c r="C426" s="105" t="n"/>
      <c r="D426" s="92">
        <f>IF(C426="","",IFERROR(INDEX(Roster!$C$6:$C$65,IFERROR(MATCH(C426,Roster!$B$6:$B$65,0),MATCH(C426,Roster!$C$6:$C$65,0))),"not on the Roster"))</f>
        <v/>
      </c>
      <c r="E426" s="106" t="n"/>
      <c r="F426" s="104">
        <f>IF(OR(A426="",C426="",B426=""),"",IFERROR(INDEX(CHOOSE(IF(YEAR(A426)&gt;PlanYear,13,MONTH(A426)),'Jan'!$D$27:$AH$266,'Feb'!$D$27:$AH$266,'Mar'!$D$27:$AH$266,'Apr'!$D$27:$AH$266,'May'!$D$27:$AH$266,'Jun'!$D$27:$AH$266,'Jul'!$D$27:$AH$266,'Aug'!$D$27:$AH$266,'Sep'!$D$27:$AH$266,'Oct'!$D$27:$AH$266,'Nov'!$D$27:$AH$266,'Dec'!$D$27:$AH$266,'Jan (next year)'!$D$27:$AH$266),27+4*(IFERROR(MATCH(C426,Roster!$B$6:$B$65,0),MATCH(C426,Roster!$C$6:$C$65,0))-1)+MATCH(B426,{"AM","PM","NIGHT","WD"},0)-1-27+1,DAY(A426))&amp;"",""))</f>
        <v/>
      </c>
      <c r="G426" s="123">
        <f>IF(OR(A426="",C426="",B426="",E426=""),"",IFERROR(A426&amp;"|"&amp;(27+4*(IFERROR(MATCH(C426,Roster!$B$6:$B$65,0),MATCH(C426,Roster!$C$6:$C$65,0))-1)+MATCH(B426,{"AM","PM","NIGHT","WD"},0)-1),""))</f>
        <v/>
      </c>
    </row>
    <row r="427">
      <c r="A427" s="122" t="n"/>
      <c r="B427" s="107" t="n"/>
      <c r="C427" s="105" t="n"/>
      <c r="D427" s="92">
        <f>IF(C427="","",IFERROR(INDEX(Roster!$C$6:$C$65,IFERROR(MATCH(C427,Roster!$B$6:$B$65,0),MATCH(C427,Roster!$C$6:$C$65,0))),"not on the Roster"))</f>
        <v/>
      </c>
      <c r="E427" s="106" t="n"/>
      <c r="F427" s="104">
        <f>IF(OR(A427="",C427="",B427=""),"",IFERROR(INDEX(CHOOSE(IF(YEAR(A427)&gt;PlanYear,13,MONTH(A427)),'Jan'!$D$27:$AH$266,'Feb'!$D$27:$AH$266,'Mar'!$D$27:$AH$266,'Apr'!$D$27:$AH$266,'May'!$D$27:$AH$266,'Jun'!$D$27:$AH$266,'Jul'!$D$27:$AH$266,'Aug'!$D$27:$AH$266,'Sep'!$D$27:$AH$266,'Oct'!$D$27:$AH$266,'Nov'!$D$27:$AH$266,'Dec'!$D$27:$AH$266,'Jan (next year)'!$D$27:$AH$266),27+4*(IFERROR(MATCH(C427,Roster!$B$6:$B$65,0),MATCH(C427,Roster!$C$6:$C$65,0))-1)+MATCH(B427,{"AM","PM","NIGHT","WD"},0)-1-27+1,DAY(A427))&amp;"",""))</f>
        <v/>
      </c>
      <c r="G427" s="123">
        <f>IF(OR(A427="",C427="",B427="",E427=""),"",IFERROR(A427&amp;"|"&amp;(27+4*(IFERROR(MATCH(C427,Roster!$B$6:$B$65,0),MATCH(C427,Roster!$C$6:$C$65,0))-1)+MATCH(B427,{"AM","PM","NIGHT","WD"},0)-1),""))</f>
        <v/>
      </c>
    </row>
    <row r="428">
      <c r="A428" s="122" t="n"/>
      <c r="B428" s="107" t="n"/>
      <c r="C428" s="105" t="n"/>
      <c r="D428" s="92">
        <f>IF(C428="","",IFERROR(INDEX(Roster!$C$6:$C$65,IFERROR(MATCH(C428,Roster!$B$6:$B$65,0),MATCH(C428,Roster!$C$6:$C$65,0))),"not on the Roster"))</f>
        <v/>
      </c>
      <c r="E428" s="106" t="n"/>
      <c r="F428" s="104">
        <f>IF(OR(A428="",C428="",B428=""),"",IFERROR(INDEX(CHOOSE(IF(YEAR(A428)&gt;PlanYear,13,MONTH(A428)),'Jan'!$D$27:$AH$266,'Feb'!$D$27:$AH$266,'Mar'!$D$27:$AH$266,'Apr'!$D$27:$AH$266,'May'!$D$27:$AH$266,'Jun'!$D$27:$AH$266,'Jul'!$D$27:$AH$266,'Aug'!$D$27:$AH$266,'Sep'!$D$27:$AH$266,'Oct'!$D$27:$AH$266,'Nov'!$D$27:$AH$266,'Dec'!$D$27:$AH$266,'Jan (next year)'!$D$27:$AH$266),27+4*(IFERROR(MATCH(C428,Roster!$B$6:$B$65,0),MATCH(C428,Roster!$C$6:$C$65,0))-1)+MATCH(B428,{"AM","PM","NIGHT","WD"},0)-1-27+1,DAY(A428))&amp;"",""))</f>
        <v/>
      </c>
      <c r="G428" s="123">
        <f>IF(OR(A428="",C428="",B428="",E428=""),"",IFERROR(A428&amp;"|"&amp;(27+4*(IFERROR(MATCH(C428,Roster!$B$6:$B$65,0),MATCH(C428,Roster!$C$6:$C$65,0))-1)+MATCH(B428,{"AM","PM","NIGHT","WD"},0)-1),""))</f>
        <v/>
      </c>
    </row>
    <row r="429">
      <c r="A429" s="122" t="n"/>
      <c r="B429" s="107" t="n"/>
      <c r="C429" s="105" t="n"/>
      <c r="D429" s="92">
        <f>IF(C429="","",IFERROR(INDEX(Roster!$C$6:$C$65,IFERROR(MATCH(C429,Roster!$B$6:$B$65,0),MATCH(C429,Roster!$C$6:$C$65,0))),"not on the Roster"))</f>
        <v/>
      </c>
      <c r="E429" s="106" t="n"/>
      <c r="F429" s="104">
        <f>IF(OR(A429="",C429="",B429=""),"",IFERROR(INDEX(CHOOSE(IF(YEAR(A429)&gt;PlanYear,13,MONTH(A429)),'Jan'!$D$27:$AH$266,'Feb'!$D$27:$AH$266,'Mar'!$D$27:$AH$266,'Apr'!$D$27:$AH$266,'May'!$D$27:$AH$266,'Jun'!$D$27:$AH$266,'Jul'!$D$27:$AH$266,'Aug'!$D$27:$AH$266,'Sep'!$D$27:$AH$266,'Oct'!$D$27:$AH$266,'Nov'!$D$27:$AH$266,'Dec'!$D$27:$AH$266,'Jan (next year)'!$D$27:$AH$266),27+4*(IFERROR(MATCH(C429,Roster!$B$6:$B$65,0),MATCH(C429,Roster!$C$6:$C$65,0))-1)+MATCH(B429,{"AM","PM","NIGHT","WD"},0)-1-27+1,DAY(A429))&amp;"",""))</f>
        <v/>
      </c>
      <c r="G429" s="123">
        <f>IF(OR(A429="",C429="",B429="",E429=""),"",IFERROR(A429&amp;"|"&amp;(27+4*(IFERROR(MATCH(C429,Roster!$B$6:$B$65,0),MATCH(C429,Roster!$C$6:$C$65,0))-1)+MATCH(B429,{"AM","PM","NIGHT","WD"},0)-1),""))</f>
        <v/>
      </c>
    </row>
    <row r="430">
      <c r="A430" s="122" t="n"/>
      <c r="B430" s="107" t="n"/>
      <c r="C430" s="105" t="n"/>
      <c r="D430" s="92">
        <f>IF(C430="","",IFERROR(INDEX(Roster!$C$6:$C$65,IFERROR(MATCH(C430,Roster!$B$6:$B$65,0),MATCH(C430,Roster!$C$6:$C$65,0))),"not on the Roster"))</f>
        <v/>
      </c>
      <c r="E430" s="106" t="n"/>
      <c r="F430" s="104">
        <f>IF(OR(A430="",C430="",B430=""),"",IFERROR(INDEX(CHOOSE(IF(YEAR(A430)&gt;PlanYear,13,MONTH(A430)),'Jan'!$D$27:$AH$266,'Feb'!$D$27:$AH$266,'Mar'!$D$27:$AH$266,'Apr'!$D$27:$AH$266,'May'!$D$27:$AH$266,'Jun'!$D$27:$AH$266,'Jul'!$D$27:$AH$266,'Aug'!$D$27:$AH$266,'Sep'!$D$27:$AH$266,'Oct'!$D$27:$AH$266,'Nov'!$D$27:$AH$266,'Dec'!$D$27:$AH$266,'Jan (next year)'!$D$27:$AH$266),27+4*(IFERROR(MATCH(C430,Roster!$B$6:$B$65,0),MATCH(C430,Roster!$C$6:$C$65,0))-1)+MATCH(B430,{"AM","PM","NIGHT","WD"},0)-1-27+1,DAY(A430))&amp;"",""))</f>
        <v/>
      </c>
      <c r="G430" s="123">
        <f>IF(OR(A430="",C430="",B430="",E430=""),"",IFERROR(A430&amp;"|"&amp;(27+4*(IFERROR(MATCH(C430,Roster!$B$6:$B$65,0),MATCH(C430,Roster!$C$6:$C$65,0))-1)+MATCH(B430,{"AM","PM","NIGHT","WD"},0)-1),""))</f>
        <v/>
      </c>
    </row>
    <row r="431">
      <c r="A431" s="122" t="n"/>
      <c r="B431" s="107" t="n"/>
      <c r="C431" s="105" t="n"/>
      <c r="D431" s="92">
        <f>IF(C431="","",IFERROR(INDEX(Roster!$C$6:$C$65,IFERROR(MATCH(C431,Roster!$B$6:$B$65,0),MATCH(C431,Roster!$C$6:$C$65,0))),"not on the Roster"))</f>
        <v/>
      </c>
      <c r="E431" s="106" t="n"/>
      <c r="F431" s="104">
        <f>IF(OR(A431="",C431="",B431=""),"",IFERROR(INDEX(CHOOSE(IF(YEAR(A431)&gt;PlanYear,13,MONTH(A431)),'Jan'!$D$27:$AH$266,'Feb'!$D$27:$AH$266,'Mar'!$D$27:$AH$266,'Apr'!$D$27:$AH$266,'May'!$D$27:$AH$266,'Jun'!$D$27:$AH$266,'Jul'!$D$27:$AH$266,'Aug'!$D$27:$AH$266,'Sep'!$D$27:$AH$266,'Oct'!$D$27:$AH$266,'Nov'!$D$27:$AH$266,'Dec'!$D$27:$AH$266,'Jan (next year)'!$D$27:$AH$266),27+4*(IFERROR(MATCH(C431,Roster!$B$6:$B$65,0),MATCH(C431,Roster!$C$6:$C$65,0))-1)+MATCH(B431,{"AM","PM","NIGHT","WD"},0)-1-27+1,DAY(A431))&amp;"",""))</f>
        <v/>
      </c>
      <c r="G431" s="123">
        <f>IF(OR(A431="",C431="",B431="",E431=""),"",IFERROR(A431&amp;"|"&amp;(27+4*(IFERROR(MATCH(C431,Roster!$B$6:$B$65,0),MATCH(C431,Roster!$C$6:$C$65,0))-1)+MATCH(B431,{"AM","PM","NIGHT","WD"},0)-1),""))</f>
        <v/>
      </c>
    </row>
    <row r="432">
      <c r="A432" s="122" t="n"/>
      <c r="B432" s="107" t="n"/>
      <c r="C432" s="105" t="n"/>
      <c r="D432" s="92">
        <f>IF(C432="","",IFERROR(INDEX(Roster!$C$6:$C$65,IFERROR(MATCH(C432,Roster!$B$6:$B$65,0),MATCH(C432,Roster!$C$6:$C$65,0))),"not on the Roster"))</f>
        <v/>
      </c>
      <c r="E432" s="106" t="n"/>
      <c r="F432" s="104">
        <f>IF(OR(A432="",C432="",B432=""),"",IFERROR(INDEX(CHOOSE(IF(YEAR(A432)&gt;PlanYear,13,MONTH(A432)),'Jan'!$D$27:$AH$266,'Feb'!$D$27:$AH$266,'Mar'!$D$27:$AH$266,'Apr'!$D$27:$AH$266,'May'!$D$27:$AH$266,'Jun'!$D$27:$AH$266,'Jul'!$D$27:$AH$266,'Aug'!$D$27:$AH$266,'Sep'!$D$27:$AH$266,'Oct'!$D$27:$AH$266,'Nov'!$D$27:$AH$266,'Dec'!$D$27:$AH$266,'Jan (next year)'!$D$27:$AH$266),27+4*(IFERROR(MATCH(C432,Roster!$B$6:$B$65,0),MATCH(C432,Roster!$C$6:$C$65,0))-1)+MATCH(B432,{"AM","PM","NIGHT","WD"},0)-1-27+1,DAY(A432))&amp;"",""))</f>
        <v/>
      </c>
      <c r="G432" s="123">
        <f>IF(OR(A432="",C432="",B432="",E432=""),"",IFERROR(A432&amp;"|"&amp;(27+4*(IFERROR(MATCH(C432,Roster!$B$6:$B$65,0),MATCH(C432,Roster!$C$6:$C$65,0))-1)+MATCH(B432,{"AM","PM","NIGHT","WD"},0)-1),""))</f>
        <v/>
      </c>
    </row>
    <row r="433">
      <c r="A433" s="122" t="n"/>
      <c r="B433" s="107" t="n"/>
      <c r="C433" s="105" t="n"/>
      <c r="D433" s="92">
        <f>IF(C433="","",IFERROR(INDEX(Roster!$C$6:$C$65,IFERROR(MATCH(C433,Roster!$B$6:$B$65,0),MATCH(C433,Roster!$C$6:$C$65,0))),"not on the Roster"))</f>
        <v/>
      </c>
      <c r="E433" s="106" t="n"/>
      <c r="F433" s="104">
        <f>IF(OR(A433="",C433="",B433=""),"",IFERROR(INDEX(CHOOSE(IF(YEAR(A433)&gt;PlanYear,13,MONTH(A433)),'Jan'!$D$27:$AH$266,'Feb'!$D$27:$AH$266,'Mar'!$D$27:$AH$266,'Apr'!$D$27:$AH$266,'May'!$D$27:$AH$266,'Jun'!$D$27:$AH$266,'Jul'!$D$27:$AH$266,'Aug'!$D$27:$AH$266,'Sep'!$D$27:$AH$266,'Oct'!$D$27:$AH$266,'Nov'!$D$27:$AH$266,'Dec'!$D$27:$AH$266,'Jan (next year)'!$D$27:$AH$266),27+4*(IFERROR(MATCH(C433,Roster!$B$6:$B$65,0),MATCH(C433,Roster!$C$6:$C$65,0))-1)+MATCH(B433,{"AM","PM","NIGHT","WD"},0)-1-27+1,DAY(A433))&amp;"",""))</f>
        <v/>
      </c>
      <c r="G433" s="123">
        <f>IF(OR(A433="",C433="",B433="",E433=""),"",IFERROR(A433&amp;"|"&amp;(27+4*(IFERROR(MATCH(C433,Roster!$B$6:$B$65,0),MATCH(C433,Roster!$C$6:$C$65,0))-1)+MATCH(B433,{"AM","PM","NIGHT","WD"},0)-1),""))</f>
        <v/>
      </c>
    </row>
    <row r="434">
      <c r="A434" s="122" t="n"/>
      <c r="B434" s="107" t="n"/>
      <c r="C434" s="105" t="n"/>
      <c r="D434" s="92">
        <f>IF(C434="","",IFERROR(INDEX(Roster!$C$6:$C$65,IFERROR(MATCH(C434,Roster!$B$6:$B$65,0),MATCH(C434,Roster!$C$6:$C$65,0))),"not on the Roster"))</f>
        <v/>
      </c>
      <c r="E434" s="106" t="n"/>
      <c r="F434" s="104">
        <f>IF(OR(A434="",C434="",B434=""),"",IFERROR(INDEX(CHOOSE(IF(YEAR(A434)&gt;PlanYear,13,MONTH(A434)),'Jan'!$D$27:$AH$266,'Feb'!$D$27:$AH$266,'Mar'!$D$27:$AH$266,'Apr'!$D$27:$AH$266,'May'!$D$27:$AH$266,'Jun'!$D$27:$AH$266,'Jul'!$D$27:$AH$266,'Aug'!$D$27:$AH$266,'Sep'!$D$27:$AH$266,'Oct'!$D$27:$AH$266,'Nov'!$D$27:$AH$266,'Dec'!$D$27:$AH$266,'Jan (next year)'!$D$27:$AH$266),27+4*(IFERROR(MATCH(C434,Roster!$B$6:$B$65,0),MATCH(C434,Roster!$C$6:$C$65,0))-1)+MATCH(B434,{"AM","PM","NIGHT","WD"},0)-1-27+1,DAY(A434))&amp;"",""))</f>
        <v/>
      </c>
      <c r="G434" s="123">
        <f>IF(OR(A434="",C434="",B434="",E434=""),"",IFERROR(A434&amp;"|"&amp;(27+4*(IFERROR(MATCH(C434,Roster!$B$6:$B$65,0),MATCH(C434,Roster!$C$6:$C$65,0))-1)+MATCH(B434,{"AM","PM","NIGHT","WD"},0)-1),""))</f>
        <v/>
      </c>
    </row>
    <row r="435">
      <c r="A435" s="122" t="n"/>
      <c r="B435" s="107" t="n"/>
      <c r="C435" s="105" t="n"/>
      <c r="D435" s="92">
        <f>IF(C435="","",IFERROR(INDEX(Roster!$C$6:$C$65,IFERROR(MATCH(C435,Roster!$B$6:$B$65,0),MATCH(C435,Roster!$C$6:$C$65,0))),"not on the Roster"))</f>
        <v/>
      </c>
      <c r="E435" s="106" t="n"/>
      <c r="F435" s="104">
        <f>IF(OR(A435="",C435="",B435=""),"",IFERROR(INDEX(CHOOSE(IF(YEAR(A435)&gt;PlanYear,13,MONTH(A435)),'Jan'!$D$27:$AH$266,'Feb'!$D$27:$AH$266,'Mar'!$D$27:$AH$266,'Apr'!$D$27:$AH$266,'May'!$D$27:$AH$266,'Jun'!$D$27:$AH$266,'Jul'!$D$27:$AH$266,'Aug'!$D$27:$AH$266,'Sep'!$D$27:$AH$266,'Oct'!$D$27:$AH$266,'Nov'!$D$27:$AH$266,'Dec'!$D$27:$AH$266,'Jan (next year)'!$D$27:$AH$266),27+4*(IFERROR(MATCH(C435,Roster!$B$6:$B$65,0),MATCH(C435,Roster!$C$6:$C$65,0))-1)+MATCH(B435,{"AM","PM","NIGHT","WD"},0)-1-27+1,DAY(A435))&amp;"",""))</f>
        <v/>
      </c>
      <c r="G435" s="123">
        <f>IF(OR(A435="",C435="",B435="",E435=""),"",IFERROR(A435&amp;"|"&amp;(27+4*(IFERROR(MATCH(C435,Roster!$B$6:$B$65,0),MATCH(C435,Roster!$C$6:$C$65,0))-1)+MATCH(B435,{"AM","PM","NIGHT","WD"},0)-1),""))</f>
        <v/>
      </c>
    </row>
    <row r="436">
      <c r="A436" s="122" t="n"/>
      <c r="B436" s="107" t="n"/>
      <c r="C436" s="105" t="n"/>
      <c r="D436" s="92">
        <f>IF(C436="","",IFERROR(INDEX(Roster!$C$6:$C$65,IFERROR(MATCH(C436,Roster!$B$6:$B$65,0),MATCH(C436,Roster!$C$6:$C$65,0))),"not on the Roster"))</f>
        <v/>
      </c>
      <c r="E436" s="106" t="n"/>
      <c r="F436" s="104">
        <f>IF(OR(A436="",C436="",B436=""),"",IFERROR(INDEX(CHOOSE(IF(YEAR(A436)&gt;PlanYear,13,MONTH(A436)),'Jan'!$D$27:$AH$266,'Feb'!$D$27:$AH$266,'Mar'!$D$27:$AH$266,'Apr'!$D$27:$AH$266,'May'!$D$27:$AH$266,'Jun'!$D$27:$AH$266,'Jul'!$D$27:$AH$266,'Aug'!$D$27:$AH$266,'Sep'!$D$27:$AH$266,'Oct'!$D$27:$AH$266,'Nov'!$D$27:$AH$266,'Dec'!$D$27:$AH$266,'Jan (next year)'!$D$27:$AH$266),27+4*(IFERROR(MATCH(C436,Roster!$B$6:$B$65,0),MATCH(C436,Roster!$C$6:$C$65,0))-1)+MATCH(B436,{"AM","PM","NIGHT","WD"},0)-1-27+1,DAY(A436))&amp;"",""))</f>
        <v/>
      </c>
      <c r="G436" s="123">
        <f>IF(OR(A436="",C436="",B436="",E436=""),"",IFERROR(A436&amp;"|"&amp;(27+4*(IFERROR(MATCH(C436,Roster!$B$6:$B$65,0),MATCH(C436,Roster!$C$6:$C$65,0))-1)+MATCH(B436,{"AM","PM","NIGHT","WD"},0)-1),""))</f>
        <v/>
      </c>
    </row>
    <row r="437">
      <c r="A437" s="122" t="n"/>
      <c r="B437" s="107" t="n"/>
      <c r="C437" s="105" t="n"/>
      <c r="D437" s="92">
        <f>IF(C437="","",IFERROR(INDEX(Roster!$C$6:$C$65,IFERROR(MATCH(C437,Roster!$B$6:$B$65,0),MATCH(C437,Roster!$C$6:$C$65,0))),"not on the Roster"))</f>
        <v/>
      </c>
      <c r="E437" s="106" t="n"/>
      <c r="F437" s="104">
        <f>IF(OR(A437="",C437="",B437=""),"",IFERROR(INDEX(CHOOSE(IF(YEAR(A437)&gt;PlanYear,13,MONTH(A437)),'Jan'!$D$27:$AH$266,'Feb'!$D$27:$AH$266,'Mar'!$D$27:$AH$266,'Apr'!$D$27:$AH$266,'May'!$D$27:$AH$266,'Jun'!$D$27:$AH$266,'Jul'!$D$27:$AH$266,'Aug'!$D$27:$AH$266,'Sep'!$D$27:$AH$266,'Oct'!$D$27:$AH$266,'Nov'!$D$27:$AH$266,'Dec'!$D$27:$AH$266,'Jan (next year)'!$D$27:$AH$266),27+4*(IFERROR(MATCH(C437,Roster!$B$6:$B$65,0),MATCH(C437,Roster!$C$6:$C$65,0))-1)+MATCH(B437,{"AM","PM","NIGHT","WD"},0)-1-27+1,DAY(A437))&amp;"",""))</f>
        <v/>
      </c>
      <c r="G437" s="123">
        <f>IF(OR(A437="",C437="",B437="",E437=""),"",IFERROR(A437&amp;"|"&amp;(27+4*(IFERROR(MATCH(C437,Roster!$B$6:$B$65,0),MATCH(C437,Roster!$C$6:$C$65,0))-1)+MATCH(B437,{"AM","PM","NIGHT","WD"},0)-1),""))</f>
        <v/>
      </c>
    </row>
    <row r="438">
      <c r="A438" s="122" t="n"/>
      <c r="B438" s="107" t="n"/>
      <c r="C438" s="105" t="n"/>
      <c r="D438" s="92">
        <f>IF(C438="","",IFERROR(INDEX(Roster!$C$6:$C$65,IFERROR(MATCH(C438,Roster!$B$6:$B$65,0),MATCH(C438,Roster!$C$6:$C$65,0))),"not on the Roster"))</f>
        <v/>
      </c>
      <c r="E438" s="106" t="n"/>
      <c r="F438" s="104">
        <f>IF(OR(A438="",C438="",B438=""),"",IFERROR(INDEX(CHOOSE(IF(YEAR(A438)&gt;PlanYear,13,MONTH(A438)),'Jan'!$D$27:$AH$266,'Feb'!$D$27:$AH$266,'Mar'!$D$27:$AH$266,'Apr'!$D$27:$AH$266,'May'!$D$27:$AH$266,'Jun'!$D$27:$AH$266,'Jul'!$D$27:$AH$266,'Aug'!$D$27:$AH$266,'Sep'!$D$27:$AH$266,'Oct'!$D$27:$AH$266,'Nov'!$D$27:$AH$266,'Dec'!$D$27:$AH$266,'Jan (next year)'!$D$27:$AH$266),27+4*(IFERROR(MATCH(C438,Roster!$B$6:$B$65,0),MATCH(C438,Roster!$C$6:$C$65,0))-1)+MATCH(B438,{"AM","PM","NIGHT","WD"},0)-1-27+1,DAY(A438))&amp;"",""))</f>
        <v/>
      </c>
      <c r="G438" s="123">
        <f>IF(OR(A438="",C438="",B438="",E438=""),"",IFERROR(A438&amp;"|"&amp;(27+4*(IFERROR(MATCH(C438,Roster!$B$6:$B$65,0),MATCH(C438,Roster!$C$6:$C$65,0))-1)+MATCH(B438,{"AM","PM","NIGHT","WD"},0)-1),""))</f>
        <v/>
      </c>
    </row>
    <row r="439">
      <c r="A439" s="122" t="n"/>
      <c r="B439" s="107" t="n"/>
      <c r="C439" s="105" t="n"/>
      <c r="D439" s="92">
        <f>IF(C439="","",IFERROR(INDEX(Roster!$C$6:$C$65,IFERROR(MATCH(C439,Roster!$B$6:$B$65,0),MATCH(C439,Roster!$C$6:$C$65,0))),"not on the Roster"))</f>
        <v/>
      </c>
      <c r="E439" s="106" t="n"/>
      <c r="F439" s="104">
        <f>IF(OR(A439="",C439="",B439=""),"",IFERROR(INDEX(CHOOSE(IF(YEAR(A439)&gt;PlanYear,13,MONTH(A439)),'Jan'!$D$27:$AH$266,'Feb'!$D$27:$AH$266,'Mar'!$D$27:$AH$266,'Apr'!$D$27:$AH$266,'May'!$D$27:$AH$266,'Jun'!$D$27:$AH$266,'Jul'!$D$27:$AH$266,'Aug'!$D$27:$AH$266,'Sep'!$D$27:$AH$266,'Oct'!$D$27:$AH$266,'Nov'!$D$27:$AH$266,'Dec'!$D$27:$AH$266,'Jan (next year)'!$D$27:$AH$266),27+4*(IFERROR(MATCH(C439,Roster!$B$6:$B$65,0),MATCH(C439,Roster!$C$6:$C$65,0))-1)+MATCH(B439,{"AM","PM","NIGHT","WD"},0)-1-27+1,DAY(A439))&amp;"",""))</f>
        <v/>
      </c>
      <c r="G439" s="123">
        <f>IF(OR(A439="",C439="",B439="",E439=""),"",IFERROR(A439&amp;"|"&amp;(27+4*(IFERROR(MATCH(C439,Roster!$B$6:$B$65,0),MATCH(C439,Roster!$C$6:$C$65,0))-1)+MATCH(B439,{"AM","PM","NIGHT","WD"},0)-1),""))</f>
        <v/>
      </c>
    </row>
    <row r="440">
      <c r="A440" s="122" t="n"/>
      <c r="B440" s="107" t="n"/>
      <c r="C440" s="105" t="n"/>
      <c r="D440" s="92">
        <f>IF(C440="","",IFERROR(INDEX(Roster!$C$6:$C$65,IFERROR(MATCH(C440,Roster!$B$6:$B$65,0),MATCH(C440,Roster!$C$6:$C$65,0))),"not on the Roster"))</f>
        <v/>
      </c>
      <c r="E440" s="106" t="n"/>
      <c r="F440" s="104">
        <f>IF(OR(A440="",C440="",B440=""),"",IFERROR(INDEX(CHOOSE(IF(YEAR(A440)&gt;PlanYear,13,MONTH(A440)),'Jan'!$D$27:$AH$266,'Feb'!$D$27:$AH$266,'Mar'!$D$27:$AH$266,'Apr'!$D$27:$AH$266,'May'!$D$27:$AH$266,'Jun'!$D$27:$AH$266,'Jul'!$D$27:$AH$266,'Aug'!$D$27:$AH$266,'Sep'!$D$27:$AH$266,'Oct'!$D$27:$AH$266,'Nov'!$D$27:$AH$266,'Dec'!$D$27:$AH$266,'Jan (next year)'!$D$27:$AH$266),27+4*(IFERROR(MATCH(C440,Roster!$B$6:$B$65,0),MATCH(C440,Roster!$C$6:$C$65,0))-1)+MATCH(B440,{"AM","PM","NIGHT","WD"},0)-1-27+1,DAY(A440))&amp;"",""))</f>
        <v/>
      </c>
      <c r="G440" s="123">
        <f>IF(OR(A440="",C440="",B440="",E440=""),"",IFERROR(A440&amp;"|"&amp;(27+4*(IFERROR(MATCH(C440,Roster!$B$6:$B$65,0),MATCH(C440,Roster!$C$6:$C$65,0))-1)+MATCH(B440,{"AM","PM","NIGHT","WD"},0)-1),""))</f>
        <v/>
      </c>
    </row>
    <row r="441">
      <c r="A441" s="122" t="n"/>
      <c r="B441" s="107" t="n"/>
      <c r="C441" s="105" t="n"/>
      <c r="D441" s="92">
        <f>IF(C441="","",IFERROR(INDEX(Roster!$C$6:$C$65,IFERROR(MATCH(C441,Roster!$B$6:$B$65,0),MATCH(C441,Roster!$C$6:$C$65,0))),"not on the Roster"))</f>
        <v/>
      </c>
      <c r="E441" s="106" t="n"/>
      <c r="F441" s="104">
        <f>IF(OR(A441="",C441="",B441=""),"",IFERROR(INDEX(CHOOSE(IF(YEAR(A441)&gt;PlanYear,13,MONTH(A441)),'Jan'!$D$27:$AH$266,'Feb'!$D$27:$AH$266,'Mar'!$D$27:$AH$266,'Apr'!$D$27:$AH$266,'May'!$D$27:$AH$266,'Jun'!$D$27:$AH$266,'Jul'!$D$27:$AH$266,'Aug'!$D$27:$AH$266,'Sep'!$D$27:$AH$266,'Oct'!$D$27:$AH$266,'Nov'!$D$27:$AH$266,'Dec'!$D$27:$AH$266,'Jan (next year)'!$D$27:$AH$266),27+4*(IFERROR(MATCH(C441,Roster!$B$6:$B$65,0),MATCH(C441,Roster!$C$6:$C$65,0))-1)+MATCH(B441,{"AM","PM","NIGHT","WD"},0)-1-27+1,DAY(A441))&amp;"",""))</f>
        <v/>
      </c>
      <c r="G441" s="123">
        <f>IF(OR(A441="",C441="",B441="",E441=""),"",IFERROR(A441&amp;"|"&amp;(27+4*(IFERROR(MATCH(C441,Roster!$B$6:$B$65,0),MATCH(C441,Roster!$C$6:$C$65,0))-1)+MATCH(B441,{"AM","PM","NIGHT","WD"},0)-1),""))</f>
        <v/>
      </c>
    </row>
    <row r="442">
      <c r="A442" s="122" t="n"/>
      <c r="B442" s="107" t="n"/>
      <c r="C442" s="105" t="n"/>
      <c r="D442" s="92">
        <f>IF(C442="","",IFERROR(INDEX(Roster!$C$6:$C$65,IFERROR(MATCH(C442,Roster!$B$6:$B$65,0),MATCH(C442,Roster!$C$6:$C$65,0))),"not on the Roster"))</f>
        <v/>
      </c>
      <c r="E442" s="106" t="n"/>
      <c r="F442" s="104">
        <f>IF(OR(A442="",C442="",B442=""),"",IFERROR(INDEX(CHOOSE(IF(YEAR(A442)&gt;PlanYear,13,MONTH(A442)),'Jan'!$D$27:$AH$266,'Feb'!$D$27:$AH$266,'Mar'!$D$27:$AH$266,'Apr'!$D$27:$AH$266,'May'!$D$27:$AH$266,'Jun'!$D$27:$AH$266,'Jul'!$D$27:$AH$266,'Aug'!$D$27:$AH$266,'Sep'!$D$27:$AH$266,'Oct'!$D$27:$AH$266,'Nov'!$D$27:$AH$266,'Dec'!$D$27:$AH$266,'Jan (next year)'!$D$27:$AH$266),27+4*(IFERROR(MATCH(C442,Roster!$B$6:$B$65,0),MATCH(C442,Roster!$C$6:$C$65,0))-1)+MATCH(B442,{"AM","PM","NIGHT","WD"},0)-1-27+1,DAY(A442))&amp;"",""))</f>
        <v/>
      </c>
      <c r="G442" s="123">
        <f>IF(OR(A442="",C442="",B442="",E442=""),"",IFERROR(A442&amp;"|"&amp;(27+4*(IFERROR(MATCH(C442,Roster!$B$6:$B$65,0),MATCH(C442,Roster!$C$6:$C$65,0))-1)+MATCH(B442,{"AM","PM","NIGHT","WD"},0)-1),""))</f>
        <v/>
      </c>
    </row>
    <row r="443">
      <c r="A443" s="122" t="n"/>
      <c r="B443" s="107" t="n"/>
      <c r="C443" s="105" t="n"/>
      <c r="D443" s="92">
        <f>IF(C443="","",IFERROR(INDEX(Roster!$C$6:$C$65,IFERROR(MATCH(C443,Roster!$B$6:$B$65,0),MATCH(C443,Roster!$C$6:$C$65,0))),"not on the Roster"))</f>
        <v/>
      </c>
      <c r="E443" s="106" t="n"/>
      <c r="F443" s="104">
        <f>IF(OR(A443="",C443="",B443=""),"",IFERROR(INDEX(CHOOSE(IF(YEAR(A443)&gt;PlanYear,13,MONTH(A443)),'Jan'!$D$27:$AH$266,'Feb'!$D$27:$AH$266,'Mar'!$D$27:$AH$266,'Apr'!$D$27:$AH$266,'May'!$D$27:$AH$266,'Jun'!$D$27:$AH$266,'Jul'!$D$27:$AH$266,'Aug'!$D$27:$AH$266,'Sep'!$D$27:$AH$266,'Oct'!$D$27:$AH$266,'Nov'!$D$27:$AH$266,'Dec'!$D$27:$AH$266,'Jan (next year)'!$D$27:$AH$266),27+4*(IFERROR(MATCH(C443,Roster!$B$6:$B$65,0),MATCH(C443,Roster!$C$6:$C$65,0))-1)+MATCH(B443,{"AM","PM","NIGHT","WD"},0)-1-27+1,DAY(A443))&amp;"",""))</f>
        <v/>
      </c>
      <c r="G443" s="123">
        <f>IF(OR(A443="",C443="",B443="",E443=""),"",IFERROR(A443&amp;"|"&amp;(27+4*(IFERROR(MATCH(C443,Roster!$B$6:$B$65,0),MATCH(C443,Roster!$C$6:$C$65,0))-1)+MATCH(B443,{"AM","PM","NIGHT","WD"},0)-1),""))</f>
        <v/>
      </c>
    </row>
    <row r="444">
      <c r="A444" s="122" t="n"/>
      <c r="B444" s="107" t="n"/>
      <c r="C444" s="105" t="n"/>
      <c r="D444" s="92">
        <f>IF(C444="","",IFERROR(INDEX(Roster!$C$6:$C$65,IFERROR(MATCH(C444,Roster!$B$6:$B$65,0),MATCH(C444,Roster!$C$6:$C$65,0))),"not on the Roster"))</f>
        <v/>
      </c>
      <c r="E444" s="106" t="n"/>
      <c r="F444" s="104">
        <f>IF(OR(A444="",C444="",B444=""),"",IFERROR(INDEX(CHOOSE(IF(YEAR(A444)&gt;PlanYear,13,MONTH(A444)),'Jan'!$D$27:$AH$266,'Feb'!$D$27:$AH$266,'Mar'!$D$27:$AH$266,'Apr'!$D$27:$AH$266,'May'!$D$27:$AH$266,'Jun'!$D$27:$AH$266,'Jul'!$D$27:$AH$266,'Aug'!$D$27:$AH$266,'Sep'!$D$27:$AH$266,'Oct'!$D$27:$AH$266,'Nov'!$D$27:$AH$266,'Dec'!$D$27:$AH$266,'Jan (next year)'!$D$27:$AH$266),27+4*(IFERROR(MATCH(C444,Roster!$B$6:$B$65,0),MATCH(C444,Roster!$C$6:$C$65,0))-1)+MATCH(B444,{"AM","PM","NIGHT","WD"},0)-1-27+1,DAY(A444))&amp;"",""))</f>
        <v/>
      </c>
      <c r="G444" s="123">
        <f>IF(OR(A444="",C444="",B444="",E444=""),"",IFERROR(A444&amp;"|"&amp;(27+4*(IFERROR(MATCH(C444,Roster!$B$6:$B$65,0),MATCH(C444,Roster!$C$6:$C$65,0))-1)+MATCH(B444,{"AM","PM","NIGHT","WD"},0)-1),""))</f>
        <v/>
      </c>
    </row>
    <row r="445">
      <c r="A445" s="122" t="n"/>
      <c r="B445" s="107" t="n"/>
      <c r="C445" s="105" t="n"/>
      <c r="D445" s="92">
        <f>IF(C445="","",IFERROR(INDEX(Roster!$C$6:$C$65,IFERROR(MATCH(C445,Roster!$B$6:$B$65,0),MATCH(C445,Roster!$C$6:$C$65,0))),"not on the Roster"))</f>
        <v/>
      </c>
      <c r="E445" s="106" t="n"/>
      <c r="F445" s="104">
        <f>IF(OR(A445="",C445="",B445=""),"",IFERROR(INDEX(CHOOSE(IF(YEAR(A445)&gt;PlanYear,13,MONTH(A445)),'Jan'!$D$27:$AH$266,'Feb'!$D$27:$AH$266,'Mar'!$D$27:$AH$266,'Apr'!$D$27:$AH$266,'May'!$D$27:$AH$266,'Jun'!$D$27:$AH$266,'Jul'!$D$27:$AH$266,'Aug'!$D$27:$AH$266,'Sep'!$D$27:$AH$266,'Oct'!$D$27:$AH$266,'Nov'!$D$27:$AH$266,'Dec'!$D$27:$AH$266,'Jan (next year)'!$D$27:$AH$266),27+4*(IFERROR(MATCH(C445,Roster!$B$6:$B$65,0),MATCH(C445,Roster!$C$6:$C$65,0))-1)+MATCH(B445,{"AM","PM","NIGHT","WD"},0)-1-27+1,DAY(A445))&amp;"",""))</f>
        <v/>
      </c>
      <c r="G445" s="123">
        <f>IF(OR(A445="",C445="",B445="",E445=""),"",IFERROR(A445&amp;"|"&amp;(27+4*(IFERROR(MATCH(C445,Roster!$B$6:$B$65,0),MATCH(C445,Roster!$C$6:$C$65,0))-1)+MATCH(B445,{"AM","PM","NIGHT","WD"},0)-1),""))</f>
        <v/>
      </c>
    </row>
    <row r="446">
      <c r="A446" s="122" t="n"/>
      <c r="B446" s="107" t="n"/>
      <c r="C446" s="105" t="n"/>
      <c r="D446" s="92">
        <f>IF(C446="","",IFERROR(INDEX(Roster!$C$6:$C$65,IFERROR(MATCH(C446,Roster!$B$6:$B$65,0),MATCH(C446,Roster!$C$6:$C$65,0))),"not on the Roster"))</f>
        <v/>
      </c>
      <c r="E446" s="106" t="n"/>
      <c r="F446" s="104">
        <f>IF(OR(A446="",C446="",B446=""),"",IFERROR(INDEX(CHOOSE(IF(YEAR(A446)&gt;PlanYear,13,MONTH(A446)),'Jan'!$D$27:$AH$266,'Feb'!$D$27:$AH$266,'Mar'!$D$27:$AH$266,'Apr'!$D$27:$AH$266,'May'!$D$27:$AH$266,'Jun'!$D$27:$AH$266,'Jul'!$D$27:$AH$266,'Aug'!$D$27:$AH$266,'Sep'!$D$27:$AH$266,'Oct'!$D$27:$AH$266,'Nov'!$D$27:$AH$266,'Dec'!$D$27:$AH$266,'Jan (next year)'!$D$27:$AH$266),27+4*(IFERROR(MATCH(C446,Roster!$B$6:$B$65,0),MATCH(C446,Roster!$C$6:$C$65,0))-1)+MATCH(B446,{"AM","PM","NIGHT","WD"},0)-1-27+1,DAY(A446))&amp;"",""))</f>
        <v/>
      </c>
      <c r="G446" s="123">
        <f>IF(OR(A446="",C446="",B446="",E446=""),"",IFERROR(A446&amp;"|"&amp;(27+4*(IFERROR(MATCH(C446,Roster!$B$6:$B$65,0),MATCH(C446,Roster!$C$6:$C$65,0))-1)+MATCH(B446,{"AM","PM","NIGHT","WD"},0)-1),""))</f>
        <v/>
      </c>
    </row>
    <row r="447">
      <c r="A447" s="122" t="n"/>
      <c r="B447" s="107" t="n"/>
      <c r="C447" s="105" t="n"/>
      <c r="D447" s="92">
        <f>IF(C447="","",IFERROR(INDEX(Roster!$C$6:$C$65,IFERROR(MATCH(C447,Roster!$B$6:$B$65,0),MATCH(C447,Roster!$C$6:$C$65,0))),"not on the Roster"))</f>
        <v/>
      </c>
      <c r="E447" s="106" t="n"/>
      <c r="F447" s="104">
        <f>IF(OR(A447="",C447="",B447=""),"",IFERROR(INDEX(CHOOSE(IF(YEAR(A447)&gt;PlanYear,13,MONTH(A447)),'Jan'!$D$27:$AH$266,'Feb'!$D$27:$AH$266,'Mar'!$D$27:$AH$266,'Apr'!$D$27:$AH$266,'May'!$D$27:$AH$266,'Jun'!$D$27:$AH$266,'Jul'!$D$27:$AH$266,'Aug'!$D$27:$AH$266,'Sep'!$D$27:$AH$266,'Oct'!$D$27:$AH$266,'Nov'!$D$27:$AH$266,'Dec'!$D$27:$AH$266,'Jan (next year)'!$D$27:$AH$266),27+4*(IFERROR(MATCH(C447,Roster!$B$6:$B$65,0),MATCH(C447,Roster!$C$6:$C$65,0))-1)+MATCH(B447,{"AM","PM","NIGHT","WD"},0)-1-27+1,DAY(A447))&amp;"",""))</f>
        <v/>
      </c>
      <c r="G447" s="123">
        <f>IF(OR(A447="",C447="",B447="",E447=""),"",IFERROR(A447&amp;"|"&amp;(27+4*(IFERROR(MATCH(C447,Roster!$B$6:$B$65,0),MATCH(C447,Roster!$C$6:$C$65,0))-1)+MATCH(B447,{"AM","PM","NIGHT","WD"},0)-1),""))</f>
        <v/>
      </c>
    </row>
    <row r="448">
      <c r="A448" s="122" t="n"/>
      <c r="B448" s="107" t="n"/>
      <c r="C448" s="105" t="n"/>
      <c r="D448" s="92">
        <f>IF(C448="","",IFERROR(INDEX(Roster!$C$6:$C$65,IFERROR(MATCH(C448,Roster!$B$6:$B$65,0),MATCH(C448,Roster!$C$6:$C$65,0))),"not on the Roster"))</f>
        <v/>
      </c>
      <c r="E448" s="106" t="n"/>
      <c r="F448" s="104">
        <f>IF(OR(A448="",C448="",B448=""),"",IFERROR(INDEX(CHOOSE(IF(YEAR(A448)&gt;PlanYear,13,MONTH(A448)),'Jan'!$D$27:$AH$266,'Feb'!$D$27:$AH$266,'Mar'!$D$27:$AH$266,'Apr'!$D$27:$AH$266,'May'!$D$27:$AH$266,'Jun'!$D$27:$AH$266,'Jul'!$D$27:$AH$266,'Aug'!$D$27:$AH$266,'Sep'!$D$27:$AH$266,'Oct'!$D$27:$AH$266,'Nov'!$D$27:$AH$266,'Dec'!$D$27:$AH$266,'Jan (next year)'!$D$27:$AH$266),27+4*(IFERROR(MATCH(C448,Roster!$B$6:$B$65,0),MATCH(C448,Roster!$C$6:$C$65,0))-1)+MATCH(B448,{"AM","PM","NIGHT","WD"},0)-1-27+1,DAY(A448))&amp;"",""))</f>
        <v/>
      </c>
      <c r="G448" s="123">
        <f>IF(OR(A448="",C448="",B448="",E448=""),"",IFERROR(A448&amp;"|"&amp;(27+4*(IFERROR(MATCH(C448,Roster!$B$6:$B$65,0),MATCH(C448,Roster!$C$6:$C$65,0))-1)+MATCH(B448,{"AM","PM","NIGHT","WD"},0)-1),""))</f>
        <v/>
      </c>
    </row>
    <row r="449">
      <c r="A449" s="122" t="n"/>
      <c r="B449" s="107" t="n"/>
      <c r="C449" s="105" t="n"/>
      <c r="D449" s="92">
        <f>IF(C449="","",IFERROR(INDEX(Roster!$C$6:$C$65,IFERROR(MATCH(C449,Roster!$B$6:$B$65,0),MATCH(C449,Roster!$C$6:$C$65,0))),"not on the Roster"))</f>
        <v/>
      </c>
      <c r="E449" s="106" t="n"/>
      <c r="F449" s="104">
        <f>IF(OR(A449="",C449="",B449=""),"",IFERROR(INDEX(CHOOSE(IF(YEAR(A449)&gt;PlanYear,13,MONTH(A449)),'Jan'!$D$27:$AH$266,'Feb'!$D$27:$AH$266,'Mar'!$D$27:$AH$266,'Apr'!$D$27:$AH$266,'May'!$D$27:$AH$266,'Jun'!$D$27:$AH$266,'Jul'!$D$27:$AH$266,'Aug'!$D$27:$AH$266,'Sep'!$D$27:$AH$266,'Oct'!$D$27:$AH$266,'Nov'!$D$27:$AH$266,'Dec'!$D$27:$AH$266,'Jan (next year)'!$D$27:$AH$266),27+4*(IFERROR(MATCH(C449,Roster!$B$6:$B$65,0),MATCH(C449,Roster!$C$6:$C$65,0))-1)+MATCH(B449,{"AM","PM","NIGHT","WD"},0)-1-27+1,DAY(A449))&amp;"",""))</f>
        <v/>
      </c>
      <c r="G449" s="123">
        <f>IF(OR(A449="",C449="",B449="",E449=""),"",IFERROR(A449&amp;"|"&amp;(27+4*(IFERROR(MATCH(C449,Roster!$B$6:$B$65,0),MATCH(C449,Roster!$C$6:$C$65,0))-1)+MATCH(B449,{"AM","PM","NIGHT","WD"},0)-1),""))</f>
        <v/>
      </c>
    </row>
    <row r="450">
      <c r="A450" s="122" t="n"/>
      <c r="B450" s="107" t="n"/>
      <c r="C450" s="105" t="n"/>
      <c r="D450" s="92">
        <f>IF(C450="","",IFERROR(INDEX(Roster!$C$6:$C$65,IFERROR(MATCH(C450,Roster!$B$6:$B$65,0),MATCH(C450,Roster!$C$6:$C$65,0))),"not on the Roster"))</f>
        <v/>
      </c>
      <c r="E450" s="106" t="n"/>
      <c r="F450" s="104">
        <f>IF(OR(A450="",C450="",B450=""),"",IFERROR(INDEX(CHOOSE(IF(YEAR(A450)&gt;PlanYear,13,MONTH(A450)),'Jan'!$D$27:$AH$266,'Feb'!$D$27:$AH$266,'Mar'!$D$27:$AH$266,'Apr'!$D$27:$AH$266,'May'!$D$27:$AH$266,'Jun'!$D$27:$AH$266,'Jul'!$D$27:$AH$266,'Aug'!$D$27:$AH$266,'Sep'!$D$27:$AH$266,'Oct'!$D$27:$AH$266,'Nov'!$D$27:$AH$266,'Dec'!$D$27:$AH$266,'Jan (next year)'!$D$27:$AH$266),27+4*(IFERROR(MATCH(C450,Roster!$B$6:$B$65,0),MATCH(C450,Roster!$C$6:$C$65,0))-1)+MATCH(B450,{"AM","PM","NIGHT","WD"},0)-1-27+1,DAY(A450))&amp;"",""))</f>
        <v/>
      </c>
      <c r="G450" s="123">
        <f>IF(OR(A450="",C450="",B450="",E450=""),"",IFERROR(A450&amp;"|"&amp;(27+4*(IFERROR(MATCH(C450,Roster!$B$6:$B$65,0),MATCH(C450,Roster!$C$6:$C$65,0))-1)+MATCH(B450,{"AM","PM","NIGHT","WD"},0)-1),""))</f>
        <v/>
      </c>
    </row>
    <row r="451">
      <c r="A451" s="122" t="n"/>
      <c r="B451" s="107" t="n"/>
      <c r="C451" s="105" t="n"/>
      <c r="D451" s="92">
        <f>IF(C451="","",IFERROR(INDEX(Roster!$C$6:$C$65,IFERROR(MATCH(C451,Roster!$B$6:$B$65,0),MATCH(C451,Roster!$C$6:$C$65,0))),"not on the Roster"))</f>
        <v/>
      </c>
      <c r="E451" s="106" t="n"/>
      <c r="F451" s="104">
        <f>IF(OR(A451="",C451="",B451=""),"",IFERROR(INDEX(CHOOSE(IF(YEAR(A451)&gt;PlanYear,13,MONTH(A451)),'Jan'!$D$27:$AH$266,'Feb'!$D$27:$AH$266,'Mar'!$D$27:$AH$266,'Apr'!$D$27:$AH$266,'May'!$D$27:$AH$266,'Jun'!$D$27:$AH$266,'Jul'!$D$27:$AH$266,'Aug'!$D$27:$AH$266,'Sep'!$D$27:$AH$266,'Oct'!$D$27:$AH$266,'Nov'!$D$27:$AH$266,'Dec'!$D$27:$AH$266,'Jan (next year)'!$D$27:$AH$266),27+4*(IFERROR(MATCH(C451,Roster!$B$6:$B$65,0),MATCH(C451,Roster!$C$6:$C$65,0))-1)+MATCH(B451,{"AM","PM","NIGHT","WD"},0)-1-27+1,DAY(A451))&amp;"",""))</f>
        <v/>
      </c>
      <c r="G451" s="123">
        <f>IF(OR(A451="",C451="",B451="",E451=""),"",IFERROR(A451&amp;"|"&amp;(27+4*(IFERROR(MATCH(C451,Roster!$B$6:$B$65,0),MATCH(C451,Roster!$C$6:$C$65,0))-1)+MATCH(B451,{"AM","PM","NIGHT","WD"},0)-1),""))</f>
        <v/>
      </c>
    </row>
    <row r="452">
      <c r="A452" s="122" t="n"/>
      <c r="B452" s="107" t="n"/>
      <c r="C452" s="105" t="n"/>
      <c r="D452" s="92">
        <f>IF(C452="","",IFERROR(INDEX(Roster!$C$6:$C$65,IFERROR(MATCH(C452,Roster!$B$6:$B$65,0),MATCH(C452,Roster!$C$6:$C$65,0))),"not on the Roster"))</f>
        <v/>
      </c>
      <c r="E452" s="106" t="n"/>
      <c r="F452" s="104">
        <f>IF(OR(A452="",C452="",B452=""),"",IFERROR(INDEX(CHOOSE(IF(YEAR(A452)&gt;PlanYear,13,MONTH(A452)),'Jan'!$D$27:$AH$266,'Feb'!$D$27:$AH$266,'Mar'!$D$27:$AH$266,'Apr'!$D$27:$AH$266,'May'!$D$27:$AH$266,'Jun'!$D$27:$AH$266,'Jul'!$D$27:$AH$266,'Aug'!$D$27:$AH$266,'Sep'!$D$27:$AH$266,'Oct'!$D$27:$AH$266,'Nov'!$D$27:$AH$266,'Dec'!$D$27:$AH$266,'Jan (next year)'!$D$27:$AH$266),27+4*(IFERROR(MATCH(C452,Roster!$B$6:$B$65,0),MATCH(C452,Roster!$C$6:$C$65,0))-1)+MATCH(B452,{"AM","PM","NIGHT","WD"},0)-1-27+1,DAY(A452))&amp;"",""))</f>
        <v/>
      </c>
      <c r="G452" s="123">
        <f>IF(OR(A452="",C452="",B452="",E452=""),"",IFERROR(A452&amp;"|"&amp;(27+4*(IFERROR(MATCH(C452,Roster!$B$6:$B$65,0),MATCH(C452,Roster!$C$6:$C$65,0))-1)+MATCH(B452,{"AM","PM","NIGHT","WD"},0)-1),""))</f>
        <v/>
      </c>
    </row>
    <row r="453">
      <c r="A453" s="122" t="n"/>
      <c r="B453" s="107" t="n"/>
      <c r="C453" s="105" t="n"/>
      <c r="D453" s="92">
        <f>IF(C453="","",IFERROR(INDEX(Roster!$C$6:$C$65,IFERROR(MATCH(C453,Roster!$B$6:$B$65,0),MATCH(C453,Roster!$C$6:$C$65,0))),"not on the Roster"))</f>
        <v/>
      </c>
      <c r="E453" s="106" t="n"/>
      <c r="F453" s="104">
        <f>IF(OR(A453="",C453="",B453=""),"",IFERROR(INDEX(CHOOSE(IF(YEAR(A453)&gt;PlanYear,13,MONTH(A453)),'Jan'!$D$27:$AH$266,'Feb'!$D$27:$AH$266,'Mar'!$D$27:$AH$266,'Apr'!$D$27:$AH$266,'May'!$D$27:$AH$266,'Jun'!$D$27:$AH$266,'Jul'!$D$27:$AH$266,'Aug'!$D$27:$AH$266,'Sep'!$D$27:$AH$266,'Oct'!$D$27:$AH$266,'Nov'!$D$27:$AH$266,'Dec'!$D$27:$AH$266,'Jan (next year)'!$D$27:$AH$266),27+4*(IFERROR(MATCH(C453,Roster!$B$6:$B$65,0),MATCH(C453,Roster!$C$6:$C$65,0))-1)+MATCH(B453,{"AM","PM","NIGHT","WD"},0)-1-27+1,DAY(A453))&amp;"",""))</f>
        <v/>
      </c>
      <c r="G453" s="123">
        <f>IF(OR(A453="",C453="",B453="",E453=""),"",IFERROR(A453&amp;"|"&amp;(27+4*(IFERROR(MATCH(C453,Roster!$B$6:$B$65,0),MATCH(C453,Roster!$C$6:$C$65,0))-1)+MATCH(B453,{"AM","PM","NIGHT","WD"},0)-1),""))</f>
        <v/>
      </c>
    </row>
    <row r="454">
      <c r="A454" s="122" t="n"/>
      <c r="B454" s="107" t="n"/>
      <c r="C454" s="105" t="n"/>
      <c r="D454" s="92">
        <f>IF(C454="","",IFERROR(INDEX(Roster!$C$6:$C$65,IFERROR(MATCH(C454,Roster!$B$6:$B$65,0),MATCH(C454,Roster!$C$6:$C$65,0))),"not on the Roster"))</f>
        <v/>
      </c>
      <c r="E454" s="106" t="n"/>
      <c r="F454" s="104">
        <f>IF(OR(A454="",C454="",B454=""),"",IFERROR(INDEX(CHOOSE(IF(YEAR(A454)&gt;PlanYear,13,MONTH(A454)),'Jan'!$D$27:$AH$266,'Feb'!$D$27:$AH$266,'Mar'!$D$27:$AH$266,'Apr'!$D$27:$AH$266,'May'!$D$27:$AH$266,'Jun'!$D$27:$AH$266,'Jul'!$D$27:$AH$266,'Aug'!$D$27:$AH$266,'Sep'!$D$27:$AH$266,'Oct'!$D$27:$AH$266,'Nov'!$D$27:$AH$266,'Dec'!$D$27:$AH$266,'Jan (next year)'!$D$27:$AH$266),27+4*(IFERROR(MATCH(C454,Roster!$B$6:$B$65,0),MATCH(C454,Roster!$C$6:$C$65,0))-1)+MATCH(B454,{"AM","PM","NIGHT","WD"},0)-1-27+1,DAY(A454))&amp;"",""))</f>
        <v/>
      </c>
      <c r="G454" s="123">
        <f>IF(OR(A454="",C454="",B454="",E454=""),"",IFERROR(A454&amp;"|"&amp;(27+4*(IFERROR(MATCH(C454,Roster!$B$6:$B$65,0),MATCH(C454,Roster!$C$6:$C$65,0))-1)+MATCH(B454,{"AM","PM","NIGHT","WD"},0)-1),""))</f>
        <v/>
      </c>
    </row>
    <row r="455">
      <c r="A455" s="122" t="n"/>
      <c r="B455" s="107" t="n"/>
      <c r="C455" s="105" t="n"/>
      <c r="D455" s="92">
        <f>IF(C455="","",IFERROR(INDEX(Roster!$C$6:$C$65,IFERROR(MATCH(C455,Roster!$B$6:$B$65,0),MATCH(C455,Roster!$C$6:$C$65,0))),"not on the Roster"))</f>
        <v/>
      </c>
      <c r="E455" s="106" t="n"/>
      <c r="F455" s="104">
        <f>IF(OR(A455="",C455="",B455=""),"",IFERROR(INDEX(CHOOSE(IF(YEAR(A455)&gt;PlanYear,13,MONTH(A455)),'Jan'!$D$27:$AH$266,'Feb'!$D$27:$AH$266,'Mar'!$D$27:$AH$266,'Apr'!$D$27:$AH$266,'May'!$D$27:$AH$266,'Jun'!$D$27:$AH$266,'Jul'!$D$27:$AH$266,'Aug'!$D$27:$AH$266,'Sep'!$D$27:$AH$266,'Oct'!$D$27:$AH$266,'Nov'!$D$27:$AH$266,'Dec'!$D$27:$AH$266,'Jan (next year)'!$D$27:$AH$266),27+4*(IFERROR(MATCH(C455,Roster!$B$6:$B$65,0),MATCH(C455,Roster!$C$6:$C$65,0))-1)+MATCH(B455,{"AM","PM","NIGHT","WD"},0)-1-27+1,DAY(A455))&amp;"",""))</f>
        <v/>
      </c>
      <c r="G455" s="123">
        <f>IF(OR(A455="",C455="",B455="",E455=""),"",IFERROR(A455&amp;"|"&amp;(27+4*(IFERROR(MATCH(C455,Roster!$B$6:$B$65,0),MATCH(C455,Roster!$C$6:$C$65,0))-1)+MATCH(B455,{"AM","PM","NIGHT","WD"},0)-1),""))</f>
        <v/>
      </c>
    </row>
    <row r="456">
      <c r="A456" s="122" t="n"/>
      <c r="B456" s="107" t="n"/>
      <c r="C456" s="105" t="n"/>
      <c r="D456" s="92">
        <f>IF(C456="","",IFERROR(INDEX(Roster!$C$6:$C$65,IFERROR(MATCH(C456,Roster!$B$6:$B$65,0),MATCH(C456,Roster!$C$6:$C$65,0))),"not on the Roster"))</f>
        <v/>
      </c>
      <c r="E456" s="106" t="n"/>
      <c r="F456" s="104">
        <f>IF(OR(A456="",C456="",B456=""),"",IFERROR(INDEX(CHOOSE(IF(YEAR(A456)&gt;PlanYear,13,MONTH(A456)),'Jan'!$D$27:$AH$266,'Feb'!$D$27:$AH$266,'Mar'!$D$27:$AH$266,'Apr'!$D$27:$AH$266,'May'!$D$27:$AH$266,'Jun'!$D$27:$AH$266,'Jul'!$D$27:$AH$266,'Aug'!$D$27:$AH$266,'Sep'!$D$27:$AH$266,'Oct'!$D$27:$AH$266,'Nov'!$D$27:$AH$266,'Dec'!$D$27:$AH$266,'Jan (next year)'!$D$27:$AH$266),27+4*(IFERROR(MATCH(C456,Roster!$B$6:$B$65,0),MATCH(C456,Roster!$C$6:$C$65,0))-1)+MATCH(B456,{"AM","PM","NIGHT","WD"},0)-1-27+1,DAY(A456))&amp;"",""))</f>
        <v/>
      </c>
      <c r="G456" s="123">
        <f>IF(OR(A456="",C456="",B456="",E456=""),"",IFERROR(A456&amp;"|"&amp;(27+4*(IFERROR(MATCH(C456,Roster!$B$6:$B$65,0),MATCH(C456,Roster!$C$6:$C$65,0))-1)+MATCH(B456,{"AM","PM","NIGHT","WD"},0)-1),""))</f>
        <v/>
      </c>
    </row>
    <row r="457">
      <c r="A457" s="122" t="n"/>
      <c r="B457" s="107" t="n"/>
      <c r="C457" s="105" t="n"/>
      <c r="D457" s="92">
        <f>IF(C457="","",IFERROR(INDEX(Roster!$C$6:$C$65,IFERROR(MATCH(C457,Roster!$B$6:$B$65,0),MATCH(C457,Roster!$C$6:$C$65,0))),"not on the Roster"))</f>
        <v/>
      </c>
      <c r="E457" s="106" t="n"/>
      <c r="F457" s="104">
        <f>IF(OR(A457="",C457="",B457=""),"",IFERROR(INDEX(CHOOSE(IF(YEAR(A457)&gt;PlanYear,13,MONTH(A457)),'Jan'!$D$27:$AH$266,'Feb'!$D$27:$AH$266,'Mar'!$D$27:$AH$266,'Apr'!$D$27:$AH$266,'May'!$D$27:$AH$266,'Jun'!$D$27:$AH$266,'Jul'!$D$27:$AH$266,'Aug'!$D$27:$AH$266,'Sep'!$D$27:$AH$266,'Oct'!$D$27:$AH$266,'Nov'!$D$27:$AH$266,'Dec'!$D$27:$AH$266,'Jan (next year)'!$D$27:$AH$266),27+4*(IFERROR(MATCH(C457,Roster!$B$6:$B$65,0),MATCH(C457,Roster!$C$6:$C$65,0))-1)+MATCH(B457,{"AM","PM","NIGHT","WD"},0)-1-27+1,DAY(A457))&amp;"",""))</f>
        <v/>
      </c>
      <c r="G457" s="123">
        <f>IF(OR(A457="",C457="",B457="",E457=""),"",IFERROR(A457&amp;"|"&amp;(27+4*(IFERROR(MATCH(C457,Roster!$B$6:$B$65,0),MATCH(C457,Roster!$C$6:$C$65,0))-1)+MATCH(B457,{"AM","PM","NIGHT","WD"},0)-1),""))</f>
        <v/>
      </c>
    </row>
    <row r="458">
      <c r="A458" s="122" t="n"/>
      <c r="B458" s="107" t="n"/>
      <c r="C458" s="105" t="n"/>
      <c r="D458" s="92">
        <f>IF(C458="","",IFERROR(INDEX(Roster!$C$6:$C$65,IFERROR(MATCH(C458,Roster!$B$6:$B$65,0),MATCH(C458,Roster!$C$6:$C$65,0))),"not on the Roster"))</f>
        <v/>
      </c>
      <c r="E458" s="106" t="n"/>
      <c r="F458" s="104">
        <f>IF(OR(A458="",C458="",B458=""),"",IFERROR(INDEX(CHOOSE(IF(YEAR(A458)&gt;PlanYear,13,MONTH(A458)),'Jan'!$D$27:$AH$266,'Feb'!$D$27:$AH$266,'Mar'!$D$27:$AH$266,'Apr'!$D$27:$AH$266,'May'!$D$27:$AH$266,'Jun'!$D$27:$AH$266,'Jul'!$D$27:$AH$266,'Aug'!$D$27:$AH$266,'Sep'!$D$27:$AH$266,'Oct'!$D$27:$AH$266,'Nov'!$D$27:$AH$266,'Dec'!$D$27:$AH$266,'Jan (next year)'!$D$27:$AH$266),27+4*(IFERROR(MATCH(C458,Roster!$B$6:$B$65,0),MATCH(C458,Roster!$C$6:$C$65,0))-1)+MATCH(B458,{"AM","PM","NIGHT","WD"},0)-1-27+1,DAY(A458))&amp;"",""))</f>
        <v/>
      </c>
      <c r="G458" s="123">
        <f>IF(OR(A458="",C458="",B458="",E458=""),"",IFERROR(A458&amp;"|"&amp;(27+4*(IFERROR(MATCH(C458,Roster!$B$6:$B$65,0),MATCH(C458,Roster!$C$6:$C$65,0))-1)+MATCH(B458,{"AM","PM","NIGHT","WD"},0)-1),""))</f>
        <v/>
      </c>
    </row>
    <row r="459">
      <c r="A459" s="122" t="n"/>
      <c r="B459" s="107" t="n"/>
      <c r="C459" s="105" t="n"/>
      <c r="D459" s="92">
        <f>IF(C459="","",IFERROR(INDEX(Roster!$C$6:$C$65,IFERROR(MATCH(C459,Roster!$B$6:$B$65,0),MATCH(C459,Roster!$C$6:$C$65,0))),"not on the Roster"))</f>
        <v/>
      </c>
      <c r="E459" s="106" t="n"/>
      <c r="F459" s="104">
        <f>IF(OR(A459="",C459="",B459=""),"",IFERROR(INDEX(CHOOSE(IF(YEAR(A459)&gt;PlanYear,13,MONTH(A459)),'Jan'!$D$27:$AH$266,'Feb'!$D$27:$AH$266,'Mar'!$D$27:$AH$266,'Apr'!$D$27:$AH$266,'May'!$D$27:$AH$266,'Jun'!$D$27:$AH$266,'Jul'!$D$27:$AH$266,'Aug'!$D$27:$AH$266,'Sep'!$D$27:$AH$266,'Oct'!$D$27:$AH$266,'Nov'!$D$27:$AH$266,'Dec'!$D$27:$AH$266,'Jan (next year)'!$D$27:$AH$266),27+4*(IFERROR(MATCH(C459,Roster!$B$6:$B$65,0),MATCH(C459,Roster!$C$6:$C$65,0))-1)+MATCH(B459,{"AM","PM","NIGHT","WD"},0)-1-27+1,DAY(A459))&amp;"",""))</f>
        <v/>
      </c>
      <c r="G459" s="123">
        <f>IF(OR(A459="",C459="",B459="",E459=""),"",IFERROR(A459&amp;"|"&amp;(27+4*(IFERROR(MATCH(C459,Roster!$B$6:$B$65,0),MATCH(C459,Roster!$C$6:$C$65,0))-1)+MATCH(B459,{"AM","PM","NIGHT","WD"},0)-1),""))</f>
        <v/>
      </c>
    </row>
    <row r="460">
      <c r="A460" s="122" t="n"/>
      <c r="B460" s="107" t="n"/>
      <c r="C460" s="105" t="n"/>
      <c r="D460" s="92">
        <f>IF(C460="","",IFERROR(INDEX(Roster!$C$6:$C$65,IFERROR(MATCH(C460,Roster!$B$6:$B$65,0),MATCH(C460,Roster!$C$6:$C$65,0))),"not on the Roster"))</f>
        <v/>
      </c>
      <c r="E460" s="106" t="n"/>
      <c r="F460" s="104">
        <f>IF(OR(A460="",C460="",B460=""),"",IFERROR(INDEX(CHOOSE(IF(YEAR(A460)&gt;PlanYear,13,MONTH(A460)),'Jan'!$D$27:$AH$266,'Feb'!$D$27:$AH$266,'Mar'!$D$27:$AH$266,'Apr'!$D$27:$AH$266,'May'!$D$27:$AH$266,'Jun'!$D$27:$AH$266,'Jul'!$D$27:$AH$266,'Aug'!$D$27:$AH$266,'Sep'!$D$27:$AH$266,'Oct'!$D$27:$AH$266,'Nov'!$D$27:$AH$266,'Dec'!$D$27:$AH$266,'Jan (next year)'!$D$27:$AH$266),27+4*(IFERROR(MATCH(C460,Roster!$B$6:$B$65,0),MATCH(C460,Roster!$C$6:$C$65,0))-1)+MATCH(B460,{"AM","PM","NIGHT","WD"},0)-1-27+1,DAY(A460))&amp;"",""))</f>
        <v/>
      </c>
      <c r="G460" s="123">
        <f>IF(OR(A460="",C460="",B460="",E460=""),"",IFERROR(A460&amp;"|"&amp;(27+4*(IFERROR(MATCH(C460,Roster!$B$6:$B$65,0),MATCH(C460,Roster!$C$6:$C$65,0))-1)+MATCH(B460,{"AM","PM","NIGHT","WD"},0)-1),""))</f>
        <v/>
      </c>
    </row>
    <row r="461">
      <c r="A461" s="122" t="n"/>
      <c r="B461" s="107" t="n"/>
      <c r="C461" s="105" t="n"/>
      <c r="D461" s="92">
        <f>IF(C461="","",IFERROR(INDEX(Roster!$C$6:$C$65,IFERROR(MATCH(C461,Roster!$B$6:$B$65,0),MATCH(C461,Roster!$C$6:$C$65,0))),"not on the Roster"))</f>
        <v/>
      </c>
      <c r="E461" s="106" t="n"/>
      <c r="F461" s="104">
        <f>IF(OR(A461="",C461="",B461=""),"",IFERROR(INDEX(CHOOSE(IF(YEAR(A461)&gt;PlanYear,13,MONTH(A461)),'Jan'!$D$27:$AH$266,'Feb'!$D$27:$AH$266,'Mar'!$D$27:$AH$266,'Apr'!$D$27:$AH$266,'May'!$D$27:$AH$266,'Jun'!$D$27:$AH$266,'Jul'!$D$27:$AH$266,'Aug'!$D$27:$AH$266,'Sep'!$D$27:$AH$266,'Oct'!$D$27:$AH$266,'Nov'!$D$27:$AH$266,'Dec'!$D$27:$AH$266,'Jan (next year)'!$D$27:$AH$266),27+4*(IFERROR(MATCH(C461,Roster!$B$6:$B$65,0),MATCH(C461,Roster!$C$6:$C$65,0))-1)+MATCH(B461,{"AM","PM","NIGHT","WD"},0)-1-27+1,DAY(A461))&amp;"",""))</f>
        <v/>
      </c>
      <c r="G461" s="123">
        <f>IF(OR(A461="",C461="",B461="",E461=""),"",IFERROR(A461&amp;"|"&amp;(27+4*(IFERROR(MATCH(C461,Roster!$B$6:$B$65,0),MATCH(C461,Roster!$C$6:$C$65,0))-1)+MATCH(B461,{"AM","PM","NIGHT","WD"},0)-1),""))</f>
        <v/>
      </c>
    </row>
    <row r="462">
      <c r="A462" s="122" t="n"/>
      <c r="B462" s="107" t="n"/>
      <c r="C462" s="105" t="n"/>
      <c r="D462" s="92">
        <f>IF(C462="","",IFERROR(INDEX(Roster!$C$6:$C$65,IFERROR(MATCH(C462,Roster!$B$6:$B$65,0),MATCH(C462,Roster!$C$6:$C$65,0))),"not on the Roster"))</f>
        <v/>
      </c>
      <c r="E462" s="106" t="n"/>
      <c r="F462" s="104">
        <f>IF(OR(A462="",C462="",B462=""),"",IFERROR(INDEX(CHOOSE(IF(YEAR(A462)&gt;PlanYear,13,MONTH(A462)),'Jan'!$D$27:$AH$266,'Feb'!$D$27:$AH$266,'Mar'!$D$27:$AH$266,'Apr'!$D$27:$AH$266,'May'!$D$27:$AH$266,'Jun'!$D$27:$AH$266,'Jul'!$D$27:$AH$266,'Aug'!$D$27:$AH$266,'Sep'!$D$27:$AH$266,'Oct'!$D$27:$AH$266,'Nov'!$D$27:$AH$266,'Dec'!$D$27:$AH$266,'Jan (next year)'!$D$27:$AH$266),27+4*(IFERROR(MATCH(C462,Roster!$B$6:$B$65,0),MATCH(C462,Roster!$C$6:$C$65,0))-1)+MATCH(B462,{"AM","PM","NIGHT","WD"},0)-1-27+1,DAY(A462))&amp;"",""))</f>
        <v/>
      </c>
      <c r="G462" s="123">
        <f>IF(OR(A462="",C462="",B462="",E462=""),"",IFERROR(A462&amp;"|"&amp;(27+4*(IFERROR(MATCH(C462,Roster!$B$6:$B$65,0),MATCH(C462,Roster!$C$6:$C$65,0))-1)+MATCH(B462,{"AM","PM","NIGHT","WD"},0)-1),""))</f>
        <v/>
      </c>
    </row>
    <row r="463">
      <c r="A463" s="122" t="n"/>
      <c r="B463" s="107" t="n"/>
      <c r="C463" s="105" t="n"/>
      <c r="D463" s="92">
        <f>IF(C463="","",IFERROR(INDEX(Roster!$C$6:$C$65,IFERROR(MATCH(C463,Roster!$B$6:$B$65,0),MATCH(C463,Roster!$C$6:$C$65,0))),"not on the Roster"))</f>
        <v/>
      </c>
      <c r="E463" s="106" t="n"/>
      <c r="F463" s="104">
        <f>IF(OR(A463="",C463="",B463=""),"",IFERROR(INDEX(CHOOSE(IF(YEAR(A463)&gt;PlanYear,13,MONTH(A463)),'Jan'!$D$27:$AH$266,'Feb'!$D$27:$AH$266,'Mar'!$D$27:$AH$266,'Apr'!$D$27:$AH$266,'May'!$D$27:$AH$266,'Jun'!$D$27:$AH$266,'Jul'!$D$27:$AH$266,'Aug'!$D$27:$AH$266,'Sep'!$D$27:$AH$266,'Oct'!$D$27:$AH$266,'Nov'!$D$27:$AH$266,'Dec'!$D$27:$AH$266,'Jan (next year)'!$D$27:$AH$266),27+4*(IFERROR(MATCH(C463,Roster!$B$6:$B$65,0),MATCH(C463,Roster!$C$6:$C$65,0))-1)+MATCH(B463,{"AM","PM","NIGHT","WD"},0)-1-27+1,DAY(A463))&amp;"",""))</f>
        <v/>
      </c>
      <c r="G463" s="123">
        <f>IF(OR(A463="",C463="",B463="",E463=""),"",IFERROR(A463&amp;"|"&amp;(27+4*(IFERROR(MATCH(C463,Roster!$B$6:$B$65,0),MATCH(C463,Roster!$C$6:$C$65,0))-1)+MATCH(B463,{"AM","PM","NIGHT","WD"},0)-1),""))</f>
        <v/>
      </c>
    </row>
    <row r="464">
      <c r="A464" s="122" t="n"/>
      <c r="B464" s="107" t="n"/>
      <c r="C464" s="105" t="n"/>
      <c r="D464" s="92">
        <f>IF(C464="","",IFERROR(INDEX(Roster!$C$6:$C$65,IFERROR(MATCH(C464,Roster!$B$6:$B$65,0),MATCH(C464,Roster!$C$6:$C$65,0))),"not on the Roster"))</f>
        <v/>
      </c>
      <c r="E464" s="106" t="n"/>
      <c r="F464" s="104">
        <f>IF(OR(A464="",C464="",B464=""),"",IFERROR(INDEX(CHOOSE(IF(YEAR(A464)&gt;PlanYear,13,MONTH(A464)),'Jan'!$D$27:$AH$266,'Feb'!$D$27:$AH$266,'Mar'!$D$27:$AH$266,'Apr'!$D$27:$AH$266,'May'!$D$27:$AH$266,'Jun'!$D$27:$AH$266,'Jul'!$D$27:$AH$266,'Aug'!$D$27:$AH$266,'Sep'!$D$27:$AH$266,'Oct'!$D$27:$AH$266,'Nov'!$D$27:$AH$266,'Dec'!$D$27:$AH$266,'Jan (next year)'!$D$27:$AH$266),27+4*(IFERROR(MATCH(C464,Roster!$B$6:$B$65,0),MATCH(C464,Roster!$C$6:$C$65,0))-1)+MATCH(B464,{"AM","PM","NIGHT","WD"},0)-1-27+1,DAY(A464))&amp;"",""))</f>
        <v/>
      </c>
      <c r="G464" s="123">
        <f>IF(OR(A464="",C464="",B464="",E464=""),"",IFERROR(A464&amp;"|"&amp;(27+4*(IFERROR(MATCH(C464,Roster!$B$6:$B$65,0),MATCH(C464,Roster!$C$6:$C$65,0))-1)+MATCH(B464,{"AM","PM","NIGHT","WD"},0)-1),""))</f>
        <v/>
      </c>
    </row>
    <row r="465">
      <c r="A465" s="122" t="n"/>
      <c r="B465" s="107" t="n"/>
      <c r="C465" s="105" t="n"/>
      <c r="D465" s="92">
        <f>IF(C465="","",IFERROR(INDEX(Roster!$C$6:$C$65,IFERROR(MATCH(C465,Roster!$B$6:$B$65,0),MATCH(C465,Roster!$C$6:$C$65,0))),"not on the Roster"))</f>
        <v/>
      </c>
      <c r="E465" s="106" t="n"/>
      <c r="F465" s="104">
        <f>IF(OR(A465="",C465="",B465=""),"",IFERROR(INDEX(CHOOSE(IF(YEAR(A465)&gt;PlanYear,13,MONTH(A465)),'Jan'!$D$27:$AH$266,'Feb'!$D$27:$AH$266,'Mar'!$D$27:$AH$266,'Apr'!$D$27:$AH$266,'May'!$D$27:$AH$266,'Jun'!$D$27:$AH$266,'Jul'!$D$27:$AH$266,'Aug'!$D$27:$AH$266,'Sep'!$D$27:$AH$266,'Oct'!$D$27:$AH$266,'Nov'!$D$27:$AH$266,'Dec'!$D$27:$AH$266,'Jan (next year)'!$D$27:$AH$266),27+4*(IFERROR(MATCH(C465,Roster!$B$6:$B$65,0),MATCH(C465,Roster!$C$6:$C$65,0))-1)+MATCH(B465,{"AM","PM","NIGHT","WD"},0)-1-27+1,DAY(A465))&amp;"",""))</f>
        <v/>
      </c>
      <c r="G465" s="123">
        <f>IF(OR(A465="",C465="",B465="",E465=""),"",IFERROR(A465&amp;"|"&amp;(27+4*(IFERROR(MATCH(C465,Roster!$B$6:$B$65,0),MATCH(C465,Roster!$C$6:$C$65,0))-1)+MATCH(B465,{"AM","PM","NIGHT","WD"},0)-1),""))</f>
        <v/>
      </c>
    </row>
    <row r="466">
      <c r="A466" s="122" t="n"/>
      <c r="B466" s="107" t="n"/>
      <c r="C466" s="105" t="n"/>
      <c r="D466" s="92">
        <f>IF(C466="","",IFERROR(INDEX(Roster!$C$6:$C$65,IFERROR(MATCH(C466,Roster!$B$6:$B$65,0),MATCH(C466,Roster!$C$6:$C$65,0))),"not on the Roster"))</f>
        <v/>
      </c>
      <c r="E466" s="106" t="n"/>
      <c r="F466" s="104">
        <f>IF(OR(A466="",C466="",B466=""),"",IFERROR(INDEX(CHOOSE(IF(YEAR(A466)&gt;PlanYear,13,MONTH(A466)),'Jan'!$D$27:$AH$266,'Feb'!$D$27:$AH$266,'Mar'!$D$27:$AH$266,'Apr'!$D$27:$AH$266,'May'!$D$27:$AH$266,'Jun'!$D$27:$AH$266,'Jul'!$D$27:$AH$266,'Aug'!$D$27:$AH$266,'Sep'!$D$27:$AH$266,'Oct'!$D$27:$AH$266,'Nov'!$D$27:$AH$266,'Dec'!$D$27:$AH$266,'Jan (next year)'!$D$27:$AH$266),27+4*(IFERROR(MATCH(C466,Roster!$B$6:$B$65,0),MATCH(C466,Roster!$C$6:$C$65,0))-1)+MATCH(B466,{"AM","PM","NIGHT","WD"},0)-1-27+1,DAY(A466))&amp;"",""))</f>
        <v/>
      </c>
      <c r="G466" s="123">
        <f>IF(OR(A466="",C466="",B466="",E466=""),"",IFERROR(A466&amp;"|"&amp;(27+4*(IFERROR(MATCH(C466,Roster!$B$6:$B$65,0),MATCH(C466,Roster!$C$6:$C$65,0))-1)+MATCH(B466,{"AM","PM","NIGHT","WD"},0)-1),""))</f>
        <v/>
      </c>
    </row>
    <row r="467">
      <c r="A467" s="122" t="n"/>
      <c r="B467" s="107" t="n"/>
      <c r="C467" s="105" t="n"/>
      <c r="D467" s="92">
        <f>IF(C467="","",IFERROR(INDEX(Roster!$C$6:$C$65,IFERROR(MATCH(C467,Roster!$B$6:$B$65,0),MATCH(C467,Roster!$C$6:$C$65,0))),"not on the Roster"))</f>
        <v/>
      </c>
      <c r="E467" s="106" t="n"/>
      <c r="F467" s="104">
        <f>IF(OR(A467="",C467="",B467=""),"",IFERROR(INDEX(CHOOSE(IF(YEAR(A467)&gt;PlanYear,13,MONTH(A467)),'Jan'!$D$27:$AH$266,'Feb'!$D$27:$AH$266,'Mar'!$D$27:$AH$266,'Apr'!$D$27:$AH$266,'May'!$D$27:$AH$266,'Jun'!$D$27:$AH$266,'Jul'!$D$27:$AH$266,'Aug'!$D$27:$AH$266,'Sep'!$D$27:$AH$266,'Oct'!$D$27:$AH$266,'Nov'!$D$27:$AH$266,'Dec'!$D$27:$AH$266,'Jan (next year)'!$D$27:$AH$266),27+4*(IFERROR(MATCH(C467,Roster!$B$6:$B$65,0),MATCH(C467,Roster!$C$6:$C$65,0))-1)+MATCH(B467,{"AM","PM","NIGHT","WD"},0)-1-27+1,DAY(A467))&amp;"",""))</f>
        <v/>
      </c>
      <c r="G467" s="123">
        <f>IF(OR(A467="",C467="",B467="",E467=""),"",IFERROR(A467&amp;"|"&amp;(27+4*(IFERROR(MATCH(C467,Roster!$B$6:$B$65,0),MATCH(C467,Roster!$C$6:$C$65,0))-1)+MATCH(B467,{"AM","PM","NIGHT","WD"},0)-1),""))</f>
        <v/>
      </c>
    </row>
    <row r="468">
      <c r="A468" s="122" t="n"/>
      <c r="B468" s="107" t="n"/>
      <c r="C468" s="105" t="n"/>
      <c r="D468" s="92">
        <f>IF(C468="","",IFERROR(INDEX(Roster!$C$6:$C$65,IFERROR(MATCH(C468,Roster!$B$6:$B$65,0),MATCH(C468,Roster!$C$6:$C$65,0))),"not on the Roster"))</f>
        <v/>
      </c>
      <c r="E468" s="106" t="n"/>
      <c r="F468" s="104">
        <f>IF(OR(A468="",C468="",B468=""),"",IFERROR(INDEX(CHOOSE(IF(YEAR(A468)&gt;PlanYear,13,MONTH(A468)),'Jan'!$D$27:$AH$266,'Feb'!$D$27:$AH$266,'Mar'!$D$27:$AH$266,'Apr'!$D$27:$AH$266,'May'!$D$27:$AH$266,'Jun'!$D$27:$AH$266,'Jul'!$D$27:$AH$266,'Aug'!$D$27:$AH$266,'Sep'!$D$27:$AH$266,'Oct'!$D$27:$AH$266,'Nov'!$D$27:$AH$266,'Dec'!$D$27:$AH$266,'Jan (next year)'!$D$27:$AH$266),27+4*(IFERROR(MATCH(C468,Roster!$B$6:$B$65,0),MATCH(C468,Roster!$C$6:$C$65,0))-1)+MATCH(B468,{"AM","PM","NIGHT","WD"},0)-1-27+1,DAY(A468))&amp;"",""))</f>
        <v/>
      </c>
      <c r="G468" s="123">
        <f>IF(OR(A468="",C468="",B468="",E468=""),"",IFERROR(A468&amp;"|"&amp;(27+4*(IFERROR(MATCH(C468,Roster!$B$6:$B$65,0),MATCH(C468,Roster!$C$6:$C$65,0))-1)+MATCH(B468,{"AM","PM","NIGHT","WD"},0)-1),""))</f>
        <v/>
      </c>
    </row>
    <row r="469">
      <c r="A469" s="122" t="n"/>
      <c r="B469" s="107" t="n"/>
      <c r="C469" s="105" t="n"/>
      <c r="D469" s="92">
        <f>IF(C469="","",IFERROR(INDEX(Roster!$C$6:$C$65,IFERROR(MATCH(C469,Roster!$B$6:$B$65,0),MATCH(C469,Roster!$C$6:$C$65,0))),"not on the Roster"))</f>
        <v/>
      </c>
      <c r="E469" s="106" t="n"/>
      <c r="F469" s="104">
        <f>IF(OR(A469="",C469="",B469=""),"",IFERROR(INDEX(CHOOSE(IF(YEAR(A469)&gt;PlanYear,13,MONTH(A469)),'Jan'!$D$27:$AH$266,'Feb'!$D$27:$AH$266,'Mar'!$D$27:$AH$266,'Apr'!$D$27:$AH$266,'May'!$D$27:$AH$266,'Jun'!$D$27:$AH$266,'Jul'!$D$27:$AH$266,'Aug'!$D$27:$AH$266,'Sep'!$D$27:$AH$266,'Oct'!$D$27:$AH$266,'Nov'!$D$27:$AH$266,'Dec'!$D$27:$AH$266,'Jan (next year)'!$D$27:$AH$266),27+4*(IFERROR(MATCH(C469,Roster!$B$6:$B$65,0),MATCH(C469,Roster!$C$6:$C$65,0))-1)+MATCH(B469,{"AM","PM","NIGHT","WD"},0)-1-27+1,DAY(A469))&amp;"",""))</f>
        <v/>
      </c>
      <c r="G469" s="123">
        <f>IF(OR(A469="",C469="",B469="",E469=""),"",IFERROR(A469&amp;"|"&amp;(27+4*(IFERROR(MATCH(C469,Roster!$B$6:$B$65,0),MATCH(C469,Roster!$C$6:$C$65,0))-1)+MATCH(B469,{"AM","PM","NIGHT","WD"},0)-1),""))</f>
        <v/>
      </c>
    </row>
    <row r="470">
      <c r="A470" s="122" t="n"/>
      <c r="B470" s="107" t="n"/>
      <c r="C470" s="105" t="n"/>
      <c r="D470" s="92">
        <f>IF(C470="","",IFERROR(INDEX(Roster!$C$6:$C$65,IFERROR(MATCH(C470,Roster!$B$6:$B$65,0),MATCH(C470,Roster!$C$6:$C$65,0))),"not on the Roster"))</f>
        <v/>
      </c>
      <c r="E470" s="106" t="n"/>
      <c r="F470" s="104">
        <f>IF(OR(A470="",C470="",B470=""),"",IFERROR(INDEX(CHOOSE(IF(YEAR(A470)&gt;PlanYear,13,MONTH(A470)),'Jan'!$D$27:$AH$266,'Feb'!$D$27:$AH$266,'Mar'!$D$27:$AH$266,'Apr'!$D$27:$AH$266,'May'!$D$27:$AH$266,'Jun'!$D$27:$AH$266,'Jul'!$D$27:$AH$266,'Aug'!$D$27:$AH$266,'Sep'!$D$27:$AH$266,'Oct'!$D$27:$AH$266,'Nov'!$D$27:$AH$266,'Dec'!$D$27:$AH$266,'Jan (next year)'!$D$27:$AH$266),27+4*(IFERROR(MATCH(C470,Roster!$B$6:$B$65,0),MATCH(C470,Roster!$C$6:$C$65,0))-1)+MATCH(B470,{"AM","PM","NIGHT","WD"},0)-1-27+1,DAY(A470))&amp;"",""))</f>
        <v/>
      </c>
      <c r="G470" s="123">
        <f>IF(OR(A470="",C470="",B470="",E470=""),"",IFERROR(A470&amp;"|"&amp;(27+4*(IFERROR(MATCH(C470,Roster!$B$6:$B$65,0),MATCH(C470,Roster!$C$6:$C$65,0))-1)+MATCH(B470,{"AM","PM","NIGHT","WD"},0)-1),""))</f>
        <v/>
      </c>
    </row>
    <row r="471">
      <c r="A471" s="122" t="n"/>
      <c r="B471" s="107" t="n"/>
      <c r="C471" s="105" t="n"/>
      <c r="D471" s="92">
        <f>IF(C471="","",IFERROR(INDEX(Roster!$C$6:$C$65,IFERROR(MATCH(C471,Roster!$B$6:$B$65,0),MATCH(C471,Roster!$C$6:$C$65,0))),"not on the Roster"))</f>
        <v/>
      </c>
      <c r="E471" s="106" t="n"/>
      <c r="F471" s="104">
        <f>IF(OR(A471="",C471="",B471=""),"",IFERROR(INDEX(CHOOSE(IF(YEAR(A471)&gt;PlanYear,13,MONTH(A471)),'Jan'!$D$27:$AH$266,'Feb'!$D$27:$AH$266,'Mar'!$D$27:$AH$266,'Apr'!$D$27:$AH$266,'May'!$D$27:$AH$266,'Jun'!$D$27:$AH$266,'Jul'!$D$27:$AH$266,'Aug'!$D$27:$AH$266,'Sep'!$D$27:$AH$266,'Oct'!$D$27:$AH$266,'Nov'!$D$27:$AH$266,'Dec'!$D$27:$AH$266,'Jan (next year)'!$D$27:$AH$266),27+4*(IFERROR(MATCH(C471,Roster!$B$6:$B$65,0),MATCH(C471,Roster!$C$6:$C$65,0))-1)+MATCH(B471,{"AM","PM","NIGHT","WD"},0)-1-27+1,DAY(A471))&amp;"",""))</f>
        <v/>
      </c>
      <c r="G471" s="123">
        <f>IF(OR(A471="",C471="",B471="",E471=""),"",IFERROR(A471&amp;"|"&amp;(27+4*(IFERROR(MATCH(C471,Roster!$B$6:$B$65,0),MATCH(C471,Roster!$C$6:$C$65,0))-1)+MATCH(B471,{"AM","PM","NIGHT","WD"},0)-1),""))</f>
        <v/>
      </c>
    </row>
    <row r="472">
      <c r="A472" s="122" t="n"/>
      <c r="B472" s="107" t="n"/>
      <c r="C472" s="105" t="n"/>
      <c r="D472" s="92">
        <f>IF(C472="","",IFERROR(INDEX(Roster!$C$6:$C$65,IFERROR(MATCH(C472,Roster!$B$6:$B$65,0),MATCH(C472,Roster!$C$6:$C$65,0))),"not on the Roster"))</f>
        <v/>
      </c>
      <c r="E472" s="106" t="n"/>
      <c r="F472" s="104">
        <f>IF(OR(A472="",C472="",B472=""),"",IFERROR(INDEX(CHOOSE(IF(YEAR(A472)&gt;PlanYear,13,MONTH(A472)),'Jan'!$D$27:$AH$266,'Feb'!$D$27:$AH$266,'Mar'!$D$27:$AH$266,'Apr'!$D$27:$AH$266,'May'!$D$27:$AH$266,'Jun'!$D$27:$AH$266,'Jul'!$D$27:$AH$266,'Aug'!$D$27:$AH$266,'Sep'!$D$27:$AH$266,'Oct'!$D$27:$AH$266,'Nov'!$D$27:$AH$266,'Dec'!$D$27:$AH$266,'Jan (next year)'!$D$27:$AH$266),27+4*(IFERROR(MATCH(C472,Roster!$B$6:$B$65,0),MATCH(C472,Roster!$C$6:$C$65,0))-1)+MATCH(B472,{"AM","PM","NIGHT","WD"},0)-1-27+1,DAY(A472))&amp;"",""))</f>
        <v/>
      </c>
      <c r="G472" s="123">
        <f>IF(OR(A472="",C472="",B472="",E472=""),"",IFERROR(A472&amp;"|"&amp;(27+4*(IFERROR(MATCH(C472,Roster!$B$6:$B$65,0),MATCH(C472,Roster!$C$6:$C$65,0))-1)+MATCH(B472,{"AM","PM","NIGHT","WD"},0)-1),""))</f>
        <v/>
      </c>
    </row>
    <row r="473">
      <c r="A473" s="122" t="n"/>
      <c r="B473" s="107" t="n"/>
      <c r="C473" s="105" t="n"/>
      <c r="D473" s="92">
        <f>IF(C473="","",IFERROR(INDEX(Roster!$C$6:$C$65,IFERROR(MATCH(C473,Roster!$B$6:$B$65,0),MATCH(C473,Roster!$C$6:$C$65,0))),"not on the Roster"))</f>
        <v/>
      </c>
      <c r="E473" s="106" t="n"/>
      <c r="F473" s="104">
        <f>IF(OR(A473="",C473="",B473=""),"",IFERROR(INDEX(CHOOSE(IF(YEAR(A473)&gt;PlanYear,13,MONTH(A473)),'Jan'!$D$27:$AH$266,'Feb'!$D$27:$AH$266,'Mar'!$D$27:$AH$266,'Apr'!$D$27:$AH$266,'May'!$D$27:$AH$266,'Jun'!$D$27:$AH$266,'Jul'!$D$27:$AH$266,'Aug'!$D$27:$AH$266,'Sep'!$D$27:$AH$266,'Oct'!$D$27:$AH$266,'Nov'!$D$27:$AH$266,'Dec'!$D$27:$AH$266,'Jan (next year)'!$D$27:$AH$266),27+4*(IFERROR(MATCH(C473,Roster!$B$6:$B$65,0),MATCH(C473,Roster!$C$6:$C$65,0))-1)+MATCH(B473,{"AM","PM","NIGHT","WD"},0)-1-27+1,DAY(A473))&amp;"",""))</f>
        <v/>
      </c>
      <c r="G473" s="123">
        <f>IF(OR(A473="",C473="",B473="",E473=""),"",IFERROR(A473&amp;"|"&amp;(27+4*(IFERROR(MATCH(C473,Roster!$B$6:$B$65,0),MATCH(C473,Roster!$C$6:$C$65,0))-1)+MATCH(B473,{"AM","PM","NIGHT","WD"},0)-1),""))</f>
        <v/>
      </c>
    </row>
    <row r="474">
      <c r="A474" s="122" t="n"/>
      <c r="B474" s="107" t="n"/>
      <c r="C474" s="105" t="n"/>
      <c r="D474" s="92">
        <f>IF(C474="","",IFERROR(INDEX(Roster!$C$6:$C$65,IFERROR(MATCH(C474,Roster!$B$6:$B$65,0),MATCH(C474,Roster!$C$6:$C$65,0))),"not on the Roster"))</f>
        <v/>
      </c>
      <c r="E474" s="106" t="n"/>
      <c r="F474" s="104">
        <f>IF(OR(A474="",C474="",B474=""),"",IFERROR(INDEX(CHOOSE(IF(YEAR(A474)&gt;PlanYear,13,MONTH(A474)),'Jan'!$D$27:$AH$266,'Feb'!$D$27:$AH$266,'Mar'!$D$27:$AH$266,'Apr'!$D$27:$AH$266,'May'!$D$27:$AH$266,'Jun'!$D$27:$AH$266,'Jul'!$D$27:$AH$266,'Aug'!$D$27:$AH$266,'Sep'!$D$27:$AH$266,'Oct'!$D$27:$AH$266,'Nov'!$D$27:$AH$266,'Dec'!$D$27:$AH$266,'Jan (next year)'!$D$27:$AH$266),27+4*(IFERROR(MATCH(C474,Roster!$B$6:$B$65,0),MATCH(C474,Roster!$C$6:$C$65,0))-1)+MATCH(B474,{"AM","PM","NIGHT","WD"},0)-1-27+1,DAY(A474))&amp;"",""))</f>
        <v/>
      </c>
      <c r="G474" s="123">
        <f>IF(OR(A474="",C474="",B474="",E474=""),"",IFERROR(A474&amp;"|"&amp;(27+4*(IFERROR(MATCH(C474,Roster!$B$6:$B$65,0),MATCH(C474,Roster!$C$6:$C$65,0))-1)+MATCH(B474,{"AM","PM","NIGHT","WD"},0)-1),""))</f>
        <v/>
      </c>
    </row>
    <row r="475">
      <c r="A475" s="122" t="n"/>
      <c r="B475" s="107" t="n"/>
      <c r="C475" s="105" t="n"/>
      <c r="D475" s="92">
        <f>IF(C475="","",IFERROR(INDEX(Roster!$C$6:$C$65,IFERROR(MATCH(C475,Roster!$B$6:$B$65,0),MATCH(C475,Roster!$C$6:$C$65,0))),"not on the Roster"))</f>
        <v/>
      </c>
      <c r="E475" s="106" t="n"/>
      <c r="F475" s="104">
        <f>IF(OR(A475="",C475="",B475=""),"",IFERROR(INDEX(CHOOSE(IF(YEAR(A475)&gt;PlanYear,13,MONTH(A475)),'Jan'!$D$27:$AH$266,'Feb'!$D$27:$AH$266,'Mar'!$D$27:$AH$266,'Apr'!$D$27:$AH$266,'May'!$D$27:$AH$266,'Jun'!$D$27:$AH$266,'Jul'!$D$27:$AH$266,'Aug'!$D$27:$AH$266,'Sep'!$D$27:$AH$266,'Oct'!$D$27:$AH$266,'Nov'!$D$27:$AH$266,'Dec'!$D$27:$AH$266,'Jan (next year)'!$D$27:$AH$266),27+4*(IFERROR(MATCH(C475,Roster!$B$6:$B$65,0),MATCH(C475,Roster!$C$6:$C$65,0))-1)+MATCH(B475,{"AM","PM","NIGHT","WD"},0)-1-27+1,DAY(A475))&amp;"",""))</f>
        <v/>
      </c>
      <c r="G475" s="123">
        <f>IF(OR(A475="",C475="",B475="",E475=""),"",IFERROR(A475&amp;"|"&amp;(27+4*(IFERROR(MATCH(C475,Roster!$B$6:$B$65,0),MATCH(C475,Roster!$C$6:$C$65,0))-1)+MATCH(B475,{"AM","PM","NIGHT","WD"},0)-1),""))</f>
        <v/>
      </c>
    </row>
    <row r="476">
      <c r="A476" s="122" t="n"/>
      <c r="B476" s="107" t="n"/>
      <c r="C476" s="105" t="n"/>
      <c r="D476" s="92">
        <f>IF(C476="","",IFERROR(INDEX(Roster!$C$6:$C$65,IFERROR(MATCH(C476,Roster!$B$6:$B$65,0),MATCH(C476,Roster!$C$6:$C$65,0))),"not on the Roster"))</f>
        <v/>
      </c>
      <c r="E476" s="106" t="n"/>
      <c r="F476" s="104">
        <f>IF(OR(A476="",C476="",B476=""),"",IFERROR(INDEX(CHOOSE(IF(YEAR(A476)&gt;PlanYear,13,MONTH(A476)),'Jan'!$D$27:$AH$266,'Feb'!$D$27:$AH$266,'Mar'!$D$27:$AH$266,'Apr'!$D$27:$AH$266,'May'!$D$27:$AH$266,'Jun'!$D$27:$AH$266,'Jul'!$D$27:$AH$266,'Aug'!$D$27:$AH$266,'Sep'!$D$27:$AH$266,'Oct'!$D$27:$AH$266,'Nov'!$D$27:$AH$266,'Dec'!$D$27:$AH$266,'Jan (next year)'!$D$27:$AH$266),27+4*(IFERROR(MATCH(C476,Roster!$B$6:$B$65,0),MATCH(C476,Roster!$C$6:$C$65,0))-1)+MATCH(B476,{"AM","PM","NIGHT","WD"},0)-1-27+1,DAY(A476))&amp;"",""))</f>
        <v/>
      </c>
      <c r="G476" s="123">
        <f>IF(OR(A476="",C476="",B476="",E476=""),"",IFERROR(A476&amp;"|"&amp;(27+4*(IFERROR(MATCH(C476,Roster!$B$6:$B$65,0),MATCH(C476,Roster!$C$6:$C$65,0))-1)+MATCH(B476,{"AM","PM","NIGHT","WD"},0)-1),""))</f>
        <v/>
      </c>
    </row>
    <row r="477">
      <c r="A477" s="122" t="n"/>
      <c r="B477" s="107" t="n"/>
      <c r="C477" s="105" t="n"/>
      <c r="D477" s="92">
        <f>IF(C477="","",IFERROR(INDEX(Roster!$C$6:$C$65,IFERROR(MATCH(C477,Roster!$B$6:$B$65,0),MATCH(C477,Roster!$C$6:$C$65,0))),"not on the Roster"))</f>
        <v/>
      </c>
      <c r="E477" s="106" t="n"/>
      <c r="F477" s="104">
        <f>IF(OR(A477="",C477="",B477=""),"",IFERROR(INDEX(CHOOSE(IF(YEAR(A477)&gt;PlanYear,13,MONTH(A477)),'Jan'!$D$27:$AH$266,'Feb'!$D$27:$AH$266,'Mar'!$D$27:$AH$266,'Apr'!$D$27:$AH$266,'May'!$D$27:$AH$266,'Jun'!$D$27:$AH$266,'Jul'!$D$27:$AH$266,'Aug'!$D$27:$AH$266,'Sep'!$D$27:$AH$266,'Oct'!$D$27:$AH$266,'Nov'!$D$27:$AH$266,'Dec'!$D$27:$AH$266,'Jan (next year)'!$D$27:$AH$266),27+4*(IFERROR(MATCH(C477,Roster!$B$6:$B$65,0),MATCH(C477,Roster!$C$6:$C$65,0))-1)+MATCH(B477,{"AM","PM","NIGHT","WD"},0)-1-27+1,DAY(A477))&amp;"",""))</f>
        <v/>
      </c>
      <c r="G477" s="123">
        <f>IF(OR(A477="",C477="",B477="",E477=""),"",IFERROR(A477&amp;"|"&amp;(27+4*(IFERROR(MATCH(C477,Roster!$B$6:$B$65,0),MATCH(C477,Roster!$C$6:$C$65,0))-1)+MATCH(B477,{"AM","PM","NIGHT","WD"},0)-1),""))</f>
        <v/>
      </c>
    </row>
    <row r="478">
      <c r="A478" s="122" t="n"/>
      <c r="B478" s="107" t="n"/>
      <c r="C478" s="105" t="n"/>
      <c r="D478" s="92">
        <f>IF(C478="","",IFERROR(INDEX(Roster!$C$6:$C$65,IFERROR(MATCH(C478,Roster!$B$6:$B$65,0),MATCH(C478,Roster!$C$6:$C$65,0))),"not on the Roster"))</f>
        <v/>
      </c>
      <c r="E478" s="106" t="n"/>
      <c r="F478" s="104">
        <f>IF(OR(A478="",C478="",B478=""),"",IFERROR(INDEX(CHOOSE(IF(YEAR(A478)&gt;PlanYear,13,MONTH(A478)),'Jan'!$D$27:$AH$266,'Feb'!$D$27:$AH$266,'Mar'!$D$27:$AH$266,'Apr'!$D$27:$AH$266,'May'!$D$27:$AH$266,'Jun'!$D$27:$AH$266,'Jul'!$D$27:$AH$266,'Aug'!$D$27:$AH$266,'Sep'!$D$27:$AH$266,'Oct'!$D$27:$AH$266,'Nov'!$D$27:$AH$266,'Dec'!$D$27:$AH$266,'Jan (next year)'!$D$27:$AH$266),27+4*(IFERROR(MATCH(C478,Roster!$B$6:$B$65,0),MATCH(C478,Roster!$C$6:$C$65,0))-1)+MATCH(B478,{"AM","PM","NIGHT","WD"},0)-1-27+1,DAY(A478))&amp;"",""))</f>
        <v/>
      </c>
      <c r="G478" s="123">
        <f>IF(OR(A478="",C478="",B478="",E478=""),"",IFERROR(A478&amp;"|"&amp;(27+4*(IFERROR(MATCH(C478,Roster!$B$6:$B$65,0),MATCH(C478,Roster!$C$6:$C$65,0))-1)+MATCH(B478,{"AM","PM","NIGHT","WD"},0)-1),""))</f>
        <v/>
      </c>
    </row>
    <row r="479">
      <c r="A479" s="122" t="n"/>
      <c r="B479" s="107" t="n"/>
      <c r="C479" s="105" t="n"/>
      <c r="D479" s="92">
        <f>IF(C479="","",IFERROR(INDEX(Roster!$C$6:$C$65,IFERROR(MATCH(C479,Roster!$B$6:$B$65,0),MATCH(C479,Roster!$C$6:$C$65,0))),"not on the Roster"))</f>
        <v/>
      </c>
      <c r="E479" s="106" t="n"/>
      <c r="F479" s="104">
        <f>IF(OR(A479="",C479="",B479=""),"",IFERROR(INDEX(CHOOSE(IF(YEAR(A479)&gt;PlanYear,13,MONTH(A479)),'Jan'!$D$27:$AH$266,'Feb'!$D$27:$AH$266,'Mar'!$D$27:$AH$266,'Apr'!$D$27:$AH$266,'May'!$D$27:$AH$266,'Jun'!$D$27:$AH$266,'Jul'!$D$27:$AH$266,'Aug'!$D$27:$AH$266,'Sep'!$D$27:$AH$266,'Oct'!$D$27:$AH$266,'Nov'!$D$27:$AH$266,'Dec'!$D$27:$AH$266,'Jan (next year)'!$D$27:$AH$266),27+4*(IFERROR(MATCH(C479,Roster!$B$6:$B$65,0),MATCH(C479,Roster!$C$6:$C$65,0))-1)+MATCH(B479,{"AM","PM","NIGHT","WD"},0)-1-27+1,DAY(A479))&amp;"",""))</f>
        <v/>
      </c>
      <c r="G479" s="123">
        <f>IF(OR(A479="",C479="",B479="",E479=""),"",IFERROR(A479&amp;"|"&amp;(27+4*(IFERROR(MATCH(C479,Roster!$B$6:$B$65,0),MATCH(C479,Roster!$C$6:$C$65,0))-1)+MATCH(B479,{"AM","PM","NIGHT","WD"},0)-1),""))</f>
        <v/>
      </c>
    </row>
    <row r="480">
      <c r="A480" s="122" t="n"/>
      <c r="B480" s="107" t="n"/>
      <c r="C480" s="105" t="n"/>
      <c r="D480" s="92">
        <f>IF(C480="","",IFERROR(INDEX(Roster!$C$6:$C$65,IFERROR(MATCH(C480,Roster!$B$6:$B$65,0),MATCH(C480,Roster!$C$6:$C$65,0))),"not on the Roster"))</f>
        <v/>
      </c>
      <c r="E480" s="106" t="n"/>
      <c r="F480" s="104">
        <f>IF(OR(A480="",C480="",B480=""),"",IFERROR(INDEX(CHOOSE(IF(YEAR(A480)&gt;PlanYear,13,MONTH(A480)),'Jan'!$D$27:$AH$266,'Feb'!$D$27:$AH$266,'Mar'!$D$27:$AH$266,'Apr'!$D$27:$AH$266,'May'!$D$27:$AH$266,'Jun'!$D$27:$AH$266,'Jul'!$D$27:$AH$266,'Aug'!$D$27:$AH$266,'Sep'!$D$27:$AH$266,'Oct'!$D$27:$AH$266,'Nov'!$D$27:$AH$266,'Dec'!$D$27:$AH$266,'Jan (next year)'!$D$27:$AH$266),27+4*(IFERROR(MATCH(C480,Roster!$B$6:$B$65,0),MATCH(C480,Roster!$C$6:$C$65,0))-1)+MATCH(B480,{"AM","PM","NIGHT","WD"},0)-1-27+1,DAY(A480))&amp;"",""))</f>
        <v/>
      </c>
      <c r="G480" s="123">
        <f>IF(OR(A480="",C480="",B480="",E480=""),"",IFERROR(A480&amp;"|"&amp;(27+4*(IFERROR(MATCH(C480,Roster!$B$6:$B$65,0),MATCH(C480,Roster!$C$6:$C$65,0))-1)+MATCH(B480,{"AM","PM","NIGHT","WD"},0)-1),""))</f>
        <v/>
      </c>
    </row>
    <row r="481">
      <c r="A481" s="122" t="n"/>
      <c r="B481" s="107" t="n"/>
      <c r="C481" s="105" t="n"/>
      <c r="D481" s="92">
        <f>IF(C481="","",IFERROR(INDEX(Roster!$C$6:$C$65,IFERROR(MATCH(C481,Roster!$B$6:$B$65,0),MATCH(C481,Roster!$C$6:$C$65,0))),"not on the Roster"))</f>
        <v/>
      </c>
      <c r="E481" s="106" t="n"/>
      <c r="F481" s="104">
        <f>IF(OR(A481="",C481="",B481=""),"",IFERROR(INDEX(CHOOSE(IF(YEAR(A481)&gt;PlanYear,13,MONTH(A481)),'Jan'!$D$27:$AH$266,'Feb'!$D$27:$AH$266,'Mar'!$D$27:$AH$266,'Apr'!$D$27:$AH$266,'May'!$D$27:$AH$266,'Jun'!$D$27:$AH$266,'Jul'!$D$27:$AH$266,'Aug'!$D$27:$AH$266,'Sep'!$D$27:$AH$266,'Oct'!$D$27:$AH$266,'Nov'!$D$27:$AH$266,'Dec'!$D$27:$AH$266,'Jan (next year)'!$D$27:$AH$266),27+4*(IFERROR(MATCH(C481,Roster!$B$6:$B$65,0),MATCH(C481,Roster!$C$6:$C$65,0))-1)+MATCH(B481,{"AM","PM","NIGHT","WD"},0)-1-27+1,DAY(A481))&amp;"",""))</f>
        <v/>
      </c>
      <c r="G481" s="123">
        <f>IF(OR(A481="",C481="",B481="",E481=""),"",IFERROR(A481&amp;"|"&amp;(27+4*(IFERROR(MATCH(C481,Roster!$B$6:$B$65,0),MATCH(C481,Roster!$C$6:$C$65,0))-1)+MATCH(B481,{"AM","PM","NIGHT","WD"},0)-1),""))</f>
        <v/>
      </c>
    </row>
    <row r="482">
      <c r="A482" s="122" t="n"/>
      <c r="B482" s="107" t="n"/>
      <c r="C482" s="105" t="n"/>
      <c r="D482" s="92">
        <f>IF(C482="","",IFERROR(INDEX(Roster!$C$6:$C$65,IFERROR(MATCH(C482,Roster!$B$6:$B$65,0),MATCH(C482,Roster!$C$6:$C$65,0))),"not on the Roster"))</f>
        <v/>
      </c>
      <c r="E482" s="106" t="n"/>
      <c r="F482" s="104">
        <f>IF(OR(A482="",C482="",B482=""),"",IFERROR(INDEX(CHOOSE(IF(YEAR(A482)&gt;PlanYear,13,MONTH(A482)),'Jan'!$D$27:$AH$266,'Feb'!$D$27:$AH$266,'Mar'!$D$27:$AH$266,'Apr'!$D$27:$AH$266,'May'!$D$27:$AH$266,'Jun'!$D$27:$AH$266,'Jul'!$D$27:$AH$266,'Aug'!$D$27:$AH$266,'Sep'!$D$27:$AH$266,'Oct'!$D$27:$AH$266,'Nov'!$D$27:$AH$266,'Dec'!$D$27:$AH$266,'Jan (next year)'!$D$27:$AH$266),27+4*(IFERROR(MATCH(C482,Roster!$B$6:$B$65,0),MATCH(C482,Roster!$C$6:$C$65,0))-1)+MATCH(B482,{"AM","PM","NIGHT","WD"},0)-1-27+1,DAY(A482))&amp;"",""))</f>
        <v/>
      </c>
      <c r="G482" s="123">
        <f>IF(OR(A482="",C482="",B482="",E482=""),"",IFERROR(A482&amp;"|"&amp;(27+4*(IFERROR(MATCH(C482,Roster!$B$6:$B$65,0),MATCH(C482,Roster!$C$6:$C$65,0))-1)+MATCH(B482,{"AM","PM","NIGHT","WD"},0)-1),""))</f>
        <v/>
      </c>
    </row>
    <row r="483">
      <c r="A483" s="122" t="n"/>
      <c r="B483" s="107" t="n"/>
      <c r="C483" s="105" t="n"/>
      <c r="D483" s="92">
        <f>IF(C483="","",IFERROR(INDEX(Roster!$C$6:$C$65,IFERROR(MATCH(C483,Roster!$B$6:$B$65,0),MATCH(C483,Roster!$C$6:$C$65,0))),"not on the Roster"))</f>
        <v/>
      </c>
      <c r="E483" s="106" t="n"/>
      <c r="F483" s="104">
        <f>IF(OR(A483="",C483="",B483=""),"",IFERROR(INDEX(CHOOSE(IF(YEAR(A483)&gt;PlanYear,13,MONTH(A483)),'Jan'!$D$27:$AH$266,'Feb'!$D$27:$AH$266,'Mar'!$D$27:$AH$266,'Apr'!$D$27:$AH$266,'May'!$D$27:$AH$266,'Jun'!$D$27:$AH$266,'Jul'!$D$27:$AH$266,'Aug'!$D$27:$AH$266,'Sep'!$D$27:$AH$266,'Oct'!$D$27:$AH$266,'Nov'!$D$27:$AH$266,'Dec'!$D$27:$AH$266,'Jan (next year)'!$D$27:$AH$266),27+4*(IFERROR(MATCH(C483,Roster!$B$6:$B$65,0),MATCH(C483,Roster!$C$6:$C$65,0))-1)+MATCH(B483,{"AM","PM","NIGHT","WD"},0)-1-27+1,DAY(A483))&amp;"",""))</f>
        <v/>
      </c>
      <c r="G483" s="123">
        <f>IF(OR(A483="",C483="",B483="",E483=""),"",IFERROR(A483&amp;"|"&amp;(27+4*(IFERROR(MATCH(C483,Roster!$B$6:$B$65,0),MATCH(C483,Roster!$C$6:$C$65,0))-1)+MATCH(B483,{"AM","PM","NIGHT","WD"},0)-1),""))</f>
        <v/>
      </c>
    </row>
    <row r="484">
      <c r="A484" s="122" t="n"/>
      <c r="B484" s="107" t="n"/>
      <c r="C484" s="105" t="n"/>
      <c r="D484" s="92">
        <f>IF(C484="","",IFERROR(INDEX(Roster!$C$6:$C$65,IFERROR(MATCH(C484,Roster!$B$6:$B$65,0),MATCH(C484,Roster!$C$6:$C$65,0))),"not on the Roster"))</f>
        <v/>
      </c>
      <c r="E484" s="106" t="n"/>
      <c r="F484" s="104">
        <f>IF(OR(A484="",C484="",B484=""),"",IFERROR(INDEX(CHOOSE(IF(YEAR(A484)&gt;PlanYear,13,MONTH(A484)),'Jan'!$D$27:$AH$266,'Feb'!$D$27:$AH$266,'Mar'!$D$27:$AH$266,'Apr'!$D$27:$AH$266,'May'!$D$27:$AH$266,'Jun'!$D$27:$AH$266,'Jul'!$D$27:$AH$266,'Aug'!$D$27:$AH$266,'Sep'!$D$27:$AH$266,'Oct'!$D$27:$AH$266,'Nov'!$D$27:$AH$266,'Dec'!$D$27:$AH$266,'Jan (next year)'!$D$27:$AH$266),27+4*(IFERROR(MATCH(C484,Roster!$B$6:$B$65,0),MATCH(C484,Roster!$C$6:$C$65,0))-1)+MATCH(B484,{"AM","PM","NIGHT","WD"},0)-1-27+1,DAY(A484))&amp;"",""))</f>
        <v/>
      </c>
      <c r="G484" s="123">
        <f>IF(OR(A484="",C484="",B484="",E484=""),"",IFERROR(A484&amp;"|"&amp;(27+4*(IFERROR(MATCH(C484,Roster!$B$6:$B$65,0),MATCH(C484,Roster!$C$6:$C$65,0))-1)+MATCH(B484,{"AM","PM","NIGHT","WD"},0)-1),""))</f>
        <v/>
      </c>
    </row>
    <row r="485">
      <c r="A485" s="122" t="n"/>
      <c r="B485" s="107" t="n"/>
      <c r="C485" s="105" t="n"/>
      <c r="D485" s="92">
        <f>IF(C485="","",IFERROR(INDEX(Roster!$C$6:$C$65,IFERROR(MATCH(C485,Roster!$B$6:$B$65,0),MATCH(C485,Roster!$C$6:$C$65,0))),"not on the Roster"))</f>
        <v/>
      </c>
      <c r="E485" s="106" t="n"/>
      <c r="F485" s="104">
        <f>IF(OR(A485="",C485="",B485=""),"",IFERROR(INDEX(CHOOSE(IF(YEAR(A485)&gt;PlanYear,13,MONTH(A485)),'Jan'!$D$27:$AH$266,'Feb'!$D$27:$AH$266,'Mar'!$D$27:$AH$266,'Apr'!$D$27:$AH$266,'May'!$D$27:$AH$266,'Jun'!$D$27:$AH$266,'Jul'!$D$27:$AH$266,'Aug'!$D$27:$AH$266,'Sep'!$D$27:$AH$266,'Oct'!$D$27:$AH$266,'Nov'!$D$27:$AH$266,'Dec'!$D$27:$AH$266,'Jan (next year)'!$D$27:$AH$266),27+4*(IFERROR(MATCH(C485,Roster!$B$6:$B$65,0),MATCH(C485,Roster!$C$6:$C$65,0))-1)+MATCH(B485,{"AM","PM","NIGHT","WD"},0)-1-27+1,DAY(A485))&amp;"",""))</f>
        <v/>
      </c>
      <c r="G485" s="123">
        <f>IF(OR(A485="",C485="",B485="",E485=""),"",IFERROR(A485&amp;"|"&amp;(27+4*(IFERROR(MATCH(C485,Roster!$B$6:$B$65,0),MATCH(C485,Roster!$C$6:$C$65,0))-1)+MATCH(B485,{"AM","PM","NIGHT","WD"},0)-1),""))</f>
        <v/>
      </c>
    </row>
    <row r="486">
      <c r="A486" s="122" t="n"/>
      <c r="B486" s="107" t="n"/>
      <c r="C486" s="105" t="n"/>
      <c r="D486" s="92">
        <f>IF(C486="","",IFERROR(INDEX(Roster!$C$6:$C$65,IFERROR(MATCH(C486,Roster!$B$6:$B$65,0),MATCH(C486,Roster!$C$6:$C$65,0))),"not on the Roster"))</f>
        <v/>
      </c>
      <c r="E486" s="106" t="n"/>
      <c r="F486" s="104">
        <f>IF(OR(A486="",C486="",B486=""),"",IFERROR(INDEX(CHOOSE(IF(YEAR(A486)&gt;PlanYear,13,MONTH(A486)),'Jan'!$D$27:$AH$266,'Feb'!$D$27:$AH$266,'Mar'!$D$27:$AH$266,'Apr'!$D$27:$AH$266,'May'!$D$27:$AH$266,'Jun'!$D$27:$AH$266,'Jul'!$D$27:$AH$266,'Aug'!$D$27:$AH$266,'Sep'!$D$27:$AH$266,'Oct'!$D$27:$AH$266,'Nov'!$D$27:$AH$266,'Dec'!$D$27:$AH$266,'Jan (next year)'!$D$27:$AH$266),27+4*(IFERROR(MATCH(C486,Roster!$B$6:$B$65,0),MATCH(C486,Roster!$C$6:$C$65,0))-1)+MATCH(B486,{"AM","PM","NIGHT","WD"},0)-1-27+1,DAY(A486))&amp;"",""))</f>
        <v/>
      </c>
      <c r="G486" s="123">
        <f>IF(OR(A486="",C486="",B486="",E486=""),"",IFERROR(A486&amp;"|"&amp;(27+4*(IFERROR(MATCH(C486,Roster!$B$6:$B$65,0),MATCH(C486,Roster!$C$6:$C$65,0))-1)+MATCH(B486,{"AM","PM","NIGHT","WD"},0)-1),""))</f>
        <v/>
      </c>
    </row>
    <row r="487">
      <c r="A487" s="122" t="n"/>
      <c r="B487" s="107" t="n"/>
      <c r="C487" s="105" t="n"/>
      <c r="D487" s="92">
        <f>IF(C487="","",IFERROR(INDEX(Roster!$C$6:$C$65,IFERROR(MATCH(C487,Roster!$B$6:$B$65,0),MATCH(C487,Roster!$C$6:$C$65,0))),"not on the Roster"))</f>
        <v/>
      </c>
      <c r="E487" s="106" t="n"/>
      <c r="F487" s="104">
        <f>IF(OR(A487="",C487="",B487=""),"",IFERROR(INDEX(CHOOSE(IF(YEAR(A487)&gt;PlanYear,13,MONTH(A487)),'Jan'!$D$27:$AH$266,'Feb'!$D$27:$AH$266,'Mar'!$D$27:$AH$266,'Apr'!$D$27:$AH$266,'May'!$D$27:$AH$266,'Jun'!$D$27:$AH$266,'Jul'!$D$27:$AH$266,'Aug'!$D$27:$AH$266,'Sep'!$D$27:$AH$266,'Oct'!$D$27:$AH$266,'Nov'!$D$27:$AH$266,'Dec'!$D$27:$AH$266,'Jan (next year)'!$D$27:$AH$266),27+4*(IFERROR(MATCH(C487,Roster!$B$6:$B$65,0),MATCH(C487,Roster!$C$6:$C$65,0))-1)+MATCH(B487,{"AM","PM","NIGHT","WD"},0)-1-27+1,DAY(A487))&amp;"",""))</f>
        <v/>
      </c>
      <c r="G487" s="123">
        <f>IF(OR(A487="",C487="",B487="",E487=""),"",IFERROR(A487&amp;"|"&amp;(27+4*(IFERROR(MATCH(C487,Roster!$B$6:$B$65,0),MATCH(C487,Roster!$C$6:$C$65,0))-1)+MATCH(B487,{"AM","PM","NIGHT","WD"},0)-1),""))</f>
        <v/>
      </c>
    </row>
    <row r="488">
      <c r="A488" s="122" t="n"/>
      <c r="B488" s="107" t="n"/>
      <c r="C488" s="105" t="n"/>
      <c r="D488" s="92">
        <f>IF(C488="","",IFERROR(INDEX(Roster!$C$6:$C$65,IFERROR(MATCH(C488,Roster!$B$6:$B$65,0),MATCH(C488,Roster!$C$6:$C$65,0))),"not on the Roster"))</f>
        <v/>
      </c>
      <c r="E488" s="106" t="n"/>
      <c r="F488" s="104">
        <f>IF(OR(A488="",C488="",B488=""),"",IFERROR(INDEX(CHOOSE(IF(YEAR(A488)&gt;PlanYear,13,MONTH(A488)),'Jan'!$D$27:$AH$266,'Feb'!$D$27:$AH$266,'Mar'!$D$27:$AH$266,'Apr'!$D$27:$AH$266,'May'!$D$27:$AH$266,'Jun'!$D$27:$AH$266,'Jul'!$D$27:$AH$266,'Aug'!$D$27:$AH$266,'Sep'!$D$27:$AH$266,'Oct'!$D$27:$AH$266,'Nov'!$D$27:$AH$266,'Dec'!$D$27:$AH$266,'Jan (next year)'!$D$27:$AH$266),27+4*(IFERROR(MATCH(C488,Roster!$B$6:$B$65,0),MATCH(C488,Roster!$C$6:$C$65,0))-1)+MATCH(B488,{"AM","PM","NIGHT","WD"},0)-1-27+1,DAY(A488))&amp;"",""))</f>
        <v/>
      </c>
      <c r="G488" s="123">
        <f>IF(OR(A488="",C488="",B488="",E488=""),"",IFERROR(A488&amp;"|"&amp;(27+4*(IFERROR(MATCH(C488,Roster!$B$6:$B$65,0),MATCH(C488,Roster!$C$6:$C$65,0))-1)+MATCH(B488,{"AM","PM","NIGHT","WD"},0)-1),""))</f>
        <v/>
      </c>
    </row>
    <row r="489">
      <c r="A489" s="122" t="n"/>
      <c r="B489" s="107" t="n"/>
      <c r="C489" s="105" t="n"/>
      <c r="D489" s="92">
        <f>IF(C489="","",IFERROR(INDEX(Roster!$C$6:$C$65,IFERROR(MATCH(C489,Roster!$B$6:$B$65,0),MATCH(C489,Roster!$C$6:$C$65,0))),"not on the Roster"))</f>
        <v/>
      </c>
      <c r="E489" s="106" t="n"/>
      <c r="F489" s="104">
        <f>IF(OR(A489="",C489="",B489=""),"",IFERROR(INDEX(CHOOSE(IF(YEAR(A489)&gt;PlanYear,13,MONTH(A489)),'Jan'!$D$27:$AH$266,'Feb'!$D$27:$AH$266,'Mar'!$D$27:$AH$266,'Apr'!$D$27:$AH$266,'May'!$D$27:$AH$266,'Jun'!$D$27:$AH$266,'Jul'!$D$27:$AH$266,'Aug'!$D$27:$AH$266,'Sep'!$D$27:$AH$266,'Oct'!$D$27:$AH$266,'Nov'!$D$27:$AH$266,'Dec'!$D$27:$AH$266,'Jan (next year)'!$D$27:$AH$266),27+4*(IFERROR(MATCH(C489,Roster!$B$6:$B$65,0),MATCH(C489,Roster!$C$6:$C$65,0))-1)+MATCH(B489,{"AM","PM","NIGHT","WD"},0)-1-27+1,DAY(A489))&amp;"",""))</f>
        <v/>
      </c>
      <c r="G489" s="123">
        <f>IF(OR(A489="",C489="",B489="",E489=""),"",IFERROR(A489&amp;"|"&amp;(27+4*(IFERROR(MATCH(C489,Roster!$B$6:$B$65,0),MATCH(C489,Roster!$C$6:$C$65,0))-1)+MATCH(B489,{"AM","PM","NIGHT","WD"},0)-1),""))</f>
        <v/>
      </c>
    </row>
    <row r="490">
      <c r="A490" s="122" t="n"/>
      <c r="B490" s="107" t="n"/>
      <c r="C490" s="105" t="n"/>
      <c r="D490" s="92">
        <f>IF(C490="","",IFERROR(INDEX(Roster!$C$6:$C$65,IFERROR(MATCH(C490,Roster!$B$6:$B$65,0),MATCH(C490,Roster!$C$6:$C$65,0))),"not on the Roster"))</f>
        <v/>
      </c>
      <c r="E490" s="106" t="n"/>
      <c r="F490" s="104">
        <f>IF(OR(A490="",C490="",B490=""),"",IFERROR(INDEX(CHOOSE(IF(YEAR(A490)&gt;PlanYear,13,MONTH(A490)),'Jan'!$D$27:$AH$266,'Feb'!$D$27:$AH$266,'Mar'!$D$27:$AH$266,'Apr'!$D$27:$AH$266,'May'!$D$27:$AH$266,'Jun'!$D$27:$AH$266,'Jul'!$D$27:$AH$266,'Aug'!$D$27:$AH$266,'Sep'!$D$27:$AH$266,'Oct'!$D$27:$AH$266,'Nov'!$D$27:$AH$266,'Dec'!$D$27:$AH$266,'Jan (next year)'!$D$27:$AH$266),27+4*(IFERROR(MATCH(C490,Roster!$B$6:$B$65,0),MATCH(C490,Roster!$C$6:$C$65,0))-1)+MATCH(B490,{"AM","PM","NIGHT","WD"},0)-1-27+1,DAY(A490))&amp;"",""))</f>
        <v/>
      </c>
      <c r="G490" s="123">
        <f>IF(OR(A490="",C490="",B490="",E490=""),"",IFERROR(A490&amp;"|"&amp;(27+4*(IFERROR(MATCH(C490,Roster!$B$6:$B$65,0),MATCH(C490,Roster!$C$6:$C$65,0))-1)+MATCH(B490,{"AM","PM","NIGHT","WD"},0)-1),""))</f>
        <v/>
      </c>
    </row>
    <row r="491">
      <c r="A491" s="122" t="n"/>
      <c r="B491" s="107" t="n"/>
      <c r="C491" s="105" t="n"/>
      <c r="D491" s="92">
        <f>IF(C491="","",IFERROR(INDEX(Roster!$C$6:$C$65,IFERROR(MATCH(C491,Roster!$B$6:$B$65,0),MATCH(C491,Roster!$C$6:$C$65,0))),"not on the Roster"))</f>
        <v/>
      </c>
      <c r="E491" s="106" t="n"/>
      <c r="F491" s="104">
        <f>IF(OR(A491="",C491="",B491=""),"",IFERROR(INDEX(CHOOSE(IF(YEAR(A491)&gt;PlanYear,13,MONTH(A491)),'Jan'!$D$27:$AH$266,'Feb'!$D$27:$AH$266,'Mar'!$D$27:$AH$266,'Apr'!$D$27:$AH$266,'May'!$D$27:$AH$266,'Jun'!$D$27:$AH$266,'Jul'!$D$27:$AH$266,'Aug'!$D$27:$AH$266,'Sep'!$D$27:$AH$266,'Oct'!$D$27:$AH$266,'Nov'!$D$27:$AH$266,'Dec'!$D$27:$AH$266,'Jan (next year)'!$D$27:$AH$266),27+4*(IFERROR(MATCH(C491,Roster!$B$6:$B$65,0),MATCH(C491,Roster!$C$6:$C$65,0))-1)+MATCH(B491,{"AM","PM","NIGHT","WD"},0)-1-27+1,DAY(A491))&amp;"",""))</f>
        <v/>
      </c>
      <c r="G491" s="123">
        <f>IF(OR(A491="",C491="",B491="",E491=""),"",IFERROR(A491&amp;"|"&amp;(27+4*(IFERROR(MATCH(C491,Roster!$B$6:$B$65,0),MATCH(C491,Roster!$C$6:$C$65,0))-1)+MATCH(B491,{"AM","PM","NIGHT","WD"},0)-1),""))</f>
        <v/>
      </c>
    </row>
    <row r="492">
      <c r="A492" s="122" t="n"/>
      <c r="B492" s="107" t="n"/>
      <c r="C492" s="105" t="n"/>
      <c r="D492" s="92">
        <f>IF(C492="","",IFERROR(INDEX(Roster!$C$6:$C$65,IFERROR(MATCH(C492,Roster!$B$6:$B$65,0),MATCH(C492,Roster!$C$6:$C$65,0))),"not on the Roster"))</f>
        <v/>
      </c>
      <c r="E492" s="106" t="n"/>
      <c r="F492" s="104">
        <f>IF(OR(A492="",C492="",B492=""),"",IFERROR(INDEX(CHOOSE(IF(YEAR(A492)&gt;PlanYear,13,MONTH(A492)),'Jan'!$D$27:$AH$266,'Feb'!$D$27:$AH$266,'Mar'!$D$27:$AH$266,'Apr'!$D$27:$AH$266,'May'!$D$27:$AH$266,'Jun'!$D$27:$AH$266,'Jul'!$D$27:$AH$266,'Aug'!$D$27:$AH$266,'Sep'!$D$27:$AH$266,'Oct'!$D$27:$AH$266,'Nov'!$D$27:$AH$266,'Dec'!$D$27:$AH$266,'Jan (next year)'!$D$27:$AH$266),27+4*(IFERROR(MATCH(C492,Roster!$B$6:$B$65,0),MATCH(C492,Roster!$C$6:$C$65,0))-1)+MATCH(B492,{"AM","PM","NIGHT","WD"},0)-1-27+1,DAY(A492))&amp;"",""))</f>
        <v/>
      </c>
      <c r="G492" s="123">
        <f>IF(OR(A492="",C492="",B492="",E492=""),"",IFERROR(A492&amp;"|"&amp;(27+4*(IFERROR(MATCH(C492,Roster!$B$6:$B$65,0),MATCH(C492,Roster!$C$6:$C$65,0))-1)+MATCH(B492,{"AM","PM","NIGHT","WD"},0)-1),""))</f>
        <v/>
      </c>
    </row>
    <row r="493">
      <c r="A493" s="122" t="n"/>
      <c r="B493" s="107" t="n"/>
      <c r="C493" s="105" t="n"/>
      <c r="D493" s="92">
        <f>IF(C493="","",IFERROR(INDEX(Roster!$C$6:$C$65,IFERROR(MATCH(C493,Roster!$B$6:$B$65,0),MATCH(C493,Roster!$C$6:$C$65,0))),"not on the Roster"))</f>
        <v/>
      </c>
      <c r="E493" s="106" t="n"/>
      <c r="F493" s="104">
        <f>IF(OR(A493="",C493="",B493=""),"",IFERROR(INDEX(CHOOSE(IF(YEAR(A493)&gt;PlanYear,13,MONTH(A493)),'Jan'!$D$27:$AH$266,'Feb'!$D$27:$AH$266,'Mar'!$D$27:$AH$266,'Apr'!$D$27:$AH$266,'May'!$D$27:$AH$266,'Jun'!$D$27:$AH$266,'Jul'!$D$27:$AH$266,'Aug'!$D$27:$AH$266,'Sep'!$D$27:$AH$266,'Oct'!$D$27:$AH$266,'Nov'!$D$27:$AH$266,'Dec'!$D$27:$AH$266,'Jan (next year)'!$D$27:$AH$266),27+4*(IFERROR(MATCH(C493,Roster!$B$6:$B$65,0),MATCH(C493,Roster!$C$6:$C$65,0))-1)+MATCH(B493,{"AM","PM","NIGHT","WD"},0)-1-27+1,DAY(A493))&amp;"",""))</f>
        <v/>
      </c>
      <c r="G493" s="123">
        <f>IF(OR(A493="",C493="",B493="",E493=""),"",IFERROR(A493&amp;"|"&amp;(27+4*(IFERROR(MATCH(C493,Roster!$B$6:$B$65,0),MATCH(C493,Roster!$C$6:$C$65,0))-1)+MATCH(B493,{"AM","PM","NIGHT","WD"},0)-1),""))</f>
        <v/>
      </c>
    </row>
    <row r="494">
      <c r="A494" s="122" t="n"/>
      <c r="B494" s="107" t="n"/>
      <c r="C494" s="105" t="n"/>
      <c r="D494" s="92">
        <f>IF(C494="","",IFERROR(INDEX(Roster!$C$6:$C$65,IFERROR(MATCH(C494,Roster!$B$6:$B$65,0),MATCH(C494,Roster!$C$6:$C$65,0))),"not on the Roster"))</f>
        <v/>
      </c>
      <c r="E494" s="106" t="n"/>
      <c r="F494" s="104">
        <f>IF(OR(A494="",C494="",B494=""),"",IFERROR(INDEX(CHOOSE(IF(YEAR(A494)&gt;PlanYear,13,MONTH(A494)),'Jan'!$D$27:$AH$266,'Feb'!$D$27:$AH$266,'Mar'!$D$27:$AH$266,'Apr'!$D$27:$AH$266,'May'!$D$27:$AH$266,'Jun'!$D$27:$AH$266,'Jul'!$D$27:$AH$266,'Aug'!$D$27:$AH$266,'Sep'!$D$27:$AH$266,'Oct'!$D$27:$AH$266,'Nov'!$D$27:$AH$266,'Dec'!$D$27:$AH$266,'Jan (next year)'!$D$27:$AH$266),27+4*(IFERROR(MATCH(C494,Roster!$B$6:$B$65,0),MATCH(C494,Roster!$C$6:$C$65,0))-1)+MATCH(B494,{"AM","PM","NIGHT","WD"},0)-1-27+1,DAY(A494))&amp;"",""))</f>
        <v/>
      </c>
      <c r="G494" s="123">
        <f>IF(OR(A494="",C494="",B494="",E494=""),"",IFERROR(A494&amp;"|"&amp;(27+4*(IFERROR(MATCH(C494,Roster!$B$6:$B$65,0),MATCH(C494,Roster!$C$6:$C$65,0))-1)+MATCH(B494,{"AM","PM","NIGHT","WD"},0)-1),""))</f>
        <v/>
      </c>
    </row>
    <row r="495">
      <c r="A495" s="122" t="n"/>
      <c r="B495" s="107" t="n"/>
      <c r="C495" s="105" t="n"/>
      <c r="D495" s="92">
        <f>IF(C495="","",IFERROR(INDEX(Roster!$C$6:$C$65,IFERROR(MATCH(C495,Roster!$B$6:$B$65,0),MATCH(C495,Roster!$C$6:$C$65,0))),"not on the Roster"))</f>
        <v/>
      </c>
      <c r="E495" s="106" t="n"/>
      <c r="F495" s="104">
        <f>IF(OR(A495="",C495="",B495=""),"",IFERROR(INDEX(CHOOSE(IF(YEAR(A495)&gt;PlanYear,13,MONTH(A495)),'Jan'!$D$27:$AH$266,'Feb'!$D$27:$AH$266,'Mar'!$D$27:$AH$266,'Apr'!$D$27:$AH$266,'May'!$D$27:$AH$266,'Jun'!$D$27:$AH$266,'Jul'!$D$27:$AH$266,'Aug'!$D$27:$AH$266,'Sep'!$D$27:$AH$266,'Oct'!$D$27:$AH$266,'Nov'!$D$27:$AH$266,'Dec'!$D$27:$AH$266,'Jan (next year)'!$D$27:$AH$266),27+4*(IFERROR(MATCH(C495,Roster!$B$6:$B$65,0),MATCH(C495,Roster!$C$6:$C$65,0))-1)+MATCH(B495,{"AM","PM","NIGHT","WD"},0)-1-27+1,DAY(A495))&amp;"",""))</f>
        <v/>
      </c>
      <c r="G495" s="123">
        <f>IF(OR(A495="",C495="",B495="",E495=""),"",IFERROR(A495&amp;"|"&amp;(27+4*(IFERROR(MATCH(C495,Roster!$B$6:$B$65,0),MATCH(C495,Roster!$C$6:$C$65,0))-1)+MATCH(B495,{"AM","PM","NIGHT","WD"},0)-1),""))</f>
        <v/>
      </c>
    </row>
    <row r="496">
      <c r="A496" s="122" t="n"/>
      <c r="B496" s="107" t="n"/>
      <c r="C496" s="105" t="n"/>
      <c r="D496" s="92">
        <f>IF(C496="","",IFERROR(INDEX(Roster!$C$6:$C$65,IFERROR(MATCH(C496,Roster!$B$6:$B$65,0),MATCH(C496,Roster!$C$6:$C$65,0))),"not on the Roster"))</f>
        <v/>
      </c>
      <c r="E496" s="106" t="n"/>
      <c r="F496" s="104">
        <f>IF(OR(A496="",C496="",B496=""),"",IFERROR(INDEX(CHOOSE(IF(YEAR(A496)&gt;PlanYear,13,MONTH(A496)),'Jan'!$D$27:$AH$266,'Feb'!$D$27:$AH$266,'Mar'!$D$27:$AH$266,'Apr'!$D$27:$AH$266,'May'!$D$27:$AH$266,'Jun'!$D$27:$AH$266,'Jul'!$D$27:$AH$266,'Aug'!$D$27:$AH$266,'Sep'!$D$27:$AH$266,'Oct'!$D$27:$AH$266,'Nov'!$D$27:$AH$266,'Dec'!$D$27:$AH$266,'Jan (next year)'!$D$27:$AH$266),27+4*(IFERROR(MATCH(C496,Roster!$B$6:$B$65,0),MATCH(C496,Roster!$C$6:$C$65,0))-1)+MATCH(B496,{"AM","PM","NIGHT","WD"},0)-1-27+1,DAY(A496))&amp;"",""))</f>
        <v/>
      </c>
      <c r="G496" s="123">
        <f>IF(OR(A496="",C496="",B496="",E496=""),"",IFERROR(A496&amp;"|"&amp;(27+4*(IFERROR(MATCH(C496,Roster!$B$6:$B$65,0),MATCH(C496,Roster!$C$6:$C$65,0))-1)+MATCH(B496,{"AM","PM","NIGHT","WD"},0)-1),""))</f>
        <v/>
      </c>
    </row>
    <row r="497">
      <c r="A497" s="122" t="n"/>
      <c r="B497" s="107" t="n"/>
      <c r="C497" s="105" t="n"/>
      <c r="D497" s="92">
        <f>IF(C497="","",IFERROR(INDEX(Roster!$C$6:$C$65,IFERROR(MATCH(C497,Roster!$B$6:$B$65,0),MATCH(C497,Roster!$C$6:$C$65,0))),"not on the Roster"))</f>
        <v/>
      </c>
      <c r="E497" s="106" t="n"/>
      <c r="F497" s="104">
        <f>IF(OR(A497="",C497="",B497=""),"",IFERROR(INDEX(CHOOSE(IF(YEAR(A497)&gt;PlanYear,13,MONTH(A497)),'Jan'!$D$27:$AH$266,'Feb'!$D$27:$AH$266,'Mar'!$D$27:$AH$266,'Apr'!$D$27:$AH$266,'May'!$D$27:$AH$266,'Jun'!$D$27:$AH$266,'Jul'!$D$27:$AH$266,'Aug'!$D$27:$AH$266,'Sep'!$D$27:$AH$266,'Oct'!$D$27:$AH$266,'Nov'!$D$27:$AH$266,'Dec'!$D$27:$AH$266,'Jan (next year)'!$D$27:$AH$266),27+4*(IFERROR(MATCH(C497,Roster!$B$6:$B$65,0),MATCH(C497,Roster!$C$6:$C$65,0))-1)+MATCH(B497,{"AM","PM","NIGHT","WD"},0)-1-27+1,DAY(A497))&amp;"",""))</f>
        <v/>
      </c>
      <c r="G497" s="123">
        <f>IF(OR(A497="",C497="",B497="",E497=""),"",IFERROR(A497&amp;"|"&amp;(27+4*(IFERROR(MATCH(C497,Roster!$B$6:$B$65,0),MATCH(C497,Roster!$C$6:$C$65,0))-1)+MATCH(B497,{"AM","PM","NIGHT","WD"},0)-1),""))</f>
        <v/>
      </c>
    </row>
    <row r="498">
      <c r="A498" s="122" t="n"/>
      <c r="B498" s="107" t="n"/>
      <c r="C498" s="105" t="n"/>
      <c r="D498" s="92">
        <f>IF(C498="","",IFERROR(INDEX(Roster!$C$6:$C$65,IFERROR(MATCH(C498,Roster!$B$6:$B$65,0),MATCH(C498,Roster!$C$6:$C$65,0))),"not on the Roster"))</f>
        <v/>
      </c>
      <c r="E498" s="106" t="n"/>
      <c r="F498" s="104">
        <f>IF(OR(A498="",C498="",B498=""),"",IFERROR(INDEX(CHOOSE(IF(YEAR(A498)&gt;PlanYear,13,MONTH(A498)),'Jan'!$D$27:$AH$266,'Feb'!$D$27:$AH$266,'Mar'!$D$27:$AH$266,'Apr'!$D$27:$AH$266,'May'!$D$27:$AH$266,'Jun'!$D$27:$AH$266,'Jul'!$D$27:$AH$266,'Aug'!$D$27:$AH$266,'Sep'!$D$27:$AH$266,'Oct'!$D$27:$AH$266,'Nov'!$D$27:$AH$266,'Dec'!$D$27:$AH$266,'Jan (next year)'!$D$27:$AH$266),27+4*(IFERROR(MATCH(C498,Roster!$B$6:$B$65,0),MATCH(C498,Roster!$C$6:$C$65,0))-1)+MATCH(B498,{"AM","PM","NIGHT","WD"},0)-1-27+1,DAY(A498))&amp;"",""))</f>
        <v/>
      </c>
      <c r="G498" s="123">
        <f>IF(OR(A498="",C498="",B498="",E498=""),"",IFERROR(A498&amp;"|"&amp;(27+4*(IFERROR(MATCH(C498,Roster!$B$6:$B$65,0),MATCH(C498,Roster!$C$6:$C$65,0))-1)+MATCH(B498,{"AM","PM","NIGHT","WD"},0)-1),""))</f>
        <v/>
      </c>
    </row>
    <row r="499">
      <c r="A499" s="122" t="n"/>
      <c r="B499" s="107" t="n"/>
      <c r="C499" s="105" t="n"/>
      <c r="D499" s="92">
        <f>IF(C499="","",IFERROR(INDEX(Roster!$C$6:$C$65,IFERROR(MATCH(C499,Roster!$B$6:$B$65,0),MATCH(C499,Roster!$C$6:$C$65,0))),"not on the Roster"))</f>
        <v/>
      </c>
      <c r="E499" s="106" t="n"/>
      <c r="F499" s="104">
        <f>IF(OR(A499="",C499="",B499=""),"",IFERROR(INDEX(CHOOSE(IF(YEAR(A499)&gt;PlanYear,13,MONTH(A499)),'Jan'!$D$27:$AH$266,'Feb'!$D$27:$AH$266,'Mar'!$D$27:$AH$266,'Apr'!$D$27:$AH$266,'May'!$D$27:$AH$266,'Jun'!$D$27:$AH$266,'Jul'!$D$27:$AH$266,'Aug'!$D$27:$AH$266,'Sep'!$D$27:$AH$266,'Oct'!$D$27:$AH$266,'Nov'!$D$27:$AH$266,'Dec'!$D$27:$AH$266,'Jan (next year)'!$D$27:$AH$266),27+4*(IFERROR(MATCH(C499,Roster!$B$6:$B$65,0),MATCH(C499,Roster!$C$6:$C$65,0))-1)+MATCH(B499,{"AM","PM","NIGHT","WD"},0)-1-27+1,DAY(A499))&amp;"",""))</f>
        <v/>
      </c>
      <c r="G499" s="123">
        <f>IF(OR(A499="",C499="",B499="",E499=""),"",IFERROR(A499&amp;"|"&amp;(27+4*(IFERROR(MATCH(C499,Roster!$B$6:$B$65,0),MATCH(C499,Roster!$C$6:$C$65,0))-1)+MATCH(B499,{"AM","PM","NIGHT","WD"},0)-1),""))</f>
        <v/>
      </c>
    </row>
    <row r="500">
      <c r="A500" s="122" t="n"/>
      <c r="B500" s="107" t="n"/>
      <c r="C500" s="105" t="n"/>
      <c r="D500" s="92">
        <f>IF(C500="","",IFERROR(INDEX(Roster!$C$6:$C$65,IFERROR(MATCH(C500,Roster!$B$6:$B$65,0),MATCH(C500,Roster!$C$6:$C$65,0))),"not on the Roster"))</f>
        <v/>
      </c>
      <c r="E500" s="106" t="n"/>
      <c r="F500" s="104">
        <f>IF(OR(A500="",C500="",B500=""),"",IFERROR(INDEX(CHOOSE(IF(YEAR(A500)&gt;PlanYear,13,MONTH(A500)),'Jan'!$D$27:$AH$266,'Feb'!$D$27:$AH$266,'Mar'!$D$27:$AH$266,'Apr'!$D$27:$AH$266,'May'!$D$27:$AH$266,'Jun'!$D$27:$AH$266,'Jul'!$D$27:$AH$266,'Aug'!$D$27:$AH$266,'Sep'!$D$27:$AH$266,'Oct'!$D$27:$AH$266,'Nov'!$D$27:$AH$266,'Dec'!$D$27:$AH$266,'Jan (next year)'!$D$27:$AH$266),27+4*(IFERROR(MATCH(C500,Roster!$B$6:$B$65,0),MATCH(C500,Roster!$C$6:$C$65,0))-1)+MATCH(B500,{"AM","PM","NIGHT","WD"},0)-1-27+1,DAY(A500))&amp;"",""))</f>
        <v/>
      </c>
      <c r="G500" s="123">
        <f>IF(OR(A500="",C500="",B500="",E500=""),"",IFERROR(A500&amp;"|"&amp;(27+4*(IFERROR(MATCH(C500,Roster!$B$6:$B$65,0),MATCH(C500,Roster!$C$6:$C$65,0))-1)+MATCH(B500,{"AM","PM","NIGHT","WD"},0)-1),""))</f>
        <v/>
      </c>
    </row>
    <row r="501">
      <c r="A501" s="122" t="n"/>
      <c r="B501" s="107" t="n"/>
      <c r="C501" s="105" t="n"/>
      <c r="D501" s="92">
        <f>IF(C501="","",IFERROR(INDEX(Roster!$C$6:$C$65,IFERROR(MATCH(C501,Roster!$B$6:$B$65,0),MATCH(C501,Roster!$C$6:$C$65,0))),"not on the Roster"))</f>
        <v/>
      </c>
      <c r="E501" s="106" t="n"/>
      <c r="F501" s="104">
        <f>IF(OR(A501="",C501="",B501=""),"",IFERROR(INDEX(CHOOSE(IF(YEAR(A501)&gt;PlanYear,13,MONTH(A501)),'Jan'!$D$27:$AH$266,'Feb'!$D$27:$AH$266,'Mar'!$D$27:$AH$266,'Apr'!$D$27:$AH$266,'May'!$D$27:$AH$266,'Jun'!$D$27:$AH$266,'Jul'!$D$27:$AH$266,'Aug'!$D$27:$AH$266,'Sep'!$D$27:$AH$266,'Oct'!$D$27:$AH$266,'Nov'!$D$27:$AH$266,'Dec'!$D$27:$AH$266,'Jan (next year)'!$D$27:$AH$266),27+4*(IFERROR(MATCH(C501,Roster!$B$6:$B$65,0),MATCH(C501,Roster!$C$6:$C$65,0))-1)+MATCH(B501,{"AM","PM","NIGHT","WD"},0)-1-27+1,DAY(A501))&amp;"",""))</f>
        <v/>
      </c>
      <c r="G501" s="123">
        <f>IF(OR(A501="",C501="",B501="",E501=""),"",IFERROR(A501&amp;"|"&amp;(27+4*(IFERROR(MATCH(C501,Roster!$B$6:$B$65,0),MATCH(C501,Roster!$C$6:$C$65,0))-1)+MATCH(B501,{"AM","PM","NIGHT","WD"},0)-1),""))</f>
        <v/>
      </c>
    </row>
    <row r="502">
      <c r="A502" s="122" t="n"/>
      <c r="B502" s="107" t="n"/>
      <c r="C502" s="105" t="n"/>
      <c r="D502" s="92">
        <f>IF(C502="","",IFERROR(INDEX(Roster!$C$6:$C$65,IFERROR(MATCH(C502,Roster!$B$6:$B$65,0),MATCH(C502,Roster!$C$6:$C$65,0))),"not on the Roster"))</f>
        <v/>
      </c>
      <c r="E502" s="106" t="n"/>
      <c r="F502" s="104">
        <f>IF(OR(A502="",C502="",B502=""),"",IFERROR(INDEX(CHOOSE(IF(YEAR(A502)&gt;PlanYear,13,MONTH(A502)),'Jan'!$D$27:$AH$266,'Feb'!$D$27:$AH$266,'Mar'!$D$27:$AH$266,'Apr'!$D$27:$AH$266,'May'!$D$27:$AH$266,'Jun'!$D$27:$AH$266,'Jul'!$D$27:$AH$266,'Aug'!$D$27:$AH$266,'Sep'!$D$27:$AH$266,'Oct'!$D$27:$AH$266,'Nov'!$D$27:$AH$266,'Dec'!$D$27:$AH$266,'Jan (next year)'!$D$27:$AH$266),27+4*(IFERROR(MATCH(C502,Roster!$B$6:$B$65,0),MATCH(C502,Roster!$C$6:$C$65,0))-1)+MATCH(B502,{"AM","PM","NIGHT","WD"},0)-1-27+1,DAY(A502))&amp;"",""))</f>
        <v/>
      </c>
      <c r="G502" s="123">
        <f>IF(OR(A502="",C502="",B502="",E502=""),"",IFERROR(A502&amp;"|"&amp;(27+4*(IFERROR(MATCH(C502,Roster!$B$6:$B$65,0),MATCH(C502,Roster!$C$6:$C$65,0))-1)+MATCH(B502,{"AM","PM","NIGHT","WD"},0)-1),""))</f>
        <v/>
      </c>
    </row>
    <row r="503">
      <c r="A503" s="122" t="n"/>
      <c r="B503" s="107" t="n"/>
      <c r="C503" s="105" t="n"/>
      <c r="D503" s="92">
        <f>IF(C503="","",IFERROR(INDEX(Roster!$C$6:$C$65,IFERROR(MATCH(C503,Roster!$B$6:$B$65,0),MATCH(C503,Roster!$C$6:$C$65,0))),"not on the Roster"))</f>
        <v/>
      </c>
      <c r="E503" s="106" t="n"/>
      <c r="F503" s="104">
        <f>IF(OR(A503="",C503="",B503=""),"",IFERROR(INDEX(CHOOSE(IF(YEAR(A503)&gt;PlanYear,13,MONTH(A503)),'Jan'!$D$27:$AH$266,'Feb'!$D$27:$AH$266,'Mar'!$D$27:$AH$266,'Apr'!$D$27:$AH$266,'May'!$D$27:$AH$266,'Jun'!$D$27:$AH$266,'Jul'!$D$27:$AH$266,'Aug'!$D$27:$AH$266,'Sep'!$D$27:$AH$266,'Oct'!$D$27:$AH$266,'Nov'!$D$27:$AH$266,'Dec'!$D$27:$AH$266,'Jan (next year)'!$D$27:$AH$266),27+4*(IFERROR(MATCH(C503,Roster!$B$6:$B$65,0),MATCH(C503,Roster!$C$6:$C$65,0))-1)+MATCH(B503,{"AM","PM","NIGHT","WD"},0)-1-27+1,DAY(A503))&amp;"",""))</f>
        <v/>
      </c>
      <c r="G503" s="123">
        <f>IF(OR(A503="",C503="",B503="",E503=""),"",IFERROR(A503&amp;"|"&amp;(27+4*(IFERROR(MATCH(C503,Roster!$B$6:$B$65,0),MATCH(C503,Roster!$C$6:$C$65,0))-1)+MATCH(B503,{"AM","PM","NIGHT","WD"},0)-1),""))</f>
        <v/>
      </c>
    </row>
    <row r="504">
      <c r="A504" s="122" t="n"/>
      <c r="B504" s="107" t="n"/>
      <c r="C504" s="105" t="n"/>
      <c r="D504" s="92">
        <f>IF(C504="","",IFERROR(INDEX(Roster!$C$6:$C$65,IFERROR(MATCH(C504,Roster!$B$6:$B$65,0),MATCH(C504,Roster!$C$6:$C$65,0))),"not on the Roster"))</f>
        <v/>
      </c>
      <c r="E504" s="106" t="n"/>
      <c r="F504" s="104">
        <f>IF(OR(A504="",C504="",B504=""),"",IFERROR(INDEX(CHOOSE(IF(YEAR(A504)&gt;PlanYear,13,MONTH(A504)),'Jan'!$D$27:$AH$266,'Feb'!$D$27:$AH$266,'Mar'!$D$27:$AH$266,'Apr'!$D$27:$AH$266,'May'!$D$27:$AH$266,'Jun'!$D$27:$AH$266,'Jul'!$D$27:$AH$266,'Aug'!$D$27:$AH$266,'Sep'!$D$27:$AH$266,'Oct'!$D$27:$AH$266,'Nov'!$D$27:$AH$266,'Dec'!$D$27:$AH$266,'Jan (next year)'!$D$27:$AH$266),27+4*(IFERROR(MATCH(C504,Roster!$B$6:$B$65,0),MATCH(C504,Roster!$C$6:$C$65,0))-1)+MATCH(B504,{"AM","PM","NIGHT","WD"},0)-1-27+1,DAY(A504))&amp;"",""))</f>
        <v/>
      </c>
      <c r="G504" s="123">
        <f>IF(OR(A504="",C504="",B504="",E504=""),"",IFERROR(A504&amp;"|"&amp;(27+4*(IFERROR(MATCH(C504,Roster!$B$6:$B$65,0),MATCH(C504,Roster!$C$6:$C$65,0))-1)+MATCH(B504,{"AM","PM","NIGHT","WD"},0)-1),""))</f>
        <v/>
      </c>
    </row>
    <row r="505">
      <c r="A505" s="122" t="n"/>
      <c r="B505" s="107" t="n"/>
      <c r="C505" s="105" t="n"/>
      <c r="D505" s="92">
        <f>IF(C505="","",IFERROR(INDEX(Roster!$C$6:$C$65,IFERROR(MATCH(C505,Roster!$B$6:$B$65,0),MATCH(C505,Roster!$C$6:$C$65,0))),"not on the Roster"))</f>
        <v/>
      </c>
      <c r="E505" s="106" t="n"/>
      <c r="F505" s="104">
        <f>IF(OR(A505="",C505="",B505=""),"",IFERROR(INDEX(CHOOSE(IF(YEAR(A505)&gt;PlanYear,13,MONTH(A505)),'Jan'!$D$27:$AH$266,'Feb'!$D$27:$AH$266,'Mar'!$D$27:$AH$266,'Apr'!$D$27:$AH$266,'May'!$D$27:$AH$266,'Jun'!$D$27:$AH$266,'Jul'!$D$27:$AH$266,'Aug'!$D$27:$AH$266,'Sep'!$D$27:$AH$266,'Oct'!$D$27:$AH$266,'Nov'!$D$27:$AH$266,'Dec'!$D$27:$AH$266,'Jan (next year)'!$D$27:$AH$266),27+4*(IFERROR(MATCH(C505,Roster!$B$6:$B$65,0),MATCH(C505,Roster!$C$6:$C$65,0))-1)+MATCH(B505,{"AM","PM","NIGHT","WD"},0)-1-27+1,DAY(A505))&amp;"",""))</f>
        <v/>
      </c>
      <c r="G505" s="123">
        <f>IF(OR(A505="",C505="",B505="",E505=""),"",IFERROR(A505&amp;"|"&amp;(27+4*(IFERROR(MATCH(C505,Roster!$B$6:$B$65,0),MATCH(C505,Roster!$C$6:$C$65,0))-1)+MATCH(B505,{"AM","PM","NIGHT","WD"},0)-1),""))</f>
        <v/>
      </c>
    </row>
    <row r="506">
      <c r="A506" s="122" t="n"/>
      <c r="B506" s="107" t="n"/>
      <c r="C506" s="105" t="n"/>
      <c r="D506" s="92">
        <f>IF(C506="","",IFERROR(INDEX(Roster!$C$6:$C$65,IFERROR(MATCH(C506,Roster!$B$6:$B$65,0),MATCH(C506,Roster!$C$6:$C$65,0))),"not on the Roster"))</f>
        <v/>
      </c>
      <c r="E506" s="106" t="n"/>
      <c r="F506" s="104">
        <f>IF(OR(A506="",C506="",B506=""),"",IFERROR(INDEX(CHOOSE(IF(YEAR(A506)&gt;PlanYear,13,MONTH(A506)),'Jan'!$D$27:$AH$266,'Feb'!$D$27:$AH$266,'Mar'!$D$27:$AH$266,'Apr'!$D$27:$AH$266,'May'!$D$27:$AH$266,'Jun'!$D$27:$AH$266,'Jul'!$D$27:$AH$266,'Aug'!$D$27:$AH$266,'Sep'!$D$27:$AH$266,'Oct'!$D$27:$AH$266,'Nov'!$D$27:$AH$266,'Dec'!$D$27:$AH$266,'Jan (next year)'!$D$27:$AH$266),27+4*(IFERROR(MATCH(C506,Roster!$B$6:$B$65,0),MATCH(C506,Roster!$C$6:$C$65,0))-1)+MATCH(B506,{"AM","PM","NIGHT","WD"},0)-1-27+1,DAY(A506))&amp;"",""))</f>
        <v/>
      </c>
      <c r="G506" s="123">
        <f>IF(OR(A506="",C506="",B506="",E506=""),"",IFERROR(A506&amp;"|"&amp;(27+4*(IFERROR(MATCH(C506,Roster!$B$6:$B$65,0),MATCH(C506,Roster!$C$6:$C$65,0))-1)+MATCH(B506,{"AM","PM","NIGHT","WD"},0)-1),""))</f>
        <v/>
      </c>
    </row>
    <row r="507">
      <c r="A507" s="122" t="n"/>
      <c r="B507" s="107" t="n"/>
      <c r="C507" s="105" t="n"/>
      <c r="D507" s="92">
        <f>IF(C507="","",IFERROR(INDEX(Roster!$C$6:$C$65,IFERROR(MATCH(C507,Roster!$B$6:$B$65,0),MATCH(C507,Roster!$C$6:$C$65,0))),"not on the Roster"))</f>
        <v/>
      </c>
      <c r="E507" s="106" t="n"/>
      <c r="F507" s="104">
        <f>IF(OR(A507="",C507="",B507=""),"",IFERROR(INDEX(CHOOSE(IF(YEAR(A507)&gt;PlanYear,13,MONTH(A507)),'Jan'!$D$27:$AH$266,'Feb'!$D$27:$AH$266,'Mar'!$D$27:$AH$266,'Apr'!$D$27:$AH$266,'May'!$D$27:$AH$266,'Jun'!$D$27:$AH$266,'Jul'!$D$27:$AH$266,'Aug'!$D$27:$AH$266,'Sep'!$D$27:$AH$266,'Oct'!$D$27:$AH$266,'Nov'!$D$27:$AH$266,'Dec'!$D$27:$AH$266,'Jan (next year)'!$D$27:$AH$266),27+4*(IFERROR(MATCH(C507,Roster!$B$6:$B$65,0),MATCH(C507,Roster!$C$6:$C$65,0))-1)+MATCH(B507,{"AM","PM","NIGHT","WD"},0)-1-27+1,DAY(A507))&amp;"",""))</f>
        <v/>
      </c>
      <c r="G507" s="123">
        <f>IF(OR(A507="",C507="",B507="",E507=""),"",IFERROR(A507&amp;"|"&amp;(27+4*(IFERROR(MATCH(C507,Roster!$B$6:$B$65,0),MATCH(C507,Roster!$C$6:$C$65,0))-1)+MATCH(B507,{"AM","PM","NIGHT","WD"},0)-1),""))</f>
        <v/>
      </c>
    </row>
    <row r="508">
      <c r="A508" s="122" t="n"/>
      <c r="B508" s="107" t="n"/>
      <c r="C508" s="105" t="n"/>
      <c r="D508" s="92">
        <f>IF(C508="","",IFERROR(INDEX(Roster!$C$6:$C$65,IFERROR(MATCH(C508,Roster!$B$6:$B$65,0),MATCH(C508,Roster!$C$6:$C$65,0))),"not on the Roster"))</f>
        <v/>
      </c>
      <c r="E508" s="106" t="n"/>
      <c r="F508" s="104">
        <f>IF(OR(A508="",C508="",B508=""),"",IFERROR(INDEX(CHOOSE(IF(YEAR(A508)&gt;PlanYear,13,MONTH(A508)),'Jan'!$D$27:$AH$266,'Feb'!$D$27:$AH$266,'Mar'!$D$27:$AH$266,'Apr'!$D$27:$AH$266,'May'!$D$27:$AH$266,'Jun'!$D$27:$AH$266,'Jul'!$D$27:$AH$266,'Aug'!$D$27:$AH$266,'Sep'!$D$27:$AH$266,'Oct'!$D$27:$AH$266,'Nov'!$D$27:$AH$266,'Dec'!$D$27:$AH$266,'Jan (next year)'!$D$27:$AH$266),27+4*(IFERROR(MATCH(C508,Roster!$B$6:$B$65,0),MATCH(C508,Roster!$C$6:$C$65,0))-1)+MATCH(B508,{"AM","PM","NIGHT","WD"},0)-1-27+1,DAY(A508))&amp;"",""))</f>
        <v/>
      </c>
      <c r="G508" s="123">
        <f>IF(OR(A508="",C508="",B508="",E508=""),"",IFERROR(A508&amp;"|"&amp;(27+4*(IFERROR(MATCH(C508,Roster!$B$6:$B$65,0),MATCH(C508,Roster!$C$6:$C$65,0))-1)+MATCH(B508,{"AM","PM","NIGHT","WD"},0)-1),""))</f>
        <v/>
      </c>
    </row>
    <row r="509">
      <c r="A509" s="122" t="n"/>
      <c r="B509" s="107" t="n"/>
      <c r="C509" s="105" t="n"/>
      <c r="D509" s="92">
        <f>IF(C509="","",IFERROR(INDEX(Roster!$C$6:$C$65,IFERROR(MATCH(C509,Roster!$B$6:$B$65,0),MATCH(C509,Roster!$C$6:$C$65,0))),"not on the Roster"))</f>
        <v/>
      </c>
      <c r="E509" s="106" t="n"/>
      <c r="F509" s="104">
        <f>IF(OR(A509="",C509="",B509=""),"",IFERROR(INDEX(CHOOSE(IF(YEAR(A509)&gt;PlanYear,13,MONTH(A509)),'Jan'!$D$27:$AH$266,'Feb'!$D$27:$AH$266,'Mar'!$D$27:$AH$266,'Apr'!$D$27:$AH$266,'May'!$D$27:$AH$266,'Jun'!$D$27:$AH$266,'Jul'!$D$27:$AH$266,'Aug'!$D$27:$AH$266,'Sep'!$D$27:$AH$266,'Oct'!$D$27:$AH$266,'Nov'!$D$27:$AH$266,'Dec'!$D$27:$AH$266,'Jan (next year)'!$D$27:$AH$266),27+4*(IFERROR(MATCH(C509,Roster!$B$6:$B$65,0),MATCH(C509,Roster!$C$6:$C$65,0))-1)+MATCH(B509,{"AM","PM","NIGHT","WD"},0)-1-27+1,DAY(A509))&amp;"",""))</f>
        <v/>
      </c>
      <c r="G509" s="123">
        <f>IF(OR(A509="",C509="",B509="",E509=""),"",IFERROR(A509&amp;"|"&amp;(27+4*(IFERROR(MATCH(C509,Roster!$B$6:$B$65,0),MATCH(C509,Roster!$C$6:$C$65,0))-1)+MATCH(B509,{"AM","PM","NIGHT","WD"},0)-1),""))</f>
        <v/>
      </c>
    </row>
    <row r="510">
      <c r="A510" s="122" t="n"/>
      <c r="B510" s="107" t="n"/>
      <c r="C510" s="105" t="n"/>
      <c r="D510" s="92">
        <f>IF(C510="","",IFERROR(INDEX(Roster!$C$6:$C$65,IFERROR(MATCH(C510,Roster!$B$6:$B$65,0),MATCH(C510,Roster!$C$6:$C$65,0))),"not on the Roster"))</f>
        <v/>
      </c>
      <c r="E510" s="106" t="n"/>
      <c r="F510" s="104">
        <f>IF(OR(A510="",C510="",B510=""),"",IFERROR(INDEX(CHOOSE(IF(YEAR(A510)&gt;PlanYear,13,MONTH(A510)),'Jan'!$D$27:$AH$266,'Feb'!$D$27:$AH$266,'Mar'!$D$27:$AH$266,'Apr'!$D$27:$AH$266,'May'!$D$27:$AH$266,'Jun'!$D$27:$AH$266,'Jul'!$D$27:$AH$266,'Aug'!$D$27:$AH$266,'Sep'!$D$27:$AH$266,'Oct'!$D$27:$AH$266,'Nov'!$D$27:$AH$266,'Dec'!$D$27:$AH$266,'Jan (next year)'!$D$27:$AH$266),27+4*(IFERROR(MATCH(C510,Roster!$B$6:$B$65,0),MATCH(C510,Roster!$C$6:$C$65,0))-1)+MATCH(B510,{"AM","PM","NIGHT","WD"},0)-1-27+1,DAY(A510))&amp;"",""))</f>
        <v/>
      </c>
      <c r="G510" s="123">
        <f>IF(OR(A510="",C510="",B510="",E510=""),"",IFERROR(A510&amp;"|"&amp;(27+4*(IFERROR(MATCH(C510,Roster!$B$6:$B$65,0),MATCH(C510,Roster!$C$6:$C$65,0))-1)+MATCH(B510,{"AM","PM","NIGHT","WD"},0)-1),""))</f>
        <v/>
      </c>
    </row>
    <row r="511">
      <c r="A511" s="122" t="n"/>
      <c r="B511" s="107" t="n"/>
      <c r="C511" s="105" t="n"/>
      <c r="D511" s="92">
        <f>IF(C511="","",IFERROR(INDEX(Roster!$C$6:$C$65,IFERROR(MATCH(C511,Roster!$B$6:$B$65,0),MATCH(C511,Roster!$C$6:$C$65,0))),"not on the Roster"))</f>
        <v/>
      </c>
      <c r="E511" s="106" t="n"/>
      <c r="F511" s="104">
        <f>IF(OR(A511="",C511="",B511=""),"",IFERROR(INDEX(CHOOSE(IF(YEAR(A511)&gt;PlanYear,13,MONTH(A511)),'Jan'!$D$27:$AH$266,'Feb'!$D$27:$AH$266,'Mar'!$D$27:$AH$266,'Apr'!$D$27:$AH$266,'May'!$D$27:$AH$266,'Jun'!$D$27:$AH$266,'Jul'!$D$27:$AH$266,'Aug'!$D$27:$AH$266,'Sep'!$D$27:$AH$266,'Oct'!$D$27:$AH$266,'Nov'!$D$27:$AH$266,'Dec'!$D$27:$AH$266,'Jan (next year)'!$D$27:$AH$266),27+4*(IFERROR(MATCH(C511,Roster!$B$6:$B$65,0),MATCH(C511,Roster!$C$6:$C$65,0))-1)+MATCH(B511,{"AM","PM","NIGHT","WD"},0)-1-27+1,DAY(A511))&amp;"",""))</f>
        <v/>
      </c>
      <c r="G511" s="123">
        <f>IF(OR(A511="",C511="",B511="",E511=""),"",IFERROR(A511&amp;"|"&amp;(27+4*(IFERROR(MATCH(C511,Roster!$B$6:$B$65,0),MATCH(C511,Roster!$C$6:$C$65,0))-1)+MATCH(B511,{"AM","PM","NIGHT","WD"},0)-1),""))</f>
        <v/>
      </c>
    </row>
    <row r="512">
      <c r="A512" s="122" t="n"/>
      <c r="B512" s="107" t="n"/>
      <c r="C512" s="105" t="n"/>
      <c r="D512" s="92">
        <f>IF(C512="","",IFERROR(INDEX(Roster!$C$6:$C$65,IFERROR(MATCH(C512,Roster!$B$6:$B$65,0),MATCH(C512,Roster!$C$6:$C$65,0))),"not on the Roster"))</f>
        <v/>
      </c>
      <c r="E512" s="106" t="n"/>
      <c r="F512" s="104">
        <f>IF(OR(A512="",C512="",B512=""),"",IFERROR(INDEX(CHOOSE(IF(YEAR(A512)&gt;PlanYear,13,MONTH(A512)),'Jan'!$D$27:$AH$266,'Feb'!$D$27:$AH$266,'Mar'!$D$27:$AH$266,'Apr'!$D$27:$AH$266,'May'!$D$27:$AH$266,'Jun'!$D$27:$AH$266,'Jul'!$D$27:$AH$266,'Aug'!$D$27:$AH$266,'Sep'!$D$27:$AH$266,'Oct'!$D$27:$AH$266,'Nov'!$D$27:$AH$266,'Dec'!$D$27:$AH$266,'Jan (next year)'!$D$27:$AH$266),27+4*(IFERROR(MATCH(C512,Roster!$B$6:$B$65,0),MATCH(C512,Roster!$C$6:$C$65,0))-1)+MATCH(B512,{"AM","PM","NIGHT","WD"},0)-1-27+1,DAY(A512))&amp;"",""))</f>
        <v/>
      </c>
      <c r="G512" s="123">
        <f>IF(OR(A512="",C512="",B512="",E512=""),"",IFERROR(A512&amp;"|"&amp;(27+4*(IFERROR(MATCH(C512,Roster!$B$6:$B$65,0),MATCH(C512,Roster!$C$6:$C$65,0))-1)+MATCH(B512,{"AM","PM","NIGHT","WD"},0)-1),""))</f>
        <v/>
      </c>
    </row>
    <row r="513">
      <c r="A513" s="122" t="n"/>
      <c r="B513" s="107" t="n"/>
      <c r="C513" s="105" t="n"/>
      <c r="D513" s="92">
        <f>IF(C513="","",IFERROR(INDEX(Roster!$C$6:$C$65,IFERROR(MATCH(C513,Roster!$B$6:$B$65,0),MATCH(C513,Roster!$C$6:$C$65,0))),"not on the Roster"))</f>
        <v/>
      </c>
      <c r="E513" s="106" t="n"/>
      <c r="F513" s="104">
        <f>IF(OR(A513="",C513="",B513=""),"",IFERROR(INDEX(CHOOSE(IF(YEAR(A513)&gt;PlanYear,13,MONTH(A513)),'Jan'!$D$27:$AH$266,'Feb'!$D$27:$AH$266,'Mar'!$D$27:$AH$266,'Apr'!$D$27:$AH$266,'May'!$D$27:$AH$266,'Jun'!$D$27:$AH$266,'Jul'!$D$27:$AH$266,'Aug'!$D$27:$AH$266,'Sep'!$D$27:$AH$266,'Oct'!$D$27:$AH$266,'Nov'!$D$27:$AH$266,'Dec'!$D$27:$AH$266,'Jan (next year)'!$D$27:$AH$266),27+4*(IFERROR(MATCH(C513,Roster!$B$6:$B$65,0),MATCH(C513,Roster!$C$6:$C$65,0))-1)+MATCH(B513,{"AM","PM","NIGHT","WD"},0)-1-27+1,DAY(A513))&amp;"",""))</f>
        <v/>
      </c>
      <c r="G513" s="123">
        <f>IF(OR(A513="",C513="",B513="",E513=""),"",IFERROR(A513&amp;"|"&amp;(27+4*(IFERROR(MATCH(C513,Roster!$B$6:$B$65,0),MATCH(C513,Roster!$C$6:$C$65,0))-1)+MATCH(B513,{"AM","PM","NIGHT","WD"},0)-1),""))</f>
        <v/>
      </c>
    </row>
    <row r="514">
      <c r="A514" s="122" t="n"/>
      <c r="B514" s="107" t="n"/>
      <c r="C514" s="105" t="n"/>
      <c r="D514" s="92">
        <f>IF(C514="","",IFERROR(INDEX(Roster!$C$6:$C$65,IFERROR(MATCH(C514,Roster!$B$6:$B$65,0),MATCH(C514,Roster!$C$6:$C$65,0))),"not on the Roster"))</f>
        <v/>
      </c>
      <c r="E514" s="106" t="n"/>
      <c r="F514" s="104">
        <f>IF(OR(A514="",C514="",B514=""),"",IFERROR(INDEX(CHOOSE(IF(YEAR(A514)&gt;PlanYear,13,MONTH(A514)),'Jan'!$D$27:$AH$266,'Feb'!$D$27:$AH$266,'Mar'!$D$27:$AH$266,'Apr'!$D$27:$AH$266,'May'!$D$27:$AH$266,'Jun'!$D$27:$AH$266,'Jul'!$D$27:$AH$266,'Aug'!$D$27:$AH$266,'Sep'!$D$27:$AH$266,'Oct'!$D$27:$AH$266,'Nov'!$D$27:$AH$266,'Dec'!$D$27:$AH$266,'Jan (next year)'!$D$27:$AH$266),27+4*(IFERROR(MATCH(C514,Roster!$B$6:$B$65,0),MATCH(C514,Roster!$C$6:$C$65,0))-1)+MATCH(B514,{"AM","PM","NIGHT","WD"},0)-1-27+1,DAY(A514))&amp;"",""))</f>
        <v/>
      </c>
      <c r="G514" s="123">
        <f>IF(OR(A514="",C514="",B514="",E514=""),"",IFERROR(A514&amp;"|"&amp;(27+4*(IFERROR(MATCH(C514,Roster!$B$6:$B$65,0),MATCH(C514,Roster!$C$6:$C$65,0))-1)+MATCH(B514,{"AM","PM","NIGHT","WD"},0)-1),""))</f>
        <v/>
      </c>
    </row>
    <row r="515">
      <c r="A515" s="122" t="n"/>
      <c r="B515" s="107" t="n"/>
      <c r="C515" s="105" t="n"/>
      <c r="D515" s="92">
        <f>IF(C515="","",IFERROR(INDEX(Roster!$C$6:$C$65,IFERROR(MATCH(C515,Roster!$B$6:$B$65,0),MATCH(C515,Roster!$C$6:$C$65,0))),"not on the Roster"))</f>
        <v/>
      </c>
      <c r="E515" s="106" t="n"/>
      <c r="F515" s="104">
        <f>IF(OR(A515="",C515="",B515=""),"",IFERROR(INDEX(CHOOSE(IF(YEAR(A515)&gt;PlanYear,13,MONTH(A515)),'Jan'!$D$27:$AH$266,'Feb'!$D$27:$AH$266,'Mar'!$D$27:$AH$266,'Apr'!$D$27:$AH$266,'May'!$D$27:$AH$266,'Jun'!$D$27:$AH$266,'Jul'!$D$27:$AH$266,'Aug'!$D$27:$AH$266,'Sep'!$D$27:$AH$266,'Oct'!$D$27:$AH$266,'Nov'!$D$27:$AH$266,'Dec'!$D$27:$AH$266,'Jan (next year)'!$D$27:$AH$266),27+4*(IFERROR(MATCH(C515,Roster!$B$6:$B$65,0),MATCH(C515,Roster!$C$6:$C$65,0))-1)+MATCH(B515,{"AM","PM","NIGHT","WD"},0)-1-27+1,DAY(A515))&amp;"",""))</f>
        <v/>
      </c>
      <c r="G515" s="123">
        <f>IF(OR(A515="",C515="",B515="",E515=""),"",IFERROR(A515&amp;"|"&amp;(27+4*(IFERROR(MATCH(C515,Roster!$B$6:$B$65,0),MATCH(C515,Roster!$C$6:$C$65,0))-1)+MATCH(B515,{"AM","PM","NIGHT","WD"},0)-1),""))</f>
        <v/>
      </c>
    </row>
    <row r="516">
      <c r="A516" s="122" t="n"/>
      <c r="B516" s="107" t="n"/>
      <c r="C516" s="105" t="n"/>
      <c r="D516" s="92">
        <f>IF(C516="","",IFERROR(INDEX(Roster!$C$6:$C$65,IFERROR(MATCH(C516,Roster!$B$6:$B$65,0),MATCH(C516,Roster!$C$6:$C$65,0))),"not on the Roster"))</f>
        <v/>
      </c>
      <c r="E516" s="106" t="n"/>
      <c r="F516" s="104">
        <f>IF(OR(A516="",C516="",B516=""),"",IFERROR(INDEX(CHOOSE(IF(YEAR(A516)&gt;PlanYear,13,MONTH(A516)),'Jan'!$D$27:$AH$266,'Feb'!$D$27:$AH$266,'Mar'!$D$27:$AH$266,'Apr'!$D$27:$AH$266,'May'!$D$27:$AH$266,'Jun'!$D$27:$AH$266,'Jul'!$D$27:$AH$266,'Aug'!$D$27:$AH$266,'Sep'!$D$27:$AH$266,'Oct'!$D$27:$AH$266,'Nov'!$D$27:$AH$266,'Dec'!$D$27:$AH$266,'Jan (next year)'!$D$27:$AH$266),27+4*(IFERROR(MATCH(C516,Roster!$B$6:$B$65,0),MATCH(C516,Roster!$C$6:$C$65,0))-1)+MATCH(B516,{"AM","PM","NIGHT","WD"},0)-1-27+1,DAY(A516))&amp;"",""))</f>
        <v/>
      </c>
      <c r="G516" s="123">
        <f>IF(OR(A516="",C516="",B516="",E516=""),"",IFERROR(A516&amp;"|"&amp;(27+4*(IFERROR(MATCH(C516,Roster!$B$6:$B$65,0),MATCH(C516,Roster!$C$6:$C$65,0))-1)+MATCH(B516,{"AM","PM","NIGHT","WD"},0)-1),""))</f>
        <v/>
      </c>
    </row>
    <row r="517">
      <c r="A517" s="122" t="n"/>
      <c r="B517" s="107" t="n"/>
      <c r="C517" s="105" t="n"/>
      <c r="D517" s="92">
        <f>IF(C517="","",IFERROR(INDEX(Roster!$C$6:$C$65,IFERROR(MATCH(C517,Roster!$B$6:$B$65,0),MATCH(C517,Roster!$C$6:$C$65,0))),"not on the Roster"))</f>
        <v/>
      </c>
      <c r="E517" s="106" t="n"/>
      <c r="F517" s="104">
        <f>IF(OR(A517="",C517="",B517=""),"",IFERROR(INDEX(CHOOSE(IF(YEAR(A517)&gt;PlanYear,13,MONTH(A517)),'Jan'!$D$27:$AH$266,'Feb'!$D$27:$AH$266,'Mar'!$D$27:$AH$266,'Apr'!$D$27:$AH$266,'May'!$D$27:$AH$266,'Jun'!$D$27:$AH$266,'Jul'!$D$27:$AH$266,'Aug'!$D$27:$AH$266,'Sep'!$D$27:$AH$266,'Oct'!$D$27:$AH$266,'Nov'!$D$27:$AH$266,'Dec'!$D$27:$AH$266,'Jan (next year)'!$D$27:$AH$266),27+4*(IFERROR(MATCH(C517,Roster!$B$6:$B$65,0),MATCH(C517,Roster!$C$6:$C$65,0))-1)+MATCH(B517,{"AM","PM","NIGHT","WD"},0)-1-27+1,DAY(A517))&amp;"",""))</f>
        <v/>
      </c>
      <c r="G517" s="123">
        <f>IF(OR(A517="",C517="",B517="",E517=""),"",IFERROR(A517&amp;"|"&amp;(27+4*(IFERROR(MATCH(C517,Roster!$B$6:$B$65,0),MATCH(C517,Roster!$C$6:$C$65,0))-1)+MATCH(B517,{"AM","PM","NIGHT","WD"},0)-1),""))</f>
        <v/>
      </c>
    </row>
    <row r="518">
      <c r="A518" s="122" t="n"/>
      <c r="B518" s="107" t="n"/>
      <c r="C518" s="105" t="n"/>
      <c r="D518" s="92">
        <f>IF(C518="","",IFERROR(INDEX(Roster!$C$6:$C$65,IFERROR(MATCH(C518,Roster!$B$6:$B$65,0),MATCH(C518,Roster!$C$6:$C$65,0))),"not on the Roster"))</f>
        <v/>
      </c>
      <c r="E518" s="106" t="n"/>
      <c r="F518" s="104">
        <f>IF(OR(A518="",C518="",B518=""),"",IFERROR(INDEX(CHOOSE(IF(YEAR(A518)&gt;PlanYear,13,MONTH(A518)),'Jan'!$D$27:$AH$266,'Feb'!$D$27:$AH$266,'Mar'!$D$27:$AH$266,'Apr'!$D$27:$AH$266,'May'!$D$27:$AH$266,'Jun'!$D$27:$AH$266,'Jul'!$D$27:$AH$266,'Aug'!$D$27:$AH$266,'Sep'!$D$27:$AH$266,'Oct'!$D$27:$AH$266,'Nov'!$D$27:$AH$266,'Dec'!$D$27:$AH$266,'Jan (next year)'!$D$27:$AH$266),27+4*(IFERROR(MATCH(C518,Roster!$B$6:$B$65,0),MATCH(C518,Roster!$C$6:$C$65,0))-1)+MATCH(B518,{"AM","PM","NIGHT","WD"},0)-1-27+1,DAY(A518))&amp;"",""))</f>
        <v/>
      </c>
      <c r="G518" s="123">
        <f>IF(OR(A518="",C518="",B518="",E518=""),"",IFERROR(A518&amp;"|"&amp;(27+4*(IFERROR(MATCH(C518,Roster!$B$6:$B$65,0),MATCH(C518,Roster!$C$6:$C$65,0))-1)+MATCH(B518,{"AM","PM","NIGHT","WD"},0)-1),""))</f>
        <v/>
      </c>
    </row>
    <row r="519">
      <c r="A519" s="122" t="n"/>
      <c r="B519" s="107" t="n"/>
      <c r="C519" s="105" t="n"/>
      <c r="D519" s="92">
        <f>IF(C519="","",IFERROR(INDEX(Roster!$C$6:$C$65,IFERROR(MATCH(C519,Roster!$B$6:$B$65,0),MATCH(C519,Roster!$C$6:$C$65,0))),"not on the Roster"))</f>
        <v/>
      </c>
      <c r="E519" s="106" t="n"/>
      <c r="F519" s="104">
        <f>IF(OR(A519="",C519="",B519=""),"",IFERROR(INDEX(CHOOSE(IF(YEAR(A519)&gt;PlanYear,13,MONTH(A519)),'Jan'!$D$27:$AH$266,'Feb'!$D$27:$AH$266,'Mar'!$D$27:$AH$266,'Apr'!$D$27:$AH$266,'May'!$D$27:$AH$266,'Jun'!$D$27:$AH$266,'Jul'!$D$27:$AH$266,'Aug'!$D$27:$AH$266,'Sep'!$D$27:$AH$266,'Oct'!$D$27:$AH$266,'Nov'!$D$27:$AH$266,'Dec'!$D$27:$AH$266,'Jan (next year)'!$D$27:$AH$266),27+4*(IFERROR(MATCH(C519,Roster!$B$6:$B$65,0),MATCH(C519,Roster!$C$6:$C$65,0))-1)+MATCH(B519,{"AM","PM","NIGHT","WD"},0)-1-27+1,DAY(A519))&amp;"",""))</f>
        <v/>
      </c>
      <c r="G519" s="123">
        <f>IF(OR(A519="",C519="",B519="",E519=""),"",IFERROR(A519&amp;"|"&amp;(27+4*(IFERROR(MATCH(C519,Roster!$B$6:$B$65,0),MATCH(C519,Roster!$C$6:$C$65,0))-1)+MATCH(B519,{"AM","PM","NIGHT","WD"},0)-1),""))</f>
        <v/>
      </c>
    </row>
    <row r="520">
      <c r="A520" s="122" t="n"/>
      <c r="B520" s="107" t="n"/>
      <c r="C520" s="105" t="n"/>
      <c r="D520" s="92">
        <f>IF(C520="","",IFERROR(INDEX(Roster!$C$6:$C$65,IFERROR(MATCH(C520,Roster!$B$6:$B$65,0),MATCH(C520,Roster!$C$6:$C$65,0))),"not on the Roster"))</f>
        <v/>
      </c>
      <c r="E520" s="106" t="n"/>
      <c r="F520" s="104">
        <f>IF(OR(A520="",C520="",B520=""),"",IFERROR(INDEX(CHOOSE(IF(YEAR(A520)&gt;PlanYear,13,MONTH(A520)),'Jan'!$D$27:$AH$266,'Feb'!$D$27:$AH$266,'Mar'!$D$27:$AH$266,'Apr'!$D$27:$AH$266,'May'!$D$27:$AH$266,'Jun'!$D$27:$AH$266,'Jul'!$D$27:$AH$266,'Aug'!$D$27:$AH$266,'Sep'!$D$27:$AH$266,'Oct'!$D$27:$AH$266,'Nov'!$D$27:$AH$266,'Dec'!$D$27:$AH$266,'Jan (next year)'!$D$27:$AH$266),27+4*(IFERROR(MATCH(C520,Roster!$B$6:$B$65,0),MATCH(C520,Roster!$C$6:$C$65,0))-1)+MATCH(B520,{"AM","PM","NIGHT","WD"},0)-1-27+1,DAY(A520))&amp;"",""))</f>
        <v/>
      </c>
      <c r="G520" s="123">
        <f>IF(OR(A520="",C520="",B520="",E520=""),"",IFERROR(A520&amp;"|"&amp;(27+4*(IFERROR(MATCH(C520,Roster!$B$6:$B$65,0),MATCH(C520,Roster!$C$6:$C$65,0))-1)+MATCH(B520,{"AM","PM","NIGHT","WD"},0)-1),""))</f>
        <v/>
      </c>
    </row>
    <row r="521">
      <c r="A521" s="122" t="n"/>
      <c r="B521" s="107" t="n"/>
      <c r="C521" s="105" t="n"/>
      <c r="D521" s="92">
        <f>IF(C521="","",IFERROR(INDEX(Roster!$C$6:$C$65,IFERROR(MATCH(C521,Roster!$B$6:$B$65,0),MATCH(C521,Roster!$C$6:$C$65,0))),"not on the Roster"))</f>
        <v/>
      </c>
      <c r="E521" s="106" t="n"/>
      <c r="F521" s="104">
        <f>IF(OR(A521="",C521="",B521=""),"",IFERROR(INDEX(CHOOSE(IF(YEAR(A521)&gt;PlanYear,13,MONTH(A521)),'Jan'!$D$27:$AH$266,'Feb'!$D$27:$AH$266,'Mar'!$D$27:$AH$266,'Apr'!$D$27:$AH$266,'May'!$D$27:$AH$266,'Jun'!$D$27:$AH$266,'Jul'!$D$27:$AH$266,'Aug'!$D$27:$AH$266,'Sep'!$D$27:$AH$266,'Oct'!$D$27:$AH$266,'Nov'!$D$27:$AH$266,'Dec'!$D$27:$AH$266,'Jan (next year)'!$D$27:$AH$266),27+4*(IFERROR(MATCH(C521,Roster!$B$6:$B$65,0),MATCH(C521,Roster!$C$6:$C$65,0))-1)+MATCH(B521,{"AM","PM","NIGHT","WD"},0)-1-27+1,DAY(A521))&amp;"",""))</f>
        <v/>
      </c>
      <c r="G521" s="123">
        <f>IF(OR(A521="",C521="",B521="",E521=""),"",IFERROR(A521&amp;"|"&amp;(27+4*(IFERROR(MATCH(C521,Roster!$B$6:$B$65,0),MATCH(C521,Roster!$C$6:$C$65,0))-1)+MATCH(B521,{"AM","PM","NIGHT","WD"},0)-1),""))</f>
        <v/>
      </c>
    </row>
    <row r="522">
      <c r="A522" s="122" t="n"/>
      <c r="B522" s="107" t="n"/>
      <c r="C522" s="105" t="n"/>
      <c r="D522" s="92">
        <f>IF(C522="","",IFERROR(INDEX(Roster!$C$6:$C$65,IFERROR(MATCH(C522,Roster!$B$6:$B$65,0),MATCH(C522,Roster!$C$6:$C$65,0))),"not on the Roster"))</f>
        <v/>
      </c>
      <c r="E522" s="106" t="n"/>
      <c r="F522" s="104">
        <f>IF(OR(A522="",C522="",B522=""),"",IFERROR(INDEX(CHOOSE(IF(YEAR(A522)&gt;PlanYear,13,MONTH(A522)),'Jan'!$D$27:$AH$266,'Feb'!$D$27:$AH$266,'Mar'!$D$27:$AH$266,'Apr'!$D$27:$AH$266,'May'!$D$27:$AH$266,'Jun'!$D$27:$AH$266,'Jul'!$D$27:$AH$266,'Aug'!$D$27:$AH$266,'Sep'!$D$27:$AH$266,'Oct'!$D$27:$AH$266,'Nov'!$D$27:$AH$266,'Dec'!$D$27:$AH$266,'Jan (next year)'!$D$27:$AH$266),27+4*(IFERROR(MATCH(C522,Roster!$B$6:$B$65,0),MATCH(C522,Roster!$C$6:$C$65,0))-1)+MATCH(B522,{"AM","PM","NIGHT","WD"},0)-1-27+1,DAY(A522))&amp;"",""))</f>
        <v/>
      </c>
      <c r="G522" s="123">
        <f>IF(OR(A522="",C522="",B522="",E522=""),"",IFERROR(A522&amp;"|"&amp;(27+4*(IFERROR(MATCH(C522,Roster!$B$6:$B$65,0),MATCH(C522,Roster!$C$6:$C$65,0))-1)+MATCH(B522,{"AM","PM","NIGHT","WD"},0)-1),""))</f>
        <v/>
      </c>
    </row>
    <row r="523">
      <c r="A523" s="122" t="n"/>
      <c r="B523" s="107" t="n"/>
      <c r="C523" s="105" t="n"/>
      <c r="D523" s="92">
        <f>IF(C523="","",IFERROR(INDEX(Roster!$C$6:$C$65,IFERROR(MATCH(C523,Roster!$B$6:$B$65,0),MATCH(C523,Roster!$C$6:$C$65,0))),"not on the Roster"))</f>
        <v/>
      </c>
      <c r="E523" s="106" t="n"/>
      <c r="F523" s="104">
        <f>IF(OR(A523="",C523="",B523=""),"",IFERROR(INDEX(CHOOSE(IF(YEAR(A523)&gt;PlanYear,13,MONTH(A523)),'Jan'!$D$27:$AH$266,'Feb'!$D$27:$AH$266,'Mar'!$D$27:$AH$266,'Apr'!$D$27:$AH$266,'May'!$D$27:$AH$266,'Jun'!$D$27:$AH$266,'Jul'!$D$27:$AH$266,'Aug'!$D$27:$AH$266,'Sep'!$D$27:$AH$266,'Oct'!$D$27:$AH$266,'Nov'!$D$27:$AH$266,'Dec'!$D$27:$AH$266,'Jan (next year)'!$D$27:$AH$266),27+4*(IFERROR(MATCH(C523,Roster!$B$6:$B$65,0),MATCH(C523,Roster!$C$6:$C$65,0))-1)+MATCH(B523,{"AM","PM","NIGHT","WD"},0)-1-27+1,DAY(A523))&amp;"",""))</f>
        <v/>
      </c>
      <c r="G523" s="123">
        <f>IF(OR(A523="",C523="",B523="",E523=""),"",IFERROR(A523&amp;"|"&amp;(27+4*(IFERROR(MATCH(C523,Roster!$B$6:$B$65,0),MATCH(C523,Roster!$C$6:$C$65,0))-1)+MATCH(B523,{"AM","PM","NIGHT","WD"},0)-1),""))</f>
        <v/>
      </c>
    </row>
    <row r="524">
      <c r="A524" s="122" t="n"/>
      <c r="B524" s="107" t="n"/>
      <c r="C524" s="105" t="n"/>
      <c r="D524" s="92">
        <f>IF(C524="","",IFERROR(INDEX(Roster!$C$6:$C$65,IFERROR(MATCH(C524,Roster!$B$6:$B$65,0),MATCH(C524,Roster!$C$6:$C$65,0))),"not on the Roster"))</f>
        <v/>
      </c>
      <c r="E524" s="106" t="n"/>
      <c r="F524" s="104">
        <f>IF(OR(A524="",C524="",B524=""),"",IFERROR(INDEX(CHOOSE(IF(YEAR(A524)&gt;PlanYear,13,MONTH(A524)),'Jan'!$D$27:$AH$266,'Feb'!$D$27:$AH$266,'Mar'!$D$27:$AH$266,'Apr'!$D$27:$AH$266,'May'!$D$27:$AH$266,'Jun'!$D$27:$AH$266,'Jul'!$D$27:$AH$266,'Aug'!$D$27:$AH$266,'Sep'!$D$27:$AH$266,'Oct'!$D$27:$AH$266,'Nov'!$D$27:$AH$266,'Dec'!$D$27:$AH$266,'Jan (next year)'!$D$27:$AH$266),27+4*(IFERROR(MATCH(C524,Roster!$B$6:$B$65,0),MATCH(C524,Roster!$C$6:$C$65,0))-1)+MATCH(B524,{"AM","PM","NIGHT","WD"},0)-1-27+1,DAY(A524))&amp;"",""))</f>
        <v/>
      </c>
      <c r="G524" s="123">
        <f>IF(OR(A524="",C524="",B524="",E524=""),"",IFERROR(A524&amp;"|"&amp;(27+4*(IFERROR(MATCH(C524,Roster!$B$6:$B$65,0),MATCH(C524,Roster!$C$6:$C$65,0))-1)+MATCH(B524,{"AM","PM","NIGHT","WD"},0)-1),""))</f>
        <v/>
      </c>
    </row>
    <row r="525">
      <c r="A525" s="122" t="n"/>
      <c r="B525" s="107" t="n"/>
      <c r="C525" s="105" t="n"/>
      <c r="D525" s="92">
        <f>IF(C525="","",IFERROR(INDEX(Roster!$C$6:$C$65,IFERROR(MATCH(C525,Roster!$B$6:$B$65,0),MATCH(C525,Roster!$C$6:$C$65,0))),"not on the Roster"))</f>
        <v/>
      </c>
      <c r="E525" s="106" t="n"/>
      <c r="F525" s="104">
        <f>IF(OR(A525="",C525="",B525=""),"",IFERROR(INDEX(CHOOSE(IF(YEAR(A525)&gt;PlanYear,13,MONTH(A525)),'Jan'!$D$27:$AH$266,'Feb'!$D$27:$AH$266,'Mar'!$D$27:$AH$266,'Apr'!$D$27:$AH$266,'May'!$D$27:$AH$266,'Jun'!$D$27:$AH$266,'Jul'!$D$27:$AH$266,'Aug'!$D$27:$AH$266,'Sep'!$D$27:$AH$266,'Oct'!$D$27:$AH$266,'Nov'!$D$27:$AH$266,'Dec'!$D$27:$AH$266,'Jan (next year)'!$D$27:$AH$266),27+4*(IFERROR(MATCH(C525,Roster!$B$6:$B$65,0),MATCH(C525,Roster!$C$6:$C$65,0))-1)+MATCH(B525,{"AM","PM","NIGHT","WD"},0)-1-27+1,DAY(A525))&amp;"",""))</f>
        <v/>
      </c>
      <c r="G525" s="123">
        <f>IF(OR(A525="",C525="",B525="",E525=""),"",IFERROR(A525&amp;"|"&amp;(27+4*(IFERROR(MATCH(C525,Roster!$B$6:$B$65,0),MATCH(C525,Roster!$C$6:$C$65,0))-1)+MATCH(B525,{"AM","PM","NIGHT","WD"},0)-1),""))</f>
        <v/>
      </c>
    </row>
    <row r="526">
      <c r="A526" s="122" t="n"/>
      <c r="B526" s="107" t="n"/>
      <c r="C526" s="105" t="n"/>
      <c r="D526" s="92">
        <f>IF(C526="","",IFERROR(INDEX(Roster!$C$6:$C$65,IFERROR(MATCH(C526,Roster!$B$6:$B$65,0),MATCH(C526,Roster!$C$6:$C$65,0))),"not on the Roster"))</f>
        <v/>
      </c>
      <c r="E526" s="106" t="n"/>
      <c r="F526" s="104">
        <f>IF(OR(A526="",C526="",B526=""),"",IFERROR(INDEX(CHOOSE(IF(YEAR(A526)&gt;PlanYear,13,MONTH(A526)),'Jan'!$D$27:$AH$266,'Feb'!$D$27:$AH$266,'Mar'!$D$27:$AH$266,'Apr'!$D$27:$AH$266,'May'!$D$27:$AH$266,'Jun'!$D$27:$AH$266,'Jul'!$D$27:$AH$266,'Aug'!$D$27:$AH$266,'Sep'!$D$27:$AH$266,'Oct'!$D$27:$AH$266,'Nov'!$D$27:$AH$266,'Dec'!$D$27:$AH$266,'Jan (next year)'!$D$27:$AH$266),27+4*(IFERROR(MATCH(C526,Roster!$B$6:$B$65,0),MATCH(C526,Roster!$C$6:$C$65,0))-1)+MATCH(B526,{"AM","PM","NIGHT","WD"},0)-1-27+1,DAY(A526))&amp;"",""))</f>
        <v/>
      </c>
      <c r="G526" s="123">
        <f>IF(OR(A526="",C526="",B526="",E526=""),"",IFERROR(A526&amp;"|"&amp;(27+4*(IFERROR(MATCH(C526,Roster!$B$6:$B$65,0),MATCH(C526,Roster!$C$6:$C$65,0))-1)+MATCH(B526,{"AM","PM","NIGHT","WD"},0)-1),""))</f>
        <v/>
      </c>
    </row>
    <row r="527">
      <c r="A527" s="122" t="n"/>
      <c r="B527" s="107" t="n"/>
      <c r="C527" s="105" t="n"/>
      <c r="D527" s="92">
        <f>IF(C527="","",IFERROR(INDEX(Roster!$C$6:$C$65,IFERROR(MATCH(C527,Roster!$B$6:$B$65,0),MATCH(C527,Roster!$C$6:$C$65,0))),"not on the Roster"))</f>
        <v/>
      </c>
      <c r="E527" s="106" t="n"/>
      <c r="F527" s="104">
        <f>IF(OR(A527="",C527="",B527=""),"",IFERROR(INDEX(CHOOSE(IF(YEAR(A527)&gt;PlanYear,13,MONTH(A527)),'Jan'!$D$27:$AH$266,'Feb'!$D$27:$AH$266,'Mar'!$D$27:$AH$266,'Apr'!$D$27:$AH$266,'May'!$D$27:$AH$266,'Jun'!$D$27:$AH$266,'Jul'!$D$27:$AH$266,'Aug'!$D$27:$AH$266,'Sep'!$D$27:$AH$266,'Oct'!$D$27:$AH$266,'Nov'!$D$27:$AH$266,'Dec'!$D$27:$AH$266,'Jan (next year)'!$D$27:$AH$266),27+4*(IFERROR(MATCH(C527,Roster!$B$6:$B$65,0),MATCH(C527,Roster!$C$6:$C$65,0))-1)+MATCH(B527,{"AM","PM","NIGHT","WD"},0)-1-27+1,DAY(A527))&amp;"",""))</f>
        <v/>
      </c>
      <c r="G527" s="123">
        <f>IF(OR(A527="",C527="",B527="",E527=""),"",IFERROR(A527&amp;"|"&amp;(27+4*(IFERROR(MATCH(C527,Roster!$B$6:$B$65,0),MATCH(C527,Roster!$C$6:$C$65,0))-1)+MATCH(B527,{"AM","PM","NIGHT","WD"},0)-1),""))</f>
        <v/>
      </c>
    </row>
    <row r="528">
      <c r="A528" s="122" t="n"/>
      <c r="B528" s="107" t="n"/>
      <c r="C528" s="105" t="n"/>
      <c r="D528" s="92">
        <f>IF(C528="","",IFERROR(INDEX(Roster!$C$6:$C$65,IFERROR(MATCH(C528,Roster!$B$6:$B$65,0),MATCH(C528,Roster!$C$6:$C$65,0))),"not on the Roster"))</f>
        <v/>
      </c>
      <c r="E528" s="106" t="n"/>
      <c r="F528" s="104">
        <f>IF(OR(A528="",C528="",B528=""),"",IFERROR(INDEX(CHOOSE(IF(YEAR(A528)&gt;PlanYear,13,MONTH(A528)),'Jan'!$D$27:$AH$266,'Feb'!$D$27:$AH$266,'Mar'!$D$27:$AH$266,'Apr'!$D$27:$AH$266,'May'!$D$27:$AH$266,'Jun'!$D$27:$AH$266,'Jul'!$D$27:$AH$266,'Aug'!$D$27:$AH$266,'Sep'!$D$27:$AH$266,'Oct'!$D$27:$AH$266,'Nov'!$D$27:$AH$266,'Dec'!$D$27:$AH$266,'Jan (next year)'!$D$27:$AH$266),27+4*(IFERROR(MATCH(C528,Roster!$B$6:$B$65,0),MATCH(C528,Roster!$C$6:$C$65,0))-1)+MATCH(B528,{"AM","PM","NIGHT","WD"},0)-1-27+1,DAY(A528))&amp;"",""))</f>
        <v/>
      </c>
      <c r="G528" s="123">
        <f>IF(OR(A528="",C528="",B528="",E528=""),"",IFERROR(A528&amp;"|"&amp;(27+4*(IFERROR(MATCH(C528,Roster!$B$6:$B$65,0),MATCH(C528,Roster!$C$6:$C$65,0))-1)+MATCH(B528,{"AM","PM","NIGHT","WD"},0)-1),""))</f>
        <v/>
      </c>
    </row>
    <row r="529">
      <c r="A529" s="122" t="n"/>
      <c r="B529" s="107" t="n"/>
      <c r="C529" s="105" t="n"/>
      <c r="D529" s="92">
        <f>IF(C529="","",IFERROR(INDEX(Roster!$C$6:$C$65,IFERROR(MATCH(C529,Roster!$B$6:$B$65,0),MATCH(C529,Roster!$C$6:$C$65,0))),"not on the Roster"))</f>
        <v/>
      </c>
      <c r="E529" s="106" t="n"/>
      <c r="F529" s="104">
        <f>IF(OR(A529="",C529="",B529=""),"",IFERROR(INDEX(CHOOSE(IF(YEAR(A529)&gt;PlanYear,13,MONTH(A529)),'Jan'!$D$27:$AH$266,'Feb'!$D$27:$AH$266,'Mar'!$D$27:$AH$266,'Apr'!$D$27:$AH$266,'May'!$D$27:$AH$266,'Jun'!$D$27:$AH$266,'Jul'!$D$27:$AH$266,'Aug'!$D$27:$AH$266,'Sep'!$D$27:$AH$266,'Oct'!$D$27:$AH$266,'Nov'!$D$27:$AH$266,'Dec'!$D$27:$AH$266,'Jan (next year)'!$D$27:$AH$266),27+4*(IFERROR(MATCH(C529,Roster!$B$6:$B$65,0),MATCH(C529,Roster!$C$6:$C$65,0))-1)+MATCH(B529,{"AM","PM","NIGHT","WD"},0)-1-27+1,DAY(A529))&amp;"",""))</f>
        <v/>
      </c>
      <c r="G529" s="123">
        <f>IF(OR(A529="",C529="",B529="",E529=""),"",IFERROR(A529&amp;"|"&amp;(27+4*(IFERROR(MATCH(C529,Roster!$B$6:$B$65,0),MATCH(C529,Roster!$C$6:$C$65,0))-1)+MATCH(B529,{"AM","PM","NIGHT","WD"},0)-1),""))</f>
        <v/>
      </c>
    </row>
    <row r="530">
      <c r="A530" s="122" t="n"/>
      <c r="B530" s="107" t="n"/>
      <c r="C530" s="105" t="n"/>
      <c r="D530" s="92">
        <f>IF(C530="","",IFERROR(INDEX(Roster!$C$6:$C$65,IFERROR(MATCH(C530,Roster!$B$6:$B$65,0),MATCH(C530,Roster!$C$6:$C$65,0))),"not on the Roster"))</f>
        <v/>
      </c>
      <c r="E530" s="106" t="n"/>
      <c r="F530" s="104">
        <f>IF(OR(A530="",C530="",B530=""),"",IFERROR(INDEX(CHOOSE(IF(YEAR(A530)&gt;PlanYear,13,MONTH(A530)),'Jan'!$D$27:$AH$266,'Feb'!$D$27:$AH$266,'Mar'!$D$27:$AH$266,'Apr'!$D$27:$AH$266,'May'!$D$27:$AH$266,'Jun'!$D$27:$AH$266,'Jul'!$D$27:$AH$266,'Aug'!$D$27:$AH$266,'Sep'!$D$27:$AH$266,'Oct'!$D$27:$AH$266,'Nov'!$D$27:$AH$266,'Dec'!$D$27:$AH$266,'Jan (next year)'!$D$27:$AH$266),27+4*(IFERROR(MATCH(C530,Roster!$B$6:$B$65,0),MATCH(C530,Roster!$C$6:$C$65,0))-1)+MATCH(B530,{"AM","PM","NIGHT","WD"},0)-1-27+1,DAY(A530))&amp;"",""))</f>
        <v/>
      </c>
      <c r="G530" s="123">
        <f>IF(OR(A530="",C530="",B530="",E530=""),"",IFERROR(A530&amp;"|"&amp;(27+4*(IFERROR(MATCH(C530,Roster!$B$6:$B$65,0),MATCH(C530,Roster!$C$6:$C$65,0))-1)+MATCH(B530,{"AM","PM","NIGHT","WD"},0)-1),""))</f>
        <v/>
      </c>
    </row>
    <row r="531">
      <c r="A531" s="122" t="n"/>
      <c r="B531" s="107" t="n"/>
      <c r="C531" s="105" t="n"/>
      <c r="D531" s="92">
        <f>IF(C531="","",IFERROR(INDEX(Roster!$C$6:$C$65,IFERROR(MATCH(C531,Roster!$B$6:$B$65,0),MATCH(C531,Roster!$C$6:$C$65,0))),"not on the Roster"))</f>
        <v/>
      </c>
      <c r="E531" s="106" t="n"/>
      <c r="F531" s="104">
        <f>IF(OR(A531="",C531="",B531=""),"",IFERROR(INDEX(CHOOSE(IF(YEAR(A531)&gt;PlanYear,13,MONTH(A531)),'Jan'!$D$27:$AH$266,'Feb'!$D$27:$AH$266,'Mar'!$D$27:$AH$266,'Apr'!$D$27:$AH$266,'May'!$D$27:$AH$266,'Jun'!$D$27:$AH$266,'Jul'!$D$27:$AH$266,'Aug'!$D$27:$AH$266,'Sep'!$D$27:$AH$266,'Oct'!$D$27:$AH$266,'Nov'!$D$27:$AH$266,'Dec'!$D$27:$AH$266,'Jan (next year)'!$D$27:$AH$266),27+4*(IFERROR(MATCH(C531,Roster!$B$6:$B$65,0),MATCH(C531,Roster!$C$6:$C$65,0))-1)+MATCH(B531,{"AM","PM","NIGHT","WD"},0)-1-27+1,DAY(A531))&amp;"",""))</f>
        <v/>
      </c>
      <c r="G531" s="123">
        <f>IF(OR(A531="",C531="",B531="",E531=""),"",IFERROR(A531&amp;"|"&amp;(27+4*(IFERROR(MATCH(C531,Roster!$B$6:$B$65,0),MATCH(C531,Roster!$C$6:$C$65,0))-1)+MATCH(B531,{"AM","PM","NIGHT","WD"},0)-1),""))</f>
        <v/>
      </c>
    </row>
    <row r="532">
      <c r="A532" s="122" t="n"/>
      <c r="B532" s="107" t="n"/>
      <c r="C532" s="105" t="n"/>
      <c r="D532" s="92">
        <f>IF(C532="","",IFERROR(INDEX(Roster!$C$6:$C$65,IFERROR(MATCH(C532,Roster!$B$6:$B$65,0),MATCH(C532,Roster!$C$6:$C$65,0))),"not on the Roster"))</f>
        <v/>
      </c>
      <c r="E532" s="106" t="n"/>
      <c r="F532" s="104">
        <f>IF(OR(A532="",C532="",B532=""),"",IFERROR(INDEX(CHOOSE(IF(YEAR(A532)&gt;PlanYear,13,MONTH(A532)),'Jan'!$D$27:$AH$266,'Feb'!$D$27:$AH$266,'Mar'!$D$27:$AH$266,'Apr'!$D$27:$AH$266,'May'!$D$27:$AH$266,'Jun'!$D$27:$AH$266,'Jul'!$D$27:$AH$266,'Aug'!$D$27:$AH$266,'Sep'!$D$27:$AH$266,'Oct'!$D$27:$AH$266,'Nov'!$D$27:$AH$266,'Dec'!$D$27:$AH$266,'Jan (next year)'!$D$27:$AH$266),27+4*(IFERROR(MATCH(C532,Roster!$B$6:$B$65,0),MATCH(C532,Roster!$C$6:$C$65,0))-1)+MATCH(B532,{"AM","PM","NIGHT","WD"},0)-1-27+1,DAY(A532))&amp;"",""))</f>
        <v/>
      </c>
      <c r="G532" s="123">
        <f>IF(OR(A532="",C532="",B532="",E532=""),"",IFERROR(A532&amp;"|"&amp;(27+4*(IFERROR(MATCH(C532,Roster!$B$6:$B$65,0),MATCH(C532,Roster!$C$6:$C$65,0))-1)+MATCH(B532,{"AM","PM","NIGHT","WD"},0)-1),""))</f>
        <v/>
      </c>
    </row>
    <row r="533">
      <c r="A533" s="122" t="n"/>
      <c r="B533" s="107" t="n"/>
      <c r="C533" s="105" t="n"/>
      <c r="D533" s="92">
        <f>IF(C533="","",IFERROR(INDEX(Roster!$C$6:$C$65,IFERROR(MATCH(C533,Roster!$B$6:$B$65,0),MATCH(C533,Roster!$C$6:$C$65,0))),"not on the Roster"))</f>
        <v/>
      </c>
      <c r="E533" s="106" t="n"/>
      <c r="F533" s="104">
        <f>IF(OR(A533="",C533="",B533=""),"",IFERROR(INDEX(CHOOSE(IF(YEAR(A533)&gt;PlanYear,13,MONTH(A533)),'Jan'!$D$27:$AH$266,'Feb'!$D$27:$AH$266,'Mar'!$D$27:$AH$266,'Apr'!$D$27:$AH$266,'May'!$D$27:$AH$266,'Jun'!$D$27:$AH$266,'Jul'!$D$27:$AH$266,'Aug'!$D$27:$AH$266,'Sep'!$D$27:$AH$266,'Oct'!$D$27:$AH$266,'Nov'!$D$27:$AH$266,'Dec'!$D$27:$AH$266,'Jan (next year)'!$D$27:$AH$266),27+4*(IFERROR(MATCH(C533,Roster!$B$6:$B$65,0),MATCH(C533,Roster!$C$6:$C$65,0))-1)+MATCH(B533,{"AM","PM","NIGHT","WD"},0)-1-27+1,DAY(A533))&amp;"",""))</f>
        <v/>
      </c>
      <c r="G533" s="123">
        <f>IF(OR(A533="",C533="",B533="",E533=""),"",IFERROR(A533&amp;"|"&amp;(27+4*(IFERROR(MATCH(C533,Roster!$B$6:$B$65,0),MATCH(C533,Roster!$C$6:$C$65,0))-1)+MATCH(B533,{"AM","PM","NIGHT","WD"},0)-1),""))</f>
        <v/>
      </c>
    </row>
    <row r="534">
      <c r="A534" s="122" t="n"/>
      <c r="B534" s="107" t="n"/>
      <c r="C534" s="105" t="n"/>
      <c r="D534" s="92">
        <f>IF(C534="","",IFERROR(INDEX(Roster!$C$6:$C$65,IFERROR(MATCH(C534,Roster!$B$6:$B$65,0),MATCH(C534,Roster!$C$6:$C$65,0))),"not on the Roster"))</f>
        <v/>
      </c>
      <c r="E534" s="106" t="n"/>
      <c r="F534" s="104">
        <f>IF(OR(A534="",C534="",B534=""),"",IFERROR(INDEX(CHOOSE(IF(YEAR(A534)&gt;PlanYear,13,MONTH(A534)),'Jan'!$D$27:$AH$266,'Feb'!$D$27:$AH$266,'Mar'!$D$27:$AH$266,'Apr'!$D$27:$AH$266,'May'!$D$27:$AH$266,'Jun'!$D$27:$AH$266,'Jul'!$D$27:$AH$266,'Aug'!$D$27:$AH$266,'Sep'!$D$27:$AH$266,'Oct'!$D$27:$AH$266,'Nov'!$D$27:$AH$266,'Dec'!$D$27:$AH$266,'Jan (next year)'!$D$27:$AH$266),27+4*(IFERROR(MATCH(C534,Roster!$B$6:$B$65,0),MATCH(C534,Roster!$C$6:$C$65,0))-1)+MATCH(B534,{"AM","PM","NIGHT","WD"},0)-1-27+1,DAY(A534))&amp;"",""))</f>
        <v/>
      </c>
      <c r="G534" s="123">
        <f>IF(OR(A534="",C534="",B534="",E534=""),"",IFERROR(A534&amp;"|"&amp;(27+4*(IFERROR(MATCH(C534,Roster!$B$6:$B$65,0),MATCH(C534,Roster!$C$6:$C$65,0))-1)+MATCH(B534,{"AM","PM","NIGHT","WD"},0)-1),""))</f>
        <v/>
      </c>
    </row>
    <row r="535">
      <c r="A535" s="122" t="n"/>
      <c r="B535" s="107" t="n"/>
      <c r="C535" s="105" t="n"/>
      <c r="D535" s="92">
        <f>IF(C535="","",IFERROR(INDEX(Roster!$C$6:$C$65,IFERROR(MATCH(C535,Roster!$B$6:$B$65,0),MATCH(C535,Roster!$C$6:$C$65,0))),"not on the Roster"))</f>
        <v/>
      </c>
      <c r="E535" s="106" t="n"/>
      <c r="F535" s="104">
        <f>IF(OR(A535="",C535="",B535=""),"",IFERROR(INDEX(CHOOSE(IF(YEAR(A535)&gt;PlanYear,13,MONTH(A535)),'Jan'!$D$27:$AH$266,'Feb'!$D$27:$AH$266,'Mar'!$D$27:$AH$266,'Apr'!$D$27:$AH$266,'May'!$D$27:$AH$266,'Jun'!$D$27:$AH$266,'Jul'!$D$27:$AH$266,'Aug'!$D$27:$AH$266,'Sep'!$D$27:$AH$266,'Oct'!$D$27:$AH$266,'Nov'!$D$27:$AH$266,'Dec'!$D$27:$AH$266,'Jan (next year)'!$D$27:$AH$266),27+4*(IFERROR(MATCH(C535,Roster!$B$6:$B$65,0),MATCH(C535,Roster!$C$6:$C$65,0))-1)+MATCH(B535,{"AM","PM","NIGHT","WD"},0)-1-27+1,DAY(A535))&amp;"",""))</f>
        <v/>
      </c>
      <c r="G535" s="123">
        <f>IF(OR(A535="",C535="",B535="",E535=""),"",IFERROR(A535&amp;"|"&amp;(27+4*(IFERROR(MATCH(C535,Roster!$B$6:$B$65,0),MATCH(C535,Roster!$C$6:$C$65,0))-1)+MATCH(B535,{"AM","PM","NIGHT","WD"},0)-1),""))</f>
        <v/>
      </c>
    </row>
    <row r="536">
      <c r="A536" s="122" t="n"/>
      <c r="B536" s="107" t="n"/>
      <c r="C536" s="105" t="n"/>
      <c r="D536" s="92">
        <f>IF(C536="","",IFERROR(INDEX(Roster!$C$6:$C$65,IFERROR(MATCH(C536,Roster!$B$6:$B$65,0),MATCH(C536,Roster!$C$6:$C$65,0))),"not on the Roster"))</f>
        <v/>
      </c>
      <c r="E536" s="106" t="n"/>
      <c r="F536" s="104">
        <f>IF(OR(A536="",C536="",B536=""),"",IFERROR(INDEX(CHOOSE(IF(YEAR(A536)&gt;PlanYear,13,MONTH(A536)),'Jan'!$D$27:$AH$266,'Feb'!$D$27:$AH$266,'Mar'!$D$27:$AH$266,'Apr'!$D$27:$AH$266,'May'!$D$27:$AH$266,'Jun'!$D$27:$AH$266,'Jul'!$D$27:$AH$266,'Aug'!$D$27:$AH$266,'Sep'!$D$27:$AH$266,'Oct'!$D$27:$AH$266,'Nov'!$D$27:$AH$266,'Dec'!$D$27:$AH$266,'Jan (next year)'!$D$27:$AH$266),27+4*(IFERROR(MATCH(C536,Roster!$B$6:$B$65,0),MATCH(C536,Roster!$C$6:$C$65,0))-1)+MATCH(B536,{"AM","PM","NIGHT","WD"},0)-1-27+1,DAY(A536))&amp;"",""))</f>
        <v/>
      </c>
      <c r="G536" s="123">
        <f>IF(OR(A536="",C536="",B536="",E536=""),"",IFERROR(A536&amp;"|"&amp;(27+4*(IFERROR(MATCH(C536,Roster!$B$6:$B$65,0),MATCH(C536,Roster!$C$6:$C$65,0))-1)+MATCH(B536,{"AM","PM","NIGHT","WD"},0)-1),""))</f>
        <v/>
      </c>
    </row>
    <row r="537">
      <c r="A537" s="122" t="n"/>
      <c r="B537" s="107" t="n"/>
      <c r="C537" s="105" t="n"/>
      <c r="D537" s="92">
        <f>IF(C537="","",IFERROR(INDEX(Roster!$C$6:$C$65,IFERROR(MATCH(C537,Roster!$B$6:$B$65,0),MATCH(C537,Roster!$C$6:$C$65,0))),"not on the Roster"))</f>
        <v/>
      </c>
      <c r="E537" s="106" t="n"/>
      <c r="F537" s="104">
        <f>IF(OR(A537="",C537="",B537=""),"",IFERROR(INDEX(CHOOSE(IF(YEAR(A537)&gt;PlanYear,13,MONTH(A537)),'Jan'!$D$27:$AH$266,'Feb'!$D$27:$AH$266,'Mar'!$D$27:$AH$266,'Apr'!$D$27:$AH$266,'May'!$D$27:$AH$266,'Jun'!$D$27:$AH$266,'Jul'!$D$27:$AH$266,'Aug'!$D$27:$AH$266,'Sep'!$D$27:$AH$266,'Oct'!$D$27:$AH$266,'Nov'!$D$27:$AH$266,'Dec'!$D$27:$AH$266,'Jan (next year)'!$D$27:$AH$266),27+4*(IFERROR(MATCH(C537,Roster!$B$6:$B$65,0),MATCH(C537,Roster!$C$6:$C$65,0))-1)+MATCH(B537,{"AM","PM","NIGHT","WD"},0)-1-27+1,DAY(A537))&amp;"",""))</f>
        <v/>
      </c>
      <c r="G537" s="123">
        <f>IF(OR(A537="",C537="",B537="",E537=""),"",IFERROR(A537&amp;"|"&amp;(27+4*(IFERROR(MATCH(C537,Roster!$B$6:$B$65,0),MATCH(C537,Roster!$C$6:$C$65,0))-1)+MATCH(B537,{"AM","PM","NIGHT","WD"},0)-1),""))</f>
        <v/>
      </c>
    </row>
    <row r="538">
      <c r="A538" s="122" t="n"/>
      <c r="B538" s="107" t="n"/>
      <c r="C538" s="105" t="n"/>
      <c r="D538" s="92">
        <f>IF(C538="","",IFERROR(INDEX(Roster!$C$6:$C$65,IFERROR(MATCH(C538,Roster!$B$6:$B$65,0),MATCH(C538,Roster!$C$6:$C$65,0))),"not on the Roster"))</f>
        <v/>
      </c>
      <c r="E538" s="106" t="n"/>
      <c r="F538" s="104">
        <f>IF(OR(A538="",C538="",B538=""),"",IFERROR(INDEX(CHOOSE(IF(YEAR(A538)&gt;PlanYear,13,MONTH(A538)),'Jan'!$D$27:$AH$266,'Feb'!$D$27:$AH$266,'Mar'!$D$27:$AH$266,'Apr'!$D$27:$AH$266,'May'!$D$27:$AH$266,'Jun'!$D$27:$AH$266,'Jul'!$D$27:$AH$266,'Aug'!$D$27:$AH$266,'Sep'!$D$27:$AH$266,'Oct'!$D$27:$AH$266,'Nov'!$D$27:$AH$266,'Dec'!$D$27:$AH$266,'Jan (next year)'!$D$27:$AH$266),27+4*(IFERROR(MATCH(C538,Roster!$B$6:$B$65,0),MATCH(C538,Roster!$C$6:$C$65,0))-1)+MATCH(B538,{"AM","PM","NIGHT","WD"},0)-1-27+1,DAY(A538))&amp;"",""))</f>
        <v/>
      </c>
      <c r="G538" s="123">
        <f>IF(OR(A538="",C538="",B538="",E538=""),"",IFERROR(A538&amp;"|"&amp;(27+4*(IFERROR(MATCH(C538,Roster!$B$6:$B$65,0),MATCH(C538,Roster!$C$6:$C$65,0))-1)+MATCH(B538,{"AM","PM","NIGHT","WD"},0)-1),""))</f>
        <v/>
      </c>
    </row>
    <row r="539">
      <c r="A539" s="122" t="n"/>
      <c r="B539" s="107" t="n"/>
      <c r="C539" s="105" t="n"/>
      <c r="D539" s="92">
        <f>IF(C539="","",IFERROR(INDEX(Roster!$C$6:$C$65,IFERROR(MATCH(C539,Roster!$B$6:$B$65,0),MATCH(C539,Roster!$C$6:$C$65,0))),"not on the Roster"))</f>
        <v/>
      </c>
      <c r="E539" s="106" t="n"/>
      <c r="F539" s="104">
        <f>IF(OR(A539="",C539="",B539=""),"",IFERROR(INDEX(CHOOSE(IF(YEAR(A539)&gt;PlanYear,13,MONTH(A539)),'Jan'!$D$27:$AH$266,'Feb'!$D$27:$AH$266,'Mar'!$D$27:$AH$266,'Apr'!$D$27:$AH$266,'May'!$D$27:$AH$266,'Jun'!$D$27:$AH$266,'Jul'!$D$27:$AH$266,'Aug'!$D$27:$AH$266,'Sep'!$D$27:$AH$266,'Oct'!$D$27:$AH$266,'Nov'!$D$27:$AH$266,'Dec'!$D$27:$AH$266,'Jan (next year)'!$D$27:$AH$266),27+4*(IFERROR(MATCH(C539,Roster!$B$6:$B$65,0),MATCH(C539,Roster!$C$6:$C$65,0))-1)+MATCH(B539,{"AM","PM","NIGHT","WD"},0)-1-27+1,DAY(A539))&amp;"",""))</f>
        <v/>
      </c>
      <c r="G539" s="123">
        <f>IF(OR(A539="",C539="",B539="",E539=""),"",IFERROR(A539&amp;"|"&amp;(27+4*(IFERROR(MATCH(C539,Roster!$B$6:$B$65,0),MATCH(C539,Roster!$C$6:$C$65,0))-1)+MATCH(B539,{"AM","PM","NIGHT","WD"},0)-1),""))</f>
        <v/>
      </c>
    </row>
    <row r="540">
      <c r="A540" s="122" t="n"/>
      <c r="B540" s="107" t="n"/>
      <c r="C540" s="105" t="n"/>
      <c r="D540" s="92">
        <f>IF(C540="","",IFERROR(INDEX(Roster!$C$6:$C$65,IFERROR(MATCH(C540,Roster!$B$6:$B$65,0),MATCH(C540,Roster!$C$6:$C$65,0))),"not on the Roster"))</f>
        <v/>
      </c>
      <c r="E540" s="106" t="n"/>
      <c r="F540" s="104">
        <f>IF(OR(A540="",C540="",B540=""),"",IFERROR(INDEX(CHOOSE(IF(YEAR(A540)&gt;PlanYear,13,MONTH(A540)),'Jan'!$D$27:$AH$266,'Feb'!$D$27:$AH$266,'Mar'!$D$27:$AH$266,'Apr'!$D$27:$AH$266,'May'!$D$27:$AH$266,'Jun'!$D$27:$AH$266,'Jul'!$D$27:$AH$266,'Aug'!$D$27:$AH$266,'Sep'!$D$27:$AH$266,'Oct'!$D$27:$AH$266,'Nov'!$D$27:$AH$266,'Dec'!$D$27:$AH$266,'Jan (next year)'!$D$27:$AH$266),27+4*(IFERROR(MATCH(C540,Roster!$B$6:$B$65,0),MATCH(C540,Roster!$C$6:$C$65,0))-1)+MATCH(B540,{"AM","PM","NIGHT","WD"},0)-1-27+1,DAY(A540))&amp;"",""))</f>
        <v/>
      </c>
      <c r="G540" s="123">
        <f>IF(OR(A540="",C540="",B540="",E540=""),"",IFERROR(A540&amp;"|"&amp;(27+4*(IFERROR(MATCH(C540,Roster!$B$6:$B$65,0),MATCH(C540,Roster!$C$6:$C$65,0))-1)+MATCH(B540,{"AM","PM","NIGHT","WD"},0)-1),""))</f>
        <v/>
      </c>
    </row>
    <row r="541">
      <c r="A541" s="122" t="n"/>
      <c r="B541" s="107" t="n"/>
      <c r="C541" s="105" t="n"/>
      <c r="D541" s="92">
        <f>IF(C541="","",IFERROR(INDEX(Roster!$C$6:$C$65,IFERROR(MATCH(C541,Roster!$B$6:$B$65,0),MATCH(C541,Roster!$C$6:$C$65,0))),"not on the Roster"))</f>
        <v/>
      </c>
      <c r="E541" s="106" t="n"/>
      <c r="F541" s="104">
        <f>IF(OR(A541="",C541="",B541=""),"",IFERROR(INDEX(CHOOSE(IF(YEAR(A541)&gt;PlanYear,13,MONTH(A541)),'Jan'!$D$27:$AH$266,'Feb'!$D$27:$AH$266,'Mar'!$D$27:$AH$266,'Apr'!$D$27:$AH$266,'May'!$D$27:$AH$266,'Jun'!$D$27:$AH$266,'Jul'!$D$27:$AH$266,'Aug'!$D$27:$AH$266,'Sep'!$D$27:$AH$266,'Oct'!$D$27:$AH$266,'Nov'!$D$27:$AH$266,'Dec'!$D$27:$AH$266,'Jan (next year)'!$D$27:$AH$266),27+4*(IFERROR(MATCH(C541,Roster!$B$6:$B$65,0),MATCH(C541,Roster!$C$6:$C$65,0))-1)+MATCH(B541,{"AM","PM","NIGHT","WD"},0)-1-27+1,DAY(A541))&amp;"",""))</f>
        <v/>
      </c>
      <c r="G541" s="123">
        <f>IF(OR(A541="",C541="",B541="",E541=""),"",IFERROR(A541&amp;"|"&amp;(27+4*(IFERROR(MATCH(C541,Roster!$B$6:$B$65,0),MATCH(C541,Roster!$C$6:$C$65,0))-1)+MATCH(B541,{"AM","PM","NIGHT","WD"},0)-1),""))</f>
        <v/>
      </c>
    </row>
    <row r="542">
      <c r="A542" s="122" t="n"/>
      <c r="B542" s="107" t="n"/>
      <c r="C542" s="105" t="n"/>
      <c r="D542" s="92">
        <f>IF(C542="","",IFERROR(INDEX(Roster!$C$6:$C$65,IFERROR(MATCH(C542,Roster!$B$6:$B$65,0),MATCH(C542,Roster!$C$6:$C$65,0))),"not on the Roster"))</f>
        <v/>
      </c>
      <c r="E542" s="106" t="n"/>
      <c r="F542" s="104">
        <f>IF(OR(A542="",C542="",B542=""),"",IFERROR(INDEX(CHOOSE(IF(YEAR(A542)&gt;PlanYear,13,MONTH(A542)),'Jan'!$D$27:$AH$266,'Feb'!$D$27:$AH$266,'Mar'!$D$27:$AH$266,'Apr'!$D$27:$AH$266,'May'!$D$27:$AH$266,'Jun'!$D$27:$AH$266,'Jul'!$D$27:$AH$266,'Aug'!$D$27:$AH$266,'Sep'!$D$27:$AH$266,'Oct'!$D$27:$AH$266,'Nov'!$D$27:$AH$266,'Dec'!$D$27:$AH$266,'Jan (next year)'!$D$27:$AH$266),27+4*(IFERROR(MATCH(C542,Roster!$B$6:$B$65,0),MATCH(C542,Roster!$C$6:$C$65,0))-1)+MATCH(B542,{"AM","PM","NIGHT","WD"},0)-1-27+1,DAY(A542))&amp;"",""))</f>
        <v/>
      </c>
      <c r="G542" s="123">
        <f>IF(OR(A542="",C542="",B542="",E542=""),"",IFERROR(A542&amp;"|"&amp;(27+4*(IFERROR(MATCH(C542,Roster!$B$6:$B$65,0),MATCH(C542,Roster!$C$6:$C$65,0))-1)+MATCH(B542,{"AM","PM","NIGHT","WD"},0)-1),""))</f>
        <v/>
      </c>
    </row>
    <row r="543">
      <c r="A543" s="122" t="n"/>
      <c r="B543" s="107" t="n"/>
      <c r="C543" s="105" t="n"/>
      <c r="D543" s="92">
        <f>IF(C543="","",IFERROR(INDEX(Roster!$C$6:$C$65,IFERROR(MATCH(C543,Roster!$B$6:$B$65,0),MATCH(C543,Roster!$C$6:$C$65,0))),"not on the Roster"))</f>
        <v/>
      </c>
      <c r="E543" s="106" t="n"/>
      <c r="F543" s="104">
        <f>IF(OR(A543="",C543="",B543=""),"",IFERROR(INDEX(CHOOSE(IF(YEAR(A543)&gt;PlanYear,13,MONTH(A543)),'Jan'!$D$27:$AH$266,'Feb'!$D$27:$AH$266,'Mar'!$D$27:$AH$266,'Apr'!$D$27:$AH$266,'May'!$D$27:$AH$266,'Jun'!$D$27:$AH$266,'Jul'!$D$27:$AH$266,'Aug'!$D$27:$AH$266,'Sep'!$D$27:$AH$266,'Oct'!$D$27:$AH$266,'Nov'!$D$27:$AH$266,'Dec'!$D$27:$AH$266,'Jan (next year)'!$D$27:$AH$266),27+4*(IFERROR(MATCH(C543,Roster!$B$6:$B$65,0),MATCH(C543,Roster!$C$6:$C$65,0))-1)+MATCH(B543,{"AM","PM","NIGHT","WD"},0)-1-27+1,DAY(A543))&amp;"",""))</f>
        <v/>
      </c>
      <c r="G543" s="123">
        <f>IF(OR(A543="",C543="",B543="",E543=""),"",IFERROR(A543&amp;"|"&amp;(27+4*(IFERROR(MATCH(C543,Roster!$B$6:$B$65,0),MATCH(C543,Roster!$C$6:$C$65,0))-1)+MATCH(B543,{"AM","PM","NIGHT","WD"},0)-1),""))</f>
        <v/>
      </c>
    </row>
    <row r="544">
      <c r="A544" s="122" t="n"/>
      <c r="B544" s="107" t="n"/>
      <c r="C544" s="105" t="n"/>
      <c r="D544" s="92">
        <f>IF(C544="","",IFERROR(INDEX(Roster!$C$6:$C$65,IFERROR(MATCH(C544,Roster!$B$6:$B$65,0),MATCH(C544,Roster!$C$6:$C$65,0))),"not on the Roster"))</f>
        <v/>
      </c>
      <c r="E544" s="106" t="n"/>
      <c r="F544" s="104">
        <f>IF(OR(A544="",C544="",B544=""),"",IFERROR(INDEX(CHOOSE(IF(YEAR(A544)&gt;PlanYear,13,MONTH(A544)),'Jan'!$D$27:$AH$266,'Feb'!$D$27:$AH$266,'Mar'!$D$27:$AH$266,'Apr'!$D$27:$AH$266,'May'!$D$27:$AH$266,'Jun'!$D$27:$AH$266,'Jul'!$D$27:$AH$266,'Aug'!$D$27:$AH$266,'Sep'!$D$27:$AH$266,'Oct'!$D$27:$AH$266,'Nov'!$D$27:$AH$266,'Dec'!$D$27:$AH$266,'Jan (next year)'!$D$27:$AH$266),27+4*(IFERROR(MATCH(C544,Roster!$B$6:$B$65,0),MATCH(C544,Roster!$C$6:$C$65,0))-1)+MATCH(B544,{"AM","PM","NIGHT","WD"},0)-1-27+1,DAY(A544))&amp;"",""))</f>
        <v/>
      </c>
      <c r="G544" s="123">
        <f>IF(OR(A544="",C544="",B544="",E544=""),"",IFERROR(A544&amp;"|"&amp;(27+4*(IFERROR(MATCH(C544,Roster!$B$6:$B$65,0),MATCH(C544,Roster!$C$6:$C$65,0))-1)+MATCH(B544,{"AM","PM","NIGHT","WD"},0)-1),""))</f>
        <v/>
      </c>
    </row>
    <row r="545">
      <c r="A545" s="122" t="n"/>
      <c r="B545" s="107" t="n"/>
      <c r="C545" s="105" t="n"/>
      <c r="D545" s="92">
        <f>IF(C545="","",IFERROR(INDEX(Roster!$C$6:$C$65,IFERROR(MATCH(C545,Roster!$B$6:$B$65,0),MATCH(C545,Roster!$C$6:$C$65,0))),"not on the Roster"))</f>
        <v/>
      </c>
      <c r="E545" s="106" t="n"/>
      <c r="F545" s="104">
        <f>IF(OR(A545="",C545="",B545=""),"",IFERROR(INDEX(CHOOSE(IF(YEAR(A545)&gt;PlanYear,13,MONTH(A545)),'Jan'!$D$27:$AH$266,'Feb'!$D$27:$AH$266,'Mar'!$D$27:$AH$266,'Apr'!$D$27:$AH$266,'May'!$D$27:$AH$266,'Jun'!$D$27:$AH$266,'Jul'!$D$27:$AH$266,'Aug'!$D$27:$AH$266,'Sep'!$D$27:$AH$266,'Oct'!$D$27:$AH$266,'Nov'!$D$27:$AH$266,'Dec'!$D$27:$AH$266,'Jan (next year)'!$D$27:$AH$266),27+4*(IFERROR(MATCH(C545,Roster!$B$6:$B$65,0),MATCH(C545,Roster!$C$6:$C$65,0))-1)+MATCH(B545,{"AM","PM","NIGHT","WD"},0)-1-27+1,DAY(A545))&amp;"",""))</f>
        <v/>
      </c>
      <c r="G545" s="123">
        <f>IF(OR(A545="",C545="",B545="",E545=""),"",IFERROR(A545&amp;"|"&amp;(27+4*(IFERROR(MATCH(C545,Roster!$B$6:$B$65,0),MATCH(C545,Roster!$C$6:$C$65,0))-1)+MATCH(B545,{"AM","PM","NIGHT","WD"},0)-1),""))</f>
        <v/>
      </c>
    </row>
    <row r="546">
      <c r="A546" s="122" t="n"/>
      <c r="B546" s="107" t="n"/>
      <c r="C546" s="105" t="n"/>
      <c r="D546" s="92">
        <f>IF(C546="","",IFERROR(INDEX(Roster!$C$6:$C$65,IFERROR(MATCH(C546,Roster!$B$6:$B$65,0),MATCH(C546,Roster!$C$6:$C$65,0))),"not on the Roster"))</f>
        <v/>
      </c>
      <c r="E546" s="106" t="n"/>
      <c r="F546" s="104">
        <f>IF(OR(A546="",C546="",B546=""),"",IFERROR(INDEX(CHOOSE(IF(YEAR(A546)&gt;PlanYear,13,MONTH(A546)),'Jan'!$D$27:$AH$266,'Feb'!$D$27:$AH$266,'Mar'!$D$27:$AH$266,'Apr'!$D$27:$AH$266,'May'!$D$27:$AH$266,'Jun'!$D$27:$AH$266,'Jul'!$D$27:$AH$266,'Aug'!$D$27:$AH$266,'Sep'!$D$27:$AH$266,'Oct'!$D$27:$AH$266,'Nov'!$D$27:$AH$266,'Dec'!$D$27:$AH$266,'Jan (next year)'!$D$27:$AH$266),27+4*(IFERROR(MATCH(C546,Roster!$B$6:$B$65,0),MATCH(C546,Roster!$C$6:$C$65,0))-1)+MATCH(B546,{"AM","PM","NIGHT","WD"},0)-1-27+1,DAY(A546))&amp;"",""))</f>
        <v/>
      </c>
      <c r="G546" s="123">
        <f>IF(OR(A546="",C546="",B546="",E546=""),"",IFERROR(A546&amp;"|"&amp;(27+4*(IFERROR(MATCH(C546,Roster!$B$6:$B$65,0),MATCH(C546,Roster!$C$6:$C$65,0))-1)+MATCH(B546,{"AM","PM","NIGHT","WD"},0)-1),""))</f>
        <v/>
      </c>
    </row>
    <row r="547">
      <c r="A547" s="122" t="n"/>
      <c r="B547" s="107" t="n"/>
      <c r="C547" s="105" t="n"/>
      <c r="D547" s="92">
        <f>IF(C547="","",IFERROR(INDEX(Roster!$C$6:$C$65,IFERROR(MATCH(C547,Roster!$B$6:$B$65,0),MATCH(C547,Roster!$C$6:$C$65,0))),"not on the Roster"))</f>
        <v/>
      </c>
      <c r="E547" s="106" t="n"/>
      <c r="F547" s="104">
        <f>IF(OR(A547="",C547="",B547=""),"",IFERROR(INDEX(CHOOSE(IF(YEAR(A547)&gt;PlanYear,13,MONTH(A547)),'Jan'!$D$27:$AH$266,'Feb'!$D$27:$AH$266,'Mar'!$D$27:$AH$266,'Apr'!$D$27:$AH$266,'May'!$D$27:$AH$266,'Jun'!$D$27:$AH$266,'Jul'!$D$27:$AH$266,'Aug'!$D$27:$AH$266,'Sep'!$D$27:$AH$266,'Oct'!$D$27:$AH$266,'Nov'!$D$27:$AH$266,'Dec'!$D$27:$AH$266,'Jan (next year)'!$D$27:$AH$266),27+4*(IFERROR(MATCH(C547,Roster!$B$6:$B$65,0),MATCH(C547,Roster!$C$6:$C$65,0))-1)+MATCH(B547,{"AM","PM","NIGHT","WD"},0)-1-27+1,DAY(A547))&amp;"",""))</f>
        <v/>
      </c>
      <c r="G547" s="123">
        <f>IF(OR(A547="",C547="",B547="",E547=""),"",IFERROR(A547&amp;"|"&amp;(27+4*(IFERROR(MATCH(C547,Roster!$B$6:$B$65,0),MATCH(C547,Roster!$C$6:$C$65,0))-1)+MATCH(B547,{"AM","PM","NIGHT","WD"},0)-1),""))</f>
        <v/>
      </c>
    </row>
    <row r="548">
      <c r="A548" s="122" t="n"/>
      <c r="B548" s="107" t="n"/>
      <c r="C548" s="105" t="n"/>
      <c r="D548" s="92">
        <f>IF(C548="","",IFERROR(INDEX(Roster!$C$6:$C$65,IFERROR(MATCH(C548,Roster!$B$6:$B$65,0),MATCH(C548,Roster!$C$6:$C$65,0))),"not on the Roster"))</f>
        <v/>
      </c>
      <c r="E548" s="106" t="n"/>
      <c r="F548" s="104">
        <f>IF(OR(A548="",C548="",B548=""),"",IFERROR(INDEX(CHOOSE(IF(YEAR(A548)&gt;PlanYear,13,MONTH(A548)),'Jan'!$D$27:$AH$266,'Feb'!$D$27:$AH$266,'Mar'!$D$27:$AH$266,'Apr'!$D$27:$AH$266,'May'!$D$27:$AH$266,'Jun'!$D$27:$AH$266,'Jul'!$D$27:$AH$266,'Aug'!$D$27:$AH$266,'Sep'!$D$27:$AH$266,'Oct'!$D$27:$AH$266,'Nov'!$D$27:$AH$266,'Dec'!$D$27:$AH$266,'Jan (next year)'!$D$27:$AH$266),27+4*(IFERROR(MATCH(C548,Roster!$B$6:$B$65,0),MATCH(C548,Roster!$C$6:$C$65,0))-1)+MATCH(B548,{"AM","PM","NIGHT","WD"},0)-1-27+1,DAY(A548))&amp;"",""))</f>
        <v/>
      </c>
      <c r="G548" s="123">
        <f>IF(OR(A548="",C548="",B548="",E548=""),"",IFERROR(A548&amp;"|"&amp;(27+4*(IFERROR(MATCH(C548,Roster!$B$6:$B$65,0),MATCH(C548,Roster!$C$6:$C$65,0))-1)+MATCH(B548,{"AM","PM","NIGHT","WD"},0)-1),""))</f>
        <v/>
      </c>
    </row>
    <row r="549">
      <c r="A549" s="122" t="n"/>
      <c r="B549" s="107" t="n"/>
      <c r="C549" s="105" t="n"/>
      <c r="D549" s="92">
        <f>IF(C549="","",IFERROR(INDEX(Roster!$C$6:$C$65,IFERROR(MATCH(C549,Roster!$B$6:$B$65,0),MATCH(C549,Roster!$C$6:$C$65,0))),"not on the Roster"))</f>
        <v/>
      </c>
      <c r="E549" s="106" t="n"/>
      <c r="F549" s="104">
        <f>IF(OR(A549="",C549="",B549=""),"",IFERROR(INDEX(CHOOSE(IF(YEAR(A549)&gt;PlanYear,13,MONTH(A549)),'Jan'!$D$27:$AH$266,'Feb'!$D$27:$AH$266,'Mar'!$D$27:$AH$266,'Apr'!$D$27:$AH$266,'May'!$D$27:$AH$266,'Jun'!$D$27:$AH$266,'Jul'!$D$27:$AH$266,'Aug'!$D$27:$AH$266,'Sep'!$D$27:$AH$266,'Oct'!$D$27:$AH$266,'Nov'!$D$27:$AH$266,'Dec'!$D$27:$AH$266,'Jan (next year)'!$D$27:$AH$266),27+4*(IFERROR(MATCH(C549,Roster!$B$6:$B$65,0),MATCH(C549,Roster!$C$6:$C$65,0))-1)+MATCH(B549,{"AM","PM","NIGHT","WD"},0)-1-27+1,DAY(A549))&amp;"",""))</f>
        <v/>
      </c>
      <c r="G549" s="123">
        <f>IF(OR(A549="",C549="",B549="",E549=""),"",IFERROR(A549&amp;"|"&amp;(27+4*(IFERROR(MATCH(C549,Roster!$B$6:$B$65,0),MATCH(C549,Roster!$C$6:$C$65,0))-1)+MATCH(B549,{"AM","PM","NIGHT","WD"},0)-1),""))</f>
        <v/>
      </c>
    </row>
    <row r="550">
      <c r="A550" s="122" t="n"/>
      <c r="B550" s="107" t="n"/>
      <c r="C550" s="105" t="n"/>
      <c r="D550" s="92">
        <f>IF(C550="","",IFERROR(INDEX(Roster!$C$6:$C$65,IFERROR(MATCH(C550,Roster!$B$6:$B$65,0),MATCH(C550,Roster!$C$6:$C$65,0))),"not on the Roster"))</f>
        <v/>
      </c>
      <c r="E550" s="106" t="n"/>
      <c r="F550" s="104">
        <f>IF(OR(A550="",C550="",B550=""),"",IFERROR(INDEX(CHOOSE(IF(YEAR(A550)&gt;PlanYear,13,MONTH(A550)),'Jan'!$D$27:$AH$266,'Feb'!$D$27:$AH$266,'Mar'!$D$27:$AH$266,'Apr'!$D$27:$AH$266,'May'!$D$27:$AH$266,'Jun'!$D$27:$AH$266,'Jul'!$D$27:$AH$266,'Aug'!$D$27:$AH$266,'Sep'!$D$27:$AH$266,'Oct'!$D$27:$AH$266,'Nov'!$D$27:$AH$266,'Dec'!$D$27:$AH$266,'Jan (next year)'!$D$27:$AH$266),27+4*(IFERROR(MATCH(C550,Roster!$B$6:$B$65,0),MATCH(C550,Roster!$C$6:$C$65,0))-1)+MATCH(B550,{"AM","PM","NIGHT","WD"},0)-1-27+1,DAY(A550))&amp;"",""))</f>
        <v/>
      </c>
      <c r="G550" s="123">
        <f>IF(OR(A550="",C550="",B550="",E550=""),"",IFERROR(A550&amp;"|"&amp;(27+4*(IFERROR(MATCH(C550,Roster!$B$6:$B$65,0),MATCH(C550,Roster!$C$6:$C$65,0))-1)+MATCH(B550,{"AM","PM","NIGHT","WD"},0)-1),""))</f>
        <v/>
      </c>
    </row>
    <row r="551">
      <c r="A551" s="122" t="n"/>
      <c r="B551" s="107" t="n"/>
      <c r="C551" s="105" t="n"/>
      <c r="D551" s="92">
        <f>IF(C551="","",IFERROR(INDEX(Roster!$C$6:$C$65,IFERROR(MATCH(C551,Roster!$B$6:$B$65,0),MATCH(C551,Roster!$C$6:$C$65,0))),"not on the Roster"))</f>
        <v/>
      </c>
      <c r="E551" s="106" t="n"/>
      <c r="F551" s="104">
        <f>IF(OR(A551="",C551="",B551=""),"",IFERROR(INDEX(CHOOSE(IF(YEAR(A551)&gt;PlanYear,13,MONTH(A551)),'Jan'!$D$27:$AH$266,'Feb'!$D$27:$AH$266,'Mar'!$D$27:$AH$266,'Apr'!$D$27:$AH$266,'May'!$D$27:$AH$266,'Jun'!$D$27:$AH$266,'Jul'!$D$27:$AH$266,'Aug'!$D$27:$AH$266,'Sep'!$D$27:$AH$266,'Oct'!$D$27:$AH$266,'Nov'!$D$27:$AH$266,'Dec'!$D$27:$AH$266,'Jan (next year)'!$D$27:$AH$266),27+4*(IFERROR(MATCH(C551,Roster!$B$6:$B$65,0),MATCH(C551,Roster!$C$6:$C$65,0))-1)+MATCH(B551,{"AM","PM","NIGHT","WD"},0)-1-27+1,DAY(A551))&amp;"",""))</f>
        <v/>
      </c>
      <c r="G551" s="123">
        <f>IF(OR(A551="",C551="",B551="",E551=""),"",IFERROR(A551&amp;"|"&amp;(27+4*(IFERROR(MATCH(C551,Roster!$B$6:$B$65,0),MATCH(C551,Roster!$C$6:$C$65,0))-1)+MATCH(B551,{"AM","PM","NIGHT","WD"},0)-1),""))</f>
        <v/>
      </c>
    </row>
    <row r="552">
      <c r="A552" s="122" t="n"/>
      <c r="B552" s="107" t="n"/>
      <c r="C552" s="105" t="n"/>
      <c r="D552" s="92">
        <f>IF(C552="","",IFERROR(INDEX(Roster!$C$6:$C$65,IFERROR(MATCH(C552,Roster!$B$6:$B$65,0),MATCH(C552,Roster!$C$6:$C$65,0))),"not on the Roster"))</f>
        <v/>
      </c>
      <c r="E552" s="106" t="n"/>
      <c r="F552" s="104">
        <f>IF(OR(A552="",C552="",B552=""),"",IFERROR(INDEX(CHOOSE(IF(YEAR(A552)&gt;PlanYear,13,MONTH(A552)),'Jan'!$D$27:$AH$266,'Feb'!$D$27:$AH$266,'Mar'!$D$27:$AH$266,'Apr'!$D$27:$AH$266,'May'!$D$27:$AH$266,'Jun'!$D$27:$AH$266,'Jul'!$D$27:$AH$266,'Aug'!$D$27:$AH$266,'Sep'!$D$27:$AH$266,'Oct'!$D$27:$AH$266,'Nov'!$D$27:$AH$266,'Dec'!$D$27:$AH$266,'Jan (next year)'!$D$27:$AH$266),27+4*(IFERROR(MATCH(C552,Roster!$B$6:$B$65,0),MATCH(C552,Roster!$C$6:$C$65,0))-1)+MATCH(B552,{"AM","PM","NIGHT","WD"},0)-1-27+1,DAY(A552))&amp;"",""))</f>
        <v/>
      </c>
      <c r="G552" s="123">
        <f>IF(OR(A552="",C552="",B552="",E552=""),"",IFERROR(A552&amp;"|"&amp;(27+4*(IFERROR(MATCH(C552,Roster!$B$6:$B$65,0),MATCH(C552,Roster!$C$6:$C$65,0))-1)+MATCH(B552,{"AM","PM","NIGHT","WD"},0)-1),""))</f>
        <v/>
      </c>
    </row>
    <row r="553">
      <c r="A553" s="122" t="n"/>
      <c r="B553" s="107" t="n"/>
      <c r="C553" s="105" t="n"/>
      <c r="D553" s="92">
        <f>IF(C553="","",IFERROR(INDEX(Roster!$C$6:$C$65,IFERROR(MATCH(C553,Roster!$B$6:$B$65,0),MATCH(C553,Roster!$C$6:$C$65,0))),"not on the Roster"))</f>
        <v/>
      </c>
      <c r="E553" s="106" t="n"/>
      <c r="F553" s="104">
        <f>IF(OR(A553="",C553="",B553=""),"",IFERROR(INDEX(CHOOSE(IF(YEAR(A553)&gt;PlanYear,13,MONTH(A553)),'Jan'!$D$27:$AH$266,'Feb'!$D$27:$AH$266,'Mar'!$D$27:$AH$266,'Apr'!$D$27:$AH$266,'May'!$D$27:$AH$266,'Jun'!$D$27:$AH$266,'Jul'!$D$27:$AH$266,'Aug'!$D$27:$AH$266,'Sep'!$D$27:$AH$266,'Oct'!$D$27:$AH$266,'Nov'!$D$27:$AH$266,'Dec'!$D$27:$AH$266,'Jan (next year)'!$D$27:$AH$266),27+4*(IFERROR(MATCH(C553,Roster!$B$6:$B$65,0),MATCH(C553,Roster!$C$6:$C$65,0))-1)+MATCH(B553,{"AM","PM","NIGHT","WD"},0)-1-27+1,DAY(A553))&amp;"",""))</f>
        <v/>
      </c>
      <c r="G553" s="123">
        <f>IF(OR(A553="",C553="",B553="",E553=""),"",IFERROR(A553&amp;"|"&amp;(27+4*(IFERROR(MATCH(C553,Roster!$B$6:$B$65,0),MATCH(C553,Roster!$C$6:$C$65,0))-1)+MATCH(B553,{"AM","PM","NIGHT","WD"},0)-1),""))</f>
        <v/>
      </c>
    </row>
    <row r="554">
      <c r="A554" s="122" t="n"/>
      <c r="B554" s="107" t="n"/>
      <c r="C554" s="105" t="n"/>
      <c r="D554" s="92">
        <f>IF(C554="","",IFERROR(INDEX(Roster!$C$6:$C$65,IFERROR(MATCH(C554,Roster!$B$6:$B$65,0),MATCH(C554,Roster!$C$6:$C$65,0))),"not on the Roster"))</f>
        <v/>
      </c>
      <c r="E554" s="106" t="n"/>
      <c r="F554" s="104">
        <f>IF(OR(A554="",C554="",B554=""),"",IFERROR(INDEX(CHOOSE(IF(YEAR(A554)&gt;PlanYear,13,MONTH(A554)),'Jan'!$D$27:$AH$266,'Feb'!$D$27:$AH$266,'Mar'!$D$27:$AH$266,'Apr'!$D$27:$AH$266,'May'!$D$27:$AH$266,'Jun'!$D$27:$AH$266,'Jul'!$D$27:$AH$266,'Aug'!$D$27:$AH$266,'Sep'!$D$27:$AH$266,'Oct'!$D$27:$AH$266,'Nov'!$D$27:$AH$266,'Dec'!$D$27:$AH$266,'Jan (next year)'!$D$27:$AH$266),27+4*(IFERROR(MATCH(C554,Roster!$B$6:$B$65,0),MATCH(C554,Roster!$C$6:$C$65,0))-1)+MATCH(B554,{"AM","PM","NIGHT","WD"},0)-1-27+1,DAY(A554))&amp;"",""))</f>
        <v/>
      </c>
      <c r="G554" s="123">
        <f>IF(OR(A554="",C554="",B554="",E554=""),"",IFERROR(A554&amp;"|"&amp;(27+4*(IFERROR(MATCH(C554,Roster!$B$6:$B$65,0),MATCH(C554,Roster!$C$6:$C$65,0))-1)+MATCH(B554,{"AM","PM","NIGHT","WD"},0)-1),""))</f>
        <v/>
      </c>
    </row>
    <row r="555">
      <c r="A555" s="122" t="n"/>
      <c r="B555" s="107" t="n"/>
      <c r="C555" s="105" t="n"/>
      <c r="D555" s="92">
        <f>IF(C555="","",IFERROR(INDEX(Roster!$C$6:$C$65,IFERROR(MATCH(C555,Roster!$B$6:$B$65,0),MATCH(C555,Roster!$C$6:$C$65,0))),"not on the Roster"))</f>
        <v/>
      </c>
      <c r="E555" s="106" t="n"/>
      <c r="F555" s="104">
        <f>IF(OR(A555="",C555="",B555=""),"",IFERROR(INDEX(CHOOSE(IF(YEAR(A555)&gt;PlanYear,13,MONTH(A555)),'Jan'!$D$27:$AH$266,'Feb'!$D$27:$AH$266,'Mar'!$D$27:$AH$266,'Apr'!$D$27:$AH$266,'May'!$D$27:$AH$266,'Jun'!$D$27:$AH$266,'Jul'!$D$27:$AH$266,'Aug'!$D$27:$AH$266,'Sep'!$D$27:$AH$266,'Oct'!$D$27:$AH$266,'Nov'!$D$27:$AH$266,'Dec'!$D$27:$AH$266,'Jan (next year)'!$D$27:$AH$266),27+4*(IFERROR(MATCH(C555,Roster!$B$6:$B$65,0),MATCH(C555,Roster!$C$6:$C$65,0))-1)+MATCH(B555,{"AM","PM","NIGHT","WD"},0)-1-27+1,DAY(A555))&amp;"",""))</f>
        <v/>
      </c>
      <c r="G555" s="123">
        <f>IF(OR(A555="",C555="",B555="",E555=""),"",IFERROR(A555&amp;"|"&amp;(27+4*(IFERROR(MATCH(C555,Roster!$B$6:$B$65,0),MATCH(C555,Roster!$C$6:$C$65,0))-1)+MATCH(B555,{"AM","PM","NIGHT","WD"},0)-1),""))</f>
        <v/>
      </c>
    </row>
    <row r="556">
      <c r="A556" s="122" t="n"/>
      <c r="B556" s="107" t="n"/>
      <c r="C556" s="105" t="n"/>
      <c r="D556" s="92">
        <f>IF(C556="","",IFERROR(INDEX(Roster!$C$6:$C$65,IFERROR(MATCH(C556,Roster!$B$6:$B$65,0),MATCH(C556,Roster!$C$6:$C$65,0))),"not on the Roster"))</f>
        <v/>
      </c>
      <c r="E556" s="106" t="n"/>
      <c r="F556" s="104">
        <f>IF(OR(A556="",C556="",B556=""),"",IFERROR(INDEX(CHOOSE(IF(YEAR(A556)&gt;PlanYear,13,MONTH(A556)),'Jan'!$D$27:$AH$266,'Feb'!$D$27:$AH$266,'Mar'!$D$27:$AH$266,'Apr'!$D$27:$AH$266,'May'!$D$27:$AH$266,'Jun'!$D$27:$AH$266,'Jul'!$D$27:$AH$266,'Aug'!$D$27:$AH$266,'Sep'!$D$27:$AH$266,'Oct'!$D$27:$AH$266,'Nov'!$D$27:$AH$266,'Dec'!$D$27:$AH$266,'Jan (next year)'!$D$27:$AH$266),27+4*(IFERROR(MATCH(C556,Roster!$B$6:$B$65,0),MATCH(C556,Roster!$C$6:$C$65,0))-1)+MATCH(B556,{"AM","PM","NIGHT","WD"},0)-1-27+1,DAY(A556))&amp;"",""))</f>
        <v/>
      </c>
      <c r="G556" s="123">
        <f>IF(OR(A556="",C556="",B556="",E556=""),"",IFERROR(A556&amp;"|"&amp;(27+4*(IFERROR(MATCH(C556,Roster!$B$6:$B$65,0),MATCH(C556,Roster!$C$6:$C$65,0))-1)+MATCH(B556,{"AM","PM","NIGHT","WD"},0)-1),""))</f>
        <v/>
      </c>
    </row>
    <row r="557">
      <c r="A557" s="122" t="n"/>
      <c r="B557" s="107" t="n"/>
      <c r="C557" s="105" t="n"/>
      <c r="D557" s="92">
        <f>IF(C557="","",IFERROR(INDEX(Roster!$C$6:$C$65,IFERROR(MATCH(C557,Roster!$B$6:$B$65,0),MATCH(C557,Roster!$C$6:$C$65,0))),"not on the Roster"))</f>
        <v/>
      </c>
      <c r="E557" s="106" t="n"/>
      <c r="F557" s="104">
        <f>IF(OR(A557="",C557="",B557=""),"",IFERROR(INDEX(CHOOSE(IF(YEAR(A557)&gt;PlanYear,13,MONTH(A557)),'Jan'!$D$27:$AH$266,'Feb'!$D$27:$AH$266,'Mar'!$D$27:$AH$266,'Apr'!$D$27:$AH$266,'May'!$D$27:$AH$266,'Jun'!$D$27:$AH$266,'Jul'!$D$27:$AH$266,'Aug'!$D$27:$AH$266,'Sep'!$D$27:$AH$266,'Oct'!$D$27:$AH$266,'Nov'!$D$27:$AH$266,'Dec'!$D$27:$AH$266,'Jan (next year)'!$D$27:$AH$266),27+4*(IFERROR(MATCH(C557,Roster!$B$6:$B$65,0),MATCH(C557,Roster!$C$6:$C$65,0))-1)+MATCH(B557,{"AM","PM","NIGHT","WD"},0)-1-27+1,DAY(A557))&amp;"",""))</f>
        <v/>
      </c>
      <c r="G557" s="123">
        <f>IF(OR(A557="",C557="",B557="",E557=""),"",IFERROR(A557&amp;"|"&amp;(27+4*(IFERROR(MATCH(C557,Roster!$B$6:$B$65,0),MATCH(C557,Roster!$C$6:$C$65,0))-1)+MATCH(B557,{"AM","PM","NIGHT","WD"},0)-1),""))</f>
        <v/>
      </c>
    </row>
    <row r="558">
      <c r="A558" s="122" t="n"/>
      <c r="B558" s="107" t="n"/>
      <c r="C558" s="105" t="n"/>
      <c r="D558" s="92">
        <f>IF(C558="","",IFERROR(INDEX(Roster!$C$6:$C$65,IFERROR(MATCH(C558,Roster!$B$6:$B$65,0),MATCH(C558,Roster!$C$6:$C$65,0))),"not on the Roster"))</f>
        <v/>
      </c>
      <c r="E558" s="106" t="n"/>
      <c r="F558" s="104">
        <f>IF(OR(A558="",C558="",B558=""),"",IFERROR(INDEX(CHOOSE(IF(YEAR(A558)&gt;PlanYear,13,MONTH(A558)),'Jan'!$D$27:$AH$266,'Feb'!$D$27:$AH$266,'Mar'!$D$27:$AH$266,'Apr'!$D$27:$AH$266,'May'!$D$27:$AH$266,'Jun'!$D$27:$AH$266,'Jul'!$D$27:$AH$266,'Aug'!$D$27:$AH$266,'Sep'!$D$27:$AH$266,'Oct'!$D$27:$AH$266,'Nov'!$D$27:$AH$266,'Dec'!$D$27:$AH$266,'Jan (next year)'!$D$27:$AH$266),27+4*(IFERROR(MATCH(C558,Roster!$B$6:$B$65,0),MATCH(C558,Roster!$C$6:$C$65,0))-1)+MATCH(B558,{"AM","PM","NIGHT","WD"},0)-1-27+1,DAY(A558))&amp;"",""))</f>
        <v/>
      </c>
      <c r="G558" s="123">
        <f>IF(OR(A558="",C558="",B558="",E558=""),"",IFERROR(A558&amp;"|"&amp;(27+4*(IFERROR(MATCH(C558,Roster!$B$6:$B$65,0),MATCH(C558,Roster!$C$6:$C$65,0))-1)+MATCH(B558,{"AM","PM","NIGHT","WD"},0)-1),""))</f>
        <v/>
      </c>
    </row>
    <row r="559">
      <c r="A559" s="122" t="n"/>
      <c r="B559" s="107" t="n"/>
      <c r="C559" s="105" t="n"/>
      <c r="D559" s="92">
        <f>IF(C559="","",IFERROR(INDEX(Roster!$C$6:$C$65,IFERROR(MATCH(C559,Roster!$B$6:$B$65,0),MATCH(C559,Roster!$C$6:$C$65,0))),"not on the Roster"))</f>
        <v/>
      </c>
      <c r="E559" s="106" t="n"/>
      <c r="F559" s="104">
        <f>IF(OR(A559="",C559="",B559=""),"",IFERROR(INDEX(CHOOSE(IF(YEAR(A559)&gt;PlanYear,13,MONTH(A559)),'Jan'!$D$27:$AH$266,'Feb'!$D$27:$AH$266,'Mar'!$D$27:$AH$266,'Apr'!$D$27:$AH$266,'May'!$D$27:$AH$266,'Jun'!$D$27:$AH$266,'Jul'!$D$27:$AH$266,'Aug'!$D$27:$AH$266,'Sep'!$D$27:$AH$266,'Oct'!$D$27:$AH$266,'Nov'!$D$27:$AH$266,'Dec'!$D$27:$AH$266,'Jan (next year)'!$D$27:$AH$266),27+4*(IFERROR(MATCH(C559,Roster!$B$6:$B$65,0),MATCH(C559,Roster!$C$6:$C$65,0))-1)+MATCH(B559,{"AM","PM","NIGHT","WD"},0)-1-27+1,DAY(A559))&amp;"",""))</f>
        <v/>
      </c>
      <c r="G559" s="123">
        <f>IF(OR(A559="",C559="",B559="",E559=""),"",IFERROR(A559&amp;"|"&amp;(27+4*(IFERROR(MATCH(C559,Roster!$B$6:$B$65,0),MATCH(C559,Roster!$C$6:$C$65,0))-1)+MATCH(B559,{"AM","PM","NIGHT","WD"},0)-1),""))</f>
        <v/>
      </c>
    </row>
    <row r="560">
      <c r="A560" s="122" t="n"/>
      <c r="B560" s="107" t="n"/>
      <c r="C560" s="105" t="n"/>
      <c r="D560" s="92">
        <f>IF(C560="","",IFERROR(INDEX(Roster!$C$6:$C$65,IFERROR(MATCH(C560,Roster!$B$6:$B$65,0),MATCH(C560,Roster!$C$6:$C$65,0))),"not on the Roster"))</f>
        <v/>
      </c>
      <c r="E560" s="106" t="n"/>
      <c r="F560" s="104">
        <f>IF(OR(A560="",C560="",B560=""),"",IFERROR(INDEX(CHOOSE(IF(YEAR(A560)&gt;PlanYear,13,MONTH(A560)),'Jan'!$D$27:$AH$266,'Feb'!$D$27:$AH$266,'Mar'!$D$27:$AH$266,'Apr'!$D$27:$AH$266,'May'!$D$27:$AH$266,'Jun'!$D$27:$AH$266,'Jul'!$D$27:$AH$266,'Aug'!$D$27:$AH$266,'Sep'!$D$27:$AH$266,'Oct'!$D$27:$AH$266,'Nov'!$D$27:$AH$266,'Dec'!$D$27:$AH$266,'Jan (next year)'!$D$27:$AH$266),27+4*(IFERROR(MATCH(C560,Roster!$B$6:$B$65,0),MATCH(C560,Roster!$C$6:$C$65,0))-1)+MATCH(B560,{"AM","PM","NIGHT","WD"},0)-1-27+1,DAY(A560))&amp;"",""))</f>
        <v/>
      </c>
      <c r="G560" s="123">
        <f>IF(OR(A560="",C560="",B560="",E560=""),"",IFERROR(A560&amp;"|"&amp;(27+4*(IFERROR(MATCH(C560,Roster!$B$6:$B$65,0),MATCH(C560,Roster!$C$6:$C$65,0))-1)+MATCH(B560,{"AM","PM","NIGHT","WD"},0)-1),""))</f>
        <v/>
      </c>
    </row>
    <row r="561">
      <c r="A561" s="122" t="n"/>
      <c r="B561" s="107" t="n"/>
      <c r="C561" s="105" t="n"/>
      <c r="D561" s="92">
        <f>IF(C561="","",IFERROR(INDEX(Roster!$C$6:$C$65,IFERROR(MATCH(C561,Roster!$B$6:$B$65,0),MATCH(C561,Roster!$C$6:$C$65,0))),"not on the Roster"))</f>
        <v/>
      </c>
      <c r="E561" s="106" t="n"/>
      <c r="F561" s="104">
        <f>IF(OR(A561="",C561="",B561=""),"",IFERROR(INDEX(CHOOSE(IF(YEAR(A561)&gt;PlanYear,13,MONTH(A561)),'Jan'!$D$27:$AH$266,'Feb'!$D$27:$AH$266,'Mar'!$D$27:$AH$266,'Apr'!$D$27:$AH$266,'May'!$D$27:$AH$266,'Jun'!$D$27:$AH$266,'Jul'!$D$27:$AH$266,'Aug'!$D$27:$AH$266,'Sep'!$D$27:$AH$266,'Oct'!$D$27:$AH$266,'Nov'!$D$27:$AH$266,'Dec'!$D$27:$AH$266,'Jan (next year)'!$D$27:$AH$266),27+4*(IFERROR(MATCH(C561,Roster!$B$6:$B$65,0),MATCH(C561,Roster!$C$6:$C$65,0))-1)+MATCH(B561,{"AM","PM","NIGHT","WD"},0)-1-27+1,DAY(A561))&amp;"",""))</f>
        <v/>
      </c>
      <c r="G561" s="123">
        <f>IF(OR(A561="",C561="",B561="",E561=""),"",IFERROR(A561&amp;"|"&amp;(27+4*(IFERROR(MATCH(C561,Roster!$B$6:$B$65,0),MATCH(C561,Roster!$C$6:$C$65,0))-1)+MATCH(B561,{"AM","PM","NIGHT","WD"},0)-1),""))</f>
        <v/>
      </c>
    </row>
    <row r="562">
      <c r="A562" s="122" t="n"/>
      <c r="B562" s="107" t="n"/>
      <c r="C562" s="105" t="n"/>
      <c r="D562" s="92">
        <f>IF(C562="","",IFERROR(INDEX(Roster!$C$6:$C$65,IFERROR(MATCH(C562,Roster!$B$6:$B$65,0),MATCH(C562,Roster!$C$6:$C$65,0))),"not on the Roster"))</f>
        <v/>
      </c>
      <c r="E562" s="106" t="n"/>
      <c r="F562" s="104">
        <f>IF(OR(A562="",C562="",B562=""),"",IFERROR(INDEX(CHOOSE(IF(YEAR(A562)&gt;PlanYear,13,MONTH(A562)),'Jan'!$D$27:$AH$266,'Feb'!$D$27:$AH$266,'Mar'!$D$27:$AH$266,'Apr'!$D$27:$AH$266,'May'!$D$27:$AH$266,'Jun'!$D$27:$AH$266,'Jul'!$D$27:$AH$266,'Aug'!$D$27:$AH$266,'Sep'!$D$27:$AH$266,'Oct'!$D$27:$AH$266,'Nov'!$D$27:$AH$266,'Dec'!$D$27:$AH$266,'Jan (next year)'!$D$27:$AH$266),27+4*(IFERROR(MATCH(C562,Roster!$B$6:$B$65,0),MATCH(C562,Roster!$C$6:$C$65,0))-1)+MATCH(B562,{"AM","PM","NIGHT","WD"},0)-1-27+1,DAY(A562))&amp;"",""))</f>
        <v/>
      </c>
      <c r="G562" s="123">
        <f>IF(OR(A562="",C562="",B562="",E562=""),"",IFERROR(A562&amp;"|"&amp;(27+4*(IFERROR(MATCH(C562,Roster!$B$6:$B$65,0),MATCH(C562,Roster!$C$6:$C$65,0))-1)+MATCH(B562,{"AM","PM","NIGHT","WD"},0)-1),""))</f>
        <v/>
      </c>
    </row>
    <row r="563">
      <c r="A563" s="122" t="n"/>
      <c r="B563" s="107" t="n"/>
      <c r="C563" s="105" t="n"/>
      <c r="D563" s="92">
        <f>IF(C563="","",IFERROR(INDEX(Roster!$C$6:$C$65,IFERROR(MATCH(C563,Roster!$B$6:$B$65,0),MATCH(C563,Roster!$C$6:$C$65,0))),"not on the Roster"))</f>
        <v/>
      </c>
      <c r="E563" s="106" t="n"/>
      <c r="F563" s="104">
        <f>IF(OR(A563="",C563="",B563=""),"",IFERROR(INDEX(CHOOSE(IF(YEAR(A563)&gt;PlanYear,13,MONTH(A563)),'Jan'!$D$27:$AH$266,'Feb'!$D$27:$AH$266,'Mar'!$D$27:$AH$266,'Apr'!$D$27:$AH$266,'May'!$D$27:$AH$266,'Jun'!$D$27:$AH$266,'Jul'!$D$27:$AH$266,'Aug'!$D$27:$AH$266,'Sep'!$D$27:$AH$266,'Oct'!$D$27:$AH$266,'Nov'!$D$27:$AH$266,'Dec'!$D$27:$AH$266,'Jan (next year)'!$D$27:$AH$266),27+4*(IFERROR(MATCH(C563,Roster!$B$6:$B$65,0),MATCH(C563,Roster!$C$6:$C$65,0))-1)+MATCH(B563,{"AM","PM","NIGHT","WD"},0)-1-27+1,DAY(A563))&amp;"",""))</f>
        <v/>
      </c>
      <c r="G563" s="123">
        <f>IF(OR(A563="",C563="",B563="",E563=""),"",IFERROR(A563&amp;"|"&amp;(27+4*(IFERROR(MATCH(C563,Roster!$B$6:$B$65,0),MATCH(C563,Roster!$C$6:$C$65,0))-1)+MATCH(B563,{"AM","PM","NIGHT","WD"},0)-1),""))</f>
        <v/>
      </c>
    </row>
    <row r="564">
      <c r="A564" s="122" t="n"/>
      <c r="B564" s="107" t="n"/>
      <c r="C564" s="105" t="n"/>
      <c r="D564" s="92">
        <f>IF(C564="","",IFERROR(INDEX(Roster!$C$6:$C$65,IFERROR(MATCH(C564,Roster!$B$6:$B$65,0),MATCH(C564,Roster!$C$6:$C$65,0))),"not on the Roster"))</f>
        <v/>
      </c>
      <c r="E564" s="106" t="n"/>
      <c r="F564" s="104">
        <f>IF(OR(A564="",C564="",B564=""),"",IFERROR(INDEX(CHOOSE(IF(YEAR(A564)&gt;PlanYear,13,MONTH(A564)),'Jan'!$D$27:$AH$266,'Feb'!$D$27:$AH$266,'Mar'!$D$27:$AH$266,'Apr'!$D$27:$AH$266,'May'!$D$27:$AH$266,'Jun'!$D$27:$AH$266,'Jul'!$D$27:$AH$266,'Aug'!$D$27:$AH$266,'Sep'!$D$27:$AH$266,'Oct'!$D$27:$AH$266,'Nov'!$D$27:$AH$266,'Dec'!$D$27:$AH$266,'Jan (next year)'!$D$27:$AH$266),27+4*(IFERROR(MATCH(C564,Roster!$B$6:$B$65,0),MATCH(C564,Roster!$C$6:$C$65,0))-1)+MATCH(B564,{"AM","PM","NIGHT","WD"},0)-1-27+1,DAY(A564))&amp;"",""))</f>
        <v/>
      </c>
      <c r="G564" s="123">
        <f>IF(OR(A564="",C564="",B564="",E564=""),"",IFERROR(A564&amp;"|"&amp;(27+4*(IFERROR(MATCH(C564,Roster!$B$6:$B$65,0),MATCH(C564,Roster!$C$6:$C$65,0))-1)+MATCH(B564,{"AM","PM","NIGHT","WD"},0)-1),""))</f>
        <v/>
      </c>
    </row>
    <row r="565">
      <c r="A565" s="122" t="n"/>
      <c r="B565" s="107" t="n"/>
      <c r="C565" s="105" t="n"/>
      <c r="D565" s="92">
        <f>IF(C565="","",IFERROR(INDEX(Roster!$C$6:$C$65,IFERROR(MATCH(C565,Roster!$B$6:$B$65,0),MATCH(C565,Roster!$C$6:$C$65,0))),"not on the Roster"))</f>
        <v/>
      </c>
      <c r="E565" s="106" t="n"/>
      <c r="F565" s="104">
        <f>IF(OR(A565="",C565="",B565=""),"",IFERROR(INDEX(CHOOSE(IF(YEAR(A565)&gt;PlanYear,13,MONTH(A565)),'Jan'!$D$27:$AH$266,'Feb'!$D$27:$AH$266,'Mar'!$D$27:$AH$266,'Apr'!$D$27:$AH$266,'May'!$D$27:$AH$266,'Jun'!$D$27:$AH$266,'Jul'!$D$27:$AH$266,'Aug'!$D$27:$AH$266,'Sep'!$D$27:$AH$266,'Oct'!$D$27:$AH$266,'Nov'!$D$27:$AH$266,'Dec'!$D$27:$AH$266,'Jan (next year)'!$D$27:$AH$266),27+4*(IFERROR(MATCH(C565,Roster!$B$6:$B$65,0),MATCH(C565,Roster!$C$6:$C$65,0))-1)+MATCH(B565,{"AM","PM","NIGHT","WD"},0)-1-27+1,DAY(A565))&amp;"",""))</f>
        <v/>
      </c>
      <c r="G565" s="123">
        <f>IF(OR(A565="",C565="",B565="",E565=""),"",IFERROR(A565&amp;"|"&amp;(27+4*(IFERROR(MATCH(C565,Roster!$B$6:$B$65,0),MATCH(C565,Roster!$C$6:$C$65,0))-1)+MATCH(B565,{"AM","PM","NIGHT","WD"},0)-1),""))</f>
        <v/>
      </c>
    </row>
    <row r="566">
      <c r="A566" s="122" t="n"/>
      <c r="B566" s="107" t="n"/>
      <c r="C566" s="105" t="n"/>
      <c r="D566" s="92">
        <f>IF(C566="","",IFERROR(INDEX(Roster!$C$6:$C$65,IFERROR(MATCH(C566,Roster!$B$6:$B$65,0),MATCH(C566,Roster!$C$6:$C$65,0))),"not on the Roster"))</f>
        <v/>
      </c>
      <c r="E566" s="106" t="n"/>
      <c r="F566" s="104">
        <f>IF(OR(A566="",C566="",B566=""),"",IFERROR(INDEX(CHOOSE(IF(YEAR(A566)&gt;PlanYear,13,MONTH(A566)),'Jan'!$D$27:$AH$266,'Feb'!$D$27:$AH$266,'Mar'!$D$27:$AH$266,'Apr'!$D$27:$AH$266,'May'!$D$27:$AH$266,'Jun'!$D$27:$AH$266,'Jul'!$D$27:$AH$266,'Aug'!$D$27:$AH$266,'Sep'!$D$27:$AH$266,'Oct'!$D$27:$AH$266,'Nov'!$D$27:$AH$266,'Dec'!$D$27:$AH$266,'Jan (next year)'!$D$27:$AH$266),27+4*(IFERROR(MATCH(C566,Roster!$B$6:$B$65,0),MATCH(C566,Roster!$C$6:$C$65,0))-1)+MATCH(B566,{"AM","PM","NIGHT","WD"},0)-1-27+1,DAY(A566))&amp;"",""))</f>
        <v/>
      </c>
      <c r="G566" s="123">
        <f>IF(OR(A566="",C566="",B566="",E566=""),"",IFERROR(A566&amp;"|"&amp;(27+4*(IFERROR(MATCH(C566,Roster!$B$6:$B$65,0),MATCH(C566,Roster!$C$6:$C$65,0))-1)+MATCH(B566,{"AM","PM","NIGHT","WD"},0)-1),""))</f>
        <v/>
      </c>
    </row>
    <row r="567">
      <c r="A567" s="122" t="n"/>
      <c r="B567" s="107" t="n"/>
      <c r="C567" s="105" t="n"/>
      <c r="D567" s="92">
        <f>IF(C567="","",IFERROR(INDEX(Roster!$C$6:$C$65,IFERROR(MATCH(C567,Roster!$B$6:$B$65,0),MATCH(C567,Roster!$C$6:$C$65,0))),"not on the Roster"))</f>
        <v/>
      </c>
      <c r="E567" s="106" t="n"/>
      <c r="F567" s="104">
        <f>IF(OR(A567="",C567="",B567=""),"",IFERROR(INDEX(CHOOSE(IF(YEAR(A567)&gt;PlanYear,13,MONTH(A567)),'Jan'!$D$27:$AH$266,'Feb'!$D$27:$AH$266,'Mar'!$D$27:$AH$266,'Apr'!$D$27:$AH$266,'May'!$D$27:$AH$266,'Jun'!$D$27:$AH$266,'Jul'!$D$27:$AH$266,'Aug'!$D$27:$AH$266,'Sep'!$D$27:$AH$266,'Oct'!$D$27:$AH$266,'Nov'!$D$27:$AH$266,'Dec'!$D$27:$AH$266,'Jan (next year)'!$D$27:$AH$266),27+4*(IFERROR(MATCH(C567,Roster!$B$6:$B$65,0),MATCH(C567,Roster!$C$6:$C$65,0))-1)+MATCH(B567,{"AM","PM","NIGHT","WD"},0)-1-27+1,DAY(A567))&amp;"",""))</f>
        <v/>
      </c>
      <c r="G567" s="123">
        <f>IF(OR(A567="",C567="",B567="",E567=""),"",IFERROR(A567&amp;"|"&amp;(27+4*(IFERROR(MATCH(C567,Roster!$B$6:$B$65,0),MATCH(C567,Roster!$C$6:$C$65,0))-1)+MATCH(B567,{"AM","PM","NIGHT","WD"},0)-1),""))</f>
        <v/>
      </c>
    </row>
    <row r="568">
      <c r="A568" s="122" t="n"/>
      <c r="B568" s="107" t="n"/>
      <c r="C568" s="105" t="n"/>
      <c r="D568" s="92">
        <f>IF(C568="","",IFERROR(INDEX(Roster!$C$6:$C$65,IFERROR(MATCH(C568,Roster!$B$6:$B$65,0),MATCH(C568,Roster!$C$6:$C$65,0))),"not on the Roster"))</f>
        <v/>
      </c>
      <c r="E568" s="106" t="n"/>
      <c r="F568" s="104">
        <f>IF(OR(A568="",C568="",B568=""),"",IFERROR(INDEX(CHOOSE(IF(YEAR(A568)&gt;PlanYear,13,MONTH(A568)),'Jan'!$D$27:$AH$266,'Feb'!$D$27:$AH$266,'Mar'!$D$27:$AH$266,'Apr'!$D$27:$AH$266,'May'!$D$27:$AH$266,'Jun'!$D$27:$AH$266,'Jul'!$D$27:$AH$266,'Aug'!$D$27:$AH$266,'Sep'!$D$27:$AH$266,'Oct'!$D$27:$AH$266,'Nov'!$D$27:$AH$266,'Dec'!$D$27:$AH$266,'Jan (next year)'!$D$27:$AH$266),27+4*(IFERROR(MATCH(C568,Roster!$B$6:$B$65,0),MATCH(C568,Roster!$C$6:$C$65,0))-1)+MATCH(B568,{"AM","PM","NIGHT","WD"},0)-1-27+1,DAY(A568))&amp;"",""))</f>
        <v/>
      </c>
      <c r="G568" s="123">
        <f>IF(OR(A568="",C568="",B568="",E568=""),"",IFERROR(A568&amp;"|"&amp;(27+4*(IFERROR(MATCH(C568,Roster!$B$6:$B$65,0),MATCH(C568,Roster!$C$6:$C$65,0))-1)+MATCH(B568,{"AM","PM","NIGHT","WD"},0)-1),""))</f>
        <v/>
      </c>
    </row>
    <row r="569">
      <c r="A569" s="122" t="n"/>
      <c r="B569" s="107" t="n"/>
      <c r="C569" s="105" t="n"/>
      <c r="D569" s="92">
        <f>IF(C569="","",IFERROR(INDEX(Roster!$C$6:$C$65,IFERROR(MATCH(C569,Roster!$B$6:$B$65,0),MATCH(C569,Roster!$C$6:$C$65,0))),"not on the Roster"))</f>
        <v/>
      </c>
      <c r="E569" s="106" t="n"/>
      <c r="F569" s="104">
        <f>IF(OR(A569="",C569="",B569=""),"",IFERROR(INDEX(CHOOSE(IF(YEAR(A569)&gt;PlanYear,13,MONTH(A569)),'Jan'!$D$27:$AH$266,'Feb'!$D$27:$AH$266,'Mar'!$D$27:$AH$266,'Apr'!$D$27:$AH$266,'May'!$D$27:$AH$266,'Jun'!$D$27:$AH$266,'Jul'!$D$27:$AH$266,'Aug'!$D$27:$AH$266,'Sep'!$D$27:$AH$266,'Oct'!$D$27:$AH$266,'Nov'!$D$27:$AH$266,'Dec'!$D$27:$AH$266,'Jan (next year)'!$D$27:$AH$266),27+4*(IFERROR(MATCH(C569,Roster!$B$6:$B$65,0),MATCH(C569,Roster!$C$6:$C$65,0))-1)+MATCH(B569,{"AM","PM","NIGHT","WD"},0)-1-27+1,DAY(A569))&amp;"",""))</f>
        <v/>
      </c>
      <c r="G569" s="123">
        <f>IF(OR(A569="",C569="",B569="",E569=""),"",IFERROR(A569&amp;"|"&amp;(27+4*(IFERROR(MATCH(C569,Roster!$B$6:$B$65,0),MATCH(C569,Roster!$C$6:$C$65,0))-1)+MATCH(B569,{"AM","PM","NIGHT","WD"},0)-1),""))</f>
        <v/>
      </c>
    </row>
    <row r="570">
      <c r="A570" s="122" t="n"/>
      <c r="B570" s="107" t="n"/>
      <c r="C570" s="105" t="n"/>
      <c r="D570" s="92">
        <f>IF(C570="","",IFERROR(INDEX(Roster!$C$6:$C$65,IFERROR(MATCH(C570,Roster!$B$6:$B$65,0),MATCH(C570,Roster!$C$6:$C$65,0))),"not on the Roster"))</f>
        <v/>
      </c>
      <c r="E570" s="106" t="n"/>
      <c r="F570" s="104">
        <f>IF(OR(A570="",C570="",B570=""),"",IFERROR(INDEX(CHOOSE(IF(YEAR(A570)&gt;PlanYear,13,MONTH(A570)),'Jan'!$D$27:$AH$266,'Feb'!$D$27:$AH$266,'Mar'!$D$27:$AH$266,'Apr'!$D$27:$AH$266,'May'!$D$27:$AH$266,'Jun'!$D$27:$AH$266,'Jul'!$D$27:$AH$266,'Aug'!$D$27:$AH$266,'Sep'!$D$27:$AH$266,'Oct'!$D$27:$AH$266,'Nov'!$D$27:$AH$266,'Dec'!$D$27:$AH$266,'Jan (next year)'!$D$27:$AH$266),27+4*(IFERROR(MATCH(C570,Roster!$B$6:$B$65,0),MATCH(C570,Roster!$C$6:$C$65,0))-1)+MATCH(B570,{"AM","PM","NIGHT","WD"},0)-1-27+1,DAY(A570))&amp;"",""))</f>
        <v/>
      </c>
      <c r="G570" s="123">
        <f>IF(OR(A570="",C570="",B570="",E570=""),"",IFERROR(A570&amp;"|"&amp;(27+4*(IFERROR(MATCH(C570,Roster!$B$6:$B$65,0),MATCH(C570,Roster!$C$6:$C$65,0))-1)+MATCH(B570,{"AM","PM","NIGHT","WD"},0)-1),""))</f>
        <v/>
      </c>
    </row>
    <row r="571">
      <c r="A571" s="122" t="n"/>
      <c r="B571" s="107" t="n"/>
      <c r="C571" s="105" t="n"/>
      <c r="D571" s="92">
        <f>IF(C571="","",IFERROR(INDEX(Roster!$C$6:$C$65,IFERROR(MATCH(C571,Roster!$B$6:$B$65,0),MATCH(C571,Roster!$C$6:$C$65,0))),"not on the Roster"))</f>
        <v/>
      </c>
      <c r="E571" s="106" t="n"/>
      <c r="F571" s="104">
        <f>IF(OR(A571="",C571="",B571=""),"",IFERROR(INDEX(CHOOSE(IF(YEAR(A571)&gt;PlanYear,13,MONTH(A571)),'Jan'!$D$27:$AH$266,'Feb'!$D$27:$AH$266,'Mar'!$D$27:$AH$266,'Apr'!$D$27:$AH$266,'May'!$D$27:$AH$266,'Jun'!$D$27:$AH$266,'Jul'!$D$27:$AH$266,'Aug'!$D$27:$AH$266,'Sep'!$D$27:$AH$266,'Oct'!$D$27:$AH$266,'Nov'!$D$27:$AH$266,'Dec'!$D$27:$AH$266,'Jan (next year)'!$D$27:$AH$266),27+4*(IFERROR(MATCH(C571,Roster!$B$6:$B$65,0),MATCH(C571,Roster!$C$6:$C$65,0))-1)+MATCH(B571,{"AM","PM","NIGHT","WD"},0)-1-27+1,DAY(A571))&amp;"",""))</f>
        <v/>
      </c>
      <c r="G571" s="123">
        <f>IF(OR(A571="",C571="",B571="",E571=""),"",IFERROR(A571&amp;"|"&amp;(27+4*(IFERROR(MATCH(C571,Roster!$B$6:$B$65,0),MATCH(C571,Roster!$C$6:$C$65,0))-1)+MATCH(B571,{"AM","PM","NIGHT","WD"},0)-1),""))</f>
        <v/>
      </c>
    </row>
    <row r="572">
      <c r="A572" s="122" t="n"/>
      <c r="B572" s="107" t="n"/>
      <c r="C572" s="105" t="n"/>
      <c r="D572" s="92">
        <f>IF(C572="","",IFERROR(INDEX(Roster!$C$6:$C$65,IFERROR(MATCH(C572,Roster!$B$6:$B$65,0),MATCH(C572,Roster!$C$6:$C$65,0))),"not on the Roster"))</f>
        <v/>
      </c>
      <c r="E572" s="106" t="n"/>
      <c r="F572" s="104">
        <f>IF(OR(A572="",C572="",B572=""),"",IFERROR(INDEX(CHOOSE(IF(YEAR(A572)&gt;PlanYear,13,MONTH(A572)),'Jan'!$D$27:$AH$266,'Feb'!$D$27:$AH$266,'Mar'!$D$27:$AH$266,'Apr'!$D$27:$AH$266,'May'!$D$27:$AH$266,'Jun'!$D$27:$AH$266,'Jul'!$D$27:$AH$266,'Aug'!$D$27:$AH$266,'Sep'!$D$27:$AH$266,'Oct'!$D$27:$AH$266,'Nov'!$D$27:$AH$266,'Dec'!$D$27:$AH$266,'Jan (next year)'!$D$27:$AH$266),27+4*(IFERROR(MATCH(C572,Roster!$B$6:$B$65,0),MATCH(C572,Roster!$C$6:$C$65,0))-1)+MATCH(B572,{"AM","PM","NIGHT","WD"},0)-1-27+1,DAY(A572))&amp;"",""))</f>
        <v/>
      </c>
      <c r="G572" s="123">
        <f>IF(OR(A572="",C572="",B572="",E572=""),"",IFERROR(A572&amp;"|"&amp;(27+4*(IFERROR(MATCH(C572,Roster!$B$6:$B$65,0),MATCH(C572,Roster!$C$6:$C$65,0))-1)+MATCH(B572,{"AM","PM","NIGHT","WD"},0)-1),""))</f>
        <v/>
      </c>
    </row>
    <row r="573">
      <c r="A573" s="122" t="n"/>
      <c r="B573" s="107" t="n"/>
      <c r="C573" s="105" t="n"/>
      <c r="D573" s="92">
        <f>IF(C573="","",IFERROR(INDEX(Roster!$C$6:$C$65,IFERROR(MATCH(C573,Roster!$B$6:$B$65,0),MATCH(C573,Roster!$C$6:$C$65,0))),"not on the Roster"))</f>
        <v/>
      </c>
      <c r="E573" s="106" t="n"/>
      <c r="F573" s="104">
        <f>IF(OR(A573="",C573="",B573=""),"",IFERROR(INDEX(CHOOSE(IF(YEAR(A573)&gt;PlanYear,13,MONTH(A573)),'Jan'!$D$27:$AH$266,'Feb'!$D$27:$AH$266,'Mar'!$D$27:$AH$266,'Apr'!$D$27:$AH$266,'May'!$D$27:$AH$266,'Jun'!$D$27:$AH$266,'Jul'!$D$27:$AH$266,'Aug'!$D$27:$AH$266,'Sep'!$D$27:$AH$266,'Oct'!$D$27:$AH$266,'Nov'!$D$27:$AH$266,'Dec'!$D$27:$AH$266,'Jan (next year)'!$D$27:$AH$266),27+4*(IFERROR(MATCH(C573,Roster!$B$6:$B$65,0),MATCH(C573,Roster!$C$6:$C$65,0))-1)+MATCH(B573,{"AM","PM","NIGHT","WD"},0)-1-27+1,DAY(A573))&amp;"",""))</f>
        <v/>
      </c>
      <c r="G573" s="123">
        <f>IF(OR(A573="",C573="",B573="",E573=""),"",IFERROR(A573&amp;"|"&amp;(27+4*(IFERROR(MATCH(C573,Roster!$B$6:$B$65,0),MATCH(C573,Roster!$C$6:$C$65,0))-1)+MATCH(B573,{"AM","PM","NIGHT","WD"},0)-1),""))</f>
        <v/>
      </c>
    </row>
    <row r="574">
      <c r="A574" s="122" t="n"/>
      <c r="B574" s="107" t="n"/>
      <c r="C574" s="105" t="n"/>
      <c r="D574" s="92">
        <f>IF(C574="","",IFERROR(INDEX(Roster!$C$6:$C$65,IFERROR(MATCH(C574,Roster!$B$6:$B$65,0),MATCH(C574,Roster!$C$6:$C$65,0))),"not on the Roster"))</f>
        <v/>
      </c>
      <c r="E574" s="106" t="n"/>
      <c r="F574" s="104">
        <f>IF(OR(A574="",C574="",B574=""),"",IFERROR(INDEX(CHOOSE(IF(YEAR(A574)&gt;PlanYear,13,MONTH(A574)),'Jan'!$D$27:$AH$266,'Feb'!$D$27:$AH$266,'Mar'!$D$27:$AH$266,'Apr'!$D$27:$AH$266,'May'!$D$27:$AH$266,'Jun'!$D$27:$AH$266,'Jul'!$D$27:$AH$266,'Aug'!$D$27:$AH$266,'Sep'!$D$27:$AH$266,'Oct'!$D$27:$AH$266,'Nov'!$D$27:$AH$266,'Dec'!$D$27:$AH$266,'Jan (next year)'!$D$27:$AH$266),27+4*(IFERROR(MATCH(C574,Roster!$B$6:$B$65,0),MATCH(C574,Roster!$C$6:$C$65,0))-1)+MATCH(B574,{"AM","PM","NIGHT","WD"},0)-1-27+1,DAY(A574))&amp;"",""))</f>
        <v/>
      </c>
      <c r="G574" s="123">
        <f>IF(OR(A574="",C574="",B574="",E574=""),"",IFERROR(A574&amp;"|"&amp;(27+4*(IFERROR(MATCH(C574,Roster!$B$6:$B$65,0),MATCH(C574,Roster!$C$6:$C$65,0))-1)+MATCH(B574,{"AM","PM","NIGHT","WD"},0)-1),""))</f>
        <v/>
      </c>
    </row>
    <row r="575">
      <c r="A575" s="122" t="n"/>
      <c r="B575" s="107" t="n"/>
      <c r="C575" s="105" t="n"/>
      <c r="D575" s="92">
        <f>IF(C575="","",IFERROR(INDEX(Roster!$C$6:$C$65,IFERROR(MATCH(C575,Roster!$B$6:$B$65,0),MATCH(C575,Roster!$C$6:$C$65,0))),"not on the Roster"))</f>
        <v/>
      </c>
      <c r="E575" s="106" t="n"/>
      <c r="F575" s="104">
        <f>IF(OR(A575="",C575="",B575=""),"",IFERROR(INDEX(CHOOSE(IF(YEAR(A575)&gt;PlanYear,13,MONTH(A575)),'Jan'!$D$27:$AH$266,'Feb'!$D$27:$AH$266,'Mar'!$D$27:$AH$266,'Apr'!$D$27:$AH$266,'May'!$D$27:$AH$266,'Jun'!$D$27:$AH$266,'Jul'!$D$27:$AH$266,'Aug'!$D$27:$AH$266,'Sep'!$D$27:$AH$266,'Oct'!$D$27:$AH$266,'Nov'!$D$27:$AH$266,'Dec'!$D$27:$AH$266,'Jan (next year)'!$D$27:$AH$266),27+4*(IFERROR(MATCH(C575,Roster!$B$6:$B$65,0),MATCH(C575,Roster!$C$6:$C$65,0))-1)+MATCH(B575,{"AM","PM","NIGHT","WD"},0)-1-27+1,DAY(A575))&amp;"",""))</f>
        <v/>
      </c>
      <c r="G575" s="123">
        <f>IF(OR(A575="",C575="",B575="",E575=""),"",IFERROR(A575&amp;"|"&amp;(27+4*(IFERROR(MATCH(C575,Roster!$B$6:$B$65,0),MATCH(C575,Roster!$C$6:$C$65,0))-1)+MATCH(B575,{"AM","PM","NIGHT","WD"},0)-1),""))</f>
        <v/>
      </c>
    </row>
    <row r="576">
      <c r="A576" s="122" t="n"/>
      <c r="B576" s="107" t="n"/>
      <c r="C576" s="105" t="n"/>
      <c r="D576" s="92">
        <f>IF(C576="","",IFERROR(INDEX(Roster!$C$6:$C$65,IFERROR(MATCH(C576,Roster!$B$6:$B$65,0),MATCH(C576,Roster!$C$6:$C$65,0))),"not on the Roster"))</f>
        <v/>
      </c>
      <c r="E576" s="106" t="n"/>
      <c r="F576" s="104">
        <f>IF(OR(A576="",C576="",B576=""),"",IFERROR(INDEX(CHOOSE(IF(YEAR(A576)&gt;PlanYear,13,MONTH(A576)),'Jan'!$D$27:$AH$266,'Feb'!$D$27:$AH$266,'Mar'!$D$27:$AH$266,'Apr'!$D$27:$AH$266,'May'!$D$27:$AH$266,'Jun'!$D$27:$AH$266,'Jul'!$D$27:$AH$266,'Aug'!$D$27:$AH$266,'Sep'!$D$27:$AH$266,'Oct'!$D$27:$AH$266,'Nov'!$D$27:$AH$266,'Dec'!$D$27:$AH$266,'Jan (next year)'!$D$27:$AH$266),27+4*(IFERROR(MATCH(C576,Roster!$B$6:$B$65,0),MATCH(C576,Roster!$C$6:$C$65,0))-1)+MATCH(B576,{"AM","PM","NIGHT","WD"},0)-1-27+1,DAY(A576))&amp;"",""))</f>
        <v/>
      </c>
      <c r="G576" s="123">
        <f>IF(OR(A576="",C576="",B576="",E576=""),"",IFERROR(A576&amp;"|"&amp;(27+4*(IFERROR(MATCH(C576,Roster!$B$6:$B$65,0),MATCH(C576,Roster!$C$6:$C$65,0))-1)+MATCH(B576,{"AM","PM","NIGHT","WD"},0)-1),""))</f>
        <v/>
      </c>
    </row>
    <row r="577">
      <c r="A577" s="122" t="n"/>
      <c r="B577" s="107" t="n"/>
      <c r="C577" s="105" t="n"/>
      <c r="D577" s="92">
        <f>IF(C577="","",IFERROR(INDEX(Roster!$C$6:$C$65,IFERROR(MATCH(C577,Roster!$B$6:$B$65,0),MATCH(C577,Roster!$C$6:$C$65,0))),"not on the Roster"))</f>
        <v/>
      </c>
      <c r="E577" s="106" t="n"/>
      <c r="F577" s="104">
        <f>IF(OR(A577="",C577="",B577=""),"",IFERROR(INDEX(CHOOSE(IF(YEAR(A577)&gt;PlanYear,13,MONTH(A577)),'Jan'!$D$27:$AH$266,'Feb'!$D$27:$AH$266,'Mar'!$D$27:$AH$266,'Apr'!$D$27:$AH$266,'May'!$D$27:$AH$266,'Jun'!$D$27:$AH$266,'Jul'!$D$27:$AH$266,'Aug'!$D$27:$AH$266,'Sep'!$D$27:$AH$266,'Oct'!$D$27:$AH$266,'Nov'!$D$27:$AH$266,'Dec'!$D$27:$AH$266,'Jan (next year)'!$D$27:$AH$266),27+4*(IFERROR(MATCH(C577,Roster!$B$6:$B$65,0),MATCH(C577,Roster!$C$6:$C$65,0))-1)+MATCH(B577,{"AM","PM","NIGHT","WD"},0)-1-27+1,DAY(A577))&amp;"",""))</f>
        <v/>
      </c>
      <c r="G577" s="123">
        <f>IF(OR(A577="",C577="",B577="",E577=""),"",IFERROR(A577&amp;"|"&amp;(27+4*(IFERROR(MATCH(C577,Roster!$B$6:$B$65,0),MATCH(C577,Roster!$C$6:$C$65,0))-1)+MATCH(B577,{"AM","PM","NIGHT","WD"},0)-1),""))</f>
        <v/>
      </c>
    </row>
    <row r="578">
      <c r="A578" s="122" t="n"/>
      <c r="B578" s="107" t="n"/>
      <c r="C578" s="105" t="n"/>
      <c r="D578" s="92">
        <f>IF(C578="","",IFERROR(INDEX(Roster!$C$6:$C$65,IFERROR(MATCH(C578,Roster!$B$6:$B$65,0),MATCH(C578,Roster!$C$6:$C$65,0))),"not on the Roster"))</f>
        <v/>
      </c>
      <c r="E578" s="106" t="n"/>
      <c r="F578" s="104">
        <f>IF(OR(A578="",C578="",B578=""),"",IFERROR(INDEX(CHOOSE(IF(YEAR(A578)&gt;PlanYear,13,MONTH(A578)),'Jan'!$D$27:$AH$266,'Feb'!$D$27:$AH$266,'Mar'!$D$27:$AH$266,'Apr'!$D$27:$AH$266,'May'!$D$27:$AH$266,'Jun'!$D$27:$AH$266,'Jul'!$D$27:$AH$266,'Aug'!$D$27:$AH$266,'Sep'!$D$27:$AH$266,'Oct'!$D$27:$AH$266,'Nov'!$D$27:$AH$266,'Dec'!$D$27:$AH$266,'Jan (next year)'!$D$27:$AH$266),27+4*(IFERROR(MATCH(C578,Roster!$B$6:$B$65,0),MATCH(C578,Roster!$C$6:$C$65,0))-1)+MATCH(B578,{"AM","PM","NIGHT","WD"},0)-1-27+1,DAY(A578))&amp;"",""))</f>
        <v/>
      </c>
      <c r="G578" s="123">
        <f>IF(OR(A578="",C578="",B578="",E578=""),"",IFERROR(A578&amp;"|"&amp;(27+4*(IFERROR(MATCH(C578,Roster!$B$6:$B$65,0),MATCH(C578,Roster!$C$6:$C$65,0))-1)+MATCH(B578,{"AM","PM","NIGHT","WD"},0)-1),""))</f>
        <v/>
      </c>
    </row>
    <row r="579">
      <c r="A579" s="122" t="n"/>
      <c r="B579" s="107" t="n"/>
      <c r="C579" s="105" t="n"/>
      <c r="D579" s="92">
        <f>IF(C579="","",IFERROR(INDEX(Roster!$C$6:$C$65,IFERROR(MATCH(C579,Roster!$B$6:$B$65,0),MATCH(C579,Roster!$C$6:$C$65,0))),"not on the Roster"))</f>
        <v/>
      </c>
      <c r="E579" s="106" t="n"/>
      <c r="F579" s="104">
        <f>IF(OR(A579="",C579="",B579=""),"",IFERROR(INDEX(CHOOSE(IF(YEAR(A579)&gt;PlanYear,13,MONTH(A579)),'Jan'!$D$27:$AH$266,'Feb'!$D$27:$AH$266,'Mar'!$D$27:$AH$266,'Apr'!$D$27:$AH$266,'May'!$D$27:$AH$266,'Jun'!$D$27:$AH$266,'Jul'!$D$27:$AH$266,'Aug'!$D$27:$AH$266,'Sep'!$D$27:$AH$266,'Oct'!$D$27:$AH$266,'Nov'!$D$27:$AH$266,'Dec'!$D$27:$AH$266,'Jan (next year)'!$D$27:$AH$266),27+4*(IFERROR(MATCH(C579,Roster!$B$6:$B$65,0),MATCH(C579,Roster!$C$6:$C$65,0))-1)+MATCH(B579,{"AM","PM","NIGHT","WD"},0)-1-27+1,DAY(A579))&amp;"",""))</f>
        <v/>
      </c>
      <c r="G579" s="123">
        <f>IF(OR(A579="",C579="",B579="",E579=""),"",IFERROR(A579&amp;"|"&amp;(27+4*(IFERROR(MATCH(C579,Roster!$B$6:$B$65,0),MATCH(C579,Roster!$C$6:$C$65,0))-1)+MATCH(B579,{"AM","PM","NIGHT","WD"},0)-1),""))</f>
        <v/>
      </c>
    </row>
    <row r="580">
      <c r="A580" s="122" t="n"/>
      <c r="B580" s="107" t="n"/>
      <c r="C580" s="105" t="n"/>
      <c r="D580" s="92">
        <f>IF(C580="","",IFERROR(INDEX(Roster!$C$6:$C$65,IFERROR(MATCH(C580,Roster!$B$6:$B$65,0),MATCH(C580,Roster!$C$6:$C$65,0))),"not on the Roster"))</f>
        <v/>
      </c>
      <c r="E580" s="106" t="n"/>
      <c r="F580" s="104">
        <f>IF(OR(A580="",C580="",B580=""),"",IFERROR(INDEX(CHOOSE(IF(YEAR(A580)&gt;PlanYear,13,MONTH(A580)),'Jan'!$D$27:$AH$266,'Feb'!$D$27:$AH$266,'Mar'!$D$27:$AH$266,'Apr'!$D$27:$AH$266,'May'!$D$27:$AH$266,'Jun'!$D$27:$AH$266,'Jul'!$D$27:$AH$266,'Aug'!$D$27:$AH$266,'Sep'!$D$27:$AH$266,'Oct'!$D$27:$AH$266,'Nov'!$D$27:$AH$266,'Dec'!$D$27:$AH$266,'Jan (next year)'!$D$27:$AH$266),27+4*(IFERROR(MATCH(C580,Roster!$B$6:$B$65,0),MATCH(C580,Roster!$C$6:$C$65,0))-1)+MATCH(B580,{"AM","PM","NIGHT","WD"},0)-1-27+1,DAY(A580))&amp;"",""))</f>
        <v/>
      </c>
      <c r="G580" s="123">
        <f>IF(OR(A580="",C580="",B580="",E580=""),"",IFERROR(A580&amp;"|"&amp;(27+4*(IFERROR(MATCH(C580,Roster!$B$6:$B$65,0),MATCH(C580,Roster!$C$6:$C$65,0))-1)+MATCH(B580,{"AM","PM","NIGHT","WD"},0)-1),""))</f>
        <v/>
      </c>
    </row>
    <row r="581">
      <c r="A581" s="122" t="n"/>
      <c r="B581" s="107" t="n"/>
      <c r="C581" s="105" t="n"/>
      <c r="D581" s="92">
        <f>IF(C581="","",IFERROR(INDEX(Roster!$C$6:$C$65,IFERROR(MATCH(C581,Roster!$B$6:$B$65,0),MATCH(C581,Roster!$C$6:$C$65,0))),"not on the Roster"))</f>
        <v/>
      </c>
      <c r="E581" s="106" t="n"/>
      <c r="F581" s="104">
        <f>IF(OR(A581="",C581="",B581=""),"",IFERROR(INDEX(CHOOSE(IF(YEAR(A581)&gt;PlanYear,13,MONTH(A581)),'Jan'!$D$27:$AH$266,'Feb'!$D$27:$AH$266,'Mar'!$D$27:$AH$266,'Apr'!$D$27:$AH$266,'May'!$D$27:$AH$266,'Jun'!$D$27:$AH$266,'Jul'!$D$27:$AH$266,'Aug'!$D$27:$AH$266,'Sep'!$D$27:$AH$266,'Oct'!$D$27:$AH$266,'Nov'!$D$27:$AH$266,'Dec'!$D$27:$AH$266,'Jan (next year)'!$D$27:$AH$266),27+4*(IFERROR(MATCH(C581,Roster!$B$6:$B$65,0),MATCH(C581,Roster!$C$6:$C$65,0))-1)+MATCH(B581,{"AM","PM","NIGHT","WD"},0)-1-27+1,DAY(A581))&amp;"",""))</f>
        <v/>
      </c>
      <c r="G581" s="123">
        <f>IF(OR(A581="",C581="",B581="",E581=""),"",IFERROR(A581&amp;"|"&amp;(27+4*(IFERROR(MATCH(C581,Roster!$B$6:$B$65,0),MATCH(C581,Roster!$C$6:$C$65,0))-1)+MATCH(B581,{"AM","PM","NIGHT","WD"},0)-1),""))</f>
        <v/>
      </c>
    </row>
    <row r="582">
      <c r="A582" s="122" t="n"/>
      <c r="B582" s="107" t="n"/>
      <c r="C582" s="105" t="n"/>
      <c r="D582" s="92">
        <f>IF(C582="","",IFERROR(INDEX(Roster!$C$6:$C$65,IFERROR(MATCH(C582,Roster!$B$6:$B$65,0),MATCH(C582,Roster!$C$6:$C$65,0))),"not on the Roster"))</f>
        <v/>
      </c>
      <c r="E582" s="106" t="n"/>
      <c r="F582" s="104">
        <f>IF(OR(A582="",C582="",B582=""),"",IFERROR(INDEX(CHOOSE(IF(YEAR(A582)&gt;PlanYear,13,MONTH(A582)),'Jan'!$D$27:$AH$266,'Feb'!$D$27:$AH$266,'Mar'!$D$27:$AH$266,'Apr'!$D$27:$AH$266,'May'!$D$27:$AH$266,'Jun'!$D$27:$AH$266,'Jul'!$D$27:$AH$266,'Aug'!$D$27:$AH$266,'Sep'!$D$27:$AH$266,'Oct'!$D$27:$AH$266,'Nov'!$D$27:$AH$266,'Dec'!$D$27:$AH$266,'Jan (next year)'!$D$27:$AH$266),27+4*(IFERROR(MATCH(C582,Roster!$B$6:$B$65,0),MATCH(C582,Roster!$C$6:$C$65,0))-1)+MATCH(B582,{"AM","PM","NIGHT","WD"},0)-1-27+1,DAY(A582))&amp;"",""))</f>
        <v/>
      </c>
      <c r="G582" s="123">
        <f>IF(OR(A582="",C582="",B582="",E582=""),"",IFERROR(A582&amp;"|"&amp;(27+4*(IFERROR(MATCH(C582,Roster!$B$6:$B$65,0),MATCH(C582,Roster!$C$6:$C$65,0))-1)+MATCH(B582,{"AM","PM","NIGHT","WD"},0)-1),""))</f>
        <v/>
      </c>
    </row>
    <row r="583">
      <c r="A583" s="122" t="n"/>
      <c r="B583" s="107" t="n"/>
      <c r="C583" s="105" t="n"/>
      <c r="D583" s="92">
        <f>IF(C583="","",IFERROR(INDEX(Roster!$C$6:$C$65,IFERROR(MATCH(C583,Roster!$B$6:$B$65,0),MATCH(C583,Roster!$C$6:$C$65,0))),"not on the Roster"))</f>
        <v/>
      </c>
      <c r="E583" s="106" t="n"/>
      <c r="F583" s="104">
        <f>IF(OR(A583="",C583="",B583=""),"",IFERROR(INDEX(CHOOSE(IF(YEAR(A583)&gt;PlanYear,13,MONTH(A583)),'Jan'!$D$27:$AH$266,'Feb'!$D$27:$AH$266,'Mar'!$D$27:$AH$266,'Apr'!$D$27:$AH$266,'May'!$D$27:$AH$266,'Jun'!$D$27:$AH$266,'Jul'!$D$27:$AH$266,'Aug'!$D$27:$AH$266,'Sep'!$D$27:$AH$266,'Oct'!$D$27:$AH$266,'Nov'!$D$27:$AH$266,'Dec'!$D$27:$AH$266,'Jan (next year)'!$D$27:$AH$266),27+4*(IFERROR(MATCH(C583,Roster!$B$6:$B$65,0),MATCH(C583,Roster!$C$6:$C$65,0))-1)+MATCH(B583,{"AM","PM","NIGHT","WD"},0)-1-27+1,DAY(A583))&amp;"",""))</f>
        <v/>
      </c>
      <c r="G583" s="123">
        <f>IF(OR(A583="",C583="",B583="",E583=""),"",IFERROR(A583&amp;"|"&amp;(27+4*(IFERROR(MATCH(C583,Roster!$B$6:$B$65,0),MATCH(C583,Roster!$C$6:$C$65,0))-1)+MATCH(B583,{"AM","PM","NIGHT","WD"},0)-1),""))</f>
        <v/>
      </c>
    </row>
    <row r="584">
      <c r="A584" s="122" t="n"/>
      <c r="B584" s="107" t="n"/>
      <c r="C584" s="105" t="n"/>
      <c r="D584" s="92">
        <f>IF(C584="","",IFERROR(INDEX(Roster!$C$6:$C$65,IFERROR(MATCH(C584,Roster!$B$6:$B$65,0),MATCH(C584,Roster!$C$6:$C$65,0))),"not on the Roster"))</f>
        <v/>
      </c>
      <c r="E584" s="106" t="n"/>
      <c r="F584" s="104">
        <f>IF(OR(A584="",C584="",B584=""),"",IFERROR(INDEX(CHOOSE(IF(YEAR(A584)&gt;PlanYear,13,MONTH(A584)),'Jan'!$D$27:$AH$266,'Feb'!$D$27:$AH$266,'Mar'!$D$27:$AH$266,'Apr'!$D$27:$AH$266,'May'!$D$27:$AH$266,'Jun'!$D$27:$AH$266,'Jul'!$D$27:$AH$266,'Aug'!$D$27:$AH$266,'Sep'!$D$27:$AH$266,'Oct'!$D$27:$AH$266,'Nov'!$D$27:$AH$266,'Dec'!$D$27:$AH$266,'Jan (next year)'!$D$27:$AH$266),27+4*(IFERROR(MATCH(C584,Roster!$B$6:$B$65,0),MATCH(C584,Roster!$C$6:$C$65,0))-1)+MATCH(B584,{"AM","PM","NIGHT","WD"},0)-1-27+1,DAY(A584))&amp;"",""))</f>
        <v/>
      </c>
      <c r="G584" s="123">
        <f>IF(OR(A584="",C584="",B584="",E584=""),"",IFERROR(A584&amp;"|"&amp;(27+4*(IFERROR(MATCH(C584,Roster!$B$6:$B$65,0),MATCH(C584,Roster!$C$6:$C$65,0))-1)+MATCH(B584,{"AM","PM","NIGHT","WD"},0)-1),""))</f>
        <v/>
      </c>
    </row>
    <row r="585">
      <c r="A585" s="122" t="n"/>
      <c r="B585" s="107" t="n"/>
      <c r="C585" s="105" t="n"/>
      <c r="D585" s="92">
        <f>IF(C585="","",IFERROR(INDEX(Roster!$C$6:$C$65,IFERROR(MATCH(C585,Roster!$B$6:$B$65,0),MATCH(C585,Roster!$C$6:$C$65,0))),"not on the Roster"))</f>
        <v/>
      </c>
      <c r="E585" s="106" t="n"/>
      <c r="F585" s="104">
        <f>IF(OR(A585="",C585="",B585=""),"",IFERROR(INDEX(CHOOSE(IF(YEAR(A585)&gt;PlanYear,13,MONTH(A585)),'Jan'!$D$27:$AH$266,'Feb'!$D$27:$AH$266,'Mar'!$D$27:$AH$266,'Apr'!$D$27:$AH$266,'May'!$D$27:$AH$266,'Jun'!$D$27:$AH$266,'Jul'!$D$27:$AH$266,'Aug'!$D$27:$AH$266,'Sep'!$D$27:$AH$266,'Oct'!$D$27:$AH$266,'Nov'!$D$27:$AH$266,'Dec'!$D$27:$AH$266,'Jan (next year)'!$D$27:$AH$266),27+4*(IFERROR(MATCH(C585,Roster!$B$6:$B$65,0),MATCH(C585,Roster!$C$6:$C$65,0))-1)+MATCH(B585,{"AM","PM","NIGHT","WD"},0)-1-27+1,DAY(A585))&amp;"",""))</f>
        <v/>
      </c>
      <c r="G585" s="123">
        <f>IF(OR(A585="",C585="",B585="",E585=""),"",IFERROR(A585&amp;"|"&amp;(27+4*(IFERROR(MATCH(C585,Roster!$B$6:$B$65,0),MATCH(C585,Roster!$C$6:$C$65,0))-1)+MATCH(B585,{"AM","PM","NIGHT","WD"},0)-1),""))</f>
        <v/>
      </c>
    </row>
    <row r="586">
      <c r="A586" s="122" t="n"/>
      <c r="B586" s="107" t="n"/>
      <c r="C586" s="105" t="n"/>
      <c r="D586" s="92">
        <f>IF(C586="","",IFERROR(INDEX(Roster!$C$6:$C$65,IFERROR(MATCH(C586,Roster!$B$6:$B$65,0),MATCH(C586,Roster!$C$6:$C$65,0))),"not on the Roster"))</f>
        <v/>
      </c>
      <c r="E586" s="106" t="n"/>
      <c r="F586" s="104">
        <f>IF(OR(A586="",C586="",B586=""),"",IFERROR(INDEX(CHOOSE(IF(YEAR(A586)&gt;PlanYear,13,MONTH(A586)),'Jan'!$D$27:$AH$266,'Feb'!$D$27:$AH$266,'Mar'!$D$27:$AH$266,'Apr'!$D$27:$AH$266,'May'!$D$27:$AH$266,'Jun'!$D$27:$AH$266,'Jul'!$D$27:$AH$266,'Aug'!$D$27:$AH$266,'Sep'!$D$27:$AH$266,'Oct'!$D$27:$AH$266,'Nov'!$D$27:$AH$266,'Dec'!$D$27:$AH$266,'Jan (next year)'!$D$27:$AH$266),27+4*(IFERROR(MATCH(C586,Roster!$B$6:$B$65,0),MATCH(C586,Roster!$C$6:$C$65,0))-1)+MATCH(B586,{"AM","PM","NIGHT","WD"},0)-1-27+1,DAY(A586))&amp;"",""))</f>
        <v/>
      </c>
      <c r="G586" s="123">
        <f>IF(OR(A586="",C586="",B586="",E586=""),"",IFERROR(A586&amp;"|"&amp;(27+4*(IFERROR(MATCH(C586,Roster!$B$6:$B$65,0),MATCH(C586,Roster!$C$6:$C$65,0))-1)+MATCH(B586,{"AM","PM","NIGHT","WD"},0)-1),""))</f>
        <v/>
      </c>
    </row>
    <row r="587">
      <c r="A587" s="122" t="n"/>
      <c r="B587" s="107" t="n"/>
      <c r="C587" s="105" t="n"/>
      <c r="D587" s="92">
        <f>IF(C587="","",IFERROR(INDEX(Roster!$C$6:$C$65,IFERROR(MATCH(C587,Roster!$B$6:$B$65,0),MATCH(C587,Roster!$C$6:$C$65,0))),"not on the Roster"))</f>
        <v/>
      </c>
      <c r="E587" s="106" t="n"/>
      <c r="F587" s="104">
        <f>IF(OR(A587="",C587="",B587=""),"",IFERROR(INDEX(CHOOSE(IF(YEAR(A587)&gt;PlanYear,13,MONTH(A587)),'Jan'!$D$27:$AH$266,'Feb'!$D$27:$AH$266,'Mar'!$D$27:$AH$266,'Apr'!$D$27:$AH$266,'May'!$D$27:$AH$266,'Jun'!$D$27:$AH$266,'Jul'!$D$27:$AH$266,'Aug'!$D$27:$AH$266,'Sep'!$D$27:$AH$266,'Oct'!$D$27:$AH$266,'Nov'!$D$27:$AH$266,'Dec'!$D$27:$AH$266,'Jan (next year)'!$D$27:$AH$266),27+4*(IFERROR(MATCH(C587,Roster!$B$6:$B$65,0),MATCH(C587,Roster!$C$6:$C$65,0))-1)+MATCH(B587,{"AM","PM","NIGHT","WD"},0)-1-27+1,DAY(A587))&amp;"",""))</f>
        <v/>
      </c>
      <c r="G587" s="123">
        <f>IF(OR(A587="",C587="",B587="",E587=""),"",IFERROR(A587&amp;"|"&amp;(27+4*(IFERROR(MATCH(C587,Roster!$B$6:$B$65,0),MATCH(C587,Roster!$C$6:$C$65,0))-1)+MATCH(B587,{"AM","PM","NIGHT","WD"},0)-1),""))</f>
        <v/>
      </c>
    </row>
    <row r="588">
      <c r="A588" s="122" t="n"/>
      <c r="B588" s="107" t="n"/>
      <c r="C588" s="105" t="n"/>
      <c r="D588" s="92">
        <f>IF(C588="","",IFERROR(INDEX(Roster!$C$6:$C$65,IFERROR(MATCH(C588,Roster!$B$6:$B$65,0),MATCH(C588,Roster!$C$6:$C$65,0))),"not on the Roster"))</f>
        <v/>
      </c>
      <c r="E588" s="106" t="n"/>
      <c r="F588" s="104">
        <f>IF(OR(A588="",C588="",B588=""),"",IFERROR(INDEX(CHOOSE(IF(YEAR(A588)&gt;PlanYear,13,MONTH(A588)),'Jan'!$D$27:$AH$266,'Feb'!$D$27:$AH$266,'Mar'!$D$27:$AH$266,'Apr'!$D$27:$AH$266,'May'!$D$27:$AH$266,'Jun'!$D$27:$AH$266,'Jul'!$D$27:$AH$266,'Aug'!$D$27:$AH$266,'Sep'!$D$27:$AH$266,'Oct'!$D$27:$AH$266,'Nov'!$D$27:$AH$266,'Dec'!$D$27:$AH$266,'Jan (next year)'!$D$27:$AH$266),27+4*(IFERROR(MATCH(C588,Roster!$B$6:$B$65,0),MATCH(C588,Roster!$C$6:$C$65,0))-1)+MATCH(B588,{"AM","PM","NIGHT","WD"},0)-1-27+1,DAY(A588))&amp;"",""))</f>
        <v/>
      </c>
      <c r="G588" s="123">
        <f>IF(OR(A588="",C588="",B588="",E588=""),"",IFERROR(A588&amp;"|"&amp;(27+4*(IFERROR(MATCH(C588,Roster!$B$6:$B$65,0),MATCH(C588,Roster!$C$6:$C$65,0))-1)+MATCH(B588,{"AM","PM","NIGHT","WD"},0)-1),""))</f>
        <v/>
      </c>
    </row>
    <row r="589">
      <c r="A589" s="122" t="n"/>
      <c r="B589" s="107" t="n"/>
      <c r="C589" s="105" t="n"/>
      <c r="D589" s="92">
        <f>IF(C589="","",IFERROR(INDEX(Roster!$C$6:$C$65,IFERROR(MATCH(C589,Roster!$B$6:$B$65,0),MATCH(C589,Roster!$C$6:$C$65,0))),"not on the Roster"))</f>
        <v/>
      </c>
      <c r="E589" s="106" t="n"/>
      <c r="F589" s="104">
        <f>IF(OR(A589="",C589="",B589=""),"",IFERROR(INDEX(CHOOSE(IF(YEAR(A589)&gt;PlanYear,13,MONTH(A589)),'Jan'!$D$27:$AH$266,'Feb'!$D$27:$AH$266,'Mar'!$D$27:$AH$266,'Apr'!$D$27:$AH$266,'May'!$D$27:$AH$266,'Jun'!$D$27:$AH$266,'Jul'!$D$27:$AH$266,'Aug'!$D$27:$AH$266,'Sep'!$D$27:$AH$266,'Oct'!$D$27:$AH$266,'Nov'!$D$27:$AH$266,'Dec'!$D$27:$AH$266,'Jan (next year)'!$D$27:$AH$266),27+4*(IFERROR(MATCH(C589,Roster!$B$6:$B$65,0),MATCH(C589,Roster!$C$6:$C$65,0))-1)+MATCH(B589,{"AM","PM","NIGHT","WD"},0)-1-27+1,DAY(A589))&amp;"",""))</f>
        <v/>
      </c>
      <c r="G589" s="123">
        <f>IF(OR(A589="",C589="",B589="",E589=""),"",IFERROR(A589&amp;"|"&amp;(27+4*(IFERROR(MATCH(C589,Roster!$B$6:$B$65,0),MATCH(C589,Roster!$C$6:$C$65,0))-1)+MATCH(B589,{"AM","PM","NIGHT","WD"},0)-1),""))</f>
        <v/>
      </c>
    </row>
    <row r="590">
      <c r="A590" s="122" t="n"/>
      <c r="B590" s="107" t="n"/>
      <c r="C590" s="105" t="n"/>
      <c r="D590" s="92">
        <f>IF(C590="","",IFERROR(INDEX(Roster!$C$6:$C$65,IFERROR(MATCH(C590,Roster!$B$6:$B$65,0),MATCH(C590,Roster!$C$6:$C$65,0))),"not on the Roster"))</f>
        <v/>
      </c>
      <c r="E590" s="106" t="n"/>
      <c r="F590" s="104">
        <f>IF(OR(A590="",C590="",B590=""),"",IFERROR(INDEX(CHOOSE(IF(YEAR(A590)&gt;PlanYear,13,MONTH(A590)),'Jan'!$D$27:$AH$266,'Feb'!$D$27:$AH$266,'Mar'!$D$27:$AH$266,'Apr'!$D$27:$AH$266,'May'!$D$27:$AH$266,'Jun'!$D$27:$AH$266,'Jul'!$D$27:$AH$266,'Aug'!$D$27:$AH$266,'Sep'!$D$27:$AH$266,'Oct'!$D$27:$AH$266,'Nov'!$D$27:$AH$266,'Dec'!$D$27:$AH$266,'Jan (next year)'!$D$27:$AH$266),27+4*(IFERROR(MATCH(C590,Roster!$B$6:$B$65,0),MATCH(C590,Roster!$C$6:$C$65,0))-1)+MATCH(B590,{"AM","PM","NIGHT","WD"},0)-1-27+1,DAY(A590))&amp;"",""))</f>
        <v/>
      </c>
      <c r="G590" s="123">
        <f>IF(OR(A590="",C590="",B590="",E590=""),"",IFERROR(A590&amp;"|"&amp;(27+4*(IFERROR(MATCH(C590,Roster!$B$6:$B$65,0),MATCH(C590,Roster!$C$6:$C$65,0))-1)+MATCH(B590,{"AM","PM","NIGHT","WD"},0)-1),""))</f>
        <v/>
      </c>
    </row>
    <row r="591">
      <c r="A591" s="122" t="n"/>
      <c r="B591" s="107" t="n"/>
      <c r="C591" s="105" t="n"/>
      <c r="D591" s="92">
        <f>IF(C591="","",IFERROR(INDEX(Roster!$C$6:$C$65,IFERROR(MATCH(C591,Roster!$B$6:$B$65,0),MATCH(C591,Roster!$C$6:$C$65,0))),"not on the Roster"))</f>
        <v/>
      </c>
      <c r="E591" s="106" t="n"/>
      <c r="F591" s="104">
        <f>IF(OR(A591="",C591="",B591=""),"",IFERROR(INDEX(CHOOSE(IF(YEAR(A591)&gt;PlanYear,13,MONTH(A591)),'Jan'!$D$27:$AH$266,'Feb'!$D$27:$AH$266,'Mar'!$D$27:$AH$266,'Apr'!$D$27:$AH$266,'May'!$D$27:$AH$266,'Jun'!$D$27:$AH$266,'Jul'!$D$27:$AH$266,'Aug'!$D$27:$AH$266,'Sep'!$D$27:$AH$266,'Oct'!$D$27:$AH$266,'Nov'!$D$27:$AH$266,'Dec'!$D$27:$AH$266,'Jan (next year)'!$D$27:$AH$266),27+4*(IFERROR(MATCH(C591,Roster!$B$6:$B$65,0),MATCH(C591,Roster!$C$6:$C$65,0))-1)+MATCH(B591,{"AM","PM","NIGHT","WD"},0)-1-27+1,DAY(A591))&amp;"",""))</f>
        <v/>
      </c>
      <c r="G591" s="123">
        <f>IF(OR(A591="",C591="",B591="",E591=""),"",IFERROR(A591&amp;"|"&amp;(27+4*(IFERROR(MATCH(C591,Roster!$B$6:$B$65,0),MATCH(C591,Roster!$C$6:$C$65,0))-1)+MATCH(B591,{"AM","PM","NIGHT","WD"},0)-1),""))</f>
        <v/>
      </c>
    </row>
    <row r="592">
      <c r="A592" s="122" t="n"/>
      <c r="B592" s="107" t="n"/>
      <c r="C592" s="105" t="n"/>
      <c r="D592" s="92">
        <f>IF(C592="","",IFERROR(INDEX(Roster!$C$6:$C$65,IFERROR(MATCH(C592,Roster!$B$6:$B$65,0),MATCH(C592,Roster!$C$6:$C$65,0))),"not on the Roster"))</f>
        <v/>
      </c>
      <c r="E592" s="106" t="n"/>
      <c r="F592" s="104">
        <f>IF(OR(A592="",C592="",B592=""),"",IFERROR(INDEX(CHOOSE(IF(YEAR(A592)&gt;PlanYear,13,MONTH(A592)),'Jan'!$D$27:$AH$266,'Feb'!$D$27:$AH$266,'Mar'!$D$27:$AH$266,'Apr'!$D$27:$AH$266,'May'!$D$27:$AH$266,'Jun'!$D$27:$AH$266,'Jul'!$D$27:$AH$266,'Aug'!$D$27:$AH$266,'Sep'!$D$27:$AH$266,'Oct'!$D$27:$AH$266,'Nov'!$D$27:$AH$266,'Dec'!$D$27:$AH$266,'Jan (next year)'!$D$27:$AH$266),27+4*(IFERROR(MATCH(C592,Roster!$B$6:$B$65,0),MATCH(C592,Roster!$C$6:$C$65,0))-1)+MATCH(B592,{"AM","PM","NIGHT","WD"},0)-1-27+1,DAY(A592))&amp;"",""))</f>
        <v/>
      </c>
      <c r="G592" s="123">
        <f>IF(OR(A592="",C592="",B592="",E592=""),"",IFERROR(A592&amp;"|"&amp;(27+4*(IFERROR(MATCH(C592,Roster!$B$6:$B$65,0),MATCH(C592,Roster!$C$6:$C$65,0))-1)+MATCH(B592,{"AM","PM","NIGHT","WD"},0)-1),""))</f>
        <v/>
      </c>
    </row>
    <row r="593">
      <c r="A593" s="122" t="n"/>
      <c r="B593" s="107" t="n"/>
      <c r="C593" s="105" t="n"/>
      <c r="D593" s="92">
        <f>IF(C593="","",IFERROR(INDEX(Roster!$C$6:$C$65,IFERROR(MATCH(C593,Roster!$B$6:$B$65,0),MATCH(C593,Roster!$C$6:$C$65,0))),"not on the Roster"))</f>
        <v/>
      </c>
      <c r="E593" s="106" t="n"/>
      <c r="F593" s="104">
        <f>IF(OR(A593="",C593="",B593=""),"",IFERROR(INDEX(CHOOSE(IF(YEAR(A593)&gt;PlanYear,13,MONTH(A593)),'Jan'!$D$27:$AH$266,'Feb'!$D$27:$AH$266,'Mar'!$D$27:$AH$266,'Apr'!$D$27:$AH$266,'May'!$D$27:$AH$266,'Jun'!$D$27:$AH$266,'Jul'!$D$27:$AH$266,'Aug'!$D$27:$AH$266,'Sep'!$D$27:$AH$266,'Oct'!$D$27:$AH$266,'Nov'!$D$27:$AH$266,'Dec'!$D$27:$AH$266,'Jan (next year)'!$D$27:$AH$266),27+4*(IFERROR(MATCH(C593,Roster!$B$6:$B$65,0),MATCH(C593,Roster!$C$6:$C$65,0))-1)+MATCH(B593,{"AM","PM","NIGHT","WD"},0)-1-27+1,DAY(A593))&amp;"",""))</f>
        <v/>
      </c>
      <c r="G593" s="123">
        <f>IF(OR(A593="",C593="",B593="",E593=""),"",IFERROR(A593&amp;"|"&amp;(27+4*(IFERROR(MATCH(C593,Roster!$B$6:$B$65,0),MATCH(C593,Roster!$C$6:$C$65,0))-1)+MATCH(B593,{"AM","PM","NIGHT","WD"},0)-1),""))</f>
        <v/>
      </c>
    </row>
    <row r="594">
      <c r="A594" s="122" t="n"/>
      <c r="B594" s="107" t="n"/>
      <c r="C594" s="105" t="n"/>
      <c r="D594" s="92">
        <f>IF(C594="","",IFERROR(INDEX(Roster!$C$6:$C$65,IFERROR(MATCH(C594,Roster!$B$6:$B$65,0),MATCH(C594,Roster!$C$6:$C$65,0))),"not on the Roster"))</f>
        <v/>
      </c>
      <c r="E594" s="106" t="n"/>
      <c r="F594" s="104">
        <f>IF(OR(A594="",C594="",B594=""),"",IFERROR(INDEX(CHOOSE(IF(YEAR(A594)&gt;PlanYear,13,MONTH(A594)),'Jan'!$D$27:$AH$266,'Feb'!$D$27:$AH$266,'Mar'!$D$27:$AH$266,'Apr'!$D$27:$AH$266,'May'!$D$27:$AH$266,'Jun'!$D$27:$AH$266,'Jul'!$D$27:$AH$266,'Aug'!$D$27:$AH$266,'Sep'!$D$27:$AH$266,'Oct'!$D$27:$AH$266,'Nov'!$D$27:$AH$266,'Dec'!$D$27:$AH$266,'Jan (next year)'!$D$27:$AH$266),27+4*(IFERROR(MATCH(C594,Roster!$B$6:$B$65,0),MATCH(C594,Roster!$C$6:$C$65,0))-1)+MATCH(B594,{"AM","PM","NIGHT","WD"},0)-1-27+1,DAY(A594))&amp;"",""))</f>
        <v/>
      </c>
      <c r="G594" s="123">
        <f>IF(OR(A594="",C594="",B594="",E594=""),"",IFERROR(A594&amp;"|"&amp;(27+4*(IFERROR(MATCH(C594,Roster!$B$6:$B$65,0),MATCH(C594,Roster!$C$6:$C$65,0))-1)+MATCH(B594,{"AM","PM","NIGHT","WD"},0)-1),""))</f>
        <v/>
      </c>
    </row>
    <row r="595">
      <c r="A595" s="122" t="n"/>
      <c r="B595" s="107" t="n"/>
      <c r="C595" s="105" t="n"/>
      <c r="D595" s="92">
        <f>IF(C595="","",IFERROR(INDEX(Roster!$C$6:$C$65,IFERROR(MATCH(C595,Roster!$B$6:$B$65,0),MATCH(C595,Roster!$C$6:$C$65,0))),"not on the Roster"))</f>
        <v/>
      </c>
      <c r="E595" s="106" t="n"/>
      <c r="F595" s="104">
        <f>IF(OR(A595="",C595="",B595=""),"",IFERROR(INDEX(CHOOSE(IF(YEAR(A595)&gt;PlanYear,13,MONTH(A595)),'Jan'!$D$27:$AH$266,'Feb'!$D$27:$AH$266,'Mar'!$D$27:$AH$266,'Apr'!$D$27:$AH$266,'May'!$D$27:$AH$266,'Jun'!$D$27:$AH$266,'Jul'!$D$27:$AH$266,'Aug'!$D$27:$AH$266,'Sep'!$D$27:$AH$266,'Oct'!$D$27:$AH$266,'Nov'!$D$27:$AH$266,'Dec'!$D$27:$AH$266,'Jan (next year)'!$D$27:$AH$266),27+4*(IFERROR(MATCH(C595,Roster!$B$6:$B$65,0),MATCH(C595,Roster!$C$6:$C$65,0))-1)+MATCH(B595,{"AM","PM","NIGHT","WD"},0)-1-27+1,DAY(A595))&amp;"",""))</f>
        <v/>
      </c>
      <c r="G595" s="123">
        <f>IF(OR(A595="",C595="",B595="",E595=""),"",IFERROR(A595&amp;"|"&amp;(27+4*(IFERROR(MATCH(C595,Roster!$B$6:$B$65,0),MATCH(C595,Roster!$C$6:$C$65,0))-1)+MATCH(B595,{"AM","PM","NIGHT","WD"},0)-1),""))</f>
        <v/>
      </c>
    </row>
    <row r="596">
      <c r="A596" s="122" t="n"/>
      <c r="B596" s="107" t="n"/>
      <c r="C596" s="105" t="n"/>
      <c r="D596" s="92">
        <f>IF(C596="","",IFERROR(INDEX(Roster!$C$6:$C$65,IFERROR(MATCH(C596,Roster!$B$6:$B$65,0),MATCH(C596,Roster!$C$6:$C$65,0))),"not on the Roster"))</f>
        <v/>
      </c>
      <c r="E596" s="106" t="n"/>
      <c r="F596" s="104">
        <f>IF(OR(A596="",C596="",B596=""),"",IFERROR(INDEX(CHOOSE(IF(YEAR(A596)&gt;PlanYear,13,MONTH(A596)),'Jan'!$D$27:$AH$266,'Feb'!$D$27:$AH$266,'Mar'!$D$27:$AH$266,'Apr'!$D$27:$AH$266,'May'!$D$27:$AH$266,'Jun'!$D$27:$AH$266,'Jul'!$D$27:$AH$266,'Aug'!$D$27:$AH$266,'Sep'!$D$27:$AH$266,'Oct'!$D$27:$AH$266,'Nov'!$D$27:$AH$266,'Dec'!$D$27:$AH$266,'Jan (next year)'!$D$27:$AH$266),27+4*(IFERROR(MATCH(C596,Roster!$B$6:$B$65,0),MATCH(C596,Roster!$C$6:$C$65,0))-1)+MATCH(B596,{"AM","PM","NIGHT","WD"},0)-1-27+1,DAY(A596))&amp;"",""))</f>
        <v/>
      </c>
      <c r="G596" s="123">
        <f>IF(OR(A596="",C596="",B596="",E596=""),"",IFERROR(A596&amp;"|"&amp;(27+4*(IFERROR(MATCH(C596,Roster!$B$6:$B$65,0),MATCH(C596,Roster!$C$6:$C$65,0))-1)+MATCH(B596,{"AM","PM","NIGHT","WD"},0)-1),""))</f>
        <v/>
      </c>
    </row>
    <row r="597">
      <c r="A597" s="122" t="n"/>
      <c r="B597" s="107" t="n"/>
      <c r="C597" s="105" t="n"/>
      <c r="D597" s="92">
        <f>IF(C597="","",IFERROR(INDEX(Roster!$C$6:$C$65,IFERROR(MATCH(C597,Roster!$B$6:$B$65,0),MATCH(C597,Roster!$C$6:$C$65,0))),"not on the Roster"))</f>
        <v/>
      </c>
      <c r="E597" s="106" t="n"/>
      <c r="F597" s="104">
        <f>IF(OR(A597="",C597="",B597=""),"",IFERROR(INDEX(CHOOSE(IF(YEAR(A597)&gt;PlanYear,13,MONTH(A597)),'Jan'!$D$27:$AH$266,'Feb'!$D$27:$AH$266,'Mar'!$D$27:$AH$266,'Apr'!$D$27:$AH$266,'May'!$D$27:$AH$266,'Jun'!$D$27:$AH$266,'Jul'!$D$27:$AH$266,'Aug'!$D$27:$AH$266,'Sep'!$D$27:$AH$266,'Oct'!$D$27:$AH$266,'Nov'!$D$27:$AH$266,'Dec'!$D$27:$AH$266,'Jan (next year)'!$D$27:$AH$266),27+4*(IFERROR(MATCH(C597,Roster!$B$6:$B$65,0),MATCH(C597,Roster!$C$6:$C$65,0))-1)+MATCH(B597,{"AM","PM","NIGHT","WD"},0)-1-27+1,DAY(A597))&amp;"",""))</f>
        <v/>
      </c>
      <c r="G597" s="123">
        <f>IF(OR(A597="",C597="",B597="",E597=""),"",IFERROR(A597&amp;"|"&amp;(27+4*(IFERROR(MATCH(C597,Roster!$B$6:$B$65,0),MATCH(C597,Roster!$C$6:$C$65,0))-1)+MATCH(B597,{"AM","PM","NIGHT","WD"},0)-1),""))</f>
        <v/>
      </c>
    </row>
    <row r="598">
      <c r="A598" s="122" t="n"/>
      <c r="B598" s="107" t="n"/>
      <c r="C598" s="105" t="n"/>
      <c r="D598" s="92">
        <f>IF(C598="","",IFERROR(INDEX(Roster!$C$6:$C$65,IFERROR(MATCH(C598,Roster!$B$6:$B$65,0),MATCH(C598,Roster!$C$6:$C$65,0))),"not on the Roster"))</f>
        <v/>
      </c>
      <c r="E598" s="106" t="n"/>
      <c r="F598" s="104">
        <f>IF(OR(A598="",C598="",B598=""),"",IFERROR(INDEX(CHOOSE(IF(YEAR(A598)&gt;PlanYear,13,MONTH(A598)),'Jan'!$D$27:$AH$266,'Feb'!$D$27:$AH$266,'Mar'!$D$27:$AH$266,'Apr'!$D$27:$AH$266,'May'!$D$27:$AH$266,'Jun'!$D$27:$AH$266,'Jul'!$D$27:$AH$266,'Aug'!$D$27:$AH$266,'Sep'!$D$27:$AH$266,'Oct'!$D$27:$AH$266,'Nov'!$D$27:$AH$266,'Dec'!$D$27:$AH$266,'Jan (next year)'!$D$27:$AH$266),27+4*(IFERROR(MATCH(C598,Roster!$B$6:$B$65,0),MATCH(C598,Roster!$C$6:$C$65,0))-1)+MATCH(B598,{"AM","PM","NIGHT","WD"},0)-1-27+1,DAY(A598))&amp;"",""))</f>
        <v/>
      </c>
      <c r="G598" s="123">
        <f>IF(OR(A598="",C598="",B598="",E598=""),"",IFERROR(A598&amp;"|"&amp;(27+4*(IFERROR(MATCH(C598,Roster!$B$6:$B$65,0),MATCH(C598,Roster!$C$6:$C$65,0))-1)+MATCH(B598,{"AM","PM","NIGHT","WD"},0)-1),""))</f>
        <v/>
      </c>
    </row>
    <row r="599">
      <c r="A599" s="122" t="n"/>
      <c r="B599" s="107" t="n"/>
      <c r="C599" s="105" t="n"/>
      <c r="D599" s="92">
        <f>IF(C599="","",IFERROR(INDEX(Roster!$C$6:$C$65,IFERROR(MATCH(C599,Roster!$B$6:$B$65,0),MATCH(C599,Roster!$C$6:$C$65,0))),"not on the Roster"))</f>
        <v/>
      </c>
      <c r="E599" s="106" t="n"/>
      <c r="F599" s="104">
        <f>IF(OR(A599="",C599="",B599=""),"",IFERROR(INDEX(CHOOSE(IF(YEAR(A599)&gt;PlanYear,13,MONTH(A599)),'Jan'!$D$27:$AH$266,'Feb'!$D$27:$AH$266,'Mar'!$D$27:$AH$266,'Apr'!$D$27:$AH$266,'May'!$D$27:$AH$266,'Jun'!$D$27:$AH$266,'Jul'!$D$27:$AH$266,'Aug'!$D$27:$AH$266,'Sep'!$D$27:$AH$266,'Oct'!$D$27:$AH$266,'Nov'!$D$27:$AH$266,'Dec'!$D$27:$AH$266,'Jan (next year)'!$D$27:$AH$266),27+4*(IFERROR(MATCH(C599,Roster!$B$6:$B$65,0),MATCH(C599,Roster!$C$6:$C$65,0))-1)+MATCH(B599,{"AM","PM","NIGHT","WD"},0)-1-27+1,DAY(A599))&amp;"",""))</f>
        <v/>
      </c>
      <c r="G599" s="123">
        <f>IF(OR(A599="",C599="",B599="",E599=""),"",IFERROR(A599&amp;"|"&amp;(27+4*(IFERROR(MATCH(C599,Roster!$B$6:$B$65,0),MATCH(C599,Roster!$C$6:$C$65,0))-1)+MATCH(B599,{"AM","PM","NIGHT","WD"},0)-1),""))</f>
        <v/>
      </c>
    </row>
    <row r="600">
      <c r="A600" s="122" t="n"/>
      <c r="B600" s="107" t="n"/>
      <c r="C600" s="105" t="n"/>
      <c r="D600" s="92">
        <f>IF(C600="","",IFERROR(INDEX(Roster!$C$6:$C$65,IFERROR(MATCH(C600,Roster!$B$6:$B$65,0),MATCH(C600,Roster!$C$6:$C$65,0))),"not on the Roster"))</f>
        <v/>
      </c>
      <c r="E600" s="106" t="n"/>
      <c r="F600" s="104">
        <f>IF(OR(A600="",C600="",B600=""),"",IFERROR(INDEX(CHOOSE(IF(YEAR(A600)&gt;PlanYear,13,MONTH(A600)),'Jan'!$D$27:$AH$266,'Feb'!$D$27:$AH$266,'Mar'!$D$27:$AH$266,'Apr'!$D$27:$AH$266,'May'!$D$27:$AH$266,'Jun'!$D$27:$AH$266,'Jul'!$D$27:$AH$266,'Aug'!$D$27:$AH$266,'Sep'!$D$27:$AH$266,'Oct'!$D$27:$AH$266,'Nov'!$D$27:$AH$266,'Dec'!$D$27:$AH$266,'Jan (next year)'!$D$27:$AH$266),27+4*(IFERROR(MATCH(C600,Roster!$B$6:$B$65,0),MATCH(C600,Roster!$C$6:$C$65,0))-1)+MATCH(B600,{"AM","PM","NIGHT","WD"},0)-1-27+1,DAY(A600))&amp;"",""))</f>
        <v/>
      </c>
      <c r="G600" s="123">
        <f>IF(OR(A600="",C600="",B600="",E600=""),"",IFERROR(A600&amp;"|"&amp;(27+4*(IFERROR(MATCH(C600,Roster!$B$6:$B$65,0),MATCH(C600,Roster!$C$6:$C$65,0))-1)+MATCH(B600,{"AM","PM","NIGHT","WD"},0)-1),""))</f>
        <v/>
      </c>
    </row>
    <row r="601">
      <c r="A601" s="122" t="n"/>
      <c r="B601" s="107" t="n"/>
      <c r="C601" s="105" t="n"/>
      <c r="D601" s="92">
        <f>IF(C601="","",IFERROR(INDEX(Roster!$C$6:$C$65,IFERROR(MATCH(C601,Roster!$B$6:$B$65,0),MATCH(C601,Roster!$C$6:$C$65,0))),"not on the Roster"))</f>
        <v/>
      </c>
      <c r="E601" s="106" t="n"/>
      <c r="F601" s="104">
        <f>IF(OR(A601="",C601="",B601=""),"",IFERROR(INDEX(CHOOSE(IF(YEAR(A601)&gt;PlanYear,13,MONTH(A601)),'Jan'!$D$27:$AH$266,'Feb'!$D$27:$AH$266,'Mar'!$D$27:$AH$266,'Apr'!$D$27:$AH$266,'May'!$D$27:$AH$266,'Jun'!$D$27:$AH$266,'Jul'!$D$27:$AH$266,'Aug'!$D$27:$AH$266,'Sep'!$D$27:$AH$266,'Oct'!$D$27:$AH$266,'Nov'!$D$27:$AH$266,'Dec'!$D$27:$AH$266,'Jan (next year)'!$D$27:$AH$266),27+4*(IFERROR(MATCH(C601,Roster!$B$6:$B$65,0),MATCH(C601,Roster!$C$6:$C$65,0))-1)+MATCH(B601,{"AM","PM","NIGHT","WD"},0)-1-27+1,DAY(A601))&amp;"",""))</f>
        <v/>
      </c>
      <c r="G601" s="123">
        <f>IF(OR(A601="",C601="",B601="",E601=""),"",IFERROR(A601&amp;"|"&amp;(27+4*(IFERROR(MATCH(C601,Roster!$B$6:$B$65,0),MATCH(C601,Roster!$C$6:$C$65,0))-1)+MATCH(B601,{"AM","PM","NIGHT","WD"},0)-1),""))</f>
        <v/>
      </c>
    </row>
    <row r="602">
      <c r="A602" s="122" t="n"/>
      <c r="B602" s="107" t="n"/>
      <c r="C602" s="105" t="n"/>
      <c r="D602" s="92">
        <f>IF(C602="","",IFERROR(INDEX(Roster!$C$6:$C$65,IFERROR(MATCH(C602,Roster!$B$6:$B$65,0),MATCH(C602,Roster!$C$6:$C$65,0))),"not on the Roster"))</f>
        <v/>
      </c>
      <c r="E602" s="106" t="n"/>
      <c r="F602" s="104">
        <f>IF(OR(A602="",C602="",B602=""),"",IFERROR(INDEX(CHOOSE(IF(YEAR(A602)&gt;PlanYear,13,MONTH(A602)),'Jan'!$D$27:$AH$266,'Feb'!$D$27:$AH$266,'Mar'!$D$27:$AH$266,'Apr'!$D$27:$AH$266,'May'!$D$27:$AH$266,'Jun'!$D$27:$AH$266,'Jul'!$D$27:$AH$266,'Aug'!$D$27:$AH$266,'Sep'!$D$27:$AH$266,'Oct'!$D$27:$AH$266,'Nov'!$D$27:$AH$266,'Dec'!$D$27:$AH$266,'Jan (next year)'!$D$27:$AH$266),27+4*(IFERROR(MATCH(C602,Roster!$B$6:$B$65,0),MATCH(C602,Roster!$C$6:$C$65,0))-1)+MATCH(B602,{"AM","PM","NIGHT","WD"},0)-1-27+1,DAY(A602))&amp;"",""))</f>
        <v/>
      </c>
      <c r="G602" s="123">
        <f>IF(OR(A602="",C602="",B602="",E602=""),"",IFERROR(A602&amp;"|"&amp;(27+4*(IFERROR(MATCH(C602,Roster!$B$6:$B$65,0),MATCH(C602,Roster!$C$6:$C$65,0))-1)+MATCH(B602,{"AM","PM","NIGHT","WD"},0)-1),""))</f>
        <v/>
      </c>
    </row>
    <row r="603">
      <c r="A603" s="122" t="n"/>
      <c r="B603" s="107" t="n"/>
      <c r="C603" s="105" t="n"/>
      <c r="D603" s="92">
        <f>IF(C603="","",IFERROR(INDEX(Roster!$C$6:$C$65,IFERROR(MATCH(C603,Roster!$B$6:$B$65,0),MATCH(C603,Roster!$C$6:$C$65,0))),"not on the Roster"))</f>
        <v/>
      </c>
      <c r="E603" s="106" t="n"/>
      <c r="F603" s="104">
        <f>IF(OR(A603="",C603="",B603=""),"",IFERROR(INDEX(CHOOSE(IF(YEAR(A603)&gt;PlanYear,13,MONTH(A603)),'Jan'!$D$27:$AH$266,'Feb'!$D$27:$AH$266,'Mar'!$D$27:$AH$266,'Apr'!$D$27:$AH$266,'May'!$D$27:$AH$266,'Jun'!$D$27:$AH$266,'Jul'!$D$27:$AH$266,'Aug'!$D$27:$AH$266,'Sep'!$D$27:$AH$266,'Oct'!$D$27:$AH$266,'Nov'!$D$27:$AH$266,'Dec'!$D$27:$AH$266,'Jan (next year)'!$D$27:$AH$266),27+4*(IFERROR(MATCH(C603,Roster!$B$6:$B$65,0),MATCH(C603,Roster!$C$6:$C$65,0))-1)+MATCH(B603,{"AM","PM","NIGHT","WD"},0)-1-27+1,DAY(A603))&amp;"",""))</f>
        <v/>
      </c>
      <c r="G603" s="123">
        <f>IF(OR(A603="",C603="",B603="",E603=""),"",IFERROR(A603&amp;"|"&amp;(27+4*(IFERROR(MATCH(C603,Roster!$B$6:$B$65,0),MATCH(C603,Roster!$C$6:$C$65,0))-1)+MATCH(B603,{"AM","PM","NIGHT","WD"},0)-1),""))</f>
        <v/>
      </c>
    </row>
    <row r="604">
      <c r="A604" s="122" t="n"/>
      <c r="B604" s="107" t="n"/>
      <c r="C604" s="105" t="n"/>
      <c r="D604" s="92">
        <f>IF(C604="","",IFERROR(INDEX(Roster!$C$6:$C$65,IFERROR(MATCH(C604,Roster!$B$6:$B$65,0),MATCH(C604,Roster!$C$6:$C$65,0))),"not on the Roster"))</f>
        <v/>
      </c>
      <c r="E604" s="106" t="n"/>
      <c r="F604" s="104">
        <f>IF(OR(A604="",C604="",B604=""),"",IFERROR(INDEX(CHOOSE(IF(YEAR(A604)&gt;PlanYear,13,MONTH(A604)),'Jan'!$D$27:$AH$266,'Feb'!$D$27:$AH$266,'Mar'!$D$27:$AH$266,'Apr'!$D$27:$AH$266,'May'!$D$27:$AH$266,'Jun'!$D$27:$AH$266,'Jul'!$D$27:$AH$266,'Aug'!$D$27:$AH$266,'Sep'!$D$27:$AH$266,'Oct'!$D$27:$AH$266,'Nov'!$D$27:$AH$266,'Dec'!$D$27:$AH$266,'Jan (next year)'!$D$27:$AH$266),27+4*(IFERROR(MATCH(C604,Roster!$B$6:$B$65,0),MATCH(C604,Roster!$C$6:$C$65,0))-1)+MATCH(B604,{"AM","PM","NIGHT","WD"},0)-1-27+1,DAY(A604))&amp;"",""))</f>
        <v/>
      </c>
      <c r="G604" s="123">
        <f>IF(OR(A604="",C604="",B604="",E604=""),"",IFERROR(A604&amp;"|"&amp;(27+4*(IFERROR(MATCH(C604,Roster!$B$6:$B$65,0),MATCH(C604,Roster!$C$6:$C$65,0))-1)+MATCH(B604,{"AM","PM","NIGHT","WD"},0)-1),""))</f>
        <v/>
      </c>
    </row>
    <row r="605">
      <c r="A605" s="122" t="n"/>
      <c r="B605" s="107" t="n"/>
      <c r="C605" s="105" t="n"/>
      <c r="D605" s="92">
        <f>IF(C605="","",IFERROR(INDEX(Roster!$C$6:$C$65,IFERROR(MATCH(C605,Roster!$B$6:$B$65,0),MATCH(C605,Roster!$C$6:$C$65,0))),"not on the Roster"))</f>
        <v/>
      </c>
      <c r="E605" s="106" t="n"/>
      <c r="F605" s="104">
        <f>IF(OR(A605="",C605="",B605=""),"",IFERROR(INDEX(CHOOSE(IF(YEAR(A605)&gt;PlanYear,13,MONTH(A605)),'Jan'!$D$27:$AH$266,'Feb'!$D$27:$AH$266,'Mar'!$D$27:$AH$266,'Apr'!$D$27:$AH$266,'May'!$D$27:$AH$266,'Jun'!$D$27:$AH$266,'Jul'!$D$27:$AH$266,'Aug'!$D$27:$AH$266,'Sep'!$D$27:$AH$266,'Oct'!$D$27:$AH$266,'Nov'!$D$27:$AH$266,'Dec'!$D$27:$AH$266,'Jan (next year)'!$D$27:$AH$266),27+4*(IFERROR(MATCH(C605,Roster!$B$6:$B$65,0),MATCH(C605,Roster!$C$6:$C$65,0))-1)+MATCH(B605,{"AM","PM","NIGHT","WD"},0)-1-27+1,DAY(A605))&amp;"",""))</f>
        <v/>
      </c>
      <c r="G605" s="123">
        <f>IF(OR(A605="",C605="",B605="",E605=""),"",IFERROR(A605&amp;"|"&amp;(27+4*(IFERROR(MATCH(C605,Roster!$B$6:$B$65,0),MATCH(C605,Roster!$C$6:$C$65,0))-1)+MATCH(B605,{"AM","PM","NIGHT","WD"},0)-1),""))</f>
        <v/>
      </c>
    </row>
    <row r="606">
      <c r="A606" s="122" t="n"/>
      <c r="B606" s="107" t="n"/>
      <c r="C606" s="105" t="n"/>
      <c r="D606" s="92">
        <f>IF(C606="","",IFERROR(INDEX(Roster!$C$6:$C$65,IFERROR(MATCH(C606,Roster!$B$6:$B$65,0),MATCH(C606,Roster!$C$6:$C$65,0))),"not on the Roster"))</f>
        <v/>
      </c>
      <c r="E606" s="106" t="n"/>
      <c r="F606" s="104">
        <f>IF(OR(A606="",C606="",B606=""),"",IFERROR(INDEX(CHOOSE(IF(YEAR(A606)&gt;PlanYear,13,MONTH(A606)),'Jan'!$D$27:$AH$266,'Feb'!$D$27:$AH$266,'Mar'!$D$27:$AH$266,'Apr'!$D$27:$AH$266,'May'!$D$27:$AH$266,'Jun'!$D$27:$AH$266,'Jul'!$D$27:$AH$266,'Aug'!$D$27:$AH$266,'Sep'!$D$27:$AH$266,'Oct'!$D$27:$AH$266,'Nov'!$D$27:$AH$266,'Dec'!$D$27:$AH$266,'Jan (next year)'!$D$27:$AH$266),27+4*(IFERROR(MATCH(C606,Roster!$B$6:$B$65,0),MATCH(C606,Roster!$C$6:$C$65,0))-1)+MATCH(B606,{"AM","PM","NIGHT","WD"},0)-1-27+1,DAY(A606))&amp;"",""))</f>
        <v/>
      </c>
      <c r="G606" s="123">
        <f>IF(OR(A606="",C606="",B606="",E606=""),"",IFERROR(A606&amp;"|"&amp;(27+4*(IFERROR(MATCH(C606,Roster!$B$6:$B$65,0),MATCH(C606,Roster!$C$6:$C$65,0))-1)+MATCH(B606,{"AM","PM","NIGHT","WD"},0)-1),""))</f>
        <v/>
      </c>
    </row>
    <row r="607">
      <c r="A607" s="122" t="n"/>
      <c r="B607" s="107" t="n"/>
      <c r="C607" s="105" t="n"/>
      <c r="D607" s="92">
        <f>IF(C607="","",IFERROR(INDEX(Roster!$C$6:$C$65,IFERROR(MATCH(C607,Roster!$B$6:$B$65,0),MATCH(C607,Roster!$C$6:$C$65,0))),"not on the Roster"))</f>
        <v/>
      </c>
      <c r="E607" s="106" t="n"/>
      <c r="F607" s="104">
        <f>IF(OR(A607="",C607="",B607=""),"",IFERROR(INDEX(CHOOSE(IF(YEAR(A607)&gt;PlanYear,13,MONTH(A607)),'Jan'!$D$27:$AH$266,'Feb'!$D$27:$AH$266,'Mar'!$D$27:$AH$266,'Apr'!$D$27:$AH$266,'May'!$D$27:$AH$266,'Jun'!$D$27:$AH$266,'Jul'!$D$27:$AH$266,'Aug'!$D$27:$AH$266,'Sep'!$D$27:$AH$266,'Oct'!$D$27:$AH$266,'Nov'!$D$27:$AH$266,'Dec'!$D$27:$AH$266,'Jan (next year)'!$D$27:$AH$266),27+4*(IFERROR(MATCH(C607,Roster!$B$6:$B$65,0),MATCH(C607,Roster!$C$6:$C$65,0))-1)+MATCH(B607,{"AM","PM","NIGHT","WD"},0)-1-27+1,DAY(A607))&amp;"",""))</f>
        <v/>
      </c>
      <c r="G607" s="123">
        <f>IF(OR(A607="",C607="",B607="",E607=""),"",IFERROR(A607&amp;"|"&amp;(27+4*(IFERROR(MATCH(C607,Roster!$B$6:$B$65,0),MATCH(C607,Roster!$C$6:$C$65,0))-1)+MATCH(B607,{"AM","PM","NIGHT","WD"},0)-1),""))</f>
        <v/>
      </c>
    </row>
    <row r="608">
      <c r="A608" s="122" t="n"/>
      <c r="B608" s="107" t="n"/>
      <c r="C608" s="105" t="n"/>
      <c r="D608" s="92">
        <f>IF(C608="","",IFERROR(INDEX(Roster!$C$6:$C$65,IFERROR(MATCH(C608,Roster!$B$6:$B$65,0),MATCH(C608,Roster!$C$6:$C$65,0))),"not on the Roster"))</f>
        <v/>
      </c>
      <c r="E608" s="106" t="n"/>
      <c r="F608" s="104">
        <f>IF(OR(A608="",C608="",B608=""),"",IFERROR(INDEX(CHOOSE(IF(YEAR(A608)&gt;PlanYear,13,MONTH(A608)),'Jan'!$D$27:$AH$266,'Feb'!$D$27:$AH$266,'Mar'!$D$27:$AH$266,'Apr'!$D$27:$AH$266,'May'!$D$27:$AH$266,'Jun'!$D$27:$AH$266,'Jul'!$D$27:$AH$266,'Aug'!$D$27:$AH$266,'Sep'!$D$27:$AH$266,'Oct'!$D$27:$AH$266,'Nov'!$D$27:$AH$266,'Dec'!$D$27:$AH$266,'Jan (next year)'!$D$27:$AH$266),27+4*(IFERROR(MATCH(C608,Roster!$B$6:$B$65,0),MATCH(C608,Roster!$C$6:$C$65,0))-1)+MATCH(B608,{"AM","PM","NIGHT","WD"},0)-1-27+1,DAY(A608))&amp;"",""))</f>
        <v/>
      </c>
      <c r="G608" s="123">
        <f>IF(OR(A608="",C608="",B608="",E608=""),"",IFERROR(A608&amp;"|"&amp;(27+4*(IFERROR(MATCH(C608,Roster!$B$6:$B$65,0),MATCH(C608,Roster!$C$6:$C$65,0))-1)+MATCH(B608,{"AM","PM","NIGHT","WD"},0)-1),""))</f>
        <v/>
      </c>
    </row>
    <row r="609">
      <c r="A609" s="122" t="n"/>
      <c r="B609" s="107" t="n"/>
      <c r="C609" s="105" t="n"/>
      <c r="D609" s="92">
        <f>IF(C609="","",IFERROR(INDEX(Roster!$C$6:$C$65,IFERROR(MATCH(C609,Roster!$B$6:$B$65,0),MATCH(C609,Roster!$C$6:$C$65,0))),"not on the Roster"))</f>
        <v/>
      </c>
      <c r="E609" s="106" t="n"/>
      <c r="F609" s="104">
        <f>IF(OR(A609="",C609="",B609=""),"",IFERROR(INDEX(CHOOSE(IF(YEAR(A609)&gt;PlanYear,13,MONTH(A609)),'Jan'!$D$27:$AH$266,'Feb'!$D$27:$AH$266,'Mar'!$D$27:$AH$266,'Apr'!$D$27:$AH$266,'May'!$D$27:$AH$266,'Jun'!$D$27:$AH$266,'Jul'!$D$27:$AH$266,'Aug'!$D$27:$AH$266,'Sep'!$D$27:$AH$266,'Oct'!$D$27:$AH$266,'Nov'!$D$27:$AH$266,'Dec'!$D$27:$AH$266,'Jan (next year)'!$D$27:$AH$266),27+4*(IFERROR(MATCH(C609,Roster!$B$6:$B$65,0),MATCH(C609,Roster!$C$6:$C$65,0))-1)+MATCH(B609,{"AM","PM","NIGHT","WD"},0)-1-27+1,DAY(A609))&amp;"",""))</f>
        <v/>
      </c>
      <c r="G609" s="123">
        <f>IF(OR(A609="",C609="",B609="",E609=""),"",IFERROR(A609&amp;"|"&amp;(27+4*(IFERROR(MATCH(C609,Roster!$B$6:$B$65,0),MATCH(C609,Roster!$C$6:$C$65,0))-1)+MATCH(B609,{"AM","PM","NIGHT","WD"},0)-1),""))</f>
        <v/>
      </c>
    </row>
    <row r="610">
      <c r="A610" s="122" t="n"/>
      <c r="B610" s="107" t="n"/>
      <c r="C610" s="105" t="n"/>
      <c r="D610" s="92">
        <f>IF(C610="","",IFERROR(INDEX(Roster!$C$6:$C$65,IFERROR(MATCH(C610,Roster!$B$6:$B$65,0),MATCH(C610,Roster!$C$6:$C$65,0))),"not on the Roster"))</f>
        <v/>
      </c>
      <c r="E610" s="106" t="n"/>
      <c r="F610" s="104">
        <f>IF(OR(A610="",C610="",B610=""),"",IFERROR(INDEX(CHOOSE(IF(YEAR(A610)&gt;PlanYear,13,MONTH(A610)),'Jan'!$D$27:$AH$266,'Feb'!$D$27:$AH$266,'Mar'!$D$27:$AH$266,'Apr'!$D$27:$AH$266,'May'!$D$27:$AH$266,'Jun'!$D$27:$AH$266,'Jul'!$D$27:$AH$266,'Aug'!$D$27:$AH$266,'Sep'!$D$27:$AH$266,'Oct'!$D$27:$AH$266,'Nov'!$D$27:$AH$266,'Dec'!$D$27:$AH$266,'Jan (next year)'!$D$27:$AH$266),27+4*(IFERROR(MATCH(C610,Roster!$B$6:$B$65,0),MATCH(C610,Roster!$C$6:$C$65,0))-1)+MATCH(B610,{"AM","PM","NIGHT","WD"},0)-1-27+1,DAY(A610))&amp;"",""))</f>
        <v/>
      </c>
      <c r="G610" s="123">
        <f>IF(OR(A610="",C610="",B610="",E610=""),"",IFERROR(A610&amp;"|"&amp;(27+4*(IFERROR(MATCH(C610,Roster!$B$6:$B$65,0),MATCH(C610,Roster!$C$6:$C$65,0))-1)+MATCH(B610,{"AM","PM","NIGHT","WD"},0)-1),""))</f>
        <v/>
      </c>
    </row>
    <row r="611">
      <c r="A611" s="122" t="n"/>
      <c r="B611" s="107" t="n"/>
      <c r="C611" s="105" t="n"/>
      <c r="D611" s="92">
        <f>IF(C611="","",IFERROR(INDEX(Roster!$C$6:$C$65,IFERROR(MATCH(C611,Roster!$B$6:$B$65,0),MATCH(C611,Roster!$C$6:$C$65,0))),"not on the Roster"))</f>
        <v/>
      </c>
      <c r="E611" s="106" t="n"/>
      <c r="F611" s="104">
        <f>IF(OR(A611="",C611="",B611=""),"",IFERROR(INDEX(CHOOSE(IF(YEAR(A611)&gt;PlanYear,13,MONTH(A611)),'Jan'!$D$27:$AH$266,'Feb'!$D$27:$AH$266,'Mar'!$D$27:$AH$266,'Apr'!$D$27:$AH$266,'May'!$D$27:$AH$266,'Jun'!$D$27:$AH$266,'Jul'!$D$27:$AH$266,'Aug'!$D$27:$AH$266,'Sep'!$D$27:$AH$266,'Oct'!$D$27:$AH$266,'Nov'!$D$27:$AH$266,'Dec'!$D$27:$AH$266,'Jan (next year)'!$D$27:$AH$266),27+4*(IFERROR(MATCH(C611,Roster!$B$6:$B$65,0),MATCH(C611,Roster!$C$6:$C$65,0))-1)+MATCH(B611,{"AM","PM","NIGHT","WD"},0)-1-27+1,DAY(A611))&amp;"",""))</f>
        <v/>
      </c>
      <c r="G611" s="123">
        <f>IF(OR(A611="",C611="",B611="",E611=""),"",IFERROR(A611&amp;"|"&amp;(27+4*(IFERROR(MATCH(C611,Roster!$B$6:$B$65,0),MATCH(C611,Roster!$C$6:$C$65,0))-1)+MATCH(B611,{"AM","PM","NIGHT","WD"},0)-1),""))</f>
        <v/>
      </c>
    </row>
    <row r="612">
      <c r="A612" s="122" t="n"/>
      <c r="B612" s="107" t="n"/>
      <c r="C612" s="105" t="n"/>
      <c r="D612" s="92">
        <f>IF(C612="","",IFERROR(INDEX(Roster!$C$6:$C$65,IFERROR(MATCH(C612,Roster!$B$6:$B$65,0),MATCH(C612,Roster!$C$6:$C$65,0))),"not on the Roster"))</f>
        <v/>
      </c>
      <c r="E612" s="106" t="n"/>
      <c r="F612" s="104">
        <f>IF(OR(A612="",C612="",B612=""),"",IFERROR(INDEX(CHOOSE(IF(YEAR(A612)&gt;PlanYear,13,MONTH(A612)),'Jan'!$D$27:$AH$266,'Feb'!$D$27:$AH$266,'Mar'!$D$27:$AH$266,'Apr'!$D$27:$AH$266,'May'!$D$27:$AH$266,'Jun'!$D$27:$AH$266,'Jul'!$D$27:$AH$266,'Aug'!$D$27:$AH$266,'Sep'!$D$27:$AH$266,'Oct'!$D$27:$AH$266,'Nov'!$D$27:$AH$266,'Dec'!$D$27:$AH$266,'Jan (next year)'!$D$27:$AH$266),27+4*(IFERROR(MATCH(C612,Roster!$B$6:$B$65,0),MATCH(C612,Roster!$C$6:$C$65,0))-1)+MATCH(B612,{"AM","PM","NIGHT","WD"},0)-1-27+1,DAY(A612))&amp;"",""))</f>
        <v/>
      </c>
      <c r="G612" s="123">
        <f>IF(OR(A612="",C612="",B612="",E612=""),"",IFERROR(A612&amp;"|"&amp;(27+4*(IFERROR(MATCH(C612,Roster!$B$6:$B$65,0),MATCH(C612,Roster!$C$6:$C$65,0))-1)+MATCH(B612,{"AM","PM","NIGHT","WD"},0)-1),""))</f>
        <v/>
      </c>
    </row>
    <row r="613">
      <c r="A613" s="122" t="n"/>
      <c r="B613" s="107" t="n"/>
      <c r="C613" s="105" t="n"/>
      <c r="D613" s="92">
        <f>IF(C613="","",IFERROR(INDEX(Roster!$C$6:$C$65,IFERROR(MATCH(C613,Roster!$B$6:$B$65,0),MATCH(C613,Roster!$C$6:$C$65,0))),"not on the Roster"))</f>
        <v/>
      </c>
      <c r="E613" s="106" t="n"/>
      <c r="F613" s="104">
        <f>IF(OR(A613="",C613="",B613=""),"",IFERROR(INDEX(CHOOSE(IF(YEAR(A613)&gt;PlanYear,13,MONTH(A613)),'Jan'!$D$27:$AH$266,'Feb'!$D$27:$AH$266,'Mar'!$D$27:$AH$266,'Apr'!$D$27:$AH$266,'May'!$D$27:$AH$266,'Jun'!$D$27:$AH$266,'Jul'!$D$27:$AH$266,'Aug'!$D$27:$AH$266,'Sep'!$D$27:$AH$266,'Oct'!$D$27:$AH$266,'Nov'!$D$27:$AH$266,'Dec'!$D$27:$AH$266,'Jan (next year)'!$D$27:$AH$266),27+4*(IFERROR(MATCH(C613,Roster!$B$6:$B$65,0),MATCH(C613,Roster!$C$6:$C$65,0))-1)+MATCH(B613,{"AM","PM","NIGHT","WD"},0)-1-27+1,DAY(A613))&amp;"",""))</f>
        <v/>
      </c>
      <c r="G613" s="123">
        <f>IF(OR(A613="",C613="",B613="",E613=""),"",IFERROR(A613&amp;"|"&amp;(27+4*(IFERROR(MATCH(C613,Roster!$B$6:$B$65,0),MATCH(C613,Roster!$C$6:$C$65,0))-1)+MATCH(B613,{"AM","PM","NIGHT","WD"},0)-1),""))</f>
        <v/>
      </c>
    </row>
    <row r="614">
      <c r="A614" s="122" t="n"/>
      <c r="B614" s="107" t="n"/>
      <c r="C614" s="105" t="n"/>
      <c r="D614" s="92">
        <f>IF(C614="","",IFERROR(INDEX(Roster!$C$6:$C$65,IFERROR(MATCH(C614,Roster!$B$6:$B$65,0),MATCH(C614,Roster!$C$6:$C$65,0))),"not on the Roster"))</f>
        <v/>
      </c>
      <c r="E614" s="106" t="n"/>
      <c r="F614" s="104">
        <f>IF(OR(A614="",C614="",B614=""),"",IFERROR(INDEX(CHOOSE(IF(YEAR(A614)&gt;PlanYear,13,MONTH(A614)),'Jan'!$D$27:$AH$266,'Feb'!$D$27:$AH$266,'Mar'!$D$27:$AH$266,'Apr'!$D$27:$AH$266,'May'!$D$27:$AH$266,'Jun'!$D$27:$AH$266,'Jul'!$D$27:$AH$266,'Aug'!$D$27:$AH$266,'Sep'!$D$27:$AH$266,'Oct'!$D$27:$AH$266,'Nov'!$D$27:$AH$266,'Dec'!$D$27:$AH$266,'Jan (next year)'!$D$27:$AH$266),27+4*(IFERROR(MATCH(C614,Roster!$B$6:$B$65,0),MATCH(C614,Roster!$C$6:$C$65,0))-1)+MATCH(B614,{"AM","PM","NIGHT","WD"},0)-1-27+1,DAY(A614))&amp;"",""))</f>
        <v/>
      </c>
      <c r="G614" s="123">
        <f>IF(OR(A614="",C614="",B614="",E614=""),"",IFERROR(A614&amp;"|"&amp;(27+4*(IFERROR(MATCH(C614,Roster!$B$6:$B$65,0),MATCH(C614,Roster!$C$6:$C$65,0))-1)+MATCH(B614,{"AM","PM","NIGHT","WD"},0)-1),""))</f>
        <v/>
      </c>
    </row>
    <row r="615">
      <c r="A615" s="122" t="n"/>
      <c r="B615" s="107" t="n"/>
      <c r="C615" s="105" t="n"/>
      <c r="D615" s="92">
        <f>IF(C615="","",IFERROR(INDEX(Roster!$C$6:$C$65,IFERROR(MATCH(C615,Roster!$B$6:$B$65,0),MATCH(C615,Roster!$C$6:$C$65,0))),"not on the Roster"))</f>
        <v/>
      </c>
      <c r="E615" s="106" t="n"/>
      <c r="F615" s="104">
        <f>IF(OR(A615="",C615="",B615=""),"",IFERROR(INDEX(CHOOSE(IF(YEAR(A615)&gt;PlanYear,13,MONTH(A615)),'Jan'!$D$27:$AH$266,'Feb'!$D$27:$AH$266,'Mar'!$D$27:$AH$266,'Apr'!$D$27:$AH$266,'May'!$D$27:$AH$266,'Jun'!$D$27:$AH$266,'Jul'!$D$27:$AH$266,'Aug'!$D$27:$AH$266,'Sep'!$D$27:$AH$266,'Oct'!$D$27:$AH$266,'Nov'!$D$27:$AH$266,'Dec'!$D$27:$AH$266,'Jan (next year)'!$D$27:$AH$266),27+4*(IFERROR(MATCH(C615,Roster!$B$6:$B$65,0),MATCH(C615,Roster!$C$6:$C$65,0))-1)+MATCH(B615,{"AM","PM","NIGHT","WD"},0)-1-27+1,DAY(A615))&amp;"",""))</f>
        <v/>
      </c>
      <c r="G615" s="123">
        <f>IF(OR(A615="",C615="",B615="",E615=""),"",IFERROR(A615&amp;"|"&amp;(27+4*(IFERROR(MATCH(C615,Roster!$B$6:$B$65,0),MATCH(C615,Roster!$C$6:$C$65,0))-1)+MATCH(B615,{"AM","PM","NIGHT","WD"},0)-1),""))</f>
        <v/>
      </c>
    </row>
    <row r="616">
      <c r="A616" s="122" t="n"/>
      <c r="B616" s="107" t="n"/>
      <c r="C616" s="105" t="n"/>
      <c r="D616" s="92">
        <f>IF(C616="","",IFERROR(INDEX(Roster!$C$6:$C$65,IFERROR(MATCH(C616,Roster!$B$6:$B$65,0),MATCH(C616,Roster!$C$6:$C$65,0))),"not on the Roster"))</f>
        <v/>
      </c>
      <c r="E616" s="106" t="n"/>
      <c r="F616" s="104">
        <f>IF(OR(A616="",C616="",B616=""),"",IFERROR(INDEX(CHOOSE(IF(YEAR(A616)&gt;PlanYear,13,MONTH(A616)),'Jan'!$D$27:$AH$266,'Feb'!$D$27:$AH$266,'Mar'!$D$27:$AH$266,'Apr'!$D$27:$AH$266,'May'!$D$27:$AH$266,'Jun'!$D$27:$AH$266,'Jul'!$D$27:$AH$266,'Aug'!$D$27:$AH$266,'Sep'!$D$27:$AH$266,'Oct'!$D$27:$AH$266,'Nov'!$D$27:$AH$266,'Dec'!$D$27:$AH$266,'Jan (next year)'!$D$27:$AH$266),27+4*(IFERROR(MATCH(C616,Roster!$B$6:$B$65,0),MATCH(C616,Roster!$C$6:$C$65,0))-1)+MATCH(B616,{"AM","PM","NIGHT","WD"},0)-1-27+1,DAY(A616))&amp;"",""))</f>
        <v/>
      </c>
      <c r="G616" s="123">
        <f>IF(OR(A616="",C616="",B616="",E616=""),"",IFERROR(A616&amp;"|"&amp;(27+4*(IFERROR(MATCH(C616,Roster!$B$6:$B$65,0),MATCH(C616,Roster!$C$6:$C$65,0))-1)+MATCH(B616,{"AM","PM","NIGHT","WD"},0)-1),""))</f>
        <v/>
      </c>
    </row>
    <row r="617">
      <c r="A617" s="122" t="n"/>
      <c r="B617" s="107" t="n"/>
      <c r="C617" s="105" t="n"/>
      <c r="D617" s="92">
        <f>IF(C617="","",IFERROR(INDEX(Roster!$C$6:$C$65,IFERROR(MATCH(C617,Roster!$B$6:$B$65,0),MATCH(C617,Roster!$C$6:$C$65,0))),"not on the Roster"))</f>
        <v/>
      </c>
      <c r="E617" s="106" t="n"/>
      <c r="F617" s="104">
        <f>IF(OR(A617="",C617="",B617=""),"",IFERROR(INDEX(CHOOSE(IF(YEAR(A617)&gt;PlanYear,13,MONTH(A617)),'Jan'!$D$27:$AH$266,'Feb'!$D$27:$AH$266,'Mar'!$D$27:$AH$266,'Apr'!$D$27:$AH$266,'May'!$D$27:$AH$266,'Jun'!$D$27:$AH$266,'Jul'!$D$27:$AH$266,'Aug'!$D$27:$AH$266,'Sep'!$D$27:$AH$266,'Oct'!$D$27:$AH$266,'Nov'!$D$27:$AH$266,'Dec'!$D$27:$AH$266,'Jan (next year)'!$D$27:$AH$266),27+4*(IFERROR(MATCH(C617,Roster!$B$6:$B$65,0),MATCH(C617,Roster!$C$6:$C$65,0))-1)+MATCH(B617,{"AM","PM","NIGHT","WD"},0)-1-27+1,DAY(A617))&amp;"",""))</f>
        <v/>
      </c>
      <c r="G617" s="123">
        <f>IF(OR(A617="",C617="",B617="",E617=""),"",IFERROR(A617&amp;"|"&amp;(27+4*(IFERROR(MATCH(C617,Roster!$B$6:$B$65,0),MATCH(C617,Roster!$C$6:$C$65,0))-1)+MATCH(B617,{"AM","PM","NIGHT","WD"},0)-1),""))</f>
        <v/>
      </c>
    </row>
    <row r="618">
      <c r="A618" s="122" t="n"/>
      <c r="B618" s="107" t="n"/>
      <c r="C618" s="105" t="n"/>
      <c r="D618" s="92">
        <f>IF(C618="","",IFERROR(INDEX(Roster!$C$6:$C$65,IFERROR(MATCH(C618,Roster!$B$6:$B$65,0),MATCH(C618,Roster!$C$6:$C$65,0))),"not on the Roster"))</f>
        <v/>
      </c>
      <c r="E618" s="106" t="n"/>
      <c r="F618" s="104">
        <f>IF(OR(A618="",C618="",B618=""),"",IFERROR(INDEX(CHOOSE(IF(YEAR(A618)&gt;PlanYear,13,MONTH(A618)),'Jan'!$D$27:$AH$266,'Feb'!$D$27:$AH$266,'Mar'!$D$27:$AH$266,'Apr'!$D$27:$AH$266,'May'!$D$27:$AH$266,'Jun'!$D$27:$AH$266,'Jul'!$D$27:$AH$266,'Aug'!$D$27:$AH$266,'Sep'!$D$27:$AH$266,'Oct'!$D$27:$AH$266,'Nov'!$D$27:$AH$266,'Dec'!$D$27:$AH$266,'Jan (next year)'!$D$27:$AH$266),27+4*(IFERROR(MATCH(C618,Roster!$B$6:$B$65,0),MATCH(C618,Roster!$C$6:$C$65,0))-1)+MATCH(B618,{"AM","PM","NIGHT","WD"},0)-1-27+1,DAY(A618))&amp;"",""))</f>
        <v/>
      </c>
      <c r="G618" s="123">
        <f>IF(OR(A618="",C618="",B618="",E618=""),"",IFERROR(A618&amp;"|"&amp;(27+4*(IFERROR(MATCH(C618,Roster!$B$6:$B$65,0),MATCH(C618,Roster!$C$6:$C$65,0))-1)+MATCH(B618,{"AM","PM","NIGHT","WD"},0)-1),""))</f>
        <v/>
      </c>
    </row>
    <row r="619">
      <c r="A619" s="122" t="n"/>
      <c r="B619" s="107" t="n"/>
      <c r="C619" s="105" t="n"/>
      <c r="D619" s="92">
        <f>IF(C619="","",IFERROR(INDEX(Roster!$C$6:$C$65,IFERROR(MATCH(C619,Roster!$B$6:$B$65,0),MATCH(C619,Roster!$C$6:$C$65,0))),"not on the Roster"))</f>
        <v/>
      </c>
      <c r="E619" s="106" t="n"/>
      <c r="F619" s="104">
        <f>IF(OR(A619="",C619="",B619=""),"",IFERROR(INDEX(CHOOSE(IF(YEAR(A619)&gt;PlanYear,13,MONTH(A619)),'Jan'!$D$27:$AH$266,'Feb'!$D$27:$AH$266,'Mar'!$D$27:$AH$266,'Apr'!$D$27:$AH$266,'May'!$D$27:$AH$266,'Jun'!$D$27:$AH$266,'Jul'!$D$27:$AH$266,'Aug'!$D$27:$AH$266,'Sep'!$D$27:$AH$266,'Oct'!$D$27:$AH$266,'Nov'!$D$27:$AH$266,'Dec'!$D$27:$AH$266,'Jan (next year)'!$D$27:$AH$266),27+4*(IFERROR(MATCH(C619,Roster!$B$6:$B$65,0),MATCH(C619,Roster!$C$6:$C$65,0))-1)+MATCH(B619,{"AM","PM","NIGHT","WD"},0)-1-27+1,DAY(A619))&amp;"",""))</f>
        <v/>
      </c>
      <c r="G619" s="123">
        <f>IF(OR(A619="",C619="",B619="",E619=""),"",IFERROR(A619&amp;"|"&amp;(27+4*(IFERROR(MATCH(C619,Roster!$B$6:$B$65,0),MATCH(C619,Roster!$C$6:$C$65,0))-1)+MATCH(B619,{"AM","PM","NIGHT","WD"},0)-1),""))</f>
        <v/>
      </c>
    </row>
    <row r="620">
      <c r="A620" s="122" t="n"/>
      <c r="B620" s="107" t="n"/>
      <c r="C620" s="105" t="n"/>
      <c r="D620" s="92">
        <f>IF(C620="","",IFERROR(INDEX(Roster!$C$6:$C$65,IFERROR(MATCH(C620,Roster!$B$6:$B$65,0),MATCH(C620,Roster!$C$6:$C$65,0))),"not on the Roster"))</f>
        <v/>
      </c>
      <c r="E620" s="106" t="n"/>
      <c r="F620" s="104">
        <f>IF(OR(A620="",C620="",B620=""),"",IFERROR(INDEX(CHOOSE(IF(YEAR(A620)&gt;PlanYear,13,MONTH(A620)),'Jan'!$D$27:$AH$266,'Feb'!$D$27:$AH$266,'Mar'!$D$27:$AH$266,'Apr'!$D$27:$AH$266,'May'!$D$27:$AH$266,'Jun'!$D$27:$AH$266,'Jul'!$D$27:$AH$266,'Aug'!$D$27:$AH$266,'Sep'!$D$27:$AH$266,'Oct'!$D$27:$AH$266,'Nov'!$D$27:$AH$266,'Dec'!$D$27:$AH$266,'Jan (next year)'!$D$27:$AH$266),27+4*(IFERROR(MATCH(C620,Roster!$B$6:$B$65,0),MATCH(C620,Roster!$C$6:$C$65,0))-1)+MATCH(B620,{"AM","PM","NIGHT","WD"},0)-1-27+1,DAY(A620))&amp;"",""))</f>
        <v/>
      </c>
      <c r="G620" s="123">
        <f>IF(OR(A620="",C620="",B620="",E620=""),"",IFERROR(A620&amp;"|"&amp;(27+4*(IFERROR(MATCH(C620,Roster!$B$6:$B$65,0),MATCH(C620,Roster!$C$6:$C$65,0))-1)+MATCH(B620,{"AM","PM","NIGHT","WD"},0)-1),""))</f>
        <v/>
      </c>
    </row>
    <row r="621">
      <c r="A621" s="122" t="n"/>
      <c r="B621" s="107" t="n"/>
      <c r="C621" s="105" t="n"/>
      <c r="D621" s="92">
        <f>IF(C621="","",IFERROR(INDEX(Roster!$C$6:$C$65,IFERROR(MATCH(C621,Roster!$B$6:$B$65,0),MATCH(C621,Roster!$C$6:$C$65,0))),"not on the Roster"))</f>
        <v/>
      </c>
      <c r="E621" s="106" t="n"/>
      <c r="F621" s="104">
        <f>IF(OR(A621="",C621="",B621=""),"",IFERROR(INDEX(CHOOSE(IF(YEAR(A621)&gt;PlanYear,13,MONTH(A621)),'Jan'!$D$27:$AH$266,'Feb'!$D$27:$AH$266,'Mar'!$D$27:$AH$266,'Apr'!$D$27:$AH$266,'May'!$D$27:$AH$266,'Jun'!$D$27:$AH$266,'Jul'!$D$27:$AH$266,'Aug'!$D$27:$AH$266,'Sep'!$D$27:$AH$266,'Oct'!$D$27:$AH$266,'Nov'!$D$27:$AH$266,'Dec'!$D$27:$AH$266,'Jan (next year)'!$D$27:$AH$266),27+4*(IFERROR(MATCH(C621,Roster!$B$6:$B$65,0),MATCH(C621,Roster!$C$6:$C$65,0))-1)+MATCH(B621,{"AM","PM","NIGHT","WD"},0)-1-27+1,DAY(A621))&amp;"",""))</f>
        <v/>
      </c>
      <c r="G621" s="123">
        <f>IF(OR(A621="",C621="",B621="",E621=""),"",IFERROR(A621&amp;"|"&amp;(27+4*(IFERROR(MATCH(C621,Roster!$B$6:$B$65,0),MATCH(C621,Roster!$C$6:$C$65,0))-1)+MATCH(B621,{"AM","PM","NIGHT","WD"},0)-1),""))</f>
        <v/>
      </c>
    </row>
    <row r="622">
      <c r="A622" s="122" t="n"/>
      <c r="B622" s="107" t="n"/>
      <c r="C622" s="105" t="n"/>
      <c r="D622" s="92">
        <f>IF(C622="","",IFERROR(INDEX(Roster!$C$6:$C$65,IFERROR(MATCH(C622,Roster!$B$6:$B$65,0),MATCH(C622,Roster!$C$6:$C$65,0))),"not on the Roster"))</f>
        <v/>
      </c>
      <c r="E622" s="106" t="n"/>
      <c r="F622" s="104">
        <f>IF(OR(A622="",C622="",B622=""),"",IFERROR(INDEX(CHOOSE(IF(YEAR(A622)&gt;PlanYear,13,MONTH(A622)),'Jan'!$D$27:$AH$266,'Feb'!$D$27:$AH$266,'Mar'!$D$27:$AH$266,'Apr'!$D$27:$AH$266,'May'!$D$27:$AH$266,'Jun'!$D$27:$AH$266,'Jul'!$D$27:$AH$266,'Aug'!$D$27:$AH$266,'Sep'!$D$27:$AH$266,'Oct'!$D$27:$AH$266,'Nov'!$D$27:$AH$266,'Dec'!$D$27:$AH$266,'Jan (next year)'!$D$27:$AH$266),27+4*(IFERROR(MATCH(C622,Roster!$B$6:$B$65,0),MATCH(C622,Roster!$C$6:$C$65,0))-1)+MATCH(B622,{"AM","PM","NIGHT","WD"},0)-1-27+1,DAY(A622))&amp;"",""))</f>
        <v/>
      </c>
      <c r="G622" s="123">
        <f>IF(OR(A622="",C622="",B622="",E622=""),"",IFERROR(A622&amp;"|"&amp;(27+4*(IFERROR(MATCH(C622,Roster!$B$6:$B$65,0),MATCH(C622,Roster!$C$6:$C$65,0))-1)+MATCH(B622,{"AM","PM","NIGHT","WD"},0)-1),""))</f>
        <v/>
      </c>
    </row>
    <row r="623">
      <c r="A623" s="122" t="n"/>
      <c r="B623" s="107" t="n"/>
      <c r="C623" s="105" t="n"/>
      <c r="D623" s="92">
        <f>IF(C623="","",IFERROR(INDEX(Roster!$C$6:$C$65,IFERROR(MATCH(C623,Roster!$B$6:$B$65,0),MATCH(C623,Roster!$C$6:$C$65,0))),"not on the Roster"))</f>
        <v/>
      </c>
      <c r="E623" s="106" t="n"/>
      <c r="F623" s="104">
        <f>IF(OR(A623="",C623="",B623=""),"",IFERROR(INDEX(CHOOSE(IF(YEAR(A623)&gt;PlanYear,13,MONTH(A623)),'Jan'!$D$27:$AH$266,'Feb'!$D$27:$AH$266,'Mar'!$D$27:$AH$266,'Apr'!$D$27:$AH$266,'May'!$D$27:$AH$266,'Jun'!$D$27:$AH$266,'Jul'!$D$27:$AH$266,'Aug'!$D$27:$AH$266,'Sep'!$D$27:$AH$266,'Oct'!$D$27:$AH$266,'Nov'!$D$27:$AH$266,'Dec'!$D$27:$AH$266,'Jan (next year)'!$D$27:$AH$266),27+4*(IFERROR(MATCH(C623,Roster!$B$6:$B$65,0),MATCH(C623,Roster!$C$6:$C$65,0))-1)+MATCH(B623,{"AM","PM","NIGHT","WD"},0)-1-27+1,DAY(A623))&amp;"",""))</f>
        <v/>
      </c>
      <c r="G623" s="123">
        <f>IF(OR(A623="",C623="",B623="",E623=""),"",IFERROR(A623&amp;"|"&amp;(27+4*(IFERROR(MATCH(C623,Roster!$B$6:$B$65,0),MATCH(C623,Roster!$C$6:$C$65,0))-1)+MATCH(B623,{"AM","PM","NIGHT","WD"},0)-1),""))</f>
        <v/>
      </c>
    </row>
    <row r="624">
      <c r="A624" s="122" t="n"/>
      <c r="B624" s="107" t="n"/>
      <c r="C624" s="105" t="n"/>
      <c r="D624" s="92">
        <f>IF(C624="","",IFERROR(INDEX(Roster!$C$6:$C$65,IFERROR(MATCH(C624,Roster!$B$6:$B$65,0),MATCH(C624,Roster!$C$6:$C$65,0))),"not on the Roster"))</f>
        <v/>
      </c>
      <c r="E624" s="106" t="n"/>
      <c r="F624" s="104">
        <f>IF(OR(A624="",C624="",B624=""),"",IFERROR(INDEX(CHOOSE(IF(YEAR(A624)&gt;PlanYear,13,MONTH(A624)),'Jan'!$D$27:$AH$266,'Feb'!$D$27:$AH$266,'Mar'!$D$27:$AH$266,'Apr'!$D$27:$AH$266,'May'!$D$27:$AH$266,'Jun'!$D$27:$AH$266,'Jul'!$D$27:$AH$266,'Aug'!$D$27:$AH$266,'Sep'!$D$27:$AH$266,'Oct'!$D$27:$AH$266,'Nov'!$D$27:$AH$266,'Dec'!$D$27:$AH$266,'Jan (next year)'!$D$27:$AH$266),27+4*(IFERROR(MATCH(C624,Roster!$B$6:$B$65,0),MATCH(C624,Roster!$C$6:$C$65,0))-1)+MATCH(B624,{"AM","PM","NIGHT","WD"},0)-1-27+1,DAY(A624))&amp;"",""))</f>
        <v/>
      </c>
      <c r="G624" s="123">
        <f>IF(OR(A624="",C624="",B624="",E624=""),"",IFERROR(A624&amp;"|"&amp;(27+4*(IFERROR(MATCH(C624,Roster!$B$6:$B$65,0),MATCH(C624,Roster!$C$6:$C$65,0))-1)+MATCH(B624,{"AM","PM","NIGHT","WD"},0)-1),""))</f>
        <v/>
      </c>
    </row>
    <row r="625">
      <c r="A625" s="122" t="n"/>
      <c r="B625" s="107" t="n"/>
      <c r="C625" s="105" t="n"/>
      <c r="D625" s="92">
        <f>IF(C625="","",IFERROR(INDEX(Roster!$C$6:$C$65,IFERROR(MATCH(C625,Roster!$B$6:$B$65,0),MATCH(C625,Roster!$C$6:$C$65,0))),"not on the Roster"))</f>
        <v/>
      </c>
      <c r="E625" s="106" t="n"/>
      <c r="F625" s="104">
        <f>IF(OR(A625="",C625="",B625=""),"",IFERROR(INDEX(CHOOSE(IF(YEAR(A625)&gt;PlanYear,13,MONTH(A625)),'Jan'!$D$27:$AH$266,'Feb'!$D$27:$AH$266,'Mar'!$D$27:$AH$266,'Apr'!$D$27:$AH$266,'May'!$D$27:$AH$266,'Jun'!$D$27:$AH$266,'Jul'!$D$27:$AH$266,'Aug'!$D$27:$AH$266,'Sep'!$D$27:$AH$266,'Oct'!$D$27:$AH$266,'Nov'!$D$27:$AH$266,'Dec'!$D$27:$AH$266,'Jan (next year)'!$D$27:$AH$266),27+4*(IFERROR(MATCH(C625,Roster!$B$6:$B$65,0),MATCH(C625,Roster!$C$6:$C$65,0))-1)+MATCH(B625,{"AM","PM","NIGHT","WD"},0)-1-27+1,DAY(A625))&amp;"",""))</f>
        <v/>
      </c>
      <c r="G625" s="123">
        <f>IF(OR(A625="",C625="",B625="",E625=""),"",IFERROR(A625&amp;"|"&amp;(27+4*(IFERROR(MATCH(C625,Roster!$B$6:$B$65,0),MATCH(C625,Roster!$C$6:$C$65,0))-1)+MATCH(B625,{"AM","PM","NIGHT","WD"},0)-1),""))</f>
        <v/>
      </c>
    </row>
    <row r="626">
      <c r="A626" s="122" t="n"/>
      <c r="B626" s="107" t="n"/>
      <c r="C626" s="105" t="n"/>
      <c r="D626" s="92">
        <f>IF(C626="","",IFERROR(INDEX(Roster!$C$6:$C$65,IFERROR(MATCH(C626,Roster!$B$6:$B$65,0),MATCH(C626,Roster!$C$6:$C$65,0))),"not on the Roster"))</f>
        <v/>
      </c>
      <c r="E626" s="106" t="n"/>
      <c r="F626" s="104">
        <f>IF(OR(A626="",C626="",B626=""),"",IFERROR(INDEX(CHOOSE(IF(YEAR(A626)&gt;PlanYear,13,MONTH(A626)),'Jan'!$D$27:$AH$266,'Feb'!$D$27:$AH$266,'Mar'!$D$27:$AH$266,'Apr'!$D$27:$AH$266,'May'!$D$27:$AH$266,'Jun'!$D$27:$AH$266,'Jul'!$D$27:$AH$266,'Aug'!$D$27:$AH$266,'Sep'!$D$27:$AH$266,'Oct'!$D$27:$AH$266,'Nov'!$D$27:$AH$266,'Dec'!$D$27:$AH$266,'Jan (next year)'!$D$27:$AH$266),27+4*(IFERROR(MATCH(C626,Roster!$B$6:$B$65,0),MATCH(C626,Roster!$C$6:$C$65,0))-1)+MATCH(B626,{"AM","PM","NIGHT","WD"},0)-1-27+1,DAY(A626))&amp;"",""))</f>
        <v/>
      </c>
      <c r="G626" s="123">
        <f>IF(OR(A626="",C626="",B626="",E626=""),"",IFERROR(A626&amp;"|"&amp;(27+4*(IFERROR(MATCH(C626,Roster!$B$6:$B$65,0),MATCH(C626,Roster!$C$6:$C$65,0))-1)+MATCH(B626,{"AM","PM","NIGHT","WD"},0)-1),""))</f>
        <v/>
      </c>
    </row>
    <row r="627">
      <c r="A627" s="122" t="n"/>
      <c r="B627" s="107" t="n"/>
      <c r="C627" s="105" t="n"/>
      <c r="D627" s="92">
        <f>IF(C627="","",IFERROR(INDEX(Roster!$C$6:$C$65,IFERROR(MATCH(C627,Roster!$B$6:$B$65,0),MATCH(C627,Roster!$C$6:$C$65,0))),"not on the Roster"))</f>
        <v/>
      </c>
      <c r="E627" s="106" t="n"/>
      <c r="F627" s="104">
        <f>IF(OR(A627="",C627="",B627=""),"",IFERROR(INDEX(CHOOSE(IF(YEAR(A627)&gt;PlanYear,13,MONTH(A627)),'Jan'!$D$27:$AH$266,'Feb'!$D$27:$AH$266,'Mar'!$D$27:$AH$266,'Apr'!$D$27:$AH$266,'May'!$D$27:$AH$266,'Jun'!$D$27:$AH$266,'Jul'!$D$27:$AH$266,'Aug'!$D$27:$AH$266,'Sep'!$D$27:$AH$266,'Oct'!$D$27:$AH$266,'Nov'!$D$27:$AH$266,'Dec'!$D$27:$AH$266,'Jan (next year)'!$D$27:$AH$266),27+4*(IFERROR(MATCH(C627,Roster!$B$6:$B$65,0),MATCH(C627,Roster!$C$6:$C$65,0))-1)+MATCH(B627,{"AM","PM","NIGHT","WD"},0)-1-27+1,DAY(A627))&amp;"",""))</f>
        <v/>
      </c>
      <c r="G627" s="123">
        <f>IF(OR(A627="",C627="",B627="",E627=""),"",IFERROR(A627&amp;"|"&amp;(27+4*(IFERROR(MATCH(C627,Roster!$B$6:$B$65,0),MATCH(C627,Roster!$C$6:$C$65,0))-1)+MATCH(B627,{"AM","PM","NIGHT","WD"},0)-1),""))</f>
        <v/>
      </c>
    </row>
    <row r="628">
      <c r="A628" s="122" t="n"/>
      <c r="B628" s="107" t="n"/>
      <c r="C628" s="105" t="n"/>
      <c r="D628" s="92">
        <f>IF(C628="","",IFERROR(INDEX(Roster!$C$6:$C$65,IFERROR(MATCH(C628,Roster!$B$6:$B$65,0),MATCH(C628,Roster!$C$6:$C$65,0))),"not on the Roster"))</f>
        <v/>
      </c>
      <c r="E628" s="106" t="n"/>
      <c r="F628" s="104">
        <f>IF(OR(A628="",C628="",B628=""),"",IFERROR(INDEX(CHOOSE(IF(YEAR(A628)&gt;PlanYear,13,MONTH(A628)),'Jan'!$D$27:$AH$266,'Feb'!$D$27:$AH$266,'Mar'!$D$27:$AH$266,'Apr'!$D$27:$AH$266,'May'!$D$27:$AH$266,'Jun'!$D$27:$AH$266,'Jul'!$D$27:$AH$266,'Aug'!$D$27:$AH$266,'Sep'!$D$27:$AH$266,'Oct'!$D$27:$AH$266,'Nov'!$D$27:$AH$266,'Dec'!$D$27:$AH$266,'Jan (next year)'!$D$27:$AH$266),27+4*(IFERROR(MATCH(C628,Roster!$B$6:$B$65,0),MATCH(C628,Roster!$C$6:$C$65,0))-1)+MATCH(B628,{"AM","PM","NIGHT","WD"},0)-1-27+1,DAY(A628))&amp;"",""))</f>
        <v/>
      </c>
      <c r="G628" s="123">
        <f>IF(OR(A628="",C628="",B628="",E628=""),"",IFERROR(A628&amp;"|"&amp;(27+4*(IFERROR(MATCH(C628,Roster!$B$6:$B$65,0),MATCH(C628,Roster!$C$6:$C$65,0))-1)+MATCH(B628,{"AM","PM","NIGHT","WD"},0)-1),""))</f>
        <v/>
      </c>
    </row>
    <row r="629">
      <c r="A629" s="122" t="n"/>
      <c r="B629" s="107" t="n"/>
      <c r="C629" s="105" t="n"/>
      <c r="D629" s="92">
        <f>IF(C629="","",IFERROR(INDEX(Roster!$C$6:$C$65,IFERROR(MATCH(C629,Roster!$B$6:$B$65,0),MATCH(C629,Roster!$C$6:$C$65,0))),"not on the Roster"))</f>
        <v/>
      </c>
      <c r="E629" s="106" t="n"/>
      <c r="F629" s="104">
        <f>IF(OR(A629="",C629="",B629=""),"",IFERROR(INDEX(CHOOSE(IF(YEAR(A629)&gt;PlanYear,13,MONTH(A629)),'Jan'!$D$27:$AH$266,'Feb'!$D$27:$AH$266,'Mar'!$D$27:$AH$266,'Apr'!$D$27:$AH$266,'May'!$D$27:$AH$266,'Jun'!$D$27:$AH$266,'Jul'!$D$27:$AH$266,'Aug'!$D$27:$AH$266,'Sep'!$D$27:$AH$266,'Oct'!$D$27:$AH$266,'Nov'!$D$27:$AH$266,'Dec'!$D$27:$AH$266,'Jan (next year)'!$D$27:$AH$266),27+4*(IFERROR(MATCH(C629,Roster!$B$6:$B$65,0),MATCH(C629,Roster!$C$6:$C$65,0))-1)+MATCH(B629,{"AM","PM","NIGHT","WD"},0)-1-27+1,DAY(A629))&amp;"",""))</f>
        <v/>
      </c>
      <c r="G629" s="123">
        <f>IF(OR(A629="",C629="",B629="",E629=""),"",IFERROR(A629&amp;"|"&amp;(27+4*(IFERROR(MATCH(C629,Roster!$B$6:$B$65,0),MATCH(C629,Roster!$C$6:$C$65,0))-1)+MATCH(B629,{"AM","PM","NIGHT","WD"},0)-1),""))</f>
        <v/>
      </c>
    </row>
    <row r="630">
      <c r="A630" s="122" t="n"/>
      <c r="B630" s="107" t="n"/>
      <c r="C630" s="105" t="n"/>
      <c r="D630" s="92">
        <f>IF(C630="","",IFERROR(INDEX(Roster!$C$6:$C$65,IFERROR(MATCH(C630,Roster!$B$6:$B$65,0),MATCH(C630,Roster!$C$6:$C$65,0))),"not on the Roster"))</f>
        <v/>
      </c>
      <c r="E630" s="106" t="n"/>
      <c r="F630" s="104">
        <f>IF(OR(A630="",C630="",B630=""),"",IFERROR(INDEX(CHOOSE(IF(YEAR(A630)&gt;PlanYear,13,MONTH(A630)),'Jan'!$D$27:$AH$266,'Feb'!$D$27:$AH$266,'Mar'!$D$27:$AH$266,'Apr'!$D$27:$AH$266,'May'!$D$27:$AH$266,'Jun'!$D$27:$AH$266,'Jul'!$D$27:$AH$266,'Aug'!$D$27:$AH$266,'Sep'!$D$27:$AH$266,'Oct'!$D$27:$AH$266,'Nov'!$D$27:$AH$266,'Dec'!$D$27:$AH$266,'Jan (next year)'!$D$27:$AH$266),27+4*(IFERROR(MATCH(C630,Roster!$B$6:$B$65,0),MATCH(C630,Roster!$C$6:$C$65,0))-1)+MATCH(B630,{"AM","PM","NIGHT","WD"},0)-1-27+1,DAY(A630))&amp;"",""))</f>
        <v/>
      </c>
      <c r="G630" s="123">
        <f>IF(OR(A630="",C630="",B630="",E630=""),"",IFERROR(A630&amp;"|"&amp;(27+4*(IFERROR(MATCH(C630,Roster!$B$6:$B$65,0),MATCH(C630,Roster!$C$6:$C$65,0))-1)+MATCH(B630,{"AM","PM","NIGHT","WD"},0)-1),""))</f>
        <v/>
      </c>
    </row>
    <row r="631">
      <c r="A631" s="122" t="n"/>
      <c r="B631" s="107" t="n"/>
      <c r="C631" s="105" t="n"/>
      <c r="D631" s="92">
        <f>IF(C631="","",IFERROR(INDEX(Roster!$C$6:$C$65,IFERROR(MATCH(C631,Roster!$B$6:$B$65,0),MATCH(C631,Roster!$C$6:$C$65,0))),"not on the Roster"))</f>
        <v/>
      </c>
      <c r="E631" s="106" t="n"/>
      <c r="F631" s="104">
        <f>IF(OR(A631="",C631="",B631=""),"",IFERROR(INDEX(CHOOSE(IF(YEAR(A631)&gt;PlanYear,13,MONTH(A631)),'Jan'!$D$27:$AH$266,'Feb'!$D$27:$AH$266,'Mar'!$D$27:$AH$266,'Apr'!$D$27:$AH$266,'May'!$D$27:$AH$266,'Jun'!$D$27:$AH$266,'Jul'!$D$27:$AH$266,'Aug'!$D$27:$AH$266,'Sep'!$D$27:$AH$266,'Oct'!$D$27:$AH$266,'Nov'!$D$27:$AH$266,'Dec'!$D$27:$AH$266,'Jan (next year)'!$D$27:$AH$266),27+4*(IFERROR(MATCH(C631,Roster!$B$6:$B$65,0),MATCH(C631,Roster!$C$6:$C$65,0))-1)+MATCH(B631,{"AM","PM","NIGHT","WD"},0)-1-27+1,DAY(A631))&amp;"",""))</f>
        <v/>
      </c>
      <c r="G631" s="123">
        <f>IF(OR(A631="",C631="",B631="",E631=""),"",IFERROR(A631&amp;"|"&amp;(27+4*(IFERROR(MATCH(C631,Roster!$B$6:$B$65,0),MATCH(C631,Roster!$C$6:$C$65,0))-1)+MATCH(B631,{"AM","PM","NIGHT","WD"},0)-1),""))</f>
        <v/>
      </c>
    </row>
    <row r="632">
      <c r="A632" s="122" t="n"/>
      <c r="B632" s="107" t="n"/>
      <c r="C632" s="105" t="n"/>
      <c r="D632" s="92">
        <f>IF(C632="","",IFERROR(INDEX(Roster!$C$6:$C$65,IFERROR(MATCH(C632,Roster!$B$6:$B$65,0),MATCH(C632,Roster!$C$6:$C$65,0))),"not on the Roster"))</f>
        <v/>
      </c>
      <c r="E632" s="106" t="n"/>
      <c r="F632" s="104">
        <f>IF(OR(A632="",C632="",B632=""),"",IFERROR(INDEX(CHOOSE(IF(YEAR(A632)&gt;PlanYear,13,MONTH(A632)),'Jan'!$D$27:$AH$266,'Feb'!$D$27:$AH$266,'Mar'!$D$27:$AH$266,'Apr'!$D$27:$AH$266,'May'!$D$27:$AH$266,'Jun'!$D$27:$AH$266,'Jul'!$D$27:$AH$266,'Aug'!$D$27:$AH$266,'Sep'!$D$27:$AH$266,'Oct'!$D$27:$AH$266,'Nov'!$D$27:$AH$266,'Dec'!$D$27:$AH$266,'Jan (next year)'!$D$27:$AH$266),27+4*(IFERROR(MATCH(C632,Roster!$B$6:$B$65,0),MATCH(C632,Roster!$C$6:$C$65,0))-1)+MATCH(B632,{"AM","PM","NIGHT","WD"},0)-1-27+1,DAY(A632))&amp;"",""))</f>
        <v/>
      </c>
      <c r="G632" s="123">
        <f>IF(OR(A632="",C632="",B632="",E632=""),"",IFERROR(A632&amp;"|"&amp;(27+4*(IFERROR(MATCH(C632,Roster!$B$6:$B$65,0),MATCH(C632,Roster!$C$6:$C$65,0))-1)+MATCH(B632,{"AM","PM","NIGHT","WD"},0)-1),""))</f>
        <v/>
      </c>
    </row>
    <row r="633">
      <c r="A633" s="122" t="n"/>
      <c r="B633" s="107" t="n"/>
      <c r="C633" s="105" t="n"/>
      <c r="D633" s="92">
        <f>IF(C633="","",IFERROR(INDEX(Roster!$C$6:$C$65,IFERROR(MATCH(C633,Roster!$B$6:$B$65,0),MATCH(C633,Roster!$C$6:$C$65,0))),"not on the Roster"))</f>
        <v/>
      </c>
      <c r="E633" s="106" t="n"/>
      <c r="F633" s="104">
        <f>IF(OR(A633="",C633="",B633=""),"",IFERROR(INDEX(CHOOSE(IF(YEAR(A633)&gt;PlanYear,13,MONTH(A633)),'Jan'!$D$27:$AH$266,'Feb'!$D$27:$AH$266,'Mar'!$D$27:$AH$266,'Apr'!$D$27:$AH$266,'May'!$D$27:$AH$266,'Jun'!$D$27:$AH$266,'Jul'!$D$27:$AH$266,'Aug'!$D$27:$AH$266,'Sep'!$D$27:$AH$266,'Oct'!$D$27:$AH$266,'Nov'!$D$27:$AH$266,'Dec'!$D$27:$AH$266,'Jan (next year)'!$D$27:$AH$266),27+4*(IFERROR(MATCH(C633,Roster!$B$6:$B$65,0),MATCH(C633,Roster!$C$6:$C$65,0))-1)+MATCH(B633,{"AM","PM","NIGHT","WD"},0)-1-27+1,DAY(A633))&amp;"",""))</f>
        <v/>
      </c>
      <c r="G633" s="123">
        <f>IF(OR(A633="",C633="",B633="",E633=""),"",IFERROR(A633&amp;"|"&amp;(27+4*(IFERROR(MATCH(C633,Roster!$B$6:$B$65,0),MATCH(C633,Roster!$C$6:$C$65,0))-1)+MATCH(B633,{"AM","PM","NIGHT","WD"},0)-1),""))</f>
        <v/>
      </c>
    </row>
    <row r="634">
      <c r="A634" s="122" t="n"/>
      <c r="B634" s="107" t="n"/>
      <c r="C634" s="105" t="n"/>
      <c r="D634" s="92">
        <f>IF(C634="","",IFERROR(INDEX(Roster!$C$6:$C$65,IFERROR(MATCH(C634,Roster!$B$6:$B$65,0),MATCH(C634,Roster!$C$6:$C$65,0))),"not on the Roster"))</f>
        <v/>
      </c>
      <c r="E634" s="106" t="n"/>
      <c r="F634" s="104">
        <f>IF(OR(A634="",C634="",B634=""),"",IFERROR(INDEX(CHOOSE(IF(YEAR(A634)&gt;PlanYear,13,MONTH(A634)),'Jan'!$D$27:$AH$266,'Feb'!$D$27:$AH$266,'Mar'!$D$27:$AH$266,'Apr'!$D$27:$AH$266,'May'!$D$27:$AH$266,'Jun'!$D$27:$AH$266,'Jul'!$D$27:$AH$266,'Aug'!$D$27:$AH$266,'Sep'!$D$27:$AH$266,'Oct'!$D$27:$AH$266,'Nov'!$D$27:$AH$266,'Dec'!$D$27:$AH$266,'Jan (next year)'!$D$27:$AH$266),27+4*(IFERROR(MATCH(C634,Roster!$B$6:$B$65,0),MATCH(C634,Roster!$C$6:$C$65,0))-1)+MATCH(B634,{"AM","PM","NIGHT","WD"},0)-1-27+1,DAY(A634))&amp;"",""))</f>
        <v/>
      </c>
      <c r="G634" s="123">
        <f>IF(OR(A634="",C634="",B634="",E634=""),"",IFERROR(A634&amp;"|"&amp;(27+4*(IFERROR(MATCH(C634,Roster!$B$6:$B$65,0),MATCH(C634,Roster!$C$6:$C$65,0))-1)+MATCH(B634,{"AM","PM","NIGHT","WD"},0)-1),""))</f>
        <v/>
      </c>
    </row>
    <row r="635">
      <c r="A635" s="122" t="n"/>
      <c r="B635" s="107" t="n"/>
      <c r="C635" s="105" t="n"/>
      <c r="D635" s="92">
        <f>IF(C635="","",IFERROR(INDEX(Roster!$C$6:$C$65,IFERROR(MATCH(C635,Roster!$B$6:$B$65,0),MATCH(C635,Roster!$C$6:$C$65,0))),"not on the Roster"))</f>
        <v/>
      </c>
      <c r="E635" s="106" t="n"/>
      <c r="F635" s="104">
        <f>IF(OR(A635="",C635="",B635=""),"",IFERROR(INDEX(CHOOSE(IF(YEAR(A635)&gt;PlanYear,13,MONTH(A635)),'Jan'!$D$27:$AH$266,'Feb'!$D$27:$AH$266,'Mar'!$D$27:$AH$266,'Apr'!$D$27:$AH$266,'May'!$D$27:$AH$266,'Jun'!$D$27:$AH$266,'Jul'!$D$27:$AH$266,'Aug'!$D$27:$AH$266,'Sep'!$D$27:$AH$266,'Oct'!$D$27:$AH$266,'Nov'!$D$27:$AH$266,'Dec'!$D$27:$AH$266,'Jan (next year)'!$D$27:$AH$266),27+4*(IFERROR(MATCH(C635,Roster!$B$6:$B$65,0),MATCH(C635,Roster!$C$6:$C$65,0))-1)+MATCH(B635,{"AM","PM","NIGHT","WD"},0)-1-27+1,DAY(A635))&amp;"",""))</f>
        <v/>
      </c>
      <c r="G635" s="123">
        <f>IF(OR(A635="",C635="",B635="",E635=""),"",IFERROR(A635&amp;"|"&amp;(27+4*(IFERROR(MATCH(C635,Roster!$B$6:$B$65,0),MATCH(C635,Roster!$C$6:$C$65,0))-1)+MATCH(B635,{"AM","PM","NIGHT","WD"},0)-1),""))</f>
        <v/>
      </c>
    </row>
    <row r="636">
      <c r="A636" s="122" t="n"/>
      <c r="B636" s="107" t="n"/>
      <c r="C636" s="105" t="n"/>
      <c r="D636" s="92">
        <f>IF(C636="","",IFERROR(INDEX(Roster!$C$6:$C$65,IFERROR(MATCH(C636,Roster!$B$6:$B$65,0),MATCH(C636,Roster!$C$6:$C$65,0))),"not on the Roster"))</f>
        <v/>
      </c>
      <c r="E636" s="106" t="n"/>
      <c r="F636" s="104">
        <f>IF(OR(A636="",C636="",B636=""),"",IFERROR(INDEX(CHOOSE(IF(YEAR(A636)&gt;PlanYear,13,MONTH(A636)),'Jan'!$D$27:$AH$266,'Feb'!$D$27:$AH$266,'Mar'!$D$27:$AH$266,'Apr'!$D$27:$AH$266,'May'!$D$27:$AH$266,'Jun'!$D$27:$AH$266,'Jul'!$D$27:$AH$266,'Aug'!$D$27:$AH$266,'Sep'!$D$27:$AH$266,'Oct'!$D$27:$AH$266,'Nov'!$D$27:$AH$266,'Dec'!$D$27:$AH$266,'Jan (next year)'!$D$27:$AH$266),27+4*(IFERROR(MATCH(C636,Roster!$B$6:$B$65,0),MATCH(C636,Roster!$C$6:$C$65,0))-1)+MATCH(B636,{"AM","PM","NIGHT","WD"},0)-1-27+1,DAY(A636))&amp;"",""))</f>
        <v/>
      </c>
      <c r="G636" s="123">
        <f>IF(OR(A636="",C636="",B636="",E636=""),"",IFERROR(A636&amp;"|"&amp;(27+4*(IFERROR(MATCH(C636,Roster!$B$6:$B$65,0),MATCH(C636,Roster!$C$6:$C$65,0))-1)+MATCH(B636,{"AM","PM","NIGHT","WD"},0)-1),""))</f>
        <v/>
      </c>
    </row>
    <row r="637">
      <c r="A637" s="122" t="n"/>
      <c r="B637" s="107" t="n"/>
      <c r="C637" s="105" t="n"/>
      <c r="D637" s="92">
        <f>IF(C637="","",IFERROR(INDEX(Roster!$C$6:$C$65,IFERROR(MATCH(C637,Roster!$B$6:$B$65,0),MATCH(C637,Roster!$C$6:$C$65,0))),"not on the Roster"))</f>
        <v/>
      </c>
      <c r="E637" s="106" t="n"/>
      <c r="F637" s="104">
        <f>IF(OR(A637="",C637="",B637=""),"",IFERROR(INDEX(CHOOSE(IF(YEAR(A637)&gt;PlanYear,13,MONTH(A637)),'Jan'!$D$27:$AH$266,'Feb'!$D$27:$AH$266,'Mar'!$D$27:$AH$266,'Apr'!$D$27:$AH$266,'May'!$D$27:$AH$266,'Jun'!$D$27:$AH$266,'Jul'!$D$27:$AH$266,'Aug'!$D$27:$AH$266,'Sep'!$D$27:$AH$266,'Oct'!$D$27:$AH$266,'Nov'!$D$27:$AH$266,'Dec'!$D$27:$AH$266,'Jan (next year)'!$D$27:$AH$266),27+4*(IFERROR(MATCH(C637,Roster!$B$6:$B$65,0),MATCH(C637,Roster!$C$6:$C$65,0))-1)+MATCH(B637,{"AM","PM","NIGHT","WD"},0)-1-27+1,DAY(A637))&amp;"",""))</f>
        <v/>
      </c>
      <c r="G637" s="123">
        <f>IF(OR(A637="",C637="",B637="",E637=""),"",IFERROR(A637&amp;"|"&amp;(27+4*(IFERROR(MATCH(C637,Roster!$B$6:$B$65,0),MATCH(C637,Roster!$C$6:$C$65,0))-1)+MATCH(B637,{"AM","PM","NIGHT","WD"},0)-1),""))</f>
        <v/>
      </c>
    </row>
    <row r="638">
      <c r="A638" s="122" t="n"/>
      <c r="B638" s="107" t="n"/>
      <c r="C638" s="105" t="n"/>
      <c r="D638" s="92">
        <f>IF(C638="","",IFERROR(INDEX(Roster!$C$6:$C$65,IFERROR(MATCH(C638,Roster!$B$6:$B$65,0),MATCH(C638,Roster!$C$6:$C$65,0))),"not on the Roster"))</f>
        <v/>
      </c>
      <c r="E638" s="106" t="n"/>
      <c r="F638" s="104">
        <f>IF(OR(A638="",C638="",B638=""),"",IFERROR(INDEX(CHOOSE(IF(YEAR(A638)&gt;PlanYear,13,MONTH(A638)),'Jan'!$D$27:$AH$266,'Feb'!$D$27:$AH$266,'Mar'!$D$27:$AH$266,'Apr'!$D$27:$AH$266,'May'!$D$27:$AH$266,'Jun'!$D$27:$AH$266,'Jul'!$D$27:$AH$266,'Aug'!$D$27:$AH$266,'Sep'!$D$27:$AH$266,'Oct'!$D$27:$AH$266,'Nov'!$D$27:$AH$266,'Dec'!$D$27:$AH$266,'Jan (next year)'!$D$27:$AH$266),27+4*(IFERROR(MATCH(C638,Roster!$B$6:$B$65,0),MATCH(C638,Roster!$C$6:$C$65,0))-1)+MATCH(B638,{"AM","PM","NIGHT","WD"},0)-1-27+1,DAY(A638))&amp;"",""))</f>
        <v/>
      </c>
      <c r="G638" s="123">
        <f>IF(OR(A638="",C638="",B638="",E638=""),"",IFERROR(A638&amp;"|"&amp;(27+4*(IFERROR(MATCH(C638,Roster!$B$6:$B$65,0),MATCH(C638,Roster!$C$6:$C$65,0))-1)+MATCH(B638,{"AM","PM","NIGHT","WD"},0)-1),""))</f>
        <v/>
      </c>
    </row>
    <row r="639">
      <c r="A639" s="122" t="n"/>
      <c r="B639" s="107" t="n"/>
      <c r="C639" s="105" t="n"/>
      <c r="D639" s="92">
        <f>IF(C639="","",IFERROR(INDEX(Roster!$C$6:$C$65,IFERROR(MATCH(C639,Roster!$B$6:$B$65,0),MATCH(C639,Roster!$C$6:$C$65,0))),"not on the Roster"))</f>
        <v/>
      </c>
      <c r="E639" s="106" t="n"/>
      <c r="F639" s="104">
        <f>IF(OR(A639="",C639="",B639=""),"",IFERROR(INDEX(CHOOSE(IF(YEAR(A639)&gt;PlanYear,13,MONTH(A639)),'Jan'!$D$27:$AH$266,'Feb'!$D$27:$AH$266,'Mar'!$D$27:$AH$266,'Apr'!$D$27:$AH$266,'May'!$D$27:$AH$266,'Jun'!$D$27:$AH$266,'Jul'!$D$27:$AH$266,'Aug'!$D$27:$AH$266,'Sep'!$D$27:$AH$266,'Oct'!$D$27:$AH$266,'Nov'!$D$27:$AH$266,'Dec'!$D$27:$AH$266,'Jan (next year)'!$D$27:$AH$266),27+4*(IFERROR(MATCH(C639,Roster!$B$6:$B$65,0),MATCH(C639,Roster!$C$6:$C$65,0))-1)+MATCH(B639,{"AM","PM","NIGHT","WD"},0)-1-27+1,DAY(A639))&amp;"",""))</f>
        <v/>
      </c>
      <c r="G639" s="123">
        <f>IF(OR(A639="",C639="",B639="",E639=""),"",IFERROR(A639&amp;"|"&amp;(27+4*(IFERROR(MATCH(C639,Roster!$B$6:$B$65,0),MATCH(C639,Roster!$C$6:$C$65,0))-1)+MATCH(B639,{"AM","PM","NIGHT","WD"},0)-1),""))</f>
        <v/>
      </c>
    </row>
    <row r="640">
      <c r="A640" s="122" t="n"/>
      <c r="B640" s="107" t="n"/>
      <c r="C640" s="105" t="n"/>
      <c r="D640" s="92">
        <f>IF(C640="","",IFERROR(INDEX(Roster!$C$6:$C$65,IFERROR(MATCH(C640,Roster!$B$6:$B$65,0),MATCH(C640,Roster!$C$6:$C$65,0))),"not on the Roster"))</f>
        <v/>
      </c>
      <c r="E640" s="106" t="n"/>
      <c r="F640" s="104">
        <f>IF(OR(A640="",C640="",B640=""),"",IFERROR(INDEX(CHOOSE(IF(YEAR(A640)&gt;PlanYear,13,MONTH(A640)),'Jan'!$D$27:$AH$266,'Feb'!$D$27:$AH$266,'Mar'!$D$27:$AH$266,'Apr'!$D$27:$AH$266,'May'!$D$27:$AH$266,'Jun'!$D$27:$AH$266,'Jul'!$D$27:$AH$266,'Aug'!$D$27:$AH$266,'Sep'!$D$27:$AH$266,'Oct'!$D$27:$AH$266,'Nov'!$D$27:$AH$266,'Dec'!$D$27:$AH$266,'Jan (next year)'!$D$27:$AH$266),27+4*(IFERROR(MATCH(C640,Roster!$B$6:$B$65,0),MATCH(C640,Roster!$C$6:$C$65,0))-1)+MATCH(B640,{"AM","PM","NIGHT","WD"},0)-1-27+1,DAY(A640))&amp;"",""))</f>
        <v/>
      </c>
      <c r="G640" s="123">
        <f>IF(OR(A640="",C640="",B640="",E640=""),"",IFERROR(A640&amp;"|"&amp;(27+4*(IFERROR(MATCH(C640,Roster!$B$6:$B$65,0),MATCH(C640,Roster!$C$6:$C$65,0))-1)+MATCH(B640,{"AM","PM","NIGHT","WD"},0)-1),""))</f>
        <v/>
      </c>
    </row>
    <row r="641">
      <c r="A641" s="122" t="n"/>
      <c r="B641" s="107" t="n"/>
      <c r="C641" s="105" t="n"/>
      <c r="D641" s="92">
        <f>IF(C641="","",IFERROR(INDEX(Roster!$C$6:$C$65,IFERROR(MATCH(C641,Roster!$B$6:$B$65,0),MATCH(C641,Roster!$C$6:$C$65,0))),"not on the Roster"))</f>
        <v/>
      </c>
      <c r="E641" s="106" t="n"/>
      <c r="F641" s="104">
        <f>IF(OR(A641="",C641="",B641=""),"",IFERROR(INDEX(CHOOSE(IF(YEAR(A641)&gt;PlanYear,13,MONTH(A641)),'Jan'!$D$27:$AH$266,'Feb'!$D$27:$AH$266,'Mar'!$D$27:$AH$266,'Apr'!$D$27:$AH$266,'May'!$D$27:$AH$266,'Jun'!$D$27:$AH$266,'Jul'!$D$27:$AH$266,'Aug'!$D$27:$AH$266,'Sep'!$D$27:$AH$266,'Oct'!$D$27:$AH$266,'Nov'!$D$27:$AH$266,'Dec'!$D$27:$AH$266,'Jan (next year)'!$D$27:$AH$266),27+4*(IFERROR(MATCH(C641,Roster!$B$6:$B$65,0),MATCH(C641,Roster!$C$6:$C$65,0))-1)+MATCH(B641,{"AM","PM","NIGHT","WD"},0)-1-27+1,DAY(A641))&amp;"",""))</f>
        <v/>
      </c>
      <c r="G641" s="123">
        <f>IF(OR(A641="",C641="",B641="",E641=""),"",IFERROR(A641&amp;"|"&amp;(27+4*(IFERROR(MATCH(C641,Roster!$B$6:$B$65,0),MATCH(C641,Roster!$C$6:$C$65,0))-1)+MATCH(B641,{"AM","PM","NIGHT","WD"},0)-1),""))</f>
        <v/>
      </c>
    </row>
    <row r="642">
      <c r="A642" s="122" t="n"/>
      <c r="B642" s="107" t="n"/>
      <c r="C642" s="105" t="n"/>
      <c r="D642" s="92">
        <f>IF(C642="","",IFERROR(INDEX(Roster!$C$6:$C$65,IFERROR(MATCH(C642,Roster!$B$6:$B$65,0),MATCH(C642,Roster!$C$6:$C$65,0))),"not on the Roster"))</f>
        <v/>
      </c>
      <c r="E642" s="106" t="n"/>
      <c r="F642" s="104">
        <f>IF(OR(A642="",C642="",B642=""),"",IFERROR(INDEX(CHOOSE(IF(YEAR(A642)&gt;PlanYear,13,MONTH(A642)),'Jan'!$D$27:$AH$266,'Feb'!$D$27:$AH$266,'Mar'!$D$27:$AH$266,'Apr'!$D$27:$AH$266,'May'!$D$27:$AH$266,'Jun'!$D$27:$AH$266,'Jul'!$D$27:$AH$266,'Aug'!$D$27:$AH$266,'Sep'!$D$27:$AH$266,'Oct'!$D$27:$AH$266,'Nov'!$D$27:$AH$266,'Dec'!$D$27:$AH$266,'Jan (next year)'!$D$27:$AH$266),27+4*(IFERROR(MATCH(C642,Roster!$B$6:$B$65,0),MATCH(C642,Roster!$C$6:$C$65,0))-1)+MATCH(B642,{"AM","PM","NIGHT","WD"},0)-1-27+1,DAY(A642))&amp;"",""))</f>
        <v/>
      </c>
      <c r="G642" s="123">
        <f>IF(OR(A642="",C642="",B642="",E642=""),"",IFERROR(A642&amp;"|"&amp;(27+4*(IFERROR(MATCH(C642,Roster!$B$6:$B$65,0),MATCH(C642,Roster!$C$6:$C$65,0))-1)+MATCH(B642,{"AM","PM","NIGHT","WD"},0)-1),""))</f>
        <v/>
      </c>
    </row>
    <row r="643">
      <c r="A643" s="122" t="n"/>
      <c r="B643" s="107" t="n"/>
      <c r="C643" s="105" t="n"/>
      <c r="D643" s="92">
        <f>IF(C643="","",IFERROR(INDEX(Roster!$C$6:$C$65,IFERROR(MATCH(C643,Roster!$B$6:$B$65,0),MATCH(C643,Roster!$C$6:$C$65,0))),"not on the Roster"))</f>
        <v/>
      </c>
      <c r="E643" s="106" t="n"/>
      <c r="F643" s="104">
        <f>IF(OR(A643="",C643="",B643=""),"",IFERROR(INDEX(CHOOSE(IF(YEAR(A643)&gt;PlanYear,13,MONTH(A643)),'Jan'!$D$27:$AH$266,'Feb'!$D$27:$AH$266,'Mar'!$D$27:$AH$266,'Apr'!$D$27:$AH$266,'May'!$D$27:$AH$266,'Jun'!$D$27:$AH$266,'Jul'!$D$27:$AH$266,'Aug'!$D$27:$AH$266,'Sep'!$D$27:$AH$266,'Oct'!$D$27:$AH$266,'Nov'!$D$27:$AH$266,'Dec'!$D$27:$AH$266,'Jan (next year)'!$D$27:$AH$266),27+4*(IFERROR(MATCH(C643,Roster!$B$6:$B$65,0),MATCH(C643,Roster!$C$6:$C$65,0))-1)+MATCH(B643,{"AM","PM","NIGHT","WD"},0)-1-27+1,DAY(A643))&amp;"",""))</f>
        <v/>
      </c>
      <c r="G643" s="123">
        <f>IF(OR(A643="",C643="",B643="",E643=""),"",IFERROR(A643&amp;"|"&amp;(27+4*(IFERROR(MATCH(C643,Roster!$B$6:$B$65,0),MATCH(C643,Roster!$C$6:$C$65,0))-1)+MATCH(B643,{"AM","PM","NIGHT","WD"},0)-1),""))</f>
        <v/>
      </c>
    </row>
    <row r="644">
      <c r="A644" s="122" t="n"/>
      <c r="B644" s="107" t="n"/>
      <c r="C644" s="105" t="n"/>
      <c r="D644" s="92">
        <f>IF(C644="","",IFERROR(INDEX(Roster!$C$6:$C$65,IFERROR(MATCH(C644,Roster!$B$6:$B$65,0),MATCH(C644,Roster!$C$6:$C$65,0))),"not on the Roster"))</f>
        <v/>
      </c>
      <c r="E644" s="106" t="n"/>
      <c r="F644" s="104">
        <f>IF(OR(A644="",C644="",B644=""),"",IFERROR(INDEX(CHOOSE(IF(YEAR(A644)&gt;PlanYear,13,MONTH(A644)),'Jan'!$D$27:$AH$266,'Feb'!$D$27:$AH$266,'Mar'!$D$27:$AH$266,'Apr'!$D$27:$AH$266,'May'!$D$27:$AH$266,'Jun'!$D$27:$AH$266,'Jul'!$D$27:$AH$266,'Aug'!$D$27:$AH$266,'Sep'!$D$27:$AH$266,'Oct'!$D$27:$AH$266,'Nov'!$D$27:$AH$266,'Dec'!$D$27:$AH$266,'Jan (next year)'!$D$27:$AH$266),27+4*(IFERROR(MATCH(C644,Roster!$B$6:$B$65,0),MATCH(C644,Roster!$C$6:$C$65,0))-1)+MATCH(B644,{"AM","PM","NIGHT","WD"},0)-1-27+1,DAY(A644))&amp;"",""))</f>
        <v/>
      </c>
      <c r="G644" s="123">
        <f>IF(OR(A644="",C644="",B644="",E644=""),"",IFERROR(A644&amp;"|"&amp;(27+4*(IFERROR(MATCH(C644,Roster!$B$6:$B$65,0),MATCH(C644,Roster!$C$6:$C$65,0))-1)+MATCH(B644,{"AM","PM","NIGHT","WD"},0)-1),""))</f>
        <v/>
      </c>
    </row>
    <row r="645">
      <c r="A645" s="122" t="n"/>
      <c r="B645" s="107" t="n"/>
      <c r="C645" s="105" t="n"/>
      <c r="D645" s="92">
        <f>IF(C645="","",IFERROR(INDEX(Roster!$C$6:$C$65,IFERROR(MATCH(C645,Roster!$B$6:$B$65,0),MATCH(C645,Roster!$C$6:$C$65,0))),"not on the Roster"))</f>
        <v/>
      </c>
      <c r="E645" s="106" t="n"/>
      <c r="F645" s="104">
        <f>IF(OR(A645="",C645="",B645=""),"",IFERROR(INDEX(CHOOSE(IF(YEAR(A645)&gt;PlanYear,13,MONTH(A645)),'Jan'!$D$27:$AH$266,'Feb'!$D$27:$AH$266,'Mar'!$D$27:$AH$266,'Apr'!$D$27:$AH$266,'May'!$D$27:$AH$266,'Jun'!$D$27:$AH$266,'Jul'!$D$27:$AH$266,'Aug'!$D$27:$AH$266,'Sep'!$D$27:$AH$266,'Oct'!$D$27:$AH$266,'Nov'!$D$27:$AH$266,'Dec'!$D$27:$AH$266,'Jan (next year)'!$D$27:$AH$266),27+4*(IFERROR(MATCH(C645,Roster!$B$6:$B$65,0),MATCH(C645,Roster!$C$6:$C$65,0))-1)+MATCH(B645,{"AM","PM","NIGHT","WD"},0)-1-27+1,DAY(A645))&amp;"",""))</f>
        <v/>
      </c>
      <c r="G645" s="123">
        <f>IF(OR(A645="",C645="",B645="",E645=""),"",IFERROR(A645&amp;"|"&amp;(27+4*(IFERROR(MATCH(C645,Roster!$B$6:$B$65,0),MATCH(C645,Roster!$C$6:$C$65,0))-1)+MATCH(B645,{"AM","PM","NIGHT","WD"},0)-1),""))</f>
        <v/>
      </c>
    </row>
    <row r="646">
      <c r="A646" s="122" t="n"/>
      <c r="B646" s="107" t="n"/>
      <c r="C646" s="105" t="n"/>
      <c r="D646" s="92">
        <f>IF(C646="","",IFERROR(INDEX(Roster!$C$6:$C$65,IFERROR(MATCH(C646,Roster!$B$6:$B$65,0),MATCH(C646,Roster!$C$6:$C$65,0))),"not on the Roster"))</f>
        <v/>
      </c>
      <c r="E646" s="106" t="n"/>
      <c r="F646" s="104">
        <f>IF(OR(A646="",C646="",B646=""),"",IFERROR(INDEX(CHOOSE(IF(YEAR(A646)&gt;PlanYear,13,MONTH(A646)),'Jan'!$D$27:$AH$266,'Feb'!$D$27:$AH$266,'Mar'!$D$27:$AH$266,'Apr'!$D$27:$AH$266,'May'!$D$27:$AH$266,'Jun'!$D$27:$AH$266,'Jul'!$D$27:$AH$266,'Aug'!$D$27:$AH$266,'Sep'!$D$27:$AH$266,'Oct'!$D$27:$AH$266,'Nov'!$D$27:$AH$266,'Dec'!$D$27:$AH$266,'Jan (next year)'!$D$27:$AH$266),27+4*(IFERROR(MATCH(C646,Roster!$B$6:$B$65,0),MATCH(C646,Roster!$C$6:$C$65,0))-1)+MATCH(B646,{"AM","PM","NIGHT","WD"},0)-1-27+1,DAY(A646))&amp;"",""))</f>
        <v/>
      </c>
      <c r="G646" s="123">
        <f>IF(OR(A646="",C646="",B646="",E646=""),"",IFERROR(A646&amp;"|"&amp;(27+4*(IFERROR(MATCH(C646,Roster!$B$6:$B$65,0),MATCH(C646,Roster!$C$6:$C$65,0))-1)+MATCH(B646,{"AM","PM","NIGHT","WD"},0)-1),""))</f>
        <v/>
      </c>
    </row>
    <row r="647">
      <c r="A647" s="122" t="n"/>
      <c r="B647" s="107" t="n"/>
      <c r="C647" s="105" t="n"/>
      <c r="D647" s="92">
        <f>IF(C647="","",IFERROR(INDEX(Roster!$C$6:$C$65,IFERROR(MATCH(C647,Roster!$B$6:$B$65,0),MATCH(C647,Roster!$C$6:$C$65,0))),"not on the Roster"))</f>
        <v/>
      </c>
      <c r="E647" s="106" t="n"/>
      <c r="F647" s="104">
        <f>IF(OR(A647="",C647="",B647=""),"",IFERROR(INDEX(CHOOSE(IF(YEAR(A647)&gt;PlanYear,13,MONTH(A647)),'Jan'!$D$27:$AH$266,'Feb'!$D$27:$AH$266,'Mar'!$D$27:$AH$266,'Apr'!$D$27:$AH$266,'May'!$D$27:$AH$266,'Jun'!$D$27:$AH$266,'Jul'!$D$27:$AH$266,'Aug'!$D$27:$AH$266,'Sep'!$D$27:$AH$266,'Oct'!$D$27:$AH$266,'Nov'!$D$27:$AH$266,'Dec'!$D$27:$AH$266,'Jan (next year)'!$D$27:$AH$266),27+4*(IFERROR(MATCH(C647,Roster!$B$6:$B$65,0),MATCH(C647,Roster!$C$6:$C$65,0))-1)+MATCH(B647,{"AM","PM","NIGHT","WD"},0)-1-27+1,DAY(A647))&amp;"",""))</f>
        <v/>
      </c>
      <c r="G647" s="123">
        <f>IF(OR(A647="",C647="",B647="",E647=""),"",IFERROR(A647&amp;"|"&amp;(27+4*(IFERROR(MATCH(C647,Roster!$B$6:$B$65,0),MATCH(C647,Roster!$C$6:$C$65,0))-1)+MATCH(B647,{"AM","PM","NIGHT","WD"},0)-1),""))</f>
        <v/>
      </c>
    </row>
    <row r="648">
      <c r="A648" s="122" t="n"/>
      <c r="B648" s="107" t="n"/>
      <c r="C648" s="105" t="n"/>
      <c r="D648" s="92">
        <f>IF(C648="","",IFERROR(INDEX(Roster!$C$6:$C$65,IFERROR(MATCH(C648,Roster!$B$6:$B$65,0),MATCH(C648,Roster!$C$6:$C$65,0))),"not on the Roster"))</f>
        <v/>
      </c>
      <c r="E648" s="106" t="n"/>
      <c r="F648" s="104">
        <f>IF(OR(A648="",C648="",B648=""),"",IFERROR(INDEX(CHOOSE(IF(YEAR(A648)&gt;PlanYear,13,MONTH(A648)),'Jan'!$D$27:$AH$266,'Feb'!$D$27:$AH$266,'Mar'!$D$27:$AH$266,'Apr'!$D$27:$AH$266,'May'!$D$27:$AH$266,'Jun'!$D$27:$AH$266,'Jul'!$D$27:$AH$266,'Aug'!$D$27:$AH$266,'Sep'!$D$27:$AH$266,'Oct'!$D$27:$AH$266,'Nov'!$D$27:$AH$266,'Dec'!$D$27:$AH$266,'Jan (next year)'!$D$27:$AH$266),27+4*(IFERROR(MATCH(C648,Roster!$B$6:$B$65,0),MATCH(C648,Roster!$C$6:$C$65,0))-1)+MATCH(B648,{"AM","PM","NIGHT","WD"},0)-1-27+1,DAY(A648))&amp;"",""))</f>
        <v/>
      </c>
      <c r="G648" s="123">
        <f>IF(OR(A648="",C648="",B648="",E648=""),"",IFERROR(A648&amp;"|"&amp;(27+4*(IFERROR(MATCH(C648,Roster!$B$6:$B$65,0),MATCH(C648,Roster!$C$6:$C$65,0))-1)+MATCH(B648,{"AM","PM","NIGHT","WD"},0)-1),""))</f>
        <v/>
      </c>
    </row>
    <row r="649">
      <c r="A649" s="122" t="n"/>
      <c r="B649" s="107" t="n"/>
      <c r="C649" s="105" t="n"/>
      <c r="D649" s="92">
        <f>IF(C649="","",IFERROR(INDEX(Roster!$C$6:$C$65,IFERROR(MATCH(C649,Roster!$B$6:$B$65,0),MATCH(C649,Roster!$C$6:$C$65,0))),"not on the Roster"))</f>
        <v/>
      </c>
      <c r="E649" s="106" t="n"/>
      <c r="F649" s="104">
        <f>IF(OR(A649="",C649="",B649=""),"",IFERROR(INDEX(CHOOSE(IF(YEAR(A649)&gt;PlanYear,13,MONTH(A649)),'Jan'!$D$27:$AH$266,'Feb'!$D$27:$AH$266,'Mar'!$D$27:$AH$266,'Apr'!$D$27:$AH$266,'May'!$D$27:$AH$266,'Jun'!$D$27:$AH$266,'Jul'!$D$27:$AH$266,'Aug'!$D$27:$AH$266,'Sep'!$D$27:$AH$266,'Oct'!$D$27:$AH$266,'Nov'!$D$27:$AH$266,'Dec'!$D$27:$AH$266,'Jan (next year)'!$D$27:$AH$266),27+4*(IFERROR(MATCH(C649,Roster!$B$6:$B$65,0),MATCH(C649,Roster!$C$6:$C$65,0))-1)+MATCH(B649,{"AM","PM","NIGHT","WD"},0)-1-27+1,DAY(A649))&amp;"",""))</f>
        <v/>
      </c>
      <c r="G649" s="123">
        <f>IF(OR(A649="",C649="",B649="",E649=""),"",IFERROR(A649&amp;"|"&amp;(27+4*(IFERROR(MATCH(C649,Roster!$B$6:$B$65,0),MATCH(C649,Roster!$C$6:$C$65,0))-1)+MATCH(B649,{"AM","PM","NIGHT","WD"},0)-1),""))</f>
        <v/>
      </c>
    </row>
    <row r="650">
      <c r="A650" s="122" t="n"/>
      <c r="B650" s="107" t="n"/>
      <c r="C650" s="105" t="n"/>
      <c r="D650" s="92">
        <f>IF(C650="","",IFERROR(INDEX(Roster!$C$6:$C$65,IFERROR(MATCH(C650,Roster!$B$6:$B$65,0),MATCH(C650,Roster!$C$6:$C$65,0))),"not on the Roster"))</f>
        <v/>
      </c>
      <c r="E650" s="106" t="n"/>
      <c r="F650" s="104">
        <f>IF(OR(A650="",C650="",B650=""),"",IFERROR(INDEX(CHOOSE(IF(YEAR(A650)&gt;PlanYear,13,MONTH(A650)),'Jan'!$D$27:$AH$266,'Feb'!$D$27:$AH$266,'Mar'!$D$27:$AH$266,'Apr'!$D$27:$AH$266,'May'!$D$27:$AH$266,'Jun'!$D$27:$AH$266,'Jul'!$D$27:$AH$266,'Aug'!$D$27:$AH$266,'Sep'!$D$27:$AH$266,'Oct'!$D$27:$AH$266,'Nov'!$D$27:$AH$266,'Dec'!$D$27:$AH$266,'Jan (next year)'!$D$27:$AH$266),27+4*(IFERROR(MATCH(C650,Roster!$B$6:$B$65,0),MATCH(C650,Roster!$C$6:$C$65,0))-1)+MATCH(B650,{"AM","PM","NIGHT","WD"},0)-1-27+1,DAY(A650))&amp;"",""))</f>
        <v/>
      </c>
      <c r="G650" s="123">
        <f>IF(OR(A650="",C650="",B650="",E650=""),"",IFERROR(A650&amp;"|"&amp;(27+4*(IFERROR(MATCH(C650,Roster!$B$6:$B$65,0),MATCH(C650,Roster!$C$6:$C$65,0))-1)+MATCH(B650,{"AM","PM","NIGHT","WD"},0)-1),""))</f>
        <v/>
      </c>
    </row>
    <row r="651">
      <c r="A651" s="122" t="n"/>
      <c r="B651" s="107" t="n"/>
      <c r="C651" s="105" t="n"/>
      <c r="D651" s="92">
        <f>IF(C651="","",IFERROR(INDEX(Roster!$C$6:$C$65,IFERROR(MATCH(C651,Roster!$B$6:$B$65,0),MATCH(C651,Roster!$C$6:$C$65,0))),"not on the Roster"))</f>
        <v/>
      </c>
      <c r="E651" s="106" t="n"/>
      <c r="F651" s="104">
        <f>IF(OR(A651="",C651="",B651=""),"",IFERROR(INDEX(CHOOSE(IF(YEAR(A651)&gt;PlanYear,13,MONTH(A651)),'Jan'!$D$27:$AH$266,'Feb'!$D$27:$AH$266,'Mar'!$D$27:$AH$266,'Apr'!$D$27:$AH$266,'May'!$D$27:$AH$266,'Jun'!$D$27:$AH$266,'Jul'!$D$27:$AH$266,'Aug'!$D$27:$AH$266,'Sep'!$D$27:$AH$266,'Oct'!$D$27:$AH$266,'Nov'!$D$27:$AH$266,'Dec'!$D$27:$AH$266,'Jan (next year)'!$D$27:$AH$266),27+4*(IFERROR(MATCH(C651,Roster!$B$6:$B$65,0),MATCH(C651,Roster!$C$6:$C$65,0))-1)+MATCH(B651,{"AM","PM","NIGHT","WD"},0)-1-27+1,DAY(A651))&amp;"",""))</f>
        <v/>
      </c>
      <c r="G651" s="123">
        <f>IF(OR(A651="",C651="",B651="",E651=""),"",IFERROR(A651&amp;"|"&amp;(27+4*(IFERROR(MATCH(C651,Roster!$B$6:$B$65,0),MATCH(C651,Roster!$C$6:$C$65,0))-1)+MATCH(B651,{"AM","PM","NIGHT","WD"},0)-1),""))</f>
        <v/>
      </c>
    </row>
    <row r="652">
      <c r="A652" s="122" t="n"/>
      <c r="B652" s="107" t="n"/>
      <c r="C652" s="105" t="n"/>
      <c r="D652" s="92">
        <f>IF(C652="","",IFERROR(INDEX(Roster!$C$6:$C$65,IFERROR(MATCH(C652,Roster!$B$6:$B$65,0),MATCH(C652,Roster!$C$6:$C$65,0))),"not on the Roster"))</f>
        <v/>
      </c>
      <c r="E652" s="106" t="n"/>
      <c r="F652" s="104">
        <f>IF(OR(A652="",C652="",B652=""),"",IFERROR(INDEX(CHOOSE(IF(YEAR(A652)&gt;PlanYear,13,MONTH(A652)),'Jan'!$D$27:$AH$266,'Feb'!$D$27:$AH$266,'Mar'!$D$27:$AH$266,'Apr'!$D$27:$AH$266,'May'!$D$27:$AH$266,'Jun'!$D$27:$AH$266,'Jul'!$D$27:$AH$266,'Aug'!$D$27:$AH$266,'Sep'!$D$27:$AH$266,'Oct'!$D$27:$AH$266,'Nov'!$D$27:$AH$266,'Dec'!$D$27:$AH$266,'Jan (next year)'!$D$27:$AH$266),27+4*(IFERROR(MATCH(C652,Roster!$B$6:$B$65,0),MATCH(C652,Roster!$C$6:$C$65,0))-1)+MATCH(B652,{"AM","PM","NIGHT","WD"},0)-1-27+1,DAY(A652))&amp;"",""))</f>
        <v/>
      </c>
      <c r="G652" s="123">
        <f>IF(OR(A652="",C652="",B652="",E652=""),"",IFERROR(A652&amp;"|"&amp;(27+4*(IFERROR(MATCH(C652,Roster!$B$6:$B$65,0),MATCH(C652,Roster!$C$6:$C$65,0))-1)+MATCH(B652,{"AM","PM","NIGHT","WD"},0)-1),""))</f>
        <v/>
      </c>
    </row>
    <row r="653">
      <c r="A653" s="122" t="n"/>
      <c r="B653" s="107" t="n"/>
      <c r="C653" s="105" t="n"/>
      <c r="D653" s="92">
        <f>IF(C653="","",IFERROR(INDEX(Roster!$C$6:$C$65,IFERROR(MATCH(C653,Roster!$B$6:$B$65,0),MATCH(C653,Roster!$C$6:$C$65,0))),"not on the Roster"))</f>
        <v/>
      </c>
      <c r="E653" s="106" t="n"/>
      <c r="F653" s="104">
        <f>IF(OR(A653="",C653="",B653=""),"",IFERROR(INDEX(CHOOSE(IF(YEAR(A653)&gt;PlanYear,13,MONTH(A653)),'Jan'!$D$27:$AH$266,'Feb'!$D$27:$AH$266,'Mar'!$D$27:$AH$266,'Apr'!$D$27:$AH$266,'May'!$D$27:$AH$266,'Jun'!$D$27:$AH$266,'Jul'!$D$27:$AH$266,'Aug'!$D$27:$AH$266,'Sep'!$D$27:$AH$266,'Oct'!$D$27:$AH$266,'Nov'!$D$27:$AH$266,'Dec'!$D$27:$AH$266,'Jan (next year)'!$D$27:$AH$266),27+4*(IFERROR(MATCH(C653,Roster!$B$6:$B$65,0),MATCH(C653,Roster!$C$6:$C$65,0))-1)+MATCH(B653,{"AM","PM","NIGHT","WD"},0)-1-27+1,DAY(A653))&amp;"",""))</f>
        <v/>
      </c>
      <c r="G653" s="123">
        <f>IF(OR(A653="",C653="",B653="",E653=""),"",IFERROR(A653&amp;"|"&amp;(27+4*(IFERROR(MATCH(C653,Roster!$B$6:$B$65,0),MATCH(C653,Roster!$C$6:$C$65,0))-1)+MATCH(B653,{"AM","PM","NIGHT","WD"},0)-1),""))</f>
        <v/>
      </c>
    </row>
    <row r="654">
      <c r="A654" s="122" t="n"/>
      <c r="B654" s="107" t="n"/>
      <c r="C654" s="105" t="n"/>
      <c r="D654" s="92">
        <f>IF(C654="","",IFERROR(INDEX(Roster!$C$6:$C$65,IFERROR(MATCH(C654,Roster!$B$6:$B$65,0),MATCH(C654,Roster!$C$6:$C$65,0))),"not on the Roster"))</f>
        <v/>
      </c>
      <c r="E654" s="106" t="n"/>
      <c r="F654" s="104">
        <f>IF(OR(A654="",C654="",B654=""),"",IFERROR(INDEX(CHOOSE(IF(YEAR(A654)&gt;PlanYear,13,MONTH(A654)),'Jan'!$D$27:$AH$266,'Feb'!$D$27:$AH$266,'Mar'!$D$27:$AH$266,'Apr'!$D$27:$AH$266,'May'!$D$27:$AH$266,'Jun'!$D$27:$AH$266,'Jul'!$D$27:$AH$266,'Aug'!$D$27:$AH$266,'Sep'!$D$27:$AH$266,'Oct'!$D$27:$AH$266,'Nov'!$D$27:$AH$266,'Dec'!$D$27:$AH$266,'Jan (next year)'!$D$27:$AH$266),27+4*(IFERROR(MATCH(C654,Roster!$B$6:$B$65,0),MATCH(C654,Roster!$C$6:$C$65,0))-1)+MATCH(B654,{"AM","PM","NIGHT","WD"},0)-1-27+1,DAY(A654))&amp;"",""))</f>
        <v/>
      </c>
      <c r="G654" s="123">
        <f>IF(OR(A654="",C654="",B654="",E654=""),"",IFERROR(A654&amp;"|"&amp;(27+4*(IFERROR(MATCH(C654,Roster!$B$6:$B$65,0),MATCH(C654,Roster!$C$6:$C$65,0))-1)+MATCH(B654,{"AM","PM","NIGHT","WD"},0)-1),""))</f>
        <v/>
      </c>
    </row>
    <row r="655">
      <c r="A655" s="122" t="n"/>
      <c r="B655" s="107" t="n"/>
      <c r="C655" s="105" t="n"/>
      <c r="D655" s="92">
        <f>IF(C655="","",IFERROR(INDEX(Roster!$C$6:$C$65,IFERROR(MATCH(C655,Roster!$B$6:$B$65,0),MATCH(C655,Roster!$C$6:$C$65,0))),"not on the Roster"))</f>
        <v/>
      </c>
      <c r="E655" s="106" t="n"/>
      <c r="F655" s="104">
        <f>IF(OR(A655="",C655="",B655=""),"",IFERROR(INDEX(CHOOSE(IF(YEAR(A655)&gt;PlanYear,13,MONTH(A655)),'Jan'!$D$27:$AH$266,'Feb'!$D$27:$AH$266,'Mar'!$D$27:$AH$266,'Apr'!$D$27:$AH$266,'May'!$D$27:$AH$266,'Jun'!$D$27:$AH$266,'Jul'!$D$27:$AH$266,'Aug'!$D$27:$AH$266,'Sep'!$D$27:$AH$266,'Oct'!$D$27:$AH$266,'Nov'!$D$27:$AH$266,'Dec'!$D$27:$AH$266,'Jan (next year)'!$D$27:$AH$266),27+4*(IFERROR(MATCH(C655,Roster!$B$6:$B$65,0),MATCH(C655,Roster!$C$6:$C$65,0))-1)+MATCH(B655,{"AM","PM","NIGHT","WD"},0)-1-27+1,DAY(A655))&amp;"",""))</f>
        <v/>
      </c>
      <c r="G655" s="123">
        <f>IF(OR(A655="",C655="",B655="",E655=""),"",IFERROR(A655&amp;"|"&amp;(27+4*(IFERROR(MATCH(C655,Roster!$B$6:$B$65,0),MATCH(C655,Roster!$C$6:$C$65,0))-1)+MATCH(B655,{"AM","PM","NIGHT","WD"},0)-1),""))</f>
        <v/>
      </c>
    </row>
    <row r="656">
      <c r="A656" s="122" t="n"/>
      <c r="B656" s="107" t="n"/>
      <c r="C656" s="105" t="n"/>
      <c r="D656" s="92">
        <f>IF(C656="","",IFERROR(INDEX(Roster!$C$6:$C$65,IFERROR(MATCH(C656,Roster!$B$6:$B$65,0),MATCH(C656,Roster!$C$6:$C$65,0))),"not on the Roster"))</f>
        <v/>
      </c>
      <c r="E656" s="106" t="n"/>
      <c r="F656" s="104">
        <f>IF(OR(A656="",C656="",B656=""),"",IFERROR(INDEX(CHOOSE(IF(YEAR(A656)&gt;PlanYear,13,MONTH(A656)),'Jan'!$D$27:$AH$266,'Feb'!$D$27:$AH$266,'Mar'!$D$27:$AH$266,'Apr'!$D$27:$AH$266,'May'!$D$27:$AH$266,'Jun'!$D$27:$AH$266,'Jul'!$D$27:$AH$266,'Aug'!$D$27:$AH$266,'Sep'!$D$27:$AH$266,'Oct'!$D$27:$AH$266,'Nov'!$D$27:$AH$266,'Dec'!$D$27:$AH$266,'Jan (next year)'!$D$27:$AH$266),27+4*(IFERROR(MATCH(C656,Roster!$B$6:$B$65,0),MATCH(C656,Roster!$C$6:$C$65,0))-1)+MATCH(B656,{"AM","PM","NIGHT","WD"},0)-1-27+1,DAY(A656))&amp;"",""))</f>
        <v/>
      </c>
      <c r="G656" s="123">
        <f>IF(OR(A656="",C656="",B656="",E656=""),"",IFERROR(A656&amp;"|"&amp;(27+4*(IFERROR(MATCH(C656,Roster!$B$6:$B$65,0),MATCH(C656,Roster!$C$6:$C$65,0))-1)+MATCH(B656,{"AM","PM","NIGHT","WD"},0)-1),""))</f>
        <v/>
      </c>
    </row>
    <row r="657">
      <c r="A657" s="122" t="n"/>
      <c r="B657" s="107" t="n"/>
      <c r="C657" s="105" t="n"/>
      <c r="D657" s="92">
        <f>IF(C657="","",IFERROR(INDEX(Roster!$C$6:$C$65,IFERROR(MATCH(C657,Roster!$B$6:$B$65,0),MATCH(C657,Roster!$C$6:$C$65,0))),"not on the Roster"))</f>
        <v/>
      </c>
      <c r="E657" s="106" t="n"/>
      <c r="F657" s="104">
        <f>IF(OR(A657="",C657="",B657=""),"",IFERROR(INDEX(CHOOSE(IF(YEAR(A657)&gt;PlanYear,13,MONTH(A657)),'Jan'!$D$27:$AH$266,'Feb'!$D$27:$AH$266,'Mar'!$D$27:$AH$266,'Apr'!$D$27:$AH$266,'May'!$D$27:$AH$266,'Jun'!$D$27:$AH$266,'Jul'!$D$27:$AH$266,'Aug'!$D$27:$AH$266,'Sep'!$D$27:$AH$266,'Oct'!$D$27:$AH$266,'Nov'!$D$27:$AH$266,'Dec'!$D$27:$AH$266,'Jan (next year)'!$D$27:$AH$266),27+4*(IFERROR(MATCH(C657,Roster!$B$6:$B$65,0),MATCH(C657,Roster!$C$6:$C$65,0))-1)+MATCH(B657,{"AM","PM","NIGHT","WD"},0)-1-27+1,DAY(A657))&amp;"",""))</f>
        <v/>
      </c>
      <c r="G657" s="123">
        <f>IF(OR(A657="",C657="",B657="",E657=""),"",IFERROR(A657&amp;"|"&amp;(27+4*(IFERROR(MATCH(C657,Roster!$B$6:$B$65,0),MATCH(C657,Roster!$C$6:$C$65,0))-1)+MATCH(B657,{"AM","PM","NIGHT","WD"},0)-1),""))</f>
        <v/>
      </c>
    </row>
    <row r="658">
      <c r="A658" s="122" t="n"/>
      <c r="B658" s="107" t="n"/>
      <c r="C658" s="105" t="n"/>
      <c r="D658" s="92">
        <f>IF(C658="","",IFERROR(INDEX(Roster!$C$6:$C$65,IFERROR(MATCH(C658,Roster!$B$6:$B$65,0),MATCH(C658,Roster!$C$6:$C$65,0))),"not on the Roster"))</f>
        <v/>
      </c>
      <c r="E658" s="106" t="n"/>
      <c r="F658" s="104">
        <f>IF(OR(A658="",C658="",B658=""),"",IFERROR(INDEX(CHOOSE(IF(YEAR(A658)&gt;PlanYear,13,MONTH(A658)),'Jan'!$D$27:$AH$266,'Feb'!$D$27:$AH$266,'Mar'!$D$27:$AH$266,'Apr'!$D$27:$AH$266,'May'!$D$27:$AH$266,'Jun'!$D$27:$AH$266,'Jul'!$D$27:$AH$266,'Aug'!$D$27:$AH$266,'Sep'!$D$27:$AH$266,'Oct'!$D$27:$AH$266,'Nov'!$D$27:$AH$266,'Dec'!$D$27:$AH$266,'Jan (next year)'!$D$27:$AH$266),27+4*(IFERROR(MATCH(C658,Roster!$B$6:$B$65,0),MATCH(C658,Roster!$C$6:$C$65,0))-1)+MATCH(B658,{"AM","PM","NIGHT","WD"},0)-1-27+1,DAY(A658))&amp;"",""))</f>
        <v/>
      </c>
      <c r="G658" s="123">
        <f>IF(OR(A658="",C658="",B658="",E658=""),"",IFERROR(A658&amp;"|"&amp;(27+4*(IFERROR(MATCH(C658,Roster!$B$6:$B$65,0),MATCH(C658,Roster!$C$6:$C$65,0))-1)+MATCH(B658,{"AM","PM","NIGHT","WD"},0)-1),""))</f>
        <v/>
      </c>
    </row>
    <row r="659">
      <c r="A659" s="122" t="n"/>
      <c r="B659" s="107" t="n"/>
      <c r="C659" s="105" t="n"/>
      <c r="D659" s="92">
        <f>IF(C659="","",IFERROR(INDEX(Roster!$C$6:$C$65,IFERROR(MATCH(C659,Roster!$B$6:$B$65,0),MATCH(C659,Roster!$C$6:$C$65,0))),"not on the Roster"))</f>
        <v/>
      </c>
      <c r="E659" s="106" t="n"/>
      <c r="F659" s="104">
        <f>IF(OR(A659="",C659="",B659=""),"",IFERROR(INDEX(CHOOSE(IF(YEAR(A659)&gt;PlanYear,13,MONTH(A659)),'Jan'!$D$27:$AH$266,'Feb'!$D$27:$AH$266,'Mar'!$D$27:$AH$266,'Apr'!$D$27:$AH$266,'May'!$D$27:$AH$266,'Jun'!$D$27:$AH$266,'Jul'!$D$27:$AH$266,'Aug'!$D$27:$AH$266,'Sep'!$D$27:$AH$266,'Oct'!$D$27:$AH$266,'Nov'!$D$27:$AH$266,'Dec'!$D$27:$AH$266,'Jan (next year)'!$D$27:$AH$266),27+4*(IFERROR(MATCH(C659,Roster!$B$6:$B$65,0),MATCH(C659,Roster!$C$6:$C$65,0))-1)+MATCH(B659,{"AM","PM","NIGHT","WD"},0)-1-27+1,DAY(A659))&amp;"",""))</f>
        <v/>
      </c>
      <c r="G659" s="123">
        <f>IF(OR(A659="",C659="",B659="",E659=""),"",IFERROR(A659&amp;"|"&amp;(27+4*(IFERROR(MATCH(C659,Roster!$B$6:$B$65,0),MATCH(C659,Roster!$C$6:$C$65,0))-1)+MATCH(B659,{"AM","PM","NIGHT","WD"},0)-1),""))</f>
        <v/>
      </c>
    </row>
    <row r="660">
      <c r="A660" s="122" t="n"/>
      <c r="B660" s="107" t="n"/>
      <c r="C660" s="105" t="n"/>
      <c r="D660" s="92">
        <f>IF(C660="","",IFERROR(INDEX(Roster!$C$6:$C$65,IFERROR(MATCH(C660,Roster!$B$6:$B$65,0),MATCH(C660,Roster!$C$6:$C$65,0))),"not on the Roster"))</f>
        <v/>
      </c>
      <c r="E660" s="106" t="n"/>
      <c r="F660" s="104">
        <f>IF(OR(A660="",C660="",B660=""),"",IFERROR(INDEX(CHOOSE(IF(YEAR(A660)&gt;PlanYear,13,MONTH(A660)),'Jan'!$D$27:$AH$266,'Feb'!$D$27:$AH$266,'Mar'!$D$27:$AH$266,'Apr'!$D$27:$AH$266,'May'!$D$27:$AH$266,'Jun'!$D$27:$AH$266,'Jul'!$D$27:$AH$266,'Aug'!$D$27:$AH$266,'Sep'!$D$27:$AH$266,'Oct'!$D$27:$AH$266,'Nov'!$D$27:$AH$266,'Dec'!$D$27:$AH$266,'Jan (next year)'!$D$27:$AH$266),27+4*(IFERROR(MATCH(C660,Roster!$B$6:$B$65,0),MATCH(C660,Roster!$C$6:$C$65,0))-1)+MATCH(B660,{"AM","PM","NIGHT","WD"},0)-1-27+1,DAY(A660))&amp;"",""))</f>
        <v/>
      </c>
      <c r="G660" s="123">
        <f>IF(OR(A660="",C660="",B660="",E660=""),"",IFERROR(A660&amp;"|"&amp;(27+4*(IFERROR(MATCH(C660,Roster!$B$6:$B$65,0),MATCH(C660,Roster!$C$6:$C$65,0))-1)+MATCH(B660,{"AM","PM","NIGHT","WD"},0)-1),""))</f>
        <v/>
      </c>
    </row>
    <row r="661">
      <c r="A661" s="122" t="n"/>
      <c r="B661" s="107" t="n"/>
      <c r="C661" s="105" t="n"/>
      <c r="D661" s="92">
        <f>IF(C661="","",IFERROR(INDEX(Roster!$C$6:$C$65,IFERROR(MATCH(C661,Roster!$B$6:$B$65,0),MATCH(C661,Roster!$C$6:$C$65,0))),"not on the Roster"))</f>
        <v/>
      </c>
      <c r="E661" s="106" t="n"/>
      <c r="F661" s="104">
        <f>IF(OR(A661="",C661="",B661=""),"",IFERROR(INDEX(CHOOSE(IF(YEAR(A661)&gt;PlanYear,13,MONTH(A661)),'Jan'!$D$27:$AH$266,'Feb'!$D$27:$AH$266,'Mar'!$D$27:$AH$266,'Apr'!$D$27:$AH$266,'May'!$D$27:$AH$266,'Jun'!$D$27:$AH$266,'Jul'!$D$27:$AH$266,'Aug'!$D$27:$AH$266,'Sep'!$D$27:$AH$266,'Oct'!$D$27:$AH$266,'Nov'!$D$27:$AH$266,'Dec'!$D$27:$AH$266,'Jan (next year)'!$D$27:$AH$266),27+4*(IFERROR(MATCH(C661,Roster!$B$6:$B$65,0),MATCH(C661,Roster!$C$6:$C$65,0))-1)+MATCH(B661,{"AM","PM","NIGHT","WD"},0)-1-27+1,DAY(A661))&amp;"",""))</f>
        <v/>
      </c>
      <c r="G661" s="123">
        <f>IF(OR(A661="",C661="",B661="",E661=""),"",IFERROR(A661&amp;"|"&amp;(27+4*(IFERROR(MATCH(C661,Roster!$B$6:$B$65,0),MATCH(C661,Roster!$C$6:$C$65,0))-1)+MATCH(B661,{"AM","PM","NIGHT","WD"},0)-1),""))</f>
        <v/>
      </c>
    </row>
    <row r="662">
      <c r="A662" s="122" t="n"/>
      <c r="B662" s="107" t="n"/>
      <c r="C662" s="105" t="n"/>
      <c r="D662" s="92">
        <f>IF(C662="","",IFERROR(INDEX(Roster!$C$6:$C$65,IFERROR(MATCH(C662,Roster!$B$6:$B$65,0),MATCH(C662,Roster!$C$6:$C$65,0))),"not on the Roster"))</f>
        <v/>
      </c>
      <c r="E662" s="106" t="n"/>
      <c r="F662" s="104">
        <f>IF(OR(A662="",C662="",B662=""),"",IFERROR(INDEX(CHOOSE(IF(YEAR(A662)&gt;PlanYear,13,MONTH(A662)),'Jan'!$D$27:$AH$266,'Feb'!$D$27:$AH$266,'Mar'!$D$27:$AH$266,'Apr'!$D$27:$AH$266,'May'!$D$27:$AH$266,'Jun'!$D$27:$AH$266,'Jul'!$D$27:$AH$266,'Aug'!$D$27:$AH$266,'Sep'!$D$27:$AH$266,'Oct'!$D$27:$AH$266,'Nov'!$D$27:$AH$266,'Dec'!$D$27:$AH$266,'Jan (next year)'!$D$27:$AH$266),27+4*(IFERROR(MATCH(C662,Roster!$B$6:$B$65,0),MATCH(C662,Roster!$C$6:$C$65,0))-1)+MATCH(B662,{"AM","PM","NIGHT","WD"},0)-1-27+1,DAY(A662))&amp;"",""))</f>
        <v/>
      </c>
      <c r="G662" s="123">
        <f>IF(OR(A662="",C662="",B662="",E662=""),"",IFERROR(A662&amp;"|"&amp;(27+4*(IFERROR(MATCH(C662,Roster!$B$6:$B$65,0),MATCH(C662,Roster!$C$6:$C$65,0))-1)+MATCH(B662,{"AM","PM","NIGHT","WD"},0)-1),""))</f>
        <v/>
      </c>
    </row>
    <row r="663">
      <c r="A663" s="122" t="n"/>
      <c r="B663" s="107" t="n"/>
      <c r="C663" s="105" t="n"/>
      <c r="D663" s="92">
        <f>IF(C663="","",IFERROR(INDEX(Roster!$C$6:$C$65,IFERROR(MATCH(C663,Roster!$B$6:$B$65,0),MATCH(C663,Roster!$C$6:$C$65,0))),"not on the Roster"))</f>
        <v/>
      </c>
      <c r="E663" s="106" t="n"/>
      <c r="F663" s="104">
        <f>IF(OR(A663="",C663="",B663=""),"",IFERROR(INDEX(CHOOSE(IF(YEAR(A663)&gt;PlanYear,13,MONTH(A663)),'Jan'!$D$27:$AH$266,'Feb'!$D$27:$AH$266,'Mar'!$D$27:$AH$266,'Apr'!$D$27:$AH$266,'May'!$D$27:$AH$266,'Jun'!$D$27:$AH$266,'Jul'!$D$27:$AH$266,'Aug'!$D$27:$AH$266,'Sep'!$D$27:$AH$266,'Oct'!$D$27:$AH$266,'Nov'!$D$27:$AH$266,'Dec'!$D$27:$AH$266,'Jan (next year)'!$D$27:$AH$266),27+4*(IFERROR(MATCH(C663,Roster!$B$6:$B$65,0),MATCH(C663,Roster!$C$6:$C$65,0))-1)+MATCH(B663,{"AM","PM","NIGHT","WD"},0)-1-27+1,DAY(A663))&amp;"",""))</f>
        <v/>
      </c>
      <c r="G663" s="123">
        <f>IF(OR(A663="",C663="",B663="",E663=""),"",IFERROR(A663&amp;"|"&amp;(27+4*(IFERROR(MATCH(C663,Roster!$B$6:$B$65,0),MATCH(C663,Roster!$C$6:$C$65,0))-1)+MATCH(B663,{"AM","PM","NIGHT","WD"},0)-1),""))</f>
        <v/>
      </c>
    </row>
    <row r="664">
      <c r="A664" s="122" t="n"/>
      <c r="B664" s="107" t="n"/>
      <c r="C664" s="105" t="n"/>
      <c r="D664" s="92">
        <f>IF(C664="","",IFERROR(INDEX(Roster!$C$6:$C$65,IFERROR(MATCH(C664,Roster!$B$6:$B$65,0),MATCH(C664,Roster!$C$6:$C$65,0))),"not on the Roster"))</f>
        <v/>
      </c>
      <c r="E664" s="106" t="n"/>
      <c r="F664" s="104">
        <f>IF(OR(A664="",C664="",B664=""),"",IFERROR(INDEX(CHOOSE(IF(YEAR(A664)&gt;PlanYear,13,MONTH(A664)),'Jan'!$D$27:$AH$266,'Feb'!$D$27:$AH$266,'Mar'!$D$27:$AH$266,'Apr'!$D$27:$AH$266,'May'!$D$27:$AH$266,'Jun'!$D$27:$AH$266,'Jul'!$D$27:$AH$266,'Aug'!$D$27:$AH$266,'Sep'!$D$27:$AH$266,'Oct'!$D$27:$AH$266,'Nov'!$D$27:$AH$266,'Dec'!$D$27:$AH$266,'Jan (next year)'!$D$27:$AH$266),27+4*(IFERROR(MATCH(C664,Roster!$B$6:$B$65,0),MATCH(C664,Roster!$C$6:$C$65,0))-1)+MATCH(B664,{"AM","PM","NIGHT","WD"},0)-1-27+1,DAY(A664))&amp;"",""))</f>
        <v/>
      </c>
      <c r="G664" s="123">
        <f>IF(OR(A664="",C664="",B664="",E664=""),"",IFERROR(A664&amp;"|"&amp;(27+4*(IFERROR(MATCH(C664,Roster!$B$6:$B$65,0),MATCH(C664,Roster!$C$6:$C$65,0))-1)+MATCH(B664,{"AM","PM","NIGHT","WD"},0)-1),""))</f>
        <v/>
      </c>
    </row>
    <row r="665">
      <c r="A665" s="122" t="n"/>
      <c r="B665" s="107" t="n"/>
      <c r="C665" s="105" t="n"/>
      <c r="D665" s="92">
        <f>IF(C665="","",IFERROR(INDEX(Roster!$C$6:$C$65,IFERROR(MATCH(C665,Roster!$B$6:$B$65,0),MATCH(C665,Roster!$C$6:$C$65,0))),"not on the Roster"))</f>
        <v/>
      </c>
      <c r="E665" s="106" t="n"/>
      <c r="F665" s="104">
        <f>IF(OR(A665="",C665="",B665=""),"",IFERROR(INDEX(CHOOSE(IF(YEAR(A665)&gt;PlanYear,13,MONTH(A665)),'Jan'!$D$27:$AH$266,'Feb'!$D$27:$AH$266,'Mar'!$D$27:$AH$266,'Apr'!$D$27:$AH$266,'May'!$D$27:$AH$266,'Jun'!$D$27:$AH$266,'Jul'!$D$27:$AH$266,'Aug'!$D$27:$AH$266,'Sep'!$D$27:$AH$266,'Oct'!$D$27:$AH$266,'Nov'!$D$27:$AH$266,'Dec'!$D$27:$AH$266,'Jan (next year)'!$D$27:$AH$266),27+4*(IFERROR(MATCH(C665,Roster!$B$6:$B$65,0),MATCH(C665,Roster!$C$6:$C$65,0))-1)+MATCH(B665,{"AM","PM","NIGHT","WD"},0)-1-27+1,DAY(A665))&amp;"",""))</f>
        <v/>
      </c>
      <c r="G665" s="123">
        <f>IF(OR(A665="",C665="",B665="",E665=""),"",IFERROR(A665&amp;"|"&amp;(27+4*(IFERROR(MATCH(C665,Roster!$B$6:$B$65,0),MATCH(C665,Roster!$C$6:$C$65,0))-1)+MATCH(B665,{"AM","PM","NIGHT","WD"},0)-1),""))</f>
        <v/>
      </c>
    </row>
    <row r="666">
      <c r="A666" s="122" t="n"/>
      <c r="B666" s="107" t="n"/>
      <c r="C666" s="105" t="n"/>
      <c r="D666" s="92">
        <f>IF(C666="","",IFERROR(INDEX(Roster!$C$6:$C$65,IFERROR(MATCH(C666,Roster!$B$6:$B$65,0),MATCH(C666,Roster!$C$6:$C$65,0))),"not on the Roster"))</f>
        <v/>
      </c>
      <c r="E666" s="106" t="n"/>
      <c r="F666" s="104">
        <f>IF(OR(A666="",C666="",B666=""),"",IFERROR(INDEX(CHOOSE(IF(YEAR(A666)&gt;PlanYear,13,MONTH(A666)),'Jan'!$D$27:$AH$266,'Feb'!$D$27:$AH$266,'Mar'!$D$27:$AH$266,'Apr'!$D$27:$AH$266,'May'!$D$27:$AH$266,'Jun'!$D$27:$AH$266,'Jul'!$D$27:$AH$266,'Aug'!$D$27:$AH$266,'Sep'!$D$27:$AH$266,'Oct'!$D$27:$AH$266,'Nov'!$D$27:$AH$266,'Dec'!$D$27:$AH$266,'Jan (next year)'!$D$27:$AH$266),27+4*(IFERROR(MATCH(C666,Roster!$B$6:$B$65,0),MATCH(C666,Roster!$C$6:$C$65,0))-1)+MATCH(B666,{"AM","PM","NIGHT","WD"},0)-1-27+1,DAY(A666))&amp;"",""))</f>
        <v/>
      </c>
      <c r="G666" s="123">
        <f>IF(OR(A666="",C666="",B666="",E666=""),"",IFERROR(A666&amp;"|"&amp;(27+4*(IFERROR(MATCH(C666,Roster!$B$6:$B$65,0),MATCH(C666,Roster!$C$6:$C$65,0))-1)+MATCH(B666,{"AM","PM","NIGHT","WD"},0)-1),""))</f>
        <v/>
      </c>
    </row>
    <row r="667">
      <c r="A667" s="122" t="n"/>
      <c r="B667" s="107" t="n"/>
      <c r="C667" s="105" t="n"/>
      <c r="D667" s="92">
        <f>IF(C667="","",IFERROR(INDEX(Roster!$C$6:$C$65,IFERROR(MATCH(C667,Roster!$B$6:$B$65,0),MATCH(C667,Roster!$C$6:$C$65,0))),"not on the Roster"))</f>
        <v/>
      </c>
      <c r="E667" s="106" t="n"/>
      <c r="F667" s="104">
        <f>IF(OR(A667="",C667="",B667=""),"",IFERROR(INDEX(CHOOSE(IF(YEAR(A667)&gt;PlanYear,13,MONTH(A667)),'Jan'!$D$27:$AH$266,'Feb'!$D$27:$AH$266,'Mar'!$D$27:$AH$266,'Apr'!$D$27:$AH$266,'May'!$D$27:$AH$266,'Jun'!$D$27:$AH$266,'Jul'!$D$27:$AH$266,'Aug'!$D$27:$AH$266,'Sep'!$D$27:$AH$266,'Oct'!$D$27:$AH$266,'Nov'!$D$27:$AH$266,'Dec'!$D$27:$AH$266,'Jan (next year)'!$D$27:$AH$266),27+4*(IFERROR(MATCH(C667,Roster!$B$6:$B$65,0),MATCH(C667,Roster!$C$6:$C$65,0))-1)+MATCH(B667,{"AM","PM","NIGHT","WD"},0)-1-27+1,DAY(A667))&amp;"",""))</f>
        <v/>
      </c>
      <c r="G667" s="123">
        <f>IF(OR(A667="",C667="",B667="",E667=""),"",IFERROR(A667&amp;"|"&amp;(27+4*(IFERROR(MATCH(C667,Roster!$B$6:$B$65,0),MATCH(C667,Roster!$C$6:$C$65,0))-1)+MATCH(B667,{"AM","PM","NIGHT","WD"},0)-1),""))</f>
        <v/>
      </c>
    </row>
    <row r="668">
      <c r="A668" s="122" t="n"/>
      <c r="B668" s="107" t="n"/>
      <c r="C668" s="105" t="n"/>
      <c r="D668" s="92">
        <f>IF(C668="","",IFERROR(INDEX(Roster!$C$6:$C$65,IFERROR(MATCH(C668,Roster!$B$6:$B$65,0),MATCH(C668,Roster!$C$6:$C$65,0))),"not on the Roster"))</f>
        <v/>
      </c>
      <c r="E668" s="106" t="n"/>
      <c r="F668" s="104">
        <f>IF(OR(A668="",C668="",B668=""),"",IFERROR(INDEX(CHOOSE(IF(YEAR(A668)&gt;PlanYear,13,MONTH(A668)),'Jan'!$D$27:$AH$266,'Feb'!$D$27:$AH$266,'Mar'!$D$27:$AH$266,'Apr'!$D$27:$AH$266,'May'!$D$27:$AH$266,'Jun'!$D$27:$AH$266,'Jul'!$D$27:$AH$266,'Aug'!$D$27:$AH$266,'Sep'!$D$27:$AH$266,'Oct'!$D$27:$AH$266,'Nov'!$D$27:$AH$266,'Dec'!$D$27:$AH$266,'Jan (next year)'!$D$27:$AH$266),27+4*(IFERROR(MATCH(C668,Roster!$B$6:$B$65,0),MATCH(C668,Roster!$C$6:$C$65,0))-1)+MATCH(B668,{"AM","PM","NIGHT","WD"},0)-1-27+1,DAY(A668))&amp;"",""))</f>
        <v/>
      </c>
      <c r="G668" s="123">
        <f>IF(OR(A668="",C668="",B668="",E668=""),"",IFERROR(A668&amp;"|"&amp;(27+4*(IFERROR(MATCH(C668,Roster!$B$6:$B$65,0),MATCH(C668,Roster!$C$6:$C$65,0))-1)+MATCH(B668,{"AM","PM","NIGHT","WD"},0)-1),""))</f>
        <v/>
      </c>
    </row>
    <row r="669">
      <c r="A669" s="122" t="n"/>
      <c r="B669" s="107" t="n"/>
      <c r="C669" s="105" t="n"/>
      <c r="D669" s="92">
        <f>IF(C669="","",IFERROR(INDEX(Roster!$C$6:$C$65,IFERROR(MATCH(C669,Roster!$B$6:$B$65,0),MATCH(C669,Roster!$C$6:$C$65,0))),"not on the Roster"))</f>
        <v/>
      </c>
      <c r="E669" s="106" t="n"/>
      <c r="F669" s="104">
        <f>IF(OR(A669="",C669="",B669=""),"",IFERROR(INDEX(CHOOSE(IF(YEAR(A669)&gt;PlanYear,13,MONTH(A669)),'Jan'!$D$27:$AH$266,'Feb'!$D$27:$AH$266,'Mar'!$D$27:$AH$266,'Apr'!$D$27:$AH$266,'May'!$D$27:$AH$266,'Jun'!$D$27:$AH$266,'Jul'!$D$27:$AH$266,'Aug'!$D$27:$AH$266,'Sep'!$D$27:$AH$266,'Oct'!$D$27:$AH$266,'Nov'!$D$27:$AH$266,'Dec'!$D$27:$AH$266,'Jan (next year)'!$D$27:$AH$266),27+4*(IFERROR(MATCH(C669,Roster!$B$6:$B$65,0),MATCH(C669,Roster!$C$6:$C$65,0))-1)+MATCH(B669,{"AM","PM","NIGHT","WD"},0)-1-27+1,DAY(A669))&amp;"",""))</f>
        <v/>
      </c>
      <c r="G669" s="123">
        <f>IF(OR(A669="",C669="",B669="",E669=""),"",IFERROR(A669&amp;"|"&amp;(27+4*(IFERROR(MATCH(C669,Roster!$B$6:$B$65,0),MATCH(C669,Roster!$C$6:$C$65,0))-1)+MATCH(B669,{"AM","PM","NIGHT","WD"},0)-1),""))</f>
        <v/>
      </c>
    </row>
    <row r="670">
      <c r="A670" s="122" t="n"/>
      <c r="B670" s="107" t="n"/>
      <c r="C670" s="105" t="n"/>
      <c r="D670" s="92">
        <f>IF(C670="","",IFERROR(INDEX(Roster!$C$6:$C$65,IFERROR(MATCH(C670,Roster!$B$6:$B$65,0),MATCH(C670,Roster!$C$6:$C$65,0))),"not on the Roster"))</f>
        <v/>
      </c>
      <c r="E670" s="106" t="n"/>
      <c r="F670" s="104">
        <f>IF(OR(A670="",C670="",B670=""),"",IFERROR(INDEX(CHOOSE(IF(YEAR(A670)&gt;PlanYear,13,MONTH(A670)),'Jan'!$D$27:$AH$266,'Feb'!$D$27:$AH$266,'Mar'!$D$27:$AH$266,'Apr'!$D$27:$AH$266,'May'!$D$27:$AH$266,'Jun'!$D$27:$AH$266,'Jul'!$D$27:$AH$266,'Aug'!$D$27:$AH$266,'Sep'!$D$27:$AH$266,'Oct'!$D$27:$AH$266,'Nov'!$D$27:$AH$266,'Dec'!$D$27:$AH$266,'Jan (next year)'!$D$27:$AH$266),27+4*(IFERROR(MATCH(C670,Roster!$B$6:$B$65,0),MATCH(C670,Roster!$C$6:$C$65,0))-1)+MATCH(B670,{"AM","PM","NIGHT","WD"},0)-1-27+1,DAY(A670))&amp;"",""))</f>
        <v/>
      </c>
      <c r="G670" s="123">
        <f>IF(OR(A670="",C670="",B670="",E670=""),"",IFERROR(A670&amp;"|"&amp;(27+4*(IFERROR(MATCH(C670,Roster!$B$6:$B$65,0),MATCH(C670,Roster!$C$6:$C$65,0))-1)+MATCH(B670,{"AM","PM","NIGHT","WD"},0)-1),""))</f>
        <v/>
      </c>
    </row>
    <row r="671">
      <c r="A671" s="122" t="n"/>
      <c r="B671" s="107" t="n"/>
      <c r="C671" s="105" t="n"/>
      <c r="D671" s="92">
        <f>IF(C671="","",IFERROR(INDEX(Roster!$C$6:$C$65,IFERROR(MATCH(C671,Roster!$B$6:$B$65,0),MATCH(C671,Roster!$C$6:$C$65,0))),"not on the Roster"))</f>
        <v/>
      </c>
      <c r="E671" s="106" t="n"/>
      <c r="F671" s="104">
        <f>IF(OR(A671="",C671="",B671=""),"",IFERROR(INDEX(CHOOSE(IF(YEAR(A671)&gt;PlanYear,13,MONTH(A671)),'Jan'!$D$27:$AH$266,'Feb'!$D$27:$AH$266,'Mar'!$D$27:$AH$266,'Apr'!$D$27:$AH$266,'May'!$D$27:$AH$266,'Jun'!$D$27:$AH$266,'Jul'!$D$27:$AH$266,'Aug'!$D$27:$AH$266,'Sep'!$D$27:$AH$266,'Oct'!$D$27:$AH$266,'Nov'!$D$27:$AH$266,'Dec'!$D$27:$AH$266,'Jan (next year)'!$D$27:$AH$266),27+4*(IFERROR(MATCH(C671,Roster!$B$6:$B$65,0),MATCH(C671,Roster!$C$6:$C$65,0))-1)+MATCH(B671,{"AM","PM","NIGHT","WD"},0)-1-27+1,DAY(A671))&amp;"",""))</f>
        <v/>
      </c>
      <c r="G671" s="123">
        <f>IF(OR(A671="",C671="",B671="",E671=""),"",IFERROR(A671&amp;"|"&amp;(27+4*(IFERROR(MATCH(C671,Roster!$B$6:$B$65,0),MATCH(C671,Roster!$C$6:$C$65,0))-1)+MATCH(B671,{"AM","PM","NIGHT","WD"},0)-1),""))</f>
        <v/>
      </c>
    </row>
    <row r="672">
      <c r="A672" s="122" t="n"/>
      <c r="B672" s="107" t="n"/>
      <c r="C672" s="105" t="n"/>
      <c r="D672" s="92">
        <f>IF(C672="","",IFERROR(INDEX(Roster!$C$6:$C$65,IFERROR(MATCH(C672,Roster!$B$6:$B$65,0),MATCH(C672,Roster!$C$6:$C$65,0))),"not on the Roster"))</f>
        <v/>
      </c>
      <c r="E672" s="106" t="n"/>
      <c r="F672" s="104">
        <f>IF(OR(A672="",C672="",B672=""),"",IFERROR(INDEX(CHOOSE(IF(YEAR(A672)&gt;PlanYear,13,MONTH(A672)),'Jan'!$D$27:$AH$266,'Feb'!$D$27:$AH$266,'Mar'!$D$27:$AH$266,'Apr'!$D$27:$AH$266,'May'!$D$27:$AH$266,'Jun'!$D$27:$AH$266,'Jul'!$D$27:$AH$266,'Aug'!$D$27:$AH$266,'Sep'!$D$27:$AH$266,'Oct'!$D$27:$AH$266,'Nov'!$D$27:$AH$266,'Dec'!$D$27:$AH$266,'Jan (next year)'!$D$27:$AH$266),27+4*(IFERROR(MATCH(C672,Roster!$B$6:$B$65,0),MATCH(C672,Roster!$C$6:$C$65,0))-1)+MATCH(B672,{"AM","PM","NIGHT","WD"},0)-1-27+1,DAY(A672))&amp;"",""))</f>
        <v/>
      </c>
      <c r="G672" s="123">
        <f>IF(OR(A672="",C672="",B672="",E672=""),"",IFERROR(A672&amp;"|"&amp;(27+4*(IFERROR(MATCH(C672,Roster!$B$6:$B$65,0),MATCH(C672,Roster!$C$6:$C$65,0))-1)+MATCH(B672,{"AM","PM","NIGHT","WD"},0)-1),""))</f>
        <v/>
      </c>
    </row>
    <row r="673">
      <c r="A673" s="122" t="n"/>
      <c r="B673" s="107" t="n"/>
      <c r="C673" s="105" t="n"/>
      <c r="D673" s="92">
        <f>IF(C673="","",IFERROR(INDEX(Roster!$C$6:$C$65,IFERROR(MATCH(C673,Roster!$B$6:$B$65,0),MATCH(C673,Roster!$C$6:$C$65,0))),"not on the Roster"))</f>
        <v/>
      </c>
      <c r="E673" s="106" t="n"/>
      <c r="F673" s="104">
        <f>IF(OR(A673="",C673="",B673=""),"",IFERROR(INDEX(CHOOSE(IF(YEAR(A673)&gt;PlanYear,13,MONTH(A673)),'Jan'!$D$27:$AH$266,'Feb'!$D$27:$AH$266,'Mar'!$D$27:$AH$266,'Apr'!$D$27:$AH$266,'May'!$D$27:$AH$266,'Jun'!$D$27:$AH$266,'Jul'!$D$27:$AH$266,'Aug'!$D$27:$AH$266,'Sep'!$D$27:$AH$266,'Oct'!$D$27:$AH$266,'Nov'!$D$27:$AH$266,'Dec'!$D$27:$AH$266,'Jan (next year)'!$D$27:$AH$266),27+4*(IFERROR(MATCH(C673,Roster!$B$6:$B$65,0),MATCH(C673,Roster!$C$6:$C$65,0))-1)+MATCH(B673,{"AM","PM","NIGHT","WD"},0)-1-27+1,DAY(A673))&amp;"",""))</f>
        <v/>
      </c>
      <c r="G673" s="123">
        <f>IF(OR(A673="",C673="",B673="",E673=""),"",IFERROR(A673&amp;"|"&amp;(27+4*(IFERROR(MATCH(C673,Roster!$B$6:$B$65,0),MATCH(C673,Roster!$C$6:$C$65,0))-1)+MATCH(B673,{"AM","PM","NIGHT","WD"},0)-1),""))</f>
        <v/>
      </c>
    </row>
    <row r="674">
      <c r="A674" s="122" t="n"/>
      <c r="B674" s="107" t="n"/>
      <c r="C674" s="105" t="n"/>
      <c r="D674" s="92">
        <f>IF(C674="","",IFERROR(INDEX(Roster!$C$6:$C$65,IFERROR(MATCH(C674,Roster!$B$6:$B$65,0),MATCH(C674,Roster!$C$6:$C$65,0))),"not on the Roster"))</f>
        <v/>
      </c>
      <c r="E674" s="106" t="n"/>
      <c r="F674" s="104">
        <f>IF(OR(A674="",C674="",B674=""),"",IFERROR(INDEX(CHOOSE(IF(YEAR(A674)&gt;PlanYear,13,MONTH(A674)),'Jan'!$D$27:$AH$266,'Feb'!$D$27:$AH$266,'Mar'!$D$27:$AH$266,'Apr'!$D$27:$AH$266,'May'!$D$27:$AH$266,'Jun'!$D$27:$AH$266,'Jul'!$D$27:$AH$266,'Aug'!$D$27:$AH$266,'Sep'!$D$27:$AH$266,'Oct'!$D$27:$AH$266,'Nov'!$D$27:$AH$266,'Dec'!$D$27:$AH$266,'Jan (next year)'!$D$27:$AH$266),27+4*(IFERROR(MATCH(C674,Roster!$B$6:$B$65,0),MATCH(C674,Roster!$C$6:$C$65,0))-1)+MATCH(B674,{"AM","PM","NIGHT","WD"},0)-1-27+1,DAY(A674))&amp;"",""))</f>
        <v/>
      </c>
      <c r="G674" s="123">
        <f>IF(OR(A674="",C674="",B674="",E674=""),"",IFERROR(A674&amp;"|"&amp;(27+4*(IFERROR(MATCH(C674,Roster!$B$6:$B$65,0),MATCH(C674,Roster!$C$6:$C$65,0))-1)+MATCH(B674,{"AM","PM","NIGHT","WD"},0)-1),""))</f>
        <v/>
      </c>
    </row>
    <row r="675">
      <c r="A675" s="122" t="n"/>
      <c r="B675" s="107" t="n"/>
      <c r="C675" s="105" t="n"/>
      <c r="D675" s="92">
        <f>IF(C675="","",IFERROR(INDEX(Roster!$C$6:$C$65,IFERROR(MATCH(C675,Roster!$B$6:$B$65,0),MATCH(C675,Roster!$C$6:$C$65,0))),"not on the Roster"))</f>
        <v/>
      </c>
      <c r="E675" s="106" t="n"/>
      <c r="F675" s="104">
        <f>IF(OR(A675="",C675="",B675=""),"",IFERROR(INDEX(CHOOSE(IF(YEAR(A675)&gt;PlanYear,13,MONTH(A675)),'Jan'!$D$27:$AH$266,'Feb'!$D$27:$AH$266,'Mar'!$D$27:$AH$266,'Apr'!$D$27:$AH$266,'May'!$D$27:$AH$266,'Jun'!$D$27:$AH$266,'Jul'!$D$27:$AH$266,'Aug'!$D$27:$AH$266,'Sep'!$D$27:$AH$266,'Oct'!$D$27:$AH$266,'Nov'!$D$27:$AH$266,'Dec'!$D$27:$AH$266,'Jan (next year)'!$D$27:$AH$266),27+4*(IFERROR(MATCH(C675,Roster!$B$6:$B$65,0),MATCH(C675,Roster!$C$6:$C$65,0))-1)+MATCH(B675,{"AM","PM","NIGHT","WD"},0)-1-27+1,DAY(A675))&amp;"",""))</f>
        <v/>
      </c>
      <c r="G675" s="123">
        <f>IF(OR(A675="",C675="",B675="",E675=""),"",IFERROR(A675&amp;"|"&amp;(27+4*(IFERROR(MATCH(C675,Roster!$B$6:$B$65,0),MATCH(C675,Roster!$C$6:$C$65,0))-1)+MATCH(B675,{"AM","PM","NIGHT","WD"},0)-1),""))</f>
        <v/>
      </c>
    </row>
    <row r="676">
      <c r="A676" s="122" t="n"/>
      <c r="B676" s="107" t="n"/>
      <c r="C676" s="105" t="n"/>
      <c r="D676" s="92">
        <f>IF(C676="","",IFERROR(INDEX(Roster!$C$6:$C$65,IFERROR(MATCH(C676,Roster!$B$6:$B$65,0),MATCH(C676,Roster!$C$6:$C$65,0))),"not on the Roster"))</f>
        <v/>
      </c>
      <c r="E676" s="106" t="n"/>
      <c r="F676" s="104">
        <f>IF(OR(A676="",C676="",B676=""),"",IFERROR(INDEX(CHOOSE(IF(YEAR(A676)&gt;PlanYear,13,MONTH(A676)),'Jan'!$D$27:$AH$266,'Feb'!$D$27:$AH$266,'Mar'!$D$27:$AH$266,'Apr'!$D$27:$AH$266,'May'!$D$27:$AH$266,'Jun'!$D$27:$AH$266,'Jul'!$D$27:$AH$266,'Aug'!$D$27:$AH$266,'Sep'!$D$27:$AH$266,'Oct'!$D$27:$AH$266,'Nov'!$D$27:$AH$266,'Dec'!$D$27:$AH$266,'Jan (next year)'!$D$27:$AH$266),27+4*(IFERROR(MATCH(C676,Roster!$B$6:$B$65,0),MATCH(C676,Roster!$C$6:$C$65,0))-1)+MATCH(B676,{"AM","PM","NIGHT","WD"},0)-1-27+1,DAY(A676))&amp;"",""))</f>
        <v/>
      </c>
      <c r="G676" s="123">
        <f>IF(OR(A676="",C676="",B676="",E676=""),"",IFERROR(A676&amp;"|"&amp;(27+4*(IFERROR(MATCH(C676,Roster!$B$6:$B$65,0),MATCH(C676,Roster!$C$6:$C$65,0))-1)+MATCH(B676,{"AM","PM","NIGHT","WD"},0)-1),""))</f>
        <v/>
      </c>
    </row>
    <row r="677">
      <c r="A677" s="122" t="n"/>
      <c r="B677" s="107" t="n"/>
      <c r="C677" s="105" t="n"/>
      <c r="D677" s="92">
        <f>IF(C677="","",IFERROR(INDEX(Roster!$C$6:$C$65,IFERROR(MATCH(C677,Roster!$B$6:$B$65,0),MATCH(C677,Roster!$C$6:$C$65,0))),"not on the Roster"))</f>
        <v/>
      </c>
      <c r="E677" s="106" t="n"/>
      <c r="F677" s="104">
        <f>IF(OR(A677="",C677="",B677=""),"",IFERROR(INDEX(CHOOSE(IF(YEAR(A677)&gt;PlanYear,13,MONTH(A677)),'Jan'!$D$27:$AH$266,'Feb'!$D$27:$AH$266,'Mar'!$D$27:$AH$266,'Apr'!$D$27:$AH$266,'May'!$D$27:$AH$266,'Jun'!$D$27:$AH$266,'Jul'!$D$27:$AH$266,'Aug'!$D$27:$AH$266,'Sep'!$D$27:$AH$266,'Oct'!$D$27:$AH$266,'Nov'!$D$27:$AH$266,'Dec'!$D$27:$AH$266,'Jan (next year)'!$D$27:$AH$266),27+4*(IFERROR(MATCH(C677,Roster!$B$6:$B$65,0),MATCH(C677,Roster!$C$6:$C$65,0))-1)+MATCH(B677,{"AM","PM","NIGHT","WD"},0)-1-27+1,DAY(A677))&amp;"",""))</f>
        <v/>
      </c>
      <c r="G677" s="123">
        <f>IF(OR(A677="",C677="",B677="",E677=""),"",IFERROR(A677&amp;"|"&amp;(27+4*(IFERROR(MATCH(C677,Roster!$B$6:$B$65,0),MATCH(C677,Roster!$C$6:$C$65,0))-1)+MATCH(B677,{"AM","PM","NIGHT","WD"},0)-1),""))</f>
        <v/>
      </c>
    </row>
    <row r="678">
      <c r="A678" s="122" t="n"/>
      <c r="B678" s="107" t="n"/>
      <c r="C678" s="105" t="n"/>
      <c r="D678" s="92">
        <f>IF(C678="","",IFERROR(INDEX(Roster!$C$6:$C$65,IFERROR(MATCH(C678,Roster!$B$6:$B$65,0),MATCH(C678,Roster!$C$6:$C$65,0))),"not on the Roster"))</f>
        <v/>
      </c>
      <c r="E678" s="106" t="n"/>
      <c r="F678" s="104">
        <f>IF(OR(A678="",C678="",B678=""),"",IFERROR(INDEX(CHOOSE(IF(YEAR(A678)&gt;PlanYear,13,MONTH(A678)),'Jan'!$D$27:$AH$266,'Feb'!$D$27:$AH$266,'Mar'!$D$27:$AH$266,'Apr'!$D$27:$AH$266,'May'!$D$27:$AH$266,'Jun'!$D$27:$AH$266,'Jul'!$D$27:$AH$266,'Aug'!$D$27:$AH$266,'Sep'!$D$27:$AH$266,'Oct'!$D$27:$AH$266,'Nov'!$D$27:$AH$266,'Dec'!$D$27:$AH$266,'Jan (next year)'!$D$27:$AH$266),27+4*(IFERROR(MATCH(C678,Roster!$B$6:$B$65,0),MATCH(C678,Roster!$C$6:$C$65,0))-1)+MATCH(B678,{"AM","PM","NIGHT","WD"},0)-1-27+1,DAY(A678))&amp;"",""))</f>
        <v/>
      </c>
      <c r="G678" s="123">
        <f>IF(OR(A678="",C678="",B678="",E678=""),"",IFERROR(A678&amp;"|"&amp;(27+4*(IFERROR(MATCH(C678,Roster!$B$6:$B$65,0),MATCH(C678,Roster!$C$6:$C$65,0))-1)+MATCH(B678,{"AM","PM","NIGHT","WD"},0)-1),""))</f>
        <v/>
      </c>
    </row>
    <row r="679">
      <c r="A679" s="122" t="n"/>
      <c r="B679" s="107" t="n"/>
      <c r="C679" s="105" t="n"/>
      <c r="D679" s="92">
        <f>IF(C679="","",IFERROR(INDEX(Roster!$C$6:$C$65,IFERROR(MATCH(C679,Roster!$B$6:$B$65,0),MATCH(C679,Roster!$C$6:$C$65,0))),"not on the Roster"))</f>
        <v/>
      </c>
      <c r="E679" s="106" t="n"/>
      <c r="F679" s="104">
        <f>IF(OR(A679="",C679="",B679=""),"",IFERROR(INDEX(CHOOSE(IF(YEAR(A679)&gt;PlanYear,13,MONTH(A679)),'Jan'!$D$27:$AH$266,'Feb'!$D$27:$AH$266,'Mar'!$D$27:$AH$266,'Apr'!$D$27:$AH$266,'May'!$D$27:$AH$266,'Jun'!$D$27:$AH$266,'Jul'!$D$27:$AH$266,'Aug'!$D$27:$AH$266,'Sep'!$D$27:$AH$266,'Oct'!$D$27:$AH$266,'Nov'!$D$27:$AH$266,'Dec'!$D$27:$AH$266,'Jan (next year)'!$D$27:$AH$266),27+4*(IFERROR(MATCH(C679,Roster!$B$6:$B$65,0),MATCH(C679,Roster!$C$6:$C$65,0))-1)+MATCH(B679,{"AM","PM","NIGHT","WD"},0)-1-27+1,DAY(A679))&amp;"",""))</f>
        <v/>
      </c>
      <c r="G679" s="123">
        <f>IF(OR(A679="",C679="",B679="",E679=""),"",IFERROR(A679&amp;"|"&amp;(27+4*(IFERROR(MATCH(C679,Roster!$B$6:$B$65,0),MATCH(C679,Roster!$C$6:$C$65,0))-1)+MATCH(B679,{"AM","PM","NIGHT","WD"},0)-1),""))</f>
        <v/>
      </c>
    </row>
    <row r="680">
      <c r="A680" s="122" t="n"/>
      <c r="B680" s="107" t="n"/>
      <c r="C680" s="105" t="n"/>
      <c r="D680" s="92">
        <f>IF(C680="","",IFERROR(INDEX(Roster!$C$6:$C$65,IFERROR(MATCH(C680,Roster!$B$6:$B$65,0),MATCH(C680,Roster!$C$6:$C$65,0))),"not on the Roster"))</f>
        <v/>
      </c>
      <c r="E680" s="106" t="n"/>
      <c r="F680" s="104">
        <f>IF(OR(A680="",C680="",B680=""),"",IFERROR(INDEX(CHOOSE(IF(YEAR(A680)&gt;PlanYear,13,MONTH(A680)),'Jan'!$D$27:$AH$266,'Feb'!$D$27:$AH$266,'Mar'!$D$27:$AH$266,'Apr'!$D$27:$AH$266,'May'!$D$27:$AH$266,'Jun'!$D$27:$AH$266,'Jul'!$D$27:$AH$266,'Aug'!$D$27:$AH$266,'Sep'!$D$27:$AH$266,'Oct'!$D$27:$AH$266,'Nov'!$D$27:$AH$266,'Dec'!$D$27:$AH$266,'Jan (next year)'!$D$27:$AH$266),27+4*(IFERROR(MATCH(C680,Roster!$B$6:$B$65,0),MATCH(C680,Roster!$C$6:$C$65,0))-1)+MATCH(B680,{"AM","PM","NIGHT","WD"},0)-1-27+1,DAY(A680))&amp;"",""))</f>
        <v/>
      </c>
      <c r="G680" s="123">
        <f>IF(OR(A680="",C680="",B680="",E680=""),"",IFERROR(A680&amp;"|"&amp;(27+4*(IFERROR(MATCH(C680,Roster!$B$6:$B$65,0),MATCH(C680,Roster!$C$6:$C$65,0))-1)+MATCH(B680,{"AM","PM","NIGHT","WD"},0)-1),""))</f>
        <v/>
      </c>
    </row>
    <row r="681">
      <c r="A681" s="122" t="n"/>
      <c r="B681" s="107" t="n"/>
      <c r="C681" s="105" t="n"/>
      <c r="D681" s="92">
        <f>IF(C681="","",IFERROR(INDEX(Roster!$C$6:$C$65,IFERROR(MATCH(C681,Roster!$B$6:$B$65,0),MATCH(C681,Roster!$C$6:$C$65,0))),"not on the Roster"))</f>
        <v/>
      </c>
      <c r="E681" s="106" t="n"/>
      <c r="F681" s="104">
        <f>IF(OR(A681="",C681="",B681=""),"",IFERROR(INDEX(CHOOSE(IF(YEAR(A681)&gt;PlanYear,13,MONTH(A681)),'Jan'!$D$27:$AH$266,'Feb'!$D$27:$AH$266,'Mar'!$D$27:$AH$266,'Apr'!$D$27:$AH$266,'May'!$D$27:$AH$266,'Jun'!$D$27:$AH$266,'Jul'!$D$27:$AH$266,'Aug'!$D$27:$AH$266,'Sep'!$D$27:$AH$266,'Oct'!$D$27:$AH$266,'Nov'!$D$27:$AH$266,'Dec'!$D$27:$AH$266,'Jan (next year)'!$D$27:$AH$266),27+4*(IFERROR(MATCH(C681,Roster!$B$6:$B$65,0),MATCH(C681,Roster!$C$6:$C$65,0))-1)+MATCH(B681,{"AM","PM","NIGHT","WD"},0)-1-27+1,DAY(A681))&amp;"",""))</f>
        <v/>
      </c>
      <c r="G681" s="123">
        <f>IF(OR(A681="",C681="",B681="",E681=""),"",IFERROR(A681&amp;"|"&amp;(27+4*(IFERROR(MATCH(C681,Roster!$B$6:$B$65,0),MATCH(C681,Roster!$C$6:$C$65,0))-1)+MATCH(B681,{"AM","PM","NIGHT","WD"},0)-1),""))</f>
        <v/>
      </c>
    </row>
    <row r="682">
      <c r="A682" s="122" t="n"/>
      <c r="B682" s="107" t="n"/>
      <c r="C682" s="105" t="n"/>
      <c r="D682" s="92">
        <f>IF(C682="","",IFERROR(INDEX(Roster!$C$6:$C$65,IFERROR(MATCH(C682,Roster!$B$6:$B$65,0),MATCH(C682,Roster!$C$6:$C$65,0))),"not on the Roster"))</f>
        <v/>
      </c>
      <c r="E682" s="106" t="n"/>
      <c r="F682" s="104">
        <f>IF(OR(A682="",C682="",B682=""),"",IFERROR(INDEX(CHOOSE(IF(YEAR(A682)&gt;PlanYear,13,MONTH(A682)),'Jan'!$D$27:$AH$266,'Feb'!$D$27:$AH$266,'Mar'!$D$27:$AH$266,'Apr'!$D$27:$AH$266,'May'!$D$27:$AH$266,'Jun'!$D$27:$AH$266,'Jul'!$D$27:$AH$266,'Aug'!$D$27:$AH$266,'Sep'!$D$27:$AH$266,'Oct'!$D$27:$AH$266,'Nov'!$D$27:$AH$266,'Dec'!$D$27:$AH$266,'Jan (next year)'!$D$27:$AH$266),27+4*(IFERROR(MATCH(C682,Roster!$B$6:$B$65,0),MATCH(C682,Roster!$C$6:$C$65,0))-1)+MATCH(B682,{"AM","PM","NIGHT","WD"},0)-1-27+1,DAY(A682))&amp;"",""))</f>
        <v/>
      </c>
      <c r="G682" s="123">
        <f>IF(OR(A682="",C682="",B682="",E682=""),"",IFERROR(A682&amp;"|"&amp;(27+4*(IFERROR(MATCH(C682,Roster!$B$6:$B$65,0),MATCH(C682,Roster!$C$6:$C$65,0))-1)+MATCH(B682,{"AM","PM","NIGHT","WD"},0)-1),""))</f>
        <v/>
      </c>
    </row>
    <row r="683">
      <c r="A683" s="122" t="n"/>
      <c r="B683" s="107" t="n"/>
      <c r="C683" s="105" t="n"/>
      <c r="D683" s="92">
        <f>IF(C683="","",IFERROR(INDEX(Roster!$C$6:$C$65,IFERROR(MATCH(C683,Roster!$B$6:$B$65,0),MATCH(C683,Roster!$C$6:$C$65,0))),"not on the Roster"))</f>
        <v/>
      </c>
      <c r="E683" s="106" t="n"/>
      <c r="F683" s="104">
        <f>IF(OR(A683="",C683="",B683=""),"",IFERROR(INDEX(CHOOSE(IF(YEAR(A683)&gt;PlanYear,13,MONTH(A683)),'Jan'!$D$27:$AH$266,'Feb'!$D$27:$AH$266,'Mar'!$D$27:$AH$266,'Apr'!$D$27:$AH$266,'May'!$D$27:$AH$266,'Jun'!$D$27:$AH$266,'Jul'!$D$27:$AH$266,'Aug'!$D$27:$AH$266,'Sep'!$D$27:$AH$266,'Oct'!$D$27:$AH$266,'Nov'!$D$27:$AH$266,'Dec'!$D$27:$AH$266,'Jan (next year)'!$D$27:$AH$266),27+4*(IFERROR(MATCH(C683,Roster!$B$6:$B$65,0),MATCH(C683,Roster!$C$6:$C$65,0))-1)+MATCH(B683,{"AM","PM","NIGHT","WD"},0)-1-27+1,DAY(A683))&amp;"",""))</f>
        <v/>
      </c>
      <c r="G683" s="123">
        <f>IF(OR(A683="",C683="",B683="",E683=""),"",IFERROR(A683&amp;"|"&amp;(27+4*(IFERROR(MATCH(C683,Roster!$B$6:$B$65,0),MATCH(C683,Roster!$C$6:$C$65,0))-1)+MATCH(B683,{"AM","PM","NIGHT","WD"},0)-1),""))</f>
        <v/>
      </c>
    </row>
    <row r="684">
      <c r="A684" s="122" t="n"/>
      <c r="B684" s="107" t="n"/>
      <c r="C684" s="105" t="n"/>
      <c r="D684" s="92">
        <f>IF(C684="","",IFERROR(INDEX(Roster!$C$6:$C$65,IFERROR(MATCH(C684,Roster!$B$6:$B$65,0),MATCH(C684,Roster!$C$6:$C$65,0))),"not on the Roster"))</f>
        <v/>
      </c>
      <c r="E684" s="106" t="n"/>
      <c r="F684" s="104">
        <f>IF(OR(A684="",C684="",B684=""),"",IFERROR(INDEX(CHOOSE(IF(YEAR(A684)&gt;PlanYear,13,MONTH(A684)),'Jan'!$D$27:$AH$266,'Feb'!$D$27:$AH$266,'Mar'!$D$27:$AH$266,'Apr'!$D$27:$AH$266,'May'!$D$27:$AH$266,'Jun'!$D$27:$AH$266,'Jul'!$D$27:$AH$266,'Aug'!$D$27:$AH$266,'Sep'!$D$27:$AH$266,'Oct'!$D$27:$AH$266,'Nov'!$D$27:$AH$266,'Dec'!$D$27:$AH$266,'Jan (next year)'!$D$27:$AH$266),27+4*(IFERROR(MATCH(C684,Roster!$B$6:$B$65,0),MATCH(C684,Roster!$C$6:$C$65,0))-1)+MATCH(B684,{"AM","PM","NIGHT","WD"},0)-1-27+1,DAY(A684))&amp;"",""))</f>
        <v/>
      </c>
      <c r="G684" s="123">
        <f>IF(OR(A684="",C684="",B684="",E684=""),"",IFERROR(A684&amp;"|"&amp;(27+4*(IFERROR(MATCH(C684,Roster!$B$6:$B$65,0),MATCH(C684,Roster!$C$6:$C$65,0))-1)+MATCH(B684,{"AM","PM","NIGHT","WD"},0)-1),""))</f>
        <v/>
      </c>
    </row>
    <row r="685">
      <c r="A685" s="122" t="n"/>
      <c r="B685" s="107" t="n"/>
      <c r="C685" s="105" t="n"/>
      <c r="D685" s="92">
        <f>IF(C685="","",IFERROR(INDEX(Roster!$C$6:$C$65,IFERROR(MATCH(C685,Roster!$B$6:$B$65,0),MATCH(C685,Roster!$C$6:$C$65,0))),"not on the Roster"))</f>
        <v/>
      </c>
      <c r="E685" s="106" t="n"/>
      <c r="F685" s="104">
        <f>IF(OR(A685="",C685="",B685=""),"",IFERROR(INDEX(CHOOSE(IF(YEAR(A685)&gt;PlanYear,13,MONTH(A685)),'Jan'!$D$27:$AH$266,'Feb'!$D$27:$AH$266,'Mar'!$D$27:$AH$266,'Apr'!$D$27:$AH$266,'May'!$D$27:$AH$266,'Jun'!$D$27:$AH$266,'Jul'!$D$27:$AH$266,'Aug'!$D$27:$AH$266,'Sep'!$D$27:$AH$266,'Oct'!$D$27:$AH$266,'Nov'!$D$27:$AH$266,'Dec'!$D$27:$AH$266,'Jan (next year)'!$D$27:$AH$266),27+4*(IFERROR(MATCH(C685,Roster!$B$6:$B$65,0),MATCH(C685,Roster!$C$6:$C$65,0))-1)+MATCH(B685,{"AM","PM","NIGHT","WD"},0)-1-27+1,DAY(A685))&amp;"",""))</f>
        <v/>
      </c>
      <c r="G685" s="123">
        <f>IF(OR(A685="",C685="",B685="",E685=""),"",IFERROR(A685&amp;"|"&amp;(27+4*(IFERROR(MATCH(C685,Roster!$B$6:$B$65,0),MATCH(C685,Roster!$C$6:$C$65,0))-1)+MATCH(B685,{"AM","PM","NIGHT","WD"},0)-1),""))</f>
        <v/>
      </c>
    </row>
    <row r="686">
      <c r="A686" s="122" t="n"/>
      <c r="B686" s="107" t="n"/>
      <c r="C686" s="105" t="n"/>
      <c r="D686" s="92">
        <f>IF(C686="","",IFERROR(INDEX(Roster!$C$6:$C$65,IFERROR(MATCH(C686,Roster!$B$6:$B$65,0),MATCH(C686,Roster!$C$6:$C$65,0))),"not on the Roster"))</f>
        <v/>
      </c>
      <c r="E686" s="106" t="n"/>
      <c r="F686" s="104">
        <f>IF(OR(A686="",C686="",B686=""),"",IFERROR(INDEX(CHOOSE(IF(YEAR(A686)&gt;PlanYear,13,MONTH(A686)),'Jan'!$D$27:$AH$266,'Feb'!$D$27:$AH$266,'Mar'!$D$27:$AH$266,'Apr'!$D$27:$AH$266,'May'!$D$27:$AH$266,'Jun'!$D$27:$AH$266,'Jul'!$D$27:$AH$266,'Aug'!$D$27:$AH$266,'Sep'!$D$27:$AH$266,'Oct'!$D$27:$AH$266,'Nov'!$D$27:$AH$266,'Dec'!$D$27:$AH$266,'Jan (next year)'!$D$27:$AH$266),27+4*(IFERROR(MATCH(C686,Roster!$B$6:$B$65,0),MATCH(C686,Roster!$C$6:$C$65,0))-1)+MATCH(B686,{"AM","PM","NIGHT","WD"},0)-1-27+1,DAY(A686))&amp;"",""))</f>
        <v/>
      </c>
      <c r="G686" s="123">
        <f>IF(OR(A686="",C686="",B686="",E686=""),"",IFERROR(A686&amp;"|"&amp;(27+4*(IFERROR(MATCH(C686,Roster!$B$6:$B$65,0),MATCH(C686,Roster!$C$6:$C$65,0))-1)+MATCH(B686,{"AM","PM","NIGHT","WD"},0)-1),""))</f>
        <v/>
      </c>
    </row>
    <row r="687">
      <c r="A687" s="122" t="n"/>
      <c r="B687" s="107" t="n"/>
      <c r="C687" s="105" t="n"/>
      <c r="D687" s="92">
        <f>IF(C687="","",IFERROR(INDEX(Roster!$C$6:$C$65,IFERROR(MATCH(C687,Roster!$B$6:$B$65,0),MATCH(C687,Roster!$C$6:$C$65,0))),"not on the Roster"))</f>
        <v/>
      </c>
      <c r="E687" s="106" t="n"/>
      <c r="F687" s="104">
        <f>IF(OR(A687="",C687="",B687=""),"",IFERROR(INDEX(CHOOSE(IF(YEAR(A687)&gt;PlanYear,13,MONTH(A687)),'Jan'!$D$27:$AH$266,'Feb'!$D$27:$AH$266,'Mar'!$D$27:$AH$266,'Apr'!$D$27:$AH$266,'May'!$D$27:$AH$266,'Jun'!$D$27:$AH$266,'Jul'!$D$27:$AH$266,'Aug'!$D$27:$AH$266,'Sep'!$D$27:$AH$266,'Oct'!$D$27:$AH$266,'Nov'!$D$27:$AH$266,'Dec'!$D$27:$AH$266,'Jan (next year)'!$D$27:$AH$266),27+4*(IFERROR(MATCH(C687,Roster!$B$6:$B$65,0),MATCH(C687,Roster!$C$6:$C$65,0))-1)+MATCH(B687,{"AM","PM","NIGHT","WD"},0)-1-27+1,DAY(A687))&amp;"",""))</f>
        <v/>
      </c>
      <c r="G687" s="123">
        <f>IF(OR(A687="",C687="",B687="",E687=""),"",IFERROR(A687&amp;"|"&amp;(27+4*(IFERROR(MATCH(C687,Roster!$B$6:$B$65,0),MATCH(C687,Roster!$C$6:$C$65,0))-1)+MATCH(B687,{"AM","PM","NIGHT","WD"},0)-1),""))</f>
        <v/>
      </c>
    </row>
    <row r="688">
      <c r="A688" s="122" t="n"/>
      <c r="B688" s="107" t="n"/>
      <c r="C688" s="105" t="n"/>
      <c r="D688" s="92">
        <f>IF(C688="","",IFERROR(INDEX(Roster!$C$6:$C$65,IFERROR(MATCH(C688,Roster!$B$6:$B$65,0),MATCH(C688,Roster!$C$6:$C$65,0))),"not on the Roster"))</f>
        <v/>
      </c>
      <c r="E688" s="106" t="n"/>
      <c r="F688" s="104">
        <f>IF(OR(A688="",C688="",B688=""),"",IFERROR(INDEX(CHOOSE(IF(YEAR(A688)&gt;PlanYear,13,MONTH(A688)),'Jan'!$D$27:$AH$266,'Feb'!$D$27:$AH$266,'Mar'!$D$27:$AH$266,'Apr'!$D$27:$AH$266,'May'!$D$27:$AH$266,'Jun'!$D$27:$AH$266,'Jul'!$D$27:$AH$266,'Aug'!$D$27:$AH$266,'Sep'!$D$27:$AH$266,'Oct'!$D$27:$AH$266,'Nov'!$D$27:$AH$266,'Dec'!$D$27:$AH$266,'Jan (next year)'!$D$27:$AH$266),27+4*(IFERROR(MATCH(C688,Roster!$B$6:$B$65,0),MATCH(C688,Roster!$C$6:$C$65,0))-1)+MATCH(B688,{"AM","PM","NIGHT","WD"},0)-1-27+1,DAY(A688))&amp;"",""))</f>
        <v/>
      </c>
      <c r="G688" s="123">
        <f>IF(OR(A688="",C688="",B688="",E688=""),"",IFERROR(A688&amp;"|"&amp;(27+4*(IFERROR(MATCH(C688,Roster!$B$6:$B$65,0),MATCH(C688,Roster!$C$6:$C$65,0))-1)+MATCH(B688,{"AM","PM","NIGHT","WD"},0)-1),""))</f>
        <v/>
      </c>
    </row>
    <row r="689">
      <c r="A689" s="122" t="n"/>
      <c r="B689" s="107" t="n"/>
      <c r="C689" s="105" t="n"/>
      <c r="D689" s="92">
        <f>IF(C689="","",IFERROR(INDEX(Roster!$C$6:$C$65,IFERROR(MATCH(C689,Roster!$B$6:$B$65,0),MATCH(C689,Roster!$C$6:$C$65,0))),"not on the Roster"))</f>
        <v/>
      </c>
      <c r="E689" s="106" t="n"/>
      <c r="F689" s="104">
        <f>IF(OR(A689="",C689="",B689=""),"",IFERROR(INDEX(CHOOSE(IF(YEAR(A689)&gt;PlanYear,13,MONTH(A689)),'Jan'!$D$27:$AH$266,'Feb'!$D$27:$AH$266,'Mar'!$D$27:$AH$266,'Apr'!$D$27:$AH$266,'May'!$D$27:$AH$266,'Jun'!$D$27:$AH$266,'Jul'!$D$27:$AH$266,'Aug'!$D$27:$AH$266,'Sep'!$D$27:$AH$266,'Oct'!$D$27:$AH$266,'Nov'!$D$27:$AH$266,'Dec'!$D$27:$AH$266,'Jan (next year)'!$D$27:$AH$266),27+4*(IFERROR(MATCH(C689,Roster!$B$6:$B$65,0),MATCH(C689,Roster!$C$6:$C$65,0))-1)+MATCH(B689,{"AM","PM","NIGHT","WD"},0)-1-27+1,DAY(A689))&amp;"",""))</f>
        <v/>
      </c>
      <c r="G689" s="123">
        <f>IF(OR(A689="",C689="",B689="",E689=""),"",IFERROR(A689&amp;"|"&amp;(27+4*(IFERROR(MATCH(C689,Roster!$B$6:$B$65,0),MATCH(C689,Roster!$C$6:$C$65,0))-1)+MATCH(B689,{"AM","PM","NIGHT","WD"},0)-1),""))</f>
        <v/>
      </c>
    </row>
    <row r="690">
      <c r="A690" s="122" t="n"/>
      <c r="B690" s="107" t="n"/>
      <c r="C690" s="105" t="n"/>
      <c r="D690" s="92">
        <f>IF(C690="","",IFERROR(INDEX(Roster!$C$6:$C$65,IFERROR(MATCH(C690,Roster!$B$6:$B$65,0),MATCH(C690,Roster!$C$6:$C$65,0))),"not on the Roster"))</f>
        <v/>
      </c>
      <c r="E690" s="106" t="n"/>
      <c r="F690" s="104">
        <f>IF(OR(A690="",C690="",B690=""),"",IFERROR(INDEX(CHOOSE(IF(YEAR(A690)&gt;PlanYear,13,MONTH(A690)),'Jan'!$D$27:$AH$266,'Feb'!$D$27:$AH$266,'Mar'!$D$27:$AH$266,'Apr'!$D$27:$AH$266,'May'!$D$27:$AH$266,'Jun'!$D$27:$AH$266,'Jul'!$D$27:$AH$266,'Aug'!$D$27:$AH$266,'Sep'!$D$27:$AH$266,'Oct'!$D$27:$AH$266,'Nov'!$D$27:$AH$266,'Dec'!$D$27:$AH$266,'Jan (next year)'!$D$27:$AH$266),27+4*(IFERROR(MATCH(C690,Roster!$B$6:$B$65,0),MATCH(C690,Roster!$C$6:$C$65,0))-1)+MATCH(B690,{"AM","PM","NIGHT","WD"},0)-1-27+1,DAY(A690))&amp;"",""))</f>
        <v/>
      </c>
      <c r="G690" s="123">
        <f>IF(OR(A690="",C690="",B690="",E690=""),"",IFERROR(A690&amp;"|"&amp;(27+4*(IFERROR(MATCH(C690,Roster!$B$6:$B$65,0),MATCH(C690,Roster!$C$6:$C$65,0))-1)+MATCH(B690,{"AM","PM","NIGHT","WD"},0)-1),""))</f>
        <v/>
      </c>
    </row>
    <row r="691">
      <c r="A691" s="122" t="n"/>
      <c r="B691" s="107" t="n"/>
      <c r="C691" s="105" t="n"/>
      <c r="D691" s="92">
        <f>IF(C691="","",IFERROR(INDEX(Roster!$C$6:$C$65,IFERROR(MATCH(C691,Roster!$B$6:$B$65,0),MATCH(C691,Roster!$C$6:$C$65,0))),"not on the Roster"))</f>
        <v/>
      </c>
      <c r="E691" s="106" t="n"/>
      <c r="F691" s="104">
        <f>IF(OR(A691="",C691="",B691=""),"",IFERROR(INDEX(CHOOSE(IF(YEAR(A691)&gt;PlanYear,13,MONTH(A691)),'Jan'!$D$27:$AH$266,'Feb'!$D$27:$AH$266,'Mar'!$D$27:$AH$266,'Apr'!$D$27:$AH$266,'May'!$D$27:$AH$266,'Jun'!$D$27:$AH$266,'Jul'!$D$27:$AH$266,'Aug'!$D$27:$AH$266,'Sep'!$D$27:$AH$266,'Oct'!$D$27:$AH$266,'Nov'!$D$27:$AH$266,'Dec'!$D$27:$AH$266,'Jan (next year)'!$D$27:$AH$266),27+4*(IFERROR(MATCH(C691,Roster!$B$6:$B$65,0),MATCH(C691,Roster!$C$6:$C$65,0))-1)+MATCH(B691,{"AM","PM","NIGHT","WD"},0)-1-27+1,DAY(A691))&amp;"",""))</f>
        <v/>
      </c>
      <c r="G691" s="123">
        <f>IF(OR(A691="",C691="",B691="",E691=""),"",IFERROR(A691&amp;"|"&amp;(27+4*(IFERROR(MATCH(C691,Roster!$B$6:$B$65,0),MATCH(C691,Roster!$C$6:$C$65,0))-1)+MATCH(B691,{"AM","PM","NIGHT","WD"},0)-1),""))</f>
        <v/>
      </c>
    </row>
    <row r="692">
      <c r="A692" s="122" t="n"/>
      <c r="B692" s="107" t="n"/>
      <c r="C692" s="105" t="n"/>
      <c r="D692" s="92">
        <f>IF(C692="","",IFERROR(INDEX(Roster!$C$6:$C$65,IFERROR(MATCH(C692,Roster!$B$6:$B$65,0),MATCH(C692,Roster!$C$6:$C$65,0))),"not on the Roster"))</f>
        <v/>
      </c>
      <c r="E692" s="106" t="n"/>
      <c r="F692" s="104">
        <f>IF(OR(A692="",C692="",B692=""),"",IFERROR(INDEX(CHOOSE(IF(YEAR(A692)&gt;PlanYear,13,MONTH(A692)),'Jan'!$D$27:$AH$266,'Feb'!$D$27:$AH$266,'Mar'!$D$27:$AH$266,'Apr'!$D$27:$AH$266,'May'!$D$27:$AH$266,'Jun'!$D$27:$AH$266,'Jul'!$D$27:$AH$266,'Aug'!$D$27:$AH$266,'Sep'!$D$27:$AH$266,'Oct'!$D$27:$AH$266,'Nov'!$D$27:$AH$266,'Dec'!$D$27:$AH$266,'Jan (next year)'!$D$27:$AH$266),27+4*(IFERROR(MATCH(C692,Roster!$B$6:$B$65,0),MATCH(C692,Roster!$C$6:$C$65,0))-1)+MATCH(B692,{"AM","PM","NIGHT","WD"},0)-1-27+1,DAY(A692))&amp;"",""))</f>
        <v/>
      </c>
      <c r="G692" s="123">
        <f>IF(OR(A692="",C692="",B692="",E692=""),"",IFERROR(A692&amp;"|"&amp;(27+4*(IFERROR(MATCH(C692,Roster!$B$6:$B$65,0),MATCH(C692,Roster!$C$6:$C$65,0))-1)+MATCH(B692,{"AM","PM","NIGHT","WD"},0)-1),""))</f>
        <v/>
      </c>
    </row>
    <row r="693">
      <c r="A693" s="122" t="n"/>
      <c r="B693" s="107" t="n"/>
      <c r="C693" s="105" t="n"/>
      <c r="D693" s="92">
        <f>IF(C693="","",IFERROR(INDEX(Roster!$C$6:$C$65,IFERROR(MATCH(C693,Roster!$B$6:$B$65,0),MATCH(C693,Roster!$C$6:$C$65,0))),"not on the Roster"))</f>
        <v/>
      </c>
      <c r="E693" s="106" t="n"/>
      <c r="F693" s="104">
        <f>IF(OR(A693="",C693="",B693=""),"",IFERROR(INDEX(CHOOSE(IF(YEAR(A693)&gt;PlanYear,13,MONTH(A693)),'Jan'!$D$27:$AH$266,'Feb'!$D$27:$AH$266,'Mar'!$D$27:$AH$266,'Apr'!$D$27:$AH$266,'May'!$D$27:$AH$266,'Jun'!$D$27:$AH$266,'Jul'!$D$27:$AH$266,'Aug'!$D$27:$AH$266,'Sep'!$D$27:$AH$266,'Oct'!$D$27:$AH$266,'Nov'!$D$27:$AH$266,'Dec'!$D$27:$AH$266,'Jan (next year)'!$D$27:$AH$266),27+4*(IFERROR(MATCH(C693,Roster!$B$6:$B$65,0),MATCH(C693,Roster!$C$6:$C$65,0))-1)+MATCH(B693,{"AM","PM","NIGHT","WD"},0)-1-27+1,DAY(A693))&amp;"",""))</f>
        <v/>
      </c>
      <c r="G693" s="123">
        <f>IF(OR(A693="",C693="",B693="",E693=""),"",IFERROR(A693&amp;"|"&amp;(27+4*(IFERROR(MATCH(C693,Roster!$B$6:$B$65,0),MATCH(C693,Roster!$C$6:$C$65,0))-1)+MATCH(B693,{"AM","PM","NIGHT","WD"},0)-1),""))</f>
        <v/>
      </c>
    </row>
    <row r="694">
      <c r="A694" s="122" t="n"/>
      <c r="B694" s="107" t="n"/>
      <c r="C694" s="105" t="n"/>
      <c r="D694" s="92">
        <f>IF(C694="","",IFERROR(INDEX(Roster!$C$6:$C$65,IFERROR(MATCH(C694,Roster!$B$6:$B$65,0),MATCH(C694,Roster!$C$6:$C$65,0))),"not on the Roster"))</f>
        <v/>
      </c>
      <c r="E694" s="106" t="n"/>
      <c r="F694" s="104">
        <f>IF(OR(A694="",C694="",B694=""),"",IFERROR(INDEX(CHOOSE(IF(YEAR(A694)&gt;PlanYear,13,MONTH(A694)),'Jan'!$D$27:$AH$266,'Feb'!$D$27:$AH$266,'Mar'!$D$27:$AH$266,'Apr'!$D$27:$AH$266,'May'!$D$27:$AH$266,'Jun'!$D$27:$AH$266,'Jul'!$D$27:$AH$266,'Aug'!$D$27:$AH$266,'Sep'!$D$27:$AH$266,'Oct'!$D$27:$AH$266,'Nov'!$D$27:$AH$266,'Dec'!$D$27:$AH$266,'Jan (next year)'!$D$27:$AH$266),27+4*(IFERROR(MATCH(C694,Roster!$B$6:$B$65,0),MATCH(C694,Roster!$C$6:$C$65,0))-1)+MATCH(B694,{"AM","PM","NIGHT","WD"},0)-1-27+1,DAY(A694))&amp;"",""))</f>
        <v/>
      </c>
      <c r="G694" s="123">
        <f>IF(OR(A694="",C694="",B694="",E694=""),"",IFERROR(A694&amp;"|"&amp;(27+4*(IFERROR(MATCH(C694,Roster!$B$6:$B$65,0),MATCH(C694,Roster!$C$6:$C$65,0))-1)+MATCH(B694,{"AM","PM","NIGHT","WD"},0)-1),""))</f>
        <v/>
      </c>
    </row>
    <row r="695">
      <c r="A695" s="122" t="n"/>
      <c r="B695" s="107" t="n"/>
      <c r="C695" s="105" t="n"/>
      <c r="D695" s="92">
        <f>IF(C695="","",IFERROR(INDEX(Roster!$C$6:$C$65,IFERROR(MATCH(C695,Roster!$B$6:$B$65,0),MATCH(C695,Roster!$C$6:$C$65,0))),"not on the Roster"))</f>
        <v/>
      </c>
      <c r="E695" s="106" t="n"/>
      <c r="F695" s="104">
        <f>IF(OR(A695="",C695="",B695=""),"",IFERROR(INDEX(CHOOSE(IF(YEAR(A695)&gt;PlanYear,13,MONTH(A695)),'Jan'!$D$27:$AH$266,'Feb'!$D$27:$AH$266,'Mar'!$D$27:$AH$266,'Apr'!$D$27:$AH$266,'May'!$D$27:$AH$266,'Jun'!$D$27:$AH$266,'Jul'!$D$27:$AH$266,'Aug'!$D$27:$AH$266,'Sep'!$D$27:$AH$266,'Oct'!$D$27:$AH$266,'Nov'!$D$27:$AH$266,'Dec'!$D$27:$AH$266,'Jan (next year)'!$D$27:$AH$266),27+4*(IFERROR(MATCH(C695,Roster!$B$6:$B$65,0),MATCH(C695,Roster!$C$6:$C$65,0))-1)+MATCH(B695,{"AM","PM","NIGHT","WD"},0)-1-27+1,DAY(A695))&amp;"",""))</f>
        <v/>
      </c>
      <c r="G695" s="123">
        <f>IF(OR(A695="",C695="",B695="",E695=""),"",IFERROR(A695&amp;"|"&amp;(27+4*(IFERROR(MATCH(C695,Roster!$B$6:$B$65,0),MATCH(C695,Roster!$C$6:$C$65,0))-1)+MATCH(B695,{"AM","PM","NIGHT","WD"},0)-1),""))</f>
        <v/>
      </c>
    </row>
    <row r="696">
      <c r="A696" s="122" t="n"/>
      <c r="B696" s="107" t="n"/>
      <c r="C696" s="105" t="n"/>
      <c r="D696" s="92">
        <f>IF(C696="","",IFERROR(INDEX(Roster!$C$6:$C$65,IFERROR(MATCH(C696,Roster!$B$6:$B$65,0),MATCH(C696,Roster!$C$6:$C$65,0))),"not on the Roster"))</f>
        <v/>
      </c>
      <c r="E696" s="106" t="n"/>
      <c r="F696" s="104">
        <f>IF(OR(A696="",C696="",B696=""),"",IFERROR(INDEX(CHOOSE(IF(YEAR(A696)&gt;PlanYear,13,MONTH(A696)),'Jan'!$D$27:$AH$266,'Feb'!$D$27:$AH$266,'Mar'!$D$27:$AH$266,'Apr'!$D$27:$AH$266,'May'!$D$27:$AH$266,'Jun'!$D$27:$AH$266,'Jul'!$D$27:$AH$266,'Aug'!$D$27:$AH$266,'Sep'!$D$27:$AH$266,'Oct'!$D$27:$AH$266,'Nov'!$D$27:$AH$266,'Dec'!$D$27:$AH$266,'Jan (next year)'!$D$27:$AH$266),27+4*(IFERROR(MATCH(C696,Roster!$B$6:$B$65,0),MATCH(C696,Roster!$C$6:$C$65,0))-1)+MATCH(B696,{"AM","PM","NIGHT","WD"},0)-1-27+1,DAY(A696))&amp;"",""))</f>
        <v/>
      </c>
      <c r="G696" s="123">
        <f>IF(OR(A696="",C696="",B696="",E696=""),"",IFERROR(A696&amp;"|"&amp;(27+4*(IFERROR(MATCH(C696,Roster!$B$6:$B$65,0),MATCH(C696,Roster!$C$6:$C$65,0))-1)+MATCH(B696,{"AM","PM","NIGHT","WD"},0)-1),""))</f>
        <v/>
      </c>
    </row>
    <row r="697">
      <c r="A697" s="122" t="n"/>
      <c r="B697" s="107" t="n"/>
      <c r="C697" s="105" t="n"/>
      <c r="D697" s="92">
        <f>IF(C697="","",IFERROR(INDEX(Roster!$C$6:$C$65,IFERROR(MATCH(C697,Roster!$B$6:$B$65,0),MATCH(C697,Roster!$C$6:$C$65,0))),"not on the Roster"))</f>
        <v/>
      </c>
      <c r="E697" s="106" t="n"/>
      <c r="F697" s="104">
        <f>IF(OR(A697="",C697="",B697=""),"",IFERROR(INDEX(CHOOSE(IF(YEAR(A697)&gt;PlanYear,13,MONTH(A697)),'Jan'!$D$27:$AH$266,'Feb'!$D$27:$AH$266,'Mar'!$D$27:$AH$266,'Apr'!$D$27:$AH$266,'May'!$D$27:$AH$266,'Jun'!$D$27:$AH$266,'Jul'!$D$27:$AH$266,'Aug'!$D$27:$AH$266,'Sep'!$D$27:$AH$266,'Oct'!$D$27:$AH$266,'Nov'!$D$27:$AH$266,'Dec'!$D$27:$AH$266,'Jan (next year)'!$D$27:$AH$266),27+4*(IFERROR(MATCH(C697,Roster!$B$6:$B$65,0),MATCH(C697,Roster!$C$6:$C$65,0))-1)+MATCH(B697,{"AM","PM","NIGHT","WD"},0)-1-27+1,DAY(A697))&amp;"",""))</f>
        <v/>
      </c>
      <c r="G697" s="123">
        <f>IF(OR(A697="",C697="",B697="",E697=""),"",IFERROR(A697&amp;"|"&amp;(27+4*(IFERROR(MATCH(C697,Roster!$B$6:$B$65,0),MATCH(C697,Roster!$C$6:$C$65,0))-1)+MATCH(B697,{"AM","PM","NIGHT","WD"},0)-1),""))</f>
        <v/>
      </c>
    </row>
    <row r="698">
      <c r="A698" s="122" t="n"/>
      <c r="B698" s="107" t="n"/>
      <c r="C698" s="105" t="n"/>
      <c r="D698" s="92">
        <f>IF(C698="","",IFERROR(INDEX(Roster!$C$6:$C$65,IFERROR(MATCH(C698,Roster!$B$6:$B$65,0),MATCH(C698,Roster!$C$6:$C$65,0))),"not on the Roster"))</f>
        <v/>
      </c>
      <c r="E698" s="106" t="n"/>
      <c r="F698" s="104">
        <f>IF(OR(A698="",C698="",B698=""),"",IFERROR(INDEX(CHOOSE(IF(YEAR(A698)&gt;PlanYear,13,MONTH(A698)),'Jan'!$D$27:$AH$266,'Feb'!$D$27:$AH$266,'Mar'!$D$27:$AH$266,'Apr'!$D$27:$AH$266,'May'!$D$27:$AH$266,'Jun'!$D$27:$AH$266,'Jul'!$D$27:$AH$266,'Aug'!$D$27:$AH$266,'Sep'!$D$27:$AH$266,'Oct'!$D$27:$AH$266,'Nov'!$D$27:$AH$266,'Dec'!$D$27:$AH$266,'Jan (next year)'!$D$27:$AH$266),27+4*(IFERROR(MATCH(C698,Roster!$B$6:$B$65,0),MATCH(C698,Roster!$C$6:$C$65,0))-1)+MATCH(B698,{"AM","PM","NIGHT","WD"},0)-1-27+1,DAY(A698))&amp;"",""))</f>
        <v/>
      </c>
      <c r="G698" s="123">
        <f>IF(OR(A698="",C698="",B698="",E698=""),"",IFERROR(A698&amp;"|"&amp;(27+4*(IFERROR(MATCH(C698,Roster!$B$6:$B$65,0),MATCH(C698,Roster!$C$6:$C$65,0))-1)+MATCH(B698,{"AM","PM","NIGHT","WD"},0)-1),""))</f>
        <v/>
      </c>
    </row>
    <row r="699">
      <c r="A699" s="122" t="n"/>
      <c r="B699" s="107" t="n"/>
      <c r="C699" s="105" t="n"/>
      <c r="D699" s="92">
        <f>IF(C699="","",IFERROR(INDEX(Roster!$C$6:$C$65,IFERROR(MATCH(C699,Roster!$B$6:$B$65,0),MATCH(C699,Roster!$C$6:$C$65,0))),"not on the Roster"))</f>
        <v/>
      </c>
      <c r="E699" s="106" t="n"/>
      <c r="F699" s="104">
        <f>IF(OR(A699="",C699="",B699=""),"",IFERROR(INDEX(CHOOSE(IF(YEAR(A699)&gt;PlanYear,13,MONTH(A699)),'Jan'!$D$27:$AH$266,'Feb'!$D$27:$AH$266,'Mar'!$D$27:$AH$266,'Apr'!$D$27:$AH$266,'May'!$D$27:$AH$266,'Jun'!$D$27:$AH$266,'Jul'!$D$27:$AH$266,'Aug'!$D$27:$AH$266,'Sep'!$D$27:$AH$266,'Oct'!$D$27:$AH$266,'Nov'!$D$27:$AH$266,'Dec'!$D$27:$AH$266,'Jan (next year)'!$D$27:$AH$266),27+4*(IFERROR(MATCH(C699,Roster!$B$6:$B$65,0),MATCH(C699,Roster!$C$6:$C$65,0))-1)+MATCH(B699,{"AM","PM","NIGHT","WD"},0)-1-27+1,DAY(A699))&amp;"",""))</f>
        <v/>
      </c>
      <c r="G699" s="123">
        <f>IF(OR(A699="",C699="",B699="",E699=""),"",IFERROR(A699&amp;"|"&amp;(27+4*(IFERROR(MATCH(C699,Roster!$B$6:$B$65,0),MATCH(C699,Roster!$C$6:$C$65,0))-1)+MATCH(B699,{"AM","PM","NIGHT","WD"},0)-1),""))</f>
        <v/>
      </c>
    </row>
    <row r="700">
      <c r="A700" s="122" t="n"/>
      <c r="B700" s="107" t="n"/>
      <c r="C700" s="105" t="n"/>
      <c r="D700" s="92">
        <f>IF(C700="","",IFERROR(INDEX(Roster!$C$6:$C$65,IFERROR(MATCH(C700,Roster!$B$6:$B$65,0),MATCH(C700,Roster!$C$6:$C$65,0))),"not on the Roster"))</f>
        <v/>
      </c>
      <c r="E700" s="106" t="n"/>
      <c r="F700" s="104">
        <f>IF(OR(A700="",C700="",B700=""),"",IFERROR(INDEX(CHOOSE(IF(YEAR(A700)&gt;PlanYear,13,MONTH(A700)),'Jan'!$D$27:$AH$266,'Feb'!$D$27:$AH$266,'Mar'!$D$27:$AH$266,'Apr'!$D$27:$AH$266,'May'!$D$27:$AH$266,'Jun'!$D$27:$AH$266,'Jul'!$D$27:$AH$266,'Aug'!$D$27:$AH$266,'Sep'!$D$27:$AH$266,'Oct'!$D$27:$AH$266,'Nov'!$D$27:$AH$266,'Dec'!$D$27:$AH$266,'Jan (next year)'!$D$27:$AH$266),27+4*(IFERROR(MATCH(C700,Roster!$B$6:$B$65,0),MATCH(C700,Roster!$C$6:$C$65,0))-1)+MATCH(B700,{"AM","PM","NIGHT","WD"},0)-1-27+1,DAY(A700))&amp;"",""))</f>
        <v/>
      </c>
      <c r="G700" s="123">
        <f>IF(OR(A700="",C700="",B700="",E700=""),"",IFERROR(A700&amp;"|"&amp;(27+4*(IFERROR(MATCH(C700,Roster!$B$6:$B$65,0),MATCH(C700,Roster!$C$6:$C$65,0))-1)+MATCH(B700,{"AM","PM","NIGHT","WD"},0)-1),""))</f>
        <v/>
      </c>
    </row>
    <row r="701">
      <c r="A701" s="122" t="n"/>
      <c r="B701" s="107" t="n"/>
      <c r="C701" s="105" t="n"/>
      <c r="D701" s="92">
        <f>IF(C701="","",IFERROR(INDEX(Roster!$C$6:$C$65,IFERROR(MATCH(C701,Roster!$B$6:$B$65,0),MATCH(C701,Roster!$C$6:$C$65,0))),"not on the Roster"))</f>
        <v/>
      </c>
      <c r="E701" s="106" t="n"/>
      <c r="F701" s="104">
        <f>IF(OR(A701="",C701="",B701=""),"",IFERROR(INDEX(CHOOSE(IF(YEAR(A701)&gt;PlanYear,13,MONTH(A701)),'Jan'!$D$27:$AH$266,'Feb'!$D$27:$AH$266,'Mar'!$D$27:$AH$266,'Apr'!$D$27:$AH$266,'May'!$D$27:$AH$266,'Jun'!$D$27:$AH$266,'Jul'!$D$27:$AH$266,'Aug'!$D$27:$AH$266,'Sep'!$D$27:$AH$266,'Oct'!$D$27:$AH$266,'Nov'!$D$27:$AH$266,'Dec'!$D$27:$AH$266,'Jan (next year)'!$D$27:$AH$266),27+4*(IFERROR(MATCH(C701,Roster!$B$6:$B$65,0),MATCH(C701,Roster!$C$6:$C$65,0))-1)+MATCH(B701,{"AM","PM","NIGHT","WD"},0)-1-27+1,DAY(A701))&amp;"",""))</f>
        <v/>
      </c>
      <c r="G701" s="123">
        <f>IF(OR(A701="",C701="",B701="",E701=""),"",IFERROR(A701&amp;"|"&amp;(27+4*(IFERROR(MATCH(C701,Roster!$B$6:$B$65,0),MATCH(C701,Roster!$C$6:$C$65,0))-1)+MATCH(B701,{"AM","PM","NIGHT","WD"},0)-1),""))</f>
        <v/>
      </c>
    </row>
    <row r="702">
      <c r="A702" s="122" t="n"/>
      <c r="B702" s="107" t="n"/>
      <c r="C702" s="105" t="n"/>
      <c r="D702" s="92">
        <f>IF(C702="","",IFERROR(INDEX(Roster!$C$6:$C$65,IFERROR(MATCH(C702,Roster!$B$6:$B$65,0),MATCH(C702,Roster!$C$6:$C$65,0))),"not on the Roster"))</f>
        <v/>
      </c>
      <c r="E702" s="106" t="n"/>
      <c r="F702" s="104">
        <f>IF(OR(A702="",C702="",B702=""),"",IFERROR(INDEX(CHOOSE(IF(YEAR(A702)&gt;PlanYear,13,MONTH(A702)),'Jan'!$D$27:$AH$266,'Feb'!$D$27:$AH$266,'Mar'!$D$27:$AH$266,'Apr'!$D$27:$AH$266,'May'!$D$27:$AH$266,'Jun'!$D$27:$AH$266,'Jul'!$D$27:$AH$266,'Aug'!$D$27:$AH$266,'Sep'!$D$27:$AH$266,'Oct'!$D$27:$AH$266,'Nov'!$D$27:$AH$266,'Dec'!$D$27:$AH$266,'Jan (next year)'!$D$27:$AH$266),27+4*(IFERROR(MATCH(C702,Roster!$B$6:$B$65,0),MATCH(C702,Roster!$C$6:$C$65,0))-1)+MATCH(B702,{"AM","PM","NIGHT","WD"},0)-1-27+1,DAY(A702))&amp;"",""))</f>
        <v/>
      </c>
      <c r="G702" s="123">
        <f>IF(OR(A702="",C702="",B702="",E702=""),"",IFERROR(A702&amp;"|"&amp;(27+4*(IFERROR(MATCH(C702,Roster!$B$6:$B$65,0),MATCH(C702,Roster!$C$6:$C$65,0))-1)+MATCH(B702,{"AM","PM","NIGHT","WD"},0)-1),""))</f>
        <v/>
      </c>
    </row>
    <row r="703">
      <c r="A703" s="122" t="n"/>
      <c r="B703" s="107" t="n"/>
      <c r="C703" s="105" t="n"/>
      <c r="D703" s="92">
        <f>IF(C703="","",IFERROR(INDEX(Roster!$C$6:$C$65,IFERROR(MATCH(C703,Roster!$B$6:$B$65,0),MATCH(C703,Roster!$C$6:$C$65,0))),"not on the Roster"))</f>
        <v/>
      </c>
      <c r="E703" s="106" t="n"/>
      <c r="F703" s="104">
        <f>IF(OR(A703="",C703="",B703=""),"",IFERROR(INDEX(CHOOSE(IF(YEAR(A703)&gt;PlanYear,13,MONTH(A703)),'Jan'!$D$27:$AH$266,'Feb'!$D$27:$AH$266,'Mar'!$D$27:$AH$266,'Apr'!$D$27:$AH$266,'May'!$D$27:$AH$266,'Jun'!$D$27:$AH$266,'Jul'!$D$27:$AH$266,'Aug'!$D$27:$AH$266,'Sep'!$D$27:$AH$266,'Oct'!$D$27:$AH$266,'Nov'!$D$27:$AH$266,'Dec'!$D$27:$AH$266,'Jan (next year)'!$D$27:$AH$266),27+4*(IFERROR(MATCH(C703,Roster!$B$6:$B$65,0),MATCH(C703,Roster!$C$6:$C$65,0))-1)+MATCH(B703,{"AM","PM","NIGHT","WD"},0)-1-27+1,DAY(A703))&amp;"",""))</f>
        <v/>
      </c>
      <c r="G703" s="123">
        <f>IF(OR(A703="",C703="",B703="",E703=""),"",IFERROR(A703&amp;"|"&amp;(27+4*(IFERROR(MATCH(C703,Roster!$B$6:$B$65,0),MATCH(C703,Roster!$C$6:$C$65,0))-1)+MATCH(B703,{"AM","PM","NIGHT","WD"},0)-1),""))</f>
        <v/>
      </c>
    </row>
    <row r="704">
      <c r="A704" s="122" t="n"/>
      <c r="B704" s="107" t="n"/>
      <c r="C704" s="105" t="n"/>
      <c r="D704" s="92">
        <f>IF(C704="","",IFERROR(INDEX(Roster!$C$6:$C$65,IFERROR(MATCH(C704,Roster!$B$6:$B$65,0),MATCH(C704,Roster!$C$6:$C$65,0))),"not on the Roster"))</f>
        <v/>
      </c>
      <c r="E704" s="106" t="n"/>
      <c r="F704" s="104">
        <f>IF(OR(A704="",C704="",B704=""),"",IFERROR(INDEX(CHOOSE(IF(YEAR(A704)&gt;PlanYear,13,MONTH(A704)),'Jan'!$D$27:$AH$266,'Feb'!$D$27:$AH$266,'Mar'!$D$27:$AH$266,'Apr'!$D$27:$AH$266,'May'!$D$27:$AH$266,'Jun'!$D$27:$AH$266,'Jul'!$D$27:$AH$266,'Aug'!$D$27:$AH$266,'Sep'!$D$27:$AH$266,'Oct'!$D$27:$AH$266,'Nov'!$D$27:$AH$266,'Dec'!$D$27:$AH$266,'Jan (next year)'!$D$27:$AH$266),27+4*(IFERROR(MATCH(C704,Roster!$B$6:$B$65,0),MATCH(C704,Roster!$C$6:$C$65,0))-1)+MATCH(B704,{"AM","PM","NIGHT","WD"},0)-1-27+1,DAY(A704))&amp;"",""))</f>
        <v/>
      </c>
      <c r="G704" s="123">
        <f>IF(OR(A704="",C704="",B704="",E704=""),"",IFERROR(A704&amp;"|"&amp;(27+4*(IFERROR(MATCH(C704,Roster!$B$6:$B$65,0),MATCH(C704,Roster!$C$6:$C$65,0))-1)+MATCH(B704,{"AM","PM","NIGHT","WD"},0)-1),""))</f>
        <v/>
      </c>
    </row>
    <row r="705">
      <c r="A705" s="122" t="n"/>
      <c r="B705" s="107" t="n"/>
      <c r="C705" s="105" t="n"/>
      <c r="D705" s="92">
        <f>IF(C705="","",IFERROR(INDEX(Roster!$C$6:$C$65,IFERROR(MATCH(C705,Roster!$B$6:$B$65,0),MATCH(C705,Roster!$C$6:$C$65,0))),"not on the Roster"))</f>
        <v/>
      </c>
      <c r="E705" s="106" t="n"/>
      <c r="F705" s="104">
        <f>IF(OR(A705="",C705="",B705=""),"",IFERROR(INDEX(CHOOSE(IF(YEAR(A705)&gt;PlanYear,13,MONTH(A705)),'Jan'!$D$27:$AH$266,'Feb'!$D$27:$AH$266,'Mar'!$D$27:$AH$266,'Apr'!$D$27:$AH$266,'May'!$D$27:$AH$266,'Jun'!$D$27:$AH$266,'Jul'!$D$27:$AH$266,'Aug'!$D$27:$AH$266,'Sep'!$D$27:$AH$266,'Oct'!$D$27:$AH$266,'Nov'!$D$27:$AH$266,'Dec'!$D$27:$AH$266,'Jan (next year)'!$D$27:$AH$266),27+4*(IFERROR(MATCH(C705,Roster!$B$6:$B$65,0),MATCH(C705,Roster!$C$6:$C$65,0))-1)+MATCH(B705,{"AM","PM","NIGHT","WD"},0)-1-27+1,DAY(A705))&amp;"",""))</f>
        <v/>
      </c>
      <c r="G705" s="123">
        <f>IF(OR(A705="",C705="",B705="",E705=""),"",IFERROR(A705&amp;"|"&amp;(27+4*(IFERROR(MATCH(C705,Roster!$B$6:$B$65,0),MATCH(C705,Roster!$C$6:$C$65,0))-1)+MATCH(B705,{"AM","PM","NIGHT","WD"},0)-1),""))</f>
        <v/>
      </c>
    </row>
    <row r="706">
      <c r="A706" s="122" t="n"/>
      <c r="B706" s="107" t="n"/>
      <c r="C706" s="105" t="n"/>
      <c r="D706" s="92">
        <f>IF(C706="","",IFERROR(INDEX(Roster!$C$6:$C$65,IFERROR(MATCH(C706,Roster!$B$6:$B$65,0),MATCH(C706,Roster!$C$6:$C$65,0))),"not on the Roster"))</f>
        <v/>
      </c>
      <c r="E706" s="106" t="n"/>
      <c r="F706" s="104">
        <f>IF(OR(A706="",C706="",B706=""),"",IFERROR(INDEX(CHOOSE(IF(YEAR(A706)&gt;PlanYear,13,MONTH(A706)),'Jan'!$D$27:$AH$266,'Feb'!$D$27:$AH$266,'Mar'!$D$27:$AH$266,'Apr'!$D$27:$AH$266,'May'!$D$27:$AH$266,'Jun'!$D$27:$AH$266,'Jul'!$D$27:$AH$266,'Aug'!$D$27:$AH$266,'Sep'!$D$27:$AH$266,'Oct'!$D$27:$AH$266,'Nov'!$D$27:$AH$266,'Dec'!$D$27:$AH$266,'Jan (next year)'!$D$27:$AH$266),27+4*(IFERROR(MATCH(C706,Roster!$B$6:$B$65,0),MATCH(C706,Roster!$C$6:$C$65,0))-1)+MATCH(B706,{"AM","PM","NIGHT","WD"},0)-1-27+1,DAY(A706))&amp;"",""))</f>
        <v/>
      </c>
      <c r="G706" s="123">
        <f>IF(OR(A706="",C706="",B706="",E706=""),"",IFERROR(A706&amp;"|"&amp;(27+4*(IFERROR(MATCH(C706,Roster!$B$6:$B$65,0),MATCH(C706,Roster!$C$6:$C$65,0))-1)+MATCH(B706,{"AM","PM","NIGHT","WD"},0)-1),""))</f>
        <v/>
      </c>
    </row>
    <row r="707">
      <c r="A707" s="122" t="n"/>
      <c r="B707" s="107" t="n"/>
      <c r="C707" s="105" t="n"/>
      <c r="D707" s="92">
        <f>IF(C707="","",IFERROR(INDEX(Roster!$C$6:$C$65,IFERROR(MATCH(C707,Roster!$B$6:$B$65,0),MATCH(C707,Roster!$C$6:$C$65,0))),"not on the Roster"))</f>
        <v/>
      </c>
      <c r="E707" s="106" t="n"/>
      <c r="F707" s="104">
        <f>IF(OR(A707="",C707="",B707=""),"",IFERROR(INDEX(CHOOSE(IF(YEAR(A707)&gt;PlanYear,13,MONTH(A707)),'Jan'!$D$27:$AH$266,'Feb'!$D$27:$AH$266,'Mar'!$D$27:$AH$266,'Apr'!$D$27:$AH$266,'May'!$D$27:$AH$266,'Jun'!$D$27:$AH$266,'Jul'!$D$27:$AH$266,'Aug'!$D$27:$AH$266,'Sep'!$D$27:$AH$266,'Oct'!$D$27:$AH$266,'Nov'!$D$27:$AH$266,'Dec'!$D$27:$AH$266,'Jan (next year)'!$D$27:$AH$266),27+4*(IFERROR(MATCH(C707,Roster!$B$6:$B$65,0),MATCH(C707,Roster!$C$6:$C$65,0))-1)+MATCH(B707,{"AM","PM","NIGHT","WD"},0)-1-27+1,DAY(A707))&amp;"",""))</f>
        <v/>
      </c>
      <c r="G707" s="123">
        <f>IF(OR(A707="",C707="",B707="",E707=""),"",IFERROR(A707&amp;"|"&amp;(27+4*(IFERROR(MATCH(C707,Roster!$B$6:$B$65,0),MATCH(C707,Roster!$C$6:$C$65,0))-1)+MATCH(B707,{"AM","PM","NIGHT","WD"},0)-1),""))</f>
        <v/>
      </c>
    </row>
    <row r="708">
      <c r="A708" s="122" t="n"/>
      <c r="B708" s="107" t="n"/>
      <c r="C708" s="105" t="n"/>
      <c r="D708" s="92">
        <f>IF(C708="","",IFERROR(INDEX(Roster!$C$6:$C$65,IFERROR(MATCH(C708,Roster!$B$6:$B$65,0),MATCH(C708,Roster!$C$6:$C$65,0))),"not on the Roster"))</f>
        <v/>
      </c>
      <c r="E708" s="106" t="n"/>
      <c r="F708" s="104">
        <f>IF(OR(A708="",C708="",B708=""),"",IFERROR(INDEX(CHOOSE(IF(YEAR(A708)&gt;PlanYear,13,MONTH(A708)),'Jan'!$D$27:$AH$266,'Feb'!$D$27:$AH$266,'Mar'!$D$27:$AH$266,'Apr'!$D$27:$AH$266,'May'!$D$27:$AH$266,'Jun'!$D$27:$AH$266,'Jul'!$D$27:$AH$266,'Aug'!$D$27:$AH$266,'Sep'!$D$27:$AH$266,'Oct'!$D$27:$AH$266,'Nov'!$D$27:$AH$266,'Dec'!$D$27:$AH$266,'Jan (next year)'!$D$27:$AH$266),27+4*(IFERROR(MATCH(C708,Roster!$B$6:$B$65,0),MATCH(C708,Roster!$C$6:$C$65,0))-1)+MATCH(B708,{"AM","PM","NIGHT","WD"},0)-1-27+1,DAY(A708))&amp;"",""))</f>
        <v/>
      </c>
      <c r="G708" s="123">
        <f>IF(OR(A708="",C708="",B708="",E708=""),"",IFERROR(A708&amp;"|"&amp;(27+4*(IFERROR(MATCH(C708,Roster!$B$6:$B$65,0),MATCH(C708,Roster!$C$6:$C$65,0))-1)+MATCH(B708,{"AM","PM","NIGHT","WD"},0)-1),""))</f>
        <v/>
      </c>
    </row>
    <row r="709">
      <c r="A709" s="122" t="n"/>
      <c r="B709" s="107" t="n"/>
      <c r="C709" s="105" t="n"/>
      <c r="D709" s="92">
        <f>IF(C709="","",IFERROR(INDEX(Roster!$C$6:$C$65,IFERROR(MATCH(C709,Roster!$B$6:$B$65,0),MATCH(C709,Roster!$C$6:$C$65,0))),"not on the Roster"))</f>
        <v/>
      </c>
      <c r="E709" s="106" t="n"/>
      <c r="F709" s="104">
        <f>IF(OR(A709="",C709="",B709=""),"",IFERROR(INDEX(CHOOSE(IF(YEAR(A709)&gt;PlanYear,13,MONTH(A709)),'Jan'!$D$27:$AH$266,'Feb'!$D$27:$AH$266,'Mar'!$D$27:$AH$266,'Apr'!$D$27:$AH$266,'May'!$D$27:$AH$266,'Jun'!$D$27:$AH$266,'Jul'!$D$27:$AH$266,'Aug'!$D$27:$AH$266,'Sep'!$D$27:$AH$266,'Oct'!$D$27:$AH$266,'Nov'!$D$27:$AH$266,'Dec'!$D$27:$AH$266,'Jan (next year)'!$D$27:$AH$266),27+4*(IFERROR(MATCH(C709,Roster!$B$6:$B$65,0),MATCH(C709,Roster!$C$6:$C$65,0))-1)+MATCH(B709,{"AM","PM","NIGHT","WD"},0)-1-27+1,DAY(A709))&amp;"",""))</f>
        <v/>
      </c>
      <c r="G709" s="123">
        <f>IF(OR(A709="",C709="",B709="",E709=""),"",IFERROR(A709&amp;"|"&amp;(27+4*(IFERROR(MATCH(C709,Roster!$B$6:$B$65,0),MATCH(C709,Roster!$C$6:$C$65,0))-1)+MATCH(B709,{"AM","PM","NIGHT","WD"},0)-1),""))</f>
        <v/>
      </c>
    </row>
    <row r="710">
      <c r="A710" s="122" t="n"/>
      <c r="B710" s="107" t="n"/>
      <c r="C710" s="105" t="n"/>
      <c r="D710" s="92">
        <f>IF(C710="","",IFERROR(INDEX(Roster!$C$6:$C$65,IFERROR(MATCH(C710,Roster!$B$6:$B$65,0),MATCH(C710,Roster!$C$6:$C$65,0))),"not on the Roster"))</f>
        <v/>
      </c>
      <c r="E710" s="106" t="n"/>
      <c r="F710" s="104">
        <f>IF(OR(A710="",C710="",B710=""),"",IFERROR(INDEX(CHOOSE(IF(YEAR(A710)&gt;PlanYear,13,MONTH(A710)),'Jan'!$D$27:$AH$266,'Feb'!$D$27:$AH$266,'Mar'!$D$27:$AH$266,'Apr'!$D$27:$AH$266,'May'!$D$27:$AH$266,'Jun'!$D$27:$AH$266,'Jul'!$D$27:$AH$266,'Aug'!$D$27:$AH$266,'Sep'!$D$27:$AH$266,'Oct'!$D$27:$AH$266,'Nov'!$D$27:$AH$266,'Dec'!$D$27:$AH$266,'Jan (next year)'!$D$27:$AH$266),27+4*(IFERROR(MATCH(C710,Roster!$B$6:$B$65,0),MATCH(C710,Roster!$C$6:$C$65,0))-1)+MATCH(B710,{"AM","PM","NIGHT","WD"},0)-1-27+1,DAY(A710))&amp;"",""))</f>
        <v/>
      </c>
      <c r="G710" s="123">
        <f>IF(OR(A710="",C710="",B710="",E710=""),"",IFERROR(A710&amp;"|"&amp;(27+4*(IFERROR(MATCH(C710,Roster!$B$6:$B$65,0),MATCH(C710,Roster!$C$6:$C$65,0))-1)+MATCH(B710,{"AM","PM","NIGHT","WD"},0)-1),""))</f>
        <v/>
      </c>
    </row>
    <row r="711">
      <c r="A711" s="122" t="n"/>
      <c r="B711" s="107" t="n"/>
      <c r="C711" s="105" t="n"/>
      <c r="D711" s="92">
        <f>IF(C711="","",IFERROR(INDEX(Roster!$C$6:$C$65,IFERROR(MATCH(C711,Roster!$B$6:$B$65,0),MATCH(C711,Roster!$C$6:$C$65,0))),"not on the Roster"))</f>
        <v/>
      </c>
      <c r="E711" s="106" t="n"/>
      <c r="F711" s="104">
        <f>IF(OR(A711="",C711="",B711=""),"",IFERROR(INDEX(CHOOSE(IF(YEAR(A711)&gt;PlanYear,13,MONTH(A711)),'Jan'!$D$27:$AH$266,'Feb'!$D$27:$AH$266,'Mar'!$D$27:$AH$266,'Apr'!$D$27:$AH$266,'May'!$D$27:$AH$266,'Jun'!$D$27:$AH$266,'Jul'!$D$27:$AH$266,'Aug'!$D$27:$AH$266,'Sep'!$D$27:$AH$266,'Oct'!$D$27:$AH$266,'Nov'!$D$27:$AH$266,'Dec'!$D$27:$AH$266,'Jan (next year)'!$D$27:$AH$266),27+4*(IFERROR(MATCH(C711,Roster!$B$6:$B$65,0),MATCH(C711,Roster!$C$6:$C$65,0))-1)+MATCH(B711,{"AM","PM","NIGHT","WD"},0)-1-27+1,DAY(A711))&amp;"",""))</f>
        <v/>
      </c>
      <c r="G711" s="123">
        <f>IF(OR(A711="",C711="",B711="",E711=""),"",IFERROR(A711&amp;"|"&amp;(27+4*(IFERROR(MATCH(C711,Roster!$B$6:$B$65,0),MATCH(C711,Roster!$C$6:$C$65,0))-1)+MATCH(B711,{"AM","PM","NIGHT","WD"},0)-1),""))</f>
        <v/>
      </c>
    </row>
    <row r="712">
      <c r="A712" s="122" t="n"/>
      <c r="B712" s="107" t="n"/>
      <c r="C712" s="105" t="n"/>
      <c r="D712" s="92">
        <f>IF(C712="","",IFERROR(INDEX(Roster!$C$6:$C$65,IFERROR(MATCH(C712,Roster!$B$6:$B$65,0),MATCH(C712,Roster!$C$6:$C$65,0))),"not on the Roster"))</f>
        <v/>
      </c>
      <c r="E712" s="106" t="n"/>
      <c r="F712" s="104">
        <f>IF(OR(A712="",C712="",B712=""),"",IFERROR(INDEX(CHOOSE(IF(YEAR(A712)&gt;PlanYear,13,MONTH(A712)),'Jan'!$D$27:$AH$266,'Feb'!$D$27:$AH$266,'Mar'!$D$27:$AH$266,'Apr'!$D$27:$AH$266,'May'!$D$27:$AH$266,'Jun'!$D$27:$AH$266,'Jul'!$D$27:$AH$266,'Aug'!$D$27:$AH$266,'Sep'!$D$27:$AH$266,'Oct'!$D$27:$AH$266,'Nov'!$D$27:$AH$266,'Dec'!$D$27:$AH$266,'Jan (next year)'!$D$27:$AH$266),27+4*(IFERROR(MATCH(C712,Roster!$B$6:$B$65,0),MATCH(C712,Roster!$C$6:$C$65,0))-1)+MATCH(B712,{"AM","PM","NIGHT","WD"},0)-1-27+1,DAY(A712))&amp;"",""))</f>
        <v/>
      </c>
      <c r="G712" s="123">
        <f>IF(OR(A712="",C712="",B712="",E712=""),"",IFERROR(A712&amp;"|"&amp;(27+4*(IFERROR(MATCH(C712,Roster!$B$6:$B$65,0),MATCH(C712,Roster!$C$6:$C$65,0))-1)+MATCH(B712,{"AM","PM","NIGHT","WD"},0)-1),""))</f>
        <v/>
      </c>
    </row>
    <row r="713">
      <c r="A713" s="122" t="n"/>
      <c r="B713" s="107" t="n"/>
      <c r="C713" s="105" t="n"/>
      <c r="D713" s="92">
        <f>IF(C713="","",IFERROR(INDEX(Roster!$C$6:$C$65,IFERROR(MATCH(C713,Roster!$B$6:$B$65,0),MATCH(C713,Roster!$C$6:$C$65,0))),"not on the Roster"))</f>
        <v/>
      </c>
      <c r="E713" s="106" t="n"/>
      <c r="F713" s="104">
        <f>IF(OR(A713="",C713="",B713=""),"",IFERROR(INDEX(CHOOSE(IF(YEAR(A713)&gt;PlanYear,13,MONTH(A713)),'Jan'!$D$27:$AH$266,'Feb'!$D$27:$AH$266,'Mar'!$D$27:$AH$266,'Apr'!$D$27:$AH$266,'May'!$D$27:$AH$266,'Jun'!$D$27:$AH$266,'Jul'!$D$27:$AH$266,'Aug'!$D$27:$AH$266,'Sep'!$D$27:$AH$266,'Oct'!$D$27:$AH$266,'Nov'!$D$27:$AH$266,'Dec'!$D$27:$AH$266,'Jan (next year)'!$D$27:$AH$266),27+4*(IFERROR(MATCH(C713,Roster!$B$6:$B$65,0),MATCH(C713,Roster!$C$6:$C$65,0))-1)+MATCH(B713,{"AM","PM","NIGHT","WD"},0)-1-27+1,DAY(A713))&amp;"",""))</f>
        <v/>
      </c>
      <c r="G713" s="123">
        <f>IF(OR(A713="",C713="",B713="",E713=""),"",IFERROR(A713&amp;"|"&amp;(27+4*(IFERROR(MATCH(C713,Roster!$B$6:$B$65,0),MATCH(C713,Roster!$C$6:$C$65,0))-1)+MATCH(B713,{"AM","PM","NIGHT","WD"},0)-1),""))</f>
        <v/>
      </c>
    </row>
    <row r="714">
      <c r="A714" s="122" t="n"/>
      <c r="B714" s="107" t="n"/>
      <c r="C714" s="105" t="n"/>
      <c r="D714" s="92">
        <f>IF(C714="","",IFERROR(INDEX(Roster!$C$6:$C$65,IFERROR(MATCH(C714,Roster!$B$6:$B$65,0),MATCH(C714,Roster!$C$6:$C$65,0))),"not on the Roster"))</f>
        <v/>
      </c>
      <c r="E714" s="106" t="n"/>
      <c r="F714" s="104">
        <f>IF(OR(A714="",C714="",B714=""),"",IFERROR(INDEX(CHOOSE(IF(YEAR(A714)&gt;PlanYear,13,MONTH(A714)),'Jan'!$D$27:$AH$266,'Feb'!$D$27:$AH$266,'Mar'!$D$27:$AH$266,'Apr'!$D$27:$AH$266,'May'!$D$27:$AH$266,'Jun'!$D$27:$AH$266,'Jul'!$D$27:$AH$266,'Aug'!$D$27:$AH$266,'Sep'!$D$27:$AH$266,'Oct'!$D$27:$AH$266,'Nov'!$D$27:$AH$266,'Dec'!$D$27:$AH$266,'Jan (next year)'!$D$27:$AH$266),27+4*(IFERROR(MATCH(C714,Roster!$B$6:$B$65,0),MATCH(C714,Roster!$C$6:$C$65,0))-1)+MATCH(B714,{"AM","PM","NIGHT","WD"},0)-1-27+1,DAY(A714))&amp;"",""))</f>
        <v/>
      </c>
      <c r="G714" s="123">
        <f>IF(OR(A714="",C714="",B714="",E714=""),"",IFERROR(A714&amp;"|"&amp;(27+4*(IFERROR(MATCH(C714,Roster!$B$6:$B$65,0),MATCH(C714,Roster!$C$6:$C$65,0))-1)+MATCH(B714,{"AM","PM","NIGHT","WD"},0)-1),""))</f>
        <v/>
      </c>
    </row>
    <row r="715">
      <c r="A715" s="122" t="n"/>
      <c r="B715" s="107" t="n"/>
      <c r="C715" s="105" t="n"/>
      <c r="D715" s="92">
        <f>IF(C715="","",IFERROR(INDEX(Roster!$C$6:$C$65,IFERROR(MATCH(C715,Roster!$B$6:$B$65,0),MATCH(C715,Roster!$C$6:$C$65,0))),"not on the Roster"))</f>
        <v/>
      </c>
      <c r="E715" s="106" t="n"/>
      <c r="F715" s="104">
        <f>IF(OR(A715="",C715="",B715=""),"",IFERROR(INDEX(CHOOSE(IF(YEAR(A715)&gt;PlanYear,13,MONTH(A715)),'Jan'!$D$27:$AH$266,'Feb'!$D$27:$AH$266,'Mar'!$D$27:$AH$266,'Apr'!$D$27:$AH$266,'May'!$D$27:$AH$266,'Jun'!$D$27:$AH$266,'Jul'!$D$27:$AH$266,'Aug'!$D$27:$AH$266,'Sep'!$D$27:$AH$266,'Oct'!$D$27:$AH$266,'Nov'!$D$27:$AH$266,'Dec'!$D$27:$AH$266,'Jan (next year)'!$D$27:$AH$266),27+4*(IFERROR(MATCH(C715,Roster!$B$6:$B$65,0),MATCH(C715,Roster!$C$6:$C$65,0))-1)+MATCH(B715,{"AM","PM","NIGHT","WD"},0)-1-27+1,DAY(A715))&amp;"",""))</f>
        <v/>
      </c>
      <c r="G715" s="123">
        <f>IF(OR(A715="",C715="",B715="",E715=""),"",IFERROR(A715&amp;"|"&amp;(27+4*(IFERROR(MATCH(C715,Roster!$B$6:$B$65,0),MATCH(C715,Roster!$C$6:$C$65,0))-1)+MATCH(B715,{"AM","PM","NIGHT","WD"},0)-1),""))</f>
        <v/>
      </c>
    </row>
    <row r="716">
      <c r="A716" s="122" t="n"/>
      <c r="B716" s="107" t="n"/>
      <c r="C716" s="105" t="n"/>
      <c r="D716" s="92">
        <f>IF(C716="","",IFERROR(INDEX(Roster!$C$6:$C$65,IFERROR(MATCH(C716,Roster!$B$6:$B$65,0),MATCH(C716,Roster!$C$6:$C$65,0))),"not on the Roster"))</f>
        <v/>
      </c>
      <c r="E716" s="106" t="n"/>
      <c r="F716" s="104">
        <f>IF(OR(A716="",C716="",B716=""),"",IFERROR(INDEX(CHOOSE(IF(YEAR(A716)&gt;PlanYear,13,MONTH(A716)),'Jan'!$D$27:$AH$266,'Feb'!$D$27:$AH$266,'Mar'!$D$27:$AH$266,'Apr'!$D$27:$AH$266,'May'!$D$27:$AH$266,'Jun'!$D$27:$AH$266,'Jul'!$D$27:$AH$266,'Aug'!$D$27:$AH$266,'Sep'!$D$27:$AH$266,'Oct'!$D$27:$AH$266,'Nov'!$D$27:$AH$266,'Dec'!$D$27:$AH$266,'Jan (next year)'!$D$27:$AH$266),27+4*(IFERROR(MATCH(C716,Roster!$B$6:$B$65,0),MATCH(C716,Roster!$C$6:$C$65,0))-1)+MATCH(B716,{"AM","PM","NIGHT","WD"},0)-1-27+1,DAY(A716))&amp;"",""))</f>
        <v/>
      </c>
      <c r="G716" s="123">
        <f>IF(OR(A716="",C716="",B716="",E716=""),"",IFERROR(A716&amp;"|"&amp;(27+4*(IFERROR(MATCH(C716,Roster!$B$6:$B$65,0),MATCH(C716,Roster!$C$6:$C$65,0))-1)+MATCH(B716,{"AM","PM","NIGHT","WD"},0)-1),""))</f>
        <v/>
      </c>
    </row>
    <row r="717">
      <c r="A717" s="122" t="n"/>
      <c r="B717" s="107" t="n"/>
      <c r="C717" s="105" t="n"/>
      <c r="D717" s="92">
        <f>IF(C717="","",IFERROR(INDEX(Roster!$C$6:$C$65,IFERROR(MATCH(C717,Roster!$B$6:$B$65,0),MATCH(C717,Roster!$C$6:$C$65,0))),"not on the Roster"))</f>
        <v/>
      </c>
      <c r="E717" s="106" t="n"/>
      <c r="F717" s="104">
        <f>IF(OR(A717="",C717="",B717=""),"",IFERROR(INDEX(CHOOSE(IF(YEAR(A717)&gt;PlanYear,13,MONTH(A717)),'Jan'!$D$27:$AH$266,'Feb'!$D$27:$AH$266,'Mar'!$D$27:$AH$266,'Apr'!$D$27:$AH$266,'May'!$D$27:$AH$266,'Jun'!$D$27:$AH$266,'Jul'!$D$27:$AH$266,'Aug'!$D$27:$AH$266,'Sep'!$D$27:$AH$266,'Oct'!$D$27:$AH$266,'Nov'!$D$27:$AH$266,'Dec'!$D$27:$AH$266,'Jan (next year)'!$D$27:$AH$266),27+4*(IFERROR(MATCH(C717,Roster!$B$6:$B$65,0),MATCH(C717,Roster!$C$6:$C$65,0))-1)+MATCH(B717,{"AM","PM","NIGHT","WD"},0)-1-27+1,DAY(A717))&amp;"",""))</f>
        <v/>
      </c>
      <c r="G717" s="123">
        <f>IF(OR(A717="",C717="",B717="",E717=""),"",IFERROR(A717&amp;"|"&amp;(27+4*(IFERROR(MATCH(C717,Roster!$B$6:$B$65,0),MATCH(C717,Roster!$C$6:$C$65,0))-1)+MATCH(B717,{"AM","PM","NIGHT","WD"},0)-1),""))</f>
        <v/>
      </c>
    </row>
    <row r="718">
      <c r="A718" s="122" t="n"/>
      <c r="B718" s="107" t="n"/>
      <c r="C718" s="105" t="n"/>
      <c r="D718" s="92">
        <f>IF(C718="","",IFERROR(INDEX(Roster!$C$6:$C$65,IFERROR(MATCH(C718,Roster!$B$6:$B$65,0),MATCH(C718,Roster!$C$6:$C$65,0))),"not on the Roster"))</f>
        <v/>
      </c>
      <c r="E718" s="106" t="n"/>
      <c r="F718" s="104">
        <f>IF(OR(A718="",C718="",B718=""),"",IFERROR(INDEX(CHOOSE(IF(YEAR(A718)&gt;PlanYear,13,MONTH(A718)),'Jan'!$D$27:$AH$266,'Feb'!$D$27:$AH$266,'Mar'!$D$27:$AH$266,'Apr'!$D$27:$AH$266,'May'!$D$27:$AH$266,'Jun'!$D$27:$AH$266,'Jul'!$D$27:$AH$266,'Aug'!$D$27:$AH$266,'Sep'!$D$27:$AH$266,'Oct'!$D$27:$AH$266,'Nov'!$D$27:$AH$266,'Dec'!$D$27:$AH$266,'Jan (next year)'!$D$27:$AH$266),27+4*(IFERROR(MATCH(C718,Roster!$B$6:$B$65,0),MATCH(C718,Roster!$C$6:$C$65,0))-1)+MATCH(B718,{"AM","PM","NIGHT","WD"},0)-1-27+1,DAY(A718))&amp;"",""))</f>
        <v/>
      </c>
      <c r="G718" s="123">
        <f>IF(OR(A718="",C718="",B718="",E718=""),"",IFERROR(A718&amp;"|"&amp;(27+4*(IFERROR(MATCH(C718,Roster!$B$6:$B$65,0),MATCH(C718,Roster!$C$6:$C$65,0))-1)+MATCH(B718,{"AM","PM","NIGHT","WD"},0)-1),""))</f>
        <v/>
      </c>
    </row>
    <row r="719">
      <c r="A719" s="122" t="n"/>
      <c r="B719" s="107" t="n"/>
      <c r="C719" s="105" t="n"/>
      <c r="D719" s="92">
        <f>IF(C719="","",IFERROR(INDEX(Roster!$C$6:$C$65,IFERROR(MATCH(C719,Roster!$B$6:$B$65,0),MATCH(C719,Roster!$C$6:$C$65,0))),"not on the Roster"))</f>
        <v/>
      </c>
      <c r="E719" s="106" t="n"/>
      <c r="F719" s="104">
        <f>IF(OR(A719="",C719="",B719=""),"",IFERROR(INDEX(CHOOSE(IF(YEAR(A719)&gt;PlanYear,13,MONTH(A719)),'Jan'!$D$27:$AH$266,'Feb'!$D$27:$AH$266,'Mar'!$D$27:$AH$266,'Apr'!$D$27:$AH$266,'May'!$D$27:$AH$266,'Jun'!$D$27:$AH$266,'Jul'!$D$27:$AH$266,'Aug'!$D$27:$AH$266,'Sep'!$D$27:$AH$266,'Oct'!$D$27:$AH$266,'Nov'!$D$27:$AH$266,'Dec'!$D$27:$AH$266,'Jan (next year)'!$D$27:$AH$266),27+4*(IFERROR(MATCH(C719,Roster!$B$6:$B$65,0),MATCH(C719,Roster!$C$6:$C$65,0))-1)+MATCH(B719,{"AM","PM","NIGHT","WD"},0)-1-27+1,DAY(A719))&amp;"",""))</f>
        <v/>
      </c>
      <c r="G719" s="123">
        <f>IF(OR(A719="",C719="",B719="",E719=""),"",IFERROR(A719&amp;"|"&amp;(27+4*(IFERROR(MATCH(C719,Roster!$B$6:$B$65,0),MATCH(C719,Roster!$C$6:$C$65,0))-1)+MATCH(B719,{"AM","PM","NIGHT","WD"},0)-1),""))</f>
        <v/>
      </c>
    </row>
    <row r="720">
      <c r="A720" s="122" t="n"/>
      <c r="B720" s="107" t="n"/>
      <c r="C720" s="105" t="n"/>
      <c r="D720" s="92">
        <f>IF(C720="","",IFERROR(INDEX(Roster!$C$6:$C$65,IFERROR(MATCH(C720,Roster!$B$6:$B$65,0),MATCH(C720,Roster!$C$6:$C$65,0))),"not on the Roster"))</f>
        <v/>
      </c>
      <c r="E720" s="106" t="n"/>
      <c r="F720" s="104">
        <f>IF(OR(A720="",C720="",B720=""),"",IFERROR(INDEX(CHOOSE(IF(YEAR(A720)&gt;PlanYear,13,MONTH(A720)),'Jan'!$D$27:$AH$266,'Feb'!$D$27:$AH$266,'Mar'!$D$27:$AH$266,'Apr'!$D$27:$AH$266,'May'!$D$27:$AH$266,'Jun'!$D$27:$AH$266,'Jul'!$D$27:$AH$266,'Aug'!$D$27:$AH$266,'Sep'!$D$27:$AH$266,'Oct'!$D$27:$AH$266,'Nov'!$D$27:$AH$266,'Dec'!$D$27:$AH$266,'Jan (next year)'!$D$27:$AH$266),27+4*(IFERROR(MATCH(C720,Roster!$B$6:$B$65,0),MATCH(C720,Roster!$C$6:$C$65,0))-1)+MATCH(B720,{"AM","PM","NIGHT","WD"},0)-1-27+1,DAY(A720))&amp;"",""))</f>
        <v/>
      </c>
      <c r="G720" s="123">
        <f>IF(OR(A720="",C720="",B720="",E720=""),"",IFERROR(A720&amp;"|"&amp;(27+4*(IFERROR(MATCH(C720,Roster!$B$6:$B$65,0),MATCH(C720,Roster!$C$6:$C$65,0))-1)+MATCH(B720,{"AM","PM","NIGHT","WD"},0)-1),""))</f>
        <v/>
      </c>
    </row>
    <row r="721">
      <c r="A721" s="122" t="n"/>
      <c r="B721" s="107" t="n"/>
      <c r="C721" s="105" t="n"/>
      <c r="D721" s="92">
        <f>IF(C721="","",IFERROR(INDEX(Roster!$C$6:$C$65,IFERROR(MATCH(C721,Roster!$B$6:$B$65,0),MATCH(C721,Roster!$C$6:$C$65,0))),"not on the Roster"))</f>
        <v/>
      </c>
      <c r="E721" s="106" t="n"/>
      <c r="F721" s="104">
        <f>IF(OR(A721="",C721="",B721=""),"",IFERROR(INDEX(CHOOSE(IF(YEAR(A721)&gt;PlanYear,13,MONTH(A721)),'Jan'!$D$27:$AH$266,'Feb'!$D$27:$AH$266,'Mar'!$D$27:$AH$266,'Apr'!$D$27:$AH$266,'May'!$D$27:$AH$266,'Jun'!$D$27:$AH$266,'Jul'!$D$27:$AH$266,'Aug'!$D$27:$AH$266,'Sep'!$D$27:$AH$266,'Oct'!$D$27:$AH$266,'Nov'!$D$27:$AH$266,'Dec'!$D$27:$AH$266,'Jan (next year)'!$D$27:$AH$266),27+4*(IFERROR(MATCH(C721,Roster!$B$6:$B$65,0),MATCH(C721,Roster!$C$6:$C$65,0))-1)+MATCH(B721,{"AM","PM","NIGHT","WD"},0)-1-27+1,DAY(A721))&amp;"",""))</f>
        <v/>
      </c>
      <c r="G721" s="123">
        <f>IF(OR(A721="",C721="",B721="",E721=""),"",IFERROR(A721&amp;"|"&amp;(27+4*(IFERROR(MATCH(C721,Roster!$B$6:$B$65,0),MATCH(C721,Roster!$C$6:$C$65,0))-1)+MATCH(B721,{"AM","PM","NIGHT","WD"},0)-1),""))</f>
        <v/>
      </c>
    </row>
    <row r="722">
      <c r="A722" s="122" t="n"/>
      <c r="B722" s="107" t="n"/>
      <c r="C722" s="105" t="n"/>
      <c r="D722" s="92">
        <f>IF(C722="","",IFERROR(INDEX(Roster!$C$6:$C$65,IFERROR(MATCH(C722,Roster!$B$6:$B$65,0),MATCH(C722,Roster!$C$6:$C$65,0))),"not on the Roster"))</f>
        <v/>
      </c>
      <c r="E722" s="106" t="n"/>
      <c r="F722" s="104">
        <f>IF(OR(A722="",C722="",B722=""),"",IFERROR(INDEX(CHOOSE(IF(YEAR(A722)&gt;PlanYear,13,MONTH(A722)),'Jan'!$D$27:$AH$266,'Feb'!$D$27:$AH$266,'Mar'!$D$27:$AH$266,'Apr'!$D$27:$AH$266,'May'!$D$27:$AH$266,'Jun'!$D$27:$AH$266,'Jul'!$D$27:$AH$266,'Aug'!$D$27:$AH$266,'Sep'!$D$27:$AH$266,'Oct'!$D$27:$AH$266,'Nov'!$D$27:$AH$266,'Dec'!$D$27:$AH$266,'Jan (next year)'!$D$27:$AH$266),27+4*(IFERROR(MATCH(C722,Roster!$B$6:$B$65,0),MATCH(C722,Roster!$C$6:$C$65,0))-1)+MATCH(B722,{"AM","PM","NIGHT","WD"},0)-1-27+1,DAY(A722))&amp;"",""))</f>
        <v/>
      </c>
      <c r="G722" s="123">
        <f>IF(OR(A722="",C722="",B722="",E722=""),"",IFERROR(A722&amp;"|"&amp;(27+4*(IFERROR(MATCH(C722,Roster!$B$6:$B$65,0),MATCH(C722,Roster!$C$6:$C$65,0))-1)+MATCH(B722,{"AM","PM","NIGHT","WD"},0)-1),""))</f>
        <v/>
      </c>
    </row>
    <row r="723">
      <c r="A723" s="122" t="n"/>
      <c r="B723" s="107" t="n"/>
      <c r="C723" s="105" t="n"/>
      <c r="D723" s="92">
        <f>IF(C723="","",IFERROR(INDEX(Roster!$C$6:$C$65,IFERROR(MATCH(C723,Roster!$B$6:$B$65,0),MATCH(C723,Roster!$C$6:$C$65,0))),"not on the Roster"))</f>
        <v/>
      </c>
      <c r="E723" s="106" t="n"/>
      <c r="F723" s="104">
        <f>IF(OR(A723="",C723="",B723=""),"",IFERROR(INDEX(CHOOSE(IF(YEAR(A723)&gt;PlanYear,13,MONTH(A723)),'Jan'!$D$27:$AH$266,'Feb'!$D$27:$AH$266,'Mar'!$D$27:$AH$266,'Apr'!$D$27:$AH$266,'May'!$D$27:$AH$266,'Jun'!$D$27:$AH$266,'Jul'!$D$27:$AH$266,'Aug'!$D$27:$AH$266,'Sep'!$D$27:$AH$266,'Oct'!$D$27:$AH$266,'Nov'!$D$27:$AH$266,'Dec'!$D$27:$AH$266,'Jan (next year)'!$D$27:$AH$266),27+4*(IFERROR(MATCH(C723,Roster!$B$6:$B$65,0),MATCH(C723,Roster!$C$6:$C$65,0))-1)+MATCH(B723,{"AM","PM","NIGHT","WD"},0)-1-27+1,DAY(A723))&amp;"",""))</f>
        <v/>
      </c>
      <c r="G723" s="123">
        <f>IF(OR(A723="",C723="",B723="",E723=""),"",IFERROR(A723&amp;"|"&amp;(27+4*(IFERROR(MATCH(C723,Roster!$B$6:$B$65,0),MATCH(C723,Roster!$C$6:$C$65,0))-1)+MATCH(B723,{"AM","PM","NIGHT","WD"},0)-1),""))</f>
        <v/>
      </c>
    </row>
    <row r="724">
      <c r="A724" s="122" t="n"/>
      <c r="B724" s="107" t="n"/>
      <c r="C724" s="105" t="n"/>
      <c r="D724" s="92">
        <f>IF(C724="","",IFERROR(INDEX(Roster!$C$6:$C$65,IFERROR(MATCH(C724,Roster!$B$6:$B$65,0),MATCH(C724,Roster!$C$6:$C$65,0))),"not on the Roster"))</f>
        <v/>
      </c>
      <c r="E724" s="106" t="n"/>
      <c r="F724" s="104">
        <f>IF(OR(A724="",C724="",B724=""),"",IFERROR(INDEX(CHOOSE(IF(YEAR(A724)&gt;PlanYear,13,MONTH(A724)),'Jan'!$D$27:$AH$266,'Feb'!$D$27:$AH$266,'Mar'!$D$27:$AH$266,'Apr'!$D$27:$AH$266,'May'!$D$27:$AH$266,'Jun'!$D$27:$AH$266,'Jul'!$D$27:$AH$266,'Aug'!$D$27:$AH$266,'Sep'!$D$27:$AH$266,'Oct'!$D$27:$AH$266,'Nov'!$D$27:$AH$266,'Dec'!$D$27:$AH$266,'Jan (next year)'!$D$27:$AH$266),27+4*(IFERROR(MATCH(C724,Roster!$B$6:$B$65,0),MATCH(C724,Roster!$C$6:$C$65,0))-1)+MATCH(B724,{"AM","PM","NIGHT","WD"},0)-1-27+1,DAY(A724))&amp;"",""))</f>
        <v/>
      </c>
      <c r="G724" s="123">
        <f>IF(OR(A724="",C724="",B724="",E724=""),"",IFERROR(A724&amp;"|"&amp;(27+4*(IFERROR(MATCH(C724,Roster!$B$6:$B$65,0),MATCH(C724,Roster!$C$6:$C$65,0))-1)+MATCH(B724,{"AM","PM","NIGHT","WD"},0)-1),""))</f>
        <v/>
      </c>
    </row>
    <row r="725">
      <c r="A725" s="122" t="n"/>
      <c r="B725" s="107" t="n"/>
      <c r="C725" s="105" t="n"/>
      <c r="D725" s="92">
        <f>IF(C725="","",IFERROR(INDEX(Roster!$C$6:$C$65,IFERROR(MATCH(C725,Roster!$B$6:$B$65,0),MATCH(C725,Roster!$C$6:$C$65,0))),"not on the Roster"))</f>
        <v/>
      </c>
      <c r="E725" s="106" t="n"/>
      <c r="F725" s="104">
        <f>IF(OR(A725="",C725="",B725=""),"",IFERROR(INDEX(CHOOSE(IF(YEAR(A725)&gt;PlanYear,13,MONTH(A725)),'Jan'!$D$27:$AH$266,'Feb'!$D$27:$AH$266,'Mar'!$D$27:$AH$266,'Apr'!$D$27:$AH$266,'May'!$D$27:$AH$266,'Jun'!$D$27:$AH$266,'Jul'!$D$27:$AH$266,'Aug'!$D$27:$AH$266,'Sep'!$D$27:$AH$266,'Oct'!$D$27:$AH$266,'Nov'!$D$27:$AH$266,'Dec'!$D$27:$AH$266,'Jan (next year)'!$D$27:$AH$266),27+4*(IFERROR(MATCH(C725,Roster!$B$6:$B$65,0),MATCH(C725,Roster!$C$6:$C$65,0))-1)+MATCH(B725,{"AM","PM","NIGHT","WD"},0)-1-27+1,DAY(A725))&amp;"",""))</f>
        <v/>
      </c>
      <c r="G725" s="123">
        <f>IF(OR(A725="",C725="",B725="",E725=""),"",IFERROR(A725&amp;"|"&amp;(27+4*(IFERROR(MATCH(C725,Roster!$B$6:$B$65,0),MATCH(C725,Roster!$C$6:$C$65,0))-1)+MATCH(B725,{"AM","PM","NIGHT","WD"},0)-1),""))</f>
        <v/>
      </c>
    </row>
    <row r="726">
      <c r="A726" s="122" t="n"/>
      <c r="B726" s="107" t="n"/>
      <c r="C726" s="105" t="n"/>
      <c r="D726" s="92">
        <f>IF(C726="","",IFERROR(INDEX(Roster!$C$6:$C$65,IFERROR(MATCH(C726,Roster!$B$6:$B$65,0),MATCH(C726,Roster!$C$6:$C$65,0))),"not on the Roster"))</f>
        <v/>
      </c>
      <c r="E726" s="106" t="n"/>
      <c r="F726" s="104">
        <f>IF(OR(A726="",C726="",B726=""),"",IFERROR(INDEX(CHOOSE(IF(YEAR(A726)&gt;PlanYear,13,MONTH(A726)),'Jan'!$D$27:$AH$266,'Feb'!$D$27:$AH$266,'Mar'!$D$27:$AH$266,'Apr'!$D$27:$AH$266,'May'!$D$27:$AH$266,'Jun'!$D$27:$AH$266,'Jul'!$D$27:$AH$266,'Aug'!$D$27:$AH$266,'Sep'!$D$27:$AH$266,'Oct'!$D$27:$AH$266,'Nov'!$D$27:$AH$266,'Dec'!$D$27:$AH$266,'Jan (next year)'!$D$27:$AH$266),27+4*(IFERROR(MATCH(C726,Roster!$B$6:$B$65,0),MATCH(C726,Roster!$C$6:$C$65,0))-1)+MATCH(B726,{"AM","PM","NIGHT","WD"},0)-1-27+1,DAY(A726))&amp;"",""))</f>
        <v/>
      </c>
      <c r="G726" s="123">
        <f>IF(OR(A726="",C726="",B726="",E726=""),"",IFERROR(A726&amp;"|"&amp;(27+4*(IFERROR(MATCH(C726,Roster!$B$6:$B$65,0),MATCH(C726,Roster!$C$6:$C$65,0))-1)+MATCH(B726,{"AM","PM","NIGHT","WD"},0)-1),""))</f>
        <v/>
      </c>
    </row>
    <row r="727">
      <c r="A727" s="122" t="n"/>
      <c r="B727" s="107" t="n"/>
      <c r="C727" s="105" t="n"/>
      <c r="D727" s="92">
        <f>IF(C727="","",IFERROR(INDEX(Roster!$C$6:$C$65,IFERROR(MATCH(C727,Roster!$B$6:$B$65,0),MATCH(C727,Roster!$C$6:$C$65,0))),"not on the Roster"))</f>
        <v/>
      </c>
      <c r="E727" s="106" t="n"/>
      <c r="F727" s="104">
        <f>IF(OR(A727="",C727="",B727=""),"",IFERROR(INDEX(CHOOSE(IF(YEAR(A727)&gt;PlanYear,13,MONTH(A727)),'Jan'!$D$27:$AH$266,'Feb'!$D$27:$AH$266,'Mar'!$D$27:$AH$266,'Apr'!$D$27:$AH$266,'May'!$D$27:$AH$266,'Jun'!$D$27:$AH$266,'Jul'!$D$27:$AH$266,'Aug'!$D$27:$AH$266,'Sep'!$D$27:$AH$266,'Oct'!$D$27:$AH$266,'Nov'!$D$27:$AH$266,'Dec'!$D$27:$AH$266,'Jan (next year)'!$D$27:$AH$266),27+4*(IFERROR(MATCH(C727,Roster!$B$6:$B$65,0),MATCH(C727,Roster!$C$6:$C$65,0))-1)+MATCH(B727,{"AM","PM","NIGHT","WD"},0)-1-27+1,DAY(A727))&amp;"",""))</f>
        <v/>
      </c>
      <c r="G727" s="123">
        <f>IF(OR(A727="",C727="",B727="",E727=""),"",IFERROR(A727&amp;"|"&amp;(27+4*(IFERROR(MATCH(C727,Roster!$B$6:$B$65,0),MATCH(C727,Roster!$C$6:$C$65,0))-1)+MATCH(B727,{"AM","PM","NIGHT","WD"},0)-1),""))</f>
        <v/>
      </c>
    </row>
    <row r="728">
      <c r="A728" s="122" t="n"/>
      <c r="B728" s="107" t="n"/>
      <c r="C728" s="105" t="n"/>
      <c r="D728" s="92">
        <f>IF(C728="","",IFERROR(INDEX(Roster!$C$6:$C$65,IFERROR(MATCH(C728,Roster!$B$6:$B$65,0),MATCH(C728,Roster!$C$6:$C$65,0))),"not on the Roster"))</f>
        <v/>
      </c>
      <c r="E728" s="106" t="n"/>
      <c r="F728" s="104">
        <f>IF(OR(A728="",C728="",B728=""),"",IFERROR(INDEX(CHOOSE(IF(YEAR(A728)&gt;PlanYear,13,MONTH(A728)),'Jan'!$D$27:$AH$266,'Feb'!$D$27:$AH$266,'Mar'!$D$27:$AH$266,'Apr'!$D$27:$AH$266,'May'!$D$27:$AH$266,'Jun'!$D$27:$AH$266,'Jul'!$D$27:$AH$266,'Aug'!$D$27:$AH$266,'Sep'!$D$27:$AH$266,'Oct'!$D$27:$AH$266,'Nov'!$D$27:$AH$266,'Dec'!$D$27:$AH$266,'Jan (next year)'!$D$27:$AH$266),27+4*(IFERROR(MATCH(C728,Roster!$B$6:$B$65,0),MATCH(C728,Roster!$C$6:$C$65,0))-1)+MATCH(B728,{"AM","PM","NIGHT","WD"},0)-1-27+1,DAY(A728))&amp;"",""))</f>
        <v/>
      </c>
      <c r="G728" s="123">
        <f>IF(OR(A728="",C728="",B728="",E728=""),"",IFERROR(A728&amp;"|"&amp;(27+4*(IFERROR(MATCH(C728,Roster!$B$6:$B$65,0),MATCH(C728,Roster!$C$6:$C$65,0))-1)+MATCH(B728,{"AM","PM","NIGHT","WD"},0)-1),""))</f>
        <v/>
      </c>
    </row>
    <row r="729">
      <c r="A729" s="122" t="n"/>
      <c r="B729" s="107" t="n"/>
      <c r="C729" s="105" t="n"/>
      <c r="D729" s="92">
        <f>IF(C729="","",IFERROR(INDEX(Roster!$C$6:$C$65,IFERROR(MATCH(C729,Roster!$B$6:$B$65,0),MATCH(C729,Roster!$C$6:$C$65,0))),"not on the Roster"))</f>
        <v/>
      </c>
      <c r="E729" s="106" t="n"/>
      <c r="F729" s="104">
        <f>IF(OR(A729="",C729="",B729=""),"",IFERROR(INDEX(CHOOSE(IF(YEAR(A729)&gt;PlanYear,13,MONTH(A729)),'Jan'!$D$27:$AH$266,'Feb'!$D$27:$AH$266,'Mar'!$D$27:$AH$266,'Apr'!$D$27:$AH$266,'May'!$D$27:$AH$266,'Jun'!$D$27:$AH$266,'Jul'!$D$27:$AH$266,'Aug'!$D$27:$AH$266,'Sep'!$D$27:$AH$266,'Oct'!$D$27:$AH$266,'Nov'!$D$27:$AH$266,'Dec'!$D$27:$AH$266,'Jan (next year)'!$D$27:$AH$266),27+4*(IFERROR(MATCH(C729,Roster!$B$6:$B$65,0),MATCH(C729,Roster!$C$6:$C$65,0))-1)+MATCH(B729,{"AM","PM","NIGHT","WD"},0)-1-27+1,DAY(A729))&amp;"",""))</f>
        <v/>
      </c>
      <c r="G729" s="123">
        <f>IF(OR(A729="",C729="",B729="",E729=""),"",IFERROR(A729&amp;"|"&amp;(27+4*(IFERROR(MATCH(C729,Roster!$B$6:$B$65,0),MATCH(C729,Roster!$C$6:$C$65,0))-1)+MATCH(B729,{"AM","PM","NIGHT","WD"},0)-1),""))</f>
        <v/>
      </c>
    </row>
    <row r="730">
      <c r="A730" s="122" t="n"/>
      <c r="B730" s="107" t="n"/>
      <c r="C730" s="105" t="n"/>
      <c r="D730" s="92">
        <f>IF(C730="","",IFERROR(INDEX(Roster!$C$6:$C$65,IFERROR(MATCH(C730,Roster!$B$6:$B$65,0),MATCH(C730,Roster!$C$6:$C$65,0))),"not on the Roster"))</f>
        <v/>
      </c>
      <c r="E730" s="106" t="n"/>
      <c r="F730" s="104">
        <f>IF(OR(A730="",C730="",B730=""),"",IFERROR(INDEX(CHOOSE(IF(YEAR(A730)&gt;PlanYear,13,MONTH(A730)),'Jan'!$D$27:$AH$266,'Feb'!$D$27:$AH$266,'Mar'!$D$27:$AH$266,'Apr'!$D$27:$AH$266,'May'!$D$27:$AH$266,'Jun'!$D$27:$AH$266,'Jul'!$D$27:$AH$266,'Aug'!$D$27:$AH$266,'Sep'!$D$27:$AH$266,'Oct'!$D$27:$AH$266,'Nov'!$D$27:$AH$266,'Dec'!$D$27:$AH$266,'Jan (next year)'!$D$27:$AH$266),27+4*(IFERROR(MATCH(C730,Roster!$B$6:$B$65,0),MATCH(C730,Roster!$C$6:$C$65,0))-1)+MATCH(B730,{"AM","PM","NIGHT","WD"},0)-1-27+1,DAY(A730))&amp;"",""))</f>
        <v/>
      </c>
      <c r="G730" s="123">
        <f>IF(OR(A730="",C730="",B730="",E730=""),"",IFERROR(A730&amp;"|"&amp;(27+4*(IFERROR(MATCH(C730,Roster!$B$6:$B$65,0),MATCH(C730,Roster!$C$6:$C$65,0))-1)+MATCH(B730,{"AM","PM","NIGHT","WD"},0)-1),""))</f>
        <v/>
      </c>
    </row>
    <row r="731">
      <c r="A731" s="122" t="n"/>
      <c r="B731" s="107" t="n"/>
      <c r="C731" s="105" t="n"/>
      <c r="D731" s="92">
        <f>IF(C731="","",IFERROR(INDEX(Roster!$C$6:$C$65,IFERROR(MATCH(C731,Roster!$B$6:$B$65,0),MATCH(C731,Roster!$C$6:$C$65,0))),"not on the Roster"))</f>
        <v/>
      </c>
      <c r="E731" s="106" t="n"/>
      <c r="F731" s="104">
        <f>IF(OR(A731="",C731="",B731=""),"",IFERROR(INDEX(CHOOSE(IF(YEAR(A731)&gt;PlanYear,13,MONTH(A731)),'Jan'!$D$27:$AH$266,'Feb'!$D$27:$AH$266,'Mar'!$D$27:$AH$266,'Apr'!$D$27:$AH$266,'May'!$D$27:$AH$266,'Jun'!$D$27:$AH$266,'Jul'!$D$27:$AH$266,'Aug'!$D$27:$AH$266,'Sep'!$D$27:$AH$266,'Oct'!$D$27:$AH$266,'Nov'!$D$27:$AH$266,'Dec'!$D$27:$AH$266,'Jan (next year)'!$D$27:$AH$266),27+4*(IFERROR(MATCH(C731,Roster!$B$6:$B$65,0),MATCH(C731,Roster!$C$6:$C$65,0))-1)+MATCH(B731,{"AM","PM","NIGHT","WD"},0)-1-27+1,DAY(A731))&amp;"",""))</f>
        <v/>
      </c>
      <c r="G731" s="123">
        <f>IF(OR(A731="",C731="",B731="",E731=""),"",IFERROR(A731&amp;"|"&amp;(27+4*(IFERROR(MATCH(C731,Roster!$B$6:$B$65,0),MATCH(C731,Roster!$C$6:$C$65,0))-1)+MATCH(B731,{"AM","PM","NIGHT","WD"},0)-1),""))</f>
        <v/>
      </c>
    </row>
    <row r="732">
      <c r="A732" s="122" t="n"/>
      <c r="B732" s="107" t="n"/>
      <c r="C732" s="105" t="n"/>
      <c r="D732" s="92">
        <f>IF(C732="","",IFERROR(INDEX(Roster!$C$6:$C$65,IFERROR(MATCH(C732,Roster!$B$6:$B$65,0),MATCH(C732,Roster!$C$6:$C$65,0))),"not on the Roster"))</f>
        <v/>
      </c>
      <c r="E732" s="106" t="n"/>
      <c r="F732" s="104">
        <f>IF(OR(A732="",C732="",B732=""),"",IFERROR(INDEX(CHOOSE(IF(YEAR(A732)&gt;PlanYear,13,MONTH(A732)),'Jan'!$D$27:$AH$266,'Feb'!$D$27:$AH$266,'Mar'!$D$27:$AH$266,'Apr'!$D$27:$AH$266,'May'!$D$27:$AH$266,'Jun'!$D$27:$AH$266,'Jul'!$D$27:$AH$266,'Aug'!$D$27:$AH$266,'Sep'!$D$27:$AH$266,'Oct'!$D$27:$AH$266,'Nov'!$D$27:$AH$266,'Dec'!$D$27:$AH$266,'Jan (next year)'!$D$27:$AH$266),27+4*(IFERROR(MATCH(C732,Roster!$B$6:$B$65,0),MATCH(C732,Roster!$C$6:$C$65,0))-1)+MATCH(B732,{"AM","PM","NIGHT","WD"},0)-1-27+1,DAY(A732))&amp;"",""))</f>
        <v/>
      </c>
      <c r="G732" s="123">
        <f>IF(OR(A732="",C732="",B732="",E732=""),"",IFERROR(A732&amp;"|"&amp;(27+4*(IFERROR(MATCH(C732,Roster!$B$6:$B$65,0),MATCH(C732,Roster!$C$6:$C$65,0))-1)+MATCH(B732,{"AM","PM","NIGHT","WD"},0)-1),""))</f>
        <v/>
      </c>
    </row>
    <row r="733">
      <c r="A733" s="122" t="n"/>
      <c r="B733" s="107" t="n"/>
      <c r="C733" s="105" t="n"/>
      <c r="D733" s="92">
        <f>IF(C733="","",IFERROR(INDEX(Roster!$C$6:$C$65,IFERROR(MATCH(C733,Roster!$B$6:$B$65,0),MATCH(C733,Roster!$C$6:$C$65,0))),"not on the Roster"))</f>
        <v/>
      </c>
      <c r="E733" s="106" t="n"/>
      <c r="F733" s="104">
        <f>IF(OR(A733="",C733="",B733=""),"",IFERROR(INDEX(CHOOSE(IF(YEAR(A733)&gt;PlanYear,13,MONTH(A733)),'Jan'!$D$27:$AH$266,'Feb'!$D$27:$AH$266,'Mar'!$D$27:$AH$266,'Apr'!$D$27:$AH$266,'May'!$D$27:$AH$266,'Jun'!$D$27:$AH$266,'Jul'!$D$27:$AH$266,'Aug'!$D$27:$AH$266,'Sep'!$D$27:$AH$266,'Oct'!$D$27:$AH$266,'Nov'!$D$27:$AH$266,'Dec'!$D$27:$AH$266,'Jan (next year)'!$D$27:$AH$266),27+4*(IFERROR(MATCH(C733,Roster!$B$6:$B$65,0),MATCH(C733,Roster!$C$6:$C$65,0))-1)+MATCH(B733,{"AM","PM","NIGHT","WD"},0)-1-27+1,DAY(A733))&amp;"",""))</f>
        <v/>
      </c>
      <c r="G733" s="123">
        <f>IF(OR(A733="",C733="",B733="",E733=""),"",IFERROR(A733&amp;"|"&amp;(27+4*(IFERROR(MATCH(C733,Roster!$B$6:$B$65,0),MATCH(C733,Roster!$C$6:$C$65,0))-1)+MATCH(B733,{"AM","PM","NIGHT","WD"},0)-1),""))</f>
        <v/>
      </c>
    </row>
    <row r="734">
      <c r="A734" s="122" t="n"/>
      <c r="B734" s="107" t="n"/>
      <c r="C734" s="105" t="n"/>
      <c r="D734" s="92">
        <f>IF(C734="","",IFERROR(INDEX(Roster!$C$6:$C$65,IFERROR(MATCH(C734,Roster!$B$6:$B$65,0),MATCH(C734,Roster!$C$6:$C$65,0))),"not on the Roster"))</f>
        <v/>
      </c>
      <c r="E734" s="106" t="n"/>
      <c r="F734" s="104">
        <f>IF(OR(A734="",C734="",B734=""),"",IFERROR(INDEX(CHOOSE(IF(YEAR(A734)&gt;PlanYear,13,MONTH(A734)),'Jan'!$D$27:$AH$266,'Feb'!$D$27:$AH$266,'Mar'!$D$27:$AH$266,'Apr'!$D$27:$AH$266,'May'!$D$27:$AH$266,'Jun'!$D$27:$AH$266,'Jul'!$D$27:$AH$266,'Aug'!$D$27:$AH$266,'Sep'!$D$27:$AH$266,'Oct'!$D$27:$AH$266,'Nov'!$D$27:$AH$266,'Dec'!$D$27:$AH$266,'Jan (next year)'!$D$27:$AH$266),27+4*(IFERROR(MATCH(C734,Roster!$B$6:$B$65,0),MATCH(C734,Roster!$C$6:$C$65,0))-1)+MATCH(B734,{"AM","PM","NIGHT","WD"},0)-1-27+1,DAY(A734))&amp;"",""))</f>
        <v/>
      </c>
      <c r="G734" s="123">
        <f>IF(OR(A734="",C734="",B734="",E734=""),"",IFERROR(A734&amp;"|"&amp;(27+4*(IFERROR(MATCH(C734,Roster!$B$6:$B$65,0),MATCH(C734,Roster!$C$6:$C$65,0))-1)+MATCH(B734,{"AM","PM","NIGHT","WD"},0)-1),""))</f>
        <v/>
      </c>
    </row>
    <row r="735">
      <c r="A735" s="122" t="n"/>
      <c r="B735" s="107" t="n"/>
      <c r="C735" s="105" t="n"/>
      <c r="D735" s="92">
        <f>IF(C735="","",IFERROR(INDEX(Roster!$C$6:$C$65,IFERROR(MATCH(C735,Roster!$B$6:$B$65,0),MATCH(C735,Roster!$C$6:$C$65,0))),"not on the Roster"))</f>
        <v/>
      </c>
      <c r="E735" s="106" t="n"/>
      <c r="F735" s="104">
        <f>IF(OR(A735="",C735="",B735=""),"",IFERROR(INDEX(CHOOSE(IF(YEAR(A735)&gt;PlanYear,13,MONTH(A735)),'Jan'!$D$27:$AH$266,'Feb'!$D$27:$AH$266,'Mar'!$D$27:$AH$266,'Apr'!$D$27:$AH$266,'May'!$D$27:$AH$266,'Jun'!$D$27:$AH$266,'Jul'!$D$27:$AH$266,'Aug'!$D$27:$AH$266,'Sep'!$D$27:$AH$266,'Oct'!$D$27:$AH$266,'Nov'!$D$27:$AH$266,'Dec'!$D$27:$AH$266,'Jan (next year)'!$D$27:$AH$266),27+4*(IFERROR(MATCH(C735,Roster!$B$6:$B$65,0),MATCH(C735,Roster!$C$6:$C$65,0))-1)+MATCH(B735,{"AM","PM","NIGHT","WD"},0)-1-27+1,DAY(A735))&amp;"",""))</f>
        <v/>
      </c>
      <c r="G735" s="123">
        <f>IF(OR(A735="",C735="",B735="",E735=""),"",IFERROR(A735&amp;"|"&amp;(27+4*(IFERROR(MATCH(C735,Roster!$B$6:$B$65,0),MATCH(C735,Roster!$C$6:$C$65,0))-1)+MATCH(B735,{"AM","PM","NIGHT","WD"},0)-1),""))</f>
        <v/>
      </c>
    </row>
    <row r="736">
      <c r="A736" s="122" t="n"/>
      <c r="B736" s="107" t="n"/>
      <c r="C736" s="105" t="n"/>
      <c r="D736" s="92">
        <f>IF(C736="","",IFERROR(INDEX(Roster!$C$6:$C$65,IFERROR(MATCH(C736,Roster!$B$6:$B$65,0),MATCH(C736,Roster!$C$6:$C$65,0))),"not on the Roster"))</f>
        <v/>
      </c>
      <c r="E736" s="106" t="n"/>
      <c r="F736" s="104">
        <f>IF(OR(A736="",C736="",B736=""),"",IFERROR(INDEX(CHOOSE(IF(YEAR(A736)&gt;PlanYear,13,MONTH(A736)),'Jan'!$D$27:$AH$266,'Feb'!$D$27:$AH$266,'Mar'!$D$27:$AH$266,'Apr'!$D$27:$AH$266,'May'!$D$27:$AH$266,'Jun'!$D$27:$AH$266,'Jul'!$D$27:$AH$266,'Aug'!$D$27:$AH$266,'Sep'!$D$27:$AH$266,'Oct'!$D$27:$AH$266,'Nov'!$D$27:$AH$266,'Dec'!$D$27:$AH$266,'Jan (next year)'!$D$27:$AH$266),27+4*(IFERROR(MATCH(C736,Roster!$B$6:$B$65,0),MATCH(C736,Roster!$C$6:$C$65,0))-1)+MATCH(B736,{"AM","PM","NIGHT","WD"},0)-1-27+1,DAY(A736))&amp;"",""))</f>
        <v/>
      </c>
      <c r="G736" s="123">
        <f>IF(OR(A736="",C736="",B736="",E736=""),"",IFERROR(A736&amp;"|"&amp;(27+4*(IFERROR(MATCH(C736,Roster!$B$6:$B$65,0),MATCH(C736,Roster!$C$6:$C$65,0))-1)+MATCH(B736,{"AM","PM","NIGHT","WD"},0)-1),""))</f>
        <v/>
      </c>
    </row>
    <row r="737">
      <c r="A737" s="122" t="n"/>
      <c r="B737" s="107" t="n"/>
      <c r="C737" s="105" t="n"/>
      <c r="D737" s="92">
        <f>IF(C737="","",IFERROR(INDEX(Roster!$C$6:$C$65,IFERROR(MATCH(C737,Roster!$B$6:$B$65,0),MATCH(C737,Roster!$C$6:$C$65,0))),"not on the Roster"))</f>
        <v/>
      </c>
      <c r="E737" s="106" t="n"/>
      <c r="F737" s="104">
        <f>IF(OR(A737="",C737="",B737=""),"",IFERROR(INDEX(CHOOSE(IF(YEAR(A737)&gt;PlanYear,13,MONTH(A737)),'Jan'!$D$27:$AH$266,'Feb'!$D$27:$AH$266,'Mar'!$D$27:$AH$266,'Apr'!$D$27:$AH$266,'May'!$D$27:$AH$266,'Jun'!$D$27:$AH$266,'Jul'!$D$27:$AH$266,'Aug'!$D$27:$AH$266,'Sep'!$D$27:$AH$266,'Oct'!$D$27:$AH$266,'Nov'!$D$27:$AH$266,'Dec'!$D$27:$AH$266,'Jan (next year)'!$D$27:$AH$266),27+4*(IFERROR(MATCH(C737,Roster!$B$6:$B$65,0),MATCH(C737,Roster!$C$6:$C$65,0))-1)+MATCH(B737,{"AM","PM","NIGHT","WD"},0)-1-27+1,DAY(A737))&amp;"",""))</f>
        <v/>
      </c>
      <c r="G737" s="123">
        <f>IF(OR(A737="",C737="",B737="",E737=""),"",IFERROR(A737&amp;"|"&amp;(27+4*(IFERROR(MATCH(C737,Roster!$B$6:$B$65,0),MATCH(C737,Roster!$C$6:$C$65,0))-1)+MATCH(B737,{"AM","PM","NIGHT","WD"},0)-1),""))</f>
        <v/>
      </c>
    </row>
    <row r="738">
      <c r="A738" s="122" t="n"/>
      <c r="B738" s="107" t="n"/>
      <c r="C738" s="105" t="n"/>
      <c r="D738" s="92">
        <f>IF(C738="","",IFERROR(INDEX(Roster!$C$6:$C$65,IFERROR(MATCH(C738,Roster!$B$6:$B$65,0),MATCH(C738,Roster!$C$6:$C$65,0))),"not on the Roster"))</f>
        <v/>
      </c>
      <c r="E738" s="106" t="n"/>
      <c r="F738" s="104">
        <f>IF(OR(A738="",C738="",B738=""),"",IFERROR(INDEX(CHOOSE(IF(YEAR(A738)&gt;PlanYear,13,MONTH(A738)),'Jan'!$D$27:$AH$266,'Feb'!$D$27:$AH$266,'Mar'!$D$27:$AH$266,'Apr'!$D$27:$AH$266,'May'!$D$27:$AH$266,'Jun'!$D$27:$AH$266,'Jul'!$D$27:$AH$266,'Aug'!$D$27:$AH$266,'Sep'!$D$27:$AH$266,'Oct'!$D$27:$AH$266,'Nov'!$D$27:$AH$266,'Dec'!$D$27:$AH$266,'Jan (next year)'!$D$27:$AH$266),27+4*(IFERROR(MATCH(C738,Roster!$B$6:$B$65,0),MATCH(C738,Roster!$C$6:$C$65,0))-1)+MATCH(B738,{"AM","PM","NIGHT","WD"},0)-1-27+1,DAY(A738))&amp;"",""))</f>
        <v/>
      </c>
      <c r="G738" s="123">
        <f>IF(OR(A738="",C738="",B738="",E738=""),"",IFERROR(A738&amp;"|"&amp;(27+4*(IFERROR(MATCH(C738,Roster!$B$6:$B$65,0),MATCH(C738,Roster!$C$6:$C$65,0))-1)+MATCH(B738,{"AM","PM","NIGHT","WD"},0)-1),""))</f>
        <v/>
      </c>
    </row>
    <row r="739">
      <c r="A739" s="122" t="n"/>
      <c r="B739" s="107" t="n"/>
      <c r="C739" s="105" t="n"/>
      <c r="D739" s="92">
        <f>IF(C739="","",IFERROR(INDEX(Roster!$C$6:$C$65,IFERROR(MATCH(C739,Roster!$B$6:$B$65,0),MATCH(C739,Roster!$C$6:$C$65,0))),"not on the Roster"))</f>
        <v/>
      </c>
      <c r="E739" s="106" t="n"/>
      <c r="F739" s="104">
        <f>IF(OR(A739="",C739="",B739=""),"",IFERROR(INDEX(CHOOSE(IF(YEAR(A739)&gt;PlanYear,13,MONTH(A739)),'Jan'!$D$27:$AH$266,'Feb'!$D$27:$AH$266,'Mar'!$D$27:$AH$266,'Apr'!$D$27:$AH$266,'May'!$D$27:$AH$266,'Jun'!$D$27:$AH$266,'Jul'!$D$27:$AH$266,'Aug'!$D$27:$AH$266,'Sep'!$D$27:$AH$266,'Oct'!$D$27:$AH$266,'Nov'!$D$27:$AH$266,'Dec'!$D$27:$AH$266,'Jan (next year)'!$D$27:$AH$266),27+4*(IFERROR(MATCH(C739,Roster!$B$6:$B$65,0),MATCH(C739,Roster!$C$6:$C$65,0))-1)+MATCH(B739,{"AM","PM","NIGHT","WD"},0)-1-27+1,DAY(A739))&amp;"",""))</f>
        <v/>
      </c>
      <c r="G739" s="123">
        <f>IF(OR(A739="",C739="",B739="",E739=""),"",IFERROR(A739&amp;"|"&amp;(27+4*(IFERROR(MATCH(C739,Roster!$B$6:$B$65,0),MATCH(C739,Roster!$C$6:$C$65,0))-1)+MATCH(B739,{"AM","PM","NIGHT","WD"},0)-1),""))</f>
        <v/>
      </c>
    </row>
    <row r="740">
      <c r="A740" s="122" t="n"/>
      <c r="B740" s="107" t="n"/>
      <c r="C740" s="105" t="n"/>
      <c r="D740" s="92">
        <f>IF(C740="","",IFERROR(INDEX(Roster!$C$6:$C$65,IFERROR(MATCH(C740,Roster!$B$6:$B$65,0),MATCH(C740,Roster!$C$6:$C$65,0))),"not on the Roster"))</f>
        <v/>
      </c>
      <c r="E740" s="106" t="n"/>
      <c r="F740" s="104">
        <f>IF(OR(A740="",C740="",B740=""),"",IFERROR(INDEX(CHOOSE(IF(YEAR(A740)&gt;PlanYear,13,MONTH(A740)),'Jan'!$D$27:$AH$266,'Feb'!$D$27:$AH$266,'Mar'!$D$27:$AH$266,'Apr'!$D$27:$AH$266,'May'!$D$27:$AH$266,'Jun'!$D$27:$AH$266,'Jul'!$D$27:$AH$266,'Aug'!$D$27:$AH$266,'Sep'!$D$27:$AH$266,'Oct'!$D$27:$AH$266,'Nov'!$D$27:$AH$266,'Dec'!$D$27:$AH$266,'Jan (next year)'!$D$27:$AH$266),27+4*(IFERROR(MATCH(C740,Roster!$B$6:$B$65,0),MATCH(C740,Roster!$C$6:$C$65,0))-1)+MATCH(B740,{"AM","PM","NIGHT","WD"},0)-1-27+1,DAY(A740))&amp;"",""))</f>
        <v/>
      </c>
      <c r="G740" s="123">
        <f>IF(OR(A740="",C740="",B740="",E740=""),"",IFERROR(A740&amp;"|"&amp;(27+4*(IFERROR(MATCH(C740,Roster!$B$6:$B$65,0),MATCH(C740,Roster!$C$6:$C$65,0))-1)+MATCH(B740,{"AM","PM","NIGHT","WD"},0)-1),""))</f>
        <v/>
      </c>
    </row>
    <row r="741">
      <c r="A741" s="122" t="n"/>
      <c r="B741" s="107" t="n"/>
      <c r="C741" s="105" t="n"/>
      <c r="D741" s="92">
        <f>IF(C741="","",IFERROR(INDEX(Roster!$C$6:$C$65,IFERROR(MATCH(C741,Roster!$B$6:$B$65,0),MATCH(C741,Roster!$C$6:$C$65,0))),"not on the Roster"))</f>
        <v/>
      </c>
      <c r="E741" s="106" t="n"/>
      <c r="F741" s="104">
        <f>IF(OR(A741="",C741="",B741=""),"",IFERROR(INDEX(CHOOSE(IF(YEAR(A741)&gt;PlanYear,13,MONTH(A741)),'Jan'!$D$27:$AH$266,'Feb'!$D$27:$AH$266,'Mar'!$D$27:$AH$266,'Apr'!$D$27:$AH$266,'May'!$D$27:$AH$266,'Jun'!$D$27:$AH$266,'Jul'!$D$27:$AH$266,'Aug'!$D$27:$AH$266,'Sep'!$D$27:$AH$266,'Oct'!$D$27:$AH$266,'Nov'!$D$27:$AH$266,'Dec'!$D$27:$AH$266,'Jan (next year)'!$D$27:$AH$266),27+4*(IFERROR(MATCH(C741,Roster!$B$6:$B$65,0),MATCH(C741,Roster!$C$6:$C$65,0))-1)+MATCH(B741,{"AM","PM","NIGHT","WD"},0)-1-27+1,DAY(A741))&amp;"",""))</f>
        <v/>
      </c>
      <c r="G741" s="123">
        <f>IF(OR(A741="",C741="",B741="",E741=""),"",IFERROR(A741&amp;"|"&amp;(27+4*(IFERROR(MATCH(C741,Roster!$B$6:$B$65,0),MATCH(C741,Roster!$C$6:$C$65,0))-1)+MATCH(B741,{"AM","PM","NIGHT","WD"},0)-1),""))</f>
        <v/>
      </c>
    </row>
    <row r="742">
      <c r="A742" s="122" t="n"/>
      <c r="B742" s="107" t="n"/>
      <c r="C742" s="105" t="n"/>
      <c r="D742" s="92">
        <f>IF(C742="","",IFERROR(INDEX(Roster!$C$6:$C$65,IFERROR(MATCH(C742,Roster!$B$6:$B$65,0),MATCH(C742,Roster!$C$6:$C$65,0))),"not on the Roster"))</f>
        <v/>
      </c>
      <c r="E742" s="106" t="n"/>
      <c r="F742" s="104">
        <f>IF(OR(A742="",C742="",B742=""),"",IFERROR(INDEX(CHOOSE(IF(YEAR(A742)&gt;PlanYear,13,MONTH(A742)),'Jan'!$D$27:$AH$266,'Feb'!$D$27:$AH$266,'Mar'!$D$27:$AH$266,'Apr'!$D$27:$AH$266,'May'!$D$27:$AH$266,'Jun'!$D$27:$AH$266,'Jul'!$D$27:$AH$266,'Aug'!$D$27:$AH$266,'Sep'!$D$27:$AH$266,'Oct'!$D$27:$AH$266,'Nov'!$D$27:$AH$266,'Dec'!$D$27:$AH$266,'Jan (next year)'!$D$27:$AH$266),27+4*(IFERROR(MATCH(C742,Roster!$B$6:$B$65,0),MATCH(C742,Roster!$C$6:$C$65,0))-1)+MATCH(B742,{"AM","PM","NIGHT","WD"},0)-1-27+1,DAY(A742))&amp;"",""))</f>
        <v/>
      </c>
      <c r="G742" s="123">
        <f>IF(OR(A742="",C742="",B742="",E742=""),"",IFERROR(A742&amp;"|"&amp;(27+4*(IFERROR(MATCH(C742,Roster!$B$6:$B$65,0),MATCH(C742,Roster!$C$6:$C$65,0))-1)+MATCH(B742,{"AM","PM","NIGHT","WD"},0)-1),""))</f>
        <v/>
      </c>
    </row>
    <row r="743">
      <c r="A743" s="122" t="n"/>
      <c r="B743" s="107" t="n"/>
      <c r="C743" s="105" t="n"/>
      <c r="D743" s="92">
        <f>IF(C743="","",IFERROR(INDEX(Roster!$C$6:$C$65,IFERROR(MATCH(C743,Roster!$B$6:$B$65,0),MATCH(C743,Roster!$C$6:$C$65,0))),"not on the Roster"))</f>
        <v/>
      </c>
      <c r="E743" s="106" t="n"/>
      <c r="F743" s="104">
        <f>IF(OR(A743="",C743="",B743=""),"",IFERROR(INDEX(CHOOSE(IF(YEAR(A743)&gt;PlanYear,13,MONTH(A743)),'Jan'!$D$27:$AH$266,'Feb'!$D$27:$AH$266,'Mar'!$D$27:$AH$266,'Apr'!$D$27:$AH$266,'May'!$D$27:$AH$266,'Jun'!$D$27:$AH$266,'Jul'!$D$27:$AH$266,'Aug'!$D$27:$AH$266,'Sep'!$D$27:$AH$266,'Oct'!$D$27:$AH$266,'Nov'!$D$27:$AH$266,'Dec'!$D$27:$AH$266,'Jan (next year)'!$D$27:$AH$266),27+4*(IFERROR(MATCH(C743,Roster!$B$6:$B$65,0),MATCH(C743,Roster!$C$6:$C$65,0))-1)+MATCH(B743,{"AM","PM","NIGHT","WD"},0)-1-27+1,DAY(A743))&amp;"",""))</f>
        <v/>
      </c>
      <c r="G743" s="123">
        <f>IF(OR(A743="",C743="",B743="",E743=""),"",IFERROR(A743&amp;"|"&amp;(27+4*(IFERROR(MATCH(C743,Roster!$B$6:$B$65,0),MATCH(C743,Roster!$C$6:$C$65,0))-1)+MATCH(B743,{"AM","PM","NIGHT","WD"},0)-1),""))</f>
        <v/>
      </c>
    </row>
    <row r="744">
      <c r="A744" s="122" t="n"/>
      <c r="B744" s="107" t="n"/>
      <c r="C744" s="105" t="n"/>
      <c r="D744" s="92">
        <f>IF(C744="","",IFERROR(INDEX(Roster!$C$6:$C$65,IFERROR(MATCH(C744,Roster!$B$6:$B$65,0),MATCH(C744,Roster!$C$6:$C$65,0))),"not on the Roster"))</f>
        <v/>
      </c>
      <c r="E744" s="106" t="n"/>
      <c r="F744" s="104">
        <f>IF(OR(A744="",C744="",B744=""),"",IFERROR(INDEX(CHOOSE(IF(YEAR(A744)&gt;PlanYear,13,MONTH(A744)),'Jan'!$D$27:$AH$266,'Feb'!$D$27:$AH$266,'Mar'!$D$27:$AH$266,'Apr'!$D$27:$AH$266,'May'!$D$27:$AH$266,'Jun'!$D$27:$AH$266,'Jul'!$D$27:$AH$266,'Aug'!$D$27:$AH$266,'Sep'!$D$27:$AH$266,'Oct'!$D$27:$AH$266,'Nov'!$D$27:$AH$266,'Dec'!$D$27:$AH$266,'Jan (next year)'!$D$27:$AH$266),27+4*(IFERROR(MATCH(C744,Roster!$B$6:$B$65,0),MATCH(C744,Roster!$C$6:$C$65,0))-1)+MATCH(B744,{"AM","PM","NIGHT","WD"},0)-1-27+1,DAY(A744))&amp;"",""))</f>
        <v/>
      </c>
      <c r="G744" s="123">
        <f>IF(OR(A744="",C744="",B744="",E744=""),"",IFERROR(A744&amp;"|"&amp;(27+4*(IFERROR(MATCH(C744,Roster!$B$6:$B$65,0),MATCH(C744,Roster!$C$6:$C$65,0))-1)+MATCH(B744,{"AM","PM","NIGHT","WD"},0)-1),""))</f>
        <v/>
      </c>
    </row>
    <row r="745">
      <c r="A745" s="122" t="n"/>
      <c r="B745" s="107" t="n"/>
      <c r="C745" s="105" t="n"/>
      <c r="D745" s="92">
        <f>IF(C745="","",IFERROR(INDEX(Roster!$C$6:$C$65,IFERROR(MATCH(C745,Roster!$B$6:$B$65,0),MATCH(C745,Roster!$C$6:$C$65,0))),"not on the Roster"))</f>
        <v/>
      </c>
      <c r="E745" s="106" t="n"/>
      <c r="F745" s="104">
        <f>IF(OR(A745="",C745="",B745=""),"",IFERROR(INDEX(CHOOSE(IF(YEAR(A745)&gt;PlanYear,13,MONTH(A745)),'Jan'!$D$27:$AH$266,'Feb'!$D$27:$AH$266,'Mar'!$D$27:$AH$266,'Apr'!$D$27:$AH$266,'May'!$D$27:$AH$266,'Jun'!$D$27:$AH$266,'Jul'!$D$27:$AH$266,'Aug'!$D$27:$AH$266,'Sep'!$D$27:$AH$266,'Oct'!$D$27:$AH$266,'Nov'!$D$27:$AH$266,'Dec'!$D$27:$AH$266,'Jan (next year)'!$D$27:$AH$266),27+4*(IFERROR(MATCH(C745,Roster!$B$6:$B$65,0),MATCH(C745,Roster!$C$6:$C$65,0))-1)+MATCH(B745,{"AM","PM","NIGHT","WD"},0)-1-27+1,DAY(A745))&amp;"",""))</f>
        <v/>
      </c>
      <c r="G745" s="123">
        <f>IF(OR(A745="",C745="",B745="",E745=""),"",IFERROR(A745&amp;"|"&amp;(27+4*(IFERROR(MATCH(C745,Roster!$B$6:$B$65,0),MATCH(C745,Roster!$C$6:$C$65,0))-1)+MATCH(B745,{"AM","PM","NIGHT","WD"},0)-1),""))</f>
        <v/>
      </c>
    </row>
    <row r="746">
      <c r="A746" s="122" t="n"/>
      <c r="B746" s="107" t="n"/>
      <c r="C746" s="105" t="n"/>
      <c r="D746" s="92">
        <f>IF(C746="","",IFERROR(INDEX(Roster!$C$6:$C$65,IFERROR(MATCH(C746,Roster!$B$6:$B$65,0),MATCH(C746,Roster!$C$6:$C$65,0))),"not on the Roster"))</f>
        <v/>
      </c>
      <c r="E746" s="106" t="n"/>
      <c r="F746" s="104">
        <f>IF(OR(A746="",C746="",B746=""),"",IFERROR(INDEX(CHOOSE(IF(YEAR(A746)&gt;PlanYear,13,MONTH(A746)),'Jan'!$D$27:$AH$266,'Feb'!$D$27:$AH$266,'Mar'!$D$27:$AH$266,'Apr'!$D$27:$AH$266,'May'!$D$27:$AH$266,'Jun'!$D$27:$AH$266,'Jul'!$D$27:$AH$266,'Aug'!$D$27:$AH$266,'Sep'!$D$27:$AH$266,'Oct'!$D$27:$AH$266,'Nov'!$D$27:$AH$266,'Dec'!$D$27:$AH$266,'Jan (next year)'!$D$27:$AH$266),27+4*(IFERROR(MATCH(C746,Roster!$B$6:$B$65,0),MATCH(C746,Roster!$C$6:$C$65,0))-1)+MATCH(B746,{"AM","PM","NIGHT","WD"},0)-1-27+1,DAY(A746))&amp;"",""))</f>
        <v/>
      </c>
      <c r="G746" s="123">
        <f>IF(OR(A746="",C746="",B746="",E746=""),"",IFERROR(A746&amp;"|"&amp;(27+4*(IFERROR(MATCH(C746,Roster!$B$6:$B$65,0),MATCH(C746,Roster!$C$6:$C$65,0))-1)+MATCH(B746,{"AM","PM","NIGHT","WD"},0)-1),""))</f>
        <v/>
      </c>
    </row>
    <row r="747">
      <c r="A747" s="122" t="n"/>
      <c r="B747" s="107" t="n"/>
      <c r="C747" s="105" t="n"/>
      <c r="D747" s="92">
        <f>IF(C747="","",IFERROR(INDEX(Roster!$C$6:$C$65,IFERROR(MATCH(C747,Roster!$B$6:$B$65,0),MATCH(C747,Roster!$C$6:$C$65,0))),"not on the Roster"))</f>
        <v/>
      </c>
      <c r="E747" s="106" t="n"/>
      <c r="F747" s="104">
        <f>IF(OR(A747="",C747="",B747=""),"",IFERROR(INDEX(CHOOSE(IF(YEAR(A747)&gt;PlanYear,13,MONTH(A747)),'Jan'!$D$27:$AH$266,'Feb'!$D$27:$AH$266,'Mar'!$D$27:$AH$266,'Apr'!$D$27:$AH$266,'May'!$D$27:$AH$266,'Jun'!$D$27:$AH$266,'Jul'!$D$27:$AH$266,'Aug'!$D$27:$AH$266,'Sep'!$D$27:$AH$266,'Oct'!$D$27:$AH$266,'Nov'!$D$27:$AH$266,'Dec'!$D$27:$AH$266,'Jan (next year)'!$D$27:$AH$266),27+4*(IFERROR(MATCH(C747,Roster!$B$6:$B$65,0),MATCH(C747,Roster!$C$6:$C$65,0))-1)+MATCH(B747,{"AM","PM","NIGHT","WD"},0)-1-27+1,DAY(A747))&amp;"",""))</f>
        <v/>
      </c>
      <c r="G747" s="123">
        <f>IF(OR(A747="",C747="",B747="",E747=""),"",IFERROR(A747&amp;"|"&amp;(27+4*(IFERROR(MATCH(C747,Roster!$B$6:$B$65,0),MATCH(C747,Roster!$C$6:$C$65,0))-1)+MATCH(B747,{"AM","PM","NIGHT","WD"},0)-1),""))</f>
        <v/>
      </c>
    </row>
    <row r="748">
      <c r="A748" s="122" t="n"/>
      <c r="B748" s="107" t="n"/>
      <c r="C748" s="105" t="n"/>
      <c r="D748" s="92">
        <f>IF(C748="","",IFERROR(INDEX(Roster!$C$6:$C$65,IFERROR(MATCH(C748,Roster!$B$6:$B$65,0),MATCH(C748,Roster!$C$6:$C$65,0))),"not on the Roster"))</f>
        <v/>
      </c>
      <c r="E748" s="106" t="n"/>
      <c r="F748" s="104">
        <f>IF(OR(A748="",C748="",B748=""),"",IFERROR(INDEX(CHOOSE(IF(YEAR(A748)&gt;PlanYear,13,MONTH(A748)),'Jan'!$D$27:$AH$266,'Feb'!$D$27:$AH$266,'Mar'!$D$27:$AH$266,'Apr'!$D$27:$AH$266,'May'!$D$27:$AH$266,'Jun'!$D$27:$AH$266,'Jul'!$D$27:$AH$266,'Aug'!$D$27:$AH$266,'Sep'!$D$27:$AH$266,'Oct'!$D$27:$AH$266,'Nov'!$D$27:$AH$266,'Dec'!$D$27:$AH$266,'Jan (next year)'!$D$27:$AH$266),27+4*(IFERROR(MATCH(C748,Roster!$B$6:$B$65,0),MATCH(C748,Roster!$C$6:$C$65,0))-1)+MATCH(B748,{"AM","PM","NIGHT","WD"},0)-1-27+1,DAY(A748))&amp;"",""))</f>
        <v/>
      </c>
      <c r="G748" s="123">
        <f>IF(OR(A748="",C748="",B748="",E748=""),"",IFERROR(A748&amp;"|"&amp;(27+4*(IFERROR(MATCH(C748,Roster!$B$6:$B$65,0),MATCH(C748,Roster!$C$6:$C$65,0))-1)+MATCH(B748,{"AM","PM","NIGHT","WD"},0)-1),""))</f>
        <v/>
      </c>
    </row>
    <row r="749">
      <c r="A749" s="122" t="n"/>
      <c r="B749" s="107" t="n"/>
      <c r="C749" s="105" t="n"/>
      <c r="D749" s="92">
        <f>IF(C749="","",IFERROR(INDEX(Roster!$C$6:$C$65,IFERROR(MATCH(C749,Roster!$B$6:$B$65,0),MATCH(C749,Roster!$C$6:$C$65,0))),"not on the Roster"))</f>
        <v/>
      </c>
      <c r="E749" s="106" t="n"/>
      <c r="F749" s="104">
        <f>IF(OR(A749="",C749="",B749=""),"",IFERROR(INDEX(CHOOSE(IF(YEAR(A749)&gt;PlanYear,13,MONTH(A749)),'Jan'!$D$27:$AH$266,'Feb'!$D$27:$AH$266,'Mar'!$D$27:$AH$266,'Apr'!$D$27:$AH$266,'May'!$D$27:$AH$266,'Jun'!$D$27:$AH$266,'Jul'!$D$27:$AH$266,'Aug'!$D$27:$AH$266,'Sep'!$D$27:$AH$266,'Oct'!$D$27:$AH$266,'Nov'!$D$27:$AH$266,'Dec'!$D$27:$AH$266,'Jan (next year)'!$D$27:$AH$266),27+4*(IFERROR(MATCH(C749,Roster!$B$6:$B$65,0),MATCH(C749,Roster!$C$6:$C$65,0))-1)+MATCH(B749,{"AM","PM","NIGHT","WD"},0)-1-27+1,DAY(A749))&amp;"",""))</f>
        <v/>
      </c>
      <c r="G749" s="123">
        <f>IF(OR(A749="",C749="",B749="",E749=""),"",IFERROR(A749&amp;"|"&amp;(27+4*(IFERROR(MATCH(C749,Roster!$B$6:$B$65,0),MATCH(C749,Roster!$C$6:$C$65,0))-1)+MATCH(B749,{"AM","PM","NIGHT","WD"},0)-1),""))</f>
        <v/>
      </c>
    </row>
    <row r="750">
      <c r="A750" s="122" t="n"/>
      <c r="B750" s="107" t="n"/>
      <c r="C750" s="105" t="n"/>
      <c r="D750" s="92">
        <f>IF(C750="","",IFERROR(INDEX(Roster!$C$6:$C$65,IFERROR(MATCH(C750,Roster!$B$6:$B$65,0),MATCH(C750,Roster!$C$6:$C$65,0))),"not on the Roster"))</f>
        <v/>
      </c>
      <c r="E750" s="106" t="n"/>
      <c r="F750" s="104">
        <f>IF(OR(A750="",C750="",B750=""),"",IFERROR(INDEX(CHOOSE(IF(YEAR(A750)&gt;PlanYear,13,MONTH(A750)),'Jan'!$D$27:$AH$266,'Feb'!$D$27:$AH$266,'Mar'!$D$27:$AH$266,'Apr'!$D$27:$AH$266,'May'!$D$27:$AH$266,'Jun'!$D$27:$AH$266,'Jul'!$D$27:$AH$266,'Aug'!$D$27:$AH$266,'Sep'!$D$27:$AH$266,'Oct'!$D$27:$AH$266,'Nov'!$D$27:$AH$266,'Dec'!$D$27:$AH$266,'Jan (next year)'!$D$27:$AH$266),27+4*(IFERROR(MATCH(C750,Roster!$B$6:$B$65,0),MATCH(C750,Roster!$C$6:$C$65,0))-1)+MATCH(B750,{"AM","PM","NIGHT","WD"},0)-1-27+1,DAY(A750))&amp;"",""))</f>
        <v/>
      </c>
      <c r="G750" s="123">
        <f>IF(OR(A750="",C750="",B750="",E750=""),"",IFERROR(A750&amp;"|"&amp;(27+4*(IFERROR(MATCH(C750,Roster!$B$6:$B$65,0),MATCH(C750,Roster!$C$6:$C$65,0))-1)+MATCH(B750,{"AM","PM","NIGHT","WD"},0)-1),""))</f>
        <v/>
      </c>
    </row>
    <row r="751">
      <c r="A751" s="122" t="n"/>
      <c r="B751" s="107" t="n"/>
      <c r="C751" s="105" t="n"/>
      <c r="D751" s="92">
        <f>IF(C751="","",IFERROR(INDEX(Roster!$C$6:$C$65,IFERROR(MATCH(C751,Roster!$B$6:$B$65,0),MATCH(C751,Roster!$C$6:$C$65,0))),"not on the Roster"))</f>
        <v/>
      </c>
      <c r="E751" s="106" t="n"/>
      <c r="F751" s="104">
        <f>IF(OR(A751="",C751="",B751=""),"",IFERROR(INDEX(CHOOSE(IF(YEAR(A751)&gt;PlanYear,13,MONTH(A751)),'Jan'!$D$27:$AH$266,'Feb'!$D$27:$AH$266,'Mar'!$D$27:$AH$266,'Apr'!$D$27:$AH$266,'May'!$D$27:$AH$266,'Jun'!$D$27:$AH$266,'Jul'!$D$27:$AH$266,'Aug'!$D$27:$AH$266,'Sep'!$D$27:$AH$266,'Oct'!$D$27:$AH$266,'Nov'!$D$27:$AH$266,'Dec'!$D$27:$AH$266,'Jan (next year)'!$D$27:$AH$266),27+4*(IFERROR(MATCH(C751,Roster!$B$6:$B$65,0),MATCH(C751,Roster!$C$6:$C$65,0))-1)+MATCH(B751,{"AM","PM","NIGHT","WD"},0)-1-27+1,DAY(A751))&amp;"",""))</f>
        <v/>
      </c>
      <c r="G751" s="123">
        <f>IF(OR(A751="",C751="",B751="",E751=""),"",IFERROR(A751&amp;"|"&amp;(27+4*(IFERROR(MATCH(C751,Roster!$B$6:$B$65,0),MATCH(C751,Roster!$C$6:$C$65,0))-1)+MATCH(B751,{"AM","PM","NIGHT","WD"},0)-1),""))</f>
        <v/>
      </c>
    </row>
    <row r="752">
      <c r="A752" s="122" t="n"/>
      <c r="B752" s="107" t="n"/>
      <c r="C752" s="105" t="n"/>
      <c r="D752" s="92">
        <f>IF(C752="","",IFERROR(INDEX(Roster!$C$6:$C$65,IFERROR(MATCH(C752,Roster!$B$6:$B$65,0),MATCH(C752,Roster!$C$6:$C$65,0))),"not on the Roster"))</f>
        <v/>
      </c>
      <c r="E752" s="106" t="n"/>
      <c r="F752" s="104">
        <f>IF(OR(A752="",C752="",B752=""),"",IFERROR(INDEX(CHOOSE(IF(YEAR(A752)&gt;PlanYear,13,MONTH(A752)),'Jan'!$D$27:$AH$266,'Feb'!$D$27:$AH$266,'Mar'!$D$27:$AH$266,'Apr'!$D$27:$AH$266,'May'!$D$27:$AH$266,'Jun'!$D$27:$AH$266,'Jul'!$D$27:$AH$266,'Aug'!$D$27:$AH$266,'Sep'!$D$27:$AH$266,'Oct'!$D$27:$AH$266,'Nov'!$D$27:$AH$266,'Dec'!$D$27:$AH$266,'Jan (next year)'!$D$27:$AH$266),27+4*(IFERROR(MATCH(C752,Roster!$B$6:$B$65,0),MATCH(C752,Roster!$C$6:$C$65,0))-1)+MATCH(B752,{"AM","PM","NIGHT","WD"},0)-1-27+1,DAY(A752))&amp;"",""))</f>
        <v/>
      </c>
      <c r="G752" s="123">
        <f>IF(OR(A752="",C752="",B752="",E752=""),"",IFERROR(A752&amp;"|"&amp;(27+4*(IFERROR(MATCH(C752,Roster!$B$6:$B$65,0),MATCH(C752,Roster!$C$6:$C$65,0))-1)+MATCH(B752,{"AM","PM","NIGHT","WD"},0)-1),""))</f>
        <v/>
      </c>
    </row>
    <row r="753">
      <c r="A753" s="122" t="n"/>
      <c r="B753" s="107" t="n"/>
      <c r="C753" s="105" t="n"/>
      <c r="D753" s="92">
        <f>IF(C753="","",IFERROR(INDEX(Roster!$C$6:$C$65,IFERROR(MATCH(C753,Roster!$B$6:$B$65,0),MATCH(C753,Roster!$C$6:$C$65,0))),"not on the Roster"))</f>
        <v/>
      </c>
      <c r="E753" s="106" t="n"/>
      <c r="F753" s="104">
        <f>IF(OR(A753="",C753="",B753=""),"",IFERROR(INDEX(CHOOSE(IF(YEAR(A753)&gt;PlanYear,13,MONTH(A753)),'Jan'!$D$27:$AH$266,'Feb'!$D$27:$AH$266,'Mar'!$D$27:$AH$266,'Apr'!$D$27:$AH$266,'May'!$D$27:$AH$266,'Jun'!$D$27:$AH$266,'Jul'!$D$27:$AH$266,'Aug'!$D$27:$AH$266,'Sep'!$D$27:$AH$266,'Oct'!$D$27:$AH$266,'Nov'!$D$27:$AH$266,'Dec'!$D$27:$AH$266,'Jan (next year)'!$D$27:$AH$266),27+4*(IFERROR(MATCH(C753,Roster!$B$6:$B$65,0),MATCH(C753,Roster!$C$6:$C$65,0))-1)+MATCH(B753,{"AM","PM","NIGHT","WD"},0)-1-27+1,DAY(A753))&amp;"",""))</f>
        <v/>
      </c>
      <c r="G753" s="123">
        <f>IF(OR(A753="",C753="",B753="",E753=""),"",IFERROR(A753&amp;"|"&amp;(27+4*(IFERROR(MATCH(C753,Roster!$B$6:$B$65,0),MATCH(C753,Roster!$C$6:$C$65,0))-1)+MATCH(B753,{"AM","PM","NIGHT","WD"},0)-1),""))</f>
        <v/>
      </c>
    </row>
    <row r="754">
      <c r="A754" s="122" t="n"/>
      <c r="B754" s="107" t="n"/>
      <c r="C754" s="105" t="n"/>
      <c r="D754" s="92">
        <f>IF(C754="","",IFERROR(INDEX(Roster!$C$6:$C$65,IFERROR(MATCH(C754,Roster!$B$6:$B$65,0),MATCH(C754,Roster!$C$6:$C$65,0))),"not on the Roster"))</f>
        <v/>
      </c>
      <c r="E754" s="106" t="n"/>
      <c r="F754" s="104">
        <f>IF(OR(A754="",C754="",B754=""),"",IFERROR(INDEX(CHOOSE(IF(YEAR(A754)&gt;PlanYear,13,MONTH(A754)),'Jan'!$D$27:$AH$266,'Feb'!$D$27:$AH$266,'Mar'!$D$27:$AH$266,'Apr'!$D$27:$AH$266,'May'!$D$27:$AH$266,'Jun'!$D$27:$AH$266,'Jul'!$D$27:$AH$266,'Aug'!$D$27:$AH$266,'Sep'!$D$27:$AH$266,'Oct'!$D$27:$AH$266,'Nov'!$D$27:$AH$266,'Dec'!$D$27:$AH$266,'Jan (next year)'!$D$27:$AH$266),27+4*(IFERROR(MATCH(C754,Roster!$B$6:$B$65,0),MATCH(C754,Roster!$C$6:$C$65,0))-1)+MATCH(B754,{"AM","PM","NIGHT","WD"},0)-1-27+1,DAY(A754))&amp;"",""))</f>
        <v/>
      </c>
      <c r="G754" s="123">
        <f>IF(OR(A754="",C754="",B754="",E754=""),"",IFERROR(A754&amp;"|"&amp;(27+4*(IFERROR(MATCH(C754,Roster!$B$6:$B$65,0),MATCH(C754,Roster!$C$6:$C$65,0))-1)+MATCH(B754,{"AM","PM","NIGHT","WD"},0)-1),""))</f>
        <v/>
      </c>
    </row>
    <row r="755">
      <c r="A755" s="122" t="n"/>
      <c r="B755" s="107" t="n"/>
      <c r="C755" s="105" t="n"/>
      <c r="D755" s="92">
        <f>IF(C755="","",IFERROR(INDEX(Roster!$C$6:$C$65,IFERROR(MATCH(C755,Roster!$B$6:$B$65,0),MATCH(C755,Roster!$C$6:$C$65,0))),"not on the Roster"))</f>
        <v/>
      </c>
      <c r="E755" s="106" t="n"/>
      <c r="F755" s="104">
        <f>IF(OR(A755="",C755="",B755=""),"",IFERROR(INDEX(CHOOSE(IF(YEAR(A755)&gt;PlanYear,13,MONTH(A755)),'Jan'!$D$27:$AH$266,'Feb'!$D$27:$AH$266,'Mar'!$D$27:$AH$266,'Apr'!$D$27:$AH$266,'May'!$D$27:$AH$266,'Jun'!$D$27:$AH$266,'Jul'!$D$27:$AH$266,'Aug'!$D$27:$AH$266,'Sep'!$D$27:$AH$266,'Oct'!$D$27:$AH$266,'Nov'!$D$27:$AH$266,'Dec'!$D$27:$AH$266,'Jan (next year)'!$D$27:$AH$266),27+4*(IFERROR(MATCH(C755,Roster!$B$6:$B$65,0),MATCH(C755,Roster!$C$6:$C$65,0))-1)+MATCH(B755,{"AM","PM","NIGHT","WD"},0)-1-27+1,DAY(A755))&amp;"",""))</f>
        <v/>
      </c>
      <c r="G755" s="123">
        <f>IF(OR(A755="",C755="",B755="",E755=""),"",IFERROR(A755&amp;"|"&amp;(27+4*(IFERROR(MATCH(C755,Roster!$B$6:$B$65,0),MATCH(C755,Roster!$C$6:$C$65,0))-1)+MATCH(B755,{"AM","PM","NIGHT","WD"},0)-1),""))</f>
        <v/>
      </c>
    </row>
    <row r="756">
      <c r="A756" s="122" t="n"/>
      <c r="B756" s="107" t="n"/>
      <c r="C756" s="105" t="n"/>
      <c r="D756" s="92">
        <f>IF(C756="","",IFERROR(INDEX(Roster!$C$6:$C$65,IFERROR(MATCH(C756,Roster!$B$6:$B$65,0),MATCH(C756,Roster!$C$6:$C$65,0))),"not on the Roster"))</f>
        <v/>
      </c>
      <c r="E756" s="106" t="n"/>
      <c r="F756" s="104">
        <f>IF(OR(A756="",C756="",B756=""),"",IFERROR(INDEX(CHOOSE(IF(YEAR(A756)&gt;PlanYear,13,MONTH(A756)),'Jan'!$D$27:$AH$266,'Feb'!$D$27:$AH$266,'Mar'!$D$27:$AH$266,'Apr'!$D$27:$AH$266,'May'!$D$27:$AH$266,'Jun'!$D$27:$AH$266,'Jul'!$D$27:$AH$266,'Aug'!$D$27:$AH$266,'Sep'!$D$27:$AH$266,'Oct'!$D$27:$AH$266,'Nov'!$D$27:$AH$266,'Dec'!$D$27:$AH$266,'Jan (next year)'!$D$27:$AH$266),27+4*(IFERROR(MATCH(C756,Roster!$B$6:$B$65,0),MATCH(C756,Roster!$C$6:$C$65,0))-1)+MATCH(B756,{"AM","PM","NIGHT","WD"},0)-1-27+1,DAY(A756))&amp;"",""))</f>
        <v/>
      </c>
      <c r="G756" s="123">
        <f>IF(OR(A756="",C756="",B756="",E756=""),"",IFERROR(A756&amp;"|"&amp;(27+4*(IFERROR(MATCH(C756,Roster!$B$6:$B$65,0),MATCH(C756,Roster!$C$6:$C$65,0))-1)+MATCH(B756,{"AM","PM","NIGHT","WD"},0)-1),""))</f>
        <v/>
      </c>
    </row>
    <row r="757">
      <c r="A757" s="122" t="n"/>
      <c r="B757" s="107" t="n"/>
      <c r="C757" s="105" t="n"/>
      <c r="D757" s="92">
        <f>IF(C757="","",IFERROR(INDEX(Roster!$C$6:$C$65,IFERROR(MATCH(C757,Roster!$B$6:$B$65,0),MATCH(C757,Roster!$C$6:$C$65,0))),"not on the Roster"))</f>
        <v/>
      </c>
      <c r="E757" s="106" t="n"/>
      <c r="F757" s="104">
        <f>IF(OR(A757="",C757="",B757=""),"",IFERROR(INDEX(CHOOSE(IF(YEAR(A757)&gt;PlanYear,13,MONTH(A757)),'Jan'!$D$27:$AH$266,'Feb'!$D$27:$AH$266,'Mar'!$D$27:$AH$266,'Apr'!$D$27:$AH$266,'May'!$D$27:$AH$266,'Jun'!$D$27:$AH$266,'Jul'!$D$27:$AH$266,'Aug'!$D$27:$AH$266,'Sep'!$D$27:$AH$266,'Oct'!$D$27:$AH$266,'Nov'!$D$27:$AH$266,'Dec'!$D$27:$AH$266,'Jan (next year)'!$D$27:$AH$266),27+4*(IFERROR(MATCH(C757,Roster!$B$6:$B$65,0),MATCH(C757,Roster!$C$6:$C$65,0))-1)+MATCH(B757,{"AM","PM","NIGHT","WD"},0)-1-27+1,DAY(A757))&amp;"",""))</f>
        <v/>
      </c>
      <c r="G757" s="123">
        <f>IF(OR(A757="",C757="",B757="",E757=""),"",IFERROR(A757&amp;"|"&amp;(27+4*(IFERROR(MATCH(C757,Roster!$B$6:$B$65,0),MATCH(C757,Roster!$C$6:$C$65,0))-1)+MATCH(B757,{"AM","PM","NIGHT","WD"},0)-1),""))</f>
        <v/>
      </c>
    </row>
    <row r="758">
      <c r="A758" s="122" t="n"/>
      <c r="B758" s="107" t="n"/>
      <c r="C758" s="105" t="n"/>
      <c r="D758" s="92">
        <f>IF(C758="","",IFERROR(INDEX(Roster!$C$6:$C$65,IFERROR(MATCH(C758,Roster!$B$6:$B$65,0),MATCH(C758,Roster!$C$6:$C$65,0))),"not on the Roster"))</f>
        <v/>
      </c>
      <c r="E758" s="106" t="n"/>
      <c r="F758" s="104">
        <f>IF(OR(A758="",C758="",B758=""),"",IFERROR(INDEX(CHOOSE(IF(YEAR(A758)&gt;PlanYear,13,MONTH(A758)),'Jan'!$D$27:$AH$266,'Feb'!$D$27:$AH$266,'Mar'!$D$27:$AH$266,'Apr'!$D$27:$AH$266,'May'!$D$27:$AH$266,'Jun'!$D$27:$AH$266,'Jul'!$D$27:$AH$266,'Aug'!$D$27:$AH$266,'Sep'!$D$27:$AH$266,'Oct'!$D$27:$AH$266,'Nov'!$D$27:$AH$266,'Dec'!$D$27:$AH$266,'Jan (next year)'!$D$27:$AH$266),27+4*(IFERROR(MATCH(C758,Roster!$B$6:$B$65,0),MATCH(C758,Roster!$C$6:$C$65,0))-1)+MATCH(B758,{"AM","PM","NIGHT","WD"},0)-1-27+1,DAY(A758))&amp;"",""))</f>
        <v/>
      </c>
      <c r="G758" s="123">
        <f>IF(OR(A758="",C758="",B758="",E758=""),"",IFERROR(A758&amp;"|"&amp;(27+4*(IFERROR(MATCH(C758,Roster!$B$6:$B$65,0),MATCH(C758,Roster!$C$6:$C$65,0))-1)+MATCH(B758,{"AM","PM","NIGHT","WD"},0)-1),""))</f>
        <v/>
      </c>
    </row>
    <row r="759">
      <c r="A759" s="122" t="n"/>
      <c r="B759" s="107" t="n"/>
      <c r="C759" s="105" t="n"/>
      <c r="D759" s="92">
        <f>IF(C759="","",IFERROR(INDEX(Roster!$C$6:$C$65,IFERROR(MATCH(C759,Roster!$B$6:$B$65,0),MATCH(C759,Roster!$C$6:$C$65,0))),"not on the Roster"))</f>
        <v/>
      </c>
      <c r="E759" s="106" t="n"/>
      <c r="F759" s="104">
        <f>IF(OR(A759="",C759="",B759=""),"",IFERROR(INDEX(CHOOSE(IF(YEAR(A759)&gt;PlanYear,13,MONTH(A759)),'Jan'!$D$27:$AH$266,'Feb'!$D$27:$AH$266,'Mar'!$D$27:$AH$266,'Apr'!$D$27:$AH$266,'May'!$D$27:$AH$266,'Jun'!$D$27:$AH$266,'Jul'!$D$27:$AH$266,'Aug'!$D$27:$AH$266,'Sep'!$D$27:$AH$266,'Oct'!$D$27:$AH$266,'Nov'!$D$27:$AH$266,'Dec'!$D$27:$AH$266,'Jan (next year)'!$D$27:$AH$266),27+4*(IFERROR(MATCH(C759,Roster!$B$6:$B$65,0),MATCH(C759,Roster!$C$6:$C$65,0))-1)+MATCH(B759,{"AM","PM","NIGHT","WD"},0)-1-27+1,DAY(A759))&amp;"",""))</f>
        <v/>
      </c>
      <c r="G759" s="123">
        <f>IF(OR(A759="",C759="",B759="",E759=""),"",IFERROR(A759&amp;"|"&amp;(27+4*(IFERROR(MATCH(C759,Roster!$B$6:$B$65,0),MATCH(C759,Roster!$C$6:$C$65,0))-1)+MATCH(B759,{"AM","PM","NIGHT","WD"},0)-1),""))</f>
        <v/>
      </c>
    </row>
    <row r="760">
      <c r="A760" s="122" t="n"/>
      <c r="B760" s="107" t="n"/>
      <c r="C760" s="105" t="n"/>
      <c r="D760" s="92">
        <f>IF(C760="","",IFERROR(INDEX(Roster!$C$6:$C$65,IFERROR(MATCH(C760,Roster!$B$6:$B$65,0),MATCH(C760,Roster!$C$6:$C$65,0))),"not on the Roster"))</f>
        <v/>
      </c>
      <c r="E760" s="106" t="n"/>
      <c r="F760" s="104">
        <f>IF(OR(A760="",C760="",B760=""),"",IFERROR(INDEX(CHOOSE(IF(YEAR(A760)&gt;PlanYear,13,MONTH(A760)),'Jan'!$D$27:$AH$266,'Feb'!$D$27:$AH$266,'Mar'!$D$27:$AH$266,'Apr'!$D$27:$AH$266,'May'!$D$27:$AH$266,'Jun'!$D$27:$AH$266,'Jul'!$D$27:$AH$266,'Aug'!$D$27:$AH$266,'Sep'!$D$27:$AH$266,'Oct'!$D$27:$AH$266,'Nov'!$D$27:$AH$266,'Dec'!$D$27:$AH$266,'Jan (next year)'!$D$27:$AH$266),27+4*(IFERROR(MATCH(C760,Roster!$B$6:$B$65,0),MATCH(C760,Roster!$C$6:$C$65,0))-1)+MATCH(B760,{"AM","PM","NIGHT","WD"},0)-1-27+1,DAY(A760))&amp;"",""))</f>
        <v/>
      </c>
      <c r="G760" s="123">
        <f>IF(OR(A760="",C760="",B760="",E760=""),"",IFERROR(A760&amp;"|"&amp;(27+4*(IFERROR(MATCH(C760,Roster!$B$6:$B$65,0),MATCH(C760,Roster!$C$6:$C$65,0))-1)+MATCH(B760,{"AM","PM","NIGHT","WD"},0)-1),""))</f>
        <v/>
      </c>
    </row>
    <row r="761">
      <c r="A761" s="122" t="n"/>
      <c r="B761" s="107" t="n"/>
      <c r="C761" s="105" t="n"/>
      <c r="D761" s="92">
        <f>IF(C761="","",IFERROR(INDEX(Roster!$C$6:$C$65,IFERROR(MATCH(C761,Roster!$B$6:$B$65,0),MATCH(C761,Roster!$C$6:$C$65,0))),"not on the Roster"))</f>
        <v/>
      </c>
      <c r="E761" s="106" t="n"/>
      <c r="F761" s="104">
        <f>IF(OR(A761="",C761="",B761=""),"",IFERROR(INDEX(CHOOSE(IF(YEAR(A761)&gt;PlanYear,13,MONTH(A761)),'Jan'!$D$27:$AH$266,'Feb'!$D$27:$AH$266,'Mar'!$D$27:$AH$266,'Apr'!$D$27:$AH$266,'May'!$D$27:$AH$266,'Jun'!$D$27:$AH$266,'Jul'!$D$27:$AH$266,'Aug'!$D$27:$AH$266,'Sep'!$D$27:$AH$266,'Oct'!$D$27:$AH$266,'Nov'!$D$27:$AH$266,'Dec'!$D$27:$AH$266,'Jan (next year)'!$D$27:$AH$266),27+4*(IFERROR(MATCH(C761,Roster!$B$6:$B$65,0),MATCH(C761,Roster!$C$6:$C$65,0))-1)+MATCH(B761,{"AM","PM","NIGHT","WD"},0)-1-27+1,DAY(A761))&amp;"",""))</f>
        <v/>
      </c>
      <c r="G761" s="123">
        <f>IF(OR(A761="",C761="",B761="",E761=""),"",IFERROR(A761&amp;"|"&amp;(27+4*(IFERROR(MATCH(C761,Roster!$B$6:$B$65,0),MATCH(C761,Roster!$C$6:$C$65,0))-1)+MATCH(B761,{"AM","PM","NIGHT","WD"},0)-1),""))</f>
        <v/>
      </c>
    </row>
    <row r="762">
      <c r="A762" s="122" t="n"/>
      <c r="B762" s="107" t="n"/>
      <c r="C762" s="105" t="n"/>
      <c r="D762" s="92">
        <f>IF(C762="","",IFERROR(INDEX(Roster!$C$6:$C$65,IFERROR(MATCH(C762,Roster!$B$6:$B$65,0),MATCH(C762,Roster!$C$6:$C$65,0))),"not on the Roster"))</f>
        <v/>
      </c>
      <c r="E762" s="106" t="n"/>
      <c r="F762" s="104">
        <f>IF(OR(A762="",C762="",B762=""),"",IFERROR(INDEX(CHOOSE(IF(YEAR(A762)&gt;PlanYear,13,MONTH(A762)),'Jan'!$D$27:$AH$266,'Feb'!$D$27:$AH$266,'Mar'!$D$27:$AH$266,'Apr'!$D$27:$AH$266,'May'!$D$27:$AH$266,'Jun'!$D$27:$AH$266,'Jul'!$D$27:$AH$266,'Aug'!$D$27:$AH$266,'Sep'!$D$27:$AH$266,'Oct'!$D$27:$AH$266,'Nov'!$D$27:$AH$266,'Dec'!$D$27:$AH$266,'Jan (next year)'!$D$27:$AH$266),27+4*(IFERROR(MATCH(C762,Roster!$B$6:$B$65,0),MATCH(C762,Roster!$C$6:$C$65,0))-1)+MATCH(B762,{"AM","PM","NIGHT","WD"},0)-1-27+1,DAY(A762))&amp;"",""))</f>
        <v/>
      </c>
      <c r="G762" s="123">
        <f>IF(OR(A762="",C762="",B762="",E762=""),"",IFERROR(A762&amp;"|"&amp;(27+4*(IFERROR(MATCH(C762,Roster!$B$6:$B$65,0),MATCH(C762,Roster!$C$6:$C$65,0))-1)+MATCH(B762,{"AM","PM","NIGHT","WD"},0)-1),""))</f>
        <v/>
      </c>
    </row>
    <row r="763">
      <c r="A763" s="122" t="n"/>
      <c r="B763" s="107" t="n"/>
      <c r="C763" s="105" t="n"/>
      <c r="D763" s="92">
        <f>IF(C763="","",IFERROR(INDEX(Roster!$C$6:$C$65,IFERROR(MATCH(C763,Roster!$B$6:$B$65,0),MATCH(C763,Roster!$C$6:$C$65,0))),"not on the Roster"))</f>
        <v/>
      </c>
      <c r="E763" s="106" t="n"/>
      <c r="F763" s="104">
        <f>IF(OR(A763="",C763="",B763=""),"",IFERROR(INDEX(CHOOSE(IF(YEAR(A763)&gt;PlanYear,13,MONTH(A763)),'Jan'!$D$27:$AH$266,'Feb'!$D$27:$AH$266,'Mar'!$D$27:$AH$266,'Apr'!$D$27:$AH$266,'May'!$D$27:$AH$266,'Jun'!$D$27:$AH$266,'Jul'!$D$27:$AH$266,'Aug'!$D$27:$AH$266,'Sep'!$D$27:$AH$266,'Oct'!$D$27:$AH$266,'Nov'!$D$27:$AH$266,'Dec'!$D$27:$AH$266,'Jan (next year)'!$D$27:$AH$266),27+4*(IFERROR(MATCH(C763,Roster!$B$6:$B$65,0),MATCH(C763,Roster!$C$6:$C$65,0))-1)+MATCH(B763,{"AM","PM","NIGHT","WD"},0)-1-27+1,DAY(A763))&amp;"",""))</f>
        <v/>
      </c>
      <c r="G763" s="123">
        <f>IF(OR(A763="",C763="",B763="",E763=""),"",IFERROR(A763&amp;"|"&amp;(27+4*(IFERROR(MATCH(C763,Roster!$B$6:$B$65,0),MATCH(C763,Roster!$C$6:$C$65,0))-1)+MATCH(B763,{"AM","PM","NIGHT","WD"},0)-1),""))</f>
        <v/>
      </c>
    </row>
    <row r="764">
      <c r="A764" s="122" t="n"/>
      <c r="B764" s="107" t="n"/>
      <c r="C764" s="105" t="n"/>
      <c r="D764" s="92">
        <f>IF(C764="","",IFERROR(INDEX(Roster!$C$6:$C$65,IFERROR(MATCH(C764,Roster!$B$6:$B$65,0),MATCH(C764,Roster!$C$6:$C$65,0))),"not on the Roster"))</f>
        <v/>
      </c>
      <c r="E764" s="106" t="n"/>
      <c r="F764" s="104">
        <f>IF(OR(A764="",C764="",B764=""),"",IFERROR(INDEX(CHOOSE(IF(YEAR(A764)&gt;PlanYear,13,MONTH(A764)),'Jan'!$D$27:$AH$266,'Feb'!$D$27:$AH$266,'Mar'!$D$27:$AH$266,'Apr'!$D$27:$AH$266,'May'!$D$27:$AH$266,'Jun'!$D$27:$AH$266,'Jul'!$D$27:$AH$266,'Aug'!$D$27:$AH$266,'Sep'!$D$27:$AH$266,'Oct'!$D$27:$AH$266,'Nov'!$D$27:$AH$266,'Dec'!$D$27:$AH$266,'Jan (next year)'!$D$27:$AH$266),27+4*(IFERROR(MATCH(C764,Roster!$B$6:$B$65,0),MATCH(C764,Roster!$C$6:$C$65,0))-1)+MATCH(B764,{"AM","PM","NIGHT","WD"},0)-1-27+1,DAY(A764))&amp;"",""))</f>
        <v/>
      </c>
      <c r="G764" s="123">
        <f>IF(OR(A764="",C764="",B764="",E764=""),"",IFERROR(A764&amp;"|"&amp;(27+4*(IFERROR(MATCH(C764,Roster!$B$6:$B$65,0),MATCH(C764,Roster!$C$6:$C$65,0))-1)+MATCH(B764,{"AM","PM","NIGHT","WD"},0)-1),""))</f>
        <v/>
      </c>
    </row>
    <row r="765">
      <c r="A765" s="122" t="n"/>
      <c r="B765" s="107" t="n"/>
      <c r="C765" s="105" t="n"/>
      <c r="D765" s="92">
        <f>IF(C765="","",IFERROR(INDEX(Roster!$C$6:$C$65,IFERROR(MATCH(C765,Roster!$B$6:$B$65,0),MATCH(C765,Roster!$C$6:$C$65,0))),"not on the Roster"))</f>
        <v/>
      </c>
      <c r="E765" s="106" t="n"/>
      <c r="F765" s="104">
        <f>IF(OR(A765="",C765="",B765=""),"",IFERROR(INDEX(CHOOSE(IF(YEAR(A765)&gt;PlanYear,13,MONTH(A765)),'Jan'!$D$27:$AH$266,'Feb'!$D$27:$AH$266,'Mar'!$D$27:$AH$266,'Apr'!$D$27:$AH$266,'May'!$D$27:$AH$266,'Jun'!$D$27:$AH$266,'Jul'!$D$27:$AH$266,'Aug'!$D$27:$AH$266,'Sep'!$D$27:$AH$266,'Oct'!$D$27:$AH$266,'Nov'!$D$27:$AH$266,'Dec'!$D$27:$AH$266,'Jan (next year)'!$D$27:$AH$266),27+4*(IFERROR(MATCH(C765,Roster!$B$6:$B$65,0),MATCH(C765,Roster!$C$6:$C$65,0))-1)+MATCH(B765,{"AM","PM","NIGHT","WD"},0)-1-27+1,DAY(A765))&amp;"",""))</f>
        <v/>
      </c>
      <c r="G765" s="123">
        <f>IF(OR(A765="",C765="",B765="",E765=""),"",IFERROR(A765&amp;"|"&amp;(27+4*(IFERROR(MATCH(C765,Roster!$B$6:$B$65,0),MATCH(C765,Roster!$C$6:$C$65,0))-1)+MATCH(B765,{"AM","PM","NIGHT","WD"},0)-1),""))</f>
        <v/>
      </c>
    </row>
    <row r="766">
      <c r="A766" s="122" t="n"/>
      <c r="B766" s="107" t="n"/>
      <c r="C766" s="105" t="n"/>
      <c r="D766" s="92">
        <f>IF(C766="","",IFERROR(INDEX(Roster!$C$6:$C$65,IFERROR(MATCH(C766,Roster!$B$6:$B$65,0),MATCH(C766,Roster!$C$6:$C$65,0))),"not on the Roster"))</f>
        <v/>
      </c>
      <c r="E766" s="106" t="n"/>
      <c r="F766" s="104">
        <f>IF(OR(A766="",C766="",B766=""),"",IFERROR(INDEX(CHOOSE(IF(YEAR(A766)&gt;PlanYear,13,MONTH(A766)),'Jan'!$D$27:$AH$266,'Feb'!$D$27:$AH$266,'Mar'!$D$27:$AH$266,'Apr'!$D$27:$AH$266,'May'!$D$27:$AH$266,'Jun'!$D$27:$AH$266,'Jul'!$D$27:$AH$266,'Aug'!$D$27:$AH$266,'Sep'!$D$27:$AH$266,'Oct'!$D$27:$AH$266,'Nov'!$D$27:$AH$266,'Dec'!$D$27:$AH$266,'Jan (next year)'!$D$27:$AH$266),27+4*(IFERROR(MATCH(C766,Roster!$B$6:$B$65,0),MATCH(C766,Roster!$C$6:$C$65,0))-1)+MATCH(B766,{"AM","PM","NIGHT","WD"},0)-1-27+1,DAY(A766))&amp;"",""))</f>
        <v/>
      </c>
      <c r="G766" s="123">
        <f>IF(OR(A766="",C766="",B766="",E766=""),"",IFERROR(A766&amp;"|"&amp;(27+4*(IFERROR(MATCH(C766,Roster!$B$6:$B$65,0),MATCH(C766,Roster!$C$6:$C$65,0))-1)+MATCH(B766,{"AM","PM","NIGHT","WD"},0)-1),""))</f>
        <v/>
      </c>
    </row>
    <row r="767">
      <c r="A767" s="122" t="n"/>
      <c r="B767" s="107" t="n"/>
      <c r="C767" s="105" t="n"/>
      <c r="D767" s="92">
        <f>IF(C767="","",IFERROR(INDEX(Roster!$C$6:$C$65,IFERROR(MATCH(C767,Roster!$B$6:$B$65,0),MATCH(C767,Roster!$C$6:$C$65,0))),"not on the Roster"))</f>
        <v/>
      </c>
      <c r="E767" s="106" t="n"/>
      <c r="F767" s="104">
        <f>IF(OR(A767="",C767="",B767=""),"",IFERROR(INDEX(CHOOSE(IF(YEAR(A767)&gt;PlanYear,13,MONTH(A767)),'Jan'!$D$27:$AH$266,'Feb'!$D$27:$AH$266,'Mar'!$D$27:$AH$266,'Apr'!$D$27:$AH$266,'May'!$D$27:$AH$266,'Jun'!$D$27:$AH$266,'Jul'!$D$27:$AH$266,'Aug'!$D$27:$AH$266,'Sep'!$D$27:$AH$266,'Oct'!$D$27:$AH$266,'Nov'!$D$27:$AH$266,'Dec'!$D$27:$AH$266,'Jan (next year)'!$D$27:$AH$266),27+4*(IFERROR(MATCH(C767,Roster!$B$6:$B$65,0),MATCH(C767,Roster!$C$6:$C$65,0))-1)+MATCH(B767,{"AM","PM","NIGHT","WD"},0)-1-27+1,DAY(A767))&amp;"",""))</f>
        <v/>
      </c>
      <c r="G767" s="123">
        <f>IF(OR(A767="",C767="",B767="",E767=""),"",IFERROR(A767&amp;"|"&amp;(27+4*(IFERROR(MATCH(C767,Roster!$B$6:$B$65,0),MATCH(C767,Roster!$C$6:$C$65,0))-1)+MATCH(B767,{"AM","PM","NIGHT","WD"},0)-1),""))</f>
        <v/>
      </c>
    </row>
    <row r="768">
      <c r="A768" s="122" t="n"/>
      <c r="B768" s="107" t="n"/>
      <c r="C768" s="105" t="n"/>
      <c r="D768" s="92">
        <f>IF(C768="","",IFERROR(INDEX(Roster!$C$6:$C$65,IFERROR(MATCH(C768,Roster!$B$6:$B$65,0),MATCH(C768,Roster!$C$6:$C$65,0))),"not on the Roster"))</f>
        <v/>
      </c>
      <c r="E768" s="106" t="n"/>
      <c r="F768" s="104">
        <f>IF(OR(A768="",C768="",B768=""),"",IFERROR(INDEX(CHOOSE(IF(YEAR(A768)&gt;PlanYear,13,MONTH(A768)),'Jan'!$D$27:$AH$266,'Feb'!$D$27:$AH$266,'Mar'!$D$27:$AH$266,'Apr'!$D$27:$AH$266,'May'!$D$27:$AH$266,'Jun'!$D$27:$AH$266,'Jul'!$D$27:$AH$266,'Aug'!$D$27:$AH$266,'Sep'!$D$27:$AH$266,'Oct'!$D$27:$AH$266,'Nov'!$D$27:$AH$266,'Dec'!$D$27:$AH$266,'Jan (next year)'!$D$27:$AH$266),27+4*(IFERROR(MATCH(C768,Roster!$B$6:$B$65,0),MATCH(C768,Roster!$C$6:$C$65,0))-1)+MATCH(B768,{"AM","PM","NIGHT","WD"},0)-1-27+1,DAY(A768))&amp;"",""))</f>
        <v/>
      </c>
      <c r="G768" s="123">
        <f>IF(OR(A768="",C768="",B768="",E768=""),"",IFERROR(A768&amp;"|"&amp;(27+4*(IFERROR(MATCH(C768,Roster!$B$6:$B$65,0),MATCH(C768,Roster!$C$6:$C$65,0))-1)+MATCH(B768,{"AM","PM","NIGHT","WD"},0)-1),""))</f>
        <v/>
      </c>
    </row>
    <row r="769">
      <c r="A769" s="122" t="n"/>
      <c r="B769" s="107" t="n"/>
      <c r="C769" s="105" t="n"/>
      <c r="D769" s="92">
        <f>IF(C769="","",IFERROR(INDEX(Roster!$C$6:$C$65,IFERROR(MATCH(C769,Roster!$B$6:$B$65,0),MATCH(C769,Roster!$C$6:$C$65,0))),"not on the Roster"))</f>
        <v/>
      </c>
      <c r="E769" s="106" t="n"/>
      <c r="F769" s="104">
        <f>IF(OR(A769="",C769="",B769=""),"",IFERROR(INDEX(CHOOSE(IF(YEAR(A769)&gt;PlanYear,13,MONTH(A769)),'Jan'!$D$27:$AH$266,'Feb'!$D$27:$AH$266,'Mar'!$D$27:$AH$266,'Apr'!$D$27:$AH$266,'May'!$D$27:$AH$266,'Jun'!$D$27:$AH$266,'Jul'!$D$27:$AH$266,'Aug'!$D$27:$AH$266,'Sep'!$D$27:$AH$266,'Oct'!$D$27:$AH$266,'Nov'!$D$27:$AH$266,'Dec'!$D$27:$AH$266,'Jan (next year)'!$D$27:$AH$266),27+4*(IFERROR(MATCH(C769,Roster!$B$6:$B$65,0),MATCH(C769,Roster!$C$6:$C$65,0))-1)+MATCH(B769,{"AM","PM","NIGHT","WD"},0)-1-27+1,DAY(A769))&amp;"",""))</f>
        <v/>
      </c>
      <c r="G769" s="123">
        <f>IF(OR(A769="",C769="",B769="",E769=""),"",IFERROR(A769&amp;"|"&amp;(27+4*(IFERROR(MATCH(C769,Roster!$B$6:$B$65,0),MATCH(C769,Roster!$C$6:$C$65,0))-1)+MATCH(B769,{"AM","PM","NIGHT","WD"},0)-1),""))</f>
        <v/>
      </c>
    </row>
    <row r="770">
      <c r="A770" s="122" t="n"/>
      <c r="B770" s="107" t="n"/>
      <c r="C770" s="105" t="n"/>
      <c r="D770" s="92">
        <f>IF(C770="","",IFERROR(INDEX(Roster!$C$6:$C$65,IFERROR(MATCH(C770,Roster!$B$6:$B$65,0),MATCH(C770,Roster!$C$6:$C$65,0))),"not on the Roster"))</f>
        <v/>
      </c>
      <c r="E770" s="106" t="n"/>
      <c r="F770" s="104">
        <f>IF(OR(A770="",C770="",B770=""),"",IFERROR(INDEX(CHOOSE(IF(YEAR(A770)&gt;PlanYear,13,MONTH(A770)),'Jan'!$D$27:$AH$266,'Feb'!$D$27:$AH$266,'Mar'!$D$27:$AH$266,'Apr'!$D$27:$AH$266,'May'!$D$27:$AH$266,'Jun'!$D$27:$AH$266,'Jul'!$D$27:$AH$266,'Aug'!$D$27:$AH$266,'Sep'!$D$27:$AH$266,'Oct'!$D$27:$AH$266,'Nov'!$D$27:$AH$266,'Dec'!$D$27:$AH$266,'Jan (next year)'!$D$27:$AH$266),27+4*(IFERROR(MATCH(C770,Roster!$B$6:$B$65,0),MATCH(C770,Roster!$C$6:$C$65,0))-1)+MATCH(B770,{"AM","PM","NIGHT","WD"},0)-1-27+1,DAY(A770))&amp;"",""))</f>
        <v/>
      </c>
      <c r="G770" s="123">
        <f>IF(OR(A770="",C770="",B770="",E770=""),"",IFERROR(A770&amp;"|"&amp;(27+4*(IFERROR(MATCH(C770,Roster!$B$6:$B$65,0),MATCH(C770,Roster!$C$6:$C$65,0))-1)+MATCH(B770,{"AM","PM","NIGHT","WD"},0)-1),""))</f>
        <v/>
      </c>
    </row>
    <row r="771">
      <c r="A771" s="122" t="n"/>
      <c r="B771" s="107" t="n"/>
      <c r="C771" s="105" t="n"/>
      <c r="D771" s="92">
        <f>IF(C771="","",IFERROR(INDEX(Roster!$C$6:$C$65,IFERROR(MATCH(C771,Roster!$B$6:$B$65,0),MATCH(C771,Roster!$C$6:$C$65,0))),"not on the Roster"))</f>
        <v/>
      </c>
      <c r="E771" s="106" t="n"/>
      <c r="F771" s="104">
        <f>IF(OR(A771="",C771="",B771=""),"",IFERROR(INDEX(CHOOSE(IF(YEAR(A771)&gt;PlanYear,13,MONTH(A771)),'Jan'!$D$27:$AH$266,'Feb'!$D$27:$AH$266,'Mar'!$D$27:$AH$266,'Apr'!$D$27:$AH$266,'May'!$D$27:$AH$266,'Jun'!$D$27:$AH$266,'Jul'!$D$27:$AH$266,'Aug'!$D$27:$AH$266,'Sep'!$D$27:$AH$266,'Oct'!$D$27:$AH$266,'Nov'!$D$27:$AH$266,'Dec'!$D$27:$AH$266,'Jan (next year)'!$D$27:$AH$266),27+4*(IFERROR(MATCH(C771,Roster!$B$6:$B$65,0),MATCH(C771,Roster!$C$6:$C$65,0))-1)+MATCH(B771,{"AM","PM","NIGHT","WD"},0)-1-27+1,DAY(A771))&amp;"",""))</f>
        <v/>
      </c>
      <c r="G771" s="123">
        <f>IF(OR(A771="",C771="",B771="",E771=""),"",IFERROR(A771&amp;"|"&amp;(27+4*(IFERROR(MATCH(C771,Roster!$B$6:$B$65,0),MATCH(C771,Roster!$C$6:$C$65,0))-1)+MATCH(B771,{"AM","PM","NIGHT","WD"},0)-1),""))</f>
        <v/>
      </c>
    </row>
    <row r="772">
      <c r="A772" s="122" t="n"/>
      <c r="B772" s="107" t="n"/>
      <c r="C772" s="105" t="n"/>
      <c r="D772" s="92">
        <f>IF(C772="","",IFERROR(INDEX(Roster!$C$6:$C$65,IFERROR(MATCH(C772,Roster!$B$6:$B$65,0),MATCH(C772,Roster!$C$6:$C$65,0))),"not on the Roster"))</f>
        <v/>
      </c>
      <c r="E772" s="106" t="n"/>
      <c r="F772" s="104">
        <f>IF(OR(A772="",C772="",B772=""),"",IFERROR(INDEX(CHOOSE(IF(YEAR(A772)&gt;PlanYear,13,MONTH(A772)),'Jan'!$D$27:$AH$266,'Feb'!$D$27:$AH$266,'Mar'!$D$27:$AH$266,'Apr'!$D$27:$AH$266,'May'!$D$27:$AH$266,'Jun'!$D$27:$AH$266,'Jul'!$D$27:$AH$266,'Aug'!$D$27:$AH$266,'Sep'!$D$27:$AH$266,'Oct'!$D$27:$AH$266,'Nov'!$D$27:$AH$266,'Dec'!$D$27:$AH$266,'Jan (next year)'!$D$27:$AH$266),27+4*(IFERROR(MATCH(C772,Roster!$B$6:$B$65,0),MATCH(C772,Roster!$C$6:$C$65,0))-1)+MATCH(B772,{"AM","PM","NIGHT","WD"},0)-1-27+1,DAY(A772))&amp;"",""))</f>
        <v/>
      </c>
      <c r="G772" s="123">
        <f>IF(OR(A772="",C772="",B772="",E772=""),"",IFERROR(A772&amp;"|"&amp;(27+4*(IFERROR(MATCH(C772,Roster!$B$6:$B$65,0),MATCH(C772,Roster!$C$6:$C$65,0))-1)+MATCH(B772,{"AM","PM","NIGHT","WD"},0)-1),""))</f>
        <v/>
      </c>
    </row>
    <row r="773">
      <c r="A773" s="122" t="n"/>
      <c r="B773" s="107" t="n"/>
      <c r="C773" s="105" t="n"/>
      <c r="D773" s="92">
        <f>IF(C773="","",IFERROR(INDEX(Roster!$C$6:$C$65,IFERROR(MATCH(C773,Roster!$B$6:$B$65,0),MATCH(C773,Roster!$C$6:$C$65,0))),"not on the Roster"))</f>
        <v/>
      </c>
      <c r="E773" s="106" t="n"/>
      <c r="F773" s="104">
        <f>IF(OR(A773="",C773="",B773=""),"",IFERROR(INDEX(CHOOSE(IF(YEAR(A773)&gt;PlanYear,13,MONTH(A773)),'Jan'!$D$27:$AH$266,'Feb'!$D$27:$AH$266,'Mar'!$D$27:$AH$266,'Apr'!$D$27:$AH$266,'May'!$D$27:$AH$266,'Jun'!$D$27:$AH$266,'Jul'!$D$27:$AH$266,'Aug'!$D$27:$AH$266,'Sep'!$D$27:$AH$266,'Oct'!$D$27:$AH$266,'Nov'!$D$27:$AH$266,'Dec'!$D$27:$AH$266,'Jan (next year)'!$D$27:$AH$266),27+4*(IFERROR(MATCH(C773,Roster!$B$6:$B$65,0),MATCH(C773,Roster!$C$6:$C$65,0))-1)+MATCH(B773,{"AM","PM","NIGHT","WD"},0)-1-27+1,DAY(A773))&amp;"",""))</f>
        <v/>
      </c>
      <c r="G773" s="123">
        <f>IF(OR(A773="",C773="",B773="",E773=""),"",IFERROR(A773&amp;"|"&amp;(27+4*(IFERROR(MATCH(C773,Roster!$B$6:$B$65,0),MATCH(C773,Roster!$C$6:$C$65,0))-1)+MATCH(B773,{"AM","PM","NIGHT","WD"},0)-1),""))</f>
        <v/>
      </c>
    </row>
    <row r="774">
      <c r="A774" s="122" t="n"/>
      <c r="B774" s="107" t="n"/>
      <c r="C774" s="105" t="n"/>
      <c r="D774" s="92">
        <f>IF(C774="","",IFERROR(INDEX(Roster!$C$6:$C$65,IFERROR(MATCH(C774,Roster!$B$6:$B$65,0),MATCH(C774,Roster!$C$6:$C$65,0))),"not on the Roster"))</f>
        <v/>
      </c>
      <c r="E774" s="106" t="n"/>
      <c r="F774" s="104">
        <f>IF(OR(A774="",C774="",B774=""),"",IFERROR(INDEX(CHOOSE(IF(YEAR(A774)&gt;PlanYear,13,MONTH(A774)),'Jan'!$D$27:$AH$266,'Feb'!$D$27:$AH$266,'Mar'!$D$27:$AH$266,'Apr'!$D$27:$AH$266,'May'!$D$27:$AH$266,'Jun'!$D$27:$AH$266,'Jul'!$D$27:$AH$266,'Aug'!$D$27:$AH$266,'Sep'!$D$27:$AH$266,'Oct'!$D$27:$AH$266,'Nov'!$D$27:$AH$266,'Dec'!$D$27:$AH$266,'Jan (next year)'!$D$27:$AH$266),27+4*(IFERROR(MATCH(C774,Roster!$B$6:$B$65,0),MATCH(C774,Roster!$C$6:$C$65,0))-1)+MATCH(B774,{"AM","PM","NIGHT","WD"},0)-1-27+1,DAY(A774))&amp;"",""))</f>
        <v/>
      </c>
      <c r="G774" s="123">
        <f>IF(OR(A774="",C774="",B774="",E774=""),"",IFERROR(A774&amp;"|"&amp;(27+4*(IFERROR(MATCH(C774,Roster!$B$6:$B$65,0),MATCH(C774,Roster!$C$6:$C$65,0))-1)+MATCH(B774,{"AM","PM","NIGHT","WD"},0)-1),""))</f>
        <v/>
      </c>
    </row>
    <row r="775">
      <c r="A775" s="122" t="n"/>
      <c r="B775" s="107" t="n"/>
      <c r="C775" s="105" t="n"/>
      <c r="D775" s="92">
        <f>IF(C775="","",IFERROR(INDEX(Roster!$C$6:$C$65,IFERROR(MATCH(C775,Roster!$B$6:$B$65,0),MATCH(C775,Roster!$C$6:$C$65,0))),"not on the Roster"))</f>
        <v/>
      </c>
      <c r="E775" s="106" t="n"/>
      <c r="F775" s="104">
        <f>IF(OR(A775="",C775="",B775=""),"",IFERROR(INDEX(CHOOSE(IF(YEAR(A775)&gt;PlanYear,13,MONTH(A775)),'Jan'!$D$27:$AH$266,'Feb'!$D$27:$AH$266,'Mar'!$D$27:$AH$266,'Apr'!$D$27:$AH$266,'May'!$D$27:$AH$266,'Jun'!$D$27:$AH$266,'Jul'!$D$27:$AH$266,'Aug'!$D$27:$AH$266,'Sep'!$D$27:$AH$266,'Oct'!$D$27:$AH$266,'Nov'!$D$27:$AH$266,'Dec'!$D$27:$AH$266,'Jan (next year)'!$D$27:$AH$266),27+4*(IFERROR(MATCH(C775,Roster!$B$6:$B$65,0),MATCH(C775,Roster!$C$6:$C$65,0))-1)+MATCH(B775,{"AM","PM","NIGHT","WD"},0)-1-27+1,DAY(A775))&amp;"",""))</f>
        <v/>
      </c>
      <c r="G775" s="123">
        <f>IF(OR(A775="",C775="",B775="",E775=""),"",IFERROR(A775&amp;"|"&amp;(27+4*(IFERROR(MATCH(C775,Roster!$B$6:$B$65,0),MATCH(C775,Roster!$C$6:$C$65,0))-1)+MATCH(B775,{"AM","PM","NIGHT","WD"},0)-1),""))</f>
        <v/>
      </c>
    </row>
    <row r="776">
      <c r="A776" s="122" t="n"/>
      <c r="B776" s="107" t="n"/>
      <c r="C776" s="105" t="n"/>
      <c r="D776" s="92">
        <f>IF(C776="","",IFERROR(INDEX(Roster!$C$6:$C$65,IFERROR(MATCH(C776,Roster!$B$6:$B$65,0),MATCH(C776,Roster!$C$6:$C$65,0))),"not on the Roster"))</f>
        <v/>
      </c>
      <c r="E776" s="106" t="n"/>
      <c r="F776" s="104">
        <f>IF(OR(A776="",C776="",B776=""),"",IFERROR(INDEX(CHOOSE(IF(YEAR(A776)&gt;PlanYear,13,MONTH(A776)),'Jan'!$D$27:$AH$266,'Feb'!$D$27:$AH$266,'Mar'!$D$27:$AH$266,'Apr'!$D$27:$AH$266,'May'!$D$27:$AH$266,'Jun'!$D$27:$AH$266,'Jul'!$D$27:$AH$266,'Aug'!$D$27:$AH$266,'Sep'!$D$27:$AH$266,'Oct'!$D$27:$AH$266,'Nov'!$D$27:$AH$266,'Dec'!$D$27:$AH$266,'Jan (next year)'!$D$27:$AH$266),27+4*(IFERROR(MATCH(C776,Roster!$B$6:$B$65,0),MATCH(C776,Roster!$C$6:$C$65,0))-1)+MATCH(B776,{"AM","PM","NIGHT","WD"},0)-1-27+1,DAY(A776))&amp;"",""))</f>
        <v/>
      </c>
      <c r="G776" s="123">
        <f>IF(OR(A776="",C776="",B776="",E776=""),"",IFERROR(A776&amp;"|"&amp;(27+4*(IFERROR(MATCH(C776,Roster!$B$6:$B$65,0),MATCH(C776,Roster!$C$6:$C$65,0))-1)+MATCH(B776,{"AM","PM","NIGHT","WD"},0)-1),""))</f>
        <v/>
      </c>
    </row>
    <row r="777">
      <c r="A777" s="122" t="n"/>
      <c r="B777" s="107" t="n"/>
      <c r="C777" s="105" t="n"/>
      <c r="D777" s="92">
        <f>IF(C777="","",IFERROR(INDEX(Roster!$C$6:$C$65,IFERROR(MATCH(C777,Roster!$B$6:$B$65,0),MATCH(C777,Roster!$C$6:$C$65,0))),"not on the Roster"))</f>
        <v/>
      </c>
      <c r="E777" s="106" t="n"/>
      <c r="F777" s="104">
        <f>IF(OR(A777="",C777="",B777=""),"",IFERROR(INDEX(CHOOSE(IF(YEAR(A777)&gt;PlanYear,13,MONTH(A777)),'Jan'!$D$27:$AH$266,'Feb'!$D$27:$AH$266,'Mar'!$D$27:$AH$266,'Apr'!$D$27:$AH$266,'May'!$D$27:$AH$266,'Jun'!$D$27:$AH$266,'Jul'!$D$27:$AH$266,'Aug'!$D$27:$AH$266,'Sep'!$D$27:$AH$266,'Oct'!$D$27:$AH$266,'Nov'!$D$27:$AH$266,'Dec'!$D$27:$AH$266,'Jan (next year)'!$D$27:$AH$266),27+4*(IFERROR(MATCH(C777,Roster!$B$6:$B$65,0),MATCH(C777,Roster!$C$6:$C$65,0))-1)+MATCH(B777,{"AM","PM","NIGHT","WD"},0)-1-27+1,DAY(A777))&amp;"",""))</f>
        <v/>
      </c>
      <c r="G777" s="123">
        <f>IF(OR(A777="",C777="",B777="",E777=""),"",IFERROR(A777&amp;"|"&amp;(27+4*(IFERROR(MATCH(C777,Roster!$B$6:$B$65,0),MATCH(C777,Roster!$C$6:$C$65,0))-1)+MATCH(B777,{"AM","PM","NIGHT","WD"},0)-1),""))</f>
        <v/>
      </c>
    </row>
    <row r="778">
      <c r="A778" s="122" t="n"/>
      <c r="B778" s="107" t="n"/>
      <c r="C778" s="105" t="n"/>
      <c r="D778" s="92">
        <f>IF(C778="","",IFERROR(INDEX(Roster!$C$6:$C$65,IFERROR(MATCH(C778,Roster!$B$6:$B$65,0),MATCH(C778,Roster!$C$6:$C$65,0))),"not on the Roster"))</f>
        <v/>
      </c>
      <c r="E778" s="106" t="n"/>
      <c r="F778" s="104">
        <f>IF(OR(A778="",C778="",B778=""),"",IFERROR(INDEX(CHOOSE(IF(YEAR(A778)&gt;PlanYear,13,MONTH(A778)),'Jan'!$D$27:$AH$266,'Feb'!$D$27:$AH$266,'Mar'!$D$27:$AH$266,'Apr'!$D$27:$AH$266,'May'!$D$27:$AH$266,'Jun'!$D$27:$AH$266,'Jul'!$D$27:$AH$266,'Aug'!$D$27:$AH$266,'Sep'!$D$27:$AH$266,'Oct'!$D$27:$AH$266,'Nov'!$D$27:$AH$266,'Dec'!$D$27:$AH$266,'Jan (next year)'!$D$27:$AH$266),27+4*(IFERROR(MATCH(C778,Roster!$B$6:$B$65,0),MATCH(C778,Roster!$C$6:$C$65,0))-1)+MATCH(B778,{"AM","PM","NIGHT","WD"},0)-1-27+1,DAY(A778))&amp;"",""))</f>
        <v/>
      </c>
      <c r="G778" s="123">
        <f>IF(OR(A778="",C778="",B778="",E778=""),"",IFERROR(A778&amp;"|"&amp;(27+4*(IFERROR(MATCH(C778,Roster!$B$6:$B$65,0),MATCH(C778,Roster!$C$6:$C$65,0))-1)+MATCH(B778,{"AM","PM","NIGHT","WD"},0)-1),""))</f>
        <v/>
      </c>
    </row>
    <row r="779">
      <c r="A779" s="122" t="n"/>
      <c r="B779" s="107" t="n"/>
      <c r="C779" s="105" t="n"/>
      <c r="D779" s="92">
        <f>IF(C779="","",IFERROR(INDEX(Roster!$C$6:$C$65,IFERROR(MATCH(C779,Roster!$B$6:$B$65,0),MATCH(C779,Roster!$C$6:$C$65,0))),"not on the Roster"))</f>
        <v/>
      </c>
      <c r="E779" s="106" t="n"/>
      <c r="F779" s="104">
        <f>IF(OR(A779="",C779="",B779=""),"",IFERROR(INDEX(CHOOSE(IF(YEAR(A779)&gt;PlanYear,13,MONTH(A779)),'Jan'!$D$27:$AH$266,'Feb'!$D$27:$AH$266,'Mar'!$D$27:$AH$266,'Apr'!$D$27:$AH$266,'May'!$D$27:$AH$266,'Jun'!$D$27:$AH$266,'Jul'!$D$27:$AH$266,'Aug'!$D$27:$AH$266,'Sep'!$D$27:$AH$266,'Oct'!$D$27:$AH$266,'Nov'!$D$27:$AH$266,'Dec'!$D$27:$AH$266,'Jan (next year)'!$D$27:$AH$266),27+4*(IFERROR(MATCH(C779,Roster!$B$6:$B$65,0),MATCH(C779,Roster!$C$6:$C$65,0))-1)+MATCH(B779,{"AM","PM","NIGHT","WD"},0)-1-27+1,DAY(A779))&amp;"",""))</f>
        <v/>
      </c>
      <c r="G779" s="123">
        <f>IF(OR(A779="",C779="",B779="",E779=""),"",IFERROR(A779&amp;"|"&amp;(27+4*(IFERROR(MATCH(C779,Roster!$B$6:$B$65,0),MATCH(C779,Roster!$C$6:$C$65,0))-1)+MATCH(B779,{"AM","PM","NIGHT","WD"},0)-1),""))</f>
        <v/>
      </c>
    </row>
    <row r="780">
      <c r="A780" s="122" t="n"/>
      <c r="B780" s="107" t="n"/>
      <c r="C780" s="105" t="n"/>
      <c r="D780" s="92">
        <f>IF(C780="","",IFERROR(INDEX(Roster!$C$6:$C$65,IFERROR(MATCH(C780,Roster!$B$6:$B$65,0),MATCH(C780,Roster!$C$6:$C$65,0))),"not on the Roster"))</f>
        <v/>
      </c>
      <c r="E780" s="106" t="n"/>
      <c r="F780" s="104">
        <f>IF(OR(A780="",C780="",B780=""),"",IFERROR(INDEX(CHOOSE(IF(YEAR(A780)&gt;PlanYear,13,MONTH(A780)),'Jan'!$D$27:$AH$266,'Feb'!$D$27:$AH$266,'Mar'!$D$27:$AH$266,'Apr'!$D$27:$AH$266,'May'!$D$27:$AH$266,'Jun'!$D$27:$AH$266,'Jul'!$D$27:$AH$266,'Aug'!$D$27:$AH$266,'Sep'!$D$27:$AH$266,'Oct'!$D$27:$AH$266,'Nov'!$D$27:$AH$266,'Dec'!$D$27:$AH$266,'Jan (next year)'!$D$27:$AH$266),27+4*(IFERROR(MATCH(C780,Roster!$B$6:$B$65,0),MATCH(C780,Roster!$C$6:$C$65,0))-1)+MATCH(B780,{"AM","PM","NIGHT","WD"},0)-1-27+1,DAY(A780))&amp;"",""))</f>
        <v/>
      </c>
      <c r="G780" s="123">
        <f>IF(OR(A780="",C780="",B780="",E780=""),"",IFERROR(A780&amp;"|"&amp;(27+4*(IFERROR(MATCH(C780,Roster!$B$6:$B$65,0),MATCH(C780,Roster!$C$6:$C$65,0))-1)+MATCH(B780,{"AM","PM","NIGHT","WD"},0)-1),""))</f>
        <v/>
      </c>
    </row>
    <row r="781">
      <c r="A781" s="122" t="n"/>
      <c r="B781" s="107" t="n"/>
      <c r="C781" s="105" t="n"/>
      <c r="D781" s="92">
        <f>IF(C781="","",IFERROR(INDEX(Roster!$C$6:$C$65,IFERROR(MATCH(C781,Roster!$B$6:$B$65,0),MATCH(C781,Roster!$C$6:$C$65,0))),"not on the Roster"))</f>
        <v/>
      </c>
      <c r="E781" s="106" t="n"/>
      <c r="F781" s="104">
        <f>IF(OR(A781="",C781="",B781=""),"",IFERROR(INDEX(CHOOSE(IF(YEAR(A781)&gt;PlanYear,13,MONTH(A781)),'Jan'!$D$27:$AH$266,'Feb'!$D$27:$AH$266,'Mar'!$D$27:$AH$266,'Apr'!$D$27:$AH$266,'May'!$D$27:$AH$266,'Jun'!$D$27:$AH$266,'Jul'!$D$27:$AH$266,'Aug'!$D$27:$AH$266,'Sep'!$D$27:$AH$266,'Oct'!$D$27:$AH$266,'Nov'!$D$27:$AH$266,'Dec'!$D$27:$AH$266,'Jan (next year)'!$D$27:$AH$266),27+4*(IFERROR(MATCH(C781,Roster!$B$6:$B$65,0),MATCH(C781,Roster!$C$6:$C$65,0))-1)+MATCH(B781,{"AM","PM","NIGHT","WD"},0)-1-27+1,DAY(A781))&amp;"",""))</f>
        <v/>
      </c>
      <c r="G781" s="123">
        <f>IF(OR(A781="",C781="",B781="",E781=""),"",IFERROR(A781&amp;"|"&amp;(27+4*(IFERROR(MATCH(C781,Roster!$B$6:$B$65,0),MATCH(C781,Roster!$C$6:$C$65,0))-1)+MATCH(B781,{"AM","PM","NIGHT","WD"},0)-1),""))</f>
        <v/>
      </c>
    </row>
    <row r="782">
      <c r="A782" s="122" t="n"/>
      <c r="B782" s="107" t="n"/>
      <c r="C782" s="105" t="n"/>
      <c r="D782" s="92">
        <f>IF(C782="","",IFERROR(INDEX(Roster!$C$6:$C$65,IFERROR(MATCH(C782,Roster!$B$6:$B$65,0),MATCH(C782,Roster!$C$6:$C$65,0))),"not on the Roster"))</f>
        <v/>
      </c>
      <c r="E782" s="106" t="n"/>
      <c r="F782" s="104">
        <f>IF(OR(A782="",C782="",B782=""),"",IFERROR(INDEX(CHOOSE(IF(YEAR(A782)&gt;PlanYear,13,MONTH(A782)),'Jan'!$D$27:$AH$266,'Feb'!$D$27:$AH$266,'Mar'!$D$27:$AH$266,'Apr'!$D$27:$AH$266,'May'!$D$27:$AH$266,'Jun'!$D$27:$AH$266,'Jul'!$D$27:$AH$266,'Aug'!$D$27:$AH$266,'Sep'!$D$27:$AH$266,'Oct'!$D$27:$AH$266,'Nov'!$D$27:$AH$266,'Dec'!$D$27:$AH$266,'Jan (next year)'!$D$27:$AH$266),27+4*(IFERROR(MATCH(C782,Roster!$B$6:$B$65,0),MATCH(C782,Roster!$C$6:$C$65,0))-1)+MATCH(B782,{"AM","PM","NIGHT","WD"},0)-1-27+1,DAY(A782))&amp;"",""))</f>
        <v/>
      </c>
      <c r="G782" s="123">
        <f>IF(OR(A782="",C782="",B782="",E782=""),"",IFERROR(A782&amp;"|"&amp;(27+4*(IFERROR(MATCH(C782,Roster!$B$6:$B$65,0),MATCH(C782,Roster!$C$6:$C$65,0))-1)+MATCH(B782,{"AM","PM","NIGHT","WD"},0)-1),""))</f>
        <v/>
      </c>
    </row>
    <row r="783">
      <c r="A783" s="122" t="n"/>
      <c r="B783" s="107" t="n"/>
      <c r="C783" s="105" t="n"/>
      <c r="D783" s="92">
        <f>IF(C783="","",IFERROR(INDEX(Roster!$C$6:$C$65,IFERROR(MATCH(C783,Roster!$B$6:$B$65,0),MATCH(C783,Roster!$C$6:$C$65,0))),"not on the Roster"))</f>
        <v/>
      </c>
      <c r="E783" s="106" t="n"/>
      <c r="F783" s="104">
        <f>IF(OR(A783="",C783="",B783=""),"",IFERROR(INDEX(CHOOSE(IF(YEAR(A783)&gt;PlanYear,13,MONTH(A783)),'Jan'!$D$27:$AH$266,'Feb'!$D$27:$AH$266,'Mar'!$D$27:$AH$266,'Apr'!$D$27:$AH$266,'May'!$D$27:$AH$266,'Jun'!$D$27:$AH$266,'Jul'!$D$27:$AH$266,'Aug'!$D$27:$AH$266,'Sep'!$D$27:$AH$266,'Oct'!$D$27:$AH$266,'Nov'!$D$27:$AH$266,'Dec'!$D$27:$AH$266,'Jan (next year)'!$D$27:$AH$266),27+4*(IFERROR(MATCH(C783,Roster!$B$6:$B$65,0),MATCH(C783,Roster!$C$6:$C$65,0))-1)+MATCH(B783,{"AM","PM","NIGHT","WD"},0)-1-27+1,DAY(A783))&amp;"",""))</f>
        <v/>
      </c>
      <c r="G783" s="123">
        <f>IF(OR(A783="",C783="",B783="",E783=""),"",IFERROR(A783&amp;"|"&amp;(27+4*(IFERROR(MATCH(C783,Roster!$B$6:$B$65,0),MATCH(C783,Roster!$C$6:$C$65,0))-1)+MATCH(B783,{"AM","PM","NIGHT","WD"},0)-1),""))</f>
        <v/>
      </c>
    </row>
    <row r="784">
      <c r="A784" s="122" t="n"/>
      <c r="B784" s="107" t="n"/>
      <c r="C784" s="105" t="n"/>
      <c r="D784" s="92">
        <f>IF(C784="","",IFERROR(INDEX(Roster!$C$6:$C$65,IFERROR(MATCH(C784,Roster!$B$6:$B$65,0),MATCH(C784,Roster!$C$6:$C$65,0))),"not on the Roster"))</f>
        <v/>
      </c>
      <c r="E784" s="106" t="n"/>
      <c r="F784" s="104">
        <f>IF(OR(A784="",C784="",B784=""),"",IFERROR(INDEX(CHOOSE(IF(YEAR(A784)&gt;PlanYear,13,MONTH(A784)),'Jan'!$D$27:$AH$266,'Feb'!$D$27:$AH$266,'Mar'!$D$27:$AH$266,'Apr'!$D$27:$AH$266,'May'!$D$27:$AH$266,'Jun'!$D$27:$AH$266,'Jul'!$D$27:$AH$266,'Aug'!$D$27:$AH$266,'Sep'!$D$27:$AH$266,'Oct'!$D$27:$AH$266,'Nov'!$D$27:$AH$266,'Dec'!$D$27:$AH$266,'Jan (next year)'!$D$27:$AH$266),27+4*(IFERROR(MATCH(C784,Roster!$B$6:$B$65,0),MATCH(C784,Roster!$C$6:$C$65,0))-1)+MATCH(B784,{"AM","PM","NIGHT","WD"},0)-1-27+1,DAY(A784))&amp;"",""))</f>
        <v/>
      </c>
      <c r="G784" s="123">
        <f>IF(OR(A784="",C784="",B784="",E784=""),"",IFERROR(A784&amp;"|"&amp;(27+4*(IFERROR(MATCH(C784,Roster!$B$6:$B$65,0),MATCH(C784,Roster!$C$6:$C$65,0))-1)+MATCH(B784,{"AM","PM","NIGHT","WD"},0)-1),""))</f>
        <v/>
      </c>
    </row>
    <row r="785">
      <c r="A785" s="122" t="n"/>
      <c r="B785" s="107" t="n"/>
      <c r="C785" s="105" t="n"/>
      <c r="D785" s="92">
        <f>IF(C785="","",IFERROR(INDEX(Roster!$C$6:$C$65,IFERROR(MATCH(C785,Roster!$B$6:$B$65,0),MATCH(C785,Roster!$C$6:$C$65,0))),"not on the Roster"))</f>
        <v/>
      </c>
      <c r="E785" s="106" t="n"/>
      <c r="F785" s="104">
        <f>IF(OR(A785="",C785="",B785=""),"",IFERROR(INDEX(CHOOSE(IF(YEAR(A785)&gt;PlanYear,13,MONTH(A785)),'Jan'!$D$27:$AH$266,'Feb'!$D$27:$AH$266,'Mar'!$D$27:$AH$266,'Apr'!$D$27:$AH$266,'May'!$D$27:$AH$266,'Jun'!$D$27:$AH$266,'Jul'!$D$27:$AH$266,'Aug'!$D$27:$AH$266,'Sep'!$D$27:$AH$266,'Oct'!$D$27:$AH$266,'Nov'!$D$27:$AH$266,'Dec'!$D$27:$AH$266,'Jan (next year)'!$D$27:$AH$266),27+4*(IFERROR(MATCH(C785,Roster!$B$6:$B$65,0),MATCH(C785,Roster!$C$6:$C$65,0))-1)+MATCH(B785,{"AM","PM","NIGHT","WD"},0)-1-27+1,DAY(A785))&amp;"",""))</f>
        <v/>
      </c>
      <c r="G785" s="123">
        <f>IF(OR(A785="",C785="",B785="",E785=""),"",IFERROR(A785&amp;"|"&amp;(27+4*(IFERROR(MATCH(C785,Roster!$B$6:$B$65,0),MATCH(C785,Roster!$C$6:$C$65,0))-1)+MATCH(B785,{"AM","PM","NIGHT","WD"},0)-1),""))</f>
        <v/>
      </c>
    </row>
    <row r="786">
      <c r="A786" s="122" t="n"/>
      <c r="B786" s="107" t="n"/>
      <c r="C786" s="105" t="n"/>
      <c r="D786" s="92">
        <f>IF(C786="","",IFERROR(INDEX(Roster!$C$6:$C$65,IFERROR(MATCH(C786,Roster!$B$6:$B$65,0),MATCH(C786,Roster!$C$6:$C$65,0))),"not on the Roster"))</f>
        <v/>
      </c>
      <c r="E786" s="106" t="n"/>
      <c r="F786" s="104">
        <f>IF(OR(A786="",C786="",B786=""),"",IFERROR(INDEX(CHOOSE(IF(YEAR(A786)&gt;PlanYear,13,MONTH(A786)),'Jan'!$D$27:$AH$266,'Feb'!$D$27:$AH$266,'Mar'!$D$27:$AH$266,'Apr'!$D$27:$AH$266,'May'!$D$27:$AH$266,'Jun'!$D$27:$AH$266,'Jul'!$D$27:$AH$266,'Aug'!$D$27:$AH$266,'Sep'!$D$27:$AH$266,'Oct'!$D$27:$AH$266,'Nov'!$D$27:$AH$266,'Dec'!$D$27:$AH$266,'Jan (next year)'!$D$27:$AH$266),27+4*(IFERROR(MATCH(C786,Roster!$B$6:$B$65,0),MATCH(C786,Roster!$C$6:$C$65,0))-1)+MATCH(B786,{"AM","PM","NIGHT","WD"},0)-1-27+1,DAY(A786))&amp;"",""))</f>
        <v/>
      </c>
      <c r="G786" s="123">
        <f>IF(OR(A786="",C786="",B786="",E786=""),"",IFERROR(A786&amp;"|"&amp;(27+4*(IFERROR(MATCH(C786,Roster!$B$6:$B$65,0),MATCH(C786,Roster!$C$6:$C$65,0))-1)+MATCH(B786,{"AM","PM","NIGHT","WD"},0)-1),""))</f>
        <v/>
      </c>
    </row>
    <row r="787">
      <c r="A787" s="122" t="n"/>
      <c r="B787" s="107" t="n"/>
      <c r="C787" s="105" t="n"/>
      <c r="D787" s="92">
        <f>IF(C787="","",IFERROR(INDEX(Roster!$C$6:$C$65,IFERROR(MATCH(C787,Roster!$B$6:$B$65,0),MATCH(C787,Roster!$C$6:$C$65,0))),"not on the Roster"))</f>
        <v/>
      </c>
      <c r="E787" s="106" t="n"/>
      <c r="F787" s="104">
        <f>IF(OR(A787="",C787="",B787=""),"",IFERROR(INDEX(CHOOSE(IF(YEAR(A787)&gt;PlanYear,13,MONTH(A787)),'Jan'!$D$27:$AH$266,'Feb'!$D$27:$AH$266,'Mar'!$D$27:$AH$266,'Apr'!$D$27:$AH$266,'May'!$D$27:$AH$266,'Jun'!$D$27:$AH$266,'Jul'!$D$27:$AH$266,'Aug'!$D$27:$AH$266,'Sep'!$D$27:$AH$266,'Oct'!$D$27:$AH$266,'Nov'!$D$27:$AH$266,'Dec'!$D$27:$AH$266,'Jan (next year)'!$D$27:$AH$266),27+4*(IFERROR(MATCH(C787,Roster!$B$6:$B$65,0),MATCH(C787,Roster!$C$6:$C$65,0))-1)+MATCH(B787,{"AM","PM","NIGHT","WD"},0)-1-27+1,DAY(A787))&amp;"",""))</f>
        <v/>
      </c>
      <c r="G787" s="123">
        <f>IF(OR(A787="",C787="",B787="",E787=""),"",IFERROR(A787&amp;"|"&amp;(27+4*(IFERROR(MATCH(C787,Roster!$B$6:$B$65,0),MATCH(C787,Roster!$C$6:$C$65,0))-1)+MATCH(B787,{"AM","PM","NIGHT","WD"},0)-1),""))</f>
        <v/>
      </c>
    </row>
    <row r="788">
      <c r="A788" s="122" t="n"/>
      <c r="B788" s="107" t="n"/>
      <c r="C788" s="105" t="n"/>
      <c r="D788" s="92">
        <f>IF(C788="","",IFERROR(INDEX(Roster!$C$6:$C$65,IFERROR(MATCH(C788,Roster!$B$6:$B$65,0),MATCH(C788,Roster!$C$6:$C$65,0))),"not on the Roster"))</f>
        <v/>
      </c>
      <c r="E788" s="106" t="n"/>
      <c r="F788" s="104">
        <f>IF(OR(A788="",C788="",B788=""),"",IFERROR(INDEX(CHOOSE(IF(YEAR(A788)&gt;PlanYear,13,MONTH(A788)),'Jan'!$D$27:$AH$266,'Feb'!$D$27:$AH$266,'Mar'!$D$27:$AH$266,'Apr'!$D$27:$AH$266,'May'!$D$27:$AH$266,'Jun'!$D$27:$AH$266,'Jul'!$D$27:$AH$266,'Aug'!$D$27:$AH$266,'Sep'!$D$27:$AH$266,'Oct'!$D$27:$AH$266,'Nov'!$D$27:$AH$266,'Dec'!$D$27:$AH$266,'Jan (next year)'!$D$27:$AH$266),27+4*(IFERROR(MATCH(C788,Roster!$B$6:$B$65,0),MATCH(C788,Roster!$C$6:$C$65,0))-1)+MATCH(B788,{"AM","PM","NIGHT","WD"},0)-1-27+1,DAY(A788))&amp;"",""))</f>
        <v/>
      </c>
      <c r="G788" s="123">
        <f>IF(OR(A788="",C788="",B788="",E788=""),"",IFERROR(A788&amp;"|"&amp;(27+4*(IFERROR(MATCH(C788,Roster!$B$6:$B$65,0),MATCH(C788,Roster!$C$6:$C$65,0))-1)+MATCH(B788,{"AM","PM","NIGHT","WD"},0)-1),""))</f>
        <v/>
      </c>
    </row>
    <row r="789">
      <c r="A789" s="122" t="n"/>
      <c r="B789" s="107" t="n"/>
      <c r="C789" s="105" t="n"/>
      <c r="D789" s="92">
        <f>IF(C789="","",IFERROR(INDEX(Roster!$C$6:$C$65,IFERROR(MATCH(C789,Roster!$B$6:$B$65,0),MATCH(C789,Roster!$C$6:$C$65,0))),"not on the Roster"))</f>
        <v/>
      </c>
      <c r="E789" s="106" t="n"/>
      <c r="F789" s="104">
        <f>IF(OR(A789="",C789="",B789=""),"",IFERROR(INDEX(CHOOSE(IF(YEAR(A789)&gt;PlanYear,13,MONTH(A789)),'Jan'!$D$27:$AH$266,'Feb'!$D$27:$AH$266,'Mar'!$D$27:$AH$266,'Apr'!$D$27:$AH$266,'May'!$D$27:$AH$266,'Jun'!$D$27:$AH$266,'Jul'!$D$27:$AH$266,'Aug'!$D$27:$AH$266,'Sep'!$D$27:$AH$266,'Oct'!$D$27:$AH$266,'Nov'!$D$27:$AH$266,'Dec'!$D$27:$AH$266,'Jan (next year)'!$D$27:$AH$266),27+4*(IFERROR(MATCH(C789,Roster!$B$6:$B$65,0),MATCH(C789,Roster!$C$6:$C$65,0))-1)+MATCH(B789,{"AM","PM","NIGHT","WD"},0)-1-27+1,DAY(A789))&amp;"",""))</f>
        <v/>
      </c>
      <c r="G789" s="123">
        <f>IF(OR(A789="",C789="",B789="",E789=""),"",IFERROR(A789&amp;"|"&amp;(27+4*(IFERROR(MATCH(C789,Roster!$B$6:$B$65,0),MATCH(C789,Roster!$C$6:$C$65,0))-1)+MATCH(B789,{"AM","PM","NIGHT","WD"},0)-1),""))</f>
        <v/>
      </c>
    </row>
    <row r="790">
      <c r="A790" s="122" t="n"/>
      <c r="B790" s="107" t="n"/>
      <c r="C790" s="105" t="n"/>
      <c r="D790" s="92">
        <f>IF(C790="","",IFERROR(INDEX(Roster!$C$6:$C$65,IFERROR(MATCH(C790,Roster!$B$6:$B$65,0),MATCH(C790,Roster!$C$6:$C$65,0))),"not on the Roster"))</f>
        <v/>
      </c>
      <c r="E790" s="106" t="n"/>
      <c r="F790" s="104">
        <f>IF(OR(A790="",C790="",B790=""),"",IFERROR(INDEX(CHOOSE(IF(YEAR(A790)&gt;PlanYear,13,MONTH(A790)),'Jan'!$D$27:$AH$266,'Feb'!$D$27:$AH$266,'Mar'!$D$27:$AH$266,'Apr'!$D$27:$AH$266,'May'!$D$27:$AH$266,'Jun'!$D$27:$AH$266,'Jul'!$D$27:$AH$266,'Aug'!$D$27:$AH$266,'Sep'!$D$27:$AH$266,'Oct'!$D$27:$AH$266,'Nov'!$D$27:$AH$266,'Dec'!$D$27:$AH$266,'Jan (next year)'!$D$27:$AH$266),27+4*(IFERROR(MATCH(C790,Roster!$B$6:$B$65,0),MATCH(C790,Roster!$C$6:$C$65,0))-1)+MATCH(B790,{"AM","PM","NIGHT","WD"},0)-1-27+1,DAY(A790))&amp;"",""))</f>
        <v/>
      </c>
      <c r="G790" s="123">
        <f>IF(OR(A790="",C790="",B790="",E790=""),"",IFERROR(A790&amp;"|"&amp;(27+4*(IFERROR(MATCH(C790,Roster!$B$6:$B$65,0),MATCH(C790,Roster!$C$6:$C$65,0))-1)+MATCH(B790,{"AM","PM","NIGHT","WD"},0)-1),""))</f>
        <v/>
      </c>
    </row>
    <row r="791">
      <c r="A791" s="122" t="n"/>
      <c r="B791" s="107" t="n"/>
      <c r="C791" s="105" t="n"/>
      <c r="D791" s="92">
        <f>IF(C791="","",IFERROR(INDEX(Roster!$C$6:$C$65,IFERROR(MATCH(C791,Roster!$B$6:$B$65,0),MATCH(C791,Roster!$C$6:$C$65,0))),"not on the Roster"))</f>
        <v/>
      </c>
      <c r="E791" s="106" t="n"/>
      <c r="F791" s="104">
        <f>IF(OR(A791="",C791="",B791=""),"",IFERROR(INDEX(CHOOSE(IF(YEAR(A791)&gt;PlanYear,13,MONTH(A791)),'Jan'!$D$27:$AH$266,'Feb'!$D$27:$AH$266,'Mar'!$D$27:$AH$266,'Apr'!$D$27:$AH$266,'May'!$D$27:$AH$266,'Jun'!$D$27:$AH$266,'Jul'!$D$27:$AH$266,'Aug'!$D$27:$AH$266,'Sep'!$D$27:$AH$266,'Oct'!$D$27:$AH$266,'Nov'!$D$27:$AH$266,'Dec'!$D$27:$AH$266,'Jan (next year)'!$D$27:$AH$266),27+4*(IFERROR(MATCH(C791,Roster!$B$6:$B$65,0),MATCH(C791,Roster!$C$6:$C$65,0))-1)+MATCH(B791,{"AM","PM","NIGHT","WD"},0)-1-27+1,DAY(A791))&amp;"",""))</f>
        <v/>
      </c>
      <c r="G791" s="123">
        <f>IF(OR(A791="",C791="",B791="",E791=""),"",IFERROR(A791&amp;"|"&amp;(27+4*(IFERROR(MATCH(C791,Roster!$B$6:$B$65,0),MATCH(C791,Roster!$C$6:$C$65,0))-1)+MATCH(B791,{"AM","PM","NIGHT","WD"},0)-1),""))</f>
        <v/>
      </c>
    </row>
    <row r="792">
      <c r="A792" s="122" t="n"/>
      <c r="B792" s="107" t="n"/>
      <c r="C792" s="105" t="n"/>
      <c r="D792" s="92">
        <f>IF(C792="","",IFERROR(INDEX(Roster!$C$6:$C$65,IFERROR(MATCH(C792,Roster!$B$6:$B$65,0),MATCH(C792,Roster!$C$6:$C$65,0))),"not on the Roster"))</f>
        <v/>
      </c>
      <c r="E792" s="106" t="n"/>
      <c r="F792" s="104">
        <f>IF(OR(A792="",C792="",B792=""),"",IFERROR(INDEX(CHOOSE(IF(YEAR(A792)&gt;PlanYear,13,MONTH(A792)),'Jan'!$D$27:$AH$266,'Feb'!$D$27:$AH$266,'Mar'!$D$27:$AH$266,'Apr'!$D$27:$AH$266,'May'!$D$27:$AH$266,'Jun'!$D$27:$AH$266,'Jul'!$D$27:$AH$266,'Aug'!$D$27:$AH$266,'Sep'!$D$27:$AH$266,'Oct'!$D$27:$AH$266,'Nov'!$D$27:$AH$266,'Dec'!$D$27:$AH$266,'Jan (next year)'!$D$27:$AH$266),27+4*(IFERROR(MATCH(C792,Roster!$B$6:$B$65,0),MATCH(C792,Roster!$C$6:$C$65,0))-1)+MATCH(B792,{"AM","PM","NIGHT","WD"},0)-1-27+1,DAY(A792))&amp;"",""))</f>
        <v/>
      </c>
      <c r="G792" s="123">
        <f>IF(OR(A792="",C792="",B792="",E792=""),"",IFERROR(A792&amp;"|"&amp;(27+4*(IFERROR(MATCH(C792,Roster!$B$6:$B$65,0),MATCH(C792,Roster!$C$6:$C$65,0))-1)+MATCH(B792,{"AM","PM","NIGHT","WD"},0)-1),""))</f>
        <v/>
      </c>
    </row>
    <row r="793">
      <c r="A793" s="122" t="n"/>
      <c r="B793" s="107" t="n"/>
      <c r="C793" s="105" t="n"/>
      <c r="D793" s="92">
        <f>IF(C793="","",IFERROR(INDEX(Roster!$C$6:$C$65,IFERROR(MATCH(C793,Roster!$B$6:$B$65,0),MATCH(C793,Roster!$C$6:$C$65,0))),"not on the Roster"))</f>
        <v/>
      </c>
      <c r="E793" s="106" t="n"/>
      <c r="F793" s="104">
        <f>IF(OR(A793="",C793="",B793=""),"",IFERROR(INDEX(CHOOSE(IF(YEAR(A793)&gt;PlanYear,13,MONTH(A793)),'Jan'!$D$27:$AH$266,'Feb'!$D$27:$AH$266,'Mar'!$D$27:$AH$266,'Apr'!$D$27:$AH$266,'May'!$D$27:$AH$266,'Jun'!$D$27:$AH$266,'Jul'!$D$27:$AH$266,'Aug'!$D$27:$AH$266,'Sep'!$D$27:$AH$266,'Oct'!$D$27:$AH$266,'Nov'!$D$27:$AH$266,'Dec'!$D$27:$AH$266,'Jan (next year)'!$D$27:$AH$266),27+4*(IFERROR(MATCH(C793,Roster!$B$6:$B$65,0),MATCH(C793,Roster!$C$6:$C$65,0))-1)+MATCH(B793,{"AM","PM","NIGHT","WD"},0)-1-27+1,DAY(A793))&amp;"",""))</f>
        <v/>
      </c>
      <c r="G793" s="123">
        <f>IF(OR(A793="",C793="",B793="",E793=""),"",IFERROR(A793&amp;"|"&amp;(27+4*(IFERROR(MATCH(C793,Roster!$B$6:$B$65,0),MATCH(C793,Roster!$C$6:$C$65,0))-1)+MATCH(B793,{"AM","PM","NIGHT","WD"},0)-1),""))</f>
        <v/>
      </c>
    </row>
    <row r="794">
      <c r="A794" s="122" t="n"/>
      <c r="B794" s="107" t="n"/>
      <c r="C794" s="105" t="n"/>
      <c r="D794" s="92">
        <f>IF(C794="","",IFERROR(INDEX(Roster!$C$6:$C$65,IFERROR(MATCH(C794,Roster!$B$6:$B$65,0),MATCH(C794,Roster!$C$6:$C$65,0))),"not on the Roster"))</f>
        <v/>
      </c>
      <c r="E794" s="106" t="n"/>
      <c r="F794" s="104">
        <f>IF(OR(A794="",C794="",B794=""),"",IFERROR(INDEX(CHOOSE(IF(YEAR(A794)&gt;PlanYear,13,MONTH(A794)),'Jan'!$D$27:$AH$266,'Feb'!$D$27:$AH$266,'Mar'!$D$27:$AH$266,'Apr'!$D$27:$AH$266,'May'!$D$27:$AH$266,'Jun'!$D$27:$AH$266,'Jul'!$D$27:$AH$266,'Aug'!$D$27:$AH$266,'Sep'!$D$27:$AH$266,'Oct'!$D$27:$AH$266,'Nov'!$D$27:$AH$266,'Dec'!$D$27:$AH$266,'Jan (next year)'!$D$27:$AH$266),27+4*(IFERROR(MATCH(C794,Roster!$B$6:$B$65,0),MATCH(C794,Roster!$C$6:$C$65,0))-1)+MATCH(B794,{"AM","PM","NIGHT","WD"},0)-1-27+1,DAY(A794))&amp;"",""))</f>
        <v/>
      </c>
      <c r="G794" s="123">
        <f>IF(OR(A794="",C794="",B794="",E794=""),"",IFERROR(A794&amp;"|"&amp;(27+4*(IFERROR(MATCH(C794,Roster!$B$6:$B$65,0),MATCH(C794,Roster!$C$6:$C$65,0))-1)+MATCH(B794,{"AM","PM","NIGHT","WD"},0)-1),""))</f>
        <v/>
      </c>
    </row>
    <row r="795">
      <c r="A795" s="122" t="n"/>
      <c r="B795" s="107" t="n"/>
      <c r="C795" s="105" t="n"/>
      <c r="D795" s="92">
        <f>IF(C795="","",IFERROR(INDEX(Roster!$C$6:$C$65,IFERROR(MATCH(C795,Roster!$B$6:$B$65,0),MATCH(C795,Roster!$C$6:$C$65,0))),"not on the Roster"))</f>
        <v/>
      </c>
      <c r="E795" s="106" t="n"/>
      <c r="F795" s="104">
        <f>IF(OR(A795="",C795="",B795=""),"",IFERROR(INDEX(CHOOSE(IF(YEAR(A795)&gt;PlanYear,13,MONTH(A795)),'Jan'!$D$27:$AH$266,'Feb'!$D$27:$AH$266,'Mar'!$D$27:$AH$266,'Apr'!$D$27:$AH$266,'May'!$D$27:$AH$266,'Jun'!$D$27:$AH$266,'Jul'!$D$27:$AH$266,'Aug'!$D$27:$AH$266,'Sep'!$D$27:$AH$266,'Oct'!$D$27:$AH$266,'Nov'!$D$27:$AH$266,'Dec'!$D$27:$AH$266,'Jan (next year)'!$D$27:$AH$266),27+4*(IFERROR(MATCH(C795,Roster!$B$6:$B$65,0),MATCH(C795,Roster!$C$6:$C$65,0))-1)+MATCH(B795,{"AM","PM","NIGHT","WD"},0)-1-27+1,DAY(A795))&amp;"",""))</f>
        <v/>
      </c>
      <c r="G795" s="123">
        <f>IF(OR(A795="",C795="",B795="",E795=""),"",IFERROR(A795&amp;"|"&amp;(27+4*(IFERROR(MATCH(C795,Roster!$B$6:$B$65,0),MATCH(C795,Roster!$C$6:$C$65,0))-1)+MATCH(B795,{"AM","PM","NIGHT","WD"},0)-1),""))</f>
        <v/>
      </c>
    </row>
    <row r="796">
      <c r="A796" s="122" t="n"/>
      <c r="B796" s="107" t="n"/>
      <c r="C796" s="105" t="n"/>
      <c r="D796" s="92">
        <f>IF(C796="","",IFERROR(INDEX(Roster!$C$6:$C$65,IFERROR(MATCH(C796,Roster!$B$6:$B$65,0),MATCH(C796,Roster!$C$6:$C$65,0))),"not on the Roster"))</f>
        <v/>
      </c>
      <c r="E796" s="106" t="n"/>
      <c r="F796" s="104">
        <f>IF(OR(A796="",C796="",B796=""),"",IFERROR(INDEX(CHOOSE(IF(YEAR(A796)&gt;PlanYear,13,MONTH(A796)),'Jan'!$D$27:$AH$266,'Feb'!$D$27:$AH$266,'Mar'!$D$27:$AH$266,'Apr'!$D$27:$AH$266,'May'!$D$27:$AH$266,'Jun'!$D$27:$AH$266,'Jul'!$D$27:$AH$266,'Aug'!$D$27:$AH$266,'Sep'!$D$27:$AH$266,'Oct'!$D$27:$AH$266,'Nov'!$D$27:$AH$266,'Dec'!$D$27:$AH$266,'Jan (next year)'!$D$27:$AH$266),27+4*(IFERROR(MATCH(C796,Roster!$B$6:$B$65,0),MATCH(C796,Roster!$C$6:$C$65,0))-1)+MATCH(B796,{"AM","PM","NIGHT","WD"},0)-1-27+1,DAY(A796))&amp;"",""))</f>
        <v/>
      </c>
      <c r="G796" s="123">
        <f>IF(OR(A796="",C796="",B796="",E796=""),"",IFERROR(A796&amp;"|"&amp;(27+4*(IFERROR(MATCH(C796,Roster!$B$6:$B$65,0),MATCH(C796,Roster!$C$6:$C$65,0))-1)+MATCH(B796,{"AM","PM","NIGHT","WD"},0)-1),""))</f>
        <v/>
      </c>
    </row>
    <row r="797">
      <c r="A797" s="122" t="n"/>
      <c r="B797" s="107" t="n"/>
      <c r="C797" s="105" t="n"/>
      <c r="D797" s="92">
        <f>IF(C797="","",IFERROR(INDEX(Roster!$C$6:$C$65,IFERROR(MATCH(C797,Roster!$B$6:$B$65,0),MATCH(C797,Roster!$C$6:$C$65,0))),"not on the Roster"))</f>
        <v/>
      </c>
      <c r="E797" s="106" t="n"/>
      <c r="F797" s="104">
        <f>IF(OR(A797="",C797="",B797=""),"",IFERROR(INDEX(CHOOSE(IF(YEAR(A797)&gt;PlanYear,13,MONTH(A797)),'Jan'!$D$27:$AH$266,'Feb'!$D$27:$AH$266,'Mar'!$D$27:$AH$266,'Apr'!$D$27:$AH$266,'May'!$D$27:$AH$266,'Jun'!$D$27:$AH$266,'Jul'!$D$27:$AH$266,'Aug'!$D$27:$AH$266,'Sep'!$D$27:$AH$266,'Oct'!$D$27:$AH$266,'Nov'!$D$27:$AH$266,'Dec'!$D$27:$AH$266,'Jan (next year)'!$D$27:$AH$266),27+4*(IFERROR(MATCH(C797,Roster!$B$6:$B$65,0),MATCH(C797,Roster!$C$6:$C$65,0))-1)+MATCH(B797,{"AM","PM","NIGHT","WD"},0)-1-27+1,DAY(A797))&amp;"",""))</f>
        <v/>
      </c>
      <c r="G797" s="123">
        <f>IF(OR(A797="",C797="",B797="",E797=""),"",IFERROR(A797&amp;"|"&amp;(27+4*(IFERROR(MATCH(C797,Roster!$B$6:$B$65,0),MATCH(C797,Roster!$C$6:$C$65,0))-1)+MATCH(B797,{"AM","PM","NIGHT","WD"},0)-1),""))</f>
        <v/>
      </c>
    </row>
    <row r="798">
      <c r="A798" s="122" t="n"/>
      <c r="B798" s="107" t="n"/>
      <c r="C798" s="105" t="n"/>
      <c r="D798" s="92">
        <f>IF(C798="","",IFERROR(INDEX(Roster!$C$6:$C$65,IFERROR(MATCH(C798,Roster!$B$6:$B$65,0),MATCH(C798,Roster!$C$6:$C$65,0))),"not on the Roster"))</f>
        <v/>
      </c>
      <c r="E798" s="106" t="n"/>
      <c r="F798" s="104">
        <f>IF(OR(A798="",C798="",B798=""),"",IFERROR(INDEX(CHOOSE(IF(YEAR(A798)&gt;PlanYear,13,MONTH(A798)),'Jan'!$D$27:$AH$266,'Feb'!$D$27:$AH$266,'Mar'!$D$27:$AH$266,'Apr'!$D$27:$AH$266,'May'!$D$27:$AH$266,'Jun'!$D$27:$AH$266,'Jul'!$D$27:$AH$266,'Aug'!$D$27:$AH$266,'Sep'!$D$27:$AH$266,'Oct'!$D$27:$AH$266,'Nov'!$D$27:$AH$266,'Dec'!$D$27:$AH$266,'Jan (next year)'!$D$27:$AH$266),27+4*(IFERROR(MATCH(C798,Roster!$B$6:$B$65,0),MATCH(C798,Roster!$C$6:$C$65,0))-1)+MATCH(B798,{"AM","PM","NIGHT","WD"},0)-1-27+1,DAY(A798))&amp;"",""))</f>
        <v/>
      </c>
      <c r="G798" s="123">
        <f>IF(OR(A798="",C798="",B798="",E798=""),"",IFERROR(A798&amp;"|"&amp;(27+4*(IFERROR(MATCH(C798,Roster!$B$6:$B$65,0),MATCH(C798,Roster!$C$6:$C$65,0))-1)+MATCH(B798,{"AM","PM","NIGHT","WD"},0)-1),""))</f>
        <v/>
      </c>
    </row>
    <row r="799">
      <c r="A799" s="122" t="n"/>
      <c r="B799" s="107" t="n"/>
      <c r="C799" s="105" t="n"/>
      <c r="D799" s="92">
        <f>IF(C799="","",IFERROR(INDEX(Roster!$C$6:$C$65,IFERROR(MATCH(C799,Roster!$B$6:$B$65,0),MATCH(C799,Roster!$C$6:$C$65,0))),"not on the Roster"))</f>
        <v/>
      </c>
      <c r="E799" s="106" t="n"/>
      <c r="F799" s="104">
        <f>IF(OR(A799="",C799="",B799=""),"",IFERROR(INDEX(CHOOSE(IF(YEAR(A799)&gt;PlanYear,13,MONTH(A799)),'Jan'!$D$27:$AH$266,'Feb'!$D$27:$AH$266,'Mar'!$D$27:$AH$266,'Apr'!$D$27:$AH$266,'May'!$D$27:$AH$266,'Jun'!$D$27:$AH$266,'Jul'!$D$27:$AH$266,'Aug'!$D$27:$AH$266,'Sep'!$D$27:$AH$266,'Oct'!$D$27:$AH$266,'Nov'!$D$27:$AH$266,'Dec'!$D$27:$AH$266,'Jan (next year)'!$D$27:$AH$266),27+4*(IFERROR(MATCH(C799,Roster!$B$6:$B$65,0),MATCH(C799,Roster!$C$6:$C$65,0))-1)+MATCH(B799,{"AM","PM","NIGHT","WD"},0)-1-27+1,DAY(A799))&amp;"",""))</f>
        <v/>
      </c>
      <c r="G799" s="123">
        <f>IF(OR(A799="",C799="",B799="",E799=""),"",IFERROR(A799&amp;"|"&amp;(27+4*(IFERROR(MATCH(C799,Roster!$B$6:$B$65,0),MATCH(C799,Roster!$C$6:$C$65,0))-1)+MATCH(B799,{"AM","PM","NIGHT","WD"},0)-1),""))</f>
        <v/>
      </c>
    </row>
    <row r="800">
      <c r="A800" s="122" t="n"/>
      <c r="B800" s="107" t="n"/>
      <c r="C800" s="105" t="n"/>
      <c r="D800" s="92">
        <f>IF(C800="","",IFERROR(INDEX(Roster!$C$6:$C$65,IFERROR(MATCH(C800,Roster!$B$6:$B$65,0),MATCH(C800,Roster!$C$6:$C$65,0))),"not on the Roster"))</f>
        <v/>
      </c>
      <c r="E800" s="106" t="n"/>
      <c r="F800" s="104">
        <f>IF(OR(A800="",C800="",B800=""),"",IFERROR(INDEX(CHOOSE(IF(YEAR(A800)&gt;PlanYear,13,MONTH(A800)),'Jan'!$D$27:$AH$266,'Feb'!$D$27:$AH$266,'Mar'!$D$27:$AH$266,'Apr'!$D$27:$AH$266,'May'!$D$27:$AH$266,'Jun'!$D$27:$AH$266,'Jul'!$D$27:$AH$266,'Aug'!$D$27:$AH$266,'Sep'!$D$27:$AH$266,'Oct'!$D$27:$AH$266,'Nov'!$D$27:$AH$266,'Dec'!$D$27:$AH$266,'Jan (next year)'!$D$27:$AH$266),27+4*(IFERROR(MATCH(C800,Roster!$B$6:$B$65,0),MATCH(C800,Roster!$C$6:$C$65,0))-1)+MATCH(B800,{"AM","PM","NIGHT","WD"},0)-1-27+1,DAY(A800))&amp;"",""))</f>
        <v/>
      </c>
      <c r="G800" s="123">
        <f>IF(OR(A800="",C800="",B800="",E800=""),"",IFERROR(A800&amp;"|"&amp;(27+4*(IFERROR(MATCH(C800,Roster!$B$6:$B$65,0),MATCH(C800,Roster!$C$6:$C$65,0))-1)+MATCH(B800,{"AM","PM","NIGHT","WD"},0)-1),""))</f>
        <v/>
      </c>
    </row>
    <row r="801">
      <c r="A801" s="122" t="n"/>
      <c r="B801" s="107" t="n"/>
      <c r="C801" s="105" t="n"/>
      <c r="D801" s="92">
        <f>IF(C801="","",IFERROR(INDEX(Roster!$C$6:$C$65,IFERROR(MATCH(C801,Roster!$B$6:$B$65,0),MATCH(C801,Roster!$C$6:$C$65,0))),"not on the Roster"))</f>
        <v/>
      </c>
      <c r="E801" s="106" t="n"/>
      <c r="F801" s="104">
        <f>IF(OR(A801="",C801="",B801=""),"",IFERROR(INDEX(CHOOSE(IF(YEAR(A801)&gt;PlanYear,13,MONTH(A801)),'Jan'!$D$27:$AH$266,'Feb'!$D$27:$AH$266,'Mar'!$D$27:$AH$266,'Apr'!$D$27:$AH$266,'May'!$D$27:$AH$266,'Jun'!$D$27:$AH$266,'Jul'!$D$27:$AH$266,'Aug'!$D$27:$AH$266,'Sep'!$D$27:$AH$266,'Oct'!$D$27:$AH$266,'Nov'!$D$27:$AH$266,'Dec'!$D$27:$AH$266,'Jan (next year)'!$D$27:$AH$266),27+4*(IFERROR(MATCH(C801,Roster!$B$6:$B$65,0),MATCH(C801,Roster!$C$6:$C$65,0))-1)+MATCH(B801,{"AM","PM","NIGHT","WD"},0)-1-27+1,DAY(A801))&amp;"",""))</f>
        <v/>
      </c>
      <c r="G801" s="123">
        <f>IF(OR(A801="",C801="",B801="",E801=""),"",IFERROR(A801&amp;"|"&amp;(27+4*(IFERROR(MATCH(C801,Roster!$B$6:$B$65,0),MATCH(C801,Roster!$C$6:$C$65,0))-1)+MATCH(B801,{"AM","PM","NIGHT","WD"},0)-1),""))</f>
        <v/>
      </c>
    </row>
    <row r="802">
      <c r="A802" s="122" t="n"/>
      <c r="B802" s="107" t="n"/>
      <c r="C802" s="105" t="n"/>
      <c r="D802" s="92">
        <f>IF(C802="","",IFERROR(INDEX(Roster!$C$6:$C$65,IFERROR(MATCH(C802,Roster!$B$6:$B$65,0),MATCH(C802,Roster!$C$6:$C$65,0))),"not on the Roster"))</f>
        <v/>
      </c>
      <c r="E802" s="106" t="n"/>
      <c r="F802" s="104">
        <f>IF(OR(A802="",C802="",B802=""),"",IFERROR(INDEX(CHOOSE(IF(YEAR(A802)&gt;PlanYear,13,MONTH(A802)),'Jan'!$D$27:$AH$266,'Feb'!$D$27:$AH$266,'Mar'!$D$27:$AH$266,'Apr'!$D$27:$AH$266,'May'!$D$27:$AH$266,'Jun'!$D$27:$AH$266,'Jul'!$D$27:$AH$266,'Aug'!$D$27:$AH$266,'Sep'!$D$27:$AH$266,'Oct'!$D$27:$AH$266,'Nov'!$D$27:$AH$266,'Dec'!$D$27:$AH$266,'Jan (next year)'!$D$27:$AH$266),27+4*(IFERROR(MATCH(C802,Roster!$B$6:$B$65,0),MATCH(C802,Roster!$C$6:$C$65,0))-1)+MATCH(B802,{"AM","PM","NIGHT","WD"},0)-1-27+1,DAY(A802))&amp;"",""))</f>
        <v/>
      </c>
      <c r="G802" s="123">
        <f>IF(OR(A802="",C802="",B802="",E802=""),"",IFERROR(A802&amp;"|"&amp;(27+4*(IFERROR(MATCH(C802,Roster!$B$6:$B$65,0),MATCH(C802,Roster!$C$6:$C$65,0))-1)+MATCH(B802,{"AM","PM","NIGHT","WD"},0)-1),""))</f>
        <v/>
      </c>
    </row>
    <row r="803">
      <c r="A803" s="122" t="n"/>
      <c r="B803" s="107" t="n"/>
      <c r="C803" s="105" t="n"/>
      <c r="D803" s="92">
        <f>IF(C803="","",IFERROR(INDEX(Roster!$C$6:$C$65,IFERROR(MATCH(C803,Roster!$B$6:$B$65,0),MATCH(C803,Roster!$C$6:$C$65,0))),"not on the Roster"))</f>
        <v/>
      </c>
      <c r="E803" s="106" t="n"/>
      <c r="F803" s="104">
        <f>IF(OR(A803="",C803="",B803=""),"",IFERROR(INDEX(CHOOSE(IF(YEAR(A803)&gt;PlanYear,13,MONTH(A803)),'Jan'!$D$27:$AH$266,'Feb'!$D$27:$AH$266,'Mar'!$D$27:$AH$266,'Apr'!$D$27:$AH$266,'May'!$D$27:$AH$266,'Jun'!$D$27:$AH$266,'Jul'!$D$27:$AH$266,'Aug'!$D$27:$AH$266,'Sep'!$D$27:$AH$266,'Oct'!$D$27:$AH$266,'Nov'!$D$27:$AH$266,'Dec'!$D$27:$AH$266,'Jan (next year)'!$D$27:$AH$266),27+4*(IFERROR(MATCH(C803,Roster!$B$6:$B$65,0),MATCH(C803,Roster!$C$6:$C$65,0))-1)+MATCH(B803,{"AM","PM","NIGHT","WD"},0)-1-27+1,DAY(A803))&amp;"",""))</f>
        <v/>
      </c>
      <c r="G803" s="123">
        <f>IF(OR(A803="",C803="",B803="",E803=""),"",IFERROR(A803&amp;"|"&amp;(27+4*(IFERROR(MATCH(C803,Roster!$B$6:$B$65,0),MATCH(C803,Roster!$C$6:$C$65,0))-1)+MATCH(B803,{"AM","PM","NIGHT","WD"},0)-1),""))</f>
        <v/>
      </c>
    </row>
    <row r="804">
      <c r="A804" s="122" t="n"/>
      <c r="B804" s="107" t="n"/>
      <c r="C804" s="105" t="n"/>
      <c r="D804" s="92">
        <f>IF(C804="","",IFERROR(INDEX(Roster!$C$6:$C$65,IFERROR(MATCH(C804,Roster!$B$6:$B$65,0),MATCH(C804,Roster!$C$6:$C$65,0))),"not on the Roster"))</f>
        <v/>
      </c>
      <c r="E804" s="106" t="n"/>
      <c r="F804" s="104">
        <f>IF(OR(A804="",C804="",B804=""),"",IFERROR(INDEX(CHOOSE(IF(YEAR(A804)&gt;PlanYear,13,MONTH(A804)),'Jan'!$D$27:$AH$266,'Feb'!$D$27:$AH$266,'Mar'!$D$27:$AH$266,'Apr'!$D$27:$AH$266,'May'!$D$27:$AH$266,'Jun'!$D$27:$AH$266,'Jul'!$D$27:$AH$266,'Aug'!$D$27:$AH$266,'Sep'!$D$27:$AH$266,'Oct'!$D$27:$AH$266,'Nov'!$D$27:$AH$266,'Dec'!$D$27:$AH$266,'Jan (next year)'!$D$27:$AH$266),27+4*(IFERROR(MATCH(C804,Roster!$B$6:$B$65,0),MATCH(C804,Roster!$C$6:$C$65,0))-1)+MATCH(B804,{"AM","PM","NIGHT","WD"},0)-1-27+1,DAY(A804))&amp;"",""))</f>
        <v/>
      </c>
      <c r="G804" s="123">
        <f>IF(OR(A804="",C804="",B804="",E804=""),"",IFERROR(A804&amp;"|"&amp;(27+4*(IFERROR(MATCH(C804,Roster!$B$6:$B$65,0),MATCH(C804,Roster!$C$6:$C$65,0))-1)+MATCH(B804,{"AM","PM","NIGHT","WD"},0)-1),""))</f>
        <v/>
      </c>
    </row>
    <row r="805">
      <c r="A805" s="122" t="n"/>
      <c r="B805" s="107" t="n"/>
      <c r="C805" s="105" t="n"/>
      <c r="D805" s="92">
        <f>IF(C805="","",IFERROR(INDEX(Roster!$C$6:$C$65,IFERROR(MATCH(C805,Roster!$B$6:$B$65,0),MATCH(C805,Roster!$C$6:$C$65,0))),"not on the Roster"))</f>
        <v/>
      </c>
      <c r="E805" s="106" t="n"/>
      <c r="F805" s="104">
        <f>IF(OR(A805="",C805="",B805=""),"",IFERROR(INDEX(CHOOSE(IF(YEAR(A805)&gt;PlanYear,13,MONTH(A805)),'Jan'!$D$27:$AH$266,'Feb'!$D$27:$AH$266,'Mar'!$D$27:$AH$266,'Apr'!$D$27:$AH$266,'May'!$D$27:$AH$266,'Jun'!$D$27:$AH$266,'Jul'!$D$27:$AH$266,'Aug'!$D$27:$AH$266,'Sep'!$D$27:$AH$266,'Oct'!$D$27:$AH$266,'Nov'!$D$27:$AH$266,'Dec'!$D$27:$AH$266,'Jan (next year)'!$D$27:$AH$266),27+4*(IFERROR(MATCH(C805,Roster!$B$6:$B$65,0),MATCH(C805,Roster!$C$6:$C$65,0))-1)+MATCH(B805,{"AM","PM","NIGHT","WD"},0)-1-27+1,DAY(A805))&amp;"",""))</f>
        <v/>
      </c>
      <c r="G805" s="123">
        <f>IF(OR(A805="",C805="",B805="",E805=""),"",IFERROR(A805&amp;"|"&amp;(27+4*(IFERROR(MATCH(C805,Roster!$B$6:$B$65,0),MATCH(C805,Roster!$C$6:$C$65,0))-1)+MATCH(B805,{"AM","PM","NIGHT","WD"},0)-1),""))</f>
        <v/>
      </c>
    </row>
    <row r="806">
      <c r="A806" s="122" t="n"/>
      <c r="B806" s="107" t="n"/>
      <c r="C806" s="105" t="n"/>
      <c r="D806" s="92">
        <f>IF(C806="","",IFERROR(INDEX(Roster!$C$6:$C$65,IFERROR(MATCH(C806,Roster!$B$6:$B$65,0),MATCH(C806,Roster!$C$6:$C$65,0))),"not on the Roster"))</f>
        <v/>
      </c>
      <c r="E806" s="106" t="n"/>
      <c r="F806" s="104">
        <f>IF(OR(A806="",C806="",B806=""),"",IFERROR(INDEX(CHOOSE(IF(YEAR(A806)&gt;PlanYear,13,MONTH(A806)),'Jan'!$D$27:$AH$266,'Feb'!$D$27:$AH$266,'Mar'!$D$27:$AH$266,'Apr'!$D$27:$AH$266,'May'!$D$27:$AH$266,'Jun'!$D$27:$AH$266,'Jul'!$D$27:$AH$266,'Aug'!$D$27:$AH$266,'Sep'!$D$27:$AH$266,'Oct'!$D$27:$AH$266,'Nov'!$D$27:$AH$266,'Dec'!$D$27:$AH$266,'Jan (next year)'!$D$27:$AH$266),27+4*(IFERROR(MATCH(C806,Roster!$B$6:$B$65,0),MATCH(C806,Roster!$C$6:$C$65,0))-1)+MATCH(B806,{"AM","PM","NIGHT","WD"},0)-1-27+1,DAY(A806))&amp;"",""))</f>
        <v/>
      </c>
      <c r="G806" s="123">
        <f>IF(OR(A806="",C806="",B806="",E806=""),"",IFERROR(A806&amp;"|"&amp;(27+4*(IFERROR(MATCH(C806,Roster!$B$6:$B$65,0),MATCH(C806,Roster!$C$6:$C$65,0))-1)+MATCH(B806,{"AM","PM","NIGHT","WD"},0)-1),""))</f>
        <v/>
      </c>
    </row>
    <row r="807">
      <c r="A807" s="122" t="n"/>
      <c r="B807" s="107" t="n"/>
      <c r="C807" s="105" t="n"/>
      <c r="D807" s="92">
        <f>IF(C807="","",IFERROR(INDEX(Roster!$C$6:$C$65,IFERROR(MATCH(C807,Roster!$B$6:$B$65,0),MATCH(C807,Roster!$C$6:$C$65,0))),"not on the Roster"))</f>
        <v/>
      </c>
      <c r="E807" s="106" t="n"/>
      <c r="F807" s="104">
        <f>IF(OR(A807="",C807="",B807=""),"",IFERROR(INDEX(CHOOSE(IF(YEAR(A807)&gt;PlanYear,13,MONTH(A807)),'Jan'!$D$27:$AH$266,'Feb'!$D$27:$AH$266,'Mar'!$D$27:$AH$266,'Apr'!$D$27:$AH$266,'May'!$D$27:$AH$266,'Jun'!$D$27:$AH$266,'Jul'!$D$27:$AH$266,'Aug'!$D$27:$AH$266,'Sep'!$D$27:$AH$266,'Oct'!$D$27:$AH$266,'Nov'!$D$27:$AH$266,'Dec'!$D$27:$AH$266,'Jan (next year)'!$D$27:$AH$266),27+4*(IFERROR(MATCH(C807,Roster!$B$6:$B$65,0),MATCH(C807,Roster!$C$6:$C$65,0))-1)+MATCH(B807,{"AM","PM","NIGHT","WD"},0)-1-27+1,DAY(A807))&amp;"",""))</f>
        <v/>
      </c>
      <c r="G807" s="123">
        <f>IF(OR(A807="",C807="",B807="",E807=""),"",IFERROR(A807&amp;"|"&amp;(27+4*(IFERROR(MATCH(C807,Roster!$B$6:$B$65,0),MATCH(C807,Roster!$C$6:$C$65,0))-1)+MATCH(B807,{"AM","PM","NIGHT","WD"},0)-1),""))</f>
        <v/>
      </c>
    </row>
    <row r="808">
      <c r="A808" s="122" t="n"/>
      <c r="B808" s="107" t="n"/>
      <c r="C808" s="105" t="n"/>
      <c r="D808" s="92">
        <f>IF(C808="","",IFERROR(INDEX(Roster!$C$6:$C$65,IFERROR(MATCH(C808,Roster!$B$6:$B$65,0),MATCH(C808,Roster!$C$6:$C$65,0))),"not on the Roster"))</f>
        <v/>
      </c>
      <c r="E808" s="106" t="n"/>
      <c r="F808" s="104">
        <f>IF(OR(A808="",C808="",B808=""),"",IFERROR(INDEX(CHOOSE(IF(YEAR(A808)&gt;PlanYear,13,MONTH(A808)),'Jan'!$D$27:$AH$266,'Feb'!$D$27:$AH$266,'Mar'!$D$27:$AH$266,'Apr'!$D$27:$AH$266,'May'!$D$27:$AH$266,'Jun'!$D$27:$AH$266,'Jul'!$D$27:$AH$266,'Aug'!$D$27:$AH$266,'Sep'!$D$27:$AH$266,'Oct'!$D$27:$AH$266,'Nov'!$D$27:$AH$266,'Dec'!$D$27:$AH$266,'Jan (next year)'!$D$27:$AH$266),27+4*(IFERROR(MATCH(C808,Roster!$B$6:$B$65,0),MATCH(C808,Roster!$C$6:$C$65,0))-1)+MATCH(B808,{"AM","PM","NIGHT","WD"},0)-1-27+1,DAY(A808))&amp;"",""))</f>
        <v/>
      </c>
      <c r="G808" s="123">
        <f>IF(OR(A808="",C808="",B808="",E808=""),"",IFERROR(A808&amp;"|"&amp;(27+4*(IFERROR(MATCH(C808,Roster!$B$6:$B$65,0),MATCH(C808,Roster!$C$6:$C$65,0))-1)+MATCH(B808,{"AM","PM","NIGHT","WD"},0)-1),""))</f>
        <v/>
      </c>
    </row>
    <row r="809">
      <c r="A809" s="122" t="n"/>
      <c r="B809" s="107" t="n"/>
      <c r="C809" s="105" t="n"/>
      <c r="D809" s="92">
        <f>IF(C809="","",IFERROR(INDEX(Roster!$C$6:$C$65,IFERROR(MATCH(C809,Roster!$B$6:$B$65,0),MATCH(C809,Roster!$C$6:$C$65,0))),"not on the Roster"))</f>
        <v/>
      </c>
      <c r="E809" s="106" t="n"/>
      <c r="F809" s="104">
        <f>IF(OR(A809="",C809="",B809=""),"",IFERROR(INDEX(CHOOSE(IF(YEAR(A809)&gt;PlanYear,13,MONTH(A809)),'Jan'!$D$27:$AH$266,'Feb'!$D$27:$AH$266,'Mar'!$D$27:$AH$266,'Apr'!$D$27:$AH$266,'May'!$D$27:$AH$266,'Jun'!$D$27:$AH$266,'Jul'!$D$27:$AH$266,'Aug'!$D$27:$AH$266,'Sep'!$D$27:$AH$266,'Oct'!$D$27:$AH$266,'Nov'!$D$27:$AH$266,'Dec'!$D$27:$AH$266,'Jan (next year)'!$D$27:$AH$266),27+4*(IFERROR(MATCH(C809,Roster!$B$6:$B$65,0),MATCH(C809,Roster!$C$6:$C$65,0))-1)+MATCH(B809,{"AM","PM","NIGHT","WD"},0)-1-27+1,DAY(A809))&amp;"",""))</f>
        <v/>
      </c>
      <c r="G809" s="123">
        <f>IF(OR(A809="",C809="",B809="",E809=""),"",IFERROR(A809&amp;"|"&amp;(27+4*(IFERROR(MATCH(C809,Roster!$B$6:$B$65,0),MATCH(C809,Roster!$C$6:$C$65,0))-1)+MATCH(B809,{"AM","PM","NIGHT","WD"},0)-1),""))</f>
        <v/>
      </c>
    </row>
    <row r="810">
      <c r="A810" s="122" t="n"/>
      <c r="B810" s="107" t="n"/>
      <c r="C810" s="105" t="n"/>
      <c r="D810" s="92">
        <f>IF(C810="","",IFERROR(INDEX(Roster!$C$6:$C$65,IFERROR(MATCH(C810,Roster!$B$6:$B$65,0),MATCH(C810,Roster!$C$6:$C$65,0))),"not on the Roster"))</f>
        <v/>
      </c>
      <c r="E810" s="106" t="n"/>
      <c r="F810" s="104">
        <f>IF(OR(A810="",C810="",B810=""),"",IFERROR(INDEX(CHOOSE(IF(YEAR(A810)&gt;PlanYear,13,MONTH(A810)),'Jan'!$D$27:$AH$266,'Feb'!$D$27:$AH$266,'Mar'!$D$27:$AH$266,'Apr'!$D$27:$AH$266,'May'!$D$27:$AH$266,'Jun'!$D$27:$AH$266,'Jul'!$D$27:$AH$266,'Aug'!$D$27:$AH$266,'Sep'!$D$27:$AH$266,'Oct'!$D$27:$AH$266,'Nov'!$D$27:$AH$266,'Dec'!$D$27:$AH$266,'Jan (next year)'!$D$27:$AH$266),27+4*(IFERROR(MATCH(C810,Roster!$B$6:$B$65,0),MATCH(C810,Roster!$C$6:$C$65,0))-1)+MATCH(B810,{"AM","PM","NIGHT","WD"},0)-1-27+1,DAY(A810))&amp;"",""))</f>
        <v/>
      </c>
      <c r="G810" s="123">
        <f>IF(OR(A810="",C810="",B810="",E810=""),"",IFERROR(A810&amp;"|"&amp;(27+4*(IFERROR(MATCH(C810,Roster!$B$6:$B$65,0),MATCH(C810,Roster!$C$6:$C$65,0))-1)+MATCH(B810,{"AM","PM","NIGHT","WD"},0)-1),""))</f>
        <v/>
      </c>
    </row>
    <row r="811">
      <c r="A811" s="122" t="n"/>
      <c r="B811" s="107" t="n"/>
      <c r="C811" s="105" t="n"/>
      <c r="D811" s="92">
        <f>IF(C811="","",IFERROR(INDEX(Roster!$C$6:$C$65,IFERROR(MATCH(C811,Roster!$B$6:$B$65,0),MATCH(C811,Roster!$C$6:$C$65,0))),"not on the Roster"))</f>
        <v/>
      </c>
      <c r="E811" s="106" t="n"/>
      <c r="F811" s="104">
        <f>IF(OR(A811="",C811="",B811=""),"",IFERROR(INDEX(CHOOSE(IF(YEAR(A811)&gt;PlanYear,13,MONTH(A811)),'Jan'!$D$27:$AH$266,'Feb'!$D$27:$AH$266,'Mar'!$D$27:$AH$266,'Apr'!$D$27:$AH$266,'May'!$D$27:$AH$266,'Jun'!$D$27:$AH$266,'Jul'!$D$27:$AH$266,'Aug'!$D$27:$AH$266,'Sep'!$D$27:$AH$266,'Oct'!$D$27:$AH$266,'Nov'!$D$27:$AH$266,'Dec'!$D$27:$AH$266,'Jan (next year)'!$D$27:$AH$266),27+4*(IFERROR(MATCH(C811,Roster!$B$6:$B$65,0),MATCH(C811,Roster!$C$6:$C$65,0))-1)+MATCH(B811,{"AM","PM","NIGHT","WD"},0)-1-27+1,DAY(A811))&amp;"",""))</f>
        <v/>
      </c>
      <c r="G811" s="123">
        <f>IF(OR(A811="",C811="",B811="",E811=""),"",IFERROR(A811&amp;"|"&amp;(27+4*(IFERROR(MATCH(C811,Roster!$B$6:$B$65,0),MATCH(C811,Roster!$C$6:$C$65,0))-1)+MATCH(B811,{"AM","PM","NIGHT","WD"},0)-1),""))</f>
        <v/>
      </c>
    </row>
    <row r="812">
      <c r="A812" s="122" t="n"/>
      <c r="B812" s="107" t="n"/>
      <c r="C812" s="105" t="n"/>
      <c r="D812" s="92">
        <f>IF(C812="","",IFERROR(INDEX(Roster!$C$6:$C$65,IFERROR(MATCH(C812,Roster!$B$6:$B$65,0),MATCH(C812,Roster!$C$6:$C$65,0))),"not on the Roster"))</f>
        <v/>
      </c>
      <c r="E812" s="106" t="n"/>
      <c r="F812" s="104">
        <f>IF(OR(A812="",C812="",B812=""),"",IFERROR(INDEX(CHOOSE(IF(YEAR(A812)&gt;PlanYear,13,MONTH(A812)),'Jan'!$D$27:$AH$266,'Feb'!$D$27:$AH$266,'Mar'!$D$27:$AH$266,'Apr'!$D$27:$AH$266,'May'!$D$27:$AH$266,'Jun'!$D$27:$AH$266,'Jul'!$D$27:$AH$266,'Aug'!$D$27:$AH$266,'Sep'!$D$27:$AH$266,'Oct'!$D$27:$AH$266,'Nov'!$D$27:$AH$266,'Dec'!$D$27:$AH$266,'Jan (next year)'!$D$27:$AH$266),27+4*(IFERROR(MATCH(C812,Roster!$B$6:$B$65,0),MATCH(C812,Roster!$C$6:$C$65,0))-1)+MATCH(B812,{"AM","PM","NIGHT","WD"},0)-1-27+1,DAY(A812))&amp;"",""))</f>
        <v/>
      </c>
      <c r="G812" s="123">
        <f>IF(OR(A812="",C812="",B812="",E812=""),"",IFERROR(A812&amp;"|"&amp;(27+4*(IFERROR(MATCH(C812,Roster!$B$6:$B$65,0),MATCH(C812,Roster!$C$6:$C$65,0))-1)+MATCH(B812,{"AM","PM","NIGHT","WD"},0)-1),""))</f>
        <v/>
      </c>
    </row>
    <row r="813">
      <c r="A813" s="122" t="n"/>
      <c r="B813" s="107" t="n"/>
      <c r="C813" s="105" t="n"/>
      <c r="D813" s="92">
        <f>IF(C813="","",IFERROR(INDEX(Roster!$C$6:$C$65,IFERROR(MATCH(C813,Roster!$B$6:$B$65,0),MATCH(C813,Roster!$C$6:$C$65,0))),"not on the Roster"))</f>
        <v/>
      </c>
      <c r="E813" s="106" t="n"/>
      <c r="F813" s="104">
        <f>IF(OR(A813="",C813="",B813=""),"",IFERROR(INDEX(CHOOSE(IF(YEAR(A813)&gt;PlanYear,13,MONTH(A813)),'Jan'!$D$27:$AH$266,'Feb'!$D$27:$AH$266,'Mar'!$D$27:$AH$266,'Apr'!$D$27:$AH$266,'May'!$D$27:$AH$266,'Jun'!$D$27:$AH$266,'Jul'!$D$27:$AH$266,'Aug'!$D$27:$AH$266,'Sep'!$D$27:$AH$266,'Oct'!$D$27:$AH$266,'Nov'!$D$27:$AH$266,'Dec'!$D$27:$AH$266,'Jan (next year)'!$D$27:$AH$266),27+4*(IFERROR(MATCH(C813,Roster!$B$6:$B$65,0),MATCH(C813,Roster!$C$6:$C$65,0))-1)+MATCH(B813,{"AM","PM","NIGHT","WD"},0)-1-27+1,DAY(A813))&amp;"",""))</f>
        <v/>
      </c>
      <c r="G813" s="123">
        <f>IF(OR(A813="",C813="",B813="",E813=""),"",IFERROR(A813&amp;"|"&amp;(27+4*(IFERROR(MATCH(C813,Roster!$B$6:$B$65,0),MATCH(C813,Roster!$C$6:$C$65,0))-1)+MATCH(B813,{"AM","PM","NIGHT","WD"},0)-1),""))</f>
        <v/>
      </c>
    </row>
    <row r="814">
      <c r="A814" s="122" t="n"/>
      <c r="B814" s="107" t="n"/>
      <c r="C814" s="105" t="n"/>
      <c r="D814" s="92">
        <f>IF(C814="","",IFERROR(INDEX(Roster!$C$6:$C$65,IFERROR(MATCH(C814,Roster!$B$6:$B$65,0),MATCH(C814,Roster!$C$6:$C$65,0))),"not on the Roster"))</f>
        <v/>
      </c>
      <c r="E814" s="106" t="n"/>
      <c r="F814" s="104">
        <f>IF(OR(A814="",C814="",B814=""),"",IFERROR(INDEX(CHOOSE(IF(YEAR(A814)&gt;PlanYear,13,MONTH(A814)),'Jan'!$D$27:$AH$266,'Feb'!$D$27:$AH$266,'Mar'!$D$27:$AH$266,'Apr'!$D$27:$AH$266,'May'!$D$27:$AH$266,'Jun'!$D$27:$AH$266,'Jul'!$D$27:$AH$266,'Aug'!$D$27:$AH$266,'Sep'!$D$27:$AH$266,'Oct'!$D$27:$AH$266,'Nov'!$D$27:$AH$266,'Dec'!$D$27:$AH$266,'Jan (next year)'!$D$27:$AH$266),27+4*(IFERROR(MATCH(C814,Roster!$B$6:$B$65,0),MATCH(C814,Roster!$C$6:$C$65,0))-1)+MATCH(B814,{"AM","PM","NIGHT","WD"},0)-1-27+1,DAY(A814))&amp;"",""))</f>
        <v/>
      </c>
      <c r="G814" s="123">
        <f>IF(OR(A814="",C814="",B814="",E814=""),"",IFERROR(A814&amp;"|"&amp;(27+4*(IFERROR(MATCH(C814,Roster!$B$6:$B$65,0),MATCH(C814,Roster!$C$6:$C$65,0))-1)+MATCH(B814,{"AM","PM","NIGHT","WD"},0)-1),""))</f>
        <v/>
      </c>
    </row>
    <row r="815">
      <c r="A815" s="122" t="n"/>
      <c r="B815" s="107" t="n"/>
      <c r="C815" s="105" t="n"/>
      <c r="D815" s="92">
        <f>IF(C815="","",IFERROR(INDEX(Roster!$C$6:$C$65,IFERROR(MATCH(C815,Roster!$B$6:$B$65,0),MATCH(C815,Roster!$C$6:$C$65,0))),"not on the Roster"))</f>
        <v/>
      </c>
      <c r="E815" s="106" t="n"/>
      <c r="F815" s="104">
        <f>IF(OR(A815="",C815="",B815=""),"",IFERROR(INDEX(CHOOSE(IF(YEAR(A815)&gt;PlanYear,13,MONTH(A815)),'Jan'!$D$27:$AH$266,'Feb'!$D$27:$AH$266,'Mar'!$D$27:$AH$266,'Apr'!$D$27:$AH$266,'May'!$D$27:$AH$266,'Jun'!$D$27:$AH$266,'Jul'!$D$27:$AH$266,'Aug'!$D$27:$AH$266,'Sep'!$D$27:$AH$266,'Oct'!$D$27:$AH$266,'Nov'!$D$27:$AH$266,'Dec'!$D$27:$AH$266,'Jan (next year)'!$D$27:$AH$266),27+4*(IFERROR(MATCH(C815,Roster!$B$6:$B$65,0),MATCH(C815,Roster!$C$6:$C$65,0))-1)+MATCH(B815,{"AM","PM","NIGHT","WD"},0)-1-27+1,DAY(A815))&amp;"",""))</f>
        <v/>
      </c>
      <c r="G815" s="123">
        <f>IF(OR(A815="",C815="",B815="",E815=""),"",IFERROR(A815&amp;"|"&amp;(27+4*(IFERROR(MATCH(C815,Roster!$B$6:$B$65,0),MATCH(C815,Roster!$C$6:$C$65,0))-1)+MATCH(B815,{"AM","PM","NIGHT","WD"},0)-1),""))</f>
        <v/>
      </c>
    </row>
    <row r="816">
      <c r="A816" s="122" t="n"/>
      <c r="B816" s="107" t="n"/>
      <c r="C816" s="105" t="n"/>
      <c r="D816" s="92">
        <f>IF(C816="","",IFERROR(INDEX(Roster!$C$6:$C$65,IFERROR(MATCH(C816,Roster!$B$6:$B$65,0),MATCH(C816,Roster!$C$6:$C$65,0))),"not on the Roster"))</f>
        <v/>
      </c>
      <c r="E816" s="106" t="n"/>
      <c r="F816" s="104">
        <f>IF(OR(A816="",C816="",B816=""),"",IFERROR(INDEX(CHOOSE(IF(YEAR(A816)&gt;PlanYear,13,MONTH(A816)),'Jan'!$D$27:$AH$266,'Feb'!$D$27:$AH$266,'Mar'!$D$27:$AH$266,'Apr'!$D$27:$AH$266,'May'!$D$27:$AH$266,'Jun'!$D$27:$AH$266,'Jul'!$D$27:$AH$266,'Aug'!$D$27:$AH$266,'Sep'!$D$27:$AH$266,'Oct'!$D$27:$AH$266,'Nov'!$D$27:$AH$266,'Dec'!$D$27:$AH$266,'Jan (next year)'!$D$27:$AH$266),27+4*(IFERROR(MATCH(C816,Roster!$B$6:$B$65,0),MATCH(C816,Roster!$C$6:$C$65,0))-1)+MATCH(B816,{"AM","PM","NIGHT","WD"},0)-1-27+1,DAY(A816))&amp;"",""))</f>
        <v/>
      </c>
      <c r="G816" s="123">
        <f>IF(OR(A816="",C816="",B816="",E816=""),"",IFERROR(A816&amp;"|"&amp;(27+4*(IFERROR(MATCH(C816,Roster!$B$6:$B$65,0),MATCH(C816,Roster!$C$6:$C$65,0))-1)+MATCH(B816,{"AM","PM","NIGHT","WD"},0)-1),""))</f>
        <v/>
      </c>
    </row>
    <row r="817">
      <c r="A817" s="122" t="n"/>
      <c r="B817" s="107" t="n"/>
      <c r="C817" s="105" t="n"/>
      <c r="D817" s="92">
        <f>IF(C817="","",IFERROR(INDEX(Roster!$C$6:$C$65,IFERROR(MATCH(C817,Roster!$B$6:$B$65,0),MATCH(C817,Roster!$C$6:$C$65,0))),"not on the Roster"))</f>
        <v/>
      </c>
      <c r="E817" s="106" t="n"/>
      <c r="F817" s="104">
        <f>IF(OR(A817="",C817="",B817=""),"",IFERROR(INDEX(CHOOSE(IF(YEAR(A817)&gt;PlanYear,13,MONTH(A817)),'Jan'!$D$27:$AH$266,'Feb'!$D$27:$AH$266,'Mar'!$D$27:$AH$266,'Apr'!$D$27:$AH$266,'May'!$D$27:$AH$266,'Jun'!$D$27:$AH$266,'Jul'!$D$27:$AH$266,'Aug'!$D$27:$AH$266,'Sep'!$D$27:$AH$266,'Oct'!$D$27:$AH$266,'Nov'!$D$27:$AH$266,'Dec'!$D$27:$AH$266,'Jan (next year)'!$D$27:$AH$266),27+4*(IFERROR(MATCH(C817,Roster!$B$6:$B$65,0),MATCH(C817,Roster!$C$6:$C$65,0))-1)+MATCH(B817,{"AM","PM","NIGHT","WD"},0)-1-27+1,DAY(A817))&amp;"",""))</f>
        <v/>
      </c>
      <c r="G817" s="123">
        <f>IF(OR(A817="",C817="",B817="",E817=""),"",IFERROR(A817&amp;"|"&amp;(27+4*(IFERROR(MATCH(C817,Roster!$B$6:$B$65,0),MATCH(C817,Roster!$C$6:$C$65,0))-1)+MATCH(B817,{"AM","PM","NIGHT","WD"},0)-1),""))</f>
        <v/>
      </c>
    </row>
    <row r="818">
      <c r="A818" s="122" t="n"/>
      <c r="B818" s="107" t="n"/>
      <c r="C818" s="105" t="n"/>
      <c r="D818" s="92">
        <f>IF(C818="","",IFERROR(INDEX(Roster!$C$6:$C$65,IFERROR(MATCH(C818,Roster!$B$6:$B$65,0),MATCH(C818,Roster!$C$6:$C$65,0))),"not on the Roster"))</f>
        <v/>
      </c>
      <c r="E818" s="106" t="n"/>
      <c r="F818" s="104">
        <f>IF(OR(A818="",C818="",B818=""),"",IFERROR(INDEX(CHOOSE(IF(YEAR(A818)&gt;PlanYear,13,MONTH(A818)),'Jan'!$D$27:$AH$266,'Feb'!$D$27:$AH$266,'Mar'!$D$27:$AH$266,'Apr'!$D$27:$AH$266,'May'!$D$27:$AH$266,'Jun'!$D$27:$AH$266,'Jul'!$D$27:$AH$266,'Aug'!$D$27:$AH$266,'Sep'!$D$27:$AH$266,'Oct'!$D$27:$AH$266,'Nov'!$D$27:$AH$266,'Dec'!$D$27:$AH$266,'Jan (next year)'!$D$27:$AH$266),27+4*(IFERROR(MATCH(C818,Roster!$B$6:$B$65,0),MATCH(C818,Roster!$C$6:$C$65,0))-1)+MATCH(B818,{"AM","PM","NIGHT","WD"},0)-1-27+1,DAY(A818))&amp;"",""))</f>
        <v/>
      </c>
      <c r="G818" s="123">
        <f>IF(OR(A818="",C818="",B818="",E818=""),"",IFERROR(A818&amp;"|"&amp;(27+4*(IFERROR(MATCH(C818,Roster!$B$6:$B$65,0),MATCH(C818,Roster!$C$6:$C$65,0))-1)+MATCH(B818,{"AM","PM","NIGHT","WD"},0)-1),""))</f>
        <v/>
      </c>
    </row>
    <row r="819">
      <c r="A819" s="122" t="n"/>
      <c r="B819" s="107" t="n"/>
      <c r="C819" s="105" t="n"/>
      <c r="D819" s="92">
        <f>IF(C819="","",IFERROR(INDEX(Roster!$C$6:$C$65,IFERROR(MATCH(C819,Roster!$B$6:$B$65,0),MATCH(C819,Roster!$C$6:$C$65,0))),"not on the Roster"))</f>
        <v/>
      </c>
      <c r="E819" s="106" t="n"/>
      <c r="F819" s="104">
        <f>IF(OR(A819="",C819="",B819=""),"",IFERROR(INDEX(CHOOSE(IF(YEAR(A819)&gt;PlanYear,13,MONTH(A819)),'Jan'!$D$27:$AH$266,'Feb'!$D$27:$AH$266,'Mar'!$D$27:$AH$266,'Apr'!$D$27:$AH$266,'May'!$D$27:$AH$266,'Jun'!$D$27:$AH$266,'Jul'!$D$27:$AH$266,'Aug'!$D$27:$AH$266,'Sep'!$D$27:$AH$266,'Oct'!$D$27:$AH$266,'Nov'!$D$27:$AH$266,'Dec'!$D$27:$AH$266,'Jan (next year)'!$D$27:$AH$266),27+4*(IFERROR(MATCH(C819,Roster!$B$6:$B$65,0),MATCH(C819,Roster!$C$6:$C$65,0))-1)+MATCH(B819,{"AM","PM","NIGHT","WD"},0)-1-27+1,DAY(A819))&amp;"",""))</f>
        <v/>
      </c>
      <c r="G819" s="123">
        <f>IF(OR(A819="",C819="",B819="",E819=""),"",IFERROR(A819&amp;"|"&amp;(27+4*(IFERROR(MATCH(C819,Roster!$B$6:$B$65,0),MATCH(C819,Roster!$C$6:$C$65,0))-1)+MATCH(B819,{"AM","PM","NIGHT","WD"},0)-1),""))</f>
        <v/>
      </c>
    </row>
    <row r="820">
      <c r="A820" s="122" t="n"/>
      <c r="B820" s="107" t="n"/>
      <c r="C820" s="105" t="n"/>
      <c r="D820" s="92">
        <f>IF(C820="","",IFERROR(INDEX(Roster!$C$6:$C$65,IFERROR(MATCH(C820,Roster!$B$6:$B$65,0),MATCH(C820,Roster!$C$6:$C$65,0))),"not on the Roster"))</f>
        <v/>
      </c>
      <c r="E820" s="106" t="n"/>
      <c r="F820" s="104">
        <f>IF(OR(A820="",C820="",B820=""),"",IFERROR(INDEX(CHOOSE(IF(YEAR(A820)&gt;PlanYear,13,MONTH(A820)),'Jan'!$D$27:$AH$266,'Feb'!$D$27:$AH$266,'Mar'!$D$27:$AH$266,'Apr'!$D$27:$AH$266,'May'!$D$27:$AH$266,'Jun'!$D$27:$AH$266,'Jul'!$D$27:$AH$266,'Aug'!$D$27:$AH$266,'Sep'!$D$27:$AH$266,'Oct'!$D$27:$AH$266,'Nov'!$D$27:$AH$266,'Dec'!$D$27:$AH$266,'Jan (next year)'!$D$27:$AH$266),27+4*(IFERROR(MATCH(C820,Roster!$B$6:$B$65,0),MATCH(C820,Roster!$C$6:$C$65,0))-1)+MATCH(B820,{"AM","PM","NIGHT","WD"},0)-1-27+1,DAY(A820))&amp;"",""))</f>
        <v/>
      </c>
      <c r="G820" s="123">
        <f>IF(OR(A820="",C820="",B820="",E820=""),"",IFERROR(A820&amp;"|"&amp;(27+4*(IFERROR(MATCH(C820,Roster!$B$6:$B$65,0),MATCH(C820,Roster!$C$6:$C$65,0))-1)+MATCH(B820,{"AM","PM","NIGHT","WD"},0)-1),""))</f>
        <v/>
      </c>
    </row>
    <row r="821">
      <c r="A821" s="122" t="n"/>
      <c r="B821" s="107" t="n"/>
      <c r="C821" s="105" t="n"/>
      <c r="D821" s="92">
        <f>IF(C821="","",IFERROR(INDEX(Roster!$C$6:$C$65,IFERROR(MATCH(C821,Roster!$B$6:$B$65,0),MATCH(C821,Roster!$C$6:$C$65,0))),"not on the Roster"))</f>
        <v/>
      </c>
      <c r="E821" s="106" t="n"/>
      <c r="F821" s="104">
        <f>IF(OR(A821="",C821="",B821=""),"",IFERROR(INDEX(CHOOSE(IF(YEAR(A821)&gt;PlanYear,13,MONTH(A821)),'Jan'!$D$27:$AH$266,'Feb'!$D$27:$AH$266,'Mar'!$D$27:$AH$266,'Apr'!$D$27:$AH$266,'May'!$D$27:$AH$266,'Jun'!$D$27:$AH$266,'Jul'!$D$27:$AH$266,'Aug'!$D$27:$AH$266,'Sep'!$D$27:$AH$266,'Oct'!$D$27:$AH$266,'Nov'!$D$27:$AH$266,'Dec'!$D$27:$AH$266,'Jan (next year)'!$D$27:$AH$266),27+4*(IFERROR(MATCH(C821,Roster!$B$6:$B$65,0),MATCH(C821,Roster!$C$6:$C$65,0))-1)+MATCH(B821,{"AM","PM","NIGHT","WD"},0)-1-27+1,DAY(A821))&amp;"",""))</f>
        <v/>
      </c>
      <c r="G821" s="123">
        <f>IF(OR(A821="",C821="",B821="",E821=""),"",IFERROR(A821&amp;"|"&amp;(27+4*(IFERROR(MATCH(C821,Roster!$B$6:$B$65,0),MATCH(C821,Roster!$C$6:$C$65,0))-1)+MATCH(B821,{"AM","PM","NIGHT","WD"},0)-1),""))</f>
        <v/>
      </c>
    </row>
    <row r="822">
      <c r="A822" s="122" t="n"/>
      <c r="B822" s="107" t="n"/>
      <c r="C822" s="105" t="n"/>
      <c r="D822" s="92">
        <f>IF(C822="","",IFERROR(INDEX(Roster!$C$6:$C$65,IFERROR(MATCH(C822,Roster!$B$6:$B$65,0),MATCH(C822,Roster!$C$6:$C$65,0))),"not on the Roster"))</f>
        <v/>
      </c>
      <c r="E822" s="106" t="n"/>
      <c r="F822" s="104">
        <f>IF(OR(A822="",C822="",B822=""),"",IFERROR(INDEX(CHOOSE(IF(YEAR(A822)&gt;PlanYear,13,MONTH(A822)),'Jan'!$D$27:$AH$266,'Feb'!$D$27:$AH$266,'Mar'!$D$27:$AH$266,'Apr'!$D$27:$AH$266,'May'!$D$27:$AH$266,'Jun'!$D$27:$AH$266,'Jul'!$D$27:$AH$266,'Aug'!$D$27:$AH$266,'Sep'!$D$27:$AH$266,'Oct'!$D$27:$AH$266,'Nov'!$D$27:$AH$266,'Dec'!$D$27:$AH$266,'Jan (next year)'!$D$27:$AH$266),27+4*(IFERROR(MATCH(C822,Roster!$B$6:$B$65,0),MATCH(C822,Roster!$C$6:$C$65,0))-1)+MATCH(B822,{"AM","PM","NIGHT","WD"},0)-1-27+1,DAY(A822))&amp;"",""))</f>
        <v/>
      </c>
      <c r="G822" s="123">
        <f>IF(OR(A822="",C822="",B822="",E822=""),"",IFERROR(A822&amp;"|"&amp;(27+4*(IFERROR(MATCH(C822,Roster!$B$6:$B$65,0),MATCH(C822,Roster!$C$6:$C$65,0))-1)+MATCH(B822,{"AM","PM","NIGHT","WD"},0)-1),""))</f>
        <v/>
      </c>
    </row>
    <row r="823">
      <c r="A823" s="122" t="n"/>
      <c r="B823" s="107" t="n"/>
      <c r="C823" s="105" t="n"/>
      <c r="D823" s="92">
        <f>IF(C823="","",IFERROR(INDEX(Roster!$C$6:$C$65,IFERROR(MATCH(C823,Roster!$B$6:$B$65,0),MATCH(C823,Roster!$C$6:$C$65,0))),"not on the Roster"))</f>
        <v/>
      </c>
      <c r="E823" s="106" t="n"/>
      <c r="F823" s="104">
        <f>IF(OR(A823="",C823="",B823=""),"",IFERROR(INDEX(CHOOSE(IF(YEAR(A823)&gt;PlanYear,13,MONTH(A823)),'Jan'!$D$27:$AH$266,'Feb'!$D$27:$AH$266,'Mar'!$D$27:$AH$266,'Apr'!$D$27:$AH$266,'May'!$D$27:$AH$266,'Jun'!$D$27:$AH$266,'Jul'!$D$27:$AH$266,'Aug'!$D$27:$AH$266,'Sep'!$D$27:$AH$266,'Oct'!$D$27:$AH$266,'Nov'!$D$27:$AH$266,'Dec'!$D$27:$AH$266,'Jan (next year)'!$D$27:$AH$266),27+4*(IFERROR(MATCH(C823,Roster!$B$6:$B$65,0),MATCH(C823,Roster!$C$6:$C$65,0))-1)+MATCH(B823,{"AM","PM","NIGHT","WD"},0)-1-27+1,DAY(A823))&amp;"",""))</f>
        <v/>
      </c>
      <c r="G823" s="123">
        <f>IF(OR(A823="",C823="",B823="",E823=""),"",IFERROR(A823&amp;"|"&amp;(27+4*(IFERROR(MATCH(C823,Roster!$B$6:$B$65,0),MATCH(C823,Roster!$C$6:$C$65,0))-1)+MATCH(B823,{"AM","PM","NIGHT","WD"},0)-1),""))</f>
        <v/>
      </c>
    </row>
    <row r="824">
      <c r="A824" s="122" t="n"/>
      <c r="B824" s="107" t="n"/>
      <c r="C824" s="105" t="n"/>
      <c r="D824" s="92">
        <f>IF(C824="","",IFERROR(INDEX(Roster!$C$6:$C$65,IFERROR(MATCH(C824,Roster!$B$6:$B$65,0),MATCH(C824,Roster!$C$6:$C$65,0))),"not on the Roster"))</f>
        <v/>
      </c>
      <c r="E824" s="106" t="n"/>
      <c r="F824" s="104">
        <f>IF(OR(A824="",C824="",B824=""),"",IFERROR(INDEX(CHOOSE(IF(YEAR(A824)&gt;PlanYear,13,MONTH(A824)),'Jan'!$D$27:$AH$266,'Feb'!$D$27:$AH$266,'Mar'!$D$27:$AH$266,'Apr'!$D$27:$AH$266,'May'!$D$27:$AH$266,'Jun'!$D$27:$AH$266,'Jul'!$D$27:$AH$266,'Aug'!$D$27:$AH$266,'Sep'!$D$27:$AH$266,'Oct'!$D$27:$AH$266,'Nov'!$D$27:$AH$266,'Dec'!$D$27:$AH$266,'Jan (next year)'!$D$27:$AH$266),27+4*(IFERROR(MATCH(C824,Roster!$B$6:$B$65,0),MATCH(C824,Roster!$C$6:$C$65,0))-1)+MATCH(B824,{"AM","PM","NIGHT","WD"},0)-1-27+1,DAY(A824))&amp;"",""))</f>
        <v/>
      </c>
      <c r="G824" s="123">
        <f>IF(OR(A824="",C824="",B824="",E824=""),"",IFERROR(A824&amp;"|"&amp;(27+4*(IFERROR(MATCH(C824,Roster!$B$6:$B$65,0),MATCH(C824,Roster!$C$6:$C$65,0))-1)+MATCH(B824,{"AM","PM","NIGHT","WD"},0)-1),""))</f>
        <v/>
      </c>
    </row>
    <row r="825">
      <c r="A825" s="122" t="n"/>
      <c r="B825" s="107" t="n"/>
      <c r="C825" s="105" t="n"/>
      <c r="D825" s="92">
        <f>IF(C825="","",IFERROR(INDEX(Roster!$C$6:$C$65,IFERROR(MATCH(C825,Roster!$B$6:$B$65,0),MATCH(C825,Roster!$C$6:$C$65,0))),"not on the Roster"))</f>
        <v/>
      </c>
      <c r="E825" s="106" t="n"/>
      <c r="F825" s="104">
        <f>IF(OR(A825="",C825="",B825=""),"",IFERROR(INDEX(CHOOSE(IF(YEAR(A825)&gt;PlanYear,13,MONTH(A825)),'Jan'!$D$27:$AH$266,'Feb'!$D$27:$AH$266,'Mar'!$D$27:$AH$266,'Apr'!$D$27:$AH$266,'May'!$D$27:$AH$266,'Jun'!$D$27:$AH$266,'Jul'!$D$27:$AH$266,'Aug'!$D$27:$AH$266,'Sep'!$D$27:$AH$266,'Oct'!$D$27:$AH$266,'Nov'!$D$27:$AH$266,'Dec'!$D$27:$AH$266,'Jan (next year)'!$D$27:$AH$266),27+4*(IFERROR(MATCH(C825,Roster!$B$6:$B$65,0),MATCH(C825,Roster!$C$6:$C$65,0))-1)+MATCH(B825,{"AM","PM","NIGHT","WD"},0)-1-27+1,DAY(A825))&amp;"",""))</f>
        <v/>
      </c>
      <c r="G825" s="123">
        <f>IF(OR(A825="",C825="",B825="",E825=""),"",IFERROR(A825&amp;"|"&amp;(27+4*(IFERROR(MATCH(C825,Roster!$B$6:$B$65,0),MATCH(C825,Roster!$C$6:$C$65,0))-1)+MATCH(B825,{"AM","PM","NIGHT","WD"},0)-1),""))</f>
        <v/>
      </c>
    </row>
    <row r="826">
      <c r="A826" s="122" t="n"/>
      <c r="B826" s="107" t="n"/>
      <c r="C826" s="105" t="n"/>
      <c r="D826" s="92">
        <f>IF(C826="","",IFERROR(INDEX(Roster!$C$6:$C$65,IFERROR(MATCH(C826,Roster!$B$6:$B$65,0),MATCH(C826,Roster!$C$6:$C$65,0))),"not on the Roster"))</f>
        <v/>
      </c>
      <c r="E826" s="106" t="n"/>
      <c r="F826" s="104">
        <f>IF(OR(A826="",C826="",B826=""),"",IFERROR(INDEX(CHOOSE(IF(YEAR(A826)&gt;PlanYear,13,MONTH(A826)),'Jan'!$D$27:$AH$266,'Feb'!$D$27:$AH$266,'Mar'!$D$27:$AH$266,'Apr'!$D$27:$AH$266,'May'!$D$27:$AH$266,'Jun'!$D$27:$AH$266,'Jul'!$D$27:$AH$266,'Aug'!$D$27:$AH$266,'Sep'!$D$27:$AH$266,'Oct'!$D$27:$AH$266,'Nov'!$D$27:$AH$266,'Dec'!$D$27:$AH$266,'Jan (next year)'!$D$27:$AH$266),27+4*(IFERROR(MATCH(C826,Roster!$B$6:$B$65,0),MATCH(C826,Roster!$C$6:$C$65,0))-1)+MATCH(B826,{"AM","PM","NIGHT","WD"},0)-1-27+1,DAY(A826))&amp;"",""))</f>
        <v/>
      </c>
      <c r="G826" s="123">
        <f>IF(OR(A826="",C826="",B826="",E826=""),"",IFERROR(A826&amp;"|"&amp;(27+4*(IFERROR(MATCH(C826,Roster!$B$6:$B$65,0),MATCH(C826,Roster!$C$6:$C$65,0))-1)+MATCH(B826,{"AM","PM","NIGHT","WD"},0)-1),""))</f>
        <v/>
      </c>
    </row>
    <row r="827">
      <c r="A827" s="122" t="n"/>
      <c r="B827" s="107" t="n"/>
      <c r="C827" s="105" t="n"/>
      <c r="D827" s="92">
        <f>IF(C827="","",IFERROR(INDEX(Roster!$C$6:$C$65,IFERROR(MATCH(C827,Roster!$B$6:$B$65,0),MATCH(C827,Roster!$C$6:$C$65,0))),"not on the Roster"))</f>
        <v/>
      </c>
      <c r="E827" s="106" t="n"/>
      <c r="F827" s="104">
        <f>IF(OR(A827="",C827="",B827=""),"",IFERROR(INDEX(CHOOSE(IF(YEAR(A827)&gt;PlanYear,13,MONTH(A827)),'Jan'!$D$27:$AH$266,'Feb'!$D$27:$AH$266,'Mar'!$D$27:$AH$266,'Apr'!$D$27:$AH$266,'May'!$D$27:$AH$266,'Jun'!$D$27:$AH$266,'Jul'!$D$27:$AH$266,'Aug'!$D$27:$AH$266,'Sep'!$D$27:$AH$266,'Oct'!$D$27:$AH$266,'Nov'!$D$27:$AH$266,'Dec'!$D$27:$AH$266,'Jan (next year)'!$D$27:$AH$266),27+4*(IFERROR(MATCH(C827,Roster!$B$6:$B$65,0),MATCH(C827,Roster!$C$6:$C$65,0))-1)+MATCH(B827,{"AM","PM","NIGHT","WD"},0)-1-27+1,DAY(A827))&amp;"",""))</f>
        <v/>
      </c>
      <c r="G827" s="123">
        <f>IF(OR(A827="",C827="",B827="",E827=""),"",IFERROR(A827&amp;"|"&amp;(27+4*(IFERROR(MATCH(C827,Roster!$B$6:$B$65,0),MATCH(C827,Roster!$C$6:$C$65,0))-1)+MATCH(B827,{"AM","PM","NIGHT","WD"},0)-1),""))</f>
        <v/>
      </c>
    </row>
    <row r="828">
      <c r="A828" s="122" t="n"/>
      <c r="B828" s="107" t="n"/>
      <c r="C828" s="105" t="n"/>
      <c r="D828" s="92">
        <f>IF(C828="","",IFERROR(INDEX(Roster!$C$6:$C$65,IFERROR(MATCH(C828,Roster!$B$6:$B$65,0),MATCH(C828,Roster!$C$6:$C$65,0))),"not on the Roster"))</f>
        <v/>
      </c>
      <c r="E828" s="106" t="n"/>
      <c r="F828" s="104">
        <f>IF(OR(A828="",C828="",B828=""),"",IFERROR(INDEX(CHOOSE(IF(YEAR(A828)&gt;PlanYear,13,MONTH(A828)),'Jan'!$D$27:$AH$266,'Feb'!$D$27:$AH$266,'Mar'!$D$27:$AH$266,'Apr'!$D$27:$AH$266,'May'!$D$27:$AH$266,'Jun'!$D$27:$AH$266,'Jul'!$D$27:$AH$266,'Aug'!$D$27:$AH$266,'Sep'!$D$27:$AH$266,'Oct'!$D$27:$AH$266,'Nov'!$D$27:$AH$266,'Dec'!$D$27:$AH$266,'Jan (next year)'!$D$27:$AH$266),27+4*(IFERROR(MATCH(C828,Roster!$B$6:$B$65,0),MATCH(C828,Roster!$C$6:$C$65,0))-1)+MATCH(B828,{"AM","PM","NIGHT","WD"},0)-1-27+1,DAY(A828))&amp;"",""))</f>
        <v/>
      </c>
      <c r="G828" s="123">
        <f>IF(OR(A828="",C828="",B828="",E828=""),"",IFERROR(A828&amp;"|"&amp;(27+4*(IFERROR(MATCH(C828,Roster!$B$6:$B$65,0),MATCH(C828,Roster!$C$6:$C$65,0))-1)+MATCH(B828,{"AM","PM","NIGHT","WD"},0)-1),""))</f>
        <v/>
      </c>
    </row>
    <row r="829">
      <c r="A829" s="122" t="n"/>
      <c r="B829" s="107" t="n"/>
      <c r="C829" s="105" t="n"/>
      <c r="D829" s="92">
        <f>IF(C829="","",IFERROR(INDEX(Roster!$C$6:$C$65,IFERROR(MATCH(C829,Roster!$B$6:$B$65,0),MATCH(C829,Roster!$C$6:$C$65,0))),"not on the Roster"))</f>
        <v/>
      </c>
      <c r="E829" s="106" t="n"/>
      <c r="F829" s="104">
        <f>IF(OR(A829="",C829="",B829=""),"",IFERROR(INDEX(CHOOSE(IF(YEAR(A829)&gt;PlanYear,13,MONTH(A829)),'Jan'!$D$27:$AH$266,'Feb'!$D$27:$AH$266,'Mar'!$D$27:$AH$266,'Apr'!$D$27:$AH$266,'May'!$D$27:$AH$266,'Jun'!$D$27:$AH$266,'Jul'!$D$27:$AH$266,'Aug'!$D$27:$AH$266,'Sep'!$D$27:$AH$266,'Oct'!$D$27:$AH$266,'Nov'!$D$27:$AH$266,'Dec'!$D$27:$AH$266,'Jan (next year)'!$D$27:$AH$266),27+4*(IFERROR(MATCH(C829,Roster!$B$6:$B$65,0),MATCH(C829,Roster!$C$6:$C$65,0))-1)+MATCH(B829,{"AM","PM","NIGHT","WD"},0)-1-27+1,DAY(A829))&amp;"",""))</f>
        <v/>
      </c>
      <c r="G829" s="123">
        <f>IF(OR(A829="",C829="",B829="",E829=""),"",IFERROR(A829&amp;"|"&amp;(27+4*(IFERROR(MATCH(C829,Roster!$B$6:$B$65,0),MATCH(C829,Roster!$C$6:$C$65,0))-1)+MATCH(B829,{"AM","PM","NIGHT","WD"},0)-1),""))</f>
        <v/>
      </c>
    </row>
    <row r="830">
      <c r="A830" s="122" t="n"/>
      <c r="B830" s="107" t="n"/>
      <c r="C830" s="105" t="n"/>
      <c r="D830" s="92">
        <f>IF(C830="","",IFERROR(INDEX(Roster!$C$6:$C$65,IFERROR(MATCH(C830,Roster!$B$6:$B$65,0),MATCH(C830,Roster!$C$6:$C$65,0))),"not on the Roster"))</f>
        <v/>
      </c>
      <c r="E830" s="106" t="n"/>
      <c r="F830" s="104">
        <f>IF(OR(A830="",C830="",B830=""),"",IFERROR(INDEX(CHOOSE(IF(YEAR(A830)&gt;PlanYear,13,MONTH(A830)),'Jan'!$D$27:$AH$266,'Feb'!$D$27:$AH$266,'Mar'!$D$27:$AH$266,'Apr'!$D$27:$AH$266,'May'!$D$27:$AH$266,'Jun'!$D$27:$AH$266,'Jul'!$D$27:$AH$266,'Aug'!$D$27:$AH$266,'Sep'!$D$27:$AH$266,'Oct'!$D$27:$AH$266,'Nov'!$D$27:$AH$266,'Dec'!$D$27:$AH$266,'Jan (next year)'!$D$27:$AH$266),27+4*(IFERROR(MATCH(C830,Roster!$B$6:$B$65,0),MATCH(C830,Roster!$C$6:$C$65,0))-1)+MATCH(B830,{"AM","PM","NIGHT","WD"},0)-1-27+1,DAY(A830))&amp;"",""))</f>
        <v/>
      </c>
      <c r="G830" s="123">
        <f>IF(OR(A830="",C830="",B830="",E830=""),"",IFERROR(A830&amp;"|"&amp;(27+4*(IFERROR(MATCH(C830,Roster!$B$6:$B$65,0),MATCH(C830,Roster!$C$6:$C$65,0))-1)+MATCH(B830,{"AM","PM","NIGHT","WD"},0)-1),""))</f>
        <v/>
      </c>
    </row>
    <row r="831">
      <c r="A831" s="122" t="n"/>
      <c r="B831" s="107" t="n"/>
      <c r="C831" s="105" t="n"/>
      <c r="D831" s="92">
        <f>IF(C831="","",IFERROR(INDEX(Roster!$C$6:$C$65,IFERROR(MATCH(C831,Roster!$B$6:$B$65,0),MATCH(C831,Roster!$C$6:$C$65,0))),"not on the Roster"))</f>
        <v/>
      </c>
      <c r="E831" s="106" t="n"/>
      <c r="F831" s="104">
        <f>IF(OR(A831="",C831="",B831=""),"",IFERROR(INDEX(CHOOSE(IF(YEAR(A831)&gt;PlanYear,13,MONTH(A831)),'Jan'!$D$27:$AH$266,'Feb'!$D$27:$AH$266,'Mar'!$D$27:$AH$266,'Apr'!$D$27:$AH$266,'May'!$D$27:$AH$266,'Jun'!$D$27:$AH$266,'Jul'!$D$27:$AH$266,'Aug'!$D$27:$AH$266,'Sep'!$D$27:$AH$266,'Oct'!$D$27:$AH$266,'Nov'!$D$27:$AH$266,'Dec'!$D$27:$AH$266,'Jan (next year)'!$D$27:$AH$266),27+4*(IFERROR(MATCH(C831,Roster!$B$6:$B$65,0),MATCH(C831,Roster!$C$6:$C$65,0))-1)+MATCH(B831,{"AM","PM","NIGHT","WD"},0)-1-27+1,DAY(A831))&amp;"",""))</f>
        <v/>
      </c>
      <c r="G831" s="123">
        <f>IF(OR(A831="",C831="",B831="",E831=""),"",IFERROR(A831&amp;"|"&amp;(27+4*(IFERROR(MATCH(C831,Roster!$B$6:$B$65,0),MATCH(C831,Roster!$C$6:$C$65,0))-1)+MATCH(B831,{"AM","PM","NIGHT","WD"},0)-1),""))</f>
        <v/>
      </c>
    </row>
    <row r="832">
      <c r="A832" s="122" t="n"/>
      <c r="B832" s="107" t="n"/>
      <c r="C832" s="105" t="n"/>
      <c r="D832" s="92">
        <f>IF(C832="","",IFERROR(INDEX(Roster!$C$6:$C$65,IFERROR(MATCH(C832,Roster!$B$6:$B$65,0),MATCH(C832,Roster!$C$6:$C$65,0))),"not on the Roster"))</f>
        <v/>
      </c>
      <c r="E832" s="106" t="n"/>
      <c r="F832" s="104">
        <f>IF(OR(A832="",C832="",B832=""),"",IFERROR(INDEX(CHOOSE(IF(YEAR(A832)&gt;PlanYear,13,MONTH(A832)),'Jan'!$D$27:$AH$266,'Feb'!$D$27:$AH$266,'Mar'!$D$27:$AH$266,'Apr'!$D$27:$AH$266,'May'!$D$27:$AH$266,'Jun'!$D$27:$AH$266,'Jul'!$D$27:$AH$266,'Aug'!$D$27:$AH$266,'Sep'!$D$27:$AH$266,'Oct'!$D$27:$AH$266,'Nov'!$D$27:$AH$266,'Dec'!$D$27:$AH$266,'Jan (next year)'!$D$27:$AH$266),27+4*(IFERROR(MATCH(C832,Roster!$B$6:$B$65,0),MATCH(C832,Roster!$C$6:$C$65,0))-1)+MATCH(B832,{"AM","PM","NIGHT","WD"},0)-1-27+1,DAY(A832))&amp;"",""))</f>
        <v/>
      </c>
      <c r="G832" s="123">
        <f>IF(OR(A832="",C832="",B832="",E832=""),"",IFERROR(A832&amp;"|"&amp;(27+4*(IFERROR(MATCH(C832,Roster!$B$6:$B$65,0),MATCH(C832,Roster!$C$6:$C$65,0))-1)+MATCH(B832,{"AM","PM","NIGHT","WD"},0)-1),""))</f>
        <v/>
      </c>
    </row>
    <row r="833">
      <c r="A833" s="122" t="n"/>
      <c r="B833" s="107" t="n"/>
      <c r="C833" s="105" t="n"/>
      <c r="D833" s="92">
        <f>IF(C833="","",IFERROR(INDEX(Roster!$C$6:$C$65,IFERROR(MATCH(C833,Roster!$B$6:$B$65,0),MATCH(C833,Roster!$C$6:$C$65,0))),"not on the Roster"))</f>
        <v/>
      </c>
      <c r="E833" s="106" t="n"/>
      <c r="F833" s="104">
        <f>IF(OR(A833="",C833="",B833=""),"",IFERROR(INDEX(CHOOSE(IF(YEAR(A833)&gt;PlanYear,13,MONTH(A833)),'Jan'!$D$27:$AH$266,'Feb'!$D$27:$AH$266,'Mar'!$D$27:$AH$266,'Apr'!$D$27:$AH$266,'May'!$D$27:$AH$266,'Jun'!$D$27:$AH$266,'Jul'!$D$27:$AH$266,'Aug'!$D$27:$AH$266,'Sep'!$D$27:$AH$266,'Oct'!$D$27:$AH$266,'Nov'!$D$27:$AH$266,'Dec'!$D$27:$AH$266,'Jan (next year)'!$D$27:$AH$266),27+4*(IFERROR(MATCH(C833,Roster!$B$6:$B$65,0),MATCH(C833,Roster!$C$6:$C$65,0))-1)+MATCH(B833,{"AM","PM","NIGHT","WD"},0)-1-27+1,DAY(A833))&amp;"",""))</f>
        <v/>
      </c>
      <c r="G833" s="123">
        <f>IF(OR(A833="",C833="",B833="",E833=""),"",IFERROR(A833&amp;"|"&amp;(27+4*(IFERROR(MATCH(C833,Roster!$B$6:$B$65,0),MATCH(C833,Roster!$C$6:$C$65,0))-1)+MATCH(B833,{"AM","PM","NIGHT","WD"},0)-1),""))</f>
        <v/>
      </c>
    </row>
    <row r="834">
      <c r="A834" s="122" t="n"/>
      <c r="B834" s="107" t="n"/>
      <c r="C834" s="105" t="n"/>
      <c r="D834" s="92">
        <f>IF(C834="","",IFERROR(INDEX(Roster!$C$6:$C$65,IFERROR(MATCH(C834,Roster!$B$6:$B$65,0),MATCH(C834,Roster!$C$6:$C$65,0))),"not on the Roster"))</f>
        <v/>
      </c>
      <c r="E834" s="106" t="n"/>
      <c r="F834" s="104">
        <f>IF(OR(A834="",C834="",B834=""),"",IFERROR(INDEX(CHOOSE(IF(YEAR(A834)&gt;PlanYear,13,MONTH(A834)),'Jan'!$D$27:$AH$266,'Feb'!$D$27:$AH$266,'Mar'!$D$27:$AH$266,'Apr'!$D$27:$AH$266,'May'!$D$27:$AH$266,'Jun'!$D$27:$AH$266,'Jul'!$D$27:$AH$266,'Aug'!$D$27:$AH$266,'Sep'!$D$27:$AH$266,'Oct'!$D$27:$AH$266,'Nov'!$D$27:$AH$266,'Dec'!$D$27:$AH$266,'Jan (next year)'!$D$27:$AH$266),27+4*(IFERROR(MATCH(C834,Roster!$B$6:$B$65,0),MATCH(C834,Roster!$C$6:$C$65,0))-1)+MATCH(B834,{"AM","PM","NIGHT","WD"},0)-1-27+1,DAY(A834))&amp;"",""))</f>
        <v/>
      </c>
      <c r="G834" s="123">
        <f>IF(OR(A834="",C834="",B834="",E834=""),"",IFERROR(A834&amp;"|"&amp;(27+4*(IFERROR(MATCH(C834,Roster!$B$6:$B$65,0),MATCH(C834,Roster!$C$6:$C$65,0))-1)+MATCH(B834,{"AM","PM","NIGHT","WD"},0)-1),""))</f>
        <v/>
      </c>
    </row>
    <row r="835">
      <c r="A835" s="122" t="n"/>
      <c r="B835" s="107" t="n"/>
      <c r="C835" s="105" t="n"/>
      <c r="D835" s="92">
        <f>IF(C835="","",IFERROR(INDEX(Roster!$C$6:$C$65,IFERROR(MATCH(C835,Roster!$B$6:$B$65,0),MATCH(C835,Roster!$C$6:$C$65,0))),"not on the Roster"))</f>
        <v/>
      </c>
      <c r="E835" s="106" t="n"/>
      <c r="F835" s="104">
        <f>IF(OR(A835="",C835="",B835=""),"",IFERROR(INDEX(CHOOSE(IF(YEAR(A835)&gt;PlanYear,13,MONTH(A835)),'Jan'!$D$27:$AH$266,'Feb'!$D$27:$AH$266,'Mar'!$D$27:$AH$266,'Apr'!$D$27:$AH$266,'May'!$D$27:$AH$266,'Jun'!$D$27:$AH$266,'Jul'!$D$27:$AH$266,'Aug'!$D$27:$AH$266,'Sep'!$D$27:$AH$266,'Oct'!$D$27:$AH$266,'Nov'!$D$27:$AH$266,'Dec'!$D$27:$AH$266,'Jan (next year)'!$D$27:$AH$266),27+4*(IFERROR(MATCH(C835,Roster!$B$6:$B$65,0),MATCH(C835,Roster!$C$6:$C$65,0))-1)+MATCH(B835,{"AM","PM","NIGHT","WD"},0)-1-27+1,DAY(A835))&amp;"",""))</f>
        <v/>
      </c>
      <c r="G835" s="123">
        <f>IF(OR(A835="",C835="",B835="",E835=""),"",IFERROR(A835&amp;"|"&amp;(27+4*(IFERROR(MATCH(C835,Roster!$B$6:$B$65,0),MATCH(C835,Roster!$C$6:$C$65,0))-1)+MATCH(B835,{"AM","PM","NIGHT","WD"},0)-1),""))</f>
        <v/>
      </c>
    </row>
    <row r="836">
      <c r="A836" s="122" t="n"/>
      <c r="B836" s="107" t="n"/>
      <c r="C836" s="105" t="n"/>
      <c r="D836" s="92">
        <f>IF(C836="","",IFERROR(INDEX(Roster!$C$6:$C$65,IFERROR(MATCH(C836,Roster!$B$6:$B$65,0),MATCH(C836,Roster!$C$6:$C$65,0))),"not on the Roster"))</f>
        <v/>
      </c>
      <c r="E836" s="106" t="n"/>
      <c r="F836" s="104">
        <f>IF(OR(A836="",C836="",B836=""),"",IFERROR(INDEX(CHOOSE(IF(YEAR(A836)&gt;PlanYear,13,MONTH(A836)),'Jan'!$D$27:$AH$266,'Feb'!$D$27:$AH$266,'Mar'!$D$27:$AH$266,'Apr'!$D$27:$AH$266,'May'!$D$27:$AH$266,'Jun'!$D$27:$AH$266,'Jul'!$D$27:$AH$266,'Aug'!$D$27:$AH$266,'Sep'!$D$27:$AH$266,'Oct'!$D$27:$AH$266,'Nov'!$D$27:$AH$266,'Dec'!$D$27:$AH$266,'Jan (next year)'!$D$27:$AH$266),27+4*(IFERROR(MATCH(C836,Roster!$B$6:$B$65,0),MATCH(C836,Roster!$C$6:$C$65,0))-1)+MATCH(B836,{"AM","PM","NIGHT","WD"},0)-1-27+1,DAY(A836))&amp;"",""))</f>
        <v/>
      </c>
      <c r="G836" s="123">
        <f>IF(OR(A836="",C836="",B836="",E836=""),"",IFERROR(A836&amp;"|"&amp;(27+4*(IFERROR(MATCH(C836,Roster!$B$6:$B$65,0),MATCH(C836,Roster!$C$6:$C$65,0))-1)+MATCH(B836,{"AM","PM","NIGHT","WD"},0)-1),""))</f>
        <v/>
      </c>
    </row>
    <row r="837">
      <c r="A837" s="122" t="n"/>
      <c r="B837" s="107" t="n"/>
      <c r="C837" s="105" t="n"/>
      <c r="D837" s="92">
        <f>IF(C837="","",IFERROR(INDEX(Roster!$C$6:$C$65,IFERROR(MATCH(C837,Roster!$B$6:$B$65,0),MATCH(C837,Roster!$C$6:$C$65,0))),"not on the Roster"))</f>
        <v/>
      </c>
      <c r="E837" s="106" t="n"/>
      <c r="F837" s="104">
        <f>IF(OR(A837="",C837="",B837=""),"",IFERROR(INDEX(CHOOSE(IF(YEAR(A837)&gt;PlanYear,13,MONTH(A837)),'Jan'!$D$27:$AH$266,'Feb'!$D$27:$AH$266,'Mar'!$D$27:$AH$266,'Apr'!$D$27:$AH$266,'May'!$D$27:$AH$266,'Jun'!$D$27:$AH$266,'Jul'!$D$27:$AH$266,'Aug'!$D$27:$AH$266,'Sep'!$D$27:$AH$266,'Oct'!$D$27:$AH$266,'Nov'!$D$27:$AH$266,'Dec'!$D$27:$AH$266,'Jan (next year)'!$D$27:$AH$266),27+4*(IFERROR(MATCH(C837,Roster!$B$6:$B$65,0),MATCH(C837,Roster!$C$6:$C$65,0))-1)+MATCH(B837,{"AM","PM","NIGHT","WD"},0)-1-27+1,DAY(A837))&amp;"",""))</f>
        <v/>
      </c>
      <c r="G837" s="123">
        <f>IF(OR(A837="",C837="",B837="",E837=""),"",IFERROR(A837&amp;"|"&amp;(27+4*(IFERROR(MATCH(C837,Roster!$B$6:$B$65,0),MATCH(C837,Roster!$C$6:$C$65,0))-1)+MATCH(B837,{"AM","PM","NIGHT","WD"},0)-1),""))</f>
        <v/>
      </c>
    </row>
    <row r="838">
      <c r="A838" s="122" t="n"/>
      <c r="B838" s="107" t="n"/>
      <c r="C838" s="105" t="n"/>
      <c r="D838" s="92">
        <f>IF(C838="","",IFERROR(INDEX(Roster!$C$6:$C$65,IFERROR(MATCH(C838,Roster!$B$6:$B$65,0),MATCH(C838,Roster!$C$6:$C$65,0))),"not on the Roster"))</f>
        <v/>
      </c>
      <c r="E838" s="106" t="n"/>
      <c r="F838" s="104">
        <f>IF(OR(A838="",C838="",B838=""),"",IFERROR(INDEX(CHOOSE(IF(YEAR(A838)&gt;PlanYear,13,MONTH(A838)),'Jan'!$D$27:$AH$266,'Feb'!$D$27:$AH$266,'Mar'!$D$27:$AH$266,'Apr'!$D$27:$AH$266,'May'!$D$27:$AH$266,'Jun'!$D$27:$AH$266,'Jul'!$D$27:$AH$266,'Aug'!$D$27:$AH$266,'Sep'!$D$27:$AH$266,'Oct'!$D$27:$AH$266,'Nov'!$D$27:$AH$266,'Dec'!$D$27:$AH$266,'Jan (next year)'!$D$27:$AH$266),27+4*(IFERROR(MATCH(C838,Roster!$B$6:$B$65,0),MATCH(C838,Roster!$C$6:$C$65,0))-1)+MATCH(B838,{"AM","PM","NIGHT","WD"},0)-1-27+1,DAY(A838))&amp;"",""))</f>
        <v/>
      </c>
      <c r="G838" s="123">
        <f>IF(OR(A838="",C838="",B838="",E838=""),"",IFERROR(A838&amp;"|"&amp;(27+4*(IFERROR(MATCH(C838,Roster!$B$6:$B$65,0),MATCH(C838,Roster!$C$6:$C$65,0))-1)+MATCH(B838,{"AM","PM","NIGHT","WD"},0)-1),""))</f>
        <v/>
      </c>
    </row>
    <row r="839">
      <c r="A839" s="122" t="n"/>
      <c r="B839" s="107" t="n"/>
      <c r="C839" s="105" t="n"/>
      <c r="D839" s="92">
        <f>IF(C839="","",IFERROR(INDEX(Roster!$C$6:$C$65,IFERROR(MATCH(C839,Roster!$B$6:$B$65,0),MATCH(C839,Roster!$C$6:$C$65,0))),"not on the Roster"))</f>
        <v/>
      </c>
      <c r="E839" s="106" t="n"/>
      <c r="F839" s="104">
        <f>IF(OR(A839="",C839="",B839=""),"",IFERROR(INDEX(CHOOSE(IF(YEAR(A839)&gt;PlanYear,13,MONTH(A839)),'Jan'!$D$27:$AH$266,'Feb'!$D$27:$AH$266,'Mar'!$D$27:$AH$266,'Apr'!$D$27:$AH$266,'May'!$D$27:$AH$266,'Jun'!$D$27:$AH$266,'Jul'!$D$27:$AH$266,'Aug'!$D$27:$AH$266,'Sep'!$D$27:$AH$266,'Oct'!$D$27:$AH$266,'Nov'!$D$27:$AH$266,'Dec'!$D$27:$AH$266,'Jan (next year)'!$D$27:$AH$266),27+4*(IFERROR(MATCH(C839,Roster!$B$6:$B$65,0),MATCH(C839,Roster!$C$6:$C$65,0))-1)+MATCH(B839,{"AM","PM","NIGHT","WD"},0)-1-27+1,DAY(A839))&amp;"",""))</f>
        <v/>
      </c>
      <c r="G839" s="123">
        <f>IF(OR(A839="",C839="",B839="",E839=""),"",IFERROR(A839&amp;"|"&amp;(27+4*(IFERROR(MATCH(C839,Roster!$B$6:$B$65,0),MATCH(C839,Roster!$C$6:$C$65,0))-1)+MATCH(B839,{"AM","PM","NIGHT","WD"},0)-1),""))</f>
        <v/>
      </c>
    </row>
    <row r="840">
      <c r="A840" s="122" t="n"/>
      <c r="B840" s="107" t="n"/>
      <c r="C840" s="105" t="n"/>
      <c r="D840" s="92">
        <f>IF(C840="","",IFERROR(INDEX(Roster!$C$6:$C$65,IFERROR(MATCH(C840,Roster!$B$6:$B$65,0),MATCH(C840,Roster!$C$6:$C$65,0))),"not on the Roster"))</f>
        <v/>
      </c>
      <c r="E840" s="106" t="n"/>
      <c r="F840" s="104">
        <f>IF(OR(A840="",C840="",B840=""),"",IFERROR(INDEX(CHOOSE(IF(YEAR(A840)&gt;PlanYear,13,MONTH(A840)),'Jan'!$D$27:$AH$266,'Feb'!$D$27:$AH$266,'Mar'!$D$27:$AH$266,'Apr'!$D$27:$AH$266,'May'!$D$27:$AH$266,'Jun'!$D$27:$AH$266,'Jul'!$D$27:$AH$266,'Aug'!$D$27:$AH$266,'Sep'!$D$27:$AH$266,'Oct'!$D$27:$AH$266,'Nov'!$D$27:$AH$266,'Dec'!$D$27:$AH$266,'Jan (next year)'!$D$27:$AH$266),27+4*(IFERROR(MATCH(C840,Roster!$B$6:$B$65,0),MATCH(C840,Roster!$C$6:$C$65,0))-1)+MATCH(B840,{"AM","PM","NIGHT","WD"},0)-1-27+1,DAY(A840))&amp;"",""))</f>
        <v/>
      </c>
      <c r="G840" s="123">
        <f>IF(OR(A840="",C840="",B840="",E840=""),"",IFERROR(A840&amp;"|"&amp;(27+4*(IFERROR(MATCH(C840,Roster!$B$6:$B$65,0),MATCH(C840,Roster!$C$6:$C$65,0))-1)+MATCH(B840,{"AM","PM","NIGHT","WD"},0)-1),""))</f>
        <v/>
      </c>
    </row>
    <row r="841">
      <c r="A841" s="122" t="n"/>
      <c r="B841" s="107" t="n"/>
      <c r="C841" s="105" t="n"/>
      <c r="D841" s="92">
        <f>IF(C841="","",IFERROR(INDEX(Roster!$C$6:$C$65,IFERROR(MATCH(C841,Roster!$B$6:$B$65,0),MATCH(C841,Roster!$C$6:$C$65,0))),"not on the Roster"))</f>
        <v/>
      </c>
      <c r="E841" s="106" t="n"/>
      <c r="F841" s="104">
        <f>IF(OR(A841="",C841="",B841=""),"",IFERROR(INDEX(CHOOSE(IF(YEAR(A841)&gt;PlanYear,13,MONTH(A841)),'Jan'!$D$27:$AH$266,'Feb'!$D$27:$AH$266,'Mar'!$D$27:$AH$266,'Apr'!$D$27:$AH$266,'May'!$D$27:$AH$266,'Jun'!$D$27:$AH$266,'Jul'!$D$27:$AH$266,'Aug'!$D$27:$AH$266,'Sep'!$D$27:$AH$266,'Oct'!$D$27:$AH$266,'Nov'!$D$27:$AH$266,'Dec'!$D$27:$AH$266,'Jan (next year)'!$D$27:$AH$266),27+4*(IFERROR(MATCH(C841,Roster!$B$6:$B$65,0),MATCH(C841,Roster!$C$6:$C$65,0))-1)+MATCH(B841,{"AM","PM","NIGHT","WD"},0)-1-27+1,DAY(A841))&amp;"",""))</f>
        <v/>
      </c>
      <c r="G841" s="123">
        <f>IF(OR(A841="",C841="",B841="",E841=""),"",IFERROR(A841&amp;"|"&amp;(27+4*(IFERROR(MATCH(C841,Roster!$B$6:$B$65,0),MATCH(C841,Roster!$C$6:$C$65,0))-1)+MATCH(B841,{"AM","PM","NIGHT","WD"},0)-1),""))</f>
        <v/>
      </c>
    </row>
    <row r="842">
      <c r="A842" s="122" t="n"/>
      <c r="B842" s="107" t="n"/>
      <c r="C842" s="105" t="n"/>
      <c r="D842" s="92">
        <f>IF(C842="","",IFERROR(INDEX(Roster!$C$6:$C$65,IFERROR(MATCH(C842,Roster!$B$6:$B$65,0),MATCH(C842,Roster!$C$6:$C$65,0))),"not on the Roster"))</f>
        <v/>
      </c>
      <c r="E842" s="106" t="n"/>
      <c r="F842" s="104">
        <f>IF(OR(A842="",C842="",B842=""),"",IFERROR(INDEX(CHOOSE(IF(YEAR(A842)&gt;PlanYear,13,MONTH(A842)),'Jan'!$D$27:$AH$266,'Feb'!$D$27:$AH$266,'Mar'!$D$27:$AH$266,'Apr'!$D$27:$AH$266,'May'!$D$27:$AH$266,'Jun'!$D$27:$AH$266,'Jul'!$D$27:$AH$266,'Aug'!$D$27:$AH$266,'Sep'!$D$27:$AH$266,'Oct'!$D$27:$AH$266,'Nov'!$D$27:$AH$266,'Dec'!$D$27:$AH$266,'Jan (next year)'!$D$27:$AH$266),27+4*(IFERROR(MATCH(C842,Roster!$B$6:$B$65,0),MATCH(C842,Roster!$C$6:$C$65,0))-1)+MATCH(B842,{"AM","PM","NIGHT","WD"},0)-1-27+1,DAY(A842))&amp;"",""))</f>
        <v/>
      </c>
      <c r="G842" s="123">
        <f>IF(OR(A842="",C842="",B842="",E842=""),"",IFERROR(A842&amp;"|"&amp;(27+4*(IFERROR(MATCH(C842,Roster!$B$6:$B$65,0),MATCH(C842,Roster!$C$6:$C$65,0))-1)+MATCH(B842,{"AM","PM","NIGHT","WD"},0)-1),""))</f>
        <v/>
      </c>
    </row>
    <row r="843">
      <c r="A843" s="122" t="n"/>
      <c r="B843" s="107" t="n"/>
      <c r="C843" s="105" t="n"/>
      <c r="D843" s="92">
        <f>IF(C843="","",IFERROR(INDEX(Roster!$C$6:$C$65,IFERROR(MATCH(C843,Roster!$B$6:$B$65,0),MATCH(C843,Roster!$C$6:$C$65,0))),"not on the Roster"))</f>
        <v/>
      </c>
      <c r="E843" s="106" t="n"/>
      <c r="F843" s="104">
        <f>IF(OR(A843="",C843="",B843=""),"",IFERROR(INDEX(CHOOSE(IF(YEAR(A843)&gt;PlanYear,13,MONTH(A843)),'Jan'!$D$27:$AH$266,'Feb'!$D$27:$AH$266,'Mar'!$D$27:$AH$266,'Apr'!$D$27:$AH$266,'May'!$D$27:$AH$266,'Jun'!$D$27:$AH$266,'Jul'!$D$27:$AH$266,'Aug'!$D$27:$AH$266,'Sep'!$D$27:$AH$266,'Oct'!$D$27:$AH$266,'Nov'!$D$27:$AH$266,'Dec'!$D$27:$AH$266,'Jan (next year)'!$D$27:$AH$266),27+4*(IFERROR(MATCH(C843,Roster!$B$6:$B$65,0),MATCH(C843,Roster!$C$6:$C$65,0))-1)+MATCH(B843,{"AM","PM","NIGHT","WD"},0)-1-27+1,DAY(A843))&amp;"",""))</f>
        <v/>
      </c>
      <c r="G843" s="123">
        <f>IF(OR(A843="",C843="",B843="",E843=""),"",IFERROR(A843&amp;"|"&amp;(27+4*(IFERROR(MATCH(C843,Roster!$B$6:$B$65,0),MATCH(C843,Roster!$C$6:$C$65,0))-1)+MATCH(B843,{"AM","PM","NIGHT","WD"},0)-1),""))</f>
        <v/>
      </c>
    </row>
    <row r="844">
      <c r="A844" s="122" t="n"/>
      <c r="B844" s="107" t="n"/>
      <c r="C844" s="105" t="n"/>
      <c r="D844" s="92">
        <f>IF(C844="","",IFERROR(INDEX(Roster!$C$6:$C$65,IFERROR(MATCH(C844,Roster!$B$6:$B$65,0),MATCH(C844,Roster!$C$6:$C$65,0))),"not on the Roster"))</f>
        <v/>
      </c>
      <c r="E844" s="106" t="n"/>
      <c r="F844" s="104">
        <f>IF(OR(A844="",C844="",B844=""),"",IFERROR(INDEX(CHOOSE(IF(YEAR(A844)&gt;PlanYear,13,MONTH(A844)),'Jan'!$D$27:$AH$266,'Feb'!$D$27:$AH$266,'Mar'!$D$27:$AH$266,'Apr'!$D$27:$AH$266,'May'!$D$27:$AH$266,'Jun'!$D$27:$AH$266,'Jul'!$D$27:$AH$266,'Aug'!$D$27:$AH$266,'Sep'!$D$27:$AH$266,'Oct'!$D$27:$AH$266,'Nov'!$D$27:$AH$266,'Dec'!$D$27:$AH$266,'Jan (next year)'!$D$27:$AH$266),27+4*(IFERROR(MATCH(C844,Roster!$B$6:$B$65,0),MATCH(C844,Roster!$C$6:$C$65,0))-1)+MATCH(B844,{"AM","PM","NIGHT","WD"},0)-1-27+1,DAY(A844))&amp;"",""))</f>
        <v/>
      </c>
      <c r="G844" s="123">
        <f>IF(OR(A844="",C844="",B844="",E844=""),"",IFERROR(A844&amp;"|"&amp;(27+4*(IFERROR(MATCH(C844,Roster!$B$6:$B$65,0),MATCH(C844,Roster!$C$6:$C$65,0))-1)+MATCH(B844,{"AM","PM","NIGHT","WD"},0)-1),""))</f>
        <v/>
      </c>
    </row>
    <row r="845">
      <c r="A845" s="122" t="n"/>
      <c r="B845" s="107" t="n"/>
      <c r="C845" s="105" t="n"/>
      <c r="D845" s="92">
        <f>IF(C845="","",IFERROR(INDEX(Roster!$C$6:$C$65,IFERROR(MATCH(C845,Roster!$B$6:$B$65,0),MATCH(C845,Roster!$C$6:$C$65,0))),"not on the Roster"))</f>
        <v/>
      </c>
      <c r="E845" s="106" t="n"/>
      <c r="F845" s="104">
        <f>IF(OR(A845="",C845="",B845=""),"",IFERROR(INDEX(CHOOSE(IF(YEAR(A845)&gt;PlanYear,13,MONTH(A845)),'Jan'!$D$27:$AH$266,'Feb'!$D$27:$AH$266,'Mar'!$D$27:$AH$266,'Apr'!$D$27:$AH$266,'May'!$D$27:$AH$266,'Jun'!$D$27:$AH$266,'Jul'!$D$27:$AH$266,'Aug'!$D$27:$AH$266,'Sep'!$D$27:$AH$266,'Oct'!$D$27:$AH$266,'Nov'!$D$27:$AH$266,'Dec'!$D$27:$AH$266,'Jan (next year)'!$D$27:$AH$266),27+4*(IFERROR(MATCH(C845,Roster!$B$6:$B$65,0),MATCH(C845,Roster!$C$6:$C$65,0))-1)+MATCH(B845,{"AM","PM","NIGHT","WD"},0)-1-27+1,DAY(A845))&amp;"",""))</f>
        <v/>
      </c>
      <c r="G845" s="123">
        <f>IF(OR(A845="",C845="",B845="",E845=""),"",IFERROR(A845&amp;"|"&amp;(27+4*(IFERROR(MATCH(C845,Roster!$B$6:$B$65,0),MATCH(C845,Roster!$C$6:$C$65,0))-1)+MATCH(B845,{"AM","PM","NIGHT","WD"},0)-1),""))</f>
        <v/>
      </c>
    </row>
    <row r="846">
      <c r="A846" s="122" t="n"/>
      <c r="B846" s="107" t="n"/>
      <c r="C846" s="105" t="n"/>
      <c r="D846" s="92">
        <f>IF(C846="","",IFERROR(INDEX(Roster!$C$6:$C$65,IFERROR(MATCH(C846,Roster!$B$6:$B$65,0),MATCH(C846,Roster!$C$6:$C$65,0))),"not on the Roster"))</f>
        <v/>
      </c>
      <c r="E846" s="106" t="n"/>
      <c r="F846" s="104">
        <f>IF(OR(A846="",C846="",B846=""),"",IFERROR(INDEX(CHOOSE(IF(YEAR(A846)&gt;PlanYear,13,MONTH(A846)),'Jan'!$D$27:$AH$266,'Feb'!$D$27:$AH$266,'Mar'!$D$27:$AH$266,'Apr'!$D$27:$AH$266,'May'!$D$27:$AH$266,'Jun'!$D$27:$AH$266,'Jul'!$D$27:$AH$266,'Aug'!$D$27:$AH$266,'Sep'!$D$27:$AH$266,'Oct'!$D$27:$AH$266,'Nov'!$D$27:$AH$266,'Dec'!$D$27:$AH$266,'Jan (next year)'!$D$27:$AH$266),27+4*(IFERROR(MATCH(C846,Roster!$B$6:$B$65,0),MATCH(C846,Roster!$C$6:$C$65,0))-1)+MATCH(B846,{"AM","PM","NIGHT","WD"},0)-1-27+1,DAY(A846))&amp;"",""))</f>
        <v/>
      </c>
      <c r="G846" s="123">
        <f>IF(OR(A846="",C846="",B846="",E846=""),"",IFERROR(A846&amp;"|"&amp;(27+4*(IFERROR(MATCH(C846,Roster!$B$6:$B$65,0),MATCH(C846,Roster!$C$6:$C$65,0))-1)+MATCH(B846,{"AM","PM","NIGHT","WD"},0)-1),""))</f>
        <v/>
      </c>
    </row>
    <row r="847">
      <c r="A847" s="122" t="n"/>
      <c r="B847" s="107" t="n"/>
      <c r="C847" s="105" t="n"/>
      <c r="D847" s="92">
        <f>IF(C847="","",IFERROR(INDEX(Roster!$C$6:$C$65,IFERROR(MATCH(C847,Roster!$B$6:$B$65,0),MATCH(C847,Roster!$C$6:$C$65,0))),"not on the Roster"))</f>
        <v/>
      </c>
      <c r="E847" s="106" t="n"/>
      <c r="F847" s="104">
        <f>IF(OR(A847="",C847="",B847=""),"",IFERROR(INDEX(CHOOSE(IF(YEAR(A847)&gt;PlanYear,13,MONTH(A847)),'Jan'!$D$27:$AH$266,'Feb'!$D$27:$AH$266,'Mar'!$D$27:$AH$266,'Apr'!$D$27:$AH$266,'May'!$D$27:$AH$266,'Jun'!$D$27:$AH$266,'Jul'!$D$27:$AH$266,'Aug'!$D$27:$AH$266,'Sep'!$D$27:$AH$266,'Oct'!$D$27:$AH$266,'Nov'!$D$27:$AH$266,'Dec'!$D$27:$AH$266,'Jan (next year)'!$D$27:$AH$266),27+4*(IFERROR(MATCH(C847,Roster!$B$6:$B$65,0),MATCH(C847,Roster!$C$6:$C$65,0))-1)+MATCH(B847,{"AM","PM","NIGHT","WD"},0)-1-27+1,DAY(A847))&amp;"",""))</f>
        <v/>
      </c>
      <c r="G847" s="123">
        <f>IF(OR(A847="",C847="",B847="",E847=""),"",IFERROR(A847&amp;"|"&amp;(27+4*(IFERROR(MATCH(C847,Roster!$B$6:$B$65,0),MATCH(C847,Roster!$C$6:$C$65,0))-1)+MATCH(B847,{"AM","PM","NIGHT","WD"},0)-1),""))</f>
        <v/>
      </c>
    </row>
    <row r="848">
      <c r="A848" s="122" t="n"/>
      <c r="B848" s="107" t="n"/>
      <c r="C848" s="105" t="n"/>
      <c r="D848" s="92">
        <f>IF(C848="","",IFERROR(INDEX(Roster!$C$6:$C$65,IFERROR(MATCH(C848,Roster!$B$6:$B$65,0),MATCH(C848,Roster!$C$6:$C$65,0))),"not on the Roster"))</f>
        <v/>
      </c>
      <c r="E848" s="106" t="n"/>
      <c r="F848" s="104">
        <f>IF(OR(A848="",C848="",B848=""),"",IFERROR(INDEX(CHOOSE(IF(YEAR(A848)&gt;PlanYear,13,MONTH(A848)),'Jan'!$D$27:$AH$266,'Feb'!$D$27:$AH$266,'Mar'!$D$27:$AH$266,'Apr'!$D$27:$AH$266,'May'!$D$27:$AH$266,'Jun'!$D$27:$AH$266,'Jul'!$D$27:$AH$266,'Aug'!$D$27:$AH$266,'Sep'!$D$27:$AH$266,'Oct'!$D$27:$AH$266,'Nov'!$D$27:$AH$266,'Dec'!$D$27:$AH$266,'Jan (next year)'!$D$27:$AH$266),27+4*(IFERROR(MATCH(C848,Roster!$B$6:$B$65,0),MATCH(C848,Roster!$C$6:$C$65,0))-1)+MATCH(B848,{"AM","PM","NIGHT","WD"},0)-1-27+1,DAY(A848))&amp;"",""))</f>
        <v/>
      </c>
      <c r="G848" s="123">
        <f>IF(OR(A848="",C848="",B848="",E848=""),"",IFERROR(A848&amp;"|"&amp;(27+4*(IFERROR(MATCH(C848,Roster!$B$6:$B$65,0),MATCH(C848,Roster!$C$6:$C$65,0))-1)+MATCH(B848,{"AM","PM","NIGHT","WD"},0)-1),""))</f>
        <v/>
      </c>
    </row>
    <row r="849">
      <c r="A849" s="122" t="n"/>
      <c r="B849" s="107" t="n"/>
      <c r="C849" s="105" t="n"/>
      <c r="D849" s="92">
        <f>IF(C849="","",IFERROR(INDEX(Roster!$C$6:$C$65,IFERROR(MATCH(C849,Roster!$B$6:$B$65,0),MATCH(C849,Roster!$C$6:$C$65,0))),"not on the Roster"))</f>
        <v/>
      </c>
      <c r="E849" s="106" t="n"/>
      <c r="F849" s="104">
        <f>IF(OR(A849="",C849="",B849=""),"",IFERROR(INDEX(CHOOSE(IF(YEAR(A849)&gt;PlanYear,13,MONTH(A849)),'Jan'!$D$27:$AH$266,'Feb'!$D$27:$AH$266,'Mar'!$D$27:$AH$266,'Apr'!$D$27:$AH$266,'May'!$D$27:$AH$266,'Jun'!$D$27:$AH$266,'Jul'!$D$27:$AH$266,'Aug'!$D$27:$AH$266,'Sep'!$D$27:$AH$266,'Oct'!$D$27:$AH$266,'Nov'!$D$27:$AH$266,'Dec'!$D$27:$AH$266,'Jan (next year)'!$D$27:$AH$266),27+4*(IFERROR(MATCH(C849,Roster!$B$6:$B$65,0),MATCH(C849,Roster!$C$6:$C$65,0))-1)+MATCH(B849,{"AM","PM","NIGHT","WD"},0)-1-27+1,DAY(A849))&amp;"",""))</f>
        <v/>
      </c>
      <c r="G849" s="123">
        <f>IF(OR(A849="",C849="",B849="",E849=""),"",IFERROR(A849&amp;"|"&amp;(27+4*(IFERROR(MATCH(C849,Roster!$B$6:$B$65,0),MATCH(C849,Roster!$C$6:$C$65,0))-1)+MATCH(B849,{"AM","PM","NIGHT","WD"},0)-1),""))</f>
        <v/>
      </c>
    </row>
    <row r="850">
      <c r="A850" s="122" t="n"/>
      <c r="B850" s="107" t="n"/>
      <c r="C850" s="105" t="n"/>
      <c r="D850" s="92">
        <f>IF(C850="","",IFERROR(INDEX(Roster!$C$6:$C$65,IFERROR(MATCH(C850,Roster!$B$6:$B$65,0),MATCH(C850,Roster!$C$6:$C$65,0))),"not on the Roster"))</f>
        <v/>
      </c>
      <c r="E850" s="106" t="n"/>
      <c r="F850" s="104">
        <f>IF(OR(A850="",C850="",B850=""),"",IFERROR(INDEX(CHOOSE(IF(YEAR(A850)&gt;PlanYear,13,MONTH(A850)),'Jan'!$D$27:$AH$266,'Feb'!$D$27:$AH$266,'Mar'!$D$27:$AH$266,'Apr'!$D$27:$AH$266,'May'!$D$27:$AH$266,'Jun'!$D$27:$AH$266,'Jul'!$D$27:$AH$266,'Aug'!$D$27:$AH$266,'Sep'!$D$27:$AH$266,'Oct'!$D$27:$AH$266,'Nov'!$D$27:$AH$266,'Dec'!$D$27:$AH$266,'Jan (next year)'!$D$27:$AH$266),27+4*(IFERROR(MATCH(C850,Roster!$B$6:$B$65,0),MATCH(C850,Roster!$C$6:$C$65,0))-1)+MATCH(B850,{"AM","PM","NIGHT","WD"},0)-1-27+1,DAY(A850))&amp;"",""))</f>
        <v/>
      </c>
      <c r="G850" s="123">
        <f>IF(OR(A850="",C850="",B850="",E850=""),"",IFERROR(A850&amp;"|"&amp;(27+4*(IFERROR(MATCH(C850,Roster!$B$6:$B$65,0),MATCH(C850,Roster!$C$6:$C$65,0))-1)+MATCH(B850,{"AM","PM","NIGHT","WD"},0)-1),""))</f>
        <v/>
      </c>
    </row>
    <row r="851">
      <c r="A851" s="122" t="n"/>
      <c r="B851" s="107" t="n"/>
      <c r="C851" s="105" t="n"/>
      <c r="D851" s="92">
        <f>IF(C851="","",IFERROR(INDEX(Roster!$C$6:$C$65,IFERROR(MATCH(C851,Roster!$B$6:$B$65,0),MATCH(C851,Roster!$C$6:$C$65,0))),"not on the Roster"))</f>
        <v/>
      </c>
      <c r="E851" s="106" t="n"/>
      <c r="F851" s="104">
        <f>IF(OR(A851="",C851="",B851=""),"",IFERROR(INDEX(CHOOSE(IF(YEAR(A851)&gt;PlanYear,13,MONTH(A851)),'Jan'!$D$27:$AH$266,'Feb'!$D$27:$AH$266,'Mar'!$D$27:$AH$266,'Apr'!$D$27:$AH$266,'May'!$D$27:$AH$266,'Jun'!$D$27:$AH$266,'Jul'!$D$27:$AH$266,'Aug'!$D$27:$AH$266,'Sep'!$D$27:$AH$266,'Oct'!$D$27:$AH$266,'Nov'!$D$27:$AH$266,'Dec'!$D$27:$AH$266,'Jan (next year)'!$D$27:$AH$266),27+4*(IFERROR(MATCH(C851,Roster!$B$6:$B$65,0),MATCH(C851,Roster!$C$6:$C$65,0))-1)+MATCH(B851,{"AM","PM","NIGHT","WD"},0)-1-27+1,DAY(A851))&amp;"",""))</f>
        <v/>
      </c>
      <c r="G851" s="123">
        <f>IF(OR(A851="",C851="",B851="",E851=""),"",IFERROR(A851&amp;"|"&amp;(27+4*(IFERROR(MATCH(C851,Roster!$B$6:$B$65,0),MATCH(C851,Roster!$C$6:$C$65,0))-1)+MATCH(B851,{"AM","PM","NIGHT","WD"},0)-1),""))</f>
        <v/>
      </c>
    </row>
    <row r="852">
      <c r="A852" s="122" t="n"/>
      <c r="B852" s="107" t="n"/>
      <c r="C852" s="105" t="n"/>
      <c r="D852" s="92">
        <f>IF(C852="","",IFERROR(INDEX(Roster!$C$6:$C$65,IFERROR(MATCH(C852,Roster!$B$6:$B$65,0),MATCH(C852,Roster!$C$6:$C$65,0))),"not on the Roster"))</f>
        <v/>
      </c>
      <c r="E852" s="106" t="n"/>
      <c r="F852" s="104">
        <f>IF(OR(A852="",C852="",B852=""),"",IFERROR(INDEX(CHOOSE(IF(YEAR(A852)&gt;PlanYear,13,MONTH(A852)),'Jan'!$D$27:$AH$266,'Feb'!$D$27:$AH$266,'Mar'!$D$27:$AH$266,'Apr'!$D$27:$AH$266,'May'!$D$27:$AH$266,'Jun'!$D$27:$AH$266,'Jul'!$D$27:$AH$266,'Aug'!$D$27:$AH$266,'Sep'!$D$27:$AH$266,'Oct'!$D$27:$AH$266,'Nov'!$D$27:$AH$266,'Dec'!$D$27:$AH$266,'Jan (next year)'!$D$27:$AH$266),27+4*(IFERROR(MATCH(C852,Roster!$B$6:$B$65,0),MATCH(C852,Roster!$C$6:$C$65,0))-1)+MATCH(B852,{"AM","PM","NIGHT","WD"},0)-1-27+1,DAY(A852))&amp;"",""))</f>
        <v/>
      </c>
      <c r="G852" s="123">
        <f>IF(OR(A852="",C852="",B852="",E852=""),"",IFERROR(A852&amp;"|"&amp;(27+4*(IFERROR(MATCH(C852,Roster!$B$6:$B$65,0),MATCH(C852,Roster!$C$6:$C$65,0))-1)+MATCH(B852,{"AM","PM","NIGHT","WD"},0)-1),""))</f>
        <v/>
      </c>
    </row>
    <row r="853">
      <c r="A853" s="122" t="n"/>
      <c r="B853" s="107" t="n"/>
      <c r="C853" s="105" t="n"/>
      <c r="D853" s="92">
        <f>IF(C853="","",IFERROR(INDEX(Roster!$C$6:$C$65,IFERROR(MATCH(C853,Roster!$B$6:$B$65,0),MATCH(C853,Roster!$C$6:$C$65,0))),"not on the Roster"))</f>
        <v/>
      </c>
      <c r="E853" s="106" t="n"/>
      <c r="F853" s="104">
        <f>IF(OR(A853="",C853="",B853=""),"",IFERROR(INDEX(CHOOSE(IF(YEAR(A853)&gt;PlanYear,13,MONTH(A853)),'Jan'!$D$27:$AH$266,'Feb'!$D$27:$AH$266,'Mar'!$D$27:$AH$266,'Apr'!$D$27:$AH$266,'May'!$D$27:$AH$266,'Jun'!$D$27:$AH$266,'Jul'!$D$27:$AH$266,'Aug'!$D$27:$AH$266,'Sep'!$D$27:$AH$266,'Oct'!$D$27:$AH$266,'Nov'!$D$27:$AH$266,'Dec'!$D$27:$AH$266,'Jan (next year)'!$D$27:$AH$266),27+4*(IFERROR(MATCH(C853,Roster!$B$6:$B$65,0),MATCH(C853,Roster!$C$6:$C$65,0))-1)+MATCH(B853,{"AM","PM","NIGHT","WD"},0)-1-27+1,DAY(A853))&amp;"",""))</f>
        <v/>
      </c>
      <c r="G853" s="123">
        <f>IF(OR(A853="",C853="",B853="",E853=""),"",IFERROR(A853&amp;"|"&amp;(27+4*(IFERROR(MATCH(C853,Roster!$B$6:$B$65,0),MATCH(C853,Roster!$C$6:$C$65,0))-1)+MATCH(B853,{"AM","PM","NIGHT","WD"},0)-1),""))</f>
        <v/>
      </c>
    </row>
    <row r="854">
      <c r="A854" s="122" t="n"/>
      <c r="B854" s="107" t="n"/>
      <c r="C854" s="105" t="n"/>
      <c r="D854" s="92">
        <f>IF(C854="","",IFERROR(INDEX(Roster!$C$6:$C$65,IFERROR(MATCH(C854,Roster!$B$6:$B$65,0),MATCH(C854,Roster!$C$6:$C$65,0))),"not on the Roster"))</f>
        <v/>
      </c>
      <c r="E854" s="106" t="n"/>
      <c r="F854" s="104">
        <f>IF(OR(A854="",C854="",B854=""),"",IFERROR(INDEX(CHOOSE(IF(YEAR(A854)&gt;PlanYear,13,MONTH(A854)),'Jan'!$D$27:$AH$266,'Feb'!$D$27:$AH$266,'Mar'!$D$27:$AH$266,'Apr'!$D$27:$AH$266,'May'!$D$27:$AH$266,'Jun'!$D$27:$AH$266,'Jul'!$D$27:$AH$266,'Aug'!$D$27:$AH$266,'Sep'!$D$27:$AH$266,'Oct'!$D$27:$AH$266,'Nov'!$D$27:$AH$266,'Dec'!$D$27:$AH$266,'Jan (next year)'!$D$27:$AH$266),27+4*(IFERROR(MATCH(C854,Roster!$B$6:$B$65,0),MATCH(C854,Roster!$C$6:$C$65,0))-1)+MATCH(B854,{"AM","PM","NIGHT","WD"},0)-1-27+1,DAY(A854))&amp;"",""))</f>
        <v/>
      </c>
      <c r="G854" s="123">
        <f>IF(OR(A854="",C854="",B854="",E854=""),"",IFERROR(A854&amp;"|"&amp;(27+4*(IFERROR(MATCH(C854,Roster!$B$6:$B$65,0),MATCH(C854,Roster!$C$6:$C$65,0))-1)+MATCH(B854,{"AM","PM","NIGHT","WD"},0)-1),""))</f>
        <v/>
      </c>
    </row>
    <row r="855">
      <c r="A855" s="122" t="n"/>
      <c r="B855" s="107" t="n"/>
      <c r="C855" s="105" t="n"/>
      <c r="D855" s="92">
        <f>IF(C855="","",IFERROR(INDEX(Roster!$C$6:$C$65,IFERROR(MATCH(C855,Roster!$B$6:$B$65,0),MATCH(C855,Roster!$C$6:$C$65,0))),"not on the Roster"))</f>
        <v/>
      </c>
      <c r="E855" s="106" t="n"/>
      <c r="F855" s="104">
        <f>IF(OR(A855="",C855="",B855=""),"",IFERROR(INDEX(CHOOSE(IF(YEAR(A855)&gt;PlanYear,13,MONTH(A855)),'Jan'!$D$27:$AH$266,'Feb'!$D$27:$AH$266,'Mar'!$D$27:$AH$266,'Apr'!$D$27:$AH$266,'May'!$D$27:$AH$266,'Jun'!$D$27:$AH$266,'Jul'!$D$27:$AH$266,'Aug'!$D$27:$AH$266,'Sep'!$D$27:$AH$266,'Oct'!$D$27:$AH$266,'Nov'!$D$27:$AH$266,'Dec'!$D$27:$AH$266,'Jan (next year)'!$D$27:$AH$266),27+4*(IFERROR(MATCH(C855,Roster!$B$6:$B$65,0),MATCH(C855,Roster!$C$6:$C$65,0))-1)+MATCH(B855,{"AM","PM","NIGHT","WD"},0)-1-27+1,DAY(A855))&amp;"",""))</f>
        <v/>
      </c>
      <c r="G855" s="123">
        <f>IF(OR(A855="",C855="",B855="",E855=""),"",IFERROR(A855&amp;"|"&amp;(27+4*(IFERROR(MATCH(C855,Roster!$B$6:$B$65,0),MATCH(C855,Roster!$C$6:$C$65,0))-1)+MATCH(B855,{"AM","PM","NIGHT","WD"},0)-1),""))</f>
        <v/>
      </c>
    </row>
    <row r="856">
      <c r="A856" s="122" t="n"/>
      <c r="B856" s="107" t="n"/>
      <c r="C856" s="105" t="n"/>
      <c r="D856" s="92">
        <f>IF(C856="","",IFERROR(INDEX(Roster!$C$6:$C$65,IFERROR(MATCH(C856,Roster!$B$6:$B$65,0),MATCH(C856,Roster!$C$6:$C$65,0))),"not on the Roster"))</f>
        <v/>
      </c>
      <c r="E856" s="106" t="n"/>
      <c r="F856" s="104">
        <f>IF(OR(A856="",C856="",B856=""),"",IFERROR(INDEX(CHOOSE(IF(YEAR(A856)&gt;PlanYear,13,MONTH(A856)),'Jan'!$D$27:$AH$266,'Feb'!$D$27:$AH$266,'Mar'!$D$27:$AH$266,'Apr'!$D$27:$AH$266,'May'!$D$27:$AH$266,'Jun'!$D$27:$AH$266,'Jul'!$D$27:$AH$266,'Aug'!$D$27:$AH$266,'Sep'!$D$27:$AH$266,'Oct'!$D$27:$AH$266,'Nov'!$D$27:$AH$266,'Dec'!$D$27:$AH$266,'Jan (next year)'!$D$27:$AH$266),27+4*(IFERROR(MATCH(C856,Roster!$B$6:$B$65,0),MATCH(C856,Roster!$C$6:$C$65,0))-1)+MATCH(B856,{"AM","PM","NIGHT","WD"},0)-1-27+1,DAY(A856))&amp;"",""))</f>
        <v/>
      </c>
      <c r="G856" s="123">
        <f>IF(OR(A856="",C856="",B856="",E856=""),"",IFERROR(A856&amp;"|"&amp;(27+4*(IFERROR(MATCH(C856,Roster!$B$6:$B$65,0),MATCH(C856,Roster!$C$6:$C$65,0))-1)+MATCH(B856,{"AM","PM","NIGHT","WD"},0)-1),""))</f>
        <v/>
      </c>
    </row>
    <row r="857">
      <c r="A857" s="122" t="n"/>
      <c r="B857" s="107" t="n"/>
      <c r="C857" s="105" t="n"/>
      <c r="D857" s="92">
        <f>IF(C857="","",IFERROR(INDEX(Roster!$C$6:$C$65,IFERROR(MATCH(C857,Roster!$B$6:$B$65,0),MATCH(C857,Roster!$C$6:$C$65,0))),"not on the Roster"))</f>
        <v/>
      </c>
      <c r="E857" s="106" t="n"/>
      <c r="F857" s="104">
        <f>IF(OR(A857="",C857="",B857=""),"",IFERROR(INDEX(CHOOSE(IF(YEAR(A857)&gt;PlanYear,13,MONTH(A857)),'Jan'!$D$27:$AH$266,'Feb'!$D$27:$AH$266,'Mar'!$D$27:$AH$266,'Apr'!$D$27:$AH$266,'May'!$D$27:$AH$266,'Jun'!$D$27:$AH$266,'Jul'!$D$27:$AH$266,'Aug'!$D$27:$AH$266,'Sep'!$D$27:$AH$266,'Oct'!$D$27:$AH$266,'Nov'!$D$27:$AH$266,'Dec'!$D$27:$AH$266,'Jan (next year)'!$D$27:$AH$266),27+4*(IFERROR(MATCH(C857,Roster!$B$6:$B$65,0),MATCH(C857,Roster!$C$6:$C$65,0))-1)+MATCH(B857,{"AM","PM","NIGHT","WD"},0)-1-27+1,DAY(A857))&amp;"",""))</f>
        <v/>
      </c>
      <c r="G857" s="123">
        <f>IF(OR(A857="",C857="",B857="",E857=""),"",IFERROR(A857&amp;"|"&amp;(27+4*(IFERROR(MATCH(C857,Roster!$B$6:$B$65,0),MATCH(C857,Roster!$C$6:$C$65,0))-1)+MATCH(B857,{"AM","PM","NIGHT","WD"},0)-1),""))</f>
        <v/>
      </c>
    </row>
    <row r="858">
      <c r="A858" s="122" t="n"/>
      <c r="B858" s="107" t="n"/>
      <c r="C858" s="105" t="n"/>
      <c r="D858" s="92">
        <f>IF(C858="","",IFERROR(INDEX(Roster!$C$6:$C$65,IFERROR(MATCH(C858,Roster!$B$6:$B$65,0),MATCH(C858,Roster!$C$6:$C$65,0))),"not on the Roster"))</f>
        <v/>
      </c>
      <c r="E858" s="106" t="n"/>
      <c r="F858" s="104">
        <f>IF(OR(A858="",C858="",B858=""),"",IFERROR(INDEX(CHOOSE(IF(YEAR(A858)&gt;PlanYear,13,MONTH(A858)),'Jan'!$D$27:$AH$266,'Feb'!$D$27:$AH$266,'Mar'!$D$27:$AH$266,'Apr'!$D$27:$AH$266,'May'!$D$27:$AH$266,'Jun'!$D$27:$AH$266,'Jul'!$D$27:$AH$266,'Aug'!$D$27:$AH$266,'Sep'!$D$27:$AH$266,'Oct'!$D$27:$AH$266,'Nov'!$D$27:$AH$266,'Dec'!$D$27:$AH$266,'Jan (next year)'!$D$27:$AH$266),27+4*(IFERROR(MATCH(C858,Roster!$B$6:$B$65,0),MATCH(C858,Roster!$C$6:$C$65,0))-1)+MATCH(B858,{"AM","PM","NIGHT","WD"},0)-1-27+1,DAY(A858))&amp;"",""))</f>
        <v/>
      </c>
      <c r="G858" s="123">
        <f>IF(OR(A858="",C858="",B858="",E858=""),"",IFERROR(A858&amp;"|"&amp;(27+4*(IFERROR(MATCH(C858,Roster!$B$6:$B$65,0),MATCH(C858,Roster!$C$6:$C$65,0))-1)+MATCH(B858,{"AM","PM","NIGHT","WD"},0)-1),""))</f>
        <v/>
      </c>
    </row>
    <row r="859">
      <c r="A859" s="122" t="n"/>
      <c r="B859" s="107" t="n"/>
      <c r="C859" s="105" t="n"/>
      <c r="D859" s="92">
        <f>IF(C859="","",IFERROR(INDEX(Roster!$C$6:$C$65,IFERROR(MATCH(C859,Roster!$B$6:$B$65,0),MATCH(C859,Roster!$C$6:$C$65,0))),"not on the Roster"))</f>
        <v/>
      </c>
      <c r="E859" s="106" t="n"/>
      <c r="F859" s="104">
        <f>IF(OR(A859="",C859="",B859=""),"",IFERROR(INDEX(CHOOSE(IF(YEAR(A859)&gt;PlanYear,13,MONTH(A859)),'Jan'!$D$27:$AH$266,'Feb'!$D$27:$AH$266,'Mar'!$D$27:$AH$266,'Apr'!$D$27:$AH$266,'May'!$D$27:$AH$266,'Jun'!$D$27:$AH$266,'Jul'!$D$27:$AH$266,'Aug'!$D$27:$AH$266,'Sep'!$D$27:$AH$266,'Oct'!$D$27:$AH$266,'Nov'!$D$27:$AH$266,'Dec'!$D$27:$AH$266,'Jan (next year)'!$D$27:$AH$266),27+4*(IFERROR(MATCH(C859,Roster!$B$6:$B$65,0),MATCH(C859,Roster!$C$6:$C$65,0))-1)+MATCH(B859,{"AM","PM","NIGHT","WD"},0)-1-27+1,DAY(A859))&amp;"",""))</f>
        <v/>
      </c>
      <c r="G859" s="123">
        <f>IF(OR(A859="",C859="",B859="",E859=""),"",IFERROR(A859&amp;"|"&amp;(27+4*(IFERROR(MATCH(C859,Roster!$B$6:$B$65,0),MATCH(C859,Roster!$C$6:$C$65,0))-1)+MATCH(B859,{"AM","PM","NIGHT","WD"},0)-1),""))</f>
        <v/>
      </c>
    </row>
    <row r="860">
      <c r="A860" s="122" t="n"/>
      <c r="B860" s="107" t="n"/>
      <c r="C860" s="105" t="n"/>
      <c r="D860" s="92">
        <f>IF(C860="","",IFERROR(INDEX(Roster!$C$6:$C$65,IFERROR(MATCH(C860,Roster!$B$6:$B$65,0),MATCH(C860,Roster!$C$6:$C$65,0))),"not on the Roster"))</f>
        <v/>
      </c>
      <c r="E860" s="106" t="n"/>
      <c r="F860" s="104">
        <f>IF(OR(A860="",C860="",B860=""),"",IFERROR(INDEX(CHOOSE(IF(YEAR(A860)&gt;PlanYear,13,MONTH(A860)),'Jan'!$D$27:$AH$266,'Feb'!$D$27:$AH$266,'Mar'!$D$27:$AH$266,'Apr'!$D$27:$AH$266,'May'!$D$27:$AH$266,'Jun'!$D$27:$AH$266,'Jul'!$D$27:$AH$266,'Aug'!$D$27:$AH$266,'Sep'!$D$27:$AH$266,'Oct'!$D$27:$AH$266,'Nov'!$D$27:$AH$266,'Dec'!$D$27:$AH$266,'Jan (next year)'!$D$27:$AH$266),27+4*(IFERROR(MATCH(C860,Roster!$B$6:$B$65,0),MATCH(C860,Roster!$C$6:$C$65,0))-1)+MATCH(B860,{"AM","PM","NIGHT","WD"},0)-1-27+1,DAY(A860))&amp;"",""))</f>
        <v/>
      </c>
      <c r="G860" s="123">
        <f>IF(OR(A860="",C860="",B860="",E860=""),"",IFERROR(A860&amp;"|"&amp;(27+4*(IFERROR(MATCH(C860,Roster!$B$6:$B$65,0),MATCH(C860,Roster!$C$6:$C$65,0))-1)+MATCH(B860,{"AM","PM","NIGHT","WD"},0)-1),""))</f>
        <v/>
      </c>
    </row>
    <row r="861">
      <c r="A861" s="122" t="n"/>
      <c r="B861" s="107" t="n"/>
      <c r="C861" s="105" t="n"/>
      <c r="D861" s="92">
        <f>IF(C861="","",IFERROR(INDEX(Roster!$C$6:$C$65,IFERROR(MATCH(C861,Roster!$B$6:$B$65,0),MATCH(C861,Roster!$C$6:$C$65,0))),"not on the Roster"))</f>
        <v/>
      </c>
      <c r="E861" s="106" t="n"/>
      <c r="F861" s="104">
        <f>IF(OR(A861="",C861="",B861=""),"",IFERROR(INDEX(CHOOSE(IF(YEAR(A861)&gt;PlanYear,13,MONTH(A861)),'Jan'!$D$27:$AH$266,'Feb'!$D$27:$AH$266,'Mar'!$D$27:$AH$266,'Apr'!$D$27:$AH$266,'May'!$D$27:$AH$266,'Jun'!$D$27:$AH$266,'Jul'!$D$27:$AH$266,'Aug'!$D$27:$AH$266,'Sep'!$D$27:$AH$266,'Oct'!$D$27:$AH$266,'Nov'!$D$27:$AH$266,'Dec'!$D$27:$AH$266,'Jan (next year)'!$D$27:$AH$266),27+4*(IFERROR(MATCH(C861,Roster!$B$6:$B$65,0),MATCH(C861,Roster!$C$6:$C$65,0))-1)+MATCH(B861,{"AM","PM","NIGHT","WD"},0)-1-27+1,DAY(A861))&amp;"",""))</f>
        <v/>
      </c>
      <c r="G861" s="123">
        <f>IF(OR(A861="",C861="",B861="",E861=""),"",IFERROR(A861&amp;"|"&amp;(27+4*(IFERROR(MATCH(C861,Roster!$B$6:$B$65,0),MATCH(C861,Roster!$C$6:$C$65,0))-1)+MATCH(B861,{"AM","PM","NIGHT","WD"},0)-1),""))</f>
        <v/>
      </c>
    </row>
    <row r="862">
      <c r="A862" s="122" t="n"/>
      <c r="B862" s="107" t="n"/>
      <c r="C862" s="105" t="n"/>
      <c r="D862" s="92">
        <f>IF(C862="","",IFERROR(INDEX(Roster!$C$6:$C$65,IFERROR(MATCH(C862,Roster!$B$6:$B$65,0),MATCH(C862,Roster!$C$6:$C$65,0))),"not on the Roster"))</f>
        <v/>
      </c>
      <c r="E862" s="106" t="n"/>
      <c r="F862" s="104">
        <f>IF(OR(A862="",C862="",B862=""),"",IFERROR(INDEX(CHOOSE(IF(YEAR(A862)&gt;PlanYear,13,MONTH(A862)),'Jan'!$D$27:$AH$266,'Feb'!$D$27:$AH$266,'Mar'!$D$27:$AH$266,'Apr'!$D$27:$AH$266,'May'!$D$27:$AH$266,'Jun'!$D$27:$AH$266,'Jul'!$D$27:$AH$266,'Aug'!$D$27:$AH$266,'Sep'!$D$27:$AH$266,'Oct'!$D$27:$AH$266,'Nov'!$D$27:$AH$266,'Dec'!$D$27:$AH$266,'Jan (next year)'!$D$27:$AH$266),27+4*(IFERROR(MATCH(C862,Roster!$B$6:$B$65,0),MATCH(C862,Roster!$C$6:$C$65,0))-1)+MATCH(B862,{"AM","PM","NIGHT","WD"},0)-1-27+1,DAY(A862))&amp;"",""))</f>
        <v/>
      </c>
      <c r="G862" s="123">
        <f>IF(OR(A862="",C862="",B862="",E862=""),"",IFERROR(A862&amp;"|"&amp;(27+4*(IFERROR(MATCH(C862,Roster!$B$6:$B$65,0),MATCH(C862,Roster!$C$6:$C$65,0))-1)+MATCH(B862,{"AM","PM","NIGHT","WD"},0)-1),""))</f>
        <v/>
      </c>
    </row>
    <row r="863">
      <c r="A863" s="122" t="n"/>
      <c r="B863" s="107" t="n"/>
      <c r="C863" s="105" t="n"/>
      <c r="D863" s="92">
        <f>IF(C863="","",IFERROR(INDEX(Roster!$C$6:$C$65,IFERROR(MATCH(C863,Roster!$B$6:$B$65,0),MATCH(C863,Roster!$C$6:$C$65,0))),"not on the Roster"))</f>
        <v/>
      </c>
      <c r="E863" s="106" t="n"/>
      <c r="F863" s="104">
        <f>IF(OR(A863="",C863="",B863=""),"",IFERROR(INDEX(CHOOSE(IF(YEAR(A863)&gt;PlanYear,13,MONTH(A863)),'Jan'!$D$27:$AH$266,'Feb'!$D$27:$AH$266,'Mar'!$D$27:$AH$266,'Apr'!$D$27:$AH$266,'May'!$D$27:$AH$266,'Jun'!$D$27:$AH$266,'Jul'!$D$27:$AH$266,'Aug'!$D$27:$AH$266,'Sep'!$D$27:$AH$266,'Oct'!$D$27:$AH$266,'Nov'!$D$27:$AH$266,'Dec'!$D$27:$AH$266,'Jan (next year)'!$D$27:$AH$266),27+4*(IFERROR(MATCH(C863,Roster!$B$6:$B$65,0),MATCH(C863,Roster!$C$6:$C$65,0))-1)+MATCH(B863,{"AM","PM","NIGHT","WD"},0)-1-27+1,DAY(A863))&amp;"",""))</f>
        <v/>
      </c>
      <c r="G863" s="123">
        <f>IF(OR(A863="",C863="",B863="",E863=""),"",IFERROR(A863&amp;"|"&amp;(27+4*(IFERROR(MATCH(C863,Roster!$B$6:$B$65,0),MATCH(C863,Roster!$C$6:$C$65,0))-1)+MATCH(B863,{"AM","PM","NIGHT","WD"},0)-1),""))</f>
        <v/>
      </c>
    </row>
    <row r="864">
      <c r="A864" s="122" t="n"/>
      <c r="B864" s="107" t="n"/>
      <c r="C864" s="105" t="n"/>
      <c r="D864" s="92">
        <f>IF(C864="","",IFERROR(INDEX(Roster!$C$6:$C$65,IFERROR(MATCH(C864,Roster!$B$6:$B$65,0),MATCH(C864,Roster!$C$6:$C$65,0))),"not on the Roster"))</f>
        <v/>
      </c>
      <c r="E864" s="106" t="n"/>
      <c r="F864" s="104">
        <f>IF(OR(A864="",C864="",B864=""),"",IFERROR(INDEX(CHOOSE(IF(YEAR(A864)&gt;PlanYear,13,MONTH(A864)),'Jan'!$D$27:$AH$266,'Feb'!$D$27:$AH$266,'Mar'!$D$27:$AH$266,'Apr'!$D$27:$AH$266,'May'!$D$27:$AH$266,'Jun'!$D$27:$AH$266,'Jul'!$D$27:$AH$266,'Aug'!$D$27:$AH$266,'Sep'!$D$27:$AH$266,'Oct'!$D$27:$AH$266,'Nov'!$D$27:$AH$266,'Dec'!$D$27:$AH$266,'Jan (next year)'!$D$27:$AH$266),27+4*(IFERROR(MATCH(C864,Roster!$B$6:$B$65,0),MATCH(C864,Roster!$C$6:$C$65,0))-1)+MATCH(B864,{"AM","PM","NIGHT","WD"},0)-1-27+1,DAY(A864))&amp;"",""))</f>
        <v/>
      </c>
      <c r="G864" s="123">
        <f>IF(OR(A864="",C864="",B864="",E864=""),"",IFERROR(A864&amp;"|"&amp;(27+4*(IFERROR(MATCH(C864,Roster!$B$6:$B$65,0),MATCH(C864,Roster!$C$6:$C$65,0))-1)+MATCH(B864,{"AM","PM","NIGHT","WD"},0)-1),""))</f>
        <v/>
      </c>
    </row>
    <row r="865">
      <c r="A865" s="122" t="n"/>
      <c r="B865" s="107" t="n"/>
      <c r="C865" s="105" t="n"/>
      <c r="D865" s="92">
        <f>IF(C865="","",IFERROR(INDEX(Roster!$C$6:$C$65,IFERROR(MATCH(C865,Roster!$B$6:$B$65,0),MATCH(C865,Roster!$C$6:$C$65,0))),"not on the Roster"))</f>
        <v/>
      </c>
      <c r="E865" s="106" t="n"/>
      <c r="F865" s="104">
        <f>IF(OR(A865="",C865="",B865=""),"",IFERROR(INDEX(CHOOSE(IF(YEAR(A865)&gt;PlanYear,13,MONTH(A865)),'Jan'!$D$27:$AH$266,'Feb'!$D$27:$AH$266,'Mar'!$D$27:$AH$266,'Apr'!$D$27:$AH$266,'May'!$D$27:$AH$266,'Jun'!$D$27:$AH$266,'Jul'!$D$27:$AH$266,'Aug'!$D$27:$AH$266,'Sep'!$D$27:$AH$266,'Oct'!$D$27:$AH$266,'Nov'!$D$27:$AH$266,'Dec'!$D$27:$AH$266,'Jan (next year)'!$D$27:$AH$266),27+4*(IFERROR(MATCH(C865,Roster!$B$6:$B$65,0),MATCH(C865,Roster!$C$6:$C$65,0))-1)+MATCH(B865,{"AM","PM","NIGHT","WD"},0)-1-27+1,DAY(A865))&amp;"",""))</f>
        <v/>
      </c>
      <c r="G865" s="123">
        <f>IF(OR(A865="",C865="",B865="",E865=""),"",IFERROR(A865&amp;"|"&amp;(27+4*(IFERROR(MATCH(C865,Roster!$B$6:$B$65,0),MATCH(C865,Roster!$C$6:$C$65,0))-1)+MATCH(B865,{"AM","PM","NIGHT","WD"},0)-1),""))</f>
        <v/>
      </c>
    </row>
    <row r="866">
      <c r="A866" s="122" t="n"/>
      <c r="B866" s="107" t="n"/>
      <c r="C866" s="105" t="n"/>
      <c r="D866" s="92">
        <f>IF(C866="","",IFERROR(INDEX(Roster!$C$6:$C$65,IFERROR(MATCH(C866,Roster!$B$6:$B$65,0),MATCH(C866,Roster!$C$6:$C$65,0))),"not on the Roster"))</f>
        <v/>
      </c>
      <c r="E866" s="106" t="n"/>
      <c r="F866" s="104">
        <f>IF(OR(A866="",C866="",B866=""),"",IFERROR(INDEX(CHOOSE(IF(YEAR(A866)&gt;PlanYear,13,MONTH(A866)),'Jan'!$D$27:$AH$266,'Feb'!$D$27:$AH$266,'Mar'!$D$27:$AH$266,'Apr'!$D$27:$AH$266,'May'!$D$27:$AH$266,'Jun'!$D$27:$AH$266,'Jul'!$D$27:$AH$266,'Aug'!$D$27:$AH$266,'Sep'!$D$27:$AH$266,'Oct'!$D$27:$AH$266,'Nov'!$D$27:$AH$266,'Dec'!$D$27:$AH$266,'Jan (next year)'!$D$27:$AH$266),27+4*(IFERROR(MATCH(C866,Roster!$B$6:$B$65,0),MATCH(C866,Roster!$C$6:$C$65,0))-1)+MATCH(B866,{"AM","PM","NIGHT","WD"},0)-1-27+1,DAY(A866))&amp;"",""))</f>
        <v/>
      </c>
      <c r="G866" s="123">
        <f>IF(OR(A866="",C866="",B866="",E866=""),"",IFERROR(A866&amp;"|"&amp;(27+4*(IFERROR(MATCH(C866,Roster!$B$6:$B$65,0),MATCH(C866,Roster!$C$6:$C$65,0))-1)+MATCH(B866,{"AM","PM","NIGHT","WD"},0)-1),""))</f>
        <v/>
      </c>
    </row>
    <row r="867">
      <c r="A867" s="122" t="n"/>
      <c r="B867" s="107" t="n"/>
      <c r="C867" s="105" t="n"/>
      <c r="D867" s="92">
        <f>IF(C867="","",IFERROR(INDEX(Roster!$C$6:$C$65,IFERROR(MATCH(C867,Roster!$B$6:$B$65,0),MATCH(C867,Roster!$C$6:$C$65,0))),"not on the Roster"))</f>
        <v/>
      </c>
      <c r="E867" s="106" t="n"/>
      <c r="F867" s="104">
        <f>IF(OR(A867="",C867="",B867=""),"",IFERROR(INDEX(CHOOSE(IF(YEAR(A867)&gt;PlanYear,13,MONTH(A867)),'Jan'!$D$27:$AH$266,'Feb'!$D$27:$AH$266,'Mar'!$D$27:$AH$266,'Apr'!$D$27:$AH$266,'May'!$D$27:$AH$266,'Jun'!$D$27:$AH$266,'Jul'!$D$27:$AH$266,'Aug'!$D$27:$AH$266,'Sep'!$D$27:$AH$266,'Oct'!$D$27:$AH$266,'Nov'!$D$27:$AH$266,'Dec'!$D$27:$AH$266,'Jan (next year)'!$D$27:$AH$266),27+4*(IFERROR(MATCH(C867,Roster!$B$6:$B$65,0),MATCH(C867,Roster!$C$6:$C$65,0))-1)+MATCH(B867,{"AM","PM","NIGHT","WD"},0)-1-27+1,DAY(A867))&amp;"",""))</f>
        <v/>
      </c>
      <c r="G867" s="123">
        <f>IF(OR(A867="",C867="",B867="",E867=""),"",IFERROR(A867&amp;"|"&amp;(27+4*(IFERROR(MATCH(C867,Roster!$B$6:$B$65,0),MATCH(C867,Roster!$C$6:$C$65,0))-1)+MATCH(B867,{"AM","PM","NIGHT","WD"},0)-1),""))</f>
        <v/>
      </c>
    </row>
    <row r="868">
      <c r="A868" s="122" t="n"/>
      <c r="B868" s="107" t="n"/>
      <c r="C868" s="105" t="n"/>
      <c r="D868" s="92">
        <f>IF(C868="","",IFERROR(INDEX(Roster!$C$6:$C$65,IFERROR(MATCH(C868,Roster!$B$6:$B$65,0),MATCH(C868,Roster!$C$6:$C$65,0))),"not on the Roster"))</f>
        <v/>
      </c>
      <c r="E868" s="106" t="n"/>
      <c r="F868" s="104">
        <f>IF(OR(A868="",C868="",B868=""),"",IFERROR(INDEX(CHOOSE(IF(YEAR(A868)&gt;PlanYear,13,MONTH(A868)),'Jan'!$D$27:$AH$266,'Feb'!$D$27:$AH$266,'Mar'!$D$27:$AH$266,'Apr'!$D$27:$AH$266,'May'!$D$27:$AH$266,'Jun'!$D$27:$AH$266,'Jul'!$D$27:$AH$266,'Aug'!$D$27:$AH$266,'Sep'!$D$27:$AH$266,'Oct'!$D$27:$AH$266,'Nov'!$D$27:$AH$266,'Dec'!$D$27:$AH$266,'Jan (next year)'!$D$27:$AH$266),27+4*(IFERROR(MATCH(C868,Roster!$B$6:$B$65,0),MATCH(C868,Roster!$C$6:$C$65,0))-1)+MATCH(B868,{"AM","PM","NIGHT","WD"},0)-1-27+1,DAY(A868))&amp;"",""))</f>
        <v/>
      </c>
      <c r="G868" s="123">
        <f>IF(OR(A868="",C868="",B868="",E868=""),"",IFERROR(A868&amp;"|"&amp;(27+4*(IFERROR(MATCH(C868,Roster!$B$6:$B$65,0),MATCH(C868,Roster!$C$6:$C$65,0))-1)+MATCH(B868,{"AM","PM","NIGHT","WD"},0)-1),""))</f>
        <v/>
      </c>
    </row>
    <row r="869">
      <c r="A869" s="122" t="n"/>
      <c r="B869" s="107" t="n"/>
      <c r="C869" s="105" t="n"/>
      <c r="D869" s="92">
        <f>IF(C869="","",IFERROR(INDEX(Roster!$C$6:$C$65,IFERROR(MATCH(C869,Roster!$B$6:$B$65,0),MATCH(C869,Roster!$C$6:$C$65,0))),"not on the Roster"))</f>
        <v/>
      </c>
      <c r="E869" s="106" t="n"/>
      <c r="F869" s="104">
        <f>IF(OR(A869="",C869="",B869=""),"",IFERROR(INDEX(CHOOSE(IF(YEAR(A869)&gt;PlanYear,13,MONTH(A869)),'Jan'!$D$27:$AH$266,'Feb'!$D$27:$AH$266,'Mar'!$D$27:$AH$266,'Apr'!$D$27:$AH$266,'May'!$D$27:$AH$266,'Jun'!$D$27:$AH$266,'Jul'!$D$27:$AH$266,'Aug'!$D$27:$AH$266,'Sep'!$D$27:$AH$266,'Oct'!$D$27:$AH$266,'Nov'!$D$27:$AH$266,'Dec'!$D$27:$AH$266,'Jan (next year)'!$D$27:$AH$266),27+4*(IFERROR(MATCH(C869,Roster!$B$6:$B$65,0),MATCH(C869,Roster!$C$6:$C$65,0))-1)+MATCH(B869,{"AM","PM","NIGHT","WD"},0)-1-27+1,DAY(A869))&amp;"",""))</f>
        <v/>
      </c>
      <c r="G869" s="123">
        <f>IF(OR(A869="",C869="",B869="",E869=""),"",IFERROR(A869&amp;"|"&amp;(27+4*(IFERROR(MATCH(C869,Roster!$B$6:$B$65,0),MATCH(C869,Roster!$C$6:$C$65,0))-1)+MATCH(B869,{"AM","PM","NIGHT","WD"},0)-1),""))</f>
        <v/>
      </c>
    </row>
    <row r="870">
      <c r="A870" s="122" t="n"/>
      <c r="B870" s="107" t="n"/>
      <c r="C870" s="105" t="n"/>
      <c r="D870" s="92">
        <f>IF(C870="","",IFERROR(INDEX(Roster!$C$6:$C$65,IFERROR(MATCH(C870,Roster!$B$6:$B$65,0),MATCH(C870,Roster!$C$6:$C$65,0))),"not on the Roster"))</f>
        <v/>
      </c>
      <c r="E870" s="106" t="n"/>
      <c r="F870" s="104">
        <f>IF(OR(A870="",C870="",B870=""),"",IFERROR(INDEX(CHOOSE(IF(YEAR(A870)&gt;PlanYear,13,MONTH(A870)),'Jan'!$D$27:$AH$266,'Feb'!$D$27:$AH$266,'Mar'!$D$27:$AH$266,'Apr'!$D$27:$AH$266,'May'!$D$27:$AH$266,'Jun'!$D$27:$AH$266,'Jul'!$D$27:$AH$266,'Aug'!$D$27:$AH$266,'Sep'!$D$27:$AH$266,'Oct'!$D$27:$AH$266,'Nov'!$D$27:$AH$266,'Dec'!$D$27:$AH$266,'Jan (next year)'!$D$27:$AH$266),27+4*(IFERROR(MATCH(C870,Roster!$B$6:$B$65,0),MATCH(C870,Roster!$C$6:$C$65,0))-1)+MATCH(B870,{"AM","PM","NIGHT","WD"},0)-1-27+1,DAY(A870))&amp;"",""))</f>
        <v/>
      </c>
      <c r="G870" s="123">
        <f>IF(OR(A870="",C870="",B870="",E870=""),"",IFERROR(A870&amp;"|"&amp;(27+4*(IFERROR(MATCH(C870,Roster!$B$6:$B$65,0),MATCH(C870,Roster!$C$6:$C$65,0))-1)+MATCH(B870,{"AM","PM","NIGHT","WD"},0)-1),""))</f>
        <v/>
      </c>
    </row>
    <row r="871">
      <c r="A871" s="122" t="n"/>
      <c r="B871" s="107" t="n"/>
      <c r="C871" s="105" t="n"/>
      <c r="D871" s="92">
        <f>IF(C871="","",IFERROR(INDEX(Roster!$C$6:$C$65,IFERROR(MATCH(C871,Roster!$B$6:$B$65,0),MATCH(C871,Roster!$C$6:$C$65,0))),"not on the Roster"))</f>
        <v/>
      </c>
      <c r="E871" s="106" t="n"/>
      <c r="F871" s="104">
        <f>IF(OR(A871="",C871="",B871=""),"",IFERROR(INDEX(CHOOSE(IF(YEAR(A871)&gt;PlanYear,13,MONTH(A871)),'Jan'!$D$27:$AH$266,'Feb'!$D$27:$AH$266,'Mar'!$D$27:$AH$266,'Apr'!$D$27:$AH$266,'May'!$D$27:$AH$266,'Jun'!$D$27:$AH$266,'Jul'!$D$27:$AH$266,'Aug'!$D$27:$AH$266,'Sep'!$D$27:$AH$266,'Oct'!$D$27:$AH$266,'Nov'!$D$27:$AH$266,'Dec'!$D$27:$AH$266,'Jan (next year)'!$D$27:$AH$266),27+4*(IFERROR(MATCH(C871,Roster!$B$6:$B$65,0),MATCH(C871,Roster!$C$6:$C$65,0))-1)+MATCH(B871,{"AM","PM","NIGHT","WD"},0)-1-27+1,DAY(A871))&amp;"",""))</f>
        <v/>
      </c>
      <c r="G871" s="123">
        <f>IF(OR(A871="",C871="",B871="",E871=""),"",IFERROR(A871&amp;"|"&amp;(27+4*(IFERROR(MATCH(C871,Roster!$B$6:$B$65,0),MATCH(C871,Roster!$C$6:$C$65,0))-1)+MATCH(B871,{"AM","PM","NIGHT","WD"},0)-1),""))</f>
        <v/>
      </c>
    </row>
    <row r="872">
      <c r="A872" s="122" t="n"/>
      <c r="B872" s="107" t="n"/>
      <c r="C872" s="105" t="n"/>
      <c r="D872" s="92">
        <f>IF(C872="","",IFERROR(INDEX(Roster!$C$6:$C$65,IFERROR(MATCH(C872,Roster!$B$6:$B$65,0),MATCH(C872,Roster!$C$6:$C$65,0))),"not on the Roster"))</f>
        <v/>
      </c>
      <c r="E872" s="106" t="n"/>
      <c r="F872" s="104">
        <f>IF(OR(A872="",C872="",B872=""),"",IFERROR(INDEX(CHOOSE(IF(YEAR(A872)&gt;PlanYear,13,MONTH(A872)),'Jan'!$D$27:$AH$266,'Feb'!$D$27:$AH$266,'Mar'!$D$27:$AH$266,'Apr'!$D$27:$AH$266,'May'!$D$27:$AH$266,'Jun'!$D$27:$AH$266,'Jul'!$D$27:$AH$266,'Aug'!$D$27:$AH$266,'Sep'!$D$27:$AH$266,'Oct'!$D$27:$AH$266,'Nov'!$D$27:$AH$266,'Dec'!$D$27:$AH$266,'Jan (next year)'!$D$27:$AH$266),27+4*(IFERROR(MATCH(C872,Roster!$B$6:$B$65,0),MATCH(C872,Roster!$C$6:$C$65,0))-1)+MATCH(B872,{"AM","PM","NIGHT","WD"},0)-1-27+1,DAY(A872))&amp;"",""))</f>
        <v/>
      </c>
      <c r="G872" s="123">
        <f>IF(OR(A872="",C872="",B872="",E872=""),"",IFERROR(A872&amp;"|"&amp;(27+4*(IFERROR(MATCH(C872,Roster!$B$6:$B$65,0),MATCH(C872,Roster!$C$6:$C$65,0))-1)+MATCH(B872,{"AM","PM","NIGHT","WD"},0)-1),""))</f>
        <v/>
      </c>
    </row>
    <row r="873">
      <c r="A873" s="122" t="n"/>
      <c r="B873" s="107" t="n"/>
      <c r="C873" s="105" t="n"/>
      <c r="D873" s="92">
        <f>IF(C873="","",IFERROR(INDEX(Roster!$C$6:$C$65,IFERROR(MATCH(C873,Roster!$B$6:$B$65,0),MATCH(C873,Roster!$C$6:$C$65,0))),"not on the Roster"))</f>
        <v/>
      </c>
      <c r="E873" s="106" t="n"/>
      <c r="F873" s="104">
        <f>IF(OR(A873="",C873="",B873=""),"",IFERROR(INDEX(CHOOSE(IF(YEAR(A873)&gt;PlanYear,13,MONTH(A873)),'Jan'!$D$27:$AH$266,'Feb'!$D$27:$AH$266,'Mar'!$D$27:$AH$266,'Apr'!$D$27:$AH$266,'May'!$D$27:$AH$266,'Jun'!$D$27:$AH$266,'Jul'!$D$27:$AH$266,'Aug'!$D$27:$AH$266,'Sep'!$D$27:$AH$266,'Oct'!$D$27:$AH$266,'Nov'!$D$27:$AH$266,'Dec'!$D$27:$AH$266,'Jan (next year)'!$D$27:$AH$266),27+4*(IFERROR(MATCH(C873,Roster!$B$6:$B$65,0),MATCH(C873,Roster!$C$6:$C$65,0))-1)+MATCH(B873,{"AM","PM","NIGHT","WD"},0)-1-27+1,DAY(A873))&amp;"",""))</f>
        <v/>
      </c>
      <c r="G873" s="123">
        <f>IF(OR(A873="",C873="",B873="",E873=""),"",IFERROR(A873&amp;"|"&amp;(27+4*(IFERROR(MATCH(C873,Roster!$B$6:$B$65,0),MATCH(C873,Roster!$C$6:$C$65,0))-1)+MATCH(B873,{"AM","PM","NIGHT","WD"},0)-1),""))</f>
        <v/>
      </c>
    </row>
    <row r="874">
      <c r="A874" s="122" t="n"/>
      <c r="B874" s="107" t="n"/>
      <c r="C874" s="105" t="n"/>
      <c r="D874" s="92">
        <f>IF(C874="","",IFERROR(INDEX(Roster!$C$6:$C$65,IFERROR(MATCH(C874,Roster!$B$6:$B$65,0),MATCH(C874,Roster!$C$6:$C$65,0))),"not on the Roster"))</f>
        <v/>
      </c>
      <c r="E874" s="106" t="n"/>
      <c r="F874" s="104">
        <f>IF(OR(A874="",C874="",B874=""),"",IFERROR(INDEX(CHOOSE(IF(YEAR(A874)&gt;PlanYear,13,MONTH(A874)),'Jan'!$D$27:$AH$266,'Feb'!$D$27:$AH$266,'Mar'!$D$27:$AH$266,'Apr'!$D$27:$AH$266,'May'!$D$27:$AH$266,'Jun'!$D$27:$AH$266,'Jul'!$D$27:$AH$266,'Aug'!$D$27:$AH$266,'Sep'!$D$27:$AH$266,'Oct'!$D$27:$AH$266,'Nov'!$D$27:$AH$266,'Dec'!$D$27:$AH$266,'Jan (next year)'!$D$27:$AH$266),27+4*(IFERROR(MATCH(C874,Roster!$B$6:$B$65,0),MATCH(C874,Roster!$C$6:$C$65,0))-1)+MATCH(B874,{"AM","PM","NIGHT","WD"},0)-1-27+1,DAY(A874))&amp;"",""))</f>
        <v/>
      </c>
      <c r="G874" s="123">
        <f>IF(OR(A874="",C874="",B874="",E874=""),"",IFERROR(A874&amp;"|"&amp;(27+4*(IFERROR(MATCH(C874,Roster!$B$6:$B$65,0),MATCH(C874,Roster!$C$6:$C$65,0))-1)+MATCH(B874,{"AM","PM","NIGHT","WD"},0)-1),""))</f>
        <v/>
      </c>
    </row>
    <row r="875">
      <c r="A875" s="122" t="n"/>
      <c r="B875" s="107" t="n"/>
      <c r="C875" s="105" t="n"/>
      <c r="D875" s="92">
        <f>IF(C875="","",IFERROR(INDEX(Roster!$C$6:$C$65,IFERROR(MATCH(C875,Roster!$B$6:$B$65,0),MATCH(C875,Roster!$C$6:$C$65,0))),"not on the Roster"))</f>
        <v/>
      </c>
      <c r="E875" s="106" t="n"/>
      <c r="F875" s="104">
        <f>IF(OR(A875="",C875="",B875=""),"",IFERROR(INDEX(CHOOSE(IF(YEAR(A875)&gt;PlanYear,13,MONTH(A875)),'Jan'!$D$27:$AH$266,'Feb'!$D$27:$AH$266,'Mar'!$D$27:$AH$266,'Apr'!$D$27:$AH$266,'May'!$D$27:$AH$266,'Jun'!$D$27:$AH$266,'Jul'!$D$27:$AH$266,'Aug'!$D$27:$AH$266,'Sep'!$D$27:$AH$266,'Oct'!$D$27:$AH$266,'Nov'!$D$27:$AH$266,'Dec'!$D$27:$AH$266,'Jan (next year)'!$D$27:$AH$266),27+4*(IFERROR(MATCH(C875,Roster!$B$6:$B$65,0),MATCH(C875,Roster!$C$6:$C$65,0))-1)+MATCH(B875,{"AM","PM","NIGHT","WD"},0)-1-27+1,DAY(A875))&amp;"",""))</f>
        <v/>
      </c>
      <c r="G875" s="123">
        <f>IF(OR(A875="",C875="",B875="",E875=""),"",IFERROR(A875&amp;"|"&amp;(27+4*(IFERROR(MATCH(C875,Roster!$B$6:$B$65,0),MATCH(C875,Roster!$C$6:$C$65,0))-1)+MATCH(B875,{"AM","PM","NIGHT","WD"},0)-1),""))</f>
        <v/>
      </c>
    </row>
    <row r="876">
      <c r="A876" s="122" t="n"/>
      <c r="B876" s="107" t="n"/>
      <c r="C876" s="105" t="n"/>
      <c r="D876" s="92">
        <f>IF(C876="","",IFERROR(INDEX(Roster!$C$6:$C$65,IFERROR(MATCH(C876,Roster!$B$6:$B$65,0),MATCH(C876,Roster!$C$6:$C$65,0))),"not on the Roster"))</f>
        <v/>
      </c>
      <c r="E876" s="106" t="n"/>
      <c r="F876" s="104">
        <f>IF(OR(A876="",C876="",B876=""),"",IFERROR(INDEX(CHOOSE(IF(YEAR(A876)&gt;PlanYear,13,MONTH(A876)),'Jan'!$D$27:$AH$266,'Feb'!$D$27:$AH$266,'Mar'!$D$27:$AH$266,'Apr'!$D$27:$AH$266,'May'!$D$27:$AH$266,'Jun'!$D$27:$AH$266,'Jul'!$D$27:$AH$266,'Aug'!$D$27:$AH$266,'Sep'!$D$27:$AH$266,'Oct'!$D$27:$AH$266,'Nov'!$D$27:$AH$266,'Dec'!$D$27:$AH$266,'Jan (next year)'!$D$27:$AH$266),27+4*(IFERROR(MATCH(C876,Roster!$B$6:$B$65,0),MATCH(C876,Roster!$C$6:$C$65,0))-1)+MATCH(B876,{"AM","PM","NIGHT","WD"},0)-1-27+1,DAY(A876))&amp;"",""))</f>
        <v/>
      </c>
      <c r="G876" s="123">
        <f>IF(OR(A876="",C876="",B876="",E876=""),"",IFERROR(A876&amp;"|"&amp;(27+4*(IFERROR(MATCH(C876,Roster!$B$6:$B$65,0),MATCH(C876,Roster!$C$6:$C$65,0))-1)+MATCH(B876,{"AM","PM","NIGHT","WD"},0)-1),""))</f>
        <v/>
      </c>
    </row>
    <row r="877">
      <c r="A877" s="122" t="n"/>
      <c r="B877" s="107" t="n"/>
      <c r="C877" s="105" t="n"/>
      <c r="D877" s="92">
        <f>IF(C877="","",IFERROR(INDEX(Roster!$C$6:$C$65,IFERROR(MATCH(C877,Roster!$B$6:$B$65,0),MATCH(C877,Roster!$C$6:$C$65,0))),"not on the Roster"))</f>
        <v/>
      </c>
      <c r="E877" s="106" t="n"/>
      <c r="F877" s="104">
        <f>IF(OR(A877="",C877="",B877=""),"",IFERROR(INDEX(CHOOSE(IF(YEAR(A877)&gt;PlanYear,13,MONTH(A877)),'Jan'!$D$27:$AH$266,'Feb'!$D$27:$AH$266,'Mar'!$D$27:$AH$266,'Apr'!$D$27:$AH$266,'May'!$D$27:$AH$266,'Jun'!$D$27:$AH$266,'Jul'!$D$27:$AH$266,'Aug'!$D$27:$AH$266,'Sep'!$D$27:$AH$266,'Oct'!$D$27:$AH$266,'Nov'!$D$27:$AH$266,'Dec'!$D$27:$AH$266,'Jan (next year)'!$D$27:$AH$266),27+4*(IFERROR(MATCH(C877,Roster!$B$6:$B$65,0),MATCH(C877,Roster!$C$6:$C$65,0))-1)+MATCH(B877,{"AM","PM","NIGHT","WD"},0)-1-27+1,DAY(A877))&amp;"",""))</f>
        <v/>
      </c>
      <c r="G877" s="123">
        <f>IF(OR(A877="",C877="",B877="",E877=""),"",IFERROR(A877&amp;"|"&amp;(27+4*(IFERROR(MATCH(C877,Roster!$B$6:$B$65,0),MATCH(C877,Roster!$C$6:$C$65,0))-1)+MATCH(B877,{"AM","PM","NIGHT","WD"},0)-1),""))</f>
        <v/>
      </c>
    </row>
    <row r="878">
      <c r="A878" s="122" t="n"/>
      <c r="B878" s="107" t="n"/>
      <c r="C878" s="105" t="n"/>
      <c r="D878" s="92">
        <f>IF(C878="","",IFERROR(INDEX(Roster!$C$6:$C$65,IFERROR(MATCH(C878,Roster!$B$6:$B$65,0),MATCH(C878,Roster!$C$6:$C$65,0))),"not on the Roster"))</f>
        <v/>
      </c>
      <c r="E878" s="106" t="n"/>
      <c r="F878" s="104">
        <f>IF(OR(A878="",C878="",B878=""),"",IFERROR(INDEX(CHOOSE(IF(YEAR(A878)&gt;PlanYear,13,MONTH(A878)),'Jan'!$D$27:$AH$266,'Feb'!$D$27:$AH$266,'Mar'!$D$27:$AH$266,'Apr'!$D$27:$AH$266,'May'!$D$27:$AH$266,'Jun'!$D$27:$AH$266,'Jul'!$D$27:$AH$266,'Aug'!$D$27:$AH$266,'Sep'!$D$27:$AH$266,'Oct'!$D$27:$AH$266,'Nov'!$D$27:$AH$266,'Dec'!$D$27:$AH$266,'Jan (next year)'!$D$27:$AH$266),27+4*(IFERROR(MATCH(C878,Roster!$B$6:$B$65,0),MATCH(C878,Roster!$C$6:$C$65,0))-1)+MATCH(B878,{"AM","PM","NIGHT","WD"},0)-1-27+1,DAY(A878))&amp;"",""))</f>
        <v/>
      </c>
      <c r="G878" s="123">
        <f>IF(OR(A878="",C878="",B878="",E878=""),"",IFERROR(A878&amp;"|"&amp;(27+4*(IFERROR(MATCH(C878,Roster!$B$6:$B$65,0),MATCH(C878,Roster!$C$6:$C$65,0))-1)+MATCH(B878,{"AM","PM","NIGHT","WD"},0)-1),""))</f>
        <v/>
      </c>
    </row>
    <row r="879">
      <c r="A879" s="122" t="n"/>
      <c r="B879" s="107" t="n"/>
      <c r="C879" s="105" t="n"/>
      <c r="D879" s="92">
        <f>IF(C879="","",IFERROR(INDEX(Roster!$C$6:$C$65,IFERROR(MATCH(C879,Roster!$B$6:$B$65,0),MATCH(C879,Roster!$C$6:$C$65,0))),"not on the Roster"))</f>
        <v/>
      </c>
      <c r="E879" s="106" t="n"/>
      <c r="F879" s="104">
        <f>IF(OR(A879="",C879="",B879=""),"",IFERROR(INDEX(CHOOSE(IF(YEAR(A879)&gt;PlanYear,13,MONTH(A879)),'Jan'!$D$27:$AH$266,'Feb'!$D$27:$AH$266,'Mar'!$D$27:$AH$266,'Apr'!$D$27:$AH$266,'May'!$D$27:$AH$266,'Jun'!$D$27:$AH$266,'Jul'!$D$27:$AH$266,'Aug'!$D$27:$AH$266,'Sep'!$D$27:$AH$266,'Oct'!$D$27:$AH$266,'Nov'!$D$27:$AH$266,'Dec'!$D$27:$AH$266,'Jan (next year)'!$D$27:$AH$266),27+4*(IFERROR(MATCH(C879,Roster!$B$6:$B$65,0),MATCH(C879,Roster!$C$6:$C$65,0))-1)+MATCH(B879,{"AM","PM","NIGHT","WD"},0)-1-27+1,DAY(A879))&amp;"",""))</f>
        <v/>
      </c>
      <c r="G879" s="123">
        <f>IF(OR(A879="",C879="",B879="",E879=""),"",IFERROR(A879&amp;"|"&amp;(27+4*(IFERROR(MATCH(C879,Roster!$B$6:$B$65,0),MATCH(C879,Roster!$C$6:$C$65,0))-1)+MATCH(B879,{"AM","PM","NIGHT","WD"},0)-1),""))</f>
        <v/>
      </c>
    </row>
    <row r="880">
      <c r="A880" s="122" t="n"/>
      <c r="B880" s="107" t="n"/>
      <c r="C880" s="105" t="n"/>
      <c r="D880" s="92">
        <f>IF(C880="","",IFERROR(INDEX(Roster!$C$6:$C$65,IFERROR(MATCH(C880,Roster!$B$6:$B$65,0),MATCH(C880,Roster!$C$6:$C$65,0))),"not on the Roster"))</f>
        <v/>
      </c>
      <c r="E880" s="106" t="n"/>
      <c r="F880" s="104">
        <f>IF(OR(A880="",C880="",B880=""),"",IFERROR(INDEX(CHOOSE(IF(YEAR(A880)&gt;PlanYear,13,MONTH(A880)),'Jan'!$D$27:$AH$266,'Feb'!$D$27:$AH$266,'Mar'!$D$27:$AH$266,'Apr'!$D$27:$AH$266,'May'!$D$27:$AH$266,'Jun'!$D$27:$AH$266,'Jul'!$D$27:$AH$266,'Aug'!$D$27:$AH$266,'Sep'!$D$27:$AH$266,'Oct'!$D$27:$AH$266,'Nov'!$D$27:$AH$266,'Dec'!$D$27:$AH$266,'Jan (next year)'!$D$27:$AH$266),27+4*(IFERROR(MATCH(C880,Roster!$B$6:$B$65,0),MATCH(C880,Roster!$C$6:$C$65,0))-1)+MATCH(B880,{"AM","PM","NIGHT","WD"},0)-1-27+1,DAY(A880))&amp;"",""))</f>
        <v/>
      </c>
      <c r="G880" s="123">
        <f>IF(OR(A880="",C880="",B880="",E880=""),"",IFERROR(A880&amp;"|"&amp;(27+4*(IFERROR(MATCH(C880,Roster!$B$6:$B$65,0),MATCH(C880,Roster!$C$6:$C$65,0))-1)+MATCH(B880,{"AM","PM","NIGHT","WD"},0)-1),""))</f>
        <v/>
      </c>
    </row>
    <row r="881">
      <c r="A881" s="122" t="n"/>
      <c r="B881" s="107" t="n"/>
      <c r="C881" s="105" t="n"/>
      <c r="D881" s="92">
        <f>IF(C881="","",IFERROR(INDEX(Roster!$C$6:$C$65,IFERROR(MATCH(C881,Roster!$B$6:$B$65,0),MATCH(C881,Roster!$C$6:$C$65,0))),"not on the Roster"))</f>
        <v/>
      </c>
      <c r="E881" s="106" t="n"/>
      <c r="F881" s="104">
        <f>IF(OR(A881="",C881="",B881=""),"",IFERROR(INDEX(CHOOSE(IF(YEAR(A881)&gt;PlanYear,13,MONTH(A881)),'Jan'!$D$27:$AH$266,'Feb'!$D$27:$AH$266,'Mar'!$D$27:$AH$266,'Apr'!$D$27:$AH$266,'May'!$D$27:$AH$266,'Jun'!$D$27:$AH$266,'Jul'!$D$27:$AH$266,'Aug'!$D$27:$AH$266,'Sep'!$D$27:$AH$266,'Oct'!$D$27:$AH$266,'Nov'!$D$27:$AH$266,'Dec'!$D$27:$AH$266,'Jan (next year)'!$D$27:$AH$266),27+4*(IFERROR(MATCH(C881,Roster!$B$6:$B$65,0),MATCH(C881,Roster!$C$6:$C$65,0))-1)+MATCH(B881,{"AM","PM","NIGHT","WD"},0)-1-27+1,DAY(A881))&amp;"",""))</f>
        <v/>
      </c>
      <c r="G881" s="123">
        <f>IF(OR(A881="",C881="",B881="",E881=""),"",IFERROR(A881&amp;"|"&amp;(27+4*(IFERROR(MATCH(C881,Roster!$B$6:$B$65,0),MATCH(C881,Roster!$C$6:$C$65,0))-1)+MATCH(B881,{"AM","PM","NIGHT","WD"},0)-1),""))</f>
        <v/>
      </c>
    </row>
    <row r="882">
      <c r="A882" s="122" t="n"/>
      <c r="B882" s="107" t="n"/>
      <c r="C882" s="105" t="n"/>
      <c r="D882" s="92">
        <f>IF(C882="","",IFERROR(INDEX(Roster!$C$6:$C$65,IFERROR(MATCH(C882,Roster!$B$6:$B$65,0),MATCH(C882,Roster!$C$6:$C$65,0))),"not on the Roster"))</f>
        <v/>
      </c>
      <c r="E882" s="106" t="n"/>
      <c r="F882" s="104">
        <f>IF(OR(A882="",C882="",B882=""),"",IFERROR(INDEX(CHOOSE(IF(YEAR(A882)&gt;PlanYear,13,MONTH(A882)),'Jan'!$D$27:$AH$266,'Feb'!$D$27:$AH$266,'Mar'!$D$27:$AH$266,'Apr'!$D$27:$AH$266,'May'!$D$27:$AH$266,'Jun'!$D$27:$AH$266,'Jul'!$D$27:$AH$266,'Aug'!$D$27:$AH$266,'Sep'!$D$27:$AH$266,'Oct'!$D$27:$AH$266,'Nov'!$D$27:$AH$266,'Dec'!$D$27:$AH$266,'Jan (next year)'!$D$27:$AH$266),27+4*(IFERROR(MATCH(C882,Roster!$B$6:$B$65,0),MATCH(C882,Roster!$C$6:$C$65,0))-1)+MATCH(B882,{"AM","PM","NIGHT","WD"},0)-1-27+1,DAY(A882))&amp;"",""))</f>
        <v/>
      </c>
      <c r="G882" s="123">
        <f>IF(OR(A882="",C882="",B882="",E882=""),"",IFERROR(A882&amp;"|"&amp;(27+4*(IFERROR(MATCH(C882,Roster!$B$6:$B$65,0),MATCH(C882,Roster!$C$6:$C$65,0))-1)+MATCH(B882,{"AM","PM","NIGHT","WD"},0)-1),""))</f>
        <v/>
      </c>
    </row>
    <row r="883">
      <c r="A883" s="122" t="n"/>
      <c r="B883" s="107" t="n"/>
      <c r="C883" s="105" t="n"/>
      <c r="D883" s="92">
        <f>IF(C883="","",IFERROR(INDEX(Roster!$C$6:$C$65,IFERROR(MATCH(C883,Roster!$B$6:$B$65,0),MATCH(C883,Roster!$C$6:$C$65,0))),"not on the Roster"))</f>
        <v/>
      </c>
      <c r="E883" s="106" t="n"/>
      <c r="F883" s="104">
        <f>IF(OR(A883="",C883="",B883=""),"",IFERROR(INDEX(CHOOSE(IF(YEAR(A883)&gt;PlanYear,13,MONTH(A883)),'Jan'!$D$27:$AH$266,'Feb'!$D$27:$AH$266,'Mar'!$D$27:$AH$266,'Apr'!$D$27:$AH$266,'May'!$D$27:$AH$266,'Jun'!$D$27:$AH$266,'Jul'!$D$27:$AH$266,'Aug'!$D$27:$AH$266,'Sep'!$D$27:$AH$266,'Oct'!$D$27:$AH$266,'Nov'!$D$27:$AH$266,'Dec'!$D$27:$AH$266,'Jan (next year)'!$D$27:$AH$266),27+4*(IFERROR(MATCH(C883,Roster!$B$6:$B$65,0),MATCH(C883,Roster!$C$6:$C$65,0))-1)+MATCH(B883,{"AM","PM","NIGHT","WD"},0)-1-27+1,DAY(A883))&amp;"",""))</f>
        <v/>
      </c>
      <c r="G883" s="123">
        <f>IF(OR(A883="",C883="",B883="",E883=""),"",IFERROR(A883&amp;"|"&amp;(27+4*(IFERROR(MATCH(C883,Roster!$B$6:$B$65,0),MATCH(C883,Roster!$C$6:$C$65,0))-1)+MATCH(B883,{"AM","PM","NIGHT","WD"},0)-1),""))</f>
        <v/>
      </c>
    </row>
    <row r="884">
      <c r="A884" s="122" t="n"/>
      <c r="B884" s="107" t="n"/>
      <c r="C884" s="105" t="n"/>
      <c r="D884" s="92">
        <f>IF(C884="","",IFERROR(INDEX(Roster!$C$6:$C$65,IFERROR(MATCH(C884,Roster!$B$6:$B$65,0),MATCH(C884,Roster!$C$6:$C$65,0))),"not on the Roster"))</f>
        <v/>
      </c>
      <c r="E884" s="106" t="n"/>
      <c r="F884" s="104">
        <f>IF(OR(A884="",C884="",B884=""),"",IFERROR(INDEX(CHOOSE(IF(YEAR(A884)&gt;PlanYear,13,MONTH(A884)),'Jan'!$D$27:$AH$266,'Feb'!$D$27:$AH$266,'Mar'!$D$27:$AH$266,'Apr'!$D$27:$AH$266,'May'!$D$27:$AH$266,'Jun'!$D$27:$AH$266,'Jul'!$D$27:$AH$266,'Aug'!$D$27:$AH$266,'Sep'!$D$27:$AH$266,'Oct'!$D$27:$AH$266,'Nov'!$D$27:$AH$266,'Dec'!$D$27:$AH$266,'Jan (next year)'!$D$27:$AH$266),27+4*(IFERROR(MATCH(C884,Roster!$B$6:$B$65,0),MATCH(C884,Roster!$C$6:$C$65,0))-1)+MATCH(B884,{"AM","PM","NIGHT","WD"},0)-1-27+1,DAY(A884))&amp;"",""))</f>
        <v/>
      </c>
      <c r="G884" s="123">
        <f>IF(OR(A884="",C884="",B884="",E884=""),"",IFERROR(A884&amp;"|"&amp;(27+4*(IFERROR(MATCH(C884,Roster!$B$6:$B$65,0),MATCH(C884,Roster!$C$6:$C$65,0))-1)+MATCH(B884,{"AM","PM","NIGHT","WD"},0)-1),""))</f>
        <v/>
      </c>
    </row>
    <row r="885">
      <c r="A885" s="122" t="n"/>
      <c r="B885" s="107" t="n"/>
      <c r="C885" s="105" t="n"/>
      <c r="D885" s="92">
        <f>IF(C885="","",IFERROR(INDEX(Roster!$C$6:$C$65,IFERROR(MATCH(C885,Roster!$B$6:$B$65,0),MATCH(C885,Roster!$C$6:$C$65,0))),"not on the Roster"))</f>
        <v/>
      </c>
      <c r="E885" s="106" t="n"/>
      <c r="F885" s="104">
        <f>IF(OR(A885="",C885="",B885=""),"",IFERROR(INDEX(CHOOSE(IF(YEAR(A885)&gt;PlanYear,13,MONTH(A885)),'Jan'!$D$27:$AH$266,'Feb'!$D$27:$AH$266,'Mar'!$D$27:$AH$266,'Apr'!$D$27:$AH$266,'May'!$D$27:$AH$266,'Jun'!$D$27:$AH$266,'Jul'!$D$27:$AH$266,'Aug'!$D$27:$AH$266,'Sep'!$D$27:$AH$266,'Oct'!$D$27:$AH$266,'Nov'!$D$27:$AH$266,'Dec'!$D$27:$AH$266,'Jan (next year)'!$D$27:$AH$266),27+4*(IFERROR(MATCH(C885,Roster!$B$6:$B$65,0),MATCH(C885,Roster!$C$6:$C$65,0))-1)+MATCH(B885,{"AM","PM","NIGHT","WD"},0)-1-27+1,DAY(A885))&amp;"",""))</f>
        <v/>
      </c>
      <c r="G885" s="123">
        <f>IF(OR(A885="",C885="",B885="",E885=""),"",IFERROR(A885&amp;"|"&amp;(27+4*(IFERROR(MATCH(C885,Roster!$B$6:$B$65,0),MATCH(C885,Roster!$C$6:$C$65,0))-1)+MATCH(B885,{"AM","PM","NIGHT","WD"},0)-1),""))</f>
        <v/>
      </c>
    </row>
    <row r="886">
      <c r="A886" s="122" t="n"/>
      <c r="B886" s="107" t="n"/>
      <c r="C886" s="105" t="n"/>
      <c r="D886" s="92">
        <f>IF(C886="","",IFERROR(INDEX(Roster!$C$6:$C$65,IFERROR(MATCH(C886,Roster!$B$6:$B$65,0),MATCH(C886,Roster!$C$6:$C$65,0))),"not on the Roster"))</f>
        <v/>
      </c>
      <c r="E886" s="106" t="n"/>
      <c r="F886" s="104">
        <f>IF(OR(A886="",C886="",B886=""),"",IFERROR(INDEX(CHOOSE(IF(YEAR(A886)&gt;PlanYear,13,MONTH(A886)),'Jan'!$D$27:$AH$266,'Feb'!$D$27:$AH$266,'Mar'!$D$27:$AH$266,'Apr'!$D$27:$AH$266,'May'!$D$27:$AH$266,'Jun'!$D$27:$AH$266,'Jul'!$D$27:$AH$266,'Aug'!$D$27:$AH$266,'Sep'!$D$27:$AH$266,'Oct'!$D$27:$AH$266,'Nov'!$D$27:$AH$266,'Dec'!$D$27:$AH$266,'Jan (next year)'!$D$27:$AH$266),27+4*(IFERROR(MATCH(C886,Roster!$B$6:$B$65,0),MATCH(C886,Roster!$C$6:$C$65,0))-1)+MATCH(B886,{"AM","PM","NIGHT","WD"},0)-1-27+1,DAY(A886))&amp;"",""))</f>
        <v/>
      </c>
      <c r="G886" s="123">
        <f>IF(OR(A886="",C886="",B886="",E886=""),"",IFERROR(A886&amp;"|"&amp;(27+4*(IFERROR(MATCH(C886,Roster!$B$6:$B$65,0),MATCH(C886,Roster!$C$6:$C$65,0))-1)+MATCH(B886,{"AM","PM","NIGHT","WD"},0)-1),""))</f>
        <v/>
      </c>
    </row>
    <row r="887">
      <c r="A887" s="122" t="n"/>
      <c r="B887" s="107" t="n"/>
      <c r="C887" s="105" t="n"/>
      <c r="D887" s="92">
        <f>IF(C887="","",IFERROR(INDEX(Roster!$C$6:$C$65,IFERROR(MATCH(C887,Roster!$B$6:$B$65,0),MATCH(C887,Roster!$C$6:$C$65,0))),"not on the Roster"))</f>
        <v/>
      </c>
      <c r="E887" s="106" t="n"/>
      <c r="F887" s="104">
        <f>IF(OR(A887="",C887="",B887=""),"",IFERROR(INDEX(CHOOSE(IF(YEAR(A887)&gt;PlanYear,13,MONTH(A887)),'Jan'!$D$27:$AH$266,'Feb'!$D$27:$AH$266,'Mar'!$D$27:$AH$266,'Apr'!$D$27:$AH$266,'May'!$D$27:$AH$266,'Jun'!$D$27:$AH$266,'Jul'!$D$27:$AH$266,'Aug'!$D$27:$AH$266,'Sep'!$D$27:$AH$266,'Oct'!$D$27:$AH$266,'Nov'!$D$27:$AH$266,'Dec'!$D$27:$AH$266,'Jan (next year)'!$D$27:$AH$266),27+4*(IFERROR(MATCH(C887,Roster!$B$6:$B$65,0),MATCH(C887,Roster!$C$6:$C$65,0))-1)+MATCH(B887,{"AM","PM","NIGHT","WD"},0)-1-27+1,DAY(A887))&amp;"",""))</f>
        <v/>
      </c>
      <c r="G887" s="123">
        <f>IF(OR(A887="",C887="",B887="",E887=""),"",IFERROR(A887&amp;"|"&amp;(27+4*(IFERROR(MATCH(C887,Roster!$B$6:$B$65,0),MATCH(C887,Roster!$C$6:$C$65,0))-1)+MATCH(B887,{"AM","PM","NIGHT","WD"},0)-1),""))</f>
        <v/>
      </c>
    </row>
    <row r="888">
      <c r="A888" s="122" t="n"/>
      <c r="B888" s="107" t="n"/>
      <c r="C888" s="105" t="n"/>
      <c r="D888" s="92">
        <f>IF(C888="","",IFERROR(INDEX(Roster!$C$6:$C$65,IFERROR(MATCH(C888,Roster!$B$6:$B$65,0),MATCH(C888,Roster!$C$6:$C$65,0))),"not on the Roster"))</f>
        <v/>
      </c>
      <c r="E888" s="106" t="n"/>
      <c r="F888" s="104">
        <f>IF(OR(A888="",C888="",B888=""),"",IFERROR(INDEX(CHOOSE(IF(YEAR(A888)&gt;PlanYear,13,MONTH(A888)),'Jan'!$D$27:$AH$266,'Feb'!$D$27:$AH$266,'Mar'!$D$27:$AH$266,'Apr'!$D$27:$AH$266,'May'!$D$27:$AH$266,'Jun'!$D$27:$AH$266,'Jul'!$D$27:$AH$266,'Aug'!$D$27:$AH$266,'Sep'!$D$27:$AH$266,'Oct'!$D$27:$AH$266,'Nov'!$D$27:$AH$266,'Dec'!$D$27:$AH$266,'Jan (next year)'!$D$27:$AH$266),27+4*(IFERROR(MATCH(C888,Roster!$B$6:$B$65,0),MATCH(C888,Roster!$C$6:$C$65,0))-1)+MATCH(B888,{"AM","PM","NIGHT","WD"},0)-1-27+1,DAY(A888))&amp;"",""))</f>
        <v/>
      </c>
      <c r="G888" s="123">
        <f>IF(OR(A888="",C888="",B888="",E888=""),"",IFERROR(A888&amp;"|"&amp;(27+4*(IFERROR(MATCH(C888,Roster!$B$6:$B$65,0),MATCH(C888,Roster!$C$6:$C$65,0))-1)+MATCH(B888,{"AM","PM","NIGHT","WD"},0)-1),""))</f>
        <v/>
      </c>
    </row>
    <row r="889">
      <c r="A889" s="122" t="n"/>
      <c r="B889" s="107" t="n"/>
      <c r="C889" s="105" t="n"/>
      <c r="D889" s="92">
        <f>IF(C889="","",IFERROR(INDEX(Roster!$C$6:$C$65,IFERROR(MATCH(C889,Roster!$B$6:$B$65,0),MATCH(C889,Roster!$C$6:$C$65,0))),"not on the Roster"))</f>
        <v/>
      </c>
      <c r="E889" s="106" t="n"/>
      <c r="F889" s="104">
        <f>IF(OR(A889="",C889="",B889=""),"",IFERROR(INDEX(CHOOSE(IF(YEAR(A889)&gt;PlanYear,13,MONTH(A889)),'Jan'!$D$27:$AH$266,'Feb'!$D$27:$AH$266,'Mar'!$D$27:$AH$266,'Apr'!$D$27:$AH$266,'May'!$D$27:$AH$266,'Jun'!$D$27:$AH$266,'Jul'!$D$27:$AH$266,'Aug'!$D$27:$AH$266,'Sep'!$D$27:$AH$266,'Oct'!$D$27:$AH$266,'Nov'!$D$27:$AH$266,'Dec'!$D$27:$AH$266,'Jan (next year)'!$D$27:$AH$266),27+4*(IFERROR(MATCH(C889,Roster!$B$6:$B$65,0),MATCH(C889,Roster!$C$6:$C$65,0))-1)+MATCH(B889,{"AM","PM","NIGHT","WD"},0)-1-27+1,DAY(A889))&amp;"",""))</f>
        <v/>
      </c>
      <c r="G889" s="123">
        <f>IF(OR(A889="",C889="",B889="",E889=""),"",IFERROR(A889&amp;"|"&amp;(27+4*(IFERROR(MATCH(C889,Roster!$B$6:$B$65,0),MATCH(C889,Roster!$C$6:$C$65,0))-1)+MATCH(B889,{"AM","PM","NIGHT","WD"},0)-1),""))</f>
        <v/>
      </c>
    </row>
    <row r="890">
      <c r="A890" s="122" t="n"/>
      <c r="B890" s="107" t="n"/>
      <c r="C890" s="105" t="n"/>
      <c r="D890" s="92">
        <f>IF(C890="","",IFERROR(INDEX(Roster!$C$6:$C$65,IFERROR(MATCH(C890,Roster!$B$6:$B$65,0),MATCH(C890,Roster!$C$6:$C$65,0))),"not on the Roster"))</f>
        <v/>
      </c>
      <c r="E890" s="106" t="n"/>
      <c r="F890" s="104">
        <f>IF(OR(A890="",C890="",B890=""),"",IFERROR(INDEX(CHOOSE(IF(YEAR(A890)&gt;PlanYear,13,MONTH(A890)),'Jan'!$D$27:$AH$266,'Feb'!$D$27:$AH$266,'Mar'!$D$27:$AH$266,'Apr'!$D$27:$AH$266,'May'!$D$27:$AH$266,'Jun'!$D$27:$AH$266,'Jul'!$D$27:$AH$266,'Aug'!$D$27:$AH$266,'Sep'!$D$27:$AH$266,'Oct'!$D$27:$AH$266,'Nov'!$D$27:$AH$266,'Dec'!$D$27:$AH$266,'Jan (next year)'!$D$27:$AH$266),27+4*(IFERROR(MATCH(C890,Roster!$B$6:$B$65,0),MATCH(C890,Roster!$C$6:$C$65,0))-1)+MATCH(B890,{"AM","PM","NIGHT","WD"},0)-1-27+1,DAY(A890))&amp;"",""))</f>
        <v/>
      </c>
      <c r="G890" s="123">
        <f>IF(OR(A890="",C890="",B890="",E890=""),"",IFERROR(A890&amp;"|"&amp;(27+4*(IFERROR(MATCH(C890,Roster!$B$6:$B$65,0),MATCH(C890,Roster!$C$6:$C$65,0))-1)+MATCH(B890,{"AM","PM","NIGHT","WD"},0)-1),""))</f>
        <v/>
      </c>
    </row>
    <row r="891">
      <c r="A891" s="122" t="n"/>
      <c r="B891" s="107" t="n"/>
      <c r="C891" s="105" t="n"/>
      <c r="D891" s="92">
        <f>IF(C891="","",IFERROR(INDEX(Roster!$C$6:$C$65,IFERROR(MATCH(C891,Roster!$B$6:$B$65,0),MATCH(C891,Roster!$C$6:$C$65,0))),"not on the Roster"))</f>
        <v/>
      </c>
      <c r="E891" s="106" t="n"/>
      <c r="F891" s="104">
        <f>IF(OR(A891="",C891="",B891=""),"",IFERROR(INDEX(CHOOSE(IF(YEAR(A891)&gt;PlanYear,13,MONTH(A891)),'Jan'!$D$27:$AH$266,'Feb'!$D$27:$AH$266,'Mar'!$D$27:$AH$266,'Apr'!$D$27:$AH$266,'May'!$D$27:$AH$266,'Jun'!$D$27:$AH$266,'Jul'!$D$27:$AH$266,'Aug'!$D$27:$AH$266,'Sep'!$D$27:$AH$266,'Oct'!$D$27:$AH$266,'Nov'!$D$27:$AH$266,'Dec'!$D$27:$AH$266,'Jan (next year)'!$D$27:$AH$266),27+4*(IFERROR(MATCH(C891,Roster!$B$6:$B$65,0),MATCH(C891,Roster!$C$6:$C$65,0))-1)+MATCH(B891,{"AM","PM","NIGHT","WD"},0)-1-27+1,DAY(A891))&amp;"",""))</f>
        <v/>
      </c>
      <c r="G891" s="123">
        <f>IF(OR(A891="",C891="",B891="",E891=""),"",IFERROR(A891&amp;"|"&amp;(27+4*(IFERROR(MATCH(C891,Roster!$B$6:$B$65,0),MATCH(C891,Roster!$C$6:$C$65,0))-1)+MATCH(B891,{"AM","PM","NIGHT","WD"},0)-1),""))</f>
        <v/>
      </c>
    </row>
    <row r="892">
      <c r="A892" s="122" t="n"/>
      <c r="B892" s="107" t="n"/>
      <c r="C892" s="105" t="n"/>
      <c r="D892" s="92">
        <f>IF(C892="","",IFERROR(INDEX(Roster!$C$6:$C$65,IFERROR(MATCH(C892,Roster!$B$6:$B$65,0),MATCH(C892,Roster!$C$6:$C$65,0))),"not on the Roster"))</f>
        <v/>
      </c>
      <c r="E892" s="106" t="n"/>
      <c r="F892" s="104">
        <f>IF(OR(A892="",C892="",B892=""),"",IFERROR(INDEX(CHOOSE(IF(YEAR(A892)&gt;PlanYear,13,MONTH(A892)),'Jan'!$D$27:$AH$266,'Feb'!$D$27:$AH$266,'Mar'!$D$27:$AH$266,'Apr'!$D$27:$AH$266,'May'!$D$27:$AH$266,'Jun'!$D$27:$AH$266,'Jul'!$D$27:$AH$266,'Aug'!$D$27:$AH$266,'Sep'!$D$27:$AH$266,'Oct'!$D$27:$AH$266,'Nov'!$D$27:$AH$266,'Dec'!$D$27:$AH$266,'Jan (next year)'!$D$27:$AH$266),27+4*(IFERROR(MATCH(C892,Roster!$B$6:$B$65,0),MATCH(C892,Roster!$C$6:$C$65,0))-1)+MATCH(B892,{"AM","PM","NIGHT","WD"},0)-1-27+1,DAY(A892))&amp;"",""))</f>
        <v/>
      </c>
      <c r="G892" s="123">
        <f>IF(OR(A892="",C892="",B892="",E892=""),"",IFERROR(A892&amp;"|"&amp;(27+4*(IFERROR(MATCH(C892,Roster!$B$6:$B$65,0),MATCH(C892,Roster!$C$6:$C$65,0))-1)+MATCH(B892,{"AM","PM","NIGHT","WD"},0)-1),""))</f>
        <v/>
      </c>
    </row>
    <row r="893">
      <c r="A893" s="122" t="n"/>
      <c r="B893" s="107" t="n"/>
      <c r="C893" s="105" t="n"/>
      <c r="D893" s="92">
        <f>IF(C893="","",IFERROR(INDEX(Roster!$C$6:$C$65,IFERROR(MATCH(C893,Roster!$B$6:$B$65,0),MATCH(C893,Roster!$C$6:$C$65,0))),"not on the Roster"))</f>
        <v/>
      </c>
      <c r="E893" s="106" t="n"/>
      <c r="F893" s="104">
        <f>IF(OR(A893="",C893="",B893=""),"",IFERROR(INDEX(CHOOSE(IF(YEAR(A893)&gt;PlanYear,13,MONTH(A893)),'Jan'!$D$27:$AH$266,'Feb'!$D$27:$AH$266,'Mar'!$D$27:$AH$266,'Apr'!$D$27:$AH$266,'May'!$D$27:$AH$266,'Jun'!$D$27:$AH$266,'Jul'!$D$27:$AH$266,'Aug'!$D$27:$AH$266,'Sep'!$D$27:$AH$266,'Oct'!$D$27:$AH$266,'Nov'!$D$27:$AH$266,'Dec'!$D$27:$AH$266,'Jan (next year)'!$D$27:$AH$266),27+4*(IFERROR(MATCH(C893,Roster!$B$6:$B$65,0),MATCH(C893,Roster!$C$6:$C$65,0))-1)+MATCH(B893,{"AM","PM","NIGHT","WD"},0)-1-27+1,DAY(A893))&amp;"",""))</f>
        <v/>
      </c>
      <c r="G893" s="123">
        <f>IF(OR(A893="",C893="",B893="",E893=""),"",IFERROR(A893&amp;"|"&amp;(27+4*(IFERROR(MATCH(C893,Roster!$B$6:$B$65,0),MATCH(C893,Roster!$C$6:$C$65,0))-1)+MATCH(B893,{"AM","PM","NIGHT","WD"},0)-1),""))</f>
        <v/>
      </c>
    </row>
    <row r="894">
      <c r="A894" s="122" t="n"/>
      <c r="B894" s="107" t="n"/>
      <c r="C894" s="105" t="n"/>
      <c r="D894" s="92">
        <f>IF(C894="","",IFERROR(INDEX(Roster!$C$6:$C$65,IFERROR(MATCH(C894,Roster!$B$6:$B$65,0),MATCH(C894,Roster!$C$6:$C$65,0))),"not on the Roster"))</f>
        <v/>
      </c>
      <c r="E894" s="106" t="n"/>
      <c r="F894" s="104">
        <f>IF(OR(A894="",C894="",B894=""),"",IFERROR(INDEX(CHOOSE(IF(YEAR(A894)&gt;PlanYear,13,MONTH(A894)),'Jan'!$D$27:$AH$266,'Feb'!$D$27:$AH$266,'Mar'!$D$27:$AH$266,'Apr'!$D$27:$AH$266,'May'!$D$27:$AH$266,'Jun'!$D$27:$AH$266,'Jul'!$D$27:$AH$266,'Aug'!$D$27:$AH$266,'Sep'!$D$27:$AH$266,'Oct'!$D$27:$AH$266,'Nov'!$D$27:$AH$266,'Dec'!$D$27:$AH$266,'Jan (next year)'!$D$27:$AH$266),27+4*(IFERROR(MATCH(C894,Roster!$B$6:$B$65,0),MATCH(C894,Roster!$C$6:$C$65,0))-1)+MATCH(B894,{"AM","PM","NIGHT","WD"},0)-1-27+1,DAY(A894))&amp;"",""))</f>
        <v/>
      </c>
      <c r="G894" s="123">
        <f>IF(OR(A894="",C894="",B894="",E894=""),"",IFERROR(A894&amp;"|"&amp;(27+4*(IFERROR(MATCH(C894,Roster!$B$6:$B$65,0),MATCH(C894,Roster!$C$6:$C$65,0))-1)+MATCH(B894,{"AM","PM","NIGHT","WD"},0)-1),""))</f>
        <v/>
      </c>
    </row>
    <row r="895">
      <c r="A895" s="122" t="n"/>
      <c r="B895" s="107" t="n"/>
      <c r="C895" s="105" t="n"/>
      <c r="D895" s="92">
        <f>IF(C895="","",IFERROR(INDEX(Roster!$C$6:$C$65,IFERROR(MATCH(C895,Roster!$B$6:$B$65,0),MATCH(C895,Roster!$C$6:$C$65,0))),"not on the Roster"))</f>
        <v/>
      </c>
      <c r="E895" s="106" t="n"/>
      <c r="F895" s="104">
        <f>IF(OR(A895="",C895="",B895=""),"",IFERROR(INDEX(CHOOSE(IF(YEAR(A895)&gt;PlanYear,13,MONTH(A895)),'Jan'!$D$27:$AH$266,'Feb'!$D$27:$AH$266,'Mar'!$D$27:$AH$266,'Apr'!$D$27:$AH$266,'May'!$D$27:$AH$266,'Jun'!$D$27:$AH$266,'Jul'!$D$27:$AH$266,'Aug'!$D$27:$AH$266,'Sep'!$D$27:$AH$266,'Oct'!$D$27:$AH$266,'Nov'!$D$27:$AH$266,'Dec'!$D$27:$AH$266,'Jan (next year)'!$D$27:$AH$266),27+4*(IFERROR(MATCH(C895,Roster!$B$6:$B$65,0),MATCH(C895,Roster!$C$6:$C$65,0))-1)+MATCH(B895,{"AM","PM","NIGHT","WD"},0)-1-27+1,DAY(A895))&amp;"",""))</f>
        <v/>
      </c>
      <c r="G895" s="123">
        <f>IF(OR(A895="",C895="",B895="",E895=""),"",IFERROR(A895&amp;"|"&amp;(27+4*(IFERROR(MATCH(C895,Roster!$B$6:$B$65,0),MATCH(C895,Roster!$C$6:$C$65,0))-1)+MATCH(B895,{"AM","PM","NIGHT","WD"},0)-1),""))</f>
        <v/>
      </c>
    </row>
    <row r="896">
      <c r="A896" s="122" t="n"/>
      <c r="B896" s="107" t="n"/>
      <c r="C896" s="105" t="n"/>
      <c r="D896" s="92">
        <f>IF(C896="","",IFERROR(INDEX(Roster!$C$6:$C$65,IFERROR(MATCH(C896,Roster!$B$6:$B$65,0),MATCH(C896,Roster!$C$6:$C$65,0))),"not on the Roster"))</f>
        <v/>
      </c>
      <c r="E896" s="106" t="n"/>
      <c r="F896" s="104">
        <f>IF(OR(A896="",C896="",B896=""),"",IFERROR(INDEX(CHOOSE(IF(YEAR(A896)&gt;PlanYear,13,MONTH(A896)),'Jan'!$D$27:$AH$266,'Feb'!$D$27:$AH$266,'Mar'!$D$27:$AH$266,'Apr'!$D$27:$AH$266,'May'!$D$27:$AH$266,'Jun'!$D$27:$AH$266,'Jul'!$D$27:$AH$266,'Aug'!$D$27:$AH$266,'Sep'!$D$27:$AH$266,'Oct'!$D$27:$AH$266,'Nov'!$D$27:$AH$266,'Dec'!$D$27:$AH$266,'Jan (next year)'!$D$27:$AH$266),27+4*(IFERROR(MATCH(C896,Roster!$B$6:$B$65,0),MATCH(C896,Roster!$C$6:$C$65,0))-1)+MATCH(B896,{"AM","PM","NIGHT","WD"},0)-1-27+1,DAY(A896))&amp;"",""))</f>
        <v/>
      </c>
      <c r="G896" s="123">
        <f>IF(OR(A896="",C896="",B896="",E896=""),"",IFERROR(A896&amp;"|"&amp;(27+4*(IFERROR(MATCH(C896,Roster!$B$6:$B$65,0),MATCH(C896,Roster!$C$6:$C$65,0))-1)+MATCH(B896,{"AM","PM","NIGHT","WD"},0)-1),""))</f>
        <v/>
      </c>
    </row>
    <row r="897">
      <c r="A897" s="122" t="n"/>
      <c r="B897" s="107" t="n"/>
      <c r="C897" s="105" t="n"/>
      <c r="D897" s="92">
        <f>IF(C897="","",IFERROR(INDEX(Roster!$C$6:$C$65,IFERROR(MATCH(C897,Roster!$B$6:$B$65,0),MATCH(C897,Roster!$C$6:$C$65,0))),"not on the Roster"))</f>
        <v/>
      </c>
      <c r="E897" s="106" t="n"/>
      <c r="F897" s="104">
        <f>IF(OR(A897="",C897="",B897=""),"",IFERROR(INDEX(CHOOSE(IF(YEAR(A897)&gt;PlanYear,13,MONTH(A897)),'Jan'!$D$27:$AH$266,'Feb'!$D$27:$AH$266,'Mar'!$D$27:$AH$266,'Apr'!$D$27:$AH$266,'May'!$D$27:$AH$266,'Jun'!$D$27:$AH$266,'Jul'!$D$27:$AH$266,'Aug'!$D$27:$AH$266,'Sep'!$D$27:$AH$266,'Oct'!$D$27:$AH$266,'Nov'!$D$27:$AH$266,'Dec'!$D$27:$AH$266,'Jan (next year)'!$D$27:$AH$266),27+4*(IFERROR(MATCH(C897,Roster!$B$6:$B$65,0),MATCH(C897,Roster!$C$6:$C$65,0))-1)+MATCH(B897,{"AM","PM","NIGHT","WD"},0)-1-27+1,DAY(A897))&amp;"",""))</f>
        <v/>
      </c>
      <c r="G897" s="123">
        <f>IF(OR(A897="",C897="",B897="",E897=""),"",IFERROR(A897&amp;"|"&amp;(27+4*(IFERROR(MATCH(C897,Roster!$B$6:$B$65,0),MATCH(C897,Roster!$C$6:$C$65,0))-1)+MATCH(B897,{"AM","PM","NIGHT","WD"},0)-1),""))</f>
        <v/>
      </c>
    </row>
    <row r="898">
      <c r="A898" s="122" t="n"/>
      <c r="B898" s="107" t="n"/>
      <c r="C898" s="105" t="n"/>
      <c r="D898" s="92">
        <f>IF(C898="","",IFERROR(INDEX(Roster!$C$6:$C$65,IFERROR(MATCH(C898,Roster!$B$6:$B$65,0),MATCH(C898,Roster!$C$6:$C$65,0))),"not on the Roster"))</f>
        <v/>
      </c>
      <c r="E898" s="106" t="n"/>
      <c r="F898" s="104">
        <f>IF(OR(A898="",C898="",B898=""),"",IFERROR(INDEX(CHOOSE(IF(YEAR(A898)&gt;PlanYear,13,MONTH(A898)),'Jan'!$D$27:$AH$266,'Feb'!$D$27:$AH$266,'Mar'!$D$27:$AH$266,'Apr'!$D$27:$AH$266,'May'!$D$27:$AH$266,'Jun'!$D$27:$AH$266,'Jul'!$D$27:$AH$266,'Aug'!$D$27:$AH$266,'Sep'!$D$27:$AH$266,'Oct'!$D$27:$AH$266,'Nov'!$D$27:$AH$266,'Dec'!$D$27:$AH$266,'Jan (next year)'!$D$27:$AH$266),27+4*(IFERROR(MATCH(C898,Roster!$B$6:$B$65,0),MATCH(C898,Roster!$C$6:$C$65,0))-1)+MATCH(B898,{"AM","PM","NIGHT","WD"},0)-1-27+1,DAY(A898))&amp;"",""))</f>
        <v/>
      </c>
      <c r="G898" s="123">
        <f>IF(OR(A898="",C898="",B898="",E898=""),"",IFERROR(A898&amp;"|"&amp;(27+4*(IFERROR(MATCH(C898,Roster!$B$6:$B$65,0),MATCH(C898,Roster!$C$6:$C$65,0))-1)+MATCH(B898,{"AM","PM","NIGHT","WD"},0)-1),""))</f>
        <v/>
      </c>
    </row>
    <row r="899">
      <c r="A899" s="122" t="n"/>
      <c r="B899" s="107" t="n"/>
      <c r="C899" s="105" t="n"/>
      <c r="D899" s="92">
        <f>IF(C899="","",IFERROR(INDEX(Roster!$C$6:$C$65,IFERROR(MATCH(C899,Roster!$B$6:$B$65,0),MATCH(C899,Roster!$C$6:$C$65,0))),"not on the Roster"))</f>
        <v/>
      </c>
      <c r="E899" s="106" t="n"/>
      <c r="F899" s="104">
        <f>IF(OR(A899="",C899="",B899=""),"",IFERROR(INDEX(CHOOSE(IF(YEAR(A899)&gt;PlanYear,13,MONTH(A899)),'Jan'!$D$27:$AH$266,'Feb'!$D$27:$AH$266,'Mar'!$D$27:$AH$266,'Apr'!$D$27:$AH$266,'May'!$D$27:$AH$266,'Jun'!$D$27:$AH$266,'Jul'!$D$27:$AH$266,'Aug'!$D$27:$AH$266,'Sep'!$D$27:$AH$266,'Oct'!$D$27:$AH$266,'Nov'!$D$27:$AH$266,'Dec'!$D$27:$AH$266,'Jan (next year)'!$D$27:$AH$266),27+4*(IFERROR(MATCH(C899,Roster!$B$6:$B$65,0),MATCH(C899,Roster!$C$6:$C$65,0))-1)+MATCH(B899,{"AM","PM","NIGHT","WD"},0)-1-27+1,DAY(A899))&amp;"",""))</f>
        <v/>
      </c>
      <c r="G899" s="123">
        <f>IF(OR(A899="",C899="",B899="",E899=""),"",IFERROR(A899&amp;"|"&amp;(27+4*(IFERROR(MATCH(C899,Roster!$B$6:$B$65,0),MATCH(C899,Roster!$C$6:$C$65,0))-1)+MATCH(B899,{"AM","PM","NIGHT","WD"},0)-1),""))</f>
        <v/>
      </c>
    </row>
    <row r="900">
      <c r="A900" s="122" t="n"/>
      <c r="B900" s="107" t="n"/>
      <c r="C900" s="105" t="n"/>
      <c r="D900" s="92">
        <f>IF(C900="","",IFERROR(INDEX(Roster!$C$6:$C$65,IFERROR(MATCH(C900,Roster!$B$6:$B$65,0),MATCH(C900,Roster!$C$6:$C$65,0))),"not on the Roster"))</f>
        <v/>
      </c>
      <c r="E900" s="106" t="n"/>
      <c r="F900" s="104">
        <f>IF(OR(A900="",C900="",B900=""),"",IFERROR(INDEX(CHOOSE(IF(YEAR(A900)&gt;PlanYear,13,MONTH(A900)),'Jan'!$D$27:$AH$266,'Feb'!$D$27:$AH$266,'Mar'!$D$27:$AH$266,'Apr'!$D$27:$AH$266,'May'!$D$27:$AH$266,'Jun'!$D$27:$AH$266,'Jul'!$D$27:$AH$266,'Aug'!$D$27:$AH$266,'Sep'!$D$27:$AH$266,'Oct'!$D$27:$AH$266,'Nov'!$D$27:$AH$266,'Dec'!$D$27:$AH$266,'Jan (next year)'!$D$27:$AH$266),27+4*(IFERROR(MATCH(C900,Roster!$B$6:$B$65,0),MATCH(C900,Roster!$C$6:$C$65,0))-1)+MATCH(B900,{"AM","PM","NIGHT","WD"},0)-1-27+1,DAY(A900))&amp;"",""))</f>
        <v/>
      </c>
      <c r="G900" s="123">
        <f>IF(OR(A900="",C900="",B900="",E900=""),"",IFERROR(A900&amp;"|"&amp;(27+4*(IFERROR(MATCH(C900,Roster!$B$6:$B$65,0),MATCH(C900,Roster!$C$6:$C$65,0))-1)+MATCH(B900,{"AM","PM","NIGHT","WD"},0)-1),""))</f>
        <v/>
      </c>
    </row>
    <row r="901">
      <c r="A901" s="122" t="n"/>
      <c r="B901" s="107" t="n"/>
      <c r="C901" s="105" t="n"/>
      <c r="D901" s="92">
        <f>IF(C901="","",IFERROR(INDEX(Roster!$C$6:$C$65,IFERROR(MATCH(C901,Roster!$B$6:$B$65,0),MATCH(C901,Roster!$C$6:$C$65,0))),"not on the Roster"))</f>
        <v/>
      </c>
      <c r="E901" s="106" t="n"/>
      <c r="F901" s="104">
        <f>IF(OR(A901="",C901="",B901=""),"",IFERROR(INDEX(CHOOSE(IF(YEAR(A901)&gt;PlanYear,13,MONTH(A901)),'Jan'!$D$27:$AH$266,'Feb'!$D$27:$AH$266,'Mar'!$D$27:$AH$266,'Apr'!$D$27:$AH$266,'May'!$D$27:$AH$266,'Jun'!$D$27:$AH$266,'Jul'!$D$27:$AH$266,'Aug'!$D$27:$AH$266,'Sep'!$D$27:$AH$266,'Oct'!$D$27:$AH$266,'Nov'!$D$27:$AH$266,'Dec'!$D$27:$AH$266,'Jan (next year)'!$D$27:$AH$266),27+4*(IFERROR(MATCH(C901,Roster!$B$6:$B$65,0),MATCH(C901,Roster!$C$6:$C$65,0))-1)+MATCH(B901,{"AM","PM","NIGHT","WD"},0)-1-27+1,DAY(A901))&amp;"",""))</f>
        <v/>
      </c>
      <c r="G901" s="123">
        <f>IF(OR(A901="",C901="",B901="",E901=""),"",IFERROR(A901&amp;"|"&amp;(27+4*(IFERROR(MATCH(C901,Roster!$B$6:$B$65,0),MATCH(C901,Roster!$C$6:$C$65,0))-1)+MATCH(B901,{"AM","PM","NIGHT","WD"},0)-1),""))</f>
        <v/>
      </c>
    </row>
    <row r="902">
      <c r="A902" s="122" t="n"/>
      <c r="B902" s="107" t="n"/>
      <c r="C902" s="105" t="n"/>
      <c r="D902" s="92">
        <f>IF(C902="","",IFERROR(INDEX(Roster!$C$6:$C$65,IFERROR(MATCH(C902,Roster!$B$6:$B$65,0),MATCH(C902,Roster!$C$6:$C$65,0))),"not on the Roster"))</f>
        <v/>
      </c>
      <c r="E902" s="106" t="n"/>
      <c r="F902" s="104">
        <f>IF(OR(A902="",C902="",B902=""),"",IFERROR(INDEX(CHOOSE(IF(YEAR(A902)&gt;PlanYear,13,MONTH(A902)),'Jan'!$D$27:$AH$266,'Feb'!$D$27:$AH$266,'Mar'!$D$27:$AH$266,'Apr'!$D$27:$AH$266,'May'!$D$27:$AH$266,'Jun'!$D$27:$AH$266,'Jul'!$D$27:$AH$266,'Aug'!$D$27:$AH$266,'Sep'!$D$27:$AH$266,'Oct'!$D$27:$AH$266,'Nov'!$D$27:$AH$266,'Dec'!$D$27:$AH$266,'Jan (next year)'!$D$27:$AH$266),27+4*(IFERROR(MATCH(C902,Roster!$B$6:$B$65,0),MATCH(C902,Roster!$C$6:$C$65,0))-1)+MATCH(B902,{"AM","PM","NIGHT","WD"},0)-1-27+1,DAY(A902))&amp;"",""))</f>
        <v/>
      </c>
      <c r="G902" s="123">
        <f>IF(OR(A902="",C902="",B902="",E902=""),"",IFERROR(A902&amp;"|"&amp;(27+4*(IFERROR(MATCH(C902,Roster!$B$6:$B$65,0),MATCH(C902,Roster!$C$6:$C$65,0))-1)+MATCH(B902,{"AM","PM","NIGHT","WD"},0)-1),""))</f>
        <v/>
      </c>
    </row>
    <row r="903">
      <c r="A903" s="122" t="n"/>
      <c r="B903" s="107" t="n"/>
      <c r="C903" s="105" t="n"/>
      <c r="D903" s="92">
        <f>IF(C903="","",IFERROR(INDEX(Roster!$C$6:$C$65,IFERROR(MATCH(C903,Roster!$B$6:$B$65,0),MATCH(C903,Roster!$C$6:$C$65,0))),"not on the Roster"))</f>
        <v/>
      </c>
      <c r="E903" s="106" t="n"/>
      <c r="F903" s="104">
        <f>IF(OR(A903="",C903="",B903=""),"",IFERROR(INDEX(CHOOSE(IF(YEAR(A903)&gt;PlanYear,13,MONTH(A903)),'Jan'!$D$27:$AH$266,'Feb'!$D$27:$AH$266,'Mar'!$D$27:$AH$266,'Apr'!$D$27:$AH$266,'May'!$D$27:$AH$266,'Jun'!$D$27:$AH$266,'Jul'!$D$27:$AH$266,'Aug'!$D$27:$AH$266,'Sep'!$D$27:$AH$266,'Oct'!$D$27:$AH$266,'Nov'!$D$27:$AH$266,'Dec'!$D$27:$AH$266,'Jan (next year)'!$D$27:$AH$266),27+4*(IFERROR(MATCH(C903,Roster!$B$6:$B$65,0),MATCH(C903,Roster!$C$6:$C$65,0))-1)+MATCH(B903,{"AM","PM","NIGHT","WD"},0)-1-27+1,DAY(A903))&amp;"",""))</f>
        <v/>
      </c>
      <c r="G903" s="123">
        <f>IF(OR(A903="",C903="",B903="",E903=""),"",IFERROR(A903&amp;"|"&amp;(27+4*(IFERROR(MATCH(C903,Roster!$B$6:$B$65,0),MATCH(C903,Roster!$C$6:$C$65,0))-1)+MATCH(B903,{"AM","PM","NIGHT","WD"},0)-1),""))</f>
        <v/>
      </c>
    </row>
    <row r="904">
      <c r="A904" s="122" t="n"/>
      <c r="B904" s="107" t="n"/>
      <c r="C904" s="105" t="n"/>
      <c r="D904" s="92">
        <f>IF(C904="","",IFERROR(INDEX(Roster!$C$6:$C$65,IFERROR(MATCH(C904,Roster!$B$6:$B$65,0),MATCH(C904,Roster!$C$6:$C$65,0))),"not on the Roster"))</f>
        <v/>
      </c>
      <c r="E904" s="106" t="n"/>
      <c r="F904" s="104">
        <f>IF(OR(A904="",C904="",B904=""),"",IFERROR(INDEX(CHOOSE(IF(YEAR(A904)&gt;PlanYear,13,MONTH(A904)),'Jan'!$D$27:$AH$266,'Feb'!$D$27:$AH$266,'Mar'!$D$27:$AH$266,'Apr'!$D$27:$AH$266,'May'!$D$27:$AH$266,'Jun'!$D$27:$AH$266,'Jul'!$D$27:$AH$266,'Aug'!$D$27:$AH$266,'Sep'!$D$27:$AH$266,'Oct'!$D$27:$AH$266,'Nov'!$D$27:$AH$266,'Dec'!$D$27:$AH$266,'Jan (next year)'!$D$27:$AH$266),27+4*(IFERROR(MATCH(C904,Roster!$B$6:$B$65,0),MATCH(C904,Roster!$C$6:$C$65,0))-1)+MATCH(B904,{"AM","PM","NIGHT","WD"},0)-1-27+1,DAY(A904))&amp;"",""))</f>
        <v/>
      </c>
      <c r="G904" s="123">
        <f>IF(OR(A904="",C904="",B904="",E904=""),"",IFERROR(A904&amp;"|"&amp;(27+4*(IFERROR(MATCH(C904,Roster!$B$6:$B$65,0),MATCH(C904,Roster!$C$6:$C$65,0))-1)+MATCH(B904,{"AM","PM","NIGHT","WD"},0)-1),""))</f>
        <v/>
      </c>
    </row>
    <row r="905">
      <c r="A905" s="122" t="n"/>
      <c r="B905" s="107" t="n"/>
      <c r="C905" s="105" t="n"/>
      <c r="D905" s="92">
        <f>IF(C905="","",IFERROR(INDEX(Roster!$C$6:$C$65,IFERROR(MATCH(C905,Roster!$B$6:$B$65,0),MATCH(C905,Roster!$C$6:$C$65,0))),"not on the Roster"))</f>
        <v/>
      </c>
      <c r="E905" s="106" t="n"/>
      <c r="F905" s="104">
        <f>IF(OR(A905="",C905="",B905=""),"",IFERROR(INDEX(CHOOSE(IF(YEAR(A905)&gt;PlanYear,13,MONTH(A905)),'Jan'!$D$27:$AH$266,'Feb'!$D$27:$AH$266,'Mar'!$D$27:$AH$266,'Apr'!$D$27:$AH$266,'May'!$D$27:$AH$266,'Jun'!$D$27:$AH$266,'Jul'!$D$27:$AH$266,'Aug'!$D$27:$AH$266,'Sep'!$D$27:$AH$266,'Oct'!$D$27:$AH$266,'Nov'!$D$27:$AH$266,'Dec'!$D$27:$AH$266,'Jan (next year)'!$D$27:$AH$266),27+4*(IFERROR(MATCH(C905,Roster!$B$6:$B$65,0),MATCH(C905,Roster!$C$6:$C$65,0))-1)+MATCH(B905,{"AM","PM","NIGHT","WD"},0)-1-27+1,DAY(A905))&amp;"",""))</f>
        <v/>
      </c>
      <c r="G905" s="123">
        <f>IF(OR(A905="",C905="",B905="",E905=""),"",IFERROR(A905&amp;"|"&amp;(27+4*(IFERROR(MATCH(C905,Roster!$B$6:$B$65,0),MATCH(C905,Roster!$C$6:$C$65,0))-1)+MATCH(B905,{"AM","PM","NIGHT","WD"},0)-1),""))</f>
        <v/>
      </c>
    </row>
    <row r="906">
      <c r="A906" s="122" t="n"/>
      <c r="B906" s="107" t="n"/>
      <c r="C906" s="105" t="n"/>
      <c r="D906" s="92">
        <f>IF(C906="","",IFERROR(INDEX(Roster!$C$6:$C$65,IFERROR(MATCH(C906,Roster!$B$6:$B$65,0),MATCH(C906,Roster!$C$6:$C$65,0))),"not on the Roster"))</f>
        <v/>
      </c>
      <c r="E906" s="106" t="n"/>
      <c r="F906" s="104">
        <f>IF(OR(A906="",C906="",B906=""),"",IFERROR(INDEX(CHOOSE(IF(YEAR(A906)&gt;PlanYear,13,MONTH(A906)),'Jan'!$D$27:$AH$266,'Feb'!$D$27:$AH$266,'Mar'!$D$27:$AH$266,'Apr'!$D$27:$AH$266,'May'!$D$27:$AH$266,'Jun'!$D$27:$AH$266,'Jul'!$D$27:$AH$266,'Aug'!$D$27:$AH$266,'Sep'!$D$27:$AH$266,'Oct'!$D$27:$AH$266,'Nov'!$D$27:$AH$266,'Dec'!$D$27:$AH$266,'Jan (next year)'!$D$27:$AH$266),27+4*(IFERROR(MATCH(C906,Roster!$B$6:$B$65,0),MATCH(C906,Roster!$C$6:$C$65,0))-1)+MATCH(B906,{"AM","PM","NIGHT","WD"},0)-1-27+1,DAY(A906))&amp;"",""))</f>
        <v/>
      </c>
      <c r="G906" s="123">
        <f>IF(OR(A906="",C906="",B906="",E906=""),"",IFERROR(A906&amp;"|"&amp;(27+4*(IFERROR(MATCH(C906,Roster!$B$6:$B$65,0),MATCH(C906,Roster!$C$6:$C$65,0))-1)+MATCH(B906,{"AM","PM","NIGHT","WD"},0)-1),""))</f>
        <v/>
      </c>
    </row>
    <row r="907">
      <c r="A907" s="122" t="n"/>
      <c r="B907" s="107" t="n"/>
      <c r="C907" s="105" t="n"/>
      <c r="D907" s="92">
        <f>IF(C907="","",IFERROR(INDEX(Roster!$C$6:$C$65,IFERROR(MATCH(C907,Roster!$B$6:$B$65,0),MATCH(C907,Roster!$C$6:$C$65,0))),"not on the Roster"))</f>
        <v/>
      </c>
      <c r="E907" s="106" t="n"/>
      <c r="F907" s="104">
        <f>IF(OR(A907="",C907="",B907=""),"",IFERROR(INDEX(CHOOSE(IF(YEAR(A907)&gt;PlanYear,13,MONTH(A907)),'Jan'!$D$27:$AH$266,'Feb'!$D$27:$AH$266,'Mar'!$D$27:$AH$266,'Apr'!$D$27:$AH$266,'May'!$D$27:$AH$266,'Jun'!$D$27:$AH$266,'Jul'!$D$27:$AH$266,'Aug'!$D$27:$AH$266,'Sep'!$D$27:$AH$266,'Oct'!$D$27:$AH$266,'Nov'!$D$27:$AH$266,'Dec'!$D$27:$AH$266,'Jan (next year)'!$D$27:$AH$266),27+4*(IFERROR(MATCH(C907,Roster!$B$6:$B$65,0),MATCH(C907,Roster!$C$6:$C$65,0))-1)+MATCH(B907,{"AM","PM","NIGHT","WD"},0)-1-27+1,DAY(A907))&amp;"",""))</f>
        <v/>
      </c>
      <c r="G907" s="123">
        <f>IF(OR(A907="",C907="",B907="",E907=""),"",IFERROR(A907&amp;"|"&amp;(27+4*(IFERROR(MATCH(C907,Roster!$B$6:$B$65,0),MATCH(C907,Roster!$C$6:$C$65,0))-1)+MATCH(B907,{"AM","PM","NIGHT","WD"},0)-1),""))</f>
        <v/>
      </c>
    </row>
    <row r="908">
      <c r="A908" s="122" t="n"/>
      <c r="B908" s="107" t="n"/>
      <c r="C908" s="105" t="n"/>
      <c r="D908" s="92">
        <f>IF(C908="","",IFERROR(INDEX(Roster!$C$6:$C$65,IFERROR(MATCH(C908,Roster!$B$6:$B$65,0),MATCH(C908,Roster!$C$6:$C$65,0))),"not on the Roster"))</f>
        <v/>
      </c>
      <c r="E908" s="106" t="n"/>
      <c r="F908" s="104">
        <f>IF(OR(A908="",C908="",B908=""),"",IFERROR(INDEX(CHOOSE(IF(YEAR(A908)&gt;PlanYear,13,MONTH(A908)),'Jan'!$D$27:$AH$266,'Feb'!$D$27:$AH$266,'Mar'!$D$27:$AH$266,'Apr'!$D$27:$AH$266,'May'!$D$27:$AH$266,'Jun'!$D$27:$AH$266,'Jul'!$D$27:$AH$266,'Aug'!$D$27:$AH$266,'Sep'!$D$27:$AH$266,'Oct'!$D$27:$AH$266,'Nov'!$D$27:$AH$266,'Dec'!$D$27:$AH$266,'Jan (next year)'!$D$27:$AH$266),27+4*(IFERROR(MATCH(C908,Roster!$B$6:$B$65,0),MATCH(C908,Roster!$C$6:$C$65,0))-1)+MATCH(B908,{"AM","PM","NIGHT","WD"},0)-1-27+1,DAY(A908))&amp;"",""))</f>
        <v/>
      </c>
      <c r="G908" s="123">
        <f>IF(OR(A908="",C908="",B908="",E908=""),"",IFERROR(A908&amp;"|"&amp;(27+4*(IFERROR(MATCH(C908,Roster!$B$6:$B$65,0),MATCH(C908,Roster!$C$6:$C$65,0))-1)+MATCH(B908,{"AM","PM","NIGHT","WD"},0)-1),""))</f>
        <v/>
      </c>
    </row>
    <row r="909">
      <c r="A909" s="122" t="n"/>
      <c r="B909" s="107" t="n"/>
      <c r="C909" s="105" t="n"/>
      <c r="D909" s="92">
        <f>IF(C909="","",IFERROR(INDEX(Roster!$C$6:$C$65,IFERROR(MATCH(C909,Roster!$B$6:$B$65,0),MATCH(C909,Roster!$C$6:$C$65,0))),"not on the Roster"))</f>
        <v/>
      </c>
      <c r="E909" s="106" t="n"/>
      <c r="F909" s="104">
        <f>IF(OR(A909="",C909="",B909=""),"",IFERROR(INDEX(CHOOSE(IF(YEAR(A909)&gt;PlanYear,13,MONTH(A909)),'Jan'!$D$27:$AH$266,'Feb'!$D$27:$AH$266,'Mar'!$D$27:$AH$266,'Apr'!$D$27:$AH$266,'May'!$D$27:$AH$266,'Jun'!$D$27:$AH$266,'Jul'!$D$27:$AH$266,'Aug'!$D$27:$AH$266,'Sep'!$D$27:$AH$266,'Oct'!$D$27:$AH$266,'Nov'!$D$27:$AH$266,'Dec'!$D$27:$AH$266,'Jan (next year)'!$D$27:$AH$266),27+4*(IFERROR(MATCH(C909,Roster!$B$6:$B$65,0),MATCH(C909,Roster!$C$6:$C$65,0))-1)+MATCH(B909,{"AM","PM","NIGHT","WD"},0)-1-27+1,DAY(A909))&amp;"",""))</f>
        <v/>
      </c>
      <c r="G909" s="123">
        <f>IF(OR(A909="",C909="",B909="",E909=""),"",IFERROR(A909&amp;"|"&amp;(27+4*(IFERROR(MATCH(C909,Roster!$B$6:$B$65,0),MATCH(C909,Roster!$C$6:$C$65,0))-1)+MATCH(B909,{"AM","PM","NIGHT","WD"},0)-1),""))</f>
        <v/>
      </c>
    </row>
    <row r="910">
      <c r="A910" s="122" t="n"/>
      <c r="B910" s="107" t="n"/>
      <c r="C910" s="105" t="n"/>
      <c r="D910" s="92">
        <f>IF(C910="","",IFERROR(INDEX(Roster!$C$6:$C$65,IFERROR(MATCH(C910,Roster!$B$6:$B$65,0),MATCH(C910,Roster!$C$6:$C$65,0))),"not on the Roster"))</f>
        <v/>
      </c>
      <c r="E910" s="106" t="n"/>
      <c r="F910" s="104">
        <f>IF(OR(A910="",C910="",B910=""),"",IFERROR(INDEX(CHOOSE(IF(YEAR(A910)&gt;PlanYear,13,MONTH(A910)),'Jan'!$D$27:$AH$266,'Feb'!$D$27:$AH$266,'Mar'!$D$27:$AH$266,'Apr'!$D$27:$AH$266,'May'!$D$27:$AH$266,'Jun'!$D$27:$AH$266,'Jul'!$D$27:$AH$266,'Aug'!$D$27:$AH$266,'Sep'!$D$27:$AH$266,'Oct'!$D$27:$AH$266,'Nov'!$D$27:$AH$266,'Dec'!$D$27:$AH$266,'Jan (next year)'!$D$27:$AH$266),27+4*(IFERROR(MATCH(C910,Roster!$B$6:$B$65,0),MATCH(C910,Roster!$C$6:$C$65,0))-1)+MATCH(B910,{"AM","PM","NIGHT","WD"},0)-1-27+1,DAY(A910))&amp;"",""))</f>
        <v/>
      </c>
      <c r="G910" s="123">
        <f>IF(OR(A910="",C910="",B910="",E910=""),"",IFERROR(A910&amp;"|"&amp;(27+4*(IFERROR(MATCH(C910,Roster!$B$6:$B$65,0),MATCH(C910,Roster!$C$6:$C$65,0))-1)+MATCH(B910,{"AM","PM","NIGHT","WD"},0)-1),""))</f>
        <v/>
      </c>
    </row>
    <row r="911">
      <c r="A911" s="122" t="n"/>
      <c r="B911" s="107" t="n"/>
      <c r="C911" s="105" t="n"/>
      <c r="D911" s="92">
        <f>IF(C911="","",IFERROR(INDEX(Roster!$C$6:$C$65,IFERROR(MATCH(C911,Roster!$B$6:$B$65,0),MATCH(C911,Roster!$C$6:$C$65,0))),"not on the Roster"))</f>
        <v/>
      </c>
      <c r="E911" s="106" t="n"/>
      <c r="F911" s="104">
        <f>IF(OR(A911="",C911="",B911=""),"",IFERROR(INDEX(CHOOSE(IF(YEAR(A911)&gt;PlanYear,13,MONTH(A911)),'Jan'!$D$27:$AH$266,'Feb'!$D$27:$AH$266,'Mar'!$D$27:$AH$266,'Apr'!$D$27:$AH$266,'May'!$D$27:$AH$266,'Jun'!$D$27:$AH$266,'Jul'!$D$27:$AH$266,'Aug'!$D$27:$AH$266,'Sep'!$D$27:$AH$266,'Oct'!$D$27:$AH$266,'Nov'!$D$27:$AH$266,'Dec'!$D$27:$AH$266,'Jan (next year)'!$D$27:$AH$266),27+4*(IFERROR(MATCH(C911,Roster!$B$6:$B$65,0),MATCH(C911,Roster!$C$6:$C$65,0))-1)+MATCH(B911,{"AM","PM","NIGHT","WD"},0)-1-27+1,DAY(A911))&amp;"",""))</f>
        <v/>
      </c>
      <c r="G911" s="123">
        <f>IF(OR(A911="",C911="",B911="",E911=""),"",IFERROR(A911&amp;"|"&amp;(27+4*(IFERROR(MATCH(C911,Roster!$B$6:$B$65,0),MATCH(C911,Roster!$C$6:$C$65,0))-1)+MATCH(B911,{"AM","PM","NIGHT","WD"},0)-1),""))</f>
        <v/>
      </c>
    </row>
    <row r="912">
      <c r="A912" s="122" t="n"/>
      <c r="B912" s="107" t="n"/>
      <c r="C912" s="105" t="n"/>
      <c r="D912" s="92">
        <f>IF(C912="","",IFERROR(INDEX(Roster!$C$6:$C$65,IFERROR(MATCH(C912,Roster!$B$6:$B$65,0),MATCH(C912,Roster!$C$6:$C$65,0))),"not on the Roster"))</f>
        <v/>
      </c>
      <c r="E912" s="106" t="n"/>
      <c r="F912" s="104">
        <f>IF(OR(A912="",C912="",B912=""),"",IFERROR(INDEX(CHOOSE(IF(YEAR(A912)&gt;PlanYear,13,MONTH(A912)),'Jan'!$D$27:$AH$266,'Feb'!$D$27:$AH$266,'Mar'!$D$27:$AH$266,'Apr'!$D$27:$AH$266,'May'!$D$27:$AH$266,'Jun'!$D$27:$AH$266,'Jul'!$D$27:$AH$266,'Aug'!$D$27:$AH$266,'Sep'!$D$27:$AH$266,'Oct'!$D$27:$AH$266,'Nov'!$D$27:$AH$266,'Dec'!$D$27:$AH$266,'Jan (next year)'!$D$27:$AH$266),27+4*(IFERROR(MATCH(C912,Roster!$B$6:$B$65,0),MATCH(C912,Roster!$C$6:$C$65,0))-1)+MATCH(B912,{"AM","PM","NIGHT","WD"},0)-1-27+1,DAY(A912))&amp;"",""))</f>
        <v/>
      </c>
      <c r="G912" s="123">
        <f>IF(OR(A912="",C912="",B912="",E912=""),"",IFERROR(A912&amp;"|"&amp;(27+4*(IFERROR(MATCH(C912,Roster!$B$6:$B$65,0),MATCH(C912,Roster!$C$6:$C$65,0))-1)+MATCH(B912,{"AM","PM","NIGHT","WD"},0)-1),""))</f>
        <v/>
      </c>
    </row>
    <row r="913">
      <c r="A913" s="122" t="n"/>
      <c r="B913" s="107" t="n"/>
      <c r="C913" s="105" t="n"/>
      <c r="D913" s="92">
        <f>IF(C913="","",IFERROR(INDEX(Roster!$C$6:$C$65,IFERROR(MATCH(C913,Roster!$B$6:$B$65,0),MATCH(C913,Roster!$C$6:$C$65,0))),"not on the Roster"))</f>
        <v/>
      </c>
      <c r="E913" s="106" t="n"/>
      <c r="F913" s="104">
        <f>IF(OR(A913="",C913="",B913=""),"",IFERROR(INDEX(CHOOSE(IF(YEAR(A913)&gt;PlanYear,13,MONTH(A913)),'Jan'!$D$27:$AH$266,'Feb'!$D$27:$AH$266,'Mar'!$D$27:$AH$266,'Apr'!$D$27:$AH$266,'May'!$D$27:$AH$266,'Jun'!$D$27:$AH$266,'Jul'!$D$27:$AH$266,'Aug'!$D$27:$AH$266,'Sep'!$D$27:$AH$266,'Oct'!$D$27:$AH$266,'Nov'!$D$27:$AH$266,'Dec'!$D$27:$AH$266,'Jan (next year)'!$D$27:$AH$266),27+4*(IFERROR(MATCH(C913,Roster!$B$6:$B$65,0),MATCH(C913,Roster!$C$6:$C$65,0))-1)+MATCH(B913,{"AM","PM","NIGHT","WD"},0)-1-27+1,DAY(A913))&amp;"",""))</f>
        <v/>
      </c>
      <c r="G913" s="123">
        <f>IF(OR(A913="",C913="",B913="",E913=""),"",IFERROR(A913&amp;"|"&amp;(27+4*(IFERROR(MATCH(C913,Roster!$B$6:$B$65,0),MATCH(C913,Roster!$C$6:$C$65,0))-1)+MATCH(B913,{"AM","PM","NIGHT","WD"},0)-1),""))</f>
        <v/>
      </c>
    </row>
    <row r="914">
      <c r="A914" s="122" t="n"/>
      <c r="B914" s="107" t="n"/>
      <c r="C914" s="105" t="n"/>
      <c r="D914" s="92">
        <f>IF(C914="","",IFERROR(INDEX(Roster!$C$6:$C$65,IFERROR(MATCH(C914,Roster!$B$6:$B$65,0),MATCH(C914,Roster!$C$6:$C$65,0))),"not on the Roster"))</f>
        <v/>
      </c>
      <c r="E914" s="106" t="n"/>
      <c r="F914" s="104">
        <f>IF(OR(A914="",C914="",B914=""),"",IFERROR(INDEX(CHOOSE(IF(YEAR(A914)&gt;PlanYear,13,MONTH(A914)),'Jan'!$D$27:$AH$266,'Feb'!$D$27:$AH$266,'Mar'!$D$27:$AH$266,'Apr'!$D$27:$AH$266,'May'!$D$27:$AH$266,'Jun'!$D$27:$AH$266,'Jul'!$D$27:$AH$266,'Aug'!$D$27:$AH$266,'Sep'!$D$27:$AH$266,'Oct'!$D$27:$AH$266,'Nov'!$D$27:$AH$266,'Dec'!$D$27:$AH$266,'Jan (next year)'!$D$27:$AH$266),27+4*(IFERROR(MATCH(C914,Roster!$B$6:$B$65,0),MATCH(C914,Roster!$C$6:$C$65,0))-1)+MATCH(B914,{"AM","PM","NIGHT","WD"},0)-1-27+1,DAY(A914))&amp;"",""))</f>
        <v/>
      </c>
      <c r="G914" s="123">
        <f>IF(OR(A914="",C914="",B914="",E914=""),"",IFERROR(A914&amp;"|"&amp;(27+4*(IFERROR(MATCH(C914,Roster!$B$6:$B$65,0),MATCH(C914,Roster!$C$6:$C$65,0))-1)+MATCH(B914,{"AM","PM","NIGHT","WD"},0)-1),""))</f>
        <v/>
      </c>
    </row>
    <row r="915">
      <c r="A915" s="122" t="n"/>
      <c r="B915" s="107" t="n"/>
      <c r="C915" s="105" t="n"/>
      <c r="D915" s="92">
        <f>IF(C915="","",IFERROR(INDEX(Roster!$C$6:$C$65,IFERROR(MATCH(C915,Roster!$B$6:$B$65,0),MATCH(C915,Roster!$C$6:$C$65,0))),"not on the Roster"))</f>
        <v/>
      </c>
      <c r="E915" s="106" t="n"/>
      <c r="F915" s="104">
        <f>IF(OR(A915="",C915="",B915=""),"",IFERROR(INDEX(CHOOSE(IF(YEAR(A915)&gt;PlanYear,13,MONTH(A915)),'Jan'!$D$27:$AH$266,'Feb'!$D$27:$AH$266,'Mar'!$D$27:$AH$266,'Apr'!$D$27:$AH$266,'May'!$D$27:$AH$266,'Jun'!$D$27:$AH$266,'Jul'!$D$27:$AH$266,'Aug'!$D$27:$AH$266,'Sep'!$D$27:$AH$266,'Oct'!$D$27:$AH$266,'Nov'!$D$27:$AH$266,'Dec'!$D$27:$AH$266,'Jan (next year)'!$D$27:$AH$266),27+4*(IFERROR(MATCH(C915,Roster!$B$6:$B$65,0),MATCH(C915,Roster!$C$6:$C$65,0))-1)+MATCH(B915,{"AM","PM","NIGHT","WD"},0)-1-27+1,DAY(A915))&amp;"",""))</f>
        <v/>
      </c>
      <c r="G915" s="123">
        <f>IF(OR(A915="",C915="",B915="",E915=""),"",IFERROR(A915&amp;"|"&amp;(27+4*(IFERROR(MATCH(C915,Roster!$B$6:$B$65,0),MATCH(C915,Roster!$C$6:$C$65,0))-1)+MATCH(B915,{"AM","PM","NIGHT","WD"},0)-1),""))</f>
        <v/>
      </c>
    </row>
    <row r="916">
      <c r="A916" s="122" t="n"/>
      <c r="B916" s="107" t="n"/>
      <c r="C916" s="105" t="n"/>
      <c r="D916" s="92">
        <f>IF(C916="","",IFERROR(INDEX(Roster!$C$6:$C$65,IFERROR(MATCH(C916,Roster!$B$6:$B$65,0),MATCH(C916,Roster!$C$6:$C$65,0))),"not on the Roster"))</f>
        <v/>
      </c>
      <c r="E916" s="106" t="n"/>
      <c r="F916" s="104">
        <f>IF(OR(A916="",C916="",B916=""),"",IFERROR(INDEX(CHOOSE(IF(YEAR(A916)&gt;PlanYear,13,MONTH(A916)),'Jan'!$D$27:$AH$266,'Feb'!$D$27:$AH$266,'Mar'!$D$27:$AH$266,'Apr'!$D$27:$AH$266,'May'!$D$27:$AH$266,'Jun'!$D$27:$AH$266,'Jul'!$D$27:$AH$266,'Aug'!$D$27:$AH$266,'Sep'!$D$27:$AH$266,'Oct'!$D$27:$AH$266,'Nov'!$D$27:$AH$266,'Dec'!$D$27:$AH$266,'Jan (next year)'!$D$27:$AH$266),27+4*(IFERROR(MATCH(C916,Roster!$B$6:$B$65,0),MATCH(C916,Roster!$C$6:$C$65,0))-1)+MATCH(B916,{"AM","PM","NIGHT","WD"},0)-1-27+1,DAY(A916))&amp;"",""))</f>
        <v/>
      </c>
      <c r="G916" s="123">
        <f>IF(OR(A916="",C916="",B916="",E916=""),"",IFERROR(A916&amp;"|"&amp;(27+4*(IFERROR(MATCH(C916,Roster!$B$6:$B$65,0),MATCH(C916,Roster!$C$6:$C$65,0))-1)+MATCH(B916,{"AM","PM","NIGHT","WD"},0)-1),""))</f>
        <v/>
      </c>
    </row>
    <row r="917">
      <c r="A917" s="122" t="n"/>
      <c r="B917" s="107" t="n"/>
      <c r="C917" s="105" t="n"/>
      <c r="D917" s="92">
        <f>IF(C917="","",IFERROR(INDEX(Roster!$C$6:$C$65,IFERROR(MATCH(C917,Roster!$B$6:$B$65,0),MATCH(C917,Roster!$C$6:$C$65,0))),"not on the Roster"))</f>
        <v/>
      </c>
      <c r="E917" s="106" t="n"/>
      <c r="F917" s="104">
        <f>IF(OR(A917="",C917="",B917=""),"",IFERROR(INDEX(CHOOSE(IF(YEAR(A917)&gt;PlanYear,13,MONTH(A917)),'Jan'!$D$27:$AH$266,'Feb'!$D$27:$AH$266,'Mar'!$D$27:$AH$266,'Apr'!$D$27:$AH$266,'May'!$D$27:$AH$266,'Jun'!$D$27:$AH$266,'Jul'!$D$27:$AH$266,'Aug'!$D$27:$AH$266,'Sep'!$D$27:$AH$266,'Oct'!$D$27:$AH$266,'Nov'!$D$27:$AH$266,'Dec'!$D$27:$AH$266,'Jan (next year)'!$D$27:$AH$266),27+4*(IFERROR(MATCH(C917,Roster!$B$6:$B$65,0),MATCH(C917,Roster!$C$6:$C$65,0))-1)+MATCH(B917,{"AM","PM","NIGHT","WD"},0)-1-27+1,DAY(A917))&amp;"",""))</f>
        <v/>
      </c>
      <c r="G917" s="123">
        <f>IF(OR(A917="",C917="",B917="",E917=""),"",IFERROR(A917&amp;"|"&amp;(27+4*(IFERROR(MATCH(C917,Roster!$B$6:$B$65,0),MATCH(C917,Roster!$C$6:$C$65,0))-1)+MATCH(B917,{"AM","PM","NIGHT","WD"},0)-1),""))</f>
        <v/>
      </c>
    </row>
    <row r="918">
      <c r="A918" s="122" t="n"/>
      <c r="B918" s="107" t="n"/>
      <c r="C918" s="105" t="n"/>
      <c r="D918" s="92">
        <f>IF(C918="","",IFERROR(INDEX(Roster!$C$6:$C$65,IFERROR(MATCH(C918,Roster!$B$6:$B$65,0),MATCH(C918,Roster!$C$6:$C$65,0))),"not on the Roster"))</f>
        <v/>
      </c>
      <c r="E918" s="106" t="n"/>
      <c r="F918" s="104">
        <f>IF(OR(A918="",C918="",B918=""),"",IFERROR(INDEX(CHOOSE(IF(YEAR(A918)&gt;PlanYear,13,MONTH(A918)),'Jan'!$D$27:$AH$266,'Feb'!$D$27:$AH$266,'Mar'!$D$27:$AH$266,'Apr'!$D$27:$AH$266,'May'!$D$27:$AH$266,'Jun'!$D$27:$AH$266,'Jul'!$D$27:$AH$266,'Aug'!$D$27:$AH$266,'Sep'!$D$27:$AH$266,'Oct'!$D$27:$AH$266,'Nov'!$D$27:$AH$266,'Dec'!$D$27:$AH$266,'Jan (next year)'!$D$27:$AH$266),27+4*(IFERROR(MATCH(C918,Roster!$B$6:$B$65,0),MATCH(C918,Roster!$C$6:$C$65,0))-1)+MATCH(B918,{"AM","PM","NIGHT","WD"},0)-1-27+1,DAY(A918))&amp;"",""))</f>
        <v/>
      </c>
      <c r="G918" s="123">
        <f>IF(OR(A918="",C918="",B918="",E918=""),"",IFERROR(A918&amp;"|"&amp;(27+4*(IFERROR(MATCH(C918,Roster!$B$6:$B$65,0),MATCH(C918,Roster!$C$6:$C$65,0))-1)+MATCH(B918,{"AM","PM","NIGHT","WD"},0)-1),""))</f>
        <v/>
      </c>
    </row>
    <row r="919">
      <c r="A919" s="122" t="n"/>
      <c r="B919" s="107" t="n"/>
      <c r="C919" s="105" t="n"/>
      <c r="D919" s="92">
        <f>IF(C919="","",IFERROR(INDEX(Roster!$C$6:$C$65,IFERROR(MATCH(C919,Roster!$B$6:$B$65,0),MATCH(C919,Roster!$C$6:$C$65,0))),"not on the Roster"))</f>
        <v/>
      </c>
      <c r="E919" s="106" t="n"/>
      <c r="F919" s="104">
        <f>IF(OR(A919="",C919="",B919=""),"",IFERROR(INDEX(CHOOSE(IF(YEAR(A919)&gt;PlanYear,13,MONTH(A919)),'Jan'!$D$27:$AH$266,'Feb'!$D$27:$AH$266,'Mar'!$D$27:$AH$266,'Apr'!$D$27:$AH$266,'May'!$D$27:$AH$266,'Jun'!$D$27:$AH$266,'Jul'!$D$27:$AH$266,'Aug'!$D$27:$AH$266,'Sep'!$D$27:$AH$266,'Oct'!$D$27:$AH$266,'Nov'!$D$27:$AH$266,'Dec'!$D$27:$AH$266,'Jan (next year)'!$D$27:$AH$266),27+4*(IFERROR(MATCH(C919,Roster!$B$6:$B$65,0),MATCH(C919,Roster!$C$6:$C$65,0))-1)+MATCH(B919,{"AM","PM","NIGHT","WD"},0)-1-27+1,DAY(A919))&amp;"",""))</f>
        <v/>
      </c>
      <c r="G919" s="123">
        <f>IF(OR(A919="",C919="",B919="",E919=""),"",IFERROR(A919&amp;"|"&amp;(27+4*(IFERROR(MATCH(C919,Roster!$B$6:$B$65,0),MATCH(C919,Roster!$C$6:$C$65,0))-1)+MATCH(B919,{"AM","PM","NIGHT","WD"},0)-1),""))</f>
        <v/>
      </c>
    </row>
    <row r="920">
      <c r="A920" s="122" t="n"/>
      <c r="B920" s="107" t="n"/>
      <c r="C920" s="105" t="n"/>
      <c r="D920" s="92">
        <f>IF(C920="","",IFERROR(INDEX(Roster!$C$6:$C$65,IFERROR(MATCH(C920,Roster!$B$6:$B$65,0),MATCH(C920,Roster!$C$6:$C$65,0))),"not on the Roster"))</f>
        <v/>
      </c>
      <c r="E920" s="106" t="n"/>
      <c r="F920" s="104">
        <f>IF(OR(A920="",C920="",B920=""),"",IFERROR(INDEX(CHOOSE(IF(YEAR(A920)&gt;PlanYear,13,MONTH(A920)),'Jan'!$D$27:$AH$266,'Feb'!$D$27:$AH$266,'Mar'!$D$27:$AH$266,'Apr'!$D$27:$AH$266,'May'!$D$27:$AH$266,'Jun'!$D$27:$AH$266,'Jul'!$D$27:$AH$266,'Aug'!$D$27:$AH$266,'Sep'!$D$27:$AH$266,'Oct'!$D$27:$AH$266,'Nov'!$D$27:$AH$266,'Dec'!$D$27:$AH$266,'Jan (next year)'!$D$27:$AH$266),27+4*(IFERROR(MATCH(C920,Roster!$B$6:$B$65,0),MATCH(C920,Roster!$C$6:$C$65,0))-1)+MATCH(B920,{"AM","PM","NIGHT","WD"},0)-1-27+1,DAY(A920))&amp;"",""))</f>
        <v/>
      </c>
      <c r="G920" s="123">
        <f>IF(OR(A920="",C920="",B920="",E920=""),"",IFERROR(A920&amp;"|"&amp;(27+4*(IFERROR(MATCH(C920,Roster!$B$6:$B$65,0),MATCH(C920,Roster!$C$6:$C$65,0))-1)+MATCH(B920,{"AM","PM","NIGHT","WD"},0)-1),""))</f>
        <v/>
      </c>
    </row>
    <row r="921">
      <c r="A921" s="122" t="n"/>
      <c r="B921" s="107" t="n"/>
      <c r="C921" s="105" t="n"/>
      <c r="D921" s="92">
        <f>IF(C921="","",IFERROR(INDEX(Roster!$C$6:$C$65,IFERROR(MATCH(C921,Roster!$B$6:$B$65,0),MATCH(C921,Roster!$C$6:$C$65,0))),"not on the Roster"))</f>
        <v/>
      </c>
      <c r="E921" s="106" t="n"/>
      <c r="F921" s="104">
        <f>IF(OR(A921="",C921="",B921=""),"",IFERROR(INDEX(CHOOSE(IF(YEAR(A921)&gt;PlanYear,13,MONTH(A921)),'Jan'!$D$27:$AH$266,'Feb'!$D$27:$AH$266,'Mar'!$D$27:$AH$266,'Apr'!$D$27:$AH$266,'May'!$D$27:$AH$266,'Jun'!$D$27:$AH$266,'Jul'!$D$27:$AH$266,'Aug'!$D$27:$AH$266,'Sep'!$D$27:$AH$266,'Oct'!$D$27:$AH$266,'Nov'!$D$27:$AH$266,'Dec'!$D$27:$AH$266,'Jan (next year)'!$D$27:$AH$266),27+4*(IFERROR(MATCH(C921,Roster!$B$6:$B$65,0),MATCH(C921,Roster!$C$6:$C$65,0))-1)+MATCH(B921,{"AM","PM","NIGHT","WD"},0)-1-27+1,DAY(A921))&amp;"",""))</f>
        <v/>
      </c>
      <c r="G921" s="123">
        <f>IF(OR(A921="",C921="",B921="",E921=""),"",IFERROR(A921&amp;"|"&amp;(27+4*(IFERROR(MATCH(C921,Roster!$B$6:$B$65,0),MATCH(C921,Roster!$C$6:$C$65,0))-1)+MATCH(B921,{"AM","PM","NIGHT","WD"},0)-1),""))</f>
        <v/>
      </c>
    </row>
    <row r="922">
      <c r="A922" s="122" t="n"/>
      <c r="B922" s="107" t="n"/>
      <c r="C922" s="105" t="n"/>
      <c r="D922" s="92">
        <f>IF(C922="","",IFERROR(INDEX(Roster!$C$6:$C$65,IFERROR(MATCH(C922,Roster!$B$6:$B$65,0),MATCH(C922,Roster!$C$6:$C$65,0))),"not on the Roster"))</f>
        <v/>
      </c>
      <c r="E922" s="106" t="n"/>
      <c r="F922" s="104">
        <f>IF(OR(A922="",C922="",B922=""),"",IFERROR(INDEX(CHOOSE(IF(YEAR(A922)&gt;PlanYear,13,MONTH(A922)),'Jan'!$D$27:$AH$266,'Feb'!$D$27:$AH$266,'Mar'!$D$27:$AH$266,'Apr'!$D$27:$AH$266,'May'!$D$27:$AH$266,'Jun'!$D$27:$AH$266,'Jul'!$D$27:$AH$266,'Aug'!$D$27:$AH$266,'Sep'!$D$27:$AH$266,'Oct'!$D$27:$AH$266,'Nov'!$D$27:$AH$266,'Dec'!$D$27:$AH$266,'Jan (next year)'!$D$27:$AH$266),27+4*(IFERROR(MATCH(C922,Roster!$B$6:$B$65,0),MATCH(C922,Roster!$C$6:$C$65,0))-1)+MATCH(B922,{"AM","PM","NIGHT","WD"},0)-1-27+1,DAY(A922))&amp;"",""))</f>
        <v/>
      </c>
      <c r="G922" s="123">
        <f>IF(OR(A922="",C922="",B922="",E922=""),"",IFERROR(A922&amp;"|"&amp;(27+4*(IFERROR(MATCH(C922,Roster!$B$6:$B$65,0),MATCH(C922,Roster!$C$6:$C$65,0))-1)+MATCH(B922,{"AM","PM","NIGHT","WD"},0)-1),""))</f>
        <v/>
      </c>
    </row>
    <row r="923">
      <c r="A923" s="122" t="n"/>
      <c r="B923" s="107" t="n"/>
      <c r="C923" s="105" t="n"/>
      <c r="D923" s="92">
        <f>IF(C923="","",IFERROR(INDEX(Roster!$C$6:$C$65,IFERROR(MATCH(C923,Roster!$B$6:$B$65,0),MATCH(C923,Roster!$C$6:$C$65,0))),"not on the Roster"))</f>
        <v/>
      </c>
      <c r="E923" s="106" t="n"/>
      <c r="F923" s="104">
        <f>IF(OR(A923="",C923="",B923=""),"",IFERROR(INDEX(CHOOSE(IF(YEAR(A923)&gt;PlanYear,13,MONTH(A923)),'Jan'!$D$27:$AH$266,'Feb'!$D$27:$AH$266,'Mar'!$D$27:$AH$266,'Apr'!$D$27:$AH$266,'May'!$D$27:$AH$266,'Jun'!$D$27:$AH$266,'Jul'!$D$27:$AH$266,'Aug'!$D$27:$AH$266,'Sep'!$D$27:$AH$266,'Oct'!$D$27:$AH$266,'Nov'!$D$27:$AH$266,'Dec'!$D$27:$AH$266,'Jan (next year)'!$D$27:$AH$266),27+4*(IFERROR(MATCH(C923,Roster!$B$6:$B$65,0),MATCH(C923,Roster!$C$6:$C$65,0))-1)+MATCH(B923,{"AM","PM","NIGHT","WD"},0)-1-27+1,DAY(A923))&amp;"",""))</f>
        <v/>
      </c>
      <c r="G923" s="123">
        <f>IF(OR(A923="",C923="",B923="",E923=""),"",IFERROR(A923&amp;"|"&amp;(27+4*(IFERROR(MATCH(C923,Roster!$B$6:$B$65,0),MATCH(C923,Roster!$C$6:$C$65,0))-1)+MATCH(B923,{"AM","PM","NIGHT","WD"},0)-1),""))</f>
        <v/>
      </c>
    </row>
    <row r="924">
      <c r="A924" s="122" t="n"/>
      <c r="B924" s="107" t="n"/>
      <c r="C924" s="105" t="n"/>
      <c r="D924" s="92">
        <f>IF(C924="","",IFERROR(INDEX(Roster!$C$6:$C$65,IFERROR(MATCH(C924,Roster!$B$6:$B$65,0),MATCH(C924,Roster!$C$6:$C$65,0))),"not on the Roster"))</f>
        <v/>
      </c>
      <c r="E924" s="106" t="n"/>
      <c r="F924" s="104">
        <f>IF(OR(A924="",C924="",B924=""),"",IFERROR(INDEX(CHOOSE(IF(YEAR(A924)&gt;PlanYear,13,MONTH(A924)),'Jan'!$D$27:$AH$266,'Feb'!$D$27:$AH$266,'Mar'!$D$27:$AH$266,'Apr'!$D$27:$AH$266,'May'!$D$27:$AH$266,'Jun'!$D$27:$AH$266,'Jul'!$D$27:$AH$266,'Aug'!$D$27:$AH$266,'Sep'!$D$27:$AH$266,'Oct'!$D$27:$AH$266,'Nov'!$D$27:$AH$266,'Dec'!$D$27:$AH$266,'Jan (next year)'!$D$27:$AH$266),27+4*(IFERROR(MATCH(C924,Roster!$B$6:$B$65,0),MATCH(C924,Roster!$C$6:$C$65,0))-1)+MATCH(B924,{"AM","PM","NIGHT","WD"},0)-1-27+1,DAY(A924))&amp;"",""))</f>
        <v/>
      </c>
      <c r="G924" s="123">
        <f>IF(OR(A924="",C924="",B924="",E924=""),"",IFERROR(A924&amp;"|"&amp;(27+4*(IFERROR(MATCH(C924,Roster!$B$6:$B$65,0),MATCH(C924,Roster!$C$6:$C$65,0))-1)+MATCH(B924,{"AM","PM","NIGHT","WD"},0)-1),""))</f>
        <v/>
      </c>
    </row>
    <row r="925">
      <c r="A925" s="122" t="n"/>
      <c r="B925" s="107" t="n"/>
      <c r="C925" s="105" t="n"/>
      <c r="D925" s="92">
        <f>IF(C925="","",IFERROR(INDEX(Roster!$C$6:$C$65,IFERROR(MATCH(C925,Roster!$B$6:$B$65,0),MATCH(C925,Roster!$C$6:$C$65,0))),"not on the Roster"))</f>
        <v/>
      </c>
      <c r="E925" s="106" t="n"/>
      <c r="F925" s="104">
        <f>IF(OR(A925="",C925="",B925=""),"",IFERROR(INDEX(CHOOSE(IF(YEAR(A925)&gt;PlanYear,13,MONTH(A925)),'Jan'!$D$27:$AH$266,'Feb'!$D$27:$AH$266,'Mar'!$D$27:$AH$266,'Apr'!$D$27:$AH$266,'May'!$D$27:$AH$266,'Jun'!$D$27:$AH$266,'Jul'!$D$27:$AH$266,'Aug'!$D$27:$AH$266,'Sep'!$D$27:$AH$266,'Oct'!$D$27:$AH$266,'Nov'!$D$27:$AH$266,'Dec'!$D$27:$AH$266,'Jan (next year)'!$D$27:$AH$266),27+4*(IFERROR(MATCH(C925,Roster!$B$6:$B$65,0),MATCH(C925,Roster!$C$6:$C$65,0))-1)+MATCH(B925,{"AM","PM","NIGHT","WD"},0)-1-27+1,DAY(A925))&amp;"",""))</f>
        <v/>
      </c>
      <c r="G925" s="123">
        <f>IF(OR(A925="",C925="",B925="",E925=""),"",IFERROR(A925&amp;"|"&amp;(27+4*(IFERROR(MATCH(C925,Roster!$B$6:$B$65,0),MATCH(C925,Roster!$C$6:$C$65,0))-1)+MATCH(B925,{"AM","PM","NIGHT","WD"},0)-1),""))</f>
        <v/>
      </c>
    </row>
    <row r="926">
      <c r="A926" s="122" t="n"/>
      <c r="B926" s="107" t="n"/>
      <c r="C926" s="105" t="n"/>
      <c r="D926" s="92">
        <f>IF(C926="","",IFERROR(INDEX(Roster!$C$6:$C$65,IFERROR(MATCH(C926,Roster!$B$6:$B$65,0),MATCH(C926,Roster!$C$6:$C$65,0))),"not on the Roster"))</f>
        <v/>
      </c>
      <c r="E926" s="106" t="n"/>
      <c r="F926" s="104">
        <f>IF(OR(A926="",C926="",B926=""),"",IFERROR(INDEX(CHOOSE(IF(YEAR(A926)&gt;PlanYear,13,MONTH(A926)),'Jan'!$D$27:$AH$266,'Feb'!$D$27:$AH$266,'Mar'!$D$27:$AH$266,'Apr'!$D$27:$AH$266,'May'!$D$27:$AH$266,'Jun'!$D$27:$AH$266,'Jul'!$D$27:$AH$266,'Aug'!$D$27:$AH$266,'Sep'!$D$27:$AH$266,'Oct'!$D$27:$AH$266,'Nov'!$D$27:$AH$266,'Dec'!$D$27:$AH$266,'Jan (next year)'!$D$27:$AH$266),27+4*(IFERROR(MATCH(C926,Roster!$B$6:$B$65,0),MATCH(C926,Roster!$C$6:$C$65,0))-1)+MATCH(B926,{"AM","PM","NIGHT","WD"},0)-1-27+1,DAY(A926))&amp;"",""))</f>
        <v/>
      </c>
      <c r="G926" s="123">
        <f>IF(OR(A926="",C926="",B926="",E926=""),"",IFERROR(A926&amp;"|"&amp;(27+4*(IFERROR(MATCH(C926,Roster!$B$6:$B$65,0),MATCH(C926,Roster!$C$6:$C$65,0))-1)+MATCH(B926,{"AM","PM","NIGHT","WD"},0)-1),""))</f>
        <v/>
      </c>
    </row>
    <row r="927">
      <c r="A927" s="122" t="n"/>
      <c r="B927" s="107" t="n"/>
      <c r="C927" s="105" t="n"/>
      <c r="D927" s="92">
        <f>IF(C927="","",IFERROR(INDEX(Roster!$C$6:$C$65,IFERROR(MATCH(C927,Roster!$B$6:$B$65,0),MATCH(C927,Roster!$C$6:$C$65,0))),"not on the Roster"))</f>
        <v/>
      </c>
      <c r="E927" s="106" t="n"/>
      <c r="F927" s="104">
        <f>IF(OR(A927="",C927="",B927=""),"",IFERROR(INDEX(CHOOSE(IF(YEAR(A927)&gt;PlanYear,13,MONTH(A927)),'Jan'!$D$27:$AH$266,'Feb'!$D$27:$AH$266,'Mar'!$D$27:$AH$266,'Apr'!$D$27:$AH$266,'May'!$D$27:$AH$266,'Jun'!$D$27:$AH$266,'Jul'!$D$27:$AH$266,'Aug'!$D$27:$AH$266,'Sep'!$D$27:$AH$266,'Oct'!$D$27:$AH$266,'Nov'!$D$27:$AH$266,'Dec'!$D$27:$AH$266,'Jan (next year)'!$D$27:$AH$266),27+4*(IFERROR(MATCH(C927,Roster!$B$6:$B$65,0),MATCH(C927,Roster!$C$6:$C$65,0))-1)+MATCH(B927,{"AM","PM","NIGHT","WD"},0)-1-27+1,DAY(A927))&amp;"",""))</f>
        <v/>
      </c>
      <c r="G927" s="123">
        <f>IF(OR(A927="",C927="",B927="",E927=""),"",IFERROR(A927&amp;"|"&amp;(27+4*(IFERROR(MATCH(C927,Roster!$B$6:$B$65,0),MATCH(C927,Roster!$C$6:$C$65,0))-1)+MATCH(B927,{"AM","PM","NIGHT","WD"},0)-1),""))</f>
        <v/>
      </c>
    </row>
    <row r="928">
      <c r="A928" s="122" t="n"/>
      <c r="B928" s="107" t="n"/>
      <c r="C928" s="105" t="n"/>
      <c r="D928" s="92">
        <f>IF(C928="","",IFERROR(INDEX(Roster!$C$6:$C$65,IFERROR(MATCH(C928,Roster!$B$6:$B$65,0),MATCH(C928,Roster!$C$6:$C$65,0))),"not on the Roster"))</f>
        <v/>
      </c>
      <c r="E928" s="106" t="n"/>
      <c r="F928" s="104">
        <f>IF(OR(A928="",C928="",B928=""),"",IFERROR(INDEX(CHOOSE(IF(YEAR(A928)&gt;PlanYear,13,MONTH(A928)),'Jan'!$D$27:$AH$266,'Feb'!$D$27:$AH$266,'Mar'!$D$27:$AH$266,'Apr'!$D$27:$AH$266,'May'!$D$27:$AH$266,'Jun'!$D$27:$AH$266,'Jul'!$D$27:$AH$266,'Aug'!$D$27:$AH$266,'Sep'!$D$27:$AH$266,'Oct'!$D$27:$AH$266,'Nov'!$D$27:$AH$266,'Dec'!$D$27:$AH$266,'Jan (next year)'!$D$27:$AH$266),27+4*(IFERROR(MATCH(C928,Roster!$B$6:$B$65,0),MATCH(C928,Roster!$C$6:$C$65,0))-1)+MATCH(B928,{"AM","PM","NIGHT","WD"},0)-1-27+1,DAY(A928))&amp;"",""))</f>
        <v/>
      </c>
      <c r="G928" s="123">
        <f>IF(OR(A928="",C928="",B928="",E928=""),"",IFERROR(A928&amp;"|"&amp;(27+4*(IFERROR(MATCH(C928,Roster!$B$6:$B$65,0),MATCH(C928,Roster!$C$6:$C$65,0))-1)+MATCH(B928,{"AM","PM","NIGHT","WD"},0)-1),""))</f>
        <v/>
      </c>
    </row>
    <row r="929">
      <c r="A929" s="122" t="n"/>
      <c r="B929" s="107" t="n"/>
      <c r="C929" s="105" t="n"/>
      <c r="D929" s="92">
        <f>IF(C929="","",IFERROR(INDEX(Roster!$C$6:$C$65,IFERROR(MATCH(C929,Roster!$B$6:$B$65,0),MATCH(C929,Roster!$C$6:$C$65,0))),"not on the Roster"))</f>
        <v/>
      </c>
      <c r="E929" s="106" t="n"/>
      <c r="F929" s="104">
        <f>IF(OR(A929="",C929="",B929=""),"",IFERROR(INDEX(CHOOSE(IF(YEAR(A929)&gt;PlanYear,13,MONTH(A929)),'Jan'!$D$27:$AH$266,'Feb'!$D$27:$AH$266,'Mar'!$D$27:$AH$266,'Apr'!$D$27:$AH$266,'May'!$D$27:$AH$266,'Jun'!$D$27:$AH$266,'Jul'!$D$27:$AH$266,'Aug'!$D$27:$AH$266,'Sep'!$D$27:$AH$266,'Oct'!$D$27:$AH$266,'Nov'!$D$27:$AH$266,'Dec'!$D$27:$AH$266,'Jan (next year)'!$D$27:$AH$266),27+4*(IFERROR(MATCH(C929,Roster!$B$6:$B$65,0),MATCH(C929,Roster!$C$6:$C$65,0))-1)+MATCH(B929,{"AM","PM","NIGHT","WD"},0)-1-27+1,DAY(A929))&amp;"",""))</f>
        <v/>
      </c>
      <c r="G929" s="123">
        <f>IF(OR(A929="",C929="",B929="",E929=""),"",IFERROR(A929&amp;"|"&amp;(27+4*(IFERROR(MATCH(C929,Roster!$B$6:$B$65,0),MATCH(C929,Roster!$C$6:$C$65,0))-1)+MATCH(B929,{"AM","PM","NIGHT","WD"},0)-1),""))</f>
        <v/>
      </c>
    </row>
    <row r="930">
      <c r="A930" s="122" t="n"/>
      <c r="B930" s="107" t="n"/>
      <c r="C930" s="105" t="n"/>
      <c r="D930" s="92">
        <f>IF(C930="","",IFERROR(INDEX(Roster!$C$6:$C$65,IFERROR(MATCH(C930,Roster!$B$6:$B$65,0),MATCH(C930,Roster!$C$6:$C$65,0))),"not on the Roster"))</f>
        <v/>
      </c>
      <c r="E930" s="106" t="n"/>
      <c r="F930" s="104">
        <f>IF(OR(A930="",C930="",B930=""),"",IFERROR(INDEX(CHOOSE(IF(YEAR(A930)&gt;PlanYear,13,MONTH(A930)),'Jan'!$D$27:$AH$266,'Feb'!$D$27:$AH$266,'Mar'!$D$27:$AH$266,'Apr'!$D$27:$AH$266,'May'!$D$27:$AH$266,'Jun'!$D$27:$AH$266,'Jul'!$D$27:$AH$266,'Aug'!$D$27:$AH$266,'Sep'!$D$27:$AH$266,'Oct'!$D$27:$AH$266,'Nov'!$D$27:$AH$266,'Dec'!$D$27:$AH$266,'Jan (next year)'!$D$27:$AH$266),27+4*(IFERROR(MATCH(C930,Roster!$B$6:$B$65,0),MATCH(C930,Roster!$C$6:$C$65,0))-1)+MATCH(B930,{"AM","PM","NIGHT","WD"},0)-1-27+1,DAY(A930))&amp;"",""))</f>
        <v/>
      </c>
      <c r="G930" s="123">
        <f>IF(OR(A930="",C930="",B930="",E930=""),"",IFERROR(A930&amp;"|"&amp;(27+4*(IFERROR(MATCH(C930,Roster!$B$6:$B$65,0),MATCH(C930,Roster!$C$6:$C$65,0))-1)+MATCH(B930,{"AM","PM","NIGHT","WD"},0)-1),""))</f>
        <v/>
      </c>
    </row>
    <row r="931">
      <c r="A931" s="122" t="n"/>
      <c r="B931" s="107" t="n"/>
      <c r="C931" s="105" t="n"/>
      <c r="D931" s="92">
        <f>IF(C931="","",IFERROR(INDEX(Roster!$C$6:$C$65,IFERROR(MATCH(C931,Roster!$B$6:$B$65,0),MATCH(C931,Roster!$C$6:$C$65,0))),"not on the Roster"))</f>
        <v/>
      </c>
      <c r="E931" s="106" t="n"/>
      <c r="F931" s="104">
        <f>IF(OR(A931="",C931="",B931=""),"",IFERROR(INDEX(CHOOSE(IF(YEAR(A931)&gt;PlanYear,13,MONTH(A931)),'Jan'!$D$27:$AH$266,'Feb'!$D$27:$AH$266,'Mar'!$D$27:$AH$266,'Apr'!$D$27:$AH$266,'May'!$D$27:$AH$266,'Jun'!$D$27:$AH$266,'Jul'!$D$27:$AH$266,'Aug'!$D$27:$AH$266,'Sep'!$D$27:$AH$266,'Oct'!$D$27:$AH$266,'Nov'!$D$27:$AH$266,'Dec'!$D$27:$AH$266,'Jan (next year)'!$D$27:$AH$266),27+4*(IFERROR(MATCH(C931,Roster!$B$6:$B$65,0),MATCH(C931,Roster!$C$6:$C$65,0))-1)+MATCH(B931,{"AM","PM","NIGHT","WD"},0)-1-27+1,DAY(A931))&amp;"",""))</f>
        <v/>
      </c>
      <c r="G931" s="123">
        <f>IF(OR(A931="",C931="",B931="",E931=""),"",IFERROR(A931&amp;"|"&amp;(27+4*(IFERROR(MATCH(C931,Roster!$B$6:$B$65,0),MATCH(C931,Roster!$C$6:$C$65,0))-1)+MATCH(B931,{"AM","PM","NIGHT","WD"},0)-1),""))</f>
        <v/>
      </c>
    </row>
    <row r="932">
      <c r="A932" s="122" t="n"/>
      <c r="B932" s="107" t="n"/>
      <c r="C932" s="105" t="n"/>
      <c r="D932" s="92">
        <f>IF(C932="","",IFERROR(INDEX(Roster!$C$6:$C$65,IFERROR(MATCH(C932,Roster!$B$6:$B$65,0),MATCH(C932,Roster!$C$6:$C$65,0))),"not on the Roster"))</f>
        <v/>
      </c>
      <c r="E932" s="106" t="n"/>
      <c r="F932" s="104">
        <f>IF(OR(A932="",C932="",B932=""),"",IFERROR(INDEX(CHOOSE(IF(YEAR(A932)&gt;PlanYear,13,MONTH(A932)),'Jan'!$D$27:$AH$266,'Feb'!$D$27:$AH$266,'Mar'!$D$27:$AH$266,'Apr'!$D$27:$AH$266,'May'!$D$27:$AH$266,'Jun'!$D$27:$AH$266,'Jul'!$D$27:$AH$266,'Aug'!$D$27:$AH$266,'Sep'!$D$27:$AH$266,'Oct'!$D$27:$AH$266,'Nov'!$D$27:$AH$266,'Dec'!$D$27:$AH$266,'Jan (next year)'!$D$27:$AH$266),27+4*(IFERROR(MATCH(C932,Roster!$B$6:$B$65,0),MATCH(C932,Roster!$C$6:$C$65,0))-1)+MATCH(B932,{"AM","PM","NIGHT","WD"},0)-1-27+1,DAY(A932))&amp;"",""))</f>
        <v/>
      </c>
      <c r="G932" s="123">
        <f>IF(OR(A932="",C932="",B932="",E932=""),"",IFERROR(A932&amp;"|"&amp;(27+4*(IFERROR(MATCH(C932,Roster!$B$6:$B$65,0),MATCH(C932,Roster!$C$6:$C$65,0))-1)+MATCH(B932,{"AM","PM","NIGHT","WD"},0)-1),""))</f>
        <v/>
      </c>
    </row>
    <row r="933">
      <c r="A933" s="122" t="n"/>
      <c r="B933" s="107" t="n"/>
      <c r="C933" s="105" t="n"/>
      <c r="D933" s="92">
        <f>IF(C933="","",IFERROR(INDEX(Roster!$C$6:$C$65,IFERROR(MATCH(C933,Roster!$B$6:$B$65,0),MATCH(C933,Roster!$C$6:$C$65,0))),"not on the Roster"))</f>
        <v/>
      </c>
      <c r="E933" s="106" t="n"/>
      <c r="F933" s="104">
        <f>IF(OR(A933="",C933="",B933=""),"",IFERROR(INDEX(CHOOSE(IF(YEAR(A933)&gt;PlanYear,13,MONTH(A933)),'Jan'!$D$27:$AH$266,'Feb'!$D$27:$AH$266,'Mar'!$D$27:$AH$266,'Apr'!$D$27:$AH$266,'May'!$D$27:$AH$266,'Jun'!$D$27:$AH$266,'Jul'!$D$27:$AH$266,'Aug'!$D$27:$AH$266,'Sep'!$D$27:$AH$266,'Oct'!$D$27:$AH$266,'Nov'!$D$27:$AH$266,'Dec'!$D$27:$AH$266,'Jan (next year)'!$D$27:$AH$266),27+4*(IFERROR(MATCH(C933,Roster!$B$6:$B$65,0),MATCH(C933,Roster!$C$6:$C$65,0))-1)+MATCH(B933,{"AM","PM","NIGHT","WD"},0)-1-27+1,DAY(A933))&amp;"",""))</f>
        <v/>
      </c>
      <c r="G933" s="123">
        <f>IF(OR(A933="",C933="",B933="",E933=""),"",IFERROR(A933&amp;"|"&amp;(27+4*(IFERROR(MATCH(C933,Roster!$B$6:$B$65,0),MATCH(C933,Roster!$C$6:$C$65,0))-1)+MATCH(B933,{"AM","PM","NIGHT","WD"},0)-1),""))</f>
        <v/>
      </c>
    </row>
    <row r="934">
      <c r="A934" s="122" t="n"/>
      <c r="B934" s="107" t="n"/>
      <c r="C934" s="105" t="n"/>
      <c r="D934" s="92">
        <f>IF(C934="","",IFERROR(INDEX(Roster!$C$6:$C$65,IFERROR(MATCH(C934,Roster!$B$6:$B$65,0),MATCH(C934,Roster!$C$6:$C$65,0))),"not on the Roster"))</f>
        <v/>
      </c>
      <c r="E934" s="106" t="n"/>
      <c r="F934" s="104">
        <f>IF(OR(A934="",C934="",B934=""),"",IFERROR(INDEX(CHOOSE(IF(YEAR(A934)&gt;PlanYear,13,MONTH(A934)),'Jan'!$D$27:$AH$266,'Feb'!$D$27:$AH$266,'Mar'!$D$27:$AH$266,'Apr'!$D$27:$AH$266,'May'!$D$27:$AH$266,'Jun'!$D$27:$AH$266,'Jul'!$D$27:$AH$266,'Aug'!$D$27:$AH$266,'Sep'!$D$27:$AH$266,'Oct'!$D$27:$AH$266,'Nov'!$D$27:$AH$266,'Dec'!$D$27:$AH$266,'Jan (next year)'!$D$27:$AH$266),27+4*(IFERROR(MATCH(C934,Roster!$B$6:$B$65,0),MATCH(C934,Roster!$C$6:$C$65,0))-1)+MATCH(B934,{"AM","PM","NIGHT","WD"},0)-1-27+1,DAY(A934))&amp;"",""))</f>
        <v/>
      </c>
      <c r="G934" s="123">
        <f>IF(OR(A934="",C934="",B934="",E934=""),"",IFERROR(A934&amp;"|"&amp;(27+4*(IFERROR(MATCH(C934,Roster!$B$6:$B$65,0),MATCH(C934,Roster!$C$6:$C$65,0))-1)+MATCH(B934,{"AM","PM","NIGHT","WD"},0)-1),""))</f>
        <v/>
      </c>
    </row>
    <row r="935">
      <c r="A935" s="122" t="n"/>
      <c r="B935" s="107" t="n"/>
      <c r="C935" s="105" t="n"/>
      <c r="D935" s="92">
        <f>IF(C935="","",IFERROR(INDEX(Roster!$C$6:$C$65,IFERROR(MATCH(C935,Roster!$B$6:$B$65,0),MATCH(C935,Roster!$C$6:$C$65,0))),"not on the Roster"))</f>
        <v/>
      </c>
      <c r="E935" s="106" t="n"/>
      <c r="F935" s="104">
        <f>IF(OR(A935="",C935="",B935=""),"",IFERROR(INDEX(CHOOSE(IF(YEAR(A935)&gt;PlanYear,13,MONTH(A935)),'Jan'!$D$27:$AH$266,'Feb'!$D$27:$AH$266,'Mar'!$D$27:$AH$266,'Apr'!$D$27:$AH$266,'May'!$D$27:$AH$266,'Jun'!$D$27:$AH$266,'Jul'!$D$27:$AH$266,'Aug'!$D$27:$AH$266,'Sep'!$D$27:$AH$266,'Oct'!$D$27:$AH$266,'Nov'!$D$27:$AH$266,'Dec'!$D$27:$AH$266,'Jan (next year)'!$D$27:$AH$266),27+4*(IFERROR(MATCH(C935,Roster!$B$6:$B$65,0),MATCH(C935,Roster!$C$6:$C$65,0))-1)+MATCH(B935,{"AM","PM","NIGHT","WD"},0)-1-27+1,DAY(A935))&amp;"",""))</f>
        <v/>
      </c>
      <c r="G935" s="123">
        <f>IF(OR(A935="",C935="",B935="",E935=""),"",IFERROR(A935&amp;"|"&amp;(27+4*(IFERROR(MATCH(C935,Roster!$B$6:$B$65,0),MATCH(C935,Roster!$C$6:$C$65,0))-1)+MATCH(B935,{"AM","PM","NIGHT","WD"},0)-1),""))</f>
        <v/>
      </c>
    </row>
    <row r="936">
      <c r="A936" s="122" t="n"/>
      <c r="B936" s="107" t="n"/>
      <c r="C936" s="105" t="n"/>
      <c r="D936" s="92">
        <f>IF(C936="","",IFERROR(INDEX(Roster!$C$6:$C$65,IFERROR(MATCH(C936,Roster!$B$6:$B$65,0),MATCH(C936,Roster!$C$6:$C$65,0))),"not on the Roster"))</f>
        <v/>
      </c>
      <c r="E936" s="106" t="n"/>
      <c r="F936" s="104">
        <f>IF(OR(A936="",C936="",B936=""),"",IFERROR(INDEX(CHOOSE(IF(YEAR(A936)&gt;PlanYear,13,MONTH(A936)),'Jan'!$D$27:$AH$266,'Feb'!$D$27:$AH$266,'Mar'!$D$27:$AH$266,'Apr'!$D$27:$AH$266,'May'!$D$27:$AH$266,'Jun'!$D$27:$AH$266,'Jul'!$D$27:$AH$266,'Aug'!$D$27:$AH$266,'Sep'!$D$27:$AH$266,'Oct'!$D$27:$AH$266,'Nov'!$D$27:$AH$266,'Dec'!$D$27:$AH$266,'Jan (next year)'!$D$27:$AH$266),27+4*(IFERROR(MATCH(C936,Roster!$B$6:$B$65,0),MATCH(C936,Roster!$C$6:$C$65,0))-1)+MATCH(B936,{"AM","PM","NIGHT","WD"},0)-1-27+1,DAY(A936))&amp;"",""))</f>
        <v/>
      </c>
      <c r="G936" s="123">
        <f>IF(OR(A936="",C936="",B936="",E936=""),"",IFERROR(A936&amp;"|"&amp;(27+4*(IFERROR(MATCH(C936,Roster!$B$6:$B$65,0),MATCH(C936,Roster!$C$6:$C$65,0))-1)+MATCH(B936,{"AM","PM","NIGHT","WD"},0)-1),""))</f>
        <v/>
      </c>
    </row>
    <row r="937">
      <c r="A937" s="122" t="n"/>
      <c r="B937" s="107" t="n"/>
      <c r="C937" s="105" t="n"/>
      <c r="D937" s="92">
        <f>IF(C937="","",IFERROR(INDEX(Roster!$C$6:$C$65,IFERROR(MATCH(C937,Roster!$B$6:$B$65,0),MATCH(C937,Roster!$C$6:$C$65,0))),"not on the Roster"))</f>
        <v/>
      </c>
      <c r="E937" s="106" t="n"/>
      <c r="F937" s="104">
        <f>IF(OR(A937="",C937="",B937=""),"",IFERROR(INDEX(CHOOSE(IF(YEAR(A937)&gt;PlanYear,13,MONTH(A937)),'Jan'!$D$27:$AH$266,'Feb'!$D$27:$AH$266,'Mar'!$D$27:$AH$266,'Apr'!$D$27:$AH$266,'May'!$D$27:$AH$266,'Jun'!$D$27:$AH$266,'Jul'!$D$27:$AH$266,'Aug'!$D$27:$AH$266,'Sep'!$D$27:$AH$266,'Oct'!$D$27:$AH$266,'Nov'!$D$27:$AH$266,'Dec'!$D$27:$AH$266,'Jan (next year)'!$D$27:$AH$266),27+4*(IFERROR(MATCH(C937,Roster!$B$6:$B$65,0),MATCH(C937,Roster!$C$6:$C$65,0))-1)+MATCH(B937,{"AM","PM","NIGHT","WD"},0)-1-27+1,DAY(A937))&amp;"",""))</f>
        <v/>
      </c>
      <c r="G937" s="123">
        <f>IF(OR(A937="",C937="",B937="",E937=""),"",IFERROR(A937&amp;"|"&amp;(27+4*(IFERROR(MATCH(C937,Roster!$B$6:$B$65,0),MATCH(C937,Roster!$C$6:$C$65,0))-1)+MATCH(B937,{"AM","PM","NIGHT","WD"},0)-1),""))</f>
        <v/>
      </c>
    </row>
    <row r="938">
      <c r="A938" s="122" t="n"/>
      <c r="B938" s="107" t="n"/>
      <c r="C938" s="105" t="n"/>
      <c r="D938" s="92">
        <f>IF(C938="","",IFERROR(INDEX(Roster!$C$6:$C$65,IFERROR(MATCH(C938,Roster!$B$6:$B$65,0),MATCH(C938,Roster!$C$6:$C$65,0))),"not on the Roster"))</f>
        <v/>
      </c>
      <c r="E938" s="106" t="n"/>
      <c r="F938" s="104">
        <f>IF(OR(A938="",C938="",B938=""),"",IFERROR(INDEX(CHOOSE(IF(YEAR(A938)&gt;PlanYear,13,MONTH(A938)),'Jan'!$D$27:$AH$266,'Feb'!$D$27:$AH$266,'Mar'!$D$27:$AH$266,'Apr'!$D$27:$AH$266,'May'!$D$27:$AH$266,'Jun'!$D$27:$AH$266,'Jul'!$D$27:$AH$266,'Aug'!$D$27:$AH$266,'Sep'!$D$27:$AH$266,'Oct'!$D$27:$AH$266,'Nov'!$D$27:$AH$266,'Dec'!$D$27:$AH$266,'Jan (next year)'!$D$27:$AH$266),27+4*(IFERROR(MATCH(C938,Roster!$B$6:$B$65,0),MATCH(C938,Roster!$C$6:$C$65,0))-1)+MATCH(B938,{"AM","PM","NIGHT","WD"},0)-1-27+1,DAY(A938))&amp;"",""))</f>
        <v/>
      </c>
      <c r="G938" s="123">
        <f>IF(OR(A938="",C938="",B938="",E938=""),"",IFERROR(A938&amp;"|"&amp;(27+4*(IFERROR(MATCH(C938,Roster!$B$6:$B$65,0),MATCH(C938,Roster!$C$6:$C$65,0))-1)+MATCH(B938,{"AM","PM","NIGHT","WD"},0)-1),""))</f>
        <v/>
      </c>
    </row>
    <row r="939">
      <c r="A939" s="122" t="n"/>
      <c r="B939" s="107" t="n"/>
      <c r="C939" s="105" t="n"/>
      <c r="D939" s="92">
        <f>IF(C939="","",IFERROR(INDEX(Roster!$C$6:$C$65,IFERROR(MATCH(C939,Roster!$B$6:$B$65,0),MATCH(C939,Roster!$C$6:$C$65,0))),"not on the Roster"))</f>
        <v/>
      </c>
      <c r="E939" s="106" t="n"/>
      <c r="F939" s="104">
        <f>IF(OR(A939="",C939="",B939=""),"",IFERROR(INDEX(CHOOSE(IF(YEAR(A939)&gt;PlanYear,13,MONTH(A939)),'Jan'!$D$27:$AH$266,'Feb'!$D$27:$AH$266,'Mar'!$D$27:$AH$266,'Apr'!$D$27:$AH$266,'May'!$D$27:$AH$266,'Jun'!$D$27:$AH$266,'Jul'!$D$27:$AH$266,'Aug'!$D$27:$AH$266,'Sep'!$D$27:$AH$266,'Oct'!$D$27:$AH$266,'Nov'!$D$27:$AH$266,'Dec'!$D$27:$AH$266,'Jan (next year)'!$D$27:$AH$266),27+4*(IFERROR(MATCH(C939,Roster!$B$6:$B$65,0),MATCH(C939,Roster!$C$6:$C$65,0))-1)+MATCH(B939,{"AM","PM","NIGHT","WD"},0)-1-27+1,DAY(A939))&amp;"",""))</f>
        <v/>
      </c>
      <c r="G939" s="123">
        <f>IF(OR(A939="",C939="",B939="",E939=""),"",IFERROR(A939&amp;"|"&amp;(27+4*(IFERROR(MATCH(C939,Roster!$B$6:$B$65,0),MATCH(C939,Roster!$C$6:$C$65,0))-1)+MATCH(B939,{"AM","PM","NIGHT","WD"},0)-1),""))</f>
        <v/>
      </c>
    </row>
    <row r="940">
      <c r="A940" s="122" t="n"/>
      <c r="B940" s="107" t="n"/>
      <c r="C940" s="105" t="n"/>
      <c r="D940" s="92">
        <f>IF(C940="","",IFERROR(INDEX(Roster!$C$6:$C$65,IFERROR(MATCH(C940,Roster!$B$6:$B$65,0),MATCH(C940,Roster!$C$6:$C$65,0))),"not on the Roster"))</f>
        <v/>
      </c>
      <c r="E940" s="106" t="n"/>
      <c r="F940" s="104">
        <f>IF(OR(A940="",C940="",B940=""),"",IFERROR(INDEX(CHOOSE(IF(YEAR(A940)&gt;PlanYear,13,MONTH(A940)),'Jan'!$D$27:$AH$266,'Feb'!$D$27:$AH$266,'Mar'!$D$27:$AH$266,'Apr'!$D$27:$AH$266,'May'!$D$27:$AH$266,'Jun'!$D$27:$AH$266,'Jul'!$D$27:$AH$266,'Aug'!$D$27:$AH$266,'Sep'!$D$27:$AH$266,'Oct'!$D$27:$AH$266,'Nov'!$D$27:$AH$266,'Dec'!$D$27:$AH$266,'Jan (next year)'!$D$27:$AH$266),27+4*(IFERROR(MATCH(C940,Roster!$B$6:$B$65,0),MATCH(C940,Roster!$C$6:$C$65,0))-1)+MATCH(B940,{"AM","PM","NIGHT","WD"},0)-1-27+1,DAY(A940))&amp;"",""))</f>
        <v/>
      </c>
      <c r="G940" s="123">
        <f>IF(OR(A940="",C940="",B940="",E940=""),"",IFERROR(A940&amp;"|"&amp;(27+4*(IFERROR(MATCH(C940,Roster!$B$6:$B$65,0),MATCH(C940,Roster!$C$6:$C$65,0))-1)+MATCH(B940,{"AM","PM","NIGHT","WD"},0)-1),""))</f>
        <v/>
      </c>
    </row>
    <row r="941">
      <c r="A941" s="122" t="n"/>
      <c r="B941" s="107" t="n"/>
      <c r="C941" s="105" t="n"/>
      <c r="D941" s="92">
        <f>IF(C941="","",IFERROR(INDEX(Roster!$C$6:$C$65,IFERROR(MATCH(C941,Roster!$B$6:$B$65,0),MATCH(C941,Roster!$C$6:$C$65,0))),"not on the Roster"))</f>
        <v/>
      </c>
      <c r="E941" s="106" t="n"/>
      <c r="F941" s="104">
        <f>IF(OR(A941="",C941="",B941=""),"",IFERROR(INDEX(CHOOSE(IF(YEAR(A941)&gt;PlanYear,13,MONTH(A941)),'Jan'!$D$27:$AH$266,'Feb'!$D$27:$AH$266,'Mar'!$D$27:$AH$266,'Apr'!$D$27:$AH$266,'May'!$D$27:$AH$266,'Jun'!$D$27:$AH$266,'Jul'!$D$27:$AH$266,'Aug'!$D$27:$AH$266,'Sep'!$D$27:$AH$266,'Oct'!$D$27:$AH$266,'Nov'!$D$27:$AH$266,'Dec'!$D$27:$AH$266,'Jan (next year)'!$D$27:$AH$266),27+4*(IFERROR(MATCH(C941,Roster!$B$6:$B$65,0),MATCH(C941,Roster!$C$6:$C$65,0))-1)+MATCH(B941,{"AM","PM","NIGHT","WD"},0)-1-27+1,DAY(A941))&amp;"",""))</f>
        <v/>
      </c>
      <c r="G941" s="123">
        <f>IF(OR(A941="",C941="",B941="",E941=""),"",IFERROR(A941&amp;"|"&amp;(27+4*(IFERROR(MATCH(C941,Roster!$B$6:$B$65,0),MATCH(C941,Roster!$C$6:$C$65,0))-1)+MATCH(B941,{"AM","PM","NIGHT","WD"},0)-1),""))</f>
        <v/>
      </c>
    </row>
    <row r="942">
      <c r="A942" s="122" t="n"/>
      <c r="B942" s="107" t="n"/>
      <c r="C942" s="105" t="n"/>
      <c r="D942" s="92">
        <f>IF(C942="","",IFERROR(INDEX(Roster!$C$6:$C$65,IFERROR(MATCH(C942,Roster!$B$6:$B$65,0),MATCH(C942,Roster!$C$6:$C$65,0))),"not on the Roster"))</f>
        <v/>
      </c>
      <c r="E942" s="106" t="n"/>
      <c r="F942" s="104">
        <f>IF(OR(A942="",C942="",B942=""),"",IFERROR(INDEX(CHOOSE(IF(YEAR(A942)&gt;PlanYear,13,MONTH(A942)),'Jan'!$D$27:$AH$266,'Feb'!$D$27:$AH$266,'Mar'!$D$27:$AH$266,'Apr'!$D$27:$AH$266,'May'!$D$27:$AH$266,'Jun'!$D$27:$AH$266,'Jul'!$D$27:$AH$266,'Aug'!$D$27:$AH$266,'Sep'!$D$27:$AH$266,'Oct'!$D$27:$AH$266,'Nov'!$D$27:$AH$266,'Dec'!$D$27:$AH$266,'Jan (next year)'!$D$27:$AH$266),27+4*(IFERROR(MATCH(C942,Roster!$B$6:$B$65,0),MATCH(C942,Roster!$C$6:$C$65,0))-1)+MATCH(B942,{"AM","PM","NIGHT","WD"},0)-1-27+1,DAY(A942))&amp;"",""))</f>
        <v/>
      </c>
      <c r="G942" s="123">
        <f>IF(OR(A942="",C942="",B942="",E942=""),"",IFERROR(A942&amp;"|"&amp;(27+4*(IFERROR(MATCH(C942,Roster!$B$6:$B$65,0),MATCH(C942,Roster!$C$6:$C$65,0))-1)+MATCH(B942,{"AM","PM","NIGHT","WD"},0)-1),""))</f>
        <v/>
      </c>
    </row>
    <row r="943">
      <c r="A943" s="122" t="n"/>
      <c r="B943" s="107" t="n"/>
      <c r="C943" s="105" t="n"/>
      <c r="D943" s="92">
        <f>IF(C943="","",IFERROR(INDEX(Roster!$C$6:$C$65,IFERROR(MATCH(C943,Roster!$B$6:$B$65,0),MATCH(C943,Roster!$C$6:$C$65,0))),"not on the Roster"))</f>
        <v/>
      </c>
      <c r="E943" s="106" t="n"/>
      <c r="F943" s="104">
        <f>IF(OR(A943="",C943="",B943=""),"",IFERROR(INDEX(CHOOSE(IF(YEAR(A943)&gt;PlanYear,13,MONTH(A943)),'Jan'!$D$27:$AH$266,'Feb'!$D$27:$AH$266,'Mar'!$D$27:$AH$266,'Apr'!$D$27:$AH$266,'May'!$D$27:$AH$266,'Jun'!$D$27:$AH$266,'Jul'!$D$27:$AH$266,'Aug'!$D$27:$AH$266,'Sep'!$D$27:$AH$266,'Oct'!$D$27:$AH$266,'Nov'!$D$27:$AH$266,'Dec'!$D$27:$AH$266,'Jan (next year)'!$D$27:$AH$266),27+4*(IFERROR(MATCH(C943,Roster!$B$6:$B$65,0),MATCH(C943,Roster!$C$6:$C$65,0))-1)+MATCH(B943,{"AM","PM","NIGHT","WD"},0)-1-27+1,DAY(A943))&amp;"",""))</f>
        <v/>
      </c>
      <c r="G943" s="123">
        <f>IF(OR(A943="",C943="",B943="",E943=""),"",IFERROR(A943&amp;"|"&amp;(27+4*(IFERROR(MATCH(C943,Roster!$B$6:$B$65,0),MATCH(C943,Roster!$C$6:$C$65,0))-1)+MATCH(B943,{"AM","PM","NIGHT","WD"},0)-1),""))</f>
        <v/>
      </c>
    </row>
    <row r="944">
      <c r="A944" s="122" t="n"/>
      <c r="B944" s="107" t="n"/>
      <c r="C944" s="105" t="n"/>
      <c r="D944" s="92">
        <f>IF(C944="","",IFERROR(INDEX(Roster!$C$6:$C$65,IFERROR(MATCH(C944,Roster!$B$6:$B$65,0),MATCH(C944,Roster!$C$6:$C$65,0))),"not on the Roster"))</f>
        <v/>
      </c>
      <c r="E944" s="106" t="n"/>
      <c r="F944" s="104">
        <f>IF(OR(A944="",C944="",B944=""),"",IFERROR(INDEX(CHOOSE(IF(YEAR(A944)&gt;PlanYear,13,MONTH(A944)),'Jan'!$D$27:$AH$266,'Feb'!$D$27:$AH$266,'Mar'!$D$27:$AH$266,'Apr'!$D$27:$AH$266,'May'!$D$27:$AH$266,'Jun'!$D$27:$AH$266,'Jul'!$D$27:$AH$266,'Aug'!$D$27:$AH$266,'Sep'!$D$27:$AH$266,'Oct'!$D$27:$AH$266,'Nov'!$D$27:$AH$266,'Dec'!$D$27:$AH$266,'Jan (next year)'!$D$27:$AH$266),27+4*(IFERROR(MATCH(C944,Roster!$B$6:$B$65,0),MATCH(C944,Roster!$C$6:$C$65,0))-1)+MATCH(B944,{"AM","PM","NIGHT","WD"},0)-1-27+1,DAY(A944))&amp;"",""))</f>
        <v/>
      </c>
      <c r="G944" s="123">
        <f>IF(OR(A944="",C944="",B944="",E944=""),"",IFERROR(A944&amp;"|"&amp;(27+4*(IFERROR(MATCH(C944,Roster!$B$6:$B$65,0),MATCH(C944,Roster!$C$6:$C$65,0))-1)+MATCH(B944,{"AM","PM","NIGHT","WD"},0)-1),""))</f>
        <v/>
      </c>
    </row>
    <row r="945">
      <c r="A945" s="122" t="n"/>
      <c r="B945" s="107" t="n"/>
      <c r="C945" s="105" t="n"/>
      <c r="D945" s="92">
        <f>IF(C945="","",IFERROR(INDEX(Roster!$C$6:$C$65,IFERROR(MATCH(C945,Roster!$B$6:$B$65,0),MATCH(C945,Roster!$C$6:$C$65,0))),"not on the Roster"))</f>
        <v/>
      </c>
      <c r="E945" s="106" t="n"/>
      <c r="F945" s="104">
        <f>IF(OR(A945="",C945="",B945=""),"",IFERROR(INDEX(CHOOSE(IF(YEAR(A945)&gt;PlanYear,13,MONTH(A945)),'Jan'!$D$27:$AH$266,'Feb'!$D$27:$AH$266,'Mar'!$D$27:$AH$266,'Apr'!$D$27:$AH$266,'May'!$D$27:$AH$266,'Jun'!$D$27:$AH$266,'Jul'!$D$27:$AH$266,'Aug'!$D$27:$AH$266,'Sep'!$D$27:$AH$266,'Oct'!$D$27:$AH$266,'Nov'!$D$27:$AH$266,'Dec'!$D$27:$AH$266,'Jan (next year)'!$D$27:$AH$266),27+4*(IFERROR(MATCH(C945,Roster!$B$6:$B$65,0),MATCH(C945,Roster!$C$6:$C$65,0))-1)+MATCH(B945,{"AM","PM","NIGHT","WD"},0)-1-27+1,DAY(A945))&amp;"",""))</f>
        <v/>
      </c>
      <c r="G945" s="123">
        <f>IF(OR(A945="",C945="",B945="",E945=""),"",IFERROR(A945&amp;"|"&amp;(27+4*(IFERROR(MATCH(C945,Roster!$B$6:$B$65,0),MATCH(C945,Roster!$C$6:$C$65,0))-1)+MATCH(B945,{"AM","PM","NIGHT","WD"},0)-1),""))</f>
        <v/>
      </c>
    </row>
    <row r="946">
      <c r="A946" s="122" t="n"/>
      <c r="B946" s="107" t="n"/>
      <c r="C946" s="105" t="n"/>
      <c r="D946" s="92">
        <f>IF(C946="","",IFERROR(INDEX(Roster!$C$6:$C$65,IFERROR(MATCH(C946,Roster!$B$6:$B$65,0),MATCH(C946,Roster!$C$6:$C$65,0))),"not on the Roster"))</f>
        <v/>
      </c>
      <c r="E946" s="106" t="n"/>
      <c r="F946" s="104">
        <f>IF(OR(A946="",C946="",B946=""),"",IFERROR(INDEX(CHOOSE(IF(YEAR(A946)&gt;PlanYear,13,MONTH(A946)),'Jan'!$D$27:$AH$266,'Feb'!$D$27:$AH$266,'Mar'!$D$27:$AH$266,'Apr'!$D$27:$AH$266,'May'!$D$27:$AH$266,'Jun'!$D$27:$AH$266,'Jul'!$D$27:$AH$266,'Aug'!$D$27:$AH$266,'Sep'!$D$27:$AH$266,'Oct'!$D$27:$AH$266,'Nov'!$D$27:$AH$266,'Dec'!$D$27:$AH$266,'Jan (next year)'!$D$27:$AH$266),27+4*(IFERROR(MATCH(C946,Roster!$B$6:$B$65,0),MATCH(C946,Roster!$C$6:$C$65,0))-1)+MATCH(B946,{"AM","PM","NIGHT","WD"},0)-1-27+1,DAY(A946))&amp;"",""))</f>
        <v/>
      </c>
      <c r="G946" s="123">
        <f>IF(OR(A946="",C946="",B946="",E946=""),"",IFERROR(A946&amp;"|"&amp;(27+4*(IFERROR(MATCH(C946,Roster!$B$6:$B$65,0),MATCH(C946,Roster!$C$6:$C$65,0))-1)+MATCH(B946,{"AM","PM","NIGHT","WD"},0)-1),""))</f>
        <v/>
      </c>
    </row>
    <row r="947">
      <c r="A947" s="122" t="n"/>
      <c r="B947" s="107" t="n"/>
      <c r="C947" s="105" t="n"/>
      <c r="D947" s="92">
        <f>IF(C947="","",IFERROR(INDEX(Roster!$C$6:$C$65,IFERROR(MATCH(C947,Roster!$B$6:$B$65,0),MATCH(C947,Roster!$C$6:$C$65,0))),"not on the Roster"))</f>
        <v/>
      </c>
      <c r="E947" s="106" t="n"/>
      <c r="F947" s="104">
        <f>IF(OR(A947="",C947="",B947=""),"",IFERROR(INDEX(CHOOSE(IF(YEAR(A947)&gt;PlanYear,13,MONTH(A947)),'Jan'!$D$27:$AH$266,'Feb'!$D$27:$AH$266,'Mar'!$D$27:$AH$266,'Apr'!$D$27:$AH$266,'May'!$D$27:$AH$266,'Jun'!$D$27:$AH$266,'Jul'!$D$27:$AH$266,'Aug'!$D$27:$AH$266,'Sep'!$D$27:$AH$266,'Oct'!$D$27:$AH$266,'Nov'!$D$27:$AH$266,'Dec'!$D$27:$AH$266,'Jan (next year)'!$D$27:$AH$266),27+4*(IFERROR(MATCH(C947,Roster!$B$6:$B$65,0),MATCH(C947,Roster!$C$6:$C$65,0))-1)+MATCH(B947,{"AM","PM","NIGHT","WD"},0)-1-27+1,DAY(A947))&amp;"",""))</f>
        <v/>
      </c>
      <c r="G947" s="123">
        <f>IF(OR(A947="",C947="",B947="",E947=""),"",IFERROR(A947&amp;"|"&amp;(27+4*(IFERROR(MATCH(C947,Roster!$B$6:$B$65,0),MATCH(C947,Roster!$C$6:$C$65,0))-1)+MATCH(B947,{"AM","PM","NIGHT","WD"},0)-1),""))</f>
        <v/>
      </c>
    </row>
    <row r="948">
      <c r="A948" s="122" t="n"/>
      <c r="B948" s="107" t="n"/>
      <c r="C948" s="105" t="n"/>
      <c r="D948" s="92">
        <f>IF(C948="","",IFERROR(INDEX(Roster!$C$6:$C$65,IFERROR(MATCH(C948,Roster!$B$6:$B$65,0),MATCH(C948,Roster!$C$6:$C$65,0))),"not on the Roster"))</f>
        <v/>
      </c>
      <c r="E948" s="106" t="n"/>
      <c r="F948" s="104">
        <f>IF(OR(A948="",C948="",B948=""),"",IFERROR(INDEX(CHOOSE(IF(YEAR(A948)&gt;PlanYear,13,MONTH(A948)),'Jan'!$D$27:$AH$266,'Feb'!$D$27:$AH$266,'Mar'!$D$27:$AH$266,'Apr'!$D$27:$AH$266,'May'!$D$27:$AH$266,'Jun'!$D$27:$AH$266,'Jul'!$D$27:$AH$266,'Aug'!$D$27:$AH$266,'Sep'!$D$27:$AH$266,'Oct'!$D$27:$AH$266,'Nov'!$D$27:$AH$266,'Dec'!$D$27:$AH$266,'Jan (next year)'!$D$27:$AH$266),27+4*(IFERROR(MATCH(C948,Roster!$B$6:$B$65,0),MATCH(C948,Roster!$C$6:$C$65,0))-1)+MATCH(B948,{"AM","PM","NIGHT","WD"},0)-1-27+1,DAY(A948))&amp;"",""))</f>
        <v/>
      </c>
      <c r="G948" s="123">
        <f>IF(OR(A948="",C948="",B948="",E948=""),"",IFERROR(A948&amp;"|"&amp;(27+4*(IFERROR(MATCH(C948,Roster!$B$6:$B$65,0),MATCH(C948,Roster!$C$6:$C$65,0))-1)+MATCH(B948,{"AM","PM","NIGHT","WD"},0)-1),""))</f>
        <v/>
      </c>
    </row>
    <row r="949">
      <c r="A949" s="122" t="n"/>
      <c r="B949" s="107" t="n"/>
      <c r="C949" s="105" t="n"/>
      <c r="D949" s="92">
        <f>IF(C949="","",IFERROR(INDEX(Roster!$C$6:$C$65,IFERROR(MATCH(C949,Roster!$B$6:$B$65,0),MATCH(C949,Roster!$C$6:$C$65,0))),"not on the Roster"))</f>
        <v/>
      </c>
      <c r="E949" s="106" t="n"/>
      <c r="F949" s="104">
        <f>IF(OR(A949="",C949="",B949=""),"",IFERROR(INDEX(CHOOSE(IF(YEAR(A949)&gt;PlanYear,13,MONTH(A949)),'Jan'!$D$27:$AH$266,'Feb'!$D$27:$AH$266,'Mar'!$D$27:$AH$266,'Apr'!$D$27:$AH$266,'May'!$D$27:$AH$266,'Jun'!$D$27:$AH$266,'Jul'!$D$27:$AH$266,'Aug'!$D$27:$AH$266,'Sep'!$D$27:$AH$266,'Oct'!$D$27:$AH$266,'Nov'!$D$27:$AH$266,'Dec'!$D$27:$AH$266,'Jan (next year)'!$D$27:$AH$266),27+4*(IFERROR(MATCH(C949,Roster!$B$6:$B$65,0),MATCH(C949,Roster!$C$6:$C$65,0))-1)+MATCH(B949,{"AM","PM","NIGHT","WD"},0)-1-27+1,DAY(A949))&amp;"",""))</f>
        <v/>
      </c>
      <c r="G949" s="123">
        <f>IF(OR(A949="",C949="",B949="",E949=""),"",IFERROR(A949&amp;"|"&amp;(27+4*(IFERROR(MATCH(C949,Roster!$B$6:$B$65,0),MATCH(C949,Roster!$C$6:$C$65,0))-1)+MATCH(B949,{"AM","PM","NIGHT","WD"},0)-1),""))</f>
        <v/>
      </c>
    </row>
    <row r="950">
      <c r="A950" s="122" t="n"/>
      <c r="B950" s="107" t="n"/>
      <c r="C950" s="105" t="n"/>
      <c r="D950" s="92">
        <f>IF(C950="","",IFERROR(INDEX(Roster!$C$6:$C$65,IFERROR(MATCH(C950,Roster!$B$6:$B$65,0),MATCH(C950,Roster!$C$6:$C$65,0))),"not on the Roster"))</f>
        <v/>
      </c>
      <c r="E950" s="106" t="n"/>
      <c r="F950" s="104">
        <f>IF(OR(A950="",C950="",B950=""),"",IFERROR(INDEX(CHOOSE(IF(YEAR(A950)&gt;PlanYear,13,MONTH(A950)),'Jan'!$D$27:$AH$266,'Feb'!$D$27:$AH$266,'Mar'!$D$27:$AH$266,'Apr'!$D$27:$AH$266,'May'!$D$27:$AH$266,'Jun'!$D$27:$AH$266,'Jul'!$D$27:$AH$266,'Aug'!$D$27:$AH$266,'Sep'!$D$27:$AH$266,'Oct'!$D$27:$AH$266,'Nov'!$D$27:$AH$266,'Dec'!$D$27:$AH$266,'Jan (next year)'!$D$27:$AH$266),27+4*(IFERROR(MATCH(C950,Roster!$B$6:$B$65,0),MATCH(C950,Roster!$C$6:$C$65,0))-1)+MATCH(B950,{"AM","PM","NIGHT","WD"},0)-1-27+1,DAY(A950))&amp;"",""))</f>
        <v/>
      </c>
      <c r="G950" s="123">
        <f>IF(OR(A950="",C950="",B950="",E950=""),"",IFERROR(A950&amp;"|"&amp;(27+4*(IFERROR(MATCH(C950,Roster!$B$6:$B$65,0),MATCH(C950,Roster!$C$6:$C$65,0))-1)+MATCH(B950,{"AM","PM","NIGHT","WD"},0)-1),""))</f>
        <v/>
      </c>
    </row>
    <row r="951">
      <c r="A951" s="122" t="n"/>
      <c r="B951" s="107" t="n"/>
      <c r="C951" s="105" t="n"/>
      <c r="D951" s="92">
        <f>IF(C951="","",IFERROR(INDEX(Roster!$C$6:$C$65,IFERROR(MATCH(C951,Roster!$B$6:$B$65,0),MATCH(C951,Roster!$C$6:$C$65,0))),"not on the Roster"))</f>
        <v/>
      </c>
      <c r="E951" s="106" t="n"/>
      <c r="F951" s="104">
        <f>IF(OR(A951="",C951="",B951=""),"",IFERROR(INDEX(CHOOSE(IF(YEAR(A951)&gt;PlanYear,13,MONTH(A951)),'Jan'!$D$27:$AH$266,'Feb'!$D$27:$AH$266,'Mar'!$D$27:$AH$266,'Apr'!$D$27:$AH$266,'May'!$D$27:$AH$266,'Jun'!$D$27:$AH$266,'Jul'!$D$27:$AH$266,'Aug'!$D$27:$AH$266,'Sep'!$D$27:$AH$266,'Oct'!$D$27:$AH$266,'Nov'!$D$27:$AH$266,'Dec'!$D$27:$AH$266,'Jan (next year)'!$D$27:$AH$266),27+4*(IFERROR(MATCH(C951,Roster!$B$6:$B$65,0),MATCH(C951,Roster!$C$6:$C$65,0))-1)+MATCH(B951,{"AM","PM","NIGHT","WD"},0)-1-27+1,DAY(A951))&amp;"",""))</f>
        <v/>
      </c>
      <c r="G951" s="123">
        <f>IF(OR(A951="",C951="",B951="",E951=""),"",IFERROR(A951&amp;"|"&amp;(27+4*(IFERROR(MATCH(C951,Roster!$B$6:$B$65,0),MATCH(C951,Roster!$C$6:$C$65,0))-1)+MATCH(B951,{"AM","PM","NIGHT","WD"},0)-1),""))</f>
        <v/>
      </c>
    </row>
    <row r="952">
      <c r="A952" s="122" t="n"/>
      <c r="B952" s="107" t="n"/>
      <c r="C952" s="105" t="n"/>
      <c r="D952" s="92">
        <f>IF(C952="","",IFERROR(INDEX(Roster!$C$6:$C$65,IFERROR(MATCH(C952,Roster!$B$6:$B$65,0),MATCH(C952,Roster!$C$6:$C$65,0))),"not on the Roster"))</f>
        <v/>
      </c>
      <c r="E952" s="106" t="n"/>
      <c r="F952" s="104">
        <f>IF(OR(A952="",C952="",B952=""),"",IFERROR(INDEX(CHOOSE(IF(YEAR(A952)&gt;PlanYear,13,MONTH(A952)),'Jan'!$D$27:$AH$266,'Feb'!$D$27:$AH$266,'Mar'!$D$27:$AH$266,'Apr'!$D$27:$AH$266,'May'!$D$27:$AH$266,'Jun'!$D$27:$AH$266,'Jul'!$D$27:$AH$266,'Aug'!$D$27:$AH$266,'Sep'!$D$27:$AH$266,'Oct'!$D$27:$AH$266,'Nov'!$D$27:$AH$266,'Dec'!$D$27:$AH$266,'Jan (next year)'!$D$27:$AH$266),27+4*(IFERROR(MATCH(C952,Roster!$B$6:$B$65,0),MATCH(C952,Roster!$C$6:$C$65,0))-1)+MATCH(B952,{"AM","PM","NIGHT","WD"},0)-1-27+1,DAY(A952))&amp;"",""))</f>
        <v/>
      </c>
      <c r="G952" s="123">
        <f>IF(OR(A952="",C952="",B952="",E952=""),"",IFERROR(A952&amp;"|"&amp;(27+4*(IFERROR(MATCH(C952,Roster!$B$6:$B$65,0),MATCH(C952,Roster!$C$6:$C$65,0))-1)+MATCH(B952,{"AM","PM","NIGHT","WD"},0)-1),""))</f>
        <v/>
      </c>
    </row>
    <row r="953">
      <c r="A953" s="122" t="n"/>
      <c r="B953" s="107" t="n"/>
      <c r="C953" s="105" t="n"/>
      <c r="D953" s="92">
        <f>IF(C953="","",IFERROR(INDEX(Roster!$C$6:$C$65,IFERROR(MATCH(C953,Roster!$B$6:$B$65,0),MATCH(C953,Roster!$C$6:$C$65,0))),"not on the Roster"))</f>
        <v/>
      </c>
      <c r="E953" s="106" t="n"/>
      <c r="F953" s="104">
        <f>IF(OR(A953="",C953="",B953=""),"",IFERROR(INDEX(CHOOSE(IF(YEAR(A953)&gt;PlanYear,13,MONTH(A953)),'Jan'!$D$27:$AH$266,'Feb'!$D$27:$AH$266,'Mar'!$D$27:$AH$266,'Apr'!$D$27:$AH$266,'May'!$D$27:$AH$266,'Jun'!$D$27:$AH$266,'Jul'!$D$27:$AH$266,'Aug'!$D$27:$AH$266,'Sep'!$D$27:$AH$266,'Oct'!$D$27:$AH$266,'Nov'!$D$27:$AH$266,'Dec'!$D$27:$AH$266,'Jan (next year)'!$D$27:$AH$266),27+4*(IFERROR(MATCH(C953,Roster!$B$6:$B$65,0),MATCH(C953,Roster!$C$6:$C$65,0))-1)+MATCH(B953,{"AM","PM","NIGHT","WD"},0)-1-27+1,DAY(A953))&amp;"",""))</f>
        <v/>
      </c>
      <c r="G953" s="123">
        <f>IF(OR(A953="",C953="",B953="",E953=""),"",IFERROR(A953&amp;"|"&amp;(27+4*(IFERROR(MATCH(C953,Roster!$B$6:$B$65,0),MATCH(C953,Roster!$C$6:$C$65,0))-1)+MATCH(B953,{"AM","PM","NIGHT","WD"},0)-1),""))</f>
        <v/>
      </c>
    </row>
    <row r="954">
      <c r="A954" s="122" t="n"/>
      <c r="B954" s="107" t="n"/>
      <c r="C954" s="105" t="n"/>
      <c r="D954" s="92">
        <f>IF(C954="","",IFERROR(INDEX(Roster!$C$6:$C$65,IFERROR(MATCH(C954,Roster!$B$6:$B$65,0),MATCH(C954,Roster!$C$6:$C$65,0))),"not on the Roster"))</f>
        <v/>
      </c>
      <c r="E954" s="106" t="n"/>
      <c r="F954" s="104">
        <f>IF(OR(A954="",C954="",B954=""),"",IFERROR(INDEX(CHOOSE(IF(YEAR(A954)&gt;PlanYear,13,MONTH(A954)),'Jan'!$D$27:$AH$266,'Feb'!$D$27:$AH$266,'Mar'!$D$27:$AH$266,'Apr'!$D$27:$AH$266,'May'!$D$27:$AH$266,'Jun'!$D$27:$AH$266,'Jul'!$D$27:$AH$266,'Aug'!$D$27:$AH$266,'Sep'!$D$27:$AH$266,'Oct'!$D$27:$AH$266,'Nov'!$D$27:$AH$266,'Dec'!$D$27:$AH$266,'Jan (next year)'!$D$27:$AH$266),27+4*(IFERROR(MATCH(C954,Roster!$B$6:$B$65,0),MATCH(C954,Roster!$C$6:$C$65,0))-1)+MATCH(B954,{"AM","PM","NIGHT","WD"},0)-1-27+1,DAY(A954))&amp;"",""))</f>
        <v/>
      </c>
      <c r="G954" s="123">
        <f>IF(OR(A954="",C954="",B954="",E954=""),"",IFERROR(A954&amp;"|"&amp;(27+4*(IFERROR(MATCH(C954,Roster!$B$6:$B$65,0),MATCH(C954,Roster!$C$6:$C$65,0))-1)+MATCH(B954,{"AM","PM","NIGHT","WD"},0)-1),""))</f>
        <v/>
      </c>
    </row>
    <row r="955">
      <c r="A955" s="122" t="n"/>
      <c r="B955" s="107" t="n"/>
      <c r="C955" s="105" t="n"/>
      <c r="D955" s="92">
        <f>IF(C955="","",IFERROR(INDEX(Roster!$C$6:$C$65,IFERROR(MATCH(C955,Roster!$B$6:$B$65,0),MATCH(C955,Roster!$C$6:$C$65,0))),"not on the Roster"))</f>
        <v/>
      </c>
      <c r="E955" s="106" t="n"/>
      <c r="F955" s="104">
        <f>IF(OR(A955="",C955="",B955=""),"",IFERROR(INDEX(CHOOSE(IF(YEAR(A955)&gt;PlanYear,13,MONTH(A955)),'Jan'!$D$27:$AH$266,'Feb'!$D$27:$AH$266,'Mar'!$D$27:$AH$266,'Apr'!$D$27:$AH$266,'May'!$D$27:$AH$266,'Jun'!$D$27:$AH$266,'Jul'!$D$27:$AH$266,'Aug'!$D$27:$AH$266,'Sep'!$D$27:$AH$266,'Oct'!$D$27:$AH$266,'Nov'!$D$27:$AH$266,'Dec'!$D$27:$AH$266,'Jan (next year)'!$D$27:$AH$266),27+4*(IFERROR(MATCH(C955,Roster!$B$6:$B$65,0),MATCH(C955,Roster!$C$6:$C$65,0))-1)+MATCH(B955,{"AM","PM","NIGHT","WD"},0)-1-27+1,DAY(A955))&amp;"",""))</f>
        <v/>
      </c>
      <c r="G955" s="123">
        <f>IF(OR(A955="",C955="",B955="",E955=""),"",IFERROR(A955&amp;"|"&amp;(27+4*(IFERROR(MATCH(C955,Roster!$B$6:$B$65,0),MATCH(C955,Roster!$C$6:$C$65,0))-1)+MATCH(B955,{"AM","PM","NIGHT","WD"},0)-1),""))</f>
        <v/>
      </c>
    </row>
    <row r="956">
      <c r="A956" s="122" t="n"/>
      <c r="B956" s="107" t="n"/>
      <c r="C956" s="105" t="n"/>
      <c r="D956" s="92">
        <f>IF(C956="","",IFERROR(INDEX(Roster!$C$6:$C$65,IFERROR(MATCH(C956,Roster!$B$6:$B$65,0),MATCH(C956,Roster!$C$6:$C$65,0))),"not on the Roster"))</f>
        <v/>
      </c>
      <c r="E956" s="106" t="n"/>
      <c r="F956" s="104">
        <f>IF(OR(A956="",C956="",B956=""),"",IFERROR(INDEX(CHOOSE(IF(YEAR(A956)&gt;PlanYear,13,MONTH(A956)),'Jan'!$D$27:$AH$266,'Feb'!$D$27:$AH$266,'Mar'!$D$27:$AH$266,'Apr'!$D$27:$AH$266,'May'!$D$27:$AH$266,'Jun'!$D$27:$AH$266,'Jul'!$D$27:$AH$266,'Aug'!$D$27:$AH$266,'Sep'!$D$27:$AH$266,'Oct'!$D$27:$AH$266,'Nov'!$D$27:$AH$266,'Dec'!$D$27:$AH$266,'Jan (next year)'!$D$27:$AH$266),27+4*(IFERROR(MATCH(C956,Roster!$B$6:$B$65,0),MATCH(C956,Roster!$C$6:$C$65,0))-1)+MATCH(B956,{"AM","PM","NIGHT","WD"},0)-1-27+1,DAY(A956))&amp;"",""))</f>
        <v/>
      </c>
      <c r="G956" s="123">
        <f>IF(OR(A956="",C956="",B956="",E956=""),"",IFERROR(A956&amp;"|"&amp;(27+4*(IFERROR(MATCH(C956,Roster!$B$6:$B$65,0),MATCH(C956,Roster!$C$6:$C$65,0))-1)+MATCH(B956,{"AM","PM","NIGHT","WD"},0)-1),""))</f>
        <v/>
      </c>
    </row>
    <row r="957">
      <c r="A957" s="122" t="n"/>
      <c r="B957" s="107" t="n"/>
      <c r="C957" s="105" t="n"/>
      <c r="D957" s="92">
        <f>IF(C957="","",IFERROR(INDEX(Roster!$C$6:$C$65,IFERROR(MATCH(C957,Roster!$B$6:$B$65,0),MATCH(C957,Roster!$C$6:$C$65,0))),"not on the Roster"))</f>
        <v/>
      </c>
      <c r="E957" s="106" t="n"/>
      <c r="F957" s="104">
        <f>IF(OR(A957="",C957="",B957=""),"",IFERROR(INDEX(CHOOSE(IF(YEAR(A957)&gt;PlanYear,13,MONTH(A957)),'Jan'!$D$27:$AH$266,'Feb'!$D$27:$AH$266,'Mar'!$D$27:$AH$266,'Apr'!$D$27:$AH$266,'May'!$D$27:$AH$266,'Jun'!$D$27:$AH$266,'Jul'!$D$27:$AH$266,'Aug'!$D$27:$AH$266,'Sep'!$D$27:$AH$266,'Oct'!$D$27:$AH$266,'Nov'!$D$27:$AH$266,'Dec'!$D$27:$AH$266,'Jan (next year)'!$D$27:$AH$266),27+4*(IFERROR(MATCH(C957,Roster!$B$6:$B$65,0),MATCH(C957,Roster!$C$6:$C$65,0))-1)+MATCH(B957,{"AM","PM","NIGHT","WD"},0)-1-27+1,DAY(A957))&amp;"",""))</f>
        <v/>
      </c>
      <c r="G957" s="123">
        <f>IF(OR(A957="",C957="",B957="",E957=""),"",IFERROR(A957&amp;"|"&amp;(27+4*(IFERROR(MATCH(C957,Roster!$B$6:$B$65,0),MATCH(C957,Roster!$C$6:$C$65,0))-1)+MATCH(B957,{"AM","PM","NIGHT","WD"},0)-1),""))</f>
        <v/>
      </c>
    </row>
    <row r="958">
      <c r="A958" s="122" t="n"/>
      <c r="B958" s="107" t="n"/>
      <c r="C958" s="105" t="n"/>
      <c r="D958" s="92">
        <f>IF(C958="","",IFERROR(INDEX(Roster!$C$6:$C$65,IFERROR(MATCH(C958,Roster!$B$6:$B$65,0),MATCH(C958,Roster!$C$6:$C$65,0))),"not on the Roster"))</f>
        <v/>
      </c>
      <c r="E958" s="106" t="n"/>
      <c r="F958" s="104">
        <f>IF(OR(A958="",C958="",B958=""),"",IFERROR(INDEX(CHOOSE(IF(YEAR(A958)&gt;PlanYear,13,MONTH(A958)),'Jan'!$D$27:$AH$266,'Feb'!$D$27:$AH$266,'Mar'!$D$27:$AH$266,'Apr'!$D$27:$AH$266,'May'!$D$27:$AH$266,'Jun'!$D$27:$AH$266,'Jul'!$D$27:$AH$266,'Aug'!$D$27:$AH$266,'Sep'!$D$27:$AH$266,'Oct'!$D$27:$AH$266,'Nov'!$D$27:$AH$266,'Dec'!$D$27:$AH$266,'Jan (next year)'!$D$27:$AH$266),27+4*(IFERROR(MATCH(C958,Roster!$B$6:$B$65,0),MATCH(C958,Roster!$C$6:$C$65,0))-1)+MATCH(B958,{"AM","PM","NIGHT","WD"},0)-1-27+1,DAY(A958))&amp;"",""))</f>
        <v/>
      </c>
      <c r="G958" s="123">
        <f>IF(OR(A958="",C958="",B958="",E958=""),"",IFERROR(A958&amp;"|"&amp;(27+4*(IFERROR(MATCH(C958,Roster!$B$6:$B$65,0),MATCH(C958,Roster!$C$6:$C$65,0))-1)+MATCH(B958,{"AM","PM","NIGHT","WD"},0)-1),""))</f>
        <v/>
      </c>
    </row>
    <row r="959">
      <c r="A959" s="122" t="n"/>
      <c r="B959" s="107" t="n"/>
      <c r="C959" s="105" t="n"/>
      <c r="D959" s="92">
        <f>IF(C959="","",IFERROR(INDEX(Roster!$C$6:$C$65,IFERROR(MATCH(C959,Roster!$B$6:$B$65,0),MATCH(C959,Roster!$C$6:$C$65,0))),"not on the Roster"))</f>
        <v/>
      </c>
      <c r="E959" s="106" t="n"/>
      <c r="F959" s="104">
        <f>IF(OR(A959="",C959="",B959=""),"",IFERROR(INDEX(CHOOSE(IF(YEAR(A959)&gt;PlanYear,13,MONTH(A959)),'Jan'!$D$27:$AH$266,'Feb'!$D$27:$AH$266,'Mar'!$D$27:$AH$266,'Apr'!$D$27:$AH$266,'May'!$D$27:$AH$266,'Jun'!$D$27:$AH$266,'Jul'!$D$27:$AH$266,'Aug'!$D$27:$AH$266,'Sep'!$D$27:$AH$266,'Oct'!$D$27:$AH$266,'Nov'!$D$27:$AH$266,'Dec'!$D$27:$AH$266,'Jan (next year)'!$D$27:$AH$266),27+4*(IFERROR(MATCH(C959,Roster!$B$6:$B$65,0),MATCH(C959,Roster!$C$6:$C$65,0))-1)+MATCH(B959,{"AM","PM","NIGHT","WD"},0)-1-27+1,DAY(A959))&amp;"",""))</f>
        <v/>
      </c>
      <c r="G959" s="123">
        <f>IF(OR(A959="",C959="",B959="",E959=""),"",IFERROR(A959&amp;"|"&amp;(27+4*(IFERROR(MATCH(C959,Roster!$B$6:$B$65,0),MATCH(C959,Roster!$C$6:$C$65,0))-1)+MATCH(B959,{"AM","PM","NIGHT","WD"},0)-1),""))</f>
        <v/>
      </c>
    </row>
    <row r="960">
      <c r="A960" s="122" t="n"/>
      <c r="B960" s="107" t="n"/>
      <c r="C960" s="105" t="n"/>
      <c r="D960" s="92">
        <f>IF(C960="","",IFERROR(INDEX(Roster!$C$6:$C$65,IFERROR(MATCH(C960,Roster!$B$6:$B$65,0),MATCH(C960,Roster!$C$6:$C$65,0))),"not on the Roster"))</f>
        <v/>
      </c>
      <c r="E960" s="106" t="n"/>
      <c r="F960" s="104">
        <f>IF(OR(A960="",C960="",B960=""),"",IFERROR(INDEX(CHOOSE(IF(YEAR(A960)&gt;PlanYear,13,MONTH(A960)),'Jan'!$D$27:$AH$266,'Feb'!$D$27:$AH$266,'Mar'!$D$27:$AH$266,'Apr'!$D$27:$AH$266,'May'!$D$27:$AH$266,'Jun'!$D$27:$AH$266,'Jul'!$D$27:$AH$266,'Aug'!$D$27:$AH$266,'Sep'!$D$27:$AH$266,'Oct'!$D$27:$AH$266,'Nov'!$D$27:$AH$266,'Dec'!$D$27:$AH$266,'Jan (next year)'!$D$27:$AH$266),27+4*(IFERROR(MATCH(C960,Roster!$B$6:$B$65,0),MATCH(C960,Roster!$C$6:$C$65,0))-1)+MATCH(B960,{"AM","PM","NIGHT","WD"},0)-1-27+1,DAY(A960))&amp;"",""))</f>
        <v/>
      </c>
      <c r="G960" s="123">
        <f>IF(OR(A960="",C960="",B960="",E960=""),"",IFERROR(A960&amp;"|"&amp;(27+4*(IFERROR(MATCH(C960,Roster!$B$6:$B$65,0),MATCH(C960,Roster!$C$6:$C$65,0))-1)+MATCH(B960,{"AM","PM","NIGHT","WD"},0)-1),""))</f>
        <v/>
      </c>
    </row>
    <row r="961">
      <c r="A961" s="122" t="n"/>
      <c r="B961" s="107" t="n"/>
      <c r="C961" s="105" t="n"/>
      <c r="D961" s="92">
        <f>IF(C961="","",IFERROR(INDEX(Roster!$C$6:$C$65,IFERROR(MATCH(C961,Roster!$B$6:$B$65,0),MATCH(C961,Roster!$C$6:$C$65,0))),"not on the Roster"))</f>
        <v/>
      </c>
      <c r="E961" s="106" t="n"/>
      <c r="F961" s="104">
        <f>IF(OR(A961="",C961="",B961=""),"",IFERROR(INDEX(CHOOSE(IF(YEAR(A961)&gt;PlanYear,13,MONTH(A961)),'Jan'!$D$27:$AH$266,'Feb'!$D$27:$AH$266,'Mar'!$D$27:$AH$266,'Apr'!$D$27:$AH$266,'May'!$D$27:$AH$266,'Jun'!$D$27:$AH$266,'Jul'!$D$27:$AH$266,'Aug'!$D$27:$AH$266,'Sep'!$D$27:$AH$266,'Oct'!$D$27:$AH$266,'Nov'!$D$27:$AH$266,'Dec'!$D$27:$AH$266,'Jan (next year)'!$D$27:$AH$266),27+4*(IFERROR(MATCH(C961,Roster!$B$6:$B$65,0),MATCH(C961,Roster!$C$6:$C$65,0))-1)+MATCH(B961,{"AM","PM","NIGHT","WD"},0)-1-27+1,DAY(A961))&amp;"",""))</f>
        <v/>
      </c>
      <c r="G961" s="123">
        <f>IF(OR(A961="",C961="",B961="",E961=""),"",IFERROR(A961&amp;"|"&amp;(27+4*(IFERROR(MATCH(C961,Roster!$B$6:$B$65,0),MATCH(C961,Roster!$C$6:$C$65,0))-1)+MATCH(B961,{"AM","PM","NIGHT","WD"},0)-1),""))</f>
        <v/>
      </c>
    </row>
    <row r="962">
      <c r="A962" s="122" t="n"/>
      <c r="B962" s="107" t="n"/>
      <c r="C962" s="105" t="n"/>
      <c r="D962" s="92">
        <f>IF(C962="","",IFERROR(INDEX(Roster!$C$6:$C$65,IFERROR(MATCH(C962,Roster!$B$6:$B$65,0),MATCH(C962,Roster!$C$6:$C$65,0))),"not on the Roster"))</f>
        <v/>
      </c>
      <c r="E962" s="106" t="n"/>
      <c r="F962" s="104">
        <f>IF(OR(A962="",C962="",B962=""),"",IFERROR(INDEX(CHOOSE(IF(YEAR(A962)&gt;PlanYear,13,MONTH(A962)),'Jan'!$D$27:$AH$266,'Feb'!$D$27:$AH$266,'Mar'!$D$27:$AH$266,'Apr'!$D$27:$AH$266,'May'!$D$27:$AH$266,'Jun'!$D$27:$AH$266,'Jul'!$D$27:$AH$266,'Aug'!$D$27:$AH$266,'Sep'!$D$27:$AH$266,'Oct'!$D$27:$AH$266,'Nov'!$D$27:$AH$266,'Dec'!$D$27:$AH$266,'Jan (next year)'!$D$27:$AH$266),27+4*(IFERROR(MATCH(C962,Roster!$B$6:$B$65,0),MATCH(C962,Roster!$C$6:$C$65,0))-1)+MATCH(B962,{"AM","PM","NIGHT","WD"},0)-1-27+1,DAY(A962))&amp;"",""))</f>
        <v/>
      </c>
      <c r="G962" s="123">
        <f>IF(OR(A962="",C962="",B962="",E962=""),"",IFERROR(A962&amp;"|"&amp;(27+4*(IFERROR(MATCH(C962,Roster!$B$6:$B$65,0),MATCH(C962,Roster!$C$6:$C$65,0))-1)+MATCH(B962,{"AM","PM","NIGHT","WD"},0)-1),""))</f>
        <v/>
      </c>
    </row>
    <row r="963">
      <c r="A963" s="122" t="n"/>
      <c r="B963" s="107" t="n"/>
      <c r="C963" s="105" t="n"/>
      <c r="D963" s="92">
        <f>IF(C963="","",IFERROR(INDEX(Roster!$C$6:$C$65,IFERROR(MATCH(C963,Roster!$B$6:$B$65,0),MATCH(C963,Roster!$C$6:$C$65,0))),"not on the Roster"))</f>
        <v/>
      </c>
      <c r="E963" s="106" t="n"/>
      <c r="F963" s="104">
        <f>IF(OR(A963="",C963="",B963=""),"",IFERROR(INDEX(CHOOSE(IF(YEAR(A963)&gt;PlanYear,13,MONTH(A963)),'Jan'!$D$27:$AH$266,'Feb'!$D$27:$AH$266,'Mar'!$D$27:$AH$266,'Apr'!$D$27:$AH$266,'May'!$D$27:$AH$266,'Jun'!$D$27:$AH$266,'Jul'!$D$27:$AH$266,'Aug'!$D$27:$AH$266,'Sep'!$D$27:$AH$266,'Oct'!$D$27:$AH$266,'Nov'!$D$27:$AH$266,'Dec'!$D$27:$AH$266,'Jan (next year)'!$D$27:$AH$266),27+4*(IFERROR(MATCH(C963,Roster!$B$6:$B$65,0),MATCH(C963,Roster!$C$6:$C$65,0))-1)+MATCH(B963,{"AM","PM","NIGHT","WD"},0)-1-27+1,DAY(A963))&amp;"",""))</f>
        <v/>
      </c>
      <c r="G963" s="123">
        <f>IF(OR(A963="",C963="",B963="",E963=""),"",IFERROR(A963&amp;"|"&amp;(27+4*(IFERROR(MATCH(C963,Roster!$B$6:$B$65,0),MATCH(C963,Roster!$C$6:$C$65,0))-1)+MATCH(B963,{"AM","PM","NIGHT","WD"},0)-1),""))</f>
        <v/>
      </c>
    </row>
    <row r="964">
      <c r="A964" s="122" t="n"/>
      <c r="B964" s="107" t="n"/>
      <c r="C964" s="105" t="n"/>
      <c r="D964" s="92">
        <f>IF(C964="","",IFERROR(INDEX(Roster!$C$6:$C$65,IFERROR(MATCH(C964,Roster!$B$6:$B$65,0),MATCH(C964,Roster!$C$6:$C$65,0))),"not on the Roster"))</f>
        <v/>
      </c>
      <c r="E964" s="106" t="n"/>
      <c r="F964" s="104">
        <f>IF(OR(A964="",C964="",B964=""),"",IFERROR(INDEX(CHOOSE(IF(YEAR(A964)&gt;PlanYear,13,MONTH(A964)),'Jan'!$D$27:$AH$266,'Feb'!$D$27:$AH$266,'Mar'!$D$27:$AH$266,'Apr'!$D$27:$AH$266,'May'!$D$27:$AH$266,'Jun'!$D$27:$AH$266,'Jul'!$D$27:$AH$266,'Aug'!$D$27:$AH$266,'Sep'!$D$27:$AH$266,'Oct'!$D$27:$AH$266,'Nov'!$D$27:$AH$266,'Dec'!$D$27:$AH$266,'Jan (next year)'!$D$27:$AH$266),27+4*(IFERROR(MATCH(C964,Roster!$B$6:$B$65,0),MATCH(C964,Roster!$C$6:$C$65,0))-1)+MATCH(B964,{"AM","PM","NIGHT","WD"},0)-1-27+1,DAY(A964))&amp;"",""))</f>
        <v/>
      </c>
      <c r="G964" s="123">
        <f>IF(OR(A964="",C964="",B964="",E964=""),"",IFERROR(A964&amp;"|"&amp;(27+4*(IFERROR(MATCH(C964,Roster!$B$6:$B$65,0),MATCH(C964,Roster!$C$6:$C$65,0))-1)+MATCH(B964,{"AM","PM","NIGHT","WD"},0)-1),""))</f>
        <v/>
      </c>
    </row>
    <row r="965">
      <c r="A965" s="122" t="n"/>
      <c r="B965" s="107" t="n"/>
      <c r="C965" s="105" t="n"/>
      <c r="D965" s="92">
        <f>IF(C965="","",IFERROR(INDEX(Roster!$C$6:$C$65,IFERROR(MATCH(C965,Roster!$B$6:$B$65,0),MATCH(C965,Roster!$C$6:$C$65,0))),"not on the Roster"))</f>
        <v/>
      </c>
      <c r="E965" s="106" t="n"/>
      <c r="F965" s="104">
        <f>IF(OR(A965="",C965="",B965=""),"",IFERROR(INDEX(CHOOSE(IF(YEAR(A965)&gt;PlanYear,13,MONTH(A965)),'Jan'!$D$27:$AH$266,'Feb'!$D$27:$AH$266,'Mar'!$D$27:$AH$266,'Apr'!$D$27:$AH$266,'May'!$D$27:$AH$266,'Jun'!$D$27:$AH$266,'Jul'!$D$27:$AH$266,'Aug'!$D$27:$AH$266,'Sep'!$D$27:$AH$266,'Oct'!$D$27:$AH$266,'Nov'!$D$27:$AH$266,'Dec'!$D$27:$AH$266,'Jan (next year)'!$D$27:$AH$266),27+4*(IFERROR(MATCH(C965,Roster!$B$6:$B$65,0),MATCH(C965,Roster!$C$6:$C$65,0))-1)+MATCH(B965,{"AM","PM","NIGHT","WD"},0)-1-27+1,DAY(A965))&amp;"",""))</f>
        <v/>
      </c>
      <c r="G965" s="123">
        <f>IF(OR(A965="",C965="",B965="",E965=""),"",IFERROR(A965&amp;"|"&amp;(27+4*(IFERROR(MATCH(C965,Roster!$B$6:$B$65,0),MATCH(C965,Roster!$C$6:$C$65,0))-1)+MATCH(B965,{"AM","PM","NIGHT","WD"},0)-1),""))</f>
        <v/>
      </c>
    </row>
    <row r="966">
      <c r="A966" s="122" t="n"/>
      <c r="B966" s="107" t="n"/>
      <c r="C966" s="105" t="n"/>
      <c r="D966" s="92">
        <f>IF(C966="","",IFERROR(INDEX(Roster!$C$6:$C$65,IFERROR(MATCH(C966,Roster!$B$6:$B$65,0),MATCH(C966,Roster!$C$6:$C$65,0))),"not on the Roster"))</f>
        <v/>
      </c>
      <c r="E966" s="106" t="n"/>
      <c r="F966" s="104">
        <f>IF(OR(A966="",C966="",B966=""),"",IFERROR(INDEX(CHOOSE(IF(YEAR(A966)&gt;PlanYear,13,MONTH(A966)),'Jan'!$D$27:$AH$266,'Feb'!$D$27:$AH$266,'Mar'!$D$27:$AH$266,'Apr'!$D$27:$AH$266,'May'!$D$27:$AH$266,'Jun'!$D$27:$AH$266,'Jul'!$D$27:$AH$266,'Aug'!$D$27:$AH$266,'Sep'!$D$27:$AH$266,'Oct'!$D$27:$AH$266,'Nov'!$D$27:$AH$266,'Dec'!$D$27:$AH$266,'Jan (next year)'!$D$27:$AH$266),27+4*(IFERROR(MATCH(C966,Roster!$B$6:$B$65,0),MATCH(C966,Roster!$C$6:$C$65,0))-1)+MATCH(B966,{"AM","PM","NIGHT","WD"},0)-1-27+1,DAY(A966))&amp;"",""))</f>
        <v/>
      </c>
      <c r="G966" s="123">
        <f>IF(OR(A966="",C966="",B966="",E966=""),"",IFERROR(A966&amp;"|"&amp;(27+4*(IFERROR(MATCH(C966,Roster!$B$6:$B$65,0),MATCH(C966,Roster!$C$6:$C$65,0))-1)+MATCH(B966,{"AM","PM","NIGHT","WD"},0)-1),""))</f>
        <v/>
      </c>
    </row>
    <row r="967">
      <c r="A967" s="122" t="n"/>
      <c r="B967" s="107" t="n"/>
      <c r="C967" s="105" t="n"/>
      <c r="D967" s="92">
        <f>IF(C967="","",IFERROR(INDEX(Roster!$C$6:$C$65,IFERROR(MATCH(C967,Roster!$B$6:$B$65,0),MATCH(C967,Roster!$C$6:$C$65,0))),"not on the Roster"))</f>
        <v/>
      </c>
      <c r="E967" s="106" t="n"/>
      <c r="F967" s="104">
        <f>IF(OR(A967="",C967="",B967=""),"",IFERROR(INDEX(CHOOSE(IF(YEAR(A967)&gt;PlanYear,13,MONTH(A967)),'Jan'!$D$27:$AH$266,'Feb'!$D$27:$AH$266,'Mar'!$D$27:$AH$266,'Apr'!$D$27:$AH$266,'May'!$D$27:$AH$266,'Jun'!$D$27:$AH$266,'Jul'!$D$27:$AH$266,'Aug'!$D$27:$AH$266,'Sep'!$D$27:$AH$266,'Oct'!$D$27:$AH$266,'Nov'!$D$27:$AH$266,'Dec'!$D$27:$AH$266,'Jan (next year)'!$D$27:$AH$266),27+4*(IFERROR(MATCH(C967,Roster!$B$6:$B$65,0),MATCH(C967,Roster!$C$6:$C$65,0))-1)+MATCH(B967,{"AM","PM","NIGHT","WD"},0)-1-27+1,DAY(A967))&amp;"",""))</f>
        <v/>
      </c>
      <c r="G967" s="123">
        <f>IF(OR(A967="",C967="",B967="",E967=""),"",IFERROR(A967&amp;"|"&amp;(27+4*(IFERROR(MATCH(C967,Roster!$B$6:$B$65,0),MATCH(C967,Roster!$C$6:$C$65,0))-1)+MATCH(B967,{"AM","PM","NIGHT","WD"},0)-1),""))</f>
        <v/>
      </c>
    </row>
    <row r="968">
      <c r="A968" s="122" t="n"/>
      <c r="B968" s="107" t="n"/>
      <c r="C968" s="105" t="n"/>
      <c r="D968" s="92">
        <f>IF(C968="","",IFERROR(INDEX(Roster!$C$6:$C$65,IFERROR(MATCH(C968,Roster!$B$6:$B$65,0),MATCH(C968,Roster!$C$6:$C$65,0))),"not on the Roster"))</f>
        <v/>
      </c>
      <c r="E968" s="106" t="n"/>
      <c r="F968" s="104">
        <f>IF(OR(A968="",C968="",B968=""),"",IFERROR(INDEX(CHOOSE(IF(YEAR(A968)&gt;PlanYear,13,MONTH(A968)),'Jan'!$D$27:$AH$266,'Feb'!$D$27:$AH$266,'Mar'!$D$27:$AH$266,'Apr'!$D$27:$AH$266,'May'!$D$27:$AH$266,'Jun'!$D$27:$AH$266,'Jul'!$D$27:$AH$266,'Aug'!$D$27:$AH$266,'Sep'!$D$27:$AH$266,'Oct'!$D$27:$AH$266,'Nov'!$D$27:$AH$266,'Dec'!$D$27:$AH$266,'Jan (next year)'!$D$27:$AH$266),27+4*(IFERROR(MATCH(C968,Roster!$B$6:$B$65,0),MATCH(C968,Roster!$C$6:$C$65,0))-1)+MATCH(B968,{"AM","PM","NIGHT","WD"},0)-1-27+1,DAY(A968))&amp;"",""))</f>
        <v/>
      </c>
      <c r="G968" s="123">
        <f>IF(OR(A968="",C968="",B968="",E968=""),"",IFERROR(A968&amp;"|"&amp;(27+4*(IFERROR(MATCH(C968,Roster!$B$6:$B$65,0),MATCH(C968,Roster!$C$6:$C$65,0))-1)+MATCH(B968,{"AM","PM","NIGHT","WD"},0)-1),""))</f>
        <v/>
      </c>
    </row>
    <row r="969">
      <c r="A969" s="122" t="n"/>
      <c r="B969" s="107" t="n"/>
      <c r="C969" s="105" t="n"/>
      <c r="D969" s="92">
        <f>IF(C969="","",IFERROR(INDEX(Roster!$C$6:$C$65,IFERROR(MATCH(C969,Roster!$B$6:$B$65,0),MATCH(C969,Roster!$C$6:$C$65,0))),"not on the Roster"))</f>
        <v/>
      </c>
      <c r="E969" s="106" t="n"/>
      <c r="F969" s="104">
        <f>IF(OR(A969="",C969="",B969=""),"",IFERROR(INDEX(CHOOSE(IF(YEAR(A969)&gt;PlanYear,13,MONTH(A969)),'Jan'!$D$27:$AH$266,'Feb'!$D$27:$AH$266,'Mar'!$D$27:$AH$266,'Apr'!$D$27:$AH$266,'May'!$D$27:$AH$266,'Jun'!$D$27:$AH$266,'Jul'!$D$27:$AH$266,'Aug'!$D$27:$AH$266,'Sep'!$D$27:$AH$266,'Oct'!$D$27:$AH$266,'Nov'!$D$27:$AH$266,'Dec'!$D$27:$AH$266,'Jan (next year)'!$D$27:$AH$266),27+4*(IFERROR(MATCH(C969,Roster!$B$6:$B$65,0),MATCH(C969,Roster!$C$6:$C$65,0))-1)+MATCH(B969,{"AM","PM","NIGHT","WD"},0)-1-27+1,DAY(A969))&amp;"",""))</f>
        <v/>
      </c>
      <c r="G969" s="123">
        <f>IF(OR(A969="",C969="",B969="",E969=""),"",IFERROR(A969&amp;"|"&amp;(27+4*(IFERROR(MATCH(C969,Roster!$B$6:$B$65,0),MATCH(C969,Roster!$C$6:$C$65,0))-1)+MATCH(B969,{"AM","PM","NIGHT","WD"},0)-1),""))</f>
        <v/>
      </c>
    </row>
    <row r="970">
      <c r="A970" s="122" t="n"/>
      <c r="B970" s="107" t="n"/>
      <c r="C970" s="105" t="n"/>
      <c r="D970" s="92">
        <f>IF(C970="","",IFERROR(INDEX(Roster!$C$6:$C$65,IFERROR(MATCH(C970,Roster!$B$6:$B$65,0),MATCH(C970,Roster!$C$6:$C$65,0))),"not on the Roster"))</f>
        <v/>
      </c>
      <c r="E970" s="106" t="n"/>
      <c r="F970" s="104">
        <f>IF(OR(A970="",C970="",B970=""),"",IFERROR(INDEX(CHOOSE(IF(YEAR(A970)&gt;PlanYear,13,MONTH(A970)),'Jan'!$D$27:$AH$266,'Feb'!$D$27:$AH$266,'Mar'!$D$27:$AH$266,'Apr'!$D$27:$AH$266,'May'!$D$27:$AH$266,'Jun'!$D$27:$AH$266,'Jul'!$D$27:$AH$266,'Aug'!$D$27:$AH$266,'Sep'!$D$27:$AH$266,'Oct'!$D$27:$AH$266,'Nov'!$D$27:$AH$266,'Dec'!$D$27:$AH$266,'Jan (next year)'!$D$27:$AH$266),27+4*(IFERROR(MATCH(C970,Roster!$B$6:$B$65,0),MATCH(C970,Roster!$C$6:$C$65,0))-1)+MATCH(B970,{"AM","PM","NIGHT","WD"},0)-1-27+1,DAY(A970))&amp;"",""))</f>
        <v/>
      </c>
      <c r="G970" s="123">
        <f>IF(OR(A970="",C970="",B970="",E970=""),"",IFERROR(A970&amp;"|"&amp;(27+4*(IFERROR(MATCH(C970,Roster!$B$6:$B$65,0),MATCH(C970,Roster!$C$6:$C$65,0))-1)+MATCH(B970,{"AM","PM","NIGHT","WD"},0)-1),""))</f>
        <v/>
      </c>
    </row>
    <row r="971">
      <c r="A971" s="122" t="n"/>
      <c r="B971" s="107" t="n"/>
      <c r="C971" s="105" t="n"/>
      <c r="D971" s="92">
        <f>IF(C971="","",IFERROR(INDEX(Roster!$C$6:$C$65,IFERROR(MATCH(C971,Roster!$B$6:$B$65,0),MATCH(C971,Roster!$C$6:$C$65,0))),"not on the Roster"))</f>
        <v/>
      </c>
      <c r="E971" s="106" t="n"/>
      <c r="F971" s="104">
        <f>IF(OR(A971="",C971="",B971=""),"",IFERROR(INDEX(CHOOSE(IF(YEAR(A971)&gt;PlanYear,13,MONTH(A971)),'Jan'!$D$27:$AH$266,'Feb'!$D$27:$AH$266,'Mar'!$D$27:$AH$266,'Apr'!$D$27:$AH$266,'May'!$D$27:$AH$266,'Jun'!$D$27:$AH$266,'Jul'!$D$27:$AH$266,'Aug'!$D$27:$AH$266,'Sep'!$D$27:$AH$266,'Oct'!$D$27:$AH$266,'Nov'!$D$27:$AH$266,'Dec'!$D$27:$AH$266,'Jan (next year)'!$D$27:$AH$266),27+4*(IFERROR(MATCH(C971,Roster!$B$6:$B$65,0),MATCH(C971,Roster!$C$6:$C$65,0))-1)+MATCH(B971,{"AM","PM","NIGHT","WD"},0)-1-27+1,DAY(A971))&amp;"",""))</f>
        <v/>
      </c>
      <c r="G971" s="123">
        <f>IF(OR(A971="",C971="",B971="",E971=""),"",IFERROR(A971&amp;"|"&amp;(27+4*(IFERROR(MATCH(C971,Roster!$B$6:$B$65,0),MATCH(C971,Roster!$C$6:$C$65,0))-1)+MATCH(B971,{"AM","PM","NIGHT","WD"},0)-1),""))</f>
        <v/>
      </c>
    </row>
    <row r="972">
      <c r="A972" s="122" t="n"/>
      <c r="B972" s="107" t="n"/>
      <c r="C972" s="105" t="n"/>
      <c r="D972" s="92">
        <f>IF(C972="","",IFERROR(INDEX(Roster!$C$6:$C$65,IFERROR(MATCH(C972,Roster!$B$6:$B$65,0),MATCH(C972,Roster!$C$6:$C$65,0))),"not on the Roster"))</f>
        <v/>
      </c>
      <c r="E972" s="106" t="n"/>
      <c r="F972" s="104">
        <f>IF(OR(A972="",C972="",B972=""),"",IFERROR(INDEX(CHOOSE(IF(YEAR(A972)&gt;PlanYear,13,MONTH(A972)),'Jan'!$D$27:$AH$266,'Feb'!$D$27:$AH$266,'Mar'!$D$27:$AH$266,'Apr'!$D$27:$AH$266,'May'!$D$27:$AH$266,'Jun'!$D$27:$AH$266,'Jul'!$D$27:$AH$266,'Aug'!$D$27:$AH$266,'Sep'!$D$27:$AH$266,'Oct'!$D$27:$AH$266,'Nov'!$D$27:$AH$266,'Dec'!$D$27:$AH$266,'Jan (next year)'!$D$27:$AH$266),27+4*(IFERROR(MATCH(C972,Roster!$B$6:$B$65,0),MATCH(C972,Roster!$C$6:$C$65,0))-1)+MATCH(B972,{"AM","PM","NIGHT","WD"},0)-1-27+1,DAY(A972))&amp;"",""))</f>
        <v/>
      </c>
      <c r="G972" s="123">
        <f>IF(OR(A972="",C972="",B972="",E972=""),"",IFERROR(A972&amp;"|"&amp;(27+4*(IFERROR(MATCH(C972,Roster!$B$6:$B$65,0),MATCH(C972,Roster!$C$6:$C$65,0))-1)+MATCH(B972,{"AM","PM","NIGHT","WD"},0)-1),""))</f>
        <v/>
      </c>
    </row>
    <row r="973">
      <c r="A973" s="122" t="n"/>
      <c r="B973" s="107" t="n"/>
      <c r="C973" s="105" t="n"/>
      <c r="D973" s="92">
        <f>IF(C973="","",IFERROR(INDEX(Roster!$C$6:$C$65,IFERROR(MATCH(C973,Roster!$B$6:$B$65,0),MATCH(C973,Roster!$C$6:$C$65,0))),"not on the Roster"))</f>
        <v/>
      </c>
      <c r="E973" s="106" t="n"/>
      <c r="F973" s="104">
        <f>IF(OR(A973="",C973="",B973=""),"",IFERROR(INDEX(CHOOSE(IF(YEAR(A973)&gt;PlanYear,13,MONTH(A973)),'Jan'!$D$27:$AH$266,'Feb'!$D$27:$AH$266,'Mar'!$D$27:$AH$266,'Apr'!$D$27:$AH$266,'May'!$D$27:$AH$266,'Jun'!$D$27:$AH$266,'Jul'!$D$27:$AH$266,'Aug'!$D$27:$AH$266,'Sep'!$D$27:$AH$266,'Oct'!$D$27:$AH$266,'Nov'!$D$27:$AH$266,'Dec'!$D$27:$AH$266,'Jan (next year)'!$D$27:$AH$266),27+4*(IFERROR(MATCH(C973,Roster!$B$6:$B$65,0),MATCH(C973,Roster!$C$6:$C$65,0))-1)+MATCH(B973,{"AM","PM","NIGHT","WD"},0)-1-27+1,DAY(A973))&amp;"",""))</f>
        <v/>
      </c>
      <c r="G973" s="123">
        <f>IF(OR(A973="",C973="",B973="",E973=""),"",IFERROR(A973&amp;"|"&amp;(27+4*(IFERROR(MATCH(C973,Roster!$B$6:$B$65,0),MATCH(C973,Roster!$C$6:$C$65,0))-1)+MATCH(B973,{"AM","PM","NIGHT","WD"},0)-1),""))</f>
        <v/>
      </c>
    </row>
    <row r="974">
      <c r="A974" s="122" t="n"/>
      <c r="B974" s="107" t="n"/>
      <c r="C974" s="105" t="n"/>
      <c r="D974" s="92">
        <f>IF(C974="","",IFERROR(INDEX(Roster!$C$6:$C$65,IFERROR(MATCH(C974,Roster!$B$6:$B$65,0),MATCH(C974,Roster!$C$6:$C$65,0))),"not on the Roster"))</f>
        <v/>
      </c>
      <c r="E974" s="106" t="n"/>
      <c r="F974" s="104">
        <f>IF(OR(A974="",C974="",B974=""),"",IFERROR(INDEX(CHOOSE(IF(YEAR(A974)&gt;PlanYear,13,MONTH(A974)),'Jan'!$D$27:$AH$266,'Feb'!$D$27:$AH$266,'Mar'!$D$27:$AH$266,'Apr'!$D$27:$AH$266,'May'!$D$27:$AH$266,'Jun'!$D$27:$AH$266,'Jul'!$D$27:$AH$266,'Aug'!$D$27:$AH$266,'Sep'!$D$27:$AH$266,'Oct'!$D$27:$AH$266,'Nov'!$D$27:$AH$266,'Dec'!$D$27:$AH$266,'Jan (next year)'!$D$27:$AH$266),27+4*(IFERROR(MATCH(C974,Roster!$B$6:$B$65,0),MATCH(C974,Roster!$C$6:$C$65,0))-1)+MATCH(B974,{"AM","PM","NIGHT","WD"},0)-1-27+1,DAY(A974))&amp;"",""))</f>
        <v/>
      </c>
      <c r="G974" s="123">
        <f>IF(OR(A974="",C974="",B974="",E974=""),"",IFERROR(A974&amp;"|"&amp;(27+4*(IFERROR(MATCH(C974,Roster!$B$6:$B$65,0),MATCH(C974,Roster!$C$6:$C$65,0))-1)+MATCH(B974,{"AM","PM","NIGHT","WD"},0)-1),""))</f>
        <v/>
      </c>
    </row>
    <row r="975">
      <c r="A975" s="122" t="n"/>
      <c r="B975" s="107" t="n"/>
      <c r="C975" s="105" t="n"/>
      <c r="D975" s="92">
        <f>IF(C975="","",IFERROR(INDEX(Roster!$C$6:$C$65,IFERROR(MATCH(C975,Roster!$B$6:$B$65,0),MATCH(C975,Roster!$C$6:$C$65,0))),"not on the Roster"))</f>
        <v/>
      </c>
      <c r="E975" s="106" t="n"/>
      <c r="F975" s="104">
        <f>IF(OR(A975="",C975="",B975=""),"",IFERROR(INDEX(CHOOSE(IF(YEAR(A975)&gt;PlanYear,13,MONTH(A975)),'Jan'!$D$27:$AH$266,'Feb'!$D$27:$AH$266,'Mar'!$D$27:$AH$266,'Apr'!$D$27:$AH$266,'May'!$D$27:$AH$266,'Jun'!$D$27:$AH$266,'Jul'!$D$27:$AH$266,'Aug'!$D$27:$AH$266,'Sep'!$D$27:$AH$266,'Oct'!$D$27:$AH$266,'Nov'!$D$27:$AH$266,'Dec'!$D$27:$AH$266,'Jan (next year)'!$D$27:$AH$266),27+4*(IFERROR(MATCH(C975,Roster!$B$6:$B$65,0),MATCH(C975,Roster!$C$6:$C$65,0))-1)+MATCH(B975,{"AM","PM","NIGHT","WD"},0)-1-27+1,DAY(A975))&amp;"",""))</f>
        <v/>
      </c>
      <c r="G975" s="123">
        <f>IF(OR(A975="",C975="",B975="",E975=""),"",IFERROR(A975&amp;"|"&amp;(27+4*(IFERROR(MATCH(C975,Roster!$B$6:$B$65,0),MATCH(C975,Roster!$C$6:$C$65,0))-1)+MATCH(B975,{"AM","PM","NIGHT","WD"},0)-1),""))</f>
        <v/>
      </c>
    </row>
    <row r="976">
      <c r="A976" s="122" t="n"/>
      <c r="B976" s="107" t="n"/>
      <c r="C976" s="105" t="n"/>
      <c r="D976" s="92">
        <f>IF(C976="","",IFERROR(INDEX(Roster!$C$6:$C$65,IFERROR(MATCH(C976,Roster!$B$6:$B$65,0),MATCH(C976,Roster!$C$6:$C$65,0))),"not on the Roster"))</f>
        <v/>
      </c>
      <c r="E976" s="106" t="n"/>
      <c r="F976" s="104">
        <f>IF(OR(A976="",C976="",B976=""),"",IFERROR(INDEX(CHOOSE(IF(YEAR(A976)&gt;PlanYear,13,MONTH(A976)),'Jan'!$D$27:$AH$266,'Feb'!$D$27:$AH$266,'Mar'!$D$27:$AH$266,'Apr'!$D$27:$AH$266,'May'!$D$27:$AH$266,'Jun'!$D$27:$AH$266,'Jul'!$D$27:$AH$266,'Aug'!$D$27:$AH$266,'Sep'!$D$27:$AH$266,'Oct'!$D$27:$AH$266,'Nov'!$D$27:$AH$266,'Dec'!$D$27:$AH$266,'Jan (next year)'!$D$27:$AH$266),27+4*(IFERROR(MATCH(C976,Roster!$B$6:$B$65,0),MATCH(C976,Roster!$C$6:$C$65,0))-1)+MATCH(B976,{"AM","PM","NIGHT","WD"},0)-1-27+1,DAY(A976))&amp;"",""))</f>
        <v/>
      </c>
      <c r="G976" s="123">
        <f>IF(OR(A976="",C976="",B976="",E976=""),"",IFERROR(A976&amp;"|"&amp;(27+4*(IFERROR(MATCH(C976,Roster!$B$6:$B$65,0),MATCH(C976,Roster!$C$6:$C$65,0))-1)+MATCH(B976,{"AM","PM","NIGHT","WD"},0)-1),""))</f>
        <v/>
      </c>
    </row>
    <row r="977">
      <c r="A977" s="122" t="n"/>
      <c r="B977" s="107" t="n"/>
      <c r="C977" s="105" t="n"/>
      <c r="D977" s="92">
        <f>IF(C977="","",IFERROR(INDEX(Roster!$C$6:$C$65,IFERROR(MATCH(C977,Roster!$B$6:$B$65,0),MATCH(C977,Roster!$C$6:$C$65,0))),"not on the Roster"))</f>
        <v/>
      </c>
      <c r="E977" s="106" t="n"/>
      <c r="F977" s="104">
        <f>IF(OR(A977="",C977="",B977=""),"",IFERROR(INDEX(CHOOSE(IF(YEAR(A977)&gt;PlanYear,13,MONTH(A977)),'Jan'!$D$27:$AH$266,'Feb'!$D$27:$AH$266,'Mar'!$D$27:$AH$266,'Apr'!$D$27:$AH$266,'May'!$D$27:$AH$266,'Jun'!$D$27:$AH$266,'Jul'!$D$27:$AH$266,'Aug'!$D$27:$AH$266,'Sep'!$D$27:$AH$266,'Oct'!$D$27:$AH$266,'Nov'!$D$27:$AH$266,'Dec'!$D$27:$AH$266,'Jan (next year)'!$D$27:$AH$266),27+4*(IFERROR(MATCH(C977,Roster!$B$6:$B$65,0),MATCH(C977,Roster!$C$6:$C$65,0))-1)+MATCH(B977,{"AM","PM","NIGHT","WD"},0)-1-27+1,DAY(A977))&amp;"",""))</f>
        <v/>
      </c>
      <c r="G977" s="123">
        <f>IF(OR(A977="",C977="",B977="",E977=""),"",IFERROR(A977&amp;"|"&amp;(27+4*(IFERROR(MATCH(C977,Roster!$B$6:$B$65,0),MATCH(C977,Roster!$C$6:$C$65,0))-1)+MATCH(B977,{"AM","PM","NIGHT","WD"},0)-1),""))</f>
        <v/>
      </c>
    </row>
    <row r="978">
      <c r="A978" s="122" t="n"/>
      <c r="B978" s="107" t="n"/>
      <c r="C978" s="105" t="n"/>
      <c r="D978" s="92">
        <f>IF(C978="","",IFERROR(INDEX(Roster!$C$6:$C$65,IFERROR(MATCH(C978,Roster!$B$6:$B$65,0),MATCH(C978,Roster!$C$6:$C$65,0))),"not on the Roster"))</f>
        <v/>
      </c>
      <c r="E978" s="106" t="n"/>
      <c r="F978" s="104">
        <f>IF(OR(A978="",C978="",B978=""),"",IFERROR(INDEX(CHOOSE(IF(YEAR(A978)&gt;PlanYear,13,MONTH(A978)),'Jan'!$D$27:$AH$266,'Feb'!$D$27:$AH$266,'Mar'!$D$27:$AH$266,'Apr'!$D$27:$AH$266,'May'!$D$27:$AH$266,'Jun'!$D$27:$AH$266,'Jul'!$D$27:$AH$266,'Aug'!$D$27:$AH$266,'Sep'!$D$27:$AH$266,'Oct'!$D$27:$AH$266,'Nov'!$D$27:$AH$266,'Dec'!$D$27:$AH$266,'Jan (next year)'!$D$27:$AH$266),27+4*(IFERROR(MATCH(C978,Roster!$B$6:$B$65,0),MATCH(C978,Roster!$C$6:$C$65,0))-1)+MATCH(B978,{"AM","PM","NIGHT","WD"},0)-1-27+1,DAY(A978))&amp;"",""))</f>
        <v/>
      </c>
      <c r="G978" s="123">
        <f>IF(OR(A978="",C978="",B978="",E978=""),"",IFERROR(A978&amp;"|"&amp;(27+4*(IFERROR(MATCH(C978,Roster!$B$6:$B$65,0),MATCH(C978,Roster!$C$6:$C$65,0))-1)+MATCH(B978,{"AM","PM","NIGHT","WD"},0)-1),""))</f>
        <v/>
      </c>
    </row>
    <row r="979">
      <c r="A979" s="122" t="n"/>
      <c r="B979" s="107" t="n"/>
      <c r="C979" s="105" t="n"/>
      <c r="D979" s="92">
        <f>IF(C979="","",IFERROR(INDEX(Roster!$C$6:$C$65,IFERROR(MATCH(C979,Roster!$B$6:$B$65,0),MATCH(C979,Roster!$C$6:$C$65,0))),"not on the Roster"))</f>
        <v/>
      </c>
      <c r="E979" s="106" t="n"/>
      <c r="F979" s="104">
        <f>IF(OR(A979="",C979="",B979=""),"",IFERROR(INDEX(CHOOSE(IF(YEAR(A979)&gt;PlanYear,13,MONTH(A979)),'Jan'!$D$27:$AH$266,'Feb'!$D$27:$AH$266,'Mar'!$D$27:$AH$266,'Apr'!$D$27:$AH$266,'May'!$D$27:$AH$266,'Jun'!$D$27:$AH$266,'Jul'!$D$27:$AH$266,'Aug'!$D$27:$AH$266,'Sep'!$D$27:$AH$266,'Oct'!$D$27:$AH$266,'Nov'!$D$27:$AH$266,'Dec'!$D$27:$AH$266,'Jan (next year)'!$D$27:$AH$266),27+4*(IFERROR(MATCH(C979,Roster!$B$6:$B$65,0),MATCH(C979,Roster!$C$6:$C$65,0))-1)+MATCH(B979,{"AM","PM","NIGHT","WD"},0)-1-27+1,DAY(A979))&amp;"",""))</f>
        <v/>
      </c>
      <c r="G979" s="123">
        <f>IF(OR(A979="",C979="",B979="",E979=""),"",IFERROR(A979&amp;"|"&amp;(27+4*(IFERROR(MATCH(C979,Roster!$B$6:$B$65,0),MATCH(C979,Roster!$C$6:$C$65,0))-1)+MATCH(B979,{"AM","PM","NIGHT","WD"},0)-1),""))</f>
        <v/>
      </c>
    </row>
    <row r="980">
      <c r="A980" s="122" t="n"/>
      <c r="B980" s="107" t="n"/>
      <c r="C980" s="105" t="n"/>
      <c r="D980" s="92">
        <f>IF(C980="","",IFERROR(INDEX(Roster!$C$6:$C$65,IFERROR(MATCH(C980,Roster!$B$6:$B$65,0),MATCH(C980,Roster!$C$6:$C$65,0))),"not on the Roster"))</f>
        <v/>
      </c>
      <c r="E980" s="106" t="n"/>
      <c r="F980" s="104">
        <f>IF(OR(A980="",C980="",B980=""),"",IFERROR(INDEX(CHOOSE(IF(YEAR(A980)&gt;PlanYear,13,MONTH(A980)),'Jan'!$D$27:$AH$266,'Feb'!$D$27:$AH$266,'Mar'!$D$27:$AH$266,'Apr'!$D$27:$AH$266,'May'!$D$27:$AH$266,'Jun'!$D$27:$AH$266,'Jul'!$D$27:$AH$266,'Aug'!$D$27:$AH$266,'Sep'!$D$27:$AH$266,'Oct'!$D$27:$AH$266,'Nov'!$D$27:$AH$266,'Dec'!$D$27:$AH$266,'Jan (next year)'!$D$27:$AH$266),27+4*(IFERROR(MATCH(C980,Roster!$B$6:$B$65,0),MATCH(C980,Roster!$C$6:$C$65,0))-1)+MATCH(B980,{"AM","PM","NIGHT","WD"},0)-1-27+1,DAY(A980))&amp;"",""))</f>
        <v/>
      </c>
      <c r="G980" s="123">
        <f>IF(OR(A980="",C980="",B980="",E980=""),"",IFERROR(A980&amp;"|"&amp;(27+4*(IFERROR(MATCH(C980,Roster!$B$6:$B$65,0),MATCH(C980,Roster!$C$6:$C$65,0))-1)+MATCH(B980,{"AM","PM","NIGHT","WD"},0)-1),""))</f>
        <v/>
      </c>
    </row>
    <row r="981">
      <c r="A981" s="122" t="n"/>
      <c r="B981" s="107" t="n"/>
      <c r="C981" s="105" t="n"/>
      <c r="D981" s="92">
        <f>IF(C981="","",IFERROR(INDEX(Roster!$C$6:$C$65,IFERROR(MATCH(C981,Roster!$B$6:$B$65,0),MATCH(C981,Roster!$C$6:$C$65,0))),"not on the Roster"))</f>
        <v/>
      </c>
      <c r="E981" s="106" t="n"/>
      <c r="F981" s="104">
        <f>IF(OR(A981="",C981="",B981=""),"",IFERROR(INDEX(CHOOSE(IF(YEAR(A981)&gt;PlanYear,13,MONTH(A981)),'Jan'!$D$27:$AH$266,'Feb'!$D$27:$AH$266,'Mar'!$D$27:$AH$266,'Apr'!$D$27:$AH$266,'May'!$D$27:$AH$266,'Jun'!$D$27:$AH$266,'Jul'!$D$27:$AH$266,'Aug'!$D$27:$AH$266,'Sep'!$D$27:$AH$266,'Oct'!$D$27:$AH$266,'Nov'!$D$27:$AH$266,'Dec'!$D$27:$AH$266,'Jan (next year)'!$D$27:$AH$266),27+4*(IFERROR(MATCH(C981,Roster!$B$6:$B$65,0),MATCH(C981,Roster!$C$6:$C$65,0))-1)+MATCH(B981,{"AM","PM","NIGHT","WD"},0)-1-27+1,DAY(A981))&amp;"",""))</f>
        <v/>
      </c>
      <c r="G981" s="123">
        <f>IF(OR(A981="",C981="",B981="",E981=""),"",IFERROR(A981&amp;"|"&amp;(27+4*(IFERROR(MATCH(C981,Roster!$B$6:$B$65,0),MATCH(C981,Roster!$C$6:$C$65,0))-1)+MATCH(B981,{"AM","PM","NIGHT","WD"},0)-1),""))</f>
        <v/>
      </c>
    </row>
    <row r="982">
      <c r="A982" s="122" t="n"/>
      <c r="B982" s="107" t="n"/>
      <c r="C982" s="105" t="n"/>
      <c r="D982" s="92">
        <f>IF(C982="","",IFERROR(INDEX(Roster!$C$6:$C$65,IFERROR(MATCH(C982,Roster!$B$6:$B$65,0),MATCH(C982,Roster!$C$6:$C$65,0))),"not on the Roster"))</f>
        <v/>
      </c>
      <c r="E982" s="106" t="n"/>
      <c r="F982" s="104">
        <f>IF(OR(A982="",C982="",B982=""),"",IFERROR(INDEX(CHOOSE(IF(YEAR(A982)&gt;PlanYear,13,MONTH(A982)),'Jan'!$D$27:$AH$266,'Feb'!$D$27:$AH$266,'Mar'!$D$27:$AH$266,'Apr'!$D$27:$AH$266,'May'!$D$27:$AH$266,'Jun'!$D$27:$AH$266,'Jul'!$D$27:$AH$266,'Aug'!$D$27:$AH$266,'Sep'!$D$27:$AH$266,'Oct'!$D$27:$AH$266,'Nov'!$D$27:$AH$266,'Dec'!$D$27:$AH$266,'Jan (next year)'!$D$27:$AH$266),27+4*(IFERROR(MATCH(C982,Roster!$B$6:$B$65,0),MATCH(C982,Roster!$C$6:$C$65,0))-1)+MATCH(B982,{"AM","PM","NIGHT","WD"},0)-1-27+1,DAY(A982))&amp;"",""))</f>
        <v/>
      </c>
      <c r="G982" s="123">
        <f>IF(OR(A982="",C982="",B982="",E982=""),"",IFERROR(A982&amp;"|"&amp;(27+4*(IFERROR(MATCH(C982,Roster!$B$6:$B$65,0),MATCH(C982,Roster!$C$6:$C$65,0))-1)+MATCH(B982,{"AM","PM","NIGHT","WD"},0)-1),""))</f>
        <v/>
      </c>
    </row>
    <row r="983">
      <c r="A983" s="122" t="n"/>
      <c r="B983" s="107" t="n"/>
      <c r="C983" s="105" t="n"/>
      <c r="D983" s="92">
        <f>IF(C983="","",IFERROR(INDEX(Roster!$C$6:$C$65,IFERROR(MATCH(C983,Roster!$B$6:$B$65,0),MATCH(C983,Roster!$C$6:$C$65,0))),"not on the Roster"))</f>
        <v/>
      </c>
      <c r="E983" s="106" t="n"/>
      <c r="F983" s="104">
        <f>IF(OR(A983="",C983="",B983=""),"",IFERROR(INDEX(CHOOSE(IF(YEAR(A983)&gt;PlanYear,13,MONTH(A983)),'Jan'!$D$27:$AH$266,'Feb'!$D$27:$AH$266,'Mar'!$D$27:$AH$266,'Apr'!$D$27:$AH$266,'May'!$D$27:$AH$266,'Jun'!$D$27:$AH$266,'Jul'!$D$27:$AH$266,'Aug'!$D$27:$AH$266,'Sep'!$D$27:$AH$266,'Oct'!$D$27:$AH$266,'Nov'!$D$27:$AH$266,'Dec'!$D$27:$AH$266,'Jan (next year)'!$D$27:$AH$266),27+4*(IFERROR(MATCH(C983,Roster!$B$6:$B$65,0),MATCH(C983,Roster!$C$6:$C$65,0))-1)+MATCH(B983,{"AM","PM","NIGHT","WD"},0)-1-27+1,DAY(A983))&amp;"",""))</f>
        <v/>
      </c>
      <c r="G983" s="123">
        <f>IF(OR(A983="",C983="",B983="",E983=""),"",IFERROR(A983&amp;"|"&amp;(27+4*(IFERROR(MATCH(C983,Roster!$B$6:$B$65,0),MATCH(C983,Roster!$C$6:$C$65,0))-1)+MATCH(B983,{"AM","PM","NIGHT","WD"},0)-1),""))</f>
        <v/>
      </c>
    </row>
    <row r="984">
      <c r="A984" s="122" t="n"/>
      <c r="B984" s="107" t="n"/>
      <c r="C984" s="105" t="n"/>
      <c r="D984" s="92">
        <f>IF(C984="","",IFERROR(INDEX(Roster!$C$6:$C$65,IFERROR(MATCH(C984,Roster!$B$6:$B$65,0),MATCH(C984,Roster!$C$6:$C$65,0))),"not on the Roster"))</f>
        <v/>
      </c>
      <c r="E984" s="106" t="n"/>
      <c r="F984" s="104">
        <f>IF(OR(A984="",C984="",B984=""),"",IFERROR(INDEX(CHOOSE(IF(YEAR(A984)&gt;PlanYear,13,MONTH(A984)),'Jan'!$D$27:$AH$266,'Feb'!$D$27:$AH$266,'Mar'!$D$27:$AH$266,'Apr'!$D$27:$AH$266,'May'!$D$27:$AH$266,'Jun'!$D$27:$AH$266,'Jul'!$D$27:$AH$266,'Aug'!$D$27:$AH$266,'Sep'!$D$27:$AH$266,'Oct'!$D$27:$AH$266,'Nov'!$D$27:$AH$266,'Dec'!$D$27:$AH$266,'Jan (next year)'!$D$27:$AH$266),27+4*(IFERROR(MATCH(C984,Roster!$B$6:$B$65,0),MATCH(C984,Roster!$C$6:$C$65,0))-1)+MATCH(B984,{"AM","PM","NIGHT","WD"},0)-1-27+1,DAY(A984))&amp;"",""))</f>
        <v/>
      </c>
      <c r="G984" s="123">
        <f>IF(OR(A984="",C984="",B984="",E984=""),"",IFERROR(A984&amp;"|"&amp;(27+4*(IFERROR(MATCH(C984,Roster!$B$6:$B$65,0),MATCH(C984,Roster!$C$6:$C$65,0))-1)+MATCH(B984,{"AM","PM","NIGHT","WD"},0)-1),""))</f>
        <v/>
      </c>
    </row>
    <row r="985">
      <c r="A985" s="122" t="n"/>
      <c r="B985" s="107" t="n"/>
      <c r="C985" s="105" t="n"/>
      <c r="D985" s="92">
        <f>IF(C985="","",IFERROR(INDEX(Roster!$C$6:$C$65,IFERROR(MATCH(C985,Roster!$B$6:$B$65,0),MATCH(C985,Roster!$C$6:$C$65,0))),"not on the Roster"))</f>
        <v/>
      </c>
      <c r="E985" s="106" t="n"/>
      <c r="F985" s="104">
        <f>IF(OR(A985="",C985="",B985=""),"",IFERROR(INDEX(CHOOSE(IF(YEAR(A985)&gt;PlanYear,13,MONTH(A985)),'Jan'!$D$27:$AH$266,'Feb'!$D$27:$AH$266,'Mar'!$D$27:$AH$266,'Apr'!$D$27:$AH$266,'May'!$D$27:$AH$266,'Jun'!$D$27:$AH$266,'Jul'!$D$27:$AH$266,'Aug'!$D$27:$AH$266,'Sep'!$D$27:$AH$266,'Oct'!$D$27:$AH$266,'Nov'!$D$27:$AH$266,'Dec'!$D$27:$AH$266,'Jan (next year)'!$D$27:$AH$266),27+4*(IFERROR(MATCH(C985,Roster!$B$6:$B$65,0),MATCH(C985,Roster!$C$6:$C$65,0))-1)+MATCH(B985,{"AM","PM","NIGHT","WD"},0)-1-27+1,DAY(A985))&amp;"",""))</f>
        <v/>
      </c>
      <c r="G985" s="123">
        <f>IF(OR(A985="",C985="",B985="",E985=""),"",IFERROR(A985&amp;"|"&amp;(27+4*(IFERROR(MATCH(C985,Roster!$B$6:$B$65,0),MATCH(C985,Roster!$C$6:$C$65,0))-1)+MATCH(B985,{"AM","PM","NIGHT","WD"},0)-1),""))</f>
        <v/>
      </c>
    </row>
    <row r="986">
      <c r="A986" s="122" t="n"/>
      <c r="B986" s="107" t="n"/>
      <c r="C986" s="105" t="n"/>
      <c r="D986" s="92">
        <f>IF(C986="","",IFERROR(INDEX(Roster!$C$6:$C$65,IFERROR(MATCH(C986,Roster!$B$6:$B$65,0),MATCH(C986,Roster!$C$6:$C$65,0))),"not on the Roster"))</f>
        <v/>
      </c>
      <c r="E986" s="106" t="n"/>
      <c r="F986" s="104">
        <f>IF(OR(A986="",C986="",B986=""),"",IFERROR(INDEX(CHOOSE(IF(YEAR(A986)&gt;PlanYear,13,MONTH(A986)),'Jan'!$D$27:$AH$266,'Feb'!$D$27:$AH$266,'Mar'!$D$27:$AH$266,'Apr'!$D$27:$AH$266,'May'!$D$27:$AH$266,'Jun'!$D$27:$AH$266,'Jul'!$D$27:$AH$266,'Aug'!$D$27:$AH$266,'Sep'!$D$27:$AH$266,'Oct'!$D$27:$AH$266,'Nov'!$D$27:$AH$266,'Dec'!$D$27:$AH$266,'Jan (next year)'!$D$27:$AH$266),27+4*(IFERROR(MATCH(C986,Roster!$B$6:$B$65,0),MATCH(C986,Roster!$C$6:$C$65,0))-1)+MATCH(B986,{"AM","PM","NIGHT","WD"},0)-1-27+1,DAY(A986))&amp;"",""))</f>
        <v/>
      </c>
      <c r="G986" s="123">
        <f>IF(OR(A986="",C986="",B986="",E986=""),"",IFERROR(A986&amp;"|"&amp;(27+4*(IFERROR(MATCH(C986,Roster!$B$6:$B$65,0),MATCH(C986,Roster!$C$6:$C$65,0))-1)+MATCH(B986,{"AM","PM","NIGHT","WD"},0)-1),""))</f>
        <v/>
      </c>
    </row>
    <row r="987">
      <c r="A987" s="122" t="n"/>
      <c r="B987" s="107" t="n"/>
      <c r="C987" s="105" t="n"/>
      <c r="D987" s="92">
        <f>IF(C987="","",IFERROR(INDEX(Roster!$C$6:$C$65,IFERROR(MATCH(C987,Roster!$B$6:$B$65,0),MATCH(C987,Roster!$C$6:$C$65,0))),"not on the Roster"))</f>
        <v/>
      </c>
      <c r="E987" s="106" t="n"/>
      <c r="F987" s="104">
        <f>IF(OR(A987="",C987="",B987=""),"",IFERROR(INDEX(CHOOSE(IF(YEAR(A987)&gt;PlanYear,13,MONTH(A987)),'Jan'!$D$27:$AH$266,'Feb'!$D$27:$AH$266,'Mar'!$D$27:$AH$266,'Apr'!$D$27:$AH$266,'May'!$D$27:$AH$266,'Jun'!$D$27:$AH$266,'Jul'!$D$27:$AH$266,'Aug'!$D$27:$AH$266,'Sep'!$D$27:$AH$266,'Oct'!$D$27:$AH$266,'Nov'!$D$27:$AH$266,'Dec'!$D$27:$AH$266,'Jan (next year)'!$D$27:$AH$266),27+4*(IFERROR(MATCH(C987,Roster!$B$6:$B$65,0),MATCH(C987,Roster!$C$6:$C$65,0))-1)+MATCH(B987,{"AM","PM","NIGHT","WD"},0)-1-27+1,DAY(A987))&amp;"",""))</f>
        <v/>
      </c>
      <c r="G987" s="123">
        <f>IF(OR(A987="",C987="",B987="",E987=""),"",IFERROR(A987&amp;"|"&amp;(27+4*(IFERROR(MATCH(C987,Roster!$B$6:$B$65,0),MATCH(C987,Roster!$C$6:$C$65,0))-1)+MATCH(B987,{"AM","PM","NIGHT","WD"},0)-1),""))</f>
        <v/>
      </c>
    </row>
    <row r="988">
      <c r="A988" s="122" t="n"/>
      <c r="B988" s="107" t="n"/>
      <c r="C988" s="105" t="n"/>
      <c r="D988" s="92">
        <f>IF(C988="","",IFERROR(INDEX(Roster!$C$6:$C$65,IFERROR(MATCH(C988,Roster!$B$6:$B$65,0),MATCH(C988,Roster!$C$6:$C$65,0))),"not on the Roster"))</f>
        <v/>
      </c>
      <c r="E988" s="106" t="n"/>
      <c r="F988" s="104">
        <f>IF(OR(A988="",C988="",B988=""),"",IFERROR(INDEX(CHOOSE(IF(YEAR(A988)&gt;PlanYear,13,MONTH(A988)),'Jan'!$D$27:$AH$266,'Feb'!$D$27:$AH$266,'Mar'!$D$27:$AH$266,'Apr'!$D$27:$AH$266,'May'!$D$27:$AH$266,'Jun'!$D$27:$AH$266,'Jul'!$D$27:$AH$266,'Aug'!$D$27:$AH$266,'Sep'!$D$27:$AH$266,'Oct'!$D$27:$AH$266,'Nov'!$D$27:$AH$266,'Dec'!$D$27:$AH$266,'Jan (next year)'!$D$27:$AH$266),27+4*(IFERROR(MATCH(C988,Roster!$B$6:$B$65,0),MATCH(C988,Roster!$C$6:$C$65,0))-1)+MATCH(B988,{"AM","PM","NIGHT","WD"},0)-1-27+1,DAY(A988))&amp;"",""))</f>
        <v/>
      </c>
      <c r="G988" s="123">
        <f>IF(OR(A988="",C988="",B988="",E988=""),"",IFERROR(A988&amp;"|"&amp;(27+4*(IFERROR(MATCH(C988,Roster!$B$6:$B$65,0),MATCH(C988,Roster!$C$6:$C$65,0))-1)+MATCH(B988,{"AM","PM","NIGHT","WD"},0)-1),""))</f>
        <v/>
      </c>
    </row>
    <row r="989">
      <c r="A989" s="122" t="n"/>
      <c r="B989" s="107" t="n"/>
      <c r="C989" s="105" t="n"/>
      <c r="D989" s="92">
        <f>IF(C989="","",IFERROR(INDEX(Roster!$C$6:$C$65,IFERROR(MATCH(C989,Roster!$B$6:$B$65,0),MATCH(C989,Roster!$C$6:$C$65,0))),"not on the Roster"))</f>
        <v/>
      </c>
      <c r="E989" s="106" t="n"/>
      <c r="F989" s="104">
        <f>IF(OR(A989="",C989="",B989=""),"",IFERROR(INDEX(CHOOSE(IF(YEAR(A989)&gt;PlanYear,13,MONTH(A989)),'Jan'!$D$27:$AH$266,'Feb'!$D$27:$AH$266,'Mar'!$D$27:$AH$266,'Apr'!$D$27:$AH$266,'May'!$D$27:$AH$266,'Jun'!$D$27:$AH$266,'Jul'!$D$27:$AH$266,'Aug'!$D$27:$AH$266,'Sep'!$D$27:$AH$266,'Oct'!$D$27:$AH$266,'Nov'!$D$27:$AH$266,'Dec'!$D$27:$AH$266,'Jan (next year)'!$D$27:$AH$266),27+4*(IFERROR(MATCH(C989,Roster!$B$6:$B$65,0),MATCH(C989,Roster!$C$6:$C$65,0))-1)+MATCH(B989,{"AM","PM","NIGHT","WD"},0)-1-27+1,DAY(A989))&amp;"",""))</f>
        <v/>
      </c>
      <c r="G989" s="123">
        <f>IF(OR(A989="",C989="",B989="",E989=""),"",IFERROR(A989&amp;"|"&amp;(27+4*(IFERROR(MATCH(C989,Roster!$B$6:$B$65,0),MATCH(C989,Roster!$C$6:$C$65,0))-1)+MATCH(B989,{"AM","PM","NIGHT","WD"},0)-1),""))</f>
        <v/>
      </c>
    </row>
    <row r="990">
      <c r="A990" s="122" t="n"/>
      <c r="B990" s="107" t="n"/>
      <c r="C990" s="105" t="n"/>
      <c r="D990" s="92">
        <f>IF(C990="","",IFERROR(INDEX(Roster!$C$6:$C$65,IFERROR(MATCH(C990,Roster!$B$6:$B$65,0),MATCH(C990,Roster!$C$6:$C$65,0))),"not on the Roster"))</f>
        <v/>
      </c>
      <c r="E990" s="106" t="n"/>
      <c r="F990" s="104">
        <f>IF(OR(A990="",C990="",B990=""),"",IFERROR(INDEX(CHOOSE(IF(YEAR(A990)&gt;PlanYear,13,MONTH(A990)),'Jan'!$D$27:$AH$266,'Feb'!$D$27:$AH$266,'Mar'!$D$27:$AH$266,'Apr'!$D$27:$AH$266,'May'!$D$27:$AH$266,'Jun'!$D$27:$AH$266,'Jul'!$D$27:$AH$266,'Aug'!$D$27:$AH$266,'Sep'!$D$27:$AH$266,'Oct'!$D$27:$AH$266,'Nov'!$D$27:$AH$266,'Dec'!$D$27:$AH$266,'Jan (next year)'!$D$27:$AH$266),27+4*(IFERROR(MATCH(C990,Roster!$B$6:$B$65,0),MATCH(C990,Roster!$C$6:$C$65,0))-1)+MATCH(B990,{"AM","PM","NIGHT","WD"},0)-1-27+1,DAY(A990))&amp;"",""))</f>
        <v/>
      </c>
      <c r="G990" s="123">
        <f>IF(OR(A990="",C990="",B990="",E990=""),"",IFERROR(A990&amp;"|"&amp;(27+4*(IFERROR(MATCH(C990,Roster!$B$6:$B$65,0),MATCH(C990,Roster!$C$6:$C$65,0))-1)+MATCH(B990,{"AM","PM","NIGHT","WD"},0)-1),""))</f>
        <v/>
      </c>
    </row>
    <row r="991">
      <c r="A991" s="122" t="n"/>
      <c r="B991" s="107" t="n"/>
      <c r="C991" s="105" t="n"/>
      <c r="D991" s="92">
        <f>IF(C991="","",IFERROR(INDEX(Roster!$C$6:$C$65,IFERROR(MATCH(C991,Roster!$B$6:$B$65,0),MATCH(C991,Roster!$C$6:$C$65,0))),"not on the Roster"))</f>
        <v/>
      </c>
      <c r="E991" s="106" t="n"/>
      <c r="F991" s="104">
        <f>IF(OR(A991="",C991="",B991=""),"",IFERROR(INDEX(CHOOSE(IF(YEAR(A991)&gt;PlanYear,13,MONTH(A991)),'Jan'!$D$27:$AH$266,'Feb'!$D$27:$AH$266,'Mar'!$D$27:$AH$266,'Apr'!$D$27:$AH$266,'May'!$D$27:$AH$266,'Jun'!$D$27:$AH$266,'Jul'!$D$27:$AH$266,'Aug'!$D$27:$AH$266,'Sep'!$D$27:$AH$266,'Oct'!$D$27:$AH$266,'Nov'!$D$27:$AH$266,'Dec'!$D$27:$AH$266,'Jan (next year)'!$D$27:$AH$266),27+4*(IFERROR(MATCH(C991,Roster!$B$6:$B$65,0),MATCH(C991,Roster!$C$6:$C$65,0))-1)+MATCH(B991,{"AM","PM","NIGHT","WD"},0)-1-27+1,DAY(A991))&amp;"",""))</f>
        <v/>
      </c>
      <c r="G991" s="123">
        <f>IF(OR(A991="",C991="",B991="",E991=""),"",IFERROR(A991&amp;"|"&amp;(27+4*(IFERROR(MATCH(C991,Roster!$B$6:$B$65,0),MATCH(C991,Roster!$C$6:$C$65,0))-1)+MATCH(B991,{"AM","PM","NIGHT","WD"},0)-1),""))</f>
        <v/>
      </c>
    </row>
    <row r="992">
      <c r="A992" s="122" t="n"/>
      <c r="B992" s="107" t="n"/>
      <c r="C992" s="105" t="n"/>
      <c r="D992" s="92">
        <f>IF(C992="","",IFERROR(INDEX(Roster!$C$6:$C$65,IFERROR(MATCH(C992,Roster!$B$6:$B$65,0),MATCH(C992,Roster!$C$6:$C$65,0))),"not on the Roster"))</f>
        <v/>
      </c>
      <c r="E992" s="106" t="n"/>
      <c r="F992" s="104">
        <f>IF(OR(A992="",C992="",B992=""),"",IFERROR(INDEX(CHOOSE(IF(YEAR(A992)&gt;PlanYear,13,MONTH(A992)),'Jan'!$D$27:$AH$266,'Feb'!$D$27:$AH$266,'Mar'!$D$27:$AH$266,'Apr'!$D$27:$AH$266,'May'!$D$27:$AH$266,'Jun'!$D$27:$AH$266,'Jul'!$D$27:$AH$266,'Aug'!$D$27:$AH$266,'Sep'!$D$27:$AH$266,'Oct'!$D$27:$AH$266,'Nov'!$D$27:$AH$266,'Dec'!$D$27:$AH$266,'Jan (next year)'!$D$27:$AH$266),27+4*(IFERROR(MATCH(C992,Roster!$B$6:$B$65,0),MATCH(C992,Roster!$C$6:$C$65,0))-1)+MATCH(B992,{"AM","PM","NIGHT","WD"},0)-1-27+1,DAY(A992))&amp;"",""))</f>
        <v/>
      </c>
      <c r="G992" s="123">
        <f>IF(OR(A992="",C992="",B992="",E992=""),"",IFERROR(A992&amp;"|"&amp;(27+4*(IFERROR(MATCH(C992,Roster!$B$6:$B$65,0),MATCH(C992,Roster!$C$6:$C$65,0))-1)+MATCH(B992,{"AM","PM","NIGHT","WD"},0)-1),""))</f>
        <v/>
      </c>
    </row>
    <row r="993">
      <c r="A993" s="122" t="n"/>
      <c r="B993" s="107" t="n"/>
      <c r="C993" s="105" t="n"/>
      <c r="D993" s="92">
        <f>IF(C993="","",IFERROR(INDEX(Roster!$C$6:$C$65,IFERROR(MATCH(C993,Roster!$B$6:$B$65,0),MATCH(C993,Roster!$C$6:$C$65,0))),"not on the Roster"))</f>
        <v/>
      </c>
      <c r="E993" s="106" t="n"/>
      <c r="F993" s="104">
        <f>IF(OR(A993="",C993="",B993=""),"",IFERROR(INDEX(CHOOSE(IF(YEAR(A993)&gt;PlanYear,13,MONTH(A993)),'Jan'!$D$27:$AH$266,'Feb'!$D$27:$AH$266,'Mar'!$D$27:$AH$266,'Apr'!$D$27:$AH$266,'May'!$D$27:$AH$266,'Jun'!$D$27:$AH$266,'Jul'!$D$27:$AH$266,'Aug'!$D$27:$AH$266,'Sep'!$D$27:$AH$266,'Oct'!$D$27:$AH$266,'Nov'!$D$27:$AH$266,'Dec'!$D$27:$AH$266,'Jan (next year)'!$D$27:$AH$266),27+4*(IFERROR(MATCH(C993,Roster!$B$6:$B$65,0),MATCH(C993,Roster!$C$6:$C$65,0))-1)+MATCH(B993,{"AM","PM","NIGHT","WD"},0)-1-27+1,DAY(A993))&amp;"",""))</f>
        <v/>
      </c>
      <c r="G993" s="123">
        <f>IF(OR(A993="",C993="",B993="",E993=""),"",IFERROR(A993&amp;"|"&amp;(27+4*(IFERROR(MATCH(C993,Roster!$B$6:$B$65,0),MATCH(C993,Roster!$C$6:$C$65,0))-1)+MATCH(B993,{"AM","PM","NIGHT","WD"},0)-1),""))</f>
        <v/>
      </c>
    </row>
    <row r="994">
      <c r="A994" s="122" t="n"/>
      <c r="B994" s="107" t="n"/>
      <c r="C994" s="105" t="n"/>
      <c r="D994" s="92">
        <f>IF(C994="","",IFERROR(INDEX(Roster!$C$6:$C$65,IFERROR(MATCH(C994,Roster!$B$6:$B$65,0),MATCH(C994,Roster!$C$6:$C$65,0))),"not on the Roster"))</f>
        <v/>
      </c>
      <c r="E994" s="106" t="n"/>
      <c r="F994" s="104">
        <f>IF(OR(A994="",C994="",B994=""),"",IFERROR(INDEX(CHOOSE(IF(YEAR(A994)&gt;PlanYear,13,MONTH(A994)),'Jan'!$D$27:$AH$266,'Feb'!$D$27:$AH$266,'Mar'!$D$27:$AH$266,'Apr'!$D$27:$AH$266,'May'!$D$27:$AH$266,'Jun'!$D$27:$AH$266,'Jul'!$D$27:$AH$266,'Aug'!$D$27:$AH$266,'Sep'!$D$27:$AH$266,'Oct'!$D$27:$AH$266,'Nov'!$D$27:$AH$266,'Dec'!$D$27:$AH$266,'Jan (next year)'!$D$27:$AH$266),27+4*(IFERROR(MATCH(C994,Roster!$B$6:$B$65,0),MATCH(C994,Roster!$C$6:$C$65,0))-1)+MATCH(B994,{"AM","PM","NIGHT","WD"},0)-1-27+1,DAY(A994))&amp;"",""))</f>
        <v/>
      </c>
      <c r="G994" s="123">
        <f>IF(OR(A994="",C994="",B994="",E994=""),"",IFERROR(A994&amp;"|"&amp;(27+4*(IFERROR(MATCH(C994,Roster!$B$6:$B$65,0),MATCH(C994,Roster!$C$6:$C$65,0))-1)+MATCH(B994,{"AM","PM","NIGHT","WD"},0)-1),""))</f>
        <v/>
      </c>
    </row>
    <row r="995">
      <c r="A995" s="122" t="n"/>
      <c r="B995" s="107" t="n"/>
      <c r="C995" s="105" t="n"/>
      <c r="D995" s="92">
        <f>IF(C995="","",IFERROR(INDEX(Roster!$C$6:$C$65,IFERROR(MATCH(C995,Roster!$B$6:$B$65,0),MATCH(C995,Roster!$C$6:$C$65,0))),"not on the Roster"))</f>
        <v/>
      </c>
      <c r="E995" s="106" t="n"/>
      <c r="F995" s="104">
        <f>IF(OR(A995="",C995="",B995=""),"",IFERROR(INDEX(CHOOSE(IF(YEAR(A995)&gt;PlanYear,13,MONTH(A995)),'Jan'!$D$27:$AH$266,'Feb'!$D$27:$AH$266,'Mar'!$D$27:$AH$266,'Apr'!$D$27:$AH$266,'May'!$D$27:$AH$266,'Jun'!$D$27:$AH$266,'Jul'!$D$27:$AH$266,'Aug'!$D$27:$AH$266,'Sep'!$D$27:$AH$266,'Oct'!$D$27:$AH$266,'Nov'!$D$27:$AH$266,'Dec'!$D$27:$AH$266,'Jan (next year)'!$D$27:$AH$266),27+4*(IFERROR(MATCH(C995,Roster!$B$6:$B$65,0),MATCH(C995,Roster!$C$6:$C$65,0))-1)+MATCH(B995,{"AM","PM","NIGHT","WD"},0)-1-27+1,DAY(A995))&amp;"",""))</f>
        <v/>
      </c>
      <c r="G995" s="123">
        <f>IF(OR(A995="",C995="",B995="",E995=""),"",IFERROR(A995&amp;"|"&amp;(27+4*(IFERROR(MATCH(C995,Roster!$B$6:$B$65,0),MATCH(C995,Roster!$C$6:$C$65,0))-1)+MATCH(B995,{"AM","PM","NIGHT","WD"},0)-1),""))</f>
        <v/>
      </c>
    </row>
    <row r="996">
      <c r="A996" s="122" t="n"/>
      <c r="B996" s="107" t="n"/>
      <c r="C996" s="105" t="n"/>
      <c r="D996" s="92">
        <f>IF(C996="","",IFERROR(INDEX(Roster!$C$6:$C$65,IFERROR(MATCH(C996,Roster!$B$6:$B$65,0),MATCH(C996,Roster!$C$6:$C$65,0))),"not on the Roster"))</f>
        <v/>
      </c>
      <c r="E996" s="106" t="n"/>
      <c r="F996" s="104">
        <f>IF(OR(A996="",C996="",B996=""),"",IFERROR(INDEX(CHOOSE(IF(YEAR(A996)&gt;PlanYear,13,MONTH(A996)),'Jan'!$D$27:$AH$266,'Feb'!$D$27:$AH$266,'Mar'!$D$27:$AH$266,'Apr'!$D$27:$AH$266,'May'!$D$27:$AH$266,'Jun'!$D$27:$AH$266,'Jul'!$D$27:$AH$266,'Aug'!$D$27:$AH$266,'Sep'!$D$27:$AH$266,'Oct'!$D$27:$AH$266,'Nov'!$D$27:$AH$266,'Dec'!$D$27:$AH$266,'Jan (next year)'!$D$27:$AH$266),27+4*(IFERROR(MATCH(C996,Roster!$B$6:$B$65,0),MATCH(C996,Roster!$C$6:$C$65,0))-1)+MATCH(B996,{"AM","PM","NIGHT","WD"},0)-1-27+1,DAY(A996))&amp;"",""))</f>
        <v/>
      </c>
      <c r="G996" s="123">
        <f>IF(OR(A996="",C996="",B996="",E996=""),"",IFERROR(A996&amp;"|"&amp;(27+4*(IFERROR(MATCH(C996,Roster!$B$6:$B$65,0),MATCH(C996,Roster!$C$6:$C$65,0))-1)+MATCH(B996,{"AM","PM","NIGHT","WD"},0)-1),""))</f>
        <v/>
      </c>
    </row>
    <row r="997">
      <c r="A997" s="122" t="n"/>
      <c r="B997" s="107" t="n"/>
      <c r="C997" s="105" t="n"/>
      <c r="D997" s="92">
        <f>IF(C997="","",IFERROR(INDEX(Roster!$C$6:$C$65,IFERROR(MATCH(C997,Roster!$B$6:$B$65,0),MATCH(C997,Roster!$C$6:$C$65,0))),"not on the Roster"))</f>
        <v/>
      </c>
      <c r="E997" s="106" t="n"/>
      <c r="F997" s="104">
        <f>IF(OR(A997="",C997="",B997=""),"",IFERROR(INDEX(CHOOSE(IF(YEAR(A997)&gt;PlanYear,13,MONTH(A997)),'Jan'!$D$27:$AH$266,'Feb'!$D$27:$AH$266,'Mar'!$D$27:$AH$266,'Apr'!$D$27:$AH$266,'May'!$D$27:$AH$266,'Jun'!$D$27:$AH$266,'Jul'!$D$27:$AH$266,'Aug'!$D$27:$AH$266,'Sep'!$D$27:$AH$266,'Oct'!$D$27:$AH$266,'Nov'!$D$27:$AH$266,'Dec'!$D$27:$AH$266,'Jan (next year)'!$D$27:$AH$266),27+4*(IFERROR(MATCH(C997,Roster!$B$6:$B$65,0),MATCH(C997,Roster!$C$6:$C$65,0))-1)+MATCH(B997,{"AM","PM","NIGHT","WD"},0)-1-27+1,DAY(A997))&amp;"",""))</f>
        <v/>
      </c>
      <c r="G997" s="123">
        <f>IF(OR(A997="",C997="",B997="",E997=""),"",IFERROR(A997&amp;"|"&amp;(27+4*(IFERROR(MATCH(C997,Roster!$B$6:$B$65,0),MATCH(C997,Roster!$C$6:$C$65,0))-1)+MATCH(B997,{"AM","PM","NIGHT","WD"},0)-1),""))</f>
        <v/>
      </c>
    </row>
    <row r="998">
      <c r="A998" s="122" t="n"/>
      <c r="B998" s="107" t="n"/>
      <c r="C998" s="105" t="n"/>
      <c r="D998" s="92">
        <f>IF(C998="","",IFERROR(INDEX(Roster!$C$6:$C$65,IFERROR(MATCH(C998,Roster!$B$6:$B$65,0),MATCH(C998,Roster!$C$6:$C$65,0))),"not on the Roster"))</f>
        <v/>
      </c>
      <c r="E998" s="106" t="n"/>
      <c r="F998" s="104">
        <f>IF(OR(A998="",C998="",B998=""),"",IFERROR(INDEX(CHOOSE(IF(YEAR(A998)&gt;PlanYear,13,MONTH(A998)),'Jan'!$D$27:$AH$266,'Feb'!$D$27:$AH$266,'Mar'!$D$27:$AH$266,'Apr'!$D$27:$AH$266,'May'!$D$27:$AH$266,'Jun'!$D$27:$AH$266,'Jul'!$D$27:$AH$266,'Aug'!$D$27:$AH$266,'Sep'!$D$27:$AH$266,'Oct'!$D$27:$AH$266,'Nov'!$D$27:$AH$266,'Dec'!$D$27:$AH$266,'Jan (next year)'!$D$27:$AH$266),27+4*(IFERROR(MATCH(C998,Roster!$B$6:$B$65,0),MATCH(C998,Roster!$C$6:$C$65,0))-1)+MATCH(B998,{"AM","PM","NIGHT","WD"},0)-1-27+1,DAY(A998))&amp;"",""))</f>
        <v/>
      </c>
      <c r="G998" s="123">
        <f>IF(OR(A998="",C998="",B998="",E998=""),"",IFERROR(A998&amp;"|"&amp;(27+4*(IFERROR(MATCH(C998,Roster!$B$6:$B$65,0),MATCH(C998,Roster!$C$6:$C$65,0))-1)+MATCH(B998,{"AM","PM","NIGHT","WD"},0)-1),""))</f>
        <v/>
      </c>
    </row>
    <row r="999">
      <c r="A999" s="122" t="n"/>
      <c r="B999" s="107" t="n"/>
      <c r="C999" s="105" t="n"/>
      <c r="D999" s="92">
        <f>IF(C999="","",IFERROR(INDEX(Roster!$C$6:$C$65,IFERROR(MATCH(C999,Roster!$B$6:$B$65,0),MATCH(C999,Roster!$C$6:$C$65,0))),"not on the Roster"))</f>
        <v/>
      </c>
      <c r="E999" s="106" t="n"/>
      <c r="F999" s="104">
        <f>IF(OR(A999="",C999="",B999=""),"",IFERROR(INDEX(CHOOSE(IF(YEAR(A999)&gt;PlanYear,13,MONTH(A999)),'Jan'!$D$27:$AH$266,'Feb'!$D$27:$AH$266,'Mar'!$D$27:$AH$266,'Apr'!$D$27:$AH$266,'May'!$D$27:$AH$266,'Jun'!$D$27:$AH$266,'Jul'!$D$27:$AH$266,'Aug'!$D$27:$AH$266,'Sep'!$D$27:$AH$266,'Oct'!$D$27:$AH$266,'Nov'!$D$27:$AH$266,'Dec'!$D$27:$AH$266,'Jan (next year)'!$D$27:$AH$266),27+4*(IFERROR(MATCH(C999,Roster!$B$6:$B$65,0),MATCH(C999,Roster!$C$6:$C$65,0))-1)+MATCH(B999,{"AM","PM","NIGHT","WD"},0)-1-27+1,DAY(A999))&amp;"",""))</f>
        <v/>
      </c>
      <c r="G999" s="123">
        <f>IF(OR(A999="",C999="",B999="",E999=""),"",IFERROR(A999&amp;"|"&amp;(27+4*(IFERROR(MATCH(C999,Roster!$B$6:$B$65,0),MATCH(C999,Roster!$C$6:$C$65,0))-1)+MATCH(B999,{"AM","PM","NIGHT","WD"},0)-1),""))</f>
        <v/>
      </c>
    </row>
    <row r="1000">
      <c r="A1000" s="122" t="n"/>
      <c r="B1000" s="107" t="n"/>
      <c r="C1000" s="105" t="n"/>
      <c r="D1000" s="92">
        <f>IF(C1000="","",IFERROR(INDEX(Roster!$C$6:$C$65,IFERROR(MATCH(C1000,Roster!$B$6:$B$65,0),MATCH(C1000,Roster!$C$6:$C$65,0))),"not on the Roster"))</f>
        <v/>
      </c>
      <c r="E1000" s="106" t="n"/>
      <c r="F1000" s="104">
        <f>IF(OR(A1000="",C1000="",B1000=""),"",IFERROR(INDEX(CHOOSE(IF(YEAR(A1000)&gt;PlanYear,13,MONTH(A1000)),'Jan'!$D$27:$AH$266,'Feb'!$D$27:$AH$266,'Mar'!$D$27:$AH$266,'Apr'!$D$27:$AH$266,'May'!$D$27:$AH$266,'Jun'!$D$27:$AH$266,'Jul'!$D$27:$AH$266,'Aug'!$D$27:$AH$266,'Sep'!$D$27:$AH$266,'Oct'!$D$27:$AH$266,'Nov'!$D$27:$AH$266,'Dec'!$D$27:$AH$266,'Jan (next year)'!$D$27:$AH$266),27+4*(IFERROR(MATCH(C1000,Roster!$B$6:$B$65,0),MATCH(C1000,Roster!$C$6:$C$65,0))-1)+MATCH(B1000,{"AM","PM","NIGHT","WD"},0)-1-27+1,DAY(A1000))&amp;"",""))</f>
        <v/>
      </c>
      <c r="G1000" s="123">
        <f>IF(OR(A1000="",C1000="",B1000="",E1000=""),"",IFERROR(A1000&amp;"|"&amp;(27+4*(IFERROR(MATCH(C1000,Roster!$B$6:$B$65,0),MATCH(C1000,Roster!$C$6:$C$65,0))-1)+MATCH(B1000,{"AM","PM","NIGHT","WD"},0)-1),""))</f>
        <v/>
      </c>
    </row>
    <row r="1001">
      <c r="A1001" s="122" t="n"/>
      <c r="B1001" s="107" t="n"/>
      <c r="C1001" s="105" t="n"/>
      <c r="D1001" s="92">
        <f>IF(C1001="","",IFERROR(INDEX(Roster!$C$6:$C$65,IFERROR(MATCH(C1001,Roster!$B$6:$B$65,0),MATCH(C1001,Roster!$C$6:$C$65,0))),"not on the Roster"))</f>
        <v/>
      </c>
      <c r="E1001" s="106" t="n"/>
      <c r="F1001" s="104">
        <f>IF(OR(A1001="",C1001="",B1001=""),"",IFERROR(INDEX(CHOOSE(IF(YEAR(A1001)&gt;PlanYear,13,MONTH(A1001)),'Jan'!$D$27:$AH$266,'Feb'!$D$27:$AH$266,'Mar'!$D$27:$AH$266,'Apr'!$D$27:$AH$266,'May'!$D$27:$AH$266,'Jun'!$D$27:$AH$266,'Jul'!$D$27:$AH$266,'Aug'!$D$27:$AH$266,'Sep'!$D$27:$AH$266,'Oct'!$D$27:$AH$266,'Nov'!$D$27:$AH$266,'Dec'!$D$27:$AH$266,'Jan (next year)'!$D$27:$AH$266),27+4*(IFERROR(MATCH(C1001,Roster!$B$6:$B$65,0),MATCH(C1001,Roster!$C$6:$C$65,0))-1)+MATCH(B1001,{"AM","PM","NIGHT","WD"},0)-1-27+1,DAY(A1001))&amp;"",""))</f>
        <v/>
      </c>
      <c r="G1001" s="123">
        <f>IF(OR(A1001="",C1001="",B1001="",E1001=""),"",IFERROR(A1001&amp;"|"&amp;(27+4*(IFERROR(MATCH(C1001,Roster!$B$6:$B$65,0),MATCH(C1001,Roster!$C$6:$C$65,0))-1)+MATCH(B1001,{"AM","PM","NIGHT","WD"},0)-1),""))</f>
        <v/>
      </c>
    </row>
    <row r="1002">
      <c r="A1002" s="122" t="n"/>
      <c r="B1002" s="107" t="n"/>
      <c r="C1002" s="105" t="n"/>
      <c r="D1002" s="92">
        <f>IF(C1002="","",IFERROR(INDEX(Roster!$C$6:$C$65,IFERROR(MATCH(C1002,Roster!$B$6:$B$65,0),MATCH(C1002,Roster!$C$6:$C$65,0))),"not on the Roster"))</f>
        <v/>
      </c>
      <c r="E1002" s="106" t="n"/>
      <c r="F1002" s="104">
        <f>IF(OR(A1002="",C1002="",B1002=""),"",IFERROR(INDEX(CHOOSE(IF(YEAR(A1002)&gt;PlanYear,13,MONTH(A1002)),'Jan'!$D$27:$AH$266,'Feb'!$D$27:$AH$266,'Mar'!$D$27:$AH$266,'Apr'!$D$27:$AH$266,'May'!$D$27:$AH$266,'Jun'!$D$27:$AH$266,'Jul'!$D$27:$AH$266,'Aug'!$D$27:$AH$266,'Sep'!$D$27:$AH$266,'Oct'!$D$27:$AH$266,'Nov'!$D$27:$AH$266,'Dec'!$D$27:$AH$266,'Jan (next year)'!$D$27:$AH$266),27+4*(IFERROR(MATCH(C1002,Roster!$B$6:$B$65,0),MATCH(C1002,Roster!$C$6:$C$65,0))-1)+MATCH(B1002,{"AM","PM","NIGHT","WD"},0)-1-27+1,DAY(A1002))&amp;"",""))</f>
        <v/>
      </c>
      <c r="G1002" s="123">
        <f>IF(OR(A1002="",C1002="",B1002="",E1002=""),"",IFERROR(A1002&amp;"|"&amp;(27+4*(IFERROR(MATCH(C1002,Roster!$B$6:$B$65,0),MATCH(C1002,Roster!$C$6:$C$65,0))-1)+MATCH(B1002,{"AM","PM","NIGHT","WD"},0)-1),""))</f>
        <v/>
      </c>
    </row>
    <row r="1003">
      <c r="A1003" s="122" t="n"/>
      <c r="B1003" s="107" t="n"/>
      <c r="C1003" s="105" t="n"/>
      <c r="D1003" s="92">
        <f>IF(C1003="","",IFERROR(INDEX(Roster!$C$6:$C$65,IFERROR(MATCH(C1003,Roster!$B$6:$B$65,0),MATCH(C1003,Roster!$C$6:$C$65,0))),"not on the Roster"))</f>
        <v/>
      </c>
      <c r="E1003" s="106" t="n"/>
      <c r="F1003" s="104">
        <f>IF(OR(A1003="",C1003="",B1003=""),"",IFERROR(INDEX(CHOOSE(IF(YEAR(A1003)&gt;PlanYear,13,MONTH(A1003)),'Jan'!$D$27:$AH$266,'Feb'!$D$27:$AH$266,'Mar'!$D$27:$AH$266,'Apr'!$D$27:$AH$266,'May'!$D$27:$AH$266,'Jun'!$D$27:$AH$266,'Jul'!$D$27:$AH$266,'Aug'!$D$27:$AH$266,'Sep'!$D$27:$AH$266,'Oct'!$D$27:$AH$266,'Nov'!$D$27:$AH$266,'Dec'!$D$27:$AH$266,'Jan (next year)'!$D$27:$AH$266),27+4*(IFERROR(MATCH(C1003,Roster!$B$6:$B$65,0),MATCH(C1003,Roster!$C$6:$C$65,0))-1)+MATCH(B1003,{"AM","PM","NIGHT","WD"},0)-1-27+1,DAY(A1003))&amp;"",""))</f>
        <v/>
      </c>
      <c r="G1003" s="123">
        <f>IF(OR(A1003="",C1003="",B1003="",E1003=""),"",IFERROR(A1003&amp;"|"&amp;(27+4*(IFERROR(MATCH(C1003,Roster!$B$6:$B$65,0),MATCH(C1003,Roster!$C$6:$C$65,0))-1)+MATCH(B1003,{"AM","PM","NIGHT","WD"},0)-1),""))</f>
        <v/>
      </c>
    </row>
    <row r="1004">
      <c r="A1004" s="122" t="n"/>
      <c r="B1004" s="107" t="n"/>
      <c r="C1004" s="105" t="n"/>
      <c r="D1004" s="92">
        <f>IF(C1004="","",IFERROR(INDEX(Roster!$C$6:$C$65,IFERROR(MATCH(C1004,Roster!$B$6:$B$65,0),MATCH(C1004,Roster!$C$6:$C$65,0))),"not on the Roster"))</f>
        <v/>
      </c>
      <c r="E1004" s="106" t="n"/>
      <c r="F1004" s="104">
        <f>IF(OR(A1004="",C1004="",B1004=""),"",IFERROR(INDEX(CHOOSE(IF(YEAR(A1004)&gt;PlanYear,13,MONTH(A1004)),'Jan'!$D$27:$AH$266,'Feb'!$D$27:$AH$266,'Mar'!$D$27:$AH$266,'Apr'!$D$27:$AH$266,'May'!$D$27:$AH$266,'Jun'!$D$27:$AH$266,'Jul'!$D$27:$AH$266,'Aug'!$D$27:$AH$266,'Sep'!$D$27:$AH$266,'Oct'!$D$27:$AH$266,'Nov'!$D$27:$AH$266,'Dec'!$D$27:$AH$266,'Jan (next year)'!$D$27:$AH$266),27+4*(IFERROR(MATCH(C1004,Roster!$B$6:$B$65,0),MATCH(C1004,Roster!$C$6:$C$65,0))-1)+MATCH(B1004,{"AM","PM","NIGHT","WD"},0)-1-27+1,DAY(A1004))&amp;"",""))</f>
        <v/>
      </c>
      <c r="G1004" s="123">
        <f>IF(OR(A1004="",C1004="",B1004="",E1004=""),"",IFERROR(A1004&amp;"|"&amp;(27+4*(IFERROR(MATCH(C1004,Roster!$B$6:$B$65,0),MATCH(C1004,Roster!$C$6:$C$65,0))-1)+MATCH(B1004,{"AM","PM","NIGHT","WD"},0)-1),""))</f>
        <v/>
      </c>
    </row>
    <row r="1005">
      <c r="A1005" s="122" t="n"/>
      <c r="B1005" s="107" t="n"/>
      <c r="C1005" s="105" t="n"/>
      <c r="D1005" s="92">
        <f>IF(C1005="","",IFERROR(INDEX(Roster!$C$6:$C$65,IFERROR(MATCH(C1005,Roster!$B$6:$B$65,0),MATCH(C1005,Roster!$C$6:$C$65,0))),"not on the Roster"))</f>
        <v/>
      </c>
      <c r="E1005" s="106" t="n"/>
      <c r="F1005" s="104">
        <f>IF(OR(A1005="",C1005="",B1005=""),"",IFERROR(INDEX(CHOOSE(IF(YEAR(A1005)&gt;PlanYear,13,MONTH(A1005)),'Jan'!$D$27:$AH$266,'Feb'!$D$27:$AH$266,'Mar'!$D$27:$AH$266,'Apr'!$D$27:$AH$266,'May'!$D$27:$AH$266,'Jun'!$D$27:$AH$266,'Jul'!$D$27:$AH$266,'Aug'!$D$27:$AH$266,'Sep'!$D$27:$AH$266,'Oct'!$D$27:$AH$266,'Nov'!$D$27:$AH$266,'Dec'!$D$27:$AH$266,'Jan (next year)'!$D$27:$AH$266),27+4*(IFERROR(MATCH(C1005,Roster!$B$6:$B$65,0),MATCH(C1005,Roster!$C$6:$C$65,0))-1)+MATCH(B1005,{"AM","PM","NIGHT","WD"},0)-1-27+1,DAY(A1005))&amp;"",""))</f>
        <v/>
      </c>
      <c r="G1005" s="123">
        <f>IF(OR(A1005="",C1005="",B1005="",E1005=""),"",IFERROR(A1005&amp;"|"&amp;(27+4*(IFERROR(MATCH(C1005,Roster!$B$6:$B$65,0),MATCH(C1005,Roster!$C$6:$C$65,0))-1)+MATCH(B1005,{"AM","PM","NIGHT","WD"},0)-1),""))</f>
        <v/>
      </c>
    </row>
    <row r="1006">
      <c r="A1006" s="122" t="n"/>
      <c r="B1006" s="107" t="n"/>
      <c r="C1006" s="105" t="n"/>
      <c r="D1006" s="92">
        <f>IF(C1006="","",IFERROR(INDEX(Roster!$C$6:$C$65,IFERROR(MATCH(C1006,Roster!$B$6:$B$65,0),MATCH(C1006,Roster!$C$6:$C$65,0))),"not on the Roster"))</f>
        <v/>
      </c>
      <c r="E1006" s="106" t="n"/>
      <c r="F1006" s="104">
        <f>IF(OR(A1006="",C1006="",B1006=""),"",IFERROR(INDEX(CHOOSE(IF(YEAR(A1006)&gt;PlanYear,13,MONTH(A1006)),'Jan'!$D$27:$AH$266,'Feb'!$D$27:$AH$266,'Mar'!$D$27:$AH$266,'Apr'!$D$27:$AH$266,'May'!$D$27:$AH$266,'Jun'!$D$27:$AH$266,'Jul'!$D$27:$AH$266,'Aug'!$D$27:$AH$266,'Sep'!$D$27:$AH$266,'Oct'!$D$27:$AH$266,'Nov'!$D$27:$AH$266,'Dec'!$D$27:$AH$266,'Jan (next year)'!$D$27:$AH$266),27+4*(IFERROR(MATCH(C1006,Roster!$B$6:$B$65,0),MATCH(C1006,Roster!$C$6:$C$65,0))-1)+MATCH(B1006,{"AM","PM","NIGHT","WD"},0)-1-27+1,DAY(A1006))&amp;"",""))</f>
        <v/>
      </c>
      <c r="G1006" s="123">
        <f>IF(OR(A1006="",C1006="",B1006="",E1006=""),"",IFERROR(A1006&amp;"|"&amp;(27+4*(IFERROR(MATCH(C1006,Roster!$B$6:$B$65,0),MATCH(C1006,Roster!$C$6:$C$65,0))-1)+MATCH(B1006,{"AM","PM","NIGHT","WD"},0)-1),""))</f>
        <v/>
      </c>
    </row>
    <row r="1007">
      <c r="A1007" s="122" t="n"/>
      <c r="B1007" s="107" t="n"/>
      <c r="C1007" s="105" t="n"/>
      <c r="D1007" s="92">
        <f>IF(C1007="","",IFERROR(INDEX(Roster!$C$6:$C$65,IFERROR(MATCH(C1007,Roster!$B$6:$B$65,0),MATCH(C1007,Roster!$C$6:$C$65,0))),"not on the Roster"))</f>
        <v/>
      </c>
      <c r="E1007" s="106" t="n"/>
      <c r="F1007" s="104">
        <f>IF(OR(A1007="",C1007="",B1007=""),"",IFERROR(INDEX(CHOOSE(IF(YEAR(A1007)&gt;PlanYear,13,MONTH(A1007)),'Jan'!$D$27:$AH$266,'Feb'!$D$27:$AH$266,'Mar'!$D$27:$AH$266,'Apr'!$D$27:$AH$266,'May'!$D$27:$AH$266,'Jun'!$D$27:$AH$266,'Jul'!$D$27:$AH$266,'Aug'!$D$27:$AH$266,'Sep'!$D$27:$AH$266,'Oct'!$D$27:$AH$266,'Nov'!$D$27:$AH$266,'Dec'!$D$27:$AH$266,'Jan (next year)'!$D$27:$AH$266),27+4*(IFERROR(MATCH(C1007,Roster!$B$6:$B$65,0),MATCH(C1007,Roster!$C$6:$C$65,0))-1)+MATCH(B1007,{"AM","PM","NIGHT","WD"},0)-1-27+1,DAY(A1007))&amp;"",""))</f>
        <v/>
      </c>
      <c r="G1007" s="123">
        <f>IF(OR(A1007="",C1007="",B1007="",E1007=""),"",IFERROR(A1007&amp;"|"&amp;(27+4*(IFERROR(MATCH(C1007,Roster!$B$6:$B$65,0),MATCH(C1007,Roster!$C$6:$C$65,0))-1)+MATCH(B1007,{"AM","PM","NIGHT","WD"},0)-1),""))</f>
        <v/>
      </c>
    </row>
    <row r="1008">
      <c r="A1008" s="122" t="n"/>
      <c r="B1008" s="107" t="n"/>
      <c r="C1008" s="105" t="n"/>
      <c r="D1008" s="92">
        <f>IF(C1008="","",IFERROR(INDEX(Roster!$C$6:$C$65,IFERROR(MATCH(C1008,Roster!$B$6:$B$65,0),MATCH(C1008,Roster!$C$6:$C$65,0))),"not on the Roster"))</f>
        <v/>
      </c>
      <c r="E1008" s="106" t="n"/>
      <c r="F1008" s="104">
        <f>IF(OR(A1008="",C1008="",B1008=""),"",IFERROR(INDEX(CHOOSE(IF(YEAR(A1008)&gt;PlanYear,13,MONTH(A1008)),'Jan'!$D$27:$AH$266,'Feb'!$D$27:$AH$266,'Mar'!$D$27:$AH$266,'Apr'!$D$27:$AH$266,'May'!$D$27:$AH$266,'Jun'!$D$27:$AH$266,'Jul'!$D$27:$AH$266,'Aug'!$D$27:$AH$266,'Sep'!$D$27:$AH$266,'Oct'!$D$27:$AH$266,'Nov'!$D$27:$AH$266,'Dec'!$D$27:$AH$266,'Jan (next year)'!$D$27:$AH$266),27+4*(IFERROR(MATCH(C1008,Roster!$B$6:$B$65,0),MATCH(C1008,Roster!$C$6:$C$65,0))-1)+MATCH(B1008,{"AM","PM","NIGHT","WD"},0)-1-27+1,DAY(A1008))&amp;"",""))</f>
        <v/>
      </c>
      <c r="G1008" s="123">
        <f>IF(OR(A1008="",C1008="",B1008="",E1008=""),"",IFERROR(A1008&amp;"|"&amp;(27+4*(IFERROR(MATCH(C1008,Roster!$B$6:$B$65,0),MATCH(C1008,Roster!$C$6:$C$65,0))-1)+MATCH(B1008,{"AM","PM","NIGHT","WD"},0)-1),""))</f>
        <v/>
      </c>
    </row>
    <row r="1009">
      <c r="A1009" s="122" t="n"/>
      <c r="B1009" s="107" t="n"/>
      <c r="C1009" s="105" t="n"/>
      <c r="D1009" s="92">
        <f>IF(C1009="","",IFERROR(INDEX(Roster!$C$6:$C$65,IFERROR(MATCH(C1009,Roster!$B$6:$B$65,0),MATCH(C1009,Roster!$C$6:$C$65,0))),"not on the Roster"))</f>
        <v/>
      </c>
      <c r="E1009" s="106" t="n"/>
      <c r="F1009" s="104">
        <f>IF(OR(A1009="",C1009="",B1009=""),"",IFERROR(INDEX(CHOOSE(IF(YEAR(A1009)&gt;PlanYear,13,MONTH(A1009)),'Jan'!$D$27:$AH$266,'Feb'!$D$27:$AH$266,'Mar'!$D$27:$AH$266,'Apr'!$D$27:$AH$266,'May'!$D$27:$AH$266,'Jun'!$D$27:$AH$266,'Jul'!$D$27:$AH$266,'Aug'!$D$27:$AH$266,'Sep'!$D$27:$AH$266,'Oct'!$D$27:$AH$266,'Nov'!$D$27:$AH$266,'Dec'!$D$27:$AH$266,'Jan (next year)'!$D$27:$AH$266),27+4*(IFERROR(MATCH(C1009,Roster!$B$6:$B$65,0),MATCH(C1009,Roster!$C$6:$C$65,0))-1)+MATCH(B1009,{"AM","PM","NIGHT","WD"},0)-1-27+1,DAY(A1009))&amp;"",""))</f>
        <v/>
      </c>
      <c r="G1009" s="123">
        <f>IF(OR(A1009="",C1009="",B1009="",E1009=""),"",IFERROR(A1009&amp;"|"&amp;(27+4*(IFERROR(MATCH(C1009,Roster!$B$6:$B$65,0),MATCH(C1009,Roster!$C$6:$C$65,0))-1)+MATCH(B1009,{"AM","PM","NIGHT","WD"},0)-1),""))</f>
        <v/>
      </c>
    </row>
    <row r="1010">
      <c r="A1010" s="122" t="n"/>
      <c r="B1010" s="107" t="n"/>
      <c r="C1010" s="105" t="n"/>
      <c r="D1010" s="92">
        <f>IF(C1010="","",IFERROR(INDEX(Roster!$C$6:$C$65,IFERROR(MATCH(C1010,Roster!$B$6:$B$65,0),MATCH(C1010,Roster!$C$6:$C$65,0))),"not on the Roster"))</f>
        <v/>
      </c>
      <c r="E1010" s="106" t="n"/>
      <c r="F1010" s="104">
        <f>IF(OR(A1010="",C1010="",B1010=""),"",IFERROR(INDEX(CHOOSE(IF(YEAR(A1010)&gt;PlanYear,13,MONTH(A1010)),'Jan'!$D$27:$AH$266,'Feb'!$D$27:$AH$266,'Mar'!$D$27:$AH$266,'Apr'!$D$27:$AH$266,'May'!$D$27:$AH$266,'Jun'!$D$27:$AH$266,'Jul'!$D$27:$AH$266,'Aug'!$D$27:$AH$266,'Sep'!$D$27:$AH$266,'Oct'!$D$27:$AH$266,'Nov'!$D$27:$AH$266,'Dec'!$D$27:$AH$266,'Jan (next year)'!$D$27:$AH$266),27+4*(IFERROR(MATCH(C1010,Roster!$B$6:$B$65,0),MATCH(C1010,Roster!$C$6:$C$65,0))-1)+MATCH(B1010,{"AM","PM","NIGHT","WD"},0)-1-27+1,DAY(A1010))&amp;"",""))</f>
        <v/>
      </c>
      <c r="G1010" s="123">
        <f>IF(OR(A1010="",C1010="",B1010="",E1010=""),"",IFERROR(A1010&amp;"|"&amp;(27+4*(IFERROR(MATCH(C1010,Roster!$B$6:$B$65,0),MATCH(C1010,Roster!$C$6:$C$65,0))-1)+MATCH(B1010,{"AM","PM","NIGHT","WD"},0)-1),""))</f>
        <v/>
      </c>
    </row>
    <row r="1011">
      <c r="A1011" s="122" t="n"/>
      <c r="B1011" s="107" t="n"/>
      <c r="C1011" s="105" t="n"/>
      <c r="D1011" s="92">
        <f>IF(C1011="","",IFERROR(INDEX(Roster!$C$6:$C$65,IFERROR(MATCH(C1011,Roster!$B$6:$B$65,0),MATCH(C1011,Roster!$C$6:$C$65,0))),"not on the Roster"))</f>
        <v/>
      </c>
      <c r="E1011" s="106" t="n"/>
      <c r="F1011" s="104">
        <f>IF(OR(A1011="",C1011="",B1011=""),"",IFERROR(INDEX(CHOOSE(IF(YEAR(A1011)&gt;PlanYear,13,MONTH(A1011)),'Jan'!$D$27:$AH$266,'Feb'!$D$27:$AH$266,'Mar'!$D$27:$AH$266,'Apr'!$D$27:$AH$266,'May'!$D$27:$AH$266,'Jun'!$D$27:$AH$266,'Jul'!$D$27:$AH$266,'Aug'!$D$27:$AH$266,'Sep'!$D$27:$AH$266,'Oct'!$D$27:$AH$266,'Nov'!$D$27:$AH$266,'Dec'!$D$27:$AH$266,'Jan (next year)'!$D$27:$AH$266),27+4*(IFERROR(MATCH(C1011,Roster!$B$6:$B$65,0),MATCH(C1011,Roster!$C$6:$C$65,0))-1)+MATCH(B1011,{"AM","PM","NIGHT","WD"},0)-1-27+1,DAY(A1011))&amp;"",""))</f>
        <v/>
      </c>
      <c r="G1011" s="123">
        <f>IF(OR(A1011="",C1011="",B1011="",E1011=""),"",IFERROR(A1011&amp;"|"&amp;(27+4*(IFERROR(MATCH(C1011,Roster!$B$6:$B$65,0),MATCH(C1011,Roster!$C$6:$C$65,0))-1)+MATCH(B1011,{"AM","PM","NIGHT","WD"},0)-1),""))</f>
        <v/>
      </c>
    </row>
    <row r="1012">
      <c r="A1012" s="122" t="n"/>
      <c r="B1012" s="107" t="n"/>
      <c r="C1012" s="105" t="n"/>
      <c r="D1012" s="92">
        <f>IF(C1012="","",IFERROR(INDEX(Roster!$C$6:$C$65,IFERROR(MATCH(C1012,Roster!$B$6:$B$65,0),MATCH(C1012,Roster!$C$6:$C$65,0))),"not on the Roster"))</f>
        <v/>
      </c>
      <c r="E1012" s="106" t="n"/>
      <c r="F1012" s="104">
        <f>IF(OR(A1012="",C1012="",B1012=""),"",IFERROR(INDEX(CHOOSE(IF(YEAR(A1012)&gt;PlanYear,13,MONTH(A1012)),'Jan'!$D$27:$AH$266,'Feb'!$D$27:$AH$266,'Mar'!$D$27:$AH$266,'Apr'!$D$27:$AH$266,'May'!$D$27:$AH$266,'Jun'!$D$27:$AH$266,'Jul'!$D$27:$AH$266,'Aug'!$D$27:$AH$266,'Sep'!$D$27:$AH$266,'Oct'!$D$27:$AH$266,'Nov'!$D$27:$AH$266,'Dec'!$D$27:$AH$266,'Jan (next year)'!$D$27:$AH$266),27+4*(IFERROR(MATCH(C1012,Roster!$B$6:$B$65,0),MATCH(C1012,Roster!$C$6:$C$65,0))-1)+MATCH(B1012,{"AM","PM","NIGHT","WD"},0)-1-27+1,DAY(A1012))&amp;"",""))</f>
        <v/>
      </c>
      <c r="G1012" s="123">
        <f>IF(OR(A1012="",C1012="",B1012="",E1012=""),"",IFERROR(A1012&amp;"|"&amp;(27+4*(IFERROR(MATCH(C1012,Roster!$B$6:$B$65,0),MATCH(C1012,Roster!$C$6:$C$65,0))-1)+MATCH(B1012,{"AM","PM","NIGHT","WD"},0)-1),""))</f>
        <v/>
      </c>
    </row>
    <row r="1013">
      <c r="A1013" s="122" t="n"/>
      <c r="B1013" s="107" t="n"/>
      <c r="C1013" s="105" t="n"/>
      <c r="D1013" s="92">
        <f>IF(C1013="","",IFERROR(INDEX(Roster!$C$6:$C$65,IFERROR(MATCH(C1013,Roster!$B$6:$B$65,0),MATCH(C1013,Roster!$C$6:$C$65,0))),"not on the Roster"))</f>
        <v/>
      </c>
      <c r="E1013" s="106" t="n"/>
      <c r="F1013" s="104">
        <f>IF(OR(A1013="",C1013="",B1013=""),"",IFERROR(INDEX(CHOOSE(IF(YEAR(A1013)&gt;PlanYear,13,MONTH(A1013)),'Jan'!$D$27:$AH$266,'Feb'!$D$27:$AH$266,'Mar'!$D$27:$AH$266,'Apr'!$D$27:$AH$266,'May'!$D$27:$AH$266,'Jun'!$D$27:$AH$266,'Jul'!$D$27:$AH$266,'Aug'!$D$27:$AH$266,'Sep'!$D$27:$AH$266,'Oct'!$D$27:$AH$266,'Nov'!$D$27:$AH$266,'Dec'!$D$27:$AH$266,'Jan (next year)'!$D$27:$AH$266),27+4*(IFERROR(MATCH(C1013,Roster!$B$6:$B$65,0),MATCH(C1013,Roster!$C$6:$C$65,0))-1)+MATCH(B1013,{"AM","PM","NIGHT","WD"},0)-1-27+1,DAY(A1013))&amp;"",""))</f>
        <v/>
      </c>
      <c r="G1013" s="123">
        <f>IF(OR(A1013="",C1013="",B1013="",E1013=""),"",IFERROR(A1013&amp;"|"&amp;(27+4*(IFERROR(MATCH(C1013,Roster!$B$6:$B$65,0),MATCH(C1013,Roster!$C$6:$C$65,0))-1)+MATCH(B1013,{"AM","PM","NIGHT","WD"},0)-1),""))</f>
        <v/>
      </c>
    </row>
    <row r="1014">
      <c r="A1014" s="122" t="n"/>
      <c r="B1014" s="107" t="n"/>
      <c r="C1014" s="105" t="n"/>
      <c r="D1014" s="92">
        <f>IF(C1014="","",IFERROR(INDEX(Roster!$C$6:$C$65,IFERROR(MATCH(C1014,Roster!$B$6:$B$65,0),MATCH(C1014,Roster!$C$6:$C$65,0))),"not on the Roster"))</f>
        <v/>
      </c>
      <c r="E1014" s="106" t="n"/>
      <c r="F1014" s="104">
        <f>IF(OR(A1014="",C1014="",B1014=""),"",IFERROR(INDEX(CHOOSE(IF(YEAR(A1014)&gt;PlanYear,13,MONTH(A1014)),'Jan'!$D$27:$AH$266,'Feb'!$D$27:$AH$266,'Mar'!$D$27:$AH$266,'Apr'!$D$27:$AH$266,'May'!$D$27:$AH$266,'Jun'!$D$27:$AH$266,'Jul'!$D$27:$AH$266,'Aug'!$D$27:$AH$266,'Sep'!$D$27:$AH$266,'Oct'!$D$27:$AH$266,'Nov'!$D$27:$AH$266,'Dec'!$D$27:$AH$266,'Jan (next year)'!$D$27:$AH$266),27+4*(IFERROR(MATCH(C1014,Roster!$B$6:$B$65,0),MATCH(C1014,Roster!$C$6:$C$65,0))-1)+MATCH(B1014,{"AM","PM","NIGHT","WD"},0)-1-27+1,DAY(A1014))&amp;"",""))</f>
        <v/>
      </c>
      <c r="G1014" s="123">
        <f>IF(OR(A1014="",C1014="",B1014="",E1014=""),"",IFERROR(A1014&amp;"|"&amp;(27+4*(IFERROR(MATCH(C1014,Roster!$B$6:$B$65,0),MATCH(C1014,Roster!$C$6:$C$65,0))-1)+MATCH(B1014,{"AM","PM","NIGHT","WD"},0)-1),""))</f>
        <v/>
      </c>
    </row>
    <row r="1015">
      <c r="A1015" s="122" t="n"/>
      <c r="B1015" s="107" t="n"/>
      <c r="C1015" s="105" t="n"/>
      <c r="D1015" s="92">
        <f>IF(C1015="","",IFERROR(INDEX(Roster!$C$6:$C$65,IFERROR(MATCH(C1015,Roster!$B$6:$B$65,0),MATCH(C1015,Roster!$C$6:$C$65,0))),"not on the Roster"))</f>
        <v/>
      </c>
      <c r="E1015" s="106" t="n"/>
      <c r="F1015" s="104">
        <f>IF(OR(A1015="",C1015="",B1015=""),"",IFERROR(INDEX(CHOOSE(IF(YEAR(A1015)&gt;PlanYear,13,MONTH(A1015)),'Jan'!$D$27:$AH$266,'Feb'!$D$27:$AH$266,'Mar'!$D$27:$AH$266,'Apr'!$D$27:$AH$266,'May'!$D$27:$AH$266,'Jun'!$D$27:$AH$266,'Jul'!$D$27:$AH$266,'Aug'!$D$27:$AH$266,'Sep'!$D$27:$AH$266,'Oct'!$D$27:$AH$266,'Nov'!$D$27:$AH$266,'Dec'!$D$27:$AH$266,'Jan (next year)'!$D$27:$AH$266),27+4*(IFERROR(MATCH(C1015,Roster!$B$6:$B$65,0),MATCH(C1015,Roster!$C$6:$C$65,0))-1)+MATCH(B1015,{"AM","PM","NIGHT","WD"},0)-1-27+1,DAY(A1015))&amp;"",""))</f>
        <v/>
      </c>
      <c r="G1015" s="123">
        <f>IF(OR(A1015="",C1015="",B1015="",E1015=""),"",IFERROR(A1015&amp;"|"&amp;(27+4*(IFERROR(MATCH(C1015,Roster!$B$6:$B$65,0),MATCH(C1015,Roster!$C$6:$C$65,0))-1)+MATCH(B1015,{"AM","PM","NIGHT","WD"},0)-1),""))</f>
        <v/>
      </c>
    </row>
    <row r="1016">
      <c r="A1016" s="122" t="n"/>
      <c r="B1016" s="107" t="n"/>
      <c r="C1016" s="105" t="n"/>
      <c r="D1016" s="92">
        <f>IF(C1016="","",IFERROR(INDEX(Roster!$C$6:$C$65,IFERROR(MATCH(C1016,Roster!$B$6:$B$65,0),MATCH(C1016,Roster!$C$6:$C$65,0))),"not on the Roster"))</f>
        <v/>
      </c>
      <c r="E1016" s="106" t="n"/>
      <c r="F1016" s="104">
        <f>IF(OR(A1016="",C1016="",B1016=""),"",IFERROR(INDEX(CHOOSE(IF(YEAR(A1016)&gt;PlanYear,13,MONTH(A1016)),'Jan'!$D$27:$AH$266,'Feb'!$D$27:$AH$266,'Mar'!$D$27:$AH$266,'Apr'!$D$27:$AH$266,'May'!$D$27:$AH$266,'Jun'!$D$27:$AH$266,'Jul'!$D$27:$AH$266,'Aug'!$D$27:$AH$266,'Sep'!$D$27:$AH$266,'Oct'!$D$27:$AH$266,'Nov'!$D$27:$AH$266,'Dec'!$D$27:$AH$266,'Jan (next year)'!$D$27:$AH$266),27+4*(IFERROR(MATCH(C1016,Roster!$B$6:$B$65,0),MATCH(C1016,Roster!$C$6:$C$65,0))-1)+MATCH(B1016,{"AM","PM","NIGHT","WD"},0)-1-27+1,DAY(A1016))&amp;"",""))</f>
        <v/>
      </c>
      <c r="G1016" s="123">
        <f>IF(OR(A1016="",C1016="",B1016="",E1016=""),"",IFERROR(A1016&amp;"|"&amp;(27+4*(IFERROR(MATCH(C1016,Roster!$B$6:$B$65,0),MATCH(C1016,Roster!$C$6:$C$65,0))-1)+MATCH(B1016,{"AM","PM","NIGHT","WD"},0)-1),""))</f>
        <v/>
      </c>
    </row>
    <row r="1017">
      <c r="A1017" s="122" t="n"/>
      <c r="B1017" s="107" t="n"/>
      <c r="C1017" s="105" t="n"/>
      <c r="D1017" s="92">
        <f>IF(C1017="","",IFERROR(INDEX(Roster!$C$6:$C$65,IFERROR(MATCH(C1017,Roster!$B$6:$B$65,0),MATCH(C1017,Roster!$C$6:$C$65,0))),"not on the Roster"))</f>
        <v/>
      </c>
      <c r="E1017" s="106" t="n"/>
      <c r="F1017" s="104">
        <f>IF(OR(A1017="",C1017="",B1017=""),"",IFERROR(INDEX(CHOOSE(IF(YEAR(A1017)&gt;PlanYear,13,MONTH(A1017)),'Jan'!$D$27:$AH$266,'Feb'!$D$27:$AH$266,'Mar'!$D$27:$AH$266,'Apr'!$D$27:$AH$266,'May'!$D$27:$AH$266,'Jun'!$D$27:$AH$266,'Jul'!$D$27:$AH$266,'Aug'!$D$27:$AH$266,'Sep'!$D$27:$AH$266,'Oct'!$D$27:$AH$266,'Nov'!$D$27:$AH$266,'Dec'!$D$27:$AH$266,'Jan (next year)'!$D$27:$AH$266),27+4*(IFERROR(MATCH(C1017,Roster!$B$6:$B$65,0),MATCH(C1017,Roster!$C$6:$C$65,0))-1)+MATCH(B1017,{"AM","PM","NIGHT","WD"},0)-1-27+1,DAY(A1017))&amp;"",""))</f>
        <v/>
      </c>
      <c r="G1017" s="123">
        <f>IF(OR(A1017="",C1017="",B1017="",E1017=""),"",IFERROR(A1017&amp;"|"&amp;(27+4*(IFERROR(MATCH(C1017,Roster!$B$6:$B$65,0),MATCH(C1017,Roster!$C$6:$C$65,0))-1)+MATCH(B1017,{"AM","PM","NIGHT","WD"},0)-1),""))</f>
        <v/>
      </c>
    </row>
    <row r="1018">
      <c r="A1018" s="122" t="n"/>
      <c r="B1018" s="107" t="n"/>
      <c r="C1018" s="105" t="n"/>
      <c r="D1018" s="92">
        <f>IF(C1018="","",IFERROR(INDEX(Roster!$C$6:$C$65,IFERROR(MATCH(C1018,Roster!$B$6:$B$65,0),MATCH(C1018,Roster!$C$6:$C$65,0))),"not on the Roster"))</f>
        <v/>
      </c>
      <c r="E1018" s="106" t="n"/>
      <c r="F1018" s="104">
        <f>IF(OR(A1018="",C1018="",B1018=""),"",IFERROR(INDEX(CHOOSE(IF(YEAR(A1018)&gt;PlanYear,13,MONTH(A1018)),'Jan'!$D$27:$AH$266,'Feb'!$D$27:$AH$266,'Mar'!$D$27:$AH$266,'Apr'!$D$27:$AH$266,'May'!$D$27:$AH$266,'Jun'!$D$27:$AH$266,'Jul'!$D$27:$AH$266,'Aug'!$D$27:$AH$266,'Sep'!$D$27:$AH$266,'Oct'!$D$27:$AH$266,'Nov'!$D$27:$AH$266,'Dec'!$D$27:$AH$266,'Jan (next year)'!$D$27:$AH$266),27+4*(IFERROR(MATCH(C1018,Roster!$B$6:$B$65,0),MATCH(C1018,Roster!$C$6:$C$65,0))-1)+MATCH(B1018,{"AM","PM","NIGHT","WD"},0)-1-27+1,DAY(A1018))&amp;"",""))</f>
        <v/>
      </c>
      <c r="G1018" s="123">
        <f>IF(OR(A1018="",C1018="",B1018="",E1018=""),"",IFERROR(A1018&amp;"|"&amp;(27+4*(IFERROR(MATCH(C1018,Roster!$B$6:$B$65,0),MATCH(C1018,Roster!$C$6:$C$65,0))-1)+MATCH(B1018,{"AM","PM","NIGHT","WD"},0)-1),""))</f>
        <v/>
      </c>
    </row>
    <row r="1019">
      <c r="A1019" s="122" t="n"/>
      <c r="B1019" s="107" t="n"/>
      <c r="C1019" s="105" t="n"/>
      <c r="D1019" s="92">
        <f>IF(C1019="","",IFERROR(INDEX(Roster!$C$6:$C$65,IFERROR(MATCH(C1019,Roster!$B$6:$B$65,0),MATCH(C1019,Roster!$C$6:$C$65,0))),"not on the Roster"))</f>
        <v/>
      </c>
      <c r="E1019" s="106" t="n"/>
      <c r="F1019" s="104">
        <f>IF(OR(A1019="",C1019="",B1019=""),"",IFERROR(INDEX(CHOOSE(IF(YEAR(A1019)&gt;PlanYear,13,MONTH(A1019)),'Jan'!$D$27:$AH$266,'Feb'!$D$27:$AH$266,'Mar'!$D$27:$AH$266,'Apr'!$D$27:$AH$266,'May'!$D$27:$AH$266,'Jun'!$D$27:$AH$266,'Jul'!$D$27:$AH$266,'Aug'!$D$27:$AH$266,'Sep'!$D$27:$AH$266,'Oct'!$D$27:$AH$266,'Nov'!$D$27:$AH$266,'Dec'!$D$27:$AH$266,'Jan (next year)'!$D$27:$AH$266),27+4*(IFERROR(MATCH(C1019,Roster!$B$6:$B$65,0),MATCH(C1019,Roster!$C$6:$C$65,0))-1)+MATCH(B1019,{"AM","PM","NIGHT","WD"},0)-1-27+1,DAY(A1019))&amp;"",""))</f>
        <v/>
      </c>
      <c r="G1019" s="123">
        <f>IF(OR(A1019="",C1019="",B1019="",E1019=""),"",IFERROR(A1019&amp;"|"&amp;(27+4*(IFERROR(MATCH(C1019,Roster!$B$6:$B$65,0),MATCH(C1019,Roster!$C$6:$C$65,0))-1)+MATCH(B1019,{"AM","PM","NIGHT","WD"},0)-1),""))</f>
        <v/>
      </c>
    </row>
    <row r="1020">
      <c r="A1020" s="122" t="n"/>
      <c r="B1020" s="107" t="n"/>
      <c r="C1020" s="105" t="n"/>
      <c r="D1020" s="92">
        <f>IF(C1020="","",IFERROR(INDEX(Roster!$C$6:$C$65,IFERROR(MATCH(C1020,Roster!$B$6:$B$65,0),MATCH(C1020,Roster!$C$6:$C$65,0))),"not on the Roster"))</f>
        <v/>
      </c>
      <c r="E1020" s="106" t="n"/>
      <c r="F1020" s="104">
        <f>IF(OR(A1020="",C1020="",B1020=""),"",IFERROR(INDEX(CHOOSE(IF(YEAR(A1020)&gt;PlanYear,13,MONTH(A1020)),'Jan'!$D$27:$AH$266,'Feb'!$D$27:$AH$266,'Mar'!$D$27:$AH$266,'Apr'!$D$27:$AH$266,'May'!$D$27:$AH$266,'Jun'!$D$27:$AH$266,'Jul'!$D$27:$AH$266,'Aug'!$D$27:$AH$266,'Sep'!$D$27:$AH$266,'Oct'!$D$27:$AH$266,'Nov'!$D$27:$AH$266,'Dec'!$D$27:$AH$266,'Jan (next year)'!$D$27:$AH$266),27+4*(IFERROR(MATCH(C1020,Roster!$B$6:$B$65,0),MATCH(C1020,Roster!$C$6:$C$65,0))-1)+MATCH(B1020,{"AM","PM","NIGHT","WD"},0)-1-27+1,DAY(A1020))&amp;"",""))</f>
        <v/>
      </c>
      <c r="G1020" s="123">
        <f>IF(OR(A1020="",C1020="",B1020="",E1020=""),"",IFERROR(A1020&amp;"|"&amp;(27+4*(IFERROR(MATCH(C1020,Roster!$B$6:$B$65,0),MATCH(C1020,Roster!$C$6:$C$65,0))-1)+MATCH(B1020,{"AM","PM","NIGHT","WD"},0)-1),""))</f>
        <v/>
      </c>
    </row>
    <row r="1021">
      <c r="A1021" s="122" t="n"/>
      <c r="B1021" s="107" t="n"/>
      <c r="C1021" s="105" t="n"/>
      <c r="D1021" s="92">
        <f>IF(C1021="","",IFERROR(INDEX(Roster!$C$6:$C$65,IFERROR(MATCH(C1021,Roster!$B$6:$B$65,0),MATCH(C1021,Roster!$C$6:$C$65,0))),"not on the Roster"))</f>
        <v/>
      </c>
      <c r="E1021" s="106" t="n"/>
      <c r="F1021" s="104">
        <f>IF(OR(A1021="",C1021="",B1021=""),"",IFERROR(INDEX(CHOOSE(IF(YEAR(A1021)&gt;PlanYear,13,MONTH(A1021)),'Jan'!$D$27:$AH$266,'Feb'!$D$27:$AH$266,'Mar'!$D$27:$AH$266,'Apr'!$D$27:$AH$266,'May'!$D$27:$AH$266,'Jun'!$D$27:$AH$266,'Jul'!$D$27:$AH$266,'Aug'!$D$27:$AH$266,'Sep'!$D$27:$AH$266,'Oct'!$D$27:$AH$266,'Nov'!$D$27:$AH$266,'Dec'!$D$27:$AH$266,'Jan (next year)'!$D$27:$AH$266),27+4*(IFERROR(MATCH(C1021,Roster!$B$6:$B$65,0),MATCH(C1021,Roster!$C$6:$C$65,0))-1)+MATCH(B1021,{"AM","PM","NIGHT","WD"},0)-1-27+1,DAY(A1021))&amp;"",""))</f>
        <v/>
      </c>
      <c r="G1021" s="123">
        <f>IF(OR(A1021="",C1021="",B1021="",E1021=""),"",IFERROR(A1021&amp;"|"&amp;(27+4*(IFERROR(MATCH(C1021,Roster!$B$6:$B$65,0),MATCH(C1021,Roster!$C$6:$C$65,0))-1)+MATCH(B1021,{"AM","PM","NIGHT","WD"},0)-1),""))</f>
        <v/>
      </c>
    </row>
    <row r="1022">
      <c r="A1022" s="122" t="n"/>
      <c r="B1022" s="107" t="n"/>
      <c r="C1022" s="105" t="n"/>
      <c r="D1022" s="92">
        <f>IF(C1022="","",IFERROR(INDEX(Roster!$C$6:$C$65,IFERROR(MATCH(C1022,Roster!$B$6:$B$65,0),MATCH(C1022,Roster!$C$6:$C$65,0))),"not on the Roster"))</f>
        <v/>
      </c>
      <c r="E1022" s="106" t="n"/>
      <c r="F1022" s="104">
        <f>IF(OR(A1022="",C1022="",B1022=""),"",IFERROR(INDEX(CHOOSE(IF(YEAR(A1022)&gt;PlanYear,13,MONTH(A1022)),'Jan'!$D$27:$AH$266,'Feb'!$D$27:$AH$266,'Mar'!$D$27:$AH$266,'Apr'!$D$27:$AH$266,'May'!$D$27:$AH$266,'Jun'!$D$27:$AH$266,'Jul'!$D$27:$AH$266,'Aug'!$D$27:$AH$266,'Sep'!$D$27:$AH$266,'Oct'!$D$27:$AH$266,'Nov'!$D$27:$AH$266,'Dec'!$D$27:$AH$266,'Jan (next year)'!$D$27:$AH$266),27+4*(IFERROR(MATCH(C1022,Roster!$B$6:$B$65,0),MATCH(C1022,Roster!$C$6:$C$65,0))-1)+MATCH(B1022,{"AM","PM","NIGHT","WD"},0)-1-27+1,DAY(A1022))&amp;"",""))</f>
        <v/>
      </c>
      <c r="G1022" s="123">
        <f>IF(OR(A1022="",C1022="",B1022="",E1022=""),"",IFERROR(A1022&amp;"|"&amp;(27+4*(IFERROR(MATCH(C1022,Roster!$B$6:$B$65,0),MATCH(C1022,Roster!$C$6:$C$65,0))-1)+MATCH(B1022,{"AM","PM","NIGHT","WD"},0)-1),""))</f>
        <v/>
      </c>
    </row>
    <row r="1023">
      <c r="A1023" s="122" t="n"/>
      <c r="B1023" s="107" t="n"/>
      <c r="C1023" s="105" t="n"/>
      <c r="D1023" s="92">
        <f>IF(C1023="","",IFERROR(INDEX(Roster!$C$6:$C$65,IFERROR(MATCH(C1023,Roster!$B$6:$B$65,0),MATCH(C1023,Roster!$C$6:$C$65,0))),"not on the Roster"))</f>
        <v/>
      </c>
      <c r="E1023" s="106" t="n"/>
      <c r="F1023" s="104">
        <f>IF(OR(A1023="",C1023="",B1023=""),"",IFERROR(INDEX(CHOOSE(IF(YEAR(A1023)&gt;PlanYear,13,MONTH(A1023)),'Jan'!$D$27:$AH$266,'Feb'!$D$27:$AH$266,'Mar'!$D$27:$AH$266,'Apr'!$D$27:$AH$266,'May'!$D$27:$AH$266,'Jun'!$D$27:$AH$266,'Jul'!$D$27:$AH$266,'Aug'!$D$27:$AH$266,'Sep'!$D$27:$AH$266,'Oct'!$D$27:$AH$266,'Nov'!$D$27:$AH$266,'Dec'!$D$27:$AH$266,'Jan (next year)'!$D$27:$AH$266),27+4*(IFERROR(MATCH(C1023,Roster!$B$6:$B$65,0),MATCH(C1023,Roster!$C$6:$C$65,0))-1)+MATCH(B1023,{"AM","PM","NIGHT","WD"},0)-1-27+1,DAY(A1023))&amp;"",""))</f>
        <v/>
      </c>
      <c r="G1023" s="123">
        <f>IF(OR(A1023="",C1023="",B1023="",E1023=""),"",IFERROR(A1023&amp;"|"&amp;(27+4*(IFERROR(MATCH(C1023,Roster!$B$6:$B$65,0),MATCH(C1023,Roster!$C$6:$C$65,0))-1)+MATCH(B1023,{"AM","PM","NIGHT","WD"},0)-1),""))</f>
        <v/>
      </c>
    </row>
    <row r="1024">
      <c r="A1024" s="122" t="n"/>
      <c r="B1024" s="107" t="n"/>
      <c r="C1024" s="105" t="n"/>
      <c r="D1024" s="92">
        <f>IF(C1024="","",IFERROR(INDEX(Roster!$C$6:$C$65,IFERROR(MATCH(C1024,Roster!$B$6:$B$65,0),MATCH(C1024,Roster!$C$6:$C$65,0))),"not on the Roster"))</f>
        <v/>
      </c>
      <c r="E1024" s="106" t="n"/>
      <c r="F1024" s="104">
        <f>IF(OR(A1024="",C1024="",B1024=""),"",IFERROR(INDEX(CHOOSE(IF(YEAR(A1024)&gt;PlanYear,13,MONTH(A1024)),'Jan'!$D$27:$AH$266,'Feb'!$D$27:$AH$266,'Mar'!$D$27:$AH$266,'Apr'!$D$27:$AH$266,'May'!$D$27:$AH$266,'Jun'!$D$27:$AH$266,'Jul'!$D$27:$AH$266,'Aug'!$D$27:$AH$266,'Sep'!$D$27:$AH$266,'Oct'!$D$27:$AH$266,'Nov'!$D$27:$AH$266,'Dec'!$D$27:$AH$266,'Jan (next year)'!$D$27:$AH$266),27+4*(IFERROR(MATCH(C1024,Roster!$B$6:$B$65,0),MATCH(C1024,Roster!$C$6:$C$65,0))-1)+MATCH(B1024,{"AM","PM","NIGHT","WD"},0)-1-27+1,DAY(A1024))&amp;"",""))</f>
        <v/>
      </c>
      <c r="G1024" s="123">
        <f>IF(OR(A1024="",C1024="",B1024="",E1024=""),"",IFERROR(A1024&amp;"|"&amp;(27+4*(IFERROR(MATCH(C1024,Roster!$B$6:$B$65,0),MATCH(C1024,Roster!$C$6:$C$65,0))-1)+MATCH(B1024,{"AM","PM","NIGHT","WD"},0)-1),""))</f>
        <v/>
      </c>
    </row>
    <row r="1025">
      <c r="A1025" s="122" t="n"/>
      <c r="B1025" s="107" t="n"/>
      <c r="C1025" s="105" t="n"/>
      <c r="D1025" s="92">
        <f>IF(C1025="","",IFERROR(INDEX(Roster!$C$6:$C$65,IFERROR(MATCH(C1025,Roster!$B$6:$B$65,0),MATCH(C1025,Roster!$C$6:$C$65,0))),"not on the Roster"))</f>
        <v/>
      </c>
      <c r="E1025" s="106" t="n"/>
      <c r="F1025" s="104">
        <f>IF(OR(A1025="",C1025="",B1025=""),"",IFERROR(INDEX(CHOOSE(IF(YEAR(A1025)&gt;PlanYear,13,MONTH(A1025)),'Jan'!$D$27:$AH$266,'Feb'!$D$27:$AH$266,'Mar'!$D$27:$AH$266,'Apr'!$D$27:$AH$266,'May'!$D$27:$AH$266,'Jun'!$D$27:$AH$266,'Jul'!$D$27:$AH$266,'Aug'!$D$27:$AH$266,'Sep'!$D$27:$AH$266,'Oct'!$D$27:$AH$266,'Nov'!$D$27:$AH$266,'Dec'!$D$27:$AH$266,'Jan (next year)'!$D$27:$AH$266),27+4*(IFERROR(MATCH(C1025,Roster!$B$6:$B$65,0),MATCH(C1025,Roster!$C$6:$C$65,0))-1)+MATCH(B1025,{"AM","PM","NIGHT","WD"},0)-1-27+1,DAY(A1025))&amp;"",""))</f>
        <v/>
      </c>
      <c r="G1025" s="123">
        <f>IF(OR(A1025="",C1025="",B1025="",E1025=""),"",IFERROR(A1025&amp;"|"&amp;(27+4*(IFERROR(MATCH(C1025,Roster!$B$6:$B$65,0),MATCH(C1025,Roster!$C$6:$C$65,0))-1)+MATCH(B1025,{"AM","PM","NIGHT","WD"},0)-1),""))</f>
        <v/>
      </c>
    </row>
    <row r="1026">
      <c r="A1026" s="122" t="n"/>
      <c r="B1026" s="107" t="n"/>
      <c r="C1026" s="105" t="n"/>
      <c r="D1026" s="92">
        <f>IF(C1026="","",IFERROR(INDEX(Roster!$C$6:$C$65,IFERROR(MATCH(C1026,Roster!$B$6:$B$65,0),MATCH(C1026,Roster!$C$6:$C$65,0))),"not on the Roster"))</f>
        <v/>
      </c>
      <c r="E1026" s="106" t="n"/>
      <c r="F1026" s="104">
        <f>IF(OR(A1026="",C1026="",B1026=""),"",IFERROR(INDEX(CHOOSE(IF(YEAR(A1026)&gt;PlanYear,13,MONTH(A1026)),'Jan'!$D$27:$AH$266,'Feb'!$D$27:$AH$266,'Mar'!$D$27:$AH$266,'Apr'!$D$27:$AH$266,'May'!$D$27:$AH$266,'Jun'!$D$27:$AH$266,'Jul'!$D$27:$AH$266,'Aug'!$D$27:$AH$266,'Sep'!$D$27:$AH$266,'Oct'!$D$27:$AH$266,'Nov'!$D$27:$AH$266,'Dec'!$D$27:$AH$266,'Jan (next year)'!$D$27:$AH$266),27+4*(IFERROR(MATCH(C1026,Roster!$B$6:$B$65,0),MATCH(C1026,Roster!$C$6:$C$65,0))-1)+MATCH(B1026,{"AM","PM","NIGHT","WD"},0)-1-27+1,DAY(A1026))&amp;"",""))</f>
        <v/>
      </c>
      <c r="G1026" s="123">
        <f>IF(OR(A1026="",C1026="",B1026="",E1026=""),"",IFERROR(A1026&amp;"|"&amp;(27+4*(IFERROR(MATCH(C1026,Roster!$B$6:$B$65,0),MATCH(C1026,Roster!$C$6:$C$65,0))-1)+MATCH(B1026,{"AM","PM","NIGHT","WD"},0)-1),""))</f>
        <v/>
      </c>
    </row>
    <row r="1027">
      <c r="A1027" s="122" t="n"/>
      <c r="B1027" s="107" t="n"/>
      <c r="C1027" s="105" t="n"/>
      <c r="D1027" s="92">
        <f>IF(C1027="","",IFERROR(INDEX(Roster!$C$6:$C$65,IFERROR(MATCH(C1027,Roster!$B$6:$B$65,0),MATCH(C1027,Roster!$C$6:$C$65,0))),"not on the Roster"))</f>
        <v/>
      </c>
      <c r="E1027" s="106" t="n"/>
      <c r="F1027" s="104">
        <f>IF(OR(A1027="",C1027="",B1027=""),"",IFERROR(INDEX(CHOOSE(IF(YEAR(A1027)&gt;PlanYear,13,MONTH(A1027)),'Jan'!$D$27:$AH$266,'Feb'!$D$27:$AH$266,'Mar'!$D$27:$AH$266,'Apr'!$D$27:$AH$266,'May'!$D$27:$AH$266,'Jun'!$D$27:$AH$266,'Jul'!$D$27:$AH$266,'Aug'!$D$27:$AH$266,'Sep'!$D$27:$AH$266,'Oct'!$D$27:$AH$266,'Nov'!$D$27:$AH$266,'Dec'!$D$27:$AH$266,'Jan (next year)'!$D$27:$AH$266),27+4*(IFERROR(MATCH(C1027,Roster!$B$6:$B$65,0),MATCH(C1027,Roster!$C$6:$C$65,0))-1)+MATCH(B1027,{"AM","PM","NIGHT","WD"},0)-1-27+1,DAY(A1027))&amp;"",""))</f>
        <v/>
      </c>
      <c r="G1027" s="123">
        <f>IF(OR(A1027="",C1027="",B1027="",E1027=""),"",IFERROR(A1027&amp;"|"&amp;(27+4*(IFERROR(MATCH(C1027,Roster!$B$6:$B$65,0),MATCH(C1027,Roster!$C$6:$C$65,0))-1)+MATCH(B1027,{"AM","PM","NIGHT","WD"},0)-1),""))</f>
        <v/>
      </c>
    </row>
    <row r="1028">
      <c r="A1028" s="122" t="n"/>
      <c r="B1028" s="107" t="n"/>
      <c r="C1028" s="105" t="n"/>
      <c r="D1028" s="92">
        <f>IF(C1028="","",IFERROR(INDEX(Roster!$C$6:$C$65,IFERROR(MATCH(C1028,Roster!$B$6:$B$65,0),MATCH(C1028,Roster!$C$6:$C$65,0))),"not on the Roster"))</f>
        <v/>
      </c>
      <c r="E1028" s="106" t="n"/>
      <c r="F1028" s="104">
        <f>IF(OR(A1028="",C1028="",B1028=""),"",IFERROR(INDEX(CHOOSE(IF(YEAR(A1028)&gt;PlanYear,13,MONTH(A1028)),'Jan'!$D$27:$AH$266,'Feb'!$D$27:$AH$266,'Mar'!$D$27:$AH$266,'Apr'!$D$27:$AH$266,'May'!$D$27:$AH$266,'Jun'!$D$27:$AH$266,'Jul'!$D$27:$AH$266,'Aug'!$D$27:$AH$266,'Sep'!$D$27:$AH$266,'Oct'!$D$27:$AH$266,'Nov'!$D$27:$AH$266,'Dec'!$D$27:$AH$266,'Jan (next year)'!$D$27:$AH$266),27+4*(IFERROR(MATCH(C1028,Roster!$B$6:$B$65,0),MATCH(C1028,Roster!$C$6:$C$65,0))-1)+MATCH(B1028,{"AM","PM","NIGHT","WD"},0)-1-27+1,DAY(A1028))&amp;"",""))</f>
        <v/>
      </c>
      <c r="G1028" s="123">
        <f>IF(OR(A1028="",C1028="",B1028="",E1028=""),"",IFERROR(A1028&amp;"|"&amp;(27+4*(IFERROR(MATCH(C1028,Roster!$B$6:$B$65,0),MATCH(C1028,Roster!$C$6:$C$65,0))-1)+MATCH(B1028,{"AM","PM","NIGHT","WD"},0)-1),""))</f>
        <v/>
      </c>
    </row>
    <row r="1029">
      <c r="A1029" s="122" t="n"/>
      <c r="B1029" s="107" t="n"/>
      <c r="C1029" s="105" t="n"/>
      <c r="D1029" s="92">
        <f>IF(C1029="","",IFERROR(INDEX(Roster!$C$6:$C$65,IFERROR(MATCH(C1029,Roster!$B$6:$B$65,0),MATCH(C1029,Roster!$C$6:$C$65,0))),"not on the Roster"))</f>
        <v/>
      </c>
      <c r="E1029" s="106" t="n"/>
      <c r="F1029" s="104">
        <f>IF(OR(A1029="",C1029="",B1029=""),"",IFERROR(INDEX(CHOOSE(IF(YEAR(A1029)&gt;PlanYear,13,MONTH(A1029)),'Jan'!$D$27:$AH$266,'Feb'!$D$27:$AH$266,'Mar'!$D$27:$AH$266,'Apr'!$D$27:$AH$266,'May'!$D$27:$AH$266,'Jun'!$D$27:$AH$266,'Jul'!$D$27:$AH$266,'Aug'!$D$27:$AH$266,'Sep'!$D$27:$AH$266,'Oct'!$D$27:$AH$266,'Nov'!$D$27:$AH$266,'Dec'!$D$27:$AH$266,'Jan (next year)'!$D$27:$AH$266),27+4*(IFERROR(MATCH(C1029,Roster!$B$6:$B$65,0),MATCH(C1029,Roster!$C$6:$C$65,0))-1)+MATCH(B1029,{"AM","PM","NIGHT","WD"},0)-1-27+1,DAY(A1029))&amp;"",""))</f>
        <v/>
      </c>
      <c r="G1029" s="123">
        <f>IF(OR(A1029="",C1029="",B1029="",E1029=""),"",IFERROR(A1029&amp;"|"&amp;(27+4*(IFERROR(MATCH(C1029,Roster!$B$6:$B$65,0),MATCH(C1029,Roster!$C$6:$C$65,0))-1)+MATCH(B1029,{"AM","PM","NIGHT","WD"},0)-1),""))</f>
        <v/>
      </c>
    </row>
    <row r="1030">
      <c r="A1030" s="122" t="n"/>
      <c r="B1030" s="107" t="n"/>
      <c r="C1030" s="105" t="n"/>
      <c r="D1030" s="92">
        <f>IF(C1030="","",IFERROR(INDEX(Roster!$C$6:$C$65,IFERROR(MATCH(C1030,Roster!$B$6:$B$65,0),MATCH(C1030,Roster!$C$6:$C$65,0))),"not on the Roster"))</f>
        <v/>
      </c>
      <c r="E1030" s="106" t="n"/>
      <c r="F1030" s="104">
        <f>IF(OR(A1030="",C1030="",B1030=""),"",IFERROR(INDEX(CHOOSE(IF(YEAR(A1030)&gt;PlanYear,13,MONTH(A1030)),'Jan'!$D$27:$AH$266,'Feb'!$D$27:$AH$266,'Mar'!$D$27:$AH$266,'Apr'!$D$27:$AH$266,'May'!$D$27:$AH$266,'Jun'!$D$27:$AH$266,'Jul'!$D$27:$AH$266,'Aug'!$D$27:$AH$266,'Sep'!$D$27:$AH$266,'Oct'!$D$27:$AH$266,'Nov'!$D$27:$AH$266,'Dec'!$D$27:$AH$266,'Jan (next year)'!$D$27:$AH$266),27+4*(IFERROR(MATCH(C1030,Roster!$B$6:$B$65,0),MATCH(C1030,Roster!$C$6:$C$65,0))-1)+MATCH(B1030,{"AM","PM","NIGHT","WD"},0)-1-27+1,DAY(A1030))&amp;"",""))</f>
        <v/>
      </c>
      <c r="G1030" s="123">
        <f>IF(OR(A1030="",C1030="",B1030="",E1030=""),"",IFERROR(A1030&amp;"|"&amp;(27+4*(IFERROR(MATCH(C1030,Roster!$B$6:$B$65,0),MATCH(C1030,Roster!$C$6:$C$65,0))-1)+MATCH(B1030,{"AM","PM","NIGHT","WD"},0)-1),""))</f>
        <v/>
      </c>
    </row>
    <row r="1031">
      <c r="A1031" s="122" t="n"/>
      <c r="B1031" s="107" t="n"/>
      <c r="C1031" s="105" t="n"/>
      <c r="D1031" s="92">
        <f>IF(C1031="","",IFERROR(INDEX(Roster!$C$6:$C$65,IFERROR(MATCH(C1031,Roster!$B$6:$B$65,0),MATCH(C1031,Roster!$C$6:$C$65,0))),"not on the Roster"))</f>
        <v/>
      </c>
      <c r="E1031" s="106" t="n"/>
      <c r="F1031" s="104">
        <f>IF(OR(A1031="",C1031="",B1031=""),"",IFERROR(INDEX(CHOOSE(IF(YEAR(A1031)&gt;PlanYear,13,MONTH(A1031)),'Jan'!$D$27:$AH$266,'Feb'!$D$27:$AH$266,'Mar'!$D$27:$AH$266,'Apr'!$D$27:$AH$266,'May'!$D$27:$AH$266,'Jun'!$D$27:$AH$266,'Jul'!$D$27:$AH$266,'Aug'!$D$27:$AH$266,'Sep'!$D$27:$AH$266,'Oct'!$D$27:$AH$266,'Nov'!$D$27:$AH$266,'Dec'!$D$27:$AH$266,'Jan (next year)'!$D$27:$AH$266),27+4*(IFERROR(MATCH(C1031,Roster!$B$6:$B$65,0),MATCH(C1031,Roster!$C$6:$C$65,0))-1)+MATCH(B1031,{"AM","PM","NIGHT","WD"},0)-1-27+1,DAY(A1031))&amp;"",""))</f>
        <v/>
      </c>
      <c r="G1031" s="123">
        <f>IF(OR(A1031="",C1031="",B1031="",E1031=""),"",IFERROR(A1031&amp;"|"&amp;(27+4*(IFERROR(MATCH(C1031,Roster!$B$6:$B$65,0),MATCH(C1031,Roster!$C$6:$C$65,0))-1)+MATCH(B1031,{"AM","PM","NIGHT","WD"},0)-1),""))</f>
        <v/>
      </c>
    </row>
    <row r="1032">
      <c r="A1032" s="122" t="n"/>
      <c r="B1032" s="107" t="n"/>
      <c r="C1032" s="105" t="n"/>
      <c r="D1032" s="92">
        <f>IF(C1032="","",IFERROR(INDEX(Roster!$C$6:$C$65,IFERROR(MATCH(C1032,Roster!$B$6:$B$65,0),MATCH(C1032,Roster!$C$6:$C$65,0))),"not on the Roster"))</f>
        <v/>
      </c>
      <c r="E1032" s="106" t="n"/>
      <c r="F1032" s="104">
        <f>IF(OR(A1032="",C1032="",B1032=""),"",IFERROR(INDEX(CHOOSE(IF(YEAR(A1032)&gt;PlanYear,13,MONTH(A1032)),'Jan'!$D$27:$AH$266,'Feb'!$D$27:$AH$266,'Mar'!$D$27:$AH$266,'Apr'!$D$27:$AH$266,'May'!$D$27:$AH$266,'Jun'!$D$27:$AH$266,'Jul'!$D$27:$AH$266,'Aug'!$D$27:$AH$266,'Sep'!$D$27:$AH$266,'Oct'!$D$27:$AH$266,'Nov'!$D$27:$AH$266,'Dec'!$D$27:$AH$266,'Jan (next year)'!$D$27:$AH$266),27+4*(IFERROR(MATCH(C1032,Roster!$B$6:$B$65,0),MATCH(C1032,Roster!$C$6:$C$65,0))-1)+MATCH(B1032,{"AM","PM","NIGHT","WD"},0)-1-27+1,DAY(A1032))&amp;"",""))</f>
        <v/>
      </c>
      <c r="G1032" s="123">
        <f>IF(OR(A1032="",C1032="",B1032="",E1032=""),"",IFERROR(A1032&amp;"|"&amp;(27+4*(IFERROR(MATCH(C1032,Roster!$B$6:$B$65,0),MATCH(C1032,Roster!$C$6:$C$65,0))-1)+MATCH(B1032,{"AM","PM","NIGHT","WD"},0)-1),""))</f>
        <v/>
      </c>
    </row>
    <row r="1033">
      <c r="A1033" s="122" t="n"/>
      <c r="B1033" s="107" t="n"/>
      <c r="C1033" s="105" t="n"/>
      <c r="D1033" s="92">
        <f>IF(C1033="","",IFERROR(INDEX(Roster!$C$6:$C$65,IFERROR(MATCH(C1033,Roster!$B$6:$B$65,0),MATCH(C1033,Roster!$C$6:$C$65,0))),"not on the Roster"))</f>
        <v/>
      </c>
      <c r="E1033" s="106" t="n"/>
      <c r="F1033" s="104">
        <f>IF(OR(A1033="",C1033="",B1033=""),"",IFERROR(INDEX(CHOOSE(IF(YEAR(A1033)&gt;PlanYear,13,MONTH(A1033)),'Jan'!$D$27:$AH$266,'Feb'!$D$27:$AH$266,'Mar'!$D$27:$AH$266,'Apr'!$D$27:$AH$266,'May'!$D$27:$AH$266,'Jun'!$D$27:$AH$266,'Jul'!$D$27:$AH$266,'Aug'!$D$27:$AH$266,'Sep'!$D$27:$AH$266,'Oct'!$D$27:$AH$266,'Nov'!$D$27:$AH$266,'Dec'!$D$27:$AH$266,'Jan (next year)'!$D$27:$AH$266),27+4*(IFERROR(MATCH(C1033,Roster!$B$6:$B$65,0),MATCH(C1033,Roster!$C$6:$C$65,0))-1)+MATCH(B1033,{"AM","PM","NIGHT","WD"},0)-1-27+1,DAY(A1033))&amp;"",""))</f>
        <v/>
      </c>
      <c r="G1033" s="123">
        <f>IF(OR(A1033="",C1033="",B1033="",E1033=""),"",IFERROR(A1033&amp;"|"&amp;(27+4*(IFERROR(MATCH(C1033,Roster!$B$6:$B$65,0),MATCH(C1033,Roster!$C$6:$C$65,0))-1)+MATCH(B1033,{"AM","PM","NIGHT","WD"},0)-1),""))</f>
        <v/>
      </c>
    </row>
    <row r="1034">
      <c r="A1034" s="122" t="n"/>
      <c r="B1034" s="107" t="n"/>
      <c r="C1034" s="105" t="n"/>
      <c r="D1034" s="92">
        <f>IF(C1034="","",IFERROR(INDEX(Roster!$C$6:$C$65,IFERROR(MATCH(C1034,Roster!$B$6:$B$65,0),MATCH(C1034,Roster!$C$6:$C$65,0))),"not on the Roster"))</f>
        <v/>
      </c>
      <c r="E1034" s="106" t="n"/>
      <c r="F1034" s="104">
        <f>IF(OR(A1034="",C1034="",B1034=""),"",IFERROR(INDEX(CHOOSE(IF(YEAR(A1034)&gt;PlanYear,13,MONTH(A1034)),'Jan'!$D$27:$AH$266,'Feb'!$D$27:$AH$266,'Mar'!$D$27:$AH$266,'Apr'!$D$27:$AH$266,'May'!$D$27:$AH$266,'Jun'!$D$27:$AH$266,'Jul'!$D$27:$AH$266,'Aug'!$D$27:$AH$266,'Sep'!$D$27:$AH$266,'Oct'!$D$27:$AH$266,'Nov'!$D$27:$AH$266,'Dec'!$D$27:$AH$266,'Jan (next year)'!$D$27:$AH$266),27+4*(IFERROR(MATCH(C1034,Roster!$B$6:$B$65,0),MATCH(C1034,Roster!$C$6:$C$65,0))-1)+MATCH(B1034,{"AM","PM","NIGHT","WD"},0)-1-27+1,DAY(A1034))&amp;"",""))</f>
        <v/>
      </c>
      <c r="G1034" s="123">
        <f>IF(OR(A1034="",C1034="",B1034="",E1034=""),"",IFERROR(A1034&amp;"|"&amp;(27+4*(IFERROR(MATCH(C1034,Roster!$B$6:$B$65,0),MATCH(C1034,Roster!$C$6:$C$65,0))-1)+MATCH(B1034,{"AM","PM","NIGHT","WD"},0)-1),""))</f>
        <v/>
      </c>
    </row>
    <row r="1035">
      <c r="A1035" s="122" t="n"/>
      <c r="B1035" s="107" t="n"/>
      <c r="C1035" s="105" t="n"/>
      <c r="D1035" s="92">
        <f>IF(C1035="","",IFERROR(INDEX(Roster!$C$6:$C$65,IFERROR(MATCH(C1035,Roster!$B$6:$B$65,0),MATCH(C1035,Roster!$C$6:$C$65,0))),"not on the Roster"))</f>
        <v/>
      </c>
      <c r="E1035" s="106" t="n"/>
      <c r="F1035" s="104">
        <f>IF(OR(A1035="",C1035="",B1035=""),"",IFERROR(INDEX(CHOOSE(IF(YEAR(A1035)&gt;PlanYear,13,MONTH(A1035)),'Jan'!$D$27:$AH$266,'Feb'!$D$27:$AH$266,'Mar'!$D$27:$AH$266,'Apr'!$D$27:$AH$266,'May'!$D$27:$AH$266,'Jun'!$D$27:$AH$266,'Jul'!$D$27:$AH$266,'Aug'!$D$27:$AH$266,'Sep'!$D$27:$AH$266,'Oct'!$D$27:$AH$266,'Nov'!$D$27:$AH$266,'Dec'!$D$27:$AH$266,'Jan (next year)'!$D$27:$AH$266),27+4*(IFERROR(MATCH(C1035,Roster!$B$6:$B$65,0),MATCH(C1035,Roster!$C$6:$C$65,0))-1)+MATCH(B1035,{"AM","PM","NIGHT","WD"},0)-1-27+1,DAY(A1035))&amp;"",""))</f>
        <v/>
      </c>
      <c r="G1035" s="123">
        <f>IF(OR(A1035="",C1035="",B1035="",E1035=""),"",IFERROR(A1035&amp;"|"&amp;(27+4*(IFERROR(MATCH(C1035,Roster!$B$6:$B$65,0),MATCH(C1035,Roster!$C$6:$C$65,0))-1)+MATCH(B1035,{"AM","PM","NIGHT","WD"},0)-1),""))</f>
        <v/>
      </c>
    </row>
    <row r="1036">
      <c r="A1036" s="122" t="n"/>
      <c r="B1036" s="107" t="n"/>
      <c r="C1036" s="105" t="n"/>
      <c r="D1036" s="92">
        <f>IF(C1036="","",IFERROR(INDEX(Roster!$C$6:$C$65,IFERROR(MATCH(C1036,Roster!$B$6:$B$65,0),MATCH(C1036,Roster!$C$6:$C$65,0))),"not on the Roster"))</f>
        <v/>
      </c>
      <c r="E1036" s="106" t="n"/>
      <c r="F1036" s="104">
        <f>IF(OR(A1036="",C1036="",B1036=""),"",IFERROR(INDEX(CHOOSE(IF(YEAR(A1036)&gt;PlanYear,13,MONTH(A1036)),'Jan'!$D$27:$AH$266,'Feb'!$D$27:$AH$266,'Mar'!$D$27:$AH$266,'Apr'!$D$27:$AH$266,'May'!$D$27:$AH$266,'Jun'!$D$27:$AH$266,'Jul'!$D$27:$AH$266,'Aug'!$D$27:$AH$266,'Sep'!$D$27:$AH$266,'Oct'!$D$27:$AH$266,'Nov'!$D$27:$AH$266,'Dec'!$D$27:$AH$266,'Jan (next year)'!$D$27:$AH$266),27+4*(IFERROR(MATCH(C1036,Roster!$B$6:$B$65,0),MATCH(C1036,Roster!$C$6:$C$65,0))-1)+MATCH(B1036,{"AM","PM","NIGHT","WD"},0)-1-27+1,DAY(A1036))&amp;"",""))</f>
        <v/>
      </c>
      <c r="G1036" s="123">
        <f>IF(OR(A1036="",C1036="",B1036="",E1036=""),"",IFERROR(A1036&amp;"|"&amp;(27+4*(IFERROR(MATCH(C1036,Roster!$B$6:$B$65,0),MATCH(C1036,Roster!$C$6:$C$65,0))-1)+MATCH(B1036,{"AM","PM","NIGHT","WD"},0)-1),""))</f>
        <v/>
      </c>
    </row>
    <row r="1037">
      <c r="A1037" s="122" t="n"/>
      <c r="B1037" s="107" t="n"/>
      <c r="C1037" s="105" t="n"/>
      <c r="D1037" s="92">
        <f>IF(C1037="","",IFERROR(INDEX(Roster!$C$6:$C$65,IFERROR(MATCH(C1037,Roster!$B$6:$B$65,0),MATCH(C1037,Roster!$C$6:$C$65,0))),"not on the Roster"))</f>
        <v/>
      </c>
      <c r="E1037" s="106" t="n"/>
      <c r="F1037" s="104">
        <f>IF(OR(A1037="",C1037="",B1037=""),"",IFERROR(INDEX(CHOOSE(IF(YEAR(A1037)&gt;PlanYear,13,MONTH(A1037)),'Jan'!$D$27:$AH$266,'Feb'!$D$27:$AH$266,'Mar'!$D$27:$AH$266,'Apr'!$D$27:$AH$266,'May'!$D$27:$AH$266,'Jun'!$D$27:$AH$266,'Jul'!$D$27:$AH$266,'Aug'!$D$27:$AH$266,'Sep'!$D$27:$AH$266,'Oct'!$D$27:$AH$266,'Nov'!$D$27:$AH$266,'Dec'!$D$27:$AH$266,'Jan (next year)'!$D$27:$AH$266),27+4*(IFERROR(MATCH(C1037,Roster!$B$6:$B$65,0),MATCH(C1037,Roster!$C$6:$C$65,0))-1)+MATCH(B1037,{"AM","PM","NIGHT","WD"},0)-1-27+1,DAY(A1037))&amp;"",""))</f>
        <v/>
      </c>
      <c r="G1037" s="123">
        <f>IF(OR(A1037="",C1037="",B1037="",E1037=""),"",IFERROR(A1037&amp;"|"&amp;(27+4*(IFERROR(MATCH(C1037,Roster!$B$6:$B$65,0),MATCH(C1037,Roster!$C$6:$C$65,0))-1)+MATCH(B1037,{"AM","PM","NIGHT","WD"},0)-1),""))</f>
        <v/>
      </c>
    </row>
    <row r="1038">
      <c r="A1038" s="122" t="n"/>
      <c r="B1038" s="107" t="n"/>
      <c r="C1038" s="105" t="n"/>
      <c r="D1038" s="92">
        <f>IF(C1038="","",IFERROR(INDEX(Roster!$C$6:$C$65,IFERROR(MATCH(C1038,Roster!$B$6:$B$65,0),MATCH(C1038,Roster!$C$6:$C$65,0))),"not on the Roster"))</f>
        <v/>
      </c>
      <c r="E1038" s="106" t="n"/>
      <c r="F1038" s="104">
        <f>IF(OR(A1038="",C1038="",B1038=""),"",IFERROR(INDEX(CHOOSE(IF(YEAR(A1038)&gt;PlanYear,13,MONTH(A1038)),'Jan'!$D$27:$AH$266,'Feb'!$D$27:$AH$266,'Mar'!$D$27:$AH$266,'Apr'!$D$27:$AH$266,'May'!$D$27:$AH$266,'Jun'!$D$27:$AH$266,'Jul'!$D$27:$AH$266,'Aug'!$D$27:$AH$266,'Sep'!$D$27:$AH$266,'Oct'!$D$27:$AH$266,'Nov'!$D$27:$AH$266,'Dec'!$D$27:$AH$266,'Jan (next year)'!$D$27:$AH$266),27+4*(IFERROR(MATCH(C1038,Roster!$B$6:$B$65,0),MATCH(C1038,Roster!$C$6:$C$65,0))-1)+MATCH(B1038,{"AM","PM","NIGHT","WD"},0)-1-27+1,DAY(A1038))&amp;"",""))</f>
        <v/>
      </c>
      <c r="G1038" s="123">
        <f>IF(OR(A1038="",C1038="",B1038="",E1038=""),"",IFERROR(A1038&amp;"|"&amp;(27+4*(IFERROR(MATCH(C1038,Roster!$B$6:$B$65,0),MATCH(C1038,Roster!$C$6:$C$65,0))-1)+MATCH(B1038,{"AM","PM","NIGHT","WD"},0)-1),""))</f>
        <v/>
      </c>
    </row>
    <row r="1039">
      <c r="A1039" s="122" t="n"/>
      <c r="B1039" s="107" t="n"/>
      <c r="C1039" s="105" t="n"/>
      <c r="D1039" s="92">
        <f>IF(C1039="","",IFERROR(INDEX(Roster!$C$6:$C$65,IFERROR(MATCH(C1039,Roster!$B$6:$B$65,0),MATCH(C1039,Roster!$C$6:$C$65,0))),"not on the Roster"))</f>
        <v/>
      </c>
      <c r="E1039" s="106" t="n"/>
      <c r="F1039" s="104">
        <f>IF(OR(A1039="",C1039="",B1039=""),"",IFERROR(INDEX(CHOOSE(IF(YEAR(A1039)&gt;PlanYear,13,MONTH(A1039)),'Jan'!$D$27:$AH$266,'Feb'!$D$27:$AH$266,'Mar'!$D$27:$AH$266,'Apr'!$D$27:$AH$266,'May'!$D$27:$AH$266,'Jun'!$D$27:$AH$266,'Jul'!$D$27:$AH$266,'Aug'!$D$27:$AH$266,'Sep'!$D$27:$AH$266,'Oct'!$D$27:$AH$266,'Nov'!$D$27:$AH$266,'Dec'!$D$27:$AH$266,'Jan (next year)'!$D$27:$AH$266),27+4*(IFERROR(MATCH(C1039,Roster!$B$6:$B$65,0),MATCH(C1039,Roster!$C$6:$C$65,0))-1)+MATCH(B1039,{"AM","PM","NIGHT","WD"},0)-1-27+1,DAY(A1039))&amp;"",""))</f>
        <v/>
      </c>
      <c r="G1039" s="123">
        <f>IF(OR(A1039="",C1039="",B1039="",E1039=""),"",IFERROR(A1039&amp;"|"&amp;(27+4*(IFERROR(MATCH(C1039,Roster!$B$6:$B$65,0),MATCH(C1039,Roster!$C$6:$C$65,0))-1)+MATCH(B1039,{"AM","PM","NIGHT","WD"},0)-1),""))</f>
        <v/>
      </c>
    </row>
    <row r="1040">
      <c r="A1040" s="122" t="n"/>
      <c r="B1040" s="107" t="n"/>
      <c r="C1040" s="105" t="n"/>
      <c r="D1040" s="92">
        <f>IF(C1040="","",IFERROR(INDEX(Roster!$C$6:$C$65,IFERROR(MATCH(C1040,Roster!$B$6:$B$65,0),MATCH(C1040,Roster!$C$6:$C$65,0))),"not on the Roster"))</f>
        <v/>
      </c>
      <c r="E1040" s="106" t="n"/>
      <c r="F1040" s="104">
        <f>IF(OR(A1040="",C1040="",B1040=""),"",IFERROR(INDEX(CHOOSE(IF(YEAR(A1040)&gt;PlanYear,13,MONTH(A1040)),'Jan'!$D$27:$AH$266,'Feb'!$D$27:$AH$266,'Mar'!$D$27:$AH$266,'Apr'!$D$27:$AH$266,'May'!$D$27:$AH$266,'Jun'!$D$27:$AH$266,'Jul'!$D$27:$AH$266,'Aug'!$D$27:$AH$266,'Sep'!$D$27:$AH$266,'Oct'!$D$27:$AH$266,'Nov'!$D$27:$AH$266,'Dec'!$D$27:$AH$266,'Jan (next year)'!$D$27:$AH$266),27+4*(IFERROR(MATCH(C1040,Roster!$B$6:$B$65,0),MATCH(C1040,Roster!$C$6:$C$65,0))-1)+MATCH(B1040,{"AM","PM","NIGHT","WD"},0)-1-27+1,DAY(A1040))&amp;"",""))</f>
        <v/>
      </c>
      <c r="G1040" s="123">
        <f>IF(OR(A1040="",C1040="",B1040="",E1040=""),"",IFERROR(A1040&amp;"|"&amp;(27+4*(IFERROR(MATCH(C1040,Roster!$B$6:$B$65,0),MATCH(C1040,Roster!$C$6:$C$65,0))-1)+MATCH(B1040,{"AM","PM","NIGHT","WD"},0)-1),""))</f>
        <v/>
      </c>
    </row>
    <row r="1041">
      <c r="A1041" s="122" t="n"/>
      <c r="B1041" s="107" t="n"/>
      <c r="C1041" s="105" t="n"/>
      <c r="D1041" s="92">
        <f>IF(C1041="","",IFERROR(INDEX(Roster!$C$6:$C$65,IFERROR(MATCH(C1041,Roster!$B$6:$B$65,0),MATCH(C1041,Roster!$C$6:$C$65,0))),"not on the Roster"))</f>
        <v/>
      </c>
      <c r="E1041" s="106" t="n"/>
      <c r="F1041" s="104">
        <f>IF(OR(A1041="",C1041="",B1041=""),"",IFERROR(INDEX(CHOOSE(IF(YEAR(A1041)&gt;PlanYear,13,MONTH(A1041)),'Jan'!$D$27:$AH$266,'Feb'!$D$27:$AH$266,'Mar'!$D$27:$AH$266,'Apr'!$D$27:$AH$266,'May'!$D$27:$AH$266,'Jun'!$D$27:$AH$266,'Jul'!$D$27:$AH$266,'Aug'!$D$27:$AH$266,'Sep'!$D$27:$AH$266,'Oct'!$D$27:$AH$266,'Nov'!$D$27:$AH$266,'Dec'!$D$27:$AH$266,'Jan (next year)'!$D$27:$AH$266),27+4*(IFERROR(MATCH(C1041,Roster!$B$6:$B$65,0),MATCH(C1041,Roster!$C$6:$C$65,0))-1)+MATCH(B1041,{"AM","PM","NIGHT","WD"},0)-1-27+1,DAY(A1041))&amp;"",""))</f>
        <v/>
      </c>
      <c r="G1041" s="123">
        <f>IF(OR(A1041="",C1041="",B1041="",E1041=""),"",IFERROR(A1041&amp;"|"&amp;(27+4*(IFERROR(MATCH(C1041,Roster!$B$6:$B$65,0),MATCH(C1041,Roster!$C$6:$C$65,0))-1)+MATCH(B1041,{"AM","PM","NIGHT","WD"},0)-1),""))</f>
        <v/>
      </c>
    </row>
    <row r="1042">
      <c r="A1042" s="122" t="n"/>
      <c r="B1042" s="107" t="n"/>
      <c r="C1042" s="105" t="n"/>
      <c r="D1042" s="92">
        <f>IF(C1042="","",IFERROR(INDEX(Roster!$C$6:$C$65,IFERROR(MATCH(C1042,Roster!$B$6:$B$65,0),MATCH(C1042,Roster!$C$6:$C$65,0))),"not on the Roster"))</f>
        <v/>
      </c>
      <c r="E1042" s="106" t="n"/>
      <c r="F1042" s="104">
        <f>IF(OR(A1042="",C1042="",B1042=""),"",IFERROR(INDEX(CHOOSE(IF(YEAR(A1042)&gt;PlanYear,13,MONTH(A1042)),'Jan'!$D$27:$AH$266,'Feb'!$D$27:$AH$266,'Mar'!$D$27:$AH$266,'Apr'!$D$27:$AH$266,'May'!$D$27:$AH$266,'Jun'!$D$27:$AH$266,'Jul'!$D$27:$AH$266,'Aug'!$D$27:$AH$266,'Sep'!$D$27:$AH$266,'Oct'!$D$27:$AH$266,'Nov'!$D$27:$AH$266,'Dec'!$D$27:$AH$266,'Jan (next year)'!$D$27:$AH$266),27+4*(IFERROR(MATCH(C1042,Roster!$B$6:$B$65,0),MATCH(C1042,Roster!$C$6:$C$65,0))-1)+MATCH(B1042,{"AM","PM","NIGHT","WD"},0)-1-27+1,DAY(A1042))&amp;"",""))</f>
        <v/>
      </c>
      <c r="G1042" s="123">
        <f>IF(OR(A1042="",C1042="",B1042="",E1042=""),"",IFERROR(A1042&amp;"|"&amp;(27+4*(IFERROR(MATCH(C1042,Roster!$B$6:$B$65,0),MATCH(C1042,Roster!$C$6:$C$65,0))-1)+MATCH(B1042,{"AM","PM","NIGHT","WD"},0)-1),""))</f>
        <v/>
      </c>
    </row>
    <row r="1043">
      <c r="A1043" s="122" t="n"/>
      <c r="B1043" s="107" t="n"/>
      <c r="C1043" s="105" t="n"/>
      <c r="D1043" s="92">
        <f>IF(C1043="","",IFERROR(INDEX(Roster!$C$6:$C$65,IFERROR(MATCH(C1043,Roster!$B$6:$B$65,0),MATCH(C1043,Roster!$C$6:$C$65,0))),"not on the Roster"))</f>
        <v/>
      </c>
      <c r="E1043" s="106" t="n"/>
      <c r="F1043" s="104">
        <f>IF(OR(A1043="",C1043="",B1043=""),"",IFERROR(INDEX(CHOOSE(IF(YEAR(A1043)&gt;PlanYear,13,MONTH(A1043)),'Jan'!$D$27:$AH$266,'Feb'!$D$27:$AH$266,'Mar'!$D$27:$AH$266,'Apr'!$D$27:$AH$266,'May'!$D$27:$AH$266,'Jun'!$D$27:$AH$266,'Jul'!$D$27:$AH$266,'Aug'!$D$27:$AH$266,'Sep'!$D$27:$AH$266,'Oct'!$D$27:$AH$266,'Nov'!$D$27:$AH$266,'Dec'!$D$27:$AH$266,'Jan (next year)'!$D$27:$AH$266),27+4*(IFERROR(MATCH(C1043,Roster!$B$6:$B$65,0),MATCH(C1043,Roster!$C$6:$C$65,0))-1)+MATCH(B1043,{"AM","PM","NIGHT","WD"},0)-1-27+1,DAY(A1043))&amp;"",""))</f>
        <v/>
      </c>
      <c r="G1043" s="123">
        <f>IF(OR(A1043="",C1043="",B1043="",E1043=""),"",IFERROR(A1043&amp;"|"&amp;(27+4*(IFERROR(MATCH(C1043,Roster!$B$6:$B$65,0),MATCH(C1043,Roster!$C$6:$C$65,0))-1)+MATCH(B1043,{"AM","PM","NIGHT","WD"},0)-1),""))</f>
        <v/>
      </c>
    </row>
    <row r="1044">
      <c r="A1044" s="122" t="n"/>
      <c r="B1044" s="107" t="n"/>
      <c r="C1044" s="105" t="n"/>
      <c r="D1044" s="92">
        <f>IF(C1044="","",IFERROR(INDEX(Roster!$C$6:$C$65,IFERROR(MATCH(C1044,Roster!$B$6:$B$65,0),MATCH(C1044,Roster!$C$6:$C$65,0))),"not on the Roster"))</f>
        <v/>
      </c>
      <c r="E1044" s="106" t="n"/>
      <c r="F1044" s="104">
        <f>IF(OR(A1044="",C1044="",B1044=""),"",IFERROR(INDEX(CHOOSE(IF(YEAR(A1044)&gt;PlanYear,13,MONTH(A1044)),'Jan'!$D$27:$AH$266,'Feb'!$D$27:$AH$266,'Mar'!$D$27:$AH$266,'Apr'!$D$27:$AH$266,'May'!$D$27:$AH$266,'Jun'!$D$27:$AH$266,'Jul'!$D$27:$AH$266,'Aug'!$D$27:$AH$266,'Sep'!$D$27:$AH$266,'Oct'!$D$27:$AH$266,'Nov'!$D$27:$AH$266,'Dec'!$D$27:$AH$266,'Jan (next year)'!$D$27:$AH$266),27+4*(IFERROR(MATCH(C1044,Roster!$B$6:$B$65,0),MATCH(C1044,Roster!$C$6:$C$65,0))-1)+MATCH(B1044,{"AM","PM","NIGHT","WD"},0)-1-27+1,DAY(A1044))&amp;"",""))</f>
        <v/>
      </c>
      <c r="G1044" s="123">
        <f>IF(OR(A1044="",C1044="",B1044="",E1044=""),"",IFERROR(A1044&amp;"|"&amp;(27+4*(IFERROR(MATCH(C1044,Roster!$B$6:$B$65,0),MATCH(C1044,Roster!$C$6:$C$65,0))-1)+MATCH(B1044,{"AM","PM","NIGHT","WD"},0)-1),""))</f>
        <v/>
      </c>
    </row>
    <row r="1045">
      <c r="A1045" s="122" t="n"/>
      <c r="B1045" s="107" t="n"/>
      <c r="C1045" s="105" t="n"/>
      <c r="D1045" s="92">
        <f>IF(C1045="","",IFERROR(INDEX(Roster!$C$6:$C$65,IFERROR(MATCH(C1045,Roster!$B$6:$B$65,0),MATCH(C1045,Roster!$C$6:$C$65,0))),"not on the Roster"))</f>
        <v/>
      </c>
      <c r="E1045" s="106" t="n"/>
      <c r="F1045" s="104">
        <f>IF(OR(A1045="",C1045="",B1045=""),"",IFERROR(INDEX(CHOOSE(IF(YEAR(A1045)&gt;PlanYear,13,MONTH(A1045)),'Jan'!$D$27:$AH$266,'Feb'!$D$27:$AH$266,'Mar'!$D$27:$AH$266,'Apr'!$D$27:$AH$266,'May'!$D$27:$AH$266,'Jun'!$D$27:$AH$266,'Jul'!$D$27:$AH$266,'Aug'!$D$27:$AH$266,'Sep'!$D$27:$AH$266,'Oct'!$D$27:$AH$266,'Nov'!$D$27:$AH$266,'Dec'!$D$27:$AH$266,'Jan (next year)'!$D$27:$AH$266),27+4*(IFERROR(MATCH(C1045,Roster!$B$6:$B$65,0),MATCH(C1045,Roster!$C$6:$C$65,0))-1)+MATCH(B1045,{"AM","PM","NIGHT","WD"},0)-1-27+1,DAY(A1045))&amp;"",""))</f>
        <v/>
      </c>
      <c r="G1045" s="123">
        <f>IF(OR(A1045="",C1045="",B1045="",E1045=""),"",IFERROR(A1045&amp;"|"&amp;(27+4*(IFERROR(MATCH(C1045,Roster!$B$6:$B$65,0),MATCH(C1045,Roster!$C$6:$C$65,0))-1)+MATCH(B1045,{"AM","PM","NIGHT","WD"},0)-1),""))</f>
        <v/>
      </c>
    </row>
    <row r="1046">
      <c r="A1046" s="122" t="n"/>
      <c r="B1046" s="107" t="n"/>
      <c r="C1046" s="105" t="n"/>
      <c r="D1046" s="92">
        <f>IF(C1046="","",IFERROR(INDEX(Roster!$C$6:$C$65,IFERROR(MATCH(C1046,Roster!$B$6:$B$65,0),MATCH(C1046,Roster!$C$6:$C$65,0))),"not on the Roster"))</f>
        <v/>
      </c>
      <c r="E1046" s="106" t="n"/>
      <c r="F1046" s="104">
        <f>IF(OR(A1046="",C1046="",B1046=""),"",IFERROR(INDEX(CHOOSE(IF(YEAR(A1046)&gt;PlanYear,13,MONTH(A1046)),'Jan'!$D$27:$AH$266,'Feb'!$D$27:$AH$266,'Mar'!$D$27:$AH$266,'Apr'!$D$27:$AH$266,'May'!$D$27:$AH$266,'Jun'!$D$27:$AH$266,'Jul'!$D$27:$AH$266,'Aug'!$D$27:$AH$266,'Sep'!$D$27:$AH$266,'Oct'!$D$27:$AH$266,'Nov'!$D$27:$AH$266,'Dec'!$D$27:$AH$266,'Jan (next year)'!$D$27:$AH$266),27+4*(IFERROR(MATCH(C1046,Roster!$B$6:$B$65,0),MATCH(C1046,Roster!$C$6:$C$65,0))-1)+MATCH(B1046,{"AM","PM","NIGHT","WD"},0)-1-27+1,DAY(A1046))&amp;"",""))</f>
        <v/>
      </c>
      <c r="G1046" s="123">
        <f>IF(OR(A1046="",C1046="",B1046="",E1046=""),"",IFERROR(A1046&amp;"|"&amp;(27+4*(IFERROR(MATCH(C1046,Roster!$B$6:$B$65,0),MATCH(C1046,Roster!$C$6:$C$65,0))-1)+MATCH(B1046,{"AM","PM","NIGHT","WD"},0)-1),""))</f>
        <v/>
      </c>
    </row>
    <row r="1047">
      <c r="A1047" s="122" t="n"/>
      <c r="B1047" s="107" t="n"/>
      <c r="C1047" s="105" t="n"/>
      <c r="D1047" s="92">
        <f>IF(C1047="","",IFERROR(INDEX(Roster!$C$6:$C$65,IFERROR(MATCH(C1047,Roster!$B$6:$B$65,0),MATCH(C1047,Roster!$C$6:$C$65,0))),"not on the Roster"))</f>
        <v/>
      </c>
      <c r="E1047" s="106" t="n"/>
      <c r="F1047" s="104">
        <f>IF(OR(A1047="",C1047="",B1047=""),"",IFERROR(INDEX(CHOOSE(IF(YEAR(A1047)&gt;PlanYear,13,MONTH(A1047)),'Jan'!$D$27:$AH$266,'Feb'!$D$27:$AH$266,'Mar'!$D$27:$AH$266,'Apr'!$D$27:$AH$266,'May'!$D$27:$AH$266,'Jun'!$D$27:$AH$266,'Jul'!$D$27:$AH$266,'Aug'!$D$27:$AH$266,'Sep'!$D$27:$AH$266,'Oct'!$D$27:$AH$266,'Nov'!$D$27:$AH$266,'Dec'!$D$27:$AH$266,'Jan (next year)'!$D$27:$AH$266),27+4*(IFERROR(MATCH(C1047,Roster!$B$6:$B$65,0),MATCH(C1047,Roster!$C$6:$C$65,0))-1)+MATCH(B1047,{"AM","PM","NIGHT","WD"},0)-1-27+1,DAY(A1047))&amp;"",""))</f>
        <v/>
      </c>
      <c r="G1047" s="123">
        <f>IF(OR(A1047="",C1047="",B1047="",E1047=""),"",IFERROR(A1047&amp;"|"&amp;(27+4*(IFERROR(MATCH(C1047,Roster!$B$6:$B$65,0),MATCH(C1047,Roster!$C$6:$C$65,0))-1)+MATCH(B1047,{"AM","PM","NIGHT","WD"},0)-1),""))</f>
        <v/>
      </c>
    </row>
    <row r="1048">
      <c r="A1048" s="122" t="n"/>
      <c r="B1048" s="107" t="n"/>
      <c r="C1048" s="105" t="n"/>
      <c r="D1048" s="92">
        <f>IF(C1048="","",IFERROR(INDEX(Roster!$C$6:$C$65,IFERROR(MATCH(C1048,Roster!$B$6:$B$65,0),MATCH(C1048,Roster!$C$6:$C$65,0))),"not on the Roster"))</f>
        <v/>
      </c>
      <c r="E1048" s="106" t="n"/>
      <c r="F1048" s="104">
        <f>IF(OR(A1048="",C1048="",B1048=""),"",IFERROR(INDEX(CHOOSE(IF(YEAR(A1048)&gt;PlanYear,13,MONTH(A1048)),'Jan'!$D$27:$AH$266,'Feb'!$D$27:$AH$266,'Mar'!$D$27:$AH$266,'Apr'!$D$27:$AH$266,'May'!$D$27:$AH$266,'Jun'!$D$27:$AH$266,'Jul'!$D$27:$AH$266,'Aug'!$D$27:$AH$266,'Sep'!$D$27:$AH$266,'Oct'!$D$27:$AH$266,'Nov'!$D$27:$AH$266,'Dec'!$D$27:$AH$266,'Jan (next year)'!$D$27:$AH$266),27+4*(IFERROR(MATCH(C1048,Roster!$B$6:$B$65,0),MATCH(C1048,Roster!$C$6:$C$65,0))-1)+MATCH(B1048,{"AM","PM","NIGHT","WD"},0)-1-27+1,DAY(A1048))&amp;"",""))</f>
        <v/>
      </c>
      <c r="G1048" s="123">
        <f>IF(OR(A1048="",C1048="",B1048="",E1048=""),"",IFERROR(A1048&amp;"|"&amp;(27+4*(IFERROR(MATCH(C1048,Roster!$B$6:$B$65,0),MATCH(C1048,Roster!$C$6:$C$65,0))-1)+MATCH(B1048,{"AM","PM","NIGHT","WD"},0)-1),""))</f>
        <v/>
      </c>
    </row>
    <row r="1049">
      <c r="A1049" s="122" t="n"/>
      <c r="B1049" s="107" t="n"/>
      <c r="C1049" s="105" t="n"/>
      <c r="D1049" s="92">
        <f>IF(C1049="","",IFERROR(INDEX(Roster!$C$6:$C$65,IFERROR(MATCH(C1049,Roster!$B$6:$B$65,0),MATCH(C1049,Roster!$C$6:$C$65,0))),"not on the Roster"))</f>
        <v/>
      </c>
      <c r="E1049" s="106" t="n"/>
      <c r="F1049" s="104">
        <f>IF(OR(A1049="",C1049="",B1049=""),"",IFERROR(INDEX(CHOOSE(IF(YEAR(A1049)&gt;PlanYear,13,MONTH(A1049)),'Jan'!$D$27:$AH$266,'Feb'!$D$27:$AH$266,'Mar'!$D$27:$AH$266,'Apr'!$D$27:$AH$266,'May'!$D$27:$AH$266,'Jun'!$D$27:$AH$266,'Jul'!$D$27:$AH$266,'Aug'!$D$27:$AH$266,'Sep'!$D$27:$AH$266,'Oct'!$D$27:$AH$266,'Nov'!$D$27:$AH$266,'Dec'!$D$27:$AH$266,'Jan (next year)'!$D$27:$AH$266),27+4*(IFERROR(MATCH(C1049,Roster!$B$6:$B$65,0),MATCH(C1049,Roster!$C$6:$C$65,0))-1)+MATCH(B1049,{"AM","PM","NIGHT","WD"},0)-1-27+1,DAY(A1049))&amp;"",""))</f>
        <v/>
      </c>
      <c r="G1049" s="123">
        <f>IF(OR(A1049="",C1049="",B1049="",E1049=""),"",IFERROR(A1049&amp;"|"&amp;(27+4*(IFERROR(MATCH(C1049,Roster!$B$6:$B$65,0),MATCH(C1049,Roster!$C$6:$C$65,0))-1)+MATCH(B1049,{"AM","PM","NIGHT","WD"},0)-1),""))</f>
        <v/>
      </c>
    </row>
    <row r="1050">
      <c r="A1050" s="122" t="n"/>
      <c r="B1050" s="107" t="n"/>
      <c r="C1050" s="105" t="n"/>
      <c r="D1050" s="92">
        <f>IF(C1050="","",IFERROR(INDEX(Roster!$C$6:$C$65,IFERROR(MATCH(C1050,Roster!$B$6:$B$65,0),MATCH(C1050,Roster!$C$6:$C$65,0))),"not on the Roster"))</f>
        <v/>
      </c>
      <c r="E1050" s="106" t="n"/>
      <c r="F1050" s="104">
        <f>IF(OR(A1050="",C1050="",B1050=""),"",IFERROR(INDEX(CHOOSE(IF(YEAR(A1050)&gt;PlanYear,13,MONTH(A1050)),'Jan'!$D$27:$AH$266,'Feb'!$D$27:$AH$266,'Mar'!$D$27:$AH$266,'Apr'!$D$27:$AH$266,'May'!$D$27:$AH$266,'Jun'!$D$27:$AH$266,'Jul'!$D$27:$AH$266,'Aug'!$D$27:$AH$266,'Sep'!$D$27:$AH$266,'Oct'!$D$27:$AH$266,'Nov'!$D$27:$AH$266,'Dec'!$D$27:$AH$266,'Jan (next year)'!$D$27:$AH$266),27+4*(IFERROR(MATCH(C1050,Roster!$B$6:$B$65,0),MATCH(C1050,Roster!$C$6:$C$65,0))-1)+MATCH(B1050,{"AM","PM","NIGHT","WD"},0)-1-27+1,DAY(A1050))&amp;"",""))</f>
        <v/>
      </c>
      <c r="G1050" s="123">
        <f>IF(OR(A1050="",C1050="",B1050="",E1050=""),"",IFERROR(A1050&amp;"|"&amp;(27+4*(IFERROR(MATCH(C1050,Roster!$B$6:$B$65,0),MATCH(C1050,Roster!$C$6:$C$65,0))-1)+MATCH(B1050,{"AM","PM","NIGHT","WD"},0)-1),""))</f>
        <v/>
      </c>
    </row>
    <row r="1051">
      <c r="A1051" s="122" t="n"/>
      <c r="B1051" s="107" t="n"/>
      <c r="C1051" s="105" t="n"/>
      <c r="D1051" s="92">
        <f>IF(C1051="","",IFERROR(INDEX(Roster!$C$6:$C$65,IFERROR(MATCH(C1051,Roster!$B$6:$B$65,0),MATCH(C1051,Roster!$C$6:$C$65,0))),"not on the Roster"))</f>
        <v/>
      </c>
      <c r="E1051" s="106" t="n"/>
      <c r="F1051" s="104">
        <f>IF(OR(A1051="",C1051="",B1051=""),"",IFERROR(INDEX(CHOOSE(IF(YEAR(A1051)&gt;PlanYear,13,MONTH(A1051)),'Jan'!$D$27:$AH$266,'Feb'!$D$27:$AH$266,'Mar'!$D$27:$AH$266,'Apr'!$D$27:$AH$266,'May'!$D$27:$AH$266,'Jun'!$D$27:$AH$266,'Jul'!$D$27:$AH$266,'Aug'!$D$27:$AH$266,'Sep'!$D$27:$AH$266,'Oct'!$D$27:$AH$266,'Nov'!$D$27:$AH$266,'Dec'!$D$27:$AH$266,'Jan (next year)'!$D$27:$AH$266),27+4*(IFERROR(MATCH(C1051,Roster!$B$6:$B$65,0),MATCH(C1051,Roster!$C$6:$C$65,0))-1)+MATCH(B1051,{"AM","PM","NIGHT","WD"},0)-1-27+1,DAY(A1051))&amp;"",""))</f>
        <v/>
      </c>
      <c r="G1051" s="123">
        <f>IF(OR(A1051="",C1051="",B1051="",E1051=""),"",IFERROR(A1051&amp;"|"&amp;(27+4*(IFERROR(MATCH(C1051,Roster!$B$6:$B$65,0),MATCH(C1051,Roster!$C$6:$C$65,0))-1)+MATCH(B1051,{"AM","PM","NIGHT","WD"},0)-1),""))</f>
        <v/>
      </c>
    </row>
    <row r="1052">
      <c r="A1052" s="122" t="n"/>
      <c r="B1052" s="107" t="n"/>
      <c r="C1052" s="105" t="n"/>
      <c r="D1052" s="92">
        <f>IF(C1052="","",IFERROR(INDEX(Roster!$C$6:$C$65,IFERROR(MATCH(C1052,Roster!$B$6:$B$65,0),MATCH(C1052,Roster!$C$6:$C$65,0))),"not on the Roster"))</f>
        <v/>
      </c>
      <c r="E1052" s="106" t="n"/>
      <c r="F1052" s="104">
        <f>IF(OR(A1052="",C1052="",B1052=""),"",IFERROR(INDEX(CHOOSE(IF(YEAR(A1052)&gt;PlanYear,13,MONTH(A1052)),'Jan'!$D$27:$AH$266,'Feb'!$D$27:$AH$266,'Mar'!$D$27:$AH$266,'Apr'!$D$27:$AH$266,'May'!$D$27:$AH$266,'Jun'!$D$27:$AH$266,'Jul'!$D$27:$AH$266,'Aug'!$D$27:$AH$266,'Sep'!$D$27:$AH$266,'Oct'!$D$27:$AH$266,'Nov'!$D$27:$AH$266,'Dec'!$D$27:$AH$266,'Jan (next year)'!$D$27:$AH$266),27+4*(IFERROR(MATCH(C1052,Roster!$B$6:$B$65,0),MATCH(C1052,Roster!$C$6:$C$65,0))-1)+MATCH(B1052,{"AM","PM","NIGHT","WD"},0)-1-27+1,DAY(A1052))&amp;"",""))</f>
        <v/>
      </c>
      <c r="G1052" s="123">
        <f>IF(OR(A1052="",C1052="",B1052="",E1052=""),"",IFERROR(A1052&amp;"|"&amp;(27+4*(IFERROR(MATCH(C1052,Roster!$B$6:$B$65,0),MATCH(C1052,Roster!$C$6:$C$65,0))-1)+MATCH(B1052,{"AM","PM","NIGHT","WD"},0)-1),""))</f>
        <v/>
      </c>
    </row>
    <row r="1053">
      <c r="A1053" s="122" t="n"/>
      <c r="B1053" s="107" t="n"/>
      <c r="C1053" s="105" t="n"/>
      <c r="D1053" s="92">
        <f>IF(C1053="","",IFERROR(INDEX(Roster!$C$6:$C$65,IFERROR(MATCH(C1053,Roster!$B$6:$B$65,0),MATCH(C1053,Roster!$C$6:$C$65,0))),"not on the Roster"))</f>
        <v/>
      </c>
      <c r="E1053" s="106" t="n"/>
      <c r="F1053" s="104">
        <f>IF(OR(A1053="",C1053="",B1053=""),"",IFERROR(INDEX(CHOOSE(IF(YEAR(A1053)&gt;PlanYear,13,MONTH(A1053)),'Jan'!$D$27:$AH$266,'Feb'!$D$27:$AH$266,'Mar'!$D$27:$AH$266,'Apr'!$D$27:$AH$266,'May'!$D$27:$AH$266,'Jun'!$D$27:$AH$266,'Jul'!$D$27:$AH$266,'Aug'!$D$27:$AH$266,'Sep'!$D$27:$AH$266,'Oct'!$D$27:$AH$266,'Nov'!$D$27:$AH$266,'Dec'!$D$27:$AH$266,'Jan (next year)'!$D$27:$AH$266),27+4*(IFERROR(MATCH(C1053,Roster!$B$6:$B$65,0),MATCH(C1053,Roster!$C$6:$C$65,0))-1)+MATCH(B1053,{"AM","PM","NIGHT","WD"},0)-1-27+1,DAY(A1053))&amp;"",""))</f>
        <v/>
      </c>
      <c r="G1053" s="123">
        <f>IF(OR(A1053="",C1053="",B1053="",E1053=""),"",IFERROR(A1053&amp;"|"&amp;(27+4*(IFERROR(MATCH(C1053,Roster!$B$6:$B$65,0),MATCH(C1053,Roster!$C$6:$C$65,0))-1)+MATCH(B1053,{"AM","PM","NIGHT","WD"},0)-1),""))</f>
        <v/>
      </c>
    </row>
    <row r="1054">
      <c r="A1054" s="122" t="n"/>
      <c r="B1054" s="107" t="n"/>
      <c r="C1054" s="105" t="n"/>
      <c r="D1054" s="92">
        <f>IF(C1054="","",IFERROR(INDEX(Roster!$C$6:$C$65,IFERROR(MATCH(C1054,Roster!$B$6:$B$65,0),MATCH(C1054,Roster!$C$6:$C$65,0))),"not on the Roster"))</f>
        <v/>
      </c>
      <c r="E1054" s="106" t="n"/>
      <c r="F1054" s="104">
        <f>IF(OR(A1054="",C1054="",B1054=""),"",IFERROR(INDEX(CHOOSE(IF(YEAR(A1054)&gt;PlanYear,13,MONTH(A1054)),'Jan'!$D$27:$AH$266,'Feb'!$D$27:$AH$266,'Mar'!$D$27:$AH$266,'Apr'!$D$27:$AH$266,'May'!$D$27:$AH$266,'Jun'!$D$27:$AH$266,'Jul'!$D$27:$AH$266,'Aug'!$D$27:$AH$266,'Sep'!$D$27:$AH$266,'Oct'!$D$27:$AH$266,'Nov'!$D$27:$AH$266,'Dec'!$D$27:$AH$266,'Jan (next year)'!$D$27:$AH$266),27+4*(IFERROR(MATCH(C1054,Roster!$B$6:$B$65,0),MATCH(C1054,Roster!$C$6:$C$65,0))-1)+MATCH(B1054,{"AM","PM","NIGHT","WD"},0)-1-27+1,DAY(A1054))&amp;"",""))</f>
        <v/>
      </c>
      <c r="G1054" s="123">
        <f>IF(OR(A1054="",C1054="",B1054="",E1054=""),"",IFERROR(A1054&amp;"|"&amp;(27+4*(IFERROR(MATCH(C1054,Roster!$B$6:$B$65,0),MATCH(C1054,Roster!$C$6:$C$65,0))-1)+MATCH(B1054,{"AM","PM","NIGHT","WD"},0)-1),""))</f>
        <v/>
      </c>
    </row>
    <row r="1055">
      <c r="A1055" s="122" t="n"/>
      <c r="B1055" s="107" t="n"/>
      <c r="C1055" s="105" t="n"/>
      <c r="D1055" s="92">
        <f>IF(C1055="","",IFERROR(INDEX(Roster!$C$6:$C$65,IFERROR(MATCH(C1055,Roster!$B$6:$B$65,0),MATCH(C1055,Roster!$C$6:$C$65,0))),"not on the Roster"))</f>
        <v/>
      </c>
      <c r="E1055" s="106" t="n"/>
      <c r="F1055" s="104">
        <f>IF(OR(A1055="",C1055="",B1055=""),"",IFERROR(INDEX(CHOOSE(IF(YEAR(A1055)&gt;PlanYear,13,MONTH(A1055)),'Jan'!$D$27:$AH$266,'Feb'!$D$27:$AH$266,'Mar'!$D$27:$AH$266,'Apr'!$D$27:$AH$266,'May'!$D$27:$AH$266,'Jun'!$D$27:$AH$266,'Jul'!$D$27:$AH$266,'Aug'!$D$27:$AH$266,'Sep'!$D$27:$AH$266,'Oct'!$D$27:$AH$266,'Nov'!$D$27:$AH$266,'Dec'!$D$27:$AH$266,'Jan (next year)'!$D$27:$AH$266),27+4*(IFERROR(MATCH(C1055,Roster!$B$6:$B$65,0),MATCH(C1055,Roster!$C$6:$C$65,0))-1)+MATCH(B1055,{"AM","PM","NIGHT","WD"},0)-1-27+1,DAY(A1055))&amp;"",""))</f>
        <v/>
      </c>
      <c r="G1055" s="123">
        <f>IF(OR(A1055="",C1055="",B1055="",E1055=""),"",IFERROR(A1055&amp;"|"&amp;(27+4*(IFERROR(MATCH(C1055,Roster!$B$6:$B$65,0),MATCH(C1055,Roster!$C$6:$C$65,0))-1)+MATCH(B1055,{"AM","PM","NIGHT","WD"},0)-1),""))</f>
        <v/>
      </c>
    </row>
    <row r="1056">
      <c r="A1056" s="122" t="n"/>
      <c r="B1056" s="107" t="n"/>
      <c r="C1056" s="105" t="n"/>
      <c r="D1056" s="92">
        <f>IF(C1056="","",IFERROR(INDEX(Roster!$C$6:$C$65,IFERROR(MATCH(C1056,Roster!$B$6:$B$65,0),MATCH(C1056,Roster!$C$6:$C$65,0))),"not on the Roster"))</f>
        <v/>
      </c>
      <c r="E1056" s="106" t="n"/>
      <c r="F1056" s="104">
        <f>IF(OR(A1056="",C1056="",B1056=""),"",IFERROR(INDEX(CHOOSE(IF(YEAR(A1056)&gt;PlanYear,13,MONTH(A1056)),'Jan'!$D$27:$AH$266,'Feb'!$D$27:$AH$266,'Mar'!$D$27:$AH$266,'Apr'!$D$27:$AH$266,'May'!$D$27:$AH$266,'Jun'!$D$27:$AH$266,'Jul'!$D$27:$AH$266,'Aug'!$D$27:$AH$266,'Sep'!$D$27:$AH$266,'Oct'!$D$27:$AH$266,'Nov'!$D$27:$AH$266,'Dec'!$D$27:$AH$266,'Jan (next year)'!$D$27:$AH$266),27+4*(IFERROR(MATCH(C1056,Roster!$B$6:$B$65,0),MATCH(C1056,Roster!$C$6:$C$65,0))-1)+MATCH(B1056,{"AM","PM","NIGHT","WD"},0)-1-27+1,DAY(A1056))&amp;"",""))</f>
        <v/>
      </c>
      <c r="G1056" s="123">
        <f>IF(OR(A1056="",C1056="",B1056="",E1056=""),"",IFERROR(A1056&amp;"|"&amp;(27+4*(IFERROR(MATCH(C1056,Roster!$B$6:$B$65,0),MATCH(C1056,Roster!$C$6:$C$65,0))-1)+MATCH(B1056,{"AM","PM","NIGHT","WD"},0)-1),""))</f>
        <v/>
      </c>
    </row>
    <row r="1057">
      <c r="A1057" s="122" t="n"/>
      <c r="B1057" s="107" t="n"/>
      <c r="C1057" s="105" t="n"/>
      <c r="D1057" s="92">
        <f>IF(C1057="","",IFERROR(INDEX(Roster!$C$6:$C$65,IFERROR(MATCH(C1057,Roster!$B$6:$B$65,0),MATCH(C1057,Roster!$C$6:$C$65,0))),"not on the Roster"))</f>
        <v/>
      </c>
      <c r="E1057" s="106" t="n"/>
      <c r="F1057" s="104">
        <f>IF(OR(A1057="",C1057="",B1057=""),"",IFERROR(INDEX(CHOOSE(IF(YEAR(A1057)&gt;PlanYear,13,MONTH(A1057)),'Jan'!$D$27:$AH$266,'Feb'!$D$27:$AH$266,'Mar'!$D$27:$AH$266,'Apr'!$D$27:$AH$266,'May'!$D$27:$AH$266,'Jun'!$D$27:$AH$266,'Jul'!$D$27:$AH$266,'Aug'!$D$27:$AH$266,'Sep'!$D$27:$AH$266,'Oct'!$D$27:$AH$266,'Nov'!$D$27:$AH$266,'Dec'!$D$27:$AH$266,'Jan (next year)'!$D$27:$AH$266),27+4*(IFERROR(MATCH(C1057,Roster!$B$6:$B$65,0),MATCH(C1057,Roster!$C$6:$C$65,0))-1)+MATCH(B1057,{"AM","PM","NIGHT","WD"},0)-1-27+1,DAY(A1057))&amp;"",""))</f>
        <v/>
      </c>
      <c r="G1057" s="123">
        <f>IF(OR(A1057="",C1057="",B1057="",E1057=""),"",IFERROR(A1057&amp;"|"&amp;(27+4*(IFERROR(MATCH(C1057,Roster!$B$6:$B$65,0),MATCH(C1057,Roster!$C$6:$C$65,0))-1)+MATCH(B1057,{"AM","PM","NIGHT","WD"},0)-1),""))</f>
        <v/>
      </c>
    </row>
    <row r="1058">
      <c r="A1058" s="122" t="n"/>
      <c r="B1058" s="107" t="n"/>
      <c r="C1058" s="105" t="n"/>
      <c r="D1058" s="92">
        <f>IF(C1058="","",IFERROR(INDEX(Roster!$C$6:$C$65,IFERROR(MATCH(C1058,Roster!$B$6:$B$65,0),MATCH(C1058,Roster!$C$6:$C$65,0))),"not on the Roster"))</f>
        <v/>
      </c>
      <c r="E1058" s="106" t="n"/>
      <c r="F1058" s="104">
        <f>IF(OR(A1058="",C1058="",B1058=""),"",IFERROR(INDEX(CHOOSE(IF(YEAR(A1058)&gt;PlanYear,13,MONTH(A1058)),'Jan'!$D$27:$AH$266,'Feb'!$D$27:$AH$266,'Mar'!$D$27:$AH$266,'Apr'!$D$27:$AH$266,'May'!$D$27:$AH$266,'Jun'!$D$27:$AH$266,'Jul'!$D$27:$AH$266,'Aug'!$D$27:$AH$266,'Sep'!$D$27:$AH$266,'Oct'!$D$27:$AH$266,'Nov'!$D$27:$AH$266,'Dec'!$D$27:$AH$266,'Jan (next year)'!$D$27:$AH$266),27+4*(IFERROR(MATCH(C1058,Roster!$B$6:$B$65,0),MATCH(C1058,Roster!$C$6:$C$65,0))-1)+MATCH(B1058,{"AM","PM","NIGHT","WD"},0)-1-27+1,DAY(A1058))&amp;"",""))</f>
        <v/>
      </c>
      <c r="G1058" s="123">
        <f>IF(OR(A1058="",C1058="",B1058="",E1058=""),"",IFERROR(A1058&amp;"|"&amp;(27+4*(IFERROR(MATCH(C1058,Roster!$B$6:$B$65,0),MATCH(C1058,Roster!$C$6:$C$65,0))-1)+MATCH(B1058,{"AM","PM","NIGHT","WD"},0)-1),""))</f>
        <v/>
      </c>
    </row>
    <row r="1059">
      <c r="A1059" s="122" t="n"/>
      <c r="B1059" s="107" t="n"/>
      <c r="C1059" s="105" t="n"/>
      <c r="D1059" s="92">
        <f>IF(C1059="","",IFERROR(INDEX(Roster!$C$6:$C$65,IFERROR(MATCH(C1059,Roster!$B$6:$B$65,0),MATCH(C1059,Roster!$C$6:$C$65,0))),"not on the Roster"))</f>
        <v/>
      </c>
      <c r="E1059" s="106" t="n"/>
      <c r="F1059" s="104">
        <f>IF(OR(A1059="",C1059="",B1059=""),"",IFERROR(INDEX(CHOOSE(IF(YEAR(A1059)&gt;PlanYear,13,MONTH(A1059)),'Jan'!$D$27:$AH$266,'Feb'!$D$27:$AH$266,'Mar'!$D$27:$AH$266,'Apr'!$D$27:$AH$266,'May'!$D$27:$AH$266,'Jun'!$D$27:$AH$266,'Jul'!$D$27:$AH$266,'Aug'!$D$27:$AH$266,'Sep'!$D$27:$AH$266,'Oct'!$D$27:$AH$266,'Nov'!$D$27:$AH$266,'Dec'!$D$27:$AH$266,'Jan (next year)'!$D$27:$AH$266),27+4*(IFERROR(MATCH(C1059,Roster!$B$6:$B$65,0),MATCH(C1059,Roster!$C$6:$C$65,0))-1)+MATCH(B1059,{"AM","PM","NIGHT","WD"},0)-1-27+1,DAY(A1059))&amp;"",""))</f>
        <v/>
      </c>
      <c r="G1059" s="123">
        <f>IF(OR(A1059="",C1059="",B1059="",E1059=""),"",IFERROR(A1059&amp;"|"&amp;(27+4*(IFERROR(MATCH(C1059,Roster!$B$6:$B$65,0),MATCH(C1059,Roster!$C$6:$C$65,0))-1)+MATCH(B1059,{"AM","PM","NIGHT","WD"},0)-1),""))</f>
        <v/>
      </c>
    </row>
    <row r="1060">
      <c r="A1060" s="122" t="n"/>
      <c r="B1060" s="107" t="n"/>
      <c r="C1060" s="105" t="n"/>
      <c r="D1060" s="92">
        <f>IF(C1060="","",IFERROR(INDEX(Roster!$C$6:$C$65,IFERROR(MATCH(C1060,Roster!$B$6:$B$65,0),MATCH(C1060,Roster!$C$6:$C$65,0))),"not on the Roster"))</f>
        <v/>
      </c>
      <c r="E1060" s="106" t="n"/>
      <c r="F1060" s="104">
        <f>IF(OR(A1060="",C1060="",B1060=""),"",IFERROR(INDEX(CHOOSE(IF(YEAR(A1060)&gt;PlanYear,13,MONTH(A1060)),'Jan'!$D$27:$AH$266,'Feb'!$D$27:$AH$266,'Mar'!$D$27:$AH$266,'Apr'!$D$27:$AH$266,'May'!$D$27:$AH$266,'Jun'!$D$27:$AH$266,'Jul'!$D$27:$AH$266,'Aug'!$D$27:$AH$266,'Sep'!$D$27:$AH$266,'Oct'!$D$27:$AH$266,'Nov'!$D$27:$AH$266,'Dec'!$D$27:$AH$266,'Jan (next year)'!$D$27:$AH$266),27+4*(IFERROR(MATCH(C1060,Roster!$B$6:$B$65,0),MATCH(C1060,Roster!$C$6:$C$65,0))-1)+MATCH(B1060,{"AM","PM","NIGHT","WD"},0)-1-27+1,DAY(A1060))&amp;"",""))</f>
        <v/>
      </c>
      <c r="G1060" s="123">
        <f>IF(OR(A1060="",C1060="",B1060="",E1060=""),"",IFERROR(A1060&amp;"|"&amp;(27+4*(IFERROR(MATCH(C1060,Roster!$B$6:$B$65,0),MATCH(C1060,Roster!$C$6:$C$65,0))-1)+MATCH(B1060,{"AM","PM","NIGHT","WD"},0)-1),""))</f>
        <v/>
      </c>
    </row>
    <row r="1061">
      <c r="A1061" s="122" t="n"/>
      <c r="B1061" s="107" t="n"/>
      <c r="C1061" s="105" t="n"/>
      <c r="D1061" s="92">
        <f>IF(C1061="","",IFERROR(INDEX(Roster!$C$6:$C$65,IFERROR(MATCH(C1061,Roster!$B$6:$B$65,0),MATCH(C1061,Roster!$C$6:$C$65,0))),"not on the Roster"))</f>
        <v/>
      </c>
      <c r="E1061" s="106" t="n"/>
      <c r="F1061" s="104">
        <f>IF(OR(A1061="",C1061="",B1061=""),"",IFERROR(INDEX(CHOOSE(IF(YEAR(A1061)&gt;PlanYear,13,MONTH(A1061)),'Jan'!$D$27:$AH$266,'Feb'!$D$27:$AH$266,'Mar'!$D$27:$AH$266,'Apr'!$D$27:$AH$266,'May'!$D$27:$AH$266,'Jun'!$D$27:$AH$266,'Jul'!$D$27:$AH$266,'Aug'!$D$27:$AH$266,'Sep'!$D$27:$AH$266,'Oct'!$D$27:$AH$266,'Nov'!$D$27:$AH$266,'Dec'!$D$27:$AH$266,'Jan (next year)'!$D$27:$AH$266),27+4*(IFERROR(MATCH(C1061,Roster!$B$6:$B$65,0),MATCH(C1061,Roster!$C$6:$C$65,0))-1)+MATCH(B1061,{"AM","PM","NIGHT","WD"},0)-1-27+1,DAY(A1061))&amp;"",""))</f>
        <v/>
      </c>
      <c r="G1061" s="123">
        <f>IF(OR(A1061="",C1061="",B1061="",E1061=""),"",IFERROR(A1061&amp;"|"&amp;(27+4*(IFERROR(MATCH(C1061,Roster!$B$6:$B$65,0),MATCH(C1061,Roster!$C$6:$C$65,0))-1)+MATCH(B1061,{"AM","PM","NIGHT","WD"},0)-1),""))</f>
        <v/>
      </c>
    </row>
    <row r="1062">
      <c r="A1062" s="122" t="n"/>
      <c r="B1062" s="107" t="n"/>
      <c r="C1062" s="105" t="n"/>
      <c r="D1062" s="92">
        <f>IF(C1062="","",IFERROR(INDEX(Roster!$C$6:$C$65,IFERROR(MATCH(C1062,Roster!$B$6:$B$65,0),MATCH(C1062,Roster!$C$6:$C$65,0))),"not on the Roster"))</f>
        <v/>
      </c>
      <c r="E1062" s="106" t="n"/>
      <c r="F1062" s="104">
        <f>IF(OR(A1062="",C1062="",B1062=""),"",IFERROR(INDEX(CHOOSE(IF(YEAR(A1062)&gt;PlanYear,13,MONTH(A1062)),'Jan'!$D$27:$AH$266,'Feb'!$D$27:$AH$266,'Mar'!$D$27:$AH$266,'Apr'!$D$27:$AH$266,'May'!$D$27:$AH$266,'Jun'!$D$27:$AH$266,'Jul'!$D$27:$AH$266,'Aug'!$D$27:$AH$266,'Sep'!$D$27:$AH$266,'Oct'!$D$27:$AH$266,'Nov'!$D$27:$AH$266,'Dec'!$D$27:$AH$266,'Jan (next year)'!$D$27:$AH$266),27+4*(IFERROR(MATCH(C1062,Roster!$B$6:$B$65,0),MATCH(C1062,Roster!$C$6:$C$65,0))-1)+MATCH(B1062,{"AM","PM","NIGHT","WD"},0)-1-27+1,DAY(A1062))&amp;"",""))</f>
        <v/>
      </c>
      <c r="G1062" s="123">
        <f>IF(OR(A1062="",C1062="",B1062="",E1062=""),"",IFERROR(A1062&amp;"|"&amp;(27+4*(IFERROR(MATCH(C1062,Roster!$B$6:$B$65,0),MATCH(C1062,Roster!$C$6:$C$65,0))-1)+MATCH(B1062,{"AM","PM","NIGHT","WD"},0)-1),""))</f>
        <v/>
      </c>
    </row>
    <row r="1063">
      <c r="A1063" s="122" t="n"/>
      <c r="B1063" s="107" t="n"/>
      <c r="C1063" s="105" t="n"/>
      <c r="D1063" s="92">
        <f>IF(C1063="","",IFERROR(INDEX(Roster!$C$6:$C$65,IFERROR(MATCH(C1063,Roster!$B$6:$B$65,0),MATCH(C1063,Roster!$C$6:$C$65,0))),"not on the Roster"))</f>
        <v/>
      </c>
      <c r="E1063" s="106" t="n"/>
      <c r="F1063" s="104">
        <f>IF(OR(A1063="",C1063="",B1063=""),"",IFERROR(INDEX(CHOOSE(IF(YEAR(A1063)&gt;PlanYear,13,MONTH(A1063)),'Jan'!$D$27:$AH$266,'Feb'!$D$27:$AH$266,'Mar'!$D$27:$AH$266,'Apr'!$D$27:$AH$266,'May'!$D$27:$AH$266,'Jun'!$D$27:$AH$266,'Jul'!$D$27:$AH$266,'Aug'!$D$27:$AH$266,'Sep'!$D$27:$AH$266,'Oct'!$D$27:$AH$266,'Nov'!$D$27:$AH$266,'Dec'!$D$27:$AH$266,'Jan (next year)'!$D$27:$AH$266),27+4*(IFERROR(MATCH(C1063,Roster!$B$6:$B$65,0),MATCH(C1063,Roster!$C$6:$C$65,0))-1)+MATCH(B1063,{"AM","PM","NIGHT","WD"},0)-1-27+1,DAY(A1063))&amp;"",""))</f>
        <v/>
      </c>
      <c r="G1063" s="123">
        <f>IF(OR(A1063="",C1063="",B1063="",E1063=""),"",IFERROR(A1063&amp;"|"&amp;(27+4*(IFERROR(MATCH(C1063,Roster!$B$6:$B$65,0),MATCH(C1063,Roster!$C$6:$C$65,0))-1)+MATCH(B1063,{"AM","PM","NIGHT","WD"},0)-1),""))</f>
        <v/>
      </c>
    </row>
    <row r="1064">
      <c r="A1064" s="122" t="n"/>
      <c r="B1064" s="107" t="n"/>
      <c r="C1064" s="105" t="n"/>
      <c r="D1064" s="92">
        <f>IF(C1064="","",IFERROR(INDEX(Roster!$C$6:$C$65,IFERROR(MATCH(C1064,Roster!$B$6:$B$65,0),MATCH(C1064,Roster!$C$6:$C$65,0))),"not on the Roster"))</f>
        <v/>
      </c>
      <c r="E1064" s="106" t="n"/>
      <c r="F1064" s="104">
        <f>IF(OR(A1064="",C1064="",B1064=""),"",IFERROR(INDEX(CHOOSE(IF(YEAR(A1064)&gt;PlanYear,13,MONTH(A1064)),'Jan'!$D$27:$AH$266,'Feb'!$D$27:$AH$266,'Mar'!$D$27:$AH$266,'Apr'!$D$27:$AH$266,'May'!$D$27:$AH$266,'Jun'!$D$27:$AH$266,'Jul'!$D$27:$AH$266,'Aug'!$D$27:$AH$266,'Sep'!$D$27:$AH$266,'Oct'!$D$27:$AH$266,'Nov'!$D$27:$AH$266,'Dec'!$D$27:$AH$266,'Jan (next year)'!$D$27:$AH$266),27+4*(IFERROR(MATCH(C1064,Roster!$B$6:$B$65,0),MATCH(C1064,Roster!$C$6:$C$65,0))-1)+MATCH(B1064,{"AM","PM","NIGHT","WD"},0)-1-27+1,DAY(A1064))&amp;"",""))</f>
        <v/>
      </c>
      <c r="G1064" s="123">
        <f>IF(OR(A1064="",C1064="",B1064="",E1064=""),"",IFERROR(A1064&amp;"|"&amp;(27+4*(IFERROR(MATCH(C1064,Roster!$B$6:$B$65,0),MATCH(C1064,Roster!$C$6:$C$65,0))-1)+MATCH(B1064,{"AM","PM","NIGHT","WD"},0)-1),""))</f>
        <v/>
      </c>
    </row>
    <row r="1065">
      <c r="A1065" s="122" t="n"/>
      <c r="B1065" s="107" t="n"/>
      <c r="C1065" s="105" t="n"/>
      <c r="D1065" s="92">
        <f>IF(C1065="","",IFERROR(INDEX(Roster!$C$6:$C$65,IFERROR(MATCH(C1065,Roster!$B$6:$B$65,0),MATCH(C1065,Roster!$C$6:$C$65,0))),"not on the Roster"))</f>
        <v/>
      </c>
      <c r="E1065" s="106" t="n"/>
      <c r="F1065" s="104">
        <f>IF(OR(A1065="",C1065="",B1065=""),"",IFERROR(INDEX(CHOOSE(IF(YEAR(A1065)&gt;PlanYear,13,MONTH(A1065)),'Jan'!$D$27:$AH$266,'Feb'!$D$27:$AH$266,'Mar'!$D$27:$AH$266,'Apr'!$D$27:$AH$266,'May'!$D$27:$AH$266,'Jun'!$D$27:$AH$266,'Jul'!$D$27:$AH$266,'Aug'!$D$27:$AH$266,'Sep'!$D$27:$AH$266,'Oct'!$D$27:$AH$266,'Nov'!$D$27:$AH$266,'Dec'!$D$27:$AH$266,'Jan (next year)'!$D$27:$AH$266),27+4*(IFERROR(MATCH(C1065,Roster!$B$6:$B$65,0),MATCH(C1065,Roster!$C$6:$C$65,0))-1)+MATCH(B1065,{"AM","PM","NIGHT","WD"},0)-1-27+1,DAY(A1065))&amp;"",""))</f>
        <v/>
      </c>
      <c r="G1065" s="123">
        <f>IF(OR(A1065="",C1065="",B1065="",E1065=""),"",IFERROR(A1065&amp;"|"&amp;(27+4*(IFERROR(MATCH(C1065,Roster!$B$6:$B$65,0),MATCH(C1065,Roster!$C$6:$C$65,0))-1)+MATCH(B1065,{"AM","PM","NIGHT","WD"},0)-1),""))</f>
        <v/>
      </c>
    </row>
    <row r="1066">
      <c r="A1066" s="122" t="n"/>
      <c r="B1066" s="107" t="n"/>
      <c r="C1066" s="105" t="n"/>
      <c r="D1066" s="92">
        <f>IF(C1066="","",IFERROR(INDEX(Roster!$C$6:$C$65,IFERROR(MATCH(C1066,Roster!$B$6:$B$65,0),MATCH(C1066,Roster!$C$6:$C$65,0))),"not on the Roster"))</f>
        <v/>
      </c>
      <c r="E1066" s="106" t="n"/>
      <c r="F1066" s="104">
        <f>IF(OR(A1066="",C1066="",B1066=""),"",IFERROR(INDEX(CHOOSE(IF(YEAR(A1066)&gt;PlanYear,13,MONTH(A1066)),'Jan'!$D$27:$AH$266,'Feb'!$D$27:$AH$266,'Mar'!$D$27:$AH$266,'Apr'!$D$27:$AH$266,'May'!$D$27:$AH$266,'Jun'!$D$27:$AH$266,'Jul'!$D$27:$AH$266,'Aug'!$D$27:$AH$266,'Sep'!$D$27:$AH$266,'Oct'!$D$27:$AH$266,'Nov'!$D$27:$AH$266,'Dec'!$D$27:$AH$266,'Jan (next year)'!$D$27:$AH$266),27+4*(IFERROR(MATCH(C1066,Roster!$B$6:$B$65,0),MATCH(C1066,Roster!$C$6:$C$65,0))-1)+MATCH(B1066,{"AM","PM","NIGHT","WD"},0)-1-27+1,DAY(A1066))&amp;"",""))</f>
        <v/>
      </c>
      <c r="G1066" s="123">
        <f>IF(OR(A1066="",C1066="",B1066="",E1066=""),"",IFERROR(A1066&amp;"|"&amp;(27+4*(IFERROR(MATCH(C1066,Roster!$B$6:$B$65,0),MATCH(C1066,Roster!$C$6:$C$65,0))-1)+MATCH(B1066,{"AM","PM","NIGHT","WD"},0)-1),""))</f>
        <v/>
      </c>
    </row>
    <row r="1067">
      <c r="A1067" s="122" t="n"/>
      <c r="B1067" s="107" t="n"/>
      <c r="C1067" s="105" t="n"/>
      <c r="D1067" s="92">
        <f>IF(C1067="","",IFERROR(INDEX(Roster!$C$6:$C$65,IFERROR(MATCH(C1067,Roster!$B$6:$B$65,0),MATCH(C1067,Roster!$C$6:$C$65,0))),"not on the Roster"))</f>
        <v/>
      </c>
      <c r="E1067" s="106" t="n"/>
      <c r="F1067" s="104">
        <f>IF(OR(A1067="",C1067="",B1067=""),"",IFERROR(INDEX(CHOOSE(IF(YEAR(A1067)&gt;PlanYear,13,MONTH(A1067)),'Jan'!$D$27:$AH$266,'Feb'!$D$27:$AH$266,'Mar'!$D$27:$AH$266,'Apr'!$D$27:$AH$266,'May'!$D$27:$AH$266,'Jun'!$D$27:$AH$266,'Jul'!$D$27:$AH$266,'Aug'!$D$27:$AH$266,'Sep'!$D$27:$AH$266,'Oct'!$D$27:$AH$266,'Nov'!$D$27:$AH$266,'Dec'!$D$27:$AH$266,'Jan (next year)'!$D$27:$AH$266),27+4*(IFERROR(MATCH(C1067,Roster!$B$6:$B$65,0),MATCH(C1067,Roster!$C$6:$C$65,0))-1)+MATCH(B1067,{"AM","PM","NIGHT","WD"},0)-1-27+1,DAY(A1067))&amp;"",""))</f>
        <v/>
      </c>
      <c r="G1067" s="123">
        <f>IF(OR(A1067="",C1067="",B1067="",E1067=""),"",IFERROR(A1067&amp;"|"&amp;(27+4*(IFERROR(MATCH(C1067,Roster!$B$6:$B$65,0),MATCH(C1067,Roster!$C$6:$C$65,0))-1)+MATCH(B1067,{"AM","PM","NIGHT","WD"},0)-1),""))</f>
        <v/>
      </c>
    </row>
    <row r="1068">
      <c r="A1068" s="122" t="n"/>
      <c r="B1068" s="107" t="n"/>
      <c r="C1068" s="105" t="n"/>
      <c r="D1068" s="92">
        <f>IF(C1068="","",IFERROR(INDEX(Roster!$C$6:$C$65,IFERROR(MATCH(C1068,Roster!$B$6:$B$65,0),MATCH(C1068,Roster!$C$6:$C$65,0))),"not on the Roster"))</f>
        <v/>
      </c>
      <c r="E1068" s="106" t="n"/>
      <c r="F1068" s="104">
        <f>IF(OR(A1068="",C1068="",B1068=""),"",IFERROR(INDEX(CHOOSE(IF(YEAR(A1068)&gt;PlanYear,13,MONTH(A1068)),'Jan'!$D$27:$AH$266,'Feb'!$D$27:$AH$266,'Mar'!$D$27:$AH$266,'Apr'!$D$27:$AH$266,'May'!$D$27:$AH$266,'Jun'!$D$27:$AH$266,'Jul'!$D$27:$AH$266,'Aug'!$D$27:$AH$266,'Sep'!$D$27:$AH$266,'Oct'!$D$27:$AH$266,'Nov'!$D$27:$AH$266,'Dec'!$D$27:$AH$266,'Jan (next year)'!$D$27:$AH$266),27+4*(IFERROR(MATCH(C1068,Roster!$B$6:$B$65,0),MATCH(C1068,Roster!$C$6:$C$65,0))-1)+MATCH(B1068,{"AM","PM","NIGHT","WD"},0)-1-27+1,DAY(A1068))&amp;"",""))</f>
        <v/>
      </c>
      <c r="G1068" s="123">
        <f>IF(OR(A1068="",C1068="",B1068="",E1068=""),"",IFERROR(A1068&amp;"|"&amp;(27+4*(IFERROR(MATCH(C1068,Roster!$B$6:$B$65,0),MATCH(C1068,Roster!$C$6:$C$65,0))-1)+MATCH(B1068,{"AM","PM","NIGHT","WD"},0)-1),""))</f>
        <v/>
      </c>
    </row>
    <row r="1069">
      <c r="A1069" s="122" t="n"/>
      <c r="B1069" s="107" t="n"/>
      <c r="C1069" s="105" t="n"/>
      <c r="D1069" s="92">
        <f>IF(C1069="","",IFERROR(INDEX(Roster!$C$6:$C$65,IFERROR(MATCH(C1069,Roster!$B$6:$B$65,0),MATCH(C1069,Roster!$C$6:$C$65,0))),"not on the Roster"))</f>
        <v/>
      </c>
      <c r="E1069" s="106" t="n"/>
      <c r="F1069" s="104">
        <f>IF(OR(A1069="",C1069="",B1069=""),"",IFERROR(INDEX(CHOOSE(IF(YEAR(A1069)&gt;PlanYear,13,MONTH(A1069)),'Jan'!$D$27:$AH$266,'Feb'!$D$27:$AH$266,'Mar'!$D$27:$AH$266,'Apr'!$D$27:$AH$266,'May'!$D$27:$AH$266,'Jun'!$D$27:$AH$266,'Jul'!$D$27:$AH$266,'Aug'!$D$27:$AH$266,'Sep'!$D$27:$AH$266,'Oct'!$D$27:$AH$266,'Nov'!$D$27:$AH$266,'Dec'!$D$27:$AH$266,'Jan (next year)'!$D$27:$AH$266),27+4*(IFERROR(MATCH(C1069,Roster!$B$6:$B$65,0),MATCH(C1069,Roster!$C$6:$C$65,0))-1)+MATCH(B1069,{"AM","PM","NIGHT","WD"},0)-1-27+1,DAY(A1069))&amp;"",""))</f>
        <v/>
      </c>
      <c r="G1069" s="123">
        <f>IF(OR(A1069="",C1069="",B1069="",E1069=""),"",IFERROR(A1069&amp;"|"&amp;(27+4*(IFERROR(MATCH(C1069,Roster!$B$6:$B$65,0),MATCH(C1069,Roster!$C$6:$C$65,0))-1)+MATCH(B1069,{"AM","PM","NIGHT","WD"},0)-1),""))</f>
        <v/>
      </c>
    </row>
    <row r="1070">
      <c r="A1070" s="122" t="n"/>
      <c r="B1070" s="107" t="n"/>
      <c r="C1070" s="105" t="n"/>
      <c r="D1070" s="92">
        <f>IF(C1070="","",IFERROR(INDEX(Roster!$C$6:$C$65,IFERROR(MATCH(C1070,Roster!$B$6:$B$65,0),MATCH(C1070,Roster!$C$6:$C$65,0))),"not on the Roster"))</f>
        <v/>
      </c>
      <c r="E1070" s="106" t="n"/>
      <c r="F1070" s="104">
        <f>IF(OR(A1070="",C1070="",B1070=""),"",IFERROR(INDEX(CHOOSE(IF(YEAR(A1070)&gt;PlanYear,13,MONTH(A1070)),'Jan'!$D$27:$AH$266,'Feb'!$D$27:$AH$266,'Mar'!$D$27:$AH$266,'Apr'!$D$27:$AH$266,'May'!$D$27:$AH$266,'Jun'!$D$27:$AH$266,'Jul'!$D$27:$AH$266,'Aug'!$D$27:$AH$266,'Sep'!$D$27:$AH$266,'Oct'!$D$27:$AH$266,'Nov'!$D$27:$AH$266,'Dec'!$D$27:$AH$266,'Jan (next year)'!$D$27:$AH$266),27+4*(IFERROR(MATCH(C1070,Roster!$B$6:$B$65,0),MATCH(C1070,Roster!$C$6:$C$65,0))-1)+MATCH(B1070,{"AM","PM","NIGHT","WD"},0)-1-27+1,DAY(A1070))&amp;"",""))</f>
        <v/>
      </c>
      <c r="G1070" s="123">
        <f>IF(OR(A1070="",C1070="",B1070="",E1070=""),"",IFERROR(A1070&amp;"|"&amp;(27+4*(IFERROR(MATCH(C1070,Roster!$B$6:$B$65,0),MATCH(C1070,Roster!$C$6:$C$65,0))-1)+MATCH(B1070,{"AM","PM","NIGHT","WD"},0)-1),""))</f>
        <v/>
      </c>
    </row>
    <row r="1071">
      <c r="A1071" s="122" t="n"/>
      <c r="B1071" s="107" t="n"/>
      <c r="C1071" s="105" t="n"/>
      <c r="D1071" s="92">
        <f>IF(C1071="","",IFERROR(INDEX(Roster!$C$6:$C$65,IFERROR(MATCH(C1071,Roster!$B$6:$B$65,0),MATCH(C1071,Roster!$C$6:$C$65,0))),"not on the Roster"))</f>
        <v/>
      </c>
      <c r="E1071" s="106" t="n"/>
      <c r="F1071" s="104">
        <f>IF(OR(A1071="",C1071="",B1071=""),"",IFERROR(INDEX(CHOOSE(IF(YEAR(A1071)&gt;PlanYear,13,MONTH(A1071)),'Jan'!$D$27:$AH$266,'Feb'!$D$27:$AH$266,'Mar'!$D$27:$AH$266,'Apr'!$D$27:$AH$266,'May'!$D$27:$AH$266,'Jun'!$D$27:$AH$266,'Jul'!$D$27:$AH$266,'Aug'!$D$27:$AH$266,'Sep'!$D$27:$AH$266,'Oct'!$D$27:$AH$266,'Nov'!$D$27:$AH$266,'Dec'!$D$27:$AH$266,'Jan (next year)'!$D$27:$AH$266),27+4*(IFERROR(MATCH(C1071,Roster!$B$6:$B$65,0),MATCH(C1071,Roster!$C$6:$C$65,0))-1)+MATCH(B1071,{"AM","PM","NIGHT","WD"},0)-1-27+1,DAY(A1071))&amp;"",""))</f>
        <v/>
      </c>
      <c r="G1071" s="123">
        <f>IF(OR(A1071="",C1071="",B1071="",E1071=""),"",IFERROR(A1071&amp;"|"&amp;(27+4*(IFERROR(MATCH(C1071,Roster!$B$6:$B$65,0),MATCH(C1071,Roster!$C$6:$C$65,0))-1)+MATCH(B1071,{"AM","PM","NIGHT","WD"},0)-1),""))</f>
        <v/>
      </c>
    </row>
    <row r="1072">
      <c r="A1072" s="122" t="n"/>
      <c r="B1072" s="107" t="n"/>
      <c r="C1072" s="105" t="n"/>
      <c r="D1072" s="92">
        <f>IF(C1072="","",IFERROR(INDEX(Roster!$C$6:$C$65,IFERROR(MATCH(C1072,Roster!$B$6:$B$65,0),MATCH(C1072,Roster!$C$6:$C$65,0))),"not on the Roster"))</f>
        <v/>
      </c>
      <c r="E1072" s="106" t="n"/>
      <c r="F1072" s="104">
        <f>IF(OR(A1072="",C1072="",B1072=""),"",IFERROR(INDEX(CHOOSE(IF(YEAR(A1072)&gt;PlanYear,13,MONTH(A1072)),'Jan'!$D$27:$AH$266,'Feb'!$D$27:$AH$266,'Mar'!$D$27:$AH$266,'Apr'!$D$27:$AH$266,'May'!$D$27:$AH$266,'Jun'!$D$27:$AH$266,'Jul'!$D$27:$AH$266,'Aug'!$D$27:$AH$266,'Sep'!$D$27:$AH$266,'Oct'!$D$27:$AH$266,'Nov'!$D$27:$AH$266,'Dec'!$D$27:$AH$266,'Jan (next year)'!$D$27:$AH$266),27+4*(IFERROR(MATCH(C1072,Roster!$B$6:$B$65,0),MATCH(C1072,Roster!$C$6:$C$65,0))-1)+MATCH(B1072,{"AM","PM","NIGHT","WD"},0)-1-27+1,DAY(A1072))&amp;"",""))</f>
        <v/>
      </c>
      <c r="G1072" s="123">
        <f>IF(OR(A1072="",C1072="",B1072="",E1072=""),"",IFERROR(A1072&amp;"|"&amp;(27+4*(IFERROR(MATCH(C1072,Roster!$B$6:$B$65,0),MATCH(C1072,Roster!$C$6:$C$65,0))-1)+MATCH(B1072,{"AM","PM","NIGHT","WD"},0)-1),""))</f>
        <v/>
      </c>
    </row>
    <row r="1073">
      <c r="A1073" s="122" t="n"/>
      <c r="B1073" s="107" t="n"/>
      <c r="C1073" s="105" t="n"/>
      <c r="D1073" s="92">
        <f>IF(C1073="","",IFERROR(INDEX(Roster!$C$6:$C$65,IFERROR(MATCH(C1073,Roster!$B$6:$B$65,0),MATCH(C1073,Roster!$C$6:$C$65,0))),"not on the Roster"))</f>
        <v/>
      </c>
      <c r="E1073" s="106" t="n"/>
      <c r="F1073" s="104">
        <f>IF(OR(A1073="",C1073="",B1073=""),"",IFERROR(INDEX(CHOOSE(IF(YEAR(A1073)&gt;PlanYear,13,MONTH(A1073)),'Jan'!$D$27:$AH$266,'Feb'!$D$27:$AH$266,'Mar'!$D$27:$AH$266,'Apr'!$D$27:$AH$266,'May'!$D$27:$AH$266,'Jun'!$D$27:$AH$266,'Jul'!$D$27:$AH$266,'Aug'!$D$27:$AH$266,'Sep'!$D$27:$AH$266,'Oct'!$D$27:$AH$266,'Nov'!$D$27:$AH$266,'Dec'!$D$27:$AH$266,'Jan (next year)'!$D$27:$AH$266),27+4*(IFERROR(MATCH(C1073,Roster!$B$6:$B$65,0),MATCH(C1073,Roster!$C$6:$C$65,0))-1)+MATCH(B1073,{"AM","PM","NIGHT","WD"},0)-1-27+1,DAY(A1073))&amp;"",""))</f>
        <v/>
      </c>
      <c r="G1073" s="123">
        <f>IF(OR(A1073="",C1073="",B1073="",E1073=""),"",IFERROR(A1073&amp;"|"&amp;(27+4*(IFERROR(MATCH(C1073,Roster!$B$6:$B$65,0),MATCH(C1073,Roster!$C$6:$C$65,0))-1)+MATCH(B1073,{"AM","PM","NIGHT","WD"},0)-1),""))</f>
        <v/>
      </c>
    </row>
    <row r="1074">
      <c r="A1074" s="122" t="n"/>
      <c r="B1074" s="107" t="n"/>
      <c r="C1074" s="105" t="n"/>
      <c r="D1074" s="92">
        <f>IF(C1074="","",IFERROR(INDEX(Roster!$C$6:$C$65,IFERROR(MATCH(C1074,Roster!$B$6:$B$65,0),MATCH(C1074,Roster!$C$6:$C$65,0))),"not on the Roster"))</f>
        <v/>
      </c>
      <c r="E1074" s="106" t="n"/>
      <c r="F1074" s="104">
        <f>IF(OR(A1074="",C1074="",B1074=""),"",IFERROR(INDEX(CHOOSE(IF(YEAR(A1074)&gt;PlanYear,13,MONTH(A1074)),'Jan'!$D$27:$AH$266,'Feb'!$D$27:$AH$266,'Mar'!$D$27:$AH$266,'Apr'!$D$27:$AH$266,'May'!$D$27:$AH$266,'Jun'!$D$27:$AH$266,'Jul'!$D$27:$AH$266,'Aug'!$D$27:$AH$266,'Sep'!$D$27:$AH$266,'Oct'!$D$27:$AH$266,'Nov'!$D$27:$AH$266,'Dec'!$D$27:$AH$266,'Jan (next year)'!$D$27:$AH$266),27+4*(IFERROR(MATCH(C1074,Roster!$B$6:$B$65,0),MATCH(C1074,Roster!$C$6:$C$65,0))-1)+MATCH(B1074,{"AM","PM","NIGHT","WD"},0)-1-27+1,DAY(A1074))&amp;"",""))</f>
        <v/>
      </c>
      <c r="G1074" s="123">
        <f>IF(OR(A1074="",C1074="",B1074="",E1074=""),"",IFERROR(A1074&amp;"|"&amp;(27+4*(IFERROR(MATCH(C1074,Roster!$B$6:$B$65,0),MATCH(C1074,Roster!$C$6:$C$65,0))-1)+MATCH(B1074,{"AM","PM","NIGHT","WD"},0)-1),""))</f>
        <v/>
      </c>
    </row>
    <row r="1075">
      <c r="A1075" s="122" t="n"/>
      <c r="B1075" s="107" t="n"/>
      <c r="C1075" s="105" t="n"/>
      <c r="D1075" s="92">
        <f>IF(C1075="","",IFERROR(INDEX(Roster!$C$6:$C$65,IFERROR(MATCH(C1075,Roster!$B$6:$B$65,0),MATCH(C1075,Roster!$C$6:$C$65,0))),"not on the Roster"))</f>
        <v/>
      </c>
      <c r="E1075" s="106" t="n"/>
      <c r="F1075" s="104">
        <f>IF(OR(A1075="",C1075="",B1075=""),"",IFERROR(INDEX(CHOOSE(IF(YEAR(A1075)&gt;PlanYear,13,MONTH(A1075)),'Jan'!$D$27:$AH$266,'Feb'!$D$27:$AH$266,'Mar'!$D$27:$AH$266,'Apr'!$D$27:$AH$266,'May'!$D$27:$AH$266,'Jun'!$D$27:$AH$266,'Jul'!$D$27:$AH$266,'Aug'!$D$27:$AH$266,'Sep'!$D$27:$AH$266,'Oct'!$D$27:$AH$266,'Nov'!$D$27:$AH$266,'Dec'!$D$27:$AH$266,'Jan (next year)'!$D$27:$AH$266),27+4*(IFERROR(MATCH(C1075,Roster!$B$6:$B$65,0),MATCH(C1075,Roster!$C$6:$C$65,0))-1)+MATCH(B1075,{"AM","PM","NIGHT","WD"},0)-1-27+1,DAY(A1075))&amp;"",""))</f>
        <v/>
      </c>
      <c r="G1075" s="123">
        <f>IF(OR(A1075="",C1075="",B1075="",E1075=""),"",IFERROR(A1075&amp;"|"&amp;(27+4*(IFERROR(MATCH(C1075,Roster!$B$6:$B$65,0),MATCH(C1075,Roster!$C$6:$C$65,0))-1)+MATCH(B1075,{"AM","PM","NIGHT","WD"},0)-1),""))</f>
        <v/>
      </c>
    </row>
    <row r="1076">
      <c r="A1076" s="122" t="n"/>
      <c r="B1076" s="107" t="n"/>
      <c r="C1076" s="105" t="n"/>
      <c r="D1076" s="92">
        <f>IF(C1076="","",IFERROR(INDEX(Roster!$C$6:$C$65,IFERROR(MATCH(C1076,Roster!$B$6:$B$65,0),MATCH(C1076,Roster!$C$6:$C$65,0))),"not on the Roster"))</f>
        <v/>
      </c>
      <c r="E1076" s="106" t="n"/>
      <c r="F1076" s="104">
        <f>IF(OR(A1076="",C1076="",B1076=""),"",IFERROR(INDEX(CHOOSE(IF(YEAR(A1076)&gt;PlanYear,13,MONTH(A1076)),'Jan'!$D$27:$AH$266,'Feb'!$D$27:$AH$266,'Mar'!$D$27:$AH$266,'Apr'!$D$27:$AH$266,'May'!$D$27:$AH$266,'Jun'!$D$27:$AH$266,'Jul'!$D$27:$AH$266,'Aug'!$D$27:$AH$266,'Sep'!$D$27:$AH$266,'Oct'!$D$27:$AH$266,'Nov'!$D$27:$AH$266,'Dec'!$D$27:$AH$266,'Jan (next year)'!$D$27:$AH$266),27+4*(IFERROR(MATCH(C1076,Roster!$B$6:$B$65,0),MATCH(C1076,Roster!$C$6:$C$65,0))-1)+MATCH(B1076,{"AM","PM","NIGHT","WD"},0)-1-27+1,DAY(A1076))&amp;"",""))</f>
        <v/>
      </c>
      <c r="G1076" s="123">
        <f>IF(OR(A1076="",C1076="",B1076="",E1076=""),"",IFERROR(A1076&amp;"|"&amp;(27+4*(IFERROR(MATCH(C1076,Roster!$B$6:$B$65,0),MATCH(C1076,Roster!$C$6:$C$65,0))-1)+MATCH(B1076,{"AM","PM","NIGHT","WD"},0)-1),""))</f>
        <v/>
      </c>
    </row>
    <row r="1077">
      <c r="A1077" s="122" t="n"/>
      <c r="B1077" s="107" t="n"/>
      <c r="C1077" s="105" t="n"/>
      <c r="D1077" s="92">
        <f>IF(C1077="","",IFERROR(INDEX(Roster!$C$6:$C$65,IFERROR(MATCH(C1077,Roster!$B$6:$B$65,0),MATCH(C1077,Roster!$C$6:$C$65,0))),"not on the Roster"))</f>
        <v/>
      </c>
      <c r="E1077" s="106" t="n"/>
      <c r="F1077" s="104">
        <f>IF(OR(A1077="",C1077="",B1077=""),"",IFERROR(INDEX(CHOOSE(IF(YEAR(A1077)&gt;PlanYear,13,MONTH(A1077)),'Jan'!$D$27:$AH$266,'Feb'!$D$27:$AH$266,'Mar'!$D$27:$AH$266,'Apr'!$D$27:$AH$266,'May'!$D$27:$AH$266,'Jun'!$D$27:$AH$266,'Jul'!$D$27:$AH$266,'Aug'!$D$27:$AH$266,'Sep'!$D$27:$AH$266,'Oct'!$D$27:$AH$266,'Nov'!$D$27:$AH$266,'Dec'!$D$27:$AH$266,'Jan (next year)'!$D$27:$AH$266),27+4*(IFERROR(MATCH(C1077,Roster!$B$6:$B$65,0),MATCH(C1077,Roster!$C$6:$C$65,0))-1)+MATCH(B1077,{"AM","PM","NIGHT","WD"},0)-1-27+1,DAY(A1077))&amp;"",""))</f>
        <v/>
      </c>
      <c r="G1077" s="123">
        <f>IF(OR(A1077="",C1077="",B1077="",E1077=""),"",IFERROR(A1077&amp;"|"&amp;(27+4*(IFERROR(MATCH(C1077,Roster!$B$6:$B$65,0),MATCH(C1077,Roster!$C$6:$C$65,0))-1)+MATCH(B1077,{"AM","PM","NIGHT","WD"},0)-1),""))</f>
        <v/>
      </c>
    </row>
    <row r="1078">
      <c r="A1078" s="122" t="n"/>
      <c r="B1078" s="107" t="n"/>
      <c r="C1078" s="105" t="n"/>
      <c r="D1078" s="92">
        <f>IF(C1078="","",IFERROR(INDEX(Roster!$C$6:$C$65,IFERROR(MATCH(C1078,Roster!$B$6:$B$65,0),MATCH(C1078,Roster!$C$6:$C$65,0))),"not on the Roster"))</f>
        <v/>
      </c>
      <c r="E1078" s="106" t="n"/>
      <c r="F1078" s="104">
        <f>IF(OR(A1078="",C1078="",B1078=""),"",IFERROR(INDEX(CHOOSE(IF(YEAR(A1078)&gt;PlanYear,13,MONTH(A1078)),'Jan'!$D$27:$AH$266,'Feb'!$D$27:$AH$266,'Mar'!$D$27:$AH$266,'Apr'!$D$27:$AH$266,'May'!$D$27:$AH$266,'Jun'!$D$27:$AH$266,'Jul'!$D$27:$AH$266,'Aug'!$D$27:$AH$266,'Sep'!$D$27:$AH$266,'Oct'!$D$27:$AH$266,'Nov'!$D$27:$AH$266,'Dec'!$D$27:$AH$266,'Jan (next year)'!$D$27:$AH$266),27+4*(IFERROR(MATCH(C1078,Roster!$B$6:$B$65,0),MATCH(C1078,Roster!$C$6:$C$65,0))-1)+MATCH(B1078,{"AM","PM","NIGHT","WD"},0)-1-27+1,DAY(A1078))&amp;"",""))</f>
        <v/>
      </c>
      <c r="G1078" s="123">
        <f>IF(OR(A1078="",C1078="",B1078="",E1078=""),"",IFERROR(A1078&amp;"|"&amp;(27+4*(IFERROR(MATCH(C1078,Roster!$B$6:$B$65,0),MATCH(C1078,Roster!$C$6:$C$65,0))-1)+MATCH(B1078,{"AM","PM","NIGHT","WD"},0)-1),""))</f>
        <v/>
      </c>
    </row>
    <row r="1079">
      <c r="A1079" s="122" t="n"/>
      <c r="B1079" s="107" t="n"/>
      <c r="C1079" s="105" t="n"/>
      <c r="D1079" s="92">
        <f>IF(C1079="","",IFERROR(INDEX(Roster!$C$6:$C$65,IFERROR(MATCH(C1079,Roster!$B$6:$B$65,0),MATCH(C1079,Roster!$C$6:$C$65,0))),"not on the Roster"))</f>
        <v/>
      </c>
      <c r="E1079" s="106" t="n"/>
      <c r="F1079" s="104">
        <f>IF(OR(A1079="",C1079="",B1079=""),"",IFERROR(INDEX(CHOOSE(IF(YEAR(A1079)&gt;PlanYear,13,MONTH(A1079)),'Jan'!$D$27:$AH$266,'Feb'!$D$27:$AH$266,'Mar'!$D$27:$AH$266,'Apr'!$D$27:$AH$266,'May'!$D$27:$AH$266,'Jun'!$D$27:$AH$266,'Jul'!$D$27:$AH$266,'Aug'!$D$27:$AH$266,'Sep'!$D$27:$AH$266,'Oct'!$D$27:$AH$266,'Nov'!$D$27:$AH$266,'Dec'!$D$27:$AH$266,'Jan (next year)'!$D$27:$AH$266),27+4*(IFERROR(MATCH(C1079,Roster!$B$6:$B$65,0),MATCH(C1079,Roster!$C$6:$C$65,0))-1)+MATCH(B1079,{"AM","PM","NIGHT","WD"},0)-1-27+1,DAY(A1079))&amp;"",""))</f>
        <v/>
      </c>
      <c r="G1079" s="123">
        <f>IF(OR(A1079="",C1079="",B1079="",E1079=""),"",IFERROR(A1079&amp;"|"&amp;(27+4*(IFERROR(MATCH(C1079,Roster!$B$6:$B$65,0),MATCH(C1079,Roster!$C$6:$C$65,0))-1)+MATCH(B1079,{"AM","PM","NIGHT","WD"},0)-1),""))</f>
        <v/>
      </c>
    </row>
    <row r="1080">
      <c r="A1080" s="122" t="n"/>
      <c r="B1080" s="107" t="n"/>
      <c r="C1080" s="105" t="n"/>
      <c r="D1080" s="92">
        <f>IF(C1080="","",IFERROR(INDEX(Roster!$C$6:$C$65,IFERROR(MATCH(C1080,Roster!$B$6:$B$65,0),MATCH(C1080,Roster!$C$6:$C$65,0))),"not on the Roster"))</f>
        <v/>
      </c>
      <c r="E1080" s="106" t="n"/>
      <c r="F1080" s="104">
        <f>IF(OR(A1080="",C1080="",B1080=""),"",IFERROR(INDEX(CHOOSE(IF(YEAR(A1080)&gt;PlanYear,13,MONTH(A1080)),'Jan'!$D$27:$AH$266,'Feb'!$D$27:$AH$266,'Mar'!$D$27:$AH$266,'Apr'!$D$27:$AH$266,'May'!$D$27:$AH$266,'Jun'!$D$27:$AH$266,'Jul'!$D$27:$AH$266,'Aug'!$D$27:$AH$266,'Sep'!$D$27:$AH$266,'Oct'!$D$27:$AH$266,'Nov'!$D$27:$AH$266,'Dec'!$D$27:$AH$266,'Jan (next year)'!$D$27:$AH$266),27+4*(IFERROR(MATCH(C1080,Roster!$B$6:$B$65,0),MATCH(C1080,Roster!$C$6:$C$65,0))-1)+MATCH(B1080,{"AM","PM","NIGHT","WD"},0)-1-27+1,DAY(A1080))&amp;"",""))</f>
        <v/>
      </c>
      <c r="G1080" s="123">
        <f>IF(OR(A1080="",C1080="",B1080="",E1080=""),"",IFERROR(A1080&amp;"|"&amp;(27+4*(IFERROR(MATCH(C1080,Roster!$B$6:$B$65,0),MATCH(C1080,Roster!$C$6:$C$65,0))-1)+MATCH(B1080,{"AM","PM","NIGHT","WD"},0)-1),""))</f>
        <v/>
      </c>
    </row>
    <row r="1081">
      <c r="A1081" s="122" t="n"/>
      <c r="B1081" s="107" t="n"/>
      <c r="C1081" s="105" t="n"/>
      <c r="D1081" s="92">
        <f>IF(C1081="","",IFERROR(INDEX(Roster!$C$6:$C$65,IFERROR(MATCH(C1081,Roster!$B$6:$B$65,0),MATCH(C1081,Roster!$C$6:$C$65,0))),"not on the Roster"))</f>
        <v/>
      </c>
      <c r="E1081" s="106" t="n"/>
      <c r="F1081" s="104">
        <f>IF(OR(A1081="",C1081="",B1081=""),"",IFERROR(INDEX(CHOOSE(IF(YEAR(A1081)&gt;PlanYear,13,MONTH(A1081)),'Jan'!$D$27:$AH$266,'Feb'!$D$27:$AH$266,'Mar'!$D$27:$AH$266,'Apr'!$D$27:$AH$266,'May'!$D$27:$AH$266,'Jun'!$D$27:$AH$266,'Jul'!$D$27:$AH$266,'Aug'!$D$27:$AH$266,'Sep'!$D$27:$AH$266,'Oct'!$D$27:$AH$266,'Nov'!$D$27:$AH$266,'Dec'!$D$27:$AH$266,'Jan (next year)'!$D$27:$AH$266),27+4*(IFERROR(MATCH(C1081,Roster!$B$6:$B$65,0),MATCH(C1081,Roster!$C$6:$C$65,0))-1)+MATCH(B1081,{"AM","PM","NIGHT","WD"},0)-1-27+1,DAY(A1081))&amp;"",""))</f>
        <v/>
      </c>
      <c r="G1081" s="123">
        <f>IF(OR(A1081="",C1081="",B1081="",E1081=""),"",IFERROR(A1081&amp;"|"&amp;(27+4*(IFERROR(MATCH(C1081,Roster!$B$6:$B$65,0),MATCH(C1081,Roster!$C$6:$C$65,0))-1)+MATCH(B1081,{"AM","PM","NIGHT","WD"},0)-1),""))</f>
        <v/>
      </c>
    </row>
    <row r="1082">
      <c r="A1082" s="122" t="n"/>
      <c r="B1082" s="107" t="n"/>
      <c r="C1082" s="105" t="n"/>
      <c r="D1082" s="92">
        <f>IF(C1082="","",IFERROR(INDEX(Roster!$C$6:$C$65,IFERROR(MATCH(C1082,Roster!$B$6:$B$65,0),MATCH(C1082,Roster!$C$6:$C$65,0))),"not on the Roster"))</f>
        <v/>
      </c>
      <c r="E1082" s="106" t="n"/>
      <c r="F1082" s="104">
        <f>IF(OR(A1082="",C1082="",B1082=""),"",IFERROR(INDEX(CHOOSE(IF(YEAR(A1082)&gt;PlanYear,13,MONTH(A1082)),'Jan'!$D$27:$AH$266,'Feb'!$D$27:$AH$266,'Mar'!$D$27:$AH$266,'Apr'!$D$27:$AH$266,'May'!$D$27:$AH$266,'Jun'!$D$27:$AH$266,'Jul'!$D$27:$AH$266,'Aug'!$D$27:$AH$266,'Sep'!$D$27:$AH$266,'Oct'!$D$27:$AH$266,'Nov'!$D$27:$AH$266,'Dec'!$D$27:$AH$266,'Jan (next year)'!$D$27:$AH$266),27+4*(IFERROR(MATCH(C1082,Roster!$B$6:$B$65,0),MATCH(C1082,Roster!$C$6:$C$65,0))-1)+MATCH(B1082,{"AM","PM","NIGHT","WD"},0)-1-27+1,DAY(A1082))&amp;"",""))</f>
        <v/>
      </c>
      <c r="G1082" s="123">
        <f>IF(OR(A1082="",C1082="",B1082="",E1082=""),"",IFERROR(A1082&amp;"|"&amp;(27+4*(IFERROR(MATCH(C1082,Roster!$B$6:$B$65,0),MATCH(C1082,Roster!$C$6:$C$65,0))-1)+MATCH(B1082,{"AM","PM","NIGHT","WD"},0)-1),""))</f>
        <v/>
      </c>
    </row>
    <row r="1083">
      <c r="A1083" s="122" t="n"/>
      <c r="B1083" s="107" t="n"/>
      <c r="C1083" s="105" t="n"/>
      <c r="D1083" s="92">
        <f>IF(C1083="","",IFERROR(INDEX(Roster!$C$6:$C$65,IFERROR(MATCH(C1083,Roster!$B$6:$B$65,0),MATCH(C1083,Roster!$C$6:$C$65,0))),"not on the Roster"))</f>
        <v/>
      </c>
      <c r="E1083" s="106" t="n"/>
      <c r="F1083" s="104">
        <f>IF(OR(A1083="",C1083="",B1083=""),"",IFERROR(INDEX(CHOOSE(IF(YEAR(A1083)&gt;PlanYear,13,MONTH(A1083)),'Jan'!$D$27:$AH$266,'Feb'!$D$27:$AH$266,'Mar'!$D$27:$AH$266,'Apr'!$D$27:$AH$266,'May'!$D$27:$AH$266,'Jun'!$D$27:$AH$266,'Jul'!$D$27:$AH$266,'Aug'!$D$27:$AH$266,'Sep'!$D$27:$AH$266,'Oct'!$D$27:$AH$266,'Nov'!$D$27:$AH$266,'Dec'!$D$27:$AH$266,'Jan (next year)'!$D$27:$AH$266),27+4*(IFERROR(MATCH(C1083,Roster!$B$6:$B$65,0),MATCH(C1083,Roster!$C$6:$C$65,0))-1)+MATCH(B1083,{"AM","PM","NIGHT","WD"},0)-1-27+1,DAY(A1083))&amp;"",""))</f>
        <v/>
      </c>
      <c r="G1083" s="123">
        <f>IF(OR(A1083="",C1083="",B1083="",E1083=""),"",IFERROR(A1083&amp;"|"&amp;(27+4*(IFERROR(MATCH(C1083,Roster!$B$6:$B$65,0),MATCH(C1083,Roster!$C$6:$C$65,0))-1)+MATCH(B1083,{"AM","PM","NIGHT","WD"},0)-1),""))</f>
        <v/>
      </c>
    </row>
    <row r="1084">
      <c r="A1084" s="122" t="n"/>
      <c r="B1084" s="107" t="n"/>
      <c r="C1084" s="105" t="n"/>
      <c r="D1084" s="92">
        <f>IF(C1084="","",IFERROR(INDEX(Roster!$C$6:$C$65,IFERROR(MATCH(C1084,Roster!$B$6:$B$65,0),MATCH(C1084,Roster!$C$6:$C$65,0))),"not on the Roster"))</f>
        <v/>
      </c>
      <c r="E1084" s="106" t="n"/>
      <c r="F1084" s="104">
        <f>IF(OR(A1084="",C1084="",B1084=""),"",IFERROR(INDEX(CHOOSE(IF(YEAR(A1084)&gt;PlanYear,13,MONTH(A1084)),'Jan'!$D$27:$AH$266,'Feb'!$D$27:$AH$266,'Mar'!$D$27:$AH$266,'Apr'!$D$27:$AH$266,'May'!$D$27:$AH$266,'Jun'!$D$27:$AH$266,'Jul'!$D$27:$AH$266,'Aug'!$D$27:$AH$266,'Sep'!$D$27:$AH$266,'Oct'!$D$27:$AH$266,'Nov'!$D$27:$AH$266,'Dec'!$D$27:$AH$266,'Jan (next year)'!$D$27:$AH$266),27+4*(IFERROR(MATCH(C1084,Roster!$B$6:$B$65,0),MATCH(C1084,Roster!$C$6:$C$65,0))-1)+MATCH(B1084,{"AM","PM","NIGHT","WD"},0)-1-27+1,DAY(A1084))&amp;"",""))</f>
        <v/>
      </c>
      <c r="G1084" s="123">
        <f>IF(OR(A1084="",C1084="",B1084="",E1084=""),"",IFERROR(A1084&amp;"|"&amp;(27+4*(IFERROR(MATCH(C1084,Roster!$B$6:$B$65,0),MATCH(C1084,Roster!$C$6:$C$65,0))-1)+MATCH(B1084,{"AM","PM","NIGHT","WD"},0)-1),""))</f>
        <v/>
      </c>
    </row>
    <row r="1085">
      <c r="A1085" s="122" t="n"/>
      <c r="B1085" s="107" t="n"/>
      <c r="C1085" s="105" t="n"/>
      <c r="D1085" s="92">
        <f>IF(C1085="","",IFERROR(INDEX(Roster!$C$6:$C$65,IFERROR(MATCH(C1085,Roster!$B$6:$B$65,0),MATCH(C1085,Roster!$C$6:$C$65,0))),"not on the Roster"))</f>
        <v/>
      </c>
      <c r="E1085" s="106" t="n"/>
      <c r="F1085" s="104">
        <f>IF(OR(A1085="",C1085="",B1085=""),"",IFERROR(INDEX(CHOOSE(IF(YEAR(A1085)&gt;PlanYear,13,MONTH(A1085)),'Jan'!$D$27:$AH$266,'Feb'!$D$27:$AH$266,'Mar'!$D$27:$AH$266,'Apr'!$D$27:$AH$266,'May'!$D$27:$AH$266,'Jun'!$D$27:$AH$266,'Jul'!$D$27:$AH$266,'Aug'!$D$27:$AH$266,'Sep'!$D$27:$AH$266,'Oct'!$D$27:$AH$266,'Nov'!$D$27:$AH$266,'Dec'!$D$27:$AH$266,'Jan (next year)'!$D$27:$AH$266),27+4*(IFERROR(MATCH(C1085,Roster!$B$6:$B$65,0),MATCH(C1085,Roster!$C$6:$C$65,0))-1)+MATCH(B1085,{"AM","PM","NIGHT","WD"},0)-1-27+1,DAY(A1085))&amp;"",""))</f>
        <v/>
      </c>
      <c r="G1085" s="123">
        <f>IF(OR(A1085="",C1085="",B1085="",E1085=""),"",IFERROR(A1085&amp;"|"&amp;(27+4*(IFERROR(MATCH(C1085,Roster!$B$6:$B$65,0),MATCH(C1085,Roster!$C$6:$C$65,0))-1)+MATCH(B1085,{"AM","PM","NIGHT","WD"},0)-1),""))</f>
        <v/>
      </c>
    </row>
    <row r="1086">
      <c r="A1086" s="122" t="n"/>
      <c r="B1086" s="107" t="n"/>
      <c r="C1086" s="105" t="n"/>
      <c r="D1086" s="92">
        <f>IF(C1086="","",IFERROR(INDEX(Roster!$C$6:$C$65,IFERROR(MATCH(C1086,Roster!$B$6:$B$65,0),MATCH(C1086,Roster!$C$6:$C$65,0))),"not on the Roster"))</f>
        <v/>
      </c>
      <c r="E1086" s="106" t="n"/>
      <c r="F1086" s="104">
        <f>IF(OR(A1086="",C1086="",B1086=""),"",IFERROR(INDEX(CHOOSE(IF(YEAR(A1086)&gt;PlanYear,13,MONTH(A1086)),'Jan'!$D$27:$AH$266,'Feb'!$D$27:$AH$266,'Mar'!$D$27:$AH$266,'Apr'!$D$27:$AH$266,'May'!$D$27:$AH$266,'Jun'!$D$27:$AH$266,'Jul'!$D$27:$AH$266,'Aug'!$D$27:$AH$266,'Sep'!$D$27:$AH$266,'Oct'!$D$27:$AH$266,'Nov'!$D$27:$AH$266,'Dec'!$D$27:$AH$266,'Jan (next year)'!$D$27:$AH$266),27+4*(IFERROR(MATCH(C1086,Roster!$B$6:$B$65,0),MATCH(C1086,Roster!$C$6:$C$65,0))-1)+MATCH(B1086,{"AM","PM","NIGHT","WD"},0)-1-27+1,DAY(A1086))&amp;"",""))</f>
        <v/>
      </c>
      <c r="G1086" s="123">
        <f>IF(OR(A1086="",C1086="",B1086="",E1086=""),"",IFERROR(A1086&amp;"|"&amp;(27+4*(IFERROR(MATCH(C1086,Roster!$B$6:$B$65,0),MATCH(C1086,Roster!$C$6:$C$65,0))-1)+MATCH(B1086,{"AM","PM","NIGHT","WD"},0)-1),""))</f>
        <v/>
      </c>
    </row>
    <row r="1087">
      <c r="A1087" s="122" t="n"/>
      <c r="B1087" s="107" t="n"/>
      <c r="C1087" s="105" t="n"/>
      <c r="D1087" s="92">
        <f>IF(C1087="","",IFERROR(INDEX(Roster!$C$6:$C$65,IFERROR(MATCH(C1087,Roster!$B$6:$B$65,0),MATCH(C1087,Roster!$C$6:$C$65,0))),"not on the Roster"))</f>
        <v/>
      </c>
      <c r="E1087" s="106" t="n"/>
      <c r="F1087" s="104">
        <f>IF(OR(A1087="",C1087="",B1087=""),"",IFERROR(INDEX(CHOOSE(IF(YEAR(A1087)&gt;PlanYear,13,MONTH(A1087)),'Jan'!$D$27:$AH$266,'Feb'!$D$27:$AH$266,'Mar'!$D$27:$AH$266,'Apr'!$D$27:$AH$266,'May'!$D$27:$AH$266,'Jun'!$D$27:$AH$266,'Jul'!$D$27:$AH$266,'Aug'!$D$27:$AH$266,'Sep'!$D$27:$AH$266,'Oct'!$D$27:$AH$266,'Nov'!$D$27:$AH$266,'Dec'!$D$27:$AH$266,'Jan (next year)'!$D$27:$AH$266),27+4*(IFERROR(MATCH(C1087,Roster!$B$6:$B$65,0),MATCH(C1087,Roster!$C$6:$C$65,0))-1)+MATCH(B1087,{"AM","PM","NIGHT","WD"},0)-1-27+1,DAY(A1087))&amp;"",""))</f>
        <v/>
      </c>
      <c r="G1087" s="123">
        <f>IF(OR(A1087="",C1087="",B1087="",E1087=""),"",IFERROR(A1087&amp;"|"&amp;(27+4*(IFERROR(MATCH(C1087,Roster!$B$6:$B$65,0),MATCH(C1087,Roster!$C$6:$C$65,0))-1)+MATCH(B1087,{"AM","PM","NIGHT","WD"},0)-1),""))</f>
        <v/>
      </c>
    </row>
    <row r="1088">
      <c r="A1088" s="122" t="n"/>
      <c r="B1088" s="107" t="n"/>
      <c r="C1088" s="105" t="n"/>
      <c r="D1088" s="92">
        <f>IF(C1088="","",IFERROR(INDEX(Roster!$C$6:$C$65,IFERROR(MATCH(C1088,Roster!$B$6:$B$65,0),MATCH(C1088,Roster!$C$6:$C$65,0))),"not on the Roster"))</f>
        <v/>
      </c>
      <c r="E1088" s="106" t="n"/>
      <c r="F1088" s="104">
        <f>IF(OR(A1088="",C1088="",B1088=""),"",IFERROR(INDEX(CHOOSE(IF(YEAR(A1088)&gt;PlanYear,13,MONTH(A1088)),'Jan'!$D$27:$AH$266,'Feb'!$D$27:$AH$266,'Mar'!$D$27:$AH$266,'Apr'!$D$27:$AH$266,'May'!$D$27:$AH$266,'Jun'!$D$27:$AH$266,'Jul'!$D$27:$AH$266,'Aug'!$D$27:$AH$266,'Sep'!$D$27:$AH$266,'Oct'!$D$27:$AH$266,'Nov'!$D$27:$AH$266,'Dec'!$D$27:$AH$266,'Jan (next year)'!$D$27:$AH$266),27+4*(IFERROR(MATCH(C1088,Roster!$B$6:$B$65,0),MATCH(C1088,Roster!$C$6:$C$65,0))-1)+MATCH(B1088,{"AM","PM","NIGHT","WD"},0)-1-27+1,DAY(A1088))&amp;"",""))</f>
        <v/>
      </c>
      <c r="G1088" s="123">
        <f>IF(OR(A1088="",C1088="",B1088="",E1088=""),"",IFERROR(A1088&amp;"|"&amp;(27+4*(IFERROR(MATCH(C1088,Roster!$B$6:$B$65,0),MATCH(C1088,Roster!$C$6:$C$65,0))-1)+MATCH(B1088,{"AM","PM","NIGHT","WD"},0)-1),""))</f>
        <v/>
      </c>
    </row>
    <row r="1089">
      <c r="A1089" s="122" t="n"/>
      <c r="B1089" s="107" t="n"/>
      <c r="C1089" s="105" t="n"/>
      <c r="D1089" s="92">
        <f>IF(C1089="","",IFERROR(INDEX(Roster!$C$6:$C$65,IFERROR(MATCH(C1089,Roster!$B$6:$B$65,0),MATCH(C1089,Roster!$C$6:$C$65,0))),"not on the Roster"))</f>
        <v/>
      </c>
      <c r="E1089" s="106" t="n"/>
      <c r="F1089" s="104">
        <f>IF(OR(A1089="",C1089="",B1089=""),"",IFERROR(INDEX(CHOOSE(IF(YEAR(A1089)&gt;PlanYear,13,MONTH(A1089)),'Jan'!$D$27:$AH$266,'Feb'!$D$27:$AH$266,'Mar'!$D$27:$AH$266,'Apr'!$D$27:$AH$266,'May'!$D$27:$AH$266,'Jun'!$D$27:$AH$266,'Jul'!$D$27:$AH$266,'Aug'!$D$27:$AH$266,'Sep'!$D$27:$AH$266,'Oct'!$D$27:$AH$266,'Nov'!$D$27:$AH$266,'Dec'!$D$27:$AH$266,'Jan (next year)'!$D$27:$AH$266),27+4*(IFERROR(MATCH(C1089,Roster!$B$6:$B$65,0),MATCH(C1089,Roster!$C$6:$C$65,0))-1)+MATCH(B1089,{"AM","PM","NIGHT","WD"},0)-1-27+1,DAY(A1089))&amp;"",""))</f>
        <v/>
      </c>
      <c r="G1089" s="123">
        <f>IF(OR(A1089="",C1089="",B1089="",E1089=""),"",IFERROR(A1089&amp;"|"&amp;(27+4*(IFERROR(MATCH(C1089,Roster!$B$6:$B$65,0),MATCH(C1089,Roster!$C$6:$C$65,0))-1)+MATCH(B1089,{"AM","PM","NIGHT","WD"},0)-1),""))</f>
        <v/>
      </c>
    </row>
    <row r="1090">
      <c r="A1090" s="122" t="n"/>
      <c r="B1090" s="107" t="n"/>
      <c r="C1090" s="105" t="n"/>
      <c r="D1090" s="92">
        <f>IF(C1090="","",IFERROR(INDEX(Roster!$C$6:$C$65,IFERROR(MATCH(C1090,Roster!$B$6:$B$65,0),MATCH(C1090,Roster!$C$6:$C$65,0))),"not on the Roster"))</f>
        <v/>
      </c>
      <c r="E1090" s="106" t="n"/>
      <c r="F1090" s="104">
        <f>IF(OR(A1090="",C1090="",B1090=""),"",IFERROR(INDEX(CHOOSE(IF(YEAR(A1090)&gt;PlanYear,13,MONTH(A1090)),'Jan'!$D$27:$AH$266,'Feb'!$D$27:$AH$266,'Mar'!$D$27:$AH$266,'Apr'!$D$27:$AH$266,'May'!$D$27:$AH$266,'Jun'!$D$27:$AH$266,'Jul'!$D$27:$AH$266,'Aug'!$D$27:$AH$266,'Sep'!$D$27:$AH$266,'Oct'!$D$27:$AH$266,'Nov'!$D$27:$AH$266,'Dec'!$D$27:$AH$266,'Jan (next year)'!$D$27:$AH$266),27+4*(IFERROR(MATCH(C1090,Roster!$B$6:$B$65,0),MATCH(C1090,Roster!$C$6:$C$65,0))-1)+MATCH(B1090,{"AM","PM","NIGHT","WD"},0)-1-27+1,DAY(A1090))&amp;"",""))</f>
        <v/>
      </c>
      <c r="G1090" s="123">
        <f>IF(OR(A1090="",C1090="",B1090="",E1090=""),"",IFERROR(A1090&amp;"|"&amp;(27+4*(IFERROR(MATCH(C1090,Roster!$B$6:$B$65,0),MATCH(C1090,Roster!$C$6:$C$65,0))-1)+MATCH(B1090,{"AM","PM","NIGHT","WD"},0)-1),""))</f>
        <v/>
      </c>
    </row>
    <row r="1091">
      <c r="A1091" s="122" t="n"/>
      <c r="B1091" s="107" t="n"/>
      <c r="C1091" s="105" t="n"/>
      <c r="D1091" s="92">
        <f>IF(C1091="","",IFERROR(INDEX(Roster!$C$6:$C$65,IFERROR(MATCH(C1091,Roster!$B$6:$B$65,0),MATCH(C1091,Roster!$C$6:$C$65,0))),"not on the Roster"))</f>
        <v/>
      </c>
      <c r="E1091" s="106" t="n"/>
      <c r="F1091" s="104">
        <f>IF(OR(A1091="",C1091="",B1091=""),"",IFERROR(INDEX(CHOOSE(IF(YEAR(A1091)&gt;PlanYear,13,MONTH(A1091)),'Jan'!$D$27:$AH$266,'Feb'!$D$27:$AH$266,'Mar'!$D$27:$AH$266,'Apr'!$D$27:$AH$266,'May'!$D$27:$AH$266,'Jun'!$D$27:$AH$266,'Jul'!$D$27:$AH$266,'Aug'!$D$27:$AH$266,'Sep'!$D$27:$AH$266,'Oct'!$D$27:$AH$266,'Nov'!$D$27:$AH$266,'Dec'!$D$27:$AH$266,'Jan (next year)'!$D$27:$AH$266),27+4*(IFERROR(MATCH(C1091,Roster!$B$6:$B$65,0),MATCH(C1091,Roster!$C$6:$C$65,0))-1)+MATCH(B1091,{"AM","PM","NIGHT","WD"},0)-1-27+1,DAY(A1091))&amp;"",""))</f>
        <v/>
      </c>
      <c r="G1091" s="123">
        <f>IF(OR(A1091="",C1091="",B1091="",E1091=""),"",IFERROR(A1091&amp;"|"&amp;(27+4*(IFERROR(MATCH(C1091,Roster!$B$6:$B$65,0),MATCH(C1091,Roster!$C$6:$C$65,0))-1)+MATCH(B1091,{"AM","PM","NIGHT","WD"},0)-1),""))</f>
        <v/>
      </c>
    </row>
    <row r="1092">
      <c r="A1092" s="122" t="n"/>
      <c r="B1092" s="107" t="n"/>
      <c r="C1092" s="105" t="n"/>
      <c r="D1092" s="92">
        <f>IF(C1092="","",IFERROR(INDEX(Roster!$C$6:$C$65,IFERROR(MATCH(C1092,Roster!$B$6:$B$65,0),MATCH(C1092,Roster!$C$6:$C$65,0))),"not on the Roster"))</f>
        <v/>
      </c>
      <c r="E1092" s="106" t="n"/>
      <c r="F1092" s="104">
        <f>IF(OR(A1092="",C1092="",B1092=""),"",IFERROR(INDEX(CHOOSE(IF(YEAR(A1092)&gt;PlanYear,13,MONTH(A1092)),'Jan'!$D$27:$AH$266,'Feb'!$D$27:$AH$266,'Mar'!$D$27:$AH$266,'Apr'!$D$27:$AH$266,'May'!$D$27:$AH$266,'Jun'!$D$27:$AH$266,'Jul'!$D$27:$AH$266,'Aug'!$D$27:$AH$266,'Sep'!$D$27:$AH$266,'Oct'!$D$27:$AH$266,'Nov'!$D$27:$AH$266,'Dec'!$D$27:$AH$266,'Jan (next year)'!$D$27:$AH$266),27+4*(IFERROR(MATCH(C1092,Roster!$B$6:$B$65,0),MATCH(C1092,Roster!$C$6:$C$65,0))-1)+MATCH(B1092,{"AM","PM","NIGHT","WD"},0)-1-27+1,DAY(A1092))&amp;"",""))</f>
        <v/>
      </c>
      <c r="G1092" s="123">
        <f>IF(OR(A1092="",C1092="",B1092="",E1092=""),"",IFERROR(A1092&amp;"|"&amp;(27+4*(IFERROR(MATCH(C1092,Roster!$B$6:$B$65,0),MATCH(C1092,Roster!$C$6:$C$65,0))-1)+MATCH(B1092,{"AM","PM","NIGHT","WD"},0)-1),""))</f>
        <v/>
      </c>
    </row>
    <row r="1093">
      <c r="A1093" s="122" t="n"/>
      <c r="B1093" s="107" t="n"/>
      <c r="C1093" s="105" t="n"/>
      <c r="D1093" s="92">
        <f>IF(C1093="","",IFERROR(INDEX(Roster!$C$6:$C$65,IFERROR(MATCH(C1093,Roster!$B$6:$B$65,0),MATCH(C1093,Roster!$C$6:$C$65,0))),"not on the Roster"))</f>
        <v/>
      </c>
      <c r="E1093" s="106" t="n"/>
      <c r="F1093" s="104">
        <f>IF(OR(A1093="",C1093="",B1093=""),"",IFERROR(INDEX(CHOOSE(IF(YEAR(A1093)&gt;PlanYear,13,MONTH(A1093)),'Jan'!$D$27:$AH$266,'Feb'!$D$27:$AH$266,'Mar'!$D$27:$AH$266,'Apr'!$D$27:$AH$266,'May'!$D$27:$AH$266,'Jun'!$D$27:$AH$266,'Jul'!$D$27:$AH$266,'Aug'!$D$27:$AH$266,'Sep'!$D$27:$AH$266,'Oct'!$D$27:$AH$266,'Nov'!$D$27:$AH$266,'Dec'!$D$27:$AH$266,'Jan (next year)'!$D$27:$AH$266),27+4*(IFERROR(MATCH(C1093,Roster!$B$6:$B$65,0),MATCH(C1093,Roster!$C$6:$C$65,0))-1)+MATCH(B1093,{"AM","PM","NIGHT","WD"},0)-1-27+1,DAY(A1093))&amp;"",""))</f>
        <v/>
      </c>
      <c r="G1093" s="123">
        <f>IF(OR(A1093="",C1093="",B1093="",E1093=""),"",IFERROR(A1093&amp;"|"&amp;(27+4*(IFERROR(MATCH(C1093,Roster!$B$6:$B$65,0),MATCH(C1093,Roster!$C$6:$C$65,0))-1)+MATCH(B1093,{"AM","PM","NIGHT","WD"},0)-1),""))</f>
        <v/>
      </c>
    </row>
    <row r="1094">
      <c r="A1094" s="122" t="n"/>
      <c r="B1094" s="107" t="n"/>
      <c r="C1094" s="105" t="n"/>
      <c r="D1094" s="92">
        <f>IF(C1094="","",IFERROR(INDEX(Roster!$C$6:$C$65,IFERROR(MATCH(C1094,Roster!$B$6:$B$65,0),MATCH(C1094,Roster!$C$6:$C$65,0))),"not on the Roster"))</f>
        <v/>
      </c>
      <c r="E1094" s="106" t="n"/>
      <c r="F1094" s="104">
        <f>IF(OR(A1094="",C1094="",B1094=""),"",IFERROR(INDEX(CHOOSE(IF(YEAR(A1094)&gt;PlanYear,13,MONTH(A1094)),'Jan'!$D$27:$AH$266,'Feb'!$D$27:$AH$266,'Mar'!$D$27:$AH$266,'Apr'!$D$27:$AH$266,'May'!$D$27:$AH$266,'Jun'!$D$27:$AH$266,'Jul'!$D$27:$AH$266,'Aug'!$D$27:$AH$266,'Sep'!$D$27:$AH$266,'Oct'!$D$27:$AH$266,'Nov'!$D$27:$AH$266,'Dec'!$D$27:$AH$266,'Jan (next year)'!$D$27:$AH$266),27+4*(IFERROR(MATCH(C1094,Roster!$B$6:$B$65,0),MATCH(C1094,Roster!$C$6:$C$65,0))-1)+MATCH(B1094,{"AM","PM","NIGHT","WD"},0)-1-27+1,DAY(A1094))&amp;"",""))</f>
        <v/>
      </c>
      <c r="G1094" s="123">
        <f>IF(OR(A1094="",C1094="",B1094="",E1094=""),"",IFERROR(A1094&amp;"|"&amp;(27+4*(IFERROR(MATCH(C1094,Roster!$B$6:$B$65,0),MATCH(C1094,Roster!$C$6:$C$65,0))-1)+MATCH(B1094,{"AM","PM","NIGHT","WD"},0)-1),""))</f>
        <v/>
      </c>
    </row>
    <row r="1095">
      <c r="A1095" s="122" t="n"/>
      <c r="B1095" s="107" t="n"/>
      <c r="C1095" s="105" t="n"/>
      <c r="D1095" s="92">
        <f>IF(C1095="","",IFERROR(INDEX(Roster!$C$6:$C$65,IFERROR(MATCH(C1095,Roster!$B$6:$B$65,0),MATCH(C1095,Roster!$C$6:$C$65,0))),"not on the Roster"))</f>
        <v/>
      </c>
      <c r="E1095" s="106" t="n"/>
      <c r="F1095" s="104">
        <f>IF(OR(A1095="",C1095="",B1095=""),"",IFERROR(INDEX(CHOOSE(IF(YEAR(A1095)&gt;PlanYear,13,MONTH(A1095)),'Jan'!$D$27:$AH$266,'Feb'!$D$27:$AH$266,'Mar'!$D$27:$AH$266,'Apr'!$D$27:$AH$266,'May'!$D$27:$AH$266,'Jun'!$D$27:$AH$266,'Jul'!$D$27:$AH$266,'Aug'!$D$27:$AH$266,'Sep'!$D$27:$AH$266,'Oct'!$D$27:$AH$266,'Nov'!$D$27:$AH$266,'Dec'!$D$27:$AH$266,'Jan (next year)'!$D$27:$AH$266),27+4*(IFERROR(MATCH(C1095,Roster!$B$6:$B$65,0),MATCH(C1095,Roster!$C$6:$C$65,0))-1)+MATCH(B1095,{"AM","PM","NIGHT","WD"},0)-1-27+1,DAY(A1095))&amp;"",""))</f>
        <v/>
      </c>
      <c r="G1095" s="123">
        <f>IF(OR(A1095="",C1095="",B1095="",E1095=""),"",IFERROR(A1095&amp;"|"&amp;(27+4*(IFERROR(MATCH(C1095,Roster!$B$6:$B$65,0),MATCH(C1095,Roster!$C$6:$C$65,0))-1)+MATCH(B1095,{"AM","PM","NIGHT","WD"},0)-1),""))</f>
        <v/>
      </c>
    </row>
    <row r="1096">
      <c r="A1096" s="122" t="n"/>
      <c r="B1096" s="107" t="n"/>
      <c r="C1096" s="105" t="n"/>
      <c r="D1096" s="92">
        <f>IF(C1096="","",IFERROR(INDEX(Roster!$C$6:$C$65,IFERROR(MATCH(C1096,Roster!$B$6:$B$65,0),MATCH(C1096,Roster!$C$6:$C$65,0))),"not on the Roster"))</f>
        <v/>
      </c>
      <c r="E1096" s="106" t="n"/>
      <c r="F1096" s="104">
        <f>IF(OR(A1096="",C1096="",B1096=""),"",IFERROR(INDEX(CHOOSE(IF(YEAR(A1096)&gt;PlanYear,13,MONTH(A1096)),'Jan'!$D$27:$AH$266,'Feb'!$D$27:$AH$266,'Mar'!$D$27:$AH$266,'Apr'!$D$27:$AH$266,'May'!$D$27:$AH$266,'Jun'!$D$27:$AH$266,'Jul'!$D$27:$AH$266,'Aug'!$D$27:$AH$266,'Sep'!$D$27:$AH$266,'Oct'!$D$27:$AH$266,'Nov'!$D$27:$AH$266,'Dec'!$D$27:$AH$266,'Jan (next year)'!$D$27:$AH$266),27+4*(IFERROR(MATCH(C1096,Roster!$B$6:$B$65,0),MATCH(C1096,Roster!$C$6:$C$65,0))-1)+MATCH(B1096,{"AM","PM","NIGHT","WD"},0)-1-27+1,DAY(A1096))&amp;"",""))</f>
        <v/>
      </c>
      <c r="G1096" s="123">
        <f>IF(OR(A1096="",C1096="",B1096="",E1096=""),"",IFERROR(A1096&amp;"|"&amp;(27+4*(IFERROR(MATCH(C1096,Roster!$B$6:$B$65,0),MATCH(C1096,Roster!$C$6:$C$65,0))-1)+MATCH(B1096,{"AM","PM","NIGHT","WD"},0)-1),""))</f>
        <v/>
      </c>
    </row>
    <row r="1097">
      <c r="A1097" s="122" t="n"/>
      <c r="B1097" s="107" t="n"/>
      <c r="C1097" s="105" t="n"/>
      <c r="D1097" s="92">
        <f>IF(C1097="","",IFERROR(INDEX(Roster!$C$6:$C$65,IFERROR(MATCH(C1097,Roster!$B$6:$B$65,0),MATCH(C1097,Roster!$C$6:$C$65,0))),"not on the Roster"))</f>
        <v/>
      </c>
      <c r="E1097" s="106" t="n"/>
      <c r="F1097" s="104">
        <f>IF(OR(A1097="",C1097="",B1097=""),"",IFERROR(INDEX(CHOOSE(IF(YEAR(A1097)&gt;PlanYear,13,MONTH(A1097)),'Jan'!$D$27:$AH$266,'Feb'!$D$27:$AH$266,'Mar'!$D$27:$AH$266,'Apr'!$D$27:$AH$266,'May'!$D$27:$AH$266,'Jun'!$D$27:$AH$266,'Jul'!$D$27:$AH$266,'Aug'!$D$27:$AH$266,'Sep'!$D$27:$AH$266,'Oct'!$D$27:$AH$266,'Nov'!$D$27:$AH$266,'Dec'!$D$27:$AH$266,'Jan (next year)'!$D$27:$AH$266),27+4*(IFERROR(MATCH(C1097,Roster!$B$6:$B$65,0),MATCH(C1097,Roster!$C$6:$C$65,0))-1)+MATCH(B1097,{"AM","PM","NIGHT","WD"},0)-1-27+1,DAY(A1097))&amp;"",""))</f>
        <v/>
      </c>
      <c r="G1097" s="123">
        <f>IF(OR(A1097="",C1097="",B1097="",E1097=""),"",IFERROR(A1097&amp;"|"&amp;(27+4*(IFERROR(MATCH(C1097,Roster!$B$6:$B$65,0),MATCH(C1097,Roster!$C$6:$C$65,0))-1)+MATCH(B1097,{"AM","PM","NIGHT","WD"},0)-1),""))</f>
        <v/>
      </c>
    </row>
    <row r="1098">
      <c r="A1098" s="122" t="n"/>
      <c r="B1098" s="107" t="n"/>
      <c r="C1098" s="105" t="n"/>
      <c r="D1098" s="92">
        <f>IF(C1098="","",IFERROR(INDEX(Roster!$C$6:$C$65,IFERROR(MATCH(C1098,Roster!$B$6:$B$65,0),MATCH(C1098,Roster!$C$6:$C$65,0))),"not on the Roster"))</f>
        <v/>
      </c>
      <c r="E1098" s="106" t="n"/>
      <c r="F1098" s="104">
        <f>IF(OR(A1098="",C1098="",B1098=""),"",IFERROR(INDEX(CHOOSE(IF(YEAR(A1098)&gt;PlanYear,13,MONTH(A1098)),'Jan'!$D$27:$AH$266,'Feb'!$D$27:$AH$266,'Mar'!$D$27:$AH$266,'Apr'!$D$27:$AH$266,'May'!$D$27:$AH$266,'Jun'!$D$27:$AH$266,'Jul'!$D$27:$AH$266,'Aug'!$D$27:$AH$266,'Sep'!$D$27:$AH$266,'Oct'!$D$27:$AH$266,'Nov'!$D$27:$AH$266,'Dec'!$D$27:$AH$266,'Jan (next year)'!$D$27:$AH$266),27+4*(IFERROR(MATCH(C1098,Roster!$B$6:$B$65,0),MATCH(C1098,Roster!$C$6:$C$65,0))-1)+MATCH(B1098,{"AM","PM","NIGHT","WD"},0)-1-27+1,DAY(A1098))&amp;"",""))</f>
        <v/>
      </c>
      <c r="G1098" s="123">
        <f>IF(OR(A1098="",C1098="",B1098="",E1098=""),"",IFERROR(A1098&amp;"|"&amp;(27+4*(IFERROR(MATCH(C1098,Roster!$B$6:$B$65,0),MATCH(C1098,Roster!$C$6:$C$65,0))-1)+MATCH(B1098,{"AM","PM","NIGHT","WD"},0)-1),""))</f>
        <v/>
      </c>
    </row>
    <row r="1099">
      <c r="A1099" s="122" t="n"/>
      <c r="B1099" s="107" t="n"/>
      <c r="C1099" s="105" t="n"/>
      <c r="D1099" s="92">
        <f>IF(C1099="","",IFERROR(INDEX(Roster!$C$6:$C$65,IFERROR(MATCH(C1099,Roster!$B$6:$B$65,0),MATCH(C1099,Roster!$C$6:$C$65,0))),"not on the Roster"))</f>
        <v/>
      </c>
      <c r="E1099" s="106" t="n"/>
      <c r="F1099" s="104">
        <f>IF(OR(A1099="",C1099="",B1099=""),"",IFERROR(INDEX(CHOOSE(IF(YEAR(A1099)&gt;PlanYear,13,MONTH(A1099)),'Jan'!$D$27:$AH$266,'Feb'!$D$27:$AH$266,'Mar'!$D$27:$AH$266,'Apr'!$D$27:$AH$266,'May'!$D$27:$AH$266,'Jun'!$D$27:$AH$266,'Jul'!$D$27:$AH$266,'Aug'!$D$27:$AH$266,'Sep'!$D$27:$AH$266,'Oct'!$D$27:$AH$266,'Nov'!$D$27:$AH$266,'Dec'!$D$27:$AH$266,'Jan (next year)'!$D$27:$AH$266),27+4*(IFERROR(MATCH(C1099,Roster!$B$6:$B$65,0),MATCH(C1099,Roster!$C$6:$C$65,0))-1)+MATCH(B1099,{"AM","PM","NIGHT","WD"},0)-1-27+1,DAY(A1099))&amp;"",""))</f>
        <v/>
      </c>
      <c r="G1099" s="123">
        <f>IF(OR(A1099="",C1099="",B1099="",E1099=""),"",IFERROR(A1099&amp;"|"&amp;(27+4*(IFERROR(MATCH(C1099,Roster!$B$6:$B$65,0),MATCH(C1099,Roster!$C$6:$C$65,0))-1)+MATCH(B1099,{"AM","PM","NIGHT","WD"},0)-1),""))</f>
        <v/>
      </c>
    </row>
    <row r="1100">
      <c r="A1100" s="122" t="n"/>
      <c r="B1100" s="107" t="n"/>
      <c r="C1100" s="105" t="n"/>
      <c r="D1100" s="92">
        <f>IF(C1100="","",IFERROR(INDEX(Roster!$C$6:$C$65,IFERROR(MATCH(C1100,Roster!$B$6:$B$65,0),MATCH(C1100,Roster!$C$6:$C$65,0))),"not on the Roster"))</f>
        <v/>
      </c>
      <c r="E1100" s="106" t="n"/>
      <c r="F1100" s="104">
        <f>IF(OR(A1100="",C1100="",B1100=""),"",IFERROR(INDEX(CHOOSE(IF(YEAR(A1100)&gt;PlanYear,13,MONTH(A1100)),'Jan'!$D$27:$AH$266,'Feb'!$D$27:$AH$266,'Mar'!$D$27:$AH$266,'Apr'!$D$27:$AH$266,'May'!$D$27:$AH$266,'Jun'!$D$27:$AH$266,'Jul'!$D$27:$AH$266,'Aug'!$D$27:$AH$266,'Sep'!$D$27:$AH$266,'Oct'!$D$27:$AH$266,'Nov'!$D$27:$AH$266,'Dec'!$D$27:$AH$266,'Jan (next year)'!$D$27:$AH$266),27+4*(IFERROR(MATCH(C1100,Roster!$B$6:$B$65,0),MATCH(C1100,Roster!$C$6:$C$65,0))-1)+MATCH(B1100,{"AM","PM","NIGHT","WD"},0)-1-27+1,DAY(A1100))&amp;"",""))</f>
        <v/>
      </c>
      <c r="G1100" s="123">
        <f>IF(OR(A1100="",C1100="",B1100="",E1100=""),"",IFERROR(A1100&amp;"|"&amp;(27+4*(IFERROR(MATCH(C1100,Roster!$B$6:$B$65,0),MATCH(C1100,Roster!$C$6:$C$65,0))-1)+MATCH(B1100,{"AM","PM","NIGHT","WD"},0)-1),""))</f>
        <v/>
      </c>
    </row>
    <row r="1101">
      <c r="A1101" s="122" t="n"/>
      <c r="B1101" s="107" t="n"/>
      <c r="C1101" s="105" t="n"/>
      <c r="D1101" s="92">
        <f>IF(C1101="","",IFERROR(INDEX(Roster!$C$6:$C$65,IFERROR(MATCH(C1101,Roster!$B$6:$B$65,0),MATCH(C1101,Roster!$C$6:$C$65,0))),"not on the Roster"))</f>
        <v/>
      </c>
      <c r="E1101" s="106" t="n"/>
      <c r="F1101" s="104">
        <f>IF(OR(A1101="",C1101="",B1101=""),"",IFERROR(INDEX(CHOOSE(IF(YEAR(A1101)&gt;PlanYear,13,MONTH(A1101)),'Jan'!$D$27:$AH$266,'Feb'!$D$27:$AH$266,'Mar'!$D$27:$AH$266,'Apr'!$D$27:$AH$266,'May'!$D$27:$AH$266,'Jun'!$D$27:$AH$266,'Jul'!$D$27:$AH$266,'Aug'!$D$27:$AH$266,'Sep'!$D$27:$AH$266,'Oct'!$D$27:$AH$266,'Nov'!$D$27:$AH$266,'Dec'!$D$27:$AH$266,'Jan (next year)'!$D$27:$AH$266),27+4*(IFERROR(MATCH(C1101,Roster!$B$6:$B$65,0),MATCH(C1101,Roster!$C$6:$C$65,0))-1)+MATCH(B1101,{"AM","PM","NIGHT","WD"},0)-1-27+1,DAY(A1101))&amp;"",""))</f>
        <v/>
      </c>
      <c r="G1101" s="123">
        <f>IF(OR(A1101="",C1101="",B1101="",E1101=""),"",IFERROR(A1101&amp;"|"&amp;(27+4*(IFERROR(MATCH(C1101,Roster!$B$6:$B$65,0),MATCH(C1101,Roster!$C$6:$C$65,0))-1)+MATCH(B1101,{"AM","PM","NIGHT","WD"},0)-1),""))</f>
        <v/>
      </c>
    </row>
    <row r="1102">
      <c r="A1102" s="122" t="n"/>
      <c r="B1102" s="107" t="n"/>
      <c r="C1102" s="105" t="n"/>
      <c r="D1102" s="92">
        <f>IF(C1102="","",IFERROR(INDEX(Roster!$C$6:$C$65,IFERROR(MATCH(C1102,Roster!$B$6:$B$65,0),MATCH(C1102,Roster!$C$6:$C$65,0))),"not on the Roster"))</f>
        <v/>
      </c>
      <c r="E1102" s="106" t="n"/>
      <c r="F1102" s="104">
        <f>IF(OR(A1102="",C1102="",B1102=""),"",IFERROR(INDEX(CHOOSE(IF(YEAR(A1102)&gt;PlanYear,13,MONTH(A1102)),'Jan'!$D$27:$AH$266,'Feb'!$D$27:$AH$266,'Mar'!$D$27:$AH$266,'Apr'!$D$27:$AH$266,'May'!$D$27:$AH$266,'Jun'!$D$27:$AH$266,'Jul'!$D$27:$AH$266,'Aug'!$D$27:$AH$266,'Sep'!$D$27:$AH$266,'Oct'!$D$27:$AH$266,'Nov'!$D$27:$AH$266,'Dec'!$D$27:$AH$266,'Jan (next year)'!$D$27:$AH$266),27+4*(IFERROR(MATCH(C1102,Roster!$B$6:$B$65,0),MATCH(C1102,Roster!$C$6:$C$65,0))-1)+MATCH(B1102,{"AM","PM","NIGHT","WD"},0)-1-27+1,DAY(A1102))&amp;"",""))</f>
        <v/>
      </c>
      <c r="G1102" s="123">
        <f>IF(OR(A1102="",C1102="",B1102="",E1102=""),"",IFERROR(A1102&amp;"|"&amp;(27+4*(IFERROR(MATCH(C1102,Roster!$B$6:$B$65,0),MATCH(C1102,Roster!$C$6:$C$65,0))-1)+MATCH(B1102,{"AM","PM","NIGHT","WD"},0)-1),""))</f>
        <v/>
      </c>
    </row>
    <row r="1103">
      <c r="A1103" s="122" t="n"/>
      <c r="B1103" s="107" t="n"/>
      <c r="C1103" s="105" t="n"/>
      <c r="D1103" s="92">
        <f>IF(C1103="","",IFERROR(INDEX(Roster!$C$6:$C$65,IFERROR(MATCH(C1103,Roster!$B$6:$B$65,0),MATCH(C1103,Roster!$C$6:$C$65,0))),"not on the Roster"))</f>
        <v/>
      </c>
      <c r="E1103" s="106" t="n"/>
      <c r="F1103" s="104">
        <f>IF(OR(A1103="",C1103="",B1103=""),"",IFERROR(INDEX(CHOOSE(IF(YEAR(A1103)&gt;PlanYear,13,MONTH(A1103)),'Jan'!$D$27:$AH$266,'Feb'!$D$27:$AH$266,'Mar'!$D$27:$AH$266,'Apr'!$D$27:$AH$266,'May'!$D$27:$AH$266,'Jun'!$D$27:$AH$266,'Jul'!$D$27:$AH$266,'Aug'!$D$27:$AH$266,'Sep'!$D$27:$AH$266,'Oct'!$D$27:$AH$266,'Nov'!$D$27:$AH$266,'Dec'!$D$27:$AH$266,'Jan (next year)'!$D$27:$AH$266),27+4*(IFERROR(MATCH(C1103,Roster!$B$6:$B$65,0),MATCH(C1103,Roster!$C$6:$C$65,0))-1)+MATCH(B1103,{"AM","PM","NIGHT","WD"},0)-1-27+1,DAY(A1103))&amp;"",""))</f>
        <v/>
      </c>
      <c r="G1103" s="123">
        <f>IF(OR(A1103="",C1103="",B1103="",E1103=""),"",IFERROR(A1103&amp;"|"&amp;(27+4*(IFERROR(MATCH(C1103,Roster!$B$6:$B$65,0),MATCH(C1103,Roster!$C$6:$C$65,0))-1)+MATCH(B1103,{"AM","PM","NIGHT","WD"},0)-1),""))</f>
        <v/>
      </c>
    </row>
    <row r="1104">
      <c r="A1104" s="122" t="n"/>
      <c r="B1104" s="107" t="n"/>
      <c r="C1104" s="105" t="n"/>
      <c r="D1104" s="92">
        <f>IF(C1104="","",IFERROR(INDEX(Roster!$C$6:$C$65,IFERROR(MATCH(C1104,Roster!$B$6:$B$65,0),MATCH(C1104,Roster!$C$6:$C$65,0))),"not on the Roster"))</f>
        <v/>
      </c>
      <c r="E1104" s="106" t="n"/>
      <c r="F1104" s="104">
        <f>IF(OR(A1104="",C1104="",B1104=""),"",IFERROR(INDEX(CHOOSE(IF(YEAR(A1104)&gt;PlanYear,13,MONTH(A1104)),'Jan'!$D$27:$AH$266,'Feb'!$D$27:$AH$266,'Mar'!$D$27:$AH$266,'Apr'!$D$27:$AH$266,'May'!$D$27:$AH$266,'Jun'!$D$27:$AH$266,'Jul'!$D$27:$AH$266,'Aug'!$D$27:$AH$266,'Sep'!$D$27:$AH$266,'Oct'!$D$27:$AH$266,'Nov'!$D$27:$AH$266,'Dec'!$D$27:$AH$266,'Jan (next year)'!$D$27:$AH$266),27+4*(IFERROR(MATCH(C1104,Roster!$B$6:$B$65,0),MATCH(C1104,Roster!$C$6:$C$65,0))-1)+MATCH(B1104,{"AM","PM","NIGHT","WD"},0)-1-27+1,DAY(A1104))&amp;"",""))</f>
        <v/>
      </c>
      <c r="G1104" s="123">
        <f>IF(OR(A1104="",C1104="",B1104="",E1104=""),"",IFERROR(A1104&amp;"|"&amp;(27+4*(IFERROR(MATCH(C1104,Roster!$B$6:$B$65,0),MATCH(C1104,Roster!$C$6:$C$65,0))-1)+MATCH(B1104,{"AM","PM","NIGHT","WD"},0)-1),""))</f>
        <v/>
      </c>
    </row>
    <row r="1105">
      <c r="A1105" s="122" t="n"/>
      <c r="B1105" s="107" t="n"/>
      <c r="C1105" s="105" t="n"/>
      <c r="D1105" s="92">
        <f>IF(C1105="","",IFERROR(INDEX(Roster!$C$6:$C$65,IFERROR(MATCH(C1105,Roster!$B$6:$B$65,0),MATCH(C1105,Roster!$C$6:$C$65,0))),"not on the Roster"))</f>
        <v/>
      </c>
      <c r="E1105" s="106" t="n"/>
      <c r="F1105" s="104">
        <f>IF(OR(A1105="",C1105="",B1105=""),"",IFERROR(INDEX(CHOOSE(IF(YEAR(A1105)&gt;PlanYear,13,MONTH(A1105)),'Jan'!$D$27:$AH$266,'Feb'!$D$27:$AH$266,'Mar'!$D$27:$AH$266,'Apr'!$D$27:$AH$266,'May'!$D$27:$AH$266,'Jun'!$D$27:$AH$266,'Jul'!$D$27:$AH$266,'Aug'!$D$27:$AH$266,'Sep'!$D$27:$AH$266,'Oct'!$D$27:$AH$266,'Nov'!$D$27:$AH$266,'Dec'!$D$27:$AH$266,'Jan (next year)'!$D$27:$AH$266),27+4*(IFERROR(MATCH(C1105,Roster!$B$6:$B$65,0),MATCH(C1105,Roster!$C$6:$C$65,0))-1)+MATCH(B1105,{"AM","PM","NIGHT","WD"},0)-1-27+1,DAY(A1105))&amp;"",""))</f>
        <v/>
      </c>
      <c r="G1105" s="123">
        <f>IF(OR(A1105="",C1105="",B1105="",E1105=""),"",IFERROR(A1105&amp;"|"&amp;(27+4*(IFERROR(MATCH(C1105,Roster!$B$6:$B$65,0),MATCH(C1105,Roster!$C$6:$C$65,0))-1)+MATCH(B1105,{"AM","PM","NIGHT","WD"},0)-1),""))</f>
        <v/>
      </c>
    </row>
    <row r="1106">
      <c r="A1106" s="122" t="n"/>
      <c r="B1106" s="107" t="n"/>
      <c r="C1106" s="105" t="n"/>
      <c r="D1106" s="92">
        <f>IF(C1106="","",IFERROR(INDEX(Roster!$C$6:$C$65,IFERROR(MATCH(C1106,Roster!$B$6:$B$65,0),MATCH(C1106,Roster!$C$6:$C$65,0))),"not on the Roster"))</f>
        <v/>
      </c>
      <c r="E1106" s="106" t="n"/>
      <c r="F1106" s="104">
        <f>IF(OR(A1106="",C1106="",B1106=""),"",IFERROR(INDEX(CHOOSE(IF(YEAR(A1106)&gt;PlanYear,13,MONTH(A1106)),'Jan'!$D$27:$AH$266,'Feb'!$D$27:$AH$266,'Mar'!$D$27:$AH$266,'Apr'!$D$27:$AH$266,'May'!$D$27:$AH$266,'Jun'!$D$27:$AH$266,'Jul'!$D$27:$AH$266,'Aug'!$D$27:$AH$266,'Sep'!$D$27:$AH$266,'Oct'!$D$27:$AH$266,'Nov'!$D$27:$AH$266,'Dec'!$D$27:$AH$266,'Jan (next year)'!$D$27:$AH$266),27+4*(IFERROR(MATCH(C1106,Roster!$B$6:$B$65,0),MATCH(C1106,Roster!$C$6:$C$65,0))-1)+MATCH(B1106,{"AM","PM","NIGHT","WD"},0)-1-27+1,DAY(A1106))&amp;"",""))</f>
        <v/>
      </c>
      <c r="G1106" s="123">
        <f>IF(OR(A1106="",C1106="",B1106="",E1106=""),"",IFERROR(A1106&amp;"|"&amp;(27+4*(IFERROR(MATCH(C1106,Roster!$B$6:$B$65,0),MATCH(C1106,Roster!$C$6:$C$65,0))-1)+MATCH(B1106,{"AM","PM","NIGHT","WD"},0)-1),""))</f>
        <v/>
      </c>
    </row>
    <row r="1107">
      <c r="A1107" s="122" t="n"/>
      <c r="B1107" s="107" t="n"/>
      <c r="C1107" s="105" t="n"/>
      <c r="D1107" s="92">
        <f>IF(C1107="","",IFERROR(INDEX(Roster!$C$6:$C$65,IFERROR(MATCH(C1107,Roster!$B$6:$B$65,0),MATCH(C1107,Roster!$C$6:$C$65,0))),"not on the Roster"))</f>
        <v/>
      </c>
      <c r="E1107" s="106" t="n"/>
      <c r="F1107" s="104">
        <f>IF(OR(A1107="",C1107="",B1107=""),"",IFERROR(INDEX(CHOOSE(IF(YEAR(A1107)&gt;PlanYear,13,MONTH(A1107)),'Jan'!$D$27:$AH$266,'Feb'!$D$27:$AH$266,'Mar'!$D$27:$AH$266,'Apr'!$D$27:$AH$266,'May'!$D$27:$AH$266,'Jun'!$D$27:$AH$266,'Jul'!$D$27:$AH$266,'Aug'!$D$27:$AH$266,'Sep'!$D$27:$AH$266,'Oct'!$D$27:$AH$266,'Nov'!$D$27:$AH$266,'Dec'!$D$27:$AH$266,'Jan (next year)'!$D$27:$AH$266),27+4*(IFERROR(MATCH(C1107,Roster!$B$6:$B$65,0),MATCH(C1107,Roster!$C$6:$C$65,0))-1)+MATCH(B1107,{"AM","PM","NIGHT","WD"},0)-1-27+1,DAY(A1107))&amp;"",""))</f>
        <v/>
      </c>
      <c r="G1107" s="123">
        <f>IF(OR(A1107="",C1107="",B1107="",E1107=""),"",IFERROR(A1107&amp;"|"&amp;(27+4*(IFERROR(MATCH(C1107,Roster!$B$6:$B$65,0),MATCH(C1107,Roster!$C$6:$C$65,0))-1)+MATCH(B1107,{"AM","PM","NIGHT","WD"},0)-1),""))</f>
        <v/>
      </c>
    </row>
    <row r="1108">
      <c r="A1108" s="122" t="n"/>
      <c r="B1108" s="107" t="n"/>
      <c r="C1108" s="105" t="n"/>
      <c r="D1108" s="92">
        <f>IF(C1108="","",IFERROR(INDEX(Roster!$C$6:$C$65,IFERROR(MATCH(C1108,Roster!$B$6:$B$65,0),MATCH(C1108,Roster!$C$6:$C$65,0))),"not on the Roster"))</f>
        <v/>
      </c>
      <c r="E1108" s="106" t="n"/>
      <c r="F1108" s="104">
        <f>IF(OR(A1108="",C1108="",B1108=""),"",IFERROR(INDEX(CHOOSE(IF(YEAR(A1108)&gt;PlanYear,13,MONTH(A1108)),'Jan'!$D$27:$AH$266,'Feb'!$D$27:$AH$266,'Mar'!$D$27:$AH$266,'Apr'!$D$27:$AH$266,'May'!$D$27:$AH$266,'Jun'!$D$27:$AH$266,'Jul'!$D$27:$AH$266,'Aug'!$D$27:$AH$266,'Sep'!$D$27:$AH$266,'Oct'!$D$27:$AH$266,'Nov'!$D$27:$AH$266,'Dec'!$D$27:$AH$266,'Jan (next year)'!$D$27:$AH$266),27+4*(IFERROR(MATCH(C1108,Roster!$B$6:$B$65,0),MATCH(C1108,Roster!$C$6:$C$65,0))-1)+MATCH(B1108,{"AM","PM","NIGHT","WD"},0)-1-27+1,DAY(A1108))&amp;"",""))</f>
        <v/>
      </c>
      <c r="G1108" s="123">
        <f>IF(OR(A1108="",C1108="",B1108="",E1108=""),"",IFERROR(A1108&amp;"|"&amp;(27+4*(IFERROR(MATCH(C1108,Roster!$B$6:$B$65,0),MATCH(C1108,Roster!$C$6:$C$65,0))-1)+MATCH(B1108,{"AM","PM","NIGHT","WD"},0)-1),""))</f>
        <v/>
      </c>
    </row>
    <row r="1109">
      <c r="A1109" s="122" t="n"/>
      <c r="B1109" s="107" t="n"/>
      <c r="C1109" s="105" t="n"/>
      <c r="D1109" s="92">
        <f>IF(C1109="","",IFERROR(INDEX(Roster!$C$6:$C$65,IFERROR(MATCH(C1109,Roster!$B$6:$B$65,0),MATCH(C1109,Roster!$C$6:$C$65,0))),"not on the Roster"))</f>
        <v/>
      </c>
      <c r="E1109" s="106" t="n"/>
      <c r="F1109" s="104">
        <f>IF(OR(A1109="",C1109="",B1109=""),"",IFERROR(INDEX(CHOOSE(IF(YEAR(A1109)&gt;PlanYear,13,MONTH(A1109)),'Jan'!$D$27:$AH$266,'Feb'!$D$27:$AH$266,'Mar'!$D$27:$AH$266,'Apr'!$D$27:$AH$266,'May'!$D$27:$AH$266,'Jun'!$D$27:$AH$266,'Jul'!$D$27:$AH$266,'Aug'!$D$27:$AH$266,'Sep'!$D$27:$AH$266,'Oct'!$D$27:$AH$266,'Nov'!$D$27:$AH$266,'Dec'!$D$27:$AH$266,'Jan (next year)'!$D$27:$AH$266),27+4*(IFERROR(MATCH(C1109,Roster!$B$6:$B$65,0),MATCH(C1109,Roster!$C$6:$C$65,0))-1)+MATCH(B1109,{"AM","PM","NIGHT","WD"},0)-1-27+1,DAY(A1109))&amp;"",""))</f>
        <v/>
      </c>
      <c r="G1109" s="123">
        <f>IF(OR(A1109="",C1109="",B1109="",E1109=""),"",IFERROR(A1109&amp;"|"&amp;(27+4*(IFERROR(MATCH(C1109,Roster!$B$6:$B$65,0),MATCH(C1109,Roster!$C$6:$C$65,0))-1)+MATCH(B1109,{"AM","PM","NIGHT","WD"},0)-1),""))</f>
        <v/>
      </c>
    </row>
    <row r="1110">
      <c r="A1110" s="122" t="n"/>
      <c r="B1110" s="107" t="n"/>
      <c r="C1110" s="105" t="n"/>
      <c r="D1110" s="92">
        <f>IF(C1110="","",IFERROR(INDEX(Roster!$C$6:$C$65,IFERROR(MATCH(C1110,Roster!$B$6:$B$65,0),MATCH(C1110,Roster!$C$6:$C$65,0))),"not on the Roster"))</f>
        <v/>
      </c>
      <c r="E1110" s="106" t="n"/>
      <c r="F1110" s="104">
        <f>IF(OR(A1110="",C1110="",B1110=""),"",IFERROR(INDEX(CHOOSE(IF(YEAR(A1110)&gt;PlanYear,13,MONTH(A1110)),'Jan'!$D$27:$AH$266,'Feb'!$D$27:$AH$266,'Mar'!$D$27:$AH$266,'Apr'!$D$27:$AH$266,'May'!$D$27:$AH$266,'Jun'!$D$27:$AH$266,'Jul'!$D$27:$AH$266,'Aug'!$D$27:$AH$266,'Sep'!$D$27:$AH$266,'Oct'!$D$27:$AH$266,'Nov'!$D$27:$AH$266,'Dec'!$D$27:$AH$266,'Jan (next year)'!$D$27:$AH$266),27+4*(IFERROR(MATCH(C1110,Roster!$B$6:$B$65,0),MATCH(C1110,Roster!$C$6:$C$65,0))-1)+MATCH(B1110,{"AM","PM","NIGHT","WD"},0)-1-27+1,DAY(A1110))&amp;"",""))</f>
        <v/>
      </c>
      <c r="G1110" s="123">
        <f>IF(OR(A1110="",C1110="",B1110="",E1110=""),"",IFERROR(A1110&amp;"|"&amp;(27+4*(IFERROR(MATCH(C1110,Roster!$B$6:$B$65,0),MATCH(C1110,Roster!$C$6:$C$65,0))-1)+MATCH(B1110,{"AM","PM","NIGHT","WD"},0)-1),""))</f>
        <v/>
      </c>
    </row>
    <row r="1111">
      <c r="A1111" s="122" t="n"/>
      <c r="B1111" s="107" t="n"/>
      <c r="C1111" s="105" t="n"/>
      <c r="D1111" s="92">
        <f>IF(C1111="","",IFERROR(INDEX(Roster!$C$6:$C$65,IFERROR(MATCH(C1111,Roster!$B$6:$B$65,0),MATCH(C1111,Roster!$C$6:$C$65,0))),"not on the Roster"))</f>
        <v/>
      </c>
      <c r="E1111" s="106" t="n"/>
      <c r="F1111" s="104">
        <f>IF(OR(A1111="",C1111="",B1111=""),"",IFERROR(INDEX(CHOOSE(IF(YEAR(A1111)&gt;PlanYear,13,MONTH(A1111)),'Jan'!$D$27:$AH$266,'Feb'!$D$27:$AH$266,'Mar'!$D$27:$AH$266,'Apr'!$D$27:$AH$266,'May'!$D$27:$AH$266,'Jun'!$D$27:$AH$266,'Jul'!$D$27:$AH$266,'Aug'!$D$27:$AH$266,'Sep'!$D$27:$AH$266,'Oct'!$D$27:$AH$266,'Nov'!$D$27:$AH$266,'Dec'!$D$27:$AH$266,'Jan (next year)'!$D$27:$AH$266),27+4*(IFERROR(MATCH(C1111,Roster!$B$6:$B$65,0),MATCH(C1111,Roster!$C$6:$C$65,0))-1)+MATCH(B1111,{"AM","PM","NIGHT","WD"},0)-1-27+1,DAY(A1111))&amp;"",""))</f>
        <v/>
      </c>
      <c r="G1111" s="123">
        <f>IF(OR(A1111="",C1111="",B1111="",E1111=""),"",IFERROR(A1111&amp;"|"&amp;(27+4*(IFERROR(MATCH(C1111,Roster!$B$6:$B$65,0),MATCH(C1111,Roster!$C$6:$C$65,0))-1)+MATCH(B1111,{"AM","PM","NIGHT","WD"},0)-1),""))</f>
        <v/>
      </c>
    </row>
    <row r="1112">
      <c r="A1112" s="122" t="n"/>
      <c r="B1112" s="107" t="n"/>
      <c r="C1112" s="105" t="n"/>
      <c r="D1112" s="92">
        <f>IF(C1112="","",IFERROR(INDEX(Roster!$C$6:$C$65,IFERROR(MATCH(C1112,Roster!$B$6:$B$65,0),MATCH(C1112,Roster!$C$6:$C$65,0))),"not on the Roster"))</f>
        <v/>
      </c>
      <c r="E1112" s="106" t="n"/>
      <c r="F1112" s="104">
        <f>IF(OR(A1112="",C1112="",B1112=""),"",IFERROR(INDEX(CHOOSE(IF(YEAR(A1112)&gt;PlanYear,13,MONTH(A1112)),'Jan'!$D$27:$AH$266,'Feb'!$D$27:$AH$266,'Mar'!$D$27:$AH$266,'Apr'!$D$27:$AH$266,'May'!$D$27:$AH$266,'Jun'!$D$27:$AH$266,'Jul'!$D$27:$AH$266,'Aug'!$D$27:$AH$266,'Sep'!$D$27:$AH$266,'Oct'!$D$27:$AH$266,'Nov'!$D$27:$AH$266,'Dec'!$D$27:$AH$266,'Jan (next year)'!$D$27:$AH$266),27+4*(IFERROR(MATCH(C1112,Roster!$B$6:$B$65,0),MATCH(C1112,Roster!$C$6:$C$65,0))-1)+MATCH(B1112,{"AM","PM","NIGHT","WD"},0)-1-27+1,DAY(A1112))&amp;"",""))</f>
        <v/>
      </c>
      <c r="G1112" s="123">
        <f>IF(OR(A1112="",C1112="",B1112="",E1112=""),"",IFERROR(A1112&amp;"|"&amp;(27+4*(IFERROR(MATCH(C1112,Roster!$B$6:$B$65,0),MATCH(C1112,Roster!$C$6:$C$65,0))-1)+MATCH(B1112,{"AM","PM","NIGHT","WD"},0)-1),""))</f>
        <v/>
      </c>
    </row>
    <row r="1113">
      <c r="A1113" s="122" t="n"/>
      <c r="B1113" s="107" t="n"/>
      <c r="C1113" s="105" t="n"/>
      <c r="D1113" s="92">
        <f>IF(C1113="","",IFERROR(INDEX(Roster!$C$6:$C$65,IFERROR(MATCH(C1113,Roster!$B$6:$B$65,0),MATCH(C1113,Roster!$C$6:$C$65,0))),"not on the Roster"))</f>
        <v/>
      </c>
      <c r="E1113" s="106" t="n"/>
      <c r="F1113" s="104">
        <f>IF(OR(A1113="",C1113="",B1113=""),"",IFERROR(INDEX(CHOOSE(IF(YEAR(A1113)&gt;PlanYear,13,MONTH(A1113)),'Jan'!$D$27:$AH$266,'Feb'!$D$27:$AH$266,'Mar'!$D$27:$AH$266,'Apr'!$D$27:$AH$266,'May'!$D$27:$AH$266,'Jun'!$D$27:$AH$266,'Jul'!$D$27:$AH$266,'Aug'!$D$27:$AH$266,'Sep'!$D$27:$AH$266,'Oct'!$D$27:$AH$266,'Nov'!$D$27:$AH$266,'Dec'!$D$27:$AH$266,'Jan (next year)'!$D$27:$AH$266),27+4*(IFERROR(MATCH(C1113,Roster!$B$6:$B$65,0),MATCH(C1113,Roster!$C$6:$C$65,0))-1)+MATCH(B1113,{"AM","PM","NIGHT","WD"},0)-1-27+1,DAY(A1113))&amp;"",""))</f>
        <v/>
      </c>
      <c r="G1113" s="123">
        <f>IF(OR(A1113="",C1113="",B1113="",E1113=""),"",IFERROR(A1113&amp;"|"&amp;(27+4*(IFERROR(MATCH(C1113,Roster!$B$6:$B$65,0),MATCH(C1113,Roster!$C$6:$C$65,0))-1)+MATCH(B1113,{"AM","PM","NIGHT","WD"},0)-1),""))</f>
        <v/>
      </c>
    </row>
    <row r="1114">
      <c r="A1114" s="122" t="n"/>
      <c r="B1114" s="107" t="n"/>
      <c r="C1114" s="105" t="n"/>
      <c r="D1114" s="92">
        <f>IF(C1114="","",IFERROR(INDEX(Roster!$C$6:$C$65,IFERROR(MATCH(C1114,Roster!$B$6:$B$65,0),MATCH(C1114,Roster!$C$6:$C$65,0))),"not on the Roster"))</f>
        <v/>
      </c>
      <c r="E1114" s="106" t="n"/>
      <c r="F1114" s="104">
        <f>IF(OR(A1114="",C1114="",B1114=""),"",IFERROR(INDEX(CHOOSE(IF(YEAR(A1114)&gt;PlanYear,13,MONTH(A1114)),'Jan'!$D$27:$AH$266,'Feb'!$D$27:$AH$266,'Mar'!$D$27:$AH$266,'Apr'!$D$27:$AH$266,'May'!$D$27:$AH$266,'Jun'!$D$27:$AH$266,'Jul'!$D$27:$AH$266,'Aug'!$D$27:$AH$266,'Sep'!$D$27:$AH$266,'Oct'!$D$27:$AH$266,'Nov'!$D$27:$AH$266,'Dec'!$D$27:$AH$266,'Jan (next year)'!$D$27:$AH$266),27+4*(IFERROR(MATCH(C1114,Roster!$B$6:$B$65,0),MATCH(C1114,Roster!$C$6:$C$65,0))-1)+MATCH(B1114,{"AM","PM","NIGHT","WD"},0)-1-27+1,DAY(A1114))&amp;"",""))</f>
        <v/>
      </c>
      <c r="G1114" s="123">
        <f>IF(OR(A1114="",C1114="",B1114="",E1114=""),"",IFERROR(A1114&amp;"|"&amp;(27+4*(IFERROR(MATCH(C1114,Roster!$B$6:$B$65,0),MATCH(C1114,Roster!$C$6:$C$65,0))-1)+MATCH(B1114,{"AM","PM","NIGHT","WD"},0)-1),""))</f>
        <v/>
      </c>
    </row>
    <row r="1115">
      <c r="A1115" s="122" t="n"/>
      <c r="B1115" s="107" t="n"/>
      <c r="C1115" s="105" t="n"/>
      <c r="D1115" s="92">
        <f>IF(C1115="","",IFERROR(INDEX(Roster!$C$6:$C$65,IFERROR(MATCH(C1115,Roster!$B$6:$B$65,0),MATCH(C1115,Roster!$C$6:$C$65,0))),"not on the Roster"))</f>
        <v/>
      </c>
      <c r="E1115" s="106" t="n"/>
      <c r="F1115" s="104">
        <f>IF(OR(A1115="",C1115="",B1115=""),"",IFERROR(INDEX(CHOOSE(IF(YEAR(A1115)&gt;PlanYear,13,MONTH(A1115)),'Jan'!$D$27:$AH$266,'Feb'!$D$27:$AH$266,'Mar'!$D$27:$AH$266,'Apr'!$D$27:$AH$266,'May'!$D$27:$AH$266,'Jun'!$D$27:$AH$266,'Jul'!$D$27:$AH$266,'Aug'!$D$27:$AH$266,'Sep'!$D$27:$AH$266,'Oct'!$D$27:$AH$266,'Nov'!$D$27:$AH$266,'Dec'!$D$27:$AH$266,'Jan (next year)'!$D$27:$AH$266),27+4*(IFERROR(MATCH(C1115,Roster!$B$6:$B$65,0),MATCH(C1115,Roster!$C$6:$C$65,0))-1)+MATCH(B1115,{"AM","PM","NIGHT","WD"},0)-1-27+1,DAY(A1115))&amp;"",""))</f>
        <v/>
      </c>
      <c r="G1115" s="123">
        <f>IF(OR(A1115="",C1115="",B1115="",E1115=""),"",IFERROR(A1115&amp;"|"&amp;(27+4*(IFERROR(MATCH(C1115,Roster!$B$6:$B$65,0),MATCH(C1115,Roster!$C$6:$C$65,0))-1)+MATCH(B1115,{"AM","PM","NIGHT","WD"},0)-1),""))</f>
        <v/>
      </c>
    </row>
    <row r="1116">
      <c r="A1116" s="122" t="n"/>
      <c r="B1116" s="107" t="n"/>
      <c r="C1116" s="105" t="n"/>
      <c r="D1116" s="92">
        <f>IF(C1116="","",IFERROR(INDEX(Roster!$C$6:$C$65,IFERROR(MATCH(C1116,Roster!$B$6:$B$65,0),MATCH(C1116,Roster!$C$6:$C$65,0))),"not on the Roster"))</f>
        <v/>
      </c>
      <c r="E1116" s="106" t="n"/>
      <c r="F1116" s="104">
        <f>IF(OR(A1116="",C1116="",B1116=""),"",IFERROR(INDEX(CHOOSE(IF(YEAR(A1116)&gt;PlanYear,13,MONTH(A1116)),'Jan'!$D$27:$AH$266,'Feb'!$D$27:$AH$266,'Mar'!$D$27:$AH$266,'Apr'!$D$27:$AH$266,'May'!$D$27:$AH$266,'Jun'!$D$27:$AH$266,'Jul'!$D$27:$AH$266,'Aug'!$D$27:$AH$266,'Sep'!$D$27:$AH$266,'Oct'!$D$27:$AH$266,'Nov'!$D$27:$AH$266,'Dec'!$D$27:$AH$266,'Jan (next year)'!$D$27:$AH$266),27+4*(IFERROR(MATCH(C1116,Roster!$B$6:$B$65,0),MATCH(C1116,Roster!$C$6:$C$65,0))-1)+MATCH(B1116,{"AM","PM","NIGHT","WD"},0)-1-27+1,DAY(A1116))&amp;"",""))</f>
        <v/>
      </c>
      <c r="G1116" s="123">
        <f>IF(OR(A1116="",C1116="",B1116="",E1116=""),"",IFERROR(A1116&amp;"|"&amp;(27+4*(IFERROR(MATCH(C1116,Roster!$B$6:$B$65,0),MATCH(C1116,Roster!$C$6:$C$65,0))-1)+MATCH(B1116,{"AM","PM","NIGHT","WD"},0)-1),""))</f>
        <v/>
      </c>
    </row>
    <row r="1117">
      <c r="A1117" s="122" t="n"/>
      <c r="B1117" s="107" t="n"/>
      <c r="C1117" s="105" t="n"/>
      <c r="D1117" s="92">
        <f>IF(C1117="","",IFERROR(INDEX(Roster!$C$6:$C$65,IFERROR(MATCH(C1117,Roster!$B$6:$B$65,0),MATCH(C1117,Roster!$C$6:$C$65,0))),"not on the Roster"))</f>
        <v/>
      </c>
      <c r="E1117" s="106" t="n"/>
      <c r="F1117" s="104">
        <f>IF(OR(A1117="",C1117="",B1117=""),"",IFERROR(INDEX(CHOOSE(IF(YEAR(A1117)&gt;PlanYear,13,MONTH(A1117)),'Jan'!$D$27:$AH$266,'Feb'!$D$27:$AH$266,'Mar'!$D$27:$AH$266,'Apr'!$D$27:$AH$266,'May'!$D$27:$AH$266,'Jun'!$D$27:$AH$266,'Jul'!$D$27:$AH$266,'Aug'!$D$27:$AH$266,'Sep'!$D$27:$AH$266,'Oct'!$D$27:$AH$266,'Nov'!$D$27:$AH$266,'Dec'!$D$27:$AH$266,'Jan (next year)'!$D$27:$AH$266),27+4*(IFERROR(MATCH(C1117,Roster!$B$6:$B$65,0),MATCH(C1117,Roster!$C$6:$C$65,0))-1)+MATCH(B1117,{"AM","PM","NIGHT","WD"},0)-1-27+1,DAY(A1117))&amp;"",""))</f>
        <v/>
      </c>
      <c r="G1117" s="123">
        <f>IF(OR(A1117="",C1117="",B1117="",E1117=""),"",IFERROR(A1117&amp;"|"&amp;(27+4*(IFERROR(MATCH(C1117,Roster!$B$6:$B$65,0),MATCH(C1117,Roster!$C$6:$C$65,0))-1)+MATCH(B1117,{"AM","PM","NIGHT","WD"},0)-1),""))</f>
        <v/>
      </c>
    </row>
    <row r="1118">
      <c r="A1118" s="122" t="n"/>
      <c r="B1118" s="107" t="n"/>
      <c r="C1118" s="105" t="n"/>
      <c r="D1118" s="92">
        <f>IF(C1118="","",IFERROR(INDEX(Roster!$C$6:$C$65,IFERROR(MATCH(C1118,Roster!$B$6:$B$65,0),MATCH(C1118,Roster!$C$6:$C$65,0))),"not on the Roster"))</f>
        <v/>
      </c>
      <c r="E1118" s="106" t="n"/>
      <c r="F1118" s="104">
        <f>IF(OR(A1118="",C1118="",B1118=""),"",IFERROR(INDEX(CHOOSE(IF(YEAR(A1118)&gt;PlanYear,13,MONTH(A1118)),'Jan'!$D$27:$AH$266,'Feb'!$D$27:$AH$266,'Mar'!$D$27:$AH$266,'Apr'!$D$27:$AH$266,'May'!$D$27:$AH$266,'Jun'!$D$27:$AH$266,'Jul'!$D$27:$AH$266,'Aug'!$D$27:$AH$266,'Sep'!$D$27:$AH$266,'Oct'!$D$27:$AH$266,'Nov'!$D$27:$AH$266,'Dec'!$D$27:$AH$266,'Jan (next year)'!$D$27:$AH$266),27+4*(IFERROR(MATCH(C1118,Roster!$B$6:$B$65,0),MATCH(C1118,Roster!$C$6:$C$65,0))-1)+MATCH(B1118,{"AM","PM","NIGHT","WD"},0)-1-27+1,DAY(A1118))&amp;"",""))</f>
        <v/>
      </c>
      <c r="G1118" s="123">
        <f>IF(OR(A1118="",C1118="",B1118="",E1118=""),"",IFERROR(A1118&amp;"|"&amp;(27+4*(IFERROR(MATCH(C1118,Roster!$B$6:$B$65,0),MATCH(C1118,Roster!$C$6:$C$65,0))-1)+MATCH(B1118,{"AM","PM","NIGHT","WD"},0)-1),""))</f>
        <v/>
      </c>
    </row>
    <row r="1119">
      <c r="A1119" s="122" t="n"/>
      <c r="B1119" s="107" t="n"/>
      <c r="C1119" s="105" t="n"/>
      <c r="D1119" s="92">
        <f>IF(C1119="","",IFERROR(INDEX(Roster!$C$6:$C$65,IFERROR(MATCH(C1119,Roster!$B$6:$B$65,0),MATCH(C1119,Roster!$C$6:$C$65,0))),"not on the Roster"))</f>
        <v/>
      </c>
      <c r="E1119" s="106" t="n"/>
      <c r="F1119" s="104">
        <f>IF(OR(A1119="",C1119="",B1119=""),"",IFERROR(INDEX(CHOOSE(IF(YEAR(A1119)&gt;PlanYear,13,MONTH(A1119)),'Jan'!$D$27:$AH$266,'Feb'!$D$27:$AH$266,'Mar'!$D$27:$AH$266,'Apr'!$D$27:$AH$266,'May'!$D$27:$AH$266,'Jun'!$D$27:$AH$266,'Jul'!$D$27:$AH$266,'Aug'!$D$27:$AH$266,'Sep'!$D$27:$AH$266,'Oct'!$D$27:$AH$266,'Nov'!$D$27:$AH$266,'Dec'!$D$27:$AH$266,'Jan (next year)'!$D$27:$AH$266),27+4*(IFERROR(MATCH(C1119,Roster!$B$6:$B$65,0),MATCH(C1119,Roster!$C$6:$C$65,0))-1)+MATCH(B1119,{"AM","PM","NIGHT","WD"},0)-1-27+1,DAY(A1119))&amp;"",""))</f>
        <v/>
      </c>
      <c r="G1119" s="123">
        <f>IF(OR(A1119="",C1119="",B1119="",E1119=""),"",IFERROR(A1119&amp;"|"&amp;(27+4*(IFERROR(MATCH(C1119,Roster!$B$6:$B$65,0),MATCH(C1119,Roster!$C$6:$C$65,0))-1)+MATCH(B1119,{"AM","PM","NIGHT","WD"},0)-1),""))</f>
        <v/>
      </c>
    </row>
    <row r="1120">
      <c r="A1120" s="122" t="n"/>
      <c r="B1120" s="107" t="n"/>
      <c r="C1120" s="105" t="n"/>
      <c r="D1120" s="92">
        <f>IF(C1120="","",IFERROR(INDEX(Roster!$C$6:$C$65,IFERROR(MATCH(C1120,Roster!$B$6:$B$65,0),MATCH(C1120,Roster!$C$6:$C$65,0))),"not on the Roster"))</f>
        <v/>
      </c>
      <c r="E1120" s="106" t="n"/>
      <c r="F1120" s="104">
        <f>IF(OR(A1120="",C1120="",B1120=""),"",IFERROR(INDEX(CHOOSE(IF(YEAR(A1120)&gt;PlanYear,13,MONTH(A1120)),'Jan'!$D$27:$AH$266,'Feb'!$D$27:$AH$266,'Mar'!$D$27:$AH$266,'Apr'!$D$27:$AH$266,'May'!$D$27:$AH$266,'Jun'!$D$27:$AH$266,'Jul'!$D$27:$AH$266,'Aug'!$D$27:$AH$266,'Sep'!$D$27:$AH$266,'Oct'!$D$27:$AH$266,'Nov'!$D$27:$AH$266,'Dec'!$D$27:$AH$266,'Jan (next year)'!$D$27:$AH$266),27+4*(IFERROR(MATCH(C1120,Roster!$B$6:$B$65,0),MATCH(C1120,Roster!$C$6:$C$65,0))-1)+MATCH(B1120,{"AM","PM","NIGHT","WD"},0)-1-27+1,DAY(A1120))&amp;"",""))</f>
        <v/>
      </c>
      <c r="G1120" s="123">
        <f>IF(OR(A1120="",C1120="",B1120="",E1120=""),"",IFERROR(A1120&amp;"|"&amp;(27+4*(IFERROR(MATCH(C1120,Roster!$B$6:$B$65,0),MATCH(C1120,Roster!$C$6:$C$65,0))-1)+MATCH(B1120,{"AM","PM","NIGHT","WD"},0)-1),""))</f>
        <v/>
      </c>
    </row>
    <row r="1121">
      <c r="A1121" s="122" t="n"/>
      <c r="B1121" s="107" t="n"/>
      <c r="C1121" s="105" t="n"/>
      <c r="D1121" s="92">
        <f>IF(C1121="","",IFERROR(INDEX(Roster!$C$6:$C$65,IFERROR(MATCH(C1121,Roster!$B$6:$B$65,0),MATCH(C1121,Roster!$C$6:$C$65,0))),"not on the Roster"))</f>
        <v/>
      </c>
      <c r="E1121" s="106" t="n"/>
      <c r="F1121" s="104">
        <f>IF(OR(A1121="",C1121="",B1121=""),"",IFERROR(INDEX(CHOOSE(IF(YEAR(A1121)&gt;PlanYear,13,MONTH(A1121)),'Jan'!$D$27:$AH$266,'Feb'!$D$27:$AH$266,'Mar'!$D$27:$AH$266,'Apr'!$D$27:$AH$266,'May'!$D$27:$AH$266,'Jun'!$D$27:$AH$266,'Jul'!$D$27:$AH$266,'Aug'!$D$27:$AH$266,'Sep'!$D$27:$AH$266,'Oct'!$D$27:$AH$266,'Nov'!$D$27:$AH$266,'Dec'!$D$27:$AH$266,'Jan (next year)'!$D$27:$AH$266),27+4*(IFERROR(MATCH(C1121,Roster!$B$6:$B$65,0),MATCH(C1121,Roster!$C$6:$C$65,0))-1)+MATCH(B1121,{"AM","PM","NIGHT","WD"},0)-1-27+1,DAY(A1121))&amp;"",""))</f>
        <v/>
      </c>
      <c r="G1121" s="123">
        <f>IF(OR(A1121="",C1121="",B1121="",E1121=""),"",IFERROR(A1121&amp;"|"&amp;(27+4*(IFERROR(MATCH(C1121,Roster!$B$6:$B$65,0),MATCH(C1121,Roster!$C$6:$C$65,0))-1)+MATCH(B1121,{"AM","PM","NIGHT","WD"},0)-1),""))</f>
        <v/>
      </c>
    </row>
    <row r="1122">
      <c r="A1122" s="122" t="n"/>
      <c r="B1122" s="107" t="n"/>
      <c r="C1122" s="105" t="n"/>
      <c r="D1122" s="92">
        <f>IF(C1122="","",IFERROR(INDEX(Roster!$C$6:$C$65,IFERROR(MATCH(C1122,Roster!$B$6:$B$65,0),MATCH(C1122,Roster!$C$6:$C$65,0))),"not on the Roster"))</f>
        <v/>
      </c>
      <c r="E1122" s="106" t="n"/>
      <c r="F1122" s="104">
        <f>IF(OR(A1122="",C1122="",B1122=""),"",IFERROR(INDEX(CHOOSE(IF(YEAR(A1122)&gt;PlanYear,13,MONTH(A1122)),'Jan'!$D$27:$AH$266,'Feb'!$D$27:$AH$266,'Mar'!$D$27:$AH$266,'Apr'!$D$27:$AH$266,'May'!$D$27:$AH$266,'Jun'!$D$27:$AH$266,'Jul'!$D$27:$AH$266,'Aug'!$D$27:$AH$266,'Sep'!$D$27:$AH$266,'Oct'!$D$27:$AH$266,'Nov'!$D$27:$AH$266,'Dec'!$D$27:$AH$266,'Jan (next year)'!$D$27:$AH$266),27+4*(IFERROR(MATCH(C1122,Roster!$B$6:$B$65,0),MATCH(C1122,Roster!$C$6:$C$65,0))-1)+MATCH(B1122,{"AM","PM","NIGHT","WD"},0)-1-27+1,DAY(A1122))&amp;"",""))</f>
        <v/>
      </c>
      <c r="G1122" s="123">
        <f>IF(OR(A1122="",C1122="",B1122="",E1122=""),"",IFERROR(A1122&amp;"|"&amp;(27+4*(IFERROR(MATCH(C1122,Roster!$B$6:$B$65,0),MATCH(C1122,Roster!$C$6:$C$65,0))-1)+MATCH(B1122,{"AM","PM","NIGHT","WD"},0)-1),""))</f>
        <v/>
      </c>
    </row>
    <row r="1123">
      <c r="A1123" s="122" t="n"/>
      <c r="B1123" s="107" t="n"/>
      <c r="C1123" s="105" t="n"/>
      <c r="D1123" s="92">
        <f>IF(C1123="","",IFERROR(INDEX(Roster!$C$6:$C$65,IFERROR(MATCH(C1123,Roster!$B$6:$B$65,0),MATCH(C1123,Roster!$C$6:$C$65,0))),"not on the Roster"))</f>
        <v/>
      </c>
      <c r="E1123" s="106" t="n"/>
      <c r="F1123" s="104">
        <f>IF(OR(A1123="",C1123="",B1123=""),"",IFERROR(INDEX(CHOOSE(IF(YEAR(A1123)&gt;PlanYear,13,MONTH(A1123)),'Jan'!$D$27:$AH$266,'Feb'!$D$27:$AH$266,'Mar'!$D$27:$AH$266,'Apr'!$D$27:$AH$266,'May'!$D$27:$AH$266,'Jun'!$D$27:$AH$266,'Jul'!$D$27:$AH$266,'Aug'!$D$27:$AH$266,'Sep'!$D$27:$AH$266,'Oct'!$D$27:$AH$266,'Nov'!$D$27:$AH$266,'Dec'!$D$27:$AH$266,'Jan (next year)'!$D$27:$AH$266),27+4*(IFERROR(MATCH(C1123,Roster!$B$6:$B$65,0),MATCH(C1123,Roster!$C$6:$C$65,0))-1)+MATCH(B1123,{"AM","PM","NIGHT","WD"},0)-1-27+1,DAY(A1123))&amp;"",""))</f>
        <v/>
      </c>
      <c r="G1123" s="123">
        <f>IF(OR(A1123="",C1123="",B1123="",E1123=""),"",IFERROR(A1123&amp;"|"&amp;(27+4*(IFERROR(MATCH(C1123,Roster!$B$6:$B$65,0),MATCH(C1123,Roster!$C$6:$C$65,0))-1)+MATCH(B1123,{"AM","PM","NIGHT","WD"},0)-1),""))</f>
        <v/>
      </c>
    </row>
    <row r="1124">
      <c r="A1124" s="122" t="n"/>
      <c r="B1124" s="107" t="n"/>
      <c r="C1124" s="105" t="n"/>
      <c r="D1124" s="92">
        <f>IF(C1124="","",IFERROR(INDEX(Roster!$C$6:$C$65,IFERROR(MATCH(C1124,Roster!$B$6:$B$65,0),MATCH(C1124,Roster!$C$6:$C$65,0))),"not on the Roster"))</f>
        <v/>
      </c>
      <c r="E1124" s="106" t="n"/>
      <c r="F1124" s="104">
        <f>IF(OR(A1124="",C1124="",B1124=""),"",IFERROR(INDEX(CHOOSE(IF(YEAR(A1124)&gt;PlanYear,13,MONTH(A1124)),'Jan'!$D$27:$AH$266,'Feb'!$D$27:$AH$266,'Mar'!$D$27:$AH$266,'Apr'!$D$27:$AH$266,'May'!$D$27:$AH$266,'Jun'!$D$27:$AH$266,'Jul'!$D$27:$AH$266,'Aug'!$D$27:$AH$266,'Sep'!$D$27:$AH$266,'Oct'!$D$27:$AH$266,'Nov'!$D$27:$AH$266,'Dec'!$D$27:$AH$266,'Jan (next year)'!$D$27:$AH$266),27+4*(IFERROR(MATCH(C1124,Roster!$B$6:$B$65,0),MATCH(C1124,Roster!$C$6:$C$65,0))-1)+MATCH(B1124,{"AM","PM","NIGHT","WD"},0)-1-27+1,DAY(A1124))&amp;"",""))</f>
        <v/>
      </c>
      <c r="G1124" s="123">
        <f>IF(OR(A1124="",C1124="",B1124="",E1124=""),"",IFERROR(A1124&amp;"|"&amp;(27+4*(IFERROR(MATCH(C1124,Roster!$B$6:$B$65,0),MATCH(C1124,Roster!$C$6:$C$65,0))-1)+MATCH(B1124,{"AM","PM","NIGHT","WD"},0)-1),""))</f>
        <v/>
      </c>
    </row>
    <row r="1125">
      <c r="A1125" s="122" t="n"/>
      <c r="B1125" s="107" t="n"/>
      <c r="C1125" s="105" t="n"/>
      <c r="D1125" s="92">
        <f>IF(C1125="","",IFERROR(INDEX(Roster!$C$6:$C$65,IFERROR(MATCH(C1125,Roster!$B$6:$B$65,0),MATCH(C1125,Roster!$C$6:$C$65,0))),"not on the Roster"))</f>
        <v/>
      </c>
      <c r="E1125" s="106" t="n"/>
      <c r="F1125" s="104">
        <f>IF(OR(A1125="",C1125="",B1125=""),"",IFERROR(INDEX(CHOOSE(IF(YEAR(A1125)&gt;PlanYear,13,MONTH(A1125)),'Jan'!$D$27:$AH$266,'Feb'!$D$27:$AH$266,'Mar'!$D$27:$AH$266,'Apr'!$D$27:$AH$266,'May'!$D$27:$AH$266,'Jun'!$D$27:$AH$266,'Jul'!$D$27:$AH$266,'Aug'!$D$27:$AH$266,'Sep'!$D$27:$AH$266,'Oct'!$D$27:$AH$266,'Nov'!$D$27:$AH$266,'Dec'!$D$27:$AH$266,'Jan (next year)'!$D$27:$AH$266),27+4*(IFERROR(MATCH(C1125,Roster!$B$6:$B$65,0),MATCH(C1125,Roster!$C$6:$C$65,0))-1)+MATCH(B1125,{"AM","PM","NIGHT","WD"},0)-1-27+1,DAY(A1125))&amp;"",""))</f>
        <v/>
      </c>
      <c r="G1125" s="123">
        <f>IF(OR(A1125="",C1125="",B1125="",E1125=""),"",IFERROR(A1125&amp;"|"&amp;(27+4*(IFERROR(MATCH(C1125,Roster!$B$6:$B$65,0),MATCH(C1125,Roster!$C$6:$C$65,0))-1)+MATCH(B1125,{"AM","PM","NIGHT","WD"},0)-1),""))</f>
        <v/>
      </c>
    </row>
    <row r="1126">
      <c r="A1126" s="122" t="n"/>
      <c r="B1126" s="107" t="n"/>
      <c r="C1126" s="105" t="n"/>
      <c r="D1126" s="92">
        <f>IF(C1126="","",IFERROR(INDEX(Roster!$C$6:$C$65,IFERROR(MATCH(C1126,Roster!$B$6:$B$65,0),MATCH(C1126,Roster!$C$6:$C$65,0))),"not on the Roster"))</f>
        <v/>
      </c>
      <c r="E1126" s="106" t="n"/>
      <c r="F1126" s="104">
        <f>IF(OR(A1126="",C1126="",B1126=""),"",IFERROR(INDEX(CHOOSE(IF(YEAR(A1126)&gt;PlanYear,13,MONTH(A1126)),'Jan'!$D$27:$AH$266,'Feb'!$D$27:$AH$266,'Mar'!$D$27:$AH$266,'Apr'!$D$27:$AH$266,'May'!$D$27:$AH$266,'Jun'!$D$27:$AH$266,'Jul'!$D$27:$AH$266,'Aug'!$D$27:$AH$266,'Sep'!$D$27:$AH$266,'Oct'!$D$27:$AH$266,'Nov'!$D$27:$AH$266,'Dec'!$D$27:$AH$266,'Jan (next year)'!$D$27:$AH$266),27+4*(IFERROR(MATCH(C1126,Roster!$B$6:$B$65,0),MATCH(C1126,Roster!$C$6:$C$65,0))-1)+MATCH(B1126,{"AM","PM","NIGHT","WD"},0)-1-27+1,DAY(A1126))&amp;"",""))</f>
        <v/>
      </c>
      <c r="G1126" s="123">
        <f>IF(OR(A1126="",C1126="",B1126="",E1126=""),"",IFERROR(A1126&amp;"|"&amp;(27+4*(IFERROR(MATCH(C1126,Roster!$B$6:$B$65,0),MATCH(C1126,Roster!$C$6:$C$65,0))-1)+MATCH(B1126,{"AM","PM","NIGHT","WD"},0)-1),""))</f>
        <v/>
      </c>
    </row>
    <row r="1127">
      <c r="A1127" s="122" t="n"/>
      <c r="B1127" s="107" t="n"/>
      <c r="C1127" s="105" t="n"/>
      <c r="D1127" s="92">
        <f>IF(C1127="","",IFERROR(INDEX(Roster!$C$6:$C$65,IFERROR(MATCH(C1127,Roster!$B$6:$B$65,0),MATCH(C1127,Roster!$C$6:$C$65,0))),"not on the Roster"))</f>
        <v/>
      </c>
      <c r="E1127" s="106" t="n"/>
      <c r="F1127" s="104">
        <f>IF(OR(A1127="",C1127="",B1127=""),"",IFERROR(INDEX(CHOOSE(IF(YEAR(A1127)&gt;PlanYear,13,MONTH(A1127)),'Jan'!$D$27:$AH$266,'Feb'!$D$27:$AH$266,'Mar'!$D$27:$AH$266,'Apr'!$D$27:$AH$266,'May'!$D$27:$AH$266,'Jun'!$D$27:$AH$266,'Jul'!$D$27:$AH$266,'Aug'!$D$27:$AH$266,'Sep'!$D$27:$AH$266,'Oct'!$D$27:$AH$266,'Nov'!$D$27:$AH$266,'Dec'!$D$27:$AH$266,'Jan (next year)'!$D$27:$AH$266),27+4*(IFERROR(MATCH(C1127,Roster!$B$6:$B$65,0),MATCH(C1127,Roster!$C$6:$C$65,0))-1)+MATCH(B1127,{"AM","PM","NIGHT","WD"},0)-1-27+1,DAY(A1127))&amp;"",""))</f>
        <v/>
      </c>
      <c r="G1127" s="123">
        <f>IF(OR(A1127="",C1127="",B1127="",E1127=""),"",IFERROR(A1127&amp;"|"&amp;(27+4*(IFERROR(MATCH(C1127,Roster!$B$6:$B$65,0),MATCH(C1127,Roster!$C$6:$C$65,0))-1)+MATCH(B1127,{"AM","PM","NIGHT","WD"},0)-1),""))</f>
        <v/>
      </c>
    </row>
    <row r="1128">
      <c r="A1128" s="122" t="n"/>
      <c r="B1128" s="107" t="n"/>
      <c r="C1128" s="105" t="n"/>
      <c r="D1128" s="92">
        <f>IF(C1128="","",IFERROR(INDEX(Roster!$C$6:$C$65,IFERROR(MATCH(C1128,Roster!$B$6:$B$65,0),MATCH(C1128,Roster!$C$6:$C$65,0))),"not on the Roster"))</f>
        <v/>
      </c>
      <c r="E1128" s="106" t="n"/>
      <c r="F1128" s="104">
        <f>IF(OR(A1128="",C1128="",B1128=""),"",IFERROR(INDEX(CHOOSE(IF(YEAR(A1128)&gt;PlanYear,13,MONTH(A1128)),'Jan'!$D$27:$AH$266,'Feb'!$D$27:$AH$266,'Mar'!$D$27:$AH$266,'Apr'!$D$27:$AH$266,'May'!$D$27:$AH$266,'Jun'!$D$27:$AH$266,'Jul'!$D$27:$AH$266,'Aug'!$D$27:$AH$266,'Sep'!$D$27:$AH$266,'Oct'!$D$27:$AH$266,'Nov'!$D$27:$AH$266,'Dec'!$D$27:$AH$266,'Jan (next year)'!$D$27:$AH$266),27+4*(IFERROR(MATCH(C1128,Roster!$B$6:$B$65,0),MATCH(C1128,Roster!$C$6:$C$65,0))-1)+MATCH(B1128,{"AM","PM","NIGHT","WD"},0)-1-27+1,DAY(A1128))&amp;"",""))</f>
        <v/>
      </c>
      <c r="G1128" s="123">
        <f>IF(OR(A1128="",C1128="",B1128="",E1128=""),"",IFERROR(A1128&amp;"|"&amp;(27+4*(IFERROR(MATCH(C1128,Roster!$B$6:$B$65,0),MATCH(C1128,Roster!$C$6:$C$65,0))-1)+MATCH(B1128,{"AM","PM","NIGHT","WD"},0)-1),""))</f>
        <v/>
      </c>
    </row>
    <row r="1129">
      <c r="A1129" s="122" t="n"/>
      <c r="B1129" s="107" t="n"/>
      <c r="C1129" s="105" t="n"/>
      <c r="D1129" s="92">
        <f>IF(C1129="","",IFERROR(INDEX(Roster!$C$6:$C$65,IFERROR(MATCH(C1129,Roster!$B$6:$B$65,0),MATCH(C1129,Roster!$C$6:$C$65,0))),"not on the Roster"))</f>
        <v/>
      </c>
      <c r="E1129" s="106" t="n"/>
      <c r="F1129" s="104">
        <f>IF(OR(A1129="",C1129="",B1129=""),"",IFERROR(INDEX(CHOOSE(IF(YEAR(A1129)&gt;PlanYear,13,MONTH(A1129)),'Jan'!$D$27:$AH$266,'Feb'!$D$27:$AH$266,'Mar'!$D$27:$AH$266,'Apr'!$D$27:$AH$266,'May'!$D$27:$AH$266,'Jun'!$D$27:$AH$266,'Jul'!$D$27:$AH$266,'Aug'!$D$27:$AH$266,'Sep'!$D$27:$AH$266,'Oct'!$D$27:$AH$266,'Nov'!$D$27:$AH$266,'Dec'!$D$27:$AH$266,'Jan (next year)'!$D$27:$AH$266),27+4*(IFERROR(MATCH(C1129,Roster!$B$6:$B$65,0),MATCH(C1129,Roster!$C$6:$C$65,0))-1)+MATCH(B1129,{"AM","PM","NIGHT","WD"},0)-1-27+1,DAY(A1129))&amp;"",""))</f>
        <v/>
      </c>
      <c r="G1129" s="123">
        <f>IF(OR(A1129="",C1129="",B1129="",E1129=""),"",IFERROR(A1129&amp;"|"&amp;(27+4*(IFERROR(MATCH(C1129,Roster!$B$6:$B$65,0),MATCH(C1129,Roster!$C$6:$C$65,0))-1)+MATCH(B1129,{"AM","PM","NIGHT","WD"},0)-1),""))</f>
        <v/>
      </c>
    </row>
    <row r="1130">
      <c r="A1130" s="122" t="n"/>
      <c r="B1130" s="107" t="n"/>
      <c r="C1130" s="105" t="n"/>
      <c r="D1130" s="92">
        <f>IF(C1130="","",IFERROR(INDEX(Roster!$C$6:$C$65,IFERROR(MATCH(C1130,Roster!$B$6:$B$65,0),MATCH(C1130,Roster!$C$6:$C$65,0))),"not on the Roster"))</f>
        <v/>
      </c>
      <c r="E1130" s="106" t="n"/>
      <c r="F1130" s="104">
        <f>IF(OR(A1130="",C1130="",B1130=""),"",IFERROR(INDEX(CHOOSE(IF(YEAR(A1130)&gt;PlanYear,13,MONTH(A1130)),'Jan'!$D$27:$AH$266,'Feb'!$D$27:$AH$266,'Mar'!$D$27:$AH$266,'Apr'!$D$27:$AH$266,'May'!$D$27:$AH$266,'Jun'!$D$27:$AH$266,'Jul'!$D$27:$AH$266,'Aug'!$D$27:$AH$266,'Sep'!$D$27:$AH$266,'Oct'!$D$27:$AH$266,'Nov'!$D$27:$AH$266,'Dec'!$D$27:$AH$266,'Jan (next year)'!$D$27:$AH$266),27+4*(IFERROR(MATCH(C1130,Roster!$B$6:$B$65,0),MATCH(C1130,Roster!$C$6:$C$65,0))-1)+MATCH(B1130,{"AM","PM","NIGHT","WD"},0)-1-27+1,DAY(A1130))&amp;"",""))</f>
        <v/>
      </c>
      <c r="G1130" s="123">
        <f>IF(OR(A1130="",C1130="",B1130="",E1130=""),"",IFERROR(A1130&amp;"|"&amp;(27+4*(IFERROR(MATCH(C1130,Roster!$B$6:$B$65,0),MATCH(C1130,Roster!$C$6:$C$65,0))-1)+MATCH(B1130,{"AM","PM","NIGHT","WD"},0)-1),""))</f>
        <v/>
      </c>
    </row>
    <row r="1131">
      <c r="A1131" s="122" t="n"/>
      <c r="B1131" s="107" t="n"/>
      <c r="C1131" s="105" t="n"/>
      <c r="D1131" s="92">
        <f>IF(C1131="","",IFERROR(INDEX(Roster!$C$6:$C$65,IFERROR(MATCH(C1131,Roster!$B$6:$B$65,0),MATCH(C1131,Roster!$C$6:$C$65,0))),"not on the Roster"))</f>
        <v/>
      </c>
      <c r="E1131" s="106" t="n"/>
      <c r="F1131" s="104">
        <f>IF(OR(A1131="",C1131="",B1131=""),"",IFERROR(INDEX(CHOOSE(IF(YEAR(A1131)&gt;PlanYear,13,MONTH(A1131)),'Jan'!$D$27:$AH$266,'Feb'!$D$27:$AH$266,'Mar'!$D$27:$AH$266,'Apr'!$D$27:$AH$266,'May'!$D$27:$AH$266,'Jun'!$D$27:$AH$266,'Jul'!$D$27:$AH$266,'Aug'!$D$27:$AH$266,'Sep'!$D$27:$AH$266,'Oct'!$D$27:$AH$266,'Nov'!$D$27:$AH$266,'Dec'!$D$27:$AH$266,'Jan (next year)'!$D$27:$AH$266),27+4*(IFERROR(MATCH(C1131,Roster!$B$6:$B$65,0),MATCH(C1131,Roster!$C$6:$C$65,0))-1)+MATCH(B1131,{"AM","PM","NIGHT","WD"},0)-1-27+1,DAY(A1131))&amp;"",""))</f>
        <v/>
      </c>
      <c r="G1131" s="123">
        <f>IF(OR(A1131="",C1131="",B1131="",E1131=""),"",IFERROR(A1131&amp;"|"&amp;(27+4*(IFERROR(MATCH(C1131,Roster!$B$6:$B$65,0),MATCH(C1131,Roster!$C$6:$C$65,0))-1)+MATCH(B1131,{"AM","PM","NIGHT","WD"},0)-1),""))</f>
        <v/>
      </c>
    </row>
    <row r="1132">
      <c r="A1132" s="122" t="n"/>
      <c r="B1132" s="107" t="n"/>
      <c r="C1132" s="105" t="n"/>
      <c r="D1132" s="92">
        <f>IF(C1132="","",IFERROR(INDEX(Roster!$C$6:$C$65,IFERROR(MATCH(C1132,Roster!$B$6:$B$65,0),MATCH(C1132,Roster!$C$6:$C$65,0))),"not on the Roster"))</f>
        <v/>
      </c>
      <c r="E1132" s="106" t="n"/>
      <c r="F1132" s="104">
        <f>IF(OR(A1132="",C1132="",B1132=""),"",IFERROR(INDEX(CHOOSE(IF(YEAR(A1132)&gt;PlanYear,13,MONTH(A1132)),'Jan'!$D$27:$AH$266,'Feb'!$D$27:$AH$266,'Mar'!$D$27:$AH$266,'Apr'!$D$27:$AH$266,'May'!$D$27:$AH$266,'Jun'!$D$27:$AH$266,'Jul'!$D$27:$AH$266,'Aug'!$D$27:$AH$266,'Sep'!$D$27:$AH$266,'Oct'!$D$27:$AH$266,'Nov'!$D$27:$AH$266,'Dec'!$D$27:$AH$266,'Jan (next year)'!$D$27:$AH$266),27+4*(IFERROR(MATCH(C1132,Roster!$B$6:$B$65,0),MATCH(C1132,Roster!$C$6:$C$65,0))-1)+MATCH(B1132,{"AM","PM","NIGHT","WD"},0)-1-27+1,DAY(A1132))&amp;"",""))</f>
        <v/>
      </c>
      <c r="G1132" s="123">
        <f>IF(OR(A1132="",C1132="",B1132="",E1132=""),"",IFERROR(A1132&amp;"|"&amp;(27+4*(IFERROR(MATCH(C1132,Roster!$B$6:$B$65,0),MATCH(C1132,Roster!$C$6:$C$65,0))-1)+MATCH(B1132,{"AM","PM","NIGHT","WD"},0)-1),""))</f>
        <v/>
      </c>
    </row>
    <row r="1133">
      <c r="A1133" s="122" t="n"/>
      <c r="B1133" s="107" t="n"/>
      <c r="C1133" s="105" t="n"/>
      <c r="D1133" s="92">
        <f>IF(C1133="","",IFERROR(INDEX(Roster!$C$6:$C$65,IFERROR(MATCH(C1133,Roster!$B$6:$B$65,0),MATCH(C1133,Roster!$C$6:$C$65,0))),"not on the Roster"))</f>
        <v/>
      </c>
      <c r="E1133" s="106" t="n"/>
      <c r="F1133" s="104">
        <f>IF(OR(A1133="",C1133="",B1133=""),"",IFERROR(INDEX(CHOOSE(IF(YEAR(A1133)&gt;PlanYear,13,MONTH(A1133)),'Jan'!$D$27:$AH$266,'Feb'!$D$27:$AH$266,'Mar'!$D$27:$AH$266,'Apr'!$D$27:$AH$266,'May'!$D$27:$AH$266,'Jun'!$D$27:$AH$266,'Jul'!$D$27:$AH$266,'Aug'!$D$27:$AH$266,'Sep'!$D$27:$AH$266,'Oct'!$D$27:$AH$266,'Nov'!$D$27:$AH$266,'Dec'!$D$27:$AH$266,'Jan (next year)'!$D$27:$AH$266),27+4*(IFERROR(MATCH(C1133,Roster!$B$6:$B$65,0),MATCH(C1133,Roster!$C$6:$C$65,0))-1)+MATCH(B1133,{"AM","PM","NIGHT","WD"},0)-1-27+1,DAY(A1133))&amp;"",""))</f>
        <v/>
      </c>
      <c r="G1133" s="123">
        <f>IF(OR(A1133="",C1133="",B1133="",E1133=""),"",IFERROR(A1133&amp;"|"&amp;(27+4*(IFERROR(MATCH(C1133,Roster!$B$6:$B$65,0),MATCH(C1133,Roster!$C$6:$C$65,0))-1)+MATCH(B1133,{"AM","PM","NIGHT","WD"},0)-1),""))</f>
        <v/>
      </c>
    </row>
    <row r="1134">
      <c r="A1134" s="122" t="n"/>
      <c r="B1134" s="107" t="n"/>
      <c r="C1134" s="105" t="n"/>
      <c r="D1134" s="92">
        <f>IF(C1134="","",IFERROR(INDEX(Roster!$C$6:$C$65,IFERROR(MATCH(C1134,Roster!$B$6:$B$65,0),MATCH(C1134,Roster!$C$6:$C$65,0))),"not on the Roster"))</f>
        <v/>
      </c>
      <c r="E1134" s="106" t="n"/>
      <c r="F1134" s="104">
        <f>IF(OR(A1134="",C1134="",B1134=""),"",IFERROR(INDEX(CHOOSE(IF(YEAR(A1134)&gt;PlanYear,13,MONTH(A1134)),'Jan'!$D$27:$AH$266,'Feb'!$D$27:$AH$266,'Mar'!$D$27:$AH$266,'Apr'!$D$27:$AH$266,'May'!$D$27:$AH$266,'Jun'!$D$27:$AH$266,'Jul'!$D$27:$AH$266,'Aug'!$D$27:$AH$266,'Sep'!$D$27:$AH$266,'Oct'!$D$27:$AH$266,'Nov'!$D$27:$AH$266,'Dec'!$D$27:$AH$266,'Jan (next year)'!$D$27:$AH$266),27+4*(IFERROR(MATCH(C1134,Roster!$B$6:$B$65,0),MATCH(C1134,Roster!$C$6:$C$65,0))-1)+MATCH(B1134,{"AM","PM","NIGHT","WD"},0)-1-27+1,DAY(A1134))&amp;"",""))</f>
        <v/>
      </c>
      <c r="G1134" s="123">
        <f>IF(OR(A1134="",C1134="",B1134="",E1134=""),"",IFERROR(A1134&amp;"|"&amp;(27+4*(IFERROR(MATCH(C1134,Roster!$B$6:$B$65,0),MATCH(C1134,Roster!$C$6:$C$65,0))-1)+MATCH(B1134,{"AM","PM","NIGHT","WD"},0)-1),""))</f>
        <v/>
      </c>
    </row>
    <row r="1135">
      <c r="A1135" s="122" t="n"/>
      <c r="B1135" s="107" t="n"/>
      <c r="C1135" s="105" t="n"/>
      <c r="D1135" s="92">
        <f>IF(C1135="","",IFERROR(INDEX(Roster!$C$6:$C$65,IFERROR(MATCH(C1135,Roster!$B$6:$B$65,0),MATCH(C1135,Roster!$C$6:$C$65,0))),"not on the Roster"))</f>
        <v/>
      </c>
      <c r="E1135" s="106" t="n"/>
      <c r="F1135" s="104">
        <f>IF(OR(A1135="",C1135="",B1135=""),"",IFERROR(INDEX(CHOOSE(IF(YEAR(A1135)&gt;PlanYear,13,MONTH(A1135)),'Jan'!$D$27:$AH$266,'Feb'!$D$27:$AH$266,'Mar'!$D$27:$AH$266,'Apr'!$D$27:$AH$266,'May'!$D$27:$AH$266,'Jun'!$D$27:$AH$266,'Jul'!$D$27:$AH$266,'Aug'!$D$27:$AH$266,'Sep'!$D$27:$AH$266,'Oct'!$D$27:$AH$266,'Nov'!$D$27:$AH$266,'Dec'!$D$27:$AH$266,'Jan (next year)'!$D$27:$AH$266),27+4*(IFERROR(MATCH(C1135,Roster!$B$6:$B$65,0),MATCH(C1135,Roster!$C$6:$C$65,0))-1)+MATCH(B1135,{"AM","PM","NIGHT","WD"},0)-1-27+1,DAY(A1135))&amp;"",""))</f>
        <v/>
      </c>
      <c r="G1135" s="123">
        <f>IF(OR(A1135="",C1135="",B1135="",E1135=""),"",IFERROR(A1135&amp;"|"&amp;(27+4*(IFERROR(MATCH(C1135,Roster!$B$6:$B$65,0),MATCH(C1135,Roster!$C$6:$C$65,0))-1)+MATCH(B1135,{"AM","PM","NIGHT","WD"},0)-1),""))</f>
        <v/>
      </c>
    </row>
    <row r="1136">
      <c r="A1136" s="122" t="n"/>
      <c r="B1136" s="107" t="n"/>
      <c r="C1136" s="105" t="n"/>
      <c r="D1136" s="92">
        <f>IF(C1136="","",IFERROR(INDEX(Roster!$C$6:$C$65,IFERROR(MATCH(C1136,Roster!$B$6:$B$65,0),MATCH(C1136,Roster!$C$6:$C$65,0))),"not on the Roster"))</f>
        <v/>
      </c>
      <c r="E1136" s="106" t="n"/>
      <c r="F1136" s="104">
        <f>IF(OR(A1136="",C1136="",B1136=""),"",IFERROR(INDEX(CHOOSE(IF(YEAR(A1136)&gt;PlanYear,13,MONTH(A1136)),'Jan'!$D$27:$AH$266,'Feb'!$D$27:$AH$266,'Mar'!$D$27:$AH$266,'Apr'!$D$27:$AH$266,'May'!$D$27:$AH$266,'Jun'!$D$27:$AH$266,'Jul'!$D$27:$AH$266,'Aug'!$D$27:$AH$266,'Sep'!$D$27:$AH$266,'Oct'!$D$27:$AH$266,'Nov'!$D$27:$AH$266,'Dec'!$D$27:$AH$266,'Jan (next year)'!$D$27:$AH$266),27+4*(IFERROR(MATCH(C1136,Roster!$B$6:$B$65,0),MATCH(C1136,Roster!$C$6:$C$65,0))-1)+MATCH(B1136,{"AM","PM","NIGHT","WD"},0)-1-27+1,DAY(A1136))&amp;"",""))</f>
        <v/>
      </c>
      <c r="G1136" s="123">
        <f>IF(OR(A1136="",C1136="",B1136="",E1136=""),"",IFERROR(A1136&amp;"|"&amp;(27+4*(IFERROR(MATCH(C1136,Roster!$B$6:$B$65,0),MATCH(C1136,Roster!$C$6:$C$65,0))-1)+MATCH(B1136,{"AM","PM","NIGHT","WD"},0)-1),""))</f>
        <v/>
      </c>
    </row>
    <row r="1137">
      <c r="A1137" s="122" t="n"/>
      <c r="B1137" s="107" t="n"/>
      <c r="C1137" s="105" t="n"/>
      <c r="D1137" s="92">
        <f>IF(C1137="","",IFERROR(INDEX(Roster!$C$6:$C$65,IFERROR(MATCH(C1137,Roster!$B$6:$B$65,0),MATCH(C1137,Roster!$C$6:$C$65,0))),"not on the Roster"))</f>
        <v/>
      </c>
      <c r="E1137" s="106" t="n"/>
      <c r="F1137" s="104">
        <f>IF(OR(A1137="",C1137="",B1137=""),"",IFERROR(INDEX(CHOOSE(IF(YEAR(A1137)&gt;PlanYear,13,MONTH(A1137)),'Jan'!$D$27:$AH$266,'Feb'!$D$27:$AH$266,'Mar'!$D$27:$AH$266,'Apr'!$D$27:$AH$266,'May'!$D$27:$AH$266,'Jun'!$D$27:$AH$266,'Jul'!$D$27:$AH$266,'Aug'!$D$27:$AH$266,'Sep'!$D$27:$AH$266,'Oct'!$D$27:$AH$266,'Nov'!$D$27:$AH$266,'Dec'!$D$27:$AH$266,'Jan (next year)'!$D$27:$AH$266),27+4*(IFERROR(MATCH(C1137,Roster!$B$6:$B$65,0),MATCH(C1137,Roster!$C$6:$C$65,0))-1)+MATCH(B1137,{"AM","PM","NIGHT","WD"},0)-1-27+1,DAY(A1137))&amp;"",""))</f>
        <v/>
      </c>
      <c r="G1137" s="123">
        <f>IF(OR(A1137="",C1137="",B1137="",E1137=""),"",IFERROR(A1137&amp;"|"&amp;(27+4*(IFERROR(MATCH(C1137,Roster!$B$6:$B$65,0),MATCH(C1137,Roster!$C$6:$C$65,0))-1)+MATCH(B1137,{"AM","PM","NIGHT","WD"},0)-1),""))</f>
        <v/>
      </c>
    </row>
    <row r="1138">
      <c r="A1138" s="122" t="n"/>
      <c r="B1138" s="107" t="n"/>
      <c r="C1138" s="105" t="n"/>
      <c r="D1138" s="92">
        <f>IF(C1138="","",IFERROR(INDEX(Roster!$C$6:$C$65,IFERROR(MATCH(C1138,Roster!$B$6:$B$65,0),MATCH(C1138,Roster!$C$6:$C$65,0))),"not on the Roster"))</f>
        <v/>
      </c>
      <c r="E1138" s="106" t="n"/>
      <c r="F1138" s="104">
        <f>IF(OR(A1138="",C1138="",B1138=""),"",IFERROR(INDEX(CHOOSE(IF(YEAR(A1138)&gt;PlanYear,13,MONTH(A1138)),'Jan'!$D$27:$AH$266,'Feb'!$D$27:$AH$266,'Mar'!$D$27:$AH$266,'Apr'!$D$27:$AH$266,'May'!$D$27:$AH$266,'Jun'!$D$27:$AH$266,'Jul'!$D$27:$AH$266,'Aug'!$D$27:$AH$266,'Sep'!$D$27:$AH$266,'Oct'!$D$27:$AH$266,'Nov'!$D$27:$AH$266,'Dec'!$D$27:$AH$266,'Jan (next year)'!$D$27:$AH$266),27+4*(IFERROR(MATCH(C1138,Roster!$B$6:$B$65,0),MATCH(C1138,Roster!$C$6:$C$65,0))-1)+MATCH(B1138,{"AM","PM","NIGHT","WD"},0)-1-27+1,DAY(A1138))&amp;"",""))</f>
        <v/>
      </c>
      <c r="G1138" s="123">
        <f>IF(OR(A1138="",C1138="",B1138="",E1138=""),"",IFERROR(A1138&amp;"|"&amp;(27+4*(IFERROR(MATCH(C1138,Roster!$B$6:$B$65,0),MATCH(C1138,Roster!$C$6:$C$65,0))-1)+MATCH(B1138,{"AM","PM","NIGHT","WD"},0)-1),""))</f>
        <v/>
      </c>
    </row>
    <row r="1139">
      <c r="A1139" s="122" t="n"/>
      <c r="B1139" s="107" t="n"/>
      <c r="C1139" s="105" t="n"/>
      <c r="D1139" s="92">
        <f>IF(C1139="","",IFERROR(INDEX(Roster!$C$6:$C$65,IFERROR(MATCH(C1139,Roster!$B$6:$B$65,0),MATCH(C1139,Roster!$C$6:$C$65,0))),"not on the Roster"))</f>
        <v/>
      </c>
      <c r="E1139" s="106" t="n"/>
      <c r="F1139" s="104">
        <f>IF(OR(A1139="",C1139="",B1139=""),"",IFERROR(INDEX(CHOOSE(IF(YEAR(A1139)&gt;PlanYear,13,MONTH(A1139)),'Jan'!$D$27:$AH$266,'Feb'!$D$27:$AH$266,'Mar'!$D$27:$AH$266,'Apr'!$D$27:$AH$266,'May'!$D$27:$AH$266,'Jun'!$D$27:$AH$266,'Jul'!$D$27:$AH$266,'Aug'!$D$27:$AH$266,'Sep'!$D$27:$AH$266,'Oct'!$D$27:$AH$266,'Nov'!$D$27:$AH$266,'Dec'!$D$27:$AH$266,'Jan (next year)'!$D$27:$AH$266),27+4*(IFERROR(MATCH(C1139,Roster!$B$6:$B$65,0),MATCH(C1139,Roster!$C$6:$C$65,0))-1)+MATCH(B1139,{"AM","PM","NIGHT","WD"},0)-1-27+1,DAY(A1139))&amp;"",""))</f>
        <v/>
      </c>
      <c r="G1139" s="123">
        <f>IF(OR(A1139="",C1139="",B1139="",E1139=""),"",IFERROR(A1139&amp;"|"&amp;(27+4*(IFERROR(MATCH(C1139,Roster!$B$6:$B$65,0),MATCH(C1139,Roster!$C$6:$C$65,0))-1)+MATCH(B1139,{"AM","PM","NIGHT","WD"},0)-1),""))</f>
        <v/>
      </c>
    </row>
    <row r="1140">
      <c r="A1140" s="122" t="n"/>
      <c r="B1140" s="107" t="n"/>
      <c r="C1140" s="105" t="n"/>
      <c r="D1140" s="92">
        <f>IF(C1140="","",IFERROR(INDEX(Roster!$C$6:$C$65,IFERROR(MATCH(C1140,Roster!$B$6:$B$65,0),MATCH(C1140,Roster!$C$6:$C$65,0))),"not on the Roster"))</f>
        <v/>
      </c>
      <c r="E1140" s="106" t="n"/>
      <c r="F1140" s="104">
        <f>IF(OR(A1140="",C1140="",B1140=""),"",IFERROR(INDEX(CHOOSE(IF(YEAR(A1140)&gt;PlanYear,13,MONTH(A1140)),'Jan'!$D$27:$AH$266,'Feb'!$D$27:$AH$266,'Mar'!$D$27:$AH$266,'Apr'!$D$27:$AH$266,'May'!$D$27:$AH$266,'Jun'!$D$27:$AH$266,'Jul'!$D$27:$AH$266,'Aug'!$D$27:$AH$266,'Sep'!$D$27:$AH$266,'Oct'!$D$27:$AH$266,'Nov'!$D$27:$AH$266,'Dec'!$D$27:$AH$266,'Jan (next year)'!$D$27:$AH$266),27+4*(IFERROR(MATCH(C1140,Roster!$B$6:$B$65,0),MATCH(C1140,Roster!$C$6:$C$65,0))-1)+MATCH(B1140,{"AM","PM","NIGHT","WD"},0)-1-27+1,DAY(A1140))&amp;"",""))</f>
        <v/>
      </c>
      <c r="G1140" s="123">
        <f>IF(OR(A1140="",C1140="",B1140="",E1140=""),"",IFERROR(A1140&amp;"|"&amp;(27+4*(IFERROR(MATCH(C1140,Roster!$B$6:$B$65,0),MATCH(C1140,Roster!$C$6:$C$65,0))-1)+MATCH(B1140,{"AM","PM","NIGHT","WD"},0)-1),""))</f>
        <v/>
      </c>
    </row>
    <row r="1141">
      <c r="A1141" s="122" t="n"/>
      <c r="B1141" s="107" t="n"/>
      <c r="C1141" s="105" t="n"/>
      <c r="D1141" s="92">
        <f>IF(C1141="","",IFERROR(INDEX(Roster!$C$6:$C$65,IFERROR(MATCH(C1141,Roster!$B$6:$B$65,0),MATCH(C1141,Roster!$C$6:$C$65,0))),"not on the Roster"))</f>
        <v/>
      </c>
      <c r="E1141" s="106" t="n"/>
      <c r="F1141" s="104">
        <f>IF(OR(A1141="",C1141="",B1141=""),"",IFERROR(INDEX(CHOOSE(IF(YEAR(A1141)&gt;PlanYear,13,MONTH(A1141)),'Jan'!$D$27:$AH$266,'Feb'!$D$27:$AH$266,'Mar'!$D$27:$AH$266,'Apr'!$D$27:$AH$266,'May'!$D$27:$AH$266,'Jun'!$D$27:$AH$266,'Jul'!$D$27:$AH$266,'Aug'!$D$27:$AH$266,'Sep'!$D$27:$AH$266,'Oct'!$D$27:$AH$266,'Nov'!$D$27:$AH$266,'Dec'!$D$27:$AH$266,'Jan (next year)'!$D$27:$AH$266),27+4*(IFERROR(MATCH(C1141,Roster!$B$6:$B$65,0),MATCH(C1141,Roster!$C$6:$C$65,0))-1)+MATCH(B1141,{"AM","PM","NIGHT","WD"},0)-1-27+1,DAY(A1141))&amp;"",""))</f>
        <v/>
      </c>
      <c r="G1141" s="123">
        <f>IF(OR(A1141="",C1141="",B1141="",E1141=""),"",IFERROR(A1141&amp;"|"&amp;(27+4*(IFERROR(MATCH(C1141,Roster!$B$6:$B$65,0),MATCH(C1141,Roster!$C$6:$C$65,0))-1)+MATCH(B1141,{"AM","PM","NIGHT","WD"},0)-1),""))</f>
        <v/>
      </c>
    </row>
    <row r="1142">
      <c r="A1142" s="122" t="n"/>
      <c r="B1142" s="107" t="n"/>
      <c r="C1142" s="105" t="n"/>
      <c r="D1142" s="92">
        <f>IF(C1142="","",IFERROR(INDEX(Roster!$C$6:$C$65,IFERROR(MATCH(C1142,Roster!$B$6:$B$65,0),MATCH(C1142,Roster!$C$6:$C$65,0))),"not on the Roster"))</f>
        <v/>
      </c>
      <c r="E1142" s="106" t="n"/>
      <c r="F1142" s="104">
        <f>IF(OR(A1142="",C1142="",B1142=""),"",IFERROR(INDEX(CHOOSE(IF(YEAR(A1142)&gt;PlanYear,13,MONTH(A1142)),'Jan'!$D$27:$AH$266,'Feb'!$D$27:$AH$266,'Mar'!$D$27:$AH$266,'Apr'!$D$27:$AH$266,'May'!$D$27:$AH$266,'Jun'!$D$27:$AH$266,'Jul'!$D$27:$AH$266,'Aug'!$D$27:$AH$266,'Sep'!$D$27:$AH$266,'Oct'!$D$27:$AH$266,'Nov'!$D$27:$AH$266,'Dec'!$D$27:$AH$266,'Jan (next year)'!$D$27:$AH$266),27+4*(IFERROR(MATCH(C1142,Roster!$B$6:$B$65,0),MATCH(C1142,Roster!$C$6:$C$65,0))-1)+MATCH(B1142,{"AM","PM","NIGHT","WD"},0)-1-27+1,DAY(A1142))&amp;"",""))</f>
        <v/>
      </c>
      <c r="G1142" s="123">
        <f>IF(OR(A1142="",C1142="",B1142="",E1142=""),"",IFERROR(A1142&amp;"|"&amp;(27+4*(IFERROR(MATCH(C1142,Roster!$B$6:$B$65,0),MATCH(C1142,Roster!$C$6:$C$65,0))-1)+MATCH(B1142,{"AM","PM","NIGHT","WD"},0)-1),""))</f>
        <v/>
      </c>
    </row>
    <row r="1143">
      <c r="A1143" s="122" t="n"/>
      <c r="B1143" s="107" t="n"/>
      <c r="C1143" s="105" t="n"/>
      <c r="D1143" s="92">
        <f>IF(C1143="","",IFERROR(INDEX(Roster!$C$6:$C$65,IFERROR(MATCH(C1143,Roster!$B$6:$B$65,0),MATCH(C1143,Roster!$C$6:$C$65,0))),"not on the Roster"))</f>
        <v/>
      </c>
      <c r="E1143" s="106" t="n"/>
      <c r="F1143" s="104">
        <f>IF(OR(A1143="",C1143="",B1143=""),"",IFERROR(INDEX(CHOOSE(IF(YEAR(A1143)&gt;PlanYear,13,MONTH(A1143)),'Jan'!$D$27:$AH$266,'Feb'!$D$27:$AH$266,'Mar'!$D$27:$AH$266,'Apr'!$D$27:$AH$266,'May'!$D$27:$AH$266,'Jun'!$D$27:$AH$266,'Jul'!$D$27:$AH$266,'Aug'!$D$27:$AH$266,'Sep'!$D$27:$AH$266,'Oct'!$D$27:$AH$266,'Nov'!$D$27:$AH$266,'Dec'!$D$27:$AH$266,'Jan (next year)'!$D$27:$AH$266),27+4*(IFERROR(MATCH(C1143,Roster!$B$6:$B$65,0),MATCH(C1143,Roster!$C$6:$C$65,0))-1)+MATCH(B1143,{"AM","PM","NIGHT","WD"},0)-1-27+1,DAY(A1143))&amp;"",""))</f>
        <v/>
      </c>
      <c r="G1143" s="123">
        <f>IF(OR(A1143="",C1143="",B1143="",E1143=""),"",IFERROR(A1143&amp;"|"&amp;(27+4*(IFERROR(MATCH(C1143,Roster!$B$6:$B$65,0),MATCH(C1143,Roster!$C$6:$C$65,0))-1)+MATCH(B1143,{"AM","PM","NIGHT","WD"},0)-1),""))</f>
        <v/>
      </c>
    </row>
    <row r="1144">
      <c r="A1144" s="122" t="n"/>
      <c r="B1144" s="107" t="n"/>
      <c r="C1144" s="105" t="n"/>
      <c r="D1144" s="92">
        <f>IF(C1144="","",IFERROR(INDEX(Roster!$C$6:$C$65,IFERROR(MATCH(C1144,Roster!$B$6:$B$65,0),MATCH(C1144,Roster!$C$6:$C$65,0))),"not on the Roster"))</f>
        <v/>
      </c>
      <c r="E1144" s="106" t="n"/>
      <c r="F1144" s="104">
        <f>IF(OR(A1144="",C1144="",B1144=""),"",IFERROR(INDEX(CHOOSE(IF(YEAR(A1144)&gt;PlanYear,13,MONTH(A1144)),'Jan'!$D$27:$AH$266,'Feb'!$D$27:$AH$266,'Mar'!$D$27:$AH$266,'Apr'!$D$27:$AH$266,'May'!$D$27:$AH$266,'Jun'!$D$27:$AH$266,'Jul'!$D$27:$AH$266,'Aug'!$D$27:$AH$266,'Sep'!$D$27:$AH$266,'Oct'!$D$27:$AH$266,'Nov'!$D$27:$AH$266,'Dec'!$D$27:$AH$266,'Jan (next year)'!$D$27:$AH$266),27+4*(IFERROR(MATCH(C1144,Roster!$B$6:$B$65,0),MATCH(C1144,Roster!$C$6:$C$65,0))-1)+MATCH(B1144,{"AM","PM","NIGHT","WD"},0)-1-27+1,DAY(A1144))&amp;"",""))</f>
        <v/>
      </c>
      <c r="G1144" s="123">
        <f>IF(OR(A1144="",C1144="",B1144="",E1144=""),"",IFERROR(A1144&amp;"|"&amp;(27+4*(IFERROR(MATCH(C1144,Roster!$B$6:$B$65,0),MATCH(C1144,Roster!$C$6:$C$65,0))-1)+MATCH(B1144,{"AM","PM","NIGHT","WD"},0)-1),""))</f>
        <v/>
      </c>
    </row>
    <row r="1145">
      <c r="A1145" s="122" t="n"/>
      <c r="B1145" s="107" t="n"/>
      <c r="C1145" s="105" t="n"/>
      <c r="D1145" s="92">
        <f>IF(C1145="","",IFERROR(INDEX(Roster!$C$6:$C$65,IFERROR(MATCH(C1145,Roster!$B$6:$B$65,0),MATCH(C1145,Roster!$C$6:$C$65,0))),"not on the Roster"))</f>
        <v/>
      </c>
      <c r="E1145" s="106" t="n"/>
      <c r="F1145" s="104">
        <f>IF(OR(A1145="",C1145="",B1145=""),"",IFERROR(INDEX(CHOOSE(IF(YEAR(A1145)&gt;PlanYear,13,MONTH(A1145)),'Jan'!$D$27:$AH$266,'Feb'!$D$27:$AH$266,'Mar'!$D$27:$AH$266,'Apr'!$D$27:$AH$266,'May'!$D$27:$AH$266,'Jun'!$D$27:$AH$266,'Jul'!$D$27:$AH$266,'Aug'!$D$27:$AH$266,'Sep'!$D$27:$AH$266,'Oct'!$D$27:$AH$266,'Nov'!$D$27:$AH$266,'Dec'!$D$27:$AH$266,'Jan (next year)'!$D$27:$AH$266),27+4*(IFERROR(MATCH(C1145,Roster!$B$6:$B$65,0),MATCH(C1145,Roster!$C$6:$C$65,0))-1)+MATCH(B1145,{"AM","PM","NIGHT","WD"},0)-1-27+1,DAY(A1145))&amp;"",""))</f>
        <v/>
      </c>
      <c r="G1145" s="123">
        <f>IF(OR(A1145="",C1145="",B1145="",E1145=""),"",IFERROR(A1145&amp;"|"&amp;(27+4*(IFERROR(MATCH(C1145,Roster!$B$6:$B$65,0),MATCH(C1145,Roster!$C$6:$C$65,0))-1)+MATCH(B1145,{"AM","PM","NIGHT","WD"},0)-1),""))</f>
        <v/>
      </c>
    </row>
    <row r="1146">
      <c r="A1146" s="122" t="n"/>
      <c r="B1146" s="107" t="n"/>
      <c r="C1146" s="105" t="n"/>
      <c r="D1146" s="92">
        <f>IF(C1146="","",IFERROR(INDEX(Roster!$C$6:$C$65,IFERROR(MATCH(C1146,Roster!$B$6:$B$65,0),MATCH(C1146,Roster!$C$6:$C$65,0))),"not on the Roster"))</f>
        <v/>
      </c>
      <c r="E1146" s="106" t="n"/>
      <c r="F1146" s="104">
        <f>IF(OR(A1146="",C1146="",B1146=""),"",IFERROR(INDEX(CHOOSE(IF(YEAR(A1146)&gt;PlanYear,13,MONTH(A1146)),'Jan'!$D$27:$AH$266,'Feb'!$D$27:$AH$266,'Mar'!$D$27:$AH$266,'Apr'!$D$27:$AH$266,'May'!$D$27:$AH$266,'Jun'!$D$27:$AH$266,'Jul'!$D$27:$AH$266,'Aug'!$D$27:$AH$266,'Sep'!$D$27:$AH$266,'Oct'!$D$27:$AH$266,'Nov'!$D$27:$AH$266,'Dec'!$D$27:$AH$266,'Jan (next year)'!$D$27:$AH$266),27+4*(IFERROR(MATCH(C1146,Roster!$B$6:$B$65,0),MATCH(C1146,Roster!$C$6:$C$65,0))-1)+MATCH(B1146,{"AM","PM","NIGHT","WD"},0)-1-27+1,DAY(A1146))&amp;"",""))</f>
        <v/>
      </c>
      <c r="G1146" s="123">
        <f>IF(OR(A1146="",C1146="",B1146="",E1146=""),"",IFERROR(A1146&amp;"|"&amp;(27+4*(IFERROR(MATCH(C1146,Roster!$B$6:$B$65,0),MATCH(C1146,Roster!$C$6:$C$65,0))-1)+MATCH(B1146,{"AM","PM","NIGHT","WD"},0)-1),""))</f>
        <v/>
      </c>
    </row>
    <row r="1147">
      <c r="A1147" s="122" t="n"/>
      <c r="B1147" s="107" t="n"/>
      <c r="C1147" s="105" t="n"/>
      <c r="D1147" s="92">
        <f>IF(C1147="","",IFERROR(INDEX(Roster!$C$6:$C$65,IFERROR(MATCH(C1147,Roster!$B$6:$B$65,0),MATCH(C1147,Roster!$C$6:$C$65,0))),"not on the Roster"))</f>
        <v/>
      </c>
      <c r="E1147" s="106" t="n"/>
      <c r="F1147" s="104">
        <f>IF(OR(A1147="",C1147="",B1147=""),"",IFERROR(INDEX(CHOOSE(IF(YEAR(A1147)&gt;PlanYear,13,MONTH(A1147)),'Jan'!$D$27:$AH$266,'Feb'!$D$27:$AH$266,'Mar'!$D$27:$AH$266,'Apr'!$D$27:$AH$266,'May'!$D$27:$AH$266,'Jun'!$D$27:$AH$266,'Jul'!$D$27:$AH$266,'Aug'!$D$27:$AH$266,'Sep'!$D$27:$AH$266,'Oct'!$D$27:$AH$266,'Nov'!$D$27:$AH$266,'Dec'!$D$27:$AH$266,'Jan (next year)'!$D$27:$AH$266),27+4*(IFERROR(MATCH(C1147,Roster!$B$6:$B$65,0),MATCH(C1147,Roster!$C$6:$C$65,0))-1)+MATCH(B1147,{"AM","PM","NIGHT","WD"},0)-1-27+1,DAY(A1147))&amp;"",""))</f>
        <v/>
      </c>
      <c r="G1147" s="123">
        <f>IF(OR(A1147="",C1147="",B1147="",E1147=""),"",IFERROR(A1147&amp;"|"&amp;(27+4*(IFERROR(MATCH(C1147,Roster!$B$6:$B$65,0),MATCH(C1147,Roster!$C$6:$C$65,0))-1)+MATCH(B1147,{"AM","PM","NIGHT","WD"},0)-1),""))</f>
        <v/>
      </c>
    </row>
    <row r="1148">
      <c r="A1148" s="122" t="n"/>
      <c r="B1148" s="107" t="n"/>
      <c r="C1148" s="105" t="n"/>
      <c r="D1148" s="92">
        <f>IF(C1148="","",IFERROR(INDEX(Roster!$C$6:$C$65,IFERROR(MATCH(C1148,Roster!$B$6:$B$65,0),MATCH(C1148,Roster!$C$6:$C$65,0))),"not on the Roster"))</f>
        <v/>
      </c>
      <c r="E1148" s="106" t="n"/>
      <c r="F1148" s="104">
        <f>IF(OR(A1148="",C1148="",B1148=""),"",IFERROR(INDEX(CHOOSE(IF(YEAR(A1148)&gt;PlanYear,13,MONTH(A1148)),'Jan'!$D$27:$AH$266,'Feb'!$D$27:$AH$266,'Mar'!$D$27:$AH$266,'Apr'!$D$27:$AH$266,'May'!$D$27:$AH$266,'Jun'!$D$27:$AH$266,'Jul'!$D$27:$AH$266,'Aug'!$D$27:$AH$266,'Sep'!$D$27:$AH$266,'Oct'!$D$27:$AH$266,'Nov'!$D$27:$AH$266,'Dec'!$D$27:$AH$266,'Jan (next year)'!$D$27:$AH$266),27+4*(IFERROR(MATCH(C1148,Roster!$B$6:$B$65,0),MATCH(C1148,Roster!$C$6:$C$65,0))-1)+MATCH(B1148,{"AM","PM","NIGHT","WD"},0)-1-27+1,DAY(A1148))&amp;"",""))</f>
        <v/>
      </c>
      <c r="G1148" s="123">
        <f>IF(OR(A1148="",C1148="",B1148="",E1148=""),"",IFERROR(A1148&amp;"|"&amp;(27+4*(IFERROR(MATCH(C1148,Roster!$B$6:$B$65,0),MATCH(C1148,Roster!$C$6:$C$65,0))-1)+MATCH(B1148,{"AM","PM","NIGHT","WD"},0)-1),""))</f>
        <v/>
      </c>
    </row>
    <row r="1149">
      <c r="A1149" s="122" t="n"/>
      <c r="B1149" s="107" t="n"/>
      <c r="C1149" s="105" t="n"/>
      <c r="D1149" s="92">
        <f>IF(C1149="","",IFERROR(INDEX(Roster!$C$6:$C$65,IFERROR(MATCH(C1149,Roster!$B$6:$B$65,0),MATCH(C1149,Roster!$C$6:$C$65,0))),"not on the Roster"))</f>
        <v/>
      </c>
      <c r="E1149" s="106" t="n"/>
      <c r="F1149" s="104">
        <f>IF(OR(A1149="",C1149="",B1149=""),"",IFERROR(INDEX(CHOOSE(IF(YEAR(A1149)&gt;PlanYear,13,MONTH(A1149)),'Jan'!$D$27:$AH$266,'Feb'!$D$27:$AH$266,'Mar'!$D$27:$AH$266,'Apr'!$D$27:$AH$266,'May'!$D$27:$AH$266,'Jun'!$D$27:$AH$266,'Jul'!$D$27:$AH$266,'Aug'!$D$27:$AH$266,'Sep'!$D$27:$AH$266,'Oct'!$D$27:$AH$266,'Nov'!$D$27:$AH$266,'Dec'!$D$27:$AH$266,'Jan (next year)'!$D$27:$AH$266),27+4*(IFERROR(MATCH(C1149,Roster!$B$6:$B$65,0),MATCH(C1149,Roster!$C$6:$C$65,0))-1)+MATCH(B1149,{"AM","PM","NIGHT","WD"},0)-1-27+1,DAY(A1149))&amp;"",""))</f>
        <v/>
      </c>
      <c r="G1149" s="123">
        <f>IF(OR(A1149="",C1149="",B1149="",E1149=""),"",IFERROR(A1149&amp;"|"&amp;(27+4*(IFERROR(MATCH(C1149,Roster!$B$6:$B$65,0),MATCH(C1149,Roster!$C$6:$C$65,0))-1)+MATCH(B1149,{"AM","PM","NIGHT","WD"},0)-1),""))</f>
        <v/>
      </c>
    </row>
    <row r="1150">
      <c r="A1150" s="122" t="n"/>
      <c r="B1150" s="107" t="n"/>
      <c r="C1150" s="105" t="n"/>
      <c r="D1150" s="92">
        <f>IF(C1150="","",IFERROR(INDEX(Roster!$C$6:$C$65,IFERROR(MATCH(C1150,Roster!$B$6:$B$65,0),MATCH(C1150,Roster!$C$6:$C$65,0))),"not on the Roster"))</f>
        <v/>
      </c>
      <c r="E1150" s="106" t="n"/>
      <c r="F1150" s="104">
        <f>IF(OR(A1150="",C1150="",B1150=""),"",IFERROR(INDEX(CHOOSE(IF(YEAR(A1150)&gt;PlanYear,13,MONTH(A1150)),'Jan'!$D$27:$AH$266,'Feb'!$D$27:$AH$266,'Mar'!$D$27:$AH$266,'Apr'!$D$27:$AH$266,'May'!$D$27:$AH$266,'Jun'!$D$27:$AH$266,'Jul'!$D$27:$AH$266,'Aug'!$D$27:$AH$266,'Sep'!$D$27:$AH$266,'Oct'!$D$27:$AH$266,'Nov'!$D$27:$AH$266,'Dec'!$D$27:$AH$266,'Jan (next year)'!$D$27:$AH$266),27+4*(IFERROR(MATCH(C1150,Roster!$B$6:$B$65,0),MATCH(C1150,Roster!$C$6:$C$65,0))-1)+MATCH(B1150,{"AM","PM","NIGHT","WD"},0)-1-27+1,DAY(A1150))&amp;"",""))</f>
        <v/>
      </c>
      <c r="G1150" s="123">
        <f>IF(OR(A1150="",C1150="",B1150="",E1150=""),"",IFERROR(A1150&amp;"|"&amp;(27+4*(IFERROR(MATCH(C1150,Roster!$B$6:$B$65,0),MATCH(C1150,Roster!$C$6:$C$65,0))-1)+MATCH(B1150,{"AM","PM","NIGHT","WD"},0)-1),""))</f>
        <v/>
      </c>
    </row>
    <row r="1151">
      <c r="A1151" s="122" t="n"/>
      <c r="B1151" s="107" t="n"/>
      <c r="C1151" s="105" t="n"/>
      <c r="D1151" s="92">
        <f>IF(C1151="","",IFERROR(INDEX(Roster!$C$6:$C$65,IFERROR(MATCH(C1151,Roster!$B$6:$B$65,0),MATCH(C1151,Roster!$C$6:$C$65,0))),"not on the Roster"))</f>
        <v/>
      </c>
      <c r="E1151" s="106" t="n"/>
      <c r="F1151" s="104">
        <f>IF(OR(A1151="",C1151="",B1151=""),"",IFERROR(INDEX(CHOOSE(IF(YEAR(A1151)&gt;PlanYear,13,MONTH(A1151)),'Jan'!$D$27:$AH$266,'Feb'!$D$27:$AH$266,'Mar'!$D$27:$AH$266,'Apr'!$D$27:$AH$266,'May'!$D$27:$AH$266,'Jun'!$D$27:$AH$266,'Jul'!$D$27:$AH$266,'Aug'!$D$27:$AH$266,'Sep'!$D$27:$AH$266,'Oct'!$D$27:$AH$266,'Nov'!$D$27:$AH$266,'Dec'!$D$27:$AH$266,'Jan (next year)'!$D$27:$AH$266),27+4*(IFERROR(MATCH(C1151,Roster!$B$6:$B$65,0),MATCH(C1151,Roster!$C$6:$C$65,0))-1)+MATCH(B1151,{"AM","PM","NIGHT","WD"},0)-1-27+1,DAY(A1151))&amp;"",""))</f>
        <v/>
      </c>
      <c r="G1151" s="123">
        <f>IF(OR(A1151="",C1151="",B1151="",E1151=""),"",IFERROR(A1151&amp;"|"&amp;(27+4*(IFERROR(MATCH(C1151,Roster!$B$6:$B$65,0),MATCH(C1151,Roster!$C$6:$C$65,0))-1)+MATCH(B1151,{"AM","PM","NIGHT","WD"},0)-1),""))</f>
        <v/>
      </c>
    </row>
    <row r="1152">
      <c r="A1152" s="122" t="n"/>
      <c r="B1152" s="107" t="n"/>
      <c r="C1152" s="105" t="n"/>
      <c r="D1152" s="92">
        <f>IF(C1152="","",IFERROR(INDEX(Roster!$C$6:$C$65,IFERROR(MATCH(C1152,Roster!$B$6:$B$65,0),MATCH(C1152,Roster!$C$6:$C$65,0))),"not on the Roster"))</f>
        <v/>
      </c>
      <c r="E1152" s="106" t="n"/>
      <c r="F1152" s="104">
        <f>IF(OR(A1152="",C1152="",B1152=""),"",IFERROR(INDEX(CHOOSE(IF(YEAR(A1152)&gt;PlanYear,13,MONTH(A1152)),'Jan'!$D$27:$AH$266,'Feb'!$D$27:$AH$266,'Mar'!$D$27:$AH$266,'Apr'!$D$27:$AH$266,'May'!$D$27:$AH$266,'Jun'!$D$27:$AH$266,'Jul'!$D$27:$AH$266,'Aug'!$D$27:$AH$266,'Sep'!$D$27:$AH$266,'Oct'!$D$27:$AH$266,'Nov'!$D$27:$AH$266,'Dec'!$D$27:$AH$266,'Jan (next year)'!$D$27:$AH$266),27+4*(IFERROR(MATCH(C1152,Roster!$B$6:$B$65,0),MATCH(C1152,Roster!$C$6:$C$65,0))-1)+MATCH(B1152,{"AM","PM","NIGHT","WD"},0)-1-27+1,DAY(A1152))&amp;"",""))</f>
        <v/>
      </c>
      <c r="G1152" s="123">
        <f>IF(OR(A1152="",C1152="",B1152="",E1152=""),"",IFERROR(A1152&amp;"|"&amp;(27+4*(IFERROR(MATCH(C1152,Roster!$B$6:$B$65,0),MATCH(C1152,Roster!$C$6:$C$65,0))-1)+MATCH(B1152,{"AM","PM","NIGHT","WD"},0)-1),""))</f>
        <v/>
      </c>
    </row>
    <row r="1153">
      <c r="A1153" s="122" t="n"/>
      <c r="B1153" s="107" t="n"/>
      <c r="C1153" s="105" t="n"/>
      <c r="D1153" s="92">
        <f>IF(C1153="","",IFERROR(INDEX(Roster!$C$6:$C$65,IFERROR(MATCH(C1153,Roster!$B$6:$B$65,0),MATCH(C1153,Roster!$C$6:$C$65,0))),"not on the Roster"))</f>
        <v/>
      </c>
      <c r="E1153" s="106" t="n"/>
      <c r="F1153" s="104">
        <f>IF(OR(A1153="",C1153="",B1153=""),"",IFERROR(INDEX(CHOOSE(IF(YEAR(A1153)&gt;PlanYear,13,MONTH(A1153)),'Jan'!$D$27:$AH$266,'Feb'!$D$27:$AH$266,'Mar'!$D$27:$AH$266,'Apr'!$D$27:$AH$266,'May'!$D$27:$AH$266,'Jun'!$D$27:$AH$266,'Jul'!$D$27:$AH$266,'Aug'!$D$27:$AH$266,'Sep'!$D$27:$AH$266,'Oct'!$D$27:$AH$266,'Nov'!$D$27:$AH$266,'Dec'!$D$27:$AH$266,'Jan (next year)'!$D$27:$AH$266),27+4*(IFERROR(MATCH(C1153,Roster!$B$6:$B$65,0),MATCH(C1153,Roster!$C$6:$C$65,0))-1)+MATCH(B1153,{"AM","PM","NIGHT","WD"},0)-1-27+1,DAY(A1153))&amp;"",""))</f>
        <v/>
      </c>
      <c r="G1153" s="123">
        <f>IF(OR(A1153="",C1153="",B1153="",E1153=""),"",IFERROR(A1153&amp;"|"&amp;(27+4*(IFERROR(MATCH(C1153,Roster!$B$6:$B$65,0),MATCH(C1153,Roster!$C$6:$C$65,0))-1)+MATCH(B1153,{"AM","PM","NIGHT","WD"},0)-1),""))</f>
        <v/>
      </c>
    </row>
    <row r="1154">
      <c r="A1154" s="122" t="n"/>
      <c r="B1154" s="107" t="n"/>
      <c r="C1154" s="105" t="n"/>
      <c r="D1154" s="92">
        <f>IF(C1154="","",IFERROR(INDEX(Roster!$C$6:$C$65,IFERROR(MATCH(C1154,Roster!$B$6:$B$65,0),MATCH(C1154,Roster!$C$6:$C$65,0))),"not on the Roster"))</f>
        <v/>
      </c>
      <c r="E1154" s="106" t="n"/>
      <c r="F1154" s="104">
        <f>IF(OR(A1154="",C1154="",B1154=""),"",IFERROR(INDEX(CHOOSE(IF(YEAR(A1154)&gt;PlanYear,13,MONTH(A1154)),'Jan'!$D$27:$AH$266,'Feb'!$D$27:$AH$266,'Mar'!$D$27:$AH$266,'Apr'!$D$27:$AH$266,'May'!$D$27:$AH$266,'Jun'!$D$27:$AH$266,'Jul'!$D$27:$AH$266,'Aug'!$D$27:$AH$266,'Sep'!$D$27:$AH$266,'Oct'!$D$27:$AH$266,'Nov'!$D$27:$AH$266,'Dec'!$D$27:$AH$266,'Jan (next year)'!$D$27:$AH$266),27+4*(IFERROR(MATCH(C1154,Roster!$B$6:$B$65,0),MATCH(C1154,Roster!$C$6:$C$65,0))-1)+MATCH(B1154,{"AM","PM","NIGHT","WD"},0)-1-27+1,DAY(A1154))&amp;"",""))</f>
        <v/>
      </c>
      <c r="G1154" s="123">
        <f>IF(OR(A1154="",C1154="",B1154="",E1154=""),"",IFERROR(A1154&amp;"|"&amp;(27+4*(IFERROR(MATCH(C1154,Roster!$B$6:$B$65,0),MATCH(C1154,Roster!$C$6:$C$65,0))-1)+MATCH(B1154,{"AM","PM","NIGHT","WD"},0)-1),""))</f>
        <v/>
      </c>
    </row>
    <row r="1155">
      <c r="A1155" s="122" t="n"/>
      <c r="B1155" s="107" t="n"/>
      <c r="C1155" s="105" t="n"/>
      <c r="D1155" s="92">
        <f>IF(C1155="","",IFERROR(INDEX(Roster!$C$6:$C$65,IFERROR(MATCH(C1155,Roster!$B$6:$B$65,0),MATCH(C1155,Roster!$C$6:$C$65,0))),"not on the Roster"))</f>
        <v/>
      </c>
      <c r="E1155" s="106" t="n"/>
      <c r="F1155" s="104">
        <f>IF(OR(A1155="",C1155="",B1155=""),"",IFERROR(INDEX(CHOOSE(IF(YEAR(A1155)&gt;PlanYear,13,MONTH(A1155)),'Jan'!$D$27:$AH$266,'Feb'!$D$27:$AH$266,'Mar'!$D$27:$AH$266,'Apr'!$D$27:$AH$266,'May'!$D$27:$AH$266,'Jun'!$D$27:$AH$266,'Jul'!$D$27:$AH$266,'Aug'!$D$27:$AH$266,'Sep'!$D$27:$AH$266,'Oct'!$D$27:$AH$266,'Nov'!$D$27:$AH$266,'Dec'!$D$27:$AH$266,'Jan (next year)'!$D$27:$AH$266),27+4*(IFERROR(MATCH(C1155,Roster!$B$6:$B$65,0),MATCH(C1155,Roster!$C$6:$C$65,0))-1)+MATCH(B1155,{"AM","PM","NIGHT","WD"},0)-1-27+1,DAY(A1155))&amp;"",""))</f>
        <v/>
      </c>
      <c r="G1155" s="123">
        <f>IF(OR(A1155="",C1155="",B1155="",E1155=""),"",IFERROR(A1155&amp;"|"&amp;(27+4*(IFERROR(MATCH(C1155,Roster!$B$6:$B$65,0),MATCH(C1155,Roster!$C$6:$C$65,0))-1)+MATCH(B1155,{"AM","PM","NIGHT","WD"},0)-1),""))</f>
        <v/>
      </c>
    </row>
    <row r="1156">
      <c r="A1156" s="122" t="n"/>
      <c r="B1156" s="107" t="n"/>
      <c r="C1156" s="105" t="n"/>
      <c r="D1156" s="92">
        <f>IF(C1156="","",IFERROR(INDEX(Roster!$C$6:$C$65,IFERROR(MATCH(C1156,Roster!$B$6:$B$65,0),MATCH(C1156,Roster!$C$6:$C$65,0))),"not on the Roster"))</f>
        <v/>
      </c>
      <c r="E1156" s="106" t="n"/>
      <c r="F1156" s="104">
        <f>IF(OR(A1156="",C1156="",B1156=""),"",IFERROR(INDEX(CHOOSE(IF(YEAR(A1156)&gt;PlanYear,13,MONTH(A1156)),'Jan'!$D$27:$AH$266,'Feb'!$D$27:$AH$266,'Mar'!$D$27:$AH$266,'Apr'!$D$27:$AH$266,'May'!$D$27:$AH$266,'Jun'!$D$27:$AH$266,'Jul'!$D$27:$AH$266,'Aug'!$D$27:$AH$266,'Sep'!$D$27:$AH$266,'Oct'!$D$27:$AH$266,'Nov'!$D$27:$AH$266,'Dec'!$D$27:$AH$266,'Jan (next year)'!$D$27:$AH$266),27+4*(IFERROR(MATCH(C1156,Roster!$B$6:$B$65,0),MATCH(C1156,Roster!$C$6:$C$65,0))-1)+MATCH(B1156,{"AM","PM","NIGHT","WD"},0)-1-27+1,DAY(A1156))&amp;"",""))</f>
        <v/>
      </c>
      <c r="G1156" s="123">
        <f>IF(OR(A1156="",C1156="",B1156="",E1156=""),"",IFERROR(A1156&amp;"|"&amp;(27+4*(IFERROR(MATCH(C1156,Roster!$B$6:$B$65,0),MATCH(C1156,Roster!$C$6:$C$65,0))-1)+MATCH(B1156,{"AM","PM","NIGHT","WD"},0)-1),""))</f>
        <v/>
      </c>
    </row>
    <row r="1157">
      <c r="A1157" s="122" t="n"/>
      <c r="B1157" s="107" t="n"/>
      <c r="C1157" s="105" t="n"/>
      <c r="D1157" s="92">
        <f>IF(C1157="","",IFERROR(INDEX(Roster!$C$6:$C$65,IFERROR(MATCH(C1157,Roster!$B$6:$B$65,0),MATCH(C1157,Roster!$C$6:$C$65,0))),"not on the Roster"))</f>
        <v/>
      </c>
      <c r="E1157" s="106" t="n"/>
      <c r="F1157" s="104">
        <f>IF(OR(A1157="",C1157="",B1157=""),"",IFERROR(INDEX(CHOOSE(IF(YEAR(A1157)&gt;PlanYear,13,MONTH(A1157)),'Jan'!$D$27:$AH$266,'Feb'!$D$27:$AH$266,'Mar'!$D$27:$AH$266,'Apr'!$D$27:$AH$266,'May'!$D$27:$AH$266,'Jun'!$D$27:$AH$266,'Jul'!$D$27:$AH$266,'Aug'!$D$27:$AH$266,'Sep'!$D$27:$AH$266,'Oct'!$D$27:$AH$266,'Nov'!$D$27:$AH$266,'Dec'!$D$27:$AH$266,'Jan (next year)'!$D$27:$AH$266),27+4*(IFERROR(MATCH(C1157,Roster!$B$6:$B$65,0),MATCH(C1157,Roster!$C$6:$C$65,0))-1)+MATCH(B1157,{"AM","PM","NIGHT","WD"},0)-1-27+1,DAY(A1157))&amp;"",""))</f>
        <v/>
      </c>
      <c r="G1157" s="123">
        <f>IF(OR(A1157="",C1157="",B1157="",E1157=""),"",IFERROR(A1157&amp;"|"&amp;(27+4*(IFERROR(MATCH(C1157,Roster!$B$6:$B$65,0),MATCH(C1157,Roster!$C$6:$C$65,0))-1)+MATCH(B1157,{"AM","PM","NIGHT","WD"},0)-1),""))</f>
        <v/>
      </c>
    </row>
    <row r="1158">
      <c r="A1158" s="122" t="n"/>
      <c r="B1158" s="107" t="n"/>
      <c r="C1158" s="105" t="n"/>
      <c r="D1158" s="92">
        <f>IF(C1158="","",IFERROR(INDEX(Roster!$C$6:$C$65,IFERROR(MATCH(C1158,Roster!$B$6:$B$65,0),MATCH(C1158,Roster!$C$6:$C$65,0))),"not on the Roster"))</f>
        <v/>
      </c>
      <c r="E1158" s="106" t="n"/>
      <c r="F1158" s="104">
        <f>IF(OR(A1158="",C1158="",B1158=""),"",IFERROR(INDEX(CHOOSE(IF(YEAR(A1158)&gt;PlanYear,13,MONTH(A1158)),'Jan'!$D$27:$AH$266,'Feb'!$D$27:$AH$266,'Mar'!$D$27:$AH$266,'Apr'!$D$27:$AH$266,'May'!$D$27:$AH$266,'Jun'!$D$27:$AH$266,'Jul'!$D$27:$AH$266,'Aug'!$D$27:$AH$266,'Sep'!$D$27:$AH$266,'Oct'!$D$27:$AH$266,'Nov'!$D$27:$AH$266,'Dec'!$D$27:$AH$266,'Jan (next year)'!$D$27:$AH$266),27+4*(IFERROR(MATCH(C1158,Roster!$B$6:$B$65,0),MATCH(C1158,Roster!$C$6:$C$65,0))-1)+MATCH(B1158,{"AM","PM","NIGHT","WD"},0)-1-27+1,DAY(A1158))&amp;"",""))</f>
        <v/>
      </c>
      <c r="G1158" s="123">
        <f>IF(OR(A1158="",C1158="",B1158="",E1158=""),"",IFERROR(A1158&amp;"|"&amp;(27+4*(IFERROR(MATCH(C1158,Roster!$B$6:$B$65,0),MATCH(C1158,Roster!$C$6:$C$65,0))-1)+MATCH(B1158,{"AM","PM","NIGHT","WD"},0)-1),""))</f>
        <v/>
      </c>
    </row>
    <row r="1159">
      <c r="A1159" s="122" t="n"/>
      <c r="B1159" s="107" t="n"/>
      <c r="C1159" s="105" t="n"/>
      <c r="D1159" s="92">
        <f>IF(C1159="","",IFERROR(INDEX(Roster!$C$6:$C$65,IFERROR(MATCH(C1159,Roster!$B$6:$B$65,0),MATCH(C1159,Roster!$C$6:$C$65,0))),"not on the Roster"))</f>
        <v/>
      </c>
      <c r="E1159" s="106" t="n"/>
      <c r="F1159" s="104">
        <f>IF(OR(A1159="",C1159="",B1159=""),"",IFERROR(INDEX(CHOOSE(IF(YEAR(A1159)&gt;PlanYear,13,MONTH(A1159)),'Jan'!$D$27:$AH$266,'Feb'!$D$27:$AH$266,'Mar'!$D$27:$AH$266,'Apr'!$D$27:$AH$266,'May'!$D$27:$AH$266,'Jun'!$D$27:$AH$266,'Jul'!$D$27:$AH$266,'Aug'!$D$27:$AH$266,'Sep'!$D$27:$AH$266,'Oct'!$D$27:$AH$266,'Nov'!$D$27:$AH$266,'Dec'!$D$27:$AH$266,'Jan (next year)'!$D$27:$AH$266),27+4*(IFERROR(MATCH(C1159,Roster!$B$6:$B$65,0),MATCH(C1159,Roster!$C$6:$C$65,0))-1)+MATCH(B1159,{"AM","PM","NIGHT","WD"},0)-1-27+1,DAY(A1159))&amp;"",""))</f>
        <v/>
      </c>
      <c r="G1159" s="123">
        <f>IF(OR(A1159="",C1159="",B1159="",E1159=""),"",IFERROR(A1159&amp;"|"&amp;(27+4*(IFERROR(MATCH(C1159,Roster!$B$6:$B$65,0),MATCH(C1159,Roster!$C$6:$C$65,0))-1)+MATCH(B1159,{"AM","PM","NIGHT","WD"},0)-1),""))</f>
        <v/>
      </c>
    </row>
    <row r="1160">
      <c r="A1160" s="122" t="n"/>
      <c r="B1160" s="107" t="n"/>
      <c r="C1160" s="105" t="n"/>
      <c r="D1160" s="92">
        <f>IF(C1160="","",IFERROR(INDEX(Roster!$C$6:$C$65,IFERROR(MATCH(C1160,Roster!$B$6:$B$65,0),MATCH(C1160,Roster!$C$6:$C$65,0))),"not on the Roster"))</f>
        <v/>
      </c>
      <c r="E1160" s="106" t="n"/>
      <c r="F1160" s="104">
        <f>IF(OR(A1160="",C1160="",B1160=""),"",IFERROR(INDEX(CHOOSE(IF(YEAR(A1160)&gt;PlanYear,13,MONTH(A1160)),'Jan'!$D$27:$AH$266,'Feb'!$D$27:$AH$266,'Mar'!$D$27:$AH$266,'Apr'!$D$27:$AH$266,'May'!$D$27:$AH$266,'Jun'!$D$27:$AH$266,'Jul'!$D$27:$AH$266,'Aug'!$D$27:$AH$266,'Sep'!$D$27:$AH$266,'Oct'!$D$27:$AH$266,'Nov'!$D$27:$AH$266,'Dec'!$D$27:$AH$266,'Jan (next year)'!$D$27:$AH$266),27+4*(IFERROR(MATCH(C1160,Roster!$B$6:$B$65,0),MATCH(C1160,Roster!$C$6:$C$65,0))-1)+MATCH(B1160,{"AM","PM","NIGHT","WD"},0)-1-27+1,DAY(A1160))&amp;"",""))</f>
        <v/>
      </c>
      <c r="G1160" s="123">
        <f>IF(OR(A1160="",C1160="",B1160="",E1160=""),"",IFERROR(A1160&amp;"|"&amp;(27+4*(IFERROR(MATCH(C1160,Roster!$B$6:$B$65,0),MATCH(C1160,Roster!$C$6:$C$65,0))-1)+MATCH(B1160,{"AM","PM","NIGHT","WD"},0)-1),""))</f>
        <v/>
      </c>
    </row>
    <row r="1161">
      <c r="A1161" s="122" t="n"/>
      <c r="B1161" s="107" t="n"/>
      <c r="C1161" s="105" t="n"/>
      <c r="D1161" s="92">
        <f>IF(C1161="","",IFERROR(INDEX(Roster!$C$6:$C$65,IFERROR(MATCH(C1161,Roster!$B$6:$B$65,0),MATCH(C1161,Roster!$C$6:$C$65,0))),"not on the Roster"))</f>
        <v/>
      </c>
      <c r="E1161" s="106" t="n"/>
      <c r="F1161" s="104">
        <f>IF(OR(A1161="",C1161="",B1161=""),"",IFERROR(INDEX(CHOOSE(IF(YEAR(A1161)&gt;PlanYear,13,MONTH(A1161)),'Jan'!$D$27:$AH$266,'Feb'!$D$27:$AH$266,'Mar'!$D$27:$AH$266,'Apr'!$D$27:$AH$266,'May'!$D$27:$AH$266,'Jun'!$D$27:$AH$266,'Jul'!$D$27:$AH$266,'Aug'!$D$27:$AH$266,'Sep'!$D$27:$AH$266,'Oct'!$D$27:$AH$266,'Nov'!$D$27:$AH$266,'Dec'!$D$27:$AH$266,'Jan (next year)'!$D$27:$AH$266),27+4*(IFERROR(MATCH(C1161,Roster!$B$6:$B$65,0),MATCH(C1161,Roster!$C$6:$C$65,0))-1)+MATCH(B1161,{"AM","PM","NIGHT","WD"},0)-1-27+1,DAY(A1161))&amp;"",""))</f>
        <v/>
      </c>
      <c r="G1161" s="123">
        <f>IF(OR(A1161="",C1161="",B1161="",E1161=""),"",IFERROR(A1161&amp;"|"&amp;(27+4*(IFERROR(MATCH(C1161,Roster!$B$6:$B$65,0),MATCH(C1161,Roster!$C$6:$C$65,0))-1)+MATCH(B1161,{"AM","PM","NIGHT","WD"},0)-1),""))</f>
        <v/>
      </c>
    </row>
    <row r="1162">
      <c r="A1162" s="122" t="n"/>
      <c r="B1162" s="107" t="n"/>
      <c r="C1162" s="105" t="n"/>
      <c r="D1162" s="92">
        <f>IF(C1162="","",IFERROR(INDEX(Roster!$C$6:$C$65,IFERROR(MATCH(C1162,Roster!$B$6:$B$65,0),MATCH(C1162,Roster!$C$6:$C$65,0))),"not on the Roster"))</f>
        <v/>
      </c>
      <c r="E1162" s="106" t="n"/>
      <c r="F1162" s="104">
        <f>IF(OR(A1162="",C1162="",B1162=""),"",IFERROR(INDEX(CHOOSE(IF(YEAR(A1162)&gt;PlanYear,13,MONTH(A1162)),'Jan'!$D$27:$AH$266,'Feb'!$D$27:$AH$266,'Mar'!$D$27:$AH$266,'Apr'!$D$27:$AH$266,'May'!$D$27:$AH$266,'Jun'!$D$27:$AH$266,'Jul'!$D$27:$AH$266,'Aug'!$D$27:$AH$266,'Sep'!$D$27:$AH$266,'Oct'!$D$27:$AH$266,'Nov'!$D$27:$AH$266,'Dec'!$D$27:$AH$266,'Jan (next year)'!$D$27:$AH$266),27+4*(IFERROR(MATCH(C1162,Roster!$B$6:$B$65,0),MATCH(C1162,Roster!$C$6:$C$65,0))-1)+MATCH(B1162,{"AM","PM","NIGHT","WD"},0)-1-27+1,DAY(A1162))&amp;"",""))</f>
        <v/>
      </c>
      <c r="G1162" s="123">
        <f>IF(OR(A1162="",C1162="",B1162="",E1162=""),"",IFERROR(A1162&amp;"|"&amp;(27+4*(IFERROR(MATCH(C1162,Roster!$B$6:$B$65,0),MATCH(C1162,Roster!$C$6:$C$65,0))-1)+MATCH(B1162,{"AM","PM","NIGHT","WD"},0)-1),""))</f>
        <v/>
      </c>
    </row>
    <row r="1163">
      <c r="A1163" s="122" t="n"/>
      <c r="B1163" s="107" t="n"/>
      <c r="C1163" s="105" t="n"/>
      <c r="D1163" s="92">
        <f>IF(C1163="","",IFERROR(INDEX(Roster!$C$6:$C$65,IFERROR(MATCH(C1163,Roster!$B$6:$B$65,0),MATCH(C1163,Roster!$C$6:$C$65,0))),"not on the Roster"))</f>
        <v/>
      </c>
      <c r="E1163" s="106" t="n"/>
      <c r="F1163" s="104">
        <f>IF(OR(A1163="",C1163="",B1163=""),"",IFERROR(INDEX(CHOOSE(IF(YEAR(A1163)&gt;PlanYear,13,MONTH(A1163)),'Jan'!$D$27:$AH$266,'Feb'!$D$27:$AH$266,'Mar'!$D$27:$AH$266,'Apr'!$D$27:$AH$266,'May'!$D$27:$AH$266,'Jun'!$D$27:$AH$266,'Jul'!$D$27:$AH$266,'Aug'!$D$27:$AH$266,'Sep'!$D$27:$AH$266,'Oct'!$D$27:$AH$266,'Nov'!$D$27:$AH$266,'Dec'!$D$27:$AH$266,'Jan (next year)'!$D$27:$AH$266),27+4*(IFERROR(MATCH(C1163,Roster!$B$6:$B$65,0),MATCH(C1163,Roster!$C$6:$C$65,0))-1)+MATCH(B1163,{"AM","PM","NIGHT","WD"},0)-1-27+1,DAY(A1163))&amp;"",""))</f>
        <v/>
      </c>
      <c r="G1163" s="123">
        <f>IF(OR(A1163="",C1163="",B1163="",E1163=""),"",IFERROR(A1163&amp;"|"&amp;(27+4*(IFERROR(MATCH(C1163,Roster!$B$6:$B$65,0),MATCH(C1163,Roster!$C$6:$C$65,0))-1)+MATCH(B1163,{"AM","PM","NIGHT","WD"},0)-1),""))</f>
        <v/>
      </c>
    </row>
    <row r="1164">
      <c r="A1164" s="122" t="n"/>
      <c r="B1164" s="107" t="n"/>
      <c r="C1164" s="105" t="n"/>
      <c r="D1164" s="92">
        <f>IF(C1164="","",IFERROR(INDEX(Roster!$C$6:$C$65,IFERROR(MATCH(C1164,Roster!$B$6:$B$65,0),MATCH(C1164,Roster!$C$6:$C$65,0))),"not on the Roster"))</f>
        <v/>
      </c>
      <c r="E1164" s="106" t="n"/>
      <c r="F1164" s="104">
        <f>IF(OR(A1164="",C1164="",B1164=""),"",IFERROR(INDEX(CHOOSE(IF(YEAR(A1164)&gt;PlanYear,13,MONTH(A1164)),'Jan'!$D$27:$AH$266,'Feb'!$D$27:$AH$266,'Mar'!$D$27:$AH$266,'Apr'!$D$27:$AH$266,'May'!$D$27:$AH$266,'Jun'!$D$27:$AH$266,'Jul'!$D$27:$AH$266,'Aug'!$D$27:$AH$266,'Sep'!$D$27:$AH$266,'Oct'!$D$27:$AH$266,'Nov'!$D$27:$AH$266,'Dec'!$D$27:$AH$266,'Jan (next year)'!$D$27:$AH$266),27+4*(IFERROR(MATCH(C1164,Roster!$B$6:$B$65,0),MATCH(C1164,Roster!$C$6:$C$65,0))-1)+MATCH(B1164,{"AM","PM","NIGHT","WD"},0)-1-27+1,DAY(A1164))&amp;"",""))</f>
        <v/>
      </c>
      <c r="G1164" s="123">
        <f>IF(OR(A1164="",C1164="",B1164="",E1164=""),"",IFERROR(A1164&amp;"|"&amp;(27+4*(IFERROR(MATCH(C1164,Roster!$B$6:$B$65,0),MATCH(C1164,Roster!$C$6:$C$65,0))-1)+MATCH(B1164,{"AM","PM","NIGHT","WD"},0)-1),""))</f>
        <v/>
      </c>
    </row>
    <row r="1165">
      <c r="A1165" s="122" t="n"/>
      <c r="B1165" s="107" t="n"/>
      <c r="C1165" s="105" t="n"/>
      <c r="D1165" s="92">
        <f>IF(C1165="","",IFERROR(INDEX(Roster!$C$6:$C$65,IFERROR(MATCH(C1165,Roster!$B$6:$B$65,0),MATCH(C1165,Roster!$C$6:$C$65,0))),"not on the Roster"))</f>
        <v/>
      </c>
      <c r="E1165" s="106" t="n"/>
      <c r="F1165" s="104">
        <f>IF(OR(A1165="",C1165="",B1165=""),"",IFERROR(INDEX(CHOOSE(IF(YEAR(A1165)&gt;PlanYear,13,MONTH(A1165)),'Jan'!$D$27:$AH$266,'Feb'!$D$27:$AH$266,'Mar'!$D$27:$AH$266,'Apr'!$D$27:$AH$266,'May'!$D$27:$AH$266,'Jun'!$D$27:$AH$266,'Jul'!$D$27:$AH$266,'Aug'!$D$27:$AH$266,'Sep'!$D$27:$AH$266,'Oct'!$D$27:$AH$266,'Nov'!$D$27:$AH$266,'Dec'!$D$27:$AH$266,'Jan (next year)'!$D$27:$AH$266),27+4*(IFERROR(MATCH(C1165,Roster!$B$6:$B$65,0),MATCH(C1165,Roster!$C$6:$C$65,0))-1)+MATCH(B1165,{"AM","PM","NIGHT","WD"},0)-1-27+1,DAY(A1165))&amp;"",""))</f>
        <v/>
      </c>
      <c r="G1165" s="123">
        <f>IF(OR(A1165="",C1165="",B1165="",E1165=""),"",IFERROR(A1165&amp;"|"&amp;(27+4*(IFERROR(MATCH(C1165,Roster!$B$6:$B$65,0),MATCH(C1165,Roster!$C$6:$C$65,0))-1)+MATCH(B1165,{"AM","PM","NIGHT","WD"},0)-1),""))</f>
        <v/>
      </c>
    </row>
    <row r="1166">
      <c r="A1166" s="122" t="n"/>
      <c r="B1166" s="107" t="n"/>
      <c r="C1166" s="105" t="n"/>
      <c r="D1166" s="92">
        <f>IF(C1166="","",IFERROR(INDEX(Roster!$C$6:$C$65,IFERROR(MATCH(C1166,Roster!$B$6:$B$65,0),MATCH(C1166,Roster!$C$6:$C$65,0))),"not on the Roster"))</f>
        <v/>
      </c>
      <c r="E1166" s="106" t="n"/>
      <c r="F1166" s="104">
        <f>IF(OR(A1166="",C1166="",B1166=""),"",IFERROR(INDEX(CHOOSE(IF(YEAR(A1166)&gt;PlanYear,13,MONTH(A1166)),'Jan'!$D$27:$AH$266,'Feb'!$D$27:$AH$266,'Mar'!$D$27:$AH$266,'Apr'!$D$27:$AH$266,'May'!$D$27:$AH$266,'Jun'!$D$27:$AH$266,'Jul'!$D$27:$AH$266,'Aug'!$D$27:$AH$266,'Sep'!$D$27:$AH$266,'Oct'!$D$27:$AH$266,'Nov'!$D$27:$AH$266,'Dec'!$D$27:$AH$266,'Jan (next year)'!$D$27:$AH$266),27+4*(IFERROR(MATCH(C1166,Roster!$B$6:$B$65,0),MATCH(C1166,Roster!$C$6:$C$65,0))-1)+MATCH(B1166,{"AM","PM","NIGHT","WD"},0)-1-27+1,DAY(A1166))&amp;"",""))</f>
        <v/>
      </c>
      <c r="G1166" s="123">
        <f>IF(OR(A1166="",C1166="",B1166="",E1166=""),"",IFERROR(A1166&amp;"|"&amp;(27+4*(IFERROR(MATCH(C1166,Roster!$B$6:$B$65,0),MATCH(C1166,Roster!$C$6:$C$65,0))-1)+MATCH(B1166,{"AM","PM","NIGHT","WD"},0)-1),""))</f>
        <v/>
      </c>
    </row>
    <row r="1167">
      <c r="A1167" s="122" t="n"/>
      <c r="B1167" s="107" t="n"/>
      <c r="C1167" s="105" t="n"/>
      <c r="D1167" s="92">
        <f>IF(C1167="","",IFERROR(INDEX(Roster!$C$6:$C$65,IFERROR(MATCH(C1167,Roster!$B$6:$B$65,0),MATCH(C1167,Roster!$C$6:$C$65,0))),"not on the Roster"))</f>
        <v/>
      </c>
      <c r="E1167" s="106" t="n"/>
      <c r="F1167" s="104">
        <f>IF(OR(A1167="",C1167="",B1167=""),"",IFERROR(INDEX(CHOOSE(IF(YEAR(A1167)&gt;PlanYear,13,MONTH(A1167)),'Jan'!$D$27:$AH$266,'Feb'!$D$27:$AH$266,'Mar'!$D$27:$AH$266,'Apr'!$D$27:$AH$266,'May'!$D$27:$AH$266,'Jun'!$D$27:$AH$266,'Jul'!$D$27:$AH$266,'Aug'!$D$27:$AH$266,'Sep'!$D$27:$AH$266,'Oct'!$D$27:$AH$266,'Nov'!$D$27:$AH$266,'Dec'!$D$27:$AH$266,'Jan (next year)'!$D$27:$AH$266),27+4*(IFERROR(MATCH(C1167,Roster!$B$6:$B$65,0),MATCH(C1167,Roster!$C$6:$C$65,0))-1)+MATCH(B1167,{"AM","PM","NIGHT","WD"},0)-1-27+1,DAY(A1167))&amp;"",""))</f>
        <v/>
      </c>
      <c r="G1167" s="123">
        <f>IF(OR(A1167="",C1167="",B1167="",E1167=""),"",IFERROR(A1167&amp;"|"&amp;(27+4*(IFERROR(MATCH(C1167,Roster!$B$6:$B$65,0),MATCH(C1167,Roster!$C$6:$C$65,0))-1)+MATCH(B1167,{"AM","PM","NIGHT","WD"},0)-1),""))</f>
        <v/>
      </c>
    </row>
    <row r="1168">
      <c r="A1168" s="122" t="n"/>
      <c r="B1168" s="107" t="n"/>
      <c r="C1168" s="105" t="n"/>
      <c r="D1168" s="92">
        <f>IF(C1168="","",IFERROR(INDEX(Roster!$C$6:$C$65,IFERROR(MATCH(C1168,Roster!$B$6:$B$65,0),MATCH(C1168,Roster!$C$6:$C$65,0))),"not on the Roster"))</f>
        <v/>
      </c>
      <c r="E1168" s="106" t="n"/>
      <c r="F1168" s="104">
        <f>IF(OR(A1168="",C1168="",B1168=""),"",IFERROR(INDEX(CHOOSE(IF(YEAR(A1168)&gt;PlanYear,13,MONTH(A1168)),'Jan'!$D$27:$AH$266,'Feb'!$D$27:$AH$266,'Mar'!$D$27:$AH$266,'Apr'!$D$27:$AH$266,'May'!$D$27:$AH$266,'Jun'!$D$27:$AH$266,'Jul'!$D$27:$AH$266,'Aug'!$D$27:$AH$266,'Sep'!$D$27:$AH$266,'Oct'!$D$27:$AH$266,'Nov'!$D$27:$AH$266,'Dec'!$D$27:$AH$266,'Jan (next year)'!$D$27:$AH$266),27+4*(IFERROR(MATCH(C1168,Roster!$B$6:$B$65,0),MATCH(C1168,Roster!$C$6:$C$65,0))-1)+MATCH(B1168,{"AM","PM","NIGHT","WD"},0)-1-27+1,DAY(A1168))&amp;"",""))</f>
        <v/>
      </c>
      <c r="G1168" s="123">
        <f>IF(OR(A1168="",C1168="",B1168="",E1168=""),"",IFERROR(A1168&amp;"|"&amp;(27+4*(IFERROR(MATCH(C1168,Roster!$B$6:$B$65,0),MATCH(C1168,Roster!$C$6:$C$65,0))-1)+MATCH(B1168,{"AM","PM","NIGHT","WD"},0)-1),""))</f>
        <v/>
      </c>
    </row>
    <row r="1169">
      <c r="A1169" s="122" t="n"/>
      <c r="B1169" s="107" t="n"/>
      <c r="C1169" s="105" t="n"/>
      <c r="D1169" s="92">
        <f>IF(C1169="","",IFERROR(INDEX(Roster!$C$6:$C$65,IFERROR(MATCH(C1169,Roster!$B$6:$B$65,0),MATCH(C1169,Roster!$C$6:$C$65,0))),"not on the Roster"))</f>
        <v/>
      </c>
      <c r="E1169" s="106" t="n"/>
      <c r="F1169" s="104">
        <f>IF(OR(A1169="",C1169="",B1169=""),"",IFERROR(INDEX(CHOOSE(IF(YEAR(A1169)&gt;PlanYear,13,MONTH(A1169)),'Jan'!$D$27:$AH$266,'Feb'!$D$27:$AH$266,'Mar'!$D$27:$AH$266,'Apr'!$D$27:$AH$266,'May'!$D$27:$AH$266,'Jun'!$D$27:$AH$266,'Jul'!$D$27:$AH$266,'Aug'!$D$27:$AH$266,'Sep'!$D$27:$AH$266,'Oct'!$D$27:$AH$266,'Nov'!$D$27:$AH$266,'Dec'!$D$27:$AH$266,'Jan (next year)'!$D$27:$AH$266),27+4*(IFERROR(MATCH(C1169,Roster!$B$6:$B$65,0),MATCH(C1169,Roster!$C$6:$C$65,0))-1)+MATCH(B1169,{"AM","PM","NIGHT","WD"},0)-1-27+1,DAY(A1169))&amp;"",""))</f>
        <v/>
      </c>
      <c r="G1169" s="123">
        <f>IF(OR(A1169="",C1169="",B1169="",E1169=""),"",IFERROR(A1169&amp;"|"&amp;(27+4*(IFERROR(MATCH(C1169,Roster!$B$6:$B$65,0),MATCH(C1169,Roster!$C$6:$C$65,0))-1)+MATCH(B1169,{"AM","PM","NIGHT","WD"},0)-1),""))</f>
        <v/>
      </c>
    </row>
    <row r="1170">
      <c r="A1170" s="122" t="n"/>
      <c r="B1170" s="107" t="n"/>
      <c r="C1170" s="105" t="n"/>
      <c r="D1170" s="92">
        <f>IF(C1170="","",IFERROR(INDEX(Roster!$C$6:$C$65,IFERROR(MATCH(C1170,Roster!$B$6:$B$65,0),MATCH(C1170,Roster!$C$6:$C$65,0))),"not on the Roster"))</f>
        <v/>
      </c>
      <c r="E1170" s="106" t="n"/>
      <c r="F1170" s="104">
        <f>IF(OR(A1170="",C1170="",B1170=""),"",IFERROR(INDEX(CHOOSE(IF(YEAR(A1170)&gt;PlanYear,13,MONTH(A1170)),'Jan'!$D$27:$AH$266,'Feb'!$D$27:$AH$266,'Mar'!$D$27:$AH$266,'Apr'!$D$27:$AH$266,'May'!$D$27:$AH$266,'Jun'!$D$27:$AH$266,'Jul'!$D$27:$AH$266,'Aug'!$D$27:$AH$266,'Sep'!$D$27:$AH$266,'Oct'!$D$27:$AH$266,'Nov'!$D$27:$AH$266,'Dec'!$D$27:$AH$266,'Jan (next year)'!$D$27:$AH$266),27+4*(IFERROR(MATCH(C1170,Roster!$B$6:$B$65,0),MATCH(C1170,Roster!$C$6:$C$65,0))-1)+MATCH(B1170,{"AM","PM","NIGHT","WD"},0)-1-27+1,DAY(A1170))&amp;"",""))</f>
        <v/>
      </c>
      <c r="G1170" s="123">
        <f>IF(OR(A1170="",C1170="",B1170="",E1170=""),"",IFERROR(A1170&amp;"|"&amp;(27+4*(IFERROR(MATCH(C1170,Roster!$B$6:$B$65,0),MATCH(C1170,Roster!$C$6:$C$65,0))-1)+MATCH(B1170,{"AM","PM","NIGHT","WD"},0)-1),""))</f>
        <v/>
      </c>
    </row>
    <row r="1171">
      <c r="A1171" s="122" t="n"/>
      <c r="B1171" s="107" t="n"/>
      <c r="C1171" s="105" t="n"/>
      <c r="D1171" s="92">
        <f>IF(C1171="","",IFERROR(INDEX(Roster!$C$6:$C$65,IFERROR(MATCH(C1171,Roster!$B$6:$B$65,0),MATCH(C1171,Roster!$C$6:$C$65,0))),"not on the Roster"))</f>
        <v/>
      </c>
      <c r="E1171" s="106" t="n"/>
      <c r="F1171" s="104">
        <f>IF(OR(A1171="",C1171="",B1171=""),"",IFERROR(INDEX(CHOOSE(IF(YEAR(A1171)&gt;PlanYear,13,MONTH(A1171)),'Jan'!$D$27:$AH$266,'Feb'!$D$27:$AH$266,'Mar'!$D$27:$AH$266,'Apr'!$D$27:$AH$266,'May'!$D$27:$AH$266,'Jun'!$D$27:$AH$266,'Jul'!$D$27:$AH$266,'Aug'!$D$27:$AH$266,'Sep'!$D$27:$AH$266,'Oct'!$D$27:$AH$266,'Nov'!$D$27:$AH$266,'Dec'!$D$27:$AH$266,'Jan (next year)'!$D$27:$AH$266),27+4*(IFERROR(MATCH(C1171,Roster!$B$6:$B$65,0),MATCH(C1171,Roster!$C$6:$C$65,0))-1)+MATCH(B1171,{"AM","PM","NIGHT","WD"},0)-1-27+1,DAY(A1171))&amp;"",""))</f>
        <v/>
      </c>
      <c r="G1171" s="123">
        <f>IF(OR(A1171="",C1171="",B1171="",E1171=""),"",IFERROR(A1171&amp;"|"&amp;(27+4*(IFERROR(MATCH(C1171,Roster!$B$6:$B$65,0),MATCH(C1171,Roster!$C$6:$C$65,0))-1)+MATCH(B1171,{"AM","PM","NIGHT","WD"},0)-1),""))</f>
        <v/>
      </c>
    </row>
    <row r="1172">
      <c r="A1172" s="122" t="n"/>
      <c r="B1172" s="107" t="n"/>
      <c r="C1172" s="105" t="n"/>
      <c r="D1172" s="92">
        <f>IF(C1172="","",IFERROR(INDEX(Roster!$C$6:$C$65,IFERROR(MATCH(C1172,Roster!$B$6:$B$65,0),MATCH(C1172,Roster!$C$6:$C$65,0))),"not on the Roster"))</f>
        <v/>
      </c>
      <c r="E1172" s="106" t="n"/>
      <c r="F1172" s="104">
        <f>IF(OR(A1172="",C1172="",B1172=""),"",IFERROR(INDEX(CHOOSE(IF(YEAR(A1172)&gt;PlanYear,13,MONTH(A1172)),'Jan'!$D$27:$AH$266,'Feb'!$D$27:$AH$266,'Mar'!$D$27:$AH$266,'Apr'!$D$27:$AH$266,'May'!$D$27:$AH$266,'Jun'!$D$27:$AH$266,'Jul'!$D$27:$AH$266,'Aug'!$D$27:$AH$266,'Sep'!$D$27:$AH$266,'Oct'!$D$27:$AH$266,'Nov'!$D$27:$AH$266,'Dec'!$D$27:$AH$266,'Jan (next year)'!$D$27:$AH$266),27+4*(IFERROR(MATCH(C1172,Roster!$B$6:$B$65,0),MATCH(C1172,Roster!$C$6:$C$65,0))-1)+MATCH(B1172,{"AM","PM","NIGHT","WD"},0)-1-27+1,DAY(A1172))&amp;"",""))</f>
        <v/>
      </c>
      <c r="G1172" s="123">
        <f>IF(OR(A1172="",C1172="",B1172="",E1172=""),"",IFERROR(A1172&amp;"|"&amp;(27+4*(IFERROR(MATCH(C1172,Roster!$B$6:$B$65,0),MATCH(C1172,Roster!$C$6:$C$65,0))-1)+MATCH(B1172,{"AM","PM","NIGHT","WD"},0)-1),""))</f>
        <v/>
      </c>
    </row>
    <row r="1173">
      <c r="A1173" s="122" t="n"/>
      <c r="B1173" s="107" t="n"/>
      <c r="C1173" s="105" t="n"/>
      <c r="D1173" s="92">
        <f>IF(C1173="","",IFERROR(INDEX(Roster!$C$6:$C$65,IFERROR(MATCH(C1173,Roster!$B$6:$B$65,0),MATCH(C1173,Roster!$C$6:$C$65,0))),"not on the Roster"))</f>
        <v/>
      </c>
      <c r="E1173" s="106" t="n"/>
      <c r="F1173" s="104">
        <f>IF(OR(A1173="",C1173="",B1173=""),"",IFERROR(INDEX(CHOOSE(IF(YEAR(A1173)&gt;PlanYear,13,MONTH(A1173)),'Jan'!$D$27:$AH$266,'Feb'!$D$27:$AH$266,'Mar'!$D$27:$AH$266,'Apr'!$D$27:$AH$266,'May'!$D$27:$AH$266,'Jun'!$D$27:$AH$266,'Jul'!$D$27:$AH$266,'Aug'!$D$27:$AH$266,'Sep'!$D$27:$AH$266,'Oct'!$D$27:$AH$266,'Nov'!$D$27:$AH$266,'Dec'!$D$27:$AH$266,'Jan (next year)'!$D$27:$AH$266),27+4*(IFERROR(MATCH(C1173,Roster!$B$6:$B$65,0),MATCH(C1173,Roster!$C$6:$C$65,0))-1)+MATCH(B1173,{"AM","PM","NIGHT","WD"},0)-1-27+1,DAY(A1173))&amp;"",""))</f>
        <v/>
      </c>
      <c r="G1173" s="123">
        <f>IF(OR(A1173="",C1173="",B1173="",E1173=""),"",IFERROR(A1173&amp;"|"&amp;(27+4*(IFERROR(MATCH(C1173,Roster!$B$6:$B$65,0),MATCH(C1173,Roster!$C$6:$C$65,0))-1)+MATCH(B1173,{"AM","PM","NIGHT","WD"},0)-1),""))</f>
        <v/>
      </c>
    </row>
    <row r="1174">
      <c r="A1174" s="122" t="n"/>
      <c r="B1174" s="107" t="n"/>
      <c r="C1174" s="105" t="n"/>
      <c r="D1174" s="92">
        <f>IF(C1174="","",IFERROR(INDEX(Roster!$C$6:$C$65,IFERROR(MATCH(C1174,Roster!$B$6:$B$65,0),MATCH(C1174,Roster!$C$6:$C$65,0))),"not on the Roster"))</f>
        <v/>
      </c>
      <c r="E1174" s="106" t="n"/>
      <c r="F1174" s="104">
        <f>IF(OR(A1174="",C1174="",B1174=""),"",IFERROR(INDEX(CHOOSE(IF(YEAR(A1174)&gt;PlanYear,13,MONTH(A1174)),'Jan'!$D$27:$AH$266,'Feb'!$D$27:$AH$266,'Mar'!$D$27:$AH$266,'Apr'!$D$27:$AH$266,'May'!$D$27:$AH$266,'Jun'!$D$27:$AH$266,'Jul'!$D$27:$AH$266,'Aug'!$D$27:$AH$266,'Sep'!$D$27:$AH$266,'Oct'!$D$27:$AH$266,'Nov'!$D$27:$AH$266,'Dec'!$D$27:$AH$266,'Jan (next year)'!$D$27:$AH$266),27+4*(IFERROR(MATCH(C1174,Roster!$B$6:$B$65,0),MATCH(C1174,Roster!$C$6:$C$65,0))-1)+MATCH(B1174,{"AM","PM","NIGHT","WD"},0)-1-27+1,DAY(A1174))&amp;"",""))</f>
        <v/>
      </c>
      <c r="G1174" s="123">
        <f>IF(OR(A1174="",C1174="",B1174="",E1174=""),"",IFERROR(A1174&amp;"|"&amp;(27+4*(IFERROR(MATCH(C1174,Roster!$B$6:$B$65,0),MATCH(C1174,Roster!$C$6:$C$65,0))-1)+MATCH(B1174,{"AM","PM","NIGHT","WD"},0)-1),""))</f>
        <v/>
      </c>
    </row>
    <row r="1175">
      <c r="A1175" s="122" t="n"/>
      <c r="B1175" s="107" t="n"/>
      <c r="C1175" s="105" t="n"/>
      <c r="D1175" s="92">
        <f>IF(C1175="","",IFERROR(INDEX(Roster!$C$6:$C$65,IFERROR(MATCH(C1175,Roster!$B$6:$B$65,0),MATCH(C1175,Roster!$C$6:$C$65,0))),"not on the Roster"))</f>
        <v/>
      </c>
      <c r="E1175" s="106" t="n"/>
      <c r="F1175" s="104">
        <f>IF(OR(A1175="",C1175="",B1175=""),"",IFERROR(INDEX(CHOOSE(IF(YEAR(A1175)&gt;PlanYear,13,MONTH(A1175)),'Jan'!$D$27:$AH$266,'Feb'!$D$27:$AH$266,'Mar'!$D$27:$AH$266,'Apr'!$D$27:$AH$266,'May'!$D$27:$AH$266,'Jun'!$D$27:$AH$266,'Jul'!$D$27:$AH$266,'Aug'!$D$27:$AH$266,'Sep'!$D$27:$AH$266,'Oct'!$D$27:$AH$266,'Nov'!$D$27:$AH$266,'Dec'!$D$27:$AH$266,'Jan (next year)'!$D$27:$AH$266),27+4*(IFERROR(MATCH(C1175,Roster!$B$6:$B$65,0),MATCH(C1175,Roster!$C$6:$C$65,0))-1)+MATCH(B1175,{"AM","PM","NIGHT","WD"},0)-1-27+1,DAY(A1175))&amp;"",""))</f>
        <v/>
      </c>
      <c r="G1175" s="123">
        <f>IF(OR(A1175="",C1175="",B1175="",E1175=""),"",IFERROR(A1175&amp;"|"&amp;(27+4*(IFERROR(MATCH(C1175,Roster!$B$6:$B$65,0),MATCH(C1175,Roster!$C$6:$C$65,0))-1)+MATCH(B1175,{"AM","PM","NIGHT","WD"},0)-1),""))</f>
        <v/>
      </c>
    </row>
    <row r="1176">
      <c r="A1176" s="122" t="n"/>
      <c r="B1176" s="107" t="n"/>
      <c r="C1176" s="105" t="n"/>
      <c r="D1176" s="92">
        <f>IF(C1176="","",IFERROR(INDEX(Roster!$C$6:$C$65,IFERROR(MATCH(C1176,Roster!$B$6:$B$65,0),MATCH(C1176,Roster!$C$6:$C$65,0))),"not on the Roster"))</f>
        <v/>
      </c>
      <c r="E1176" s="106" t="n"/>
      <c r="F1176" s="104">
        <f>IF(OR(A1176="",C1176="",B1176=""),"",IFERROR(INDEX(CHOOSE(IF(YEAR(A1176)&gt;PlanYear,13,MONTH(A1176)),'Jan'!$D$27:$AH$266,'Feb'!$D$27:$AH$266,'Mar'!$D$27:$AH$266,'Apr'!$D$27:$AH$266,'May'!$D$27:$AH$266,'Jun'!$D$27:$AH$266,'Jul'!$D$27:$AH$266,'Aug'!$D$27:$AH$266,'Sep'!$D$27:$AH$266,'Oct'!$D$27:$AH$266,'Nov'!$D$27:$AH$266,'Dec'!$D$27:$AH$266,'Jan (next year)'!$D$27:$AH$266),27+4*(IFERROR(MATCH(C1176,Roster!$B$6:$B$65,0),MATCH(C1176,Roster!$C$6:$C$65,0))-1)+MATCH(B1176,{"AM","PM","NIGHT","WD"},0)-1-27+1,DAY(A1176))&amp;"",""))</f>
        <v/>
      </c>
      <c r="G1176" s="123">
        <f>IF(OR(A1176="",C1176="",B1176="",E1176=""),"",IFERROR(A1176&amp;"|"&amp;(27+4*(IFERROR(MATCH(C1176,Roster!$B$6:$B$65,0),MATCH(C1176,Roster!$C$6:$C$65,0))-1)+MATCH(B1176,{"AM","PM","NIGHT","WD"},0)-1),""))</f>
        <v/>
      </c>
    </row>
    <row r="1177">
      <c r="A1177" s="122" t="n"/>
      <c r="B1177" s="107" t="n"/>
      <c r="C1177" s="105" t="n"/>
      <c r="D1177" s="92">
        <f>IF(C1177="","",IFERROR(INDEX(Roster!$C$6:$C$65,IFERROR(MATCH(C1177,Roster!$B$6:$B$65,0),MATCH(C1177,Roster!$C$6:$C$65,0))),"not on the Roster"))</f>
        <v/>
      </c>
      <c r="E1177" s="106" t="n"/>
      <c r="F1177" s="104">
        <f>IF(OR(A1177="",C1177="",B1177=""),"",IFERROR(INDEX(CHOOSE(IF(YEAR(A1177)&gt;PlanYear,13,MONTH(A1177)),'Jan'!$D$27:$AH$266,'Feb'!$D$27:$AH$266,'Mar'!$D$27:$AH$266,'Apr'!$D$27:$AH$266,'May'!$D$27:$AH$266,'Jun'!$D$27:$AH$266,'Jul'!$D$27:$AH$266,'Aug'!$D$27:$AH$266,'Sep'!$D$27:$AH$266,'Oct'!$D$27:$AH$266,'Nov'!$D$27:$AH$266,'Dec'!$D$27:$AH$266,'Jan (next year)'!$D$27:$AH$266),27+4*(IFERROR(MATCH(C1177,Roster!$B$6:$B$65,0),MATCH(C1177,Roster!$C$6:$C$65,0))-1)+MATCH(B1177,{"AM","PM","NIGHT","WD"},0)-1-27+1,DAY(A1177))&amp;"",""))</f>
        <v/>
      </c>
      <c r="G1177" s="123">
        <f>IF(OR(A1177="",C1177="",B1177="",E1177=""),"",IFERROR(A1177&amp;"|"&amp;(27+4*(IFERROR(MATCH(C1177,Roster!$B$6:$B$65,0),MATCH(C1177,Roster!$C$6:$C$65,0))-1)+MATCH(B1177,{"AM","PM","NIGHT","WD"},0)-1),""))</f>
        <v/>
      </c>
    </row>
    <row r="1178">
      <c r="A1178" s="122" t="n"/>
      <c r="B1178" s="107" t="n"/>
      <c r="C1178" s="105" t="n"/>
      <c r="D1178" s="92">
        <f>IF(C1178="","",IFERROR(INDEX(Roster!$C$6:$C$65,IFERROR(MATCH(C1178,Roster!$B$6:$B$65,0),MATCH(C1178,Roster!$C$6:$C$65,0))),"not on the Roster"))</f>
        <v/>
      </c>
      <c r="E1178" s="106" t="n"/>
      <c r="F1178" s="104">
        <f>IF(OR(A1178="",C1178="",B1178=""),"",IFERROR(INDEX(CHOOSE(IF(YEAR(A1178)&gt;PlanYear,13,MONTH(A1178)),'Jan'!$D$27:$AH$266,'Feb'!$D$27:$AH$266,'Mar'!$D$27:$AH$266,'Apr'!$D$27:$AH$266,'May'!$D$27:$AH$266,'Jun'!$D$27:$AH$266,'Jul'!$D$27:$AH$266,'Aug'!$D$27:$AH$266,'Sep'!$D$27:$AH$266,'Oct'!$D$27:$AH$266,'Nov'!$D$27:$AH$266,'Dec'!$D$27:$AH$266,'Jan (next year)'!$D$27:$AH$266),27+4*(IFERROR(MATCH(C1178,Roster!$B$6:$B$65,0),MATCH(C1178,Roster!$C$6:$C$65,0))-1)+MATCH(B1178,{"AM","PM","NIGHT","WD"},0)-1-27+1,DAY(A1178))&amp;"",""))</f>
        <v/>
      </c>
      <c r="G1178" s="123">
        <f>IF(OR(A1178="",C1178="",B1178="",E1178=""),"",IFERROR(A1178&amp;"|"&amp;(27+4*(IFERROR(MATCH(C1178,Roster!$B$6:$B$65,0),MATCH(C1178,Roster!$C$6:$C$65,0))-1)+MATCH(B1178,{"AM","PM","NIGHT","WD"},0)-1),""))</f>
        <v/>
      </c>
    </row>
    <row r="1179">
      <c r="A1179" s="122" t="n"/>
      <c r="B1179" s="107" t="n"/>
      <c r="C1179" s="105" t="n"/>
      <c r="D1179" s="92">
        <f>IF(C1179="","",IFERROR(INDEX(Roster!$C$6:$C$65,IFERROR(MATCH(C1179,Roster!$B$6:$B$65,0),MATCH(C1179,Roster!$C$6:$C$65,0))),"not on the Roster"))</f>
        <v/>
      </c>
      <c r="E1179" s="106" t="n"/>
      <c r="F1179" s="104">
        <f>IF(OR(A1179="",C1179="",B1179=""),"",IFERROR(INDEX(CHOOSE(IF(YEAR(A1179)&gt;PlanYear,13,MONTH(A1179)),'Jan'!$D$27:$AH$266,'Feb'!$D$27:$AH$266,'Mar'!$D$27:$AH$266,'Apr'!$D$27:$AH$266,'May'!$D$27:$AH$266,'Jun'!$D$27:$AH$266,'Jul'!$D$27:$AH$266,'Aug'!$D$27:$AH$266,'Sep'!$D$27:$AH$266,'Oct'!$D$27:$AH$266,'Nov'!$D$27:$AH$266,'Dec'!$D$27:$AH$266,'Jan (next year)'!$D$27:$AH$266),27+4*(IFERROR(MATCH(C1179,Roster!$B$6:$B$65,0),MATCH(C1179,Roster!$C$6:$C$65,0))-1)+MATCH(B1179,{"AM","PM","NIGHT","WD"},0)-1-27+1,DAY(A1179))&amp;"",""))</f>
        <v/>
      </c>
      <c r="G1179" s="123">
        <f>IF(OR(A1179="",C1179="",B1179="",E1179=""),"",IFERROR(A1179&amp;"|"&amp;(27+4*(IFERROR(MATCH(C1179,Roster!$B$6:$B$65,0),MATCH(C1179,Roster!$C$6:$C$65,0))-1)+MATCH(B1179,{"AM","PM","NIGHT","WD"},0)-1),""))</f>
        <v/>
      </c>
    </row>
    <row r="1180">
      <c r="A1180" s="122" t="n"/>
      <c r="B1180" s="107" t="n"/>
      <c r="C1180" s="105" t="n"/>
      <c r="D1180" s="92">
        <f>IF(C1180="","",IFERROR(INDEX(Roster!$C$6:$C$65,IFERROR(MATCH(C1180,Roster!$B$6:$B$65,0),MATCH(C1180,Roster!$C$6:$C$65,0))),"not on the Roster"))</f>
        <v/>
      </c>
      <c r="E1180" s="106" t="n"/>
      <c r="F1180" s="104">
        <f>IF(OR(A1180="",C1180="",B1180=""),"",IFERROR(INDEX(CHOOSE(IF(YEAR(A1180)&gt;PlanYear,13,MONTH(A1180)),'Jan'!$D$27:$AH$266,'Feb'!$D$27:$AH$266,'Mar'!$D$27:$AH$266,'Apr'!$D$27:$AH$266,'May'!$D$27:$AH$266,'Jun'!$D$27:$AH$266,'Jul'!$D$27:$AH$266,'Aug'!$D$27:$AH$266,'Sep'!$D$27:$AH$266,'Oct'!$D$27:$AH$266,'Nov'!$D$27:$AH$266,'Dec'!$D$27:$AH$266,'Jan (next year)'!$D$27:$AH$266),27+4*(IFERROR(MATCH(C1180,Roster!$B$6:$B$65,0),MATCH(C1180,Roster!$C$6:$C$65,0))-1)+MATCH(B1180,{"AM","PM","NIGHT","WD"},0)-1-27+1,DAY(A1180))&amp;"",""))</f>
        <v/>
      </c>
      <c r="G1180" s="123">
        <f>IF(OR(A1180="",C1180="",B1180="",E1180=""),"",IFERROR(A1180&amp;"|"&amp;(27+4*(IFERROR(MATCH(C1180,Roster!$B$6:$B$65,0),MATCH(C1180,Roster!$C$6:$C$65,0))-1)+MATCH(B1180,{"AM","PM","NIGHT","WD"},0)-1),""))</f>
        <v/>
      </c>
    </row>
    <row r="1181">
      <c r="A1181" s="122" t="n"/>
      <c r="B1181" s="107" t="n"/>
      <c r="C1181" s="105" t="n"/>
      <c r="D1181" s="92">
        <f>IF(C1181="","",IFERROR(INDEX(Roster!$C$6:$C$65,IFERROR(MATCH(C1181,Roster!$B$6:$B$65,0),MATCH(C1181,Roster!$C$6:$C$65,0))),"not on the Roster"))</f>
        <v/>
      </c>
      <c r="E1181" s="106" t="n"/>
      <c r="F1181" s="104">
        <f>IF(OR(A1181="",C1181="",B1181=""),"",IFERROR(INDEX(CHOOSE(IF(YEAR(A1181)&gt;PlanYear,13,MONTH(A1181)),'Jan'!$D$27:$AH$266,'Feb'!$D$27:$AH$266,'Mar'!$D$27:$AH$266,'Apr'!$D$27:$AH$266,'May'!$D$27:$AH$266,'Jun'!$D$27:$AH$266,'Jul'!$D$27:$AH$266,'Aug'!$D$27:$AH$266,'Sep'!$D$27:$AH$266,'Oct'!$D$27:$AH$266,'Nov'!$D$27:$AH$266,'Dec'!$D$27:$AH$266,'Jan (next year)'!$D$27:$AH$266),27+4*(IFERROR(MATCH(C1181,Roster!$B$6:$B$65,0),MATCH(C1181,Roster!$C$6:$C$65,0))-1)+MATCH(B1181,{"AM","PM","NIGHT","WD"},0)-1-27+1,DAY(A1181))&amp;"",""))</f>
        <v/>
      </c>
      <c r="G1181" s="123">
        <f>IF(OR(A1181="",C1181="",B1181="",E1181=""),"",IFERROR(A1181&amp;"|"&amp;(27+4*(IFERROR(MATCH(C1181,Roster!$B$6:$B$65,0),MATCH(C1181,Roster!$C$6:$C$65,0))-1)+MATCH(B1181,{"AM","PM","NIGHT","WD"},0)-1),""))</f>
        <v/>
      </c>
    </row>
    <row r="1182">
      <c r="A1182" s="122" t="n"/>
      <c r="B1182" s="107" t="n"/>
      <c r="C1182" s="105" t="n"/>
      <c r="D1182" s="92">
        <f>IF(C1182="","",IFERROR(INDEX(Roster!$C$6:$C$65,IFERROR(MATCH(C1182,Roster!$B$6:$B$65,0),MATCH(C1182,Roster!$C$6:$C$65,0))),"not on the Roster"))</f>
        <v/>
      </c>
      <c r="E1182" s="106" t="n"/>
      <c r="F1182" s="104">
        <f>IF(OR(A1182="",C1182="",B1182=""),"",IFERROR(INDEX(CHOOSE(IF(YEAR(A1182)&gt;PlanYear,13,MONTH(A1182)),'Jan'!$D$27:$AH$266,'Feb'!$D$27:$AH$266,'Mar'!$D$27:$AH$266,'Apr'!$D$27:$AH$266,'May'!$D$27:$AH$266,'Jun'!$D$27:$AH$266,'Jul'!$D$27:$AH$266,'Aug'!$D$27:$AH$266,'Sep'!$D$27:$AH$266,'Oct'!$D$27:$AH$266,'Nov'!$D$27:$AH$266,'Dec'!$D$27:$AH$266,'Jan (next year)'!$D$27:$AH$266),27+4*(IFERROR(MATCH(C1182,Roster!$B$6:$B$65,0),MATCH(C1182,Roster!$C$6:$C$65,0))-1)+MATCH(B1182,{"AM","PM","NIGHT","WD"},0)-1-27+1,DAY(A1182))&amp;"",""))</f>
        <v/>
      </c>
      <c r="G1182" s="123">
        <f>IF(OR(A1182="",C1182="",B1182="",E1182=""),"",IFERROR(A1182&amp;"|"&amp;(27+4*(IFERROR(MATCH(C1182,Roster!$B$6:$B$65,0),MATCH(C1182,Roster!$C$6:$C$65,0))-1)+MATCH(B1182,{"AM","PM","NIGHT","WD"},0)-1),""))</f>
        <v/>
      </c>
    </row>
    <row r="1183">
      <c r="A1183" s="122" t="n"/>
      <c r="B1183" s="107" t="n"/>
      <c r="C1183" s="105" t="n"/>
      <c r="D1183" s="92">
        <f>IF(C1183="","",IFERROR(INDEX(Roster!$C$6:$C$65,IFERROR(MATCH(C1183,Roster!$B$6:$B$65,0),MATCH(C1183,Roster!$C$6:$C$65,0))),"not on the Roster"))</f>
        <v/>
      </c>
      <c r="E1183" s="106" t="n"/>
      <c r="F1183" s="104">
        <f>IF(OR(A1183="",C1183="",B1183=""),"",IFERROR(INDEX(CHOOSE(IF(YEAR(A1183)&gt;PlanYear,13,MONTH(A1183)),'Jan'!$D$27:$AH$266,'Feb'!$D$27:$AH$266,'Mar'!$D$27:$AH$266,'Apr'!$D$27:$AH$266,'May'!$D$27:$AH$266,'Jun'!$D$27:$AH$266,'Jul'!$D$27:$AH$266,'Aug'!$D$27:$AH$266,'Sep'!$D$27:$AH$266,'Oct'!$D$27:$AH$266,'Nov'!$D$27:$AH$266,'Dec'!$D$27:$AH$266,'Jan (next year)'!$D$27:$AH$266),27+4*(IFERROR(MATCH(C1183,Roster!$B$6:$B$65,0),MATCH(C1183,Roster!$C$6:$C$65,0))-1)+MATCH(B1183,{"AM","PM","NIGHT","WD"},0)-1-27+1,DAY(A1183))&amp;"",""))</f>
        <v/>
      </c>
      <c r="G1183" s="123">
        <f>IF(OR(A1183="",C1183="",B1183="",E1183=""),"",IFERROR(A1183&amp;"|"&amp;(27+4*(IFERROR(MATCH(C1183,Roster!$B$6:$B$65,0),MATCH(C1183,Roster!$C$6:$C$65,0))-1)+MATCH(B1183,{"AM","PM","NIGHT","WD"},0)-1),""))</f>
        <v/>
      </c>
    </row>
    <row r="1184">
      <c r="A1184" s="122" t="n"/>
      <c r="B1184" s="107" t="n"/>
      <c r="C1184" s="105" t="n"/>
      <c r="D1184" s="92">
        <f>IF(C1184="","",IFERROR(INDEX(Roster!$C$6:$C$65,IFERROR(MATCH(C1184,Roster!$B$6:$B$65,0),MATCH(C1184,Roster!$C$6:$C$65,0))),"not on the Roster"))</f>
        <v/>
      </c>
      <c r="E1184" s="106" t="n"/>
      <c r="F1184" s="104">
        <f>IF(OR(A1184="",C1184="",B1184=""),"",IFERROR(INDEX(CHOOSE(IF(YEAR(A1184)&gt;PlanYear,13,MONTH(A1184)),'Jan'!$D$27:$AH$266,'Feb'!$D$27:$AH$266,'Mar'!$D$27:$AH$266,'Apr'!$D$27:$AH$266,'May'!$D$27:$AH$266,'Jun'!$D$27:$AH$266,'Jul'!$D$27:$AH$266,'Aug'!$D$27:$AH$266,'Sep'!$D$27:$AH$266,'Oct'!$D$27:$AH$266,'Nov'!$D$27:$AH$266,'Dec'!$D$27:$AH$266,'Jan (next year)'!$D$27:$AH$266),27+4*(IFERROR(MATCH(C1184,Roster!$B$6:$B$65,0),MATCH(C1184,Roster!$C$6:$C$65,0))-1)+MATCH(B1184,{"AM","PM","NIGHT","WD"},0)-1-27+1,DAY(A1184))&amp;"",""))</f>
        <v/>
      </c>
      <c r="G1184" s="123">
        <f>IF(OR(A1184="",C1184="",B1184="",E1184=""),"",IFERROR(A1184&amp;"|"&amp;(27+4*(IFERROR(MATCH(C1184,Roster!$B$6:$B$65,0),MATCH(C1184,Roster!$C$6:$C$65,0))-1)+MATCH(B1184,{"AM","PM","NIGHT","WD"},0)-1),""))</f>
        <v/>
      </c>
    </row>
    <row r="1185">
      <c r="A1185" s="122" t="n"/>
      <c r="B1185" s="107" t="n"/>
      <c r="C1185" s="105" t="n"/>
      <c r="D1185" s="92">
        <f>IF(C1185="","",IFERROR(INDEX(Roster!$C$6:$C$65,IFERROR(MATCH(C1185,Roster!$B$6:$B$65,0),MATCH(C1185,Roster!$C$6:$C$65,0))),"not on the Roster"))</f>
        <v/>
      </c>
      <c r="E1185" s="106" t="n"/>
      <c r="F1185" s="104">
        <f>IF(OR(A1185="",C1185="",B1185=""),"",IFERROR(INDEX(CHOOSE(IF(YEAR(A1185)&gt;PlanYear,13,MONTH(A1185)),'Jan'!$D$27:$AH$266,'Feb'!$D$27:$AH$266,'Mar'!$D$27:$AH$266,'Apr'!$D$27:$AH$266,'May'!$D$27:$AH$266,'Jun'!$D$27:$AH$266,'Jul'!$D$27:$AH$266,'Aug'!$D$27:$AH$266,'Sep'!$D$27:$AH$266,'Oct'!$D$27:$AH$266,'Nov'!$D$27:$AH$266,'Dec'!$D$27:$AH$266,'Jan (next year)'!$D$27:$AH$266),27+4*(IFERROR(MATCH(C1185,Roster!$B$6:$B$65,0),MATCH(C1185,Roster!$C$6:$C$65,0))-1)+MATCH(B1185,{"AM","PM","NIGHT","WD"},0)-1-27+1,DAY(A1185))&amp;"",""))</f>
        <v/>
      </c>
      <c r="G1185" s="123">
        <f>IF(OR(A1185="",C1185="",B1185="",E1185=""),"",IFERROR(A1185&amp;"|"&amp;(27+4*(IFERROR(MATCH(C1185,Roster!$B$6:$B$65,0),MATCH(C1185,Roster!$C$6:$C$65,0))-1)+MATCH(B1185,{"AM","PM","NIGHT","WD"},0)-1),""))</f>
        <v/>
      </c>
    </row>
    <row r="1186">
      <c r="A1186" s="122" t="n"/>
      <c r="B1186" s="107" t="n"/>
      <c r="C1186" s="105" t="n"/>
      <c r="D1186" s="92">
        <f>IF(C1186="","",IFERROR(INDEX(Roster!$C$6:$C$65,IFERROR(MATCH(C1186,Roster!$B$6:$B$65,0),MATCH(C1186,Roster!$C$6:$C$65,0))),"not on the Roster"))</f>
        <v/>
      </c>
      <c r="E1186" s="106" t="n"/>
      <c r="F1186" s="104">
        <f>IF(OR(A1186="",C1186="",B1186=""),"",IFERROR(INDEX(CHOOSE(IF(YEAR(A1186)&gt;PlanYear,13,MONTH(A1186)),'Jan'!$D$27:$AH$266,'Feb'!$D$27:$AH$266,'Mar'!$D$27:$AH$266,'Apr'!$D$27:$AH$266,'May'!$D$27:$AH$266,'Jun'!$D$27:$AH$266,'Jul'!$D$27:$AH$266,'Aug'!$D$27:$AH$266,'Sep'!$D$27:$AH$266,'Oct'!$D$27:$AH$266,'Nov'!$D$27:$AH$266,'Dec'!$D$27:$AH$266,'Jan (next year)'!$D$27:$AH$266),27+4*(IFERROR(MATCH(C1186,Roster!$B$6:$B$65,0),MATCH(C1186,Roster!$C$6:$C$65,0))-1)+MATCH(B1186,{"AM","PM","NIGHT","WD"},0)-1-27+1,DAY(A1186))&amp;"",""))</f>
        <v/>
      </c>
      <c r="G1186" s="123">
        <f>IF(OR(A1186="",C1186="",B1186="",E1186=""),"",IFERROR(A1186&amp;"|"&amp;(27+4*(IFERROR(MATCH(C1186,Roster!$B$6:$B$65,0),MATCH(C1186,Roster!$C$6:$C$65,0))-1)+MATCH(B1186,{"AM","PM","NIGHT","WD"},0)-1),""))</f>
        <v/>
      </c>
    </row>
    <row r="1187">
      <c r="A1187" s="122" t="n"/>
      <c r="B1187" s="107" t="n"/>
      <c r="C1187" s="105" t="n"/>
      <c r="D1187" s="92">
        <f>IF(C1187="","",IFERROR(INDEX(Roster!$C$6:$C$65,IFERROR(MATCH(C1187,Roster!$B$6:$B$65,0),MATCH(C1187,Roster!$C$6:$C$65,0))),"not on the Roster"))</f>
        <v/>
      </c>
      <c r="E1187" s="106" t="n"/>
      <c r="F1187" s="104">
        <f>IF(OR(A1187="",C1187="",B1187=""),"",IFERROR(INDEX(CHOOSE(IF(YEAR(A1187)&gt;PlanYear,13,MONTH(A1187)),'Jan'!$D$27:$AH$266,'Feb'!$D$27:$AH$266,'Mar'!$D$27:$AH$266,'Apr'!$D$27:$AH$266,'May'!$D$27:$AH$266,'Jun'!$D$27:$AH$266,'Jul'!$D$27:$AH$266,'Aug'!$D$27:$AH$266,'Sep'!$D$27:$AH$266,'Oct'!$D$27:$AH$266,'Nov'!$D$27:$AH$266,'Dec'!$D$27:$AH$266,'Jan (next year)'!$D$27:$AH$266),27+4*(IFERROR(MATCH(C1187,Roster!$B$6:$B$65,0),MATCH(C1187,Roster!$C$6:$C$65,0))-1)+MATCH(B1187,{"AM","PM","NIGHT","WD"},0)-1-27+1,DAY(A1187))&amp;"",""))</f>
        <v/>
      </c>
      <c r="G1187" s="123">
        <f>IF(OR(A1187="",C1187="",B1187="",E1187=""),"",IFERROR(A1187&amp;"|"&amp;(27+4*(IFERROR(MATCH(C1187,Roster!$B$6:$B$65,0),MATCH(C1187,Roster!$C$6:$C$65,0))-1)+MATCH(B1187,{"AM","PM","NIGHT","WD"},0)-1),""))</f>
        <v/>
      </c>
    </row>
    <row r="1188">
      <c r="A1188" s="122" t="n"/>
      <c r="B1188" s="107" t="n"/>
      <c r="C1188" s="105" t="n"/>
      <c r="D1188" s="92">
        <f>IF(C1188="","",IFERROR(INDEX(Roster!$C$6:$C$65,IFERROR(MATCH(C1188,Roster!$B$6:$B$65,0),MATCH(C1188,Roster!$C$6:$C$65,0))),"not on the Roster"))</f>
        <v/>
      </c>
      <c r="E1188" s="106" t="n"/>
      <c r="F1188" s="104">
        <f>IF(OR(A1188="",C1188="",B1188=""),"",IFERROR(INDEX(CHOOSE(IF(YEAR(A1188)&gt;PlanYear,13,MONTH(A1188)),'Jan'!$D$27:$AH$266,'Feb'!$D$27:$AH$266,'Mar'!$D$27:$AH$266,'Apr'!$D$27:$AH$266,'May'!$D$27:$AH$266,'Jun'!$D$27:$AH$266,'Jul'!$D$27:$AH$266,'Aug'!$D$27:$AH$266,'Sep'!$D$27:$AH$266,'Oct'!$D$27:$AH$266,'Nov'!$D$27:$AH$266,'Dec'!$D$27:$AH$266,'Jan (next year)'!$D$27:$AH$266),27+4*(IFERROR(MATCH(C1188,Roster!$B$6:$B$65,0),MATCH(C1188,Roster!$C$6:$C$65,0))-1)+MATCH(B1188,{"AM","PM","NIGHT","WD"},0)-1-27+1,DAY(A1188))&amp;"",""))</f>
        <v/>
      </c>
      <c r="G1188" s="123">
        <f>IF(OR(A1188="",C1188="",B1188="",E1188=""),"",IFERROR(A1188&amp;"|"&amp;(27+4*(IFERROR(MATCH(C1188,Roster!$B$6:$B$65,0),MATCH(C1188,Roster!$C$6:$C$65,0))-1)+MATCH(B1188,{"AM","PM","NIGHT","WD"},0)-1),""))</f>
        <v/>
      </c>
    </row>
    <row r="1189">
      <c r="A1189" s="122" t="n"/>
      <c r="B1189" s="107" t="n"/>
      <c r="C1189" s="105" t="n"/>
      <c r="D1189" s="92">
        <f>IF(C1189="","",IFERROR(INDEX(Roster!$C$6:$C$65,IFERROR(MATCH(C1189,Roster!$B$6:$B$65,0),MATCH(C1189,Roster!$C$6:$C$65,0))),"not on the Roster"))</f>
        <v/>
      </c>
      <c r="E1189" s="106" t="n"/>
      <c r="F1189" s="104">
        <f>IF(OR(A1189="",C1189="",B1189=""),"",IFERROR(INDEX(CHOOSE(IF(YEAR(A1189)&gt;PlanYear,13,MONTH(A1189)),'Jan'!$D$27:$AH$266,'Feb'!$D$27:$AH$266,'Mar'!$D$27:$AH$266,'Apr'!$D$27:$AH$266,'May'!$D$27:$AH$266,'Jun'!$D$27:$AH$266,'Jul'!$D$27:$AH$266,'Aug'!$D$27:$AH$266,'Sep'!$D$27:$AH$266,'Oct'!$D$27:$AH$266,'Nov'!$D$27:$AH$266,'Dec'!$D$27:$AH$266,'Jan (next year)'!$D$27:$AH$266),27+4*(IFERROR(MATCH(C1189,Roster!$B$6:$B$65,0),MATCH(C1189,Roster!$C$6:$C$65,0))-1)+MATCH(B1189,{"AM","PM","NIGHT","WD"},0)-1-27+1,DAY(A1189))&amp;"",""))</f>
        <v/>
      </c>
      <c r="G1189" s="123">
        <f>IF(OR(A1189="",C1189="",B1189="",E1189=""),"",IFERROR(A1189&amp;"|"&amp;(27+4*(IFERROR(MATCH(C1189,Roster!$B$6:$B$65,0),MATCH(C1189,Roster!$C$6:$C$65,0))-1)+MATCH(B1189,{"AM","PM","NIGHT","WD"},0)-1),""))</f>
        <v/>
      </c>
    </row>
    <row r="1190">
      <c r="A1190" s="122" t="n"/>
      <c r="B1190" s="107" t="n"/>
      <c r="C1190" s="105" t="n"/>
      <c r="D1190" s="92">
        <f>IF(C1190="","",IFERROR(INDEX(Roster!$C$6:$C$65,IFERROR(MATCH(C1190,Roster!$B$6:$B$65,0),MATCH(C1190,Roster!$C$6:$C$65,0))),"not on the Roster"))</f>
        <v/>
      </c>
      <c r="E1190" s="106" t="n"/>
      <c r="F1190" s="104">
        <f>IF(OR(A1190="",C1190="",B1190=""),"",IFERROR(INDEX(CHOOSE(IF(YEAR(A1190)&gt;PlanYear,13,MONTH(A1190)),'Jan'!$D$27:$AH$266,'Feb'!$D$27:$AH$266,'Mar'!$D$27:$AH$266,'Apr'!$D$27:$AH$266,'May'!$D$27:$AH$266,'Jun'!$D$27:$AH$266,'Jul'!$D$27:$AH$266,'Aug'!$D$27:$AH$266,'Sep'!$D$27:$AH$266,'Oct'!$D$27:$AH$266,'Nov'!$D$27:$AH$266,'Dec'!$D$27:$AH$266,'Jan (next year)'!$D$27:$AH$266),27+4*(IFERROR(MATCH(C1190,Roster!$B$6:$B$65,0),MATCH(C1190,Roster!$C$6:$C$65,0))-1)+MATCH(B1190,{"AM","PM","NIGHT","WD"},0)-1-27+1,DAY(A1190))&amp;"",""))</f>
        <v/>
      </c>
      <c r="G1190" s="123">
        <f>IF(OR(A1190="",C1190="",B1190="",E1190=""),"",IFERROR(A1190&amp;"|"&amp;(27+4*(IFERROR(MATCH(C1190,Roster!$B$6:$B$65,0),MATCH(C1190,Roster!$C$6:$C$65,0))-1)+MATCH(B1190,{"AM","PM","NIGHT","WD"},0)-1),""))</f>
        <v/>
      </c>
    </row>
    <row r="1191">
      <c r="A1191" s="122" t="n"/>
      <c r="B1191" s="107" t="n"/>
      <c r="C1191" s="105" t="n"/>
      <c r="D1191" s="92">
        <f>IF(C1191="","",IFERROR(INDEX(Roster!$C$6:$C$65,IFERROR(MATCH(C1191,Roster!$B$6:$B$65,0),MATCH(C1191,Roster!$C$6:$C$65,0))),"not on the Roster"))</f>
        <v/>
      </c>
      <c r="E1191" s="106" t="n"/>
      <c r="F1191" s="104">
        <f>IF(OR(A1191="",C1191="",B1191=""),"",IFERROR(INDEX(CHOOSE(IF(YEAR(A1191)&gt;PlanYear,13,MONTH(A1191)),'Jan'!$D$27:$AH$266,'Feb'!$D$27:$AH$266,'Mar'!$D$27:$AH$266,'Apr'!$D$27:$AH$266,'May'!$D$27:$AH$266,'Jun'!$D$27:$AH$266,'Jul'!$D$27:$AH$266,'Aug'!$D$27:$AH$266,'Sep'!$D$27:$AH$266,'Oct'!$D$27:$AH$266,'Nov'!$D$27:$AH$266,'Dec'!$D$27:$AH$266,'Jan (next year)'!$D$27:$AH$266),27+4*(IFERROR(MATCH(C1191,Roster!$B$6:$B$65,0),MATCH(C1191,Roster!$C$6:$C$65,0))-1)+MATCH(B1191,{"AM","PM","NIGHT","WD"},0)-1-27+1,DAY(A1191))&amp;"",""))</f>
        <v/>
      </c>
      <c r="G1191" s="123">
        <f>IF(OR(A1191="",C1191="",B1191="",E1191=""),"",IFERROR(A1191&amp;"|"&amp;(27+4*(IFERROR(MATCH(C1191,Roster!$B$6:$B$65,0),MATCH(C1191,Roster!$C$6:$C$65,0))-1)+MATCH(B1191,{"AM","PM","NIGHT","WD"},0)-1),""))</f>
        <v/>
      </c>
    </row>
    <row r="1192">
      <c r="A1192" s="122" t="n"/>
      <c r="B1192" s="107" t="n"/>
      <c r="C1192" s="105" t="n"/>
      <c r="D1192" s="92">
        <f>IF(C1192="","",IFERROR(INDEX(Roster!$C$6:$C$65,IFERROR(MATCH(C1192,Roster!$B$6:$B$65,0),MATCH(C1192,Roster!$C$6:$C$65,0))),"not on the Roster"))</f>
        <v/>
      </c>
      <c r="E1192" s="106" t="n"/>
      <c r="F1192" s="104">
        <f>IF(OR(A1192="",C1192="",B1192=""),"",IFERROR(INDEX(CHOOSE(IF(YEAR(A1192)&gt;PlanYear,13,MONTH(A1192)),'Jan'!$D$27:$AH$266,'Feb'!$D$27:$AH$266,'Mar'!$D$27:$AH$266,'Apr'!$D$27:$AH$266,'May'!$D$27:$AH$266,'Jun'!$D$27:$AH$266,'Jul'!$D$27:$AH$266,'Aug'!$D$27:$AH$266,'Sep'!$D$27:$AH$266,'Oct'!$D$27:$AH$266,'Nov'!$D$27:$AH$266,'Dec'!$D$27:$AH$266,'Jan (next year)'!$D$27:$AH$266),27+4*(IFERROR(MATCH(C1192,Roster!$B$6:$B$65,0),MATCH(C1192,Roster!$C$6:$C$65,0))-1)+MATCH(B1192,{"AM","PM","NIGHT","WD"},0)-1-27+1,DAY(A1192))&amp;"",""))</f>
        <v/>
      </c>
      <c r="G1192" s="123">
        <f>IF(OR(A1192="",C1192="",B1192="",E1192=""),"",IFERROR(A1192&amp;"|"&amp;(27+4*(IFERROR(MATCH(C1192,Roster!$B$6:$B$65,0),MATCH(C1192,Roster!$C$6:$C$65,0))-1)+MATCH(B1192,{"AM","PM","NIGHT","WD"},0)-1),""))</f>
        <v/>
      </c>
    </row>
    <row r="1193">
      <c r="A1193" s="122" t="n"/>
      <c r="B1193" s="107" t="n"/>
      <c r="C1193" s="105" t="n"/>
      <c r="D1193" s="92">
        <f>IF(C1193="","",IFERROR(INDEX(Roster!$C$6:$C$65,IFERROR(MATCH(C1193,Roster!$B$6:$B$65,0),MATCH(C1193,Roster!$C$6:$C$65,0))),"not on the Roster"))</f>
        <v/>
      </c>
      <c r="E1193" s="106" t="n"/>
      <c r="F1193" s="104">
        <f>IF(OR(A1193="",C1193="",B1193=""),"",IFERROR(INDEX(CHOOSE(IF(YEAR(A1193)&gt;PlanYear,13,MONTH(A1193)),'Jan'!$D$27:$AH$266,'Feb'!$D$27:$AH$266,'Mar'!$D$27:$AH$266,'Apr'!$D$27:$AH$266,'May'!$D$27:$AH$266,'Jun'!$D$27:$AH$266,'Jul'!$D$27:$AH$266,'Aug'!$D$27:$AH$266,'Sep'!$D$27:$AH$266,'Oct'!$D$27:$AH$266,'Nov'!$D$27:$AH$266,'Dec'!$D$27:$AH$266,'Jan (next year)'!$D$27:$AH$266),27+4*(IFERROR(MATCH(C1193,Roster!$B$6:$B$65,0),MATCH(C1193,Roster!$C$6:$C$65,0))-1)+MATCH(B1193,{"AM","PM","NIGHT","WD"},0)-1-27+1,DAY(A1193))&amp;"",""))</f>
        <v/>
      </c>
      <c r="G1193" s="123">
        <f>IF(OR(A1193="",C1193="",B1193="",E1193=""),"",IFERROR(A1193&amp;"|"&amp;(27+4*(IFERROR(MATCH(C1193,Roster!$B$6:$B$65,0),MATCH(C1193,Roster!$C$6:$C$65,0))-1)+MATCH(B1193,{"AM","PM","NIGHT","WD"},0)-1),""))</f>
        <v/>
      </c>
    </row>
    <row r="1194">
      <c r="A1194" s="122" t="n"/>
      <c r="B1194" s="107" t="n"/>
      <c r="C1194" s="105" t="n"/>
      <c r="D1194" s="92">
        <f>IF(C1194="","",IFERROR(INDEX(Roster!$C$6:$C$65,IFERROR(MATCH(C1194,Roster!$B$6:$B$65,0),MATCH(C1194,Roster!$C$6:$C$65,0))),"not on the Roster"))</f>
        <v/>
      </c>
      <c r="E1194" s="106" t="n"/>
      <c r="F1194" s="104">
        <f>IF(OR(A1194="",C1194="",B1194=""),"",IFERROR(INDEX(CHOOSE(IF(YEAR(A1194)&gt;PlanYear,13,MONTH(A1194)),'Jan'!$D$27:$AH$266,'Feb'!$D$27:$AH$266,'Mar'!$D$27:$AH$266,'Apr'!$D$27:$AH$266,'May'!$D$27:$AH$266,'Jun'!$D$27:$AH$266,'Jul'!$D$27:$AH$266,'Aug'!$D$27:$AH$266,'Sep'!$D$27:$AH$266,'Oct'!$D$27:$AH$266,'Nov'!$D$27:$AH$266,'Dec'!$D$27:$AH$266,'Jan (next year)'!$D$27:$AH$266),27+4*(IFERROR(MATCH(C1194,Roster!$B$6:$B$65,0),MATCH(C1194,Roster!$C$6:$C$65,0))-1)+MATCH(B1194,{"AM","PM","NIGHT","WD"},0)-1-27+1,DAY(A1194))&amp;"",""))</f>
        <v/>
      </c>
      <c r="G1194" s="123">
        <f>IF(OR(A1194="",C1194="",B1194="",E1194=""),"",IFERROR(A1194&amp;"|"&amp;(27+4*(IFERROR(MATCH(C1194,Roster!$B$6:$B$65,0),MATCH(C1194,Roster!$C$6:$C$65,0))-1)+MATCH(B1194,{"AM","PM","NIGHT","WD"},0)-1),""))</f>
        <v/>
      </c>
    </row>
    <row r="1195">
      <c r="A1195" s="122" t="n"/>
      <c r="B1195" s="107" t="n"/>
      <c r="C1195" s="105" t="n"/>
      <c r="D1195" s="92">
        <f>IF(C1195="","",IFERROR(INDEX(Roster!$C$6:$C$65,IFERROR(MATCH(C1195,Roster!$B$6:$B$65,0),MATCH(C1195,Roster!$C$6:$C$65,0))),"not on the Roster"))</f>
        <v/>
      </c>
      <c r="E1195" s="106" t="n"/>
      <c r="F1195" s="104">
        <f>IF(OR(A1195="",C1195="",B1195=""),"",IFERROR(INDEX(CHOOSE(IF(YEAR(A1195)&gt;PlanYear,13,MONTH(A1195)),'Jan'!$D$27:$AH$266,'Feb'!$D$27:$AH$266,'Mar'!$D$27:$AH$266,'Apr'!$D$27:$AH$266,'May'!$D$27:$AH$266,'Jun'!$D$27:$AH$266,'Jul'!$D$27:$AH$266,'Aug'!$D$27:$AH$266,'Sep'!$D$27:$AH$266,'Oct'!$D$27:$AH$266,'Nov'!$D$27:$AH$266,'Dec'!$D$27:$AH$266,'Jan (next year)'!$D$27:$AH$266),27+4*(IFERROR(MATCH(C1195,Roster!$B$6:$B$65,0),MATCH(C1195,Roster!$C$6:$C$65,0))-1)+MATCH(B1195,{"AM","PM","NIGHT","WD"},0)-1-27+1,DAY(A1195))&amp;"",""))</f>
        <v/>
      </c>
      <c r="G1195" s="123">
        <f>IF(OR(A1195="",C1195="",B1195="",E1195=""),"",IFERROR(A1195&amp;"|"&amp;(27+4*(IFERROR(MATCH(C1195,Roster!$B$6:$B$65,0),MATCH(C1195,Roster!$C$6:$C$65,0))-1)+MATCH(B1195,{"AM","PM","NIGHT","WD"},0)-1),""))</f>
        <v/>
      </c>
    </row>
    <row r="1196">
      <c r="A1196" s="122" t="n"/>
      <c r="B1196" s="107" t="n"/>
      <c r="C1196" s="105" t="n"/>
      <c r="D1196" s="92">
        <f>IF(C1196="","",IFERROR(INDEX(Roster!$C$6:$C$65,IFERROR(MATCH(C1196,Roster!$B$6:$B$65,0),MATCH(C1196,Roster!$C$6:$C$65,0))),"not on the Roster"))</f>
        <v/>
      </c>
      <c r="E1196" s="106" t="n"/>
      <c r="F1196" s="104">
        <f>IF(OR(A1196="",C1196="",B1196=""),"",IFERROR(INDEX(CHOOSE(IF(YEAR(A1196)&gt;PlanYear,13,MONTH(A1196)),'Jan'!$D$27:$AH$266,'Feb'!$D$27:$AH$266,'Mar'!$D$27:$AH$266,'Apr'!$D$27:$AH$266,'May'!$D$27:$AH$266,'Jun'!$D$27:$AH$266,'Jul'!$D$27:$AH$266,'Aug'!$D$27:$AH$266,'Sep'!$D$27:$AH$266,'Oct'!$D$27:$AH$266,'Nov'!$D$27:$AH$266,'Dec'!$D$27:$AH$266,'Jan (next year)'!$D$27:$AH$266),27+4*(IFERROR(MATCH(C1196,Roster!$B$6:$B$65,0),MATCH(C1196,Roster!$C$6:$C$65,0))-1)+MATCH(B1196,{"AM","PM","NIGHT","WD"},0)-1-27+1,DAY(A1196))&amp;"",""))</f>
        <v/>
      </c>
      <c r="G1196" s="123">
        <f>IF(OR(A1196="",C1196="",B1196="",E1196=""),"",IFERROR(A1196&amp;"|"&amp;(27+4*(IFERROR(MATCH(C1196,Roster!$B$6:$B$65,0),MATCH(C1196,Roster!$C$6:$C$65,0))-1)+MATCH(B1196,{"AM","PM","NIGHT","WD"},0)-1),""))</f>
        <v/>
      </c>
    </row>
    <row r="1197">
      <c r="A1197" s="122" t="n"/>
      <c r="B1197" s="107" t="n"/>
      <c r="C1197" s="105" t="n"/>
      <c r="D1197" s="92">
        <f>IF(C1197="","",IFERROR(INDEX(Roster!$C$6:$C$65,IFERROR(MATCH(C1197,Roster!$B$6:$B$65,0),MATCH(C1197,Roster!$C$6:$C$65,0))),"not on the Roster"))</f>
        <v/>
      </c>
      <c r="E1197" s="106" t="n"/>
      <c r="F1197" s="104">
        <f>IF(OR(A1197="",C1197="",B1197=""),"",IFERROR(INDEX(CHOOSE(IF(YEAR(A1197)&gt;PlanYear,13,MONTH(A1197)),'Jan'!$D$27:$AH$266,'Feb'!$D$27:$AH$266,'Mar'!$D$27:$AH$266,'Apr'!$D$27:$AH$266,'May'!$D$27:$AH$266,'Jun'!$D$27:$AH$266,'Jul'!$D$27:$AH$266,'Aug'!$D$27:$AH$266,'Sep'!$D$27:$AH$266,'Oct'!$D$27:$AH$266,'Nov'!$D$27:$AH$266,'Dec'!$D$27:$AH$266,'Jan (next year)'!$D$27:$AH$266),27+4*(IFERROR(MATCH(C1197,Roster!$B$6:$B$65,0),MATCH(C1197,Roster!$C$6:$C$65,0))-1)+MATCH(B1197,{"AM","PM","NIGHT","WD"},0)-1-27+1,DAY(A1197))&amp;"",""))</f>
        <v/>
      </c>
      <c r="G1197" s="123">
        <f>IF(OR(A1197="",C1197="",B1197="",E1197=""),"",IFERROR(A1197&amp;"|"&amp;(27+4*(IFERROR(MATCH(C1197,Roster!$B$6:$B$65,0),MATCH(C1197,Roster!$C$6:$C$65,0))-1)+MATCH(B1197,{"AM","PM","NIGHT","WD"},0)-1),""))</f>
        <v/>
      </c>
    </row>
    <row r="1198">
      <c r="A1198" s="122" t="n"/>
      <c r="B1198" s="107" t="n"/>
      <c r="C1198" s="105" t="n"/>
      <c r="D1198" s="92">
        <f>IF(C1198="","",IFERROR(INDEX(Roster!$C$6:$C$65,IFERROR(MATCH(C1198,Roster!$B$6:$B$65,0),MATCH(C1198,Roster!$C$6:$C$65,0))),"not on the Roster"))</f>
        <v/>
      </c>
      <c r="E1198" s="106" t="n"/>
      <c r="F1198" s="104">
        <f>IF(OR(A1198="",C1198="",B1198=""),"",IFERROR(INDEX(CHOOSE(IF(YEAR(A1198)&gt;PlanYear,13,MONTH(A1198)),'Jan'!$D$27:$AH$266,'Feb'!$D$27:$AH$266,'Mar'!$D$27:$AH$266,'Apr'!$D$27:$AH$266,'May'!$D$27:$AH$266,'Jun'!$D$27:$AH$266,'Jul'!$D$27:$AH$266,'Aug'!$D$27:$AH$266,'Sep'!$D$27:$AH$266,'Oct'!$D$27:$AH$266,'Nov'!$D$27:$AH$266,'Dec'!$D$27:$AH$266,'Jan (next year)'!$D$27:$AH$266),27+4*(IFERROR(MATCH(C1198,Roster!$B$6:$B$65,0),MATCH(C1198,Roster!$C$6:$C$65,0))-1)+MATCH(B1198,{"AM","PM","NIGHT","WD"},0)-1-27+1,DAY(A1198))&amp;"",""))</f>
        <v/>
      </c>
      <c r="G1198" s="123">
        <f>IF(OR(A1198="",C1198="",B1198="",E1198=""),"",IFERROR(A1198&amp;"|"&amp;(27+4*(IFERROR(MATCH(C1198,Roster!$B$6:$B$65,0),MATCH(C1198,Roster!$C$6:$C$65,0))-1)+MATCH(B1198,{"AM","PM","NIGHT","WD"},0)-1),""))</f>
        <v/>
      </c>
    </row>
    <row r="1199">
      <c r="A1199" s="122" t="n"/>
      <c r="B1199" s="107" t="n"/>
      <c r="C1199" s="105" t="n"/>
      <c r="D1199" s="92">
        <f>IF(C1199="","",IFERROR(INDEX(Roster!$C$6:$C$65,IFERROR(MATCH(C1199,Roster!$B$6:$B$65,0),MATCH(C1199,Roster!$C$6:$C$65,0))),"not on the Roster"))</f>
        <v/>
      </c>
      <c r="E1199" s="106" t="n"/>
      <c r="F1199" s="104">
        <f>IF(OR(A1199="",C1199="",B1199=""),"",IFERROR(INDEX(CHOOSE(IF(YEAR(A1199)&gt;PlanYear,13,MONTH(A1199)),'Jan'!$D$27:$AH$266,'Feb'!$D$27:$AH$266,'Mar'!$D$27:$AH$266,'Apr'!$D$27:$AH$266,'May'!$D$27:$AH$266,'Jun'!$D$27:$AH$266,'Jul'!$D$27:$AH$266,'Aug'!$D$27:$AH$266,'Sep'!$D$27:$AH$266,'Oct'!$D$27:$AH$266,'Nov'!$D$27:$AH$266,'Dec'!$D$27:$AH$266,'Jan (next year)'!$D$27:$AH$266),27+4*(IFERROR(MATCH(C1199,Roster!$B$6:$B$65,0),MATCH(C1199,Roster!$C$6:$C$65,0))-1)+MATCH(B1199,{"AM","PM","NIGHT","WD"},0)-1-27+1,DAY(A1199))&amp;"",""))</f>
        <v/>
      </c>
      <c r="G1199" s="123">
        <f>IF(OR(A1199="",C1199="",B1199="",E1199=""),"",IFERROR(A1199&amp;"|"&amp;(27+4*(IFERROR(MATCH(C1199,Roster!$B$6:$B$65,0),MATCH(C1199,Roster!$C$6:$C$65,0))-1)+MATCH(B1199,{"AM","PM","NIGHT","WD"},0)-1),""))</f>
        <v/>
      </c>
    </row>
    <row r="1200">
      <c r="A1200" s="122" t="n"/>
      <c r="B1200" s="107" t="n"/>
      <c r="C1200" s="105" t="n"/>
      <c r="D1200" s="92">
        <f>IF(C1200="","",IFERROR(INDEX(Roster!$C$6:$C$65,IFERROR(MATCH(C1200,Roster!$B$6:$B$65,0),MATCH(C1200,Roster!$C$6:$C$65,0))),"not on the Roster"))</f>
        <v/>
      </c>
      <c r="E1200" s="106" t="n"/>
      <c r="F1200" s="104">
        <f>IF(OR(A1200="",C1200="",B1200=""),"",IFERROR(INDEX(CHOOSE(IF(YEAR(A1200)&gt;PlanYear,13,MONTH(A1200)),'Jan'!$D$27:$AH$266,'Feb'!$D$27:$AH$266,'Mar'!$D$27:$AH$266,'Apr'!$D$27:$AH$266,'May'!$D$27:$AH$266,'Jun'!$D$27:$AH$266,'Jul'!$D$27:$AH$266,'Aug'!$D$27:$AH$266,'Sep'!$D$27:$AH$266,'Oct'!$D$27:$AH$266,'Nov'!$D$27:$AH$266,'Dec'!$D$27:$AH$266,'Jan (next year)'!$D$27:$AH$266),27+4*(IFERROR(MATCH(C1200,Roster!$B$6:$B$65,0),MATCH(C1200,Roster!$C$6:$C$65,0))-1)+MATCH(B1200,{"AM","PM","NIGHT","WD"},0)-1-27+1,DAY(A1200))&amp;"",""))</f>
        <v/>
      </c>
      <c r="G1200" s="123">
        <f>IF(OR(A1200="",C1200="",B1200="",E1200=""),"",IFERROR(A1200&amp;"|"&amp;(27+4*(IFERROR(MATCH(C1200,Roster!$B$6:$B$65,0),MATCH(C1200,Roster!$C$6:$C$65,0))-1)+MATCH(B1200,{"AM","PM","NIGHT","WD"},0)-1),""))</f>
        <v/>
      </c>
    </row>
    <row r="1201">
      <c r="A1201" s="122" t="n"/>
      <c r="B1201" s="107" t="n"/>
      <c r="C1201" s="105" t="n"/>
      <c r="D1201" s="92">
        <f>IF(C1201="","",IFERROR(INDEX(Roster!$C$6:$C$65,IFERROR(MATCH(C1201,Roster!$B$6:$B$65,0),MATCH(C1201,Roster!$C$6:$C$65,0))),"not on the Roster"))</f>
        <v/>
      </c>
      <c r="E1201" s="106" t="n"/>
      <c r="F1201" s="104">
        <f>IF(OR(A1201="",C1201="",B1201=""),"",IFERROR(INDEX(CHOOSE(IF(YEAR(A1201)&gt;PlanYear,13,MONTH(A1201)),'Jan'!$D$27:$AH$266,'Feb'!$D$27:$AH$266,'Mar'!$D$27:$AH$266,'Apr'!$D$27:$AH$266,'May'!$D$27:$AH$266,'Jun'!$D$27:$AH$266,'Jul'!$D$27:$AH$266,'Aug'!$D$27:$AH$266,'Sep'!$D$27:$AH$266,'Oct'!$D$27:$AH$266,'Nov'!$D$27:$AH$266,'Dec'!$D$27:$AH$266,'Jan (next year)'!$D$27:$AH$266),27+4*(IFERROR(MATCH(C1201,Roster!$B$6:$B$65,0),MATCH(C1201,Roster!$C$6:$C$65,0))-1)+MATCH(B1201,{"AM","PM","NIGHT","WD"},0)-1-27+1,DAY(A1201))&amp;"",""))</f>
        <v/>
      </c>
      <c r="G1201" s="123">
        <f>IF(OR(A1201="",C1201="",B1201="",E1201=""),"",IFERROR(A1201&amp;"|"&amp;(27+4*(IFERROR(MATCH(C1201,Roster!$B$6:$B$65,0),MATCH(C1201,Roster!$C$6:$C$65,0))-1)+MATCH(B1201,{"AM","PM","NIGHT","WD"},0)-1),""))</f>
        <v/>
      </c>
    </row>
    <row r="1202">
      <c r="A1202" s="122" t="n"/>
      <c r="B1202" s="107" t="n"/>
      <c r="C1202" s="105" t="n"/>
      <c r="D1202" s="92">
        <f>IF(C1202="","",IFERROR(INDEX(Roster!$C$6:$C$65,IFERROR(MATCH(C1202,Roster!$B$6:$B$65,0),MATCH(C1202,Roster!$C$6:$C$65,0))),"not on the Roster"))</f>
        <v/>
      </c>
      <c r="E1202" s="106" t="n"/>
      <c r="F1202" s="104">
        <f>IF(OR(A1202="",C1202="",B1202=""),"",IFERROR(INDEX(CHOOSE(IF(YEAR(A1202)&gt;PlanYear,13,MONTH(A1202)),'Jan'!$D$27:$AH$266,'Feb'!$D$27:$AH$266,'Mar'!$D$27:$AH$266,'Apr'!$D$27:$AH$266,'May'!$D$27:$AH$266,'Jun'!$D$27:$AH$266,'Jul'!$D$27:$AH$266,'Aug'!$D$27:$AH$266,'Sep'!$D$27:$AH$266,'Oct'!$D$27:$AH$266,'Nov'!$D$27:$AH$266,'Dec'!$D$27:$AH$266,'Jan (next year)'!$D$27:$AH$266),27+4*(IFERROR(MATCH(C1202,Roster!$B$6:$B$65,0),MATCH(C1202,Roster!$C$6:$C$65,0))-1)+MATCH(B1202,{"AM","PM","NIGHT","WD"},0)-1-27+1,DAY(A1202))&amp;"",""))</f>
        <v/>
      </c>
      <c r="G1202" s="123">
        <f>IF(OR(A1202="",C1202="",B1202="",E1202=""),"",IFERROR(A1202&amp;"|"&amp;(27+4*(IFERROR(MATCH(C1202,Roster!$B$6:$B$65,0),MATCH(C1202,Roster!$C$6:$C$65,0))-1)+MATCH(B1202,{"AM","PM","NIGHT","WD"},0)-1),""))</f>
        <v/>
      </c>
    </row>
    <row r="1203">
      <c r="A1203" s="122" t="n"/>
      <c r="B1203" s="107" t="n"/>
      <c r="C1203" s="105" t="n"/>
      <c r="D1203" s="92">
        <f>IF(C1203="","",IFERROR(INDEX(Roster!$C$6:$C$65,IFERROR(MATCH(C1203,Roster!$B$6:$B$65,0),MATCH(C1203,Roster!$C$6:$C$65,0))),"not on the Roster"))</f>
        <v/>
      </c>
      <c r="E1203" s="106" t="n"/>
      <c r="F1203" s="104">
        <f>IF(OR(A1203="",C1203="",B1203=""),"",IFERROR(INDEX(CHOOSE(IF(YEAR(A1203)&gt;PlanYear,13,MONTH(A1203)),'Jan'!$D$27:$AH$266,'Feb'!$D$27:$AH$266,'Mar'!$D$27:$AH$266,'Apr'!$D$27:$AH$266,'May'!$D$27:$AH$266,'Jun'!$D$27:$AH$266,'Jul'!$D$27:$AH$266,'Aug'!$D$27:$AH$266,'Sep'!$D$27:$AH$266,'Oct'!$D$27:$AH$266,'Nov'!$D$27:$AH$266,'Dec'!$D$27:$AH$266,'Jan (next year)'!$D$27:$AH$266),27+4*(IFERROR(MATCH(C1203,Roster!$B$6:$B$65,0),MATCH(C1203,Roster!$C$6:$C$65,0))-1)+MATCH(B1203,{"AM","PM","NIGHT","WD"},0)-1-27+1,DAY(A1203))&amp;"",""))</f>
        <v/>
      </c>
      <c r="G1203" s="123">
        <f>IF(OR(A1203="",C1203="",B1203="",E1203=""),"",IFERROR(A1203&amp;"|"&amp;(27+4*(IFERROR(MATCH(C1203,Roster!$B$6:$B$65,0),MATCH(C1203,Roster!$C$6:$C$65,0))-1)+MATCH(B1203,{"AM","PM","NIGHT","WD"},0)-1),""))</f>
        <v/>
      </c>
    </row>
    <row r="1204">
      <c r="A1204" s="122" t="n"/>
      <c r="B1204" s="107" t="n"/>
      <c r="C1204" s="105" t="n"/>
      <c r="D1204" s="92">
        <f>IF(C1204="","",IFERROR(INDEX(Roster!$C$6:$C$65,IFERROR(MATCH(C1204,Roster!$B$6:$B$65,0),MATCH(C1204,Roster!$C$6:$C$65,0))),"not on the Roster"))</f>
        <v/>
      </c>
      <c r="E1204" s="106" t="n"/>
      <c r="F1204" s="104">
        <f>IF(OR(A1204="",C1204="",B1204=""),"",IFERROR(INDEX(CHOOSE(IF(YEAR(A1204)&gt;PlanYear,13,MONTH(A1204)),'Jan'!$D$27:$AH$266,'Feb'!$D$27:$AH$266,'Mar'!$D$27:$AH$266,'Apr'!$D$27:$AH$266,'May'!$D$27:$AH$266,'Jun'!$D$27:$AH$266,'Jul'!$D$27:$AH$266,'Aug'!$D$27:$AH$266,'Sep'!$D$27:$AH$266,'Oct'!$D$27:$AH$266,'Nov'!$D$27:$AH$266,'Dec'!$D$27:$AH$266,'Jan (next year)'!$D$27:$AH$266),27+4*(IFERROR(MATCH(C1204,Roster!$B$6:$B$65,0),MATCH(C1204,Roster!$C$6:$C$65,0))-1)+MATCH(B1204,{"AM","PM","NIGHT","WD"},0)-1-27+1,DAY(A1204))&amp;"",""))</f>
        <v/>
      </c>
      <c r="G1204" s="123">
        <f>IF(OR(A1204="",C1204="",B1204="",E1204=""),"",IFERROR(A1204&amp;"|"&amp;(27+4*(IFERROR(MATCH(C1204,Roster!$B$6:$B$65,0),MATCH(C1204,Roster!$C$6:$C$65,0))-1)+MATCH(B1204,{"AM","PM","NIGHT","WD"},0)-1),""))</f>
        <v/>
      </c>
    </row>
    <row r="1205">
      <c r="A1205" s="122" t="n"/>
      <c r="B1205" s="107" t="n"/>
      <c r="C1205" s="105" t="n"/>
      <c r="D1205" s="92">
        <f>IF(C1205="","",IFERROR(INDEX(Roster!$C$6:$C$65,IFERROR(MATCH(C1205,Roster!$B$6:$B$65,0),MATCH(C1205,Roster!$C$6:$C$65,0))),"not on the Roster"))</f>
        <v/>
      </c>
      <c r="E1205" s="106" t="n"/>
      <c r="F1205" s="104">
        <f>IF(OR(A1205="",C1205="",B1205=""),"",IFERROR(INDEX(CHOOSE(IF(YEAR(A1205)&gt;PlanYear,13,MONTH(A1205)),'Jan'!$D$27:$AH$266,'Feb'!$D$27:$AH$266,'Mar'!$D$27:$AH$266,'Apr'!$D$27:$AH$266,'May'!$D$27:$AH$266,'Jun'!$D$27:$AH$266,'Jul'!$D$27:$AH$266,'Aug'!$D$27:$AH$266,'Sep'!$D$27:$AH$266,'Oct'!$D$27:$AH$266,'Nov'!$D$27:$AH$266,'Dec'!$D$27:$AH$266,'Jan (next year)'!$D$27:$AH$266),27+4*(IFERROR(MATCH(C1205,Roster!$B$6:$B$65,0),MATCH(C1205,Roster!$C$6:$C$65,0))-1)+MATCH(B1205,{"AM","PM","NIGHT","WD"},0)-1-27+1,DAY(A1205))&amp;"",""))</f>
        <v/>
      </c>
      <c r="G1205" s="123">
        <f>IF(OR(A1205="",C1205="",B1205="",E1205=""),"",IFERROR(A1205&amp;"|"&amp;(27+4*(IFERROR(MATCH(C1205,Roster!$B$6:$B$65,0),MATCH(C1205,Roster!$C$6:$C$65,0))-1)+MATCH(B1205,{"AM","PM","NIGHT","WD"},0)-1),""))</f>
        <v/>
      </c>
    </row>
    <row r="1206">
      <c r="A1206" s="122" t="n"/>
      <c r="B1206" s="107" t="n"/>
      <c r="C1206" s="105" t="n"/>
      <c r="D1206" s="92">
        <f>IF(C1206="","",IFERROR(INDEX(Roster!$C$6:$C$65,IFERROR(MATCH(C1206,Roster!$B$6:$B$65,0),MATCH(C1206,Roster!$C$6:$C$65,0))),"not on the Roster"))</f>
        <v/>
      </c>
      <c r="E1206" s="106" t="n"/>
      <c r="F1206" s="104">
        <f>IF(OR(A1206="",C1206="",B1206=""),"",IFERROR(INDEX(CHOOSE(IF(YEAR(A1206)&gt;PlanYear,13,MONTH(A1206)),'Jan'!$D$27:$AH$266,'Feb'!$D$27:$AH$266,'Mar'!$D$27:$AH$266,'Apr'!$D$27:$AH$266,'May'!$D$27:$AH$266,'Jun'!$D$27:$AH$266,'Jul'!$D$27:$AH$266,'Aug'!$D$27:$AH$266,'Sep'!$D$27:$AH$266,'Oct'!$D$27:$AH$266,'Nov'!$D$27:$AH$266,'Dec'!$D$27:$AH$266,'Jan (next year)'!$D$27:$AH$266),27+4*(IFERROR(MATCH(C1206,Roster!$B$6:$B$65,0),MATCH(C1206,Roster!$C$6:$C$65,0))-1)+MATCH(B1206,{"AM","PM","NIGHT","WD"},0)-1-27+1,DAY(A1206))&amp;"",""))</f>
        <v/>
      </c>
      <c r="G1206" s="123">
        <f>IF(OR(A1206="",C1206="",B1206="",E1206=""),"",IFERROR(A1206&amp;"|"&amp;(27+4*(IFERROR(MATCH(C1206,Roster!$B$6:$B$65,0),MATCH(C1206,Roster!$C$6:$C$65,0))-1)+MATCH(B1206,{"AM","PM","NIGHT","WD"},0)-1),""))</f>
        <v/>
      </c>
    </row>
    <row r="1207">
      <c r="A1207" s="122" t="n"/>
      <c r="B1207" s="107" t="n"/>
      <c r="C1207" s="105" t="n"/>
      <c r="D1207" s="92">
        <f>IF(C1207="","",IFERROR(INDEX(Roster!$C$6:$C$65,IFERROR(MATCH(C1207,Roster!$B$6:$B$65,0),MATCH(C1207,Roster!$C$6:$C$65,0))),"not on the Roster"))</f>
        <v/>
      </c>
      <c r="E1207" s="106" t="n"/>
      <c r="F1207" s="104">
        <f>IF(OR(A1207="",C1207="",B1207=""),"",IFERROR(INDEX(CHOOSE(IF(YEAR(A1207)&gt;PlanYear,13,MONTH(A1207)),'Jan'!$D$27:$AH$266,'Feb'!$D$27:$AH$266,'Mar'!$D$27:$AH$266,'Apr'!$D$27:$AH$266,'May'!$D$27:$AH$266,'Jun'!$D$27:$AH$266,'Jul'!$D$27:$AH$266,'Aug'!$D$27:$AH$266,'Sep'!$D$27:$AH$266,'Oct'!$D$27:$AH$266,'Nov'!$D$27:$AH$266,'Dec'!$D$27:$AH$266,'Jan (next year)'!$D$27:$AH$266),27+4*(IFERROR(MATCH(C1207,Roster!$B$6:$B$65,0),MATCH(C1207,Roster!$C$6:$C$65,0))-1)+MATCH(B1207,{"AM","PM","NIGHT","WD"},0)-1-27+1,DAY(A1207))&amp;"",""))</f>
        <v/>
      </c>
      <c r="G1207" s="123">
        <f>IF(OR(A1207="",C1207="",B1207="",E1207=""),"",IFERROR(A1207&amp;"|"&amp;(27+4*(IFERROR(MATCH(C1207,Roster!$B$6:$B$65,0),MATCH(C1207,Roster!$C$6:$C$65,0))-1)+MATCH(B1207,{"AM","PM","NIGHT","WD"},0)-1),""))</f>
        <v/>
      </c>
    </row>
    <row r="1208">
      <c r="A1208" s="122" t="n"/>
      <c r="B1208" s="107" t="n"/>
      <c r="C1208" s="105" t="n"/>
      <c r="D1208" s="92">
        <f>IF(C1208="","",IFERROR(INDEX(Roster!$C$6:$C$65,IFERROR(MATCH(C1208,Roster!$B$6:$B$65,0),MATCH(C1208,Roster!$C$6:$C$65,0))),"not on the Roster"))</f>
        <v/>
      </c>
      <c r="E1208" s="106" t="n"/>
      <c r="F1208" s="104">
        <f>IF(OR(A1208="",C1208="",B1208=""),"",IFERROR(INDEX(CHOOSE(IF(YEAR(A1208)&gt;PlanYear,13,MONTH(A1208)),'Jan'!$D$27:$AH$266,'Feb'!$D$27:$AH$266,'Mar'!$D$27:$AH$266,'Apr'!$D$27:$AH$266,'May'!$D$27:$AH$266,'Jun'!$D$27:$AH$266,'Jul'!$D$27:$AH$266,'Aug'!$D$27:$AH$266,'Sep'!$D$27:$AH$266,'Oct'!$D$27:$AH$266,'Nov'!$D$27:$AH$266,'Dec'!$D$27:$AH$266,'Jan (next year)'!$D$27:$AH$266),27+4*(IFERROR(MATCH(C1208,Roster!$B$6:$B$65,0),MATCH(C1208,Roster!$C$6:$C$65,0))-1)+MATCH(B1208,{"AM","PM","NIGHT","WD"},0)-1-27+1,DAY(A1208))&amp;"",""))</f>
        <v/>
      </c>
      <c r="G1208" s="123">
        <f>IF(OR(A1208="",C1208="",B1208="",E1208=""),"",IFERROR(A1208&amp;"|"&amp;(27+4*(IFERROR(MATCH(C1208,Roster!$B$6:$B$65,0),MATCH(C1208,Roster!$C$6:$C$65,0))-1)+MATCH(B1208,{"AM","PM","NIGHT","WD"},0)-1),""))</f>
        <v/>
      </c>
    </row>
    <row r="1209">
      <c r="A1209" s="122" t="n"/>
      <c r="B1209" s="107" t="n"/>
      <c r="C1209" s="105" t="n"/>
      <c r="D1209" s="92">
        <f>IF(C1209="","",IFERROR(INDEX(Roster!$C$6:$C$65,IFERROR(MATCH(C1209,Roster!$B$6:$B$65,0),MATCH(C1209,Roster!$C$6:$C$65,0))),"not on the Roster"))</f>
        <v/>
      </c>
      <c r="E1209" s="106" t="n"/>
      <c r="F1209" s="104">
        <f>IF(OR(A1209="",C1209="",B1209=""),"",IFERROR(INDEX(CHOOSE(IF(YEAR(A1209)&gt;PlanYear,13,MONTH(A1209)),'Jan'!$D$27:$AH$266,'Feb'!$D$27:$AH$266,'Mar'!$D$27:$AH$266,'Apr'!$D$27:$AH$266,'May'!$D$27:$AH$266,'Jun'!$D$27:$AH$266,'Jul'!$D$27:$AH$266,'Aug'!$D$27:$AH$266,'Sep'!$D$27:$AH$266,'Oct'!$D$27:$AH$266,'Nov'!$D$27:$AH$266,'Dec'!$D$27:$AH$266,'Jan (next year)'!$D$27:$AH$266),27+4*(IFERROR(MATCH(C1209,Roster!$B$6:$B$65,0),MATCH(C1209,Roster!$C$6:$C$65,0))-1)+MATCH(B1209,{"AM","PM","NIGHT","WD"},0)-1-27+1,DAY(A1209))&amp;"",""))</f>
        <v/>
      </c>
      <c r="G1209" s="123">
        <f>IF(OR(A1209="",C1209="",B1209="",E1209=""),"",IFERROR(A1209&amp;"|"&amp;(27+4*(IFERROR(MATCH(C1209,Roster!$B$6:$B$65,0),MATCH(C1209,Roster!$C$6:$C$65,0))-1)+MATCH(B1209,{"AM","PM","NIGHT","WD"},0)-1),""))</f>
        <v/>
      </c>
    </row>
    <row r="1210">
      <c r="A1210" s="122" t="n"/>
      <c r="B1210" s="107" t="n"/>
      <c r="C1210" s="105" t="n"/>
      <c r="D1210" s="92">
        <f>IF(C1210="","",IFERROR(INDEX(Roster!$C$6:$C$65,IFERROR(MATCH(C1210,Roster!$B$6:$B$65,0),MATCH(C1210,Roster!$C$6:$C$65,0))),"not on the Roster"))</f>
        <v/>
      </c>
      <c r="E1210" s="106" t="n"/>
      <c r="F1210" s="104">
        <f>IF(OR(A1210="",C1210="",B1210=""),"",IFERROR(INDEX(CHOOSE(IF(YEAR(A1210)&gt;PlanYear,13,MONTH(A1210)),'Jan'!$D$27:$AH$266,'Feb'!$D$27:$AH$266,'Mar'!$D$27:$AH$266,'Apr'!$D$27:$AH$266,'May'!$D$27:$AH$266,'Jun'!$D$27:$AH$266,'Jul'!$D$27:$AH$266,'Aug'!$D$27:$AH$266,'Sep'!$D$27:$AH$266,'Oct'!$D$27:$AH$266,'Nov'!$D$27:$AH$266,'Dec'!$D$27:$AH$266,'Jan (next year)'!$D$27:$AH$266),27+4*(IFERROR(MATCH(C1210,Roster!$B$6:$B$65,0),MATCH(C1210,Roster!$C$6:$C$65,0))-1)+MATCH(B1210,{"AM","PM","NIGHT","WD"},0)-1-27+1,DAY(A1210))&amp;"",""))</f>
        <v/>
      </c>
      <c r="G1210" s="123">
        <f>IF(OR(A1210="",C1210="",B1210="",E1210=""),"",IFERROR(A1210&amp;"|"&amp;(27+4*(IFERROR(MATCH(C1210,Roster!$B$6:$B$65,0),MATCH(C1210,Roster!$C$6:$C$65,0))-1)+MATCH(B1210,{"AM","PM","NIGHT","WD"},0)-1),""))</f>
        <v/>
      </c>
    </row>
    <row r="1211">
      <c r="A1211" s="122" t="n"/>
      <c r="B1211" s="107" t="n"/>
      <c r="C1211" s="105" t="n"/>
      <c r="D1211" s="92">
        <f>IF(C1211="","",IFERROR(INDEX(Roster!$C$6:$C$65,IFERROR(MATCH(C1211,Roster!$B$6:$B$65,0),MATCH(C1211,Roster!$C$6:$C$65,0))),"not on the Roster"))</f>
        <v/>
      </c>
      <c r="E1211" s="106" t="n"/>
      <c r="F1211" s="104">
        <f>IF(OR(A1211="",C1211="",B1211=""),"",IFERROR(INDEX(CHOOSE(IF(YEAR(A1211)&gt;PlanYear,13,MONTH(A1211)),'Jan'!$D$27:$AH$266,'Feb'!$D$27:$AH$266,'Mar'!$D$27:$AH$266,'Apr'!$D$27:$AH$266,'May'!$D$27:$AH$266,'Jun'!$D$27:$AH$266,'Jul'!$D$27:$AH$266,'Aug'!$D$27:$AH$266,'Sep'!$D$27:$AH$266,'Oct'!$D$27:$AH$266,'Nov'!$D$27:$AH$266,'Dec'!$D$27:$AH$266,'Jan (next year)'!$D$27:$AH$266),27+4*(IFERROR(MATCH(C1211,Roster!$B$6:$B$65,0),MATCH(C1211,Roster!$C$6:$C$65,0))-1)+MATCH(B1211,{"AM","PM","NIGHT","WD"},0)-1-27+1,DAY(A1211))&amp;"",""))</f>
        <v/>
      </c>
      <c r="G1211" s="123">
        <f>IF(OR(A1211="",C1211="",B1211="",E1211=""),"",IFERROR(A1211&amp;"|"&amp;(27+4*(IFERROR(MATCH(C1211,Roster!$B$6:$B$65,0),MATCH(C1211,Roster!$C$6:$C$65,0))-1)+MATCH(B1211,{"AM","PM","NIGHT","WD"},0)-1),""))</f>
        <v/>
      </c>
    </row>
    <row r="1212">
      <c r="A1212" s="122" t="n"/>
      <c r="B1212" s="107" t="n"/>
      <c r="C1212" s="105" t="n"/>
      <c r="D1212" s="92">
        <f>IF(C1212="","",IFERROR(INDEX(Roster!$C$6:$C$65,IFERROR(MATCH(C1212,Roster!$B$6:$B$65,0),MATCH(C1212,Roster!$C$6:$C$65,0))),"not on the Roster"))</f>
        <v/>
      </c>
      <c r="E1212" s="106" t="n"/>
      <c r="F1212" s="104">
        <f>IF(OR(A1212="",C1212="",B1212=""),"",IFERROR(INDEX(CHOOSE(IF(YEAR(A1212)&gt;PlanYear,13,MONTH(A1212)),'Jan'!$D$27:$AH$266,'Feb'!$D$27:$AH$266,'Mar'!$D$27:$AH$266,'Apr'!$D$27:$AH$266,'May'!$D$27:$AH$266,'Jun'!$D$27:$AH$266,'Jul'!$D$27:$AH$266,'Aug'!$D$27:$AH$266,'Sep'!$D$27:$AH$266,'Oct'!$D$27:$AH$266,'Nov'!$D$27:$AH$266,'Dec'!$D$27:$AH$266,'Jan (next year)'!$D$27:$AH$266),27+4*(IFERROR(MATCH(C1212,Roster!$B$6:$B$65,0),MATCH(C1212,Roster!$C$6:$C$65,0))-1)+MATCH(B1212,{"AM","PM","NIGHT","WD"},0)-1-27+1,DAY(A1212))&amp;"",""))</f>
        <v/>
      </c>
      <c r="G1212" s="123">
        <f>IF(OR(A1212="",C1212="",B1212="",E1212=""),"",IFERROR(A1212&amp;"|"&amp;(27+4*(IFERROR(MATCH(C1212,Roster!$B$6:$B$65,0),MATCH(C1212,Roster!$C$6:$C$65,0))-1)+MATCH(B1212,{"AM","PM","NIGHT","WD"},0)-1),""))</f>
        <v/>
      </c>
    </row>
    <row r="1213">
      <c r="A1213" s="122" t="n"/>
      <c r="B1213" s="107" t="n"/>
      <c r="C1213" s="105" t="n"/>
      <c r="D1213" s="92">
        <f>IF(C1213="","",IFERROR(INDEX(Roster!$C$6:$C$65,IFERROR(MATCH(C1213,Roster!$B$6:$B$65,0),MATCH(C1213,Roster!$C$6:$C$65,0))),"not on the Roster"))</f>
        <v/>
      </c>
      <c r="E1213" s="106" t="n"/>
      <c r="F1213" s="104">
        <f>IF(OR(A1213="",C1213="",B1213=""),"",IFERROR(INDEX(CHOOSE(IF(YEAR(A1213)&gt;PlanYear,13,MONTH(A1213)),'Jan'!$D$27:$AH$266,'Feb'!$D$27:$AH$266,'Mar'!$D$27:$AH$266,'Apr'!$D$27:$AH$266,'May'!$D$27:$AH$266,'Jun'!$D$27:$AH$266,'Jul'!$D$27:$AH$266,'Aug'!$D$27:$AH$266,'Sep'!$D$27:$AH$266,'Oct'!$D$27:$AH$266,'Nov'!$D$27:$AH$266,'Dec'!$D$27:$AH$266,'Jan (next year)'!$D$27:$AH$266),27+4*(IFERROR(MATCH(C1213,Roster!$B$6:$B$65,0),MATCH(C1213,Roster!$C$6:$C$65,0))-1)+MATCH(B1213,{"AM","PM","NIGHT","WD"},0)-1-27+1,DAY(A1213))&amp;"",""))</f>
        <v/>
      </c>
      <c r="G1213" s="123">
        <f>IF(OR(A1213="",C1213="",B1213="",E1213=""),"",IFERROR(A1213&amp;"|"&amp;(27+4*(IFERROR(MATCH(C1213,Roster!$B$6:$B$65,0),MATCH(C1213,Roster!$C$6:$C$65,0))-1)+MATCH(B1213,{"AM","PM","NIGHT","WD"},0)-1),""))</f>
        <v/>
      </c>
    </row>
    <row r="1214">
      <c r="A1214" s="122" t="n"/>
      <c r="B1214" s="107" t="n"/>
      <c r="C1214" s="105" t="n"/>
      <c r="D1214" s="92">
        <f>IF(C1214="","",IFERROR(INDEX(Roster!$C$6:$C$65,IFERROR(MATCH(C1214,Roster!$B$6:$B$65,0),MATCH(C1214,Roster!$C$6:$C$65,0))),"not on the Roster"))</f>
        <v/>
      </c>
      <c r="E1214" s="106" t="n"/>
      <c r="F1214" s="104">
        <f>IF(OR(A1214="",C1214="",B1214=""),"",IFERROR(INDEX(CHOOSE(IF(YEAR(A1214)&gt;PlanYear,13,MONTH(A1214)),'Jan'!$D$27:$AH$266,'Feb'!$D$27:$AH$266,'Mar'!$D$27:$AH$266,'Apr'!$D$27:$AH$266,'May'!$D$27:$AH$266,'Jun'!$D$27:$AH$266,'Jul'!$D$27:$AH$266,'Aug'!$D$27:$AH$266,'Sep'!$D$27:$AH$266,'Oct'!$D$27:$AH$266,'Nov'!$D$27:$AH$266,'Dec'!$D$27:$AH$266,'Jan (next year)'!$D$27:$AH$266),27+4*(IFERROR(MATCH(C1214,Roster!$B$6:$B$65,0),MATCH(C1214,Roster!$C$6:$C$65,0))-1)+MATCH(B1214,{"AM","PM","NIGHT","WD"},0)-1-27+1,DAY(A1214))&amp;"",""))</f>
        <v/>
      </c>
      <c r="G1214" s="123">
        <f>IF(OR(A1214="",C1214="",B1214="",E1214=""),"",IFERROR(A1214&amp;"|"&amp;(27+4*(IFERROR(MATCH(C1214,Roster!$B$6:$B$65,0),MATCH(C1214,Roster!$C$6:$C$65,0))-1)+MATCH(B1214,{"AM","PM","NIGHT","WD"},0)-1),""))</f>
        <v/>
      </c>
    </row>
    <row r="1215">
      <c r="A1215" s="122" t="n"/>
      <c r="B1215" s="107" t="n"/>
      <c r="C1215" s="105" t="n"/>
      <c r="D1215" s="92">
        <f>IF(C1215="","",IFERROR(INDEX(Roster!$C$6:$C$65,IFERROR(MATCH(C1215,Roster!$B$6:$B$65,0),MATCH(C1215,Roster!$C$6:$C$65,0))),"not on the Roster"))</f>
        <v/>
      </c>
      <c r="E1215" s="106" t="n"/>
      <c r="F1215" s="104">
        <f>IF(OR(A1215="",C1215="",B1215=""),"",IFERROR(INDEX(CHOOSE(IF(YEAR(A1215)&gt;PlanYear,13,MONTH(A1215)),'Jan'!$D$27:$AH$266,'Feb'!$D$27:$AH$266,'Mar'!$D$27:$AH$266,'Apr'!$D$27:$AH$266,'May'!$D$27:$AH$266,'Jun'!$D$27:$AH$266,'Jul'!$D$27:$AH$266,'Aug'!$D$27:$AH$266,'Sep'!$D$27:$AH$266,'Oct'!$D$27:$AH$266,'Nov'!$D$27:$AH$266,'Dec'!$D$27:$AH$266,'Jan (next year)'!$D$27:$AH$266),27+4*(IFERROR(MATCH(C1215,Roster!$B$6:$B$65,0),MATCH(C1215,Roster!$C$6:$C$65,0))-1)+MATCH(B1215,{"AM","PM","NIGHT","WD"},0)-1-27+1,DAY(A1215))&amp;"",""))</f>
        <v/>
      </c>
      <c r="G1215" s="123">
        <f>IF(OR(A1215="",C1215="",B1215="",E1215=""),"",IFERROR(A1215&amp;"|"&amp;(27+4*(IFERROR(MATCH(C1215,Roster!$B$6:$B$65,0),MATCH(C1215,Roster!$C$6:$C$65,0))-1)+MATCH(B1215,{"AM","PM","NIGHT","WD"},0)-1),""))</f>
        <v/>
      </c>
    </row>
    <row r="1216">
      <c r="A1216" s="122" t="n"/>
      <c r="B1216" s="107" t="n"/>
      <c r="C1216" s="105" t="n"/>
      <c r="D1216" s="92">
        <f>IF(C1216="","",IFERROR(INDEX(Roster!$C$6:$C$65,IFERROR(MATCH(C1216,Roster!$B$6:$B$65,0),MATCH(C1216,Roster!$C$6:$C$65,0))),"not on the Roster"))</f>
        <v/>
      </c>
      <c r="E1216" s="106" t="n"/>
      <c r="F1216" s="104">
        <f>IF(OR(A1216="",C1216="",B1216=""),"",IFERROR(INDEX(CHOOSE(IF(YEAR(A1216)&gt;PlanYear,13,MONTH(A1216)),'Jan'!$D$27:$AH$266,'Feb'!$D$27:$AH$266,'Mar'!$D$27:$AH$266,'Apr'!$D$27:$AH$266,'May'!$D$27:$AH$266,'Jun'!$D$27:$AH$266,'Jul'!$D$27:$AH$266,'Aug'!$D$27:$AH$266,'Sep'!$D$27:$AH$266,'Oct'!$D$27:$AH$266,'Nov'!$D$27:$AH$266,'Dec'!$D$27:$AH$266,'Jan (next year)'!$D$27:$AH$266),27+4*(IFERROR(MATCH(C1216,Roster!$B$6:$B$65,0),MATCH(C1216,Roster!$C$6:$C$65,0))-1)+MATCH(B1216,{"AM","PM","NIGHT","WD"},0)-1-27+1,DAY(A1216))&amp;"",""))</f>
        <v/>
      </c>
      <c r="G1216" s="123">
        <f>IF(OR(A1216="",C1216="",B1216="",E1216=""),"",IFERROR(A1216&amp;"|"&amp;(27+4*(IFERROR(MATCH(C1216,Roster!$B$6:$B$65,0),MATCH(C1216,Roster!$C$6:$C$65,0))-1)+MATCH(B1216,{"AM","PM","NIGHT","WD"},0)-1),""))</f>
        <v/>
      </c>
    </row>
    <row r="1217">
      <c r="A1217" s="122" t="n"/>
      <c r="B1217" s="107" t="n"/>
      <c r="C1217" s="105" t="n"/>
      <c r="D1217" s="92">
        <f>IF(C1217="","",IFERROR(INDEX(Roster!$C$6:$C$65,IFERROR(MATCH(C1217,Roster!$B$6:$B$65,0),MATCH(C1217,Roster!$C$6:$C$65,0))),"not on the Roster"))</f>
        <v/>
      </c>
      <c r="E1217" s="106" t="n"/>
      <c r="F1217" s="104">
        <f>IF(OR(A1217="",C1217="",B1217=""),"",IFERROR(INDEX(CHOOSE(IF(YEAR(A1217)&gt;PlanYear,13,MONTH(A1217)),'Jan'!$D$27:$AH$266,'Feb'!$D$27:$AH$266,'Mar'!$D$27:$AH$266,'Apr'!$D$27:$AH$266,'May'!$D$27:$AH$266,'Jun'!$D$27:$AH$266,'Jul'!$D$27:$AH$266,'Aug'!$D$27:$AH$266,'Sep'!$D$27:$AH$266,'Oct'!$D$27:$AH$266,'Nov'!$D$27:$AH$266,'Dec'!$D$27:$AH$266,'Jan (next year)'!$D$27:$AH$266),27+4*(IFERROR(MATCH(C1217,Roster!$B$6:$B$65,0),MATCH(C1217,Roster!$C$6:$C$65,0))-1)+MATCH(B1217,{"AM","PM","NIGHT","WD"},0)-1-27+1,DAY(A1217))&amp;"",""))</f>
        <v/>
      </c>
      <c r="G1217" s="123">
        <f>IF(OR(A1217="",C1217="",B1217="",E1217=""),"",IFERROR(A1217&amp;"|"&amp;(27+4*(IFERROR(MATCH(C1217,Roster!$B$6:$B$65,0),MATCH(C1217,Roster!$C$6:$C$65,0))-1)+MATCH(B1217,{"AM","PM","NIGHT","WD"},0)-1),""))</f>
        <v/>
      </c>
    </row>
    <row r="1218">
      <c r="A1218" s="122" t="n"/>
      <c r="B1218" s="107" t="n"/>
      <c r="C1218" s="105" t="n"/>
      <c r="D1218" s="92">
        <f>IF(C1218="","",IFERROR(INDEX(Roster!$C$6:$C$65,IFERROR(MATCH(C1218,Roster!$B$6:$B$65,0),MATCH(C1218,Roster!$C$6:$C$65,0))),"not on the Roster"))</f>
        <v/>
      </c>
      <c r="E1218" s="106" t="n"/>
      <c r="F1218" s="104">
        <f>IF(OR(A1218="",C1218="",B1218=""),"",IFERROR(INDEX(CHOOSE(IF(YEAR(A1218)&gt;PlanYear,13,MONTH(A1218)),'Jan'!$D$27:$AH$266,'Feb'!$D$27:$AH$266,'Mar'!$D$27:$AH$266,'Apr'!$D$27:$AH$266,'May'!$D$27:$AH$266,'Jun'!$D$27:$AH$266,'Jul'!$D$27:$AH$266,'Aug'!$D$27:$AH$266,'Sep'!$D$27:$AH$266,'Oct'!$D$27:$AH$266,'Nov'!$D$27:$AH$266,'Dec'!$D$27:$AH$266,'Jan (next year)'!$D$27:$AH$266),27+4*(IFERROR(MATCH(C1218,Roster!$B$6:$B$65,0),MATCH(C1218,Roster!$C$6:$C$65,0))-1)+MATCH(B1218,{"AM","PM","NIGHT","WD"},0)-1-27+1,DAY(A1218))&amp;"",""))</f>
        <v/>
      </c>
      <c r="G1218" s="123">
        <f>IF(OR(A1218="",C1218="",B1218="",E1218=""),"",IFERROR(A1218&amp;"|"&amp;(27+4*(IFERROR(MATCH(C1218,Roster!$B$6:$B$65,0),MATCH(C1218,Roster!$C$6:$C$65,0))-1)+MATCH(B1218,{"AM","PM","NIGHT","WD"},0)-1),""))</f>
        <v/>
      </c>
    </row>
    <row r="1219">
      <c r="A1219" s="122" t="n"/>
      <c r="B1219" s="107" t="n"/>
      <c r="C1219" s="105" t="n"/>
      <c r="D1219" s="92">
        <f>IF(C1219="","",IFERROR(INDEX(Roster!$C$6:$C$65,IFERROR(MATCH(C1219,Roster!$B$6:$B$65,0),MATCH(C1219,Roster!$C$6:$C$65,0))),"not on the Roster"))</f>
        <v/>
      </c>
      <c r="E1219" s="106" t="n"/>
      <c r="F1219" s="104">
        <f>IF(OR(A1219="",C1219="",B1219=""),"",IFERROR(INDEX(CHOOSE(IF(YEAR(A1219)&gt;PlanYear,13,MONTH(A1219)),'Jan'!$D$27:$AH$266,'Feb'!$D$27:$AH$266,'Mar'!$D$27:$AH$266,'Apr'!$D$27:$AH$266,'May'!$D$27:$AH$266,'Jun'!$D$27:$AH$266,'Jul'!$D$27:$AH$266,'Aug'!$D$27:$AH$266,'Sep'!$D$27:$AH$266,'Oct'!$D$27:$AH$266,'Nov'!$D$27:$AH$266,'Dec'!$D$27:$AH$266,'Jan (next year)'!$D$27:$AH$266),27+4*(IFERROR(MATCH(C1219,Roster!$B$6:$B$65,0),MATCH(C1219,Roster!$C$6:$C$65,0))-1)+MATCH(B1219,{"AM","PM","NIGHT","WD"},0)-1-27+1,DAY(A1219))&amp;"",""))</f>
        <v/>
      </c>
      <c r="G1219" s="123">
        <f>IF(OR(A1219="",C1219="",B1219="",E1219=""),"",IFERROR(A1219&amp;"|"&amp;(27+4*(IFERROR(MATCH(C1219,Roster!$B$6:$B$65,0),MATCH(C1219,Roster!$C$6:$C$65,0))-1)+MATCH(B1219,{"AM","PM","NIGHT","WD"},0)-1),""))</f>
        <v/>
      </c>
    </row>
    <row r="1220">
      <c r="A1220" s="122" t="n"/>
      <c r="B1220" s="107" t="n"/>
      <c r="C1220" s="105" t="n"/>
      <c r="D1220" s="92">
        <f>IF(C1220="","",IFERROR(INDEX(Roster!$C$6:$C$65,IFERROR(MATCH(C1220,Roster!$B$6:$B$65,0),MATCH(C1220,Roster!$C$6:$C$65,0))),"not on the Roster"))</f>
        <v/>
      </c>
      <c r="E1220" s="106" t="n"/>
      <c r="F1220" s="104">
        <f>IF(OR(A1220="",C1220="",B1220=""),"",IFERROR(INDEX(CHOOSE(IF(YEAR(A1220)&gt;PlanYear,13,MONTH(A1220)),'Jan'!$D$27:$AH$266,'Feb'!$D$27:$AH$266,'Mar'!$D$27:$AH$266,'Apr'!$D$27:$AH$266,'May'!$D$27:$AH$266,'Jun'!$D$27:$AH$266,'Jul'!$D$27:$AH$266,'Aug'!$D$27:$AH$266,'Sep'!$D$27:$AH$266,'Oct'!$D$27:$AH$266,'Nov'!$D$27:$AH$266,'Dec'!$D$27:$AH$266,'Jan (next year)'!$D$27:$AH$266),27+4*(IFERROR(MATCH(C1220,Roster!$B$6:$B$65,0),MATCH(C1220,Roster!$C$6:$C$65,0))-1)+MATCH(B1220,{"AM","PM","NIGHT","WD"},0)-1-27+1,DAY(A1220))&amp;"",""))</f>
        <v/>
      </c>
      <c r="G1220" s="123">
        <f>IF(OR(A1220="",C1220="",B1220="",E1220=""),"",IFERROR(A1220&amp;"|"&amp;(27+4*(IFERROR(MATCH(C1220,Roster!$B$6:$B$65,0),MATCH(C1220,Roster!$C$6:$C$65,0))-1)+MATCH(B1220,{"AM","PM","NIGHT","WD"},0)-1),""))</f>
        <v/>
      </c>
    </row>
    <row r="1221">
      <c r="A1221" s="122" t="n"/>
      <c r="B1221" s="107" t="n"/>
      <c r="C1221" s="105" t="n"/>
      <c r="D1221" s="92">
        <f>IF(C1221="","",IFERROR(INDEX(Roster!$C$6:$C$65,IFERROR(MATCH(C1221,Roster!$B$6:$B$65,0),MATCH(C1221,Roster!$C$6:$C$65,0))),"not on the Roster"))</f>
        <v/>
      </c>
      <c r="E1221" s="106" t="n"/>
      <c r="F1221" s="104">
        <f>IF(OR(A1221="",C1221="",B1221=""),"",IFERROR(INDEX(CHOOSE(IF(YEAR(A1221)&gt;PlanYear,13,MONTH(A1221)),'Jan'!$D$27:$AH$266,'Feb'!$D$27:$AH$266,'Mar'!$D$27:$AH$266,'Apr'!$D$27:$AH$266,'May'!$D$27:$AH$266,'Jun'!$D$27:$AH$266,'Jul'!$D$27:$AH$266,'Aug'!$D$27:$AH$266,'Sep'!$D$27:$AH$266,'Oct'!$D$27:$AH$266,'Nov'!$D$27:$AH$266,'Dec'!$D$27:$AH$266,'Jan (next year)'!$D$27:$AH$266),27+4*(IFERROR(MATCH(C1221,Roster!$B$6:$B$65,0),MATCH(C1221,Roster!$C$6:$C$65,0))-1)+MATCH(B1221,{"AM","PM","NIGHT","WD"},0)-1-27+1,DAY(A1221))&amp;"",""))</f>
        <v/>
      </c>
      <c r="G1221" s="123">
        <f>IF(OR(A1221="",C1221="",B1221="",E1221=""),"",IFERROR(A1221&amp;"|"&amp;(27+4*(IFERROR(MATCH(C1221,Roster!$B$6:$B$65,0),MATCH(C1221,Roster!$C$6:$C$65,0))-1)+MATCH(B1221,{"AM","PM","NIGHT","WD"},0)-1),""))</f>
        <v/>
      </c>
    </row>
    <row r="1222">
      <c r="A1222" s="122" t="n"/>
      <c r="B1222" s="107" t="n"/>
      <c r="C1222" s="105" t="n"/>
      <c r="D1222" s="92">
        <f>IF(C1222="","",IFERROR(INDEX(Roster!$C$6:$C$65,IFERROR(MATCH(C1222,Roster!$B$6:$B$65,0),MATCH(C1222,Roster!$C$6:$C$65,0))),"not on the Roster"))</f>
        <v/>
      </c>
      <c r="E1222" s="106" t="n"/>
      <c r="F1222" s="104">
        <f>IF(OR(A1222="",C1222="",B1222=""),"",IFERROR(INDEX(CHOOSE(IF(YEAR(A1222)&gt;PlanYear,13,MONTH(A1222)),'Jan'!$D$27:$AH$266,'Feb'!$D$27:$AH$266,'Mar'!$D$27:$AH$266,'Apr'!$D$27:$AH$266,'May'!$D$27:$AH$266,'Jun'!$D$27:$AH$266,'Jul'!$D$27:$AH$266,'Aug'!$D$27:$AH$266,'Sep'!$D$27:$AH$266,'Oct'!$D$27:$AH$266,'Nov'!$D$27:$AH$266,'Dec'!$D$27:$AH$266,'Jan (next year)'!$D$27:$AH$266),27+4*(IFERROR(MATCH(C1222,Roster!$B$6:$B$65,0),MATCH(C1222,Roster!$C$6:$C$65,0))-1)+MATCH(B1222,{"AM","PM","NIGHT","WD"},0)-1-27+1,DAY(A1222))&amp;"",""))</f>
        <v/>
      </c>
      <c r="G1222" s="123">
        <f>IF(OR(A1222="",C1222="",B1222="",E1222=""),"",IFERROR(A1222&amp;"|"&amp;(27+4*(IFERROR(MATCH(C1222,Roster!$B$6:$B$65,0),MATCH(C1222,Roster!$C$6:$C$65,0))-1)+MATCH(B1222,{"AM","PM","NIGHT","WD"},0)-1),""))</f>
        <v/>
      </c>
    </row>
    <row r="1223">
      <c r="A1223" s="122" t="n"/>
      <c r="B1223" s="107" t="n"/>
      <c r="C1223" s="105" t="n"/>
      <c r="D1223" s="92">
        <f>IF(C1223="","",IFERROR(INDEX(Roster!$C$6:$C$65,IFERROR(MATCH(C1223,Roster!$B$6:$B$65,0),MATCH(C1223,Roster!$C$6:$C$65,0))),"not on the Roster"))</f>
        <v/>
      </c>
      <c r="E1223" s="106" t="n"/>
      <c r="F1223" s="104">
        <f>IF(OR(A1223="",C1223="",B1223=""),"",IFERROR(INDEX(CHOOSE(IF(YEAR(A1223)&gt;PlanYear,13,MONTH(A1223)),'Jan'!$D$27:$AH$266,'Feb'!$D$27:$AH$266,'Mar'!$D$27:$AH$266,'Apr'!$D$27:$AH$266,'May'!$D$27:$AH$266,'Jun'!$D$27:$AH$266,'Jul'!$D$27:$AH$266,'Aug'!$D$27:$AH$266,'Sep'!$D$27:$AH$266,'Oct'!$D$27:$AH$266,'Nov'!$D$27:$AH$266,'Dec'!$D$27:$AH$266,'Jan (next year)'!$D$27:$AH$266),27+4*(IFERROR(MATCH(C1223,Roster!$B$6:$B$65,0),MATCH(C1223,Roster!$C$6:$C$65,0))-1)+MATCH(B1223,{"AM","PM","NIGHT","WD"},0)-1-27+1,DAY(A1223))&amp;"",""))</f>
        <v/>
      </c>
      <c r="G1223" s="123">
        <f>IF(OR(A1223="",C1223="",B1223="",E1223=""),"",IFERROR(A1223&amp;"|"&amp;(27+4*(IFERROR(MATCH(C1223,Roster!$B$6:$B$65,0),MATCH(C1223,Roster!$C$6:$C$65,0))-1)+MATCH(B1223,{"AM","PM","NIGHT","WD"},0)-1),""))</f>
        <v/>
      </c>
    </row>
    <row r="1224">
      <c r="A1224" s="122" t="n"/>
      <c r="B1224" s="107" t="n"/>
      <c r="C1224" s="105" t="n"/>
      <c r="D1224" s="92">
        <f>IF(C1224="","",IFERROR(INDEX(Roster!$C$6:$C$65,IFERROR(MATCH(C1224,Roster!$B$6:$B$65,0),MATCH(C1224,Roster!$C$6:$C$65,0))),"not on the Roster"))</f>
        <v/>
      </c>
      <c r="E1224" s="106" t="n"/>
      <c r="F1224" s="104">
        <f>IF(OR(A1224="",C1224="",B1224=""),"",IFERROR(INDEX(CHOOSE(IF(YEAR(A1224)&gt;PlanYear,13,MONTH(A1224)),'Jan'!$D$27:$AH$266,'Feb'!$D$27:$AH$266,'Mar'!$D$27:$AH$266,'Apr'!$D$27:$AH$266,'May'!$D$27:$AH$266,'Jun'!$D$27:$AH$266,'Jul'!$D$27:$AH$266,'Aug'!$D$27:$AH$266,'Sep'!$D$27:$AH$266,'Oct'!$D$27:$AH$266,'Nov'!$D$27:$AH$266,'Dec'!$D$27:$AH$266,'Jan (next year)'!$D$27:$AH$266),27+4*(IFERROR(MATCH(C1224,Roster!$B$6:$B$65,0),MATCH(C1224,Roster!$C$6:$C$65,0))-1)+MATCH(B1224,{"AM","PM","NIGHT","WD"},0)-1-27+1,DAY(A1224))&amp;"",""))</f>
        <v/>
      </c>
      <c r="G1224" s="123">
        <f>IF(OR(A1224="",C1224="",B1224="",E1224=""),"",IFERROR(A1224&amp;"|"&amp;(27+4*(IFERROR(MATCH(C1224,Roster!$B$6:$B$65,0),MATCH(C1224,Roster!$C$6:$C$65,0))-1)+MATCH(B1224,{"AM","PM","NIGHT","WD"},0)-1),""))</f>
        <v/>
      </c>
    </row>
    <row r="1225">
      <c r="A1225" s="122" t="n"/>
      <c r="B1225" s="107" t="n"/>
      <c r="C1225" s="105" t="n"/>
      <c r="D1225" s="92">
        <f>IF(C1225="","",IFERROR(INDEX(Roster!$C$6:$C$65,IFERROR(MATCH(C1225,Roster!$B$6:$B$65,0),MATCH(C1225,Roster!$C$6:$C$65,0))),"not on the Roster"))</f>
        <v/>
      </c>
      <c r="E1225" s="106" t="n"/>
      <c r="F1225" s="104">
        <f>IF(OR(A1225="",C1225="",B1225=""),"",IFERROR(INDEX(CHOOSE(IF(YEAR(A1225)&gt;PlanYear,13,MONTH(A1225)),'Jan'!$D$27:$AH$266,'Feb'!$D$27:$AH$266,'Mar'!$D$27:$AH$266,'Apr'!$D$27:$AH$266,'May'!$D$27:$AH$266,'Jun'!$D$27:$AH$266,'Jul'!$D$27:$AH$266,'Aug'!$D$27:$AH$266,'Sep'!$D$27:$AH$266,'Oct'!$D$27:$AH$266,'Nov'!$D$27:$AH$266,'Dec'!$D$27:$AH$266,'Jan (next year)'!$D$27:$AH$266),27+4*(IFERROR(MATCH(C1225,Roster!$B$6:$B$65,0),MATCH(C1225,Roster!$C$6:$C$65,0))-1)+MATCH(B1225,{"AM","PM","NIGHT","WD"},0)-1-27+1,DAY(A1225))&amp;"",""))</f>
        <v/>
      </c>
      <c r="G1225" s="123">
        <f>IF(OR(A1225="",C1225="",B1225="",E1225=""),"",IFERROR(A1225&amp;"|"&amp;(27+4*(IFERROR(MATCH(C1225,Roster!$B$6:$B$65,0),MATCH(C1225,Roster!$C$6:$C$65,0))-1)+MATCH(B1225,{"AM","PM","NIGHT","WD"},0)-1),""))</f>
        <v/>
      </c>
    </row>
    <row r="1226">
      <c r="A1226" s="122" t="n"/>
      <c r="B1226" s="107" t="n"/>
      <c r="C1226" s="105" t="n"/>
      <c r="D1226" s="92">
        <f>IF(C1226="","",IFERROR(INDEX(Roster!$C$6:$C$65,IFERROR(MATCH(C1226,Roster!$B$6:$B$65,0),MATCH(C1226,Roster!$C$6:$C$65,0))),"not on the Roster"))</f>
        <v/>
      </c>
      <c r="E1226" s="106" t="n"/>
      <c r="F1226" s="104">
        <f>IF(OR(A1226="",C1226="",B1226=""),"",IFERROR(INDEX(CHOOSE(IF(YEAR(A1226)&gt;PlanYear,13,MONTH(A1226)),'Jan'!$D$27:$AH$266,'Feb'!$D$27:$AH$266,'Mar'!$D$27:$AH$266,'Apr'!$D$27:$AH$266,'May'!$D$27:$AH$266,'Jun'!$D$27:$AH$266,'Jul'!$D$27:$AH$266,'Aug'!$D$27:$AH$266,'Sep'!$D$27:$AH$266,'Oct'!$D$27:$AH$266,'Nov'!$D$27:$AH$266,'Dec'!$D$27:$AH$266,'Jan (next year)'!$D$27:$AH$266),27+4*(IFERROR(MATCH(C1226,Roster!$B$6:$B$65,0),MATCH(C1226,Roster!$C$6:$C$65,0))-1)+MATCH(B1226,{"AM","PM","NIGHT","WD"},0)-1-27+1,DAY(A1226))&amp;"",""))</f>
        <v/>
      </c>
      <c r="G1226" s="123">
        <f>IF(OR(A1226="",C1226="",B1226="",E1226=""),"",IFERROR(A1226&amp;"|"&amp;(27+4*(IFERROR(MATCH(C1226,Roster!$B$6:$B$65,0),MATCH(C1226,Roster!$C$6:$C$65,0))-1)+MATCH(B1226,{"AM","PM","NIGHT","WD"},0)-1),""))</f>
        <v/>
      </c>
    </row>
    <row r="1227">
      <c r="A1227" s="122" t="n"/>
      <c r="B1227" s="107" t="n"/>
      <c r="C1227" s="105" t="n"/>
      <c r="D1227" s="92">
        <f>IF(C1227="","",IFERROR(INDEX(Roster!$C$6:$C$65,IFERROR(MATCH(C1227,Roster!$B$6:$B$65,0),MATCH(C1227,Roster!$C$6:$C$65,0))),"not on the Roster"))</f>
        <v/>
      </c>
      <c r="E1227" s="106" t="n"/>
      <c r="F1227" s="104">
        <f>IF(OR(A1227="",C1227="",B1227=""),"",IFERROR(INDEX(CHOOSE(IF(YEAR(A1227)&gt;PlanYear,13,MONTH(A1227)),'Jan'!$D$27:$AH$266,'Feb'!$D$27:$AH$266,'Mar'!$D$27:$AH$266,'Apr'!$D$27:$AH$266,'May'!$D$27:$AH$266,'Jun'!$D$27:$AH$266,'Jul'!$D$27:$AH$266,'Aug'!$D$27:$AH$266,'Sep'!$D$27:$AH$266,'Oct'!$D$27:$AH$266,'Nov'!$D$27:$AH$266,'Dec'!$D$27:$AH$266,'Jan (next year)'!$D$27:$AH$266),27+4*(IFERROR(MATCH(C1227,Roster!$B$6:$B$65,0),MATCH(C1227,Roster!$C$6:$C$65,0))-1)+MATCH(B1227,{"AM","PM","NIGHT","WD"},0)-1-27+1,DAY(A1227))&amp;"",""))</f>
        <v/>
      </c>
      <c r="G1227" s="123">
        <f>IF(OR(A1227="",C1227="",B1227="",E1227=""),"",IFERROR(A1227&amp;"|"&amp;(27+4*(IFERROR(MATCH(C1227,Roster!$B$6:$B$65,0),MATCH(C1227,Roster!$C$6:$C$65,0))-1)+MATCH(B1227,{"AM","PM","NIGHT","WD"},0)-1),""))</f>
        <v/>
      </c>
    </row>
    <row r="1228">
      <c r="A1228" s="122" t="n"/>
      <c r="B1228" s="107" t="n"/>
      <c r="C1228" s="105" t="n"/>
      <c r="D1228" s="92">
        <f>IF(C1228="","",IFERROR(INDEX(Roster!$C$6:$C$65,IFERROR(MATCH(C1228,Roster!$B$6:$B$65,0),MATCH(C1228,Roster!$C$6:$C$65,0))),"not on the Roster"))</f>
        <v/>
      </c>
      <c r="E1228" s="106" t="n"/>
      <c r="F1228" s="104">
        <f>IF(OR(A1228="",C1228="",B1228=""),"",IFERROR(INDEX(CHOOSE(IF(YEAR(A1228)&gt;PlanYear,13,MONTH(A1228)),'Jan'!$D$27:$AH$266,'Feb'!$D$27:$AH$266,'Mar'!$D$27:$AH$266,'Apr'!$D$27:$AH$266,'May'!$D$27:$AH$266,'Jun'!$D$27:$AH$266,'Jul'!$D$27:$AH$266,'Aug'!$D$27:$AH$266,'Sep'!$D$27:$AH$266,'Oct'!$D$27:$AH$266,'Nov'!$D$27:$AH$266,'Dec'!$D$27:$AH$266,'Jan (next year)'!$D$27:$AH$266),27+4*(IFERROR(MATCH(C1228,Roster!$B$6:$B$65,0),MATCH(C1228,Roster!$C$6:$C$65,0))-1)+MATCH(B1228,{"AM","PM","NIGHT","WD"},0)-1-27+1,DAY(A1228))&amp;"",""))</f>
        <v/>
      </c>
      <c r="G1228" s="123">
        <f>IF(OR(A1228="",C1228="",B1228="",E1228=""),"",IFERROR(A1228&amp;"|"&amp;(27+4*(IFERROR(MATCH(C1228,Roster!$B$6:$B$65,0),MATCH(C1228,Roster!$C$6:$C$65,0))-1)+MATCH(B1228,{"AM","PM","NIGHT","WD"},0)-1),""))</f>
        <v/>
      </c>
    </row>
    <row r="1229">
      <c r="A1229" s="122" t="n"/>
      <c r="B1229" s="107" t="n"/>
      <c r="C1229" s="105" t="n"/>
      <c r="D1229" s="92">
        <f>IF(C1229="","",IFERROR(INDEX(Roster!$C$6:$C$65,IFERROR(MATCH(C1229,Roster!$B$6:$B$65,0),MATCH(C1229,Roster!$C$6:$C$65,0))),"not on the Roster"))</f>
        <v/>
      </c>
      <c r="E1229" s="106" t="n"/>
      <c r="F1229" s="104">
        <f>IF(OR(A1229="",C1229="",B1229=""),"",IFERROR(INDEX(CHOOSE(IF(YEAR(A1229)&gt;PlanYear,13,MONTH(A1229)),'Jan'!$D$27:$AH$266,'Feb'!$D$27:$AH$266,'Mar'!$D$27:$AH$266,'Apr'!$D$27:$AH$266,'May'!$D$27:$AH$266,'Jun'!$D$27:$AH$266,'Jul'!$D$27:$AH$266,'Aug'!$D$27:$AH$266,'Sep'!$D$27:$AH$266,'Oct'!$D$27:$AH$266,'Nov'!$D$27:$AH$266,'Dec'!$D$27:$AH$266,'Jan (next year)'!$D$27:$AH$266),27+4*(IFERROR(MATCH(C1229,Roster!$B$6:$B$65,0),MATCH(C1229,Roster!$C$6:$C$65,0))-1)+MATCH(B1229,{"AM","PM","NIGHT","WD"},0)-1-27+1,DAY(A1229))&amp;"",""))</f>
        <v/>
      </c>
      <c r="G1229" s="123">
        <f>IF(OR(A1229="",C1229="",B1229="",E1229=""),"",IFERROR(A1229&amp;"|"&amp;(27+4*(IFERROR(MATCH(C1229,Roster!$B$6:$B$65,0),MATCH(C1229,Roster!$C$6:$C$65,0))-1)+MATCH(B1229,{"AM","PM","NIGHT","WD"},0)-1),""))</f>
        <v/>
      </c>
    </row>
    <row r="1230">
      <c r="A1230" s="122" t="n"/>
      <c r="B1230" s="107" t="n"/>
      <c r="C1230" s="105" t="n"/>
      <c r="D1230" s="92">
        <f>IF(C1230="","",IFERROR(INDEX(Roster!$C$6:$C$65,IFERROR(MATCH(C1230,Roster!$B$6:$B$65,0),MATCH(C1230,Roster!$C$6:$C$65,0))),"not on the Roster"))</f>
        <v/>
      </c>
      <c r="E1230" s="106" t="n"/>
      <c r="F1230" s="104">
        <f>IF(OR(A1230="",C1230="",B1230=""),"",IFERROR(INDEX(CHOOSE(IF(YEAR(A1230)&gt;PlanYear,13,MONTH(A1230)),'Jan'!$D$27:$AH$266,'Feb'!$D$27:$AH$266,'Mar'!$D$27:$AH$266,'Apr'!$D$27:$AH$266,'May'!$D$27:$AH$266,'Jun'!$D$27:$AH$266,'Jul'!$D$27:$AH$266,'Aug'!$D$27:$AH$266,'Sep'!$D$27:$AH$266,'Oct'!$D$27:$AH$266,'Nov'!$D$27:$AH$266,'Dec'!$D$27:$AH$266,'Jan (next year)'!$D$27:$AH$266),27+4*(IFERROR(MATCH(C1230,Roster!$B$6:$B$65,0),MATCH(C1230,Roster!$C$6:$C$65,0))-1)+MATCH(B1230,{"AM","PM","NIGHT","WD"},0)-1-27+1,DAY(A1230))&amp;"",""))</f>
        <v/>
      </c>
      <c r="G1230" s="123">
        <f>IF(OR(A1230="",C1230="",B1230="",E1230=""),"",IFERROR(A1230&amp;"|"&amp;(27+4*(IFERROR(MATCH(C1230,Roster!$B$6:$B$65,0),MATCH(C1230,Roster!$C$6:$C$65,0))-1)+MATCH(B1230,{"AM","PM","NIGHT","WD"},0)-1),""))</f>
        <v/>
      </c>
    </row>
    <row r="1231">
      <c r="A1231" s="122" t="n"/>
      <c r="B1231" s="107" t="n"/>
      <c r="C1231" s="105" t="n"/>
      <c r="D1231" s="92">
        <f>IF(C1231="","",IFERROR(INDEX(Roster!$C$6:$C$65,IFERROR(MATCH(C1231,Roster!$B$6:$B$65,0),MATCH(C1231,Roster!$C$6:$C$65,0))),"not on the Roster"))</f>
        <v/>
      </c>
      <c r="E1231" s="106" t="n"/>
      <c r="F1231" s="104">
        <f>IF(OR(A1231="",C1231="",B1231=""),"",IFERROR(INDEX(CHOOSE(IF(YEAR(A1231)&gt;PlanYear,13,MONTH(A1231)),'Jan'!$D$27:$AH$266,'Feb'!$D$27:$AH$266,'Mar'!$D$27:$AH$266,'Apr'!$D$27:$AH$266,'May'!$D$27:$AH$266,'Jun'!$D$27:$AH$266,'Jul'!$D$27:$AH$266,'Aug'!$D$27:$AH$266,'Sep'!$D$27:$AH$266,'Oct'!$D$27:$AH$266,'Nov'!$D$27:$AH$266,'Dec'!$D$27:$AH$266,'Jan (next year)'!$D$27:$AH$266),27+4*(IFERROR(MATCH(C1231,Roster!$B$6:$B$65,0),MATCH(C1231,Roster!$C$6:$C$65,0))-1)+MATCH(B1231,{"AM","PM","NIGHT","WD"},0)-1-27+1,DAY(A1231))&amp;"",""))</f>
        <v/>
      </c>
      <c r="G1231" s="123">
        <f>IF(OR(A1231="",C1231="",B1231="",E1231=""),"",IFERROR(A1231&amp;"|"&amp;(27+4*(IFERROR(MATCH(C1231,Roster!$B$6:$B$65,0),MATCH(C1231,Roster!$C$6:$C$65,0))-1)+MATCH(B1231,{"AM","PM","NIGHT","WD"},0)-1),""))</f>
        <v/>
      </c>
    </row>
    <row r="1232">
      <c r="A1232" s="122" t="n"/>
      <c r="B1232" s="107" t="n"/>
      <c r="C1232" s="105" t="n"/>
      <c r="D1232" s="92">
        <f>IF(C1232="","",IFERROR(INDEX(Roster!$C$6:$C$65,IFERROR(MATCH(C1232,Roster!$B$6:$B$65,0),MATCH(C1232,Roster!$C$6:$C$65,0))),"not on the Roster"))</f>
        <v/>
      </c>
      <c r="E1232" s="106" t="n"/>
      <c r="F1232" s="104">
        <f>IF(OR(A1232="",C1232="",B1232=""),"",IFERROR(INDEX(CHOOSE(IF(YEAR(A1232)&gt;PlanYear,13,MONTH(A1232)),'Jan'!$D$27:$AH$266,'Feb'!$D$27:$AH$266,'Mar'!$D$27:$AH$266,'Apr'!$D$27:$AH$266,'May'!$D$27:$AH$266,'Jun'!$D$27:$AH$266,'Jul'!$D$27:$AH$266,'Aug'!$D$27:$AH$266,'Sep'!$D$27:$AH$266,'Oct'!$D$27:$AH$266,'Nov'!$D$27:$AH$266,'Dec'!$D$27:$AH$266,'Jan (next year)'!$D$27:$AH$266),27+4*(IFERROR(MATCH(C1232,Roster!$B$6:$B$65,0),MATCH(C1232,Roster!$C$6:$C$65,0))-1)+MATCH(B1232,{"AM","PM","NIGHT","WD"},0)-1-27+1,DAY(A1232))&amp;"",""))</f>
        <v/>
      </c>
      <c r="G1232" s="123">
        <f>IF(OR(A1232="",C1232="",B1232="",E1232=""),"",IFERROR(A1232&amp;"|"&amp;(27+4*(IFERROR(MATCH(C1232,Roster!$B$6:$B$65,0),MATCH(C1232,Roster!$C$6:$C$65,0))-1)+MATCH(B1232,{"AM","PM","NIGHT","WD"},0)-1),""))</f>
        <v/>
      </c>
    </row>
    <row r="1233">
      <c r="A1233" s="122" t="n"/>
      <c r="B1233" s="107" t="n"/>
      <c r="C1233" s="105" t="n"/>
      <c r="D1233" s="92">
        <f>IF(C1233="","",IFERROR(INDEX(Roster!$C$6:$C$65,IFERROR(MATCH(C1233,Roster!$B$6:$B$65,0),MATCH(C1233,Roster!$C$6:$C$65,0))),"not on the Roster"))</f>
        <v/>
      </c>
      <c r="E1233" s="106" t="n"/>
      <c r="F1233" s="104">
        <f>IF(OR(A1233="",C1233="",B1233=""),"",IFERROR(INDEX(CHOOSE(IF(YEAR(A1233)&gt;PlanYear,13,MONTH(A1233)),'Jan'!$D$27:$AH$266,'Feb'!$D$27:$AH$266,'Mar'!$D$27:$AH$266,'Apr'!$D$27:$AH$266,'May'!$D$27:$AH$266,'Jun'!$D$27:$AH$266,'Jul'!$D$27:$AH$266,'Aug'!$D$27:$AH$266,'Sep'!$D$27:$AH$266,'Oct'!$D$27:$AH$266,'Nov'!$D$27:$AH$266,'Dec'!$D$27:$AH$266,'Jan (next year)'!$D$27:$AH$266),27+4*(IFERROR(MATCH(C1233,Roster!$B$6:$B$65,0),MATCH(C1233,Roster!$C$6:$C$65,0))-1)+MATCH(B1233,{"AM","PM","NIGHT","WD"},0)-1-27+1,DAY(A1233))&amp;"",""))</f>
        <v/>
      </c>
      <c r="G1233" s="123">
        <f>IF(OR(A1233="",C1233="",B1233="",E1233=""),"",IFERROR(A1233&amp;"|"&amp;(27+4*(IFERROR(MATCH(C1233,Roster!$B$6:$B$65,0),MATCH(C1233,Roster!$C$6:$C$65,0))-1)+MATCH(B1233,{"AM","PM","NIGHT","WD"},0)-1),""))</f>
        <v/>
      </c>
    </row>
    <row r="1234">
      <c r="A1234" s="122" t="n"/>
      <c r="B1234" s="107" t="n"/>
      <c r="C1234" s="105" t="n"/>
      <c r="D1234" s="92">
        <f>IF(C1234="","",IFERROR(INDEX(Roster!$C$6:$C$65,IFERROR(MATCH(C1234,Roster!$B$6:$B$65,0),MATCH(C1234,Roster!$C$6:$C$65,0))),"not on the Roster"))</f>
        <v/>
      </c>
      <c r="E1234" s="106" t="n"/>
      <c r="F1234" s="104">
        <f>IF(OR(A1234="",C1234="",B1234=""),"",IFERROR(INDEX(CHOOSE(IF(YEAR(A1234)&gt;PlanYear,13,MONTH(A1234)),'Jan'!$D$27:$AH$266,'Feb'!$D$27:$AH$266,'Mar'!$D$27:$AH$266,'Apr'!$D$27:$AH$266,'May'!$D$27:$AH$266,'Jun'!$D$27:$AH$266,'Jul'!$D$27:$AH$266,'Aug'!$D$27:$AH$266,'Sep'!$D$27:$AH$266,'Oct'!$D$27:$AH$266,'Nov'!$D$27:$AH$266,'Dec'!$D$27:$AH$266,'Jan (next year)'!$D$27:$AH$266),27+4*(IFERROR(MATCH(C1234,Roster!$B$6:$B$65,0),MATCH(C1234,Roster!$C$6:$C$65,0))-1)+MATCH(B1234,{"AM","PM","NIGHT","WD"},0)-1-27+1,DAY(A1234))&amp;"",""))</f>
        <v/>
      </c>
      <c r="G1234" s="123">
        <f>IF(OR(A1234="",C1234="",B1234="",E1234=""),"",IFERROR(A1234&amp;"|"&amp;(27+4*(IFERROR(MATCH(C1234,Roster!$B$6:$B$65,0),MATCH(C1234,Roster!$C$6:$C$65,0))-1)+MATCH(B1234,{"AM","PM","NIGHT","WD"},0)-1),""))</f>
        <v/>
      </c>
    </row>
    <row r="1235">
      <c r="A1235" s="122" t="n"/>
      <c r="B1235" s="107" t="n"/>
      <c r="C1235" s="105" t="n"/>
      <c r="D1235" s="92">
        <f>IF(C1235="","",IFERROR(INDEX(Roster!$C$6:$C$65,IFERROR(MATCH(C1235,Roster!$B$6:$B$65,0),MATCH(C1235,Roster!$C$6:$C$65,0))),"not on the Roster"))</f>
        <v/>
      </c>
      <c r="E1235" s="106" t="n"/>
      <c r="F1235" s="104">
        <f>IF(OR(A1235="",C1235="",B1235=""),"",IFERROR(INDEX(CHOOSE(IF(YEAR(A1235)&gt;PlanYear,13,MONTH(A1235)),'Jan'!$D$27:$AH$266,'Feb'!$D$27:$AH$266,'Mar'!$D$27:$AH$266,'Apr'!$D$27:$AH$266,'May'!$D$27:$AH$266,'Jun'!$D$27:$AH$266,'Jul'!$D$27:$AH$266,'Aug'!$D$27:$AH$266,'Sep'!$D$27:$AH$266,'Oct'!$D$27:$AH$266,'Nov'!$D$27:$AH$266,'Dec'!$D$27:$AH$266,'Jan (next year)'!$D$27:$AH$266),27+4*(IFERROR(MATCH(C1235,Roster!$B$6:$B$65,0),MATCH(C1235,Roster!$C$6:$C$65,0))-1)+MATCH(B1235,{"AM","PM","NIGHT","WD"},0)-1-27+1,DAY(A1235))&amp;"",""))</f>
        <v/>
      </c>
      <c r="G1235" s="123">
        <f>IF(OR(A1235="",C1235="",B1235="",E1235=""),"",IFERROR(A1235&amp;"|"&amp;(27+4*(IFERROR(MATCH(C1235,Roster!$B$6:$B$65,0),MATCH(C1235,Roster!$C$6:$C$65,0))-1)+MATCH(B1235,{"AM","PM","NIGHT","WD"},0)-1),""))</f>
        <v/>
      </c>
    </row>
    <row r="1236">
      <c r="A1236" s="122" t="n"/>
      <c r="B1236" s="107" t="n"/>
      <c r="C1236" s="105" t="n"/>
      <c r="D1236" s="92">
        <f>IF(C1236="","",IFERROR(INDEX(Roster!$C$6:$C$65,IFERROR(MATCH(C1236,Roster!$B$6:$B$65,0),MATCH(C1236,Roster!$C$6:$C$65,0))),"not on the Roster"))</f>
        <v/>
      </c>
      <c r="E1236" s="106" t="n"/>
      <c r="F1236" s="104">
        <f>IF(OR(A1236="",C1236="",B1236=""),"",IFERROR(INDEX(CHOOSE(IF(YEAR(A1236)&gt;PlanYear,13,MONTH(A1236)),'Jan'!$D$27:$AH$266,'Feb'!$D$27:$AH$266,'Mar'!$D$27:$AH$266,'Apr'!$D$27:$AH$266,'May'!$D$27:$AH$266,'Jun'!$D$27:$AH$266,'Jul'!$D$27:$AH$266,'Aug'!$D$27:$AH$266,'Sep'!$D$27:$AH$266,'Oct'!$D$27:$AH$266,'Nov'!$D$27:$AH$266,'Dec'!$D$27:$AH$266,'Jan (next year)'!$D$27:$AH$266),27+4*(IFERROR(MATCH(C1236,Roster!$B$6:$B$65,0),MATCH(C1236,Roster!$C$6:$C$65,0))-1)+MATCH(B1236,{"AM","PM","NIGHT","WD"},0)-1-27+1,DAY(A1236))&amp;"",""))</f>
        <v/>
      </c>
      <c r="G1236" s="123">
        <f>IF(OR(A1236="",C1236="",B1236="",E1236=""),"",IFERROR(A1236&amp;"|"&amp;(27+4*(IFERROR(MATCH(C1236,Roster!$B$6:$B$65,0),MATCH(C1236,Roster!$C$6:$C$65,0))-1)+MATCH(B1236,{"AM","PM","NIGHT","WD"},0)-1),""))</f>
        <v/>
      </c>
    </row>
    <row r="1237">
      <c r="A1237" s="122" t="n"/>
      <c r="B1237" s="107" t="n"/>
      <c r="C1237" s="105" t="n"/>
      <c r="D1237" s="92">
        <f>IF(C1237="","",IFERROR(INDEX(Roster!$C$6:$C$65,IFERROR(MATCH(C1237,Roster!$B$6:$B$65,0),MATCH(C1237,Roster!$C$6:$C$65,0))),"not on the Roster"))</f>
        <v/>
      </c>
      <c r="E1237" s="106" t="n"/>
      <c r="F1237" s="104">
        <f>IF(OR(A1237="",C1237="",B1237=""),"",IFERROR(INDEX(CHOOSE(IF(YEAR(A1237)&gt;PlanYear,13,MONTH(A1237)),'Jan'!$D$27:$AH$266,'Feb'!$D$27:$AH$266,'Mar'!$D$27:$AH$266,'Apr'!$D$27:$AH$266,'May'!$D$27:$AH$266,'Jun'!$D$27:$AH$266,'Jul'!$D$27:$AH$266,'Aug'!$D$27:$AH$266,'Sep'!$D$27:$AH$266,'Oct'!$D$27:$AH$266,'Nov'!$D$27:$AH$266,'Dec'!$D$27:$AH$266,'Jan (next year)'!$D$27:$AH$266),27+4*(IFERROR(MATCH(C1237,Roster!$B$6:$B$65,0),MATCH(C1237,Roster!$C$6:$C$65,0))-1)+MATCH(B1237,{"AM","PM","NIGHT","WD"},0)-1-27+1,DAY(A1237))&amp;"",""))</f>
        <v/>
      </c>
      <c r="G1237" s="123">
        <f>IF(OR(A1237="",C1237="",B1237="",E1237=""),"",IFERROR(A1237&amp;"|"&amp;(27+4*(IFERROR(MATCH(C1237,Roster!$B$6:$B$65,0),MATCH(C1237,Roster!$C$6:$C$65,0))-1)+MATCH(B1237,{"AM","PM","NIGHT","WD"},0)-1),""))</f>
        <v/>
      </c>
    </row>
    <row r="1238">
      <c r="A1238" s="122" t="n"/>
      <c r="B1238" s="107" t="n"/>
      <c r="C1238" s="105" t="n"/>
      <c r="D1238" s="92">
        <f>IF(C1238="","",IFERROR(INDEX(Roster!$C$6:$C$65,IFERROR(MATCH(C1238,Roster!$B$6:$B$65,0),MATCH(C1238,Roster!$C$6:$C$65,0))),"not on the Roster"))</f>
        <v/>
      </c>
      <c r="E1238" s="106" t="n"/>
      <c r="F1238" s="104">
        <f>IF(OR(A1238="",C1238="",B1238=""),"",IFERROR(INDEX(CHOOSE(IF(YEAR(A1238)&gt;PlanYear,13,MONTH(A1238)),'Jan'!$D$27:$AH$266,'Feb'!$D$27:$AH$266,'Mar'!$D$27:$AH$266,'Apr'!$D$27:$AH$266,'May'!$D$27:$AH$266,'Jun'!$D$27:$AH$266,'Jul'!$D$27:$AH$266,'Aug'!$D$27:$AH$266,'Sep'!$D$27:$AH$266,'Oct'!$D$27:$AH$266,'Nov'!$D$27:$AH$266,'Dec'!$D$27:$AH$266,'Jan (next year)'!$D$27:$AH$266),27+4*(IFERROR(MATCH(C1238,Roster!$B$6:$B$65,0),MATCH(C1238,Roster!$C$6:$C$65,0))-1)+MATCH(B1238,{"AM","PM","NIGHT","WD"},0)-1-27+1,DAY(A1238))&amp;"",""))</f>
        <v/>
      </c>
      <c r="G1238" s="123">
        <f>IF(OR(A1238="",C1238="",B1238="",E1238=""),"",IFERROR(A1238&amp;"|"&amp;(27+4*(IFERROR(MATCH(C1238,Roster!$B$6:$B$65,0),MATCH(C1238,Roster!$C$6:$C$65,0))-1)+MATCH(B1238,{"AM","PM","NIGHT","WD"},0)-1),""))</f>
        <v/>
      </c>
    </row>
    <row r="1239">
      <c r="A1239" s="122" t="n"/>
      <c r="B1239" s="107" t="n"/>
      <c r="C1239" s="105" t="n"/>
      <c r="D1239" s="92">
        <f>IF(C1239="","",IFERROR(INDEX(Roster!$C$6:$C$65,IFERROR(MATCH(C1239,Roster!$B$6:$B$65,0),MATCH(C1239,Roster!$C$6:$C$65,0))),"not on the Roster"))</f>
        <v/>
      </c>
      <c r="E1239" s="106" t="n"/>
      <c r="F1239" s="104">
        <f>IF(OR(A1239="",C1239="",B1239=""),"",IFERROR(INDEX(CHOOSE(IF(YEAR(A1239)&gt;PlanYear,13,MONTH(A1239)),'Jan'!$D$27:$AH$266,'Feb'!$D$27:$AH$266,'Mar'!$D$27:$AH$266,'Apr'!$D$27:$AH$266,'May'!$D$27:$AH$266,'Jun'!$D$27:$AH$266,'Jul'!$D$27:$AH$266,'Aug'!$D$27:$AH$266,'Sep'!$D$27:$AH$266,'Oct'!$D$27:$AH$266,'Nov'!$D$27:$AH$266,'Dec'!$D$27:$AH$266,'Jan (next year)'!$D$27:$AH$266),27+4*(IFERROR(MATCH(C1239,Roster!$B$6:$B$65,0),MATCH(C1239,Roster!$C$6:$C$65,0))-1)+MATCH(B1239,{"AM","PM","NIGHT","WD"},0)-1-27+1,DAY(A1239))&amp;"",""))</f>
        <v/>
      </c>
      <c r="G1239" s="123">
        <f>IF(OR(A1239="",C1239="",B1239="",E1239=""),"",IFERROR(A1239&amp;"|"&amp;(27+4*(IFERROR(MATCH(C1239,Roster!$B$6:$B$65,0),MATCH(C1239,Roster!$C$6:$C$65,0))-1)+MATCH(B1239,{"AM","PM","NIGHT","WD"},0)-1),""))</f>
        <v/>
      </c>
    </row>
    <row r="1240">
      <c r="A1240" s="122" t="n"/>
      <c r="B1240" s="107" t="n"/>
      <c r="C1240" s="105" t="n"/>
      <c r="D1240" s="92">
        <f>IF(C1240="","",IFERROR(INDEX(Roster!$C$6:$C$65,IFERROR(MATCH(C1240,Roster!$B$6:$B$65,0),MATCH(C1240,Roster!$C$6:$C$65,0))),"not on the Roster"))</f>
        <v/>
      </c>
      <c r="E1240" s="106" t="n"/>
      <c r="F1240" s="104">
        <f>IF(OR(A1240="",C1240="",B1240=""),"",IFERROR(INDEX(CHOOSE(IF(YEAR(A1240)&gt;PlanYear,13,MONTH(A1240)),'Jan'!$D$27:$AH$266,'Feb'!$D$27:$AH$266,'Mar'!$D$27:$AH$266,'Apr'!$D$27:$AH$266,'May'!$D$27:$AH$266,'Jun'!$D$27:$AH$266,'Jul'!$D$27:$AH$266,'Aug'!$D$27:$AH$266,'Sep'!$D$27:$AH$266,'Oct'!$D$27:$AH$266,'Nov'!$D$27:$AH$266,'Dec'!$D$27:$AH$266,'Jan (next year)'!$D$27:$AH$266),27+4*(IFERROR(MATCH(C1240,Roster!$B$6:$B$65,0),MATCH(C1240,Roster!$C$6:$C$65,0))-1)+MATCH(B1240,{"AM","PM","NIGHT","WD"},0)-1-27+1,DAY(A1240))&amp;"",""))</f>
        <v/>
      </c>
      <c r="G1240" s="123">
        <f>IF(OR(A1240="",C1240="",B1240="",E1240=""),"",IFERROR(A1240&amp;"|"&amp;(27+4*(IFERROR(MATCH(C1240,Roster!$B$6:$B$65,0),MATCH(C1240,Roster!$C$6:$C$65,0))-1)+MATCH(B1240,{"AM","PM","NIGHT","WD"},0)-1),""))</f>
        <v/>
      </c>
    </row>
    <row r="1241">
      <c r="A1241" s="122" t="n"/>
      <c r="B1241" s="107" t="n"/>
      <c r="C1241" s="105" t="n"/>
      <c r="D1241" s="92">
        <f>IF(C1241="","",IFERROR(INDEX(Roster!$C$6:$C$65,IFERROR(MATCH(C1241,Roster!$B$6:$B$65,0),MATCH(C1241,Roster!$C$6:$C$65,0))),"not on the Roster"))</f>
        <v/>
      </c>
      <c r="E1241" s="106" t="n"/>
      <c r="F1241" s="104">
        <f>IF(OR(A1241="",C1241="",B1241=""),"",IFERROR(INDEX(CHOOSE(IF(YEAR(A1241)&gt;PlanYear,13,MONTH(A1241)),'Jan'!$D$27:$AH$266,'Feb'!$D$27:$AH$266,'Mar'!$D$27:$AH$266,'Apr'!$D$27:$AH$266,'May'!$D$27:$AH$266,'Jun'!$D$27:$AH$266,'Jul'!$D$27:$AH$266,'Aug'!$D$27:$AH$266,'Sep'!$D$27:$AH$266,'Oct'!$D$27:$AH$266,'Nov'!$D$27:$AH$266,'Dec'!$D$27:$AH$266,'Jan (next year)'!$D$27:$AH$266),27+4*(IFERROR(MATCH(C1241,Roster!$B$6:$B$65,0),MATCH(C1241,Roster!$C$6:$C$65,0))-1)+MATCH(B1241,{"AM","PM","NIGHT","WD"},0)-1-27+1,DAY(A1241))&amp;"",""))</f>
        <v/>
      </c>
      <c r="G1241" s="123">
        <f>IF(OR(A1241="",C1241="",B1241="",E1241=""),"",IFERROR(A1241&amp;"|"&amp;(27+4*(IFERROR(MATCH(C1241,Roster!$B$6:$B$65,0),MATCH(C1241,Roster!$C$6:$C$65,0))-1)+MATCH(B1241,{"AM","PM","NIGHT","WD"},0)-1),""))</f>
        <v/>
      </c>
    </row>
    <row r="1242">
      <c r="A1242" s="122" t="n"/>
      <c r="B1242" s="107" t="n"/>
      <c r="C1242" s="105" t="n"/>
      <c r="D1242" s="92">
        <f>IF(C1242="","",IFERROR(INDEX(Roster!$C$6:$C$65,IFERROR(MATCH(C1242,Roster!$B$6:$B$65,0),MATCH(C1242,Roster!$C$6:$C$65,0))),"not on the Roster"))</f>
        <v/>
      </c>
      <c r="E1242" s="106" t="n"/>
      <c r="F1242" s="104">
        <f>IF(OR(A1242="",C1242="",B1242=""),"",IFERROR(INDEX(CHOOSE(IF(YEAR(A1242)&gt;PlanYear,13,MONTH(A1242)),'Jan'!$D$27:$AH$266,'Feb'!$D$27:$AH$266,'Mar'!$D$27:$AH$266,'Apr'!$D$27:$AH$266,'May'!$D$27:$AH$266,'Jun'!$D$27:$AH$266,'Jul'!$D$27:$AH$266,'Aug'!$D$27:$AH$266,'Sep'!$D$27:$AH$266,'Oct'!$D$27:$AH$266,'Nov'!$D$27:$AH$266,'Dec'!$D$27:$AH$266,'Jan (next year)'!$D$27:$AH$266),27+4*(IFERROR(MATCH(C1242,Roster!$B$6:$B$65,0),MATCH(C1242,Roster!$C$6:$C$65,0))-1)+MATCH(B1242,{"AM","PM","NIGHT","WD"},0)-1-27+1,DAY(A1242))&amp;"",""))</f>
        <v/>
      </c>
      <c r="G1242" s="123">
        <f>IF(OR(A1242="",C1242="",B1242="",E1242=""),"",IFERROR(A1242&amp;"|"&amp;(27+4*(IFERROR(MATCH(C1242,Roster!$B$6:$B$65,0),MATCH(C1242,Roster!$C$6:$C$65,0))-1)+MATCH(B1242,{"AM","PM","NIGHT","WD"},0)-1),""))</f>
        <v/>
      </c>
    </row>
    <row r="1243">
      <c r="A1243" s="122" t="n"/>
      <c r="B1243" s="107" t="n"/>
      <c r="C1243" s="105" t="n"/>
      <c r="D1243" s="92">
        <f>IF(C1243="","",IFERROR(INDEX(Roster!$C$6:$C$65,IFERROR(MATCH(C1243,Roster!$B$6:$B$65,0),MATCH(C1243,Roster!$C$6:$C$65,0))),"not on the Roster"))</f>
        <v/>
      </c>
      <c r="E1243" s="106" t="n"/>
      <c r="F1243" s="104">
        <f>IF(OR(A1243="",C1243="",B1243=""),"",IFERROR(INDEX(CHOOSE(IF(YEAR(A1243)&gt;PlanYear,13,MONTH(A1243)),'Jan'!$D$27:$AH$266,'Feb'!$D$27:$AH$266,'Mar'!$D$27:$AH$266,'Apr'!$D$27:$AH$266,'May'!$D$27:$AH$266,'Jun'!$D$27:$AH$266,'Jul'!$D$27:$AH$266,'Aug'!$D$27:$AH$266,'Sep'!$D$27:$AH$266,'Oct'!$D$27:$AH$266,'Nov'!$D$27:$AH$266,'Dec'!$D$27:$AH$266,'Jan (next year)'!$D$27:$AH$266),27+4*(IFERROR(MATCH(C1243,Roster!$B$6:$B$65,0),MATCH(C1243,Roster!$C$6:$C$65,0))-1)+MATCH(B1243,{"AM","PM","NIGHT","WD"},0)-1-27+1,DAY(A1243))&amp;"",""))</f>
        <v/>
      </c>
      <c r="G1243" s="123">
        <f>IF(OR(A1243="",C1243="",B1243="",E1243=""),"",IFERROR(A1243&amp;"|"&amp;(27+4*(IFERROR(MATCH(C1243,Roster!$B$6:$B$65,0),MATCH(C1243,Roster!$C$6:$C$65,0))-1)+MATCH(B1243,{"AM","PM","NIGHT","WD"},0)-1),""))</f>
        <v/>
      </c>
    </row>
    <row r="1244">
      <c r="A1244" s="122" t="n"/>
      <c r="B1244" s="107" t="n"/>
      <c r="C1244" s="105" t="n"/>
      <c r="D1244" s="92">
        <f>IF(C1244="","",IFERROR(INDEX(Roster!$C$6:$C$65,IFERROR(MATCH(C1244,Roster!$B$6:$B$65,0),MATCH(C1244,Roster!$C$6:$C$65,0))),"not on the Roster"))</f>
        <v/>
      </c>
      <c r="E1244" s="106" t="n"/>
      <c r="F1244" s="104">
        <f>IF(OR(A1244="",C1244="",B1244=""),"",IFERROR(INDEX(CHOOSE(IF(YEAR(A1244)&gt;PlanYear,13,MONTH(A1244)),'Jan'!$D$27:$AH$266,'Feb'!$D$27:$AH$266,'Mar'!$D$27:$AH$266,'Apr'!$D$27:$AH$266,'May'!$D$27:$AH$266,'Jun'!$D$27:$AH$266,'Jul'!$D$27:$AH$266,'Aug'!$D$27:$AH$266,'Sep'!$D$27:$AH$266,'Oct'!$D$27:$AH$266,'Nov'!$D$27:$AH$266,'Dec'!$D$27:$AH$266,'Jan (next year)'!$D$27:$AH$266),27+4*(IFERROR(MATCH(C1244,Roster!$B$6:$B$65,0),MATCH(C1244,Roster!$C$6:$C$65,0))-1)+MATCH(B1244,{"AM","PM","NIGHT","WD"},0)-1-27+1,DAY(A1244))&amp;"",""))</f>
        <v/>
      </c>
      <c r="G1244" s="123">
        <f>IF(OR(A1244="",C1244="",B1244="",E1244=""),"",IFERROR(A1244&amp;"|"&amp;(27+4*(IFERROR(MATCH(C1244,Roster!$B$6:$B$65,0),MATCH(C1244,Roster!$C$6:$C$65,0))-1)+MATCH(B1244,{"AM","PM","NIGHT","WD"},0)-1),""))</f>
        <v/>
      </c>
    </row>
    <row r="1245">
      <c r="A1245" s="122" t="n"/>
      <c r="B1245" s="107" t="n"/>
      <c r="C1245" s="105" t="n"/>
      <c r="D1245" s="92">
        <f>IF(C1245="","",IFERROR(INDEX(Roster!$C$6:$C$65,IFERROR(MATCH(C1245,Roster!$B$6:$B$65,0),MATCH(C1245,Roster!$C$6:$C$65,0))),"not on the Roster"))</f>
        <v/>
      </c>
      <c r="E1245" s="106" t="n"/>
      <c r="F1245" s="104">
        <f>IF(OR(A1245="",C1245="",B1245=""),"",IFERROR(INDEX(CHOOSE(IF(YEAR(A1245)&gt;PlanYear,13,MONTH(A1245)),'Jan'!$D$27:$AH$266,'Feb'!$D$27:$AH$266,'Mar'!$D$27:$AH$266,'Apr'!$D$27:$AH$266,'May'!$D$27:$AH$266,'Jun'!$D$27:$AH$266,'Jul'!$D$27:$AH$266,'Aug'!$D$27:$AH$266,'Sep'!$D$27:$AH$266,'Oct'!$D$27:$AH$266,'Nov'!$D$27:$AH$266,'Dec'!$D$27:$AH$266,'Jan (next year)'!$D$27:$AH$266),27+4*(IFERROR(MATCH(C1245,Roster!$B$6:$B$65,0),MATCH(C1245,Roster!$C$6:$C$65,0))-1)+MATCH(B1245,{"AM","PM","NIGHT","WD"},0)-1-27+1,DAY(A1245))&amp;"",""))</f>
        <v/>
      </c>
      <c r="G1245" s="123">
        <f>IF(OR(A1245="",C1245="",B1245="",E1245=""),"",IFERROR(A1245&amp;"|"&amp;(27+4*(IFERROR(MATCH(C1245,Roster!$B$6:$B$65,0),MATCH(C1245,Roster!$C$6:$C$65,0))-1)+MATCH(B1245,{"AM","PM","NIGHT","WD"},0)-1),""))</f>
        <v/>
      </c>
    </row>
    <row r="1246">
      <c r="A1246" s="122" t="n"/>
      <c r="B1246" s="107" t="n"/>
      <c r="C1246" s="105" t="n"/>
      <c r="D1246" s="92">
        <f>IF(C1246="","",IFERROR(INDEX(Roster!$C$6:$C$65,IFERROR(MATCH(C1246,Roster!$B$6:$B$65,0),MATCH(C1246,Roster!$C$6:$C$65,0))),"not on the Roster"))</f>
        <v/>
      </c>
      <c r="E1246" s="106" t="n"/>
      <c r="F1246" s="104">
        <f>IF(OR(A1246="",C1246="",B1246=""),"",IFERROR(INDEX(CHOOSE(IF(YEAR(A1246)&gt;PlanYear,13,MONTH(A1246)),'Jan'!$D$27:$AH$266,'Feb'!$D$27:$AH$266,'Mar'!$D$27:$AH$266,'Apr'!$D$27:$AH$266,'May'!$D$27:$AH$266,'Jun'!$D$27:$AH$266,'Jul'!$D$27:$AH$266,'Aug'!$D$27:$AH$266,'Sep'!$D$27:$AH$266,'Oct'!$D$27:$AH$266,'Nov'!$D$27:$AH$266,'Dec'!$D$27:$AH$266,'Jan (next year)'!$D$27:$AH$266),27+4*(IFERROR(MATCH(C1246,Roster!$B$6:$B$65,0),MATCH(C1246,Roster!$C$6:$C$65,0))-1)+MATCH(B1246,{"AM","PM","NIGHT","WD"},0)-1-27+1,DAY(A1246))&amp;"",""))</f>
        <v/>
      </c>
      <c r="G1246" s="123">
        <f>IF(OR(A1246="",C1246="",B1246="",E1246=""),"",IFERROR(A1246&amp;"|"&amp;(27+4*(IFERROR(MATCH(C1246,Roster!$B$6:$B$65,0),MATCH(C1246,Roster!$C$6:$C$65,0))-1)+MATCH(B1246,{"AM","PM","NIGHT","WD"},0)-1),""))</f>
        <v/>
      </c>
    </row>
    <row r="1247">
      <c r="A1247" s="122" t="n"/>
      <c r="B1247" s="107" t="n"/>
      <c r="C1247" s="105" t="n"/>
      <c r="D1247" s="92">
        <f>IF(C1247="","",IFERROR(INDEX(Roster!$C$6:$C$65,IFERROR(MATCH(C1247,Roster!$B$6:$B$65,0),MATCH(C1247,Roster!$C$6:$C$65,0))),"not on the Roster"))</f>
        <v/>
      </c>
      <c r="E1247" s="106" t="n"/>
      <c r="F1247" s="104">
        <f>IF(OR(A1247="",C1247="",B1247=""),"",IFERROR(INDEX(CHOOSE(IF(YEAR(A1247)&gt;PlanYear,13,MONTH(A1247)),'Jan'!$D$27:$AH$266,'Feb'!$D$27:$AH$266,'Mar'!$D$27:$AH$266,'Apr'!$D$27:$AH$266,'May'!$D$27:$AH$266,'Jun'!$D$27:$AH$266,'Jul'!$D$27:$AH$266,'Aug'!$D$27:$AH$266,'Sep'!$D$27:$AH$266,'Oct'!$D$27:$AH$266,'Nov'!$D$27:$AH$266,'Dec'!$D$27:$AH$266,'Jan (next year)'!$D$27:$AH$266),27+4*(IFERROR(MATCH(C1247,Roster!$B$6:$B$65,0),MATCH(C1247,Roster!$C$6:$C$65,0))-1)+MATCH(B1247,{"AM","PM","NIGHT","WD"},0)-1-27+1,DAY(A1247))&amp;"",""))</f>
        <v/>
      </c>
      <c r="G1247" s="123">
        <f>IF(OR(A1247="",C1247="",B1247="",E1247=""),"",IFERROR(A1247&amp;"|"&amp;(27+4*(IFERROR(MATCH(C1247,Roster!$B$6:$B$65,0),MATCH(C1247,Roster!$C$6:$C$65,0))-1)+MATCH(B1247,{"AM","PM","NIGHT","WD"},0)-1),""))</f>
        <v/>
      </c>
    </row>
    <row r="1248">
      <c r="A1248" s="122" t="n"/>
      <c r="B1248" s="107" t="n"/>
      <c r="C1248" s="105" t="n"/>
      <c r="D1248" s="92">
        <f>IF(C1248="","",IFERROR(INDEX(Roster!$C$6:$C$65,IFERROR(MATCH(C1248,Roster!$B$6:$B$65,0),MATCH(C1248,Roster!$C$6:$C$65,0))),"not on the Roster"))</f>
        <v/>
      </c>
      <c r="E1248" s="106" t="n"/>
      <c r="F1248" s="104">
        <f>IF(OR(A1248="",C1248="",B1248=""),"",IFERROR(INDEX(CHOOSE(IF(YEAR(A1248)&gt;PlanYear,13,MONTH(A1248)),'Jan'!$D$27:$AH$266,'Feb'!$D$27:$AH$266,'Mar'!$D$27:$AH$266,'Apr'!$D$27:$AH$266,'May'!$D$27:$AH$266,'Jun'!$D$27:$AH$266,'Jul'!$D$27:$AH$266,'Aug'!$D$27:$AH$266,'Sep'!$D$27:$AH$266,'Oct'!$D$27:$AH$266,'Nov'!$D$27:$AH$266,'Dec'!$D$27:$AH$266,'Jan (next year)'!$D$27:$AH$266),27+4*(IFERROR(MATCH(C1248,Roster!$B$6:$B$65,0),MATCH(C1248,Roster!$C$6:$C$65,0))-1)+MATCH(B1248,{"AM","PM","NIGHT","WD"},0)-1-27+1,DAY(A1248))&amp;"",""))</f>
        <v/>
      </c>
      <c r="G1248" s="123">
        <f>IF(OR(A1248="",C1248="",B1248="",E1248=""),"",IFERROR(A1248&amp;"|"&amp;(27+4*(IFERROR(MATCH(C1248,Roster!$B$6:$B$65,0),MATCH(C1248,Roster!$C$6:$C$65,0))-1)+MATCH(B1248,{"AM","PM","NIGHT","WD"},0)-1),""))</f>
        <v/>
      </c>
    </row>
    <row r="1249">
      <c r="A1249" s="122" t="n"/>
      <c r="B1249" s="107" t="n"/>
      <c r="C1249" s="105" t="n"/>
      <c r="D1249" s="92">
        <f>IF(C1249="","",IFERROR(INDEX(Roster!$C$6:$C$65,IFERROR(MATCH(C1249,Roster!$B$6:$B$65,0),MATCH(C1249,Roster!$C$6:$C$65,0))),"not on the Roster"))</f>
        <v/>
      </c>
      <c r="E1249" s="106" t="n"/>
      <c r="F1249" s="104">
        <f>IF(OR(A1249="",C1249="",B1249=""),"",IFERROR(INDEX(CHOOSE(IF(YEAR(A1249)&gt;PlanYear,13,MONTH(A1249)),'Jan'!$D$27:$AH$266,'Feb'!$D$27:$AH$266,'Mar'!$D$27:$AH$266,'Apr'!$D$27:$AH$266,'May'!$D$27:$AH$266,'Jun'!$D$27:$AH$266,'Jul'!$D$27:$AH$266,'Aug'!$D$27:$AH$266,'Sep'!$D$27:$AH$266,'Oct'!$D$27:$AH$266,'Nov'!$D$27:$AH$266,'Dec'!$D$27:$AH$266,'Jan (next year)'!$D$27:$AH$266),27+4*(IFERROR(MATCH(C1249,Roster!$B$6:$B$65,0),MATCH(C1249,Roster!$C$6:$C$65,0))-1)+MATCH(B1249,{"AM","PM","NIGHT","WD"},0)-1-27+1,DAY(A1249))&amp;"",""))</f>
        <v/>
      </c>
      <c r="G1249" s="123">
        <f>IF(OR(A1249="",C1249="",B1249="",E1249=""),"",IFERROR(A1249&amp;"|"&amp;(27+4*(IFERROR(MATCH(C1249,Roster!$B$6:$B$65,0),MATCH(C1249,Roster!$C$6:$C$65,0))-1)+MATCH(B1249,{"AM","PM","NIGHT","WD"},0)-1),""))</f>
        <v/>
      </c>
    </row>
    <row r="1250">
      <c r="A1250" s="122" t="n"/>
      <c r="B1250" s="107" t="n"/>
      <c r="C1250" s="105" t="n"/>
      <c r="D1250" s="92">
        <f>IF(C1250="","",IFERROR(INDEX(Roster!$C$6:$C$65,IFERROR(MATCH(C1250,Roster!$B$6:$B$65,0),MATCH(C1250,Roster!$C$6:$C$65,0))),"not on the Roster"))</f>
        <v/>
      </c>
      <c r="E1250" s="106" t="n"/>
      <c r="F1250" s="104">
        <f>IF(OR(A1250="",C1250="",B1250=""),"",IFERROR(INDEX(CHOOSE(IF(YEAR(A1250)&gt;PlanYear,13,MONTH(A1250)),'Jan'!$D$27:$AH$266,'Feb'!$D$27:$AH$266,'Mar'!$D$27:$AH$266,'Apr'!$D$27:$AH$266,'May'!$D$27:$AH$266,'Jun'!$D$27:$AH$266,'Jul'!$D$27:$AH$266,'Aug'!$D$27:$AH$266,'Sep'!$D$27:$AH$266,'Oct'!$D$27:$AH$266,'Nov'!$D$27:$AH$266,'Dec'!$D$27:$AH$266,'Jan (next year)'!$D$27:$AH$266),27+4*(IFERROR(MATCH(C1250,Roster!$B$6:$B$65,0),MATCH(C1250,Roster!$C$6:$C$65,0))-1)+MATCH(B1250,{"AM","PM","NIGHT","WD"},0)-1-27+1,DAY(A1250))&amp;"",""))</f>
        <v/>
      </c>
      <c r="G1250" s="123">
        <f>IF(OR(A1250="",C1250="",B1250="",E1250=""),"",IFERROR(A1250&amp;"|"&amp;(27+4*(IFERROR(MATCH(C1250,Roster!$B$6:$B$65,0),MATCH(C1250,Roster!$C$6:$C$65,0))-1)+MATCH(B1250,{"AM","PM","NIGHT","WD"},0)-1),""))</f>
        <v/>
      </c>
    </row>
    <row r="1251">
      <c r="A1251" s="122" t="n"/>
      <c r="B1251" s="107" t="n"/>
      <c r="C1251" s="105" t="n"/>
      <c r="D1251" s="92">
        <f>IF(C1251="","",IFERROR(INDEX(Roster!$C$6:$C$65,IFERROR(MATCH(C1251,Roster!$B$6:$B$65,0),MATCH(C1251,Roster!$C$6:$C$65,0))),"not on the Roster"))</f>
        <v/>
      </c>
      <c r="E1251" s="106" t="n"/>
      <c r="F1251" s="104">
        <f>IF(OR(A1251="",C1251="",B1251=""),"",IFERROR(INDEX(CHOOSE(IF(YEAR(A1251)&gt;PlanYear,13,MONTH(A1251)),'Jan'!$D$27:$AH$266,'Feb'!$D$27:$AH$266,'Mar'!$D$27:$AH$266,'Apr'!$D$27:$AH$266,'May'!$D$27:$AH$266,'Jun'!$D$27:$AH$266,'Jul'!$D$27:$AH$266,'Aug'!$D$27:$AH$266,'Sep'!$D$27:$AH$266,'Oct'!$D$27:$AH$266,'Nov'!$D$27:$AH$266,'Dec'!$D$27:$AH$266,'Jan (next year)'!$D$27:$AH$266),27+4*(IFERROR(MATCH(C1251,Roster!$B$6:$B$65,0),MATCH(C1251,Roster!$C$6:$C$65,0))-1)+MATCH(B1251,{"AM","PM","NIGHT","WD"},0)-1-27+1,DAY(A1251))&amp;"",""))</f>
        <v/>
      </c>
      <c r="G1251" s="123">
        <f>IF(OR(A1251="",C1251="",B1251="",E1251=""),"",IFERROR(A1251&amp;"|"&amp;(27+4*(IFERROR(MATCH(C1251,Roster!$B$6:$B$65,0),MATCH(C1251,Roster!$C$6:$C$65,0))-1)+MATCH(B1251,{"AM","PM","NIGHT","WD"},0)-1),""))</f>
        <v/>
      </c>
    </row>
    <row r="1252">
      <c r="A1252" s="122" t="n"/>
      <c r="B1252" s="107" t="n"/>
      <c r="C1252" s="105" t="n"/>
      <c r="D1252" s="92">
        <f>IF(C1252="","",IFERROR(INDEX(Roster!$C$6:$C$65,IFERROR(MATCH(C1252,Roster!$B$6:$B$65,0),MATCH(C1252,Roster!$C$6:$C$65,0))),"not on the Roster"))</f>
        <v/>
      </c>
      <c r="E1252" s="106" t="n"/>
      <c r="F1252" s="104">
        <f>IF(OR(A1252="",C1252="",B1252=""),"",IFERROR(INDEX(CHOOSE(IF(YEAR(A1252)&gt;PlanYear,13,MONTH(A1252)),'Jan'!$D$27:$AH$266,'Feb'!$D$27:$AH$266,'Mar'!$D$27:$AH$266,'Apr'!$D$27:$AH$266,'May'!$D$27:$AH$266,'Jun'!$D$27:$AH$266,'Jul'!$D$27:$AH$266,'Aug'!$D$27:$AH$266,'Sep'!$D$27:$AH$266,'Oct'!$D$27:$AH$266,'Nov'!$D$27:$AH$266,'Dec'!$D$27:$AH$266,'Jan (next year)'!$D$27:$AH$266),27+4*(IFERROR(MATCH(C1252,Roster!$B$6:$B$65,0),MATCH(C1252,Roster!$C$6:$C$65,0))-1)+MATCH(B1252,{"AM","PM","NIGHT","WD"},0)-1-27+1,DAY(A1252))&amp;"",""))</f>
        <v/>
      </c>
      <c r="G1252" s="123">
        <f>IF(OR(A1252="",C1252="",B1252="",E1252=""),"",IFERROR(A1252&amp;"|"&amp;(27+4*(IFERROR(MATCH(C1252,Roster!$B$6:$B$65,0),MATCH(C1252,Roster!$C$6:$C$65,0))-1)+MATCH(B1252,{"AM","PM","NIGHT","WD"},0)-1),""))</f>
        <v/>
      </c>
    </row>
    <row r="1253">
      <c r="A1253" s="122" t="n"/>
      <c r="B1253" s="107" t="n"/>
      <c r="C1253" s="105" t="n"/>
      <c r="D1253" s="92">
        <f>IF(C1253="","",IFERROR(INDEX(Roster!$C$6:$C$65,IFERROR(MATCH(C1253,Roster!$B$6:$B$65,0),MATCH(C1253,Roster!$C$6:$C$65,0))),"not on the Roster"))</f>
        <v/>
      </c>
      <c r="E1253" s="106" t="n"/>
      <c r="F1253" s="104">
        <f>IF(OR(A1253="",C1253="",B1253=""),"",IFERROR(INDEX(CHOOSE(IF(YEAR(A1253)&gt;PlanYear,13,MONTH(A1253)),'Jan'!$D$27:$AH$266,'Feb'!$D$27:$AH$266,'Mar'!$D$27:$AH$266,'Apr'!$D$27:$AH$266,'May'!$D$27:$AH$266,'Jun'!$D$27:$AH$266,'Jul'!$D$27:$AH$266,'Aug'!$D$27:$AH$266,'Sep'!$D$27:$AH$266,'Oct'!$D$27:$AH$266,'Nov'!$D$27:$AH$266,'Dec'!$D$27:$AH$266,'Jan (next year)'!$D$27:$AH$266),27+4*(IFERROR(MATCH(C1253,Roster!$B$6:$B$65,0),MATCH(C1253,Roster!$C$6:$C$65,0))-1)+MATCH(B1253,{"AM","PM","NIGHT","WD"},0)-1-27+1,DAY(A1253))&amp;"",""))</f>
        <v/>
      </c>
      <c r="G1253" s="123">
        <f>IF(OR(A1253="",C1253="",B1253="",E1253=""),"",IFERROR(A1253&amp;"|"&amp;(27+4*(IFERROR(MATCH(C1253,Roster!$B$6:$B$65,0),MATCH(C1253,Roster!$C$6:$C$65,0))-1)+MATCH(B1253,{"AM","PM","NIGHT","WD"},0)-1),""))</f>
        <v/>
      </c>
    </row>
    <row r="1254">
      <c r="A1254" s="122" t="n"/>
      <c r="B1254" s="107" t="n"/>
      <c r="C1254" s="105" t="n"/>
      <c r="D1254" s="92">
        <f>IF(C1254="","",IFERROR(INDEX(Roster!$C$6:$C$65,IFERROR(MATCH(C1254,Roster!$B$6:$B$65,0),MATCH(C1254,Roster!$C$6:$C$65,0))),"not on the Roster"))</f>
        <v/>
      </c>
      <c r="E1254" s="106" t="n"/>
      <c r="F1254" s="104">
        <f>IF(OR(A1254="",C1254="",B1254=""),"",IFERROR(INDEX(CHOOSE(IF(YEAR(A1254)&gt;PlanYear,13,MONTH(A1254)),'Jan'!$D$27:$AH$266,'Feb'!$D$27:$AH$266,'Mar'!$D$27:$AH$266,'Apr'!$D$27:$AH$266,'May'!$D$27:$AH$266,'Jun'!$D$27:$AH$266,'Jul'!$D$27:$AH$266,'Aug'!$D$27:$AH$266,'Sep'!$D$27:$AH$266,'Oct'!$D$27:$AH$266,'Nov'!$D$27:$AH$266,'Dec'!$D$27:$AH$266,'Jan (next year)'!$D$27:$AH$266),27+4*(IFERROR(MATCH(C1254,Roster!$B$6:$B$65,0),MATCH(C1254,Roster!$C$6:$C$65,0))-1)+MATCH(B1254,{"AM","PM","NIGHT","WD"},0)-1-27+1,DAY(A1254))&amp;"",""))</f>
        <v/>
      </c>
      <c r="G1254" s="123">
        <f>IF(OR(A1254="",C1254="",B1254="",E1254=""),"",IFERROR(A1254&amp;"|"&amp;(27+4*(IFERROR(MATCH(C1254,Roster!$B$6:$B$65,0),MATCH(C1254,Roster!$C$6:$C$65,0))-1)+MATCH(B1254,{"AM","PM","NIGHT","WD"},0)-1),""))</f>
        <v/>
      </c>
    </row>
    <row r="1255">
      <c r="A1255" s="122" t="n"/>
      <c r="B1255" s="107" t="n"/>
      <c r="C1255" s="105" t="n"/>
      <c r="D1255" s="92">
        <f>IF(C1255="","",IFERROR(INDEX(Roster!$C$6:$C$65,IFERROR(MATCH(C1255,Roster!$B$6:$B$65,0),MATCH(C1255,Roster!$C$6:$C$65,0))),"not on the Roster"))</f>
        <v/>
      </c>
      <c r="E1255" s="106" t="n"/>
      <c r="F1255" s="104">
        <f>IF(OR(A1255="",C1255="",B1255=""),"",IFERROR(INDEX(CHOOSE(IF(YEAR(A1255)&gt;PlanYear,13,MONTH(A1255)),'Jan'!$D$27:$AH$266,'Feb'!$D$27:$AH$266,'Mar'!$D$27:$AH$266,'Apr'!$D$27:$AH$266,'May'!$D$27:$AH$266,'Jun'!$D$27:$AH$266,'Jul'!$D$27:$AH$266,'Aug'!$D$27:$AH$266,'Sep'!$D$27:$AH$266,'Oct'!$D$27:$AH$266,'Nov'!$D$27:$AH$266,'Dec'!$D$27:$AH$266,'Jan (next year)'!$D$27:$AH$266),27+4*(IFERROR(MATCH(C1255,Roster!$B$6:$B$65,0),MATCH(C1255,Roster!$C$6:$C$65,0))-1)+MATCH(B1255,{"AM","PM","NIGHT","WD"},0)-1-27+1,DAY(A1255))&amp;"",""))</f>
        <v/>
      </c>
      <c r="G1255" s="123">
        <f>IF(OR(A1255="",C1255="",B1255="",E1255=""),"",IFERROR(A1255&amp;"|"&amp;(27+4*(IFERROR(MATCH(C1255,Roster!$B$6:$B$65,0),MATCH(C1255,Roster!$C$6:$C$65,0))-1)+MATCH(B1255,{"AM","PM","NIGHT","WD"},0)-1),""))</f>
        <v/>
      </c>
    </row>
    <row r="1256">
      <c r="A1256" s="122" t="n"/>
      <c r="B1256" s="107" t="n"/>
      <c r="C1256" s="105" t="n"/>
      <c r="D1256" s="92">
        <f>IF(C1256="","",IFERROR(INDEX(Roster!$C$6:$C$65,IFERROR(MATCH(C1256,Roster!$B$6:$B$65,0),MATCH(C1256,Roster!$C$6:$C$65,0))),"not on the Roster"))</f>
        <v/>
      </c>
      <c r="E1256" s="106" t="n"/>
      <c r="F1256" s="104">
        <f>IF(OR(A1256="",C1256="",B1256=""),"",IFERROR(INDEX(CHOOSE(IF(YEAR(A1256)&gt;PlanYear,13,MONTH(A1256)),'Jan'!$D$27:$AH$266,'Feb'!$D$27:$AH$266,'Mar'!$D$27:$AH$266,'Apr'!$D$27:$AH$266,'May'!$D$27:$AH$266,'Jun'!$D$27:$AH$266,'Jul'!$D$27:$AH$266,'Aug'!$D$27:$AH$266,'Sep'!$D$27:$AH$266,'Oct'!$D$27:$AH$266,'Nov'!$D$27:$AH$266,'Dec'!$D$27:$AH$266,'Jan (next year)'!$D$27:$AH$266),27+4*(IFERROR(MATCH(C1256,Roster!$B$6:$B$65,0),MATCH(C1256,Roster!$C$6:$C$65,0))-1)+MATCH(B1256,{"AM","PM","NIGHT","WD"},0)-1-27+1,DAY(A1256))&amp;"",""))</f>
        <v/>
      </c>
      <c r="G1256" s="123">
        <f>IF(OR(A1256="",C1256="",B1256="",E1256=""),"",IFERROR(A1256&amp;"|"&amp;(27+4*(IFERROR(MATCH(C1256,Roster!$B$6:$B$65,0),MATCH(C1256,Roster!$C$6:$C$65,0))-1)+MATCH(B1256,{"AM","PM","NIGHT","WD"},0)-1),""))</f>
        <v/>
      </c>
    </row>
    <row r="1257">
      <c r="A1257" s="122" t="n"/>
      <c r="B1257" s="107" t="n"/>
      <c r="C1257" s="105" t="n"/>
      <c r="D1257" s="92">
        <f>IF(C1257="","",IFERROR(INDEX(Roster!$C$6:$C$65,IFERROR(MATCH(C1257,Roster!$B$6:$B$65,0),MATCH(C1257,Roster!$C$6:$C$65,0))),"not on the Roster"))</f>
        <v/>
      </c>
      <c r="E1257" s="106" t="n"/>
      <c r="F1257" s="104">
        <f>IF(OR(A1257="",C1257="",B1257=""),"",IFERROR(INDEX(CHOOSE(IF(YEAR(A1257)&gt;PlanYear,13,MONTH(A1257)),'Jan'!$D$27:$AH$266,'Feb'!$D$27:$AH$266,'Mar'!$D$27:$AH$266,'Apr'!$D$27:$AH$266,'May'!$D$27:$AH$266,'Jun'!$D$27:$AH$266,'Jul'!$D$27:$AH$266,'Aug'!$D$27:$AH$266,'Sep'!$D$27:$AH$266,'Oct'!$D$27:$AH$266,'Nov'!$D$27:$AH$266,'Dec'!$D$27:$AH$266,'Jan (next year)'!$D$27:$AH$266),27+4*(IFERROR(MATCH(C1257,Roster!$B$6:$B$65,0),MATCH(C1257,Roster!$C$6:$C$65,0))-1)+MATCH(B1257,{"AM","PM","NIGHT","WD"},0)-1-27+1,DAY(A1257))&amp;"",""))</f>
        <v/>
      </c>
      <c r="G1257" s="123">
        <f>IF(OR(A1257="",C1257="",B1257="",E1257=""),"",IFERROR(A1257&amp;"|"&amp;(27+4*(IFERROR(MATCH(C1257,Roster!$B$6:$B$65,0),MATCH(C1257,Roster!$C$6:$C$65,0))-1)+MATCH(B1257,{"AM","PM","NIGHT","WD"},0)-1),""))</f>
        <v/>
      </c>
    </row>
    <row r="1258">
      <c r="A1258" s="122" t="n"/>
      <c r="B1258" s="107" t="n"/>
      <c r="C1258" s="105" t="n"/>
      <c r="D1258" s="92">
        <f>IF(C1258="","",IFERROR(INDEX(Roster!$C$6:$C$65,IFERROR(MATCH(C1258,Roster!$B$6:$B$65,0),MATCH(C1258,Roster!$C$6:$C$65,0))),"not on the Roster"))</f>
        <v/>
      </c>
      <c r="E1258" s="106" t="n"/>
      <c r="F1258" s="104">
        <f>IF(OR(A1258="",C1258="",B1258=""),"",IFERROR(INDEX(CHOOSE(IF(YEAR(A1258)&gt;PlanYear,13,MONTH(A1258)),'Jan'!$D$27:$AH$266,'Feb'!$D$27:$AH$266,'Mar'!$D$27:$AH$266,'Apr'!$D$27:$AH$266,'May'!$D$27:$AH$266,'Jun'!$D$27:$AH$266,'Jul'!$D$27:$AH$266,'Aug'!$D$27:$AH$266,'Sep'!$D$27:$AH$266,'Oct'!$D$27:$AH$266,'Nov'!$D$27:$AH$266,'Dec'!$D$27:$AH$266,'Jan (next year)'!$D$27:$AH$266),27+4*(IFERROR(MATCH(C1258,Roster!$B$6:$B$65,0),MATCH(C1258,Roster!$C$6:$C$65,0))-1)+MATCH(B1258,{"AM","PM","NIGHT","WD"},0)-1-27+1,DAY(A1258))&amp;"",""))</f>
        <v/>
      </c>
      <c r="G1258" s="123">
        <f>IF(OR(A1258="",C1258="",B1258="",E1258=""),"",IFERROR(A1258&amp;"|"&amp;(27+4*(IFERROR(MATCH(C1258,Roster!$B$6:$B$65,0),MATCH(C1258,Roster!$C$6:$C$65,0))-1)+MATCH(B1258,{"AM","PM","NIGHT","WD"},0)-1),""))</f>
        <v/>
      </c>
    </row>
    <row r="1259">
      <c r="A1259" s="122" t="n"/>
      <c r="B1259" s="107" t="n"/>
      <c r="C1259" s="105" t="n"/>
      <c r="D1259" s="92">
        <f>IF(C1259="","",IFERROR(INDEX(Roster!$C$6:$C$65,IFERROR(MATCH(C1259,Roster!$B$6:$B$65,0),MATCH(C1259,Roster!$C$6:$C$65,0))),"not on the Roster"))</f>
        <v/>
      </c>
      <c r="E1259" s="106" t="n"/>
      <c r="F1259" s="104">
        <f>IF(OR(A1259="",C1259="",B1259=""),"",IFERROR(INDEX(CHOOSE(IF(YEAR(A1259)&gt;PlanYear,13,MONTH(A1259)),'Jan'!$D$27:$AH$266,'Feb'!$D$27:$AH$266,'Mar'!$D$27:$AH$266,'Apr'!$D$27:$AH$266,'May'!$D$27:$AH$266,'Jun'!$D$27:$AH$266,'Jul'!$D$27:$AH$266,'Aug'!$D$27:$AH$266,'Sep'!$D$27:$AH$266,'Oct'!$D$27:$AH$266,'Nov'!$D$27:$AH$266,'Dec'!$D$27:$AH$266,'Jan (next year)'!$D$27:$AH$266),27+4*(IFERROR(MATCH(C1259,Roster!$B$6:$B$65,0),MATCH(C1259,Roster!$C$6:$C$65,0))-1)+MATCH(B1259,{"AM","PM","NIGHT","WD"},0)-1-27+1,DAY(A1259))&amp;"",""))</f>
        <v/>
      </c>
      <c r="G1259" s="123">
        <f>IF(OR(A1259="",C1259="",B1259="",E1259=""),"",IFERROR(A1259&amp;"|"&amp;(27+4*(IFERROR(MATCH(C1259,Roster!$B$6:$B$65,0),MATCH(C1259,Roster!$C$6:$C$65,0))-1)+MATCH(B1259,{"AM","PM","NIGHT","WD"},0)-1),""))</f>
        <v/>
      </c>
    </row>
    <row r="1260">
      <c r="A1260" s="122" t="n"/>
      <c r="B1260" s="107" t="n"/>
      <c r="C1260" s="105" t="n"/>
      <c r="D1260" s="92">
        <f>IF(C1260="","",IFERROR(INDEX(Roster!$C$6:$C$65,IFERROR(MATCH(C1260,Roster!$B$6:$B$65,0),MATCH(C1260,Roster!$C$6:$C$65,0))),"not on the Roster"))</f>
        <v/>
      </c>
      <c r="E1260" s="106" t="n"/>
      <c r="F1260" s="104">
        <f>IF(OR(A1260="",C1260="",B1260=""),"",IFERROR(INDEX(CHOOSE(IF(YEAR(A1260)&gt;PlanYear,13,MONTH(A1260)),'Jan'!$D$27:$AH$266,'Feb'!$D$27:$AH$266,'Mar'!$D$27:$AH$266,'Apr'!$D$27:$AH$266,'May'!$D$27:$AH$266,'Jun'!$D$27:$AH$266,'Jul'!$D$27:$AH$266,'Aug'!$D$27:$AH$266,'Sep'!$D$27:$AH$266,'Oct'!$D$27:$AH$266,'Nov'!$D$27:$AH$266,'Dec'!$D$27:$AH$266,'Jan (next year)'!$D$27:$AH$266),27+4*(IFERROR(MATCH(C1260,Roster!$B$6:$B$65,0),MATCH(C1260,Roster!$C$6:$C$65,0))-1)+MATCH(B1260,{"AM","PM","NIGHT","WD"},0)-1-27+1,DAY(A1260))&amp;"",""))</f>
        <v/>
      </c>
      <c r="G1260" s="123">
        <f>IF(OR(A1260="",C1260="",B1260="",E1260=""),"",IFERROR(A1260&amp;"|"&amp;(27+4*(IFERROR(MATCH(C1260,Roster!$B$6:$B$65,0),MATCH(C1260,Roster!$C$6:$C$65,0))-1)+MATCH(B1260,{"AM","PM","NIGHT","WD"},0)-1),""))</f>
        <v/>
      </c>
    </row>
    <row r="1261">
      <c r="A1261" s="122" t="n"/>
      <c r="B1261" s="107" t="n"/>
      <c r="C1261" s="105" t="n"/>
      <c r="D1261" s="92">
        <f>IF(C1261="","",IFERROR(INDEX(Roster!$C$6:$C$65,IFERROR(MATCH(C1261,Roster!$B$6:$B$65,0),MATCH(C1261,Roster!$C$6:$C$65,0))),"not on the Roster"))</f>
        <v/>
      </c>
      <c r="E1261" s="106" t="n"/>
      <c r="F1261" s="104">
        <f>IF(OR(A1261="",C1261="",B1261=""),"",IFERROR(INDEX(CHOOSE(IF(YEAR(A1261)&gt;PlanYear,13,MONTH(A1261)),'Jan'!$D$27:$AH$266,'Feb'!$D$27:$AH$266,'Mar'!$D$27:$AH$266,'Apr'!$D$27:$AH$266,'May'!$D$27:$AH$266,'Jun'!$D$27:$AH$266,'Jul'!$D$27:$AH$266,'Aug'!$D$27:$AH$266,'Sep'!$D$27:$AH$266,'Oct'!$D$27:$AH$266,'Nov'!$D$27:$AH$266,'Dec'!$D$27:$AH$266,'Jan (next year)'!$D$27:$AH$266),27+4*(IFERROR(MATCH(C1261,Roster!$B$6:$B$65,0),MATCH(C1261,Roster!$C$6:$C$65,0))-1)+MATCH(B1261,{"AM","PM","NIGHT","WD"},0)-1-27+1,DAY(A1261))&amp;"",""))</f>
        <v/>
      </c>
      <c r="G1261" s="123">
        <f>IF(OR(A1261="",C1261="",B1261="",E1261=""),"",IFERROR(A1261&amp;"|"&amp;(27+4*(IFERROR(MATCH(C1261,Roster!$B$6:$B$65,0),MATCH(C1261,Roster!$C$6:$C$65,0))-1)+MATCH(B1261,{"AM","PM","NIGHT","WD"},0)-1),""))</f>
        <v/>
      </c>
    </row>
    <row r="1262">
      <c r="A1262" s="122" t="n"/>
      <c r="B1262" s="107" t="n"/>
      <c r="C1262" s="105" t="n"/>
      <c r="D1262" s="92">
        <f>IF(C1262="","",IFERROR(INDEX(Roster!$C$6:$C$65,IFERROR(MATCH(C1262,Roster!$B$6:$B$65,0),MATCH(C1262,Roster!$C$6:$C$65,0))),"not on the Roster"))</f>
        <v/>
      </c>
      <c r="E1262" s="106" t="n"/>
      <c r="F1262" s="104">
        <f>IF(OR(A1262="",C1262="",B1262=""),"",IFERROR(INDEX(CHOOSE(IF(YEAR(A1262)&gt;PlanYear,13,MONTH(A1262)),'Jan'!$D$27:$AH$266,'Feb'!$D$27:$AH$266,'Mar'!$D$27:$AH$266,'Apr'!$D$27:$AH$266,'May'!$D$27:$AH$266,'Jun'!$D$27:$AH$266,'Jul'!$D$27:$AH$266,'Aug'!$D$27:$AH$266,'Sep'!$D$27:$AH$266,'Oct'!$D$27:$AH$266,'Nov'!$D$27:$AH$266,'Dec'!$D$27:$AH$266,'Jan (next year)'!$D$27:$AH$266),27+4*(IFERROR(MATCH(C1262,Roster!$B$6:$B$65,0),MATCH(C1262,Roster!$C$6:$C$65,0))-1)+MATCH(B1262,{"AM","PM","NIGHT","WD"},0)-1-27+1,DAY(A1262))&amp;"",""))</f>
        <v/>
      </c>
      <c r="G1262" s="123">
        <f>IF(OR(A1262="",C1262="",B1262="",E1262=""),"",IFERROR(A1262&amp;"|"&amp;(27+4*(IFERROR(MATCH(C1262,Roster!$B$6:$B$65,0),MATCH(C1262,Roster!$C$6:$C$65,0))-1)+MATCH(B1262,{"AM","PM","NIGHT","WD"},0)-1),""))</f>
        <v/>
      </c>
    </row>
    <row r="1263">
      <c r="A1263" s="122" t="n"/>
      <c r="B1263" s="107" t="n"/>
      <c r="C1263" s="105" t="n"/>
      <c r="D1263" s="92">
        <f>IF(C1263="","",IFERROR(INDEX(Roster!$C$6:$C$65,IFERROR(MATCH(C1263,Roster!$B$6:$B$65,0),MATCH(C1263,Roster!$C$6:$C$65,0))),"not on the Roster"))</f>
        <v/>
      </c>
      <c r="E1263" s="106" t="n"/>
      <c r="F1263" s="104">
        <f>IF(OR(A1263="",C1263="",B1263=""),"",IFERROR(INDEX(CHOOSE(IF(YEAR(A1263)&gt;PlanYear,13,MONTH(A1263)),'Jan'!$D$27:$AH$266,'Feb'!$D$27:$AH$266,'Mar'!$D$27:$AH$266,'Apr'!$D$27:$AH$266,'May'!$D$27:$AH$266,'Jun'!$D$27:$AH$266,'Jul'!$D$27:$AH$266,'Aug'!$D$27:$AH$266,'Sep'!$D$27:$AH$266,'Oct'!$D$27:$AH$266,'Nov'!$D$27:$AH$266,'Dec'!$D$27:$AH$266,'Jan (next year)'!$D$27:$AH$266),27+4*(IFERROR(MATCH(C1263,Roster!$B$6:$B$65,0),MATCH(C1263,Roster!$C$6:$C$65,0))-1)+MATCH(B1263,{"AM","PM","NIGHT","WD"},0)-1-27+1,DAY(A1263))&amp;"",""))</f>
        <v/>
      </c>
      <c r="G1263" s="123">
        <f>IF(OR(A1263="",C1263="",B1263="",E1263=""),"",IFERROR(A1263&amp;"|"&amp;(27+4*(IFERROR(MATCH(C1263,Roster!$B$6:$B$65,0),MATCH(C1263,Roster!$C$6:$C$65,0))-1)+MATCH(B1263,{"AM","PM","NIGHT","WD"},0)-1),""))</f>
        <v/>
      </c>
    </row>
    <row r="1264">
      <c r="A1264" s="122" t="n"/>
      <c r="B1264" s="107" t="n"/>
      <c r="C1264" s="105" t="n"/>
      <c r="D1264" s="92">
        <f>IF(C1264="","",IFERROR(INDEX(Roster!$C$6:$C$65,IFERROR(MATCH(C1264,Roster!$B$6:$B$65,0),MATCH(C1264,Roster!$C$6:$C$65,0))),"not on the Roster"))</f>
        <v/>
      </c>
      <c r="E1264" s="106" t="n"/>
      <c r="F1264" s="104">
        <f>IF(OR(A1264="",C1264="",B1264=""),"",IFERROR(INDEX(CHOOSE(IF(YEAR(A1264)&gt;PlanYear,13,MONTH(A1264)),'Jan'!$D$27:$AH$266,'Feb'!$D$27:$AH$266,'Mar'!$D$27:$AH$266,'Apr'!$D$27:$AH$266,'May'!$D$27:$AH$266,'Jun'!$D$27:$AH$266,'Jul'!$D$27:$AH$266,'Aug'!$D$27:$AH$266,'Sep'!$D$27:$AH$266,'Oct'!$D$27:$AH$266,'Nov'!$D$27:$AH$266,'Dec'!$D$27:$AH$266,'Jan (next year)'!$D$27:$AH$266),27+4*(IFERROR(MATCH(C1264,Roster!$B$6:$B$65,0),MATCH(C1264,Roster!$C$6:$C$65,0))-1)+MATCH(B1264,{"AM","PM","NIGHT","WD"},0)-1-27+1,DAY(A1264))&amp;"",""))</f>
        <v/>
      </c>
      <c r="G1264" s="123">
        <f>IF(OR(A1264="",C1264="",B1264="",E1264=""),"",IFERROR(A1264&amp;"|"&amp;(27+4*(IFERROR(MATCH(C1264,Roster!$B$6:$B$65,0),MATCH(C1264,Roster!$C$6:$C$65,0))-1)+MATCH(B1264,{"AM","PM","NIGHT","WD"},0)-1),""))</f>
        <v/>
      </c>
    </row>
    <row r="1265">
      <c r="A1265" s="122" t="n"/>
      <c r="B1265" s="107" t="n"/>
      <c r="C1265" s="105" t="n"/>
      <c r="D1265" s="92">
        <f>IF(C1265="","",IFERROR(INDEX(Roster!$C$6:$C$65,IFERROR(MATCH(C1265,Roster!$B$6:$B$65,0),MATCH(C1265,Roster!$C$6:$C$65,0))),"not on the Roster"))</f>
        <v/>
      </c>
      <c r="E1265" s="106" t="n"/>
      <c r="F1265" s="104">
        <f>IF(OR(A1265="",C1265="",B1265=""),"",IFERROR(INDEX(CHOOSE(IF(YEAR(A1265)&gt;PlanYear,13,MONTH(A1265)),'Jan'!$D$27:$AH$266,'Feb'!$D$27:$AH$266,'Mar'!$D$27:$AH$266,'Apr'!$D$27:$AH$266,'May'!$D$27:$AH$266,'Jun'!$D$27:$AH$266,'Jul'!$D$27:$AH$266,'Aug'!$D$27:$AH$266,'Sep'!$D$27:$AH$266,'Oct'!$D$27:$AH$266,'Nov'!$D$27:$AH$266,'Dec'!$D$27:$AH$266,'Jan (next year)'!$D$27:$AH$266),27+4*(IFERROR(MATCH(C1265,Roster!$B$6:$B$65,0),MATCH(C1265,Roster!$C$6:$C$65,0))-1)+MATCH(B1265,{"AM","PM","NIGHT","WD"},0)-1-27+1,DAY(A1265))&amp;"",""))</f>
        <v/>
      </c>
      <c r="G1265" s="123">
        <f>IF(OR(A1265="",C1265="",B1265="",E1265=""),"",IFERROR(A1265&amp;"|"&amp;(27+4*(IFERROR(MATCH(C1265,Roster!$B$6:$B$65,0),MATCH(C1265,Roster!$C$6:$C$65,0))-1)+MATCH(B1265,{"AM","PM","NIGHT","WD"},0)-1),""))</f>
        <v/>
      </c>
    </row>
    <row r="1266">
      <c r="A1266" s="122" t="n"/>
      <c r="B1266" s="107" t="n"/>
      <c r="C1266" s="105" t="n"/>
      <c r="D1266" s="92">
        <f>IF(C1266="","",IFERROR(INDEX(Roster!$C$6:$C$65,IFERROR(MATCH(C1266,Roster!$B$6:$B$65,0),MATCH(C1266,Roster!$C$6:$C$65,0))),"not on the Roster"))</f>
        <v/>
      </c>
      <c r="E1266" s="106" t="n"/>
      <c r="F1266" s="104">
        <f>IF(OR(A1266="",C1266="",B1266=""),"",IFERROR(INDEX(CHOOSE(IF(YEAR(A1266)&gt;PlanYear,13,MONTH(A1266)),'Jan'!$D$27:$AH$266,'Feb'!$D$27:$AH$266,'Mar'!$D$27:$AH$266,'Apr'!$D$27:$AH$266,'May'!$D$27:$AH$266,'Jun'!$D$27:$AH$266,'Jul'!$D$27:$AH$266,'Aug'!$D$27:$AH$266,'Sep'!$D$27:$AH$266,'Oct'!$D$27:$AH$266,'Nov'!$D$27:$AH$266,'Dec'!$D$27:$AH$266,'Jan (next year)'!$D$27:$AH$266),27+4*(IFERROR(MATCH(C1266,Roster!$B$6:$B$65,0),MATCH(C1266,Roster!$C$6:$C$65,0))-1)+MATCH(B1266,{"AM","PM","NIGHT","WD"},0)-1-27+1,DAY(A1266))&amp;"",""))</f>
        <v/>
      </c>
      <c r="G1266" s="123">
        <f>IF(OR(A1266="",C1266="",B1266="",E1266=""),"",IFERROR(A1266&amp;"|"&amp;(27+4*(IFERROR(MATCH(C1266,Roster!$B$6:$B$65,0),MATCH(C1266,Roster!$C$6:$C$65,0))-1)+MATCH(B1266,{"AM","PM","NIGHT","WD"},0)-1),""))</f>
        <v/>
      </c>
    </row>
    <row r="1267">
      <c r="A1267" s="122" t="n"/>
      <c r="B1267" s="107" t="n"/>
      <c r="C1267" s="105" t="n"/>
      <c r="D1267" s="92">
        <f>IF(C1267="","",IFERROR(INDEX(Roster!$C$6:$C$65,IFERROR(MATCH(C1267,Roster!$B$6:$B$65,0),MATCH(C1267,Roster!$C$6:$C$65,0))),"not on the Roster"))</f>
        <v/>
      </c>
      <c r="E1267" s="106" t="n"/>
      <c r="F1267" s="104">
        <f>IF(OR(A1267="",C1267="",B1267=""),"",IFERROR(INDEX(CHOOSE(IF(YEAR(A1267)&gt;PlanYear,13,MONTH(A1267)),'Jan'!$D$27:$AH$266,'Feb'!$D$27:$AH$266,'Mar'!$D$27:$AH$266,'Apr'!$D$27:$AH$266,'May'!$D$27:$AH$266,'Jun'!$D$27:$AH$266,'Jul'!$D$27:$AH$266,'Aug'!$D$27:$AH$266,'Sep'!$D$27:$AH$266,'Oct'!$D$27:$AH$266,'Nov'!$D$27:$AH$266,'Dec'!$D$27:$AH$266,'Jan (next year)'!$D$27:$AH$266),27+4*(IFERROR(MATCH(C1267,Roster!$B$6:$B$65,0),MATCH(C1267,Roster!$C$6:$C$65,0))-1)+MATCH(B1267,{"AM","PM","NIGHT","WD"},0)-1-27+1,DAY(A1267))&amp;"",""))</f>
        <v/>
      </c>
      <c r="G1267" s="123">
        <f>IF(OR(A1267="",C1267="",B1267="",E1267=""),"",IFERROR(A1267&amp;"|"&amp;(27+4*(IFERROR(MATCH(C1267,Roster!$B$6:$B$65,0),MATCH(C1267,Roster!$C$6:$C$65,0))-1)+MATCH(B1267,{"AM","PM","NIGHT","WD"},0)-1),""))</f>
        <v/>
      </c>
    </row>
    <row r="1268">
      <c r="A1268" s="122" t="n"/>
      <c r="B1268" s="107" t="n"/>
      <c r="C1268" s="105" t="n"/>
      <c r="D1268" s="92">
        <f>IF(C1268="","",IFERROR(INDEX(Roster!$C$6:$C$65,IFERROR(MATCH(C1268,Roster!$B$6:$B$65,0),MATCH(C1268,Roster!$C$6:$C$65,0))),"not on the Roster"))</f>
        <v/>
      </c>
      <c r="E1268" s="106" t="n"/>
      <c r="F1268" s="104">
        <f>IF(OR(A1268="",C1268="",B1268=""),"",IFERROR(INDEX(CHOOSE(IF(YEAR(A1268)&gt;PlanYear,13,MONTH(A1268)),'Jan'!$D$27:$AH$266,'Feb'!$D$27:$AH$266,'Mar'!$D$27:$AH$266,'Apr'!$D$27:$AH$266,'May'!$D$27:$AH$266,'Jun'!$D$27:$AH$266,'Jul'!$D$27:$AH$266,'Aug'!$D$27:$AH$266,'Sep'!$D$27:$AH$266,'Oct'!$D$27:$AH$266,'Nov'!$D$27:$AH$266,'Dec'!$D$27:$AH$266,'Jan (next year)'!$D$27:$AH$266),27+4*(IFERROR(MATCH(C1268,Roster!$B$6:$B$65,0),MATCH(C1268,Roster!$C$6:$C$65,0))-1)+MATCH(B1268,{"AM","PM","NIGHT","WD"},0)-1-27+1,DAY(A1268))&amp;"",""))</f>
        <v/>
      </c>
      <c r="G1268" s="123">
        <f>IF(OR(A1268="",C1268="",B1268="",E1268=""),"",IFERROR(A1268&amp;"|"&amp;(27+4*(IFERROR(MATCH(C1268,Roster!$B$6:$B$65,0),MATCH(C1268,Roster!$C$6:$C$65,0))-1)+MATCH(B1268,{"AM","PM","NIGHT","WD"},0)-1),""))</f>
        <v/>
      </c>
    </row>
    <row r="1269">
      <c r="A1269" s="122" t="n"/>
      <c r="B1269" s="107" t="n"/>
      <c r="C1269" s="105" t="n"/>
      <c r="D1269" s="92">
        <f>IF(C1269="","",IFERROR(INDEX(Roster!$C$6:$C$65,IFERROR(MATCH(C1269,Roster!$B$6:$B$65,0),MATCH(C1269,Roster!$C$6:$C$65,0))),"not on the Roster"))</f>
        <v/>
      </c>
      <c r="E1269" s="106" t="n"/>
      <c r="F1269" s="104">
        <f>IF(OR(A1269="",C1269="",B1269=""),"",IFERROR(INDEX(CHOOSE(IF(YEAR(A1269)&gt;PlanYear,13,MONTH(A1269)),'Jan'!$D$27:$AH$266,'Feb'!$D$27:$AH$266,'Mar'!$D$27:$AH$266,'Apr'!$D$27:$AH$266,'May'!$D$27:$AH$266,'Jun'!$D$27:$AH$266,'Jul'!$D$27:$AH$266,'Aug'!$D$27:$AH$266,'Sep'!$D$27:$AH$266,'Oct'!$D$27:$AH$266,'Nov'!$D$27:$AH$266,'Dec'!$D$27:$AH$266,'Jan (next year)'!$D$27:$AH$266),27+4*(IFERROR(MATCH(C1269,Roster!$B$6:$B$65,0),MATCH(C1269,Roster!$C$6:$C$65,0))-1)+MATCH(B1269,{"AM","PM","NIGHT","WD"},0)-1-27+1,DAY(A1269))&amp;"",""))</f>
        <v/>
      </c>
      <c r="G1269" s="123">
        <f>IF(OR(A1269="",C1269="",B1269="",E1269=""),"",IFERROR(A1269&amp;"|"&amp;(27+4*(IFERROR(MATCH(C1269,Roster!$B$6:$B$65,0),MATCH(C1269,Roster!$C$6:$C$65,0))-1)+MATCH(B1269,{"AM","PM","NIGHT","WD"},0)-1),""))</f>
        <v/>
      </c>
    </row>
    <row r="1270">
      <c r="A1270" s="122" t="n"/>
      <c r="B1270" s="107" t="n"/>
      <c r="C1270" s="105" t="n"/>
      <c r="D1270" s="92">
        <f>IF(C1270="","",IFERROR(INDEX(Roster!$C$6:$C$65,IFERROR(MATCH(C1270,Roster!$B$6:$B$65,0),MATCH(C1270,Roster!$C$6:$C$65,0))),"not on the Roster"))</f>
        <v/>
      </c>
      <c r="E1270" s="106" t="n"/>
      <c r="F1270" s="104">
        <f>IF(OR(A1270="",C1270="",B1270=""),"",IFERROR(INDEX(CHOOSE(IF(YEAR(A1270)&gt;PlanYear,13,MONTH(A1270)),'Jan'!$D$27:$AH$266,'Feb'!$D$27:$AH$266,'Mar'!$D$27:$AH$266,'Apr'!$D$27:$AH$266,'May'!$D$27:$AH$266,'Jun'!$D$27:$AH$266,'Jul'!$D$27:$AH$266,'Aug'!$D$27:$AH$266,'Sep'!$D$27:$AH$266,'Oct'!$D$27:$AH$266,'Nov'!$D$27:$AH$266,'Dec'!$D$27:$AH$266,'Jan (next year)'!$D$27:$AH$266),27+4*(IFERROR(MATCH(C1270,Roster!$B$6:$B$65,0),MATCH(C1270,Roster!$C$6:$C$65,0))-1)+MATCH(B1270,{"AM","PM","NIGHT","WD"},0)-1-27+1,DAY(A1270))&amp;"",""))</f>
        <v/>
      </c>
      <c r="G1270" s="123">
        <f>IF(OR(A1270="",C1270="",B1270="",E1270=""),"",IFERROR(A1270&amp;"|"&amp;(27+4*(IFERROR(MATCH(C1270,Roster!$B$6:$B$65,0),MATCH(C1270,Roster!$C$6:$C$65,0))-1)+MATCH(B1270,{"AM","PM","NIGHT","WD"},0)-1),""))</f>
        <v/>
      </c>
    </row>
    <row r="1271">
      <c r="A1271" s="122" t="n"/>
      <c r="B1271" s="107" t="n"/>
      <c r="C1271" s="105" t="n"/>
      <c r="D1271" s="92">
        <f>IF(C1271="","",IFERROR(INDEX(Roster!$C$6:$C$65,IFERROR(MATCH(C1271,Roster!$B$6:$B$65,0),MATCH(C1271,Roster!$C$6:$C$65,0))),"not on the Roster"))</f>
        <v/>
      </c>
      <c r="E1271" s="106" t="n"/>
      <c r="F1271" s="104">
        <f>IF(OR(A1271="",C1271="",B1271=""),"",IFERROR(INDEX(CHOOSE(IF(YEAR(A1271)&gt;PlanYear,13,MONTH(A1271)),'Jan'!$D$27:$AH$266,'Feb'!$D$27:$AH$266,'Mar'!$D$27:$AH$266,'Apr'!$D$27:$AH$266,'May'!$D$27:$AH$266,'Jun'!$D$27:$AH$266,'Jul'!$D$27:$AH$266,'Aug'!$D$27:$AH$266,'Sep'!$D$27:$AH$266,'Oct'!$D$27:$AH$266,'Nov'!$D$27:$AH$266,'Dec'!$D$27:$AH$266,'Jan (next year)'!$D$27:$AH$266),27+4*(IFERROR(MATCH(C1271,Roster!$B$6:$B$65,0),MATCH(C1271,Roster!$C$6:$C$65,0))-1)+MATCH(B1271,{"AM","PM","NIGHT","WD"},0)-1-27+1,DAY(A1271))&amp;"",""))</f>
        <v/>
      </c>
      <c r="G1271" s="123">
        <f>IF(OR(A1271="",C1271="",B1271="",E1271=""),"",IFERROR(A1271&amp;"|"&amp;(27+4*(IFERROR(MATCH(C1271,Roster!$B$6:$B$65,0),MATCH(C1271,Roster!$C$6:$C$65,0))-1)+MATCH(B1271,{"AM","PM","NIGHT","WD"},0)-1),""))</f>
        <v/>
      </c>
    </row>
    <row r="1272">
      <c r="A1272" s="122" t="n"/>
      <c r="B1272" s="107" t="n"/>
      <c r="C1272" s="105" t="n"/>
      <c r="D1272" s="92">
        <f>IF(C1272="","",IFERROR(INDEX(Roster!$C$6:$C$65,IFERROR(MATCH(C1272,Roster!$B$6:$B$65,0),MATCH(C1272,Roster!$C$6:$C$65,0))),"not on the Roster"))</f>
        <v/>
      </c>
      <c r="E1272" s="106" t="n"/>
      <c r="F1272" s="104">
        <f>IF(OR(A1272="",C1272="",B1272=""),"",IFERROR(INDEX(CHOOSE(IF(YEAR(A1272)&gt;PlanYear,13,MONTH(A1272)),'Jan'!$D$27:$AH$266,'Feb'!$D$27:$AH$266,'Mar'!$D$27:$AH$266,'Apr'!$D$27:$AH$266,'May'!$D$27:$AH$266,'Jun'!$D$27:$AH$266,'Jul'!$D$27:$AH$266,'Aug'!$D$27:$AH$266,'Sep'!$D$27:$AH$266,'Oct'!$D$27:$AH$266,'Nov'!$D$27:$AH$266,'Dec'!$D$27:$AH$266,'Jan (next year)'!$D$27:$AH$266),27+4*(IFERROR(MATCH(C1272,Roster!$B$6:$B$65,0),MATCH(C1272,Roster!$C$6:$C$65,0))-1)+MATCH(B1272,{"AM","PM","NIGHT","WD"},0)-1-27+1,DAY(A1272))&amp;"",""))</f>
        <v/>
      </c>
      <c r="G1272" s="123">
        <f>IF(OR(A1272="",C1272="",B1272="",E1272=""),"",IFERROR(A1272&amp;"|"&amp;(27+4*(IFERROR(MATCH(C1272,Roster!$B$6:$B$65,0),MATCH(C1272,Roster!$C$6:$C$65,0))-1)+MATCH(B1272,{"AM","PM","NIGHT","WD"},0)-1),""))</f>
        <v/>
      </c>
    </row>
    <row r="1273">
      <c r="A1273" s="122" t="n"/>
      <c r="B1273" s="107" t="n"/>
      <c r="C1273" s="105" t="n"/>
      <c r="D1273" s="92">
        <f>IF(C1273="","",IFERROR(INDEX(Roster!$C$6:$C$65,IFERROR(MATCH(C1273,Roster!$B$6:$B$65,0),MATCH(C1273,Roster!$C$6:$C$65,0))),"not on the Roster"))</f>
        <v/>
      </c>
      <c r="E1273" s="106" t="n"/>
      <c r="F1273" s="104">
        <f>IF(OR(A1273="",C1273="",B1273=""),"",IFERROR(INDEX(CHOOSE(IF(YEAR(A1273)&gt;PlanYear,13,MONTH(A1273)),'Jan'!$D$27:$AH$266,'Feb'!$D$27:$AH$266,'Mar'!$D$27:$AH$266,'Apr'!$D$27:$AH$266,'May'!$D$27:$AH$266,'Jun'!$D$27:$AH$266,'Jul'!$D$27:$AH$266,'Aug'!$D$27:$AH$266,'Sep'!$D$27:$AH$266,'Oct'!$D$27:$AH$266,'Nov'!$D$27:$AH$266,'Dec'!$D$27:$AH$266,'Jan (next year)'!$D$27:$AH$266),27+4*(IFERROR(MATCH(C1273,Roster!$B$6:$B$65,0),MATCH(C1273,Roster!$C$6:$C$65,0))-1)+MATCH(B1273,{"AM","PM","NIGHT","WD"},0)-1-27+1,DAY(A1273))&amp;"",""))</f>
        <v/>
      </c>
      <c r="G1273" s="123">
        <f>IF(OR(A1273="",C1273="",B1273="",E1273=""),"",IFERROR(A1273&amp;"|"&amp;(27+4*(IFERROR(MATCH(C1273,Roster!$B$6:$B$65,0),MATCH(C1273,Roster!$C$6:$C$65,0))-1)+MATCH(B1273,{"AM","PM","NIGHT","WD"},0)-1),""))</f>
        <v/>
      </c>
    </row>
    <row r="1274">
      <c r="A1274" s="122" t="n"/>
      <c r="B1274" s="107" t="n"/>
      <c r="C1274" s="105" t="n"/>
      <c r="D1274" s="92">
        <f>IF(C1274="","",IFERROR(INDEX(Roster!$C$6:$C$65,IFERROR(MATCH(C1274,Roster!$B$6:$B$65,0),MATCH(C1274,Roster!$C$6:$C$65,0))),"not on the Roster"))</f>
        <v/>
      </c>
      <c r="E1274" s="106" t="n"/>
      <c r="F1274" s="104">
        <f>IF(OR(A1274="",C1274="",B1274=""),"",IFERROR(INDEX(CHOOSE(IF(YEAR(A1274)&gt;PlanYear,13,MONTH(A1274)),'Jan'!$D$27:$AH$266,'Feb'!$D$27:$AH$266,'Mar'!$D$27:$AH$266,'Apr'!$D$27:$AH$266,'May'!$D$27:$AH$266,'Jun'!$D$27:$AH$266,'Jul'!$D$27:$AH$266,'Aug'!$D$27:$AH$266,'Sep'!$D$27:$AH$266,'Oct'!$D$27:$AH$266,'Nov'!$D$27:$AH$266,'Dec'!$D$27:$AH$266,'Jan (next year)'!$D$27:$AH$266),27+4*(IFERROR(MATCH(C1274,Roster!$B$6:$B$65,0),MATCH(C1274,Roster!$C$6:$C$65,0))-1)+MATCH(B1274,{"AM","PM","NIGHT","WD"},0)-1-27+1,DAY(A1274))&amp;"",""))</f>
        <v/>
      </c>
      <c r="G1274" s="123">
        <f>IF(OR(A1274="",C1274="",B1274="",E1274=""),"",IFERROR(A1274&amp;"|"&amp;(27+4*(IFERROR(MATCH(C1274,Roster!$B$6:$B$65,0),MATCH(C1274,Roster!$C$6:$C$65,0))-1)+MATCH(B1274,{"AM","PM","NIGHT","WD"},0)-1),""))</f>
        <v/>
      </c>
    </row>
    <row r="1275">
      <c r="A1275" s="122" t="n"/>
      <c r="B1275" s="107" t="n"/>
      <c r="C1275" s="105" t="n"/>
      <c r="D1275" s="92">
        <f>IF(C1275="","",IFERROR(INDEX(Roster!$C$6:$C$65,IFERROR(MATCH(C1275,Roster!$B$6:$B$65,0),MATCH(C1275,Roster!$C$6:$C$65,0))),"not on the Roster"))</f>
        <v/>
      </c>
      <c r="E1275" s="106" t="n"/>
      <c r="F1275" s="104">
        <f>IF(OR(A1275="",C1275="",B1275=""),"",IFERROR(INDEX(CHOOSE(IF(YEAR(A1275)&gt;PlanYear,13,MONTH(A1275)),'Jan'!$D$27:$AH$266,'Feb'!$D$27:$AH$266,'Mar'!$D$27:$AH$266,'Apr'!$D$27:$AH$266,'May'!$D$27:$AH$266,'Jun'!$D$27:$AH$266,'Jul'!$D$27:$AH$266,'Aug'!$D$27:$AH$266,'Sep'!$D$27:$AH$266,'Oct'!$D$27:$AH$266,'Nov'!$D$27:$AH$266,'Dec'!$D$27:$AH$266,'Jan (next year)'!$D$27:$AH$266),27+4*(IFERROR(MATCH(C1275,Roster!$B$6:$B$65,0),MATCH(C1275,Roster!$C$6:$C$65,0))-1)+MATCH(B1275,{"AM","PM","NIGHT","WD"},0)-1-27+1,DAY(A1275))&amp;"",""))</f>
        <v/>
      </c>
      <c r="G1275" s="123">
        <f>IF(OR(A1275="",C1275="",B1275="",E1275=""),"",IFERROR(A1275&amp;"|"&amp;(27+4*(IFERROR(MATCH(C1275,Roster!$B$6:$B$65,0),MATCH(C1275,Roster!$C$6:$C$65,0))-1)+MATCH(B1275,{"AM","PM","NIGHT","WD"},0)-1),""))</f>
        <v/>
      </c>
    </row>
    <row r="1276">
      <c r="A1276" s="122" t="n"/>
      <c r="B1276" s="107" t="n"/>
      <c r="C1276" s="105" t="n"/>
      <c r="D1276" s="92">
        <f>IF(C1276="","",IFERROR(INDEX(Roster!$C$6:$C$65,IFERROR(MATCH(C1276,Roster!$B$6:$B$65,0),MATCH(C1276,Roster!$C$6:$C$65,0))),"not on the Roster"))</f>
        <v/>
      </c>
      <c r="E1276" s="106" t="n"/>
      <c r="F1276" s="104">
        <f>IF(OR(A1276="",C1276="",B1276=""),"",IFERROR(INDEX(CHOOSE(IF(YEAR(A1276)&gt;PlanYear,13,MONTH(A1276)),'Jan'!$D$27:$AH$266,'Feb'!$D$27:$AH$266,'Mar'!$D$27:$AH$266,'Apr'!$D$27:$AH$266,'May'!$D$27:$AH$266,'Jun'!$D$27:$AH$266,'Jul'!$D$27:$AH$266,'Aug'!$D$27:$AH$266,'Sep'!$D$27:$AH$266,'Oct'!$D$27:$AH$266,'Nov'!$D$27:$AH$266,'Dec'!$D$27:$AH$266,'Jan (next year)'!$D$27:$AH$266),27+4*(IFERROR(MATCH(C1276,Roster!$B$6:$B$65,0),MATCH(C1276,Roster!$C$6:$C$65,0))-1)+MATCH(B1276,{"AM","PM","NIGHT","WD"},0)-1-27+1,DAY(A1276))&amp;"",""))</f>
        <v/>
      </c>
      <c r="G1276" s="123">
        <f>IF(OR(A1276="",C1276="",B1276="",E1276=""),"",IFERROR(A1276&amp;"|"&amp;(27+4*(IFERROR(MATCH(C1276,Roster!$B$6:$B$65,0),MATCH(C1276,Roster!$C$6:$C$65,0))-1)+MATCH(B1276,{"AM","PM","NIGHT","WD"},0)-1),""))</f>
        <v/>
      </c>
    </row>
    <row r="1277">
      <c r="A1277" s="122" t="n"/>
      <c r="B1277" s="107" t="n"/>
      <c r="C1277" s="105" t="n"/>
      <c r="D1277" s="92">
        <f>IF(C1277="","",IFERROR(INDEX(Roster!$C$6:$C$65,IFERROR(MATCH(C1277,Roster!$B$6:$B$65,0),MATCH(C1277,Roster!$C$6:$C$65,0))),"not on the Roster"))</f>
        <v/>
      </c>
      <c r="E1277" s="106" t="n"/>
      <c r="F1277" s="104">
        <f>IF(OR(A1277="",C1277="",B1277=""),"",IFERROR(INDEX(CHOOSE(IF(YEAR(A1277)&gt;PlanYear,13,MONTH(A1277)),'Jan'!$D$27:$AH$266,'Feb'!$D$27:$AH$266,'Mar'!$D$27:$AH$266,'Apr'!$D$27:$AH$266,'May'!$D$27:$AH$266,'Jun'!$D$27:$AH$266,'Jul'!$D$27:$AH$266,'Aug'!$D$27:$AH$266,'Sep'!$D$27:$AH$266,'Oct'!$D$27:$AH$266,'Nov'!$D$27:$AH$266,'Dec'!$D$27:$AH$266,'Jan (next year)'!$D$27:$AH$266),27+4*(IFERROR(MATCH(C1277,Roster!$B$6:$B$65,0),MATCH(C1277,Roster!$C$6:$C$65,0))-1)+MATCH(B1277,{"AM","PM","NIGHT","WD"},0)-1-27+1,DAY(A1277))&amp;"",""))</f>
        <v/>
      </c>
      <c r="G1277" s="123">
        <f>IF(OR(A1277="",C1277="",B1277="",E1277=""),"",IFERROR(A1277&amp;"|"&amp;(27+4*(IFERROR(MATCH(C1277,Roster!$B$6:$B$65,0),MATCH(C1277,Roster!$C$6:$C$65,0))-1)+MATCH(B1277,{"AM","PM","NIGHT","WD"},0)-1),""))</f>
        <v/>
      </c>
    </row>
    <row r="1278">
      <c r="A1278" s="122" t="n"/>
      <c r="B1278" s="107" t="n"/>
      <c r="C1278" s="105" t="n"/>
      <c r="D1278" s="92">
        <f>IF(C1278="","",IFERROR(INDEX(Roster!$C$6:$C$65,IFERROR(MATCH(C1278,Roster!$B$6:$B$65,0),MATCH(C1278,Roster!$C$6:$C$65,0))),"not on the Roster"))</f>
        <v/>
      </c>
      <c r="E1278" s="106" t="n"/>
      <c r="F1278" s="104">
        <f>IF(OR(A1278="",C1278="",B1278=""),"",IFERROR(INDEX(CHOOSE(IF(YEAR(A1278)&gt;PlanYear,13,MONTH(A1278)),'Jan'!$D$27:$AH$266,'Feb'!$D$27:$AH$266,'Mar'!$D$27:$AH$266,'Apr'!$D$27:$AH$266,'May'!$D$27:$AH$266,'Jun'!$D$27:$AH$266,'Jul'!$D$27:$AH$266,'Aug'!$D$27:$AH$266,'Sep'!$D$27:$AH$266,'Oct'!$D$27:$AH$266,'Nov'!$D$27:$AH$266,'Dec'!$D$27:$AH$266,'Jan (next year)'!$D$27:$AH$266),27+4*(IFERROR(MATCH(C1278,Roster!$B$6:$B$65,0),MATCH(C1278,Roster!$C$6:$C$65,0))-1)+MATCH(B1278,{"AM","PM","NIGHT","WD"},0)-1-27+1,DAY(A1278))&amp;"",""))</f>
        <v/>
      </c>
      <c r="G1278" s="123">
        <f>IF(OR(A1278="",C1278="",B1278="",E1278=""),"",IFERROR(A1278&amp;"|"&amp;(27+4*(IFERROR(MATCH(C1278,Roster!$B$6:$B$65,0),MATCH(C1278,Roster!$C$6:$C$65,0))-1)+MATCH(B1278,{"AM","PM","NIGHT","WD"},0)-1),""))</f>
        <v/>
      </c>
    </row>
    <row r="1279">
      <c r="A1279" s="122" t="n"/>
      <c r="B1279" s="107" t="n"/>
      <c r="C1279" s="105" t="n"/>
      <c r="D1279" s="92">
        <f>IF(C1279="","",IFERROR(INDEX(Roster!$C$6:$C$65,IFERROR(MATCH(C1279,Roster!$B$6:$B$65,0),MATCH(C1279,Roster!$C$6:$C$65,0))),"not on the Roster"))</f>
        <v/>
      </c>
      <c r="E1279" s="106" t="n"/>
      <c r="F1279" s="104">
        <f>IF(OR(A1279="",C1279="",B1279=""),"",IFERROR(INDEX(CHOOSE(IF(YEAR(A1279)&gt;PlanYear,13,MONTH(A1279)),'Jan'!$D$27:$AH$266,'Feb'!$D$27:$AH$266,'Mar'!$D$27:$AH$266,'Apr'!$D$27:$AH$266,'May'!$D$27:$AH$266,'Jun'!$D$27:$AH$266,'Jul'!$D$27:$AH$266,'Aug'!$D$27:$AH$266,'Sep'!$D$27:$AH$266,'Oct'!$D$27:$AH$266,'Nov'!$D$27:$AH$266,'Dec'!$D$27:$AH$266,'Jan (next year)'!$D$27:$AH$266),27+4*(IFERROR(MATCH(C1279,Roster!$B$6:$B$65,0),MATCH(C1279,Roster!$C$6:$C$65,0))-1)+MATCH(B1279,{"AM","PM","NIGHT","WD"},0)-1-27+1,DAY(A1279))&amp;"",""))</f>
        <v/>
      </c>
      <c r="G1279" s="123">
        <f>IF(OR(A1279="",C1279="",B1279="",E1279=""),"",IFERROR(A1279&amp;"|"&amp;(27+4*(IFERROR(MATCH(C1279,Roster!$B$6:$B$65,0),MATCH(C1279,Roster!$C$6:$C$65,0))-1)+MATCH(B1279,{"AM","PM","NIGHT","WD"},0)-1),""))</f>
        <v/>
      </c>
    </row>
    <row r="1280">
      <c r="A1280" s="122" t="n"/>
      <c r="B1280" s="107" t="n"/>
      <c r="C1280" s="105" t="n"/>
      <c r="D1280" s="92">
        <f>IF(C1280="","",IFERROR(INDEX(Roster!$C$6:$C$65,IFERROR(MATCH(C1280,Roster!$B$6:$B$65,0),MATCH(C1280,Roster!$C$6:$C$65,0))),"not on the Roster"))</f>
        <v/>
      </c>
      <c r="E1280" s="106" t="n"/>
      <c r="F1280" s="104">
        <f>IF(OR(A1280="",C1280="",B1280=""),"",IFERROR(INDEX(CHOOSE(IF(YEAR(A1280)&gt;PlanYear,13,MONTH(A1280)),'Jan'!$D$27:$AH$266,'Feb'!$D$27:$AH$266,'Mar'!$D$27:$AH$266,'Apr'!$D$27:$AH$266,'May'!$D$27:$AH$266,'Jun'!$D$27:$AH$266,'Jul'!$D$27:$AH$266,'Aug'!$D$27:$AH$266,'Sep'!$D$27:$AH$266,'Oct'!$D$27:$AH$266,'Nov'!$D$27:$AH$266,'Dec'!$D$27:$AH$266,'Jan (next year)'!$D$27:$AH$266),27+4*(IFERROR(MATCH(C1280,Roster!$B$6:$B$65,0),MATCH(C1280,Roster!$C$6:$C$65,0))-1)+MATCH(B1280,{"AM","PM","NIGHT","WD"},0)-1-27+1,DAY(A1280))&amp;"",""))</f>
        <v/>
      </c>
      <c r="G1280" s="123">
        <f>IF(OR(A1280="",C1280="",B1280="",E1280=""),"",IFERROR(A1280&amp;"|"&amp;(27+4*(IFERROR(MATCH(C1280,Roster!$B$6:$B$65,0),MATCH(C1280,Roster!$C$6:$C$65,0))-1)+MATCH(B1280,{"AM","PM","NIGHT","WD"},0)-1),""))</f>
        <v/>
      </c>
    </row>
    <row r="1281">
      <c r="A1281" s="122" t="n"/>
      <c r="B1281" s="107" t="n"/>
      <c r="C1281" s="105" t="n"/>
      <c r="D1281" s="92">
        <f>IF(C1281="","",IFERROR(INDEX(Roster!$C$6:$C$65,IFERROR(MATCH(C1281,Roster!$B$6:$B$65,0),MATCH(C1281,Roster!$C$6:$C$65,0))),"not on the Roster"))</f>
        <v/>
      </c>
      <c r="E1281" s="106" t="n"/>
      <c r="F1281" s="104">
        <f>IF(OR(A1281="",C1281="",B1281=""),"",IFERROR(INDEX(CHOOSE(IF(YEAR(A1281)&gt;PlanYear,13,MONTH(A1281)),'Jan'!$D$27:$AH$266,'Feb'!$D$27:$AH$266,'Mar'!$D$27:$AH$266,'Apr'!$D$27:$AH$266,'May'!$D$27:$AH$266,'Jun'!$D$27:$AH$266,'Jul'!$D$27:$AH$266,'Aug'!$D$27:$AH$266,'Sep'!$D$27:$AH$266,'Oct'!$D$27:$AH$266,'Nov'!$D$27:$AH$266,'Dec'!$D$27:$AH$266,'Jan (next year)'!$D$27:$AH$266),27+4*(IFERROR(MATCH(C1281,Roster!$B$6:$B$65,0),MATCH(C1281,Roster!$C$6:$C$65,0))-1)+MATCH(B1281,{"AM","PM","NIGHT","WD"},0)-1-27+1,DAY(A1281))&amp;"",""))</f>
        <v/>
      </c>
      <c r="G1281" s="123">
        <f>IF(OR(A1281="",C1281="",B1281="",E1281=""),"",IFERROR(A1281&amp;"|"&amp;(27+4*(IFERROR(MATCH(C1281,Roster!$B$6:$B$65,0),MATCH(C1281,Roster!$C$6:$C$65,0))-1)+MATCH(B1281,{"AM","PM","NIGHT","WD"},0)-1),""))</f>
        <v/>
      </c>
    </row>
    <row r="1282">
      <c r="A1282" s="122" t="n"/>
      <c r="B1282" s="107" t="n"/>
      <c r="C1282" s="105" t="n"/>
      <c r="D1282" s="92">
        <f>IF(C1282="","",IFERROR(INDEX(Roster!$C$6:$C$65,IFERROR(MATCH(C1282,Roster!$B$6:$B$65,0),MATCH(C1282,Roster!$C$6:$C$65,0))),"not on the Roster"))</f>
        <v/>
      </c>
      <c r="E1282" s="106" t="n"/>
      <c r="F1282" s="104">
        <f>IF(OR(A1282="",C1282="",B1282=""),"",IFERROR(INDEX(CHOOSE(IF(YEAR(A1282)&gt;PlanYear,13,MONTH(A1282)),'Jan'!$D$27:$AH$266,'Feb'!$D$27:$AH$266,'Mar'!$D$27:$AH$266,'Apr'!$D$27:$AH$266,'May'!$D$27:$AH$266,'Jun'!$D$27:$AH$266,'Jul'!$D$27:$AH$266,'Aug'!$D$27:$AH$266,'Sep'!$D$27:$AH$266,'Oct'!$D$27:$AH$266,'Nov'!$D$27:$AH$266,'Dec'!$D$27:$AH$266,'Jan (next year)'!$D$27:$AH$266),27+4*(IFERROR(MATCH(C1282,Roster!$B$6:$B$65,0),MATCH(C1282,Roster!$C$6:$C$65,0))-1)+MATCH(B1282,{"AM","PM","NIGHT","WD"},0)-1-27+1,DAY(A1282))&amp;"",""))</f>
        <v/>
      </c>
      <c r="G1282" s="123">
        <f>IF(OR(A1282="",C1282="",B1282="",E1282=""),"",IFERROR(A1282&amp;"|"&amp;(27+4*(IFERROR(MATCH(C1282,Roster!$B$6:$B$65,0),MATCH(C1282,Roster!$C$6:$C$65,0))-1)+MATCH(B1282,{"AM","PM","NIGHT","WD"},0)-1),""))</f>
        <v/>
      </c>
    </row>
    <row r="1283">
      <c r="A1283" s="122" t="n"/>
      <c r="B1283" s="107" t="n"/>
      <c r="C1283" s="105" t="n"/>
      <c r="D1283" s="92">
        <f>IF(C1283="","",IFERROR(INDEX(Roster!$C$6:$C$65,IFERROR(MATCH(C1283,Roster!$B$6:$B$65,0),MATCH(C1283,Roster!$C$6:$C$65,0))),"not on the Roster"))</f>
        <v/>
      </c>
      <c r="E1283" s="106" t="n"/>
      <c r="F1283" s="104">
        <f>IF(OR(A1283="",C1283="",B1283=""),"",IFERROR(INDEX(CHOOSE(IF(YEAR(A1283)&gt;PlanYear,13,MONTH(A1283)),'Jan'!$D$27:$AH$266,'Feb'!$D$27:$AH$266,'Mar'!$D$27:$AH$266,'Apr'!$D$27:$AH$266,'May'!$D$27:$AH$266,'Jun'!$D$27:$AH$266,'Jul'!$D$27:$AH$266,'Aug'!$D$27:$AH$266,'Sep'!$D$27:$AH$266,'Oct'!$D$27:$AH$266,'Nov'!$D$27:$AH$266,'Dec'!$D$27:$AH$266,'Jan (next year)'!$D$27:$AH$266),27+4*(IFERROR(MATCH(C1283,Roster!$B$6:$B$65,0),MATCH(C1283,Roster!$C$6:$C$65,0))-1)+MATCH(B1283,{"AM","PM","NIGHT","WD"},0)-1-27+1,DAY(A1283))&amp;"",""))</f>
        <v/>
      </c>
      <c r="G1283" s="123">
        <f>IF(OR(A1283="",C1283="",B1283="",E1283=""),"",IFERROR(A1283&amp;"|"&amp;(27+4*(IFERROR(MATCH(C1283,Roster!$B$6:$B$65,0),MATCH(C1283,Roster!$C$6:$C$65,0))-1)+MATCH(B1283,{"AM","PM","NIGHT","WD"},0)-1),""))</f>
        <v/>
      </c>
    </row>
    <row r="1284">
      <c r="A1284" s="122" t="n"/>
      <c r="B1284" s="107" t="n"/>
      <c r="C1284" s="105" t="n"/>
      <c r="D1284" s="92">
        <f>IF(C1284="","",IFERROR(INDEX(Roster!$C$6:$C$65,IFERROR(MATCH(C1284,Roster!$B$6:$B$65,0),MATCH(C1284,Roster!$C$6:$C$65,0))),"not on the Roster"))</f>
        <v/>
      </c>
      <c r="E1284" s="106" t="n"/>
      <c r="F1284" s="104">
        <f>IF(OR(A1284="",C1284="",B1284=""),"",IFERROR(INDEX(CHOOSE(IF(YEAR(A1284)&gt;PlanYear,13,MONTH(A1284)),'Jan'!$D$27:$AH$266,'Feb'!$D$27:$AH$266,'Mar'!$D$27:$AH$266,'Apr'!$D$27:$AH$266,'May'!$D$27:$AH$266,'Jun'!$D$27:$AH$266,'Jul'!$D$27:$AH$266,'Aug'!$D$27:$AH$266,'Sep'!$D$27:$AH$266,'Oct'!$D$27:$AH$266,'Nov'!$D$27:$AH$266,'Dec'!$D$27:$AH$266,'Jan (next year)'!$D$27:$AH$266),27+4*(IFERROR(MATCH(C1284,Roster!$B$6:$B$65,0),MATCH(C1284,Roster!$C$6:$C$65,0))-1)+MATCH(B1284,{"AM","PM","NIGHT","WD"},0)-1-27+1,DAY(A1284))&amp;"",""))</f>
        <v/>
      </c>
      <c r="G1284" s="123">
        <f>IF(OR(A1284="",C1284="",B1284="",E1284=""),"",IFERROR(A1284&amp;"|"&amp;(27+4*(IFERROR(MATCH(C1284,Roster!$B$6:$B$65,0),MATCH(C1284,Roster!$C$6:$C$65,0))-1)+MATCH(B1284,{"AM","PM","NIGHT","WD"},0)-1),""))</f>
        <v/>
      </c>
    </row>
    <row r="1285">
      <c r="A1285" s="122" t="n"/>
      <c r="B1285" s="107" t="n"/>
      <c r="C1285" s="105" t="n"/>
      <c r="D1285" s="92">
        <f>IF(C1285="","",IFERROR(INDEX(Roster!$C$6:$C$65,IFERROR(MATCH(C1285,Roster!$B$6:$B$65,0),MATCH(C1285,Roster!$C$6:$C$65,0))),"not on the Roster"))</f>
        <v/>
      </c>
      <c r="E1285" s="106" t="n"/>
      <c r="F1285" s="104">
        <f>IF(OR(A1285="",C1285="",B1285=""),"",IFERROR(INDEX(CHOOSE(IF(YEAR(A1285)&gt;PlanYear,13,MONTH(A1285)),'Jan'!$D$27:$AH$266,'Feb'!$D$27:$AH$266,'Mar'!$D$27:$AH$266,'Apr'!$D$27:$AH$266,'May'!$D$27:$AH$266,'Jun'!$D$27:$AH$266,'Jul'!$D$27:$AH$266,'Aug'!$D$27:$AH$266,'Sep'!$D$27:$AH$266,'Oct'!$D$27:$AH$266,'Nov'!$D$27:$AH$266,'Dec'!$D$27:$AH$266,'Jan (next year)'!$D$27:$AH$266),27+4*(IFERROR(MATCH(C1285,Roster!$B$6:$B$65,0),MATCH(C1285,Roster!$C$6:$C$65,0))-1)+MATCH(B1285,{"AM","PM","NIGHT","WD"},0)-1-27+1,DAY(A1285))&amp;"",""))</f>
        <v/>
      </c>
      <c r="G1285" s="123">
        <f>IF(OR(A1285="",C1285="",B1285="",E1285=""),"",IFERROR(A1285&amp;"|"&amp;(27+4*(IFERROR(MATCH(C1285,Roster!$B$6:$B$65,0),MATCH(C1285,Roster!$C$6:$C$65,0))-1)+MATCH(B1285,{"AM","PM","NIGHT","WD"},0)-1),""))</f>
        <v/>
      </c>
    </row>
    <row r="1286">
      <c r="A1286" s="122" t="n"/>
      <c r="B1286" s="107" t="n"/>
      <c r="C1286" s="105" t="n"/>
      <c r="D1286" s="92">
        <f>IF(C1286="","",IFERROR(INDEX(Roster!$C$6:$C$65,IFERROR(MATCH(C1286,Roster!$B$6:$B$65,0),MATCH(C1286,Roster!$C$6:$C$65,0))),"not on the Roster"))</f>
        <v/>
      </c>
      <c r="E1286" s="106" t="n"/>
      <c r="F1286" s="104">
        <f>IF(OR(A1286="",C1286="",B1286=""),"",IFERROR(INDEX(CHOOSE(IF(YEAR(A1286)&gt;PlanYear,13,MONTH(A1286)),'Jan'!$D$27:$AH$266,'Feb'!$D$27:$AH$266,'Mar'!$D$27:$AH$266,'Apr'!$D$27:$AH$266,'May'!$D$27:$AH$266,'Jun'!$D$27:$AH$266,'Jul'!$D$27:$AH$266,'Aug'!$D$27:$AH$266,'Sep'!$D$27:$AH$266,'Oct'!$D$27:$AH$266,'Nov'!$D$27:$AH$266,'Dec'!$D$27:$AH$266,'Jan (next year)'!$D$27:$AH$266),27+4*(IFERROR(MATCH(C1286,Roster!$B$6:$B$65,0),MATCH(C1286,Roster!$C$6:$C$65,0))-1)+MATCH(B1286,{"AM","PM","NIGHT","WD"},0)-1-27+1,DAY(A1286))&amp;"",""))</f>
        <v/>
      </c>
      <c r="G1286" s="123">
        <f>IF(OR(A1286="",C1286="",B1286="",E1286=""),"",IFERROR(A1286&amp;"|"&amp;(27+4*(IFERROR(MATCH(C1286,Roster!$B$6:$B$65,0),MATCH(C1286,Roster!$C$6:$C$65,0))-1)+MATCH(B1286,{"AM","PM","NIGHT","WD"},0)-1),""))</f>
        <v/>
      </c>
    </row>
    <row r="1287">
      <c r="A1287" s="122" t="n"/>
      <c r="B1287" s="107" t="n"/>
      <c r="C1287" s="105" t="n"/>
      <c r="D1287" s="92">
        <f>IF(C1287="","",IFERROR(INDEX(Roster!$C$6:$C$65,IFERROR(MATCH(C1287,Roster!$B$6:$B$65,0),MATCH(C1287,Roster!$C$6:$C$65,0))),"not on the Roster"))</f>
        <v/>
      </c>
      <c r="E1287" s="106" t="n"/>
      <c r="F1287" s="104">
        <f>IF(OR(A1287="",C1287="",B1287=""),"",IFERROR(INDEX(CHOOSE(IF(YEAR(A1287)&gt;PlanYear,13,MONTH(A1287)),'Jan'!$D$27:$AH$266,'Feb'!$D$27:$AH$266,'Mar'!$D$27:$AH$266,'Apr'!$D$27:$AH$266,'May'!$D$27:$AH$266,'Jun'!$D$27:$AH$266,'Jul'!$D$27:$AH$266,'Aug'!$D$27:$AH$266,'Sep'!$D$27:$AH$266,'Oct'!$D$27:$AH$266,'Nov'!$D$27:$AH$266,'Dec'!$D$27:$AH$266,'Jan (next year)'!$D$27:$AH$266),27+4*(IFERROR(MATCH(C1287,Roster!$B$6:$B$65,0),MATCH(C1287,Roster!$C$6:$C$65,0))-1)+MATCH(B1287,{"AM","PM","NIGHT","WD"},0)-1-27+1,DAY(A1287))&amp;"",""))</f>
        <v/>
      </c>
      <c r="G1287" s="123">
        <f>IF(OR(A1287="",C1287="",B1287="",E1287=""),"",IFERROR(A1287&amp;"|"&amp;(27+4*(IFERROR(MATCH(C1287,Roster!$B$6:$B$65,0),MATCH(C1287,Roster!$C$6:$C$65,0))-1)+MATCH(B1287,{"AM","PM","NIGHT","WD"},0)-1),""))</f>
        <v/>
      </c>
    </row>
    <row r="1288">
      <c r="A1288" s="122" t="n"/>
      <c r="B1288" s="107" t="n"/>
      <c r="C1288" s="105" t="n"/>
      <c r="D1288" s="92">
        <f>IF(C1288="","",IFERROR(INDEX(Roster!$C$6:$C$65,IFERROR(MATCH(C1288,Roster!$B$6:$B$65,0),MATCH(C1288,Roster!$C$6:$C$65,0))),"not on the Roster"))</f>
        <v/>
      </c>
      <c r="E1288" s="106" t="n"/>
      <c r="F1288" s="104">
        <f>IF(OR(A1288="",C1288="",B1288=""),"",IFERROR(INDEX(CHOOSE(IF(YEAR(A1288)&gt;PlanYear,13,MONTH(A1288)),'Jan'!$D$27:$AH$266,'Feb'!$D$27:$AH$266,'Mar'!$D$27:$AH$266,'Apr'!$D$27:$AH$266,'May'!$D$27:$AH$266,'Jun'!$D$27:$AH$266,'Jul'!$D$27:$AH$266,'Aug'!$D$27:$AH$266,'Sep'!$D$27:$AH$266,'Oct'!$D$27:$AH$266,'Nov'!$D$27:$AH$266,'Dec'!$D$27:$AH$266,'Jan (next year)'!$D$27:$AH$266),27+4*(IFERROR(MATCH(C1288,Roster!$B$6:$B$65,0),MATCH(C1288,Roster!$C$6:$C$65,0))-1)+MATCH(B1288,{"AM","PM","NIGHT","WD"},0)-1-27+1,DAY(A1288))&amp;"",""))</f>
        <v/>
      </c>
      <c r="G1288" s="123">
        <f>IF(OR(A1288="",C1288="",B1288="",E1288=""),"",IFERROR(A1288&amp;"|"&amp;(27+4*(IFERROR(MATCH(C1288,Roster!$B$6:$B$65,0),MATCH(C1288,Roster!$C$6:$C$65,0))-1)+MATCH(B1288,{"AM","PM","NIGHT","WD"},0)-1),""))</f>
        <v/>
      </c>
    </row>
    <row r="1289">
      <c r="A1289" s="122" t="n"/>
      <c r="B1289" s="107" t="n"/>
      <c r="C1289" s="105" t="n"/>
      <c r="D1289" s="92">
        <f>IF(C1289="","",IFERROR(INDEX(Roster!$C$6:$C$65,IFERROR(MATCH(C1289,Roster!$B$6:$B$65,0),MATCH(C1289,Roster!$C$6:$C$65,0))),"not on the Roster"))</f>
        <v/>
      </c>
      <c r="E1289" s="106" t="n"/>
      <c r="F1289" s="104">
        <f>IF(OR(A1289="",C1289="",B1289=""),"",IFERROR(INDEX(CHOOSE(IF(YEAR(A1289)&gt;PlanYear,13,MONTH(A1289)),'Jan'!$D$27:$AH$266,'Feb'!$D$27:$AH$266,'Mar'!$D$27:$AH$266,'Apr'!$D$27:$AH$266,'May'!$D$27:$AH$266,'Jun'!$D$27:$AH$266,'Jul'!$D$27:$AH$266,'Aug'!$D$27:$AH$266,'Sep'!$D$27:$AH$266,'Oct'!$D$27:$AH$266,'Nov'!$D$27:$AH$266,'Dec'!$D$27:$AH$266,'Jan (next year)'!$D$27:$AH$266),27+4*(IFERROR(MATCH(C1289,Roster!$B$6:$B$65,0),MATCH(C1289,Roster!$C$6:$C$65,0))-1)+MATCH(B1289,{"AM","PM","NIGHT","WD"},0)-1-27+1,DAY(A1289))&amp;"",""))</f>
        <v/>
      </c>
      <c r="G1289" s="123">
        <f>IF(OR(A1289="",C1289="",B1289="",E1289=""),"",IFERROR(A1289&amp;"|"&amp;(27+4*(IFERROR(MATCH(C1289,Roster!$B$6:$B$65,0),MATCH(C1289,Roster!$C$6:$C$65,0))-1)+MATCH(B1289,{"AM","PM","NIGHT","WD"},0)-1),""))</f>
        <v/>
      </c>
    </row>
    <row r="1290">
      <c r="A1290" s="122" t="n"/>
      <c r="B1290" s="107" t="n"/>
      <c r="C1290" s="105" t="n"/>
      <c r="D1290" s="92">
        <f>IF(C1290="","",IFERROR(INDEX(Roster!$C$6:$C$65,IFERROR(MATCH(C1290,Roster!$B$6:$B$65,0),MATCH(C1290,Roster!$C$6:$C$65,0))),"not on the Roster"))</f>
        <v/>
      </c>
      <c r="E1290" s="106" t="n"/>
      <c r="F1290" s="104">
        <f>IF(OR(A1290="",C1290="",B1290=""),"",IFERROR(INDEX(CHOOSE(IF(YEAR(A1290)&gt;PlanYear,13,MONTH(A1290)),'Jan'!$D$27:$AH$266,'Feb'!$D$27:$AH$266,'Mar'!$D$27:$AH$266,'Apr'!$D$27:$AH$266,'May'!$D$27:$AH$266,'Jun'!$D$27:$AH$266,'Jul'!$D$27:$AH$266,'Aug'!$D$27:$AH$266,'Sep'!$D$27:$AH$266,'Oct'!$D$27:$AH$266,'Nov'!$D$27:$AH$266,'Dec'!$D$27:$AH$266,'Jan (next year)'!$D$27:$AH$266),27+4*(IFERROR(MATCH(C1290,Roster!$B$6:$B$65,0),MATCH(C1290,Roster!$C$6:$C$65,0))-1)+MATCH(B1290,{"AM","PM","NIGHT","WD"},0)-1-27+1,DAY(A1290))&amp;"",""))</f>
        <v/>
      </c>
      <c r="G1290" s="123">
        <f>IF(OR(A1290="",C1290="",B1290="",E1290=""),"",IFERROR(A1290&amp;"|"&amp;(27+4*(IFERROR(MATCH(C1290,Roster!$B$6:$B$65,0),MATCH(C1290,Roster!$C$6:$C$65,0))-1)+MATCH(B1290,{"AM","PM","NIGHT","WD"},0)-1),""))</f>
        <v/>
      </c>
    </row>
    <row r="1291">
      <c r="A1291" s="122" t="n"/>
      <c r="B1291" s="107" t="n"/>
      <c r="C1291" s="105" t="n"/>
      <c r="D1291" s="92">
        <f>IF(C1291="","",IFERROR(INDEX(Roster!$C$6:$C$65,IFERROR(MATCH(C1291,Roster!$B$6:$B$65,0),MATCH(C1291,Roster!$C$6:$C$65,0))),"not on the Roster"))</f>
        <v/>
      </c>
      <c r="E1291" s="106" t="n"/>
      <c r="F1291" s="104">
        <f>IF(OR(A1291="",C1291="",B1291=""),"",IFERROR(INDEX(CHOOSE(IF(YEAR(A1291)&gt;PlanYear,13,MONTH(A1291)),'Jan'!$D$27:$AH$266,'Feb'!$D$27:$AH$266,'Mar'!$D$27:$AH$266,'Apr'!$D$27:$AH$266,'May'!$D$27:$AH$266,'Jun'!$D$27:$AH$266,'Jul'!$D$27:$AH$266,'Aug'!$D$27:$AH$266,'Sep'!$D$27:$AH$266,'Oct'!$D$27:$AH$266,'Nov'!$D$27:$AH$266,'Dec'!$D$27:$AH$266,'Jan (next year)'!$D$27:$AH$266),27+4*(IFERROR(MATCH(C1291,Roster!$B$6:$B$65,0),MATCH(C1291,Roster!$C$6:$C$65,0))-1)+MATCH(B1291,{"AM","PM","NIGHT","WD"},0)-1-27+1,DAY(A1291))&amp;"",""))</f>
        <v/>
      </c>
      <c r="G1291" s="123">
        <f>IF(OR(A1291="",C1291="",B1291="",E1291=""),"",IFERROR(A1291&amp;"|"&amp;(27+4*(IFERROR(MATCH(C1291,Roster!$B$6:$B$65,0),MATCH(C1291,Roster!$C$6:$C$65,0))-1)+MATCH(B1291,{"AM","PM","NIGHT","WD"},0)-1),""))</f>
        <v/>
      </c>
    </row>
    <row r="1292">
      <c r="A1292" s="122" t="n"/>
      <c r="B1292" s="107" t="n"/>
      <c r="C1292" s="105" t="n"/>
      <c r="D1292" s="92">
        <f>IF(C1292="","",IFERROR(INDEX(Roster!$C$6:$C$65,IFERROR(MATCH(C1292,Roster!$B$6:$B$65,0),MATCH(C1292,Roster!$C$6:$C$65,0))),"not on the Roster"))</f>
        <v/>
      </c>
      <c r="E1292" s="106" t="n"/>
      <c r="F1292" s="104">
        <f>IF(OR(A1292="",C1292="",B1292=""),"",IFERROR(INDEX(CHOOSE(IF(YEAR(A1292)&gt;PlanYear,13,MONTH(A1292)),'Jan'!$D$27:$AH$266,'Feb'!$D$27:$AH$266,'Mar'!$D$27:$AH$266,'Apr'!$D$27:$AH$266,'May'!$D$27:$AH$266,'Jun'!$D$27:$AH$266,'Jul'!$D$27:$AH$266,'Aug'!$D$27:$AH$266,'Sep'!$D$27:$AH$266,'Oct'!$D$27:$AH$266,'Nov'!$D$27:$AH$266,'Dec'!$D$27:$AH$266,'Jan (next year)'!$D$27:$AH$266),27+4*(IFERROR(MATCH(C1292,Roster!$B$6:$B$65,0),MATCH(C1292,Roster!$C$6:$C$65,0))-1)+MATCH(B1292,{"AM","PM","NIGHT","WD"},0)-1-27+1,DAY(A1292))&amp;"",""))</f>
        <v/>
      </c>
      <c r="G1292" s="123">
        <f>IF(OR(A1292="",C1292="",B1292="",E1292=""),"",IFERROR(A1292&amp;"|"&amp;(27+4*(IFERROR(MATCH(C1292,Roster!$B$6:$B$65,0),MATCH(C1292,Roster!$C$6:$C$65,0))-1)+MATCH(B1292,{"AM","PM","NIGHT","WD"},0)-1),""))</f>
        <v/>
      </c>
    </row>
    <row r="1293">
      <c r="A1293" s="122" t="n"/>
      <c r="B1293" s="107" t="n"/>
      <c r="C1293" s="105" t="n"/>
      <c r="D1293" s="92">
        <f>IF(C1293="","",IFERROR(INDEX(Roster!$C$6:$C$65,IFERROR(MATCH(C1293,Roster!$B$6:$B$65,0),MATCH(C1293,Roster!$C$6:$C$65,0))),"not on the Roster"))</f>
        <v/>
      </c>
      <c r="E1293" s="106" t="n"/>
      <c r="F1293" s="104">
        <f>IF(OR(A1293="",C1293="",B1293=""),"",IFERROR(INDEX(CHOOSE(IF(YEAR(A1293)&gt;PlanYear,13,MONTH(A1293)),'Jan'!$D$27:$AH$266,'Feb'!$D$27:$AH$266,'Mar'!$D$27:$AH$266,'Apr'!$D$27:$AH$266,'May'!$D$27:$AH$266,'Jun'!$D$27:$AH$266,'Jul'!$D$27:$AH$266,'Aug'!$D$27:$AH$266,'Sep'!$D$27:$AH$266,'Oct'!$D$27:$AH$266,'Nov'!$D$27:$AH$266,'Dec'!$D$27:$AH$266,'Jan (next year)'!$D$27:$AH$266),27+4*(IFERROR(MATCH(C1293,Roster!$B$6:$B$65,0),MATCH(C1293,Roster!$C$6:$C$65,0))-1)+MATCH(B1293,{"AM","PM","NIGHT","WD"},0)-1-27+1,DAY(A1293))&amp;"",""))</f>
        <v/>
      </c>
      <c r="G1293" s="123">
        <f>IF(OR(A1293="",C1293="",B1293="",E1293=""),"",IFERROR(A1293&amp;"|"&amp;(27+4*(IFERROR(MATCH(C1293,Roster!$B$6:$B$65,0),MATCH(C1293,Roster!$C$6:$C$65,0))-1)+MATCH(B1293,{"AM","PM","NIGHT","WD"},0)-1),""))</f>
        <v/>
      </c>
    </row>
    <row r="1294">
      <c r="A1294" s="122" t="n"/>
      <c r="B1294" s="107" t="n"/>
      <c r="C1294" s="105" t="n"/>
      <c r="D1294" s="92">
        <f>IF(C1294="","",IFERROR(INDEX(Roster!$C$6:$C$65,IFERROR(MATCH(C1294,Roster!$B$6:$B$65,0),MATCH(C1294,Roster!$C$6:$C$65,0))),"not on the Roster"))</f>
        <v/>
      </c>
      <c r="E1294" s="106" t="n"/>
      <c r="F1294" s="104">
        <f>IF(OR(A1294="",C1294="",B1294=""),"",IFERROR(INDEX(CHOOSE(IF(YEAR(A1294)&gt;PlanYear,13,MONTH(A1294)),'Jan'!$D$27:$AH$266,'Feb'!$D$27:$AH$266,'Mar'!$D$27:$AH$266,'Apr'!$D$27:$AH$266,'May'!$D$27:$AH$266,'Jun'!$D$27:$AH$266,'Jul'!$D$27:$AH$266,'Aug'!$D$27:$AH$266,'Sep'!$D$27:$AH$266,'Oct'!$D$27:$AH$266,'Nov'!$D$27:$AH$266,'Dec'!$D$27:$AH$266,'Jan (next year)'!$D$27:$AH$266),27+4*(IFERROR(MATCH(C1294,Roster!$B$6:$B$65,0),MATCH(C1294,Roster!$C$6:$C$65,0))-1)+MATCH(B1294,{"AM","PM","NIGHT","WD"},0)-1-27+1,DAY(A1294))&amp;"",""))</f>
        <v/>
      </c>
      <c r="G1294" s="123">
        <f>IF(OR(A1294="",C1294="",B1294="",E1294=""),"",IFERROR(A1294&amp;"|"&amp;(27+4*(IFERROR(MATCH(C1294,Roster!$B$6:$B$65,0),MATCH(C1294,Roster!$C$6:$C$65,0))-1)+MATCH(B1294,{"AM","PM","NIGHT","WD"},0)-1),""))</f>
        <v/>
      </c>
    </row>
    <row r="1295">
      <c r="A1295" s="122" t="n"/>
      <c r="B1295" s="107" t="n"/>
      <c r="C1295" s="105" t="n"/>
      <c r="D1295" s="92">
        <f>IF(C1295="","",IFERROR(INDEX(Roster!$C$6:$C$65,IFERROR(MATCH(C1295,Roster!$B$6:$B$65,0),MATCH(C1295,Roster!$C$6:$C$65,0))),"not on the Roster"))</f>
        <v/>
      </c>
      <c r="E1295" s="106" t="n"/>
      <c r="F1295" s="104">
        <f>IF(OR(A1295="",C1295="",B1295=""),"",IFERROR(INDEX(CHOOSE(IF(YEAR(A1295)&gt;PlanYear,13,MONTH(A1295)),'Jan'!$D$27:$AH$266,'Feb'!$D$27:$AH$266,'Mar'!$D$27:$AH$266,'Apr'!$D$27:$AH$266,'May'!$D$27:$AH$266,'Jun'!$D$27:$AH$266,'Jul'!$D$27:$AH$266,'Aug'!$D$27:$AH$266,'Sep'!$D$27:$AH$266,'Oct'!$D$27:$AH$266,'Nov'!$D$27:$AH$266,'Dec'!$D$27:$AH$266,'Jan (next year)'!$D$27:$AH$266),27+4*(IFERROR(MATCH(C1295,Roster!$B$6:$B$65,0),MATCH(C1295,Roster!$C$6:$C$65,0))-1)+MATCH(B1295,{"AM","PM","NIGHT","WD"},0)-1-27+1,DAY(A1295))&amp;"",""))</f>
        <v/>
      </c>
      <c r="G1295" s="123">
        <f>IF(OR(A1295="",C1295="",B1295="",E1295=""),"",IFERROR(A1295&amp;"|"&amp;(27+4*(IFERROR(MATCH(C1295,Roster!$B$6:$B$65,0),MATCH(C1295,Roster!$C$6:$C$65,0))-1)+MATCH(B1295,{"AM","PM","NIGHT","WD"},0)-1),""))</f>
        <v/>
      </c>
    </row>
    <row r="1296">
      <c r="A1296" s="122" t="n"/>
      <c r="B1296" s="107" t="n"/>
      <c r="C1296" s="105" t="n"/>
      <c r="D1296" s="92">
        <f>IF(C1296="","",IFERROR(INDEX(Roster!$C$6:$C$65,IFERROR(MATCH(C1296,Roster!$B$6:$B$65,0),MATCH(C1296,Roster!$C$6:$C$65,0))),"not on the Roster"))</f>
        <v/>
      </c>
      <c r="E1296" s="106" t="n"/>
      <c r="F1296" s="104">
        <f>IF(OR(A1296="",C1296="",B1296=""),"",IFERROR(INDEX(CHOOSE(IF(YEAR(A1296)&gt;PlanYear,13,MONTH(A1296)),'Jan'!$D$27:$AH$266,'Feb'!$D$27:$AH$266,'Mar'!$D$27:$AH$266,'Apr'!$D$27:$AH$266,'May'!$D$27:$AH$266,'Jun'!$D$27:$AH$266,'Jul'!$D$27:$AH$266,'Aug'!$D$27:$AH$266,'Sep'!$D$27:$AH$266,'Oct'!$D$27:$AH$266,'Nov'!$D$27:$AH$266,'Dec'!$D$27:$AH$266,'Jan (next year)'!$D$27:$AH$266),27+4*(IFERROR(MATCH(C1296,Roster!$B$6:$B$65,0),MATCH(C1296,Roster!$C$6:$C$65,0))-1)+MATCH(B1296,{"AM","PM","NIGHT","WD"},0)-1-27+1,DAY(A1296))&amp;"",""))</f>
        <v/>
      </c>
      <c r="G1296" s="123">
        <f>IF(OR(A1296="",C1296="",B1296="",E1296=""),"",IFERROR(A1296&amp;"|"&amp;(27+4*(IFERROR(MATCH(C1296,Roster!$B$6:$B$65,0),MATCH(C1296,Roster!$C$6:$C$65,0))-1)+MATCH(B1296,{"AM","PM","NIGHT","WD"},0)-1),""))</f>
        <v/>
      </c>
    </row>
    <row r="1297">
      <c r="A1297" s="122" t="n"/>
      <c r="B1297" s="107" t="n"/>
      <c r="C1297" s="105" t="n"/>
      <c r="D1297" s="92">
        <f>IF(C1297="","",IFERROR(INDEX(Roster!$C$6:$C$65,IFERROR(MATCH(C1297,Roster!$B$6:$B$65,0),MATCH(C1297,Roster!$C$6:$C$65,0))),"not on the Roster"))</f>
        <v/>
      </c>
      <c r="E1297" s="106" t="n"/>
      <c r="F1297" s="104">
        <f>IF(OR(A1297="",C1297="",B1297=""),"",IFERROR(INDEX(CHOOSE(IF(YEAR(A1297)&gt;PlanYear,13,MONTH(A1297)),'Jan'!$D$27:$AH$266,'Feb'!$D$27:$AH$266,'Mar'!$D$27:$AH$266,'Apr'!$D$27:$AH$266,'May'!$D$27:$AH$266,'Jun'!$D$27:$AH$266,'Jul'!$D$27:$AH$266,'Aug'!$D$27:$AH$266,'Sep'!$D$27:$AH$266,'Oct'!$D$27:$AH$266,'Nov'!$D$27:$AH$266,'Dec'!$D$27:$AH$266,'Jan (next year)'!$D$27:$AH$266),27+4*(IFERROR(MATCH(C1297,Roster!$B$6:$B$65,0),MATCH(C1297,Roster!$C$6:$C$65,0))-1)+MATCH(B1297,{"AM","PM","NIGHT","WD"},0)-1-27+1,DAY(A1297))&amp;"",""))</f>
        <v/>
      </c>
      <c r="G1297" s="123">
        <f>IF(OR(A1297="",C1297="",B1297="",E1297=""),"",IFERROR(A1297&amp;"|"&amp;(27+4*(IFERROR(MATCH(C1297,Roster!$B$6:$B$65,0),MATCH(C1297,Roster!$C$6:$C$65,0))-1)+MATCH(B1297,{"AM","PM","NIGHT","WD"},0)-1),""))</f>
        <v/>
      </c>
    </row>
    <row r="1298">
      <c r="A1298" s="122" t="n"/>
      <c r="B1298" s="107" t="n"/>
      <c r="C1298" s="105" t="n"/>
      <c r="D1298" s="92">
        <f>IF(C1298="","",IFERROR(INDEX(Roster!$C$6:$C$65,IFERROR(MATCH(C1298,Roster!$B$6:$B$65,0),MATCH(C1298,Roster!$C$6:$C$65,0))),"not on the Roster"))</f>
        <v/>
      </c>
      <c r="E1298" s="106" t="n"/>
      <c r="F1298" s="104">
        <f>IF(OR(A1298="",C1298="",B1298=""),"",IFERROR(INDEX(CHOOSE(IF(YEAR(A1298)&gt;PlanYear,13,MONTH(A1298)),'Jan'!$D$27:$AH$266,'Feb'!$D$27:$AH$266,'Mar'!$D$27:$AH$266,'Apr'!$D$27:$AH$266,'May'!$D$27:$AH$266,'Jun'!$D$27:$AH$266,'Jul'!$D$27:$AH$266,'Aug'!$D$27:$AH$266,'Sep'!$D$27:$AH$266,'Oct'!$D$27:$AH$266,'Nov'!$D$27:$AH$266,'Dec'!$D$27:$AH$266,'Jan (next year)'!$D$27:$AH$266),27+4*(IFERROR(MATCH(C1298,Roster!$B$6:$B$65,0),MATCH(C1298,Roster!$C$6:$C$65,0))-1)+MATCH(B1298,{"AM","PM","NIGHT","WD"},0)-1-27+1,DAY(A1298))&amp;"",""))</f>
        <v/>
      </c>
      <c r="G1298" s="123">
        <f>IF(OR(A1298="",C1298="",B1298="",E1298=""),"",IFERROR(A1298&amp;"|"&amp;(27+4*(IFERROR(MATCH(C1298,Roster!$B$6:$B$65,0),MATCH(C1298,Roster!$C$6:$C$65,0))-1)+MATCH(B1298,{"AM","PM","NIGHT","WD"},0)-1),""))</f>
        <v/>
      </c>
    </row>
    <row r="1299">
      <c r="A1299" s="122" t="n"/>
      <c r="B1299" s="107" t="n"/>
      <c r="C1299" s="105" t="n"/>
      <c r="D1299" s="92">
        <f>IF(C1299="","",IFERROR(INDEX(Roster!$C$6:$C$65,IFERROR(MATCH(C1299,Roster!$B$6:$B$65,0),MATCH(C1299,Roster!$C$6:$C$65,0))),"not on the Roster"))</f>
        <v/>
      </c>
      <c r="E1299" s="106" t="n"/>
      <c r="F1299" s="104">
        <f>IF(OR(A1299="",C1299="",B1299=""),"",IFERROR(INDEX(CHOOSE(IF(YEAR(A1299)&gt;PlanYear,13,MONTH(A1299)),'Jan'!$D$27:$AH$266,'Feb'!$D$27:$AH$266,'Mar'!$D$27:$AH$266,'Apr'!$D$27:$AH$266,'May'!$D$27:$AH$266,'Jun'!$D$27:$AH$266,'Jul'!$D$27:$AH$266,'Aug'!$D$27:$AH$266,'Sep'!$D$27:$AH$266,'Oct'!$D$27:$AH$266,'Nov'!$D$27:$AH$266,'Dec'!$D$27:$AH$266,'Jan (next year)'!$D$27:$AH$266),27+4*(IFERROR(MATCH(C1299,Roster!$B$6:$B$65,0),MATCH(C1299,Roster!$C$6:$C$65,0))-1)+MATCH(B1299,{"AM","PM","NIGHT","WD"},0)-1-27+1,DAY(A1299))&amp;"",""))</f>
        <v/>
      </c>
      <c r="G1299" s="123">
        <f>IF(OR(A1299="",C1299="",B1299="",E1299=""),"",IFERROR(A1299&amp;"|"&amp;(27+4*(IFERROR(MATCH(C1299,Roster!$B$6:$B$65,0),MATCH(C1299,Roster!$C$6:$C$65,0))-1)+MATCH(B1299,{"AM","PM","NIGHT","WD"},0)-1),""))</f>
        <v/>
      </c>
    </row>
    <row r="1300">
      <c r="A1300" s="122" t="n"/>
      <c r="B1300" s="107" t="n"/>
      <c r="C1300" s="105" t="n"/>
      <c r="D1300" s="92">
        <f>IF(C1300="","",IFERROR(INDEX(Roster!$C$6:$C$65,IFERROR(MATCH(C1300,Roster!$B$6:$B$65,0),MATCH(C1300,Roster!$C$6:$C$65,0))),"not on the Roster"))</f>
        <v/>
      </c>
      <c r="E1300" s="106" t="n"/>
      <c r="F1300" s="104">
        <f>IF(OR(A1300="",C1300="",B1300=""),"",IFERROR(INDEX(CHOOSE(IF(YEAR(A1300)&gt;PlanYear,13,MONTH(A1300)),'Jan'!$D$27:$AH$266,'Feb'!$D$27:$AH$266,'Mar'!$D$27:$AH$266,'Apr'!$D$27:$AH$266,'May'!$D$27:$AH$266,'Jun'!$D$27:$AH$266,'Jul'!$D$27:$AH$266,'Aug'!$D$27:$AH$266,'Sep'!$D$27:$AH$266,'Oct'!$D$27:$AH$266,'Nov'!$D$27:$AH$266,'Dec'!$D$27:$AH$266,'Jan (next year)'!$D$27:$AH$266),27+4*(IFERROR(MATCH(C1300,Roster!$B$6:$B$65,0),MATCH(C1300,Roster!$C$6:$C$65,0))-1)+MATCH(B1300,{"AM","PM","NIGHT","WD"},0)-1-27+1,DAY(A1300))&amp;"",""))</f>
        <v/>
      </c>
      <c r="G1300" s="123">
        <f>IF(OR(A1300="",C1300="",B1300="",E1300=""),"",IFERROR(A1300&amp;"|"&amp;(27+4*(IFERROR(MATCH(C1300,Roster!$B$6:$B$65,0),MATCH(C1300,Roster!$C$6:$C$65,0))-1)+MATCH(B1300,{"AM","PM","NIGHT","WD"},0)-1),""))</f>
        <v/>
      </c>
    </row>
    <row r="1301">
      <c r="A1301" s="122" t="n"/>
      <c r="B1301" s="107" t="n"/>
      <c r="C1301" s="105" t="n"/>
      <c r="D1301" s="92">
        <f>IF(C1301="","",IFERROR(INDEX(Roster!$C$6:$C$65,IFERROR(MATCH(C1301,Roster!$B$6:$B$65,0),MATCH(C1301,Roster!$C$6:$C$65,0))),"not on the Roster"))</f>
        <v/>
      </c>
      <c r="E1301" s="106" t="n"/>
      <c r="F1301" s="104">
        <f>IF(OR(A1301="",C1301="",B1301=""),"",IFERROR(INDEX(CHOOSE(IF(YEAR(A1301)&gt;PlanYear,13,MONTH(A1301)),'Jan'!$D$27:$AH$266,'Feb'!$D$27:$AH$266,'Mar'!$D$27:$AH$266,'Apr'!$D$27:$AH$266,'May'!$D$27:$AH$266,'Jun'!$D$27:$AH$266,'Jul'!$D$27:$AH$266,'Aug'!$D$27:$AH$266,'Sep'!$D$27:$AH$266,'Oct'!$D$27:$AH$266,'Nov'!$D$27:$AH$266,'Dec'!$D$27:$AH$266,'Jan (next year)'!$D$27:$AH$266),27+4*(IFERROR(MATCH(C1301,Roster!$B$6:$B$65,0),MATCH(C1301,Roster!$C$6:$C$65,0))-1)+MATCH(B1301,{"AM","PM","NIGHT","WD"},0)-1-27+1,DAY(A1301))&amp;"",""))</f>
        <v/>
      </c>
      <c r="G1301" s="123">
        <f>IF(OR(A1301="",C1301="",B1301="",E1301=""),"",IFERROR(A1301&amp;"|"&amp;(27+4*(IFERROR(MATCH(C1301,Roster!$B$6:$B$65,0),MATCH(C1301,Roster!$C$6:$C$65,0))-1)+MATCH(B1301,{"AM","PM","NIGHT","WD"},0)-1),""))</f>
        <v/>
      </c>
    </row>
    <row r="1302">
      <c r="A1302" s="122" t="n"/>
      <c r="B1302" s="107" t="n"/>
      <c r="C1302" s="105" t="n"/>
      <c r="D1302" s="92">
        <f>IF(C1302="","",IFERROR(INDEX(Roster!$C$6:$C$65,IFERROR(MATCH(C1302,Roster!$B$6:$B$65,0),MATCH(C1302,Roster!$C$6:$C$65,0))),"not on the Roster"))</f>
        <v/>
      </c>
      <c r="E1302" s="106" t="n"/>
      <c r="F1302" s="104">
        <f>IF(OR(A1302="",C1302="",B1302=""),"",IFERROR(INDEX(CHOOSE(IF(YEAR(A1302)&gt;PlanYear,13,MONTH(A1302)),'Jan'!$D$27:$AH$266,'Feb'!$D$27:$AH$266,'Mar'!$D$27:$AH$266,'Apr'!$D$27:$AH$266,'May'!$D$27:$AH$266,'Jun'!$D$27:$AH$266,'Jul'!$D$27:$AH$266,'Aug'!$D$27:$AH$266,'Sep'!$D$27:$AH$266,'Oct'!$D$27:$AH$266,'Nov'!$D$27:$AH$266,'Dec'!$D$27:$AH$266,'Jan (next year)'!$D$27:$AH$266),27+4*(IFERROR(MATCH(C1302,Roster!$B$6:$B$65,0),MATCH(C1302,Roster!$C$6:$C$65,0))-1)+MATCH(B1302,{"AM","PM","NIGHT","WD"},0)-1-27+1,DAY(A1302))&amp;"",""))</f>
        <v/>
      </c>
      <c r="G1302" s="123">
        <f>IF(OR(A1302="",C1302="",B1302="",E1302=""),"",IFERROR(A1302&amp;"|"&amp;(27+4*(IFERROR(MATCH(C1302,Roster!$B$6:$B$65,0),MATCH(C1302,Roster!$C$6:$C$65,0))-1)+MATCH(B1302,{"AM","PM","NIGHT","WD"},0)-1),""))</f>
        <v/>
      </c>
    </row>
    <row r="1303">
      <c r="A1303" s="122" t="n"/>
      <c r="B1303" s="107" t="n"/>
      <c r="C1303" s="105" t="n"/>
      <c r="D1303" s="92">
        <f>IF(C1303="","",IFERROR(INDEX(Roster!$C$6:$C$65,IFERROR(MATCH(C1303,Roster!$B$6:$B$65,0),MATCH(C1303,Roster!$C$6:$C$65,0))),"not on the Roster"))</f>
        <v/>
      </c>
      <c r="E1303" s="106" t="n"/>
      <c r="F1303" s="104">
        <f>IF(OR(A1303="",C1303="",B1303=""),"",IFERROR(INDEX(CHOOSE(IF(YEAR(A1303)&gt;PlanYear,13,MONTH(A1303)),'Jan'!$D$27:$AH$266,'Feb'!$D$27:$AH$266,'Mar'!$D$27:$AH$266,'Apr'!$D$27:$AH$266,'May'!$D$27:$AH$266,'Jun'!$D$27:$AH$266,'Jul'!$D$27:$AH$266,'Aug'!$D$27:$AH$266,'Sep'!$D$27:$AH$266,'Oct'!$D$27:$AH$266,'Nov'!$D$27:$AH$266,'Dec'!$D$27:$AH$266,'Jan (next year)'!$D$27:$AH$266),27+4*(IFERROR(MATCH(C1303,Roster!$B$6:$B$65,0),MATCH(C1303,Roster!$C$6:$C$65,0))-1)+MATCH(B1303,{"AM","PM","NIGHT","WD"},0)-1-27+1,DAY(A1303))&amp;"",""))</f>
        <v/>
      </c>
      <c r="G1303" s="123">
        <f>IF(OR(A1303="",C1303="",B1303="",E1303=""),"",IFERROR(A1303&amp;"|"&amp;(27+4*(IFERROR(MATCH(C1303,Roster!$B$6:$B$65,0),MATCH(C1303,Roster!$C$6:$C$65,0))-1)+MATCH(B1303,{"AM","PM","NIGHT","WD"},0)-1),""))</f>
        <v/>
      </c>
    </row>
    <row r="1304">
      <c r="A1304" s="122" t="n"/>
      <c r="B1304" s="107" t="n"/>
      <c r="C1304" s="105" t="n"/>
      <c r="D1304" s="92">
        <f>IF(C1304="","",IFERROR(INDEX(Roster!$C$6:$C$65,IFERROR(MATCH(C1304,Roster!$B$6:$B$65,0),MATCH(C1304,Roster!$C$6:$C$65,0))),"not on the Roster"))</f>
        <v/>
      </c>
      <c r="E1304" s="106" t="n"/>
      <c r="F1304" s="104">
        <f>IF(OR(A1304="",C1304="",B1304=""),"",IFERROR(INDEX(CHOOSE(IF(YEAR(A1304)&gt;PlanYear,13,MONTH(A1304)),'Jan'!$D$27:$AH$266,'Feb'!$D$27:$AH$266,'Mar'!$D$27:$AH$266,'Apr'!$D$27:$AH$266,'May'!$D$27:$AH$266,'Jun'!$D$27:$AH$266,'Jul'!$D$27:$AH$266,'Aug'!$D$27:$AH$266,'Sep'!$D$27:$AH$266,'Oct'!$D$27:$AH$266,'Nov'!$D$27:$AH$266,'Dec'!$D$27:$AH$266,'Jan (next year)'!$D$27:$AH$266),27+4*(IFERROR(MATCH(C1304,Roster!$B$6:$B$65,0),MATCH(C1304,Roster!$C$6:$C$65,0))-1)+MATCH(B1304,{"AM","PM","NIGHT","WD"},0)-1-27+1,DAY(A1304))&amp;"",""))</f>
        <v/>
      </c>
      <c r="G1304" s="123">
        <f>IF(OR(A1304="",C1304="",B1304="",E1304=""),"",IFERROR(A1304&amp;"|"&amp;(27+4*(IFERROR(MATCH(C1304,Roster!$B$6:$B$65,0),MATCH(C1304,Roster!$C$6:$C$65,0))-1)+MATCH(B1304,{"AM","PM","NIGHT","WD"},0)-1),""))</f>
        <v/>
      </c>
    </row>
    <row r="1305">
      <c r="A1305" s="122" t="n"/>
      <c r="B1305" s="107" t="n"/>
      <c r="C1305" s="105" t="n"/>
      <c r="D1305" s="92">
        <f>IF(C1305="","",IFERROR(INDEX(Roster!$C$6:$C$65,IFERROR(MATCH(C1305,Roster!$B$6:$B$65,0),MATCH(C1305,Roster!$C$6:$C$65,0))),"not on the Roster"))</f>
        <v/>
      </c>
      <c r="E1305" s="106" t="n"/>
      <c r="F1305" s="104">
        <f>IF(OR(A1305="",C1305="",B1305=""),"",IFERROR(INDEX(CHOOSE(IF(YEAR(A1305)&gt;PlanYear,13,MONTH(A1305)),'Jan'!$D$27:$AH$266,'Feb'!$D$27:$AH$266,'Mar'!$D$27:$AH$266,'Apr'!$D$27:$AH$266,'May'!$D$27:$AH$266,'Jun'!$D$27:$AH$266,'Jul'!$D$27:$AH$266,'Aug'!$D$27:$AH$266,'Sep'!$D$27:$AH$266,'Oct'!$D$27:$AH$266,'Nov'!$D$27:$AH$266,'Dec'!$D$27:$AH$266,'Jan (next year)'!$D$27:$AH$266),27+4*(IFERROR(MATCH(C1305,Roster!$B$6:$B$65,0),MATCH(C1305,Roster!$C$6:$C$65,0))-1)+MATCH(B1305,{"AM","PM","NIGHT","WD"},0)-1-27+1,DAY(A1305))&amp;"",""))</f>
        <v/>
      </c>
      <c r="G1305" s="123">
        <f>IF(OR(A1305="",C1305="",B1305="",E1305=""),"",IFERROR(A1305&amp;"|"&amp;(27+4*(IFERROR(MATCH(C1305,Roster!$B$6:$B$65,0),MATCH(C1305,Roster!$C$6:$C$65,0))-1)+MATCH(B1305,{"AM","PM","NIGHT","WD"},0)-1),""))</f>
        <v/>
      </c>
    </row>
    <row r="1306">
      <c r="A1306" s="122" t="n"/>
      <c r="B1306" s="107" t="n"/>
      <c r="C1306" s="105" t="n"/>
      <c r="D1306" s="92">
        <f>IF(C1306="","",IFERROR(INDEX(Roster!$C$6:$C$65,IFERROR(MATCH(C1306,Roster!$B$6:$B$65,0),MATCH(C1306,Roster!$C$6:$C$65,0))),"not on the Roster"))</f>
        <v/>
      </c>
      <c r="E1306" s="106" t="n"/>
      <c r="F1306" s="104">
        <f>IF(OR(A1306="",C1306="",B1306=""),"",IFERROR(INDEX(CHOOSE(IF(YEAR(A1306)&gt;PlanYear,13,MONTH(A1306)),'Jan'!$D$27:$AH$266,'Feb'!$D$27:$AH$266,'Mar'!$D$27:$AH$266,'Apr'!$D$27:$AH$266,'May'!$D$27:$AH$266,'Jun'!$D$27:$AH$266,'Jul'!$D$27:$AH$266,'Aug'!$D$27:$AH$266,'Sep'!$D$27:$AH$266,'Oct'!$D$27:$AH$266,'Nov'!$D$27:$AH$266,'Dec'!$D$27:$AH$266,'Jan (next year)'!$D$27:$AH$266),27+4*(IFERROR(MATCH(C1306,Roster!$B$6:$B$65,0),MATCH(C1306,Roster!$C$6:$C$65,0))-1)+MATCH(B1306,{"AM","PM","NIGHT","WD"},0)-1-27+1,DAY(A1306))&amp;"",""))</f>
        <v/>
      </c>
      <c r="G1306" s="123">
        <f>IF(OR(A1306="",C1306="",B1306="",E1306=""),"",IFERROR(A1306&amp;"|"&amp;(27+4*(IFERROR(MATCH(C1306,Roster!$B$6:$B$65,0),MATCH(C1306,Roster!$C$6:$C$65,0))-1)+MATCH(B1306,{"AM","PM","NIGHT","WD"},0)-1),""))</f>
        <v/>
      </c>
    </row>
    <row r="1307">
      <c r="A1307" s="122" t="n"/>
      <c r="B1307" s="107" t="n"/>
      <c r="C1307" s="105" t="n"/>
      <c r="D1307" s="92">
        <f>IF(C1307="","",IFERROR(INDEX(Roster!$C$6:$C$65,IFERROR(MATCH(C1307,Roster!$B$6:$B$65,0),MATCH(C1307,Roster!$C$6:$C$65,0))),"not on the Roster"))</f>
        <v/>
      </c>
      <c r="E1307" s="106" t="n"/>
      <c r="F1307" s="104">
        <f>IF(OR(A1307="",C1307="",B1307=""),"",IFERROR(INDEX(CHOOSE(IF(YEAR(A1307)&gt;PlanYear,13,MONTH(A1307)),'Jan'!$D$27:$AH$266,'Feb'!$D$27:$AH$266,'Mar'!$D$27:$AH$266,'Apr'!$D$27:$AH$266,'May'!$D$27:$AH$266,'Jun'!$D$27:$AH$266,'Jul'!$D$27:$AH$266,'Aug'!$D$27:$AH$266,'Sep'!$D$27:$AH$266,'Oct'!$D$27:$AH$266,'Nov'!$D$27:$AH$266,'Dec'!$D$27:$AH$266,'Jan (next year)'!$D$27:$AH$266),27+4*(IFERROR(MATCH(C1307,Roster!$B$6:$B$65,0),MATCH(C1307,Roster!$C$6:$C$65,0))-1)+MATCH(B1307,{"AM","PM","NIGHT","WD"},0)-1-27+1,DAY(A1307))&amp;"",""))</f>
        <v/>
      </c>
      <c r="G1307" s="123">
        <f>IF(OR(A1307="",C1307="",B1307="",E1307=""),"",IFERROR(A1307&amp;"|"&amp;(27+4*(IFERROR(MATCH(C1307,Roster!$B$6:$B$65,0),MATCH(C1307,Roster!$C$6:$C$65,0))-1)+MATCH(B1307,{"AM","PM","NIGHT","WD"},0)-1),""))</f>
        <v/>
      </c>
    </row>
    <row r="1308">
      <c r="A1308" s="122" t="n"/>
      <c r="B1308" s="107" t="n"/>
      <c r="C1308" s="105" t="n"/>
      <c r="D1308" s="92">
        <f>IF(C1308="","",IFERROR(INDEX(Roster!$C$6:$C$65,IFERROR(MATCH(C1308,Roster!$B$6:$B$65,0),MATCH(C1308,Roster!$C$6:$C$65,0))),"not on the Roster"))</f>
        <v/>
      </c>
      <c r="E1308" s="106" t="n"/>
      <c r="F1308" s="104">
        <f>IF(OR(A1308="",C1308="",B1308=""),"",IFERROR(INDEX(CHOOSE(IF(YEAR(A1308)&gt;PlanYear,13,MONTH(A1308)),'Jan'!$D$27:$AH$266,'Feb'!$D$27:$AH$266,'Mar'!$D$27:$AH$266,'Apr'!$D$27:$AH$266,'May'!$D$27:$AH$266,'Jun'!$D$27:$AH$266,'Jul'!$D$27:$AH$266,'Aug'!$D$27:$AH$266,'Sep'!$D$27:$AH$266,'Oct'!$D$27:$AH$266,'Nov'!$D$27:$AH$266,'Dec'!$D$27:$AH$266,'Jan (next year)'!$D$27:$AH$266),27+4*(IFERROR(MATCH(C1308,Roster!$B$6:$B$65,0),MATCH(C1308,Roster!$C$6:$C$65,0))-1)+MATCH(B1308,{"AM","PM","NIGHT","WD"},0)-1-27+1,DAY(A1308))&amp;"",""))</f>
        <v/>
      </c>
      <c r="G1308" s="123">
        <f>IF(OR(A1308="",C1308="",B1308="",E1308=""),"",IFERROR(A1308&amp;"|"&amp;(27+4*(IFERROR(MATCH(C1308,Roster!$B$6:$B$65,0),MATCH(C1308,Roster!$C$6:$C$65,0))-1)+MATCH(B1308,{"AM","PM","NIGHT","WD"},0)-1),""))</f>
        <v/>
      </c>
    </row>
    <row r="1309">
      <c r="A1309" s="122" t="n"/>
      <c r="B1309" s="107" t="n"/>
      <c r="C1309" s="105" t="n"/>
      <c r="D1309" s="92">
        <f>IF(C1309="","",IFERROR(INDEX(Roster!$C$6:$C$65,IFERROR(MATCH(C1309,Roster!$B$6:$B$65,0),MATCH(C1309,Roster!$C$6:$C$65,0))),"not on the Roster"))</f>
        <v/>
      </c>
      <c r="E1309" s="106" t="n"/>
      <c r="F1309" s="104">
        <f>IF(OR(A1309="",C1309="",B1309=""),"",IFERROR(INDEX(CHOOSE(IF(YEAR(A1309)&gt;PlanYear,13,MONTH(A1309)),'Jan'!$D$27:$AH$266,'Feb'!$D$27:$AH$266,'Mar'!$D$27:$AH$266,'Apr'!$D$27:$AH$266,'May'!$D$27:$AH$266,'Jun'!$D$27:$AH$266,'Jul'!$D$27:$AH$266,'Aug'!$D$27:$AH$266,'Sep'!$D$27:$AH$266,'Oct'!$D$27:$AH$266,'Nov'!$D$27:$AH$266,'Dec'!$D$27:$AH$266,'Jan (next year)'!$D$27:$AH$266),27+4*(IFERROR(MATCH(C1309,Roster!$B$6:$B$65,0),MATCH(C1309,Roster!$C$6:$C$65,0))-1)+MATCH(B1309,{"AM","PM","NIGHT","WD"},0)-1-27+1,DAY(A1309))&amp;"",""))</f>
        <v/>
      </c>
      <c r="G1309" s="123">
        <f>IF(OR(A1309="",C1309="",B1309="",E1309=""),"",IFERROR(A1309&amp;"|"&amp;(27+4*(IFERROR(MATCH(C1309,Roster!$B$6:$B$65,0),MATCH(C1309,Roster!$C$6:$C$65,0))-1)+MATCH(B1309,{"AM","PM","NIGHT","WD"},0)-1),""))</f>
        <v/>
      </c>
    </row>
    <row r="1310">
      <c r="A1310" s="122" t="n"/>
      <c r="B1310" s="107" t="n"/>
      <c r="C1310" s="105" t="n"/>
      <c r="D1310" s="92">
        <f>IF(C1310="","",IFERROR(INDEX(Roster!$C$6:$C$65,IFERROR(MATCH(C1310,Roster!$B$6:$B$65,0),MATCH(C1310,Roster!$C$6:$C$65,0))),"not on the Roster"))</f>
        <v/>
      </c>
      <c r="E1310" s="106" t="n"/>
      <c r="F1310" s="104">
        <f>IF(OR(A1310="",C1310="",B1310=""),"",IFERROR(INDEX(CHOOSE(IF(YEAR(A1310)&gt;PlanYear,13,MONTH(A1310)),'Jan'!$D$27:$AH$266,'Feb'!$D$27:$AH$266,'Mar'!$D$27:$AH$266,'Apr'!$D$27:$AH$266,'May'!$D$27:$AH$266,'Jun'!$D$27:$AH$266,'Jul'!$D$27:$AH$266,'Aug'!$D$27:$AH$266,'Sep'!$D$27:$AH$266,'Oct'!$D$27:$AH$266,'Nov'!$D$27:$AH$266,'Dec'!$D$27:$AH$266,'Jan (next year)'!$D$27:$AH$266),27+4*(IFERROR(MATCH(C1310,Roster!$B$6:$B$65,0),MATCH(C1310,Roster!$C$6:$C$65,0))-1)+MATCH(B1310,{"AM","PM","NIGHT","WD"},0)-1-27+1,DAY(A1310))&amp;"",""))</f>
        <v/>
      </c>
      <c r="G1310" s="123">
        <f>IF(OR(A1310="",C1310="",B1310="",E1310=""),"",IFERROR(A1310&amp;"|"&amp;(27+4*(IFERROR(MATCH(C1310,Roster!$B$6:$B$65,0),MATCH(C1310,Roster!$C$6:$C$65,0))-1)+MATCH(B1310,{"AM","PM","NIGHT","WD"},0)-1),""))</f>
        <v/>
      </c>
    </row>
    <row r="1311">
      <c r="A1311" s="122" t="n"/>
      <c r="B1311" s="107" t="n"/>
      <c r="C1311" s="105" t="n"/>
      <c r="D1311" s="92">
        <f>IF(C1311="","",IFERROR(INDEX(Roster!$C$6:$C$65,IFERROR(MATCH(C1311,Roster!$B$6:$B$65,0),MATCH(C1311,Roster!$C$6:$C$65,0))),"not on the Roster"))</f>
        <v/>
      </c>
      <c r="E1311" s="106" t="n"/>
      <c r="F1311" s="104">
        <f>IF(OR(A1311="",C1311="",B1311=""),"",IFERROR(INDEX(CHOOSE(IF(YEAR(A1311)&gt;PlanYear,13,MONTH(A1311)),'Jan'!$D$27:$AH$266,'Feb'!$D$27:$AH$266,'Mar'!$D$27:$AH$266,'Apr'!$D$27:$AH$266,'May'!$D$27:$AH$266,'Jun'!$D$27:$AH$266,'Jul'!$D$27:$AH$266,'Aug'!$D$27:$AH$266,'Sep'!$D$27:$AH$266,'Oct'!$D$27:$AH$266,'Nov'!$D$27:$AH$266,'Dec'!$D$27:$AH$266,'Jan (next year)'!$D$27:$AH$266),27+4*(IFERROR(MATCH(C1311,Roster!$B$6:$B$65,0),MATCH(C1311,Roster!$C$6:$C$65,0))-1)+MATCH(B1311,{"AM","PM","NIGHT","WD"},0)-1-27+1,DAY(A1311))&amp;"",""))</f>
        <v/>
      </c>
      <c r="G1311" s="123">
        <f>IF(OR(A1311="",C1311="",B1311="",E1311=""),"",IFERROR(A1311&amp;"|"&amp;(27+4*(IFERROR(MATCH(C1311,Roster!$B$6:$B$65,0),MATCH(C1311,Roster!$C$6:$C$65,0))-1)+MATCH(B1311,{"AM","PM","NIGHT","WD"},0)-1),""))</f>
        <v/>
      </c>
    </row>
    <row r="1312">
      <c r="A1312" s="122" t="n"/>
      <c r="B1312" s="107" t="n"/>
      <c r="C1312" s="105" t="n"/>
      <c r="D1312" s="92">
        <f>IF(C1312="","",IFERROR(INDEX(Roster!$C$6:$C$65,IFERROR(MATCH(C1312,Roster!$B$6:$B$65,0),MATCH(C1312,Roster!$C$6:$C$65,0))),"not on the Roster"))</f>
        <v/>
      </c>
      <c r="E1312" s="106" t="n"/>
      <c r="F1312" s="104">
        <f>IF(OR(A1312="",C1312="",B1312=""),"",IFERROR(INDEX(CHOOSE(IF(YEAR(A1312)&gt;PlanYear,13,MONTH(A1312)),'Jan'!$D$27:$AH$266,'Feb'!$D$27:$AH$266,'Mar'!$D$27:$AH$266,'Apr'!$D$27:$AH$266,'May'!$D$27:$AH$266,'Jun'!$D$27:$AH$266,'Jul'!$D$27:$AH$266,'Aug'!$D$27:$AH$266,'Sep'!$D$27:$AH$266,'Oct'!$D$27:$AH$266,'Nov'!$D$27:$AH$266,'Dec'!$D$27:$AH$266,'Jan (next year)'!$D$27:$AH$266),27+4*(IFERROR(MATCH(C1312,Roster!$B$6:$B$65,0),MATCH(C1312,Roster!$C$6:$C$65,0))-1)+MATCH(B1312,{"AM","PM","NIGHT","WD"},0)-1-27+1,DAY(A1312))&amp;"",""))</f>
        <v/>
      </c>
      <c r="G1312" s="123">
        <f>IF(OR(A1312="",C1312="",B1312="",E1312=""),"",IFERROR(A1312&amp;"|"&amp;(27+4*(IFERROR(MATCH(C1312,Roster!$B$6:$B$65,0),MATCH(C1312,Roster!$C$6:$C$65,0))-1)+MATCH(B1312,{"AM","PM","NIGHT","WD"},0)-1),""))</f>
        <v/>
      </c>
    </row>
    <row r="1313">
      <c r="A1313" s="122" t="n"/>
      <c r="B1313" s="107" t="n"/>
      <c r="C1313" s="105" t="n"/>
      <c r="D1313" s="92">
        <f>IF(C1313="","",IFERROR(INDEX(Roster!$C$6:$C$65,IFERROR(MATCH(C1313,Roster!$B$6:$B$65,0),MATCH(C1313,Roster!$C$6:$C$65,0))),"not on the Roster"))</f>
        <v/>
      </c>
      <c r="E1313" s="106" t="n"/>
      <c r="F1313" s="104">
        <f>IF(OR(A1313="",C1313="",B1313=""),"",IFERROR(INDEX(CHOOSE(IF(YEAR(A1313)&gt;PlanYear,13,MONTH(A1313)),'Jan'!$D$27:$AH$266,'Feb'!$D$27:$AH$266,'Mar'!$D$27:$AH$266,'Apr'!$D$27:$AH$266,'May'!$D$27:$AH$266,'Jun'!$D$27:$AH$266,'Jul'!$D$27:$AH$266,'Aug'!$D$27:$AH$266,'Sep'!$D$27:$AH$266,'Oct'!$D$27:$AH$266,'Nov'!$D$27:$AH$266,'Dec'!$D$27:$AH$266,'Jan (next year)'!$D$27:$AH$266),27+4*(IFERROR(MATCH(C1313,Roster!$B$6:$B$65,0),MATCH(C1313,Roster!$C$6:$C$65,0))-1)+MATCH(B1313,{"AM","PM","NIGHT","WD"},0)-1-27+1,DAY(A1313))&amp;"",""))</f>
        <v/>
      </c>
      <c r="G1313" s="123">
        <f>IF(OR(A1313="",C1313="",B1313="",E1313=""),"",IFERROR(A1313&amp;"|"&amp;(27+4*(IFERROR(MATCH(C1313,Roster!$B$6:$B$65,0),MATCH(C1313,Roster!$C$6:$C$65,0))-1)+MATCH(B1313,{"AM","PM","NIGHT","WD"},0)-1),""))</f>
        <v/>
      </c>
    </row>
    <row r="1314">
      <c r="A1314" s="122" t="n"/>
      <c r="B1314" s="107" t="n"/>
      <c r="C1314" s="105" t="n"/>
      <c r="D1314" s="92">
        <f>IF(C1314="","",IFERROR(INDEX(Roster!$C$6:$C$65,IFERROR(MATCH(C1314,Roster!$B$6:$B$65,0),MATCH(C1314,Roster!$C$6:$C$65,0))),"not on the Roster"))</f>
        <v/>
      </c>
      <c r="E1314" s="106" t="n"/>
      <c r="F1314" s="104">
        <f>IF(OR(A1314="",C1314="",B1314=""),"",IFERROR(INDEX(CHOOSE(IF(YEAR(A1314)&gt;PlanYear,13,MONTH(A1314)),'Jan'!$D$27:$AH$266,'Feb'!$D$27:$AH$266,'Mar'!$D$27:$AH$266,'Apr'!$D$27:$AH$266,'May'!$D$27:$AH$266,'Jun'!$D$27:$AH$266,'Jul'!$D$27:$AH$266,'Aug'!$D$27:$AH$266,'Sep'!$D$27:$AH$266,'Oct'!$D$27:$AH$266,'Nov'!$D$27:$AH$266,'Dec'!$D$27:$AH$266,'Jan (next year)'!$D$27:$AH$266),27+4*(IFERROR(MATCH(C1314,Roster!$B$6:$B$65,0),MATCH(C1314,Roster!$C$6:$C$65,0))-1)+MATCH(B1314,{"AM","PM","NIGHT","WD"},0)-1-27+1,DAY(A1314))&amp;"",""))</f>
        <v/>
      </c>
      <c r="G1314" s="123">
        <f>IF(OR(A1314="",C1314="",B1314="",E1314=""),"",IFERROR(A1314&amp;"|"&amp;(27+4*(IFERROR(MATCH(C1314,Roster!$B$6:$B$65,0),MATCH(C1314,Roster!$C$6:$C$65,0))-1)+MATCH(B1314,{"AM","PM","NIGHT","WD"},0)-1),""))</f>
        <v/>
      </c>
    </row>
    <row r="1315">
      <c r="A1315" s="122" t="n"/>
      <c r="B1315" s="107" t="n"/>
      <c r="C1315" s="105" t="n"/>
      <c r="D1315" s="92">
        <f>IF(C1315="","",IFERROR(INDEX(Roster!$C$6:$C$65,IFERROR(MATCH(C1315,Roster!$B$6:$B$65,0),MATCH(C1315,Roster!$C$6:$C$65,0))),"not on the Roster"))</f>
        <v/>
      </c>
      <c r="E1315" s="106" t="n"/>
      <c r="F1315" s="104">
        <f>IF(OR(A1315="",C1315="",B1315=""),"",IFERROR(INDEX(CHOOSE(IF(YEAR(A1315)&gt;PlanYear,13,MONTH(A1315)),'Jan'!$D$27:$AH$266,'Feb'!$D$27:$AH$266,'Mar'!$D$27:$AH$266,'Apr'!$D$27:$AH$266,'May'!$D$27:$AH$266,'Jun'!$D$27:$AH$266,'Jul'!$D$27:$AH$266,'Aug'!$D$27:$AH$266,'Sep'!$D$27:$AH$266,'Oct'!$D$27:$AH$266,'Nov'!$D$27:$AH$266,'Dec'!$D$27:$AH$266,'Jan (next year)'!$D$27:$AH$266),27+4*(IFERROR(MATCH(C1315,Roster!$B$6:$B$65,0),MATCH(C1315,Roster!$C$6:$C$65,0))-1)+MATCH(B1315,{"AM","PM","NIGHT","WD"},0)-1-27+1,DAY(A1315))&amp;"",""))</f>
        <v/>
      </c>
      <c r="G1315" s="123">
        <f>IF(OR(A1315="",C1315="",B1315="",E1315=""),"",IFERROR(A1315&amp;"|"&amp;(27+4*(IFERROR(MATCH(C1315,Roster!$B$6:$B$65,0),MATCH(C1315,Roster!$C$6:$C$65,0))-1)+MATCH(B1315,{"AM","PM","NIGHT","WD"},0)-1),""))</f>
        <v/>
      </c>
    </row>
    <row r="1316">
      <c r="A1316" s="122" t="n"/>
      <c r="B1316" s="107" t="n"/>
      <c r="C1316" s="105" t="n"/>
      <c r="D1316" s="92">
        <f>IF(C1316="","",IFERROR(INDEX(Roster!$C$6:$C$65,IFERROR(MATCH(C1316,Roster!$B$6:$B$65,0),MATCH(C1316,Roster!$C$6:$C$65,0))),"not on the Roster"))</f>
        <v/>
      </c>
      <c r="E1316" s="106" t="n"/>
      <c r="F1316" s="104">
        <f>IF(OR(A1316="",C1316="",B1316=""),"",IFERROR(INDEX(CHOOSE(IF(YEAR(A1316)&gt;PlanYear,13,MONTH(A1316)),'Jan'!$D$27:$AH$266,'Feb'!$D$27:$AH$266,'Mar'!$D$27:$AH$266,'Apr'!$D$27:$AH$266,'May'!$D$27:$AH$266,'Jun'!$D$27:$AH$266,'Jul'!$D$27:$AH$266,'Aug'!$D$27:$AH$266,'Sep'!$D$27:$AH$266,'Oct'!$D$27:$AH$266,'Nov'!$D$27:$AH$266,'Dec'!$D$27:$AH$266,'Jan (next year)'!$D$27:$AH$266),27+4*(IFERROR(MATCH(C1316,Roster!$B$6:$B$65,0),MATCH(C1316,Roster!$C$6:$C$65,0))-1)+MATCH(B1316,{"AM","PM","NIGHT","WD"},0)-1-27+1,DAY(A1316))&amp;"",""))</f>
        <v/>
      </c>
      <c r="G1316" s="123">
        <f>IF(OR(A1316="",C1316="",B1316="",E1316=""),"",IFERROR(A1316&amp;"|"&amp;(27+4*(IFERROR(MATCH(C1316,Roster!$B$6:$B$65,0),MATCH(C1316,Roster!$C$6:$C$65,0))-1)+MATCH(B1316,{"AM","PM","NIGHT","WD"},0)-1),""))</f>
        <v/>
      </c>
    </row>
    <row r="1317">
      <c r="A1317" s="122" t="n"/>
      <c r="B1317" s="107" t="n"/>
      <c r="C1317" s="105" t="n"/>
      <c r="D1317" s="92">
        <f>IF(C1317="","",IFERROR(INDEX(Roster!$C$6:$C$65,IFERROR(MATCH(C1317,Roster!$B$6:$B$65,0),MATCH(C1317,Roster!$C$6:$C$65,0))),"not on the Roster"))</f>
        <v/>
      </c>
      <c r="E1317" s="106" t="n"/>
      <c r="F1317" s="104">
        <f>IF(OR(A1317="",C1317="",B1317=""),"",IFERROR(INDEX(CHOOSE(IF(YEAR(A1317)&gt;PlanYear,13,MONTH(A1317)),'Jan'!$D$27:$AH$266,'Feb'!$D$27:$AH$266,'Mar'!$D$27:$AH$266,'Apr'!$D$27:$AH$266,'May'!$D$27:$AH$266,'Jun'!$D$27:$AH$266,'Jul'!$D$27:$AH$266,'Aug'!$D$27:$AH$266,'Sep'!$D$27:$AH$266,'Oct'!$D$27:$AH$266,'Nov'!$D$27:$AH$266,'Dec'!$D$27:$AH$266,'Jan (next year)'!$D$27:$AH$266),27+4*(IFERROR(MATCH(C1317,Roster!$B$6:$B$65,0),MATCH(C1317,Roster!$C$6:$C$65,0))-1)+MATCH(B1317,{"AM","PM","NIGHT","WD"},0)-1-27+1,DAY(A1317))&amp;"",""))</f>
        <v/>
      </c>
      <c r="G1317" s="123">
        <f>IF(OR(A1317="",C1317="",B1317="",E1317=""),"",IFERROR(A1317&amp;"|"&amp;(27+4*(IFERROR(MATCH(C1317,Roster!$B$6:$B$65,0),MATCH(C1317,Roster!$C$6:$C$65,0))-1)+MATCH(B1317,{"AM","PM","NIGHT","WD"},0)-1),""))</f>
        <v/>
      </c>
    </row>
    <row r="1318">
      <c r="A1318" s="122" t="n"/>
      <c r="B1318" s="107" t="n"/>
      <c r="C1318" s="105" t="n"/>
      <c r="D1318" s="92">
        <f>IF(C1318="","",IFERROR(INDEX(Roster!$C$6:$C$65,IFERROR(MATCH(C1318,Roster!$B$6:$B$65,0),MATCH(C1318,Roster!$C$6:$C$65,0))),"not on the Roster"))</f>
        <v/>
      </c>
      <c r="E1318" s="106" t="n"/>
      <c r="F1318" s="104">
        <f>IF(OR(A1318="",C1318="",B1318=""),"",IFERROR(INDEX(CHOOSE(IF(YEAR(A1318)&gt;PlanYear,13,MONTH(A1318)),'Jan'!$D$27:$AH$266,'Feb'!$D$27:$AH$266,'Mar'!$D$27:$AH$266,'Apr'!$D$27:$AH$266,'May'!$D$27:$AH$266,'Jun'!$D$27:$AH$266,'Jul'!$D$27:$AH$266,'Aug'!$D$27:$AH$266,'Sep'!$D$27:$AH$266,'Oct'!$D$27:$AH$266,'Nov'!$D$27:$AH$266,'Dec'!$D$27:$AH$266,'Jan (next year)'!$D$27:$AH$266),27+4*(IFERROR(MATCH(C1318,Roster!$B$6:$B$65,0),MATCH(C1318,Roster!$C$6:$C$65,0))-1)+MATCH(B1318,{"AM","PM","NIGHT","WD"},0)-1-27+1,DAY(A1318))&amp;"",""))</f>
        <v/>
      </c>
      <c r="G1318" s="123">
        <f>IF(OR(A1318="",C1318="",B1318="",E1318=""),"",IFERROR(A1318&amp;"|"&amp;(27+4*(IFERROR(MATCH(C1318,Roster!$B$6:$B$65,0),MATCH(C1318,Roster!$C$6:$C$65,0))-1)+MATCH(B1318,{"AM","PM","NIGHT","WD"},0)-1),""))</f>
        <v/>
      </c>
    </row>
    <row r="1319">
      <c r="A1319" s="122" t="n"/>
      <c r="B1319" s="107" t="n"/>
      <c r="C1319" s="105" t="n"/>
      <c r="D1319" s="92">
        <f>IF(C1319="","",IFERROR(INDEX(Roster!$C$6:$C$65,IFERROR(MATCH(C1319,Roster!$B$6:$B$65,0),MATCH(C1319,Roster!$C$6:$C$65,0))),"not on the Roster"))</f>
        <v/>
      </c>
      <c r="E1319" s="106" t="n"/>
      <c r="F1319" s="104">
        <f>IF(OR(A1319="",C1319="",B1319=""),"",IFERROR(INDEX(CHOOSE(IF(YEAR(A1319)&gt;PlanYear,13,MONTH(A1319)),'Jan'!$D$27:$AH$266,'Feb'!$D$27:$AH$266,'Mar'!$D$27:$AH$266,'Apr'!$D$27:$AH$266,'May'!$D$27:$AH$266,'Jun'!$D$27:$AH$266,'Jul'!$D$27:$AH$266,'Aug'!$D$27:$AH$266,'Sep'!$D$27:$AH$266,'Oct'!$D$27:$AH$266,'Nov'!$D$27:$AH$266,'Dec'!$D$27:$AH$266,'Jan (next year)'!$D$27:$AH$266),27+4*(IFERROR(MATCH(C1319,Roster!$B$6:$B$65,0),MATCH(C1319,Roster!$C$6:$C$65,0))-1)+MATCH(B1319,{"AM","PM","NIGHT","WD"},0)-1-27+1,DAY(A1319))&amp;"",""))</f>
        <v/>
      </c>
      <c r="G1319" s="123">
        <f>IF(OR(A1319="",C1319="",B1319="",E1319=""),"",IFERROR(A1319&amp;"|"&amp;(27+4*(IFERROR(MATCH(C1319,Roster!$B$6:$B$65,0),MATCH(C1319,Roster!$C$6:$C$65,0))-1)+MATCH(B1319,{"AM","PM","NIGHT","WD"},0)-1),""))</f>
        <v/>
      </c>
    </row>
    <row r="1320">
      <c r="A1320" s="122" t="n"/>
      <c r="B1320" s="107" t="n"/>
      <c r="C1320" s="105" t="n"/>
      <c r="D1320" s="92">
        <f>IF(C1320="","",IFERROR(INDEX(Roster!$C$6:$C$65,IFERROR(MATCH(C1320,Roster!$B$6:$B$65,0),MATCH(C1320,Roster!$C$6:$C$65,0))),"not on the Roster"))</f>
        <v/>
      </c>
      <c r="E1320" s="106" t="n"/>
      <c r="F1320" s="104">
        <f>IF(OR(A1320="",C1320="",B1320=""),"",IFERROR(INDEX(CHOOSE(IF(YEAR(A1320)&gt;PlanYear,13,MONTH(A1320)),'Jan'!$D$27:$AH$266,'Feb'!$D$27:$AH$266,'Mar'!$D$27:$AH$266,'Apr'!$D$27:$AH$266,'May'!$D$27:$AH$266,'Jun'!$D$27:$AH$266,'Jul'!$D$27:$AH$266,'Aug'!$D$27:$AH$266,'Sep'!$D$27:$AH$266,'Oct'!$D$27:$AH$266,'Nov'!$D$27:$AH$266,'Dec'!$D$27:$AH$266,'Jan (next year)'!$D$27:$AH$266),27+4*(IFERROR(MATCH(C1320,Roster!$B$6:$B$65,0),MATCH(C1320,Roster!$C$6:$C$65,0))-1)+MATCH(B1320,{"AM","PM","NIGHT","WD"},0)-1-27+1,DAY(A1320))&amp;"",""))</f>
        <v/>
      </c>
      <c r="G1320" s="123">
        <f>IF(OR(A1320="",C1320="",B1320="",E1320=""),"",IFERROR(A1320&amp;"|"&amp;(27+4*(IFERROR(MATCH(C1320,Roster!$B$6:$B$65,0),MATCH(C1320,Roster!$C$6:$C$65,0))-1)+MATCH(B1320,{"AM","PM","NIGHT","WD"},0)-1),""))</f>
        <v/>
      </c>
    </row>
    <row r="1321">
      <c r="A1321" s="122" t="n"/>
      <c r="B1321" s="107" t="n"/>
      <c r="C1321" s="105" t="n"/>
      <c r="D1321" s="92">
        <f>IF(C1321="","",IFERROR(INDEX(Roster!$C$6:$C$65,IFERROR(MATCH(C1321,Roster!$B$6:$B$65,0),MATCH(C1321,Roster!$C$6:$C$65,0))),"not on the Roster"))</f>
        <v/>
      </c>
      <c r="E1321" s="106" t="n"/>
      <c r="F1321" s="104">
        <f>IF(OR(A1321="",C1321="",B1321=""),"",IFERROR(INDEX(CHOOSE(IF(YEAR(A1321)&gt;PlanYear,13,MONTH(A1321)),'Jan'!$D$27:$AH$266,'Feb'!$D$27:$AH$266,'Mar'!$D$27:$AH$266,'Apr'!$D$27:$AH$266,'May'!$D$27:$AH$266,'Jun'!$D$27:$AH$266,'Jul'!$D$27:$AH$266,'Aug'!$D$27:$AH$266,'Sep'!$D$27:$AH$266,'Oct'!$D$27:$AH$266,'Nov'!$D$27:$AH$266,'Dec'!$D$27:$AH$266,'Jan (next year)'!$D$27:$AH$266),27+4*(IFERROR(MATCH(C1321,Roster!$B$6:$B$65,0),MATCH(C1321,Roster!$C$6:$C$65,0))-1)+MATCH(B1321,{"AM","PM","NIGHT","WD"},0)-1-27+1,DAY(A1321))&amp;"",""))</f>
        <v/>
      </c>
      <c r="G1321" s="123">
        <f>IF(OR(A1321="",C1321="",B1321="",E1321=""),"",IFERROR(A1321&amp;"|"&amp;(27+4*(IFERROR(MATCH(C1321,Roster!$B$6:$B$65,0),MATCH(C1321,Roster!$C$6:$C$65,0))-1)+MATCH(B1321,{"AM","PM","NIGHT","WD"},0)-1),""))</f>
        <v/>
      </c>
    </row>
    <row r="1322">
      <c r="A1322" s="122" t="n"/>
      <c r="B1322" s="107" t="n"/>
      <c r="C1322" s="105" t="n"/>
      <c r="D1322" s="92">
        <f>IF(C1322="","",IFERROR(INDEX(Roster!$C$6:$C$65,IFERROR(MATCH(C1322,Roster!$B$6:$B$65,0),MATCH(C1322,Roster!$C$6:$C$65,0))),"not on the Roster"))</f>
        <v/>
      </c>
      <c r="E1322" s="106" t="n"/>
      <c r="F1322" s="104">
        <f>IF(OR(A1322="",C1322="",B1322=""),"",IFERROR(INDEX(CHOOSE(IF(YEAR(A1322)&gt;PlanYear,13,MONTH(A1322)),'Jan'!$D$27:$AH$266,'Feb'!$D$27:$AH$266,'Mar'!$D$27:$AH$266,'Apr'!$D$27:$AH$266,'May'!$D$27:$AH$266,'Jun'!$D$27:$AH$266,'Jul'!$D$27:$AH$266,'Aug'!$D$27:$AH$266,'Sep'!$D$27:$AH$266,'Oct'!$D$27:$AH$266,'Nov'!$D$27:$AH$266,'Dec'!$D$27:$AH$266,'Jan (next year)'!$D$27:$AH$266),27+4*(IFERROR(MATCH(C1322,Roster!$B$6:$B$65,0),MATCH(C1322,Roster!$C$6:$C$65,0))-1)+MATCH(B1322,{"AM","PM","NIGHT","WD"},0)-1-27+1,DAY(A1322))&amp;"",""))</f>
        <v/>
      </c>
      <c r="G1322" s="123">
        <f>IF(OR(A1322="",C1322="",B1322="",E1322=""),"",IFERROR(A1322&amp;"|"&amp;(27+4*(IFERROR(MATCH(C1322,Roster!$B$6:$B$65,0),MATCH(C1322,Roster!$C$6:$C$65,0))-1)+MATCH(B1322,{"AM","PM","NIGHT","WD"},0)-1),""))</f>
        <v/>
      </c>
    </row>
    <row r="1323">
      <c r="A1323" s="122" t="n"/>
      <c r="B1323" s="107" t="n"/>
      <c r="C1323" s="105" t="n"/>
      <c r="D1323" s="92">
        <f>IF(C1323="","",IFERROR(INDEX(Roster!$C$6:$C$65,IFERROR(MATCH(C1323,Roster!$B$6:$B$65,0),MATCH(C1323,Roster!$C$6:$C$65,0))),"not on the Roster"))</f>
        <v/>
      </c>
      <c r="E1323" s="106" t="n"/>
      <c r="F1323" s="104">
        <f>IF(OR(A1323="",C1323="",B1323=""),"",IFERROR(INDEX(CHOOSE(IF(YEAR(A1323)&gt;PlanYear,13,MONTH(A1323)),'Jan'!$D$27:$AH$266,'Feb'!$D$27:$AH$266,'Mar'!$D$27:$AH$266,'Apr'!$D$27:$AH$266,'May'!$D$27:$AH$266,'Jun'!$D$27:$AH$266,'Jul'!$D$27:$AH$266,'Aug'!$D$27:$AH$266,'Sep'!$D$27:$AH$266,'Oct'!$D$27:$AH$266,'Nov'!$D$27:$AH$266,'Dec'!$D$27:$AH$266,'Jan (next year)'!$D$27:$AH$266),27+4*(IFERROR(MATCH(C1323,Roster!$B$6:$B$65,0),MATCH(C1323,Roster!$C$6:$C$65,0))-1)+MATCH(B1323,{"AM","PM","NIGHT","WD"},0)-1-27+1,DAY(A1323))&amp;"",""))</f>
        <v/>
      </c>
      <c r="G1323" s="123">
        <f>IF(OR(A1323="",C1323="",B1323="",E1323=""),"",IFERROR(A1323&amp;"|"&amp;(27+4*(IFERROR(MATCH(C1323,Roster!$B$6:$B$65,0),MATCH(C1323,Roster!$C$6:$C$65,0))-1)+MATCH(B1323,{"AM","PM","NIGHT","WD"},0)-1),""))</f>
        <v/>
      </c>
    </row>
    <row r="1324">
      <c r="A1324" s="122" t="n"/>
      <c r="B1324" s="107" t="n"/>
      <c r="C1324" s="105" t="n"/>
      <c r="D1324" s="92">
        <f>IF(C1324="","",IFERROR(INDEX(Roster!$C$6:$C$65,IFERROR(MATCH(C1324,Roster!$B$6:$B$65,0),MATCH(C1324,Roster!$C$6:$C$65,0))),"not on the Roster"))</f>
        <v/>
      </c>
      <c r="E1324" s="106" t="n"/>
      <c r="F1324" s="104">
        <f>IF(OR(A1324="",C1324="",B1324=""),"",IFERROR(INDEX(CHOOSE(IF(YEAR(A1324)&gt;PlanYear,13,MONTH(A1324)),'Jan'!$D$27:$AH$266,'Feb'!$D$27:$AH$266,'Mar'!$D$27:$AH$266,'Apr'!$D$27:$AH$266,'May'!$D$27:$AH$266,'Jun'!$D$27:$AH$266,'Jul'!$D$27:$AH$266,'Aug'!$D$27:$AH$266,'Sep'!$D$27:$AH$266,'Oct'!$D$27:$AH$266,'Nov'!$D$27:$AH$266,'Dec'!$D$27:$AH$266,'Jan (next year)'!$D$27:$AH$266),27+4*(IFERROR(MATCH(C1324,Roster!$B$6:$B$65,0),MATCH(C1324,Roster!$C$6:$C$65,0))-1)+MATCH(B1324,{"AM","PM","NIGHT","WD"},0)-1-27+1,DAY(A1324))&amp;"",""))</f>
        <v/>
      </c>
      <c r="G1324" s="123">
        <f>IF(OR(A1324="",C1324="",B1324="",E1324=""),"",IFERROR(A1324&amp;"|"&amp;(27+4*(IFERROR(MATCH(C1324,Roster!$B$6:$B$65,0),MATCH(C1324,Roster!$C$6:$C$65,0))-1)+MATCH(B1324,{"AM","PM","NIGHT","WD"},0)-1),""))</f>
        <v/>
      </c>
    </row>
    <row r="1325">
      <c r="A1325" s="122" t="n"/>
      <c r="B1325" s="107" t="n"/>
      <c r="C1325" s="105" t="n"/>
      <c r="D1325" s="92">
        <f>IF(C1325="","",IFERROR(INDEX(Roster!$C$6:$C$65,IFERROR(MATCH(C1325,Roster!$B$6:$B$65,0),MATCH(C1325,Roster!$C$6:$C$65,0))),"not on the Roster"))</f>
        <v/>
      </c>
      <c r="E1325" s="106" t="n"/>
      <c r="F1325" s="104">
        <f>IF(OR(A1325="",C1325="",B1325=""),"",IFERROR(INDEX(CHOOSE(IF(YEAR(A1325)&gt;PlanYear,13,MONTH(A1325)),'Jan'!$D$27:$AH$266,'Feb'!$D$27:$AH$266,'Mar'!$D$27:$AH$266,'Apr'!$D$27:$AH$266,'May'!$D$27:$AH$266,'Jun'!$D$27:$AH$266,'Jul'!$D$27:$AH$266,'Aug'!$D$27:$AH$266,'Sep'!$D$27:$AH$266,'Oct'!$D$27:$AH$266,'Nov'!$D$27:$AH$266,'Dec'!$D$27:$AH$266,'Jan (next year)'!$D$27:$AH$266),27+4*(IFERROR(MATCH(C1325,Roster!$B$6:$B$65,0),MATCH(C1325,Roster!$C$6:$C$65,0))-1)+MATCH(B1325,{"AM","PM","NIGHT","WD"},0)-1-27+1,DAY(A1325))&amp;"",""))</f>
        <v/>
      </c>
      <c r="G1325" s="123">
        <f>IF(OR(A1325="",C1325="",B1325="",E1325=""),"",IFERROR(A1325&amp;"|"&amp;(27+4*(IFERROR(MATCH(C1325,Roster!$B$6:$B$65,0),MATCH(C1325,Roster!$C$6:$C$65,0))-1)+MATCH(B1325,{"AM","PM","NIGHT","WD"},0)-1),""))</f>
        <v/>
      </c>
    </row>
    <row r="1326">
      <c r="A1326" s="122" t="n"/>
      <c r="B1326" s="107" t="n"/>
      <c r="C1326" s="105" t="n"/>
      <c r="D1326" s="92">
        <f>IF(C1326="","",IFERROR(INDEX(Roster!$C$6:$C$65,IFERROR(MATCH(C1326,Roster!$B$6:$B$65,0),MATCH(C1326,Roster!$C$6:$C$65,0))),"not on the Roster"))</f>
        <v/>
      </c>
      <c r="E1326" s="106" t="n"/>
      <c r="F1326" s="104">
        <f>IF(OR(A1326="",C1326="",B1326=""),"",IFERROR(INDEX(CHOOSE(IF(YEAR(A1326)&gt;PlanYear,13,MONTH(A1326)),'Jan'!$D$27:$AH$266,'Feb'!$D$27:$AH$266,'Mar'!$D$27:$AH$266,'Apr'!$D$27:$AH$266,'May'!$D$27:$AH$266,'Jun'!$D$27:$AH$266,'Jul'!$D$27:$AH$266,'Aug'!$D$27:$AH$266,'Sep'!$D$27:$AH$266,'Oct'!$D$27:$AH$266,'Nov'!$D$27:$AH$266,'Dec'!$D$27:$AH$266,'Jan (next year)'!$D$27:$AH$266),27+4*(IFERROR(MATCH(C1326,Roster!$B$6:$B$65,0),MATCH(C1326,Roster!$C$6:$C$65,0))-1)+MATCH(B1326,{"AM","PM","NIGHT","WD"},0)-1-27+1,DAY(A1326))&amp;"",""))</f>
        <v/>
      </c>
      <c r="G1326" s="123">
        <f>IF(OR(A1326="",C1326="",B1326="",E1326=""),"",IFERROR(A1326&amp;"|"&amp;(27+4*(IFERROR(MATCH(C1326,Roster!$B$6:$B$65,0),MATCH(C1326,Roster!$C$6:$C$65,0))-1)+MATCH(B1326,{"AM","PM","NIGHT","WD"},0)-1),""))</f>
        <v/>
      </c>
    </row>
    <row r="1327">
      <c r="A1327" s="122" t="n"/>
      <c r="B1327" s="107" t="n"/>
      <c r="C1327" s="105" t="n"/>
      <c r="D1327" s="92">
        <f>IF(C1327="","",IFERROR(INDEX(Roster!$C$6:$C$65,IFERROR(MATCH(C1327,Roster!$B$6:$B$65,0),MATCH(C1327,Roster!$C$6:$C$65,0))),"not on the Roster"))</f>
        <v/>
      </c>
      <c r="E1327" s="106" t="n"/>
      <c r="F1327" s="104">
        <f>IF(OR(A1327="",C1327="",B1327=""),"",IFERROR(INDEX(CHOOSE(IF(YEAR(A1327)&gt;PlanYear,13,MONTH(A1327)),'Jan'!$D$27:$AH$266,'Feb'!$D$27:$AH$266,'Mar'!$D$27:$AH$266,'Apr'!$D$27:$AH$266,'May'!$D$27:$AH$266,'Jun'!$D$27:$AH$266,'Jul'!$D$27:$AH$266,'Aug'!$D$27:$AH$266,'Sep'!$D$27:$AH$266,'Oct'!$D$27:$AH$266,'Nov'!$D$27:$AH$266,'Dec'!$D$27:$AH$266,'Jan (next year)'!$D$27:$AH$266),27+4*(IFERROR(MATCH(C1327,Roster!$B$6:$B$65,0),MATCH(C1327,Roster!$C$6:$C$65,0))-1)+MATCH(B1327,{"AM","PM","NIGHT","WD"},0)-1-27+1,DAY(A1327))&amp;"",""))</f>
        <v/>
      </c>
      <c r="G1327" s="123">
        <f>IF(OR(A1327="",C1327="",B1327="",E1327=""),"",IFERROR(A1327&amp;"|"&amp;(27+4*(IFERROR(MATCH(C1327,Roster!$B$6:$B$65,0),MATCH(C1327,Roster!$C$6:$C$65,0))-1)+MATCH(B1327,{"AM","PM","NIGHT","WD"},0)-1),""))</f>
        <v/>
      </c>
    </row>
    <row r="1328">
      <c r="A1328" s="122" t="n"/>
      <c r="B1328" s="107" t="n"/>
      <c r="C1328" s="105" t="n"/>
      <c r="D1328" s="92">
        <f>IF(C1328="","",IFERROR(INDEX(Roster!$C$6:$C$65,IFERROR(MATCH(C1328,Roster!$B$6:$B$65,0),MATCH(C1328,Roster!$C$6:$C$65,0))),"not on the Roster"))</f>
        <v/>
      </c>
      <c r="E1328" s="106" t="n"/>
      <c r="F1328" s="104">
        <f>IF(OR(A1328="",C1328="",B1328=""),"",IFERROR(INDEX(CHOOSE(IF(YEAR(A1328)&gt;PlanYear,13,MONTH(A1328)),'Jan'!$D$27:$AH$266,'Feb'!$D$27:$AH$266,'Mar'!$D$27:$AH$266,'Apr'!$D$27:$AH$266,'May'!$D$27:$AH$266,'Jun'!$D$27:$AH$266,'Jul'!$D$27:$AH$266,'Aug'!$D$27:$AH$266,'Sep'!$D$27:$AH$266,'Oct'!$D$27:$AH$266,'Nov'!$D$27:$AH$266,'Dec'!$D$27:$AH$266,'Jan (next year)'!$D$27:$AH$266),27+4*(IFERROR(MATCH(C1328,Roster!$B$6:$B$65,0),MATCH(C1328,Roster!$C$6:$C$65,0))-1)+MATCH(B1328,{"AM","PM","NIGHT","WD"},0)-1-27+1,DAY(A1328))&amp;"",""))</f>
        <v/>
      </c>
      <c r="G1328" s="123">
        <f>IF(OR(A1328="",C1328="",B1328="",E1328=""),"",IFERROR(A1328&amp;"|"&amp;(27+4*(IFERROR(MATCH(C1328,Roster!$B$6:$B$65,0),MATCH(C1328,Roster!$C$6:$C$65,0))-1)+MATCH(B1328,{"AM","PM","NIGHT","WD"},0)-1),""))</f>
        <v/>
      </c>
    </row>
    <row r="1329">
      <c r="A1329" s="122" t="n"/>
      <c r="B1329" s="107" t="n"/>
      <c r="C1329" s="105" t="n"/>
      <c r="D1329" s="92">
        <f>IF(C1329="","",IFERROR(INDEX(Roster!$C$6:$C$65,IFERROR(MATCH(C1329,Roster!$B$6:$B$65,0),MATCH(C1329,Roster!$C$6:$C$65,0))),"not on the Roster"))</f>
        <v/>
      </c>
      <c r="E1329" s="106" t="n"/>
      <c r="F1329" s="104">
        <f>IF(OR(A1329="",C1329="",B1329=""),"",IFERROR(INDEX(CHOOSE(IF(YEAR(A1329)&gt;PlanYear,13,MONTH(A1329)),'Jan'!$D$27:$AH$266,'Feb'!$D$27:$AH$266,'Mar'!$D$27:$AH$266,'Apr'!$D$27:$AH$266,'May'!$D$27:$AH$266,'Jun'!$D$27:$AH$266,'Jul'!$D$27:$AH$266,'Aug'!$D$27:$AH$266,'Sep'!$D$27:$AH$266,'Oct'!$D$27:$AH$266,'Nov'!$D$27:$AH$266,'Dec'!$D$27:$AH$266,'Jan (next year)'!$D$27:$AH$266),27+4*(IFERROR(MATCH(C1329,Roster!$B$6:$B$65,0),MATCH(C1329,Roster!$C$6:$C$65,0))-1)+MATCH(B1329,{"AM","PM","NIGHT","WD"},0)-1-27+1,DAY(A1329))&amp;"",""))</f>
        <v/>
      </c>
      <c r="G1329" s="123">
        <f>IF(OR(A1329="",C1329="",B1329="",E1329=""),"",IFERROR(A1329&amp;"|"&amp;(27+4*(IFERROR(MATCH(C1329,Roster!$B$6:$B$65,0),MATCH(C1329,Roster!$C$6:$C$65,0))-1)+MATCH(B1329,{"AM","PM","NIGHT","WD"},0)-1),""))</f>
        <v/>
      </c>
    </row>
    <row r="1330">
      <c r="A1330" s="122" t="n"/>
      <c r="B1330" s="107" t="n"/>
      <c r="C1330" s="105" t="n"/>
      <c r="D1330" s="92">
        <f>IF(C1330="","",IFERROR(INDEX(Roster!$C$6:$C$65,IFERROR(MATCH(C1330,Roster!$B$6:$B$65,0),MATCH(C1330,Roster!$C$6:$C$65,0))),"not on the Roster"))</f>
        <v/>
      </c>
      <c r="E1330" s="106" t="n"/>
      <c r="F1330" s="104">
        <f>IF(OR(A1330="",C1330="",B1330=""),"",IFERROR(INDEX(CHOOSE(IF(YEAR(A1330)&gt;PlanYear,13,MONTH(A1330)),'Jan'!$D$27:$AH$266,'Feb'!$D$27:$AH$266,'Mar'!$D$27:$AH$266,'Apr'!$D$27:$AH$266,'May'!$D$27:$AH$266,'Jun'!$D$27:$AH$266,'Jul'!$D$27:$AH$266,'Aug'!$D$27:$AH$266,'Sep'!$D$27:$AH$266,'Oct'!$D$27:$AH$266,'Nov'!$D$27:$AH$266,'Dec'!$D$27:$AH$266,'Jan (next year)'!$D$27:$AH$266),27+4*(IFERROR(MATCH(C1330,Roster!$B$6:$B$65,0),MATCH(C1330,Roster!$C$6:$C$65,0))-1)+MATCH(B1330,{"AM","PM","NIGHT","WD"},0)-1-27+1,DAY(A1330))&amp;"",""))</f>
        <v/>
      </c>
      <c r="G1330" s="123">
        <f>IF(OR(A1330="",C1330="",B1330="",E1330=""),"",IFERROR(A1330&amp;"|"&amp;(27+4*(IFERROR(MATCH(C1330,Roster!$B$6:$B$65,0),MATCH(C1330,Roster!$C$6:$C$65,0))-1)+MATCH(B1330,{"AM","PM","NIGHT","WD"},0)-1),""))</f>
        <v/>
      </c>
    </row>
    <row r="1331">
      <c r="A1331" s="122" t="n"/>
      <c r="B1331" s="107" t="n"/>
      <c r="C1331" s="105" t="n"/>
      <c r="D1331" s="92">
        <f>IF(C1331="","",IFERROR(INDEX(Roster!$C$6:$C$65,IFERROR(MATCH(C1331,Roster!$B$6:$B$65,0),MATCH(C1331,Roster!$C$6:$C$65,0))),"not on the Roster"))</f>
        <v/>
      </c>
      <c r="E1331" s="106" t="n"/>
      <c r="F1331" s="104">
        <f>IF(OR(A1331="",C1331="",B1331=""),"",IFERROR(INDEX(CHOOSE(IF(YEAR(A1331)&gt;PlanYear,13,MONTH(A1331)),'Jan'!$D$27:$AH$266,'Feb'!$D$27:$AH$266,'Mar'!$D$27:$AH$266,'Apr'!$D$27:$AH$266,'May'!$D$27:$AH$266,'Jun'!$D$27:$AH$266,'Jul'!$D$27:$AH$266,'Aug'!$D$27:$AH$266,'Sep'!$D$27:$AH$266,'Oct'!$D$27:$AH$266,'Nov'!$D$27:$AH$266,'Dec'!$D$27:$AH$266,'Jan (next year)'!$D$27:$AH$266),27+4*(IFERROR(MATCH(C1331,Roster!$B$6:$B$65,0),MATCH(C1331,Roster!$C$6:$C$65,0))-1)+MATCH(B1331,{"AM","PM","NIGHT","WD"},0)-1-27+1,DAY(A1331))&amp;"",""))</f>
        <v/>
      </c>
      <c r="G1331" s="123">
        <f>IF(OR(A1331="",C1331="",B1331="",E1331=""),"",IFERROR(A1331&amp;"|"&amp;(27+4*(IFERROR(MATCH(C1331,Roster!$B$6:$B$65,0),MATCH(C1331,Roster!$C$6:$C$65,0))-1)+MATCH(B1331,{"AM","PM","NIGHT","WD"},0)-1),""))</f>
        <v/>
      </c>
    </row>
    <row r="1332">
      <c r="A1332" s="122" t="n"/>
      <c r="B1332" s="107" t="n"/>
      <c r="C1332" s="105" t="n"/>
      <c r="D1332" s="92">
        <f>IF(C1332="","",IFERROR(INDEX(Roster!$C$6:$C$65,IFERROR(MATCH(C1332,Roster!$B$6:$B$65,0),MATCH(C1332,Roster!$C$6:$C$65,0))),"not on the Roster"))</f>
        <v/>
      </c>
      <c r="E1332" s="106" t="n"/>
      <c r="F1332" s="104">
        <f>IF(OR(A1332="",C1332="",B1332=""),"",IFERROR(INDEX(CHOOSE(IF(YEAR(A1332)&gt;PlanYear,13,MONTH(A1332)),'Jan'!$D$27:$AH$266,'Feb'!$D$27:$AH$266,'Mar'!$D$27:$AH$266,'Apr'!$D$27:$AH$266,'May'!$D$27:$AH$266,'Jun'!$D$27:$AH$266,'Jul'!$D$27:$AH$266,'Aug'!$D$27:$AH$266,'Sep'!$D$27:$AH$266,'Oct'!$D$27:$AH$266,'Nov'!$D$27:$AH$266,'Dec'!$D$27:$AH$266,'Jan (next year)'!$D$27:$AH$266),27+4*(IFERROR(MATCH(C1332,Roster!$B$6:$B$65,0),MATCH(C1332,Roster!$C$6:$C$65,0))-1)+MATCH(B1332,{"AM","PM","NIGHT","WD"},0)-1-27+1,DAY(A1332))&amp;"",""))</f>
        <v/>
      </c>
      <c r="G1332" s="123">
        <f>IF(OR(A1332="",C1332="",B1332="",E1332=""),"",IFERROR(A1332&amp;"|"&amp;(27+4*(IFERROR(MATCH(C1332,Roster!$B$6:$B$65,0),MATCH(C1332,Roster!$C$6:$C$65,0))-1)+MATCH(B1332,{"AM","PM","NIGHT","WD"},0)-1),""))</f>
        <v/>
      </c>
    </row>
    <row r="1333">
      <c r="A1333" s="122" t="n"/>
      <c r="B1333" s="107" t="n"/>
      <c r="C1333" s="105" t="n"/>
      <c r="D1333" s="92">
        <f>IF(C1333="","",IFERROR(INDEX(Roster!$C$6:$C$65,IFERROR(MATCH(C1333,Roster!$B$6:$B$65,0),MATCH(C1333,Roster!$C$6:$C$65,0))),"not on the Roster"))</f>
        <v/>
      </c>
      <c r="E1333" s="106" t="n"/>
      <c r="F1333" s="104">
        <f>IF(OR(A1333="",C1333="",B1333=""),"",IFERROR(INDEX(CHOOSE(IF(YEAR(A1333)&gt;PlanYear,13,MONTH(A1333)),'Jan'!$D$27:$AH$266,'Feb'!$D$27:$AH$266,'Mar'!$D$27:$AH$266,'Apr'!$D$27:$AH$266,'May'!$D$27:$AH$266,'Jun'!$D$27:$AH$266,'Jul'!$D$27:$AH$266,'Aug'!$D$27:$AH$266,'Sep'!$D$27:$AH$266,'Oct'!$D$27:$AH$266,'Nov'!$D$27:$AH$266,'Dec'!$D$27:$AH$266,'Jan (next year)'!$D$27:$AH$266),27+4*(IFERROR(MATCH(C1333,Roster!$B$6:$B$65,0),MATCH(C1333,Roster!$C$6:$C$65,0))-1)+MATCH(B1333,{"AM","PM","NIGHT","WD"},0)-1-27+1,DAY(A1333))&amp;"",""))</f>
        <v/>
      </c>
      <c r="G1333" s="123">
        <f>IF(OR(A1333="",C1333="",B1333="",E1333=""),"",IFERROR(A1333&amp;"|"&amp;(27+4*(IFERROR(MATCH(C1333,Roster!$B$6:$B$65,0),MATCH(C1333,Roster!$C$6:$C$65,0))-1)+MATCH(B1333,{"AM","PM","NIGHT","WD"},0)-1),""))</f>
        <v/>
      </c>
    </row>
    <row r="1334">
      <c r="A1334" s="122" t="n"/>
      <c r="B1334" s="107" t="n"/>
      <c r="C1334" s="105" t="n"/>
      <c r="D1334" s="92">
        <f>IF(C1334="","",IFERROR(INDEX(Roster!$C$6:$C$65,IFERROR(MATCH(C1334,Roster!$B$6:$B$65,0),MATCH(C1334,Roster!$C$6:$C$65,0))),"not on the Roster"))</f>
        <v/>
      </c>
      <c r="E1334" s="106" t="n"/>
      <c r="F1334" s="104">
        <f>IF(OR(A1334="",C1334="",B1334=""),"",IFERROR(INDEX(CHOOSE(IF(YEAR(A1334)&gt;PlanYear,13,MONTH(A1334)),'Jan'!$D$27:$AH$266,'Feb'!$D$27:$AH$266,'Mar'!$D$27:$AH$266,'Apr'!$D$27:$AH$266,'May'!$D$27:$AH$266,'Jun'!$D$27:$AH$266,'Jul'!$D$27:$AH$266,'Aug'!$D$27:$AH$266,'Sep'!$D$27:$AH$266,'Oct'!$D$27:$AH$266,'Nov'!$D$27:$AH$266,'Dec'!$D$27:$AH$266,'Jan (next year)'!$D$27:$AH$266),27+4*(IFERROR(MATCH(C1334,Roster!$B$6:$B$65,0),MATCH(C1334,Roster!$C$6:$C$65,0))-1)+MATCH(B1334,{"AM","PM","NIGHT","WD"},0)-1-27+1,DAY(A1334))&amp;"",""))</f>
        <v/>
      </c>
      <c r="G1334" s="123">
        <f>IF(OR(A1334="",C1334="",B1334="",E1334=""),"",IFERROR(A1334&amp;"|"&amp;(27+4*(IFERROR(MATCH(C1334,Roster!$B$6:$B$65,0),MATCH(C1334,Roster!$C$6:$C$65,0))-1)+MATCH(B1334,{"AM","PM","NIGHT","WD"},0)-1),""))</f>
        <v/>
      </c>
    </row>
    <row r="1335">
      <c r="A1335" s="122" t="n"/>
      <c r="B1335" s="107" t="n"/>
      <c r="C1335" s="105" t="n"/>
      <c r="D1335" s="92">
        <f>IF(C1335="","",IFERROR(INDEX(Roster!$C$6:$C$65,IFERROR(MATCH(C1335,Roster!$B$6:$B$65,0),MATCH(C1335,Roster!$C$6:$C$65,0))),"not on the Roster"))</f>
        <v/>
      </c>
      <c r="E1335" s="106" t="n"/>
      <c r="F1335" s="104">
        <f>IF(OR(A1335="",C1335="",B1335=""),"",IFERROR(INDEX(CHOOSE(IF(YEAR(A1335)&gt;PlanYear,13,MONTH(A1335)),'Jan'!$D$27:$AH$266,'Feb'!$D$27:$AH$266,'Mar'!$D$27:$AH$266,'Apr'!$D$27:$AH$266,'May'!$D$27:$AH$266,'Jun'!$D$27:$AH$266,'Jul'!$D$27:$AH$266,'Aug'!$D$27:$AH$266,'Sep'!$D$27:$AH$266,'Oct'!$D$27:$AH$266,'Nov'!$D$27:$AH$266,'Dec'!$D$27:$AH$266,'Jan (next year)'!$D$27:$AH$266),27+4*(IFERROR(MATCH(C1335,Roster!$B$6:$B$65,0),MATCH(C1335,Roster!$C$6:$C$65,0))-1)+MATCH(B1335,{"AM","PM","NIGHT","WD"},0)-1-27+1,DAY(A1335))&amp;"",""))</f>
        <v/>
      </c>
      <c r="G1335" s="123">
        <f>IF(OR(A1335="",C1335="",B1335="",E1335=""),"",IFERROR(A1335&amp;"|"&amp;(27+4*(IFERROR(MATCH(C1335,Roster!$B$6:$B$65,0),MATCH(C1335,Roster!$C$6:$C$65,0))-1)+MATCH(B1335,{"AM","PM","NIGHT","WD"},0)-1),""))</f>
        <v/>
      </c>
    </row>
    <row r="1336">
      <c r="A1336" s="122" t="n"/>
      <c r="B1336" s="107" t="n"/>
      <c r="C1336" s="105" t="n"/>
      <c r="D1336" s="92">
        <f>IF(C1336="","",IFERROR(INDEX(Roster!$C$6:$C$65,IFERROR(MATCH(C1336,Roster!$B$6:$B$65,0),MATCH(C1336,Roster!$C$6:$C$65,0))),"not on the Roster"))</f>
        <v/>
      </c>
      <c r="E1336" s="106" t="n"/>
      <c r="F1336" s="104">
        <f>IF(OR(A1336="",C1336="",B1336=""),"",IFERROR(INDEX(CHOOSE(IF(YEAR(A1336)&gt;PlanYear,13,MONTH(A1336)),'Jan'!$D$27:$AH$266,'Feb'!$D$27:$AH$266,'Mar'!$D$27:$AH$266,'Apr'!$D$27:$AH$266,'May'!$D$27:$AH$266,'Jun'!$D$27:$AH$266,'Jul'!$D$27:$AH$266,'Aug'!$D$27:$AH$266,'Sep'!$D$27:$AH$266,'Oct'!$D$27:$AH$266,'Nov'!$D$27:$AH$266,'Dec'!$D$27:$AH$266,'Jan (next year)'!$D$27:$AH$266),27+4*(IFERROR(MATCH(C1336,Roster!$B$6:$B$65,0),MATCH(C1336,Roster!$C$6:$C$65,0))-1)+MATCH(B1336,{"AM","PM","NIGHT","WD"},0)-1-27+1,DAY(A1336))&amp;"",""))</f>
        <v/>
      </c>
      <c r="G1336" s="123">
        <f>IF(OR(A1336="",C1336="",B1336="",E1336=""),"",IFERROR(A1336&amp;"|"&amp;(27+4*(IFERROR(MATCH(C1336,Roster!$B$6:$B$65,0),MATCH(C1336,Roster!$C$6:$C$65,0))-1)+MATCH(B1336,{"AM","PM","NIGHT","WD"},0)-1),""))</f>
        <v/>
      </c>
    </row>
    <row r="1337">
      <c r="A1337" s="122" t="n"/>
      <c r="B1337" s="107" t="n"/>
      <c r="C1337" s="105" t="n"/>
      <c r="D1337" s="92">
        <f>IF(C1337="","",IFERROR(INDEX(Roster!$C$6:$C$65,IFERROR(MATCH(C1337,Roster!$B$6:$B$65,0),MATCH(C1337,Roster!$C$6:$C$65,0))),"not on the Roster"))</f>
        <v/>
      </c>
      <c r="E1337" s="106" t="n"/>
      <c r="F1337" s="104">
        <f>IF(OR(A1337="",C1337="",B1337=""),"",IFERROR(INDEX(CHOOSE(IF(YEAR(A1337)&gt;PlanYear,13,MONTH(A1337)),'Jan'!$D$27:$AH$266,'Feb'!$D$27:$AH$266,'Mar'!$D$27:$AH$266,'Apr'!$D$27:$AH$266,'May'!$D$27:$AH$266,'Jun'!$D$27:$AH$266,'Jul'!$D$27:$AH$266,'Aug'!$D$27:$AH$266,'Sep'!$D$27:$AH$266,'Oct'!$D$27:$AH$266,'Nov'!$D$27:$AH$266,'Dec'!$D$27:$AH$266,'Jan (next year)'!$D$27:$AH$266),27+4*(IFERROR(MATCH(C1337,Roster!$B$6:$B$65,0),MATCH(C1337,Roster!$C$6:$C$65,0))-1)+MATCH(B1337,{"AM","PM","NIGHT","WD"},0)-1-27+1,DAY(A1337))&amp;"",""))</f>
        <v/>
      </c>
      <c r="G1337" s="123">
        <f>IF(OR(A1337="",C1337="",B1337="",E1337=""),"",IFERROR(A1337&amp;"|"&amp;(27+4*(IFERROR(MATCH(C1337,Roster!$B$6:$B$65,0),MATCH(C1337,Roster!$C$6:$C$65,0))-1)+MATCH(B1337,{"AM","PM","NIGHT","WD"},0)-1),""))</f>
        <v/>
      </c>
    </row>
    <row r="1338">
      <c r="A1338" s="122" t="n"/>
      <c r="B1338" s="107" t="n"/>
      <c r="C1338" s="105" t="n"/>
      <c r="D1338" s="92">
        <f>IF(C1338="","",IFERROR(INDEX(Roster!$C$6:$C$65,IFERROR(MATCH(C1338,Roster!$B$6:$B$65,0),MATCH(C1338,Roster!$C$6:$C$65,0))),"not on the Roster"))</f>
        <v/>
      </c>
      <c r="E1338" s="106" t="n"/>
      <c r="F1338" s="104">
        <f>IF(OR(A1338="",C1338="",B1338=""),"",IFERROR(INDEX(CHOOSE(IF(YEAR(A1338)&gt;PlanYear,13,MONTH(A1338)),'Jan'!$D$27:$AH$266,'Feb'!$D$27:$AH$266,'Mar'!$D$27:$AH$266,'Apr'!$D$27:$AH$266,'May'!$D$27:$AH$266,'Jun'!$D$27:$AH$266,'Jul'!$D$27:$AH$266,'Aug'!$D$27:$AH$266,'Sep'!$D$27:$AH$266,'Oct'!$D$27:$AH$266,'Nov'!$D$27:$AH$266,'Dec'!$D$27:$AH$266,'Jan (next year)'!$D$27:$AH$266),27+4*(IFERROR(MATCH(C1338,Roster!$B$6:$B$65,0),MATCH(C1338,Roster!$C$6:$C$65,0))-1)+MATCH(B1338,{"AM","PM","NIGHT","WD"},0)-1-27+1,DAY(A1338))&amp;"",""))</f>
        <v/>
      </c>
      <c r="G1338" s="123">
        <f>IF(OR(A1338="",C1338="",B1338="",E1338=""),"",IFERROR(A1338&amp;"|"&amp;(27+4*(IFERROR(MATCH(C1338,Roster!$B$6:$B$65,0),MATCH(C1338,Roster!$C$6:$C$65,0))-1)+MATCH(B1338,{"AM","PM","NIGHT","WD"},0)-1),""))</f>
        <v/>
      </c>
    </row>
    <row r="1339">
      <c r="A1339" s="122" t="n"/>
      <c r="B1339" s="107" t="n"/>
      <c r="C1339" s="105" t="n"/>
      <c r="D1339" s="92">
        <f>IF(C1339="","",IFERROR(INDEX(Roster!$C$6:$C$65,IFERROR(MATCH(C1339,Roster!$B$6:$B$65,0),MATCH(C1339,Roster!$C$6:$C$65,0))),"not on the Roster"))</f>
        <v/>
      </c>
      <c r="E1339" s="106" t="n"/>
      <c r="F1339" s="104">
        <f>IF(OR(A1339="",C1339="",B1339=""),"",IFERROR(INDEX(CHOOSE(IF(YEAR(A1339)&gt;PlanYear,13,MONTH(A1339)),'Jan'!$D$27:$AH$266,'Feb'!$D$27:$AH$266,'Mar'!$D$27:$AH$266,'Apr'!$D$27:$AH$266,'May'!$D$27:$AH$266,'Jun'!$D$27:$AH$266,'Jul'!$D$27:$AH$266,'Aug'!$D$27:$AH$266,'Sep'!$D$27:$AH$266,'Oct'!$D$27:$AH$266,'Nov'!$D$27:$AH$266,'Dec'!$D$27:$AH$266,'Jan (next year)'!$D$27:$AH$266),27+4*(IFERROR(MATCH(C1339,Roster!$B$6:$B$65,0),MATCH(C1339,Roster!$C$6:$C$65,0))-1)+MATCH(B1339,{"AM","PM","NIGHT","WD"},0)-1-27+1,DAY(A1339))&amp;"",""))</f>
        <v/>
      </c>
      <c r="G1339" s="123">
        <f>IF(OR(A1339="",C1339="",B1339="",E1339=""),"",IFERROR(A1339&amp;"|"&amp;(27+4*(IFERROR(MATCH(C1339,Roster!$B$6:$B$65,0),MATCH(C1339,Roster!$C$6:$C$65,0))-1)+MATCH(B1339,{"AM","PM","NIGHT","WD"},0)-1),""))</f>
        <v/>
      </c>
    </row>
    <row r="1340">
      <c r="A1340" s="122" t="n"/>
      <c r="B1340" s="107" t="n"/>
      <c r="C1340" s="105" t="n"/>
      <c r="D1340" s="92">
        <f>IF(C1340="","",IFERROR(INDEX(Roster!$C$6:$C$65,IFERROR(MATCH(C1340,Roster!$B$6:$B$65,0),MATCH(C1340,Roster!$C$6:$C$65,0))),"not on the Roster"))</f>
        <v/>
      </c>
      <c r="E1340" s="106" t="n"/>
      <c r="F1340" s="104">
        <f>IF(OR(A1340="",C1340="",B1340=""),"",IFERROR(INDEX(CHOOSE(IF(YEAR(A1340)&gt;PlanYear,13,MONTH(A1340)),'Jan'!$D$27:$AH$266,'Feb'!$D$27:$AH$266,'Mar'!$D$27:$AH$266,'Apr'!$D$27:$AH$266,'May'!$D$27:$AH$266,'Jun'!$D$27:$AH$266,'Jul'!$D$27:$AH$266,'Aug'!$D$27:$AH$266,'Sep'!$D$27:$AH$266,'Oct'!$D$27:$AH$266,'Nov'!$D$27:$AH$266,'Dec'!$D$27:$AH$266,'Jan (next year)'!$D$27:$AH$266),27+4*(IFERROR(MATCH(C1340,Roster!$B$6:$B$65,0),MATCH(C1340,Roster!$C$6:$C$65,0))-1)+MATCH(B1340,{"AM","PM","NIGHT","WD"},0)-1-27+1,DAY(A1340))&amp;"",""))</f>
        <v/>
      </c>
      <c r="G1340" s="123">
        <f>IF(OR(A1340="",C1340="",B1340="",E1340=""),"",IFERROR(A1340&amp;"|"&amp;(27+4*(IFERROR(MATCH(C1340,Roster!$B$6:$B$65,0),MATCH(C1340,Roster!$C$6:$C$65,0))-1)+MATCH(B1340,{"AM","PM","NIGHT","WD"},0)-1),""))</f>
        <v/>
      </c>
    </row>
    <row r="1341">
      <c r="A1341" s="122" t="n"/>
      <c r="B1341" s="107" t="n"/>
      <c r="C1341" s="105" t="n"/>
      <c r="D1341" s="92">
        <f>IF(C1341="","",IFERROR(INDEX(Roster!$C$6:$C$65,IFERROR(MATCH(C1341,Roster!$B$6:$B$65,0),MATCH(C1341,Roster!$C$6:$C$65,0))),"not on the Roster"))</f>
        <v/>
      </c>
      <c r="E1341" s="106" t="n"/>
      <c r="F1341" s="104">
        <f>IF(OR(A1341="",C1341="",B1341=""),"",IFERROR(INDEX(CHOOSE(IF(YEAR(A1341)&gt;PlanYear,13,MONTH(A1341)),'Jan'!$D$27:$AH$266,'Feb'!$D$27:$AH$266,'Mar'!$D$27:$AH$266,'Apr'!$D$27:$AH$266,'May'!$D$27:$AH$266,'Jun'!$D$27:$AH$266,'Jul'!$D$27:$AH$266,'Aug'!$D$27:$AH$266,'Sep'!$D$27:$AH$266,'Oct'!$D$27:$AH$266,'Nov'!$D$27:$AH$266,'Dec'!$D$27:$AH$266,'Jan (next year)'!$D$27:$AH$266),27+4*(IFERROR(MATCH(C1341,Roster!$B$6:$B$65,0),MATCH(C1341,Roster!$C$6:$C$65,0))-1)+MATCH(B1341,{"AM","PM","NIGHT","WD"},0)-1-27+1,DAY(A1341))&amp;"",""))</f>
        <v/>
      </c>
      <c r="G1341" s="123">
        <f>IF(OR(A1341="",C1341="",B1341="",E1341=""),"",IFERROR(A1341&amp;"|"&amp;(27+4*(IFERROR(MATCH(C1341,Roster!$B$6:$B$65,0),MATCH(C1341,Roster!$C$6:$C$65,0))-1)+MATCH(B1341,{"AM","PM","NIGHT","WD"},0)-1),""))</f>
        <v/>
      </c>
    </row>
    <row r="1342">
      <c r="A1342" s="122" t="n"/>
      <c r="B1342" s="107" t="n"/>
      <c r="C1342" s="105" t="n"/>
      <c r="D1342" s="92">
        <f>IF(C1342="","",IFERROR(INDEX(Roster!$C$6:$C$65,IFERROR(MATCH(C1342,Roster!$B$6:$B$65,0),MATCH(C1342,Roster!$C$6:$C$65,0))),"not on the Roster"))</f>
        <v/>
      </c>
      <c r="E1342" s="106" t="n"/>
      <c r="F1342" s="104">
        <f>IF(OR(A1342="",C1342="",B1342=""),"",IFERROR(INDEX(CHOOSE(IF(YEAR(A1342)&gt;PlanYear,13,MONTH(A1342)),'Jan'!$D$27:$AH$266,'Feb'!$D$27:$AH$266,'Mar'!$D$27:$AH$266,'Apr'!$D$27:$AH$266,'May'!$D$27:$AH$266,'Jun'!$D$27:$AH$266,'Jul'!$D$27:$AH$266,'Aug'!$D$27:$AH$266,'Sep'!$D$27:$AH$266,'Oct'!$D$27:$AH$266,'Nov'!$D$27:$AH$266,'Dec'!$D$27:$AH$266,'Jan (next year)'!$D$27:$AH$266),27+4*(IFERROR(MATCH(C1342,Roster!$B$6:$B$65,0),MATCH(C1342,Roster!$C$6:$C$65,0))-1)+MATCH(B1342,{"AM","PM","NIGHT","WD"},0)-1-27+1,DAY(A1342))&amp;"",""))</f>
        <v/>
      </c>
      <c r="G1342" s="123">
        <f>IF(OR(A1342="",C1342="",B1342="",E1342=""),"",IFERROR(A1342&amp;"|"&amp;(27+4*(IFERROR(MATCH(C1342,Roster!$B$6:$B$65,0),MATCH(C1342,Roster!$C$6:$C$65,0))-1)+MATCH(B1342,{"AM","PM","NIGHT","WD"},0)-1),""))</f>
        <v/>
      </c>
    </row>
    <row r="1343">
      <c r="A1343" s="122" t="n"/>
      <c r="B1343" s="107" t="n"/>
      <c r="C1343" s="105" t="n"/>
      <c r="D1343" s="92">
        <f>IF(C1343="","",IFERROR(INDEX(Roster!$C$6:$C$65,IFERROR(MATCH(C1343,Roster!$B$6:$B$65,0),MATCH(C1343,Roster!$C$6:$C$65,0))),"not on the Roster"))</f>
        <v/>
      </c>
      <c r="E1343" s="106" t="n"/>
      <c r="F1343" s="104">
        <f>IF(OR(A1343="",C1343="",B1343=""),"",IFERROR(INDEX(CHOOSE(IF(YEAR(A1343)&gt;PlanYear,13,MONTH(A1343)),'Jan'!$D$27:$AH$266,'Feb'!$D$27:$AH$266,'Mar'!$D$27:$AH$266,'Apr'!$D$27:$AH$266,'May'!$D$27:$AH$266,'Jun'!$D$27:$AH$266,'Jul'!$D$27:$AH$266,'Aug'!$D$27:$AH$266,'Sep'!$D$27:$AH$266,'Oct'!$D$27:$AH$266,'Nov'!$D$27:$AH$266,'Dec'!$D$27:$AH$266,'Jan (next year)'!$D$27:$AH$266),27+4*(IFERROR(MATCH(C1343,Roster!$B$6:$B$65,0),MATCH(C1343,Roster!$C$6:$C$65,0))-1)+MATCH(B1343,{"AM","PM","NIGHT","WD"},0)-1-27+1,DAY(A1343))&amp;"",""))</f>
        <v/>
      </c>
      <c r="G1343" s="123">
        <f>IF(OR(A1343="",C1343="",B1343="",E1343=""),"",IFERROR(A1343&amp;"|"&amp;(27+4*(IFERROR(MATCH(C1343,Roster!$B$6:$B$65,0),MATCH(C1343,Roster!$C$6:$C$65,0))-1)+MATCH(B1343,{"AM","PM","NIGHT","WD"},0)-1),""))</f>
        <v/>
      </c>
    </row>
    <row r="1344">
      <c r="A1344" s="122" t="n"/>
      <c r="B1344" s="107" t="n"/>
      <c r="C1344" s="105" t="n"/>
      <c r="D1344" s="92">
        <f>IF(C1344="","",IFERROR(INDEX(Roster!$C$6:$C$65,IFERROR(MATCH(C1344,Roster!$B$6:$B$65,0),MATCH(C1344,Roster!$C$6:$C$65,0))),"not on the Roster"))</f>
        <v/>
      </c>
      <c r="E1344" s="106" t="n"/>
      <c r="F1344" s="104">
        <f>IF(OR(A1344="",C1344="",B1344=""),"",IFERROR(INDEX(CHOOSE(IF(YEAR(A1344)&gt;PlanYear,13,MONTH(A1344)),'Jan'!$D$27:$AH$266,'Feb'!$D$27:$AH$266,'Mar'!$D$27:$AH$266,'Apr'!$D$27:$AH$266,'May'!$D$27:$AH$266,'Jun'!$D$27:$AH$266,'Jul'!$D$27:$AH$266,'Aug'!$D$27:$AH$266,'Sep'!$D$27:$AH$266,'Oct'!$D$27:$AH$266,'Nov'!$D$27:$AH$266,'Dec'!$D$27:$AH$266,'Jan (next year)'!$D$27:$AH$266),27+4*(IFERROR(MATCH(C1344,Roster!$B$6:$B$65,0),MATCH(C1344,Roster!$C$6:$C$65,0))-1)+MATCH(B1344,{"AM","PM","NIGHT","WD"},0)-1-27+1,DAY(A1344))&amp;"",""))</f>
        <v/>
      </c>
      <c r="G1344" s="123">
        <f>IF(OR(A1344="",C1344="",B1344="",E1344=""),"",IFERROR(A1344&amp;"|"&amp;(27+4*(IFERROR(MATCH(C1344,Roster!$B$6:$B$65,0),MATCH(C1344,Roster!$C$6:$C$65,0))-1)+MATCH(B1344,{"AM","PM","NIGHT","WD"},0)-1),""))</f>
        <v/>
      </c>
    </row>
    <row r="1345">
      <c r="A1345" s="122" t="n"/>
      <c r="B1345" s="107" t="n"/>
      <c r="C1345" s="105" t="n"/>
      <c r="D1345" s="92">
        <f>IF(C1345="","",IFERROR(INDEX(Roster!$C$6:$C$65,IFERROR(MATCH(C1345,Roster!$B$6:$B$65,0),MATCH(C1345,Roster!$C$6:$C$65,0))),"not on the Roster"))</f>
        <v/>
      </c>
      <c r="E1345" s="106" t="n"/>
      <c r="F1345" s="104">
        <f>IF(OR(A1345="",C1345="",B1345=""),"",IFERROR(INDEX(CHOOSE(IF(YEAR(A1345)&gt;PlanYear,13,MONTH(A1345)),'Jan'!$D$27:$AH$266,'Feb'!$D$27:$AH$266,'Mar'!$D$27:$AH$266,'Apr'!$D$27:$AH$266,'May'!$D$27:$AH$266,'Jun'!$D$27:$AH$266,'Jul'!$D$27:$AH$266,'Aug'!$D$27:$AH$266,'Sep'!$D$27:$AH$266,'Oct'!$D$27:$AH$266,'Nov'!$D$27:$AH$266,'Dec'!$D$27:$AH$266,'Jan (next year)'!$D$27:$AH$266),27+4*(IFERROR(MATCH(C1345,Roster!$B$6:$B$65,0),MATCH(C1345,Roster!$C$6:$C$65,0))-1)+MATCH(B1345,{"AM","PM","NIGHT","WD"},0)-1-27+1,DAY(A1345))&amp;"",""))</f>
        <v/>
      </c>
      <c r="G1345" s="123">
        <f>IF(OR(A1345="",C1345="",B1345="",E1345=""),"",IFERROR(A1345&amp;"|"&amp;(27+4*(IFERROR(MATCH(C1345,Roster!$B$6:$B$65,0),MATCH(C1345,Roster!$C$6:$C$65,0))-1)+MATCH(B1345,{"AM","PM","NIGHT","WD"},0)-1),""))</f>
        <v/>
      </c>
    </row>
    <row r="1346">
      <c r="A1346" s="122" t="n"/>
      <c r="B1346" s="107" t="n"/>
      <c r="C1346" s="105" t="n"/>
      <c r="D1346" s="92">
        <f>IF(C1346="","",IFERROR(INDEX(Roster!$C$6:$C$65,IFERROR(MATCH(C1346,Roster!$B$6:$B$65,0),MATCH(C1346,Roster!$C$6:$C$65,0))),"not on the Roster"))</f>
        <v/>
      </c>
      <c r="E1346" s="106" t="n"/>
      <c r="F1346" s="104">
        <f>IF(OR(A1346="",C1346="",B1346=""),"",IFERROR(INDEX(CHOOSE(IF(YEAR(A1346)&gt;PlanYear,13,MONTH(A1346)),'Jan'!$D$27:$AH$266,'Feb'!$D$27:$AH$266,'Mar'!$D$27:$AH$266,'Apr'!$D$27:$AH$266,'May'!$D$27:$AH$266,'Jun'!$D$27:$AH$266,'Jul'!$D$27:$AH$266,'Aug'!$D$27:$AH$266,'Sep'!$D$27:$AH$266,'Oct'!$D$27:$AH$266,'Nov'!$D$27:$AH$266,'Dec'!$D$27:$AH$266,'Jan (next year)'!$D$27:$AH$266),27+4*(IFERROR(MATCH(C1346,Roster!$B$6:$B$65,0),MATCH(C1346,Roster!$C$6:$C$65,0))-1)+MATCH(B1346,{"AM","PM","NIGHT","WD"},0)-1-27+1,DAY(A1346))&amp;"",""))</f>
        <v/>
      </c>
      <c r="G1346" s="123">
        <f>IF(OR(A1346="",C1346="",B1346="",E1346=""),"",IFERROR(A1346&amp;"|"&amp;(27+4*(IFERROR(MATCH(C1346,Roster!$B$6:$B$65,0),MATCH(C1346,Roster!$C$6:$C$65,0))-1)+MATCH(B1346,{"AM","PM","NIGHT","WD"},0)-1),""))</f>
        <v/>
      </c>
    </row>
    <row r="1347">
      <c r="A1347" s="122" t="n"/>
      <c r="B1347" s="107" t="n"/>
      <c r="C1347" s="105" t="n"/>
      <c r="D1347" s="92">
        <f>IF(C1347="","",IFERROR(INDEX(Roster!$C$6:$C$65,IFERROR(MATCH(C1347,Roster!$B$6:$B$65,0),MATCH(C1347,Roster!$C$6:$C$65,0))),"not on the Roster"))</f>
        <v/>
      </c>
      <c r="E1347" s="106" t="n"/>
      <c r="F1347" s="104">
        <f>IF(OR(A1347="",C1347="",B1347=""),"",IFERROR(INDEX(CHOOSE(IF(YEAR(A1347)&gt;PlanYear,13,MONTH(A1347)),'Jan'!$D$27:$AH$266,'Feb'!$D$27:$AH$266,'Mar'!$D$27:$AH$266,'Apr'!$D$27:$AH$266,'May'!$D$27:$AH$266,'Jun'!$D$27:$AH$266,'Jul'!$D$27:$AH$266,'Aug'!$D$27:$AH$266,'Sep'!$D$27:$AH$266,'Oct'!$D$27:$AH$266,'Nov'!$D$27:$AH$266,'Dec'!$D$27:$AH$266,'Jan (next year)'!$D$27:$AH$266),27+4*(IFERROR(MATCH(C1347,Roster!$B$6:$B$65,0),MATCH(C1347,Roster!$C$6:$C$65,0))-1)+MATCH(B1347,{"AM","PM","NIGHT","WD"},0)-1-27+1,DAY(A1347))&amp;"",""))</f>
        <v/>
      </c>
      <c r="G1347" s="123">
        <f>IF(OR(A1347="",C1347="",B1347="",E1347=""),"",IFERROR(A1347&amp;"|"&amp;(27+4*(IFERROR(MATCH(C1347,Roster!$B$6:$B$65,0),MATCH(C1347,Roster!$C$6:$C$65,0))-1)+MATCH(B1347,{"AM","PM","NIGHT","WD"},0)-1),""))</f>
        <v/>
      </c>
    </row>
    <row r="1348">
      <c r="A1348" s="122" t="n"/>
      <c r="B1348" s="107" t="n"/>
      <c r="C1348" s="105" t="n"/>
      <c r="D1348" s="92">
        <f>IF(C1348="","",IFERROR(INDEX(Roster!$C$6:$C$65,IFERROR(MATCH(C1348,Roster!$B$6:$B$65,0),MATCH(C1348,Roster!$C$6:$C$65,0))),"not on the Roster"))</f>
        <v/>
      </c>
      <c r="E1348" s="106" t="n"/>
      <c r="F1348" s="104">
        <f>IF(OR(A1348="",C1348="",B1348=""),"",IFERROR(INDEX(CHOOSE(IF(YEAR(A1348)&gt;PlanYear,13,MONTH(A1348)),'Jan'!$D$27:$AH$266,'Feb'!$D$27:$AH$266,'Mar'!$D$27:$AH$266,'Apr'!$D$27:$AH$266,'May'!$D$27:$AH$266,'Jun'!$D$27:$AH$266,'Jul'!$D$27:$AH$266,'Aug'!$D$27:$AH$266,'Sep'!$D$27:$AH$266,'Oct'!$D$27:$AH$266,'Nov'!$D$27:$AH$266,'Dec'!$D$27:$AH$266,'Jan (next year)'!$D$27:$AH$266),27+4*(IFERROR(MATCH(C1348,Roster!$B$6:$B$65,0),MATCH(C1348,Roster!$C$6:$C$65,0))-1)+MATCH(B1348,{"AM","PM","NIGHT","WD"},0)-1-27+1,DAY(A1348))&amp;"",""))</f>
        <v/>
      </c>
      <c r="G1348" s="123">
        <f>IF(OR(A1348="",C1348="",B1348="",E1348=""),"",IFERROR(A1348&amp;"|"&amp;(27+4*(IFERROR(MATCH(C1348,Roster!$B$6:$B$65,0),MATCH(C1348,Roster!$C$6:$C$65,0))-1)+MATCH(B1348,{"AM","PM","NIGHT","WD"},0)-1),""))</f>
        <v/>
      </c>
    </row>
    <row r="1349">
      <c r="A1349" s="122" t="n"/>
      <c r="B1349" s="107" t="n"/>
      <c r="C1349" s="105" t="n"/>
      <c r="D1349" s="92">
        <f>IF(C1349="","",IFERROR(INDEX(Roster!$C$6:$C$65,IFERROR(MATCH(C1349,Roster!$B$6:$B$65,0),MATCH(C1349,Roster!$C$6:$C$65,0))),"not on the Roster"))</f>
        <v/>
      </c>
      <c r="E1349" s="106" t="n"/>
      <c r="F1349" s="104">
        <f>IF(OR(A1349="",C1349="",B1349=""),"",IFERROR(INDEX(CHOOSE(IF(YEAR(A1349)&gt;PlanYear,13,MONTH(A1349)),'Jan'!$D$27:$AH$266,'Feb'!$D$27:$AH$266,'Mar'!$D$27:$AH$266,'Apr'!$D$27:$AH$266,'May'!$D$27:$AH$266,'Jun'!$D$27:$AH$266,'Jul'!$D$27:$AH$266,'Aug'!$D$27:$AH$266,'Sep'!$D$27:$AH$266,'Oct'!$D$27:$AH$266,'Nov'!$D$27:$AH$266,'Dec'!$D$27:$AH$266,'Jan (next year)'!$D$27:$AH$266),27+4*(IFERROR(MATCH(C1349,Roster!$B$6:$B$65,0),MATCH(C1349,Roster!$C$6:$C$65,0))-1)+MATCH(B1349,{"AM","PM","NIGHT","WD"},0)-1-27+1,DAY(A1349))&amp;"",""))</f>
        <v/>
      </c>
      <c r="G1349" s="123">
        <f>IF(OR(A1349="",C1349="",B1349="",E1349=""),"",IFERROR(A1349&amp;"|"&amp;(27+4*(IFERROR(MATCH(C1349,Roster!$B$6:$B$65,0),MATCH(C1349,Roster!$C$6:$C$65,0))-1)+MATCH(B1349,{"AM","PM","NIGHT","WD"},0)-1),""))</f>
        <v/>
      </c>
    </row>
    <row r="1350">
      <c r="A1350" s="122" t="n"/>
      <c r="B1350" s="107" t="n"/>
      <c r="C1350" s="105" t="n"/>
      <c r="D1350" s="92">
        <f>IF(C1350="","",IFERROR(INDEX(Roster!$C$6:$C$65,IFERROR(MATCH(C1350,Roster!$B$6:$B$65,0),MATCH(C1350,Roster!$C$6:$C$65,0))),"not on the Roster"))</f>
        <v/>
      </c>
      <c r="E1350" s="106" t="n"/>
      <c r="F1350" s="104">
        <f>IF(OR(A1350="",C1350="",B1350=""),"",IFERROR(INDEX(CHOOSE(IF(YEAR(A1350)&gt;PlanYear,13,MONTH(A1350)),'Jan'!$D$27:$AH$266,'Feb'!$D$27:$AH$266,'Mar'!$D$27:$AH$266,'Apr'!$D$27:$AH$266,'May'!$D$27:$AH$266,'Jun'!$D$27:$AH$266,'Jul'!$D$27:$AH$266,'Aug'!$D$27:$AH$266,'Sep'!$D$27:$AH$266,'Oct'!$D$27:$AH$266,'Nov'!$D$27:$AH$266,'Dec'!$D$27:$AH$266,'Jan (next year)'!$D$27:$AH$266),27+4*(IFERROR(MATCH(C1350,Roster!$B$6:$B$65,0),MATCH(C1350,Roster!$C$6:$C$65,0))-1)+MATCH(B1350,{"AM","PM","NIGHT","WD"},0)-1-27+1,DAY(A1350))&amp;"",""))</f>
        <v/>
      </c>
      <c r="G1350" s="123">
        <f>IF(OR(A1350="",C1350="",B1350="",E1350=""),"",IFERROR(A1350&amp;"|"&amp;(27+4*(IFERROR(MATCH(C1350,Roster!$B$6:$B$65,0),MATCH(C1350,Roster!$C$6:$C$65,0))-1)+MATCH(B1350,{"AM","PM","NIGHT","WD"},0)-1),""))</f>
        <v/>
      </c>
    </row>
    <row r="1351">
      <c r="A1351" s="122" t="n"/>
      <c r="B1351" s="107" t="n"/>
      <c r="C1351" s="105" t="n"/>
      <c r="D1351" s="92">
        <f>IF(C1351="","",IFERROR(INDEX(Roster!$C$6:$C$65,IFERROR(MATCH(C1351,Roster!$B$6:$B$65,0),MATCH(C1351,Roster!$C$6:$C$65,0))),"not on the Roster"))</f>
        <v/>
      </c>
      <c r="E1351" s="106" t="n"/>
      <c r="F1351" s="104">
        <f>IF(OR(A1351="",C1351="",B1351=""),"",IFERROR(INDEX(CHOOSE(IF(YEAR(A1351)&gt;PlanYear,13,MONTH(A1351)),'Jan'!$D$27:$AH$266,'Feb'!$D$27:$AH$266,'Mar'!$D$27:$AH$266,'Apr'!$D$27:$AH$266,'May'!$D$27:$AH$266,'Jun'!$D$27:$AH$266,'Jul'!$D$27:$AH$266,'Aug'!$D$27:$AH$266,'Sep'!$D$27:$AH$266,'Oct'!$D$27:$AH$266,'Nov'!$D$27:$AH$266,'Dec'!$D$27:$AH$266,'Jan (next year)'!$D$27:$AH$266),27+4*(IFERROR(MATCH(C1351,Roster!$B$6:$B$65,0),MATCH(C1351,Roster!$C$6:$C$65,0))-1)+MATCH(B1351,{"AM","PM","NIGHT","WD"},0)-1-27+1,DAY(A1351))&amp;"",""))</f>
        <v/>
      </c>
      <c r="G1351" s="123">
        <f>IF(OR(A1351="",C1351="",B1351="",E1351=""),"",IFERROR(A1351&amp;"|"&amp;(27+4*(IFERROR(MATCH(C1351,Roster!$B$6:$B$65,0),MATCH(C1351,Roster!$C$6:$C$65,0))-1)+MATCH(B1351,{"AM","PM","NIGHT","WD"},0)-1),""))</f>
        <v/>
      </c>
    </row>
    <row r="1352">
      <c r="A1352" s="122" t="n"/>
      <c r="B1352" s="107" t="n"/>
      <c r="C1352" s="105" t="n"/>
      <c r="D1352" s="92">
        <f>IF(C1352="","",IFERROR(INDEX(Roster!$C$6:$C$65,IFERROR(MATCH(C1352,Roster!$B$6:$B$65,0),MATCH(C1352,Roster!$C$6:$C$65,0))),"not on the Roster"))</f>
        <v/>
      </c>
      <c r="E1352" s="106" t="n"/>
      <c r="F1352" s="104">
        <f>IF(OR(A1352="",C1352="",B1352=""),"",IFERROR(INDEX(CHOOSE(IF(YEAR(A1352)&gt;PlanYear,13,MONTH(A1352)),'Jan'!$D$27:$AH$266,'Feb'!$D$27:$AH$266,'Mar'!$D$27:$AH$266,'Apr'!$D$27:$AH$266,'May'!$D$27:$AH$266,'Jun'!$D$27:$AH$266,'Jul'!$D$27:$AH$266,'Aug'!$D$27:$AH$266,'Sep'!$D$27:$AH$266,'Oct'!$D$27:$AH$266,'Nov'!$D$27:$AH$266,'Dec'!$D$27:$AH$266,'Jan (next year)'!$D$27:$AH$266),27+4*(IFERROR(MATCH(C1352,Roster!$B$6:$B$65,0),MATCH(C1352,Roster!$C$6:$C$65,0))-1)+MATCH(B1352,{"AM","PM","NIGHT","WD"},0)-1-27+1,DAY(A1352))&amp;"",""))</f>
        <v/>
      </c>
      <c r="G1352" s="123">
        <f>IF(OR(A1352="",C1352="",B1352="",E1352=""),"",IFERROR(A1352&amp;"|"&amp;(27+4*(IFERROR(MATCH(C1352,Roster!$B$6:$B$65,0),MATCH(C1352,Roster!$C$6:$C$65,0))-1)+MATCH(B1352,{"AM","PM","NIGHT","WD"},0)-1),""))</f>
        <v/>
      </c>
    </row>
    <row r="1353">
      <c r="A1353" s="122" t="n"/>
      <c r="B1353" s="107" t="n"/>
      <c r="C1353" s="105" t="n"/>
      <c r="D1353" s="92">
        <f>IF(C1353="","",IFERROR(INDEX(Roster!$C$6:$C$65,IFERROR(MATCH(C1353,Roster!$B$6:$B$65,0),MATCH(C1353,Roster!$C$6:$C$65,0))),"not on the Roster"))</f>
        <v/>
      </c>
      <c r="E1353" s="106" t="n"/>
      <c r="F1353" s="104">
        <f>IF(OR(A1353="",C1353="",B1353=""),"",IFERROR(INDEX(CHOOSE(IF(YEAR(A1353)&gt;PlanYear,13,MONTH(A1353)),'Jan'!$D$27:$AH$266,'Feb'!$D$27:$AH$266,'Mar'!$D$27:$AH$266,'Apr'!$D$27:$AH$266,'May'!$D$27:$AH$266,'Jun'!$D$27:$AH$266,'Jul'!$D$27:$AH$266,'Aug'!$D$27:$AH$266,'Sep'!$D$27:$AH$266,'Oct'!$D$27:$AH$266,'Nov'!$D$27:$AH$266,'Dec'!$D$27:$AH$266,'Jan (next year)'!$D$27:$AH$266),27+4*(IFERROR(MATCH(C1353,Roster!$B$6:$B$65,0),MATCH(C1353,Roster!$C$6:$C$65,0))-1)+MATCH(B1353,{"AM","PM","NIGHT","WD"},0)-1-27+1,DAY(A1353))&amp;"",""))</f>
        <v/>
      </c>
      <c r="G1353" s="123">
        <f>IF(OR(A1353="",C1353="",B1353="",E1353=""),"",IFERROR(A1353&amp;"|"&amp;(27+4*(IFERROR(MATCH(C1353,Roster!$B$6:$B$65,0),MATCH(C1353,Roster!$C$6:$C$65,0))-1)+MATCH(B1353,{"AM","PM","NIGHT","WD"},0)-1),""))</f>
        <v/>
      </c>
    </row>
    <row r="1354">
      <c r="A1354" s="122" t="n"/>
      <c r="B1354" s="107" t="n"/>
      <c r="C1354" s="105" t="n"/>
      <c r="D1354" s="92">
        <f>IF(C1354="","",IFERROR(INDEX(Roster!$C$6:$C$65,IFERROR(MATCH(C1354,Roster!$B$6:$B$65,0),MATCH(C1354,Roster!$C$6:$C$65,0))),"not on the Roster"))</f>
        <v/>
      </c>
      <c r="E1354" s="106" t="n"/>
      <c r="F1354" s="104">
        <f>IF(OR(A1354="",C1354="",B1354=""),"",IFERROR(INDEX(CHOOSE(IF(YEAR(A1354)&gt;PlanYear,13,MONTH(A1354)),'Jan'!$D$27:$AH$266,'Feb'!$D$27:$AH$266,'Mar'!$D$27:$AH$266,'Apr'!$D$27:$AH$266,'May'!$D$27:$AH$266,'Jun'!$D$27:$AH$266,'Jul'!$D$27:$AH$266,'Aug'!$D$27:$AH$266,'Sep'!$D$27:$AH$266,'Oct'!$D$27:$AH$266,'Nov'!$D$27:$AH$266,'Dec'!$D$27:$AH$266,'Jan (next year)'!$D$27:$AH$266),27+4*(IFERROR(MATCH(C1354,Roster!$B$6:$B$65,0),MATCH(C1354,Roster!$C$6:$C$65,0))-1)+MATCH(B1354,{"AM","PM","NIGHT","WD"},0)-1-27+1,DAY(A1354))&amp;"",""))</f>
        <v/>
      </c>
      <c r="G1354" s="123">
        <f>IF(OR(A1354="",C1354="",B1354="",E1354=""),"",IFERROR(A1354&amp;"|"&amp;(27+4*(IFERROR(MATCH(C1354,Roster!$B$6:$B$65,0),MATCH(C1354,Roster!$C$6:$C$65,0))-1)+MATCH(B1354,{"AM","PM","NIGHT","WD"},0)-1),""))</f>
        <v/>
      </c>
    </row>
    <row r="1355">
      <c r="A1355" s="122" t="n"/>
      <c r="B1355" s="107" t="n"/>
      <c r="C1355" s="105" t="n"/>
      <c r="D1355" s="92">
        <f>IF(C1355="","",IFERROR(INDEX(Roster!$C$6:$C$65,IFERROR(MATCH(C1355,Roster!$B$6:$B$65,0),MATCH(C1355,Roster!$C$6:$C$65,0))),"not on the Roster"))</f>
        <v/>
      </c>
      <c r="E1355" s="106" t="n"/>
      <c r="F1355" s="104">
        <f>IF(OR(A1355="",C1355="",B1355=""),"",IFERROR(INDEX(CHOOSE(IF(YEAR(A1355)&gt;PlanYear,13,MONTH(A1355)),'Jan'!$D$27:$AH$266,'Feb'!$D$27:$AH$266,'Mar'!$D$27:$AH$266,'Apr'!$D$27:$AH$266,'May'!$D$27:$AH$266,'Jun'!$D$27:$AH$266,'Jul'!$D$27:$AH$266,'Aug'!$D$27:$AH$266,'Sep'!$D$27:$AH$266,'Oct'!$D$27:$AH$266,'Nov'!$D$27:$AH$266,'Dec'!$D$27:$AH$266,'Jan (next year)'!$D$27:$AH$266),27+4*(IFERROR(MATCH(C1355,Roster!$B$6:$B$65,0),MATCH(C1355,Roster!$C$6:$C$65,0))-1)+MATCH(B1355,{"AM","PM","NIGHT","WD"},0)-1-27+1,DAY(A1355))&amp;"",""))</f>
        <v/>
      </c>
      <c r="G1355" s="123">
        <f>IF(OR(A1355="",C1355="",B1355="",E1355=""),"",IFERROR(A1355&amp;"|"&amp;(27+4*(IFERROR(MATCH(C1355,Roster!$B$6:$B$65,0),MATCH(C1355,Roster!$C$6:$C$65,0))-1)+MATCH(B1355,{"AM","PM","NIGHT","WD"},0)-1),""))</f>
        <v/>
      </c>
    </row>
    <row r="1356">
      <c r="A1356" s="122" t="n"/>
      <c r="B1356" s="107" t="n"/>
      <c r="C1356" s="105" t="n"/>
      <c r="D1356" s="92">
        <f>IF(C1356="","",IFERROR(INDEX(Roster!$C$6:$C$65,IFERROR(MATCH(C1356,Roster!$B$6:$B$65,0),MATCH(C1356,Roster!$C$6:$C$65,0))),"not on the Roster"))</f>
        <v/>
      </c>
      <c r="E1356" s="106" t="n"/>
      <c r="F1356" s="104">
        <f>IF(OR(A1356="",C1356="",B1356=""),"",IFERROR(INDEX(CHOOSE(IF(YEAR(A1356)&gt;PlanYear,13,MONTH(A1356)),'Jan'!$D$27:$AH$266,'Feb'!$D$27:$AH$266,'Mar'!$D$27:$AH$266,'Apr'!$D$27:$AH$266,'May'!$D$27:$AH$266,'Jun'!$D$27:$AH$266,'Jul'!$D$27:$AH$266,'Aug'!$D$27:$AH$266,'Sep'!$D$27:$AH$266,'Oct'!$D$27:$AH$266,'Nov'!$D$27:$AH$266,'Dec'!$D$27:$AH$266,'Jan (next year)'!$D$27:$AH$266),27+4*(IFERROR(MATCH(C1356,Roster!$B$6:$B$65,0),MATCH(C1356,Roster!$C$6:$C$65,0))-1)+MATCH(B1356,{"AM","PM","NIGHT","WD"},0)-1-27+1,DAY(A1356))&amp;"",""))</f>
        <v/>
      </c>
      <c r="G1356" s="123">
        <f>IF(OR(A1356="",C1356="",B1356="",E1356=""),"",IFERROR(A1356&amp;"|"&amp;(27+4*(IFERROR(MATCH(C1356,Roster!$B$6:$B$65,0),MATCH(C1356,Roster!$C$6:$C$65,0))-1)+MATCH(B1356,{"AM","PM","NIGHT","WD"},0)-1),""))</f>
        <v/>
      </c>
    </row>
    <row r="1357">
      <c r="A1357" s="122" t="n"/>
      <c r="B1357" s="107" t="n"/>
      <c r="C1357" s="105" t="n"/>
      <c r="D1357" s="92">
        <f>IF(C1357="","",IFERROR(INDEX(Roster!$C$6:$C$65,IFERROR(MATCH(C1357,Roster!$B$6:$B$65,0),MATCH(C1357,Roster!$C$6:$C$65,0))),"not on the Roster"))</f>
        <v/>
      </c>
      <c r="E1357" s="106" t="n"/>
      <c r="F1357" s="104">
        <f>IF(OR(A1357="",C1357="",B1357=""),"",IFERROR(INDEX(CHOOSE(IF(YEAR(A1357)&gt;PlanYear,13,MONTH(A1357)),'Jan'!$D$27:$AH$266,'Feb'!$D$27:$AH$266,'Mar'!$D$27:$AH$266,'Apr'!$D$27:$AH$266,'May'!$D$27:$AH$266,'Jun'!$D$27:$AH$266,'Jul'!$D$27:$AH$266,'Aug'!$D$27:$AH$266,'Sep'!$D$27:$AH$266,'Oct'!$D$27:$AH$266,'Nov'!$D$27:$AH$266,'Dec'!$D$27:$AH$266,'Jan (next year)'!$D$27:$AH$266),27+4*(IFERROR(MATCH(C1357,Roster!$B$6:$B$65,0),MATCH(C1357,Roster!$C$6:$C$65,0))-1)+MATCH(B1357,{"AM","PM","NIGHT","WD"},0)-1-27+1,DAY(A1357))&amp;"",""))</f>
        <v/>
      </c>
      <c r="G1357" s="123">
        <f>IF(OR(A1357="",C1357="",B1357="",E1357=""),"",IFERROR(A1357&amp;"|"&amp;(27+4*(IFERROR(MATCH(C1357,Roster!$B$6:$B$65,0),MATCH(C1357,Roster!$C$6:$C$65,0))-1)+MATCH(B1357,{"AM","PM","NIGHT","WD"},0)-1),""))</f>
        <v/>
      </c>
    </row>
    <row r="1358">
      <c r="A1358" s="122" t="n"/>
      <c r="B1358" s="107" t="n"/>
      <c r="C1358" s="105" t="n"/>
      <c r="D1358" s="92">
        <f>IF(C1358="","",IFERROR(INDEX(Roster!$C$6:$C$65,IFERROR(MATCH(C1358,Roster!$B$6:$B$65,0),MATCH(C1358,Roster!$C$6:$C$65,0))),"not on the Roster"))</f>
        <v/>
      </c>
      <c r="E1358" s="106" t="n"/>
      <c r="F1358" s="104">
        <f>IF(OR(A1358="",C1358="",B1358=""),"",IFERROR(INDEX(CHOOSE(IF(YEAR(A1358)&gt;PlanYear,13,MONTH(A1358)),'Jan'!$D$27:$AH$266,'Feb'!$D$27:$AH$266,'Mar'!$D$27:$AH$266,'Apr'!$D$27:$AH$266,'May'!$D$27:$AH$266,'Jun'!$D$27:$AH$266,'Jul'!$D$27:$AH$266,'Aug'!$D$27:$AH$266,'Sep'!$D$27:$AH$266,'Oct'!$D$27:$AH$266,'Nov'!$D$27:$AH$266,'Dec'!$D$27:$AH$266,'Jan (next year)'!$D$27:$AH$266),27+4*(IFERROR(MATCH(C1358,Roster!$B$6:$B$65,0),MATCH(C1358,Roster!$C$6:$C$65,0))-1)+MATCH(B1358,{"AM","PM","NIGHT","WD"},0)-1-27+1,DAY(A1358))&amp;"",""))</f>
        <v/>
      </c>
      <c r="G1358" s="123">
        <f>IF(OR(A1358="",C1358="",B1358="",E1358=""),"",IFERROR(A1358&amp;"|"&amp;(27+4*(IFERROR(MATCH(C1358,Roster!$B$6:$B$65,0),MATCH(C1358,Roster!$C$6:$C$65,0))-1)+MATCH(B1358,{"AM","PM","NIGHT","WD"},0)-1),""))</f>
        <v/>
      </c>
    </row>
    <row r="1359">
      <c r="A1359" s="122" t="n"/>
      <c r="B1359" s="107" t="n"/>
      <c r="C1359" s="105" t="n"/>
      <c r="D1359" s="92">
        <f>IF(C1359="","",IFERROR(INDEX(Roster!$C$6:$C$65,IFERROR(MATCH(C1359,Roster!$B$6:$B$65,0),MATCH(C1359,Roster!$C$6:$C$65,0))),"not on the Roster"))</f>
        <v/>
      </c>
      <c r="E1359" s="106" t="n"/>
      <c r="F1359" s="104">
        <f>IF(OR(A1359="",C1359="",B1359=""),"",IFERROR(INDEX(CHOOSE(IF(YEAR(A1359)&gt;PlanYear,13,MONTH(A1359)),'Jan'!$D$27:$AH$266,'Feb'!$D$27:$AH$266,'Mar'!$D$27:$AH$266,'Apr'!$D$27:$AH$266,'May'!$D$27:$AH$266,'Jun'!$D$27:$AH$266,'Jul'!$D$27:$AH$266,'Aug'!$D$27:$AH$266,'Sep'!$D$27:$AH$266,'Oct'!$D$27:$AH$266,'Nov'!$D$27:$AH$266,'Dec'!$D$27:$AH$266,'Jan (next year)'!$D$27:$AH$266),27+4*(IFERROR(MATCH(C1359,Roster!$B$6:$B$65,0),MATCH(C1359,Roster!$C$6:$C$65,0))-1)+MATCH(B1359,{"AM","PM","NIGHT","WD"},0)-1-27+1,DAY(A1359))&amp;"",""))</f>
        <v/>
      </c>
      <c r="G1359" s="123">
        <f>IF(OR(A1359="",C1359="",B1359="",E1359=""),"",IFERROR(A1359&amp;"|"&amp;(27+4*(IFERROR(MATCH(C1359,Roster!$B$6:$B$65,0),MATCH(C1359,Roster!$C$6:$C$65,0))-1)+MATCH(B1359,{"AM","PM","NIGHT","WD"},0)-1),""))</f>
        <v/>
      </c>
    </row>
    <row r="1360">
      <c r="A1360" s="122" t="n"/>
      <c r="B1360" s="107" t="n"/>
      <c r="C1360" s="105" t="n"/>
      <c r="D1360" s="92">
        <f>IF(C1360="","",IFERROR(INDEX(Roster!$C$6:$C$65,IFERROR(MATCH(C1360,Roster!$B$6:$B$65,0),MATCH(C1360,Roster!$C$6:$C$65,0))),"not on the Roster"))</f>
        <v/>
      </c>
      <c r="E1360" s="106" t="n"/>
      <c r="F1360" s="104">
        <f>IF(OR(A1360="",C1360="",B1360=""),"",IFERROR(INDEX(CHOOSE(IF(YEAR(A1360)&gt;PlanYear,13,MONTH(A1360)),'Jan'!$D$27:$AH$266,'Feb'!$D$27:$AH$266,'Mar'!$D$27:$AH$266,'Apr'!$D$27:$AH$266,'May'!$D$27:$AH$266,'Jun'!$D$27:$AH$266,'Jul'!$D$27:$AH$266,'Aug'!$D$27:$AH$266,'Sep'!$D$27:$AH$266,'Oct'!$D$27:$AH$266,'Nov'!$D$27:$AH$266,'Dec'!$D$27:$AH$266,'Jan (next year)'!$D$27:$AH$266),27+4*(IFERROR(MATCH(C1360,Roster!$B$6:$B$65,0),MATCH(C1360,Roster!$C$6:$C$65,0))-1)+MATCH(B1360,{"AM","PM","NIGHT","WD"},0)-1-27+1,DAY(A1360))&amp;"",""))</f>
        <v/>
      </c>
      <c r="G1360" s="123">
        <f>IF(OR(A1360="",C1360="",B1360="",E1360=""),"",IFERROR(A1360&amp;"|"&amp;(27+4*(IFERROR(MATCH(C1360,Roster!$B$6:$B$65,0),MATCH(C1360,Roster!$C$6:$C$65,0))-1)+MATCH(B1360,{"AM","PM","NIGHT","WD"},0)-1),""))</f>
        <v/>
      </c>
    </row>
    <row r="1361">
      <c r="A1361" s="122" t="n"/>
      <c r="B1361" s="107" t="n"/>
      <c r="C1361" s="105" t="n"/>
      <c r="D1361" s="92">
        <f>IF(C1361="","",IFERROR(INDEX(Roster!$C$6:$C$65,IFERROR(MATCH(C1361,Roster!$B$6:$B$65,0),MATCH(C1361,Roster!$C$6:$C$65,0))),"not on the Roster"))</f>
        <v/>
      </c>
      <c r="E1361" s="106" t="n"/>
      <c r="F1361" s="104">
        <f>IF(OR(A1361="",C1361="",B1361=""),"",IFERROR(INDEX(CHOOSE(IF(YEAR(A1361)&gt;PlanYear,13,MONTH(A1361)),'Jan'!$D$27:$AH$266,'Feb'!$D$27:$AH$266,'Mar'!$D$27:$AH$266,'Apr'!$D$27:$AH$266,'May'!$D$27:$AH$266,'Jun'!$D$27:$AH$266,'Jul'!$D$27:$AH$266,'Aug'!$D$27:$AH$266,'Sep'!$D$27:$AH$266,'Oct'!$D$27:$AH$266,'Nov'!$D$27:$AH$266,'Dec'!$D$27:$AH$266,'Jan (next year)'!$D$27:$AH$266),27+4*(IFERROR(MATCH(C1361,Roster!$B$6:$B$65,0),MATCH(C1361,Roster!$C$6:$C$65,0))-1)+MATCH(B1361,{"AM","PM","NIGHT","WD"},0)-1-27+1,DAY(A1361))&amp;"",""))</f>
        <v/>
      </c>
      <c r="G1361" s="123">
        <f>IF(OR(A1361="",C1361="",B1361="",E1361=""),"",IFERROR(A1361&amp;"|"&amp;(27+4*(IFERROR(MATCH(C1361,Roster!$B$6:$B$65,0),MATCH(C1361,Roster!$C$6:$C$65,0))-1)+MATCH(B1361,{"AM","PM","NIGHT","WD"},0)-1),""))</f>
        <v/>
      </c>
    </row>
    <row r="1362">
      <c r="A1362" s="122" t="n"/>
      <c r="B1362" s="107" t="n"/>
      <c r="C1362" s="105" t="n"/>
      <c r="D1362" s="92">
        <f>IF(C1362="","",IFERROR(INDEX(Roster!$C$6:$C$65,IFERROR(MATCH(C1362,Roster!$B$6:$B$65,0),MATCH(C1362,Roster!$C$6:$C$65,0))),"not on the Roster"))</f>
        <v/>
      </c>
      <c r="E1362" s="106" t="n"/>
      <c r="F1362" s="104">
        <f>IF(OR(A1362="",C1362="",B1362=""),"",IFERROR(INDEX(CHOOSE(IF(YEAR(A1362)&gt;PlanYear,13,MONTH(A1362)),'Jan'!$D$27:$AH$266,'Feb'!$D$27:$AH$266,'Mar'!$D$27:$AH$266,'Apr'!$D$27:$AH$266,'May'!$D$27:$AH$266,'Jun'!$D$27:$AH$266,'Jul'!$D$27:$AH$266,'Aug'!$D$27:$AH$266,'Sep'!$D$27:$AH$266,'Oct'!$D$27:$AH$266,'Nov'!$D$27:$AH$266,'Dec'!$D$27:$AH$266,'Jan (next year)'!$D$27:$AH$266),27+4*(IFERROR(MATCH(C1362,Roster!$B$6:$B$65,0),MATCH(C1362,Roster!$C$6:$C$65,0))-1)+MATCH(B1362,{"AM","PM","NIGHT","WD"},0)-1-27+1,DAY(A1362))&amp;"",""))</f>
        <v/>
      </c>
      <c r="G1362" s="123">
        <f>IF(OR(A1362="",C1362="",B1362="",E1362=""),"",IFERROR(A1362&amp;"|"&amp;(27+4*(IFERROR(MATCH(C1362,Roster!$B$6:$B$65,0),MATCH(C1362,Roster!$C$6:$C$65,0))-1)+MATCH(B1362,{"AM","PM","NIGHT","WD"},0)-1),""))</f>
        <v/>
      </c>
    </row>
    <row r="1363">
      <c r="A1363" s="122" t="n"/>
      <c r="B1363" s="107" t="n"/>
      <c r="C1363" s="105" t="n"/>
      <c r="D1363" s="92">
        <f>IF(C1363="","",IFERROR(INDEX(Roster!$C$6:$C$65,IFERROR(MATCH(C1363,Roster!$B$6:$B$65,0),MATCH(C1363,Roster!$C$6:$C$65,0))),"not on the Roster"))</f>
        <v/>
      </c>
      <c r="E1363" s="106" t="n"/>
      <c r="F1363" s="104">
        <f>IF(OR(A1363="",C1363="",B1363=""),"",IFERROR(INDEX(CHOOSE(IF(YEAR(A1363)&gt;PlanYear,13,MONTH(A1363)),'Jan'!$D$27:$AH$266,'Feb'!$D$27:$AH$266,'Mar'!$D$27:$AH$266,'Apr'!$D$27:$AH$266,'May'!$D$27:$AH$266,'Jun'!$D$27:$AH$266,'Jul'!$D$27:$AH$266,'Aug'!$D$27:$AH$266,'Sep'!$D$27:$AH$266,'Oct'!$D$27:$AH$266,'Nov'!$D$27:$AH$266,'Dec'!$D$27:$AH$266,'Jan (next year)'!$D$27:$AH$266),27+4*(IFERROR(MATCH(C1363,Roster!$B$6:$B$65,0),MATCH(C1363,Roster!$C$6:$C$65,0))-1)+MATCH(B1363,{"AM","PM","NIGHT","WD"},0)-1-27+1,DAY(A1363))&amp;"",""))</f>
        <v/>
      </c>
      <c r="G1363" s="123">
        <f>IF(OR(A1363="",C1363="",B1363="",E1363=""),"",IFERROR(A1363&amp;"|"&amp;(27+4*(IFERROR(MATCH(C1363,Roster!$B$6:$B$65,0),MATCH(C1363,Roster!$C$6:$C$65,0))-1)+MATCH(B1363,{"AM","PM","NIGHT","WD"},0)-1),""))</f>
        <v/>
      </c>
    </row>
    <row r="1364">
      <c r="A1364" s="122" t="n"/>
      <c r="B1364" s="107" t="n"/>
      <c r="C1364" s="105" t="n"/>
      <c r="D1364" s="92">
        <f>IF(C1364="","",IFERROR(INDEX(Roster!$C$6:$C$65,IFERROR(MATCH(C1364,Roster!$B$6:$B$65,0),MATCH(C1364,Roster!$C$6:$C$65,0))),"not on the Roster"))</f>
        <v/>
      </c>
      <c r="E1364" s="106" t="n"/>
      <c r="F1364" s="104">
        <f>IF(OR(A1364="",C1364="",B1364=""),"",IFERROR(INDEX(CHOOSE(IF(YEAR(A1364)&gt;PlanYear,13,MONTH(A1364)),'Jan'!$D$27:$AH$266,'Feb'!$D$27:$AH$266,'Mar'!$D$27:$AH$266,'Apr'!$D$27:$AH$266,'May'!$D$27:$AH$266,'Jun'!$D$27:$AH$266,'Jul'!$D$27:$AH$266,'Aug'!$D$27:$AH$266,'Sep'!$D$27:$AH$266,'Oct'!$D$27:$AH$266,'Nov'!$D$27:$AH$266,'Dec'!$D$27:$AH$266,'Jan (next year)'!$D$27:$AH$266),27+4*(IFERROR(MATCH(C1364,Roster!$B$6:$B$65,0),MATCH(C1364,Roster!$C$6:$C$65,0))-1)+MATCH(B1364,{"AM","PM","NIGHT","WD"},0)-1-27+1,DAY(A1364))&amp;"",""))</f>
        <v/>
      </c>
      <c r="G1364" s="123">
        <f>IF(OR(A1364="",C1364="",B1364="",E1364=""),"",IFERROR(A1364&amp;"|"&amp;(27+4*(IFERROR(MATCH(C1364,Roster!$B$6:$B$65,0),MATCH(C1364,Roster!$C$6:$C$65,0))-1)+MATCH(B1364,{"AM","PM","NIGHT","WD"},0)-1),""))</f>
        <v/>
      </c>
    </row>
    <row r="1365">
      <c r="A1365" s="122" t="n"/>
      <c r="B1365" s="107" t="n"/>
      <c r="C1365" s="105" t="n"/>
      <c r="D1365" s="92">
        <f>IF(C1365="","",IFERROR(INDEX(Roster!$C$6:$C$65,IFERROR(MATCH(C1365,Roster!$B$6:$B$65,0),MATCH(C1365,Roster!$C$6:$C$65,0))),"not on the Roster"))</f>
        <v/>
      </c>
      <c r="E1365" s="106" t="n"/>
      <c r="F1365" s="104">
        <f>IF(OR(A1365="",C1365="",B1365=""),"",IFERROR(INDEX(CHOOSE(IF(YEAR(A1365)&gt;PlanYear,13,MONTH(A1365)),'Jan'!$D$27:$AH$266,'Feb'!$D$27:$AH$266,'Mar'!$D$27:$AH$266,'Apr'!$D$27:$AH$266,'May'!$D$27:$AH$266,'Jun'!$D$27:$AH$266,'Jul'!$D$27:$AH$266,'Aug'!$D$27:$AH$266,'Sep'!$D$27:$AH$266,'Oct'!$D$27:$AH$266,'Nov'!$D$27:$AH$266,'Dec'!$D$27:$AH$266,'Jan (next year)'!$D$27:$AH$266),27+4*(IFERROR(MATCH(C1365,Roster!$B$6:$B$65,0),MATCH(C1365,Roster!$C$6:$C$65,0))-1)+MATCH(B1365,{"AM","PM","NIGHT","WD"},0)-1-27+1,DAY(A1365))&amp;"",""))</f>
        <v/>
      </c>
      <c r="G1365" s="123">
        <f>IF(OR(A1365="",C1365="",B1365="",E1365=""),"",IFERROR(A1365&amp;"|"&amp;(27+4*(IFERROR(MATCH(C1365,Roster!$B$6:$B$65,0),MATCH(C1365,Roster!$C$6:$C$65,0))-1)+MATCH(B1365,{"AM","PM","NIGHT","WD"},0)-1),""))</f>
        <v/>
      </c>
    </row>
    <row r="1366">
      <c r="A1366" s="122" t="n"/>
      <c r="B1366" s="107" t="n"/>
      <c r="C1366" s="105" t="n"/>
      <c r="D1366" s="92">
        <f>IF(C1366="","",IFERROR(INDEX(Roster!$C$6:$C$65,IFERROR(MATCH(C1366,Roster!$B$6:$B$65,0),MATCH(C1366,Roster!$C$6:$C$65,0))),"not on the Roster"))</f>
        <v/>
      </c>
      <c r="E1366" s="106" t="n"/>
      <c r="F1366" s="104">
        <f>IF(OR(A1366="",C1366="",B1366=""),"",IFERROR(INDEX(CHOOSE(IF(YEAR(A1366)&gt;PlanYear,13,MONTH(A1366)),'Jan'!$D$27:$AH$266,'Feb'!$D$27:$AH$266,'Mar'!$D$27:$AH$266,'Apr'!$D$27:$AH$266,'May'!$D$27:$AH$266,'Jun'!$D$27:$AH$266,'Jul'!$D$27:$AH$266,'Aug'!$D$27:$AH$266,'Sep'!$D$27:$AH$266,'Oct'!$D$27:$AH$266,'Nov'!$D$27:$AH$266,'Dec'!$D$27:$AH$266,'Jan (next year)'!$D$27:$AH$266),27+4*(IFERROR(MATCH(C1366,Roster!$B$6:$B$65,0),MATCH(C1366,Roster!$C$6:$C$65,0))-1)+MATCH(B1366,{"AM","PM","NIGHT","WD"},0)-1-27+1,DAY(A1366))&amp;"",""))</f>
        <v/>
      </c>
      <c r="G1366" s="123">
        <f>IF(OR(A1366="",C1366="",B1366="",E1366=""),"",IFERROR(A1366&amp;"|"&amp;(27+4*(IFERROR(MATCH(C1366,Roster!$B$6:$B$65,0),MATCH(C1366,Roster!$C$6:$C$65,0))-1)+MATCH(B1366,{"AM","PM","NIGHT","WD"},0)-1),""))</f>
        <v/>
      </c>
    </row>
    <row r="1367">
      <c r="A1367" s="122" t="n"/>
      <c r="B1367" s="107" t="n"/>
      <c r="C1367" s="105" t="n"/>
      <c r="D1367" s="92">
        <f>IF(C1367="","",IFERROR(INDEX(Roster!$C$6:$C$65,IFERROR(MATCH(C1367,Roster!$B$6:$B$65,0),MATCH(C1367,Roster!$C$6:$C$65,0))),"not on the Roster"))</f>
        <v/>
      </c>
      <c r="E1367" s="106" t="n"/>
      <c r="F1367" s="104">
        <f>IF(OR(A1367="",C1367="",B1367=""),"",IFERROR(INDEX(CHOOSE(IF(YEAR(A1367)&gt;PlanYear,13,MONTH(A1367)),'Jan'!$D$27:$AH$266,'Feb'!$D$27:$AH$266,'Mar'!$D$27:$AH$266,'Apr'!$D$27:$AH$266,'May'!$D$27:$AH$266,'Jun'!$D$27:$AH$266,'Jul'!$D$27:$AH$266,'Aug'!$D$27:$AH$266,'Sep'!$D$27:$AH$266,'Oct'!$D$27:$AH$266,'Nov'!$D$27:$AH$266,'Dec'!$D$27:$AH$266,'Jan (next year)'!$D$27:$AH$266),27+4*(IFERROR(MATCH(C1367,Roster!$B$6:$B$65,0),MATCH(C1367,Roster!$C$6:$C$65,0))-1)+MATCH(B1367,{"AM","PM","NIGHT","WD"},0)-1-27+1,DAY(A1367))&amp;"",""))</f>
        <v/>
      </c>
      <c r="G1367" s="123">
        <f>IF(OR(A1367="",C1367="",B1367="",E1367=""),"",IFERROR(A1367&amp;"|"&amp;(27+4*(IFERROR(MATCH(C1367,Roster!$B$6:$B$65,0),MATCH(C1367,Roster!$C$6:$C$65,0))-1)+MATCH(B1367,{"AM","PM","NIGHT","WD"},0)-1),""))</f>
        <v/>
      </c>
    </row>
    <row r="1368">
      <c r="A1368" s="122" t="n"/>
      <c r="B1368" s="107" t="n"/>
      <c r="C1368" s="105" t="n"/>
      <c r="D1368" s="92">
        <f>IF(C1368="","",IFERROR(INDEX(Roster!$C$6:$C$65,IFERROR(MATCH(C1368,Roster!$B$6:$B$65,0),MATCH(C1368,Roster!$C$6:$C$65,0))),"not on the Roster"))</f>
        <v/>
      </c>
      <c r="E1368" s="106" t="n"/>
      <c r="F1368" s="104">
        <f>IF(OR(A1368="",C1368="",B1368=""),"",IFERROR(INDEX(CHOOSE(IF(YEAR(A1368)&gt;PlanYear,13,MONTH(A1368)),'Jan'!$D$27:$AH$266,'Feb'!$D$27:$AH$266,'Mar'!$D$27:$AH$266,'Apr'!$D$27:$AH$266,'May'!$D$27:$AH$266,'Jun'!$D$27:$AH$266,'Jul'!$D$27:$AH$266,'Aug'!$D$27:$AH$266,'Sep'!$D$27:$AH$266,'Oct'!$D$27:$AH$266,'Nov'!$D$27:$AH$266,'Dec'!$D$27:$AH$266,'Jan (next year)'!$D$27:$AH$266),27+4*(IFERROR(MATCH(C1368,Roster!$B$6:$B$65,0),MATCH(C1368,Roster!$C$6:$C$65,0))-1)+MATCH(B1368,{"AM","PM","NIGHT","WD"},0)-1-27+1,DAY(A1368))&amp;"",""))</f>
        <v/>
      </c>
      <c r="G1368" s="123">
        <f>IF(OR(A1368="",C1368="",B1368="",E1368=""),"",IFERROR(A1368&amp;"|"&amp;(27+4*(IFERROR(MATCH(C1368,Roster!$B$6:$B$65,0),MATCH(C1368,Roster!$C$6:$C$65,0))-1)+MATCH(B1368,{"AM","PM","NIGHT","WD"},0)-1),""))</f>
        <v/>
      </c>
    </row>
    <row r="1369">
      <c r="A1369" s="122" t="n"/>
      <c r="B1369" s="107" t="n"/>
      <c r="C1369" s="105" t="n"/>
      <c r="D1369" s="92">
        <f>IF(C1369="","",IFERROR(INDEX(Roster!$C$6:$C$65,IFERROR(MATCH(C1369,Roster!$B$6:$B$65,0),MATCH(C1369,Roster!$C$6:$C$65,0))),"not on the Roster"))</f>
        <v/>
      </c>
      <c r="E1369" s="106" t="n"/>
      <c r="F1369" s="104">
        <f>IF(OR(A1369="",C1369="",B1369=""),"",IFERROR(INDEX(CHOOSE(IF(YEAR(A1369)&gt;PlanYear,13,MONTH(A1369)),'Jan'!$D$27:$AH$266,'Feb'!$D$27:$AH$266,'Mar'!$D$27:$AH$266,'Apr'!$D$27:$AH$266,'May'!$D$27:$AH$266,'Jun'!$D$27:$AH$266,'Jul'!$D$27:$AH$266,'Aug'!$D$27:$AH$266,'Sep'!$D$27:$AH$266,'Oct'!$D$27:$AH$266,'Nov'!$D$27:$AH$266,'Dec'!$D$27:$AH$266,'Jan (next year)'!$D$27:$AH$266),27+4*(IFERROR(MATCH(C1369,Roster!$B$6:$B$65,0),MATCH(C1369,Roster!$C$6:$C$65,0))-1)+MATCH(B1369,{"AM","PM","NIGHT","WD"},0)-1-27+1,DAY(A1369))&amp;"",""))</f>
        <v/>
      </c>
      <c r="G1369" s="123">
        <f>IF(OR(A1369="",C1369="",B1369="",E1369=""),"",IFERROR(A1369&amp;"|"&amp;(27+4*(IFERROR(MATCH(C1369,Roster!$B$6:$B$65,0),MATCH(C1369,Roster!$C$6:$C$65,0))-1)+MATCH(B1369,{"AM","PM","NIGHT","WD"},0)-1),""))</f>
        <v/>
      </c>
    </row>
    <row r="1370">
      <c r="A1370" s="122" t="n"/>
      <c r="B1370" s="107" t="n"/>
      <c r="C1370" s="105" t="n"/>
      <c r="D1370" s="92">
        <f>IF(C1370="","",IFERROR(INDEX(Roster!$C$6:$C$65,IFERROR(MATCH(C1370,Roster!$B$6:$B$65,0),MATCH(C1370,Roster!$C$6:$C$65,0))),"not on the Roster"))</f>
        <v/>
      </c>
      <c r="E1370" s="106" t="n"/>
      <c r="F1370" s="104">
        <f>IF(OR(A1370="",C1370="",B1370=""),"",IFERROR(INDEX(CHOOSE(IF(YEAR(A1370)&gt;PlanYear,13,MONTH(A1370)),'Jan'!$D$27:$AH$266,'Feb'!$D$27:$AH$266,'Mar'!$D$27:$AH$266,'Apr'!$D$27:$AH$266,'May'!$D$27:$AH$266,'Jun'!$D$27:$AH$266,'Jul'!$D$27:$AH$266,'Aug'!$D$27:$AH$266,'Sep'!$D$27:$AH$266,'Oct'!$D$27:$AH$266,'Nov'!$D$27:$AH$266,'Dec'!$D$27:$AH$266,'Jan (next year)'!$D$27:$AH$266),27+4*(IFERROR(MATCH(C1370,Roster!$B$6:$B$65,0),MATCH(C1370,Roster!$C$6:$C$65,0))-1)+MATCH(B1370,{"AM","PM","NIGHT","WD"},0)-1-27+1,DAY(A1370))&amp;"",""))</f>
        <v/>
      </c>
      <c r="G1370" s="123">
        <f>IF(OR(A1370="",C1370="",B1370="",E1370=""),"",IFERROR(A1370&amp;"|"&amp;(27+4*(IFERROR(MATCH(C1370,Roster!$B$6:$B$65,0),MATCH(C1370,Roster!$C$6:$C$65,0))-1)+MATCH(B1370,{"AM","PM","NIGHT","WD"},0)-1),""))</f>
        <v/>
      </c>
    </row>
    <row r="1371">
      <c r="A1371" s="122" t="n"/>
      <c r="B1371" s="107" t="n"/>
      <c r="C1371" s="105" t="n"/>
      <c r="D1371" s="92">
        <f>IF(C1371="","",IFERROR(INDEX(Roster!$C$6:$C$65,IFERROR(MATCH(C1371,Roster!$B$6:$B$65,0),MATCH(C1371,Roster!$C$6:$C$65,0))),"not on the Roster"))</f>
        <v/>
      </c>
      <c r="E1371" s="106" t="n"/>
      <c r="F1371" s="104">
        <f>IF(OR(A1371="",C1371="",B1371=""),"",IFERROR(INDEX(CHOOSE(IF(YEAR(A1371)&gt;PlanYear,13,MONTH(A1371)),'Jan'!$D$27:$AH$266,'Feb'!$D$27:$AH$266,'Mar'!$D$27:$AH$266,'Apr'!$D$27:$AH$266,'May'!$D$27:$AH$266,'Jun'!$D$27:$AH$266,'Jul'!$D$27:$AH$266,'Aug'!$D$27:$AH$266,'Sep'!$D$27:$AH$266,'Oct'!$D$27:$AH$266,'Nov'!$D$27:$AH$266,'Dec'!$D$27:$AH$266,'Jan (next year)'!$D$27:$AH$266),27+4*(IFERROR(MATCH(C1371,Roster!$B$6:$B$65,0),MATCH(C1371,Roster!$C$6:$C$65,0))-1)+MATCH(B1371,{"AM","PM","NIGHT","WD"},0)-1-27+1,DAY(A1371))&amp;"",""))</f>
        <v/>
      </c>
      <c r="G1371" s="123">
        <f>IF(OR(A1371="",C1371="",B1371="",E1371=""),"",IFERROR(A1371&amp;"|"&amp;(27+4*(IFERROR(MATCH(C1371,Roster!$B$6:$B$65,0),MATCH(C1371,Roster!$C$6:$C$65,0))-1)+MATCH(B1371,{"AM","PM","NIGHT","WD"},0)-1),""))</f>
        <v/>
      </c>
    </row>
    <row r="1372">
      <c r="A1372" s="122" t="n"/>
      <c r="B1372" s="107" t="n"/>
      <c r="C1372" s="105" t="n"/>
      <c r="D1372" s="92">
        <f>IF(C1372="","",IFERROR(INDEX(Roster!$C$6:$C$65,IFERROR(MATCH(C1372,Roster!$B$6:$B$65,0),MATCH(C1372,Roster!$C$6:$C$65,0))),"not on the Roster"))</f>
        <v/>
      </c>
      <c r="E1372" s="106" t="n"/>
      <c r="F1372" s="104">
        <f>IF(OR(A1372="",C1372="",B1372=""),"",IFERROR(INDEX(CHOOSE(IF(YEAR(A1372)&gt;PlanYear,13,MONTH(A1372)),'Jan'!$D$27:$AH$266,'Feb'!$D$27:$AH$266,'Mar'!$D$27:$AH$266,'Apr'!$D$27:$AH$266,'May'!$D$27:$AH$266,'Jun'!$D$27:$AH$266,'Jul'!$D$27:$AH$266,'Aug'!$D$27:$AH$266,'Sep'!$D$27:$AH$266,'Oct'!$D$27:$AH$266,'Nov'!$D$27:$AH$266,'Dec'!$D$27:$AH$266,'Jan (next year)'!$D$27:$AH$266),27+4*(IFERROR(MATCH(C1372,Roster!$B$6:$B$65,0),MATCH(C1372,Roster!$C$6:$C$65,0))-1)+MATCH(B1372,{"AM","PM","NIGHT","WD"},0)-1-27+1,DAY(A1372))&amp;"",""))</f>
        <v/>
      </c>
      <c r="G1372" s="123">
        <f>IF(OR(A1372="",C1372="",B1372="",E1372=""),"",IFERROR(A1372&amp;"|"&amp;(27+4*(IFERROR(MATCH(C1372,Roster!$B$6:$B$65,0),MATCH(C1372,Roster!$C$6:$C$65,0))-1)+MATCH(B1372,{"AM","PM","NIGHT","WD"},0)-1),""))</f>
        <v/>
      </c>
    </row>
    <row r="1373">
      <c r="A1373" s="122" t="n"/>
      <c r="B1373" s="107" t="n"/>
      <c r="C1373" s="105" t="n"/>
      <c r="D1373" s="92">
        <f>IF(C1373="","",IFERROR(INDEX(Roster!$C$6:$C$65,IFERROR(MATCH(C1373,Roster!$B$6:$B$65,0),MATCH(C1373,Roster!$C$6:$C$65,0))),"not on the Roster"))</f>
        <v/>
      </c>
      <c r="E1373" s="106" t="n"/>
      <c r="F1373" s="104">
        <f>IF(OR(A1373="",C1373="",B1373=""),"",IFERROR(INDEX(CHOOSE(IF(YEAR(A1373)&gt;PlanYear,13,MONTH(A1373)),'Jan'!$D$27:$AH$266,'Feb'!$D$27:$AH$266,'Mar'!$D$27:$AH$266,'Apr'!$D$27:$AH$266,'May'!$D$27:$AH$266,'Jun'!$D$27:$AH$266,'Jul'!$D$27:$AH$266,'Aug'!$D$27:$AH$266,'Sep'!$D$27:$AH$266,'Oct'!$D$27:$AH$266,'Nov'!$D$27:$AH$266,'Dec'!$D$27:$AH$266,'Jan (next year)'!$D$27:$AH$266),27+4*(IFERROR(MATCH(C1373,Roster!$B$6:$B$65,0),MATCH(C1373,Roster!$C$6:$C$65,0))-1)+MATCH(B1373,{"AM","PM","NIGHT","WD"},0)-1-27+1,DAY(A1373))&amp;"",""))</f>
        <v/>
      </c>
      <c r="G1373" s="123">
        <f>IF(OR(A1373="",C1373="",B1373="",E1373=""),"",IFERROR(A1373&amp;"|"&amp;(27+4*(IFERROR(MATCH(C1373,Roster!$B$6:$B$65,0),MATCH(C1373,Roster!$C$6:$C$65,0))-1)+MATCH(B1373,{"AM","PM","NIGHT","WD"},0)-1),""))</f>
        <v/>
      </c>
    </row>
    <row r="1374">
      <c r="A1374" s="122" t="n"/>
      <c r="B1374" s="107" t="n"/>
      <c r="C1374" s="105" t="n"/>
      <c r="D1374" s="92">
        <f>IF(C1374="","",IFERROR(INDEX(Roster!$C$6:$C$65,IFERROR(MATCH(C1374,Roster!$B$6:$B$65,0),MATCH(C1374,Roster!$C$6:$C$65,0))),"not on the Roster"))</f>
        <v/>
      </c>
      <c r="E1374" s="106" t="n"/>
      <c r="F1374" s="104">
        <f>IF(OR(A1374="",C1374="",B1374=""),"",IFERROR(INDEX(CHOOSE(IF(YEAR(A1374)&gt;PlanYear,13,MONTH(A1374)),'Jan'!$D$27:$AH$266,'Feb'!$D$27:$AH$266,'Mar'!$D$27:$AH$266,'Apr'!$D$27:$AH$266,'May'!$D$27:$AH$266,'Jun'!$D$27:$AH$266,'Jul'!$D$27:$AH$266,'Aug'!$D$27:$AH$266,'Sep'!$D$27:$AH$266,'Oct'!$D$27:$AH$266,'Nov'!$D$27:$AH$266,'Dec'!$D$27:$AH$266,'Jan (next year)'!$D$27:$AH$266),27+4*(IFERROR(MATCH(C1374,Roster!$B$6:$B$65,0),MATCH(C1374,Roster!$C$6:$C$65,0))-1)+MATCH(B1374,{"AM","PM","NIGHT","WD"},0)-1-27+1,DAY(A1374))&amp;"",""))</f>
        <v/>
      </c>
      <c r="G1374" s="123">
        <f>IF(OR(A1374="",C1374="",B1374="",E1374=""),"",IFERROR(A1374&amp;"|"&amp;(27+4*(IFERROR(MATCH(C1374,Roster!$B$6:$B$65,0),MATCH(C1374,Roster!$C$6:$C$65,0))-1)+MATCH(B1374,{"AM","PM","NIGHT","WD"},0)-1),""))</f>
        <v/>
      </c>
    </row>
    <row r="1375">
      <c r="A1375" s="122" t="n"/>
      <c r="B1375" s="107" t="n"/>
      <c r="C1375" s="105" t="n"/>
      <c r="D1375" s="92">
        <f>IF(C1375="","",IFERROR(INDEX(Roster!$C$6:$C$65,IFERROR(MATCH(C1375,Roster!$B$6:$B$65,0),MATCH(C1375,Roster!$C$6:$C$65,0))),"not on the Roster"))</f>
        <v/>
      </c>
      <c r="E1375" s="106" t="n"/>
      <c r="F1375" s="104">
        <f>IF(OR(A1375="",C1375="",B1375=""),"",IFERROR(INDEX(CHOOSE(IF(YEAR(A1375)&gt;PlanYear,13,MONTH(A1375)),'Jan'!$D$27:$AH$266,'Feb'!$D$27:$AH$266,'Mar'!$D$27:$AH$266,'Apr'!$D$27:$AH$266,'May'!$D$27:$AH$266,'Jun'!$D$27:$AH$266,'Jul'!$D$27:$AH$266,'Aug'!$D$27:$AH$266,'Sep'!$D$27:$AH$266,'Oct'!$D$27:$AH$266,'Nov'!$D$27:$AH$266,'Dec'!$D$27:$AH$266,'Jan (next year)'!$D$27:$AH$266),27+4*(IFERROR(MATCH(C1375,Roster!$B$6:$B$65,0),MATCH(C1375,Roster!$C$6:$C$65,0))-1)+MATCH(B1375,{"AM","PM","NIGHT","WD"},0)-1-27+1,DAY(A1375))&amp;"",""))</f>
        <v/>
      </c>
      <c r="G1375" s="123">
        <f>IF(OR(A1375="",C1375="",B1375="",E1375=""),"",IFERROR(A1375&amp;"|"&amp;(27+4*(IFERROR(MATCH(C1375,Roster!$B$6:$B$65,0),MATCH(C1375,Roster!$C$6:$C$65,0))-1)+MATCH(B1375,{"AM","PM","NIGHT","WD"},0)-1),""))</f>
        <v/>
      </c>
    </row>
    <row r="1376">
      <c r="A1376" s="122" t="n"/>
      <c r="B1376" s="107" t="n"/>
      <c r="C1376" s="105" t="n"/>
      <c r="D1376" s="92">
        <f>IF(C1376="","",IFERROR(INDEX(Roster!$C$6:$C$65,IFERROR(MATCH(C1376,Roster!$B$6:$B$65,0),MATCH(C1376,Roster!$C$6:$C$65,0))),"not on the Roster"))</f>
        <v/>
      </c>
      <c r="E1376" s="106" t="n"/>
      <c r="F1376" s="104">
        <f>IF(OR(A1376="",C1376="",B1376=""),"",IFERROR(INDEX(CHOOSE(IF(YEAR(A1376)&gt;PlanYear,13,MONTH(A1376)),'Jan'!$D$27:$AH$266,'Feb'!$D$27:$AH$266,'Mar'!$D$27:$AH$266,'Apr'!$D$27:$AH$266,'May'!$D$27:$AH$266,'Jun'!$D$27:$AH$266,'Jul'!$D$27:$AH$266,'Aug'!$D$27:$AH$266,'Sep'!$D$27:$AH$266,'Oct'!$D$27:$AH$266,'Nov'!$D$27:$AH$266,'Dec'!$D$27:$AH$266,'Jan (next year)'!$D$27:$AH$266),27+4*(IFERROR(MATCH(C1376,Roster!$B$6:$B$65,0),MATCH(C1376,Roster!$C$6:$C$65,0))-1)+MATCH(B1376,{"AM","PM","NIGHT","WD"},0)-1-27+1,DAY(A1376))&amp;"",""))</f>
        <v/>
      </c>
      <c r="G1376" s="123">
        <f>IF(OR(A1376="",C1376="",B1376="",E1376=""),"",IFERROR(A1376&amp;"|"&amp;(27+4*(IFERROR(MATCH(C1376,Roster!$B$6:$B$65,0),MATCH(C1376,Roster!$C$6:$C$65,0))-1)+MATCH(B1376,{"AM","PM","NIGHT","WD"},0)-1),""))</f>
        <v/>
      </c>
    </row>
    <row r="1377">
      <c r="A1377" s="122" t="n"/>
      <c r="B1377" s="107" t="n"/>
      <c r="C1377" s="105" t="n"/>
      <c r="D1377" s="92">
        <f>IF(C1377="","",IFERROR(INDEX(Roster!$C$6:$C$65,IFERROR(MATCH(C1377,Roster!$B$6:$B$65,0),MATCH(C1377,Roster!$C$6:$C$65,0))),"not on the Roster"))</f>
        <v/>
      </c>
      <c r="E1377" s="106" t="n"/>
      <c r="F1377" s="104">
        <f>IF(OR(A1377="",C1377="",B1377=""),"",IFERROR(INDEX(CHOOSE(IF(YEAR(A1377)&gt;PlanYear,13,MONTH(A1377)),'Jan'!$D$27:$AH$266,'Feb'!$D$27:$AH$266,'Mar'!$D$27:$AH$266,'Apr'!$D$27:$AH$266,'May'!$D$27:$AH$266,'Jun'!$D$27:$AH$266,'Jul'!$D$27:$AH$266,'Aug'!$D$27:$AH$266,'Sep'!$D$27:$AH$266,'Oct'!$D$27:$AH$266,'Nov'!$D$27:$AH$266,'Dec'!$D$27:$AH$266,'Jan (next year)'!$D$27:$AH$266),27+4*(IFERROR(MATCH(C1377,Roster!$B$6:$B$65,0),MATCH(C1377,Roster!$C$6:$C$65,0))-1)+MATCH(B1377,{"AM","PM","NIGHT","WD"},0)-1-27+1,DAY(A1377))&amp;"",""))</f>
        <v/>
      </c>
      <c r="G1377" s="123">
        <f>IF(OR(A1377="",C1377="",B1377="",E1377=""),"",IFERROR(A1377&amp;"|"&amp;(27+4*(IFERROR(MATCH(C1377,Roster!$B$6:$B$65,0),MATCH(C1377,Roster!$C$6:$C$65,0))-1)+MATCH(B1377,{"AM","PM","NIGHT","WD"},0)-1),""))</f>
        <v/>
      </c>
    </row>
    <row r="1378">
      <c r="A1378" s="122" t="n"/>
      <c r="B1378" s="107" t="n"/>
      <c r="C1378" s="105" t="n"/>
      <c r="D1378" s="92">
        <f>IF(C1378="","",IFERROR(INDEX(Roster!$C$6:$C$65,IFERROR(MATCH(C1378,Roster!$B$6:$B$65,0),MATCH(C1378,Roster!$C$6:$C$65,0))),"not on the Roster"))</f>
        <v/>
      </c>
      <c r="E1378" s="106" t="n"/>
      <c r="F1378" s="104">
        <f>IF(OR(A1378="",C1378="",B1378=""),"",IFERROR(INDEX(CHOOSE(IF(YEAR(A1378)&gt;PlanYear,13,MONTH(A1378)),'Jan'!$D$27:$AH$266,'Feb'!$D$27:$AH$266,'Mar'!$D$27:$AH$266,'Apr'!$D$27:$AH$266,'May'!$D$27:$AH$266,'Jun'!$D$27:$AH$266,'Jul'!$D$27:$AH$266,'Aug'!$D$27:$AH$266,'Sep'!$D$27:$AH$266,'Oct'!$D$27:$AH$266,'Nov'!$D$27:$AH$266,'Dec'!$D$27:$AH$266,'Jan (next year)'!$D$27:$AH$266),27+4*(IFERROR(MATCH(C1378,Roster!$B$6:$B$65,0),MATCH(C1378,Roster!$C$6:$C$65,0))-1)+MATCH(B1378,{"AM","PM","NIGHT","WD"},0)-1-27+1,DAY(A1378))&amp;"",""))</f>
        <v/>
      </c>
      <c r="G1378" s="123">
        <f>IF(OR(A1378="",C1378="",B1378="",E1378=""),"",IFERROR(A1378&amp;"|"&amp;(27+4*(IFERROR(MATCH(C1378,Roster!$B$6:$B$65,0),MATCH(C1378,Roster!$C$6:$C$65,0))-1)+MATCH(B1378,{"AM","PM","NIGHT","WD"},0)-1),""))</f>
        <v/>
      </c>
    </row>
    <row r="1379">
      <c r="A1379" s="122" t="n"/>
      <c r="B1379" s="107" t="n"/>
      <c r="C1379" s="105" t="n"/>
      <c r="D1379" s="92">
        <f>IF(C1379="","",IFERROR(INDEX(Roster!$C$6:$C$65,IFERROR(MATCH(C1379,Roster!$B$6:$B$65,0),MATCH(C1379,Roster!$C$6:$C$65,0))),"not on the Roster"))</f>
        <v/>
      </c>
      <c r="E1379" s="106" t="n"/>
      <c r="F1379" s="104">
        <f>IF(OR(A1379="",C1379="",B1379=""),"",IFERROR(INDEX(CHOOSE(IF(YEAR(A1379)&gt;PlanYear,13,MONTH(A1379)),'Jan'!$D$27:$AH$266,'Feb'!$D$27:$AH$266,'Mar'!$D$27:$AH$266,'Apr'!$D$27:$AH$266,'May'!$D$27:$AH$266,'Jun'!$D$27:$AH$266,'Jul'!$D$27:$AH$266,'Aug'!$D$27:$AH$266,'Sep'!$D$27:$AH$266,'Oct'!$D$27:$AH$266,'Nov'!$D$27:$AH$266,'Dec'!$D$27:$AH$266,'Jan (next year)'!$D$27:$AH$266),27+4*(IFERROR(MATCH(C1379,Roster!$B$6:$B$65,0),MATCH(C1379,Roster!$C$6:$C$65,0))-1)+MATCH(B1379,{"AM","PM","NIGHT","WD"},0)-1-27+1,DAY(A1379))&amp;"",""))</f>
        <v/>
      </c>
      <c r="G1379" s="123">
        <f>IF(OR(A1379="",C1379="",B1379="",E1379=""),"",IFERROR(A1379&amp;"|"&amp;(27+4*(IFERROR(MATCH(C1379,Roster!$B$6:$B$65,0),MATCH(C1379,Roster!$C$6:$C$65,0))-1)+MATCH(B1379,{"AM","PM","NIGHT","WD"},0)-1),""))</f>
        <v/>
      </c>
    </row>
    <row r="1380">
      <c r="A1380" s="122" t="n"/>
      <c r="B1380" s="107" t="n"/>
      <c r="C1380" s="105" t="n"/>
      <c r="D1380" s="92">
        <f>IF(C1380="","",IFERROR(INDEX(Roster!$C$6:$C$65,IFERROR(MATCH(C1380,Roster!$B$6:$B$65,0),MATCH(C1380,Roster!$C$6:$C$65,0))),"not on the Roster"))</f>
        <v/>
      </c>
      <c r="E1380" s="106" t="n"/>
      <c r="F1380" s="104">
        <f>IF(OR(A1380="",C1380="",B1380=""),"",IFERROR(INDEX(CHOOSE(IF(YEAR(A1380)&gt;PlanYear,13,MONTH(A1380)),'Jan'!$D$27:$AH$266,'Feb'!$D$27:$AH$266,'Mar'!$D$27:$AH$266,'Apr'!$D$27:$AH$266,'May'!$D$27:$AH$266,'Jun'!$D$27:$AH$266,'Jul'!$D$27:$AH$266,'Aug'!$D$27:$AH$266,'Sep'!$D$27:$AH$266,'Oct'!$D$27:$AH$266,'Nov'!$D$27:$AH$266,'Dec'!$D$27:$AH$266,'Jan (next year)'!$D$27:$AH$266),27+4*(IFERROR(MATCH(C1380,Roster!$B$6:$B$65,0),MATCH(C1380,Roster!$C$6:$C$65,0))-1)+MATCH(B1380,{"AM","PM","NIGHT","WD"},0)-1-27+1,DAY(A1380))&amp;"",""))</f>
        <v/>
      </c>
      <c r="G1380" s="123">
        <f>IF(OR(A1380="",C1380="",B1380="",E1380=""),"",IFERROR(A1380&amp;"|"&amp;(27+4*(IFERROR(MATCH(C1380,Roster!$B$6:$B$65,0),MATCH(C1380,Roster!$C$6:$C$65,0))-1)+MATCH(B1380,{"AM","PM","NIGHT","WD"},0)-1),""))</f>
        <v/>
      </c>
    </row>
    <row r="1381">
      <c r="A1381" s="122" t="n"/>
      <c r="B1381" s="107" t="n"/>
      <c r="C1381" s="105" t="n"/>
      <c r="D1381" s="92">
        <f>IF(C1381="","",IFERROR(INDEX(Roster!$C$6:$C$65,IFERROR(MATCH(C1381,Roster!$B$6:$B$65,0),MATCH(C1381,Roster!$C$6:$C$65,0))),"not on the Roster"))</f>
        <v/>
      </c>
      <c r="E1381" s="106" t="n"/>
      <c r="F1381" s="104">
        <f>IF(OR(A1381="",C1381="",B1381=""),"",IFERROR(INDEX(CHOOSE(IF(YEAR(A1381)&gt;PlanYear,13,MONTH(A1381)),'Jan'!$D$27:$AH$266,'Feb'!$D$27:$AH$266,'Mar'!$D$27:$AH$266,'Apr'!$D$27:$AH$266,'May'!$D$27:$AH$266,'Jun'!$D$27:$AH$266,'Jul'!$D$27:$AH$266,'Aug'!$D$27:$AH$266,'Sep'!$D$27:$AH$266,'Oct'!$D$27:$AH$266,'Nov'!$D$27:$AH$266,'Dec'!$D$27:$AH$266,'Jan (next year)'!$D$27:$AH$266),27+4*(IFERROR(MATCH(C1381,Roster!$B$6:$B$65,0),MATCH(C1381,Roster!$C$6:$C$65,0))-1)+MATCH(B1381,{"AM","PM","NIGHT","WD"},0)-1-27+1,DAY(A1381))&amp;"",""))</f>
        <v/>
      </c>
      <c r="G1381" s="123">
        <f>IF(OR(A1381="",C1381="",B1381="",E1381=""),"",IFERROR(A1381&amp;"|"&amp;(27+4*(IFERROR(MATCH(C1381,Roster!$B$6:$B$65,0),MATCH(C1381,Roster!$C$6:$C$65,0))-1)+MATCH(B1381,{"AM","PM","NIGHT","WD"},0)-1),""))</f>
        <v/>
      </c>
    </row>
    <row r="1382">
      <c r="A1382" s="122" t="n"/>
      <c r="B1382" s="107" t="n"/>
      <c r="C1382" s="105" t="n"/>
      <c r="D1382" s="92">
        <f>IF(C1382="","",IFERROR(INDEX(Roster!$C$6:$C$65,IFERROR(MATCH(C1382,Roster!$B$6:$B$65,0),MATCH(C1382,Roster!$C$6:$C$65,0))),"not on the Roster"))</f>
        <v/>
      </c>
      <c r="E1382" s="106" t="n"/>
      <c r="F1382" s="104">
        <f>IF(OR(A1382="",C1382="",B1382=""),"",IFERROR(INDEX(CHOOSE(IF(YEAR(A1382)&gt;PlanYear,13,MONTH(A1382)),'Jan'!$D$27:$AH$266,'Feb'!$D$27:$AH$266,'Mar'!$D$27:$AH$266,'Apr'!$D$27:$AH$266,'May'!$D$27:$AH$266,'Jun'!$D$27:$AH$266,'Jul'!$D$27:$AH$266,'Aug'!$D$27:$AH$266,'Sep'!$D$27:$AH$266,'Oct'!$D$27:$AH$266,'Nov'!$D$27:$AH$266,'Dec'!$D$27:$AH$266,'Jan (next year)'!$D$27:$AH$266),27+4*(IFERROR(MATCH(C1382,Roster!$B$6:$B$65,0),MATCH(C1382,Roster!$C$6:$C$65,0))-1)+MATCH(B1382,{"AM","PM","NIGHT","WD"},0)-1-27+1,DAY(A1382))&amp;"",""))</f>
        <v/>
      </c>
      <c r="G1382" s="123">
        <f>IF(OR(A1382="",C1382="",B1382="",E1382=""),"",IFERROR(A1382&amp;"|"&amp;(27+4*(IFERROR(MATCH(C1382,Roster!$B$6:$B$65,0),MATCH(C1382,Roster!$C$6:$C$65,0))-1)+MATCH(B1382,{"AM","PM","NIGHT","WD"},0)-1),""))</f>
        <v/>
      </c>
    </row>
    <row r="1383">
      <c r="A1383" s="122" t="n"/>
      <c r="B1383" s="107" t="n"/>
      <c r="C1383" s="105" t="n"/>
      <c r="D1383" s="92">
        <f>IF(C1383="","",IFERROR(INDEX(Roster!$C$6:$C$65,IFERROR(MATCH(C1383,Roster!$B$6:$B$65,0),MATCH(C1383,Roster!$C$6:$C$65,0))),"not on the Roster"))</f>
        <v/>
      </c>
      <c r="E1383" s="106" t="n"/>
      <c r="F1383" s="104">
        <f>IF(OR(A1383="",C1383="",B1383=""),"",IFERROR(INDEX(CHOOSE(IF(YEAR(A1383)&gt;PlanYear,13,MONTH(A1383)),'Jan'!$D$27:$AH$266,'Feb'!$D$27:$AH$266,'Mar'!$D$27:$AH$266,'Apr'!$D$27:$AH$266,'May'!$D$27:$AH$266,'Jun'!$D$27:$AH$266,'Jul'!$D$27:$AH$266,'Aug'!$D$27:$AH$266,'Sep'!$D$27:$AH$266,'Oct'!$D$27:$AH$266,'Nov'!$D$27:$AH$266,'Dec'!$D$27:$AH$266,'Jan (next year)'!$D$27:$AH$266),27+4*(IFERROR(MATCH(C1383,Roster!$B$6:$B$65,0),MATCH(C1383,Roster!$C$6:$C$65,0))-1)+MATCH(B1383,{"AM","PM","NIGHT","WD"},0)-1-27+1,DAY(A1383))&amp;"",""))</f>
        <v/>
      </c>
      <c r="G1383" s="123">
        <f>IF(OR(A1383="",C1383="",B1383="",E1383=""),"",IFERROR(A1383&amp;"|"&amp;(27+4*(IFERROR(MATCH(C1383,Roster!$B$6:$B$65,0),MATCH(C1383,Roster!$C$6:$C$65,0))-1)+MATCH(B1383,{"AM","PM","NIGHT","WD"},0)-1),""))</f>
        <v/>
      </c>
    </row>
    <row r="1384">
      <c r="A1384" s="122" t="n"/>
      <c r="B1384" s="107" t="n"/>
      <c r="C1384" s="105" t="n"/>
      <c r="D1384" s="92">
        <f>IF(C1384="","",IFERROR(INDEX(Roster!$C$6:$C$65,IFERROR(MATCH(C1384,Roster!$B$6:$B$65,0),MATCH(C1384,Roster!$C$6:$C$65,0))),"not on the Roster"))</f>
        <v/>
      </c>
      <c r="E1384" s="106" t="n"/>
      <c r="F1384" s="104">
        <f>IF(OR(A1384="",C1384="",B1384=""),"",IFERROR(INDEX(CHOOSE(IF(YEAR(A1384)&gt;PlanYear,13,MONTH(A1384)),'Jan'!$D$27:$AH$266,'Feb'!$D$27:$AH$266,'Mar'!$D$27:$AH$266,'Apr'!$D$27:$AH$266,'May'!$D$27:$AH$266,'Jun'!$D$27:$AH$266,'Jul'!$D$27:$AH$266,'Aug'!$D$27:$AH$266,'Sep'!$D$27:$AH$266,'Oct'!$D$27:$AH$266,'Nov'!$D$27:$AH$266,'Dec'!$D$27:$AH$266,'Jan (next year)'!$D$27:$AH$266),27+4*(IFERROR(MATCH(C1384,Roster!$B$6:$B$65,0),MATCH(C1384,Roster!$C$6:$C$65,0))-1)+MATCH(B1384,{"AM","PM","NIGHT","WD"},0)-1-27+1,DAY(A1384))&amp;"",""))</f>
        <v/>
      </c>
      <c r="G1384" s="123">
        <f>IF(OR(A1384="",C1384="",B1384="",E1384=""),"",IFERROR(A1384&amp;"|"&amp;(27+4*(IFERROR(MATCH(C1384,Roster!$B$6:$B$65,0),MATCH(C1384,Roster!$C$6:$C$65,0))-1)+MATCH(B1384,{"AM","PM","NIGHT","WD"},0)-1),""))</f>
        <v/>
      </c>
    </row>
    <row r="1385">
      <c r="A1385" s="122" t="n"/>
      <c r="B1385" s="107" t="n"/>
      <c r="C1385" s="105" t="n"/>
      <c r="D1385" s="92">
        <f>IF(C1385="","",IFERROR(INDEX(Roster!$C$6:$C$65,IFERROR(MATCH(C1385,Roster!$B$6:$B$65,0),MATCH(C1385,Roster!$C$6:$C$65,0))),"not on the Roster"))</f>
        <v/>
      </c>
      <c r="E1385" s="106" t="n"/>
      <c r="F1385" s="104">
        <f>IF(OR(A1385="",C1385="",B1385=""),"",IFERROR(INDEX(CHOOSE(IF(YEAR(A1385)&gt;PlanYear,13,MONTH(A1385)),'Jan'!$D$27:$AH$266,'Feb'!$D$27:$AH$266,'Mar'!$D$27:$AH$266,'Apr'!$D$27:$AH$266,'May'!$D$27:$AH$266,'Jun'!$D$27:$AH$266,'Jul'!$D$27:$AH$266,'Aug'!$D$27:$AH$266,'Sep'!$D$27:$AH$266,'Oct'!$D$27:$AH$266,'Nov'!$D$27:$AH$266,'Dec'!$D$27:$AH$266,'Jan (next year)'!$D$27:$AH$266),27+4*(IFERROR(MATCH(C1385,Roster!$B$6:$B$65,0),MATCH(C1385,Roster!$C$6:$C$65,0))-1)+MATCH(B1385,{"AM","PM","NIGHT","WD"},0)-1-27+1,DAY(A1385))&amp;"",""))</f>
        <v/>
      </c>
      <c r="G1385" s="123">
        <f>IF(OR(A1385="",C1385="",B1385="",E1385=""),"",IFERROR(A1385&amp;"|"&amp;(27+4*(IFERROR(MATCH(C1385,Roster!$B$6:$B$65,0),MATCH(C1385,Roster!$C$6:$C$65,0))-1)+MATCH(B1385,{"AM","PM","NIGHT","WD"},0)-1),""))</f>
        <v/>
      </c>
    </row>
    <row r="1386">
      <c r="A1386" s="122" t="n"/>
      <c r="B1386" s="107" t="n"/>
      <c r="C1386" s="105" t="n"/>
      <c r="D1386" s="92">
        <f>IF(C1386="","",IFERROR(INDEX(Roster!$C$6:$C$65,IFERROR(MATCH(C1386,Roster!$B$6:$B$65,0),MATCH(C1386,Roster!$C$6:$C$65,0))),"not on the Roster"))</f>
        <v/>
      </c>
      <c r="E1386" s="106" t="n"/>
      <c r="F1386" s="104">
        <f>IF(OR(A1386="",C1386="",B1386=""),"",IFERROR(INDEX(CHOOSE(IF(YEAR(A1386)&gt;PlanYear,13,MONTH(A1386)),'Jan'!$D$27:$AH$266,'Feb'!$D$27:$AH$266,'Mar'!$D$27:$AH$266,'Apr'!$D$27:$AH$266,'May'!$D$27:$AH$266,'Jun'!$D$27:$AH$266,'Jul'!$D$27:$AH$266,'Aug'!$D$27:$AH$266,'Sep'!$D$27:$AH$266,'Oct'!$D$27:$AH$266,'Nov'!$D$27:$AH$266,'Dec'!$D$27:$AH$266,'Jan (next year)'!$D$27:$AH$266),27+4*(IFERROR(MATCH(C1386,Roster!$B$6:$B$65,0),MATCH(C1386,Roster!$C$6:$C$65,0))-1)+MATCH(B1386,{"AM","PM","NIGHT","WD"},0)-1-27+1,DAY(A1386))&amp;"",""))</f>
        <v/>
      </c>
      <c r="G1386" s="123">
        <f>IF(OR(A1386="",C1386="",B1386="",E1386=""),"",IFERROR(A1386&amp;"|"&amp;(27+4*(IFERROR(MATCH(C1386,Roster!$B$6:$B$65,0),MATCH(C1386,Roster!$C$6:$C$65,0))-1)+MATCH(B1386,{"AM","PM","NIGHT","WD"},0)-1),""))</f>
        <v/>
      </c>
    </row>
    <row r="1387">
      <c r="A1387" s="122" t="n"/>
      <c r="B1387" s="107" t="n"/>
      <c r="C1387" s="105" t="n"/>
      <c r="D1387" s="92">
        <f>IF(C1387="","",IFERROR(INDEX(Roster!$C$6:$C$65,IFERROR(MATCH(C1387,Roster!$B$6:$B$65,0),MATCH(C1387,Roster!$C$6:$C$65,0))),"not on the Roster"))</f>
        <v/>
      </c>
      <c r="E1387" s="106" t="n"/>
      <c r="F1387" s="104">
        <f>IF(OR(A1387="",C1387="",B1387=""),"",IFERROR(INDEX(CHOOSE(IF(YEAR(A1387)&gt;PlanYear,13,MONTH(A1387)),'Jan'!$D$27:$AH$266,'Feb'!$D$27:$AH$266,'Mar'!$D$27:$AH$266,'Apr'!$D$27:$AH$266,'May'!$D$27:$AH$266,'Jun'!$D$27:$AH$266,'Jul'!$D$27:$AH$266,'Aug'!$D$27:$AH$266,'Sep'!$D$27:$AH$266,'Oct'!$D$27:$AH$266,'Nov'!$D$27:$AH$266,'Dec'!$D$27:$AH$266,'Jan (next year)'!$D$27:$AH$266),27+4*(IFERROR(MATCH(C1387,Roster!$B$6:$B$65,0),MATCH(C1387,Roster!$C$6:$C$65,0))-1)+MATCH(B1387,{"AM","PM","NIGHT","WD"},0)-1-27+1,DAY(A1387))&amp;"",""))</f>
        <v/>
      </c>
      <c r="G1387" s="123">
        <f>IF(OR(A1387="",C1387="",B1387="",E1387=""),"",IFERROR(A1387&amp;"|"&amp;(27+4*(IFERROR(MATCH(C1387,Roster!$B$6:$B$65,0),MATCH(C1387,Roster!$C$6:$C$65,0))-1)+MATCH(B1387,{"AM","PM","NIGHT","WD"},0)-1),""))</f>
        <v/>
      </c>
    </row>
    <row r="1388">
      <c r="A1388" s="122" t="n"/>
      <c r="B1388" s="107" t="n"/>
      <c r="C1388" s="105" t="n"/>
      <c r="D1388" s="92">
        <f>IF(C1388="","",IFERROR(INDEX(Roster!$C$6:$C$65,IFERROR(MATCH(C1388,Roster!$B$6:$B$65,0),MATCH(C1388,Roster!$C$6:$C$65,0))),"not on the Roster"))</f>
        <v/>
      </c>
      <c r="E1388" s="106" t="n"/>
      <c r="F1388" s="104">
        <f>IF(OR(A1388="",C1388="",B1388=""),"",IFERROR(INDEX(CHOOSE(IF(YEAR(A1388)&gt;PlanYear,13,MONTH(A1388)),'Jan'!$D$27:$AH$266,'Feb'!$D$27:$AH$266,'Mar'!$D$27:$AH$266,'Apr'!$D$27:$AH$266,'May'!$D$27:$AH$266,'Jun'!$D$27:$AH$266,'Jul'!$D$27:$AH$266,'Aug'!$D$27:$AH$266,'Sep'!$D$27:$AH$266,'Oct'!$D$27:$AH$266,'Nov'!$D$27:$AH$266,'Dec'!$D$27:$AH$266,'Jan (next year)'!$D$27:$AH$266),27+4*(IFERROR(MATCH(C1388,Roster!$B$6:$B$65,0),MATCH(C1388,Roster!$C$6:$C$65,0))-1)+MATCH(B1388,{"AM","PM","NIGHT","WD"},0)-1-27+1,DAY(A1388))&amp;"",""))</f>
        <v/>
      </c>
      <c r="G1388" s="123">
        <f>IF(OR(A1388="",C1388="",B1388="",E1388=""),"",IFERROR(A1388&amp;"|"&amp;(27+4*(IFERROR(MATCH(C1388,Roster!$B$6:$B$65,0),MATCH(C1388,Roster!$C$6:$C$65,0))-1)+MATCH(B1388,{"AM","PM","NIGHT","WD"},0)-1),""))</f>
        <v/>
      </c>
    </row>
    <row r="1389">
      <c r="A1389" s="122" t="n"/>
      <c r="B1389" s="107" t="n"/>
      <c r="C1389" s="105" t="n"/>
      <c r="D1389" s="92">
        <f>IF(C1389="","",IFERROR(INDEX(Roster!$C$6:$C$65,IFERROR(MATCH(C1389,Roster!$B$6:$B$65,0),MATCH(C1389,Roster!$C$6:$C$65,0))),"not on the Roster"))</f>
        <v/>
      </c>
      <c r="E1389" s="106" t="n"/>
      <c r="F1389" s="104">
        <f>IF(OR(A1389="",C1389="",B1389=""),"",IFERROR(INDEX(CHOOSE(IF(YEAR(A1389)&gt;PlanYear,13,MONTH(A1389)),'Jan'!$D$27:$AH$266,'Feb'!$D$27:$AH$266,'Mar'!$D$27:$AH$266,'Apr'!$D$27:$AH$266,'May'!$D$27:$AH$266,'Jun'!$D$27:$AH$266,'Jul'!$D$27:$AH$266,'Aug'!$D$27:$AH$266,'Sep'!$D$27:$AH$266,'Oct'!$D$27:$AH$266,'Nov'!$D$27:$AH$266,'Dec'!$D$27:$AH$266,'Jan (next year)'!$D$27:$AH$266),27+4*(IFERROR(MATCH(C1389,Roster!$B$6:$B$65,0),MATCH(C1389,Roster!$C$6:$C$65,0))-1)+MATCH(B1389,{"AM","PM","NIGHT","WD"},0)-1-27+1,DAY(A1389))&amp;"",""))</f>
        <v/>
      </c>
      <c r="G1389" s="123">
        <f>IF(OR(A1389="",C1389="",B1389="",E1389=""),"",IFERROR(A1389&amp;"|"&amp;(27+4*(IFERROR(MATCH(C1389,Roster!$B$6:$B$65,0),MATCH(C1389,Roster!$C$6:$C$65,0))-1)+MATCH(B1389,{"AM","PM","NIGHT","WD"},0)-1),""))</f>
        <v/>
      </c>
    </row>
    <row r="1390">
      <c r="A1390" s="122" t="n"/>
      <c r="B1390" s="107" t="n"/>
      <c r="C1390" s="105" t="n"/>
      <c r="D1390" s="92">
        <f>IF(C1390="","",IFERROR(INDEX(Roster!$C$6:$C$65,IFERROR(MATCH(C1390,Roster!$B$6:$B$65,0),MATCH(C1390,Roster!$C$6:$C$65,0))),"not on the Roster"))</f>
        <v/>
      </c>
      <c r="E1390" s="106" t="n"/>
      <c r="F1390" s="104">
        <f>IF(OR(A1390="",C1390="",B1390=""),"",IFERROR(INDEX(CHOOSE(IF(YEAR(A1390)&gt;PlanYear,13,MONTH(A1390)),'Jan'!$D$27:$AH$266,'Feb'!$D$27:$AH$266,'Mar'!$D$27:$AH$266,'Apr'!$D$27:$AH$266,'May'!$D$27:$AH$266,'Jun'!$D$27:$AH$266,'Jul'!$D$27:$AH$266,'Aug'!$D$27:$AH$266,'Sep'!$D$27:$AH$266,'Oct'!$D$27:$AH$266,'Nov'!$D$27:$AH$266,'Dec'!$D$27:$AH$266,'Jan (next year)'!$D$27:$AH$266),27+4*(IFERROR(MATCH(C1390,Roster!$B$6:$B$65,0),MATCH(C1390,Roster!$C$6:$C$65,0))-1)+MATCH(B1390,{"AM","PM","NIGHT","WD"},0)-1-27+1,DAY(A1390))&amp;"",""))</f>
        <v/>
      </c>
      <c r="G1390" s="123">
        <f>IF(OR(A1390="",C1390="",B1390="",E1390=""),"",IFERROR(A1390&amp;"|"&amp;(27+4*(IFERROR(MATCH(C1390,Roster!$B$6:$B$65,0),MATCH(C1390,Roster!$C$6:$C$65,0))-1)+MATCH(B1390,{"AM","PM","NIGHT","WD"},0)-1),""))</f>
        <v/>
      </c>
    </row>
    <row r="1391">
      <c r="A1391" s="122" t="n"/>
      <c r="B1391" s="107" t="n"/>
      <c r="C1391" s="105" t="n"/>
      <c r="D1391" s="92">
        <f>IF(C1391="","",IFERROR(INDEX(Roster!$C$6:$C$65,IFERROR(MATCH(C1391,Roster!$B$6:$B$65,0),MATCH(C1391,Roster!$C$6:$C$65,0))),"not on the Roster"))</f>
        <v/>
      </c>
      <c r="E1391" s="106" t="n"/>
      <c r="F1391" s="104">
        <f>IF(OR(A1391="",C1391="",B1391=""),"",IFERROR(INDEX(CHOOSE(IF(YEAR(A1391)&gt;PlanYear,13,MONTH(A1391)),'Jan'!$D$27:$AH$266,'Feb'!$D$27:$AH$266,'Mar'!$D$27:$AH$266,'Apr'!$D$27:$AH$266,'May'!$D$27:$AH$266,'Jun'!$D$27:$AH$266,'Jul'!$D$27:$AH$266,'Aug'!$D$27:$AH$266,'Sep'!$D$27:$AH$266,'Oct'!$D$27:$AH$266,'Nov'!$D$27:$AH$266,'Dec'!$D$27:$AH$266,'Jan (next year)'!$D$27:$AH$266),27+4*(IFERROR(MATCH(C1391,Roster!$B$6:$B$65,0),MATCH(C1391,Roster!$C$6:$C$65,0))-1)+MATCH(B1391,{"AM","PM","NIGHT","WD"},0)-1-27+1,DAY(A1391))&amp;"",""))</f>
        <v/>
      </c>
      <c r="G1391" s="123">
        <f>IF(OR(A1391="",C1391="",B1391="",E1391=""),"",IFERROR(A1391&amp;"|"&amp;(27+4*(IFERROR(MATCH(C1391,Roster!$B$6:$B$65,0),MATCH(C1391,Roster!$C$6:$C$65,0))-1)+MATCH(B1391,{"AM","PM","NIGHT","WD"},0)-1),""))</f>
        <v/>
      </c>
    </row>
    <row r="1392">
      <c r="A1392" s="122" t="n"/>
      <c r="B1392" s="107" t="n"/>
      <c r="C1392" s="105" t="n"/>
      <c r="D1392" s="92">
        <f>IF(C1392="","",IFERROR(INDEX(Roster!$C$6:$C$65,IFERROR(MATCH(C1392,Roster!$B$6:$B$65,0),MATCH(C1392,Roster!$C$6:$C$65,0))),"not on the Roster"))</f>
        <v/>
      </c>
      <c r="E1392" s="106" t="n"/>
      <c r="F1392" s="104">
        <f>IF(OR(A1392="",C1392="",B1392=""),"",IFERROR(INDEX(CHOOSE(IF(YEAR(A1392)&gt;PlanYear,13,MONTH(A1392)),'Jan'!$D$27:$AH$266,'Feb'!$D$27:$AH$266,'Mar'!$D$27:$AH$266,'Apr'!$D$27:$AH$266,'May'!$D$27:$AH$266,'Jun'!$D$27:$AH$266,'Jul'!$D$27:$AH$266,'Aug'!$D$27:$AH$266,'Sep'!$D$27:$AH$266,'Oct'!$D$27:$AH$266,'Nov'!$D$27:$AH$266,'Dec'!$D$27:$AH$266,'Jan (next year)'!$D$27:$AH$266),27+4*(IFERROR(MATCH(C1392,Roster!$B$6:$B$65,0),MATCH(C1392,Roster!$C$6:$C$65,0))-1)+MATCH(B1392,{"AM","PM","NIGHT","WD"},0)-1-27+1,DAY(A1392))&amp;"",""))</f>
        <v/>
      </c>
      <c r="G1392" s="123">
        <f>IF(OR(A1392="",C1392="",B1392="",E1392=""),"",IFERROR(A1392&amp;"|"&amp;(27+4*(IFERROR(MATCH(C1392,Roster!$B$6:$B$65,0),MATCH(C1392,Roster!$C$6:$C$65,0))-1)+MATCH(B1392,{"AM","PM","NIGHT","WD"},0)-1),""))</f>
        <v/>
      </c>
    </row>
    <row r="1393">
      <c r="A1393" s="122" t="n"/>
      <c r="B1393" s="107" t="n"/>
      <c r="C1393" s="105" t="n"/>
      <c r="D1393" s="92">
        <f>IF(C1393="","",IFERROR(INDEX(Roster!$C$6:$C$65,IFERROR(MATCH(C1393,Roster!$B$6:$B$65,0),MATCH(C1393,Roster!$C$6:$C$65,0))),"not on the Roster"))</f>
        <v/>
      </c>
      <c r="E1393" s="106" t="n"/>
      <c r="F1393" s="104">
        <f>IF(OR(A1393="",C1393="",B1393=""),"",IFERROR(INDEX(CHOOSE(IF(YEAR(A1393)&gt;PlanYear,13,MONTH(A1393)),'Jan'!$D$27:$AH$266,'Feb'!$D$27:$AH$266,'Mar'!$D$27:$AH$266,'Apr'!$D$27:$AH$266,'May'!$D$27:$AH$266,'Jun'!$D$27:$AH$266,'Jul'!$D$27:$AH$266,'Aug'!$D$27:$AH$266,'Sep'!$D$27:$AH$266,'Oct'!$D$27:$AH$266,'Nov'!$D$27:$AH$266,'Dec'!$D$27:$AH$266,'Jan (next year)'!$D$27:$AH$266),27+4*(IFERROR(MATCH(C1393,Roster!$B$6:$B$65,0),MATCH(C1393,Roster!$C$6:$C$65,0))-1)+MATCH(B1393,{"AM","PM","NIGHT","WD"},0)-1-27+1,DAY(A1393))&amp;"",""))</f>
        <v/>
      </c>
      <c r="G1393" s="123">
        <f>IF(OR(A1393="",C1393="",B1393="",E1393=""),"",IFERROR(A1393&amp;"|"&amp;(27+4*(IFERROR(MATCH(C1393,Roster!$B$6:$B$65,0),MATCH(C1393,Roster!$C$6:$C$65,0))-1)+MATCH(B1393,{"AM","PM","NIGHT","WD"},0)-1),""))</f>
        <v/>
      </c>
    </row>
    <row r="1394">
      <c r="A1394" s="122" t="n"/>
      <c r="B1394" s="107" t="n"/>
      <c r="C1394" s="105" t="n"/>
      <c r="D1394" s="92">
        <f>IF(C1394="","",IFERROR(INDEX(Roster!$C$6:$C$65,IFERROR(MATCH(C1394,Roster!$B$6:$B$65,0),MATCH(C1394,Roster!$C$6:$C$65,0))),"not on the Roster"))</f>
        <v/>
      </c>
      <c r="E1394" s="106" t="n"/>
      <c r="F1394" s="104">
        <f>IF(OR(A1394="",C1394="",B1394=""),"",IFERROR(INDEX(CHOOSE(IF(YEAR(A1394)&gt;PlanYear,13,MONTH(A1394)),'Jan'!$D$27:$AH$266,'Feb'!$D$27:$AH$266,'Mar'!$D$27:$AH$266,'Apr'!$D$27:$AH$266,'May'!$D$27:$AH$266,'Jun'!$D$27:$AH$266,'Jul'!$D$27:$AH$266,'Aug'!$D$27:$AH$266,'Sep'!$D$27:$AH$266,'Oct'!$D$27:$AH$266,'Nov'!$D$27:$AH$266,'Dec'!$D$27:$AH$266,'Jan (next year)'!$D$27:$AH$266),27+4*(IFERROR(MATCH(C1394,Roster!$B$6:$B$65,0),MATCH(C1394,Roster!$C$6:$C$65,0))-1)+MATCH(B1394,{"AM","PM","NIGHT","WD"},0)-1-27+1,DAY(A1394))&amp;"",""))</f>
        <v/>
      </c>
      <c r="G1394" s="123">
        <f>IF(OR(A1394="",C1394="",B1394="",E1394=""),"",IFERROR(A1394&amp;"|"&amp;(27+4*(IFERROR(MATCH(C1394,Roster!$B$6:$B$65,0),MATCH(C1394,Roster!$C$6:$C$65,0))-1)+MATCH(B1394,{"AM","PM","NIGHT","WD"},0)-1),""))</f>
        <v/>
      </c>
    </row>
    <row r="1395">
      <c r="A1395" s="122" t="n"/>
      <c r="B1395" s="107" t="n"/>
      <c r="C1395" s="105" t="n"/>
      <c r="D1395" s="92">
        <f>IF(C1395="","",IFERROR(INDEX(Roster!$C$6:$C$65,IFERROR(MATCH(C1395,Roster!$B$6:$B$65,0),MATCH(C1395,Roster!$C$6:$C$65,0))),"not on the Roster"))</f>
        <v/>
      </c>
      <c r="E1395" s="106" t="n"/>
      <c r="F1395" s="104">
        <f>IF(OR(A1395="",C1395="",B1395=""),"",IFERROR(INDEX(CHOOSE(IF(YEAR(A1395)&gt;PlanYear,13,MONTH(A1395)),'Jan'!$D$27:$AH$266,'Feb'!$D$27:$AH$266,'Mar'!$D$27:$AH$266,'Apr'!$D$27:$AH$266,'May'!$D$27:$AH$266,'Jun'!$D$27:$AH$266,'Jul'!$D$27:$AH$266,'Aug'!$D$27:$AH$266,'Sep'!$D$27:$AH$266,'Oct'!$D$27:$AH$266,'Nov'!$D$27:$AH$266,'Dec'!$D$27:$AH$266,'Jan (next year)'!$D$27:$AH$266),27+4*(IFERROR(MATCH(C1395,Roster!$B$6:$B$65,0),MATCH(C1395,Roster!$C$6:$C$65,0))-1)+MATCH(B1395,{"AM","PM","NIGHT","WD"},0)-1-27+1,DAY(A1395))&amp;"",""))</f>
        <v/>
      </c>
      <c r="G1395" s="123">
        <f>IF(OR(A1395="",C1395="",B1395="",E1395=""),"",IFERROR(A1395&amp;"|"&amp;(27+4*(IFERROR(MATCH(C1395,Roster!$B$6:$B$65,0),MATCH(C1395,Roster!$C$6:$C$65,0))-1)+MATCH(B1395,{"AM","PM","NIGHT","WD"},0)-1),""))</f>
        <v/>
      </c>
    </row>
    <row r="1396">
      <c r="A1396" s="122" t="n"/>
      <c r="B1396" s="107" t="n"/>
      <c r="C1396" s="105" t="n"/>
      <c r="D1396" s="92">
        <f>IF(C1396="","",IFERROR(INDEX(Roster!$C$6:$C$65,IFERROR(MATCH(C1396,Roster!$B$6:$B$65,0),MATCH(C1396,Roster!$C$6:$C$65,0))),"not on the Roster"))</f>
        <v/>
      </c>
      <c r="E1396" s="106" t="n"/>
      <c r="F1396" s="104">
        <f>IF(OR(A1396="",C1396="",B1396=""),"",IFERROR(INDEX(CHOOSE(IF(YEAR(A1396)&gt;PlanYear,13,MONTH(A1396)),'Jan'!$D$27:$AH$266,'Feb'!$D$27:$AH$266,'Mar'!$D$27:$AH$266,'Apr'!$D$27:$AH$266,'May'!$D$27:$AH$266,'Jun'!$D$27:$AH$266,'Jul'!$D$27:$AH$266,'Aug'!$D$27:$AH$266,'Sep'!$D$27:$AH$266,'Oct'!$D$27:$AH$266,'Nov'!$D$27:$AH$266,'Dec'!$D$27:$AH$266,'Jan (next year)'!$D$27:$AH$266),27+4*(IFERROR(MATCH(C1396,Roster!$B$6:$B$65,0),MATCH(C1396,Roster!$C$6:$C$65,0))-1)+MATCH(B1396,{"AM","PM","NIGHT","WD"},0)-1-27+1,DAY(A1396))&amp;"",""))</f>
        <v/>
      </c>
      <c r="G1396" s="123">
        <f>IF(OR(A1396="",C1396="",B1396="",E1396=""),"",IFERROR(A1396&amp;"|"&amp;(27+4*(IFERROR(MATCH(C1396,Roster!$B$6:$B$65,0),MATCH(C1396,Roster!$C$6:$C$65,0))-1)+MATCH(B1396,{"AM","PM","NIGHT","WD"},0)-1),""))</f>
        <v/>
      </c>
    </row>
    <row r="1397">
      <c r="A1397" s="122" t="n"/>
      <c r="B1397" s="107" t="n"/>
      <c r="C1397" s="105" t="n"/>
      <c r="D1397" s="92">
        <f>IF(C1397="","",IFERROR(INDEX(Roster!$C$6:$C$65,IFERROR(MATCH(C1397,Roster!$B$6:$B$65,0),MATCH(C1397,Roster!$C$6:$C$65,0))),"not on the Roster"))</f>
        <v/>
      </c>
      <c r="E1397" s="106" t="n"/>
      <c r="F1397" s="104">
        <f>IF(OR(A1397="",C1397="",B1397=""),"",IFERROR(INDEX(CHOOSE(IF(YEAR(A1397)&gt;PlanYear,13,MONTH(A1397)),'Jan'!$D$27:$AH$266,'Feb'!$D$27:$AH$266,'Mar'!$D$27:$AH$266,'Apr'!$D$27:$AH$266,'May'!$D$27:$AH$266,'Jun'!$D$27:$AH$266,'Jul'!$D$27:$AH$266,'Aug'!$D$27:$AH$266,'Sep'!$D$27:$AH$266,'Oct'!$D$27:$AH$266,'Nov'!$D$27:$AH$266,'Dec'!$D$27:$AH$266,'Jan (next year)'!$D$27:$AH$266),27+4*(IFERROR(MATCH(C1397,Roster!$B$6:$B$65,0),MATCH(C1397,Roster!$C$6:$C$65,0))-1)+MATCH(B1397,{"AM","PM","NIGHT","WD"},0)-1-27+1,DAY(A1397))&amp;"",""))</f>
        <v/>
      </c>
      <c r="G1397" s="123">
        <f>IF(OR(A1397="",C1397="",B1397="",E1397=""),"",IFERROR(A1397&amp;"|"&amp;(27+4*(IFERROR(MATCH(C1397,Roster!$B$6:$B$65,0),MATCH(C1397,Roster!$C$6:$C$65,0))-1)+MATCH(B1397,{"AM","PM","NIGHT","WD"},0)-1),""))</f>
        <v/>
      </c>
    </row>
    <row r="1398">
      <c r="A1398" s="122" t="n"/>
      <c r="B1398" s="107" t="n"/>
      <c r="C1398" s="105" t="n"/>
      <c r="D1398" s="92">
        <f>IF(C1398="","",IFERROR(INDEX(Roster!$C$6:$C$65,IFERROR(MATCH(C1398,Roster!$B$6:$B$65,0),MATCH(C1398,Roster!$C$6:$C$65,0))),"not on the Roster"))</f>
        <v/>
      </c>
      <c r="E1398" s="106" t="n"/>
      <c r="F1398" s="104">
        <f>IF(OR(A1398="",C1398="",B1398=""),"",IFERROR(INDEX(CHOOSE(IF(YEAR(A1398)&gt;PlanYear,13,MONTH(A1398)),'Jan'!$D$27:$AH$266,'Feb'!$D$27:$AH$266,'Mar'!$D$27:$AH$266,'Apr'!$D$27:$AH$266,'May'!$D$27:$AH$266,'Jun'!$D$27:$AH$266,'Jul'!$D$27:$AH$266,'Aug'!$D$27:$AH$266,'Sep'!$D$27:$AH$266,'Oct'!$D$27:$AH$266,'Nov'!$D$27:$AH$266,'Dec'!$D$27:$AH$266,'Jan (next year)'!$D$27:$AH$266),27+4*(IFERROR(MATCH(C1398,Roster!$B$6:$B$65,0),MATCH(C1398,Roster!$C$6:$C$65,0))-1)+MATCH(B1398,{"AM","PM","NIGHT","WD"},0)-1-27+1,DAY(A1398))&amp;"",""))</f>
        <v/>
      </c>
      <c r="G1398" s="123">
        <f>IF(OR(A1398="",C1398="",B1398="",E1398=""),"",IFERROR(A1398&amp;"|"&amp;(27+4*(IFERROR(MATCH(C1398,Roster!$B$6:$B$65,0),MATCH(C1398,Roster!$C$6:$C$65,0))-1)+MATCH(B1398,{"AM","PM","NIGHT","WD"},0)-1),""))</f>
        <v/>
      </c>
    </row>
    <row r="1399">
      <c r="A1399" s="122" t="n"/>
      <c r="B1399" s="107" t="n"/>
      <c r="C1399" s="105" t="n"/>
      <c r="D1399" s="92">
        <f>IF(C1399="","",IFERROR(INDEX(Roster!$C$6:$C$65,IFERROR(MATCH(C1399,Roster!$B$6:$B$65,0),MATCH(C1399,Roster!$C$6:$C$65,0))),"not on the Roster"))</f>
        <v/>
      </c>
      <c r="E1399" s="106" t="n"/>
      <c r="F1399" s="104">
        <f>IF(OR(A1399="",C1399="",B1399=""),"",IFERROR(INDEX(CHOOSE(IF(YEAR(A1399)&gt;PlanYear,13,MONTH(A1399)),'Jan'!$D$27:$AH$266,'Feb'!$D$27:$AH$266,'Mar'!$D$27:$AH$266,'Apr'!$D$27:$AH$266,'May'!$D$27:$AH$266,'Jun'!$D$27:$AH$266,'Jul'!$D$27:$AH$266,'Aug'!$D$27:$AH$266,'Sep'!$D$27:$AH$266,'Oct'!$D$27:$AH$266,'Nov'!$D$27:$AH$266,'Dec'!$D$27:$AH$266,'Jan (next year)'!$D$27:$AH$266),27+4*(IFERROR(MATCH(C1399,Roster!$B$6:$B$65,0),MATCH(C1399,Roster!$C$6:$C$65,0))-1)+MATCH(B1399,{"AM","PM","NIGHT","WD"},0)-1-27+1,DAY(A1399))&amp;"",""))</f>
        <v/>
      </c>
      <c r="G1399" s="123">
        <f>IF(OR(A1399="",C1399="",B1399="",E1399=""),"",IFERROR(A1399&amp;"|"&amp;(27+4*(IFERROR(MATCH(C1399,Roster!$B$6:$B$65,0),MATCH(C1399,Roster!$C$6:$C$65,0))-1)+MATCH(B1399,{"AM","PM","NIGHT","WD"},0)-1),""))</f>
        <v/>
      </c>
    </row>
    <row r="1400">
      <c r="A1400" s="122" t="n"/>
      <c r="B1400" s="107" t="n"/>
      <c r="C1400" s="105" t="n"/>
      <c r="D1400" s="92">
        <f>IF(C1400="","",IFERROR(INDEX(Roster!$C$6:$C$65,IFERROR(MATCH(C1400,Roster!$B$6:$B$65,0),MATCH(C1400,Roster!$C$6:$C$65,0))),"not on the Roster"))</f>
        <v/>
      </c>
      <c r="E1400" s="106" t="n"/>
      <c r="F1400" s="104">
        <f>IF(OR(A1400="",C1400="",B1400=""),"",IFERROR(INDEX(CHOOSE(IF(YEAR(A1400)&gt;PlanYear,13,MONTH(A1400)),'Jan'!$D$27:$AH$266,'Feb'!$D$27:$AH$266,'Mar'!$D$27:$AH$266,'Apr'!$D$27:$AH$266,'May'!$D$27:$AH$266,'Jun'!$D$27:$AH$266,'Jul'!$D$27:$AH$266,'Aug'!$D$27:$AH$266,'Sep'!$D$27:$AH$266,'Oct'!$D$27:$AH$266,'Nov'!$D$27:$AH$266,'Dec'!$D$27:$AH$266,'Jan (next year)'!$D$27:$AH$266),27+4*(IFERROR(MATCH(C1400,Roster!$B$6:$B$65,0),MATCH(C1400,Roster!$C$6:$C$65,0))-1)+MATCH(B1400,{"AM","PM","NIGHT","WD"},0)-1-27+1,DAY(A1400))&amp;"",""))</f>
        <v/>
      </c>
      <c r="G1400" s="123">
        <f>IF(OR(A1400="",C1400="",B1400="",E1400=""),"",IFERROR(A1400&amp;"|"&amp;(27+4*(IFERROR(MATCH(C1400,Roster!$B$6:$B$65,0),MATCH(C1400,Roster!$C$6:$C$65,0))-1)+MATCH(B1400,{"AM","PM","NIGHT","WD"},0)-1),""))</f>
        <v/>
      </c>
    </row>
    <row r="1401">
      <c r="A1401" s="122" t="n"/>
      <c r="B1401" s="107" t="n"/>
      <c r="C1401" s="105" t="n"/>
      <c r="D1401" s="92">
        <f>IF(C1401="","",IFERROR(INDEX(Roster!$C$6:$C$65,IFERROR(MATCH(C1401,Roster!$B$6:$B$65,0),MATCH(C1401,Roster!$C$6:$C$65,0))),"not on the Roster"))</f>
        <v/>
      </c>
      <c r="E1401" s="106" t="n"/>
      <c r="F1401" s="104">
        <f>IF(OR(A1401="",C1401="",B1401=""),"",IFERROR(INDEX(CHOOSE(IF(YEAR(A1401)&gt;PlanYear,13,MONTH(A1401)),'Jan'!$D$27:$AH$266,'Feb'!$D$27:$AH$266,'Mar'!$D$27:$AH$266,'Apr'!$D$27:$AH$266,'May'!$D$27:$AH$266,'Jun'!$D$27:$AH$266,'Jul'!$D$27:$AH$266,'Aug'!$D$27:$AH$266,'Sep'!$D$27:$AH$266,'Oct'!$D$27:$AH$266,'Nov'!$D$27:$AH$266,'Dec'!$D$27:$AH$266,'Jan (next year)'!$D$27:$AH$266),27+4*(IFERROR(MATCH(C1401,Roster!$B$6:$B$65,0),MATCH(C1401,Roster!$C$6:$C$65,0))-1)+MATCH(B1401,{"AM","PM","NIGHT","WD"},0)-1-27+1,DAY(A1401))&amp;"",""))</f>
        <v/>
      </c>
      <c r="G1401" s="123">
        <f>IF(OR(A1401="",C1401="",B1401="",E1401=""),"",IFERROR(A1401&amp;"|"&amp;(27+4*(IFERROR(MATCH(C1401,Roster!$B$6:$B$65,0),MATCH(C1401,Roster!$C$6:$C$65,0))-1)+MATCH(B1401,{"AM","PM","NIGHT","WD"},0)-1),""))</f>
        <v/>
      </c>
    </row>
    <row r="1402">
      <c r="A1402" s="122" t="n"/>
      <c r="B1402" s="107" t="n"/>
      <c r="C1402" s="105" t="n"/>
      <c r="D1402" s="92">
        <f>IF(C1402="","",IFERROR(INDEX(Roster!$C$6:$C$65,IFERROR(MATCH(C1402,Roster!$B$6:$B$65,0),MATCH(C1402,Roster!$C$6:$C$65,0))),"not on the Roster"))</f>
        <v/>
      </c>
      <c r="E1402" s="106" t="n"/>
      <c r="F1402" s="104">
        <f>IF(OR(A1402="",C1402="",B1402=""),"",IFERROR(INDEX(CHOOSE(IF(YEAR(A1402)&gt;PlanYear,13,MONTH(A1402)),'Jan'!$D$27:$AH$266,'Feb'!$D$27:$AH$266,'Mar'!$D$27:$AH$266,'Apr'!$D$27:$AH$266,'May'!$D$27:$AH$266,'Jun'!$D$27:$AH$266,'Jul'!$D$27:$AH$266,'Aug'!$D$27:$AH$266,'Sep'!$D$27:$AH$266,'Oct'!$D$27:$AH$266,'Nov'!$D$27:$AH$266,'Dec'!$D$27:$AH$266,'Jan (next year)'!$D$27:$AH$266),27+4*(IFERROR(MATCH(C1402,Roster!$B$6:$B$65,0),MATCH(C1402,Roster!$C$6:$C$65,0))-1)+MATCH(B1402,{"AM","PM","NIGHT","WD"},0)-1-27+1,DAY(A1402))&amp;"",""))</f>
        <v/>
      </c>
      <c r="G1402" s="123">
        <f>IF(OR(A1402="",C1402="",B1402="",E1402=""),"",IFERROR(A1402&amp;"|"&amp;(27+4*(IFERROR(MATCH(C1402,Roster!$B$6:$B$65,0),MATCH(C1402,Roster!$C$6:$C$65,0))-1)+MATCH(B1402,{"AM","PM","NIGHT","WD"},0)-1),""))</f>
        <v/>
      </c>
    </row>
    <row r="1403">
      <c r="A1403" s="122" t="n"/>
      <c r="B1403" s="107" t="n"/>
      <c r="C1403" s="105" t="n"/>
      <c r="D1403" s="92">
        <f>IF(C1403="","",IFERROR(INDEX(Roster!$C$6:$C$65,IFERROR(MATCH(C1403,Roster!$B$6:$B$65,0),MATCH(C1403,Roster!$C$6:$C$65,0))),"not on the Roster"))</f>
        <v/>
      </c>
      <c r="E1403" s="106" t="n"/>
      <c r="F1403" s="104">
        <f>IF(OR(A1403="",C1403="",B1403=""),"",IFERROR(INDEX(CHOOSE(IF(YEAR(A1403)&gt;PlanYear,13,MONTH(A1403)),'Jan'!$D$27:$AH$266,'Feb'!$D$27:$AH$266,'Mar'!$D$27:$AH$266,'Apr'!$D$27:$AH$266,'May'!$D$27:$AH$266,'Jun'!$D$27:$AH$266,'Jul'!$D$27:$AH$266,'Aug'!$D$27:$AH$266,'Sep'!$D$27:$AH$266,'Oct'!$D$27:$AH$266,'Nov'!$D$27:$AH$266,'Dec'!$D$27:$AH$266,'Jan (next year)'!$D$27:$AH$266),27+4*(IFERROR(MATCH(C1403,Roster!$B$6:$B$65,0),MATCH(C1403,Roster!$C$6:$C$65,0))-1)+MATCH(B1403,{"AM","PM","NIGHT","WD"},0)-1-27+1,DAY(A1403))&amp;"",""))</f>
        <v/>
      </c>
      <c r="G1403" s="123">
        <f>IF(OR(A1403="",C1403="",B1403="",E1403=""),"",IFERROR(A1403&amp;"|"&amp;(27+4*(IFERROR(MATCH(C1403,Roster!$B$6:$B$65,0),MATCH(C1403,Roster!$C$6:$C$65,0))-1)+MATCH(B1403,{"AM","PM","NIGHT","WD"},0)-1),""))</f>
        <v/>
      </c>
    </row>
    <row r="1404">
      <c r="A1404" s="122" t="n"/>
      <c r="B1404" s="107" t="n"/>
      <c r="C1404" s="105" t="n"/>
      <c r="D1404" s="92">
        <f>IF(C1404="","",IFERROR(INDEX(Roster!$C$6:$C$65,IFERROR(MATCH(C1404,Roster!$B$6:$B$65,0),MATCH(C1404,Roster!$C$6:$C$65,0))),"not on the Roster"))</f>
        <v/>
      </c>
      <c r="E1404" s="106" t="n"/>
      <c r="F1404" s="104">
        <f>IF(OR(A1404="",C1404="",B1404=""),"",IFERROR(INDEX(CHOOSE(IF(YEAR(A1404)&gt;PlanYear,13,MONTH(A1404)),'Jan'!$D$27:$AH$266,'Feb'!$D$27:$AH$266,'Mar'!$D$27:$AH$266,'Apr'!$D$27:$AH$266,'May'!$D$27:$AH$266,'Jun'!$D$27:$AH$266,'Jul'!$D$27:$AH$266,'Aug'!$D$27:$AH$266,'Sep'!$D$27:$AH$266,'Oct'!$D$27:$AH$266,'Nov'!$D$27:$AH$266,'Dec'!$D$27:$AH$266,'Jan (next year)'!$D$27:$AH$266),27+4*(IFERROR(MATCH(C1404,Roster!$B$6:$B$65,0),MATCH(C1404,Roster!$C$6:$C$65,0))-1)+MATCH(B1404,{"AM","PM","NIGHT","WD"},0)-1-27+1,DAY(A1404))&amp;"",""))</f>
        <v/>
      </c>
      <c r="G1404" s="123">
        <f>IF(OR(A1404="",C1404="",B1404="",E1404=""),"",IFERROR(A1404&amp;"|"&amp;(27+4*(IFERROR(MATCH(C1404,Roster!$B$6:$B$65,0),MATCH(C1404,Roster!$C$6:$C$65,0))-1)+MATCH(B1404,{"AM","PM","NIGHT","WD"},0)-1),""))</f>
        <v/>
      </c>
    </row>
    <row r="1405">
      <c r="A1405" s="122" t="n"/>
      <c r="B1405" s="107" t="n"/>
      <c r="C1405" s="105" t="n"/>
      <c r="D1405" s="92">
        <f>IF(C1405="","",IFERROR(INDEX(Roster!$C$6:$C$65,IFERROR(MATCH(C1405,Roster!$B$6:$B$65,0),MATCH(C1405,Roster!$C$6:$C$65,0))),"not on the Roster"))</f>
        <v/>
      </c>
      <c r="E1405" s="106" t="n"/>
      <c r="F1405" s="104">
        <f>IF(OR(A1405="",C1405="",B1405=""),"",IFERROR(INDEX(CHOOSE(IF(YEAR(A1405)&gt;PlanYear,13,MONTH(A1405)),'Jan'!$D$27:$AH$266,'Feb'!$D$27:$AH$266,'Mar'!$D$27:$AH$266,'Apr'!$D$27:$AH$266,'May'!$D$27:$AH$266,'Jun'!$D$27:$AH$266,'Jul'!$D$27:$AH$266,'Aug'!$D$27:$AH$266,'Sep'!$D$27:$AH$266,'Oct'!$D$27:$AH$266,'Nov'!$D$27:$AH$266,'Dec'!$D$27:$AH$266,'Jan (next year)'!$D$27:$AH$266),27+4*(IFERROR(MATCH(C1405,Roster!$B$6:$B$65,0),MATCH(C1405,Roster!$C$6:$C$65,0))-1)+MATCH(B1405,{"AM","PM","NIGHT","WD"},0)-1-27+1,DAY(A1405))&amp;"",""))</f>
        <v/>
      </c>
      <c r="G1405" s="123">
        <f>IF(OR(A1405="",C1405="",B1405="",E1405=""),"",IFERROR(A1405&amp;"|"&amp;(27+4*(IFERROR(MATCH(C1405,Roster!$B$6:$B$65,0),MATCH(C1405,Roster!$C$6:$C$65,0))-1)+MATCH(B1405,{"AM","PM","NIGHT","WD"},0)-1),""))</f>
        <v/>
      </c>
    </row>
    <row r="1406">
      <c r="A1406" s="122" t="n"/>
      <c r="B1406" s="107" t="n"/>
      <c r="C1406" s="105" t="n"/>
      <c r="D1406" s="92">
        <f>IF(C1406="","",IFERROR(INDEX(Roster!$C$6:$C$65,IFERROR(MATCH(C1406,Roster!$B$6:$B$65,0),MATCH(C1406,Roster!$C$6:$C$65,0))),"not on the Roster"))</f>
        <v/>
      </c>
      <c r="E1406" s="106" t="n"/>
      <c r="F1406" s="104">
        <f>IF(OR(A1406="",C1406="",B1406=""),"",IFERROR(INDEX(CHOOSE(IF(YEAR(A1406)&gt;PlanYear,13,MONTH(A1406)),'Jan'!$D$27:$AH$266,'Feb'!$D$27:$AH$266,'Mar'!$D$27:$AH$266,'Apr'!$D$27:$AH$266,'May'!$D$27:$AH$266,'Jun'!$D$27:$AH$266,'Jul'!$D$27:$AH$266,'Aug'!$D$27:$AH$266,'Sep'!$D$27:$AH$266,'Oct'!$D$27:$AH$266,'Nov'!$D$27:$AH$266,'Dec'!$D$27:$AH$266,'Jan (next year)'!$D$27:$AH$266),27+4*(IFERROR(MATCH(C1406,Roster!$B$6:$B$65,0),MATCH(C1406,Roster!$C$6:$C$65,0))-1)+MATCH(B1406,{"AM","PM","NIGHT","WD"},0)-1-27+1,DAY(A1406))&amp;"",""))</f>
        <v/>
      </c>
      <c r="G1406" s="123">
        <f>IF(OR(A1406="",C1406="",B1406="",E1406=""),"",IFERROR(A1406&amp;"|"&amp;(27+4*(IFERROR(MATCH(C1406,Roster!$B$6:$B$65,0),MATCH(C1406,Roster!$C$6:$C$65,0))-1)+MATCH(B1406,{"AM","PM","NIGHT","WD"},0)-1),""))</f>
        <v/>
      </c>
    </row>
    <row r="1407">
      <c r="A1407" s="122" t="n"/>
      <c r="B1407" s="107" t="n"/>
      <c r="C1407" s="105" t="n"/>
      <c r="D1407" s="92">
        <f>IF(C1407="","",IFERROR(INDEX(Roster!$C$6:$C$65,IFERROR(MATCH(C1407,Roster!$B$6:$B$65,0),MATCH(C1407,Roster!$C$6:$C$65,0))),"not on the Roster"))</f>
        <v/>
      </c>
      <c r="E1407" s="106" t="n"/>
      <c r="F1407" s="104">
        <f>IF(OR(A1407="",C1407="",B1407=""),"",IFERROR(INDEX(CHOOSE(IF(YEAR(A1407)&gt;PlanYear,13,MONTH(A1407)),'Jan'!$D$27:$AH$266,'Feb'!$D$27:$AH$266,'Mar'!$D$27:$AH$266,'Apr'!$D$27:$AH$266,'May'!$D$27:$AH$266,'Jun'!$D$27:$AH$266,'Jul'!$D$27:$AH$266,'Aug'!$D$27:$AH$266,'Sep'!$D$27:$AH$266,'Oct'!$D$27:$AH$266,'Nov'!$D$27:$AH$266,'Dec'!$D$27:$AH$266,'Jan (next year)'!$D$27:$AH$266),27+4*(IFERROR(MATCH(C1407,Roster!$B$6:$B$65,0),MATCH(C1407,Roster!$C$6:$C$65,0))-1)+MATCH(B1407,{"AM","PM","NIGHT","WD"},0)-1-27+1,DAY(A1407))&amp;"",""))</f>
        <v/>
      </c>
      <c r="G1407" s="123">
        <f>IF(OR(A1407="",C1407="",B1407="",E1407=""),"",IFERROR(A1407&amp;"|"&amp;(27+4*(IFERROR(MATCH(C1407,Roster!$B$6:$B$65,0),MATCH(C1407,Roster!$C$6:$C$65,0))-1)+MATCH(B1407,{"AM","PM","NIGHT","WD"},0)-1),""))</f>
        <v/>
      </c>
    </row>
    <row r="1408">
      <c r="A1408" s="122" t="n"/>
      <c r="B1408" s="107" t="n"/>
      <c r="C1408" s="105" t="n"/>
      <c r="D1408" s="92">
        <f>IF(C1408="","",IFERROR(INDEX(Roster!$C$6:$C$65,IFERROR(MATCH(C1408,Roster!$B$6:$B$65,0),MATCH(C1408,Roster!$C$6:$C$65,0))),"not on the Roster"))</f>
        <v/>
      </c>
      <c r="E1408" s="106" t="n"/>
      <c r="F1408" s="104">
        <f>IF(OR(A1408="",C1408="",B1408=""),"",IFERROR(INDEX(CHOOSE(IF(YEAR(A1408)&gt;PlanYear,13,MONTH(A1408)),'Jan'!$D$27:$AH$266,'Feb'!$D$27:$AH$266,'Mar'!$D$27:$AH$266,'Apr'!$D$27:$AH$266,'May'!$D$27:$AH$266,'Jun'!$D$27:$AH$266,'Jul'!$D$27:$AH$266,'Aug'!$D$27:$AH$266,'Sep'!$D$27:$AH$266,'Oct'!$D$27:$AH$266,'Nov'!$D$27:$AH$266,'Dec'!$D$27:$AH$266,'Jan (next year)'!$D$27:$AH$266),27+4*(IFERROR(MATCH(C1408,Roster!$B$6:$B$65,0),MATCH(C1408,Roster!$C$6:$C$65,0))-1)+MATCH(B1408,{"AM","PM","NIGHT","WD"},0)-1-27+1,DAY(A1408))&amp;"",""))</f>
        <v/>
      </c>
      <c r="G1408" s="123">
        <f>IF(OR(A1408="",C1408="",B1408="",E1408=""),"",IFERROR(A1408&amp;"|"&amp;(27+4*(IFERROR(MATCH(C1408,Roster!$B$6:$B$65,0),MATCH(C1408,Roster!$C$6:$C$65,0))-1)+MATCH(B1408,{"AM","PM","NIGHT","WD"},0)-1),""))</f>
        <v/>
      </c>
    </row>
    <row r="1409">
      <c r="A1409" s="122" t="n"/>
      <c r="B1409" s="107" t="n"/>
      <c r="C1409" s="105" t="n"/>
      <c r="D1409" s="92">
        <f>IF(C1409="","",IFERROR(INDEX(Roster!$C$6:$C$65,IFERROR(MATCH(C1409,Roster!$B$6:$B$65,0),MATCH(C1409,Roster!$C$6:$C$65,0))),"not on the Roster"))</f>
        <v/>
      </c>
      <c r="E1409" s="106" t="n"/>
      <c r="F1409" s="104">
        <f>IF(OR(A1409="",C1409="",B1409=""),"",IFERROR(INDEX(CHOOSE(IF(YEAR(A1409)&gt;PlanYear,13,MONTH(A1409)),'Jan'!$D$27:$AH$266,'Feb'!$D$27:$AH$266,'Mar'!$D$27:$AH$266,'Apr'!$D$27:$AH$266,'May'!$D$27:$AH$266,'Jun'!$D$27:$AH$266,'Jul'!$D$27:$AH$266,'Aug'!$D$27:$AH$266,'Sep'!$D$27:$AH$266,'Oct'!$D$27:$AH$266,'Nov'!$D$27:$AH$266,'Dec'!$D$27:$AH$266,'Jan (next year)'!$D$27:$AH$266),27+4*(IFERROR(MATCH(C1409,Roster!$B$6:$B$65,0),MATCH(C1409,Roster!$C$6:$C$65,0))-1)+MATCH(B1409,{"AM","PM","NIGHT","WD"},0)-1-27+1,DAY(A1409))&amp;"",""))</f>
        <v/>
      </c>
      <c r="G1409" s="123">
        <f>IF(OR(A1409="",C1409="",B1409="",E1409=""),"",IFERROR(A1409&amp;"|"&amp;(27+4*(IFERROR(MATCH(C1409,Roster!$B$6:$B$65,0),MATCH(C1409,Roster!$C$6:$C$65,0))-1)+MATCH(B1409,{"AM","PM","NIGHT","WD"},0)-1),""))</f>
        <v/>
      </c>
    </row>
    <row r="1410">
      <c r="A1410" s="122" t="n"/>
      <c r="B1410" s="107" t="n"/>
      <c r="C1410" s="105" t="n"/>
      <c r="D1410" s="92">
        <f>IF(C1410="","",IFERROR(INDEX(Roster!$C$6:$C$65,IFERROR(MATCH(C1410,Roster!$B$6:$B$65,0),MATCH(C1410,Roster!$C$6:$C$65,0))),"not on the Roster"))</f>
        <v/>
      </c>
      <c r="E1410" s="106" t="n"/>
      <c r="F1410" s="104">
        <f>IF(OR(A1410="",C1410="",B1410=""),"",IFERROR(INDEX(CHOOSE(IF(YEAR(A1410)&gt;PlanYear,13,MONTH(A1410)),'Jan'!$D$27:$AH$266,'Feb'!$D$27:$AH$266,'Mar'!$D$27:$AH$266,'Apr'!$D$27:$AH$266,'May'!$D$27:$AH$266,'Jun'!$D$27:$AH$266,'Jul'!$D$27:$AH$266,'Aug'!$D$27:$AH$266,'Sep'!$D$27:$AH$266,'Oct'!$D$27:$AH$266,'Nov'!$D$27:$AH$266,'Dec'!$D$27:$AH$266,'Jan (next year)'!$D$27:$AH$266),27+4*(IFERROR(MATCH(C1410,Roster!$B$6:$B$65,0),MATCH(C1410,Roster!$C$6:$C$65,0))-1)+MATCH(B1410,{"AM","PM","NIGHT","WD"},0)-1-27+1,DAY(A1410))&amp;"",""))</f>
        <v/>
      </c>
      <c r="G1410" s="123">
        <f>IF(OR(A1410="",C1410="",B1410="",E1410=""),"",IFERROR(A1410&amp;"|"&amp;(27+4*(IFERROR(MATCH(C1410,Roster!$B$6:$B$65,0),MATCH(C1410,Roster!$C$6:$C$65,0))-1)+MATCH(B1410,{"AM","PM","NIGHT","WD"},0)-1),""))</f>
        <v/>
      </c>
    </row>
    <row r="1411">
      <c r="A1411" s="122" t="n"/>
      <c r="B1411" s="107" t="n"/>
      <c r="C1411" s="105" t="n"/>
      <c r="D1411" s="92">
        <f>IF(C1411="","",IFERROR(INDEX(Roster!$C$6:$C$65,IFERROR(MATCH(C1411,Roster!$B$6:$B$65,0),MATCH(C1411,Roster!$C$6:$C$65,0))),"not on the Roster"))</f>
        <v/>
      </c>
      <c r="E1411" s="106" t="n"/>
      <c r="F1411" s="104">
        <f>IF(OR(A1411="",C1411="",B1411=""),"",IFERROR(INDEX(CHOOSE(IF(YEAR(A1411)&gt;PlanYear,13,MONTH(A1411)),'Jan'!$D$27:$AH$266,'Feb'!$D$27:$AH$266,'Mar'!$D$27:$AH$266,'Apr'!$D$27:$AH$266,'May'!$D$27:$AH$266,'Jun'!$D$27:$AH$266,'Jul'!$D$27:$AH$266,'Aug'!$D$27:$AH$266,'Sep'!$D$27:$AH$266,'Oct'!$D$27:$AH$266,'Nov'!$D$27:$AH$266,'Dec'!$D$27:$AH$266,'Jan (next year)'!$D$27:$AH$266),27+4*(IFERROR(MATCH(C1411,Roster!$B$6:$B$65,0),MATCH(C1411,Roster!$C$6:$C$65,0))-1)+MATCH(B1411,{"AM","PM","NIGHT","WD"},0)-1-27+1,DAY(A1411))&amp;"",""))</f>
        <v/>
      </c>
      <c r="G1411" s="123">
        <f>IF(OR(A1411="",C1411="",B1411="",E1411=""),"",IFERROR(A1411&amp;"|"&amp;(27+4*(IFERROR(MATCH(C1411,Roster!$B$6:$B$65,0),MATCH(C1411,Roster!$C$6:$C$65,0))-1)+MATCH(B1411,{"AM","PM","NIGHT","WD"},0)-1),""))</f>
        <v/>
      </c>
    </row>
    <row r="1412">
      <c r="A1412" s="122" t="n"/>
      <c r="B1412" s="107" t="n"/>
      <c r="C1412" s="105" t="n"/>
      <c r="D1412" s="92">
        <f>IF(C1412="","",IFERROR(INDEX(Roster!$C$6:$C$65,IFERROR(MATCH(C1412,Roster!$B$6:$B$65,0),MATCH(C1412,Roster!$C$6:$C$65,0))),"not on the Roster"))</f>
        <v/>
      </c>
      <c r="E1412" s="106" t="n"/>
      <c r="F1412" s="104">
        <f>IF(OR(A1412="",C1412="",B1412=""),"",IFERROR(INDEX(CHOOSE(IF(YEAR(A1412)&gt;PlanYear,13,MONTH(A1412)),'Jan'!$D$27:$AH$266,'Feb'!$D$27:$AH$266,'Mar'!$D$27:$AH$266,'Apr'!$D$27:$AH$266,'May'!$D$27:$AH$266,'Jun'!$D$27:$AH$266,'Jul'!$D$27:$AH$266,'Aug'!$D$27:$AH$266,'Sep'!$D$27:$AH$266,'Oct'!$D$27:$AH$266,'Nov'!$D$27:$AH$266,'Dec'!$D$27:$AH$266,'Jan (next year)'!$D$27:$AH$266),27+4*(IFERROR(MATCH(C1412,Roster!$B$6:$B$65,0),MATCH(C1412,Roster!$C$6:$C$65,0))-1)+MATCH(B1412,{"AM","PM","NIGHT","WD"},0)-1-27+1,DAY(A1412))&amp;"",""))</f>
        <v/>
      </c>
      <c r="G1412" s="123">
        <f>IF(OR(A1412="",C1412="",B1412="",E1412=""),"",IFERROR(A1412&amp;"|"&amp;(27+4*(IFERROR(MATCH(C1412,Roster!$B$6:$B$65,0),MATCH(C1412,Roster!$C$6:$C$65,0))-1)+MATCH(B1412,{"AM","PM","NIGHT","WD"},0)-1),""))</f>
        <v/>
      </c>
    </row>
    <row r="1413">
      <c r="A1413" s="122" t="n"/>
      <c r="B1413" s="107" t="n"/>
      <c r="C1413" s="105" t="n"/>
      <c r="D1413" s="92">
        <f>IF(C1413="","",IFERROR(INDEX(Roster!$C$6:$C$65,IFERROR(MATCH(C1413,Roster!$B$6:$B$65,0),MATCH(C1413,Roster!$C$6:$C$65,0))),"not on the Roster"))</f>
        <v/>
      </c>
      <c r="E1413" s="106" t="n"/>
      <c r="F1413" s="104">
        <f>IF(OR(A1413="",C1413="",B1413=""),"",IFERROR(INDEX(CHOOSE(IF(YEAR(A1413)&gt;PlanYear,13,MONTH(A1413)),'Jan'!$D$27:$AH$266,'Feb'!$D$27:$AH$266,'Mar'!$D$27:$AH$266,'Apr'!$D$27:$AH$266,'May'!$D$27:$AH$266,'Jun'!$D$27:$AH$266,'Jul'!$D$27:$AH$266,'Aug'!$D$27:$AH$266,'Sep'!$D$27:$AH$266,'Oct'!$D$27:$AH$266,'Nov'!$D$27:$AH$266,'Dec'!$D$27:$AH$266,'Jan (next year)'!$D$27:$AH$266),27+4*(IFERROR(MATCH(C1413,Roster!$B$6:$B$65,0),MATCH(C1413,Roster!$C$6:$C$65,0))-1)+MATCH(B1413,{"AM","PM","NIGHT","WD"},0)-1-27+1,DAY(A1413))&amp;"",""))</f>
        <v/>
      </c>
      <c r="G1413" s="123">
        <f>IF(OR(A1413="",C1413="",B1413="",E1413=""),"",IFERROR(A1413&amp;"|"&amp;(27+4*(IFERROR(MATCH(C1413,Roster!$B$6:$B$65,0),MATCH(C1413,Roster!$C$6:$C$65,0))-1)+MATCH(B1413,{"AM","PM","NIGHT","WD"},0)-1),""))</f>
        <v/>
      </c>
    </row>
    <row r="1414">
      <c r="A1414" s="122" t="n"/>
      <c r="B1414" s="107" t="n"/>
      <c r="C1414" s="105" t="n"/>
      <c r="D1414" s="92">
        <f>IF(C1414="","",IFERROR(INDEX(Roster!$C$6:$C$65,IFERROR(MATCH(C1414,Roster!$B$6:$B$65,0),MATCH(C1414,Roster!$C$6:$C$65,0))),"not on the Roster"))</f>
        <v/>
      </c>
      <c r="E1414" s="106" t="n"/>
      <c r="F1414" s="104">
        <f>IF(OR(A1414="",C1414="",B1414=""),"",IFERROR(INDEX(CHOOSE(IF(YEAR(A1414)&gt;PlanYear,13,MONTH(A1414)),'Jan'!$D$27:$AH$266,'Feb'!$D$27:$AH$266,'Mar'!$D$27:$AH$266,'Apr'!$D$27:$AH$266,'May'!$D$27:$AH$266,'Jun'!$D$27:$AH$266,'Jul'!$D$27:$AH$266,'Aug'!$D$27:$AH$266,'Sep'!$D$27:$AH$266,'Oct'!$D$27:$AH$266,'Nov'!$D$27:$AH$266,'Dec'!$D$27:$AH$266,'Jan (next year)'!$D$27:$AH$266),27+4*(IFERROR(MATCH(C1414,Roster!$B$6:$B$65,0),MATCH(C1414,Roster!$C$6:$C$65,0))-1)+MATCH(B1414,{"AM","PM","NIGHT","WD"},0)-1-27+1,DAY(A1414))&amp;"",""))</f>
        <v/>
      </c>
      <c r="G1414" s="123">
        <f>IF(OR(A1414="",C1414="",B1414="",E1414=""),"",IFERROR(A1414&amp;"|"&amp;(27+4*(IFERROR(MATCH(C1414,Roster!$B$6:$B$65,0),MATCH(C1414,Roster!$C$6:$C$65,0))-1)+MATCH(B1414,{"AM","PM","NIGHT","WD"},0)-1),""))</f>
        <v/>
      </c>
    </row>
    <row r="1415">
      <c r="A1415" s="122" t="n"/>
      <c r="B1415" s="107" t="n"/>
      <c r="C1415" s="105" t="n"/>
      <c r="D1415" s="92">
        <f>IF(C1415="","",IFERROR(INDEX(Roster!$C$6:$C$65,IFERROR(MATCH(C1415,Roster!$B$6:$B$65,0),MATCH(C1415,Roster!$C$6:$C$65,0))),"not on the Roster"))</f>
        <v/>
      </c>
      <c r="E1415" s="106" t="n"/>
      <c r="F1415" s="104">
        <f>IF(OR(A1415="",C1415="",B1415=""),"",IFERROR(INDEX(CHOOSE(IF(YEAR(A1415)&gt;PlanYear,13,MONTH(A1415)),'Jan'!$D$27:$AH$266,'Feb'!$D$27:$AH$266,'Mar'!$D$27:$AH$266,'Apr'!$D$27:$AH$266,'May'!$D$27:$AH$266,'Jun'!$D$27:$AH$266,'Jul'!$D$27:$AH$266,'Aug'!$D$27:$AH$266,'Sep'!$D$27:$AH$266,'Oct'!$D$27:$AH$266,'Nov'!$D$27:$AH$266,'Dec'!$D$27:$AH$266,'Jan (next year)'!$D$27:$AH$266),27+4*(IFERROR(MATCH(C1415,Roster!$B$6:$B$65,0),MATCH(C1415,Roster!$C$6:$C$65,0))-1)+MATCH(B1415,{"AM","PM","NIGHT","WD"},0)-1-27+1,DAY(A1415))&amp;"",""))</f>
        <v/>
      </c>
      <c r="G1415" s="123">
        <f>IF(OR(A1415="",C1415="",B1415="",E1415=""),"",IFERROR(A1415&amp;"|"&amp;(27+4*(IFERROR(MATCH(C1415,Roster!$B$6:$B$65,0),MATCH(C1415,Roster!$C$6:$C$65,0))-1)+MATCH(B1415,{"AM","PM","NIGHT","WD"},0)-1),""))</f>
        <v/>
      </c>
    </row>
    <row r="1416">
      <c r="A1416" s="122" t="n"/>
      <c r="B1416" s="107" t="n"/>
      <c r="C1416" s="105" t="n"/>
      <c r="D1416" s="92">
        <f>IF(C1416="","",IFERROR(INDEX(Roster!$C$6:$C$65,IFERROR(MATCH(C1416,Roster!$B$6:$B$65,0),MATCH(C1416,Roster!$C$6:$C$65,0))),"not on the Roster"))</f>
        <v/>
      </c>
      <c r="E1416" s="106" t="n"/>
      <c r="F1416" s="104">
        <f>IF(OR(A1416="",C1416="",B1416=""),"",IFERROR(INDEX(CHOOSE(IF(YEAR(A1416)&gt;PlanYear,13,MONTH(A1416)),'Jan'!$D$27:$AH$266,'Feb'!$D$27:$AH$266,'Mar'!$D$27:$AH$266,'Apr'!$D$27:$AH$266,'May'!$D$27:$AH$266,'Jun'!$D$27:$AH$266,'Jul'!$D$27:$AH$266,'Aug'!$D$27:$AH$266,'Sep'!$D$27:$AH$266,'Oct'!$D$27:$AH$266,'Nov'!$D$27:$AH$266,'Dec'!$D$27:$AH$266,'Jan (next year)'!$D$27:$AH$266),27+4*(IFERROR(MATCH(C1416,Roster!$B$6:$B$65,0),MATCH(C1416,Roster!$C$6:$C$65,0))-1)+MATCH(B1416,{"AM","PM","NIGHT","WD"},0)-1-27+1,DAY(A1416))&amp;"",""))</f>
        <v/>
      </c>
      <c r="G1416" s="123">
        <f>IF(OR(A1416="",C1416="",B1416="",E1416=""),"",IFERROR(A1416&amp;"|"&amp;(27+4*(IFERROR(MATCH(C1416,Roster!$B$6:$B$65,0),MATCH(C1416,Roster!$C$6:$C$65,0))-1)+MATCH(B1416,{"AM","PM","NIGHT","WD"},0)-1),""))</f>
        <v/>
      </c>
    </row>
    <row r="1417">
      <c r="A1417" s="122" t="n"/>
      <c r="B1417" s="107" t="n"/>
      <c r="C1417" s="105" t="n"/>
      <c r="D1417" s="92">
        <f>IF(C1417="","",IFERROR(INDEX(Roster!$C$6:$C$65,IFERROR(MATCH(C1417,Roster!$B$6:$B$65,0),MATCH(C1417,Roster!$C$6:$C$65,0))),"not on the Roster"))</f>
        <v/>
      </c>
      <c r="E1417" s="106" t="n"/>
      <c r="F1417" s="104">
        <f>IF(OR(A1417="",C1417="",B1417=""),"",IFERROR(INDEX(CHOOSE(IF(YEAR(A1417)&gt;PlanYear,13,MONTH(A1417)),'Jan'!$D$27:$AH$266,'Feb'!$D$27:$AH$266,'Mar'!$D$27:$AH$266,'Apr'!$D$27:$AH$266,'May'!$D$27:$AH$266,'Jun'!$D$27:$AH$266,'Jul'!$D$27:$AH$266,'Aug'!$D$27:$AH$266,'Sep'!$D$27:$AH$266,'Oct'!$D$27:$AH$266,'Nov'!$D$27:$AH$266,'Dec'!$D$27:$AH$266,'Jan (next year)'!$D$27:$AH$266),27+4*(IFERROR(MATCH(C1417,Roster!$B$6:$B$65,0),MATCH(C1417,Roster!$C$6:$C$65,0))-1)+MATCH(B1417,{"AM","PM","NIGHT","WD"},0)-1-27+1,DAY(A1417))&amp;"",""))</f>
        <v/>
      </c>
      <c r="G1417" s="123">
        <f>IF(OR(A1417="",C1417="",B1417="",E1417=""),"",IFERROR(A1417&amp;"|"&amp;(27+4*(IFERROR(MATCH(C1417,Roster!$B$6:$B$65,0),MATCH(C1417,Roster!$C$6:$C$65,0))-1)+MATCH(B1417,{"AM","PM","NIGHT","WD"},0)-1),""))</f>
        <v/>
      </c>
    </row>
    <row r="1418">
      <c r="A1418" s="122" t="n"/>
      <c r="B1418" s="107" t="n"/>
      <c r="C1418" s="105" t="n"/>
      <c r="D1418" s="92">
        <f>IF(C1418="","",IFERROR(INDEX(Roster!$C$6:$C$65,IFERROR(MATCH(C1418,Roster!$B$6:$B$65,0),MATCH(C1418,Roster!$C$6:$C$65,0))),"not on the Roster"))</f>
        <v/>
      </c>
      <c r="E1418" s="106" t="n"/>
      <c r="F1418" s="104">
        <f>IF(OR(A1418="",C1418="",B1418=""),"",IFERROR(INDEX(CHOOSE(IF(YEAR(A1418)&gt;PlanYear,13,MONTH(A1418)),'Jan'!$D$27:$AH$266,'Feb'!$D$27:$AH$266,'Mar'!$D$27:$AH$266,'Apr'!$D$27:$AH$266,'May'!$D$27:$AH$266,'Jun'!$D$27:$AH$266,'Jul'!$D$27:$AH$266,'Aug'!$D$27:$AH$266,'Sep'!$D$27:$AH$266,'Oct'!$D$27:$AH$266,'Nov'!$D$27:$AH$266,'Dec'!$D$27:$AH$266,'Jan (next year)'!$D$27:$AH$266),27+4*(IFERROR(MATCH(C1418,Roster!$B$6:$B$65,0),MATCH(C1418,Roster!$C$6:$C$65,0))-1)+MATCH(B1418,{"AM","PM","NIGHT","WD"},0)-1-27+1,DAY(A1418))&amp;"",""))</f>
        <v/>
      </c>
      <c r="G1418" s="123">
        <f>IF(OR(A1418="",C1418="",B1418="",E1418=""),"",IFERROR(A1418&amp;"|"&amp;(27+4*(IFERROR(MATCH(C1418,Roster!$B$6:$B$65,0),MATCH(C1418,Roster!$C$6:$C$65,0))-1)+MATCH(B1418,{"AM","PM","NIGHT","WD"},0)-1),""))</f>
        <v/>
      </c>
    </row>
    <row r="1419">
      <c r="A1419" s="122" t="n"/>
      <c r="B1419" s="107" t="n"/>
      <c r="C1419" s="105" t="n"/>
      <c r="D1419" s="92">
        <f>IF(C1419="","",IFERROR(INDEX(Roster!$C$6:$C$65,IFERROR(MATCH(C1419,Roster!$B$6:$B$65,0),MATCH(C1419,Roster!$C$6:$C$65,0))),"not on the Roster"))</f>
        <v/>
      </c>
      <c r="E1419" s="106" t="n"/>
      <c r="F1419" s="104">
        <f>IF(OR(A1419="",C1419="",B1419=""),"",IFERROR(INDEX(CHOOSE(IF(YEAR(A1419)&gt;PlanYear,13,MONTH(A1419)),'Jan'!$D$27:$AH$266,'Feb'!$D$27:$AH$266,'Mar'!$D$27:$AH$266,'Apr'!$D$27:$AH$266,'May'!$D$27:$AH$266,'Jun'!$D$27:$AH$266,'Jul'!$D$27:$AH$266,'Aug'!$D$27:$AH$266,'Sep'!$D$27:$AH$266,'Oct'!$D$27:$AH$266,'Nov'!$D$27:$AH$266,'Dec'!$D$27:$AH$266,'Jan (next year)'!$D$27:$AH$266),27+4*(IFERROR(MATCH(C1419,Roster!$B$6:$B$65,0),MATCH(C1419,Roster!$C$6:$C$65,0))-1)+MATCH(B1419,{"AM","PM","NIGHT","WD"},0)-1-27+1,DAY(A1419))&amp;"",""))</f>
        <v/>
      </c>
      <c r="G1419" s="123">
        <f>IF(OR(A1419="",C1419="",B1419="",E1419=""),"",IFERROR(A1419&amp;"|"&amp;(27+4*(IFERROR(MATCH(C1419,Roster!$B$6:$B$65,0),MATCH(C1419,Roster!$C$6:$C$65,0))-1)+MATCH(B1419,{"AM","PM","NIGHT","WD"},0)-1),""))</f>
        <v/>
      </c>
    </row>
    <row r="1420">
      <c r="A1420" s="122" t="n"/>
      <c r="B1420" s="107" t="n"/>
      <c r="C1420" s="105" t="n"/>
      <c r="D1420" s="92">
        <f>IF(C1420="","",IFERROR(INDEX(Roster!$C$6:$C$65,IFERROR(MATCH(C1420,Roster!$B$6:$B$65,0),MATCH(C1420,Roster!$C$6:$C$65,0))),"not on the Roster"))</f>
        <v/>
      </c>
      <c r="E1420" s="106" t="n"/>
      <c r="F1420" s="104">
        <f>IF(OR(A1420="",C1420="",B1420=""),"",IFERROR(INDEX(CHOOSE(IF(YEAR(A1420)&gt;PlanYear,13,MONTH(A1420)),'Jan'!$D$27:$AH$266,'Feb'!$D$27:$AH$266,'Mar'!$D$27:$AH$266,'Apr'!$D$27:$AH$266,'May'!$D$27:$AH$266,'Jun'!$D$27:$AH$266,'Jul'!$D$27:$AH$266,'Aug'!$D$27:$AH$266,'Sep'!$D$27:$AH$266,'Oct'!$D$27:$AH$266,'Nov'!$D$27:$AH$266,'Dec'!$D$27:$AH$266,'Jan (next year)'!$D$27:$AH$266),27+4*(IFERROR(MATCH(C1420,Roster!$B$6:$B$65,0),MATCH(C1420,Roster!$C$6:$C$65,0))-1)+MATCH(B1420,{"AM","PM","NIGHT","WD"},0)-1-27+1,DAY(A1420))&amp;"",""))</f>
        <v/>
      </c>
      <c r="G1420" s="123">
        <f>IF(OR(A1420="",C1420="",B1420="",E1420=""),"",IFERROR(A1420&amp;"|"&amp;(27+4*(IFERROR(MATCH(C1420,Roster!$B$6:$B$65,0),MATCH(C1420,Roster!$C$6:$C$65,0))-1)+MATCH(B1420,{"AM","PM","NIGHT","WD"},0)-1),""))</f>
        <v/>
      </c>
    </row>
    <row r="1421">
      <c r="A1421" s="122" t="n"/>
      <c r="B1421" s="107" t="n"/>
      <c r="C1421" s="105" t="n"/>
      <c r="D1421" s="92">
        <f>IF(C1421="","",IFERROR(INDEX(Roster!$C$6:$C$65,IFERROR(MATCH(C1421,Roster!$B$6:$B$65,0),MATCH(C1421,Roster!$C$6:$C$65,0))),"not on the Roster"))</f>
        <v/>
      </c>
      <c r="E1421" s="106" t="n"/>
      <c r="F1421" s="104">
        <f>IF(OR(A1421="",C1421="",B1421=""),"",IFERROR(INDEX(CHOOSE(IF(YEAR(A1421)&gt;PlanYear,13,MONTH(A1421)),'Jan'!$D$27:$AH$266,'Feb'!$D$27:$AH$266,'Mar'!$D$27:$AH$266,'Apr'!$D$27:$AH$266,'May'!$D$27:$AH$266,'Jun'!$D$27:$AH$266,'Jul'!$D$27:$AH$266,'Aug'!$D$27:$AH$266,'Sep'!$D$27:$AH$266,'Oct'!$D$27:$AH$266,'Nov'!$D$27:$AH$266,'Dec'!$D$27:$AH$266,'Jan (next year)'!$D$27:$AH$266),27+4*(IFERROR(MATCH(C1421,Roster!$B$6:$B$65,0),MATCH(C1421,Roster!$C$6:$C$65,0))-1)+MATCH(B1421,{"AM","PM","NIGHT","WD"},0)-1-27+1,DAY(A1421))&amp;"",""))</f>
        <v/>
      </c>
      <c r="G1421" s="123">
        <f>IF(OR(A1421="",C1421="",B1421="",E1421=""),"",IFERROR(A1421&amp;"|"&amp;(27+4*(IFERROR(MATCH(C1421,Roster!$B$6:$B$65,0),MATCH(C1421,Roster!$C$6:$C$65,0))-1)+MATCH(B1421,{"AM","PM","NIGHT","WD"},0)-1),""))</f>
        <v/>
      </c>
    </row>
    <row r="1422">
      <c r="A1422" s="122" t="n"/>
      <c r="B1422" s="107" t="n"/>
      <c r="C1422" s="105" t="n"/>
      <c r="D1422" s="92">
        <f>IF(C1422="","",IFERROR(INDEX(Roster!$C$6:$C$65,IFERROR(MATCH(C1422,Roster!$B$6:$B$65,0),MATCH(C1422,Roster!$C$6:$C$65,0))),"not on the Roster"))</f>
        <v/>
      </c>
      <c r="E1422" s="106" t="n"/>
      <c r="F1422" s="104">
        <f>IF(OR(A1422="",C1422="",B1422=""),"",IFERROR(INDEX(CHOOSE(IF(YEAR(A1422)&gt;PlanYear,13,MONTH(A1422)),'Jan'!$D$27:$AH$266,'Feb'!$D$27:$AH$266,'Mar'!$D$27:$AH$266,'Apr'!$D$27:$AH$266,'May'!$D$27:$AH$266,'Jun'!$D$27:$AH$266,'Jul'!$D$27:$AH$266,'Aug'!$D$27:$AH$266,'Sep'!$D$27:$AH$266,'Oct'!$D$27:$AH$266,'Nov'!$D$27:$AH$266,'Dec'!$D$27:$AH$266,'Jan (next year)'!$D$27:$AH$266),27+4*(IFERROR(MATCH(C1422,Roster!$B$6:$B$65,0),MATCH(C1422,Roster!$C$6:$C$65,0))-1)+MATCH(B1422,{"AM","PM","NIGHT","WD"},0)-1-27+1,DAY(A1422))&amp;"",""))</f>
        <v/>
      </c>
      <c r="G1422" s="123">
        <f>IF(OR(A1422="",C1422="",B1422="",E1422=""),"",IFERROR(A1422&amp;"|"&amp;(27+4*(IFERROR(MATCH(C1422,Roster!$B$6:$B$65,0),MATCH(C1422,Roster!$C$6:$C$65,0))-1)+MATCH(B1422,{"AM","PM","NIGHT","WD"},0)-1),""))</f>
        <v/>
      </c>
    </row>
    <row r="1423">
      <c r="A1423" s="122" t="n"/>
      <c r="B1423" s="107" t="n"/>
      <c r="C1423" s="105" t="n"/>
      <c r="D1423" s="92">
        <f>IF(C1423="","",IFERROR(INDEX(Roster!$C$6:$C$65,IFERROR(MATCH(C1423,Roster!$B$6:$B$65,0),MATCH(C1423,Roster!$C$6:$C$65,0))),"not on the Roster"))</f>
        <v/>
      </c>
      <c r="E1423" s="106" t="n"/>
      <c r="F1423" s="104">
        <f>IF(OR(A1423="",C1423="",B1423=""),"",IFERROR(INDEX(CHOOSE(IF(YEAR(A1423)&gt;PlanYear,13,MONTH(A1423)),'Jan'!$D$27:$AH$266,'Feb'!$D$27:$AH$266,'Mar'!$D$27:$AH$266,'Apr'!$D$27:$AH$266,'May'!$D$27:$AH$266,'Jun'!$D$27:$AH$266,'Jul'!$D$27:$AH$266,'Aug'!$D$27:$AH$266,'Sep'!$D$27:$AH$266,'Oct'!$D$27:$AH$266,'Nov'!$D$27:$AH$266,'Dec'!$D$27:$AH$266,'Jan (next year)'!$D$27:$AH$266),27+4*(IFERROR(MATCH(C1423,Roster!$B$6:$B$65,0),MATCH(C1423,Roster!$C$6:$C$65,0))-1)+MATCH(B1423,{"AM","PM","NIGHT","WD"},0)-1-27+1,DAY(A1423))&amp;"",""))</f>
        <v/>
      </c>
      <c r="G1423" s="123">
        <f>IF(OR(A1423="",C1423="",B1423="",E1423=""),"",IFERROR(A1423&amp;"|"&amp;(27+4*(IFERROR(MATCH(C1423,Roster!$B$6:$B$65,0),MATCH(C1423,Roster!$C$6:$C$65,0))-1)+MATCH(B1423,{"AM","PM","NIGHT","WD"},0)-1),""))</f>
        <v/>
      </c>
    </row>
    <row r="1424">
      <c r="A1424" s="122" t="n"/>
      <c r="B1424" s="107" t="n"/>
      <c r="C1424" s="105" t="n"/>
      <c r="D1424" s="92">
        <f>IF(C1424="","",IFERROR(INDEX(Roster!$C$6:$C$65,IFERROR(MATCH(C1424,Roster!$B$6:$B$65,0),MATCH(C1424,Roster!$C$6:$C$65,0))),"not on the Roster"))</f>
        <v/>
      </c>
      <c r="E1424" s="106" t="n"/>
      <c r="F1424" s="104">
        <f>IF(OR(A1424="",C1424="",B1424=""),"",IFERROR(INDEX(CHOOSE(IF(YEAR(A1424)&gt;PlanYear,13,MONTH(A1424)),'Jan'!$D$27:$AH$266,'Feb'!$D$27:$AH$266,'Mar'!$D$27:$AH$266,'Apr'!$D$27:$AH$266,'May'!$D$27:$AH$266,'Jun'!$D$27:$AH$266,'Jul'!$D$27:$AH$266,'Aug'!$D$27:$AH$266,'Sep'!$D$27:$AH$266,'Oct'!$D$27:$AH$266,'Nov'!$D$27:$AH$266,'Dec'!$D$27:$AH$266,'Jan (next year)'!$D$27:$AH$266),27+4*(IFERROR(MATCH(C1424,Roster!$B$6:$B$65,0),MATCH(C1424,Roster!$C$6:$C$65,0))-1)+MATCH(B1424,{"AM","PM","NIGHT","WD"},0)-1-27+1,DAY(A1424))&amp;"",""))</f>
        <v/>
      </c>
      <c r="G1424" s="123">
        <f>IF(OR(A1424="",C1424="",B1424="",E1424=""),"",IFERROR(A1424&amp;"|"&amp;(27+4*(IFERROR(MATCH(C1424,Roster!$B$6:$B$65,0),MATCH(C1424,Roster!$C$6:$C$65,0))-1)+MATCH(B1424,{"AM","PM","NIGHT","WD"},0)-1),""))</f>
        <v/>
      </c>
    </row>
    <row r="1425">
      <c r="A1425" s="122" t="n"/>
      <c r="B1425" s="107" t="n"/>
      <c r="C1425" s="105" t="n"/>
      <c r="D1425" s="92">
        <f>IF(C1425="","",IFERROR(INDEX(Roster!$C$6:$C$65,IFERROR(MATCH(C1425,Roster!$B$6:$B$65,0),MATCH(C1425,Roster!$C$6:$C$65,0))),"not on the Roster"))</f>
        <v/>
      </c>
      <c r="E1425" s="106" t="n"/>
      <c r="F1425" s="104">
        <f>IF(OR(A1425="",C1425="",B1425=""),"",IFERROR(INDEX(CHOOSE(IF(YEAR(A1425)&gt;PlanYear,13,MONTH(A1425)),'Jan'!$D$27:$AH$266,'Feb'!$D$27:$AH$266,'Mar'!$D$27:$AH$266,'Apr'!$D$27:$AH$266,'May'!$D$27:$AH$266,'Jun'!$D$27:$AH$266,'Jul'!$D$27:$AH$266,'Aug'!$D$27:$AH$266,'Sep'!$D$27:$AH$266,'Oct'!$D$27:$AH$266,'Nov'!$D$27:$AH$266,'Dec'!$D$27:$AH$266,'Jan (next year)'!$D$27:$AH$266),27+4*(IFERROR(MATCH(C1425,Roster!$B$6:$B$65,0),MATCH(C1425,Roster!$C$6:$C$65,0))-1)+MATCH(B1425,{"AM","PM","NIGHT","WD"},0)-1-27+1,DAY(A1425))&amp;"",""))</f>
        <v/>
      </c>
      <c r="G1425" s="123">
        <f>IF(OR(A1425="",C1425="",B1425="",E1425=""),"",IFERROR(A1425&amp;"|"&amp;(27+4*(IFERROR(MATCH(C1425,Roster!$B$6:$B$65,0),MATCH(C1425,Roster!$C$6:$C$65,0))-1)+MATCH(B1425,{"AM","PM","NIGHT","WD"},0)-1),""))</f>
        <v/>
      </c>
    </row>
    <row r="1426">
      <c r="A1426" s="122" t="n"/>
      <c r="B1426" s="107" t="n"/>
      <c r="C1426" s="105" t="n"/>
      <c r="D1426" s="92">
        <f>IF(C1426="","",IFERROR(INDEX(Roster!$C$6:$C$65,IFERROR(MATCH(C1426,Roster!$B$6:$B$65,0),MATCH(C1426,Roster!$C$6:$C$65,0))),"not on the Roster"))</f>
        <v/>
      </c>
      <c r="E1426" s="106" t="n"/>
      <c r="F1426" s="104">
        <f>IF(OR(A1426="",C1426="",B1426=""),"",IFERROR(INDEX(CHOOSE(IF(YEAR(A1426)&gt;PlanYear,13,MONTH(A1426)),'Jan'!$D$27:$AH$266,'Feb'!$D$27:$AH$266,'Mar'!$D$27:$AH$266,'Apr'!$D$27:$AH$266,'May'!$D$27:$AH$266,'Jun'!$D$27:$AH$266,'Jul'!$D$27:$AH$266,'Aug'!$D$27:$AH$266,'Sep'!$D$27:$AH$266,'Oct'!$D$27:$AH$266,'Nov'!$D$27:$AH$266,'Dec'!$D$27:$AH$266,'Jan (next year)'!$D$27:$AH$266),27+4*(IFERROR(MATCH(C1426,Roster!$B$6:$B$65,0),MATCH(C1426,Roster!$C$6:$C$65,0))-1)+MATCH(B1426,{"AM","PM","NIGHT","WD"},0)-1-27+1,DAY(A1426))&amp;"",""))</f>
        <v/>
      </c>
      <c r="G1426" s="123">
        <f>IF(OR(A1426="",C1426="",B1426="",E1426=""),"",IFERROR(A1426&amp;"|"&amp;(27+4*(IFERROR(MATCH(C1426,Roster!$B$6:$B$65,0),MATCH(C1426,Roster!$C$6:$C$65,0))-1)+MATCH(B1426,{"AM","PM","NIGHT","WD"},0)-1),""))</f>
        <v/>
      </c>
    </row>
    <row r="1427">
      <c r="A1427" s="122" t="n"/>
      <c r="B1427" s="107" t="n"/>
      <c r="C1427" s="105" t="n"/>
      <c r="D1427" s="92">
        <f>IF(C1427="","",IFERROR(INDEX(Roster!$C$6:$C$65,IFERROR(MATCH(C1427,Roster!$B$6:$B$65,0),MATCH(C1427,Roster!$C$6:$C$65,0))),"not on the Roster"))</f>
        <v/>
      </c>
      <c r="E1427" s="106" t="n"/>
      <c r="F1427" s="104">
        <f>IF(OR(A1427="",C1427="",B1427=""),"",IFERROR(INDEX(CHOOSE(IF(YEAR(A1427)&gt;PlanYear,13,MONTH(A1427)),'Jan'!$D$27:$AH$266,'Feb'!$D$27:$AH$266,'Mar'!$D$27:$AH$266,'Apr'!$D$27:$AH$266,'May'!$D$27:$AH$266,'Jun'!$D$27:$AH$266,'Jul'!$D$27:$AH$266,'Aug'!$D$27:$AH$266,'Sep'!$D$27:$AH$266,'Oct'!$D$27:$AH$266,'Nov'!$D$27:$AH$266,'Dec'!$D$27:$AH$266,'Jan (next year)'!$D$27:$AH$266),27+4*(IFERROR(MATCH(C1427,Roster!$B$6:$B$65,0),MATCH(C1427,Roster!$C$6:$C$65,0))-1)+MATCH(B1427,{"AM","PM","NIGHT","WD"},0)-1-27+1,DAY(A1427))&amp;"",""))</f>
        <v/>
      </c>
      <c r="G1427" s="123">
        <f>IF(OR(A1427="",C1427="",B1427="",E1427=""),"",IFERROR(A1427&amp;"|"&amp;(27+4*(IFERROR(MATCH(C1427,Roster!$B$6:$B$65,0),MATCH(C1427,Roster!$C$6:$C$65,0))-1)+MATCH(B1427,{"AM","PM","NIGHT","WD"},0)-1),""))</f>
        <v/>
      </c>
    </row>
    <row r="1428">
      <c r="A1428" s="122" t="n"/>
      <c r="B1428" s="107" t="n"/>
      <c r="C1428" s="105" t="n"/>
      <c r="D1428" s="92">
        <f>IF(C1428="","",IFERROR(INDEX(Roster!$C$6:$C$65,IFERROR(MATCH(C1428,Roster!$B$6:$B$65,0),MATCH(C1428,Roster!$C$6:$C$65,0))),"not on the Roster"))</f>
        <v/>
      </c>
      <c r="E1428" s="106" t="n"/>
      <c r="F1428" s="104">
        <f>IF(OR(A1428="",C1428="",B1428=""),"",IFERROR(INDEX(CHOOSE(IF(YEAR(A1428)&gt;PlanYear,13,MONTH(A1428)),'Jan'!$D$27:$AH$266,'Feb'!$D$27:$AH$266,'Mar'!$D$27:$AH$266,'Apr'!$D$27:$AH$266,'May'!$D$27:$AH$266,'Jun'!$D$27:$AH$266,'Jul'!$D$27:$AH$266,'Aug'!$D$27:$AH$266,'Sep'!$D$27:$AH$266,'Oct'!$D$27:$AH$266,'Nov'!$D$27:$AH$266,'Dec'!$D$27:$AH$266,'Jan (next year)'!$D$27:$AH$266),27+4*(IFERROR(MATCH(C1428,Roster!$B$6:$B$65,0),MATCH(C1428,Roster!$C$6:$C$65,0))-1)+MATCH(B1428,{"AM","PM","NIGHT","WD"},0)-1-27+1,DAY(A1428))&amp;"",""))</f>
        <v/>
      </c>
      <c r="G1428" s="123">
        <f>IF(OR(A1428="",C1428="",B1428="",E1428=""),"",IFERROR(A1428&amp;"|"&amp;(27+4*(IFERROR(MATCH(C1428,Roster!$B$6:$B$65,0),MATCH(C1428,Roster!$C$6:$C$65,0))-1)+MATCH(B1428,{"AM","PM","NIGHT","WD"},0)-1),""))</f>
        <v/>
      </c>
    </row>
    <row r="1429">
      <c r="A1429" s="122" t="n"/>
      <c r="B1429" s="107" t="n"/>
      <c r="C1429" s="105" t="n"/>
      <c r="D1429" s="92">
        <f>IF(C1429="","",IFERROR(INDEX(Roster!$C$6:$C$65,IFERROR(MATCH(C1429,Roster!$B$6:$B$65,0),MATCH(C1429,Roster!$C$6:$C$65,0))),"not on the Roster"))</f>
        <v/>
      </c>
      <c r="E1429" s="106" t="n"/>
      <c r="F1429" s="104">
        <f>IF(OR(A1429="",C1429="",B1429=""),"",IFERROR(INDEX(CHOOSE(IF(YEAR(A1429)&gt;PlanYear,13,MONTH(A1429)),'Jan'!$D$27:$AH$266,'Feb'!$D$27:$AH$266,'Mar'!$D$27:$AH$266,'Apr'!$D$27:$AH$266,'May'!$D$27:$AH$266,'Jun'!$D$27:$AH$266,'Jul'!$D$27:$AH$266,'Aug'!$D$27:$AH$266,'Sep'!$D$27:$AH$266,'Oct'!$D$27:$AH$266,'Nov'!$D$27:$AH$266,'Dec'!$D$27:$AH$266,'Jan (next year)'!$D$27:$AH$266),27+4*(IFERROR(MATCH(C1429,Roster!$B$6:$B$65,0),MATCH(C1429,Roster!$C$6:$C$65,0))-1)+MATCH(B1429,{"AM","PM","NIGHT","WD"},0)-1-27+1,DAY(A1429))&amp;"",""))</f>
        <v/>
      </c>
      <c r="G1429" s="123">
        <f>IF(OR(A1429="",C1429="",B1429="",E1429=""),"",IFERROR(A1429&amp;"|"&amp;(27+4*(IFERROR(MATCH(C1429,Roster!$B$6:$B$65,0),MATCH(C1429,Roster!$C$6:$C$65,0))-1)+MATCH(B1429,{"AM","PM","NIGHT","WD"},0)-1),""))</f>
        <v/>
      </c>
    </row>
    <row r="1430">
      <c r="A1430" s="122" t="n"/>
      <c r="B1430" s="107" t="n"/>
      <c r="C1430" s="105" t="n"/>
      <c r="D1430" s="92">
        <f>IF(C1430="","",IFERROR(INDEX(Roster!$C$6:$C$65,IFERROR(MATCH(C1430,Roster!$B$6:$B$65,0),MATCH(C1430,Roster!$C$6:$C$65,0))),"not on the Roster"))</f>
        <v/>
      </c>
      <c r="E1430" s="106" t="n"/>
      <c r="F1430" s="104">
        <f>IF(OR(A1430="",C1430="",B1430=""),"",IFERROR(INDEX(CHOOSE(IF(YEAR(A1430)&gt;PlanYear,13,MONTH(A1430)),'Jan'!$D$27:$AH$266,'Feb'!$D$27:$AH$266,'Mar'!$D$27:$AH$266,'Apr'!$D$27:$AH$266,'May'!$D$27:$AH$266,'Jun'!$D$27:$AH$266,'Jul'!$D$27:$AH$266,'Aug'!$D$27:$AH$266,'Sep'!$D$27:$AH$266,'Oct'!$D$27:$AH$266,'Nov'!$D$27:$AH$266,'Dec'!$D$27:$AH$266,'Jan (next year)'!$D$27:$AH$266),27+4*(IFERROR(MATCH(C1430,Roster!$B$6:$B$65,0),MATCH(C1430,Roster!$C$6:$C$65,0))-1)+MATCH(B1430,{"AM","PM","NIGHT","WD"},0)-1-27+1,DAY(A1430))&amp;"",""))</f>
        <v/>
      </c>
      <c r="G1430" s="123">
        <f>IF(OR(A1430="",C1430="",B1430="",E1430=""),"",IFERROR(A1430&amp;"|"&amp;(27+4*(IFERROR(MATCH(C1430,Roster!$B$6:$B$65,0),MATCH(C1430,Roster!$C$6:$C$65,0))-1)+MATCH(B1430,{"AM","PM","NIGHT","WD"},0)-1),""))</f>
        <v/>
      </c>
    </row>
    <row r="1431">
      <c r="A1431" s="122" t="n"/>
      <c r="B1431" s="107" t="n"/>
      <c r="C1431" s="105" t="n"/>
      <c r="D1431" s="92">
        <f>IF(C1431="","",IFERROR(INDEX(Roster!$C$6:$C$65,IFERROR(MATCH(C1431,Roster!$B$6:$B$65,0),MATCH(C1431,Roster!$C$6:$C$65,0))),"not on the Roster"))</f>
        <v/>
      </c>
      <c r="E1431" s="106" t="n"/>
      <c r="F1431" s="104">
        <f>IF(OR(A1431="",C1431="",B1431=""),"",IFERROR(INDEX(CHOOSE(IF(YEAR(A1431)&gt;PlanYear,13,MONTH(A1431)),'Jan'!$D$27:$AH$266,'Feb'!$D$27:$AH$266,'Mar'!$D$27:$AH$266,'Apr'!$D$27:$AH$266,'May'!$D$27:$AH$266,'Jun'!$D$27:$AH$266,'Jul'!$D$27:$AH$266,'Aug'!$D$27:$AH$266,'Sep'!$D$27:$AH$266,'Oct'!$D$27:$AH$266,'Nov'!$D$27:$AH$266,'Dec'!$D$27:$AH$266,'Jan (next year)'!$D$27:$AH$266),27+4*(IFERROR(MATCH(C1431,Roster!$B$6:$B$65,0),MATCH(C1431,Roster!$C$6:$C$65,0))-1)+MATCH(B1431,{"AM","PM","NIGHT","WD"},0)-1-27+1,DAY(A1431))&amp;"",""))</f>
        <v/>
      </c>
      <c r="G1431" s="123">
        <f>IF(OR(A1431="",C1431="",B1431="",E1431=""),"",IFERROR(A1431&amp;"|"&amp;(27+4*(IFERROR(MATCH(C1431,Roster!$B$6:$B$65,0),MATCH(C1431,Roster!$C$6:$C$65,0))-1)+MATCH(B1431,{"AM","PM","NIGHT","WD"},0)-1),""))</f>
        <v/>
      </c>
    </row>
    <row r="1432">
      <c r="A1432" s="122" t="n"/>
      <c r="B1432" s="107" t="n"/>
      <c r="C1432" s="105" t="n"/>
      <c r="D1432" s="92">
        <f>IF(C1432="","",IFERROR(INDEX(Roster!$C$6:$C$65,IFERROR(MATCH(C1432,Roster!$B$6:$B$65,0),MATCH(C1432,Roster!$C$6:$C$65,0))),"not on the Roster"))</f>
        <v/>
      </c>
      <c r="E1432" s="106" t="n"/>
      <c r="F1432" s="104">
        <f>IF(OR(A1432="",C1432="",B1432=""),"",IFERROR(INDEX(CHOOSE(IF(YEAR(A1432)&gt;PlanYear,13,MONTH(A1432)),'Jan'!$D$27:$AH$266,'Feb'!$D$27:$AH$266,'Mar'!$D$27:$AH$266,'Apr'!$D$27:$AH$266,'May'!$D$27:$AH$266,'Jun'!$D$27:$AH$266,'Jul'!$D$27:$AH$266,'Aug'!$D$27:$AH$266,'Sep'!$D$27:$AH$266,'Oct'!$D$27:$AH$266,'Nov'!$D$27:$AH$266,'Dec'!$D$27:$AH$266,'Jan (next year)'!$D$27:$AH$266),27+4*(IFERROR(MATCH(C1432,Roster!$B$6:$B$65,0),MATCH(C1432,Roster!$C$6:$C$65,0))-1)+MATCH(B1432,{"AM","PM","NIGHT","WD"},0)-1-27+1,DAY(A1432))&amp;"",""))</f>
        <v/>
      </c>
      <c r="G1432" s="123">
        <f>IF(OR(A1432="",C1432="",B1432="",E1432=""),"",IFERROR(A1432&amp;"|"&amp;(27+4*(IFERROR(MATCH(C1432,Roster!$B$6:$B$65,0),MATCH(C1432,Roster!$C$6:$C$65,0))-1)+MATCH(B1432,{"AM","PM","NIGHT","WD"},0)-1),""))</f>
        <v/>
      </c>
    </row>
    <row r="1433">
      <c r="A1433" s="122" t="n"/>
      <c r="B1433" s="107" t="n"/>
      <c r="C1433" s="105" t="n"/>
      <c r="D1433" s="92">
        <f>IF(C1433="","",IFERROR(INDEX(Roster!$C$6:$C$65,IFERROR(MATCH(C1433,Roster!$B$6:$B$65,0),MATCH(C1433,Roster!$C$6:$C$65,0))),"not on the Roster"))</f>
        <v/>
      </c>
      <c r="E1433" s="106" t="n"/>
      <c r="F1433" s="104">
        <f>IF(OR(A1433="",C1433="",B1433=""),"",IFERROR(INDEX(CHOOSE(IF(YEAR(A1433)&gt;PlanYear,13,MONTH(A1433)),'Jan'!$D$27:$AH$266,'Feb'!$D$27:$AH$266,'Mar'!$D$27:$AH$266,'Apr'!$D$27:$AH$266,'May'!$D$27:$AH$266,'Jun'!$D$27:$AH$266,'Jul'!$D$27:$AH$266,'Aug'!$D$27:$AH$266,'Sep'!$D$27:$AH$266,'Oct'!$D$27:$AH$266,'Nov'!$D$27:$AH$266,'Dec'!$D$27:$AH$266,'Jan (next year)'!$D$27:$AH$266),27+4*(IFERROR(MATCH(C1433,Roster!$B$6:$B$65,0),MATCH(C1433,Roster!$C$6:$C$65,0))-1)+MATCH(B1433,{"AM","PM","NIGHT","WD"},0)-1-27+1,DAY(A1433))&amp;"",""))</f>
        <v/>
      </c>
      <c r="G1433" s="123">
        <f>IF(OR(A1433="",C1433="",B1433="",E1433=""),"",IFERROR(A1433&amp;"|"&amp;(27+4*(IFERROR(MATCH(C1433,Roster!$B$6:$B$65,0),MATCH(C1433,Roster!$C$6:$C$65,0))-1)+MATCH(B1433,{"AM","PM","NIGHT","WD"},0)-1),""))</f>
        <v/>
      </c>
    </row>
    <row r="1434">
      <c r="A1434" s="122" t="n"/>
      <c r="B1434" s="107" t="n"/>
      <c r="C1434" s="105" t="n"/>
      <c r="D1434" s="92">
        <f>IF(C1434="","",IFERROR(INDEX(Roster!$C$6:$C$65,IFERROR(MATCH(C1434,Roster!$B$6:$B$65,0),MATCH(C1434,Roster!$C$6:$C$65,0))),"not on the Roster"))</f>
        <v/>
      </c>
      <c r="E1434" s="106" t="n"/>
      <c r="F1434" s="104">
        <f>IF(OR(A1434="",C1434="",B1434=""),"",IFERROR(INDEX(CHOOSE(IF(YEAR(A1434)&gt;PlanYear,13,MONTH(A1434)),'Jan'!$D$27:$AH$266,'Feb'!$D$27:$AH$266,'Mar'!$D$27:$AH$266,'Apr'!$D$27:$AH$266,'May'!$D$27:$AH$266,'Jun'!$D$27:$AH$266,'Jul'!$D$27:$AH$266,'Aug'!$D$27:$AH$266,'Sep'!$D$27:$AH$266,'Oct'!$D$27:$AH$266,'Nov'!$D$27:$AH$266,'Dec'!$D$27:$AH$266,'Jan (next year)'!$D$27:$AH$266),27+4*(IFERROR(MATCH(C1434,Roster!$B$6:$B$65,0),MATCH(C1434,Roster!$C$6:$C$65,0))-1)+MATCH(B1434,{"AM","PM","NIGHT","WD"},0)-1-27+1,DAY(A1434))&amp;"",""))</f>
        <v/>
      </c>
      <c r="G1434" s="123">
        <f>IF(OR(A1434="",C1434="",B1434="",E1434=""),"",IFERROR(A1434&amp;"|"&amp;(27+4*(IFERROR(MATCH(C1434,Roster!$B$6:$B$65,0),MATCH(C1434,Roster!$C$6:$C$65,0))-1)+MATCH(B1434,{"AM","PM","NIGHT","WD"},0)-1),""))</f>
        <v/>
      </c>
    </row>
    <row r="1435">
      <c r="A1435" s="122" t="n"/>
      <c r="B1435" s="107" t="n"/>
      <c r="C1435" s="105" t="n"/>
      <c r="D1435" s="92">
        <f>IF(C1435="","",IFERROR(INDEX(Roster!$C$6:$C$65,IFERROR(MATCH(C1435,Roster!$B$6:$B$65,0),MATCH(C1435,Roster!$C$6:$C$65,0))),"not on the Roster"))</f>
        <v/>
      </c>
      <c r="E1435" s="106" t="n"/>
      <c r="F1435" s="104">
        <f>IF(OR(A1435="",C1435="",B1435=""),"",IFERROR(INDEX(CHOOSE(IF(YEAR(A1435)&gt;PlanYear,13,MONTH(A1435)),'Jan'!$D$27:$AH$266,'Feb'!$D$27:$AH$266,'Mar'!$D$27:$AH$266,'Apr'!$D$27:$AH$266,'May'!$D$27:$AH$266,'Jun'!$D$27:$AH$266,'Jul'!$D$27:$AH$266,'Aug'!$D$27:$AH$266,'Sep'!$D$27:$AH$266,'Oct'!$D$27:$AH$266,'Nov'!$D$27:$AH$266,'Dec'!$D$27:$AH$266,'Jan (next year)'!$D$27:$AH$266),27+4*(IFERROR(MATCH(C1435,Roster!$B$6:$B$65,0),MATCH(C1435,Roster!$C$6:$C$65,0))-1)+MATCH(B1435,{"AM","PM","NIGHT","WD"},0)-1-27+1,DAY(A1435))&amp;"",""))</f>
        <v/>
      </c>
      <c r="G1435" s="123">
        <f>IF(OR(A1435="",C1435="",B1435="",E1435=""),"",IFERROR(A1435&amp;"|"&amp;(27+4*(IFERROR(MATCH(C1435,Roster!$B$6:$B$65,0),MATCH(C1435,Roster!$C$6:$C$65,0))-1)+MATCH(B1435,{"AM","PM","NIGHT","WD"},0)-1),""))</f>
        <v/>
      </c>
    </row>
    <row r="1436">
      <c r="A1436" s="122" t="n"/>
      <c r="B1436" s="107" t="n"/>
      <c r="C1436" s="105" t="n"/>
      <c r="D1436" s="92">
        <f>IF(C1436="","",IFERROR(INDEX(Roster!$C$6:$C$65,IFERROR(MATCH(C1436,Roster!$B$6:$B$65,0),MATCH(C1436,Roster!$C$6:$C$65,0))),"not on the Roster"))</f>
        <v/>
      </c>
      <c r="E1436" s="106" t="n"/>
      <c r="F1436" s="104">
        <f>IF(OR(A1436="",C1436="",B1436=""),"",IFERROR(INDEX(CHOOSE(IF(YEAR(A1436)&gt;PlanYear,13,MONTH(A1436)),'Jan'!$D$27:$AH$266,'Feb'!$D$27:$AH$266,'Mar'!$D$27:$AH$266,'Apr'!$D$27:$AH$266,'May'!$D$27:$AH$266,'Jun'!$D$27:$AH$266,'Jul'!$D$27:$AH$266,'Aug'!$D$27:$AH$266,'Sep'!$D$27:$AH$266,'Oct'!$D$27:$AH$266,'Nov'!$D$27:$AH$266,'Dec'!$D$27:$AH$266,'Jan (next year)'!$D$27:$AH$266),27+4*(IFERROR(MATCH(C1436,Roster!$B$6:$B$65,0),MATCH(C1436,Roster!$C$6:$C$65,0))-1)+MATCH(B1436,{"AM","PM","NIGHT","WD"},0)-1-27+1,DAY(A1436))&amp;"",""))</f>
        <v/>
      </c>
      <c r="G1436" s="123">
        <f>IF(OR(A1436="",C1436="",B1436="",E1436=""),"",IFERROR(A1436&amp;"|"&amp;(27+4*(IFERROR(MATCH(C1436,Roster!$B$6:$B$65,0),MATCH(C1436,Roster!$C$6:$C$65,0))-1)+MATCH(B1436,{"AM","PM","NIGHT","WD"},0)-1),""))</f>
        <v/>
      </c>
    </row>
    <row r="1437">
      <c r="A1437" s="122" t="n"/>
      <c r="B1437" s="107" t="n"/>
      <c r="C1437" s="105" t="n"/>
      <c r="D1437" s="92">
        <f>IF(C1437="","",IFERROR(INDEX(Roster!$C$6:$C$65,IFERROR(MATCH(C1437,Roster!$B$6:$B$65,0),MATCH(C1437,Roster!$C$6:$C$65,0))),"not on the Roster"))</f>
        <v/>
      </c>
      <c r="E1437" s="106" t="n"/>
      <c r="F1437" s="104">
        <f>IF(OR(A1437="",C1437="",B1437=""),"",IFERROR(INDEX(CHOOSE(IF(YEAR(A1437)&gt;PlanYear,13,MONTH(A1437)),'Jan'!$D$27:$AH$266,'Feb'!$D$27:$AH$266,'Mar'!$D$27:$AH$266,'Apr'!$D$27:$AH$266,'May'!$D$27:$AH$266,'Jun'!$D$27:$AH$266,'Jul'!$D$27:$AH$266,'Aug'!$D$27:$AH$266,'Sep'!$D$27:$AH$266,'Oct'!$D$27:$AH$266,'Nov'!$D$27:$AH$266,'Dec'!$D$27:$AH$266,'Jan (next year)'!$D$27:$AH$266),27+4*(IFERROR(MATCH(C1437,Roster!$B$6:$B$65,0),MATCH(C1437,Roster!$C$6:$C$65,0))-1)+MATCH(B1437,{"AM","PM","NIGHT","WD"},0)-1-27+1,DAY(A1437))&amp;"",""))</f>
        <v/>
      </c>
      <c r="G1437" s="123">
        <f>IF(OR(A1437="",C1437="",B1437="",E1437=""),"",IFERROR(A1437&amp;"|"&amp;(27+4*(IFERROR(MATCH(C1437,Roster!$B$6:$B$65,0),MATCH(C1437,Roster!$C$6:$C$65,0))-1)+MATCH(B1437,{"AM","PM","NIGHT","WD"},0)-1),""))</f>
        <v/>
      </c>
    </row>
    <row r="1438">
      <c r="A1438" s="122" t="n"/>
      <c r="B1438" s="107" t="n"/>
      <c r="C1438" s="105" t="n"/>
      <c r="D1438" s="92">
        <f>IF(C1438="","",IFERROR(INDEX(Roster!$C$6:$C$65,IFERROR(MATCH(C1438,Roster!$B$6:$B$65,0),MATCH(C1438,Roster!$C$6:$C$65,0))),"not on the Roster"))</f>
        <v/>
      </c>
      <c r="E1438" s="106" t="n"/>
      <c r="F1438" s="104">
        <f>IF(OR(A1438="",C1438="",B1438=""),"",IFERROR(INDEX(CHOOSE(IF(YEAR(A1438)&gt;PlanYear,13,MONTH(A1438)),'Jan'!$D$27:$AH$266,'Feb'!$D$27:$AH$266,'Mar'!$D$27:$AH$266,'Apr'!$D$27:$AH$266,'May'!$D$27:$AH$266,'Jun'!$D$27:$AH$266,'Jul'!$D$27:$AH$266,'Aug'!$D$27:$AH$266,'Sep'!$D$27:$AH$266,'Oct'!$D$27:$AH$266,'Nov'!$D$27:$AH$266,'Dec'!$D$27:$AH$266,'Jan (next year)'!$D$27:$AH$266),27+4*(IFERROR(MATCH(C1438,Roster!$B$6:$B$65,0),MATCH(C1438,Roster!$C$6:$C$65,0))-1)+MATCH(B1438,{"AM","PM","NIGHT","WD"},0)-1-27+1,DAY(A1438))&amp;"",""))</f>
        <v/>
      </c>
      <c r="G1438" s="123">
        <f>IF(OR(A1438="",C1438="",B1438="",E1438=""),"",IFERROR(A1438&amp;"|"&amp;(27+4*(IFERROR(MATCH(C1438,Roster!$B$6:$B$65,0),MATCH(C1438,Roster!$C$6:$C$65,0))-1)+MATCH(B1438,{"AM","PM","NIGHT","WD"},0)-1),""))</f>
        <v/>
      </c>
    </row>
    <row r="1439">
      <c r="A1439" s="122" t="n"/>
      <c r="B1439" s="107" t="n"/>
      <c r="C1439" s="105" t="n"/>
      <c r="D1439" s="92">
        <f>IF(C1439="","",IFERROR(INDEX(Roster!$C$6:$C$65,IFERROR(MATCH(C1439,Roster!$B$6:$B$65,0),MATCH(C1439,Roster!$C$6:$C$65,0))),"not on the Roster"))</f>
        <v/>
      </c>
      <c r="E1439" s="106" t="n"/>
      <c r="F1439" s="104">
        <f>IF(OR(A1439="",C1439="",B1439=""),"",IFERROR(INDEX(CHOOSE(IF(YEAR(A1439)&gt;PlanYear,13,MONTH(A1439)),'Jan'!$D$27:$AH$266,'Feb'!$D$27:$AH$266,'Mar'!$D$27:$AH$266,'Apr'!$D$27:$AH$266,'May'!$D$27:$AH$266,'Jun'!$D$27:$AH$266,'Jul'!$D$27:$AH$266,'Aug'!$D$27:$AH$266,'Sep'!$D$27:$AH$266,'Oct'!$D$27:$AH$266,'Nov'!$D$27:$AH$266,'Dec'!$D$27:$AH$266,'Jan (next year)'!$D$27:$AH$266),27+4*(IFERROR(MATCH(C1439,Roster!$B$6:$B$65,0),MATCH(C1439,Roster!$C$6:$C$65,0))-1)+MATCH(B1439,{"AM","PM","NIGHT","WD"},0)-1-27+1,DAY(A1439))&amp;"",""))</f>
        <v/>
      </c>
      <c r="G1439" s="123">
        <f>IF(OR(A1439="",C1439="",B1439="",E1439=""),"",IFERROR(A1439&amp;"|"&amp;(27+4*(IFERROR(MATCH(C1439,Roster!$B$6:$B$65,0),MATCH(C1439,Roster!$C$6:$C$65,0))-1)+MATCH(B1439,{"AM","PM","NIGHT","WD"},0)-1),""))</f>
        <v/>
      </c>
    </row>
    <row r="1440">
      <c r="A1440" s="122" t="n"/>
      <c r="B1440" s="107" t="n"/>
      <c r="C1440" s="105" t="n"/>
      <c r="D1440" s="92">
        <f>IF(C1440="","",IFERROR(INDEX(Roster!$C$6:$C$65,IFERROR(MATCH(C1440,Roster!$B$6:$B$65,0),MATCH(C1440,Roster!$C$6:$C$65,0))),"not on the Roster"))</f>
        <v/>
      </c>
      <c r="E1440" s="106" t="n"/>
      <c r="F1440" s="104">
        <f>IF(OR(A1440="",C1440="",B1440=""),"",IFERROR(INDEX(CHOOSE(IF(YEAR(A1440)&gt;PlanYear,13,MONTH(A1440)),'Jan'!$D$27:$AH$266,'Feb'!$D$27:$AH$266,'Mar'!$D$27:$AH$266,'Apr'!$D$27:$AH$266,'May'!$D$27:$AH$266,'Jun'!$D$27:$AH$266,'Jul'!$D$27:$AH$266,'Aug'!$D$27:$AH$266,'Sep'!$D$27:$AH$266,'Oct'!$D$27:$AH$266,'Nov'!$D$27:$AH$266,'Dec'!$D$27:$AH$266,'Jan (next year)'!$D$27:$AH$266),27+4*(IFERROR(MATCH(C1440,Roster!$B$6:$B$65,0),MATCH(C1440,Roster!$C$6:$C$65,0))-1)+MATCH(B1440,{"AM","PM","NIGHT","WD"},0)-1-27+1,DAY(A1440))&amp;"",""))</f>
        <v/>
      </c>
      <c r="G1440" s="123">
        <f>IF(OR(A1440="",C1440="",B1440="",E1440=""),"",IFERROR(A1440&amp;"|"&amp;(27+4*(IFERROR(MATCH(C1440,Roster!$B$6:$B$65,0),MATCH(C1440,Roster!$C$6:$C$65,0))-1)+MATCH(B1440,{"AM","PM","NIGHT","WD"},0)-1),""))</f>
        <v/>
      </c>
    </row>
    <row r="1441">
      <c r="A1441" s="122" t="n"/>
      <c r="B1441" s="107" t="n"/>
      <c r="C1441" s="105" t="n"/>
      <c r="D1441" s="92">
        <f>IF(C1441="","",IFERROR(INDEX(Roster!$C$6:$C$65,IFERROR(MATCH(C1441,Roster!$B$6:$B$65,0),MATCH(C1441,Roster!$C$6:$C$65,0))),"not on the Roster"))</f>
        <v/>
      </c>
      <c r="E1441" s="106" t="n"/>
      <c r="F1441" s="104">
        <f>IF(OR(A1441="",C1441="",B1441=""),"",IFERROR(INDEX(CHOOSE(IF(YEAR(A1441)&gt;PlanYear,13,MONTH(A1441)),'Jan'!$D$27:$AH$266,'Feb'!$D$27:$AH$266,'Mar'!$D$27:$AH$266,'Apr'!$D$27:$AH$266,'May'!$D$27:$AH$266,'Jun'!$D$27:$AH$266,'Jul'!$D$27:$AH$266,'Aug'!$D$27:$AH$266,'Sep'!$D$27:$AH$266,'Oct'!$D$27:$AH$266,'Nov'!$D$27:$AH$266,'Dec'!$D$27:$AH$266,'Jan (next year)'!$D$27:$AH$266),27+4*(IFERROR(MATCH(C1441,Roster!$B$6:$B$65,0),MATCH(C1441,Roster!$C$6:$C$65,0))-1)+MATCH(B1441,{"AM","PM","NIGHT","WD"},0)-1-27+1,DAY(A1441))&amp;"",""))</f>
        <v/>
      </c>
      <c r="G1441" s="123">
        <f>IF(OR(A1441="",C1441="",B1441="",E1441=""),"",IFERROR(A1441&amp;"|"&amp;(27+4*(IFERROR(MATCH(C1441,Roster!$B$6:$B$65,0),MATCH(C1441,Roster!$C$6:$C$65,0))-1)+MATCH(B1441,{"AM","PM","NIGHT","WD"},0)-1),""))</f>
        <v/>
      </c>
    </row>
    <row r="1442">
      <c r="A1442" s="122" t="n"/>
      <c r="B1442" s="107" t="n"/>
      <c r="C1442" s="105" t="n"/>
      <c r="D1442" s="92">
        <f>IF(C1442="","",IFERROR(INDEX(Roster!$C$6:$C$65,IFERROR(MATCH(C1442,Roster!$B$6:$B$65,0),MATCH(C1442,Roster!$C$6:$C$65,0))),"not on the Roster"))</f>
        <v/>
      </c>
      <c r="E1442" s="106" t="n"/>
      <c r="F1442" s="104">
        <f>IF(OR(A1442="",C1442="",B1442=""),"",IFERROR(INDEX(CHOOSE(IF(YEAR(A1442)&gt;PlanYear,13,MONTH(A1442)),'Jan'!$D$27:$AH$266,'Feb'!$D$27:$AH$266,'Mar'!$D$27:$AH$266,'Apr'!$D$27:$AH$266,'May'!$D$27:$AH$266,'Jun'!$D$27:$AH$266,'Jul'!$D$27:$AH$266,'Aug'!$D$27:$AH$266,'Sep'!$D$27:$AH$266,'Oct'!$D$27:$AH$266,'Nov'!$D$27:$AH$266,'Dec'!$D$27:$AH$266,'Jan (next year)'!$D$27:$AH$266),27+4*(IFERROR(MATCH(C1442,Roster!$B$6:$B$65,0),MATCH(C1442,Roster!$C$6:$C$65,0))-1)+MATCH(B1442,{"AM","PM","NIGHT","WD"},0)-1-27+1,DAY(A1442))&amp;"",""))</f>
        <v/>
      </c>
      <c r="G1442" s="123">
        <f>IF(OR(A1442="",C1442="",B1442="",E1442=""),"",IFERROR(A1442&amp;"|"&amp;(27+4*(IFERROR(MATCH(C1442,Roster!$B$6:$B$65,0),MATCH(C1442,Roster!$C$6:$C$65,0))-1)+MATCH(B1442,{"AM","PM","NIGHT","WD"},0)-1),""))</f>
        <v/>
      </c>
    </row>
    <row r="1443">
      <c r="A1443" s="122" t="n"/>
      <c r="B1443" s="107" t="n"/>
      <c r="C1443" s="105" t="n"/>
      <c r="D1443" s="92">
        <f>IF(C1443="","",IFERROR(INDEX(Roster!$C$6:$C$65,IFERROR(MATCH(C1443,Roster!$B$6:$B$65,0),MATCH(C1443,Roster!$C$6:$C$65,0))),"not on the Roster"))</f>
        <v/>
      </c>
      <c r="E1443" s="106" t="n"/>
      <c r="F1443" s="104">
        <f>IF(OR(A1443="",C1443="",B1443=""),"",IFERROR(INDEX(CHOOSE(IF(YEAR(A1443)&gt;PlanYear,13,MONTH(A1443)),'Jan'!$D$27:$AH$266,'Feb'!$D$27:$AH$266,'Mar'!$D$27:$AH$266,'Apr'!$D$27:$AH$266,'May'!$D$27:$AH$266,'Jun'!$D$27:$AH$266,'Jul'!$D$27:$AH$266,'Aug'!$D$27:$AH$266,'Sep'!$D$27:$AH$266,'Oct'!$D$27:$AH$266,'Nov'!$D$27:$AH$266,'Dec'!$D$27:$AH$266,'Jan (next year)'!$D$27:$AH$266),27+4*(IFERROR(MATCH(C1443,Roster!$B$6:$B$65,0),MATCH(C1443,Roster!$C$6:$C$65,0))-1)+MATCH(B1443,{"AM","PM","NIGHT","WD"},0)-1-27+1,DAY(A1443))&amp;"",""))</f>
        <v/>
      </c>
      <c r="G1443" s="123">
        <f>IF(OR(A1443="",C1443="",B1443="",E1443=""),"",IFERROR(A1443&amp;"|"&amp;(27+4*(IFERROR(MATCH(C1443,Roster!$B$6:$B$65,0),MATCH(C1443,Roster!$C$6:$C$65,0))-1)+MATCH(B1443,{"AM","PM","NIGHT","WD"},0)-1),""))</f>
        <v/>
      </c>
    </row>
    <row r="1444">
      <c r="A1444" s="122" t="n"/>
      <c r="B1444" s="107" t="n"/>
      <c r="C1444" s="105" t="n"/>
      <c r="D1444" s="92">
        <f>IF(C1444="","",IFERROR(INDEX(Roster!$C$6:$C$65,IFERROR(MATCH(C1444,Roster!$B$6:$B$65,0),MATCH(C1444,Roster!$C$6:$C$65,0))),"not on the Roster"))</f>
        <v/>
      </c>
      <c r="E1444" s="106" t="n"/>
      <c r="F1444" s="104">
        <f>IF(OR(A1444="",C1444="",B1444=""),"",IFERROR(INDEX(CHOOSE(IF(YEAR(A1444)&gt;PlanYear,13,MONTH(A1444)),'Jan'!$D$27:$AH$266,'Feb'!$D$27:$AH$266,'Mar'!$D$27:$AH$266,'Apr'!$D$27:$AH$266,'May'!$D$27:$AH$266,'Jun'!$D$27:$AH$266,'Jul'!$D$27:$AH$266,'Aug'!$D$27:$AH$266,'Sep'!$D$27:$AH$266,'Oct'!$D$27:$AH$266,'Nov'!$D$27:$AH$266,'Dec'!$D$27:$AH$266,'Jan (next year)'!$D$27:$AH$266),27+4*(IFERROR(MATCH(C1444,Roster!$B$6:$B$65,0),MATCH(C1444,Roster!$C$6:$C$65,0))-1)+MATCH(B1444,{"AM","PM","NIGHT","WD"},0)-1-27+1,DAY(A1444))&amp;"",""))</f>
        <v/>
      </c>
      <c r="G1444" s="123">
        <f>IF(OR(A1444="",C1444="",B1444="",E1444=""),"",IFERROR(A1444&amp;"|"&amp;(27+4*(IFERROR(MATCH(C1444,Roster!$B$6:$B$65,0),MATCH(C1444,Roster!$C$6:$C$65,0))-1)+MATCH(B1444,{"AM","PM","NIGHT","WD"},0)-1),""))</f>
        <v/>
      </c>
    </row>
    <row r="1445">
      <c r="A1445" s="122" t="n"/>
      <c r="B1445" s="107" t="n"/>
      <c r="C1445" s="105" t="n"/>
      <c r="D1445" s="92">
        <f>IF(C1445="","",IFERROR(INDEX(Roster!$C$6:$C$65,IFERROR(MATCH(C1445,Roster!$B$6:$B$65,0),MATCH(C1445,Roster!$C$6:$C$65,0))),"not on the Roster"))</f>
        <v/>
      </c>
      <c r="E1445" s="106" t="n"/>
      <c r="F1445" s="104">
        <f>IF(OR(A1445="",C1445="",B1445=""),"",IFERROR(INDEX(CHOOSE(IF(YEAR(A1445)&gt;PlanYear,13,MONTH(A1445)),'Jan'!$D$27:$AH$266,'Feb'!$D$27:$AH$266,'Mar'!$D$27:$AH$266,'Apr'!$D$27:$AH$266,'May'!$D$27:$AH$266,'Jun'!$D$27:$AH$266,'Jul'!$D$27:$AH$266,'Aug'!$D$27:$AH$266,'Sep'!$D$27:$AH$266,'Oct'!$D$27:$AH$266,'Nov'!$D$27:$AH$266,'Dec'!$D$27:$AH$266,'Jan (next year)'!$D$27:$AH$266),27+4*(IFERROR(MATCH(C1445,Roster!$B$6:$B$65,0),MATCH(C1445,Roster!$C$6:$C$65,0))-1)+MATCH(B1445,{"AM","PM","NIGHT","WD"},0)-1-27+1,DAY(A1445))&amp;"",""))</f>
        <v/>
      </c>
      <c r="G1445" s="123">
        <f>IF(OR(A1445="",C1445="",B1445="",E1445=""),"",IFERROR(A1445&amp;"|"&amp;(27+4*(IFERROR(MATCH(C1445,Roster!$B$6:$B$65,0),MATCH(C1445,Roster!$C$6:$C$65,0))-1)+MATCH(B1445,{"AM","PM","NIGHT","WD"},0)-1),""))</f>
        <v/>
      </c>
    </row>
    <row r="1446">
      <c r="A1446" s="122" t="n"/>
      <c r="B1446" s="107" t="n"/>
      <c r="C1446" s="105" t="n"/>
      <c r="D1446" s="92">
        <f>IF(C1446="","",IFERROR(INDEX(Roster!$C$6:$C$65,IFERROR(MATCH(C1446,Roster!$B$6:$B$65,0),MATCH(C1446,Roster!$C$6:$C$65,0))),"not on the Roster"))</f>
        <v/>
      </c>
      <c r="E1446" s="106" t="n"/>
      <c r="F1446" s="104">
        <f>IF(OR(A1446="",C1446="",B1446=""),"",IFERROR(INDEX(CHOOSE(IF(YEAR(A1446)&gt;PlanYear,13,MONTH(A1446)),'Jan'!$D$27:$AH$266,'Feb'!$D$27:$AH$266,'Mar'!$D$27:$AH$266,'Apr'!$D$27:$AH$266,'May'!$D$27:$AH$266,'Jun'!$D$27:$AH$266,'Jul'!$D$27:$AH$266,'Aug'!$D$27:$AH$266,'Sep'!$D$27:$AH$266,'Oct'!$D$27:$AH$266,'Nov'!$D$27:$AH$266,'Dec'!$D$27:$AH$266,'Jan (next year)'!$D$27:$AH$266),27+4*(IFERROR(MATCH(C1446,Roster!$B$6:$B$65,0),MATCH(C1446,Roster!$C$6:$C$65,0))-1)+MATCH(B1446,{"AM","PM","NIGHT","WD"},0)-1-27+1,DAY(A1446))&amp;"",""))</f>
        <v/>
      </c>
      <c r="G1446" s="123">
        <f>IF(OR(A1446="",C1446="",B1446="",E1446=""),"",IFERROR(A1446&amp;"|"&amp;(27+4*(IFERROR(MATCH(C1446,Roster!$B$6:$B$65,0),MATCH(C1446,Roster!$C$6:$C$65,0))-1)+MATCH(B1446,{"AM","PM","NIGHT","WD"},0)-1),""))</f>
        <v/>
      </c>
    </row>
    <row r="1447">
      <c r="A1447" s="122" t="n"/>
      <c r="B1447" s="107" t="n"/>
      <c r="C1447" s="105" t="n"/>
      <c r="D1447" s="92">
        <f>IF(C1447="","",IFERROR(INDEX(Roster!$C$6:$C$65,IFERROR(MATCH(C1447,Roster!$B$6:$B$65,0),MATCH(C1447,Roster!$C$6:$C$65,0))),"not on the Roster"))</f>
        <v/>
      </c>
      <c r="E1447" s="106" t="n"/>
      <c r="F1447" s="104">
        <f>IF(OR(A1447="",C1447="",B1447=""),"",IFERROR(INDEX(CHOOSE(IF(YEAR(A1447)&gt;PlanYear,13,MONTH(A1447)),'Jan'!$D$27:$AH$266,'Feb'!$D$27:$AH$266,'Mar'!$D$27:$AH$266,'Apr'!$D$27:$AH$266,'May'!$D$27:$AH$266,'Jun'!$D$27:$AH$266,'Jul'!$D$27:$AH$266,'Aug'!$D$27:$AH$266,'Sep'!$D$27:$AH$266,'Oct'!$D$27:$AH$266,'Nov'!$D$27:$AH$266,'Dec'!$D$27:$AH$266,'Jan (next year)'!$D$27:$AH$266),27+4*(IFERROR(MATCH(C1447,Roster!$B$6:$B$65,0),MATCH(C1447,Roster!$C$6:$C$65,0))-1)+MATCH(B1447,{"AM","PM","NIGHT","WD"},0)-1-27+1,DAY(A1447))&amp;"",""))</f>
        <v/>
      </c>
      <c r="G1447" s="123">
        <f>IF(OR(A1447="",C1447="",B1447="",E1447=""),"",IFERROR(A1447&amp;"|"&amp;(27+4*(IFERROR(MATCH(C1447,Roster!$B$6:$B$65,0),MATCH(C1447,Roster!$C$6:$C$65,0))-1)+MATCH(B1447,{"AM","PM","NIGHT","WD"},0)-1),""))</f>
        <v/>
      </c>
    </row>
    <row r="1448">
      <c r="A1448" s="122" t="n"/>
      <c r="B1448" s="107" t="n"/>
      <c r="C1448" s="105" t="n"/>
      <c r="D1448" s="92">
        <f>IF(C1448="","",IFERROR(INDEX(Roster!$C$6:$C$65,IFERROR(MATCH(C1448,Roster!$B$6:$B$65,0),MATCH(C1448,Roster!$C$6:$C$65,0))),"not on the Roster"))</f>
        <v/>
      </c>
      <c r="E1448" s="106" t="n"/>
      <c r="F1448" s="104">
        <f>IF(OR(A1448="",C1448="",B1448=""),"",IFERROR(INDEX(CHOOSE(IF(YEAR(A1448)&gt;PlanYear,13,MONTH(A1448)),'Jan'!$D$27:$AH$266,'Feb'!$D$27:$AH$266,'Mar'!$D$27:$AH$266,'Apr'!$D$27:$AH$266,'May'!$D$27:$AH$266,'Jun'!$D$27:$AH$266,'Jul'!$D$27:$AH$266,'Aug'!$D$27:$AH$266,'Sep'!$D$27:$AH$266,'Oct'!$D$27:$AH$266,'Nov'!$D$27:$AH$266,'Dec'!$D$27:$AH$266,'Jan (next year)'!$D$27:$AH$266),27+4*(IFERROR(MATCH(C1448,Roster!$B$6:$B$65,0),MATCH(C1448,Roster!$C$6:$C$65,0))-1)+MATCH(B1448,{"AM","PM","NIGHT","WD"},0)-1-27+1,DAY(A1448))&amp;"",""))</f>
        <v/>
      </c>
      <c r="G1448" s="123">
        <f>IF(OR(A1448="",C1448="",B1448="",E1448=""),"",IFERROR(A1448&amp;"|"&amp;(27+4*(IFERROR(MATCH(C1448,Roster!$B$6:$B$65,0),MATCH(C1448,Roster!$C$6:$C$65,0))-1)+MATCH(B1448,{"AM","PM","NIGHT","WD"},0)-1),""))</f>
        <v/>
      </c>
    </row>
    <row r="1449">
      <c r="A1449" s="122" t="n"/>
      <c r="B1449" s="107" t="n"/>
      <c r="C1449" s="105" t="n"/>
      <c r="D1449" s="92">
        <f>IF(C1449="","",IFERROR(INDEX(Roster!$C$6:$C$65,IFERROR(MATCH(C1449,Roster!$B$6:$B$65,0),MATCH(C1449,Roster!$C$6:$C$65,0))),"not on the Roster"))</f>
        <v/>
      </c>
      <c r="E1449" s="106" t="n"/>
      <c r="F1449" s="104">
        <f>IF(OR(A1449="",C1449="",B1449=""),"",IFERROR(INDEX(CHOOSE(IF(YEAR(A1449)&gt;PlanYear,13,MONTH(A1449)),'Jan'!$D$27:$AH$266,'Feb'!$D$27:$AH$266,'Mar'!$D$27:$AH$266,'Apr'!$D$27:$AH$266,'May'!$D$27:$AH$266,'Jun'!$D$27:$AH$266,'Jul'!$D$27:$AH$266,'Aug'!$D$27:$AH$266,'Sep'!$D$27:$AH$266,'Oct'!$D$27:$AH$266,'Nov'!$D$27:$AH$266,'Dec'!$D$27:$AH$266,'Jan (next year)'!$D$27:$AH$266),27+4*(IFERROR(MATCH(C1449,Roster!$B$6:$B$65,0),MATCH(C1449,Roster!$C$6:$C$65,0))-1)+MATCH(B1449,{"AM","PM","NIGHT","WD"},0)-1-27+1,DAY(A1449))&amp;"",""))</f>
        <v/>
      </c>
      <c r="G1449" s="123">
        <f>IF(OR(A1449="",C1449="",B1449="",E1449=""),"",IFERROR(A1449&amp;"|"&amp;(27+4*(IFERROR(MATCH(C1449,Roster!$B$6:$B$65,0),MATCH(C1449,Roster!$C$6:$C$65,0))-1)+MATCH(B1449,{"AM","PM","NIGHT","WD"},0)-1),""))</f>
        <v/>
      </c>
    </row>
    <row r="1450">
      <c r="A1450" s="122" t="n"/>
      <c r="B1450" s="107" t="n"/>
      <c r="C1450" s="105" t="n"/>
      <c r="D1450" s="92">
        <f>IF(C1450="","",IFERROR(INDEX(Roster!$C$6:$C$65,IFERROR(MATCH(C1450,Roster!$B$6:$B$65,0),MATCH(C1450,Roster!$C$6:$C$65,0))),"not on the Roster"))</f>
        <v/>
      </c>
      <c r="E1450" s="106" t="n"/>
      <c r="F1450" s="104">
        <f>IF(OR(A1450="",C1450="",B1450=""),"",IFERROR(INDEX(CHOOSE(IF(YEAR(A1450)&gt;PlanYear,13,MONTH(A1450)),'Jan'!$D$27:$AH$266,'Feb'!$D$27:$AH$266,'Mar'!$D$27:$AH$266,'Apr'!$D$27:$AH$266,'May'!$D$27:$AH$266,'Jun'!$D$27:$AH$266,'Jul'!$D$27:$AH$266,'Aug'!$D$27:$AH$266,'Sep'!$D$27:$AH$266,'Oct'!$D$27:$AH$266,'Nov'!$D$27:$AH$266,'Dec'!$D$27:$AH$266,'Jan (next year)'!$D$27:$AH$266),27+4*(IFERROR(MATCH(C1450,Roster!$B$6:$B$65,0),MATCH(C1450,Roster!$C$6:$C$65,0))-1)+MATCH(B1450,{"AM","PM","NIGHT","WD"},0)-1-27+1,DAY(A1450))&amp;"",""))</f>
        <v/>
      </c>
      <c r="G1450" s="123">
        <f>IF(OR(A1450="",C1450="",B1450="",E1450=""),"",IFERROR(A1450&amp;"|"&amp;(27+4*(IFERROR(MATCH(C1450,Roster!$B$6:$B$65,0),MATCH(C1450,Roster!$C$6:$C$65,0))-1)+MATCH(B1450,{"AM","PM","NIGHT","WD"},0)-1),""))</f>
        <v/>
      </c>
    </row>
    <row r="1451">
      <c r="A1451" s="122" t="n"/>
      <c r="B1451" s="107" t="n"/>
      <c r="C1451" s="105" t="n"/>
      <c r="D1451" s="92">
        <f>IF(C1451="","",IFERROR(INDEX(Roster!$C$6:$C$65,IFERROR(MATCH(C1451,Roster!$B$6:$B$65,0),MATCH(C1451,Roster!$C$6:$C$65,0))),"not on the Roster"))</f>
        <v/>
      </c>
      <c r="E1451" s="106" t="n"/>
      <c r="F1451" s="104">
        <f>IF(OR(A1451="",C1451="",B1451=""),"",IFERROR(INDEX(CHOOSE(IF(YEAR(A1451)&gt;PlanYear,13,MONTH(A1451)),'Jan'!$D$27:$AH$266,'Feb'!$D$27:$AH$266,'Mar'!$D$27:$AH$266,'Apr'!$D$27:$AH$266,'May'!$D$27:$AH$266,'Jun'!$D$27:$AH$266,'Jul'!$D$27:$AH$266,'Aug'!$D$27:$AH$266,'Sep'!$D$27:$AH$266,'Oct'!$D$27:$AH$266,'Nov'!$D$27:$AH$266,'Dec'!$D$27:$AH$266,'Jan (next year)'!$D$27:$AH$266),27+4*(IFERROR(MATCH(C1451,Roster!$B$6:$B$65,0),MATCH(C1451,Roster!$C$6:$C$65,0))-1)+MATCH(B1451,{"AM","PM","NIGHT","WD"},0)-1-27+1,DAY(A1451))&amp;"",""))</f>
        <v/>
      </c>
      <c r="G1451" s="123">
        <f>IF(OR(A1451="",C1451="",B1451="",E1451=""),"",IFERROR(A1451&amp;"|"&amp;(27+4*(IFERROR(MATCH(C1451,Roster!$B$6:$B$65,0),MATCH(C1451,Roster!$C$6:$C$65,0))-1)+MATCH(B1451,{"AM","PM","NIGHT","WD"},0)-1),""))</f>
        <v/>
      </c>
    </row>
    <row r="1452">
      <c r="A1452" s="122" t="n"/>
      <c r="B1452" s="107" t="n"/>
      <c r="C1452" s="105" t="n"/>
      <c r="D1452" s="92">
        <f>IF(C1452="","",IFERROR(INDEX(Roster!$C$6:$C$65,IFERROR(MATCH(C1452,Roster!$B$6:$B$65,0),MATCH(C1452,Roster!$C$6:$C$65,0))),"not on the Roster"))</f>
        <v/>
      </c>
      <c r="E1452" s="106" t="n"/>
      <c r="F1452" s="104">
        <f>IF(OR(A1452="",C1452="",B1452=""),"",IFERROR(INDEX(CHOOSE(IF(YEAR(A1452)&gt;PlanYear,13,MONTH(A1452)),'Jan'!$D$27:$AH$266,'Feb'!$D$27:$AH$266,'Mar'!$D$27:$AH$266,'Apr'!$D$27:$AH$266,'May'!$D$27:$AH$266,'Jun'!$D$27:$AH$266,'Jul'!$D$27:$AH$266,'Aug'!$D$27:$AH$266,'Sep'!$D$27:$AH$266,'Oct'!$D$27:$AH$266,'Nov'!$D$27:$AH$266,'Dec'!$D$27:$AH$266,'Jan (next year)'!$D$27:$AH$266),27+4*(IFERROR(MATCH(C1452,Roster!$B$6:$B$65,0),MATCH(C1452,Roster!$C$6:$C$65,0))-1)+MATCH(B1452,{"AM","PM","NIGHT","WD"},0)-1-27+1,DAY(A1452))&amp;"",""))</f>
        <v/>
      </c>
      <c r="G1452" s="123">
        <f>IF(OR(A1452="",C1452="",B1452="",E1452=""),"",IFERROR(A1452&amp;"|"&amp;(27+4*(IFERROR(MATCH(C1452,Roster!$B$6:$B$65,0),MATCH(C1452,Roster!$C$6:$C$65,0))-1)+MATCH(B1452,{"AM","PM","NIGHT","WD"},0)-1),""))</f>
        <v/>
      </c>
    </row>
    <row r="1453">
      <c r="A1453" s="122" t="n"/>
      <c r="B1453" s="107" t="n"/>
      <c r="C1453" s="105" t="n"/>
      <c r="D1453" s="92">
        <f>IF(C1453="","",IFERROR(INDEX(Roster!$C$6:$C$65,IFERROR(MATCH(C1453,Roster!$B$6:$B$65,0),MATCH(C1453,Roster!$C$6:$C$65,0))),"not on the Roster"))</f>
        <v/>
      </c>
      <c r="E1453" s="106" t="n"/>
      <c r="F1453" s="104">
        <f>IF(OR(A1453="",C1453="",B1453=""),"",IFERROR(INDEX(CHOOSE(IF(YEAR(A1453)&gt;PlanYear,13,MONTH(A1453)),'Jan'!$D$27:$AH$266,'Feb'!$D$27:$AH$266,'Mar'!$D$27:$AH$266,'Apr'!$D$27:$AH$266,'May'!$D$27:$AH$266,'Jun'!$D$27:$AH$266,'Jul'!$D$27:$AH$266,'Aug'!$D$27:$AH$266,'Sep'!$D$27:$AH$266,'Oct'!$D$27:$AH$266,'Nov'!$D$27:$AH$266,'Dec'!$D$27:$AH$266,'Jan (next year)'!$D$27:$AH$266),27+4*(IFERROR(MATCH(C1453,Roster!$B$6:$B$65,0),MATCH(C1453,Roster!$C$6:$C$65,0))-1)+MATCH(B1453,{"AM","PM","NIGHT","WD"},0)-1-27+1,DAY(A1453))&amp;"",""))</f>
        <v/>
      </c>
      <c r="G1453" s="123">
        <f>IF(OR(A1453="",C1453="",B1453="",E1453=""),"",IFERROR(A1453&amp;"|"&amp;(27+4*(IFERROR(MATCH(C1453,Roster!$B$6:$B$65,0),MATCH(C1453,Roster!$C$6:$C$65,0))-1)+MATCH(B1453,{"AM","PM","NIGHT","WD"},0)-1),""))</f>
        <v/>
      </c>
    </row>
    <row r="1454">
      <c r="A1454" s="122" t="n"/>
      <c r="B1454" s="107" t="n"/>
      <c r="C1454" s="105" t="n"/>
      <c r="D1454" s="92">
        <f>IF(C1454="","",IFERROR(INDEX(Roster!$C$6:$C$65,IFERROR(MATCH(C1454,Roster!$B$6:$B$65,0),MATCH(C1454,Roster!$C$6:$C$65,0))),"not on the Roster"))</f>
        <v/>
      </c>
      <c r="E1454" s="106" t="n"/>
      <c r="F1454" s="104">
        <f>IF(OR(A1454="",C1454="",B1454=""),"",IFERROR(INDEX(CHOOSE(IF(YEAR(A1454)&gt;PlanYear,13,MONTH(A1454)),'Jan'!$D$27:$AH$266,'Feb'!$D$27:$AH$266,'Mar'!$D$27:$AH$266,'Apr'!$D$27:$AH$266,'May'!$D$27:$AH$266,'Jun'!$D$27:$AH$266,'Jul'!$D$27:$AH$266,'Aug'!$D$27:$AH$266,'Sep'!$D$27:$AH$266,'Oct'!$D$27:$AH$266,'Nov'!$D$27:$AH$266,'Dec'!$D$27:$AH$266,'Jan (next year)'!$D$27:$AH$266),27+4*(IFERROR(MATCH(C1454,Roster!$B$6:$B$65,0),MATCH(C1454,Roster!$C$6:$C$65,0))-1)+MATCH(B1454,{"AM","PM","NIGHT","WD"},0)-1-27+1,DAY(A1454))&amp;"",""))</f>
        <v/>
      </c>
      <c r="G1454" s="123">
        <f>IF(OR(A1454="",C1454="",B1454="",E1454=""),"",IFERROR(A1454&amp;"|"&amp;(27+4*(IFERROR(MATCH(C1454,Roster!$B$6:$B$65,0),MATCH(C1454,Roster!$C$6:$C$65,0))-1)+MATCH(B1454,{"AM","PM","NIGHT","WD"},0)-1),""))</f>
        <v/>
      </c>
    </row>
    <row r="1455">
      <c r="A1455" s="122" t="n"/>
      <c r="B1455" s="107" t="n"/>
      <c r="C1455" s="105" t="n"/>
      <c r="D1455" s="92">
        <f>IF(C1455="","",IFERROR(INDEX(Roster!$C$6:$C$65,IFERROR(MATCH(C1455,Roster!$B$6:$B$65,0),MATCH(C1455,Roster!$C$6:$C$65,0))),"not on the Roster"))</f>
        <v/>
      </c>
      <c r="E1455" s="106" t="n"/>
      <c r="F1455" s="104">
        <f>IF(OR(A1455="",C1455="",B1455=""),"",IFERROR(INDEX(CHOOSE(IF(YEAR(A1455)&gt;PlanYear,13,MONTH(A1455)),'Jan'!$D$27:$AH$266,'Feb'!$D$27:$AH$266,'Mar'!$D$27:$AH$266,'Apr'!$D$27:$AH$266,'May'!$D$27:$AH$266,'Jun'!$D$27:$AH$266,'Jul'!$D$27:$AH$266,'Aug'!$D$27:$AH$266,'Sep'!$D$27:$AH$266,'Oct'!$D$27:$AH$266,'Nov'!$D$27:$AH$266,'Dec'!$D$27:$AH$266,'Jan (next year)'!$D$27:$AH$266),27+4*(IFERROR(MATCH(C1455,Roster!$B$6:$B$65,0),MATCH(C1455,Roster!$C$6:$C$65,0))-1)+MATCH(B1455,{"AM","PM","NIGHT","WD"},0)-1-27+1,DAY(A1455))&amp;"",""))</f>
        <v/>
      </c>
      <c r="G1455" s="123">
        <f>IF(OR(A1455="",C1455="",B1455="",E1455=""),"",IFERROR(A1455&amp;"|"&amp;(27+4*(IFERROR(MATCH(C1455,Roster!$B$6:$B$65,0),MATCH(C1455,Roster!$C$6:$C$65,0))-1)+MATCH(B1455,{"AM","PM","NIGHT","WD"},0)-1),""))</f>
        <v/>
      </c>
    </row>
    <row r="1456">
      <c r="A1456" s="122" t="n"/>
      <c r="B1456" s="107" t="n"/>
      <c r="C1456" s="105" t="n"/>
      <c r="D1456" s="92">
        <f>IF(C1456="","",IFERROR(INDEX(Roster!$C$6:$C$65,IFERROR(MATCH(C1456,Roster!$B$6:$B$65,0),MATCH(C1456,Roster!$C$6:$C$65,0))),"not on the Roster"))</f>
        <v/>
      </c>
      <c r="E1456" s="106" t="n"/>
      <c r="F1456" s="104">
        <f>IF(OR(A1456="",C1456="",B1456=""),"",IFERROR(INDEX(CHOOSE(IF(YEAR(A1456)&gt;PlanYear,13,MONTH(A1456)),'Jan'!$D$27:$AH$266,'Feb'!$D$27:$AH$266,'Mar'!$D$27:$AH$266,'Apr'!$D$27:$AH$266,'May'!$D$27:$AH$266,'Jun'!$D$27:$AH$266,'Jul'!$D$27:$AH$266,'Aug'!$D$27:$AH$266,'Sep'!$D$27:$AH$266,'Oct'!$D$27:$AH$266,'Nov'!$D$27:$AH$266,'Dec'!$D$27:$AH$266,'Jan (next year)'!$D$27:$AH$266),27+4*(IFERROR(MATCH(C1456,Roster!$B$6:$B$65,0),MATCH(C1456,Roster!$C$6:$C$65,0))-1)+MATCH(B1456,{"AM","PM","NIGHT","WD"},0)-1-27+1,DAY(A1456))&amp;"",""))</f>
        <v/>
      </c>
      <c r="G1456" s="123">
        <f>IF(OR(A1456="",C1456="",B1456="",E1456=""),"",IFERROR(A1456&amp;"|"&amp;(27+4*(IFERROR(MATCH(C1456,Roster!$B$6:$B$65,0),MATCH(C1456,Roster!$C$6:$C$65,0))-1)+MATCH(B1456,{"AM","PM","NIGHT","WD"},0)-1),""))</f>
        <v/>
      </c>
    </row>
    <row r="1457">
      <c r="A1457" s="122" t="n"/>
      <c r="B1457" s="107" t="n"/>
      <c r="C1457" s="105" t="n"/>
      <c r="D1457" s="92">
        <f>IF(C1457="","",IFERROR(INDEX(Roster!$C$6:$C$65,IFERROR(MATCH(C1457,Roster!$B$6:$B$65,0),MATCH(C1457,Roster!$C$6:$C$65,0))),"not on the Roster"))</f>
        <v/>
      </c>
      <c r="E1457" s="106" t="n"/>
      <c r="F1457" s="104">
        <f>IF(OR(A1457="",C1457="",B1457=""),"",IFERROR(INDEX(CHOOSE(IF(YEAR(A1457)&gt;PlanYear,13,MONTH(A1457)),'Jan'!$D$27:$AH$266,'Feb'!$D$27:$AH$266,'Mar'!$D$27:$AH$266,'Apr'!$D$27:$AH$266,'May'!$D$27:$AH$266,'Jun'!$D$27:$AH$266,'Jul'!$D$27:$AH$266,'Aug'!$D$27:$AH$266,'Sep'!$D$27:$AH$266,'Oct'!$D$27:$AH$266,'Nov'!$D$27:$AH$266,'Dec'!$D$27:$AH$266,'Jan (next year)'!$D$27:$AH$266),27+4*(IFERROR(MATCH(C1457,Roster!$B$6:$B$65,0),MATCH(C1457,Roster!$C$6:$C$65,0))-1)+MATCH(B1457,{"AM","PM","NIGHT","WD"},0)-1-27+1,DAY(A1457))&amp;"",""))</f>
        <v/>
      </c>
      <c r="G1457" s="123">
        <f>IF(OR(A1457="",C1457="",B1457="",E1457=""),"",IFERROR(A1457&amp;"|"&amp;(27+4*(IFERROR(MATCH(C1457,Roster!$B$6:$B$65,0),MATCH(C1457,Roster!$C$6:$C$65,0))-1)+MATCH(B1457,{"AM","PM","NIGHT","WD"},0)-1),""))</f>
        <v/>
      </c>
    </row>
    <row r="1458">
      <c r="A1458" s="122" t="n"/>
      <c r="B1458" s="107" t="n"/>
      <c r="C1458" s="105" t="n"/>
      <c r="D1458" s="92">
        <f>IF(C1458="","",IFERROR(INDEX(Roster!$C$6:$C$65,IFERROR(MATCH(C1458,Roster!$B$6:$B$65,0),MATCH(C1458,Roster!$C$6:$C$65,0))),"not on the Roster"))</f>
        <v/>
      </c>
      <c r="E1458" s="106" t="n"/>
      <c r="F1458" s="104">
        <f>IF(OR(A1458="",C1458="",B1458=""),"",IFERROR(INDEX(CHOOSE(IF(YEAR(A1458)&gt;PlanYear,13,MONTH(A1458)),'Jan'!$D$27:$AH$266,'Feb'!$D$27:$AH$266,'Mar'!$D$27:$AH$266,'Apr'!$D$27:$AH$266,'May'!$D$27:$AH$266,'Jun'!$D$27:$AH$266,'Jul'!$D$27:$AH$266,'Aug'!$D$27:$AH$266,'Sep'!$D$27:$AH$266,'Oct'!$D$27:$AH$266,'Nov'!$D$27:$AH$266,'Dec'!$D$27:$AH$266,'Jan (next year)'!$D$27:$AH$266),27+4*(IFERROR(MATCH(C1458,Roster!$B$6:$B$65,0),MATCH(C1458,Roster!$C$6:$C$65,0))-1)+MATCH(B1458,{"AM","PM","NIGHT","WD"},0)-1-27+1,DAY(A1458))&amp;"",""))</f>
        <v/>
      </c>
      <c r="G1458" s="123">
        <f>IF(OR(A1458="",C1458="",B1458="",E1458=""),"",IFERROR(A1458&amp;"|"&amp;(27+4*(IFERROR(MATCH(C1458,Roster!$B$6:$B$65,0),MATCH(C1458,Roster!$C$6:$C$65,0))-1)+MATCH(B1458,{"AM","PM","NIGHT","WD"},0)-1),""))</f>
        <v/>
      </c>
    </row>
    <row r="1459">
      <c r="A1459" s="122" t="n"/>
      <c r="B1459" s="107" t="n"/>
      <c r="C1459" s="105" t="n"/>
      <c r="D1459" s="92">
        <f>IF(C1459="","",IFERROR(INDEX(Roster!$C$6:$C$65,IFERROR(MATCH(C1459,Roster!$B$6:$B$65,0),MATCH(C1459,Roster!$C$6:$C$65,0))),"not on the Roster"))</f>
        <v/>
      </c>
      <c r="E1459" s="106" t="n"/>
      <c r="F1459" s="104">
        <f>IF(OR(A1459="",C1459="",B1459=""),"",IFERROR(INDEX(CHOOSE(IF(YEAR(A1459)&gt;PlanYear,13,MONTH(A1459)),'Jan'!$D$27:$AH$266,'Feb'!$D$27:$AH$266,'Mar'!$D$27:$AH$266,'Apr'!$D$27:$AH$266,'May'!$D$27:$AH$266,'Jun'!$D$27:$AH$266,'Jul'!$D$27:$AH$266,'Aug'!$D$27:$AH$266,'Sep'!$D$27:$AH$266,'Oct'!$D$27:$AH$266,'Nov'!$D$27:$AH$266,'Dec'!$D$27:$AH$266,'Jan (next year)'!$D$27:$AH$266),27+4*(IFERROR(MATCH(C1459,Roster!$B$6:$B$65,0),MATCH(C1459,Roster!$C$6:$C$65,0))-1)+MATCH(B1459,{"AM","PM","NIGHT","WD"},0)-1-27+1,DAY(A1459))&amp;"",""))</f>
        <v/>
      </c>
      <c r="G1459" s="123">
        <f>IF(OR(A1459="",C1459="",B1459="",E1459=""),"",IFERROR(A1459&amp;"|"&amp;(27+4*(IFERROR(MATCH(C1459,Roster!$B$6:$B$65,0),MATCH(C1459,Roster!$C$6:$C$65,0))-1)+MATCH(B1459,{"AM","PM","NIGHT","WD"},0)-1),""))</f>
        <v/>
      </c>
    </row>
    <row r="1460">
      <c r="A1460" s="122" t="n"/>
      <c r="B1460" s="107" t="n"/>
      <c r="C1460" s="105" t="n"/>
      <c r="D1460" s="92">
        <f>IF(C1460="","",IFERROR(INDEX(Roster!$C$6:$C$65,IFERROR(MATCH(C1460,Roster!$B$6:$B$65,0),MATCH(C1460,Roster!$C$6:$C$65,0))),"not on the Roster"))</f>
        <v/>
      </c>
      <c r="E1460" s="106" t="n"/>
      <c r="F1460" s="104">
        <f>IF(OR(A1460="",C1460="",B1460=""),"",IFERROR(INDEX(CHOOSE(IF(YEAR(A1460)&gt;PlanYear,13,MONTH(A1460)),'Jan'!$D$27:$AH$266,'Feb'!$D$27:$AH$266,'Mar'!$D$27:$AH$266,'Apr'!$D$27:$AH$266,'May'!$D$27:$AH$266,'Jun'!$D$27:$AH$266,'Jul'!$D$27:$AH$266,'Aug'!$D$27:$AH$266,'Sep'!$D$27:$AH$266,'Oct'!$D$27:$AH$266,'Nov'!$D$27:$AH$266,'Dec'!$D$27:$AH$266,'Jan (next year)'!$D$27:$AH$266),27+4*(IFERROR(MATCH(C1460,Roster!$B$6:$B$65,0),MATCH(C1460,Roster!$C$6:$C$65,0))-1)+MATCH(B1460,{"AM","PM","NIGHT","WD"},0)-1-27+1,DAY(A1460))&amp;"",""))</f>
        <v/>
      </c>
      <c r="G1460" s="123">
        <f>IF(OR(A1460="",C1460="",B1460="",E1460=""),"",IFERROR(A1460&amp;"|"&amp;(27+4*(IFERROR(MATCH(C1460,Roster!$B$6:$B$65,0),MATCH(C1460,Roster!$C$6:$C$65,0))-1)+MATCH(B1460,{"AM","PM","NIGHT","WD"},0)-1),""))</f>
        <v/>
      </c>
    </row>
    <row r="1461">
      <c r="A1461" s="122" t="n"/>
      <c r="B1461" s="107" t="n"/>
      <c r="C1461" s="105" t="n"/>
      <c r="D1461" s="92">
        <f>IF(C1461="","",IFERROR(INDEX(Roster!$C$6:$C$65,IFERROR(MATCH(C1461,Roster!$B$6:$B$65,0),MATCH(C1461,Roster!$C$6:$C$65,0))),"not on the Roster"))</f>
        <v/>
      </c>
      <c r="E1461" s="106" t="n"/>
      <c r="F1461" s="104">
        <f>IF(OR(A1461="",C1461="",B1461=""),"",IFERROR(INDEX(CHOOSE(IF(YEAR(A1461)&gt;PlanYear,13,MONTH(A1461)),'Jan'!$D$27:$AH$266,'Feb'!$D$27:$AH$266,'Mar'!$D$27:$AH$266,'Apr'!$D$27:$AH$266,'May'!$D$27:$AH$266,'Jun'!$D$27:$AH$266,'Jul'!$D$27:$AH$266,'Aug'!$D$27:$AH$266,'Sep'!$D$27:$AH$266,'Oct'!$D$27:$AH$266,'Nov'!$D$27:$AH$266,'Dec'!$D$27:$AH$266,'Jan (next year)'!$D$27:$AH$266),27+4*(IFERROR(MATCH(C1461,Roster!$B$6:$B$65,0),MATCH(C1461,Roster!$C$6:$C$65,0))-1)+MATCH(B1461,{"AM","PM","NIGHT","WD"},0)-1-27+1,DAY(A1461))&amp;"",""))</f>
        <v/>
      </c>
      <c r="G1461" s="123">
        <f>IF(OR(A1461="",C1461="",B1461="",E1461=""),"",IFERROR(A1461&amp;"|"&amp;(27+4*(IFERROR(MATCH(C1461,Roster!$B$6:$B$65,0),MATCH(C1461,Roster!$C$6:$C$65,0))-1)+MATCH(B1461,{"AM","PM","NIGHT","WD"},0)-1),""))</f>
        <v/>
      </c>
    </row>
    <row r="1462">
      <c r="A1462" s="122" t="n"/>
      <c r="B1462" s="107" t="n"/>
      <c r="C1462" s="105" t="n"/>
      <c r="D1462" s="92">
        <f>IF(C1462="","",IFERROR(INDEX(Roster!$C$6:$C$65,IFERROR(MATCH(C1462,Roster!$B$6:$B$65,0),MATCH(C1462,Roster!$C$6:$C$65,0))),"not on the Roster"))</f>
        <v/>
      </c>
      <c r="E1462" s="106" t="n"/>
      <c r="F1462" s="104">
        <f>IF(OR(A1462="",C1462="",B1462=""),"",IFERROR(INDEX(CHOOSE(IF(YEAR(A1462)&gt;PlanYear,13,MONTH(A1462)),'Jan'!$D$27:$AH$266,'Feb'!$D$27:$AH$266,'Mar'!$D$27:$AH$266,'Apr'!$D$27:$AH$266,'May'!$D$27:$AH$266,'Jun'!$D$27:$AH$266,'Jul'!$D$27:$AH$266,'Aug'!$D$27:$AH$266,'Sep'!$D$27:$AH$266,'Oct'!$D$27:$AH$266,'Nov'!$D$27:$AH$266,'Dec'!$D$27:$AH$266,'Jan (next year)'!$D$27:$AH$266),27+4*(IFERROR(MATCH(C1462,Roster!$B$6:$B$65,0),MATCH(C1462,Roster!$C$6:$C$65,0))-1)+MATCH(B1462,{"AM","PM","NIGHT","WD"},0)-1-27+1,DAY(A1462))&amp;"",""))</f>
        <v/>
      </c>
      <c r="G1462" s="123">
        <f>IF(OR(A1462="",C1462="",B1462="",E1462=""),"",IFERROR(A1462&amp;"|"&amp;(27+4*(IFERROR(MATCH(C1462,Roster!$B$6:$B$65,0),MATCH(C1462,Roster!$C$6:$C$65,0))-1)+MATCH(B1462,{"AM","PM","NIGHT","WD"},0)-1),""))</f>
        <v/>
      </c>
    </row>
    <row r="1463">
      <c r="A1463" s="122" t="n"/>
      <c r="B1463" s="107" t="n"/>
      <c r="C1463" s="105" t="n"/>
      <c r="D1463" s="92">
        <f>IF(C1463="","",IFERROR(INDEX(Roster!$C$6:$C$65,IFERROR(MATCH(C1463,Roster!$B$6:$B$65,0),MATCH(C1463,Roster!$C$6:$C$65,0))),"not on the Roster"))</f>
        <v/>
      </c>
      <c r="E1463" s="106" t="n"/>
      <c r="F1463" s="104">
        <f>IF(OR(A1463="",C1463="",B1463=""),"",IFERROR(INDEX(CHOOSE(IF(YEAR(A1463)&gt;PlanYear,13,MONTH(A1463)),'Jan'!$D$27:$AH$266,'Feb'!$D$27:$AH$266,'Mar'!$D$27:$AH$266,'Apr'!$D$27:$AH$266,'May'!$D$27:$AH$266,'Jun'!$D$27:$AH$266,'Jul'!$D$27:$AH$266,'Aug'!$D$27:$AH$266,'Sep'!$D$27:$AH$266,'Oct'!$D$27:$AH$266,'Nov'!$D$27:$AH$266,'Dec'!$D$27:$AH$266,'Jan (next year)'!$D$27:$AH$266),27+4*(IFERROR(MATCH(C1463,Roster!$B$6:$B$65,0),MATCH(C1463,Roster!$C$6:$C$65,0))-1)+MATCH(B1463,{"AM","PM","NIGHT","WD"},0)-1-27+1,DAY(A1463))&amp;"",""))</f>
        <v/>
      </c>
      <c r="G1463" s="123">
        <f>IF(OR(A1463="",C1463="",B1463="",E1463=""),"",IFERROR(A1463&amp;"|"&amp;(27+4*(IFERROR(MATCH(C1463,Roster!$B$6:$B$65,0),MATCH(C1463,Roster!$C$6:$C$65,0))-1)+MATCH(B1463,{"AM","PM","NIGHT","WD"},0)-1),""))</f>
        <v/>
      </c>
    </row>
    <row r="1464">
      <c r="A1464" s="122" t="n"/>
      <c r="B1464" s="107" t="n"/>
      <c r="C1464" s="105" t="n"/>
      <c r="D1464" s="92">
        <f>IF(C1464="","",IFERROR(INDEX(Roster!$C$6:$C$65,IFERROR(MATCH(C1464,Roster!$B$6:$B$65,0),MATCH(C1464,Roster!$C$6:$C$65,0))),"not on the Roster"))</f>
        <v/>
      </c>
      <c r="E1464" s="106" t="n"/>
      <c r="F1464" s="104">
        <f>IF(OR(A1464="",C1464="",B1464=""),"",IFERROR(INDEX(CHOOSE(IF(YEAR(A1464)&gt;PlanYear,13,MONTH(A1464)),'Jan'!$D$27:$AH$266,'Feb'!$D$27:$AH$266,'Mar'!$D$27:$AH$266,'Apr'!$D$27:$AH$266,'May'!$D$27:$AH$266,'Jun'!$D$27:$AH$266,'Jul'!$D$27:$AH$266,'Aug'!$D$27:$AH$266,'Sep'!$D$27:$AH$266,'Oct'!$D$27:$AH$266,'Nov'!$D$27:$AH$266,'Dec'!$D$27:$AH$266,'Jan (next year)'!$D$27:$AH$266),27+4*(IFERROR(MATCH(C1464,Roster!$B$6:$B$65,0),MATCH(C1464,Roster!$C$6:$C$65,0))-1)+MATCH(B1464,{"AM","PM","NIGHT","WD"},0)-1-27+1,DAY(A1464))&amp;"",""))</f>
        <v/>
      </c>
      <c r="G1464" s="123">
        <f>IF(OR(A1464="",C1464="",B1464="",E1464=""),"",IFERROR(A1464&amp;"|"&amp;(27+4*(IFERROR(MATCH(C1464,Roster!$B$6:$B$65,0),MATCH(C1464,Roster!$C$6:$C$65,0))-1)+MATCH(B1464,{"AM","PM","NIGHT","WD"},0)-1),""))</f>
        <v/>
      </c>
    </row>
    <row r="1465">
      <c r="A1465" s="122" t="n"/>
      <c r="B1465" s="107" t="n"/>
      <c r="C1465" s="105" t="n"/>
      <c r="D1465" s="92">
        <f>IF(C1465="","",IFERROR(INDEX(Roster!$C$6:$C$65,IFERROR(MATCH(C1465,Roster!$B$6:$B$65,0),MATCH(C1465,Roster!$C$6:$C$65,0))),"not on the Roster"))</f>
        <v/>
      </c>
      <c r="E1465" s="106" t="n"/>
      <c r="F1465" s="104">
        <f>IF(OR(A1465="",C1465="",B1465=""),"",IFERROR(INDEX(CHOOSE(IF(YEAR(A1465)&gt;PlanYear,13,MONTH(A1465)),'Jan'!$D$27:$AH$266,'Feb'!$D$27:$AH$266,'Mar'!$D$27:$AH$266,'Apr'!$D$27:$AH$266,'May'!$D$27:$AH$266,'Jun'!$D$27:$AH$266,'Jul'!$D$27:$AH$266,'Aug'!$D$27:$AH$266,'Sep'!$D$27:$AH$266,'Oct'!$D$27:$AH$266,'Nov'!$D$27:$AH$266,'Dec'!$D$27:$AH$266,'Jan (next year)'!$D$27:$AH$266),27+4*(IFERROR(MATCH(C1465,Roster!$B$6:$B$65,0),MATCH(C1465,Roster!$C$6:$C$65,0))-1)+MATCH(B1465,{"AM","PM","NIGHT","WD"},0)-1-27+1,DAY(A1465))&amp;"",""))</f>
        <v/>
      </c>
      <c r="G1465" s="123">
        <f>IF(OR(A1465="",C1465="",B1465="",E1465=""),"",IFERROR(A1465&amp;"|"&amp;(27+4*(IFERROR(MATCH(C1465,Roster!$B$6:$B$65,0),MATCH(C1465,Roster!$C$6:$C$65,0))-1)+MATCH(B1465,{"AM","PM","NIGHT","WD"},0)-1),""))</f>
        <v/>
      </c>
    </row>
    <row r="1466">
      <c r="A1466" s="122" t="n"/>
      <c r="B1466" s="107" t="n"/>
      <c r="C1466" s="105" t="n"/>
      <c r="D1466" s="92">
        <f>IF(C1466="","",IFERROR(INDEX(Roster!$C$6:$C$65,IFERROR(MATCH(C1466,Roster!$B$6:$B$65,0),MATCH(C1466,Roster!$C$6:$C$65,0))),"not on the Roster"))</f>
        <v/>
      </c>
      <c r="E1466" s="106" t="n"/>
      <c r="F1466" s="104">
        <f>IF(OR(A1466="",C1466="",B1466=""),"",IFERROR(INDEX(CHOOSE(IF(YEAR(A1466)&gt;PlanYear,13,MONTH(A1466)),'Jan'!$D$27:$AH$266,'Feb'!$D$27:$AH$266,'Mar'!$D$27:$AH$266,'Apr'!$D$27:$AH$266,'May'!$D$27:$AH$266,'Jun'!$D$27:$AH$266,'Jul'!$D$27:$AH$266,'Aug'!$D$27:$AH$266,'Sep'!$D$27:$AH$266,'Oct'!$D$27:$AH$266,'Nov'!$D$27:$AH$266,'Dec'!$D$27:$AH$266,'Jan (next year)'!$D$27:$AH$266),27+4*(IFERROR(MATCH(C1466,Roster!$B$6:$B$65,0),MATCH(C1466,Roster!$C$6:$C$65,0))-1)+MATCH(B1466,{"AM","PM","NIGHT","WD"},0)-1-27+1,DAY(A1466))&amp;"",""))</f>
        <v/>
      </c>
      <c r="G1466" s="123">
        <f>IF(OR(A1466="",C1466="",B1466="",E1466=""),"",IFERROR(A1466&amp;"|"&amp;(27+4*(IFERROR(MATCH(C1466,Roster!$B$6:$B$65,0),MATCH(C1466,Roster!$C$6:$C$65,0))-1)+MATCH(B1466,{"AM","PM","NIGHT","WD"},0)-1),""))</f>
        <v/>
      </c>
    </row>
    <row r="1467">
      <c r="A1467" s="122" t="n"/>
      <c r="B1467" s="107" t="n"/>
      <c r="C1467" s="105" t="n"/>
      <c r="D1467" s="92">
        <f>IF(C1467="","",IFERROR(INDEX(Roster!$C$6:$C$65,IFERROR(MATCH(C1467,Roster!$B$6:$B$65,0),MATCH(C1467,Roster!$C$6:$C$65,0))),"not on the Roster"))</f>
        <v/>
      </c>
      <c r="E1467" s="106" t="n"/>
      <c r="F1467" s="104">
        <f>IF(OR(A1467="",C1467="",B1467=""),"",IFERROR(INDEX(CHOOSE(IF(YEAR(A1467)&gt;PlanYear,13,MONTH(A1467)),'Jan'!$D$27:$AH$266,'Feb'!$D$27:$AH$266,'Mar'!$D$27:$AH$266,'Apr'!$D$27:$AH$266,'May'!$D$27:$AH$266,'Jun'!$D$27:$AH$266,'Jul'!$D$27:$AH$266,'Aug'!$D$27:$AH$266,'Sep'!$D$27:$AH$266,'Oct'!$D$27:$AH$266,'Nov'!$D$27:$AH$266,'Dec'!$D$27:$AH$266,'Jan (next year)'!$D$27:$AH$266),27+4*(IFERROR(MATCH(C1467,Roster!$B$6:$B$65,0),MATCH(C1467,Roster!$C$6:$C$65,0))-1)+MATCH(B1467,{"AM","PM","NIGHT","WD"},0)-1-27+1,DAY(A1467))&amp;"",""))</f>
        <v/>
      </c>
      <c r="G1467" s="123">
        <f>IF(OR(A1467="",C1467="",B1467="",E1467=""),"",IFERROR(A1467&amp;"|"&amp;(27+4*(IFERROR(MATCH(C1467,Roster!$B$6:$B$65,0),MATCH(C1467,Roster!$C$6:$C$65,0))-1)+MATCH(B1467,{"AM","PM","NIGHT","WD"},0)-1),""))</f>
        <v/>
      </c>
    </row>
    <row r="1468">
      <c r="A1468" s="122" t="n"/>
      <c r="B1468" s="107" t="n"/>
      <c r="C1468" s="105" t="n"/>
      <c r="D1468" s="92">
        <f>IF(C1468="","",IFERROR(INDEX(Roster!$C$6:$C$65,IFERROR(MATCH(C1468,Roster!$B$6:$B$65,0),MATCH(C1468,Roster!$C$6:$C$65,0))),"not on the Roster"))</f>
        <v/>
      </c>
      <c r="E1468" s="106" t="n"/>
      <c r="F1468" s="104">
        <f>IF(OR(A1468="",C1468="",B1468=""),"",IFERROR(INDEX(CHOOSE(IF(YEAR(A1468)&gt;PlanYear,13,MONTH(A1468)),'Jan'!$D$27:$AH$266,'Feb'!$D$27:$AH$266,'Mar'!$D$27:$AH$266,'Apr'!$D$27:$AH$266,'May'!$D$27:$AH$266,'Jun'!$D$27:$AH$266,'Jul'!$D$27:$AH$266,'Aug'!$D$27:$AH$266,'Sep'!$D$27:$AH$266,'Oct'!$D$27:$AH$266,'Nov'!$D$27:$AH$266,'Dec'!$D$27:$AH$266,'Jan (next year)'!$D$27:$AH$266),27+4*(IFERROR(MATCH(C1468,Roster!$B$6:$B$65,0),MATCH(C1468,Roster!$C$6:$C$65,0))-1)+MATCH(B1468,{"AM","PM","NIGHT","WD"},0)-1-27+1,DAY(A1468))&amp;"",""))</f>
        <v/>
      </c>
      <c r="G1468" s="123">
        <f>IF(OR(A1468="",C1468="",B1468="",E1468=""),"",IFERROR(A1468&amp;"|"&amp;(27+4*(IFERROR(MATCH(C1468,Roster!$B$6:$B$65,0),MATCH(C1468,Roster!$C$6:$C$65,0))-1)+MATCH(B1468,{"AM","PM","NIGHT","WD"},0)-1),""))</f>
        <v/>
      </c>
    </row>
    <row r="1469">
      <c r="A1469" s="122" t="n"/>
      <c r="B1469" s="107" t="n"/>
      <c r="C1469" s="105" t="n"/>
      <c r="D1469" s="92">
        <f>IF(C1469="","",IFERROR(INDEX(Roster!$C$6:$C$65,IFERROR(MATCH(C1469,Roster!$B$6:$B$65,0),MATCH(C1469,Roster!$C$6:$C$65,0))),"not on the Roster"))</f>
        <v/>
      </c>
      <c r="E1469" s="106" t="n"/>
      <c r="F1469" s="104">
        <f>IF(OR(A1469="",C1469="",B1469=""),"",IFERROR(INDEX(CHOOSE(IF(YEAR(A1469)&gt;PlanYear,13,MONTH(A1469)),'Jan'!$D$27:$AH$266,'Feb'!$D$27:$AH$266,'Mar'!$D$27:$AH$266,'Apr'!$D$27:$AH$266,'May'!$D$27:$AH$266,'Jun'!$D$27:$AH$266,'Jul'!$D$27:$AH$266,'Aug'!$D$27:$AH$266,'Sep'!$D$27:$AH$266,'Oct'!$D$27:$AH$266,'Nov'!$D$27:$AH$266,'Dec'!$D$27:$AH$266,'Jan (next year)'!$D$27:$AH$266),27+4*(IFERROR(MATCH(C1469,Roster!$B$6:$B$65,0),MATCH(C1469,Roster!$C$6:$C$65,0))-1)+MATCH(B1469,{"AM","PM","NIGHT","WD"},0)-1-27+1,DAY(A1469))&amp;"",""))</f>
        <v/>
      </c>
      <c r="G1469" s="123">
        <f>IF(OR(A1469="",C1469="",B1469="",E1469=""),"",IFERROR(A1469&amp;"|"&amp;(27+4*(IFERROR(MATCH(C1469,Roster!$B$6:$B$65,0),MATCH(C1469,Roster!$C$6:$C$65,0))-1)+MATCH(B1469,{"AM","PM","NIGHT","WD"},0)-1),""))</f>
        <v/>
      </c>
    </row>
    <row r="1470">
      <c r="A1470" s="122" t="n"/>
      <c r="B1470" s="107" t="n"/>
      <c r="C1470" s="105" t="n"/>
      <c r="D1470" s="92">
        <f>IF(C1470="","",IFERROR(INDEX(Roster!$C$6:$C$65,IFERROR(MATCH(C1470,Roster!$B$6:$B$65,0),MATCH(C1470,Roster!$C$6:$C$65,0))),"not on the Roster"))</f>
        <v/>
      </c>
      <c r="E1470" s="106" t="n"/>
      <c r="F1470" s="104">
        <f>IF(OR(A1470="",C1470="",B1470=""),"",IFERROR(INDEX(CHOOSE(IF(YEAR(A1470)&gt;PlanYear,13,MONTH(A1470)),'Jan'!$D$27:$AH$266,'Feb'!$D$27:$AH$266,'Mar'!$D$27:$AH$266,'Apr'!$D$27:$AH$266,'May'!$D$27:$AH$266,'Jun'!$D$27:$AH$266,'Jul'!$D$27:$AH$266,'Aug'!$D$27:$AH$266,'Sep'!$D$27:$AH$266,'Oct'!$D$27:$AH$266,'Nov'!$D$27:$AH$266,'Dec'!$D$27:$AH$266,'Jan (next year)'!$D$27:$AH$266),27+4*(IFERROR(MATCH(C1470,Roster!$B$6:$B$65,0),MATCH(C1470,Roster!$C$6:$C$65,0))-1)+MATCH(B1470,{"AM","PM","NIGHT","WD"},0)-1-27+1,DAY(A1470))&amp;"",""))</f>
        <v/>
      </c>
      <c r="G1470" s="123">
        <f>IF(OR(A1470="",C1470="",B1470="",E1470=""),"",IFERROR(A1470&amp;"|"&amp;(27+4*(IFERROR(MATCH(C1470,Roster!$B$6:$B$65,0),MATCH(C1470,Roster!$C$6:$C$65,0))-1)+MATCH(B1470,{"AM","PM","NIGHT","WD"},0)-1),""))</f>
        <v/>
      </c>
    </row>
    <row r="1471">
      <c r="A1471" s="122" t="n"/>
      <c r="B1471" s="107" t="n"/>
      <c r="C1471" s="105" t="n"/>
      <c r="D1471" s="92">
        <f>IF(C1471="","",IFERROR(INDEX(Roster!$C$6:$C$65,IFERROR(MATCH(C1471,Roster!$B$6:$B$65,0),MATCH(C1471,Roster!$C$6:$C$65,0))),"not on the Roster"))</f>
        <v/>
      </c>
      <c r="E1471" s="106" t="n"/>
      <c r="F1471" s="104">
        <f>IF(OR(A1471="",C1471="",B1471=""),"",IFERROR(INDEX(CHOOSE(IF(YEAR(A1471)&gt;PlanYear,13,MONTH(A1471)),'Jan'!$D$27:$AH$266,'Feb'!$D$27:$AH$266,'Mar'!$D$27:$AH$266,'Apr'!$D$27:$AH$266,'May'!$D$27:$AH$266,'Jun'!$D$27:$AH$266,'Jul'!$D$27:$AH$266,'Aug'!$D$27:$AH$266,'Sep'!$D$27:$AH$266,'Oct'!$D$27:$AH$266,'Nov'!$D$27:$AH$266,'Dec'!$D$27:$AH$266,'Jan (next year)'!$D$27:$AH$266),27+4*(IFERROR(MATCH(C1471,Roster!$B$6:$B$65,0),MATCH(C1471,Roster!$C$6:$C$65,0))-1)+MATCH(B1471,{"AM","PM","NIGHT","WD"},0)-1-27+1,DAY(A1471))&amp;"",""))</f>
        <v/>
      </c>
      <c r="G1471" s="123">
        <f>IF(OR(A1471="",C1471="",B1471="",E1471=""),"",IFERROR(A1471&amp;"|"&amp;(27+4*(IFERROR(MATCH(C1471,Roster!$B$6:$B$65,0),MATCH(C1471,Roster!$C$6:$C$65,0))-1)+MATCH(B1471,{"AM","PM","NIGHT","WD"},0)-1),""))</f>
        <v/>
      </c>
    </row>
    <row r="1472">
      <c r="A1472" s="122" t="n"/>
      <c r="B1472" s="107" t="n"/>
      <c r="C1472" s="105" t="n"/>
      <c r="D1472" s="92">
        <f>IF(C1472="","",IFERROR(INDEX(Roster!$C$6:$C$65,IFERROR(MATCH(C1472,Roster!$B$6:$B$65,0),MATCH(C1472,Roster!$C$6:$C$65,0))),"not on the Roster"))</f>
        <v/>
      </c>
      <c r="E1472" s="106" t="n"/>
      <c r="F1472" s="104">
        <f>IF(OR(A1472="",C1472="",B1472=""),"",IFERROR(INDEX(CHOOSE(IF(YEAR(A1472)&gt;PlanYear,13,MONTH(A1472)),'Jan'!$D$27:$AH$266,'Feb'!$D$27:$AH$266,'Mar'!$D$27:$AH$266,'Apr'!$D$27:$AH$266,'May'!$D$27:$AH$266,'Jun'!$D$27:$AH$266,'Jul'!$D$27:$AH$266,'Aug'!$D$27:$AH$266,'Sep'!$D$27:$AH$266,'Oct'!$D$27:$AH$266,'Nov'!$D$27:$AH$266,'Dec'!$D$27:$AH$266,'Jan (next year)'!$D$27:$AH$266),27+4*(IFERROR(MATCH(C1472,Roster!$B$6:$B$65,0),MATCH(C1472,Roster!$C$6:$C$65,0))-1)+MATCH(B1472,{"AM","PM","NIGHT","WD"},0)-1-27+1,DAY(A1472))&amp;"",""))</f>
        <v/>
      </c>
      <c r="G1472" s="123">
        <f>IF(OR(A1472="",C1472="",B1472="",E1472=""),"",IFERROR(A1472&amp;"|"&amp;(27+4*(IFERROR(MATCH(C1472,Roster!$B$6:$B$65,0),MATCH(C1472,Roster!$C$6:$C$65,0))-1)+MATCH(B1472,{"AM","PM","NIGHT","WD"},0)-1),""))</f>
        <v/>
      </c>
    </row>
    <row r="1473">
      <c r="A1473" s="122" t="n"/>
      <c r="B1473" s="107" t="n"/>
      <c r="C1473" s="105" t="n"/>
      <c r="D1473" s="92">
        <f>IF(C1473="","",IFERROR(INDEX(Roster!$C$6:$C$65,IFERROR(MATCH(C1473,Roster!$B$6:$B$65,0),MATCH(C1473,Roster!$C$6:$C$65,0))),"not on the Roster"))</f>
        <v/>
      </c>
      <c r="E1473" s="106" t="n"/>
      <c r="F1473" s="104">
        <f>IF(OR(A1473="",C1473="",B1473=""),"",IFERROR(INDEX(CHOOSE(IF(YEAR(A1473)&gt;PlanYear,13,MONTH(A1473)),'Jan'!$D$27:$AH$266,'Feb'!$D$27:$AH$266,'Mar'!$D$27:$AH$266,'Apr'!$D$27:$AH$266,'May'!$D$27:$AH$266,'Jun'!$D$27:$AH$266,'Jul'!$D$27:$AH$266,'Aug'!$D$27:$AH$266,'Sep'!$D$27:$AH$266,'Oct'!$D$27:$AH$266,'Nov'!$D$27:$AH$266,'Dec'!$D$27:$AH$266,'Jan (next year)'!$D$27:$AH$266),27+4*(IFERROR(MATCH(C1473,Roster!$B$6:$B$65,0),MATCH(C1473,Roster!$C$6:$C$65,0))-1)+MATCH(B1473,{"AM","PM","NIGHT","WD"},0)-1-27+1,DAY(A1473))&amp;"",""))</f>
        <v/>
      </c>
      <c r="G1473" s="123">
        <f>IF(OR(A1473="",C1473="",B1473="",E1473=""),"",IFERROR(A1473&amp;"|"&amp;(27+4*(IFERROR(MATCH(C1473,Roster!$B$6:$B$65,0),MATCH(C1473,Roster!$C$6:$C$65,0))-1)+MATCH(B1473,{"AM","PM","NIGHT","WD"},0)-1),""))</f>
        <v/>
      </c>
    </row>
    <row r="1474">
      <c r="A1474" s="122" t="n"/>
      <c r="B1474" s="107" t="n"/>
      <c r="C1474" s="105" t="n"/>
      <c r="D1474" s="92">
        <f>IF(C1474="","",IFERROR(INDEX(Roster!$C$6:$C$65,IFERROR(MATCH(C1474,Roster!$B$6:$B$65,0),MATCH(C1474,Roster!$C$6:$C$65,0))),"not on the Roster"))</f>
        <v/>
      </c>
      <c r="E1474" s="106" t="n"/>
      <c r="F1474" s="104">
        <f>IF(OR(A1474="",C1474="",B1474=""),"",IFERROR(INDEX(CHOOSE(IF(YEAR(A1474)&gt;PlanYear,13,MONTH(A1474)),'Jan'!$D$27:$AH$266,'Feb'!$D$27:$AH$266,'Mar'!$D$27:$AH$266,'Apr'!$D$27:$AH$266,'May'!$D$27:$AH$266,'Jun'!$D$27:$AH$266,'Jul'!$D$27:$AH$266,'Aug'!$D$27:$AH$266,'Sep'!$D$27:$AH$266,'Oct'!$D$27:$AH$266,'Nov'!$D$27:$AH$266,'Dec'!$D$27:$AH$266,'Jan (next year)'!$D$27:$AH$266),27+4*(IFERROR(MATCH(C1474,Roster!$B$6:$B$65,0),MATCH(C1474,Roster!$C$6:$C$65,0))-1)+MATCH(B1474,{"AM","PM","NIGHT","WD"},0)-1-27+1,DAY(A1474))&amp;"",""))</f>
        <v/>
      </c>
      <c r="G1474" s="123">
        <f>IF(OR(A1474="",C1474="",B1474="",E1474=""),"",IFERROR(A1474&amp;"|"&amp;(27+4*(IFERROR(MATCH(C1474,Roster!$B$6:$B$65,0),MATCH(C1474,Roster!$C$6:$C$65,0))-1)+MATCH(B1474,{"AM","PM","NIGHT","WD"},0)-1),""))</f>
        <v/>
      </c>
    </row>
    <row r="1475">
      <c r="A1475" s="122" t="n"/>
      <c r="B1475" s="107" t="n"/>
      <c r="C1475" s="105" t="n"/>
      <c r="D1475" s="92">
        <f>IF(C1475="","",IFERROR(INDEX(Roster!$C$6:$C$65,IFERROR(MATCH(C1475,Roster!$B$6:$B$65,0),MATCH(C1475,Roster!$C$6:$C$65,0))),"not on the Roster"))</f>
        <v/>
      </c>
      <c r="E1475" s="106" t="n"/>
      <c r="F1475" s="104">
        <f>IF(OR(A1475="",C1475="",B1475=""),"",IFERROR(INDEX(CHOOSE(IF(YEAR(A1475)&gt;PlanYear,13,MONTH(A1475)),'Jan'!$D$27:$AH$266,'Feb'!$D$27:$AH$266,'Mar'!$D$27:$AH$266,'Apr'!$D$27:$AH$266,'May'!$D$27:$AH$266,'Jun'!$D$27:$AH$266,'Jul'!$D$27:$AH$266,'Aug'!$D$27:$AH$266,'Sep'!$D$27:$AH$266,'Oct'!$D$27:$AH$266,'Nov'!$D$27:$AH$266,'Dec'!$D$27:$AH$266,'Jan (next year)'!$D$27:$AH$266),27+4*(IFERROR(MATCH(C1475,Roster!$B$6:$B$65,0),MATCH(C1475,Roster!$C$6:$C$65,0))-1)+MATCH(B1475,{"AM","PM","NIGHT","WD"},0)-1-27+1,DAY(A1475))&amp;"",""))</f>
        <v/>
      </c>
      <c r="G1475" s="123">
        <f>IF(OR(A1475="",C1475="",B1475="",E1475=""),"",IFERROR(A1475&amp;"|"&amp;(27+4*(IFERROR(MATCH(C1475,Roster!$B$6:$B$65,0),MATCH(C1475,Roster!$C$6:$C$65,0))-1)+MATCH(B1475,{"AM","PM","NIGHT","WD"},0)-1),""))</f>
        <v/>
      </c>
    </row>
    <row r="1476">
      <c r="A1476" s="122" t="n"/>
      <c r="B1476" s="107" t="n"/>
      <c r="C1476" s="105" t="n"/>
      <c r="D1476" s="92">
        <f>IF(C1476="","",IFERROR(INDEX(Roster!$C$6:$C$65,IFERROR(MATCH(C1476,Roster!$B$6:$B$65,0),MATCH(C1476,Roster!$C$6:$C$65,0))),"not on the Roster"))</f>
        <v/>
      </c>
      <c r="E1476" s="106" t="n"/>
      <c r="F1476" s="104">
        <f>IF(OR(A1476="",C1476="",B1476=""),"",IFERROR(INDEX(CHOOSE(IF(YEAR(A1476)&gt;PlanYear,13,MONTH(A1476)),'Jan'!$D$27:$AH$266,'Feb'!$D$27:$AH$266,'Mar'!$D$27:$AH$266,'Apr'!$D$27:$AH$266,'May'!$D$27:$AH$266,'Jun'!$D$27:$AH$266,'Jul'!$D$27:$AH$266,'Aug'!$D$27:$AH$266,'Sep'!$D$27:$AH$266,'Oct'!$D$27:$AH$266,'Nov'!$D$27:$AH$266,'Dec'!$D$27:$AH$266,'Jan (next year)'!$D$27:$AH$266),27+4*(IFERROR(MATCH(C1476,Roster!$B$6:$B$65,0),MATCH(C1476,Roster!$C$6:$C$65,0))-1)+MATCH(B1476,{"AM","PM","NIGHT","WD"},0)-1-27+1,DAY(A1476))&amp;"",""))</f>
        <v/>
      </c>
      <c r="G1476" s="123">
        <f>IF(OR(A1476="",C1476="",B1476="",E1476=""),"",IFERROR(A1476&amp;"|"&amp;(27+4*(IFERROR(MATCH(C1476,Roster!$B$6:$B$65,0),MATCH(C1476,Roster!$C$6:$C$65,0))-1)+MATCH(B1476,{"AM","PM","NIGHT","WD"},0)-1),""))</f>
        <v/>
      </c>
    </row>
    <row r="1477">
      <c r="A1477" s="122" t="n"/>
      <c r="B1477" s="107" t="n"/>
      <c r="C1477" s="105" t="n"/>
      <c r="D1477" s="92">
        <f>IF(C1477="","",IFERROR(INDEX(Roster!$C$6:$C$65,IFERROR(MATCH(C1477,Roster!$B$6:$B$65,0),MATCH(C1477,Roster!$C$6:$C$65,0))),"not on the Roster"))</f>
        <v/>
      </c>
      <c r="E1477" s="106" t="n"/>
      <c r="F1477" s="104">
        <f>IF(OR(A1477="",C1477="",B1477=""),"",IFERROR(INDEX(CHOOSE(IF(YEAR(A1477)&gt;PlanYear,13,MONTH(A1477)),'Jan'!$D$27:$AH$266,'Feb'!$D$27:$AH$266,'Mar'!$D$27:$AH$266,'Apr'!$D$27:$AH$266,'May'!$D$27:$AH$266,'Jun'!$D$27:$AH$266,'Jul'!$D$27:$AH$266,'Aug'!$D$27:$AH$266,'Sep'!$D$27:$AH$266,'Oct'!$D$27:$AH$266,'Nov'!$D$27:$AH$266,'Dec'!$D$27:$AH$266,'Jan (next year)'!$D$27:$AH$266),27+4*(IFERROR(MATCH(C1477,Roster!$B$6:$B$65,0),MATCH(C1477,Roster!$C$6:$C$65,0))-1)+MATCH(B1477,{"AM","PM","NIGHT","WD"},0)-1-27+1,DAY(A1477))&amp;"",""))</f>
        <v/>
      </c>
      <c r="G1477" s="123">
        <f>IF(OR(A1477="",C1477="",B1477="",E1477=""),"",IFERROR(A1477&amp;"|"&amp;(27+4*(IFERROR(MATCH(C1477,Roster!$B$6:$B$65,0),MATCH(C1477,Roster!$C$6:$C$65,0))-1)+MATCH(B1477,{"AM","PM","NIGHT","WD"},0)-1),""))</f>
        <v/>
      </c>
    </row>
    <row r="1478">
      <c r="A1478" s="122" t="n"/>
      <c r="B1478" s="107" t="n"/>
      <c r="C1478" s="105" t="n"/>
      <c r="D1478" s="92">
        <f>IF(C1478="","",IFERROR(INDEX(Roster!$C$6:$C$65,IFERROR(MATCH(C1478,Roster!$B$6:$B$65,0),MATCH(C1478,Roster!$C$6:$C$65,0))),"not on the Roster"))</f>
        <v/>
      </c>
      <c r="E1478" s="106" t="n"/>
      <c r="F1478" s="104">
        <f>IF(OR(A1478="",C1478="",B1478=""),"",IFERROR(INDEX(CHOOSE(IF(YEAR(A1478)&gt;PlanYear,13,MONTH(A1478)),'Jan'!$D$27:$AH$266,'Feb'!$D$27:$AH$266,'Mar'!$D$27:$AH$266,'Apr'!$D$27:$AH$266,'May'!$D$27:$AH$266,'Jun'!$D$27:$AH$266,'Jul'!$D$27:$AH$266,'Aug'!$D$27:$AH$266,'Sep'!$D$27:$AH$266,'Oct'!$D$27:$AH$266,'Nov'!$D$27:$AH$266,'Dec'!$D$27:$AH$266,'Jan (next year)'!$D$27:$AH$266),27+4*(IFERROR(MATCH(C1478,Roster!$B$6:$B$65,0),MATCH(C1478,Roster!$C$6:$C$65,0))-1)+MATCH(B1478,{"AM","PM","NIGHT","WD"},0)-1-27+1,DAY(A1478))&amp;"",""))</f>
        <v/>
      </c>
      <c r="G1478" s="123">
        <f>IF(OR(A1478="",C1478="",B1478="",E1478=""),"",IFERROR(A1478&amp;"|"&amp;(27+4*(IFERROR(MATCH(C1478,Roster!$B$6:$B$65,0),MATCH(C1478,Roster!$C$6:$C$65,0))-1)+MATCH(B1478,{"AM","PM","NIGHT","WD"},0)-1),""))</f>
        <v/>
      </c>
    </row>
    <row r="1479">
      <c r="A1479" s="122" t="n"/>
      <c r="B1479" s="107" t="n"/>
      <c r="C1479" s="105" t="n"/>
      <c r="D1479" s="92">
        <f>IF(C1479="","",IFERROR(INDEX(Roster!$C$6:$C$65,IFERROR(MATCH(C1479,Roster!$B$6:$B$65,0),MATCH(C1479,Roster!$C$6:$C$65,0))),"not on the Roster"))</f>
        <v/>
      </c>
      <c r="E1479" s="106" t="n"/>
      <c r="F1479" s="104">
        <f>IF(OR(A1479="",C1479="",B1479=""),"",IFERROR(INDEX(CHOOSE(IF(YEAR(A1479)&gt;PlanYear,13,MONTH(A1479)),'Jan'!$D$27:$AH$266,'Feb'!$D$27:$AH$266,'Mar'!$D$27:$AH$266,'Apr'!$D$27:$AH$266,'May'!$D$27:$AH$266,'Jun'!$D$27:$AH$266,'Jul'!$D$27:$AH$266,'Aug'!$D$27:$AH$266,'Sep'!$D$27:$AH$266,'Oct'!$D$27:$AH$266,'Nov'!$D$27:$AH$266,'Dec'!$D$27:$AH$266,'Jan (next year)'!$D$27:$AH$266),27+4*(IFERROR(MATCH(C1479,Roster!$B$6:$B$65,0),MATCH(C1479,Roster!$C$6:$C$65,0))-1)+MATCH(B1479,{"AM","PM","NIGHT","WD"},0)-1-27+1,DAY(A1479))&amp;"",""))</f>
        <v/>
      </c>
      <c r="G1479" s="123">
        <f>IF(OR(A1479="",C1479="",B1479="",E1479=""),"",IFERROR(A1479&amp;"|"&amp;(27+4*(IFERROR(MATCH(C1479,Roster!$B$6:$B$65,0),MATCH(C1479,Roster!$C$6:$C$65,0))-1)+MATCH(B1479,{"AM","PM","NIGHT","WD"},0)-1),""))</f>
        <v/>
      </c>
    </row>
    <row r="1480">
      <c r="A1480" s="122" t="n"/>
      <c r="B1480" s="107" t="n"/>
      <c r="C1480" s="105" t="n"/>
      <c r="D1480" s="92">
        <f>IF(C1480="","",IFERROR(INDEX(Roster!$C$6:$C$65,IFERROR(MATCH(C1480,Roster!$B$6:$B$65,0),MATCH(C1480,Roster!$C$6:$C$65,0))),"not on the Roster"))</f>
        <v/>
      </c>
      <c r="E1480" s="106" t="n"/>
      <c r="F1480" s="104">
        <f>IF(OR(A1480="",C1480="",B1480=""),"",IFERROR(INDEX(CHOOSE(IF(YEAR(A1480)&gt;PlanYear,13,MONTH(A1480)),'Jan'!$D$27:$AH$266,'Feb'!$D$27:$AH$266,'Mar'!$D$27:$AH$266,'Apr'!$D$27:$AH$266,'May'!$D$27:$AH$266,'Jun'!$D$27:$AH$266,'Jul'!$D$27:$AH$266,'Aug'!$D$27:$AH$266,'Sep'!$D$27:$AH$266,'Oct'!$D$27:$AH$266,'Nov'!$D$27:$AH$266,'Dec'!$D$27:$AH$266,'Jan (next year)'!$D$27:$AH$266),27+4*(IFERROR(MATCH(C1480,Roster!$B$6:$B$65,0),MATCH(C1480,Roster!$C$6:$C$65,0))-1)+MATCH(B1480,{"AM","PM","NIGHT","WD"},0)-1-27+1,DAY(A1480))&amp;"",""))</f>
        <v/>
      </c>
      <c r="G1480" s="123">
        <f>IF(OR(A1480="",C1480="",B1480="",E1480=""),"",IFERROR(A1480&amp;"|"&amp;(27+4*(IFERROR(MATCH(C1480,Roster!$B$6:$B$65,0),MATCH(C1480,Roster!$C$6:$C$65,0))-1)+MATCH(B1480,{"AM","PM","NIGHT","WD"},0)-1),""))</f>
        <v/>
      </c>
    </row>
    <row r="1481">
      <c r="A1481" s="122" t="n"/>
      <c r="B1481" s="107" t="n"/>
      <c r="C1481" s="105" t="n"/>
      <c r="D1481" s="92">
        <f>IF(C1481="","",IFERROR(INDEX(Roster!$C$6:$C$65,IFERROR(MATCH(C1481,Roster!$B$6:$B$65,0),MATCH(C1481,Roster!$C$6:$C$65,0))),"not on the Roster"))</f>
        <v/>
      </c>
      <c r="E1481" s="106" t="n"/>
      <c r="F1481" s="104">
        <f>IF(OR(A1481="",C1481="",B1481=""),"",IFERROR(INDEX(CHOOSE(IF(YEAR(A1481)&gt;PlanYear,13,MONTH(A1481)),'Jan'!$D$27:$AH$266,'Feb'!$D$27:$AH$266,'Mar'!$D$27:$AH$266,'Apr'!$D$27:$AH$266,'May'!$D$27:$AH$266,'Jun'!$D$27:$AH$266,'Jul'!$D$27:$AH$266,'Aug'!$D$27:$AH$266,'Sep'!$D$27:$AH$266,'Oct'!$D$27:$AH$266,'Nov'!$D$27:$AH$266,'Dec'!$D$27:$AH$266,'Jan (next year)'!$D$27:$AH$266),27+4*(IFERROR(MATCH(C1481,Roster!$B$6:$B$65,0),MATCH(C1481,Roster!$C$6:$C$65,0))-1)+MATCH(B1481,{"AM","PM","NIGHT","WD"},0)-1-27+1,DAY(A1481))&amp;"",""))</f>
        <v/>
      </c>
      <c r="G1481" s="123">
        <f>IF(OR(A1481="",C1481="",B1481="",E1481=""),"",IFERROR(A1481&amp;"|"&amp;(27+4*(IFERROR(MATCH(C1481,Roster!$B$6:$B$65,0),MATCH(C1481,Roster!$C$6:$C$65,0))-1)+MATCH(B1481,{"AM","PM","NIGHT","WD"},0)-1),""))</f>
        <v/>
      </c>
    </row>
    <row r="1482">
      <c r="A1482" s="122" t="n"/>
      <c r="B1482" s="107" t="n"/>
      <c r="C1482" s="105" t="n"/>
      <c r="D1482" s="92">
        <f>IF(C1482="","",IFERROR(INDEX(Roster!$C$6:$C$65,IFERROR(MATCH(C1482,Roster!$B$6:$B$65,0),MATCH(C1482,Roster!$C$6:$C$65,0))),"not on the Roster"))</f>
        <v/>
      </c>
      <c r="E1482" s="106" t="n"/>
      <c r="F1482" s="104">
        <f>IF(OR(A1482="",C1482="",B1482=""),"",IFERROR(INDEX(CHOOSE(IF(YEAR(A1482)&gt;PlanYear,13,MONTH(A1482)),'Jan'!$D$27:$AH$266,'Feb'!$D$27:$AH$266,'Mar'!$D$27:$AH$266,'Apr'!$D$27:$AH$266,'May'!$D$27:$AH$266,'Jun'!$D$27:$AH$266,'Jul'!$D$27:$AH$266,'Aug'!$D$27:$AH$266,'Sep'!$D$27:$AH$266,'Oct'!$D$27:$AH$266,'Nov'!$D$27:$AH$266,'Dec'!$D$27:$AH$266,'Jan (next year)'!$D$27:$AH$266),27+4*(IFERROR(MATCH(C1482,Roster!$B$6:$B$65,0),MATCH(C1482,Roster!$C$6:$C$65,0))-1)+MATCH(B1482,{"AM","PM","NIGHT","WD"},0)-1-27+1,DAY(A1482))&amp;"",""))</f>
        <v/>
      </c>
      <c r="G1482" s="123">
        <f>IF(OR(A1482="",C1482="",B1482="",E1482=""),"",IFERROR(A1482&amp;"|"&amp;(27+4*(IFERROR(MATCH(C1482,Roster!$B$6:$B$65,0),MATCH(C1482,Roster!$C$6:$C$65,0))-1)+MATCH(B1482,{"AM","PM","NIGHT","WD"},0)-1),""))</f>
        <v/>
      </c>
    </row>
    <row r="1483">
      <c r="A1483" s="122" t="n"/>
      <c r="B1483" s="107" t="n"/>
      <c r="C1483" s="105" t="n"/>
      <c r="D1483" s="92">
        <f>IF(C1483="","",IFERROR(INDEX(Roster!$C$6:$C$65,IFERROR(MATCH(C1483,Roster!$B$6:$B$65,0),MATCH(C1483,Roster!$C$6:$C$65,0))),"not on the Roster"))</f>
        <v/>
      </c>
      <c r="E1483" s="106" t="n"/>
      <c r="F1483" s="104">
        <f>IF(OR(A1483="",C1483="",B1483=""),"",IFERROR(INDEX(CHOOSE(IF(YEAR(A1483)&gt;PlanYear,13,MONTH(A1483)),'Jan'!$D$27:$AH$266,'Feb'!$D$27:$AH$266,'Mar'!$D$27:$AH$266,'Apr'!$D$27:$AH$266,'May'!$D$27:$AH$266,'Jun'!$D$27:$AH$266,'Jul'!$D$27:$AH$266,'Aug'!$D$27:$AH$266,'Sep'!$D$27:$AH$266,'Oct'!$D$27:$AH$266,'Nov'!$D$27:$AH$266,'Dec'!$D$27:$AH$266,'Jan (next year)'!$D$27:$AH$266),27+4*(IFERROR(MATCH(C1483,Roster!$B$6:$B$65,0),MATCH(C1483,Roster!$C$6:$C$65,0))-1)+MATCH(B1483,{"AM","PM","NIGHT","WD"},0)-1-27+1,DAY(A1483))&amp;"",""))</f>
        <v/>
      </c>
      <c r="G1483" s="123">
        <f>IF(OR(A1483="",C1483="",B1483="",E1483=""),"",IFERROR(A1483&amp;"|"&amp;(27+4*(IFERROR(MATCH(C1483,Roster!$B$6:$B$65,0),MATCH(C1483,Roster!$C$6:$C$65,0))-1)+MATCH(B1483,{"AM","PM","NIGHT","WD"},0)-1),""))</f>
        <v/>
      </c>
    </row>
    <row r="1484">
      <c r="A1484" s="122" t="n"/>
      <c r="B1484" s="107" t="n"/>
      <c r="C1484" s="105" t="n"/>
      <c r="D1484" s="92">
        <f>IF(C1484="","",IFERROR(INDEX(Roster!$C$6:$C$65,IFERROR(MATCH(C1484,Roster!$B$6:$B$65,0),MATCH(C1484,Roster!$C$6:$C$65,0))),"not on the Roster"))</f>
        <v/>
      </c>
      <c r="E1484" s="106" t="n"/>
      <c r="F1484" s="104">
        <f>IF(OR(A1484="",C1484="",B1484=""),"",IFERROR(INDEX(CHOOSE(IF(YEAR(A1484)&gt;PlanYear,13,MONTH(A1484)),'Jan'!$D$27:$AH$266,'Feb'!$D$27:$AH$266,'Mar'!$D$27:$AH$266,'Apr'!$D$27:$AH$266,'May'!$D$27:$AH$266,'Jun'!$D$27:$AH$266,'Jul'!$D$27:$AH$266,'Aug'!$D$27:$AH$266,'Sep'!$D$27:$AH$266,'Oct'!$D$27:$AH$266,'Nov'!$D$27:$AH$266,'Dec'!$D$27:$AH$266,'Jan (next year)'!$D$27:$AH$266),27+4*(IFERROR(MATCH(C1484,Roster!$B$6:$B$65,0),MATCH(C1484,Roster!$C$6:$C$65,0))-1)+MATCH(B1484,{"AM","PM","NIGHT","WD"},0)-1-27+1,DAY(A1484))&amp;"",""))</f>
        <v/>
      </c>
      <c r="G1484" s="123">
        <f>IF(OR(A1484="",C1484="",B1484="",E1484=""),"",IFERROR(A1484&amp;"|"&amp;(27+4*(IFERROR(MATCH(C1484,Roster!$B$6:$B$65,0),MATCH(C1484,Roster!$C$6:$C$65,0))-1)+MATCH(B1484,{"AM","PM","NIGHT","WD"},0)-1),""))</f>
        <v/>
      </c>
    </row>
    <row r="1485">
      <c r="A1485" s="122" t="n"/>
      <c r="B1485" s="107" t="n"/>
      <c r="C1485" s="105" t="n"/>
      <c r="D1485" s="92">
        <f>IF(C1485="","",IFERROR(INDEX(Roster!$C$6:$C$65,IFERROR(MATCH(C1485,Roster!$B$6:$B$65,0),MATCH(C1485,Roster!$C$6:$C$65,0))),"not on the Roster"))</f>
        <v/>
      </c>
      <c r="E1485" s="106" t="n"/>
      <c r="F1485" s="104">
        <f>IF(OR(A1485="",C1485="",B1485=""),"",IFERROR(INDEX(CHOOSE(IF(YEAR(A1485)&gt;PlanYear,13,MONTH(A1485)),'Jan'!$D$27:$AH$266,'Feb'!$D$27:$AH$266,'Mar'!$D$27:$AH$266,'Apr'!$D$27:$AH$266,'May'!$D$27:$AH$266,'Jun'!$D$27:$AH$266,'Jul'!$D$27:$AH$266,'Aug'!$D$27:$AH$266,'Sep'!$D$27:$AH$266,'Oct'!$D$27:$AH$266,'Nov'!$D$27:$AH$266,'Dec'!$D$27:$AH$266,'Jan (next year)'!$D$27:$AH$266),27+4*(IFERROR(MATCH(C1485,Roster!$B$6:$B$65,0),MATCH(C1485,Roster!$C$6:$C$65,0))-1)+MATCH(B1485,{"AM","PM","NIGHT","WD"},0)-1-27+1,DAY(A1485))&amp;"",""))</f>
        <v/>
      </c>
      <c r="G1485" s="123">
        <f>IF(OR(A1485="",C1485="",B1485="",E1485=""),"",IFERROR(A1485&amp;"|"&amp;(27+4*(IFERROR(MATCH(C1485,Roster!$B$6:$B$65,0),MATCH(C1485,Roster!$C$6:$C$65,0))-1)+MATCH(B1485,{"AM","PM","NIGHT","WD"},0)-1),""))</f>
        <v/>
      </c>
    </row>
    <row r="1486">
      <c r="A1486" s="122" t="n"/>
      <c r="B1486" s="107" t="n"/>
      <c r="C1486" s="105" t="n"/>
      <c r="D1486" s="92">
        <f>IF(C1486="","",IFERROR(INDEX(Roster!$C$6:$C$65,IFERROR(MATCH(C1486,Roster!$B$6:$B$65,0),MATCH(C1486,Roster!$C$6:$C$65,0))),"not on the Roster"))</f>
        <v/>
      </c>
      <c r="E1486" s="106" t="n"/>
      <c r="F1486" s="104">
        <f>IF(OR(A1486="",C1486="",B1486=""),"",IFERROR(INDEX(CHOOSE(IF(YEAR(A1486)&gt;PlanYear,13,MONTH(A1486)),'Jan'!$D$27:$AH$266,'Feb'!$D$27:$AH$266,'Mar'!$D$27:$AH$266,'Apr'!$D$27:$AH$266,'May'!$D$27:$AH$266,'Jun'!$D$27:$AH$266,'Jul'!$D$27:$AH$266,'Aug'!$D$27:$AH$266,'Sep'!$D$27:$AH$266,'Oct'!$D$27:$AH$266,'Nov'!$D$27:$AH$266,'Dec'!$D$27:$AH$266,'Jan (next year)'!$D$27:$AH$266),27+4*(IFERROR(MATCH(C1486,Roster!$B$6:$B$65,0),MATCH(C1486,Roster!$C$6:$C$65,0))-1)+MATCH(B1486,{"AM","PM","NIGHT","WD"},0)-1-27+1,DAY(A1486))&amp;"",""))</f>
        <v/>
      </c>
      <c r="G1486" s="123">
        <f>IF(OR(A1486="",C1486="",B1486="",E1486=""),"",IFERROR(A1486&amp;"|"&amp;(27+4*(IFERROR(MATCH(C1486,Roster!$B$6:$B$65,0),MATCH(C1486,Roster!$C$6:$C$65,0))-1)+MATCH(B1486,{"AM","PM","NIGHT","WD"},0)-1),""))</f>
        <v/>
      </c>
    </row>
    <row r="1487">
      <c r="A1487" s="122" t="n"/>
      <c r="B1487" s="107" t="n"/>
      <c r="C1487" s="105" t="n"/>
      <c r="D1487" s="92">
        <f>IF(C1487="","",IFERROR(INDEX(Roster!$C$6:$C$65,IFERROR(MATCH(C1487,Roster!$B$6:$B$65,0),MATCH(C1487,Roster!$C$6:$C$65,0))),"not on the Roster"))</f>
        <v/>
      </c>
      <c r="E1487" s="106" t="n"/>
      <c r="F1487" s="104">
        <f>IF(OR(A1487="",C1487="",B1487=""),"",IFERROR(INDEX(CHOOSE(IF(YEAR(A1487)&gt;PlanYear,13,MONTH(A1487)),'Jan'!$D$27:$AH$266,'Feb'!$D$27:$AH$266,'Mar'!$D$27:$AH$266,'Apr'!$D$27:$AH$266,'May'!$D$27:$AH$266,'Jun'!$D$27:$AH$266,'Jul'!$D$27:$AH$266,'Aug'!$D$27:$AH$266,'Sep'!$D$27:$AH$266,'Oct'!$D$27:$AH$266,'Nov'!$D$27:$AH$266,'Dec'!$D$27:$AH$266,'Jan (next year)'!$D$27:$AH$266),27+4*(IFERROR(MATCH(C1487,Roster!$B$6:$B$65,0),MATCH(C1487,Roster!$C$6:$C$65,0))-1)+MATCH(B1487,{"AM","PM","NIGHT","WD"},0)-1-27+1,DAY(A1487))&amp;"",""))</f>
        <v/>
      </c>
      <c r="G1487" s="123">
        <f>IF(OR(A1487="",C1487="",B1487="",E1487=""),"",IFERROR(A1487&amp;"|"&amp;(27+4*(IFERROR(MATCH(C1487,Roster!$B$6:$B$65,0),MATCH(C1487,Roster!$C$6:$C$65,0))-1)+MATCH(B1487,{"AM","PM","NIGHT","WD"},0)-1),""))</f>
        <v/>
      </c>
    </row>
    <row r="1488">
      <c r="A1488" s="122" t="n"/>
      <c r="B1488" s="107" t="n"/>
      <c r="C1488" s="105" t="n"/>
      <c r="D1488" s="92">
        <f>IF(C1488="","",IFERROR(INDEX(Roster!$C$6:$C$65,IFERROR(MATCH(C1488,Roster!$B$6:$B$65,0),MATCH(C1488,Roster!$C$6:$C$65,0))),"not on the Roster"))</f>
        <v/>
      </c>
      <c r="E1488" s="106" t="n"/>
      <c r="F1488" s="104">
        <f>IF(OR(A1488="",C1488="",B1488=""),"",IFERROR(INDEX(CHOOSE(IF(YEAR(A1488)&gt;PlanYear,13,MONTH(A1488)),'Jan'!$D$27:$AH$266,'Feb'!$D$27:$AH$266,'Mar'!$D$27:$AH$266,'Apr'!$D$27:$AH$266,'May'!$D$27:$AH$266,'Jun'!$D$27:$AH$266,'Jul'!$D$27:$AH$266,'Aug'!$D$27:$AH$266,'Sep'!$D$27:$AH$266,'Oct'!$D$27:$AH$266,'Nov'!$D$27:$AH$266,'Dec'!$D$27:$AH$266,'Jan (next year)'!$D$27:$AH$266),27+4*(IFERROR(MATCH(C1488,Roster!$B$6:$B$65,0),MATCH(C1488,Roster!$C$6:$C$65,0))-1)+MATCH(B1488,{"AM","PM","NIGHT","WD"},0)-1-27+1,DAY(A1488))&amp;"",""))</f>
        <v/>
      </c>
      <c r="G1488" s="123">
        <f>IF(OR(A1488="",C1488="",B1488="",E1488=""),"",IFERROR(A1488&amp;"|"&amp;(27+4*(IFERROR(MATCH(C1488,Roster!$B$6:$B$65,0),MATCH(C1488,Roster!$C$6:$C$65,0))-1)+MATCH(B1488,{"AM","PM","NIGHT","WD"},0)-1),""))</f>
        <v/>
      </c>
    </row>
    <row r="1489">
      <c r="A1489" s="122" t="n"/>
      <c r="B1489" s="107" t="n"/>
      <c r="C1489" s="105" t="n"/>
      <c r="D1489" s="92">
        <f>IF(C1489="","",IFERROR(INDEX(Roster!$C$6:$C$65,IFERROR(MATCH(C1489,Roster!$B$6:$B$65,0),MATCH(C1489,Roster!$C$6:$C$65,0))),"not on the Roster"))</f>
        <v/>
      </c>
      <c r="E1489" s="106" t="n"/>
      <c r="F1489" s="104">
        <f>IF(OR(A1489="",C1489="",B1489=""),"",IFERROR(INDEX(CHOOSE(IF(YEAR(A1489)&gt;PlanYear,13,MONTH(A1489)),'Jan'!$D$27:$AH$266,'Feb'!$D$27:$AH$266,'Mar'!$D$27:$AH$266,'Apr'!$D$27:$AH$266,'May'!$D$27:$AH$266,'Jun'!$D$27:$AH$266,'Jul'!$D$27:$AH$266,'Aug'!$D$27:$AH$266,'Sep'!$D$27:$AH$266,'Oct'!$D$27:$AH$266,'Nov'!$D$27:$AH$266,'Dec'!$D$27:$AH$266,'Jan (next year)'!$D$27:$AH$266),27+4*(IFERROR(MATCH(C1489,Roster!$B$6:$B$65,0),MATCH(C1489,Roster!$C$6:$C$65,0))-1)+MATCH(B1489,{"AM","PM","NIGHT","WD"},0)-1-27+1,DAY(A1489))&amp;"",""))</f>
        <v/>
      </c>
      <c r="G1489" s="123">
        <f>IF(OR(A1489="",C1489="",B1489="",E1489=""),"",IFERROR(A1489&amp;"|"&amp;(27+4*(IFERROR(MATCH(C1489,Roster!$B$6:$B$65,0),MATCH(C1489,Roster!$C$6:$C$65,0))-1)+MATCH(B1489,{"AM","PM","NIGHT","WD"},0)-1),""))</f>
        <v/>
      </c>
    </row>
    <row r="1490">
      <c r="A1490" s="122" t="n"/>
      <c r="B1490" s="107" t="n"/>
      <c r="C1490" s="105" t="n"/>
      <c r="D1490" s="92">
        <f>IF(C1490="","",IFERROR(INDEX(Roster!$C$6:$C$65,IFERROR(MATCH(C1490,Roster!$B$6:$B$65,0),MATCH(C1490,Roster!$C$6:$C$65,0))),"not on the Roster"))</f>
        <v/>
      </c>
      <c r="E1490" s="106" t="n"/>
      <c r="F1490" s="104">
        <f>IF(OR(A1490="",C1490="",B1490=""),"",IFERROR(INDEX(CHOOSE(IF(YEAR(A1490)&gt;PlanYear,13,MONTH(A1490)),'Jan'!$D$27:$AH$266,'Feb'!$D$27:$AH$266,'Mar'!$D$27:$AH$266,'Apr'!$D$27:$AH$266,'May'!$D$27:$AH$266,'Jun'!$D$27:$AH$266,'Jul'!$D$27:$AH$266,'Aug'!$D$27:$AH$266,'Sep'!$D$27:$AH$266,'Oct'!$D$27:$AH$266,'Nov'!$D$27:$AH$266,'Dec'!$D$27:$AH$266,'Jan (next year)'!$D$27:$AH$266),27+4*(IFERROR(MATCH(C1490,Roster!$B$6:$B$65,0),MATCH(C1490,Roster!$C$6:$C$65,0))-1)+MATCH(B1490,{"AM","PM","NIGHT","WD"},0)-1-27+1,DAY(A1490))&amp;"",""))</f>
        <v/>
      </c>
      <c r="G1490" s="123">
        <f>IF(OR(A1490="",C1490="",B1490="",E1490=""),"",IFERROR(A1490&amp;"|"&amp;(27+4*(IFERROR(MATCH(C1490,Roster!$B$6:$B$65,0),MATCH(C1490,Roster!$C$6:$C$65,0))-1)+MATCH(B1490,{"AM","PM","NIGHT","WD"},0)-1),""))</f>
        <v/>
      </c>
    </row>
    <row r="1491">
      <c r="A1491" s="122" t="n"/>
      <c r="B1491" s="107" t="n"/>
      <c r="C1491" s="105" t="n"/>
      <c r="D1491" s="92">
        <f>IF(C1491="","",IFERROR(INDEX(Roster!$C$6:$C$65,IFERROR(MATCH(C1491,Roster!$B$6:$B$65,0),MATCH(C1491,Roster!$C$6:$C$65,0))),"not on the Roster"))</f>
        <v/>
      </c>
      <c r="E1491" s="106" t="n"/>
      <c r="F1491" s="104">
        <f>IF(OR(A1491="",C1491="",B1491=""),"",IFERROR(INDEX(CHOOSE(IF(YEAR(A1491)&gt;PlanYear,13,MONTH(A1491)),'Jan'!$D$27:$AH$266,'Feb'!$D$27:$AH$266,'Mar'!$D$27:$AH$266,'Apr'!$D$27:$AH$266,'May'!$D$27:$AH$266,'Jun'!$D$27:$AH$266,'Jul'!$D$27:$AH$266,'Aug'!$D$27:$AH$266,'Sep'!$D$27:$AH$266,'Oct'!$D$27:$AH$266,'Nov'!$D$27:$AH$266,'Dec'!$D$27:$AH$266,'Jan (next year)'!$D$27:$AH$266),27+4*(IFERROR(MATCH(C1491,Roster!$B$6:$B$65,0),MATCH(C1491,Roster!$C$6:$C$65,0))-1)+MATCH(B1491,{"AM","PM","NIGHT","WD"},0)-1-27+1,DAY(A1491))&amp;"",""))</f>
        <v/>
      </c>
      <c r="G1491" s="123">
        <f>IF(OR(A1491="",C1491="",B1491="",E1491=""),"",IFERROR(A1491&amp;"|"&amp;(27+4*(IFERROR(MATCH(C1491,Roster!$B$6:$B$65,0),MATCH(C1491,Roster!$C$6:$C$65,0))-1)+MATCH(B1491,{"AM","PM","NIGHT","WD"},0)-1),""))</f>
        <v/>
      </c>
    </row>
    <row r="1492">
      <c r="A1492" s="122" t="n"/>
      <c r="B1492" s="107" t="n"/>
      <c r="C1492" s="105" t="n"/>
      <c r="D1492" s="92">
        <f>IF(C1492="","",IFERROR(INDEX(Roster!$C$6:$C$65,IFERROR(MATCH(C1492,Roster!$B$6:$B$65,0),MATCH(C1492,Roster!$C$6:$C$65,0))),"not on the Roster"))</f>
        <v/>
      </c>
      <c r="E1492" s="106" t="n"/>
      <c r="F1492" s="104">
        <f>IF(OR(A1492="",C1492="",B1492=""),"",IFERROR(INDEX(CHOOSE(IF(YEAR(A1492)&gt;PlanYear,13,MONTH(A1492)),'Jan'!$D$27:$AH$266,'Feb'!$D$27:$AH$266,'Mar'!$D$27:$AH$266,'Apr'!$D$27:$AH$266,'May'!$D$27:$AH$266,'Jun'!$D$27:$AH$266,'Jul'!$D$27:$AH$266,'Aug'!$D$27:$AH$266,'Sep'!$D$27:$AH$266,'Oct'!$D$27:$AH$266,'Nov'!$D$27:$AH$266,'Dec'!$D$27:$AH$266,'Jan (next year)'!$D$27:$AH$266),27+4*(IFERROR(MATCH(C1492,Roster!$B$6:$B$65,0),MATCH(C1492,Roster!$C$6:$C$65,0))-1)+MATCH(B1492,{"AM","PM","NIGHT","WD"},0)-1-27+1,DAY(A1492))&amp;"",""))</f>
        <v/>
      </c>
      <c r="G1492" s="123">
        <f>IF(OR(A1492="",C1492="",B1492="",E1492=""),"",IFERROR(A1492&amp;"|"&amp;(27+4*(IFERROR(MATCH(C1492,Roster!$B$6:$B$65,0),MATCH(C1492,Roster!$C$6:$C$65,0))-1)+MATCH(B1492,{"AM","PM","NIGHT","WD"},0)-1),""))</f>
        <v/>
      </c>
    </row>
    <row r="1493">
      <c r="A1493" s="122" t="n"/>
      <c r="B1493" s="107" t="n"/>
      <c r="C1493" s="105" t="n"/>
      <c r="D1493" s="92">
        <f>IF(C1493="","",IFERROR(INDEX(Roster!$C$6:$C$65,IFERROR(MATCH(C1493,Roster!$B$6:$B$65,0),MATCH(C1493,Roster!$C$6:$C$65,0))),"not on the Roster"))</f>
        <v/>
      </c>
      <c r="E1493" s="106" t="n"/>
      <c r="F1493" s="104">
        <f>IF(OR(A1493="",C1493="",B1493=""),"",IFERROR(INDEX(CHOOSE(IF(YEAR(A1493)&gt;PlanYear,13,MONTH(A1493)),'Jan'!$D$27:$AH$266,'Feb'!$D$27:$AH$266,'Mar'!$D$27:$AH$266,'Apr'!$D$27:$AH$266,'May'!$D$27:$AH$266,'Jun'!$D$27:$AH$266,'Jul'!$D$27:$AH$266,'Aug'!$D$27:$AH$266,'Sep'!$D$27:$AH$266,'Oct'!$D$27:$AH$266,'Nov'!$D$27:$AH$266,'Dec'!$D$27:$AH$266,'Jan (next year)'!$D$27:$AH$266),27+4*(IFERROR(MATCH(C1493,Roster!$B$6:$B$65,0),MATCH(C1493,Roster!$C$6:$C$65,0))-1)+MATCH(B1493,{"AM","PM","NIGHT","WD"},0)-1-27+1,DAY(A1493))&amp;"",""))</f>
        <v/>
      </c>
      <c r="G1493" s="123">
        <f>IF(OR(A1493="",C1493="",B1493="",E1493=""),"",IFERROR(A1493&amp;"|"&amp;(27+4*(IFERROR(MATCH(C1493,Roster!$B$6:$B$65,0),MATCH(C1493,Roster!$C$6:$C$65,0))-1)+MATCH(B1493,{"AM","PM","NIGHT","WD"},0)-1),""))</f>
        <v/>
      </c>
    </row>
    <row r="1494">
      <c r="A1494" s="122" t="n"/>
      <c r="B1494" s="107" t="n"/>
      <c r="C1494" s="105" t="n"/>
      <c r="D1494" s="92">
        <f>IF(C1494="","",IFERROR(INDEX(Roster!$C$6:$C$65,IFERROR(MATCH(C1494,Roster!$B$6:$B$65,0),MATCH(C1494,Roster!$C$6:$C$65,0))),"not on the Roster"))</f>
        <v/>
      </c>
      <c r="E1494" s="106" t="n"/>
      <c r="F1494" s="104">
        <f>IF(OR(A1494="",C1494="",B1494=""),"",IFERROR(INDEX(CHOOSE(IF(YEAR(A1494)&gt;PlanYear,13,MONTH(A1494)),'Jan'!$D$27:$AH$266,'Feb'!$D$27:$AH$266,'Mar'!$D$27:$AH$266,'Apr'!$D$27:$AH$266,'May'!$D$27:$AH$266,'Jun'!$D$27:$AH$266,'Jul'!$D$27:$AH$266,'Aug'!$D$27:$AH$266,'Sep'!$D$27:$AH$266,'Oct'!$D$27:$AH$266,'Nov'!$D$27:$AH$266,'Dec'!$D$27:$AH$266,'Jan (next year)'!$D$27:$AH$266),27+4*(IFERROR(MATCH(C1494,Roster!$B$6:$B$65,0),MATCH(C1494,Roster!$C$6:$C$65,0))-1)+MATCH(B1494,{"AM","PM","NIGHT","WD"},0)-1-27+1,DAY(A1494))&amp;"",""))</f>
        <v/>
      </c>
      <c r="G1494" s="123">
        <f>IF(OR(A1494="",C1494="",B1494="",E1494=""),"",IFERROR(A1494&amp;"|"&amp;(27+4*(IFERROR(MATCH(C1494,Roster!$B$6:$B$65,0),MATCH(C1494,Roster!$C$6:$C$65,0))-1)+MATCH(B1494,{"AM","PM","NIGHT","WD"},0)-1),""))</f>
        <v/>
      </c>
    </row>
    <row r="1495">
      <c r="A1495" s="122" t="n"/>
      <c r="B1495" s="107" t="n"/>
      <c r="C1495" s="105" t="n"/>
      <c r="D1495" s="92">
        <f>IF(C1495="","",IFERROR(INDEX(Roster!$C$6:$C$65,IFERROR(MATCH(C1495,Roster!$B$6:$B$65,0),MATCH(C1495,Roster!$C$6:$C$65,0))),"not on the Roster"))</f>
        <v/>
      </c>
      <c r="E1495" s="106" t="n"/>
      <c r="F1495" s="104">
        <f>IF(OR(A1495="",C1495="",B1495=""),"",IFERROR(INDEX(CHOOSE(IF(YEAR(A1495)&gt;PlanYear,13,MONTH(A1495)),'Jan'!$D$27:$AH$266,'Feb'!$D$27:$AH$266,'Mar'!$D$27:$AH$266,'Apr'!$D$27:$AH$266,'May'!$D$27:$AH$266,'Jun'!$D$27:$AH$266,'Jul'!$D$27:$AH$266,'Aug'!$D$27:$AH$266,'Sep'!$D$27:$AH$266,'Oct'!$D$27:$AH$266,'Nov'!$D$27:$AH$266,'Dec'!$D$27:$AH$266,'Jan (next year)'!$D$27:$AH$266),27+4*(IFERROR(MATCH(C1495,Roster!$B$6:$B$65,0),MATCH(C1495,Roster!$C$6:$C$65,0))-1)+MATCH(B1495,{"AM","PM","NIGHT","WD"},0)-1-27+1,DAY(A1495))&amp;"",""))</f>
        <v/>
      </c>
      <c r="G1495" s="123">
        <f>IF(OR(A1495="",C1495="",B1495="",E1495=""),"",IFERROR(A1495&amp;"|"&amp;(27+4*(IFERROR(MATCH(C1495,Roster!$B$6:$B$65,0),MATCH(C1495,Roster!$C$6:$C$65,0))-1)+MATCH(B1495,{"AM","PM","NIGHT","WD"},0)-1),""))</f>
        <v/>
      </c>
    </row>
    <row r="1496">
      <c r="A1496" s="122" t="n"/>
      <c r="B1496" s="107" t="n"/>
      <c r="C1496" s="105" t="n"/>
      <c r="D1496" s="92">
        <f>IF(C1496="","",IFERROR(INDEX(Roster!$C$6:$C$65,IFERROR(MATCH(C1496,Roster!$B$6:$B$65,0),MATCH(C1496,Roster!$C$6:$C$65,0))),"not on the Roster"))</f>
        <v/>
      </c>
      <c r="E1496" s="106" t="n"/>
      <c r="F1496" s="104">
        <f>IF(OR(A1496="",C1496="",B1496=""),"",IFERROR(INDEX(CHOOSE(IF(YEAR(A1496)&gt;PlanYear,13,MONTH(A1496)),'Jan'!$D$27:$AH$266,'Feb'!$D$27:$AH$266,'Mar'!$D$27:$AH$266,'Apr'!$D$27:$AH$266,'May'!$D$27:$AH$266,'Jun'!$D$27:$AH$266,'Jul'!$D$27:$AH$266,'Aug'!$D$27:$AH$266,'Sep'!$D$27:$AH$266,'Oct'!$D$27:$AH$266,'Nov'!$D$27:$AH$266,'Dec'!$D$27:$AH$266,'Jan (next year)'!$D$27:$AH$266),27+4*(IFERROR(MATCH(C1496,Roster!$B$6:$B$65,0),MATCH(C1496,Roster!$C$6:$C$65,0))-1)+MATCH(B1496,{"AM","PM","NIGHT","WD"},0)-1-27+1,DAY(A1496))&amp;"",""))</f>
        <v/>
      </c>
      <c r="G1496" s="123">
        <f>IF(OR(A1496="",C1496="",B1496="",E1496=""),"",IFERROR(A1496&amp;"|"&amp;(27+4*(IFERROR(MATCH(C1496,Roster!$B$6:$B$65,0),MATCH(C1496,Roster!$C$6:$C$65,0))-1)+MATCH(B1496,{"AM","PM","NIGHT","WD"},0)-1),""))</f>
        <v/>
      </c>
    </row>
    <row r="1497">
      <c r="A1497" s="122" t="n"/>
      <c r="B1497" s="107" t="n"/>
      <c r="C1497" s="105" t="n"/>
      <c r="D1497" s="92">
        <f>IF(C1497="","",IFERROR(INDEX(Roster!$C$6:$C$65,IFERROR(MATCH(C1497,Roster!$B$6:$B$65,0),MATCH(C1497,Roster!$C$6:$C$65,0))),"not on the Roster"))</f>
        <v/>
      </c>
      <c r="E1497" s="106" t="n"/>
      <c r="F1497" s="104">
        <f>IF(OR(A1497="",C1497="",B1497=""),"",IFERROR(INDEX(CHOOSE(IF(YEAR(A1497)&gt;PlanYear,13,MONTH(A1497)),'Jan'!$D$27:$AH$266,'Feb'!$D$27:$AH$266,'Mar'!$D$27:$AH$266,'Apr'!$D$27:$AH$266,'May'!$D$27:$AH$266,'Jun'!$D$27:$AH$266,'Jul'!$D$27:$AH$266,'Aug'!$D$27:$AH$266,'Sep'!$D$27:$AH$266,'Oct'!$D$27:$AH$266,'Nov'!$D$27:$AH$266,'Dec'!$D$27:$AH$266,'Jan (next year)'!$D$27:$AH$266),27+4*(IFERROR(MATCH(C1497,Roster!$B$6:$B$65,0),MATCH(C1497,Roster!$C$6:$C$65,0))-1)+MATCH(B1497,{"AM","PM","NIGHT","WD"},0)-1-27+1,DAY(A1497))&amp;"",""))</f>
        <v/>
      </c>
      <c r="G1497" s="123">
        <f>IF(OR(A1497="",C1497="",B1497="",E1497=""),"",IFERROR(A1497&amp;"|"&amp;(27+4*(IFERROR(MATCH(C1497,Roster!$B$6:$B$65,0),MATCH(C1497,Roster!$C$6:$C$65,0))-1)+MATCH(B1497,{"AM","PM","NIGHT","WD"},0)-1),""))</f>
        <v/>
      </c>
    </row>
    <row r="1498">
      <c r="A1498" s="122" t="n"/>
      <c r="B1498" s="107" t="n"/>
      <c r="C1498" s="105" t="n"/>
      <c r="D1498" s="92">
        <f>IF(C1498="","",IFERROR(INDEX(Roster!$C$6:$C$65,IFERROR(MATCH(C1498,Roster!$B$6:$B$65,0),MATCH(C1498,Roster!$C$6:$C$65,0))),"not on the Roster"))</f>
        <v/>
      </c>
      <c r="E1498" s="106" t="n"/>
      <c r="F1498" s="104">
        <f>IF(OR(A1498="",C1498="",B1498=""),"",IFERROR(INDEX(CHOOSE(IF(YEAR(A1498)&gt;PlanYear,13,MONTH(A1498)),'Jan'!$D$27:$AH$266,'Feb'!$D$27:$AH$266,'Mar'!$D$27:$AH$266,'Apr'!$D$27:$AH$266,'May'!$D$27:$AH$266,'Jun'!$D$27:$AH$266,'Jul'!$D$27:$AH$266,'Aug'!$D$27:$AH$266,'Sep'!$D$27:$AH$266,'Oct'!$D$27:$AH$266,'Nov'!$D$27:$AH$266,'Dec'!$D$27:$AH$266,'Jan (next year)'!$D$27:$AH$266),27+4*(IFERROR(MATCH(C1498,Roster!$B$6:$B$65,0),MATCH(C1498,Roster!$C$6:$C$65,0))-1)+MATCH(B1498,{"AM","PM","NIGHT","WD"},0)-1-27+1,DAY(A1498))&amp;"",""))</f>
        <v/>
      </c>
      <c r="G1498" s="123">
        <f>IF(OR(A1498="",C1498="",B1498="",E1498=""),"",IFERROR(A1498&amp;"|"&amp;(27+4*(IFERROR(MATCH(C1498,Roster!$B$6:$B$65,0),MATCH(C1498,Roster!$C$6:$C$65,0))-1)+MATCH(B1498,{"AM","PM","NIGHT","WD"},0)-1),""))</f>
        <v/>
      </c>
    </row>
    <row r="1499">
      <c r="A1499" s="122" t="n"/>
      <c r="B1499" s="107" t="n"/>
      <c r="C1499" s="105" t="n"/>
      <c r="D1499" s="92">
        <f>IF(C1499="","",IFERROR(INDEX(Roster!$C$6:$C$65,IFERROR(MATCH(C1499,Roster!$B$6:$B$65,0),MATCH(C1499,Roster!$C$6:$C$65,0))),"not on the Roster"))</f>
        <v/>
      </c>
      <c r="E1499" s="106" t="n"/>
      <c r="F1499" s="104">
        <f>IF(OR(A1499="",C1499="",B1499=""),"",IFERROR(INDEX(CHOOSE(IF(YEAR(A1499)&gt;PlanYear,13,MONTH(A1499)),'Jan'!$D$27:$AH$266,'Feb'!$D$27:$AH$266,'Mar'!$D$27:$AH$266,'Apr'!$D$27:$AH$266,'May'!$D$27:$AH$266,'Jun'!$D$27:$AH$266,'Jul'!$D$27:$AH$266,'Aug'!$D$27:$AH$266,'Sep'!$D$27:$AH$266,'Oct'!$D$27:$AH$266,'Nov'!$D$27:$AH$266,'Dec'!$D$27:$AH$266,'Jan (next year)'!$D$27:$AH$266),27+4*(IFERROR(MATCH(C1499,Roster!$B$6:$B$65,0),MATCH(C1499,Roster!$C$6:$C$65,0))-1)+MATCH(B1499,{"AM","PM","NIGHT","WD"},0)-1-27+1,DAY(A1499))&amp;"",""))</f>
        <v/>
      </c>
      <c r="G1499" s="123">
        <f>IF(OR(A1499="",C1499="",B1499="",E1499=""),"",IFERROR(A1499&amp;"|"&amp;(27+4*(IFERROR(MATCH(C1499,Roster!$B$6:$B$65,0),MATCH(C1499,Roster!$C$6:$C$65,0))-1)+MATCH(B1499,{"AM","PM","NIGHT","WD"},0)-1),""))</f>
        <v/>
      </c>
    </row>
    <row r="1500">
      <c r="A1500" s="122" t="n"/>
      <c r="B1500" s="107" t="n"/>
      <c r="C1500" s="105" t="n"/>
      <c r="D1500" s="92">
        <f>IF(C1500="","",IFERROR(INDEX(Roster!$C$6:$C$65,IFERROR(MATCH(C1500,Roster!$B$6:$B$65,0),MATCH(C1500,Roster!$C$6:$C$65,0))),"not on the Roster"))</f>
        <v/>
      </c>
      <c r="E1500" s="106" t="n"/>
      <c r="F1500" s="104">
        <f>IF(OR(A1500="",C1500="",B1500=""),"",IFERROR(INDEX(CHOOSE(IF(YEAR(A1500)&gt;PlanYear,13,MONTH(A1500)),'Jan'!$D$27:$AH$266,'Feb'!$D$27:$AH$266,'Mar'!$D$27:$AH$266,'Apr'!$D$27:$AH$266,'May'!$D$27:$AH$266,'Jun'!$D$27:$AH$266,'Jul'!$D$27:$AH$266,'Aug'!$D$27:$AH$266,'Sep'!$D$27:$AH$266,'Oct'!$D$27:$AH$266,'Nov'!$D$27:$AH$266,'Dec'!$D$27:$AH$266,'Jan (next year)'!$D$27:$AH$266),27+4*(IFERROR(MATCH(C1500,Roster!$B$6:$B$65,0),MATCH(C1500,Roster!$C$6:$C$65,0))-1)+MATCH(B1500,{"AM","PM","NIGHT","WD"},0)-1-27+1,DAY(A1500))&amp;"",""))</f>
        <v/>
      </c>
      <c r="G1500" s="123">
        <f>IF(OR(A1500="",C1500="",B1500="",E1500=""),"",IFERROR(A1500&amp;"|"&amp;(27+4*(IFERROR(MATCH(C1500,Roster!$B$6:$B$65,0),MATCH(C1500,Roster!$C$6:$C$65,0))-1)+MATCH(B1500,{"AM","PM","NIGHT","WD"},0)-1),""))</f>
        <v/>
      </c>
    </row>
    <row r="1501">
      <c r="A1501" s="122" t="n"/>
      <c r="B1501" s="107" t="n"/>
      <c r="C1501" s="105" t="n"/>
      <c r="D1501" s="92">
        <f>IF(C1501="","",IFERROR(INDEX(Roster!$C$6:$C$65,IFERROR(MATCH(C1501,Roster!$B$6:$B$65,0),MATCH(C1501,Roster!$C$6:$C$65,0))),"not on the Roster"))</f>
        <v/>
      </c>
      <c r="E1501" s="106" t="n"/>
      <c r="F1501" s="104">
        <f>IF(OR(A1501="",C1501="",B1501=""),"",IFERROR(INDEX(CHOOSE(IF(YEAR(A1501)&gt;PlanYear,13,MONTH(A1501)),'Jan'!$D$27:$AH$266,'Feb'!$D$27:$AH$266,'Mar'!$D$27:$AH$266,'Apr'!$D$27:$AH$266,'May'!$D$27:$AH$266,'Jun'!$D$27:$AH$266,'Jul'!$D$27:$AH$266,'Aug'!$D$27:$AH$266,'Sep'!$D$27:$AH$266,'Oct'!$D$27:$AH$266,'Nov'!$D$27:$AH$266,'Dec'!$D$27:$AH$266,'Jan (next year)'!$D$27:$AH$266),27+4*(IFERROR(MATCH(C1501,Roster!$B$6:$B$65,0),MATCH(C1501,Roster!$C$6:$C$65,0))-1)+MATCH(B1501,{"AM","PM","NIGHT","WD"},0)-1-27+1,DAY(A1501))&amp;"",""))</f>
        <v/>
      </c>
      <c r="G1501" s="123">
        <f>IF(OR(A1501="",C1501="",B1501="",E1501=""),"",IFERROR(A1501&amp;"|"&amp;(27+4*(IFERROR(MATCH(C1501,Roster!$B$6:$B$65,0),MATCH(C1501,Roster!$C$6:$C$65,0))-1)+MATCH(B1501,{"AM","PM","NIGHT","WD"},0)-1),""))</f>
        <v/>
      </c>
    </row>
    <row r="1502">
      <c r="A1502" s="122" t="n"/>
      <c r="B1502" s="107" t="n"/>
      <c r="C1502" s="105" t="n"/>
      <c r="D1502" s="92">
        <f>IF(C1502="","",IFERROR(INDEX(Roster!$C$6:$C$65,IFERROR(MATCH(C1502,Roster!$B$6:$B$65,0),MATCH(C1502,Roster!$C$6:$C$65,0))),"not on the Roster"))</f>
        <v/>
      </c>
      <c r="E1502" s="106" t="n"/>
      <c r="F1502" s="104">
        <f>IF(OR(A1502="",C1502="",B1502=""),"",IFERROR(INDEX(CHOOSE(IF(YEAR(A1502)&gt;PlanYear,13,MONTH(A1502)),'Jan'!$D$27:$AH$266,'Feb'!$D$27:$AH$266,'Mar'!$D$27:$AH$266,'Apr'!$D$27:$AH$266,'May'!$D$27:$AH$266,'Jun'!$D$27:$AH$266,'Jul'!$D$27:$AH$266,'Aug'!$D$27:$AH$266,'Sep'!$D$27:$AH$266,'Oct'!$D$27:$AH$266,'Nov'!$D$27:$AH$266,'Dec'!$D$27:$AH$266,'Jan (next year)'!$D$27:$AH$266),27+4*(IFERROR(MATCH(C1502,Roster!$B$6:$B$65,0),MATCH(C1502,Roster!$C$6:$C$65,0))-1)+MATCH(B1502,{"AM","PM","NIGHT","WD"},0)-1-27+1,DAY(A1502))&amp;"",""))</f>
        <v/>
      </c>
      <c r="G1502" s="123">
        <f>IF(OR(A1502="",C1502="",B1502="",E1502=""),"",IFERROR(A1502&amp;"|"&amp;(27+4*(IFERROR(MATCH(C1502,Roster!$B$6:$B$65,0),MATCH(C1502,Roster!$C$6:$C$65,0))-1)+MATCH(B1502,{"AM","PM","NIGHT","WD"},0)-1),""))</f>
        <v/>
      </c>
    </row>
    <row r="1503">
      <c r="A1503" s="122" t="n"/>
      <c r="B1503" s="107" t="n"/>
      <c r="C1503" s="105" t="n"/>
      <c r="D1503" s="92">
        <f>IF(C1503="","",IFERROR(INDEX(Roster!$C$6:$C$65,IFERROR(MATCH(C1503,Roster!$B$6:$B$65,0),MATCH(C1503,Roster!$C$6:$C$65,0))),"not on the Roster"))</f>
        <v/>
      </c>
      <c r="E1503" s="106" t="n"/>
      <c r="F1503" s="104">
        <f>IF(OR(A1503="",C1503="",B1503=""),"",IFERROR(INDEX(CHOOSE(IF(YEAR(A1503)&gt;PlanYear,13,MONTH(A1503)),'Jan'!$D$27:$AH$266,'Feb'!$D$27:$AH$266,'Mar'!$D$27:$AH$266,'Apr'!$D$27:$AH$266,'May'!$D$27:$AH$266,'Jun'!$D$27:$AH$266,'Jul'!$D$27:$AH$266,'Aug'!$D$27:$AH$266,'Sep'!$D$27:$AH$266,'Oct'!$D$27:$AH$266,'Nov'!$D$27:$AH$266,'Dec'!$D$27:$AH$266,'Jan (next year)'!$D$27:$AH$266),27+4*(IFERROR(MATCH(C1503,Roster!$B$6:$B$65,0),MATCH(C1503,Roster!$C$6:$C$65,0))-1)+MATCH(B1503,{"AM","PM","NIGHT","WD"},0)-1-27+1,DAY(A1503))&amp;"",""))</f>
        <v/>
      </c>
      <c r="G1503" s="123">
        <f>IF(OR(A1503="",C1503="",B1503="",E1503=""),"",IFERROR(A1503&amp;"|"&amp;(27+4*(IFERROR(MATCH(C1503,Roster!$B$6:$B$65,0),MATCH(C1503,Roster!$C$6:$C$65,0))-1)+MATCH(B1503,{"AM","PM","NIGHT","WD"},0)-1),""))</f>
        <v/>
      </c>
    </row>
    <row r="1504">
      <c r="A1504" s="122" t="n"/>
      <c r="B1504" s="107" t="n"/>
      <c r="C1504" s="105" t="n"/>
      <c r="D1504" s="92">
        <f>IF(C1504="","",IFERROR(INDEX(Roster!$C$6:$C$65,IFERROR(MATCH(C1504,Roster!$B$6:$B$65,0),MATCH(C1504,Roster!$C$6:$C$65,0))),"not on the Roster"))</f>
        <v/>
      </c>
      <c r="E1504" s="106" t="n"/>
      <c r="F1504" s="104">
        <f>IF(OR(A1504="",C1504="",B1504=""),"",IFERROR(INDEX(CHOOSE(IF(YEAR(A1504)&gt;PlanYear,13,MONTH(A1504)),'Jan'!$D$27:$AH$266,'Feb'!$D$27:$AH$266,'Mar'!$D$27:$AH$266,'Apr'!$D$27:$AH$266,'May'!$D$27:$AH$266,'Jun'!$D$27:$AH$266,'Jul'!$D$27:$AH$266,'Aug'!$D$27:$AH$266,'Sep'!$D$27:$AH$266,'Oct'!$D$27:$AH$266,'Nov'!$D$27:$AH$266,'Dec'!$D$27:$AH$266,'Jan (next year)'!$D$27:$AH$266),27+4*(IFERROR(MATCH(C1504,Roster!$B$6:$B$65,0),MATCH(C1504,Roster!$C$6:$C$65,0))-1)+MATCH(B1504,{"AM","PM","NIGHT","WD"},0)-1-27+1,DAY(A1504))&amp;"",""))</f>
        <v/>
      </c>
      <c r="G1504" s="123">
        <f>IF(OR(A1504="",C1504="",B1504="",E1504=""),"",IFERROR(A1504&amp;"|"&amp;(27+4*(IFERROR(MATCH(C1504,Roster!$B$6:$B$65,0),MATCH(C1504,Roster!$C$6:$C$65,0))-1)+MATCH(B1504,{"AM","PM","NIGHT","WD"},0)-1),""))</f>
        <v/>
      </c>
    </row>
    <row r="1505">
      <c r="A1505" s="122" t="n"/>
      <c r="B1505" s="107" t="n"/>
      <c r="C1505" s="105" t="n"/>
      <c r="D1505" s="92">
        <f>IF(C1505="","",IFERROR(INDEX(Roster!$C$6:$C$65,IFERROR(MATCH(C1505,Roster!$B$6:$B$65,0),MATCH(C1505,Roster!$C$6:$C$65,0))),"not on the Roster"))</f>
        <v/>
      </c>
      <c r="E1505" s="106" t="n"/>
      <c r="F1505" s="104">
        <f>IF(OR(A1505="",C1505="",B1505=""),"",IFERROR(INDEX(CHOOSE(IF(YEAR(A1505)&gt;PlanYear,13,MONTH(A1505)),'Jan'!$D$27:$AH$266,'Feb'!$D$27:$AH$266,'Mar'!$D$27:$AH$266,'Apr'!$D$27:$AH$266,'May'!$D$27:$AH$266,'Jun'!$D$27:$AH$266,'Jul'!$D$27:$AH$266,'Aug'!$D$27:$AH$266,'Sep'!$D$27:$AH$266,'Oct'!$D$27:$AH$266,'Nov'!$D$27:$AH$266,'Dec'!$D$27:$AH$266,'Jan (next year)'!$D$27:$AH$266),27+4*(IFERROR(MATCH(C1505,Roster!$B$6:$B$65,0),MATCH(C1505,Roster!$C$6:$C$65,0))-1)+MATCH(B1505,{"AM","PM","NIGHT","WD"},0)-1-27+1,DAY(A1505))&amp;"",""))</f>
        <v/>
      </c>
      <c r="G1505" s="123">
        <f>IF(OR(A1505="",C1505="",B1505="",E1505=""),"",IFERROR(A1505&amp;"|"&amp;(27+4*(IFERROR(MATCH(C1505,Roster!$B$6:$B$65,0),MATCH(C1505,Roster!$C$6:$C$65,0))-1)+MATCH(B1505,{"AM","PM","NIGHT","WD"},0)-1),""))</f>
        <v/>
      </c>
    </row>
  </sheetData>
  <autoFilter ref="A5:G1505"/>
  <mergeCells count="2">
    <mergeCell ref="A2:G2"/>
    <mergeCell ref="A1:G1"/>
  </mergeCells>
  <dataValidations count="2">
    <dataValidation sqref="B6:B1505" showDropDown="0" showInputMessage="0" showErrorMessage="0" allowBlank="1" type="list">
      <formula1>"AM,PM,NIGHT,WD"</formula1>
    </dataValidation>
    <dataValidation sqref="A6:A1505" showDropDown="0" showInputMessage="0" showErrorMessage="1" allowBlank="1" errorTitle="Date" error="Use a date in 2026 or January 2027." type="date" operator="between">
      <formula1>DATE(PlanYear,1,1)</formula1>
      <formula2>DATE(PlanYear+1,1,31)</formula2>
    </dataValidation>
  </dataValidations>
  <pageMargins left="0.75" right="0.75" top="1" bottom="1" header="0.5" footer="0.5"/>
</worksheet>
</file>

<file path=xl/worksheets/sheet9.xml><?xml version="1.0" encoding="utf-8"?>
<worksheet xmlns="http://schemas.openxmlformats.org/spreadsheetml/2006/main">
  <sheetPr>
    <tabColor rgb="00DC2626"/>
    <outlinePr summaryBelow="1" summaryRight="1"/>
    <pageSetUpPr/>
  </sheetPr>
  <dimension ref="A1:F2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6" customWidth="1" min="2" max="2"/>
    <col width="16" customWidth="1" min="3" max="3"/>
    <col width="14" customWidth="1" min="4" max="4"/>
    <col width="40" customWidth="1" min="5" max="5"/>
    <col width="26" customWidth="1" min="6" max="6"/>
  </cols>
  <sheetData>
    <row r="1" ht="30" customHeight="1">
      <c r="A1" s="1" t="inlineStr">
        <is>
          <t>MEDICAL CHITS  |  LOADMASTER</t>
        </is>
      </c>
      <c r="B1" s="2" t="n"/>
      <c r="C1" s="2" t="n"/>
      <c r="D1" s="2" t="n"/>
      <c r="E1" s="2" t="n"/>
      <c r="F1" s="2" t="n"/>
    </row>
    <row r="2" ht="18" customHeight="1">
      <c r="A2" s="3" t="inlineStr">
        <is>
          <t>MC on the plan = down-chitted from that day (not cleared to fly) until an Up-chit date on this sheet. Up-chit in the planner dashboard (Planner or Ops Room), or type a row here.</t>
        </is>
      </c>
      <c r="B2" s="2" t="n"/>
      <c r="C2" s="2" t="n"/>
      <c r="D2" s="2" t="n"/>
      <c r="E2" s="2" t="n"/>
      <c r="F2" s="2" t="n"/>
    </row>
    <row r="3">
      <c r="A3" s="82" t="inlineStr">
        <is>
          <t>Up-chit date = first day the person is fit to fly again. A row with only a Down-chit date down-chits someone without an MC on the plan.</t>
        </is>
      </c>
    </row>
    <row r="5">
      <c r="A5" s="31" t="inlineStr">
        <is>
          <t>Callsign</t>
        </is>
      </c>
      <c r="B5" s="31" t="inlineStr">
        <is>
          <t>Down-chit</t>
        </is>
      </c>
      <c r="C5" s="31" t="inlineStr">
        <is>
          <t>Up-chit</t>
        </is>
      </c>
      <c r="D5" s="31" t="inlineStr">
        <is>
          <t>Up-chitted by</t>
        </is>
      </c>
      <c r="E5" s="31" t="inlineStr">
        <is>
          <t>Remarks</t>
        </is>
      </c>
      <c r="F5" s="31" t="inlineStr">
        <is>
          <t>Crew Member</t>
        </is>
      </c>
    </row>
    <row r="6">
      <c r="A6" s="105" t="n"/>
      <c r="B6" s="122" t="n"/>
      <c r="C6" s="122" t="n"/>
      <c r="D6" s="95" t="n"/>
      <c r="E6" s="95" t="n"/>
      <c r="F6" s="92">
        <f>IF(A6="","",IFERROR(INDEX(Roster!$C$6:$C$65,MATCH(A6,Roster!$B$6:$B$65,0)),"not on the Roster"))</f>
        <v/>
      </c>
    </row>
    <row r="7">
      <c r="A7" s="105" t="n"/>
      <c r="B7" s="122" t="n"/>
      <c r="C7" s="122" t="n"/>
      <c r="D7" s="95" t="n"/>
      <c r="E7" s="95" t="n"/>
      <c r="F7" s="92">
        <f>IF(A7="","",IFERROR(INDEX(Roster!$C$6:$C$65,MATCH(A7,Roster!$B$6:$B$65,0)),"not on the Roster"))</f>
        <v/>
      </c>
    </row>
    <row r="8">
      <c r="A8" s="105" t="n"/>
      <c r="B8" s="122" t="n"/>
      <c r="C8" s="122" t="n"/>
      <c r="D8" s="95" t="n"/>
      <c r="E8" s="95" t="n"/>
      <c r="F8" s="92">
        <f>IF(A8="","",IFERROR(INDEX(Roster!$C$6:$C$65,MATCH(A8,Roster!$B$6:$B$65,0)),"not on the Roster"))</f>
        <v/>
      </c>
    </row>
    <row r="9">
      <c r="A9" s="105" t="n"/>
      <c r="B9" s="122" t="n"/>
      <c r="C9" s="122" t="n"/>
      <c r="D9" s="95" t="n"/>
      <c r="E9" s="95" t="n"/>
      <c r="F9" s="92">
        <f>IF(A9="","",IFERROR(INDEX(Roster!$C$6:$C$65,MATCH(A9,Roster!$B$6:$B$65,0)),"not on the Roster"))</f>
        <v/>
      </c>
    </row>
    <row r="10">
      <c r="A10" s="105" t="n"/>
      <c r="B10" s="122" t="n"/>
      <c r="C10" s="122" t="n"/>
      <c r="D10" s="95" t="n"/>
      <c r="E10" s="95" t="n"/>
      <c r="F10" s="92">
        <f>IF(A10="","",IFERROR(INDEX(Roster!$C$6:$C$65,MATCH(A10,Roster!$B$6:$B$65,0)),"not on the Roster"))</f>
        <v/>
      </c>
    </row>
    <row r="11">
      <c r="A11" s="105" t="n"/>
      <c r="B11" s="122" t="n"/>
      <c r="C11" s="122" t="n"/>
      <c r="D11" s="95" t="n"/>
      <c r="E11" s="95" t="n"/>
      <c r="F11" s="92">
        <f>IF(A11="","",IFERROR(INDEX(Roster!$C$6:$C$65,MATCH(A11,Roster!$B$6:$B$65,0)),"not on the Roster"))</f>
        <v/>
      </c>
    </row>
    <row r="12">
      <c r="A12" s="105" t="n"/>
      <c r="B12" s="122" t="n"/>
      <c r="C12" s="122" t="n"/>
      <c r="D12" s="95" t="n"/>
      <c r="E12" s="95" t="n"/>
      <c r="F12" s="92">
        <f>IF(A12="","",IFERROR(INDEX(Roster!$C$6:$C$65,MATCH(A12,Roster!$B$6:$B$65,0)),"not on the Roster"))</f>
        <v/>
      </c>
    </row>
    <row r="13">
      <c r="A13" s="105" t="n"/>
      <c r="B13" s="122" t="n"/>
      <c r="C13" s="122" t="n"/>
      <c r="D13" s="95" t="n"/>
      <c r="E13" s="95" t="n"/>
      <c r="F13" s="92">
        <f>IF(A13="","",IFERROR(INDEX(Roster!$C$6:$C$65,MATCH(A13,Roster!$B$6:$B$65,0)),"not on the Roster"))</f>
        <v/>
      </c>
    </row>
    <row r="14">
      <c r="A14" s="105" t="n"/>
      <c r="B14" s="122" t="n"/>
      <c r="C14" s="122" t="n"/>
      <c r="D14" s="95" t="n"/>
      <c r="E14" s="95" t="n"/>
      <c r="F14" s="92">
        <f>IF(A14="","",IFERROR(INDEX(Roster!$C$6:$C$65,MATCH(A14,Roster!$B$6:$B$65,0)),"not on the Roster"))</f>
        <v/>
      </c>
    </row>
    <row r="15">
      <c r="A15" s="105" t="n"/>
      <c r="B15" s="122" t="n"/>
      <c r="C15" s="122" t="n"/>
      <c r="D15" s="95" t="n"/>
      <c r="E15" s="95" t="n"/>
      <c r="F15" s="92">
        <f>IF(A15="","",IFERROR(INDEX(Roster!$C$6:$C$65,MATCH(A15,Roster!$B$6:$B$65,0)),"not on the Roster"))</f>
        <v/>
      </c>
    </row>
    <row r="16">
      <c r="A16" s="105" t="n"/>
      <c r="B16" s="122" t="n"/>
      <c r="C16" s="122" t="n"/>
      <c r="D16" s="95" t="n"/>
      <c r="E16" s="95" t="n"/>
      <c r="F16" s="92">
        <f>IF(A16="","",IFERROR(INDEX(Roster!$C$6:$C$65,MATCH(A16,Roster!$B$6:$B$65,0)),"not on the Roster"))</f>
        <v/>
      </c>
    </row>
    <row r="17">
      <c r="A17" s="105" t="n"/>
      <c r="B17" s="122" t="n"/>
      <c r="C17" s="122" t="n"/>
      <c r="D17" s="95" t="n"/>
      <c r="E17" s="95" t="n"/>
      <c r="F17" s="92">
        <f>IF(A17="","",IFERROR(INDEX(Roster!$C$6:$C$65,MATCH(A17,Roster!$B$6:$B$65,0)),"not on the Roster"))</f>
        <v/>
      </c>
    </row>
    <row r="18">
      <c r="A18" s="105" t="n"/>
      <c r="B18" s="122" t="n"/>
      <c r="C18" s="122" t="n"/>
      <c r="D18" s="95" t="n"/>
      <c r="E18" s="95" t="n"/>
      <c r="F18" s="92">
        <f>IF(A18="","",IFERROR(INDEX(Roster!$C$6:$C$65,MATCH(A18,Roster!$B$6:$B$65,0)),"not on the Roster"))</f>
        <v/>
      </c>
    </row>
    <row r="19">
      <c r="A19" s="105" t="n"/>
      <c r="B19" s="122" t="n"/>
      <c r="C19" s="122" t="n"/>
      <c r="D19" s="95" t="n"/>
      <c r="E19" s="95" t="n"/>
      <c r="F19" s="92">
        <f>IF(A19="","",IFERROR(INDEX(Roster!$C$6:$C$65,MATCH(A19,Roster!$B$6:$B$65,0)),"not on the Roster"))</f>
        <v/>
      </c>
    </row>
    <row r="20">
      <c r="A20" s="105" t="n"/>
      <c r="B20" s="122" t="n"/>
      <c r="C20" s="122" t="n"/>
      <c r="D20" s="95" t="n"/>
      <c r="E20" s="95" t="n"/>
      <c r="F20" s="92">
        <f>IF(A20="","",IFERROR(INDEX(Roster!$C$6:$C$65,MATCH(A20,Roster!$B$6:$B$65,0)),"not on the Roster"))</f>
        <v/>
      </c>
    </row>
    <row r="21">
      <c r="A21" s="105" t="n"/>
      <c r="B21" s="122" t="n"/>
      <c r="C21" s="122" t="n"/>
      <c r="D21" s="95" t="n"/>
      <c r="E21" s="95" t="n"/>
      <c r="F21" s="92">
        <f>IF(A21="","",IFERROR(INDEX(Roster!$C$6:$C$65,MATCH(A21,Roster!$B$6:$B$65,0)),"not on the Roster"))</f>
        <v/>
      </c>
    </row>
    <row r="22">
      <c r="A22" s="105" t="n"/>
      <c r="B22" s="122" t="n"/>
      <c r="C22" s="122" t="n"/>
      <c r="D22" s="95" t="n"/>
      <c r="E22" s="95" t="n"/>
      <c r="F22" s="92">
        <f>IF(A22="","",IFERROR(INDEX(Roster!$C$6:$C$65,MATCH(A22,Roster!$B$6:$B$65,0)),"not on the Roster"))</f>
        <v/>
      </c>
    </row>
    <row r="23">
      <c r="A23" s="105" t="n"/>
      <c r="B23" s="122" t="n"/>
      <c r="C23" s="122" t="n"/>
      <c r="D23" s="95" t="n"/>
      <c r="E23" s="95" t="n"/>
      <c r="F23" s="92">
        <f>IF(A23="","",IFERROR(INDEX(Roster!$C$6:$C$65,MATCH(A23,Roster!$B$6:$B$65,0)),"not on the Roster"))</f>
        <v/>
      </c>
    </row>
    <row r="24">
      <c r="A24" s="105" t="n"/>
      <c r="B24" s="122" t="n"/>
      <c r="C24" s="122" t="n"/>
      <c r="D24" s="95" t="n"/>
      <c r="E24" s="95" t="n"/>
      <c r="F24" s="92">
        <f>IF(A24="","",IFERROR(INDEX(Roster!$C$6:$C$65,MATCH(A24,Roster!$B$6:$B$65,0)),"not on the Roster"))</f>
        <v/>
      </c>
    </row>
    <row r="25">
      <c r="A25" s="105" t="n"/>
      <c r="B25" s="122" t="n"/>
      <c r="C25" s="122" t="n"/>
      <c r="D25" s="95" t="n"/>
      <c r="E25" s="95" t="n"/>
      <c r="F25" s="92">
        <f>IF(A25="","",IFERROR(INDEX(Roster!$C$6:$C$65,MATCH(A25,Roster!$B$6:$B$65,0)),"not on the Roster"))</f>
        <v/>
      </c>
    </row>
    <row r="26">
      <c r="A26" s="105" t="n"/>
      <c r="B26" s="122" t="n"/>
      <c r="C26" s="122" t="n"/>
      <c r="D26" s="95" t="n"/>
      <c r="E26" s="95" t="n"/>
      <c r="F26" s="92">
        <f>IF(A26="","",IFERROR(INDEX(Roster!$C$6:$C$65,MATCH(A26,Roster!$B$6:$B$65,0)),"not on the Roster"))</f>
        <v/>
      </c>
    </row>
    <row r="27">
      <c r="A27" s="105" t="n"/>
      <c r="B27" s="122" t="n"/>
      <c r="C27" s="122" t="n"/>
      <c r="D27" s="95" t="n"/>
      <c r="E27" s="95" t="n"/>
      <c r="F27" s="92">
        <f>IF(A27="","",IFERROR(INDEX(Roster!$C$6:$C$65,MATCH(A27,Roster!$B$6:$B$65,0)),"not on the Roster"))</f>
        <v/>
      </c>
    </row>
    <row r="28">
      <c r="A28" s="105" t="n"/>
      <c r="B28" s="122" t="n"/>
      <c r="C28" s="122" t="n"/>
      <c r="D28" s="95" t="n"/>
      <c r="E28" s="95" t="n"/>
      <c r="F28" s="92">
        <f>IF(A28="","",IFERROR(INDEX(Roster!$C$6:$C$65,MATCH(A28,Roster!$B$6:$B$65,0)),"not on the Roster"))</f>
        <v/>
      </c>
    </row>
    <row r="29">
      <c r="A29" s="105" t="n"/>
      <c r="B29" s="122" t="n"/>
      <c r="C29" s="122" t="n"/>
      <c r="D29" s="95" t="n"/>
      <c r="E29" s="95" t="n"/>
      <c r="F29" s="92">
        <f>IF(A29="","",IFERROR(INDEX(Roster!$C$6:$C$65,MATCH(A29,Roster!$B$6:$B$65,0)),"not on the Roster"))</f>
        <v/>
      </c>
    </row>
    <row r="30">
      <c r="A30" s="105" t="n"/>
      <c r="B30" s="122" t="n"/>
      <c r="C30" s="122" t="n"/>
      <c r="D30" s="95" t="n"/>
      <c r="E30" s="95" t="n"/>
      <c r="F30" s="92">
        <f>IF(A30="","",IFERROR(INDEX(Roster!$C$6:$C$65,MATCH(A30,Roster!$B$6:$B$65,0)),"not on the Roster"))</f>
        <v/>
      </c>
    </row>
    <row r="31">
      <c r="A31" s="105" t="n"/>
      <c r="B31" s="122" t="n"/>
      <c r="C31" s="122" t="n"/>
      <c r="D31" s="95" t="n"/>
      <c r="E31" s="95" t="n"/>
      <c r="F31" s="92">
        <f>IF(A31="","",IFERROR(INDEX(Roster!$C$6:$C$65,MATCH(A31,Roster!$B$6:$B$65,0)),"not on the Roster"))</f>
        <v/>
      </c>
    </row>
    <row r="32">
      <c r="A32" s="105" t="n"/>
      <c r="B32" s="122" t="n"/>
      <c r="C32" s="122" t="n"/>
      <c r="D32" s="95" t="n"/>
      <c r="E32" s="95" t="n"/>
      <c r="F32" s="92">
        <f>IF(A32="","",IFERROR(INDEX(Roster!$C$6:$C$65,MATCH(A32,Roster!$B$6:$B$65,0)),"not on the Roster"))</f>
        <v/>
      </c>
    </row>
    <row r="33">
      <c r="A33" s="105" t="n"/>
      <c r="B33" s="122" t="n"/>
      <c r="C33" s="122" t="n"/>
      <c r="D33" s="95" t="n"/>
      <c r="E33" s="95" t="n"/>
      <c r="F33" s="92">
        <f>IF(A33="","",IFERROR(INDEX(Roster!$C$6:$C$65,MATCH(A33,Roster!$B$6:$B$65,0)),"not on the Roster"))</f>
        <v/>
      </c>
    </row>
    <row r="34">
      <c r="A34" s="105" t="n"/>
      <c r="B34" s="122" t="n"/>
      <c r="C34" s="122" t="n"/>
      <c r="D34" s="95" t="n"/>
      <c r="E34" s="95" t="n"/>
      <c r="F34" s="92">
        <f>IF(A34="","",IFERROR(INDEX(Roster!$C$6:$C$65,MATCH(A34,Roster!$B$6:$B$65,0)),"not on the Roster"))</f>
        <v/>
      </c>
    </row>
    <row r="35">
      <c r="A35" s="105" t="n"/>
      <c r="B35" s="122" t="n"/>
      <c r="C35" s="122" t="n"/>
      <c r="D35" s="95" t="n"/>
      <c r="E35" s="95" t="n"/>
      <c r="F35" s="92">
        <f>IF(A35="","",IFERROR(INDEX(Roster!$C$6:$C$65,MATCH(A35,Roster!$B$6:$B$65,0)),"not on the Roster"))</f>
        <v/>
      </c>
    </row>
    <row r="36">
      <c r="A36" s="105" t="n"/>
      <c r="B36" s="122" t="n"/>
      <c r="C36" s="122" t="n"/>
      <c r="D36" s="95" t="n"/>
      <c r="E36" s="95" t="n"/>
      <c r="F36" s="92">
        <f>IF(A36="","",IFERROR(INDEX(Roster!$C$6:$C$65,MATCH(A36,Roster!$B$6:$B$65,0)),"not on the Roster"))</f>
        <v/>
      </c>
    </row>
    <row r="37">
      <c r="A37" s="105" t="n"/>
      <c r="B37" s="122" t="n"/>
      <c r="C37" s="122" t="n"/>
      <c r="D37" s="95" t="n"/>
      <c r="E37" s="95" t="n"/>
      <c r="F37" s="92">
        <f>IF(A37="","",IFERROR(INDEX(Roster!$C$6:$C$65,MATCH(A37,Roster!$B$6:$B$65,0)),"not on the Roster"))</f>
        <v/>
      </c>
    </row>
    <row r="38">
      <c r="A38" s="105" t="n"/>
      <c r="B38" s="122" t="n"/>
      <c r="C38" s="122" t="n"/>
      <c r="D38" s="95" t="n"/>
      <c r="E38" s="95" t="n"/>
      <c r="F38" s="92">
        <f>IF(A38="","",IFERROR(INDEX(Roster!$C$6:$C$65,MATCH(A38,Roster!$B$6:$B$65,0)),"not on the Roster"))</f>
        <v/>
      </c>
    </row>
    <row r="39">
      <c r="A39" s="105" t="n"/>
      <c r="B39" s="122" t="n"/>
      <c r="C39" s="122" t="n"/>
      <c r="D39" s="95" t="n"/>
      <c r="E39" s="95" t="n"/>
      <c r="F39" s="92">
        <f>IF(A39="","",IFERROR(INDEX(Roster!$C$6:$C$65,MATCH(A39,Roster!$B$6:$B$65,0)),"not on the Roster"))</f>
        <v/>
      </c>
    </row>
    <row r="40">
      <c r="A40" s="105" t="n"/>
      <c r="B40" s="122" t="n"/>
      <c r="C40" s="122" t="n"/>
      <c r="D40" s="95" t="n"/>
      <c r="E40" s="95" t="n"/>
      <c r="F40" s="92">
        <f>IF(A40="","",IFERROR(INDEX(Roster!$C$6:$C$65,MATCH(A40,Roster!$B$6:$B$65,0)),"not on the Roster"))</f>
        <v/>
      </c>
    </row>
    <row r="41">
      <c r="A41" s="105" t="n"/>
      <c r="B41" s="122" t="n"/>
      <c r="C41" s="122" t="n"/>
      <c r="D41" s="95" t="n"/>
      <c r="E41" s="95" t="n"/>
      <c r="F41" s="92">
        <f>IF(A41="","",IFERROR(INDEX(Roster!$C$6:$C$65,MATCH(A41,Roster!$B$6:$B$65,0)),"not on the Roster"))</f>
        <v/>
      </c>
    </row>
    <row r="42">
      <c r="A42" s="105" t="n"/>
      <c r="B42" s="122" t="n"/>
      <c r="C42" s="122" t="n"/>
      <c r="D42" s="95" t="n"/>
      <c r="E42" s="95" t="n"/>
      <c r="F42" s="92">
        <f>IF(A42="","",IFERROR(INDEX(Roster!$C$6:$C$65,MATCH(A42,Roster!$B$6:$B$65,0)),"not on the Roster"))</f>
        <v/>
      </c>
    </row>
    <row r="43">
      <c r="A43" s="105" t="n"/>
      <c r="B43" s="122" t="n"/>
      <c r="C43" s="122" t="n"/>
      <c r="D43" s="95" t="n"/>
      <c r="E43" s="95" t="n"/>
      <c r="F43" s="92">
        <f>IF(A43="","",IFERROR(INDEX(Roster!$C$6:$C$65,MATCH(A43,Roster!$B$6:$B$65,0)),"not on the Roster"))</f>
        <v/>
      </c>
    </row>
    <row r="44">
      <c r="A44" s="105" t="n"/>
      <c r="B44" s="122" t="n"/>
      <c r="C44" s="122" t="n"/>
      <c r="D44" s="95" t="n"/>
      <c r="E44" s="95" t="n"/>
      <c r="F44" s="92">
        <f>IF(A44="","",IFERROR(INDEX(Roster!$C$6:$C$65,MATCH(A44,Roster!$B$6:$B$65,0)),"not on the Roster"))</f>
        <v/>
      </c>
    </row>
    <row r="45">
      <c r="A45" s="105" t="n"/>
      <c r="B45" s="122" t="n"/>
      <c r="C45" s="122" t="n"/>
      <c r="D45" s="95" t="n"/>
      <c r="E45" s="95" t="n"/>
      <c r="F45" s="92">
        <f>IF(A45="","",IFERROR(INDEX(Roster!$C$6:$C$65,MATCH(A45,Roster!$B$6:$B$65,0)),"not on the Roster"))</f>
        <v/>
      </c>
    </row>
    <row r="46">
      <c r="A46" s="105" t="n"/>
      <c r="B46" s="122" t="n"/>
      <c r="C46" s="122" t="n"/>
      <c r="D46" s="95" t="n"/>
      <c r="E46" s="95" t="n"/>
      <c r="F46" s="92">
        <f>IF(A46="","",IFERROR(INDEX(Roster!$C$6:$C$65,MATCH(A46,Roster!$B$6:$B$65,0)),"not on the Roster"))</f>
        <v/>
      </c>
    </row>
    <row r="47">
      <c r="A47" s="105" t="n"/>
      <c r="B47" s="122" t="n"/>
      <c r="C47" s="122" t="n"/>
      <c r="D47" s="95" t="n"/>
      <c r="E47" s="95" t="n"/>
      <c r="F47" s="92">
        <f>IF(A47="","",IFERROR(INDEX(Roster!$C$6:$C$65,MATCH(A47,Roster!$B$6:$B$65,0)),"not on the Roster"))</f>
        <v/>
      </c>
    </row>
    <row r="48">
      <c r="A48" s="105" t="n"/>
      <c r="B48" s="122" t="n"/>
      <c r="C48" s="122" t="n"/>
      <c r="D48" s="95" t="n"/>
      <c r="E48" s="95" t="n"/>
      <c r="F48" s="92">
        <f>IF(A48="","",IFERROR(INDEX(Roster!$C$6:$C$65,MATCH(A48,Roster!$B$6:$B$65,0)),"not on the Roster"))</f>
        <v/>
      </c>
    </row>
    <row r="49">
      <c r="A49" s="105" t="n"/>
      <c r="B49" s="122" t="n"/>
      <c r="C49" s="122" t="n"/>
      <c r="D49" s="95" t="n"/>
      <c r="E49" s="95" t="n"/>
      <c r="F49" s="92">
        <f>IF(A49="","",IFERROR(INDEX(Roster!$C$6:$C$65,MATCH(A49,Roster!$B$6:$B$65,0)),"not on the Roster"))</f>
        <v/>
      </c>
    </row>
    <row r="50">
      <c r="A50" s="105" t="n"/>
      <c r="B50" s="122" t="n"/>
      <c r="C50" s="122" t="n"/>
      <c r="D50" s="95" t="n"/>
      <c r="E50" s="95" t="n"/>
      <c r="F50" s="92">
        <f>IF(A50="","",IFERROR(INDEX(Roster!$C$6:$C$65,MATCH(A50,Roster!$B$6:$B$65,0)),"not on the Roster"))</f>
        <v/>
      </c>
    </row>
    <row r="51">
      <c r="A51" s="105" t="n"/>
      <c r="B51" s="122" t="n"/>
      <c r="C51" s="122" t="n"/>
      <c r="D51" s="95" t="n"/>
      <c r="E51" s="95" t="n"/>
      <c r="F51" s="92">
        <f>IF(A51="","",IFERROR(INDEX(Roster!$C$6:$C$65,MATCH(A51,Roster!$B$6:$B$65,0)),"not on the Roster"))</f>
        <v/>
      </c>
    </row>
    <row r="52">
      <c r="A52" s="105" t="n"/>
      <c r="B52" s="122" t="n"/>
      <c r="C52" s="122" t="n"/>
      <c r="D52" s="95" t="n"/>
      <c r="E52" s="95" t="n"/>
      <c r="F52" s="92">
        <f>IF(A52="","",IFERROR(INDEX(Roster!$C$6:$C$65,MATCH(A52,Roster!$B$6:$B$65,0)),"not on the Roster"))</f>
        <v/>
      </c>
    </row>
    <row r="53">
      <c r="A53" s="105" t="n"/>
      <c r="B53" s="122" t="n"/>
      <c r="C53" s="122" t="n"/>
      <c r="D53" s="95" t="n"/>
      <c r="E53" s="95" t="n"/>
      <c r="F53" s="92">
        <f>IF(A53="","",IFERROR(INDEX(Roster!$C$6:$C$65,MATCH(A53,Roster!$B$6:$B$65,0)),"not on the Roster"))</f>
        <v/>
      </c>
    </row>
    <row r="54">
      <c r="A54" s="105" t="n"/>
      <c r="B54" s="122" t="n"/>
      <c r="C54" s="122" t="n"/>
      <c r="D54" s="95" t="n"/>
      <c r="E54" s="95" t="n"/>
      <c r="F54" s="92">
        <f>IF(A54="","",IFERROR(INDEX(Roster!$C$6:$C$65,MATCH(A54,Roster!$B$6:$B$65,0)),"not on the Roster"))</f>
        <v/>
      </c>
    </row>
    <row r="55">
      <c r="A55" s="105" t="n"/>
      <c r="B55" s="122" t="n"/>
      <c r="C55" s="122" t="n"/>
      <c r="D55" s="95" t="n"/>
      <c r="E55" s="95" t="n"/>
      <c r="F55" s="92">
        <f>IF(A55="","",IFERROR(INDEX(Roster!$C$6:$C$65,MATCH(A55,Roster!$B$6:$B$65,0)),"not on the Roster"))</f>
        <v/>
      </c>
    </row>
    <row r="56">
      <c r="A56" s="105" t="n"/>
      <c r="B56" s="122" t="n"/>
      <c r="C56" s="122" t="n"/>
      <c r="D56" s="95" t="n"/>
      <c r="E56" s="95" t="n"/>
      <c r="F56" s="92">
        <f>IF(A56="","",IFERROR(INDEX(Roster!$C$6:$C$65,MATCH(A56,Roster!$B$6:$B$65,0)),"not on the Roster"))</f>
        <v/>
      </c>
    </row>
    <row r="57">
      <c r="A57" s="105" t="n"/>
      <c r="B57" s="122" t="n"/>
      <c r="C57" s="122" t="n"/>
      <c r="D57" s="95" t="n"/>
      <c r="E57" s="95" t="n"/>
      <c r="F57" s="92">
        <f>IF(A57="","",IFERROR(INDEX(Roster!$C$6:$C$65,MATCH(A57,Roster!$B$6:$B$65,0)),"not on the Roster"))</f>
        <v/>
      </c>
    </row>
    <row r="58">
      <c r="A58" s="105" t="n"/>
      <c r="B58" s="122" t="n"/>
      <c r="C58" s="122" t="n"/>
      <c r="D58" s="95" t="n"/>
      <c r="E58" s="95" t="n"/>
      <c r="F58" s="92">
        <f>IF(A58="","",IFERROR(INDEX(Roster!$C$6:$C$65,MATCH(A58,Roster!$B$6:$B$65,0)),"not on the Roster"))</f>
        <v/>
      </c>
    </row>
    <row r="59">
      <c r="A59" s="105" t="n"/>
      <c r="B59" s="122" t="n"/>
      <c r="C59" s="122" t="n"/>
      <c r="D59" s="95" t="n"/>
      <c r="E59" s="95" t="n"/>
      <c r="F59" s="92">
        <f>IF(A59="","",IFERROR(INDEX(Roster!$C$6:$C$65,MATCH(A59,Roster!$B$6:$B$65,0)),"not on the Roster"))</f>
        <v/>
      </c>
    </row>
    <row r="60">
      <c r="A60" s="105" t="n"/>
      <c r="B60" s="122" t="n"/>
      <c r="C60" s="122" t="n"/>
      <c r="D60" s="95" t="n"/>
      <c r="E60" s="95" t="n"/>
      <c r="F60" s="92">
        <f>IF(A60="","",IFERROR(INDEX(Roster!$C$6:$C$65,MATCH(A60,Roster!$B$6:$B$65,0)),"not on the Roster"))</f>
        <v/>
      </c>
    </row>
    <row r="61">
      <c r="A61" s="105" t="n"/>
      <c r="B61" s="122" t="n"/>
      <c r="C61" s="122" t="n"/>
      <c r="D61" s="95" t="n"/>
      <c r="E61" s="95" t="n"/>
      <c r="F61" s="92">
        <f>IF(A61="","",IFERROR(INDEX(Roster!$C$6:$C$65,MATCH(A61,Roster!$B$6:$B$65,0)),"not on the Roster"))</f>
        <v/>
      </c>
    </row>
    <row r="62">
      <c r="A62" s="105" t="n"/>
      <c r="B62" s="122" t="n"/>
      <c r="C62" s="122" t="n"/>
      <c r="D62" s="95" t="n"/>
      <c r="E62" s="95" t="n"/>
      <c r="F62" s="92">
        <f>IF(A62="","",IFERROR(INDEX(Roster!$C$6:$C$65,MATCH(A62,Roster!$B$6:$B$65,0)),"not on the Roster"))</f>
        <v/>
      </c>
    </row>
    <row r="63">
      <c r="A63" s="105" t="n"/>
      <c r="B63" s="122" t="n"/>
      <c r="C63" s="122" t="n"/>
      <c r="D63" s="95" t="n"/>
      <c r="E63" s="95" t="n"/>
      <c r="F63" s="92">
        <f>IF(A63="","",IFERROR(INDEX(Roster!$C$6:$C$65,MATCH(A63,Roster!$B$6:$B$65,0)),"not on the Roster"))</f>
        <v/>
      </c>
    </row>
    <row r="64">
      <c r="A64" s="105" t="n"/>
      <c r="B64" s="122" t="n"/>
      <c r="C64" s="122" t="n"/>
      <c r="D64" s="95" t="n"/>
      <c r="E64" s="95" t="n"/>
      <c r="F64" s="92">
        <f>IF(A64="","",IFERROR(INDEX(Roster!$C$6:$C$65,MATCH(A64,Roster!$B$6:$B$65,0)),"not on the Roster"))</f>
        <v/>
      </c>
    </row>
    <row r="65">
      <c r="A65" s="105" t="n"/>
      <c r="B65" s="122" t="n"/>
      <c r="C65" s="122" t="n"/>
      <c r="D65" s="95" t="n"/>
      <c r="E65" s="95" t="n"/>
      <c r="F65" s="92">
        <f>IF(A65="","",IFERROR(INDEX(Roster!$C$6:$C$65,MATCH(A65,Roster!$B$6:$B$65,0)),"not on the Roster"))</f>
        <v/>
      </c>
    </row>
    <row r="66">
      <c r="A66" s="105" t="n"/>
      <c r="B66" s="122" t="n"/>
      <c r="C66" s="122" t="n"/>
      <c r="D66" s="95" t="n"/>
      <c r="E66" s="95" t="n"/>
      <c r="F66" s="92">
        <f>IF(A66="","",IFERROR(INDEX(Roster!$C$6:$C$65,MATCH(A66,Roster!$B$6:$B$65,0)),"not on the Roster"))</f>
        <v/>
      </c>
    </row>
    <row r="67">
      <c r="A67" s="105" t="n"/>
      <c r="B67" s="122" t="n"/>
      <c r="C67" s="122" t="n"/>
      <c r="D67" s="95" t="n"/>
      <c r="E67" s="95" t="n"/>
      <c r="F67" s="92">
        <f>IF(A67="","",IFERROR(INDEX(Roster!$C$6:$C$65,MATCH(A67,Roster!$B$6:$B$65,0)),"not on the Roster"))</f>
        <v/>
      </c>
    </row>
    <row r="68">
      <c r="A68" s="105" t="n"/>
      <c r="B68" s="122" t="n"/>
      <c r="C68" s="122" t="n"/>
      <c r="D68" s="95" t="n"/>
      <c r="E68" s="95" t="n"/>
      <c r="F68" s="92">
        <f>IF(A68="","",IFERROR(INDEX(Roster!$C$6:$C$65,MATCH(A68,Roster!$B$6:$B$65,0)),"not on the Roster"))</f>
        <v/>
      </c>
    </row>
    <row r="69">
      <c r="A69" s="105" t="n"/>
      <c r="B69" s="122" t="n"/>
      <c r="C69" s="122" t="n"/>
      <c r="D69" s="95" t="n"/>
      <c r="E69" s="95" t="n"/>
      <c r="F69" s="92">
        <f>IF(A69="","",IFERROR(INDEX(Roster!$C$6:$C$65,MATCH(A69,Roster!$B$6:$B$65,0)),"not on the Roster"))</f>
        <v/>
      </c>
    </row>
    <row r="70">
      <c r="A70" s="105" t="n"/>
      <c r="B70" s="122" t="n"/>
      <c r="C70" s="122" t="n"/>
      <c r="D70" s="95" t="n"/>
      <c r="E70" s="95" t="n"/>
      <c r="F70" s="92">
        <f>IF(A70="","",IFERROR(INDEX(Roster!$C$6:$C$65,MATCH(A70,Roster!$B$6:$B$65,0)),"not on the Roster"))</f>
        <v/>
      </c>
    </row>
    <row r="71">
      <c r="A71" s="105" t="n"/>
      <c r="B71" s="122" t="n"/>
      <c r="C71" s="122" t="n"/>
      <c r="D71" s="95" t="n"/>
      <c r="E71" s="95" t="n"/>
      <c r="F71" s="92">
        <f>IF(A71="","",IFERROR(INDEX(Roster!$C$6:$C$65,MATCH(A71,Roster!$B$6:$B$65,0)),"not on the Roster"))</f>
        <v/>
      </c>
    </row>
    <row r="72">
      <c r="A72" s="105" t="n"/>
      <c r="B72" s="122" t="n"/>
      <c r="C72" s="122" t="n"/>
      <c r="D72" s="95" t="n"/>
      <c r="E72" s="95" t="n"/>
      <c r="F72" s="92">
        <f>IF(A72="","",IFERROR(INDEX(Roster!$C$6:$C$65,MATCH(A72,Roster!$B$6:$B$65,0)),"not on the Roster"))</f>
        <v/>
      </c>
    </row>
    <row r="73">
      <c r="A73" s="105" t="n"/>
      <c r="B73" s="122" t="n"/>
      <c r="C73" s="122" t="n"/>
      <c r="D73" s="95" t="n"/>
      <c r="E73" s="95" t="n"/>
      <c r="F73" s="92">
        <f>IF(A73="","",IFERROR(INDEX(Roster!$C$6:$C$65,MATCH(A73,Roster!$B$6:$B$65,0)),"not on the Roster"))</f>
        <v/>
      </c>
    </row>
    <row r="74">
      <c r="A74" s="105" t="n"/>
      <c r="B74" s="122" t="n"/>
      <c r="C74" s="122" t="n"/>
      <c r="D74" s="95" t="n"/>
      <c r="E74" s="95" t="n"/>
      <c r="F74" s="92">
        <f>IF(A74="","",IFERROR(INDEX(Roster!$C$6:$C$65,MATCH(A74,Roster!$B$6:$B$65,0)),"not on the Roster"))</f>
        <v/>
      </c>
    </row>
    <row r="75">
      <c r="A75" s="105" t="n"/>
      <c r="B75" s="122" t="n"/>
      <c r="C75" s="122" t="n"/>
      <c r="D75" s="95" t="n"/>
      <c r="E75" s="95" t="n"/>
      <c r="F75" s="92">
        <f>IF(A75="","",IFERROR(INDEX(Roster!$C$6:$C$65,MATCH(A75,Roster!$B$6:$B$65,0)),"not on the Roster"))</f>
        <v/>
      </c>
    </row>
    <row r="76">
      <c r="A76" s="105" t="n"/>
      <c r="B76" s="122" t="n"/>
      <c r="C76" s="122" t="n"/>
      <c r="D76" s="95" t="n"/>
      <c r="E76" s="95" t="n"/>
      <c r="F76" s="92">
        <f>IF(A76="","",IFERROR(INDEX(Roster!$C$6:$C$65,MATCH(A76,Roster!$B$6:$B$65,0)),"not on the Roster"))</f>
        <v/>
      </c>
    </row>
    <row r="77">
      <c r="A77" s="105" t="n"/>
      <c r="B77" s="122" t="n"/>
      <c r="C77" s="122" t="n"/>
      <c r="D77" s="95" t="n"/>
      <c r="E77" s="95" t="n"/>
      <c r="F77" s="92">
        <f>IF(A77="","",IFERROR(INDEX(Roster!$C$6:$C$65,MATCH(A77,Roster!$B$6:$B$65,0)),"not on the Roster"))</f>
        <v/>
      </c>
    </row>
    <row r="78">
      <c r="A78" s="105" t="n"/>
      <c r="B78" s="122" t="n"/>
      <c r="C78" s="122" t="n"/>
      <c r="D78" s="95" t="n"/>
      <c r="E78" s="95" t="n"/>
      <c r="F78" s="92">
        <f>IF(A78="","",IFERROR(INDEX(Roster!$C$6:$C$65,MATCH(A78,Roster!$B$6:$B$65,0)),"not on the Roster"))</f>
        <v/>
      </c>
    </row>
    <row r="79">
      <c r="A79" s="105" t="n"/>
      <c r="B79" s="122" t="n"/>
      <c r="C79" s="122" t="n"/>
      <c r="D79" s="95" t="n"/>
      <c r="E79" s="95" t="n"/>
      <c r="F79" s="92">
        <f>IF(A79="","",IFERROR(INDEX(Roster!$C$6:$C$65,MATCH(A79,Roster!$B$6:$B$65,0)),"not on the Roster"))</f>
        <v/>
      </c>
    </row>
    <row r="80">
      <c r="A80" s="105" t="n"/>
      <c r="B80" s="122" t="n"/>
      <c r="C80" s="122" t="n"/>
      <c r="D80" s="95" t="n"/>
      <c r="E80" s="95" t="n"/>
      <c r="F80" s="92">
        <f>IF(A80="","",IFERROR(INDEX(Roster!$C$6:$C$65,MATCH(A80,Roster!$B$6:$B$65,0)),"not on the Roster"))</f>
        <v/>
      </c>
    </row>
    <row r="81">
      <c r="A81" s="105" t="n"/>
      <c r="B81" s="122" t="n"/>
      <c r="C81" s="122" t="n"/>
      <c r="D81" s="95" t="n"/>
      <c r="E81" s="95" t="n"/>
      <c r="F81" s="92">
        <f>IF(A81="","",IFERROR(INDEX(Roster!$C$6:$C$65,MATCH(A81,Roster!$B$6:$B$65,0)),"not on the Roster"))</f>
        <v/>
      </c>
    </row>
    <row r="82">
      <c r="A82" s="105" t="n"/>
      <c r="B82" s="122" t="n"/>
      <c r="C82" s="122" t="n"/>
      <c r="D82" s="95" t="n"/>
      <c r="E82" s="95" t="n"/>
      <c r="F82" s="92">
        <f>IF(A82="","",IFERROR(INDEX(Roster!$C$6:$C$65,MATCH(A82,Roster!$B$6:$B$65,0)),"not on the Roster"))</f>
        <v/>
      </c>
    </row>
    <row r="83">
      <c r="A83" s="105" t="n"/>
      <c r="B83" s="122" t="n"/>
      <c r="C83" s="122" t="n"/>
      <c r="D83" s="95" t="n"/>
      <c r="E83" s="95" t="n"/>
      <c r="F83" s="92">
        <f>IF(A83="","",IFERROR(INDEX(Roster!$C$6:$C$65,MATCH(A83,Roster!$B$6:$B$65,0)),"not on the Roster"))</f>
        <v/>
      </c>
    </row>
    <row r="84">
      <c r="A84" s="105" t="n"/>
      <c r="B84" s="122" t="n"/>
      <c r="C84" s="122" t="n"/>
      <c r="D84" s="95" t="n"/>
      <c r="E84" s="95" t="n"/>
      <c r="F84" s="92">
        <f>IF(A84="","",IFERROR(INDEX(Roster!$C$6:$C$65,MATCH(A84,Roster!$B$6:$B$65,0)),"not on the Roster"))</f>
        <v/>
      </c>
    </row>
    <row r="85">
      <c r="A85" s="105" t="n"/>
      <c r="B85" s="122" t="n"/>
      <c r="C85" s="122" t="n"/>
      <c r="D85" s="95" t="n"/>
      <c r="E85" s="95" t="n"/>
      <c r="F85" s="92">
        <f>IF(A85="","",IFERROR(INDEX(Roster!$C$6:$C$65,MATCH(A85,Roster!$B$6:$B$65,0)),"not on the Roster"))</f>
        <v/>
      </c>
    </row>
    <row r="86">
      <c r="A86" s="105" t="n"/>
      <c r="B86" s="122" t="n"/>
      <c r="C86" s="122" t="n"/>
      <c r="D86" s="95" t="n"/>
      <c r="E86" s="95" t="n"/>
      <c r="F86" s="92">
        <f>IF(A86="","",IFERROR(INDEX(Roster!$C$6:$C$65,MATCH(A86,Roster!$B$6:$B$65,0)),"not on the Roster"))</f>
        <v/>
      </c>
    </row>
    <row r="87">
      <c r="A87" s="105" t="n"/>
      <c r="B87" s="122" t="n"/>
      <c r="C87" s="122" t="n"/>
      <c r="D87" s="95" t="n"/>
      <c r="E87" s="95" t="n"/>
      <c r="F87" s="92">
        <f>IF(A87="","",IFERROR(INDEX(Roster!$C$6:$C$65,MATCH(A87,Roster!$B$6:$B$65,0)),"not on the Roster"))</f>
        <v/>
      </c>
    </row>
    <row r="88">
      <c r="A88" s="105" t="n"/>
      <c r="B88" s="122" t="n"/>
      <c r="C88" s="122" t="n"/>
      <c r="D88" s="95" t="n"/>
      <c r="E88" s="95" t="n"/>
      <c r="F88" s="92">
        <f>IF(A88="","",IFERROR(INDEX(Roster!$C$6:$C$65,MATCH(A88,Roster!$B$6:$B$65,0)),"not on the Roster"))</f>
        <v/>
      </c>
    </row>
    <row r="89">
      <c r="A89" s="105" t="n"/>
      <c r="B89" s="122" t="n"/>
      <c r="C89" s="122" t="n"/>
      <c r="D89" s="95" t="n"/>
      <c r="E89" s="95" t="n"/>
      <c r="F89" s="92">
        <f>IF(A89="","",IFERROR(INDEX(Roster!$C$6:$C$65,MATCH(A89,Roster!$B$6:$B$65,0)),"not on the Roster"))</f>
        <v/>
      </c>
    </row>
    <row r="90">
      <c r="A90" s="105" t="n"/>
      <c r="B90" s="122" t="n"/>
      <c r="C90" s="122" t="n"/>
      <c r="D90" s="95" t="n"/>
      <c r="E90" s="95" t="n"/>
      <c r="F90" s="92">
        <f>IF(A90="","",IFERROR(INDEX(Roster!$C$6:$C$65,MATCH(A90,Roster!$B$6:$B$65,0)),"not on the Roster"))</f>
        <v/>
      </c>
    </row>
    <row r="91">
      <c r="A91" s="105" t="n"/>
      <c r="B91" s="122" t="n"/>
      <c r="C91" s="122" t="n"/>
      <c r="D91" s="95" t="n"/>
      <c r="E91" s="95" t="n"/>
      <c r="F91" s="92">
        <f>IF(A91="","",IFERROR(INDEX(Roster!$C$6:$C$65,MATCH(A91,Roster!$B$6:$B$65,0)),"not on the Roster"))</f>
        <v/>
      </c>
    </row>
    <row r="92">
      <c r="A92" s="105" t="n"/>
      <c r="B92" s="122" t="n"/>
      <c r="C92" s="122" t="n"/>
      <c r="D92" s="95" t="n"/>
      <c r="E92" s="95" t="n"/>
      <c r="F92" s="92">
        <f>IF(A92="","",IFERROR(INDEX(Roster!$C$6:$C$65,MATCH(A92,Roster!$B$6:$B$65,0)),"not on the Roster"))</f>
        <v/>
      </c>
    </row>
    <row r="93">
      <c r="A93" s="105" t="n"/>
      <c r="B93" s="122" t="n"/>
      <c r="C93" s="122" t="n"/>
      <c r="D93" s="95" t="n"/>
      <c r="E93" s="95" t="n"/>
      <c r="F93" s="92">
        <f>IF(A93="","",IFERROR(INDEX(Roster!$C$6:$C$65,MATCH(A93,Roster!$B$6:$B$65,0)),"not on the Roster"))</f>
        <v/>
      </c>
    </row>
    <row r="94">
      <c r="A94" s="105" t="n"/>
      <c r="B94" s="122" t="n"/>
      <c r="C94" s="122" t="n"/>
      <c r="D94" s="95" t="n"/>
      <c r="E94" s="95" t="n"/>
      <c r="F94" s="92">
        <f>IF(A94="","",IFERROR(INDEX(Roster!$C$6:$C$65,MATCH(A94,Roster!$B$6:$B$65,0)),"not on the Roster"))</f>
        <v/>
      </c>
    </row>
    <row r="95">
      <c r="A95" s="105" t="n"/>
      <c r="B95" s="122" t="n"/>
      <c r="C95" s="122" t="n"/>
      <c r="D95" s="95" t="n"/>
      <c r="E95" s="95" t="n"/>
      <c r="F95" s="92">
        <f>IF(A95="","",IFERROR(INDEX(Roster!$C$6:$C$65,MATCH(A95,Roster!$B$6:$B$65,0)),"not on the Roster"))</f>
        <v/>
      </c>
    </row>
    <row r="96">
      <c r="A96" s="105" t="n"/>
      <c r="B96" s="122" t="n"/>
      <c r="C96" s="122" t="n"/>
      <c r="D96" s="95" t="n"/>
      <c r="E96" s="95" t="n"/>
      <c r="F96" s="92">
        <f>IF(A96="","",IFERROR(INDEX(Roster!$C$6:$C$65,MATCH(A96,Roster!$B$6:$B$65,0)),"not on the Roster"))</f>
        <v/>
      </c>
    </row>
    <row r="97">
      <c r="A97" s="105" t="n"/>
      <c r="B97" s="122" t="n"/>
      <c r="C97" s="122" t="n"/>
      <c r="D97" s="95" t="n"/>
      <c r="E97" s="95" t="n"/>
      <c r="F97" s="92">
        <f>IF(A97="","",IFERROR(INDEX(Roster!$C$6:$C$65,MATCH(A97,Roster!$B$6:$B$65,0)),"not on the Roster"))</f>
        <v/>
      </c>
    </row>
    <row r="98">
      <c r="A98" s="105" t="n"/>
      <c r="B98" s="122" t="n"/>
      <c r="C98" s="122" t="n"/>
      <c r="D98" s="95" t="n"/>
      <c r="E98" s="95" t="n"/>
      <c r="F98" s="92">
        <f>IF(A98="","",IFERROR(INDEX(Roster!$C$6:$C$65,MATCH(A98,Roster!$B$6:$B$65,0)),"not on the Roster"))</f>
        <v/>
      </c>
    </row>
    <row r="99">
      <c r="A99" s="105" t="n"/>
      <c r="B99" s="122" t="n"/>
      <c r="C99" s="122" t="n"/>
      <c r="D99" s="95" t="n"/>
      <c r="E99" s="95" t="n"/>
      <c r="F99" s="92">
        <f>IF(A99="","",IFERROR(INDEX(Roster!$C$6:$C$65,MATCH(A99,Roster!$B$6:$B$65,0)),"not on the Roster"))</f>
        <v/>
      </c>
    </row>
    <row r="100">
      <c r="A100" s="105" t="n"/>
      <c r="B100" s="122" t="n"/>
      <c r="C100" s="122" t="n"/>
      <c r="D100" s="95" t="n"/>
      <c r="E100" s="95" t="n"/>
      <c r="F100" s="92">
        <f>IF(A100="","",IFERROR(INDEX(Roster!$C$6:$C$65,MATCH(A100,Roster!$B$6:$B$65,0)),"not on the Roster"))</f>
        <v/>
      </c>
    </row>
    <row r="101">
      <c r="A101" s="105" t="n"/>
      <c r="B101" s="122" t="n"/>
      <c r="C101" s="122" t="n"/>
      <c r="D101" s="95" t="n"/>
      <c r="E101" s="95" t="n"/>
      <c r="F101" s="92">
        <f>IF(A101="","",IFERROR(INDEX(Roster!$C$6:$C$65,MATCH(A101,Roster!$B$6:$B$65,0)),"not on the Roster"))</f>
        <v/>
      </c>
    </row>
    <row r="102">
      <c r="A102" s="105" t="n"/>
      <c r="B102" s="122" t="n"/>
      <c r="C102" s="122" t="n"/>
      <c r="D102" s="95" t="n"/>
      <c r="E102" s="95" t="n"/>
      <c r="F102" s="92">
        <f>IF(A102="","",IFERROR(INDEX(Roster!$C$6:$C$65,MATCH(A102,Roster!$B$6:$B$65,0)),"not on the Roster"))</f>
        <v/>
      </c>
    </row>
    <row r="103">
      <c r="A103" s="105" t="n"/>
      <c r="B103" s="122" t="n"/>
      <c r="C103" s="122" t="n"/>
      <c r="D103" s="95" t="n"/>
      <c r="E103" s="95" t="n"/>
      <c r="F103" s="92">
        <f>IF(A103="","",IFERROR(INDEX(Roster!$C$6:$C$65,MATCH(A103,Roster!$B$6:$B$65,0)),"not on the Roster"))</f>
        <v/>
      </c>
    </row>
    <row r="104">
      <c r="A104" s="105" t="n"/>
      <c r="B104" s="122" t="n"/>
      <c r="C104" s="122" t="n"/>
      <c r="D104" s="95" t="n"/>
      <c r="E104" s="95" t="n"/>
      <c r="F104" s="92">
        <f>IF(A104="","",IFERROR(INDEX(Roster!$C$6:$C$65,MATCH(A104,Roster!$B$6:$B$65,0)),"not on the Roster"))</f>
        <v/>
      </c>
    </row>
    <row r="105">
      <c r="A105" s="105" t="n"/>
      <c r="B105" s="122" t="n"/>
      <c r="C105" s="122" t="n"/>
      <c r="D105" s="95" t="n"/>
      <c r="E105" s="95" t="n"/>
      <c r="F105" s="92">
        <f>IF(A105="","",IFERROR(INDEX(Roster!$C$6:$C$65,MATCH(A105,Roster!$B$6:$B$65,0)),"not on the Roster"))</f>
        <v/>
      </c>
    </row>
    <row r="106">
      <c r="A106" s="105" t="n"/>
      <c r="B106" s="122" t="n"/>
      <c r="C106" s="122" t="n"/>
      <c r="D106" s="95" t="n"/>
      <c r="E106" s="95" t="n"/>
      <c r="F106" s="92">
        <f>IF(A106="","",IFERROR(INDEX(Roster!$C$6:$C$65,MATCH(A106,Roster!$B$6:$B$65,0)),"not on the Roster"))</f>
        <v/>
      </c>
    </row>
    <row r="107">
      <c r="A107" s="105" t="n"/>
      <c r="B107" s="122" t="n"/>
      <c r="C107" s="122" t="n"/>
      <c r="D107" s="95" t="n"/>
      <c r="E107" s="95" t="n"/>
      <c r="F107" s="92">
        <f>IF(A107="","",IFERROR(INDEX(Roster!$C$6:$C$65,MATCH(A107,Roster!$B$6:$B$65,0)),"not on the Roster"))</f>
        <v/>
      </c>
    </row>
    <row r="108">
      <c r="A108" s="105" t="n"/>
      <c r="B108" s="122" t="n"/>
      <c r="C108" s="122" t="n"/>
      <c r="D108" s="95" t="n"/>
      <c r="E108" s="95" t="n"/>
      <c r="F108" s="92">
        <f>IF(A108="","",IFERROR(INDEX(Roster!$C$6:$C$65,MATCH(A108,Roster!$B$6:$B$65,0)),"not on the Roster"))</f>
        <v/>
      </c>
    </row>
    <row r="109">
      <c r="A109" s="105" t="n"/>
      <c r="B109" s="122" t="n"/>
      <c r="C109" s="122" t="n"/>
      <c r="D109" s="95" t="n"/>
      <c r="E109" s="95" t="n"/>
      <c r="F109" s="92">
        <f>IF(A109="","",IFERROR(INDEX(Roster!$C$6:$C$65,MATCH(A109,Roster!$B$6:$B$65,0)),"not on the Roster"))</f>
        <v/>
      </c>
    </row>
    <row r="110">
      <c r="A110" s="105" t="n"/>
      <c r="B110" s="122" t="n"/>
      <c r="C110" s="122" t="n"/>
      <c r="D110" s="95" t="n"/>
      <c r="E110" s="95" t="n"/>
      <c r="F110" s="92">
        <f>IF(A110="","",IFERROR(INDEX(Roster!$C$6:$C$65,MATCH(A110,Roster!$B$6:$B$65,0)),"not on the Roster"))</f>
        <v/>
      </c>
    </row>
    <row r="111">
      <c r="A111" s="105" t="n"/>
      <c r="B111" s="122" t="n"/>
      <c r="C111" s="122" t="n"/>
      <c r="D111" s="95" t="n"/>
      <c r="E111" s="95" t="n"/>
      <c r="F111" s="92">
        <f>IF(A111="","",IFERROR(INDEX(Roster!$C$6:$C$65,MATCH(A111,Roster!$B$6:$B$65,0)),"not on the Roster"))</f>
        <v/>
      </c>
    </row>
    <row r="112">
      <c r="A112" s="105" t="n"/>
      <c r="B112" s="122" t="n"/>
      <c r="C112" s="122" t="n"/>
      <c r="D112" s="95" t="n"/>
      <c r="E112" s="95" t="n"/>
      <c r="F112" s="92">
        <f>IF(A112="","",IFERROR(INDEX(Roster!$C$6:$C$65,MATCH(A112,Roster!$B$6:$B$65,0)),"not on the Roster"))</f>
        <v/>
      </c>
    </row>
    <row r="113">
      <c r="A113" s="105" t="n"/>
      <c r="B113" s="122" t="n"/>
      <c r="C113" s="122" t="n"/>
      <c r="D113" s="95" t="n"/>
      <c r="E113" s="95" t="n"/>
      <c r="F113" s="92">
        <f>IF(A113="","",IFERROR(INDEX(Roster!$C$6:$C$65,MATCH(A113,Roster!$B$6:$B$65,0)),"not on the Roster"))</f>
        <v/>
      </c>
    </row>
    <row r="114">
      <c r="A114" s="105" t="n"/>
      <c r="B114" s="122" t="n"/>
      <c r="C114" s="122" t="n"/>
      <c r="D114" s="95" t="n"/>
      <c r="E114" s="95" t="n"/>
      <c r="F114" s="92">
        <f>IF(A114="","",IFERROR(INDEX(Roster!$C$6:$C$65,MATCH(A114,Roster!$B$6:$B$65,0)),"not on the Roster"))</f>
        <v/>
      </c>
    </row>
    <row r="115">
      <c r="A115" s="105" t="n"/>
      <c r="B115" s="122" t="n"/>
      <c r="C115" s="122" t="n"/>
      <c r="D115" s="95" t="n"/>
      <c r="E115" s="95" t="n"/>
      <c r="F115" s="92">
        <f>IF(A115="","",IFERROR(INDEX(Roster!$C$6:$C$65,MATCH(A115,Roster!$B$6:$B$65,0)),"not on the Roster"))</f>
        <v/>
      </c>
    </row>
    <row r="116">
      <c r="A116" s="105" t="n"/>
      <c r="B116" s="122" t="n"/>
      <c r="C116" s="122" t="n"/>
      <c r="D116" s="95" t="n"/>
      <c r="E116" s="95" t="n"/>
      <c r="F116" s="92">
        <f>IF(A116="","",IFERROR(INDEX(Roster!$C$6:$C$65,MATCH(A116,Roster!$B$6:$B$65,0)),"not on the Roster"))</f>
        <v/>
      </c>
    </row>
    <row r="117">
      <c r="A117" s="105" t="n"/>
      <c r="B117" s="122" t="n"/>
      <c r="C117" s="122" t="n"/>
      <c r="D117" s="95" t="n"/>
      <c r="E117" s="95" t="n"/>
      <c r="F117" s="92">
        <f>IF(A117="","",IFERROR(INDEX(Roster!$C$6:$C$65,MATCH(A117,Roster!$B$6:$B$65,0)),"not on the Roster"))</f>
        <v/>
      </c>
    </row>
    <row r="118">
      <c r="A118" s="105" t="n"/>
      <c r="B118" s="122" t="n"/>
      <c r="C118" s="122" t="n"/>
      <c r="D118" s="95" t="n"/>
      <c r="E118" s="95" t="n"/>
      <c r="F118" s="92">
        <f>IF(A118="","",IFERROR(INDEX(Roster!$C$6:$C$65,MATCH(A118,Roster!$B$6:$B$65,0)),"not on the Roster"))</f>
        <v/>
      </c>
    </row>
    <row r="119">
      <c r="A119" s="105" t="n"/>
      <c r="B119" s="122" t="n"/>
      <c r="C119" s="122" t="n"/>
      <c r="D119" s="95" t="n"/>
      <c r="E119" s="95" t="n"/>
      <c r="F119" s="92">
        <f>IF(A119="","",IFERROR(INDEX(Roster!$C$6:$C$65,MATCH(A119,Roster!$B$6:$B$65,0)),"not on the Roster"))</f>
        <v/>
      </c>
    </row>
    <row r="120">
      <c r="A120" s="105" t="n"/>
      <c r="B120" s="122" t="n"/>
      <c r="C120" s="122" t="n"/>
      <c r="D120" s="95" t="n"/>
      <c r="E120" s="95" t="n"/>
      <c r="F120" s="92">
        <f>IF(A120="","",IFERROR(INDEX(Roster!$C$6:$C$65,MATCH(A120,Roster!$B$6:$B$65,0)),"not on the Roster"))</f>
        <v/>
      </c>
    </row>
    <row r="121">
      <c r="A121" s="105" t="n"/>
      <c r="B121" s="122" t="n"/>
      <c r="C121" s="122" t="n"/>
      <c r="D121" s="95" t="n"/>
      <c r="E121" s="95" t="n"/>
      <c r="F121" s="92">
        <f>IF(A121="","",IFERROR(INDEX(Roster!$C$6:$C$65,MATCH(A121,Roster!$B$6:$B$65,0)),"not on the Roster"))</f>
        <v/>
      </c>
    </row>
    <row r="122">
      <c r="A122" s="105" t="n"/>
      <c r="B122" s="122" t="n"/>
      <c r="C122" s="122" t="n"/>
      <c r="D122" s="95" t="n"/>
      <c r="E122" s="95" t="n"/>
      <c r="F122" s="92">
        <f>IF(A122="","",IFERROR(INDEX(Roster!$C$6:$C$65,MATCH(A122,Roster!$B$6:$B$65,0)),"not on the Roster"))</f>
        <v/>
      </c>
    </row>
    <row r="123">
      <c r="A123" s="105" t="n"/>
      <c r="B123" s="122" t="n"/>
      <c r="C123" s="122" t="n"/>
      <c r="D123" s="95" t="n"/>
      <c r="E123" s="95" t="n"/>
      <c r="F123" s="92">
        <f>IF(A123="","",IFERROR(INDEX(Roster!$C$6:$C$65,MATCH(A123,Roster!$B$6:$B$65,0)),"not on the Roster"))</f>
        <v/>
      </c>
    </row>
    <row r="124">
      <c r="A124" s="105" t="n"/>
      <c r="B124" s="122" t="n"/>
      <c r="C124" s="122" t="n"/>
      <c r="D124" s="95" t="n"/>
      <c r="E124" s="95" t="n"/>
      <c r="F124" s="92">
        <f>IF(A124="","",IFERROR(INDEX(Roster!$C$6:$C$65,MATCH(A124,Roster!$B$6:$B$65,0)),"not on the Roster"))</f>
        <v/>
      </c>
    </row>
    <row r="125">
      <c r="A125" s="105" t="n"/>
      <c r="B125" s="122" t="n"/>
      <c r="C125" s="122" t="n"/>
      <c r="D125" s="95" t="n"/>
      <c r="E125" s="95" t="n"/>
      <c r="F125" s="92">
        <f>IF(A125="","",IFERROR(INDEX(Roster!$C$6:$C$65,MATCH(A125,Roster!$B$6:$B$65,0)),"not on the Roster"))</f>
        <v/>
      </c>
    </row>
    <row r="126">
      <c r="A126" s="105" t="n"/>
      <c r="B126" s="122" t="n"/>
      <c r="C126" s="122" t="n"/>
      <c r="D126" s="95" t="n"/>
      <c r="E126" s="95" t="n"/>
      <c r="F126" s="92">
        <f>IF(A126="","",IFERROR(INDEX(Roster!$C$6:$C$65,MATCH(A126,Roster!$B$6:$B$65,0)),"not on the Roster"))</f>
        <v/>
      </c>
    </row>
    <row r="127">
      <c r="A127" s="105" t="n"/>
      <c r="B127" s="122" t="n"/>
      <c r="C127" s="122" t="n"/>
      <c r="D127" s="95" t="n"/>
      <c r="E127" s="95" t="n"/>
      <c r="F127" s="92">
        <f>IF(A127="","",IFERROR(INDEX(Roster!$C$6:$C$65,MATCH(A127,Roster!$B$6:$B$65,0)),"not on the Roster"))</f>
        <v/>
      </c>
    </row>
    <row r="128">
      <c r="A128" s="105" t="n"/>
      <c r="B128" s="122" t="n"/>
      <c r="C128" s="122" t="n"/>
      <c r="D128" s="95" t="n"/>
      <c r="E128" s="95" t="n"/>
      <c r="F128" s="92">
        <f>IF(A128="","",IFERROR(INDEX(Roster!$C$6:$C$65,MATCH(A128,Roster!$B$6:$B$65,0)),"not on the Roster"))</f>
        <v/>
      </c>
    </row>
    <row r="129">
      <c r="A129" s="105" t="n"/>
      <c r="B129" s="122" t="n"/>
      <c r="C129" s="122" t="n"/>
      <c r="D129" s="95" t="n"/>
      <c r="E129" s="95" t="n"/>
      <c r="F129" s="92">
        <f>IF(A129="","",IFERROR(INDEX(Roster!$C$6:$C$65,MATCH(A129,Roster!$B$6:$B$65,0)),"not on the Roster"))</f>
        <v/>
      </c>
    </row>
    <row r="130">
      <c r="A130" s="105" t="n"/>
      <c r="B130" s="122" t="n"/>
      <c r="C130" s="122" t="n"/>
      <c r="D130" s="95" t="n"/>
      <c r="E130" s="95" t="n"/>
      <c r="F130" s="92">
        <f>IF(A130="","",IFERROR(INDEX(Roster!$C$6:$C$65,MATCH(A130,Roster!$B$6:$B$65,0)),"not on the Roster"))</f>
        <v/>
      </c>
    </row>
    <row r="131">
      <c r="A131" s="105" t="n"/>
      <c r="B131" s="122" t="n"/>
      <c r="C131" s="122" t="n"/>
      <c r="D131" s="95" t="n"/>
      <c r="E131" s="95" t="n"/>
      <c r="F131" s="92">
        <f>IF(A131="","",IFERROR(INDEX(Roster!$C$6:$C$65,MATCH(A131,Roster!$B$6:$B$65,0)),"not on the Roster"))</f>
        <v/>
      </c>
    </row>
    <row r="132">
      <c r="A132" s="105" t="n"/>
      <c r="B132" s="122" t="n"/>
      <c r="C132" s="122" t="n"/>
      <c r="D132" s="95" t="n"/>
      <c r="E132" s="95" t="n"/>
      <c r="F132" s="92">
        <f>IF(A132="","",IFERROR(INDEX(Roster!$C$6:$C$65,MATCH(A132,Roster!$B$6:$B$65,0)),"not on the Roster"))</f>
        <v/>
      </c>
    </row>
    <row r="133">
      <c r="A133" s="105" t="n"/>
      <c r="B133" s="122" t="n"/>
      <c r="C133" s="122" t="n"/>
      <c r="D133" s="95" t="n"/>
      <c r="E133" s="95" t="n"/>
      <c r="F133" s="92">
        <f>IF(A133="","",IFERROR(INDEX(Roster!$C$6:$C$65,MATCH(A133,Roster!$B$6:$B$65,0)),"not on the Roster"))</f>
        <v/>
      </c>
    </row>
    <row r="134">
      <c r="A134" s="105" t="n"/>
      <c r="B134" s="122" t="n"/>
      <c r="C134" s="122" t="n"/>
      <c r="D134" s="95" t="n"/>
      <c r="E134" s="95" t="n"/>
      <c r="F134" s="92">
        <f>IF(A134="","",IFERROR(INDEX(Roster!$C$6:$C$65,MATCH(A134,Roster!$B$6:$B$65,0)),"not on the Roster"))</f>
        <v/>
      </c>
    </row>
    <row r="135">
      <c r="A135" s="105" t="n"/>
      <c r="B135" s="122" t="n"/>
      <c r="C135" s="122" t="n"/>
      <c r="D135" s="95" t="n"/>
      <c r="E135" s="95" t="n"/>
      <c r="F135" s="92">
        <f>IF(A135="","",IFERROR(INDEX(Roster!$C$6:$C$65,MATCH(A135,Roster!$B$6:$B$65,0)),"not on the Roster"))</f>
        <v/>
      </c>
    </row>
    <row r="136">
      <c r="A136" s="105" t="n"/>
      <c r="B136" s="122" t="n"/>
      <c r="C136" s="122" t="n"/>
      <c r="D136" s="95" t="n"/>
      <c r="E136" s="95" t="n"/>
      <c r="F136" s="92">
        <f>IF(A136="","",IFERROR(INDEX(Roster!$C$6:$C$65,MATCH(A136,Roster!$B$6:$B$65,0)),"not on the Roster"))</f>
        <v/>
      </c>
    </row>
    <row r="137">
      <c r="A137" s="105" t="n"/>
      <c r="B137" s="122" t="n"/>
      <c r="C137" s="122" t="n"/>
      <c r="D137" s="95" t="n"/>
      <c r="E137" s="95" t="n"/>
      <c r="F137" s="92">
        <f>IF(A137="","",IFERROR(INDEX(Roster!$C$6:$C$65,MATCH(A137,Roster!$B$6:$B$65,0)),"not on the Roster"))</f>
        <v/>
      </c>
    </row>
    <row r="138">
      <c r="A138" s="105" t="n"/>
      <c r="B138" s="122" t="n"/>
      <c r="C138" s="122" t="n"/>
      <c r="D138" s="95" t="n"/>
      <c r="E138" s="95" t="n"/>
      <c r="F138" s="92">
        <f>IF(A138="","",IFERROR(INDEX(Roster!$C$6:$C$65,MATCH(A138,Roster!$B$6:$B$65,0)),"not on the Roster"))</f>
        <v/>
      </c>
    </row>
    <row r="139">
      <c r="A139" s="105" t="n"/>
      <c r="B139" s="122" t="n"/>
      <c r="C139" s="122" t="n"/>
      <c r="D139" s="95" t="n"/>
      <c r="E139" s="95" t="n"/>
      <c r="F139" s="92">
        <f>IF(A139="","",IFERROR(INDEX(Roster!$C$6:$C$65,MATCH(A139,Roster!$B$6:$B$65,0)),"not on the Roster"))</f>
        <v/>
      </c>
    </row>
    <row r="140">
      <c r="A140" s="105" t="n"/>
      <c r="B140" s="122" t="n"/>
      <c r="C140" s="122" t="n"/>
      <c r="D140" s="95" t="n"/>
      <c r="E140" s="95" t="n"/>
      <c r="F140" s="92">
        <f>IF(A140="","",IFERROR(INDEX(Roster!$C$6:$C$65,MATCH(A140,Roster!$B$6:$B$65,0)),"not on the Roster"))</f>
        <v/>
      </c>
    </row>
    <row r="141">
      <c r="A141" s="105" t="n"/>
      <c r="B141" s="122" t="n"/>
      <c r="C141" s="122" t="n"/>
      <c r="D141" s="95" t="n"/>
      <c r="E141" s="95" t="n"/>
      <c r="F141" s="92">
        <f>IF(A141="","",IFERROR(INDEX(Roster!$C$6:$C$65,MATCH(A141,Roster!$B$6:$B$65,0)),"not on the Roster"))</f>
        <v/>
      </c>
    </row>
    <row r="142">
      <c r="A142" s="105" t="n"/>
      <c r="B142" s="122" t="n"/>
      <c r="C142" s="122" t="n"/>
      <c r="D142" s="95" t="n"/>
      <c r="E142" s="95" t="n"/>
      <c r="F142" s="92">
        <f>IF(A142="","",IFERROR(INDEX(Roster!$C$6:$C$65,MATCH(A142,Roster!$B$6:$B$65,0)),"not on the Roster"))</f>
        <v/>
      </c>
    </row>
    <row r="143">
      <c r="A143" s="105" t="n"/>
      <c r="B143" s="122" t="n"/>
      <c r="C143" s="122" t="n"/>
      <c r="D143" s="95" t="n"/>
      <c r="E143" s="95" t="n"/>
      <c r="F143" s="92">
        <f>IF(A143="","",IFERROR(INDEX(Roster!$C$6:$C$65,MATCH(A143,Roster!$B$6:$B$65,0)),"not on the Roster"))</f>
        <v/>
      </c>
    </row>
    <row r="144">
      <c r="A144" s="105" t="n"/>
      <c r="B144" s="122" t="n"/>
      <c r="C144" s="122" t="n"/>
      <c r="D144" s="95" t="n"/>
      <c r="E144" s="95" t="n"/>
      <c r="F144" s="92">
        <f>IF(A144="","",IFERROR(INDEX(Roster!$C$6:$C$65,MATCH(A144,Roster!$B$6:$B$65,0)),"not on the Roster"))</f>
        <v/>
      </c>
    </row>
    <row r="145">
      <c r="A145" s="105" t="n"/>
      <c r="B145" s="122" t="n"/>
      <c r="C145" s="122" t="n"/>
      <c r="D145" s="95" t="n"/>
      <c r="E145" s="95" t="n"/>
      <c r="F145" s="92">
        <f>IF(A145="","",IFERROR(INDEX(Roster!$C$6:$C$65,MATCH(A145,Roster!$B$6:$B$65,0)),"not on the Roster"))</f>
        <v/>
      </c>
    </row>
    <row r="146">
      <c r="A146" s="105" t="n"/>
      <c r="B146" s="122" t="n"/>
      <c r="C146" s="122" t="n"/>
      <c r="D146" s="95" t="n"/>
      <c r="E146" s="95" t="n"/>
      <c r="F146" s="92">
        <f>IF(A146="","",IFERROR(INDEX(Roster!$C$6:$C$65,MATCH(A146,Roster!$B$6:$B$65,0)),"not on the Roster"))</f>
        <v/>
      </c>
    </row>
    <row r="147">
      <c r="A147" s="105" t="n"/>
      <c r="B147" s="122" t="n"/>
      <c r="C147" s="122" t="n"/>
      <c r="D147" s="95" t="n"/>
      <c r="E147" s="95" t="n"/>
      <c r="F147" s="92">
        <f>IF(A147="","",IFERROR(INDEX(Roster!$C$6:$C$65,MATCH(A147,Roster!$B$6:$B$65,0)),"not on the Roster"))</f>
        <v/>
      </c>
    </row>
    <row r="148">
      <c r="A148" s="105" t="n"/>
      <c r="B148" s="122" t="n"/>
      <c r="C148" s="122" t="n"/>
      <c r="D148" s="95" t="n"/>
      <c r="E148" s="95" t="n"/>
      <c r="F148" s="92">
        <f>IF(A148="","",IFERROR(INDEX(Roster!$C$6:$C$65,MATCH(A148,Roster!$B$6:$B$65,0)),"not on the Roster"))</f>
        <v/>
      </c>
    </row>
    <row r="149">
      <c r="A149" s="105" t="n"/>
      <c r="B149" s="122" t="n"/>
      <c r="C149" s="122" t="n"/>
      <c r="D149" s="95" t="n"/>
      <c r="E149" s="95" t="n"/>
      <c r="F149" s="92">
        <f>IF(A149="","",IFERROR(INDEX(Roster!$C$6:$C$65,MATCH(A149,Roster!$B$6:$B$65,0)),"not on the Roster"))</f>
        <v/>
      </c>
    </row>
    <row r="150">
      <c r="A150" s="105" t="n"/>
      <c r="B150" s="122" t="n"/>
      <c r="C150" s="122" t="n"/>
      <c r="D150" s="95" t="n"/>
      <c r="E150" s="95" t="n"/>
      <c r="F150" s="92">
        <f>IF(A150="","",IFERROR(INDEX(Roster!$C$6:$C$65,MATCH(A150,Roster!$B$6:$B$65,0)),"not on the Roster"))</f>
        <v/>
      </c>
    </row>
    <row r="151">
      <c r="A151" s="105" t="n"/>
      <c r="B151" s="122" t="n"/>
      <c r="C151" s="122" t="n"/>
      <c r="D151" s="95" t="n"/>
      <c r="E151" s="95" t="n"/>
      <c r="F151" s="92">
        <f>IF(A151="","",IFERROR(INDEX(Roster!$C$6:$C$65,MATCH(A151,Roster!$B$6:$B$65,0)),"not on the Roster"))</f>
        <v/>
      </c>
    </row>
    <row r="152">
      <c r="A152" s="105" t="n"/>
      <c r="B152" s="122" t="n"/>
      <c r="C152" s="122" t="n"/>
      <c r="D152" s="95" t="n"/>
      <c r="E152" s="95" t="n"/>
      <c r="F152" s="92">
        <f>IF(A152="","",IFERROR(INDEX(Roster!$C$6:$C$65,MATCH(A152,Roster!$B$6:$B$65,0)),"not on the Roster"))</f>
        <v/>
      </c>
    </row>
    <row r="153">
      <c r="A153" s="105" t="n"/>
      <c r="B153" s="122" t="n"/>
      <c r="C153" s="122" t="n"/>
      <c r="D153" s="95" t="n"/>
      <c r="E153" s="95" t="n"/>
      <c r="F153" s="92">
        <f>IF(A153="","",IFERROR(INDEX(Roster!$C$6:$C$65,MATCH(A153,Roster!$B$6:$B$65,0)),"not on the Roster"))</f>
        <v/>
      </c>
    </row>
    <row r="154">
      <c r="A154" s="105" t="n"/>
      <c r="B154" s="122" t="n"/>
      <c r="C154" s="122" t="n"/>
      <c r="D154" s="95" t="n"/>
      <c r="E154" s="95" t="n"/>
      <c r="F154" s="92">
        <f>IF(A154="","",IFERROR(INDEX(Roster!$C$6:$C$65,MATCH(A154,Roster!$B$6:$B$65,0)),"not on the Roster"))</f>
        <v/>
      </c>
    </row>
    <row r="155">
      <c r="A155" s="105" t="n"/>
      <c r="B155" s="122" t="n"/>
      <c r="C155" s="122" t="n"/>
      <c r="D155" s="95" t="n"/>
      <c r="E155" s="95" t="n"/>
      <c r="F155" s="92">
        <f>IF(A155="","",IFERROR(INDEX(Roster!$C$6:$C$65,MATCH(A155,Roster!$B$6:$B$65,0)),"not on the Roster"))</f>
        <v/>
      </c>
    </row>
    <row r="156">
      <c r="A156" s="105" t="n"/>
      <c r="B156" s="122" t="n"/>
      <c r="C156" s="122" t="n"/>
      <c r="D156" s="95" t="n"/>
      <c r="E156" s="95" t="n"/>
      <c r="F156" s="92">
        <f>IF(A156="","",IFERROR(INDEX(Roster!$C$6:$C$65,MATCH(A156,Roster!$B$6:$B$65,0)),"not on the Roster"))</f>
        <v/>
      </c>
    </row>
    <row r="157">
      <c r="A157" s="105" t="n"/>
      <c r="B157" s="122" t="n"/>
      <c r="C157" s="122" t="n"/>
      <c r="D157" s="95" t="n"/>
      <c r="E157" s="95" t="n"/>
      <c r="F157" s="92">
        <f>IF(A157="","",IFERROR(INDEX(Roster!$C$6:$C$65,MATCH(A157,Roster!$B$6:$B$65,0)),"not on the Roster"))</f>
        <v/>
      </c>
    </row>
    <row r="158">
      <c r="A158" s="105" t="n"/>
      <c r="B158" s="122" t="n"/>
      <c r="C158" s="122" t="n"/>
      <c r="D158" s="95" t="n"/>
      <c r="E158" s="95" t="n"/>
      <c r="F158" s="92">
        <f>IF(A158="","",IFERROR(INDEX(Roster!$C$6:$C$65,MATCH(A158,Roster!$B$6:$B$65,0)),"not on the Roster"))</f>
        <v/>
      </c>
    </row>
    <row r="159">
      <c r="A159" s="105" t="n"/>
      <c r="B159" s="122" t="n"/>
      <c r="C159" s="122" t="n"/>
      <c r="D159" s="95" t="n"/>
      <c r="E159" s="95" t="n"/>
      <c r="F159" s="92">
        <f>IF(A159="","",IFERROR(INDEX(Roster!$C$6:$C$65,MATCH(A159,Roster!$B$6:$B$65,0)),"not on the Roster"))</f>
        <v/>
      </c>
    </row>
    <row r="160">
      <c r="A160" s="105" t="n"/>
      <c r="B160" s="122" t="n"/>
      <c r="C160" s="122" t="n"/>
      <c r="D160" s="95" t="n"/>
      <c r="E160" s="95" t="n"/>
      <c r="F160" s="92">
        <f>IF(A160="","",IFERROR(INDEX(Roster!$C$6:$C$65,MATCH(A160,Roster!$B$6:$B$65,0)),"not on the Roster"))</f>
        <v/>
      </c>
    </row>
    <row r="161">
      <c r="A161" s="105" t="n"/>
      <c r="B161" s="122" t="n"/>
      <c r="C161" s="122" t="n"/>
      <c r="D161" s="95" t="n"/>
      <c r="E161" s="95" t="n"/>
      <c r="F161" s="92">
        <f>IF(A161="","",IFERROR(INDEX(Roster!$C$6:$C$65,MATCH(A161,Roster!$B$6:$B$65,0)),"not on the Roster"))</f>
        <v/>
      </c>
    </row>
    <row r="162">
      <c r="A162" s="105" t="n"/>
      <c r="B162" s="122" t="n"/>
      <c r="C162" s="122" t="n"/>
      <c r="D162" s="95" t="n"/>
      <c r="E162" s="95" t="n"/>
      <c r="F162" s="92">
        <f>IF(A162="","",IFERROR(INDEX(Roster!$C$6:$C$65,MATCH(A162,Roster!$B$6:$B$65,0)),"not on the Roster"))</f>
        <v/>
      </c>
    </row>
    <row r="163">
      <c r="A163" s="105" t="n"/>
      <c r="B163" s="122" t="n"/>
      <c r="C163" s="122" t="n"/>
      <c r="D163" s="95" t="n"/>
      <c r="E163" s="95" t="n"/>
      <c r="F163" s="92">
        <f>IF(A163="","",IFERROR(INDEX(Roster!$C$6:$C$65,MATCH(A163,Roster!$B$6:$B$65,0)),"not on the Roster"))</f>
        <v/>
      </c>
    </row>
    <row r="164">
      <c r="A164" s="105" t="n"/>
      <c r="B164" s="122" t="n"/>
      <c r="C164" s="122" t="n"/>
      <c r="D164" s="95" t="n"/>
      <c r="E164" s="95" t="n"/>
      <c r="F164" s="92">
        <f>IF(A164="","",IFERROR(INDEX(Roster!$C$6:$C$65,MATCH(A164,Roster!$B$6:$B$65,0)),"not on the Roster"))</f>
        <v/>
      </c>
    </row>
    <row r="165">
      <c r="A165" s="105" t="n"/>
      <c r="B165" s="122" t="n"/>
      <c r="C165" s="122" t="n"/>
      <c r="D165" s="95" t="n"/>
      <c r="E165" s="95" t="n"/>
      <c r="F165" s="92">
        <f>IF(A165="","",IFERROR(INDEX(Roster!$C$6:$C$65,MATCH(A165,Roster!$B$6:$B$65,0)),"not on the Roster"))</f>
        <v/>
      </c>
    </row>
    <row r="166">
      <c r="A166" s="105" t="n"/>
      <c r="B166" s="122" t="n"/>
      <c r="C166" s="122" t="n"/>
      <c r="D166" s="95" t="n"/>
      <c r="E166" s="95" t="n"/>
      <c r="F166" s="92">
        <f>IF(A166="","",IFERROR(INDEX(Roster!$C$6:$C$65,MATCH(A166,Roster!$B$6:$B$65,0)),"not on the Roster"))</f>
        <v/>
      </c>
    </row>
    <row r="167">
      <c r="A167" s="105" t="n"/>
      <c r="B167" s="122" t="n"/>
      <c r="C167" s="122" t="n"/>
      <c r="D167" s="95" t="n"/>
      <c r="E167" s="95" t="n"/>
      <c r="F167" s="92">
        <f>IF(A167="","",IFERROR(INDEX(Roster!$C$6:$C$65,MATCH(A167,Roster!$B$6:$B$65,0)),"not on the Roster"))</f>
        <v/>
      </c>
    </row>
    <row r="168">
      <c r="A168" s="105" t="n"/>
      <c r="B168" s="122" t="n"/>
      <c r="C168" s="122" t="n"/>
      <c r="D168" s="95" t="n"/>
      <c r="E168" s="95" t="n"/>
      <c r="F168" s="92">
        <f>IF(A168="","",IFERROR(INDEX(Roster!$C$6:$C$65,MATCH(A168,Roster!$B$6:$B$65,0)),"not on the Roster"))</f>
        <v/>
      </c>
    </row>
    <row r="169">
      <c r="A169" s="105" t="n"/>
      <c r="B169" s="122" t="n"/>
      <c r="C169" s="122" t="n"/>
      <c r="D169" s="95" t="n"/>
      <c r="E169" s="95" t="n"/>
      <c r="F169" s="92">
        <f>IF(A169="","",IFERROR(INDEX(Roster!$C$6:$C$65,MATCH(A169,Roster!$B$6:$B$65,0)),"not on the Roster"))</f>
        <v/>
      </c>
    </row>
    <row r="170">
      <c r="A170" s="105" t="n"/>
      <c r="B170" s="122" t="n"/>
      <c r="C170" s="122" t="n"/>
      <c r="D170" s="95" t="n"/>
      <c r="E170" s="95" t="n"/>
      <c r="F170" s="92">
        <f>IF(A170="","",IFERROR(INDEX(Roster!$C$6:$C$65,MATCH(A170,Roster!$B$6:$B$65,0)),"not on the Roster"))</f>
        <v/>
      </c>
    </row>
    <row r="171">
      <c r="A171" s="105" t="n"/>
      <c r="B171" s="122" t="n"/>
      <c r="C171" s="122" t="n"/>
      <c r="D171" s="95" t="n"/>
      <c r="E171" s="95" t="n"/>
      <c r="F171" s="92">
        <f>IF(A171="","",IFERROR(INDEX(Roster!$C$6:$C$65,MATCH(A171,Roster!$B$6:$B$65,0)),"not on the Roster"))</f>
        <v/>
      </c>
    </row>
    <row r="172">
      <c r="A172" s="105" t="n"/>
      <c r="B172" s="122" t="n"/>
      <c r="C172" s="122" t="n"/>
      <c r="D172" s="95" t="n"/>
      <c r="E172" s="95" t="n"/>
      <c r="F172" s="92">
        <f>IF(A172="","",IFERROR(INDEX(Roster!$C$6:$C$65,MATCH(A172,Roster!$B$6:$B$65,0)),"not on the Roster"))</f>
        <v/>
      </c>
    </row>
    <row r="173">
      <c r="A173" s="105" t="n"/>
      <c r="B173" s="122" t="n"/>
      <c r="C173" s="122" t="n"/>
      <c r="D173" s="95" t="n"/>
      <c r="E173" s="95" t="n"/>
      <c r="F173" s="92">
        <f>IF(A173="","",IFERROR(INDEX(Roster!$C$6:$C$65,MATCH(A173,Roster!$B$6:$B$65,0)),"not on the Roster"))</f>
        <v/>
      </c>
    </row>
    <row r="174">
      <c r="A174" s="105" t="n"/>
      <c r="B174" s="122" t="n"/>
      <c r="C174" s="122" t="n"/>
      <c r="D174" s="95" t="n"/>
      <c r="E174" s="95" t="n"/>
      <c r="F174" s="92">
        <f>IF(A174="","",IFERROR(INDEX(Roster!$C$6:$C$65,MATCH(A174,Roster!$B$6:$B$65,0)),"not on the Roster"))</f>
        <v/>
      </c>
    </row>
    <row r="175">
      <c r="A175" s="105" t="n"/>
      <c r="B175" s="122" t="n"/>
      <c r="C175" s="122" t="n"/>
      <c r="D175" s="95" t="n"/>
      <c r="E175" s="95" t="n"/>
      <c r="F175" s="92">
        <f>IF(A175="","",IFERROR(INDEX(Roster!$C$6:$C$65,MATCH(A175,Roster!$B$6:$B$65,0)),"not on the Roster"))</f>
        <v/>
      </c>
    </row>
    <row r="176">
      <c r="A176" s="105" t="n"/>
      <c r="B176" s="122" t="n"/>
      <c r="C176" s="122" t="n"/>
      <c r="D176" s="95" t="n"/>
      <c r="E176" s="95" t="n"/>
      <c r="F176" s="92">
        <f>IF(A176="","",IFERROR(INDEX(Roster!$C$6:$C$65,MATCH(A176,Roster!$B$6:$B$65,0)),"not on the Roster"))</f>
        <v/>
      </c>
    </row>
    <row r="177">
      <c r="A177" s="105" t="n"/>
      <c r="B177" s="122" t="n"/>
      <c r="C177" s="122" t="n"/>
      <c r="D177" s="95" t="n"/>
      <c r="E177" s="95" t="n"/>
      <c r="F177" s="92">
        <f>IF(A177="","",IFERROR(INDEX(Roster!$C$6:$C$65,MATCH(A177,Roster!$B$6:$B$65,0)),"not on the Roster"))</f>
        <v/>
      </c>
    </row>
    <row r="178">
      <c r="A178" s="105" t="n"/>
      <c r="B178" s="122" t="n"/>
      <c r="C178" s="122" t="n"/>
      <c r="D178" s="95" t="n"/>
      <c r="E178" s="95" t="n"/>
      <c r="F178" s="92">
        <f>IF(A178="","",IFERROR(INDEX(Roster!$C$6:$C$65,MATCH(A178,Roster!$B$6:$B$65,0)),"not on the Roster"))</f>
        <v/>
      </c>
    </row>
    <row r="179">
      <c r="A179" s="105" t="n"/>
      <c r="B179" s="122" t="n"/>
      <c r="C179" s="122" t="n"/>
      <c r="D179" s="95" t="n"/>
      <c r="E179" s="95" t="n"/>
      <c r="F179" s="92">
        <f>IF(A179="","",IFERROR(INDEX(Roster!$C$6:$C$65,MATCH(A179,Roster!$B$6:$B$65,0)),"not on the Roster"))</f>
        <v/>
      </c>
    </row>
    <row r="180">
      <c r="A180" s="105" t="n"/>
      <c r="B180" s="122" t="n"/>
      <c r="C180" s="122" t="n"/>
      <c r="D180" s="95" t="n"/>
      <c r="E180" s="95" t="n"/>
      <c r="F180" s="92">
        <f>IF(A180="","",IFERROR(INDEX(Roster!$C$6:$C$65,MATCH(A180,Roster!$B$6:$B$65,0)),"not on the Roster"))</f>
        <v/>
      </c>
    </row>
    <row r="181">
      <c r="A181" s="105" t="n"/>
      <c r="B181" s="122" t="n"/>
      <c r="C181" s="122" t="n"/>
      <c r="D181" s="95" t="n"/>
      <c r="E181" s="95" t="n"/>
      <c r="F181" s="92">
        <f>IF(A181="","",IFERROR(INDEX(Roster!$C$6:$C$65,MATCH(A181,Roster!$B$6:$B$65,0)),"not on the Roster"))</f>
        <v/>
      </c>
    </row>
    <row r="182">
      <c r="A182" s="105" t="n"/>
      <c r="B182" s="122" t="n"/>
      <c r="C182" s="122" t="n"/>
      <c r="D182" s="95" t="n"/>
      <c r="E182" s="95" t="n"/>
      <c r="F182" s="92">
        <f>IF(A182="","",IFERROR(INDEX(Roster!$C$6:$C$65,MATCH(A182,Roster!$B$6:$B$65,0)),"not on the Roster"))</f>
        <v/>
      </c>
    </row>
    <row r="183">
      <c r="A183" s="105" t="n"/>
      <c r="B183" s="122" t="n"/>
      <c r="C183" s="122" t="n"/>
      <c r="D183" s="95" t="n"/>
      <c r="E183" s="95" t="n"/>
      <c r="F183" s="92">
        <f>IF(A183="","",IFERROR(INDEX(Roster!$C$6:$C$65,MATCH(A183,Roster!$B$6:$B$65,0)),"not on the Roster"))</f>
        <v/>
      </c>
    </row>
    <row r="184">
      <c r="A184" s="105" t="n"/>
      <c r="B184" s="122" t="n"/>
      <c r="C184" s="122" t="n"/>
      <c r="D184" s="95" t="n"/>
      <c r="E184" s="95" t="n"/>
      <c r="F184" s="92">
        <f>IF(A184="","",IFERROR(INDEX(Roster!$C$6:$C$65,MATCH(A184,Roster!$B$6:$B$65,0)),"not on the Roster"))</f>
        <v/>
      </c>
    </row>
    <row r="185">
      <c r="A185" s="105" t="n"/>
      <c r="B185" s="122" t="n"/>
      <c r="C185" s="122" t="n"/>
      <c r="D185" s="95" t="n"/>
      <c r="E185" s="95" t="n"/>
      <c r="F185" s="92">
        <f>IF(A185="","",IFERROR(INDEX(Roster!$C$6:$C$65,MATCH(A185,Roster!$B$6:$B$65,0)),"not on the Roster"))</f>
        <v/>
      </c>
    </row>
    <row r="186">
      <c r="A186" s="105" t="n"/>
      <c r="B186" s="122" t="n"/>
      <c r="C186" s="122" t="n"/>
      <c r="D186" s="95" t="n"/>
      <c r="E186" s="95" t="n"/>
      <c r="F186" s="92">
        <f>IF(A186="","",IFERROR(INDEX(Roster!$C$6:$C$65,MATCH(A186,Roster!$B$6:$B$65,0)),"not on the Roster"))</f>
        <v/>
      </c>
    </row>
    <row r="187">
      <c r="A187" s="105" t="n"/>
      <c r="B187" s="122" t="n"/>
      <c r="C187" s="122" t="n"/>
      <c r="D187" s="95" t="n"/>
      <c r="E187" s="95" t="n"/>
      <c r="F187" s="92">
        <f>IF(A187="","",IFERROR(INDEX(Roster!$C$6:$C$65,MATCH(A187,Roster!$B$6:$B$65,0)),"not on the Roster"))</f>
        <v/>
      </c>
    </row>
    <row r="188">
      <c r="A188" s="105" t="n"/>
      <c r="B188" s="122" t="n"/>
      <c r="C188" s="122" t="n"/>
      <c r="D188" s="95" t="n"/>
      <c r="E188" s="95" t="n"/>
      <c r="F188" s="92">
        <f>IF(A188="","",IFERROR(INDEX(Roster!$C$6:$C$65,MATCH(A188,Roster!$B$6:$B$65,0)),"not on the Roster"))</f>
        <v/>
      </c>
    </row>
    <row r="189">
      <c r="A189" s="105" t="n"/>
      <c r="B189" s="122" t="n"/>
      <c r="C189" s="122" t="n"/>
      <c r="D189" s="95" t="n"/>
      <c r="E189" s="95" t="n"/>
      <c r="F189" s="92">
        <f>IF(A189="","",IFERROR(INDEX(Roster!$C$6:$C$65,MATCH(A189,Roster!$B$6:$B$65,0)),"not on the Roster"))</f>
        <v/>
      </c>
    </row>
    <row r="190">
      <c r="A190" s="105" t="n"/>
      <c r="B190" s="122" t="n"/>
      <c r="C190" s="122" t="n"/>
      <c r="D190" s="95" t="n"/>
      <c r="E190" s="95" t="n"/>
      <c r="F190" s="92">
        <f>IF(A190="","",IFERROR(INDEX(Roster!$C$6:$C$65,MATCH(A190,Roster!$B$6:$B$65,0)),"not on the Roster"))</f>
        <v/>
      </c>
    </row>
    <row r="191">
      <c r="A191" s="105" t="n"/>
      <c r="B191" s="122" t="n"/>
      <c r="C191" s="122" t="n"/>
      <c r="D191" s="95" t="n"/>
      <c r="E191" s="95" t="n"/>
      <c r="F191" s="92">
        <f>IF(A191="","",IFERROR(INDEX(Roster!$C$6:$C$65,MATCH(A191,Roster!$B$6:$B$65,0)),"not on the Roster"))</f>
        <v/>
      </c>
    </row>
    <row r="192">
      <c r="A192" s="105" t="n"/>
      <c r="B192" s="122" t="n"/>
      <c r="C192" s="122" t="n"/>
      <c r="D192" s="95" t="n"/>
      <c r="E192" s="95" t="n"/>
      <c r="F192" s="92">
        <f>IF(A192="","",IFERROR(INDEX(Roster!$C$6:$C$65,MATCH(A192,Roster!$B$6:$B$65,0)),"not on the Roster"))</f>
        <v/>
      </c>
    </row>
    <row r="193">
      <c r="A193" s="105" t="n"/>
      <c r="B193" s="122" t="n"/>
      <c r="C193" s="122" t="n"/>
      <c r="D193" s="95" t="n"/>
      <c r="E193" s="95" t="n"/>
      <c r="F193" s="92">
        <f>IF(A193="","",IFERROR(INDEX(Roster!$C$6:$C$65,MATCH(A193,Roster!$B$6:$B$65,0)),"not on the Roster"))</f>
        <v/>
      </c>
    </row>
    <row r="194">
      <c r="A194" s="105" t="n"/>
      <c r="B194" s="122" t="n"/>
      <c r="C194" s="122" t="n"/>
      <c r="D194" s="95" t="n"/>
      <c r="E194" s="95" t="n"/>
      <c r="F194" s="92">
        <f>IF(A194="","",IFERROR(INDEX(Roster!$C$6:$C$65,MATCH(A194,Roster!$B$6:$B$65,0)),"not on the Roster"))</f>
        <v/>
      </c>
    </row>
    <row r="195">
      <c r="A195" s="105" t="n"/>
      <c r="B195" s="122" t="n"/>
      <c r="C195" s="122" t="n"/>
      <c r="D195" s="95" t="n"/>
      <c r="E195" s="95" t="n"/>
      <c r="F195" s="92">
        <f>IF(A195="","",IFERROR(INDEX(Roster!$C$6:$C$65,MATCH(A195,Roster!$B$6:$B$65,0)),"not on the Roster"))</f>
        <v/>
      </c>
    </row>
    <row r="196">
      <c r="A196" s="105" t="n"/>
      <c r="B196" s="122" t="n"/>
      <c r="C196" s="122" t="n"/>
      <c r="D196" s="95" t="n"/>
      <c r="E196" s="95" t="n"/>
      <c r="F196" s="92">
        <f>IF(A196="","",IFERROR(INDEX(Roster!$C$6:$C$65,MATCH(A196,Roster!$B$6:$B$65,0)),"not on the Roster"))</f>
        <v/>
      </c>
    </row>
    <row r="197">
      <c r="A197" s="105" t="n"/>
      <c r="B197" s="122" t="n"/>
      <c r="C197" s="122" t="n"/>
      <c r="D197" s="95" t="n"/>
      <c r="E197" s="95" t="n"/>
      <c r="F197" s="92">
        <f>IF(A197="","",IFERROR(INDEX(Roster!$C$6:$C$65,MATCH(A197,Roster!$B$6:$B$65,0)),"not on the Roster"))</f>
        <v/>
      </c>
    </row>
    <row r="198">
      <c r="A198" s="105" t="n"/>
      <c r="B198" s="122" t="n"/>
      <c r="C198" s="122" t="n"/>
      <c r="D198" s="95" t="n"/>
      <c r="E198" s="95" t="n"/>
      <c r="F198" s="92">
        <f>IF(A198="","",IFERROR(INDEX(Roster!$C$6:$C$65,MATCH(A198,Roster!$B$6:$B$65,0)),"not on the Roster"))</f>
        <v/>
      </c>
    </row>
    <row r="199">
      <c r="A199" s="105" t="n"/>
      <c r="B199" s="122" t="n"/>
      <c r="C199" s="122" t="n"/>
      <c r="D199" s="95" t="n"/>
      <c r="E199" s="95" t="n"/>
      <c r="F199" s="92">
        <f>IF(A199="","",IFERROR(INDEX(Roster!$C$6:$C$65,MATCH(A199,Roster!$B$6:$B$65,0)),"not on the Roster"))</f>
        <v/>
      </c>
    </row>
    <row r="200">
      <c r="A200" s="105" t="n"/>
      <c r="B200" s="122" t="n"/>
      <c r="C200" s="122" t="n"/>
      <c r="D200" s="95" t="n"/>
      <c r="E200" s="95" t="n"/>
      <c r="F200" s="92">
        <f>IF(A200="","",IFERROR(INDEX(Roster!$C$6:$C$65,MATCH(A200,Roster!$B$6:$B$65,0)),"not on the Roster"))</f>
        <v/>
      </c>
    </row>
    <row r="201">
      <c r="A201" s="105" t="n"/>
      <c r="B201" s="122" t="n"/>
      <c r="C201" s="122" t="n"/>
      <c r="D201" s="95" t="n"/>
      <c r="E201" s="95" t="n"/>
      <c r="F201" s="92">
        <f>IF(A201="","",IFERROR(INDEX(Roster!$C$6:$C$65,MATCH(A201,Roster!$B$6:$B$65,0)),"not on the Roster"))</f>
        <v/>
      </c>
    </row>
    <row r="202">
      <c r="A202" s="105" t="n"/>
      <c r="B202" s="122" t="n"/>
      <c r="C202" s="122" t="n"/>
      <c r="D202" s="95" t="n"/>
      <c r="E202" s="95" t="n"/>
      <c r="F202" s="92">
        <f>IF(A202="","",IFERROR(INDEX(Roster!$C$6:$C$65,MATCH(A202,Roster!$B$6:$B$65,0)),"not on the Roster"))</f>
        <v/>
      </c>
    </row>
    <row r="203">
      <c r="A203" s="105" t="n"/>
      <c r="B203" s="122" t="n"/>
      <c r="C203" s="122" t="n"/>
      <c r="D203" s="95" t="n"/>
      <c r="E203" s="95" t="n"/>
      <c r="F203" s="92">
        <f>IF(A203="","",IFERROR(INDEX(Roster!$C$6:$C$65,MATCH(A203,Roster!$B$6:$B$65,0)),"not on the Roster"))</f>
        <v/>
      </c>
    </row>
    <row r="204">
      <c r="A204" s="105" t="n"/>
      <c r="B204" s="122" t="n"/>
      <c r="C204" s="122" t="n"/>
      <c r="D204" s="95" t="n"/>
      <c r="E204" s="95" t="n"/>
      <c r="F204" s="92">
        <f>IF(A204="","",IFERROR(INDEX(Roster!$C$6:$C$65,MATCH(A204,Roster!$B$6:$B$65,0)),"not on the Roster"))</f>
        <v/>
      </c>
    </row>
    <row r="205">
      <c r="A205" s="105" t="n"/>
      <c r="B205" s="122" t="n"/>
      <c r="C205" s="122" t="n"/>
      <c r="D205" s="95" t="n"/>
      <c r="E205" s="95" t="n"/>
      <c r="F205" s="92">
        <f>IF(A205="","",IFERROR(INDEX(Roster!$C$6:$C$65,MATCH(A205,Roster!$B$6:$B$65,0)),"not on the Roster"))</f>
        <v/>
      </c>
    </row>
  </sheetData>
  <mergeCells count="2">
    <mergeCell ref="A2:F2"/>
    <mergeCell ref="A1:F1"/>
  </mergeCells>
  <conditionalFormatting sqref="A6:E205">
    <cfRule type="expression" priority="1" dxfId="23">
      <formula>AND($A6&lt;&gt;"",$B6&lt;&gt;"",$C6="")</formula>
    </cfRule>
  </conditionalFormatting>
  <dataValidations count="1">
    <dataValidation sqref="B6:C205" showDropDown="0" showInputMessage="0" showErrorMessage="1" allowBlank="1" errorTitle="Date" error="Use a date." type="date" operator="between">
      <formula1>DATE(PlanYear,1,1)</formula1>
      <formula2>DATE(PlanYear+1,12,31)</formula2>
    </dataValidation>
  </dataValidations>
  <pageMargins left="0.75" right="0.75" top="1" bottom="1" header="0.5" footer="0.5"/>
</worksheet>
</file>

<file path=xl/worksheets/sheet10.xml><?xml version="1.0" encoding="utf-8"?>
<worksheet xmlns="http://schemas.openxmlformats.org/spreadsheetml/2006/main">
  <sheetPr>
    <tabColor rgb="00D97706"/>
    <outlinePr summaryBelow="1" summaryRight="1"/>
    <pageSetUpPr/>
  </sheetPr>
  <dimension ref="A1:G2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6" customWidth="1" min="2" max="2"/>
    <col width="8" customWidth="1" min="3" max="3"/>
    <col width="14" customWidth="1" min="4" max="4"/>
    <col width="13" customWidth="1" min="5" max="5"/>
    <col width="50" customWidth="1" min="6" max="6"/>
    <col width="14" customWidth="1" min="7" max="7"/>
  </cols>
  <sheetData>
    <row r="1" ht="30" customHeight="1">
      <c r="A1" s="1" t="inlineStr">
        <is>
          <t>REQUESTS TO THE MASTER PLANNER  |  LOADMASTER</t>
        </is>
      </c>
      <c r="B1" s="2" t="n"/>
      <c r="C1" s="2" t="n"/>
      <c r="D1" s="2" t="n"/>
      <c r="E1" s="2" t="n"/>
      <c r="F1" s="2" t="n"/>
      <c r="G1" s="2" t="n"/>
    </row>
    <row r="2" ht="18" customHeight="1">
      <c r="A2" s="3" t="inlineStr">
        <is>
          <t>Raise them in the dashboard (Master Planning, + New request). The Master Planner's answer shows there.</t>
        </is>
      </c>
      <c r="B2" s="2" t="n"/>
      <c r="C2" s="2" t="n"/>
      <c r="D2" s="2" t="n"/>
      <c r="E2" s="2" t="n"/>
      <c r="F2" s="2" t="n"/>
      <c r="G2" s="2" t="n"/>
    </row>
    <row r="3">
      <c r="A3" s="82" t="inlineStr">
        <is>
          <t>ID is set by the dashboard and links the answer in the Master Planner file. Clear a row to withdraw a request.</t>
        </is>
      </c>
    </row>
    <row r="5">
      <c r="A5" s="31" t="inlineStr">
        <is>
          <t>ID</t>
        </is>
      </c>
      <c r="B5" s="31" t="inlineStr">
        <is>
          <t>Date (optional)</t>
        </is>
      </c>
      <c r="C5" s="31" t="inlineStr">
        <is>
          <t>Shift (optional)</t>
        </is>
      </c>
      <c r="D5" s="31" t="inlineStr">
        <is>
          <t>Type (optional)</t>
        </is>
      </c>
      <c r="E5" s="31" t="inlineStr">
        <is>
          <t>Flight code (optional)</t>
        </is>
      </c>
      <c r="F5" s="31" t="inlineStr">
        <is>
          <t>Request</t>
        </is>
      </c>
      <c r="G5" s="31" t="inlineStr">
        <is>
          <t>Raised on</t>
        </is>
      </c>
    </row>
    <row r="6">
      <c r="A6" s="105" t="n"/>
      <c r="B6" s="122" t="n"/>
      <c r="C6" s="95" t="n"/>
      <c r="D6" s="95" t="n"/>
      <c r="E6" s="95" t="n"/>
      <c r="F6" s="95" t="n"/>
      <c r="G6" s="124" t="n"/>
    </row>
    <row r="7">
      <c r="A7" s="105" t="n"/>
      <c r="B7" s="122" t="n"/>
      <c r="C7" s="95" t="n"/>
      <c r="D7" s="95" t="n"/>
      <c r="E7" s="95" t="n"/>
      <c r="F7" s="95" t="n"/>
      <c r="G7" s="124" t="n"/>
    </row>
    <row r="8">
      <c r="A8" s="105" t="n"/>
      <c r="B8" s="122" t="n"/>
      <c r="C8" s="95" t="n"/>
      <c r="D8" s="95" t="n"/>
      <c r="E8" s="95" t="n"/>
      <c r="F8" s="95" t="n"/>
      <c r="G8" s="124" t="n"/>
    </row>
    <row r="9">
      <c r="A9" s="105" t="n"/>
      <c r="B9" s="122" t="n"/>
      <c r="C9" s="95" t="n"/>
      <c r="D9" s="95" t="n"/>
      <c r="E9" s="95" t="n"/>
      <c r="F9" s="95" t="n"/>
      <c r="G9" s="124" t="n"/>
    </row>
    <row r="10">
      <c r="A10" s="105" t="n"/>
      <c r="B10" s="122" t="n"/>
      <c r="C10" s="95" t="n"/>
      <c r="D10" s="95" t="n"/>
      <c r="E10" s="95" t="n"/>
      <c r="F10" s="95" t="n"/>
      <c r="G10" s="124" t="n"/>
    </row>
    <row r="11">
      <c r="A11" s="105" t="n"/>
      <c r="B11" s="122" t="n"/>
      <c r="C11" s="95" t="n"/>
      <c r="D11" s="95" t="n"/>
      <c r="E11" s="95" t="n"/>
      <c r="F11" s="95" t="n"/>
      <c r="G11" s="124" t="n"/>
    </row>
    <row r="12">
      <c r="A12" s="105" t="n"/>
      <c r="B12" s="122" t="n"/>
      <c r="C12" s="95" t="n"/>
      <c r="D12" s="95" t="n"/>
      <c r="E12" s="95" t="n"/>
      <c r="F12" s="95" t="n"/>
      <c r="G12" s="124" t="n"/>
    </row>
    <row r="13">
      <c r="A13" s="105" t="n"/>
      <c r="B13" s="122" t="n"/>
      <c r="C13" s="95" t="n"/>
      <c r="D13" s="95" t="n"/>
      <c r="E13" s="95" t="n"/>
      <c r="F13" s="95" t="n"/>
      <c r="G13" s="124" t="n"/>
    </row>
    <row r="14">
      <c r="A14" s="105" t="n"/>
      <c r="B14" s="122" t="n"/>
      <c r="C14" s="95" t="n"/>
      <c r="D14" s="95" t="n"/>
      <c r="E14" s="95" t="n"/>
      <c r="F14" s="95" t="n"/>
      <c r="G14" s="124" t="n"/>
    </row>
    <row r="15">
      <c r="A15" s="105" t="n"/>
      <c r="B15" s="122" t="n"/>
      <c r="C15" s="95" t="n"/>
      <c r="D15" s="95" t="n"/>
      <c r="E15" s="95" t="n"/>
      <c r="F15" s="95" t="n"/>
      <c r="G15" s="124" t="n"/>
    </row>
    <row r="16">
      <c r="A16" s="105" t="n"/>
      <c r="B16" s="122" t="n"/>
      <c r="C16" s="95" t="n"/>
      <c r="D16" s="95" t="n"/>
      <c r="E16" s="95" t="n"/>
      <c r="F16" s="95" t="n"/>
      <c r="G16" s="124" t="n"/>
    </row>
    <row r="17">
      <c r="A17" s="105" t="n"/>
      <c r="B17" s="122" t="n"/>
      <c r="C17" s="95" t="n"/>
      <c r="D17" s="95" t="n"/>
      <c r="E17" s="95" t="n"/>
      <c r="F17" s="95" t="n"/>
      <c r="G17" s="124" t="n"/>
    </row>
    <row r="18">
      <c r="A18" s="105" t="n"/>
      <c r="B18" s="122" t="n"/>
      <c r="C18" s="95" t="n"/>
      <c r="D18" s="95" t="n"/>
      <c r="E18" s="95" t="n"/>
      <c r="F18" s="95" t="n"/>
      <c r="G18" s="124" t="n"/>
    </row>
    <row r="19">
      <c r="A19" s="105" t="n"/>
      <c r="B19" s="122" t="n"/>
      <c r="C19" s="95" t="n"/>
      <c r="D19" s="95" t="n"/>
      <c r="E19" s="95" t="n"/>
      <c r="F19" s="95" t="n"/>
      <c r="G19" s="124" t="n"/>
    </row>
    <row r="20">
      <c r="A20" s="105" t="n"/>
      <c r="B20" s="122" t="n"/>
      <c r="C20" s="95" t="n"/>
      <c r="D20" s="95" t="n"/>
      <c r="E20" s="95" t="n"/>
      <c r="F20" s="95" t="n"/>
      <c r="G20" s="124" t="n"/>
    </row>
    <row r="21">
      <c r="A21" s="105" t="n"/>
      <c r="B21" s="122" t="n"/>
      <c r="C21" s="95" t="n"/>
      <c r="D21" s="95" t="n"/>
      <c r="E21" s="95" t="n"/>
      <c r="F21" s="95" t="n"/>
      <c r="G21" s="124" t="n"/>
    </row>
    <row r="22">
      <c r="A22" s="105" t="n"/>
      <c r="B22" s="122" t="n"/>
      <c r="C22" s="95" t="n"/>
      <c r="D22" s="95" t="n"/>
      <c r="E22" s="95" t="n"/>
      <c r="F22" s="95" t="n"/>
      <c r="G22" s="124" t="n"/>
    </row>
    <row r="23">
      <c r="A23" s="105" t="n"/>
      <c r="B23" s="122" t="n"/>
      <c r="C23" s="95" t="n"/>
      <c r="D23" s="95" t="n"/>
      <c r="E23" s="95" t="n"/>
      <c r="F23" s="95" t="n"/>
      <c r="G23" s="124" t="n"/>
    </row>
    <row r="24">
      <c r="A24" s="105" t="n"/>
      <c r="B24" s="122" t="n"/>
      <c r="C24" s="95" t="n"/>
      <c r="D24" s="95" t="n"/>
      <c r="E24" s="95" t="n"/>
      <c r="F24" s="95" t="n"/>
      <c r="G24" s="124" t="n"/>
    </row>
    <row r="25">
      <c r="A25" s="105" t="n"/>
      <c r="B25" s="122" t="n"/>
      <c r="C25" s="95" t="n"/>
      <c r="D25" s="95" t="n"/>
      <c r="E25" s="95" t="n"/>
      <c r="F25" s="95" t="n"/>
      <c r="G25" s="124" t="n"/>
    </row>
    <row r="26">
      <c r="A26" s="105" t="n"/>
      <c r="B26" s="122" t="n"/>
      <c r="C26" s="95" t="n"/>
      <c r="D26" s="95" t="n"/>
      <c r="E26" s="95" t="n"/>
      <c r="F26" s="95" t="n"/>
      <c r="G26" s="124" t="n"/>
    </row>
    <row r="27">
      <c r="A27" s="105" t="n"/>
      <c r="B27" s="122" t="n"/>
      <c r="C27" s="95" t="n"/>
      <c r="D27" s="95" t="n"/>
      <c r="E27" s="95" t="n"/>
      <c r="F27" s="95" t="n"/>
      <c r="G27" s="124" t="n"/>
    </row>
    <row r="28">
      <c r="A28" s="105" t="n"/>
      <c r="B28" s="122" t="n"/>
      <c r="C28" s="95" t="n"/>
      <c r="D28" s="95" t="n"/>
      <c r="E28" s="95" t="n"/>
      <c r="F28" s="95" t="n"/>
      <c r="G28" s="124" t="n"/>
    </row>
    <row r="29">
      <c r="A29" s="105" t="n"/>
      <c r="B29" s="122" t="n"/>
      <c r="C29" s="95" t="n"/>
      <c r="D29" s="95" t="n"/>
      <c r="E29" s="95" t="n"/>
      <c r="F29" s="95" t="n"/>
      <c r="G29" s="124" t="n"/>
    </row>
    <row r="30">
      <c r="A30" s="105" t="n"/>
      <c r="B30" s="122" t="n"/>
      <c r="C30" s="95" t="n"/>
      <c r="D30" s="95" t="n"/>
      <c r="E30" s="95" t="n"/>
      <c r="F30" s="95" t="n"/>
      <c r="G30" s="124" t="n"/>
    </row>
    <row r="31">
      <c r="A31" s="105" t="n"/>
      <c r="B31" s="122" t="n"/>
      <c r="C31" s="95" t="n"/>
      <c r="D31" s="95" t="n"/>
      <c r="E31" s="95" t="n"/>
      <c r="F31" s="95" t="n"/>
      <c r="G31" s="124" t="n"/>
    </row>
    <row r="32">
      <c r="A32" s="105" t="n"/>
      <c r="B32" s="122" t="n"/>
      <c r="C32" s="95" t="n"/>
      <c r="D32" s="95" t="n"/>
      <c r="E32" s="95" t="n"/>
      <c r="F32" s="95" t="n"/>
      <c r="G32" s="124" t="n"/>
    </row>
    <row r="33">
      <c r="A33" s="105" t="n"/>
      <c r="B33" s="122" t="n"/>
      <c r="C33" s="95" t="n"/>
      <c r="D33" s="95" t="n"/>
      <c r="E33" s="95" t="n"/>
      <c r="F33" s="95" t="n"/>
      <c r="G33" s="124" t="n"/>
    </row>
    <row r="34">
      <c r="A34" s="105" t="n"/>
      <c r="B34" s="122" t="n"/>
      <c r="C34" s="95" t="n"/>
      <c r="D34" s="95" t="n"/>
      <c r="E34" s="95" t="n"/>
      <c r="F34" s="95" t="n"/>
      <c r="G34" s="124" t="n"/>
    </row>
    <row r="35">
      <c r="A35" s="105" t="n"/>
      <c r="B35" s="122" t="n"/>
      <c r="C35" s="95" t="n"/>
      <c r="D35" s="95" t="n"/>
      <c r="E35" s="95" t="n"/>
      <c r="F35" s="95" t="n"/>
      <c r="G35" s="124" t="n"/>
    </row>
    <row r="36">
      <c r="A36" s="105" t="n"/>
      <c r="B36" s="122" t="n"/>
      <c r="C36" s="95" t="n"/>
      <c r="D36" s="95" t="n"/>
      <c r="E36" s="95" t="n"/>
      <c r="F36" s="95" t="n"/>
      <c r="G36" s="124" t="n"/>
    </row>
    <row r="37">
      <c r="A37" s="105" t="n"/>
      <c r="B37" s="122" t="n"/>
      <c r="C37" s="95" t="n"/>
      <c r="D37" s="95" t="n"/>
      <c r="E37" s="95" t="n"/>
      <c r="F37" s="95" t="n"/>
      <c r="G37" s="124" t="n"/>
    </row>
    <row r="38">
      <c r="A38" s="105" t="n"/>
      <c r="B38" s="122" t="n"/>
      <c r="C38" s="95" t="n"/>
      <c r="D38" s="95" t="n"/>
      <c r="E38" s="95" t="n"/>
      <c r="F38" s="95" t="n"/>
      <c r="G38" s="124" t="n"/>
    </row>
    <row r="39">
      <c r="A39" s="105" t="n"/>
      <c r="B39" s="122" t="n"/>
      <c r="C39" s="95" t="n"/>
      <c r="D39" s="95" t="n"/>
      <c r="E39" s="95" t="n"/>
      <c r="F39" s="95" t="n"/>
      <c r="G39" s="124" t="n"/>
    </row>
    <row r="40">
      <c r="A40" s="105" t="n"/>
      <c r="B40" s="122" t="n"/>
      <c r="C40" s="95" t="n"/>
      <c r="D40" s="95" t="n"/>
      <c r="E40" s="95" t="n"/>
      <c r="F40" s="95" t="n"/>
      <c r="G40" s="124" t="n"/>
    </row>
    <row r="41">
      <c r="A41" s="105" t="n"/>
      <c r="B41" s="122" t="n"/>
      <c r="C41" s="95" t="n"/>
      <c r="D41" s="95" t="n"/>
      <c r="E41" s="95" t="n"/>
      <c r="F41" s="95" t="n"/>
      <c r="G41" s="124" t="n"/>
    </row>
    <row r="42">
      <c r="A42" s="105" t="n"/>
      <c r="B42" s="122" t="n"/>
      <c r="C42" s="95" t="n"/>
      <c r="D42" s="95" t="n"/>
      <c r="E42" s="95" t="n"/>
      <c r="F42" s="95" t="n"/>
      <c r="G42" s="124" t="n"/>
    </row>
    <row r="43">
      <c r="A43" s="105" t="n"/>
      <c r="B43" s="122" t="n"/>
      <c r="C43" s="95" t="n"/>
      <c r="D43" s="95" t="n"/>
      <c r="E43" s="95" t="n"/>
      <c r="F43" s="95" t="n"/>
      <c r="G43" s="124" t="n"/>
    </row>
    <row r="44">
      <c r="A44" s="105" t="n"/>
      <c r="B44" s="122" t="n"/>
      <c r="C44" s="95" t="n"/>
      <c r="D44" s="95" t="n"/>
      <c r="E44" s="95" t="n"/>
      <c r="F44" s="95" t="n"/>
      <c r="G44" s="124" t="n"/>
    </row>
    <row r="45">
      <c r="A45" s="105" t="n"/>
      <c r="B45" s="122" t="n"/>
      <c r="C45" s="95" t="n"/>
      <c r="D45" s="95" t="n"/>
      <c r="E45" s="95" t="n"/>
      <c r="F45" s="95" t="n"/>
      <c r="G45" s="124" t="n"/>
    </row>
    <row r="46">
      <c r="A46" s="105" t="n"/>
      <c r="B46" s="122" t="n"/>
      <c r="C46" s="95" t="n"/>
      <c r="D46" s="95" t="n"/>
      <c r="E46" s="95" t="n"/>
      <c r="F46" s="95" t="n"/>
      <c r="G46" s="124" t="n"/>
    </row>
    <row r="47">
      <c r="A47" s="105" t="n"/>
      <c r="B47" s="122" t="n"/>
      <c r="C47" s="95" t="n"/>
      <c r="D47" s="95" t="n"/>
      <c r="E47" s="95" t="n"/>
      <c r="F47" s="95" t="n"/>
      <c r="G47" s="124" t="n"/>
    </row>
    <row r="48">
      <c r="A48" s="105" t="n"/>
      <c r="B48" s="122" t="n"/>
      <c r="C48" s="95" t="n"/>
      <c r="D48" s="95" t="n"/>
      <c r="E48" s="95" t="n"/>
      <c r="F48" s="95" t="n"/>
      <c r="G48" s="124" t="n"/>
    </row>
    <row r="49">
      <c r="A49" s="105" t="n"/>
      <c r="B49" s="122" t="n"/>
      <c r="C49" s="95" t="n"/>
      <c r="D49" s="95" t="n"/>
      <c r="E49" s="95" t="n"/>
      <c r="F49" s="95" t="n"/>
      <c r="G49" s="124" t="n"/>
    </row>
    <row r="50">
      <c r="A50" s="105" t="n"/>
      <c r="B50" s="122" t="n"/>
      <c r="C50" s="95" t="n"/>
      <c r="D50" s="95" t="n"/>
      <c r="E50" s="95" t="n"/>
      <c r="F50" s="95" t="n"/>
      <c r="G50" s="124" t="n"/>
    </row>
    <row r="51">
      <c r="A51" s="105" t="n"/>
      <c r="B51" s="122" t="n"/>
      <c r="C51" s="95" t="n"/>
      <c r="D51" s="95" t="n"/>
      <c r="E51" s="95" t="n"/>
      <c r="F51" s="95" t="n"/>
      <c r="G51" s="124" t="n"/>
    </row>
    <row r="52">
      <c r="A52" s="105" t="n"/>
      <c r="B52" s="122" t="n"/>
      <c r="C52" s="95" t="n"/>
      <c r="D52" s="95" t="n"/>
      <c r="E52" s="95" t="n"/>
      <c r="F52" s="95" t="n"/>
      <c r="G52" s="124" t="n"/>
    </row>
    <row r="53">
      <c r="A53" s="105" t="n"/>
      <c r="B53" s="122" t="n"/>
      <c r="C53" s="95" t="n"/>
      <c r="D53" s="95" t="n"/>
      <c r="E53" s="95" t="n"/>
      <c r="F53" s="95" t="n"/>
      <c r="G53" s="124" t="n"/>
    </row>
    <row r="54">
      <c r="A54" s="105" t="n"/>
      <c r="B54" s="122" t="n"/>
      <c r="C54" s="95" t="n"/>
      <c r="D54" s="95" t="n"/>
      <c r="E54" s="95" t="n"/>
      <c r="F54" s="95" t="n"/>
      <c r="G54" s="124" t="n"/>
    </row>
    <row r="55">
      <c r="A55" s="105" t="n"/>
      <c r="B55" s="122" t="n"/>
      <c r="C55" s="95" t="n"/>
      <c r="D55" s="95" t="n"/>
      <c r="E55" s="95" t="n"/>
      <c r="F55" s="95" t="n"/>
      <c r="G55" s="124" t="n"/>
    </row>
    <row r="56">
      <c r="A56" s="105" t="n"/>
      <c r="B56" s="122" t="n"/>
      <c r="C56" s="95" t="n"/>
      <c r="D56" s="95" t="n"/>
      <c r="E56" s="95" t="n"/>
      <c r="F56" s="95" t="n"/>
      <c r="G56" s="124" t="n"/>
    </row>
    <row r="57">
      <c r="A57" s="105" t="n"/>
      <c r="B57" s="122" t="n"/>
      <c r="C57" s="95" t="n"/>
      <c r="D57" s="95" t="n"/>
      <c r="E57" s="95" t="n"/>
      <c r="F57" s="95" t="n"/>
      <c r="G57" s="124" t="n"/>
    </row>
    <row r="58">
      <c r="A58" s="105" t="n"/>
      <c r="B58" s="122" t="n"/>
      <c r="C58" s="95" t="n"/>
      <c r="D58" s="95" t="n"/>
      <c r="E58" s="95" t="n"/>
      <c r="F58" s="95" t="n"/>
      <c r="G58" s="124" t="n"/>
    </row>
    <row r="59">
      <c r="A59" s="105" t="n"/>
      <c r="B59" s="122" t="n"/>
      <c r="C59" s="95" t="n"/>
      <c r="D59" s="95" t="n"/>
      <c r="E59" s="95" t="n"/>
      <c r="F59" s="95" t="n"/>
      <c r="G59" s="124" t="n"/>
    </row>
    <row r="60">
      <c r="A60" s="105" t="n"/>
      <c r="B60" s="122" t="n"/>
      <c r="C60" s="95" t="n"/>
      <c r="D60" s="95" t="n"/>
      <c r="E60" s="95" t="n"/>
      <c r="F60" s="95" t="n"/>
      <c r="G60" s="124" t="n"/>
    </row>
    <row r="61">
      <c r="A61" s="105" t="n"/>
      <c r="B61" s="122" t="n"/>
      <c r="C61" s="95" t="n"/>
      <c r="D61" s="95" t="n"/>
      <c r="E61" s="95" t="n"/>
      <c r="F61" s="95" t="n"/>
      <c r="G61" s="124" t="n"/>
    </row>
    <row r="62">
      <c r="A62" s="105" t="n"/>
      <c r="B62" s="122" t="n"/>
      <c r="C62" s="95" t="n"/>
      <c r="D62" s="95" t="n"/>
      <c r="E62" s="95" t="n"/>
      <c r="F62" s="95" t="n"/>
      <c r="G62" s="124" t="n"/>
    </row>
    <row r="63">
      <c r="A63" s="105" t="n"/>
      <c r="B63" s="122" t="n"/>
      <c r="C63" s="95" t="n"/>
      <c r="D63" s="95" t="n"/>
      <c r="E63" s="95" t="n"/>
      <c r="F63" s="95" t="n"/>
      <c r="G63" s="124" t="n"/>
    </row>
    <row r="64">
      <c r="A64" s="105" t="n"/>
      <c r="B64" s="122" t="n"/>
      <c r="C64" s="95" t="n"/>
      <c r="D64" s="95" t="n"/>
      <c r="E64" s="95" t="n"/>
      <c r="F64" s="95" t="n"/>
      <c r="G64" s="124" t="n"/>
    </row>
    <row r="65">
      <c r="A65" s="105" t="n"/>
      <c r="B65" s="122" t="n"/>
      <c r="C65" s="95" t="n"/>
      <c r="D65" s="95" t="n"/>
      <c r="E65" s="95" t="n"/>
      <c r="F65" s="95" t="n"/>
      <c r="G65" s="124" t="n"/>
    </row>
    <row r="66">
      <c r="A66" s="105" t="n"/>
      <c r="B66" s="122" t="n"/>
      <c r="C66" s="95" t="n"/>
      <c r="D66" s="95" t="n"/>
      <c r="E66" s="95" t="n"/>
      <c r="F66" s="95" t="n"/>
      <c r="G66" s="124" t="n"/>
    </row>
    <row r="67">
      <c r="A67" s="105" t="n"/>
      <c r="B67" s="122" t="n"/>
      <c r="C67" s="95" t="n"/>
      <c r="D67" s="95" t="n"/>
      <c r="E67" s="95" t="n"/>
      <c r="F67" s="95" t="n"/>
      <c r="G67" s="124" t="n"/>
    </row>
    <row r="68">
      <c r="A68" s="105" t="n"/>
      <c r="B68" s="122" t="n"/>
      <c r="C68" s="95" t="n"/>
      <c r="D68" s="95" t="n"/>
      <c r="E68" s="95" t="n"/>
      <c r="F68" s="95" t="n"/>
      <c r="G68" s="124" t="n"/>
    </row>
    <row r="69">
      <c r="A69" s="105" t="n"/>
      <c r="B69" s="122" t="n"/>
      <c r="C69" s="95" t="n"/>
      <c r="D69" s="95" t="n"/>
      <c r="E69" s="95" t="n"/>
      <c r="F69" s="95" t="n"/>
      <c r="G69" s="124" t="n"/>
    </row>
    <row r="70">
      <c r="A70" s="105" t="n"/>
      <c r="B70" s="122" t="n"/>
      <c r="C70" s="95" t="n"/>
      <c r="D70" s="95" t="n"/>
      <c r="E70" s="95" t="n"/>
      <c r="F70" s="95" t="n"/>
      <c r="G70" s="124" t="n"/>
    </row>
    <row r="71">
      <c r="A71" s="105" t="n"/>
      <c r="B71" s="122" t="n"/>
      <c r="C71" s="95" t="n"/>
      <c r="D71" s="95" t="n"/>
      <c r="E71" s="95" t="n"/>
      <c r="F71" s="95" t="n"/>
      <c r="G71" s="124" t="n"/>
    </row>
    <row r="72">
      <c r="A72" s="105" t="n"/>
      <c r="B72" s="122" t="n"/>
      <c r="C72" s="95" t="n"/>
      <c r="D72" s="95" t="n"/>
      <c r="E72" s="95" t="n"/>
      <c r="F72" s="95" t="n"/>
      <c r="G72" s="124" t="n"/>
    </row>
    <row r="73">
      <c r="A73" s="105" t="n"/>
      <c r="B73" s="122" t="n"/>
      <c r="C73" s="95" t="n"/>
      <c r="D73" s="95" t="n"/>
      <c r="E73" s="95" t="n"/>
      <c r="F73" s="95" t="n"/>
      <c r="G73" s="124" t="n"/>
    </row>
    <row r="74">
      <c r="A74" s="105" t="n"/>
      <c r="B74" s="122" t="n"/>
      <c r="C74" s="95" t="n"/>
      <c r="D74" s="95" t="n"/>
      <c r="E74" s="95" t="n"/>
      <c r="F74" s="95" t="n"/>
      <c r="G74" s="124" t="n"/>
    </row>
    <row r="75">
      <c r="A75" s="105" t="n"/>
      <c r="B75" s="122" t="n"/>
      <c r="C75" s="95" t="n"/>
      <c r="D75" s="95" t="n"/>
      <c r="E75" s="95" t="n"/>
      <c r="F75" s="95" t="n"/>
      <c r="G75" s="124" t="n"/>
    </row>
    <row r="76">
      <c r="A76" s="105" t="n"/>
      <c r="B76" s="122" t="n"/>
      <c r="C76" s="95" t="n"/>
      <c r="D76" s="95" t="n"/>
      <c r="E76" s="95" t="n"/>
      <c r="F76" s="95" t="n"/>
      <c r="G76" s="124" t="n"/>
    </row>
    <row r="77">
      <c r="A77" s="105" t="n"/>
      <c r="B77" s="122" t="n"/>
      <c r="C77" s="95" t="n"/>
      <c r="D77" s="95" t="n"/>
      <c r="E77" s="95" t="n"/>
      <c r="F77" s="95" t="n"/>
      <c r="G77" s="124" t="n"/>
    </row>
    <row r="78">
      <c r="A78" s="105" t="n"/>
      <c r="B78" s="122" t="n"/>
      <c r="C78" s="95" t="n"/>
      <c r="D78" s="95" t="n"/>
      <c r="E78" s="95" t="n"/>
      <c r="F78" s="95" t="n"/>
      <c r="G78" s="124" t="n"/>
    </row>
    <row r="79">
      <c r="A79" s="105" t="n"/>
      <c r="B79" s="122" t="n"/>
      <c r="C79" s="95" t="n"/>
      <c r="D79" s="95" t="n"/>
      <c r="E79" s="95" t="n"/>
      <c r="F79" s="95" t="n"/>
      <c r="G79" s="124" t="n"/>
    </row>
    <row r="80">
      <c r="A80" s="105" t="n"/>
      <c r="B80" s="122" t="n"/>
      <c r="C80" s="95" t="n"/>
      <c r="D80" s="95" t="n"/>
      <c r="E80" s="95" t="n"/>
      <c r="F80" s="95" t="n"/>
      <c r="G80" s="124" t="n"/>
    </row>
    <row r="81">
      <c r="A81" s="105" t="n"/>
      <c r="B81" s="122" t="n"/>
      <c r="C81" s="95" t="n"/>
      <c r="D81" s="95" t="n"/>
      <c r="E81" s="95" t="n"/>
      <c r="F81" s="95" t="n"/>
      <c r="G81" s="124" t="n"/>
    </row>
    <row r="82">
      <c r="A82" s="105" t="n"/>
      <c r="B82" s="122" t="n"/>
      <c r="C82" s="95" t="n"/>
      <c r="D82" s="95" t="n"/>
      <c r="E82" s="95" t="n"/>
      <c r="F82" s="95" t="n"/>
      <c r="G82" s="124" t="n"/>
    </row>
    <row r="83">
      <c r="A83" s="105" t="n"/>
      <c r="B83" s="122" t="n"/>
      <c r="C83" s="95" t="n"/>
      <c r="D83" s="95" t="n"/>
      <c r="E83" s="95" t="n"/>
      <c r="F83" s="95" t="n"/>
      <c r="G83" s="124" t="n"/>
    </row>
    <row r="84">
      <c r="A84" s="105" t="n"/>
      <c r="B84" s="122" t="n"/>
      <c r="C84" s="95" t="n"/>
      <c r="D84" s="95" t="n"/>
      <c r="E84" s="95" t="n"/>
      <c r="F84" s="95" t="n"/>
      <c r="G84" s="124" t="n"/>
    </row>
    <row r="85">
      <c r="A85" s="105" t="n"/>
      <c r="B85" s="122" t="n"/>
      <c r="C85" s="95" t="n"/>
      <c r="D85" s="95" t="n"/>
      <c r="E85" s="95" t="n"/>
      <c r="F85" s="95" t="n"/>
      <c r="G85" s="124" t="n"/>
    </row>
    <row r="86">
      <c r="A86" s="105" t="n"/>
      <c r="B86" s="122" t="n"/>
      <c r="C86" s="95" t="n"/>
      <c r="D86" s="95" t="n"/>
      <c r="E86" s="95" t="n"/>
      <c r="F86" s="95" t="n"/>
      <c r="G86" s="124" t="n"/>
    </row>
    <row r="87">
      <c r="A87" s="105" t="n"/>
      <c r="B87" s="122" t="n"/>
      <c r="C87" s="95" t="n"/>
      <c r="D87" s="95" t="n"/>
      <c r="E87" s="95" t="n"/>
      <c r="F87" s="95" t="n"/>
      <c r="G87" s="124" t="n"/>
    </row>
    <row r="88">
      <c r="A88" s="105" t="n"/>
      <c r="B88" s="122" t="n"/>
      <c r="C88" s="95" t="n"/>
      <c r="D88" s="95" t="n"/>
      <c r="E88" s="95" t="n"/>
      <c r="F88" s="95" t="n"/>
      <c r="G88" s="124" t="n"/>
    </row>
    <row r="89">
      <c r="A89" s="105" t="n"/>
      <c r="B89" s="122" t="n"/>
      <c r="C89" s="95" t="n"/>
      <c r="D89" s="95" t="n"/>
      <c r="E89" s="95" t="n"/>
      <c r="F89" s="95" t="n"/>
      <c r="G89" s="124" t="n"/>
    </row>
    <row r="90">
      <c r="A90" s="105" t="n"/>
      <c r="B90" s="122" t="n"/>
      <c r="C90" s="95" t="n"/>
      <c r="D90" s="95" t="n"/>
      <c r="E90" s="95" t="n"/>
      <c r="F90" s="95" t="n"/>
      <c r="G90" s="124" t="n"/>
    </row>
    <row r="91">
      <c r="A91" s="105" t="n"/>
      <c r="B91" s="122" t="n"/>
      <c r="C91" s="95" t="n"/>
      <c r="D91" s="95" t="n"/>
      <c r="E91" s="95" t="n"/>
      <c r="F91" s="95" t="n"/>
      <c r="G91" s="124" t="n"/>
    </row>
    <row r="92">
      <c r="A92" s="105" t="n"/>
      <c r="B92" s="122" t="n"/>
      <c r="C92" s="95" t="n"/>
      <c r="D92" s="95" t="n"/>
      <c r="E92" s="95" t="n"/>
      <c r="F92" s="95" t="n"/>
      <c r="G92" s="124" t="n"/>
    </row>
    <row r="93">
      <c r="A93" s="105" t="n"/>
      <c r="B93" s="122" t="n"/>
      <c r="C93" s="95" t="n"/>
      <c r="D93" s="95" t="n"/>
      <c r="E93" s="95" t="n"/>
      <c r="F93" s="95" t="n"/>
      <c r="G93" s="124" t="n"/>
    </row>
    <row r="94">
      <c r="A94" s="105" t="n"/>
      <c r="B94" s="122" t="n"/>
      <c r="C94" s="95" t="n"/>
      <c r="D94" s="95" t="n"/>
      <c r="E94" s="95" t="n"/>
      <c r="F94" s="95" t="n"/>
      <c r="G94" s="124" t="n"/>
    </row>
    <row r="95">
      <c r="A95" s="105" t="n"/>
      <c r="B95" s="122" t="n"/>
      <c r="C95" s="95" t="n"/>
      <c r="D95" s="95" t="n"/>
      <c r="E95" s="95" t="n"/>
      <c r="F95" s="95" t="n"/>
      <c r="G95" s="124" t="n"/>
    </row>
    <row r="96">
      <c r="A96" s="105" t="n"/>
      <c r="B96" s="122" t="n"/>
      <c r="C96" s="95" t="n"/>
      <c r="D96" s="95" t="n"/>
      <c r="E96" s="95" t="n"/>
      <c r="F96" s="95" t="n"/>
      <c r="G96" s="124" t="n"/>
    </row>
    <row r="97">
      <c r="A97" s="105" t="n"/>
      <c r="B97" s="122" t="n"/>
      <c r="C97" s="95" t="n"/>
      <c r="D97" s="95" t="n"/>
      <c r="E97" s="95" t="n"/>
      <c r="F97" s="95" t="n"/>
      <c r="G97" s="124" t="n"/>
    </row>
    <row r="98">
      <c r="A98" s="105" t="n"/>
      <c r="B98" s="122" t="n"/>
      <c r="C98" s="95" t="n"/>
      <c r="D98" s="95" t="n"/>
      <c r="E98" s="95" t="n"/>
      <c r="F98" s="95" t="n"/>
      <c r="G98" s="124" t="n"/>
    </row>
    <row r="99">
      <c r="A99" s="105" t="n"/>
      <c r="B99" s="122" t="n"/>
      <c r="C99" s="95" t="n"/>
      <c r="D99" s="95" t="n"/>
      <c r="E99" s="95" t="n"/>
      <c r="F99" s="95" t="n"/>
      <c r="G99" s="124" t="n"/>
    </row>
    <row r="100">
      <c r="A100" s="105" t="n"/>
      <c r="B100" s="122" t="n"/>
      <c r="C100" s="95" t="n"/>
      <c r="D100" s="95" t="n"/>
      <c r="E100" s="95" t="n"/>
      <c r="F100" s="95" t="n"/>
      <c r="G100" s="124" t="n"/>
    </row>
    <row r="101">
      <c r="A101" s="105" t="n"/>
      <c r="B101" s="122" t="n"/>
      <c r="C101" s="95" t="n"/>
      <c r="D101" s="95" t="n"/>
      <c r="E101" s="95" t="n"/>
      <c r="F101" s="95" t="n"/>
      <c r="G101" s="124" t="n"/>
    </row>
    <row r="102">
      <c r="A102" s="105" t="n"/>
      <c r="B102" s="122" t="n"/>
      <c r="C102" s="95" t="n"/>
      <c r="D102" s="95" t="n"/>
      <c r="E102" s="95" t="n"/>
      <c r="F102" s="95" t="n"/>
      <c r="G102" s="124" t="n"/>
    </row>
    <row r="103">
      <c r="A103" s="105" t="n"/>
      <c r="B103" s="122" t="n"/>
      <c r="C103" s="95" t="n"/>
      <c r="D103" s="95" t="n"/>
      <c r="E103" s="95" t="n"/>
      <c r="F103" s="95" t="n"/>
      <c r="G103" s="124" t="n"/>
    </row>
    <row r="104">
      <c r="A104" s="105" t="n"/>
      <c r="B104" s="122" t="n"/>
      <c r="C104" s="95" t="n"/>
      <c r="D104" s="95" t="n"/>
      <c r="E104" s="95" t="n"/>
      <c r="F104" s="95" t="n"/>
      <c r="G104" s="124" t="n"/>
    </row>
    <row r="105">
      <c r="A105" s="105" t="n"/>
      <c r="B105" s="122" t="n"/>
      <c r="C105" s="95" t="n"/>
      <c r="D105" s="95" t="n"/>
      <c r="E105" s="95" t="n"/>
      <c r="F105" s="95" t="n"/>
      <c r="G105" s="124" t="n"/>
    </row>
    <row r="106">
      <c r="A106" s="105" t="n"/>
      <c r="B106" s="122" t="n"/>
      <c r="C106" s="95" t="n"/>
      <c r="D106" s="95" t="n"/>
      <c r="E106" s="95" t="n"/>
      <c r="F106" s="95" t="n"/>
      <c r="G106" s="124" t="n"/>
    </row>
    <row r="107">
      <c r="A107" s="105" t="n"/>
      <c r="B107" s="122" t="n"/>
      <c r="C107" s="95" t="n"/>
      <c r="D107" s="95" t="n"/>
      <c r="E107" s="95" t="n"/>
      <c r="F107" s="95" t="n"/>
      <c r="G107" s="124" t="n"/>
    </row>
    <row r="108">
      <c r="A108" s="105" t="n"/>
      <c r="B108" s="122" t="n"/>
      <c r="C108" s="95" t="n"/>
      <c r="D108" s="95" t="n"/>
      <c r="E108" s="95" t="n"/>
      <c r="F108" s="95" t="n"/>
      <c r="G108" s="124" t="n"/>
    </row>
    <row r="109">
      <c r="A109" s="105" t="n"/>
      <c r="B109" s="122" t="n"/>
      <c r="C109" s="95" t="n"/>
      <c r="D109" s="95" t="n"/>
      <c r="E109" s="95" t="n"/>
      <c r="F109" s="95" t="n"/>
      <c r="G109" s="124" t="n"/>
    </row>
    <row r="110">
      <c r="A110" s="105" t="n"/>
      <c r="B110" s="122" t="n"/>
      <c r="C110" s="95" t="n"/>
      <c r="D110" s="95" t="n"/>
      <c r="E110" s="95" t="n"/>
      <c r="F110" s="95" t="n"/>
      <c r="G110" s="124" t="n"/>
    </row>
    <row r="111">
      <c r="A111" s="105" t="n"/>
      <c r="B111" s="122" t="n"/>
      <c r="C111" s="95" t="n"/>
      <c r="D111" s="95" t="n"/>
      <c r="E111" s="95" t="n"/>
      <c r="F111" s="95" t="n"/>
      <c r="G111" s="124" t="n"/>
    </row>
    <row r="112">
      <c r="A112" s="105" t="n"/>
      <c r="B112" s="122" t="n"/>
      <c r="C112" s="95" t="n"/>
      <c r="D112" s="95" t="n"/>
      <c r="E112" s="95" t="n"/>
      <c r="F112" s="95" t="n"/>
      <c r="G112" s="124" t="n"/>
    </row>
    <row r="113">
      <c r="A113" s="105" t="n"/>
      <c r="B113" s="122" t="n"/>
      <c r="C113" s="95" t="n"/>
      <c r="D113" s="95" t="n"/>
      <c r="E113" s="95" t="n"/>
      <c r="F113" s="95" t="n"/>
      <c r="G113" s="124" t="n"/>
    </row>
    <row r="114">
      <c r="A114" s="105" t="n"/>
      <c r="B114" s="122" t="n"/>
      <c r="C114" s="95" t="n"/>
      <c r="D114" s="95" t="n"/>
      <c r="E114" s="95" t="n"/>
      <c r="F114" s="95" t="n"/>
      <c r="G114" s="124" t="n"/>
    </row>
    <row r="115">
      <c r="A115" s="105" t="n"/>
      <c r="B115" s="122" t="n"/>
      <c r="C115" s="95" t="n"/>
      <c r="D115" s="95" t="n"/>
      <c r="E115" s="95" t="n"/>
      <c r="F115" s="95" t="n"/>
      <c r="G115" s="124" t="n"/>
    </row>
    <row r="116">
      <c r="A116" s="105" t="n"/>
      <c r="B116" s="122" t="n"/>
      <c r="C116" s="95" t="n"/>
      <c r="D116" s="95" t="n"/>
      <c r="E116" s="95" t="n"/>
      <c r="F116" s="95" t="n"/>
      <c r="G116" s="124" t="n"/>
    </row>
    <row r="117">
      <c r="A117" s="105" t="n"/>
      <c r="B117" s="122" t="n"/>
      <c r="C117" s="95" t="n"/>
      <c r="D117" s="95" t="n"/>
      <c r="E117" s="95" t="n"/>
      <c r="F117" s="95" t="n"/>
      <c r="G117" s="124" t="n"/>
    </row>
    <row r="118">
      <c r="A118" s="105" t="n"/>
      <c r="B118" s="122" t="n"/>
      <c r="C118" s="95" t="n"/>
      <c r="D118" s="95" t="n"/>
      <c r="E118" s="95" t="n"/>
      <c r="F118" s="95" t="n"/>
      <c r="G118" s="124" t="n"/>
    </row>
    <row r="119">
      <c r="A119" s="105" t="n"/>
      <c r="B119" s="122" t="n"/>
      <c r="C119" s="95" t="n"/>
      <c r="D119" s="95" t="n"/>
      <c r="E119" s="95" t="n"/>
      <c r="F119" s="95" t="n"/>
      <c r="G119" s="124" t="n"/>
    </row>
    <row r="120">
      <c r="A120" s="105" t="n"/>
      <c r="B120" s="122" t="n"/>
      <c r="C120" s="95" t="n"/>
      <c r="D120" s="95" t="n"/>
      <c r="E120" s="95" t="n"/>
      <c r="F120" s="95" t="n"/>
      <c r="G120" s="124" t="n"/>
    </row>
    <row r="121">
      <c r="A121" s="105" t="n"/>
      <c r="B121" s="122" t="n"/>
      <c r="C121" s="95" t="n"/>
      <c r="D121" s="95" t="n"/>
      <c r="E121" s="95" t="n"/>
      <c r="F121" s="95" t="n"/>
      <c r="G121" s="124" t="n"/>
    </row>
    <row r="122">
      <c r="A122" s="105" t="n"/>
      <c r="B122" s="122" t="n"/>
      <c r="C122" s="95" t="n"/>
      <c r="D122" s="95" t="n"/>
      <c r="E122" s="95" t="n"/>
      <c r="F122" s="95" t="n"/>
      <c r="G122" s="124" t="n"/>
    </row>
    <row r="123">
      <c r="A123" s="105" t="n"/>
      <c r="B123" s="122" t="n"/>
      <c r="C123" s="95" t="n"/>
      <c r="D123" s="95" t="n"/>
      <c r="E123" s="95" t="n"/>
      <c r="F123" s="95" t="n"/>
      <c r="G123" s="124" t="n"/>
    </row>
    <row r="124">
      <c r="A124" s="105" t="n"/>
      <c r="B124" s="122" t="n"/>
      <c r="C124" s="95" t="n"/>
      <c r="D124" s="95" t="n"/>
      <c r="E124" s="95" t="n"/>
      <c r="F124" s="95" t="n"/>
      <c r="G124" s="124" t="n"/>
    </row>
    <row r="125">
      <c r="A125" s="105" t="n"/>
      <c r="B125" s="122" t="n"/>
      <c r="C125" s="95" t="n"/>
      <c r="D125" s="95" t="n"/>
      <c r="E125" s="95" t="n"/>
      <c r="F125" s="95" t="n"/>
      <c r="G125" s="124" t="n"/>
    </row>
    <row r="126">
      <c r="A126" s="105" t="n"/>
      <c r="B126" s="122" t="n"/>
      <c r="C126" s="95" t="n"/>
      <c r="D126" s="95" t="n"/>
      <c r="E126" s="95" t="n"/>
      <c r="F126" s="95" t="n"/>
      <c r="G126" s="124" t="n"/>
    </row>
    <row r="127">
      <c r="A127" s="105" t="n"/>
      <c r="B127" s="122" t="n"/>
      <c r="C127" s="95" t="n"/>
      <c r="D127" s="95" t="n"/>
      <c r="E127" s="95" t="n"/>
      <c r="F127" s="95" t="n"/>
      <c r="G127" s="124" t="n"/>
    </row>
    <row r="128">
      <c r="A128" s="105" t="n"/>
      <c r="B128" s="122" t="n"/>
      <c r="C128" s="95" t="n"/>
      <c r="D128" s="95" t="n"/>
      <c r="E128" s="95" t="n"/>
      <c r="F128" s="95" t="n"/>
      <c r="G128" s="124" t="n"/>
    </row>
    <row r="129">
      <c r="A129" s="105" t="n"/>
      <c r="B129" s="122" t="n"/>
      <c r="C129" s="95" t="n"/>
      <c r="D129" s="95" t="n"/>
      <c r="E129" s="95" t="n"/>
      <c r="F129" s="95" t="n"/>
      <c r="G129" s="124" t="n"/>
    </row>
    <row r="130">
      <c r="A130" s="105" t="n"/>
      <c r="B130" s="122" t="n"/>
      <c r="C130" s="95" t="n"/>
      <c r="D130" s="95" t="n"/>
      <c r="E130" s="95" t="n"/>
      <c r="F130" s="95" t="n"/>
      <c r="G130" s="124" t="n"/>
    </row>
    <row r="131">
      <c r="A131" s="105" t="n"/>
      <c r="B131" s="122" t="n"/>
      <c r="C131" s="95" t="n"/>
      <c r="D131" s="95" t="n"/>
      <c r="E131" s="95" t="n"/>
      <c r="F131" s="95" t="n"/>
      <c r="G131" s="124" t="n"/>
    </row>
    <row r="132">
      <c r="A132" s="105" t="n"/>
      <c r="B132" s="122" t="n"/>
      <c r="C132" s="95" t="n"/>
      <c r="D132" s="95" t="n"/>
      <c r="E132" s="95" t="n"/>
      <c r="F132" s="95" t="n"/>
      <c r="G132" s="124" t="n"/>
    </row>
    <row r="133">
      <c r="A133" s="105" t="n"/>
      <c r="B133" s="122" t="n"/>
      <c r="C133" s="95" t="n"/>
      <c r="D133" s="95" t="n"/>
      <c r="E133" s="95" t="n"/>
      <c r="F133" s="95" t="n"/>
      <c r="G133" s="124" t="n"/>
    </row>
    <row r="134">
      <c r="A134" s="105" t="n"/>
      <c r="B134" s="122" t="n"/>
      <c r="C134" s="95" t="n"/>
      <c r="D134" s="95" t="n"/>
      <c r="E134" s="95" t="n"/>
      <c r="F134" s="95" t="n"/>
      <c r="G134" s="124" t="n"/>
    </row>
    <row r="135">
      <c r="A135" s="105" t="n"/>
      <c r="B135" s="122" t="n"/>
      <c r="C135" s="95" t="n"/>
      <c r="D135" s="95" t="n"/>
      <c r="E135" s="95" t="n"/>
      <c r="F135" s="95" t="n"/>
      <c r="G135" s="124" t="n"/>
    </row>
    <row r="136">
      <c r="A136" s="105" t="n"/>
      <c r="B136" s="122" t="n"/>
      <c r="C136" s="95" t="n"/>
      <c r="D136" s="95" t="n"/>
      <c r="E136" s="95" t="n"/>
      <c r="F136" s="95" t="n"/>
      <c r="G136" s="124" t="n"/>
    </row>
    <row r="137">
      <c r="A137" s="105" t="n"/>
      <c r="B137" s="122" t="n"/>
      <c r="C137" s="95" t="n"/>
      <c r="D137" s="95" t="n"/>
      <c r="E137" s="95" t="n"/>
      <c r="F137" s="95" t="n"/>
      <c r="G137" s="124" t="n"/>
    </row>
    <row r="138">
      <c r="A138" s="105" t="n"/>
      <c r="B138" s="122" t="n"/>
      <c r="C138" s="95" t="n"/>
      <c r="D138" s="95" t="n"/>
      <c r="E138" s="95" t="n"/>
      <c r="F138" s="95" t="n"/>
      <c r="G138" s="124" t="n"/>
    </row>
    <row r="139">
      <c r="A139" s="105" t="n"/>
      <c r="B139" s="122" t="n"/>
      <c r="C139" s="95" t="n"/>
      <c r="D139" s="95" t="n"/>
      <c r="E139" s="95" t="n"/>
      <c r="F139" s="95" t="n"/>
      <c r="G139" s="124" t="n"/>
    </row>
    <row r="140">
      <c r="A140" s="105" t="n"/>
      <c r="B140" s="122" t="n"/>
      <c r="C140" s="95" t="n"/>
      <c r="D140" s="95" t="n"/>
      <c r="E140" s="95" t="n"/>
      <c r="F140" s="95" t="n"/>
      <c r="G140" s="124" t="n"/>
    </row>
    <row r="141">
      <c r="A141" s="105" t="n"/>
      <c r="B141" s="122" t="n"/>
      <c r="C141" s="95" t="n"/>
      <c r="D141" s="95" t="n"/>
      <c r="E141" s="95" t="n"/>
      <c r="F141" s="95" t="n"/>
      <c r="G141" s="124" t="n"/>
    </row>
    <row r="142">
      <c r="A142" s="105" t="n"/>
      <c r="B142" s="122" t="n"/>
      <c r="C142" s="95" t="n"/>
      <c r="D142" s="95" t="n"/>
      <c r="E142" s="95" t="n"/>
      <c r="F142" s="95" t="n"/>
      <c r="G142" s="124" t="n"/>
    </row>
    <row r="143">
      <c r="A143" s="105" t="n"/>
      <c r="B143" s="122" t="n"/>
      <c r="C143" s="95" t="n"/>
      <c r="D143" s="95" t="n"/>
      <c r="E143" s="95" t="n"/>
      <c r="F143" s="95" t="n"/>
      <c r="G143" s="124" t="n"/>
    </row>
    <row r="144">
      <c r="A144" s="105" t="n"/>
      <c r="B144" s="122" t="n"/>
      <c r="C144" s="95" t="n"/>
      <c r="D144" s="95" t="n"/>
      <c r="E144" s="95" t="n"/>
      <c r="F144" s="95" t="n"/>
      <c r="G144" s="124" t="n"/>
    </row>
    <row r="145">
      <c r="A145" s="105" t="n"/>
      <c r="B145" s="122" t="n"/>
      <c r="C145" s="95" t="n"/>
      <c r="D145" s="95" t="n"/>
      <c r="E145" s="95" t="n"/>
      <c r="F145" s="95" t="n"/>
      <c r="G145" s="124" t="n"/>
    </row>
    <row r="146">
      <c r="A146" s="105" t="n"/>
      <c r="B146" s="122" t="n"/>
      <c r="C146" s="95" t="n"/>
      <c r="D146" s="95" t="n"/>
      <c r="E146" s="95" t="n"/>
      <c r="F146" s="95" t="n"/>
      <c r="G146" s="124" t="n"/>
    </row>
    <row r="147">
      <c r="A147" s="105" t="n"/>
      <c r="B147" s="122" t="n"/>
      <c r="C147" s="95" t="n"/>
      <c r="D147" s="95" t="n"/>
      <c r="E147" s="95" t="n"/>
      <c r="F147" s="95" t="n"/>
      <c r="G147" s="124" t="n"/>
    </row>
    <row r="148">
      <c r="A148" s="105" t="n"/>
      <c r="B148" s="122" t="n"/>
      <c r="C148" s="95" t="n"/>
      <c r="D148" s="95" t="n"/>
      <c r="E148" s="95" t="n"/>
      <c r="F148" s="95" t="n"/>
      <c r="G148" s="124" t="n"/>
    </row>
    <row r="149">
      <c r="A149" s="105" t="n"/>
      <c r="B149" s="122" t="n"/>
      <c r="C149" s="95" t="n"/>
      <c r="D149" s="95" t="n"/>
      <c r="E149" s="95" t="n"/>
      <c r="F149" s="95" t="n"/>
      <c r="G149" s="124" t="n"/>
    </row>
    <row r="150">
      <c r="A150" s="105" t="n"/>
      <c r="B150" s="122" t="n"/>
      <c r="C150" s="95" t="n"/>
      <c r="D150" s="95" t="n"/>
      <c r="E150" s="95" t="n"/>
      <c r="F150" s="95" t="n"/>
      <c r="G150" s="124" t="n"/>
    </row>
    <row r="151">
      <c r="A151" s="105" t="n"/>
      <c r="B151" s="122" t="n"/>
      <c r="C151" s="95" t="n"/>
      <c r="D151" s="95" t="n"/>
      <c r="E151" s="95" t="n"/>
      <c r="F151" s="95" t="n"/>
      <c r="G151" s="124" t="n"/>
    </row>
    <row r="152">
      <c r="A152" s="105" t="n"/>
      <c r="B152" s="122" t="n"/>
      <c r="C152" s="95" t="n"/>
      <c r="D152" s="95" t="n"/>
      <c r="E152" s="95" t="n"/>
      <c r="F152" s="95" t="n"/>
      <c r="G152" s="124" t="n"/>
    </row>
    <row r="153">
      <c r="A153" s="105" t="n"/>
      <c r="B153" s="122" t="n"/>
      <c r="C153" s="95" t="n"/>
      <c r="D153" s="95" t="n"/>
      <c r="E153" s="95" t="n"/>
      <c r="F153" s="95" t="n"/>
      <c r="G153" s="124" t="n"/>
    </row>
    <row r="154">
      <c r="A154" s="105" t="n"/>
      <c r="B154" s="122" t="n"/>
      <c r="C154" s="95" t="n"/>
      <c r="D154" s="95" t="n"/>
      <c r="E154" s="95" t="n"/>
      <c r="F154" s="95" t="n"/>
      <c r="G154" s="124" t="n"/>
    </row>
    <row r="155">
      <c r="A155" s="105" t="n"/>
      <c r="B155" s="122" t="n"/>
      <c r="C155" s="95" t="n"/>
      <c r="D155" s="95" t="n"/>
      <c r="E155" s="95" t="n"/>
      <c r="F155" s="95" t="n"/>
      <c r="G155" s="124" t="n"/>
    </row>
    <row r="156">
      <c r="A156" s="105" t="n"/>
      <c r="B156" s="122" t="n"/>
      <c r="C156" s="95" t="n"/>
      <c r="D156" s="95" t="n"/>
      <c r="E156" s="95" t="n"/>
      <c r="F156" s="95" t="n"/>
      <c r="G156" s="124" t="n"/>
    </row>
    <row r="157">
      <c r="A157" s="105" t="n"/>
      <c r="B157" s="122" t="n"/>
      <c r="C157" s="95" t="n"/>
      <c r="D157" s="95" t="n"/>
      <c r="E157" s="95" t="n"/>
      <c r="F157" s="95" t="n"/>
      <c r="G157" s="124" t="n"/>
    </row>
    <row r="158">
      <c r="A158" s="105" t="n"/>
      <c r="B158" s="122" t="n"/>
      <c r="C158" s="95" t="n"/>
      <c r="D158" s="95" t="n"/>
      <c r="E158" s="95" t="n"/>
      <c r="F158" s="95" t="n"/>
      <c r="G158" s="124" t="n"/>
    </row>
    <row r="159">
      <c r="A159" s="105" t="n"/>
      <c r="B159" s="122" t="n"/>
      <c r="C159" s="95" t="n"/>
      <c r="D159" s="95" t="n"/>
      <c r="E159" s="95" t="n"/>
      <c r="F159" s="95" t="n"/>
      <c r="G159" s="124" t="n"/>
    </row>
    <row r="160">
      <c r="A160" s="105" t="n"/>
      <c r="B160" s="122" t="n"/>
      <c r="C160" s="95" t="n"/>
      <c r="D160" s="95" t="n"/>
      <c r="E160" s="95" t="n"/>
      <c r="F160" s="95" t="n"/>
      <c r="G160" s="124" t="n"/>
    </row>
    <row r="161">
      <c r="A161" s="105" t="n"/>
      <c r="B161" s="122" t="n"/>
      <c r="C161" s="95" t="n"/>
      <c r="D161" s="95" t="n"/>
      <c r="E161" s="95" t="n"/>
      <c r="F161" s="95" t="n"/>
      <c r="G161" s="124" t="n"/>
    </row>
    <row r="162">
      <c r="A162" s="105" t="n"/>
      <c r="B162" s="122" t="n"/>
      <c r="C162" s="95" t="n"/>
      <c r="D162" s="95" t="n"/>
      <c r="E162" s="95" t="n"/>
      <c r="F162" s="95" t="n"/>
      <c r="G162" s="124" t="n"/>
    </row>
    <row r="163">
      <c r="A163" s="105" t="n"/>
      <c r="B163" s="122" t="n"/>
      <c r="C163" s="95" t="n"/>
      <c r="D163" s="95" t="n"/>
      <c r="E163" s="95" t="n"/>
      <c r="F163" s="95" t="n"/>
      <c r="G163" s="124" t="n"/>
    </row>
    <row r="164">
      <c r="A164" s="105" t="n"/>
      <c r="B164" s="122" t="n"/>
      <c r="C164" s="95" t="n"/>
      <c r="D164" s="95" t="n"/>
      <c r="E164" s="95" t="n"/>
      <c r="F164" s="95" t="n"/>
      <c r="G164" s="124" t="n"/>
    </row>
    <row r="165">
      <c r="A165" s="105" t="n"/>
      <c r="B165" s="122" t="n"/>
      <c r="C165" s="95" t="n"/>
      <c r="D165" s="95" t="n"/>
      <c r="E165" s="95" t="n"/>
      <c r="F165" s="95" t="n"/>
      <c r="G165" s="124" t="n"/>
    </row>
    <row r="166">
      <c r="A166" s="105" t="n"/>
      <c r="B166" s="122" t="n"/>
      <c r="C166" s="95" t="n"/>
      <c r="D166" s="95" t="n"/>
      <c r="E166" s="95" t="n"/>
      <c r="F166" s="95" t="n"/>
      <c r="G166" s="124" t="n"/>
    </row>
    <row r="167">
      <c r="A167" s="105" t="n"/>
      <c r="B167" s="122" t="n"/>
      <c r="C167" s="95" t="n"/>
      <c r="D167" s="95" t="n"/>
      <c r="E167" s="95" t="n"/>
      <c r="F167" s="95" t="n"/>
      <c r="G167" s="124" t="n"/>
    </row>
    <row r="168">
      <c r="A168" s="105" t="n"/>
      <c r="B168" s="122" t="n"/>
      <c r="C168" s="95" t="n"/>
      <c r="D168" s="95" t="n"/>
      <c r="E168" s="95" t="n"/>
      <c r="F168" s="95" t="n"/>
      <c r="G168" s="124" t="n"/>
    </row>
    <row r="169">
      <c r="A169" s="105" t="n"/>
      <c r="B169" s="122" t="n"/>
      <c r="C169" s="95" t="n"/>
      <c r="D169" s="95" t="n"/>
      <c r="E169" s="95" t="n"/>
      <c r="F169" s="95" t="n"/>
      <c r="G169" s="124" t="n"/>
    </row>
    <row r="170">
      <c r="A170" s="105" t="n"/>
      <c r="B170" s="122" t="n"/>
      <c r="C170" s="95" t="n"/>
      <c r="D170" s="95" t="n"/>
      <c r="E170" s="95" t="n"/>
      <c r="F170" s="95" t="n"/>
      <c r="G170" s="124" t="n"/>
    </row>
    <row r="171">
      <c r="A171" s="105" t="n"/>
      <c r="B171" s="122" t="n"/>
      <c r="C171" s="95" t="n"/>
      <c r="D171" s="95" t="n"/>
      <c r="E171" s="95" t="n"/>
      <c r="F171" s="95" t="n"/>
      <c r="G171" s="124" t="n"/>
    </row>
    <row r="172">
      <c r="A172" s="105" t="n"/>
      <c r="B172" s="122" t="n"/>
      <c r="C172" s="95" t="n"/>
      <c r="D172" s="95" t="n"/>
      <c r="E172" s="95" t="n"/>
      <c r="F172" s="95" t="n"/>
      <c r="G172" s="124" t="n"/>
    </row>
    <row r="173">
      <c r="A173" s="105" t="n"/>
      <c r="B173" s="122" t="n"/>
      <c r="C173" s="95" t="n"/>
      <c r="D173" s="95" t="n"/>
      <c r="E173" s="95" t="n"/>
      <c r="F173" s="95" t="n"/>
      <c r="G173" s="124" t="n"/>
    </row>
    <row r="174">
      <c r="A174" s="105" t="n"/>
      <c r="B174" s="122" t="n"/>
      <c r="C174" s="95" t="n"/>
      <c r="D174" s="95" t="n"/>
      <c r="E174" s="95" t="n"/>
      <c r="F174" s="95" t="n"/>
      <c r="G174" s="124" t="n"/>
    </row>
    <row r="175">
      <c r="A175" s="105" t="n"/>
      <c r="B175" s="122" t="n"/>
      <c r="C175" s="95" t="n"/>
      <c r="D175" s="95" t="n"/>
      <c r="E175" s="95" t="n"/>
      <c r="F175" s="95" t="n"/>
      <c r="G175" s="124" t="n"/>
    </row>
    <row r="176">
      <c r="A176" s="105" t="n"/>
      <c r="B176" s="122" t="n"/>
      <c r="C176" s="95" t="n"/>
      <c r="D176" s="95" t="n"/>
      <c r="E176" s="95" t="n"/>
      <c r="F176" s="95" t="n"/>
      <c r="G176" s="124" t="n"/>
    </row>
    <row r="177">
      <c r="A177" s="105" t="n"/>
      <c r="B177" s="122" t="n"/>
      <c r="C177" s="95" t="n"/>
      <c r="D177" s="95" t="n"/>
      <c r="E177" s="95" t="n"/>
      <c r="F177" s="95" t="n"/>
      <c r="G177" s="124" t="n"/>
    </row>
    <row r="178">
      <c r="A178" s="105" t="n"/>
      <c r="B178" s="122" t="n"/>
      <c r="C178" s="95" t="n"/>
      <c r="D178" s="95" t="n"/>
      <c r="E178" s="95" t="n"/>
      <c r="F178" s="95" t="n"/>
      <c r="G178" s="124" t="n"/>
    </row>
    <row r="179">
      <c r="A179" s="105" t="n"/>
      <c r="B179" s="122" t="n"/>
      <c r="C179" s="95" t="n"/>
      <c r="D179" s="95" t="n"/>
      <c r="E179" s="95" t="n"/>
      <c r="F179" s="95" t="n"/>
      <c r="G179" s="124" t="n"/>
    </row>
    <row r="180">
      <c r="A180" s="105" t="n"/>
      <c r="B180" s="122" t="n"/>
      <c r="C180" s="95" t="n"/>
      <c r="D180" s="95" t="n"/>
      <c r="E180" s="95" t="n"/>
      <c r="F180" s="95" t="n"/>
      <c r="G180" s="124" t="n"/>
    </row>
    <row r="181">
      <c r="A181" s="105" t="n"/>
      <c r="B181" s="122" t="n"/>
      <c r="C181" s="95" t="n"/>
      <c r="D181" s="95" t="n"/>
      <c r="E181" s="95" t="n"/>
      <c r="F181" s="95" t="n"/>
      <c r="G181" s="124" t="n"/>
    </row>
    <row r="182">
      <c r="A182" s="105" t="n"/>
      <c r="B182" s="122" t="n"/>
      <c r="C182" s="95" t="n"/>
      <c r="D182" s="95" t="n"/>
      <c r="E182" s="95" t="n"/>
      <c r="F182" s="95" t="n"/>
      <c r="G182" s="124" t="n"/>
    </row>
    <row r="183">
      <c r="A183" s="105" t="n"/>
      <c r="B183" s="122" t="n"/>
      <c r="C183" s="95" t="n"/>
      <c r="D183" s="95" t="n"/>
      <c r="E183" s="95" t="n"/>
      <c r="F183" s="95" t="n"/>
      <c r="G183" s="124" t="n"/>
    </row>
    <row r="184">
      <c r="A184" s="105" t="n"/>
      <c r="B184" s="122" t="n"/>
      <c r="C184" s="95" t="n"/>
      <c r="D184" s="95" t="n"/>
      <c r="E184" s="95" t="n"/>
      <c r="F184" s="95" t="n"/>
      <c r="G184" s="124" t="n"/>
    </row>
    <row r="185">
      <c r="A185" s="105" t="n"/>
      <c r="B185" s="122" t="n"/>
      <c r="C185" s="95" t="n"/>
      <c r="D185" s="95" t="n"/>
      <c r="E185" s="95" t="n"/>
      <c r="F185" s="95" t="n"/>
      <c r="G185" s="124" t="n"/>
    </row>
    <row r="186">
      <c r="A186" s="105" t="n"/>
      <c r="B186" s="122" t="n"/>
      <c r="C186" s="95" t="n"/>
      <c r="D186" s="95" t="n"/>
      <c r="E186" s="95" t="n"/>
      <c r="F186" s="95" t="n"/>
      <c r="G186" s="124" t="n"/>
    </row>
    <row r="187">
      <c r="A187" s="105" t="n"/>
      <c r="B187" s="122" t="n"/>
      <c r="C187" s="95" t="n"/>
      <c r="D187" s="95" t="n"/>
      <c r="E187" s="95" t="n"/>
      <c r="F187" s="95" t="n"/>
      <c r="G187" s="124" t="n"/>
    </row>
    <row r="188">
      <c r="A188" s="105" t="n"/>
      <c r="B188" s="122" t="n"/>
      <c r="C188" s="95" t="n"/>
      <c r="D188" s="95" t="n"/>
      <c r="E188" s="95" t="n"/>
      <c r="F188" s="95" t="n"/>
      <c r="G188" s="124" t="n"/>
    </row>
    <row r="189">
      <c r="A189" s="105" t="n"/>
      <c r="B189" s="122" t="n"/>
      <c r="C189" s="95" t="n"/>
      <c r="D189" s="95" t="n"/>
      <c r="E189" s="95" t="n"/>
      <c r="F189" s="95" t="n"/>
      <c r="G189" s="124" t="n"/>
    </row>
    <row r="190">
      <c r="A190" s="105" t="n"/>
      <c r="B190" s="122" t="n"/>
      <c r="C190" s="95" t="n"/>
      <c r="D190" s="95" t="n"/>
      <c r="E190" s="95" t="n"/>
      <c r="F190" s="95" t="n"/>
      <c r="G190" s="124" t="n"/>
    </row>
    <row r="191">
      <c r="A191" s="105" t="n"/>
      <c r="B191" s="122" t="n"/>
      <c r="C191" s="95" t="n"/>
      <c r="D191" s="95" t="n"/>
      <c r="E191" s="95" t="n"/>
      <c r="F191" s="95" t="n"/>
      <c r="G191" s="124" t="n"/>
    </row>
    <row r="192">
      <c r="A192" s="105" t="n"/>
      <c r="B192" s="122" t="n"/>
      <c r="C192" s="95" t="n"/>
      <c r="D192" s="95" t="n"/>
      <c r="E192" s="95" t="n"/>
      <c r="F192" s="95" t="n"/>
      <c r="G192" s="124" t="n"/>
    </row>
    <row r="193">
      <c r="A193" s="105" t="n"/>
      <c r="B193" s="122" t="n"/>
      <c r="C193" s="95" t="n"/>
      <c r="D193" s="95" t="n"/>
      <c r="E193" s="95" t="n"/>
      <c r="F193" s="95" t="n"/>
      <c r="G193" s="124" t="n"/>
    </row>
    <row r="194">
      <c r="A194" s="105" t="n"/>
      <c r="B194" s="122" t="n"/>
      <c r="C194" s="95" t="n"/>
      <c r="D194" s="95" t="n"/>
      <c r="E194" s="95" t="n"/>
      <c r="F194" s="95" t="n"/>
      <c r="G194" s="124" t="n"/>
    </row>
    <row r="195">
      <c r="A195" s="105" t="n"/>
      <c r="B195" s="122" t="n"/>
      <c r="C195" s="95" t="n"/>
      <c r="D195" s="95" t="n"/>
      <c r="E195" s="95" t="n"/>
      <c r="F195" s="95" t="n"/>
      <c r="G195" s="124" t="n"/>
    </row>
    <row r="196">
      <c r="A196" s="105" t="n"/>
      <c r="B196" s="122" t="n"/>
      <c r="C196" s="95" t="n"/>
      <c r="D196" s="95" t="n"/>
      <c r="E196" s="95" t="n"/>
      <c r="F196" s="95" t="n"/>
      <c r="G196" s="124" t="n"/>
    </row>
    <row r="197">
      <c r="A197" s="105" t="n"/>
      <c r="B197" s="122" t="n"/>
      <c r="C197" s="95" t="n"/>
      <c r="D197" s="95" t="n"/>
      <c r="E197" s="95" t="n"/>
      <c r="F197" s="95" t="n"/>
      <c r="G197" s="124" t="n"/>
    </row>
    <row r="198">
      <c r="A198" s="105" t="n"/>
      <c r="B198" s="122" t="n"/>
      <c r="C198" s="95" t="n"/>
      <c r="D198" s="95" t="n"/>
      <c r="E198" s="95" t="n"/>
      <c r="F198" s="95" t="n"/>
      <c r="G198" s="124" t="n"/>
    </row>
    <row r="199">
      <c r="A199" s="105" t="n"/>
      <c r="B199" s="122" t="n"/>
      <c r="C199" s="95" t="n"/>
      <c r="D199" s="95" t="n"/>
      <c r="E199" s="95" t="n"/>
      <c r="F199" s="95" t="n"/>
      <c r="G199" s="124" t="n"/>
    </row>
    <row r="200">
      <c r="A200" s="105" t="n"/>
      <c r="B200" s="122" t="n"/>
      <c r="C200" s="95" t="n"/>
      <c r="D200" s="95" t="n"/>
      <c r="E200" s="95" t="n"/>
      <c r="F200" s="95" t="n"/>
      <c r="G200" s="124" t="n"/>
    </row>
    <row r="201">
      <c r="A201" s="105" t="n"/>
      <c r="B201" s="122" t="n"/>
      <c r="C201" s="95" t="n"/>
      <c r="D201" s="95" t="n"/>
      <c r="E201" s="95" t="n"/>
      <c r="F201" s="95" t="n"/>
      <c r="G201" s="124" t="n"/>
    </row>
    <row r="202">
      <c r="A202" s="105" t="n"/>
      <c r="B202" s="122" t="n"/>
      <c r="C202" s="95" t="n"/>
      <c r="D202" s="95" t="n"/>
      <c r="E202" s="95" t="n"/>
      <c r="F202" s="95" t="n"/>
      <c r="G202" s="124" t="n"/>
    </row>
    <row r="203">
      <c r="A203" s="105" t="n"/>
      <c r="B203" s="122" t="n"/>
      <c r="C203" s="95" t="n"/>
      <c r="D203" s="95" t="n"/>
      <c r="E203" s="95" t="n"/>
      <c r="F203" s="95" t="n"/>
      <c r="G203" s="124" t="n"/>
    </row>
    <row r="204">
      <c r="A204" s="105" t="n"/>
      <c r="B204" s="122" t="n"/>
      <c r="C204" s="95" t="n"/>
      <c r="D204" s="95" t="n"/>
      <c r="E204" s="95" t="n"/>
      <c r="F204" s="95" t="n"/>
      <c r="G204" s="124" t="n"/>
    </row>
    <row r="205">
      <c r="A205" s="105" t="n"/>
      <c r="B205" s="122" t="n"/>
      <c r="C205" s="95" t="n"/>
      <c r="D205" s="95" t="n"/>
      <c r="E205" s="95" t="n"/>
      <c r="F205" s="95" t="n"/>
      <c r="G205" s="124" t="n"/>
    </row>
  </sheetData>
  <mergeCells count="2">
    <mergeCell ref="A2:G2"/>
    <mergeCell ref="A1:G1"/>
  </mergeCells>
  <dataValidations count="2">
    <dataValidation sqref="C6:C205" showDropDown="0" showInputMessage="0" showErrorMessage="0" allowBlank="1" type="list">
      <formula1>"AM,PM,NIGHT,WD"</formula1>
    </dataValidation>
    <dataValidation sqref="D6:D205" showDropDown="0" showInputMessage="0" showErrorMessage="0" allowBlank="1" type="list">
      <formula1>"Add flight,Change,Cancel,Other"</formula1>
    </dataValidation>
  </dataValidations>
  <pageMargins left="0.75" right="0.75" top="1" bottom="1" header="0.5" footer="0.5"/>
</worksheet>
</file>

<file path=xl/worksheets/sheet11.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0" customWidth="1" min="4" max="4"/>
    <col width="13" customWidth="1" min="5" max="5"/>
    <col width="44" customWidth="1" min="6" max="6"/>
    <col width="26" customWidth="1" min="7" max="7"/>
    <col width="9" customWidth="1" min="8" max="8"/>
  </cols>
  <sheetData>
    <row r="1" ht="30" customHeight="1">
      <c r="A1" s="1" t="inlineStr">
        <is>
          <t>SYLLABUS LOG  |  LOADMASTER</t>
        </is>
      </c>
      <c r="B1" s="2" t="n"/>
      <c r="C1" s="2" t="n"/>
      <c r="D1" s="2" t="n"/>
      <c r="E1" s="2" t="n"/>
      <c r="F1" s="2" t="n"/>
      <c r="G1" s="2" t="n"/>
      <c r="H1" s="2" t="n"/>
    </row>
    <row r="2" ht="18" customHeight="1">
      <c r="A2" s="3" t="inlineStr">
        <is>
          <t>One row per attempt at a syllabus item. Enter results on the dashboard (Planner &gt; Syllabus Tracking, or the Planner cell picker), or type a row here.</t>
        </is>
      </c>
      <c r="B2" s="2" t="n"/>
      <c r="C2" s="2" t="n"/>
      <c r="D2" s="2" t="n"/>
      <c r="E2" s="2" t="n"/>
      <c r="F2" s="2" t="n"/>
      <c r="G2" s="2" t="n"/>
      <c r="H2" s="2" t="n"/>
    </row>
    <row r="3">
      <c r="A3" s="82" t="inlineStr">
        <is>
          <t>Item Code = the Code column of the Syllabus Items sheet. Result Planned = linked to a plan cell (Date + Callsign + Shift) and not flown yet; only Pass / Fail count as attempts. Passing a stage never changes the Roster: update the Cat Status by hand once the paperwork is approved.</t>
        </is>
      </c>
    </row>
    <row r="5">
      <c r="A5" s="31" t="inlineStr">
        <is>
          <t>Date</t>
        </is>
      </c>
      <c r="B5" s="31" t="inlineStr">
        <is>
          <t>Callsign</t>
        </is>
      </c>
      <c r="C5" s="31" t="inlineStr">
        <is>
          <t>Item Code</t>
        </is>
      </c>
      <c r="D5" s="31" t="inlineStr">
        <is>
          <t>Result</t>
        </is>
      </c>
      <c r="E5" s="31" t="inlineStr">
        <is>
          <t>Instructor</t>
        </is>
      </c>
      <c r="F5" s="31" t="inlineStr">
        <is>
          <t>Remarks</t>
        </is>
      </c>
      <c r="G5" s="31" t="inlineStr">
        <is>
          <t>Crew Member</t>
        </is>
      </c>
      <c r="H5" s="31" t="inlineStr">
        <is>
          <t>Shift</t>
        </is>
      </c>
    </row>
    <row r="6">
      <c r="A6" s="122" t="n">
        <v>46231</v>
      </c>
      <c r="B6" s="105" t="inlineStr">
        <is>
          <t>OWL</t>
        </is>
      </c>
      <c r="C6" s="105" t="inlineStr">
        <is>
          <t>S2-O-INT1</t>
        </is>
      </c>
      <c r="D6" s="95" t="inlineStr">
        <is>
          <t>Pass</t>
        </is>
      </c>
      <c r="E6" s="95" t="inlineStr">
        <is>
          <t>VIPER</t>
        </is>
      </c>
      <c r="F6" s="95" t="inlineStr">
        <is>
          <t>Demo flight</t>
        </is>
      </c>
      <c r="G6" s="92">
        <f>IF(B6="","",IFERROR(INDEX(Roster!$C$6:$C$65,MATCH(B6,Roster!$B$6:$B$65,0)),"not on the Roster"))</f>
        <v/>
      </c>
      <c r="H6" s="95" t="n"/>
    </row>
    <row r="7">
      <c r="A7" s="122" t="n">
        <v>46238</v>
      </c>
      <c r="B7" s="105" t="inlineStr">
        <is>
          <t>OWL</t>
        </is>
      </c>
      <c r="C7" s="105" t="inlineStr">
        <is>
          <t>S2-O-INT2</t>
        </is>
      </c>
      <c r="D7" s="95" t="inlineStr">
        <is>
          <t>Pass</t>
        </is>
      </c>
      <c r="E7" s="95" t="inlineStr">
        <is>
          <t>VIPER</t>
        </is>
      </c>
      <c r="F7" s="95" t="n"/>
      <c r="G7" s="92">
        <f>IF(B7="","",IFERROR(INDEX(Roster!$C$6:$C$65,MATCH(B7,Roster!$B$6:$B$65,0)),"not on the Roster"))</f>
        <v/>
      </c>
      <c r="H7" s="95" t="n"/>
    </row>
    <row r="8">
      <c r="A8" s="122" t="n">
        <v>46240</v>
      </c>
      <c r="B8" s="105" t="inlineStr">
        <is>
          <t>OWL</t>
        </is>
      </c>
      <c r="C8" s="105" t="inlineStr">
        <is>
          <t>S2-O-INT3</t>
        </is>
      </c>
      <c r="D8" s="95" t="inlineStr">
        <is>
          <t>Pass</t>
        </is>
      </c>
      <c r="E8" s="95" t="inlineStr">
        <is>
          <t>VIPER</t>
        </is>
      </c>
      <c r="F8" s="95" t="n"/>
      <c r="G8" s="92">
        <f>IF(B8="","",IFERROR(INDEX(Roster!$C$6:$C$65,MATCH(B8,Roster!$B$6:$B$65,0)),"not on the Roster"))</f>
        <v/>
      </c>
      <c r="H8" s="95" t="n"/>
    </row>
    <row r="9">
      <c r="A9" s="122" t="n">
        <v>46245</v>
      </c>
      <c r="B9" s="105" t="inlineStr">
        <is>
          <t>OWL</t>
        </is>
      </c>
      <c r="C9" s="105" t="inlineStr">
        <is>
          <t>S2-O-SIM1</t>
        </is>
      </c>
      <c r="D9" s="95" t="inlineStr">
        <is>
          <t>Pass</t>
        </is>
      </c>
      <c r="E9" s="95" t="inlineStr">
        <is>
          <t>VIPER</t>
        </is>
      </c>
      <c r="F9" s="95" t="n"/>
      <c r="G9" s="92">
        <f>IF(B9="","",IFERROR(INDEX(Roster!$C$6:$C$65,MATCH(B9,Roster!$B$6:$B$65,0)),"not on the Roster"))</f>
        <v/>
      </c>
      <c r="H9" s="95" t="n"/>
    </row>
    <row r="10">
      <c r="A10" s="122" t="n">
        <v>46252</v>
      </c>
      <c r="B10" s="105" t="inlineStr">
        <is>
          <t>OWL</t>
        </is>
      </c>
      <c r="C10" s="105" t="inlineStr">
        <is>
          <t>S2-O-SIM2</t>
        </is>
      </c>
      <c r="D10" s="95" t="inlineStr">
        <is>
          <t>Pass</t>
        </is>
      </c>
      <c r="E10" s="95" t="inlineStr">
        <is>
          <t>HAWK</t>
        </is>
      </c>
      <c r="F10" s="95" t="n"/>
      <c r="G10" s="92">
        <f>IF(B10="","",IFERROR(INDEX(Roster!$C$6:$C$65,MATCH(B10,Roster!$B$6:$B$65,0)),"not on the Roster"))</f>
        <v/>
      </c>
      <c r="H10" s="95" t="n"/>
    </row>
    <row r="11">
      <c r="A11" s="122" t="n">
        <v>46259</v>
      </c>
      <c r="B11" s="105" t="inlineStr">
        <is>
          <t>OWL</t>
        </is>
      </c>
      <c r="C11" s="105" t="inlineStr">
        <is>
          <t>S2-O-SIM3</t>
        </is>
      </c>
      <c r="D11" s="95" t="inlineStr">
        <is>
          <t>Fail</t>
        </is>
      </c>
      <c r="E11" s="95" t="inlineStr">
        <is>
          <t>HAWK</t>
        </is>
      </c>
      <c r="F11" s="95" t="inlineStr">
        <is>
          <t>Surface picture lost after turn</t>
        </is>
      </c>
      <c r="G11" s="92">
        <f>IF(B11="","",IFERROR(INDEX(Roster!$C$6:$C$65,MATCH(B11,Roster!$B$6:$B$65,0)),"not on the Roster"))</f>
        <v/>
      </c>
      <c r="H11" s="95" t="n"/>
    </row>
    <row r="12">
      <c r="A12" s="122" t="n">
        <v>46266</v>
      </c>
      <c r="B12" s="105" t="inlineStr">
        <is>
          <t>OWL</t>
        </is>
      </c>
      <c r="C12" s="105" t="inlineStr">
        <is>
          <t>S2-O-SIM3</t>
        </is>
      </c>
      <c r="D12" s="95" t="inlineStr">
        <is>
          <t>Pass</t>
        </is>
      </c>
      <c r="E12" s="95" t="inlineStr">
        <is>
          <t>HAWK</t>
        </is>
      </c>
      <c r="F12" s="95" t="inlineStr">
        <is>
          <t>2nd attempt</t>
        </is>
      </c>
      <c r="G12" s="92">
        <f>IF(B12="","",IFERROR(INDEX(Roster!$C$6:$C$65,MATCH(B12,Roster!$B$6:$B$65,0)),"not on the Roster"))</f>
        <v/>
      </c>
      <c r="H12" s="95" t="n"/>
    </row>
    <row r="13">
      <c r="A13" s="122" t="n">
        <v>46273</v>
      </c>
      <c r="B13" s="105" t="inlineStr">
        <is>
          <t>OWL</t>
        </is>
      </c>
      <c r="C13" s="105" t="inlineStr">
        <is>
          <t>S2-O-SIMCHK</t>
        </is>
      </c>
      <c r="D13" s="95" t="inlineStr">
        <is>
          <t>Pass</t>
        </is>
      </c>
      <c r="E13" s="95" t="inlineStr">
        <is>
          <t>VIPER</t>
        </is>
      </c>
      <c r="F13" s="95" t="n"/>
      <c r="G13" s="92">
        <f>IF(B13="","",IFERROR(INDEX(Roster!$C$6:$C$65,MATCH(B13,Roster!$B$6:$B$65,0)),"not on the Roster"))</f>
        <v/>
      </c>
      <c r="H13" s="95" t="n"/>
    </row>
    <row r="14">
      <c r="A14" s="122" t="n">
        <v>46280</v>
      </c>
      <c r="B14" s="105" t="inlineStr">
        <is>
          <t>OWL</t>
        </is>
      </c>
      <c r="C14" s="105" t="inlineStr">
        <is>
          <t>S2-O-FLT1</t>
        </is>
      </c>
      <c r="D14" s="95" t="inlineStr">
        <is>
          <t>Pass</t>
        </is>
      </c>
      <c r="E14" s="95" t="inlineStr">
        <is>
          <t>VIPER</t>
        </is>
      </c>
      <c r="F14" s="95" t="n"/>
      <c r="G14" s="92">
        <f>IF(B14="","",IFERROR(INDEX(Roster!$C$6:$C$65,MATCH(B14,Roster!$B$6:$B$65,0)),"not on the Roster"))</f>
        <v/>
      </c>
      <c r="H14" s="95" t="n"/>
    </row>
    <row r="15">
      <c r="A15" s="122" t="n">
        <v>46303</v>
      </c>
      <c r="B15" s="105" t="inlineStr">
        <is>
          <t>OWL</t>
        </is>
      </c>
      <c r="C15" s="105" t="inlineStr">
        <is>
          <t>S2-O-FLT2</t>
        </is>
      </c>
      <c r="D15" s="95" t="inlineStr">
        <is>
          <t>Fail</t>
        </is>
      </c>
      <c r="E15" s="95" t="inlineStr">
        <is>
          <t>VIPER</t>
        </is>
      </c>
      <c r="F15" s="95" t="inlineStr">
        <is>
          <t>Weather recall, incomplete</t>
        </is>
      </c>
      <c r="G15" s="92">
        <f>IF(B15="","",IFERROR(INDEX(Roster!$C$6:$C$65,MATCH(B15,Roster!$B$6:$B$65,0)),"not on the Roster"))</f>
        <v/>
      </c>
      <c r="H15" s="95" t="n"/>
    </row>
    <row r="16">
      <c r="A16" s="122" t="n">
        <v>46308</v>
      </c>
      <c r="B16" s="105" t="inlineStr">
        <is>
          <t>OWL</t>
        </is>
      </c>
      <c r="C16" s="105" t="inlineStr">
        <is>
          <t>S2-O-FLT2</t>
        </is>
      </c>
      <c r="D16" s="95" t="inlineStr">
        <is>
          <t>Fail</t>
        </is>
      </c>
      <c r="E16" s="95" t="inlineStr">
        <is>
          <t>VIPER</t>
        </is>
      </c>
      <c r="F16" s="95" t="inlineStr">
        <is>
          <t>Radar picture not held</t>
        </is>
      </c>
      <c r="G16" s="92">
        <f>IF(B16="","",IFERROR(INDEX(Roster!$C$6:$C$65,MATCH(B16,Roster!$B$6:$B$65,0)),"not on the Roster"))</f>
        <v/>
      </c>
      <c r="H16" s="95" t="n"/>
    </row>
    <row r="17">
      <c r="A17" s="122" t="n">
        <v>46267</v>
      </c>
      <c r="B17" s="105" t="inlineStr">
        <is>
          <t>EAGLE</t>
        </is>
      </c>
      <c r="C17" s="105" t="inlineStr">
        <is>
          <t>S2-C-TTX1</t>
        </is>
      </c>
      <c r="D17" s="95" t="inlineStr">
        <is>
          <t>Pass</t>
        </is>
      </c>
      <c r="E17" s="95" t="inlineStr">
        <is>
          <t>HAWK</t>
        </is>
      </c>
      <c r="F17" s="95" t="n"/>
      <c r="G17" s="92">
        <f>IF(B17="","",IFERROR(INDEX(Roster!$C$6:$C$65,MATCH(B17,Roster!$B$6:$B$65,0)),"not on the Roster"))</f>
        <v/>
      </c>
      <c r="H17" s="95" t="n"/>
    </row>
    <row r="18">
      <c r="A18" s="122" t="n">
        <v>46274</v>
      </c>
      <c r="B18" s="105" t="inlineStr">
        <is>
          <t>EAGLE</t>
        </is>
      </c>
      <c r="C18" s="105" t="inlineStr">
        <is>
          <t>S2-C-SIM1</t>
        </is>
      </c>
      <c r="D18" s="95" t="inlineStr">
        <is>
          <t>Pass</t>
        </is>
      </c>
      <c r="E18" s="95" t="inlineStr">
        <is>
          <t>HAWK</t>
        </is>
      </c>
      <c r="F18" s="95" t="n"/>
      <c r="G18" s="92">
        <f>IF(B18="","",IFERROR(INDEX(Roster!$C$6:$C$65,MATCH(B18,Roster!$B$6:$B$65,0)),"not on the Roster"))</f>
        <v/>
      </c>
      <c r="H18" s="95" t="n"/>
    </row>
    <row r="19">
      <c r="A19" s="122" t="n">
        <v>46281</v>
      </c>
      <c r="B19" s="105" t="inlineStr">
        <is>
          <t>EAGLE</t>
        </is>
      </c>
      <c r="C19" s="105" t="inlineStr">
        <is>
          <t>S2-C-SIM2</t>
        </is>
      </c>
      <c r="D19" s="95" t="inlineStr">
        <is>
          <t>Pass</t>
        </is>
      </c>
      <c r="E19" s="95" t="inlineStr">
        <is>
          <t>HAWK</t>
        </is>
      </c>
      <c r="F19" s="95" t="n"/>
      <c r="G19" s="92">
        <f>IF(B19="","",IFERROR(INDEX(Roster!$C$6:$C$65,MATCH(B19,Roster!$B$6:$B$65,0)),"not on the Roster"))</f>
        <v/>
      </c>
      <c r="H19" s="95" t="n"/>
    </row>
    <row r="20">
      <c r="A20" s="122" t="n">
        <v>46301</v>
      </c>
      <c r="B20" s="105" t="inlineStr">
        <is>
          <t>EAGLE</t>
        </is>
      </c>
      <c r="C20" s="105" t="inlineStr">
        <is>
          <t>S2-C-FLT1</t>
        </is>
      </c>
      <c r="D20" s="95" t="inlineStr">
        <is>
          <t>Pass</t>
        </is>
      </c>
      <c r="E20" s="95" t="inlineStr">
        <is>
          <t>VIPER</t>
        </is>
      </c>
      <c r="F20" s="95" t="n"/>
      <c r="G20" s="92">
        <f>IF(B20="","",IFERROR(INDEX(Roster!$C$6:$C$65,MATCH(B20,Roster!$B$6:$B$65,0)),"not on the Roster"))</f>
        <v/>
      </c>
      <c r="H20" s="95" t="n"/>
    </row>
    <row r="21">
      <c r="A21" s="122" t="n">
        <v>46304</v>
      </c>
      <c r="B21" s="105" t="inlineStr">
        <is>
          <t>EAGLE</t>
        </is>
      </c>
      <c r="C21" s="105" t="inlineStr">
        <is>
          <t>S2-C-SAL1</t>
        </is>
      </c>
      <c r="D21" s="95" t="inlineStr">
        <is>
          <t>Pass</t>
        </is>
      </c>
      <c r="E21" s="95" t="inlineStr">
        <is>
          <t>HAWK</t>
        </is>
      </c>
      <c r="F21" s="95" t="n"/>
      <c r="G21" s="92">
        <f>IF(B21="","",IFERROR(INDEX(Roster!$C$6:$C$65,MATCH(B21,Roster!$B$6:$B$65,0)),"not on the Roster"))</f>
        <v/>
      </c>
      <c r="H21" s="95" t="n"/>
    </row>
    <row r="22">
      <c r="A22" s="122" t="n">
        <v>46210</v>
      </c>
      <c r="B22" s="105" t="inlineStr">
        <is>
          <t>FALCON</t>
        </is>
      </c>
      <c r="C22" s="105" t="inlineStr">
        <is>
          <t>S2-B-SIM1</t>
        </is>
      </c>
      <c r="D22" s="95" t="inlineStr">
        <is>
          <t>Pass</t>
        </is>
      </c>
      <c r="E22" s="95" t="inlineStr">
        <is>
          <t>HAWK</t>
        </is>
      </c>
      <c r="F22" s="95" t="n"/>
      <c r="G22" s="92">
        <f>IF(B22="","",IFERROR(INDEX(Roster!$C$6:$C$65,MATCH(B22,Roster!$B$6:$B$65,0)),"not on the Roster"))</f>
        <v/>
      </c>
      <c r="H22" s="95" t="n"/>
    </row>
    <row r="23">
      <c r="A23" s="122" t="n">
        <v>46217</v>
      </c>
      <c r="B23" s="105" t="inlineStr">
        <is>
          <t>FALCON</t>
        </is>
      </c>
      <c r="C23" s="105" t="inlineStr">
        <is>
          <t>S2-B-EIS1</t>
        </is>
      </c>
      <c r="D23" s="95" t="inlineStr">
        <is>
          <t>Pass</t>
        </is>
      </c>
      <c r="E23" s="95" t="inlineStr">
        <is>
          <t>HAWK</t>
        </is>
      </c>
      <c r="F23" s="95" t="n"/>
      <c r="G23" s="92">
        <f>IF(B23="","",IFERROR(INDEX(Roster!$C$6:$C$65,MATCH(B23,Roster!$B$6:$B$65,0)),"not on the Roster"))</f>
        <v/>
      </c>
      <c r="H23" s="95" t="n"/>
    </row>
    <row r="24">
      <c r="A24" s="122" t="n">
        <v>46224</v>
      </c>
      <c r="B24" s="105" t="inlineStr">
        <is>
          <t>FALCON</t>
        </is>
      </c>
      <c r="C24" s="105" t="inlineStr">
        <is>
          <t>S2-B-EIS2</t>
        </is>
      </c>
      <c r="D24" s="95" t="inlineStr">
        <is>
          <t>Fail</t>
        </is>
      </c>
      <c r="E24" s="95" t="inlineStr">
        <is>
          <t>VIPER</t>
        </is>
      </c>
      <c r="F24" s="95" t="inlineStr">
        <is>
          <t>Search pattern not completed</t>
        </is>
      </c>
      <c r="G24" s="92">
        <f>IF(B24="","",IFERROR(INDEX(Roster!$C$6:$C$65,MATCH(B24,Roster!$B$6:$B$65,0)),"not on the Roster"))</f>
        <v/>
      </c>
      <c r="H24" s="95" t="n"/>
    </row>
    <row r="25">
      <c r="A25" s="122" t="n">
        <v>46246</v>
      </c>
      <c r="B25" s="105" t="inlineStr">
        <is>
          <t>FALCON</t>
        </is>
      </c>
      <c r="C25" s="105" t="inlineStr">
        <is>
          <t>S2-B-EIS2</t>
        </is>
      </c>
      <c r="D25" s="95" t="inlineStr">
        <is>
          <t>Fail</t>
        </is>
      </c>
      <c r="E25" s="95" t="inlineStr">
        <is>
          <t>VIPER</t>
        </is>
      </c>
      <c r="F25" s="95" t="inlineStr">
        <is>
          <t>Comms procedure</t>
        </is>
      </c>
      <c r="G25" s="92">
        <f>IF(B25="","",IFERROR(INDEX(Roster!$C$6:$C$65,MATCH(B25,Roster!$B$6:$B$65,0)),"not on the Roster"))</f>
        <v/>
      </c>
      <c r="H25" s="95" t="n"/>
    </row>
    <row r="26">
      <c r="A26" s="122" t="n">
        <v>46274</v>
      </c>
      <c r="B26" s="105" t="inlineStr">
        <is>
          <t>FALCON</t>
        </is>
      </c>
      <c r="C26" s="105" t="inlineStr">
        <is>
          <t>S2-B-EIS2</t>
        </is>
      </c>
      <c r="D26" s="95" t="inlineStr">
        <is>
          <t>Fail</t>
        </is>
      </c>
      <c r="E26" s="95" t="inlineStr">
        <is>
          <t>HAWK</t>
        </is>
      </c>
      <c r="F26" s="95" t="inlineStr">
        <is>
          <t>Sensor handover late</t>
        </is>
      </c>
      <c r="G26" s="92">
        <f>IF(B26="","",IFERROR(INDEX(Roster!$C$6:$C$65,MATCH(B26,Roster!$B$6:$B$65,0)),"not on the Roster"))</f>
        <v/>
      </c>
      <c r="H26" s="95" t="n"/>
    </row>
    <row r="27">
      <c r="A27" s="122" t="n">
        <v>46147</v>
      </c>
      <c r="B27" s="105" t="inlineStr">
        <is>
          <t>RAPTOR</t>
        </is>
      </c>
      <c r="C27" s="105" t="inlineStr">
        <is>
          <t>S2-A-SIM1</t>
        </is>
      </c>
      <c r="D27" s="95" t="inlineStr">
        <is>
          <t>Pass</t>
        </is>
      </c>
      <c r="E27" s="95" t="inlineStr">
        <is>
          <t>VIPER</t>
        </is>
      </c>
      <c r="F27" s="95" t="n"/>
      <c r="G27" s="92">
        <f>IF(B27="","",IFERROR(INDEX(Roster!$C$6:$C$65,MATCH(B27,Roster!$B$6:$B$65,0)),"not on the Roster"))</f>
        <v/>
      </c>
      <c r="H27" s="95" t="n"/>
    </row>
    <row r="28">
      <c r="A28" s="122" t="n">
        <v>46154</v>
      </c>
      <c r="B28" s="105" t="inlineStr">
        <is>
          <t>RAPTOR</t>
        </is>
      </c>
      <c r="C28" s="105" t="inlineStr">
        <is>
          <t>S2-A-SIM2</t>
        </is>
      </c>
      <c r="D28" s="95" t="inlineStr">
        <is>
          <t>Pass</t>
        </is>
      </c>
      <c r="E28" s="95" t="inlineStr">
        <is>
          <t>VIPER</t>
        </is>
      </c>
      <c r="F28" s="95" t="n"/>
      <c r="G28" s="92">
        <f>IF(B28="","",IFERROR(INDEX(Roster!$C$6:$C$65,MATCH(B28,Roster!$B$6:$B$65,0)),"not on the Roster"))</f>
        <v/>
      </c>
      <c r="H28" s="95" t="n"/>
    </row>
    <row r="29">
      <c r="A29" s="122" t="n">
        <v>46161</v>
      </c>
      <c r="B29" s="105" t="inlineStr">
        <is>
          <t>RAPTOR</t>
        </is>
      </c>
      <c r="C29" s="105" t="inlineStr">
        <is>
          <t>S2-A-SIM3</t>
        </is>
      </c>
      <c r="D29" s="95" t="inlineStr">
        <is>
          <t>Pass</t>
        </is>
      </c>
      <c r="E29" s="95" t="inlineStr">
        <is>
          <t>VIPER</t>
        </is>
      </c>
      <c r="F29" s="95" t="n"/>
      <c r="G29" s="92">
        <f>IF(B29="","",IFERROR(INDEX(Roster!$C$6:$C$65,MATCH(B29,Roster!$B$6:$B$65,0)),"not on the Roster"))</f>
        <v/>
      </c>
      <c r="H29" s="95" t="n"/>
    </row>
    <row r="30">
      <c r="A30" s="122" t="n">
        <v>46178</v>
      </c>
      <c r="B30" s="105" t="inlineStr">
        <is>
          <t>RAPTOR</t>
        </is>
      </c>
      <c r="C30" s="105" t="inlineStr">
        <is>
          <t>S2-A-SIMCHK</t>
        </is>
      </c>
      <c r="D30" s="95" t="inlineStr">
        <is>
          <t>Pass</t>
        </is>
      </c>
      <c r="E30" s="95" t="inlineStr">
        <is>
          <t>VIPER</t>
        </is>
      </c>
      <c r="F30" s="95" t="n"/>
      <c r="G30" s="92">
        <f>IF(B30="","",IFERROR(INDEX(Roster!$C$6:$C$65,MATCH(B30,Roster!$B$6:$B$65,0)),"not on the Roster"))</f>
        <v/>
      </c>
      <c r="H30" s="95" t="n"/>
    </row>
    <row r="31">
      <c r="A31" s="122" t="n">
        <v>46185</v>
      </c>
      <c r="B31" s="105" t="inlineStr">
        <is>
          <t>RAPTOR</t>
        </is>
      </c>
      <c r="C31" s="105" t="inlineStr">
        <is>
          <t>S2-A-FLT1</t>
        </is>
      </c>
      <c r="D31" s="95" t="inlineStr">
        <is>
          <t>Pass</t>
        </is>
      </c>
      <c r="E31" s="95" t="inlineStr">
        <is>
          <t>VIPER</t>
        </is>
      </c>
      <c r="F31" s="95" t="n"/>
      <c r="G31" s="92">
        <f>IF(B31="","",IFERROR(INDEX(Roster!$C$6:$C$65,MATCH(B31,Roster!$B$6:$B$65,0)),"not on the Roster"))</f>
        <v/>
      </c>
      <c r="H31" s="95" t="n"/>
    </row>
    <row r="32">
      <c r="A32" s="122" t="n">
        <v>46192</v>
      </c>
      <c r="B32" s="105" t="inlineStr">
        <is>
          <t>RAPTOR</t>
        </is>
      </c>
      <c r="C32" s="105" t="inlineStr">
        <is>
          <t>S2-A-FLT2</t>
        </is>
      </c>
      <c r="D32" s="95" t="inlineStr">
        <is>
          <t>Pass</t>
        </is>
      </c>
      <c r="E32" s="95" t="inlineStr">
        <is>
          <t>VIPER</t>
        </is>
      </c>
      <c r="F32" s="95" t="n"/>
      <c r="G32" s="92">
        <f>IF(B32="","",IFERROR(INDEX(Roster!$C$6:$C$65,MATCH(B32,Roster!$B$6:$B$65,0)),"not on the Roster"))</f>
        <v/>
      </c>
      <c r="H32" s="95" t="n"/>
    </row>
    <row r="33">
      <c r="A33" s="122" t="n">
        <v>46208</v>
      </c>
      <c r="B33" s="105" t="inlineStr">
        <is>
          <t>RAPTOR</t>
        </is>
      </c>
      <c r="C33" s="105" t="inlineStr">
        <is>
          <t>S2-A-FLT3</t>
        </is>
      </c>
      <c r="D33" s="95" t="inlineStr">
        <is>
          <t>Pass</t>
        </is>
      </c>
      <c r="E33" s="95" t="inlineStr">
        <is>
          <t>VIPER</t>
        </is>
      </c>
      <c r="F33" s="95" t="n"/>
      <c r="G33" s="92">
        <f>IF(B33="","",IFERROR(INDEX(Roster!$C$6:$C$65,MATCH(B33,Roster!$B$6:$B$65,0)),"not on the Roster"))</f>
        <v/>
      </c>
      <c r="H33" s="95" t="n"/>
    </row>
    <row r="34">
      <c r="A34" s="122" t="n">
        <v>46215</v>
      </c>
      <c r="B34" s="105" t="inlineStr">
        <is>
          <t>RAPTOR</t>
        </is>
      </c>
      <c r="C34" s="105" t="inlineStr">
        <is>
          <t>S2-A-FLTCHK</t>
        </is>
      </c>
      <c r="D34" s="95" t="inlineStr">
        <is>
          <t>Pass</t>
        </is>
      </c>
      <c r="E34" s="95" t="inlineStr">
        <is>
          <t>VIPER</t>
        </is>
      </c>
      <c r="F34" s="95" t="inlineStr">
        <is>
          <t>Check passed. Paperwork to the CO</t>
        </is>
      </c>
      <c r="G34" s="92">
        <f>IF(B34="","",IFERROR(INDEX(Roster!$C$6:$C$65,MATCH(B34,Roster!$B$6:$B$65,0)),"not on the Roster"))</f>
        <v/>
      </c>
      <c r="H34" s="95" t="n"/>
    </row>
    <row r="35">
      <c r="A35" s="122" t="n">
        <v>46322</v>
      </c>
      <c r="B35" s="105" t="inlineStr">
        <is>
          <t>OWL</t>
        </is>
      </c>
      <c r="C35" s="105" t="inlineStr">
        <is>
          <t>S2-O-FLT2</t>
        </is>
      </c>
      <c r="D35" s="95" t="inlineStr">
        <is>
          <t>Planned</t>
        </is>
      </c>
      <c r="E35" s="95" t="n"/>
      <c r="F35" s="95" t="n"/>
      <c r="G35" s="92">
        <f>IF(B35="","",IFERROR(INDEX(Roster!$C$6:$C$65,MATCH(B35,Roster!$B$6:$B$65,0)),"not on the Roster"))</f>
        <v/>
      </c>
      <c r="H35" s="95" t="inlineStr">
        <is>
          <t>NIGHT</t>
        </is>
      </c>
    </row>
    <row r="36">
      <c r="A36" s="122" t="n"/>
      <c r="B36" s="105" t="n"/>
      <c r="C36" s="105" t="n"/>
      <c r="D36" s="95" t="n"/>
      <c r="E36" s="95" t="n"/>
      <c r="F36" s="95" t="n"/>
      <c r="G36" s="92">
        <f>IF(B36="","",IFERROR(INDEX(Roster!$C$6:$C$65,MATCH(B36,Roster!$B$6:$B$65,0)),"not on the Roster"))</f>
        <v/>
      </c>
      <c r="H36" s="95" t="n"/>
    </row>
    <row r="37">
      <c r="A37" s="122" t="n"/>
      <c r="B37" s="105" t="n"/>
      <c r="C37" s="105" t="n"/>
      <c r="D37" s="95" t="n"/>
      <c r="E37" s="95" t="n"/>
      <c r="F37" s="95" t="n"/>
      <c r="G37" s="92">
        <f>IF(B37="","",IFERROR(INDEX(Roster!$C$6:$C$65,MATCH(B37,Roster!$B$6:$B$65,0)),"not on the Roster"))</f>
        <v/>
      </c>
      <c r="H37" s="95" t="n"/>
    </row>
    <row r="38">
      <c r="A38" s="122" t="n"/>
      <c r="B38" s="105" t="n"/>
      <c r="C38" s="105" t="n"/>
      <c r="D38" s="95" t="n"/>
      <c r="E38" s="95" t="n"/>
      <c r="F38" s="95" t="n"/>
      <c r="G38" s="92">
        <f>IF(B38="","",IFERROR(INDEX(Roster!$C$6:$C$65,MATCH(B38,Roster!$B$6:$B$65,0)),"not on the Roster"))</f>
        <v/>
      </c>
      <c r="H38" s="95" t="n"/>
    </row>
    <row r="39">
      <c r="A39" s="122" t="n"/>
      <c r="B39" s="105" t="n"/>
      <c r="C39" s="105" t="n"/>
      <c r="D39" s="95" t="n"/>
      <c r="E39" s="95" t="n"/>
      <c r="F39" s="95" t="n"/>
      <c r="G39" s="92">
        <f>IF(B39="","",IFERROR(INDEX(Roster!$C$6:$C$65,MATCH(B39,Roster!$B$6:$B$65,0)),"not on the Roster"))</f>
        <v/>
      </c>
      <c r="H39" s="95" t="n"/>
    </row>
    <row r="40">
      <c r="A40" s="122" t="n"/>
      <c r="B40" s="105" t="n"/>
      <c r="C40" s="105" t="n"/>
      <c r="D40" s="95" t="n"/>
      <c r="E40" s="95" t="n"/>
      <c r="F40" s="95" t="n"/>
      <c r="G40" s="92">
        <f>IF(B40="","",IFERROR(INDEX(Roster!$C$6:$C$65,MATCH(B40,Roster!$B$6:$B$65,0)),"not on the Roster"))</f>
        <v/>
      </c>
      <c r="H40" s="95" t="n"/>
    </row>
    <row r="41">
      <c r="A41" s="122" t="n"/>
      <c r="B41" s="105" t="n"/>
      <c r="C41" s="105" t="n"/>
      <c r="D41" s="95" t="n"/>
      <c r="E41" s="95" t="n"/>
      <c r="F41" s="95" t="n"/>
      <c r="G41" s="92">
        <f>IF(B41="","",IFERROR(INDEX(Roster!$C$6:$C$65,MATCH(B41,Roster!$B$6:$B$65,0)),"not on the Roster"))</f>
        <v/>
      </c>
      <c r="H41" s="95" t="n"/>
    </row>
    <row r="42">
      <c r="A42" s="122" t="n"/>
      <c r="B42" s="105" t="n"/>
      <c r="C42" s="105" t="n"/>
      <c r="D42" s="95" t="n"/>
      <c r="E42" s="95" t="n"/>
      <c r="F42" s="95" t="n"/>
      <c r="G42" s="92">
        <f>IF(B42="","",IFERROR(INDEX(Roster!$C$6:$C$65,MATCH(B42,Roster!$B$6:$B$65,0)),"not on the Roster"))</f>
        <v/>
      </c>
      <c r="H42" s="95" t="n"/>
    </row>
    <row r="43">
      <c r="A43" s="122" t="n"/>
      <c r="B43" s="105" t="n"/>
      <c r="C43" s="105" t="n"/>
      <c r="D43" s="95" t="n"/>
      <c r="E43" s="95" t="n"/>
      <c r="F43" s="95" t="n"/>
      <c r="G43" s="92">
        <f>IF(B43="","",IFERROR(INDEX(Roster!$C$6:$C$65,MATCH(B43,Roster!$B$6:$B$65,0)),"not on the Roster"))</f>
        <v/>
      </c>
      <c r="H43" s="95" t="n"/>
    </row>
    <row r="44">
      <c r="A44" s="122" t="n"/>
      <c r="B44" s="105" t="n"/>
      <c r="C44" s="105" t="n"/>
      <c r="D44" s="95" t="n"/>
      <c r="E44" s="95" t="n"/>
      <c r="F44" s="95" t="n"/>
      <c r="G44" s="92">
        <f>IF(B44="","",IFERROR(INDEX(Roster!$C$6:$C$65,MATCH(B44,Roster!$B$6:$B$65,0)),"not on the Roster"))</f>
        <v/>
      </c>
      <c r="H44" s="95" t="n"/>
    </row>
    <row r="45">
      <c r="A45" s="122" t="n"/>
      <c r="B45" s="105" t="n"/>
      <c r="C45" s="105" t="n"/>
      <c r="D45" s="95" t="n"/>
      <c r="E45" s="95" t="n"/>
      <c r="F45" s="95" t="n"/>
      <c r="G45" s="92">
        <f>IF(B45="","",IFERROR(INDEX(Roster!$C$6:$C$65,MATCH(B45,Roster!$B$6:$B$65,0)),"not on the Roster"))</f>
        <v/>
      </c>
      <c r="H45" s="95" t="n"/>
    </row>
    <row r="46">
      <c r="A46" s="122" t="n"/>
      <c r="B46" s="105" t="n"/>
      <c r="C46" s="105" t="n"/>
      <c r="D46" s="95" t="n"/>
      <c r="E46" s="95" t="n"/>
      <c r="F46" s="95" t="n"/>
      <c r="G46" s="92">
        <f>IF(B46="","",IFERROR(INDEX(Roster!$C$6:$C$65,MATCH(B46,Roster!$B$6:$B$65,0)),"not on the Roster"))</f>
        <v/>
      </c>
      <c r="H46" s="95" t="n"/>
    </row>
    <row r="47">
      <c r="A47" s="122" t="n"/>
      <c r="B47" s="105" t="n"/>
      <c r="C47" s="105" t="n"/>
      <c r="D47" s="95" t="n"/>
      <c r="E47" s="95" t="n"/>
      <c r="F47" s="95" t="n"/>
      <c r="G47" s="92">
        <f>IF(B47="","",IFERROR(INDEX(Roster!$C$6:$C$65,MATCH(B47,Roster!$B$6:$B$65,0)),"not on the Roster"))</f>
        <v/>
      </c>
      <c r="H47" s="95" t="n"/>
    </row>
    <row r="48">
      <c r="A48" s="122" t="n"/>
      <c r="B48" s="105" t="n"/>
      <c r="C48" s="105" t="n"/>
      <c r="D48" s="95" t="n"/>
      <c r="E48" s="95" t="n"/>
      <c r="F48" s="95" t="n"/>
      <c r="G48" s="92">
        <f>IF(B48="","",IFERROR(INDEX(Roster!$C$6:$C$65,MATCH(B48,Roster!$B$6:$B$65,0)),"not on the Roster"))</f>
        <v/>
      </c>
      <c r="H48" s="95" t="n"/>
    </row>
    <row r="49">
      <c r="A49" s="122" t="n"/>
      <c r="B49" s="105" t="n"/>
      <c r="C49" s="105" t="n"/>
      <c r="D49" s="95" t="n"/>
      <c r="E49" s="95" t="n"/>
      <c r="F49" s="95" t="n"/>
      <c r="G49" s="92">
        <f>IF(B49="","",IFERROR(INDEX(Roster!$C$6:$C$65,MATCH(B49,Roster!$B$6:$B$65,0)),"not on the Roster"))</f>
        <v/>
      </c>
      <c r="H49" s="95" t="n"/>
    </row>
    <row r="50">
      <c r="A50" s="122" t="n"/>
      <c r="B50" s="105" t="n"/>
      <c r="C50" s="105" t="n"/>
      <c r="D50" s="95" t="n"/>
      <c r="E50" s="95" t="n"/>
      <c r="F50" s="95" t="n"/>
      <c r="G50" s="92">
        <f>IF(B50="","",IFERROR(INDEX(Roster!$C$6:$C$65,MATCH(B50,Roster!$B$6:$B$65,0)),"not on the Roster"))</f>
        <v/>
      </c>
      <c r="H50" s="95" t="n"/>
    </row>
    <row r="51">
      <c r="A51" s="122" t="n"/>
      <c r="B51" s="105" t="n"/>
      <c r="C51" s="105" t="n"/>
      <c r="D51" s="95" t="n"/>
      <c r="E51" s="95" t="n"/>
      <c r="F51" s="95" t="n"/>
      <c r="G51" s="92">
        <f>IF(B51="","",IFERROR(INDEX(Roster!$C$6:$C$65,MATCH(B51,Roster!$B$6:$B$65,0)),"not on the Roster"))</f>
        <v/>
      </c>
      <c r="H51" s="95" t="n"/>
    </row>
    <row r="52">
      <c r="A52" s="122" t="n"/>
      <c r="B52" s="105" t="n"/>
      <c r="C52" s="105" t="n"/>
      <c r="D52" s="95" t="n"/>
      <c r="E52" s="95" t="n"/>
      <c r="F52" s="95" t="n"/>
      <c r="G52" s="92">
        <f>IF(B52="","",IFERROR(INDEX(Roster!$C$6:$C$65,MATCH(B52,Roster!$B$6:$B$65,0)),"not on the Roster"))</f>
        <v/>
      </c>
      <c r="H52" s="95" t="n"/>
    </row>
    <row r="53">
      <c r="A53" s="122" t="n"/>
      <c r="B53" s="105" t="n"/>
      <c r="C53" s="105" t="n"/>
      <c r="D53" s="95" t="n"/>
      <c r="E53" s="95" t="n"/>
      <c r="F53" s="95" t="n"/>
      <c r="G53" s="92">
        <f>IF(B53="","",IFERROR(INDEX(Roster!$C$6:$C$65,MATCH(B53,Roster!$B$6:$B$65,0)),"not on the Roster"))</f>
        <v/>
      </c>
      <c r="H53" s="95" t="n"/>
    </row>
    <row r="54">
      <c r="A54" s="122" t="n"/>
      <c r="B54" s="105" t="n"/>
      <c r="C54" s="105" t="n"/>
      <c r="D54" s="95" t="n"/>
      <c r="E54" s="95" t="n"/>
      <c r="F54" s="95" t="n"/>
      <c r="G54" s="92">
        <f>IF(B54="","",IFERROR(INDEX(Roster!$C$6:$C$65,MATCH(B54,Roster!$B$6:$B$65,0)),"not on the Roster"))</f>
        <v/>
      </c>
      <c r="H54" s="95" t="n"/>
    </row>
    <row r="55">
      <c r="A55" s="122" t="n"/>
      <c r="B55" s="105" t="n"/>
      <c r="C55" s="105" t="n"/>
      <c r="D55" s="95" t="n"/>
      <c r="E55" s="95" t="n"/>
      <c r="F55" s="95" t="n"/>
      <c r="G55" s="92">
        <f>IF(B55="","",IFERROR(INDEX(Roster!$C$6:$C$65,MATCH(B55,Roster!$B$6:$B$65,0)),"not on the Roster"))</f>
        <v/>
      </c>
      <c r="H55" s="95" t="n"/>
    </row>
    <row r="56">
      <c r="A56" s="122" t="n"/>
      <c r="B56" s="105" t="n"/>
      <c r="C56" s="105" t="n"/>
      <c r="D56" s="95" t="n"/>
      <c r="E56" s="95" t="n"/>
      <c r="F56" s="95" t="n"/>
      <c r="G56" s="92">
        <f>IF(B56="","",IFERROR(INDEX(Roster!$C$6:$C$65,MATCH(B56,Roster!$B$6:$B$65,0)),"not on the Roster"))</f>
        <v/>
      </c>
      <c r="H56" s="95" t="n"/>
    </row>
    <row r="57">
      <c r="A57" s="122" t="n"/>
      <c r="B57" s="105" t="n"/>
      <c r="C57" s="105" t="n"/>
      <c r="D57" s="95" t="n"/>
      <c r="E57" s="95" t="n"/>
      <c r="F57" s="95" t="n"/>
      <c r="G57" s="92">
        <f>IF(B57="","",IFERROR(INDEX(Roster!$C$6:$C$65,MATCH(B57,Roster!$B$6:$B$65,0)),"not on the Roster"))</f>
        <v/>
      </c>
      <c r="H57" s="95" t="n"/>
    </row>
    <row r="58">
      <c r="A58" s="122" t="n"/>
      <c r="B58" s="105" t="n"/>
      <c r="C58" s="105" t="n"/>
      <c r="D58" s="95" t="n"/>
      <c r="E58" s="95" t="n"/>
      <c r="F58" s="95" t="n"/>
      <c r="G58" s="92">
        <f>IF(B58="","",IFERROR(INDEX(Roster!$C$6:$C$65,MATCH(B58,Roster!$B$6:$B$65,0)),"not on the Roster"))</f>
        <v/>
      </c>
      <c r="H58" s="95" t="n"/>
    </row>
    <row r="59">
      <c r="A59" s="122" t="n"/>
      <c r="B59" s="105" t="n"/>
      <c r="C59" s="105" t="n"/>
      <c r="D59" s="95" t="n"/>
      <c r="E59" s="95" t="n"/>
      <c r="F59" s="95" t="n"/>
      <c r="G59" s="92">
        <f>IF(B59="","",IFERROR(INDEX(Roster!$C$6:$C$65,MATCH(B59,Roster!$B$6:$B$65,0)),"not on the Roster"))</f>
        <v/>
      </c>
      <c r="H59" s="95" t="n"/>
    </row>
    <row r="60">
      <c r="A60" s="122" t="n"/>
      <c r="B60" s="105" t="n"/>
      <c r="C60" s="105" t="n"/>
      <c r="D60" s="95" t="n"/>
      <c r="E60" s="95" t="n"/>
      <c r="F60" s="95" t="n"/>
      <c r="G60" s="92">
        <f>IF(B60="","",IFERROR(INDEX(Roster!$C$6:$C$65,MATCH(B60,Roster!$B$6:$B$65,0)),"not on the Roster"))</f>
        <v/>
      </c>
      <c r="H60" s="95" t="n"/>
    </row>
    <row r="61">
      <c r="A61" s="122" t="n"/>
      <c r="B61" s="105" t="n"/>
      <c r="C61" s="105" t="n"/>
      <c r="D61" s="95" t="n"/>
      <c r="E61" s="95" t="n"/>
      <c r="F61" s="95" t="n"/>
      <c r="G61" s="92">
        <f>IF(B61="","",IFERROR(INDEX(Roster!$C$6:$C$65,MATCH(B61,Roster!$B$6:$B$65,0)),"not on the Roster"))</f>
        <v/>
      </c>
      <c r="H61" s="95" t="n"/>
    </row>
    <row r="62">
      <c r="A62" s="122" t="n"/>
      <c r="B62" s="105" t="n"/>
      <c r="C62" s="105" t="n"/>
      <c r="D62" s="95" t="n"/>
      <c r="E62" s="95" t="n"/>
      <c r="F62" s="95" t="n"/>
      <c r="G62" s="92">
        <f>IF(B62="","",IFERROR(INDEX(Roster!$C$6:$C$65,MATCH(B62,Roster!$B$6:$B$65,0)),"not on the Roster"))</f>
        <v/>
      </c>
      <c r="H62" s="95" t="n"/>
    </row>
    <row r="63">
      <c r="A63" s="122" t="n"/>
      <c r="B63" s="105" t="n"/>
      <c r="C63" s="105" t="n"/>
      <c r="D63" s="95" t="n"/>
      <c r="E63" s="95" t="n"/>
      <c r="F63" s="95" t="n"/>
      <c r="G63" s="92">
        <f>IF(B63="","",IFERROR(INDEX(Roster!$C$6:$C$65,MATCH(B63,Roster!$B$6:$B$65,0)),"not on the Roster"))</f>
        <v/>
      </c>
      <c r="H63" s="95" t="n"/>
    </row>
    <row r="64">
      <c r="A64" s="122" t="n"/>
      <c r="B64" s="105" t="n"/>
      <c r="C64" s="105" t="n"/>
      <c r="D64" s="95" t="n"/>
      <c r="E64" s="95" t="n"/>
      <c r="F64" s="95" t="n"/>
      <c r="G64" s="92">
        <f>IF(B64="","",IFERROR(INDEX(Roster!$C$6:$C$65,MATCH(B64,Roster!$B$6:$B$65,0)),"not on the Roster"))</f>
        <v/>
      </c>
      <c r="H64" s="95" t="n"/>
    </row>
    <row r="65">
      <c r="A65" s="122" t="n"/>
      <c r="B65" s="105" t="n"/>
      <c r="C65" s="105" t="n"/>
      <c r="D65" s="95" t="n"/>
      <c r="E65" s="95" t="n"/>
      <c r="F65" s="95" t="n"/>
      <c r="G65" s="92">
        <f>IF(B65="","",IFERROR(INDEX(Roster!$C$6:$C$65,MATCH(B65,Roster!$B$6:$B$65,0)),"not on the Roster"))</f>
        <v/>
      </c>
      <c r="H65" s="95" t="n"/>
    </row>
    <row r="66">
      <c r="A66" s="122" t="n"/>
      <c r="B66" s="105" t="n"/>
      <c r="C66" s="105" t="n"/>
      <c r="D66" s="95" t="n"/>
      <c r="E66" s="95" t="n"/>
      <c r="F66" s="95" t="n"/>
      <c r="G66" s="92">
        <f>IF(B66="","",IFERROR(INDEX(Roster!$C$6:$C$65,MATCH(B66,Roster!$B$6:$B$65,0)),"not on the Roster"))</f>
        <v/>
      </c>
      <c r="H66" s="95" t="n"/>
    </row>
    <row r="67">
      <c r="A67" s="122" t="n"/>
      <c r="B67" s="105" t="n"/>
      <c r="C67" s="105" t="n"/>
      <c r="D67" s="95" t="n"/>
      <c r="E67" s="95" t="n"/>
      <c r="F67" s="95" t="n"/>
      <c r="G67" s="92">
        <f>IF(B67="","",IFERROR(INDEX(Roster!$C$6:$C$65,MATCH(B67,Roster!$B$6:$B$65,0)),"not on the Roster"))</f>
        <v/>
      </c>
      <c r="H67" s="95" t="n"/>
    </row>
    <row r="68">
      <c r="A68" s="122" t="n"/>
      <c r="B68" s="105" t="n"/>
      <c r="C68" s="105" t="n"/>
      <c r="D68" s="95" t="n"/>
      <c r="E68" s="95" t="n"/>
      <c r="F68" s="95" t="n"/>
      <c r="G68" s="92">
        <f>IF(B68="","",IFERROR(INDEX(Roster!$C$6:$C$65,MATCH(B68,Roster!$B$6:$B$65,0)),"not on the Roster"))</f>
        <v/>
      </c>
      <c r="H68" s="95" t="n"/>
    </row>
    <row r="69">
      <c r="A69" s="122" t="n"/>
      <c r="B69" s="105" t="n"/>
      <c r="C69" s="105" t="n"/>
      <c r="D69" s="95" t="n"/>
      <c r="E69" s="95" t="n"/>
      <c r="F69" s="95" t="n"/>
      <c r="G69" s="92">
        <f>IF(B69="","",IFERROR(INDEX(Roster!$C$6:$C$65,MATCH(B69,Roster!$B$6:$B$65,0)),"not on the Roster"))</f>
        <v/>
      </c>
      <c r="H69" s="95" t="n"/>
    </row>
    <row r="70">
      <c r="A70" s="122" t="n"/>
      <c r="B70" s="105" t="n"/>
      <c r="C70" s="105" t="n"/>
      <c r="D70" s="95" t="n"/>
      <c r="E70" s="95" t="n"/>
      <c r="F70" s="95" t="n"/>
      <c r="G70" s="92">
        <f>IF(B70="","",IFERROR(INDEX(Roster!$C$6:$C$65,MATCH(B70,Roster!$B$6:$B$65,0)),"not on the Roster"))</f>
        <v/>
      </c>
      <c r="H70" s="95" t="n"/>
    </row>
    <row r="71">
      <c r="A71" s="122" t="n"/>
      <c r="B71" s="105" t="n"/>
      <c r="C71" s="105" t="n"/>
      <c r="D71" s="95" t="n"/>
      <c r="E71" s="95" t="n"/>
      <c r="F71" s="95" t="n"/>
      <c r="G71" s="92">
        <f>IF(B71="","",IFERROR(INDEX(Roster!$C$6:$C$65,MATCH(B71,Roster!$B$6:$B$65,0)),"not on the Roster"))</f>
        <v/>
      </c>
      <c r="H71" s="95" t="n"/>
    </row>
    <row r="72">
      <c r="A72" s="122" t="n"/>
      <c r="B72" s="105" t="n"/>
      <c r="C72" s="105" t="n"/>
      <c r="D72" s="95" t="n"/>
      <c r="E72" s="95" t="n"/>
      <c r="F72" s="95" t="n"/>
      <c r="G72" s="92">
        <f>IF(B72="","",IFERROR(INDEX(Roster!$C$6:$C$65,MATCH(B72,Roster!$B$6:$B$65,0)),"not on the Roster"))</f>
        <v/>
      </c>
      <c r="H72" s="95" t="n"/>
    </row>
    <row r="73">
      <c r="A73" s="122" t="n"/>
      <c r="B73" s="105" t="n"/>
      <c r="C73" s="105" t="n"/>
      <c r="D73" s="95" t="n"/>
      <c r="E73" s="95" t="n"/>
      <c r="F73" s="95" t="n"/>
      <c r="G73" s="92">
        <f>IF(B73="","",IFERROR(INDEX(Roster!$C$6:$C$65,MATCH(B73,Roster!$B$6:$B$65,0)),"not on the Roster"))</f>
        <v/>
      </c>
      <c r="H73" s="95" t="n"/>
    </row>
    <row r="74">
      <c r="A74" s="122" t="n"/>
      <c r="B74" s="105" t="n"/>
      <c r="C74" s="105" t="n"/>
      <c r="D74" s="95" t="n"/>
      <c r="E74" s="95" t="n"/>
      <c r="F74" s="95" t="n"/>
      <c r="G74" s="92">
        <f>IF(B74="","",IFERROR(INDEX(Roster!$C$6:$C$65,MATCH(B74,Roster!$B$6:$B$65,0)),"not on the Roster"))</f>
        <v/>
      </c>
      <c r="H74" s="95" t="n"/>
    </row>
    <row r="75">
      <c r="A75" s="122" t="n"/>
      <c r="B75" s="105" t="n"/>
      <c r="C75" s="105" t="n"/>
      <c r="D75" s="95" t="n"/>
      <c r="E75" s="95" t="n"/>
      <c r="F75" s="95" t="n"/>
      <c r="G75" s="92">
        <f>IF(B75="","",IFERROR(INDEX(Roster!$C$6:$C$65,MATCH(B75,Roster!$B$6:$B$65,0)),"not on the Roster"))</f>
        <v/>
      </c>
      <c r="H75" s="95" t="n"/>
    </row>
    <row r="76">
      <c r="A76" s="122" t="n"/>
      <c r="B76" s="105" t="n"/>
      <c r="C76" s="105" t="n"/>
      <c r="D76" s="95" t="n"/>
      <c r="E76" s="95" t="n"/>
      <c r="F76" s="95" t="n"/>
      <c r="G76" s="92">
        <f>IF(B76="","",IFERROR(INDEX(Roster!$C$6:$C$65,MATCH(B76,Roster!$B$6:$B$65,0)),"not on the Roster"))</f>
        <v/>
      </c>
      <c r="H76" s="95" t="n"/>
    </row>
    <row r="77">
      <c r="A77" s="122" t="n"/>
      <c r="B77" s="105" t="n"/>
      <c r="C77" s="105" t="n"/>
      <c r="D77" s="95" t="n"/>
      <c r="E77" s="95" t="n"/>
      <c r="F77" s="95" t="n"/>
      <c r="G77" s="92">
        <f>IF(B77="","",IFERROR(INDEX(Roster!$C$6:$C$65,MATCH(B77,Roster!$B$6:$B$65,0)),"not on the Roster"))</f>
        <v/>
      </c>
      <c r="H77" s="95" t="n"/>
    </row>
    <row r="78">
      <c r="A78" s="122" t="n"/>
      <c r="B78" s="105" t="n"/>
      <c r="C78" s="105" t="n"/>
      <c r="D78" s="95" t="n"/>
      <c r="E78" s="95" t="n"/>
      <c r="F78" s="95" t="n"/>
      <c r="G78" s="92">
        <f>IF(B78="","",IFERROR(INDEX(Roster!$C$6:$C$65,MATCH(B78,Roster!$B$6:$B$65,0)),"not on the Roster"))</f>
        <v/>
      </c>
      <c r="H78" s="95" t="n"/>
    </row>
    <row r="79">
      <c r="A79" s="122" t="n"/>
      <c r="B79" s="105" t="n"/>
      <c r="C79" s="105" t="n"/>
      <c r="D79" s="95" t="n"/>
      <c r="E79" s="95" t="n"/>
      <c r="F79" s="95" t="n"/>
      <c r="G79" s="92">
        <f>IF(B79="","",IFERROR(INDEX(Roster!$C$6:$C$65,MATCH(B79,Roster!$B$6:$B$65,0)),"not on the Roster"))</f>
        <v/>
      </c>
      <c r="H79" s="95" t="n"/>
    </row>
    <row r="80">
      <c r="A80" s="122" t="n"/>
      <c r="B80" s="105" t="n"/>
      <c r="C80" s="105" t="n"/>
      <c r="D80" s="95" t="n"/>
      <c r="E80" s="95" t="n"/>
      <c r="F80" s="95" t="n"/>
      <c r="G80" s="92">
        <f>IF(B80="","",IFERROR(INDEX(Roster!$C$6:$C$65,MATCH(B80,Roster!$B$6:$B$65,0)),"not on the Roster"))</f>
        <v/>
      </c>
      <c r="H80" s="95" t="n"/>
    </row>
    <row r="81">
      <c r="A81" s="122" t="n"/>
      <c r="B81" s="105" t="n"/>
      <c r="C81" s="105" t="n"/>
      <c r="D81" s="95" t="n"/>
      <c r="E81" s="95" t="n"/>
      <c r="F81" s="95" t="n"/>
      <c r="G81" s="92">
        <f>IF(B81="","",IFERROR(INDEX(Roster!$C$6:$C$65,MATCH(B81,Roster!$B$6:$B$65,0)),"not on the Roster"))</f>
        <v/>
      </c>
      <c r="H81" s="95" t="n"/>
    </row>
    <row r="82">
      <c r="A82" s="122" t="n"/>
      <c r="B82" s="105" t="n"/>
      <c r="C82" s="105" t="n"/>
      <c r="D82" s="95" t="n"/>
      <c r="E82" s="95" t="n"/>
      <c r="F82" s="95" t="n"/>
      <c r="G82" s="92">
        <f>IF(B82="","",IFERROR(INDEX(Roster!$C$6:$C$65,MATCH(B82,Roster!$B$6:$B$65,0)),"not on the Roster"))</f>
        <v/>
      </c>
      <c r="H82" s="95" t="n"/>
    </row>
    <row r="83">
      <c r="A83" s="122" t="n"/>
      <c r="B83" s="105" t="n"/>
      <c r="C83" s="105" t="n"/>
      <c r="D83" s="95" t="n"/>
      <c r="E83" s="95" t="n"/>
      <c r="F83" s="95" t="n"/>
      <c r="G83" s="92">
        <f>IF(B83="","",IFERROR(INDEX(Roster!$C$6:$C$65,MATCH(B83,Roster!$B$6:$B$65,0)),"not on the Roster"))</f>
        <v/>
      </c>
      <c r="H83" s="95" t="n"/>
    </row>
    <row r="84">
      <c r="A84" s="122" t="n"/>
      <c r="B84" s="105" t="n"/>
      <c r="C84" s="105" t="n"/>
      <c r="D84" s="95" t="n"/>
      <c r="E84" s="95" t="n"/>
      <c r="F84" s="95" t="n"/>
      <c r="G84" s="92">
        <f>IF(B84="","",IFERROR(INDEX(Roster!$C$6:$C$65,MATCH(B84,Roster!$B$6:$B$65,0)),"not on the Roster"))</f>
        <v/>
      </c>
      <c r="H84" s="95" t="n"/>
    </row>
    <row r="85">
      <c r="A85" s="122" t="n"/>
      <c r="B85" s="105" t="n"/>
      <c r="C85" s="105" t="n"/>
      <c r="D85" s="95" t="n"/>
      <c r="E85" s="95" t="n"/>
      <c r="F85" s="95" t="n"/>
      <c r="G85" s="92">
        <f>IF(B85="","",IFERROR(INDEX(Roster!$C$6:$C$65,MATCH(B85,Roster!$B$6:$B$65,0)),"not on the Roster"))</f>
        <v/>
      </c>
      <c r="H85" s="95" t="n"/>
    </row>
    <row r="86">
      <c r="A86" s="122" t="n"/>
      <c r="B86" s="105" t="n"/>
      <c r="C86" s="105" t="n"/>
      <c r="D86" s="95" t="n"/>
      <c r="E86" s="95" t="n"/>
      <c r="F86" s="95" t="n"/>
      <c r="G86" s="92">
        <f>IF(B86="","",IFERROR(INDEX(Roster!$C$6:$C$65,MATCH(B86,Roster!$B$6:$B$65,0)),"not on the Roster"))</f>
        <v/>
      </c>
      <c r="H86" s="95" t="n"/>
    </row>
    <row r="87">
      <c r="A87" s="122" t="n"/>
      <c r="B87" s="105" t="n"/>
      <c r="C87" s="105" t="n"/>
      <c r="D87" s="95" t="n"/>
      <c r="E87" s="95" t="n"/>
      <c r="F87" s="95" t="n"/>
      <c r="G87" s="92">
        <f>IF(B87="","",IFERROR(INDEX(Roster!$C$6:$C$65,MATCH(B87,Roster!$B$6:$B$65,0)),"not on the Roster"))</f>
        <v/>
      </c>
      <c r="H87" s="95" t="n"/>
    </row>
    <row r="88">
      <c r="A88" s="122" t="n"/>
      <c r="B88" s="105" t="n"/>
      <c r="C88" s="105" t="n"/>
      <c r="D88" s="95" t="n"/>
      <c r="E88" s="95" t="n"/>
      <c r="F88" s="95" t="n"/>
      <c r="G88" s="92">
        <f>IF(B88="","",IFERROR(INDEX(Roster!$C$6:$C$65,MATCH(B88,Roster!$B$6:$B$65,0)),"not on the Roster"))</f>
        <v/>
      </c>
      <c r="H88" s="95" t="n"/>
    </row>
    <row r="89">
      <c r="A89" s="122" t="n"/>
      <c r="B89" s="105" t="n"/>
      <c r="C89" s="105" t="n"/>
      <c r="D89" s="95" t="n"/>
      <c r="E89" s="95" t="n"/>
      <c r="F89" s="95" t="n"/>
      <c r="G89" s="92">
        <f>IF(B89="","",IFERROR(INDEX(Roster!$C$6:$C$65,MATCH(B89,Roster!$B$6:$B$65,0)),"not on the Roster"))</f>
        <v/>
      </c>
      <c r="H89" s="95" t="n"/>
    </row>
    <row r="90">
      <c r="A90" s="122" t="n"/>
      <c r="B90" s="105" t="n"/>
      <c r="C90" s="105" t="n"/>
      <c r="D90" s="95" t="n"/>
      <c r="E90" s="95" t="n"/>
      <c r="F90" s="95" t="n"/>
      <c r="G90" s="92">
        <f>IF(B90="","",IFERROR(INDEX(Roster!$C$6:$C$65,MATCH(B90,Roster!$B$6:$B$65,0)),"not on the Roster"))</f>
        <v/>
      </c>
      <c r="H90" s="95" t="n"/>
    </row>
    <row r="91">
      <c r="A91" s="122" t="n"/>
      <c r="B91" s="105" t="n"/>
      <c r="C91" s="105" t="n"/>
      <c r="D91" s="95" t="n"/>
      <c r="E91" s="95" t="n"/>
      <c r="F91" s="95" t="n"/>
      <c r="G91" s="92">
        <f>IF(B91="","",IFERROR(INDEX(Roster!$C$6:$C$65,MATCH(B91,Roster!$B$6:$B$65,0)),"not on the Roster"))</f>
        <v/>
      </c>
      <c r="H91" s="95" t="n"/>
    </row>
    <row r="92">
      <c r="A92" s="122" t="n"/>
      <c r="B92" s="105" t="n"/>
      <c r="C92" s="105" t="n"/>
      <c r="D92" s="95" t="n"/>
      <c r="E92" s="95" t="n"/>
      <c r="F92" s="95" t="n"/>
      <c r="G92" s="92">
        <f>IF(B92="","",IFERROR(INDEX(Roster!$C$6:$C$65,MATCH(B92,Roster!$B$6:$B$65,0)),"not on the Roster"))</f>
        <v/>
      </c>
      <c r="H92" s="95" t="n"/>
    </row>
    <row r="93">
      <c r="A93" s="122" t="n"/>
      <c r="B93" s="105" t="n"/>
      <c r="C93" s="105" t="n"/>
      <c r="D93" s="95" t="n"/>
      <c r="E93" s="95" t="n"/>
      <c r="F93" s="95" t="n"/>
      <c r="G93" s="92">
        <f>IF(B93="","",IFERROR(INDEX(Roster!$C$6:$C$65,MATCH(B93,Roster!$B$6:$B$65,0)),"not on the Roster"))</f>
        <v/>
      </c>
      <c r="H93" s="95" t="n"/>
    </row>
    <row r="94">
      <c r="A94" s="122" t="n"/>
      <c r="B94" s="105" t="n"/>
      <c r="C94" s="105" t="n"/>
      <c r="D94" s="95" t="n"/>
      <c r="E94" s="95" t="n"/>
      <c r="F94" s="95" t="n"/>
      <c r="G94" s="92">
        <f>IF(B94="","",IFERROR(INDEX(Roster!$C$6:$C$65,MATCH(B94,Roster!$B$6:$B$65,0)),"not on the Roster"))</f>
        <v/>
      </c>
      <c r="H94" s="95" t="n"/>
    </row>
    <row r="95">
      <c r="A95" s="122" t="n"/>
      <c r="B95" s="105" t="n"/>
      <c r="C95" s="105" t="n"/>
      <c r="D95" s="95" t="n"/>
      <c r="E95" s="95" t="n"/>
      <c r="F95" s="95" t="n"/>
      <c r="G95" s="92">
        <f>IF(B95="","",IFERROR(INDEX(Roster!$C$6:$C$65,MATCH(B95,Roster!$B$6:$B$65,0)),"not on the Roster"))</f>
        <v/>
      </c>
      <c r="H95" s="95" t="n"/>
    </row>
    <row r="96">
      <c r="A96" s="122" t="n"/>
      <c r="B96" s="105" t="n"/>
      <c r="C96" s="105" t="n"/>
      <c r="D96" s="95" t="n"/>
      <c r="E96" s="95" t="n"/>
      <c r="F96" s="95" t="n"/>
      <c r="G96" s="92">
        <f>IF(B96="","",IFERROR(INDEX(Roster!$C$6:$C$65,MATCH(B96,Roster!$B$6:$B$65,0)),"not on the Roster"))</f>
        <v/>
      </c>
      <c r="H96" s="95" t="n"/>
    </row>
    <row r="97">
      <c r="A97" s="122" t="n"/>
      <c r="B97" s="105" t="n"/>
      <c r="C97" s="105" t="n"/>
      <c r="D97" s="95" t="n"/>
      <c r="E97" s="95" t="n"/>
      <c r="F97" s="95" t="n"/>
      <c r="G97" s="92">
        <f>IF(B97="","",IFERROR(INDEX(Roster!$C$6:$C$65,MATCH(B97,Roster!$B$6:$B$65,0)),"not on the Roster"))</f>
        <v/>
      </c>
      <c r="H97" s="95" t="n"/>
    </row>
    <row r="98">
      <c r="A98" s="122" t="n"/>
      <c r="B98" s="105" t="n"/>
      <c r="C98" s="105" t="n"/>
      <c r="D98" s="95" t="n"/>
      <c r="E98" s="95" t="n"/>
      <c r="F98" s="95" t="n"/>
      <c r="G98" s="92">
        <f>IF(B98="","",IFERROR(INDEX(Roster!$C$6:$C$65,MATCH(B98,Roster!$B$6:$B$65,0)),"not on the Roster"))</f>
        <v/>
      </c>
      <c r="H98" s="95" t="n"/>
    </row>
    <row r="99">
      <c r="A99" s="122" t="n"/>
      <c r="B99" s="105" t="n"/>
      <c r="C99" s="105" t="n"/>
      <c r="D99" s="95" t="n"/>
      <c r="E99" s="95" t="n"/>
      <c r="F99" s="95" t="n"/>
      <c r="G99" s="92">
        <f>IF(B99="","",IFERROR(INDEX(Roster!$C$6:$C$65,MATCH(B99,Roster!$B$6:$B$65,0)),"not on the Roster"))</f>
        <v/>
      </c>
      <c r="H99" s="95" t="n"/>
    </row>
    <row r="100">
      <c r="A100" s="122" t="n"/>
      <c r="B100" s="105" t="n"/>
      <c r="C100" s="105" t="n"/>
      <c r="D100" s="95" t="n"/>
      <c r="E100" s="95" t="n"/>
      <c r="F100" s="95" t="n"/>
      <c r="G100" s="92">
        <f>IF(B100="","",IFERROR(INDEX(Roster!$C$6:$C$65,MATCH(B100,Roster!$B$6:$B$65,0)),"not on the Roster"))</f>
        <v/>
      </c>
      <c r="H100" s="95" t="n"/>
    </row>
    <row r="101">
      <c r="A101" s="122" t="n"/>
      <c r="B101" s="105" t="n"/>
      <c r="C101" s="105" t="n"/>
      <c r="D101" s="95" t="n"/>
      <c r="E101" s="95" t="n"/>
      <c r="F101" s="95" t="n"/>
      <c r="G101" s="92">
        <f>IF(B101="","",IFERROR(INDEX(Roster!$C$6:$C$65,MATCH(B101,Roster!$B$6:$B$65,0)),"not on the Roster"))</f>
        <v/>
      </c>
      <c r="H101" s="95" t="n"/>
    </row>
    <row r="102">
      <c r="A102" s="122" t="n"/>
      <c r="B102" s="105" t="n"/>
      <c r="C102" s="105" t="n"/>
      <c r="D102" s="95" t="n"/>
      <c r="E102" s="95" t="n"/>
      <c r="F102" s="95" t="n"/>
      <c r="G102" s="92">
        <f>IF(B102="","",IFERROR(INDEX(Roster!$C$6:$C$65,MATCH(B102,Roster!$B$6:$B$65,0)),"not on the Roster"))</f>
        <v/>
      </c>
      <c r="H102" s="95" t="n"/>
    </row>
    <row r="103">
      <c r="A103" s="122" t="n"/>
      <c r="B103" s="105" t="n"/>
      <c r="C103" s="105" t="n"/>
      <c r="D103" s="95" t="n"/>
      <c r="E103" s="95" t="n"/>
      <c r="F103" s="95" t="n"/>
      <c r="G103" s="92">
        <f>IF(B103="","",IFERROR(INDEX(Roster!$C$6:$C$65,MATCH(B103,Roster!$B$6:$B$65,0)),"not on the Roster"))</f>
        <v/>
      </c>
      <c r="H103" s="95" t="n"/>
    </row>
    <row r="104">
      <c r="A104" s="122" t="n"/>
      <c r="B104" s="105" t="n"/>
      <c r="C104" s="105" t="n"/>
      <c r="D104" s="95" t="n"/>
      <c r="E104" s="95" t="n"/>
      <c r="F104" s="95" t="n"/>
      <c r="G104" s="92">
        <f>IF(B104="","",IFERROR(INDEX(Roster!$C$6:$C$65,MATCH(B104,Roster!$B$6:$B$65,0)),"not on the Roster"))</f>
        <v/>
      </c>
      <c r="H104" s="95" t="n"/>
    </row>
    <row r="105">
      <c r="A105" s="122" t="n"/>
      <c r="B105" s="105" t="n"/>
      <c r="C105" s="105" t="n"/>
      <c r="D105" s="95" t="n"/>
      <c r="E105" s="95" t="n"/>
      <c r="F105" s="95" t="n"/>
      <c r="G105" s="92">
        <f>IF(B105="","",IFERROR(INDEX(Roster!$C$6:$C$65,MATCH(B105,Roster!$B$6:$B$65,0)),"not on the Roster"))</f>
        <v/>
      </c>
      <c r="H105" s="95" t="n"/>
    </row>
    <row r="106">
      <c r="A106" s="122" t="n"/>
      <c r="B106" s="105" t="n"/>
      <c r="C106" s="105" t="n"/>
      <c r="D106" s="95" t="n"/>
      <c r="E106" s="95" t="n"/>
      <c r="F106" s="95" t="n"/>
      <c r="G106" s="92">
        <f>IF(B106="","",IFERROR(INDEX(Roster!$C$6:$C$65,MATCH(B106,Roster!$B$6:$B$65,0)),"not on the Roster"))</f>
        <v/>
      </c>
      <c r="H106" s="95" t="n"/>
    </row>
    <row r="107">
      <c r="A107" s="122" t="n"/>
      <c r="B107" s="105" t="n"/>
      <c r="C107" s="105" t="n"/>
      <c r="D107" s="95" t="n"/>
      <c r="E107" s="95" t="n"/>
      <c r="F107" s="95" t="n"/>
      <c r="G107" s="92">
        <f>IF(B107="","",IFERROR(INDEX(Roster!$C$6:$C$65,MATCH(B107,Roster!$B$6:$B$65,0)),"not on the Roster"))</f>
        <v/>
      </c>
      <c r="H107" s="95" t="n"/>
    </row>
    <row r="108">
      <c r="A108" s="122" t="n"/>
      <c r="B108" s="105" t="n"/>
      <c r="C108" s="105" t="n"/>
      <c r="D108" s="95" t="n"/>
      <c r="E108" s="95" t="n"/>
      <c r="F108" s="95" t="n"/>
      <c r="G108" s="92">
        <f>IF(B108="","",IFERROR(INDEX(Roster!$C$6:$C$65,MATCH(B108,Roster!$B$6:$B$65,0)),"not on the Roster"))</f>
        <v/>
      </c>
      <c r="H108" s="95" t="n"/>
    </row>
    <row r="109">
      <c r="A109" s="122" t="n"/>
      <c r="B109" s="105" t="n"/>
      <c r="C109" s="105" t="n"/>
      <c r="D109" s="95" t="n"/>
      <c r="E109" s="95" t="n"/>
      <c r="F109" s="95" t="n"/>
      <c r="G109" s="92">
        <f>IF(B109="","",IFERROR(INDEX(Roster!$C$6:$C$65,MATCH(B109,Roster!$B$6:$B$65,0)),"not on the Roster"))</f>
        <v/>
      </c>
      <c r="H109" s="95" t="n"/>
    </row>
    <row r="110">
      <c r="A110" s="122" t="n"/>
      <c r="B110" s="105" t="n"/>
      <c r="C110" s="105" t="n"/>
      <c r="D110" s="95" t="n"/>
      <c r="E110" s="95" t="n"/>
      <c r="F110" s="95" t="n"/>
      <c r="G110" s="92">
        <f>IF(B110="","",IFERROR(INDEX(Roster!$C$6:$C$65,MATCH(B110,Roster!$B$6:$B$65,0)),"not on the Roster"))</f>
        <v/>
      </c>
      <c r="H110" s="95" t="n"/>
    </row>
    <row r="111">
      <c r="A111" s="122" t="n"/>
      <c r="B111" s="105" t="n"/>
      <c r="C111" s="105" t="n"/>
      <c r="D111" s="95" t="n"/>
      <c r="E111" s="95" t="n"/>
      <c r="F111" s="95" t="n"/>
      <c r="G111" s="92">
        <f>IF(B111="","",IFERROR(INDEX(Roster!$C$6:$C$65,MATCH(B111,Roster!$B$6:$B$65,0)),"not on the Roster"))</f>
        <v/>
      </c>
      <c r="H111" s="95" t="n"/>
    </row>
    <row r="112">
      <c r="A112" s="122" t="n"/>
      <c r="B112" s="105" t="n"/>
      <c r="C112" s="105" t="n"/>
      <c r="D112" s="95" t="n"/>
      <c r="E112" s="95" t="n"/>
      <c r="F112" s="95" t="n"/>
      <c r="G112" s="92">
        <f>IF(B112="","",IFERROR(INDEX(Roster!$C$6:$C$65,MATCH(B112,Roster!$B$6:$B$65,0)),"not on the Roster"))</f>
        <v/>
      </c>
      <c r="H112" s="95" t="n"/>
    </row>
    <row r="113">
      <c r="A113" s="122" t="n"/>
      <c r="B113" s="105" t="n"/>
      <c r="C113" s="105" t="n"/>
      <c r="D113" s="95" t="n"/>
      <c r="E113" s="95" t="n"/>
      <c r="F113" s="95" t="n"/>
      <c r="G113" s="92">
        <f>IF(B113="","",IFERROR(INDEX(Roster!$C$6:$C$65,MATCH(B113,Roster!$B$6:$B$65,0)),"not on the Roster"))</f>
        <v/>
      </c>
      <c r="H113" s="95" t="n"/>
    </row>
    <row r="114">
      <c r="A114" s="122" t="n"/>
      <c r="B114" s="105" t="n"/>
      <c r="C114" s="105" t="n"/>
      <c r="D114" s="95" t="n"/>
      <c r="E114" s="95" t="n"/>
      <c r="F114" s="95" t="n"/>
      <c r="G114" s="92">
        <f>IF(B114="","",IFERROR(INDEX(Roster!$C$6:$C$65,MATCH(B114,Roster!$B$6:$B$65,0)),"not on the Roster"))</f>
        <v/>
      </c>
      <c r="H114" s="95" t="n"/>
    </row>
    <row r="115">
      <c r="A115" s="122" t="n"/>
      <c r="B115" s="105" t="n"/>
      <c r="C115" s="105" t="n"/>
      <c r="D115" s="95" t="n"/>
      <c r="E115" s="95" t="n"/>
      <c r="F115" s="95" t="n"/>
      <c r="G115" s="92">
        <f>IF(B115="","",IFERROR(INDEX(Roster!$C$6:$C$65,MATCH(B115,Roster!$B$6:$B$65,0)),"not on the Roster"))</f>
        <v/>
      </c>
      <c r="H115" s="95" t="n"/>
    </row>
    <row r="116">
      <c r="A116" s="122" t="n"/>
      <c r="B116" s="105" t="n"/>
      <c r="C116" s="105" t="n"/>
      <c r="D116" s="95" t="n"/>
      <c r="E116" s="95" t="n"/>
      <c r="F116" s="95" t="n"/>
      <c r="G116" s="92">
        <f>IF(B116="","",IFERROR(INDEX(Roster!$C$6:$C$65,MATCH(B116,Roster!$B$6:$B$65,0)),"not on the Roster"))</f>
        <v/>
      </c>
      <c r="H116" s="95" t="n"/>
    </row>
    <row r="117">
      <c r="A117" s="122" t="n"/>
      <c r="B117" s="105" t="n"/>
      <c r="C117" s="105" t="n"/>
      <c r="D117" s="95" t="n"/>
      <c r="E117" s="95" t="n"/>
      <c r="F117" s="95" t="n"/>
      <c r="G117" s="92">
        <f>IF(B117="","",IFERROR(INDEX(Roster!$C$6:$C$65,MATCH(B117,Roster!$B$6:$B$65,0)),"not on the Roster"))</f>
        <v/>
      </c>
      <c r="H117" s="95" t="n"/>
    </row>
    <row r="118">
      <c r="A118" s="122" t="n"/>
      <c r="B118" s="105" t="n"/>
      <c r="C118" s="105" t="n"/>
      <c r="D118" s="95" t="n"/>
      <c r="E118" s="95" t="n"/>
      <c r="F118" s="95" t="n"/>
      <c r="G118" s="92">
        <f>IF(B118="","",IFERROR(INDEX(Roster!$C$6:$C$65,MATCH(B118,Roster!$B$6:$B$65,0)),"not on the Roster"))</f>
        <v/>
      </c>
      <c r="H118" s="95" t="n"/>
    </row>
    <row r="119">
      <c r="A119" s="122" t="n"/>
      <c r="B119" s="105" t="n"/>
      <c r="C119" s="105" t="n"/>
      <c r="D119" s="95" t="n"/>
      <c r="E119" s="95" t="n"/>
      <c r="F119" s="95" t="n"/>
      <c r="G119" s="92">
        <f>IF(B119="","",IFERROR(INDEX(Roster!$C$6:$C$65,MATCH(B119,Roster!$B$6:$B$65,0)),"not on the Roster"))</f>
        <v/>
      </c>
      <c r="H119" s="95" t="n"/>
    </row>
    <row r="120">
      <c r="A120" s="122" t="n"/>
      <c r="B120" s="105" t="n"/>
      <c r="C120" s="105" t="n"/>
      <c r="D120" s="95" t="n"/>
      <c r="E120" s="95" t="n"/>
      <c r="F120" s="95" t="n"/>
      <c r="G120" s="92">
        <f>IF(B120="","",IFERROR(INDEX(Roster!$C$6:$C$65,MATCH(B120,Roster!$B$6:$B$65,0)),"not on the Roster"))</f>
        <v/>
      </c>
      <c r="H120" s="95" t="n"/>
    </row>
    <row r="121">
      <c r="A121" s="122" t="n"/>
      <c r="B121" s="105" t="n"/>
      <c r="C121" s="105" t="n"/>
      <c r="D121" s="95" t="n"/>
      <c r="E121" s="95" t="n"/>
      <c r="F121" s="95" t="n"/>
      <c r="G121" s="92">
        <f>IF(B121="","",IFERROR(INDEX(Roster!$C$6:$C$65,MATCH(B121,Roster!$B$6:$B$65,0)),"not on the Roster"))</f>
        <v/>
      </c>
      <c r="H121" s="95" t="n"/>
    </row>
    <row r="122">
      <c r="A122" s="122" t="n"/>
      <c r="B122" s="105" t="n"/>
      <c r="C122" s="105" t="n"/>
      <c r="D122" s="95" t="n"/>
      <c r="E122" s="95" t="n"/>
      <c r="F122" s="95" t="n"/>
      <c r="G122" s="92">
        <f>IF(B122="","",IFERROR(INDEX(Roster!$C$6:$C$65,MATCH(B122,Roster!$B$6:$B$65,0)),"not on the Roster"))</f>
        <v/>
      </c>
      <c r="H122" s="95" t="n"/>
    </row>
    <row r="123">
      <c r="A123" s="122" t="n"/>
      <c r="B123" s="105" t="n"/>
      <c r="C123" s="105" t="n"/>
      <c r="D123" s="95" t="n"/>
      <c r="E123" s="95" t="n"/>
      <c r="F123" s="95" t="n"/>
      <c r="G123" s="92">
        <f>IF(B123="","",IFERROR(INDEX(Roster!$C$6:$C$65,MATCH(B123,Roster!$B$6:$B$65,0)),"not on the Roster"))</f>
        <v/>
      </c>
      <c r="H123" s="95" t="n"/>
    </row>
    <row r="124">
      <c r="A124" s="122" t="n"/>
      <c r="B124" s="105" t="n"/>
      <c r="C124" s="105" t="n"/>
      <c r="D124" s="95" t="n"/>
      <c r="E124" s="95" t="n"/>
      <c r="F124" s="95" t="n"/>
      <c r="G124" s="92">
        <f>IF(B124="","",IFERROR(INDEX(Roster!$C$6:$C$65,MATCH(B124,Roster!$B$6:$B$65,0)),"not on the Roster"))</f>
        <v/>
      </c>
      <c r="H124" s="95" t="n"/>
    </row>
    <row r="125">
      <c r="A125" s="122" t="n"/>
      <c r="B125" s="105" t="n"/>
      <c r="C125" s="105" t="n"/>
      <c r="D125" s="95" t="n"/>
      <c r="E125" s="95" t="n"/>
      <c r="F125" s="95" t="n"/>
      <c r="G125" s="92">
        <f>IF(B125="","",IFERROR(INDEX(Roster!$C$6:$C$65,MATCH(B125,Roster!$B$6:$B$65,0)),"not on the Roster"))</f>
        <v/>
      </c>
      <c r="H125" s="95" t="n"/>
    </row>
    <row r="126">
      <c r="A126" s="122" t="n"/>
      <c r="B126" s="105" t="n"/>
      <c r="C126" s="105" t="n"/>
      <c r="D126" s="95" t="n"/>
      <c r="E126" s="95" t="n"/>
      <c r="F126" s="95" t="n"/>
      <c r="G126" s="92">
        <f>IF(B126="","",IFERROR(INDEX(Roster!$C$6:$C$65,MATCH(B126,Roster!$B$6:$B$65,0)),"not on the Roster"))</f>
        <v/>
      </c>
      <c r="H126" s="95" t="n"/>
    </row>
    <row r="127">
      <c r="A127" s="122" t="n"/>
      <c r="B127" s="105" t="n"/>
      <c r="C127" s="105" t="n"/>
      <c r="D127" s="95" t="n"/>
      <c r="E127" s="95" t="n"/>
      <c r="F127" s="95" t="n"/>
      <c r="G127" s="92">
        <f>IF(B127="","",IFERROR(INDEX(Roster!$C$6:$C$65,MATCH(B127,Roster!$B$6:$B$65,0)),"not on the Roster"))</f>
        <v/>
      </c>
      <c r="H127" s="95" t="n"/>
    </row>
    <row r="128">
      <c r="A128" s="122" t="n"/>
      <c r="B128" s="105" t="n"/>
      <c r="C128" s="105" t="n"/>
      <c r="D128" s="95" t="n"/>
      <c r="E128" s="95" t="n"/>
      <c r="F128" s="95" t="n"/>
      <c r="G128" s="92">
        <f>IF(B128="","",IFERROR(INDEX(Roster!$C$6:$C$65,MATCH(B128,Roster!$B$6:$B$65,0)),"not on the Roster"))</f>
        <v/>
      </c>
      <c r="H128" s="95" t="n"/>
    </row>
    <row r="129">
      <c r="A129" s="122" t="n"/>
      <c r="B129" s="105" t="n"/>
      <c r="C129" s="105" t="n"/>
      <c r="D129" s="95" t="n"/>
      <c r="E129" s="95" t="n"/>
      <c r="F129" s="95" t="n"/>
      <c r="G129" s="92">
        <f>IF(B129="","",IFERROR(INDEX(Roster!$C$6:$C$65,MATCH(B129,Roster!$B$6:$B$65,0)),"not on the Roster"))</f>
        <v/>
      </c>
      <c r="H129" s="95" t="n"/>
    </row>
    <row r="130">
      <c r="A130" s="122" t="n"/>
      <c r="B130" s="105" t="n"/>
      <c r="C130" s="105" t="n"/>
      <c r="D130" s="95" t="n"/>
      <c r="E130" s="95" t="n"/>
      <c r="F130" s="95" t="n"/>
      <c r="G130" s="92">
        <f>IF(B130="","",IFERROR(INDEX(Roster!$C$6:$C$65,MATCH(B130,Roster!$B$6:$B$65,0)),"not on the Roster"))</f>
        <v/>
      </c>
      <c r="H130" s="95" t="n"/>
    </row>
    <row r="131">
      <c r="A131" s="122" t="n"/>
      <c r="B131" s="105" t="n"/>
      <c r="C131" s="105" t="n"/>
      <c r="D131" s="95" t="n"/>
      <c r="E131" s="95" t="n"/>
      <c r="F131" s="95" t="n"/>
      <c r="G131" s="92">
        <f>IF(B131="","",IFERROR(INDEX(Roster!$C$6:$C$65,MATCH(B131,Roster!$B$6:$B$65,0)),"not on the Roster"))</f>
        <v/>
      </c>
      <c r="H131" s="95" t="n"/>
    </row>
    <row r="132">
      <c r="A132" s="122" t="n"/>
      <c r="B132" s="105" t="n"/>
      <c r="C132" s="105" t="n"/>
      <c r="D132" s="95" t="n"/>
      <c r="E132" s="95" t="n"/>
      <c r="F132" s="95" t="n"/>
      <c r="G132" s="92">
        <f>IF(B132="","",IFERROR(INDEX(Roster!$C$6:$C$65,MATCH(B132,Roster!$B$6:$B$65,0)),"not on the Roster"))</f>
        <v/>
      </c>
      <c r="H132" s="95" t="n"/>
    </row>
    <row r="133">
      <c r="A133" s="122" t="n"/>
      <c r="B133" s="105" t="n"/>
      <c r="C133" s="105" t="n"/>
      <c r="D133" s="95" t="n"/>
      <c r="E133" s="95" t="n"/>
      <c r="F133" s="95" t="n"/>
      <c r="G133" s="92">
        <f>IF(B133="","",IFERROR(INDEX(Roster!$C$6:$C$65,MATCH(B133,Roster!$B$6:$B$65,0)),"not on the Roster"))</f>
        <v/>
      </c>
      <c r="H133" s="95" t="n"/>
    </row>
    <row r="134">
      <c r="A134" s="122" t="n"/>
      <c r="B134" s="105" t="n"/>
      <c r="C134" s="105" t="n"/>
      <c r="D134" s="95" t="n"/>
      <c r="E134" s="95" t="n"/>
      <c r="F134" s="95" t="n"/>
      <c r="G134" s="92">
        <f>IF(B134="","",IFERROR(INDEX(Roster!$C$6:$C$65,MATCH(B134,Roster!$B$6:$B$65,0)),"not on the Roster"))</f>
        <v/>
      </c>
      <c r="H134" s="95" t="n"/>
    </row>
    <row r="135">
      <c r="A135" s="122" t="n"/>
      <c r="B135" s="105" t="n"/>
      <c r="C135" s="105" t="n"/>
      <c r="D135" s="95" t="n"/>
      <c r="E135" s="95" t="n"/>
      <c r="F135" s="95" t="n"/>
      <c r="G135" s="92">
        <f>IF(B135="","",IFERROR(INDEX(Roster!$C$6:$C$65,MATCH(B135,Roster!$B$6:$B$65,0)),"not on the Roster"))</f>
        <v/>
      </c>
      <c r="H135" s="95" t="n"/>
    </row>
    <row r="136">
      <c r="A136" s="122" t="n"/>
      <c r="B136" s="105" t="n"/>
      <c r="C136" s="105" t="n"/>
      <c r="D136" s="95" t="n"/>
      <c r="E136" s="95" t="n"/>
      <c r="F136" s="95" t="n"/>
      <c r="G136" s="92">
        <f>IF(B136="","",IFERROR(INDEX(Roster!$C$6:$C$65,MATCH(B136,Roster!$B$6:$B$65,0)),"not on the Roster"))</f>
        <v/>
      </c>
      <c r="H136" s="95" t="n"/>
    </row>
    <row r="137">
      <c r="A137" s="122" t="n"/>
      <c r="B137" s="105" t="n"/>
      <c r="C137" s="105" t="n"/>
      <c r="D137" s="95" t="n"/>
      <c r="E137" s="95" t="n"/>
      <c r="F137" s="95" t="n"/>
      <c r="G137" s="92">
        <f>IF(B137="","",IFERROR(INDEX(Roster!$C$6:$C$65,MATCH(B137,Roster!$B$6:$B$65,0)),"not on the Roster"))</f>
        <v/>
      </c>
      <c r="H137" s="95" t="n"/>
    </row>
    <row r="138">
      <c r="A138" s="122" t="n"/>
      <c r="B138" s="105" t="n"/>
      <c r="C138" s="105" t="n"/>
      <c r="D138" s="95" t="n"/>
      <c r="E138" s="95" t="n"/>
      <c r="F138" s="95" t="n"/>
      <c r="G138" s="92">
        <f>IF(B138="","",IFERROR(INDEX(Roster!$C$6:$C$65,MATCH(B138,Roster!$B$6:$B$65,0)),"not on the Roster"))</f>
        <v/>
      </c>
      <c r="H138" s="95" t="n"/>
    </row>
    <row r="139">
      <c r="A139" s="122" t="n"/>
      <c r="B139" s="105" t="n"/>
      <c r="C139" s="105" t="n"/>
      <c r="D139" s="95" t="n"/>
      <c r="E139" s="95" t="n"/>
      <c r="F139" s="95" t="n"/>
      <c r="G139" s="92">
        <f>IF(B139="","",IFERROR(INDEX(Roster!$C$6:$C$65,MATCH(B139,Roster!$B$6:$B$65,0)),"not on the Roster"))</f>
        <v/>
      </c>
      <c r="H139" s="95" t="n"/>
    </row>
    <row r="140">
      <c r="A140" s="122" t="n"/>
      <c r="B140" s="105" t="n"/>
      <c r="C140" s="105" t="n"/>
      <c r="D140" s="95" t="n"/>
      <c r="E140" s="95" t="n"/>
      <c r="F140" s="95" t="n"/>
      <c r="G140" s="92">
        <f>IF(B140="","",IFERROR(INDEX(Roster!$C$6:$C$65,MATCH(B140,Roster!$B$6:$B$65,0)),"not on the Roster"))</f>
        <v/>
      </c>
      <c r="H140" s="95" t="n"/>
    </row>
    <row r="141">
      <c r="A141" s="122" t="n"/>
      <c r="B141" s="105" t="n"/>
      <c r="C141" s="105" t="n"/>
      <c r="D141" s="95" t="n"/>
      <c r="E141" s="95" t="n"/>
      <c r="F141" s="95" t="n"/>
      <c r="G141" s="92">
        <f>IF(B141="","",IFERROR(INDEX(Roster!$C$6:$C$65,MATCH(B141,Roster!$B$6:$B$65,0)),"not on the Roster"))</f>
        <v/>
      </c>
      <c r="H141" s="95" t="n"/>
    </row>
    <row r="142">
      <c r="A142" s="122" t="n"/>
      <c r="B142" s="105" t="n"/>
      <c r="C142" s="105" t="n"/>
      <c r="D142" s="95" t="n"/>
      <c r="E142" s="95" t="n"/>
      <c r="F142" s="95" t="n"/>
      <c r="G142" s="92">
        <f>IF(B142="","",IFERROR(INDEX(Roster!$C$6:$C$65,MATCH(B142,Roster!$B$6:$B$65,0)),"not on the Roster"))</f>
        <v/>
      </c>
      <c r="H142" s="95" t="n"/>
    </row>
    <row r="143">
      <c r="A143" s="122" t="n"/>
      <c r="B143" s="105" t="n"/>
      <c r="C143" s="105" t="n"/>
      <c r="D143" s="95" t="n"/>
      <c r="E143" s="95" t="n"/>
      <c r="F143" s="95" t="n"/>
      <c r="G143" s="92">
        <f>IF(B143="","",IFERROR(INDEX(Roster!$C$6:$C$65,MATCH(B143,Roster!$B$6:$B$65,0)),"not on the Roster"))</f>
        <v/>
      </c>
      <c r="H143" s="95" t="n"/>
    </row>
    <row r="144">
      <c r="A144" s="122" t="n"/>
      <c r="B144" s="105" t="n"/>
      <c r="C144" s="105" t="n"/>
      <c r="D144" s="95" t="n"/>
      <c r="E144" s="95" t="n"/>
      <c r="F144" s="95" t="n"/>
      <c r="G144" s="92">
        <f>IF(B144="","",IFERROR(INDEX(Roster!$C$6:$C$65,MATCH(B144,Roster!$B$6:$B$65,0)),"not on the Roster"))</f>
        <v/>
      </c>
      <c r="H144" s="95" t="n"/>
    </row>
    <row r="145">
      <c r="A145" s="122" t="n"/>
      <c r="B145" s="105" t="n"/>
      <c r="C145" s="105" t="n"/>
      <c r="D145" s="95" t="n"/>
      <c r="E145" s="95" t="n"/>
      <c r="F145" s="95" t="n"/>
      <c r="G145" s="92">
        <f>IF(B145="","",IFERROR(INDEX(Roster!$C$6:$C$65,MATCH(B145,Roster!$B$6:$B$65,0)),"not on the Roster"))</f>
        <v/>
      </c>
      <c r="H145" s="95" t="n"/>
    </row>
    <row r="146">
      <c r="A146" s="122" t="n"/>
      <c r="B146" s="105" t="n"/>
      <c r="C146" s="105" t="n"/>
      <c r="D146" s="95" t="n"/>
      <c r="E146" s="95" t="n"/>
      <c r="F146" s="95" t="n"/>
      <c r="G146" s="92">
        <f>IF(B146="","",IFERROR(INDEX(Roster!$C$6:$C$65,MATCH(B146,Roster!$B$6:$B$65,0)),"not on the Roster"))</f>
        <v/>
      </c>
      <c r="H146" s="95" t="n"/>
    </row>
    <row r="147">
      <c r="A147" s="122" t="n"/>
      <c r="B147" s="105" t="n"/>
      <c r="C147" s="105" t="n"/>
      <c r="D147" s="95" t="n"/>
      <c r="E147" s="95" t="n"/>
      <c r="F147" s="95" t="n"/>
      <c r="G147" s="92">
        <f>IF(B147="","",IFERROR(INDEX(Roster!$C$6:$C$65,MATCH(B147,Roster!$B$6:$B$65,0)),"not on the Roster"))</f>
        <v/>
      </c>
      <c r="H147" s="95" t="n"/>
    </row>
    <row r="148">
      <c r="A148" s="122" t="n"/>
      <c r="B148" s="105" t="n"/>
      <c r="C148" s="105" t="n"/>
      <c r="D148" s="95" t="n"/>
      <c r="E148" s="95" t="n"/>
      <c r="F148" s="95" t="n"/>
      <c r="G148" s="92">
        <f>IF(B148="","",IFERROR(INDEX(Roster!$C$6:$C$65,MATCH(B148,Roster!$B$6:$B$65,0)),"not on the Roster"))</f>
        <v/>
      </c>
      <c r="H148" s="95" t="n"/>
    </row>
    <row r="149">
      <c r="A149" s="122" t="n"/>
      <c r="B149" s="105" t="n"/>
      <c r="C149" s="105" t="n"/>
      <c r="D149" s="95" t="n"/>
      <c r="E149" s="95" t="n"/>
      <c r="F149" s="95" t="n"/>
      <c r="G149" s="92">
        <f>IF(B149="","",IFERROR(INDEX(Roster!$C$6:$C$65,MATCH(B149,Roster!$B$6:$B$65,0)),"not on the Roster"))</f>
        <v/>
      </c>
      <c r="H149" s="95" t="n"/>
    </row>
    <row r="150">
      <c r="A150" s="122" t="n"/>
      <c r="B150" s="105" t="n"/>
      <c r="C150" s="105" t="n"/>
      <c r="D150" s="95" t="n"/>
      <c r="E150" s="95" t="n"/>
      <c r="F150" s="95" t="n"/>
      <c r="G150" s="92">
        <f>IF(B150="","",IFERROR(INDEX(Roster!$C$6:$C$65,MATCH(B150,Roster!$B$6:$B$65,0)),"not on the Roster"))</f>
        <v/>
      </c>
      <c r="H150" s="95" t="n"/>
    </row>
    <row r="151">
      <c r="A151" s="122" t="n"/>
      <c r="B151" s="105" t="n"/>
      <c r="C151" s="105" t="n"/>
      <c r="D151" s="95" t="n"/>
      <c r="E151" s="95" t="n"/>
      <c r="F151" s="95" t="n"/>
      <c r="G151" s="92">
        <f>IF(B151="","",IFERROR(INDEX(Roster!$C$6:$C$65,MATCH(B151,Roster!$B$6:$B$65,0)),"not on the Roster"))</f>
        <v/>
      </c>
      <c r="H151" s="95" t="n"/>
    </row>
    <row r="152">
      <c r="A152" s="122" t="n"/>
      <c r="B152" s="105" t="n"/>
      <c r="C152" s="105" t="n"/>
      <c r="D152" s="95" t="n"/>
      <c r="E152" s="95" t="n"/>
      <c r="F152" s="95" t="n"/>
      <c r="G152" s="92">
        <f>IF(B152="","",IFERROR(INDEX(Roster!$C$6:$C$65,MATCH(B152,Roster!$B$6:$B$65,0)),"not on the Roster"))</f>
        <v/>
      </c>
      <c r="H152" s="95" t="n"/>
    </row>
    <row r="153">
      <c r="A153" s="122" t="n"/>
      <c r="B153" s="105" t="n"/>
      <c r="C153" s="105" t="n"/>
      <c r="D153" s="95" t="n"/>
      <c r="E153" s="95" t="n"/>
      <c r="F153" s="95" t="n"/>
      <c r="G153" s="92">
        <f>IF(B153="","",IFERROR(INDEX(Roster!$C$6:$C$65,MATCH(B153,Roster!$B$6:$B$65,0)),"not on the Roster"))</f>
        <v/>
      </c>
      <c r="H153" s="95" t="n"/>
    </row>
    <row r="154">
      <c r="A154" s="122" t="n"/>
      <c r="B154" s="105" t="n"/>
      <c r="C154" s="105" t="n"/>
      <c r="D154" s="95" t="n"/>
      <c r="E154" s="95" t="n"/>
      <c r="F154" s="95" t="n"/>
      <c r="G154" s="92">
        <f>IF(B154="","",IFERROR(INDEX(Roster!$C$6:$C$65,MATCH(B154,Roster!$B$6:$B$65,0)),"not on the Roster"))</f>
        <v/>
      </c>
      <c r="H154" s="95" t="n"/>
    </row>
    <row r="155">
      <c r="A155" s="122" t="n"/>
      <c r="B155" s="105" t="n"/>
      <c r="C155" s="105" t="n"/>
      <c r="D155" s="95" t="n"/>
      <c r="E155" s="95" t="n"/>
      <c r="F155" s="95" t="n"/>
      <c r="G155" s="92">
        <f>IF(B155="","",IFERROR(INDEX(Roster!$C$6:$C$65,MATCH(B155,Roster!$B$6:$B$65,0)),"not on the Roster"))</f>
        <v/>
      </c>
      <c r="H155" s="95" t="n"/>
    </row>
    <row r="156">
      <c r="A156" s="122" t="n"/>
      <c r="B156" s="105" t="n"/>
      <c r="C156" s="105" t="n"/>
      <c r="D156" s="95" t="n"/>
      <c r="E156" s="95" t="n"/>
      <c r="F156" s="95" t="n"/>
      <c r="G156" s="92">
        <f>IF(B156="","",IFERROR(INDEX(Roster!$C$6:$C$65,MATCH(B156,Roster!$B$6:$B$65,0)),"not on the Roster"))</f>
        <v/>
      </c>
      <c r="H156" s="95" t="n"/>
    </row>
    <row r="157">
      <c r="A157" s="122" t="n"/>
      <c r="B157" s="105" t="n"/>
      <c r="C157" s="105" t="n"/>
      <c r="D157" s="95" t="n"/>
      <c r="E157" s="95" t="n"/>
      <c r="F157" s="95" t="n"/>
      <c r="G157" s="92">
        <f>IF(B157="","",IFERROR(INDEX(Roster!$C$6:$C$65,MATCH(B157,Roster!$B$6:$B$65,0)),"not on the Roster"))</f>
        <v/>
      </c>
      <c r="H157" s="95" t="n"/>
    </row>
    <row r="158">
      <c r="A158" s="122" t="n"/>
      <c r="B158" s="105" t="n"/>
      <c r="C158" s="105" t="n"/>
      <c r="D158" s="95" t="n"/>
      <c r="E158" s="95" t="n"/>
      <c r="F158" s="95" t="n"/>
      <c r="G158" s="92">
        <f>IF(B158="","",IFERROR(INDEX(Roster!$C$6:$C$65,MATCH(B158,Roster!$B$6:$B$65,0)),"not on the Roster"))</f>
        <v/>
      </c>
      <c r="H158" s="95" t="n"/>
    </row>
    <row r="159">
      <c r="A159" s="122" t="n"/>
      <c r="B159" s="105" t="n"/>
      <c r="C159" s="105" t="n"/>
      <c r="D159" s="95" t="n"/>
      <c r="E159" s="95" t="n"/>
      <c r="F159" s="95" t="n"/>
      <c r="G159" s="92">
        <f>IF(B159="","",IFERROR(INDEX(Roster!$C$6:$C$65,MATCH(B159,Roster!$B$6:$B$65,0)),"not on the Roster"))</f>
        <v/>
      </c>
      <c r="H159" s="95" t="n"/>
    </row>
    <row r="160">
      <c r="A160" s="122" t="n"/>
      <c r="B160" s="105" t="n"/>
      <c r="C160" s="105" t="n"/>
      <c r="D160" s="95" t="n"/>
      <c r="E160" s="95" t="n"/>
      <c r="F160" s="95" t="n"/>
      <c r="G160" s="92">
        <f>IF(B160="","",IFERROR(INDEX(Roster!$C$6:$C$65,MATCH(B160,Roster!$B$6:$B$65,0)),"not on the Roster"))</f>
        <v/>
      </c>
      <c r="H160" s="95" t="n"/>
    </row>
    <row r="161">
      <c r="A161" s="122" t="n"/>
      <c r="B161" s="105" t="n"/>
      <c r="C161" s="105" t="n"/>
      <c r="D161" s="95" t="n"/>
      <c r="E161" s="95" t="n"/>
      <c r="F161" s="95" t="n"/>
      <c r="G161" s="92">
        <f>IF(B161="","",IFERROR(INDEX(Roster!$C$6:$C$65,MATCH(B161,Roster!$B$6:$B$65,0)),"not on the Roster"))</f>
        <v/>
      </c>
      <c r="H161" s="95" t="n"/>
    </row>
    <row r="162">
      <c r="A162" s="122" t="n"/>
      <c r="B162" s="105" t="n"/>
      <c r="C162" s="105" t="n"/>
      <c r="D162" s="95" t="n"/>
      <c r="E162" s="95" t="n"/>
      <c r="F162" s="95" t="n"/>
      <c r="G162" s="92">
        <f>IF(B162="","",IFERROR(INDEX(Roster!$C$6:$C$65,MATCH(B162,Roster!$B$6:$B$65,0)),"not on the Roster"))</f>
        <v/>
      </c>
      <c r="H162" s="95" t="n"/>
    </row>
    <row r="163">
      <c r="A163" s="122" t="n"/>
      <c r="B163" s="105" t="n"/>
      <c r="C163" s="105" t="n"/>
      <c r="D163" s="95" t="n"/>
      <c r="E163" s="95" t="n"/>
      <c r="F163" s="95" t="n"/>
      <c r="G163" s="92">
        <f>IF(B163="","",IFERROR(INDEX(Roster!$C$6:$C$65,MATCH(B163,Roster!$B$6:$B$65,0)),"not on the Roster"))</f>
        <v/>
      </c>
      <c r="H163" s="95" t="n"/>
    </row>
    <row r="164">
      <c r="A164" s="122" t="n"/>
      <c r="B164" s="105" t="n"/>
      <c r="C164" s="105" t="n"/>
      <c r="D164" s="95" t="n"/>
      <c r="E164" s="95" t="n"/>
      <c r="F164" s="95" t="n"/>
      <c r="G164" s="92">
        <f>IF(B164="","",IFERROR(INDEX(Roster!$C$6:$C$65,MATCH(B164,Roster!$B$6:$B$65,0)),"not on the Roster"))</f>
        <v/>
      </c>
      <c r="H164" s="95" t="n"/>
    </row>
    <row r="165">
      <c r="A165" s="122" t="n"/>
      <c r="B165" s="105" t="n"/>
      <c r="C165" s="105" t="n"/>
      <c r="D165" s="95" t="n"/>
      <c r="E165" s="95" t="n"/>
      <c r="F165" s="95" t="n"/>
      <c r="G165" s="92">
        <f>IF(B165="","",IFERROR(INDEX(Roster!$C$6:$C$65,MATCH(B165,Roster!$B$6:$B$65,0)),"not on the Roster"))</f>
        <v/>
      </c>
      <c r="H165" s="95" t="n"/>
    </row>
    <row r="166">
      <c r="A166" s="122" t="n"/>
      <c r="B166" s="105" t="n"/>
      <c r="C166" s="105" t="n"/>
      <c r="D166" s="95" t="n"/>
      <c r="E166" s="95" t="n"/>
      <c r="F166" s="95" t="n"/>
      <c r="G166" s="92">
        <f>IF(B166="","",IFERROR(INDEX(Roster!$C$6:$C$65,MATCH(B166,Roster!$B$6:$B$65,0)),"not on the Roster"))</f>
        <v/>
      </c>
      <c r="H166" s="95" t="n"/>
    </row>
    <row r="167">
      <c r="A167" s="122" t="n"/>
      <c r="B167" s="105" t="n"/>
      <c r="C167" s="105" t="n"/>
      <c r="D167" s="95" t="n"/>
      <c r="E167" s="95" t="n"/>
      <c r="F167" s="95" t="n"/>
      <c r="G167" s="92">
        <f>IF(B167="","",IFERROR(INDEX(Roster!$C$6:$C$65,MATCH(B167,Roster!$B$6:$B$65,0)),"not on the Roster"))</f>
        <v/>
      </c>
      <c r="H167" s="95" t="n"/>
    </row>
    <row r="168">
      <c r="A168" s="122" t="n"/>
      <c r="B168" s="105" t="n"/>
      <c r="C168" s="105" t="n"/>
      <c r="D168" s="95" t="n"/>
      <c r="E168" s="95" t="n"/>
      <c r="F168" s="95" t="n"/>
      <c r="G168" s="92">
        <f>IF(B168="","",IFERROR(INDEX(Roster!$C$6:$C$65,MATCH(B168,Roster!$B$6:$B$65,0)),"not on the Roster"))</f>
        <v/>
      </c>
      <c r="H168" s="95" t="n"/>
    </row>
    <row r="169">
      <c r="A169" s="122" t="n"/>
      <c r="B169" s="105" t="n"/>
      <c r="C169" s="105" t="n"/>
      <c r="D169" s="95" t="n"/>
      <c r="E169" s="95" t="n"/>
      <c r="F169" s="95" t="n"/>
      <c r="G169" s="92">
        <f>IF(B169="","",IFERROR(INDEX(Roster!$C$6:$C$65,MATCH(B169,Roster!$B$6:$B$65,0)),"not on the Roster"))</f>
        <v/>
      </c>
      <c r="H169" s="95" t="n"/>
    </row>
    <row r="170">
      <c r="A170" s="122" t="n"/>
      <c r="B170" s="105" t="n"/>
      <c r="C170" s="105" t="n"/>
      <c r="D170" s="95" t="n"/>
      <c r="E170" s="95" t="n"/>
      <c r="F170" s="95" t="n"/>
      <c r="G170" s="92">
        <f>IF(B170="","",IFERROR(INDEX(Roster!$C$6:$C$65,MATCH(B170,Roster!$B$6:$B$65,0)),"not on the Roster"))</f>
        <v/>
      </c>
      <c r="H170" s="95" t="n"/>
    </row>
    <row r="171">
      <c r="A171" s="122" t="n"/>
      <c r="B171" s="105" t="n"/>
      <c r="C171" s="105" t="n"/>
      <c r="D171" s="95" t="n"/>
      <c r="E171" s="95" t="n"/>
      <c r="F171" s="95" t="n"/>
      <c r="G171" s="92">
        <f>IF(B171="","",IFERROR(INDEX(Roster!$C$6:$C$65,MATCH(B171,Roster!$B$6:$B$65,0)),"not on the Roster"))</f>
        <v/>
      </c>
      <c r="H171" s="95" t="n"/>
    </row>
    <row r="172">
      <c r="A172" s="122" t="n"/>
      <c r="B172" s="105" t="n"/>
      <c r="C172" s="105" t="n"/>
      <c r="D172" s="95" t="n"/>
      <c r="E172" s="95" t="n"/>
      <c r="F172" s="95" t="n"/>
      <c r="G172" s="92">
        <f>IF(B172="","",IFERROR(INDEX(Roster!$C$6:$C$65,MATCH(B172,Roster!$B$6:$B$65,0)),"not on the Roster"))</f>
        <v/>
      </c>
      <c r="H172" s="95" t="n"/>
    </row>
    <row r="173">
      <c r="A173" s="122" t="n"/>
      <c r="B173" s="105" t="n"/>
      <c r="C173" s="105" t="n"/>
      <c r="D173" s="95" t="n"/>
      <c r="E173" s="95" t="n"/>
      <c r="F173" s="95" t="n"/>
      <c r="G173" s="92">
        <f>IF(B173="","",IFERROR(INDEX(Roster!$C$6:$C$65,MATCH(B173,Roster!$B$6:$B$65,0)),"not on the Roster"))</f>
        <v/>
      </c>
      <c r="H173" s="95" t="n"/>
    </row>
    <row r="174">
      <c r="A174" s="122" t="n"/>
      <c r="B174" s="105" t="n"/>
      <c r="C174" s="105" t="n"/>
      <c r="D174" s="95" t="n"/>
      <c r="E174" s="95" t="n"/>
      <c r="F174" s="95" t="n"/>
      <c r="G174" s="92">
        <f>IF(B174="","",IFERROR(INDEX(Roster!$C$6:$C$65,MATCH(B174,Roster!$B$6:$B$65,0)),"not on the Roster"))</f>
        <v/>
      </c>
      <c r="H174" s="95" t="n"/>
    </row>
    <row r="175">
      <c r="A175" s="122" t="n"/>
      <c r="B175" s="105" t="n"/>
      <c r="C175" s="105" t="n"/>
      <c r="D175" s="95" t="n"/>
      <c r="E175" s="95" t="n"/>
      <c r="F175" s="95" t="n"/>
      <c r="G175" s="92">
        <f>IF(B175="","",IFERROR(INDEX(Roster!$C$6:$C$65,MATCH(B175,Roster!$B$6:$B$65,0)),"not on the Roster"))</f>
        <v/>
      </c>
      <c r="H175" s="95" t="n"/>
    </row>
    <row r="176">
      <c r="A176" s="122" t="n"/>
      <c r="B176" s="105" t="n"/>
      <c r="C176" s="105" t="n"/>
      <c r="D176" s="95" t="n"/>
      <c r="E176" s="95" t="n"/>
      <c r="F176" s="95" t="n"/>
      <c r="G176" s="92">
        <f>IF(B176="","",IFERROR(INDEX(Roster!$C$6:$C$65,MATCH(B176,Roster!$B$6:$B$65,0)),"not on the Roster"))</f>
        <v/>
      </c>
      <c r="H176" s="95" t="n"/>
    </row>
    <row r="177">
      <c r="A177" s="122" t="n"/>
      <c r="B177" s="105" t="n"/>
      <c r="C177" s="105" t="n"/>
      <c r="D177" s="95" t="n"/>
      <c r="E177" s="95" t="n"/>
      <c r="F177" s="95" t="n"/>
      <c r="G177" s="92">
        <f>IF(B177="","",IFERROR(INDEX(Roster!$C$6:$C$65,MATCH(B177,Roster!$B$6:$B$65,0)),"not on the Roster"))</f>
        <v/>
      </c>
      <c r="H177" s="95" t="n"/>
    </row>
    <row r="178">
      <c r="A178" s="122" t="n"/>
      <c r="B178" s="105" t="n"/>
      <c r="C178" s="105" t="n"/>
      <c r="D178" s="95" t="n"/>
      <c r="E178" s="95" t="n"/>
      <c r="F178" s="95" t="n"/>
      <c r="G178" s="92">
        <f>IF(B178="","",IFERROR(INDEX(Roster!$C$6:$C$65,MATCH(B178,Roster!$B$6:$B$65,0)),"not on the Roster"))</f>
        <v/>
      </c>
      <c r="H178" s="95" t="n"/>
    </row>
    <row r="179">
      <c r="A179" s="122" t="n"/>
      <c r="B179" s="105" t="n"/>
      <c r="C179" s="105" t="n"/>
      <c r="D179" s="95" t="n"/>
      <c r="E179" s="95" t="n"/>
      <c r="F179" s="95" t="n"/>
      <c r="G179" s="92">
        <f>IF(B179="","",IFERROR(INDEX(Roster!$C$6:$C$65,MATCH(B179,Roster!$B$6:$B$65,0)),"not on the Roster"))</f>
        <v/>
      </c>
      <c r="H179" s="95" t="n"/>
    </row>
    <row r="180">
      <c r="A180" s="122" t="n"/>
      <c r="B180" s="105" t="n"/>
      <c r="C180" s="105" t="n"/>
      <c r="D180" s="95" t="n"/>
      <c r="E180" s="95" t="n"/>
      <c r="F180" s="95" t="n"/>
      <c r="G180" s="92">
        <f>IF(B180="","",IFERROR(INDEX(Roster!$C$6:$C$65,MATCH(B180,Roster!$B$6:$B$65,0)),"not on the Roster"))</f>
        <v/>
      </c>
      <c r="H180" s="95" t="n"/>
    </row>
    <row r="181">
      <c r="A181" s="122" t="n"/>
      <c r="B181" s="105" t="n"/>
      <c r="C181" s="105" t="n"/>
      <c r="D181" s="95" t="n"/>
      <c r="E181" s="95" t="n"/>
      <c r="F181" s="95" t="n"/>
      <c r="G181" s="92">
        <f>IF(B181="","",IFERROR(INDEX(Roster!$C$6:$C$65,MATCH(B181,Roster!$B$6:$B$65,0)),"not on the Roster"))</f>
        <v/>
      </c>
      <c r="H181" s="95" t="n"/>
    </row>
    <row r="182">
      <c r="A182" s="122" t="n"/>
      <c r="B182" s="105" t="n"/>
      <c r="C182" s="105" t="n"/>
      <c r="D182" s="95" t="n"/>
      <c r="E182" s="95" t="n"/>
      <c r="F182" s="95" t="n"/>
      <c r="G182" s="92">
        <f>IF(B182="","",IFERROR(INDEX(Roster!$C$6:$C$65,MATCH(B182,Roster!$B$6:$B$65,0)),"not on the Roster"))</f>
        <v/>
      </c>
      <c r="H182" s="95" t="n"/>
    </row>
    <row r="183">
      <c r="A183" s="122" t="n"/>
      <c r="B183" s="105" t="n"/>
      <c r="C183" s="105" t="n"/>
      <c r="D183" s="95" t="n"/>
      <c r="E183" s="95" t="n"/>
      <c r="F183" s="95" t="n"/>
      <c r="G183" s="92">
        <f>IF(B183="","",IFERROR(INDEX(Roster!$C$6:$C$65,MATCH(B183,Roster!$B$6:$B$65,0)),"not on the Roster"))</f>
        <v/>
      </c>
      <c r="H183" s="95" t="n"/>
    </row>
    <row r="184">
      <c r="A184" s="122" t="n"/>
      <c r="B184" s="105" t="n"/>
      <c r="C184" s="105" t="n"/>
      <c r="D184" s="95" t="n"/>
      <c r="E184" s="95" t="n"/>
      <c r="F184" s="95" t="n"/>
      <c r="G184" s="92">
        <f>IF(B184="","",IFERROR(INDEX(Roster!$C$6:$C$65,MATCH(B184,Roster!$B$6:$B$65,0)),"not on the Roster"))</f>
        <v/>
      </c>
      <c r="H184" s="95" t="n"/>
    </row>
    <row r="185">
      <c r="A185" s="122" t="n"/>
      <c r="B185" s="105" t="n"/>
      <c r="C185" s="105" t="n"/>
      <c r="D185" s="95" t="n"/>
      <c r="E185" s="95" t="n"/>
      <c r="F185" s="95" t="n"/>
      <c r="G185" s="92">
        <f>IF(B185="","",IFERROR(INDEX(Roster!$C$6:$C$65,MATCH(B185,Roster!$B$6:$B$65,0)),"not on the Roster"))</f>
        <v/>
      </c>
      <c r="H185" s="95" t="n"/>
    </row>
    <row r="186">
      <c r="A186" s="122" t="n"/>
      <c r="B186" s="105" t="n"/>
      <c r="C186" s="105" t="n"/>
      <c r="D186" s="95" t="n"/>
      <c r="E186" s="95" t="n"/>
      <c r="F186" s="95" t="n"/>
      <c r="G186" s="92">
        <f>IF(B186="","",IFERROR(INDEX(Roster!$C$6:$C$65,MATCH(B186,Roster!$B$6:$B$65,0)),"not on the Roster"))</f>
        <v/>
      </c>
      <c r="H186" s="95" t="n"/>
    </row>
    <row r="187">
      <c r="A187" s="122" t="n"/>
      <c r="B187" s="105" t="n"/>
      <c r="C187" s="105" t="n"/>
      <c r="D187" s="95" t="n"/>
      <c r="E187" s="95" t="n"/>
      <c r="F187" s="95" t="n"/>
      <c r="G187" s="92">
        <f>IF(B187="","",IFERROR(INDEX(Roster!$C$6:$C$65,MATCH(B187,Roster!$B$6:$B$65,0)),"not on the Roster"))</f>
        <v/>
      </c>
      <c r="H187" s="95" t="n"/>
    </row>
    <row r="188">
      <c r="A188" s="122" t="n"/>
      <c r="B188" s="105" t="n"/>
      <c r="C188" s="105" t="n"/>
      <c r="D188" s="95" t="n"/>
      <c r="E188" s="95" t="n"/>
      <c r="F188" s="95" t="n"/>
      <c r="G188" s="92">
        <f>IF(B188="","",IFERROR(INDEX(Roster!$C$6:$C$65,MATCH(B188,Roster!$B$6:$B$65,0)),"not on the Roster"))</f>
        <v/>
      </c>
      <c r="H188" s="95" t="n"/>
    </row>
    <row r="189">
      <c r="A189" s="122" t="n"/>
      <c r="B189" s="105" t="n"/>
      <c r="C189" s="105" t="n"/>
      <c r="D189" s="95" t="n"/>
      <c r="E189" s="95" t="n"/>
      <c r="F189" s="95" t="n"/>
      <c r="G189" s="92">
        <f>IF(B189="","",IFERROR(INDEX(Roster!$C$6:$C$65,MATCH(B189,Roster!$B$6:$B$65,0)),"not on the Roster"))</f>
        <v/>
      </c>
      <c r="H189" s="95" t="n"/>
    </row>
    <row r="190">
      <c r="A190" s="122" t="n"/>
      <c r="B190" s="105" t="n"/>
      <c r="C190" s="105" t="n"/>
      <c r="D190" s="95" t="n"/>
      <c r="E190" s="95" t="n"/>
      <c r="F190" s="95" t="n"/>
      <c r="G190" s="92">
        <f>IF(B190="","",IFERROR(INDEX(Roster!$C$6:$C$65,MATCH(B190,Roster!$B$6:$B$65,0)),"not on the Roster"))</f>
        <v/>
      </c>
      <c r="H190" s="95" t="n"/>
    </row>
    <row r="191">
      <c r="A191" s="122" t="n"/>
      <c r="B191" s="105" t="n"/>
      <c r="C191" s="105" t="n"/>
      <c r="D191" s="95" t="n"/>
      <c r="E191" s="95" t="n"/>
      <c r="F191" s="95" t="n"/>
      <c r="G191" s="92">
        <f>IF(B191="","",IFERROR(INDEX(Roster!$C$6:$C$65,MATCH(B191,Roster!$B$6:$B$65,0)),"not on the Roster"))</f>
        <v/>
      </c>
      <c r="H191" s="95" t="n"/>
    </row>
    <row r="192">
      <c r="A192" s="122" t="n"/>
      <c r="B192" s="105" t="n"/>
      <c r="C192" s="105" t="n"/>
      <c r="D192" s="95" t="n"/>
      <c r="E192" s="95" t="n"/>
      <c r="F192" s="95" t="n"/>
      <c r="G192" s="92">
        <f>IF(B192="","",IFERROR(INDEX(Roster!$C$6:$C$65,MATCH(B192,Roster!$B$6:$B$65,0)),"not on the Roster"))</f>
        <v/>
      </c>
      <c r="H192" s="95" t="n"/>
    </row>
    <row r="193">
      <c r="A193" s="122" t="n"/>
      <c r="B193" s="105" t="n"/>
      <c r="C193" s="105" t="n"/>
      <c r="D193" s="95" t="n"/>
      <c r="E193" s="95" t="n"/>
      <c r="F193" s="95" t="n"/>
      <c r="G193" s="92">
        <f>IF(B193="","",IFERROR(INDEX(Roster!$C$6:$C$65,MATCH(B193,Roster!$B$6:$B$65,0)),"not on the Roster"))</f>
        <v/>
      </c>
      <c r="H193" s="95" t="n"/>
    </row>
    <row r="194">
      <c r="A194" s="122" t="n"/>
      <c r="B194" s="105" t="n"/>
      <c r="C194" s="105" t="n"/>
      <c r="D194" s="95" t="n"/>
      <c r="E194" s="95" t="n"/>
      <c r="F194" s="95" t="n"/>
      <c r="G194" s="92">
        <f>IF(B194="","",IFERROR(INDEX(Roster!$C$6:$C$65,MATCH(B194,Roster!$B$6:$B$65,0)),"not on the Roster"))</f>
        <v/>
      </c>
      <c r="H194" s="95" t="n"/>
    </row>
    <row r="195">
      <c r="A195" s="122" t="n"/>
      <c r="B195" s="105" t="n"/>
      <c r="C195" s="105" t="n"/>
      <c r="D195" s="95" t="n"/>
      <c r="E195" s="95" t="n"/>
      <c r="F195" s="95" t="n"/>
      <c r="G195" s="92">
        <f>IF(B195="","",IFERROR(INDEX(Roster!$C$6:$C$65,MATCH(B195,Roster!$B$6:$B$65,0)),"not on the Roster"))</f>
        <v/>
      </c>
      <c r="H195" s="95" t="n"/>
    </row>
    <row r="196">
      <c r="A196" s="122" t="n"/>
      <c r="B196" s="105" t="n"/>
      <c r="C196" s="105" t="n"/>
      <c r="D196" s="95" t="n"/>
      <c r="E196" s="95" t="n"/>
      <c r="F196" s="95" t="n"/>
      <c r="G196" s="92">
        <f>IF(B196="","",IFERROR(INDEX(Roster!$C$6:$C$65,MATCH(B196,Roster!$B$6:$B$65,0)),"not on the Roster"))</f>
        <v/>
      </c>
      <c r="H196" s="95" t="n"/>
    </row>
    <row r="197">
      <c r="A197" s="122" t="n"/>
      <c r="B197" s="105" t="n"/>
      <c r="C197" s="105" t="n"/>
      <c r="D197" s="95" t="n"/>
      <c r="E197" s="95" t="n"/>
      <c r="F197" s="95" t="n"/>
      <c r="G197" s="92">
        <f>IF(B197="","",IFERROR(INDEX(Roster!$C$6:$C$65,MATCH(B197,Roster!$B$6:$B$65,0)),"not on the Roster"))</f>
        <v/>
      </c>
      <c r="H197" s="95" t="n"/>
    </row>
    <row r="198">
      <c r="A198" s="122" t="n"/>
      <c r="B198" s="105" t="n"/>
      <c r="C198" s="105" t="n"/>
      <c r="D198" s="95" t="n"/>
      <c r="E198" s="95" t="n"/>
      <c r="F198" s="95" t="n"/>
      <c r="G198" s="92">
        <f>IF(B198="","",IFERROR(INDEX(Roster!$C$6:$C$65,MATCH(B198,Roster!$B$6:$B$65,0)),"not on the Roster"))</f>
        <v/>
      </c>
      <c r="H198" s="95" t="n"/>
    </row>
    <row r="199">
      <c r="A199" s="122" t="n"/>
      <c r="B199" s="105" t="n"/>
      <c r="C199" s="105" t="n"/>
      <c r="D199" s="95" t="n"/>
      <c r="E199" s="95" t="n"/>
      <c r="F199" s="95" t="n"/>
      <c r="G199" s="92">
        <f>IF(B199="","",IFERROR(INDEX(Roster!$C$6:$C$65,MATCH(B199,Roster!$B$6:$B$65,0)),"not on the Roster"))</f>
        <v/>
      </c>
      <c r="H199" s="95" t="n"/>
    </row>
    <row r="200">
      <c r="A200" s="122" t="n"/>
      <c r="B200" s="105" t="n"/>
      <c r="C200" s="105" t="n"/>
      <c r="D200" s="95" t="n"/>
      <c r="E200" s="95" t="n"/>
      <c r="F200" s="95" t="n"/>
      <c r="G200" s="92">
        <f>IF(B200="","",IFERROR(INDEX(Roster!$C$6:$C$65,MATCH(B200,Roster!$B$6:$B$65,0)),"not on the Roster"))</f>
        <v/>
      </c>
      <c r="H200" s="95" t="n"/>
    </row>
    <row r="201">
      <c r="A201" s="122" t="n"/>
      <c r="B201" s="105" t="n"/>
      <c r="C201" s="105" t="n"/>
      <c r="D201" s="95" t="n"/>
      <c r="E201" s="95" t="n"/>
      <c r="F201" s="95" t="n"/>
      <c r="G201" s="92">
        <f>IF(B201="","",IFERROR(INDEX(Roster!$C$6:$C$65,MATCH(B201,Roster!$B$6:$B$65,0)),"not on the Roster"))</f>
        <v/>
      </c>
      <c r="H201" s="95" t="n"/>
    </row>
    <row r="202">
      <c r="A202" s="122" t="n"/>
      <c r="B202" s="105" t="n"/>
      <c r="C202" s="105" t="n"/>
      <c r="D202" s="95" t="n"/>
      <c r="E202" s="95" t="n"/>
      <c r="F202" s="95" t="n"/>
      <c r="G202" s="92">
        <f>IF(B202="","",IFERROR(INDEX(Roster!$C$6:$C$65,MATCH(B202,Roster!$B$6:$B$65,0)),"not on the Roster"))</f>
        <v/>
      </c>
      <c r="H202" s="95" t="n"/>
    </row>
    <row r="203">
      <c r="A203" s="122" t="n"/>
      <c r="B203" s="105" t="n"/>
      <c r="C203" s="105" t="n"/>
      <c r="D203" s="95" t="n"/>
      <c r="E203" s="95" t="n"/>
      <c r="F203" s="95" t="n"/>
      <c r="G203" s="92">
        <f>IF(B203="","",IFERROR(INDEX(Roster!$C$6:$C$65,MATCH(B203,Roster!$B$6:$B$65,0)),"not on the Roster"))</f>
        <v/>
      </c>
      <c r="H203" s="95" t="n"/>
    </row>
    <row r="204">
      <c r="A204" s="122" t="n"/>
      <c r="B204" s="105" t="n"/>
      <c r="C204" s="105" t="n"/>
      <c r="D204" s="95" t="n"/>
      <c r="E204" s="95" t="n"/>
      <c r="F204" s="95" t="n"/>
      <c r="G204" s="92">
        <f>IF(B204="","",IFERROR(INDEX(Roster!$C$6:$C$65,MATCH(B204,Roster!$B$6:$B$65,0)),"not on the Roster"))</f>
        <v/>
      </c>
      <c r="H204" s="95" t="n"/>
    </row>
    <row r="205">
      <c r="A205" s="122" t="n"/>
      <c r="B205" s="105" t="n"/>
      <c r="C205" s="105" t="n"/>
      <c r="D205" s="95" t="n"/>
      <c r="E205" s="95" t="n"/>
      <c r="F205" s="95" t="n"/>
      <c r="G205" s="92">
        <f>IF(B205="","",IFERROR(INDEX(Roster!$C$6:$C$65,MATCH(B205,Roster!$B$6:$B$65,0)),"not on the Roster"))</f>
        <v/>
      </c>
      <c r="H205" s="95" t="n"/>
    </row>
    <row r="206">
      <c r="A206" s="122" t="n"/>
      <c r="B206" s="105" t="n"/>
      <c r="C206" s="105" t="n"/>
      <c r="D206" s="95" t="n"/>
      <c r="E206" s="95" t="n"/>
      <c r="F206" s="95" t="n"/>
      <c r="G206" s="92">
        <f>IF(B206="","",IFERROR(INDEX(Roster!$C$6:$C$65,MATCH(B206,Roster!$B$6:$B$65,0)),"not on the Roster"))</f>
        <v/>
      </c>
      <c r="H206" s="95" t="n"/>
    </row>
    <row r="207">
      <c r="A207" s="122" t="n"/>
      <c r="B207" s="105" t="n"/>
      <c r="C207" s="105" t="n"/>
      <c r="D207" s="95" t="n"/>
      <c r="E207" s="95" t="n"/>
      <c r="F207" s="95" t="n"/>
      <c r="G207" s="92">
        <f>IF(B207="","",IFERROR(INDEX(Roster!$C$6:$C$65,MATCH(B207,Roster!$B$6:$B$65,0)),"not on the Roster"))</f>
        <v/>
      </c>
      <c r="H207" s="95" t="n"/>
    </row>
    <row r="208">
      <c r="A208" s="122" t="n"/>
      <c r="B208" s="105" t="n"/>
      <c r="C208" s="105" t="n"/>
      <c r="D208" s="95" t="n"/>
      <c r="E208" s="95" t="n"/>
      <c r="F208" s="95" t="n"/>
      <c r="G208" s="92">
        <f>IF(B208="","",IFERROR(INDEX(Roster!$C$6:$C$65,MATCH(B208,Roster!$B$6:$B$65,0)),"not on the Roster"))</f>
        <v/>
      </c>
      <c r="H208" s="95" t="n"/>
    </row>
    <row r="209">
      <c r="A209" s="122" t="n"/>
      <c r="B209" s="105" t="n"/>
      <c r="C209" s="105" t="n"/>
      <c r="D209" s="95" t="n"/>
      <c r="E209" s="95" t="n"/>
      <c r="F209" s="95" t="n"/>
      <c r="G209" s="92">
        <f>IF(B209="","",IFERROR(INDEX(Roster!$C$6:$C$65,MATCH(B209,Roster!$B$6:$B$65,0)),"not on the Roster"))</f>
        <v/>
      </c>
      <c r="H209" s="95" t="n"/>
    </row>
    <row r="210">
      <c r="A210" s="122" t="n"/>
      <c r="B210" s="105" t="n"/>
      <c r="C210" s="105" t="n"/>
      <c r="D210" s="95" t="n"/>
      <c r="E210" s="95" t="n"/>
      <c r="F210" s="95" t="n"/>
      <c r="G210" s="92">
        <f>IF(B210="","",IFERROR(INDEX(Roster!$C$6:$C$65,MATCH(B210,Roster!$B$6:$B$65,0)),"not on the Roster"))</f>
        <v/>
      </c>
      <c r="H210" s="95" t="n"/>
    </row>
    <row r="211">
      <c r="A211" s="122" t="n"/>
      <c r="B211" s="105" t="n"/>
      <c r="C211" s="105" t="n"/>
      <c r="D211" s="95" t="n"/>
      <c r="E211" s="95" t="n"/>
      <c r="F211" s="95" t="n"/>
      <c r="G211" s="92">
        <f>IF(B211="","",IFERROR(INDEX(Roster!$C$6:$C$65,MATCH(B211,Roster!$B$6:$B$65,0)),"not on the Roster"))</f>
        <v/>
      </c>
      <c r="H211" s="95" t="n"/>
    </row>
    <row r="212">
      <c r="A212" s="122" t="n"/>
      <c r="B212" s="105" t="n"/>
      <c r="C212" s="105" t="n"/>
      <c r="D212" s="95" t="n"/>
      <c r="E212" s="95" t="n"/>
      <c r="F212" s="95" t="n"/>
      <c r="G212" s="92">
        <f>IF(B212="","",IFERROR(INDEX(Roster!$C$6:$C$65,MATCH(B212,Roster!$B$6:$B$65,0)),"not on the Roster"))</f>
        <v/>
      </c>
      <c r="H212" s="95" t="n"/>
    </row>
    <row r="213">
      <c r="A213" s="122" t="n"/>
      <c r="B213" s="105" t="n"/>
      <c r="C213" s="105" t="n"/>
      <c r="D213" s="95" t="n"/>
      <c r="E213" s="95" t="n"/>
      <c r="F213" s="95" t="n"/>
      <c r="G213" s="92">
        <f>IF(B213="","",IFERROR(INDEX(Roster!$C$6:$C$65,MATCH(B213,Roster!$B$6:$B$65,0)),"not on the Roster"))</f>
        <v/>
      </c>
      <c r="H213" s="95" t="n"/>
    </row>
    <row r="214">
      <c r="A214" s="122" t="n"/>
      <c r="B214" s="105" t="n"/>
      <c r="C214" s="105" t="n"/>
      <c r="D214" s="95" t="n"/>
      <c r="E214" s="95" t="n"/>
      <c r="F214" s="95" t="n"/>
      <c r="G214" s="92">
        <f>IF(B214="","",IFERROR(INDEX(Roster!$C$6:$C$65,MATCH(B214,Roster!$B$6:$B$65,0)),"not on the Roster"))</f>
        <v/>
      </c>
      <c r="H214" s="95" t="n"/>
    </row>
    <row r="215">
      <c r="A215" s="122" t="n"/>
      <c r="B215" s="105" t="n"/>
      <c r="C215" s="105" t="n"/>
      <c r="D215" s="95" t="n"/>
      <c r="E215" s="95" t="n"/>
      <c r="F215" s="95" t="n"/>
      <c r="G215" s="92">
        <f>IF(B215="","",IFERROR(INDEX(Roster!$C$6:$C$65,MATCH(B215,Roster!$B$6:$B$65,0)),"not on the Roster"))</f>
        <v/>
      </c>
      <c r="H215" s="95" t="n"/>
    </row>
    <row r="216">
      <c r="A216" s="122" t="n"/>
      <c r="B216" s="105" t="n"/>
      <c r="C216" s="105" t="n"/>
      <c r="D216" s="95" t="n"/>
      <c r="E216" s="95" t="n"/>
      <c r="F216" s="95" t="n"/>
      <c r="G216" s="92">
        <f>IF(B216="","",IFERROR(INDEX(Roster!$C$6:$C$65,MATCH(B216,Roster!$B$6:$B$65,0)),"not on the Roster"))</f>
        <v/>
      </c>
      <c r="H216" s="95" t="n"/>
    </row>
    <row r="217">
      <c r="A217" s="122" t="n"/>
      <c r="B217" s="105" t="n"/>
      <c r="C217" s="105" t="n"/>
      <c r="D217" s="95" t="n"/>
      <c r="E217" s="95" t="n"/>
      <c r="F217" s="95" t="n"/>
      <c r="G217" s="92">
        <f>IF(B217="","",IFERROR(INDEX(Roster!$C$6:$C$65,MATCH(B217,Roster!$B$6:$B$65,0)),"not on the Roster"))</f>
        <v/>
      </c>
      <c r="H217" s="95" t="n"/>
    </row>
    <row r="218">
      <c r="A218" s="122" t="n"/>
      <c r="B218" s="105" t="n"/>
      <c r="C218" s="105" t="n"/>
      <c r="D218" s="95" t="n"/>
      <c r="E218" s="95" t="n"/>
      <c r="F218" s="95" t="n"/>
      <c r="G218" s="92">
        <f>IF(B218="","",IFERROR(INDEX(Roster!$C$6:$C$65,MATCH(B218,Roster!$B$6:$B$65,0)),"not on the Roster"))</f>
        <v/>
      </c>
      <c r="H218" s="95" t="n"/>
    </row>
    <row r="219">
      <c r="A219" s="122" t="n"/>
      <c r="B219" s="105" t="n"/>
      <c r="C219" s="105" t="n"/>
      <c r="D219" s="95" t="n"/>
      <c r="E219" s="95" t="n"/>
      <c r="F219" s="95" t="n"/>
      <c r="G219" s="92">
        <f>IF(B219="","",IFERROR(INDEX(Roster!$C$6:$C$65,MATCH(B219,Roster!$B$6:$B$65,0)),"not on the Roster"))</f>
        <v/>
      </c>
      <c r="H219" s="95" t="n"/>
    </row>
    <row r="220">
      <c r="A220" s="122" t="n"/>
      <c r="B220" s="105" t="n"/>
      <c r="C220" s="105" t="n"/>
      <c r="D220" s="95" t="n"/>
      <c r="E220" s="95" t="n"/>
      <c r="F220" s="95" t="n"/>
      <c r="G220" s="92">
        <f>IF(B220="","",IFERROR(INDEX(Roster!$C$6:$C$65,MATCH(B220,Roster!$B$6:$B$65,0)),"not on the Roster"))</f>
        <v/>
      </c>
      <c r="H220" s="95" t="n"/>
    </row>
    <row r="221">
      <c r="A221" s="122" t="n"/>
      <c r="B221" s="105" t="n"/>
      <c r="C221" s="105" t="n"/>
      <c r="D221" s="95" t="n"/>
      <c r="E221" s="95" t="n"/>
      <c r="F221" s="95" t="n"/>
      <c r="G221" s="92">
        <f>IF(B221="","",IFERROR(INDEX(Roster!$C$6:$C$65,MATCH(B221,Roster!$B$6:$B$65,0)),"not on the Roster"))</f>
        <v/>
      </c>
      <c r="H221" s="95" t="n"/>
    </row>
    <row r="222">
      <c r="A222" s="122" t="n"/>
      <c r="B222" s="105" t="n"/>
      <c r="C222" s="105" t="n"/>
      <c r="D222" s="95" t="n"/>
      <c r="E222" s="95" t="n"/>
      <c r="F222" s="95" t="n"/>
      <c r="G222" s="92">
        <f>IF(B222="","",IFERROR(INDEX(Roster!$C$6:$C$65,MATCH(B222,Roster!$B$6:$B$65,0)),"not on the Roster"))</f>
        <v/>
      </c>
      <c r="H222" s="95" t="n"/>
    </row>
    <row r="223">
      <c r="A223" s="122" t="n"/>
      <c r="B223" s="105" t="n"/>
      <c r="C223" s="105" t="n"/>
      <c r="D223" s="95" t="n"/>
      <c r="E223" s="95" t="n"/>
      <c r="F223" s="95" t="n"/>
      <c r="G223" s="92">
        <f>IF(B223="","",IFERROR(INDEX(Roster!$C$6:$C$65,MATCH(B223,Roster!$B$6:$B$65,0)),"not on the Roster"))</f>
        <v/>
      </c>
      <c r="H223" s="95" t="n"/>
    </row>
    <row r="224">
      <c r="A224" s="122" t="n"/>
      <c r="B224" s="105" t="n"/>
      <c r="C224" s="105" t="n"/>
      <c r="D224" s="95" t="n"/>
      <c r="E224" s="95" t="n"/>
      <c r="F224" s="95" t="n"/>
      <c r="G224" s="92">
        <f>IF(B224="","",IFERROR(INDEX(Roster!$C$6:$C$65,MATCH(B224,Roster!$B$6:$B$65,0)),"not on the Roster"))</f>
        <v/>
      </c>
      <c r="H224" s="95" t="n"/>
    </row>
    <row r="225">
      <c r="A225" s="122" t="n"/>
      <c r="B225" s="105" t="n"/>
      <c r="C225" s="105" t="n"/>
      <c r="D225" s="95" t="n"/>
      <c r="E225" s="95" t="n"/>
      <c r="F225" s="95" t="n"/>
      <c r="G225" s="92">
        <f>IF(B225="","",IFERROR(INDEX(Roster!$C$6:$C$65,MATCH(B225,Roster!$B$6:$B$65,0)),"not on the Roster"))</f>
        <v/>
      </c>
      <c r="H225" s="95" t="n"/>
    </row>
    <row r="226">
      <c r="A226" s="122" t="n"/>
      <c r="B226" s="105" t="n"/>
      <c r="C226" s="105" t="n"/>
      <c r="D226" s="95" t="n"/>
      <c r="E226" s="95" t="n"/>
      <c r="F226" s="95" t="n"/>
      <c r="G226" s="92">
        <f>IF(B226="","",IFERROR(INDEX(Roster!$C$6:$C$65,MATCH(B226,Roster!$B$6:$B$65,0)),"not on the Roster"))</f>
        <v/>
      </c>
      <c r="H226" s="95" t="n"/>
    </row>
    <row r="227">
      <c r="A227" s="122" t="n"/>
      <c r="B227" s="105" t="n"/>
      <c r="C227" s="105" t="n"/>
      <c r="D227" s="95" t="n"/>
      <c r="E227" s="95" t="n"/>
      <c r="F227" s="95" t="n"/>
      <c r="G227" s="92">
        <f>IF(B227="","",IFERROR(INDEX(Roster!$C$6:$C$65,MATCH(B227,Roster!$B$6:$B$65,0)),"not on the Roster"))</f>
        <v/>
      </c>
      <c r="H227" s="95" t="n"/>
    </row>
    <row r="228">
      <c r="A228" s="122" t="n"/>
      <c r="B228" s="105" t="n"/>
      <c r="C228" s="105" t="n"/>
      <c r="D228" s="95" t="n"/>
      <c r="E228" s="95" t="n"/>
      <c r="F228" s="95" t="n"/>
      <c r="G228" s="92">
        <f>IF(B228="","",IFERROR(INDEX(Roster!$C$6:$C$65,MATCH(B228,Roster!$B$6:$B$65,0)),"not on the Roster"))</f>
        <v/>
      </c>
      <c r="H228" s="95" t="n"/>
    </row>
    <row r="229">
      <c r="A229" s="122" t="n"/>
      <c r="B229" s="105" t="n"/>
      <c r="C229" s="105" t="n"/>
      <c r="D229" s="95" t="n"/>
      <c r="E229" s="95" t="n"/>
      <c r="F229" s="95" t="n"/>
      <c r="G229" s="92">
        <f>IF(B229="","",IFERROR(INDEX(Roster!$C$6:$C$65,MATCH(B229,Roster!$B$6:$B$65,0)),"not on the Roster"))</f>
        <v/>
      </c>
      <c r="H229" s="95" t="n"/>
    </row>
    <row r="230">
      <c r="A230" s="122" t="n"/>
      <c r="B230" s="105" t="n"/>
      <c r="C230" s="105" t="n"/>
      <c r="D230" s="95" t="n"/>
      <c r="E230" s="95" t="n"/>
      <c r="F230" s="95" t="n"/>
      <c r="G230" s="92">
        <f>IF(B230="","",IFERROR(INDEX(Roster!$C$6:$C$65,MATCH(B230,Roster!$B$6:$B$65,0)),"not on the Roster"))</f>
        <v/>
      </c>
      <c r="H230" s="95" t="n"/>
    </row>
    <row r="231">
      <c r="A231" s="122" t="n"/>
      <c r="B231" s="105" t="n"/>
      <c r="C231" s="105" t="n"/>
      <c r="D231" s="95" t="n"/>
      <c r="E231" s="95" t="n"/>
      <c r="F231" s="95" t="n"/>
      <c r="G231" s="92">
        <f>IF(B231="","",IFERROR(INDEX(Roster!$C$6:$C$65,MATCH(B231,Roster!$B$6:$B$65,0)),"not on the Roster"))</f>
        <v/>
      </c>
      <c r="H231" s="95" t="n"/>
    </row>
    <row r="232">
      <c r="A232" s="122" t="n"/>
      <c r="B232" s="105" t="n"/>
      <c r="C232" s="105" t="n"/>
      <c r="D232" s="95" t="n"/>
      <c r="E232" s="95" t="n"/>
      <c r="F232" s="95" t="n"/>
      <c r="G232" s="92">
        <f>IF(B232="","",IFERROR(INDEX(Roster!$C$6:$C$65,MATCH(B232,Roster!$B$6:$B$65,0)),"not on the Roster"))</f>
        <v/>
      </c>
      <c r="H232" s="95" t="n"/>
    </row>
    <row r="233">
      <c r="A233" s="122" t="n"/>
      <c r="B233" s="105" t="n"/>
      <c r="C233" s="105" t="n"/>
      <c r="D233" s="95" t="n"/>
      <c r="E233" s="95" t="n"/>
      <c r="F233" s="95" t="n"/>
      <c r="G233" s="92">
        <f>IF(B233="","",IFERROR(INDEX(Roster!$C$6:$C$65,MATCH(B233,Roster!$B$6:$B$65,0)),"not on the Roster"))</f>
        <v/>
      </c>
      <c r="H233" s="95" t="n"/>
    </row>
    <row r="234">
      <c r="A234" s="122" t="n"/>
      <c r="B234" s="105" t="n"/>
      <c r="C234" s="105" t="n"/>
      <c r="D234" s="95" t="n"/>
      <c r="E234" s="95" t="n"/>
      <c r="F234" s="95" t="n"/>
      <c r="G234" s="92">
        <f>IF(B234="","",IFERROR(INDEX(Roster!$C$6:$C$65,MATCH(B234,Roster!$B$6:$B$65,0)),"not on the Roster"))</f>
        <v/>
      </c>
      <c r="H234" s="95" t="n"/>
    </row>
    <row r="235">
      <c r="A235" s="122" t="n"/>
      <c r="B235" s="105" t="n"/>
      <c r="C235" s="105" t="n"/>
      <c r="D235" s="95" t="n"/>
      <c r="E235" s="95" t="n"/>
      <c r="F235" s="95" t="n"/>
      <c r="G235" s="92">
        <f>IF(B235="","",IFERROR(INDEX(Roster!$C$6:$C$65,MATCH(B235,Roster!$B$6:$B$65,0)),"not on the Roster"))</f>
        <v/>
      </c>
      <c r="H235" s="95" t="n"/>
    </row>
    <row r="236">
      <c r="A236" s="122" t="n"/>
      <c r="B236" s="105" t="n"/>
      <c r="C236" s="105" t="n"/>
      <c r="D236" s="95" t="n"/>
      <c r="E236" s="95" t="n"/>
      <c r="F236" s="95" t="n"/>
      <c r="G236" s="92">
        <f>IF(B236="","",IFERROR(INDEX(Roster!$C$6:$C$65,MATCH(B236,Roster!$B$6:$B$65,0)),"not on the Roster"))</f>
        <v/>
      </c>
      <c r="H236" s="95" t="n"/>
    </row>
    <row r="237">
      <c r="A237" s="122" t="n"/>
      <c r="B237" s="105" t="n"/>
      <c r="C237" s="105" t="n"/>
      <c r="D237" s="95" t="n"/>
      <c r="E237" s="95" t="n"/>
      <c r="F237" s="95" t="n"/>
      <c r="G237" s="92">
        <f>IF(B237="","",IFERROR(INDEX(Roster!$C$6:$C$65,MATCH(B237,Roster!$B$6:$B$65,0)),"not on the Roster"))</f>
        <v/>
      </c>
      <c r="H237" s="95" t="n"/>
    </row>
    <row r="238">
      <c r="A238" s="122" t="n"/>
      <c r="B238" s="105" t="n"/>
      <c r="C238" s="105" t="n"/>
      <c r="D238" s="95" t="n"/>
      <c r="E238" s="95" t="n"/>
      <c r="F238" s="95" t="n"/>
      <c r="G238" s="92">
        <f>IF(B238="","",IFERROR(INDEX(Roster!$C$6:$C$65,MATCH(B238,Roster!$B$6:$B$65,0)),"not on the Roster"))</f>
        <v/>
      </c>
      <c r="H238" s="95" t="n"/>
    </row>
    <row r="239">
      <c r="A239" s="122" t="n"/>
      <c r="B239" s="105" t="n"/>
      <c r="C239" s="105" t="n"/>
      <c r="D239" s="95" t="n"/>
      <c r="E239" s="95" t="n"/>
      <c r="F239" s="95" t="n"/>
      <c r="G239" s="92">
        <f>IF(B239="","",IFERROR(INDEX(Roster!$C$6:$C$65,MATCH(B239,Roster!$B$6:$B$65,0)),"not on the Roster"))</f>
        <v/>
      </c>
      <c r="H239" s="95" t="n"/>
    </row>
    <row r="240">
      <c r="A240" s="122" t="n"/>
      <c r="B240" s="105" t="n"/>
      <c r="C240" s="105" t="n"/>
      <c r="D240" s="95" t="n"/>
      <c r="E240" s="95" t="n"/>
      <c r="F240" s="95" t="n"/>
      <c r="G240" s="92">
        <f>IF(B240="","",IFERROR(INDEX(Roster!$C$6:$C$65,MATCH(B240,Roster!$B$6:$B$65,0)),"not on the Roster"))</f>
        <v/>
      </c>
      <c r="H240" s="95" t="n"/>
    </row>
    <row r="241">
      <c r="A241" s="122" t="n"/>
      <c r="B241" s="105" t="n"/>
      <c r="C241" s="105" t="n"/>
      <c r="D241" s="95" t="n"/>
      <c r="E241" s="95" t="n"/>
      <c r="F241" s="95" t="n"/>
      <c r="G241" s="92">
        <f>IF(B241="","",IFERROR(INDEX(Roster!$C$6:$C$65,MATCH(B241,Roster!$B$6:$B$65,0)),"not on the Roster"))</f>
        <v/>
      </c>
      <c r="H241" s="95" t="n"/>
    </row>
    <row r="242">
      <c r="A242" s="122" t="n"/>
      <c r="B242" s="105" t="n"/>
      <c r="C242" s="105" t="n"/>
      <c r="D242" s="95" t="n"/>
      <c r="E242" s="95" t="n"/>
      <c r="F242" s="95" t="n"/>
      <c r="G242" s="92">
        <f>IF(B242="","",IFERROR(INDEX(Roster!$C$6:$C$65,MATCH(B242,Roster!$B$6:$B$65,0)),"not on the Roster"))</f>
        <v/>
      </c>
      <c r="H242" s="95" t="n"/>
    </row>
    <row r="243">
      <c r="A243" s="122" t="n"/>
      <c r="B243" s="105" t="n"/>
      <c r="C243" s="105" t="n"/>
      <c r="D243" s="95" t="n"/>
      <c r="E243" s="95" t="n"/>
      <c r="F243" s="95" t="n"/>
      <c r="G243" s="92">
        <f>IF(B243="","",IFERROR(INDEX(Roster!$C$6:$C$65,MATCH(B243,Roster!$B$6:$B$65,0)),"not on the Roster"))</f>
        <v/>
      </c>
      <c r="H243" s="95" t="n"/>
    </row>
    <row r="244">
      <c r="A244" s="122" t="n"/>
      <c r="B244" s="105" t="n"/>
      <c r="C244" s="105" t="n"/>
      <c r="D244" s="95" t="n"/>
      <c r="E244" s="95" t="n"/>
      <c r="F244" s="95" t="n"/>
      <c r="G244" s="92">
        <f>IF(B244="","",IFERROR(INDEX(Roster!$C$6:$C$65,MATCH(B244,Roster!$B$6:$B$65,0)),"not on the Roster"))</f>
        <v/>
      </c>
      <c r="H244" s="95" t="n"/>
    </row>
    <row r="245">
      <c r="A245" s="122" t="n"/>
      <c r="B245" s="105" t="n"/>
      <c r="C245" s="105" t="n"/>
      <c r="D245" s="95" t="n"/>
      <c r="E245" s="95" t="n"/>
      <c r="F245" s="95" t="n"/>
      <c r="G245" s="92">
        <f>IF(B245="","",IFERROR(INDEX(Roster!$C$6:$C$65,MATCH(B245,Roster!$B$6:$B$65,0)),"not on the Roster"))</f>
        <v/>
      </c>
      <c r="H245" s="95" t="n"/>
    </row>
    <row r="246">
      <c r="A246" s="122" t="n"/>
      <c r="B246" s="105" t="n"/>
      <c r="C246" s="105" t="n"/>
      <c r="D246" s="95" t="n"/>
      <c r="E246" s="95" t="n"/>
      <c r="F246" s="95" t="n"/>
      <c r="G246" s="92">
        <f>IF(B246="","",IFERROR(INDEX(Roster!$C$6:$C$65,MATCH(B246,Roster!$B$6:$B$65,0)),"not on the Roster"))</f>
        <v/>
      </c>
      <c r="H246" s="95" t="n"/>
    </row>
    <row r="247">
      <c r="A247" s="122" t="n"/>
      <c r="B247" s="105" t="n"/>
      <c r="C247" s="105" t="n"/>
      <c r="D247" s="95" t="n"/>
      <c r="E247" s="95" t="n"/>
      <c r="F247" s="95" t="n"/>
      <c r="G247" s="92">
        <f>IF(B247="","",IFERROR(INDEX(Roster!$C$6:$C$65,MATCH(B247,Roster!$B$6:$B$65,0)),"not on the Roster"))</f>
        <v/>
      </c>
      <c r="H247" s="95" t="n"/>
    </row>
    <row r="248">
      <c r="A248" s="122" t="n"/>
      <c r="B248" s="105" t="n"/>
      <c r="C248" s="105" t="n"/>
      <c r="D248" s="95" t="n"/>
      <c r="E248" s="95" t="n"/>
      <c r="F248" s="95" t="n"/>
      <c r="G248" s="92">
        <f>IF(B248="","",IFERROR(INDEX(Roster!$C$6:$C$65,MATCH(B248,Roster!$B$6:$B$65,0)),"not on the Roster"))</f>
        <v/>
      </c>
      <c r="H248" s="95" t="n"/>
    </row>
    <row r="249">
      <c r="A249" s="122" t="n"/>
      <c r="B249" s="105" t="n"/>
      <c r="C249" s="105" t="n"/>
      <c r="D249" s="95" t="n"/>
      <c r="E249" s="95" t="n"/>
      <c r="F249" s="95" t="n"/>
      <c r="G249" s="92">
        <f>IF(B249="","",IFERROR(INDEX(Roster!$C$6:$C$65,MATCH(B249,Roster!$B$6:$B$65,0)),"not on the Roster"))</f>
        <v/>
      </c>
      <c r="H249" s="95" t="n"/>
    </row>
    <row r="250">
      <c r="A250" s="122" t="n"/>
      <c r="B250" s="105" t="n"/>
      <c r="C250" s="105" t="n"/>
      <c r="D250" s="95" t="n"/>
      <c r="E250" s="95" t="n"/>
      <c r="F250" s="95" t="n"/>
      <c r="G250" s="92">
        <f>IF(B250="","",IFERROR(INDEX(Roster!$C$6:$C$65,MATCH(B250,Roster!$B$6:$B$65,0)),"not on the Roster"))</f>
        <v/>
      </c>
      <c r="H250" s="95" t="n"/>
    </row>
    <row r="251">
      <c r="A251" s="122" t="n"/>
      <c r="B251" s="105" t="n"/>
      <c r="C251" s="105" t="n"/>
      <c r="D251" s="95" t="n"/>
      <c r="E251" s="95" t="n"/>
      <c r="F251" s="95" t="n"/>
      <c r="G251" s="92">
        <f>IF(B251="","",IFERROR(INDEX(Roster!$C$6:$C$65,MATCH(B251,Roster!$B$6:$B$65,0)),"not on the Roster"))</f>
        <v/>
      </c>
      <c r="H251" s="95" t="n"/>
    </row>
    <row r="252">
      <c r="A252" s="122" t="n"/>
      <c r="B252" s="105" t="n"/>
      <c r="C252" s="105" t="n"/>
      <c r="D252" s="95" t="n"/>
      <c r="E252" s="95" t="n"/>
      <c r="F252" s="95" t="n"/>
      <c r="G252" s="92">
        <f>IF(B252="","",IFERROR(INDEX(Roster!$C$6:$C$65,MATCH(B252,Roster!$B$6:$B$65,0)),"not on the Roster"))</f>
        <v/>
      </c>
      <c r="H252" s="95" t="n"/>
    </row>
    <row r="253">
      <c r="A253" s="122" t="n"/>
      <c r="B253" s="105" t="n"/>
      <c r="C253" s="105" t="n"/>
      <c r="D253" s="95" t="n"/>
      <c r="E253" s="95" t="n"/>
      <c r="F253" s="95" t="n"/>
      <c r="G253" s="92">
        <f>IF(B253="","",IFERROR(INDEX(Roster!$C$6:$C$65,MATCH(B253,Roster!$B$6:$B$65,0)),"not on the Roster"))</f>
        <v/>
      </c>
      <c r="H253" s="95" t="n"/>
    </row>
    <row r="254">
      <c r="A254" s="122" t="n"/>
      <c r="B254" s="105" t="n"/>
      <c r="C254" s="105" t="n"/>
      <c r="D254" s="95" t="n"/>
      <c r="E254" s="95" t="n"/>
      <c r="F254" s="95" t="n"/>
      <c r="G254" s="92">
        <f>IF(B254="","",IFERROR(INDEX(Roster!$C$6:$C$65,MATCH(B254,Roster!$B$6:$B$65,0)),"not on the Roster"))</f>
        <v/>
      </c>
      <c r="H254" s="95" t="n"/>
    </row>
    <row r="255">
      <c r="A255" s="122" t="n"/>
      <c r="B255" s="105" t="n"/>
      <c r="C255" s="105" t="n"/>
      <c r="D255" s="95" t="n"/>
      <c r="E255" s="95" t="n"/>
      <c r="F255" s="95" t="n"/>
      <c r="G255" s="92">
        <f>IF(B255="","",IFERROR(INDEX(Roster!$C$6:$C$65,MATCH(B255,Roster!$B$6:$B$65,0)),"not on the Roster"))</f>
        <v/>
      </c>
      <c r="H255" s="95" t="n"/>
    </row>
    <row r="256">
      <c r="A256" s="122" t="n"/>
      <c r="B256" s="105" t="n"/>
      <c r="C256" s="105" t="n"/>
      <c r="D256" s="95" t="n"/>
      <c r="E256" s="95" t="n"/>
      <c r="F256" s="95" t="n"/>
      <c r="G256" s="92">
        <f>IF(B256="","",IFERROR(INDEX(Roster!$C$6:$C$65,MATCH(B256,Roster!$B$6:$B$65,0)),"not on the Roster"))</f>
        <v/>
      </c>
      <c r="H256" s="95" t="n"/>
    </row>
    <row r="257">
      <c r="A257" s="122" t="n"/>
      <c r="B257" s="105" t="n"/>
      <c r="C257" s="105" t="n"/>
      <c r="D257" s="95" t="n"/>
      <c r="E257" s="95" t="n"/>
      <c r="F257" s="95" t="n"/>
      <c r="G257" s="92">
        <f>IF(B257="","",IFERROR(INDEX(Roster!$C$6:$C$65,MATCH(B257,Roster!$B$6:$B$65,0)),"not on the Roster"))</f>
        <v/>
      </c>
      <c r="H257" s="95" t="n"/>
    </row>
    <row r="258">
      <c r="A258" s="122" t="n"/>
      <c r="B258" s="105" t="n"/>
      <c r="C258" s="105" t="n"/>
      <c r="D258" s="95" t="n"/>
      <c r="E258" s="95" t="n"/>
      <c r="F258" s="95" t="n"/>
      <c r="G258" s="92">
        <f>IF(B258="","",IFERROR(INDEX(Roster!$C$6:$C$65,MATCH(B258,Roster!$B$6:$B$65,0)),"not on the Roster"))</f>
        <v/>
      </c>
      <c r="H258" s="95" t="n"/>
    </row>
    <row r="259">
      <c r="A259" s="122" t="n"/>
      <c r="B259" s="105" t="n"/>
      <c r="C259" s="105" t="n"/>
      <c r="D259" s="95" t="n"/>
      <c r="E259" s="95" t="n"/>
      <c r="F259" s="95" t="n"/>
      <c r="G259" s="92">
        <f>IF(B259="","",IFERROR(INDEX(Roster!$C$6:$C$65,MATCH(B259,Roster!$B$6:$B$65,0)),"not on the Roster"))</f>
        <v/>
      </c>
      <c r="H259" s="95" t="n"/>
    </row>
    <row r="260">
      <c r="A260" s="122" t="n"/>
      <c r="B260" s="105" t="n"/>
      <c r="C260" s="105" t="n"/>
      <c r="D260" s="95" t="n"/>
      <c r="E260" s="95" t="n"/>
      <c r="F260" s="95" t="n"/>
      <c r="G260" s="92">
        <f>IF(B260="","",IFERROR(INDEX(Roster!$C$6:$C$65,MATCH(B260,Roster!$B$6:$B$65,0)),"not on the Roster"))</f>
        <v/>
      </c>
      <c r="H260" s="95" t="n"/>
    </row>
    <row r="261">
      <c r="A261" s="122" t="n"/>
      <c r="B261" s="105" t="n"/>
      <c r="C261" s="105" t="n"/>
      <c r="D261" s="95" t="n"/>
      <c r="E261" s="95" t="n"/>
      <c r="F261" s="95" t="n"/>
      <c r="G261" s="92">
        <f>IF(B261="","",IFERROR(INDEX(Roster!$C$6:$C$65,MATCH(B261,Roster!$B$6:$B$65,0)),"not on the Roster"))</f>
        <v/>
      </c>
      <c r="H261" s="95" t="n"/>
    </row>
    <row r="262">
      <c r="A262" s="122" t="n"/>
      <c r="B262" s="105" t="n"/>
      <c r="C262" s="105" t="n"/>
      <c r="D262" s="95" t="n"/>
      <c r="E262" s="95" t="n"/>
      <c r="F262" s="95" t="n"/>
      <c r="G262" s="92">
        <f>IF(B262="","",IFERROR(INDEX(Roster!$C$6:$C$65,MATCH(B262,Roster!$B$6:$B$65,0)),"not on the Roster"))</f>
        <v/>
      </c>
      <c r="H262" s="95" t="n"/>
    </row>
    <row r="263">
      <c r="A263" s="122" t="n"/>
      <c r="B263" s="105" t="n"/>
      <c r="C263" s="105" t="n"/>
      <c r="D263" s="95" t="n"/>
      <c r="E263" s="95" t="n"/>
      <c r="F263" s="95" t="n"/>
      <c r="G263" s="92">
        <f>IF(B263="","",IFERROR(INDEX(Roster!$C$6:$C$65,MATCH(B263,Roster!$B$6:$B$65,0)),"not on the Roster"))</f>
        <v/>
      </c>
      <c r="H263" s="95" t="n"/>
    </row>
    <row r="264">
      <c r="A264" s="122" t="n"/>
      <c r="B264" s="105" t="n"/>
      <c r="C264" s="105" t="n"/>
      <c r="D264" s="95" t="n"/>
      <c r="E264" s="95" t="n"/>
      <c r="F264" s="95" t="n"/>
      <c r="G264" s="92">
        <f>IF(B264="","",IFERROR(INDEX(Roster!$C$6:$C$65,MATCH(B264,Roster!$B$6:$B$65,0)),"not on the Roster"))</f>
        <v/>
      </c>
      <c r="H264" s="95" t="n"/>
    </row>
    <row r="265">
      <c r="A265" s="122" t="n"/>
      <c r="B265" s="105" t="n"/>
      <c r="C265" s="105" t="n"/>
      <c r="D265" s="95" t="n"/>
      <c r="E265" s="95" t="n"/>
      <c r="F265" s="95" t="n"/>
      <c r="G265" s="92">
        <f>IF(B265="","",IFERROR(INDEX(Roster!$C$6:$C$65,MATCH(B265,Roster!$B$6:$B$65,0)),"not on the Roster"))</f>
        <v/>
      </c>
      <c r="H265" s="95" t="n"/>
    </row>
    <row r="266">
      <c r="A266" s="122" t="n"/>
      <c r="B266" s="105" t="n"/>
      <c r="C266" s="105" t="n"/>
      <c r="D266" s="95" t="n"/>
      <c r="E266" s="95" t="n"/>
      <c r="F266" s="95" t="n"/>
      <c r="G266" s="92">
        <f>IF(B266="","",IFERROR(INDEX(Roster!$C$6:$C$65,MATCH(B266,Roster!$B$6:$B$65,0)),"not on the Roster"))</f>
        <v/>
      </c>
      <c r="H266" s="95" t="n"/>
    </row>
    <row r="267">
      <c r="A267" s="122" t="n"/>
      <c r="B267" s="105" t="n"/>
      <c r="C267" s="105" t="n"/>
      <c r="D267" s="95" t="n"/>
      <c r="E267" s="95" t="n"/>
      <c r="F267" s="95" t="n"/>
      <c r="G267" s="92">
        <f>IF(B267="","",IFERROR(INDEX(Roster!$C$6:$C$65,MATCH(B267,Roster!$B$6:$B$65,0)),"not on the Roster"))</f>
        <v/>
      </c>
      <c r="H267" s="95" t="n"/>
    </row>
    <row r="268">
      <c r="A268" s="122" t="n"/>
      <c r="B268" s="105" t="n"/>
      <c r="C268" s="105" t="n"/>
      <c r="D268" s="95" t="n"/>
      <c r="E268" s="95" t="n"/>
      <c r="F268" s="95" t="n"/>
      <c r="G268" s="92">
        <f>IF(B268="","",IFERROR(INDEX(Roster!$C$6:$C$65,MATCH(B268,Roster!$B$6:$B$65,0)),"not on the Roster"))</f>
        <v/>
      </c>
      <c r="H268" s="95" t="n"/>
    </row>
    <row r="269">
      <c r="A269" s="122" t="n"/>
      <c r="B269" s="105" t="n"/>
      <c r="C269" s="105" t="n"/>
      <c r="D269" s="95" t="n"/>
      <c r="E269" s="95" t="n"/>
      <c r="F269" s="95" t="n"/>
      <c r="G269" s="92">
        <f>IF(B269="","",IFERROR(INDEX(Roster!$C$6:$C$65,MATCH(B269,Roster!$B$6:$B$65,0)),"not on the Roster"))</f>
        <v/>
      </c>
      <c r="H269" s="95" t="n"/>
    </row>
    <row r="270">
      <c r="A270" s="122" t="n"/>
      <c r="B270" s="105" t="n"/>
      <c r="C270" s="105" t="n"/>
      <c r="D270" s="95" t="n"/>
      <c r="E270" s="95" t="n"/>
      <c r="F270" s="95" t="n"/>
      <c r="G270" s="92">
        <f>IF(B270="","",IFERROR(INDEX(Roster!$C$6:$C$65,MATCH(B270,Roster!$B$6:$B$65,0)),"not on the Roster"))</f>
        <v/>
      </c>
      <c r="H270" s="95" t="n"/>
    </row>
    <row r="271">
      <c r="A271" s="122" t="n"/>
      <c r="B271" s="105" t="n"/>
      <c r="C271" s="105" t="n"/>
      <c r="D271" s="95" t="n"/>
      <c r="E271" s="95" t="n"/>
      <c r="F271" s="95" t="n"/>
      <c r="G271" s="92">
        <f>IF(B271="","",IFERROR(INDEX(Roster!$C$6:$C$65,MATCH(B271,Roster!$B$6:$B$65,0)),"not on the Roster"))</f>
        <v/>
      </c>
      <c r="H271" s="95" t="n"/>
    </row>
    <row r="272">
      <c r="A272" s="122" t="n"/>
      <c r="B272" s="105" t="n"/>
      <c r="C272" s="105" t="n"/>
      <c r="D272" s="95" t="n"/>
      <c r="E272" s="95" t="n"/>
      <c r="F272" s="95" t="n"/>
      <c r="G272" s="92">
        <f>IF(B272="","",IFERROR(INDEX(Roster!$C$6:$C$65,MATCH(B272,Roster!$B$6:$B$65,0)),"not on the Roster"))</f>
        <v/>
      </c>
      <c r="H272" s="95" t="n"/>
    </row>
    <row r="273">
      <c r="A273" s="122" t="n"/>
      <c r="B273" s="105" t="n"/>
      <c r="C273" s="105" t="n"/>
      <c r="D273" s="95" t="n"/>
      <c r="E273" s="95" t="n"/>
      <c r="F273" s="95" t="n"/>
      <c r="G273" s="92">
        <f>IF(B273="","",IFERROR(INDEX(Roster!$C$6:$C$65,MATCH(B273,Roster!$B$6:$B$65,0)),"not on the Roster"))</f>
        <v/>
      </c>
      <c r="H273" s="95" t="n"/>
    </row>
    <row r="274">
      <c r="A274" s="122" t="n"/>
      <c r="B274" s="105" t="n"/>
      <c r="C274" s="105" t="n"/>
      <c r="D274" s="95" t="n"/>
      <c r="E274" s="95" t="n"/>
      <c r="F274" s="95" t="n"/>
      <c r="G274" s="92">
        <f>IF(B274="","",IFERROR(INDEX(Roster!$C$6:$C$65,MATCH(B274,Roster!$B$6:$B$65,0)),"not on the Roster"))</f>
        <v/>
      </c>
      <c r="H274" s="95" t="n"/>
    </row>
    <row r="275">
      <c r="A275" s="122" t="n"/>
      <c r="B275" s="105" t="n"/>
      <c r="C275" s="105" t="n"/>
      <c r="D275" s="95" t="n"/>
      <c r="E275" s="95" t="n"/>
      <c r="F275" s="95" t="n"/>
      <c r="G275" s="92">
        <f>IF(B275="","",IFERROR(INDEX(Roster!$C$6:$C$65,MATCH(B275,Roster!$B$6:$B$65,0)),"not on the Roster"))</f>
        <v/>
      </c>
      <c r="H275" s="95" t="n"/>
    </row>
    <row r="276">
      <c r="A276" s="122" t="n"/>
      <c r="B276" s="105" t="n"/>
      <c r="C276" s="105" t="n"/>
      <c r="D276" s="95" t="n"/>
      <c r="E276" s="95" t="n"/>
      <c r="F276" s="95" t="n"/>
      <c r="G276" s="92">
        <f>IF(B276="","",IFERROR(INDEX(Roster!$C$6:$C$65,MATCH(B276,Roster!$B$6:$B$65,0)),"not on the Roster"))</f>
        <v/>
      </c>
      <c r="H276" s="95" t="n"/>
    </row>
    <row r="277">
      <c r="A277" s="122" t="n"/>
      <c r="B277" s="105" t="n"/>
      <c r="C277" s="105" t="n"/>
      <c r="D277" s="95" t="n"/>
      <c r="E277" s="95" t="n"/>
      <c r="F277" s="95" t="n"/>
      <c r="G277" s="92">
        <f>IF(B277="","",IFERROR(INDEX(Roster!$C$6:$C$65,MATCH(B277,Roster!$B$6:$B$65,0)),"not on the Roster"))</f>
        <v/>
      </c>
      <c r="H277" s="95" t="n"/>
    </row>
    <row r="278">
      <c r="A278" s="122" t="n"/>
      <c r="B278" s="105" t="n"/>
      <c r="C278" s="105" t="n"/>
      <c r="D278" s="95" t="n"/>
      <c r="E278" s="95" t="n"/>
      <c r="F278" s="95" t="n"/>
      <c r="G278" s="92">
        <f>IF(B278="","",IFERROR(INDEX(Roster!$C$6:$C$65,MATCH(B278,Roster!$B$6:$B$65,0)),"not on the Roster"))</f>
        <v/>
      </c>
      <c r="H278" s="95" t="n"/>
    </row>
    <row r="279">
      <c r="A279" s="122" t="n"/>
      <c r="B279" s="105" t="n"/>
      <c r="C279" s="105" t="n"/>
      <c r="D279" s="95" t="n"/>
      <c r="E279" s="95" t="n"/>
      <c r="F279" s="95" t="n"/>
      <c r="G279" s="92">
        <f>IF(B279="","",IFERROR(INDEX(Roster!$C$6:$C$65,MATCH(B279,Roster!$B$6:$B$65,0)),"not on the Roster"))</f>
        <v/>
      </c>
      <c r="H279" s="95" t="n"/>
    </row>
    <row r="280">
      <c r="A280" s="122" t="n"/>
      <c r="B280" s="105" t="n"/>
      <c r="C280" s="105" t="n"/>
      <c r="D280" s="95" t="n"/>
      <c r="E280" s="95" t="n"/>
      <c r="F280" s="95" t="n"/>
      <c r="G280" s="92">
        <f>IF(B280="","",IFERROR(INDEX(Roster!$C$6:$C$65,MATCH(B280,Roster!$B$6:$B$65,0)),"not on the Roster"))</f>
        <v/>
      </c>
      <c r="H280" s="95" t="n"/>
    </row>
    <row r="281">
      <c r="A281" s="122" t="n"/>
      <c r="B281" s="105" t="n"/>
      <c r="C281" s="105" t="n"/>
      <c r="D281" s="95" t="n"/>
      <c r="E281" s="95" t="n"/>
      <c r="F281" s="95" t="n"/>
      <c r="G281" s="92">
        <f>IF(B281="","",IFERROR(INDEX(Roster!$C$6:$C$65,MATCH(B281,Roster!$B$6:$B$65,0)),"not on the Roster"))</f>
        <v/>
      </c>
      <c r="H281" s="95" t="n"/>
    </row>
    <row r="282">
      <c r="A282" s="122" t="n"/>
      <c r="B282" s="105" t="n"/>
      <c r="C282" s="105" t="n"/>
      <c r="D282" s="95" t="n"/>
      <c r="E282" s="95" t="n"/>
      <c r="F282" s="95" t="n"/>
      <c r="G282" s="92">
        <f>IF(B282="","",IFERROR(INDEX(Roster!$C$6:$C$65,MATCH(B282,Roster!$B$6:$B$65,0)),"not on the Roster"))</f>
        <v/>
      </c>
      <c r="H282" s="95" t="n"/>
    </row>
    <row r="283">
      <c r="A283" s="122" t="n"/>
      <c r="B283" s="105" t="n"/>
      <c r="C283" s="105" t="n"/>
      <c r="D283" s="95" t="n"/>
      <c r="E283" s="95" t="n"/>
      <c r="F283" s="95" t="n"/>
      <c r="G283" s="92">
        <f>IF(B283="","",IFERROR(INDEX(Roster!$C$6:$C$65,MATCH(B283,Roster!$B$6:$B$65,0)),"not on the Roster"))</f>
        <v/>
      </c>
      <c r="H283" s="95" t="n"/>
    </row>
    <row r="284">
      <c r="A284" s="122" t="n"/>
      <c r="B284" s="105" t="n"/>
      <c r="C284" s="105" t="n"/>
      <c r="D284" s="95" t="n"/>
      <c r="E284" s="95" t="n"/>
      <c r="F284" s="95" t="n"/>
      <c r="G284" s="92">
        <f>IF(B284="","",IFERROR(INDEX(Roster!$C$6:$C$65,MATCH(B284,Roster!$B$6:$B$65,0)),"not on the Roster"))</f>
        <v/>
      </c>
      <c r="H284" s="95" t="n"/>
    </row>
    <row r="285">
      <c r="A285" s="122" t="n"/>
      <c r="B285" s="105" t="n"/>
      <c r="C285" s="105" t="n"/>
      <c r="D285" s="95" t="n"/>
      <c r="E285" s="95" t="n"/>
      <c r="F285" s="95" t="n"/>
      <c r="G285" s="92">
        <f>IF(B285="","",IFERROR(INDEX(Roster!$C$6:$C$65,MATCH(B285,Roster!$B$6:$B$65,0)),"not on the Roster"))</f>
        <v/>
      </c>
      <c r="H285" s="95" t="n"/>
    </row>
    <row r="286">
      <c r="A286" s="122" t="n"/>
      <c r="B286" s="105" t="n"/>
      <c r="C286" s="105" t="n"/>
      <c r="D286" s="95" t="n"/>
      <c r="E286" s="95" t="n"/>
      <c r="F286" s="95" t="n"/>
      <c r="G286" s="92">
        <f>IF(B286="","",IFERROR(INDEX(Roster!$C$6:$C$65,MATCH(B286,Roster!$B$6:$B$65,0)),"not on the Roster"))</f>
        <v/>
      </c>
      <c r="H286" s="95" t="n"/>
    </row>
    <row r="287">
      <c r="A287" s="122" t="n"/>
      <c r="B287" s="105" t="n"/>
      <c r="C287" s="105" t="n"/>
      <c r="D287" s="95" t="n"/>
      <c r="E287" s="95" t="n"/>
      <c r="F287" s="95" t="n"/>
      <c r="G287" s="92">
        <f>IF(B287="","",IFERROR(INDEX(Roster!$C$6:$C$65,MATCH(B287,Roster!$B$6:$B$65,0)),"not on the Roster"))</f>
        <v/>
      </c>
      <c r="H287" s="95" t="n"/>
    </row>
    <row r="288">
      <c r="A288" s="122" t="n"/>
      <c r="B288" s="105" t="n"/>
      <c r="C288" s="105" t="n"/>
      <c r="D288" s="95" t="n"/>
      <c r="E288" s="95" t="n"/>
      <c r="F288" s="95" t="n"/>
      <c r="G288" s="92">
        <f>IF(B288="","",IFERROR(INDEX(Roster!$C$6:$C$65,MATCH(B288,Roster!$B$6:$B$65,0)),"not on the Roster"))</f>
        <v/>
      </c>
      <c r="H288" s="95" t="n"/>
    </row>
    <row r="289">
      <c r="A289" s="122" t="n"/>
      <c r="B289" s="105" t="n"/>
      <c r="C289" s="105" t="n"/>
      <c r="D289" s="95" t="n"/>
      <c r="E289" s="95" t="n"/>
      <c r="F289" s="95" t="n"/>
      <c r="G289" s="92">
        <f>IF(B289="","",IFERROR(INDEX(Roster!$C$6:$C$65,MATCH(B289,Roster!$B$6:$B$65,0)),"not on the Roster"))</f>
        <v/>
      </c>
      <c r="H289" s="95" t="n"/>
    </row>
    <row r="290">
      <c r="A290" s="122" t="n"/>
      <c r="B290" s="105" t="n"/>
      <c r="C290" s="105" t="n"/>
      <c r="D290" s="95" t="n"/>
      <c r="E290" s="95" t="n"/>
      <c r="F290" s="95" t="n"/>
      <c r="G290" s="92">
        <f>IF(B290="","",IFERROR(INDEX(Roster!$C$6:$C$65,MATCH(B290,Roster!$B$6:$B$65,0)),"not on the Roster"))</f>
        <v/>
      </c>
      <c r="H290" s="95" t="n"/>
    </row>
    <row r="291">
      <c r="A291" s="122" t="n"/>
      <c r="B291" s="105" t="n"/>
      <c r="C291" s="105" t="n"/>
      <c r="D291" s="95" t="n"/>
      <c r="E291" s="95" t="n"/>
      <c r="F291" s="95" t="n"/>
      <c r="G291" s="92">
        <f>IF(B291="","",IFERROR(INDEX(Roster!$C$6:$C$65,MATCH(B291,Roster!$B$6:$B$65,0)),"not on the Roster"))</f>
        <v/>
      </c>
      <c r="H291" s="95" t="n"/>
    </row>
    <row r="292">
      <c r="A292" s="122" t="n"/>
      <c r="B292" s="105" t="n"/>
      <c r="C292" s="105" t="n"/>
      <c r="D292" s="95" t="n"/>
      <c r="E292" s="95" t="n"/>
      <c r="F292" s="95" t="n"/>
      <c r="G292" s="92">
        <f>IF(B292="","",IFERROR(INDEX(Roster!$C$6:$C$65,MATCH(B292,Roster!$B$6:$B$65,0)),"not on the Roster"))</f>
        <v/>
      </c>
      <c r="H292" s="95" t="n"/>
    </row>
    <row r="293">
      <c r="A293" s="122" t="n"/>
      <c r="B293" s="105" t="n"/>
      <c r="C293" s="105" t="n"/>
      <c r="D293" s="95" t="n"/>
      <c r="E293" s="95" t="n"/>
      <c r="F293" s="95" t="n"/>
      <c r="G293" s="92">
        <f>IF(B293="","",IFERROR(INDEX(Roster!$C$6:$C$65,MATCH(B293,Roster!$B$6:$B$65,0)),"not on the Roster"))</f>
        <v/>
      </c>
      <c r="H293" s="95" t="n"/>
    </row>
    <row r="294">
      <c r="A294" s="122" t="n"/>
      <c r="B294" s="105" t="n"/>
      <c r="C294" s="105" t="n"/>
      <c r="D294" s="95" t="n"/>
      <c r="E294" s="95" t="n"/>
      <c r="F294" s="95" t="n"/>
      <c r="G294" s="92">
        <f>IF(B294="","",IFERROR(INDEX(Roster!$C$6:$C$65,MATCH(B294,Roster!$B$6:$B$65,0)),"not on the Roster"))</f>
        <v/>
      </c>
      <c r="H294" s="95" t="n"/>
    </row>
    <row r="295">
      <c r="A295" s="122" t="n"/>
      <c r="B295" s="105" t="n"/>
      <c r="C295" s="105" t="n"/>
      <c r="D295" s="95" t="n"/>
      <c r="E295" s="95" t="n"/>
      <c r="F295" s="95" t="n"/>
      <c r="G295" s="92">
        <f>IF(B295="","",IFERROR(INDEX(Roster!$C$6:$C$65,MATCH(B295,Roster!$B$6:$B$65,0)),"not on the Roster"))</f>
        <v/>
      </c>
      <c r="H295" s="95" t="n"/>
    </row>
    <row r="296">
      <c r="A296" s="122" t="n"/>
      <c r="B296" s="105" t="n"/>
      <c r="C296" s="105" t="n"/>
      <c r="D296" s="95" t="n"/>
      <c r="E296" s="95" t="n"/>
      <c r="F296" s="95" t="n"/>
      <c r="G296" s="92">
        <f>IF(B296="","",IFERROR(INDEX(Roster!$C$6:$C$65,MATCH(B296,Roster!$B$6:$B$65,0)),"not on the Roster"))</f>
        <v/>
      </c>
      <c r="H296" s="95" t="n"/>
    </row>
    <row r="297">
      <c r="A297" s="122" t="n"/>
      <c r="B297" s="105" t="n"/>
      <c r="C297" s="105" t="n"/>
      <c r="D297" s="95" t="n"/>
      <c r="E297" s="95" t="n"/>
      <c r="F297" s="95" t="n"/>
      <c r="G297" s="92">
        <f>IF(B297="","",IFERROR(INDEX(Roster!$C$6:$C$65,MATCH(B297,Roster!$B$6:$B$65,0)),"not on the Roster"))</f>
        <v/>
      </c>
      <c r="H297" s="95" t="n"/>
    </row>
    <row r="298">
      <c r="A298" s="122" t="n"/>
      <c r="B298" s="105" t="n"/>
      <c r="C298" s="105" t="n"/>
      <c r="D298" s="95" t="n"/>
      <c r="E298" s="95" t="n"/>
      <c r="F298" s="95" t="n"/>
      <c r="G298" s="92">
        <f>IF(B298="","",IFERROR(INDEX(Roster!$C$6:$C$65,MATCH(B298,Roster!$B$6:$B$65,0)),"not on the Roster"))</f>
        <v/>
      </c>
      <c r="H298" s="95" t="n"/>
    </row>
    <row r="299">
      <c r="A299" s="122" t="n"/>
      <c r="B299" s="105" t="n"/>
      <c r="C299" s="105" t="n"/>
      <c r="D299" s="95" t="n"/>
      <c r="E299" s="95" t="n"/>
      <c r="F299" s="95" t="n"/>
      <c r="G299" s="92">
        <f>IF(B299="","",IFERROR(INDEX(Roster!$C$6:$C$65,MATCH(B299,Roster!$B$6:$B$65,0)),"not on the Roster"))</f>
        <v/>
      </c>
      <c r="H299" s="95" t="n"/>
    </row>
    <row r="300">
      <c r="A300" s="122" t="n"/>
      <c r="B300" s="105" t="n"/>
      <c r="C300" s="105" t="n"/>
      <c r="D300" s="95" t="n"/>
      <c r="E300" s="95" t="n"/>
      <c r="F300" s="95" t="n"/>
      <c r="G300" s="92">
        <f>IF(B300="","",IFERROR(INDEX(Roster!$C$6:$C$65,MATCH(B300,Roster!$B$6:$B$65,0)),"not on the Roster"))</f>
        <v/>
      </c>
      <c r="H300" s="95" t="n"/>
    </row>
    <row r="301">
      <c r="A301" s="122" t="n"/>
      <c r="B301" s="105" t="n"/>
      <c r="C301" s="105" t="n"/>
      <c r="D301" s="95" t="n"/>
      <c r="E301" s="95" t="n"/>
      <c r="F301" s="95" t="n"/>
      <c r="G301" s="92">
        <f>IF(B301="","",IFERROR(INDEX(Roster!$C$6:$C$65,MATCH(B301,Roster!$B$6:$B$65,0)),"not on the Roster"))</f>
        <v/>
      </c>
      <c r="H301" s="95" t="n"/>
    </row>
    <row r="302">
      <c r="A302" s="122" t="n"/>
      <c r="B302" s="105" t="n"/>
      <c r="C302" s="105" t="n"/>
      <c r="D302" s="95" t="n"/>
      <c r="E302" s="95" t="n"/>
      <c r="F302" s="95" t="n"/>
      <c r="G302" s="92">
        <f>IF(B302="","",IFERROR(INDEX(Roster!$C$6:$C$65,MATCH(B302,Roster!$B$6:$B$65,0)),"not on the Roster"))</f>
        <v/>
      </c>
      <c r="H302" s="95" t="n"/>
    </row>
    <row r="303">
      <c r="A303" s="122" t="n"/>
      <c r="B303" s="105" t="n"/>
      <c r="C303" s="105" t="n"/>
      <c r="D303" s="95" t="n"/>
      <c r="E303" s="95" t="n"/>
      <c r="F303" s="95" t="n"/>
      <c r="G303" s="92">
        <f>IF(B303="","",IFERROR(INDEX(Roster!$C$6:$C$65,MATCH(B303,Roster!$B$6:$B$65,0)),"not on the Roster"))</f>
        <v/>
      </c>
      <c r="H303" s="95" t="n"/>
    </row>
    <row r="304">
      <c r="A304" s="122" t="n"/>
      <c r="B304" s="105" t="n"/>
      <c r="C304" s="105" t="n"/>
      <c r="D304" s="95" t="n"/>
      <c r="E304" s="95" t="n"/>
      <c r="F304" s="95" t="n"/>
      <c r="G304" s="92">
        <f>IF(B304="","",IFERROR(INDEX(Roster!$C$6:$C$65,MATCH(B304,Roster!$B$6:$B$65,0)),"not on the Roster"))</f>
        <v/>
      </c>
      <c r="H304" s="95" t="n"/>
    </row>
    <row r="305">
      <c r="A305" s="122" t="n"/>
      <c r="B305" s="105" t="n"/>
      <c r="C305" s="105" t="n"/>
      <c r="D305" s="95" t="n"/>
      <c r="E305" s="95" t="n"/>
      <c r="F305" s="95" t="n"/>
      <c r="G305" s="92">
        <f>IF(B305="","",IFERROR(INDEX(Roster!$C$6:$C$65,MATCH(B305,Roster!$B$6:$B$65,0)),"not on the Roster"))</f>
        <v/>
      </c>
      <c r="H305" s="95" t="n"/>
    </row>
    <row r="306">
      <c r="A306" s="122" t="n"/>
      <c r="B306" s="105" t="n"/>
      <c r="C306" s="105" t="n"/>
      <c r="D306" s="95" t="n"/>
      <c r="E306" s="95" t="n"/>
      <c r="F306" s="95" t="n"/>
      <c r="G306" s="92">
        <f>IF(B306="","",IFERROR(INDEX(Roster!$C$6:$C$65,MATCH(B306,Roster!$B$6:$B$65,0)),"not on the Roster"))</f>
        <v/>
      </c>
      <c r="H306" s="95" t="n"/>
    </row>
    <row r="307">
      <c r="A307" s="122" t="n"/>
      <c r="B307" s="105" t="n"/>
      <c r="C307" s="105" t="n"/>
      <c r="D307" s="95" t="n"/>
      <c r="E307" s="95" t="n"/>
      <c r="F307" s="95" t="n"/>
      <c r="G307" s="92">
        <f>IF(B307="","",IFERROR(INDEX(Roster!$C$6:$C$65,MATCH(B307,Roster!$B$6:$B$65,0)),"not on the Roster"))</f>
        <v/>
      </c>
      <c r="H307" s="95" t="n"/>
    </row>
    <row r="308">
      <c r="A308" s="122" t="n"/>
      <c r="B308" s="105" t="n"/>
      <c r="C308" s="105" t="n"/>
      <c r="D308" s="95" t="n"/>
      <c r="E308" s="95" t="n"/>
      <c r="F308" s="95" t="n"/>
      <c r="G308" s="92">
        <f>IF(B308="","",IFERROR(INDEX(Roster!$C$6:$C$65,MATCH(B308,Roster!$B$6:$B$65,0)),"not on the Roster"))</f>
        <v/>
      </c>
      <c r="H308" s="95" t="n"/>
    </row>
    <row r="309">
      <c r="A309" s="122" t="n"/>
      <c r="B309" s="105" t="n"/>
      <c r="C309" s="105" t="n"/>
      <c r="D309" s="95" t="n"/>
      <c r="E309" s="95" t="n"/>
      <c r="F309" s="95" t="n"/>
      <c r="G309" s="92">
        <f>IF(B309="","",IFERROR(INDEX(Roster!$C$6:$C$65,MATCH(B309,Roster!$B$6:$B$65,0)),"not on the Roster"))</f>
        <v/>
      </c>
      <c r="H309" s="95" t="n"/>
    </row>
    <row r="310">
      <c r="A310" s="122" t="n"/>
      <c r="B310" s="105" t="n"/>
      <c r="C310" s="105" t="n"/>
      <c r="D310" s="95" t="n"/>
      <c r="E310" s="95" t="n"/>
      <c r="F310" s="95" t="n"/>
      <c r="G310" s="92">
        <f>IF(B310="","",IFERROR(INDEX(Roster!$C$6:$C$65,MATCH(B310,Roster!$B$6:$B$65,0)),"not on the Roster"))</f>
        <v/>
      </c>
      <c r="H310" s="95" t="n"/>
    </row>
    <row r="311">
      <c r="A311" s="122" t="n"/>
      <c r="B311" s="105" t="n"/>
      <c r="C311" s="105" t="n"/>
      <c r="D311" s="95" t="n"/>
      <c r="E311" s="95" t="n"/>
      <c r="F311" s="95" t="n"/>
      <c r="G311" s="92">
        <f>IF(B311="","",IFERROR(INDEX(Roster!$C$6:$C$65,MATCH(B311,Roster!$B$6:$B$65,0)),"not on the Roster"))</f>
        <v/>
      </c>
      <c r="H311" s="95" t="n"/>
    </row>
    <row r="312">
      <c r="A312" s="122" t="n"/>
      <c r="B312" s="105" t="n"/>
      <c r="C312" s="105" t="n"/>
      <c r="D312" s="95" t="n"/>
      <c r="E312" s="95" t="n"/>
      <c r="F312" s="95" t="n"/>
      <c r="G312" s="92">
        <f>IF(B312="","",IFERROR(INDEX(Roster!$C$6:$C$65,MATCH(B312,Roster!$B$6:$B$65,0)),"not on the Roster"))</f>
        <v/>
      </c>
      <c r="H312" s="95" t="n"/>
    </row>
    <row r="313">
      <c r="A313" s="122" t="n"/>
      <c r="B313" s="105" t="n"/>
      <c r="C313" s="105" t="n"/>
      <c r="D313" s="95" t="n"/>
      <c r="E313" s="95" t="n"/>
      <c r="F313" s="95" t="n"/>
      <c r="G313" s="92">
        <f>IF(B313="","",IFERROR(INDEX(Roster!$C$6:$C$65,MATCH(B313,Roster!$B$6:$B$65,0)),"not on the Roster"))</f>
        <v/>
      </c>
      <c r="H313" s="95" t="n"/>
    </row>
    <row r="314">
      <c r="A314" s="122" t="n"/>
      <c r="B314" s="105" t="n"/>
      <c r="C314" s="105" t="n"/>
      <c r="D314" s="95" t="n"/>
      <c r="E314" s="95" t="n"/>
      <c r="F314" s="95" t="n"/>
      <c r="G314" s="92">
        <f>IF(B314="","",IFERROR(INDEX(Roster!$C$6:$C$65,MATCH(B314,Roster!$B$6:$B$65,0)),"not on the Roster"))</f>
        <v/>
      </c>
      <c r="H314" s="95" t="n"/>
    </row>
    <row r="315">
      <c r="A315" s="122" t="n"/>
      <c r="B315" s="105" t="n"/>
      <c r="C315" s="105" t="n"/>
      <c r="D315" s="95" t="n"/>
      <c r="E315" s="95" t="n"/>
      <c r="F315" s="95" t="n"/>
      <c r="G315" s="92">
        <f>IF(B315="","",IFERROR(INDEX(Roster!$C$6:$C$65,MATCH(B315,Roster!$B$6:$B$65,0)),"not on the Roster"))</f>
        <v/>
      </c>
      <c r="H315" s="95" t="n"/>
    </row>
    <row r="316">
      <c r="A316" s="122" t="n"/>
      <c r="B316" s="105" t="n"/>
      <c r="C316" s="105" t="n"/>
      <c r="D316" s="95" t="n"/>
      <c r="E316" s="95" t="n"/>
      <c r="F316" s="95" t="n"/>
      <c r="G316" s="92">
        <f>IF(B316="","",IFERROR(INDEX(Roster!$C$6:$C$65,MATCH(B316,Roster!$B$6:$B$65,0)),"not on the Roster"))</f>
        <v/>
      </c>
      <c r="H316" s="95" t="n"/>
    </row>
    <row r="317">
      <c r="A317" s="122" t="n"/>
      <c r="B317" s="105" t="n"/>
      <c r="C317" s="105" t="n"/>
      <c r="D317" s="95" t="n"/>
      <c r="E317" s="95" t="n"/>
      <c r="F317" s="95" t="n"/>
      <c r="G317" s="92">
        <f>IF(B317="","",IFERROR(INDEX(Roster!$C$6:$C$65,MATCH(B317,Roster!$B$6:$B$65,0)),"not on the Roster"))</f>
        <v/>
      </c>
      <c r="H317" s="95" t="n"/>
    </row>
    <row r="318">
      <c r="A318" s="122" t="n"/>
      <c r="B318" s="105" t="n"/>
      <c r="C318" s="105" t="n"/>
      <c r="D318" s="95" t="n"/>
      <c r="E318" s="95" t="n"/>
      <c r="F318" s="95" t="n"/>
      <c r="G318" s="92">
        <f>IF(B318="","",IFERROR(INDEX(Roster!$C$6:$C$65,MATCH(B318,Roster!$B$6:$B$65,0)),"not on the Roster"))</f>
        <v/>
      </c>
      <c r="H318" s="95" t="n"/>
    </row>
    <row r="319">
      <c r="A319" s="122" t="n"/>
      <c r="B319" s="105" t="n"/>
      <c r="C319" s="105" t="n"/>
      <c r="D319" s="95" t="n"/>
      <c r="E319" s="95" t="n"/>
      <c r="F319" s="95" t="n"/>
      <c r="G319" s="92">
        <f>IF(B319="","",IFERROR(INDEX(Roster!$C$6:$C$65,MATCH(B319,Roster!$B$6:$B$65,0)),"not on the Roster"))</f>
        <v/>
      </c>
      <c r="H319" s="95" t="n"/>
    </row>
    <row r="320">
      <c r="A320" s="122" t="n"/>
      <c r="B320" s="105" t="n"/>
      <c r="C320" s="105" t="n"/>
      <c r="D320" s="95" t="n"/>
      <c r="E320" s="95" t="n"/>
      <c r="F320" s="95" t="n"/>
      <c r="G320" s="92">
        <f>IF(B320="","",IFERROR(INDEX(Roster!$C$6:$C$65,MATCH(B320,Roster!$B$6:$B$65,0)),"not on the Roster"))</f>
        <v/>
      </c>
      <c r="H320" s="95" t="n"/>
    </row>
    <row r="321">
      <c r="A321" s="122" t="n"/>
      <c r="B321" s="105" t="n"/>
      <c r="C321" s="105" t="n"/>
      <c r="D321" s="95" t="n"/>
      <c r="E321" s="95" t="n"/>
      <c r="F321" s="95" t="n"/>
      <c r="G321" s="92">
        <f>IF(B321="","",IFERROR(INDEX(Roster!$C$6:$C$65,MATCH(B321,Roster!$B$6:$B$65,0)),"not on the Roster"))</f>
        <v/>
      </c>
      <c r="H321" s="95" t="n"/>
    </row>
    <row r="322">
      <c r="A322" s="122" t="n"/>
      <c r="B322" s="105" t="n"/>
      <c r="C322" s="105" t="n"/>
      <c r="D322" s="95" t="n"/>
      <c r="E322" s="95" t="n"/>
      <c r="F322" s="95" t="n"/>
      <c r="G322" s="92">
        <f>IF(B322="","",IFERROR(INDEX(Roster!$C$6:$C$65,MATCH(B322,Roster!$B$6:$B$65,0)),"not on the Roster"))</f>
        <v/>
      </c>
      <c r="H322" s="95" t="n"/>
    </row>
    <row r="323">
      <c r="A323" s="122" t="n"/>
      <c r="B323" s="105" t="n"/>
      <c r="C323" s="105" t="n"/>
      <c r="D323" s="95" t="n"/>
      <c r="E323" s="95" t="n"/>
      <c r="F323" s="95" t="n"/>
      <c r="G323" s="92">
        <f>IF(B323="","",IFERROR(INDEX(Roster!$C$6:$C$65,MATCH(B323,Roster!$B$6:$B$65,0)),"not on the Roster"))</f>
        <v/>
      </c>
      <c r="H323" s="95" t="n"/>
    </row>
    <row r="324">
      <c r="A324" s="122" t="n"/>
      <c r="B324" s="105" t="n"/>
      <c r="C324" s="105" t="n"/>
      <c r="D324" s="95" t="n"/>
      <c r="E324" s="95" t="n"/>
      <c r="F324" s="95" t="n"/>
      <c r="G324" s="92">
        <f>IF(B324="","",IFERROR(INDEX(Roster!$C$6:$C$65,MATCH(B324,Roster!$B$6:$B$65,0)),"not on the Roster"))</f>
        <v/>
      </c>
      <c r="H324" s="95" t="n"/>
    </row>
    <row r="325">
      <c r="A325" s="122" t="n"/>
      <c r="B325" s="105" t="n"/>
      <c r="C325" s="105" t="n"/>
      <c r="D325" s="95" t="n"/>
      <c r="E325" s="95" t="n"/>
      <c r="F325" s="95" t="n"/>
      <c r="G325" s="92">
        <f>IF(B325="","",IFERROR(INDEX(Roster!$C$6:$C$65,MATCH(B325,Roster!$B$6:$B$65,0)),"not on the Roster"))</f>
        <v/>
      </c>
      <c r="H325" s="95" t="n"/>
    </row>
    <row r="326">
      <c r="A326" s="122" t="n"/>
      <c r="B326" s="105" t="n"/>
      <c r="C326" s="105" t="n"/>
      <c r="D326" s="95" t="n"/>
      <c r="E326" s="95" t="n"/>
      <c r="F326" s="95" t="n"/>
      <c r="G326" s="92">
        <f>IF(B326="","",IFERROR(INDEX(Roster!$C$6:$C$65,MATCH(B326,Roster!$B$6:$B$65,0)),"not on the Roster"))</f>
        <v/>
      </c>
      <c r="H326" s="95" t="n"/>
    </row>
    <row r="327">
      <c r="A327" s="122" t="n"/>
      <c r="B327" s="105" t="n"/>
      <c r="C327" s="105" t="n"/>
      <c r="D327" s="95" t="n"/>
      <c r="E327" s="95" t="n"/>
      <c r="F327" s="95" t="n"/>
      <c r="G327" s="92">
        <f>IF(B327="","",IFERROR(INDEX(Roster!$C$6:$C$65,MATCH(B327,Roster!$B$6:$B$65,0)),"not on the Roster"))</f>
        <v/>
      </c>
      <c r="H327" s="95" t="n"/>
    </row>
    <row r="328">
      <c r="A328" s="122" t="n"/>
      <c r="B328" s="105" t="n"/>
      <c r="C328" s="105" t="n"/>
      <c r="D328" s="95" t="n"/>
      <c r="E328" s="95" t="n"/>
      <c r="F328" s="95" t="n"/>
      <c r="G328" s="92">
        <f>IF(B328="","",IFERROR(INDEX(Roster!$C$6:$C$65,MATCH(B328,Roster!$B$6:$B$65,0)),"not on the Roster"))</f>
        <v/>
      </c>
      <c r="H328" s="95" t="n"/>
    </row>
    <row r="329">
      <c r="A329" s="122" t="n"/>
      <c r="B329" s="105" t="n"/>
      <c r="C329" s="105" t="n"/>
      <c r="D329" s="95" t="n"/>
      <c r="E329" s="95" t="n"/>
      <c r="F329" s="95" t="n"/>
      <c r="G329" s="92">
        <f>IF(B329="","",IFERROR(INDEX(Roster!$C$6:$C$65,MATCH(B329,Roster!$B$6:$B$65,0)),"not on the Roster"))</f>
        <v/>
      </c>
      <c r="H329" s="95" t="n"/>
    </row>
    <row r="330">
      <c r="A330" s="122" t="n"/>
      <c r="B330" s="105" t="n"/>
      <c r="C330" s="105" t="n"/>
      <c r="D330" s="95" t="n"/>
      <c r="E330" s="95" t="n"/>
      <c r="F330" s="95" t="n"/>
      <c r="G330" s="92">
        <f>IF(B330="","",IFERROR(INDEX(Roster!$C$6:$C$65,MATCH(B330,Roster!$B$6:$B$65,0)),"not on the Roster"))</f>
        <v/>
      </c>
      <c r="H330" s="95" t="n"/>
    </row>
    <row r="331">
      <c r="A331" s="122" t="n"/>
      <c r="B331" s="105" t="n"/>
      <c r="C331" s="105" t="n"/>
      <c r="D331" s="95" t="n"/>
      <c r="E331" s="95" t="n"/>
      <c r="F331" s="95" t="n"/>
      <c r="G331" s="92">
        <f>IF(B331="","",IFERROR(INDEX(Roster!$C$6:$C$65,MATCH(B331,Roster!$B$6:$B$65,0)),"not on the Roster"))</f>
        <v/>
      </c>
      <c r="H331" s="95" t="n"/>
    </row>
    <row r="332">
      <c r="A332" s="122" t="n"/>
      <c r="B332" s="105" t="n"/>
      <c r="C332" s="105" t="n"/>
      <c r="D332" s="95" t="n"/>
      <c r="E332" s="95" t="n"/>
      <c r="F332" s="95" t="n"/>
      <c r="G332" s="92">
        <f>IF(B332="","",IFERROR(INDEX(Roster!$C$6:$C$65,MATCH(B332,Roster!$B$6:$B$65,0)),"not on the Roster"))</f>
        <v/>
      </c>
      <c r="H332" s="95" t="n"/>
    </row>
    <row r="333">
      <c r="A333" s="122" t="n"/>
      <c r="B333" s="105" t="n"/>
      <c r="C333" s="105" t="n"/>
      <c r="D333" s="95" t="n"/>
      <c r="E333" s="95" t="n"/>
      <c r="F333" s="95" t="n"/>
      <c r="G333" s="92">
        <f>IF(B333="","",IFERROR(INDEX(Roster!$C$6:$C$65,MATCH(B333,Roster!$B$6:$B$65,0)),"not on the Roster"))</f>
        <v/>
      </c>
      <c r="H333" s="95" t="n"/>
    </row>
    <row r="334">
      <c r="A334" s="122" t="n"/>
      <c r="B334" s="105" t="n"/>
      <c r="C334" s="105" t="n"/>
      <c r="D334" s="95" t="n"/>
      <c r="E334" s="95" t="n"/>
      <c r="F334" s="95" t="n"/>
      <c r="G334" s="92">
        <f>IF(B334="","",IFERROR(INDEX(Roster!$C$6:$C$65,MATCH(B334,Roster!$B$6:$B$65,0)),"not on the Roster"))</f>
        <v/>
      </c>
      <c r="H334" s="95" t="n"/>
    </row>
    <row r="335">
      <c r="A335" s="122" t="n"/>
      <c r="B335" s="105" t="n"/>
      <c r="C335" s="105" t="n"/>
      <c r="D335" s="95" t="n"/>
      <c r="E335" s="95" t="n"/>
      <c r="F335" s="95" t="n"/>
      <c r="G335" s="92">
        <f>IF(B335="","",IFERROR(INDEX(Roster!$C$6:$C$65,MATCH(B335,Roster!$B$6:$B$65,0)),"not on the Roster"))</f>
        <v/>
      </c>
      <c r="H335" s="95" t="n"/>
    </row>
    <row r="336">
      <c r="A336" s="122" t="n"/>
      <c r="B336" s="105" t="n"/>
      <c r="C336" s="105" t="n"/>
      <c r="D336" s="95" t="n"/>
      <c r="E336" s="95" t="n"/>
      <c r="F336" s="95" t="n"/>
      <c r="G336" s="92">
        <f>IF(B336="","",IFERROR(INDEX(Roster!$C$6:$C$65,MATCH(B336,Roster!$B$6:$B$65,0)),"not on the Roster"))</f>
        <v/>
      </c>
      <c r="H336" s="95" t="n"/>
    </row>
    <row r="337">
      <c r="A337" s="122" t="n"/>
      <c r="B337" s="105" t="n"/>
      <c r="C337" s="105" t="n"/>
      <c r="D337" s="95" t="n"/>
      <c r="E337" s="95" t="n"/>
      <c r="F337" s="95" t="n"/>
      <c r="G337" s="92">
        <f>IF(B337="","",IFERROR(INDEX(Roster!$C$6:$C$65,MATCH(B337,Roster!$B$6:$B$65,0)),"not on the Roster"))</f>
        <v/>
      </c>
      <c r="H337" s="95" t="n"/>
    </row>
    <row r="338">
      <c r="A338" s="122" t="n"/>
      <c r="B338" s="105" t="n"/>
      <c r="C338" s="105" t="n"/>
      <c r="D338" s="95" t="n"/>
      <c r="E338" s="95" t="n"/>
      <c r="F338" s="95" t="n"/>
      <c r="G338" s="92">
        <f>IF(B338="","",IFERROR(INDEX(Roster!$C$6:$C$65,MATCH(B338,Roster!$B$6:$B$65,0)),"not on the Roster"))</f>
        <v/>
      </c>
      <c r="H338" s="95" t="n"/>
    </row>
    <row r="339">
      <c r="A339" s="122" t="n"/>
      <c r="B339" s="105" t="n"/>
      <c r="C339" s="105" t="n"/>
      <c r="D339" s="95" t="n"/>
      <c r="E339" s="95" t="n"/>
      <c r="F339" s="95" t="n"/>
      <c r="G339" s="92">
        <f>IF(B339="","",IFERROR(INDEX(Roster!$C$6:$C$65,MATCH(B339,Roster!$B$6:$B$65,0)),"not on the Roster"))</f>
        <v/>
      </c>
      <c r="H339" s="95" t="n"/>
    </row>
    <row r="340">
      <c r="A340" s="122" t="n"/>
      <c r="B340" s="105" t="n"/>
      <c r="C340" s="105" t="n"/>
      <c r="D340" s="95" t="n"/>
      <c r="E340" s="95" t="n"/>
      <c r="F340" s="95" t="n"/>
      <c r="G340" s="92">
        <f>IF(B340="","",IFERROR(INDEX(Roster!$C$6:$C$65,MATCH(B340,Roster!$B$6:$B$65,0)),"not on the Roster"))</f>
        <v/>
      </c>
      <c r="H340" s="95" t="n"/>
    </row>
    <row r="341">
      <c r="A341" s="122" t="n"/>
      <c r="B341" s="105" t="n"/>
      <c r="C341" s="105" t="n"/>
      <c r="D341" s="95" t="n"/>
      <c r="E341" s="95" t="n"/>
      <c r="F341" s="95" t="n"/>
      <c r="G341" s="92">
        <f>IF(B341="","",IFERROR(INDEX(Roster!$C$6:$C$65,MATCH(B341,Roster!$B$6:$B$65,0)),"not on the Roster"))</f>
        <v/>
      </c>
      <c r="H341" s="95" t="n"/>
    </row>
    <row r="342">
      <c r="A342" s="122" t="n"/>
      <c r="B342" s="105" t="n"/>
      <c r="C342" s="105" t="n"/>
      <c r="D342" s="95" t="n"/>
      <c r="E342" s="95" t="n"/>
      <c r="F342" s="95" t="n"/>
      <c r="G342" s="92">
        <f>IF(B342="","",IFERROR(INDEX(Roster!$C$6:$C$65,MATCH(B342,Roster!$B$6:$B$65,0)),"not on the Roster"))</f>
        <v/>
      </c>
      <c r="H342" s="95" t="n"/>
    </row>
    <row r="343">
      <c r="A343" s="122" t="n"/>
      <c r="B343" s="105" t="n"/>
      <c r="C343" s="105" t="n"/>
      <c r="D343" s="95" t="n"/>
      <c r="E343" s="95" t="n"/>
      <c r="F343" s="95" t="n"/>
      <c r="G343" s="92">
        <f>IF(B343="","",IFERROR(INDEX(Roster!$C$6:$C$65,MATCH(B343,Roster!$B$6:$B$65,0)),"not on the Roster"))</f>
        <v/>
      </c>
      <c r="H343" s="95" t="n"/>
    </row>
    <row r="344">
      <c r="A344" s="122" t="n"/>
      <c r="B344" s="105" t="n"/>
      <c r="C344" s="105" t="n"/>
      <c r="D344" s="95" t="n"/>
      <c r="E344" s="95" t="n"/>
      <c r="F344" s="95" t="n"/>
      <c r="G344" s="92">
        <f>IF(B344="","",IFERROR(INDEX(Roster!$C$6:$C$65,MATCH(B344,Roster!$B$6:$B$65,0)),"not on the Roster"))</f>
        <v/>
      </c>
      <c r="H344" s="95" t="n"/>
    </row>
    <row r="345">
      <c r="A345" s="122" t="n"/>
      <c r="B345" s="105" t="n"/>
      <c r="C345" s="105" t="n"/>
      <c r="D345" s="95" t="n"/>
      <c r="E345" s="95" t="n"/>
      <c r="F345" s="95" t="n"/>
      <c r="G345" s="92">
        <f>IF(B345="","",IFERROR(INDEX(Roster!$C$6:$C$65,MATCH(B345,Roster!$B$6:$B$65,0)),"not on the Roster"))</f>
        <v/>
      </c>
      <c r="H345" s="95" t="n"/>
    </row>
    <row r="346">
      <c r="A346" s="122" t="n"/>
      <c r="B346" s="105" t="n"/>
      <c r="C346" s="105" t="n"/>
      <c r="D346" s="95" t="n"/>
      <c r="E346" s="95" t="n"/>
      <c r="F346" s="95" t="n"/>
      <c r="G346" s="92">
        <f>IF(B346="","",IFERROR(INDEX(Roster!$C$6:$C$65,MATCH(B346,Roster!$B$6:$B$65,0)),"not on the Roster"))</f>
        <v/>
      </c>
      <c r="H346" s="95" t="n"/>
    </row>
    <row r="347">
      <c r="A347" s="122" t="n"/>
      <c r="B347" s="105" t="n"/>
      <c r="C347" s="105" t="n"/>
      <c r="D347" s="95" t="n"/>
      <c r="E347" s="95" t="n"/>
      <c r="F347" s="95" t="n"/>
      <c r="G347" s="92">
        <f>IF(B347="","",IFERROR(INDEX(Roster!$C$6:$C$65,MATCH(B347,Roster!$B$6:$B$65,0)),"not on the Roster"))</f>
        <v/>
      </c>
      <c r="H347" s="95" t="n"/>
    </row>
    <row r="348">
      <c r="A348" s="122" t="n"/>
      <c r="B348" s="105" t="n"/>
      <c r="C348" s="105" t="n"/>
      <c r="D348" s="95" t="n"/>
      <c r="E348" s="95" t="n"/>
      <c r="F348" s="95" t="n"/>
      <c r="G348" s="92">
        <f>IF(B348="","",IFERROR(INDEX(Roster!$C$6:$C$65,MATCH(B348,Roster!$B$6:$B$65,0)),"not on the Roster"))</f>
        <v/>
      </c>
      <c r="H348" s="95" t="n"/>
    </row>
    <row r="349">
      <c r="A349" s="122" t="n"/>
      <c r="B349" s="105" t="n"/>
      <c r="C349" s="105" t="n"/>
      <c r="D349" s="95" t="n"/>
      <c r="E349" s="95" t="n"/>
      <c r="F349" s="95" t="n"/>
      <c r="G349" s="92">
        <f>IF(B349="","",IFERROR(INDEX(Roster!$C$6:$C$65,MATCH(B349,Roster!$B$6:$B$65,0)),"not on the Roster"))</f>
        <v/>
      </c>
      <c r="H349" s="95" t="n"/>
    </row>
    <row r="350">
      <c r="A350" s="122" t="n"/>
      <c r="B350" s="105" t="n"/>
      <c r="C350" s="105" t="n"/>
      <c r="D350" s="95" t="n"/>
      <c r="E350" s="95" t="n"/>
      <c r="F350" s="95" t="n"/>
      <c r="G350" s="92">
        <f>IF(B350="","",IFERROR(INDEX(Roster!$C$6:$C$65,MATCH(B350,Roster!$B$6:$B$65,0)),"not on the Roster"))</f>
        <v/>
      </c>
      <c r="H350" s="95" t="n"/>
    </row>
    <row r="351">
      <c r="A351" s="122" t="n"/>
      <c r="B351" s="105" t="n"/>
      <c r="C351" s="105" t="n"/>
      <c r="D351" s="95" t="n"/>
      <c r="E351" s="95" t="n"/>
      <c r="F351" s="95" t="n"/>
      <c r="G351" s="92">
        <f>IF(B351="","",IFERROR(INDEX(Roster!$C$6:$C$65,MATCH(B351,Roster!$B$6:$B$65,0)),"not on the Roster"))</f>
        <v/>
      </c>
      <c r="H351" s="95" t="n"/>
    </row>
    <row r="352">
      <c r="A352" s="122" t="n"/>
      <c r="B352" s="105" t="n"/>
      <c r="C352" s="105" t="n"/>
      <c r="D352" s="95" t="n"/>
      <c r="E352" s="95" t="n"/>
      <c r="F352" s="95" t="n"/>
      <c r="G352" s="92">
        <f>IF(B352="","",IFERROR(INDEX(Roster!$C$6:$C$65,MATCH(B352,Roster!$B$6:$B$65,0)),"not on the Roster"))</f>
        <v/>
      </c>
      <c r="H352" s="95" t="n"/>
    </row>
    <row r="353">
      <c r="A353" s="122" t="n"/>
      <c r="B353" s="105" t="n"/>
      <c r="C353" s="105" t="n"/>
      <c r="D353" s="95" t="n"/>
      <c r="E353" s="95" t="n"/>
      <c r="F353" s="95" t="n"/>
      <c r="G353" s="92">
        <f>IF(B353="","",IFERROR(INDEX(Roster!$C$6:$C$65,MATCH(B353,Roster!$B$6:$B$65,0)),"not on the Roster"))</f>
        <v/>
      </c>
      <c r="H353" s="95" t="n"/>
    </row>
    <row r="354">
      <c r="A354" s="122" t="n"/>
      <c r="B354" s="105" t="n"/>
      <c r="C354" s="105" t="n"/>
      <c r="D354" s="95" t="n"/>
      <c r="E354" s="95" t="n"/>
      <c r="F354" s="95" t="n"/>
      <c r="G354" s="92">
        <f>IF(B354="","",IFERROR(INDEX(Roster!$C$6:$C$65,MATCH(B354,Roster!$B$6:$B$65,0)),"not on the Roster"))</f>
        <v/>
      </c>
      <c r="H354" s="95" t="n"/>
    </row>
    <row r="355">
      <c r="A355" s="122" t="n"/>
      <c r="B355" s="105" t="n"/>
      <c r="C355" s="105" t="n"/>
      <c r="D355" s="95" t="n"/>
      <c r="E355" s="95" t="n"/>
      <c r="F355" s="95" t="n"/>
      <c r="G355" s="92">
        <f>IF(B355="","",IFERROR(INDEX(Roster!$C$6:$C$65,MATCH(B355,Roster!$B$6:$B$65,0)),"not on the Roster"))</f>
        <v/>
      </c>
      <c r="H355" s="95" t="n"/>
    </row>
    <row r="356">
      <c r="A356" s="122" t="n"/>
      <c r="B356" s="105" t="n"/>
      <c r="C356" s="105" t="n"/>
      <c r="D356" s="95" t="n"/>
      <c r="E356" s="95" t="n"/>
      <c r="F356" s="95" t="n"/>
      <c r="G356" s="92">
        <f>IF(B356="","",IFERROR(INDEX(Roster!$C$6:$C$65,MATCH(B356,Roster!$B$6:$B$65,0)),"not on the Roster"))</f>
        <v/>
      </c>
      <c r="H356" s="95" t="n"/>
    </row>
    <row r="357">
      <c r="A357" s="122" t="n"/>
      <c r="B357" s="105" t="n"/>
      <c r="C357" s="105" t="n"/>
      <c r="D357" s="95" t="n"/>
      <c r="E357" s="95" t="n"/>
      <c r="F357" s="95" t="n"/>
      <c r="G357" s="92">
        <f>IF(B357="","",IFERROR(INDEX(Roster!$C$6:$C$65,MATCH(B357,Roster!$B$6:$B$65,0)),"not on the Roster"))</f>
        <v/>
      </c>
      <c r="H357" s="95" t="n"/>
    </row>
    <row r="358">
      <c r="A358" s="122" t="n"/>
      <c r="B358" s="105" t="n"/>
      <c r="C358" s="105" t="n"/>
      <c r="D358" s="95" t="n"/>
      <c r="E358" s="95" t="n"/>
      <c r="F358" s="95" t="n"/>
      <c r="G358" s="92">
        <f>IF(B358="","",IFERROR(INDEX(Roster!$C$6:$C$65,MATCH(B358,Roster!$B$6:$B$65,0)),"not on the Roster"))</f>
        <v/>
      </c>
      <c r="H358" s="95" t="n"/>
    </row>
    <row r="359">
      <c r="A359" s="122" t="n"/>
      <c r="B359" s="105" t="n"/>
      <c r="C359" s="105" t="n"/>
      <c r="D359" s="95" t="n"/>
      <c r="E359" s="95" t="n"/>
      <c r="F359" s="95" t="n"/>
      <c r="G359" s="92">
        <f>IF(B359="","",IFERROR(INDEX(Roster!$C$6:$C$65,MATCH(B359,Roster!$B$6:$B$65,0)),"not on the Roster"))</f>
        <v/>
      </c>
      <c r="H359" s="95" t="n"/>
    </row>
    <row r="360">
      <c r="A360" s="122" t="n"/>
      <c r="B360" s="105" t="n"/>
      <c r="C360" s="105" t="n"/>
      <c r="D360" s="95" t="n"/>
      <c r="E360" s="95" t="n"/>
      <c r="F360" s="95" t="n"/>
      <c r="G360" s="92">
        <f>IF(B360="","",IFERROR(INDEX(Roster!$C$6:$C$65,MATCH(B360,Roster!$B$6:$B$65,0)),"not on the Roster"))</f>
        <v/>
      </c>
      <c r="H360" s="95" t="n"/>
    </row>
    <row r="361">
      <c r="A361" s="122" t="n"/>
      <c r="B361" s="105" t="n"/>
      <c r="C361" s="105" t="n"/>
      <c r="D361" s="95" t="n"/>
      <c r="E361" s="95" t="n"/>
      <c r="F361" s="95" t="n"/>
      <c r="G361" s="92">
        <f>IF(B361="","",IFERROR(INDEX(Roster!$C$6:$C$65,MATCH(B361,Roster!$B$6:$B$65,0)),"not on the Roster"))</f>
        <v/>
      </c>
      <c r="H361" s="95" t="n"/>
    </row>
    <row r="362">
      <c r="A362" s="122" t="n"/>
      <c r="B362" s="105" t="n"/>
      <c r="C362" s="105" t="n"/>
      <c r="D362" s="95" t="n"/>
      <c r="E362" s="95" t="n"/>
      <c r="F362" s="95" t="n"/>
      <c r="G362" s="92">
        <f>IF(B362="","",IFERROR(INDEX(Roster!$C$6:$C$65,MATCH(B362,Roster!$B$6:$B$65,0)),"not on the Roster"))</f>
        <v/>
      </c>
      <c r="H362" s="95" t="n"/>
    </row>
    <row r="363">
      <c r="A363" s="122" t="n"/>
      <c r="B363" s="105" t="n"/>
      <c r="C363" s="105" t="n"/>
      <c r="D363" s="95" t="n"/>
      <c r="E363" s="95" t="n"/>
      <c r="F363" s="95" t="n"/>
      <c r="G363" s="92">
        <f>IF(B363="","",IFERROR(INDEX(Roster!$C$6:$C$65,MATCH(B363,Roster!$B$6:$B$65,0)),"not on the Roster"))</f>
        <v/>
      </c>
      <c r="H363" s="95" t="n"/>
    </row>
    <row r="364">
      <c r="A364" s="122" t="n"/>
      <c r="B364" s="105" t="n"/>
      <c r="C364" s="105" t="n"/>
      <c r="D364" s="95" t="n"/>
      <c r="E364" s="95" t="n"/>
      <c r="F364" s="95" t="n"/>
      <c r="G364" s="92">
        <f>IF(B364="","",IFERROR(INDEX(Roster!$C$6:$C$65,MATCH(B364,Roster!$B$6:$B$65,0)),"not on the Roster"))</f>
        <v/>
      </c>
      <c r="H364" s="95" t="n"/>
    </row>
    <row r="365">
      <c r="A365" s="122" t="n"/>
      <c r="B365" s="105" t="n"/>
      <c r="C365" s="105" t="n"/>
      <c r="D365" s="95" t="n"/>
      <c r="E365" s="95" t="n"/>
      <c r="F365" s="95" t="n"/>
      <c r="G365" s="92">
        <f>IF(B365="","",IFERROR(INDEX(Roster!$C$6:$C$65,MATCH(B365,Roster!$B$6:$B$65,0)),"not on the Roster"))</f>
        <v/>
      </c>
      <c r="H365" s="95" t="n"/>
    </row>
    <row r="366">
      <c r="A366" s="122" t="n"/>
      <c r="B366" s="105" t="n"/>
      <c r="C366" s="105" t="n"/>
      <c r="D366" s="95" t="n"/>
      <c r="E366" s="95" t="n"/>
      <c r="F366" s="95" t="n"/>
      <c r="G366" s="92">
        <f>IF(B366="","",IFERROR(INDEX(Roster!$C$6:$C$65,MATCH(B366,Roster!$B$6:$B$65,0)),"not on the Roster"))</f>
        <v/>
      </c>
      <c r="H366" s="95" t="n"/>
    </row>
    <row r="367">
      <c r="A367" s="122" t="n"/>
      <c r="B367" s="105" t="n"/>
      <c r="C367" s="105" t="n"/>
      <c r="D367" s="95" t="n"/>
      <c r="E367" s="95" t="n"/>
      <c r="F367" s="95" t="n"/>
      <c r="G367" s="92">
        <f>IF(B367="","",IFERROR(INDEX(Roster!$C$6:$C$65,MATCH(B367,Roster!$B$6:$B$65,0)),"not on the Roster"))</f>
        <v/>
      </c>
      <c r="H367" s="95" t="n"/>
    </row>
    <row r="368">
      <c r="A368" s="122" t="n"/>
      <c r="B368" s="105" t="n"/>
      <c r="C368" s="105" t="n"/>
      <c r="D368" s="95" t="n"/>
      <c r="E368" s="95" t="n"/>
      <c r="F368" s="95" t="n"/>
      <c r="G368" s="92">
        <f>IF(B368="","",IFERROR(INDEX(Roster!$C$6:$C$65,MATCH(B368,Roster!$B$6:$B$65,0)),"not on the Roster"))</f>
        <v/>
      </c>
      <c r="H368" s="95" t="n"/>
    </row>
    <row r="369">
      <c r="A369" s="122" t="n"/>
      <c r="B369" s="105" t="n"/>
      <c r="C369" s="105" t="n"/>
      <c r="D369" s="95" t="n"/>
      <c r="E369" s="95" t="n"/>
      <c r="F369" s="95" t="n"/>
      <c r="G369" s="92">
        <f>IF(B369="","",IFERROR(INDEX(Roster!$C$6:$C$65,MATCH(B369,Roster!$B$6:$B$65,0)),"not on the Roster"))</f>
        <v/>
      </c>
      <c r="H369" s="95" t="n"/>
    </row>
    <row r="370">
      <c r="A370" s="122" t="n"/>
      <c r="B370" s="105" t="n"/>
      <c r="C370" s="105" t="n"/>
      <c r="D370" s="95" t="n"/>
      <c r="E370" s="95" t="n"/>
      <c r="F370" s="95" t="n"/>
      <c r="G370" s="92">
        <f>IF(B370="","",IFERROR(INDEX(Roster!$C$6:$C$65,MATCH(B370,Roster!$B$6:$B$65,0)),"not on the Roster"))</f>
        <v/>
      </c>
      <c r="H370" s="95" t="n"/>
    </row>
    <row r="371">
      <c r="A371" s="122" t="n"/>
      <c r="B371" s="105" t="n"/>
      <c r="C371" s="105" t="n"/>
      <c r="D371" s="95" t="n"/>
      <c r="E371" s="95" t="n"/>
      <c r="F371" s="95" t="n"/>
      <c r="G371" s="92">
        <f>IF(B371="","",IFERROR(INDEX(Roster!$C$6:$C$65,MATCH(B371,Roster!$B$6:$B$65,0)),"not on the Roster"))</f>
        <v/>
      </c>
      <c r="H371" s="95" t="n"/>
    </row>
    <row r="372">
      <c r="A372" s="122" t="n"/>
      <c r="B372" s="105" t="n"/>
      <c r="C372" s="105" t="n"/>
      <c r="D372" s="95" t="n"/>
      <c r="E372" s="95" t="n"/>
      <c r="F372" s="95" t="n"/>
      <c r="G372" s="92">
        <f>IF(B372="","",IFERROR(INDEX(Roster!$C$6:$C$65,MATCH(B372,Roster!$B$6:$B$65,0)),"not on the Roster"))</f>
        <v/>
      </c>
      <c r="H372" s="95" t="n"/>
    </row>
    <row r="373">
      <c r="A373" s="122" t="n"/>
      <c r="B373" s="105" t="n"/>
      <c r="C373" s="105" t="n"/>
      <c r="D373" s="95" t="n"/>
      <c r="E373" s="95" t="n"/>
      <c r="F373" s="95" t="n"/>
      <c r="G373" s="92">
        <f>IF(B373="","",IFERROR(INDEX(Roster!$C$6:$C$65,MATCH(B373,Roster!$B$6:$B$65,0)),"not on the Roster"))</f>
        <v/>
      </c>
      <c r="H373" s="95" t="n"/>
    </row>
    <row r="374">
      <c r="A374" s="122" t="n"/>
      <c r="B374" s="105" t="n"/>
      <c r="C374" s="105" t="n"/>
      <c r="D374" s="95" t="n"/>
      <c r="E374" s="95" t="n"/>
      <c r="F374" s="95" t="n"/>
      <c r="G374" s="92">
        <f>IF(B374="","",IFERROR(INDEX(Roster!$C$6:$C$65,MATCH(B374,Roster!$B$6:$B$65,0)),"not on the Roster"))</f>
        <v/>
      </c>
      <c r="H374" s="95" t="n"/>
    </row>
    <row r="375">
      <c r="A375" s="122" t="n"/>
      <c r="B375" s="105" t="n"/>
      <c r="C375" s="105" t="n"/>
      <c r="D375" s="95" t="n"/>
      <c r="E375" s="95" t="n"/>
      <c r="F375" s="95" t="n"/>
      <c r="G375" s="92">
        <f>IF(B375="","",IFERROR(INDEX(Roster!$C$6:$C$65,MATCH(B375,Roster!$B$6:$B$65,0)),"not on the Roster"))</f>
        <v/>
      </c>
      <c r="H375" s="95" t="n"/>
    </row>
    <row r="376">
      <c r="A376" s="122" t="n"/>
      <c r="B376" s="105" t="n"/>
      <c r="C376" s="105" t="n"/>
      <c r="D376" s="95" t="n"/>
      <c r="E376" s="95" t="n"/>
      <c r="F376" s="95" t="n"/>
      <c r="G376" s="92">
        <f>IF(B376="","",IFERROR(INDEX(Roster!$C$6:$C$65,MATCH(B376,Roster!$B$6:$B$65,0)),"not on the Roster"))</f>
        <v/>
      </c>
      <c r="H376" s="95" t="n"/>
    </row>
    <row r="377">
      <c r="A377" s="122" t="n"/>
      <c r="B377" s="105" t="n"/>
      <c r="C377" s="105" t="n"/>
      <c r="D377" s="95" t="n"/>
      <c r="E377" s="95" t="n"/>
      <c r="F377" s="95" t="n"/>
      <c r="G377" s="92">
        <f>IF(B377="","",IFERROR(INDEX(Roster!$C$6:$C$65,MATCH(B377,Roster!$B$6:$B$65,0)),"not on the Roster"))</f>
        <v/>
      </c>
      <c r="H377" s="95" t="n"/>
    </row>
    <row r="378">
      <c r="A378" s="122" t="n"/>
      <c r="B378" s="105" t="n"/>
      <c r="C378" s="105" t="n"/>
      <c r="D378" s="95" t="n"/>
      <c r="E378" s="95" t="n"/>
      <c r="F378" s="95" t="n"/>
      <c r="G378" s="92">
        <f>IF(B378="","",IFERROR(INDEX(Roster!$C$6:$C$65,MATCH(B378,Roster!$B$6:$B$65,0)),"not on the Roster"))</f>
        <v/>
      </c>
      <c r="H378" s="95" t="n"/>
    </row>
    <row r="379">
      <c r="A379" s="122" t="n"/>
      <c r="B379" s="105" t="n"/>
      <c r="C379" s="105" t="n"/>
      <c r="D379" s="95" t="n"/>
      <c r="E379" s="95" t="n"/>
      <c r="F379" s="95" t="n"/>
      <c r="G379" s="92">
        <f>IF(B379="","",IFERROR(INDEX(Roster!$C$6:$C$65,MATCH(B379,Roster!$B$6:$B$65,0)),"not on the Roster"))</f>
        <v/>
      </c>
      <c r="H379" s="95" t="n"/>
    </row>
    <row r="380">
      <c r="A380" s="122" t="n"/>
      <c r="B380" s="105" t="n"/>
      <c r="C380" s="105" t="n"/>
      <c r="D380" s="95" t="n"/>
      <c r="E380" s="95" t="n"/>
      <c r="F380" s="95" t="n"/>
      <c r="G380" s="92">
        <f>IF(B380="","",IFERROR(INDEX(Roster!$C$6:$C$65,MATCH(B380,Roster!$B$6:$B$65,0)),"not on the Roster"))</f>
        <v/>
      </c>
      <c r="H380" s="95" t="n"/>
    </row>
    <row r="381">
      <c r="A381" s="122" t="n"/>
      <c r="B381" s="105" t="n"/>
      <c r="C381" s="105" t="n"/>
      <c r="D381" s="95" t="n"/>
      <c r="E381" s="95" t="n"/>
      <c r="F381" s="95" t="n"/>
      <c r="G381" s="92">
        <f>IF(B381="","",IFERROR(INDEX(Roster!$C$6:$C$65,MATCH(B381,Roster!$B$6:$B$65,0)),"not on the Roster"))</f>
        <v/>
      </c>
      <c r="H381" s="95" t="n"/>
    </row>
    <row r="382">
      <c r="A382" s="122" t="n"/>
      <c r="B382" s="105" t="n"/>
      <c r="C382" s="105" t="n"/>
      <c r="D382" s="95" t="n"/>
      <c r="E382" s="95" t="n"/>
      <c r="F382" s="95" t="n"/>
      <c r="G382" s="92">
        <f>IF(B382="","",IFERROR(INDEX(Roster!$C$6:$C$65,MATCH(B382,Roster!$B$6:$B$65,0)),"not on the Roster"))</f>
        <v/>
      </c>
      <c r="H382" s="95" t="n"/>
    </row>
    <row r="383">
      <c r="A383" s="122" t="n"/>
      <c r="B383" s="105" t="n"/>
      <c r="C383" s="105" t="n"/>
      <c r="D383" s="95" t="n"/>
      <c r="E383" s="95" t="n"/>
      <c r="F383" s="95" t="n"/>
      <c r="G383" s="92">
        <f>IF(B383="","",IFERROR(INDEX(Roster!$C$6:$C$65,MATCH(B383,Roster!$B$6:$B$65,0)),"not on the Roster"))</f>
        <v/>
      </c>
      <c r="H383" s="95" t="n"/>
    </row>
    <row r="384">
      <c r="A384" s="122" t="n"/>
      <c r="B384" s="105" t="n"/>
      <c r="C384" s="105" t="n"/>
      <c r="D384" s="95" t="n"/>
      <c r="E384" s="95" t="n"/>
      <c r="F384" s="95" t="n"/>
      <c r="G384" s="92">
        <f>IF(B384="","",IFERROR(INDEX(Roster!$C$6:$C$65,MATCH(B384,Roster!$B$6:$B$65,0)),"not on the Roster"))</f>
        <v/>
      </c>
      <c r="H384" s="95" t="n"/>
    </row>
    <row r="385">
      <c r="A385" s="122" t="n"/>
      <c r="B385" s="105" t="n"/>
      <c r="C385" s="105" t="n"/>
      <c r="D385" s="95" t="n"/>
      <c r="E385" s="95" t="n"/>
      <c r="F385" s="95" t="n"/>
      <c r="G385" s="92">
        <f>IF(B385="","",IFERROR(INDEX(Roster!$C$6:$C$65,MATCH(B385,Roster!$B$6:$B$65,0)),"not on the Roster"))</f>
        <v/>
      </c>
      <c r="H385" s="95" t="n"/>
    </row>
    <row r="386">
      <c r="A386" s="122" t="n"/>
      <c r="B386" s="105" t="n"/>
      <c r="C386" s="105" t="n"/>
      <c r="D386" s="95" t="n"/>
      <c r="E386" s="95" t="n"/>
      <c r="F386" s="95" t="n"/>
      <c r="G386" s="92">
        <f>IF(B386="","",IFERROR(INDEX(Roster!$C$6:$C$65,MATCH(B386,Roster!$B$6:$B$65,0)),"not on the Roster"))</f>
        <v/>
      </c>
      <c r="H386" s="95" t="n"/>
    </row>
    <row r="387">
      <c r="A387" s="122" t="n"/>
      <c r="B387" s="105" t="n"/>
      <c r="C387" s="105" t="n"/>
      <c r="D387" s="95" t="n"/>
      <c r="E387" s="95" t="n"/>
      <c r="F387" s="95" t="n"/>
      <c r="G387" s="92">
        <f>IF(B387="","",IFERROR(INDEX(Roster!$C$6:$C$65,MATCH(B387,Roster!$B$6:$B$65,0)),"not on the Roster"))</f>
        <v/>
      </c>
      <c r="H387" s="95" t="n"/>
    </row>
    <row r="388">
      <c r="A388" s="122" t="n"/>
      <c r="B388" s="105" t="n"/>
      <c r="C388" s="105" t="n"/>
      <c r="D388" s="95" t="n"/>
      <c r="E388" s="95" t="n"/>
      <c r="F388" s="95" t="n"/>
      <c r="G388" s="92">
        <f>IF(B388="","",IFERROR(INDEX(Roster!$C$6:$C$65,MATCH(B388,Roster!$B$6:$B$65,0)),"not on the Roster"))</f>
        <v/>
      </c>
      <c r="H388" s="95" t="n"/>
    </row>
    <row r="389">
      <c r="A389" s="122" t="n"/>
      <c r="B389" s="105" t="n"/>
      <c r="C389" s="105" t="n"/>
      <c r="D389" s="95" t="n"/>
      <c r="E389" s="95" t="n"/>
      <c r="F389" s="95" t="n"/>
      <c r="G389" s="92">
        <f>IF(B389="","",IFERROR(INDEX(Roster!$C$6:$C$65,MATCH(B389,Roster!$B$6:$B$65,0)),"not on the Roster"))</f>
        <v/>
      </c>
      <c r="H389" s="95" t="n"/>
    </row>
    <row r="390">
      <c r="A390" s="122" t="n"/>
      <c r="B390" s="105" t="n"/>
      <c r="C390" s="105" t="n"/>
      <c r="D390" s="95" t="n"/>
      <c r="E390" s="95" t="n"/>
      <c r="F390" s="95" t="n"/>
      <c r="G390" s="92">
        <f>IF(B390="","",IFERROR(INDEX(Roster!$C$6:$C$65,MATCH(B390,Roster!$B$6:$B$65,0)),"not on the Roster"))</f>
        <v/>
      </c>
      <c r="H390" s="95" t="n"/>
    </row>
    <row r="391">
      <c r="A391" s="122" t="n"/>
      <c r="B391" s="105" t="n"/>
      <c r="C391" s="105" t="n"/>
      <c r="D391" s="95" t="n"/>
      <c r="E391" s="95" t="n"/>
      <c r="F391" s="95" t="n"/>
      <c r="G391" s="92">
        <f>IF(B391="","",IFERROR(INDEX(Roster!$C$6:$C$65,MATCH(B391,Roster!$B$6:$B$65,0)),"not on the Roster"))</f>
        <v/>
      </c>
      <c r="H391" s="95" t="n"/>
    </row>
    <row r="392">
      <c r="A392" s="122" t="n"/>
      <c r="B392" s="105" t="n"/>
      <c r="C392" s="105" t="n"/>
      <c r="D392" s="95" t="n"/>
      <c r="E392" s="95" t="n"/>
      <c r="F392" s="95" t="n"/>
      <c r="G392" s="92">
        <f>IF(B392="","",IFERROR(INDEX(Roster!$C$6:$C$65,MATCH(B392,Roster!$B$6:$B$65,0)),"not on the Roster"))</f>
        <v/>
      </c>
      <c r="H392" s="95" t="n"/>
    </row>
    <row r="393">
      <c r="A393" s="122" t="n"/>
      <c r="B393" s="105" t="n"/>
      <c r="C393" s="105" t="n"/>
      <c r="D393" s="95" t="n"/>
      <c r="E393" s="95" t="n"/>
      <c r="F393" s="95" t="n"/>
      <c r="G393" s="92">
        <f>IF(B393="","",IFERROR(INDEX(Roster!$C$6:$C$65,MATCH(B393,Roster!$B$6:$B$65,0)),"not on the Roster"))</f>
        <v/>
      </c>
      <c r="H393" s="95" t="n"/>
    </row>
    <row r="394">
      <c r="A394" s="122" t="n"/>
      <c r="B394" s="105" t="n"/>
      <c r="C394" s="105" t="n"/>
      <c r="D394" s="95" t="n"/>
      <c r="E394" s="95" t="n"/>
      <c r="F394" s="95" t="n"/>
      <c r="G394" s="92">
        <f>IF(B394="","",IFERROR(INDEX(Roster!$C$6:$C$65,MATCH(B394,Roster!$B$6:$B$65,0)),"not on the Roster"))</f>
        <v/>
      </c>
      <c r="H394" s="95" t="n"/>
    </row>
    <row r="395">
      <c r="A395" s="122" t="n"/>
      <c r="B395" s="105" t="n"/>
      <c r="C395" s="105" t="n"/>
      <c r="D395" s="95" t="n"/>
      <c r="E395" s="95" t="n"/>
      <c r="F395" s="95" t="n"/>
      <c r="G395" s="92">
        <f>IF(B395="","",IFERROR(INDEX(Roster!$C$6:$C$65,MATCH(B395,Roster!$B$6:$B$65,0)),"not on the Roster"))</f>
        <v/>
      </c>
      <c r="H395" s="95" t="n"/>
    </row>
    <row r="396">
      <c r="A396" s="122" t="n"/>
      <c r="B396" s="105" t="n"/>
      <c r="C396" s="105" t="n"/>
      <c r="D396" s="95" t="n"/>
      <c r="E396" s="95" t="n"/>
      <c r="F396" s="95" t="n"/>
      <c r="G396" s="92">
        <f>IF(B396="","",IFERROR(INDEX(Roster!$C$6:$C$65,MATCH(B396,Roster!$B$6:$B$65,0)),"not on the Roster"))</f>
        <v/>
      </c>
      <c r="H396" s="95" t="n"/>
    </row>
    <row r="397">
      <c r="A397" s="122" t="n"/>
      <c r="B397" s="105" t="n"/>
      <c r="C397" s="105" t="n"/>
      <c r="D397" s="95" t="n"/>
      <c r="E397" s="95" t="n"/>
      <c r="F397" s="95" t="n"/>
      <c r="G397" s="92">
        <f>IF(B397="","",IFERROR(INDEX(Roster!$C$6:$C$65,MATCH(B397,Roster!$B$6:$B$65,0)),"not on the Roster"))</f>
        <v/>
      </c>
      <c r="H397" s="95" t="n"/>
    </row>
    <row r="398">
      <c r="A398" s="122" t="n"/>
      <c r="B398" s="105" t="n"/>
      <c r="C398" s="105" t="n"/>
      <c r="D398" s="95" t="n"/>
      <c r="E398" s="95" t="n"/>
      <c r="F398" s="95" t="n"/>
      <c r="G398" s="92">
        <f>IF(B398="","",IFERROR(INDEX(Roster!$C$6:$C$65,MATCH(B398,Roster!$B$6:$B$65,0)),"not on the Roster"))</f>
        <v/>
      </c>
      <c r="H398" s="95" t="n"/>
    </row>
    <row r="399">
      <c r="A399" s="122" t="n"/>
      <c r="B399" s="105" t="n"/>
      <c r="C399" s="105" t="n"/>
      <c r="D399" s="95" t="n"/>
      <c r="E399" s="95" t="n"/>
      <c r="F399" s="95" t="n"/>
      <c r="G399" s="92">
        <f>IF(B399="","",IFERROR(INDEX(Roster!$C$6:$C$65,MATCH(B399,Roster!$B$6:$B$65,0)),"not on the Roster"))</f>
        <v/>
      </c>
      <c r="H399" s="95" t="n"/>
    </row>
    <row r="400">
      <c r="A400" s="122" t="n"/>
      <c r="B400" s="105" t="n"/>
      <c r="C400" s="105" t="n"/>
      <c r="D400" s="95" t="n"/>
      <c r="E400" s="95" t="n"/>
      <c r="F400" s="95" t="n"/>
      <c r="G400" s="92">
        <f>IF(B400="","",IFERROR(INDEX(Roster!$C$6:$C$65,MATCH(B400,Roster!$B$6:$B$65,0)),"not on the Roster"))</f>
        <v/>
      </c>
      <c r="H400" s="95" t="n"/>
    </row>
    <row r="401">
      <c r="A401" s="122" t="n"/>
      <c r="B401" s="105" t="n"/>
      <c r="C401" s="105" t="n"/>
      <c r="D401" s="95" t="n"/>
      <c r="E401" s="95" t="n"/>
      <c r="F401" s="95" t="n"/>
      <c r="G401" s="92">
        <f>IF(B401="","",IFERROR(INDEX(Roster!$C$6:$C$65,MATCH(B401,Roster!$B$6:$B$65,0)),"not on the Roster"))</f>
        <v/>
      </c>
      <c r="H401" s="95" t="n"/>
    </row>
    <row r="402">
      <c r="A402" s="122" t="n"/>
      <c r="B402" s="105" t="n"/>
      <c r="C402" s="105" t="n"/>
      <c r="D402" s="95" t="n"/>
      <c r="E402" s="95" t="n"/>
      <c r="F402" s="95" t="n"/>
      <c r="G402" s="92">
        <f>IF(B402="","",IFERROR(INDEX(Roster!$C$6:$C$65,MATCH(B402,Roster!$B$6:$B$65,0)),"not on the Roster"))</f>
        <v/>
      </c>
      <c r="H402" s="95" t="n"/>
    </row>
    <row r="403">
      <c r="A403" s="122" t="n"/>
      <c r="B403" s="105" t="n"/>
      <c r="C403" s="105" t="n"/>
      <c r="D403" s="95" t="n"/>
      <c r="E403" s="95" t="n"/>
      <c r="F403" s="95" t="n"/>
      <c r="G403" s="92">
        <f>IF(B403="","",IFERROR(INDEX(Roster!$C$6:$C$65,MATCH(B403,Roster!$B$6:$B$65,0)),"not on the Roster"))</f>
        <v/>
      </c>
      <c r="H403" s="95" t="n"/>
    </row>
    <row r="404">
      <c r="A404" s="122" t="n"/>
      <c r="B404" s="105" t="n"/>
      <c r="C404" s="105" t="n"/>
      <c r="D404" s="95" t="n"/>
      <c r="E404" s="95" t="n"/>
      <c r="F404" s="95" t="n"/>
      <c r="G404" s="92">
        <f>IF(B404="","",IFERROR(INDEX(Roster!$C$6:$C$65,MATCH(B404,Roster!$B$6:$B$65,0)),"not on the Roster"))</f>
        <v/>
      </c>
      <c r="H404" s="95" t="n"/>
    </row>
    <row r="405">
      <c r="A405" s="122" t="n"/>
      <c r="B405" s="105" t="n"/>
      <c r="C405" s="105" t="n"/>
      <c r="D405" s="95" t="n"/>
      <c r="E405" s="95" t="n"/>
      <c r="F405" s="95" t="n"/>
      <c r="G405" s="92">
        <f>IF(B405="","",IFERROR(INDEX(Roster!$C$6:$C$65,MATCH(B405,Roster!$B$6:$B$65,0)),"not on the Roster"))</f>
        <v/>
      </c>
      <c r="H405" s="95" t="n"/>
    </row>
    <row r="406">
      <c r="A406" s="122" t="n"/>
      <c r="B406" s="105" t="n"/>
      <c r="C406" s="105" t="n"/>
      <c r="D406" s="95" t="n"/>
      <c r="E406" s="95" t="n"/>
      <c r="F406" s="95" t="n"/>
      <c r="G406" s="92">
        <f>IF(B406="","",IFERROR(INDEX(Roster!$C$6:$C$65,MATCH(B406,Roster!$B$6:$B$65,0)),"not on the Roster"))</f>
        <v/>
      </c>
      <c r="H406" s="95" t="n"/>
    </row>
    <row r="407">
      <c r="A407" s="122" t="n"/>
      <c r="B407" s="105" t="n"/>
      <c r="C407" s="105" t="n"/>
      <c r="D407" s="95" t="n"/>
      <c r="E407" s="95" t="n"/>
      <c r="F407" s="95" t="n"/>
      <c r="G407" s="92">
        <f>IF(B407="","",IFERROR(INDEX(Roster!$C$6:$C$65,MATCH(B407,Roster!$B$6:$B$65,0)),"not on the Roster"))</f>
        <v/>
      </c>
      <c r="H407" s="95" t="n"/>
    </row>
    <row r="408">
      <c r="A408" s="122" t="n"/>
      <c r="B408" s="105" t="n"/>
      <c r="C408" s="105" t="n"/>
      <c r="D408" s="95" t="n"/>
      <c r="E408" s="95" t="n"/>
      <c r="F408" s="95" t="n"/>
      <c r="G408" s="92">
        <f>IF(B408="","",IFERROR(INDEX(Roster!$C$6:$C$65,MATCH(B408,Roster!$B$6:$B$65,0)),"not on the Roster"))</f>
        <v/>
      </c>
      <c r="H408" s="95" t="n"/>
    </row>
    <row r="409">
      <c r="A409" s="122" t="n"/>
      <c r="B409" s="105" t="n"/>
      <c r="C409" s="105" t="n"/>
      <c r="D409" s="95" t="n"/>
      <c r="E409" s="95" t="n"/>
      <c r="F409" s="95" t="n"/>
      <c r="G409" s="92">
        <f>IF(B409="","",IFERROR(INDEX(Roster!$C$6:$C$65,MATCH(B409,Roster!$B$6:$B$65,0)),"not on the Roster"))</f>
        <v/>
      </c>
      <c r="H409" s="95" t="n"/>
    </row>
    <row r="410">
      <c r="A410" s="122" t="n"/>
      <c r="B410" s="105" t="n"/>
      <c r="C410" s="105" t="n"/>
      <c r="D410" s="95" t="n"/>
      <c r="E410" s="95" t="n"/>
      <c r="F410" s="95" t="n"/>
      <c r="G410" s="92">
        <f>IF(B410="","",IFERROR(INDEX(Roster!$C$6:$C$65,MATCH(B410,Roster!$B$6:$B$65,0)),"not on the Roster"))</f>
        <v/>
      </c>
      <c r="H410" s="95" t="n"/>
    </row>
    <row r="411">
      <c r="A411" s="122" t="n"/>
      <c r="B411" s="105" t="n"/>
      <c r="C411" s="105" t="n"/>
      <c r="D411" s="95" t="n"/>
      <c r="E411" s="95" t="n"/>
      <c r="F411" s="95" t="n"/>
      <c r="G411" s="92">
        <f>IF(B411="","",IFERROR(INDEX(Roster!$C$6:$C$65,MATCH(B411,Roster!$B$6:$B$65,0)),"not on the Roster"))</f>
        <v/>
      </c>
      <c r="H411" s="95" t="n"/>
    </row>
    <row r="412">
      <c r="A412" s="122" t="n"/>
      <c r="B412" s="105" t="n"/>
      <c r="C412" s="105" t="n"/>
      <c r="D412" s="95" t="n"/>
      <c r="E412" s="95" t="n"/>
      <c r="F412" s="95" t="n"/>
      <c r="G412" s="92">
        <f>IF(B412="","",IFERROR(INDEX(Roster!$C$6:$C$65,MATCH(B412,Roster!$B$6:$B$65,0)),"not on the Roster"))</f>
        <v/>
      </c>
      <c r="H412" s="95" t="n"/>
    </row>
    <row r="413">
      <c r="A413" s="122" t="n"/>
      <c r="B413" s="105" t="n"/>
      <c r="C413" s="105" t="n"/>
      <c r="D413" s="95" t="n"/>
      <c r="E413" s="95" t="n"/>
      <c r="F413" s="95" t="n"/>
      <c r="G413" s="92">
        <f>IF(B413="","",IFERROR(INDEX(Roster!$C$6:$C$65,MATCH(B413,Roster!$B$6:$B$65,0)),"not on the Roster"))</f>
        <v/>
      </c>
      <c r="H413" s="95" t="n"/>
    </row>
    <row r="414">
      <c r="A414" s="122" t="n"/>
      <c r="B414" s="105" t="n"/>
      <c r="C414" s="105" t="n"/>
      <c r="D414" s="95" t="n"/>
      <c r="E414" s="95" t="n"/>
      <c r="F414" s="95" t="n"/>
      <c r="G414" s="92">
        <f>IF(B414="","",IFERROR(INDEX(Roster!$C$6:$C$65,MATCH(B414,Roster!$B$6:$B$65,0)),"not on the Roster"))</f>
        <v/>
      </c>
      <c r="H414" s="95" t="n"/>
    </row>
    <row r="415">
      <c r="A415" s="122" t="n"/>
      <c r="B415" s="105" t="n"/>
      <c r="C415" s="105" t="n"/>
      <c r="D415" s="95" t="n"/>
      <c r="E415" s="95" t="n"/>
      <c r="F415" s="95" t="n"/>
      <c r="G415" s="92">
        <f>IF(B415="","",IFERROR(INDEX(Roster!$C$6:$C$65,MATCH(B415,Roster!$B$6:$B$65,0)),"not on the Roster"))</f>
        <v/>
      </c>
      <c r="H415" s="95" t="n"/>
    </row>
    <row r="416">
      <c r="A416" s="122" t="n"/>
      <c r="B416" s="105" t="n"/>
      <c r="C416" s="105" t="n"/>
      <c r="D416" s="95" t="n"/>
      <c r="E416" s="95" t="n"/>
      <c r="F416" s="95" t="n"/>
      <c r="G416" s="92">
        <f>IF(B416="","",IFERROR(INDEX(Roster!$C$6:$C$65,MATCH(B416,Roster!$B$6:$B$65,0)),"not on the Roster"))</f>
        <v/>
      </c>
      <c r="H416" s="95" t="n"/>
    </row>
    <row r="417">
      <c r="A417" s="122" t="n"/>
      <c r="B417" s="105" t="n"/>
      <c r="C417" s="105" t="n"/>
      <c r="D417" s="95" t="n"/>
      <c r="E417" s="95" t="n"/>
      <c r="F417" s="95" t="n"/>
      <c r="G417" s="92">
        <f>IF(B417="","",IFERROR(INDEX(Roster!$C$6:$C$65,MATCH(B417,Roster!$B$6:$B$65,0)),"not on the Roster"))</f>
        <v/>
      </c>
      <c r="H417" s="95" t="n"/>
    </row>
    <row r="418">
      <c r="A418" s="122" t="n"/>
      <c r="B418" s="105" t="n"/>
      <c r="C418" s="105" t="n"/>
      <c r="D418" s="95" t="n"/>
      <c r="E418" s="95" t="n"/>
      <c r="F418" s="95" t="n"/>
      <c r="G418" s="92">
        <f>IF(B418="","",IFERROR(INDEX(Roster!$C$6:$C$65,MATCH(B418,Roster!$B$6:$B$65,0)),"not on the Roster"))</f>
        <v/>
      </c>
      <c r="H418" s="95" t="n"/>
    </row>
    <row r="419">
      <c r="A419" s="122" t="n"/>
      <c r="B419" s="105" t="n"/>
      <c r="C419" s="105" t="n"/>
      <c r="D419" s="95" t="n"/>
      <c r="E419" s="95" t="n"/>
      <c r="F419" s="95" t="n"/>
      <c r="G419" s="92">
        <f>IF(B419="","",IFERROR(INDEX(Roster!$C$6:$C$65,MATCH(B419,Roster!$B$6:$B$65,0)),"not on the Roster"))</f>
        <v/>
      </c>
      <c r="H419" s="95" t="n"/>
    </row>
    <row r="420">
      <c r="A420" s="122" t="n"/>
      <c r="B420" s="105" t="n"/>
      <c r="C420" s="105" t="n"/>
      <c r="D420" s="95" t="n"/>
      <c r="E420" s="95" t="n"/>
      <c r="F420" s="95" t="n"/>
      <c r="G420" s="92">
        <f>IF(B420="","",IFERROR(INDEX(Roster!$C$6:$C$65,MATCH(B420,Roster!$B$6:$B$65,0)),"not on the Roster"))</f>
        <v/>
      </c>
      <c r="H420" s="95" t="n"/>
    </row>
    <row r="421">
      <c r="A421" s="122" t="n"/>
      <c r="B421" s="105" t="n"/>
      <c r="C421" s="105" t="n"/>
      <c r="D421" s="95" t="n"/>
      <c r="E421" s="95" t="n"/>
      <c r="F421" s="95" t="n"/>
      <c r="G421" s="92">
        <f>IF(B421="","",IFERROR(INDEX(Roster!$C$6:$C$65,MATCH(B421,Roster!$B$6:$B$65,0)),"not on the Roster"))</f>
        <v/>
      </c>
      <c r="H421" s="95" t="n"/>
    </row>
    <row r="422">
      <c r="A422" s="122" t="n"/>
      <c r="B422" s="105" t="n"/>
      <c r="C422" s="105" t="n"/>
      <c r="D422" s="95" t="n"/>
      <c r="E422" s="95" t="n"/>
      <c r="F422" s="95" t="n"/>
      <c r="G422" s="92">
        <f>IF(B422="","",IFERROR(INDEX(Roster!$C$6:$C$65,MATCH(B422,Roster!$B$6:$B$65,0)),"not on the Roster"))</f>
        <v/>
      </c>
      <c r="H422" s="95" t="n"/>
    </row>
    <row r="423">
      <c r="A423" s="122" t="n"/>
      <c r="B423" s="105" t="n"/>
      <c r="C423" s="105" t="n"/>
      <c r="D423" s="95" t="n"/>
      <c r="E423" s="95" t="n"/>
      <c r="F423" s="95" t="n"/>
      <c r="G423" s="92">
        <f>IF(B423="","",IFERROR(INDEX(Roster!$C$6:$C$65,MATCH(B423,Roster!$B$6:$B$65,0)),"not on the Roster"))</f>
        <v/>
      </c>
      <c r="H423" s="95" t="n"/>
    </row>
    <row r="424">
      <c r="A424" s="122" t="n"/>
      <c r="B424" s="105" t="n"/>
      <c r="C424" s="105" t="n"/>
      <c r="D424" s="95" t="n"/>
      <c r="E424" s="95" t="n"/>
      <c r="F424" s="95" t="n"/>
      <c r="G424" s="92">
        <f>IF(B424="","",IFERROR(INDEX(Roster!$C$6:$C$65,MATCH(B424,Roster!$B$6:$B$65,0)),"not on the Roster"))</f>
        <v/>
      </c>
      <c r="H424" s="95" t="n"/>
    </row>
    <row r="425">
      <c r="A425" s="122" t="n"/>
      <c r="B425" s="105" t="n"/>
      <c r="C425" s="105" t="n"/>
      <c r="D425" s="95" t="n"/>
      <c r="E425" s="95" t="n"/>
      <c r="F425" s="95" t="n"/>
      <c r="G425" s="92">
        <f>IF(B425="","",IFERROR(INDEX(Roster!$C$6:$C$65,MATCH(B425,Roster!$B$6:$B$65,0)),"not on the Roster"))</f>
        <v/>
      </c>
      <c r="H425" s="95" t="n"/>
    </row>
    <row r="426">
      <c r="A426" s="122" t="n"/>
      <c r="B426" s="105" t="n"/>
      <c r="C426" s="105" t="n"/>
      <c r="D426" s="95" t="n"/>
      <c r="E426" s="95" t="n"/>
      <c r="F426" s="95" t="n"/>
      <c r="G426" s="92">
        <f>IF(B426="","",IFERROR(INDEX(Roster!$C$6:$C$65,MATCH(B426,Roster!$B$6:$B$65,0)),"not on the Roster"))</f>
        <v/>
      </c>
      <c r="H426" s="95" t="n"/>
    </row>
    <row r="427">
      <c r="A427" s="122" t="n"/>
      <c r="B427" s="105" t="n"/>
      <c r="C427" s="105" t="n"/>
      <c r="D427" s="95" t="n"/>
      <c r="E427" s="95" t="n"/>
      <c r="F427" s="95" t="n"/>
      <c r="G427" s="92">
        <f>IF(B427="","",IFERROR(INDEX(Roster!$C$6:$C$65,MATCH(B427,Roster!$B$6:$B$65,0)),"not on the Roster"))</f>
        <v/>
      </c>
      <c r="H427" s="95" t="n"/>
    </row>
    <row r="428">
      <c r="A428" s="122" t="n"/>
      <c r="B428" s="105" t="n"/>
      <c r="C428" s="105" t="n"/>
      <c r="D428" s="95" t="n"/>
      <c r="E428" s="95" t="n"/>
      <c r="F428" s="95" t="n"/>
      <c r="G428" s="92">
        <f>IF(B428="","",IFERROR(INDEX(Roster!$C$6:$C$65,MATCH(B428,Roster!$B$6:$B$65,0)),"not on the Roster"))</f>
        <v/>
      </c>
      <c r="H428" s="95" t="n"/>
    </row>
    <row r="429">
      <c r="A429" s="122" t="n"/>
      <c r="B429" s="105" t="n"/>
      <c r="C429" s="105" t="n"/>
      <c r="D429" s="95" t="n"/>
      <c r="E429" s="95" t="n"/>
      <c r="F429" s="95" t="n"/>
      <c r="G429" s="92">
        <f>IF(B429="","",IFERROR(INDEX(Roster!$C$6:$C$65,MATCH(B429,Roster!$B$6:$B$65,0)),"not on the Roster"))</f>
        <v/>
      </c>
      <c r="H429" s="95" t="n"/>
    </row>
    <row r="430">
      <c r="A430" s="122" t="n"/>
      <c r="B430" s="105" t="n"/>
      <c r="C430" s="105" t="n"/>
      <c r="D430" s="95" t="n"/>
      <c r="E430" s="95" t="n"/>
      <c r="F430" s="95" t="n"/>
      <c r="G430" s="92">
        <f>IF(B430="","",IFERROR(INDEX(Roster!$C$6:$C$65,MATCH(B430,Roster!$B$6:$B$65,0)),"not on the Roster"))</f>
        <v/>
      </c>
      <c r="H430" s="95" t="n"/>
    </row>
    <row r="431">
      <c r="A431" s="122" t="n"/>
      <c r="B431" s="105" t="n"/>
      <c r="C431" s="105" t="n"/>
      <c r="D431" s="95" t="n"/>
      <c r="E431" s="95" t="n"/>
      <c r="F431" s="95" t="n"/>
      <c r="G431" s="92">
        <f>IF(B431="","",IFERROR(INDEX(Roster!$C$6:$C$65,MATCH(B431,Roster!$B$6:$B$65,0)),"not on the Roster"))</f>
        <v/>
      </c>
      <c r="H431" s="95" t="n"/>
    </row>
    <row r="432">
      <c r="A432" s="122" t="n"/>
      <c r="B432" s="105" t="n"/>
      <c r="C432" s="105" t="n"/>
      <c r="D432" s="95" t="n"/>
      <c r="E432" s="95" t="n"/>
      <c r="F432" s="95" t="n"/>
      <c r="G432" s="92">
        <f>IF(B432="","",IFERROR(INDEX(Roster!$C$6:$C$65,MATCH(B432,Roster!$B$6:$B$65,0)),"not on the Roster"))</f>
        <v/>
      </c>
      <c r="H432" s="95" t="n"/>
    </row>
    <row r="433">
      <c r="A433" s="122" t="n"/>
      <c r="B433" s="105" t="n"/>
      <c r="C433" s="105" t="n"/>
      <c r="D433" s="95" t="n"/>
      <c r="E433" s="95" t="n"/>
      <c r="F433" s="95" t="n"/>
      <c r="G433" s="92">
        <f>IF(B433="","",IFERROR(INDEX(Roster!$C$6:$C$65,MATCH(B433,Roster!$B$6:$B$65,0)),"not on the Roster"))</f>
        <v/>
      </c>
      <c r="H433" s="95" t="n"/>
    </row>
    <row r="434">
      <c r="A434" s="122" t="n"/>
      <c r="B434" s="105" t="n"/>
      <c r="C434" s="105" t="n"/>
      <c r="D434" s="95" t="n"/>
      <c r="E434" s="95" t="n"/>
      <c r="F434" s="95" t="n"/>
      <c r="G434" s="92">
        <f>IF(B434="","",IFERROR(INDEX(Roster!$C$6:$C$65,MATCH(B434,Roster!$B$6:$B$65,0)),"not on the Roster"))</f>
        <v/>
      </c>
      <c r="H434" s="95" t="n"/>
    </row>
    <row r="435">
      <c r="A435" s="122" t="n"/>
      <c r="B435" s="105" t="n"/>
      <c r="C435" s="105" t="n"/>
      <c r="D435" s="95" t="n"/>
      <c r="E435" s="95" t="n"/>
      <c r="F435" s="95" t="n"/>
      <c r="G435" s="92">
        <f>IF(B435="","",IFERROR(INDEX(Roster!$C$6:$C$65,MATCH(B435,Roster!$B$6:$B$65,0)),"not on the Roster"))</f>
        <v/>
      </c>
      <c r="H435" s="95" t="n"/>
    </row>
    <row r="436">
      <c r="A436" s="122" t="n"/>
      <c r="B436" s="105" t="n"/>
      <c r="C436" s="105" t="n"/>
      <c r="D436" s="95" t="n"/>
      <c r="E436" s="95" t="n"/>
      <c r="F436" s="95" t="n"/>
      <c r="G436" s="92">
        <f>IF(B436="","",IFERROR(INDEX(Roster!$C$6:$C$65,MATCH(B436,Roster!$B$6:$B$65,0)),"not on the Roster"))</f>
        <v/>
      </c>
      <c r="H436" s="95" t="n"/>
    </row>
    <row r="437">
      <c r="A437" s="122" t="n"/>
      <c r="B437" s="105" t="n"/>
      <c r="C437" s="105" t="n"/>
      <c r="D437" s="95" t="n"/>
      <c r="E437" s="95" t="n"/>
      <c r="F437" s="95" t="n"/>
      <c r="G437" s="92">
        <f>IF(B437="","",IFERROR(INDEX(Roster!$C$6:$C$65,MATCH(B437,Roster!$B$6:$B$65,0)),"not on the Roster"))</f>
        <v/>
      </c>
      <c r="H437" s="95" t="n"/>
    </row>
    <row r="438">
      <c r="A438" s="122" t="n"/>
      <c r="B438" s="105" t="n"/>
      <c r="C438" s="105" t="n"/>
      <c r="D438" s="95" t="n"/>
      <c r="E438" s="95" t="n"/>
      <c r="F438" s="95" t="n"/>
      <c r="G438" s="92">
        <f>IF(B438="","",IFERROR(INDEX(Roster!$C$6:$C$65,MATCH(B438,Roster!$B$6:$B$65,0)),"not on the Roster"))</f>
        <v/>
      </c>
      <c r="H438" s="95" t="n"/>
    </row>
    <row r="439">
      <c r="A439" s="122" t="n"/>
      <c r="B439" s="105" t="n"/>
      <c r="C439" s="105" t="n"/>
      <c r="D439" s="95" t="n"/>
      <c r="E439" s="95" t="n"/>
      <c r="F439" s="95" t="n"/>
      <c r="G439" s="92">
        <f>IF(B439="","",IFERROR(INDEX(Roster!$C$6:$C$65,MATCH(B439,Roster!$B$6:$B$65,0)),"not on the Roster"))</f>
        <v/>
      </c>
      <c r="H439" s="95" t="n"/>
    </row>
    <row r="440">
      <c r="A440" s="122" t="n"/>
      <c r="B440" s="105" t="n"/>
      <c r="C440" s="105" t="n"/>
      <c r="D440" s="95" t="n"/>
      <c r="E440" s="95" t="n"/>
      <c r="F440" s="95" t="n"/>
      <c r="G440" s="92">
        <f>IF(B440="","",IFERROR(INDEX(Roster!$C$6:$C$65,MATCH(B440,Roster!$B$6:$B$65,0)),"not on the Roster"))</f>
        <v/>
      </c>
      <c r="H440" s="95" t="n"/>
    </row>
    <row r="441">
      <c r="A441" s="122" t="n"/>
      <c r="B441" s="105" t="n"/>
      <c r="C441" s="105" t="n"/>
      <c r="D441" s="95" t="n"/>
      <c r="E441" s="95" t="n"/>
      <c r="F441" s="95" t="n"/>
      <c r="G441" s="92">
        <f>IF(B441="","",IFERROR(INDEX(Roster!$C$6:$C$65,MATCH(B441,Roster!$B$6:$B$65,0)),"not on the Roster"))</f>
        <v/>
      </c>
      <c r="H441" s="95" t="n"/>
    </row>
    <row r="442">
      <c r="A442" s="122" t="n"/>
      <c r="B442" s="105" t="n"/>
      <c r="C442" s="105" t="n"/>
      <c r="D442" s="95" t="n"/>
      <c r="E442" s="95" t="n"/>
      <c r="F442" s="95" t="n"/>
      <c r="G442" s="92">
        <f>IF(B442="","",IFERROR(INDEX(Roster!$C$6:$C$65,MATCH(B442,Roster!$B$6:$B$65,0)),"not on the Roster"))</f>
        <v/>
      </c>
      <c r="H442" s="95" t="n"/>
    </row>
    <row r="443">
      <c r="A443" s="122" t="n"/>
      <c r="B443" s="105" t="n"/>
      <c r="C443" s="105" t="n"/>
      <c r="D443" s="95" t="n"/>
      <c r="E443" s="95" t="n"/>
      <c r="F443" s="95" t="n"/>
      <c r="G443" s="92">
        <f>IF(B443="","",IFERROR(INDEX(Roster!$C$6:$C$65,MATCH(B443,Roster!$B$6:$B$65,0)),"not on the Roster"))</f>
        <v/>
      </c>
      <c r="H443" s="95" t="n"/>
    </row>
    <row r="444">
      <c r="A444" s="122" t="n"/>
      <c r="B444" s="105" t="n"/>
      <c r="C444" s="105" t="n"/>
      <c r="D444" s="95" t="n"/>
      <c r="E444" s="95" t="n"/>
      <c r="F444" s="95" t="n"/>
      <c r="G444" s="92">
        <f>IF(B444="","",IFERROR(INDEX(Roster!$C$6:$C$65,MATCH(B444,Roster!$B$6:$B$65,0)),"not on the Roster"))</f>
        <v/>
      </c>
      <c r="H444" s="95" t="n"/>
    </row>
    <row r="445">
      <c r="A445" s="122" t="n"/>
      <c r="B445" s="105" t="n"/>
      <c r="C445" s="105" t="n"/>
      <c r="D445" s="95" t="n"/>
      <c r="E445" s="95" t="n"/>
      <c r="F445" s="95" t="n"/>
      <c r="G445" s="92">
        <f>IF(B445="","",IFERROR(INDEX(Roster!$C$6:$C$65,MATCH(B445,Roster!$B$6:$B$65,0)),"not on the Roster"))</f>
        <v/>
      </c>
      <c r="H445" s="95" t="n"/>
    </row>
    <row r="446">
      <c r="A446" s="122" t="n"/>
      <c r="B446" s="105" t="n"/>
      <c r="C446" s="105" t="n"/>
      <c r="D446" s="95" t="n"/>
      <c r="E446" s="95" t="n"/>
      <c r="F446" s="95" t="n"/>
      <c r="G446" s="92">
        <f>IF(B446="","",IFERROR(INDEX(Roster!$C$6:$C$65,MATCH(B446,Roster!$B$6:$B$65,0)),"not on the Roster"))</f>
        <v/>
      </c>
      <c r="H446" s="95" t="n"/>
    </row>
    <row r="447">
      <c r="A447" s="122" t="n"/>
      <c r="B447" s="105" t="n"/>
      <c r="C447" s="105" t="n"/>
      <c r="D447" s="95" t="n"/>
      <c r="E447" s="95" t="n"/>
      <c r="F447" s="95" t="n"/>
      <c r="G447" s="92">
        <f>IF(B447="","",IFERROR(INDEX(Roster!$C$6:$C$65,MATCH(B447,Roster!$B$6:$B$65,0)),"not on the Roster"))</f>
        <v/>
      </c>
      <c r="H447" s="95" t="n"/>
    </row>
    <row r="448">
      <c r="A448" s="122" t="n"/>
      <c r="B448" s="105" t="n"/>
      <c r="C448" s="105" t="n"/>
      <c r="D448" s="95" t="n"/>
      <c r="E448" s="95" t="n"/>
      <c r="F448" s="95" t="n"/>
      <c r="G448" s="92">
        <f>IF(B448="","",IFERROR(INDEX(Roster!$C$6:$C$65,MATCH(B448,Roster!$B$6:$B$65,0)),"not on the Roster"))</f>
        <v/>
      </c>
      <c r="H448" s="95" t="n"/>
    </row>
    <row r="449">
      <c r="A449" s="122" t="n"/>
      <c r="B449" s="105" t="n"/>
      <c r="C449" s="105" t="n"/>
      <c r="D449" s="95" t="n"/>
      <c r="E449" s="95" t="n"/>
      <c r="F449" s="95" t="n"/>
      <c r="G449" s="92">
        <f>IF(B449="","",IFERROR(INDEX(Roster!$C$6:$C$65,MATCH(B449,Roster!$B$6:$B$65,0)),"not on the Roster"))</f>
        <v/>
      </c>
      <c r="H449" s="95" t="n"/>
    </row>
    <row r="450">
      <c r="A450" s="122" t="n"/>
      <c r="B450" s="105" t="n"/>
      <c r="C450" s="105" t="n"/>
      <c r="D450" s="95" t="n"/>
      <c r="E450" s="95" t="n"/>
      <c r="F450" s="95" t="n"/>
      <c r="G450" s="92">
        <f>IF(B450="","",IFERROR(INDEX(Roster!$C$6:$C$65,MATCH(B450,Roster!$B$6:$B$65,0)),"not on the Roster"))</f>
        <v/>
      </c>
      <c r="H450" s="95" t="n"/>
    </row>
    <row r="451">
      <c r="A451" s="122" t="n"/>
      <c r="B451" s="105" t="n"/>
      <c r="C451" s="105" t="n"/>
      <c r="D451" s="95" t="n"/>
      <c r="E451" s="95" t="n"/>
      <c r="F451" s="95" t="n"/>
      <c r="G451" s="92">
        <f>IF(B451="","",IFERROR(INDEX(Roster!$C$6:$C$65,MATCH(B451,Roster!$B$6:$B$65,0)),"not on the Roster"))</f>
        <v/>
      </c>
      <c r="H451" s="95" t="n"/>
    </row>
    <row r="452">
      <c r="A452" s="122" t="n"/>
      <c r="B452" s="105" t="n"/>
      <c r="C452" s="105" t="n"/>
      <c r="D452" s="95" t="n"/>
      <c r="E452" s="95" t="n"/>
      <c r="F452" s="95" t="n"/>
      <c r="G452" s="92">
        <f>IF(B452="","",IFERROR(INDEX(Roster!$C$6:$C$65,MATCH(B452,Roster!$B$6:$B$65,0)),"not on the Roster"))</f>
        <v/>
      </c>
      <c r="H452" s="95" t="n"/>
    </row>
    <row r="453">
      <c r="A453" s="122" t="n"/>
      <c r="B453" s="105" t="n"/>
      <c r="C453" s="105" t="n"/>
      <c r="D453" s="95" t="n"/>
      <c r="E453" s="95" t="n"/>
      <c r="F453" s="95" t="n"/>
      <c r="G453" s="92">
        <f>IF(B453="","",IFERROR(INDEX(Roster!$C$6:$C$65,MATCH(B453,Roster!$B$6:$B$65,0)),"not on the Roster"))</f>
        <v/>
      </c>
      <c r="H453" s="95" t="n"/>
    </row>
    <row r="454">
      <c r="A454" s="122" t="n"/>
      <c r="B454" s="105" t="n"/>
      <c r="C454" s="105" t="n"/>
      <c r="D454" s="95" t="n"/>
      <c r="E454" s="95" t="n"/>
      <c r="F454" s="95" t="n"/>
      <c r="G454" s="92">
        <f>IF(B454="","",IFERROR(INDEX(Roster!$C$6:$C$65,MATCH(B454,Roster!$B$6:$B$65,0)),"not on the Roster"))</f>
        <v/>
      </c>
      <c r="H454" s="95" t="n"/>
    </row>
    <row r="455">
      <c r="A455" s="122" t="n"/>
      <c r="B455" s="105" t="n"/>
      <c r="C455" s="105" t="n"/>
      <c r="D455" s="95" t="n"/>
      <c r="E455" s="95" t="n"/>
      <c r="F455" s="95" t="n"/>
      <c r="G455" s="92">
        <f>IF(B455="","",IFERROR(INDEX(Roster!$C$6:$C$65,MATCH(B455,Roster!$B$6:$B$65,0)),"not on the Roster"))</f>
        <v/>
      </c>
      <c r="H455" s="95" t="n"/>
    </row>
    <row r="456">
      <c r="A456" s="122" t="n"/>
      <c r="B456" s="105" t="n"/>
      <c r="C456" s="105" t="n"/>
      <c r="D456" s="95" t="n"/>
      <c r="E456" s="95" t="n"/>
      <c r="F456" s="95" t="n"/>
      <c r="G456" s="92">
        <f>IF(B456="","",IFERROR(INDEX(Roster!$C$6:$C$65,MATCH(B456,Roster!$B$6:$B$65,0)),"not on the Roster"))</f>
        <v/>
      </c>
      <c r="H456" s="95" t="n"/>
    </row>
    <row r="457">
      <c r="A457" s="122" t="n"/>
      <c r="B457" s="105" t="n"/>
      <c r="C457" s="105" t="n"/>
      <c r="D457" s="95" t="n"/>
      <c r="E457" s="95" t="n"/>
      <c r="F457" s="95" t="n"/>
      <c r="G457" s="92">
        <f>IF(B457="","",IFERROR(INDEX(Roster!$C$6:$C$65,MATCH(B457,Roster!$B$6:$B$65,0)),"not on the Roster"))</f>
        <v/>
      </c>
      <c r="H457" s="95" t="n"/>
    </row>
    <row r="458">
      <c r="A458" s="122" t="n"/>
      <c r="B458" s="105" t="n"/>
      <c r="C458" s="105" t="n"/>
      <c r="D458" s="95" t="n"/>
      <c r="E458" s="95" t="n"/>
      <c r="F458" s="95" t="n"/>
      <c r="G458" s="92">
        <f>IF(B458="","",IFERROR(INDEX(Roster!$C$6:$C$65,MATCH(B458,Roster!$B$6:$B$65,0)),"not on the Roster"))</f>
        <v/>
      </c>
      <c r="H458" s="95" t="n"/>
    </row>
    <row r="459">
      <c r="A459" s="122" t="n"/>
      <c r="B459" s="105" t="n"/>
      <c r="C459" s="105" t="n"/>
      <c r="D459" s="95" t="n"/>
      <c r="E459" s="95" t="n"/>
      <c r="F459" s="95" t="n"/>
      <c r="G459" s="92">
        <f>IF(B459="","",IFERROR(INDEX(Roster!$C$6:$C$65,MATCH(B459,Roster!$B$6:$B$65,0)),"not on the Roster"))</f>
        <v/>
      </c>
      <c r="H459" s="95" t="n"/>
    </row>
    <row r="460">
      <c r="A460" s="122" t="n"/>
      <c r="B460" s="105" t="n"/>
      <c r="C460" s="105" t="n"/>
      <c r="D460" s="95" t="n"/>
      <c r="E460" s="95" t="n"/>
      <c r="F460" s="95" t="n"/>
      <c r="G460" s="92">
        <f>IF(B460="","",IFERROR(INDEX(Roster!$C$6:$C$65,MATCH(B460,Roster!$B$6:$B$65,0)),"not on the Roster"))</f>
        <v/>
      </c>
      <c r="H460" s="95" t="n"/>
    </row>
    <row r="461">
      <c r="A461" s="122" t="n"/>
      <c r="B461" s="105" t="n"/>
      <c r="C461" s="105" t="n"/>
      <c r="D461" s="95" t="n"/>
      <c r="E461" s="95" t="n"/>
      <c r="F461" s="95" t="n"/>
      <c r="G461" s="92">
        <f>IF(B461="","",IFERROR(INDEX(Roster!$C$6:$C$65,MATCH(B461,Roster!$B$6:$B$65,0)),"not on the Roster"))</f>
        <v/>
      </c>
      <c r="H461" s="95" t="n"/>
    </row>
    <row r="462">
      <c r="A462" s="122" t="n"/>
      <c r="B462" s="105" t="n"/>
      <c r="C462" s="105" t="n"/>
      <c r="D462" s="95" t="n"/>
      <c r="E462" s="95" t="n"/>
      <c r="F462" s="95" t="n"/>
      <c r="G462" s="92">
        <f>IF(B462="","",IFERROR(INDEX(Roster!$C$6:$C$65,MATCH(B462,Roster!$B$6:$B$65,0)),"not on the Roster"))</f>
        <v/>
      </c>
      <c r="H462" s="95" t="n"/>
    </row>
    <row r="463">
      <c r="A463" s="122" t="n"/>
      <c r="B463" s="105" t="n"/>
      <c r="C463" s="105" t="n"/>
      <c r="D463" s="95" t="n"/>
      <c r="E463" s="95" t="n"/>
      <c r="F463" s="95" t="n"/>
      <c r="G463" s="92">
        <f>IF(B463="","",IFERROR(INDEX(Roster!$C$6:$C$65,MATCH(B463,Roster!$B$6:$B$65,0)),"not on the Roster"))</f>
        <v/>
      </c>
      <c r="H463" s="95" t="n"/>
    </row>
    <row r="464">
      <c r="A464" s="122" t="n"/>
      <c r="B464" s="105" t="n"/>
      <c r="C464" s="105" t="n"/>
      <c r="D464" s="95" t="n"/>
      <c r="E464" s="95" t="n"/>
      <c r="F464" s="95" t="n"/>
      <c r="G464" s="92">
        <f>IF(B464="","",IFERROR(INDEX(Roster!$C$6:$C$65,MATCH(B464,Roster!$B$6:$B$65,0)),"not on the Roster"))</f>
        <v/>
      </c>
      <c r="H464" s="95" t="n"/>
    </row>
    <row r="465">
      <c r="A465" s="122" t="n"/>
      <c r="B465" s="105" t="n"/>
      <c r="C465" s="105" t="n"/>
      <c r="D465" s="95" t="n"/>
      <c r="E465" s="95" t="n"/>
      <c r="F465" s="95" t="n"/>
      <c r="G465" s="92">
        <f>IF(B465="","",IFERROR(INDEX(Roster!$C$6:$C$65,MATCH(B465,Roster!$B$6:$B$65,0)),"not on the Roster"))</f>
        <v/>
      </c>
      <c r="H465" s="95" t="n"/>
    </row>
    <row r="466">
      <c r="A466" s="122" t="n"/>
      <c r="B466" s="105" t="n"/>
      <c r="C466" s="105" t="n"/>
      <c r="D466" s="95" t="n"/>
      <c r="E466" s="95" t="n"/>
      <c r="F466" s="95" t="n"/>
      <c r="G466" s="92">
        <f>IF(B466="","",IFERROR(INDEX(Roster!$C$6:$C$65,MATCH(B466,Roster!$B$6:$B$65,0)),"not on the Roster"))</f>
        <v/>
      </c>
      <c r="H466" s="95" t="n"/>
    </row>
    <row r="467">
      <c r="A467" s="122" t="n"/>
      <c r="B467" s="105" t="n"/>
      <c r="C467" s="105" t="n"/>
      <c r="D467" s="95" t="n"/>
      <c r="E467" s="95" t="n"/>
      <c r="F467" s="95" t="n"/>
      <c r="G467" s="92">
        <f>IF(B467="","",IFERROR(INDEX(Roster!$C$6:$C$65,MATCH(B467,Roster!$B$6:$B$65,0)),"not on the Roster"))</f>
        <v/>
      </c>
      <c r="H467" s="95" t="n"/>
    </row>
    <row r="468">
      <c r="A468" s="122" t="n"/>
      <c r="B468" s="105" t="n"/>
      <c r="C468" s="105" t="n"/>
      <c r="D468" s="95" t="n"/>
      <c r="E468" s="95" t="n"/>
      <c r="F468" s="95" t="n"/>
      <c r="G468" s="92">
        <f>IF(B468="","",IFERROR(INDEX(Roster!$C$6:$C$65,MATCH(B468,Roster!$B$6:$B$65,0)),"not on the Roster"))</f>
        <v/>
      </c>
      <c r="H468" s="95" t="n"/>
    </row>
    <row r="469">
      <c r="A469" s="122" t="n"/>
      <c r="B469" s="105" t="n"/>
      <c r="C469" s="105" t="n"/>
      <c r="D469" s="95" t="n"/>
      <c r="E469" s="95" t="n"/>
      <c r="F469" s="95" t="n"/>
      <c r="G469" s="92">
        <f>IF(B469="","",IFERROR(INDEX(Roster!$C$6:$C$65,MATCH(B469,Roster!$B$6:$B$65,0)),"not on the Roster"))</f>
        <v/>
      </c>
      <c r="H469" s="95" t="n"/>
    </row>
    <row r="470">
      <c r="A470" s="122" t="n"/>
      <c r="B470" s="105" t="n"/>
      <c r="C470" s="105" t="n"/>
      <c r="D470" s="95" t="n"/>
      <c r="E470" s="95" t="n"/>
      <c r="F470" s="95" t="n"/>
      <c r="G470" s="92">
        <f>IF(B470="","",IFERROR(INDEX(Roster!$C$6:$C$65,MATCH(B470,Roster!$B$6:$B$65,0)),"not on the Roster"))</f>
        <v/>
      </c>
      <c r="H470" s="95" t="n"/>
    </row>
    <row r="471">
      <c r="A471" s="122" t="n"/>
      <c r="B471" s="105" t="n"/>
      <c r="C471" s="105" t="n"/>
      <c r="D471" s="95" t="n"/>
      <c r="E471" s="95" t="n"/>
      <c r="F471" s="95" t="n"/>
      <c r="G471" s="92">
        <f>IF(B471="","",IFERROR(INDEX(Roster!$C$6:$C$65,MATCH(B471,Roster!$B$6:$B$65,0)),"not on the Roster"))</f>
        <v/>
      </c>
      <c r="H471" s="95" t="n"/>
    </row>
    <row r="472">
      <c r="A472" s="122" t="n"/>
      <c r="B472" s="105" t="n"/>
      <c r="C472" s="105" t="n"/>
      <c r="D472" s="95" t="n"/>
      <c r="E472" s="95" t="n"/>
      <c r="F472" s="95" t="n"/>
      <c r="G472" s="92">
        <f>IF(B472="","",IFERROR(INDEX(Roster!$C$6:$C$65,MATCH(B472,Roster!$B$6:$B$65,0)),"not on the Roster"))</f>
        <v/>
      </c>
      <c r="H472" s="95" t="n"/>
    </row>
    <row r="473">
      <c r="A473" s="122" t="n"/>
      <c r="B473" s="105" t="n"/>
      <c r="C473" s="105" t="n"/>
      <c r="D473" s="95" t="n"/>
      <c r="E473" s="95" t="n"/>
      <c r="F473" s="95" t="n"/>
      <c r="G473" s="92">
        <f>IF(B473="","",IFERROR(INDEX(Roster!$C$6:$C$65,MATCH(B473,Roster!$B$6:$B$65,0)),"not on the Roster"))</f>
        <v/>
      </c>
      <c r="H473" s="95" t="n"/>
    </row>
    <row r="474">
      <c r="A474" s="122" t="n"/>
      <c r="B474" s="105" t="n"/>
      <c r="C474" s="105" t="n"/>
      <c r="D474" s="95" t="n"/>
      <c r="E474" s="95" t="n"/>
      <c r="F474" s="95" t="n"/>
      <c r="G474" s="92">
        <f>IF(B474="","",IFERROR(INDEX(Roster!$C$6:$C$65,MATCH(B474,Roster!$B$6:$B$65,0)),"not on the Roster"))</f>
        <v/>
      </c>
      <c r="H474" s="95" t="n"/>
    </row>
    <row r="475">
      <c r="A475" s="122" t="n"/>
      <c r="B475" s="105" t="n"/>
      <c r="C475" s="105" t="n"/>
      <c r="D475" s="95" t="n"/>
      <c r="E475" s="95" t="n"/>
      <c r="F475" s="95" t="n"/>
      <c r="G475" s="92">
        <f>IF(B475="","",IFERROR(INDEX(Roster!$C$6:$C$65,MATCH(B475,Roster!$B$6:$B$65,0)),"not on the Roster"))</f>
        <v/>
      </c>
      <c r="H475" s="95" t="n"/>
    </row>
    <row r="476">
      <c r="A476" s="122" t="n"/>
      <c r="B476" s="105" t="n"/>
      <c r="C476" s="105" t="n"/>
      <c r="D476" s="95" t="n"/>
      <c r="E476" s="95" t="n"/>
      <c r="F476" s="95" t="n"/>
      <c r="G476" s="92">
        <f>IF(B476="","",IFERROR(INDEX(Roster!$C$6:$C$65,MATCH(B476,Roster!$B$6:$B$65,0)),"not on the Roster"))</f>
        <v/>
      </c>
      <c r="H476" s="95" t="n"/>
    </row>
    <row r="477">
      <c r="A477" s="122" t="n"/>
      <c r="B477" s="105" t="n"/>
      <c r="C477" s="105" t="n"/>
      <c r="D477" s="95" t="n"/>
      <c r="E477" s="95" t="n"/>
      <c r="F477" s="95" t="n"/>
      <c r="G477" s="92">
        <f>IF(B477="","",IFERROR(INDEX(Roster!$C$6:$C$65,MATCH(B477,Roster!$B$6:$B$65,0)),"not on the Roster"))</f>
        <v/>
      </c>
      <c r="H477" s="95" t="n"/>
    </row>
    <row r="478">
      <c r="A478" s="122" t="n"/>
      <c r="B478" s="105" t="n"/>
      <c r="C478" s="105" t="n"/>
      <c r="D478" s="95" t="n"/>
      <c r="E478" s="95" t="n"/>
      <c r="F478" s="95" t="n"/>
      <c r="G478" s="92">
        <f>IF(B478="","",IFERROR(INDEX(Roster!$C$6:$C$65,MATCH(B478,Roster!$B$6:$B$65,0)),"not on the Roster"))</f>
        <v/>
      </c>
      <c r="H478" s="95" t="n"/>
    </row>
    <row r="479">
      <c r="A479" s="122" t="n"/>
      <c r="B479" s="105" t="n"/>
      <c r="C479" s="105" t="n"/>
      <c r="D479" s="95" t="n"/>
      <c r="E479" s="95" t="n"/>
      <c r="F479" s="95" t="n"/>
      <c r="G479" s="92">
        <f>IF(B479="","",IFERROR(INDEX(Roster!$C$6:$C$65,MATCH(B479,Roster!$B$6:$B$65,0)),"not on the Roster"))</f>
        <v/>
      </c>
      <c r="H479" s="95" t="n"/>
    </row>
    <row r="480">
      <c r="A480" s="122" t="n"/>
      <c r="B480" s="105" t="n"/>
      <c r="C480" s="105" t="n"/>
      <c r="D480" s="95" t="n"/>
      <c r="E480" s="95" t="n"/>
      <c r="F480" s="95" t="n"/>
      <c r="G480" s="92">
        <f>IF(B480="","",IFERROR(INDEX(Roster!$C$6:$C$65,MATCH(B480,Roster!$B$6:$B$65,0)),"not on the Roster"))</f>
        <v/>
      </c>
      <c r="H480" s="95" t="n"/>
    </row>
    <row r="481">
      <c r="A481" s="122" t="n"/>
      <c r="B481" s="105" t="n"/>
      <c r="C481" s="105" t="n"/>
      <c r="D481" s="95" t="n"/>
      <c r="E481" s="95" t="n"/>
      <c r="F481" s="95" t="n"/>
      <c r="G481" s="92">
        <f>IF(B481="","",IFERROR(INDEX(Roster!$C$6:$C$65,MATCH(B481,Roster!$B$6:$B$65,0)),"not on the Roster"))</f>
        <v/>
      </c>
      <c r="H481" s="95" t="n"/>
    </row>
    <row r="482">
      <c r="A482" s="122" t="n"/>
      <c r="B482" s="105" t="n"/>
      <c r="C482" s="105" t="n"/>
      <c r="D482" s="95" t="n"/>
      <c r="E482" s="95" t="n"/>
      <c r="F482" s="95" t="n"/>
      <c r="G482" s="92">
        <f>IF(B482="","",IFERROR(INDEX(Roster!$C$6:$C$65,MATCH(B482,Roster!$B$6:$B$65,0)),"not on the Roster"))</f>
        <v/>
      </c>
      <c r="H482" s="95" t="n"/>
    </row>
    <row r="483">
      <c r="A483" s="122" t="n"/>
      <c r="B483" s="105" t="n"/>
      <c r="C483" s="105" t="n"/>
      <c r="D483" s="95" t="n"/>
      <c r="E483" s="95" t="n"/>
      <c r="F483" s="95" t="n"/>
      <c r="G483" s="92">
        <f>IF(B483="","",IFERROR(INDEX(Roster!$C$6:$C$65,MATCH(B483,Roster!$B$6:$B$65,0)),"not on the Roster"))</f>
        <v/>
      </c>
      <c r="H483" s="95" t="n"/>
    </row>
    <row r="484">
      <c r="A484" s="122" t="n"/>
      <c r="B484" s="105" t="n"/>
      <c r="C484" s="105" t="n"/>
      <c r="D484" s="95" t="n"/>
      <c r="E484" s="95" t="n"/>
      <c r="F484" s="95" t="n"/>
      <c r="G484" s="92">
        <f>IF(B484="","",IFERROR(INDEX(Roster!$C$6:$C$65,MATCH(B484,Roster!$B$6:$B$65,0)),"not on the Roster"))</f>
        <v/>
      </c>
      <c r="H484" s="95" t="n"/>
    </row>
    <row r="485">
      <c r="A485" s="122" t="n"/>
      <c r="B485" s="105" t="n"/>
      <c r="C485" s="105" t="n"/>
      <c r="D485" s="95" t="n"/>
      <c r="E485" s="95" t="n"/>
      <c r="F485" s="95" t="n"/>
      <c r="G485" s="92">
        <f>IF(B485="","",IFERROR(INDEX(Roster!$C$6:$C$65,MATCH(B485,Roster!$B$6:$B$65,0)),"not on the Roster"))</f>
        <v/>
      </c>
      <c r="H485" s="95" t="n"/>
    </row>
    <row r="486">
      <c r="A486" s="122" t="n"/>
      <c r="B486" s="105" t="n"/>
      <c r="C486" s="105" t="n"/>
      <c r="D486" s="95" t="n"/>
      <c r="E486" s="95" t="n"/>
      <c r="F486" s="95" t="n"/>
      <c r="G486" s="92">
        <f>IF(B486="","",IFERROR(INDEX(Roster!$C$6:$C$65,MATCH(B486,Roster!$B$6:$B$65,0)),"not on the Roster"))</f>
        <v/>
      </c>
      <c r="H486" s="95" t="n"/>
    </row>
    <row r="487">
      <c r="A487" s="122" t="n"/>
      <c r="B487" s="105" t="n"/>
      <c r="C487" s="105" t="n"/>
      <c r="D487" s="95" t="n"/>
      <c r="E487" s="95" t="n"/>
      <c r="F487" s="95" t="n"/>
      <c r="G487" s="92">
        <f>IF(B487="","",IFERROR(INDEX(Roster!$C$6:$C$65,MATCH(B487,Roster!$B$6:$B$65,0)),"not on the Roster"))</f>
        <v/>
      </c>
      <c r="H487" s="95" t="n"/>
    </row>
    <row r="488">
      <c r="A488" s="122" t="n"/>
      <c r="B488" s="105" t="n"/>
      <c r="C488" s="105" t="n"/>
      <c r="D488" s="95" t="n"/>
      <c r="E488" s="95" t="n"/>
      <c r="F488" s="95" t="n"/>
      <c r="G488" s="92">
        <f>IF(B488="","",IFERROR(INDEX(Roster!$C$6:$C$65,MATCH(B488,Roster!$B$6:$B$65,0)),"not on the Roster"))</f>
        <v/>
      </c>
      <c r="H488" s="95" t="n"/>
    </row>
    <row r="489">
      <c r="A489" s="122" t="n"/>
      <c r="B489" s="105" t="n"/>
      <c r="C489" s="105" t="n"/>
      <c r="D489" s="95" t="n"/>
      <c r="E489" s="95" t="n"/>
      <c r="F489" s="95" t="n"/>
      <c r="G489" s="92">
        <f>IF(B489="","",IFERROR(INDEX(Roster!$C$6:$C$65,MATCH(B489,Roster!$B$6:$B$65,0)),"not on the Roster"))</f>
        <v/>
      </c>
      <c r="H489" s="95" t="n"/>
    </row>
    <row r="490">
      <c r="A490" s="122" t="n"/>
      <c r="B490" s="105" t="n"/>
      <c r="C490" s="105" t="n"/>
      <c r="D490" s="95" t="n"/>
      <c r="E490" s="95" t="n"/>
      <c r="F490" s="95" t="n"/>
      <c r="G490" s="92">
        <f>IF(B490="","",IFERROR(INDEX(Roster!$C$6:$C$65,MATCH(B490,Roster!$B$6:$B$65,0)),"not on the Roster"))</f>
        <v/>
      </c>
      <c r="H490" s="95" t="n"/>
    </row>
    <row r="491">
      <c r="A491" s="122" t="n"/>
      <c r="B491" s="105" t="n"/>
      <c r="C491" s="105" t="n"/>
      <c r="D491" s="95" t="n"/>
      <c r="E491" s="95" t="n"/>
      <c r="F491" s="95" t="n"/>
      <c r="G491" s="92">
        <f>IF(B491="","",IFERROR(INDEX(Roster!$C$6:$C$65,MATCH(B491,Roster!$B$6:$B$65,0)),"not on the Roster"))</f>
        <v/>
      </c>
      <c r="H491" s="95" t="n"/>
    </row>
    <row r="492">
      <c r="A492" s="122" t="n"/>
      <c r="B492" s="105" t="n"/>
      <c r="C492" s="105" t="n"/>
      <c r="D492" s="95" t="n"/>
      <c r="E492" s="95" t="n"/>
      <c r="F492" s="95" t="n"/>
      <c r="G492" s="92">
        <f>IF(B492="","",IFERROR(INDEX(Roster!$C$6:$C$65,MATCH(B492,Roster!$B$6:$B$65,0)),"not on the Roster"))</f>
        <v/>
      </c>
      <c r="H492" s="95" t="n"/>
    </row>
    <row r="493">
      <c r="A493" s="122" t="n"/>
      <c r="B493" s="105" t="n"/>
      <c r="C493" s="105" t="n"/>
      <c r="D493" s="95" t="n"/>
      <c r="E493" s="95" t="n"/>
      <c r="F493" s="95" t="n"/>
      <c r="G493" s="92">
        <f>IF(B493="","",IFERROR(INDEX(Roster!$C$6:$C$65,MATCH(B493,Roster!$B$6:$B$65,0)),"not on the Roster"))</f>
        <v/>
      </c>
      <c r="H493" s="95" t="n"/>
    </row>
    <row r="494">
      <c r="A494" s="122" t="n"/>
      <c r="B494" s="105" t="n"/>
      <c r="C494" s="105" t="n"/>
      <c r="D494" s="95" t="n"/>
      <c r="E494" s="95" t="n"/>
      <c r="F494" s="95" t="n"/>
      <c r="G494" s="92">
        <f>IF(B494="","",IFERROR(INDEX(Roster!$C$6:$C$65,MATCH(B494,Roster!$B$6:$B$65,0)),"not on the Roster"))</f>
        <v/>
      </c>
      <c r="H494" s="95" t="n"/>
    </row>
    <row r="495">
      <c r="A495" s="122" t="n"/>
      <c r="B495" s="105" t="n"/>
      <c r="C495" s="105" t="n"/>
      <c r="D495" s="95" t="n"/>
      <c r="E495" s="95" t="n"/>
      <c r="F495" s="95" t="n"/>
      <c r="G495" s="92">
        <f>IF(B495="","",IFERROR(INDEX(Roster!$C$6:$C$65,MATCH(B495,Roster!$B$6:$B$65,0)),"not on the Roster"))</f>
        <v/>
      </c>
      <c r="H495" s="95" t="n"/>
    </row>
    <row r="496">
      <c r="A496" s="122" t="n"/>
      <c r="B496" s="105" t="n"/>
      <c r="C496" s="105" t="n"/>
      <c r="D496" s="95" t="n"/>
      <c r="E496" s="95" t="n"/>
      <c r="F496" s="95" t="n"/>
      <c r="G496" s="92">
        <f>IF(B496="","",IFERROR(INDEX(Roster!$C$6:$C$65,MATCH(B496,Roster!$B$6:$B$65,0)),"not on the Roster"))</f>
        <v/>
      </c>
      <c r="H496" s="95" t="n"/>
    </row>
    <row r="497">
      <c r="A497" s="122" t="n"/>
      <c r="B497" s="105" t="n"/>
      <c r="C497" s="105" t="n"/>
      <c r="D497" s="95" t="n"/>
      <c r="E497" s="95" t="n"/>
      <c r="F497" s="95" t="n"/>
      <c r="G497" s="92">
        <f>IF(B497="","",IFERROR(INDEX(Roster!$C$6:$C$65,MATCH(B497,Roster!$B$6:$B$65,0)),"not on the Roster"))</f>
        <v/>
      </c>
      <c r="H497" s="95" t="n"/>
    </row>
    <row r="498">
      <c r="A498" s="122" t="n"/>
      <c r="B498" s="105" t="n"/>
      <c r="C498" s="105" t="n"/>
      <c r="D498" s="95" t="n"/>
      <c r="E498" s="95" t="n"/>
      <c r="F498" s="95" t="n"/>
      <c r="G498" s="92">
        <f>IF(B498="","",IFERROR(INDEX(Roster!$C$6:$C$65,MATCH(B498,Roster!$B$6:$B$65,0)),"not on the Roster"))</f>
        <v/>
      </c>
      <c r="H498" s="95" t="n"/>
    </row>
    <row r="499">
      <c r="A499" s="122" t="n"/>
      <c r="B499" s="105" t="n"/>
      <c r="C499" s="105" t="n"/>
      <c r="D499" s="95" t="n"/>
      <c r="E499" s="95" t="n"/>
      <c r="F499" s="95" t="n"/>
      <c r="G499" s="92">
        <f>IF(B499="","",IFERROR(INDEX(Roster!$C$6:$C$65,MATCH(B499,Roster!$B$6:$B$65,0)),"not on the Roster"))</f>
        <v/>
      </c>
      <c r="H499" s="95" t="n"/>
    </row>
    <row r="500">
      <c r="A500" s="122" t="n"/>
      <c r="B500" s="105" t="n"/>
      <c r="C500" s="105" t="n"/>
      <c r="D500" s="95" t="n"/>
      <c r="E500" s="95" t="n"/>
      <c r="F500" s="95" t="n"/>
      <c r="G500" s="92">
        <f>IF(B500="","",IFERROR(INDEX(Roster!$C$6:$C$65,MATCH(B500,Roster!$B$6:$B$65,0)),"not on the Roster"))</f>
        <v/>
      </c>
      <c r="H500" s="95" t="n"/>
    </row>
    <row r="501">
      <c r="A501" s="122" t="n"/>
      <c r="B501" s="105" t="n"/>
      <c r="C501" s="105" t="n"/>
      <c r="D501" s="95" t="n"/>
      <c r="E501" s="95" t="n"/>
      <c r="F501" s="95" t="n"/>
      <c r="G501" s="92">
        <f>IF(B501="","",IFERROR(INDEX(Roster!$C$6:$C$65,MATCH(B501,Roster!$B$6:$B$65,0)),"not on the Roster"))</f>
        <v/>
      </c>
      <c r="H501" s="95" t="n"/>
    </row>
    <row r="502">
      <c r="A502" s="122" t="n"/>
      <c r="B502" s="105" t="n"/>
      <c r="C502" s="105" t="n"/>
      <c r="D502" s="95" t="n"/>
      <c r="E502" s="95" t="n"/>
      <c r="F502" s="95" t="n"/>
      <c r="G502" s="92">
        <f>IF(B502="","",IFERROR(INDEX(Roster!$C$6:$C$65,MATCH(B502,Roster!$B$6:$B$65,0)),"not on the Roster"))</f>
        <v/>
      </c>
      <c r="H502" s="95" t="n"/>
    </row>
    <row r="503">
      <c r="A503" s="122" t="n"/>
      <c r="B503" s="105" t="n"/>
      <c r="C503" s="105" t="n"/>
      <c r="D503" s="95" t="n"/>
      <c r="E503" s="95" t="n"/>
      <c r="F503" s="95" t="n"/>
      <c r="G503" s="92">
        <f>IF(B503="","",IFERROR(INDEX(Roster!$C$6:$C$65,MATCH(B503,Roster!$B$6:$B$65,0)),"not on the Roster"))</f>
        <v/>
      </c>
      <c r="H503" s="95" t="n"/>
    </row>
    <row r="504">
      <c r="A504" s="122" t="n"/>
      <c r="B504" s="105" t="n"/>
      <c r="C504" s="105" t="n"/>
      <c r="D504" s="95" t="n"/>
      <c r="E504" s="95" t="n"/>
      <c r="F504" s="95" t="n"/>
      <c r="G504" s="92">
        <f>IF(B504="","",IFERROR(INDEX(Roster!$C$6:$C$65,MATCH(B504,Roster!$B$6:$B$65,0)),"not on the Roster"))</f>
        <v/>
      </c>
      <c r="H504" s="95" t="n"/>
    </row>
    <row r="505">
      <c r="A505" s="122" t="n"/>
      <c r="B505" s="105" t="n"/>
      <c r="C505" s="105" t="n"/>
      <c r="D505" s="95" t="n"/>
      <c r="E505" s="95" t="n"/>
      <c r="F505" s="95" t="n"/>
      <c r="G505" s="92">
        <f>IF(B505="","",IFERROR(INDEX(Roster!$C$6:$C$65,MATCH(B505,Roster!$B$6:$B$65,0)),"not on the Roster"))</f>
        <v/>
      </c>
      <c r="H505" s="95" t="n"/>
    </row>
    <row r="506">
      <c r="A506" s="122" t="n"/>
      <c r="B506" s="105" t="n"/>
      <c r="C506" s="105" t="n"/>
      <c r="D506" s="95" t="n"/>
      <c r="E506" s="95" t="n"/>
      <c r="F506" s="95" t="n"/>
      <c r="G506" s="92">
        <f>IF(B506="","",IFERROR(INDEX(Roster!$C$6:$C$65,MATCH(B506,Roster!$B$6:$B$65,0)),"not on the Roster"))</f>
        <v/>
      </c>
      <c r="H506" s="95" t="n"/>
    </row>
    <row r="507">
      <c r="A507" s="122" t="n"/>
      <c r="B507" s="105" t="n"/>
      <c r="C507" s="105" t="n"/>
      <c r="D507" s="95" t="n"/>
      <c r="E507" s="95" t="n"/>
      <c r="F507" s="95" t="n"/>
      <c r="G507" s="92">
        <f>IF(B507="","",IFERROR(INDEX(Roster!$C$6:$C$65,MATCH(B507,Roster!$B$6:$B$65,0)),"not on the Roster"))</f>
        <v/>
      </c>
      <c r="H507" s="95" t="n"/>
    </row>
    <row r="508">
      <c r="A508" s="122" t="n"/>
      <c r="B508" s="105" t="n"/>
      <c r="C508" s="105" t="n"/>
      <c r="D508" s="95" t="n"/>
      <c r="E508" s="95" t="n"/>
      <c r="F508" s="95" t="n"/>
      <c r="G508" s="92">
        <f>IF(B508="","",IFERROR(INDEX(Roster!$C$6:$C$65,MATCH(B508,Roster!$B$6:$B$65,0)),"not on the Roster"))</f>
        <v/>
      </c>
      <c r="H508" s="95" t="n"/>
    </row>
    <row r="509">
      <c r="A509" s="122" t="n"/>
      <c r="B509" s="105" t="n"/>
      <c r="C509" s="105" t="n"/>
      <c r="D509" s="95" t="n"/>
      <c r="E509" s="95" t="n"/>
      <c r="F509" s="95" t="n"/>
      <c r="G509" s="92">
        <f>IF(B509="","",IFERROR(INDEX(Roster!$C$6:$C$65,MATCH(B509,Roster!$B$6:$B$65,0)),"not on the Roster"))</f>
        <v/>
      </c>
      <c r="H509" s="95" t="n"/>
    </row>
    <row r="510">
      <c r="A510" s="122" t="n"/>
      <c r="B510" s="105" t="n"/>
      <c r="C510" s="105" t="n"/>
      <c r="D510" s="95" t="n"/>
      <c r="E510" s="95" t="n"/>
      <c r="F510" s="95" t="n"/>
      <c r="G510" s="92">
        <f>IF(B510="","",IFERROR(INDEX(Roster!$C$6:$C$65,MATCH(B510,Roster!$B$6:$B$65,0)),"not on the Roster"))</f>
        <v/>
      </c>
      <c r="H510" s="95" t="n"/>
    </row>
    <row r="511">
      <c r="A511" s="122" t="n"/>
      <c r="B511" s="105" t="n"/>
      <c r="C511" s="105" t="n"/>
      <c r="D511" s="95" t="n"/>
      <c r="E511" s="95" t="n"/>
      <c r="F511" s="95" t="n"/>
      <c r="G511" s="92">
        <f>IF(B511="","",IFERROR(INDEX(Roster!$C$6:$C$65,MATCH(B511,Roster!$B$6:$B$65,0)),"not on the Roster"))</f>
        <v/>
      </c>
      <c r="H511" s="95" t="n"/>
    </row>
    <row r="512">
      <c r="A512" s="122" t="n"/>
      <c r="B512" s="105" t="n"/>
      <c r="C512" s="105" t="n"/>
      <c r="D512" s="95" t="n"/>
      <c r="E512" s="95" t="n"/>
      <c r="F512" s="95" t="n"/>
      <c r="G512" s="92">
        <f>IF(B512="","",IFERROR(INDEX(Roster!$C$6:$C$65,MATCH(B512,Roster!$B$6:$B$65,0)),"not on the Roster"))</f>
        <v/>
      </c>
      <c r="H512" s="95" t="n"/>
    </row>
    <row r="513">
      <c r="A513" s="122" t="n"/>
      <c r="B513" s="105" t="n"/>
      <c r="C513" s="105" t="n"/>
      <c r="D513" s="95" t="n"/>
      <c r="E513" s="95" t="n"/>
      <c r="F513" s="95" t="n"/>
      <c r="G513" s="92">
        <f>IF(B513="","",IFERROR(INDEX(Roster!$C$6:$C$65,MATCH(B513,Roster!$B$6:$B$65,0)),"not on the Roster"))</f>
        <v/>
      </c>
      <c r="H513" s="95" t="n"/>
    </row>
    <row r="514">
      <c r="A514" s="122" t="n"/>
      <c r="B514" s="105" t="n"/>
      <c r="C514" s="105" t="n"/>
      <c r="D514" s="95" t="n"/>
      <c r="E514" s="95" t="n"/>
      <c r="F514" s="95" t="n"/>
      <c r="G514" s="92">
        <f>IF(B514="","",IFERROR(INDEX(Roster!$C$6:$C$65,MATCH(B514,Roster!$B$6:$B$65,0)),"not on the Roster"))</f>
        <v/>
      </c>
      <c r="H514" s="95" t="n"/>
    </row>
    <row r="515">
      <c r="A515" s="122" t="n"/>
      <c r="B515" s="105" t="n"/>
      <c r="C515" s="105" t="n"/>
      <c r="D515" s="95" t="n"/>
      <c r="E515" s="95" t="n"/>
      <c r="F515" s="95" t="n"/>
      <c r="G515" s="92">
        <f>IF(B515="","",IFERROR(INDEX(Roster!$C$6:$C$65,MATCH(B515,Roster!$B$6:$B$65,0)),"not on the Roster"))</f>
        <v/>
      </c>
      <c r="H515" s="95" t="n"/>
    </row>
    <row r="516">
      <c r="A516" s="122" t="n"/>
      <c r="B516" s="105" t="n"/>
      <c r="C516" s="105" t="n"/>
      <c r="D516" s="95" t="n"/>
      <c r="E516" s="95" t="n"/>
      <c r="F516" s="95" t="n"/>
      <c r="G516" s="92">
        <f>IF(B516="","",IFERROR(INDEX(Roster!$C$6:$C$65,MATCH(B516,Roster!$B$6:$B$65,0)),"not on the Roster"))</f>
        <v/>
      </c>
      <c r="H516" s="95" t="n"/>
    </row>
    <row r="517">
      <c r="A517" s="122" t="n"/>
      <c r="B517" s="105" t="n"/>
      <c r="C517" s="105" t="n"/>
      <c r="D517" s="95" t="n"/>
      <c r="E517" s="95" t="n"/>
      <c r="F517" s="95" t="n"/>
      <c r="G517" s="92">
        <f>IF(B517="","",IFERROR(INDEX(Roster!$C$6:$C$65,MATCH(B517,Roster!$B$6:$B$65,0)),"not on the Roster"))</f>
        <v/>
      </c>
      <c r="H517" s="95" t="n"/>
    </row>
    <row r="518">
      <c r="A518" s="122" t="n"/>
      <c r="B518" s="105" t="n"/>
      <c r="C518" s="105" t="n"/>
      <c r="D518" s="95" t="n"/>
      <c r="E518" s="95" t="n"/>
      <c r="F518" s="95" t="n"/>
      <c r="G518" s="92">
        <f>IF(B518="","",IFERROR(INDEX(Roster!$C$6:$C$65,MATCH(B518,Roster!$B$6:$B$65,0)),"not on the Roster"))</f>
        <v/>
      </c>
      <c r="H518" s="95" t="n"/>
    </row>
    <row r="519">
      <c r="A519" s="122" t="n"/>
      <c r="B519" s="105" t="n"/>
      <c r="C519" s="105" t="n"/>
      <c r="D519" s="95" t="n"/>
      <c r="E519" s="95" t="n"/>
      <c r="F519" s="95" t="n"/>
      <c r="G519" s="92">
        <f>IF(B519="","",IFERROR(INDEX(Roster!$C$6:$C$65,MATCH(B519,Roster!$B$6:$B$65,0)),"not on the Roster"))</f>
        <v/>
      </c>
      <c r="H519" s="95" t="n"/>
    </row>
    <row r="520">
      <c r="A520" s="122" t="n"/>
      <c r="B520" s="105" t="n"/>
      <c r="C520" s="105" t="n"/>
      <c r="D520" s="95" t="n"/>
      <c r="E520" s="95" t="n"/>
      <c r="F520" s="95" t="n"/>
      <c r="G520" s="92">
        <f>IF(B520="","",IFERROR(INDEX(Roster!$C$6:$C$65,MATCH(B520,Roster!$B$6:$B$65,0)),"not on the Roster"))</f>
        <v/>
      </c>
      <c r="H520" s="95" t="n"/>
    </row>
    <row r="521">
      <c r="A521" s="122" t="n"/>
      <c r="B521" s="105" t="n"/>
      <c r="C521" s="105" t="n"/>
      <c r="D521" s="95" t="n"/>
      <c r="E521" s="95" t="n"/>
      <c r="F521" s="95" t="n"/>
      <c r="G521" s="92">
        <f>IF(B521="","",IFERROR(INDEX(Roster!$C$6:$C$65,MATCH(B521,Roster!$B$6:$B$65,0)),"not on the Roster"))</f>
        <v/>
      </c>
      <c r="H521" s="95" t="n"/>
    </row>
    <row r="522">
      <c r="A522" s="122" t="n"/>
      <c r="B522" s="105" t="n"/>
      <c r="C522" s="105" t="n"/>
      <c r="D522" s="95" t="n"/>
      <c r="E522" s="95" t="n"/>
      <c r="F522" s="95" t="n"/>
      <c r="G522" s="92">
        <f>IF(B522="","",IFERROR(INDEX(Roster!$C$6:$C$65,MATCH(B522,Roster!$B$6:$B$65,0)),"not on the Roster"))</f>
        <v/>
      </c>
      <c r="H522" s="95" t="n"/>
    </row>
    <row r="523">
      <c r="A523" s="122" t="n"/>
      <c r="B523" s="105" t="n"/>
      <c r="C523" s="105" t="n"/>
      <c r="D523" s="95" t="n"/>
      <c r="E523" s="95" t="n"/>
      <c r="F523" s="95" t="n"/>
      <c r="G523" s="92">
        <f>IF(B523="","",IFERROR(INDEX(Roster!$C$6:$C$65,MATCH(B523,Roster!$B$6:$B$65,0)),"not on the Roster"))</f>
        <v/>
      </c>
      <c r="H523" s="95" t="n"/>
    </row>
    <row r="524">
      <c r="A524" s="122" t="n"/>
      <c r="B524" s="105" t="n"/>
      <c r="C524" s="105" t="n"/>
      <c r="D524" s="95" t="n"/>
      <c r="E524" s="95" t="n"/>
      <c r="F524" s="95" t="n"/>
      <c r="G524" s="92">
        <f>IF(B524="","",IFERROR(INDEX(Roster!$C$6:$C$65,MATCH(B524,Roster!$B$6:$B$65,0)),"not on the Roster"))</f>
        <v/>
      </c>
      <c r="H524" s="95" t="n"/>
    </row>
    <row r="525">
      <c r="A525" s="122" t="n"/>
      <c r="B525" s="105" t="n"/>
      <c r="C525" s="105" t="n"/>
      <c r="D525" s="95" t="n"/>
      <c r="E525" s="95" t="n"/>
      <c r="F525" s="95" t="n"/>
      <c r="G525" s="92">
        <f>IF(B525="","",IFERROR(INDEX(Roster!$C$6:$C$65,MATCH(B525,Roster!$B$6:$B$65,0)),"not on the Roster"))</f>
        <v/>
      </c>
      <c r="H525" s="95" t="n"/>
    </row>
    <row r="526">
      <c r="A526" s="122" t="n"/>
      <c r="B526" s="105" t="n"/>
      <c r="C526" s="105" t="n"/>
      <c r="D526" s="95" t="n"/>
      <c r="E526" s="95" t="n"/>
      <c r="F526" s="95" t="n"/>
      <c r="G526" s="92">
        <f>IF(B526="","",IFERROR(INDEX(Roster!$C$6:$C$65,MATCH(B526,Roster!$B$6:$B$65,0)),"not on the Roster"))</f>
        <v/>
      </c>
      <c r="H526" s="95" t="n"/>
    </row>
    <row r="527">
      <c r="A527" s="122" t="n"/>
      <c r="B527" s="105" t="n"/>
      <c r="C527" s="105" t="n"/>
      <c r="D527" s="95" t="n"/>
      <c r="E527" s="95" t="n"/>
      <c r="F527" s="95" t="n"/>
      <c r="G527" s="92">
        <f>IF(B527="","",IFERROR(INDEX(Roster!$C$6:$C$65,MATCH(B527,Roster!$B$6:$B$65,0)),"not on the Roster"))</f>
        <v/>
      </c>
      <c r="H527" s="95" t="n"/>
    </row>
    <row r="528">
      <c r="A528" s="122" t="n"/>
      <c r="B528" s="105" t="n"/>
      <c r="C528" s="105" t="n"/>
      <c r="D528" s="95" t="n"/>
      <c r="E528" s="95" t="n"/>
      <c r="F528" s="95" t="n"/>
      <c r="G528" s="92">
        <f>IF(B528="","",IFERROR(INDEX(Roster!$C$6:$C$65,MATCH(B528,Roster!$B$6:$B$65,0)),"not on the Roster"))</f>
        <v/>
      </c>
      <c r="H528" s="95" t="n"/>
    </row>
    <row r="529">
      <c r="A529" s="122" t="n"/>
      <c r="B529" s="105" t="n"/>
      <c r="C529" s="105" t="n"/>
      <c r="D529" s="95" t="n"/>
      <c r="E529" s="95" t="n"/>
      <c r="F529" s="95" t="n"/>
      <c r="G529" s="92">
        <f>IF(B529="","",IFERROR(INDEX(Roster!$C$6:$C$65,MATCH(B529,Roster!$B$6:$B$65,0)),"not on the Roster"))</f>
        <v/>
      </c>
      <c r="H529" s="95" t="n"/>
    </row>
    <row r="530">
      <c r="A530" s="122" t="n"/>
      <c r="B530" s="105" t="n"/>
      <c r="C530" s="105" t="n"/>
      <c r="D530" s="95" t="n"/>
      <c r="E530" s="95" t="n"/>
      <c r="F530" s="95" t="n"/>
      <c r="G530" s="92">
        <f>IF(B530="","",IFERROR(INDEX(Roster!$C$6:$C$65,MATCH(B530,Roster!$B$6:$B$65,0)),"not on the Roster"))</f>
        <v/>
      </c>
      <c r="H530" s="95" t="n"/>
    </row>
    <row r="531">
      <c r="A531" s="122" t="n"/>
      <c r="B531" s="105" t="n"/>
      <c r="C531" s="105" t="n"/>
      <c r="D531" s="95" t="n"/>
      <c r="E531" s="95" t="n"/>
      <c r="F531" s="95" t="n"/>
      <c r="G531" s="92">
        <f>IF(B531="","",IFERROR(INDEX(Roster!$C$6:$C$65,MATCH(B531,Roster!$B$6:$B$65,0)),"not on the Roster"))</f>
        <v/>
      </c>
      <c r="H531" s="95" t="n"/>
    </row>
    <row r="532">
      <c r="A532" s="122" t="n"/>
      <c r="B532" s="105" t="n"/>
      <c r="C532" s="105" t="n"/>
      <c r="D532" s="95" t="n"/>
      <c r="E532" s="95" t="n"/>
      <c r="F532" s="95" t="n"/>
      <c r="G532" s="92">
        <f>IF(B532="","",IFERROR(INDEX(Roster!$C$6:$C$65,MATCH(B532,Roster!$B$6:$B$65,0)),"not on the Roster"))</f>
        <v/>
      </c>
      <c r="H532" s="95" t="n"/>
    </row>
    <row r="533">
      <c r="A533" s="122" t="n"/>
      <c r="B533" s="105" t="n"/>
      <c r="C533" s="105" t="n"/>
      <c r="D533" s="95" t="n"/>
      <c r="E533" s="95" t="n"/>
      <c r="F533" s="95" t="n"/>
      <c r="G533" s="92">
        <f>IF(B533="","",IFERROR(INDEX(Roster!$C$6:$C$65,MATCH(B533,Roster!$B$6:$B$65,0)),"not on the Roster"))</f>
        <v/>
      </c>
      <c r="H533" s="95" t="n"/>
    </row>
    <row r="534">
      <c r="A534" s="122" t="n"/>
      <c r="B534" s="105" t="n"/>
      <c r="C534" s="105" t="n"/>
      <c r="D534" s="95" t="n"/>
      <c r="E534" s="95" t="n"/>
      <c r="F534" s="95" t="n"/>
      <c r="G534" s="92">
        <f>IF(B534="","",IFERROR(INDEX(Roster!$C$6:$C$65,MATCH(B534,Roster!$B$6:$B$65,0)),"not on the Roster"))</f>
        <v/>
      </c>
      <c r="H534" s="95" t="n"/>
    </row>
    <row r="535">
      <c r="A535" s="122" t="n"/>
      <c r="B535" s="105" t="n"/>
      <c r="C535" s="105" t="n"/>
      <c r="D535" s="95" t="n"/>
      <c r="E535" s="95" t="n"/>
      <c r="F535" s="95" t="n"/>
      <c r="G535" s="92">
        <f>IF(B535="","",IFERROR(INDEX(Roster!$C$6:$C$65,MATCH(B535,Roster!$B$6:$B$65,0)),"not on the Roster"))</f>
        <v/>
      </c>
      <c r="H535" s="95" t="n"/>
    </row>
    <row r="536">
      <c r="A536" s="122" t="n"/>
      <c r="B536" s="105" t="n"/>
      <c r="C536" s="105" t="n"/>
      <c r="D536" s="95" t="n"/>
      <c r="E536" s="95" t="n"/>
      <c r="F536" s="95" t="n"/>
      <c r="G536" s="92">
        <f>IF(B536="","",IFERROR(INDEX(Roster!$C$6:$C$65,MATCH(B536,Roster!$B$6:$B$65,0)),"not on the Roster"))</f>
        <v/>
      </c>
      <c r="H536" s="95" t="n"/>
    </row>
    <row r="537">
      <c r="A537" s="122" t="n"/>
      <c r="B537" s="105" t="n"/>
      <c r="C537" s="105" t="n"/>
      <c r="D537" s="95" t="n"/>
      <c r="E537" s="95" t="n"/>
      <c r="F537" s="95" t="n"/>
      <c r="G537" s="92">
        <f>IF(B537="","",IFERROR(INDEX(Roster!$C$6:$C$65,MATCH(B537,Roster!$B$6:$B$65,0)),"not on the Roster"))</f>
        <v/>
      </c>
      <c r="H537" s="95" t="n"/>
    </row>
    <row r="538">
      <c r="A538" s="122" t="n"/>
      <c r="B538" s="105" t="n"/>
      <c r="C538" s="105" t="n"/>
      <c r="D538" s="95" t="n"/>
      <c r="E538" s="95" t="n"/>
      <c r="F538" s="95" t="n"/>
      <c r="G538" s="92">
        <f>IF(B538="","",IFERROR(INDEX(Roster!$C$6:$C$65,MATCH(B538,Roster!$B$6:$B$65,0)),"not on the Roster"))</f>
        <v/>
      </c>
      <c r="H538" s="95" t="n"/>
    </row>
    <row r="539">
      <c r="A539" s="122" t="n"/>
      <c r="B539" s="105" t="n"/>
      <c r="C539" s="105" t="n"/>
      <c r="D539" s="95" t="n"/>
      <c r="E539" s="95" t="n"/>
      <c r="F539" s="95" t="n"/>
      <c r="G539" s="92">
        <f>IF(B539="","",IFERROR(INDEX(Roster!$C$6:$C$65,MATCH(B539,Roster!$B$6:$B$65,0)),"not on the Roster"))</f>
        <v/>
      </c>
      <c r="H539" s="95" t="n"/>
    </row>
    <row r="540">
      <c r="A540" s="122" t="n"/>
      <c r="B540" s="105" t="n"/>
      <c r="C540" s="105" t="n"/>
      <c r="D540" s="95" t="n"/>
      <c r="E540" s="95" t="n"/>
      <c r="F540" s="95" t="n"/>
      <c r="G540" s="92">
        <f>IF(B540="","",IFERROR(INDEX(Roster!$C$6:$C$65,MATCH(B540,Roster!$B$6:$B$65,0)),"not on the Roster"))</f>
        <v/>
      </c>
      <c r="H540" s="95" t="n"/>
    </row>
    <row r="541">
      <c r="A541" s="122" t="n"/>
      <c r="B541" s="105" t="n"/>
      <c r="C541" s="105" t="n"/>
      <c r="D541" s="95" t="n"/>
      <c r="E541" s="95" t="n"/>
      <c r="F541" s="95" t="n"/>
      <c r="G541" s="92">
        <f>IF(B541="","",IFERROR(INDEX(Roster!$C$6:$C$65,MATCH(B541,Roster!$B$6:$B$65,0)),"not on the Roster"))</f>
        <v/>
      </c>
      <c r="H541" s="95" t="n"/>
    </row>
    <row r="542">
      <c r="A542" s="122" t="n"/>
      <c r="B542" s="105" t="n"/>
      <c r="C542" s="105" t="n"/>
      <c r="D542" s="95" t="n"/>
      <c r="E542" s="95" t="n"/>
      <c r="F542" s="95" t="n"/>
      <c r="G542" s="92">
        <f>IF(B542="","",IFERROR(INDEX(Roster!$C$6:$C$65,MATCH(B542,Roster!$B$6:$B$65,0)),"not on the Roster"))</f>
        <v/>
      </c>
      <c r="H542" s="95" t="n"/>
    </row>
    <row r="543">
      <c r="A543" s="122" t="n"/>
      <c r="B543" s="105" t="n"/>
      <c r="C543" s="105" t="n"/>
      <c r="D543" s="95" t="n"/>
      <c r="E543" s="95" t="n"/>
      <c r="F543" s="95" t="n"/>
      <c r="G543" s="92">
        <f>IF(B543="","",IFERROR(INDEX(Roster!$C$6:$C$65,MATCH(B543,Roster!$B$6:$B$65,0)),"not on the Roster"))</f>
        <v/>
      </c>
      <c r="H543" s="95" t="n"/>
    </row>
    <row r="544">
      <c r="A544" s="122" t="n"/>
      <c r="B544" s="105" t="n"/>
      <c r="C544" s="105" t="n"/>
      <c r="D544" s="95" t="n"/>
      <c r="E544" s="95" t="n"/>
      <c r="F544" s="95" t="n"/>
      <c r="G544" s="92">
        <f>IF(B544="","",IFERROR(INDEX(Roster!$C$6:$C$65,MATCH(B544,Roster!$B$6:$B$65,0)),"not on the Roster"))</f>
        <v/>
      </c>
      <c r="H544" s="95" t="n"/>
    </row>
    <row r="545">
      <c r="A545" s="122" t="n"/>
      <c r="B545" s="105" t="n"/>
      <c r="C545" s="105" t="n"/>
      <c r="D545" s="95" t="n"/>
      <c r="E545" s="95" t="n"/>
      <c r="F545" s="95" t="n"/>
      <c r="G545" s="92">
        <f>IF(B545="","",IFERROR(INDEX(Roster!$C$6:$C$65,MATCH(B545,Roster!$B$6:$B$65,0)),"not on the Roster"))</f>
        <v/>
      </c>
      <c r="H545" s="95" t="n"/>
    </row>
    <row r="546">
      <c r="A546" s="122" t="n"/>
      <c r="B546" s="105" t="n"/>
      <c r="C546" s="105" t="n"/>
      <c r="D546" s="95" t="n"/>
      <c r="E546" s="95" t="n"/>
      <c r="F546" s="95" t="n"/>
      <c r="G546" s="92">
        <f>IF(B546="","",IFERROR(INDEX(Roster!$C$6:$C$65,MATCH(B546,Roster!$B$6:$B$65,0)),"not on the Roster"))</f>
        <v/>
      </c>
      <c r="H546" s="95" t="n"/>
    </row>
    <row r="547">
      <c r="A547" s="122" t="n"/>
      <c r="B547" s="105" t="n"/>
      <c r="C547" s="105" t="n"/>
      <c r="D547" s="95" t="n"/>
      <c r="E547" s="95" t="n"/>
      <c r="F547" s="95" t="n"/>
      <c r="G547" s="92">
        <f>IF(B547="","",IFERROR(INDEX(Roster!$C$6:$C$65,MATCH(B547,Roster!$B$6:$B$65,0)),"not on the Roster"))</f>
        <v/>
      </c>
      <c r="H547" s="95" t="n"/>
    </row>
    <row r="548">
      <c r="A548" s="122" t="n"/>
      <c r="B548" s="105" t="n"/>
      <c r="C548" s="105" t="n"/>
      <c r="D548" s="95" t="n"/>
      <c r="E548" s="95" t="n"/>
      <c r="F548" s="95" t="n"/>
      <c r="G548" s="92">
        <f>IF(B548="","",IFERROR(INDEX(Roster!$C$6:$C$65,MATCH(B548,Roster!$B$6:$B$65,0)),"not on the Roster"))</f>
        <v/>
      </c>
      <c r="H548" s="95" t="n"/>
    </row>
    <row r="549">
      <c r="A549" s="122" t="n"/>
      <c r="B549" s="105" t="n"/>
      <c r="C549" s="105" t="n"/>
      <c r="D549" s="95" t="n"/>
      <c r="E549" s="95" t="n"/>
      <c r="F549" s="95" t="n"/>
      <c r="G549" s="92">
        <f>IF(B549="","",IFERROR(INDEX(Roster!$C$6:$C$65,MATCH(B549,Roster!$B$6:$B$65,0)),"not on the Roster"))</f>
        <v/>
      </c>
      <c r="H549" s="95" t="n"/>
    </row>
    <row r="550">
      <c r="A550" s="122" t="n"/>
      <c r="B550" s="105" t="n"/>
      <c r="C550" s="105" t="n"/>
      <c r="D550" s="95" t="n"/>
      <c r="E550" s="95" t="n"/>
      <c r="F550" s="95" t="n"/>
      <c r="G550" s="92">
        <f>IF(B550="","",IFERROR(INDEX(Roster!$C$6:$C$65,MATCH(B550,Roster!$B$6:$B$65,0)),"not on the Roster"))</f>
        <v/>
      </c>
      <c r="H550" s="95" t="n"/>
    </row>
    <row r="551">
      <c r="A551" s="122" t="n"/>
      <c r="B551" s="105" t="n"/>
      <c r="C551" s="105" t="n"/>
      <c r="D551" s="95" t="n"/>
      <c r="E551" s="95" t="n"/>
      <c r="F551" s="95" t="n"/>
      <c r="G551" s="92">
        <f>IF(B551="","",IFERROR(INDEX(Roster!$C$6:$C$65,MATCH(B551,Roster!$B$6:$B$65,0)),"not on the Roster"))</f>
        <v/>
      </c>
      <c r="H551" s="95" t="n"/>
    </row>
    <row r="552">
      <c r="A552" s="122" t="n"/>
      <c r="B552" s="105" t="n"/>
      <c r="C552" s="105" t="n"/>
      <c r="D552" s="95" t="n"/>
      <c r="E552" s="95" t="n"/>
      <c r="F552" s="95" t="n"/>
      <c r="G552" s="92">
        <f>IF(B552="","",IFERROR(INDEX(Roster!$C$6:$C$65,MATCH(B552,Roster!$B$6:$B$65,0)),"not on the Roster"))</f>
        <v/>
      </c>
      <c r="H552" s="95" t="n"/>
    </row>
    <row r="553">
      <c r="A553" s="122" t="n"/>
      <c r="B553" s="105" t="n"/>
      <c r="C553" s="105" t="n"/>
      <c r="D553" s="95" t="n"/>
      <c r="E553" s="95" t="n"/>
      <c r="F553" s="95" t="n"/>
      <c r="G553" s="92">
        <f>IF(B553="","",IFERROR(INDEX(Roster!$C$6:$C$65,MATCH(B553,Roster!$B$6:$B$65,0)),"not on the Roster"))</f>
        <v/>
      </c>
      <c r="H553" s="95" t="n"/>
    </row>
    <row r="554">
      <c r="A554" s="122" t="n"/>
      <c r="B554" s="105" t="n"/>
      <c r="C554" s="105" t="n"/>
      <c r="D554" s="95" t="n"/>
      <c r="E554" s="95" t="n"/>
      <c r="F554" s="95" t="n"/>
      <c r="G554" s="92">
        <f>IF(B554="","",IFERROR(INDEX(Roster!$C$6:$C$65,MATCH(B554,Roster!$B$6:$B$65,0)),"not on the Roster"))</f>
        <v/>
      </c>
      <c r="H554" s="95" t="n"/>
    </row>
    <row r="555">
      <c r="A555" s="122" t="n"/>
      <c r="B555" s="105" t="n"/>
      <c r="C555" s="105" t="n"/>
      <c r="D555" s="95" t="n"/>
      <c r="E555" s="95" t="n"/>
      <c r="F555" s="95" t="n"/>
      <c r="G555" s="92">
        <f>IF(B555="","",IFERROR(INDEX(Roster!$C$6:$C$65,MATCH(B555,Roster!$B$6:$B$65,0)),"not on the Roster"))</f>
        <v/>
      </c>
      <c r="H555" s="95" t="n"/>
    </row>
    <row r="556">
      <c r="A556" s="122" t="n"/>
      <c r="B556" s="105" t="n"/>
      <c r="C556" s="105" t="n"/>
      <c r="D556" s="95" t="n"/>
      <c r="E556" s="95" t="n"/>
      <c r="F556" s="95" t="n"/>
      <c r="G556" s="92">
        <f>IF(B556="","",IFERROR(INDEX(Roster!$C$6:$C$65,MATCH(B556,Roster!$B$6:$B$65,0)),"not on the Roster"))</f>
        <v/>
      </c>
      <c r="H556" s="95" t="n"/>
    </row>
    <row r="557">
      <c r="A557" s="122" t="n"/>
      <c r="B557" s="105" t="n"/>
      <c r="C557" s="105" t="n"/>
      <c r="D557" s="95" t="n"/>
      <c r="E557" s="95" t="n"/>
      <c r="F557" s="95" t="n"/>
      <c r="G557" s="92">
        <f>IF(B557="","",IFERROR(INDEX(Roster!$C$6:$C$65,MATCH(B557,Roster!$B$6:$B$65,0)),"not on the Roster"))</f>
        <v/>
      </c>
      <c r="H557" s="95" t="n"/>
    </row>
    <row r="558">
      <c r="A558" s="122" t="n"/>
      <c r="B558" s="105" t="n"/>
      <c r="C558" s="105" t="n"/>
      <c r="D558" s="95" t="n"/>
      <c r="E558" s="95" t="n"/>
      <c r="F558" s="95" t="n"/>
      <c r="G558" s="92">
        <f>IF(B558="","",IFERROR(INDEX(Roster!$C$6:$C$65,MATCH(B558,Roster!$B$6:$B$65,0)),"not on the Roster"))</f>
        <v/>
      </c>
      <c r="H558" s="95" t="n"/>
    </row>
    <row r="559">
      <c r="A559" s="122" t="n"/>
      <c r="B559" s="105" t="n"/>
      <c r="C559" s="105" t="n"/>
      <c r="D559" s="95" t="n"/>
      <c r="E559" s="95" t="n"/>
      <c r="F559" s="95" t="n"/>
      <c r="G559" s="92">
        <f>IF(B559="","",IFERROR(INDEX(Roster!$C$6:$C$65,MATCH(B559,Roster!$B$6:$B$65,0)),"not on the Roster"))</f>
        <v/>
      </c>
      <c r="H559" s="95" t="n"/>
    </row>
    <row r="560">
      <c r="A560" s="122" t="n"/>
      <c r="B560" s="105" t="n"/>
      <c r="C560" s="105" t="n"/>
      <c r="D560" s="95" t="n"/>
      <c r="E560" s="95" t="n"/>
      <c r="F560" s="95" t="n"/>
      <c r="G560" s="92">
        <f>IF(B560="","",IFERROR(INDEX(Roster!$C$6:$C$65,MATCH(B560,Roster!$B$6:$B$65,0)),"not on the Roster"))</f>
        <v/>
      </c>
      <c r="H560" s="95" t="n"/>
    </row>
    <row r="561">
      <c r="A561" s="122" t="n"/>
      <c r="B561" s="105" t="n"/>
      <c r="C561" s="105" t="n"/>
      <c r="D561" s="95" t="n"/>
      <c r="E561" s="95" t="n"/>
      <c r="F561" s="95" t="n"/>
      <c r="G561" s="92">
        <f>IF(B561="","",IFERROR(INDEX(Roster!$C$6:$C$65,MATCH(B561,Roster!$B$6:$B$65,0)),"not on the Roster"))</f>
        <v/>
      </c>
      <c r="H561" s="95" t="n"/>
    </row>
    <row r="562">
      <c r="A562" s="122" t="n"/>
      <c r="B562" s="105" t="n"/>
      <c r="C562" s="105" t="n"/>
      <c r="D562" s="95" t="n"/>
      <c r="E562" s="95" t="n"/>
      <c r="F562" s="95" t="n"/>
      <c r="G562" s="92">
        <f>IF(B562="","",IFERROR(INDEX(Roster!$C$6:$C$65,MATCH(B562,Roster!$B$6:$B$65,0)),"not on the Roster"))</f>
        <v/>
      </c>
      <c r="H562" s="95" t="n"/>
    </row>
    <row r="563">
      <c r="A563" s="122" t="n"/>
      <c r="B563" s="105" t="n"/>
      <c r="C563" s="105" t="n"/>
      <c r="D563" s="95" t="n"/>
      <c r="E563" s="95" t="n"/>
      <c r="F563" s="95" t="n"/>
      <c r="G563" s="92">
        <f>IF(B563="","",IFERROR(INDEX(Roster!$C$6:$C$65,MATCH(B563,Roster!$B$6:$B$65,0)),"not on the Roster"))</f>
        <v/>
      </c>
      <c r="H563" s="95" t="n"/>
    </row>
    <row r="564">
      <c r="A564" s="122" t="n"/>
      <c r="B564" s="105" t="n"/>
      <c r="C564" s="105" t="n"/>
      <c r="D564" s="95" t="n"/>
      <c r="E564" s="95" t="n"/>
      <c r="F564" s="95" t="n"/>
      <c r="G564" s="92">
        <f>IF(B564="","",IFERROR(INDEX(Roster!$C$6:$C$65,MATCH(B564,Roster!$B$6:$B$65,0)),"not on the Roster"))</f>
        <v/>
      </c>
      <c r="H564" s="95" t="n"/>
    </row>
    <row r="565">
      <c r="A565" s="122" t="n"/>
      <c r="B565" s="105" t="n"/>
      <c r="C565" s="105" t="n"/>
      <c r="D565" s="95" t="n"/>
      <c r="E565" s="95" t="n"/>
      <c r="F565" s="95" t="n"/>
      <c r="G565" s="92">
        <f>IF(B565="","",IFERROR(INDEX(Roster!$C$6:$C$65,MATCH(B565,Roster!$B$6:$B$65,0)),"not on the Roster"))</f>
        <v/>
      </c>
      <c r="H565" s="95" t="n"/>
    </row>
    <row r="566">
      <c r="A566" s="122" t="n"/>
      <c r="B566" s="105" t="n"/>
      <c r="C566" s="105" t="n"/>
      <c r="D566" s="95" t="n"/>
      <c r="E566" s="95" t="n"/>
      <c r="F566" s="95" t="n"/>
      <c r="G566" s="92">
        <f>IF(B566="","",IFERROR(INDEX(Roster!$C$6:$C$65,MATCH(B566,Roster!$B$6:$B$65,0)),"not on the Roster"))</f>
        <v/>
      </c>
      <c r="H566" s="95" t="n"/>
    </row>
    <row r="567">
      <c r="A567" s="122" t="n"/>
      <c r="B567" s="105" t="n"/>
      <c r="C567" s="105" t="n"/>
      <c r="D567" s="95" t="n"/>
      <c r="E567" s="95" t="n"/>
      <c r="F567" s="95" t="n"/>
      <c r="G567" s="92">
        <f>IF(B567="","",IFERROR(INDEX(Roster!$C$6:$C$65,MATCH(B567,Roster!$B$6:$B$65,0)),"not on the Roster"))</f>
        <v/>
      </c>
      <c r="H567" s="95" t="n"/>
    </row>
    <row r="568">
      <c r="A568" s="122" t="n"/>
      <c r="B568" s="105" t="n"/>
      <c r="C568" s="105" t="n"/>
      <c r="D568" s="95" t="n"/>
      <c r="E568" s="95" t="n"/>
      <c r="F568" s="95" t="n"/>
      <c r="G568" s="92">
        <f>IF(B568="","",IFERROR(INDEX(Roster!$C$6:$C$65,MATCH(B568,Roster!$B$6:$B$65,0)),"not on the Roster"))</f>
        <v/>
      </c>
      <c r="H568" s="95" t="n"/>
    </row>
    <row r="569">
      <c r="A569" s="122" t="n"/>
      <c r="B569" s="105" t="n"/>
      <c r="C569" s="105" t="n"/>
      <c r="D569" s="95" t="n"/>
      <c r="E569" s="95" t="n"/>
      <c r="F569" s="95" t="n"/>
      <c r="G569" s="92">
        <f>IF(B569="","",IFERROR(INDEX(Roster!$C$6:$C$65,MATCH(B569,Roster!$B$6:$B$65,0)),"not on the Roster"))</f>
        <v/>
      </c>
      <c r="H569" s="95" t="n"/>
    </row>
    <row r="570">
      <c r="A570" s="122" t="n"/>
      <c r="B570" s="105" t="n"/>
      <c r="C570" s="105" t="n"/>
      <c r="D570" s="95" t="n"/>
      <c r="E570" s="95" t="n"/>
      <c r="F570" s="95" t="n"/>
      <c r="G570" s="92">
        <f>IF(B570="","",IFERROR(INDEX(Roster!$C$6:$C$65,MATCH(B570,Roster!$B$6:$B$65,0)),"not on the Roster"))</f>
        <v/>
      </c>
      <c r="H570" s="95" t="n"/>
    </row>
    <row r="571">
      <c r="A571" s="122" t="n"/>
      <c r="B571" s="105" t="n"/>
      <c r="C571" s="105" t="n"/>
      <c r="D571" s="95" t="n"/>
      <c r="E571" s="95" t="n"/>
      <c r="F571" s="95" t="n"/>
      <c r="G571" s="92">
        <f>IF(B571="","",IFERROR(INDEX(Roster!$C$6:$C$65,MATCH(B571,Roster!$B$6:$B$65,0)),"not on the Roster"))</f>
        <v/>
      </c>
      <c r="H571" s="95" t="n"/>
    </row>
    <row r="572">
      <c r="A572" s="122" t="n"/>
      <c r="B572" s="105" t="n"/>
      <c r="C572" s="105" t="n"/>
      <c r="D572" s="95" t="n"/>
      <c r="E572" s="95" t="n"/>
      <c r="F572" s="95" t="n"/>
      <c r="G572" s="92">
        <f>IF(B572="","",IFERROR(INDEX(Roster!$C$6:$C$65,MATCH(B572,Roster!$B$6:$B$65,0)),"not on the Roster"))</f>
        <v/>
      </c>
      <c r="H572" s="95" t="n"/>
    </row>
    <row r="573">
      <c r="A573" s="122" t="n"/>
      <c r="B573" s="105" t="n"/>
      <c r="C573" s="105" t="n"/>
      <c r="D573" s="95" t="n"/>
      <c r="E573" s="95" t="n"/>
      <c r="F573" s="95" t="n"/>
      <c r="G573" s="92">
        <f>IF(B573="","",IFERROR(INDEX(Roster!$C$6:$C$65,MATCH(B573,Roster!$B$6:$B$65,0)),"not on the Roster"))</f>
        <v/>
      </c>
      <c r="H573" s="95" t="n"/>
    </row>
    <row r="574">
      <c r="A574" s="122" t="n"/>
      <c r="B574" s="105" t="n"/>
      <c r="C574" s="105" t="n"/>
      <c r="D574" s="95" t="n"/>
      <c r="E574" s="95" t="n"/>
      <c r="F574" s="95" t="n"/>
      <c r="G574" s="92">
        <f>IF(B574="","",IFERROR(INDEX(Roster!$C$6:$C$65,MATCH(B574,Roster!$B$6:$B$65,0)),"not on the Roster"))</f>
        <v/>
      </c>
      <c r="H574" s="95" t="n"/>
    </row>
    <row r="575">
      <c r="A575" s="122" t="n"/>
      <c r="B575" s="105" t="n"/>
      <c r="C575" s="105" t="n"/>
      <c r="D575" s="95" t="n"/>
      <c r="E575" s="95" t="n"/>
      <c r="F575" s="95" t="n"/>
      <c r="G575" s="92">
        <f>IF(B575="","",IFERROR(INDEX(Roster!$C$6:$C$65,MATCH(B575,Roster!$B$6:$B$65,0)),"not on the Roster"))</f>
        <v/>
      </c>
      <c r="H575" s="95" t="n"/>
    </row>
    <row r="576">
      <c r="A576" s="122" t="n"/>
      <c r="B576" s="105" t="n"/>
      <c r="C576" s="105" t="n"/>
      <c r="D576" s="95" t="n"/>
      <c r="E576" s="95" t="n"/>
      <c r="F576" s="95" t="n"/>
      <c r="G576" s="92">
        <f>IF(B576="","",IFERROR(INDEX(Roster!$C$6:$C$65,MATCH(B576,Roster!$B$6:$B$65,0)),"not on the Roster"))</f>
        <v/>
      </c>
      <c r="H576" s="95" t="n"/>
    </row>
    <row r="577">
      <c r="A577" s="122" t="n"/>
      <c r="B577" s="105" t="n"/>
      <c r="C577" s="105" t="n"/>
      <c r="D577" s="95" t="n"/>
      <c r="E577" s="95" t="n"/>
      <c r="F577" s="95" t="n"/>
      <c r="G577" s="92">
        <f>IF(B577="","",IFERROR(INDEX(Roster!$C$6:$C$65,MATCH(B577,Roster!$B$6:$B$65,0)),"not on the Roster"))</f>
        <v/>
      </c>
      <c r="H577" s="95" t="n"/>
    </row>
    <row r="578">
      <c r="A578" s="122" t="n"/>
      <c r="B578" s="105" t="n"/>
      <c r="C578" s="105" t="n"/>
      <c r="D578" s="95" t="n"/>
      <c r="E578" s="95" t="n"/>
      <c r="F578" s="95" t="n"/>
      <c r="G578" s="92">
        <f>IF(B578="","",IFERROR(INDEX(Roster!$C$6:$C$65,MATCH(B578,Roster!$B$6:$B$65,0)),"not on the Roster"))</f>
        <v/>
      </c>
      <c r="H578" s="95" t="n"/>
    </row>
    <row r="579">
      <c r="A579" s="122" t="n"/>
      <c r="B579" s="105" t="n"/>
      <c r="C579" s="105" t="n"/>
      <c r="D579" s="95" t="n"/>
      <c r="E579" s="95" t="n"/>
      <c r="F579" s="95" t="n"/>
      <c r="G579" s="92">
        <f>IF(B579="","",IFERROR(INDEX(Roster!$C$6:$C$65,MATCH(B579,Roster!$B$6:$B$65,0)),"not on the Roster"))</f>
        <v/>
      </c>
      <c r="H579" s="95" t="n"/>
    </row>
    <row r="580">
      <c r="A580" s="122" t="n"/>
      <c r="B580" s="105" t="n"/>
      <c r="C580" s="105" t="n"/>
      <c r="D580" s="95" t="n"/>
      <c r="E580" s="95" t="n"/>
      <c r="F580" s="95" t="n"/>
      <c r="G580" s="92">
        <f>IF(B580="","",IFERROR(INDEX(Roster!$C$6:$C$65,MATCH(B580,Roster!$B$6:$B$65,0)),"not on the Roster"))</f>
        <v/>
      </c>
      <c r="H580" s="95" t="n"/>
    </row>
    <row r="581">
      <c r="A581" s="122" t="n"/>
      <c r="B581" s="105" t="n"/>
      <c r="C581" s="105" t="n"/>
      <c r="D581" s="95" t="n"/>
      <c r="E581" s="95" t="n"/>
      <c r="F581" s="95" t="n"/>
      <c r="G581" s="92">
        <f>IF(B581="","",IFERROR(INDEX(Roster!$C$6:$C$65,MATCH(B581,Roster!$B$6:$B$65,0)),"not on the Roster"))</f>
        <v/>
      </c>
      <c r="H581" s="95" t="n"/>
    </row>
    <row r="582">
      <c r="A582" s="122" t="n"/>
      <c r="B582" s="105" t="n"/>
      <c r="C582" s="105" t="n"/>
      <c r="D582" s="95" t="n"/>
      <c r="E582" s="95" t="n"/>
      <c r="F582" s="95" t="n"/>
      <c r="G582" s="92">
        <f>IF(B582="","",IFERROR(INDEX(Roster!$C$6:$C$65,MATCH(B582,Roster!$B$6:$B$65,0)),"not on the Roster"))</f>
        <v/>
      </c>
      <c r="H582" s="95" t="n"/>
    </row>
    <row r="583">
      <c r="A583" s="122" t="n"/>
      <c r="B583" s="105" t="n"/>
      <c r="C583" s="105" t="n"/>
      <c r="D583" s="95" t="n"/>
      <c r="E583" s="95" t="n"/>
      <c r="F583" s="95" t="n"/>
      <c r="G583" s="92">
        <f>IF(B583="","",IFERROR(INDEX(Roster!$C$6:$C$65,MATCH(B583,Roster!$B$6:$B$65,0)),"not on the Roster"))</f>
        <v/>
      </c>
      <c r="H583" s="95" t="n"/>
    </row>
    <row r="584">
      <c r="A584" s="122" t="n"/>
      <c r="B584" s="105" t="n"/>
      <c r="C584" s="105" t="n"/>
      <c r="D584" s="95" t="n"/>
      <c r="E584" s="95" t="n"/>
      <c r="F584" s="95" t="n"/>
      <c r="G584" s="92">
        <f>IF(B584="","",IFERROR(INDEX(Roster!$C$6:$C$65,MATCH(B584,Roster!$B$6:$B$65,0)),"not on the Roster"))</f>
        <v/>
      </c>
      <c r="H584" s="95" t="n"/>
    </row>
    <row r="585">
      <c r="A585" s="122" t="n"/>
      <c r="B585" s="105" t="n"/>
      <c r="C585" s="105" t="n"/>
      <c r="D585" s="95" t="n"/>
      <c r="E585" s="95" t="n"/>
      <c r="F585" s="95" t="n"/>
      <c r="G585" s="92">
        <f>IF(B585="","",IFERROR(INDEX(Roster!$C$6:$C$65,MATCH(B585,Roster!$B$6:$B$65,0)),"not on the Roster"))</f>
        <v/>
      </c>
      <c r="H585" s="95" t="n"/>
    </row>
    <row r="586">
      <c r="A586" s="122" t="n"/>
      <c r="B586" s="105" t="n"/>
      <c r="C586" s="105" t="n"/>
      <c r="D586" s="95" t="n"/>
      <c r="E586" s="95" t="n"/>
      <c r="F586" s="95" t="n"/>
      <c r="G586" s="92">
        <f>IF(B586="","",IFERROR(INDEX(Roster!$C$6:$C$65,MATCH(B586,Roster!$B$6:$B$65,0)),"not on the Roster"))</f>
        <v/>
      </c>
      <c r="H586" s="95" t="n"/>
    </row>
    <row r="587">
      <c r="A587" s="122" t="n"/>
      <c r="B587" s="105" t="n"/>
      <c r="C587" s="105" t="n"/>
      <c r="D587" s="95" t="n"/>
      <c r="E587" s="95" t="n"/>
      <c r="F587" s="95" t="n"/>
      <c r="G587" s="92">
        <f>IF(B587="","",IFERROR(INDEX(Roster!$C$6:$C$65,MATCH(B587,Roster!$B$6:$B$65,0)),"not on the Roster"))</f>
        <v/>
      </c>
      <c r="H587" s="95" t="n"/>
    </row>
    <row r="588">
      <c r="A588" s="122" t="n"/>
      <c r="B588" s="105" t="n"/>
      <c r="C588" s="105" t="n"/>
      <c r="D588" s="95" t="n"/>
      <c r="E588" s="95" t="n"/>
      <c r="F588" s="95" t="n"/>
      <c r="G588" s="92">
        <f>IF(B588="","",IFERROR(INDEX(Roster!$C$6:$C$65,MATCH(B588,Roster!$B$6:$B$65,0)),"not on the Roster"))</f>
        <v/>
      </c>
      <c r="H588" s="95" t="n"/>
    </row>
    <row r="589">
      <c r="A589" s="122" t="n"/>
      <c r="B589" s="105" t="n"/>
      <c r="C589" s="105" t="n"/>
      <c r="D589" s="95" t="n"/>
      <c r="E589" s="95" t="n"/>
      <c r="F589" s="95" t="n"/>
      <c r="G589" s="92">
        <f>IF(B589="","",IFERROR(INDEX(Roster!$C$6:$C$65,MATCH(B589,Roster!$B$6:$B$65,0)),"not on the Roster"))</f>
        <v/>
      </c>
      <c r="H589" s="95" t="n"/>
    </row>
    <row r="590">
      <c r="A590" s="122" t="n"/>
      <c r="B590" s="105" t="n"/>
      <c r="C590" s="105" t="n"/>
      <c r="D590" s="95" t="n"/>
      <c r="E590" s="95" t="n"/>
      <c r="F590" s="95" t="n"/>
      <c r="G590" s="92">
        <f>IF(B590="","",IFERROR(INDEX(Roster!$C$6:$C$65,MATCH(B590,Roster!$B$6:$B$65,0)),"not on the Roster"))</f>
        <v/>
      </c>
      <c r="H590" s="95" t="n"/>
    </row>
    <row r="591">
      <c r="A591" s="122" t="n"/>
      <c r="B591" s="105" t="n"/>
      <c r="C591" s="105" t="n"/>
      <c r="D591" s="95" t="n"/>
      <c r="E591" s="95" t="n"/>
      <c r="F591" s="95" t="n"/>
      <c r="G591" s="92">
        <f>IF(B591="","",IFERROR(INDEX(Roster!$C$6:$C$65,MATCH(B591,Roster!$B$6:$B$65,0)),"not on the Roster"))</f>
        <v/>
      </c>
      <c r="H591" s="95" t="n"/>
    </row>
    <row r="592">
      <c r="A592" s="122" t="n"/>
      <c r="B592" s="105" t="n"/>
      <c r="C592" s="105" t="n"/>
      <c r="D592" s="95" t="n"/>
      <c r="E592" s="95" t="n"/>
      <c r="F592" s="95" t="n"/>
      <c r="G592" s="92">
        <f>IF(B592="","",IFERROR(INDEX(Roster!$C$6:$C$65,MATCH(B592,Roster!$B$6:$B$65,0)),"not on the Roster"))</f>
        <v/>
      </c>
      <c r="H592" s="95" t="n"/>
    </row>
    <row r="593">
      <c r="A593" s="122" t="n"/>
      <c r="B593" s="105" t="n"/>
      <c r="C593" s="105" t="n"/>
      <c r="D593" s="95" t="n"/>
      <c r="E593" s="95" t="n"/>
      <c r="F593" s="95" t="n"/>
      <c r="G593" s="92">
        <f>IF(B593="","",IFERROR(INDEX(Roster!$C$6:$C$65,MATCH(B593,Roster!$B$6:$B$65,0)),"not on the Roster"))</f>
        <v/>
      </c>
      <c r="H593" s="95" t="n"/>
    </row>
    <row r="594">
      <c r="A594" s="122" t="n"/>
      <c r="B594" s="105" t="n"/>
      <c r="C594" s="105" t="n"/>
      <c r="D594" s="95" t="n"/>
      <c r="E594" s="95" t="n"/>
      <c r="F594" s="95" t="n"/>
      <c r="G594" s="92">
        <f>IF(B594="","",IFERROR(INDEX(Roster!$C$6:$C$65,MATCH(B594,Roster!$B$6:$B$65,0)),"not on the Roster"))</f>
        <v/>
      </c>
      <c r="H594" s="95" t="n"/>
    </row>
    <row r="595">
      <c r="A595" s="122" t="n"/>
      <c r="B595" s="105" t="n"/>
      <c r="C595" s="105" t="n"/>
      <c r="D595" s="95" t="n"/>
      <c r="E595" s="95" t="n"/>
      <c r="F595" s="95" t="n"/>
      <c r="G595" s="92">
        <f>IF(B595="","",IFERROR(INDEX(Roster!$C$6:$C$65,MATCH(B595,Roster!$B$6:$B$65,0)),"not on the Roster"))</f>
        <v/>
      </c>
      <c r="H595" s="95" t="n"/>
    </row>
    <row r="596">
      <c r="A596" s="122" t="n"/>
      <c r="B596" s="105" t="n"/>
      <c r="C596" s="105" t="n"/>
      <c r="D596" s="95" t="n"/>
      <c r="E596" s="95" t="n"/>
      <c r="F596" s="95" t="n"/>
      <c r="G596" s="92">
        <f>IF(B596="","",IFERROR(INDEX(Roster!$C$6:$C$65,MATCH(B596,Roster!$B$6:$B$65,0)),"not on the Roster"))</f>
        <v/>
      </c>
      <c r="H596" s="95" t="n"/>
    </row>
    <row r="597">
      <c r="A597" s="122" t="n"/>
      <c r="B597" s="105" t="n"/>
      <c r="C597" s="105" t="n"/>
      <c r="D597" s="95" t="n"/>
      <c r="E597" s="95" t="n"/>
      <c r="F597" s="95" t="n"/>
      <c r="G597" s="92">
        <f>IF(B597="","",IFERROR(INDEX(Roster!$C$6:$C$65,MATCH(B597,Roster!$B$6:$B$65,0)),"not on the Roster"))</f>
        <v/>
      </c>
      <c r="H597" s="95" t="n"/>
    </row>
    <row r="598">
      <c r="A598" s="122" t="n"/>
      <c r="B598" s="105" t="n"/>
      <c r="C598" s="105" t="n"/>
      <c r="D598" s="95" t="n"/>
      <c r="E598" s="95" t="n"/>
      <c r="F598" s="95" t="n"/>
      <c r="G598" s="92">
        <f>IF(B598="","",IFERROR(INDEX(Roster!$C$6:$C$65,MATCH(B598,Roster!$B$6:$B$65,0)),"not on the Roster"))</f>
        <v/>
      </c>
      <c r="H598" s="95" t="n"/>
    </row>
    <row r="599">
      <c r="A599" s="122" t="n"/>
      <c r="B599" s="105" t="n"/>
      <c r="C599" s="105" t="n"/>
      <c r="D599" s="95" t="n"/>
      <c r="E599" s="95" t="n"/>
      <c r="F599" s="95" t="n"/>
      <c r="G599" s="92">
        <f>IF(B599="","",IFERROR(INDEX(Roster!$C$6:$C$65,MATCH(B599,Roster!$B$6:$B$65,0)),"not on the Roster"))</f>
        <v/>
      </c>
      <c r="H599" s="95" t="n"/>
    </row>
    <row r="600">
      <c r="A600" s="122" t="n"/>
      <c r="B600" s="105" t="n"/>
      <c r="C600" s="105" t="n"/>
      <c r="D600" s="95" t="n"/>
      <c r="E600" s="95" t="n"/>
      <c r="F600" s="95" t="n"/>
      <c r="G600" s="92">
        <f>IF(B600="","",IFERROR(INDEX(Roster!$C$6:$C$65,MATCH(B600,Roster!$B$6:$B$65,0)),"not on the Roster"))</f>
        <v/>
      </c>
      <c r="H600" s="95" t="n"/>
    </row>
    <row r="601">
      <c r="A601" s="122" t="n"/>
      <c r="B601" s="105" t="n"/>
      <c r="C601" s="105" t="n"/>
      <c r="D601" s="95" t="n"/>
      <c r="E601" s="95" t="n"/>
      <c r="F601" s="95" t="n"/>
      <c r="G601" s="92">
        <f>IF(B601="","",IFERROR(INDEX(Roster!$C$6:$C$65,MATCH(B601,Roster!$B$6:$B$65,0)),"not on the Roster"))</f>
        <v/>
      </c>
      <c r="H601" s="95" t="n"/>
    </row>
    <row r="602">
      <c r="A602" s="122" t="n"/>
      <c r="B602" s="105" t="n"/>
      <c r="C602" s="105" t="n"/>
      <c r="D602" s="95" t="n"/>
      <c r="E602" s="95" t="n"/>
      <c r="F602" s="95" t="n"/>
      <c r="G602" s="92">
        <f>IF(B602="","",IFERROR(INDEX(Roster!$C$6:$C$65,MATCH(B602,Roster!$B$6:$B$65,0)),"not on the Roster"))</f>
        <v/>
      </c>
      <c r="H602" s="95" t="n"/>
    </row>
    <row r="603">
      <c r="A603" s="122" t="n"/>
      <c r="B603" s="105" t="n"/>
      <c r="C603" s="105" t="n"/>
      <c r="D603" s="95" t="n"/>
      <c r="E603" s="95" t="n"/>
      <c r="F603" s="95" t="n"/>
      <c r="G603" s="92">
        <f>IF(B603="","",IFERROR(INDEX(Roster!$C$6:$C$65,MATCH(B603,Roster!$B$6:$B$65,0)),"not on the Roster"))</f>
        <v/>
      </c>
      <c r="H603" s="95" t="n"/>
    </row>
    <row r="604">
      <c r="A604" s="122" t="n"/>
      <c r="B604" s="105" t="n"/>
      <c r="C604" s="105" t="n"/>
      <c r="D604" s="95" t="n"/>
      <c r="E604" s="95" t="n"/>
      <c r="F604" s="95" t="n"/>
      <c r="G604" s="92">
        <f>IF(B604="","",IFERROR(INDEX(Roster!$C$6:$C$65,MATCH(B604,Roster!$B$6:$B$65,0)),"not on the Roster"))</f>
        <v/>
      </c>
      <c r="H604" s="95" t="n"/>
    </row>
    <row r="605">
      <c r="A605" s="122" t="n"/>
      <c r="B605" s="105" t="n"/>
      <c r="C605" s="105" t="n"/>
      <c r="D605" s="95" t="n"/>
      <c r="E605" s="95" t="n"/>
      <c r="F605" s="95" t="n"/>
      <c r="G605" s="92">
        <f>IF(B605="","",IFERROR(INDEX(Roster!$C$6:$C$65,MATCH(B605,Roster!$B$6:$B$65,0)),"not on the Roster"))</f>
        <v/>
      </c>
      <c r="H605" s="95" t="n"/>
    </row>
    <row r="606">
      <c r="A606" s="122" t="n"/>
      <c r="B606" s="105" t="n"/>
      <c r="C606" s="105" t="n"/>
      <c r="D606" s="95" t="n"/>
      <c r="E606" s="95" t="n"/>
      <c r="F606" s="95" t="n"/>
      <c r="G606" s="92">
        <f>IF(B606="","",IFERROR(INDEX(Roster!$C$6:$C$65,MATCH(B606,Roster!$B$6:$B$65,0)),"not on the Roster"))</f>
        <v/>
      </c>
      <c r="H606" s="95" t="n"/>
    </row>
    <row r="607">
      <c r="A607" s="122" t="n"/>
      <c r="B607" s="105" t="n"/>
      <c r="C607" s="105" t="n"/>
      <c r="D607" s="95" t="n"/>
      <c r="E607" s="95" t="n"/>
      <c r="F607" s="95" t="n"/>
      <c r="G607" s="92">
        <f>IF(B607="","",IFERROR(INDEX(Roster!$C$6:$C$65,MATCH(B607,Roster!$B$6:$B$65,0)),"not on the Roster"))</f>
        <v/>
      </c>
      <c r="H607" s="95" t="n"/>
    </row>
    <row r="608">
      <c r="A608" s="122" t="n"/>
      <c r="B608" s="105" t="n"/>
      <c r="C608" s="105" t="n"/>
      <c r="D608" s="95" t="n"/>
      <c r="E608" s="95" t="n"/>
      <c r="F608" s="95" t="n"/>
      <c r="G608" s="92">
        <f>IF(B608="","",IFERROR(INDEX(Roster!$C$6:$C$65,MATCH(B608,Roster!$B$6:$B$65,0)),"not on the Roster"))</f>
        <v/>
      </c>
      <c r="H608" s="95" t="n"/>
    </row>
    <row r="609">
      <c r="A609" s="122" t="n"/>
      <c r="B609" s="105" t="n"/>
      <c r="C609" s="105" t="n"/>
      <c r="D609" s="95" t="n"/>
      <c r="E609" s="95" t="n"/>
      <c r="F609" s="95" t="n"/>
      <c r="G609" s="92">
        <f>IF(B609="","",IFERROR(INDEX(Roster!$C$6:$C$65,MATCH(B609,Roster!$B$6:$B$65,0)),"not on the Roster"))</f>
        <v/>
      </c>
      <c r="H609" s="95" t="n"/>
    </row>
    <row r="610">
      <c r="A610" s="122" t="n"/>
      <c r="B610" s="105" t="n"/>
      <c r="C610" s="105" t="n"/>
      <c r="D610" s="95" t="n"/>
      <c r="E610" s="95" t="n"/>
      <c r="F610" s="95" t="n"/>
      <c r="G610" s="92">
        <f>IF(B610="","",IFERROR(INDEX(Roster!$C$6:$C$65,MATCH(B610,Roster!$B$6:$B$65,0)),"not on the Roster"))</f>
        <v/>
      </c>
      <c r="H610" s="95" t="n"/>
    </row>
    <row r="611">
      <c r="A611" s="122" t="n"/>
      <c r="B611" s="105" t="n"/>
      <c r="C611" s="105" t="n"/>
      <c r="D611" s="95" t="n"/>
      <c r="E611" s="95" t="n"/>
      <c r="F611" s="95" t="n"/>
      <c r="G611" s="92">
        <f>IF(B611="","",IFERROR(INDEX(Roster!$C$6:$C$65,MATCH(B611,Roster!$B$6:$B$65,0)),"not on the Roster"))</f>
        <v/>
      </c>
      <c r="H611" s="95" t="n"/>
    </row>
    <row r="612">
      <c r="A612" s="122" t="n"/>
      <c r="B612" s="105" t="n"/>
      <c r="C612" s="105" t="n"/>
      <c r="D612" s="95" t="n"/>
      <c r="E612" s="95" t="n"/>
      <c r="F612" s="95" t="n"/>
      <c r="G612" s="92">
        <f>IF(B612="","",IFERROR(INDEX(Roster!$C$6:$C$65,MATCH(B612,Roster!$B$6:$B$65,0)),"not on the Roster"))</f>
        <v/>
      </c>
      <c r="H612" s="95" t="n"/>
    </row>
    <row r="613">
      <c r="A613" s="122" t="n"/>
      <c r="B613" s="105" t="n"/>
      <c r="C613" s="105" t="n"/>
      <c r="D613" s="95" t="n"/>
      <c r="E613" s="95" t="n"/>
      <c r="F613" s="95" t="n"/>
      <c r="G613" s="92">
        <f>IF(B613="","",IFERROR(INDEX(Roster!$C$6:$C$65,MATCH(B613,Roster!$B$6:$B$65,0)),"not on the Roster"))</f>
        <v/>
      </c>
      <c r="H613" s="95" t="n"/>
    </row>
    <row r="614">
      <c r="A614" s="122" t="n"/>
      <c r="B614" s="105" t="n"/>
      <c r="C614" s="105" t="n"/>
      <c r="D614" s="95" t="n"/>
      <c r="E614" s="95" t="n"/>
      <c r="F614" s="95" t="n"/>
      <c r="G614" s="92">
        <f>IF(B614="","",IFERROR(INDEX(Roster!$C$6:$C$65,MATCH(B614,Roster!$B$6:$B$65,0)),"not on the Roster"))</f>
        <v/>
      </c>
      <c r="H614" s="95" t="n"/>
    </row>
    <row r="615">
      <c r="A615" s="122" t="n"/>
      <c r="B615" s="105" t="n"/>
      <c r="C615" s="105" t="n"/>
      <c r="D615" s="95" t="n"/>
      <c r="E615" s="95" t="n"/>
      <c r="F615" s="95" t="n"/>
      <c r="G615" s="92">
        <f>IF(B615="","",IFERROR(INDEX(Roster!$C$6:$C$65,MATCH(B615,Roster!$B$6:$B$65,0)),"not on the Roster"))</f>
        <v/>
      </c>
      <c r="H615" s="95" t="n"/>
    </row>
    <row r="616">
      <c r="A616" s="122" t="n"/>
      <c r="B616" s="105" t="n"/>
      <c r="C616" s="105" t="n"/>
      <c r="D616" s="95" t="n"/>
      <c r="E616" s="95" t="n"/>
      <c r="F616" s="95" t="n"/>
      <c r="G616" s="92">
        <f>IF(B616="","",IFERROR(INDEX(Roster!$C$6:$C$65,MATCH(B616,Roster!$B$6:$B$65,0)),"not on the Roster"))</f>
        <v/>
      </c>
      <c r="H616" s="95" t="n"/>
    </row>
    <row r="617">
      <c r="A617" s="122" t="n"/>
      <c r="B617" s="105" t="n"/>
      <c r="C617" s="105" t="n"/>
      <c r="D617" s="95" t="n"/>
      <c r="E617" s="95" t="n"/>
      <c r="F617" s="95" t="n"/>
      <c r="G617" s="92">
        <f>IF(B617="","",IFERROR(INDEX(Roster!$C$6:$C$65,MATCH(B617,Roster!$B$6:$B$65,0)),"not on the Roster"))</f>
        <v/>
      </c>
      <c r="H617" s="95" t="n"/>
    </row>
    <row r="618">
      <c r="A618" s="122" t="n"/>
      <c r="B618" s="105" t="n"/>
      <c r="C618" s="105" t="n"/>
      <c r="D618" s="95" t="n"/>
      <c r="E618" s="95" t="n"/>
      <c r="F618" s="95" t="n"/>
      <c r="G618" s="92">
        <f>IF(B618="","",IFERROR(INDEX(Roster!$C$6:$C$65,MATCH(B618,Roster!$B$6:$B$65,0)),"not on the Roster"))</f>
        <v/>
      </c>
      <c r="H618" s="95" t="n"/>
    </row>
    <row r="619">
      <c r="A619" s="122" t="n"/>
      <c r="B619" s="105" t="n"/>
      <c r="C619" s="105" t="n"/>
      <c r="D619" s="95" t="n"/>
      <c r="E619" s="95" t="n"/>
      <c r="F619" s="95" t="n"/>
      <c r="G619" s="92">
        <f>IF(B619="","",IFERROR(INDEX(Roster!$C$6:$C$65,MATCH(B619,Roster!$B$6:$B$65,0)),"not on the Roster"))</f>
        <v/>
      </c>
      <c r="H619" s="95" t="n"/>
    </row>
    <row r="620">
      <c r="A620" s="122" t="n"/>
      <c r="B620" s="105" t="n"/>
      <c r="C620" s="105" t="n"/>
      <c r="D620" s="95" t="n"/>
      <c r="E620" s="95" t="n"/>
      <c r="F620" s="95" t="n"/>
      <c r="G620" s="92">
        <f>IF(B620="","",IFERROR(INDEX(Roster!$C$6:$C$65,MATCH(B620,Roster!$B$6:$B$65,0)),"not on the Roster"))</f>
        <v/>
      </c>
      <c r="H620" s="95" t="n"/>
    </row>
    <row r="621">
      <c r="A621" s="122" t="n"/>
      <c r="B621" s="105" t="n"/>
      <c r="C621" s="105" t="n"/>
      <c r="D621" s="95" t="n"/>
      <c r="E621" s="95" t="n"/>
      <c r="F621" s="95" t="n"/>
      <c r="G621" s="92">
        <f>IF(B621="","",IFERROR(INDEX(Roster!$C$6:$C$65,MATCH(B621,Roster!$B$6:$B$65,0)),"not on the Roster"))</f>
        <v/>
      </c>
      <c r="H621" s="95" t="n"/>
    </row>
    <row r="622">
      <c r="A622" s="122" t="n"/>
      <c r="B622" s="105" t="n"/>
      <c r="C622" s="105" t="n"/>
      <c r="D622" s="95" t="n"/>
      <c r="E622" s="95" t="n"/>
      <c r="F622" s="95" t="n"/>
      <c r="G622" s="92">
        <f>IF(B622="","",IFERROR(INDEX(Roster!$C$6:$C$65,MATCH(B622,Roster!$B$6:$B$65,0)),"not on the Roster"))</f>
        <v/>
      </c>
      <c r="H622" s="95" t="n"/>
    </row>
    <row r="623">
      <c r="A623" s="122" t="n"/>
      <c r="B623" s="105" t="n"/>
      <c r="C623" s="105" t="n"/>
      <c r="D623" s="95" t="n"/>
      <c r="E623" s="95" t="n"/>
      <c r="F623" s="95" t="n"/>
      <c r="G623" s="92">
        <f>IF(B623="","",IFERROR(INDEX(Roster!$C$6:$C$65,MATCH(B623,Roster!$B$6:$B$65,0)),"not on the Roster"))</f>
        <v/>
      </c>
      <c r="H623" s="95" t="n"/>
    </row>
    <row r="624">
      <c r="A624" s="122" t="n"/>
      <c r="B624" s="105" t="n"/>
      <c r="C624" s="105" t="n"/>
      <c r="D624" s="95" t="n"/>
      <c r="E624" s="95" t="n"/>
      <c r="F624" s="95" t="n"/>
      <c r="G624" s="92">
        <f>IF(B624="","",IFERROR(INDEX(Roster!$C$6:$C$65,MATCH(B624,Roster!$B$6:$B$65,0)),"not on the Roster"))</f>
        <v/>
      </c>
      <c r="H624" s="95" t="n"/>
    </row>
    <row r="625">
      <c r="A625" s="122" t="n"/>
      <c r="B625" s="105" t="n"/>
      <c r="C625" s="105" t="n"/>
      <c r="D625" s="95" t="n"/>
      <c r="E625" s="95" t="n"/>
      <c r="F625" s="95" t="n"/>
      <c r="G625" s="92">
        <f>IF(B625="","",IFERROR(INDEX(Roster!$C$6:$C$65,MATCH(B625,Roster!$B$6:$B$65,0)),"not on the Roster"))</f>
        <v/>
      </c>
      <c r="H625" s="95" t="n"/>
    </row>
    <row r="626">
      <c r="A626" s="122" t="n"/>
      <c r="B626" s="105" t="n"/>
      <c r="C626" s="105" t="n"/>
      <c r="D626" s="95" t="n"/>
      <c r="E626" s="95" t="n"/>
      <c r="F626" s="95" t="n"/>
      <c r="G626" s="92">
        <f>IF(B626="","",IFERROR(INDEX(Roster!$C$6:$C$65,MATCH(B626,Roster!$B$6:$B$65,0)),"not on the Roster"))</f>
        <v/>
      </c>
      <c r="H626" s="95" t="n"/>
    </row>
    <row r="627">
      <c r="A627" s="122" t="n"/>
      <c r="B627" s="105" t="n"/>
      <c r="C627" s="105" t="n"/>
      <c r="D627" s="95" t="n"/>
      <c r="E627" s="95" t="n"/>
      <c r="F627" s="95" t="n"/>
      <c r="G627" s="92">
        <f>IF(B627="","",IFERROR(INDEX(Roster!$C$6:$C$65,MATCH(B627,Roster!$B$6:$B$65,0)),"not on the Roster"))</f>
        <v/>
      </c>
      <c r="H627" s="95" t="n"/>
    </row>
    <row r="628">
      <c r="A628" s="122" t="n"/>
      <c r="B628" s="105" t="n"/>
      <c r="C628" s="105" t="n"/>
      <c r="D628" s="95" t="n"/>
      <c r="E628" s="95" t="n"/>
      <c r="F628" s="95" t="n"/>
      <c r="G628" s="92">
        <f>IF(B628="","",IFERROR(INDEX(Roster!$C$6:$C$65,MATCH(B628,Roster!$B$6:$B$65,0)),"not on the Roster"))</f>
        <v/>
      </c>
      <c r="H628" s="95" t="n"/>
    </row>
    <row r="629">
      <c r="A629" s="122" t="n"/>
      <c r="B629" s="105" t="n"/>
      <c r="C629" s="105" t="n"/>
      <c r="D629" s="95" t="n"/>
      <c r="E629" s="95" t="n"/>
      <c r="F629" s="95" t="n"/>
      <c r="G629" s="92">
        <f>IF(B629="","",IFERROR(INDEX(Roster!$C$6:$C$65,MATCH(B629,Roster!$B$6:$B$65,0)),"not on the Roster"))</f>
        <v/>
      </c>
      <c r="H629" s="95" t="n"/>
    </row>
    <row r="630">
      <c r="A630" s="122" t="n"/>
      <c r="B630" s="105" t="n"/>
      <c r="C630" s="105" t="n"/>
      <c r="D630" s="95" t="n"/>
      <c r="E630" s="95" t="n"/>
      <c r="F630" s="95" t="n"/>
      <c r="G630" s="92">
        <f>IF(B630="","",IFERROR(INDEX(Roster!$C$6:$C$65,MATCH(B630,Roster!$B$6:$B$65,0)),"not on the Roster"))</f>
        <v/>
      </c>
      <c r="H630" s="95" t="n"/>
    </row>
    <row r="631">
      <c r="A631" s="122" t="n"/>
      <c r="B631" s="105" t="n"/>
      <c r="C631" s="105" t="n"/>
      <c r="D631" s="95" t="n"/>
      <c r="E631" s="95" t="n"/>
      <c r="F631" s="95" t="n"/>
      <c r="G631" s="92">
        <f>IF(B631="","",IFERROR(INDEX(Roster!$C$6:$C$65,MATCH(B631,Roster!$B$6:$B$65,0)),"not on the Roster"))</f>
        <v/>
      </c>
      <c r="H631" s="95" t="n"/>
    </row>
    <row r="632">
      <c r="A632" s="122" t="n"/>
      <c r="B632" s="105" t="n"/>
      <c r="C632" s="105" t="n"/>
      <c r="D632" s="95" t="n"/>
      <c r="E632" s="95" t="n"/>
      <c r="F632" s="95" t="n"/>
      <c r="G632" s="92">
        <f>IF(B632="","",IFERROR(INDEX(Roster!$C$6:$C$65,MATCH(B632,Roster!$B$6:$B$65,0)),"not on the Roster"))</f>
        <v/>
      </c>
      <c r="H632" s="95" t="n"/>
    </row>
    <row r="633">
      <c r="A633" s="122" t="n"/>
      <c r="B633" s="105" t="n"/>
      <c r="C633" s="105" t="n"/>
      <c r="D633" s="95" t="n"/>
      <c r="E633" s="95" t="n"/>
      <c r="F633" s="95" t="n"/>
      <c r="G633" s="92">
        <f>IF(B633="","",IFERROR(INDEX(Roster!$C$6:$C$65,MATCH(B633,Roster!$B$6:$B$65,0)),"not on the Roster"))</f>
        <v/>
      </c>
      <c r="H633" s="95" t="n"/>
    </row>
    <row r="634">
      <c r="A634" s="122" t="n"/>
      <c r="B634" s="105" t="n"/>
      <c r="C634" s="105" t="n"/>
      <c r="D634" s="95" t="n"/>
      <c r="E634" s="95" t="n"/>
      <c r="F634" s="95" t="n"/>
      <c r="G634" s="92">
        <f>IF(B634="","",IFERROR(INDEX(Roster!$C$6:$C$65,MATCH(B634,Roster!$B$6:$B$65,0)),"not on the Roster"))</f>
        <v/>
      </c>
      <c r="H634" s="95" t="n"/>
    </row>
    <row r="635">
      <c r="A635" s="122" t="n"/>
      <c r="B635" s="105" t="n"/>
      <c r="C635" s="105" t="n"/>
      <c r="D635" s="95" t="n"/>
      <c r="E635" s="95" t="n"/>
      <c r="F635" s="95" t="n"/>
      <c r="G635" s="92">
        <f>IF(B635="","",IFERROR(INDEX(Roster!$C$6:$C$65,MATCH(B635,Roster!$B$6:$B$65,0)),"not on the Roster"))</f>
        <v/>
      </c>
      <c r="H635" s="95" t="n"/>
    </row>
    <row r="636">
      <c r="A636" s="122" t="n"/>
      <c r="B636" s="105" t="n"/>
      <c r="C636" s="105" t="n"/>
      <c r="D636" s="95" t="n"/>
      <c r="E636" s="95" t="n"/>
      <c r="F636" s="95" t="n"/>
      <c r="G636" s="92">
        <f>IF(B636="","",IFERROR(INDEX(Roster!$C$6:$C$65,MATCH(B636,Roster!$B$6:$B$65,0)),"not on the Roster"))</f>
        <v/>
      </c>
      <c r="H636" s="95" t="n"/>
    </row>
    <row r="637">
      <c r="A637" s="122" t="n"/>
      <c r="B637" s="105" t="n"/>
      <c r="C637" s="105" t="n"/>
      <c r="D637" s="95" t="n"/>
      <c r="E637" s="95" t="n"/>
      <c r="F637" s="95" t="n"/>
      <c r="G637" s="92">
        <f>IF(B637="","",IFERROR(INDEX(Roster!$C$6:$C$65,MATCH(B637,Roster!$B$6:$B$65,0)),"not on the Roster"))</f>
        <v/>
      </c>
      <c r="H637" s="95" t="n"/>
    </row>
    <row r="638">
      <c r="A638" s="122" t="n"/>
      <c r="B638" s="105" t="n"/>
      <c r="C638" s="105" t="n"/>
      <c r="D638" s="95" t="n"/>
      <c r="E638" s="95" t="n"/>
      <c r="F638" s="95" t="n"/>
      <c r="G638" s="92">
        <f>IF(B638="","",IFERROR(INDEX(Roster!$C$6:$C$65,MATCH(B638,Roster!$B$6:$B$65,0)),"not on the Roster"))</f>
        <v/>
      </c>
      <c r="H638" s="95" t="n"/>
    </row>
    <row r="639">
      <c r="A639" s="122" t="n"/>
      <c r="B639" s="105" t="n"/>
      <c r="C639" s="105" t="n"/>
      <c r="D639" s="95" t="n"/>
      <c r="E639" s="95" t="n"/>
      <c r="F639" s="95" t="n"/>
      <c r="G639" s="92">
        <f>IF(B639="","",IFERROR(INDEX(Roster!$C$6:$C$65,MATCH(B639,Roster!$B$6:$B$65,0)),"not on the Roster"))</f>
        <v/>
      </c>
      <c r="H639" s="95" t="n"/>
    </row>
    <row r="640">
      <c r="A640" s="122" t="n"/>
      <c r="B640" s="105" t="n"/>
      <c r="C640" s="105" t="n"/>
      <c r="D640" s="95" t="n"/>
      <c r="E640" s="95" t="n"/>
      <c r="F640" s="95" t="n"/>
      <c r="G640" s="92">
        <f>IF(B640="","",IFERROR(INDEX(Roster!$C$6:$C$65,MATCH(B640,Roster!$B$6:$B$65,0)),"not on the Roster"))</f>
        <v/>
      </c>
      <c r="H640" s="95" t="n"/>
    </row>
    <row r="641">
      <c r="A641" s="122" t="n"/>
      <c r="B641" s="105" t="n"/>
      <c r="C641" s="105" t="n"/>
      <c r="D641" s="95" t="n"/>
      <c r="E641" s="95" t="n"/>
      <c r="F641" s="95" t="n"/>
      <c r="G641" s="92">
        <f>IF(B641="","",IFERROR(INDEX(Roster!$C$6:$C$65,MATCH(B641,Roster!$B$6:$B$65,0)),"not on the Roster"))</f>
        <v/>
      </c>
      <c r="H641" s="95" t="n"/>
    </row>
    <row r="642">
      <c r="A642" s="122" t="n"/>
      <c r="B642" s="105" t="n"/>
      <c r="C642" s="105" t="n"/>
      <c r="D642" s="95" t="n"/>
      <c r="E642" s="95" t="n"/>
      <c r="F642" s="95" t="n"/>
      <c r="G642" s="92">
        <f>IF(B642="","",IFERROR(INDEX(Roster!$C$6:$C$65,MATCH(B642,Roster!$B$6:$B$65,0)),"not on the Roster"))</f>
        <v/>
      </c>
      <c r="H642" s="95" t="n"/>
    </row>
    <row r="643">
      <c r="A643" s="122" t="n"/>
      <c r="B643" s="105" t="n"/>
      <c r="C643" s="105" t="n"/>
      <c r="D643" s="95" t="n"/>
      <c r="E643" s="95" t="n"/>
      <c r="F643" s="95" t="n"/>
      <c r="G643" s="92">
        <f>IF(B643="","",IFERROR(INDEX(Roster!$C$6:$C$65,MATCH(B643,Roster!$B$6:$B$65,0)),"not on the Roster"))</f>
        <v/>
      </c>
      <c r="H643" s="95" t="n"/>
    </row>
    <row r="644">
      <c r="A644" s="122" t="n"/>
      <c r="B644" s="105" t="n"/>
      <c r="C644" s="105" t="n"/>
      <c r="D644" s="95" t="n"/>
      <c r="E644" s="95" t="n"/>
      <c r="F644" s="95" t="n"/>
      <c r="G644" s="92">
        <f>IF(B644="","",IFERROR(INDEX(Roster!$C$6:$C$65,MATCH(B644,Roster!$B$6:$B$65,0)),"not on the Roster"))</f>
        <v/>
      </c>
      <c r="H644" s="95" t="n"/>
    </row>
    <row r="645">
      <c r="A645" s="122" t="n"/>
      <c r="B645" s="105" t="n"/>
      <c r="C645" s="105" t="n"/>
      <c r="D645" s="95" t="n"/>
      <c r="E645" s="95" t="n"/>
      <c r="F645" s="95" t="n"/>
      <c r="G645" s="92">
        <f>IF(B645="","",IFERROR(INDEX(Roster!$C$6:$C$65,MATCH(B645,Roster!$B$6:$B$65,0)),"not on the Roster"))</f>
        <v/>
      </c>
      <c r="H645" s="95" t="n"/>
    </row>
    <row r="646">
      <c r="A646" s="122" t="n"/>
      <c r="B646" s="105" t="n"/>
      <c r="C646" s="105" t="n"/>
      <c r="D646" s="95" t="n"/>
      <c r="E646" s="95" t="n"/>
      <c r="F646" s="95" t="n"/>
      <c r="G646" s="92">
        <f>IF(B646="","",IFERROR(INDEX(Roster!$C$6:$C$65,MATCH(B646,Roster!$B$6:$B$65,0)),"not on the Roster"))</f>
        <v/>
      </c>
      <c r="H646" s="95" t="n"/>
    </row>
    <row r="647">
      <c r="A647" s="122" t="n"/>
      <c r="B647" s="105" t="n"/>
      <c r="C647" s="105" t="n"/>
      <c r="D647" s="95" t="n"/>
      <c r="E647" s="95" t="n"/>
      <c r="F647" s="95" t="n"/>
      <c r="G647" s="92">
        <f>IF(B647="","",IFERROR(INDEX(Roster!$C$6:$C$65,MATCH(B647,Roster!$B$6:$B$65,0)),"not on the Roster"))</f>
        <v/>
      </c>
      <c r="H647" s="95" t="n"/>
    </row>
    <row r="648">
      <c r="A648" s="122" t="n"/>
      <c r="B648" s="105" t="n"/>
      <c r="C648" s="105" t="n"/>
      <c r="D648" s="95" t="n"/>
      <c r="E648" s="95" t="n"/>
      <c r="F648" s="95" t="n"/>
      <c r="G648" s="92">
        <f>IF(B648="","",IFERROR(INDEX(Roster!$C$6:$C$65,MATCH(B648,Roster!$B$6:$B$65,0)),"not on the Roster"))</f>
        <v/>
      </c>
      <c r="H648" s="95" t="n"/>
    </row>
    <row r="649">
      <c r="A649" s="122" t="n"/>
      <c r="B649" s="105" t="n"/>
      <c r="C649" s="105" t="n"/>
      <c r="D649" s="95" t="n"/>
      <c r="E649" s="95" t="n"/>
      <c r="F649" s="95" t="n"/>
      <c r="G649" s="92">
        <f>IF(B649="","",IFERROR(INDEX(Roster!$C$6:$C$65,MATCH(B649,Roster!$B$6:$B$65,0)),"not on the Roster"))</f>
        <v/>
      </c>
      <c r="H649" s="95" t="n"/>
    </row>
    <row r="650">
      <c r="A650" s="122" t="n"/>
      <c r="B650" s="105" t="n"/>
      <c r="C650" s="105" t="n"/>
      <c r="D650" s="95" t="n"/>
      <c r="E650" s="95" t="n"/>
      <c r="F650" s="95" t="n"/>
      <c r="G650" s="92">
        <f>IF(B650="","",IFERROR(INDEX(Roster!$C$6:$C$65,MATCH(B650,Roster!$B$6:$B$65,0)),"not on the Roster"))</f>
        <v/>
      </c>
      <c r="H650" s="95" t="n"/>
    </row>
    <row r="651">
      <c r="A651" s="122" t="n"/>
      <c r="B651" s="105" t="n"/>
      <c r="C651" s="105" t="n"/>
      <c r="D651" s="95" t="n"/>
      <c r="E651" s="95" t="n"/>
      <c r="F651" s="95" t="n"/>
      <c r="G651" s="92">
        <f>IF(B651="","",IFERROR(INDEX(Roster!$C$6:$C$65,MATCH(B651,Roster!$B$6:$B$65,0)),"not on the Roster"))</f>
        <v/>
      </c>
      <c r="H651" s="95" t="n"/>
    </row>
    <row r="652">
      <c r="A652" s="122" t="n"/>
      <c r="B652" s="105" t="n"/>
      <c r="C652" s="105" t="n"/>
      <c r="D652" s="95" t="n"/>
      <c r="E652" s="95" t="n"/>
      <c r="F652" s="95" t="n"/>
      <c r="G652" s="92">
        <f>IF(B652="","",IFERROR(INDEX(Roster!$C$6:$C$65,MATCH(B652,Roster!$B$6:$B$65,0)),"not on the Roster"))</f>
        <v/>
      </c>
      <c r="H652" s="95" t="n"/>
    </row>
    <row r="653">
      <c r="A653" s="122" t="n"/>
      <c r="B653" s="105" t="n"/>
      <c r="C653" s="105" t="n"/>
      <c r="D653" s="95" t="n"/>
      <c r="E653" s="95" t="n"/>
      <c r="F653" s="95" t="n"/>
      <c r="G653" s="92">
        <f>IF(B653="","",IFERROR(INDEX(Roster!$C$6:$C$65,MATCH(B653,Roster!$B$6:$B$65,0)),"not on the Roster"))</f>
        <v/>
      </c>
      <c r="H653" s="95" t="n"/>
    </row>
    <row r="654">
      <c r="A654" s="122" t="n"/>
      <c r="B654" s="105" t="n"/>
      <c r="C654" s="105" t="n"/>
      <c r="D654" s="95" t="n"/>
      <c r="E654" s="95" t="n"/>
      <c r="F654" s="95" t="n"/>
      <c r="G654" s="92">
        <f>IF(B654="","",IFERROR(INDEX(Roster!$C$6:$C$65,MATCH(B654,Roster!$B$6:$B$65,0)),"not on the Roster"))</f>
        <v/>
      </c>
      <c r="H654" s="95" t="n"/>
    </row>
    <row r="655">
      <c r="A655" s="122" t="n"/>
      <c r="B655" s="105" t="n"/>
      <c r="C655" s="105" t="n"/>
      <c r="D655" s="95" t="n"/>
      <c r="E655" s="95" t="n"/>
      <c r="F655" s="95" t="n"/>
      <c r="G655" s="92">
        <f>IF(B655="","",IFERROR(INDEX(Roster!$C$6:$C$65,MATCH(B655,Roster!$B$6:$B$65,0)),"not on the Roster"))</f>
        <v/>
      </c>
      <c r="H655" s="95" t="n"/>
    </row>
    <row r="656">
      <c r="A656" s="122" t="n"/>
      <c r="B656" s="105" t="n"/>
      <c r="C656" s="105" t="n"/>
      <c r="D656" s="95" t="n"/>
      <c r="E656" s="95" t="n"/>
      <c r="F656" s="95" t="n"/>
      <c r="G656" s="92">
        <f>IF(B656="","",IFERROR(INDEX(Roster!$C$6:$C$65,MATCH(B656,Roster!$B$6:$B$65,0)),"not on the Roster"))</f>
        <v/>
      </c>
      <c r="H656" s="95" t="n"/>
    </row>
    <row r="657">
      <c r="A657" s="122" t="n"/>
      <c r="B657" s="105" t="n"/>
      <c r="C657" s="105" t="n"/>
      <c r="D657" s="95" t="n"/>
      <c r="E657" s="95" t="n"/>
      <c r="F657" s="95" t="n"/>
      <c r="G657" s="92">
        <f>IF(B657="","",IFERROR(INDEX(Roster!$C$6:$C$65,MATCH(B657,Roster!$B$6:$B$65,0)),"not on the Roster"))</f>
        <v/>
      </c>
      <c r="H657" s="95" t="n"/>
    </row>
    <row r="658">
      <c r="A658" s="122" t="n"/>
      <c r="B658" s="105" t="n"/>
      <c r="C658" s="105" t="n"/>
      <c r="D658" s="95" t="n"/>
      <c r="E658" s="95" t="n"/>
      <c r="F658" s="95" t="n"/>
      <c r="G658" s="92">
        <f>IF(B658="","",IFERROR(INDEX(Roster!$C$6:$C$65,MATCH(B658,Roster!$B$6:$B$65,0)),"not on the Roster"))</f>
        <v/>
      </c>
      <c r="H658" s="95" t="n"/>
    </row>
    <row r="659">
      <c r="A659" s="122" t="n"/>
      <c r="B659" s="105" t="n"/>
      <c r="C659" s="105" t="n"/>
      <c r="D659" s="95" t="n"/>
      <c r="E659" s="95" t="n"/>
      <c r="F659" s="95" t="n"/>
      <c r="G659" s="92">
        <f>IF(B659="","",IFERROR(INDEX(Roster!$C$6:$C$65,MATCH(B659,Roster!$B$6:$B$65,0)),"not on the Roster"))</f>
        <v/>
      </c>
      <c r="H659" s="95" t="n"/>
    </row>
    <row r="660">
      <c r="A660" s="122" t="n"/>
      <c r="B660" s="105" t="n"/>
      <c r="C660" s="105" t="n"/>
      <c r="D660" s="95" t="n"/>
      <c r="E660" s="95" t="n"/>
      <c r="F660" s="95" t="n"/>
      <c r="G660" s="92">
        <f>IF(B660="","",IFERROR(INDEX(Roster!$C$6:$C$65,MATCH(B660,Roster!$B$6:$B$65,0)),"not on the Roster"))</f>
        <v/>
      </c>
      <c r="H660" s="95" t="n"/>
    </row>
    <row r="661">
      <c r="A661" s="122" t="n"/>
      <c r="B661" s="105" t="n"/>
      <c r="C661" s="105" t="n"/>
      <c r="D661" s="95" t="n"/>
      <c r="E661" s="95" t="n"/>
      <c r="F661" s="95" t="n"/>
      <c r="G661" s="92">
        <f>IF(B661="","",IFERROR(INDEX(Roster!$C$6:$C$65,MATCH(B661,Roster!$B$6:$B$65,0)),"not on the Roster"))</f>
        <v/>
      </c>
      <c r="H661" s="95" t="n"/>
    </row>
    <row r="662">
      <c r="A662" s="122" t="n"/>
      <c r="B662" s="105" t="n"/>
      <c r="C662" s="105" t="n"/>
      <c r="D662" s="95" t="n"/>
      <c r="E662" s="95" t="n"/>
      <c r="F662" s="95" t="n"/>
      <c r="G662" s="92">
        <f>IF(B662="","",IFERROR(INDEX(Roster!$C$6:$C$65,MATCH(B662,Roster!$B$6:$B$65,0)),"not on the Roster"))</f>
        <v/>
      </c>
      <c r="H662" s="95" t="n"/>
    </row>
    <row r="663">
      <c r="A663" s="122" t="n"/>
      <c r="B663" s="105" t="n"/>
      <c r="C663" s="105" t="n"/>
      <c r="D663" s="95" t="n"/>
      <c r="E663" s="95" t="n"/>
      <c r="F663" s="95" t="n"/>
      <c r="G663" s="92">
        <f>IF(B663="","",IFERROR(INDEX(Roster!$C$6:$C$65,MATCH(B663,Roster!$B$6:$B$65,0)),"not on the Roster"))</f>
        <v/>
      </c>
      <c r="H663" s="95" t="n"/>
    </row>
    <row r="664">
      <c r="A664" s="122" t="n"/>
      <c r="B664" s="105" t="n"/>
      <c r="C664" s="105" t="n"/>
      <c r="D664" s="95" t="n"/>
      <c r="E664" s="95" t="n"/>
      <c r="F664" s="95" t="n"/>
      <c r="G664" s="92">
        <f>IF(B664="","",IFERROR(INDEX(Roster!$C$6:$C$65,MATCH(B664,Roster!$B$6:$B$65,0)),"not on the Roster"))</f>
        <v/>
      </c>
      <c r="H664" s="95" t="n"/>
    </row>
    <row r="665">
      <c r="A665" s="122" t="n"/>
      <c r="B665" s="105" t="n"/>
      <c r="C665" s="105" t="n"/>
      <c r="D665" s="95" t="n"/>
      <c r="E665" s="95" t="n"/>
      <c r="F665" s="95" t="n"/>
      <c r="G665" s="92">
        <f>IF(B665="","",IFERROR(INDEX(Roster!$C$6:$C$65,MATCH(B665,Roster!$B$6:$B$65,0)),"not on the Roster"))</f>
        <v/>
      </c>
      <c r="H665" s="95" t="n"/>
    </row>
    <row r="666">
      <c r="A666" s="122" t="n"/>
      <c r="B666" s="105" t="n"/>
      <c r="C666" s="105" t="n"/>
      <c r="D666" s="95" t="n"/>
      <c r="E666" s="95" t="n"/>
      <c r="F666" s="95" t="n"/>
      <c r="G666" s="92">
        <f>IF(B666="","",IFERROR(INDEX(Roster!$C$6:$C$65,MATCH(B666,Roster!$B$6:$B$65,0)),"not on the Roster"))</f>
        <v/>
      </c>
      <c r="H666" s="95" t="n"/>
    </row>
    <row r="667">
      <c r="A667" s="122" t="n"/>
      <c r="B667" s="105" t="n"/>
      <c r="C667" s="105" t="n"/>
      <c r="D667" s="95" t="n"/>
      <c r="E667" s="95" t="n"/>
      <c r="F667" s="95" t="n"/>
      <c r="G667" s="92">
        <f>IF(B667="","",IFERROR(INDEX(Roster!$C$6:$C$65,MATCH(B667,Roster!$B$6:$B$65,0)),"not on the Roster"))</f>
        <v/>
      </c>
      <c r="H667" s="95" t="n"/>
    </row>
    <row r="668">
      <c r="A668" s="122" t="n"/>
      <c r="B668" s="105" t="n"/>
      <c r="C668" s="105" t="n"/>
      <c r="D668" s="95" t="n"/>
      <c r="E668" s="95" t="n"/>
      <c r="F668" s="95" t="n"/>
      <c r="G668" s="92">
        <f>IF(B668="","",IFERROR(INDEX(Roster!$C$6:$C$65,MATCH(B668,Roster!$B$6:$B$65,0)),"not on the Roster"))</f>
        <v/>
      </c>
      <c r="H668" s="95" t="n"/>
    </row>
    <row r="669">
      <c r="A669" s="122" t="n"/>
      <c r="B669" s="105" t="n"/>
      <c r="C669" s="105" t="n"/>
      <c r="D669" s="95" t="n"/>
      <c r="E669" s="95" t="n"/>
      <c r="F669" s="95" t="n"/>
      <c r="G669" s="92">
        <f>IF(B669="","",IFERROR(INDEX(Roster!$C$6:$C$65,MATCH(B669,Roster!$B$6:$B$65,0)),"not on the Roster"))</f>
        <v/>
      </c>
      <c r="H669" s="95" t="n"/>
    </row>
    <row r="670">
      <c r="A670" s="122" t="n"/>
      <c r="B670" s="105" t="n"/>
      <c r="C670" s="105" t="n"/>
      <c r="D670" s="95" t="n"/>
      <c r="E670" s="95" t="n"/>
      <c r="F670" s="95" t="n"/>
      <c r="G670" s="92">
        <f>IF(B670="","",IFERROR(INDEX(Roster!$C$6:$C$65,MATCH(B670,Roster!$B$6:$B$65,0)),"not on the Roster"))</f>
        <v/>
      </c>
      <c r="H670" s="95" t="n"/>
    </row>
    <row r="671">
      <c r="A671" s="122" t="n"/>
      <c r="B671" s="105" t="n"/>
      <c r="C671" s="105" t="n"/>
      <c r="D671" s="95" t="n"/>
      <c r="E671" s="95" t="n"/>
      <c r="F671" s="95" t="n"/>
      <c r="G671" s="92">
        <f>IF(B671="","",IFERROR(INDEX(Roster!$C$6:$C$65,MATCH(B671,Roster!$B$6:$B$65,0)),"not on the Roster"))</f>
        <v/>
      </c>
      <c r="H671" s="95" t="n"/>
    </row>
    <row r="672">
      <c r="A672" s="122" t="n"/>
      <c r="B672" s="105" t="n"/>
      <c r="C672" s="105" t="n"/>
      <c r="D672" s="95" t="n"/>
      <c r="E672" s="95" t="n"/>
      <c r="F672" s="95" t="n"/>
      <c r="G672" s="92">
        <f>IF(B672="","",IFERROR(INDEX(Roster!$C$6:$C$65,MATCH(B672,Roster!$B$6:$B$65,0)),"not on the Roster"))</f>
        <v/>
      </c>
      <c r="H672" s="95" t="n"/>
    </row>
    <row r="673">
      <c r="A673" s="122" t="n"/>
      <c r="B673" s="105" t="n"/>
      <c r="C673" s="105" t="n"/>
      <c r="D673" s="95" t="n"/>
      <c r="E673" s="95" t="n"/>
      <c r="F673" s="95" t="n"/>
      <c r="G673" s="92">
        <f>IF(B673="","",IFERROR(INDEX(Roster!$C$6:$C$65,MATCH(B673,Roster!$B$6:$B$65,0)),"not on the Roster"))</f>
        <v/>
      </c>
      <c r="H673" s="95" t="n"/>
    </row>
    <row r="674">
      <c r="A674" s="122" t="n"/>
      <c r="B674" s="105" t="n"/>
      <c r="C674" s="105" t="n"/>
      <c r="D674" s="95" t="n"/>
      <c r="E674" s="95" t="n"/>
      <c r="F674" s="95" t="n"/>
      <c r="G674" s="92">
        <f>IF(B674="","",IFERROR(INDEX(Roster!$C$6:$C$65,MATCH(B674,Roster!$B$6:$B$65,0)),"not on the Roster"))</f>
        <v/>
      </c>
      <c r="H674" s="95" t="n"/>
    </row>
    <row r="675">
      <c r="A675" s="122" t="n"/>
      <c r="B675" s="105" t="n"/>
      <c r="C675" s="105" t="n"/>
      <c r="D675" s="95" t="n"/>
      <c r="E675" s="95" t="n"/>
      <c r="F675" s="95" t="n"/>
      <c r="G675" s="92">
        <f>IF(B675="","",IFERROR(INDEX(Roster!$C$6:$C$65,MATCH(B675,Roster!$B$6:$B$65,0)),"not on the Roster"))</f>
        <v/>
      </c>
      <c r="H675" s="95" t="n"/>
    </row>
    <row r="676">
      <c r="A676" s="122" t="n"/>
      <c r="B676" s="105" t="n"/>
      <c r="C676" s="105" t="n"/>
      <c r="D676" s="95" t="n"/>
      <c r="E676" s="95" t="n"/>
      <c r="F676" s="95" t="n"/>
      <c r="G676" s="92">
        <f>IF(B676="","",IFERROR(INDEX(Roster!$C$6:$C$65,MATCH(B676,Roster!$B$6:$B$65,0)),"not on the Roster"))</f>
        <v/>
      </c>
      <c r="H676" s="95" t="n"/>
    </row>
    <row r="677">
      <c r="A677" s="122" t="n"/>
      <c r="B677" s="105" t="n"/>
      <c r="C677" s="105" t="n"/>
      <c r="D677" s="95" t="n"/>
      <c r="E677" s="95" t="n"/>
      <c r="F677" s="95" t="n"/>
      <c r="G677" s="92">
        <f>IF(B677="","",IFERROR(INDEX(Roster!$C$6:$C$65,MATCH(B677,Roster!$B$6:$B$65,0)),"not on the Roster"))</f>
        <v/>
      </c>
      <c r="H677" s="95" t="n"/>
    </row>
    <row r="678">
      <c r="A678" s="122" t="n"/>
      <c r="B678" s="105" t="n"/>
      <c r="C678" s="105" t="n"/>
      <c r="D678" s="95" t="n"/>
      <c r="E678" s="95" t="n"/>
      <c r="F678" s="95" t="n"/>
      <c r="G678" s="92">
        <f>IF(B678="","",IFERROR(INDEX(Roster!$C$6:$C$65,MATCH(B678,Roster!$B$6:$B$65,0)),"not on the Roster"))</f>
        <v/>
      </c>
      <c r="H678" s="95" t="n"/>
    </row>
    <row r="679">
      <c r="A679" s="122" t="n"/>
      <c r="B679" s="105" t="n"/>
      <c r="C679" s="105" t="n"/>
      <c r="D679" s="95" t="n"/>
      <c r="E679" s="95" t="n"/>
      <c r="F679" s="95" t="n"/>
      <c r="G679" s="92">
        <f>IF(B679="","",IFERROR(INDEX(Roster!$C$6:$C$65,MATCH(B679,Roster!$B$6:$B$65,0)),"not on the Roster"))</f>
        <v/>
      </c>
      <c r="H679" s="95" t="n"/>
    </row>
    <row r="680">
      <c r="A680" s="122" t="n"/>
      <c r="B680" s="105" t="n"/>
      <c r="C680" s="105" t="n"/>
      <c r="D680" s="95" t="n"/>
      <c r="E680" s="95" t="n"/>
      <c r="F680" s="95" t="n"/>
      <c r="G680" s="92">
        <f>IF(B680="","",IFERROR(INDEX(Roster!$C$6:$C$65,MATCH(B680,Roster!$B$6:$B$65,0)),"not on the Roster"))</f>
        <v/>
      </c>
      <c r="H680" s="95" t="n"/>
    </row>
    <row r="681">
      <c r="A681" s="122" t="n"/>
      <c r="B681" s="105" t="n"/>
      <c r="C681" s="105" t="n"/>
      <c r="D681" s="95" t="n"/>
      <c r="E681" s="95" t="n"/>
      <c r="F681" s="95" t="n"/>
      <c r="G681" s="92">
        <f>IF(B681="","",IFERROR(INDEX(Roster!$C$6:$C$65,MATCH(B681,Roster!$B$6:$B$65,0)),"not on the Roster"))</f>
        <v/>
      </c>
      <c r="H681" s="95" t="n"/>
    </row>
    <row r="682">
      <c r="A682" s="122" t="n"/>
      <c r="B682" s="105" t="n"/>
      <c r="C682" s="105" t="n"/>
      <c r="D682" s="95" t="n"/>
      <c r="E682" s="95" t="n"/>
      <c r="F682" s="95" t="n"/>
      <c r="G682" s="92">
        <f>IF(B682="","",IFERROR(INDEX(Roster!$C$6:$C$65,MATCH(B682,Roster!$B$6:$B$65,0)),"not on the Roster"))</f>
        <v/>
      </c>
      <c r="H682" s="95" t="n"/>
    </row>
    <row r="683">
      <c r="A683" s="122" t="n"/>
      <c r="B683" s="105" t="n"/>
      <c r="C683" s="105" t="n"/>
      <c r="D683" s="95" t="n"/>
      <c r="E683" s="95" t="n"/>
      <c r="F683" s="95" t="n"/>
      <c r="G683" s="92">
        <f>IF(B683="","",IFERROR(INDEX(Roster!$C$6:$C$65,MATCH(B683,Roster!$B$6:$B$65,0)),"not on the Roster"))</f>
        <v/>
      </c>
      <c r="H683" s="95" t="n"/>
    </row>
    <row r="684">
      <c r="A684" s="122" t="n"/>
      <c r="B684" s="105" t="n"/>
      <c r="C684" s="105" t="n"/>
      <c r="D684" s="95" t="n"/>
      <c r="E684" s="95" t="n"/>
      <c r="F684" s="95" t="n"/>
      <c r="G684" s="92">
        <f>IF(B684="","",IFERROR(INDEX(Roster!$C$6:$C$65,MATCH(B684,Roster!$B$6:$B$65,0)),"not on the Roster"))</f>
        <v/>
      </c>
      <c r="H684" s="95" t="n"/>
    </row>
    <row r="685">
      <c r="A685" s="122" t="n"/>
      <c r="B685" s="105" t="n"/>
      <c r="C685" s="105" t="n"/>
      <c r="D685" s="95" t="n"/>
      <c r="E685" s="95" t="n"/>
      <c r="F685" s="95" t="n"/>
      <c r="G685" s="92">
        <f>IF(B685="","",IFERROR(INDEX(Roster!$C$6:$C$65,MATCH(B685,Roster!$B$6:$B$65,0)),"not on the Roster"))</f>
        <v/>
      </c>
      <c r="H685" s="95" t="n"/>
    </row>
    <row r="686">
      <c r="A686" s="122" t="n"/>
      <c r="B686" s="105" t="n"/>
      <c r="C686" s="105" t="n"/>
      <c r="D686" s="95" t="n"/>
      <c r="E686" s="95" t="n"/>
      <c r="F686" s="95" t="n"/>
      <c r="G686" s="92">
        <f>IF(B686="","",IFERROR(INDEX(Roster!$C$6:$C$65,MATCH(B686,Roster!$B$6:$B$65,0)),"not on the Roster"))</f>
        <v/>
      </c>
      <c r="H686" s="95" t="n"/>
    </row>
    <row r="687">
      <c r="A687" s="122" t="n"/>
      <c r="B687" s="105" t="n"/>
      <c r="C687" s="105" t="n"/>
      <c r="D687" s="95" t="n"/>
      <c r="E687" s="95" t="n"/>
      <c r="F687" s="95" t="n"/>
      <c r="G687" s="92">
        <f>IF(B687="","",IFERROR(INDEX(Roster!$C$6:$C$65,MATCH(B687,Roster!$B$6:$B$65,0)),"not on the Roster"))</f>
        <v/>
      </c>
      <c r="H687" s="95" t="n"/>
    </row>
    <row r="688">
      <c r="A688" s="122" t="n"/>
      <c r="B688" s="105" t="n"/>
      <c r="C688" s="105" t="n"/>
      <c r="D688" s="95" t="n"/>
      <c r="E688" s="95" t="n"/>
      <c r="F688" s="95" t="n"/>
      <c r="G688" s="92">
        <f>IF(B688="","",IFERROR(INDEX(Roster!$C$6:$C$65,MATCH(B688,Roster!$B$6:$B$65,0)),"not on the Roster"))</f>
        <v/>
      </c>
      <c r="H688" s="95" t="n"/>
    </row>
    <row r="689">
      <c r="A689" s="122" t="n"/>
      <c r="B689" s="105" t="n"/>
      <c r="C689" s="105" t="n"/>
      <c r="D689" s="95" t="n"/>
      <c r="E689" s="95" t="n"/>
      <c r="F689" s="95" t="n"/>
      <c r="G689" s="92">
        <f>IF(B689="","",IFERROR(INDEX(Roster!$C$6:$C$65,MATCH(B689,Roster!$B$6:$B$65,0)),"not on the Roster"))</f>
        <v/>
      </c>
      <c r="H689" s="95" t="n"/>
    </row>
    <row r="690">
      <c r="A690" s="122" t="n"/>
      <c r="B690" s="105" t="n"/>
      <c r="C690" s="105" t="n"/>
      <c r="D690" s="95" t="n"/>
      <c r="E690" s="95" t="n"/>
      <c r="F690" s="95" t="n"/>
      <c r="G690" s="92">
        <f>IF(B690="","",IFERROR(INDEX(Roster!$C$6:$C$65,MATCH(B690,Roster!$B$6:$B$65,0)),"not on the Roster"))</f>
        <v/>
      </c>
      <c r="H690" s="95" t="n"/>
    </row>
    <row r="691">
      <c r="A691" s="122" t="n"/>
      <c r="B691" s="105" t="n"/>
      <c r="C691" s="105" t="n"/>
      <c r="D691" s="95" t="n"/>
      <c r="E691" s="95" t="n"/>
      <c r="F691" s="95" t="n"/>
      <c r="G691" s="92">
        <f>IF(B691="","",IFERROR(INDEX(Roster!$C$6:$C$65,MATCH(B691,Roster!$B$6:$B$65,0)),"not on the Roster"))</f>
        <v/>
      </c>
      <c r="H691" s="95" t="n"/>
    </row>
    <row r="692">
      <c r="A692" s="122" t="n"/>
      <c r="B692" s="105" t="n"/>
      <c r="C692" s="105" t="n"/>
      <c r="D692" s="95" t="n"/>
      <c r="E692" s="95" t="n"/>
      <c r="F692" s="95" t="n"/>
      <c r="G692" s="92">
        <f>IF(B692="","",IFERROR(INDEX(Roster!$C$6:$C$65,MATCH(B692,Roster!$B$6:$B$65,0)),"not on the Roster"))</f>
        <v/>
      </c>
      <c r="H692" s="95" t="n"/>
    </row>
    <row r="693">
      <c r="A693" s="122" t="n"/>
      <c r="B693" s="105" t="n"/>
      <c r="C693" s="105" t="n"/>
      <c r="D693" s="95" t="n"/>
      <c r="E693" s="95" t="n"/>
      <c r="F693" s="95" t="n"/>
      <c r="G693" s="92">
        <f>IF(B693="","",IFERROR(INDEX(Roster!$C$6:$C$65,MATCH(B693,Roster!$B$6:$B$65,0)),"not on the Roster"))</f>
        <v/>
      </c>
      <c r="H693" s="95" t="n"/>
    </row>
    <row r="694">
      <c r="A694" s="122" t="n"/>
      <c r="B694" s="105" t="n"/>
      <c r="C694" s="105" t="n"/>
      <c r="D694" s="95" t="n"/>
      <c r="E694" s="95" t="n"/>
      <c r="F694" s="95" t="n"/>
      <c r="G694" s="92">
        <f>IF(B694="","",IFERROR(INDEX(Roster!$C$6:$C$65,MATCH(B694,Roster!$B$6:$B$65,0)),"not on the Roster"))</f>
        <v/>
      </c>
      <c r="H694" s="95" t="n"/>
    </row>
    <row r="695">
      <c r="A695" s="122" t="n"/>
      <c r="B695" s="105" t="n"/>
      <c r="C695" s="105" t="n"/>
      <c r="D695" s="95" t="n"/>
      <c r="E695" s="95" t="n"/>
      <c r="F695" s="95" t="n"/>
      <c r="G695" s="92">
        <f>IF(B695="","",IFERROR(INDEX(Roster!$C$6:$C$65,MATCH(B695,Roster!$B$6:$B$65,0)),"not on the Roster"))</f>
        <v/>
      </c>
      <c r="H695" s="95" t="n"/>
    </row>
    <row r="696">
      <c r="A696" s="122" t="n"/>
      <c r="B696" s="105" t="n"/>
      <c r="C696" s="105" t="n"/>
      <c r="D696" s="95" t="n"/>
      <c r="E696" s="95" t="n"/>
      <c r="F696" s="95" t="n"/>
      <c r="G696" s="92">
        <f>IF(B696="","",IFERROR(INDEX(Roster!$C$6:$C$65,MATCH(B696,Roster!$B$6:$B$65,0)),"not on the Roster"))</f>
        <v/>
      </c>
      <c r="H696" s="95" t="n"/>
    </row>
    <row r="697">
      <c r="A697" s="122" t="n"/>
      <c r="B697" s="105" t="n"/>
      <c r="C697" s="105" t="n"/>
      <c r="D697" s="95" t="n"/>
      <c r="E697" s="95" t="n"/>
      <c r="F697" s="95" t="n"/>
      <c r="G697" s="92">
        <f>IF(B697="","",IFERROR(INDEX(Roster!$C$6:$C$65,MATCH(B697,Roster!$B$6:$B$65,0)),"not on the Roster"))</f>
        <v/>
      </c>
      <c r="H697" s="95" t="n"/>
    </row>
    <row r="698">
      <c r="A698" s="122" t="n"/>
      <c r="B698" s="105" t="n"/>
      <c r="C698" s="105" t="n"/>
      <c r="D698" s="95" t="n"/>
      <c r="E698" s="95" t="n"/>
      <c r="F698" s="95" t="n"/>
      <c r="G698" s="92">
        <f>IF(B698="","",IFERROR(INDEX(Roster!$C$6:$C$65,MATCH(B698,Roster!$B$6:$B$65,0)),"not on the Roster"))</f>
        <v/>
      </c>
      <c r="H698" s="95" t="n"/>
    </row>
    <row r="699">
      <c r="A699" s="122" t="n"/>
      <c r="B699" s="105" t="n"/>
      <c r="C699" s="105" t="n"/>
      <c r="D699" s="95" t="n"/>
      <c r="E699" s="95" t="n"/>
      <c r="F699" s="95" t="n"/>
      <c r="G699" s="92">
        <f>IF(B699="","",IFERROR(INDEX(Roster!$C$6:$C$65,MATCH(B699,Roster!$B$6:$B$65,0)),"not on the Roster"))</f>
        <v/>
      </c>
      <c r="H699" s="95" t="n"/>
    </row>
    <row r="700">
      <c r="A700" s="122" t="n"/>
      <c r="B700" s="105" t="n"/>
      <c r="C700" s="105" t="n"/>
      <c r="D700" s="95" t="n"/>
      <c r="E700" s="95" t="n"/>
      <c r="F700" s="95" t="n"/>
      <c r="G700" s="92">
        <f>IF(B700="","",IFERROR(INDEX(Roster!$C$6:$C$65,MATCH(B700,Roster!$B$6:$B$65,0)),"not on the Roster"))</f>
        <v/>
      </c>
      <c r="H700" s="95" t="n"/>
    </row>
    <row r="701">
      <c r="A701" s="122" t="n"/>
      <c r="B701" s="105" t="n"/>
      <c r="C701" s="105" t="n"/>
      <c r="D701" s="95" t="n"/>
      <c r="E701" s="95" t="n"/>
      <c r="F701" s="95" t="n"/>
      <c r="G701" s="92">
        <f>IF(B701="","",IFERROR(INDEX(Roster!$C$6:$C$65,MATCH(B701,Roster!$B$6:$B$65,0)),"not on the Roster"))</f>
        <v/>
      </c>
      <c r="H701" s="95" t="n"/>
    </row>
    <row r="702">
      <c r="A702" s="122" t="n"/>
      <c r="B702" s="105" t="n"/>
      <c r="C702" s="105" t="n"/>
      <c r="D702" s="95" t="n"/>
      <c r="E702" s="95" t="n"/>
      <c r="F702" s="95" t="n"/>
      <c r="G702" s="92">
        <f>IF(B702="","",IFERROR(INDEX(Roster!$C$6:$C$65,MATCH(B702,Roster!$B$6:$B$65,0)),"not on the Roster"))</f>
        <v/>
      </c>
      <c r="H702" s="95" t="n"/>
    </row>
    <row r="703">
      <c r="A703" s="122" t="n"/>
      <c r="B703" s="105" t="n"/>
      <c r="C703" s="105" t="n"/>
      <c r="D703" s="95" t="n"/>
      <c r="E703" s="95" t="n"/>
      <c r="F703" s="95" t="n"/>
      <c r="G703" s="92">
        <f>IF(B703="","",IFERROR(INDEX(Roster!$C$6:$C$65,MATCH(B703,Roster!$B$6:$B$65,0)),"not on the Roster"))</f>
        <v/>
      </c>
      <c r="H703" s="95" t="n"/>
    </row>
    <row r="704">
      <c r="A704" s="122" t="n"/>
      <c r="B704" s="105" t="n"/>
      <c r="C704" s="105" t="n"/>
      <c r="D704" s="95" t="n"/>
      <c r="E704" s="95" t="n"/>
      <c r="F704" s="95" t="n"/>
      <c r="G704" s="92">
        <f>IF(B704="","",IFERROR(INDEX(Roster!$C$6:$C$65,MATCH(B704,Roster!$B$6:$B$65,0)),"not on the Roster"))</f>
        <v/>
      </c>
      <c r="H704" s="95" t="n"/>
    </row>
    <row r="705">
      <c r="A705" s="122" t="n"/>
      <c r="B705" s="105" t="n"/>
      <c r="C705" s="105" t="n"/>
      <c r="D705" s="95" t="n"/>
      <c r="E705" s="95" t="n"/>
      <c r="F705" s="95" t="n"/>
      <c r="G705" s="92">
        <f>IF(B705="","",IFERROR(INDEX(Roster!$C$6:$C$65,MATCH(B705,Roster!$B$6:$B$65,0)),"not on the Roster"))</f>
        <v/>
      </c>
      <c r="H705" s="95" t="n"/>
    </row>
    <row r="706">
      <c r="A706" s="122" t="n"/>
      <c r="B706" s="105" t="n"/>
      <c r="C706" s="105" t="n"/>
      <c r="D706" s="95" t="n"/>
      <c r="E706" s="95" t="n"/>
      <c r="F706" s="95" t="n"/>
      <c r="G706" s="92">
        <f>IF(B706="","",IFERROR(INDEX(Roster!$C$6:$C$65,MATCH(B706,Roster!$B$6:$B$65,0)),"not on the Roster"))</f>
        <v/>
      </c>
      <c r="H706" s="95" t="n"/>
    </row>
    <row r="707">
      <c r="A707" s="122" t="n"/>
      <c r="B707" s="105" t="n"/>
      <c r="C707" s="105" t="n"/>
      <c r="D707" s="95" t="n"/>
      <c r="E707" s="95" t="n"/>
      <c r="F707" s="95" t="n"/>
      <c r="G707" s="92">
        <f>IF(B707="","",IFERROR(INDEX(Roster!$C$6:$C$65,MATCH(B707,Roster!$B$6:$B$65,0)),"not on the Roster"))</f>
        <v/>
      </c>
      <c r="H707" s="95" t="n"/>
    </row>
    <row r="708">
      <c r="A708" s="122" t="n"/>
      <c r="B708" s="105" t="n"/>
      <c r="C708" s="105" t="n"/>
      <c r="D708" s="95" t="n"/>
      <c r="E708" s="95" t="n"/>
      <c r="F708" s="95" t="n"/>
      <c r="G708" s="92">
        <f>IF(B708="","",IFERROR(INDEX(Roster!$C$6:$C$65,MATCH(B708,Roster!$B$6:$B$65,0)),"not on the Roster"))</f>
        <v/>
      </c>
      <c r="H708" s="95" t="n"/>
    </row>
    <row r="709">
      <c r="A709" s="122" t="n"/>
      <c r="B709" s="105" t="n"/>
      <c r="C709" s="105" t="n"/>
      <c r="D709" s="95" t="n"/>
      <c r="E709" s="95" t="n"/>
      <c r="F709" s="95" t="n"/>
      <c r="G709" s="92">
        <f>IF(B709="","",IFERROR(INDEX(Roster!$C$6:$C$65,MATCH(B709,Roster!$B$6:$B$65,0)),"not on the Roster"))</f>
        <v/>
      </c>
      <c r="H709" s="95" t="n"/>
    </row>
    <row r="710">
      <c r="A710" s="122" t="n"/>
      <c r="B710" s="105" t="n"/>
      <c r="C710" s="105" t="n"/>
      <c r="D710" s="95" t="n"/>
      <c r="E710" s="95" t="n"/>
      <c r="F710" s="95" t="n"/>
      <c r="G710" s="92">
        <f>IF(B710="","",IFERROR(INDEX(Roster!$C$6:$C$65,MATCH(B710,Roster!$B$6:$B$65,0)),"not on the Roster"))</f>
        <v/>
      </c>
      <c r="H710" s="95" t="n"/>
    </row>
    <row r="711">
      <c r="A711" s="122" t="n"/>
      <c r="B711" s="105" t="n"/>
      <c r="C711" s="105" t="n"/>
      <c r="D711" s="95" t="n"/>
      <c r="E711" s="95" t="n"/>
      <c r="F711" s="95" t="n"/>
      <c r="G711" s="92">
        <f>IF(B711="","",IFERROR(INDEX(Roster!$C$6:$C$65,MATCH(B711,Roster!$B$6:$B$65,0)),"not on the Roster"))</f>
        <v/>
      </c>
      <c r="H711" s="95" t="n"/>
    </row>
    <row r="712">
      <c r="A712" s="122" t="n"/>
      <c r="B712" s="105" t="n"/>
      <c r="C712" s="105" t="n"/>
      <c r="D712" s="95" t="n"/>
      <c r="E712" s="95" t="n"/>
      <c r="F712" s="95" t="n"/>
      <c r="G712" s="92">
        <f>IF(B712="","",IFERROR(INDEX(Roster!$C$6:$C$65,MATCH(B712,Roster!$B$6:$B$65,0)),"not on the Roster"))</f>
        <v/>
      </c>
      <c r="H712" s="95" t="n"/>
    </row>
    <row r="713">
      <c r="A713" s="122" t="n"/>
      <c r="B713" s="105" t="n"/>
      <c r="C713" s="105" t="n"/>
      <c r="D713" s="95" t="n"/>
      <c r="E713" s="95" t="n"/>
      <c r="F713" s="95" t="n"/>
      <c r="G713" s="92">
        <f>IF(B713="","",IFERROR(INDEX(Roster!$C$6:$C$65,MATCH(B713,Roster!$B$6:$B$65,0)),"not on the Roster"))</f>
        <v/>
      </c>
      <c r="H713" s="95" t="n"/>
    </row>
    <row r="714">
      <c r="A714" s="122" t="n"/>
      <c r="B714" s="105" t="n"/>
      <c r="C714" s="105" t="n"/>
      <c r="D714" s="95" t="n"/>
      <c r="E714" s="95" t="n"/>
      <c r="F714" s="95" t="n"/>
      <c r="G714" s="92">
        <f>IF(B714="","",IFERROR(INDEX(Roster!$C$6:$C$65,MATCH(B714,Roster!$B$6:$B$65,0)),"not on the Roster"))</f>
        <v/>
      </c>
      <c r="H714" s="95" t="n"/>
    </row>
    <row r="715">
      <c r="A715" s="122" t="n"/>
      <c r="B715" s="105" t="n"/>
      <c r="C715" s="105" t="n"/>
      <c r="D715" s="95" t="n"/>
      <c r="E715" s="95" t="n"/>
      <c r="F715" s="95" t="n"/>
      <c r="G715" s="92">
        <f>IF(B715="","",IFERROR(INDEX(Roster!$C$6:$C$65,MATCH(B715,Roster!$B$6:$B$65,0)),"not on the Roster"))</f>
        <v/>
      </c>
      <c r="H715" s="95" t="n"/>
    </row>
    <row r="716">
      <c r="A716" s="122" t="n"/>
      <c r="B716" s="105" t="n"/>
      <c r="C716" s="105" t="n"/>
      <c r="D716" s="95" t="n"/>
      <c r="E716" s="95" t="n"/>
      <c r="F716" s="95" t="n"/>
      <c r="G716" s="92">
        <f>IF(B716="","",IFERROR(INDEX(Roster!$C$6:$C$65,MATCH(B716,Roster!$B$6:$B$65,0)),"not on the Roster"))</f>
        <v/>
      </c>
      <c r="H716" s="95" t="n"/>
    </row>
    <row r="717">
      <c r="A717" s="122" t="n"/>
      <c r="B717" s="105" t="n"/>
      <c r="C717" s="105" t="n"/>
      <c r="D717" s="95" t="n"/>
      <c r="E717" s="95" t="n"/>
      <c r="F717" s="95" t="n"/>
      <c r="G717" s="92">
        <f>IF(B717="","",IFERROR(INDEX(Roster!$C$6:$C$65,MATCH(B717,Roster!$B$6:$B$65,0)),"not on the Roster"))</f>
        <v/>
      </c>
      <c r="H717" s="95" t="n"/>
    </row>
    <row r="718">
      <c r="A718" s="122" t="n"/>
      <c r="B718" s="105" t="n"/>
      <c r="C718" s="105" t="n"/>
      <c r="D718" s="95" t="n"/>
      <c r="E718" s="95" t="n"/>
      <c r="F718" s="95" t="n"/>
      <c r="G718" s="92">
        <f>IF(B718="","",IFERROR(INDEX(Roster!$C$6:$C$65,MATCH(B718,Roster!$B$6:$B$65,0)),"not on the Roster"))</f>
        <v/>
      </c>
      <c r="H718" s="95" t="n"/>
    </row>
    <row r="719">
      <c r="A719" s="122" t="n"/>
      <c r="B719" s="105" t="n"/>
      <c r="C719" s="105" t="n"/>
      <c r="D719" s="95" t="n"/>
      <c r="E719" s="95" t="n"/>
      <c r="F719" s="95" t="n"/>
      <c r="G719" s="92">
        <f>IF(B719="","",IFERROR(INDEX(Roster!$C$6:$C$65,MATCH(B719,Roster!$B$6:$B$65,0)),"not on the Roster"))</f>
        <v/>
      </c>
      <c r="H719" s="95" t="n"/>
    </row>
    <row r="720">
      <c r="A720" s="122" t="n"/>
      <c r="B720" s="105" t="n"/>
      <c r="C720" s="105" t="n"/>
      <c r="D720" s="95" t="n"/>
      <c r="E720" s="95" t="n"/>
      <c r="F720" s="95" t="n"/>
      <c r="G720" s="92">
        <f>IF(B720="","",IFERROR(INDEX(Roster!$C$6:$C$65,MATCH(B720,Roster!$B$6:$B$65,0)),"not on the Roster"))</f>
        <v/>
      </c>
      <c r="H720" s="95" t="n"/>
    </row>
    <row r="721">
      <c r="A721" s="122" t="n"/>
      <c r="B721" s="105" t="n"/>
      <c r="C721" s="105" t="n"/>
      <c r="D721" s="95" t="n"/>
      <c r="E721" s="95" t="n"/>
      <c r="F721" s="95" t="n"/>
      <c r="G721" s="92">
        <f>IF(B721="","",IFERROR(INDEX(Roster!$C$6:$C$65,MATCH(B721,Roster!$B$6:$B$65,0)),"not on the Roster"))</f>
        <v/>
      </c>
      <c r="H721" s="95" t="n"/>
    </row>
    <row r="722">
      <c r="A722" s="122" t="n"/>
      <c r="B722" s="105" t="n"/>
      <c r="C722" s="105" t="n"/>
      <c r="D722" s="95" t="n"/>
      <c r="E722" s="95" t="n"/>
      <c r="F722" s="95" t="n"/>
      <c r="G722" s="92">
        <f>IF(B722="","",IFERROR(INDEX(Roster!$C$6:$C$65,MATCH(B722,Roster!$B$6:$B$65,0)),"not on the Roster"))</f>
        <v/>
      </c>
      <c r="H722" s="95" t="n"/>
    </row>
    <row r="723">
      <c r="A723" s="122" t="n"/>
      <c r="B723" s="105" t="n"/>
      <c r="C723" s="105" t="n"/>
      <c r="D723" s="95" t="n"/>
      <c r="E723" s="95" t="n"/>
      <c r="F723" s="95" t="n"/>
      <c r="G723" s="92">
        <f>IF(B723="","",IFERROR(INDEX(Roster!$C$6:$C$65,MATCH(B723,Roster!$B$6:$B$65,0)),"not on the Roster"))</f>
        <v/>
      </c>
      <c r="H723" s="95" t="n"/>
    </row>
    <row r="724">
      <c r="A724" s="122" t="n"/>
      <c r="B724" s="105" t="n"/>
      <c r="C724" s="105" t="n"/>
      <c r="D724" s="95" t="n"/>
      <c r="E724" s="95" t="n"/>
      <c r="F724" s="95" t="n"/>
      <c r="G724" s="92">
        <f>IF(B724="","",IFERROR(INDEX(Roster!$C$6:$C$65,MATCH(B724,Roster!$B$6:$B$65,0)),"not on the Roster"))</f>
        <v/>
      </c>
      <c r="H724" s="95" t="n"/>
    </row>
    <row r="725">
      <c r="A725" s="122" t="n"/>
      <c r="B725" s="105" t="n"/>
      <c r="C725" s="105" t="n"/>
      <c r="D725" s="95" t="n"/>
      <c r="E725" s="95" t="n"/>
      <c r="F725" s="95" t="n"/>
      <c r="G725" s="92">
        <f>IF(B725="","",IFERROR(INDEX(Roster!$C$6:$C$65,MATCH(B725,Roster!$B$6:$B$65,0)),"not on the Roster"))</f>
        <v/>
      </c>
      <c r="H725" s="95" t="n"/>
    </row>
    <row r="726">
      <c r="A726" s="122" t="n"/>
      <c r="B726" s="105" t="n"/>
      <c r="C726" s="105" t="n"/>
      <c r="D726" s="95" t="n"/>
      <c r="E726" s="95" t="n"/>
      <c r="F726" s="95" t="n"/>
      <c r="G726" s="92">
        <f>IF(B726="","",IFERROR(INDEX(Roster!$C$6:$C$65,MATCH(B726,Roster!$B$6:$B$65,0)),"not on the Roster"))</f>
        <v/>
      </c>
      <c r="H726" s="95" t="n"/>
    </row>
    <row r="727">
      <c r="A727" s="122" t="n"/>
      <c r="B727" s="105" t="n"/>
      <c r="C727" s="105" t="n"/>
      <c r="D727" s="95" t="n"/>
      <c r="E727" s="95" t="n"/>
      <c r="F727" s="95" t="n"/>
      <c r="G727" s="92">
        <f>IF(B727="","",IFERROR(INDEX(Roster!$C$6:$C$65,MATCH(B727,Roster!$B$6:$B$65,0)),"not on the Roster"))</f>
        <v/>
      </c>
      <c r="H727" s="95" t="n"/>
    </row>
    <row r="728">
      <c r="A728" s="122" t="n"/>
      <c r="B728" s="105" t="n"/>
      <c r="C728" s="105" t="n"/>
      <c r="D728" s="95" t="n"/>
      <c r="E728" s="95" t="n"/>
      <c r="F728" s="95" t="n"/>
      <c r="G728" s="92">
        <f>IF(B728="","",IFERROR(INDEX(Roster!$C$6:$C$65,MATCH(B728,Roster!$B$6:$B$65,0)),"not on the Roster"))</f>
        <v/>
      </c>
      <c r="H728" s="95" t="n"/>
    </row>
    <row r="729">
      <c r="A729" s="122" t="n"/>
      <c r="B729" s="105" t="n"/>
      <c r="C729" s="105" t="n"/>
      <c r="D729" s="95" t="n"/>
      <c r="E729" s="95" t="n"/>
      <c r="F729" s="95" t="n"/>
      <c r="G729" s="92">
        <f>IF(B729="","",IFERROR(INDEX(Roster!$C$6:$C$65,MATCH(B729,Roster!$B$6:$B$65,0)),"not on the Roster"))</f>
        <v/>
      </c>
      <c r="H729" s="95" t="n"/>
    </row>
    <row r="730">
      <c r="A730" s="122" t="n"/>
      <c r="B730" s="105" t="n"/>
      <c r="C730" s="105" t="n"/>
      <c r="D730" s="95" t="n"/>
      <c r="E730" s="95" t="n"/>
      <c r="F730" s="95" t="n"/>
      <c r="G730" s="92">
        <f>IF(B730="","",IFERROR(INDEX(Roster!$C$6:$C$65,MATCH(B730,Roster!$B$6:$B$65,0)),"not on the Roster"))</f>
        <v/>
      </c>
      <c r="H730" s="95" t="n"/>
    </row>
    <row r="731">
      <c r="A731" s="122" t="n"/>
      <c r="B731" s="105" t="n"/>
      <c r="C731" s="105" t="n"/>
      <c r="D731" s="95" t="n"/>
      <c r="E731" s="95" t="n"/>
      <c r="F731" s="95" t="n"/>
      <c r="G731" s="92">
        <f>IF(B731="","",IFERROR(INDEX(Roster!$C$6:$C$65,MATCH(B731,Roster!$B$6:$B$65,0)),"not on the Roster"))</f>
        <v/>
      </c>
      <c r="H731" s="95" t="n"/>
    </row>
    <row r="732">
      <c r="A732" s="122" t="n"/>
      <c r="B732" s="105" t="n"/>
      <c r="C732" s="105" t="n"/>
      <c r="D732" s="95" t="n"/>
      <c r="E732" s="95" t="n"/>
      <c r="F732" s="95" t="n"/>
      <c r="G732" s="92">
        <f>IF(B732="","",IFERROR(INDEX(Roster!$C$6:$C$65,MATCH(B732,Roster!$B$6:$B$65,0)),"not on the Roster"))</f>
        <v/>
      </c>
      <c r="H732" s="95" t="n"/>
    </row>
    <row r="733">
      <c r="A733" s="122" t="n"/>
      <c r="B733" s="105" t="n"/>
      <c r="C733" s="105" t="n"/>
      <c r="D733" s="95" t="n"/>
      <c r="E733" s="95" t="n"/>
      <c r="F733" s="95" t="n"/>
      <c r="G733" s="92">
        <f>IF(B733="","",IFERROR(INDEX(Roster!$C$6:$C$65,MATCH(B733,Roster!$B$6:$B$65,0)),"not on the Roster"))</f>
        <v/>
      </c>
      <c r="H733" s="95" t="n"/>
    </row>
    <row r="734">
      <c r="A734" s="122" t="n"/>
      <c r="B734" s="105" t="n"/>
      <c r="C734" s="105" t="n"/>
      <c r="D734" s="95" t="n"/>
      <c r="E734" s="95" t="n"/>
      <c r="F734" s="95" t="n"/>
      <c r="G734" s="92">
        <f>IF(B734="","",IFERROR(INDEX(Roster!$C$6:$C$65,MATCH(B734,Roster!$B$6:$B$65,0)),"not on the Roster"))</f>
        <v/>
      </c>
      <c r="H734" s="95" t="n"/>
    </row>
    <row r="735">
      <c r="A735" s="122" t="n"/>
      <c r="B735" s="105" t="n"/>
      <c r="C735" s="105" t="n"/>
      <c r="D735" s="95" t="n"/>
      <c r="E735" s="95" t="n"/>
      <c r="F735" s="95" t="n"/>
      <c r="G735" s="92">
        <f>IF(B735="","",IFERROR(INDEX(Roster!$C$6:$C$65,MATCH(B735,Roster!$B$6:$B$65,0)),"not on the Roster"))</f>
        <v/>
      </c>
      <c r="H735" s="95" t="n"/>
    </row>
    <row r="736">
      <c r="A736" s="122" t="n"/>
      <c r="B736" s="105" t="n"/>
      <c r="C736" s="105" t="n"/>
      <c r="D736" s="95" t="n"/>
      <c r="E736" s="95" t="n"/>
      <c r="F736" s="95" t="n"/>
      <c r="G736" s="92">
        <f>IF(B736="","",IFERROR(INDEX(Roster!$C$6:$C$65,MATCH(B736,Roster!$B$6:$B$65,0)),"not on the Roster"))</f>
        <v/>
      </c>
      <c r="H736" s="95" t="n"/>
    </row>
    <row r="737">
      <c r="A737" s="122" t="n"/>
      <c r="B737" s="105" t="n"/>
      <c r="C737" s="105" t="n"/>
      <c r="D737" s="95" t="n"/>
      <c r="E737" s="95" t="n"/>
      <c r="F737" s="95" t="n"/>
      <c r="G737" s="92">
        <f>IF(B737="","",IFERROR(INDEX(Roster!$C$6:$C$65,MATCH(B737,Roster!$B$6:$B$65,0)),"not on the Roster"))</f>
        <v/>
      </c>
      <c r="H737" s="95" t="n"/>
    </row>
    <row r="738">
      <c r="A738" s="122" t="n"/>
      <c r="B738" s="105" t="n"/>
      <c r="C738" s="105" t="n"/>
      <c r="D738" s="95" t="n"/>
      <c r="E738" s="95" t="n"/>
      <c r="F738" s="95" t="n"/>
      <c r="G738" s="92">
        <f>IF(B738="","",IFERROR(INDEX(Roster!$C$6:$C$65,MATCH(B738,Roster!$B$6:$B$65,0)),"not on the Roster"))</f>
        <v/>
      </c>
      <c r="H738" s="95" t="n"/>
    </row>
    <row r="739">
      <c r="A739" s="122" t="n"/>
      <c r="B739" s="105" t="n"/>
      <c r="C739" s="105" t="n"/>
      <c r="D739" s="95" t="n"/>
      <c r="E739" s="95" t="n"/>
      <c r="F739" s="95" t="n"/>
      <c r="G739" s="92">
        <f>IF(B739="","",IFERROR(INDEX(Roster!$C$6:$C$65,MATCH(B739,Roster!$B$6:$B$65,0)),"not on the Roster"))</f>
        <v/>
      </c>
      <c r="H739" s="95" t="n"/>
    </row>
    <row r="740">
      <c r="A740" s="122" t="n"/>
      <c r="B740" s="105" t="n"/>
      <c r="C740" s="105" t="n"/>
      <c r="D740" s="95" t="n"/>
      <c r="E740" s="95" t="n"/>
      <c r="F740" s="95" t="n"/>
      <c r="G740" s="92">
        <f>IF(B740="","",IFERROR(INDEX(Roster!$C$6:$C$65,MATCH(B740,Roster!$B$6:$B$65,0)),"not on the Roster"))</f>
        <v/>
      </c>
      <c r="H740" s="95" t="n"/>
    </row>
    <row r="741">
      <c r="A741" s="122" t="n"/>
      <c r="B741" s="105" t="n"/>
      <c r="C741" s="105" t="n"/>
      <c r="D741" s="95" t="n"/>
      <c r="E741" s="95" t="n"/>
      <c r="F741" s="95" t="n"/>
      <c r="G741" s="92">
        <f>IF(B741="","",IFERROR(INDEX(Roster!$C$6:$C$65,MATCH(B741,Roster!$B$6:$B$65,0)),"not on the Roster"))</f>
        <v/>
      </c>
      <c r="H741" s="95" t="n"/>
    </row>
    <row r="742">
      <c r="A742" s="122" t="n"/>
      <c r="B742" s="105" t="n"/>
      <c r="C742" s="105" t="n"/>
      <c r="D742" s="95" t="n"/>
      <c r="E742" s="95" t="n"/>
      <c r="F742" s="95" t="n"/>
      <c r="G742" s="92">
        <f>IF(B742="","",IFERROR(INDEX(Roster!$C$6:$C$65,MATCH(B742,Roster!$B$6:$B$65,0)),"not on the Roster"))</f>
        <v/>
      </c>
      <c r="H742" s="95" t="n"/>
    </row>
    <row r="743">
      <c r="A743" s="122" t="n"/>
      <c r="B743" s="105" t="n"/>
      <c r="C743" s="105" t="n"/>
      <c r="D743" s="95" t="n"/>
      <c r="E743" s="95" t="n"/>
      <c r="F743" s="95" t="n"/>
      <c r="G743" s="92">
        <f>IF(B743="","",IFERROR(INDEX(Roster!$C$6:$C$65,MATCH(B743,Roster!$B$6:$B$65,0)),"not on the Roster"))</f>
        <v/>
      </c>
      <c r="H743" s="95" t="n"/>
    </row>
    <row r="744">
      <c r="A744" s="122" t="n"/>
      <c r="B744" s="105" t="n"/>
      <c r="C744" s="105" t="n"/>
      <c r="D744" s="95" t="n"/>
      <c r="E744" s="95" t="n"/>
      <c r="F744" s="95" t="n"/>
      <c r="G744" s="92">
        <f>IF(B744="","",IFERROR(INDEX(Roster!$C$6:$C$65,MATCH(B744,Roster!$B$6:$B$65,0)),"not on the Roster"))</f>
        <v/>
      </c>
      <c r="H744" s="95" t="n"/>
    </row>
    <row r="745">
      <c r="A745" s="122" t="n"/>
      <c r="B745" s="105" t="n"/>
      <c r="C745" s="105" t="n"/>
      <c r="D745" s="95" t="n"/>
      <c r="E745" s="95" t="n"/>
      <c r="F745" s="95" t="n"/>
      <c r="G745" s="92">
        <f>IF(B745="","",IFERROR(INDEX(Roster!$C$6:$C$65,MATCH(B745,Roster!$B$6:$B$65,0)),"not on the Roster"))</f>
        <v/>
      </c>
      <c r="H745" s="95" t="n"/>
    </row>
    <row r="746">
      <c r="A746" s="122" t="n"/>
      <c r="B746" s="105" t="n"/>
      <c r="C746" s="105" t="n"/>
      <c r="D746" s="95" t="n"/>
      <c r="E746" s="95" t="n"/>
      <c r="F746" s="95" t="n"/>
      <c r="G746" s="92">
        <f>IF(B746="","",IFERROR(INDEX(Roster!$C$6:$C$65,MATCH(B746,Roster!$B$6:$B$65,0)),"not on the Roster"))</f>
        <v/>
      </c>
      <c r="H746" s="95" t="n"/>
    </row>
    <row r="747">
      <c r="A747" s="122" t="n"/>
      <c r="B747" s="105" t="n"/>
      <c r="C747" s="105" t="n"/>
      <c r="D747" s="95" t="n"/>
      <c r="E747" s="95" t="n"/>
      <c r="F747" s="95" t="n"/>
      <c r="G747" s="92">
        <f>IF(B747="","",IFERROR(INDEX(Roster!$C$6:$C$65,MATCH(B747,Roster!$B$6:$B$65,0)),"not on the Roster"))</f>
        <v/>
      </c>
      <c r="H747" s="95" t="n"/>
    </row>
    <row r="748">
      <c r="A748" s="122" t="n"/>
      <c r="B748" s="105" t="n"/>
      <c r="C748" s="105" t="n"/>
      <c r="D748" s="95" t="n"/>
      <c r="E748" s="95" t="n"/>
      <c r="F748" s="95" t="n"/>
      <c r="G748" s="92">
        <f>IF(B748="","",IFERROR(INDEX(Roster!$C$6:$C$65,MATCH(B748,Roster!$B$6:$B$65,0)),"not on the Roster"))</f>
        <v/>
      </c>
      <c r="H748" s="95" t="n"/>
    </row>
    <row r="749">
      <c r="A749" s="122" t="n"/>
      <c r="B749" s="105" t="n"/>
      <c r="C749" s="105" t="n"/>
      <c r="D749" s="95" t="n"/>
      <c r="E749" s="95" t="n"/>
      <c r="F749" s="95" t="n"/>
      <c r="G749" s="92">
        <f>IF(B749="","",IFERROR(INDEX(Roster!$C$6:$C$65,MATCH(B749,Roster!$B$6:$B$65,0)),"not on the Roster"))</f>
        <v/>
      </c>
      <c r="H749" s="95" t="n"/>
    </row>
    <row r="750">
      <c r="A750" s="122" t="n"/>
      <c r="B750" s="105" t="n"/>
      <c r="C750" s="105" t="n"/>
      <c r="D750" s="95" t="n"/>
      <c r="E750" s="95" t="n"/>
      <c r="F750" s="95" t="n"/>
      <c r="G750" s="92">
        <f>IF(B750="","",IFERROR(INDEX(Roster!$C$6:$C$65,MATCH(B750,Roster!$B$6:$B$65,0)),"not on the Roster"))</f>
        <v/>
      </c>
      <c r="H750" s="95" t="n"/>
    </row>
    <row r="751">
      <c r="A751" s="122" t="n"/>
      <c r="B751" s="105" t="n"/>
      <c r="C751" s="105" t="n"/>
      <c r="D751" s="95" t="n"/>
      <c r="E751" s="95" t="n"/>
      <c r="F751" s="95" t="n"/>
      <c r="G751" s="92">
        <f>IF(B751="","",IFERROR(INDEX(Roster!$C$6:$C$65,MATCH(B751,Roster!$B$6:$B$65,0)),"not on the Roster"))</f>
        <v/>
      </c>
      <c r="H751" s="95" t="n"/>
    </row>
    <row r="752">
      <c r="A752" s="122" t="n"/>
      <c r="B752" s="105" t="n"/>
      <c r="C752" s="105" t="n"/>
      <c r="D752" s="95" t="n"/>
      <c r="E752" s="95" t="n"/>
      <c r="F752" s="95" t="n"/>
      <c r="G752" s="92">
        <f>IF(B752="","",IFERROR(INDEX(Roster!$C$6:$C$65,MATCH(B752,Roster!$B$6:$B$65,0)),"not on the Roster"))</f>
        <v/>
      </c>
      <c r="H752" s="95" t="n"/>
    </row>
    <row r="753">
      <c r="A753" s="122" t="n"/>
      <c r="B753" s="105" t="n"/>
      <c r="C753" s="105" t="n"/>
      <c r="D753" s="95" t="n"/>
      <c r="E753" s="95" t="n"/>
      <c r="F753" s="95" t="n"/>
      <c r="G753" s="92">
        <f>IF(B753="","",IFERROR(INDEX(Roster!$C$6:$C$65,MATCH(B753,Roster!$B$6:$B$65,0)),"not on the Roster"))</f>
        <v/>
      </c>
      <c r="H753" s="95" t="n"/>
    </row>
    <row r="754">
      <c r="A754" s="122" t="n"/>
      <c r="B754" s="105" t="n"/>
      <c r="C754" s="105" t="n"/>
      <c r="D754" s="95" t="n"/>
      <c r="E754" s="95" t="n"/>
      <c r="F754" s="95" t="n"/>
      <c r="G754" s="92">
        <f>IF(B754="","",IFERROR(INDEX(Roster!$C$6:$C$65,MATCH(B754,Roster!$B$6:$B$65,0)),"not on the Roster"))</f>
        <v/>
      </c>
      <c r="H754" s="95" t="n"/>
    </row>
    <row r="755">
      <c r="A755" s="122" t="n"/>
      <c r="B755" s="105" t="n"/>
      <c r="C755" s="105" t="n"/>
      <c r="D755" s="95" t="n"/>
      <c r="E755" s="95" t="n"/>
      <c r="F755" s="95" t="n"/>
      <c r="G755" s="92">
        <f>IF(B755="","",IFERROR(INDEX(Roster!$C$6:$C$65,MATCH(B755,Roster!$B$6:$B$65,0)),"not on the Roster"))</f>
        <v/>
      </c>
      <c r="H755" s="95" t="n"/>
    </row>
    <row r="756">
      <c r="A756" s="122" t="n"/>
      <c r="B756" s="105" t="n"/>
      <c r="C756" s="105" t="n"/>
      <c r="D756" s="95" t="n"/>
      <c r="E756" s="95" t="n"/>
      <c r="F756" s="95" t="n"/>
      <c r="G756" s="92">
        <f>IF(B756="","",IFERROR(INDEX(Roster!$C$6:$C$65,MATCH(B756,Roster!$B$6:$B$65,0)),"not on the Roster"))</f>
        <v/>
      </c>
      <c r="H756" s="95" t="n"/>
    </row>
    <row r="757">
      <c r="A757" s="122" t="n"/>
      <c r="B757" s="105" t="n"/>
      <c r="C757" s="105" t="n"/>
      <c r="D757" s="95" t="n"/>
      <c r="E757" s="95" t="n"/>
      <c r="F757" s="95" t="n"/>
      <c r="G757" s="92">
        <f>IF(B757="","",IFERROR(INDEX(Roster!$C$6:$C$65,MATCH(B757,Roster!$B$6:$B$65,0)),"not on the Roster"))</f>
        <v/>
      </c>
      <c r="H757" s="95" t="n"/>
    </row>
    <row r="758">
      <c r="A758" s="122" t="n"/>
      <c r="B758" s="105" t="n"/>
      <c r="C758" s="105" t="n"/>
      <c r="D758" s="95" t="n"/>
      <c r="E758" s="95" t="n"/>
      <c r="F758" s="95" t="n"/>
      <c r="G758" s="92">
        <f>IF(B758="","",IFERROR(INDEX(Roster!$C$6:$C$65,MATCH(B758,Roster!$B$6:$B$65,0)),"not on the Roster"))</f>
        <v/>
      </c>
      <c r="H758" s="95" t="n"/>
    </row>
    <row r="759">
      <c r="A759" s="122" t="n"/>
      <c r="B759" s="105" t="n"/>
      <c r="C759" s="105" t="n"/>
      <c r="D759" s="95" t="n"/>
      <c r="E759" s="95" t="n"/>
      <c r="F759" s="95" t="n"/>
      <c r="G759" s="92">
        <f>IF(B759="","",IFERROR(INDEX(Roster!$C$6:$C$65,MATCH(B759,Roster!$B$6:$B$65,0)),"not on the Roster"))</f>
        <v/>
      </c>
      <c r="H759" s="95" t="n"/>
    </row>
    <row r="760">
      <c r="A760" s="122" t="n"/>
      <c r="B760" s="105" t="n"/>
      <c r="C760" s="105" t="n"/>
      <c r="D760" s="95" t="n"/>
      <c r="E760" s="95" t="n"/>
      <c r="F760" s="95" t="n"/>
      <c r="G760" s="92">
        <f>IF(B760="","",IFERROR(INDEX(Roster!$C$6:$C$65,MATCH(B760,Roster!$B$6:$B$65,0)),"not on the Roster"))</f>
        <v/>
      </c>
      <c r="H760" s="95" t="n"/>
    </row>
    <row r="761">
      <c r="A761" s="122" t="n"/>
      <c r="B761" s="105" t="n"/>
      <c r="C761" s="105" t="n"/>
      <c r="D761" s="95" t="n"/>
      <c r="E761" s="95" t="n"/>
      <c r="F761" s="95" t="n"/>
      <c r="G761" s="92">
        <f>IF(B761="","",IFERROR(INDEX(Roster!$C$6:$C$65,MATCH(B761,Roster!$B$6:$B$65,0)),"not on the Roster"))</f>
        <v/>
      </c>
      <c r="H761" s="95" t="n"/>
    </row>
    <row r="762">
      <c r="A762" s="122" t="n"/>
      <c r="B762" s="105" t="n"/>
      <c r="C762" s="105" t="n"/>
      <c r="D762" s="95" t="n"/>
      <c r="E762" s="95" t="n"/>
      <c r="F762" s="95" t="n"/>
      <c r="G762" s="92">
        <f>IF(B762="","",IFERROR(INDEX(Roster!$C$6:$C$65,MATCH(B762,Roster!$B$6:$B$65,0)),"not on the Roster"))</f>
        <v/>
      </c>
      <c r="H762" s="95" t="n"/>
    </row>
    <row r="763">
      <c r="A763" s="122" t="n"/>
      <c r="B763" s="105" t="n"/>
      <c r="C763" s="105" t="n"/>
      <c r="D763" s="95" t="n"/>
      <c r="E763" s="95" t="n"/>
      <c r="F763" s="95" t="n"/>
      <c r="G763" s="92">
        <f>IF(B763="","",IFERROR(INDEX(Roster!$C$6:$C$65,MATCH(B763,Roster!$B$6:$B$65,0)),"not on the Roster"))</f>
        <v/>
      </c>
      <c r="H763" s="95" t="n"/>
    </row>
    <row r="764">
      <c r="A764" s="122" t="n"/>
      <c r="B764" s="105" t="n"/>
      <c r="C764" s="105" t="n"/>
      <c r="D764" s="95" t="n"/>
      <c r="E764" s="95" t="n"/>
      <c r="F764" s="95" t="n"/>
      <c r="G764" s="92">
        <f>IF(B764="","",IFERROR(INDEX(Roster!$C$6:$C$65,MATCH(B764,Roster!$B$6:$B$65,0)),"not on the Roster"))</f>
        <v/>
      </c>
      <c r="H764" s="95" t="n"/>
    </row>
    <row r="765">
      <c r="A765" s="122" t="n"/>
      <c r="B765" s="105" t="n"/>
      <c r="C765" s="105" t="n"/>
      <c r="D765" s="95" t="n"/>
      <c r="E765" s="95" t="n"/>
      <c r="F765" s="95" t="n"/>
      <c r="G765" s="92">
        <f>IF(B765="","",IFERROR(INDEX(Roster!$C$6:$C$65,MATCH(B765,Roster!$B$6:$B$65,0)),"not on the Roster"))</f>
        <v/>
      </c>
      <c r="H765" s="95" t="n"/>
    </row>
    <row r="766">
      <c r="A766" s="122" t="n"/>
      <c r="B766" s="105" t="n"/>
      <c r="C766" s="105" t="n"/>
      <c r="D766" s="95" t="n"/>
      <c r="E766" s="95" t="n"/>
      <c r="F766" s="95" t="n"/>
      <c r="G766" s="92">
        <f>IF(B766="","",IFERROR(INDEX(Roster!$C$6:$C$65,MATCH(B766,Roster!$B$6:$B$65,0)),"not on the Roster"))</f>
        <v/>
      </c>
      <c r="H766" s="95" t="n"/>
    </row>
    <row r="767">
      <c r="A767" s="122" t="n"/>
      <c r="B767" s="105" t="n"/>
      <c r="C767" s="105" t="n"/>
      <c r="D767" s="95" t="n"/>
      <c r="E767" s="95" t="n"/>
      <c r="F767" s="95" t="n"/>
      <c r="G767" s="92">
        <f>IF(B767="","",IFERROR(INDEX(Roster!$C$6:$C$65,MATCH(B767,Roster!$B$6:$B$65,0)),"not on the Roster"))</f>
        <v/>
      </c>
      <c r="H767" s="95" t="n"/>
    </row>
    <row r="768">
      <c r="A768" s="122" t="n"/>
      <c r="B768" s="105" t="n"/>
      <c r="C768" s="105" t="n"/>
      <c r="D768" s="95" t="n"/>
      <c r="E768" s="95" t="n"/>
      <c r="F768" s="95" t="n"/>
      <c r="G768" s="92">
        <f>IF(B768="","",IFERROR(INDEX(Roster!$C$6:$C$65,MATCH(B768,Roster!$B$6:$B$65,0)),"not on the Roster"))</f>
        <v/>
      </c>
      <c r="H768" s="95" t="n"/>
    </row>
    <row r="769">
      <c r="A769" s="122" t="n"/>
      <c r="B769" s="105" t="n"/>
      <c r="C769" s="105" t="n"/>
      <c r="D769" s="95" t="n"/>
      <c r="E769" s="95" t="n"/>
      <c r="F769" s="95" t="n"/>
      <c r="G769" s="92">
        <f>IF(B769="","",IFERROR(INDEX(Roster!$C$6:$C$65,MATCH(B769,Roster!$B$6:$B$65,0)),"not on the Roster"))</f>
        <v/>
      </c>
      <c r="H769" s="95" t="n"/>
    </row>
    <row r="770">
      <c r="A770" s="122" t="n"/>
      <c r="B770" s="105" t="n"/>
      <c r="C770" s="105" t="n"/>
      <c r="D770" s="95" t="n"/>
      <c r="E770" s="95" t="n"/>
      <c r="F770" s="95" t="n"/>
      <c r="G770" s="92">
        <f>IF(B770="","",IFERROR(INDEX(Roster!$C$6:$C$65,MATCH(B770,Roster!$B$6:$B$65,0)),"not on the Roster"))</f>
        <v/>
      </c>
      <c r="H770" s="95" t="n"/>
    </row>
    <row r="771">
      <c r="A771" s="122" t="n"/>
      <c r="B771" s="105" t="n"/>
      <c r="C771" s="105" t="n"/>
      <c r="D771" s="95" t="n"/>
      <c r="E771" s="95" t="n"/>
      <c r="F771" s="95" t="n"/>
      <c r="G771" s="92">
        <f>IF(B771="","",IFERROR(INDEX(Roster!$C$6:$C$65,MATCH(B771,Roster!$B$6:$B$65,0)),"not on the Roster"))</f>
        <v/>
      </c>
      <c r="H771" s="95" t="n"/>
    </row>
    <row r="772">
      <c r="A772" s="122" t="n"/>
      <c r="B772" s="105" t="n"/>
      <c r="C772" s="105" t="n"/>
      <c r="D772" s="95" t="n"/>
      <c r="E772" s="95" t="n"/>
      <c r="F772" s="95" t="n"/>
      <c r="G772" s="92">
        <f>IF(B772="","",IFERROR(INDEX(Roster!$C$6:$C$65,MATCH(B772,Roster!$B$6:$B$65,0)),"not on the Roster"))</f>
        <v/>
      </c>
      <c r="H772" s="95" t="n"/>
    </row>
    <row r="773">
      <c r="A773" s="122" t="n"/>
      <c r="B773" s="105" t="n"/>
      <c r="C773" s="105" t="n"/>
      <c r="D773" s="95" t="n"/>
      <c r="E773" s="95" t="n"/>
      <c r="F773" s="95" t="n"/>
      <c r="G773" s="92">
        <f>IF(B773="","",IFERROR(INDEX(Roster!$C$6:$C$65,MATCH(B773,Roster!$B$6:$B$65,0)),"not on the Roster"))</f>
        <v/>
      </c>
      <c r="H773" s="95" t="n"/>
    </row>
    <row r="774">
      <c r="A774" s="122" t="n"/>
      <c r="B774" s="105" t="n"/>
      <c r="C774" s="105" t="n"/>
      <c r="D774" s="95" t="n"/>
      <c r="E774" s="95" t="n"/>
      <c r="F774" s="95" t="n"/>
      <c r="G774" s="92">
        <f>IF(B774="","",IFERROR(INDEX(Roster!$C$6:$C$65,MATCH(B774,Roster!$B$6:$B$65,0)),"not on the Roster"))</f>
        <v/>
      </c>
      <c r="H774" s="95" t="n"/>
    </row>
    <row r="775">
      <c r="A775" s="122" t="n"/>
      <c r="B775" s="105" t="n"/>
      <c r="C775" s="105" t="n"/>
      <c r="D775" s="95" t="n"/>
      <c r="E775" s="95" t="n"/>
      <c r="F775" s="95" t="n"/>
      <c r="G775" s="92">
        <f>IF(B775="","",IFERROR(INDEX(Roster!$C$6:$C$65,MATCH(B775,Roster!$B$6:$B$65,0)),"not on the Roster"))</f>
        <v/>
      </c>
      <c r="H775" s="95" t="n"/>
    </row>
    <row r="776">
      <c r="A776" s="122" t="n"/>
      <c r="B776" s="105" t="n"/>
      <c r="C776" s="105" t="n"/>
      <c r="D776" s="95" t="n"/>
      <c r="E776" s="95" t="n"/>
      <c r="F776" s="95" t="n"/>
      <c r="G776" s="92">
        <f>IF(B776="","",IFERROR(INDEX(Roster!$C$6:$C$65,MATCH(B776,Roster!$B$6:$B$65,0)),"not on the Roster"))</f>
        <v/>
      </c>
      <c r="H776" s="95" t="n"/>
    </row>
    <row r="777">
      <c r="A777" s="122" t="n"/>
      <c r="B777" s="105" t="n"/>
      <c r="C777" s="105" t="n"/>
      <c r="D777" s="95" t="n"/>
      <c r="E777" s="95" t="n"/>
      <c r="F777" s="95" t="n"/>
      <c r="G777" s="92">
        <f>IF(B777="","",IFERROR(INDEX(Roster!$C$6:$C$65,MATCH(B777,Roster!$B$6:$B$65,0)),"not on the Roster"))</f>
        <v/>
      </c>
      <c r="H777" s="95" t="n"/>
    </row>
    <row r="778">
      <c r="A778" s="122" t="n"/>
      <c r="B778" s="105" t="n"/>
      <c r="C778" s="105" t="n"/>
      <c r="D778" s="95" t="n"/>
      <c r="E778" s="95" t="n"/>
      <c r="F778" s="95" t="n"/>
      <c r="G778" s="92">
        <f>IF(B778="","",IFERROR(INDEX(Roster!$C$6:$C$65,MATCH(B778,Roster!$B$6:$B$65,0)),"not on the Roster"))</f>
        <v/>
      </c>
      <c r="H778" s="95" t="n"/>
    </row>
    <row r="779">
      <c r="A779" s="122" t="n"/>
      <c r="B779" s="105" t="n"/>
      <c r="C779" s="105" t="n"/>
      <c r="D779" s="95" t="n"/>
      <c r="E779" s="95" t="n"/>
      <c r="F779" s="95" t="n"/>
      <c r="G779" s="92">
        <f>IF(B779="","",IFERROR(INDEX(Roster!$C$6:$C$65,MATCH(B779,Roster!$B$6:$B$65,0)),"not on the Roster"))</f>
        <v/>
      </c>
      <c r="H779" s="95" t="n"/>
    </row>
    <row r="780">
      <c r="A780" s="122" t="n"/>
      <c r="B780" s="105" t="n"/>
      <c r="C780" s="105" t="n"/>
      <c r="D780" s="95" t="n"/>
      <c r="E780" s="95" t="n"/>
      <c r="F780" s="95" t="n"/>
      <c r="G780" s="92">
        <f>IF(B780="","",IFERROR(INDEX(Roster!$C$6:$C$65,MATCH(B780,Roster!$B$6:$B$65,0)),"not on the Roster"))</f>
        <v/>
      </c>
      <c r="H780" s="95" t="n"/>
    </row>
    <row r="781">
      <c r="A781" s="122" t="n"/>
      <c r="B781" s="105" t="n"/>
      <c r="C781" s="105" t="n"/>
      <c r="D781" s="95" t="n"/>
      <c r="E781" s="95" t="n"/>
      <c r="F781" s="95" t="n"/>
      <c r="G781" s="92">
        <f>IF(B781="","",IFERROR(INDEX(Roster!$C$6:$C$65,MATCH(B781,Roster!$B$6:$B$65,0)),"not on the Roster"))</f>
        <v/>
      </c>
      <c r="H781" s="95" t="n"/>
    </row>
    <row r="782">
      <c r="A782" s="122" t="n"/>
      <c r="B782" s="105" t="n"/>
      <c r="C782" s="105" t="n"/>
      <c r="D782" s="95" t="n"/>
      <c r="E782" s="95" t="n"/>
      <c r="F782" s="95" t="n"/>
      <c r="G782" s="92">
        <f>IF(B782="","",IFERROR(INDEX(Roster!$C$6:$C$65,MATCH(B782,Roster!$B$6:$B$65,0)),"not on the Roster"))</f>
        <v/>
      </c>
      <c r="H782" s="95" t="n"/>
    </row>
    <row r="783">
      <c r="A783" s="122" t="n"/>
      <c r="B783" s="105" t="n"/>
      <c r="C783" s="105" t="n"/>
      <c r="D783" s="95" t="n"/>
      <c r="E783" s="95" t="n"/>
      <c r="F783" s="95" t="n"/>
      <c r="G783" s="92">
        <f>IF(B783="","",IFERROR(INDEX(Roster!$C$6:$C$65,MATCH(B783,Roster!$B$6:$B$65,0)),"not on the Roster"))</f>
        <v/>
      </c>
      <c r="H783" s="95" t="n"/>
    </row>
    <row r="784">
      <c r="A784" s="122" t="n"/>
      <c r="B784" s="105" t="n"/>
      <c r="C784" s="105" t="n"/>
      <c r="D784" s="95" t="n"/>
      <c r="E784" s="95" t="n"/>
      <c r="F784" s="95" t="n"/>
      <c r="G784" s="92">
        <f>IF(B784="","",IFERROR(INDEX(Roster!$C$6:$C$65,MATCH(B784,Roster!$B$6:$B$65,0)),"not on the Roster"))</f>
        <v/>
      </c>
      <c r="H784" s="95" t="n"/>
    </row>
    <row r="785">
      <c r="A785" s="122" t="n"/>
      <c r="B785" s="105" t="n"/>
      <c r="C785" s="105" t="n"/>
      <c r="D785" s="95" t="n"/>
      <c r="E785" s="95" t="n"/>
      <c r="F785" s="95" t="n"/>
      <c r="G785" s="92">
        <f>IF(B785="","",IFERROR(INDEX(Roster!$C$6:$C$65,MATCH(B785,Roster!$B$6:$B$65,0)),"not on the Roster"))</f>
        <v/>
      </c>
      <c r="H785" s="95" t="n"/>
    </row>
    <row r="786">
      <c r="A786" s="122" t="n"/>
      <c r="B786" s="105" t="n"/>
      <c r="C786" s="105" t="n"/>
      <c r="D786" s="95" t="n"/>
      <c r="E786" s="95" t="n"/>
      <c r="F786" s="95" t="n"/>
      <c r="G786" s="92">
        <f>IF(B786="","",IFERROR(INDEX(Roster!$C$6:$C$65,MATCH(B786,Roster!$B$6:$B$65,0)),"not on the Roster"))</f>
        <v/>
      </c>
      <c r="H786" s="95" t="n"/>
    </row>
    <row r="787">
      <c r="A787" s="122" t="n"/>
      <c r="B787" s="105" t="n"/>
      <c r="C787" s="105" t="n"/>
      <c r="D787" s="95" t="n"/>
      <c r="E787" s="95" t="n"/>
      <c r="F787" s="95" t="n"/>
      <c r="G787" s="92">
        <f>IF(B787="","",IFERROR(INDEX(Roster!$C$6:$C$65,MATCH(B787,Roster!$B$6:$B$65,0)),"not on the Roster"))</f>
        <v/>
      </c>
      <c r="H787" s="95" t="n"/>
    </row>
    <row r="788">
      <c r="A788" s="122" t="n"/>
      <c r="B788" s="105" t="n"/>
      <c r="C788" s="105" t="n"/>
      <c r="D788" s="95" t="n"/>
      <c r="E788" s="95" t="n"/>
      <c r="F788" s="95" t="n"/>
      <c r="G788" s="92">
        <f>IF(B788="","",IFERROR(INDEX(Roster!$C$6:$C$65,MATCH(B788,Roster!$B$6:$B$65,0)),"not on the Roster"))</f>
        <v/>
      </c>
      <c r="H788" s="95" t="n"/>
    </row>
    <row r="789">
      <c r="A789" s="122" t="n"/>
      <c r="B789" s="105" t="n"/>
      <c r="C789" s="105" t="n"/>
      <c r="D789" s="95" t="n"/>
      <c r="E789" s="95" t="n"/>
      <c r="F789" s="95" t="n"/>
      <c r="G789" s="92">
        <f>IF(B789="","",IFERROR(INDEX(Roster!$C$6:$C$65,MATCH(B789,Roster!$B$6:$B$65,0)),"not on the Roster"))</f>
        <v/>
      </c>
      <c r="H789" s="95" t="n"/>
    </row>
    <row r="790">
      <c r="A790" s="122" t="n"/>
      <c r="B790" s="105" t="n"/>
      <c r="C790" s="105" t="n"/>
      <c r="D790" s="95" t="n"/>
      <c r="E790" s="95" t="n"/>
      <c r="F790" s="95" t="n"/>
      <c r="G790" s="92">
        <f>IF(B790="","",IFERROR(INDEX(Roster!$C$6:$C$65,MATCH(B790,Roster!$B$6:$B$65,0)),"not on the Roster"))</f>
        <v/>
      </c>
      <c r="H790" s="95" t="n"/>
    </row>
    <row r="791">
      <c r="A791" s="122" t="n"/>
      <c r="B791" s="105" t="n"/>
      <c r="C791" s="105" t="n"/>
      <c r="D791" s="95" t="n"/>
      <c r="E791" s="95" t="n"/>
      <c r="F791" s="95" t="n"/>
      <c r="G791" s="92">
        <f>IF(B791="","",IFERROR(INDEX(Roster!$C$6:$C$65,MATCH(B791,Roster!$B$6:$B$65,0)),"not on the Roster"))</f>
        <v/>
      </c>
      <c r="H791" s="95" t="n"/>
    </row>
    <row r="792">
      <c r="A792" s="122" t="n"/>
      <c r="B792" s="105" t="n"/>
      <c r="C792" s="105" t="n"/>
      <c r="D792" s="95" t="n"/>
      <c r="E792" s="95" t="n"/>
      <c r="F792" s="95" t="n"/>
      <c r="G792" s="92">
        <f>IF(B792="","",IFERROR(INDEX(Roster!$C$6:$C$65,MATCH(B792,Roster!$B$6:$B$65,0)),"not on the Roster"))</f>
        <v/>
      </c>
      <c r="H792" s="95" t="n"/>
    </row>
    <row r="793">
      <c r="A793" s="122" t="n"/>
      <c r="B793" s="105" t="n"/>
      <c r="C793" s="105" t="n"/>
      <c r="D793" s="95" t="n"/>
      <c r="E793" s="95" t="n"/>
      <c r="F793" s="95" t="n"/>
      <c r="G793" s="92">
        <f>IF(B793="","",IFERROR(INDEX(Roster!$C$6:$C$65,MATCH(B793,Roster!$B$6:$B$65,0)),"not on the Roster"))</f>
        <v/>
      </c>
      <c r="H793" s="95" t="n"/>
    </row>
    <row r="794">
      <c r="A794" s="122" t="n"/>
      <c r="B794" s="105" t="n"/>
      <c r="C794" s="105" t="n"/>
      <c r="D794" s="95" t="n"/>
      <c r="E794" s="95" t="n"/>
      <c r="F794" s="95" t="n"/>
      <c r="G794" s="92">
        <f>IF(B794="","",IFERROR(INDEX(Roster!$C$6:$C$65,MATCH(B794,Roster!$B$6:$B$65,0)),"not on the Roster"))</f>
        <v/>
      </c>
      <c r="H794" s="95" t="n"/>
    </row>
    <row r="795">
      <c r="A795" s="122" t="n"/>
      <c r="B795" s="105" t="n"/>
      <c r="C795" s="105" t="n"/>
      <c r="D795" s="95" t="n"/>
      <c r="E795" s="95" t="n"/>
      <c r="F795" s="95" t="n"/>
      <c r="G795" s="92">
        <f>IF(B795="","",IFERROR(INDEX(Roster!$C$6:$C$65,MATCH(B795,Roster!$B$6:$B$65,0)),"not on the Roster"))</f>
        <v/>
      </c>
      <c r="H795" s="95" t="n"/>
    </row>
    <row r="796">
      <c r="A796" s="122" t="n"/>
      <c r="B796" s="105" t="n"/>
      <c r="C796" s="105" t="n"/>
      <c r="D796" s="95" t="n"/>
      <c r="E796" s="95" t="n"/>
      <c r="F796" s="95" t="n"/>
      <c r="G796" s="92">
        <f>IF(B796="","",IFERROR(INDEX(Roster!$C$6:$C$65,MATCH(B796,Roster!$B$6:$B$65,0)),"not on the Roster"))</f>
        <v/>
      </c>
      <c r="H796" s="95" t="n"/>
    </row>
    <row r="797">
      <c r="A797" s="122" t="n"/>
      <c r="B797" s="105" t="n"/>
      <c r="C797" s="105" t="n"/>
      <c r="D797" s="95" t="n"/>
      <c r="E797" s="95" t="n"/>
      <c r="F797" s="95" t="n"/>
      <c r="G797" s="92">
        <f>IF(B797="","",IFERROR(INDEX(Roster!$C$6:$C$65,MATCH(B797,Roster!$B$6:$B$65,0)),"not on the Roster"))</f>
        <v/>
      </c>
      <c r="H797" s="95" t="n"/>
    </row>
    <row r="798">
      <c r="A798" s="122" t="n"/>
      <c r="B798" s="105" t="n"/>
      <c r="C798" s="105" t="n"/>
      <c r="D798" s="95" t="n"/>
      <c r="E798" s="95" t="n"/>
      <c r="F798" s="95" t="n"/>
      <c r="G798" s="92">
        <f>IF(B798="","",IFERROR(INDEX(Roster!$C$6:$C$65,MATCH(B798,Roster!$B$6:$B$65,0)),"not on the Roster"))</f>
        <v/>
      </c>
      <c r="H798" s="95" t="n"/>
    </row>
    <row r="799">
      <c r="A799" s="122" t="n"/>
      <c r="B799" s="105" t="n"/>
      <c r="C799" s="105" t="n"/>
      <c r="D799" s="95" t="n"/>
      <c r="E799" s="95" t="n"/>
      <c r="F799" s="95" t="n"/>
      <c r="G799" s="92">
        <f>IF(B799="","",IFERROR(INDEX(Roster!$C$6:$C$65,MATCH(B799,Roster!$B$6:$B$65,0)),"not on the Roster"))</f>
        <v/>
      </c>
      <c r="H799" s="95" t="n"/>
    </row>
    <row r="800">
      <c r="A800" s="122" t="n"/>
      <c r="B800" s="105" t="n"/>
      <c r="C800" s="105" t="n"/>
      <c r="D800" s="95" t="n"/>
      <c r="E800" s="95" t="n"/>
      <c r="F800" s="95" t="n"/>
      <c r="G800" s="92">
        <f>IF(B800="","",IFERROR(INDEX(Roster!$C$6:$C$65,MATCH(B800,Roster!$B$6:$B$65,0)),"not on the Roster"))</f>
        <v/>
      </c>
      <c r="H800" s="95" t="n"/>
    </row>
    <row r="801">
      <c r="A801" s="122" t="n"/>
      <c r="B801" s="105" t="n"/>
      <c r="C801" s="105" t="n"/>
      <c r="D801" s="95" t="n"/>
      <c r="E801" s="95" t="n"/>
      <c r="F801" s="95" t="n"/>
      <c r="G801" s="92">
        <f>IF(B801="","",IFERROR(INDEX(Roster!$C$6:$C$65,MATCH(B801,Roster!$B$6:$B$65,0)),"not on the Roster"))</f>
        <v/>
      </c>
      <c r="H801" s="95" t="n"/>
    </row>
    <row r="802">
      <c r="A802" s="122" t="n"/>
      <c r="B802" s="105" t="n"/>
      <c r="C802" s="105" t="n"/>
      <c r="D802" s="95" t="n"/>
      <c r="E802" s="95" t="n"/>
      <c r="F802" s="95" t="n"/>
      <c r="G802" s="92">
        <f>IF(B802="","",IFERROR(INDEX(Roster!$C$6:$C$65,MATCH(B802,Roster!$B$6:$B$65,0)),"not on the Roster"))</f>
        <v/>
      </c>
      <c r="H802" s="95" t="n"/>
    </row>
    <row r="803">
      <c r="A803" s="122" t="n"/>
      <c r="B803" s="105" t="n"/>
      <c r="C803" s="105" t="n"/>
      <c r="D803" s="95" t="n"/>
      <c r="E803" s="95" t="n"/>
      <c r="F803" s="95" t="n"/>
      <c r="G803" s="92">
        <f>IF(B803="","",IFERROR(INDEX(Roster!$C$6:$C$65,MATCH(B803,Roster!$B$6:$B$65,0)),"not on the Roster"))</f>
        <v/>
      </c>
      <c r="H803" s="95" t="n"/>
    </row>
    <row r="804">
      <c r="A804" s="122" t="n"/>
      <c r="B804" s="105" t="n"/>
      <c r="C804" s="105" t="n"/>
      <c r="D804" s="95" t="n"/>
      <c r="E804" s="95" t="n"/>
      <c r="F804" s="95" t="n"/>
      <c r="G804" s="92">
        <f>IF(B804="","",IFERROR(INDEX(Roster!$C$6:$C$65,MATCH(B804,Roster!$B$6:$B$65,0)),"not on the Roster"))</f>
        <v/>
      </c>
      <c r="H804" s="95" t="n"/>
    </row>
    <row r="805">
      <c r="A805" s="122" t="n"/>
      <c r="B805" s="105" t="n"/>
      <c r="C805" s="105" t="n"/>
      <c r="D805" s="95" t="n"/>
      <c r="E805" s="95" t="n"/>
      <c r="F805" s="95" t="n"/>
      <c r="G805" s="92">
        <f>IF(B805="","",IFERROR(INDEX(Roster!$C$6:$C$65,MATCH(B805,Roster!$B$6:$B$65,0)),"not on the Roster"))</f>
        <v/>
      </c>
      <c r="H805" s="95" t="n"/>
    </row>
    <row r="806">
      <c r="A806" s="122" t="n"/>
      <c r="B806" s="105" t="n"/>
      <c r="C806" s="105" t="n"/>
      <c r="D806" s="95" t="n"/>
      <c r="E806" s="95" t="n"/>
      <c r="F806" s="95" t="n"/>
      <c r="G806" s="92">
        <f>IF(B806="","",IFERROR(INDEX(Roster!$C$6:$C$65,MATCH(B806,Roster!$B$6:$B$65,0)),"not on the Roster"))</f>
        <v/>
      </c>
      <c r="H806" s="95" t="n"/>
    </row>
    <row r="807">
      <c r="A807" s="122" t="n"/>
      <c r="B807" s="105" t="n"/>
      <c r="C807" s="105" t="n"/>
      <c r="D807" s="95" t="n"/>
      <c r="E807" s="95" t="n"/>
      <c r="F807" s="95" t="n"/>
      <c r="G807" s="92">
        <f>IF(B807="","",IFERROR(INDEX(Roster!$C$6:$C$65,MATCH(B807,Roster!$B$6:$B$65,0)),"not on the Roster"))</f>
        <v/>
      </c>
      <c r="H807" s="95" t="n"/>
    </row>
    <row r="808">
      <c r="A808" s="122" t="n"/>
      <c r="B808" s="105" t="n"/>
      <c r="C808" s="105" t="n"/>
      <c r="D808" s="95" t="n"/>
      <c r="E808" s="95" t="n"/>
      <c r="F808" s="95" t="n"/>
      <c r="G808" s="92">
        <f>IF(B808="","",IFERROR(INDEX(Roster!$C$6:$C$65,MATCH(B808,Roster!$B$6:$B$65,0)),"not on the Roster"))</f>
        <v/>
      </c>
      <c r="H808" s="95" t="n"/>
    </row>
    <row r="809">
      <c r="A809" s="122" t="n"/>
      <c r="B809" s="105" t="n"/>
      <c r="C809" s="105" t="n"/>
      <c r="D809" s="95" t="n"/>
      <c r="E809" s="95" t="n"/>
      <c r="F809" s="95" t="n"/>
      <c r="G809" s="92">
        <f>IF(B809="","",IFERROR(INDEX(Roster!$C$6:$C$65,MATCH(B809,Roster!$B$6:$B$65,0)),"not on the Roster"))</f>
        <v/>
      </c>
      <c r="H809" s="95" t="n"/>
    </row>
    <row r="810">
      <c r="A810" s="122" t="n"/>
      <c r="B810" s="105" t="n"/>
      <c r="C810" s="105" t="n"/>
      <c r="D810" s="95" t="n"/>
      <c r="E810" s="95" t="n"/>
      <c r="F810" s="95" t="n"/>
      <c r="G810" s="92">
        <f>IF(B810="","",IFERROR(INDEX(Roster!$C$6:$C$65,MATCH(B810,Roster!$B$6:$B$65,0)),"not on the Roster"))</f>
        <v/>
      </c>
      <c r="H810" s="95" t="n"/>
    </row>
    <row r="811">
      <c r="A811" s="122" t="n"/>
      <c r="B811" s="105" t="n"/>
      <c r="C811" s="105" t="n"/>
      <c r="D811" s="95" t="n"/>
      <c r="E811" s="95" t="n"/>
      <c r="F811" s="95" t="n"/>
      <c r="G811" s="92">
        <f>IF(B811="","",IFERROR(INDEX(Roster!$C$6:$C$65,MATCH(B811,Roster!$B$6:$B$65,0)),"not on the Roster"))</f>
        <v/>
      </c>
      <c r="H811" s="95" t="n"/>
    </row>
    <row r="812">
      <c r="A812" s="122" t="n"/>
      <c r="B812" s="105" t="n"/>
      <c r="C812" s="105" t="n"/>
      <c r="D812" s="95" t="n"/>
      <c r="E812" s="95" t="n"/>
      <c r="F812" s="95" t="n"/>
      <c r="G812" s="92">
        <f>IF(B812="","",IFERROR(INDEX(Roster!$C$6:$C$65,MATCH(B812,Roster!$B$6:$B$65,0)),"not on the Roster"))</f>
        <v/>
      </c>
      <c r="H812" s="95" t="n"/>
    </row>
    <row r="813">
      <c r="A813" s="122" t="n"/>
      <c r="B813" s="105" t="n"/>
      <c r="C813" s="105" t="n"/>
      <c r="D813" s="95" t="n"/>
      <c r="E813" s="95" t="n"/>
      <c r="F813" s="95" t="n"/>
      <c r="G813" s="92">
        <f>IF(B813="","",IFERROR(INDEX(Roster!$C$6:$C$65,MATCH(B813,Roster!$B$6:$B$65,0)),"not on the Roster"))</f>
        <v/>
      </c>
      <c r="H813" s="95" t="n"/>
    </row>
    <row r="814">
      <c r="A814" s="122" t="n"/>
      <c r="B814" s="105" t="n"/>
      <c r="C814" s="105" t="n"/>
      <c r="D814" s="95" t="n"/>
      <c r="E814" s="95" t="n"/>
      <c r="F814" s="95" t="n"/>
      <c r="G814" s="92">
        <f>IF(B814="","",IFERROR(INDEX(Roster!$C$6:$C$65,MATCH(B814,Roster!$B$6:$B$65,0)),"not on the Roster"))</f>
        <v/>
      </c>
      <c r="H814" s="95" t="n"/>
    </row>
    <row r="815">
      <c r="A815" s="122" t="n"/>
      <c r="B815" s="105" t="n"/>
      <c r="C815" s="105" t="n"/>
      <c r="D815" s="95" t="n"/>
      <c r="E815" s="95" t="n"/>
      <c r="F815" s="95" t="n"/>
      <c r="G815" s="92">
        <f>IF(B815="","",IFERROR(INDEX(Roster!$C$6:$C$65,MATCH(B815,Roster!$B$6:$B$65,0)),"not on the Roster"))</f>
        <v/>
      </c>
      <c r="H815" s="95" t="n"/>
    </row>
    <row r="816">
      <c r="A816" s="122" t="n"/>
      <c r="B816" s="105" t="n"/>
      <c r="C816" s="105" t="n"/>
      <c r="D816" s="95" t="n"/>
      <c r="E816" s="95" t="n"/>
      <c r="F816" s="95" t="n"/>
      <c r="G816" s="92">
        <f>IF(B816="","",IFERROR(INDEX(Roster!$C$6:$C$65,MATCH(B816,Roster!$B$6:$B$65,0)),"not on the Roster"))</f>
        <v/>
      </c>
      <c r="H816" s="95" t="n"/>
    </row>
    <row r="817">
      <c r="A817" s="122" t="n"/>
      <c r="B817" s="105" t="n"/>
      <c r="C817" s="105" t="n"/>
      <c r="D817" s="95" t="n"/>
      <c r="E817" s="95" t="n"/>
      <c r="F817" s="95" t="n"/>
      <c r="G817" s="92">
        <f>IF(B817="","",IFERROR(INDEX(Roster!$C$6:$C$65,MATCH(B817,Roster!$B$6:$B$65,0)),"not on the Roster"))</f>
        <v/>
      </c>
      <c r="H817" s="95" t="n"/>
    </row>
    <row r="818">
      <c r="A818" s="122" t="n"/>
      <c r="B818" s="105" t="n"/>
      <c r="C818" s="105" t="n"/>
      <c r="D818" s="95" t="n"/>
      <c r="E818" s="95" t="n"/>
      <c r="F818" s="95" t="n"/>
      <c r="G818" s="92">
        <f>IF(B818="","",IFERROR(INDEX(Roster!$C$6:$C$65,MATCH(B818,Roster!$B$6:$B$65,0)),"not on the Roster"))</f>
        <v/>
      </c>
      <c r="H818" s="95" t="n"/>
    </row>
    <row r="819">
      <c r="A819" s="122" t="n"/>
      <c r="B819" s="105" t="n"/>
      <c r="C819" s="105" t="n"/>
      <c r="D819" s="95" t="n"/>
      <c r="E819" s="95" t="n"/>
      <c r="F819" s="95" t="n"/>
      <c r="G819" s="92">
        <f>IF(B819="","",IFERROR(INDEX(Roster!$C$6:$C$65,MATCH(B819,Roster!$B$6:$B$65,0)),"not on the Roster"))</f>
        <v/>
      </c>
      <c r="H819" s="95" t="n"/>
    </row>
    <row r="820">
      <c r="A820" s="122" t="n"/>
      <c r="B820" s="105" t="n"/>
      <c r="C820" s="105" t="n"/>
      <c r="D820" s="95" t="n"/>
      <c r="E820" s="95" t="n"/>
      <c r="F820" s="95" t="n"/>
      <c r="G820" s="92">
        <f>IF(B820="","",IFERROR(INDEX(Roster!$C$6:$C$65,MATCH(B820,Roster!$B$6:$B$65,0)),"not on the Roster"))</f>
        <v/>
      </c>
      <c r="H820" s="95" t="n"/>
    </row>
    <row r="821">
      <c r="A821" s="122" t="n"/>
      <c r="B821" s="105" t="n"/>
      <c r="C821" s="105" t="n"/>
      <c r="D821" s="95" t="n"/>
      <c r="E821" s="95" t="n"/>
      <c r="F821" s="95" t="n"/>
      <c r="G821" s="92">
        <f>IF(B821="","",IFERROR(INDEX(Roster!$C$6:$C$65,MATCH(B821,Roster!$B$6:$B$65,0)),"not on the Roster"))</f>
        <v/>
      </c>
      <c r="H821" s="95" t="n"/>
    </row>
    <row r="822">
      <c r="A822" s="122" t="n"/>
      <c r="B822" s="105" t="n"/>
      <c r="C822" s="105" t="n"/>
      <c r="D822" s="95" t="n"/>
      <c r="E822" s="95" t="n"/>
      <c r="F822" s="95" t="n"/>
      <c r="G822" s="92">
        <f>IF(B822="","",IFERROR(INDEX(Roster!$C$6:$C$65,MATCH(B822,Roster!$B$6:$B$65,0)),"not on the Roster"))</f>
        <v/>
      </c>
      <c r="H822" s="95" t="n"/>
    </row>
    <row r="823">
      <c r="A823" s="122" t="n"/>
      <c r="B823" s="105" t="n"/>
      <c r="C823" s="105" t="n"/>
      <c r="D823" s="95" t="n"/>
      <c r="E823" s="95" t="n"/>
      <c r="F823" s="95" t="n"/>
      <c r="G823" s="92">
        <f>IF(B823="","",IFERROR(INDEX(Roster!$C$6:$C$65,MATCH(B823,Roster!$B$6:$B$65,0)),"not on the Roster"))</f>
        <v/>
      </c>
      <c r="H823" s="95" t="n"/>
    </row>
    <row r="824">
      <c r="A824" s="122" t="n"/>
      <c r="B824" s="105" t="n"/>
      <c r="C824" s="105" t="n"/>
      <c r="D824" s="95" t="n"/>
      <c r="E824" s="95" t="n"/>
      <c r="F824" s="95" t="n"/>
      <c r="G824" s="92">
        <f>IF(B824="","",IFERROR(INDEX(Roster!$C$6:$C$65,MATCH(B824,Roster!$B$6:$B$65,0)),"not on the Roster"))</f>
        <v/>
      </c>
      <c r="H824" s="95" t="n"/>
    </row>
    <row r="825">
      <c r="A825" s="122" t="n"/>
      <c r="B825" s="105" t="n"/>
      <c r="C825" s="105" t="n"/>
      <c r="D825" s="95" t="n"/>
      <c r="E825" s="95" t="n"/>
      <c r="F825" s="95" t="n"/>
      <c r="G825" s="92">
        <f>IF(B825="","",IFERROR(INDEX(Roster!$C$6:$C$65,MATCH(B825,Roster!$B$6:$B$65,0)),"not on the Roster"))</f>
        <v/>
      </c>
      <c r="H825" s="95" t="n"/>
    </row>
    <row r="826">
      <c r="A826" s="122" t="n"/>
      <c r="B826" s="105" t="n"/>
      <c r="C826" s="105" t="n"/>
      <c r="D826" s="95" t="n"/>
      <c r="E826" s="95" t="n"/>
      <c r="F826" s="95" t="n"/>
      <c r="G826" s="92">
        <f>IF(B826="","",IFERROR(INDEX(Roster!$C$6:$C$65,MATCH(B826,Roster!$B$6:$B$65,0)),"not on the Roster"))</f>
        <v/>
      </c>
      <c r="H826" s="95" t="n"/>
    </row>
    <row r="827">
      <c r="A827" s="122" t="n"/>
      <c r="B827" s="105" t="n"/>
      <c r="C827" s="105" t="n"/>
      <c r="D827" s="95" t="n"/>
      <c r="E827" s="95" t="n"/>
      <c r="F827" s="95" t="n"/>
      <c r="G827" s="92">
        <f>IF(B827="","",IFERROR(INDEX(Roster!$C$6:$C$65,MATCH(B827,Roster!$B$6:$B$65,0)),"not on the Roster"))</f>
        <v/>
      </c>
      <c r="H827" s="95" t="n"/>
    </row>
    <row r="828">
      <c r="A828" s="122" t="n"/>
      <c r="B828" s="105" t="n"/>
      <c r="C828" s="105" t="n"/>
      <c r="D828" s="95" t="n"/>
      <c r="E828" s="95" t="n"/>
      <c r="F828" s="95" t="n"/>
      <c r="G828" s="92">
        <f>IF(B828="","",IFERROR(INDEX(Roster!$C$6:$C$65,MATCH(B828,Roster!$B$6:$B$65,0)),"not on the Roster"))</f>
        <v/>
      </c>
      <c r="H828" s="95" t="n"/>
    </row>
    <row r="829">
      <c r="A829" s="122" t="n"/>
      <c r="B829" s="105" t="n"/>
      <c r="C829" s="105" t="n"/>
      <c r="D829" s="95" t="n"/>
      <c r="E829" s="95" t="n"/>
      <c r="F829" s="95" t="n"/>
      <c r="G829" s="92">
        <f>IF(B829="","",IFERROR(INDEX(Roster!$C$6:$C$65,MATCH(B829,Roster!$B$6:$B$65,0)),"not on the Roster"))</f>
        <v/>
      </c>
      <c r="H829" s="95" t="n"/>
    </row>
    <row r="830">
      <c r="A830" s="122" t="n"/>
      <c r="B830" s="105" t="n"/>
      <c r="C830" s="105" t="n"/>
      <c r="D830" s="95" t="n"/>
      <c r="E830" s="95" t="n"/>
      <c r="F830" s="95" t="n"/>
      <c r="G830" s="92">
        <f>IF(B830="","",IFERROR(INDEX(Roster!$C$6:$C$65,MATCH(B830,Roster!$B$6:$B$65,0)),"not on the Roster"))</f>
        <v/>
      </c>
      <c r="H830" s="95" t="n"/>
    </row>
    <row r="831">
      <c r="A831" s="122" t="n"/>
      <c r="B831" s="105" t="n"/>
      <c r="C831" s="105" t="n"/>
      <c r="D831" s="95" t="n"/>
      <c r="E831" s="95" t="n"/>
      <c r="F831" s="95" t="n"/>
      <c r="G831" s="92">
        <f>IF(B831="","",IFERROR(INDEX(Roster!$C$6:$C$65,MATCH(B831,Roster!$B$6:$B$65,0)),"not on the Roster"))</f>
        <v/>
      </c>
      <c r="H831" s="95" t="n"/>
    </row>
    <row r="832">
      <c r="A832" s="122" t="n"/>
      <c r="B832" s="105" t="n"/>
      <c r="C832" s="105" t="n"/>
      <c r="D832" s="95" t="n"/>
      <c r="E832" s="95" t="n"/>
      <c r="F832" s="95" t="n"/>
      <c r="G832" s="92">
        <f>IF(B832="","",IFERROR(INDEX(Roster!$C$6:$C$65,MATCH(B832,Roster!$B$6:$B$65,0)),"not on the Roster"))</f>
        <v/>
      </c>
      <c r="H832" s="95" t="n"/>
    </row>
    <row r="833">
      <c r="A833" s="122" t="n"/>
      <c r="B833" s="105" t="n"/>
      <c r="C833" s="105" t="n"/>
      <c r="D833" s="95" t="n"/>
      <c r="E833" s="95" t="n"/>
      <c r="F833" s="95" t="n"/>
      <c r="G833" s="92">
        <f>IF(B833="","",IFERROR(INDEX(Roster!$C$6:$C$65,MATCH(B833,Roster!$B$6:$B$65,0)),"not on the Roster"))</f>
        <v/>
      </c>
      <c r="H833" s="95" t="n"/>
    </row>
    <row r="834">
      <c r="A834" s="122" t="n"/>
      <c r="B834" s="105" t="n"/>
      <c r="C834" s="105" t="n"/>
      <c r="D834" s="95" t="n"/>
      <c r="E834" s="95" t="n"/>
      <c r="F834" s="95" t="n"/>
      <c r="G834" s="92">
        <f>IF(B834="","",IFERROR(INDEX(Roster!$C$6:$C$65,MATCH(B834,Roster!$B$6:$B$65,0)),"not on the Roster"))</f>
        <v/>
      </c>
      <c r="H834" s="95" t="n"/>
    </row>
    <row r="835">
      <c r="A835" s="122" t="n"/>
      <c r="B835" s="105" t="n"/>
      <c r="C835" s="105" t="n"/>
      <c r="D835" s="95" t="n"/>
      <c r="E835" s="95" t="n"/>
      <c r="F835" s="95" t="n"/>
      <c r="G835" s="92">
        <f>IF(B835="","",IFERROR(INDEX(Roster!$C$6:$C$65,MATCH(B835,Roster!$B$6:$B$65,0)),"not on the Roster"))</f>
        <v/>
      </c>
      <c r="H835" s="95" t="n"/>
    </row>
    <row r="836">
      <c r="A836" s="122" t="n"/>
      <c r="B836" s="105" t="n"/>
      <c r="C836" s="105" t="n"/>
      <c r="D836" s="95" t="n"/>
      <c r="E836" s="95" t="n"/>
      <c r="F836" s="95" t="n"/>
      <c r="G836" s="92">
        <f>IF(B836="","",IFERROR(INDEX(Roster!$C$6:$C$65,MATCH(B836,Roster!$B$6:$B$65,0)),"not on the Roster"))</f>
        <v/>
      </c>
      <c r="H836" s="95" t="n"/>
    </row>
    <row r="837">
      <c r="A837" s="122" t="n"/>
      <c r="B837" s="105" t="n"/>
      <c r="C837" s="105" t="n"/>
      <c r="D837" s="95" t="n"/>
      <c r="E837" s="95" t="n"/>
      <c r="F837" s="95" t="n"/>
      <c r="G837" s="92">
        <f>IF(B837="","",IFERROR(INDEX(Roster!$C$6:$C$65,MATCH(B837,Roster!$B$6:$B$65,0)),"not on the Roster"))</f>
        <v/>
      </c>
      <c r="H837" s="95" t="n"/>
    </row>
    <row r="838">
      <c r="A838" s="122" t="n"/>
      <c r="B838" s="105" t="n"/>
      <c r="C838" s="105" t="n"/>
      <c r="D838" s="95" t="n"/>
      <c r="E838" s="95" t="n"/>
      <c r="F838" s="95" t="n"/>
      <c r="G838" s="92">
        <f>IF(B838="","",IFERROR(INDEX(Roster!$C$6:$C$65,MATCH(B838,Roster!$B$6:$B$65,0)),"not on the Roster"))</f>
        <v/>
      </c>
      <c r="H838" s="95" t="n"/>
    </row>
    <row r="839">
      <c r="A839" s="122" t="n"/>
      <c r="B839" s="105" t="n"/>
      <c r="C839" s="105" t="n"/>
      <c r="D839" s="95" t="n"/>
      <c r="E839" s="95" t="n"/>
      <c r="F839" s="95" t="n"/>
      <c r="G839" s="92">
        <f>IF(B839="","",IFERROR(INDEX(Roster!$C$6:$C$65,MATCH(B839,Roster!$B$6:$B$65,0)),"not on the Roster"))</f>
        <v/>
      </c>
      <c r="H839" s="95" t="n"/>
    </row>
    <row r="840">
      <c r="A840" s="122" t="n"/>
      <c r="B840" s="105" t="n"/>
      <c r="C840" s="105" t="n"/>
      <c r="D840" s="95" t="n"/>
      <c r="E840" s="95" t="n"/>
      <c r="F840" s="95" t="n"/>
      <c r="G840" s="92">
        <f>IF(B840="","",IFERROR(INDEX(Roster!$C$6:$C$65,MATCH(B840,Roster!$B$6:$B$65,0)),"not on the Roster"))</f>
        <v/>
      </c>
      <c r="H840" s="95" t="n"/>
    </row>
    <row r="841">
      <c r="A841" s="122" t="n"/>
      <c r="B841" s="105" t="n"/>
      <c r="C841" s="105" t="n"/>
      <c r="D841" s="95" t="n"/>
      <c r="E841" s="95" t="n"/>
      <c r="F841" s="95" t="n"/>
      <c r="G841" s="92">
        <f>IF(B841="","",IFERROR(INDEX(Roster!$C$6:$C$65,MATCH(B841,Roster!$B$6:$B$65,0)),"not on the Roster"))</f>
        <v/>
      </c>
      <c r="H841" s="95" t="n"/>
    </row>
    <row r="842">
      <c r="A842" s="122" t="n"/>
      <c r="B842" s="105" t="n"/>
      <c r="C842" s="105" t="n"/>
      <c r="D842" s="95" t="n"/>
      <c r="E842" s="95" t="n"/>
      <c r="F842" s="95" t="n"/>
      <c r="G842" s="92">
        <f>IF(B842="","",IFERROR(INDEX(Roster!$C$6:$C$65,MATCH(B842,Roster!$B$6:$B$65,0)),"not on the Roster"))</f>
        <v/>
      </c>
      <c r="H842" s="95" t="n"/>
    </row>
    <row r="843">
      <c r="A843" s="122" t="n"/>
      <c r="B843" s="105" t="n"/>
      <c r="C843" s="105" t="n"/>
      <c r="D843" s="95" t="n"/>
      <c r="E843" s="95" t="n"/>
      <c r="F843" s="95" t="n"/>
      <c r="G843" s="92">
        <f>IF(B843="","",IFERROR(INDEX(Roster!$C$6:$C$65,MATCH(B843,Roster!$B$6:$B$65,0)),"not on the Roster"))</f>
        <v/>
      </c>
      <c r="H843" s="95" t="n"/>
    </row>
    <row r="844">
      <c r="A844" s="122" t="n"/>
      <c r="B844" s="105" t="n"/>
      <c r="C844" s="105" t="n"/>
      <c r="D844" s="95" t="n"/>
      <c r="E844" s="95" t="n"/>
      <c r="F844" s="95" t="n"/>
      <c r="G844" s="92">
        <f>IF(B844="","",IFERROR(INDEX(Roster!$C$6:$C$65,MATCH(B844,Roster!$B$6:$B$65,0)),"not on the Roster"))</f>
        <v/>
      </c>
      <c r="H844" s="95" t="n"/>
    </row>
    <row r="845">
      <c r="A845" s="122" t="n"/>
      <c r="B845" s="105" t="n"/>
      <c r="C845" s="105" t="n"/>
      <c r="D845" s="95" t="n"/>
      <c r="E845" s="95" t="n"/>
      <c r="F845" s="95" t="n"/>
      <c r="G845" s="92">
        <f>IF(B845="","",IFERROR(INDEX(Roster!$C$6:$C$65,MATCH(B845,Roster!$B$6:$B$65,0)),"not on the Roster"))</f>
        <v/>
      </c>
      <c r="H845" s="95" t="n"/>
    </row>
    <row r="846">
      <c r="A846" s="122" t="n"/>
      <c r="B846" s="105" t="n"/>
      <c r="C846" s="105" t="n"/>
      <c r="D846" s="95" t="n"/>
      <c r="E846" s="95" t="n"/>
      <c r="F846" s="95" t="n"/>
      <c r="G846" s="92">
        <f>IF(B846="","",IFERROR(INDEX(Roster!$C$6:$C$65,MATCH(B846,Roster!$B$6:$B$65,0)),"not on the Roster"))</f>
        <v/>
      </c>
      <c r="H846" s="95" t="n"/>
    </row>
    <row r="847">
      <c r="A847" s="122" t="n"/>
      <c r="B847" s="105" t="n"/>
      <c r="C847" s="105" t="n"/>
      <c r="D847" s="95" t="n"/>
      <c r="E847" s="95" t="n"/>
      <c r="F847" s="95" t="n"/>
      <c r="G847" s="92">
        <f>IF(B847="","",IFERROR(INDEX(Roster!$C$6:$C$65,MATCH(B847,Roster!$B$6:$B$65,0)),"not on the Roster"))</f>
        <v/>
      </c>
      <c r="H847" s="95" t="n"/>
    </row>
    <row r="848">
      <c r="A848" s="122" t="n"/>
      <c r="B848" s="105" t="n"/>
      <c r="C848" s="105" t="n"/>
      <c r="D848" s="95" t="n"/>
      <c r="E848" s="95" t="n"/>
      <c r="F848" s="95" t="n"/>
      <c r="G848" s="92">
        <f>IF(B848="","",IFERROR(INDEX(Roster!$C$6:$C$65,MATCH(B848,Roster!$B$6:$B$65,0)),"not on the Roster"))</f>
        <v/>
      </c>
      <c r="H848" s="95" t="n"/>
    </row>
    <row r="849">
      <c r="A849" s="122" t="n"/>
      <c r="B849" s="105" t="n"/>
      <c r="C849" s="105" t="n"/>
      <c r="D849" s="95" t="n"/>
      <c r="E849" s="95" t="n"/>
      <c r="F849" s="95" t="n"/>
      <c r="G849" s="92">
        <f>IF(B849="","",IFERROR(INDEX(Roster!$C$6:$C$65,MATCH(B849,Roster!$B$6:$B$65,0)),"not on the Roster"))</f>
        <v/>
      </c>
      <c r="H849" s="95" t="n"/>
    </row>
    <row r="850">
      <c r="A850" s="122" t="n"/>
      <c r="B850" s="105" t="n"/>
      <c r="C850" s="105" t="n"/>
      <c r="D850" s="95" t="n"/>
      <c r="E850" s="95" t="n"/>
      <c r="F850" s="95" t="n"/>
      <c r="G850" s="92">
        <f>IF(B850="","",IFERROR(INDEX(Roster!$C$6:$C$65,MATCH(B850,Roster!$B$6:$B$65,0)),"not on the Roster"))</f>
        <v/>
      </c>
      <c r="H850" s="95" t="n"/>
    </row>
    <row r="851">
      <c r="A851" s="122" t="n"/>
      <c r="B851" s="105" t="n"/>
      <c r="C851" s="105" t="n"/>
      <c r="D851" s="95" t="n"/>
      <c r="E851" s="95" t="n"/>
      <c r="F851" s="95" t="n"/>
      <c r="G851" s="92">
        <f>IF(B851="","",IFERROR(INDEX(Roster!$C$6:$C$65,MATCH(B851,Roster!$B$6:$B$65,0)),"not on the Roster"))</f>
        <v/>
      </c>
      <c r="H851" s="95" t="n"/>
    </row>
    <row r="852">
      <c r="A852" s="122" t="n"/>
      <c r="B852" s="105" t="n"/>
      <c r="C852" s="105" t="n"/>
      <c r="D852" s="95" t="n"/>
      <c r="E852" s="95" t="n"/>
      <c r="F852" s="95" t="n"/>
      <c r="G852" s="92">
        <f>IF(B852="","",IFERROR(INDEX(Roster!$C$6:$C$65,MATCH(B852,Roster!$B$6:$B$65,0)),"not on the Roster"))</f>
        <v/>
      </c>
      <c r="H852" s="95" t="n"/>
    </row>
    <row r="853">
      <c r="A853" s="122" t="n"/>
      <c r="B853" s="105" t="n"/>
      <c r="C853" s="105" t="n"/>
      <c r="D853" s="95" t="n"/>
      <c r="E853" s="95" t="n"/>
      <c r="F853" s="95" t="n"/>
      <c r="G853" s="92">
        <f>IF(B853="","",IFERROR(INDEX(Roster!$C$6:$C$65,MATCH(B853,Roster!$B$6:$B$65,0)),"not on the Roster"))</f>
        <v/>
      </c>
      <c r="H853" s="95" t="n"/>
    </row>
    <row r="854">
      <c r="A854" s="122" t="n"/>
      <c r="B854" s="105" t="n"/>
      <c r="C854" s="105" t="n"/>
      <c r="D854" s="95" t="n"/>
      <c r="E854" s="95" t="n"/>
      <c r="F854" s="95" t="n"/>
      <c r="G854" s="92">
        <f>IF(B854="","",IFERROR(INDEX(Roster!$C$6:$C$65,MATCH(B854,Roster!$B$6:$B$65,0)),"not on the Roster"))</f>
        <v/>
      </c>
      <c r="H854" s="95" t="n"/>
    </row>
    <row r="855">
      <c r="A855" s="122" t="n"/>
      <c r="B855" s="105" t="n"/>
      <c r="C855" s="105" t="n"/>
      <c r="D855" s="95" t="n"/>
      <c r="E855" s="95" t="n"/>
      <c r="F855" s="95" t="n"/>
      <c r="G855" s="92">
        <f>IF(B855="","",IFERROR(INDEX(Roster!$C$6:$C$65,MATCH(B855,Roster!$B$6:$B$65,0)),"not on the Roster"))</f>
        <v/>
      </c>
      <c r="H855" s="95" t="n"/>
    </row>
    <row r="856">
      <c r="A856" s="122" t="n"/>
      <c r="B856" s="105" t="n"/>
      <c r="C856" s="105" t="n"/>
      <c r="D856" s="95" t="n"/>
      <c r="E856" s="95" t="n"/>
      <c r="F856" s="95" t="n"/>
      <c r="G856" s="92">
        <f>IF(B856="","",IFERROR(INDEX(Roster!$C$6:$C$65,MATCH(B856,Roster!$B$6:$B$65,0)),"not on the Roster"))</f>
        <v/>
      </c>
      <c r="H856" s="95" t="n"/>
    </row>
    <row r="857">
      <c r="A857" s="122" t="n"/>
      <c r="B857" s="105" t="n"/>
      <c r="C857" s="105" t="n"/>
      <c r="D857" s="95" t="n"/>
      <c r="E857" s="95" t="n"/>
      <c r="F857" s="95" t="n"/>
      <c r="G857" s="92">
        <f>IF(B857="","",IFERROR(INDEX(Roster!$C$6:$C$65,MATCH(B857,Roster!$B$6:$B$65,0)),"not on the Roster"))</f>
        <v/>
      </c>
      <c r="H857" s="95" t="n"/>
    </row>
    <row r="858">
      <c r="A858" s="122" t="n"/>
      <c r="B858" s="105" t="n"/>
      <c r="C858" s="105" t="n"/>
      <c r="D858" s="95" t="n"/>
      <c r="E858" s="95" t="n"/>
      <c r="F858" s="95" t="n"/>
      <c r="G858" s="92">
        <f>IF(B858="","",IFERROR(INDEX(Roster!$C$6:$C$65,MATCH(B858,Roster!$B$6:$B$65,0)),"not on the Roster"))</f>
        <v/>
      </c>
      <c r="H858" s="95" t="n"/>
    </row>
    <row r="859">
      <c r="A859" s="122" t="n"/>
      <c r="B859" s="105" t="n"/>
      <c r="C859" s="105" t="n"/>
      <c r="D859" s="95" t="n"/>
      <c r="E859" s="95" t="n"/>
      <c r="F859" s="95" t="n"/>
      <c r="G859" s="92">
        <f>IF(B859="","",IFERROR(INDEX(Roster!$C$6:$C$65,MATCH(B859,Roster!$B$6:$B$65,0)),"not on the Roster"))</f>
        <v/>
      </c>
      <c r="H859" s="95" t="n"/>
    </row>
    <row r="860">
      <c r="A860" s="122" t="n"/>
      <c r="B860" s="105" t="n"/>
      <c r="C860" s="105" t="n"/>
      <c r="D860" s="95" t="n"/>
      <c r="E860" s="95" t="n"/>
      <c r="F860" s="95" t="n"/>
      <c r="G860" s="92">
        <f>IF(B860="","",IFERROR(INDEX(Roster!$C$6:$C$65,MATCH(B860,Roster!$B$6:$B$65,0)),"not on the Roster"))</f>
        <v/>
      </c>
      <c r="H860" s="95" t="n"/>
    </row>
    <row r="861">
      <c r="A861" s="122" t="n"/>
      <c r="B861" s="105" t="n"/>
      <c r="C861" s="105" t="n"/>
      <c r="D861" s="95" t="n"/>
      <c r="E861" s="95" t="n"/>
      <c r="F861" s="95" t="n"/>
      <c r="G861" s="92">
        <f>IF(B861="","",IFERROR(INDEX(Roster!$C$6:$C$65,MATCH(B861,Roster!$B$6:$B$65,0)),"not on the Roster"))</f>
        <v/>
      </c>
      <c r="H861" s="95" t="n"/>
    </row>
    <row r="862">
      <c r="A862" s="122" t="n"/>
      <c r="B862" s="105" t="n"/>
      <c r="C862" s="105" t="n"/>
      <c r="D862" s="95" t="n"/>
      <c r="E862" s="95" t="n"/>
      <c r="F862" s="95" t="n"/>
      <c r="G862" s="92">
        <f>IF(B862="","",IFERROR(INDEX(Roster!$C$6:$C$65,MATCH(B862,Roster!$B$6:$B$65,0)),"not on the Roster"))</f>
        <v/>
      </c>
      <c r="H862" s="95" t="n"/>
    </row>
    <row r="863">
      <c r="A863" s="122" t="n"/>
      <c r="B863" s="105" t="n"/>
      <c r="C863" s="105" t="n"/>
      <c r="D863" s="95" t="n"/>
      <c r="E863" s="95" t="n"/>
      <c r="F863" s="95" t="n"/>
      <c r="G863" s="92">
        <f>IF(B863="","",IFERROR(INDEX(Roster!$C$6:$C$65,MATCH(B863,Roster!$B$6:$B$65,0)),"not on the Roster"))</f>
        <v/>
      </c>
      <c r="H863" s="95" t="n"/>
    </row>
    <row r="864">
      <c r="A864" s="122" t="n"/>
      <c r="B864" s="105" t="n"/>
      <c r="C864" s="105" t="n"/>
      <c r="D864" s="95" t="n"/>
      <c r="E864" s="95" t="n"/>
      <c r="F864" s="95" t="n"/>
      <c r="G864" s="92">
        <f>IF(B864="","",IFERROR(INDEX(Roster!$C$6:$C$65,MATCH(B864,Roster!$B$6:$B$65,0)),"not on the Roster"))</f>
        <v/>
      </c>
      <c r="H864" s="95" t="n"/>
    </row>
    <row r="865">
      <c r="A865" s="122" t="n"/>
      <c r="B865" s="105" t="n"/>
      <c r="C865" s="105" t="n"/>
      <c r="D865" s="95" t="n"/>
      <c r="E865" s="95" t="n"/>
      <c r="F865" s="95" t="n"/>
      <c r="G865" s="92">
        <f>IF(B865="","",IFERROR(INDEX(Roster!$C$6:$C$65,MATCH(B865,Roster!$B$6:$B$65,0)),"not on the Roster"))</f>
        <v/>
      </c>
      <c r="H865" s="95" t="n"/>
    </row>
    <row r="866">
      <c r="A866" s="122" t="n"/>
      <c r="B866" s="105" t="n"/>
      <c r="C866" s="105" t="n"/>
      <c r="D866" s="95" t="n"/>
      <c r="E866" s="95" t="n"/>
      <c r="F866" s="95" t="n"/>
      <c r="G866" s="92">
        <f>IF(B866="","",IFERROR(INDEX(Roster!$C$6:$C$65,MATCH(B866,Roster!$B$6:$B$65,0)),"not on the Roster"))</f>
        <v/>
      </c>
      <c r="H866" s="95" t="n"/>
    </row>
    <row r="867">
      <c r="A867" s="122" t="n"/>
      <c r="B867" s="105" t="n"/>
      <c r="C867" s="105" t="n"/>
      <c r="D867" s="95" t="n"/>
      <c r="E867" s="95" t="n"/>
      <c r="F867" s="95" t="n"/>
      <c r="G867" s="92">
        <f>IF(B867="","",IFERROR(INDEX(Roster!$C$6:$C$65,MATCH(B867,Roster!$B$6:$B$65,0)),"not on the Roster"))</f>
        <v/>
      </c>
      <c r="H867" s="95" t="n"/>
    </row>
    <row r="868">
      <c r="A868" s="122" t="n"/>
      <c r="B868" s="105" t="n"/>
      <c r="C868" s="105" t="n"/>
      <c r="D868" s="95" t="n"/>
      <c r="E868" s="95" t="n"/>
      <c r="F868" s="95" t="n"/>
      <c r="G868" s="92">
        <f>IF(B868="","",IFERROR(INDEX(Roster!$C$6:$C$65,MATCH(B868,Roster!$B$6:$B$65,0)),"not on the Roster"))</f>
        <v/>
      </c>
      <c r="H868" s="95" t="n"/>
    </row>
    <row r="869">
      <c r="A869" s="122" t="n"/>
      <c r="B869" s="105" t="n"/>
      <c r="C869" s="105" t="n"/>
      <c r="D869" s="95" t="n"/>
      <c r="E869" s="95" t="n"/>
      <c r="F869" s="95" t="n"/>
      <c r="G869" s="92">
        <f>IF(B869="","",IFERROR(INDEX(Roster!$C$6:$C$65,MATCH(B869,Roster!$B$6:$B$65,0)),"not on the Roster"))</f>
        <v/>
      </c>
      <c r="H869" s="95" t="n"/>
    </row>
    <row r="870">
      <c r="A870" s="122" t="n"/>
      <c r="B870" s="105" t="n"/>
      <c r="C870" s="105" t="n"/>
      <c r="D870" s="95" t="n"/>
      <c r="E870" s="95" t="n"/>
      <c r="F870" s="95" t="n"/>
      <c r="G870" s="92">
        <f>IF(B870="","",IFERROR(INDEX(Roster!$C$6:$C$65,MATCH(B870,Roster!$B$6:$B$65,0)),"not on the Roster"))</f>
        <v/>
      </c>
      <c r="H870" s="95" t="n"/>
    </row>
    <row r="871">
      <c r="A871" s="122" t="n"/>
      <c r="B871" s="105" t="n"/>
      <c r="C871" s="105" t="n"/>
      <c r="D871" s="95" t="n"/>
      <c r="E871" s="95" t="n"/>
      <c r="F871" s="95" t="n"/>
      <c r="G871" s="92">
        <f>IF(B871="","",IFERROR(INDEX(Roster!$C$6:$C$65,MATCH(B871,Roster!$B$6:$B$65,0)),"not on the Roster"))</f>
        <v/>
      </c>
      <c r="H871" s="95" t="n"/>
    </row>
    <row r="872">
      <c r="A872" s="122" t="n"/>
      <c r="B872" s="105" t="n"/>
      <c r="C872" s="105" t="n"/>
      <c r="D872" s="95" t="n"/>
      <c r="E872" s="95" t="n"/>
      <c r="F872" s="95" t="n"/>
      <c r="G872" s="92">
        <f>IF(B872="","",IFERROR(INDEX(Roster!$C$6:$C$65,MATCH(B872,Roster!$B$6:$B$65,0)),"not on the Roster"))</f>
        <v/>
      </c>
      <c r="H872" s="95" t="n"/>
    </row>
    <row r="873">
      <c r="A873" s="122" t="n"/>
      <c r="B873" s="105" t="n"/>
      <c r="C873" s="105" t="n"/>
      <c r="D873" s="95" t="n"/>
      <c r="E873" s="95" t="n"/>
      <c r="F873" s="95" t="n"/>
      <c r="G873" s="92">
        <f>IF(B873="","",IFERROR(INDEX(Roster!$C$6:$C$65,MATCH(B873,Roster!$B$6:$B$65,0)),"not on the Roster"))</f>
        <v/>
      </c>
      <c r="H873" s="95" t="n"/>
    </row>
    <row r="874">
      <c r="A874" s="122" t="n"/>
      <c r="B874" s="105" t="n"/>
      <c r="C874" s="105" t="n"/>
      <c r="D874" s="95" t="n"/>
      <c r="E874" s="95" t="n"/>
      <c r="F874" s="95" t="n"/>
      <c r="G874" s="92">
        <f>IF(B874="","",IFERROR(INDEX(Roster!$C$6:$C$65,MATCH(B874,Roster!$B$6:$B$65,0)),"not on the Roster"))</f>
        <v/>
      </c>
      <c r="H874" s="95" t="n"/>
    </row>
    <row r="875">
      <c r="A875" s="122" t="n"/>
      <c r="B875" s="105" t="n"/>
      <c r="C875" s="105" t="n"/>
      <c r="D875" s="95" t="n"/>
      <c r="E875" s="95" t="n"/>
      <c r="F875" s="95" t="n"/>
      <c r="G875" s="92">
        <f>IF(B875="","",IFERROR(INDEX(Roster!$C$6:$C$65,MATCH(B875,Roster!$B$6:$B$65,0)),"not on the Roster"))</f>
        <v/>
      </c>
      <c r="H875" s="95" t="n"/>
    </row>
    <row r="876">
      <c r="A876" s="122" t="n"/>
      <c r="B876" s="105" t="n"/>
      <c r="C876" s="105" t="n"/>
      <c r="D876" s="95" t="n"/>
      <c r="E876" s="95" t="n"/>
      <c r="F876" s="95" t="n"/>
      <c r="G876" s="92">
        <f>IF(B876="","",IFERROR(INDEX(Roster!$C$6:$C$65,MATCH(B876,Roster!$B$6:$B$65,0)),"not on the Roster"))</f>
        <v/>
      </c>
      <c r="H876" s="95" t="n"/>
    </row>
    <row r="877">
      <c r="A877" s="122" t="n"/>
      <c r="B877" s="105" t="n"/>
      <c r="C877" s="105" t="n"/>
      <c r="D877" s="95" t="n"/>
      <c r="E877" s="95" t="n"/>
      <c r="F877" s="95" t="n"/>
      <c r="G877" s="92">
        <f>IF(B877="","",IFERROR(INDEX(Roster!$C$6:$C$65,MATCH(B877,Roster!$B$6:$B$65,0)),"not on the Roster"))</f>
        <v/>
      </c>
      <c r="H877" s="95" t="n"/>
    </row>
    <row r="878">
      <c r="A878" s="122" t="n"/>
      <c r="B878" s="105" t="n"/>
      <c r="C878" s="105" t="n"/>
      <c r="D878" s="95" t="n"/>
      <c r="E878" s="95" t="n"/>
      <c r="F878" s="95" t="n"/>
      <c r="G878" s="92">
        <f>IF(B878="","",IFERROR(INDEX(Roster!$C$6:$C$65,MATCH(B878,Roster!$B$6:$B$65,0)),"not on the Roster"))</f>
        <v/>
      </c>
      <c r="H878" s="95" t="n"/>
    </row>
    <row r="879">
      <c r="A879" s="122" t="n"/>
      <c r="B879" s="105" t="n"/>
      <c r="C879" s="105" t="n"/>
      <c r="D879" s="95" t="n"/>
      <c r="E879" s="95" t="n"/>
      <c r="F879" s="95" t="n"/>
      <c r="G879" s="92">
        <f>IF(B879="","",IFERROR(INDEX(Roster!$C$6:$C$65,MATCH(B879,Roster!$B$6:$B$65,0)),"not on the Roster"))</f>
        <v/>
      </c>
      <c r="H879" s="95" t="n"/>
    </row>
    <row r="880">
      <c r="A880" s="122" t="n"/>
      <c r="B880" s="105" t="n"/>
      <c r="C880" s="105" t="n"/>
      <c r="D880" s="95" t="n"/>
      <c r="E880" s="95" t="n"/>
      <c r="F880" s="95" t="n"/>
      <c r="G880" s="92">
        <f>IF(B880="","",IFERROR(INDEX(Roster!$C$6:$C$65,MATCH(B880,Roster!$B$6:$B$65,0)),"not on the Roster"))</f>
        <v/>
      </c>
      <c r="H880" s="95" t="n"/>
    </row>
    <row r="881">
      <c r="A881" s="122" t="n"/>
      <c r="B881" s="105" t="n"/>
      <c r="C881" s="105" t="n"/>
      <c r="D881" s="95" t="n"/>
      <c r="E881" s="95" t="n"/>
      <c r="F881" s="95" t="n"/>
      <c r="G881" s="92">
        <f>IF(B881="","",IFERROR(INDEX(Roster!$C$6:$C$65,MATCH(B881,Roster!$B$6:$B$65,0)),"not on the Roster"))</f>
        <v/>
      </c>
      <c r="H881" s="95" t="n"/>
    </row>
    <row r="882">
      <c r="A882" s="122" t="n"/>
      <c r="B882" s="105" t="n"/>
      <c r="C882" s="105" t="n"/>
      <c r="D882" s="95" t="n"/>
      <c r="E882" s="95" t="n"/>
      <c r="F882" s="95" t="n"/>
      <c r="G882" s="92">
        <f>IF(B882="","",IFERROR(INDEX(Roster!$C$6:$C$65,MATCH(B882,Roster!$B$6:$B$65,0)),"not on the Roster"))</f>
        <v/>
      </c>
      <c r="H882" s="95" t="n"/>
    </row>
    <row r="883">
      <c r="A883" s="122" t="n"/>
      <c r="B883" s="105" t="n"/>
      <c r="C883" s="105" t="n"/>
      <c r="D883" s="95" t="n"/>
      <c r="E883" s="95" t="n"/>
      <c r="F883" s="95" t="n"/>
      <c r="G883" s="92">
        <f>IF(B883="","",IFERROR(INDEX(Roster!$C$6:$C$65,MATCH(B883,Roster!$B$6:$B$65,0)),"not on the Roster"))</f>
        <v/>
      </c>
      <c r="H883" s="95" t="n"/>
    </row>
    <row r="884">
      <c r="A884" s="122" t="n"/>
      <c r="B884" s="105" t="n"/>
      <c r="C884" s="105" t="n"/>
      <c r="D884" s="95" t="n"/>
      <c r="E884" s="95" t="n"/>
      <c r="F884" s="95" t="n"/>
      <c r="G884" s="92">
        <f>IF(B884="","",IFERROR(INDEX(Roster!$C$6:$C$65,MATCH(B884,Roster!$B$6:$B$65,0)),"not on the Roster"))</f>
        <v/>
      </c>
      <c r="H884" s="95" t="n"/>
    </row>
    <row r="885">
      <c r="A885" s="122" t="n"/>
      <c r="B885" s="105" t="n"/>
      <c r="C885" s="105" t="n"/>
      <c r="D885" s="95" t="n"/>
      <c r="E885" s="95" t="n"/>
      <c r="F885" s="95" t="n"/>
      <c r="G885" s="92">
        <f>IF(B885="","",IFERROR(INDEX(Roster!$C$6:$C$65,MATCH(B885,Roster!$B$6:$B$65,0)),"not on the Roster"))</f>
        <v/>
      </c>
      <c r="H885" s="95" t="n"/>
    </row>
    <row r="886">
      <c r="A886" s="122" t="n"/>
      <c r="B886" s="105" t="n"/>
      <c r="C886" s="105" t="n"/>
      <c r="D886" s="95" t="n"/>
      <c r="E886" s="95" t="n"/>
      <c r="F886" s="95" t="n"/>
      <c r="G886" s="92">
        <f>IF(B886="","",IFERROR(INDEX(Roster!$C$6:$C$65,MATCH(B886,Roster!$B$6:$B$65,0)),"not on the Roster"))</f>
        <v/>
      </c>
      <c r="H886" s="95" t="n"/>
    </row>
    <row r="887">
      <c r="A887" s="122" t="n"/>
      <c r="B887" s="105" t="n"/>
      <c r="C887" s="105" t="n"/>
      <c r="D887" s="95" t="n"/>
      <c r="E887" s="95" t="n"/>
      <c r="F887" s="95" t="n"/>
      <c r="G887" s="92">
        <f>IF(B887="","",IFERROR(INDEX(Roster!$C$6:$C$65,MATCH(B887,Roster!$B$6:$B$65,0)),"not on the Roster"))</f>
        <v/>
      </c>
      <c r="H887" s="95" t="n"/>
    </row>
    <row r="888">
      <c r="A888" s="122" t="n"/>
      <c r="B888" s="105" t="n"/>
      <c r="C888" s="105" t="n"/>
      <c r="D888" s="95" t="n"/>
      <c r="E888" s="95" t="n"/>
      <c r="F888" s="95" t="n"/>
      <c r="G888" s="92">
        <f>IF(B888="","",IFERROR(INDEX(Roster!$C$6:$C$65,MATCH(B888,Roster!$B$6:$B$65,0)),"not on the Roster"))</f>
        <v/>
      </c>
      <c r="H888" s="95" t="n"/>
    </row>
    <row r="889">
      <c r="A889" s="122" t="n"/>
      <c r="B889" s="105" t="n"/>
      <c r="C889" s="105" t="n"/>
      <c r="D889" s="95" t="n"/>
      <c r="E889" s="95" t="n"/>
      <c r="F889" s="95" t="n"/>
      <c r="G889" s="92">
        <f>IF(B889="","",IFERROR(INDEX(Roster!$C$6:$C$65,MATCH(B889,Roster!$B$6:$B$65,0)),"not on the Roster"))</f>
        <v/>
      </c>
      <c r="H889" s="95" t="n"/>
    </row>
    <row r="890">
      <c r="A890" s="122" t="n"/>
      <c r="B890" s="105" t="n"/>
      <c r="C890" s="105" t="n"/>
      <c r="D890" s="95" t="n"/>
      <c r="E890" s="95" t="n"/>
      <c r="F890" s="95" t="n"/>
      <c r="G890" s="92">
        <f>IF(B890="","",IFERROR(INDEX(Roster!$C$6:$C$65,MATCH(B890,Roster!$B$6:$B$65,0)),"not on the Roster"))</f>
        <v/>
      </c>
      <c r="H890" s="95" t="n"/>
    </row>
    <row r="891">
      <c r="A891" s="122" t="n"/>
      <c r="B891" s="105" t="n"/>
      <c r="C891" s="105" t="n"/>
      <c r="D891" s="95" t="n"/>
      <c r="E891" s="95" t="n"/>
      <c r="F891" s="95" t="n"/>
      <c r="G891" s="92">
        <f>IF(B891="","",IFERROR(INDEX(Roster!$C$6:$C$65,MATCH(B891,Roster!$B$6:$B$65,0)),"not on the Roster"))</f>
        <v/>
      </c>
      <c r="H891" s="95" t="n"/>
    </row>
    <row r="892">
      <c r="A892" s="122" t="n"/>
      <c r="B892" s="105" t="n"/>
      <c r="C892" s="105" t="n"/>
      <c r="D892" s="95" t="n"/>
      <c r="E892" s="95" t="n"/>
      <c r="F892" s="95" t="n"/>
      <c r="G892" s="92">
        <f>IF(B892="","",IFERROR(INDEX(Roster!$C$6:$C$65,MATCH(B892,Roster!$B$6:$B$65,0)),"not on the Roster"))</f>
        <v/>
      </c>
      <c r="H892" s="95" t="n"/>
    </row>
    <row r="893">
      <c r="A893" s="122" t="n"/>
      <c r="B893" s="105" t="n"/>
      <c r="C893" s="105" t="n"/>
      <c r="D893" s="95" t="n"/>
      <c r="E893" s="95" t="n"/>
      <c r="F893" s="95" t="n"/>
      <c r="G893" s="92">
        <f>IF(B893="","",IFERROR(INDEX(Roster!$C$6:$C$65,MATCH(B893,Roster!$B$6:$B$65,0)),"not on the Roster"))</f>
        <v/>
      </c>
      <c r="H893" s="95" t="n"/>
    </row>
    <row r="894">
      <c r="A894" s="122" t="n"/>
      <c r="B894" s="105" t="n"/>
      <c r="C894" s="105" t="n"/>
      <c r="D894" s="95" t="n"/>
      <c r="E894" s="95" t="n"/>
      <c r="F894" s="95" t="n"/>
      <c r="G894" s="92">
        <f>IF(B894="","",IFERROR(INDEX(Roster!$C$6:$C$65,MATCH(B894,Roster!$B$6:$B$65,0)),"not on the Roster"))</f>
        <v/>
      </c>
      <c r="H894" s="95" t="n"/>
    </row>
    <row r="895">
      <c r="A895" s="122" t="n"/>
      <c r="B895" s="105" t="n"/>
      <c r="C895" s="105" t="n"/>
      <c r="D895" s="95" t="n"/>
      <c r="E895" s="95" t="n"/>
      <c r="F895" s="95" t="n"/>
      <c r="G895" s="92">
        <f>IF(B895="","",IFERROR(INDEX(Roster!$C$6:$C$65,MATCH(B895,Roster!$B$6:$B$65,0)),"not on the Roster"))</f>
        <v/>
      </c>
      <c r="H895" s="95" t="n"/>
    </row>
    <row r="896">
      <c r="A896" s="122" t="n"/>
      <c r="B896" s="105" t="n"/>
      <c r="C896" s="105" t="n"/>
      <c r="D896" s="95" t="n"/>
      <c r="E896" s="95" t="n"/>
      <c r="F896" s="95" t="n"/>
      <c r="G896" s="92">
        <f>IF(B896="","",IFERROR(INDEX(Roster!$C$6:$C$65,MATCH(B896,Roster!$B$6:$B$65,0)),"not on the Roster"))</f>
        <v/>
      </c>
      <c r="H896" s="95" t="n"/>
    </row>
    <row r="897">
      <c r="A897" s="122" t="n"/>
      <c r="B897" s="105" t="n"/>
      <c r="C897" s="105" t="n"/>
      <c r="D897" s="95" t="n"/>
      <c r="E897" s="95" t="n"/>
      <c r="F897" s="95" t="n"/>
      <c r="G897" s="92">
        <f>IF(B897="","",IFERROR(INDEX(Roster!$C$6:$C$65,MATCH(B897,Roster!$B$6:$B$65,0)),"not on the Roster"))</f>
        <v/>
      </c>
      <c r="H897" s="95" t="n"/>
    </row>
    <row r="898">
      <c r="A898" s="122" t="n"/>
      <c r="B898" s="105" t="n"/>
      <c r="C898" s="105" t="n"/>
      <c r="D898" s="95" t="n"/>
      <c r="E898" s="95" t="n"/>
      <c r="F898" s="95" t="n"/>
      <c r="G898" s="92">
        <f>IF(B898="","",IFERROR(INDEX(Roster!$C$6:$C$65,MATCH(B898,Roster!$B$6:$B$65,0)),"not on the Roster"))</f>
        <v/>
      </c>
      <c r="H898" s="95" t="n"/>
    </row>
    <row r="899">
      <c r="A899" s="122" t="n"/>
      <c r="B899" s="105" t="n"/>
      <c r="C899" s="105" t="n"/>
      <c r="D899" s="95" t="n"/>
      <c r="E899" s="95" t="n"/>
      <c r="F899" s="95" t="n"/>
      <c r="G899" s="92">
        <f>IF(B899="","",IFERROR(INDEX(Roster!$C$6:$C$65,MATCH(B899,Roster!$B$6:$B$65,0)),"not on the Roster"))</f>
        <v/>
      </c>
      <c r="H899" s="95" t="n"/>
    </row>
    <row r="900">
      <c r="A900" s="122" t="n"/>
      <c r="B900" s="105" t="n"/>
      <c r="C900" s="105" t="n"/>
      <c r="D900" s="95" t="n"/>
      <c r="E900" s="95" t="n"/>
      <c r="F900" s="95" t="n"/>
      <c r="G900" s="92">
        <f>IF(B900="","",IFERROR(INDEX(Roster!$C$6:$C$65,MATCH(B900,Roster!$B$6:$B$65,0)),"not on the Roster"))</f>
        <v/>
      </c>
      <c r="H900" s="95" t="n"/>
    </row>
    <row r="901">
      <c r="A901" s="122" t="n"/>
      <c r="B901" s="105" t="n"/>
      <c r="C901" s="105" t="n"/>
      <c r="D901" s="95" t="n"/>
      <c r="E901" s="95" t="n"/>
      <c r="F901" s="95" t="n"/>
      <c r="G901" s="92">
        <f>IF(B901="","",IFERROR(INDEX(Roster!$C$6:$C$65,MATCH(B901,Roster!$B$6:$B$65,0)),"not on the Roster"))</f>
        <v/>
      </c>
      <c r="H901" s="95" t="n"/>
    </row>
    <row r="902">
      <c r="A902" s="122" t="n"/>
      <c r="B902" s="105" t="n"/>
      <c r="C902" s="105" t="n"/>
      <c r="D902" s="95" t="n"/>
      <c r="E902" s="95" t="n"/>
      <c r="F902" s="95" t="n"/>
      <c r="G902" s="92">
        <f>IF(B902="","",IFERROR(INDEX(Roster!$C$6:$C$65,MATCH(B902,Roster!$B$6:$B$65,0)),"not on the Roster"))</f>
        <v/>
      </c>
      <c r="H902" s="95" t="n"/>
    </row>
    <row r="903">
      <c r="A903" s="122" t="n"/>
      <c r="B903" s="105" t="n"/>
      <c r="C903" s="105" t="n"/>
      <c r="D903" s="95" t="n"/>
      <c r="E903" s="95" t="n"/>
      <c r="F903" s="95" t="n"/>
      <c r="G903" s="92">
        <f>IF(B903="","",IFERROR(INDEX(Roster!$C$6:$C$65,MATCH(B903,Roster!$B$6:$B$65,0)),"not on the Roster"))</f>
        <v/>
      </c>
      <c r="H903" s="95" t="n"/>
    </row>
    <row r="904">
      <c r="A904" s="122" t="n"/>
      <c r="B904" s="105" t="n"/>
      <c r="C904" s="105" t="n"/>
      <c r="D904" s="95" t="n"/>
      <c r="E904" s="95" t="n"/>
      <c r="F904" s="95" t="n"/>
      <c r="G904" s="92">
        <f>IF(B904="","",IFERROR(INDEX(Roster!$C$6:$C$65,MATCH(B904,Roster!$B$6:$B$65,0)),"not on the Roster"))</f>
        <v/>
      </c>
      <c r="H904" s="95" t="n"/>
    </row>
    <row r="905">
      <c r="A905" s="122" t="n"/>
      <c r="B905" s="105" t="n"/>
      <c r="C905" s="105" t="n"/>
      <c r="D905" s="95" t="n"/>
      <c r="E905" s="95" t="n"/>
      <c r="F905" s="95" t="n"/>
      <c r="G905" s="92">
        <f>IF(B905="","",IFERROR(INDEX(Roster!$C$6:$C$65,MATCH(B905,Roster!$B$6:$B$65,0)),"not on the Roster"))</f>
        <v/>
      </c>
      <c r="H905" s="95" t="n"/>
    </row>
    <row r="906">
      <c r="A906" s="122" t="n"/>
      <c r="B906" s="105" t="n"/>
      <c r="C906" s="105" t="n"/>
      <c r="D906" s="95" t="n"/>
      <c r="E906" s="95" t="n"/>
      <c r="F906" s="95" t="n"/>
      <c r="G906" s="92">
        <f>IF(B906="","",IFERROR(INDEX(Roster!$C$6:$C$65,MATCH(B906,Roster!$B$6:$B$65,0)),"not on the Roster"))</f>
        <v/>
      </c>
      <c r="H906" s="95" t="n"/>
    </row>
    <row r="907">
      <c r="A907" s="122" t="n"/>
      <c r="B907" s="105" t="n"/>
      <c r="C907" s="105" t="n"/>
      <c r="D907" s="95" t="n"/>
      <c r="E907" s="95" t="n"/>
      <c r="F907" s="95" t="n"/>
      <c r="G907" s="92">
        <f>IF(B907="","",IFERROR(INDEX(Roster!$C$6:$C$65,MATCH(B907,Roster!$B$6:$B$65,0)),"not on the Roster"))</f>
        <v/>
      </c>
      <c r="H907" s="95" t="n"/>
    </row>
    <row r="908">
      <c r="A908" s="122" t="n"/>
      <c r="B908" s="105" t="n"/>
      <c r="C908" s="105" t="n"/>
      <c r="D908" s="95" t="n"/>
      <c r="E908" s="95" t="n"/>
      <c r="F908" s="95" t="n"/>
      <c r="G908" s="92">
        <f>IF(B908="","",IFERROR(INDEX(Roster!$C$6:$C$65,MATCH(B908,Roster!$B$6:$B$65,0)),"not on the Roster"))</f>
        <v/>
      </c>
      <c r="H908" s="95" t="n"/>
    </row>
    <row r="909">
      <c r="A909" s="122" t="n"/>
      <c r="B909" s="105" t="n"/>
      <c r="C909" s="105" t="n"/>
      <c r="D909" s="95" t="n"/>
      <c r="E909" s="95" t="n"/>
      <c r="F909" s="95" t="n"/>
      <c r="G909" s="92">
        <f>IF(B909="","",IFERROR(INDEX(Roster!$C$6:$C$65,MATCH(B909,Roster!$B$6:$B$65,0)),"not on the Roster"))</f>
        <v/>
      </c>
      <c r="H909" s="95" t="n"/>
    </row>
    <row r="910">
      <c r="A910" s="122" t="n"/>
      <c r="B910" s="105" t="n"/>
      <c r="C910" s="105" t="n"/>
      <c r="D910" s="95" t="n"/>
      <c r="E910" s="95" t="n"/>
      <c r="F910" s="95" t="n"/>
      <c r="G910" s="92">
        <f>IF(B910="","",IFERROR(INDEX(Roster!$C$6:$C$65,MATCH(B910,Roster!$B$6:$B$65,0)),"not on the Roster"))</f>
        <v/>
      </c>
      <c r="H910" s="95" t="n"/>
    </row>
    <row r="911">
      <c r="A911" s="122" t="n"/>
      <c r="B911" s="105" t="n"/>
      <c r="C911" s="105" t="n"/>
      <c r="D911" s="95" t="n"/>
      <c r="E911" s="95" t="n"/>
      <c r="F911" s="95" t="n"/>
      <c r="G911" s="92">
        <f>IF(B911="","",IFERROR(INDEX(Roster!$C$6:$C$65,MATCH(B911,Roster!$B$6:$B$65,0)),"not on the Roster"))</f>
        <v/>
      </c>
      <c r="H911" s="95" t="n"/>
    </row>
    <row r="912">
      <c r="A912" s="122" t="n"/>
      <c r="B912" s="105" t="n"/>
      <c r="C912" s="105" t="n"/>
      <c r="D912" s="95" t="n"/>
      <c r="E912" s="95" t="n"/>
      <c r="F912" s="95" t="n"/>
      <c r="G912" s="92">
        <f>IF(B912="","",IFERROR(INDEX(Roster!$C$6:$C$65,MATCH(B912,Roster!$B$6:$B$65,0)),"not on the Roster"))</f>
        <v/>
      </c>
      <c r="H912" s="95" t="n"/>
    </row>
    <row r="913">
      <c r="A913" s="122" t="n"/>
      <c r="B913" s="105" t="n"/>
      <c r="C913" s="105" t="n"/>
      <c r="D913" s="95" t="n"/>
      <c r="E913" s="95" t="n"/>
      <c r="F913" s="95" t="n"/>
      <c r="G913" s="92">
        <f>IF(B913="","",IFERROR(INDEX(Roster!$C$6:$C$65,MATCH(B913,Roster!$B$6:$B$65,0)),"not on the Roster"))</f>
        <v/>
      </c>
      <c r="H913" s="95" t="n"/>
    </row>
    <row r="914">
      <c r="A914" s="122" t="n"/>
      <c r="B914" s="105" t="n"/>
      <c r="C914" s="105" t="n"/>
      <c r="D914" s="95" t="n"/>
      <c r="E914" s="95" t="n"/>
      <c r="F914" s="95" t="n"/>
      <c r="G914" s="92">
        <f>IF(B914="","",IFERROR(INDEX(Roster!$C$6:$C$65,MATCH(B914,Roster!$B$6:$B$65,0)),"not on the Roster"))</f>
        <v/>
      </c>
      <c r="H914" s="95" t="n"/>
    </row>
    <row r="915">
      <c r="A915" s="122" t="n"/>
      <c r="B915" s="105" t="n"/>
      <c r="C915" s="105" t="n"/>
      <c r="D915" s="95" t="n"/>
      <c r="E915" s="95" t="n"/>
      <c r="F915" s="95" t="n"/>
      <c r="G915" s="92">
        <f>IF(B915="","",IFERROR(INDEX(Roster!$C$6:$C$65,MATCH(B915,Roster!$B$6:$B$65,0)),"not on the Roster"))</f>
        <v/>
      </c>
      <c r="H915" s="95" t="n"/>
    </row>
    <row r="916">
      <c r="A916" s="122" t="n"/>
      <c r="B916" s="105" t="n"/>
      <c r="C916" s="105" t="n"/>
      <c r="D916" s="95" t="n"/>
      <c r="E916" s="95" t="n"/>
      <c r="F916" s="95" t="n"/>
      <c r="G916" s="92">
        <f>IF(B916="","",IFERROR(INDEX(Roster!$C$6:$C$65,MATCH(B916,Roster!$B$6:$B$65,0)),"not on the Roster"))</f>
        <v/>
      </c>
      <c r="H916" s="95" t="n"/>
    </row>
    <row r="917">
      <c r="A917" s="122" t="n"/>
      <c r="B917" s="105" t="n"/>
      <c r="C917" s="105" t="n"/>
      <c r="D917" s="95" t="n"/>
      <c r="E917" s="95" t="n"/>
      <c r="F917" s="95" t="n"/>
      <c r="G917" s="92">
        <f>IF(B917="","",IFERROR(INDEX(Roster!$C$6:$C$65,MATCH(B917,Roster!$B$6:$B$65,0)),"not on the Roster"))</f>
        <v/>
      </c>
      <c r="H917" s="95" t="n"/>
    </row>
    <row r="918">
      <c r="A918" s="122" t="n"/>
      <c r="B918" s="105" t="n"/>
      <c r="C918" s="105" t="n"/>
      <c r="D918" s="95" t="n"/>
      <c r="E918" s="95" t="n"/>
      <c r="F918" s="95" t="n"/>
      <c r="G918" s="92">
        <f>IF(B918="","",IFERROR(INDEX(Roster!$C$6:$C$65,MATCH(B918,Roster!$B$6:$B$65,0)),"not on the Roster"))</f>
        <v/>
      </c>
      <c r="H918" s="95" t="n"/>
    </row>
    <row r="919">
      <c r="A919" s="122" t="n"/>
      <c r="B919" s="105" t="n"/>
      <c r="C919" s="105" t="n"/>
      <c r="D919" s="95" t="n"/>
      <c r="E919" s="95" t="n"/>
      <c r="F919" s="95" t="n"/>
      <c r="G919" s="92">
        <f>IF(B919="","",IFERROR(INDEX(Roster!$C$6:$C$65,MATCH(B919,Roster!$B$6:$B$65,0)),"not on the Roster"))</f>
        <v/>
      </c>
      <c r="H919" s="95" t="n"/>
    </row>
    <row r="920">
      <c r="A920" s="122" t="n"/>
      <c r="B920" s="105" t="n"/>
      <c r="C920" s="105" t="n"/>
      <c r="D920" s="95" t="n"/>
      <c r="E920" s="95" t="n"/>
      <c r="F920" s="95" t="n"/>
      <c r="G920" s="92">
        <f>IF(B920="","",IFERROR(INDEX(Roster!$C$6:$C$65,MATCH(B920,Roster!$B$6:$B$65,0)),"not on the Roster"))</f>
        <v/>
      </c>
      <c r="H920" s="95" t="n"/>
    </row>
    <row r="921">
      <c r="A921" s="122" t="n"/>
      <c r="B921" s="105" t="n"/>
      <c r="C921" s="105" t="n"/>
      <c r="D921" s="95" t="n"/>
      <c r="E921" s="95" t="n"/>
      <c r="F921" s="95" t="n"/>
      <c r="G921" s="92">
        <f>IF(B921="","",IFERROR(INDEX(Roster!$C$6:$C$65,MATCH(B921,Roster!$B$6:$B$65,0)),"not on the Roster"))</f>
        <v/>
      </c>
      <c r="H921" s="95" t="n"/>
    </row>
    <row r="922">
      <c r="A922" s="122" t="n"/>
      <c r="B922" s="105" t="n"/>
      <c r="C922" s="105" t="n"/>
      <c r="D922" s="95" t="n"/>
      <c r="E922" s="95" t="n"/>
      <c r="F922" s="95" t="n"/>
      <c r="G922" s="92">
        <f>IF(B922="","",IFERROR(INDEX(Roster!$C$6:$C$65,MATCH(B922,Roster!$B$6:$B$65,0)),"not on the Roster"))</f>
        <v/>
      </c>
      <c r="H922" s="95" t="n"/>
    </row>
    <row r="923">
      <c r="A923" s="122" t="n"/>
      <c r="B923" s="105" t="n"/>
      <c r="C923" s="105" t="n"/>
      <c r="D923" s="95" t="n"/>
      <c r="E923" s="95" t="n"/>
      <c r="F923" s="95" t="n"/>
      <c r="G923" s="92">
        <f>IF(B923="","",IFERROR(INDEX(Roster!$C$6:$C$65,MATCH(B923,Roster!$B$6:$B$65,0)),"not on the Roster"))</f>
        <v/>
      </c>
      <c r="H923" s="95" t="n"/>
    </row>
    <row r="924">
      <c r="A924" s="122" t="n"/>
      <c r="B924" s="105" t="n"/>
      <c r="C924" s="105" t="n"/>
      <c r="D924" s="95" t="n"/>
      <c r="E924" s="95" t="n"/>
      <c r="F924" s="95" t="n"/>
      <c r="G924" s="92">
        <f>IF(B924="","",IFERROR(INDEX(Roster!$C$6:$C$65,MATCH(B924,Roster!$B$6:$B$65,0)),"not on the Roster"))</f>
        <v/>
      </c>
      <c r="H924" s="95" t="n"/>
    </row>
    <row r="925">
      <c r="A925" s="122" t="n"/>
      <c r="B925" s="105" t="n"/>
      <c r="C925" s="105" t="n"/>
      <c r="D925" s="95" t="n"/>
      <c r="E925" s="95" t="n"/>
      <c r="F925" s="95" t="n"/>
      <c r="G925" s="92">
        <f>IF(B925="","",IFERROR(INDEX(Roster!$C$6:$C$65,MATCH(B925,Roster!$B$6:$B$65,0)),"not on the Roster"))</f>
        <v/>
      </c>
      <c r="H925" s="95" t="n"/>
    </row>
    <row r="926">
      <c r="A926" s="122" t="n"/>
      <c r="B926" s="105" t="n"/>
      <c r="C926" s="105" t="n"/>
      <c r="D926" s="95" t="n"/>
      <c r="E926" s="95" t="n"/>
      <c r="F926" s="95" t="n"/>
      <c r="G926" s="92">
        <f>IF(B926="","",IFERROR(INDEX(Roster!$C$6:$C$65,MATCH(B926,Roster!$B$6:$B$65,0)),"not on the Roster"))</f>
        <v/>
      </c>
      <c r="H926" s="95" t="n"/>
    </row>
    <row r="927">
      <c r="A927" s="122" t="n"/>
      <c r="B927" s="105" t="n"/>
      <c r="C927" s="105" t="n"/>
      <c r="D927" s="95" t="n"/>
      <c r="E927" s="95" t="n"/>
      <c r="F927" s="95" t="n"/>
      <c r="G927" s="92">
        <f>IF(B927="","",IFERROR(INDEX(Roster!$C$6:$C$65,MATCH(B927,Roster!$B$6:$B$65,0)),"not on the Roster"))</f>
        <v/>
      </c>
      <c r="H927" s="95" t="n"/>
    </row>
    <row r="928">
      <c r="A928" s="122" t="n"/>
      <c r="B928" s="105" t="n"/>
      <c r="C928" s="105" t="n"/>
      <c r="D928" s="95" t="n"/>
      <c r="E928" s="95" t="n"/>
      <c r="F928" s="95" t="n"/>
      <c r="G928" s="92">
        <f>IF(B928="","",IFERROR(INDEX(Roster!$C$6:$C$65,MATCH(B928,Roster!$B$6:$B$65,0)),"not on the Roster"))</f>
        <v/>
      </c>
      <c r="H928" s="95" t="n"/>
    </row>
    <row r="929">
      <c r="A929" s="122" t="n"/>
      <c r="B929" s="105" t="n"/>
      <c r="C929" s="105" t="n"/>
      <c r="D929" s="95" t="n"/>
      <c r="E929" s="95" t="n"/>
      <c r="F929" s="95" t="n"/>
      <c r="G929" s="92">
        <f>IF(B929="","",IFERROR(INDEX(Roster!$C$6:$C$65,MATCH(B929,Roster!$B$6:$B$65,0)),"not on the Roster"))</f>
        <v/>
      </c>
      <c r="H929" s="95" t="n"/>
    </row>
    <row r="930">
      <c r="A930" s="122" t="n"/>
      <c r="B930" s="105" t="n"/>
      <c r="C930" s="105" t="n"/>
      <c r="D930" s="95" t="n"/>
      <c r="E930" s="95" t="n"/>
      <c r="F930" s="95" t="n"/>
      <c r="G930" s="92">
        <f>IF(B930="","",IFERROR(INDEX(Roster!$C$6:$C$65,MATCH(B930,Roster!$B$6:$B$65,0)),"not on the Roster"))</f>
        <v/>
      </c>
      <c r="H930" s="95" t="n"/>
    </row>
    <row r="931">
      <c r="A931" s="122" t="n"/>
      <c r="B931" s="105" t="n"/>
      <c r="C931" s="105" t="n"/>
      <c r="D931" s="95" t="n"/>
      <c r="E931" s="95" t="n"/>
      <c r="F931" s="95" t="n"/>
      <c r="G931" s="92">
        <f>IF(B931="","",IFERROR(INDEX(Roster!$C$6:$C$65,MATCH(B931,Roster!$B$6:$B$65,0)),"not on the Roster"))</f>
        <v/>
      </c>
      <c r="H931" s="95" t="n"/>
    </row>
    <row r="932">
      <c r="A932" s="122" t="n"/>
      <c r="B932" s="105" t="n"/>
      <c r="C932" s="105" t="n"/>
      <c r="D932" s="95" t="n"/>
      <c r="E932" s="95" t="n"/>
      <c r="F932" s="95" t="n"/>
      <c r="G932" s="92">
        <f>IF(B932="","",IFERROR(INDEX(Roster!$C$6:$C$65,MATCH(B932,Roster!$B$6:$B$65,0)),"not on the Roster"))</f>
        <v/>
      </c>
      <c r="H932" s="95" t="n"/>
    </row>
    <row r="933">
      <c r="A933" s="122" t="n"/>
      <c r="B933" s="105" t="n"/>
      <c r="C933" s="105" t="n"/>
      <c r="D933" s="95" t="n"/>
      <c r="E933" s="95" t="n"/>
      <c r="F933" s="95" t="n"/>
      <c r="G933" s="92">
        <f>IF(B933="","",IFERROR(INDEX(Roster!$C$6:$C$65,MATCH(B933,Roster!$B$6:$B$65,0)),"not on the Roster"))</f>
        <v/>
      </c>
      <c r="H933" s="95" t="n"/>
    </row>
    <row r="934">
      <c r="A934" s="122" t="n"/>
      <c r="B934" s="105" t="n"/>
      <c r="C934" s="105" t="n"/>
      <c r="D934" s="95" t="n"/>
      <c r="E934" s="95" t="n"/>
      <c r="F934" s="95" t="n"/>
      <c r="G934" s="92">
        <f>IF(B934="","",IFERROR(INDEX(Roster!$C$6:$C$65,MATCH(B934,Roster!$B$6:$B$65,0)),"not on the Roster"))</f>
        <v/>
      </c>
      <c r="H934" s="95" t="n"/>
    </row>
    <row r="935">
      <c r="A935" s="122" t="n"/>
      <c r="B935" s="105" t="n"/>
      <c r="C935" s="105" t="n"/>
      <c r="D935" s="95" t="n"/>
      <c r="E935" s="95" t="n"/>
      <c r="F935" s="95" t="n"/>
      <c r="G935" s="92">
        <f>IF(B935="","",IFERROR(INDEX(Roster!$C$6:$C$65,MATCH(B935,Roster!$B$6:$B$65,0)),"not on the Roster"))</f>
        <v/>
      </c>
      <c r="H935" s="95" t="n"/>
    </row>
    <row r="936">
      <c r="A936" s="122" t="n"/>
      <c r="B936" s="105" t="n"/>
      <c r="C936" s="105" t="n"/>
      <c r="D936" s="95" t="n"/>
      <c r="E936" s="95" t="n"/>
      <c r="F936" s="95" t="n"/>
      <c r="G936" s="92">
        <f>IF(B936="","",IFERROR(INDEX(Roster!$C$6:$C$65,MATCH(B936,Roster!$B$6:$B$65,0)),"not on the Roster"))</f>
        <v/>
      </c>
      <c r="H936" s="95" t="n"/>
    </row>
    <row r="937">
      <c r="A937" s="122" t="n"/>
      <c r="B937" s="105" t="n"/>
      <c r="C937" s="105" t="n"/>
      <c r="D937" s="95" t="n"/>
      <c r="E937" s="95" t="n"/>
      <c r="F937" s="95" t="n"/>
      <c r="G937" s="92">
        <f>IF(B937="","",IFERROR(INDEX(Roster!$C$6:$C$65,MATCH(B937,Roster!$B$6:$B$65,0)),"not on the Roster"))</f>
        <v/>
      </c>
      <c r="H937" s="95" t="n"/>
    </row>
    <row r="938">
      <c r="A938" s="122" t="n"/>
      <c r="B938" s="105" t="n"/>
      <c r="C938" s="105" t="n"/>
      <c r="D938" s="95" t="n"/>
      <c r="E938" s="95" t="n"/>
      <c r="F938" s="95" t="n"/>
      <c r="G938" s="92">
        <f>IF(B938="","",IFERROR(INDEX(Roster!$C$6:$C$65,MATCH(B938,Roster!$B$6:$B$65,0)),"not on the Roster"))</f>
        <v/>
      </c>
      <c r="H938" s="95" t="n"/>
    </row>
    <row r="939">
      <c r="A939" s="122" t="n"/>
      <c r="B939" s="105" t="n"/>
      <c r="C939" s="105" t="n"/>
      <c r="D939" s="95" t="n"/>
      <c r="E939" s="95" t="n"/>
      <c r="F939" s="95" t="n"/>
      <c r="G939" s="92">
        <f>IF(B939="","",IFERROR(INDEX(Roster!$C$6:$C$65,MATCH(B939,Roster!$B$6:$B$65,0)),"not on the Roster"))</f>
        <v/>
      </c>
      <c r="H939" s="95" t="n"/>
    </row>
    <row r="940">
      <c r="A940" s="122" t="n"/>
      <c r="B940" s="105" t="n"/>
      <c r="C940" s="105" t="n"/>
      <c r="D940" s="95" t="n"/>
      <c r="E940" s="95" t="n"/>
      <c r="F940" s="95" t="n"/>
      <c r="G940" s="92">
        <f>IF(B940="","",IFERROR(INDEX(Roster!$C$6:$C$65,MATCH(B940,Roster!$B$6:$B$65,0)),"not on the Roster"))</f>
        <v/>
      </c>
      <c r="H940" s="95" t="n"/>
    </row>
    <row r="941">
      <c r="A941" s="122" t="n"/>
      <c r="B941" s="105" t="n"/>
      <c r="C941" s="105" t="n"/>
      <c r="D941" s="95" t="n"/>
      <c r="E941" s="95" t="n"/>
      <c r="F941" s="95" t="n"/>
      <c r="G941" s="92">
        <f>IF(B941="","",IFERROR(INDEX(Roster!$C$6:$C$65,MATCH(B941,Roster!$B$6:$B$65,0)),"not on the Roster"))</f>
        <v/>
      </c>
      <c r="H941" s="95" t="n"/>
    </row>
    <row r="942">
      <c r="A942" s="122" t="n"/>
      <c r="B942" s="105" t="n"/>
      <c r="C942" s="105" t="n"/>
      <c r="D942" s="95" t="n"/>
      <c r="E942" s="95" t="n"/>
      <c r="F942" s="95" t="n"/>
      <c r="G942" s="92">
        <f>IF(B942="","",IFERROR(INDEX(Roster!$C$6:$C$65,MATCH(B942,Roster!$B$6:$B$65,0)),"not on the Roster"))</f>
        <v/>
      </c>
      <c r="H942" s="95" t="n"/>
    </row>
    <row r="943">
      <c r="A943" s="122" t="n"/>
      <c r="B943" s="105" t="n"/>
      <c r="C943" s="105" t="n"/>
      <c r="D943" s="95" t="n"/>
      <c r="E943" s="95" t="n"/>
      <c r="F943" s="95" t="n"/>
      <c r="G943" s="92">
        <f>IF(B943="","",IFERROR(INDEX(Roster!$C$6:$C$65,MATCH(B943,Roster!$B$6:$B$65,0)),"not on the Roster"))</f>
        <v/>
      </c>
      <c r="H943" s="95" t="n"/>
    </row>
    <row r="944">
      <c r="A944" s="122" t="n"/>
      <c r="B944" s="105" t="n"/>
      <c r="C944" s="105" t="n"/>
      <c r="D944" s="95" t="n"/>
      <c r="E944" s="95" t="n"/>
      <c r="F944" s="95" t="n"/>
      <c r="G944" s="92">
        <f>IF(B944="","",IFERROR(INDEX(Roster!$C$6:$C$65,MATCH(B944,Roster!$B$6:$B$65,0)),"not on the Roster"))</f>
        <v/>
      </c>
      <c r="H944" s="95" t="n"/>
    </row>
    <row r="945">
      <c r="A945" s="122" t="n"/>
      <c r="B945" s="105" t="n"/>
      <c r="C945" s="105" t="n"/>
      <c r="D945" s="95" t="n"/>
      <c r="E945" s="95" t="n"/>
      <c r="F945" s="95" t="n"/>
      <c r="G945" s="92">
        <f>IF(B945="","",IFERROR(INDEX(Roster!$C$6:$C$65,MATCH(B945,Roster!$B$6:$B$65,0)),"not on the Roster"))</f>
        <v/>
      </c>
      <c r="H945" s="95" t="n"/>
    </row>
    <row r="946">
      <c r="A946" s="122" t="n"/>
      <c r="B946" s="105" t="n"/>
      <c r="C946" s="105" t="n"/>
      <c r="D946" s="95" t="n"/>
      <c r="E946" s="95" t="n"/>
      <c r="F946" s="95" t="n"/>
      <c r="G946" s="92">
        <f>IF(B946="","",IFERROR(INDEX(Roster!$C$6:$C$65,MATCH(B946,Roster!$B$6:$B$65,0)),"not on the Roster"))</f>
        <v/>
      </c>
      <c r="H946" s="95" t="n"/>
    </row>
    <row r="947">
      <c r="A947" s="122" t="n"/>
      <c r="B947" s="105" t="n"/>
      <c r="C947" s="105" t="n"/>
      <c r="D947" s="95" t="n"/>
      <c r="E947" s="95" t="n"/>
      <c r="F947" s="95" t="n"/>
      <c r="G947" s="92">
        <f>IF(B947="","",IFERROR(INDEX(Roster!$C$6:$C$65,MATCH(B947,Roster!$B$6:$B$65,0)),"not on the Roster"))</f>
        <v/>
      </c>
      <c r="H947" s="95" t="n"/>
    </row>
    <row r="948">
      <c r="A948" s="122" t="n"/>
      <c r="B948" s="105" t="n"/>
      <c r="C948" s="105" t="n"/>
      <c r="D948" s="95" t="n"/>
      <c r="E948" s="95" t="n"/>
      <c r="F948" s="95" t="n"/>
      <c r="G948" s="92">
        <f>IF(B948="","",IFERROR(INDEX(Roster!$C$6:$C$65,MATCH(B948,Roster!$B$6:$B$65,0)),"not on the Roster"))</f>
        <v/>
      </c>
      <c r="H948" s="95" t="n"/>
    </row>
    <row r="949">
      <c r="A949" s="122" t="n"/>
      <c r="B949" s="105" t="n"/>
      <c r="C949" s="105" t="n"/>
      <c r="D949" s="95" t="n"/>
      <c r="E949" s="95" t="n"/>
      <c r="F949" s="95" t="n"/>
      <c r="G949" s="92">
        <f>IF(B949="","",IFERROR(INDEX(Roster!$C$6:$C$65,MATCH(B949,Roster!$B$6:$B$65,0)),"not on the Roster"))</f>
        <v/>
      </c>
      <c r="H949" s="95" t="n"/>
    </row>
    <row r="950">
      <c r="A950" s="122" t="n"/>
      <c r="B950" s="105" t="n"/>
      <c r="C950" s="105" t="n"/>
      <c r="D950" s="95" t="n"/>
      <c r="E950" s="95" t="n"/>
      <c r="F950" s="95" t="n"/>
      <c r="G950" s="92">
        <f>IF(B950="","",IFERROR(INDEX(Roster!$C$6:$C$65,MATCH(B950,Roster!$B$6:$B$65,0)),"not on the Roster"))</f>
        <v/>
      </c>
      <c r="H950" s="95" t="n"/>
    </row>
    <row r="951">
      <c r="A951" s="122" t="n"/>
      <c r="B951" s="105" t="n"/>
      <c r="C951" s="105" t="n"/>
      <c r="D951" s="95" t="n"/>
      <c r="E951" s="95" t="n"/>
      <c r="F951" s="95" t="n"/>
      <c r="G951" s="92">
        <f>IF(B951="","",IFERROR(INDEX(Roster!$C$6:$C$65,MATCH(B951,Roster!$B$6:$B$65,0)),"not on the Roster"))</f>
        <v/>
      </c>
      <c r="H951" s="95" t="n"/>
    </row>
    <row r="952">
      <c r="A952" s="122" t="n"/>
      <c r="B952" s="105" t="n"/>
      <c r="C952" s="105" t="n"/>
      <c r="D952" s="95" t="n"/>
      <c r="E952" s="95" t="n"/>
      <c r="F952" s="95" t="n"/>
      <c r="G952" s="92">
        <f>IF(B952="","",IFERROR(INDEX(Roster!$C$6:$C$65,MATCH(B952,Roster!$B$6:$B$65,0)),"not on the Roster"))</f>
        <v/>
      </c>
      <c r="H952" s="95" t="n"/>
    </row>
    <row r="953">
      <c r="A953" s="122" t="n"/>
      <c r="B953" s="105" t="n"/>
      <c r="C953" s="105" t="n"/>
      <c r="D953" s="95" t="n"/>
      <c r="E953" s="95" t="n"/>
      <c r="F953" s="95" t="n"/>
      <c r="G953" s="92">
        <f>IF(B953="","",IFERROR(INDEX(Roster!$C$6:$C$65,MATCH(B953,Roster!$B$6:$B$65,0)),"not on the Roster"))</f>
        <v/>
      </c>
      <c r="H953" s="95" t="n"/>
    </row>
    <row r="954">
      <c r="A954" s="122" t="n"/>
      <c r="B954" s="105" t="n"/>
      <c r="C954" s="105" t="n"/>
      <c r="D954" s="95" t="n"/>
      <c r="E954" s="95" t="n"/>
      <c r="F954" s="95" t="n"/>
      <c r="G954" s="92">
        <f>IF(B954="","",IFERROR(INDEX(Roster!$C$6:$C$65,MATCH(B954,Roster!$B$6:$B$65,0)),"not on the Roster"))</f>
        <v/>
      </c>
      <c r="H954" s="95" t="n"/>
    </row>
    <row r="955">
      <c r="A955" s="122" t="n"/>
      <c r="B955" s="105" t="n"/>
      <c r="C955" s="105" t="n"/>
      <c r="D955" s="95" t="n"/>
      <c r="E955" s="95" t="n"/>
      <c r="F955" s="95" t="n"/>
      <c r="G955" s="92">
        <f>IF(B955="","",IFERROR(INDEX(Roster!$C$6:$C$65,MATCH(B955,Roster!$B$6:$B$65,0)),"not on the Roster"))</f>
        <v/>
      </c>
      <c r="H955" s="95" t="n"/>
    </row>
    <row r="956">
      <c r="A956" s="122" t="n"/>
      <c r="B956" s="105" t="n"/>
      <c r="C956" s="105" t="n"/>
      <c r="D956" s="95" t="n"/>
      <c r="E956" s="95" t="n"/>
      <c r="F956" s="95" t="n"/>
      <c r="G956" s="92">
        <f>IF(B956="","",IFERROR(INDEX(Roster!$C$6:$C$65,MATCH(B956,Roster!$B$6:$B$65,0)),"not on the Roster"))</f>
        <v/>
      </c>
      <c r="H956" s="95" t="n"/>
    </row>
    <row r="957">
      <c r="A957" s="122" t="n"/>
      <c r="B957" s="105" t="n"/>
      <c r="C957" s="105" t="n"/>
      <c r="D957" s="95" t="n"/>
      <c r="E957" s="95" t="n"/>
      <c r="F957" s="95" t="n"/>
      <c r="G957" s="92">
        <f>IF(B957="","",IFERROR(INDEX(Roster!$C$6:$C$65,MATCH(B957,Roster!$B$6:$B$65,0)),"not on the Roster"))</f>
        <v/>
      </c>
      <c r="H957" s="95" t="n"/>
    </row>
    <row r="958">
      <c r="A958" s="122" t="n"/>
      <c r="B958" s="105" t="n"/>
      <c r="C958" s="105" t="n"/>
      <c r="D958" s="95" t="n"/>
      <c r="E958" s="95" t="n"/>
      <c r="F958" s="95" t="n"/>
      <c r="G958" s="92">
        <f>IF(B958="","",IFERROR(INDEX(Roster!$C$6:$C$65,MATCH(B958,Roster!$B$6:$B$65,0)),"not on the Roster"))</f>
        <v/>
      </c>
      <c r="H958" s="95" t="n"/>
    </row>
    <row r="959">
      <c r="A959" s="122" t="n"/>
      <c r="B959" s="105" t="n"/>
      <c r="C959" s="105" t="n"/>
      <c r="D959" s="95" t="n"/>
      <c r="E959" s="95" t="n"/>
      <c r="F959" s="95" t="n"/>
      <c r="G959" s="92">
        <f>IF(B959="","",IFERROR(INDEX(Roster!$C$6:$C$65,MATCH(B959,Roster!$B$6:$B$65,0)),"not on the Roster"))</f>
        <v/>
      </c>
      <c r="H959" s="95" t="n"/>
    </row>
    <row r="960">
      <c r="A960" s="122" t="n"/>
      <c r="B960" s="105" t="n"/>
      <c r="C960" s="105" t="n"/>
      <c r="D960" s="95" t="n"/>
      <c r="E960" s="95" t="n"/>
      <c r="F960" s="95" t="n"/>
      <c r="G960" s="92">
        <f>IF(B960="","",IFERROR(INDEX(Roster!$C$6:$C$65,MATCH(B960,Roster!$B$6:$B$65,0)),"not on the Roster"))</f>
        <v/>
      </c>
      <c r="H960" s="95" t="n"/>
    </row>
    <row r="961">
      <c r="A961" s="122" t="n"/>
      <c r="B961" s="105" t="n"/>
      <c r="C961" s="105" t="n"/>
      <c r="D961" s="95" t="n"/>
      <c r="E961" s="95" t="n"/>
      <c r="F961" s="95" t="n"/>
      <c r="G961" s="92">
        <f>IF(B961="","",IFERROR(INDEX(Roster!$C$6:$C$65,MATCH(B961,Roster!$B$6:$B$65,0)),"not on the Roster"))</f>
        <v/>
      </c>
      <c r="H961" s="95" t="n"/>
    </row>
    <row r="962">
      <c r="A962" s="122" t="n"/>
      <c r="B962" s="105" t="n"/>
      <c r="C962" s="105" t="n"/>
      <c r="D962" s="95" t="n"/>
      <c r="E962" s="95" t="n"/>
      <c r="F962" s="95" t="n"/>
      <c r="G962" s="92">
        <f>IF(B962="","",IFERROR(INDEX(Roster!$C$6:$C$65,MATCH(B962,Roster!$B$6:$B$65,0)),"not on the Roster"))</f>
        <v/>
      </c>
      <c r="H962" s="95" t="n"/>
    </row>
    <row r="963">
      <c r="A963" s="122" t="n"/>
      <c r="B963" s="105" t="n"/>
      <c r="C963" s="105" t="n"/>
      <c r="D963" s="95" t="n"/>
      <c r="E963" s="95" t="n"/>
      <c r="F963" s="95" t="n"/>
      <c r="G963" s="92">
        <f>IF(B963="","",IFERROR(INDEX(Roster!$C$6:$C$65,MATCH(B963,Roster!$B$6:$B$65,0)),"not on the Roster"))</f>
        <v/>
      </c>
      <c r="H963" s="95" t="n"/>
    </row>
    <row r="964">
      <c r="A964" s="122" t="n"/>
      <c r="B964" s="105" t="n"/>
      <c r="C964" s="105" t="n"/>
      <c r="D964" s="95" t="n"/>
      <c r="E964" s="95" t="n"/>
      <c r="F964" s="95" t="n"/>
      <c r="G964" s="92">
        <f>IF(B964="","",IFERROR(INDEX(Roster!$C$6:$C$65,MATCH(B964,Roster!$B$6:$B$65,0)),"not on the Roster"))</f>
        <v/>
      </c>
      <c r="H964" s="95" t="n"/>
    </row>
    <row r="965">
      <c r="A965" s="122" t="n"/>
      <c r="B965" s="105" t="n"/>
      <c r="C965" s="105" t="n"/>
      <c r="D965" s="95" t="n"/>
      <c r="E965" s="95" t="n"/>
      <c r="F965" s="95" t="n"/>
      <c r="G965" s="92">
        <f>IF(B965="","",IFERROR(INDEX(Roster!$C$6:$C$65,MATCH(B965,Roster!$B$6:$B$65,0)),"not on the Roster"))</f>
        <v/>
      </c>
      <c r="H965" s="95" t="n"/>
    </row>
    <row r="966">
      <c r="A966" s="122" t="n"/>
      <c r="B966" s="105" t="n"/>
      <c r="C966" s="105" t="n"/>
      <c r="D966" s="95" t="n"/>
      <c r="E966" s="95" t="n"/>
      <c r="F966" s="95" t="n"/>
      <c r="G966" s="92">
        <f>IF(B966="","",IFERROR(INDEX(Roster!$C$6:$C$65,MATCH(B966,Roster!$B$6:$B$65,0)),"not on the Roster"))</f>
        <v/>
      </c>
      <c r="H966" s="95" t="n"/>
    </row>
    <row r="967">
      <c r="A967" s="122" t="n"/>
      <c r="B967" s="105" t="n"/>
      <c r="C967" s="105" t="n"/>
      <c r="D967" s="95" t="n"/>
      <c r="E967" s="95" t="n"/>
      <c r="F967" s="95" t="n"/>
      <c r="G967" s="92">
        <f>IF(B967="","",IFERROR(INDEX(Roster!$C$6:$C$65,MATCH(B967,Roster!$B$6:$B$65,0)),"not on the Roster"))</f>
        <v/>
      </c>
      <c r="H967" s="95" t="n"/>
    </row>
    <row r="968">
      <c r="A968" s="122" t="n"/>
      <c r="B968" s="105" t="n"/>
      <c r="C968" s="105" t="n"/>
      <c r="D968" s="95" t="n"/>
      <c r="E968" s="95" t="n"/>
      <c r="F968" s="95" t="n"/>
      <c r="G968" s="92">
        <f>IF(B968="","",IFERROR(INDEX(Roster!$C$6:$C$65,MATCH(B968,Roster!$B$6:$B$65,0)),"not on the Roster"))</f>
        <v/>
      </c>
      <c r="H968" s="95" t="n"/>
    </row>
    <row r="969">
      <c r="A969" s="122" t="n"/>
      <c r="B969" s="105" t="n"/>
      <c r="C969" s="105" t="n"/>
      <c r="D969" s="95" t="n"/>
      <c r="E969" s="95" t="n"/>
      <c r="F969" s="95" t="n"/>
      <c r="G969" s="92">
        <f>IF(B969="","",IFERROR(INDEX(Roster!$C$6:$C$65,MATCH(B969,Roster!$B$6:$B$65,0)),"not on the Roster"))</f>
        <v/>
      </c>
      <c r="H969" s="95" t="n"/>
    </row>
    <row r="970">
      <c r="A970" s="122" t="n"/>
      <c r="B970" s="105" t="n"/>
      <c r="C970" s="105" t="n"/>
      <c r="D970" s="95" t="n"/>
      <c r="E970" s="95" t="n"/>
      <c r="F970" s="95" t="n"/>
      <c r="G970" s="92">
        <f>IF(B970="","",IFERROR(INDEX(Roster!$C$6:$C$65,MATCH(B970,Roster!$B$6:$B$65,0)),"not on the Roster"))</f>
        <v/>
      </c>
      <c r="H970" s="95" t="n"/>
    </row>
    <row r="971">
      <c r="A971" s="122" t="n"/>
      <c r="B971" s="105" t="n"/>
      <c r="C971" s="105" t="n"/>
      <c r="D971" s="95" t="n"/>
      <c r="E971" s="95" t="n"/>
      <c r="F971" s="95" t="n"/>
      <c r="G971" s="92">
        <f>IF(B971="","",IFERROR(INDEX(Roster!$C$6:$C$65,MATCH(B971,Roster!$B$6:$B$65,0)),"not on the Roster"))</f>
        <v/>
      </c>
      <c r="H971" s="95" t="n"/>
    </row>
    <row r="972">
      <c r="A972" s="122" t="n"/>
      <c r="B972" s="105" t="n"/>
      <c r="C972" s="105" t="n"/>
      <c r="D972" s="95" t="n"/>
      <c r="E972" s="95" t="n"/>
      <c r="F972" s="95" t="n"/>
      <c r="G972" s="92">
        <f>IF(B972="","",IFERROR(INDEX(Roster!$C$6:$C$65,MATCH(B972,Roster!$B$6:$B$65,0)),"not on the Roster"))</f>
        <v/>
      </c>
      <c r="H972" s="95" t="n"/>
    </row>
    <row r="973">
      <c r="A973" s="122" t="n"/>
      <c r="B973" s="105" t="n"/>
      <c r="C973" s="105" t="n"/>
      <c r="D973" s="95" t="n"/>
      <c r="E973" s="95" t="n"/>
      <c r="F973" s="95" t="n"/>
      <c r="G973" s="92">
        <f>IF(B973="","",IFERROR(INDEX(Roster!$C$6:$C$65,MATCH(B973,Roster!$B$6:$B$65,0)),"not on the Roster"))</f>
        <v/>
      </c>
      <c r="H973" s="95" t="n"/>
    </row>
    <row r="974">
      <c r="A974" s="122" t="n"/>
      <c r="B974" s="105" t="n"/>
      <c r="C974" s="105" t="n"/>
      <c r="D974" s="95" t="n"/>
      <c r="E974" s="95" t="n"/>
      <c r="F974" s="95" t="n"/>
      <c r="G974" s="92">
        <f>IF(B974="","",IFERROR(INDEX(Roster!$C$6:$C$65,MATCH(B974,Roster!$B$6:$B$65,0)),"not on the Roster"))</f>
        <v/>
      </c>
      <c r="H974" s="95" t="n"/>
    </row>
    <row r="975">
      <c r="A975" s="122" t="n"/>
      <c r="B975" s="105" t="n"/>
      <c r="C975" s="105" t="n"/>
      <c r="D975" s="95" t="n"/>
      <c r="E975" s="95" t="n"/>
      <c r="F975" s="95" t="n"/>
      <c r="G975" s="92">
        <f>IF(B975="","",IFERROR(INDEX(Roster!$C$6:$C$65,MATCH(B975,Roster!$B$6:$B$65,0)),"not on the Roster"))</f>
        <v/>
      </c>
      <c r="H975" s="95" t="n"/>
    </row>
    <row r="976">
      <c r="A976" s="122" t="n"/>
      <c r="B976" s="105" t="n"/>
      <c r="C976" s="105" t="n"/>
      <c r="D976" s="95" t="n"/>
      <c r="E976" s="95" t="n"/>
      <c r="F976" s="95" t="n"/>
      <c r="G976" s="92">
        <f>IF(B976="","",IFERROR(INDEX(Roster!$C$6:$C$65,MATCH(B976,Roster!$B$6:$B$65,0)),"not on the Roster"))</f>
        <v/>
      </c>
      <c r="H976" s="95" t="n"/>
    </row>
    <row r="977">
      <c r="A977" s="122" t="n"/>
      <c r="B977" s="105" t="n"/>
      <c r="C977" s="105" t="n"/>
      <c r="D977" s="95" t="n"/>
      <c r="E977" s="95" t="n"/>
      <c r="F977" s="95" t="n"/>
      <c r="G977" s="92">
        <f>IF(B977="","",IFERROR(INDEX(Roster!$C$6:$C$65,MATCH(B977,Roster!$B$6:$B$65,0)),"not on the Roster"))</f>
        <v/>
      </c>
      <c r="H977" s="95" t="n"/>
    </row>
    <row r="978">
      <c r="A978" s="122" t="n"/>
      <c r="B978" s="105" t="n"/>
      <c r="C978" s="105" t="n"/>
      <c r="D978" s="95" t="n"/>
      <c r="E978" s="95" t="n"/>
      <c r="F978" s="95" t="n"/>
      <c r="G978" s="92">
        <f>IF(B978="","",IFERROR(INDEX(Roster!$C$6:$C$65,MATCH(B978,Roster!$B$6:$B$65,0)),"not on the Roster"))</f>
        <v/>
      </c>
      <c r="H978" s="95" t="n"/>
    </row>
    <row r="979">
      <c r="A979" s="122" t="n"/>
      <c r="B979" s="105" t="n"/>
      <c r="C979" s="105" t="n"/>
      <c r="D979" s="95" t="n"/>
      <c r="E979" s="95" t="n"/>
      <c r="F979" s="95" t="n"/>
      <c r="G979" s="92">
        <f>IF(B979="","",IFERROR(INDEX(Roster!$C$6:$C$65,MATCH(B979,Roster!$B$6:$B$65,0)),"not on the Roster"))</f>
        <v/>
      </c>
      <c r="H979" s="95" t="n"/>
    </row>
    <row r="980">
      <c r="A980" s="122" t="n"/>
      <c r="B980" s="105" t="n"/>
      <c r="C980" s="105" t="n"/>
      <c r="D980" s="95" t="n"/>
      <c r="E980" s="95" t="n"/>
      <c r="F980" s="95" t="n"/>
      <c r="G980" s="92">
        <f>IF(B980="","",IFERROR(INDEX(Roster!$C$6:$C$65,MATCH(B980,Roster!$B$6:$B$65,0)),"not on the Roster"))</f>
        <v/>
      </c>
      <c r="H980" s="95" t="n"/>
    </row>
    <row r="981">
      <c r="A981" s="122" t="n"/>
      <c r="B981" s="105" t="n"/>
      <c r="C981" s="105" t="n"/>
      <c r="D981" s="95" t="n"/>
      <c r="E981" s="95" t="n"/>
      <c r="F981" s="95" t="n"/>
      <c r="G981" s="92">
        <f>IF(B981="","",IFERROR(INDEX(Roster!$C$6:$C$65,MATCH(B981,Roster!$B$6:$B$65,0)),"not on the Roster"))</f>
        <v/>
      </c>
      <c r="H981" s="95" t="n"/>
    </row>
    <row r="982">
      <c r="A982" s="122" t="n"/>
      <c r="B982" s="105" t="n"/>
      <c r="C982" s="105" t="n"/>
      <c r="D982" s="95" t="n"/>
      <c r="E982" s="95" t="n"/>
      <c r="F982" s="95" t="n"/>
      <c r="G982" s="92">
        <f>IF(B982="","",IFERROR(INDEX(Roster!$C$6:$C$65,MATCH(B982,Roster!$B$6:$B$65,0)),"not on the Roster"))</f>
        <v/>
      </c>
      <c r="H982" s="95" t="n"/>
    </row>
    <row r="983">
      <c r="A983" s="122" t="n"/>
      <c r="B983" s="105" t="n"/>
      <c r="C983" s="105" t="n"/>
      <c r="D983" s="95" t="n"/>
      <c r="E983" s="95" t="n"/>
      <c r="F983" s="95" t="n"/>
      <c r="G983" s="92">
        <f>IF(B983="","",IFERROR(INDEX(Roster!$C$6:$C$65,MATCH(B983,Roster!$B$6:$B$65,0)),"not on the Roster"))</f>
        <v/>
      </c>
      <c r="H983" s="95" t="n"/>
    </row>
    <row r="984">
      <c r="A984" s="122" t="n"/>
      <c r="B984" s="105" t="n"/>
      <c r="C984" s="105" t="n"/>
      <c r="D984" s="95" t="n"/>
      <c r="E984" s="95" t="n"/>
      <c r="F984" s="95" t="n"/>
      <c r="G984" s="92">
        <f>IF(B984="","",IFERROR(INDEX(Roster!$C$6:$C$65,MATCH(B984,Roster!$B$6:$B$65,0)),"not on the Roster"))</f>
        <v/>
      </c>
      <c r="H984" s="95" t="n"/>
    </row>
    <row r="985">
      <c r="A985" s="122" t="n"/>
      <c r="B985" s="105" t="n"/>
      <c r="C985" s="105" t="n"/>
      <c r="D985" s="95" t="n"/>
      <c r="E985" s="95" t="n"/>
      <c r="F985" s="95" t="n"/>
      <c r="G985" s="92">
        <f>IF(B985="","",IFERROR(INDEX(Roster!$C$6:$C$65,MATCH(B985,Roster!$B$6:$B$65,0)),"not on the Roster"))</f>
        <v/>
      </c>
      <c r="H985" s="95" t="n"/>
    </row>
    <row r="986">
      <c r="A986" s="122" t="n"/>
      <c r="B986" s="105" t="n"/>
      <c r="C986" s="105" t="n"/>
      <c r="D986" s="95" t="n"/>
      <c r="E986" s="95" t="n"/>
      <c r="F986" s="95" t="n"/>
      <c r="G986" s="92">
        <f>IF(B986="","",IFERROR(INDEX(Roster!$C$6:$C$65,MATCH(B986,Roster!$B$6:$B$65,0)),"not on the Roster"))</f>
        <v/>
      </c>
      <c r="H986" s="95" t="n"/>
    </row>
    <row r="987">
      <c r="A987" s="122" t="n"/>
      <c r="B987" s="105" t="n"/>
      <c r="C987" s="105" t="n"/>
      <c r="D987" s="95" t="n"/>
      <c r="E987" s="95" t="n"/>
      <c r="F987" s="95" t="n"/>
      <c r="G987" s="92">
        <f>IF(B987="","",IFERROR(INDEX(Roster!$C$6:$C$65,MATCH(B987,Roster!$B$6:$B$65,0)),"not on the Roster"))</f>
        <v/>
      </c>
      <c r="H987" s="95" t="n"/>
    </row>
    <row r="988">
      <c r="A988" s="122" t="n"/>
      <c r="B988" s="105" t="n"/>
      <c r="C988" s="105" t="n"/>
      <c r="D988" s="95" t="n"/>
      <c r="E988" s="95" t="n"/>
      <c r="F988" s="95" t="n"/>
      <c r="G988" s="92">
        <f>IF(B988="","",IFERROR(INDEX(Roster!$C$6:$C$65,MATCH(B988,Roster!$B$6:$B$65,0)),"not on the Roster"))</f>
        <v/>
      </c>
      <c r="H988" s="95" t="n"/>
    </row>
    <row r="989">
      <c r="A989" s="122" t="n"/>
      <c r="B989" s="105" t="n"/>
      <c r="C989" s="105" t="n"/>
      <c r="D989" s="95" t="n"/>
      <c r="E989" s="95" t="n"/>
      <c r="F989" s="95" t="n"/>
      <c r="G989" s="92">
        <f>IF(B989="","",IFERROR(INDEX(Roster!$C$6:$C$65,MATCH(B989,Roster!$B$6:$B$65,0)),"not on the Roster"))</f>
        <v/>
      </c>
      <c r="H989" s="95" t="n"/>
    </row>
    <row r="990">
      <c r="A990" s="122" t="n"/>
      <c r="B990" s="105" t="n"/>
      <c r="C990" s="105" t="n"/>
      <c r="D990" s="95" t="n"/>
      <c r="E990" s="95" t="n"/>
      <c r="F990" s="95" t="n"/>
      <c r="G990" s="92">
        <f>IF(B990="","",IFERROR(INDEX(Roster!$C$6:$C$65,MATCH(B990,Roster!$B$6:$B$65,0)),"not on the Roster"))</f>
        <v/>
      </c>
      <c r="H990" s="95" t="n"/>
    </row>
    <row r="991">
      <c r="A991" s="122" t="n"/>
      <c r="B991" s="105" t="n"/>
      <c r="C991" s="105" t="n"/>
      <c r="D991" s="95" t="n"/>
      <c r="E991" s="95" t="n"/>
      <c r="F991" s="95" t="n"/>
      <c r="G991" s="92">
        <f>IF(B991="","",IFERROR(INDEX(Roster!$C$6:$C$65,MATCH(B991,Roster!$B$6:$B$65,0)),"not on the Roster"))</f>
        <v/>
      </c>
      <c r="H991" s="95" t="n"/>
    </row>
    <row r="992">
      <c r="A992" s="122" t="n"/>
      <c r="B992" s="105" t="n"/>
      <c r="C992" s="105" t="n"/>
      <c r="D992" s="95" t="n"/>
      <c r="E992" s="95" t="n"/>
      <c r="F992" s="95" t="n"/>
      <c r="G992" s="92">
        <f>IF(B992="","",IFERROR(INDEX(Roster!$C$6:$C$65,MATCH(B992,Roster!$B$6:$B$65,0)),"not on the Roster"))</f>
        <v/>
      </c>
      <c r="H992" s="95" t="n"/>
    </row>
    <row r="993">
      <c r="A993" s="122" t="n"/>
      <c r="B993" s="105" t="n"/>
      <c r="C993" s="105" t="n"/>
      <c r="D993" s="95" t="n"/>
      <c r="E993" s="95" t="n"/>
      <c r="F993" s="95" t="n"/>
      <c r="G993" s="92">
        <f>IF(B993="","",IFERROR(INDEX(Roster!$C$6:$C$65,MATCH(B993,Roster!$B$6:$B$65,0)),"not on the Roster"))</f>
        <v/>
      </c>
      <c r="H993" s="95" t="n"/>
    </row>
    <row r="994">
      <c r="A994" s="122" t="n"/>
      <c r="B994" s="105" t="n"/>
      <c r="C994" s="105" t="n"/>
      <c r="D994" s="95" t="n"/>
      <c r="E994" s="95" t="n"/>
      <c r="F994" s="95" t="n"/>
      <c r="G994" s="92">
        <f>IF(B994="","",IFERROR(INDEX(Roster!$C$6:$C$65,MATCH(B994,Roster!$B$6:$B$65,0)),"not on the Roster"))</f>
        <v/>
      </c>
      <c r="H994" s="95" t="n"/>
    </row>
    <row r="995">
      <c r="A995" s="122" t="n"/>
      <c r="B995" s="105" t="n"/>
      <c r="C995" s="105" t="n"/>
      <c r="D995" s="95" t="n"/>
      <c r="E995" s="95" t="n"/>
      <c r="F995" s="95" t="n"/>
      <c r="G995" s="92">
        <f>IF(B995="","",IFERROR(INDEX(Roster!$C$6:$C$65,MATCH(B995,Roster!$B$6:$B$65,0)),"not on the Roster"))</f>
        <v/>
      </c>
      <c r="H995" s="95" t="n"/>
    </row>
    <row r="996">
      <c r="A996" s="122" t="n"/>
      <c r="B996" s="105" t="n"/>
      <c r="C996" s="105" t="n"/>
      <c r="D996" s="95" t="n"/>
      <c r="E996" s="95" t="n"/>
      <c r="F996" s="95" t="n"/>
      <c r="G996" s="92">
        <f>IF(B996="","",IFERROR(INDEX(Roster!$C$6:$C$65,MATCH(B996,Roster!$B$6:$B$65,0)),"not on the Roster"))</f>
        <v/>
      </c>
      <c r="H996" s="95" t="n"/>
    </row>
    <row r="997">
      <c r="A997" s="122" t="n"/>
      <c r="B997" s="105" t="n"/>
      <c r="C997" s="105" t="n"/>
      <c r="D997" s="95" t="n"/>
      <c r="E997" s="95" t="n"/>
      <c r="F997" s="95" t="n"/>
      <c r="G997" s="92">
        <f>IF(B997="","",IFERROR(INDEX(Roster!$C$6:$C$65,MATCH(B997,Roster!$B$6:$B$65,0)),"not on the Roster"))</f>
        <v/>
      </c>
      <c r="H997" s="95" t="n"/>
    </row>
    <row r="998">
      <c r="A998" s="122" t="n"/>
      <c r="B998" s="105" t="n"/>
      <c r="C998" s="105" t="n"/>
      <c r="D998" s="95" t="n"/>
      <c r="E998" s="95" t="n"/>
      <c r="F998" s="95" t="n"/>
      <c r="G998" s="92">
        <f>IF(B998="","",IFERROR(INDEX(Roster!$C$6:$C$65,MATCH(B998,Roster!$B$6:$B$65,0)),"not on the Roster"))</f>
        <v/>
      </c>
      <c r="H998" s="95" t="n"/>
    </row>
    <row r="999">
      <c r="A999" s="122" t="n"/>
      <c r="B999" s="105" t="n"/>
      <c r="C999" s="105" t="n"/>
      <c r="D999" s="95" t="n"/>
      <c r="E999" s="95" t="n"/>
      <c r="F999" s="95" t="n"/>
      <c r="G999" s="92">
        <f>IF(B999="","",IFERROR(INDEX(Roster!$C$6:$C$65,MATCH(B999,Roster!$B$6:$B$65,0)),"not on the Roster"))</f>
        <v/>
      </c>
      <c r="H999" s="95" t="n"/>
    </row>
    <row r="1000">
      <c r="A1000" s="122" t="n"/>
      <c r="B1000" s="105" t="n"/>
      <c r="C1000" s="105" t="n"/>
      <c r="D1000" s="95" t="n"/>
      <c r="E1000" s="95" t="n"/>
      <c r="F1000" s="95" t="n"/>
      <c r="G1000" s="92">
        <f>IF(B1000="","",IFERROR(INDEX(Roster!$C$6:$C$65,MATCH(B1000,Roster!$B$6:$B$65,0)),"not on the Roster"))</f>
        <v/>
      </c>
      <c r="H1000" s="95" t="n"/>
    </row>
    <row r="1001">
      <c r="A1001" s="122" t="n"/>
      <c r="B1001" s="105" t="n"/>
      <c r="C1001" s="105" t="n"/>
      <c r="D1001" s="95" t="n"/>
      <c r="E1001" s="95" t="n"/>
      <c r="F1001" s="95" t="n"/>
      <c r="G1001" s="92">
        <f>IF(B1001="","",IFERROR(INDEX(Roster!$C$6:$C$65,MATCH(B1001,Roster!$B$6:$B$65,0)),"not on the Roster"))</f>
        <v/>
      </c>
      <c r="H1001" s="95" t="n"/>
    </row>
    <row r="1002">
      <c r="A1002" s="122" t="n"/>
      <c r="B1002" s="105" t="n"/>
      <c r="C1002" s="105" t="n"/>
      <c r="D1002" s="95" t="n"/>
      <c r="E1002" s="95" t="n"/>
      <c r="F1002" s="95" t="n"/>
      <c r="G1002" s="92">
        <f>IF(B1002="","",IFERROR(INDEX(Roster!$C$6:$C$65,MATCH(B1002,Roster!$B$6:$B$65,0)),"not on the Roster"))</f>
        <v/>
      </c>
      <c r="H1002" s="95" t="n"/>
    </row>
    <row r="1003">
      <c r="A1003" s="122" t="n"/>
      <c r="B1003" s="105" t="n"/>
      <c r="C1003" s="105" t="n"/>
      <c r="D1003" s="95" t="n"/>
      <c r="E1003" s="95" t="n"/>
      <c r="F1003" s="95" t="n"/>
      <c r="G1003" s="92">
        <f>IF(B1003="","",IFERROR(INDEX(Roster!$C$6:$C$65,MATCH(B1003,Roster!$B$6:$B$65,0)),"not on the Roster"))</f>
        <v/>
      </c>
      <c r="H1003" s="95" t="n"/>
    </row>
    <row r="1004">
      <c r="A1004" s="122" t="n"/>
      <c r="B1004" s="105" t="n"/>
      <c r="C1004" s="105" t="n"/>
      <c r="D1004" s="95" t="n"/>
      <c r="E1004" s="95" t="n"/>
      <c r="F1004" s="95" t="n"/>
      <c r="G1004" s="92">
        <f>IF(B1004="","",IFERROR(INDEX(Roster!$C$6:$C$65,MATCH(B1004,Roster!$B$6:$B$65,0)),"not on the Roster"))</f>
        <v/>
      </c>
      <c r="H1004" s="95" t="n"/>
    </row>
    <row r="1005">
      <c r="A1005" s="122" t="n"/>
      <c r="B1005" s="105" t="n"/>
      <c r="C1005" s="105" t="n"/>
      <c r="D1005" s="95" t="n"/>
      <c r="E1005" s="95" t="n"/>
      <c r="F1005" s="95" t="n"/>
      <c r="G1005" s="92">
        <f>IF(B1005="","",IFERROR(INDEX(Roster!$C$6:$C$65,MATCH(B1005,Roster!$B$6:$B$65,0)),"not on the Roster"))</f>
        <v/>
      </c>
      <c r="H1005" s="95" t="n"/>
    </row>
  </sheetData>
  <mergeCells count="2">
    <mergeCell ref="A2:H2"/>
    <mergeCell ref="A1:H1"/>
  </mergeCells>
  <conditionalFormatting sqref="D6:D1005">
    <cfRule type="expression" priority="1" dxfId="23">
      <formula>$D6="Fail"</formula>
    </cfRule>
    <cfRule type="expression" priority="2" dxfId="21">
      <formula>$D6="Pass"</formula>
    </cfRule>
    <cfRule type="expression" priority="3" dxfId="24">
      <formula>$D6="Planned"</formula>
    </cfRule>
  </conditionalFormatting>
  <dataValidations count="3">
    <dataValidation sqref="D6:D1005" showDropDown="0" showInputMessage="0" showErrorMessage="1" allowBlank="1" errorTitle="Result" error="Planned, Pass or Fail." type="list">
      <formula1>"Planned,Pass,Fail"</formula1>
    </dataValidation>
    <dataValidation sqref="B6:B1005" showDropDown="0" showInputMessage="0" showErrorMessage="0" allowBlank="1" type="list">
      <formula1>=Roster!$B$6:$B$65</formula1>
    </dataValidation>
    <dataValidation sqref="H6:H1005" showDropDown="0" showInputMessage="0" showErrorMessage="0" allowBlank="1" type="list">
      <formula1>"AM,PM,NIGHT"</formula1>
    </dataValidation>
  </dataValidations>
  <pageMargins left="0.75" right="0.75" top="1" bottom="1" header="0.5" footer="0.5"/>
</worksheet>
</file>

<file path=xl/worksheets/sheet12.xml><?xml version="1.0" encoding="utf-8"?>
<worksheet xmlns="http://schemas.openxmlformats.org/spreadsheetml/2006/main">
  <sheetPr>
    <tabColor rgb="00CA8A04"/>
    <outlinePr summaryBelow="1" summaryRight="1"/>
    <pageSetUpPr/>
  </sheetPr>
  <dimension ref="A1:C7"/>
  <sheetViews>
    <sheetView showGridLines="0" tabSelected="0" workbookViewId="0">
      <pane ySplit="5" topLeftCell="A6" activePane="bottomLeft" state="frozen"/>
      <selection pane="bottomLeft" activeCell="A1" sqref="A1"/>
    </sheetView>
  </sheetViews>
  <sheetFormatPr baseColWidth="8" defaultRowHeight="15"/>
  <cols>
    <col width="32" customWidth="1" min="1" max="1"/>
    <col width="10" customWidth="1" min="2" max="2"/>
    <col width="70" customWidth="1" min="3" max="3"/>
  </cols>
  <sheetData>
    <row r="1" ht="30" customHeight="1">
      <c r="A1" s="1" t="inlineStr">
        <is>
          <t>SYLLABUS SETTINGS  |  LOADMASTER</t>
        </is>
      </c>
      <c r="B1" s="2" t="n"/>
      <c r="C1" s="2" t="n"/>
    </row>
    <row r="2" ht="18" customHeight="1">
      <c r="A2" s="3" t="inlineStr">
        <is>
          <t>Yellow cells can be changed. Used by the dashboard's Planner &gt; Syllabus Tracking.</t>
        </is>
      </c>
      <c r="B2" s="2" t="n"/>
      <c r="C2" s="2" t="n"/>
    </row>
    <row r="5">
      <c r="A5" s="31" t="inlineStr">
        <is>
          <t>Setting</t>
        </is>
      </c>
      <c r="B5" s="31" t="inlineStr">
        <is>
          <t>Value</t>
        </is>
      </c>
      <c r="C5" s="31" t="inlineStr">
        <is>
          <t>Meaning</t>
        </is>
      </c>
    </row>
    <row r="6">
      <c r="A6" s="38" t="inlineStr">
        <is>
          <t>Default chances per item</t>
        </is>
      </c>
      <c r="B6" s="125" t="n">
        <v>3</v>
      </c>
      <c r="C6" s="126" t="inlineStr">
        <is>
          <t>Fails allowed on an item before the person is out of chances (used when an item's Chances cell is blank).</t>
        </is>
      </c>
    </row>
    <row r="7">
      <c r="A7" s="38" t="inlineStr">
        <is>
          <t>Warn when chances left ≤</t>
        </is>
      </c>
      <c r="B7" s="125" t="n">
        <v>1</v>
      </c>
      <c r="C7" s="126" t="inlineStr">
        <is>
          <t>Amber warning when this many chances or fewer are left.</t>
        </is>
      </c>
    </row>
  </sheetData>
  <mergeCells count="2">
    <mergeCell ref="A1:C1"/>
    <mergeCell ref="A2:C2"/>
  </mergeCells>
  <dataValidations count="2">
    <dataValidation sqref="B6" showDropDown="0" showInputMessage="0" showErrorMessage="0" allowBlank="0" type="whole" operator="between">
      <formula1>0</formula1>
      <formula2>99</formula2>
    </dataValidation>
    <dataValidation sqref="B7" showDropDown="0" showInputMessage="0" showErrorMessage="0" allowBlank="0" type="whole" operator="between">
      <formula1>0</formula1>
      <formula2>99</formula2>
    </dataValidation>
  </dataValidations>
  <pageMargins left="0.75" right="0.75" top="1" bottom="1" header="0.5" footer="0.5"/>
</worksheet>
</file>

<file path=xl/worksheets/sheet13.xml><?xml version="1.0" encoding="utf-8"?>
<worksheet xmlns="http://schemas.openxmlformats.org/spreadsheetml/2006/main">
  <sheetPr>
    <tabColor rgb="00CA8A04"/>
    <outlinePr summaryBelow="1" summaryRight="1"/>
    <pageSetUpPr/>
  </sheetPr>
  <dimension ref="A1:C25"/>
  <sheetViews>
    <sheetView showGridLines="0" tabSelected="0" workbookViewId="0">
      <pane ySplit="5" topLeftCell="A6" activePane="bottomLeft" state="frozen"/>
      <selection pane="bottomLeft" activeCell="A1" sqref="A1"/>
    </sheetView>
  </sheetViews>
  <sheetFormatPr baseColWidth="8" defaultRowHeight="15"/>
  <cols>
    <col width="18" customWidth="1" min="1" max="1"/>
    <col width="16" customWidth="1" min="2" max="2"/>
    <col width="70" customWidth="1" min="3" max="3"/>
  </cols>
  <sheetData>
    <row r="1" ht="30" customHeight="1">
      <c r="A1" s="1" t="inlineStr">
        <is>
          <t>SYLLABUS STAGES  |  LOADMASTER</t>
        </is>
      </c>
      <c r="B1" s="2" t="n"/>
      <c r="C1" s="2" t="n"/>
    </row>
    <row r="2" ht="18" customHeight="1">
      <c r="A2" s="3" t="inlineStr">
        <is>
          <t>The training path, first stage at the top. 'Gives' = the Cat Status (or Role) the stage leads to once the paperwork is approved. No gaps.</t>
        </is>
      </c>
      <c r="B2" s="2" t="n"/>
      <c r="C2" s="2" t="n"/>
    </row>
    <row r="5">
      <c r="A5" s="31" t="inlineStr">
        <is>
          <t>Stage</t>
        </is>
      </c>
      <c r="B5" s="31" t="inlineStr">
        <is>
          <t>Gives</t>
        </is>
      </c>
      <c r="C5" s="31" t="inlineStr">
        <is>
          <t>Notes</t>
        </is>
      </c>
    </row>
    <row r="6">
      <c r="A6" s="106" t="inlineStr">
        <is>
          <t>OCU</t>
        </is>
      </c>
      <c r="B6" s="106" t="inlineStr">
        <is>
          <t>CAT D</t>
        </is>
      </c>
      <c r="C6" s="106" t="inlineStr">
        <is>
          <t>Operational Conversion Unit. Passing it makes a TRAINEE a CAT D.</t>
        </is>
      </c>
    </row>
    <row r="7">
      <c r="A7" s="106" t="inlineStr">
        <is>
          <t>CAT C</t>
        </is>
      </c>
      <c r="B7" s="106" t="inlineStr">
        <is>
          <t>CAT C</t>
        </is>
      </c>
      <c r="C7" s="106" t="inlineStr"/>
    </row>
    <row r="8">
      <c r="A8" s="106" t="inlineStr">
        <is>
          <t>CAT B</t>
        </is>
      </c>
      <c r="B8" s="106" t="inlineStr">
        <is>
          <t>CAT B</t>
        </is>
      </c>
      <c r="C8" s="106" t="inlineStr"/>
    </row>
    <row r="9">
      <c r="A9" s="106" t="inlineStr">
        <is>
          <t>CAT A</t>
        </is>
      </c>
      <c r="B9" s="106" t="inlineStr">
        <is>
          <t>CAT A</t>
        </is>
      </c>
      <c r="C9" s="106" t="inlineStr"/>
    </row>
    <row r="10">
      <c r="A10" s="106" t="inlineStr">
        <is>
          <t>Instructor</t>
        </is>
      </c>
      <c r="B10" s="106" t="inlineStr">
        <is>
          <t>Instructor</t>
        </is>
      </c>
      <c r="C10" s="106" t="inlineStr">
        <is>
          <t>Gives the Instructor Role on the Roster (not a Cat Status).</t>
        </is>
      </c>
    </row>
    <row r="11">
      <c r="A11" s="106" t="n"/>
      <c r="B11" s="106" t="n"/>
      <c r="C11" s="106" t="n"/>
    </row>
    <row r="12">
      <c r="A12" s="106" t="n"/>
      <c r="B12" s="106" t="n"/>
      <c r="C12" s="106" t="n"/>
    </row>
    <row r="13">
      <c r="A13" s="106" t="n"/>
      <c r="B13" s="106" t="n"/>
      <c r="C13" s="106" t="n"/>
    </row>
    <row r="14">
      <c r="A14" s="106" t="n"/>
      <c r="B14" s="106" t="n"/>
      <c r="C14" s="106" t="n"/>
    </row>
    <row r="15">
      <c r="A15" s="106" t="n"/>
      <c r="B15" s="106" t="n"/>
      <c r="C15" s="106" t="n"/>
    </row>
    <row r="16">
      <c r="A16" s="106" t="n"/>
      <c r="B16" s="106" t="n"/>
      <c r="C16" s="106" t="n"/>
    </row>
    <row r="17">
      <c r="A17" s="106" t="n"/>
      <c r="B17" s="106" t="n"/>
      <c r="C17" s="106" t="n"/>
    </row>
    <row r="18">
      <c r="A18" s="106" t="n"/>
      <c r="B18" s="106" t="n"/>
      <c r="C18" s="106" t="n"/>
    </row>
    <row r="19">
      <c r="A19" s="106" t="n"/>
      <c r="B19" s="106" t="n"/>
      <c r="C19" s="106" t="n"/>
    </row>
    <row r="20">
      <c r="A20" s="106" t="n"/>
      <c r="B20" s="106" t="n"/>
      <c r="C20" s="106" t="n"/>
    </row>
    <row r="21">
      <c r="A21" s="106" t="n"/>
      <c r="B21" s="106" t="n"/>
      <c r="C21" s="106" t="n"/>
    </row>
    <row r="22">
      <c r="A22" s="106" t="n"/>
      <c r="B22" s="106" t="n"/>
      <c r="C22" s="106" t="n"/>
    </row>
    <row r="23">
      <c r="A23" s="106" t="n"/>
      <c r="B23" s="106" t="n"/>
      <c r="C23" s="106" t="n"/>
    </row>
    <row r="24">
      <c r="A24" s="106" t="n"/>
      <c r="B24" s="106" t="n"/>
      <c r="C24" s="106" t="n"/>
    </row>
    <row r="25">
      <c r="A25" s="106" t="n"/>
      <c r="B25" s="106" t="n"/>
      <c r="C25" s="106" t="n"/>
    </row>
  </sheetData>
  <mergeCells count="2">
    <mergeCell ref="A1:C1"/>
    <mergeCell ref="A2:C2"/>
  </mergeCells>
  <dataValidations count="1">
    <dataValidation sqref="B6:B25" showDropDown="0" showInputMessage="0" showErrorMessage="0" allowBlank="1" type="list">
      <formula1>"TRAINEE,CAT D,CAT C,CAT B,CAT A,Instructor"</formula1>
    </dataValidation>
  </dataValidations>
  <pageMargins left="0.75" right="0.75" top="1" bottom="1" header="0.5" footer="0.5"/>
</worksheet>
</file>

<file path=xl/worksheets/sheet14.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15" customWidth="1" min="4" max="4"/>
    <col width="30" customWidth="1" min="5" max="5"/>
    <col width="10" customWidth="1" min="6" max="6"/>
    <col width="36" customWidth="1" min="7" max="7"/>
    <col width="10" customWidth="1" min="8" max="8"/>
  </cols>
  <sheetData>
    <row r="1" ht="30" customHeight="1">
      <c r="A1" s="1" t="inlineStr">
        <is>
          <t>SYLLABUS ITEMS  |  LOADMASTER (LOADMASTER)</t>
        </is>
      </c>
      <c r="B1" s="2" t="n"/>
      <c r="C1" s="2" t="n"/>
      <c r="D1" s="2" t="n"/>
      <c r="E1" s="2" t="n"/>
      <c r="F1" s="2" t="n"/>
      <c r="G1" s="2" t="n"/>
      <c r="H1" s="2" t="n"/>
    </row>
    <row r="2" ht="18" customHeight="1">
      <c r="A2" s="3" t="inlineStr">
        <is>
          <t>One row per item. Track = a column of the tree (any name, items in Order). Type = Ground, Sim or Flight: the Planner cell picker offers Flight items on a flight and Sim items on a sim. Chances blank = the default. Items are PLACEHOLDERS.</t>
        </is>
      </c>
      <c r="B2" s="2" t="n"/>
      <c r="C2" s="2" t="n"/>
      <c r="D2" s="2" t="n"/>
      <c r="E2" s="2" t="n"/>
      <c r="F2" s="2" t="n"/>
      <c r="G2" s="2" t="n"/>
      <c r="H2" s="2" t="n"/>
    </row>
    <row r="3">
      <c r="A3" s="82" t="inlineStr">
        <is>
          <t>Codes must be unique: the Syllabus Log refers to items by Code. Rename a description freely, but don't change a Code that already has results.</t>
        </is>
      </c>
    </row>
    <row r="5">
      <c r="A5" s="31" t="inlineStr">
        <is>
          <t>Stage</t>
        </is>
      </c>
      <c r="B5" s="31" t="inlineStr">
        <is>
          <t>Track</t>
        </is>
      </c>
      <c r="C5" s="31" t="inlineStr">
        <is>
          <t>Order</t>
        </is>
      </c>
      <c r="D5" s="31" t="inlineStr">
        <is>
          <t>Code</t>
        </is>
      </c>
      <c r="E5" s="31" t="inlineStr">
        <is>
          <t>Description</t>
        </is>
      </c>
      <c r="F5" s="31" t="inlineStr">
        <is>
          <t>Chances</t>
        </is>
      </c>
      <c r="G5" s="31" t="inlineStr">
        <is>
          <t>Notes</t>
        </is>
      </c>
      <c r="H5" s="31" t="inlineStr">
        <is>
          <t>Type</t>
        </is>
      </c>
    </row>
    <row r="6">
      <c r="A6" s="106" t="inlineStr">
        <is>
          <t>OCU</t>
        </is>
      </c>
      <c r="B6" s="107" t="inlineStr">
        <is>
          <t>Sim</t>
        </is>
      </c>
      <c r="C6" s="107" t="n">
        <v>1</v>
      </c>
      <c r="D6" s="127" t="inlineStr">
        <is>
          <t>L-O-SIM1</t>
        </is>
      </c>
      <c r="E6" s="106" t="inlineStr">
        <is>
          <t>Cargo systems</t>
        </is>
      </c>
      <c r="F6" s="107" t="n"/>
      <c r="G6" s="106" t="n"/>
      <c r="H6" s="107" t="inlineStr">
        <is>
          <t>Sim</t>
        </is>
      </c>
    </row>
    <row r="7">
      <c r="A7" s="106" t="inlineStr">
        <is>
          <t>OCU</t>
        </is>
      </c>
      <c r="B7" s="107" t="inlineStr">
        <is>
          <t>Sim</t>
        </is>
      </c>
      <c r="C7" s="107" t="n">
        <v>2</v>
      </c>
      <c r="D7" s="127" t="inlineStr">
        <is>
          <t>L-O-SIM2</t>
        </is>
      </c>
      <c r="E7" s="106" t="inlineStr">
        <is>
          <t>Load planning</t>
        </is>
      </c>
      <c r="F7" s="107" t="n"/>
      <c r="G7" s="106" t="n"/>
      <c r="H7" s="107" t="inlineStr">
        <is>
          <t>Sim</t>
        </is>
      </c>
    </row>
    <row r="8">
      <c r="A8" s="106" t="inlineStr">
        <is>
          <t>OCU</t>
        </is>
      </c>
      <c r="B8" s="107" t="inlineStr">
        <is>
          <t>Sim</t>
        </is>
      </c>
      <c r="C8" s="107" t="n">
        <v>3</v>
      </c>
      <c r="D8" s="127" t="inlineStr">
        <is>
          <t>L-O-SIM3</t>
        </is>
      </c>
      <c r="E8" s="106" t="inlineStr">
        <is>
          <t>Emergency drills</t>
        </is>
      </c>
      <c r="F8" s="107" t="n"/>
      <c r="G8" s="106" t="n"/>
      <c r="H8" s="107" t="inlineStr">
        <is>
          <t>Sim</t>
        </is>
      </c>
    </row>
    <row r="9">
      <c r="A9" s="106" t="inlineStr">
        <is>
          <t>OCU</t>
        </is>
      </c>
      <c r="B9" s="107" t="inlineStr">
        <is>
          <t>Sim</t>
        </is>
      </c>
      <c r="C9" s="107" t="n">
        <v>4</v>
      </c>
      <c r="D9" s="127" t="inlineStr">
        <is>
          <t>L-O-SIM4</t>
        </is>
      </c>
      <c r="E9" s="106" t="inlineStr">
        <is>
          <t>Airdrop procedures</t>
        </is>
      </c>
      <c r="F9" s="107" t="n"/>
      <c r="G9" s="106" t="n"/>
      <c r="H9" s="107" t="inlineStr">
        <is>
          <t>Sim</t>
        </is>
      </c>
    </row>
    <row r="10">
      <c r="A10" s="106" t="inlineStr">
        <is>
          <t>OCU</t>
        </is>
      </c>
      <c r="B10" s="107" t="inlineStr">
        <is>
          <t>Flight</t>
        </is>
      </c>
      <c r="C10" s="107" t="n">
        <v>1</v>
      </c>
      <c r="D10" s="127" t="inlineStr">
        <is>
          <t>L-O-FLT1</t>
        </is>
      </c>
      <c r="E10" s="106" t="inlineStr">
        <is>
          <t>Cargo loading</t>
        </is>
      </c>
      <c r="F10" s="107" t="n"/>
      <c r="G10" s="106" t="n"/>
      <c r="H10" s="107" t="inlineStr">
        <is>
          <t>Flight</t>
        </is>
      </c>
    </row>
    <row r="11">
      <c r="A11" s="106" t="inlineStr">
        <is>
          <t>OCU</t>
        </is>
      </c>
      <c r="B11" s="107" t="inlineStr">
        <is>
          <t>Flight</t>
        </is>
      </c>
      <c r="C11" s="107" t="n">
        <v>2</v>
      </c>
      <c r="D11" s="127" t="inlineStr">
        <is>
          <t>L-O-FLT2</t>
        </is>
      </c>
      <c r="E11" s="106" t="inlineStr">
        <is>
          <t>Pax handling</t>
        </is>
      </c>
      <c r="F11" s="107" t="n"/>
      <c r="G11" s="106" t="n"/>
      <c r="H11" s="107" t="inlineStr">
        <is>
          <t>Flight</t>
        </is>
      </c>
    </row>
    <row r="12">
      <c r="A12" s="106" t="inlineStr">
        <is>
          <t>OCU</t>
        </is>
      </c>
      <c r="B12" s="107" t="inlineStr">
        <is>
          <t>Flight</t>
        </is>
      </c>
      <c r="C12" s="107" t="n">
        <v>3</v>
      </c>
      <c r="D12" s="127" t="inlineStr">
        <is>
          <t>L-O-FLT3</t>
        </is>
      </c>
      <c r="E12" s="106" t="inlineStr">
        <is>
          <t>Night ops</t>
        </is>
      </c>
      <c r="F12" s="107" t="n"/>
      <c r="G12" s="106" t="n"/>
      <c r="H12" s="107" t="inlineStr">
        <is>
          <t>Flight</t>
        </is>
      </c>
    </row>
    <row r="13">
      <c r="A13" s="106" t="inlineStr">
        <is>
          <t>OCU</t>
        </is>
      </c>
      <c r="B13" s="107" t="inlineStr">
        <is>
          <t>Flight</t>
        </is>
      </c>
      <c r="C13" s="107" t="n">
        <v>4</v>
      </c>
      <c r="D13" s="127" t="inlineStr">
        <is>
          <t>L-O-FLT4</t>
        </is>
      </c>
      <c r="E13" s="106" t="inlineStr">
        <is>
          <t>Airdrop</t>
        </is>
      </c>
      <c r="F13" s="107" t="n"/>
      <c r="G13" s="106" t="n"/>
      <c r="H13" s="107" t="inlineStr">
        <is>
          <t>Flight</t>
        </is>
      </c>
    </row>
    <row r="14">
      <c r="A14" s="106" t="inlineStr">
        <is>
          <t>OCU</t>
        </is>
      </c>
      <c r="B14" s="107" t="inlineStr">
        <is>
          <t>Flight</t>
        </is>
      </c>
      <c r="C14" s="107" t="n">
        <v>5</v>
      </c>
      <c r="D14" s="127" t="inlineStr">
        <is>
          <t>L-O-CHK</t>
        </is>
      </c>
      <c r="E14" s="106" t="inlineStr">
        <is>
          <t>OCU check ride</t>
        </is>
      </c>
      <c r="F14" s="107" t="n">
        <v>1</v>
      </c>
      <c r="G14" s="106" t="inlineStr">
        <is>
          <t>Example of an item with its own chances (1).</t>
        </is>
      </c>
      <c r="H14" s="107" t="inlineStr">
        <is>
          <t>Flight</t>
        </is>
      </c>
    </row>
    <row r="15">
      <c r="A15" s="106" t="inlineStr">
        <is>
          <t>CAT C</t>
        </is>
      </c>
      <c r="B15" s="107" t="inlineStr">
        <is>
          <t>Sim</t>
        </is>
      </c>
      <c r="C15" s="107" t="n">
        <v>1</v>
      </c>
      <c r="D15" s="127" t="inlineStr">
        <is>
          <t>L-C-SIM1</t>
        </is>
      </c>
      <c r="E15" s="106" t="inlineStr">
        <is>
          <t>Cargo systems</t>
        </is>
      </c>
      <c r="F15" s="107" t="n"/>
      <c r="G15" s="106" t="n"/>
      <c r="H15" s="107" t="inlineStr">
        <is>
          <t>Sim</t>
        </is>
      </c>
    </row>
    <row r="16">
      <c r="A16" s="106" t="inlineStr">
        <is>
          <t>CAT C</t>
        </is>
      </c>
      <c r="B16" s="107" t="inlineStr">
        <is>
          <t>Sim</t>
        </is>
      </c>
      <c r="C16" s="107" t="n">
        <v>2</v>
      </c>
      <c r="D16" s="127" t="inlineStr">
        <is>
          <t>L-C-SIM2</t>
        </is>
      </c>
      <c r="E16" s="106" t="inlineStr">
        <is>
          <t>Load planning</t>
        </is>
      </c>
      <c r="F16" s="107" t="n"/>
      <c r="G16" s="106" t="n"/>
      <c r="H16" s="107" t="inlineStr">
        <is>
          <t>Sim</t>
        </is>
      </c>
    </row>
    <row r="17">
      <c r="A17" s="106" t="inlineStr">
        <is>
          <t>CAT C</t>
        </is>
      </c>
      <c r="B17" s="107" t="inlineStr">
        <is>
          <t>Sim</t>
        </is>
      </c>
      <c r="C17" s="107" t="n">
        <v>3</v>
      </c>
      <c r="D17" s="127" t="inlineStr">
        <is>
          <t>L-C-SIM3</t>
        </is>
      </c>
      <c r="E17" s="106" t="inlineStr">
        <is>
          <t>Emergency drills</t>
        </is>
      </c>
      <c r="F17" s="107" t="n"/>
      <c r="G17" s="106" t="n"/>
      <c r="H17" s="107" t="inlineStr">
        <is>
          <t>Sim</t>
        </is>
      </c>
    </row>
    <row r="18">
      <c r="A18" s="106" t="inlineStr">
        <is>
          <t>CAT C</t>
        </is>
      </c>
      <c r="B18" s="107" t="inlineStr">
        <is>
          <t>Flight</t>
        </is>
      </c>
      <c r="C18" s="107" t="n">
        <v>1</v>
      </c>
      <c r="D18" s="127" t="inlineStr">
        <is>
          <t>L-C-FLT1</t>
        </is>
      </c>
      <c r="E18" s="106" t="inlineStr">
        <is>
          <t>Cargo loading</t>
        </is>
      </c>
      <c r="F18" s="107" t="n"/>
      <c r="G18" s="106" t="n"/>
      <c r="H18" s="107" t="inlineStr">
        <is>
          <t>Flight</t>
        </is>
      </c>
    </row>
    <row r="19">
      <c r="A19" s="106" t="inlineStr">
        <is>
          <t>CAT C</t>
        </is>
      </c>
      <c r="B19" s="107" t="inlineStr">
        <is>
          <t>Flight</t>
        </is>
      </c>
      <c r="C19" s="107" t="n">
        <v>2</v>
      </c>
      <c r="D19" s="127" t="inlineStr">
        <is>
          <t>L-C-FLT2</t>
        </is>
      </c>
      <c r="E19" s="106" t="inlineStr">
        <is>
          <t>Pax handling</t>
        </is>
      </c>
      <c r="F19" s="107" t="n"/>
      <c r="G19" s="106" t="n"/>
      <c r="H19" s="107" t="inlineStr">
        <is>
          <t>Flight</t>
        </is>
      </c>
    </row>
    <row r="20">
      <c r="A20" s="106" t="inlineStr">
        <is>
          <t>CAT C</t>
        </is>
      </c>
      <c r="B20" s="107" t="inlineStr">
        <is>
          <t>Flight</t>
        </is>
      </c>
      <c r="C20" s="107" t="n">
        <v>3</v>
      </c>
      <c r="D20" s="127" t="inlineStr">
        <is>
          <t>L-C-FLT3</t>
        </is>
      </c>
      <c r="E20" s="106" t="inlineStr">
        <is>
          <t>Night ops</t>
        </is>
      </c>
      <c r="F20" s="107" t="n"/>
      <c r="G20" s="106" t="n"/>
      <c r="H20" s="107" t="inlineStr">
        <is>
          <t>Flight</t>
        </is>
      </c>
    </row>
    <row r="21">
      <c r="A21" s="106" t="inlineStr">
        <is>
          <t>CAT C</t>
        </is>
      </c>
      <c r="B21" s="107" t="inlineStr">
        <is>
          <t>Flight</t>
        </is>
      </c>
      <c r="C21" s="107" t="n">
        <v>4</v>
      </c>
      <c r="D21" s="127" t="inlineStr">
        <is>
          <t>L-C-CHK</t>
        </is>
      </c>
      <c r="E21" s="106" t="inlineStr">
        <is>
          <t>CAT C check ride</t>
        </is>
      </c>
      <c r="F21" s="107" t="n">
        <v>1</v>
      </c>
      <c r="G21" s="106" t="inlineStr">
        <is>
          <t>Example of an item with its own chances (1).</t>
        </is>
      </c>
      <c r="H21" s="107" t="inlineStr">
        <is>
          <t>Flight</t>
        </is>
      </c>
    </row>
    <row r="22">
      <c r="A22" s="106" t="inlineStr">
        <is>
          <t>CAT B</t>
        </is>
      </c>
      <c r="B22" s="107" t="inlineStr">
        <is>
          <t>Sim</t>
        </is>
      </c>
      <c r="C22" s="107" t="n">
        <v>1</v>
      </c>
      <c r="D22" s="127" t="inlineStr">
        <is>
          <t>L-B-SIM1</t>
        </is>
      </c>
      <c r="E22" s="106" t="inlineStr">
        <is>
          <t>Cargo systems</t>
        </is>
      </c>
      <c r="F22" s="107" t="n"/>
      <c r="G22" s="106" t="n"/>
      <c r="H22" s="107" t="inlineStr">
        <is>
          <t>Sim</t>
        </is>
      </c>
    </row>
    <row r="23">
      <c r="A23" s="106" t="inlineStr">
        <is>
          <t>CAT B</t>
        </is>
      </c>
      <c r="B23" s="107" t="inlineStr">
        <is>
          <t>Sim</t>
        </is>
      </c>
      <c r="C23" s="107" t="n">
        <v>2</v>
      </c>
      <c r="D23" s="127" t="inlineStr">
        <is>
          <t>L-B-SIM2</t>
        </is>
      </c>
      <c r="E23" s="106" t="inlineStr">
        <is>
          <t>Load planning</t>
        </is>
      </c>
      <c r="F23" s="107" t="n"/>
      <c r="G23" s="106" t="n"/>
      <c r="H23" s="107" t="inlineStr">
        <is>
          <t>Sim</t>
        </is>
      </c>
    </row>
    <row r="24">
      <c r="A24" s="106" t="inlineStr">
        <is>
          <t>CAT B</t>
        </is>
      </c>
      <c r="B24" s="107" t="inlineStr">
        <is>
          <t>Sim</t>
        </is>
      </c>
      <c r="C24" s="107" t="n">
        <v>3</v>
      </c>
      <c r="D24" s="127" t="inlineStr">
        <is>
          <t>L-B-SIM3</t>
        </is>
      </c>
      <c r="E24" s="106" t="inlineStr">
        <is>
          <t>Emergency drills</t>
        </is>
      </c>
      <c r="F24" s="107" t="n"/>
      <c r="G24" s="106" t="n"/>
      <c r="H24" s="107" t="inlineStr">
        <is>
          <t>Sim</t>
        </is>
      </c>
    </row>
    <row r="25">
      <c r="A25" s="106" t="inlineStr">
        <is>
          <t>CAT B</t>
        </is>
      </c>
      <c r="B25" s="107" t="inlineStr">
        <is>
          <t>Flight</t>
        </is>
      </c>
      <c r="C25" s="107" t="n">
        <v>1</v>
      </c>
      <c r="D25" s="127" t="inlineStr">
        <is>
          <t>L-B-FLT1</t>
        </is>
      </c>
      <c r="E25" s="106" t="inlineStr">
        <is>
          <t>Cargo loading</t>
        </is>
      </c>
      <c r="F25" s="107" t="n"/>
      <c r="G25" s="106" t="n"/>
      <c r="H25" s="107" t="inlineStr">
        <is>
          <t>Flight</t>
        </is>
      </c>
    </row>
    <row r="26">
      <c r="A26" s="106" t="inlineStr">
        <is>
          <t>CAT B</t>
        </is>
      </c>
      <c r="B26" s="107" t="inlineStr">
        <is>
          <t>Flight</t>
        </is>
      </c>
      <c r="C26" s="107" t="n">
        <v>2</v>
      </c>
      <c r="D26" s="127" t="inlineStr">
        <is>
          <t>L-B-FLT2</t>
        </is>
      </c>
      <c r="E26" s="106" t="inlineStr">
        <is>
          <t>Pax handling</t>
        </is>
      </c>
      <c r="F26" s="107" t="n"/>
      <c r="G26" s="106" t="n"/>
      <c r="H26" s="107" t="inlineStr">
        <is>
          <t>Flight</t>
        </is>
      </c>
    </row>
    <row r="27">
      <c r="A27" s="106" t="inlineStr">
        <is>
          <t>CAT B</t>
        </is>
      </c>
      <c r="B27" s="107" t="inlineStr">
        <is>
          <t>Flight</t>
        </is>
      </c>
      <c r="C27" s="107" t="n">
        <v>3</v>
      </c>
      <c r="D27" s="127" t="inlineStr">
        <is>
          <t>L-B-FLT3</t>
        </is>
      </c>
      <c r="E27" s="106" t="inlineStr">
        <is>
          <t>Night ops</t>
        </is>
      </c>
      <c r="F27" s="107" t="n"/>
      <c r="G27" s="106" t="n"/>
      <c r="H27" s="107" t="inlineStr">
        <is>
          <t>Flight</t>
        </is>
      </c>
    </row>
    <row r="28">
      <c r="A28" s="106" t="inlineStr">
        <is>
          <t>CAT B</t>
        </is>
      </c>
      <c r="B28" s="107" t="inlineStr">
        <is>
          <t>Flight</t>
        </is>
      </c>
      <c r="C28" s="107" t="n">
        <v>4</v>
      </c>
      <c r="D28" s="127" t="inlineStr">
        <is>
          <t>L-B-CHK</t>
        </is>
      </c>
      <c r="E28" s="106" t="inlineStr">
        <is>
          <t>CAT B check ride</t>
        </is>
      </c>
      <c r="F28" s="107" t="n">
        <v>1</v>
      </c>
      <c r="G28" s="106" t="inlineStr">
        <is>
          <t>Example of an item with its own chances (1).</t>
        </is>
      </c>
      <c r="H28" s="107" t="inlineStr">
        <is>
          <t>Flight</t>
        </is>
      </c>
    </row>
    <row r="29">
      <c r="A29" s="106" t="inlineStr">
        <is>
          <t>CAT A</t>
        </is>
      </c>
      <c r="B29" s="107" t="inlineStr">
        <is>
          <t>Sim</t>
        </is>
      </c>
      <c r="C29" s="107" t="n">
        <v>1</v>
      </c>
      <c r="D29" s="127" t="inlineStr">
        <is>
          <t>L-A-SIM1</t>
        </is>
      </c>
      <c r="E29" s="106" t="inlineStr">
        <is>
          <t>Cargo systems</t>
        </is>
      </c>
      <c r="F29" s="107" t="n"/>
      <c r="G29" s="106" t="n"/>
      <c r="H29" s="107" t="inlineStr">
        <is>
          <t>Sim</t>
        </is>
      </c>
    </row>
    <row r="30">
      <c r="A30" s="106" t="inlineStr">
        <is>
          <t>CAT A</t>
        </is>
      </c>
      <c r="B30" s="107" t="inlineStr">
        <is>
          <t>Sim</t>
        </is>
      </c>
      <c r="C30" s="107" t="n">
        <v>2</v>
      </c>
      <c r="D30" s="127" t="inlineStr">
        <is>
          <t>L-A-SIM2</t>
        </is>
      </c>
      <c r="E30" s="106" t="inlineStr">
        <is>
          <t>Load planning</t>
        </is>
      </c>
      <c r="F30" s="107" t="n"/>
      <c r="G30" s="106" t="n"/>
      <c r="H30" s="107" t="inlineStr">
        <is>
          <t>Sim</t>
        </is>
      </c>
    </row>
    <row r="31">
      <c r="A31" s="106" t="inlineStr">
        <is>
          <t>CAT A</t>
        </is>
      </c>
      <c r="B31" s="107" t="inlineStr">
        <is>
          <t>Flight</t>
        </is>
      </c>
      <c r="C31" s="107" t="n">
        <v>1</v>
      </c>
      <c r="D31" s="127" t="inlineStr">
        <is>
          <t>L-A-FLT1</t>
        </is>
      </c>
      <c r="E31" s="106" t="inlineStr">
        <is>
          <t>Cargo loading</t>
        </is>
      </c>
      <c r="F31" s="107" t="n"/>
      <c r="G31" s="106" t="n"/>
      <c r="H31" s="107" t="inlineStr">
        <is>
          <t>Flight</t>
        </is>
      </c>
    </row>
    <row r="32">
      <c r="A32" s="106" t="inlineStr">
        <is>
          <t>CAT A</t>
        </is>
      </c>
      <c r="B32" s="107" t="inlineStr">
        <is>
          <t>Flight</t>
        </is>
      </c>
      <c r="C32" s="107" t="n">
        <v>2</v>
      </c>
      <c r="D32" s="127" t="inlineStr">
        <is>
          <t>L-A-FLT2</t>
        </is>
      </c>
      <c r="E32" s="106" t="inlineStr">
        <is>
          <t>Pax handling</t>
        </is>
      </c>
      <c r="F32" s="107" t="n"/>
      <c r="G32" s="106" t="n"/>
      <c r="H32" s="107" t="inlineStr">
        <is>
          <t>Flight</t>
        </is>
      </c>
    </row>
    <row r="33">
      <c r="A33" s="106" t="inlineStr">
        <is>
          <t>CAT A</t>
        </is>
      </c>
      <c r="B33" s="107" t="inlineStr">
        <is>
          <t>Flight</t>
        </is>
      </c>
      <c r="C33" s="107" t="n">
        <v>3</v>
      </c>
      <c r="D33" s="127" t="inlineStr">
        <is>
          <t>L-A-CHK</t>
        </is>
      </c>
      <c r="E33" s="106" t="inlineStr">
        <is>
          <t>CAT A check ride</t>
        </is>
      </c>
      <c r="F33" s="107" t="n">
        <v>1</v>
      </c>
      <c r="G33" s="106" t="inlineStr">
        <is>
          <t>Example of an item with its own chances (1).</t>
        </is>
      </c>
      <c r="H33" s="107" t="inlineStr">
        <is>
          <t>Flight</t>
        </is>
      </c>
    </row>
    <row r="34">
      <c r="A34" s="106" t="inlineStr">
        <is>
          <t>Instructor</t>
        </is>
      </c>
      <c r="B34" s="107" t="inlineStr">
        <is>
          <t>Sim</t>
        </is>
      </c>
      <c r="C34" s="107" t="n">
        <v>1</v>
      </c>
      <c r="D34" s="127" t="inlineStr">
        <is>
          <t>L-I-SIM1</t>
        </is>
      </c>
      <c r="E34" s="106" t="inlineStr">
        <is>
          <t>Cargo systems</t>
        </is>
      </c>
      <c r="F34" s="107" t="n"/>
      <c r="G34" s="106" t="n"/>
      <c r="H34" s="107" t="inlineStr">
        <is>
          <t>Sim</t>
        </is>
      </c>
    </row>
    <row r="35">
      <c r="A35" s="106" t="inlineStr">
        <is>
          <t>Instructor</t>
        </is>
      </c>
      <c r="B35" s="107" t="inlineStr">
        <is>
          <t>Sim</t>
        </is>
      </c>
      <c r="C35" s="107" t="n">
        <v>2</v>
      </c>
      <c r="D35" s="127" t="inlineStr">
        <is>
          <t>L-I-SIM2</t>
        </is>
      </c>
      <c r="E35" s="106" t="inlineStr">
        <is>
          <t>Load planning</t>
        </is>
      </c>
      <c r="F35" s="107" t="n"/>
      <c r="G35" s="106" t="n"/>
      <c r="H35" s="107" t="inlineStr">
        <is>
          <t>Sim</t>
        </is>
      </c>
    </row>
    <row r="36">
      <c r="A36" s="106" t="inlineStr">
        <is>
          <t>Instructor</t>
        </is>
      </c>
      <c r="B36" s="107" t="inlineStr">
        <is>
          <t>Flight</t>
        </is>
      </c>
      <c r="C36" s="107" t="n">
        <v>1</v>
      </c>
      <c r="D36" s="127" t="inlineStr">
        <is>
          <t>L-I-FLT1</t>
        </is>
      </c>
      <c r="E36" s="106" t="inlineStr">
        <is>
          <t>Cargo loading</t>
        </is>
      </c>
      <c r="F36" s="107" t="n"/>
      <c r="G36" s="106" t="n"/>
      <c r="H36" s="107" t="inlineStr">
        <is>
          <t>Flight</t>
        </is>
      </c>
    </row>
    <row r="37">
      <c r="A37" s="106" t="inlineStr">
        <is>
          <t>Instructor</t>
        </is>
      </c>
      <c r="B37" s="107" t="inlineStr">
        <is>
          <t>Flight</t>
        </is>
      </c>
      <c r="C37" s="107" t="n">
        <v>2</v>
      </c>
      <c r="D37" s="127" t="inlineStr">
        <is>
          <t>L-I-FLT2</t>
        </is>
      </c>
      <c r="E37" s="106" t="inlineStr">
        <is>
          <t>Pax handling</t>
        </is>
      </c>
      <c r="F37" s="107" t="n"/>
      <c r="G37" s="106" t="n"/>
      <c r="H37" s="107" t="inlineStr">
        <is>
          <t>Flight</t>
        </is>
      </c>
    </row>
    <row r="38">
      <c r="A38" s="106" t="inlineStr">
        <is>
          <t>Instructor</t>
        </is>
      </c>
      <c r="B38" s="107" t="inlineStr">
        <is>
          <t>Flight</t>
        </is>
      </c>
      <c r="C38" s="107" t="n">
        <v>3</v>
      </c>
      <c r="D38" s="127" t="inlineStr">
        <is>
          <t>L-I-CHK</t>
        </is>
      </c>
      <c r="E38" s="106" t="inlineStr">
        <is>
          <t>Instructor check ride</t>
        </is>
      </c>
      <c r="F38" s="107" t="n">
        <v>1</v>
      </c>
      <c r="G38" s="106" t="inlineStr">
        <is>
          <t>Example of an item with its own chances (1).</t>
        </is>
      </c>
      <c r="H38" s="107" t="inlineStr">
        <is>
          <t>Flight</t>
        </is>
      </c>
    </row>
    <row r="39">
      <c r="A39" s="106" t="n"/>
      <c r="B39" s="107" t="n"/>
      <c r="C39" s="107" t="n"/>
      <c r="D39" s="127" t="n"/>
      <c r="E39" s="106" t="n"/>
      <c r="F39" s="107" t="n"/>
      <c r="G39" s="106" t="n"/>
      <c r="H39" s="107" t="n"/>
    </row>
    <row r="40">
      <c r="A40" s="106" t="n"/>
      <c r="B40" s="107" t="n"/>
      <c r="C40" s="107" t="n"/>
      <c r="D40" s="127" t="n"/>
      <c r="E40" s="106" t="n"/>
      <c r="F40" s="107" t="n"/>
      <c r="G40" s="106" t="n"/>
      <c r="H40" s="107" t="n"/>
    </row>
    <row r="41">
      <c r="A41" s="106" t="n"/>
      <c r="B41" s="107" t="n"/>
      <c r="C41" s="107" t="n"/>
      <c r="D41" s="127" t="n"/>
      <c r="E41" s="106" t="n"/>
      <c r="F41" s="107" t="n"/>
      <c r="G41" s="106" t="n"/>
      <c r="H41" s="107" t="n"/>
    </row>
    <row r="42">
      <c r="A42" s="106" t="n"/>
      <c r="B42" s="107" t="n"/>
      <c r="C42" s="107" t="n"/>
      <c r="D42" s="127" t="n"/>
      <c r="E42" s="106" t="n"/>
      <c r="F42" s="107" t="n"/>
      <c r="G42" s="106" t="n"/>
      <c r="H42" s="107" t="n"/>
    </row>
    <row r="43">
      <c r="A43" s="106" t="n"/>
      <c r="B43" s="107" t="n"/>
      <c r="C43" s="107" t="n"/>
      <c r="D43" s="127" t="n"/>
      <c r="E43" s="106" t="n"/>
      <c r="F43" s="107" t="n"/>
      <c r="G43" s="106" t="n"/>
      <c r="H43" s="107" t="n"/>
    </row>
    <row r="44">
      <c r="A44" s="106" t="n"/>
      <c r="B44" s="107" t="n"/>
      <c r="C44" s="107" t="n"/>
      <c r="D44" s="127" t="n"/>
      <c r="E44" s="106" t="n"/>
      <c r="F44" s="107" t="n"/>
      <c r="G44" s="106" t="n"/>
      <c r="H44" s="107" t="n"/>
    </row>
    <row r="45">
      <c r="A45" s="106" t="n"/>
      <c r="B45" s="107" t="n"/>
      <c r="C45" s="107" t="n"/>
      <c r="D45" s="127" t="n"/>
      <c r="E45" s="106" t="n"/>
      <c r="F45" s="107" t="n"/>
      <c r="G45" s="106" t="n"/>
      <c r="H45" s="107" t="n"/>
    </row>
    <row r="46">
      <c r="A46" s="106" t="n"/>
      <c r="B46" s="107" t="n"/>
      <c r="C46" s="107" t="n"/>
      <c r="D46" s="127" t="n"/>
      <c r="E46" s="106" t="n"/>
      <c r="F46" s="107" t="n"/>
      <c r="G46" s="106" t="n"/>
      <c r="H46" s="107" t="n"/>
    </row>
    <row r="47">
      <c r="A47" s="106" t="n"/>
      <c r="B47" s="107" t="n"/>
      <c r="C47" s="107" t="n"/>
      <c r="D47" s="127" t="n"/>
      <c r="E47" s="106" t="n"/>
      <c r="F47" s="107" t="n"/>
      <c r="G47" s="106" t="n"/>
      <c r="H47" s="107" t="n"/>
    </row>
    <row r="48">
      <c r="A48" s="106" t="n"/>
      <c r="B48" s="107" t="n"/>
      <c r="C48" s="107" t="n"/>
      <c r="D48" s="127" t="n"/>
      <c r="E48" s="106" t="n"/>
      <c r="F48" s="107" t="n"/>
      <c r="G48" s="106" t="n"/>
      <c r="H48" s="107" t="n"/>
    </row>
    <row r="49">
      <c r="A49" s="106" t="n"/>
      <c r="B49" s="107" t="n"/>
      <c r="C49" s="107" t="n"/>
      <c r="D49" s="127" t="n"/>
      <c r="E49" s="106" t="n"/>
      <c r="F49" s="107" t="n"/>
      <c r="G49" s="106" t="n"/>
      <c r="H49" s="107" t="n"/>
    </row>
    <row r="50">
      <c r="A50" s="106" t="n"/>
      <c r="B50" s="107" t="n"/>
      <c r="C50" s="107" t="n"/>
      <c r="D50" s="127" t="n"/>
      <c r="E50" s="106" t="n"/>
      <c r="F50" s="107" t="n"/>
      <c r="G50" s="106" t="n"/>
      <c r="H50" s="107" t="n"/>
    </row>
    <row r="51">
      <c r="A51" s="106" t="n"/>
      <c r="B51" s="107" t="n"/>
      <c r="C51" s="107" t="n"/>
      <c r="D51" s="127" t="n"/>
      <c r="E51" s="106" t="n"/>
      <c r="F51" s="107" t="n"/>
      <c r="G51" s="106" t="n"/>
      <c r="H51" s="107" t="n"/>
    </row>
    <row r="52">
      <c r="A52" s="106" t="n"/>
      <c r="B52" s="107" t="n"/>
      <c r="C52" s="107" t="n"/>
      <c r="D52" s="127" t="n"/>
      <c r="E52" s="106" t="n"/>
      <c r="F52" s="107" t="n"/>
      <c r="G52" s="106" t="n"/>
      <c r="H52" s="107" t="n"/>
    </row>
    <row r="53">
      <c r="A53" s="106" t="n"/>
      <c r="B53" s="107" t="n"/>
      <c r="C53" s="107" t="n"/>
      <c r="D53" s="127" t="n"/>
      <c r="E53" s="106" t="n"/>
      <c r="F53" s="107" t="n"/>
      <c r="G53" s="106" t="n"/>
      <c r="H53" s="107" t="n"/>
    </row>
    <row r="54">
      <c r="A54" s="106" t="n"/>
      <c r="B54" s="107" t="n"/>
      <c r="C54" s="107" t="n"/>
      <c r="D54" s="127" t="n"/>
      <c r="E54" s="106" t="n"/>
      <c r="F54" s="107" t="n"/>
      <c r="G54" s="106" t="n"/>
      <c r="H54" s="107" t="n"/>
    </row>
    <row r="55">
      <c r="A55" s="106" t="n"/>
      <c r="B55" s="107" t="n"/>
      <c r="C55" s="107" t="n"/>
      <c r="D55" s="127" t="n"/>
      <c r="E55" s="106" t="n"/>
      <c r="F55" s="107" t="n"/>
      <c r="G55" s="106" t="n"/>
      <c r="H55" s="107" t="n"/>
    </row>
    <row r="56">
      <c r="A56" s="106" t="n"/>
      <c r="B56" s="107" t="n"/>
      <c r="C56" s="107" t="n"/>
      <c r="D56" s="127" t="n"/>
      <c r="E56" s="106" t="n"/>
      <c r="F56" s="107" t="n"/>
      <c r="G56" s="106" t="n"/>
      <c r="H56" s="107" t="n"/>
    </row>
    <row r="57">
      <c r="A57" s="106" t="n"/>
      <c r="B57" s="107" t="n"/>
      <c r="C57" s="107" t="n"/>
      <c r="D57" s="127" t="n"/>
      <c r="E57" s="106" t="n"/>
      <c r="F57" s="107" t="n"/>
      <c r="G57" s="106" t="n"/>
      <c r="H57" s="107" t="n"/>
    </row>
    <row r="58">
      <c r="A58" s="106" t="n"/>
      <c r="B58" s="107" t="n"/>
      <c r="C58" s="107" t="n"/>
      <c r="D58" s="127" t="n"/>
      <c r="E58" s="106" t="n"/>
      <c r="F58" s="107" t="n"/>
      <c r="G58" s="106" t="n"/>
      <c r="H58" s="107" t="n"/>
    </row>
    <row r="59">
      <c r="A59" s="106" t="n"/>
      <c r="B59" s="107" t="n"/>
      <c r="C59" s="107" t="n"/>
      <c r="D59" s="127" t="n"/>
      <c r="E59" s="106" t="n"/>
      <c r="F59" s="107" t="n"/>
      <c r="G59" s="106" t="n"/>
      <c r="H59" s="107" t="n"/>
    </row>
    <row r="60">
      <c r="A60" s="106" t="n"/>
      <c r="B60" s="107" t="n"/>
      <c r="C60" s="107" t="n"/>
      <c r="D60" s="127" t="n"/>
      <c r="E60" s="106" t="n"/>
      <c r="F60" s="107" t="n"/>
      <c r="G60" s="106" t="n"/>
      <c r="H60" s="107" t="n"/>
    </row>
    <row r="61">
      <c r="A61" s="106" t="n"/>
      <c r="B61" s="107" t="n"/>
      <c r="C61" s="107" t="n"/>
      <c r="D61" s="127" t="n"/>
      <c r="E61" s="106" t="n"/>
      <c r="F61" s="107" t="n"/>
      <c r="G61" s="106" t="n"/>
      <c r="H61" s="107" t="n"/>
    </row>
    <row r="62">
      <c r="A62" s="106" t="n"/>
      <c r="B62" s="107" t="n"/>
      <c r="C62" s="107" t="n"/>
      <c r="D62" s="127" t="n"/>
      <c r="E62" s="106" t="n"/>
      <c r="F62" s="107" t="n"/>
      <c r="G62" s="106" t="n"/>
      <c r="H62" s="107" t="n"/>
    </row>
    <row r="63">
      <c r="A63" s="106" t="n"/>
      <c r="B63" s="107" t="n"/>
      <c r="C63" s="107" t="n"/>
      <c r="D63" s="127" t="n"/>
      <c r="E63" s="106" t="n"/>
      <c r="F63" s="107" t="n"/>
      <c r="G63" s="106" t="n"/>
      <c r="H63" s="107" t="n"/>
    </row>
    <row r="64">
      <c r="A64" s="106" t="n"/>
      <c r="B64" s="107" t="n"/>
      <c r="C64" s="107" t="n"/>
      <c r="D64" s="127" t="n"/>
      <c r="E64" s="106" t="n"/>
      <c r="F64" s="107" t="n"/>
      <c r="G64" s="106" t="n"/>
      <c r="H64" s="107" t="n"/>
    </row>
    <row r="65">
      <c r="A65" s="106" t="n"/>
      <c r="B65" s="107" t="n"/>
      <c r="C65" s="107" t="n"/>
      <c r="D65" s="127" t="n"/>
      <c r="E65" s="106" t="n"/>
      <c r="F65" s="107" t="n"/>
      <c r="G65" s="106" t="n"/>
      <c r="H65" s="107" t="n"/>
    </row>
    <row r="66">
      <c r="A66" s="106" t="n"/>
      <c r="B66" s="107" t="n"/>
      <c r="C66" s="107" t="n"/>
      <c r="D66" s="127" t="n"/>
      <c r="E66" s="106" t="n"/>
      <c r="F66" s="107" t="n"/>
      <c r="G66" s="106" t="n"/>
      <c r="H66" s="107" t="n"/>
    </row>
    <row r="67">
      <c r="A67" s="106" t="n"/>
      <c r="B67" s="107" t="n"/>
      <c r="C67" s="107" t="n"/>
      <c r="D67" s="127" t="n"/>
      <c r="E67" s="106" t="n"/>
      <c r="F67" s="107" t="n"/>
      <c r="G67" s="106" t="n"/>
      <c r="H67" s="107" t="n"/>
    </row>
    <row r="68">
      <c r="A68" s="106" t="n"/>
      <c r="B68" s="107" t="n"/>
      <c r="C68" s="107" t="n"/>
      <c r="D68" s="127" t="n"/>
      <c r="E68" s="106" t="n"/>
      <c r="F68" s="107" t="n"/>
      <c r="G68" s="106" t="n"/>
      <c r="H68" s="107" t="n"/>
    </row>
    <row r="69">
      <c r="A69" s="106" t="n"/>
      <c r="B69" s="107" t="n"/>
      <c r="C69" s="107" t="n"/>
      <c r="D69" s="127" t="n"/>
      <c r="E69" s="106" t="n"/>
      <c r="F69" s="107" t="n"/>
      <c r="G69" s="106" t="n"/>
      <c r="H69" s="107" t="n"/>
    </row>
    <row r="70">
      <c r="A70" s="106" t="n"/>
      <c r="B70" s="107" t="n"/>
      <c r="C70" s="107" t="n"/>
      <c r="D70" s="127" t="n"/>
      <c r="E70" s="106" t="n"/>
      <c r="F70" s="107" t="n"/>
      <c r="G70" s="106" t="n"/>
      <c r="H70" s="107" t="n"/>
    </row>
    <row r="71">
      <c r="A71" s="106" t="n"/>
      <c r="B71" s="107" t="n"/>
      <c r="C71" s="107" t="n"/>
      <c r="D71" s="127" t="n"/>
      <c r="E71" s="106" t="n"/>
      <c r="F71" s="107" t="n"/>
      <c r="G71" s="106" t="n"/>
      <c r="H71" s="107" t="n"/>
    </row>
    <row r="72">
      <c r="A72" s="106" t="n"/>
      <c r="B72" s="107" t="n"/>
      <c r="C72" s="107" t="n"/>
      <c r="D72" s="127" t="n"/>
      <c r="E72" s="106" t="n"/>
      <c r="F72" s="107" t="n"/>
      <c r="G72" s="106" t="n"/>
      <c r="H72" s="107" t="n"/>
    </row>
    <row r="73">
      <c r="A73" s="106" t="n"/>
      <c r="B73" s="107" t="n"/>
      <c r="C73" s="107" t="n"/>
      <c r="D73" s="127" t="n"/>
      <c r="E73" s="106" t="n"/>
      <c r="F73" s="107" t="n"/>
      <c r="G73" s="106" t="n"/>
      <c r="H73" s="107" t="n"/>
    </row>
    <row r="74">
      <c r="A74" s="106" t="n"/>
      <c r="B74" s="107" t="n"/>
      <c r="C74" s="107" t="n"/>
      <c r="D74" s="127" t="n"/>
      <c r="E74" s="106" t="n"/>
      <c r="F74" s="107" t="n"/>
      <c r="G74" s="106" t="n"/>
      <c r="H74" s="107" t="n"/>
    </row>
    <row r="75">
      <c r="A75" s="106" t="n"/>
      <c r="B75" s="107" t="n"/>
      <c r="C75" s="107" t="n"/>
      <c r="D75" s="127" t="n"/>
      <c r="E75" s="106" t="n"/>
      <c r="F75" s="107" t="n"/>
      <c r="G75" s="106" t="n"/>
      <c r="H75" s="107" t="n"/>
    </row>
    <row r="76">
      <c r="A76" s="106" t="n"/>
      <c r="B76" s="107" t="n"/>
      <c r="C76" s="107" t="n"/>
      <c r="D76" s="127" t="n"/>
      <c r="E76" s="106" t="n"/>
      <c r="F76" s="107" t="n"/>
      <c r="G76" s="106" t="n"/>
      <c r="H76" s="107" t="n"/>
    </row>
    <row r="77">
      <c r="A77" s="106" t="n"/>
      <c r="B77" s="107" t="n"/>
      <c r="C77" s="107" t="n"/>
      <c r="D77" s="127" t="n"/>
      <c r="E77" s="106" t="n"/>
      <c r="F77" s="107" t="n"/>
      <c r="G77" s="106" t="n"/>
      <c r="H77" s="107" t="n"/>
    </row>
    <row r="78">
      <c r="A78" s="106" t="n"/>
      <c r="B78" s="107" t="n"/>
      <c r="C78" s="107" t="n"/>
      <c r="D78" s="127" t="n"/>
      <c r="E78" s="106" t="n"/>
      <c r="F78" s="107" t="n"/>
      <c r="G78" s="106" t="n"/>
      <c r="H78" s="107" t="n"/>
    </row>
    <row r="79">
      <c r="A79" s="106" t="n"/>
      <c r="B79" s="107" t="n"/>
      <c r="C79" s="107" t="n"/>
      <c r="D79" s="127" t="n"/>
      <c r="E79" s="106" t="n"/>
      <c r="F79" s="107" t="n"/>
      <c r="G79" s="106" t="n"/>
      <c r="H79" s="107" t="n"/>
    </row>
    <row r="80">
      <c r="A80" s="106" t="n"/>
      <c r="B80" s="107" t="n"/>
      <c r="C80" s="107" t="n"/>
      <c r="D80" s="127" t="n"/>
      <c r="E80" s="106" t="n"/>
      <c r="F80" s="107" t="n"/>
      <c r="G80" s="106" t="n"/>
      <c r="H80" s="107" t="n"/>
    </row>
    <row r="81">
      <c r="A81" s="106" t="n"/>
      <c r="B81" s="107" t="n"/>
      <c r="C81" s="107" t="n"/>
      <c r="D81" s="127" t="n"/>
      <c r="E81" s="106" t="n"/>
      <c r="F81" s="107" t="n"/>
      <c r="G81" s="106" t="n"/>
      <c r="H81" s="107" t="n"/>
    </row>
    <row r="82">
      <c r="A82" s="106" t="n"/>
      <c r="B82" s="107" t="n"/>
      <c r="C82" s="107" t="n"/>
      <c r="D82" s="127" t="n"/>
      <c r="E82" s="106" t="n"/>
      <c r="F82" s="107" t="n"/>
      <c r="G82" s="106" t="n"/>
      <c r="H82" s="107" t="n"/>
    </row>
    <row r="83">
      <c r="A83" s="106" t="n"/>
      <c r="B83" s="107" t="n"/>
      <c r="C83" s="107" t="n"/>
      <c r="D83" s="127" t="n"/>
      <c r="E83" s="106" t="n"/>
      <c r="F83" s="107" t="n"/>
      <c r="G83" s="106" t="n"/>
      <c r="H83" s="107" t="n"/>
    </row>
    <row r="84">
      <c r="A84" s="106" t="n"/>
      <c r="B84" s="107" t="n"/>
      <c r="C84" s="107" t="n"/>
      <c r="D84" s="127" t="n"/>
      <c r="E84" s="106" t="n"/>
      <c r="F84" s="107" t="n"/>
      <c r="G84" s="106" t="n"/>
      <c r="H84" s="107" t="n"/>
    </row>
    <row r="85">
      <c r="A85" s="106" t="n"/>
      <c r="B85" s="107" t="n"/>
      <c r="C85" s="107" t="n"/>
      <c r="D85" s="127" t="n"/>
      <c r="E85" s="106" t="n"/>
      <c r="F85" s="107" t="n"/>
      <c r="G85" s="106" t="n"/>
      <c r="H85" s="107" t="n"/>
    </row>
    <row r="86">
      <c r="A86" s="106" t="n"/>
      <c r="B86" s="107" t="n"/>
      <c r="C86" s="107" t="n"/>
      <c r="D86" s="127" t="n"/>
      <c r="E86" s="106" t="n"/>
      <c r="F86" s="107" t="n"/>
      <c r="G86" s="106" t="n"/>
      <c r="H86" s="107" t="n"/>
    </row>
    <row r="87">
      <c r="A87" s="106" t="n"/>
      <c r="B87" s="107" t="n"/>
      <c r="C87" s="107" t="n"/>
      <c r="D87" s="127" t="n"/>
      <c r="E87" s="106" t="n"/>
      <c r="F87" s="107" t="n"/>
      <c r="G87" s="106" t="n"/>
      <c r="H87" s="107" t="n"/>
    </row>
    <row r="88">
      <c r="A88" s="106" t="n"/>
      <c r="B88" s="107" t="n"/>
      <c r="C88" s="107" t="n"/>
      <c r="D88" s="127" t="n"/>
      <c r="E88" s="106" t="n"/>
      <c r="F88" s="107" t="n"/>
      <c r="G88" s="106" t="n"/>
      <c r="H88" s="107" t="n"/>
    </row>
    <row r="89">
      <c r="A89" s="106" t="n"/>
      <c r="B89" s="107" t="n"/>
      <c r="C89" s="107" t="n"/>
      <c r="D89" s="127" t="n"/>
      <c r="E89" s="106" t="n"/>
      <c r="F89" s="107" t="n"/>
      <c r="G89" s="106" t="n"/>
      <c r="H89" s="107" t="n"/>
    </row>
    <row r="90">
      <c r="A90" s="106" t="n"/>
      <c r="B90" s="107" t="n"/>
      <c r="C90" s="107" t="n"/>
      <c r="D90" s="127" t="n"/>
      <c r="E90" s="106" t="n"/>
      <c r="F90" s="107" t="n"/>
      <c r="G90" s="106" t="n"/>
      <c r="H90" s="107" t="n"/>
    </row>
    <row r="91">
      <c r="A91" s="106" t="n"/>
      <c r="B91" s="107" t="n"/>
      <c r="C91" s="107" t="n"/>
      <c r="D91" s="127" t="n"/>
      <c r="E91" s="106" t="n"/>
      <c r="F91" s="107" t="n"/>
      <c r="G91" s="106" t="n"/>
      <c r="H91" s="107" t="n"/>
    </row>
    <row r="92">
      <c r="A92" s="106" t="n"/>
      <c r="B92" s="107" t="n"/>
      <c r="C92" s="107" t="n"/>
      <c r="D92" s="127" t="n"/>
      <c r="E92" s="106" t="n"/>
      <c r="F92" s="107" t="n"/>
      <c r="G92" s="106" t="n"/>
      <c r="H92" s="107" t="n"/>
    </row>
    <row r="93">
      <c r="A93" s="106" t="n"/>
      <c r="B93" s="107" t="n"/>
      <c r="C93" s="107" t="n"/>
      <c r="D93" s="127" t="n"/>
      <c r="E93" s="106" t="n"/>
      <c r="F93" s="107" t="n"/>
      <c r="G93" s="106" t="n"/>
      <c r="H93" s="107" t="n"/>
    </row>
    <row r="94">
      <c r="A94" s="106" t="n"/>
      <c r="B94" s="107" t="n"/>
      <c r="C94" s="107" t="n"/>
      <c r="D94" s="127" t="n"/>
      <c r="E94" s="106" t="n"/>
      <c r="F94" s="107" t="n"/>
      <c r="G94" s="106" t="n"/>
      <c r="H94" s="107" t="n"/>
    </row>
    <row r="95">
      <c r="A95" s="106" t="n"/>
      <c r="B95" s="107" t="n"/>
      <c r="C95" s="107" t="n"/>
      <c r="D95" s="127" t="n"/>
      <c r="E95" s="106" t="n"/>
      <c r="F95" s="107" t="n"/>
      <c r="G95" s="106" t="n"/>
      <c r="H95" s="107" t="n"/>
    </row>
    <row r="96">
      <c r="A96" s="106" t="n"/>
      <c r="B96" s="107" t="n"/>
      <c r="C96" s="107" t="n"/>
      <c r="D96" s="127" t="n"/>
      <c r="E96" s="106" t="n"/>
      <c r="F96" s="107" t="n"/>
      <c r="G96" s="106" t="n"/>
      <c r="H96" s="107" t="n"/>
    </row>
    <row r="97">
      <c r="A97" s="106" t="n"/>
      <c r="B97" s="107" t="n"/>
      <c r="C97" s="107" t="n"/>
      <c r="D97" s="127" t="n"/>
      <c r="E97" s="106" t="n"/>
      <c r="F97" s="107" t="n"/>
      <c r="G97" s="106" t="n"/>
      <c r="H97" s="107" t="n"/>
    </row>
    <row r="98">
      <c r="A98" s="106" t="n"/>
      <c r="B98" s="107" t="n"/>
      <c r="C98" s="107" t="n"/>
      <c r="D98" s="127" t="n"/>
      <c r="E98" s="106" t="n"/>
      <c r="F98" s="107" t="n"/>
      <c r="G98" s="106" t="n"/>
      <c r="H98" s="107" t="n"/>
    </row>
    <row r="99">
      <c r="A99" s="106" t="n"/>
      <c r="B99" s="107" t="n"/>
      <c r="C99" s="107" t="n"/>
      <c r="D99" s="127" t="n"/>
      <c r="E99" s="106" t="n"/>
      <c r="F99" s="107" t="n"/>
      <c r="G99" s="106" t="n"/>
      <c r="H99" s="107" t="n"/>
    </row>
    <row r="100">
      <c r="A100" s="106" t="n"/>
      <c r="B100" s="107" t="n"/>
      <c r="C100" s="107" t="n"/>
      <c r="D100" s="127" t="n"/>
      <c r="E100" s="106" t="n"/>
      <c r="F100" s="107" t="n"/>
      <c r="G100" s="106" t="n"/>
      <c r="H100" s="107" t="n"/>
    </row>
    <row r="101">
      <c r="A101" s="106" t="n"/>
      <c r="B101" s="107" t="n"/>
      <c r="C101" s="107" t="n"/>
      <c r="D101" s="127" t="n"/>
      <c r="E101" s="106" t="n"/>
      <c r="F101" s="107" t="n"/>
      <c r="G101" s="106" t="n"/>
      <c r="H101" s="107" t="n"/>
    </row>
    <row r="102">
      <c r="A102" s="106" t="n"/>
      <c r="B102" s="107" t="n"/>
      <c r="C102" s="107" t="n"/>
      <c r="D102" s="127" t="n"/>
      <c r="E102" s="106" t="n"/>
      <c r="F102" s="107" t="n"/>
      <c r="G102" s="106" t="n"/>
      <c r="H102" s="107" t="n"/>
    </row>
    <row r="103">
      <c r="A103" s="106" t="n"/>
      <c r="B103" s="107" t="n"/>
      <c r="C103" s="107" t="n"/>
      <c r="D103" s="127" t="n"/>
      <c r="E103" s="106" t="n"/>
      <c r="F103" s="107" t="n"/>
      <c r="G103" s="106" t="n"/>
      <c r="H103" s="107" t="n"/>
    </row>
    <row r="104">
      <c r="A104" s="106" t="n"/>
      <c r="B104" s="107" t="n"/>
      <c r="C104" s="107" t="n"/>
      <c r="D104" s="127" t="n"/>
      <c r="E104" s="106" t="n"/>
      <c r="F104" s="107" t="n"/>
      <c r="G104" s="106" t="n"/>
      <c r="H104" s="107" t="n"/>
    </row>
    <row r="105">
      <c r="A105" s="106" t="n"/>
      <c r="B105" s="107" t="n"/>
      <c r="C105" s="107" t="n"/>
      <c r="D105" s="127" t="n"/>
      <c r="E105" s="106" t="n"/>
      <c r="F105" s="107" t="n"/>
      <c r="G105" s="106" t="n"/>
      <c r="H105" s="107" t="n"/>
    </row>
    <row r="106">
      <c r="A106" s="106" t="n"/>
      <c r="B106" s="107" t="n"/>
      <c r="C106" s="107" t="n"/>
      <c r="D106" s="127" t="n"/>
      <c r="E106" s="106" t="n"/>
      <c r="F106" s="107" t="n"/>
      <c r="G106" s="106" t="n"/>
      <c r="H106" s="107" t="n"/>
    </row>
    <row r="107">
      <c r="A107" s="106" t="n"/>
      <c r="B107" s="107" t="n"/>
      <c r="C107" s="107" t="n"/>
      <c r="D107" s="127" t="n"/>
      <c r="E107" s="106" t="n"/>
      <c r="F107" s="107" t="n"/>
      <c r="G107" s="106" t="n"/>
      <c r="H107" s="107" t="n"/>
    </row>
    <row r="108">
      <c r="A108" s="106" t="n"/>
      <c r="B108" s="107" t="n"/>
      <c r="C108" s="107" t="n"/>
      <c r="D108" s="127" t="n"/>
      <c r="E108" s="106" t="n"/>
      <c r="F108" s="107" t="n"/>
      <c r="G108" s="106" t="n"/>
      <c r="H108" s="107" t="n"/>
    </row>
    <row r="109">
      <c r="A109" s="106" t="n"/>
      <c r="B109" s="107" t="n"/>
      <c r="C109" s="107" t="n"/>
      <c r="D109" s="127" t="n"/>
      <c r="E109" s="106" t="n"/>
      <c r="F109" s="107" t="n"/>
      <c r="G109" s="106" t="n"/>
      <c r="H109" s="107" t="n"/>
    </row>
    <row r="110">
      <c r="A110" s="106" t="n"/>
      <c r="B110" s="107" t="n"/>
      <c r="C110" s="107" t="n"/>
      <c r="D110" s="127" t="n"/>
      <c r="E110" s="106" t="n"/>
      <c r="F110" s="107" t="n"/>
      <c r="G110" s="106" t="n"/>
      <c r="H110" s="107" t="n"/>
    </row>
    <row r="111">
      <c r="A111" s="106" t="n"/>
      <c r="B111" s="107" t="n"/>
      <c r="C111" s="107" t="n"/>
      <c r="D111" s="127" t="n"/>
      <c r="E111" s="106" t="n"/>
      <c r="F111" s="107" t="n"/>
      <c r="G111" s="106" t="n"/>
      <c r="H111" s="107" t="n"/>
    </row>
    <row r="112">
      <c r="A112" s="106" t="n"/>
      <c r="B112" s="107" t="n"/>
      <c r="C112" s="107" t="n"/>
      <c r="D112" s="127" t="n"/>
      <c r="E112" s="106" t="n"/>
      <c r="F112" s="107" t="n"/>
      <c r="G112" s="106" t="n"/>
      <c r="H112" s="107" t="n"/>
    </row>
    <row r="113">
      <c r="A113" s="106" t="n"/>
      <c r="B113" s="107" t="n"/>
      <c r="C113" s="107" t="n"/>
      <c r="D113" s="127" t="n"/>
      <c r="E113" s="106" t="n"/>
      <c r="F113" s="107" t="n"/>
      <c r="G113" s="106" t="n"/>
      <c r="H113" s="107" t="n"/>
    </row>
    <row r="114">
      <c r="A114" s="106" t="n"/>
      <c r="B114" s="107" t="n"/>
      <c r="C114" s="107" t="n"/>
      <c r="D114" s="127" t="n"/>
      <c r="E114" s="106" t="n"/>
      <c r="F114" s="107" t="n"/>
      <c r="G114" s="106" t="n"/>
      <c r="H114" s="107" t="n"/>
    </row>
    <row r="115">
      <c r="A115" s="106" t="n"/>
      <c r="B115" s="107" t="n"/>
      <c r="C115" s="107" t="n"/>
      <c r="D115" s="127" t="n"/>
      <c r="E115" s="106" t="n"/>
      <c r="F115" s="107" t="n"/>
      <c r="G115" s="106" t="n"/>
      <c r="H115" s="107" t="n"/>
    </row>
    <row r="116">
      <c r="A116" s="106" t="n"/>
      <c r="B116" s="107" t="n"/>
      <c r="C116" s="107" t="n"/>
      <c r="D116" s="127" t="n"/>
      <c r="E116" s="106" t="n"/>
      <c r="F116" s="107" t="n"/>
      <c r="G116" s="106" t="n"/>
      <c r="H116" s="107" t="n"/>
    </row>
    <row r="117">
      <c r="A117" s="106" t="n"/>
      <c r="B117" s="107" t="n"/>
      <c r="C117" s="107" t="n"/>
      <c r="D117" s="127" t="n"/>
      <c r="E117" s="106" t="n"/>
      <c r="F117" s="107" t="n"/>
      <c r="G117" s="106" t="n"/>
      <c r="H117" s="107" t="n"/>
    </row>
    <row r="118">
      <c r="A118" s="106" t="n"/>
      <c r="B118" s="107" t="n"/>
      <c r="C118" s="107" t="n"/>
      <c r="D118" s="127" t="n"/>
      <c r="E118" s="106" t="n"/>
      <c r="F118" s="107" t="n"/>
      <c r="G118" s="106" t="n"/>
      <c r="H118" s="107" t="n"/>
    </row>
    <row r="119">
      <c r="A119" s="106" t="n"/>
      <c r="B119" s="107" t="n"/>
      <c r="C119" s="107" t="n"/>
      <c r="D119" s="127" t="n"/>
      <c r="E119" s="106" t="n"/>
      <c r="F119" s="107" t="n"/>
      <c r="G119" s="106" t="n"/>
      <c r="H119" s="107" t="n"/>
    </row>
    <row r="120">
      <c r="A120" s="106" t="n"/>
      <c r="B120" s="107" t="n"/>
      <c r="C120" s="107" t="n"/>
      <c r="D120" s="127" t="n"/>
      <c r="E120" s="106" t="n"/>
      <c r="F120" s="107" t="n"/>
      <c r="G120" s="106" t="n"/>
      <c r="H120" s="107" t="n"/>
    </row>
    <row r="121">
      <c r="A121" s="106" t="n"/>
      <c r="B121" s="107" t="n"/>
      <c r="C121" s="107" t="n"/>
      <c r="D121" s="127" t="n"/>
      <c r="E121" s="106" t="n"/>
      <c r="F121" s="107" t="n"/>
      <c r="G121" s="106" t="n"/>
      <c r="H121" s="107" t="n"/>
    </row>
    <row r="122">
      <c r="A122" s="106" t="n"/>
      <c r="B122" s="107" t="n"/>
      <c r="C122" s="107" t="n"/>
      <c r="D122" s="127" t="n"/>
      <c r="E122" s="106" t="n"/>
      <c r="F122" s="107" t="n"/>
      <c r="G122" s="106" t="n"/>
      <c r="H122" s="107" t="n"/>
    </row>
    <row r="123">
      <c r="A123" s="106" t="n"/>
      <c r="B123" s="107" t="n"/>
      <c r="C123" s="107" t="n"/>
      <c r="D123" s="127" t="n"/>
      <c r="E123" s="106" t="n"/>
      <c r="F123" s="107" t="n"/>
      <c r="G123" s="106" t="n"/>
      <c r="H123" s="107" t="n"/>
    </row>
    <row r="124">
      <c r="A124" s="106" t="n"/>
      <c r="B124" s="107" t="n"/>
      <c r="C124" s="107" t="n"/>
      <c r="D124" s="127" t="n"/>
      <c r="E124" s="106" t="n"/>
      <c r="F124" s="107" t="n"/>
      <c r="G124" s="106" t="n"/>
      <c r="H124" s="107" t="n"/>
    </row>
    <row r="125">
      <c r="A125" s="106" t="n"/>
      <c r="B125" s="107" t="n"/>
      <c r="C125" s="107" t="n"/>
      <c r="D125" s="127" t="n"/>
      <c r="E125" s="106" t="n"/>
      <c r="F125" s="107" t="n"/>
      <c r="G125" s="106" t="n"/>
      <c r="H125" s="107" t="n"/>
    </row>
    <row r="126">
      <c r="A126" s="106" t="n"/>
      <c r="B126" s="107" t="n"/>
      <c r="C126" s="107" t="n"/>
      <c r="D126" s="127" t="n"/>
      <c r="E126" s="106" t="n"/>
      <c r="F126" s="107" t="n"/>
      <c r="G126" s="106" t="n"/>
      <c r="H126" s="107" t="n"/>
    </row>
    <row r="127">
      <c r="A127" s="106" t="n"/>
      <c r="B127" s="107" t="n"/>
      <c r="C127" s="107" t="n"/>
      <c r="D127" s="127" t="n"/>
      <c r="E127" s="106" t="n"/>
      <c r="F127" s="107" t="n"/>
      <c r="G127" s="106" t="n"/>
      <c r="H127" s="107" t="n"/>
    </row>
    <row r="128">
      <c r="A128" s="106" t="n"/>
      <c r="B128" s="107" t="n"/>
      <c r="C128" s="107" t="n"/>
      <c r="D128" s="127" t="n"/>
      <c r="E128" s="106" t="n"/>
      <c r="F128" s="107" t="n"/>
      <c r="G128" s="106" t="n"/>
      <c r="H128" s="107" t="n"/>
    </row>
    <row r="129">
      <c r="A129" s="106" t="n"/>
      <c r="B129" s="107" t="n"/>
      <c r="C129" s="107" t="n"/>
      <c r="D129" s="127" t="n"/>
      <c r="E129" s="106" t="n"/>
      <c r="F129" s="107" t="n"/>
      <c r="G129" s="106" t="n"/>
      <c r="H129" s="107" t="n"/>
    </row>
    <row r="130">
      <c r="A130" s="106" t="n"/>
      <c r="B130" s="107" t="n"/>
      <c r="C130" s="107" t="n"/>
      <c r="D130" s="127" t="n"/>
      <c r="E130" s="106" t="n"/>
      <c r="F130" s="107" t="n"/>
      <c r="G130" s="106" t="n"/>
      <c r="H130" s="107" t="n"/>
    </row>
    <row r="131">
      <c r="A131" s="106" t="n"/>
      <c r="B131" s="107" t="n"/>
      <c r="C131" s="107" t="n"/>
      <c r="D131" s="127" t="n"/>
      <c r="E131" s="106" t="n"/>
      <c r="F131" s="107" t="n"/>
      <c r="G131" s="106" t="n"/>
      <c r="H131" s="107" t="n"/>
    </row>
    <row r="132">
      <c r="A132" s="106" t="n"/>
      <c r="B132" s="107" t="n"/>
      <c r="C132" s="107" t="n"/>
      <c r="D132" s="127" t="n"/>
      <c r="E132" s="106" t="n"/>
      <c r="F132" s="107" t="n"/>
      <c r="G132" s="106" t="n"/>
      <c r="H132" s="107" t="n"/>
    </row>
    <row r="133">
      <c r="A133" s="106" t="n"/>
      <c r="B133" s="107" t="n"/>
      <c r="C133" s="107" t="n"/>
      <c r="D133" s="127" t="n"/>
      <c r="E133" s="106" t="n"/>
      <c r="F133" s="107" t="n"/>
      <c r="G133" s="106" t="n"/>
      <c r="H133" s="107" t="n"/>
    </row>
    <row r="134">
      <c r="A134" s="106" t="n"/>
      <c r="B134" s="107" t="n"/>
      <c r="C134" s="107" t="n"/>
      <c r="D134" s="127" t="n"/>
      <c r="E134" s="106" t="n"/>
      <c r="F134" s="107" t="n"/>
      <c r="G134" s="106" t="n"/>
      <c r="H134" s="107" t="n"/>
    </row>
    <row r="135">
      <c r="A135" s="106" t="n"/>
      <c r="B135" s="107" t="n"/>
      <c r="C135" s="107" t="n"/>
      <c r="D135" s="127" t="n"/>
      <c r="E135" s="106" t="n"/>
      <c r="F135" s="107" t="n"/>
      <c r="G135" s="106" t="n"/>
      <c r="H135" s="107" t="n"/>
    </row>
    <row r="136">
      <c r="A136" s="106" t="n"/>
      <c r="B136" s="107" t="n"/>
      <c r="C136" s="107" t="n"/>
      <c r="D136" s="127" t="n"/>
      <c r="E136" s="106" t="n"/>
      <c r="F136" s="107" t="n"/>
      <c r="G136" s="106" t="n"/>
      <c r="H136" s="107" t="n"/>
    </row>
    <row r="137">
      <c r="A137" s="106" t="n"/>
      <c r="B137" s="107" t="n"/>
      <c r="C137" s="107" t="n"/>
      <c r="D137" s="127" t="n"/>
      <c r="E137" s="106" t="n"/>
      <c r="F137" s="107" t="n"/>
      <c r="G137" s="106" t="n"/>
      <c r="H137" s="107" t="n"/>
    </row>
    <row r="138">
      <c r="A138" s="106" t="n"/>
      <c r="B138" s="107" t="n"/>
      <c r="C138" s="107" t="n"/>
      <c r="D138" s="127" t="n"/>
      <c r="E138" s="106" t="n"/>
      <c r="F138" s="107" t="n"/>
      <c r="G138" s="106" t="n"/>
      <c r="H138" s="107" t="n"/>
    </row>
    <row r="139">
      <c r="A139" s="106" t="n"/>
      <c r="B139" s="107" t="n"/>
      <c r="C139" s="107" t="n"/>
      <c r="D139" s="127" t="n"/>
      <c r="E139" s="106" t="n"/>
      <c r="F139" s="107" t="n"/>
      <c r="G139" s="106" t="n"/>
      <c r="H139" s="107" t="n"/>
    </row>
    <row r="140">
      <c r="A140" s="106" t="n"/>
      <c r="B140" s="107" t="n"/>
      <c r="C140" s="107" t="n"/>
      <c r="D140" s="127" t="n"/>
      <c r="E140" s="106" t="n"/>
      <c r="F140" s="107" t="n"/>
      <c r="G140" s="106" t="n"/>
      <c r="H140" s="107" t="n"/>
    </row>
    <row r="141">
      <c r="A141" s="106" t="n"/>
      <c r="B141" s="107" t="n"/>
      <c r="C141" s="107" t="n"/>
      <c r="D141" s="127" t="n"/>
      <c r="E141" s="106" t="n"/>
      <c r="F141" s="107" t="n"/>
      <c r="G141" s="106" t="n"/>
      <c r="H141" s="107" t="n"/>
    </row>
    <row r="142">
      <c r="A142" s="106" t="n"/>
      <c r="B142" s="107" t="n"/>
      <c r="C142" s="107" t="n"/>
      <c r="D142" s="127" t="n"/>
      <c r="E142" s="106" t="n"/>
      <c r="F142" s="107" t="n"/>
      <c r="G142" s="106" t="n"/>
      <c r="H142" s="107" t="n"/>
    </row>
    <row r="143">
      <c r="A143" s="106" t="n"/>
      <c r="B143" s="107" t="n"/>
      <c r="C143" s="107" t="n"/>
      <c r="D143" s="127" t="n"/>
      <c r="E143" s="106" t="n"/>
      <c r="F143" s="107" t="n"/>
      <c r="G143" s="106" t="n"/>
      <c r="H143" s="107" t="n"/>
    </row>
    <row r="144">
      <c r="A144" s="106" t="n"/>
      <c r="B144" s="107" t="n"/>
      <c r="C144" s="107" t="n"/>
      <c r="D144" s="127" t="n"/>
      <c r="E144" s="106" t="n"/>
      <c r="F144" s="107" t="n"/>
      <c r="G144" s="106" t="n"/>
      <c r="H144" s="107" t="n"/>
    </row>
    <row r="145">
      <c r="A145" s="106" t="n"/>
      <c r="B145" s="107" t="n"/>
      <c r="C145" s="107" t="n"/>
      <c r="D145" s="127" t="n"/>
      <c r="E145" s="106" t="n"/>
      <c r="F145" s="107" t="n"/>
      <c r="G145" s="106" t="n"/>
      <c r="H145" s="107" t="n"/>
    </row>
    <row r="146">
      <c r="A146" s="106" t="n"/>
      <c r="B146" s="107" t="n"/>
      <c r="C146" s="107" t="n"/>
      <c r="D146" s="127" t="n"/>
      <c r="E146" s="106" t="n"/>
      <c r="F146" s="107" t="n"/>
      <c r="G146" s="106" t="n"/>
      <c r="H146" s="107" t="n"/>
    </row>
    <row r="147">
      <c r="A147" s="106" t="n"/>
      <c r="B147" s="107" t="n"/>
      <c r="C147" s="107" t="n"/>
      <c r="D147" s="127" t="n"/>
      <c r="E147" s="106" t="n"/>
      <c r="F147" s="107" t="n"/>
      <c r="G147" s="106" t="n"/>
      <c r="H147" s="107" t="n"/>
    </row>
    <row r="148">
      <c r="A148" s="106" t="n"/>
      <c r="B148" s="107" t="n"/>
      <c r="C148" s="107" t="n"/>
      <c r="D148" s="127" t="n"/>
      <c r="E148" s="106" t="n"/>
      <c r="F148" s="107" t="n"/>
      <c r="G148" s="106" t="n"/>
      <c r="H148" s="107" t="n"/>
    </row>
    <row r="149">
      <c r="A149" s="106" t="n"/>
      <c r="B149" s="107" t="n"/>
      <c r="C149" s="107" t="n"/>
      <c r="D149" s="127" t="n"/>
      <c r="E149" s="106" t="n"/>
      <c r="F149" s="107" t="n"/>
      <c r="G149" s="106" t="n"/>
      <c r="H149" s="107" t="n"/>
    </row>
    <row r="150">
      <c r="A150" s="106" t="n"/>
      <c r="B150" s="107" t="n"/>
      <c r="C150" s="107" t="n"/>
      <c r="D150" s="127" t="n"/>
      <c r="E150" s="106" t="n"/>
      <c r="F150" s="107" t="n"/>
      <c r="G150" s="106" t="n"/>
      <c r="H150" s="107" t="n"/>
    </row>
    <row r="151">
      <c r="A151" s="106" t="n"/>
      <c r="B151" s="107" t="n"/>
      <c r="C151" s="107" t="n"/>
      <c r="D151" s="127" t="n"/>
      <c r="E151" s="106" t="n"/>
      <c r="F151" s="107" t="n"/>
      <c r="G151" s="106" t="n"/>
      <c r="H151" s="107" t="n"/>
    </row>
    <row r="152">
      <c r="A152" s="106" t="n"/>
      <c r="B152" s="107" t="n"/>
      <c r="C152" s="107" t="n"/>
      <c r="D152" s="127" t="n"/>
      <c r="E152" s="106" t="n"/>
      <c r="F152" s="107" t="n"/>
      <c r="G152" s="106" t="n"/>
      <c r="H152" s="107" t="n"/>
    </row>
    <row r="153">
      <c r="A153" s="106" t="n"/>
      <c r="B153" s="107" t="n"/>
      <c r="C153" s="107" t="n"/>
      <c r="D153" s="127" t="n"/>
      <c r="E153" s="106" t="n"/>
      <c r="F153" s="107" t="n"/>
      <c r="G153" s="106" t="n"/>
      <c r="H153" s="107" t="n"/>
    </row>
    <row r="154">
      <c r="A154" s="106" t="n"/>
      <c r="B154" s="107" t="n"/>
      <c r="C154" s="107" t="n"/>
      <c r="D154" s="127" t="n"/>
      <c r="E154" s="106" t="n"/>
      <c r="F154" s="107" t="n"/>
      <c r="G154" s="106" t="n"/>
      <c r="H154" s="107" t="n"/>
    </row>
    <row r="155">
      <c r="A155" s="106" t="n"/>
      <c r="B155" s="107" t="n"/>
      <c r="C155" s="107" t="n"/>
      <c r="D155" s="127" t="n"/>
      <c r="E155" s="106" t="n"/>
      <c r="F155" s="107" t="n"/>
      <c r="G155" s="106" t="n"/>
      <c r="H155" s="107" t="n"/>
    </row>
    <row r="156">
      <c r="A156" s="106" t="n"/>
      <c r="B156" s="107" t="n"/>
      <c r="C156" s="107" t="n"/>
      <c r="D156" s="127" t="n"/>
      <c r="E156" s="106" t="n"/>
      <c r="F156" s="107" t="n"/>
      <c r="G156" s="106" t="n"/>
      <c r="H156" s="107" t="n"/>
    </row>
    <row r="157">
      <c r="A157" s="106" t="n"/>
      <c r="B157" s="107" t="n"/>
      <c r="C157" s="107" t="n"/>
      <c r="D157" s="127" t="n"/>
      <c r="E157" s="106" t="n"/>
      <c r="F157" s="107" t="n"/>
      <c r="G157" s="106" t="n"/>
      <c r="H157" s="107" t="n"/>
    </row>
    <row r="158">
      <c r="A158" s="106" t="n"/>
      <c r="B158" s="107" t="n"/>
      <c r="C158" s="107" t="n"/>
      <c r="D158" s="127" t="n"/>
      <c r="E158" s="106" t="n"/>
      <c r="F158" s="107" t="n"/>
      <c r="G158" s="106" t="n"/>
      <c r="H158" s="107" t="n"/>
    </row>
    <row r="159">
      <c r="A159" s="106" t="n"/>
      <c r="B159" s="107" t="n"/>
      <c r="C159" s="107" t="n"/>
      <c r="D159" s="127" t="n"/>
      <c r="E159" s="106" t="n"/>
      <c r="F159" s="107" t="n"/>
      <c r="G159" s="106" t="n"/>
      <c r="H159" s="107" t="n"/>
    </row>
    <row r="160">
      <c r="A160" s="106" t="n"/>
      <c r="B160" s="107" t="n"/>
      <c r="C160" s="107" t="n"/>
      <c r="D160" s="127" t="n"/>
      <c r="E160" s="106" t="n"/>
      <c r="F160" s="107" t="n"/>
      <c r="G160" s="106" t="n"/>
      <c r="H160" s="107" t="n"/>
    </row>
    <row r="161">
      <c r="A161" s="106" t="n"/>
      <c r="B161" s="107" t="n"/>
      <c r="C161" s="107" t="n"/>
      <c r="D161" s="127" t="n"/>
      <c r="E161" s="106" t="n"/>
      <c r="F161" s="107" t="n"/>
      <c r="G161" s="106" t="n"/>
      <c r="H161" s="107" t="n"/>
    </row>
    <row r="162">
      <c r="A162" s="106" t="n"/>
      <c r="B162" s="107" t="n"/>
      <c r="C162" s="107" t="n"/>
      <c r="D162" s="127" t="n"/>
      <c r="E162" s="106" t="n"/>
      <c r="F162" s="107" t="n"/>
      <c r="G162" s="106" t="n"/>
      <c r="H162" s="107" t="n"/>
    </row>
    <row r="163">
      <c r="A163" s="106" t="n"/>
      <c r="B163" s="107" t="n"/>
      <c r="C163" s="107" t="n"/>
      <c r="D163" s="127" t="n"/>
      <c r="E163" s="106" t="n"/>
      <c r="F163" s="107" t="n"/>
      <c r="G163" s="106" t="n"/>
      <c r="H163" s="107" t="n"/>
    </row>
    <row r="164">
      <c r="A164" s="106" t="n"/>
      <c r="B164" s="107" t="n"/>
      <c r="C164" s="107" t="n"/>
      <c r="D164" s="127" t="n"/>
      <c r="E164" s="106" t="n"/>
      <c r="F164" s="107" t="n"/>
      <c r="G164" s="106" t="n"/>
      <c r="H164" s="107" t="n"/>
    </row>
    <row r="165">
      <c r="A165" s="106" t="n"/>
      <c r="B165" s="107" t="n"/>
      <c r="C165" s="107" t="n"/>
      <c r="D165" s="127" t="n"/>
      <c r="E165" s="106" t="n"/>
      <c r="F165" s="107" t="n"/>
      <c r="G165" s="106" t="n"/>
      <c r="H165" s="107" t="n"/>
    </row>
    <row r="166">
      <c r="A166" s="106" t="n"/>
      <c r="B166" s="107" t="n"/>
      <c r="C166" s="107" t="n"/>
      <c r="D166" s="127" t="n"/>
      <c r="E166" s="106" t="n"/>
      <c r="F166" s="107" t="n"/>
      <c r="G166" s="106" t="n"/>
      <c r="H166" s="107" t="n"/>
    </row>
    <row r="167">
      <c r="A167" s="106" t="n"/>
      <c r="B167" s="107" t="n"/>
      <c r="C167" s="107" t="n"/>
      <c r="D167" s="127" t="n"/>
      <c r="E167" s="106" t="n"/>
      <c r="F167" s="107" t="n"/>
      <c r="G167" s="106" t="n"/>
      <c r="H167" s="107" t="n"/>
    </row>
    <row r="168">
      <c r="A168" s="106" t="n"/>
      <c r="B168" s="107" t="n"/>
      <c r="C168" s="107" t="n"/>
      <c r="D168" s="127" t="n"/>
      <c r="E168" s="106" t="n"/>
      <c r="F168" s="107" t="n"/>
      <c r="G168" s="106" t="n"/>
      <c r="H168" s="107" t="n"/>
    </row>
    <row r="169">
      <c r="A169" s="106" t="n"/>
      <c r="B169" s="107" t="n"/>
      <c r="C169" s="107" t="n"/>
      <c r="D169" s="127" t="n"/>
      <c r="E169" s="106" t="n"/>
      <c r="F169" s="107" t="n"/>
      <c r="G169" s="106" t="n"/>
      <c r="H169" s="107" t="n"/>
    </row>
    <row r="170">
      <c r="A170" s="106" t="n"/>
      <c r="B170" s="107" t="n"/>
      <c r="C170" s="107" t="n"/>
      <c r="D170" s="127" t="n"/>
      <c r="E170" s="106" t="n"/>
      <c r="F170" s="107" t="n"/>
      <c r="G170" s="106" t="n"/>
      <c r="H170" s="107" t="n"/>
    </row>
    <row r="171">
      <c r="A171" s="106" t="n"/>
      <c r="B171" s="107" t="n"/>
      <c r="C171" s="107" t="n"/>
      <c r="D171" s="127" t="n"/>
      <c r="E171" s="106" t="n"/>
      <c r="F171" s="107" t="n"/>
      <c r="G171" s="106" t="n"/>
      <c r="H171" s="107" t="n"/>
    </row>
    <row r="172">
      <c r="A172" s="106" t="n"/>
      <c r="B172" s="107" t="n"/>
      <c r="C172" s="107" t="n"/>
      <c r="D172" s="127" t="n"/>
      <c r="E172" s="106" t="n"/>
      <c r="F172" s="107" t="n"/>
      <c r="G172" s="106" t="n"/>
      <c r="H172" s="107" t="n"/>
    </row>
    <row r="173">
      <c r="A173" s="106" t="n"/>
      <c r="B173" s="107" t="n"/>
      <c r="C173" s="107" t="n"/>
      <c r="D173" s="127" t="n"/>
      <c r="E173" s="106" t="n"/>
      <c r="F173" s="107" t="n"/>
      <c r="G173" s="106" t="n"/>
      <c r="H173" s="107" t="n"/>
    </row>
    <row r="174">
      <c r="A174" s="106" t="n"/>
      <c r="B174" s="107" t="n"/>
      <c r="C174" s="107" t="n"/>
      <c r="D174" s="127" t="n"/>
      <c r="E174" s="106" t="n"/>
      <c r="F174" s="107" t="n"/>
      <c r="G174" s="106" t="n"/>
      <c r="H174" s="107" t="n"/>
    </row>
    <row r="175">
      <c r="A175" s="106" t="n"/>
      <c r="B175" s="107" t="n"/>
      <c r="C175" s="107" t="n"/>
      <c r="D175" s="127" t="n"/>
      <c r="E175" s="106" t="n"/>
      <c r="F175" s="107" t="n"/>
      <c r="G175" s="106" t="n"/>
      <c r="H175" s="107" t="n"/>
    </row>
    <row r="176">
      <c r="A176" s="106" t="n"/>
      <c r="B176" s="107" t="n"/>
      <c r="C176" s="107" t="n"/>
      <c r="D176" s="127" t="n"/>
      <c r="E176" s="106" t="n"/>
      <c r="F176" s="107" t="n"/>
      <c r="G176" s="106" t="n"/>
      <c r="H176" s="107" t="n"/>
    </row>
    <row r="177">
      <c r="A177" s="106" t="n"/>
      <c r="B177" s="107" t="n"/>
      <c r="C177" s="107" t="n"/>
      <c r="D177" s="127" t="n"/>
      <c r="E177" s="106" t="n"/>
      <c r="F177" s="107" t="n"/>
      <c r="G177" s="106" t="n"/>
      <c r="H177" s="107" t="n"/>
    </row>
    <row r="178">
      <c r="A178" s="106" t="n"/>
      <c r="B178" s="107" t="n"/>
      <c r="C178" s="107" t="n"/>
      <c r="D178" s="127" t="n"/>
      <c r="E178" s="106" t="n"/>
      <c r="F178" s="107" t="n"/>
      <c r="G178" s="106" t="n"/>
      <c r="H178" s="107" t="n"/>
    </row>
    <row r="179">
      <c r="A179" s="106" t="n"/>
      <c r="B179" s="107" t="n"/>
      <c r="C179" s="107" t="n"/>
      <c r="D179" s="127" t="n"/>
      <c r="E179" s="106" t="n"/>
      <c r="F179" s="107" t="n"/>
      <c r="G179" s="106" t="n"/>
      <c r="H179" s="107" t="n"/>
    </row>
    <row r="180">
      <c r="A180" s="106" t="n"/>
      <c r="B180" s="107" t="n"/>
      <c r="C180" s="107" t="n"/>
      <c r="D180" s="127" t="n"/>
      <c r="E180" s="106" t="n"/>
      <c r="F180" s="107" t="n"/>
      <c r="G180" s="106" t="n"/>
      <c r="H180" s="107" t="n"/>
    </row>
    <row r="181">
      <c r="A181" s="106" t="n"/>
      <c r="B181" s="107" t="n"/>
      <c r="C181" s="107" t="n"/>
      <c r="D181" s="127" t="n"/>
      <c r="E181" s="106" t="n"/>
      <c r="F181" s="107" t="n"/>
      <c r="G181" s="106" t="n"/>
      <c r="H181" s="107" t="n"/>
    </row>
    <row r="182">
      <c r="A182" s="106" t="n"/>
      <c r="B182" s="107" t="n"/>
      <c r="C182" s="107" t="n"/>
      <c r="D182" s="127" t="n"/>
      <c r="E182" s="106" t="n"/>
      <c r="F182" s="107" t="n"/>
      <c r="G182" s="106" t="n"/>
      <c r="H182" s="107" t="n"/>
    </row>
    <row r="183">
      <c r="A183" s="106" t="n"/>
      <c r="B183" s="107" t="n"/>
      <c r="C183" s="107" t="n"/>
      <c r="D183" s="127" t="n"/>
      <c r="E183" s="106" t="n"/>
      <c r="F183" s="107" t="n"/>
      <c r="G183" s="106" t="n"/>
      <c r="H183" s="107" t="n"/>
    </row>
    <row r="184">
      <c r="A184" s="106" t="n"/>
      <c r="B184" s="107" t="n"/>
      <c r="C184" s="107" t="n"/>
      <c r="D184" s="127" t="n"/>
      <c r="E184" s="106" t="n"/>
      <c r="F184" s="107" t="n"/>
      <c r="G184" s="106" t="n"/>
      <c r="H184" s="107" t="n"/>
    </row>
    <row r="185">
      <c r="A185" s="106" t="n"/>
      <c r="B185" s="107" t="n"/>
      <c r="C185" s="107" t="n"/>
      <c r="D185" s="127" t="n"/>
      <c r="E185" s="106" t="n"/>
      <c r="F185" s="107" t="n"/>
      <c r="G185" s="106" t="n"/>
      <c r="H185" s="107" t="n"/>
    </row>
    <row r="186">
      <c r="A186" s="106" t="n"/>
      <c r="B186" s="107" t="n"/>
      <c r="C186" s="107" t="n"/>
      <c r="D186" s="127" t="n"/>
      <c r="E186" s="106" t="n"/>
      <c r="F186" s="107" t="n"/>
      <c r="G186" s="106" t="n"/>
      <c r="H186" s="107" t="n"/>
    </row>
    <row r="187">
      <c r="A187" s="106" t="n"/>
      <c r="B187" s="107" t="n"/>
      <c r="C187" s="107" t="n"/>
      <c r="D187" s="127" t="n"/>
      <c r="E187" s="106" t="n"/>
      <c r="F187" s="107" t="n"/>
      <c r="G187" s="106" t="n"/>
      <c r="H187" s="107" t="n"/>
    </row>
    <row r="188">
      <c r="A188" s="106" t="n"/>
      <c r="B188" s="107" t="n"/>
      <c r="C188" s="107" t="n"/>
      <c r="D188" s="127" t="n"/>
      <c r="E188" s="106" t="n"/>
      <c r="F188" s="107" t="n"/>
      <c r="G188" s="106" t="n"/>
      <c r="H188" s="107" t="n"/>
    </row>
    <row r="189">
      <c r="A189" s="106" t="n"/>
      <c r="B189" s="107" t="n"/>
      <c r="C189" s="107" t="n"/>
      <c r="D189" s="127" t="n"/>
      <c r="E189" s="106" t="n"/>
      <c r="F189" s="107" t="n"/>
      <c r="G189" s="106" t="n"/>
      <c r="H189" s="107" t="n"/>
    </row>
    <row r="190">
      <c r="A190" s="106" t="n"/>
      <c r="B190" s="107" t="n"/>
      <c r="C190" s="107" t="n"/>
      <c r="D190" s="127" t="n"/>
      <c r="E190" s="106" t="n"/>
      <c r="F190" s="107" t="n"/>
      <c r="G190" s="106" t="n"/>
      <c r="H190" s="107" t="n"/>
    </row>
    <row r="191">
      <c r="A191" s="106" t="n"/>
      <c r="B191" s="107" t="n"/>
      <c r="C191" s="107" t="n"/>
      <c r="D191" s="127" t="n"/>
      <c r="E191" s="106" t="n"/>
      <c r="F191" s="107" t="n"/>
      <c r="G191" s="106" t="n"/>
      <c r="H191" s="107" t="n"/>
    </row>
    <row r="192">
      <c r="A192" s="106" t="n"/>
      <c r="B192" s="107" t="n"/>
      <c r="C192" s="107" t="n"/>
      <c r="D192" s="127" t="n"/>
      <c r="E192" s="106" t="n"/>
      <c r="F192" s="107" t="n"/>
      <c r="G192" s="106" t="n"/>
      <c r="H192" s="107" t="n"/>
    </row>
    <row r="193">
      <c r="A193" s="106" t="n"/>
      <c r="B193" s="107" t="n"/>
      <c r="C193" s="107" t="n"/>
      <c r="D193" s="127" t="n"/>
      <c r="E193" s="106" t="n"/>
      <c r="F193" s="107" t="n"/>
      <c r="G193" s="106" t="n"/>
      <c r="H193" s="107" t="n"/>
    </row>
    <row r="194">
      <c r="A194" s="106" t="n"/>
      <c r="B194" s="107" t="n"/>
      <c r="C194" s="107" t="n"/>
      <c r="D194" s="127" t="n"/>
      <c r="E194" s="106" t="n"/>
      <c r="F194" s="107" t="n"/>
      <c r="G194" s="106" t="n"/>
      <c r="H194" s="107" t="n"/>
    </row>
    <row r="195">
      <c r="A195" s="106" t="n"/>
      <c r="B195" s="107" t="n"/>
      <c r="C195" s="107" t="n"/>
      <c r="D195" s="127" t="n"/>
      <c r="E195" s="106" t="n"/>
      <c r="F195" s="107" t="n"/>
      <c r="G195" s="106" t="n"/>
      <c r="H195" s="107" t="n"/>
    </row>
    <row r="196">
      <c r="A196" s="106" t="n"/>
      <c r="B196" s="107" t="n"/>
      <c r="C196" s="107" t="n"/>
      <c r="D196" s="127" t="n"/>
      <c r="E196" s="106" t="n"/>
      <c r="F196" s="107" t="n"/>
      <c r="G196" s="106" t="n"/>
      <c r="H196" s="107" t="n"/>
    </row>
    <row r="197">
      <c r="A197" s="106" t="n"/>
      <c r="B197" s="107" t="n"/>
      <c r="C197" s="107" t="n"/>
      <c r="D197" s="127" t="n"/>
      <c r="E197" s="106" t="n"/>
      <c r="F197" s="107" t="n"/>
      <c r="G197" s="106" t="n"/>
      <c r="H197" s="107" t="n"/>
    </row>
    <row r="198">
      <c r="A198" s="106" t="n"/>
      <c r="B198" s="107" t="n"/>
      <c r="C198" s="107" t="n"/>
      <c r="D198" s="127" t="n"/>
      <c r="E198" s="106" t="n"/>
      <c r="F198" s="107" t="n"/>
      <c r="G198" s="106" t="n"/>
      <c r="H198" s="107" t="n"/>
    </row>
    <row r="199">
      <c r="A199" s="106" t="n"/>
      <c r="B199" s="107" t="n"/>
      <c r="C199" s="107" t="n"/>
      <c r="D199" s="127" t="n"/>
      <c r="E199" s="106" t="n"/>
      <c r="F199" s="107" t="n"/>
      <c r="G199" s="106" t="n"/>
      <c r="H199" s="107" t="n"/>
    </row>
    <row r="200">
      <c r="A200" s="106" t="n"/>
      <c r="B200" s="107" t="n"/>
      <c r="C200" s="107" t="n"/>
      <c r="D200" s="127" t="n"/>
      <c r="E200" s="106" t="n"/>
      <c r="F200" s="107" t="n"/>
      <c r="G200" s="106" t="n"/>
      <c r="H200" s="107" t="n"/>
    </row>
    <row r="201">
      <c r="A201" s="106" t="n"/>
      <c r="B201" s="107" t="n"/>
      <c r="C201" s="107" t="n"/>
      <c r="D201" s="127" t="n"/>
      <c r="E201" s="106" t="n"/>
      <c r="F201" s="107" t="n"/>
      <c r="G201" s="106" t="n"/>
      <c r="H201" s="107" t="n"/>
    </row>
    <row r="202">
      <c r="A202" s="106" t="n"/>
      <c r="B202" s="107" t="n"/>
      <c r="C202" s="107" t="n"/>
      <c r="D202" s="127" t="n"/>
      <c r="E202" s="106" t="n"/>
      <c r="F202" s="107" t="n"/>
      <c r="G202" s="106" t="n"/>
      <c r="H202" s="107" t="n"/>
    </row>
    <row r="203">
      <c r="A203" s="106" t="n"/>
      <c r="B203" s="107" t="n"/>
      <c r="C203" s="107" t="n"/>
      <c r="D203" s="127" t="n"/>
      <c r="E203" s="106" t="n"/>
      <c r="F203" s="107" t="n"/>
      <c r="G203" s="106" t="n"/>
      <c r="H203" s="107" t="n"/>
    </row>
    <row r="204">
      <c r="A204" s="106" t="n"/>
      <c r="B204" s="107" t="n"/>
      <c r="C204" s="107" t="n"/>
      <c r="D204" s="127" t="n"/>
      <c r="E204" s="106" t="n"/>
      <c r="F204" s="107" t="n"/>
      <c r="G204" s="106" t="n"/>
      <c r="H204" s="107" t="n"/>
    </row>
    <row r="205">
      <c r="A205" s="106" t="n"/>
      <c r="B205" s="107" t="n"/>
      <c r="C205" s="107" t="n"/>
      <c r="D205" s="127" t="n"/>
      <c r="E205" s="106" t="n"/>
      <c r="F205" s="107" t="n"/>
      <c r="G205" s="106" t="n"/>
      <c r="H205" s="107" t="n"/>
    </row>
    <row r="206">
      <c r="A206" s="106" t="n"/>
      <c r="B206" s="107" t="n"/>
      <c r="C206" s="107" t="n"/>
      <c r="D206" s="127" t="n"/>
      <c r="E206" s="106" t="n"/>
      <c r="F206" s="107" t="n"/>
      <c r="G206" s="106" t="n"/>
      <c r="H206" s="107" t="n"/>
    </row>
    <row r="207">
      <c r="A207" s="106" t="n"/>
      <c r="B207" s="107" t="n"/>
      <c r="C207" s="107" t="n"/>
      <c r="D207" s="127" t="n"/>
      <c r="E207" s="106" t="n"/>
      <c r="F207" s="107" t="n"/>
      <c r="G207" s="106" t="n"/>
      <c r="H207" s="107" t="n"/>
    </row>
    <row r="208">
      <c r="A208" s="106" t="n"/>
      <c r="B208" s="107" t="n"/>
      <c r="C208" s="107" t="n"/>
      <c r="D208" s="127" t="n"/>
      <c r="E208" s="106" t="n"/>
      <c r="F208" s="107" t="n"/>
      <c r="G208" s="106" t="n"/>
      <c r="H208" s="107" t="n"/>
    </row>
    <row r="209">
      <c r="A209" s="106" t="n"/>
      <c r="B209" s="107" t="n"/>
      <c r="C209" s="107" t="n"/>
      <c r="D209" s="127" t="n"/>
      <c r="E209" s="106" t="n"/>
      <c r="F209" s="107" t="n"/>
      <c r="G209" s="106" t="n"/>
      <c r="H209" s="107" t="n"/>
    </row>
    <row r="210">
      <c r="A210" s="106" t="n"/>
      <c r="B210" s="107" t="n"/>
      <c r="C210" s="107" t="n"/>
      <c r="D210" s="127" t="n"/>
      <c r="E210" s="106" t="n"/>
      <c r="F210" s="107" t="n"/>
      <c r="G210" s="106" t="n"/>
      <c r="H210" s="107" t="n"/>
    </row>
    <row r="211">
      <c r="A211" s="106" t="n"/>
      <c r="B211" s="107" t="n"/>
      <c r="C211" s="107" t="n"/>
      <c r="D211" s="127" t="n"/>
      <c r="E211" s="106" t="n"/>
      <c r="F211" s="107" t="n"/>
      <c r="G211" s="106" t="n"/>
      <c r="H211" s="107" t="n"/>
    </row>
    <row r="212">
      <c r="A212" s="106" t="n"/>
      <c r="B212" s="107" t="n"/>
      <c r="C212" s="107" t="n"/>
      <c r="D212" s="127" t="n"/>
      <c r="E212" s="106" t="n"/>
      <c r="F212" s="107" t="n"/>
      <c r="G212" s="106" t="n"/>
      <c r="H212" s="107" t="n"/>
    </row>
    <row r="213">
      <c r="A213" s="106" t="n"/>
      <c r="B213" s="107" t="n"/>
      <c r="C213" s="107" t="n"/>
      <c r="D213" s="127" t="n"/>
      <c r="E213" s="106" t="n"/>
      <c r="F213" s="107" t="n"/>
      <c r="G213" s="106" t="n"/>
      <c r="H213" s="107" t="n"/>
    </row>
    <row r="214">
      <c r="A214" s="106" t="n"/>
      <c r="B214" s="107" t="n"/>
      <c r="C214" s="107" t="n"/>
      <c r="D214" s="127" t="n"/>
      <c r="E214" s="106" t="n"/>
      <c r="F214" s="107" t="n"/>
      <c r="G214" s="106" t="n"/>
      <c r="H214" s="107" t="n"/>
    </row>
    <row r="215">
      <c r="A215" s="106" t="n"/>
      <c r="B215" s="107" t="n"/>
      <c r="C215" s="107" t="n"/>
      <c r="D215" s="127" t="n"/>
      <c r="E215" s="106" t="n"/>
      <c r="F215" s="107" t="n"/>
      <c r="G215" s="106" t="n"/>
      <c r="H215" s="107" t="n"/>
    </row>
    <row r="216">
      <c r="A216" s="106" t="n"/>
      <c r="B216" s="107" t="n"/>
      <c r="C216" s="107" t="n"/>
      <c r="D216" s="127" t="n"/>
      <c r="E216" s="106" t="n"/>
      <c r="F216" s="107" t="n"/>
      <c r="G216" s="106" t="n"/>
      <c r="H216" s="107" t="n"/>
    </row>
    <row r="217">
      <c r="A217" s="106" t="n"/>
      <c r="B217" s="107" t="n"/>
      <c r="C217" s="107" t="n"/>
      <c r="D217" s="127" t="n"/>
      <c r="E217" s="106" t="n"/>
      <c r="F217" s="107" t="n"/>
      <c r="G217" s="106" t="n"/>
      <c r="H217" s="107" t="n"/>
    </row>
    <row r="218">
      <c r="A218" s="106" t="n"/>
      <c r="B218" s="107" t="n"/>
      <c r="C218" s="107" t="n"/>
      <c r="D218" s="127" t="n"/>
      <c r="E218" s="106" t="n"/>
      <c r="F218" s="107" t="n"/>
      <c r="G218" s="106" t="n"/>
      <c r="H218" s="107" t="n"/>
    </row>
    <row r="219">
      <c r="A219" s="106" t="n"/>
      <c r="B219" s="107" t="n"/>
      <c r="C219" s="107" t="n"/>
      <c r="D219" s="127" t="n"/>
      <c r="E219" s="106" t="n"/>
      <c r="F219" s="107" t="n"/>
      <c r="G219" s="106" t="n"/>
      <c r="H219" s="107" t="n"/>
    </row>
    <row r="220">
      <c r="A220" s="106" t="n"/>
      <c r="B220" s="107" t="n"/>
      <c r="C220" s="107" t="n"/>
      <c r="D220" s="127" t="n"/>
      <c r="E220" s="106" t="n"/>
      <c r="F220" s="107" t="n"/>
      <c r="G220" s="106" t="n"/>
      <c r="H220" s="107" t="n"/>
    </row>
    <row r="221">
      <c r="A221" s="106" t="n"/>
      <c r="B221" s="107" t="n"/>
      <c r="C221" s="107" t="n"/>
      <c r="D221" s="127" t="n"/>
      <c r="E221" s="106" t="n"/>
      <c r="F221" s="107" t="n"/>
      <c r="G221" s="106" t="n"/>
      <c r="H221" s="107" t="n"/>
    </row>
    <row r="222">
      <c r="A222" s="106" t="n"/>
      <c r="B222" s="107" t="n"/>
      <c r="C222" s="107" t="n"/>
      <c r="D222" s="127" t="n"/>
      <c r="E222" s="106" t="n"/>
      <c r="F222" s="107" t="n"/>
      <c r="G222" s="106" t="n"/>
      <c r="H222" s="107" t="n"/>
    </row>
    <row r="223">
      <c r="A223" s="106" t="n"/>
      <c r="B223" s="107" t="n"/>
      <c r="C223" s="107" t="n"/>
      <c r="D223" s="127" t="n"/>
      <c r="E223" s="106" t="n"/>
      <c r="F223" s="107" t="n"/>
      <c r="G223" s="106" t="n"/>
      <c r="H223" s="107" t="n"/>
    </row>
    <row r="224">
      <c r="A224" s="106" t="n"/>
      <c r="B224" s="107" t="n"/>
      <c r="C224" s="107" t="n"/>
      <c r="D224" s="127" t="n"/>
      <c r="E224" s="106" t="n"/>
      <c r="F224" s="107" t="n"/>
      <c r="G224" s="106" t="n"/>
      <c r="H224" s="107" t="n"/>
    </row>
    <row r="225">
      <c r="A225" s="106" t="n"/>
      <c r="B225" s="107" t="n"/>
      <c r="C225" s="107" t="n"/>
      <c r="D225" s="127" t="n"/>
      <c r="E225" s="106" t="n"/>
      <c r="F225" s="107" t="n"/>
      <c r="G225" s="106" t="n"/>
      <c r="H225" s="107" t="n"/>
    </row>
    <row r="226">
      <c r="A226" s="106" t="n"/>
      <c r="B226" s="107" t="n"/>
      <c r="C226" s="107" t="n"/>
      <c r="D226" s="127" t="n"/>
      <c r="E226" s="106" t="n"/>
      <c r="F226" s="107" t="n"/>
      <c r="G226" s="106" t="n"/>
      <c r="H226" s="107" t="n"/>
    </row>
    <row r="227">
      <c r="A227" s="106" t="n"/>
      <c r="B227" s="107" t="n"/>
      <c r="C227" s="107" t="n"/>
      <c r="D227" s="127" t="n"/>
      <c r="E227" s="106" t="n"/>
      <c r="F227" s="107" t="n"/>
      <c r="G227" s="106" t="n"/>
      <c r="H227" s="107" t="n"/>
    </row>
    <row r="228">
      <c r="A228" s="106" t="n"/>
      <c r="B228" s="107" t="n"/>
      <c r="C228" s="107" t="n"/>
      <c r="D228" s="127" t="n"/>
      <c r="E228" s="106" t="n"/>
      <c r="F228" s="107" t="n"/>
      <c r="G228" s="106" t="n"/>
      <c r="H228" s="107" t="n"/>
    </row>
    <row r="229">
      <c r="A229" s="106" t="n"/>
      <c r="B229" s="107" t="n"/>
      <c r="C229" s="107" t="n"/>
      <c r="D229" s="127" t="n"/>
      <c r="E229" s="106" t="n"/>
      <c r="F229" s="107" t="n"/>
      <c r="G229" s="106" t="n"/>
      <c r="H229" s="107" t="n"/>
    </row>
    <row r="230">
      <c r="A230" s="106" t="n"/>
      <c r="B230" s="107" t="n"/>
      <c r="C230" s="107" t="n"/>
      <c r="D230" s="127" t="n"/>
      <c r="E230" s="106" t="n"/>
      <c r="F230" s="107" t="n"/>
      <c r="G230" s="106" t="n"/>
      <c r="H230" s="107" t="n"/>
    </row>
    <row r="231">
      <c r="A231" s="106" t="n"/>
      <c r="B231" s="107" t="n"/>
      <c r="C231" s="107" t="n"/>
      <c r="D231" s="127" t="n"/>
      <c r="E231" s="106" t="n"/>
      <c r="F231" s="107" t="n"/>
      <c r="G231" s="106" t="n"/>
      <c r="H231" s="107" t="n"/>
    </row>
    <row r="232">
      <c r="A232" s="106" t="n"/>
      <c r="B232" s="107" t="n"/>
      <c r="C232" s="107" t="n"/>
      <c r="D232" s="127" t="n"/>
      <c r="E232" s="106" t="n"/>
      <c r="F232" s="107" t="n"/>
      <c r="G232" s="106" t="n"/>
      <c r="H232" s="107" t="n"/>
    </row>
    <row r="233">
      <c r="A233" s="106" t="n"/>
      <c r="B233" s="107" t="n"/>
      <c r="C233" s="107" t="n"/>
      <c r="D233" s="127" t="n"/>
      <c r="E233" s="106" t="n"/>
      <c r="F233" s="107" t="n"/>
      <c r="G233" s="106" t="n"/>
      <c r="H233" s="107" t="n"/>
    </row>
    <row r="234">
      <c r="A234" s="106" t="n"/>
      <c r="B234" s="107" t="n"/>
      <c r="C234" s="107" t="n"/>
      <c r="D234" s="127" t="n"/>
      <c r="E234" s="106" t="n"/>
      <c r="F234" s="107" t="n"/>
      <c r="G234" s="106" t="n"/>
      <c r="H234" s="107" t="n"/>
    </row>
    <row r="235">
      <c r="A235" s="106" t="n"/>
      <c r="B235" s="107" t="n"/>
      <c r="C235" s="107" t="n"/>
      <c r="D235" s="127" t="n"/>
      <c r="E235" s="106" t="n"/>
      <c r="F235" s="107" t="n"/>
      <c r="G235" s="106" t="n"/>
      <c r="H235" s="107" t="n"/>
    </row>
    <row r="236">
      <c r="A236" s="106" t="n"/>
      <c r="B236" s="107" t="n"/>
      <c r="C236" s="107" t="n"/>
      <c r="D236" s="127" t="n"/>
      <c r="E236" s="106" t="n"/>
      <c r="F236" s="107" t="n"/>
      <c r="G236" s="106" t="n"/>
      <c r="H236" s="107" t="n"/>
    </row>
    <row r="237">
      <c r="A237" s="106" t="n"/>
      <c r="B237" s="107" t="n"/>
      <c r="C237" s="107" t="n"/>
      <c r="D237" s="127" t="n"/>
      <c r="E237" s="106" t="n"/>
      <c r="F237" s="107" t="n"/>
      <c r="G237" s="106" t="n"/>
      <c r="H237" s="107" t="n"/>
    </row>
    <row r="238">
      <c r="A238" s="106" t="n"/>
      <c r="B238" s="107" t="n"/>
      <c r="C238" s="107" t="n"/>
      <c r="D238" s="127" t="n"/>
      <c r="E238" s="106" t="n"/>
      <c r="F238" s="107" t="n"/>
      <c r="G238" s="106" t="n"/>
      <c r="H238" s="107" t="n"/>
    </row>
    <row r="239">
      <c r="A239" s="106" t="n"/>
      <c r="B239" s="107" t="n"/>
      <c r="C239" s="107" t="n"/>
      <c r="D239" s="127" t="n"/>
      <c r="E239" s="106" t="n"/>
      <c r="F239" s="107" t="n"/>
      <c r="G239" s="106" t="n"/>
      <c r="H239" s="107" t="n"/>
    </row>
    <row r="240">
      <c r="A240" s="106" t="n"/>
      <c r="B240" s="107" t="n"/>
      <c r="C240" s="107" t="n"/>
      <c r="D240" s="127" t="n"/>
      <c r="E240" s="106" t="n"/>
      <c r="F240" s="107" t="n"/>
      <c r="G240" s="106" t="n"/>
      <c r="H240" s="107" t="n"/>
    </row>
    <row r="241">
      <c r="A241" s="106" t="n"/>
      <c r="B241" s="107" t="n"/>
      <c r="C241" s="107" t="n"/>
      <c r="D241" s="127" t="n"/>
      <c r="E241" s="106" t="n"/>
      <c r="F241" s="107" t="n"/>
      <c r="G241" s="106" t="n"/>
      <c r="H241" s="107" t="n"/>
    </row>
    <row r="242">
      <c r="A242" s="106" t="n"/>
      <c r="B242" s="107" t="n"/>
      <c r="C242" s="107" t="n"/>
      <c r="D242" s="127" t="n"/>
      <c r="E242" s="106" t="n"/>
      <c r="F242" s="107" t="n"/>
      <c r="G242" s="106" t="n"/>
      <c r="H242" s="107" t="n"/>
    </row>
    <row r="243">
      <c r="A243" s="106" t="n"/>
      <c r="B243" s="107" t="n"/>
      <c r="C243" s="107" t="n"/>
      <c r="D243" s="127" t="n"/>
      <c r="E243" s="106" t="n"/>
      <c r="F243" s="107" t="n"/>
      <c r="G243" s="106" t="n"/>
      <c r="H243" s="107" t="n"/>
    </row>
    <row r="244">
      <c r="A244" s="106" t="n"/>
      <c r="B244" s="107" t="n"/>
      <c r="C244" s="107" t="n"/>
      <c r="D244" s="127" t="n"/>
      <c r="E244" s="106" t="n"/>
      <c r="F244" s="107" t="n"/>
      <c r="G244" s="106" t="n"/>
      <c r="H244" s="107" t="n"/>
    </row>
    <row r="245">
      <c r="A245" s="106" t="n"/>
      <c r="B245" s="107" t="n"/>
      <c r="C245" s="107" t="n"/>
      <c r="D245" s="127" t="n"/>
      <c r="E245" s="106" t="n"/>
      <c r="F245" s="107" t="n"/>
      <c r="G245" s="106" t="n"/>
      <c r="H245" s="107" t="n"/>
    </row>
    <row r="246">
      <c r="A246" s="106" t="n"/>
      <c r="B246" s="107" t="n"/>
      <c r="C246" s="107" t="n"/>
      <c r="D246" s="127" t="n"/>
      <c r="E246" s="106" t="n"/>
      <c r="F246" s="107" t="n"/>
      <c r="G246" s="106" t="n"/>
      <c r="H246" s="107" t="n"/>
    </row>
    <row r="247">
      <c r="A247" s="106" t="n"/>
      <c r="B247" s="107" t="n"/>
      <c r="C247" s="107" t="n"/>
      <c r="D247" s="127" t="n"/>
      <c r="E247" s="106" t="n"/>
      <c r="F247" s="107" t="n"/>
      <c r="G247" s="106" t="n"/>
      <c r="H247" s="107" t="n"/>
    </row>
    <row r="248">
      <c r="A248" s="106" t="n"/>
      <c r="B248" s="107" t="n"/>
      <c r="C248" s="107" t="n"/>
      <c r="D248" s="127" t="n"/>
      <c r="E248" s="106" t="n"/>
      <c r="F248" s="107" t="n"/>
      <c r="G248" s="106" t="n"/>
      <c r="H248" s="107" t="n"/>
    </row>
    <row r="249">
      <c r="A249" s="106" t="n"/>
      <c r="B249" s="107" t="n"/>
      <c r="C249" s="107" t="n"/>
      <c r="D249" s="127" t="n"/>
      <c r="E249" s="106" t="n"/>
      <c r="F249" s="107" t="n"/>
      <c r="G249" s="106" t="n"/>
      <c r="H249" s="107" t="n"/>
    </row>
    <row r="250">
      <c r="A250" s="106" t="n"/>
      <c r="B250" s="107" t="n"/>
      <c r="C250" s="107" t="n"/>
      <c r="D250" s="127" t="n"/>
      <c r="E250" s="106" t="n"/>
      <c r="F250" s="107" t="n"/>
      <c r="G250" s="106" t="n"/>
      <c r="H250" s="107" t="n"/>
    </row>
    <row r="251">
      <c r="A251" s="106" t="n"/>
      <c r="B251" s="107" t="n"/>
      <c r="C251" s="107" t="n"/>
      <c r="D251" s="127" t="n"/>
      <c r="E251" s="106" t="n"/>
      <c r="F251" s="107" t="n"/>
      <c r="G251" s="106" t="n"/>
      <c r="H251" s="107" t="n"/>
    </row>
    <row r="252">
      <c r="A252" s="106" t="n"/>
      <c r="B252" s="107" t="n"/>
      <c r="C252" s="107" t="n"/>
      <c r="D252" s="127" t="n"/>
      <c r="E252" s="106" t="n"/>
      <c r="F252" s="107" t="n"/>
      <c r="G252" s="106" t="n"/>
      <c r="H252" s="107" t="n"/>
    </row>
    <row r="253">
      <c r="A253" s="106" t="n"/>
      <c r="B253" s="107" t="n"/>
      <c r="C253" s="107" t="n"/>
      <c r="D253" s="127" t="n"/>
      <c r="E253" s="106" t="n"/>
      <c r="F253" s="107" t="n"/>
      <c r="G253" s="106" t="n"/>
      <c r="H253" s="107" t="n"/>
    </row>
    <row r="254">
      <c r="A254" s="106" t="n"/>
      <c r="B254" s="107" t="n"/>
      <c r="C254" s="107" t="n"/>
      <c r="D254" s="127" t="n"/>
      <c r="E254" s="106" t="n"/>
      <c r="F254" s="107" t="n"/>
      <c r="G254" s="106" t="n"/>
      <c r="H254" s="107" t="n"/>
    </row>
    <row r="255">
      <c r="A255" s="106" t="n"/>
      <c r="B255" s="107" t="n"/>
      <c r="C255" s="107" t="n"/>
      <c r="D255" s="127" t="n"/>
      <c r="E255" s="106" t="n"/>
      <c r="F255" s="107" t="n"/>
      <c r="G255" s="106" t="n"/>
      <c r="H255" s="107" t="n"/>
    </row>
    <row r="256">
      <c r="A256" s="106" t="n"/>
      <c r="B256" s="107" t="n"/>
      <c r="C256" s="107" t="n"/>
      <c r="D256" s="127" t="n"/>
      <c r="E256" s="106" t="n"/>
      <c r="F256" s="107" t="n"/>
      <c r="G256" s="106" t="n"/>
      <c r="H256" s="107" t="n"/>
    </row>
    <row r="257">
      <c r="A257" s="106" t="n"/>
      <c r="B257" s="107" t="n"/>
      <c r="C257" s="107" t="n"/>
      <c r="D257" s="127" t="n"/>
      <c r="E257" s="106" t="n"/>
      <c r="F257" s="107" t="n"/>
      <c r="G257" s="106" t="n"/>
      <c r="H257" s="107" t="n"/>
    </row>
    <row r="258">
      <c r="A258" s="106" t="n"/>
      <c r="B258" s="107" t="n"/>
      <c r="C258" s="107" t="n"/>
      <c r="D258" s="127" t="n"/>
      <c r="E258" s="106" t="n"/>
      <c r="F258" s="107" t="n"/>
      <c r="G258" s="106" t="n"/>
      <c r="H258" s="107" t="n"/>
    </row>
    <row r="259">
      <c r="A259" s="106" t="n"/>
      <c r="B259" s="107" t="n"/>
      <c r="C259" s="107" t="n"/>
      <c r="D259" s="127" t="n"/>
      <c r="E259" s="106" t="n"/>
      <c r="F259" s="107" t="n"/>
      <c r="G259" s="106" t="n"/>
      <c r="H259" s="107" t="n"/>
    </row>
    <row r="260">
      <c r="A260" s="106" t="n"/>
      <c r="B260" s="107" t="n"/>
      <c r="C260" s="107" t="n"/>
      <c r="D260" s="127" t="n"/>
      <c r="E260" s="106" t="n"/>
      <c r="F260" s="107" t="n"/>
      <c r="G260" s="106" t="n"/>
      <c r="H260" s="107" t="n"/>
    </row>
    <row r="261">
      <c r="A261" s="106" t="n"/>
      <c r="B261" s="107" t="n"/>
      <c r="C261" s="107" t="n"/>
      <c r="D261" s="127" t="n"/>
      <c r="E261" s="106" t="n"/>
      <c r="F261" s="107" t="n"/>
      <c r="G261" s="106" t="n"/>
      <c r="H261" s="107" t="n"/>
    </row>
    <row r="262">
      <c r="A262" s="106" t="n"/>
      <c r="B262" s="107" t="n"/>
      <c r="C262" s="107" t="n"/>
      <c r="D262" s="127" t="n"/>
      <c r="E262" s="106" t="n"/>
      <c r="F262" s="107" t="n"/>
      <c r="G262" s="106" t="n"/>
      <c r="H262" s="107" t="n"/>
    </row>
    <row r="263">
      <c r="A263" s="106" t="n"/>
      <c r="B263" s="107" t="n"/>
      <c r="C263" s="107" t="n"/>
      <c r="D263" s="127" t="n"/>
      <c r="E263" s="106" t="n"/>
      <c r="F263" s="107" t="n"/>
      <c r="G263" s="106" t="n"/>
      <c r="H263" s="107" t="n"/>
    </row>
    <row r="264">
      <c r="A264" s="106" t="n"/>
      <c r="B264" s="107" t="n"/>
      <c r="C264" s="107" t="n"/>
      <c r="D264" s="127" t="n"/>
      <c r="E264" s="106" t="n"/>
      <c r="F264" s="107" t="n"/>
      <c r="G264" s="106" t="n"/>
      <c r="H264" s="107" t="n"/>
    </row>
    <row r="265">
      <c r="A265" s="106" t="n"/>
      <c r="B265" s="107" t="n"/>
      <c r="C265" s="107" t="n"/>
      <c r="D265" s="127" t="n"/>
      <c r="E265" s="106" t="n"/>
      <c r="F265" s="107" t="n"/>
      <c r="G265" s="106" t="n"/>
      <c r="H265" s="107" t="n"/>
    </row>
    <row r="266">
      <c r="A266" s="106" t="n"/>
      <c r="B266" s="107" t="n"/>
      <c r="C266" s="107" t="n"/>
      <c r="D266" s="127" t="n"/>
      <c r="E266" s="106" t="n"/>
      <c r="F266" s="107" t="n"/>
      <c r="G266" s="106" t="n"/>
      <c r="H266" s="107" t="n"/>
    </row>
    <row r="267">
      <c r="A267" s="106" t="n"/>
      <c r="B267" s="107" t="n"/>
      <c r="C267" s="107" t="n"/>
      <c r="D267" s="127" t="n"/>
      <c r="E267" s="106" t="n"/>
      <c r="F267" s="107" t="n"/>
      <c r="G267" s="106" t="n"/>
      <c r="H267" s="107" t="n"/>
    </row>
    <row r="268">
      <c r="A268" s="106" t="n"/>
      <c r="B268" s="107" t="n"/>
      <c r="C268" s="107" t="n"/>
      <c r="D268" s="127" t="n"/>
      <c r="E268" s="106" t="n"/>
      <c r="F268" s="107" t="n"/>
      <c r="G268" s="106" t="n"/>
      <c r="H268" s="107" t="n"/>
    </row>
    <row r="269">
      <c r="A269" s="106" t="n"/>
      <c r="B269" s="107" t="n"/>
      <c r="C269" s="107" t="n"/>
      <c r="D269" s="127" t="n"/>
      <c r="E269" s="106" t="n"/>
      <c r="F269" s="107" t="n"/>
      <c r="G269" s="106" t="n"/>
      <c r="H269" s="107" t="n"/>
    </row>
    <row r="270">
      <c r="A270" s="106" t="n"/>
      <c r="B270" s="107" t="n"/>
      <c r="C270" s="107" t="n"/>
      <c r="D270" s="127" t="n"/>
      <c r="E270" s="106" t="n"/>
      <c r="F270" s="107" t="n"/>
      <c r="G270" s="106" t="n"/>
      <c r="H270" s="107" t="n"/>
    </row>
    <row r="271">
      <c r="A271" s="106" t="n"/>
      <c r="B271" s="107" t="n"/>
      <c r="C271" s="107" t="n"/>
      <c r="D271" s="127" t="n"/>
      <c r="E271" s="106" t="n"/>
      <c r="F271" s="107" t="n"/>
      <c r="G271" s="106" t="n"/>
      <c r="H271" s="107" t="n"/>
    </row>
    <row r="272">
      <c r="A272" s="106" t="n"/>
      <c r="B272" s="107" t="n"/>
      <c r="C272" s="107" t="n"/>
      <c r="D272" s="127" t="n"/>
      <c r="E272" s="106" t="n"/>
      <c r="F272" s="107" t="n"/>
      <c r="G272" s="106" t="n"/>
      <c r="H272" s="107" t="n"/>
    </row>
    <row r="273">
      <c r="A273" s="106" t="n"/>
      <c r="B273" s="107" t="n"/>
      <c r="C273" s="107" t="n"/>
      <c r="D273" s="127" t="n"/>
      <c r="E273" s="106" t="n"/>
      <c r="F273" s="107" t="n"/>
      <c r="G273" s="106" t="n"/>
      <c r="H273" s="107" t="n"/>
    </row>
    <row r="274">
      <c r="A274" s="106" t="n"/>
      <c r="B274" s="107" t="n"/>
      <c r="C274" s="107" t="n"/>
      <c r="D274" s="127" t="n"/>
      <c r="E274" s="106" t="n"/>
      <c r="F274" s="107" t="n"/>
      <c r="G274" s="106" t="n"/>
      <c r="H274" s="107" t="n"/>
    </row>
    <row r="275">
      <c r="A275" s="106" t="n"/>
      <c r="B275" s="107" t="n"/>
      <c r="C275" s="107" t="n"/>
      <c r="D275" s="127" t="n"/>
      <c r="E275" s="106" t="n"/>
      <c r="F275" s="107" t="n"/>
      <c r="G275" s="106" t="n"/>
      <c r="H275" s="107" t="n"/>
    </row>
    <row r="276">
      <c r="A276" s="106" t="n"/>
      <c r="B276" s="107" t="n"/>
      <c r="C276" s="107" t="n"/>
      <c r="D276" s="127" t="n"/>
      <c r="E276" s="106" t="n"/>
      <c r="F276" s="107" t="n"/>
      <c r="G276" s="106" t="n"/>
      <c r="H276" s="107" t="n"/>
    </row>
    <row r="277">
      <c r="A277" s="106" t="n"/>
      <c r="B277" s="107" t="n"/>
      <c r="C277" s="107" t="n"/>
      <c r="D277" s="127" t="n"/>
      <c r="E277" s="106" t="n"/>
      <c r="F277" s="107" t="n"/>
      <c r="G277" s="106" t="n"/>
      <c r="H277" s="107" t="n"/>
    </row>
    <row r="278">
      <c r="A278" s="106" t="n"/>
      <c r="B278" s="107" t="n"/>
      <c r="C278" s="107" t="n"/>
      <c r="D278" s="127" t="n"/>
      <c r="E278" s="106" t="n"/>
      <c r="F278" s="107" t="n"/>
      <c r="G278" s="106" t="n"/>
      <c r="H278" s="107" t="n"/>
    </row>
    <row r="279">
      <c r="A279" s="106" t="n"/>
      <c r="B279" s="107" t="n"/>
      <c r="C279" s="107" t="n"/>
      <c r="D279" s="127" t="n"/>
      <c r="E279" s="106" t="n"/>
      <c r="F279" s="107" t="n"/>
      <c r="G279" s="106" t="n"/>
      <c r="H279" s="107" t="n"/>
    </row>
    <row r="280">
      <c r="A280" s="106" t="n"/>
      <c r="B280" s="107" t="n"/>
      <c r="C280" s="107" t="n"/>
      <c r="D280" s="127" t="n"/>
      <c r="E280" s="106" t="n"/>
      <c r="F280" s="107" t="n"/>
      <c r="G280" s="106" t="n"/>
      <c r="H280" s="107" t="n"/>
    </row>
    <row r="281">
      <c r="A281" s="106" t="n"/>
      <c r="B281" s="107" t="n"/>
      <c r="C281" s="107" t="n"/>
      <c r="D281" s="127" t="n"/>
      <c r="E281" s="106" t="n"/>
      <c r="F281" s="107" t="n"/>
      <c r="G281" s="106" t="n"/>
      <c r="H281" s="107" t="n"/>
    </row>
    <row r="282">
      <c r="A282" s="106" t="n"/>
      <c r="B282" s="107" t="n"/>
      <c r="C282" s="107" t="n"/>
      <c r="D282" s="127" t="n"/>
      <c r="E282" s="106" t="n"/>
      <c r="F282" s="107" t="n"/>
      <c r="G282" s="106" t="n"/>
      <c r="H282" s="107" t="n"/>
    </row>
    <row r="283">
      <c r="A283" s="106" t="n"/>
      <c r="B283" s="107" t="n"/>
      <c r="C283" s="107" t="n"/>
      <c r="D283" s="127" t="n"/>
      <c r="E283" s="106" t="n"/>
      <c r="F283" s="107" t="n"/>
      <c r="G283" s="106" t="n"/>
      <c r="H283" s="107" t="n"/>
    </row>
    <row r="284">
      <c r="A284" s="106" t="n"/>
      <c r="B284" s="107" t="n"/>
      <c r="C284" s="107" t="n"/>
      <c r="D284" s="127" t="n"/>
      <c r="E284" s="106" t="n"/>
      <c r="F284" s="107" t="n"/>
      <c r="G284" s="106" t="n"/>
      <c r="H284" s="107" t="n"/>
    </row>
    <row r="285">
      <c r="A285" s="106" t="n"/>
      <c r="B285" s="107" t="n"/>
      <c r="C285" s="107" t="n"/>
      <c r="D285" s="127" t="n"/>
      <c r="E285" s="106" t="n"/>
      <c r="F285" s="107" t="n"/>
      <c r="G285" s="106" t="n"/>
      <c r="H285" s="107" t="n"/>
    </row>
    <row r="286">
      <c r="A286" s="106" t="n"/>
      <c r="B286" s="107" t="n"/>
      <c r="C286" s="107" t="n"/>
      <c r="D286" s="127" t="n"/>
      <c r="E286" s="106" t="n"/>
      <c r="F286" s="107" t="n"/>
      <c r="G286" s="106" t="n"/>
      <c r="H286" s="107" t="n"/>
    </row>
    <row r="287">
      <c r="A287" s="106" t="n"/>
      <c r="B287" s="107" t="n"/>
      <c r="C287" s="107" t="n"/>
      <c r="D287" s="127" t="n"/>
      <c r="E287" s="106" t="n"/>
      <c r="F287" s="107" t="n"/>
      <c r="G287" s="106" t="n"/>
      <c r="H287" s="107" t="n"/>
    </row>
    <row r="288">
      <c r="A288" s="106" t="n"/>
      <c r="B288" s="107" t="n"/>
      <c r="C288" s="107" t="n"/>
      <c r="D288" s="127" t="n"/>
      <c r="E288" s="106" t="n"/>
      <c r="F288" s="107" t="n"/>
      <c r="G288" s="106" t="n"/>
      <c r="H288" s="107" t="n"/>
    </row>
    <row r="289">
      <c r="A289" s="106" t="n"/>
      <c r="B289" s="107" t="n"/>
      <c r="C289" s="107" t="n"/>
      <c r="D289" s="127" t="n"/>
      <c r="E289" s="106" t="n"/>
      <c r="F289" s="107" t="n"/>
      <c r="G289" s="106" t="n"/>
      <c r="H289" s="107" t="n"/>
    </row>
    <row r="290">
      <c r="A290" s="106" t="n"/>
      <c r="B290" s="107" t="n"/>
      <c r="C290" s="107" t="n"/>
      <c r="D290" s="127" t="n"/>
      <c r="E290" s="106" t="n"/>
      <c r="F290" s="107" t="n"/>
      <c r="G290" s="106" t="n"/>
      <c r="H290" s="107" t="n"/>
    </row>
    <row r="291">
      <c r="A291" s="106" t="n"/>
      <c r="B291" s="107" t="n"/>
      <c r="C291" s="107" t="n"/>
      <c r="D291" s="127" t="n"/>
      <c r="E291" s="106" t="n"/>
      <c r="F291" s="107" t="n"/>
      <c r="G291" s="106" t="n"/>
      <c r="H291" s="107" t="n"/>
    </row>
    <row r="292">
      <c r="A292" s="106" t="n"/>
      <c r="B292" s="107" t="n"/>
      <c r="C292" s="107" t="n"/>
      <c r="D292" s="127" t="n"/>
      <c r="E292" s="106" t="n"/>
      <c r="F292" s="107" t="n"/>
      <c r="G292" s="106" t="n"/>
      <c r="H292" s="107" t="n"/>
    </row>
    <row r="293">
      <c r="A293" s="106" t="n"/>
      <c r="B293" s="107" t="n"/>
      <c r="C293" s="107" t="n"/>
      <c r="D293" s="127" t="n"/>
      <c r="E293" s="106" t="n"/>
      <c r="F293" s="107" t="n"/>
      <c r="G293" s="106" t="n"/>
      <c r="H293" s="107" t="n"/>
    </row>
    <row r="294">
      <c r="A294" s="106" t="n"/>
      <c r="B294" s="107" t="n"/>
      <c r="C294" s="107" t="n"/>
      <c r="D294" s="127" t="n"/>
      <c r="E294" s="106" t="n"/>
      <c r="F294" s="107" t="n"/>
      <c r="G294" s="106" t="n"/>
      <c r="H294" s="107" t="n"/>
    </row>
    <row r="295">
      <c r="A295" s="106" t="n"/>
      <c r="B295" s="107" t="n"/>
      <c r="C295" s="107" t="n"/>
      <c r="D295" s="127" t="n"/>
      <c r="E295" s="106" t="n"/>
      <c r="F295" s="107" t="n"/>
      <c r="G295" s="106" t="n"/>
      <c r="H295" s="107" t="n"/>
    </row>
    <row r="296">
      <c r="A296" s="106" t="n"/>
      <c r="B296" s="107" t="n"/>
      <c r="C296" s="107" t="n"/>
      <c r="D296" s="127" t="n"/>
      <c r="E296" s="106" t="n"/>
      <c r="F296" s="107" t="n"/>
      <c r="G296" s="106" t="n"/>
      <c r="H296" s="107" t="n"/>
    </row>
    <row r="297">
      <c r="A297" s="106" t="n"/>
      <c r="B297" s="107" t="n"/>
      <c r="C297" s="107" t="n"/>
      <c r="D297" s="127" t="n"/>
      <c r="E297" s="106" t="n"/>
      <c r="F297" s="107" t="n"/>
      <c r="G297" s="106" t="n"/>
      <c r="H297" s="107" t="n"/>
    </row>
    <row r="298">
      <c r="A298" s="106" t="n"/>
      <c r="B298" s="107" t="n"/>
      <c r="C298" s="107" t="n"/>
      <c r="D298" s="127" t="n"/>
      <c r="E298" s="106" t="n"/>
      <c r="F298" s="107" t="n"/>
      <c r="G298" s="106" t="n"/>
      <c r="H298" s="107" t="n"/>
    </row>
    <row r="299">
      <c r="A299" s="106" t="n"/>
      <c r="B299" s="107" t="n"/>
      <c r="C299" s="107" t="n"/>
      <c r="D299" s="127" t="n"/>
      <c r="E299" s="106" t="n"/>
      <c r="F299" s="107" t="n"/>
      <c r="G299" s="106" t="n"/>
      <c r="H299" s="107" t="n"/>
    </row>
    <row r="300">
      <c r="A300" s="106" t="n"/>
      <c r="B300" s="107" t="n"/>
      <c r="C300" s="107" t="n"/>
      <c r="D300" s="127" t="n"/>
      <c r="E300" s="106" t="n"/>
      <c r="F300" s="107" t="n"/>
      <c r="G300" s="106" t="n"/>
      <c r="H300" s="107" t="n"/>
    </row>
    <row r="301">
      <c r="A301" s="106" t="n"/>
      <c r="B301" s="107" t="n"/>
      <c r="C301" s="107" t="n"/>
      <c r="D301" s="127" t="n"/>
      <c r="E301" s="106" t="n"/>
      <c r="F301" s="107" t="n"/>
      <c r="G301" s="106" t="n"/>
      <c r="H301" s="107" t="n"/>
    </row>
    <row r="302">
      <c r="A302" s="106" t="n"/>
      <c r="B302" s="107" t="n"/>
      <c r="C302" s="107" t="n"/>
      <c r="D302" s="127" t="n"/>
      <c r="E302" s="106" t="n"/>
      <c r="F302" s="107" t="n"/>
      <c r="G302" s="106" t="n"/>
      <c r="H302" s="107" t="n"/>
    </row>
    <row r="303">
      <c r="A303" s="106" t="n"/>
      <c r="B303" s="107" t="n"/>
      <c r="C303" s="107" t="n"/>
      <c r="D303" s="127" t="n"/>
      <c r="E303" s="106" t="n"/>
      <c r="F303" s="107" t="n"/>
      <c r="G303" s="106" t="n"/>
      <c r="H303" s="107" t="n"/>
    </row>
    <row r="304">
      <c r="A304" s="106" t="n"/>
      <c r="B304" s="107" t="n"/>
      <c r="C304" s="107" t="n"/>
      <c r="D304" s="127" t="n"/>
      <c r="E304" s="106" t="n"/>
      <c r="F304" s="107" t="n"/>
      <c r="G304" s="106" t="n"/>
      <c r="H304" s="107" t="n"/>
    </row>
    <row r="305">
      <c r="A305" s="106" t="n"/>
      <c r="B305" s="107" t="n"/>
      <c r="C305" s="107" t="n"/>
      <c r="D305" s="127" t="n"/>
      <c r="E305" s="106" t="n"/>
      <c r="F305" s="107" t="n"/>
      <c r="G305" s="106" t="n"/>
      <c r="H305" s="107" t="n"/>
    </row>
    <row r="306">
      <c r="A306" s="106" t="n"/>
      <c r="B306" s="107" t="n"/>
      <c r="C306" s="107" t="n"/>
      <c r="D306" s="127" t="n"/>
      <c r="E306" s="106" t="n"/>
      <c r="F306" s="107" t="n"/>
      <c r="G306" s="106" t="n"/>
      <c r="H306" s="107" t="n"/>
    </row>
    <row r="307">
      <c r="A307" s="106" t="n"/>
      <c r="B307" s="107" t="n"/>
      <c r="C307" s="107" t="n"/>
      <c r="D307" s="127" t="n"/>
      <c r="E307" s="106" t="n"/>
      <c r="F307" s="107" t="n"/>
      <c r="G307" s="106" t="n"/>
      <c r="H307" s="107" t="n"/>
    </row>
    <row r="308">
      <c r="A308" s="106" t="n"/>
      <c r="B308" s="107" t="n"/>
      <c r="C308" s="107" t="n"/>
      <c r="D308" s="127" t="n"/>
      <c r="E308" s="106" t="n"/>
      <c r="F308" s="107" t="n"/>
      <c r="G308" s="106" t="n"/>
      <c r="H308" s="107" t="n"/>
    </row>
    <row r="309">
      <c r="A309" s="106" t="n"/>
      <c r="B309" s="107" t="n"/>
      <c r="C309" s="107" t="n"/>
      <c r="D309" s="127" t="n"/>
      <c r="E309" s="106" t="n"/>
      <c r="F309" s="107" t="n"/>
      <c r="G309" s="106" t="n"/>
      <c r="H309" s="107" t="n"/>
    </row>
    <row r="310">
      <c r="A310" s="106" t="n"/>
      <c r="B310" s="107" t="n"/>
      <c r="C310" s="107" t="n"/>
      <c r="D310" s="127" t="n"/>
      <c r="E310" s="106" t="n"/>
      <c r="F310" s="107" t="n"/>
      <c r="G310" s="106" t="n"/>
      <c r="H310" s="107" t="n"/>
    </row>
    <row r="311">
      <c r="A311" s="106" t="n"/>
      <c r="B311" s="107" t="n"/>
      <c r="C311" s="107" t="n"/>
      <c r="D311" s="127" t="n"/>
      <c r="E311" s="106" t="n"/>
      <c r="F311" s="107" t="n"/>
      <c r="G311" s="106" t="n"/>
      <c r="H311" s="107" t="n"/>
    </row>
    <row r="312">
      <c r="A312" s="106" t="n"/>
      <c r="B312" s="107" t="n"/>
      <c r="C312" s="107" t="n"/>
      <c r="D312" s="127" t="n"/>
      <c r="E312" s="106" t="n"/>
      <c r="F312" s="107" t="n"/>
      <c r="G312" s="106" t="n"/>
      <c r="H312" s="107" t="n"/>
    </row>
    <row r="313">
      <c r="A313" s="106" t="n"/>
      <c r="B313" s="107" t="n"/>
      <c r="C313" s="107" t="n"/>
      <c r="D313" s="127" t="n"/>
      <c r="E313" s="106" t="n"/>
      <c r="F313" s="107" t="n"/>
      <c r="G313" s="106" t="n"/>
      <c r="H313" s="107" t="n"/>
    </row>
    <row r="314">
      <c r="A314" s="106" t="n"/>
      <c r="B314" s="107" t="n"/>
      <c r="C314" s="107" t="n"/>
      <c r="D314" s="127" t="n"/>
      <c r="E314" s="106" t="n"/>
      <c r="F314" s="107" t="n"/>
      <c r="G314" s="106" t="n"/>
      <c r="H314" s="107" t="n"/>
    </row>
    <row r="315">
      <c r="A315" s="106" t="n"/>
      <c r="B315" s="107" t="n"/>
      <c r="C315" s="107" t="n"/>
      <c r="D315" s="127" t="n"/>
      <c r="E315" s="106" t="n"/>
      <c r="F315" s="107" t="n"/>
      <c r="G315" s="106" t="n"/>
      <c r="H315" s="107" t="n"/>
    </row>
    <row r="316">
      <c r="A316" s="106" t="n"/>
      <c r="B316" s="107" t="n"/>
      <c r="C316" s="107" t="n"/>
      <c r="D316" s="127" t="n"/>
      <c r="E316" s="106" t="n"/>
      <c r="F316" s="107" t="n"/>
      <c r="G316" s="106" t="n"/>
      <c r="H316" s="107" t="n"/>
    </row>
    <row r="317">
      <c r="A317" s="106" t="n"/>
      <c r="B317" s="107" t="n"/>
      <c r="C317" s="107" t="n"/>
      <c r="D317" s="127" t="n"/>
      <c r="E317" s="106" t="n"/>
      <c r="F317" s="107" t="n"/>
      <c r="G317" s="106" t="n"/>
      <c r="H317" s="107" t="n"/>
    </row>
    <row r="318">
      <c r="A318" s="106" t="n"/>
      <c r="B318" s="107" t="n"/>
      <c r="C318" s="107" t="n"/>
      <c r="D318" s="127" t="n"/>
      <c r="E318" s="106" t="n"/>
      <c r="F318" s="107" t="n"/>
      <c r="G318" s="106" t="n"/>
      <c r="H318" s="107" t="n"/>
    </row>
    <row r="319">
      <c r="A319" s="106" t="n"/>
      <c r="B319" s="107" t="n"/>
      <c r="C319" s="107" t="n"/>
      <c r="D319" s="127" t="n"/>
      <c r="E319" s="106" t="n"/>
      <c r="F319" s="107" t="n"/>
      <c r="G319" s="106" t="n"/>
      <c r="H319" s="107" t="n"/>
    </row>
    <row r="320">
      <c r="A320" s="106" t="n"/>
      <c r="B320" s="107" t="n"/>
      <c r="C320" s="107" t="n"/>
      <c r="D320" s="127" t="n"/>
      <c r="E320" s="106" t="n"/>
      <c r="F320" s="107" t="n"/>
      <c r="G320" s="106" t="n"/>
      <c r="H320" s="107" t="n"/>
    </row>
    <row r="321">
      <c r="A321" s="106" t="n"/>
      <c r="B321" s="107" t="n"/>
      <c r="C321" s="107" t="n"/>
      <c r="D321" s="127" t="n"/>
      <c r="E321" s="106" t="n"/>
      <c r="F321" s="107" t="n"/>
      <c r="G321" s="106" t="n"/>
      <c r="H321" s="107" t="n"/>
    </row>
    <row r="322">
      <c r="A322" s="106" t="n"/>
      <c r="B322" s="107" t="n"/>
      <c r="C322" s="107" t="n"/>
      <c r="D322" s="127" t="n"/>
      <c r="E322" s="106" t="n"/>
      <c r="F322" s="107" t="n"/>
      <c r="G322" s="106" t="n"/>
      <c r="H322" s="107" t="n"/>
    </row>
    <row r="323">
      <c r="A323" s="106" t="n"/>
      <c r="B323" s="107" t="n"/>
      <c r="C323" s="107" t="n"/>
      <c r="D323" s="127" t="n"/>
      <c r="E323" s="106" t="n"/>
      <c r="F323" s="107" t="n"/>
      <c r="G323" s="106" t="n"/>
      <c r="H323" s="107" t="n"/>
    </row>
    <row r="324">
      <c r="A324" s="106" t="n"/>
      <c r="B324" s="107" t="n"/>
      <c r="C324" s="107" t="n"/>
      <c r="D324" s="127" t="n"/>
      <c r="E324" s="106" t="n"/>
      <c r="F324" s="107" t="n"/>
      <c r="G324" s="106" t="n"/>
      <c r="H324" s="107" t="n"/>
    </row>
    <row r="325">
      <c r="A325" s="106" t="n"/>
      <c r="B325" s="107" t="n"/>
      <c r="C325" s="107" t="n"/>
      <c r="D325" s="127" t="n"/>
      <c r="E325" s="106" t="n"/>
      <c r="F325" s="107" t="n"/>
      <c r="G325" s="106" t="n"/>
      <c r="H325" s="107" t="n"/>
    </row>
    <row r="326">
      <c r="A326" s="106" t="n"/>
      <c r="B326" s="107" t="n"/>
      <c r="C326" s="107" t="n"/>
      <c r="D326" s="127" t="n"/>
      <c r="E326" s="106" t="n"/>
      <c r="F326" s="107" t="n"/>
      <c r="G326" s="106" t="n"/>
      <c r="H326" s="107" t="n"/>
    </row>
    <row r="327">
      <c r="A327" s="106" t="n"/>
      <c r="B327" s="107" t="n"/>
      <c r="C327" s="107" t="n"/>
      <c r="D327" s="127" t="n"/>
      <c r="E327" s="106" t="n"/>
      <c r="F327" s="107" t="n"/>
      <c r="G327" s="106" t="n"/>
      <c r="H327" s="107" t="n"/>
    </row>
    <row r="328">
      <c r="A328" s="106" t="n"/>
      <c r="B328" s="107" t="n"/>
      <c r="C328" s="107" t="n"/>
      <c r="D328" s="127" t="n"/>
      <c r="E328" s="106" t="n"/>
      <c r="F328" s="107" t="n"/>
      <c r="G328" s="106" t="n"/>
      <c r="H328" s="107" t="n"/>
    </row>
    <row r="329">
      <c r="A329" s="106" t="n"/>
      <c r="B329" s="107" t="n"/>
      <c r="C329" s="107" t="n"/>
      <c r="D329" s="127" t="n"/>
      <c r="E329" s="106" t="n"/>
      <c r="F329" s="107" t="n"/>
      <c r="G329" s="106" t="n"/>
      <c r="H329" s="107" t="n"/>
    </row>
    <row r="330">
      <c r="A330" s="106" t="n"/>
      <c r="B330" s="107" t="n"/>
      <c r="C330" s="107" t="n"/>
      <c r="D330" s="127" t="n"/>
      <c r="E330" s="106" t="n"/>
      <c r="F330" s="107" t="n"/>
      <c r="G330" s="106" t="n"/>
      <c r="H330" s="107" t="n"/>
    </row>
    <row r="331">
      <c r="A331" s="106" t="n"/>
      <c r="B331" s="107" t="n"/>
      <c r="C331" s="107" t="n"/>
      <c r="D331" s="127" t="n"/>
      <c r="E331" s="106" t="n"/>
      <c r="F331" s="107" t="n"/>
      <c r="G331" s="106" t="n"/>
      <c r="H331" s="107" t="n"/>
    </row>
    <row r="332">
      <c r="A332" s="106" t="n"/>
      <c r="B332" s="107" t="n"/>
      <c r="C332" s="107" t="n"/>
      <c r="D332" s="127" t="n"/>
      <c r="E332" s="106" t="n"/>
      <c r="F332" s="107" t="n"/>
      <c r="G332" s="106" t="n"/>
      <c r="H332" s="107" t="n"/>
    </row>
    <row r="333">
      <c r="A333" s="106" t="n"/>
      <c r="B333" s="107" t="n"/>
      <c r="C333" s="107" t="n"/>
      <c r="D333" s="127" t="n"/>
      <c r="E333" s="106" t="n"/>
      <c r="F333" s="107" t="n"/>
      <c r="G333" s="106" t="n"/>
      <c r="H333" s="107" t="n"/>
    </row>
    <row r="334">
      <c r="A334" s="106" t="n"/>
      <c r="B334" s="107" t="n"/>
      <c r="C334" s="107" t="n"/>
      <c r="D334" s="127" t="n"/>
      <c r="E334" s="106" t="n"/>
      <c r="F334" s="107" t="n"/>
      <c r="G334" s="106" t="n"/>
      <c r="H334" s="107" t="n"/>
    </row>
    <row r="335">
      <c r="A335" s="106" t="n"/>
      <c r="B335" s="107" t="n"/>
      <c r="C335" s="107" t="n"/>
      <c r="D335" s="127" t="n"/>
      <c r="E335" s="106" t="n"/>
      <c r="F335" s="107" t="n"/>
      <c r="G335" s="106" t="n"/>
      <c r="H335" s="107" t="n"/>
    </row>
    <row r="336">
      <c r="A336" s="106" t="n"/>
      <c r="B336" s="107" t="n"/>
      <c r="C336" s="107" t="n"/>
      <c r="D336" s="127" t="n"/>
      <c r="E336" s="106" t="n"/>
      <c r="F336" s="107" t="n"/>
      <c r="G336" s="106" t="n"/>
      <c r="H336" s="107" t="n"/>
    </row>
    <row r="337">
      <c r="A337" s="106" t="n"/>
      <c r="B337" s="107" t="n"/>
      <c r="C337" s="107" t="n"/>
      <c r="D337" s="127" t="n"/>
      <c r="E337" s="106" t="n"/>
      <c r="F337" s="107" t="n"/>
      <c r="G337" s="106" t="n"/>
      <c r="H337" s="107" t="n"/>
    </row>
    <row r="338">
      <c r="A338" s="106" t="n"/>
      <c r="B338" s="107" t="n"/>
      <c r="C338" s="107" t="n"/>
      <c r="D338" s="127" t="n"/>
      <c r="E338" s="106" t="n"/>
      <c r="F338" s="107" t="n"/>
      <c r="G338" s="106" t="n"/>
      <c r="H338" s="107" t="n"/>
    </row>
    <row r="339">
      <c r="A339" s="106" t="n"/>
      <c r="B339" s="107" t="n"/>
      <c r="C339" s="107" t="n"/>
      <c r="D339" s="127" t="n"/>
      <c r="E339" s="106" t="n"/>
      <c r="F339" s="107" t="n"/>
      <c r="G339" s="106" t="n"/>
      <c r="H339" s="107" t="n"/>
    </row>
    <row r="340">
      <c r="A340" s="106" t="n"/>
      <c r="B340" s="107" t="n"/>
      <c r="C340" s="107" t="n"/>
      <c r="D340" s="127" t="n"/>
      <c r="E340" s="106" t="n"/>
      <c r="F340" s="107" t="n"/>
      <c r="G340" s="106" t="n"/>
      <c r="H340" s="107" t="n"/>
    </row>
    <row r="341">
      <c r="A341" s="106" t="n"/>
      <c r="B341" s="107" t="n"/>
      <c r="C341" s="107" t="n"/>
      <c r="D341" s="127" t="n"/>
      <c r="E341" s="106" t="n"/>
      <c r="F341" s="107" t="n"/>
      <c r="G341" s="106" t="n"/>
      <c r="H341" s="107" t="n"/>
    </row>
    <row r="342">
      <c r="A342" s="106" t="n"/>
      <c r="B342" s="107" t="n"/>
      <c r="C342" s="107" t="n"/>
      <c r="D342" s="127" t="n"/>
      <c r="E342" s="106" t="n"/>
      <c r="F342" s="107" t="n"/>
      <c r="G342" s="106" t="n"/>
      <c r="H342" s="107" t="n"/>
    </row>
    <row r="343">
      <c r="A343" s="106" t="n"/>
      <c r="B343" s="107" t="n"/>
      <c r="C343" s="107" t="n"/>
      <c r="D343" s="127" t="n"/>
      <c r="E343" s="106" t="n"/>
      <c r="F343" s="107" t="n"/>
      <c r="G343" s="106" t="n"/>
      <c r="H343" s="107" t="n"/>
    </row>
    <row r="344">
      <c r="A344" s="106" t="n"/>
      <c r="B344" s="107" t="n"/>
      <c r="C344" s="107" t="n"/>
      <c r="D344" s="127" t="n"/>
      <c r="E344" s="106" t="n"/>
      <c r="F344" s="107" t="n"/>
      <c r="G344" s="106" t="n"/>
      <c r="H344" s="107" t="n"/>
    </row>
    <row r="345">
      <c r="A345" s="106" t="n"/>
      <c r="B345" s="107" t="n"/>
      <c r="C345" s="107" t="n"/>
      <c r="D345" s="127" t="n"/>
      <c r="E345" s="106" t="n"/>
      <c r="F345" s="107" t="n"/>
      <c r="G345" s="106" t="n"/>
      <c r="H345" s="107" t="n"/>
    </row>
    <row r="346">
      <c r="A346" s="106" t="n"/>
      <c r="B346" s="107" t="n"/>
      <c r="C346" s="107" t="n"/>
      <c r="D346" s="127" t="n"/>
      <c r="E346" s="106" t="n"/>
      <c r="F346" s="107" t="n"/>
      <c r="G346" s="106" t="n"/>
      <c r="H346" s="107" t="n"/>
    </row>
    <row r="347">
      <c r="A347" s="106" t="n"/>
      <c r="B347" s="107" t="n"/>
      <c r="C347" s="107" t="n"/>
      <c r="D347" s="127" t="n"/>
      <c r="E347" s="106" t="n"/>
      <c r="F347" s="107" t="n"/>
      <c r="G347" s="106" t="n"/>
      <c r="H347" s="107" t="n"/>
    </row>
    <row r="348">
      <c r="A348" s="106" t="n"/>
      <c r="B348" s="107" t="n"/>
      <c r="C348" s="107" t="n"/>
      <c r="D348" s="127" t="n"/>
      <c r="E348" s="106" t="n"/>
      <c r="F348" s="107" t="n"/>
      <c r="G348" s="106" t="n"/>
      <c r="H348" s="107" t="n"/>
    </row>
    <row r="349">
      <c r="A349" s="106" t="n"/>
      <c r="B349" s="107" t="n"/>
      <c r="C349" s="107" t="n"/>
      <c r="D349" s="127" t="n"/>
      <c r="E349" s="106" t="n"/>
      <c r="F349" s="107" t="n"/>
      <c r="G349" s="106" t="n"/>
      <c r="H349" s="107" t="n"/>
    </row>
    <row r="350">
      <c r="A350" s="106" t="n"/>
      <c r="B350" s="107" t="n"/>
      <c r="C350" s="107" t="n"/>
      <c r="D350" s="127" t="n"/>
      <c r="E350" s="106" t="n"/>
      <c r="F350" s="107" t="n"/>
      <c r="G350" s="106" t="n"/>
      <c r="H350" s="107" t="n"/>
    </row>
    <row r="351">
      <c r="A351" s="106" t="n"/>
      <c r="B351" s="107" t="n"/>
      <c r="C351" s="107" t="n"/>
      <c r="D351" s="127" t="n"/>
      <c r="E351" s="106" t="n"/>
      <c r="F351" s="107" t="n"/>
      <c r="G351" s="106" t="n"/>
      <c r="H351" s="107" t="n"/>
    </row>
    <row r="352">
      <c r="A352" s="106" t="n"/>
      <c r="B352" s="107" t="n"/>
      <c r="C352" s="107" t="n"/>
      <c r="D352" s="127" t="n"/>
      <c r="E352" s="106" t="n"/>
      <c r="F352" s="107" t="n"/>
      <c r="G352" s="106" t="n"/>
      <c r="H352" s="107" t="n"/>
    </row>
    <row r="353">
      <c r="A353" s="106" t="n"/>
      <c r="B353" s="107" t="n"/>
      <c r="C353" s="107" t="n"/>
      <c r="D353" s="127" t="n"/>
      <c r="E353" s="106" t="n"/>
      <c r="F353" s="107" t="n"/>
      <c r="G353" s="106" t="n"/>
      <c r="H353" s="107" t="n"/>
    </row>
    <row r="354">
      <c r="A354" s="106" t="n"/>
      <c r="B354" s="107" t="n"/>
      <c r="C354" s="107" t="n"/>
      <c r="D354" s="127" t="n"/>
      <c r="E354" s="106" t="n"/>
      <c r="F354" s="107" t="n"/>
      <c r="G354" s="106" t="n"/>
      <c r="H354" s="107" t="n"/>
    </row>
    <row r="355">
      <c r="A355" s="106" t="n"/>
      <c r="B355" s="107" t="n"/>
      <c r="C355" s="107" t="n"/>
      <c r="D355" s="127" t="n"/>
      <c r="E355" s="106" t="n"/>
      <c r="F355" s="107" t="n"/>
      <c r="G355" s="106" t="n"/>
      <c r="H355" s="107" t="n"/>
    </row>
    <row r="356">
      <c r="A356" s="106" t="n"/>
      <c r="B356" s="107" t="n"/>
      <c r="C356" s="107" t="n"/>
      <c r="D356" s="127" t="n"/>
      <c r="E356" s="106" t="n"/>
      <c r="F356" s="107" t="n"/>
      <c r="G356" s="106" t="n"/>
      <c r="H356" s="107" t="n"/>
    </row>
    <row r="357">
      <c r="A357" s="106" t="n"/>
      <c r="B357" s="107" t="n"/>
      <c r="C357" s="107" t="n"/>
      <c r="D357" s="127" t="n"/>
      <c r="E357" s="106" t="n"/>
      <c r="F357" s="107" t="n"/>
      <c r="G357" s="106" t="n"/>
      <c r="H357" s="107" t="n"/>
    </row>
    <row r="358">
      <c r="A358" s="106" t="n"/>
      <c r="B358" s="107" t="n"/>
      <c r="C358" s="107" t="n"/>
      <c r="D358" s="127" t="n"/>
      <c r="E358" s="106" t="n"/>
      <c r="F358" s="107" t="n"/>
      <c r="G358" s="106" t="n"/>
      <c r="H358" s="107" t="n"/>
    </row>
    <row r="359">
      <c r="A359" s="106" t="n"/>
      <c r="B359" s="107" t="n"/>
      <c r="C359" s="107" t="n"/>
      <c r="D359" s="127" t="n"/>
      <c r="E359" s="106" t="n"/>
      <c r="F359" s="107" t="n"/>
      <c r="G359" s="106" t="n"/>
      <c r="H359" s="107" t="n"/>
    </row>
    <row r="360">
      <c r="A360" s="106" t="n"/>
      <c r="B360" s="107" t="n"/>
      <c r="C360" s="107" t="n"/>
      <c r="D360" s="127" t="n"/>
      <c r="E360" s="106" t="n"/>
      <c r="F360" s="107" t="n"/>
      <c r="G360" s="106" t="n"/>
      <c r="H360" s="107" t="n"/>
    </row>
    <row r="361">
      <c r="A361" s="106" t="n"/>
      <c r="B361" s="107" t="n"/>
      <c r="C361" s="107" t="n"/>
      <c r="D361" s="127" t="n"/>
      <c r="E361" s="106" t="n"/>
      <c r="F361" s="107" t="n"/>
      <c r="G361" s="106" t="n"/>
      <c r="H361" s="107" t="n"/>
    </row>
    <row r="362">
      <c r="A362" s="106" t="n"/>
      <c r="B362" s="107" t="n"/>
      <c r="C362" s="107" t="n"/>
      <c r="D362" s="127" t="n"/>
      <c r="E362" s="106" t="n"/>
      <c r="F362" s="107" t="n"/>
      <c r="G362" s="106" t="n"/>
      <c r="H362" s="107" t="n"/>
    </row>
    <row r="363">
      <c r="A363" s="106" t="n"/>
      <c r="B363" s="107" t="n"/>
      <c r="C363" s="107" t="n"/>
      <c r="D363" s="127" t="n"/>
      <c r="E363" s="106" t="n"/>
      <c r="F363" s="107" t="n"/>
      <c r="G363" s="106" t="n"/>
      <c r="H363" s="107" t="n"/>
    </row>
    <row r="364">
      <c r="A364" s="106" t="n"/>
      <c r="B364" s="107" t="n"/>
      <c r="C364" s="107" t="n"/>
      <c r="D364" s="127" t="n"/>
      <c r="E364" s="106" t="n"/>
      <c r="F364" s="107" t="n"/>
      <c r="G364" s="106" t="n"/>
      <c r="H364" s="107" t="n"/>
    </row>
    <row r="365">
      <c r="A365" s="106" t="n"/>
      <c r="B365" s="107" t="n"/>
      <c r="C365" s="107" t="n"/>
      <c r="D365" s="127" t="n"/>
      <c r="E365" s="106" t="n"/>
      <c r="F365" s="107" t="n"/>
      <c r="G365" s="106" t="n"/>
      <c r="H365" s="107" t="n"/>
    </row>
    <row r="366">
      <c r="A366" s="106" t="n"/>
      <c r="B366" s="107" t="n"/>
      <c r="C366" s="107" t="n"/>
      <c r="D366" s="127" t="n"/>
      <c r="E366" s="106" t="n"/>
      <c r="F366" s="107" t="n"/>
      <c r="G366" s="106" t="n"/>
      <c r="H366" s="107" t="n"/>
    </row>
    <row r="367">
      <c r="A367" s="106" t="n"/>
      <c r="B367" s="107" t="n"/>
      <c r="C367" s="107" t="n"/>
      <c r="D367" s="127" t="n"/>
      <c r="E367" s="106" t="n"/>
      <c r="F367" s="107" t="n"/>
      <c r="G367" s="106" t="n"/>
      <c r="H367" s="107" t="n"/>
    </row>
    <row r="368">
      <c r="A368" s="106" t="n"/>
      <c r="B368" s="107" t="n"/>
      <c r="C368" s="107" t="n"/>
      <c r="D368" s="127" t="n"/>
      <c r="E368" s="106" t="n"/>
      <c r="F368" s="107" t="n"/>
      <c r="G368" s="106" t="n"/>
      <c r="H368" s="107" t="n"/>
    </row>
    <row r="369">
      <c r="A369" s="106" t="n"/>
      <c r="B369" s="107" t="n"/>
      <c r="C369" s="107" t="n"/>
      <c r="D369" s="127" t="n"/>
      <c r="E369" s="106" t="n"/>
      <c r="F369" s="107" t="n"/>
      <c r="G369" s="106" t="n"/>
      <c r="H369" s="107" t="n"/>
    </row>
    <row r="370">
      <c r="A370" s="106" t="n"/>
      <c r="B370" s="107" t="n"/>
      <c r="C370" s="107" t="n"/>
      <c r="D370" s="127" t="n"/>
      <c r="E370" s="106" t="n"/>
      <c r="F370" s="107" t="n"/>
      <c r="G370" s="106" t="n"/>
      <c r="H370" s="107" t="n"/>
    </row>
    <row r="371">
      <c r="A371" s="106" t="n"/>
      <c r="B371" s="107" t="n"/>
      <c r="C371" s="107" t="n"/>
      <c r="D371" s="127" t="n"/>
      <c r="E371" s="106" t="n"/>
      <c r="F371" s="107" t="n"/>
      <c r="G371" s="106" t="n"/>
      <c r="H371" s="107" t="n"/>
    </row>
    <row r="372">
      <c r="A372" s="106" t="n"/>
      <c r="B372" s="107" t="n"/>
      <c r="C372" s="107" t="n"/>
      <c r="D372" s="127" t="n"/>
      <c r="E372" s="106" t="n"/>
      <c r="F372" s="107" t="n"/>
      <c r="G372" s="106" t="n"/>
      <c r="H372" s="107" t="n"/>
    </row>
    <row r="373">
      <c r="A373" s="106" t="n"/>
      <c r="B373" s="107" t="n"/>
      <c r="C373" s="107" t="n"/>
      <c r="D373" s="127" t="n"/>
      <c r="E373" s="106" t="n"/>
      <c r="F373" s="107" t="n"/>
      <c r="G373" s="106" t="n"/>
      <c r="H373" s="107" t="n"/>
    </row>
    <row r="374">
      <c r="A374" s="106" t="n"/>
      <c r="B374" s="107" t="n"/>
      <c r="C374" s="107" t="n"/>
      <c r="D374" s="127" t="n"/>
      <c r="E374" s="106" t="n"/>
      <c r="F374" s="107" t="n"/>
      <c r="G374" s="106" t="n"/>
      <c r="H374" s="107" t="n"/>
    </row>
    <row r="375">
      <c r="A375" s="106" t="n"/>
      <c r="B375" s="107" t="n"/>
      <c r="C375" s="107" t="n"/>
      <c r="D375" s="127" t="n"/>
      <c r="E375" s="106" t="n"/>
      <c r="F375" s="107" t="n"/>
      <c r="G375" s="106" t="n"/>
      <c r="H375" s="107" t="n"/>
    </row>
    <row r="376">
      <c r="A376" s="106" t="n"/>
      <c r="B376" s="107" t="n"/>
      <c r="C376" s="107" t="n"/>
      <c r="D376" s="127" t="n"/>
      <c r="E376" s="106" t="n"/>
      <c r="F376" s="107" t="n"/>
      <c r="G376" s="106" t="n"/>
      <c r="H376" s="107" t="n"/>
    </row>
    <row r="377">
      <c r="A377" s="106" t="n"/>
      <c r="B377" s="107" t="n"/>
      <c r="C377" s="107" t="n"/>
      <c r="D377" s="127" t="n"/>
      <c r="E377" s="106" t="n"/>
      <c r="F377" s="107" t="n"/>
      <c r="G377" s="106" t="n"/>
      <c r="H377" s="107" t="n"/>
    </row>
    <row r="378">
      <c r="A378" s="106" t="n"/>
      <c r="B378" s="107" t="n"/>
      <c r="C378" s="107" t="n"/>
      <c r="D378" s="127" t="n"/>
      <c r="E378" s="106" t="n"/>
      <c r="F378" s="107" t="n"/>
      <c r="G378" s="106" t="n"/>
      <c r="H378" s="107" t="n"/>
    </row>
    <row r="379">
      <c r="A379" s="106" t="n"/>
      <c r="B379" s="107" t="n"/>
      <c r="C379" s="107" t="n"/>
      <c r="D379" s="127" t="n"/>
      <c r="E379" s="106" t="n"/>
      <c r="F379" s="107" t="n"/>
      <c r="G379" s="106" t="n"/>
      <c r="H379" s="107" t="n"/>
    </row>
    <row r="380">
      <c r="A380" s="106" t="n"/>
      <c r="B380" s="107" t="n"/>
      <c r="C380" s="107" t="n"/>
      <c r="D380" s="127" t="n"/>
      <c r="E380" s="106" t="n"/>
      <c r="F380" s="107" t="n"/>
      <c r="G380" s="106" t="n"/>
      <c r="H380" s="107" t="n"/>
    </row>
    <row r="381">
      <c r="A381" s="106" t="n"/>
      <c r="B381" s="107" t="n"/>
      <c r="C381" s="107" t="n"/>
      <c r="D381" s="127" t="n"/>
      <c r="E381" s="106" t="n"/>
      <c r="F381" s="107" t="n"/>
      <c r="G381" s="106" t="n"/>
      <c r="H381" s="107" t="n"/>
    </row>
    <row r="382">
      <c r="A382" s="106" t="n"/>
      <c r="B382" s="107" t="n"/>
      <c r="C382" s="107" t="n"/>
      <c r="D382" s="127" t="n"/>
      <c r="E382" s="106" t="n"/>
      <c r="F382" s="107" t="n"/>
      <c r="G382" s="106" t="n"/>
      <c r="H382" s="107" t="n"/>
    </row>
    <row r="383">
      <c r="A383" s="106" t="n"/>
      <c r="B383" s="107" t="n"/>
      <c r="C383" s="107" t="n"/>
      <c r="D383" s="127" t="n"/>
      <c r="E383" s="106" t="n"/>
      <c r="F383" s="107" t="n"/>
      <c r="G383" s="106" t="n"/>
      <c r="H383" s="107" t="n"/>
    </row>
    <row r="384">
      <c r="A384" s="106" t="n"/>
      <c r="B384" s="107" t="n"/>
      <c r="C384" s="107" t="n"/>
      <c r="D384" s="127" t="n"/>
      <c r="E384" s="106" t="n"/>
      <c r="F384" s="107" t="n"/>
      <c r="G384" s="106" t="n"/>
      <c r="H384" s="107" t="n"/>
    </row>
    <row r="385">
      <c r="A385" s="106" t="n"/>
      <c r="B385" s="107" t="n"/>
      <c r="C385" s="107" t="n"/>
      <c r="D385" s="127" t="n"/>
      <c r="E385" s="106" t="n"/>
      <c r="F385" s="107" t="n"/>
      <c r="G385" s="106" t="n"/>
      <c r="H385" s="107" t="n"/>
    </row>
    <row r="386">
      <c r="A386" s="106" t="n"/>
      <c r="B386" s="107" t="n"/>
      <c r="C386" s="107" t="n"/>
      <c r="D386" s="127" t="n"/>
      <c r="E386" s="106" t="n"/>
      <c r="F386" s="107" t="n"/>
      <c r="G386" s="106" t="n"/>
      <c r="H386" s="107" t="n"/>
    </row>
    <row r="387">
      <c r="A387" s="106" t="n"/>
      <c r="B387" s="107" t="n"/>
      <c r="C387" s="107" t="n"/>
      <c r="D387" s="127" t="n"/>
      <c r="E387" s="106" t="n"/>
      <c r="F387" s="107" t="n"/>
      <c r="G387" s="106" t="n"/>
      <c r="H387" s="107" t="n"/>
    </row>
    <row r="388">
      <c r="A388" s="106" t="n"/>
      <c r="B388" s="107" t="n"/>
      <c r="C388" s="107" t="n"/>
      <c r="D388" s="127" t="n"/>
      <c r="E388" s="106" t="n"/>
      <c r="F388" s="107" t="n"/>
      <c r="G388" s="106" t="n"/>
      <c r="H388" s="107" t="n"/>
    </row>
    <row r="389">
      <c r="A389" s="106" t="n"/>
      <c r="B389" s="107" t="n"/>
      <c r="C389" s="107" t="n"/>
      <c r="D389" s="127" t="n"/>
      <c r="E389" s="106" t="n"/>
      <c r="F389" s="107" t="n"/>
      <c r="G389" s="106" t="n"/>
      <c r="H389" s="107" t="n"/>
    </row>
    <row r="390">
      <c r="A390" s="106" t="n"/>
      <c r="B390" s="107" t="n"/>
      <c r="C390" s="107" t="n"/>
      <c r="D390" s="127" t="n"/>
      <c r="E390" s="106" t="n"/>
      <c r="F390" s="107" t="n"/>
      <c r="G390" s="106" t="n"/>
      <c r="H390" s="107" t="n"/>
    </row>
    <row r="391">
      <c r="A391" s="106" t="n"/>
      <c r="B391" s="107" t="n"/>
      <c r="C391" s="107" t="n"/>
      <c r="D391" s="127" t="n"/>
      <c r="E391" s="106" t="n"/>
      <c r="F391" s="107" t="n"/>
      <c r="G391" s="106" t="n"/>
      <c r="H391" s="107" t="n"/>
    </row>
    <row r="392">
      <c r="A392" s="106" t="n"/>
      <c r="B392" s="107" t="n"/>
      <c r="C392" s="107" t="n"/>
      <c r="D392" s="127" t="n"/>
      <c r="E392" s="106" t="n"/>
      <c r="F392" s="107" t="n"/>
      <c r="G392" s="106" t="n"/>
      <c r="H392" s="107" t="n"/>
    </row>
    <row r="393">
      <c r="A393" s="106" t="n"/>
      <c r="B393" s="107" t="n"/>
      <c r="C393" s="107" t="n"/>
      <c r="D393" s="127" t="n"/>
      <c r="E393" s="106" t="n"/>
      <c r="F393" s="107" t="n"/>
      <c r="G393" s="106" t="n"/>
      <c r="H393" s="107" t="n"/>
    </row>
    <row r="394">
      <c r="A394" s="106" t="n"/>
      <c r="B394" s="107" t="n"/>
      <c r="C394" s="107" t="n"/>
      <c r="D394" s="127" t="n"/>
      <c r="E394" s="106" t="n"/>
      <c r="F394" s="107" t="n"/>
      <c r="G394" s="106" t="n"/>
      <c r="H394" s="107" t="n"/>
    </row>
    <row r="395">
      <c r="A395" s="106" t="n"/>
      <c r="B395" s="107" t="n"/>
      <c r="C395" s="107" t="n"/>
      <c r="D395" s="127" t="n"/>
      <c r="E395" s="106" t="n"/>
      <c r="F395" s="107" t="n"/>
      <c r="G395" s="106" t="n"/>
      <c r="H395" s="107" t="n"/>
    </row>
    <row r="396">
      <c r="A396" s="106" t="n"/>
      <c r="B396" s="107" t="n"/>
      <c r="C396" s="107" t="n"/>
      <c r="D396" s="127" t="n"/>
      <c r="E396" s="106" t="n"/>
      <c r="F396" s="107" t="n"/>
      <c r="G396" s="106" t="n"/>
      <c r="H396" s="107" t="n"/>
    </row>
    <row r="397">
      <c r="A397" s="106" t="n"/>
      <c r="B397" s="107" t="n"/>
      <c r="C397" s="107" t="n"/>
      <c r="D397" s="127" t="n"/>
      <c r="E397" s="106" t="n"/>
      <c r="F397" s="107" t="n"/>
      <c r="G397" s="106" t="n"/>
      <c r="H397" s="107" t="n"/>
    </row>
    <row r="398">
      <c r="A398" s="106" t="n"/>
      <c r="B398" s="107" t="n"/>
      <c r="C398" s="107" t="n"/>
      <c r="D398" s="127" t="n"/>
      <c r="E398" s="106" t="n"/>
      <c r="F398" s="107" t="n"/>
      <c r="G398" s="106" t="n"/>
      <c r="H398" s="107" t="n"/>
    </row>
    <row r="399">
      <c r="A399" s="106" t="n"/>
      <c r="B399" s="107" t="n"/>
      <c r="C399" s="107" t="n"/>
      <c r="D399" s="127" t="n"/>
      <c r="E399" s="106" t="n"/>
      <c r="F399" s="107" t="n"/>
      <c r="G399" s="106" t="n"/>
      <c r="H399" s="107" t="n"/>
    </row>
    <row r="400">
      <c r="A400" s="106" t="n"/>
      <c r="B400" s="107" t="n"/>
      <c r="C400" s="107" t="n"/>
      <c r="D400" s="127" t="n"/>
      <c r="E400" s="106" t="n"/>
      <c r="F400" s="107" t="n"/>
      <c r="G400" s="106" t="n"/>
      <c r="H400" s="107" t="n"/>
    </row>
    <row r="401">
      <c r="A401" s="106" t="n"/>
      <c r="B401" s="107" t="n"/>
      <c r="C401" s="107" t="n"/>
      <c r="D401" s="127" t="n"/>
      <c r="E401" s="106" t="n"/>
      <c r="F401" s="107" t="n"/>
      <c r="G401" s="106" t="n"/>
      <c r="H401" s="107" t="n"/>
    </row>
    <row r="402">
      <c r="A402" s="106" t="n"/>
      <c r="B402" s="107" t="n"/>
      <c r="C402" s="107" t="n"/>
      <c r="D402" s="127" t="n"/>
      <c r="E402" s="106" t="n"/>
      <c r="F402" s="107" t="n"/>
      <c r="G402" s="106" t="n"/>
      <c r="H402" s="107" t="n"/>
    </row>
    <row r="403">
      <c r="A403" s="106" t="n"/>
      <c r="B403" s="107" t="n"/>
      <c r="C403" s="107" t="n"/>
      <c r="D403" s="127" t="n"/>
      <c r="E403" s="106" t="n"/>
      <c r="F403" s="107" t="n"/>
      <c r="G403" s="106" t="n"/>
      <c r="H403" s="107" t="n"/>
    </row>
    <row r="404">
      <c r="A404" s="106" t="n"/>
      <c r="B404" s="107" t="n"/>
      <c r="C404" s="107" t="n"/>
      <c r="D404" s="127" t="n"/>
      <c r="E404" s="106" t="n"/>
      <c r="F404" s="107" t="n"/>
      <c r="G404" s="106" t="n"/>
      <c r="H404" s="107" t="n"/>
    </row>
    <row r="405">
      <c r="A405" s="106" t="n"/>
      <c r="B405" s="107" t="n"/>
      <c r="C405" s="107" t="n"/>
      <c r="D405" s="127" t="n"/>
      <c r="E405" s="106" t="n"/>
      <c r="F405" s="107" t="n"/>
      <c r="G405" s="106" t="n"/>
      <c r="H405" s="107" t="n"/>
    </row>
    <row r="406">
      <c r="A406" s="106" t="n"/>
      <c r="B406" s="107" t="n"/>
      <c r="C406" s="107" t="n"/>
      <c r="D406" s="127" t="n"/>
      <c r="E406" s="106" t="n"/>
      <c r="F406" s="107" t="n"/>
      <c r="G406" s="106" t="n"/>
      <c r="H406" s="107" t="n"/>
    </row>
    <row r="407">
      <c r="A407" s="106" t="n"/>
      <c r="B407" s="107" t="n"/>
      <c r="C407" s="107" t="n"/>
      <c r="D407" s="127" t="n"/>
      <c r="E407" s="106" t="n"/>
      <c r="F407" s="107" t="n"/>
      <c r="G407" s="106" t="n"/>
      <c r="H407" s="107" t="n"/>
    </row>
    <row r="408">
      <c r="A408" s="106" t="n"/>
      <c r="B408" s="107" t="n"/>
      <c r="C408" s="107" t="n"/>
      <c r="D408" s="127" t="n"/>
      <c r="E408" s="106" t="n"/>
      <c r="F408" s="107" t="n"/>
      <c r="G408" s="106" t="n"/>
      <c r="H408" s="107" t="n"/>
    </row>
    <row r="409">
      <c r="A409" s="106" t="n"/>
      <c r="B409" s="107" t="n"/>
      <c r="C409" s="107" t="n"/>
      <c r="D409" s="127" t="n"/>
      <c r="E409" s="106" t="n"/>
      <c r="F409" s="107" t="n"/>
      <c r="G409" s="106" t="n"/>
      <c r="H409" s="107" t="n"/>
    </row>
    <row r="410">
      <c r="A410" s="106" t="n"/>
      <c r="B410" s="107" t="n"/>
      <c r="C410" s="107" t="n"/>
      <c r="D410" s="127" t="n"/>
      <c r="E410" s="106" t="n"/>
      <c r="F410" s="107" t="n"/>
      <c r="G410" s="106" t="n"/>
      <c r="H410" s="107" t="n"/>
    </row>
    <row r="411">
      <c r="A411" s="106" t="n"/>
      <c r="B411" s="107" t="n"/>
      <c r="C411" s="107" t="n"/>
      <c r="D411" s="127" t="n"/>
      <c r="E411" s="106" t="n"/>
      <c r="F411" s="107" t="n"/>
      <c r="G411" s="106" t="n"/>
      <c r="H411" s="107" t="n"/>
    </row>
    <row r="412">
      <c r="A412" s="106" t="n"/>
      <c r="B412" s="107" t="n"/>
      <c r="C412" s="107" t="n"/>
      <c r="D412" s="127" t="n"/>
      <c r="E412" s="106" t="n"/>
      <c r="F412" s="107" t="n"/>
      <c r="G412" s="106" t="n"/>
      <c r="H412" s="107" t="n"/>
    </row>
    <row r="413">
      <c r="A413" s="106" t="n"/>
      <c r="B413" s="107" t="n"/>
      <c r="C413" s="107" t="n"/>
      <c r="D413" s="127" t="n"/>
      <c r="E413" s="106" t="n"/>
      <c r="F413" s="107" t="n"/>
      <c r="G413" s="106" t="n"/>
      <c r="H413" s="107" t="n"/>
    </row>
    <row r="414">
      <c r="A414" s="106" t="n"/>
      <c r="B414" s="107" t="n"/>
      <c r="C414" s="107" t="n"/>
      <c r="D414" s="127" t="n"/>
      <c r="E414" s="106" t="n"/>
      <c r="F414" s="107" t="n"/>
      <c r="G414" s="106" t="n"/>
      <c r="H414" s="107" t="n"/>
    </row>
    <row r="415">
      <c r="A415" s="106" t="n"/>
      <c r="B415" s="107" t="n"/>
      <c r="C415" s="107" t="n"/>
      <c r="D415" s="127" t="n"/>
      <c r="E415" s="106" t="n"/>
      <c r="F415" s="107" t="n"/>
      <c r="G415" s="106" t="n"/>
      <c r="H415" s="107" t="n"/>
    </row>
    <row r="416">
      <c r="A416" s="106" t="n"/>
      <c r="B416" s="107" t="n"/>
      <c r="C416" s="107" t="n"/>
      <c r="D416" s="127" t="n"/>
      <c r="E416" s="106" t="n"/>
      <c r="F416" s="107" t="n"/>
      <c r="G416" s="106" t="n"/>
      <c r="H416" s="107" t="n"/>
    </row>
    <row r="417">
      <c r="A417" s="106" t="n"/>
      <c r="B417" s="107" t="n"/>
      <c r="C417" s="107" t="n"/>
      <c r="D417" s="127" t="n"/>
      <c r="E417" s="106" t="n"/>
      <c r="F417" s="107" t="n"/>
      <c r="G417" s="106" t="n"/>
      <c r="H417" s="107" t="n"/>
    </row>
    <row r="418">
      <c r="A418" s="106" t="n"/>
      <c r="B418" s="107" t="n"/>
      <c r="C418" s="107" t="n"/>
      <c r="D418" s="127" t="n"/>
      <c r="E418" s="106" t="n"/>
      <c r="F418" s="107" t="n"/>
      <c r="G418" s="106" t="n"/>
      <c r="H418" s="107" t="n"/>
    </row>
    <row r="419">
      <c r="A419" s="106" t="n"/>
      <c r="B419" s="107" t="n"/>
      <c r="C419" s="107" t="n"/>
      <c r="D419" s="127" t="n"/>
      <c r="E419" s="106" t="n"/>
      <c r="F419" s="107" t="n"/>
      <c r="G419" s="106" t="n"/>
      <c r="H419" s="107" t="n"/>
    </row>
    <row r="420">
      <c r="A420" s="106" t="n"/>
      <c r="B420" s="107" t="n"/>
      <c r="C420" s="107" t="n"/>
      <c r="D420" s="127" t="n"/>
      <c r="E420" s="106" t="n"/>
      <c r="F420" s="107" t="n"/>
      <c r="G420" s="106" t="n"/>
      <c r="H420" s="107" t="n"/>
    </row>
    <row r="421">
      <c r="A421" s="106" t="n"/>
      <c r="B421" s="107" t="n"/>
      <c r="C421" s="107" t="n"/>
      <c r="D421" s="127" t="n"/>
      <c r="E421" s="106" t="n"/>
      <c r="F421" s="107" t="n"/>
      <c r="G421" s="106" t="n"/>
      <c r="H421" s="107" t="n"/>
    </row>
    <row r="422">
      <c r="A422" s="106" t="n"/>
      <c r="B422" s="107" t="n"/>
      <c r="C422" s="107" t="n"/>
      <c r="D422" s="127" t="n"/>
      <c r="E422" s="106" t="n"/>
      <c r="F422" s="107" t="n"/>
      <c r="G422" s="106" t="n"/>
      <c r="H422" s="107" t="n"/>
    </row>
    <row r="423">
      <c r="A423" s="106" t="n"/>
      <c r="B423" s="107" t="n"/>
      <c r="C423" s="107" t="n"/>
      <c r="D423" s="127" t="n"/>
      <c r="E423" s="106" t="n"/>
      <c r="F423" s="107" t="n"/>
      <c r="G423" s="106" t="n"/>
      <c r="H423" s="107" t="n"/>
    </row>
    <row r="424">
      <c r="A424" s="106" t="n"/>
      <c r="B424" s="107" t="n"/>
      <c r="C424" s="107" t="n"/>
      <c r="D424" s="127" t="n"/>
      <c r="E424" s="106" t="n"/>
      <c r="F424" s="107" t="n"/>
      <c r="G424" s="106" t="n"/>
      <c r="H424" s="107" t="n"/>
    </row>
    <row r="425">
      <c r="A425" s="106" t="n"/>
      <c r="B425" s="107" t="n"/>
      <c r="C425" s="107" t="n"/>
      <c r="D425" s="127" t="n"/>
      <c r="E425" s="106" t="n"/>
      <c r="F425" s="107" t="n"/>
      <c r="G425" s="106" t="n"/>
      <c r="H425" s="107" t="n"/>
    </row>
    <row r="426">
      <c r="A426" s="106" t="n"/>
      <c r="B426" s="107" t="n"/>
      <c r="C426" s="107" t="n"/>
      <c r="D426" s="127" t="n"/>
      <c r="E426" s="106" t="n"/>
      <c r="F426" s="107" t="n"/>
      <c r="G426" s="106" t="n"/>
      <c r="H426" s="107" t="n"/>
    </row>
    <row r="427">
      <c r="A427" s="106" t="n"/>
      <c r="B427" s="107" t="n"/>
      <c r="C427" s="107" t="n"/>
      <c r="D427" s="127" t="n"/>
      <c r="E427" s="106" t="n"/>
      <c r="F427" s="107" t="n"/>
      <c r="G427" s="106" t="n"/>
      <c r="H427" s="107" t="n"/>
    </row>
    <row r="428">
      <c r="A428" s="106" t="n"/>
      <c r="B428" s="107" t="n"/>
      <c r="C428" s="107" t="n"/>
      <c r="D428" s="127" t="n"/>
      <c r="E428" s="106" t="n"/>
      <c r="F428" s="107" t="n"/>
      <c r="G428" s="106" t="n"/>
      <c r="H428" s="107" t="n"/>
    </row>
    <row r="429">
      <c r="A429" s="106" t="n"/>
      <c r="B429" s="107" t="n"/>
      <c r="C429" s="107" t="n"/>
      <c r="D429" s="127" t="n"/>
      <c r="E429" s="106" t="n"/>
      <c r="F429" s="107" t="n"/>
      <c r="G429" s="106" t="n"/>
      <c r="H429" s="107" t="n"/>
    </row>
    <row r="430">
      <c r="A430" s="106" t="n"/>
      <c r="B430" s="107" t="n"/>
      <c r="C430" s="107" t="n"/>
      <c r="D430" s="127" t="n"/>
      <c r="E430" s="106" t="n"/>
      <c r="F430" s="107" t="n"/>
      <c r="G430" s="106" t="n"/>
      <c r="H430" s="107" t="n"/>
    </row>
    <row r="431">
      <c r="A431" s="106" t="n"/>
      <c r="B431" s="107" t="n"/>
      <c r="C431" s="107" t="n"/>
      <c r="D431" s="127" t="n"/>
      <c r="E431" s="106" t="n"/>
      <c r="F431" s="107" t="n"/>
      <c r="G431" s="106" t="n"/>
      <c r="H431" s="107" t="n"/>
    </row>
    <row r="432">
      <c r="A432" s="106" t="n"/>
      <c r="B432" s="107" t="n"/>
      <c r="C432" s="107" t="n"/>
      <c r="D432" s="127" t="n"/>
      <c r="E432" s="106" t="n"/>
      <c r="F432" s="107" t="n"/>
      <c r="G432" s="106" t="n"/>
      <c r="H432" s="107" t="n"/>
    </row>
    <row r="433">
      <c r="A433" s="106" t="n"/>
      <c r="B433" s="107" t="n"/>
      <c r="C433" s="107" t="n"/>
      <c r="D433" s="127" t="n"/>
      <c r="E433" s="106" t="n"/>
      <c r="F433" s="107" t="n"/>
      <c r="G433" s="106" t="n"/>
      <c r="H433" s="107" t="n"/>
    </row>
    <row r="434">
      <c r="A434" s="106" t="n"/>
      <c r="B434" s="107" t="n"/>
      <c r="C434" s="107" t="n"/>
      <c r="D434" s="127" t="n"/>
      <c r="E434" s="106" t="n"/>
      <c r="F434" s="107" t="n"/>
      <c r="G434" s="106" t="n"/>
      <c r="H434" s="107" t="n"/>
    </row>
    <row r="435">
      <c r="A435" s="106" t="n"/>
      <c r="B435" s="107" t="n"/>
      <c r="C435" s="107" t="n"/>
      <c r="D435" s="127" t="n"/>
      <c r="E435" s="106" t="n"/>
      <c r="F435" s="107" t="n"/>
      <c r="G435" s="106" t="n"/>
      <c r="H435" s="107" t="n"/>
    </row>
    <row r="436">
      <c r="A436" s="106" t="n"/>
      <c r="B436" s="107" t="n"/>
      <c r="C436" s="107" t="n"/>
      <c r="D436" s="127" t="n"/>
      <c r="E436" s="106" t="n"/>
      <c r="F436" s="107" t="n"/>
      <c r="G436" s="106" t="n"/>
      <c r="H436" s="107" t="n"/>
    </row>
    <row r="437">
      <c r="A437" s="106" t="n"/>
      <c r="B437" s="107" t="n"/>
      <c r="C437" s="107" t="n"/>
      <c r="D437" s="127" t="n"/>
      <c r="E437" s="106" t="n"/>
      <c r="F437" s="107" t="n"/>
      <c r="G437" s="106" t="n"/>
      <c r="H437" s="107" t="n"/>
    </row>
    <row r="438">
      <c r="A438" s="106" t="n"/>
      <c r="B438" s="107" t="n"/>
      <c r="C438" s="107" t="n"/>
      <c r="D438" s="127" t="n"/>
      <c r="E438" s="106" t="n"/>
      <c r="F438" s="107" t="n"/>
      <c r="G438" s="106" t="n"/>
      <c r="H438" s="107" t="n"/>
    </row>
    <row r="439">
      <c r="A439" s="106" t="n"/>
      <c r="B439" s="107" t="n"/>
      <c r="C439" s="107" t="n"/>
      <c r="D439" s="127" t="n"/>
      <c r="E439" s="106" t="n"/>
      <c r="F439" s="107" t="n"/>
      <c r="G439" s="106" t="n"/>
      <c r="H439" s="107" t="n"/>
    </row>
    <row r="440">
      <c r="A440" s="106" t="n"/>
      <c r="B440" s="107" t="n"/>
      <c r="C440" s="107" t="n"/>
      <c r="D440" s="127" t="n"/>
      <c r="E440" s="106" t="n"/>
      <c r="F440" s="107" t="n"/>
      <c r="G440" s="106" t="n"/>
      <c r="H440" s="107" t="n"/>
    </row>
    <row r="441">
      <c r="A441" s="106" t="n"/>
      <c r="B441" s="107" t="n"/>
      <c r="C441" s="107" t="n"/>
      <c r="D441" s="127" t="n"/>
      <c r="E441" s="106" t="n"/>
      <c r="F441" s="107" t="n"/>
      <c r="G441" s="106" t="n"/>
      <c r="H441" s="107" t="n"/>
    </row>
    <row r="442">
      <c r="A442" s="106" t="n"/>
      <c r="B442" s="107" t="n"/>
      <c r="C442" s="107" t="n"/>
      <c r="D442" s="127" t="n"/>
      <c r="E442" s="106" t="n"/>
      <c r="F442" s="107" t="n"/>
      <c r="G442" s="106" t="n"/>
      <c r="H442" s="107" t="n"/>
    </row>
    <row r="443">
      <c r="A443" s="106" t="n"/>
      <c r="B443" s="107" t="n"/>
      <c r="C443" s="107" t="n"/>
      <c r="D443" s="127" t="n"/>
      <c r="E443" s="106" t="n"/>
      <c r="F443" s="107" t="n"/>
      <c r="G443" s="106" t="n"/>
      <c r="H443" s="107" t="n"/>
    </row>
    <row r="444">
      <c r="A444" s="106" t="n"/>
      <c r="B444" s="107" t="n"/>
      <c r="C444" s="107" t="n"/>
      <c r="D444" s="127" t="n"/>
      <c r="E444" s="106" t="n"/>
      <c r="F444" s="107" t="n"/>
      <c r="G444" s="106" t="n"/>
      <c r="H444" s="107" t="n"/>
    </row>
    <row r="445">
      <c r="A445" s="106" t="n"/>
      <c r="B445" s="107" t="n"/>
      <c r="C445" s="107" t="n"/>
      <c r="D445" s="127" t="n"/>
      <c r="E445" s="106" t="n"/>
      <c r="F445" s="107" t="n"/>
      <c r="G445" s="106" t="n"/>
      <c r="H445" s="107" t="n"/>
    </row>
    <row r="446">
      <c r="A446" s="106" t="n"/>
      <c r="B446" s="107" t="n"/>
      <c r="C446" s="107" t="n"/>
      <c r="D446" s="127" t="n"/>
      <c r="E446" s="106" t="n"/>
      <c r="F446" s="107" t="n"/>
      <c r="G446" s="106" t="n"/>
      <c r="H446" s="107" t="n"/>
    </row>
    <row r="447">
      <c r="A447" s="106" t="n"/>
      <c r="B447" s="107" t="n"/>
      <c r="C447" s="107" t="n"/>
      <c r="D447" s="127" t="n"/>
      <c r="E447" s="106" t="n"/>
      <c r="F447" s="107" t="n"/>
      <c r="G447" s="106" t="n"/>
      <c r="H447" s="107" t="n"/>
    </row>
    <row r="448">
      <c r="A448" s="106" t="n"/>
      <c r="B448" s="107" t="n"/>
      <c r="C448" s="107" t="n"/>
      <c r="D448" s="127" t="n"/>
      <c r="E448" s="106" t="n"/>
      <c r="F448" s="107" t="n"/>
      <c r="G448" s="106" t="n"/>
      <c r="H448" s="107" t="n"/>
    </row>
    <row r="449">
      <c r="A449" s="106" t="n"/>
      <c r="B449" s="107" t="n"/>
      <c r="C449" s="107" t="n"/>
      <c r="D449" s="127" t="n"/>
      <c r="E449" s="106" t="n"/>
      <c r="F449" s="107" t="n"/>
      <c r="G449" s="106" t="n"/>
      <c r="H449" s="107" t="n"/>
    </row>
    <row r="450">
      <c r="A450" s="106" t="n"/>
      <c r="B450" s="107" t="n"/>
      <c r="C450" s="107" t="n"/>
      <c r="D450" s="127" t="n"/>
      <c r="E450" s="106" t="n"/>
      <c r="F450" s="107" t="n"/>
      <c r="G450" s="106" t="n"/>
      <c r="H450" s="107" t="n"/>
    </row>
    <row r="451">
      <c r="A451" s="106" t="n"/>
      <c r="B451" s="107" t="n"/>
      <c r="C451" s="107" t="n"/>
      <c r="D451" s="127" t="n"/>
      <c r="E451" s="106" t="n"/>
      <c r="F451" s="107" t="n"/>
      <c r="G451" s="106" t="n"/>
      <c r="H451" s="107" t="n"/>
    </row>
    <row r="452">
      <c r="A452" s="106" t="n"/>
      <c r="B452" s="107" t="n"/>
      <c r="C452" s="107" t="n"/>
      <c r="D452" s="127" t="n"/>
      <c r="E452" s="106" t="n"/>
      <c r="F452" s="107" t="n"/>
      <c r="G452" s="106" t="n"/>
      <c r="H452" s="107" t="n"/>
    </row>
    <row r="453">
      <c r="A453" s="106" t="n"/>
      <c r="B453" s="107" t="n"/>
      <c r="C453" s="107" t="n"/>
      <c r="D453" s="127" t="n"/>
      <c r="E453" s="106" t="n"/>
      <c r="F453" s="107" t="n"/>
      <c r="G453" s="106" t="n"/>
      <c r="H453" s="107" t="n"/>
    </row>
    <row r="454">
      <c r="A454" s="106" t="n"/>
      <c r="B454" s="107" t="n"/>
      <c r="C454" s="107" t="n"/>
      <c r="D454" s="127" t="n"/>
      <c r="E454" s="106" t="n"/>
      <c r="F454" s="107" t="n"/>
      <c r="G454" s="106" t="n"/>
      <c r="H454" s="107" t="n"/>
    </row>
    <row r="455">
      <c r="A455" s="106" t="n"/>
      <c r="B455" s="107" t="n"/>
      <c r="C455" s="107" t="n"/>
      <c r="D455" s="127" t="n"/>
      <c r="E455" s="106" t="n"/>
      <c r="F455" s="107" t="n"/>
      <c r="G455" s="106" t="n"/>
      <c r="H455" s="107" t="n"/>
    </row>
    <row r="456">
      <c r="A456" s="106" t="n"/>
      <c r="B456" s="107" t="n"/>
      <c r="C456" s="107" t="n"/>
      <c r="D456" s="127" t="n"/>
      <c r="E456" s="106" t="n"/>
      <c r="F456" s="107" t="n"/>
      <c r="G456" s="106" t="n"/>
      <c r="H456" s="107" t="n"/>
    </row>
    <row r="457">
      <c r="A457" s="106" t="n"/>
      <c r="B457" s="107" t="n"/>
      <c r="C457" s="107" t="n"/>
      <c r="D457" s="127" t="n"/>
      <c r="E457" s="106" t="n"/>
      <c r="F457" s="107" t="n"/>
      <c r="G457" s="106" t="n"/>
      <c r="H457" s="107" t="n"/>
    </row>
    <row r="458">
      <c r="A458" s="106" t="n"/>
      <c r="B458" s="107" t="n"/>
      <c r="C458" s="107" t="n"/>
      <c r="D458" s="127" t="n"/>
      <c r="E458" s="106" t="n"/>
      <c r="F458" s="107" t="n"/>
      <c r="G458" s="106" t="n"/>
      <c r="H458" s="107" t="n"/>
    </row>
    <row r="459">
      <c r="A459" s="106" t="n"/>
      <c r="B459" s="107" t="n"/>
      <c r="C459" s="107" t="n"/>
      <c r="D459" s="127" t="n"/>
      <c r="E459" s="106" t="n"/>
      <c r="F459" s="107" t="n"/>
      <c r="G459" s="106" t="n"/>
      <c r="H459" s="107" t="n"/>
    </row>
    <row r="460">
      <c r="A460" s="106" t="n"/>
      <c r="B460" s="107" t="n"/>
      <c r="C460" s="107" t="n"/>
      <c r="D460" s="127" t="n"/>
      <c r="E460" s="106" t="n"/>
      <c r="F460" s="107" t="n"/>
      <c r="G460" s="106" t="n"/>
      <c r="H460" s="107" t="n"/>
    </row>
    <row r="461">
      <c r="A461" s="106" t="n"/>
      <c r="B461" s="107" t="n"/>
      <c r="C461" s="107" t="n"/>
      <c r="D461" s="127" t="n"/>
      <c r="E461" s="106" t="n"/>
      <c r="F461" s="107" t="n"/>
      <c r="G461" s="106" t="n"/>
      <c r="H461" s="107" t="n"/>
    </row>
    <row r="462">
      <c r="A462" s="106" t="n"/>
      <c r="B462" s="107" t="n"/>
      <c r="C462" s="107" t="n"/>
      <c r="D462" s="127" t="n"/>
      <c r="E462" s="106" t="n"/>
      <c r="F462" s="107" t="n"/>
      <c r="G462" s="106" t="n"/>
      <c r="H462" s="107" t="n"/>
    </row>
    <row r="463">
      <c r="A463" s="106" t="n"/>
      <c r="B463" s="107" t="n"/>
      <c r="C463" s="107" t="n"/>
      <c r="D463" s="127" t="n"/>
      <c r="E463" s="106" t="n"/>
      <c r="F463" s="107" t="n"/>
      <c r="G463" s="106" t="n"/>
      <c r="H463" s="107" t="n"/>
    </row>
    <row r="464">
      <c r="A464" s="106" t="n"/>
      <c r="B464" s="107" t="n"/>
      <c r="C464" s="107" t="n"/>
      <c r="D464" s="127" t="n"/>
      <c r="E464" s="106" t="n"/>
      <c r="F464" s="107" t="n"/>
      <c r="G464" s="106" t="n"/>
      <c r="H464" s="107" t="n"/>
    </row>
    <row r="465">
      <c r="A465" s="106" t="n"/>
      <c r="B465" s="107" t="n"/>
      <c r="C465" s="107" t="n"/>
      <c r="D465" s="127" t="n"/>
      <c r="E465" s="106" t="n"/>
      <c r="F465" s="107" t="n"/>
      <c r="G465" s="106" t="n"/>
      <c r="H465" s="107" t="n"/>
    </row>
    <row r="466">
      <c r="A466" s="106" t="n"/>
      <c r="B466" s="107" t="n"/>
      <c r="C466" s="107" t="n"/>
      <c r="D466" s="127" t="n"/>
      <c r="E466" s="106" t="n"/>
      <c r="F466" s="107" t="n"/>
      <c r="G466" s="106" t="n"/>
      <c r="H466" s="107" t="n"/>
    </row>
    <row r="467">
      <c r="A467" s="106" t="n"/>
      <c r="B467" s="107" t="n"/>
      <c r="C467" s="107" t="n"/>
      <c r="D467" s="127" t="n"/>
      <c r="E467" s="106" t="n"/>
      <c r="F467" s="107" t="n"/>
      <c r="G467" s="106" t="n"/>
      <c r="H467" s="107" t="n"/>
    </row>
    <row r="468">
      <c r="A468" s="106" t="n"/>
      <c r="B468" s="107" t="n"/>
      <c r="C468" s="107" t="n"/>
      <c r="D468" s="127" t="n"/>
      <c r="E468" s="106" t="n"/>
      <c r="F468" s="107" t="n"/>
      <c r="G468" s="106" t="n"/>
      <c r="H468" s="107" t="n"/>
    </row>
    <row r="469">
      <c r="A469" s="106" t="n"/>
      <c r="B469" s="107" t="n"/>
      <c r="C469" s="107" t="n"/>
      <c r="D469" s="127" t="n"/>
      <c r="E469" s="106" t="n"/>
      <c r="F469" s="107" t="n"/>
      <c r="G469" s="106" t="n"/>
      <c r="H469" s="107" t="n"/>
    </row>
    <row r="470">
      <c r="A470" s="106" t="n"/>
      <c r="B470" s="107" t="n"/>
      <c r="C470" s="107" t="n"/>
      <c r="D470" s="127" t="n"/>
      <c r="E470" s="106" t="n"/>
      <c r="F470" s="107" t="n"/>
      <c r="G470" s="106" t="n"/>
      <c r="H470" s="107" t="n"/>
    </row>
    <row r="471">
      <c r="A471" s="106" t="n"/>
      <c r="B471" s="107" t="n"/>
      <c r="C471" s="107" t="n"/>
      <c r="D471" s="127" t="n"/>
      <c r="E471" s="106" t="n"/>
      <c r="F471" s="107" t="n"/>
      <c r="G471" s="106" t="n"/>
      <c r="H471" s="107" t="n"/>
    </row>
    <row r="472">
      <c r="A472" s="106" t="n"/>
      <c r="B472" s="107" t="n"/>
      <c r="C472" s="107" t="n"/>
      <c r="D472" s="127" t="n"/>
      <c r="E472" s="106" t="n"/>
      <c r="F472" s="107" t="n"/>
      <c r="G472" s="106" t="n"/>
      <c r="H472" s="107" t="n"/>
    </row>
    <row r="473">
      <c r="A473" s="106" t="n"/>
      <c r="B473" s="107" t="n"/>
      <c r="C473" s="107" t="n"/>
      <c r="D473" s="127" t="n"/>
      <c r="E473" s="106" t="n"/>
      <c r="F473" s="107" t="n"/>
      <c r="G473" s="106" t="n"/>
      <c r="H473" s="107" t="n"/>
    </row>
    <row r="474">
      <c r="A474" s="106" t="n"/>
      <c r="B474" s="107" t="n"/>
      <c r="C474" s="107" t="n"/>
      <c r="D474" s="127" t="n"/>
      <c r="E474" s="106" t="n"/>
      <c r="F474" s="107" t="n"/>
      <c r="G474" s="106" t="n"/>
      <c r="H474" s="107" t="n"/>
    </row>
    <row r="475">
      <c r="A475" s="106" t="n"/>
      <c r="B475" s="107" t="n"/>
      <c r="C475" s="107" t="n"/>
      <c r="D475" s="127" t="n"/>
      <c r="E475" s="106" t="n"/>
      <c r="F475" s="107" t="n"/>
      <c r="G475" s="106" t="n"/>
      <c r="H475" s="107" t="n"/>
    </row>
    <row r="476">
      <c r="A476" s="106" t="n"/>
      <c r="B476" s="107" t="n"/>
      <c r="C476" s="107" t="n"/>
      <c r="D476" s="127" t="n"/>
      <c r="E476" s="106" t="n"/>
      <c r="F476" s="107" t="n"/>
      <c r="G476" s="106" t="n"/>
      <c r="H476" s="107" t="n"/>
    </row>
    <row r="477">
      <c r="A477" s="106" t="n"/>
      <c r="B477" s="107" t="n"/>
      <c r="C477" s="107" t="n"/>
      <c r="D477" s="127" t="n"/>
      <c r="E477" s="106" t="n"/>
      <c r="F477" s="107" t="n"/>
      <c r="G477" s="106" t="n"/>
      <c r="H477" s="107" t="n"/>
    </row>
    <row r="478">
      <c r="A478" s="106" t="n"/>
      <c r="B478" s="107" t="n"/>
      <c r="C478" s="107" t="n"/>
      <c r="D478" s="127" t="n"/>
      <c r="E478" s="106" t="n"/>
      <c r="F478" s="107" t="n"/>
      <c r="G478" s="106" t="n"/>
      <c r="H478" s="107" t="n"/>
    </row>
    <row r="479">
      <c r="A479" s="106" t="n"/>
      <c r="B479" s="107" t="n"/>
      <c r="C479" s="107" t="n"/>
      <c r="D479" s="127" t="n"/>
      <c r="E479" s="106" t="n"/>
      <c r="F479" s="107" t="n"/>
      <c r="G479" s="106" t="n"/>
      <c r="H479" s="107" t="n"/>
    </row>
    <row r="480">
      <c r="A480" s="106" t="n"/>
      <c r="B480" s="107" t="n"/>
      <c r="C480" s="107" t="n"/>
      <c r="D480" s="127" t="n"/>
      <c r="E480" s="106" t="n"/>
      <c r="F480" s="107" t="n"/>
      <c r="G480" s="106" t="n"/>
      <c r="H480" s="107" t="n"/>
    </row>
    <row r="481">
      <c r="A481" s="106" t="n"/>
      <c r="B481" s="107" t="n"/>
      <c r="C481" s="107" t="n"/>
      <c r="D481" s="127" t="n"/>
      <c r="E481" s="106" t="n"/>
      <c r="F481" s="107" t="n"/>
      <c r="G481" s="106" t="n"/>
      <c r="H481" s="107" t="n"/>
    </row>
    <row r="482">
      <c r="A482" s="106" t="n"/>
      <c r="B482" s="107" t="n"/>
      <c r="C482" s="107" t="n"/>
      <c r="D482" s="127" t="n"/>
      <c r="E482" s="106" t="n"/>
      <c r="F482" s="107" t="n"/>
      <c r="G482" s="106" t="n"/>
      <c r="H482" s="107" t="n"/>
    </row>
    <row r="483">
      <c r="A483" s="106" t="n"/>
      <c r="B483" s="107" t="n"/>
      <c r="C483" s="107" t="n"/>
      <c r="D483" s="127" t="n"/>
      <c r="E483" s="106" t="n"/>
      <c r="F483" s="107" t="n"/>
      <c r="G483" s="106" t="n"/>
      <c r="H483" s="107" t="n"/>
    </row>
    <row r="484">
      <c r="A484" s="106" t="n"/>
      <c r="B484" s="107" t="n"/>
      <c r="C484" s="107" t="n"/>
      <c r="D484" s="127" t="n"/>
      <c r="E484" s="106" t="n"/>
      <c r="F484" s="107" t="n"/>
      <c r="G484" s="106" t="n"/>
      <c r="H484" s="107" t="n"/>
    </row>
    <row r="485">
      <c r="A485" s="106" t="n"/>
      <c r="B485" s="107" t="n"/>
      <c r="C485" s="107" t="n"/>
      <c r="D485" s="127" t="n"/>
      <c r="E485" s="106" t="n"/>
      <c r="F485" s="107" t="n"/>
      <c r="G485" s="106" t="n"/>
      <c r="H485" s="107" t="n"/>
    </row>
    <row r="486">
      <c r="A486" s="106" t="n"/>
      <c r="B486" s="107" t="n"/>
      <c r="C486" s="107" t="n"/>
      <c r="D486" s="127" t="n"/>
      <c r="E486" s="106" t="n"/>
      <c r="F486" s="107" t="n"/>
      <c r="G486" s="106" t="n"/>
      <c r="H486" s="107" t="n"/>
    </row>
    <row r="487">
      <c r="A487" s="106" t="n"/>
      <c r="B487" s="107" t="n"/>
      <c r="C487" s="107" t="n"/>
      <c r="D487" s="127" t="n"/>
      <c r="E487" s="106" t="n"/>
      <c r="F487" s="107" t="n"/>
      <c r="G487" s="106" t="n"/>
      <c r="H487" s="107" t="n"/>
    </row>
    <row r="488">
      <c r="A488" s="106" t="n"/>
      <c r="B488" s="107" t="n"/>
      <c r="C488" s="107" t="n"/>
      <c r="D488" s="127" t="n"/>
      <c r="E488" s="106" t="n"/>
      <c r="F488" s="107" t="n"/>
      <c r="G488" s="106" t="n"/>
      <c r="H488" s="107" t="n"/>
    </row>
    <row r="489">
      <c r="A489" s="106" t="n"/>
      <c r="B489" s="107" t="n"/>
      <c r="C489" s="107" t="n"/>
      <c r="D489" s="127" t="n"/>
      <c r="E489" s="106" t="n"/>
      <c r="F489" s="107" t="n"/>
      <c r="G489" s="106" t="n"/>
      <c r="H489" s="107" t="n"/>
    </row>
    <row r="490">
      <c r="A490" s="106" t="n"/>
      <c r="B490" s="107" t="n"/>
      <c r="C490" s="107" t="n"/>
      <c r="D490" s="127" t="n"/>
      <c r="E490" s="106" t="n"/>
      <c r="F490" s="107" t="n"/>
      <c r="G490" s="106" t="n"/>
      <c r="H490" s="107" t="n"/>
    </row>
    <row r="491">
      <c r="A491" s="106" t="n"/>
      <c r="B491" s="107" t="n"/>
      <c r="C491" s="107" t="n"/>
      <c r="D491" s="127" t="n"/>
      <c r="E491" s="106" t="n"/>
      <c r="F491" s="107" t="n"/>
      <c r="G491" s="106" t="n"/>
      <c r="H491" s="107" t="n"/>
    </row>
    <row r="492">
      <c r="A492" s="106" t="n"/>
      <c r="B492" s="107" t="n"/>
      <c r="C492" s="107" t="n"/>
      <c r="D492" s="127" t="n"/>
      <c r="E492" s="106" t="n"/>
      <c r="F492" s="107" t="n"/>
      <c r="G492" s="106" t="n"/>
      <c r="H492" s="107" t="n"/>
    </row>
    <row r="493">
      <c r="A493" s="106" t="n"/>
      <c r="B493" s="107" t="n"/>
      <c r="C493" s="107" t="n"/>
      <c r="D493" s="127" t="n"/>
      <c r="E493" s="106" t="n"/>
      <c r="F493" s="107" t="n"/>
      <c r="G493" s="106" t="n"/>
      <c r="H493" s="107" t="n"/>
    </row>
    <row r="494">
      <c r="A494" s="106" t="n"/>
      <c r="B494" s="107" t="n"/>
      <c r="C494" s="107" t="n"/>
      <c r="D494" s="127" t="n"/>
      <c r="E494" s="106" t="n"/>
      <c r="F494" s="107" t="n"/>
      <c r="G494" s="106" t="n"/>
      <c r="H494" s="107" t="n"/>
    </row>
    <row r="495">
      <c r="A495" s="106" t="n"/>
      <c r="B495" s="107" t="n"/>
      <c r="C495" s="107" t="n"/>
      <c r="D495" s="127" t="n"/>
      <c r="E495" s="106" t="n"/>
      <c r="F495" s="107" t="n"/>
      <c r="G495" s="106" t="n"/>
      <c r="H495" s="107" t="n"/>
    </row>
    <row r="496">
      <c r="A496" s="106" t="n"/>
      <c r="B496" s="107" t="n"/>
      <c r="C496" s="107" t="n"/>
      <c r="D496" s="127" t="n"/>
      <c r="E496" s="106" t="n"/>
      <c r="F496" s="107" t="n"/>
      <c r="G496" s="106" t="n"/>
      <c r="H496" s="107" t="n"/>
    </row>
    <row r="497">
      <c r="A497" s="106" t="n"/>
      <c r="B497" s="107" t="n"/>
      <c r="C497" s="107" t="n"/>
      <c r="D497" s="127" t="n"/>
      <c r="E497" s="106" t="n"/>
      <c r="F497" s="107" t="n"/>
      <c r="G497" s="106" t="n"/>
      <c r="H497" s="107" t="n"/>
    </row>
    <row r="498">
      <c r="A498" s="106" t="n"/>
      <c r="B498" s="107" t="n"/>
      <c r="C498" s="107" t="n"/>
      <c r="D498" s="127" t="n"/>
      <c r="E498" s="106" t="n"/>
      <c r="F498" s="107" t="n"/>
      <c r="G498" s="106" t="n"/>
      <c r="H498" s="107" t="n"/>
    </row>
    <row r="499">
      <c r="A499" s="106" t="n"/>
      <c r="B499" s="107" t="n"/>
      <c r="C499" s="107" t="n"/>
      <c r="D499" s="127" t="n"/>
      <c r="E499" s="106" t="n"/>
      <c r="F499" s="107" t="n"/>
      <c r="G499" s="106" t="n"/>
      <c r="H499" s="107" t="n"/>
    </row>
    <row r="500">
      <c r="A500" s="106" t="n"/>
      <c r="B500" s="107" t="n"/>
      <c r="C500" s="107" t="n"/>
      <c r="D500" s="127" t="n"/>
      <c r="E500" s="106" t="n"/>
      <c r="F500" s="107" t="n"/>
      <c r="G500" s="106" t="n"/>
      <c r="H500" s="107" t="n"/>
    </row>
    <row r="501">
      <c r="A501" s="106" t="n"/>
      <c r="B501" s="107" t="n"/>
      <c r="C501" s="107" t="n"/>
      <c r="D501" s="127" t="n"/>
      <c r="E501" s="106" t="n"/>
      <c r="F501" s="107" t="n"/>
      <c r="G501" s="106" t="n"/>
      <c r="H501" s="107" t="n"/>
    </row>
    <row r="502">
      <c r="A502" s="106" t="n"/>
      <c r="B502" s="107" t="n"/>
      <c r="C502" s="107" t="n"/>
      <c r="D502" s="127" t="n"/>
      <c r="E502" s="106" t="n"/>
      <c r="F502" s="107" t="n"/>
      <c r="G502" s="106" t="n"/>
      <c r="H502" s="107" t="n"/>
    </row>
    <row r="503">
      <c r="A503" s="106" t="n"/>
      <c r="B503" s="107" t="n"/>
      <c r="C503" s="107" t="n"/>
      <c r="D503" s="127" t="n"/>
      <c r="E503" s="106" t="n"/>
      <c r="F503" s="107" t="n"/>
      <c r="G503" s="106" t="n"/>
      <c r="H503" s="107" t="n"/>
    </row>
    <row r="504">
      <c r="A504" s="106" t="n"/>
      <c r="B504" s="107" t="n"/>
      <c r="C504" s="107" t="n"/>
      <c r="D504" s="127" t="n"/>
      <c r="E504" s="106" t="n"/>
      <c r="F504" s="107" t="n"/>
      <c r="G504" s="106" t="n"/>
      <c r="H504" s="107" t="n"/>
    </row>
    <row r="505">
      <c r="A505" s="106" t="n"/>
      <c r="B505" s="107" t="n"/>
      <c r="C505" s="107" t="n"/>
      <c r="D505" s="127" t="n"/>
      <c r="E505" s="106" t="n"/>
      <c r="F505" s="107" t="n"/>
      <c r="G505" s="106" t="n"/>
      <c r="H505" s="107" t="n"/>
    </row>
    <row r="506">
      <c r="A506" s="106" t="n"/>
      <c r="B506" s="107" t="n"/>
      <c r="C506" s="107" t="n"/>
      <c r="D506" s="127" t="n"/>
      <c r="E506" s="106" t="n"/>
      <c r="F506" s="107" t="n"/>
      <c r="G506" s="106" t="n"/>
      <c r="H506" s="107" t="n"/>
    </row>
    <row r="507">
      <c r="A507" s="106" t="n"/>
      <c r="B507" s="107" t="n"/>
      <c r="C507" s="107" t="n"/>
      <c r="D507" s="127" t="n"/>
      <c r="E507" s="106" t="n"/>
      <c r="F507" s="107" t="n"/>
      <c r="G507" s="106" t="n"/>
      <c r="H507" s="107" t="n"/>
    </row>
    <row r="508">
      <c r="A508" s="106" t="n"/>
      <c r="B508" s="107" t="n"/>
      <c r="C508" s="107" t="n"/>
      <c r="D508" s="127" t="n"/>
      <c r="E508" s="106" t="n"/>
      <c r="F508" s="107" t="n"/>
      <c r="G508" s="106" t="n"/>
      <c r="H508" s="107" t="n"/>
    </row>
    <row r="509">
      <c r="A509" s="106" t="n"/>
      <c r="B509" s="107" t="n"/>
      <c r="C509" s="107" t="n"/>
      <c r="D509" s="127" t="n"/>
      <c r="E509" s="106" t="n"/>
      <c r="F509" s="107" t="n"/>
      <c r="G509" s="106" t="n"/>
      <c r="H509" s="107" t="n"/>
    </row>
    <row r="510">
      <c r="A510" s="106" t="n"/>
      <c r="B510" s="107" t="n"/>
      <c r="C510" s="107" t="n"/>
      <c r="D510" s="127" t="n"/>
      <c r="E510" s="106" t="n"/>
      <c r="F510" s="107" t="n"/>
      <c r="G510" s="106" t="n"/>
      <c r="H510" s="107" t="n"/>
    </row>
    <row r="511">
      <c r="A511" s="106" t="n"/>
      <c r="B511" s="107" t="n"/>
      <c r="C511" s="107" t="n"/>
      <c r="D511" s="127" t="n"/>
      <c r="E511" s="106" t="n"/>
      <c r="F511" s="107" t="n"/>
      <c r="G511" s="106" t="n"/>
      <c r="H511" s="107" t="n"/>
    </row>
    <row r="512">
      <c r="A512" s="106" t="n"/>
      <c r="B512" s="107" t="n"/>
      <c r="C512" s="107" t="n"/>
      <c r="D512" s="127" t="n"/>
      <c r="E512" s="106" t="n"/>
      <c r="F512" s="107" t="n"/>
      <c r="G512" s="106" t="n"/>
      <c r="H512" s="107" t="n"/>
    </row>
    <row r="513">
      <c r="A513" s="106" t="n"/>
      <c r="B513" s="107" t="n"/>
      <c r="C513" s="107" t="n"/>
      <c r="D513" s="127" t="n"/>
      <c r="E513" s="106" t="n"/>
      <c r="F513" s="107" t="n"/>
      <c r="G513" s="106" t="n"/>
      <c r="H513" s="107" t="n"/>
    </row>
    <row r="514">
      <c r="A514" s="106" t="n"/>
      <c r="B514" s="107" t="n"/>
      <c r="C514" s="107" t="n"/>
      <c r="D514" s="127" t="n"/>
      <c r="E514" s="106" t="n"/>
      <c r="F514" s="107" t="n"/>
      <c r="G514" s="106" t="n"/>
      <c r="H514" s="107" t="n"/>
    </row>
    <row r="515">
      <c r="A515" s="106" t="n"/>
      <c r="B515" s="107" t="n"/>
      <c r="C515" s="107" t="n"/>
      <c r="D515" s="127" t="n"/>
      <c r="E515" s="106" t="n"/>
      <c r="F515" s="107" t="n"/>
      <c r="G515" s="106" t="n"/>
      <c r="H515" s="107" t="n"/>
    </row>
    <row r="516">
      <c r="A516" s="106" t="n"/>
      <c r="B516" s="107" t="n"/>
      <c r="C516" s="107" t="n"/>
      <c r="D516" s="127" t="n"/>
      <c r="E516" s="106" t="n"/>
      <c r="F516" s="107" t="n"/>
      <c r="G516" s="106" t="n"/>
      <c r="H516" s="107" t="n"/>
    </row>
    <row r="517">
      <c r="A517" s="106" t="n"/>
      <c r="B517" s="107" t="n"/>
      <c r="C517" s="107" t="n"/>
      <c r="D517" s="127" t="n"/>
      <c r="E517" s="106" t="n"/>
      <c r="F517" s="107" t="n"/>
      <c r="G517" s="106" t="n"/>
      <c r="H517" s="107" t="n"/>
    </row>
    <row r="518">
      <c r="A518" s="106" t="n"/>
      <c r="B518" s="107" t="n"/>
      <c r="C518" s="107" t="n"/>
      <c r="D518" s="127" t="n"/>
      <c r="E518" s="106" t="n"/>
      <c r="F518" s="107" t="n"/>
      <c r="G518" s="106" t="n"/>
      <c r="H518" s="107" t="n"/>
    </row>
    <row r="519">
      <c r="A519" s="106" t="n"/>
      <c r="B519" s="107" t="n"/>
      <c r="C519" s="107" t="n"/>
      <c r="D519" s="127" t="n"/>
      <c r="E519" s="106" t="n"/>
      <c r="F519" s="107" t="n"/>
      <c r="G519" s="106" t="n"/>
      <c r="H519" s="107" t="n"/>
    </row>
    <row r="520">
      <c r="A520" s="106" t="n"/>
      <c r="B520" s="107" t="n"/>
      <c r="C520" s="107" t="n"/>
      <c r="D520" s="127" t="n"/>
      <c r="E520" s="106" t="n"/>
      <c r="F520" s="107" t="n"/>
      <c r="G520" s="106" t="n"/>
      <c r="H520" s="107" t="n"/>
    </row>
    <row r="521">
      <c r="A521" s="106" t="n"/>
      <c r="B521" s="107" t="n"/>
      <c r="C521" s="107" t="n"/>
      <c r="D521" s="127" t="n"/>
      <c r="E521" s="106" t="n"/>
      <c r="F521" s="107" t="n"/>
      <c r="G521" s="106" t="n"/>
      <c r="H521" s="107" t="n"/>
    </row>
    <row r="522">
      <c r="A522" s="106" t="n"/>
      <c r="B522" s="107" t="n"/>
      <c r="C522" s="107" t="n"/>
      <c r="D522" s="127" t="n"/>
      <c r="E522" s="106" t="n"/>
      <c r="F522" s="107" t="n"/>
      <c r="G522" s="106" t="n"/>
      <c r="H522" s="107" t="n"/>
    </row>
    <row r="523">
      <c r="A523" s="106" t="n"/>
      <c r="B523" s="107" t="n"/>
      <c r="C523" s="107" t="n"/>
      <c r="D523" s="127" t="n"/>
      <c r="E523" s="106" t="n"/>
      <c r="F523" s="107" t="n"/>
      <c r="G523" s="106" t="n"/>
      <c r="H523" s="107" t="n"/>
    </row>
    <row r="524">
      <c r="A524" s="106" t="n"/>
      <c r="B524" s="107" t="n"/>
      <c r="C524" s="107" t="n"/>
      <c r="D524" s="127" t="n"/>
      <c r="E524" s="106" t="n"/>
      <c r="F524" s="107" t="n"/>
      <c r="G524" s="106" t="n"/>
      <c r="H524" s="107" t="n"/>
    </row>
    <row r="525">
      <c r="A525" s="106" t="n"/>
      <c r="B525" s="107" t="n"/>
      <c r="C525" s="107" t="n"/>
      <c r="D525" s="127" t="n"/>
      <c r="E525" s="106" t="n"/>
      <c r="F525" s="107" t="n"/>
      <c r="G525" s="106" t="n"/>
      <c r="H525" s="107" t="n"/>
    </row>
    <row r="526">
      <c r="A526" s="106" t="n"/>
      <c r="B526" s="107" t="n"/>
      <c r="C526" s="107" t="n"/>
      <c r="D526" s="127" t="n"/>
      <c r="E526" s="106" t="n"/>
      <c r="F526" s="107" t="n"/>
      <c r="G526" s="106" t="n"/>
      <c r="H526" s="107" t="n"/>
    </row>
    <row r="527">
      <c r="A527" s="106" t="n"/>
      <c r="B527" s="107" t="n"/>
      <c r="C527" s="107" t="n"/>
      <c r="D527" s="127" t="n"/>
      <c r="E527" s="106" t="n"/>
      <c r="F527" s="107" t="n"/>
      <c r="G527" s="106" t="n"/>
      <c r="H527" s="107" t="n"/>
    </row>
    <row r="528">
      <c r="A528" s="106" t="n"/>
      <c r="B528" s="107" t="n"/>
      <c r="C528" s="107" t="n"/>
      <c r="D528" s="127" t="n"/>
      <c r="E528" s="106" t="n"/>
      <c r="F528" s="107" t="n"/>
      <c r="G528" s="106" t="n"/>
      <c r="H528" s="107" t="n"/>
    </row>
    <row r="529">
      <c r="A529" s="106" t="n"/>
      <c r="B529" s="107" t="n"/>
      <c r="C529" s="107" t="n"/>
      <c r="D529" s="127" t="n"/>
      <c r="E529" s="106" t="n"/>
      <c r="F529" s="107" t="n"/>
      <c r="G529" s="106" t="n"/>
      <c r="H529" s="107" t="n"/>
    </row>
    <row r="530">
      <c r="A530" s="106" t="n"/>
      <c r="B530" s="107" t="n"/>
      <c r="C530" s="107" t="n"/>
      <c r="D530" s="127" t="n"/>
      <c r="E530" s="106" t="n"/>
      <c r="F530" s="107" t="n"/>
      <c r="G530" s="106" t="n"/>
      <c r="H530" s="107" t="n"/>
    </row>
    <row r="531">
      <c r="A531" s="106" t="n"/>
      <c r="B531" s="107" t="n"/>
      <c r="C531" s="107" t="n"/>
      <c r="D531" s="127" t="n"/>
      <c r="E531" s="106" t="n"/>
      <c r="F531" s="107" t="n"/>
      <c r="G531" s="106" t="n"/>
      <c r="H531" s="107" t="n"/>
    </row>
    <row r="532">
      <c r="A532" s="106" t="n"/>
      <c r="B532" s="107" t="n"/>
      <c r="C532" s="107" t="n"/>
      <c r="D532" s="127" t="n"/>
      <c r="E532" s="106" t="n"/>
      <c r="F532" s="107" t="n"/>
      <c r="G532" s="106" t="n"/>
      <c r="H532" s="107" t="n"/>
    </row>
    <row r="533">
      <c r="A533" s="106" t="n"/>
      <c r="B533" s="107" t="n"/>
      <c r="C533" s="107" t="n"/>
      <c r="D533" s="127" t="n"/>
      <c r="E533" s="106" t="n"/>
      <c r="F533" s="107" t="n"/>
      <c r="G533" s="106" t="n"/>
      <c r="H533" s="107" t="n"/>
    </row>
    <row r="534">
      <c r="A534" s="106" t="n"/>
      <c r="B534" s="107" t="n"/>
      <c r="C534" s="107" t="n"/>
      <c r="D534" s="127" t="n"/>
      <c r="E534" s="106" t="n"/>
      <c r="F534" s="107" t="n"/>
      <c r="G534" s="106" t="n"/>
      <c r="H534" s="107" t="n"/>
    </row>
    <row r="535">
      <c r="A535" s="106" t="n"/>
      <c r="B535" s="107" t="n"/>
      <c r="C535" s="107" t="n"/>
      <c r="D535" s="127" t="n"/>
      <c r="E535" s="106" t="n"/>
      <c r="F535" s="107" t="n"/>
      <c r="G535" s="106" t="n"/>
      <c r="H535" s="107" t="n"/>
    </row>
    <row r="536">
      <c r="A536" s="106" t="n"/>
      <c r="B536" s="107" t="n"/>
      <c r="C536" s="107" t="n"/>
      <c r="D536" s="127" t="n"/>
      <c r="E536" s="106" t="n"/>
      <c r="F536" s="107" t="n"/>
      <c r="G536" s="106" t="n"/>
      <c r="H536" s="107" t="n"/>
    </row>
    <row r="537">
      <c r="A537" s="106" t="n"/>
      <c r="B537" s="107" t="n"/>
      <c r="C537" s="107" t="n"/>
      <c r="D537" s="127" t="n"/>
      <c r="E537" s="106" t="n"/>
      <c r="F537" s="107" t="n"/>
      <c r="G537" s="106" t="n"/>
      <c r="H537" s="107" t="n"/>
    </row>
    <row r="538">
      <c r="A538" s="106" t="n"/>
      <c r="B538" s="107" t="n"/>
      <c r="C538" s="107" t="n"/>
      <c r="D538" s="127" t="n"/>
      <c r="E538" s="106" t="n"/>
      <c r="F538" s="107" t="n"/>
      <c r="G538" s="106" t="n"/>
      <c r="H538" s="107" t="n"/>
    </row>
    <row r="539">
      <c r="A539" s="106" t="n"/>
      <c r="B539" s="107" t="n"/>
      <c r="C539" s="107" t="n"/>
      <c r="D539" s="127" t="n"/>
      <c r="E539" s="106" t="n"/>
      <c r="F539" s="107" t="n"/>
      <c r="G539" s="106" t="n"/>
      <c r="H539" s="107" t="n"/>
    </row>
    <row r="540">
      <c r="A540" s="106" t="n"/>
      <c r="B540" s="107" t="n"/>
      <c r="C540" s="107" t="n"/>
      <c r="D540" s="127" t="n"/>
      <c r="E540" s="106" t="n"/>
      <c r="F540" s="107" t="n"/>
      <c r="G540" s="106" t="n"/>
      <c r="H540" s="107" t="n"/>
    </row>
    <row r="541">
      <c r="A541" s="106" t="n"/>
      <c r="B541" s="107" t="n"/>
      <c r="C541" s="107" t="n"/>
      <c r="D541" s="127" t="n"/>
      <c r="E541" s="106" t="n"/>
      <c r="F541" s="107" t="n"/>
      <c r="G541" s="106" t="n"/>
      <c r="H541" s="107" t="n"/>
    </row>
    <row r="542">
      <c r="A542" s="106" t="n"/>
      <c r="B542" s="107" t="n"/>
      <c r="C542" s="107" t="n"/>
      <c r="D542" s="127" t="n"/>
      <c r="E542" s="106" t="n"/>
      <c r="F542" s="107" t="n"/>
      <c r="G542" s="106" t="n"/>
      <c r="H542" s="107" t="n"/>
    </row>
    <row r="543">
      <c r="A543" s="106" t="n"/>
      <c r="B543" s="107" t="n"/>
      <c r="C543" s="107" t="n"/>
      <c r="D543" s="127" t="n"/>
      <c r="E543" s="106" t="n"/>
      <c r="F543" s="107" t="n"/>
      <c r="G543" s="106" t="n"/>
      <c r="H543" s="107" t="n"/>
    </row>
    <row r="544">
      <c r="A544" s="106" t="n"/>
      <c r="B544" s="107" t="n"/>
      <c r="C544" s="107" t="n"/>
      <c r="D544" s="127" t="n"/>
      <c r="E544" s="106" t="n"/>
      <c r="F544" s="107" t="n"/>
      <c r="G544" s="106" t="n"/>
      <c r="H544" s="107" t="n"/>
    </row>
    <row r="545">
      <c r="A545" s="106" t="n"/>
      <c r="B545" s="107" t="n"/>
      <c r="C545" s="107" t="n"/>
      <c r="D545" s="127" t="n"/>
      <c r="E545" s="106" t="n"/>
      <c r="F545" s="107" t="n"/>
      <c r="G545" s="106" t="n"/>
      <c r="H545" s="107" t="n"/>
    </row>
    <row r="546">
      <c r="A546" s="106" t="n"/>
      <c r="B546" s="107" t="n"/>
      <c r="C546" s="107" t="n"/>
      <c r="D546" s="127" t="n"/>
      <c r="E546" s="106" t="n"/>
      <c r="F546" s="107" t="n"/>
      <c r="G546" s="106" t="n"/>
      <c r="H546" s="107" t="n"/>
    </row>
    <row r="547">
      <c r="A547" s="106" t="n"/>
      <c r="B547" s="107" t="n"/>
      <c r="C547" s="107" t="n"/>
      <c r="D547" s="127" t="n"/>
      <c r="E547" s="106" t="n"/>
      <c r="F547" s="107" t="n"/>
      <c r="G547" s="106" t="n"/>
      <c r="H547" s="107" t="n"/>
    </row>
    <row r="548">
      <c r="A548" s="106" t="n"/>
      <c r="B548" s="107" t="n"/>
      <c r="C548" s="107" t="n"/>
      <c r="D548" s="127" t="n"/>
      <c r="E548" s="106" t="n"/>
      <c r="F548" s="107" t="n"/>
      <c r="G548" s="106" t="n"/>
      <c r="H548" s="107" t="n"/>
    </row>
    <row r="549">
      <c r="A549" s="106" t="n"/>
      <c r="B549" s="107" t="n"/>
      <c r="C549" s="107" t="n"/>
      <c r="D549" s="127" t="n"/>
      <c r="E549" s="106" t="n"/>
      <c r="F549" s="107" t="n"/>
      <c r="G549" s="106" t="n"/>
      <c r="H549" s="107" t="n"/>
    </row>
    <row r="550">
      <c r="A550" s="106" t="n"/>
      <c r="B550" s="107" t="n"/>
      <c r="C550" s="107" t="n"/>
      <c r="D550" s="127" t="n"/>
      <c r="E550" s="106" t="n"/>
      <c r="F550" s="107" t="n"/>
      <c r="G550" s="106" t="n"/>
      <c r="H550" s="107" t="n"/>
    </row>
    <row r="551">
      <c r="A551" s="106" t="n"/>
      <c r="B551" s="107" t="n"/>
      <c r="C551" s="107" t="n"/>
      <c r="D551" s="127" t="n"/>
      <c r="E551" s="106" t="n"/>
      <c r="F551" s="107" t="n"/>
      <c r="G551" s="106" t="n"/>
      <c r="H551" s="107" t="n"/>
    </row>
    <row r="552">
      <c r="A552" s="106" t="n"/>
      <c r="B552" s="107" t="n"/>
      <c r="C552" s="107" t="n"/>
      <c r="D552" s="127" t="n"/>
      <c r="E552" s="106" t="n"/>
      <c r="F552" s="107" t="n"/>
      <c r="G552" s="106" t="n"/>
      <c r="H552" s="107" t="n"/>
    </row>
    <row r="553">
      <c r="A553" s="106" t="n"/>
      <c r="B553" s="107" t="n"/>
      <c r="C553" s="107" t="n"/>
      <c r="D553" s="127" t="n"/>
      <c r="E553" s="106" t="n"/>
      <c r="F553" s="107" t="n"/>
      <c r="G553" s="106" t="n"/>
      <c r="H553" s="107" t="n"/>
    </row>
    <row r="554">
      <c r="A554" s="106" t="n"/>
      <c r="B554" s="107" t="n"/>
      <c r="C554" s="107" t="n"/>
      <c r="D554" s="127" t="n"/>
      <c r="E554" s="106" t="n"/>
      <c r="F554" s="107" t="n"/>
      <c r="G554" s="106" t="n"/>
      <c r="H554" s="107" t="n"/>
    </row>
    <row r="555">
      <c r="A555" s="106" t="n"/>
      <c r="B555" s="107" t="n"/>
      <c r="C555" s="107" t="n"/>
      <c r="D555" s="127" t="n"/>
      <c r="E555" s="106" t="n"/>
      <c r="F555" s="107" t="n"/>
      <c r="G555" s="106" t="n"/>
      <c r="H555" s="107" t="n"/>
    </row>
    <row r="556">
      <c r="A556" s="106" t="n"/>
      <c r="B556" s="107" t="n"/>
      <c r="C556" s="107" t="n"/>
      <c r="D556" s="127" t="n"/>
      <c r="E556" s="106" t="n"/>
      <c r="F556" s="107" t="n"/>
      <c r="G556" s="106" t="n"/>
      <c r="H556" s="107" t="n"/>
    </row>
    <row r="557">
      <c r="A557" s="106" t="n"/>
      <c r="B557" s="107" t="n"/>
      <c r="C557" s="107" t="n"/>
      <c r="D557" s="127" t="n"/>
      <c r="E557" s="106" t="n"/>
      <c r="F557" s="107" t="n"/>
      <c r="G557" s="106" t="n"/>
      <c r="H557" s="107" t="n"/>
    </row>
    <row r="558">
      <c r="A558" s="106" t="n"/>
      <c r="B558" s="107" t="n"/>
      <c r="C558" s="107" t="n"/>
      <c r="D558" s="127" t="n"/>
      <c r="E558" s="106" t="n"/>
      <c r="F558" s="107" t="n"/>
      <c r="G558" s="106" t="n"/>
      <c r="H558" s="107" t="n"/>
    </row>
    <row r="559">
      <c r="A559" s="106" t="n"/>
      <c r="B559" s="107" t="n"/>
      <c r="C559" s="107" t="n"/>
      <c r="D559" s="127" t="n"/>
      <c r="E559" s="106" t="n"/>
      <c r="F559" s="107" t="n"/>
      <c r="G559" s="106" t="n"/>
      <c r="H559" s="107" t="n"/>
    </row>
    <row r="560">
      <c r="A560" s="106" t="n"/>
      <c r="B560" s="107" t="n"/>
      <c r="C560" s="107" t="n"/>
      <c r="D560" s="127" t="n"/>
      <c r="E560" s="106" t="n"/>
      <c r="F560" s="107" t="n"/>
      <c r="G560" s="106" t="n"/>
      <c r="H560" s="107" t="n"/>
    </row>
    <row r="561">
      <c r="A561" s="106" t="n"/>
      <c r="B561" s="107" t="n"/>
      <c r="C561" s="107" t="n"/>
      <c r="D561" s="127" t="n"/>
      <c r="E561" s="106" t="n"/>
      <c r="F561" s="107" t="n"/>
      <c r="G561" s="106" t="n"/>
      <c r="H561" s="107" t="n"/>
    </row>
    <row r="562">
      <c r="A562" s="106" t="n"/>
      <c r="B562" s="107" t="n"/>
      <c r="C562" s="107" t="n"/>
      <c r="D562" s="127" t="n"/>
      <c r="E562" s="106" t="n"/>
      <c r="F562" s="107" t="n"/>
      <c r="G562" s="106" t="n"/>
      <c r="H562" s="107" t="n"/>
    </row>
    <row r="563">
      <c r="A563" s="106" t="n"/>
      <c r="B563" s="107" t="n"/>
      <c r="C563" s="107" t="n"/>
      <c r="D563" s="127" t="n"/>
      <c r="E563" s="106" t="n"/>
      <c r="F563" s="107" t="n"/>
      <c r="G563" s="106" t="n"/>
      <c r="H563" s="107" t="n"/>
    </row>
    <row r="564">
      <c r="A564" s="106" t="n"/>
      <c r="B564" s="107" t="n"/>
      <c r="C564" s="107" t="n"/>
      <c r="D564" s="127" t="n"/>
      <c r="E564" s="106" t="n"/>
      <c r="F564" s="107" t="n"/>
      <c r="G564" s="106" t="n"/>
      <c r="H564" s="107" t="n"/>
    </row>
    <row r="565">
      <c r="A565" s="106" t="n"/>
      <c r="B565" s="107" t="n"/>
      <c r="C565" s="107" t="n"/>
      <c r="D565" s="127" t="n"/>
      <c r="E565" s="106" t="n"/>
      <c r="F565" s="107" t="n"/>
      <c r="G565" s="106" t="n"/>
      <c r="H565" s="107" t="n"/>
    </row>
    <row r="566">
      <c r="A566" s="106" t="n"/>
      <c r="B566" s="107" t="n"/>
      <c r="C566" s="107" t="n"/>
      <c r="D566" s="127" t="n"/>
      <c r="E566" s="106" t="n"/>
      <c r="F566" s="107" t="n"/>
      <c r="G566" s="106" t="n"/>
      <c r="H566" s="107" t="n"/>
    </row>
    <row r="567">
      <c r="A567" s="106" t="n"/>
      <c r="B567" s="107" t="n"/>
      <c r="C567" s="107" t="n"/>
      <c r="D567" s="127" t="n"/>
      <c r="E567" s="106" t="n"/>
      <c r="F567" s="107" t="n"/>
      <c r="G567" s="106" t="n"/>
      <c r="H567" s="107" t="n"/>
    </row>
    <row r="568">
      <c r="A568" s="106" t="n"/>
      <c r="B568" s="107" t="n"/>
      <c r="C568" s="107" t="n"/>
      <c r="D568" s="127" t="n"/>
      <c r="E568" s="106" t="n"/>
      <c r="F568" s="107" t="n"/>
      <c r="G568" s="106" t="n"/>
      <c r="H568" s="107" t="n"/>
    </row>
    <row r="569">
      <c r="A569" s="106" t="n"/>
      <c r="B569" s="107" t="n"/>
      <c r="C569" s="107" t="n"/>
      <c r="D569" s="127" t="n"/>
      <c r="E569" s="106" t="n"/>
      <c r="F569" s="107" t="n"/>
      <c r="G569" s="106" t="n"/>
      <c r="H569" s="107" t="n"/>
    </row>
    <row r="570">
      <c r="A570" s="106" t="n"/>
      <c r="B570" s="107" t="n"/>
      <c r="C570" s="107" t="n"/>
      <c r="D570" s="127" t="n"/>
      <c r="E570" s="106" t="n"/>
      <c r="F570" s="107" t="n"/>
      <c r="G570" s="106" t="n"/>
      <c r="H570" s="107" t="n"/>
    </row>
    <row r="571">
      <c r="A571" s="106" t="n"/>
      <c r="B571" s="107" t="n"/>
      <c r="C571" s="107" t="n"/>
      <c r="D571" s="127" t="n"/>
      <c r="E571" s="106" t="n"/>
      <c r="F571" s="107" t="n"/>
      <c r="G571" s="106" t="n"/>
      <c r="H571" s="107" t="n"/>
    </row>
    <row r="572">
      <c r="A572" s="106" t="n"/>
      <c r="B572" s="107" t="n"/>
      <c r="C572" s="107" t="n"/>
      <c r="D572" s="127" t="n"/>
      <c r="E572" s="106" t="n"/>
      <c r="F572" s="107" t="n"/>
      <c r="G572" s="106" t="n"/>
      <c r="H572" s="107" t="n"/>
    </row>
    <row r="573">
      <c r="A573" s="106" t="n"/>
      <c r="B573" s="107" t="n"/>
      <c r="C573" s="107" t="n"/>
      <c r="D573" s="127" t="n"/>
      <c r="E573" s="106" t="n"/>
      <c r="F573" s="107" t="n"/>
      <c r="G573" s="106" t="n"/>
      <c r="H573" s="107" t="n"/>
    </row>
    <row r="574">
      <c r="A574" s="106" t="n"/>
      <c r="B574" s="107" t="n"/>
      <c r="C574" s="107" t="n"/>
      <c r="D574" s="127" t="n"/>
      <c r="E574" s="106" t="n"/>
      <c r="F574" s="107" t="n"/>
      <c r="G574" s="106" t="n"/>
      <c r="H574" s="107" t="n"/>
    </row>
    <row r="575">
      <c r="A575" s="106" t="n"/>
      <c r="B575" s="107" t="n"/>
      <c r="C575" s="107" t="n"/>
      <c r="D575" s="127" t="n"/>
      <c r="E575" s="106" t="n"/>
      <c r="F575" s="107" t="n"/>
      <c r="G575" s="106" t="n"/>
      <c r="H575" s="107" t="n"/>
    </row>
    <row r="576">
      <c r="A576" s="106" t="n"/>
      <c r="B576" s="107" t="n"/>
      <c r="C576" s="107" t="n"/>
      <c r="D576" s="127" t="n"/>
      <c r="E576" s="106" t="n"/>
      <c r="F576" s="107" t="n"/>
      <c r="G576" s="106" t="n"/>
      <c r="H576" s="107" t="n"/>
    </row>
    <row r="577">
      <c r="A577" s="106" t="n"/>
      <c r="B577" s="107" t="n"/>
      <c r="C577" s="107" t="n"/>
      <c r="D577" s="127" t="n"/>
      <c r="E577" s="106" t="n"/>
      <c r="F577" s="107" t="n"/>
      <c r="G577" s="106" t="n"/>
      <c r="H577" s="107" t="n"/>
    </row>
    <row r="578">
      <c r="A578" s="106" t="n"/>
      <c r="B578" s="107" t="n"/>
      <c r="C578" s="107" t="n"/>
      <c r="D578" s="127" t="n"/>
      <c r="E578" s="106" t="n"/>
      <c r="F578" s="107" t="n"/>
      <c r="G578" s="106" t="n"/>
      <c r="H578" s="107" t="n"/>
    </row>
    <row r="579">
      <c r="A579" s="106" t="n"/>
      <c r="B579" s="107" t="n"/>
      <c r="C579" s="107" t="n"/>
      <c r="D579" s="127" t="n"/>
      <c r="E579" s="106" t="n"/>
      <c r="F579" s="107" t="n"/>
      <c r="G579" s="106" t="n"/>
      <c r="H579" s="107" t="n"/>
    </row>
    <row r="580">
      <c r="A580" s="106" t="n"/>
      <c r="B580" s="107" t="n"/>
      <c r="C580" s="107" t="n"/>
      <c r="D580" s="127" t="n"/>
      <c r="E580" s="106" t="n"/>
      <c r="F580" s="107" t="n"/>
      <c r="G580" s="106" t="n"/>
      <c r="H580" s="107" t="n"/>
    </row>
    <row r="581">
      <c r="A581" s="106" t="n"/>
      <c r="B581" s="107" t="n"/>
      <c r="C581" s="107" t="n"/>
      <c r="D581" s="127" t="n"/>
      <c r="E581" s="106" t="n"/>
      <c r="F581" s="107" t="n"/>
      <c r="G581" s="106" t="n"/>
      <c r="H581" s="107" t="n"/>
    </row>
    <row r="582">
      <c r="A582" s="106" t="n"/>
      <c r="B582" s="107" t="n"/>
      <c r="C582" s="107" t="n"/>
      <c r="D582" s="127" t="n"/>
      <c r="E582" s="106" t="n"/>
      <c r="F582" s="107" t="n"/>
      <c r="G582" s="106" t="n"/>
      <c r="H582" s="107" t="n"/>
    </row>
    <row r="583">
      <c r="A583" s="106" t="n"/>
      <c r="B583" s="107" t="n"/>
      <c r="C583" s="107" t="n"/>
      <c r="D583" s="127" t="n"/>
      <c r="E583" s="106" t="n"/>
      <c r="F583" s="107" t="n"/>
      <c r="G583" s="106" t="n"/>
      <c r="H583" s="107" t="n"/>
    </row>
    <row r="584">
      <c r="A584" s="106" t="n"/>
      <c r="B584" s="107" t="n"/>
      <c r="C584" s="107" t="n"/>
      <c r="D584" s="127" t="n"/>
      <c r="E584" s="106" t="n"/>
      <c r="F584" s="107" t="n"/>
      <c r="G584" s="106" t="n"/>
      <c r="H584" s="107" t="n"/>
    </row>
    <row r="585">
      <c r="A585" s="106" t="n"/>
      <c r="B585" s="107" t="n"/>
      <c r="C585" s="107" t="n"/>
      <c r="D585" s="127" t="n"/>
      <c r="E585" s="106" t="n"/>
      <c r="F585" s="107" t="n"/>
      <c r="G585" s="106" t="n"/>
      <c r="H585" s="107" t="n"/>
    </row>
    <row r="586">
      <c r="A586" s="106" t="n"/>
      <c r="B586" s="107" t="n"/>
      <c r="C586" s="107" t="n"/>
      <c r="D586" s="127" t="n"/>
      <c r="E586" s="106" t="n"/>
      <c r="F586" s="107" t="n"/>
      <c r="G586" s="106" t="n"/>
      <c r="H586" s="107" t="n"/>
    </row>
    <row r="587">
      <c r="A587" s="106" t="n"/>
      <c r="B587" s="107" t="n"/>
      <c r="C587" s="107" t="n"/>
      <c r="D587" s="127" t="n"/>
      <c r="E587" s="106" t="n"/>
      <c r="F587" s="107" t="n"/>
      <c r="G587" s="106" t="n"/>
      <c r="H587" s="107" t="n"/>
    </row>
    <row r="588">
      <c r="A588" s="106" t="n"/>
      <c r="B588" s="107" t="n"/>
      <c r="C588" s="107" t="n"/>
      <c r="D588" s="127" t="n"/>
      <c r="E588" s="106" t="n"/>
      <c r="F588" s="107" t="n"/>
      <c r="G588" s="106" t="n"/>
      <c r="H588" s="107" t="n"/>
    </row>
    <row r="589">
      <c r="A589" s="106" t="n"/>
      <c r="B589" s="107" t="n"/>
      <c r="C589" s="107" t="n"/>
      <c r="D589" s="127" t="n"/>
      <c r="E589" s="106" t="n"/>
      <c r="F589" s="107" t="n"/>
      <c r="G589" s="106" t="n"/>
      <c r="H589" s="107" t="n"/>
    </row>
    <row r="590">
      <c r="A590" s="106" t="n"/>
      <c r="B590" s="107" t="n"/>
      <c r="C590" s="107" t="n"/>
      <c r="D590" s="127" t="n"/>
      <c r="E590" s="106" t="n"/>
      <c r="F590" s="107" t="n"/>
      <c r="G590" s="106" t="n"/>
      <c r="H590" s="107" t="n"/>
    </row>
    <row r="591">
      <c r="A591" s="106" t="n"/>
      <c r="B591" s="107" t="n"/>
      <c r="C591" s="107" t="n"/>
      <c r="D591" s="127" t="n"/>
      <c r="E591" s="106" t="n"/>
      <c r="F591" s="107" t="n"/>
      <c r="G591" s="106" t="n"/>
      <c r="H591" s="107" t="n"/>
    </row>
    <row r="592">
      <c r="A592" s="106" t="n"/>
      <c r="B592" s="107" t="n"/>
      <c r="C592" s="107" t="n"/>
      <c r="D592" s="127" t="n"/>
      <c r="E592" s="106" t="n"/>
      <c r="F592" s="107" t="n"/>
      <c r="G592" s="106" t="n"/>
      <c r="H592" s="107" t="n"/>
    </row>
    <row r="593">
      <c r="A593" s="106" t="n"/>
      <c r="B593" s="107" t="n"/>
      <c r="C593" s="107" t="n"/>
      <c r="D593" s="127" t="n"/>
      <c r="E593" s="106" t="n"/>
      <c r="F593" s="107" t="n"/>
      <c r="G593" s="106" t="n"/>
      <c r="H593" s="107" t="n"/>
    </row>
    <row r="594">
      <c r="A594" s="106" t="n"/>
      <c r="B594" s="107" t="n"/>
      <c r="C594" s="107" t="n"/>
      <c r="D594" s="127" t="n"/>
      <c r="E594" s="106" t="n"/>
      <c r="F594" s="107" t="n"/>
      <c r="G594" s="106" t="n"/>
      <c r="H594" s="107" t="n"/>
    </row>
    <row r="595">
      <c r="A595" s="106" t="n"/>
      <c r="B595" s="107" t="n"/>
      <c r="C595" s="107" t="n"/>
      <c r="D595" s="127" t="n"/>
      <c r="E595" s="106" t="n"/>
      <c r="F595" s="107" t="n"/>
      <c r="G595" s="106" t="n"/>
      <c r="H595" s="107" t="n"/>
    </row>
    <row r="596">
      <c r="A596" s="106" t="n"/>
      <c r="B596" s="107" t="n"/>
      <c r="C596" s="107" t="n"/>
      <c r="D596" s="127" t="n"/>
      <c r="E596" s="106" t="n"/>
      <c r="F596" s="107" t="n"/>
      <c r="G596" s="106" t="n"/>
      <c r="H596" s="107" t="n"/>
    </row>
    <row r="597">
      <c r="A597" s="106" t="n"/>
      <c r="B597" s="107" t="n"/>
      <c r="C597" s="107" t="n"/>
      <c r="D597" s="127" t="n"/>
      <c r="E597" s="106" t="n"/>
      <c r="F597" s="107" t="n"/>
      <c r="G597" s="106" t="n"/>
      <c r="H597" s="107" t="n"/>
    </row>
    <row r="598">
      <c r="A598" s="106" t="n"/>
      <c r="B598" s="107" t="n"/>
      <c r="C598" s="107" t="n"/>
      <c r="D598" s="127" t="n"/>
      <c r="E598" s="106" t="n"/>
      <c r="F598" s="107" t="n"/>
      <c r="G598" s="106" t="n"/>
      <c r="H598" s="107" t="n"/>
    </row>
    <row r="599">
      <c r="A599" s="106" t="n"/>
      <c r="B599" s="107" t="n"/>
      <c r="C599" s="107" t="n"/>
      <c r="D599" s="127" t="n"/>
      <c r="E599" s="106" t="n"/>
      <c r="F599" s="107" t="n"/>
      <c r="G599" s="106" t="n"/>
      <c r="H599" s="107" t="n"/>
    </row>
    <row r="600">
      <c r="A600" s="106" t="n"/>
      <c r="B600" s="107" t="n"/>
      <c r="C600" s="107" t="n"/>
      <c r="D600" s="127" t="n"/>
      <c r="E600" s="106" t="n"/>
      <c r="F600" s="107" t="n"/>
      <c r="G600" s="106" t="n"/>
      <c r="H600" s="107" t="n"/>
    </row>
    <row r="601">
      <c r="A601" s="106" t="n"/>
      <c r="B601" s="107" t="n"/>
      <c r="C601" s="107" t="n"/>
      <c r="D601" s="127" t="n"/>
      <c r="E601" s="106" t="n"/>
      <c r="F601" s="107" t="n"/>
      <c r="G601" s="106" t="n"/>
      <c r="H601" s="107" t="n"/>
    </row>
    <row r="602">
      <c r="A602" s="106" t="n"/>
      <c r="B602" s="107" t="n"/>
      <c r="C602" s="107" t="n"/>
      <c r="D602" s="127" t="n"/>
      <c r="E602" s="106" t="n"/>
      <c r="F602" s="107" t="n"/>
      <c r="G602" s="106" t="n"/>
      <c r="H602" s="107" t="n"/>
    </row>
    <row r="603">
      <c r="A603" s="106" t="n"/>
      <c r="B603" s="107" t="n"/>
      <c r="C603" s="107" t="n"/>
      <c r="D603" s="127" t="n"/>
      <c r="E603" s="106" t="n"/>
      <c r="F603" s="107" t="n"/>
      <c r="G603" s="106" t="n"/>
      <c r="H603" s="107" t="n"/>
    </row>
    <row r="604">
      <c r="A604" s="106" t="n"/>
      <c r="B604" s="107" t="n"/>
      <c r="C604" s="107" t="n"/>
      <c r="D604" s="127" t="n"/>
      <c r="E604" s="106" t="n"/>
      <c r="F604" s="107" t="n"/>
      <c r="G604" s="106" t="n"/>
      <c r="H604" s="107" t="n"/>
    </row>
    <row r="605">
      <c r="A605" s="106" t="n"/>
      <c r="B605" s="107" t="n"/>
      <c r="C605" s="107" t="n"/>
      <c r="D605" s="127" t="n"/>
      <c r="E605" s="106" t="n"/>
      <c r="F605" s="107" t="n"/>
      <c r="G605" s="106" t="n"/>
      <c r="H605" s="107" t="n"/>
    </row>
    <row r="606">
      <c r="A606" s="106" t="n"/>
      <c r="B606" s="107" t="n"/>
      <c r="C606" s="107" t="n"/>
      <c r="D606" s="127" t="n"/>
      <c r="E606" s="106" t="n"/>
      <c r="F606" s="107" t="n"/>
      <c r="G606" s="106" t="n"/>
      <c r="H606" s="107" t="n"/>
    </row>
    <row r="607">
      <c r="A607" s="106" t="n"/>
      <c r="B607" s="107" t="n"/>
      <c r="C607" s="107" t="n"/>
      <c r="D607" s="127" t="n"/>
      <c r="E607" s="106" t="n"/>
      <c r="F607" s="107" t="n"/>
      <c r="G607" s="106" t="n"/>
      <c r="H607" s="107" t="n"/>
    </row>
    <row r="608">
      <c r="A608" s="106" t="n"/>
      <c r="B608" s="107" t="n"/>
      <c r="C608" s="107" t="n"/>
      <c r="D608" s="127" t="n"/>
      <c r="E608" s="106" t="n"/>
      <c r="F608" s="107" t="n"/>
      <c r="G608" s="106" t="n"/>
      <c r="H608" s="107" t="n"/>
    </row>
    <row r="609">
      <c r="A609" s="106" t="n"/>
      <c r="B609" s="107" t="n"/>
      <c r="C609" s="107" t="n"/>
      <c r="D609" s="127" t="n"/>
      <c r="E609" s="106" t="n"/>
      <c r="F609" s="107" t="n"/>
      <c r="G609" s="106" t="n"/>
      <c r="H609" s="107" t="n"/>
    </row>
    <row r="610">
      <c r="A610" s="106" t="n"/>
      <c r="B610" s="107" t="n"/>
      <c r="C610" s="107" t="n"/>
      <c r="D610" s="127" t="n"/>
      <c r="E610" s="106" t="n"/>
      <c r="F610" s="107" t="n"/>
      <c r="G610" s="106" t="n"/>
      <c r="H610" s="107" t="n"/>
    </row>
    <row r="611">
      <c r="A611" s="106" t="n"/>
      <c r="B611" s="107" t="n"/>
      <c r="C611" s="107" t="n"/>
      <c r="D611" s="127" t="n"/>
      <c r="E611" s="106" t="n"/>
      <c r="F611" s="107" t="n"/>
      <c r="G611" s="106" t="n"/>
      <c r="H611" s="107" t="n"/>
    </row>
    <row r="612">
      <c r="A612" s="106" t="n"/>
      <c r="B612" s="107" t="n"/>
      <c r="C612" s="107" t="n"/>
      <c r="D612" s="127" t="n"/>
      <c r="E612" s="106" t="n"/>
      <c r="F612" s="107" t="n"/>
      <c r="G612" s="106" t="n"/>
      <c r="H612" s="107" t="n"/>
    </row>
    <row r="613">
      <c r="A613" s="106" t="n"/>
      <c r="B613" s="107" t="n"/>
      <c r="C613" s="107" t="n"/>
      <c r="D613" s="127" t="n"/>
      <c r="E613" s="106" t="n"/>
      <c r="F613" s="107" t="n"/>
      <c r="G613" s="106" t="n"/>
      <c r="H613" s="107" t="n"/>
    </row>
    <row r="614">
      <c r="A614" s="106" t="n"/>
      <c r="B614" s="107" t="n"/>
      <c r="C614" s="107" t="n"/>
      <c r="D614" s="127" t="n"/>
      <c r="E614" s="106" t="n"/>
      <c r="F614" s="107" t="n"/>
      <c r="G614" s="106" t="n"/>
      <c r="H614" s="107" t="n"/>
    </row>
    <row r="615">
      <c r="A615" s="106" t="n"/>
      <c r="B615" s="107" t="n"/>
      <c r="C615" s="107" t="n"/>
      <c r="D615" s="127" t="n"/>
      <c r="E615" s="106" t="n"/>
      <c r="F615" s="107" t="n"/>
      <c r="G615" s="106" t="n"/>
      <c r="H615" s="107" t="n"/>
    </row>
    <row r="616">
      <c r="A616" s="106" t="n"/>
      <c r="B616" s="107" t="n"/>
      <c r="C616" s="107" t="n"/>
      <c r="D616" s="127" t="n"/>
      <c r="E616" s="106" t="n"/>
      <c r="F616" s="107" t="n"/>
      <c r="G616" s="106" t="n"/>
      <c r="H616" s="107" t="n"/>
    </row>
    <row r="617">
      <c r="A617" s="106" t="n"/>
      <c r="B617" s="107" t="n"/>
      <c r="C617" s="107" t="n"/>
      <c r="D617" s="127" t="n"/>
      <c r="E617" s="106" t="n"/>
      <c r="F617" s="107" t="n"/>
      <c r="G617" s="106" t="n"/>
      <c r="H617" s="107" t="n"/>
    </row>
    <row r="618">
      <c r="A618" s="106" t="n"/>
      <c r="B618" s="107" t="n"/>
      <c r="C618" s="107" t="n"/>
      <c r="D618" s="127" t="n"/>
      <c r="E618" s="106" t="n"/>
      <c r="F618" s="107" t="n"/>
      <c r="G618" s="106" t="n"/>
      <c r="H618" s="107" t="n"/>
    </row>
    <row r="619">
      <c r="A619" s="106" t="n"/>
      <c r="B619" s="107" t="n"/>
      <c r="C619" s="107" t="n"/>
      <c r="D619" s="127" t="n"/>
      <c r="E619" s="106" t="n"/>
      <c r="F619" s="107" t="n"/>
      <c r="G619" s="106" t="n"/>
      <c r="H619" s="107" t="n"/>
    </row>
    <row r="620">
      <c r="A620" s="106" t="n"/>
      <c r="B620" s="107" t="n"/>
      <c r="C620" s="107" t="n"/>
      <c r="D620" s="127" t="n"/>
      <c r="E620" s="106" t="n"/>
      <c r="F620" s="107" t="n"/>
      <c r="G620" s="106" t="n"/>
      <c r="H620" s="107" t="n"/>
    </row>
    <row r="621">
      <c r="A621" s="106" t="n"/>
      <c r="B621" s="107" t="n"/>
      <c r="C621" s="107" t="n"/>
      <c r="D621" s="127" t="n"/>
      <c r="E621" s="106" t="n"/>
      <c r="F621" s="107" t="n"/>
      <c r="G621" s="106" t="n"/>
      <c r="H621" s="107" t="n"/>
    </row>
    <row r="622">
      <c r="A622" s="106" t="n"/>
      <c r="B622" s="107" t="n"/>
      <c r="C622" s="107" t="n"/>
      <c r="D622" s="127" t="n"/>
      <c r="E622" s="106" t="n"/>
      <c r="F622" s="107" t="n"/>
      <c r="G622" s="106" t="n"/>
      <c r="H622" s="107" t="n"/>
    </row>
    <row r="623">
      <c r="A623" s="106" t="n"/>
      <c r="B623" s="107" t="n"/>
      <c r="C623" s="107" t="n"/>
      <c r="D623" s="127" t="n"/>
      <c r="E623" s="106" t="n"/>
      <c r="F623" s="107" t="n"/>
      <c r="G623" s="106" t="n"/>
      <c r="H623" s="107" t="n"/>
    </row>
    <row r="624">
      <c r="A624" s="106" t="n"/>
      <c r="B624" s="107" t="n"/>
      <c r="C624" s="107" t="n"/>
      <c r="D624" s="127" t="n"/>
      <c r="E624" s="106" t="n"/>
      <c r="F624" s="107" t="n"/>
      <c r="G624" s="106" t="n"/>
      <c r="H624" s="107" t="n"/>
    </row>
    <row r="625">
      <c r="A625" s="106" t="n"/>
      <c r="B625" s="107" t="n"/>
      <c r="C625" s="107" t="n"/>
      <c r="D625" s="127" t="n"/>
      <c r="E625" s="106" t="n"/>
      <c r="F625" s="107" t="n"/>
      <c r="G625" s="106" t="n"/>
      <c r="H625" s="107" t="n"/>
    </row>
    <row r="626">
      <c r="A626" s="106" t="n"/>
      <c r="B626" s="107" t="n"/>
      <c r="C626" s="107" t="n"/>
      <c r="D626" s="127" t="n"/>
      <c r="E626" s="106" t="n"/>
      <c r="F626" s="107" t="n"/>
      <c r="G626" s="106" t="n"/>
      <c r="H626" s="107" t="n"/>
    </row>
    <row r="627">
      <c r="A627" s="106" t="n"/>
      <c r="B627" s="107" t="n"/>
      <c r="C627" s="107" t="n"/>
      <c r="D627" s="127" t="n"/>
      <c r="E627" s="106" t="n"/>
      <c r="F627" s="107" t="n"/>
      <c r="G627" s="106" t="n"/>
      <c r="H627" s="107" t="n"/>
    </row>
    <row r="628">
      <c r="A628" s="106" t="n"/>
      <c r="B628" s="107" t="n"/>
      <c r="C628" s="107" t="n"/>
      <c r="D628" s="127" t="n"/>
      <c r="E628" s="106" t="n"/>
      <c r="F628" s="107" t="n"/>
      <c r="G628" s="106" t="n"/>
      <c r="H628" s="107" t="n"/>
    </row>
    <row r="629">
      <c r="A629" s="106" t="n"/>
      <c r="B629" s="107" t="n"/>
      <c r="C629" s="107" t="n"/>
      <c r="D629" s="127" t="n"/>
      <c r="E629" s="106" t="n"/>
      <c r="F629" s="107" t="n"/>
      <c r="G629" s="106" t="n"/>
      <c r="H629" s="107" t="n"/>
    </row>
    <row r="630">
      <c r="A630" s="106" t="n"/>
      <c r="B630" s="107" t="n"/>
      <c r="C630" s="107" t="n"/>
      <c r="D630" s="127" t="n"/>
      <c r="E630" s="106" t="n"/>
      <c r="F630" s="107" t="n"/>
      <c r="G630" s="106" t="n"/>
      <c r="H630" s="107" t="n"/>
    </row>
    <row r="631">
      <c r="A631" s="106" t="n"/>
      <c r="B631" s="107" t="n"/>
      <c r="C631" s="107" t="n"/>
      <c r="D631" s="127" t="n"/>
      <c r="E631" s="106" t="n"/>
      <c r="F631" s="107" t="n"/>
      <c r="G631" s="106" t="n"/>
      <c r="H631" s="107" t="n"/>
    </row>
    <row r="632">
      <c r="A632" s="106" t="n"/>
      <c r="B632" s="107" t="n"/>
      <c r="C632" s="107" t="n"/>
      <c r="D632" s="127" t="n"/>
      <c r="E632" s="106" t="n"/>
      <c r="F632" s="107" t="n"/>
      <c r="G632" s="106" t="n"/>
      <c r="H632" s="107" t="n"/>
    </row>
    <row r="633">
      <c r="A633" s="106" t="n"/>
      <c r="B633" s="107" t="n"/>
      <c r="C633" s="107" t="n"/>
      <c r="D633" s="127" t="n"/>
      <c r="E633" s="106" t="n"/>
      <c r="F633" s="107" t="n"/>
      <c r="G633" s="106" t="n"/>
      <c r="H633" s="107" t="n"/>
    </row>
    <row r="634">
      <c r="A634" s="106" t="n"/>
      <c r="B634" s="107" t="n"/>
      <c r="C634" s="107" t="n"/>
      <c r="D634" s="127" t="n"/>
      <c r="E634" s="106" t="n"/>
      <c r="F634" s="107" t="n"/>
      <c r="G634" s="106" t="n"/>
      <c r="H634" s="107" t="n"/>
    </row>
    <row r="635">
      <c r="A635" s="106" t="n"/>
      <c r="B635" s="107" t="n"/>
      <c r="C635" s="107" t="n"/>
      <c r="D635" s="127" t="n"/>
      <c r="E635" s="106" t="n"/>
      <c r="F635" s="107" t="n"/>
      <c r="G635" s="106" t="n"/>
      <c r="H635" s="107" t="n"/>
    </row>
    <row r="636">
      <c r="A636" s="106" t="n"/>
      <c r="B636" s="107" t="n"/>
      <c r="C636" s="107" t="n"/>
      <c r="D636" s="127" t="n"/>
      <c r="E636" s="106" t="n"/>
      <c r="F636" s="107" t="n"/>
      <c r="G636" s="106" t="n"/>
      <c r="H636" s="107" t="n"/>
    </row>
    <row r="637">
      <c r="A637" s="106" t="n"/>
      <c r="B637" s="107" t="n"/>
      <c r="C637" s="107" t="n"/>
      <c r="D637" s="127" t="n"/>
      <c r="E637" s="106" t="n"/>
      <c r="F637" s="107" t="n"/>
      <c r="G637" s="106" t="n"/>
      <c r="H637" s="107" t="n"/>
    </row>
    <row r="638">
      <c r="A638" s="106" t="n"/>
      <c r="B638" s="107" t="n"/>
      <c r="C638" s="107" t="n"/>
      <c r="D638" s="127" t="n"/>
      <c r="E638" s="106" t="n"/>
      <c r="F638" s="107" t="n"/>
      <c r="G638" s="106" t="n"/>
      <c r="H638" s="107" t="n"/>
    </row>
    <row r="639">
      <c r="A639" s="106" t="n"/>
      <c r="B639" s="107" t="n"/>
      <c r="C639" s="107" t="n"/>
      <c r="D639" s="127" t="n"/>
      <c r="E639" s="106" t="n"/>
      <c r="F639" s="107" t="n"/>
      <c r="G639" s="106" t="n"/>
      <c r="H639" s="107" t="n"/>
    </row>
    <row r="640">
      <c r="A640" s="106" t="n"/>
      <c r="B640" s="107" t="n"/>
      <c r="C640" s="107" t="n"/>
      <c r="D640" s="127" t="n"/>
      <c r="E640" s="106" t="n"/>
      <c r="F640" s="107" t="n"/>
      <c r="G640" s="106" t="n"/>
      <c r="H640" s="107" t="n"/>
    </row>
    <row r="641">
      <c r="A641" s="106" t="n"/>
      <c r="B641" s="107" t="n"/>
      <c r="C641" s="107" t="n"/>
      <c r="D641" s="127" t="n"/>
      <c r="E641" s="106" t="n"/>
      <c r="F641" s="107" t="n"/>
      <c r="G641" s="106" t="n"/>
      <c r="H641" s="107" t="n"/>
    </row>
    <row r="642">
      <c r="A642" s="106" t="n"/>
      <c r="B642" s="107" t="n"/>
      <c r="C642" s="107" t="n"/>
      <c r="D642" s="127" t="n"/>
      <c r="E642" s="106" t="n"/>
      <c r="F642" s="107" t="n"/>
      <c r="G642" s="106" t="n"/>
      <c r="H642" s="107" t="n"/>
    </row>
    <row r="643">
      <c r="A643" s="106" t="n"/>
      <c r="B643" s="107" t="n"/>
      <c r="C643" s="107" t="n"/>
      <c r="D643" s="127" t="n"/>
      <c r="E643" s="106" t="n"/>
      <c r="F643" s="107" t="n"/>
      <c r="G643" s="106" t="n"/>
      <c r="H643" s="107" t="n"/>
    </row>
    <row r="644">
      <c r="A644" s="106" t="n"/>
      <c r="B644" s="107" t="n"/>
      <c r="C644" s="107" t="n"/>
      <c r="D644" s="127" t="n"/>
      <c r="E644" s="106" t="n"/>
      <c r="F644" s="107" t="n"/>
      <c r="G644" s="106" t="n"/>
      <c r="H644" s="107" t="n"/>
    </row>
    <row r="645">
      <c r="A645" s="106" t="n"/>
      <c r="B645" s="107" t="n"/>
      <c r="C645" s="107" t="n"/>
      <c r="D645" s="127" t="n"/>
      <c r="E645" s="106" t="n"/>
      <c r="F645" s="107" t="n"/>
      <c r="G645" s="106" t="n"/>
      <c r="H645" s="107" t="n"/>
    </row>
    <row r="646">
      <c r="A646" s="106" t="n"/>
      <c r="B646" s="107" t="n"/>
      <c r="C646" s="107" t="n"/>
      <c r="D646" s="127" t="n"/>
      <c r="E646" s="106" t="n"/>
      <c r="F646" s="107" t="n"/>
      <c r="G646" s="106" t="n"/>
      <c r="H646" s="107" t="n"/>
    </row>
    <row r="647">
      <c r="A647" s="106" t="n"/>
      <c r="B647" s="107" t="n"/>
      <c r="C647" s="107" t="n"/>
      <c r="D647" s="127" t="n"/>
      <c r="E647" s="106" t="n"/>
      <c r="F647" s="107" t="n"/>
      <c r="G647" s="106" t="n"/>
      <c r="H647" s="107" t="n"/>
    </row>
    <row r="648">
      <c r="A648" s="106" t="n"/>
      <c r="B648" s="107" t="n"/>
      <c r="C648" s="107" t="n"/>
      <c r="D648" s="127" t="n"/>
      <c r="E648" s="106" t="n"/>
      <c r="F648" s="107" t="n"/>
      <c r="G648" s="106" t="n"/>
      <c r="H648" s="107" t="n"/>
    </row>
    <row r="649">
      <c r="A649" s="106" t="n"/>
      <c r="B649" s="107" t="n"/>
      <c r="C649" s="107" t="n"/>
      <c r="D649" s="127" t="n"/>
      <c r="E649" s="106" t="n"/>
      <c r="F649" s="107" t="n"/>
      <c r="G649" s="106" t="n"/>
      <c r="H649" s="107" t="n"/>
    </row>
    <row r="650">
      <c r="A650" s="106" t="n"/>
      <c r="B650" s="107" t="n"/>
      <c r="C650" s="107" t="n"/>
      <c r="D650" s="127" t="n"/>
      <c r="E650" s="106" t="n"/>
      <c r="F650" s="107" t="n"/>
      <c r="G650" s="106" t="n"/>
      <c r="H650" s="107" t="n"/>
    </row>
    <row r="651">
      <c r="A651" s="106" t="n"/>
      <c r="B651" s="107" t="n"/>
      <c r="C651" s="107" t="n"/>
      <c r="D651" s="127" t="n"/>
      <c r="E651" s="106" t="n"/>
      <c r="F651" s="107" t="n"/>
      <c r="G651" s="106" t="n"/>
      <c r="H651" s="107" t="n"/>
    </row>
    <row r="652">
      <c r="A652" s="106" t="n"/>
      <c r="B652" s="107" t="n"/>
      <c r="C652" s="107" t="n"/>
      <c r="D652" s="127" t="n"/>
      <c r="E652" s="106" t="n"/>
      <c r="F652" s="107" t="n"/>
      <c r="G652" s="106" t="n"/>
      <c r="H652" s="107" t="n"/>
    </row>
    <row r="653">
      <c r="A653" s="106" t="n"/>
      <c r="B653" s="107" t="n"/>
      <c r="C653" s="107" t="n"/>
      <c r="D653" s="127" t="n"/>
      <c r="E653" s="106" t="n"/>
      <c r="F653" s="107" t="n"/>
      <c r="G653" s="106" t="n"/>
      <c r="H653" s="107" t="n"/>
    </row>
    <row r="654">
      <c r="A654" s="106" t="n"/>
      <c r="B654" s="107" t="n"/>
      <c r="C654" s="107" t="n"/>
      <c r="D654" s="127" t="n"/>
      <c r="E654" s="106" t="n"/>
      <c r="F654" s="107" t="n"/>
      <c r="G654" s="106" t="n"/>
      <c r="H654" s="107" t="n"/>
    </row>
    <row r="655">
      <c r="A655" s="106" t="n"/>
      <c r="B655" s="107" t="n"/>
      <c r="C655" s="107" t="n"/>
      <c r="D655" s="127" t="n"/>
      <c r="E655" s="106" t="n"/>
      <c r="F655" s="107" t="n"/>
      <c r="G655" s="106" t="n"/>
      <c r="H655" s="107" t="n"/>
    </row>
    <row r="656">
      <c r="A656" s="106" t="n"/>
      <c r="B656" s="107" t="n"/>
      <c r="C656" s="107" t="n"/>
      <c r="D656" s="127" t="n"/>
      <c r="E656" s="106" t="n"/>
      <c r="F656" s="107" t="n"/>
      <c r="G656" s="106" t="n"/>
      <c r="H656" s="107" t="n"/>
    </row>
    <row r="657">
      <c r="A657" s="106" t="n"/>
      <c r="B657" s="107" t="n"/>
      <c r="C657" s="107" t="n"/>
      <c r="D657" s="127" t="n"/>
      <c r="E657" s="106" t="n"/>
      <c r="F657" s="107" t="n"/>
      <c r="G657" s="106" t="n"/>
      <c r="H657" s="107" t="n"/>
    </row>
    <row r="658">
      <c r="A658" s="106" t="n"/>
      <c r="B658" s="107" t="n"/>
      <c r="C658" s="107" t="n"/>
      <c r="D658" s="127" t="n"/>
      <c r="E658" s="106" t="n"/>
      <c r="F658" s="107" t="n"/>
      <c r="G658" s="106" t="n"/>
      <c r="H658" s="107" t="n"/>
    </row>
    <row r="659">
      <c r="A659" s="106" t="n"/>
      <c r="B659" s="107" t="n"/>
      <c r="C659" s="107" t="n"/>
      <c r="D659" s="127" t="n"/>
      <c r="E659" s="106" t="n"/>
      <c r="F659" s="107" t="n"/>
      <c r="G659" s="106" t="n"/>
      <c r="H659" s="107" t="n"/>
    </row>
    <row r="660">
      <c r="A660" s="106" t="n"/>
      <c r="B660" s="107" t="n"/>
      <c r="C660" s="107" t="n"/>
      <c r="D660" s="127" t="n"/>
      <c r="E660" s="106" t="n"/>
      <c r="F660" s="107" t="n"/>
      <c r="G660" s="106" t="n"/>
      <c r="H660" s="107" t="n"/>
    </row>
    <row r="661">
      <c r="A661" s="106" t="n"/>
      <c r="B661" s="107" t="n"/>
      <c r="C661" s="107" t="n"/>
      <c r="D661" s="127" t="n"/>
      <c r="E661" s="106" t="n"/>
      <c r="F661" s="107" t="n"/>
      <c r="G661" s="106" t="n"/>
      <c r="H661" s="107" t="n"/>
    </row>
    <row r="662">
      <c r="A662" s="106" t="n"/>
      <c r="B662" s="107" t="n"/>
      <c r="C662" s="107" t="n"/>
      <c r="D662" s="127" t="n"/>
      <c r="E662" s="106" t="n"/>
      <c r="F662" s="107" t="n"/>
      <c r="G662" s="106" t="n"/>
      <c r="H662" s="107" t="n"/>
    </row>
    <row r="663">
      <c r="A663" s="106" t="n"/>
      <c r="B663" s="107" t="n"/>
      <c r="C663" s="107" t="n"/>
      <c r="D663" s="127" t="n"/>
      <c r="E663" s="106" t="n"/>
      <c r="F663" s="107" t="n"/>
      <c r="G663" s="106" t="n"/>
      <c r="H663" s="107" t="n"/>
    </row>
    <row r="664">
      <c r="A664" s="106" t="n"/>
      <c r="B664" s="107" t="n"/>
      <c r="C664" s="107" t="n"/>
      <c r="D664" s="127" t="n"/>
      <c r="E664" s="106" t="n"/>
      <c r="F664" s="107" t="n"/>
      <c r="G664" s="106" t="n"/>
      <c r="H664" s="107" t="n"/>
    </row>
    <row r="665">
      <c r="A665" s="106" t="n"/>
      <c r="B665" s="107" t="n"/>
      <c r="C665" s="107" t="n"/>
      <c r="D665" s="127" t="n"/>
      <c r="E665" s="106" t="n"/>
      <c r="F665" s="107" t="n"/>
      <c r="G665" s="106" t="n"/>
      <c r="H665" s="107" t="n"/>
    </row>
    <row r="666">
      <c r="A666" s="106" t="n"/>
      <c r="B666" s="107" t="n"/>
      <c r="C666" s="107" t="n"/>
      <c r="D666" s="127" t="n"/>
      <c r="E666" s="106" t="n"/>
      <c r="F666" s="107" t="n"/>
      <c r="G666" s="106" t="n"/>
      <c r="H666" s="107" t="n"/>
    </row>
    <row r="667">
      <c r="A667" s="106" t="n"/>
      <c r="B667" s="107" t="n"/>
      <c r="C667" s="107" t="n"/>
      <c r="D667" s="127" t="n"/>
      <c r="E667" s="106" t="n"/>
      <c r="F667" s="107" t="n"/>
      <c r="G667" s="106" t="n"/>
      <c r="H667" s="107" t="n"/>
    </row>
    <row r="668">
      <c r="A668" s="106" t="n"/>
      <c r="B668" s="107" t="n"/>
      <c r="C668" s="107" t="n"/>
      <c r="D668" s="127" t="n"/>
      <c r="E668" s="106" t="n"/>
      <c r="F668" s="107" t="n"/>
      <c r="G668" s="106" t="n"/>
      <c r="H668" s="107" t="n"/>
    </row>
    <row r="669">
      <c r="A669" s="106" t="n"/>
      <c r="B669" s="107" t="n"/>
      <c r="C669" s="107" t="n"/>
      <c r="D669" s="127" t="n"/>
      <c r="E669" s="106" t="n"/>
      <c r="F669" s="107" t="n"/>
      <c r="G669" s="106" t="n"/>
      <c r="H669" s="107" t="n"/>
    </row>
    <row r="670">
      <c r="A670" s="106" t="n"/>
      <c r="B670" s="107" t="n"/>
      <c r="C670" s="107" t="n"/>
      <c r="D670" s="127" t="n"/>
      <c r="E670" s="106" t="n"/>
      <c r="F670" s="107" t="n"/>
      <c r="G670" s="106" t="n"/>
      <c r="H670" s="107" t="n"/>
    </row>
    <row r="671">
      <c r="A671" s="106" t="n"/>
      <c r="B671" s="107" t="n"/>
      <c r="C671" s="107" t="n"/>
      <c r="D671" s="127" t="n"/>
      <c r="E671" s="106" t="n"/>
      <c r="F671" s="107" t="n"/>
      <c r="G671" s="106" t="n"/>
      <c r="H671" s="107" t="n"/>
    </row>
    <row r="672">
      <c r="A672" s="106" t="n"/>
      <c r="B672" s="107" t="n"/>
      <c r="C672" s="107" t="n"/>
      <c r="D672" s="127" t="n"/>
      <c r="E672" s="106" t="n"/>
      <c r="F672" s="107" t="n"/>
      <c r="G672" s="106" t="n"/>
      <c r="H672" s="107" t="n"/>
    </row>
    <row r="673">
      <c r="A673" s="106" t="n"/>
      <c r="B673" s="107" t="n"/>
      <c r="C673" s="107" t="n"/>
      <c r="D673" s="127" t="n"/>
      <c r="E673" s="106" t="n"/>
      <c r="F673" s="107" t="n"/>
      <c r="G673" s="106" t="n"/>
      <c r="H673" s="107" t="n"/>
    </row>
    <row r="674">
      <c r="A674" s="106" t="n"/>
      <c r="B674" s="107" t="n"/>
      <c r="C674" s="107" t="n"/>
      <c r="D674" s="127" t="n"/>
      <c r="E674" s="106" t="n"/>
      <c r="F674" s="107" t="n"/>
      <c r="G674" s="106" t="n"/>
      <c r="H674" s="107" t="n"/>
    </row>
    <row r="675">
      <c r="A675" s="106" t="n"/>
      <c r="B675" s="107" t="n"/>
      <c r="C675" s="107" t="n"/>
      <c r="D675" s="127" t="n"/>
      <c r="E675" s="106" t="n"/>
      <c r="F675" s="107" t="n"/>
      <c r="G675" s="106" t="n"/>
      <c r="H675" s="107" t="n"/>
    </row>
    <row r="676">
      <c r="A676" s="106" t="n"/>
      <c r="B676" s="107" t="n"/>
      <c r="C676" s="107" t="n"/>
      <c r="D676" s="127" t="n"/>
      <c r="E676" s="106" t="n"/>
      <c r="F676" s="107" t="n"/>
      <c r="G676" s="106" t="n"/>
      <c r="H676" s="107" t="n"/>
    </row>
    <row r="677">
      <c r="A677" s="106" t="n"/>
      <c r="B677" s="107" t="n"/>
      <c r="C677" s="107" t="n"/>
      <c r="D677" s="127" t="n"/>
      <c r="E677" s="106" t="n"/>
      <c r="F677" s="107" t="n"/>
      <c r="G677" s="106" t="n"/>
      <c r="H677" s="107" t="n"/>
    </row>
    <row r="678">
      <c r="A678" s="106" t="n"/>
      <c r="B678" s="107" t="n"/>
      <c r="C678" s="107" t="n"/>
      <c r="D678" s="127" t="n"/>
      <c r="E678" s="106" t="n"/>
      <c r="F678" s="107" t="n"/>
      <c r="G678" s="106" t="n"/>
      <c r="H678" s="107" t="n"/>
    </row>
    <row r="679">
      <c r="A679" s="106" t="n"/>
      <c r="B679" s="107" t="n"/>
      <c r="C679" s="107" t="n"/>
      <c r="D679" s="127" t="n"/>
      <c r="E679" s="106" t="n"/>
      <c r="F679" s="107" t="n"/>
      <c r="G679" s="106" t="n"/>
      <c r="H679" s="107" t="n"/>
    </row>
    <row r="680">
      <c r="A680" s="106" t="n"/>
      <c r="B680" s="107" t="n"/>
      <c r="C680" s="107" t="n"/>
      <c r="D680" s="127" t="n"/>
      <c r="E680" s="106" t="n"/>
      <c r="F680" s="107" t="n"/>
      <c r="G680" s="106" t="n"/>
      <c r="H680" s="107" t="n"/>
    </row>
    <row r="681">
      <c r="A681" s="106" t="n"/>
      <c r="B681" s="107" t="n"/>
      <c r="C681" s="107" t="n"/>
      <c r="D681" s="127" t="n"/>
      <c r="E681" s="106" t="n"/>
      <c r="F681" s="107" t="n"/>
      <c r="G681" s="106" t="n"/>
      <c r="H681" s="107" t="n"/>
    </row>
    <row r="682">
      <c r="A682" s="106" t="n"/>
      <c r="B682" s="107" t="n"/>
      <c r="C682" s="107" t="n"/>
      <c r="D682" s="127" t="n"/>
      <c r="E682" s="106" t="n"/>
      <c r="F682" s="107" t="n"/>
      <c r="G682" s="106" t="n"/>
      <c r="H682" s="107" t="n"/>
    </row>
    <row r="683">
      <c r="A683" s="106" t="n"/>
      <c r="B683" s="107" t="n"/>
      <c r="C683" s="107" t="n"/>
      <c r="D683" s="127" t="n"/>
      <c r="E683" s="106" t="n"/>
      <c r="F683" s="107" t="n"/>
      <c r="G683" s="106" t="n"/>
      <c r="H683" s="107" t="n"/>
    </row>
    <row r="684">
      <c r="A684" s="106" t="n"/>
      <c r="B684" s="107" t="n"/>
      <c r="C684" s="107" t="n"/>
      <c r="D684" s="127" t="n"/>
      <c r="E684" s="106" t="n"/>
      <c r="F684" s="107" t="n"/>
      <c r="G684" s="106" t="n"/>
      <c r="H684" s="107" t="n"/>
    </row>
    <row r="685">
      <c r="A685" s="106" t="n"/>
      <c r="B685" s="107" t="n"/>
      <c r="C685" s="107" t="n"/>
      <c r="D685" s="127" t="n"/>
      <c r="E685" s="106" t="n"/>
      <c r="F685" s="107" t="n"/>
      <c r="G685" s="106" t="n"/>
      <c r="H685" s="107" t="n"/>
    </row>
    <row r="686">
      <c r="A686" s="106" t="n"/>
      <c r="B686" s="107" t="n"/>
      <c r="C686" s="107" t="n"/>
      <c r="D686" s="127" t="n"/>
      <c r="E686" s="106" t="n"/>
      <c r="F686" s="107" t="n"/>
      <c r="G686" s="106" t="n"/>
      <c r="H686" s="107" t="n"/>
    </row>
    <row r="687">
      <c r="A687" s="106" t="n"/>
      <c r="B687" s="107" t="n"/>
      <c r="C687" s="107" t="n"/>
      <c r="D687" s="127" t="n"/>
      <c r="E687" s="106" t="n"/>
      <c r="F687" s="107" t="n"/>
      <c r="G687" s="106" t="n"/>
      <c r="H687" s="107" t="n"/>
    </row>
    <row r="688">
      <c r="A688" s="106" t="n"/>
      <c r="B688" s="107" t="n"/>
      <c r="C688" s="107" t="n"/>
      <c r="D688" s="127" t="n"/>
      <c r="E688" s="106" t="n"/>
      <c r="F688" s="107" t="n"/>
      <c r="G688" s="106" t="n"/>
      <c r="H688" s="107" t="n"/>
    </row>
    <row r="689">
      <c r="A689" s="106" t="n"/>
      <c r="B689" s="107" t="n"/>
      <c r="C689" s="107" t="n"/>
      <c r="D689" s="127" t="n"/>
      <c r="E689" s="106" t="n"/>
      <c r="F689" s="107" t="n"/>
      <c r="G689" s="106" t="n"/>
      <c r="H689" s="107" t="n"/>
    </row>
    <row r="690">
      <c r="A690" s="106" t="n"/>
      <c r="B690" s="107" t="n"/>
      <c r="C690" s="107" t="n"/>
      <c r="D690" s="127" t="n"/>
      <c r="E690" s="106" t="n"/>
      <c r="F690" s="107" t="n"/>
      <c r="G690" s="106" t="n"/>
      <c r="H690" s="107" t="n"/>
    </row>
    <row r="691">
      <c r="A691" s="106" t="n"/>
      <c r="B691" s="107" t="n"/>
      <c r="C691" s="107" t="n"/>
      <c r="D691" s="127" t="n"/>
      <c r="E691" s="106" t="n"/>
      <c r="F691" s="107" t="n"/>
      <c r="G691" s="106" t="n"/>
      <c r="H691" s="107" t="n"/>
    </row>
    <row r="692">
      <c r="A692" s="106" t="n"/>
      <c r="B692" s="107" t="n"/>
      <c r="C692" s="107" t="n"/>
      <c r="D692" s="127" t="n"/>
      <c r="E692" s="106" t="n"/>
      <c r="F692" s="107" t="n"/>
      <c r="G692" s="106" t="n"/>
      <c r="H692" s="107" t="n"/>
    </row>
    <row r="693">
      <c r="A693" s="106" t="n"/>
      <c r="B693" s="107" t="n"/>
      <c r="C693" s="107" t="n"/>
      <c r="D693" s="127" t="n"/>
      <c r="E693" s="106" t="n"/>
      <c r="F693" s="107" t="n"/>
      <c r="G693" s="106" t="n"/>
      <c r="H693" s="107" t="n"/>
    </row>
    <row r="694">
      <c r="A694" s="106" t="n"/>
      <c r="B694" s="107" t="n"/>
      <c r="C694" s="107" t="n"/>
      <c r="D694" s="127" t="n"/>
      <c r="E694" s="106" t="n"/>
      <c r="F694" s="107" t="n"/>
      <c r="G694" s="106" t="n"/>
      <c r="H694" s="107" t="n"/>
    </row>
    <row r="695">
      <c r="A695" s="106" t="n"/>
      <c r="B695" s="107" t="n"/>
      <c r="C695" s="107" t="n"/>
      <c r="D695" s="127" t="n"/>
      <c r="E695" s="106" t="n"/>
      <c r="F695" s="107" t="n"/>
      <c r="G695" s="106" t="n"/>
      <c r="H695" s="107" t="n"/>
    </row>
    <row r="696">
      <c r="A696" s="106" t="n"/>
      <c r="B696" s="107" t="n"/>
      <c r="C696" s="107" t="n"/>
      <c r="D696" s="127" t="n"/>
      <c r="E696" s="106" t="n"/>
      <c r="F696" s="107" t="n"/>
      <c r="G696" s="106" t="n"/>
      <c r="H696" s="107" t="n"/>
    </row>
    <row r="697">
      <c r="A697" s="106" t="n"/>
      <c r="B697" s="107" t="n"/>
      <c r="C697" s="107" t="n"/>
      <c r="D697" s="127" t="n"/>
      <c r="E697" s="106" t="n"/>
      <c r="F697" s="107" t="n"/>
      <c r="G697" s="106" t="n"/>
      <c r="H697" s="107" t="n"/>
    </row>
    <row r="698">
      <c r="A698" s="106" t="n"/>
      <c r="B698" s="107" t="n"/>
      <c r="C698" s="107" t="n"/>
      <c r="D698" s="127" t="n"/>
      <c r="E698" s="106" t="n"/>
      <c r="F698" s="107" t="n"/>
      <c r="G698" s="106" t="n"/>
      <c r="H698" s="107" t="n"/>
    </row>
    <row r="699">
      <c r="A699" s="106" t="n"/>
      <c r="B699" s="107" t="n"/>
      <c r="C699" s="107" t="n"/>
      <c r="D699" s="127" t="n"/>
      <c r="E699" s="106" t="n"/>
      <c r="F699" s="107" t="n"/>
      <c r="G699" s="106" t="n"/>
      <c r="H699" s="107" t="n"/>
    </row>
    <row r="700">
      <c r="A700" s="106" t="n"/>
      <c r="B700" s="107" t="n"/>
      <c r="C700" s="107" t="n"/>
      <c r="D700" s="127" t="n"/>
      <c r="E700" s="106" t="n"/>
      <c r="F700" s="107" t="n"/>
      <c r="G700" s="106" t="n"/>
      <c r="H700" s="107" t="n"/>
    </row>
    <row r="701">
      <c r="A701" s="106" t="n"/>
      <c r="B701" s="107" t="n"/>
      <c r="C701" s="107" t="n"/>
      <c r="D701" s="127" t="n"/>
      <c r="E701" s="106" t="n"/>
      <c r="F701" s="107" t="n"/>
      <c r="G701" s="106" t="n"/>
      <c r="H701" s="107" t="n"/>
    </row>
    <row r="702">
      <c r="A702" s="106" t="n"/>
      <c r="B702" s="107" t="n"/>
      <c r="C702" s="107" t="n"/>
      <c r="D702" s="127" t="n"/>
      <c r="E702" s="106" t="n"/>
      <c r="F702" s="107" t="n"/>
      <c r="G702" s="106" t="n"/>
      <c r="H702" s="107" t="n"/>
    </row>
    <row r="703">
      <c r="A703" s="106" t="n"/>
      <c r="B703" s="107" t="n"/>
      <c r="C703" s="107" t="n"/>
      <c r="D703" s="127" t="n"/>
      <c r="E703" s="106" t="n"/>
      <c r="F703" s="107" t="n"/>
      <c r="G703" s="106" t="n"/>
      <c r="H703" s="107" t="n"/>
    </row>
    <row r="704">
      <c r="A704" s="106" t="n"/>
      <c r="B704" s="107" t="n"/>
      <c r="C704" s="107" t="n"/>
      <c r="D704" s="127" t="n"/>
      <c r="E704" s="106" t="n"/>
      <c r="F704" s="107" t="n"/>
      <c r="G704" s="106" t="n"/>
      <c r="H704" s="107" t="n"/>
    </row>
    <row r="705">
      <c r="A705" s="106" t="n"/>
      <c r="B705" s="107" t="n"/>
      <c r="C705" s="107" t="n"/>
      <c r="D705" s="127" t="n"/>
      <c r="E705" s="106" t="n"/>
      <c r="F705" s="107" t="n"/>
      <c r="G705" s="106" t="n"/>
      <c r="H705" s="107" t="n"/>
    </row>
    <row r="706">
      <c r="A706" s="106" t="n"/>
      <c r="B706" s="107" t="n"/>
      <c r="C706" s="107" t="n"/>
      <c r="D706" s="127" t="n"/>
      <c r="E706" s="106" t="n"/>
      <c r="F706" s="107" t="n"/>
      <c r="G706" s="106" t="n"/>
      <c r="H706" s="107" t="n"/>
    </row>
    <row r="707">
      <c r="A707" s="106" t="n"/>
      <c r="B707" s="107" t="n"/>
      <c r="C707" s="107" t="n"/>
      <c r="D707" s="127" t="n"/>
      <c r="E707" s="106" t="n"/>
      <c r="F707" s="107" t="n"/>
      <c r="G707" s="106" t="n"/>
      <c r="H707" s="107" t="n"/>
    </row>
    <row r="708">
      <c r="A708" s="106" t="n"/>
      <c r="B708" s="107" t="n"/>
      <c r="C708" s="107" t="n"/>
      <c r="D708" s="127" t="n"/>
      <c r="E708" s="106" t="n"/>
      <c r="F708" s="107" t="n"/>
      <c r="G708" s="106" t="n"/>
      <c r="H708" s="107" t="n"/>
    </row>
    <row r="709">
      <c r="A709" s="106" t="n"/>
      <c r="B709" s="107" t="n"/>
      <c r="C709" s="107" t="n"/>
      <c r="D709" s="127" t="n"/>
      <c r="E709" s="106" t="n"/>
      <c r="F709" s="107" t="n"/>
      <c r="G709" s="106" t="n"/>
      <c r="H709" s="107" t="n"/>
    </row>
    <row r="710">
      <c r="A710" s="106" t="n"/>
      <c r="B710" s="107" t="n"/>
      <c r="C710" s="107" t="n"/>
      <c r="D710" s="127" t="n"/>
      <c r="E710" s="106" t="n"/>
      <c r="F710" s="107" t="n"/>
      <c r="G710" s="106" t="n"/>
      <c r="H710" s="107" t="n"/>
    </row>
    <row r="711">
      <c r="A711" s="106" t="n"/>
      <c r="B711" s="107" t="n"/>
      <c r="C711" s="107" t="n"/>
      <c r="D711" s="127" t="n"/>
      <c r="E711" s="106" t="n"/>
      <c r="F711" s="107" t="n"/>
      <c r="G711" s="106" t="n"/>
      <c r="H711" s="107" t="n"/>
    </row>
    <row r="712">
      <c r="A712" s="106" t="n"/>
      <c r="B712" s="107" t="n"/>
      <c r="C712" s="107" t="n"/>
      <c r="D712" s="127" t="n"/>
      <c r="E712" s="106" t="n"/>
      <c r="F712" s="107" t="n"/>
      <c r="G712" s="106" t="n"/>
      <c r="H712" s="107" t="n"/>
    </row>
    <row r="713">
      <c r="A713" s="106" t="n"/>
      <c r="B713" s="107" t="n"/>
      <c r="C713" s="107" t="n"/>
      <c r="D713" s="127" t="n"/>
      <c r="E713" s="106" t="n"/>
      <c r="F713" s="107" t="n"/>
      <c r="G713" s="106" t="n"/>
      <c r="H713" s="107" t="n"/>
    </row>
    <row r="714">
      <c r="A714" s="106" t="n"/>
      <c r="B714" s="107" t="n"/>
      <c r="C714" s="107" t="n"/>
      <c r="D714" s="127" t="n"/>
      <c r="E714" s="106" t="n"/>
      <c r="F714" s="107" t="n"/>
      <c r="G714" s="106" t="n"/>
      <c r="H714" s="107" t="n"/>
    </row>
    <row r="715">
      <c r="A715" s="106" t="n"/>
      <c r="B715" s="107" t="n"/>
      <c r="C715" s="107" t="n"/>
      <c r="D715" s="127" t="n"/>
      <c r="E715" s="106" t="n"/>
      <c r="F715" s="107" t="n"/>
      <c r="G715" s="106" t="n"/>
      <c r="H715" s="107" t="n"/>
    </row>
    <row r="716">
      <c r="A716" s="106" t="n"/>
      <c r="B716" s="107" t="n"/>
      <c r="C716" s="107" t="n"/>
      <c r="D716" s="127" t="n"/>
      <c r="E716" s="106" t="n"/>
      <c r="F716" s="107" t="n"/>
      <c r="G716" s="106" t="n"/>
      <c r="H716" s="107" t="n"/>
    </row>
    <row r="717">
      <c r="A717" s="106" t="n"/>
      <c r="B717" s="107" t="n"/>
      <c r="C717" s="107" t="n"/>
      <c r="D717" s="127" t="n"/>
      <c r="E717" s="106" t="n"/>
      <c r="F717" s="107" t="n"/>
      <c r="G717" s="106" t="n"/>
      <c r="H717" s="107" t="n"/>
    </row>
    <row r="718">
      <c r="A718" s="106" t="n"/>
      <c r="B718" s="107" t="n"/>
      <c r="C718" s="107" t="n"/>
      <c r="D718" s="127" t="n"/>
      <c r="E718" s="106" t="n"/>
      <c r="F718" s="107" t="n"/>
      <c r="G718" s="106" t="n"/>
      <c r="H718" s="107" t="n"/>
    </row>
    <row r="719">
      <c r="A719" s="106" t="n"/>
      <c r="B719" s="107" t="n"/>
      <c r="C719" s="107" t="n"/>
      <c r="D719" s="127" t="n"/>
      <c r="E719" s="106" t="n"/>
      <c r="F719" s="107" t="n"/>
      <c r="G719" s="106" t="n"/>
      <c r="H719" s="107" t="n"/>
    </row>
    <row r="720">
      <c r="A720" s="106" t="n"/>
      <c r="B720" s="107" t="n"/>
      <c r="C720" s="107" t="n"/>
      <c r="D720" s="127" t="n"/>
      <c r="E720" s="106" t="n"/>
      <c r="F720" s="107" t="n"/>
      <c r="G720" s="106" t="n"/>
      <c r="H720" s="107" t="n"/>
    </row>
    <row r="721">
      <c r="A721" s="106" t="n"/>
      <c r="B721" s="107" t="n"/>
      <c r="C721" s="107" t="n"/>
      <c r="D721" s="127" t="n"/>
      <c r="E721" s="106" t="n"/>
      <c r="F721" s="107" t="n"/>
      <c r="G721" s="106" t="n"/>
      <c r="H721" s="107" t="n"/>
    </row>
    <row r="722">
      <c r="A722" s="106" t="n"/>
      <c r="B722" s="107" t="n"/>
      <c r="C722" s="107" t="n"/>
      <c r="D722" s="127" t="n"/>
      <c r="E722" s="106" t="n"/>
      <c r="F722" s="107" t="n"/>
      <c r="G722" s="106" t="n"/>
      <c r="H722" s="107" t="n"/>
    </row>
    <row r="723">
      <c r="A723" s="106" t="n"/>
      <c r="B723" s="107" t="n"/>
      <c r="C723" s="107" t="n"/>
      <c r="D723" s="127" t="n"/>
      <c r="E723" s="106" t="n"/>
      <c r="F723" s="107" t="n"/>
      <c r="G723" s="106" t="n"/>
      <c r="H723" s="107" t="n"/>
    </row>
    <row r="724">
      <c r="A724" s="106" t="n"/>
      <c r="B724" s="107" t="n"/>
      <c r="C724" s="107" t="n"/>
      <c r="D724" s="127" t="n"/>
      <c r="E724" s="106" t="n"/>
      <c r="F724" s="107" t="n"/>
      <c r="G724" s="106" t="n"/>
      <c r="H724" s="107" t="n"/>
    </row>
    <row r="725">
      <c r="A725" s="106" t="n"/>
      <c r="B725" s="107" t="n"/>
      <c r="C725" s="107" t="n"/>
      <c r="D725" s="127" t="n"/>
      <c r="E725" s="106" t="n"/>
      <c r="F725" s="107" t="n"/>
      <c r="G725" s="106" t="n"/>
      <c r="H725" s="107" t="n"/>
    </row>
    <row r="726">
      <c r="A726" s="106" t="n"/>
      <c r="B726" s="107" t="n"/>
      <c r="C726" s="107" t="n"/>
      <c r="D726" s="127" t="n"/>
      <c r="E726" s="106" t="n"/>
      <c r="F726" s="107" t="n"/>
      <c r="G726" s="106" t="n"/>
      <c r="H726" s="107" t="n"/>
    </row>
    <row r="727">
      <c r="A727" s="106" t="n"/>
      <c r="B727" s="107" t="n"/>
      <c r="C727" s="107" t="n"/>
      <c r="D727" s="127" t="n"/>
      <c r="E727" s="106" t="n"/>
      <c r="F727" s="107" t="n"/>
      <c r="G727" s="106" t="n"/>
      <c r="H727" s="107" t="n"/>
    </row>
    <row r="728">
      <c r="A728" s="106" t="n"/>
      <c r="B728" s="107" t="n"/>
      <c r="C728" s="107" t="n"/>
      <c r="D728" s="127" t="n"/>
      <c r="E728" s="106" t="n"/>
      <c r="F728" s="107" t="n"/>
      <c r="G728" s="106" t="n"/>
      <c r="H728" s="107" t="n"/>
    </row>
    <row r="729">
      <c r="A729" s="106" t="n"/>
      <c r="B729" s="107" t="n"/>
      <c r="C729" s="107" t="n"/>
      <c r="D729" s="127" t="n"/>
      <c r="E729" s="106" t="n"/>
      <c r="F729" s="107" t="n"/>
      <c r="G729" s="106" t="n"/>
      <c r="H729" s="107" t="n"/>
    </row>
    <row r="730">
      <c r="A730" s="106" t="n"/>
      <c r="B730" s="107" t="n"/>
      <c r="C730" s="107" t="n"/>
      <c r="D730" s="127" t="n"/>
      <c r="E730" s="106" t="n"/>
      <c r="F730" s="107" t="n"/>
      <c r="G730" s="106" t="n"/>
      <c r="H730" s="107" t="n"/>
    </row>
    <row r="731">
      <c r="A731" s="106" t="n"/>
      <c r="B731" s="107" t="n"/>
      <c r="C731" s="107" t="n"/>
      <c r="D731" s="127" t="n"/>
      <c r="E731" s="106" t="n"/>
      <c r="F731" s="107" t="n"/>
      <c r="G731" s="106" t="n"/>
      <c r="H731" s="107" t="n"/>
    </row>
    <row r="732">
      <c r="A732" s="106" t="n"/>
      <c r="B732" s="107" t="n"/>
      <c r="C732" s="107" t="n"/>
      <c r="D732" s="127" t="n"/>
      <c r="E732" s="106" t="n"/>
      <c r="F732" s="107" t="n"/>
      <c r="G732" s="106" t="n"/>
      <c r="H732" s="107" t="n"/>
    </row>
    <row r="733">
      <c r="A733" s="106" t="n"/>
      <c r="B733" s="107" t="n"/>
      <c r="C733" s="107" t="n"/>
      <c r="D733" s="127" t="n"/>
      <c r="E733" s="106" t="n"/>
      <c r="F733" s="107" t="n"/>
      <c r="G733" s="106" t="n"/>
      <c r="H733" s="107" t="n"/>
    </row>
    <row r="734">
      <c r="A734" s="106" t="n"/>
      <c r="B734" s="107" t="n"/>
      <c r="C734" s="107" t="n"/>
      <c r="D734" s="127" t="n"/>
      <c r="E734" s="106" t="n"/>
      <c r="F734" s="107" t="n"/>
      <c r="G734" s="106" t="n"/>
      <c r="H734" s="107" t="n"/>
    </row>
    <row r="735">
      <c r="A735" s="106" t="n"/>
      <c r="B735" s="107" t="n"/>
      <c r="C735" s="107" t="n"/>
      <c r="D735" s="127" t="n"/>
      <c r="E735" s="106" t="n"/>
      <c r="F735" s="107" t="n"/>
      <c r="G735" s="106" t="n"/>
      <c r="H735" s="107" t="n"/>
    </row>
    <row r="736">
      <c r="A736" s="106" t="n"/>
      <c r="B736" s="107" t="n"/>
      <c r="C736" s="107" t="n"/>
      <c r="D736" s="127" t="n"/>
      <c r="E736" s="106" t="n"/>
      <c r="F736" s="107" t="n"/>
      <c r="G736" s="106" t="n"/>
      <c r="H736" s="107" t="n"/>
    </row>
    <row r="737">
      <c r="A737" s="106" t="n"/>
      <c r="B737" s="107" t="n"/>
      <c r="C737" s="107" t="n"/>
      <c r="D737" s="127" t="n"/>
      <c r="E737" s="106" t="n"/>
      <c r="F737" s="107" t="n"/>
      <c r="G737" s="106" t="n"/>
      <c r="H737" s="107" t="n"/>
    </row>
    <row r="738">
      <c r="A738" s="106" t="n"/>
      <c r="B738" s="107" t="n"/>
      <c r="C738" s="107" t="n"/>
      <c r="D738" s="127" t="n"/>
      <c r="E738" s="106" t="n"/>
      <c r="F738" s="107" t="n"/>
      <c r="G738" s="106" t="n"/>
      <c r="H738" s="107" t="n"/>
    </row>
    <row r="739">
      <c r="A739" s="106" t="n"/>
      <c r="B739" s="107" t="n"/>
      <c r="C739" s="107" t="n"/>
      <c r="D739" s="127" t="n"/>
      <c r="E739" s="106" t="n"/>
      <c r="F739" s="107" t="n"/>
      <c r="G739" s="106" t="n"/>
      <c r="H739" s="107" t="n"/>
    </row>
    <row r="740">
      <c r="A740" s="106" t="n"/>
      <c r="B740" s="107" t="n"/>
      <c r="C740" s="107" t="n"/>
      <c r="D740" s="127" t="n"/>
      <c r="E740" s="106" t="n"/>
      <c r="F740" s="107" t="n"/>
      <c r="G740" s="106" t="n"/>
      <c r="H740" s="107" t="n"/>
    </row>
    <row r="741">
      <c r="A741" s="106" t="n"/>
      <c r="B741" s="107" t="n"/>
      <c r="C741" s="107" t="n"/>
      <c r="D741" s="127" t="n"/>
      <c r="E741" s="106" t="n"/>
      <c r="F741" s="107" t="n"/>
      <c r="G741" s="106" t="n"/>
      <c r="H741" s="107" t="n"/>
    </row>
    <row r="742">
      <c r="A742" s="106" t="n"/>
      <c r="B742" s="107" t="n"/>
      <c r="C742" s="107" t="n"/>
      <c r="D742" s="127" t="n"/>
      <c r="E742" s="106" t="n"/>
      <c r="F742" s="107" t="n"/>
      <c r="G742" s="106" t="n"/>
      <c r="H742" s="107" t="n"/>
    </row>
    <row r="743">
      <c r="A743" s="106" t="n"/>
      <c r="B743" s="107" t="n"/>
      <c r="C743" s="107" t="n"/>
      <c r="D743" s="127" t="n"/>
      <c r="E743" s="106" t="n"/>
      <c r="F743" s="107" t="n"/>
      <c r="G743" s="106" t="n"/>
      <c r="H743" s="107" t="n"/>
    </row>
    <row r="744">
      <c r="A744" s="106" t="n"/>
      <c r="B744" s="107" t="n"/>
      <c r="C744" s="107" t="n"/>
      <c r="D744" s="127" t="n"/>
      <c r="E744" s="106" t="n"/>
      <c r="F744" s="107" t="n"/>
      <c r="G744" s="106" t="n"/>
      <c r="H744" s="107" t="n"/>
    </row>
    <row r="745">
      <c r="A745" s="106" t="n"/>
      <c r="B745" s="107" t="n"/>
      <c r="C745" s="107" t="n"/>
      <c r="D745" s="127" t="n"/>
      <c r="E745" s="106" t="n"/>
      <c r="F745" s="107" t="n"/>
      <c r="G745" s="106" t="n"/>
      <c r="H745" s="107" t="n"/>
    </row>
    <row r="746">
      <c r="A746" s="106" t="n"/>
      <c r="B746" s="107" t="n"/>
      <c r="C746" s="107" t="n"/>
      <c r="D746" s="127" t="n"/>
      <c r="E746" s="106" t="n"/>
      <c r="F746" s="107" t="n"/>
      <c r="G746" s="106" t="n"/>
      <c r="H746" s="107" t="n"/>
    </row>
    <row r="747">
      <c r="A747" s="106" t="n"/>
      <c r="B747" s="107" t="n"/>
      <c r="C747" s="107" t="n"/>
      <c r="D747" s="127" t="n"/>
      <c r="E747" s="106" t="n"/>
      <c r="F747" s="107" t="n"/>
      <c r="G747" s="106" t="n"/>
      <c r="H747" s="107" t="n"/>
    </row>
    <row r="748">
      <c r="A748" s="106" t="n"/>
      <c r="B748" s="107" t="n"/>
      <c r="C748" s="107" t="n"/>
      <c r="D748" s="127" t="n"/>
      <c r="E748" s="106" t="n"/>
      <c r="F748" s="107" t="n"/>
      <c r="G748" s="106" t="n"/>
      <c r="H748" s="107" t="n"/>
    </row>
    <row r="749">
      <c r="A749" s="106" t="n"/>
      <c r="B749" s="107" t="n"/>
      <c r="C749" s="107" t="n"/>
      <c r="D749" s="127" t="n"/>
      <c r="E749" s="106" t="n"/>
      <c r="F749" s="107" t="n"/>
      <c r="G749" s="106" t="n"/>
      <c r="H749" s="107" t="n"/>
    </row>
    <row r="750">
      <c r="A750" s="106" t="n"/>
      <c r="B750" s="107" t="n"/>
      <c r="C750" s="107" t="n"/>
      <c r="D750" s="127" t="n"/>
      <c r="E750" s="106" t="n"/>
      <c r="F750" s="107" t="n"/>
      <c r="G750" s="106" t="n"/>
      <c r="H750" s="107" t="n"/>
    </row>
    <row r="751">
      <c r="A751" s="106" t="n"/>
      <c r="B751" s="107" t="n"/>
      <c r="C751" s="107" t="n"/>
      <c r="D751" s="127" t="n"/>
      <c r="E751" s="106" t="n"/>
      <c r="F751" s="107" t="n"/>
      <c r="G751" s="106" t="n"/>
      <c r="H751" s="107" t="n"/>
    </row>
    <row r="752">
      <c r="A752" s="106" t="n"/>
      <c r="B752" s="107" t="n"/>
      <c r="C752" s="107" t="n"/>
      <c r="D752" s="127" t="n"/>
      <c r="E752" s="106" t="n"/>
      <c r="F752" s="107" t="n"/>
      <c r="G752" s="106" t="n"/>
      <c r="H752" s="107" t="n"/>
    </row>
    <row r="753">
      <c r="A753" s="106" t="n"/>
      <c r="B753" s="107" t="n"/>
      <c r="C753" s="107" t="n"/>
      <c r="D753" s="127" t="n"/>
      <c r="E753" s="106" t="n"/>
      <c r="F753" s="107" t="n"/>
      <c r="G753" s="106" t="n"/>
      <c r="H753" s="107" t="n"/>
    </row>
    <row r="754">
      <c r="A754" s="106" t="n"/>
      <c r="B754" s="107" t="n"/>
      <c r="C754" s="107" t="n"/>
      <c r="D754" s="127" t="n"/>
      <c r="E754" s="106" t="n"/>
      <c r="F754" s="107" t="n"/>
      <c r="G754" s="106" t="n"/>
      <c r="H754" s="107" t="n"/>
    </row>
    <row r="755">
      <c r="A755" s="106" t="n"/>
      <c r="B755" s="107" t="n"/>
      <c r="C755" s="107" t="n"/>
      <c r="D755" s="127" t="n"/>
      <c r="E755" s="106" t="n"/>
      <c r="F755" s="107" t="n"/>
      <c r="G755" s="106" t="n"/>
      <c r="H755" s="107" t="n"/>
    </row>
    <row r="756">
      <c r="A756" s="106" t="n"/>
      <c r="B756" s="107" t="n"/>
      <c r="C756" s="107" t="n"/>
      <c r="D756" s="127" t="n"/>
      <c r="E756" s="106" t="n"/>
      <c r="F756" s="107" t="n"/>
      <c r="G756" s="106" t="n"/>
      <c r="H756" s="107" t="n"/>
    </row>
    <row r="757">
      <c r="A757" s="106" t="n"/>
      <c r="B757" s="107" t="n"/>
      <c r="C757" s="107" t="n"/>
      <c r="D757" s="127" t="n"/>
      <c r="E757" s="106" t="n"/>
      <c r="F757" s="107" t="n"/>
      <c r="G757" s="106" t="n"/>
      <c r="H757" s="107" t="n"/>
    </row>
    <row r="758">
      <c r="A758" s="106" t="n"/>
      <c r="B758" s="107" t="n"/>
      <c r="C758" s="107" t="n"/>
      <c r="D758" s="127" t="n"/>
      <c r="E758" s="106" t="n"/>
      <c r="F758" s="107" t="n"/>
      <c r="G758" s="106" t="n"/>
      <c r="H758" s="107" t="n"/>
    </row>
    <row r="759">
      <c r="A759" s="106" t="n"/>
      <c r="B759" s="107" t="n"/>
      <c r="C759" s="107" t="n"/>
      <c r="D759" s="127" t="n"/>
      <c r="E759" s="106" t="n"/>
      <c r="F759" s="107" t="n"/>
      <c r="G759" s="106" t="n"/>
      <c r="H759" s="107" t="n"/>
    </row>
    <row r="760">
      <c r="A760" s="106" t="n"/>
      <c r="B760" s="107" t="n"/>
      <c r="C760" s="107" t="n"/>
      <c r="D760" s="127" t="n"/>
      <c r="E760" s="106" t="n"/>
      <c r="F760" s="107" t="n"/>
      <c r="G760" s="106" t="n"/>
      <c r="H760" s="107" t="n"/>
    </row>
    <row r="761">
      <c r="A761" s="106" t="n"/>
      <c r="B761" s="107" t="n"/>
      <c r="C761" s="107" t="n"/>
      <c r="D761" s="127" t="n"/>
      <c r="E761" s="106" t="n"/>
      <c r="F761" s="107" t="n"/>
      <c r="G761" s="106" t="n"/>
      <c r="H761" s="107" t="n"/>
    </row>
    <row r="762">
      <c r="A762" s="106" t="n"/>
      <c r="B762" s="107" t="n"/>
      <c r="C762" s="107" t="n"/>
      <c r="D762" s="127" t="n"/>
      <c r="E762" s="106" t="n"/>
      <c r="F762" s="107" t="n"/>
      <c r="G762" s="106" t="n"/>
      <c r="H762" s="107" t="n"/>
    </row>
    <row r="763">
      <c r="A763" s="106" t="n"/>
      <c r="B763" s="107" t="n"/>
      <c r="C763" s="107" t="n"/>
      <c r="D763" s="127" t="n"/>
      <c r="E763" s="106" t="n"/>
      <c r="F763" s="107" t="n"/>
      <c r="G763" s="106" t="n"/>
      <c r="H763" s="107" t="n"/>
    </row>
    <row r="764">
      <c r="A764" s="106" t="n"/>
      <c r="B764" s="107" t="n"/>
      <c r="C764" s="107" t="n"/>
      <c r="D764" s="127" t="n"/>
      <c r="E764" s="106" t="n"/>
      <c r="F764" s="107" t="n"/>
      <c r="G764" s="106" t="n"/>
      <c r="H764" s="107" t="n"/>
    </row>
    <row r="765">
      <c r="A765" s="106" t="n"/>
      <c r="B765" s="107" t="n"/>
      <c r="C765" s="107" t="n"/>
      <c r="D765" s="127" t="n"/>
      <c r="E765" s="106" t="n"/>
      <c r="F765" s="107" t="n"/>
      <c r="G765" s="106" t="n"/>
      <c r="H765" s="107" t="n"/>
    </row>
    <row r="766">
      <c r="A766" s="106" t="n"/>
      <c r="B766" s="107" t="n"/>
      <c r="C766" s="107" t="n"/>
      <c r="D766" s="127" t="n"/>
      <c r="E766" s="106" t="n"/>
      <c r="F766" s="107" t="n"/>
      <c r="G766" s="106" t="n"/>
      <c r="H766" s="107" t="n"/>
    </row>
    <row r="767">
      <c r="A767" s="106" t="n"/>
      <c r="B767" s="107" t="n"/>
      <c r="C767" s="107" t="n"/>
      <c r="D767" s="127" t="n"/>
      <c r="E767" s="106" t="n"/>
      <c r="F767" s="107" t="n"/>
      <c r="G767" s="106" t="n"/>
      <c r="H767" s="107" t="n"/>
    </row>
    <row r="768">
      <c r="A768" s="106" t="n"/>
      <c r="B768" s="107" t="n"/>
      <c r="C768" s="107" t="n"/>
      <c r="D768" s="127" t="n"/>
      <c r="E768" s="106" t="n"/>
      <c r="F768" s="107" t="n"/>
      <c r="G768" s="106" t="n"/>
      <c r="H768" s="107" t="n"/>
    </row>
    <row r="769">
      <c r="A769" s="106" t="n"/>
      <c r="B769" s="107" t="n"/>
      <c r="C769" s="107" t="n"/>
      <c r="D769" s="127" t="n"/>
      <c r="E769" s="106" t="n"/>
      <c r="F769" s="107" t="n"/>
      <c r="G769" s="106" t="n"/>
      <c r="H769" s="107" t="n"/>
    </row>
    <row r="770">
      <c r="A770" s="106" t="n"/>
      <c r="B770" s="107" t="n"/>
      <c r="C770" s="107" t="n"/>
      <c r="D770" s="127" t="n"/>
      <c r="E770" s="106" t="n"/>
      <c r="F770" s="107" t="n"/>
      <c r="G770" s="106" t="n"/>
      <c r="H770" s="107" t="n"/>
    </row>
    <row r="771">
      <c r="A771" s="106" t="n"/>
      <c r="B771" s="107" t="n"/>
      <c r="C771" s="107" t="n"/>
      <c r="D771" s="127" t="n"/>
      <c r="E771" s="106" t="n"/>
      <c r="F771" s="107" t="n"/>
      <c r="G771" s="106" t="n"/>
      <c r="H771" s="107" t="n"/>
    </row>
    <row r="772">
      <c r="A772" s="106" t="n"/>
      <c r="B772" s="107" t="n"/>
      <c r="C772" s="107" t="n"/>
      <c r="D772" s="127" t="n"/>
      <c r="E772" s="106" t="n"/>
      <c r="F772" s="107" t="n"/>
      <c r="G772" s="106" t="n"/>
      <c r="H772" s="107" t="n"/>
    </row>
    <row r="773">
      <c r="A773" s="106" t="n"/>
      <c r="B773" s="107" t="n"/>
      <c r="C773" s="107" t="n"/>
      <c r="D773" s="127" t="n"/>
      <c r="E773" s="106" t="n"/>
      <c r="F773" s="107" t="n"/>
      <c r="G773" s="106" t="n"/>
      <c r="H773" s="107" t="n"/>
    </row>
    <row r="774">
      <c r="A774" s="106" t="n"/>
      <c r="B774" s="107" t="n"/>
      <c r="C774" s="107" t="n"/>
      <c r="D774" s="127" t="n"/>
      <c r="E774" s="106" t="n"/>
      <c r="F774" s="107" t="n"/>
      <c r="G774" s="106" t="n"/>
      <c r="H774" s="107" t="n"/>
    </row>
    <row r="775">
      <c r="A775" s="106" t="n"/>
      <c r="B775" s="107" t="n"/>
      <c r="C775" s="107" t="n"/>
      <c r="D775" s="127" t="n"/>
      <c r="E775" s="106" t="n"/>
      <c r="F775" s="107" t="n"/>
      <c r="G775" s="106" t="n"/>
      <c r="H775" s="107" t="n"/>
    </row>
    <row r="776">
      <c r="A776" s="106" t="n"/>
      <c r="B776" s="107" t="n"/>
      <c r="C776" s="107" t="n"/>
      <c r="D776" s="127" t="n"/>
      <c r="E776" s="106" t="n"/>
      <c r="F776" s="107" t="n"/>
      <c r="G776" s="106" t="n"/>
      <c r="H776" s="107" t="n"/>
    </row>
    <row r="777">
      <c r="A777" s="106" t="n"/>
      <c r="B777" s="107" t="n"/>
      <c r="C777" s="107" t="n"/>
      <c r="D777" s="127" t="n"/>
      <c r="E777" s="106" t="n"/>
      <c r="F777" s="107" t="n"/>
      <c r="G777" s="106" t="n"/>
      <c r="H777" s="107" t="n"/>
    </row>
    <row r="778">
      <c r="A778" s="106" t="n"/>
      <c r="B778" s="107" t="n"/>
      <c r="C778" s="107" t="n"/>
      <c r="D778" s="127" t="n"/>
      <c r="E778" s="106" t="n"/>
      <c r="F778" s="107" t="n"/>
      <c r="G778" s="106" t="n"/>
      <c r="H778" s="107" t="n"/>
    </row>
    <row r="779">
      <c r="A779" s="106" t="n"/>
      <c r="B779" s="107" t="n"/>
      <c r="C779" s="107" t="n"/>
      <c r="D779" s="127" t="n"/>
      <c r="E779" s="106" t="n"/>
      <c r="F779" s="107" t="n"/>
      <c r="G779" s="106" t="n"/>
      <c r="H779" s="107" t="n"/>
    </row>
    <row r="780">
      <c r="A780" s="106" t="n"/>
      <c r="B780" s="107" t="n"/>
      <c r="C780" s="107" t="n"/>
      <c r="D780" s="127" t="n"/>
      <c r="E780" s="106" t="n"/>
      <c r="F780" s="107" t="n"/>
      <c r="G780" s="106" t="n"/>
      <c r="H780" s="107" t="n"/>
    </row>
    <row r="781">
      <c r="A781" s="106" t="n"/>
      <c r="B781" s="107" t="n"/>
      <c r="C781" s="107" t="n"/>
      <c r="D781" s="127" t="n"/>
      <c r="E781" s="106" t="n"/>
      <c r="F781" s="107" t="n"/>
      <c r="G781" s="106" t="n"/>
      <c r="H781" s="107" t="n"/>
    </row>
    <row r="782">
      <c r="A782" s="106" t="n"/>
      <c r="B782" s="107" t="n"/>
      <c r="C782" s="107" t="n"/>
      <c r="D782" s="127" t="n"/>
      <c r="E782" s="106" t="n"/>
      <c r="F782" s="107" t="n"/>
      <c r="G782" s="106" t="n"/>
      <c r="H782" s="107" t="n"/>
    </row>
    <row r="783">
      <c r="A783" s="106" t="n"/>
      <c r="B783" s="107" t="n"/>
      <c r="C783" s="107" t="n"/>
      <c r="D783" s="127" t="n"/>
      <c r="E783" s="106" t="n"/>
      <c r="F783" s="107" t="n"/>
      <c r="G783" s="106" t="n"/>
      <c r="H783" s="107" t="n"/>
    </row>
    <row r="784">
      <c r="A784" s="106" t="n"/>
      <c r="B784" s="107" t="n"/>
      <c r="C784" s="107" t="n"/>
      <c r="D784" s="127" t="n"/>
      <c r="E784" s="106" t="n"/>
      <c r="F784" s="107" t="n"/>
      <c r="G784" s="106" t="n"/>
      <c r="H784" s="107" t="n"/>
    </row>
    <row r="785">
      <c r="A785" s="106" t="n"/>
      <c r="B785" s="107" t="n"/>
      <c r="C785" s="107" t="n"/>
      <c r="D785" s="127" t="n"/>
      <c r="E785" s="106" t="n"/>
      <c r="F785" s="107" t="n"/>
      <c r="G785" s="106" t="n"/>
      <c r="H785" s="107" t="n"/>
    </row>
    <row r="786">
      <c r="A786" s="106" t="n"/>
      <c r="B786" s="107" t="n"/>
      <c r="C786" s="107" t="n"/>
      <c r="D786" s="127" t="n"/>
      <c r="E786" s="106" t="n"/>
      <c r="F786" s="107" t="n"/>
      <c r="G786" s="106" t="n"/>
      <c r="H786" s="107" t="n"/>
    </row>
    <row r="787">
      <c r="A787" s="106" t="n"/>
      <c r="B787" s="107" t="n"/>
      <c r="C787" s="107" t="n"/>
      <c r="D787" s="127" t="n"/>
      <c r="E787" s="106" t="n"/>
      <c r="F787" s="107" t="n"/>
      <c r="G787" s="106" t="n"/>
      <c r="H787" s="107" t="n"/>
    </row>
    <row r="788">
      <c r="A788" s="106" t="n"/>
      <c r="B788" s="107" t="n"/>
      <c r="C788" s="107" t="n"/>
      <c r="D788" s="127" t="n"/>
      <c r="E788" s="106" t="n"/>
      <c r="F788" s="107" t="n"/>
      <c r="G788" s="106" t="n"/>
      <c r="H788" s="107" t="n"/>
    </row>
    <row r="789">
      <c r="A789" s="106" t="n"/>
      <c r="B789" s="107" t="n"/>
      <c r="C789" s="107" t="n"/>
      <c r="D789" s="127" t="n"/>
      <c r="E789" s="106" t="n"/>
      <c r="F789" s="107" t="n"/>
      <c r="G789" s="106" t="n"/>
      <c r="H789" s="107" t="n"/>
    </row>
    <row r="790">
      <c r="A790" s="106" t="n"/>
      <c r="B790" s="107" t="n"/>
      <c r="C790" s="107" t="n"/>
      <c r="D790" s="127" t="n"/>
      <c r="E790" s="106" t="n"/>
      <c r="F790" s="107" t="n"/>
      <c r="G790" s="106" t="n"/>
      <c r="H790" s="107" t="n"/>
    </row>
    <row r="791">
      <c r="A791" s="106" t="n"/>
      <c r="B791" s="107" t="n"/>
      <c r="C791" s="107" t="n"/>
      <c r="D791" s="127" t="n"/>
      <c r="E791" s="106" t="n"/>
      <c r="F791" s="107" t="n"/>
      <c r="G791" s="106" t="n"/>
      <c r="H791" s="107" t="n"/>
    </row>
    <row r="792">
      <c r="A792" s="106" t="n"/>
      <c r="B792" s="107" t="n"/>
      <c r="C792" s="107" t="n"/>
      <c r="D792" s="127" t="n"/>
      <c r="E792" s="106" t="n"/>
      <c r="F792" s="107" t="n"/>
      <c r="G792" s="106" t="n"/>
      <c r="H792" s="107" t="n"/>
    </row>
    <row r="793">
      <c r="A793" s="106" t="n"/>
      <c r="B793" s="107" t="n"/>
      <c r="C793" s="107" t="n"/>
      <c r="D793" s="127" t="n"/>
      <c r="E793" s="106" t="n"/>
      <c r="F793" s="107" t="n"/>
      <c r="G793" s="106" t="n"/>
      <c r="H793" s="107" t="n"/>
    </row>
    <row r="794">
      <c r="A794" s="106" t="n"/>
      <c r="B794" s="107" t="n"/>
      <c r="C794" s="107" t="n"/>
      <c r="D794" s="127" t="n"/>
      <c r="E794" s="106" t="n"/>
      <c r="F794" s="107" t="n"/>
      <c r="G794" s="106" t="n"/>
      <c r="H794" s="107" t="n"/>
    </row>
    <row r="795">
      <c r="A795" s="106" t="n"/>
      <c r="B795" s="107" t="n"/>
      <c r="C795" s="107" t="n"/>
      <c r="D795" s="127" t="n"/>
      <c r="E795" s="106" t="n"/>
      <c r="F795" s="107" t="n"/>
      <c r="G795" s="106" t="n"/>
      <c r="H795" s="107" t="n"/>
    </row>
    <row r="796">
      <c r="A796" s="106" t="n"/>
      <c r="B796" s="107" t="n"/>
      <c r="C796" s="107" t="n"/>
      <c r="D796" s="127" t="n"/>
      <c r="E796" s="106" t="n"/>
      <c r="F796" s="107" t="n"/>
      <c r="G796" s="106" t="n"/>
      <c r="H796" s="107" t="n"/>
    </row>
    <row r="797">
      <c r="A797" s="106" t="n"/>
      <c r="B797" s="107" t="n"/>
      <c r="C797" s="107" t="n"/>
      <c r="D797" s="127" t="n"/>
      <c r="E797" s="106" t="n"/>
      <c r="F797" s="107" t="n"/>
      <c r="G797" s="106" t="n"/>
      <c r="H797" s="107" t="n"/>
    </row>
    <row r="798">
      <c r="A798" s="106" t="n"/>
      <c r="B798" s="107" t="n"/>
      <c r="C798" s="107" t="n"/>
      <c r="D798" s="127" t="n"/>
      <c r="E798" s="106" t="n"/>
      <c r="F798" s="107" t="n"/>
      <c r="G798" s="106" t="n"/>
      <c r="H798" s="107" t="n"/>
    </row>
    <row r="799">
      <c r="A799" s="106" t="n"/>
      <c r="B799" s="107" t="n"/>
      <c r="C799" s="107" t="n"/>
      <c r="D799" s="127" t="n"/>
      <c r="E799" s="106" t="n"/>
      <c r="F799" s="107" t="n"/>
      <c r="G799" s="106" t="n"/>
      <c r="H799" s="107" t="n"/>
    </row>
    <row r="800">
      <c r="A800" s="106" t="n"/>
      <c r="B800" s="107" t="n"/>
      <c r="C800" s="107" t="n"/>
      <c r="D800" s="127" t="n"/>
      <c r="E800" s="106" t="n"/>
      <c r="F800" s="107" t="n"/>
      <c r="G800" s="106" t="n"/>
      <c r="H800" s="107" t="n"/>
    </row>
    <row r="801">
      <c r="A801" s="106" t="n"/>
      <c r="B801" s="107" t="n"/>
      <c r="C801" s="107" t="n"/>
      <c r="D801" s="127" t="n"/>
      <c r="E801" s="106" t="n"/>
      <c r="F801" s="107" t="n"/>
      <c r="G801" s="106" t="n"/>
      <c r="H801" s="107" t="n"/>
    </row>
    <row r="802">
      <c r="A802" s="106" t="n"/>
      <c r="B802" s="107" t="n"/>
      <c r="C802" s="107" t="n"/>
      <c r="D802" s="127" t="n"/>
      <c r="E802" s="106" t="n"/>
      <c r="F802" s="107" t="n"/>
      <c r="G802" s="106" t="n"/>
      <c r="H802" s="107" t="n"/>
    </row>
    <row r="803">
      <c r="A803" s="106" t="n"/>
      <c r="B803" s="107" t="n"/>
      <c r="C803" s="107" t="n"/>
      <c r="D803" s="127" t="n"/>
      <c r="E803" s="106" t="n"/>
      <c r="F803" s="107" t="n"/>
      <c r="G803" s="106" t="n"/>
      <c r="H803" s="107" t="n"/>
    </row>
    <row r="804">
      <c r="A804" s="106" t="n"/>
      <c r="B804" s="107" t="n"/>
      <c r="C804" s="107" t="n"/>
      <c r="D804" s="127" t="n"/>
      <c r="E804" s="106" t="n"/>
      <c r="F804" s="107" t="n"/>
      <c r="G804" s="106" t="n"/>
      <c r="H804" s="107" t="n"/>
    </row>
    <row r="805">
      <c r="A805" s="106" t="n"/>
      <c r="B805" s="107" t="n"/>
      <c r="C805" s="107" t="n"/>
      <c r="D805" s="127" t="n"/>
      <c r="E805" s="106" t="n"/>
      <c r="F805" s="107" t="n"/>
      <c r="G805" s="106" t="n"/>
      <c r="H805" s="107" t="n"/>
    </row>
    <row r="806">
      <c r="A806" s="106" t="n"/>
      <c r="B806" s="107" t="n"/>
      <c r="C806" s="107" t="n"/>
      <c r="D806" s="127" t="n"/>
      <c r="E806" s="106" t="n"/>
      <c r="F806" s="107" t="n"/>
      <c r="G806" s="106" t="n"/>
      <c r="H806" s="107" t="n"/>
    </row>
    <row r="807">
      <c r="A807" s="106" t="n"/>
      <c r="B807" s="107" t="n"/>
      <c r="C807" s="107" t="n"/>
      <c r="D807" s="127" t="n"/>
      <c r="E807" s="106" t="n"/>
      <c r="F807" s="107" t="n"/>
      <c r="G807" s="106" t="n"/>
      <c r="H807" s="107" t="n"/>
    </row>
    <row r="808">
      <c r="A808" s="106" t="n"/>
      <c r="B808" s="107" t="n"/>
      <c r="C808" s="107" t="n"/>
      <c r="D808" s="127" t="n"/>
      <c r="E808" s="106" t="n"/>
      <c r="F808" s="107" t="n"/>
      <c r="G808" s="106" t="n"/>
      <c r="H808" s="107" t="n"/>
    </row>
    <row r="809">
      <c r="A809" s="106" t="n"/>
      <c r="B809" s="107" t="n"/>
      <c r="C809" s="107" t="n"/>
      <c r="D809" s="127" t="n"/>
      <c r="E809" s="106" t="n"/>
      <c r="F809" s="107" t="n"/>
      <c r="G809" s="106" t="n"/>
      <c r="H809" s="107" t="n"/>
    </row>
    <row r="810">
      <c r="A810" s="106" t="n"/>
      <c r="B810" s="107" t="n"/>
      <c r="C810" s="107" t="n"/>
      <c r="D810" s="127" t="n"/>
      <c r="E810" s="106" t="n"/>
      <c r="F810" s="107" t="n"/>
      <c r="G810" s="106" t="n"/>
      <c r="H810" s="107" t="n"/>
    </row>
    <row r="811">
      <c r="A811" s="106" t="n"/>
      <c r="B811" s="107" t="n"/>
      <c r="C811" s="107" t="n"/>
      <c r="D811" s="127" t="n"/>
      <c r="E811" s="106" t="n"/>
      <c r="F811" s="107" t="n"/>
      <c r="G811" s="106" t="n"/>
      <c r="H811" s="107" t="n"/>
    </row>
    <row r="812">
      <c r="A812" s="106" t="n"/>
      <c r="B812" s="107" t="n"/>
      <c r="C812" s="107" t="n"/>
      <c r="D812" s="127" t="n"/>
      <c r="E812" s="106" t="n"/>
      <c r="F812" s="107" t="n"/>
      <c r="G812" s="106" t="n"/>
      <c r="H812" s="107" t="n"/>
    </row>
    <row r="813">
      <c r="A813" s="106" t="n"/>
      <c r="B813" s="107" t="n"/>
      <c r="C813" s="107" t="n"/>
      <c r="D813" s="127" t="n"/>
      <c r="E813" s="106" t="n"/>
      <c r="F813" s="107" t="n"/>
      <c r="G813" s="106" t="n"/>
      <c r="H813" s="107" t="n"/>
    </row>
    <row r="814">
      <c r="A814" s="106" t="n"/>
      <c r="B814" s="107" t="n"/>
      <c r="C814" s="107" t="n"/>
      <c r="D814" s="127" t="n"/>
      <c r="E814" s="106" t="n"/>
      <c r="F814" s="107" t="n"/>
      <c r="G814" s="106" t="n"/>
      <c r="H814" s="107" t="n"/>
    </row>
    <row r="815">
      <c r="A815" s="106" t="n"/>
      <c r="B815" s="107" t="n"/>
      <c r="C815" s="107" t="n"/>
      <c r="D815" s="127" t="n"/>
      <c r="E815" s="106" t="n"/>
      <c r="F815" s="107" t="n"/>
      <c r="G815" s="106" t="n"/>
      <c r="H815" s="107" t="n"/>
    </row>
    <row r="816">
      <c r="A816" s="106" t="n"/>
      <c r="B816" s="107" t="n"/>
      <c r="C816" s="107" t="n"/>
      <c r="D816" s="127" t="n"/>
      <c r="E816" s="106" t="n"/>
      <c r="F816" s="107" t="n"/>
      <c r="G816" s="106" t="n"/>
      <c r="H816" s="107" t="n"/>
    </row>
    <row r="817">
      <c r="A817" s="106" t="n"/>
      <c r="B817" s="107" t="n"/>
      <c r="C817" s="107" t="n"/>
      <c r="D817" s="127" t="n"/>
      <c r="E817" s="106" t="n"/>
      <c r="F817" s="107" t="n"/>
      <c r="G817" s="106" t="n"/>
      <c r="H817" s="107" t="n"/>
    </row>
    <row r="818">
      <c r="A818" s="106" t="n"/>
      <c r="B818" s="107" t="n"/>
      <c r="C818" s="107" t="n"/>
      <c r="D818" s="127" t="n"/>
      <c r="E818" s="106" t="n"/>
      <c r="F818" s="107" t="n"/>
      <c r="G818" s="106" t="n"/>
      <c r="H818" s="107" t="n"/>
    </row>
    <row r="819">
      <c r="A819" s="106" t="n"/>
      <c r="B819" s="107" t="n"/>
      <c r="C819" s="107" t="n"/>
      <c r="D819" s="127" t="n"/>
      <c r="E819" s="106" t="n"/>
      <c r="F819" s="107" t="n"/>
      <c r="G819" s="106" t="n"/>
      <c r="H819" s="107" t="n"/>
    </row>
    <row r="820">
      <c r="A820" s="106" t="n"/>
      <c r="B820" s="107" t="n"/>
      <c r="C820" s="107" t="n"/>
      <c r="D820" s="127" t="n"/>
      <c r="E820" s="106" t="n"/>
      <c r="F820" s="107" t="n"/>
      <c r="G820" s="106" t="n"/>
      <c r="H820" s="107" t="n"/>
    </row>
    <row r="821">
      <c r="A821" s="106" t="n"/>
      <c r="B821" s="107" t="n"/>
      <c r="C821" s="107" t="n"/>
      <c r="D821" s="127" t="n"/>
      <c r="E821" s="106" t="n"/>
      <c r="F821" s="107" t="n"/>
      <c r="G821" s="106" t="n"/>
      <c r="H821" s="107" t="n"/>
    </row>
    <row r="822">
      <c r="A822" s="106" t="n"/>
      <c r="B822" s="107" t="n"/>
      <c r="C822" s="107" t="n"/>
      <c r="D822" s="127" t="n"/>
      <c r="E822" s="106" t="n"/>
      <c r="F822" s="107" t="n"/>
      <c r="G822" s="106" t="n"/>
      <c r="H822" s="107" t="n"/>
    </row>
    <row r="823">
      <c r="A823" s="106" t="n"/>
      <c r="B823" s="107" t="n"/>
      <c r="C823" s="107" t="n"/>
      <c r="D823" s="127" t="n"/>
      <c r="E823" s="106" t="n"/>
      <c r="F823" s="107" t="n"/>
      <c r="G823" s="106" t="n"/>
      <c r="H823" s="107" t="n"/>
    </row>
    <row r="824">
      <c r="A824" s="106" t="n"/>
      <c r="B824" s="107" t="n"/>
      <c r="C824" s="107" t="n"/>
      <c r="D824" s="127" t="n"/>
      <c r="E824" s="106" t="n"/>
      <c r="F824" s="107" t="n"/>
      <c r="G824" s="106" t="n"/>
      <c r="H824" s="107" t="n"/>
    </row>
    <row r="825">
      <c r="A825" s="106" t="n"/>
      <c r="B825" s="107" t="n"/>
      <c r="C825" s="107" t="n"/>
      <c r="D825" s="127" t="n"/>
      <c r="E825" s="106" t="n"/>
      <c r="F825" s="107" t="n"/>
      <c r="G825" s="106" t="n"/>
      <c r="H825" s="107" t="n"/>
    </row>
    <row r="826">
      <c r="A826" s="106" t="n"/>
      <c r="B826" s="107" t="n"/>
      <c r="C826" s="107" t="n"/>
      <c r="D826" s="127" t="n"/>
      <c r="E826" s="106" t="n"/>
      <c r="F826" s="107" t="n"/>
      <c r="G826" s="106" t="n"/>
      <c r="H826" s="107" t="n"/>
    </row>
    <row r="827">
      <c r="A827" s="106" t="n"/>
      <c r="B827" s="107" t="n"/>
      <c r="C827" s="107" t="n"/>
      <c r="D827" s="127" t="n"/>
      <c r="E827" s="106" t="n"/>
      <c r="F827" s="107" t="n"/>
      <c r="G827" s="106" t="n"/>
      <c r="H827" s="107" t="n"/>
    </row>
    <row r="828">
      <c r="A828" s="106" t="n"/>
      <c r="B828" s="107" t="n"/>
      <c r="C828" s="107" t="n"/>
      <c r="D828" s="127" t="n"/>
      <c r="E828" s="106" t="n"/>
      <c r="F828" s="107" t="n"/>
      <c r="G828" s="106" t="n"/>
      <c r="H828" s="107" t="n"/>
    </row>
    <row r="829">
      <c r="A829" s="106" t="n"/>
      <c r="B829" s="107" t="n"/>
      <c r="C829" s="107" t="n"/>
      <c r="D829" s="127" t="n"/>
      <c r="E829" s="106" t="n"/>
      <c r="F829" s="107" t="n"/>
      <c r="G829" s="106" t="n"/>
      <c r="H829" s="107" t="n"/>
    </row>
    <row r="830">
      <c r="A830" s="106" t="n"/>
      <c r="B830" s="107" t="n"/>
      <c r="C830" s="107" t="n"/>
      <c r="D830" s="127" t="n"/>
      <c r="E830" s="106" t="n"/>
      <c r="F830" s="107" t="n"/>
      <c r="G830" s="106" t="n"/>
      <c r="H830" s="107" t="n"/>
    </row>
    <row r="831">
      <c r="A831" s="106" t="n"/>
      <c r="B831" s="107" t="n"/>
      <c r="C831" s="107" t="n"/>
      <c r="D831" s="127" t="n"/>
      <c r="E831" s="106" t="n"/>
      <c r="F831" s="107" t="n"/>
      <c r="G831" s="106" t="n"/>
      <c r="H831" s="107" t="n"/>
    </row>
    <row r="832">
      <c r="A832" s="106" t="n"/>
      <c r="B832" s="107" t="n"/>
      <c r="C832" s="107" t="n"/>
      <c r="D832" s="127" t="n"/>
      <c r="E832" s="106" t="n"/>
      <c r="F832" s="107" t="n"/>
      <c r="G832" s="106" t="n"/>
      <c r="H832" s="107" t="n"/>
    </row>
    <row r="833">
      <c r="A833" s="106" t="n"/>
      <c r="B833" s="107" t="n"/>
      <c r="C833" s="107" t="n"/>
      <c r="D833" s="127" t="n"/>
      <c r="E833" s="106" t="n"/>
      <c r="F833" s="107" t="n"/>
      <c r="G833" s="106" t="n"/>
      <c r="H833" s="107" t="n"/>
    </row>
    <row r="834">
      <c r="A834" s="106" t="n"/>
      <c r="B834" s="107" t="n"/>
      <c r="C834" s="107" t="n"/>
      <c r="D834" s="127" t="n"/>
      <c r="E834" s="106" t="n"/>
      <c r="F834" s="107" t="n"/>
      <c r="G834" s="106" t="n"/>
      <c r="H834" s="107" t="n"/>
    </row>
    <row r="835">
      <c r="A835" s="106" t="n"/>
      <c r="B835" s="107" t="n"/>
      <c r="C835" s="107" t="n"/>
      <c r="D835" s="127" t="n"/>
      <c r="E835" s="106" t="n"/>
      <c r="F835" s="107" t="n"/>
      <c r="G835" s="106" t="n"/>
      <c r="H835" s="107" t="n"/>
    </row>
    <row r="836">
      <c r="A836" s="106" t="n"/>
      <c r="B836" s="107" t="n"/>
      <c r="C836" s="107" t="n"/>
      <c r="D836" s="127" t="n"/>
      <c r="E836" s="106" t="n"/>
      <c r="F836" s="107" t="n"/>
      <c r="G836" s="106" t="n"/>
      <c r="H836" s="107" t="n"/>
    </row>
    <row r="837">
      <c r="A837" s="106" t="n"/>
      <c r="B837" s="107" t="n"/>
      <c r="C837" s="107" t="n"/>
      <c r="D837" s="127" t="n"/>
      <c r="E837" s="106" t="n"/>
      <c r="F837" s="107" t="n"/>
      <c r="G837" s="106" t="n"/>
      <c r="H837" s="107" t="n"/>
    </row>
    <row r="838">
      <c r="A838" s="106" t="n"/>
      <c r="B838" s="107" t="n"/>
      <c r="C838" s="107" t="n"/>
      <c r="D838" s="127" t="n"/>
      <c r="E838" s="106" t="n"/>
      <c r="F838" s="107" t="n"/>
      <c r="G838" s="106" t="n"/>
      <c r="H838" s="107" t="n"/>
    </row>
    <row r="839">
      <c r="A839" s="106" t="n"/>
      <c r="B839" s="107" t="n"/>
      <c r="C839" s="107" t="n"/>
      <c r="D839" s="127" t="n"/>
      <c r="E839" s="106" t="n"/>
      <c r="F839" s="107" t="n"/>
      <c r="G839" s="106" t="n"/>
      <c r="H839" s="107" t="n"/>
    </row>
    <row r="840">
      <c r="A840" s="106" t="n"/>
      <c r="B840" s="107" t="n"/>
      <c r="C840" s="107" t="n"/>
      <c r="D840" s="127" t="n"/>
      <c r="E840" s="106" t="n"/>
      <c r="F840" s="107" t="n"/>
      <c r="G840" s="106" t="n"/>
      <c r="H840" s="107" t="n"/>
    </row>
    <row r="841">
      <c r="A841" s="106" t="n"/>
      <c r="B841" s="107" t="n"/>
      <c r="C841" s="107" t="n"/>
      <c r="D841" s="127" t="n"/>
      <c r="E841" s="106" t="n"/>
      <c r="F841" s="107" t="n"/>
      <c r="G841" s="106" t="n"/>
      <c r="H841" s="107" t="n"/>
    </row>
    <row r="842">
      <c r="A842" s="106" t="n"/>
      <c r="B842" s="107" t="n"/>
      <c r="C842" s="107" t="n"/>
      <c r="D842" s="127" t="n"/>
      <c r="E842" s="106" t="n"/>
      <c r="F842" s="107" t="n"/>
      <c r="G842" s="106" t="n"/>
      <c r="H842" s="107" t="n"/>
    </row>
    <row r="843">
      <c r="A843" s="106" t="n"/>
      <c r="B843" s="107" t="n"/>
      <c r="C843" s="107" t="n"/>
      <c r="D843" s="127" t="n"/>
      <c r="E843" s="106" t="n"/>
      <c r="F843" s="107" t="n"/>
      <c r="G843" s="106" t="n"/>
      <c r="H843" s="107" t="n"/>
    </row>
    <row r="844">
      <c r="A844" s="106" t="n"/>
      <c r="B844" s="107" t="n"/>
      <c r="C844" s="107" t="n"/>
      <c r="D844" s="127" t="n"/>
      <c r="E844" s="106" t="n"/>
      <c r="F844" s="107" t="n"/>
      <c r="G844" s="106" t="n"/>
      <c r="H844" s="107" t="n"/>
    </row>
    <row r="845">
      <c r="A845" s="106" t="n"/>
      <c r="B845" s="107" t="n"/>
      <c r="C845" s="107" t="n"/>
      <c r="D845" s="127" t="n"/>
      <c r="E845" s="106" t="n"/>
      <c r="F845" s="107" t="n"/>
      <c r="G845" s="106" t="n"/>
      <c r="H845" s="107" t="n"/>
    </row>
    <row r="846">
      <c r="A846" s="106" t="n"/>
      <c r="B846" s="107" t="n"/>
      <c r="C846" s="107" t="n"/>
      <c r="D846" s="127" t="n"/>
      <c r="E846" s="106" t="n"/>
      <c r="F846" s="107" t="n"/>
      <c r="G846" s="106" t="n"/>
      <c r="H846" s="107" t="n"/>
    </row>
    <row r="847">
      <c r="A847" s="106" t="n"/>
      <c r="B847" s="107" t="n"/>
      <c r="C847" s="107" t="n"/>
      <c r="D847" s="127" t="n"/>
      <c r="E847" s="106" t="n"/>
      <c r="F847" s="107" t="n"/>
      <c r="G847" s="106" t="n"/>
      <c r="H847" s="107" t="n"/>
    </row>
    <row r="848">
      <c r="A848" s="106" t="n"/>
      <c r="B848" s="107" t="n"/>
      <c r="C848" s="107" t="n"/>
      <c r="D848" s="127" t="n"/>
      <c r="E848" s="106" t="n"/>
      <c r="F848" s="107" t="n"/>
      <c r="G848" s="106" t="n"/>
      <c r="H848" s="107" t="n"/>
    </row>
    <row r="849">
      <c r="A849" s="106" t="n"/>
      <c r="B849" s="107" t="n"/>
      <c r="C849" s="107" t="n"/>
      <c r="D849" s="127" t="n"/>
      <c r="E849" s="106" t="n"/>
      <c r="F849" s="107" t="n"/>
      <c r="G849" s="106" t="n"/>
      <c r="H849" s="107" t="n"/>
    </row>
    <row r="850">
      <c r="A850" s="106" t="n"/>
      <c r="B850" s="107" t="n"/>
      <c r="C850" s="107" t="n"/>
      <c r="D850" s="127" t="n"/>
      <c r="E850" s="106" t="n"/>
      <c r="F850" s="107" t="n"/>
      <c r="G850" s="106" t="n"/>
      <c r="H850" s="107" t="n"/>
    </row>
    <row r="851">
      <c r="A851" s="106" t="n"/>
      <c r="B851" s="107" t="n"/>
      <c r="C851" s="107" t="n"/>
      <c r="D851" s="127" t="n"/>
      <c r="E851" s="106" t="n"/>
      <c r="F851" s="107" t="n"/>
      <c r="G851" s="106" t="n"/>
      <c r="H851" s="107" t="n"/>
    </row>
    <row r="852">
      <c r="A852" s="106" t="n"/>
      <c r="B852" s="107" t="n"/>
      <c r="C852" s="107" t="n"/>
      <c r="D852" s="127" t="n"/>
      <c r="E852" s="106" t="n"/>
      <c r="F852" s="107" t="n"/>
      <c r="G852" s="106" t="n"/>
      <c r="H852" s="107" t="n"/>
    </row>
    <row r="853">
      <c r="A853" s="106" t="n"/>
      <c r="B853" s="107" t="n"/>
      <c r="C853" s="107" t="n"/>
      <c r="D853" s="127" t="n"/>
      <c r="E853" s="106" t="n"/>
      <c r="F853" s="107" t="n"/>
      <c r="G853" s="106" t="n"/>
      <c r="H853" s="107" t="n"/>
    </row>
    <row r="854">
      <c r="A854" s="106" t="n"/>
      <c r="B854" s="107" t="n"/>
      <c r="C854" s="107" t="n"/>
      <c r="D854" s="127" t="n"/>
      <c r="E854" s="106" t="n"/>
      <c r="F854" s="107" t="n"/>
      <c r="G854" s="106" t="n"/>
      <c r="H854" s="107" t="n"/>
    </row>
    <row r="855">
      <c r="A855" s="106" t="n"/>
      <c r="B855" s="107" t="n"/>
      <c r="C855" s="107" t="n"/>
      <c r="D855" s="127" t="n"/>
      <c r="E855" s="106" t="n"/>
      <c r="F855" s="107" t="n"/>
      <c r="G855" s="106" t="n"/>
      <c r="H855" s="107" t="n"/>
    </row>
    <row r="856">
      <c r="A856" s="106" t="n"/>
      <c r="B856" s="107" t="n"/>
      <c r="C856" s="107" t="n"/>
      <c r="D856" s="127" t="n"/>
      <c r="E856" s="106" t="n"/>
      <c r="F856" s="107" t="n"/>
      <c r="G856" s="106" t="n"/>
      <c r="H856" s="107" t="n"/>
    </row>
    <row r="857">
      <c r="A857" s="106" t="n"/>
      <c r="B857" s="107" t="n"/>
      <c r="C857" s="107" t="n"/>
      <c r="D857" s="127" t="n"/>
      <c r="E857" s="106" t="n"/>
      <c r="F857" s="107" t="n"/>
      <c r="G857" s="106" t="n"/>
      <c r="H857" s="107" t="n"/>
    </row>
    <row r="858">
      <c r="A858" s="106" t="n"/>
      <c r="B858" s="107" t="n"/>
      <c r="C858" s="107" t="n"/>
      <c r="D858" s="127" t="n"/>
      <c r="E858" s="106" t="n"/>
      <c r="F858" s="107" t="n"/>
      <c r="G858" s="106" t="n"/>
      <c r="H858" s="107" t="n"/>
    </row>
    <row r="859">
      <c r="A859" s="106" t="n"/>
      <c r="B859" s="107" t="n"/>
      <c r="C859" s="107" t="n"/>
      <c r="D859" s="127" t="n"/>
      <c r="E859" s="106" t="n"/>
      <c r="F859" s="107" t="n"/>
      <c r="G859" s="106" t="n"/>
      <c r="H859" s="107" t="n"/>
    </row>
    <row r="860">
      <c r="A860" s="106" t="n"/>
      <c r="B860" s="107" t="n"/>
      <c r="C860" s="107" t="n"/>
      <c r="D860" s="127" t="n"/>
      <c r="E860" s="106" t="n"/>
      <c r="F860" s="107" t="n"/>
      <c r="G860" s="106" t="n"/>
      <c r="H860" s="107" t="n"/>
    </row>
    <row r="861">
      <c r="A861" s="106" t="n"/>
      <c r="B861" s="107" t="n"/>
      <c r="C861" s="107" t="n"/>
      <c r="D861" s="127" t="n"/>
      <c r="E861" s="106" t="n"/>
      <c r="F861" s="107" t="n"/>
      <c r="G861" s="106" t="n"/>
      <c r="H861" s="107" t="n"/>
    </row>
    <row r="862">
      <c r="A862" s="106" t="n"/>
      <c r="B862" s="107" t="n"/>
      <c r="C862" s="107" t="n"/>
      <c r="D862" s="127" t="n"/>
      <c r="E862" s="106" t="n"/>
      <c r="F862" s="107" t="n"/>
      <c r="G862" s="106" t="n"/>
      <c r="H862" s="107" t="n"/>
    </row>
    <row r="863">
      <c r="A863" s="106" t="n"/>
      <c r="B863" s="107" t="n"/>
      <c r="C863" s="107" t="n"/>
      <c r="D863" s="127" t="n"/>
      <c r="E863" s="106" t="n"/>
      <c r="F863" s="107" t="n"/>
      <c r="G863" s="106" t="n"/>
      <c r="H863" s="107" t="n"/>
    </row>
    <row r="864">
      <c r="A864" s="106" t="n"/>
      <c r="B864" s="107" t="n"/>
      <c r="C864" s="107" t="n"/>
      <c r="D864" s="127" t="n"/>
      <c r="E864" s="106" t="n"/>
      <c r="F864" s="107" t="n"/>
      <c r="G864" s="106" t="n"/>
      <c r="H864" s="107" t="n"/>
    </row>
    <row r="865">
      <c r="A865" s="106" t="n"/>
      <c r="B865" s="107" t="n"/>
      <c r="C865" s="107" t="n"/>
      <c r="D865" s="127" t="n"/>
      <c r="E865" s="106" t="n"/>
      <c r="F865" s="107" t="n"/>
      <c r="G865" s="106" t="n"/>
      <c r="H865" s="107" t="n"/>
    </row>
    <row r="866">
      <c r="A866" s="106" t="n"/>
      <c r="B866" s="107" t="n"/>
      <c r="C866" s="107" t="n"/>
      <c r="D866" s="127" t="n"/>
      <c r="E866" s="106" t="n"/>
      <c r="F866" s="107" t="n"/>
      <c r="G866" s="106" t="n"/>
      <c r="H866" s="107" t="n"/>
    </row>
    <row r="867">
      <c r="A867" s="106" t="n"/>
      <c r="B867" s="107" t="n"/>
      <c r="C867" s="107" t="n"/>
      <c r="D867" s="127" t="n"/>
      <c r="E867" s="106" t="n"/>
      <c r="F867" s="107" t="n"/>
      <c r="G867" s="106" t="n"/>
      <c r="H867" s="107" t="n"/>
    </row>
    <row r="868">
      <c r="A868" s="106" t="n"/>
      <c r="B868" s="107" t="n"/>
      <c r="C868" s="107" t="n"/>
      <c r="D868" s="127" t="n"/>
      <c r="E868" s="106" t="n"/>
      <c r="F868" s="107" t="n"/>
      <c r="G868" s="106" t="n"/>
      <c r="H868" s="107" t="n"/>
    </row>
    <row r="869">
      <c r="A869" s="106" t="n"/>
      <c r="B869" s="107" t="n"/>
      <c r="C869" s="107" t="n"/>
      <c r="D869" s="127" t="n"/>
      <c r="E869" s="106" t="n"/>
      <c r="F869" s="107" t="n"/>
      <c r="G869" s="106" t="n"/>
      <c r="H869" s="107" t="n"/>
    </row>
    <row r="870">
      <c r="A870" s="106" t="n"/>
      <c r="B870" s="107" t="n"/>
      <c r="C870" s="107" t="n"/>
      <c r="D870" s="127" t="n"/>
      <c r="E870" s="106" t="n"/>
      <c r="F870" s="107" t="n"/>
      <c r="G870" s="106" t="n"/>
      <c r="H870" s="107" t="n"/>
    </row>
    <row r="871">
      <c r="A871" s="106" t="n"/>
      <c r="B871" s="107" t="n"/>
      <c r="C871" s="107" t="n"/>
      <c r="D871" s="127" t="n"/>
      <c r="E871" s="106" t="n"/>
      <c r="F871" s="107" t="n"/>
      <c r="G871" s="106" t="n"/>
      <c r="H871" s="107" t="n"/>
    </row>
    <row r="872">
      <c r="A872" s="106" t="n"/>
      <c r="B872" s="107" t="n"/>
      <c r="C872" s="107" t="n"/>
      <c r="D872" s="127" t="n"/>
      <c r="E872" s="106" t="n"/>
      <c r="F872" s="107" t="n"/>
      <c r="G872" s="106" t="n"/>
      <c r="H872" s="107" t="n"/>
    </row>
    <row r="873">
      <c r="A873" s="106" t="n"/>
      <c r="B873" s="107" t="n"/>
      <c r="C873" s="107" t="n"/>
      <c r="D873" s="127" t="n"/>
      <c r="E873" s="106" t="n"/>
      <c r="F873" s="107" t="n"/>
      <c r="G873" s="106" t="n"/>
      <c r="H873" s="107" t="n"/>
    </row>
    <row r="874">
      <c r="A874" s="106" t="n"/>
      <c r="B874" s="107" t="n"/>
      <c r="C874" s="107" t="n"/>
      <c r="D874" s="127" t="n"/>
      <c r="E874" s="106" t="n"/>
      <c r="F874" s="107" t="n"/>
      <c r="G874" s="106" t="n"/>
      <c r="H874" s="107" t="n"/>
    </row>
    <row r="875">
      <c r="A875" s="106" t="n"/>
      <c r="B875" s="107" t="n"/>
      <c r="C875" s="107" t="n"/>
      <c r="D875" s="127" t="n"/>
      <c r="E875" s="106" t="n"/>
      <c r="F875" s="107" t="n"/>
      <c r="G875" s="106" t="n"/>
      <c r="H875" s="107" t="n"/>
    </row>
    <row r="876">
      <c r="A876" s="106" t="n"/>
      <c r="B876" s="107" t="n"/>
      <c r="C876" s="107" t="n"/>
      <c r="D876" s="127" t="n"/>
      <c r="E876" s="106" t="n"/>
      <c r="F876" s="107" t="n"/>
      <c r="G876" s="106" t="n"/>
      <c r="H876" s="107" t="n"/>
    </row>
    <row r="877">
      <c r="A877" s="106" t="n"/>
      <c r="B877" s="107" t="n"/>
      <c r="C877" s="107" t="n"/>
      <c r="D877" s="127" t="n"/>
      <c r="E877" s="106" t="n"/>
      <c r="F877" s="107" t="n"/>
      <c r="G877" s="106" t="n"/>
      <c r="H877" s="107" t="n"/>
    </row>
    <row r="878">
      <c r="A878" s="106" t="n"/>
      <c r="B878" s="107" t="n"/>
      <c r="C878" s="107" t="n"/>
      <c r="D878" s="127" t="n"/>
      <c r="E878" s="106" t="n"/>
      <c r="F878" s="107" t="n"/>
      <c r="G878" s="106" t="n"/>
      <c r="H878" s="107" t="n"/>
    </row>
    <row r="879">
      <c r="A879" s="106" t="n"/>
      <c r="B879" s="107" t="n"/>
      <c r="C879" s="107" t="n"/>
      <c r="D879" s="127" t="n"/>
      <c r="E879" s="106" t="n"/>
      <c r="F879" s="107" t="n"/>
      <c r="G879" s="106" t="n"/>
      <c r="H879" s="107" t="n"/>
    </row>
    <row r="880">
      <c r="A880" s="106" t="n"/>
      <c r="B880" s="107" t="n"/>
      <c r="C880" s="107" t="n"/>
      <c r="D880" s="127" t="n"/>
      <c r="E880" s="106" t="n"/>
      <c r="F880" s="107" t="n"/>
      <c r="G880" s="106" t="n"/>
      <c r="H880" s="107" t="n"/>
    </row>
    <row r="881">
      <c r="A881" s="106" t="n"/>
      <c r="B881" s="107" t="n"/>
      <c r="C881" s="107" t="n"/>
      <c r="D881" s="127" t="n"/>
      <c r="E881" s="106" t="n"/>
      <c r="F881" s="107" t="n"/>
      <c r="G881" s="106" t="n"/>
      <c r="H881" s="107" t="n"/>
    </row>
    <row r="882">
      <c r="A882" s="106" t="n"/>
      <c r="B882" s="107" t="n"/>
      <c r="C882" s="107" t="n"/>
      <c r="D882" s="127" t="n"/>
      <c r="E882" s="106" t="n"/>
      <c r="F882" s="107" t="n"/>
      <c r="G882" s="106" t="n"/>
      <c r="H882" s="107" t="n"/>
    </row>
    <row r="883">
      <c r="A883" s="106" t="n"/>
      <c r="B883" s="107" t="n"/>
      <c r="C883" s="107" t="n"/>
      <c r="D883" s="127" t="n"/>
      <c r="E883" s="106" t="n"/>
      <c r="F883" s="107" t="n"/>
      <c r="G883" s="106" t="n"/>
      <c r="H883" s="107" t="n"/>
    </row>
    <row r="884">
      <c r="A884" s="106" t="n"/>
      <c r="B884" s="107" t="n"/>
      <c r="C884" s="107" t="n"/>
      <c r="D884" s="127" t="n"/>
      <c r="E884" s="106" t="n"/>
      <c r="F884" s="107" t="n"/>
      <c r="G884" s="106" t="n"/>
      <c r="H884" s="107" t="n"/>
    </row>
    <row r="885">
      <c r="A885" s="106" t="n"/>
      <c r="B885" s="107" t="n"/>
      <c r="C885" s="107" t="n"/>
      <c r="D885" s="127" t="n"/>
      <c r="E885" s="106" t="n"/>
      <c r="F885" s="107" t="n"/>
      <c r="G885" s="106" t="n"/>
      <c r="H885" s="107" t="n"/>
    </row>
    <row r="886">
      <c r="A886" s="106" t="n"/>
      <c r="B886" s="107" t="n"/>
      <c r="C886" s="107" t="n"/>
      <c r="D886" s="127" t="n"/>
      <c r="E886" s="106" t="n"/>
      <c r="F886" s="107" t="n"/>
      <c r="G886" s="106" t="n"/>
      <c r="H886" s="107" t="n"/>
    </row>
    <row r="887">
      <c r="A887" s="106" t="n"/>
      <c r="B887" s="107" t="n"/>
      <c r="C887" s="107" t="n"/>
      <c r="D887" s="127" t="n"/>
      <c r="E887" s="106" t="n"/>
      <c r="F887" s="107" t="n"/>
      <c r="G887" s="106" t="n"/>
      <c r="H887" s="107" t="n"/>
    </row>
    <row r="888">
      <c r="A888" s="106" t="n"/>
      <c r="B888" s="107" t="n"/>
      <c r="C888" s="107" t="n"/>
      <c r="D888" s="127" t="n"/>
      <c r="E888" s="106" t="n"/>
      <c r="F888" s="107" t="n"/>
      <c r="G888" s="106" t="n"/>
      <c r="H888" s="107" t="n"/>
    </row>
    <row r="889">
      <c r="A889" s="106" t="n"/>
      <c r="B889" s="107" t="n"/>
      <c r="C889" s="107" t="n"/>
      <c r="D889" s="127" t="n"/>
      <c r="E889" s="106" t="n"/>
      <c r="F889" s="107" t="n"/>
      <c r="G889" s="106" t="n"/>
      <c r="H889" s="107" t="n"/>
    </row>
    <row r="890">
      <c r="A890" s="106" t="n"/>
      <c r="B890" s="107" t="n"/>
      <c r="C890" s="107" t="n"/>
      <c r="D890" s="127" t="n"/>
      <c r="E890" s="106" t="n"/>
      <c r="F890" s="107" t="n"/>
      <c r="G890" s="106" t="n"/>
      <c r="H890" s="107" t="n"/>
    </row>
    <row r="891">
      <c r="A891" s="106" t="n"/>
      <c r="B891" s="107" t="n"/>
      <c r="C891" s="107" t="n"/>
      <c r="D891" s="127" t="n"/>
      <c r="E891" s="106" t="n"/>
      <c r="F891" s="107" t="n"/>
      <c r="G891" s="106" t="n"/>
      <c r="H891" s="107" t="n"/>
    </row>
    <row r="892">
      <c r="A892" s="106" t="n"/>
      <c r="B892" s="107" t="n"/>
      <c r="C892" s="107" t="n"/>
      <c r="D892" s="127" t="n"/>
      <c r="E892" s="106" t="n"/>
      <c r="F892" s="107" t="n"/>
      <c r="G892" s="106" t="n"/>
      <c r="H892" s="107" t="n"/>
    </row>
    <row r="893">
      <c r="A893" s="106" t="n"/>
      <c r="B893" s="107" t="n"/>
      <c r="C893" s="107" t="n"/>
      <c r="D893" s="127" t="n"/>
      <c r="E893" s="106" t="n"/>
      <c r="F893" s="107" t="n"/>
      <c r="G893" s="106" t="n"/>
      <c r="H893" s="107" t="n"/>
    </row>
    <row r="894">
      <c r="A894" s="106" t="n"/>
      <c r="B894" s="107" t="n"/>
      <c r="C894" s="107" t="n"/>
      <c r="D894" s="127" t="n"/>
      <c r="E894" s="106" t="n"/>
      <c r="F894" s="107" t="n"/>
      <c r="G894" s="106" t="n"/>
      <c r="H894" s="107" t="n"/>
    </row>
    <row r="895">
      <c r="A895" s="106" t="n"/>
      <c r="B895" s="107" t="n"/>
      <c r="C895" s="107" t="n"/>
      <c r="D895" s="127" t="n"/>
      <c r="E895" s="106" t="n"/>
      <c r="F895" s="107" t="n"/>
      <c r="G895" s="106" t="n"/>
      <c r="H895" s="107" t="n"/>
    </row>
    <row r="896">
      <c r="A896" s="106" t="n"/>
      <c r="B896" s="107" t="n"/>
      <c r="C896" s="107" t="n"/>
      <c r="D896" s="127" t="n"/>
      <c r="E896" s="106" t="n"/>
      <c r="F896" s="107" t="n"/>
      <c r="G896" s="106" t="n"/>
      <c r="H896" s="107" t="n"/>
    </row>
    <row r="897">
      <c r="A897" s="106" t="n"/>
      <c r="B897" s="107" t="n"/>
      <c r="C897" s="107" t="n"/>
      <c r="D897" s="127" t="n"/>
      <c r="E897" s="106" t="n"/>
      <c r="F897" s="107" t="n"/>
      <c r="G897" s="106" t="n"/>
      <c r="H897" s="107" t="n"/>
    </row>
    <row r="898">
      <c r="A898" s="106" t="n"/>
      <c r="B898" s="107" t="n"/>
      <c r="C898" s="107" t="n"/>
      <c r="D898" s="127" t="n"/>
      <c r="E898" s="106" t="n"/>
      <c r="F898" s="107" t="n"/>
      <c r="G898" s="106" t="n"/>
      <c r="H898" s="107" t="n"/>
    </row>
    <row r="899">
      <c r="A899" s="106" t="n"/>
      <c r="B899" s="107" t="n"/>
      <c r="C899" s="107" t="n"/>
      <c r="D899" s="127" t="n"/>
      <c r="E899" s="106" t="n"/>
      <c r="F899" s="107" t="n"/>
      <c r="G899" s="106" t="n"/>
      <c r="H899" s="107" t="n"/>
    </row>
    <row r="900">
      <c r="A900" s="106" t="n"/>
      <c r="B900" s="107" t="n"/>
      <c r="C900" s="107" t="n"/>
      <c r="D900" s="127" t="n"/>
      <c r="E900" s="106" t="n"/>
      <c r="F900" s="107" t="n"/>
      <c r="G900" s="106" t="n"/>
      <c r="H900" s="107" t="n"/>
    </row>
    <row r="901">
      <c r="A901" s="106" t="n"/>
      <c r="B901" s="107" t="n"/>
      <c r="C901" s="107" t="n"/>
      <c r="D901" s="127" t="n"/>
      <c r="E901" s="106" t="n"/>
      <c r="F901" s="107" t="n"/>
      <c r="G901" s="106" t="n"/>
      <c r="H901" s="107" t="n"/>
    </row>
    <row r="902">
      <c r="A902" s="106" t="n"/>
      <c r="B902" s="107" t="n"/>
      <c r="C902" s="107" t="n"/>
      <c r="D902" s="127" t="n"/>
      <c r="E902" s="106" t="n"/>
      <c r="F902" s="107" t="n"/>
      <c r="G902" s="106" t="n"/>
      <c r="H902" s="107" t="n"/>
    </row>
    <row r="903">
      <c r="A903" s="106" t="n"/>
      <c r="B903" s="107" t="n"/>
      <c r="C903" s="107" t="n"/>
      <c r="D903" s="127" t="n"/>
      <c r="E903" s="106" t="n"/>
      <c r="F903" s="107" t="n"/>
      <c r="G903" s="106" t="n"/>
      <c r="H903" s="107" t="n"/>
    </row>
    <row r="904">
      <c r="A904" s="106" t="n"/>
      <c r="B904" s="107" t="n"/>
      <c r="C904" s="107" t="n"/>
      <c r="D904" s="127" t="n"/>
      <c r="E904" s="106" t="n"/>
      <c r="F904" s="107" t="n"/>
      <c r="G904" s="106" t="n"/>
      <c r="H904" s="107" t="n"/>
    </row>
    <row r="905">
      <c r="A905" s="106" t="n"/>
      <c r="B905" s="107" t="n"/>
      <c r="C905" s="107" t="n"/>
      <c r="D905" s="127" t="n"/>
      <c r="E905" s="106" t="n"/>
      <c r="F905" s="107" t="n"/>
      <c r="G905" s="106" t="n"/>
      <c r="H905" s="107" t="n"/>
    </row>
    <row r="906">
      <c r="A906" s="106" t="n"/>
      <c r="B906" s="107" t="n"/>
      <c r="C906" s="107" t="n"/>
      <c r="D906" s="127" t="n"/>
      <c r="E906" s="106" t="n"/>
      <c r="F906" s="107" t="n"/>
      <c r="G906" s="106" t="n"/>
      <c r="H906" s="107" t="n"/>
    </row>
    <row r="907">
      <c r="A907" s="106" t="n"/>
      <c r="B907" s="107" t="n"/>
      <c r="C907" s="107" t="n"/>
      <c r="D907" s="127" t="n"/>
      <c r="E907" s="106" t="n"/>
      <c r="F907" s="107" t="n"/>
      <c r="G907" s="106" t="n"/>
      <c r="H907" s="107" t="n"/>
    </row>
    <row r="908">
      <c r="A908" s="106" t="n"/>
      <c r="B908" s="107" t="n"/>
      <c r="C908" s="107" t="n"/>
      <c r="D908" s="127" t="n"/>
      <c r="E908" s="106" t="n"/>
      <c r="F908" s="107" t="n"/>
      <c r="G908" s="106" t="n"/>
      <c r="H908" s="107" t="n"/>
    </row>
    <row r="909">
      <c r="A909" s="106" t="n"/>
      <c r="B909" s="107" t="n"/>
      <c r="C909" s="107" t="n"/>
      <c r="D909" s="127" t="n"/>
      <c r="E909" s="106" t="n"/>
      <c r="F909" s="107" t="n"/>
      <c r="G909" s="106" t="n"/>
      <c r="H909" s="107" t="n"/>
    </row>
    <row r="910">
      <c r="A910" s="106" t="n"/>
      <c r="B910" s="107" t="n"/>
      <c r="C910" s="107" t="n"/>
      <c r="D910" s="127" t="n"/>
      <c r="E910" s="106" t="n"/>
      <c r="F910" s="107" t="n"/>
      <c r="G910" s="106" t="n"/>
      <c r="H910" s="107" t="n"/>
    </row>
    <row r="911">
      <c r="A911" s="106" t="n"/>
      <c r="B911" s="107" t="n"/>
      <c r="C911" s="107" t="n"/>
      <c r="D911" s="127" t="n"/>
      <c r="E911" s="106" t="n"/>
      <c r="F911" s="107" t="n"/>
      <c r="G911" s="106" t="n"/>
      <c r="H911" s="107" t="n"/>
    </row>
    <row r="912">
      <c r="A912" s="106" t="n"/>
      <c r="B912" s="107" t="n"/>
      <c r="C912" s="107" t="n"/>
      <c r="D912" s="127" t="n"/>
      <c r="E912" s="106" t="n"/>
      <c r="F912" s="107" t="n"/>
      <c r="G912" s="106" t="n"/>
      <c r="H912" s="107" t="n"/>
    </row>
    <row r="913">
      <c r="A913" s="106" t="n"/>
      <c r="B913" s="107" t="n"/>
      <c r="C913" s="107" t="n"/>
      <c r="D913" s="127" t="n"/>
      <c r="E913" s="106" t="n"/>
      <c r="F913" s="107" t="n"/>
      <c r="G913" s="106" t="n"/>
      <c r="H913" s="107" t="n"/>
    </row>
    <row r="914">
      <c r="A914" s="106" t="n"/>
      <c r="B914" s="107" t="n"/>
      <c r="C914" s="107" t="n"/>
      <c r="D914" s="127" t="n"/>
      <c r="E914" s="106" t="n"/>
      <c r="F914" s="107" t="n"/>
      <c r="G914" s="106" t="n"/>
      <c r="H914" s="107" t="n"/>
    </row>
    <row r="915">
      <c r="A915" s="106" t="n"/>
      <c r="B915" s="107" t="n"/>
      <c r="C915" s="107" t="n"/>
      <c r="D915" s="127" t="n"/>
      <c r="E915" s="106" t="n"/>
      <c r="F915" s="107" t="n"/>
      <c r="G915" s="106" t="n"/>
      <c r="H915" s="107" t="n"/>
    </row>
    <row r="916">
      <c r="A916" s="106" t="n"/>
      <c r="B916" s="107" t="n"/>
      <c r="C916" s="107" t="n"/>
      <c r="D916" s="127" t="n"/>
      <c r="E916" s="106" t="n"/>
      <c r="F916" s="107" t="n"/>
      <c r="G916" s="106" t="n"/>
      <c r="H916" s="107" t="n"/>
    </row>
    <row r="917">
      <c r="A917" s="106" t="n"/>
      <c r="B917" s="107" t="n"/>
      <c r="C917" s="107" t="n"/>
      <c r="D917" s="127" t="n"/>
      <c r="E917" s="106" t="n"/>
      <c r="F917" s="107" t="n"/>
      <c r="G917" s="106" t="n"/>
      <c r="H917" s="107" t="n"/>
    </row>
    <row r="918">
      <c r="A918" s="106" t="n"/>
      <c r="B918" s="107" t="n"/>
      <c r="C918" s="107" t="n"/>
      <c r="D918" s="127" t="n"/>
      <c r="E918" s="106" t="n"/>
      <c r="F918" s="107" t="n"/>
      <c r="G918" s="106" t="n"/>
      <c r="H918" s="107" t="n"/>
    </row>
    <row r="919">
      <c r="A919" s="106" t="n"/>
      <c r="B919" s="107" t="n"/>
      <c r="C919" s="107" t="n"/>
      <c r="D919" s="127" t="n"/>
      <c r="E919" s="106" t="n"/>
      <c r="F919" s="107" t="n"/>
      <c r="G919" s="106" t="n"/>
      <c r="H919" s="107" t="n"/>
    </row>
    <row r="920">
      <c r="A920" s="106" t="n"/>
      <c r="B920" s="107" t="n"/>
      <c r="C920" s="107" t="n"/>
      <c r="D920" s="127" t="n"/>
      <c r="E920" s="106" t="n"/>
      <c r="F920" s="107" t="n"/>
      <c r="G920" s="106" t="n"/>
      <c r="H920" s="107" t="n"/>
    </row>
    <row r="921">
      <c r="A921" s="106" t="n"/>
      <c r="B921" s="107" t="n"/>
      <c r="C921" s="107" t="n"/>
      <c r="D921" s="127" t="n"/>
      <c r="E921" s="106" t="n"/>
      <c r="F921" s="107" t="n"/>
      <c r="G921" s="106" t="n"/>
      <c r="H921" s="107" t="n"/>
    </row>
    <row r="922">
      <c r="A922" s="106" t="n"/>
      <c r="B922" s="107" t="n"/>
      <c r="C922" s="107" t="n"/>
      <c r="D922" s="127" t="n"/>
      <c r="E922" s="106" t="n"/>
      <c r="F922" s="107" t="n"/>
      <c r="G922" s="106" t="n"/>
      <c r="H922" s="107" t="n"/>
    </row>
    <row r="923">
      <c r="A923" s="106" t="n"/>
      <c r="B923" s="107" t="n"/>
      <c r="C923" s="107" t="n"/>
      <c r="D923" s="127" t="n"/>
      <c r="E923" s="106" t="n"/>
      <c r="F923" s="107" t="n"/>
      <c r="G923" s="106" t="n"/>
      <c r="H923" s="107" t="n"/>
    </row>
    <row r="924">
      <c r="A924" s="106" t="n"/>
      <c r="B924" s="107" t="n"/>
      <c r="C924" s="107" t="n"/>
      <c r="D924" s="127" t="n"/>
      <c r="E924" s="106" t="n"/>
      <c r="F924" s="107" t="n"/>
      <c r="G924" s="106" t="n"/>
      <c r="H924" s="107" t="n"/>
    </row>
    <row r="925">
      <c r="A925" s="106" t="n"/>
      <c r="B925" s="107" t="n"/>
      <c r="C925" s="107" t="n"/>
      <c r="D925" s="127" t="n"/>
      <c r="E925" s="106" t="n"/>
      <c r="F925" s="107" t="n"/>
      <c r="G925" s="106" t="n"/>
      <c r="H925" s="107" t="n"/>
    </row>
    <row r="926">
      <c r="A926" s="106" t="n"/>
      <c r="B926" s="107" t="n"/>
      <c r="C926" s="107" t="n"/>
      <c r="D926" s="127" t="n"/>
      <c r="E926" s="106" t="n"/>
      <c r="F926" s="107" t="n"/>
      <c r="G926" s="106" t="n"/>
      <c r="H926" s="107" t="n"/>
    </row>
    <row r="927">
      <c r="A927" s="106" t="n"/>
      <c r="B927" s="107" t="n"/>
      <c r="C927" s="107" t="n"/>
      <c r="D927" s="127" t="n"/>
      <c r="E927" s="106" t="n"/>
      <c r="F927" s="107" t="n"/>
      <c r="G927" s="106" t="n"/>
      <c r="H927" s="107" t="n"/>
    </row>
    <row r="928">
      <c r="A928" s="106" t="n"/>
      <c r="B928" s="107" t="n"/>
      <c r="C928" s="107" t="n"/>
      <c r="D928" s="127" t="n"/>
      <c r="E928" s="106" t="n"/>
      <c r="F928" s="107" t="n"/>
      <c r="G928" s="106" t="n"/>
      <c r="H928" s="107" t="n"/>
    </row>
    <row r="929">
      <c r="A929" s="106" t="n"/>
      <c r="B929" s="107" t="n"/>
      <c r="C929" s="107" t="n"/>
      <c r="D929" s="127" t="n"/>
      <c r="E929" s="106" t="n"/>
      <c r="F929" s="107" t="n"/>
      <c r="G929" s="106" t="n"/>
      <c r="H929" s="107" t="n"/>
    </row>
    <row r="930">
      <c r="A930" s="106" t="n"/>
      <c r="B930" s="107" t="n"/>
      <c r="C930" s="107" t="n"/>
      <c r="D930" s="127" t="n"/>
      <c r="E930" s="106" t="n"/>
      <c r="F930" s="107" t="n"/>
      <c r="G930" s="106" t="n"/>
      <c r="H930" s="107" t="n"/>
    </row>
    <row r="931">
      <c r="A931" s="106" t="n"/>
      <c r="B931" s="107" t="n"/>
      <c r="C931" s="107" t="n"/>
      <c r="D931" s="127" t="n"/>
      <c r="E931" s="106" t="n"/>
      <c r="F931" s="107" t="n"/>
      <c r="G931" s="106" t="n"/>
      <c r="H931" s="107" t="n"/>
    </row>
    <row r="932">
      <c r="A932" s="106" t="n"/>
      <c r="B932" s="107" t="n"/>
      <c r="C932" s="107" t="n"/>
      <c r="D932" s="127" t="n"/>
      <c r="E932" s="106" t="n"/>
      <c r="F932" s="107" t="n"/>
      <c r="G932" s="106" t="n"/>
      <c r="H932" s="107" t="n"/>
    </row>
    <row r="933">
      <c r="A933" s="106" t="n"/>
      <c r="B933" s="107" t="n"/>
      <c r="C933" s="107" t="n"/>
      <c r="D933" s="127" t="n"/>
      <c r="E933" s="106" t="n"/>
      <c r="F933" s="107" t="n"/>
      <c r="G933" s="106" t="n"/>
      <c r="H933" s="107" t="n"/>
    </row>
    <row r="934">
      <c r="A934" s="106" t="n"/>
      <c r="B934" s="107" t="n"/>
      <c r="C934" s="107" t="n"/>
      <c r="D934" s="127" t="n"/>
      <c r="E934" s="106" t="n"/>
      <c r="F934" s="107" t="n"/>
      <c r="G934" s="106" t="n"/>
      <c r="H934" s="107" t="n"/>
    </row>
    <row r="935">
      <c r="A935" s="106" t="n"/>
      <c r="B935" s="107" t="n"/>
      <c r="C935" s="107" t="n"/>
      <c r="D935" s="127" t="n"/>
      <c r="E935" s="106" t="n"/>
      <c r="F935" s="107" t="n"/>
      <c r="G935" s="106" t="n"/>
      <c r="H935" s="107" t="n"/>
    </row>
    <row r="936">
      <c r="A936" s="106" t="n"/>
      <c r="B936" s="107" t="n"/>
      <c r="C936" s="107" t="n"/>
      <c r="D936" s="127" t="n"/>
      <c r="E936" s="106" t="n"/>
      <c r="F936" s="107" t="n"/>
      <c r="G936" s="106" t="n"/>
      <c r="H936" s="107" t="n"/>
    </row>
    <row r="937">
      <c r="A937" s="106" t="n"/>
      <c r="B937" s="107" t="n"/>
      <c r="C937" s="107" t="n"/>
      <c r="D937" s="127" t="n"/>
      <c r="E937" s="106" t="n"/>
      <c r="F937" s="107" t="n"/>
      <c r="G937" s="106" t="n"/>
      <c r="H937" s="107" t="n"/>
    </row>
    <row r="938">
      <c r="A938" s="106" t="n"/>
      <c r="B938" s="107" t="n"/>
      <c r="C938" s="107" t="n"/>
      <c r="D938" s="127" t="n"/>
      <c r="E938" s="106" t="n"/>
      <c r="F938" s="107" t="n"/>
      <c r="G938" s="106" t="n"/>
      <c r="H938" s="107" t="n"/>
    </row>
    <row r="939">
      <c r="A939" s="106" t="n"/>
      <c r="B939" s="107" t="n"/>
      <c r="C939" s="107" t="n"/>
      <c r="D939" s="127" t="n"/>
      <c r="E939" s="106" t="n"/>
      <c r="F939" s="107" t="n"/>
      <c r="G939" s="106" t="n"/>
      <c r="H939" s="107" t="n"/>
    </row>
    <row r="940">
      <c r="A940" s="106" t="n"/>
      <c r="B940" s="107" t="n"/>
      <c r="C940" s="107" t="n"/>
      <c r="D940" s="127" t="n"/>
      <c r="E940" s="106" t="n"/>
      <c r="F940" s="107" t="n"/>
      <c r="G940" s="106" t="n"/>
      <c r="H940" s="107" t="n"/>
    </row>
    <row r="941">
      <c r="A941" s="106" t="n"/>
      <c r="B941" s="107" t="n"/>
      <c r="C941" s="107" t="n"/>
      <c r="D941" s="127" t="n"/>
      <c r="E941" s="106" t="n"/>
      <c r="F941" s="107" t="n"/>
      <c r="G941" s="106" t="n"/>
      <c r="H941" s="107" t="n"/>
    </row>
    <row r="942">
      <c r="A942" s="106" t="n"/>
      <c r="B942" s="107" t="n"/>
      <c r="C942" s="107" t="n"/>
      <c r="D942" s="127" t="n"/>
      <c r="E942" s="106" t="n"/>
      <c r="F942" s="107" t="n"/>
      <c r="G942" s="106" t="n"/>
      <c r="H942" s="107" t="n"/>
    </row>
    <row r="943">
      <c r="A943" s="106" t="n"/>
      <c r="B943" s="107" t="n"/>
      <c r="C943" s="107" t="n"/>
      <c r="D943" s="127" t="n"/>
      <c r="E943" s="106" t="n"/>
      <c r="F943" s="107" t="n"/>
      <c r="G943" s="106" t="n"/>
      <c r="H943" s="107" t="n"/>
    </row>
    <row r="944">
      <c r="A944" s="106" t="n"/>
      <c r="B944" s="107" t="n"/>
      <c r="C944" s="107" t="n"/>
      <c r="D944" s="127" t="n"/>
      <c r="E944" s="106" t="n"/>
      <c r="F944" s="107" t="n"/>
      <c r="G944" s="106" t="n"/>
      <c r="H944" s="107" t="n"/>
    </row>
    <row r="945">
      <c r="A945" s="106" t="n"/>
      <c r="B945" s="107" t="n"/>
      <c r="C945" s="107" t="n"/>
      <c r="D945" s="127" t="n"/>
      <c r="E945" s="106" t="n"/>
      <c r="F945" s="107" t="n"/>
      <c r="G945" s="106" t="n"/>
      <c r="H945" s="107" t="n"/>
    </row>
    <row r="946">
      <c r="A946" s="106" t="n"/>
      <c r="B946" s="107" t="n"/>
      <c r="C946" s="107" t="n"/>
      <c r="D946" s="127" t="n"/>
      <c r="E946" s="106" t="n"/>
      <c r="F946" s="107" t="n"/>
      <c r="G946" s="106" t="n"/>
      <c r="H946" s="107" t="n"/>
    </row>
    <row r="947">
      <c r="A947" s="106" t="n"/>
      <c r="B947" s="107" t="n"/>
      <c r="C947" s="107" t="n"/>
      <c r="D947" s="127" t="n"/>
      <c r="E947" s="106" t="n"/>
      <c r="F947" s="107" t="n"/>
      <c r="G947" s="106" t="n"/>
      <c r="H947" s="107" t="n"/>
    </row>
    <row r="948">
      <c r="A948" s="106" t="n"/>
      <c r="B948" s="107" t="n"/>
      <c r="C948" s="107" t="n"/>
      <c r="D948" s="127" t="n"/>
      <c r="E948" s="106" t="n"/>
      <c r="F948" s="107" t="n"/>
      <c r="G948" s="106" t="n"/>
      <c r="H948" s="107" t="n"/>
    </row>
    <row r="949">
      <c r="A949" s="106" t="n"/>
      <c r="B949" s="107" t="n"/>
      <c r="C949" s="107" t="n"/>
      <c r="D949" s="127" t="n"/>
      <c r="E949" s="106" t="n"/>
      <c r="F949" s="107" t="n"/>
      <c r="G949" s="106" t="n"/>
      <c r="H949" s="107" t="n"/>
    </row>
    <row r="950">
      <c r="A950" s="106" t="n"/>
      <c r="B950" s="107" t="n"/>
      <c r="C950" s="107" t="n"/>
      <c r="D950" s="127" t="n"/>
      <c r="E950" s="106" t="n"/>
      <c r="F950" s="107" t="n"/>
      <c r="G950" s="106" t="n"/>
      <c r="H950" s="107" t="n"/>
    </row>
    <row r="951">
      <c r="A951" s="106" t="n"/>
      <c r="B951" s="107" t="n"/>
      <c r="C951" s="107" t="n"/>
      <c r="D951" s="127" t="n"/>
      <c r="E951" s="106" t="n"/>
      <c r="F951" s="107" t="n"/>
      <c r="G951" s="106" t="n"/>
      <c r="H951" s="107" t="n"/>
    </row>
    <row r="952">
      <c r="A952" s="106" t="n"/>
      <c r="B952" s="107" t="n"/>
      <c r="C952" s="107" t="n"/>
      <c r="D952" s="127" t="n"/>
      <c r="E952" s="106" t="n"/>
      <c r="F952" s="107" t="n"/>
      <c r="G952" s="106" t="n"/>
      <c r="H952" s="107" t="n"/>
    </row>
    <row r="953">
      <c r="A953" s="106" t="n"/>
      <c r="B953" s="107" t="n"/>
      <c r="C953" s="107" t="n"/>
      <c r="D953" s="127" t="n"/>
      <c r="E953" s="106" t="n"/>
      <c r="F953" s="107" t="n"/>
      <c r="G953" s="106" t="n"/>
      <c r="H953" s="107" t="n"/>
    </row>
    <row r="954">
      <c r="A954" s="106" t="n"/>
      <c r="B954" s="107" t="n"/>
      <c r="C954" s="107" t="n"/>
      <c r="D954" s="127" t="n"/>
      <c r="E954" s="106" t="n"/>
      <c r="F954" s="107" t="n"/>
      <c r="G954" s="106" t="n"/>
      <c r="H954" s="107" t="n"/>
    </row>
    <row r="955">
      <c r="A955" s="106" t="n"/>
      <c r="B955" s="107" t="n"/>
      <c r="C955" s="107" t="n"/>
      <c r="D955" s="127" t="n"/>
      <c r="E955" s="106" t="n"/>
      <c r="F955" s="107" t="n"/>
      <c r="G955" s="106" t="n"/>
      <c r="H955" s="107" t="n"/>
    </row>
    <row r="956">
      <c r="A956" s="106" t="n"/>
      <c r="B956" s="107" t="n"/>
      <c r="C956" s="107" t="n"/>
      <c r="D956" s="127" t="n"/>
      <c r="E956" s="106" t="n"/>
      <c r="F956" s="107" t="n"/>
      <c r="G956" s="106" t="n"/>
      <c r="H956" s="107" t="n"/>
    </row>
    <row r="957">
      <c r="A957" s="106" t="n"/>
      <c r="B957" s="107" t="n"/>
      <c r="C957" s="107" t="n"/>
      <c r="D957" s="127" t="n"/>
      <c r="E957" s="106" t="n"/>
      <c r="F957" s="107" t="n"/>
      <c r="G957" s="106" t="n"/>
      <c r="H957" s="107" t="n"/>
    </row>
    <row r="958">
      <c r="A958" s="106" t="n"/>
      <c r="B958" s="107" t="n"/>
      <c r="C958" s="107" t="n"/>
      <c r="D958" s="127" t="n"/>
      <c r="E958" s="106" t="n"/>
      <c r="F958" s="107" t="n"/>
      <c r="G958" s="106" t="n"/>
      <c r="H958" s="107" t="n"/>
    </row>
    <row r="959">
      <c r="A959" s="106" t="n"/>
      <c r="B959" s="107" t="n"/>
      <c r="C959" s="107" t="n"/>
      <c r="D959" s="127" t="n"/>
      <c r="E959" s="106" t="n"/>
      <c r="F959" s="107" t="n"/>
      <c r="G959" s="106" t="n"/>
      <c r="H959" s="107" t="n"/>
    </row>
    <row r="960">
      <c r="A960" s="106" t="n"/>
      <c r="B960" s="107" t="n"/>
      <c r="C960" s="107" t="n"/>
      <c r="D960" s="127" t="n"/>
      <c r="E960" s="106" t="n"/>
      <c r="F960" s="107" t="n"/>
      <c r="G960" s="106" t="n"/>
      <c r="H960" s="107" t="n"/>
    </row>
    <row r="961">
      <c r="A961" s="106" t="n"/>
      <c r="B961" s="107" t="n"/>
      <c r="C961" s="107" t="n"/>
      <c r="D961" s="127" t="n"/>
      <c r="E961" s="106" t="n"/>
      <c r="F961" s="107" t="n"/>
      <c r="G961" s="106" t="n"/>
      <c r="H961" s="107" t="n"/>
    </row>
    <row r="962">
      <c r="A962" s="106" t="n"/>
      <c r="B962" s="107" t="n"/>
      <c r="C962" s="107" t="n"/>
      <c r="D962" s="127" t="n"/>
      <c r="E962" s="106" t="n"/>
      <c r="F962" s="107" t="n"/>
      <c r="G962" s="106" t="n"/>
      <c r="H962" s="107" t="n"/>
    </row>
    <row r="963">
      <c r="A963" s="106" t="n"/>
      <c r="B963" s="107" t="n"/>
      <c r="C963" s="107" t="n"/>
      <c r="D963" s="127" t="n"/>
      <c r="E963" s="106" t="n"/>
      <c r="F963" s="107" t="n"/>
      <c r="G963" s="106" t="n"/>
      <c r="H963" s="107" t="n"/>
    </row>
    <row r="964">
      <c r="A964" s="106" t="n"/>
      <c r="B964" s="107" t="n"/>
      <c r="C964" s="107" t="n"/>
      <c r="D964" s="127" t="n"/>
      <c r="E964" s="106" t="n"/>
      <c r="F964" s="107" t="n"/>
      <c r="G964" s="106" t="n"/>
      <c r="H964" s="107" t="n"/>
    </row>
    <row r="965">
      <c r="A965" s="106" t="n"/>
      <c r="B965" s="107" t="n"/>
      <c r="C965" s="107" t="n"/>
      <c r="D965" s="127" t="n"/>
      <c r="E965" s="106" t="n"/>
      <c r="F965" s="107" t="n"/>
      <c r="G965" s="106" t="n"/>
      <c r="H965" s="107" t="n"/>
    </row>
    <row r="966">
      <c r="A966" s="106" t="n"/>
      <c r="B966" s="107" t="n"/>
      <c r="C966" s="107" t="n"/>
      <c r="D966" s="127" t="n"/>
      <c r="E966" s="106" t="n"/>
      <c r="F966" s="107" t="n"/>
      <c r="G966" s="106" t="n"/>
      <c r="H966" s="107" t="n"/>
    </row>
    <row r="967">
      <c r="A967" s="106" t="n"/>
      <c r="B967" s="107" t="n"/>
      <c r="C967" s="107" t="n"/>
      <c r="D967" s="127" t="n"/>
      <c r="E967" s="106" t="n"/>
      <c r="F967" s="107" t="n"/>
      <c r="G967" s="106" t="n"/>
      <c r="H967" s="107" t="n"/>
    </row>
    <row r="968">
      <c r="A968" s="106" t="n"/>
      <c r="B968" s="107" t="n"/>
      <c r="C968" s="107" t="n"/>
      <c r="D968" s="127" t="n"/>
      <c r="E968" s="106" t="n"/>
      <c r="F968" s="107" t="n"/>
      <c r="G968" s="106" t="n"/>
      <c r="H968" s="107" t="n"/>
    </row>
    <row r="969">
      <c r="A969" s="106" t="n"/>
      <c r="B969" s="107" t="n"/>
      <c r="C969" s="107" t="n"/>
      <c r="D969" s="127" t="n"/>
      <c r="E969" s="106" t="n"/>
      <c r="F969" s="107" t="n"/>
      <c r="G969" s="106" t="n"/>
      <c r="H969" s="107" t="n"/>
    </row>
    <row r="970">
      <c r="A970" s="106" t="n"/>
      <c r="B970" s="107" t="n"/>
      <c r="C970" s="107" t="n"/>
      <c r="D970" s="127" t="n"/>
      <c r="E970" s="106" t="n"/>
      <c r="F970" s="107" t="n"/>
      <c r="G970" s="106" t="n"/>
      <c r="H970" s="107" t="n"/>
    </row>
    <row r="971">
      <c r="A971" s="106" t="n"/>
      <c r="B971" s="107" t="n"/>
      <c r="C971" s="107" t="n"/>
      <c r="D971" s="127" t="n"/>
      <c r="E971" s="106" t="n"/>
      <c r="F971" s="107" t="n"/>
      <c r="G971" s="106" t="n"/>
      <c r="H971" s="107" t="n"/>
    </row>
    <row r="972">
      <c r="A972" s="106" t="n"/>
      <c r="B972" s="107" t="n"/>
      <c r="C972" s="107" t="n"/>
      <c r="D972" s="127" t="n"/>
      <c r="E972" s="106" t="n"/>
      <c r="F972" s="107" t="n"/>
      <c r="G972" s="106" t="n"/>
      <c r="H972" s="107" t="n"/>
    </row>
    <row r="973">
      <c r="A973" s="106" t="n"/>
      <c r="B973" s="107" t="n"/>
      <c r="C973" s="107" t="n"/>
      <c r="D973" s="127" t="n"/>
      <c r="E973" s="106" t="n"/>
      <c r="F973" s="107" t="n"/>
      <c r="G973" s="106" t="n"/>
      <c r="H973" s="107" t="n"/>
    </row>
    <row r="974">
      <c r="A974" s="106" t="n"/>
      <c r="B974" s="107" t="n"/>
      <c r="C974" s="107" t="n"/>
      <c r="D974" s="127" t="n"/>
      <c r="E974" s="106" t="n"/>
      <c r="F974" s="107" t="n"/>
      <c r="G974" s="106" t="n"/>
      <c r="H974" s="107" t="n"/>
    </row>
    <row r="975">
      <c r="A975" s="106" t="n"/>
      <c r="B975" s="107" t="n"/>
      <c r="C975" s="107" t="n"/>
      <c r="D975" s="127" t="n"/>
      <c r="E975" s="106" t="n"/>
      <c r="F975" s="107" t="n"/>
      <c r="G975" s="106" t="n"/>
      <c r="H975" s="107" t="n"/>
    </row>
    <row r="976">
      <c r="A976" s="106" t="n"/>
      <c r="B976" s="107" t="n"/>
      <c r="C976" s="107" t="n"/>
      <c r="D976" s="127" t="n"/>
      <c r="E976" s="106" t="n"/>
      <c r="F976" s="107" t="n"/>
      <c r="G976" s="106" t="n"/>
      <c r="H976" s="107" t="n"/>
    </row>
    <row r="977">
      <c r="A977" s="106" t="n"/>
      <c r="B977" s="107" t="n"/>
      <c r="C977" s="107" t="n"/>
      <c r="D977" s="127" t="n"/>
      <c r="E977" s="106" t="n"/>
      <c r="F977" s="107" t="n"/>
      <c r="G977" s="106" t="n"/>
      <c r="H977" s="107" t="n"/>
    </row>
    <row r="978">
      <c r="A978" s="106" t="n"/>
      <c r="B978" s="107" t="n"/>
      <c r="C978" s="107" t="n"/>
      <c r="D978" s="127" t="n"/>
      <c r="E978" s="106" t="n"/>
      <c r="F978" s="107" t="n"/>
      <c r="G978" s="106" t="n"/>
      <c r="H978" s="107" t="n"/>
    </row>
    <row r="979">
      <c r="A979" s="106" t="n"/>
      <c r="B979" s="107" t="n"/>
      <c r="C979" s="107" t="n"/>
      <c r="D979" s="127" t="n"/>
      <c r="E979" s="106" t="n"/>
      <c r="F979" s="107" t="n"/>
      <c r="G979" s="106" t="n"/>
      <c r="H979" s="107" t="n"/>
    </row>
    <row r="980">
      <c r="A980" s="106" t="n"/>
      <c r="B980" s="107" t="n"/>
      <c r="C980" s="107" t="n"/>
      <c r="D980" s="127" t="n"/>
      <c r="E980" s="106" t="n"/>
      <c r="F980" s="107" t="n"/>
      <c r="G980" s="106" t="n"/>
      <c r="H980" s="107" t="n"/>
    </row>
    <row r="981">
      <c r="A981" s="106" t="n"/>
      <c r="B981" s="107" t="n"/>
      <c r="C981" s="107" t="n"/>
      <c r="D981" s="127" t="n"/>
      <c r="E981" s="106" t="n"/>
      <c r="F981" s="107" t="n"/>
      <c r="G981" s="106" t="n"/>
      <c r="H981" s="107" t="n"/>
    </row>
    <row r="982">
      <c r="A982" s="106" t="n"/>
      <c r="B982" s="107" t="n"/>
      <c r="C982" s="107" t="n"/>
      <c r="D982" s="127" t="n"/>
      <c r="E982" s="106" t="n"/>
      <c r="F982" s="107" t="n"/>
      <c r="G982" s="106" t="n"/>
      <c r="H982" s="107" t="n"/>
    </row>
    <row r="983">
      <c r="A983" s="106" t="n"/>
      <c r="B983" s="107" t="n"/>
      <c r="C983" s="107" t="n"/>
      <c r="D983" s="127" t="n"/>
      <c r="E983" s="106" t="n"/>
      <c r="F983" s="107" t="n"/>
      <c r="G983" s="106" t="n"/>
      <c r="H983" s="107" t="n"/>
    </row>
    <row r="984">
      <c r="A984" s="106" t="n"/>
      <c r="B984" s="107" t="n"/>
      <c r="C984" s="107" t="n"/>
      <c r="D984" s="127" t="n"/>
      <c r="E984" s="106" t="n"/>
      <c r="F984" s="107" t="n"/>
      <c r="G984" s="106" t="n"/>
      <c r="H984" s="107" t="n"/>
    </row>
    <row r="985">
      <c r="A985" s="106" t="n"/>
      <c r="B985" s="107" t="n"/>
      <c r="C985" s="107" t="n"/>
      <c r="D985" s="127" t="n"/>
      <c r="E985" s="106" t="n"/>
      <c r="F985" s="107" t="n"/>
      <c r="G985" s="106" t="n"/>
      <c r="H985" s="107" t="n"/>
    </row>
    <row r="986">
      <c r="A986" s="106" t="n"/>
      <c r="B986" s="107" t="n"/>
      <c r="C986" s="107" t="n"/>
      <c r="D986" s="127" t="n"/>
      <c r="E986" s="106" t="n"/>
      <c r="F986" s="107" t="n"/>
      <c r="G986" s="106" t="n"/>
      <c r="H986" s="107" t="n"/>
    </row>
    <row r="987">
      <c r="A987" s="106" t="n"/>
      <c r="B987" s="107" t="n"/>
      <c r="C987" s="107" t="n"/>
      <c r="D987" s="127" t="n"/>
      <c r="E987" s="106" t="n"/>
      <c r="F987" s="107" t="n"/>
      <c r="G987" s="106" t="n"/>
      <c r="H987" s="107" t="n"/>
    </row>
    <row r="988">
      <c r="A988" s="106" t="n"/>
      <c r="B988" s="107" t="n"/>
      <c r="C988" s="107" t="n"/>
      <c r="D988" s="127" t="n"/>
      <c r="E988" s="106" t="n"/>
      <c r="F988" s="107" t="n"/>
      <c r="G988" s="106" t="n"/>
      <c r="H988" s="107" t="n"/>
    </row>
    <row r="989">
      <c r="A989" s="106" t="n"/>
      <c r="B989" s="107" t="n"/>
      <c r="C989" s="107" t="n"/>
      <c r="D989" s="127" t="n"/>
      <c r="E989" s="106" t="n"/>
      <c r="F989" s="107" t="n"/>
      <c r="G989" s="106" t="n"/>
      <c r="H989" s="107" t="n"/>
    </row>
    <row r="990">
      <c r="A990" s="106" t="n"/>
      <c r="B990" s="107" t="n"/>
      <c r="C990" s="107" t="n"/>
      <c r="D990" s="127" t="n"/>
      <c r="E990" s="106" t="n"/>
      <c r="F990" s="107" t="n"/>
      <c r="G990" s="106" t="n"/>
      <c r="H990" s="107" t="n"/>
    </row>
    <row r="991">
      <c r="A991" s="106" t="n"/>
      <c r="B991" s="107" t="n"/>
      <c r="C991" s="107" t="n"/>
      <c r="D991" s="127" t="n"/>
      <c r="E991" s="106" t="n"/>
      <c r="F991" s="107" t="n"/>
      <c r="G991" s="106" t="n"/>
      <c r="H991" s="107" t="n"/>
    </row>
    <row r="992">
      <c r="A992" s="106" t="n"/>
      <c r="B992" s="107" t="n"/>
      <c r="C992" s="107" t="n"/>
      <c r="D992" s="127" t="n"/>
      <c r="E992" s="106" t="n"/>
      <c r="F992" s="107" t="n"/>
      <c r="G992" s="106" t="n"/>
      <c r="H992" s="107" t="n"/>
    </row>
    <row r="993">
      <c r="A993" s="106" t="n"/>
      <c r="B993" s="107" t="n"/>
      <c r="C993" s="107" t="n"/>
      <c r="D993" s="127" t="n"/>
      <c r="E993" s="106" t="n"/>
      <c r="F993" s="107" t="n"/>
      <c r="G993" s="106" t="n"/>
      <c r="H993" s="107" t="n"/>
    </row>
    <row r="994">
      <c r="A994" s="106" t="n"/>
      <c r="B994" s="107" t="n"/>
      <c r="C994" s="107" t="n"/>
      <c r="D994" s="127" t="n"/>
      <c r="E994" s="106" t="n"/>
      <c r="F994" s="107" t="n"/>
      <c r="G994" s="106" t="n"/>
      <c r="H994" s="107" t="n"/>
    </row>
    <row r="995">
      <c r="A995" s="106" t="n"/>
      <c r="B995" s="107" t="n"/>
      <c r="C995" s="107" t="n"/>
      <c r="D995" s="127" t="n"/>
      <c r="E995" s="106" t="n"/>
      <c r="F995" s="107" t="n"/>
      <c r="G995" s="106" t="n"/>
      <c r="H995" s="107" t="n"/>
    </row>
    <row r="996">
      <c r="A996" s="106" t="n"/>
      <c r="B996" s="107" t="n"/>
      <c r="C996" s="107" t="n"/>
      <c r="D996" s="127" t="n"/>
      <c r="E996" s="106" t="n"/>
      <c r="F996" s="107" t="n"/>
      <c r="G996" s="106" t="n"/>
      <c r="H996" s="107" t="n"/>
    </row>
    <row r="997">
      <c r="A997" s="106" t="n"/>
      <c r="B997" s="107" t="n"/>
      <c r="C997" s="107" t="n"/>
      <c r="D997" s="127" t="n"/>
      <c r="E997" s="106" t="n"/>
      <c r="F997" s="107" t="n"/>
      <c r="G997" s="106" t="n"/>
      <c r="H997" s="107" t="n"/>
    </row>
    <row r="998">
      <c r="A998" s="106" t="n"/>
      <c r="B998" s="107" t="n"/>
      <c r="C998" s="107" t="n"/>
      <c r="D998" s="127" t="n"/>
      <c r="E998" s="106" t="n"/>
      <c r="F998" s="107" t="n"/>
      <c r="G998" s="106" t="n"/>
      <c r="H998" s="107" t="n"/>
    </row>
    <row r="999">
      <c r="A999" s="106" t="n"/>
      <c r="B999" s="107" t="n"/>
      <c r="C999" s="107" t="n"/>
      <c r="D999" s="127" t="n"/>
      <c r="E999" s="106" t="n"/>
      <c r="F999" s="107" t="n"/>
      <c r="G999" s="106" t="n"/>
      <c r="H999" s="107" t="n"/>
    </row>
    <row r="1000">
      <c r="A1000" s="106" t="n"/>
      <c r="B1000" s="107" t="n"/>
      <c r="C1000" s="107" t="n"/>
      <c r="D1000" s="127" t="n"/>
      <c r="E1000" s="106" t="n"/>
      <c r="F1000" s="107" t="n"/>
      <c r="G1000" s="106" t="n"/>
      <c r="H1000" s="107" t="n"/>
    </row>
    <row r="1001">
      <c r="A1001" s="106" t="n"/>
      <c r="B1001" s="107" t="n"/>
      <c r="C1001" s="107" t="n"/>
      <c r="D1001" s="127" t="n"/>
      <c r="E1001" s="106" t="n"/>
      <c r="F1001" s="107" t="n"/>
      <c r="G1001" s="106" t="n"/>
      <c r="H1001" s="107" t="n"/>
    </row>
    <row r="1002">
      <c r="A1002" s="106" t="n"/>
      <c r="B1002" s="107" t="n"/>
      <c r="C1002" s="107" t="n"/>
      <c r="D1002" s="127" t="n"/>
      <c r="E1002" s="106" t="n"/>
      <c r="F1002" s="107" t="n"/>
      <c r="G1002" s="106" t="n"/>
      <c r="H1002" s="107" t="n"/>
    </row>
    <row r="1003">
      <c r="A1003" s="106" t="n"/>
      <c r="B1003" s="107" t="n"/>
      <c r="C1003" s="107" t="n"/>
      <c r="D1003" s="127" t="n"/>
      <c r="E1003" s="106" t="n"/>
      <c r="F1003" s="107" t="n"/>
      <c r="G1003" s="106" t="n"/>
      <c r="H1003" s="107" t="n"/>
    </row>
    <row r="1004">
      <c r="A1004" s="106" t="n"/>
      <c r="B1004" s="107" t="n"/>
      <c r="C1004" s="107" t="n"/>
      <c r="D1004" s="127" t="n"/>
      <c r="E1004" s="106" t="n"/>
      <c r="F1004" s="107" t="n"/>
      <c r="G1004" s="106" t="n"/>
      <c r="H1004" s="107" t="n"/>
    </row>
    <row r="1005">
      <c r="A1005" s="106" t="n"/>
      <c r="B1005" s="107" t="n"/>
      <c r="C1005" s="107" t="n"/>
      <c r="D1005" s="127" t="n"/>
      <c r="E1005" s="106" t="n"/>
      <c r="F1005" s="107" t="n"/>
      <c r="G1005" s="106" t="n"/>
      <c r="H1005" s="107" t="n"/>
    </row>
  </sheetData>
  <mergeCells count="2">
    <mergeCell ref="A2:H2"/>
    <mergeCell ref="A1:H1"/>
  </mergeCells>
  <dataValidations count="3">
    <dataValidation sqref="A6:A1005" showDropDown="0" showInputMessage="0" showErrorMessage="0" allowBlank="1" type="list">
      <formula1>SylStageList</formula1>
    </dataValidation>
    <dataValidation sqref="H6:H1005" showDropDown="0" showInputMessage="0" showErrorMessage="0" allowBlank="1" type="list">
      <formula1>"Ground,Sim,Flight"</formula1>
    </dataValidation>
    <dataValidation sqref="F6:F1005" showDropDown="0" showInputMessage="0" showErrorMessage="0" allowBlank="1" type="whole" operator="between">
      <formula1>0</formula1>
      <formula2>99</formula2>
    </dataValidation>
  </dataValidation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AA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7" customWidth="1" min="3" max="3"/>
    <col width="10" customWidth="1" min="4" max="4"/>
    <col width="24" customWidth="1" min="5" max="5"/>
    <col width="10" customWidth="1" min="6" max="6"/>
    <col width="24" customWidth="1" min="7" max="7"/>
    <col width="10" customWidth="1" min="8" max="8"/>
    <col width="24" customWidth="1" min="9" max="9"/>
    <col width="10" customWidth="1" min="10" max="10"/>
    <col width="24" customWidth="1" min="11" max="11"/>
    <col width="10" customWidth="1" min="12" max="12"/>
    <col width="24" customWidth="1" min="13" max="13"/>
    <col width="10" customWidth="1" min="14" max="14"/>
    <col width="24" customWidth="1" min="15" max="15"/>
    <col width="10" customWidth="1" min="16" max="16"/>
    <col width="24" customWidth="1" min="17" max="17"/>
    <col width="10" customWidth="1" min="18" max="18"/>
    <col width="24" customWidth="1" min="19" max="19"/>
    <col width="10" customWidth="1" min="20" max="20"/>
    <col width="24" customWidth="1" min="21" max="21"/>
    <col width="10" customWidth="1" min="22" max="22"/>
    <col width="24" customWidth="1" min="23" max="23"/>
    <col width="10" customWidth="1" min="24" max="24"/>
    <col width="24" customWidth="1" min="25" max="25"/>
    <col width="10" customWidth="1" min="26" max="26"/>
    <col width="24" customWidth="1" min="27" max="27"/>
  </cols>
  <sheetData>
    <row r="1" ht="30" customHeight="1">
      <c r="A1" s="1" t="inlineStr">
        <is>
          <t>CURRENCY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8" customHeight="1">
      <c r="A2" s="3" t="inlineStr">
        <is>
          <t>Status is worked out by the dashboard and written here when you Save to Excel. Enter each person's last qualifying flight before this file started in the 'Before' columns.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128" t="inlineStr">
        <is>
          <t>As of</t>
        </is>
      </c>
      <c r="B3" s="129" t="n"/>
      <c r="C3" s="30" t="inlineStr">
        <is>
          <t>(date of the last dashboard save)</t>
        </is>
      </c>
    </row>
    <row r="4">
      <c r="A4" s="130" t="inlineStr">
        <is>
          <t>Callsign</t>
        </is>
      </c>
      <c r="B4" s="130" t="inlineStr">
        <is>
          <t>Name</t>
        </is>
      </c>
      <c r="C4" s="130" t="inlineStr">
        <is>
          <t>Flags</t>
        </is>
      </c>
      <c r="D4" s="131">
        <f>IF('Currency Rules'!$A$6="","Rule 1",'Currency Rules'!$A$6)</f>
        <v/>
      </c>
      <c r="E4" s="132" t="n"/>
      <c r="F4" s="131">
        <f>IF('Currency Rules'!$A$7="","Rule 2",'Currency Rules'!$A$7)</f>
        <v/>
      </c>
      <c r="G4" s="132" t="n"/>
      <c r="H4" s="131">
        <f>IF('Currency Rules'!$A$8="","Rule 3",'Currency Rules'!$A$8)</f>
        <v/>
      </c>
      <c r="I4" s="132" t="n"/>
      <c r="J4" s="131">
        <f>IF('Currency Rules'!$A$9="","Rule 4",'Currency Rules'!$A$9)</f>
        <v/>
      </c>
      <c r="K4" s="132" t="n"/>
      <c r="L4" s="131">
        <f>IF('Currency Rules'!$A$10="","Rule 5",'Currency Rules'!$A$10)</f>
        <v/>
      </c>
      <c r="M4" s="132" t="n"/>
      <c r="N4" s="131">
        <f>IF('Currency Rules'!$A$11="","Rule 6",'Currency Rules'!$A$11)</f>
        <v/>
      </c>
      <c r="O4" s="132" t="n"/>
      <c r="P4" s="131">
        <f>IF('Currency Rules'!$A$12="","Rule 7",'Currency Rules'!$A$12)</f>
        <v/>
      </c>
      <c r="Q4" s="132" t="n"/>
      <c r="R4" s="131">
        <f>IF('Currency Rules'!$A$13="","Rule 8",'Currency Rules'!$A$13)</f>
        <v/>
      </c>
      <c r="S4" s="132" t="n"/>
      <c r="T4" s="131">
        <f>IF('Currency Rules'!$A$14="","Rule 9",'Currency Rules'!$A$14)</f>
        <v/>
      </c>
      <c r="U4" s="132" t="n"/>
      <c r="V4" s="131">
        <f>IF('Currency Rules'!$A$15="","Rule 10",'Currency Rules'!$A$15)</f>
        <v/>
      </c>
      <c r="W4" s="132" t="n"/>
      <c r="X4" s="131">
        <f>IF('Currency Rules'!$A$16="","Rule 11",'Currency Rules'!$A$16)</f>
        <v/>
      </c>
      <c r="Y4" s="132" t="n"/>
      <c r="Z4" s="131">
        <f>IF('Currency Rules'!$A$17="","Rule 12",'Currency Rules'!$A$17)</f>
        <v/>
      </c>
      <c r="AA4" s="132" t="n"/>
    </row>
    <row r="5">
      <c r="A5" s="2" t="n"/>
      <c r="B5" s="2" t="n"/>
      <c r="C5" s="2" t="n"/>
      <c r="D5" s="133" t="inlineStr">
        <is>
          <t>Before</t>
        </is>
      </c>
      <c r="E5" s="133" t="inlineStr">
        <is>
          <t>Status</t>
        </is>
      </c>
      <c r="F5" s="133" t="inlineStr">
        <is>
          <t>Before</t>
        </is>
      </c>
      <c r="G5" s="133" t="inlineStr">
        <is>
          <t>Status</t>
        </is>
      </c>
      <c r="H5" s="133" t="inlineStr">
        <is>
          <t>Before</t>
        </is>
      </c>
      <c r="I5" s="133" t="inlineStr">
        <is>
          <t>Status</t>
        </is>
      </c>
      <c r="J5" s="133" t="inlineStr">
        <is>
          <t>Before</t>
        </is>
      </c>
      <c r="K5" s="133" t="inlineStr">
        <is>
          <t>Status</t>
        </is>
      </c>
      <c r="L5" s="133" t="inlineStr">
        <is>
          <t>Before</t>
        </is>
      </c>
      <c r="M5" s="133" t="inlineStr">
        <is>
          <t>Status</t>
        </is>
      </c>
      <c r="N5" s="133" t="inlineStr">
        <is>
          <t>Before</t>
        </is>
      </c>
      <c r="O5" s="133" t="inlineStr">
        <is>
          <t>Status</t>
        </is>
      </c>
      <c r="P5" s="133" t="inlineStr">
        <is>
          <t>Before</t>
        </is>
      </c>
      <c r="Q5" s="133" t="inlineStr">
        <is>
          <t>Status</t>
        </is>
      </c>
      <c r="R5" s="133" t="inlineStr">
        <is>
          <t>Before</t>
        </is>
      </c>
      <c r="S5" s="133" t="inlineStr">
        <is>
          <t>Status</t>
        </is>
      </c>
      <c r="T5" s="133" t="inlineStr">
        <is>
          <t>Before</t>
        </is>
      </c>
      <c r="U5" s="133" t="inlineStr">
        <is>
          <t>Status</t>
        </is>
      </c>
      <c r="V5" s="133" t="inlineStr">
        <is>
          <t>Before</t>
        </is>
      </c>
      <c r="W5" s="133" t="inlineStr">
        <is>
          <t>Status</t>
        </is>
      </c>
      <c r="X5" s="133" t="inlineStr">
        <is>
          <t>Before</t>
        </is>
      </c>
      <c r="Y5" s="133" t="inlineStr">
        <is>
          <t>Status</t>
        </is>
      </c>
      <c r="Z5" s="133" t="inlineStr">
        <is>
          <t>Before</t>
        </is>
      </c>
      <c r="AA5" s="133" t="inlineStr">
        <is>
          <t>Status</t>
        </is>
      </c>
    </row>
    <row r="6">
      <c r="A6" s="134">
        <f>IF(Roster!$C$6="","",IF(Roster!$B$6="","#"&amp;1,Roster!$B$6&amp;""))</f>
        <v/>
      </c>
      <c r="B6" s="135">
        <f>IF(Roster!$C$6="","",Roster!$C$6)</f>
        <v/>
      </c>
      <c r="C6" s="136" t="n"/>
      <c r="D6" s="137" t="n"/>
      <c r="E6" s="138" t="n"/>
      <c r="F6" s="137" t="n">
        <v>46144</v>
      </c>
      <c r="G6" s="138" t="n"/>
      <c r="H6" s="137" t="n"/>
      <c r="I6" s="138" t="n"/>
      <c r="J6" s="137" t="n"/>
      <c r="K6" s="138" t="n"/>
      <c r="L6" s="137" t="n"/>
      <c r="M6" s="138" t="n"/>
      <c r="N6" s="137" t="n"/>
      <c r="O6" s="138" t="n"/>
      <c r="P6" s="137" t="n"/>
      <c r="Q6" s="138" t="n"/>
      <c r="R6" s="137" t="n"/>
      <c r="S6" s="138" t="n"/>
      <c r="T6" s="137" t="n"/>
      <c r="U6" s="138" t="n"/>
      <c r="V6" s="137" t="n"/>
      <c r="W6" s="138" t="n"/>
      <c r="X6" s="137" t="n"/>
      <c r="Y6" s="138" t="n"/>
      <c r="Z6" s="137" t="n"/>
      <c r="AA6" s="138" t="n"/>
    </row>
    <row r="7">
      <c r="A7" s="134">
        <f>IF(Roster!$C$7="","",IF(Roster!$B$7="","#"&amp;2,Roster!$B$7&amp;""))</f>
        <v/>
      </c>
      <c r="B7" s="135">
        <f>IF(Roster!$C$7="","",Roster!$C$7)</f>
        <v/>
      </c>
      <c r="C7" s="136" t="n"/>
      <c r="D7" s="137" t="n"/>
      <c r="E7" s="138" t="n"/>
      <c r="F7" s="137" t="n">
        <v>46193</v>
      </c>
      <c r="G7" s="138" t="n"/>
      <c r="H7" s="137" t="n">
        <v>46266</v>
      </c>
      <c r="I7" s="138" t="n"/>
      <c r="J7" s="137" t="n"/>
      <c r="K7" s="138" t="n"/>
      <c r="L7" s="137" t="n"/>
      <c r="M7" s="138" t="n"/>
      <c r="N7" s="137" t="n"/>
      <c r="O7" s="138" t="n"/>
      <c r="P7" s="137" t="n"/>
      <c r="Q7" s="138" t="n"/>
      <c r="R7" s="137" t="n"/>
      <c r="S7" s="138" t="n"/>
      <c r="T7" s="137" t="n"/>
      <c r="U7" s="138" t="n"/>
      <c r="V7" s="137" t="n"/>
      <c r="W7" s="138" t="n"/>
      <c r="X7" s="137" t="n"/>
      <c r="Y7" s="138" t="n"/>
      <c r="Z7" s="137" t="n"/>
      <c r="AA7" s="138" t="n"/>
    </row>
    <row r="8">
      <c r="A8" s="134">
        <f>IF(Roster!$C$8="","",IF(Roster!$B$8="","#"&amp;3,Roster!$B$8&amp;""))</f>
        <v/>
      </c>
      <c r="B8" s="135">
        <f>IF(Roster!$C$8="","",Roster!$C$8)</f>
        <v/>
      </c>
      <c r="C8" s="136" t="n"/>
      <c r="D8" s="137" t="n">
        <v>46275</v>
      </c>
      <c r="E8" s="138" t="n"/>
      <c r="F8" s="137" t="n">
        <v>46249</v>
      </c>
      <c r="G8" s="138" t="n"/>
      <c r="H8" s="137" t="n"/>
      <c r="I8" s="138" t="n"/>
      <c r="J8" s="137" t="n"/>
      <c r="K8" s="138" t="n"/>
      <c r="L8" s="137" t="n"/>
      <c r="M8" s="138" t="n"/>
      <c r="N8" s="137" t="n"/>
      <c r="O8" s="138" t="n"/>
      <c r="P8" s="137" t="n"/>
      <c r="Q8" s="138" t="n"/>
      <c r="R8" s="137" t="n"/>
      <c r="S8" s="138" t="n"/>
      <c r="T8" s="137" t="n"/>
      <c r="U8" s="138" t="n"/>
      <c r="V8" s="137" t="n"/>
      <c r="W8" s="138" t="n"/>
      <c r="X8" s="137" t="n"/>
      <c r="Y8" s="138" t="n"/>
      <c r="Z8" s="137" t="n"/>
      <c r="AA8" s="138" t="n"/>
    </row>
    <row r="9">
      <c r="A9" s="134">
        <f>IF(Roster!$C$9="","",IF(Roster!$B$9="","#"&amp;4,Roster!$B$9&amp;""))</f>
        <v/>
      </c>
      <c r="B9" s="135">
        <f>IF(Roster!$C$9="","",Roster!$C$9)</f>
        <v/>
      </c>
      <c r="C9" s="136" t="n"/>
      <c r="D9" s="137" t="n">
        <v>46277</v>
      </c>
      <c r="E9" s="138" t="n"/>
      <c r="F9" s="137" t="n"/>
      <c r="G9" s="138" t="n"/>
      <c r="H9" s="137" t="n"/>
      <c r="I9" s="138" t="n"/>
      <c r="J9" s="137" t="n"/>
      <c r="K9" s="138" t="n"/>
      <c r="L9" s="137" t="n"/>
      <c r="M9" s="138" t="n"/>
      <c r="N9" s="137" t="n"/>
      <c r="O9" s="138" t="n"/>
      <c r="P9" s="137" t="n"/>
      <c r="Q9" s="138" t="n"/>
      <c r="R9" s="137" t="n"/>
      <c r="S9" s="138" t="n"/>
      <c r="T9" s="137" t="n"/>
      <c r="U9" s="138" t="n"/>
      <c r="V9" s="137" t="n"/>
      <c r="W9" s="138" t="n"/>
      <c r="X9" s="137" t="n"/>
      <c r="Y9" s="138" t="n"/>
      <c r="Z9" s="137" t="n"/>
      <c r="AA9" s="138" t="n"/>
    </row>
    <row r="10">
      <c r="A10" s="134">
        <f>IF(Roster!$C$10="","",IF(Roster!$B$10="","#"&amp;5,Roster!$B$10&amp;""))</f>
        <v/>
      </c>
      <c r="B10" s="135">
        <f>IF(Roster!$C$10="","",Roster!$C$10)</f>
        <v/>
      </c>
      <c r="C10" s="136" t="n"/>
      <c r="D10" s="137" t="n"/>
      <c r="E10" s="138" t="n"/>
      <c r="F10" s="137" t="n">
        <v>46162</v>
      </c>
      <c r="G10" s="138" t="n"/>
      <c r="H10" s="137" t="n"/>
      <c r="I10" s="138" t="n"/>
      <c r="J10" s="137" t="n"/>
      <c r="K10" s="138" t="n"/>
      <c r="L10" s="137" t="n"/>
      <c r="M10" s="138" t="n"/>
      <c r="N10" s="137" t="n"/>
      <c r="O10" s="138" t="n"/>
      <c r="P10" s="137" t="n"/>
      <c r="Q10" s="138" t="n"/>
      <c r="R10" s="137" t="n"/>
      <c r="S10" s="138" t="n"/>
      <c r="T10" s="137" t="n"/>
      <c r="U10" s="138" t="n"/>
      <c r="V10" s="137" t="n"/>
      <c r="W10" s="138" t="n"/>
      <c r="X10" s="137" t="n"/>
      <c r="Y10" s="138" t="n"/>
      <c r="Z10" s="137" t="n"/>
      <c r="AA10" s="138" t="n"/>
    </row>
    <row r="11">
      <c r="A11" s="134">
        <f>IF(Roster!$C$11="","",IF(Roster!$B$11="","#"&amp;6,Roster!$B$11&amp;""))</f>
        <v/>
      </c>
      <c r="B11" s="135">
        <f>IF(Roster!$C$11="","",Roster!$C$11)</f>
        <v/>
      </c>
      <c r="C11" s="136" t="n"/>
      <c r="D11" s="137" t="n"/>
      <c r="E11" s="138" t="n"/>
      <c r="F11" s="137" t="n"/>
      <c r="G11" s="138" t="n"/>
      <c r="H11" s="137" t="n"/>
      <c r="I11" s="138" t="n"/>
      <c r="J11" s="137" t="n"/>
      <c r="K11" s="138" t="n"/>
      <c r="L11" s="137" t="n"/>
      <c r="M11" s="138" t="n"/>
      <c r="N11" s="137" t="n"/>
      <c r="O11" s="138" t="n"/>
      <c r="P11" s="137" t="n"/>
      <c r="Q11" s="138" t="n"/>
      <c r="R11" s="137" t="n"/>
      <c r="S11" s="138" t="n"/>
      <c r="T11" s="137" t="n"/>
      <c r="U11" s="138" t="n"/>
      <c r="V11" s="137" t="n"/>
      <c r="W11" s="138" t="n"/>
      <c r="X11" s="137" t="n"/>
      <c r="Y11" s="138" t="n"/>
      <c r="Z11" s="137" t="n"/>
      <c r="AA11" s="138" t="n"/>
    </row>
    <row r="12">
      <c r="A12" s="134">
        <f>IF(Roster!$C$12="","",IF(Roster!$B$12="","#"&amp;7,Roster!$B$12&amp;""))</f>
        <v/>
      </c>
      <c r="B12" s="135">
        <f>IF(Roster!$C$12="","",Roster!$C$12)</f>
        <v/>
      </c>
      <c r="C12" s="136" t="n"/>
      <c r="D12" s="137" t="n"/>
      <c r="E12" s="138" t="n"/>
      <c r="F12" s="137" t="n"/>
      <c r="G12" s="138" t="n"/>
      <c r="H12" s="137" t="n"/>
      <c r="I12" s="138" t="n"/>
      <c r="J12" s="137" t="n"/>
      <c r="K12" s="138" t="n"/>
      <c r="L12" s="137" t="n"/>
      <c r="M12" s="138" t="n"/>
      <c r="N12" s="137" t="n"/>
      <c r="O12" s="138" t="n"/>
      <c r="P12" s="137" t="n"/>
      <c r="Q12" s="138" t="n"/>
      <c r="R12" s="137" t="n"/>
      <c r="S12" s="138" t="n"/>
      <c r="T12" s="137" t="n"/>
      <c r="U12" s="138" t="n"/>
      <c r="V12" s="137" t="n"/>
      <c r="W12" s="138" t="n"/>
      <c r="X12" s="137" t="n"/>
      <c r="Y12" s="138" t="n"/>
      <c r="Z12" s="137" t="n"/>
      <c r="AA12" s="138" t="n"/>
    </row>
    <row r="13">
      <c r="A13" s="134">
        <f>IF(Roster!$C$13="","",IF(Roster!$B$13="","#"&amp;8,Roster!$B$13&amp;""))</f>
        <v/>
      </c>
      <c r="B13" s="135">
        <f>IF(Roster!$C$13="","",Roster!$C$13)</f>
        <v/>
      </c>
      <c r="C13" s="136" t="n"/>
      <c r="D13" s="137" t="n"/>
      <c r="E13" s="138" t="n"/>
      <c r="F13" s="137" t="n"/>
      <c r="G13" s="138" t="n"/>
      <c r="H13" s="137" t="n"/>
      <c r="I13" s="138" t="n"/>
      <c r="J13" s="137" t="n"/>
      <c r="K13" s="138" t="n"/>
      <c r="L13" s="137" t="n"/>
      <c r="M13" s="138" t="n"/>
      <c r="N13" s="137" t="n"/>
      <c r="O13" s="138" t="n"/>
      <c r="P13" s="137" t="n"/>
      <c r="Q13" s="138" t="n"/>
      <c r="R13" s="137" t="n"/>
      <c r="S13" s="138" t="n"/>
      <c r="T13" s="137" t="n"/>
      <c r="U13" s="138" t="n"/>
      <c r="V13" s="137" t="n"/>
      <c r="W13" s="138" t="n"/>
      <c r="X13" s="137" t="n"/>
      <c r="Y13" s="138" t="n"/>
      <c r="Z13" s="137" t="n"/>
      <c r="AA13" s="138" t="n"/>
    </row>
    <row r="14">
      <c r="A14" s="134">
        <f>IF(Roster!$C$14="","",IF(Roster!$B$14="","#"&amp;9,Roster!$B$14&amp;""))</f>
        <v/>
      </c>
      <c r="B14" s="135">
        <f>IF(Roster!$C$14="","",Roster!$C$14)</f>
        <v/>
      </c>
      <c r="C14" s="136" t="n"/>
      <c r="D14" s="137" t="n"/>
      <c r="E14" s="138" t="n"/>
      <c r="F14" s="137" t="n"/>
      <c r="G14" s="138" t="n"/>
      <c r="H14" s="137" t="n"/>
      <c r="I14" s="138" t="n"/>
      <c r="J14" s="137" t="n"/>
      <c r="K14" s="138" t="n"/>
      <c r="L14" s="137" t="n"/>
      <c r="M14" s="138" t="n"/>
      <c r="N14" s="137" t="n"/>
      <c r="O14" s="138" t="n"/>
      <c r="P14" s="137" t="n"/>
      <c r="Q14" s="138" t="n"/>
      <c r="R14" s="137" t="n"/>
      <c r="S14" s="138" t="n"/>
      <c r="T14" s="137" t="n"/>
      <c r="U14" s="138" t="n"/>
      <c r="V14" s="137" t="n"/>
      <c r="W14" s="138" t="n"/>
      <c r="X14" s="137" t="n"/>
      <c r="Y14" s="138" t="n"/>
      <c r="Z14" s="137" t="n"/>
      <c r="AA14" s="138" t="n"/>
    </row>
    <row r="15">
      <c r="A15" s="134">
        <f>IF(Roster!$C$15="","",IF(Roster!$B$15="","#"&amp;10,Roster!$B$15&amp;""))</f>
        <v/>
      </c>
      <c r="B15" s="135">
        <f>IF(Roster!$C$15="","",Roster!$C$15)</f>
        <v/>
      </c>
      <c r="C15" s="136" t="n"/>
      <c r="D15" s="137" t="n"/>
      <c r="E15" s="138" t="n"/>
      <c r="F15" s="137" t="n"/>
      <c r="G15" s="138" t="n"/>
      <c r="H15" s="137" t="n"/>
      <c r="I15" s="138" t="n"/>
      <c r="J15" s="137" t="n"/>
      <c r="K15" s="138" t="n"/>
      <c r="L15" s="137" t="n"/>
      <c r="M15" s="138" t="n"/>
      <c r="N15" s="137" t="n"/>
      <c r="O15" s="138" t="n"/>
      <c r="P15" s="137" t="n"/>
      <c r="Q15" s="138" t="n"/>
      <c r="R15" s="137" t="n"/>
      <c r="S15" s="138" t="n"/>
      <c r="T15" s="137" t="n"/>
      <c r="U15" s="138" t="n"/>
      <c r="V15" s="137" t="n"/>
      <c r="W15" s="138" t="n"/>
      <c r="X15" s="137" t="n"/>
      <c r="Y15" s="138" t="n"/>
      <c r="Z15" s="137" t="n"/>
      <c r="AA15" s="138" t="n"/>
    </row>
    <row r="16">
      <c r="A16" s="134">
        <f>IF(Roster!$C$16="","",IF(Roster!$B$16="","#"&amp;11,Roster!$B$16&amp;""))</f>
        <v/>
      </c>
      <c r="B16" s="135">
        <f>IF(Roster!$C$16="","",Roster!$C$16)</f>
        <v/>
      </c>
      <c r="C16" s="136" t="n"/>
      <c r="D16" s="137" t="n"/>
      <c r="E16" s="138" t="n"/>
      <c r="F16" s="137" t="n"/>
      <c r="G16" s="138" t="n"/>
      <c r="H16" s="137" t="n"/>
      <c r="I16" s="138" t="n"/>
      <c r="J16" s="137" t="n"/>
      <c r="K16" s="138" t="n"/>
      <c r="L16" s="137" t="n"/>
      <c r="M16" s="138" t="n"/>
      <c r="N16" s="137" t="n"/>
      <c r="O16" s="138" t="n"/>
      <c r="P16" s="137" t="n"/>
      <c r="Q16" s="138" t="n"/>
      <c r="R16" s="137" t="n"/>
      <c r="S16" s="138" t="n"/>
      <c r="T16" s="137" t="n"/>
      <c r="U16" s="138" t="n"/>
      <c r="V16" s="137" t="n"/>
      <c r="W16" s="138" t="n"/>
      <c r="X16" s="137" t="n"/>
      <c r="Y16" s="138" t="n"/>
      <c r="Z16" s="137" t="n"/>
      <c r="AA16" s="138" t="n"/>
    </row>
    <row r="17">
      <c r="A17" s="134">
        <f>IF(Roster!$C$17="","",IF(Roster!$B$17="","#"&amp;12,Roster!$B$17&amp;""))</f>
        <v/>
      </c>
      <c r="B17" s="135">
        <f>IF(Roster!$C$17="","",Roster!$C$17)</f>
        <v/>
      </c>
      <c r="C17" s="136" t="n"/>
      <c r="D17" s="137" t="n"/>
      <c r="E17" s="138" t="n"/>
      <c r="F17" s="137" t="n"/>
      <c r="G17" s="138" t="n"/>
      <c r="H17" s="137" t="n"/>
      <c r="I17" s="138" t="n"/>
      <c r="J17" s="137" t="n"/>
      <c r="K17" s="138" t="n"/>
      <c r="L17" s="137" t="n"/>
      <c r="M17" s="138" t="n"/>
      <c r="N17" s="137" t="n"/>
      <c r="O17" s="138" t="n"/>
      <c r="P17" s="137" t="n"/>
      <c r="Q17" s="138" t="n"/>
      <c r="R17" s="137" t="n"/>
      <c r="S17" s="138" t="n"/>
      <c r="T17" s="137" t="n"/>
      <c r="U17" s="138" t="n"/>
      <c r="V17" s="137" t="n"/>
      <c r="W17" s="138" t="n"/>
      <c r="X17" s="137" t="n"/>
      <c r="Y17" s="138" t="n"/>
      <c r="Z17" s="137" t="n"/>
      <c r="AA17" s="138" t="n"/>
    </row>
    <row r="18">
      <c r="A18" s="134">
        <f>IF(Roster!$C$18="","",IF(Roster!$B$18="","#"&amp;13,Roster!$B$18&amp;""))</f>
        <v/>
      </c>
      <c r="B18" s="135">
        <f>IF(Roster!$C$18="","",Roster!$C$18)</f>
        <v/>
      </c>
      <c r="C18" s="136" t="n"/>
      <c r="D18" s="137" t="n"/>
      <c r="E18" s="138" t="n"/>
      <c r="F18" s="137" t="n"/>
      <c r="G18" s="138" t="n"/>
      <c r="H18" s="137" t="n"/>
      <c r="I18" s="138" t="n"/>
      <c r="J18" s="137" t="n"/>
      <c r="K18" s="138" t="n"/>
      <c r="L18" s="137" t="n"/>
      <c r="M18" s="138" t="n"/>
      <c r="N18" s="137" t="n"/>
      <c r="O18" s="138" t="n"/>
      <c r="P18" s="137" t="n"/>
      <c r="Q18" s="138" t="n"/>
      <c r="R18" s="137" t="n"/>
      <c r="S18" s="138" t="n"/>
      <c r="T18" s="137" t="n"/>
      <c r="U18" s="138" t="n"/>
      <c r="V18" s="137" t="n"/>
      <c r="W18" s="138" t="n"/>
      <c r="X18" s="137" t="n"/>
      <c r="Y18" s="138" t="n"/>
      <c r="Z18" s="137" t="n"/>
      <c r="AA18" s="138" t="n"/>
    </row>
    <row r="19">
      <c r="A19" s="134">
        <f>IF(Roster!$C$19="","",IF(Roster!$B$19="","#"&amp;14,Roster!$B$19&amp;""))</f>
        <v/>
      </c>
      <c r="B19" s="135">
        <f>IF(Roster!$C$19="","",Roster!$C$19)</f>
        <v/>
      </c>
      <c r="C19" s="136" t="n"/>
      <c r="D19" s="137" t="n"/>
      <c r="E19" s="138" t="n"/>
      <c r="F19" s="137" t="n"/>
      <c r="G19" s="138" t="n"/>
      <c r="H19" s="137" t="n"/>
      <c r="I19" s="138" t="n"/>
      <c r="J19" s="137" t="n"/>
      <c r="K19" s="138" t="n"/>
      <c r="L19" s="137" t="n"/>
      <c r="M19" s="138" t="n"/>
      <c r="N19" s="137" t="n"/>
      <c r="O19" s="138" t="n"/>
      <c r="P19" s="137" t="n"/>
      <c r="Q19" s="138" t="n"/>
      <c r="R19" s="137" t="n"/>
      <c r="S19" s="138" t="n"/>
      <c r="T19" s="137" t="n"/>
      <c r="U19" s="138" t="n"/>
      <c r="V19" s="137" t="n"/>
      <c r="W19" s="138" t="n"/>
      <c r="X19" s="137" t="n"/>
      <c r="Y19" s="138" t="n"/>
      <c r="Z19" s="137" t="n"/>
      <c r="AA19" s="138" t="n"/>
    </row>
    <row r="20">
      <c r="A20" s="134">
        <f>IF(Roster!$C$20="","",IF(Roster!$B$20="","#"&amp;15,Roster!$B$20&amp;""))</f>
        <v/>
      </c>
      <c r="B20" s="135">
        <f>IF(Roster!$C$20="","",Roster!$C$20)</f>
        <v/>
      </c>
      <c r="C20" s="136" t="n"/>
      <c r="D20" s="137" t="n"/>
      <c r="E20" s="138" t="n"/>
      <c r="F20" s="137" t="n"/>
      <c r="G20" s="138" t="n"/>
      <c r="H20" s="137" t="n"/>
      <c r="I20" s="138" t="n"/>
      <c r="J20" s="137" t="n"/>
      <c r="K20" s="138" t="n"/>
      <c r="L20" s="137" t="n"/>
      <c r="M20" s="138" t="n"/>
      <c r="N20" s="137" t="n"/>
      <c r="O20" s="138" t="n"/>
      <c r="P20" s="137" t="n"/>
      <c r="Q20" s="138" t="n"/>
      <c r="R20" s="137" t="n"/>
      <c r="S20" s="138" t="n"/>
      <c r="T20" s="137" t="n"/>
      <c r="U20" s="138" t="n"/>
      <c r="V20" s="137" t="n"/>
      <c r="W20" s="138" t="n"/>
      <c r="X20" s="137" t="n"/>
      <c r="Y20" s="138" t="n"/>
      <c r="Z20" s="137" t="n"/>
      <c r="AA20" s="138" t="n"/>
    </row>
    <row r="21">
      <c r="A21" s="134">
        <f>IF(Roster!$C$21="","",IF(Roster!$B$21="","#"&amp;16,Roster!$B$21&amp;""))</f>
        <v/>
      </c>
      <c r="B21" s="135">
        <f>IF(Roster!$C$21="","",Roster!$C$21)</f>
        <v/>
      </c>
      <c r="C21" s="136" t="n"/>
      <c r="D21" s="137" t="n"/>
      <c r="E21" s="138" t="n"/>
      <c r="F21" s="137" t="n"/>
      <c r="G21" s="138" t="n"/>
      <c r="H21" s="137" t="n"/>
      <c r="I21" s="138" t="n"/>
      <c r="J21" s="137" t="n"/>
      <c r="K21" s="138" t="n"/>
      <c r="L21" s="137" t="n"/>
      <c r="M21" s="138" t="n"/>
      <c r="N21" s="137" t="n"/>
      <c r="O21" s="138" t="n"/>
      <c r="P21" s="137" t="n"/>
      <c r="Q21" s="138" t="n"/>
      <c r="R21" s="137" t="n"/>
      <c r="S21" s="138" t="n"/>
      <c r="T21" s="137" t="n"/>
      <c r="U21" s="138" t="n"/>
      <c r="V21" s="137" t="n"/>
      <c r="W21" s="138" t="n"/>
      <c r="X21" s="137" t="n"/>
      <c r="Y21" s="138" t="n"/>
      <c r="Z21" s="137" t="n"/>
      <c r="AA21" s="138" t="n"/>
    </row>
    <row r="22">
      <c r="A22" s="134">
        <f>IF(Roster!$C$22="","",IF(Roster!$B$22="","#"&amp;17,Roster!$B$22&amp;""))</f>
        <v/>
      </c>
      <c r="B22" s="135">
        <f>IF(Roster!$C$22="","",Roster!$C$22)</f>
        <v/>
      </c>
      <c r="C22" s="136" t="n"/>
      <c r="D22" s="137" t="n"/>
      <c r="E22" s="138" t="n"/>
      <c r="F22" s="137" t="n"/>
      <c r="G22" s="138" t="n"/>
      <c r="H22" s="137" t="n"/>
      <c r="I22" s="138" t="n"/>
      <c r="J22" s="137" t="n"/>
      <c r="K22" s="138" t="n"/>
      <c r="L22" s="137" t="n"/>
      <c r="M22" s="138" t="n"/>
      <c r="N22" s="137" t="n"/>
      <c r="O22" s="138" t="n"/>
      <c r="P22" s="137" t="n"/>
      <c r="Q22" s="138" t="n"/>
      <c r="R22" s="137" t="n"/>
      <c r="S22" s="138" t="n"/>
      <c r="T22" s="137" t="n"/>
      <c r="U22" s="138" t="n"/>
      <c r="V22" s="137" t="n"/>
      <c r="W22" s="138" t="n"/>
      <c r="X22" s="137" t="n"/>
      <c r="Y22" s="138" t="n"/>
      <c r="Z22" s="137" t="n"/>
      <c r="AA22" s="138" t="n"/>
    </row>
    <row r="23">
      <c r="A23" s="134">
        <f>IF(Roster!$C$23="","",IF(Roster!$B$23="","#"&amp;18,Roster!$B$23&amp;""))</f>
        <v/>
      </c>
      <c r="B23" s="135">
        <f>IF(Roster!$C$23="","",Roster!$C$23)</f>
        <v/>
      </c>
      <c r="C23" s="136" t="n"/>
      <c r="D23" s="137" t="n"/>
      <c r="E23" s="138" t="n"/>
      <c r="F23" s="137" t="n"/>
      <c r="G23" s="138" t="n"/>
      <c r="H23" s="137" t="n"/>
      <c r="I23" s="138" t="n"/>
      <c r="J23" s="137" t="n"/>
      <c r="K23" s="138" t="n"/>
      <c r="L23" s="137" t="n"/>
      <c r="M23" s="138" t="n"/>
      <c r="N23" s="137" t="n"/>
      <c r="O23" s="138" t="n"/>
      <c r="P23" s="137" t="n"/>
      <c r="Q23" s="138" t="n"/>
      <c r="R23" s="137" t="n"/>
      <c r="S23" s="138" t="n"/>
      <c r="T23" s="137" t="n"/>
      <c r="U23" s="138" t="n"/>
      <c r="V23" s="137" t="n"/>
      <c r="W23" s="138" t="n"/>
      <c r="X23" s="137" t="n"/>
      <c r="Y23" s="138" t="n"/>
      <c r="Z23" s="137" t="n"/>
      <c r="AA23" s="138" t="n"/>
    </row>
    <row r="24">
      <c r="A24" s="134">
        <f>IF(Roster!$C$24="","",IF(Roster!$B$24="","#"&amp;19,Roster!$B$24&amp;""))</f>
        <v/>
      </c>
      <c r="B24" s="135">
        <f>IF(Roster!$C$24="","",Roster!$C$24)</f>
        <v/>
      </c>
      <c r="C24" s="136" t="n"/>
      <c r="D24" s="137" t="n"/>
      <c r="E24" s="138" t="n"/>
      <c r="F24" s="137" t="n"/>
      <c r="G24" s="138" t="n"/>
      <c r="H24" s="137" t="n"/>
      <c r="I24" s="138" t="n"/>
      <c r="J24" s="137" t="n"/>
      <c r="K24" s="138" t="n"/>
      <c r="L24" s="137" t="n"/>
      <c r="M24" s="138" t="n"/>
      <c r="N24" s="137" t="n"/>
      <c r="O24" s="138" t="n"/>
      <c r="P24" s="137" t="n"/>
      <c r="Q24" s="138" t="n"/>
      <c r="R24" s="137" t="n"/>
      <c r="S24" s="138" t="n"/>
      <c r="T24" s="137" t="n"/>
      <c r="U24" s="138" t="n"/>
      <c r="V24" s="137" t="n"/>
      <c r="W24" s="138" t="n"/>
      <c r="X24" s="137" t="n"/>
      <c r="Y24" s="138" t="n"/>
      <c r="Z24" s="137" t="n"/>
      <c r="AA24" s="138" t="n"/>
    </row>
    <row r="25">
      <c r="A25" s="134">
        <f>IF(Roster!$C$25="","",IF(Roster!$B$25="","#"&amp;20,Roster!$B$25&amp;""))</f>
        <v/>
      </c>
      <c r="B25" s="135">
        <f>IF(Roster!$C$25="","",Roster!$C$25)</f>
        <v/>
      </c>
      <c r="C25" s="136" t="n"/>
      <c r="D25" s="137" t="n"/>
      <c r="E25" s="138" t="n"/>
      <c r="F25" s="137" t="n"/>
      <c r="G25" s="138" t="n"/>
      <c r="H25" s="137" t="n"/>
      <c r="I25" s="138" t="n"/>
      <c r="J25" s="137" t="n"/>
      <c r="K25" s="138" t="n"/>
      <c r="L25" s="137" t="n"/>
      <c r="M25" s="138" t="n"/>
      <c r="N25" s="137" t="n"/>
      <c r="O25" s="138" t="n"/>
      <c r="P25" s="137" t="n"/>
      <c r="Q25" s="138" t="n"/>
      <c r="R25" s="137" t="n"/>
      <c r="S25" s="138" t="n"/>
      <c r="T25" s="137" t="n"/>
      <c r="U25" s="138" t="n"/>
      <c r="V25" s="137" t="n"/>
      <c r="W25" s="138" t="n"/>
      <c r="X25" s="137" t="n"/>
      <c r="Y25" s="138" t="n"/>
      <c r="Z25" s="137" t="n"/>
      <c r="AA25" s="138" t="n"/>
    </row>
    <row r="26">
      <c r="A26" s="134">
        <f>IF(Roster!$C$26="","",IF(Roster!$B$26="","#"&amp;21,Roster!$B$26&amp;""))</f>
        <v/>
      </c>
      <c r="B26" s="135">
        <f>IF(Roster!$C$26="","",Roster!$C$26)</f>
        <v/>
      </c>
      <c r="C26" s="136" t="n"/>
      <c r="D26" s="137" t="n"/>
      <c r="E26" s="138" t="n"/>
      <c r="F26" s="137" t="n"/>
      <c r="G26" s="138" t="n"/>
      <c r="H26" s="137" t="n"/>
      <c r="I26" s="138" t="n"/>
      <c r="J26" s="137" t="n"/>
      <c r="K26" s="138" t="n"/>
      <c r="L26" s="137" t="n"/>
      <c r="M26" s="138" t="n"/>
      <c r="N26" s="137" t="n"/>
      <c r="O26" s="138" t="n"/>
      <c r="P26" s="137" t="n"/>
      <c r="Q26" s="138" t="n"/>
      <c r="R26" s="137" t="n"/>
      <c r="S26" s="138" t="n"/>
      <c r="T26" s="137" t="n"/>
      <c r="U26" s="138" t="n"/>
      <c r="V26" s="137" t="n"/>
      <c r="W26" s="138" t="n"/>
      <c r="X26" s="137" t="n"/>
      <c r="Y26" s="138" t="n"/>
      <c r="Z26" s="137" t="n"/>
      <c r="AA26" s="138" t="n"/>
    </row>
    <row r="27">
      <c r="A27" s="134">
        <f>IF(Roster!$C$27="","",IF(Roster!$B$27="","#"&amp;22,Roster!$B$27&amp;""))</f>
        <v/>
      </c>
      <c r="B27" s="135">
        <f>IF(Roster!$C$27="","",Roster!$C$27)</f>
        <v/>
      </c>
      <c r="C27" s="136" t="n"/>
      <c r="D27" s="137" t="n"/>
      <c r="E27" s="138" t="n"/>
      <c r="F27" s="137" t="n"/>
      <c r="G27" s="138" t="n"/>
      <c r="H27" s="137" t="n"/>
      <c r="I27" s="138" t="n"/>
      <c r="J27" s="137" t="n"/>
      <c r="K27" s="138" t="n"/>
      <c r="L27" s="137" t="n"/>
      <c r="M27" s="138" t="n"/>
      <c r="N27" s="137" t="n"/>
      <c r="O27" s="138" t="n"/>
      <c r="P27" s="137" t="n"/>
      <c r="Q27" s="138" t="n"/>
      <c r="R27" s="137" t="n"/>
      <c r="S27" s="138" t="n"/>
      <c r="T27" s="137" t="n"/>
      <c r="U27" s="138" t="n"/>
      <c r="V27" s="137" t="n"/>
      <c r="W27" s="138" t="n"/>
      <c r="X27" s="137" t="n"/>
      <c r="Y27" s="138" t="n"/>
      <c r="Z27" s="137" t="n"/>
      <c r="AA27" s="138" t="n"/>
    </row>
    <row r="28">
      <c r="A28" s="134">
        <f>IF(Roster!$C$28="","",IF(Roster!$B$28="","#"&amp;23,Roster!$B$28&amp;""))</f>
        <v/>
      </c>
      <c r="B28" s="135">
        <f>IF(Roster!$C$28="","",Roster!$C$28)</f>
        <v/>
      </c>
      <c r="C28" s="136" t="n"/>
      <c r="D28" s="137" t="n"/>
      <c r="E28" s="138" t="n"/>
      <c r="F28" s="137" t="n"/>
      <c r="G28" s="138" t="n"/>
      <c r="H28" s="137" t="n"/>
      <c r="I28" s="138" t="n"/>
      <c r="J28" s="137" t="n"/>
      <c r="K28" s="138" t="n"/>
      <c r="L28" s="137" t="n"/>
      <c r="M28" s="138" t="n"/>
      <c r="N28" s="137" t="n"/>
      <c r="O28" s="138" t="n"/>
      <c r="P28" s="137" t="n"/>
      <c r="Q28" s="138" t="n"/>
      <c r="R28" s="137" t="n"/>
      <c r="S28" s="138" t="n"/>
      <c r="T28" s="137" t="n"/>
      <c r="U28" s="138" t="n"/>
      <c r="V28" s="137" t="n"/>
      <c r="W28" s="138" t="n"/>
      <c r="X28" s="137" t="n"/>
      <c r="Y28" s="138" t="n"/>
      <c r="Z28" s="137" t="n"/>
      <c r="AA28" s="138" t="n"/>
    </row>
    <row r="29">
      <c r="A29" s="134">
        <f>IF(Roster!$C$29="","",IF(Roster!$B$29="","#"&amp;24,Roster!$B$29&amp;""))</f>
        <v/>
      </c>
      <c r="B29" s="135">
        <f>IF(Roster!$C$29="","",Roster!$C$29)</f>
        <v/>
      </c>
      <c r="C29" s="136" t="n"/>
      <c r="D29" s="137" t="n"/>
      <c r="E29" s="138" t="n"/>
      <c r="F29" s="137" t="n"/>
      <c r="G29" s="138" t="n"/>
      <c r="H29" s="137" t="n"/>
      <c r="I29" s="138" t="n"/>
      <c r="J29" s="137" t="n"/>
      <c r="K29" s="138" t="n"/>
      <c r="L29" s="137" t="n"/>
      <c r="M29" s="138" t="n"/>
      <c r="N29" s="137" t="n"/>
      <c r="O29" s="138" t="n"/>
      <c r="P29" s="137" t="n"/>
      <c r="Q29" s="138" t="n"/>
      <c r="R29" s="137" t="n"/>
      <c r="S29" s="138" t="n"/>
      <c r="T29" s="137" t="n"/>
      <c r="U29" s="138" t="n"/>
      <c r="V29" s="137" t="n"/>
      <c r="W29" s="138" t="n"/>
      <c r="X29" s="137" t="n"/>
      <c r="Y29" s="138" t="n"/>
      <c r="Z29" s="137" t="n"/>
      <c r="AA29" s="138" t="n"/>
    </row>
    <row r="30">
      <c r="A30" s="134">
        <f>IF(Roster!$C$30="","",IF(Roster!$B$30="","#"&amp;25,Roster!$B$30&amp;""))</f>
        <v/>
      </c>
      <c r="B30" s="135">
        <f>IF(Roster!$C$30="","",Roster!$C$30)</f>
        <v/>
      </c>
      <c r="C30" s="136" t="n"/>
      <c r="D30" s="137" t="n"/>
      <c r="E30" s="138" t="n"/>
      <c r="F30" s="137" t="n"/>
      <c r="G30" s="138" t="n"/>
      <c r="H30" s="137" t="n"/>
      <c r="I30" s="138" t="n"/>
      <c r="J30" s="137" t="n"/>
      <c r="K30" s="138" t="n"/>
      <c r="L30" s="137" t="n"/>
      <c r="M30" s="138" t="n"/>
      <c r="N30" s="137" t="n"/>
      <c r="O30" s="138" t="n"/>
      <c r="P30" s="137" t="n"/>
      <c r="Q30" s="138" t="n"/>
      <c r="R30" s="137" t="n"/>
      <c r="S30" s="138" t="n"/>
      <c r="T30" s="137" t="n"/>
      <c r="U30" s="138" t="n"/>
      <c r="V30" s="137" t="n"/>
      <c r="W30" s="138" t="n"/>
      <c r="X30" s="137" t="n"/>
      <c r="Y30" s="138" t="n"/>
      <c r="Z30" s="137" t="n"/>
      <c r="AA30" s="138" t="n"/>
    </row>
    <row r="31">
      <c r="A31" s="134">
        <f>IF(Roster!$C$31="","",IF(Roster!$B$31="","#"&amp;26,Roster!$B$31&amp;""))</f>
        <v/>
      </c>
      <c r="B31" s="135">
        <f>IF(Roster!$C$31="","",Roster!$C$31)</f>
        <v/>
      </c>
      <c r="C31" s="136" t="n"/>
      <c r="D31" s="137" t="n"/>
      <c r="E31" s="138" t="n"/>
      <c r="F31" s="137" t="n"/>
      <c r="G31" s="138" t="n"/>
      <c r="H31" s="137" t="n"/>
      <c r="I31" s="138" t="n"/>
      <c r="J31" s="137" t="n"/>
      <c r="K31" s="138" t="n"/>
      <c r="L31" s="137" t="n"/>
      <c r="M31" s="138" t="n"/>
      <c r="N31" s="137" t="n"/>
      <c r="O31" s="138" t="n"/>
      <c r="P31" s="137" t="n"/>
      <c r="Q31" s="138" t="n"/>
      <c r="R31" s="137" t="n"/>
      <c r="S31" s="138" t="n"/>
      <c r="T31" s="137" t="n"/>
      <c r="U31" s="138" t="n"/>
      <c r="V31" s="137" t="n"/>
      <c r="W31" s="138" t="n"/>
      <c r="X31" s="137" t="n"/>
      <c r="Y31" s="138" t="n"/>
      <c r="Z31" s="137" t="n"/>
      <c r="AA31" s="138" t="n"/>
    </row>
    <row r="32">
      <c r="A32" s="134">
        <f>IF(Roster!$C$32="","",IF(Roster!$B$32="","#"&amp;27,Roster!$B$32&amp;""))</f>
        <v/>
      </c>
      <c r="B32" s="135">
        <f>IF(Roster!$C$32="","",Roster!$C$32)</f>
        <v/>
      </c>
      <c r="C32" s="136" t="n"/>
      <c r="D32" s="137" t="n"/>
      <c r="E32" s="138" t="n"/>
      <c r="F32" s="137" t="n"/>
      <c r="G32" s="138" t="n"/>
      <c r="H32" s="137" t="n"/>
      <c r="I32" s="138" t="n"/>
      <c r="J32" s="137" t="n"/>
      <c r="K32" s="138" t="n"/>
      <c r="L32" s="137" t="n"/>
      <c r="M32" s="138" t="n"/>
      <c r="N32" s="137" t="n"/>
      <c r="O32" s="138" t="n"/>
      <c r="P32" s="137" t="n"/>
      <c r="Q32" s="138" t="n"/>
      <c r="R32" s="137" t="n"/>
      <c r="S32" s="138" t="n"/>
      <c r="T32" s="137" t="n"/>
      <c r="U32" s="138" t="n"/>
      <c r="V32" s="137" t="n"/>
      <c r="W32" s="138" t="n"/>
      <c r="X32" s="137" t="n"/>
      <c r="Y32" s="138" t="n"/>
      <c r="Z32" s="137" t="n"/>
      <c r="AA32" s="138" t="n"/>
    </row>
    <row r="33">
      <c r="A33" s="134">
        <f>IF(Roster!$C$33="","",IF(Roster!$B$33="","#"&amp;28,Roster!$B$33&amp;""))</f>
        <v/>
      </c>
      <c r="B33" s="135">
        <f>IF(Roster!$C$33="","",Roster!$C$33)</f>
        <v/>
      </c>
      <c r="C33" s="136" t="n"/>
      <c r="D33" s="137" t="n"/>
      <c r="E33" s="138" t="n"/>
      <c r="F33" s="137" t="n"/>
      <c r="G33" s="138" t="n"/>
      <c r="H33" s="137" t="n"/>
      <c r="I33" s="138" t="n"/>
      <c r="J33" s="137" t="n"/>
      <c r="K33" s="138" t="n"/>
      <c r="L33" s="137" t="n"/>
      <c r="M33" s="138" t="n"/>
      <c r="N33" s="137" t="n"/>
      <c r="O33" s="138" t="n"/>
      <c r="P33" s="137" t="n"/>
      <c r="Q33" s="138" t="n"/>
      <c r="R33" s="137" t="n"/>
      <c r="S33" s="138" t="n"/>
      <c r="T33" s="137" t="n"/>
      <c r="U33" s="138" t="n"/>
      <c r="V33" s="137" t="n"/>
      <c r="W33" s="138" t="n"/>
      <c r="X33" s="137" t="n"/>
      <c r="Y33" s="138" t="n"/>
      <c r="Z33" s="137" t="n"/>
      <c r="AA33" s="138" t="n"/>
    </row>
    <row r="34">
      <c r="A34" s="134">
        <f>IF(Roster!$C$34="","",IF(Roster!$B$34="","#"&amp;29,Roster!$B$34&amp;""))</f>
        <v/>
      </c>
      <c r="B34" s="135">
        <f>IF(Roster!$C$34="","",Roster!$C$34)</f>
        <v/>
      </c>
      <c r="C34" s="136" t="n"/>
      <c r="D34" s="137" t="n"/>
      <c r="E34" s="138" t="n"/>
      <c r="F34" s="137" t="n"/>
      <c r="G34" s="138" t="n"/>
      <c r="H34" s="137" t="n"/>
      <c r="I34" s="138" t="n"/>
      <c r="J34" s="137" t="n"/>
      <c r="K34" s="138" t="n"/>
      <c r="L34" s="137" t="n"/>
      <c r="M34" s="138" t="n"/>
      <c r="N34" s="137" t="n"/>
      <c r="O34" s="138" t="n"/>
      <c r="P34" s="137" t="n"/>
      <c r="Q34" s="138" t="n"/>
      <c r="R34" s="137" t="n"/>
      <c r="S34" s="138" t="n"/>
      <c r="T34" s="137" t="n"/>
      <c r="U34" s="138" t="n"/>
      <c r="V34" s="137" t="n"/>
      <c r="W34" s="138" t="n"/>
      <c r="X34" s="137" t="n"/>
      <c r="Y34" s="138" t="n"/>
      <c r="Z34" s="137" t="n"/>
      <c r="AA34" s="138" t="n"/>
    </row>
    <row r="35">
      <c r="A35" s="134">
        <f>IF(Roster!$C$35="","",IF(Roster!$B$35="","#"&amp;30,Roster!$B$35&amp;""))</f>
        <v/>
      </c>
      <c r="B35" s="135">
        <f>IF(Roster!$C$35="","",Roster!$C$35)</f>
        <v/>
      </c>
      <c r="C35" s="136" t="n"/>
      <c r="D35" s="137" t="n"/>
      <c r="E35" s="138" t="n"/>
      <c r="F35" s="137" t="n"/>
      <c r="G35" s="138" t="n"/>
      <c r="H35" s="137" t="n"/>
      <c r="I35" s="138" t="n"/>
      <c r="J35" s="137" t="n"/>
      <c r="K35" s="138" t="n"/>
      <c r="L35" s="137" t="n"/>
      <c r="M35" s="138" t="n"/>
      <c r="N35" s="137" t="n"/>
      <c r="O35" s="138" t="n"/>
      <c r="P35" s="137" t="n"/>
      <c r="Q35" s="138" t="n"/>
      <c r="R35" s="137" t="n"/>
      <c r="S35" s="138" t="n"/>
      <c r="T35" s="137" t="n"/>
      <c r="U35" s="138" t="n"/>
      <c r="V35" s="137" t="n"/>
      <c r="W35" s="138" t="n"/>
      <c r="X35" s="137" t="n"/>
      <c r="Y35" s="138" t="n"/>
      <c r="Z35" s="137" t="n"/>
      <c r="AA35" s="138" t="n"/>
    </row>
    <row r="36">
      <c r="A36" s="134">
        <f>IF(Roster!$C$36="","",IF(Roster!$B$36="","#"&amp;31,Roster!$B$36&amp;""))</f>
        <v/>
      </c>
      <c r="B36" s="135">
        <f>IF(Roster!$C$36="","",Roster!$C$36)</f>
        <v/>
      </c>
      <c r="C36" s="136" t="n"/>
      <c r="D36" s="137" t="n"/>
      <c r="E36" s="138" t="n"/>
      <c r="F36" s="137" t="n"/>
      <c r="G36" s="138" t="n"/>
      <c r="H36" s="137" t="n"/>
      <c r="I36" s="138" t="n"/>
      <c r="J36" s="137" t="n"/>
      <c r="K36" s="138" t="n"/>
      <c r="L36" s="137" t="n"/>
      <c r="M36" s="138" t="n"/>
      <c r="N36" s="137" t="n"/>
      <c r="O36" s="138" t="n"/>
      <c r="P36" s="137" t="n"/>
      <c r="Q36" s="138" t="n"/>
      <c r="R36" s="137" t="n"/>
      <c r="S36" s="138" t="n"/>
      <c r="T36" s="137" t="n"/>
      <c r="U36" s="138" t="n"/>
      <c r="V36" s="137" t="n"/>
      <c r="W36" s="138" t="n"/>
      <c r="X36" s="137" t="n"/>
      <c r="Y36" s="138" t="n"/>
      <c r="Z36" s="137" t="n"/>
      <c r="AA36" s="138" t="n"/>
    </row>
    <row r="37">
      <c r="A37" s="134">
        <f>IF(Roster!$C$37="","",IF(Roster!$B$37="","#"&amp;32,Roster!$B$37&amp;""))</f>
        <v/>
      </c>
      <c r="B37" s="135">
        <f>IF(Roster!$C$37="","",Roster!$C$37)</f>
        <v/>
      </c>
      <c r="C37" s="136" t="n"/>
      <c r="D37" s="137" t="n"/>
      <c r="E37" s="138" t="n"/>
      <c r="F37" s="137" t="n"/>
      <c r="G37" s="138" t="n"/>
      <c r="H37" s="137" t="n"/>
      <c r="I37" s="138" t="n"/>
      <c r="J37" s="137" t="n"/>
      <c r="K37" s="138" t="n"/>
      <c r="L37" s="137" t="n"/>
      <c r="M37" s="138" t="n"/>
      <c r="N37" s="137" t="n"/>
      <c r="O37" s="138" t="n"/>
      <c r="P37" s="137" t="n"/>
      <c r="Q37" s="138" t="n"/>
      <c r="R37" s="137" t="n"/>
      <c r="S37" s="138" t="n"/>
      <c r="T37" s="137" t="n"/>
      <c r="U37" s="138" t="n"/>
      <c r="V37" s="137" t="n"/>
      <c r="W37" s="138" t="n"/>
      <c r="X37" s="137" t="n"/>
      <c r="Y37" s="138" t="n"/>
      <c r="Z37" s="137" t="n"/>
      <c r="AA37" s="138" t="n"/>
    </row>
    <row r="38">
      <c r="A38" s="134">
        <f>IF(Roster!$C$38="","",IF(Roster!$B$38="","#"&amp;33,Roster!$B$38&amp;""))</f>
        <v/>
      </c>
      <c r="B38" s="135">
        <f>IF(Roster!$C$38="","",Roster!$C$38)</f>
        <v/>
      </c>
      <c r="C38" s="136" t="n"/>
      <c r="D38" s="137" t="n"/>
      <c r="E38" s="138" t="n"/>
      <c r="F38" s="137" t="n"/>
      <c r="G38" s="138" t="n"/>
      <c r="H38" s="137" t="n"/>
      <c r="I38" s="138" t="n"/>
      <c r="J38" s="137" t="n"/>
      <c r="K38" s="138" t="n"/>
      <c r="L38" s="137" t="n"/>
      <c r="M38" s="138" t="n"/>
      <c r="N38" s="137" t="n"/>
      <c r="O38" s="138" t="n"/>
      <c r="P38" s="137" t="n"/>
      <c r="Q38" s="138" t="n"/>
      <c r="R38" s="137" t="n"/>
      <c r="S38" s="138" t="n"/>
      <c r="T38" s="137" t="n"/>
      <c r="U38" s="138" t="n"/>
      <c r="V38" s="137" t="n"/>
      <c r="W38" s="138" t="n"/>
      <c r="X38" s="137" t="n"/>
      <c r="Y38" s="138" t="n"/>
      <c r="Z38" s="137" t="n"/>
      <c r="AA38" s="138" t="n"/>
    </row>
    <row r="39">
      <c r="A39" s="134">
        <f>IF(Roster!$C$39="","",IF(Roster!$B$39="","#"&amp;34,Roster!$B$39&amp;""))</f>
        <v/>
      </c>
      <c r="B39" s="135">
        <f>IF(Roster!$C$39="","",Roster!$C$39)</f>
        <v/>
      </c>
      <c r="C39" s="136" t="n"/>
      <c r="D39" s="137" t="n"/>
      <c r="E39" s="138" t="n"/>
      <c r="F39" s="137" t="n"/>
      <c r="G39" s="138" t="n"/>
      <c r="H39" s="137" t="n"/>
      <c r="I39" s="138" t="n"/>
      <c r="J39" s="137" t="n"/>
      <c r="K39" s="138" t="n"/>
      <c r="L39" s="137" t="n"/>
      <c r="M39" s="138" t="n"/>
      <c r="N39" s="137" t="n"/>
      <c r="O39" s="138" t="n"/>
      <c r="P39" s="137" t="n"/>
      <c r="Q39" s="138" t="n"/>
      <c r="R39" s="137" t="n"/>
      <c r="S39" s="138" t="n"/>
      <c r="T39" s="137" t="n"/>
      <c r="U39" s="138" t="n"/>
      <c r="V39" s="137" t="n"/>
      <c r="W39" s="138" t="n"/>
      <c r="X39" s="137" t="n"/>
      <c r="Y39" s="138" t="n"/>
      <c r="Z39" s="137" t="n"/>
      <c r="AA39" s="138" t="n"/>
    </row>
    <row r="40">
      <c r="A40" s="134">
        <f>IF(Roster!$C$40="","",IF(Roster!$B$40="","#"&amp;35,Roster!$B$40&amp;""))</f>
        <v/>
      </c>
      <c r="B40" s="135">
        <f>IF(Roster!$C$40="","",Roster!$C$40)</f>
        <v/>
      </c>
      <c r="C40" s="136" t="n"/>
      <c r="D40" s="137" t="n"/>
      <c r="E40" s="138" t="n"/>
      <c r="F40" s="137" t="n"/>
      <c r="G40" s="138" t="n"/>
      <c r="H40" s="137" t="n"/>
      <c r="I40" s="138" t="n"/>
      <c r="J40" s="137" t="n"/>
      <c r="K40" s="138" t="n"/>
      <c r="L40" s="137" t="n"/>
      <c r="M40" s="138" t="n"/>
      <c r="N40" s="137" t="n"/>
      <c r="O40" s="138" t="n"/>
      <c r="P40" s="137" t="n"/>
      <c r="Q40" s="138" t="n"/>
      <c r="R40" s="137" t="n"/>
      <c r="S40" s="138" t="n"/>
      <c r="T40" s="137" t="n"/>
      <c r="U40" s="138" t="n"/>
      <c r="V40" s="137" t="n"/>
      <c r="W40" s="138" t="n"/>
      <c r="X40" s="137" t="n"/>
      <c r="Y40" s="138" t="n"/>
      <c r="Z40" s="137" t="n"/>
      <c r="AA40" s="138" t="n"/>
    </row>
    <row r="41">
      <c r="A41" s="134">
        <f>IF(Roster!$C$41="","",IF(Roster!$B$41="","#"&amp;36,Roster!$B$41&amp;""))</f>
        <v/>
      </c>
      <c r="B41" s="135">
        <f>IF(Roster!$C$41="","",Roster!$C$41)</f>
        <v/>
      </c>
      <c r="C41" s="136" t="n"/>
      <c r="D41" s="137" t="n"/>
      <c r="E41" s="138" t="n"/>
      <c r="F41" s="137" t="n"/>
      <c r="G41" s="138" t="n"/>
      <c r="H41" s="137" t="n"/>
      <c r="I41" s="138" t="n"/>
      <c r="J41" s="137" t="n"/>
      <c r="K41" s="138" t="n"/>
      <c r="L41" s="137" t="n"/>
      <c r="M41" s="138" t="n"/>
      <c r="N41" s="137" t="n"/>
      <c r="O41" s="138" t="n"/>
      <c r="P41" s="137" t="n"/>
      <c r="Q41" s="138" t="n"/>
      <c r="R41" s="137" t="n"/>
      <c r="S41" s="138" t="n"/>
      <c r="T41" s="137" t="n"/>
      <c r="U41" s="138" t="n"/>
      <c r="V41" s="137" t="n"/>
      <c r="W41" s="138" t="n"/>
      <c r="X41" s="137" t="n"/>
      <c r="Y41" s="138" t="n"/>
      <c r="Z41" s="137" t="n"/>
      <c r="AA41" s="138" t="n"/>
    </row>
    <row r="42">
      <c r="A42" s="134">
        <f>IF(Roster!$C$42="","",IF(Roster!$B$42="","#"&amp;37,Roster!$B$42&amp;""))</f>
        <v/>
      </c>
      <c r="B42" s="135">
        <f>IF(Roster!$C$42="","",Roster!$C$42)</f>
        <v/>
      </c>
      <c r="C42" s="136" t="n"/>
      <c r="D42" s="137" t="n"/>
      <c r="E42" s="138" t="n"/>
      <c r="F42" s="137" t="n"/>
      <c r="G42" s="138" t="n"/>
      <c r="H42" s="137" t="n"/>
      <c r="I42" s="138" t="n"/>
      <c r="J42" s="137" t="n"/>
      <c r="K42" s="138" t="n"/>
      <c r="L42" s="137" t="n"/>
      <c r="M42" s="138" t="n"/>
      <c r="N42" s="137" t="n"/>
      <c r="O42" s="138" t="n"/>
      <c r="P42" s="137" t="n"/>
      <c r="Q42" s="138" t="n"/>
      <c r="R42" s="137" t="n"/>
      <c r="S42" s="138" t="n"/>
      <c r="T42" s="137" t="n"/>
      <c r="U42" s="138" t="n"/>
      <c r="V42" s="137" t="n"/>
      <c r="W42" s="138" t="n"/>
      <c r="X42" s="137" t="n"/>
      <c r="Y42" s="138" t="n"/>
      <c r="Z42" s="137" t="n"/>
      <c r="AA42" s="138" t="n"/>
    </row>
    <row r="43">
      <c r="A43" s="134">
        <f>IF(Roster!$C$43="","",IF(Roster!$B$43="","#"&amp;38,Roster!$B$43&amp;""))</f>
        <v/>
      </c>
      <c r="B43" s="135">
        <f>IF(Roster!$C$43="","",Roster!$C$43)</f>
        <v/>
      </c>
      <c r="C43" s="136" t="n"/>
      <c r="D43" s="137" t="n"/>
      <c r="E43" s="138" t="n"/>
      <c r="F43" s="137" t="n"/>
      <c r="G43" s="138" t="n"/>
      <c r="H43" s="137" t="n"/>
      <c r="I43" s="138" t="n"/>
      <c r="J43" s="137" t="n"/>
      <c r="K43" s="138" t="n"/>
      <c r="L43" s="137" t="n"/>
      <c r="M43" s="138" t="n"/>
      <c r="N43" s="137" t="n"/>
      <c r="O43" s="138" t="n"/>
      <c r="P43" s="137" t="n"/>
      <c r="Q43" s="138" t="n"/>
      <c r="R43" s="137" t="n"/>
      <c r="S43" s="138" t="n"/>
      <c r="T43" s="137" t="n"/>
      <c r="U43" s="138" t="n"/>
      <c r="V43" s="137" t="n"/>
      <c r="W43" s="138" t="n"/>
      <c r="X43" s="137" t="n"/>
      <c r="Y43" s="138" t="n"/>
      <c r="Z43" s="137" t="n"/>
      <c r="AA43" s="138" t="n"/>
    </row>
    <row r="44">
      <c r="A44" s="134">
        <f>IF(Roster!$C$44="","",IF(Roster!$B$44="","#"&amp;39,Roster!$B$44&amp;""))</f>
        <v/>
      </c>
      <c r="B44" s="135">
        <f>IF(Roster!$C$44="","",Roster!$C$44)</f>
        <v/>
      </c>
      <c r="C44" s="136" t="n"/>
      <c r="D44" s="137" t="n"/>
      <c r="E44" s="138" t="n"/>
      <c r="F44" s="137" t="n"/>
      <c r="G44" s="138" t="n"/>
      <c r="H44" s="137" t="n"/>
      <c r="I44" s="138" t="n"/>
      <c r="J44" s="137" t="n"/>
      <c r="K44" s="138" t="n"/>
      <c r="L44" s="137" t="n"/>
      <c r="M44" s="138" t="n"/>
      <c r="N44" s="137" t="n"/>
      <c r="O44" s="138" t="n"/>
      <c r="P44" s="137" t="n"/>
      <c r="Q44" s="138" t="n"/>
      <c r="R44" s="137" t="n"/>
      <c r="S44" s="138" t="n"/>
      <c r="T44" s="137" t="n"/>
      <c r="U44" s="138" t="n"/>
      <c r="V44" s="137" t="n"/>
      <c r="W44" s="138" t="n"/>
      <c r="X44" s="137" t="n"/>
      <c r="Y44" s="138" t="n"/>
      <c r="Z44" s="137" t="n"/>
      <c r="AA44" s="138" t="n"/>
    </row>
    <row r="45">
      <c r="A45" s="134">
        <f>IF(Roster!$C$45="","",IF(Roster!$B$45="","#"&amp;40,Roster!$B$45&amp;""))</f>
        <v/>
      </c>
      <c r="B45" s="135">
        <f>IF(Roster!$C$45="","",Roster!$C$45)</f>
        <v/>
      </c>
      <c r="C45" s="136" t="n"/>
      <c r="D45" s="137" t="n"/>
      <c r="E45" s="138" t="n"/>
      <c r="F45" s="137" t="n"/>
      <c r="G45" s="138" t="n"/>
      <c r="H45" s="137" t="n"/>
      <c r="I45" s="138" t="n"/>
      <c r="J45" s="137" t="n"/>
      <c r="K45" s="138" t="n"/>
      <c r="L45" s="137" t="n"/>
      <c r="M45" s="138" t="n"/>
      <c r="N45" s="137" t="n"/>
      <c r="O45" s="138" t="n"/>
      <c r="P45" s="137" t="n"/>
      <c r="Q45" s="138" t="n"/>
      <c r="R45" s="137" t="n"/>
      <c r="S45" s="138" t="n"/>
      <c r="T45" s="137" t="n"/>
      <c r="U45" s="138" t="n"/>
      <c r="V45" s="137" t="n"/>
      <c r="W45" s="138" t="n"/>
      <c r="X45" s="137" t="n"/>
      <c r="Y45" s="138" t="n"/>
      <c r="Z45" s="137" t="n"/>
      <c r="AA45" s="138" t="n"/>
    </row>
    <row r="46">
      <c r="A46" s="134">
        <f>IF(Roster!$C$46="","",IF(Roster!$B$46="","#"&amp;41,Roster!$B$46&amp;""))</f>
        <v/>
      </c>
      <c r="B46" s="135">
        <f>IF(Roster!$C$46="","",Roster!$C$46)</f>
        <v/>
      </c>
      <c r="C46" s="136" t="n"/>
      <c r="D46" s="137" t="n"/>
      <c r="E46" s="138" t="n"/>
      <c r="F46" s="137" t="n"/>
      <c r="G46" s="138" t="n"/>
      <c r="H46" s="137" t="n"/>
      <c r="I46" s="138" t="n"/>
      <c r="J46" s="137" t="n"/>
      <c r="K46" s="138" t="n"/>
      <c r="L46" s="137" t="n"/>
      <c r="M46" s="138" t="n"/>
      <c r="N46" s="137" t="n"/>
      <c r="O46" s="138" t="n"/>
      <c r="P46" s="137" t="n"/>
      <c r="Q46" s="138" t="n"/>
      <c r="R46" s="137" t="n"/>
      <c r="S46" s="138" t="n"/>
      <c r="T46" s="137" t="n"/>
      <c r="U46" s="138" t="n"/>
      <c r="V46" s="137" t="n"/>
      <c r="W46" s="138" t="n"/>
      <c r="X46" s="137" t="n"/>
      <c r="Y46" s="138" t="n"/>
      <c r="Z46" s="137" t="n"/>
      <c r="AA46" s="138" t="n"/>
    </row>
    <row r="47">
      <c r="A47" s="134">
        <f>IF(Roster!$C$47="","",IF(Roster!$B$47="","#"&amp;42,Roster!$B$47&amp;""))</f>
        <v/>
      </c>
      <c r="B47" s="135">
        <f>IF(Roster!$C$47="","",Roster!$C$47)</f>
        <v/>
      </c>
      <c r="C47" s="136" t="n"/>
      <c r="D47" s="137" t="n"/>
      <c r="E47" s="138" t="n"/>
      <c r="F47" s="137" t="n"/>
      <c r="G47" s="138" t="n"/>
      <c r="H47" s="137" t="n"/>
      <c r="I47" s="138" t="n"/>
      <c r="J47" s="137" t="n"/>
      <c r="K47" s="138" t="n"/>
      <c r="L47" s="137" t="n"/>
      <c r="M47" s="138" t="n"/>
      <c r="N47" s="137" t="n"/>
      <c r="O47" s="138" t="n"/>
      <c r="P47" s="137" t="n"/>
      <c r="Q47" s="138" t="n"/>
      <c r="R47" s="137" t="n"/>
      <c r="S47" s="138" t="n"/>
      <c r="T47" s="137" t="n"/>
      <c r="U47" s="138" t="n"/>
      <c r="V47" s="137" t="n"/>
      <c r="W47" s="138" t="n"/>
      <c r="X47" s="137" t="n"/>
      <c r="Y47" s="138" t="n"/>
      <c r="Z47" s="137" t="n"/>
      <c r="AA47" s="138" t="n"/>
    </row>
    <row r="48">
      <c r="A48" s="134">
        <f>IF(Roster!$C$48="","",IF(Roster!$B$48="","#"&amp;43,Roster!$B$48&amp;""))</f>
        <v/>
      </c>
      <c r="B48" s="135">
        <f>IF(Roster!$C$48="","",Roster!$C$48)</f>
        <v/>
      </c>
      <c r="C48" s="136" t="n"/>
      <c r="D48" s="137" t="n"/>
      <c r="E48" s="138" t="n"/>
      <c r="F48" s="137" t="n"/>
      <c r="G48" s="138" t="n"/>
      <c r="H48" s="137" t="n"/>
      <c r="I48" s="138" t="n"/>
      <c r="J48" s="137" t="n"/>
      <c r="K48" s="138" t="n"/>
      <c r="L48" s="137" t="n"/>
      <c r="M48" s="138" t="n"/>
      <c r="N48" s="137" t="n"/>
      <c r="O48" s="138" t="n"/>
      <c r="P48" s="137" t="n"/>
      <c r="Q48" s="138" t="n"/>
      <c r="R48" s="137" t="n"/>
      <c r="S48" s="138" t="n"/>
      <c r="T48" s="137" t="n"/>
      <c r="U48" s="138" t="n"/>
      <c r="V48" s="137" t="n"/>
      <c r="W48" s="138" t="n"/>
      <c r="X48" s="137" t="n"/>
      <c r="Y48" s="138" t="n"/>
      <c r="Z48" s="137" t="n"/>
      <c r="AA48" s="138" t="n"/>
    </row>
    <row r="49">
      <c r="A49" s="134">
        <f>IF(Roster!$C$49="","",IF(Roster!$B$49="","#"&amp;44,Roster!$B$49&amp;""))</f>
        <v/>
      </c>
      <c r="B49" s="135">
        <f>IF(Roster!$C$49="","",Roster!$C$49)</f>
        <v/>
      </c>
      <c r="C49" s="136" t="n"/>
      <c r="D49" s="137" t="n"/>
      <c r="E49" s="138" t="n"/>
      <c r="F49" s="137" t="n"/>
      <c r="G49" s="138" t="n"/>
      <c r="H49" s="137" t="n"/>
      <c r="I49" s="138" t="n"/>
      <c r="J49" s="137" t="n"/>
      <c r="K49" s="138" t="n"/>
      <c r="L49" s="137" t="n"/>
      <c r="M49" s="138" t="n"/>
      <c r="N49" s="137" t="n"/>
      <c r="O49" s="138" t="n"/>
      <c r="P49" s="137" t="n"/>
      <c r="Q49" s="138" t="n"/>
      <c r="R49" s="137" t="n"/>
      <c r="S49" s="138" t="n"/>
      <c r="T49" s="137" t="n"/>
      <c r="U49" s="138" t="n"/>
      <c r="V49" s="137" t="n"/>
      <c r="W49" s="138" t="n"/>
      <c r="X49" s="137" t="n"/>
      <c r="Y49" s="138" t="n"/>
      <c r="Z49" s="137" t="n"/>
      <c r="AA49" s="138" t="n"/>
    </row>
    <row r="50">
      <c r="A50" s="134">
        <f>IF(Roster!$C$50="","",IF(Roster!$B$50="","#"&amp;45,Roster!$B$50&amp;""))</f>
        <v/>
      </c>
      <c r="B50" s="135">
        <f>IF(Roster!$C$50="","",Roster!$C$50)</f>
        <v/>
      </c>
      <c r="C50" s="136" t="n"/>
      <c r="D50" s="137" t="n"/>
      <c r="E50" s="138" t="n"/>
      <c r="F50" s="137" t="n"/>
      <c r="G50" s="138" t="n"/>
      <c r="H50" s="137" t="n"/>
      <c r="I50" s="138" t="n"/>
      <c r="J50" s="137" t="n"/>
      <c r="K50" s="138" t="n"/>
      <c r="L50" s="137" t="n"/>
      <c r="M50" s="138" t="n"/>
      <c r="N50" s="137" t="n"/>
      <c r="O50" s="138" t="n"/>
      <c r="P50" s="137" t="n"/>
      <c r="Q50" s="138" t="n"/>
      <c r="R50" s="137" t="n"/>
      <c r="S50" s="138" t="n"/>
      <c r="T50" s="137" t="n"/>
      <c r="U50" s="138" t="n"/>
      <c r="V50" s="137" t="n"/>
      <c r="W50" s="138" t="n"/>
      <c r="X50" s="137" t="n"/>
      <c r="Y50" s="138" t="n"/>
      <c r="Z50" s="137" t="n"/>
      <c r="AA50" s="138" t="n"/>
    </row>
    <row r="51">
      <c r="A51" s="139">
        <f>IF(Roster!$C$51="","",IF(Roster!$B$51="","#"&amp;46,Roster!$B$51&amp;""))</f>
        <v/>
      </c>
      <c r="B51" s="140">
        <f>IF(Roster!$C$51="","",Roster!$C$51)</f>
        <v/>
      </c>
      <c r="C51" s="136" t="n"/>
      <c r="D51" s="137" t="n">
        <v>46254</v>
      </c>
      <c r="E51" s="138" t="n"/>
      <c r="F51" s="137" t="n"/>
      <c r="G51" s="138" t="n"/>
      <c r="H51" s="137" t="n"/>
      <c r="I51" s="138" t="n"/>
      <c r="J51" s="137" t="n"/>
      <c r="K51" s="138" t="n"/>
      <c r="L51" s="137" t="n"/>
      <c r="M51" s="138" t="n"/>
      <c r="N51" s="137" t="n"/>
      <c r="O51" s="138" t="n"/>
      <c r="P51" s="137" t="n"/>
      <c r="Q51" s="138" t="n"/>
      <c r="R51" s="137" t="n"/>
      <c r="S51" s="138" t="n"/>
      <c r="T51" s="137" t="n"/>
      <c r="U51" s="138" t="n"/>
      <c r="V51" s="137" t="n"/>
      <c r="W51" s="138" t="n"/>
      <c r="X51" s="137" t="n"/>
      <c r="Y51" s="138" t="n"/>
      <c r="Z51" s="137" t="n"/>
      <c r="AA51" s="138" t="n"/>
    </row>
    <row r="52">
      <c r="A52" s="139">
        <f>IF(Roster!$C$52="","",IF(Roster!$B$52="","#"&amp;47,Roster!$B$52&amp;""))</f>
        <v/>
      </c>
      <c r="B52" s="140">
        <f>IF(Roster!$C$52="","",Roster!$C$52)</f>
        <v/>
      </c>
      <c r="C52" s="136" t="n"/>
      <c r="D52" s="137" t="n">
        <v>46290</v>
      </c>
      <c r="E52" s="138" t="n"/>
      <c r="F52" s="137" t="n">
        <v>46210</v>
      </c>
      <c r="G52" s="138" t="n"/>
      <c r="H52" s="137" t="n"/>
      <c r="I52" s="138" t="n"/>
      <c r="J52" s="137" t="n"/>
      <c r="K52" s="138" t="n"/>
      <c r="L52" s="137" t="n"/>
      <c r="M52" s="138" t="n"/>
      <c r="N52" s="137" t="n"/>
      <c r="O52" s="138" t="n"/>
      <c r="P52" s="137" t="n"/>
      <c r="Q52" s="138" t="n"/>
      <c r="R52" s="137" t="n"/>
      <c r="S52" s="138" t="n"/>
      <c r="T52" s="137" t="n"/>
      <c r="U52" s="138" t="n"/>
      <c r="V52" s="137" t="n"/>
      <c r="W52" s="138" t="n"/>
      <c r="X52" s="137" t="n"/>
      <c r="Y52" s="138" t="n"/>
      <c r="Z52" s="137" t="n"/>
      <c r="AA52" s="138" t="n"/>
    </row>
    <row r="53">
      <c r="A53" s="139">
        <f>IF(Roster!$C$53="","",IF(Roster!$B$53="","#"&amp;48,Roster!$B$53&amp;""))</f>
        <v/>
      </c>
      <c r="B53" s="140">
        <f>IF(Roster!$C$53="","",Roster!$C$53)</f>
        <v/>
      </c>
      <c r="C53" s="136" t="n"/>
      <c r="D53" s="137" t="n"/>
      <c r="E53" s="138" t="n"/>
      <c r="F53" s="137" t="n"/>
      <c r="G53" s="138" t="n"/>
      <c r="H53" s="137" t="n"/>
      <c r="I53" s="138" t="n"/>
      <c r="J53" s="137" t="n"/>
      <c r="K53" s="138" t="n"/>
      <c r="L53" s="137" t="n"/>
      <c r="M53" s="138" t="n"/>
      <c r="N53" s="137" t="n"/>
      <c r="O53" s="138" t="n"/>
      <c r="P53" s="137" t="n"/>
      <c r="Q53" s="138" t="n"/>
      <c r="R53" s="137" t="n"/>
      <c r="S53" s="138" t="n"/>
      <c r="T53" s="137" t="n"/>
      <c r="U53" s="138" t="n"/>
      <c r="V53" s="137" t="n"/>
      <c r="W53" s="138" t="n"/>
      <c r="X53" s="137" t="n"/>
      <c r="Y53" s="138" t="n"/>
      <c r="Z53" s="137" t="n"/>
      <c r="AA53" s="138" t="n"/>
    </row>
    <row r="54">
      <c r="A54" s="139">
        <f>IF(Roster!$C$54="","",IF(Roster!$B$54="","#"&amp;49,Roster!$B$54&amp;""))</f>
        <v/>
      </c>
      <c r="B54" s="140">
        <f>IF(Roster!$C$54="","",Roster!$C$54)</f>
        <v/>
      </c>
      <c r="C54" s="136" t="n"/>
      <c r="D54" s="137" t="n"/>
      <c r="E54" s="138" t="n"/>
      <c r="F54" s="137" t="n"/>
      <c r="G54" s="138" t="n"/>
      <c r="H54" s="137" t="n"/>
      <c r="I54" s="138" t="n"/>
      <c r="J54" s="137" t="n"/>
      <c r="K54" s="138" t="n"/>
      <c r="L54" s="137" t="n"/>
      <c r="M54" s="138" t="n"/>
      <c r="N54" s="137" t="n"/>
      <c r="O54" s="138" t="n"/>
      <c r="P54" s="137" t="n"/>
      <c r="Q54" s="138" t="n"/>
      <c r="R54" s="137" t="n"/>
      <c r="S54" s="138" t="n"/>
      <c r="T54" s="137" t="n"/>
      <c r="U54" s="138" t="n"/>
      <c r="V54" s="137" t="n"/>
      <c r="W54" s="138" t="n"/>
      <c r="X54" s="137" t="n"/>
      <c r="Y54" s="138" t="n"/>
      <c r="Z54" s="137" t="n"/>
      <c r="AA54" s="138" t="n"/>
    </row>
    <row r="55">
      <c r="A55" s="139">
        <f>IF(Roster!$C$55="","",IF(Roster!$B$55="","#"&amp;50,Roster!$B$55&amp;""))</f>
        <v/>
      </c>
      <c r="B55" s="140">
        <f>IF(Roster!$C$55="","",Roster!$C$55)</f>
        <v/>
      </c>
      <c r="C55" s="136" t="n"/>
      <c r="D55" s="137" t="n"/>
      <c r="E55" s="138" t="n"/>
      <c r="F55" s="137" t="n"/>
      <c r="G55" s="138" t="n"/>
      <c r="H55" s="137" t="n"/>
      <c r="I55" s="138" t="n"/>
      <c r="J55" s="137" t="n"/>
      <c r="K55" s="138" t="n"/>
      <c r="L55" s="137" t="n"/>
      <c r="M55" s="138" t="n"/>
      <c r="N55" s="137" t="n"/>
      <c r="O55" s="138" t="n"/>
      <c r="P55" s="137" t="n"/>
      <c r="Q55" s="138" t="n"/>
      <c r="R55" s="137" t="n"/>
      <c r="S55" s="138" t="n"/>
      <c r="T55" s="137" t="n"/>
      <c r="U55" s="138" t="n"/>
      <c r="V55" s="137" t="n"/>
      <c r="W55" s="138" t="n"/>
      <c r="X55" s="137" t="n"/>
      <c r="Y55" s="138" t="n"/>
      <c r="Z55" s="137" t="n"/>
      <c r="AA55" s="138" t="n"/>
    </row>
    <row r="56">
      <c r="A56" s="139">
        <f>IF(Roster!$C$56="","",IF(Roster!$B$56="","#"&amp;51,Roster!$B$56&amp;""))</f>
        <v/>
      </c>
      <c r="B56" s="140">
        <f>IF(Roster!$C$56="","",Roster!$C$56)</f>
        <v/>
      </c>
      <c r="C56" s="136" t="n"/>
      <c r="D56" s="137" t="n"/>
      <c r="E56" s="138" t="n"/>
      <c r="F56" s="137" t="n"/>
      <c r="G56" s="138" t="n"/>
      <c r="H56" s="137" t="n"/>
      <c r="I56" s="138" t="n"/>
      <c r="J56" s="137" t="n"/>
      <c r="K56" s="138" t="n"/>
      <c r="L56" s="137" t="n"/>
      <c r="M56" s="138" t="n"/>
      <c r="N56" s="137" t="n"/>
      <c r="O56" s="138" t="n"/>
      <c r="P56" s="137" t="n"/>
      <c r="Q56" s="138" t="n"/>
      <c r="R56" s="137" t="n"/>
      <c r="S56" s="138" t="n"/>
      <c r="T56" s="137" t="n"/>
      <c r="U56" s="138" t="n"/>
      <c r="V56" s="137" t="n"/>
      <c r="W56" s="138" t="n"/>
      <c r="X56" s="137" t="n"/>
      <c r="Y56" s="138" t="n"/>
      <c r="Z56" s="137" t="n"/>
      <c r="AA56" s="138" t="n"/>
    </row>
    <row r="57">
      <c r="A57" s="139">
        <f>IF(Roster!$C$57="","",IF(Roster!$B$57="","#"&amp;52,Roster!$B$57&amp;""))</f>
        <v/>
      </c>
      <c r="B57" s="140">
        <f>IF(Roster!$C$57="","",Roster!$C$57)</f>
        <v/>
      </c>
      <c r="C57" s="136" t="n"/>
      <c r="D57" s="137" t="n"/>
      <c r="E57" s="138" t="n"/>
      <c r="F57" s="137" t="n"/>
      <c r="G57" s="138" t="n"/>
      <c r="H57" s="137" t="n"/>
      <c r="I57" s="138" t="n"/>
      <c r="J57" s="137" t="n"/>
      <c r="K57" s="138" t="n"/>
      <c r="L57" s="137" t="n"/>
      <c r="M57" s="138" t="n"/>
      <c r="N57" s="137" t="n"/>
      <c r="O57" s="138" t="n"/>
      <c r="P57" s="137" t="n"/>
      <c r="Q57" s="138" t="n"/>
      <c r="R57" s="137" t="n"/>
      <c r="S57" s="138" t="n"/>
      <c r="T57" s="137" t="n"/>
      <c r="U57" s="138" t="n"/>
      <c r="V57" s="137" t="n"/>
      <c r="W57" s="138" t="n"/>
      <c r="X57" s="137" t="n"/>
      <c r="Y57" s="138" t="n"/>
      <c r="Z57" s="137" t="n"/>
      <c r="AA57" s="138" t="n"/>
    </row>
    <row r="58">
      <c r="A58" s="139">
        <f>IF(Roster!$C$58="","",IF(Roster!$B$58="","#"&amp;53,Roster!$B$58&amp;""))</f>
        <v/>
      </c>
      <c r="B58" s="140">
        <f>IF(Roster!$C$58="","",Roster!$C$58)</f>
        <v/>
      </c>
      <c r="C58" s="136" t="n"/>
      <c r="D58" s="137" t="n"/>
      <c r="E58" s="138" t="n"/>
      <c r="F58" s="137" t="n"/>
      <c r="G58" s="138" t="n"/>
      <c r="H58" s="137" t="n"/>
      <c r="I58" s="138" t="n"/>
      <c r="J58" s="137" t="n"/>
      <c r="K58" s="138" t="n"/>
      <c r="L58" s="137" t="n"/>
      <c r="M58" s="138" t="n"/>
      <c r="N58" s="137" t="n"/>
      <c r="O58" s="138" t="n"/>
      <c r="P58" s="137" t="n"/>
      <c r="Q58" s="138" t="n"/>
      <c r="R58" s="137" t="n"/>
      <c r="S58" s="138" t="n"/>
      <c r="T58" s="137" t="n"/>
      <c r="U58" s="138" t="n"/>
      <c r="V58" s="137" t="n"/>
      <c r="W58" s="138" t="n"/>
      <c r="X58" s="137" t="n"/>
      <c r="Y58" s="138" t="n"/>
      <c r="Z58" s="137" t="n"/>
      <c r="AA58" s="138" t="n"/>
    </row>
    <row r="59">
      <c r="A59" s="139">
        <f>IF(Roster!$C$59="","",IF(Roster!$B$59="","#"&amp;54,Roster!$B$59&amp;""))</f>
        <v/>
      </c>
      <c r="B59" s="140">
        <f>IF(Roster!$C$59="","",Roster!$C$59)</f>
        <v/>
      </c>
      <c r="C59" s="136" t="n"/>
      <c r="D59" s="137" t="n"/>
      <c r="E59" s="138" t="n"/>
      <c r="F59" s="137" t="n"/>
      <c r="G59" s="138" t="n"/>
      <c r="H59" s="137" t="n"/>
      <c r="I59" s="138" t="n"/>
      <c r="J59" s="137" t="n"/>
      <c r="K59" s="138" t="n"/>
      <c r="L59" s="137" t="n"/>
      <c r="M59" s="138" t="n"/>
      <c r="N59" s="137" t="n"/>
      <c r="O59" s="138" t="n"/>
      <c r="P59" s="137" t="n"/>
      <c r="Q59" s="138" t="n"/>
      <c r="R59" s="137" t="n"/>
      <c r="S59" s="138" t="n"/>
      <c r="T59" s="137" t="n"/>
      <c r="U59" s="138" t="n"/>
      <c r="V59" s="137" t="n"/>
      <c r="W59" s="138" t="n"/>
      <c r="X59" s="137" t="n"/>
      <c r="Y59" s="138" t="n"/>
      <c r="Z59" s="137" t="n"/>
      <c r="AA59" s="138" t="n"/>
    </row>
    <row r="60">
      <c r="A60" s="139">
        <f>IF(Roster!$C$60="","",IF(Roster!$B$60="","#"&amp;55,Roster!$B$60&amp;""))</f>
        <v/>
      </c>
      <c r="B60" s="140">
        <f>IF(Roster!$C$60="","",Roster!$C$60)</f>
        <v/>
      </c>
      <c r="C60" s="136" t="n"/>
      <c r="D60" s="137" t="n"/>
      <c r="E60" s="138" t="n"/>
      <c r="F60" s="137" t="n"/>
      <c r="G60" s="138" t="n"/>
      <c r="H60" s="137" t="n"/>
      <c r="I60" s="138" t="n"/>
      <c r="J60" s="137" t="n"/>
      <c r="K60" s="138" t="n"/>
      <c r="L60" s="137" t="n"/>
      <c r="M60" s="138" t="n"/>
      <c r="N60" s="137" t="n"/>
      <c r="O60" s="138" t="n"/>
      <c r="P60" s="137" t="n"/>
      <c r="Q60" s="138" t="n"/>
      <c r="R60" s="137" t="n"/>
      <c r="S60" s="138" t="n"/>
      <c r="T60" s="137" t="n"/>
      <c r="U60" s="138" t="n"/>
      <c r="V60" s="137" t="n"/>
      <c r="W60" s="138" t="n"/>
      <c r="X60" s="137" t="n"/>
      <c r="Y60" s="138" t="n"/>
      <c r="Z60" s="137" t="n"/>
      <c r="AA60" s="138" t="n"/>
    </row>
    <row r="61">
      <c r="A61" s="139">
        <f>IF(Roster!$C$61="","",IF(Roster!$B$61="","#"&amp;56,Roster!$B$61&amp;""))</f>
        <v/>
      </c>
      <c r="B61" s="140">
        <f>IF(Roster!$C$61="","",Roster!$C$61)</f>
        <v/>
      </c>
      <c r="C61" s="136" t="n"/>
      <c r="D61" s="137" t="n"/>
      <c r="E61" s="138" t="n"/>
      <c r="F61" s="137" t="n"/>
      <c r="G61" s="138" t="n"/>
      <c r="H61" s="137" t="n"/>
      <c r="I61" s="138" t="n"/>
      <c r="J61" s="137" t="n"/>
      <c r="K61" s="138" t="n"/>
      <c r="L61" s="137" t="n"/>
      <c r="M61" s="138" t="n"/>
      <c r="N61" s="137" t="n"/>
      <c r="O61" s="138" t="n"/>
      <c r="P61" s="137" t="n"/>
      <c r="Q61" s="138" t="n"/>
      <c r="R61" s="137" t="n"/>
      <c r="S61" s="138" t="n"/>
      <c r="T61" s="137" t="n"/>
      <c r="U61" s="138" t="n"/>
      <c r="V61" s="137" t="n"/>
      <c r="W61" s="138" t="n"/>
      <c r="X61" s="137" t="n"/>
      <c r="Y61" s="138" t="n"/>
      <c r="Z61" s="137" t="n"/>
      <c r="AA61" s="138" t="n"/>
    </row>
    <row r="62">
      <c r="A62" s="139">
        <f>IF(Roster!$C$62="","",IF(Roster!$B$62="","#"&amp;57,Roster!$B$62&amp;""))</f>
        <v/>
      </c>
      <c r="B62" s="140">
        <f>IF(Roster!$C$62="","",Roster!$C$62)</f>
        <v/>
      </c>
      <c r="C62" s="136" t="n"/>
      <c r="D62" s="137" t="n"/>
      <c r="E62" s="138" t="n"/>
      <c r="F62" s="137" t="n"/>
      <c r="G62" s="138" t="n"/>
      <c r="H62" s="137" t="n"/>
      <c r="I62" s="138" t="n"/>
      <c r="J62" s="137" t="n"/>
      <c r="K62" s="138" t="n"/>
      <c r="L62" s="137" t="n"/>
      <c r="M62" s="138" t="n"/>
      <c r="N62" s="137" t="n"/>
      <c r="O62" s="138" t="n"/>
      <c r="P62" s="137" t="n"/>
      <c r="Q62" s="138" t="n"/>
      <c r="R62" s="137" t="n"/>
      <c r="S62" s="138" t="n"/>
      <c r="T62" s="137" t="n"/>
      <c r="U62" s="138" t="n"/>
      <c r="V62" s="137" t="n"/>
      <c r="W62" s="138" t="n"/>
      <c r="X62" s="137" t="n"/>
      <c r="Y62" s="138" t="n"/>
      <c r="Z62" s="137" t="n"/>
      <c r="AA62" s="138" t="n"/>
    </row>
    <row r="63">
      <c r="A63" s="139">
        <f>IF(Roster!$C$63="","",IF(Roster!$B$63="","#"&amp;58,Roster!$B$63&amp;""))</f>
        <v/>
      </c>
      <c r="B63" s="140">
        <f>IF(Roster!$C$63="","",Roster!$C$63)</f>
        <v/>
      </c>
      <c r="C63" s="136" t="n"/>
      <c r="D63" s="137" t="n"/>
      <c r="E63" s="138" t="n"/>
      <c r="F63" s="137" t="n"/>
      <c r="G63" s="138" t="n"/>
      <c r="H63" s="137" t="n"/>
      <c r="I63" s="138" t="n"/>
      <c r="J63" s="137" t="n"/>
      <c r="K63" s="138" t="n"/>
      <c r="L63" s="137" t="n"/>
      <c r="M63" s="138" t="n"/>
      <c r="N63" s="137" t="n"/>
      <c r="O63" s="138" t="n"/>
      <c r="P63" s="137" t="n"/>
      <c r="Q63" s="138" t="n"/>
      <c r="R63" s="137" t="n"/>
      <c r="S63" s="138" t="n"/>
      <c r="T63" s="137" t="n"/>
      <c r="U63" s="138" t="n"/>
      <c r="V63" s="137" t="n"/>
      <c r="W63" s="138" t="n"/>
      <c r="X63" s="137" t="n"/>
      <c r="Y63" s="138" t="n"/>
      <c r="Z63" s="137" t="n"/>
      <c r="AA63" s="138" t="n"/>
    </row>
    <row r="64">
      <c r="A64" s="139">
        <f>IF(Roster!$C$64="","",IF(Roster!$B$64="","#"&amp;59,Roster!$B$64&amp;""))</f>
        <v/>
      </c>
      <c r="B64" s="140">
        <f>IF(Roster!$C$64="","",Roster!$C$64)</f>
        <v/>
      </c>
      <c r="C64" s="136" t="n"/>
      <c r="D64" s="137" t="n"/>
      <c r="E64" s="138" t="n"/>
      <c r="F64" s="137" t="n"/>
      <c r="G64" s="138" t="n"/>
      <c r="H64" s="137" t="n"/>
      <c r="I64" s="138" t="n"/>
      <c r="J64" s="137" t="n"/>
      <c r="K64" s="138" t="n"/>
      <c r="L64" s="137" t="n"/>
      <c r="M64" s="138" t="n"/>
      <c r="N64" s="137" t="n"/>
      <c r="O64" s="138" t="n"/>
      <c r="P64" s="137" t="n"/>
      <c r="Q64" s="138" t="n"/>
      <c r="R64" s="137" t="n"/>
      <c r="S64" s="138" t="n"/>
      <c r="T64" s="137" t="n"/>
      <c r="U64" s="138" t="n"/>
      <c r="V64" s="137" t="n"/>
      <c r="W64" s="138" t="n"/>
      <c r="X64" s="137" t="n"/>
      <c r="Y64" s="138" t="n"/>
      <c r="Z64" s="137" t="n"/>
      <c r="AA64" s="138" t="n"/>
    </row>
    <row r="65">
      <c r="A65" s="139">
        <f>IF(Roster!$C$65="","",IF(Roster!$B$65="","#"&amp;60,Roster!$B$65&amp;""))</f>
        <v/>
      </c>
      <c r="B65" s="140">
        <f>IF(Roster!$C$65="","",Roster!$C$65)</f>
        <v/>
      </c>
      <c r="C65" s="136" t="n"/>
      <c r="D65" s="137" t="n"/>
      <c r="E65" s="138" t="n"/>
      <c r="F65" s="137" t="n"/>
      <c r="G65" s="138" t="n"/>
      <c r="H65" s="137" t="n"/>
      <c r="I65" s="138" t="n"/>
      <c r="J65" s="137" t="n"/>
      <c r="K65" s="138" t="n"/>
      <c r="L65" s="137" t="n"/>
      <c r="M65" s="138" t="n"/>
      <c r="N65" s="137" t="n"/>
      <c r="O65" s="138" t="n"/>
      <c r="P65" s="137" t="n"/>
      <c r="Q65" s="138" t="n"/>
      <c r="R65" s="137" t="n"/>
      <c r="S65" s="138" t="n"/>
      <c r="T65" s="137" t="n"/>
      <c r="U65" s="138" t="n"/>
      <c r="V65" s="137" t="n"/>
      <c r="W65" s="138" t="n"/>
      <c r="X65" s="137" t="n"/>
      <c r="Y65" s="138" t="n"/>
      <c r="Z65" s="137" t="n"/>
      <c r="AA65" s="138" t="n"/>
    </row>
  </sheetData>
  <autoFilter ref="A5:AA65">
    <filterColumn colId="0" hiddenButton="0" showButton="1">
      <customFilters>
        <customFilter val=" " operator="notEqual"/>
      </customFilters>
    </filterColumn>
  </autoFilter>
  <mergeCells count="17">
    <mergeCell ref="F4:G4"/>
    <mergeCell ref="P4:Q4"/>
    <mergeCell ref="J4:K4"/>
    <mergeCell ref="V4:W4"/>
    <mergeCell ref="X4:Y4"/>
    <mergeCell ref="B4:B5"/>
    <mergeCell ref="L4:M4"/>
    <mergeCell ref="Z4:AA4"/>
    <mergeCell ref="C4:C5"/>
    <mergeCell ref="A4:A5"/>
    <mergeCell ref="A2:AA2"/>
    <mergeCell ref="D4:E4"/>
    <mergeCell ref="H4:I4"/>
    <mergeCell ref="A1:AA1"/>
    <mergeCell ref="R4:S4"/>
    <mergeCell ref="N4:O4"/>
    <mergeCell ref="T4:U4"/>
  </mergeCells>
  <conditionalFormatting sqref="E6:AA65">
    <cfRule type="expression" priority="1" dxfId="19" stopIfTrue="1">
      <formula>AND(MOD(COLUMN(E6),2)=1,LEFT(E6,6)="LAPSED")</formula>
    </cfRule>
    <cfRule type="expression" priority="2" dxfId="19" stopIfTrue="1">
      <formula>AND(MOD(COLUMN(E6),2)=1,LEFT(E6,9)="NO RECORD")</formula>
    </cfRule>
    <cfRule type="expression" priority="3" dxfId="25" stopIfTrue="1">
      <formula>AND(MOD(COLUMN(E6),2)=1,LEFT(E6,3)="DUE")</formula>
    </cfRule>
    <cfRule type="expression" priority="4" dxfId="21" stopIfTrue="1">
      <formula>AND(MOD(COLUMN(E6),2)=1,LEFT(E6,2)="OK")</formula>
    </cfRule>
  </conditionalFormatting>
  <conditionalFormatting sqref="C6:C65">
    <cfRule type="expression" priority="5" dxfId="26">
      <formula>N(C6)&gt;0</formula>
    </cfRule>
  </conditionalFormatting>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I26"/>
  <sheetViews>
    <sheetView showGridLines="0" tabSelected="0" workbookViewId="0">
      <pane ySplit="5" topLeftCell="A6" activePane="bottomLeft" state="frozen"/>
      <selection pane="bottomLeft" activeCell="A1" sqref="A1"/>
    </sheetView>
  </sheetViews>
  <sheetFormatPr baseColWidth="8" defaultRowHeight="15"/>
  <cols>
    <col width="22" customWidth="1" min="1" max="1"/>
    <col width="13" customWidth="1" min="2" max="2"/>
    <col width="22" customWidth="1" min="3" max="3"/>
    <col width="15" customWidth="1" min="4" max="4"/>
    <col width="22" customWidth="1" min="5" max="5"/>
    <col width="11" customWidth="1" min="6" max="6"/>
    <col width="11" customWidth="1" min="7" max="7"/>
    <col width="11" customWidth="1" min="8" max="8"/>
    <col width="55" customWidth="1" min="9" max="9"/>
  </cols>
  <sheetData>
    <row r="1" ht="30" customHeight="1">
      <c r="A1" s="1" t="inlineStr">
        <is>
          <t>CURRENCY RULES</t>
        </is>
      </c>
      <c r="B1" s="2" t="n"/>
      <c r="C1" s="2" t="n"/>
      <c r="D1" s="2" t="n"/>
      <c r="E1" s="2" t="n"/>
      <c r="F1" s="2" t="n"/>
      <c r="G1" s="2" t="n"/>
      <c r="H1" s="2" t="n"/>
      <c r="I1" s="2" t="n"/>
    </row>
    <row r="2" ht="18" customHeight="1">
      <c r="A2" s="3" t="inlineStr">
        <is>
          <t>One rule per row. A person is flagged when they haven't done enough qualifying flights within the window. Rules apply to pilots and non-pilots alike.</t>
        </is>
      </c>
      <c r="B2" s="2" t="n"/>
      <c r="C2" s="2" t="n"/>
      <c r="D2" s="2" t="n"/>
      <c r="E2" s="2" t="n"/>
      <c r="F2" s="2" t="n"/>
      <c r="G2" s="2" t="n"/>
      <c r="H2" s="2" t="n"/>
      <c r="I2" s="2" t="n"/>
    </row>
    <row r="5">
      <c r="A5" s="31" t="inlineStr">
        <is>
          <t>Rule</t>
        </is>
      </c>
      <c r="B5" s="31" t="inlineStr">
        <is>
          <t>Applies to</t>
        </is>
      </c>
      <c r="C5" s="31" t="inlineStr">
        <is>
          <t>Who</t>
        </is>
      </c>
      <c r="D5" s="31" t="inlineStr">
        <is>
          <t>Counts</t>
        </is>
      </c>
      <c r="E5" s="31" t="inlineStr">
        <is>
          <t>Which</t>
        </is>
      </c>
      <c r="F5" s="31" t="inlineStr">
        <is>
          <t>Within (days)</t>
        </is>
      </c>
      <c r="G5" s="31" t="inlineStr">
        <is>
          <t>At least (flights)</t>
        </is>
      </c>
      <c r="H5" s="31" t="inlineStr">
        <is>
          <t>Warn (days before)</t>
        </is>
      </c>
      <c r="I5" s="31" t="inlineStr">
        <is>
          <t>Notes</t>
        </is>
      </c>
    </row>
    <row r="6" ht="30" customHeight="1">
      <c r="A6" s="141" t="inlineStr">
        <is>
          <t>General flying</t>
        </is>
      </c>
      <c r="B6" s="141" t="inlineStr">
        <is>
          <t>All</t>
        </is>
      </c>
      <c r="C6" s="106" t="n"/>
      <c r="D6" s="141" t="inlineStr">
        <is>
          <t>Any flight</t>
        </is>
      </c>
      <c r="E6" s="106" t="n"/>
      <c r="F6" s="141" t="n">
        <v>45</v>
      </c>
      <c r="G6" s="141" t="n">
        <v>1</v>
      </c>
      <c r="H6" s="141" t="n">
        <v>7</v>
      </c>
      <c r="I6" s="106" t="inlineStr">
        <is>
          <t>Flagged after 45 calendar days without flying</t>
        </is>
      </c>
    </row>
    <row r="7" ht="30" customHeight="1">
      <c r="A7" s="141" t="inlineStr">
        <is>
          <t>Mission currency</t>
        </is>
      </c>
      <c r="B7" s="141" t="inlineStr">
        <is>
          <t>All</t>
        </is>
      </c>
      <c r="C7" s="106" t="n"/>
      <c r="D7" s="141" t="inlineStr">
        <is>
          <t>Mission type</t>
        </is>
      </c>
      <c r="E7" s="106" t="inlineStr">
        <is>
          <t>MSN</t>
        </is>
      </c>
      <c r="F7" s="141" t="n">
        <v>180</v>
      </c>
      <c r="G7" s="141" t="n">
        <v>1</v>
      </c>
      <c r="H7" s="141" t="n">
        <v>14</v>
      </c>
      <c r="I7" s="106" t="inlineStr">
        <is>
          <t>Flagged after 180 days without a mission sortie (Mission Type MSN on Activities)</t>
        </is>
      </c>
    </row>
    <row r="8" ht="30" customHeight="1">
      <c r="A8" s="141" t="inlineStr">
        <is>
          <t>Night flying</t>
        </is>
      </c>
      <c r="B8" s="141" t="inlineStr">
        <is>
          <t>Role</t>
        </is>
      </c>
      <c r="C8" s="106" t="inlineStr">
        <is>
          <t>Instructor</t>
        </is>
      </c>
      <c r="D8" s="141" t="inlineStr">
        <is>
          <t>Mission type</t>
        </is>
      </c>
      <c r="E8" s="106" t="inlineStr">
        <is>
          <t>NIGHT</t>
        </is>
      </c>
      <c r="F8" s="141" t="n">
        <v>90</v>
      </c>
      <c r="G8" s="141" t="n">
        <v>2</v>
      </c>
      <c r="H8" s="141" t="n">
        <v>14</v>
      </c>
      <c r="I8" s="106" t="inlineStr">
        <is>
          <t>Example of a count rule: at least 2 night sorties in 90 days</t>
        </is>
      </c>
    </row>
    <row r="9" ht="30" customHeight="1">
      <c r="A9" s="141" t="n"/>
      <c r="B9" s="141" t="n"/>
      <c r="C9" s="106" t="n"/>
      <c r="D9" s="141" t="n"/>
      <c r="E9" s="106" t="n"/>
      <c r="F9" s="141" t="n"/>
      <c r="G9" s="141" t="n"/>
      <c r="H9" s="141" t="n"/>
      <c r="I9" s="106" t="n"/>
    </row>
    <row r="10" ht="30" customHeight="1">
      <c r="A10" s="141" t="n"/>
      <c r="B10" s="141" t="n"/>
      <c r="C10" s="106" t="n"/>
      <c r="D10" s="141" t="n"/>
      <c r="E10" s="106" t="n"/>
      <c r="F10" s="141" t="n"/>
      <c r="G10" s="141" t="n"/>
      <c r="H10" s="141" t="n"/>
      <c r="I10" s="106" t="n"/>
    </row>
    <row r="11" ht="30" customHeight="1">
      <c r="A11" s="141" t="n"/>
      <c r="B11" s="141" t="n"/>
      <c r="C11" s="106" t="n"/>
      <c r="D11" s="141" t="n"/>
      <c r="E11" s="106" t="n"/>
      <c r="F11" s="141" t="n"/>
      <c r="G11" s="141" t="n"/>
      <c r="H11" s="141" t="n"/>
      <c r="I11" s="106" t="n"/>
    </row>
    <row r="12" ht="30" customHeight="1">
      <c r="A12" s="141" t="n"/>
      <c r="B12" s="141" t="n"/>
      <c r="C12" s="106" t="n"/>
      <c r="D12" s="141" t="n"/>
      <c r="E12" s="106" t="n"/>
      <c r="F12" s="141" t="n"/>
      <c r="G12" s="141" t="n"/>
      <c r="H12" s="141" t="n"/>
      <c r="I12" s="106" t="n"/>
    </row>
    <row r="13" ht="30" customHeight="1">
      <c r="A13" s="141" t="n"/>
      <c r="B13" s="141" t="n"/>
      <c r="C13" s="106" t="n"/>
      <c r="D13" s="141" t="n"/>
      <c r="E13" s="106" t="n"/>
      <c r="F13" s="141" t="n"/>
      <c r="G13" s="141" t="n"/>
      <c r="H13" s="141" t="n"/>
      <c r="I13" s="106" t="n"/>
    </row>
    <row r="14" ht="30" customHeight="1">
      <c r="A14" s="141" t="n"/>
      <c r="B14" s="141" t="n"/>
      <c r="C14" s="106" t="n"/>
      <c r="D14" s="141" t="n"/>
      <c r="E14" s="106" t="n"/>
      <c r="F14" s="141" t="n"/>
      <c r="G14" s="141" t="n"/>
      <c r="H14" s="141" t="n"/>
      <c r="I14" s="106" t="n"/>
    </row>
    <row r="15" ht="30" customHeight="1">
      <c r="A15" s="141" t="n"/>
      <c r="B15" s="141" t="n"/>
      <c r="C15" s="106" t="n"/>
      <c r="D15" s="141" t="n"/>
      <c r="E15" s="106" t="n"/>
      <c r="F15" s="141" t="n"/>
      <c r="G15" s="141" t="n"/>
      <c r="H15" s="141" t="n"/>
      <c r="I15" s="106" t="n"/>
    </row>
    <row r="16" ht="30" customHeight="1">
      <c r="A16" s="141" t="n"/>
      <c r="B16" s="141" t="n"/>
      <c r="C16" s="106" t="n"/>
      <c r="D16" s="141" t="n"/>
      <c r="E16" s="106" t="n"/>
      <c r="F16" s="141" t="n"/>
      <c r="G16" s="141" t="n"/>
      <c r="H16" s="141" t="n"/>
      <c r="I16" s="106" t="n"/>
    </row>
    <row r="17" ht="30" customHeight="1">
      <c r="A17" s="141" t="n"/>
      <c r="B17" s="141" t="n"/>
      <c r="C17" s="106" t="n"/>
      <c r="D17" s="141" t="n"/>
      <c r="E17" s="106" t="n"/>
      <c r="F17" s="141" t="n"/>
      <c r="G17" s="141" t="n"/>
      <c r="H17" s="141" t="n"/>
      <c r="I17" s="106" t="n"/>
    </row>
    <row r="20">
      <c r="A20" s="142" t="inlineStr">
        <is>
          <t>How to write a rule</t>
        </is>
      </c>
    </row>
    <row r="21">
      <c r="A21" s="45" t="inlineStr">
        <is>
          <t>Applies to: All, or Role / Cat Status / Status / Callsigns with the values in Who, comma separated (e.g. Instructor, Senior CAT A  or  VIPER, HAWK).</t>
        </is>
      </c>
    </row>
    <row r="22">
      <c r="A22" s="45" t="inlineStr">
        <is>
          <t>Counts: Any flight (category Flight on Activities), Mission type (Activities column F, e.g. MSN) or Flight codes (e.g. NVG-2.0, MSN-3.0).</t>
        </is>
      </c>
    </row>
    <row r="23">
      <c r="A23" s="45" t="inlineStr">
        <is>
          <t>At least: blank = 1. A 2xFLT code counts as 2 flights.</t>
        </is>
      </c>
    </row>
    <row r="24">
      <c r="A24" s="45" t="inlineStr">
        <is>
          <t>Warn: the person shows amber this many days before the rule lapses.</t>
        </is>
      </c>
    </row>
    <row r="25">
      <c r="A25" s="45" t="inlineStr">
        <is>
          <t>Up to 12 rules. Past dates on the month tabs count as flown; change or clear a cell if the flight was cancelled.</t>
        </is>
      </c>
    </row>
    <row r="26">
      <c r="A26" s="45" t="inlineStr">
        <is>
          <t>Flying before this file starts: enter each person's last date on the Currency sheet.</t>
        </is>
      </c>
    </row>
  </sheetData>
  <mergeCells count="2">
    <mergeCell ref="A1:I1"/>
    <mergeCell ref="A2:I2"/>
  </mergeCells>
  <dataValidations count="4">
    <dataValidation sqref="B6:B17" showDropDown="0" showInputMessage="0" showErrorMessage="0" allowBlank="1" type="list">
      <formula1>"All,Role,Cat Status,Status,Callsigns"</formula1>
    </dataValidation>
    <dataValidation sqref="D6:D17" showDropDown="0" showInputMessage="0" showErrorMessage="0" allowBlank="1" type="list">
      <formula1>"Any flight,Mission type,Flight codes"</formula1>
    </dataValidation>
    <dataValidation sqref="F6:F17" showDropDown="0" showInputMessage="0" showErrorMessage="0" allowBlank="1" type="whole" operator="between">
      <formula1>1</formula1>
      <formula2>3650</formula2>
    </dataValidation>
    <dataValidation sqref="G6:H17" showDropDown="0" showInputMessage="0" showErrorMessage="0" allowBlank="1" type="whole" operator="between">
      <formula1>0</formula1>
      <formula2>99</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6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30" customWidth="1" min="2" max="2"/>
    <col width="15" customWidth="1" min="3" max="3"/>
    <col width="11" customWidth="1" min="4" max="4"/>
    <col width="30" customWidth="1" min="5" max="5"/>
    <col width="13" customWidth="1" min="6" max="6"/>
    <col width="15" customWidth="1" min="7" max="7"/>
    <col width="3" customWidth="1" min="8" max="8"/>
    <col width="15" customWidth="1" min="9" max="9"/>
    <col width="22" customWidth="1" min="10" max="10"/>
    <col width="15" customWidth="1" min="11" max="11"/>
    <col hidden="1" width="13" customWidth="1" min="12" max="12"/>
    <col hidden="1" width="13" customWidth="1" min="13" max="13"/>
    <col hidden="1" width="13" customWidth="1" min="14" max="14"/>
    <col hidden="1" width="13" customWidth="1" min="15" max="15"/>
    <col hidden="1" width="13" customWidth="1" min="16" max="16"/>
  </cols>
  <sheetData>
    <row r="1" ht="30" customHeight="1">
      <c r="A1" s="1" t="inlineStr">
        <is>
          <t>ACTIVITY DROPDOWN CATALOG</t>
        </is>
      </c>
      <c r="B1" s="2" t="n"/>
      <c r="C1" s="2" t="n"/>
      <c r="D1" s="2" t="n"/>
      <c r="E1" s="2" t="n"/>
      <c r="F1" s="2" t="n"/>
      <c r="G1" s="2" t="n"/>
      <c r="H1" s="2" t="n"/>
      <c r="I1" s="2" t="n"/>
      <c r="J1" s="2" t="n"/>
    </row>
    <row r="2" ht="18" customHeight="1">
      <c r="A2" s="3" t="inlineStr">
        <is>
          <t>Flights programme first (category Flight: copied from the Master Planner's Flight Codes in the dashboard), then the ground programme (everything else). Keep codes in one block with no gaps.</t>
        </is>
      </c>
      <c r="B2" s="2" t="n"/>
      <c r="C2" s="2" t="n"/>
      <c r="D2" s="2" t="n"/>
      <c r="E2" s="2" t="n"/>
      <c r="F2" s="2" t="n"/>
      <c r="G2" s="2" t="n"/>
      <c r="H2" s="2" t="n"/>
      <c r="I2" s="2" t="n"/>
      <c r="J2" s="2" t="n"/>
    </row>
    <row r="4">
      <c r="E4" s="30" t="inlineStr">
        <is>
          <t>Blank = 1</t>
        </is>
      </c>
      <c r="F4" s="30" t="inlineStr">
        <is>
          <t>for currency rules</t>
        </is>
      </c>
    </row>
    <row r="5">
      <c r="A5" s="31" t="inlineStr">
        <is>
          <t>Code</t>
        </is>
      </c>
      <c r="B5" s="31" t="inlineStr">
        <is>
          <t>Description</t>
        </is>
      </c>
      <c r="C5" s="31" t="inlineStr">
        <is>
          <t>Category</t>
        </is>
      </c>
      <c r="D5" s="31" t="inlineStr">
        <is>
          <t>Flight Hrs</t>
        </is>
      </c>
      <c r="E5" s="31" t="inlineStr">
        <is>
          <t>Sorties</t>
        </is>
      </c>
      <c r="F5" s="31" t="inlineStr">
        <is>
          <t>Mission Type</t>
        </is>
      </c>
      <c r="G5" s="31" t="inlineStr">
        <is>
          <t>Category</t>
        </is>
      </c>
      <c r="I5" s="31" t="inlineStr">
        <is>
          <t>Public Holiday</t>
        </is>
      </c>
      <c r="J5" s="31" t="inlineStr">
        <is>
          <t>Name</t>
        </is>
      </c>
      <c r="K5" s="31" t="inlineStr">
        <is>
          <t>Syllabus tag</t>
        </is>
      </c>
      <c r="L5" s="31" t="inlineStr">
        <is>
          <t>Sorties (calc)</t>
        </is>
      </c>
      <c r="M5" s="31" t="inlineStr">
        <is>
          <t>Flight #</t>
        </is>
      </c>
      <c r="N5" s="31" t="inlineStr">
        <is>
          <t>Flight list</t>
        </is>
      </c>
      <c r="O5" s="31" t="inlineStr">
        <is>
          <t>WD #</t>
        </is>
      </c>
      <c r="P5" s="31" t="inlineStr">
        <is>
          <t>WD list</t>
        </is>
      </c>
    </row>
    <row r="6">
      <c r="A6" s="95" t="inlineStr">
        <is>
          <t>FLT-1.5</t>
        </is>
      </c>
      <c r="B6" s="95" t="inlineStr">
        <is>
          <t>Routine Sortie (1.5h)</t>
        </is>
      </c>
      <c r="C6" s="95" t="inlineStr">
        <is>
          <t>Flight</t>
        </is>
      </c>
      <c r="D6" s="143" t="n">
        <v>1.5</v>
      </c>
      <c r="E6" s="95" t="n"/>
      <c r="F6" s="95" t="inlineStr">
        <is>
          <t>GEN</t>
        </is>
      </c>
      <c r="G6" s="144" t="inlineStr">
        <is>
          <t>Flight</t>
        </is>
      </c>
      <c r="I6" s="145" t="n">
        <v>46023</v>
      </c>
      <c r="J6" s="95" t="inlineStr">
        <is>
          <t>New Year's Day</t>
        </is>
      </c>
      <c r="K6" s="95" t="n"/>
      <c r="L6">
        <f>IF($A6="","",IF($E6="",1,$E6))</f>
        <v/>
      </c>
      <c r="M6">
        <f>IF(AND($A6&lt;&gt;"",$C6=$G$6),COUNTIFS($A$6:$A6,"&lt;&gt;",$C$6:$C6,$G$6),"")</f>
        <v/>
      </c>
      <c r="N6">
        <f>IFERROR(INDEX($A$6:$A$65,MATCH(1,$M$6:$M$65,0)),"")</f>
        <v/>
      </c>
      <c r="O6">
        <f>IF(AND($A6&lt;&gt;"",OR($C6=Activities!$G$8,$C6=Activities!$G$12)),COUNTIFS($A$6:$A6,"&lt;&gt;",$C$6:$C6,Activities!$G$8)+COUNTIFS($A$6:$A6,"&lt;&gt;",$C$6:$C6,Activities!$G$12),"")</f>
        <v/>
      </c>
      <c r="P6">
        <f>IFERROR(INDEX($A$6:$A$65,MATCH(1,$O$6:$O$65,0)),"")</f>
        <v/>
      </c>
    </row>
    <row r="7">
      <c r="A7" s="95" t="inlineStr">
        <is>
          <t>FLT-2.0</t>
        </is>
      </c>
      <c r="B7" s="95" t="inlineStr">
        <is>
          <t>Standard Sortie (2.0h)</t>
        </is>
      </c>
      <c r="C7" s="95" t="inlineStr">
        <is>
          <t>Flight</t>
        </is>
      </c>
      <c r="D7" s="143" t="n">
        <v>2</v>
      </c>
      <c r="E7" s="95" t="n"/>
      <c r="F7" s="95" t="inlineStr">
        <is>
          <t>GEN</t>
        </is>
      </c>
      <c r="G7" s="146" t="inlineStr">
        <is>
          <t>Sim</t>
        </is>
      </c>
      <c r="I7" s="145" t="n">
        <v>46070</v>
      </c>
      <c r="J7" s="95" t="inlineStr">
        <is>
          <t>Chinese New Year</t>
        </is>
      </c>
      <c r="K7" s="95" t="n"/>
      <c r="L7">
        <f>IF($A7="","",IF($E7="",1,$E7))</f>
        <v/>
      </c>
      <c r="M7">
        <f>IF(AND($A7&lt;&gt;"",$C7=$G$6),COUNTIFS($A$6:$A7,"&lt;&gt;",$C$6:$C7,$G$6),"")</f>
        <v/>
      </c>
      <c r="N7">
        <f>IFERROR(INDEX($A$6:$A$65,MATCH(2,$M$6:$M$65,0)),"")</f>
        <v/>
      </c>
      <c r="O7">
        <f>IF(AND($A7&lt;&gt;"",OR($C7=Activities!$G$8,$C7=Activities!$G$12)),COUNTIFS($A$6:$A7,"&lt;&gt;",$C$6:$C7,Activities!$G$8)+COUNTIFS($A$6:$A7,"&lt;&gt;",$C$6:$C7,Activities!$G$12),"")</f>
        <v/>
      </c>
      <c r="P7">
        <f>IFERROR(INDEX($A$6:$A$65,MATCH(2,$O$6:$O$65,0)),"")</f>
        <v/>
      </c>
    </row>
    <row r="8">
      <c r="A8" s="95" t="inlineStr">
        <is>
          <t>FLT-3.0</t>
        </is>
      </c>
      <c r="B8" s="95" t="inlineStr">
        <is>
          <t>Extended Mission (3.0h)</t>
        </is>
      </c>
      <c r="C8" s="95" t="inlineStr">
        <is>
          <t>Flight</t>
        </is>
      </c>
      <c r="D8" s="143" t="n">
        <v>3</v>
      </c>
      <c r="E8" s="95" t="n"/>
      <c r="F8" s="95" t="inlineStr">
        <is>
          <t>GEN</t>
        </is>
      </c>
      <c r="G8" s="147" t="inlineStr">
        <is>
          <t>Ground Duty</t>
        </is>
      </c>
      <c r="I8" s="145" t="n">
        <v>46071</v>
      </c>
      <c r="J8" s="95" t="inlineStr">
        <is>
          <t>Chinese New Year</t>
        </is>
      </c>
      <c r="K8" s="95" t="n"/>
      <c r="L8">
        <f>IF($A8="","",IF($E8="",1,$E8))</f>
        <v/>
      </c>
      <c r="M8">
        <f>IF(AND($A8&lt;&gt;"",$C8=$G$6),COUNTIFS($A$6:$A8,"&lt;&gt;",$C$6:$C8,$G$6),"")</f>
        <v/>
      </c>
      <c r="N8">
        <f>IFERROR(INDEX($A$6:$A$65,MATCH(3,$M$6:$M$65,0)),"")</f>
        <v/>
      </c>
      <c r="O8">
        <f>IF(AND($A8&lt;&gt;"",OR($C8=Activities!$G$8,$C8=Activities!$G$12)),COUNTIFS($A$6:$A8,"&lt;&gt;",$C$6:$C8,Activities!$G$8)+COUNTIFS($A$6:$A8,"&lt;&gt;",$C$6:$C8,Activities!$G$12),"")</f>
        <v/>
      </c>
      <c r="P8">
        <f>IFERROR(INDEX($A$6:$A$65,MATCH(3,$O$6:$O$65,0)),"")</f>
        <v/>
      </c>
    </row>
    <row r="9">
      <c r="A9" s="95" t="inlineStr">
        <is>
          <t>NVG-2.0</t>
        </is>
      </c>
      <c r="B9" s="95" t="inlineStr">
        <is>
          <t>Night Flying Sortie (2.0h)</t>
        </is>
      </c>
      <c r="C9" s="95" t="inlineStr">
        <is>
          <t>Flight</t>
        </is>
      </c>
      <c r="D9" s="143" t="n">
        <v>2</v>
      </c>
      <c r="E9" s="95" t="n"/>
      <c r="F9" s="95" t="inlineStr">
        <is>
          <t>NIGHT</t>
        </is>
      </c>
      <c r="G9" s="148" t="inlineStr">
        <is>
          <t>Squadron Duty</t>
        </is>
      </c>
      <c r="I9" s="145" t="n">
        <v>46102</v>
      </c>
      <c r="J9" s="95" t="inlineStr">
        <is>
          <t>Hari Raya Puasa</t>
        </is>
      </c>
      <c r="K9" s="95" t="n"/>
      <c r="L9">
        <f>IF($A9="","",IF($E9="",1,$E9))</f>
        <v/>
      </c>
      <c r="M9">
        <f>IF(AND($A9&lt;&gt;"",$C9=$G$6),COUNTIFS($A$6:$A9,"&lt;&gt;",$C$6:$C9,$G$6),"")</f>
        <v/>
      </c>
      <c r="N9">
        <f>IFERROR(INDEX($A$6:$A$65,MATCH(4,$M$6:$M$65,0)),"")</f>
        <v/>
      </c>
      <c r="O9">
        <f>IF(AND($A9&lt;&gt;"",OR($C9=Activities!$G$8,$C9=Activities!$G$12)),COUNTIFS($A$6:$A9,"&lt;&gt;",$C$6:$C9,Activities!$G$8)+COUNTIFS($A$6:$A9,"&lt;&gt;",$C$6:$C9,Activities!$G$12),"")</f>
        <v/>
      </c>
      <c r="P9">
        <f>IFERROR(INDEX($A$6:$A$65,MATCH(4,$O$6:$O$65,0)),"")</f>
        <v/>
      </c>
    </row>
    <row r="10">
      <c r="A10" s="95" t="inlineStr">
        <is>
          <t>2xFLT-1.5</t>
        </is>
      </c>
      <c r="B10" s="95" t="inlineStr">
        <is>
          <t>Two routine sorties in one shift</t>
        </is>
      </c>
      <c r="C10" s="95" t="inlineStr">
        <is>
          <t>Flight</t>
        </is>
      </c>
      <c r="D10" s="143" t="n">
        <v>3</v>
      </c>
      <c r="E10" s="95" t="n">
        <v>2</v>
      </c>
      <c r="F10" s="95" t="inlineStr">
        <is>
          <t>GEN</t>
        </is>
      </c>
      <c r="G10" s="149" t="inlineStr">
        <is>
          <t>Leave</t>
        </is>
      </c>
      <c r="I10" s="145" t="n">
        <v>46115</v>
      </c>
      <c r="J10" s="95" t="inlineStr">
        <is>
          <t>Good Friday</t>
        </is>
      </c>
      <c r="K10" s="95" t="n"/>
      <c r="L10">
        <f>IF($A10="","",IF($E10="",1,$E10))</f>
        <v/>
      </c>
      <c r="M10">
        <f>IF(AND($A10&lt;&gt;"",$C10=$G$6),COUNTIFS($A$6:$A10,"&lt;&gt;",$C$6:$C10,$G$6),"")</f>
        <v/>
      </c>
      <c r="N10">
        <f>IFERROR(INDEX($A$6:$A$65,MATCH(5,$M$6:$M$65,0)),"")</f>
        <v/>
      </c>
      <c r="O10">
        <f>IF(AND($A10&lt;&gt;"",OR($C10=Activities!$G$8,$C10=Activities!$G$12)),COUNTIFS($A$6:$A10,"&lt;&gt;",$C$6:$C10,Activities!$G$8)+COUNTIFS($A$6:$A10,"&lt;&gt;",$C$6:$C10,Activities!$G$12),"")</f>
        <v/>
      </c>
      <c r="P10">
        <f>IFERROR(INDEX($A$6:$A$65,MATCH(5,$O$6:$O$65,0)),"")</f>
        <v/>
      </c>
    </row>
    <row r="11">
      <c r="A11" s="95" t="inlineStr">
        <is>
          <t>2xFLT-2.0</t>
        </is>
      </c>
      <c r="B11" s="95" t="inlineStr">
        <is>
          <t>Two standard sorties in one shift</t>
        </is>
      </c>
      <c r="C11" s="95" t="inlineStr">
        <is>
          <t>Flight</t>
        </is>
      </c>
      <c r="D11" s="143" t="n">
        <v>4</v>
      </c>
      <c r="E11" s="95" t="n">
        <v>2</v>
      </c>
      <c r="F11" s="95" t="inlineStr">
        <is>
          <t>GEN</t>
        </is>
      </c>
      <c r="G11" s="150" t="inlineStr">
        <is>
          <t>Off</t>
        </is>
      </c>
      <c r="I11" s="145" t="n">
        <v>46143</v>
      </c>
      <c r="J11" s="95" t="inlineStr">
        <is>
          <t>Labour Day</t>
        </is>
      </c>
      <c r="K11" s="95" t="n"/>
      <c r="L11">
        <f>IF($A11="","",IF($E11="",1,$E11))</f>
        <v/>
      </c>
      <c r="M11">
        <f>IF(AND($A11&lt;&gt;"",$C11=$G$6),COUNTIFS($A$6:$A11,"&lt;&gt;",$C$6:$C11,$G$6),"")</f>
        <v/>
      </c>
      <c r="N11">
        <f>IFERROR(INDEX($A$6:$A$65,MATCH(6,$M$6:$M$65,0)),"")</f>
        <v/>
      </c>
      <c r="O11">
        <f>IF(AND($A11&lt;&gt;"",OR($C11=Activities!$G$8,$C11=Activities!$G$12)),COUNTIFS($A$6:$A11,"&lt;&gt;",$C$6:$C11,Activities!$G$8)+COUNTIFS($A$6:$A11,"&lt;&gt;",$C$6:$C11,Activities!$G$12),"")</f>
        <v/>
      </c>
      <c r="P11">
        <f>IFERROR(INDEX($A$6:$A$65,MATCH(6,$O$6:$O$65,0)),"")</f>
        <v/>
      </c>
    </row>
    <row r="12">
      <c r="A12" s="95" t="inlineStr">
        <is>
          <t>MSN-3.0</t>
        </is>
      </c>
      <c r="B12" s="95" t="inlineStr">
        <is>
          <t>Mission sortie: Pilot, TACCO, SUP 2 (3.0h)</t>
        </is>
      </c>
      <c r="C12" s="95" t="inlineStr">
        <is>
          <t>Flight</t>
        </is>
      </c>
      <c r="D12" s="143" t="n">
        <v>3</v>
      </c>
      <c r="E12" s="95" t="n"/>
      <c r="F12" s="95" t="inlineStr">
        <is>
          <t>MSN</t>
        </is>
      </c>
      <c r="G12" s="151" t="inlineStr">
        <is>
          <t>Admin</t>
        </is>
      </c>
      <c r="I12" s="145" t="n">
        <v>46169</v>
      </c>
      <c r="J12" s="95" t="inlineStr">
        <is>
          <t>Hari Raya Haji</t>
        </is>
      </c>
      <c r="K12" s="95" t="n"/>
      <c r="L12">
        <f>IF($A12="","",IF($E12="",1,$E12))</f>
        <v/>
      </c>
      <c r="M12">
        <f>IF(AND($A12&lt;&gt;"",$C12=$G$6),COUNTIFS($A$6:$A12,"&lt;&gt;",$C$6:$C12,$G$6),"")</f>
        <v/>
      </c>
      <c r="N12">
        <f>IFERROR(INDEX($A$6:$A$65,MATCH(7,$M$6:$M$65,0)),"")</f>
        <v/>
      </c>
      <c r="O12">
        <f>IF(AND($A12&lt;&gt;"",OR($C12=Activities!$G$8,$C12=Activities!$G$12)),COUNTIFS($A$6:$A12,"&lt;&gt;",$C$6:$C12,Activities!$G$8)+COUNTIFS($A$6:$A12,"&lt;&gt;",$C$6:$C12,Activities!$G$12),"")</f>
        <v/>
      </c>
      <c r="P12">
        <f>IFERROR(INDEX($A$6:$A$65,MATCH(7,$O$6:$O$65,0)),"")</f>
        <v/>
      </c>
    </row>
    <row r="13">
      <c r="A13" s="95" t="inlineStr">
        <is>
          <t>PLT-TRG</t>
        </is>
      </c>
      <c r="B13" s="95" t="inlineStr">
        <is>
          <t>Pilot training sortie (1.5h)</t>
        </is>
      </c>
      <c r="C13" s="95" t="inlineStr">
        <is>
          <t>Flight</t>
        </is>
      </c>
      <c r="D13" s="143" t="n">
        <v>1.5</v>
      </c>
      <c r="E13" s="95" t="n"/>
      <c r="F13" s="95" t="inlineStr">
        <is>
          <t>TRG</t>
        </is>
      </c>
      <c r="G13" s="152" t="inlineStr">
        <is>
          <t>Medical</t>
        </is>
      </c>
      <c r="I13" s="145" t="n">
        <v>46173</v>
      </c>
      <c r="J13" s="95" t="inlineStr">
        <is>
          <t>Vesak Day</t>
        </is>
      </c>
      <c r="K13" s="95" t="n"/>
      <c r="L13">
        <f>IF($A13="","",IF($E13="",1,$E13))</f>
        <v/>
      </c>
      <c r="M13">
        <f>IF(AND($A13&lt;&gt;"",$C13=$G$6),COUNTIFS($A$6:$A13,"&lt;&gt;",$C$6:$C13,$G$6),"")</f>
        <v/>
      </c>
      <c r="N13">
        <f>IFERROR(INDEX($A$6:$A$65,MATCH(8,$M$6:$M$65,0)),"")</f>
        <v/>
      </c>
      <c r="O13">
        <f>IF(AND($A13&lt;&gt;"",OR($C13=Activities!$G$8,$C13=Activities!$G$12)),COUNTIFS($A$6:$A13,"&lt;&gt;",$C$6:$C13,Activities!$G$8)+COUNTIFS($A$6:$A13,"&lt;&gt;",$C$6:$C13,Activities!$G$12),"")</f>
        <v/>
      </c>
      <c r="P13">
        <f>IFERROR(INDEX($A$6:$A$65,MATCH(8,$O$6:$O$65,0)),"")</f>
        <v/>
      </c>
    </row>
    <row r="14">
      <c r="A14" s="95" t="inlineStr">
        <is>
          <t>EIS</t>
        </is>
      </c>
      <c r="B14" s="95" t="inlineStr">
        <is>
          <t>EIS training sortie (2.0h)</t>
        </is>
      </c>
      <c r="C14" s="95" t="inlineStr">
        <is>
          <t>Flight</t>
        </is>
      </c>
      <c r="D14" s="143" t="n">
        <v>2</v>
      </c>
      <c r="E14" s="95" t="n"/>
      <c r="F14" s="95" t="inlineStr">
        <is>
          <t>TRG</t>
        </is>
      </c>
      <c r="G14" s="153" t="inlineStr">
        <is>
          <t>Oversea Duty</t>
        </is>
      </c>
      <c r="I14" s="145" t="n">
        <v>46174</v>
      </c>
      <c r="J14" s="95" t="inlineStr">
        <is>
          <t>Vesak Day (in lieu)</t>
        </is>
      </c>
      <c r="K14" s="95" t="inlineStr">
        <is>
          <t>EIS</t>
        </is>
      </c>
      <c r="L14">
        <f>IF($A14="","",IF($E14="",1,$E14))</f>
        <v/>
      </c>
      <c r="M14">
        <f>IF(AND($A14&lt;&gt;"",$C14=$G$6),COUNTIFS($A$6:$A14,"&lt;&gt;",$C$6:$C14,$G$6),"")</f>
        <v/>
      </c>
      <c r="N14">
        <f>IFERROR(INDEX($A$6:$A$65,MATCH(9,$M$6:$M$65,0)),"")</f>
        <v/>
      </c>
      <c r="O14">
        <f>IF(AND($A14&lt;&gt;"",OR($C14=Activities!$G$8,$C14=Activities!$G$12)),COUNTIFS($A$6:$A14,"&lt;&gt;",$C$6:$C14,Activities!$G$8)+COUNTIFS($A$6:$A14,"&lt;&gt;",$C$6:$C14,Activities!$G$12),"")</f>
        <v/>
      </c>
      <c r="P14">
        <f>IFERROR(INDEX($A$6:$A$65,MATCH(9,$O$6:$O$65,0)),"")</f>
        <v/>
      </c>
    </row>
    <row r="15">
      <c r="A15" s="95" t="inlineStr">
        <is>
          <t>MAS TRG</t>
        </is>
      </c>
      <c r="B15" s="95" t="inlineStr">
        <is>
          <t>MAS tactical training (3.0h)</t>
        </is>
      </c>
      <c r="C15" s="95" t="inlineStr">
        <is>
          <t>Flight</t>
        </is>
      </c>
      <c r="D15" s="143" t="n">
        <v>3</v>
      </c>
      <c r="E15" s="95" t="n"/>
      <c r="F15" s="95" t="inlineStr">
        <is>
          <t>TRG</t>
        </is>
      </c>
      <c r="I15" s="145" t="n">
        <v>46243</v>
      </c>
      <c r="J15" s="95" t="inlineStr">
        <is>
          <t>National Day</t>
        </is>
      </c>
      <c r="K15" s="95" t="inlineStr">
        <is>
          <t>MAS Tact</t>
        </is>
      </c>
      <c r="L15">
        <f>IF($A15="","",IF($E15="",1,$E15))</f>
        <v/>
      </c>
      <c r="M15">
        <f>IF(AND($A15&lt;&gt;"",$C15=$G$6),COUNTIFS($A$6:$A15,"&lt;&gt;",$C$6:$C15,$G$6),"")</f>
        <v/>
      </c>
      <c r="N15">
        <f>IFERROR(INDEX($A$6:$A$65,MATCH(10,$M$6:$M$65,0)),"")</f>
        <v/>
      </c>
      <c r="O15">
        <f>IF(AND($A15&lt;&gt;"",OR($C15=Activities!$G$8,$C15=Activities!$G$12)),COUNTIFS($A$6:$A15,"&lt;&gt;",$C$6:$C15,Activities!$G$8)+COUNTIFS($A$6:$A15,"&lt;&gt;",$C$6:$C15,Activities!$G$12),"")</f>
        <v/>
      </c>
      <c r="P15">
        <f>IFERROR(INDEX($A$6:$A$65,MATCH(10,$O$6:$O$65,0)),"")</f>
        <v/>
      </c>
    </row>
    <row r="16">
      <c r="A16" s="95" t="inlineStr">
        <is>
          <t>SIM</t>
        </is>
      </c>
      <c r="B16" s="95" t="inlineStr">
        <is>
          <t>Simulator Training</t>
        </is>
      </c>
      <c r="C16" s="95" t="inlineStr">
        <is>
          <t>Sim</t>
        </is>
      </c>
      <c r="D16" s="143" t="n">
        <v>0</v>
      </c>
      <c r="E16" s="95" t="n"/>
      <c r="F16" s="95" t="n"/>
      <c r="G16" s="30" t="inlineStr">
        <is>
          <t>You can rename these; don't add more.</t>
        </is>
      </c>
      <c r="I16" s="145" t="n">
        <v>46244</v>
      </c>
      <c r="J16" s="95" t="inlineStr">
        <is>
          <t>National Day (in lieu)</t>
        </is>
      </c>
      <c r="K16" s="95" t="n"/>
      <c r="L16">
        <f>IF($A16="","",IF($E16="",1,$E16))</f>
        <v/>
      </c>
      <c r="M16">
        <f>IF(AND($A16&lt;&gt;"",$C16=$G$6),COUNTIFS($A$6:$A16,"&lt;&gt;",$C$6:$C16,$G$6),"")</f>
        <v/>
      </c>
      <c r="N16">
        <f>IFERROR(INDEX($A$6:$A$65,MATCH(11,$M$6:$M$65,0)),"")</f>
        <v/>
      </c>
      <c r="O16">
        <f>IF(AND($A16&lt;&gt;"",OR($C16=Activities!$G$8,$C16=Activities!$G$12)),COUNTIFS($A$6:$A16,"&lt;&gt;",$C$6:$C16,Activities!$G$8)+COUNTIFS($A$6:$A16,"&lt;&gt;",$C$6:$C16,Activities!$G$12),"")</f>
        <v/>
      </c>
      <c r="P16">
        <f>IFERROR(INDEX($A$6:$A$65,MATCH(11,$O$6:$O$65,0)),"")</f>
        <v/>
      </c>
    </row>
    <row r="17">
      <c r="A17" s="95" t="inlineStr">
        <is>
          <t>SIMCEN</t>
        </is>
      </c>
      <c r="B17" s="95" t="inlineStr">
        <is>
          <t>Simulator Training (SIMCEN)</t>
        </is>
      </c>
      <c r="C17" s="95" t="inlineStr">
        <is>
          <t>Sim</t>
        </is>
      </c>
      <c r="D17" s="143" t="n">
        <v>0</v>
      </c>
      <c r="E17" s="95" t="n"/>
      <c r="F17" s="95" t="n"/>
      <c r="I17" s="145" t="n">
        <v>46334</v>
      </c>
      <c r="J17" s="95" t="inlineStr">
        <is>
          <t>Deepavali</t>
        </is>
      </c>
      <c r="K17" s="95" t="n"/>
      <c r="L17">
        <f>IF($A17="","",IF($E17="",1,$E17))</f>
        <v/>
      </c>
      <c r="M17">
        <f>IF(AND($A17&lt;&gt;"",$C17=$G$6),COUNTIFS($A$6:$A17,"&lt;&gt;",$C$6:$C17,$G$6),"")</f>
        <v/>
      </c>
      <c r="N17">
        <f>IFERROR(INDEX($A$6:$A$65,MATCH(12,$M$6:$M$65,0)),"")</f>
        <v/>
      </c>
      <c r="O17">
        <f>IF(AND($A17&lt;&gt;"",OR($C17=Activities!$G$8,$C17=Activities!$G$12)),COUNTIFS($A$6:$A17,"&lt;&gt;",$C$6:$C17,Activities!$G$8)+COUNTIFS($A$6:$A17,"&lt;&gt;",$C$6:$C17,Activities!$G$12),"")</f>
        <v/>
      </c>
      <c r="P17">
        <f>IFERROR(INDEX($A$6:$A$65,MATCH(12,$O$6:$O$65,0)),"")</f>
        <v/>
      </c>
    </row>
    <row r="18">
      <c r="A18" s="95" t="inlineStr">
        <is>
          <t>BU</t>
        </is>
      </c>
      <c r="B18" s="95" t="inlineStr">
        <is>
          <t>Quick Reaction Standby</t>
        </is>
      </c>
      <c r="C18" s="95" t="inlineStr">
        <is>
          <t>Ground Duty</t>
        </is>
      </c>
      <c r="D18" s="143" t="n">
        <v>0</v>
      </c>
      <c r="E18" s="95" t="n"/>
      <c r="F18" s="95" t="n"/>
      <c r="I18" s="145" t="n">
        <v>46335</v>
      </c>
      <c r="J18" s="95" t="inlineStr">
        <is>
          <t>Deepavali (in lieu)</t>
        </is>
      </c>
      <c r="K18" s="95" t="n"/>
      <c r="L18">
        <f>IF($A18="","",IF($E18="",1,$E18))</f>
        <v/>
      </c>
      <c r="M18">
        <f>IF(AND($A18&lt;&gt;"",$C18=$G$6),COUNTIFS($A$6:$A18,"&lt;&gt;",$C$6:$C18,$G$6),"")</f>
        <v/>
      </c>
      <c r="N18">
        <f>IFERROR(INDEX($A$6:$A$65,MATCH(13,$M$6:$M$65,0)),"")</f>
        <v/>
      </c>
      <c r="O18">
        <f>IF(AND($A18&lt;&gt;"",OR($C18=Activities!$G$8,$C18=Activities!$G$12)),COUNTIFS($A$6:$A18,"&lt;&gt;",$C$6:$C18,Activities!$G$8)+COUNTIFS($A$6:$A18,"&lt;&gt;",$C$6:$C18,Activities!$G$12),"")</f>
        <v/>
      </c>
      <c r="P18">
        <f>IFERROR(INDEX($A$6:$A$65,MATCH(13,$O$6:$O$65,0)),"")</f>
        <v/>
      </c>
    </row>
    <row r="19">
      <c r="A19" s="95" t="inlineStr">
        <is>
          <t>P1</t>
        </is>
      </c>
      <c r="B19" s="95" t="inlineStr">
        <is>
          <t>P1 Crew</t>
        </is>
      </c>
      <c r="C19" s="95" t="inlineStr">
        <is>
          <t>Ground Duty</t>
        </is>
      </c>
      <c r="D19" s="143" t="n">
        <v>0</v>
      </c>
      <c r="E19" s="95" t="n"/>
      <c r="F19" s="95" t="n"/>
      <c r="I19" s="145" t="n">
        <v>46381</v>
      </c>
      <c r="J19" s="95" t="inlineStr">
        <is>
          <t>Christmas Day</t>
        </is>
      </c>
      <c r="K19" s="95" t="n"/>
      <c r="L19">
        <f>IF($A19="","",IF($E19="",1,$E19))</f>
        <v/>
      </c>
      <c r="M19">
        <f>IF(AND($A19&lt;&gt;"",$C19=$G$6),COUNTIFS($A$6:$A19,"&lt;&gt;",$C$6:$C19,$G$6),"")</f>
        <v/>
      </c>
      <c r="N19">
        <f>IFERROR(INDEX($A$6:$A$65,MATCH(14,$M$6:$M$65,0)),"")</f>
        <v/>
      </c>
      <c r="O19">
        <f>IF(AND($A19&lt;&gt;"",OR($C19=Activities!$G$8,$C19=Activities!$G$12)),COUNTIFS($A$6:$A19,"&lt;&gt;",$C$6:$C19,Activities!$G$8)+COUNTIFS($A$6:$A19,"&lt;&gt;",$C$6:$C19,Activities!$G$12),"")</f>
        <v/>
      </c>
      <c r="P19">
        <f>IFERROR(INDEX($A$6:$A$65,MATCH(14,$O$6:$O$65,0)),"")</f>
        <v/>
      </c>
    </row>
    <row r="20">
      <c r="A20" s="95" t="inlineStr">
        <is>
          <t>P2</t>
        </is>
      </c>
      <c r="B20" s="95" t="inlineStr">
        <is>
          <t>P2 Crew</t>
        </is>
      </c>
      <c r="C20" s="95" t="inlineStr">
        <is>
          <t>Ground Duty</t>
        </is>
      </c>
      <c r="D20" s="143" t="n">
        <v>0</v>
      </c>
      <c r="E20" s="95" t="n"/>
      <c r="F20" s="95" t="n"/>
      <c r="I20" s="145" t="n">
        <v>46388</v>
      </c>
      <c r="J20" s="95" t="inlineStr">
        <is>
          <t>New Year's Day</t>
        </is>
      </c>
      <c r="K20" s="95" t="n"/>
      <c r="L20">
        <f>IF($A20="","",IF($E20="",1,$E20))</f>
        <v/>
      </c>
      <c r="M20">
        <f>IF(AND($A20&lt;&gt;"",$C20=$G$6),COUNTIFS($A$6:$A20,"&lt;&gt;",$C$6:$C20,$G$6),"")</f>
        <v/>
      </c>
      <c r="N20">
        <f>IFERROR(INDEX($A$6:$A$65,MATCH(15,$M$6:$M$65,0)),"")</f>
        <v/>
      </c>
      <c r="O20">
        <f>IF(AND($A20&lt;&gt;"",OR($C20=Activities!$G$8,$C20=Activities!$G$12)),COUNTIFS($A$6:$A20,"&lt;&gt;",$C$6:$C20,Activities!$G$8)+COUNTIFS($A$6:$A20,"&lt;&gt;",$C$6:$C20,Activities!$G$12),"")</f>
        <v/>
      </c>
      <c r="P20">
        <f>IFERROR(INDEX($A$6:$A$65,MATCH(15,$O$6:$O$65,0)),"")</f>
        <v/>
      </c>
    </row>
    <row r="21">
      <c r="A21" s="95" t="inlineStr">
        <is>
          <t>SDO</t>
        </is>
      </c>
      <c r="B21" s="95" t="inlineStr">
        <is>
          <t>Squadron Duty Orderly</t>
        </is>
      </c>
      <c r="C21" s="95" t="inlineStr">
        <is>
          <t>Squadron Duty</t>
        </is>
      </c>
      <c r="D21" s="143" t="n">
        <v>0</v>
      </c>
      <c r="E21" s="95" t="n"/>
      <c r="F21" s="95" t="n"/>
      <c r="I21" s="145" t="n">
        <v>46424</v>
      </c>
      <c r="J21" s="95" t="inlineStr">
        <is>
          <t>Chinese New Year</t>
        </is>
      </c>
      <c r="K21" s="95" t="n"/>
      <c r="L21">
        <f>IF($A21="","",IF($E21="",1,$E21))</f>
        <v/>
      </c>
      <c r="M21">
        <f>IF(AND($A21&lt;&gt;"",$C21=$G$6),COUNTIFS($A$6:$A21,"&lt;&gt;",$C$6:$C21,$G$6),"")</f>
        <v/>
      </c>
      <c r="N21">
        <f>IFERROR(INDEX($A$6:$A$65,MATCH(16,$M$6:$M$65,0)),"")</f>
        <v/>
      </c>
      <c r="O21">
        <f>IF(AND($A21&lt;&gt;"",OR($C21=Activities!$G$8,$C21=Activities!$G$12)),COUNTIFS($A$6:$A21,"&lt;&gt;",$C$6:$C21,Activities!$G$8)+COUNTIFS($A$6:$A21,"&lt;&gt;",$C$6:$C21,Activities!$G$12),"")</f>
        <v/>
      </c>
      <c r="P21">
        <f>IFERROR(INDEX($A$6:$A$65,MATCH(16,$O$6:$O$65,0)),"")</f>
        <v/>
      </c>
    </row>
    <row r="22">
      <c r="A22" s="95" t="inlineStr">
        <is>
          <t>BDO</t>
        </is>
      </c>
      <c r="B22" s="95" t="inlineStr">
        <is>
          <t>Base Duty Officer</t>
        </is>
      </c>
      <c r="C22" s="95" t="inlineStr">
        <is>
          <t>Squadron Duty</t>
        </is>
      </c>
      <c r="D22" s="143" t="n">
        <v>0</v>
      </c>
      <c r="E22" s="95" t="n"/>
      <c r="F22" s="95" t="n"/>
      <c r="I22" s="145" t="n">
        <v>46425</v>
      </c>
      <c r="J22" s="95" t="inlineStr">
        <is>
          <t>Chinese New Year</t>
        </is>
      </c>
      <c r="K22" s="95" t="n"/>
      <c r="L22">
        <f>IF($A22="","",IF($E22="",1,$E22))</f>
        <v/>
      </c>
      <c r="M22">
        <f>IF(AND($A22&lt;&gt;"",$C22=$G$6),COUNTIFS($A$6:$A22,"&lt;&gt;",$C$6:$C22,$G$6),"")</f>
        <v/>
      </c>
      <c r="N22">
        <f>IFERROR(INDEX($A$6:$A$65,MATCH(17,$M$6:$M$65,0)),"")</f>
        <v/>
      </c>
      <c r="O22">
        <f>IF(AND($A22&lt;&gt;"",OR($C22=Activities!$G$8,$C22=Activities!$G$12)),COUNTIFS($A$6:$A22,"&lt;&gt;",$C$6:$C22,Activities!$G$8)+COUNTIFS($A$6:$A22,"&lt;&gt;",$C$6:$C22,Activities!$G$12),"")</f>
        <v/>
      </c>
      <c r="P22">
        <f>IFERROR(INDEX($A$6:$A$65,MATCH(17,$O$6:$O$65,0)),"")</f>
        <v/>
      </c>
    </row>
    <row r="23">
      <c r="A23" s="95" t="inlineStr">
        <is>
          <t>Meeting</t>
        </is>
      </c>
      <c r="B23" s="95" t="inlineStr">
        <is>
          <t>Meeting</t>
        </is>
      </c>
      <c r="C23" s="95" t="inlineStr">
        <is>
          <t>Admin</t>
        </is>
      </c>
      <c r="D23" s="143" t="n">
        <v>0</v>
      </c>
      <c r="E23" s="95" t="n"/>
      <c r="F23" s="95" t="n"/>
      <c r="I23" s="145" t="n">
        <v>46426</v>
      </c>
      <c r="J23" s="95" t="inlineStr">
        <is>
          <t>Chinese New Year (in lieu)</t>
        </is>
      </c>
      <c r="K23" s="95" t="n"/>
      <c r="L23">
        <f>IF($A23="","",IF($E23="",1,$E23))</f>
        <v/>
      </c>
      <c r="M23">
        <f>IF(AND($A23&lt;&gt;"",$C23=$G$6),COUNTIFS($A$6:$A23,"&lt;&gt;",$C$6:$C23,$G$6),"")</f>
        <v/>
      </c>
      <c r="N23">
        <f>IFERROR(INDEX($A$6:$A$65,MATCH(18,$M$6:$M$65,0)),"")</f>
        <v/>
      </c>
      <c r="O23">
        <f>IF(AND($A23&lt;&gt;"",OR($C23=Activities!$G$8,$C23=Activities!$G$12)),COUNTIFS($A$6:$A23,"&lt;&gt;",$C$6:$C23,Activities!$G$8)+COUNTIFS($A$6:$A23,"&lt;&gt;",$C$6:$C23,Activities!$G$12),"")</f>
        <v/>
      </c>
      <c r="P23">
        <f>IFERROR(INDEX($A$6:$A$65,MATCH(18,$O$6:$O$65,0)),"")</f>
        <v/>
      </c>
    </row>
    <row r="24">
      <c r="A24" s="95" t="inlineStr">
        <is>
          <t>Outstation</t>
        </is>
      </c>
      <c r="B24" s="95" t="inlineStr">
        <is>
          <t>Out of office for work purpose</t>
        </is>
      </c>
      <c r="C24" s="95" t="inlineStr">
        <is>
          <t>Admin</t>
        </is>
      </c>
      <c r="D24" s="143" t="n">
        <v>0</v>
      </c>
      <c r="E24" s="95" t="n"/>
      <c r="F24" s="95" t="n"/>
      <c r="I24" s="145" t="n">
        <v>46456</v>
      </c>
      <c r="J24" s="95" t="inlineStr">
        <is>
          <t>Hari Raya Puasa</t>
        </is>
      </c>
      <c r="K24" s="95" t="n"/>
      <c r="L24">
        <f>IF($A24="","",IF($E24="",1,$E24))</f>
        <v/>
      </c>
      <c r="M24">
        <f>IF(AND($A24&lt;&gt;"",$C24=$G$6),COUNTIFS($A$6:$A24,"&lt;&gt;",$C$6:$C24,$G$6),"")</f>
        <v/>
      </c>
      <c r="N24">
        <f>IFERROR(INDEX($A$6:$A$65,MATCH(19,$M$6:$M$65,0)),"")</f>
        <v/>
      </c>
      <c r="O24">
        <f>IF(AND($A24&lt;&gt;"",OR($C24=Activities!$G$8,$C24=Activities!$G$12)),COUNTIFS($A$6:$A24,"&lt;&gt;",$C$6:$C24,Activities!$G$8)+COUNTIFS($A$6:$A24,"&lt;&gt;",$C$6:$C24,Activities!$G$12),"")</f>
        <v/>
      </c>
      <c r="P24">
        <f>IFERROR(INDEX($A$6:$A$65,MATCH(19,$O$6:$O$65,0)),"")</f>
        <v/>
      </c>
    </row>
    <row r="25">
      <c r="A25" s="95" t="inlineStr">
        <is>
          <t>Detachment</t>
        </is>
      </c>
      <c r="B25" s="95" t="inlineStr">
        <is>
          <t>Detachment</t>
        </is>
      </c>
      <c r="C25" s="95" t="inlineStr">
        <is>
          <t>Oversea Duty</t>
        </is>
      </c>
      <c r="D25" s="143" t="n">
        <v>0</v>
      </c>
      <c r="E25" s="95" t="n"/>
      <c r="F25" s="95" t="n"/>
      <c r="I25" s="145" t="n">
        <v>46472</v>
      </c>
      <c r="J25" s="95" t="inlineStr">
        <is>
          <t>Good Friday</t>
        </is>
      </c>
      <c r="K25" s="95" t="n"/>
      <c r="L25">
        <f>IF($A25="","",IF($E25="",1,$E25))</f>
        <v/>
      </c>
      <c r="M25">
        <f>IF(AND($A25&lt;&gt;"",$C25=$G$6),COUNTIFS($A$6:$A25,"&lt;&gt;",$C$6:$C25,$G$6),"")</f>
        <v/>
      </c>
      <c r="N25">
        <f>IFERROR(INDEX($A$6:$A$65,MATCH(20,$M$6:$M$65,0)),"")</f>
        <v/>
      </c>
      <c r="O25">
        <f>IF(AND($A25&lt;&gt;"",OR($C25=Activities!$G$8,$C25=Activities!$G$12)),COUNTIFS($A$6:$A25,"&lt;&gt;",$C$6:$C25,Activities!$G$8)+COUNTIFS($A$6:$A25,"&lt;&gt;",$C$6:$C25,Activities!$G$12),"")</f>
        <v/>
      </c>
      <c r="P25">
        <f>IFERROR(INDEX($A$6:$A$65,MATCH(20,$O$6:$O$65,0)),"")</f>
        <v/>
      </c>
    </row>
    <row r="26">
      <c r="A26" s="95" t="inlineStr">
        <is>
          <t>MC</t>
        </is>
      </c>
      <c r="B26" s="95" t="inlineStr">
        <is>
          <t>Medical Leave</t>
        </is>
      </c>
      <c r="C26" s="95" t="inlineStr">
        <is>
          <t>Medical</t>
        </is>
      </c>
      <c r="D26" s="143" t="n">
        <v>0</v>
      </c>
      <c r="E26" s="95" t="n"/>
      <c r="F26" s="95" t="n"/>
      <c r="I26" s="145" t="n">
        <v>46508</v>
      </c>
      <c r="J26" s="95" t="inlineStr">
        <is>
          <t>Labour Day</t>
        </is>
      </c>
      <c r="K26" s="95" t="n"/>
      <c r="L26">
        <f>IF($A26="","",IF($E26="",1,$E26))</f>
        <v/>
      </c>
      <c r="M26">
        <f>IF(AND($A26&lt;&gt;"",$C26=$G$6),COUNTIFS($A$6:$A26,"&lt;&gt;",$C$6:$C26,$G$6),"")</f>
        <v/>
      </c>
      <c r="N26">
        <f>IFERROR(INDEX($A$6:$A$65,MATCH(21,$M$6:$M$65,0)),"")</f>
        <v/>
      </c>
      <c r="O26">
        <f>IF(AND($A26&lt;&gt;"",OR($C26=Activities!$G$8,$C26=Activities!$G$12)),COUNTIFS($A$6:$A26,"&lt;&gt;",$C$6:$C26,Activities!$G$8)+COUNTIFS($A$6:$A26,"&lt;&gt;",$C$6:$C26,Activities!$G$12),"")</f>
        <v/>
      </c>
      <c r="P26">
        <f>IFERROR(INDEX($A$6:$A$65,MATCH(21,$O$6:$O$65,0)),"")</f>
        <v/>
      </c>
    </row>
    <row r="27">
      <c r="A27" s="95" t="inlineStr">
        <is>
          <t>Medical Appt</t>
        </is>
      </c>
      <c r="B27" s="95" t="inlineStr">
        <is>
          <t>Medical Appointment</t>
        </is>
      </c>
      <c r="C27" s="95" t="inlineStr">
        <is>
          <t>Medical</t>
        </is>
      </c>
      <c r="D27" s="143" t="n">
        <v>0</v>
      </c>
      <c r="E27" s="95" t="n"/>
      <c r="F27" s="95" t="n"/>
      <c r="I27" s="145" t="n">
        <v>46524</v>
      </c>
      <c r="J27" s="95" t="inlineStr">
        <is>
          <t>Hari Raya Haji</t>
        </is>
      </c>
      <c r="K27" s="95" t="n"/>
      <c r="L27">
        <f>IF($A27="","",IF($E27="",1,$E27))</f>
        <v/>
      </c>
      <c r="M27">
        <f>IF(AND($A27&lt;&gt;"",$C27=$G$6),COUNTIFS($A$6:$A27,"&lt;&gt;",$C$6:$C27,$G$6),"")</f>
        <v/>
      </c>
      <c r="N27">
        <f>IFERROR(INDEX($A$6:$A$65,MATCH(22,$M$6:$M$65,0)),"")</f>
        <v/>
      </c>
      <c r="O27">
        <f>IF(AND($A27&lt;&gt;"",OR($C27=Activities!$G$8,$C27=Activities!$G$12)),COUNTIFS($A$6:$A27,"&lt;&gt;",$C$6:$C27,Activities!$G$8)+COUNTIFS($A$6:$A27,"&lt;&gt;",$C$6:$C27,Activities!$G$12),"")</f>
        <v/>
      </c>
      <c r="P27">
        <f>IFERROR(INDEX($A$6:$A$65,MATCH(22,$O$6:$O$65,0)),"")</f>
        <v/>
      </c>
    </row>
    <row r="28">
      <c r="A28" s="95" t="inlineStr">
        <is>
          <t>LL</t>
        </is>
      </c>
      <c r="B28" s="95" t="inlineStr">
        <is>
          <t>Local Leave</t>
        </is>
      </c>
      <c r="C28" s="95" t="inlineStr">
        <is>
          <t>Leave</t>
        </is>
      </c>
      <c r="D28" s="143" t="n">
        <v>0</v>
      </c>
      <c r="E28" s="95" t="n"/>
      <c r="F28" s="95" t="n"/>
      <c r="I28" s="145" t="n">
        <v>46527</v>
      </c>
      <c r="J28" s="95" t="inlineStr">
        <is>
          <t>Vesak Day</t>
        </is>
      </c>
      <c r="K28" s="95" t="n"/>
      <c r="L28">
        <f>IF($A28="","",IF($E28="",1,$E28))</f>
        <v/>
      </c>
      <c r="M28">
        <f>IF(AND($A28&lt;&gt;"",$C28=$G$6),COUNTIFS($A$6:$A28,"&lt;&gt;",$C$6:$C28,$G$6),"")</f>
        <v/>
      </c>
      <c r="N28">
        <f>IFERROR(INDEX($A$6:$A$65,MATCH(23,$M$6:$M$65,0)),"")</f>
        <v/>
      </c>
      <c r="O28">
        <f>IF(AND($A28&lt;&gt;"",OR($C28=Activities!$G$8,$C28=Activities!$G$12)),COUNTIFS($A$6:$A28,"&lt;&gt;",$C$6:$C28,Activities!$G$8)+COUNTIFS($A$6:$A28,"&lt;&gt;",$C$6:$C28,Activities!$G$12),"")</f>
        <v/>
      </c>
      <c r="P28">
        <f>IFERROR(INDEX($A$6:$A$65,MATCH(23,$O$6:$O$65,0)),"")</f>
        <v/>
      </c>
    </row>
    <row r="29">
      <c r="A29" s="95" t="inlineStr">
        <is>
          <t>OL</t>
        </is>
      </c>
      <c r="B29" s="95" t="inlineStr">
        <is>
          <t>Oversea Leave</t>
        </is>
      </c>
      <c r="C29" s="95" t="inlineStr">
        <is>
          <t>Leave</t>
        </is>
      </c>
      <c r="D29" s="143" t="n">
        <v>0</v>
      </c>
      <c r="E29" s="95" t="n"/>
      <c r="F29" s="95" t="n"/>
      <c r="I29" s="145" t="n">
        <v>46608</v>
      </c>
      <c r="J29" s="95" t="inlineStr">
        <is>
          <t>National Day</t>
        </is>
      </c>
      <c r="K29" s="95" t="n"/>
      <c r="L29">
        <f>IF($A29="","",IF($E29="",1,$E29))</f>
        <v/>
      </c>
      <c r="M29">
        <f>IF(AND($A29&lt;&gt;"",$C29=$G$6),COUNTIFS($A$6:$A29,"&lt;&gt;",$C$6:$C29,$G$6),"")</f>
        <v/>
      </c>
      <c r="N29">
        <f>IFERROR(INDEX($A$6:$A$65,MATCH(24,$M$6:$M$65,0)),"")</f>
        <v/>
      </c>
      <c r="O29">
        <f>IF(AND($A29&lt;&gt;"",OR($C29=Activities!$G$8,$C29=Activities!$G$12)),COUNTIFS($A$6:$A29,"&lt;&gt;",$C$6:$C29,Activities!$G$8)+COUNTIFS($A$6:$A29,"&lt;&gt;",$C$6:$C29,Activities!$G$12),"")</f>
        <v/>
      </c>
      <c r="P29">
        <f>IFERROR(INDEX($A$6:$A$65,MATCH(24,$O$6:$O$65,0)),"")</f>
        <v/>
      </c>
    </row>
    <row r="30">
      <c r="A30" s="95" t="inlineStr">
        <is>
          <t>OIL</t>
        </is>
      </c>
      <c r="B30" s="95" t="inlineStr">
        <is>
          <t>OIL</t>
        </is>
      </c>
      <c r="C30" s="95" t="inlineStr">
        <is>
          <t>Off</t>
        </is>
      </c>
      <c r="D30" s="143" t="n">
        <v>0</v>
      </c>
      <c r="E30" s="95" t="n"/>
      <c r="F30" s="95" t="n"/>
      <c r="I30" s="145" t="n">
        <v>46688</v>
      </c>
      <c r="J30" s="95" t="inlineStr">
        <is>
          <t>Deepavali</t>
        </is>
      </c>
      <c r="K30" s="95" t="n"/>
      <c r="L30">
        <f>IF($A30="","",IF($E30="",1,$E30))</f>
        <v/>
      </c>
      <c r="M30">
        <f>IF(AND($A30&lt;&gt;"",$C30=$G$6),COUNTIFS($A$6:$A30,"&lt;&gt;",$C$6:$C30,$G$6),"")</f>
        <v/>
      </c>
      <c r="N30">
        <f>IFERROR(INDEX($A$6:$A$65,MATCH(25,$M$6:$M$65,0)),"")</f>
        <v/>
      </c>
      <c r="O30">
        <f>IF(AND($A30&lt;&gt;"",OR($C30=Activities!$G$8,$C30=Activities!$G$12)),COUNTIFS($A$6:$A30,"&lt;&gt;",$C$6:$C30,Activities!$G$8)+COUNTIFS($A$6:$A30,"&lt;&gt;",$C$6:$C30,Activities!$G$12),"")</f>
        <v/>
      </c>
      <c r="P30">
        <f>IFERROR(INDEX($A$6:$A$65,MATCH(25,$O$6:$O$65,0)),"")</f>
        <v/>
      </c>
    </row>
    <row r="31">
      <c r="A31" s="95" t="n"/>
      <c r="B31" s="95" t="n"/>
      <c r="C31" s="95" t="n"/>
      <c r="D31" s="143" t="n"/>
      <c r="E31" s="95" t="n"/>
      <c r="F31" s="95" t="n"/>
      <c r="I31" s="145" t="n">
        <v>46746</v>
      </c>
      <c r="J31" s="95" t="inlineStr">
        <is>
          <t>Christmas Day</t>
        </is>
      </c>
      <c r="K31" s="95" t="n"/>
      <c r="L31">
        <f>IF($A31="","",IF($E31="",1,$E31))</f>
        <v/>
      </c>
      <c r="M31">
        <f>IF(AND($A31&lt;&gt;"",$C31=$G$6),COUNTIFS($A$6:$A31,"&lt;&gt;",$C$6:$C31,$G$6),"")</f>
        <v/>
      </c>
      <c r="N31">
        <f>IFERROR(INDEX($A$6:$A$65,MATCH(26,$M$6:$M$65,0)),"")</f>
        <v/>
      </c>
      <c r="O31">
        <f>IF(AND($A31&lt;&gt;"",OR($C31=Activities!$G$8,$C31=Activities!$G$12)),COUNTIFS($A$6:$A31,"&lt;&gt;",$C$6:$C31,Activities!$G$8)+COUNTIFS($A$6:$A31,"&lt;&gt;",$C$6:$C31,Activities!$G$12),"")</f>
        <v/>
      </c>
      <c r="P31">
        <f>IFERROR(INDEX($A$6:$A$65,MATCH(26,$O$6:$O$65,0)),"")</f>
        <v/>
      </c>
    </row>
    <row r="32">
      <c r="A32" s="95" t="n"/>
      <c r="B32" s="95" t="n"/>
      <c r="C32" s="95" t="n"/>
      <c r="D32" s="143" t="n"/>
      <c r="E32" s="95" t="n"/>
      <c r="F32" s="95" t="n"/>
      <c r="I32" s="145" t="n"/>
      <c r="J32" s="95" t="n"/>
      <c r="K32" s="95" t="n"/>
      <c r="L32">
        <f>IF($A32="","",IF($E32="",1,$E32))</f>
        <v/>
      </c>
      <c r="M32">
        <f>IF(AND($A32&lt;&gt;"",$C32=$G$6),COUNTIFS($A$6:$A32,"&lt;&gt;",$C$6:$C32,$G$6),"")</f>
        <v/>
      </c>
      <c r="N32">
        <f>IFERROR(INDEX($A$6:$A$65,MATCH(27,$M$6:$M$65,0)),"")</f>
        <v/>
      </c>
      <c r="O32">
        <f>IF(AND($A32&lt;&gt;"",OR($C32=Activities!$G$8,$C32=Activities!$G$12)),COUNTIFS($A$6:$A32,"&lt;&gt;",$C$6:$C32,Activities!$G$8)+COUNTIFS($A$6:$A32,"&lt;&gt;",$C$6:$C32,Activities!$G$12),"")</f>
        <v/>
      </c>
      <c r="P32">
        <f>IFERROR(INDEX($A$6:$A$65,MATCH(27,$O$6:$O$65,0)),"")</f>
        <v/>
      </c>
    </row>
    <row r="33">
      <c r="A33" s="95" t="n"/>
      <c r="B33" s="95" t="n"/>
      <c r="C33" s="95" t="n"/>
      <c r="D33" s="143" t="n"/>
      <c r="E33" s="95" t="n"/>
      <c r="F33" s="95" t="n"/>
      <c r="I33" s="145" t="n"/>
      <c r="J33" s="95" t="n"/>
      <c r="K33" s="95" t="n"/>
      <c r="L33">
        <f>IF($A33="","",IF($E33="",1,$E33))</f>
        <v/>
      </c>
      <c r="M33">
        <f>IF(AND($A33&lt;&gt;"",$C33=$G$6),COUNTIFS($A$6:$A33,"&lt;&gt;",$C$6:$C33,$G$6),"")</f>
        <v/>
      </c>
      <c r="N33">
        <f>IFERROR(INDEX($A$6:$A$65,MATCH(28,$M$6:$M$65,0)),"")</f>
        <v/>
      </c>
      <c r="O33">
        <f>IF(AND($A33&lt;&gt;"",OR($C33=Activities!$G$8,$C33=Activities!$G$12)),COUNTIFS($A$6:$A33,"&lt;&gt;",$C$6:$C33,Activities!$G$8)+COUNTIFS($A$6:$A33,"&lt;&gt;",$C$6:$C33,Activities!$G$12),"")</f>
        <v/>
      </c>
      <c r="P33">
        <f>IFERROR(INDEX($A$6:$A$65,MATCH(28,$O$6:$O$65,0)),"")</f>
        <v/>
      </c>
    </row>
    <row r="34">
      <c r="A34" s="95" t="n"/>
      <c r="B34" s="95" t="n"/>
      <c r="C34" s="95" t="n"/>
      <c r="D34" s="143" t="n"/>
      <c r="E34" s="95" t="n"/>
      <c r="F34" s="95" t="n"/>
      <c r="I34" s="145" t="n"/>
      <c r="J34" s="95" t="n"/>
      <c r="K34" s="95" t="n"/>
      <c r="L34">
        <f>IF($A34="","",IF($E34="",1,$E34))</f>
        <v/>
      </c>
      <c r="M34">
        <f>IF(AND($A34&lt;&gt;"",$C34=$G$6),COUNTIFS($A$6:$A34,"&lt;&gt;",$C$6:$C34,$G$6),"")</f>
        <v/>
      </c>
      <c r="N34">
        <f>IFERROR(INDEX($A$6:$A$65,MATCH(29,$M$6:$M$65,0)),"")</f>
        <v/>
      </c>
      <c r="O34">
        <f>IF(AND($A34&lt;&gt;"",OR($C34=Activities!$G$8,$C34=Activities!$G$12)),COUNTIFS($A$6:$A34,"&lt;&gt;",$C$6:$C34,Activities!$G$8)+COUNTIFS($A$6:$A34,"&lt;&gt;",$C$6:$C34,Activities!$G$12),"")</f>
        <v/>
      </c>
      <c r="P34">
        <f>IFERROR(INDEX($A$6:$A$65,MATCH(29,$O$6:$O$65,0)),"")</f>
        <v/>
      </c>
    </row>
    <row r="35">
      <c r="A35" s="95" t="n"/>
      <c r="B35" s="95" t="n"/>
      <c r="C35" s="95" t="n"/>
      <c r="D35" s="143" t="n"/>
      <c r="E35" s="95" t="n"/>
      <c r="F35" s="95" t="n"/>
      <c r="I35" s="145" t="n"/>
      <c r="J35" s="95" t="n"/>
      <c r="K35" s="95" t="n"/>
      <c r="L35">
        <f>IF($A35="","",IF($E35="",1,$E35))</f>
        <v/>
      </c>
      <c r="M35">
        <f>IF(AND($A35&lt;&gt;"",$C35=$G$6),COUNTIFS($A$6:$A35,"&lt;&gt;",$C$6:$C35,$G$6),"")</f>
        <v/>
      </c>
      <c r="N35">
        <f>IFERROR(INDEX($A$6:$A$65,MATCH(30,$M$6:$M$65,0)),"")</f>
        <v/>
      </c>
      <c r="O35">
        <f>IF(AND($A35&lt;&gt;"",OR($C35=Activities!$G$8,$C35=Activities!$G$12)),COUNTIFS($A$6:$A35,"&lt;&gt;",$C$6:$C35,Activities!$G$8)+COUNTIFS($A$6:$A35,"&lt;&gt;",$C$6:$C35,Activities!$G$12),"")</f>
        <v/>
      </c>
      <c r="P35">
        <f>IFERROR(INDEX($A$6:$A$65,MATCH(30,$O$6:$O$65,0)),"")</f>
        <v/>
      </c>
    </row>
    <row r="36">
      <c r="A36" s="95" t="n"/>
      <c r="B36" s="95" t="n"/>
      <c r="C36" s="95" t="n"/>
      <c r="D36" s="143" t="n"/>
      <c r="E36" s="95" t="n"/>
      <c r="F36" s="95" t="n"/>
      <c r="K36" s="95" t="n"/>
      <c r="L36">
        <f>IF($A36="","",IF($E36="",1,$E36))</f>
        <v/>
      </c>
      <c r="M36">
        <f>IF(AND($A36&lt;&gt;"",$C36=$G$6),COUNTIFS($A$6:$A36,"&lt;&gt;",$C$6:$C36,$G$6),"")</f>
        <v/>
      </c>
      <c r="N36">
        <f>IFERROR(INDEX($A$6:$A$65,MATCH(31,$M$6:$M$65,0)),"")</f>
        <v/>
      </c>
      <c r="O36">
        <f>IF(AND($A36&lt;&gt;"",OR($C36=Activities!$G$8,$C36=Activities!$G$12)),COUNTIFS($A$6:$A36,"&lt;&gt;",$C$6:$C36,Activities!$G$8)+COUNTIFS($A$6:$A36,"&lt;&gt;",$C$6:$C36,Activities!$G$12),"")</f>
        <v/>
      </c>
      <c r="P36">
        <f>IFERROR(INDEX($A$6:$A$65,MATCH(31,$O$6:$O$65,0)),"")</f>
        <v/>
      </c>
    </row>
    <row r="37">
      <c r="A37" s="95" t="n"/>
      <c r="B37" s="95" t="n"/>
      <c r="C37" s="95" t="n"/>
      <c r="D37" s="143" t="n"/>
      <c r="E37" s="95" t="n"/>
      <c r="F37" s="95" t="n"/>
      <c r="K37" s="95" t="n"/>
      <c r="L37">
        <f>IF($A37="","",IF($E37="",1,$E37))</f>
        <v/>
      </c>
      <c r="M37">
        <f>IF(AND($A37&lt;&gt;"",$C37=$G$6),COUNTIFS($A$6:$A37,"&lt;&gt;",$C$6:$C37,$G$6),"")</f>
        <v/>
      </c>
      <c r="N37">
        <f>IFERROR(INDEX($A$6:$A$65,MATCH(32,$M$6:$M$65,0)),"")</f>
        <v/>
      </c>
      <c r="O37">
        <f>IF(AND($A37&lt;&gt;"",OR($C37=Activities!$G$8,$C37=Activities!$G$12)),COUNTIFS($A$6:$A37,"&lt;&gt;",$C$6:$C37,Activities!$G$8)+COUNTIFS($A$6:$A37,"&lt;&gt;",$C$6:$C37,Activities!$G$12),"")</f>
        <v/>
      </c>
      <c r="P37">
        <f>IFERROR(INDEX($A$6:$A$65,MATCH(32,$O$6:$O$65,0)),"")</f>
        <v/>
      </c>
    </row>
    <row r="38">
      <c r="A38" s="95" t="n"/>
      <c r="B38" s="95" t="n"/>
      <c r="C38" s="95" t="n"/>
      <c r="D38" s="143" t="n"/>
      <c r="E38" s="95" t="n"/>
      <c r="F38" s="95" t="n"/>
      <c r="K38" s="95" t="n"/>
      <c r="L38">
        <f>IF($A38="","",IF($E38="",1,$E38))</f>
        <v/>
      </c>
      <c r="M38">
        <f>IF(AND($A38&lt;&gt;"",$C38=$G$6),COUNTIFS($A$6:$A38,"&lt;&gt;",$C$6:$C38,$G$6),"")</f>
        <v/>
      </c>
      <c r="N38">
        <f>IFERROR(INDEX($A$6:$A$65,MATCH(33,$M$6:$M$65,0)),"")</f>
        <v/>
      </c>
      <c r="O38">
        <f>IF(AND($A38&lt;&gt;"",OR($C38=Activities!$G$8,$C38=Activities!$G$12)),COUNTIFS($A$6:$A38,"&lt;&gt;",$C$6:$C38,Activities!$G$8)+COUNTIFS($A$6:$A38,"&lt;&gt;",$C$6:$C38,Activities!$G$12),"")</f>
        <v/>
      </c>
      <c r="P38">
        <f>IFERROR(INDEX($A$6:$A$65,MATCH(33,$O$6:$O$65,0)),"")</f>
        <v/>
      </c>
    </row>
    <row r="39">
      <c r="A39" s="95" t="n"/>
      <c r="B39" s="95" t="n"/>
      <c r="C39" s="95" t="n"/>
      <c r="D39" s="143" t="n"/>
      <c r="E39" s="95" t="n"/>
      <c r="F39" s="95" t="n"/>
      <c r="K39" s="95" t="n"/>
      <c r="L39">
        <f>IF($A39="","",IF($E39="",1,$E39))</f>
        <v/>
      </c>
      <c r="M39">
        <f>IF(AND($A39&lt;&gt;"",$C39=$G$6),COUNTIFS($A$6:$A39,"&lt;&gt;",$C$6:$C39,$G$6),"")</f>
        <v/>
      </c>
      <c r="N39">
        <f>IFERROR(INDEX($A$6:$A$65,MATCH(34,$M$6:$M$65,0)),"")</f>
        <v/>
      </c>
      <c r="O39">
        <f>IF(AND($A39&lt;&gt;"",OR($C39=Activities!$G$8,$C39=Activities!$G$12)),COUNTIFS($A$6:$A39,"&lt;&gt;",$C$6:$C39,Activities!$G$8)+COUNTIFS($A$6:$A39,"&lt;&gt;",$C$6:$C39,Activities!$G$12),"")</f>
        <v/>
      </c>
      <c r="P39">
        <f>IFERROR(INDEX($A$6:$A$65,MATCH(34,$O$6:$O$65,0)),"")</f>
        <v/>
      </c>
    </row>
    <row r="40">
      <c r="A40" s="95" t="n"/>
      <c r="B40" s="95" t="n"/>
      <c r="C40" s="95" t="n"/>
      <c r="D40" s="143" t="n"/>
      <c r="E40" s="95" t="n"/>
      <c r="F40" s="95" t="n"/>
      <c r="K40" s="95" t="n"/>
      <c r="L40">
        <f>IF($A40="","",IF($E40="",1,$E40))</f>
        <v/>
      </c>
      <c r="M40">
        <f>IF(AND($A40&lt;&gt;"",$C40=$G$6),COUNTIFS($A$6:$A40,"&lt;&gt;",$C$6:$C40,$G$6),"")</f>
        <v/>
      </c>
      <c r="N40">
        <f>IFERROR(INDEX($A$6:$A$65,MATCH(35,$M$6:$M$65,0)),"")</f>
        <v/>
      </c>
      <c r="O40">
        <f>IF(AND($A40&lt;&gt;"",OR($C40=Activities!$G$8,$C40=Activities!$G$12)),COUNTIFS($A$6:$A40,"&lt;&gt;",$C$6:$C40,Activities!$G$8)+COUNTIFS($A$6:$A40,"&lt;&gt;",$C$6:$C40,Activities!$G$12),"")</f>
        <v/>
      </c>
      <c r="P40">
        <f>IFERROR(INDEX($A$6:$A$65,MATCH(35,$O$6:$O$65,0)),"")</f>
        <v/>
      </c>
    </row>
    <row r="41">
      <c r="A41" s="95" t="n"/>
      <c r="B41" s="95" t="n"/>
      <c r="C41" s="95" t="n"/>
      <c r="D41" s="143" t="n"/>
      <c r="E41" s="95" t="n"/>
      <c r="F41" s="95" t="n"/>
      <c r="K41" s="95" t="n"/>
      <c r="L41">
        <f>IF($A41="","",IF($E41="",1,$E41))</f>
        <v/>
      </c>
      <c r="M41">
        <f>IF(AND($A41&lt;&gt;"",$C41=$G$6),COUNTIFS($A$6:$A41,"&lt;&gt;",$C$6:$C41,$G$6),"")</f>
        <v/>
      </c>
      <c r="N41">
        <f>IFERROR(INDEX($A$6:$A$65,MATCH(36,$M$6:$M$65,0)),"")</f>
        <v/>
      </c>
      <c r="O41">
        <f>IF(AND($A41&lt;&gt;"",OR($C41=Activities!$G$8,$C41=Activities!$G$12)),COUNTIFS($A$6:$A41,"&lt;&gt;",$C$6:$C41,Activities!$G$8)+COUNTIFS($A$6:$A41,"&lt;&gt;",$C$6:$C41,Activities!$G$12),"")</f>
        <v/>
      </c>
      <c r="P41">
        <f>IFERROR(INDEX($A$6:$A$65,MATCH(36,$O$6:$O$65,0)),"")</f>
        <v/>
      </c>
    </row>
    <row r="42">
      <c r="A42" s="95" t="n"/>
      <c r="B42" s="95" t="n"/>
      <c r="C42" s="95" t="n"/>
      <c r="D42" s="143" t="n"/>
      <c r="E42" s="95" t="n"/>
      <c r="F42" s="95" t="n"/>
      <c r="K42" s="95" t="n"/>
      <c r="L42">
        <f>IF($A42="","",IF($E42="",1,$E42))</f>
        <v/>
      </c>
      <c r="M42">
        <f>IF(AND($A42&lt;&gt;"",$C42=$G$6),COUNTIFS($A$6:$A42,"&lt;&gt;",$C$6:$C42,$G$6),"")</f>
        <v/>
      </c>
      <c r="N42">
        <f>IFERROR(INDEX($A$6:$A$65,MATCH(37,$M$6:$M$65,0)),"")</f>
        <v/>
      </c>
      <c r="O42">
        <f>IF(AND($A42&lt;&gt;"",OR($C42=Activities!$G$8,$C42=Activities!$G$12)),COUNTIFS($A$6:$A42,"&lt;&gt;",$C$6:$C42,Activities!$G$8)+COUNTIFS($A$6:$A42,"&lt;&gt;",$C$6:$C42,Activities!$G$12),"")</f>
        <v/>
      </c>
      <c r="P42">
        <f>IFERROR(INDEX($A$6:$A$65,MATCH(37,$O$6:$O$65,0)),"")</f>
        <v/>
      </c>
    </row>
    <row r="43">
      <c r="A43" s="95" t="n"/>
      <c r="B43" s="95" t="n"/>
      <c r="C43" s="95" t="n"/>
      <c r="D43" s="143" t="n"/>
      <c r="E43" s="95" t="n"/>
      <c r="F43" s="95" t="n"/>
      <c r="K43" s="95" t="n"/>
      <c r="L43">
        <f>IF($A43="","",IF($E43="",1,$E43))</f>
        <v/>
      </c>
      <c r="M43">
        <f>IF(AND($A43&lt;&gt;"",$C43=$G$6),COUNTIFS($A$6:$A43,"&lt;&gt;",$C$6:$C43,$G$6),"")</f>
        <v/>
      </c>
      <c r="N43">
        <f>IFERROR(INDEX($A$6:$A$65,MATCH(38,$M$6:$M$65,0)),"")</f>
        <v/>
      </c>
      <c r="O43">
        <f>IF(AND($A43&lt;&gt;"",OR($C43=Activities!$G$8,$C43=Activities!$G$12)),COUNTIFS($A$6:$A43,"&lt;&gt;",$C$6:$C43,Activities!$G$8)+COUNTIFS($A$6:$A43,"&lt;&gt;",$C$6:$C43,Activities!$G$12),"")</f>
        <v/>
      </c>
      <c r="P43">
        <f>IFERROR(INDEX($A$6:$A$65,MATCH(38,$O$6:$O$65,0)),"")</f>
        <v/>
      </c>
    </row>
    <row r="44">
      <c r="A44" s="95" t="n"/>
      <c r="B44" s="95" t="n"/>
      <c r="C44" s="95" t="n"/>
      <c r="D44" s="143" t="n"/>
      <c r="E44" s="95" t="n"/>
      <c r="F44" s="95" t="n"/>
      <c r="K44" s="95" t="n"/>
      <c r="L44">
        <f>IF($A44="","",IF($E44="",1,$E44))</f>
        <v/>
      </c>
      <c r="M44">
        <f>IF(AND($A44&lt;&gt;"",$C44=$G$6),COUNTIFS($A$6:$A44,"&lt;&gt;",$C$6:$C44,$G$6),"")</f>
        <v/>
      </c>
      <c r="N44">
        <f>IFERROR(INDEX($A$6:$A$65,MATCH(39,$M$6:$M$65,0)),"")</f>
        <v/>
      </c>
      <c r="O44">
        <f>IF(AND($A44&lt;&gt;"",OR($C44=Activities!$G$8,$C44=Activities!$G$12)),COUNTIFS($A$6:$A44,"&lt;&gt;",$C$6:$C44,Activities!$G$8)+COUNTIFS($A$6:$A44,"&lt;&gt;",$C$6:$C44,Activities!$G$12),"")</f>
        <v/>
      </c>
      <c r="P44">
        <f>IFERROR(INDEX($A$6:$A$65,MATCH(39,$O$6:$O$65,0)),"")</f>
        <v/>
      </c>
    </row>
    <row r="45">
      <c r="A45" s="95" t="n"/>
      <c r="B45" s="95" t="n"/>
      <c r="C45" s="95" t="n"/>
      <c r="D45" s="143" t="n"/>
      <c r="E45" s="95" t="n"/>
      <c r="F45" s="95" t="n"/>
      <c r="K45" s="95" t="n"/>
      <c r="L45">
        <f>IF($A45="","",IF($E45="",1,$E45))</f>
        <v/>
      </c>
      <c r="M45">
        <f>IF(AND($A45&lt;&gt;"",$C45=$G$6),COUNTIFS($A$6:$A45,"&lt;&gt;",$C$6:$C45,$G$6),"")</f>
        <v/>
      </c>
      <c r="N45">
        <f>IFERROR(INDEX($A$6:$A$65,MATCH(40,$M$6:$M$65,0)),"")</f>
        <v/>
      </c>
      <c r="O45">
        <f>IF(AND($A45&lt;&gt;"",OR($C45=Activities!$G$8,$C45=Activities!$G$12)),COUNTIFS($A$6:$A45,"&lt;&gt;",$C$6:$C45,Activities!$G$8)+COUNTIFS($A$6:$A45,"&lt;&gt;",$C$6:$C45,Activities!$G$12),"")</f>
        <v/>
      </c>
      <c r="P45">
        <f>IFERROR(INDEX($A$6:$A$65,MATCH(40,$O$6:$O$65,0)),"")</f>
        <v/>
      </c>
    </row>
    <row r="46">
      <c r="A46" s="95" t="n"/>
      <c r="B46" s="95" t="n"/>
      <c r="C46" s="95" t="n"/>
      <c r="D46" s="143" t="n"/>
      <c r="E46" s="95" t="n"/>
      <c r="F46" s="95" t="n"/>
      <c r="K46" s="95" t="n"/>
      <c r="L46">
        <f>IF($A46="","",IF($E46="",1,$E46))</f>
        <v/>
      </c>
      <c r="M46">
        <f>IF(AND($A46&lt;&gt;"",$C46=$G$6),COUNTIFS($A$6:$A46,"&lt;&gt;",$C$6:$C46,$G$6),"")</f>
        <v/>
      </c>
      <c r="N46">
        <f>IFERROR(INDEX($A$6:$A$65,MATCH(41,$M$6:$M$65,0)),"")</f>
        <v/>
      </c>
      <c r="O46">
        <f>IF(AND($A46&lt;&gt;"",OR($C46=Activities!$G$8,$C46=Activities!$G$12)),COUNTIFS($A$6:$A46,"&lt;&gt;",$C$6:$C46,Activities!$G$8)+COUNTIFS($A$6:$A46,"&lt;&gt;",$C$6:$C46,Activities!$G$12),"")</f>
        <v/>
      </c>
      <c r="P46">
        <f>IFERROR(INDEX($A$6:$A$65,MATCH(41,$O$6:$O$65,0)),"")</f>
        <v/>
      </c>
    </row>
    <row r="47">
      <c r="A47" s="95" t="n"/>
      <c r="B47" s="95" t="n"/>
      <c r="C47" s="95" t="n"/>
      <c r="D47" s="143" t="n"/>
      <c r="E47" s="95" t="n"/>
      <c r="F47" s="95" t="n"/>
      <c r="K47" s="95" t="n"/>
      <c r="L47">
        <f>IF($A47="","",IF($E47="",1,$E47))</f>
        <v/>
      </c>
      <c r="M47">
        <f>IF(AND($A47&lt;&gt;"",$C47=$G$6),COUNTIFS($A$6:$A47,"&lt;&gt;",$C$6:$C47,$G$6),"")</f>
        <v/>
      </c>
      <c r="N47">
        <f>IFERROR(INDEX($A$6:$A$65,MATCH(42,$M$6:$M$65,0)),"")</f>
        <v/>
      </c>
      <c r="O47">
        <f>IF(AND($A47&lt;&gt;"",OR($C47=Activities!$G$8,$C47=Activities!$G$12)),COUNTIFS($A$6:$A47,"&lt;&gt;",$C$6:$C47,Activities!$G$8)+COUNTIFS($A$6:$A47,"&lt;&gt;",$C$6:$C47,Activities!$G$12),"")</f>
        <v/>
      </c>
      <c r="P47">
        <f>IFERROR(INDEX($A$6:$A$65,MATCH(42,$O$6:$O$65,0)),"")</f>
        <v/>
      </c>
    </row>
    <row r="48">
      <c r="A48" s="95" t="n"/>
      <c r="B48" s="95" t="n"/>
      <c r="C48" s="95" t="n"/>
      <c r="D48" s="143" t="n"/>
      <c r="E48" s="95" t="n"/>
      <c r="F48" s="95" t="n"/>
      <c r="K48" s="95" t="n"/>
      <c r="L48">
        <f>IF($A48="","",IF($E48="",1,$E48))</f>
        <v/>
      </c>
      <c r="M48">
        <f>IF(AND($A48&lt;&gt;"",$C48=$G$6),COUNTIFS($A$6:$A48,"&lt;&gt;",$C$6:$C48,$G$6),"")</f>
        <v/>
      </c>
      <c r="N48">
        <f>IFERROR(INDEX($A$6:$A$65,MATCH(43,$M$6:$M$65,0)),"")</f>
        <v/>
      </c>
      <c r="O48">
        <f>IF(AND($A48&lt;&gt;"",OR($C48=Activities!$G$8,$C48=Activities!$G$12)),COUNTIFS($A$6:$A48,"&lt;&gt;",$C$6:$C48,Activities!$G$8)+COUNTIFS($A$6:$A48,"&lt;&gt;",$C$6:$C48,Activities!$G$12),"")</f>
        <v/>
      </c>
      <c r="P48">
        <f>IFERROR(INDEX($A$6:$A$65,MATCH(43,$O$6:$O$65,0)),"")</f>
        <v/>
      </c>
    </row>
    <row r="49">
      <c r="A49" s="95" t="n"/>
      <c r="B49" s="95" t="n"/>
      <c r="C49" s="95" t="n"/>
      <c r="D49" s="143" t="n"/>
      <c r="E49" s="95" t="n"/>
      <c r="F49" s="95" t="n"/>
      <c r="K49" s="95" t="n"/>
      <c r="L49">
        <f>IF($A49="","",IF($E49="",1,$E49))</f>
        <v/>
      </c>
      <c r="M49">
        <f>IF(AND($A49&lt;&gt;"",$C49=$G$6),COUNTIFS($A$6:$A49,"&lt;&gt;",$C$6:$C49,$G$6),"")</f>
        <v/>
      </c>
      <c r="N49">
        <f>IFERROR(INDEX($A$6:$A$65,MATCH(44,$M$6:$M$65,0)),"")</f>
        <v/>
      </c>
      <c r="O49">
        <f>IF(AND($A49&lt;&gt;"",OR($C49=Activities!$G$8,$C49=Activities!$G$12)),COUNTIFS($A$6:$A49,"&lt;&gt;",$C$6:$C49,Activities!$G$8)+COUNTIFS($A$6:$A49,"&lt;&gt;",$C$6:$C49,Activities!$G$12),"")</f>
        <v/>
      </c>
      <c r="P49">
        <f>IFERROR(INDEX($A$6:$A$65,MATCH(44,$O$6:$O$65,0)),"")</f>
        <v/>
      </c>
    </row>
    <row r="50">
      <c r="A50" s="95" t="n"/>
      <c r="B50" s="95" t="n"/>
      <c r="C50" s="95" t="n"/>
      <c r="D50" s="143" t="n"/>
      <c r="E50" s="95" t="n"/>
      <c r="F50" s="95" t="n"/>
      <c r="K50" s="95" t="n"/>
      <c r="L50">
        <f>IF($A50="","",IF($E50="",1,$E50))</f>
        <v/>
      </c>
      <c r="M50">
        <f>IF(AND($A50&lt;&gt;"",$C50=$G$6),COUNTIFS($A$6:$A50,"&lt;&gt;",$C$6:$C50,$G$6),"")</f>
        <v/>
      </c>
      <c r="N50">
        <f>IFERROR(INDEX($A$6:$A$65,MATCH(45,$M$6:$M$65,0)),"")</f>
        <v/>
      </c>
      <c r="O50">
        <f>IF(AND($A50&lt;&gt;"",OR($C50=Activities!$G$8,$C50=Activities!$G$12)),COUNTIFS($A$6:$A50,"&lt;&gt;",$C$6:$C50,Activities!$G$8)+COUNTIFS($A$6:$A50,"&lt;&gt;",$C$6:$C50,Activities!$G$12),"")</f>
        <v/>
      </c>
      <c r="P50">
        <f>IFERROR(INDEX($A$6:$A$65,MATCH(45,$O$6:$O$65,0)),"")</f>
        <v/>
      </c>
    </row>
    <row r="51">
      <c r="A51" s="95" t="n"/>
      <c r="B51" s="95" t="n"/>
      <c r="C51" s="95" t="n"/>
      <c r="D51" s="143" t="n"/>
      <c r="E51" s="95" t="n"/>
      <c r="F51" s="95" t="n"/>
      <c r="K51" s="95" t="n"/>
      <c r="L51">
        <f>IF($A51="","",IF($E51="",1,$E51))</f>
        <v/>
      </c>
      <c r="M51">
        <f>IF(AND($A51&lt;&gt;"",$C51=$G$6),COUNTIFS($A$6:$A51,"&lt;&gt;",$C$6:$C51,$G$6),"")</f>
        <v/>
      </c>
      <c r="N51">
        <f>IFERROR(INDEX($A$6:$A$65,MATCH(46,$M$6:$M$65,0)),"")</f>
        <v/>
      </c>
      <c r="O51">
        <f>IF(AND($A51&lt;&gt;"",OR($C51=Activities!$G$8,$C51=Activities!$G$12)),COUNTIFS($A$6:$A51,"&lt;&gt;",$C$6:$C51,Activities!$G$8)+COUNTIFS($A$6:$A51,"&lt;&gt;",$C$6:$C51,Activities!$G$12),"")</f>
        <v/>
      </c>
      <c r="P51">
        <f>IFERROR(INDEX($A$6:$A$65,MATCH(46,$O$6:$O$65,0)),"")</f>
        <v/>
      </c>
    </row>
    <row r="52">
      <c r="A52" s="95" t="n"/>
      <c r="B52" s="95" t="n"/>
      <c r="C52" s="95" t="n"/>
      <c r="D52" s="143" t="n"/>
      <c r="E52" s="95" t="n"/>
      <c r="F52" s="95" t="n"/>
      <c r="K52" s="95" t="n"/>
      <c r="L52">
        <f>IF($A52="","",IF($E52="",1,$E52))</f>
        <v/>
      </c>
      <c r="M52">
        <f>IF(AND($A52&lt;&gt;"",$C52=$G$6),COUNTIFS($A$6:$A52,"&lt;&gt;",$C$6:$C52,$G$6),"")</f>
        <v/>
      </c>
      <c r="N52">
        <f>IFERROR(INDEX($A$6:$A$65,MATCH(47,$M$6:$M$65,0)),"")</f>
        <v/>
      </c>
      <c r="O52">
        <f>IF(AND($A52&lt;&gt;"",OR($C52=Activities!$G$8,$C52=Activities!$G$12)),COUNTIFS($A$6:$A52,"&lt;&gt;",$C$6:$C52,Activities!$G$8)+COUNTIFS($A$6:$A52,"&lt;&gt;",$C$6:$C52,Activities!$G$12),"")</f>
        <v/>
      </c>
      <c r="P52">
        <f>IFERROR(INDEX($A$6:$A$65,MATCH(47,$O$6:$O$65,0)),"")</f>
        <v/>
      </c>
    </row>
    <row r="53">
      <c r="A53" s="95" t="n"/>
      <c r="B53" s="95" t="n"/>
      <c r="C53" s="95" t="n"/>
      <c r="D53" s="143" t="n"/>
      <c r="E53" s="95" t="n"/>
      <c r="F53" s="95" t="n"/>
      <c r="K53" s="95" t="n"/>
      <c r="L53">
        <f>IF($A53="","",IF($E53="",1,$E53))</f>
        <v/>
      </c>
      <c r="M53">
        <f>IF(AND($A53&lt;&gt;"",$C53=$G$6),COUNTIFS($A$6:$A53,"&lt;&gt;",$C$6:$C53,$G$6),"")</f>
        <v/>
      </c>
      <c r="N53">
        <f>IFERROR(INDEX($A$6:$A$65,MATCH(48,$M$6:$M$65,0)),"")</f>
        <v/>
      </c>
      <c r="O53">
        <f>IF(AND($A53&lt;&gt;"",OR($C53=Activities!$G$8,$C53=Activities!$G$12)),COUNTIFS($A$6:$A53,"&lt;&gt;",$C$6:$C53,Activities!$G$8)+COUNTIFS($A$6:$A53,"&lt;&gt;",$C$6:$C53,Activities!$G$12),"")</f>
        <v/>
      </c>
      <c r="P53">
        <f>IFERROR(INDEX($A$6:$A$65,MATCH(48,$O$6:$O$65,0)),"")</f>
        <v/>
      </c>
    </row>
    <row r="54">
      <c r="A54" s="95" t="n"/>
      <c r="B54" s="95" t="n"/>
      <c r="C54" s="95" t="n"/>
      <c r="D54" s="143" t="n"/>
      <c r="E54" s="95" t="n"/>
      <c r="F54" s="95" t="n"/>
      <c r="K54" s="95" t="n"/>
      <c r="L54">
        <f>IF($A54="","",IF($E54="",1,$E54))</f>
        <v/>
      </c>
      <c r="M54">
        <f>IF(AND($A54&lt;&gt;"",$C54=$G$6),COUNTIFS($A$6:$A54,"&lt;&gt;",$C$6:$C54,$G$6),"")</f>
        <v/>
      </c>
      <c r="N54">
        <f>IFERROR(INDEX($A$6:$A$65,MATCH(49,$M$6:$M$65,0)),"")</f>
        <v/>
      </c>
      <c r="O54">
        <f>IF(AND($A54&lt;&gt;"",OR($C54=Activities!$G$8,$C54=Activities!$G$12)),COUNTIFS($A$6:$A54,"&lt;&gt;",$C$6:$C54,Activities!$G$8)+COUNTIFS($A$6:$A54,"&lt;&gt;",$C$6:$C54,Activities!$G$12),"")</f>
        <v/>
      </c>
      <c r="P54">
        <f>IFERROR(INDEX($A$6:$A$65,MATCH(49,$O$6:$O$65,0)),"")</f>
        <v/>
      </c>
    </row>
    <row r="55">
      <c r="A55" s="95" t="n"/>
      <c r="B55" s="95" t="n"/>
      <c r="C55" s="95" t="n"/>
      <c r="D55" s="143" t="n"/>
      <c r="E55" s="95" t="n"/>
      <c r="F55" s="95" t="n"/>
      <c r="K55" s="95" t="n"/>
      <c r="L55">
        <f>IF($A55="","",IF($E55="",1,$E55))</f>
        <v/>
      </c>
      <c r="M55">
        <f>IF(AND($A55&lt;&gt;"",$C55=$G$6),COUNTIFS($A$6:$A55,"&lt;&gt;",$C$6:$C55,$G$6),"")</f>
        <v/>
      </c>
      <c r="N55">
        <f>IFERROR(INDEX($A$6:$A$65,MATCH(50,$M$6:$M$65,0)),"")</f>
        <v/>
      </c>
      <c r="O55">
        <f>IF(AND($A55&lt;&gt;"",OR($C55=Activities!$G$8,$C55=Activities!$G$12)),COUNTIFS($A$6:$A55,"&lt;&gt;",$C$6:$C55,Activities!$G$8)+COUNTIFS($A$6:$A55,"&lt;&gt;",$C$6:$C55,Activities!$G$12),"")</f>
        <v/>
      </c>
      <c r="P55">
        <f>IFERROR(INDEX($A$6:$A$65,MATCH(50,$O$6:$O$65,0)),"")</f>
        <v/>
      </c>
    </row>
    <row r="56">
      <c r="A56" s="95" t="n"/>
      <c r="B56" s="95" t="n"/>
      <c r="C56" s="95" t="n"/>
      <c r="D56" s="143" t="n"/>
      <c r="E56" s="95" t="n"/>
      <c r="F56" s="95" t="n"/>
      <c r="K56" s="95" t="n"/>
      <c r="L56">
        <f>IF($A56="","",IF($E56="",1,$E56))</f>
        <v/>
      </c>
      <c r="M56">
        <f>IF(AND($A56&lt;&gt;"",$C56=$G$6),COUNTIFS($A$6:$A56,"&lt;&gt;",$C$6:$C56,$G$6),"")</f>
        <v/>
      </c>
      <c r="N56">
        <f>IFERROR(INDEX($A$6:$A$65,MATCH(51,$M$6:$M$65,0)),"")</f>
        <v/>
      </c>
      <c r="O56">
        <f>IF(AND($A56&lt;&gt;"",OR($C56=Activities!$G$8,$C56=Activities!$G$12)),COUNTIFS($A$6:$A56,"&lt;&gt;",$C$6:$C56,Activities!$G$8)+COUNTIFS($A$6:$A56,"&lt;&gt;",$C$6:$C56,Activities!$G$12),"")</f>
        <v/>
      </c>
      <c r="P56">
        <f>IFERROR(INDEX($A$6:$A$65,MATCH(51,$O$6:$O$65,0)),"")</f>
        <v/>
      </c>
    </row>
    <row r="57">
      <c r="A57" s="95" t="n"/>
      <c r="B57" s="95" t="n"/>
      <c r="C57" s="95" t="n"/>
      <c r="D57" s="143" t="n"/>
      <c r="E57" s="95" t="n"/>
      <c r="F57" s="95" t="n"/>
      <c r="K57" s="95" t="n"/>
      <c r="L57">
        <f>IF($A57="","",IF($E57="",1,$E57))</f>
        <v/>
      </c>
      <c r="M57">
        <f>IF(AND($A57&lt;&gt;"",$C57=$G$6),COUNTIFS($A$6:$A57,"&lt;&gt;",$C$6:$C57,$G$6),"")</f>
        <v/>
      </c>
      <c r="N57">
        <f>IFERROR(INDEX($A$6:$A$65,MATCH(52,$M$6:$M$65,0)),"")</f>
        <v/>
      </c>
      <c r="O57">
        <f>IF(AND($A57&lt;&gt;"",OR($C57=Activities!$G$8,$C57=Activities!$G$12)),COUNTIFS($A$6:$A57,"&lt;&gt;",$C$6:$C57,Activities!$G$8)+COUNTIFS($A$6:$A57,"&lt;&gt;",$C$6:$C57,Activities!$G$12),"")</f>
        <v/>
      </c>
      <c r="P57">
        <f>IFERROR(INDEX($A$6:$A$65,MATCH(52,$O$6:$O$65,0)),"")</f>
        <v/>
      </c>
    </row>
    <row r="58">
      <c r="A58" s="95" t="n"/>
      <c r="B58" s="95" t="n"/>
      <c r="C58" s="95" t="n"/>
      <c r="D58" s="143" t="n"/>
      <c r="E58" s="95" t="n"/>
      <c r="F58" s="95" t="n"/>
      <c r="K58" s="95" t="n"/>
      <c r="L58">
        <f>IF($A58="","",IF($E58="",1,$E58))</f>
        <v/>
      </c>
      <c r="M58">
        <f>IF(AND($A58&lt;&gt;"",$C58=$G$6),COUNTIFS($A$6:$A58,"&lt;&gt;",$C$6:$C58,$G$6),"")</f>
        <v/>
      </c>
      <c r="N58">
        <f>IFERROR(INDEX($A$6:$A$65,MATCH(53,$M$6:$M$65,0)),"")</f>
        <v/>
      </c>
      <c r="O58">
        <f>IF(AND($A58&lt;&gt;"",OR($C58=Activities!$G$8,$C58=Activities!$G$12)),COUNTIFS($A$6:$A58,"&lt;&gt;",$C$6:$C58,Activities!$G$8)+COUNTIFS($A$6:$A58,"&lt;&gt;",$C$6:$C58,Activities!$G$12),"")</f>
        <v/>
      </c>
      <c r="P58">
        <f>IFERROR(INDEX($A$6:$A$65,MATCH(53,$O$6:$O$65,0)),"")</f>
        <v/>
      </c>
    </row>
    <row r="59">
      <c r="A59" s="95" t="n"/>
      <c r="B59" s="95" t="n"/>
      <c r="C59" s="95" t="n"/>
      <c r="D59" s="143" t="n"/>
      <c r="E59" s="95" t="n"/>
      <c r="F59" s="95" t="n"/>
      <c r="K59" s="95" t="n"/>
      <c r="L59">
        <f>IF($A59="","",IF($E59="",1,$E59))</f>
        <v/>
      </c>
      <c r="M59">
        <f>IF(AND($A59&lt;&gt;"",$C59=$G$6),COUNTIFS($A$6:$A59,"&lt;&gt;",$C$6:$C59,$G$6),"")</f>
        <v/>
      </c>
      <c r="N59">
        <f>IFERROR(INDEX($A$6:$A$65,MATCH(54,$M$6:$M$65,0)),"")</f>
        <v/>
      </c>
      <c r="O59">
        <f>IF(AND($A59&lt;&gt;"",OR($C59=Activities!$G$8,$C59=Activities!$G$12)),COUNTIFS($A$6:$A59,"&lt;&gt;",$C$6:$C59,Activities!$G$8)+COUNTIFS($A$6:$A59,"&lt;&gt;",$C$6:$C59,Activities!$G$12),"")</f>
        <v/>
      </c>
      <c r="P59">
        <f>IFERROR(INDEX($A$6:$A$65,MATCH(54,$O$6:$O$65,0)),"")</f>
        <v/>
      </c>
    </row>
    <row r="60">
      <c r="A60" s="95" t="n"/>
      <c r="B60" s="95" t="n"/>
      <c r="C60" s="95" t="n"/>
      <c r="D60" s="143" t="n"/>
      <c r="E60" s="95" t="n"/>
      <c r="F60" s="95" t="n"/>
      <c r="K60" s="95" t="n"/>
      <c r="L60">
        <f>IF($A60="","",IF($E60="",1,$E60))</f>
        <v/>
      </c>
      <c r="M60">
        <f>IF(AND($A60&lt;&gt;"",$C60=$G$6),COUNTIFS($A$6:$A60,"&lt;&gt;",$C$6:$C60,$G$6),"")</f>
        <v/>
      </c>
      <c r="N60">
        <f>IFERROR(INDEX($A$6:$A$65,MATCH(55,$M$6:$M$65,0)),"")</f>
        <v/>
      </c>
      <c r="O60">
        <f>IF(AND($A60&lt;&gt;"",OR($C60=Activities!$G$8,$C60=Activities!$G$12)),COUNTIFS($A$6:$A60,"&lt;&gt;",$C$6:$C60,Activities!$G$8)+COUNTIFS($A$6:$A60,"&lt;&gt;",$C$6:$C60,Activities!$G$12),"")</f>
        <v/>
      </c>
      <c r="P60">
        <f>IFERROR(INDEX($A$6:$A$65,MATCH(55,$O$6:$O$65,0)),"")</f>
        <v/>
      </c>
    </row>
    <row r="61">
      <c r="A61" s="95" t="n"/>
      <c r="B61" s="95" t="n"/>
      <c r="C61" s="95" t="n"/>
      <c r="D61" s="143" t="n"/>
      <c r="E61" s="95" t="n"/>
      <c r="F61" s="95" t="n"/>
      <c r="K61" s="95" t="n"/>
      <c r="L61">
        <f>IF($A61="","",IF($E61="",1,$E61))</f>
        <v/>
      </c>
      <c r="M61">
        <f>IF(AND($A61&lt;&gt;"",$C61=$G$6),COUNTIFS($A$6:$A61,"&lt;&gt;",$C$6:$C61,$G$6),"")</f>
        <v/>
      </c>
      <c r="N61">
        <f>IFERROR(INDEX($A$6:$A$65,MATCH(56,$M$6:$M$65,0)),"")</f>
        <v/>
      </c>
      <c r="O61">
        <f>IF(AND($A61&lt;&gt;"",OR($C61=Activities!$G$8,$C61=Activities!$G$12)),COUNTIFS($A$6:$A61,"&lt;&gt;",$C$6:$C61,Activities!$G$8)+COUNTIFS($A$6:$A61,"&lt;&gt;",$C$6:$C61,Activities!$G$12),"")</f>
        <v/>
      </c>
      <c r="P61">
        <f>IFERROR(INDEX($A$6:$A$65,MATCH(56,$O$6:$O$65,0)),"")</f>
        <v/>
      </c>
    </row>
    <row r="62">
      <c r="A62" s="95" t="n"/>
      <c r="B62" s="95" t="n"/>
      <c r="C62" s="95" t="n"/>
      <c r="D62" s="143" t="n"/>
      <c r="E62" s="95" t="n"/>
      <c r="F62" s="95" t="n"/>
      <c r="K62" s="95" t="n"/>
      <c r="L62">
        <f>IF($A62="","",IF($E62="",1,$E62))</f>
        <v/>
      </c>
      <c r="M62">
        <f>IF(AND($A62&lt;&gt;"",$C62=$G$6),COUNTIFS($A$6:$A62,"&lt;&gt;",$C$6:$C62,$G$6),"")</f>
        <v/>
      </c>
      <c r="N62">
        <f>IFERROR(INDEX($A$6:$A$65,MATCH(57,$M$6:$M$65,0)),"")</f>
        <v/>
      </c>
      <c r="O62">
        <f>IF(AND($A62&lt;&gt;"",OR($C62=Activities!$G$8,$C62=Activities!$G$12)),COUNTIFS($A$6:$A62,"&lt;&gt;",$C$6:$C62,Activities!$G$8)+COUNTIFS($A$6:$A62,"&lt;&gt;",$C$6:$C62,Activities!$G$12),"")</f>
        <v/>
      </c>
      <c r="P62">
        <f>IFERROR(INDEX($A$6:$A$65,MATCH(57,$O$6:$O$65,0)),"")</f>
        <v/>
      </c>
    </row>
    <row r="63">
      <c r="A63" s="95" t="n"/>
      <c r="B63" s="95" t="n"/>
      <c r="C63" s="95" t="n"/>
      <c r="D63" s="143" t="n"/>
      <c r="E63" s="95" t="n"/>
      <c r="F63" s="95" t="n"/>
      <c r="K63" s="95" t="n"/>
      <c r="L63">
        <f>IF($A63="","",IF($E63="",1,$E63))</f>
        <v/>
      </c>
      <c r="M63">
        <f>IF(AND($A63&lt;&gt;"",$C63=$G$6),COUNTIFS($A$6:$A63,"&lt;&gt;",$C$6:$C63,$G$6),"")</f>
        <v/>
      </c>
      <c r="N63">
        <f>IFERROR(INDEX($A$6:$A$65,MATCH(58,$M$6:$M$65,0)),"")</f>
        <v/>
      </c>
      <c r="O63">
        <f>IF(AND($A63&lt;&gt;"",OR($C63=Activities!$G$8,$C63=Activities!$G$12)),COUNTIFS($A$6:$A63,"&lt;&gt;",$C$6:$C63,Activities!$G$8)+COUNTIFS($A$6:$A63,"&lt;&gt;",$C$6:$C63,Activities!$G$12),"")</f>
        <v/>
      </c>
      <c r="P63">
        <f>IFERROR(INDEX($A$6:$A$65,MATCH(58,$O$6:$O$65,0)),"")</f>
        <v/>
      </c>
    </row>
    <row r="64">
      <c r="A64" s="95" t="n"/>
      <c r="B64" s="95" t="n"/>
      <c r="C64" s="95" t="n"/>
      <c r="D64" s="143" t="n"/>
      <c r="E64" s="95" t="n"/>
      <c r="F64" s="95" t="n"/>
      <c r="K64" s="95" t="n"/>
      <c r="L64">
        <f>IF($A64="","",IF($E64="",1,$E64))</f>
        <v/>
      </c>
      <c r="M64">
        <f>IF(AND($A64&lt;&gt;"",$C64=$G$6),COUNTIFS($A$6:$A64,"&lt;&gt;",$C$6:$C64,$G$6),"")</f>
        <v/>
      </c>
      <c r="N64">
        <f>IFERROR(INDEX($A$6:$A$65,MATCH(59,$M$6:$M$65,0)),"")</f>
        <v/>
      </c>
      <c r="O64">
        <f>IF(AND($A64&lt;&gt;"",OR($C64=Activities!$G$8,$C64=Activities!$G$12)),COUNTIFS($A$6:$A64,"&lt;&gt;",$C$6:$C64,Activities!$G$8)+COUNTIFS($A$6:$A64,"&lt;&gt;",$C$6:$C64,Activities!$G$12),"")</f>
        <v/>
      </c>
      <c r="P64">
        <f>IFERROR(INDEX($A$6:$A$65,MATCH(59,$O$6:$O$65,0)),"")</f>
        <v/>
      </c>
    </row>
    <row r="65">
      <c r="A65" s="95" t="n"/>
      <c r="B65" s="95" t="n"/>
      <c r="C65" s="95" t="n"/>
      <c r="D65" s="143" t="n"/>
      <c r="E65" s="95" t="n"/>
      <c r="F65" s="95" t="n"/>
      <c r="K65" s="95" t="n"/>
      <c r="L65">
        <f>IF($A65="","",IF($E65="",1,$E65))</f>
        <v/>
      </c>
      <c r="M65">
        <f>IF(AND($A65&lt;&gt;"",$C65=$G$6),COUNTIFS($A$6:$A65,"&lt;&gt;",$C$6:$C65,$G$6),"")</f>
        <v/>
      </c>
      <c r="N65">
        <f>IFERROR(INDEX($A$6:$A$65,MATCH(60,$M$6:$M$65,0)),"")</f>
        <v/>
      </c>
      <c r="O65">
        <f>IF(AND($A65&lt;&gt;"",OR($C65=Activities!$G$8,$C65=Activities!$G$12)),COUNTIFS($A$6:$A65,"&lt;&gt;",$C$6:$C65,Activities!$G$8)+COUNTIFS($A$6:$A65,"&lt;&gt;",$C$6:$C65,Activities!$G$12),"")</f>
        <v/>
      </c>
      <c r="P65">
        <f>IFERROR(INDEX($A$6:$A$65,MATCH(60,$O$6:$O$65,0)),"")</f>
        <v/>
      </c>
    </row>
  </sheetData>
  <mergeCells count="2">
    <mergeCell ref="A1:J1"/>
    <mergeCell ref="A2:J2"/>
  </mergeCells>
  <conditionalFormatting sqref="A6:A65">
    <cfRule type="expression" priority="1" dxfId="6" stopIfTrue="1">
      <formula>AND(A6&lt;&gt;"",IFERROR(INDEX(ActCat,MATCH(A6,ActCodesAll,0)),"")=Activities!$G$6)</formula>
    </cfRule>
    <cfRule type="expression" priority="2" dxfId="7" stopIfTrue="1">
      <formula>AND(A6&lt;&gt;"",IFERROR(INDEX(ActCat,MATCH(A6,ActCodesAll,0)),"")=Activities!$G$7)</formula>
    </cfRule>
    <cfRule type="expression" priority="3" dxfId="8" stopIfTrue="1">
      <formula>AND(A6&lt;&gt;"",IFERROR(INDEX(ActCat,MATCH(A6,ActCodesAll,0)),"")=Activities!$G$8)</formula>
    </cfRule>
    <cfRule type="expression" priority="4" dxfId="9" stopIfTrue="1">
      <formula>AND(A6&lt;&gt;"",IFERROR(INDEX(ActCat,MATCH(A6,ActCodesAll,0)),"")=Activities!$G$9)</formula>
    </cfRule>
    <cfRule type="expression" priority="5" dxfId="10" stopIfTrue="1">
      <formula>AND(A6&lt;&gt;"",IFERROR(INDEX(ActCat,MATCH(A6,ActCodesAll,0)),"")=Activities!$G$10)</formula>
    </cfRule>
    <cfRule type="expression" priority="6" dxfId="11" stopIfTrue="1">
      <formula>AND(A6&lt;&gt;"",IFERROR(INDEX(ActCat,MATCH(A6,ActCodesAll,0)),"")=Activities!$G$11)</formula>
    </cfRule>
    <cfRule type="expression" priority="7" dxfId="12" stopIfTrue="1">
      <formula>AND(A6&lt;&gt;"",IFERROR(INDEX(ActCat,MATCH(A6,ActCodesAll,0)),"")=Activities!$G$12)</formula>
    </cfRule>
    <cfRule type="expression" priority="8" dxfId="13" stopIfTrue="1">
      <formula>AND(A6&lt;&gt;"",IFERROR(INDEX(ActCat,MATCH(A6,ActCodesAll,0)),"")=Activities!$G$13)</formula>
    </cfRule>
    <cfRule type="expression" priority="9" dxfId="14" stopIfTrue="1">
      <formula>AND(A6&lt;&gt;"",IFERROR(INDEX(ActCat,MATCH(A6,ActCodesAll,0)),"")=Activities!$G$14)</formula>
    </cfRule>
  </conditionalFormatting>
  <dataValidations count="4">
    <dataValidation sqref="C6:C65" showDropDown="0" showInputMessage="0" showErrorMessage="0" allowBlank="1" type="list">
      <formula1>Categories</formula1>
    </dataValidation>
    <dataValidation sqref="D6:D65" showDropDown="0" showInputMessage="0" showErrorMessage="0" allowBlank="1" type="decimal" operator="between">
      <formula1>0</formula1>
      <formula2>24</formula2>
    </dataValidation>
    <dataValidation sqref="A6:A65" showDropDown="0" showInputMessage="0" showErrorMessage="1" allowBlank="1" errorTitle="Duplicate code" error="That code already exists." type="custom">
      <formula1>COUNTIF($A$6:$A$65,A6)=1</formula1>
    </dataValidation>
    <dataValidation sqref="E6:E65" showDropDown="0" showInputMessage="0" showErrorMessage="0" allowBlank="1" type="whole" operator="between">
      <formula1>1</formula1>
      <formula2>9</formula2>
    </dataValidation>
  </dataValidations>
  <pageMargins left="0.75" right="0.75" top="1" bottom="1" header="0.5" footer="0.5"/>
</worksheet>
</file>

<file path=xl/worksheets/sheet1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Plan'!$A$9:$G$19,2*INT((0+WEEKDAY($A$3,2)-1)/7)+1,MOD(0+WEEKDAY($A$3,2)-1,7)+1)&amp;""="","","BDO")&lt;&gt;"",IF(INDEX('SDO Plan'!$A$9:$G$19,2*INT((0+WEEKDAY($A$3,2)-1)/7)+1,MOD(0+WEEKDAY($A$3,2)-1,7)+1)&amp;""="","","SDO")&lt;&gt;""),"BDO+SDO",IF(INDEX('BDO Plan'!$A$9:$G$19,2*INT((0+WEEKDAY($A$3,2)-1)/7)+1,MOD(0+WEEKDAY($A$3,2)-1,7)+1)&amp;""="","","BDO")&amp;IF(INDEX('SDO Plan'!$A$9:$G$19,2*INT((0+WEEKDAY($A$3,2)-1)/7)+1,MOD(0+WEEKDAY($A$3,2)-1,7)+1)&amp;""="","","SDO")))</f>
        <v/>
      </c>
      <c r="E25" s="202">
        <f>IF(E$5="","",IF(AND(IF(INDEX('BDO Plan'!$A$9:$G$19,2*INT((1+WEEKDAY($A$3,2)-1)/7)+1,MOD(1+WEEKDAY($A$3,2)-1,7)+1)&amp;""="","","BDO")&lt;&gt;"",IF(INDEX('SDO Plan'!$A$9:$G$19,2*INT((1+WEEKDAY($A$3,2)-1)/7)+1,MOD(1+WEEKDAY($A$3,2)-1,7)+1)&amp;""="","","SDO")&lt;&gt;""),"BDO+SDO",IF(INDEX('BDO Plan'!$A$9:$G$19,2*INT((1+WEEKDAY($A$3,2)-1)/7)+1,MOD(1+WEEKDAY($A$3,2)-1,7)+1)&amp;""="","","BDO")&amp;IF(INDEX('SDO Plan'!$A$9:$G$19,2*INT((1+WEEKDAY($A$3,2)-1)/7)+1,MOD(1+WEEKDAY($A$3,2)-1,7)+1)&amp;""="","","SDO")))</f>
        <v/>
      </c>
      <c r="F25" s="202">
        <f>IF(F$5="","",IF(AND(IF(INDEX('BDO Plan'!$A$9:$G$19,2*INT((2+WEEKDAY($A$3,2)-1)/7)+1,MOD(2+WEEKDAY($A$3,2)-1,7)+1)&amp;""="","","BDO")&lt;&gt;"",IF(INDEX('SDO Plan'!$A$9:$G$19,2*INT((2+WEEKDAY($A$3,2)-1)/7)+1,MOD(2+WEEKDAY($A$3,2)-1,7)+1)&amp;""="","","SDO")&lt;&gt;""),"BDO+SDO",IF(INDEX('BDO Plan'!$A$9:$G$19,2*INT((2+WEEKDAY($A$3,2)-1)/7)+1,MOD(2+WEEKDAY($A$3,2)-1,7)+1)&amp;""="","","BDO")&amp;IF(INDEX('SDO Plan'!$A$9:$G$19,2*INT((2+WEEKDAY($A$3,2)-1)/7)+1,MOD(2+WEEKDAY($A$3,2)-1,7)+1)&amp;""="","","SDO")))</f>
        <v/>
      </c>
      <c r="G25" s="202">
        <f>IF(G$5="","",IF(AND(IF(INDEX('BDO Plan'!$A$9:$G$19,2*INT((3+WEEKDAY($A$3,2)-1)/7)+1,MOD(3+WEEKDAY($A$3,2)-1,7)+1)&amp;""="","","BDO")&lt;&gt;"",IF(INDEX('SDO Plan'!$A$9:$G$19,2*INT((3+WEEKDAY($A$3,2)-1)/7)+1,MOD(3+WEEKDAY($A$3,2)-1,7)+1)&amp;""="","","SDO")&lt;&gt;""),"BDO+SDO",IF(INDEX('BDO Plan'!$A$9:$G$19,2*INT((3+WEEKDAY($A$3,2)-1)/7)+1,MOD(3+WEEKDAY($A$3,2)-1,7)+1)&amp;""="","","BDO")&amp;IF(INDEX('SDO Plan'!$A$9:$G$19,2*INT((3+WEEKDAY($A$3,2)-1)/7)+1,MOD(3+WEEKDAY($A$3,2)-1,7)+1)&amp;""="","","SDO")))</f>
        <v/>
      </c>
      <c r="H25" s="202">
        <f>IF(H$5="","",IF(AND(IF(INDEX('BDO Plan'!$A$9:$G$19,2*INT((4+WEEKDAY($A$3,2)-1)/7)+1,MOD(4+WEEKDAY($A$3,2)-1,7)+1)&amp;""="","","BDO")&lt;&gt;"",IF(INDEX('SDO Plan'!$A$9:$G$19,2*INT((4+WEEKDAY($A$3,2)-1)/7)+1,MOD(4+WEEKDAY($A$3,2)-1,7)+1)&amp;""="","","SDO")&lt;&gt;""),"BDO+SDO",IF(INDEX('BDO Plan'!$A$9:$G$19,2*INT((4+WEEKDAY($A$3,2)-1)/7)+1,MOD(4+WEEKDAY($A$3,2)-1,7)+1)&amp;""="","","BDO")&amp;IF(INDEX('SDO Plan'!$A$9:$G$19,2*INT((4+WEEKDAY($A$3,2)-1)/7)+1,MOD(4+WEEKDAY($A$3,2)-1,7)+1)&amp;""="","","SDO")))</f>
        <v/>
      </c>
      <c r="I25" s="202">
        <f>IF(I$5="","",IF(AND(IF(INDEX('BDO Plan'!$A$9:$G$19,2*INT((5+WEEKDAY($A$3,2)-1)/7)+1,MOD(5+WEEKDAY($A$3,2)-1,7)+1)&amp;""="","","BDO")&lt;&gt;"",IF(INDEX('SDO Plan'!$A$9:$G$19,2*INT((5+WEEKDAY($A$3,2)-1)/7)+1,MOD(5+WEEKDAY($A$3,2)-1,7)+1)&amp;""="","","SDO")&lt;&gt;""),"BDO+SDO",IF(INDEX('BDO Plan'!$A$9:$G$19,2*INT((5+WEEKDAY($A$3,2)-1)/7)+1,MOD(5+WEEKDAY($A$3,2)-1,7)+1)&amp;""="","","BDO")&amp;IF(INDEX('SDO Plan'!$A$9:$G$19,2*INT((5+WEEKDAY($A$3,2)-1)/7)+1,MOD(5+WEEKDAY($A$3,2)-1,7)+1)&amp;""="","","SDO")))</f>
        <v/>
      </c>
      <c r="J25" s="202">
        <f>IF(J$5="","",IF(AND(IF(INDEX('BDO Plan'!$A$9:$G$19,2*INT((6+WEEKDAY($A$3,2)-1)/7)+1,MOD(6+WEEKDAY($A$3,2)-1,7)+1)&amp;""="","","BDO")&lt;&gt;"",IF(INDEX('SDO Plan'!$A$9:$G$19,2*INT((6+WEEKDAY($A$3,2)-1)/7)+1,MOD(6+WEEKDAY($A$3,2)-1,7)+1)&amp;""="","","SDO")&lt;&gt;""),"BDO+SDO",IF(INDEX('BDO Plan'!$A$9:$G$19,2*INT((6+WEEKDAY($A$3,2)-1)/7)+1,MOD(6+WEEKDAY($A$3,2)-1,7)+1)&amp;""="","","BDO")&amp;IF(INDEX('SDO Plan'!$A$9:$G$19,2*INT((6+WEEKDAY($A$3,2)-1)/7)+1,MOD(6+WEEKDAY($A$3,2)-1,7)+1)&amp;""="","","SDO")))</f>
        <v/>
      </c>
      <c r="K25" s="202">
        <f>IF(K$5="","",IF(AND(IF(INDEX('BDO Plan'!$A$9:$G$19,2*INT((7+WEEKDAY($A$3,2)-1)/7)+1,MOD(7+WEEKDAY($A$3,2)-1,7)+1)&amp;""="","","BDO")&lt;&gt;"",IF(INDEX('SDO Plan'!$A$9:$G$19,2*INT((7+WEEKDAY($A$3,2)-1)/7)+1,MOD(7+WEEKDAY($A$3,2)-1,7)+1)&amp;""="","","SDO")&lt;&gt;""),"BDO+SDO",IF(INDEX('BDO Plan'!$A$9:$G$19,2*INT((7+WEEKDAY($A$3,2)-1)/7)+1,MOD(7+WEEKDAY($A$3,2)-1,7)+1)&amp;""="","","BDO")&amp;IF(INDEX('SDO Plan'!$A$9:$G$19,2*INT((7+WEEKDAY($A$3,2)-1)/7)+1,MOD(7+WEEKDAY($A$3,2)-1,7)+1)&amp;""="","","SDO")))</f>
        <v/>
      </c>
      <c r="L25" s="202">
        <f>IF(L$5="","",IF(AND(IF(INDEX('BDO Plan'!$A$9:$G$19,2*INT((8+WEEKDAY($A$3,2)-1)/7)+1,MOD(8+WEEKDAY($A$3,2)-1,7)+1)&amp;""="","","BDO")&lt;&gt;"",IF(INDEX('SDO Plan'!$A$9:$G$19,2*INT((8+WEEKDAY($A$3,2)-1)/7)+1,MOD(8+WEEKDAY($A$3,2)-1,7)+1)&amp;""="","","SDO")&lt;&gt;""),"BDO+SDO",IF(INDEX('BDO Plan'!$A$9:$G$19,2*INT((8+WEEKDAY($A$3,2)-1)/7)+1,MOD(8+WEEKDAY($A$3,2)-1,7)+1)&amp;""="","","BDO")&amp;IF(INDEX('SDO Plan'!$A$9:$G$19,2*INT((8+WEEKDAY($A$3,2)-1)/7)+1,MOD(8+WEEKDAY($A$3,2)-1,7)+1)&amp;""="","","SDO")))</f>
        <v/>
      </c>
      <c r="M25" s="202">
        <f>IF(M$5="","",IF(AND(IF(INDEX('BDO Plan'!$A$9:$G$19,2*INT((9+WEEKDAY($A$3,2)-1)/7)+1,MOD(9+WEEKDAY($A$3,2)-1,7)+1)&amp;""="","","BDO")&lt;&gt;"",IF(INDEX('SDO Plan'!$A$9:$G$19,2*INT((9+WEEKDAY($A$3,2)-1)/7)+1,MOD(9+WEEKDAY($A$3,2)-1,7)+1)&amp;""="","","SDO")&lt;&gt;""),"BDO+SDO",IF(INDEX('BDO Plan'!$A$9:$G$19,2*INT((9+WEEKDAY($A$3,2)-1)/7)+1,MOD(9+WEEKDAY($A$3,2)-1,7)+1)&amp;""="","","BDO")&amp;IF(INDEX('SDO Plan'!$A$9:$G$19,2*INT((9+WEEKDAY($A$3,2)-1)/7)+1,MOD(9+WEEKDAY($A$3,2)-1,7)+1)&amp;""="","","SDO")))</f>
        <v/>
      </c>
      <c r="N25" s="202">
        <f>IF(N$5="","",IF(AND(IF(INDEX('BDO Plan'!$A$9:$G$19,2*INT((10+WEEKDAY($A$3,2)-1)/7)+1,MOD(10+WEEKDAY($A$3,2)-1,7)+1)&amp;""="","","BDO")&lt;&gt;"",IF(INDEX('SDO Plan'!$A$9:$G$19,2*INT((10+WEEKDAY($A$3,2)-1)/7)+1,MOD(10+WEEKDAY($A$3,2)-1,7)+1)&amp;""="","","SDO")&lt;&gt;""),"BDO+SDO",IF(INDEX('BDO Plan'!$A$9:$G$19,2*INT((10+WEEKDAY($A$3,2)-1)/7)+1,MOD(10+WEEKDAY($A$3,2)-1,7)+1)&amp;""="","","BDO")&amp;IF(INDEX('SDO Plan'!$A$9:$G$19,2*INT((10+WEEKDAY($A$3,2)-1)/7)+1,MOD(10+WEEKDAY($A$3,2)-1,7)+1)&amp;""="","","SDO")))</f>
        <v/>
      </c>
      <c r="O25" s="202">
        <f>IF(O$5="","",IF(AND(IF(INDEX('BDO Plan'!$A$9:$G$19,2*INT((11+WEEKDAY($A$3,2)-1)/7)+1,MOD(11+WEEKDAY($A$3,2)-1,7)+1)&amp;""="","","BDO")&lt;&gt;"",IF(INDEX('SDO Plan'!$A$9:$G$19,2*INT((11+WEEKDAY($A$3,2)-1)/7)+1,MOD(11+WEEKDAY($A$3,2)-1,7)+1)&amp;""="","","SDO")&lt;&gt;""),"BDO+SDO",IF(INDEX('BDO Plan'!$A$9:$G$19,2*INT((11+WEEKDAY($A$3,2)-1)/7)+1,MOD(11+WEEKDAY($A$3,2)-1,7)+1)&amp;""="","","BDO")&amp;IF(INDEX('SDO Plan'!$A$9:$G$19,2*INT((11+WEEKDAY($A$3,2)-1)/7)+1,MOD(11+WEEKDAY($A$3,2)-1,7)+1)&amp;""="","","SDO")))</f>
        <v/>
      </c>
      <c r="P25" s="202">
        <f>IF(P$5="","",IF(AND(IF(INDEX('BDO Plan'!$A$9:$G$19,2*INT((12+WEEKDAY($A$3,2)-1)/7)+1,MOD(12+WEEKDAY($A$3,2)-1,7)+1)&amp;""="","","BDO")&lt;&gt;"",IF(INDEX('SDO Plan'!$A$9:$G$19,2*INT((12+WEEKDAY($A$3,2)-1)/7)+1,MOD(12+WEEKDAY($A$3,2)-1,7)+1)&amp;""="","","SDO")&lt;&gt;""),"BDO+SDO",IF(INDEX('BDO Plan'!$A$9:$G$19,2*INT((12+WEEKDAY($A$3,2)-1)/7)+1,MOD(12+WEEKDAY($A$3,2)-1,7)+1)&amp;""="","","BDO")&amp;IF(INDEX('SDO Plan'!$A$9:$G$19,2*INT((12+WEEKDAY($A$3,2)-1)/7)+1,MOD(12+WEEKDAY($A$3,2)-1,7)+1)&amp;""="","","SDO")))</f>
        <v/>
      </c>
      <c r="Q25" s="202">
        <f>IF(Q$5="","",IF(AND(IF(INDEX('BDO Plan'!$A$9:$G$19,2*INT((13+WEEKDAY($A$3,2)-1)/7)+1,MOD(13+WEEKDAY($A$3,2)-1,7)+1)&amp;""="","","BDO")&lt;&gt;"",IF(INDEX('SDO Plan'!$A$9:$G$19,2*INT((13+WEEKDAY($A$3,2)-1)/7)+1,MOD(13+WEEKDAY($A$3,2)-1,7)+1)&amp;""="","","SDO")&lt;&gt;""),"BDO+SDO",IF(INDEX('BDO Plan'!$A$9:$G$19,2*INT((13+WEEKDAY($A$3,2)-1)/7)+1,MOD(13+WEEKDAY($A$3,2)-1,7)+1)&amp;""="","","BDO")&amp;IF(INDEX('SDO Plan'!$A$9:$G$19,2*INT((13+WEEKDAY($A$3,2)-1)/7)+1,MOD(13+WEEKDAY($A$3,2)-1,7)+1)&amp;""="","","SDO")))</f>
        <v/>
      </c>
      <c r="R25" s="202">
        <f>IF(R$5="","",IF(AND(IF(INDEX('BDO Plan'!$A$9:$G$19,2*INT((14+WEEKDAY($A$3,2)-1)/7)+1,MOD(14+WEEKDAY($A$3,2)-1,7)+1)&amp;""="","","BDO")&lt;&gt;"",IF(INDEX('SDO Plan'!$A$9:$G$19,2*INT((14+WEEKDAY($A$3,2)-1)/7)+1,MOD(14+WEEKDAY($A$3,2)-1,7)+1)&amp;""="","","SDO")&lt;&gt;""),"BDO+SDO",IF(INDEX('BDO Plan'!$A$9:$G$19,2*INT((14+WEEKDAY($A$3,2)-1)/7)+1,MOD(14+WEEKDAY($A$3,2)-1,7)+1)&amp;""="","","BDO")&amp;IF(INDEX('SDO Plan'!$A$9:$G$19,2*INT((14+WEEKDAY($A$3,2)-1)/7)+1,MOD(14+WEEKDAY($A$3,2)-1,7)+1)&amp;""="","","SDO")))</f>
        <v/>
      </c>
      <c r="S25" s="202">
        <f>IF(S$5="","",IF(AND(IF(INDEX('BDO Plan'!$A$9:$G$19,2*INT((15+WEEKDAY($A$3,2)-1)/7)+1,MOD(15+WEEKDAY($A$3,2)-1,7)+1)&amp;""="","","BDO")&lt;&gt;"",IF(INDEX('SDO Plan'!$A$9:$G$19,2*INT((15+WEEKDAY($A$3,2)-1)/7)+1,MOD(15+WEEKDAY($A$3,2)-1,7)+1)&amp;""="","","SDO")&lt;&gt;""),"BDO+SDO",IF(INDEX('BDO Plan'!$A$9:$G$19,2*INT((15+WEEKDAY($A$3,2)-1)/7)+1,MOD(15+WEEKDAY($A$3,2)-1,7)+1)&amp;""="","","BDO")&amp;IF(INDEX('SDO Plan'!$A$9:$G$19,2*INT((15+WEEKDAY($A$3,2)-1)/7)+1,MOD(15+WEEKDAY($A$3,2)-1,7)+1)&amp;""="","","SDO")))</f>
        <v/>
      </c>
      <c r="T25" s="202">
        <f>IF(T$5="","",IF(AND(IF(INDEX('BDO Plan'!$A$9:$G$19,2*INT((16+WEEKDAY($A$3,2)-1)/7)+1,MOD(16+WEEKDAY($A$3,2)-1,7)+1)&amp;""="","","BDO")&lt;&gt;"",IF(INDEX('SDO Plan'!$A$9:$G$19,2*INT((16+WEEKDAY($A$3,2)-1)/7)+1,MOD(16+WEEKDAY($A$3,2)-1,7)+1)&amp;""="","","SDO")&lt;&gt;""),"BDO+SDO",IF(INDEX('BDO Plan'!$A$9:$G$19,2*INT((16+WEEKDAY($A$3,2)-1)/7)+1,MOD(16+WEEKDAY($A$3,2)-1,7)+1)&amp;""="","","BDO")&amp;IF(INDEX('SDO Plan'!$A$9:$G$19,2*INT((16+WEEKDAY($A$3,2)-1)/7)+1,MOD(16+WEEKDAY($A$3,2)-1,7)+1)&amp;""="","","SDO")))</f>
        <v/>
      </c>
      <c r="U25" s="202">
        <f>IF(U$5="","",IF(AND(IF(INDEX('BDO Plan'!$A$9:$G$19,2*INT((17+WEEKDAY($A$3,2)-1)/7)+1,MOD(17+WEEKDAY($A$3,2)-1,7)+1)&amp;""="","","BDO")&lt;&gt;"",IF(INDEX('SDO Plan'!$A$9:$G$19,2*INT((17+WEEKDAY($A$3,2)-1)/7)+1,MOD(17+WEEKDAY($A$3,2)-1,7)+1)&amp;""="","","SDO")&lt;&gt;""),"BDO+SDO",IF(INDEX('BDO Plan'!$A$9:$G$19,2*INT((17+WEEKDAY($A$3,2)-1)/7)+1,MOD(17+WEEKDAY($A$3,2)-1,7)+1)&amp;""="","","BDO")&amp;IF(INDEX('SDO Plan'!$A$9:$G$19,2*INT((17+WEEKDAY($A$3,2)-1)/7)+1,MOD(17+WEEKDAY($A$3,2)-1,7)+1)&amp;""="","","SDO")))</f>
        <v/>
      </c>
      <c r="V25" s="202">
        <f>IF(V$5="","",IF(AND(IF(INDEX('BDO Plan'!$A$9:$G$19,2*INT((18+WEEKDAY($A$3,2)-1)/7)+1,MOD(18+WEEKDAY($A$3,2)-1,7)+1)&amp;""="","","BDO")&lt;&gt;"",IF(INDEX('SDO Plan'!$A$9:$G$19,2*INT((18+WEEKDAY($A$3,2)-1)/7)+1,MOD(18+WEEKDAY($A$3,2)-1,7)+1)&amp;""="","","SDO")&lt;&gt;""),"BDO+SDO",IF(INDEX('BDO Plan'!$A$9:$G$19,2*INT((18+WEEKDAY($A$3,2)-1)/7)+1,MOD(18+WEEKDAY($A$3,2)-1,7)+1)&amp;""="","","BDO")&amp;IF(INDEX('SDO Plan'!$A$9:$G$19,2*INT((18+WEEKDAY($A$3,2)-1)/7)+1,MOD(18+WEEKDAY($A$3,2)-1,7)+1)&amp;""="","","SDO")))</f>
        <v/>
      </c>
      <c r="W25" s="202">
        <f>IF(W$5="","",IF(AND(IF(INDEX('BDO Plan'!$A$9:$G$19,2*INT((19+WEEKDAY($A$3,2)-1)/7)+1,MOD(19+WEEKDAY($A$3,2)-1,7)+1)&amp;""="","","BDO")&lt;&gt;"",IF(INDEX('SDO Plan'!$A$9:$G$19,2*INT((19+WEEKDAY($A$3,2)-1)/7)+1,MOD(19+WEEKDAY($A$3,2)-1,7)+1)&amp;""="","","SDO")&lt;&gt;""),"BDO+SDO",IF(INDEX('BDO Plan'!$A$9:$G$19,2*INT((19+WEEKDAY($A$3,2)-1)/7)+1,MOD(19+WEEKDAY($A$3,2)-1,7)+1)&amp;""="","","BDO")&amp;IF(INDEX('SDO Plan'!$A$9:$G$19,2*INT((19+WEEKDAY($A$3,2)-1)/7)+1,MOD(19+WEEKDAY($A$3,2)-1,7)+1)&amp;""="","","SDO")))</f>
        <v/>
      </c>
      <c r="X25" s="202">
        <f>IF(X$5="","",IF(AND(IF(INDEX('BDO Plan'!$A$9:$G$19,2*INT((20+WEEKDAY($A$3,2)-1)/7)+1,MOD(20+WEEKDAY($A$3,2)-1,7)+1)&amp;""="","","BDO")&lt;&gt;"",IF(INDEX('SDO Plan'!$A$9:$G$19,2*INT((20+WEEKDAY($A$3,2)-1)/7)+1,MOD(20+WEEKDAY($A$3,2)-1,7)+1)&amp;""="","","SDO")&lt;&gt;""),"BDO+SDO",IF(INDEX('BDO Plan'!$A$9:$G$19,2*INT((20+WEEKDAY($A$3,2)-1)/7)+1,MOD(20+WEEKDAY($A$3,2)-1,7)+1)&amp;""="","","BDO")&amp;IF(INDEX('SDO Plan'!$A$9:$G$19,2*INT((20+WEEKDAY($A$3,2)-1)/7)+1,MOD(20+WEEKDAY($A$3,2)-1,7)+1)&amp;""="","","SDO")))</f>
        <v/>
      </c>
      <c r="Y25" s="202">
        <f>IF(Y$5="","",IF(AND(IF(INDEX('BDO Plan'!$A$9:$G$19,2*INT((21+WEEKDAY($A$3,2)-1)/7)+1,MOD(21+WEEKDAY($A$3,2)-1,7)+1)&amp;""="","","BDO")&lt;&gt;"",IF(INDEX('SDO Plan'!$A$9:$G$19,2*INT((21+WEEKDAY($A$3,2)-1)/7)+1,MOD(21+WEEKDAY($A$3,2)-1,7)+1)&amp;""="","","SDO")&lt;&gt;""),"BDO+SDO",IF(INDEX('BDO Plan'!$A$9:$G$19,2*INT((21+WEEKDAY($A$3,2)-1)/7)+1,MOD(21+WEEKDAY($A$3,2)-1,7)+1)&amp;""="","","BDO")&amp;IF(INDEX('SDO Plan'!$A$9:$G$19,2*INT((21+WEEKDAY($A$3,2)-1)/7)+1,MOD(21+WEEKDAY($A$3,2)-1,7)+1)&amp;""="","","SDO")))</f>
        <v/>
      </c>
      <c r="Z25" s="202">
        <f>IF(Z$5="","",IF(AND(IF(INDEX('BDO Plan'!$A$9:$G$19,2*INT((22+WEEKDAY($A$3,2)-1)/7)+1,MOD(22+WEEKDAY($A$3,2)-1,7)+1)&amp;""="","","BDO")&lt;&gt;"",IF(INDEX('SDO Plan'!$A$9:$G$19,2*INT((22+WEEKDAY($A$3,2)-1)/7)+1,MOD(22+WEEKDAY($A$3,2)-1,7)+1)&amp;""="","","SDO")&lt;&gt;""),"BDO+SDO",IF(INDEX('BDO Plan'!$A$9:$G$19,2*INT((22+WEEKDAY($A$3,2)-1)/7)+1,MOD(22+WEEKDAY($A$3,2)-1,7)+1)&amp;""="","","BDO")&amp;IF(INDEX('SDO Plan'!$A$9:$G$19,2*INT((22+WEEKDAY($A$3,2)-1)/7)+1,MOD(22+WEEKDAY($A$3,2)-1,7)+1)&amp;""="","","SDO")))</f>
        <v/>
      </c>
      <c r="AA25" s="202">
        <f>IF(AA$5="","",IF(AND(IF(INDEX('BDO Plan'!$A$9:$G$19,2*INT((23+WEEKDAY($A$3,2)-1)/7)+1,MOD(23+WEEKDAY($A$3,2)-1,7)+1)&amp;""="","","BDO")&lt;&gt;"",IF(INDEX('SDO Plan'!$A$9:$G$19,2*INT((23+WEEKDAY($A$3,2)-1)/7)+1,MOD(23+WEEKDAY($A$3,2)-1,7)+1)&amp;""="","","SDO")&lt;&gt;""),"BDO+SDO",IF(INDEX('BDO Plan'!$A$9:$G$19,2*INT((23+WEEKDAY($A$3,2)-1)/7)+1,MOD(23+WEEKDAY($A$3,2)-1,7)+1)&amp;""="","","BDO")&amp;IF(INDEX('SDO Plan'!$A$9:$G$19,2*INT((23+WEEKDAY($A$3,2)-1)/7)+1,MOD(23+WEEKDAY($A$3,2)-1,7)+1)&amp;""="","","SDO")))</f>
        <v/>
      </c>
      <c r="AB25" s="202">
        <f>IF(AB$5="","",IF(AND(IF(INDEX('BDO Plan'!$A$9:$G$19,2*INT((24+WEEKDAY($A$3,2)-1)/7)+1,MOD(24+WEEKDAY($A$3,2)-1,7)+1)&amp;""="","","BDO")&lt;&gt;"",IF(INDEX('SDO Plan'!$A$9:$G$19,2*INT((24+WEEKDAY($A$3,2)-1)/7)+1,MOD(24+WEEKDAY($A$3,2)-1,7)+1)&amp;""="","","SDO")&lt;&gt;""),"BDO+SDO",IF(INDEX('BDO Plan'!$A$9:$G$19,2*INT((24+WEEKDAY($A$3,2)-1)/7)+1,MOD(24+WEEKDAY($A$3,2)-1,7)+1)&amp;""="","","BDO")&amp;IF(INDEX('SDO Plan'!$A$9:$G$19,2*INT((24+WEEKDAY($A$3,2)-1)/7)+1,MOD(24+WEEKDAY($A$3,2)-1,7)+1)&amp;""="","","SDO")))</f>
        <v/>
      </c>
      <c r="AC25" s="202">
        <f>IF(AC$5="","",IF(AND(IF(INDEX('BDO Plan'!$A$9:$G$19,2*INT((25+WEEKDAY($A$3,2)-1)/7)+1,MOD(25+WEEKDAY($A$3,2)-1,7)+1)&amp;""="","","BDO")&lt;&gt;"",IF(INDEX('SDO Plan'!$A$9:$G$19,2*INT((25+WEEKDAY($A$3,2)-1)/7)+1,MOD(25+WEEKDAY($A$3,2)-1,7)+1)&amp;""="","","SDO")&lt;&gt;""),"BDO+SDO",IF(INDEX('BDO Plan'!$A$9:$G$19,2*INT((25+WEEKDAY($A$3,2)-1)/7)+1,MOD(25+WEEKDAY($A$3,2)-1,7)+1)&amp;""="","","BDO")&amp;IF(INDEX('SDO Plan'!$A$9:$G$19,2*INT((25+WEEKDAY($A$3,2)-1)/7)+1,MOD(25+WEEKDAY($A$3,2)-1,7)+1)&amp;""="","","SDO")))</f>
        <v/>
      </c>
      <c r="AD25" s="202">
        <f>IF(AD$5="","",IF(AND(IF(INDEX('BDO Plan'!$A$9:$G$19,2*INT((26+WEEKDAY($A$3,2)-1)/7)+1,MOD(26+WEEKDAY($A$3,2)-1,7)+1)&amp;""="","","BDO")&lt;&gt;"",IF(INDEX('SDO Plan'!$A$9:$G$19,2*INT((26+WEEKDAY($A$3,2)-1)/7)+1,MOD(26+WEEKDAY($A$3,2)-1,7)+1)&amp;""="","","SDO")&lt;&gt;""),"BDO+SDO",IF(INDEX('BDO Plan'!$A$9:$G$19,2*INT((26+WEEKDAY($A$3,2)-1)/7)+1,MOD(26+WEEKDAY($A$3,2)-1,7)+1)&amp;""="","","BDO")&amp;IF(INDEX('SDO Plan'!$A$9:$G$19,2*INT((26+WEEKDAY($A$3,2)-1)/7)+1,MOD(26+WEEKDAY($A$3,2)-1,7)+1)&amp;""="","","SDO")))</f>
        <v/>
      </c>
      <c r="AE25" s="202">
        <f>IF(AE$5="","",IF(AND(IF(INDEX('BDO Plan'!$A$9:$G$19,2*INT((27+WEEKDAY($A$3,2)-1)/7)+1,MOD(27+WEEKDAY($A$3,2)-1,7)+1)&amp;""="","","BDO")&lt;&gt;"",IF(INDEX('SDO Plan'!$A$9:$G$19,2*INT((27+WEEKDAY($A$3,2)-1)/7)+1,MOD(27+WEEKDAY($A$3,2)-1,7)+1)&amp;""="","","SDO")&lt;&gt;""),"BDO+SDO",IF(INDEX('BDO Plan'!$A$9:$G$19,2*INT((27+WEEKDAY($A$3,2)-1)/7)+1,MOD(27+WEEKDAY($A$3,2)-1,7)+1)&amp;""="","","BDO")&amp;IF(INDEX('SDO Plan'!$A$9:$G$19,2*INT((27+WEEKDAY($A$3,2)-1)/7)+1,MOD(27+WEEKDAY($A$3,2)-1,7)+1)&amp;""="","","SDO")))</f>
        <v/>
      </c>
      <c r="AF25" s="202">
        <f>IF(AF$5="","",IF(AND(IF(INDEX('BDO Plan'!$A$9:$G$19,2*INT((28+WEEKDAY($A$3,2)-1)/7)+1,MOD(28+WEEKDAY($A$3,2)-1,7)+1)&amp;""="","","BDO")&lt;&gt;"",IF(INDEX('SDO Plan'!$A$9:$G$19,2*INT((28+WEEKDAY($A$3,2)-1)/7)+1,MOD(28+WEEKDAY($A$3,2)-1,7)+1)&amp;""="","","SDO")&lt;&gt;""),"BDO+SDO",IF(INDEX('BDO Plan'!$A$9:$G$19,2*INT((28+WEEKDAY($A$3,2)-1)/7)+1,MOD(28+WEEKDAY($A$3,2)-1,7)+1)&amp;""="","","BDO")&amp;IF(INDEX('SDO Plan'!$A$9:$G$19,2*INT((28+WEEKDAY($A$3,2)-1)/7)+1,MOD(28+WEEKDAY($A$3,2)-1,7)+1)&amp;""="","","SDO")))</f>
        <v/>
      </c>
      <c r="AG25" s="202">
        <f>IF(AG$5="","",IF(AND(IF(INDEX('BDO Plan'!$A$9:$G$19,2*INT((29+WEEKDAY($A$3,2)-1)/7)+1,MOD(29+WEEKDAY($A$3,2)-1,7)+1)&amp;""="","","BDO")&lt;&gt;"",IF(INDEX('SDO Plan'!$A$9:$G$19,2*INT((29+WEEKDAY($A$3,2)-1)/7)+1,MOD(29+WEEKDAY($A$3,2)-1,7)+1)&amp;""="","","SDO")&lt;&gt;""),"BDO+SDO",IF(INDEX('BDO Plan'!$A$9:$G$19,2*INT((29+WEEKDAY($A$3,2)-1)/7)+1,MOD(29+WEEKDAY($A$3,2)-1,7)+1)&amp;""="","","BDO")&amp;IF(INDEX('SDO Plan'!$A$9:$G$19,2*INT((29+WEEKDAY($A$3,2)-1)/7)+1,MOD(29+WEEKDAY($A$3,2)-1,7)+1)&amp;""="","","SDO")))</f>
        <v/>
      </c>
      <c r="AH25" s="202">
        <f>IF(AH$5="","",IF(AND(IF(INDEX('BDO Plan'!$A$9:$G$19,2*INT((30+WEEKDAY($A$3,2)-1)/7)+1,MOD(30+WEEKDAY($A$3,2)-1,7)+1)&amp;""="","","BDO")&lt;&gt;"",IF(INDEX('SDO Plan'!$A$9:$G$19,2*INT((30+WEEKDAY($A$3,2)-1)/7)+1,MOD(30+WEEKDAY($A$3,2)-1,7)+1)&amp;""="","","SDO")&lt;&gt;""),"BDO+SDO",IF(INDEX('BDO Plan'!$A$9:$G$19,2*INT((30+WEEKDAY($A$3,2)-1)/7)+1,MOD(30+WEEKDAY($A$3,2)-1,7)+1)&amp;""="","","BDO")&amp;IF(INDEX('SDO Plan'!$A$9:$G$19,2*INT((30+WEEKDAY($A$3,2)-1)/7)+1,MOD(30+WEEKDAY($A$3,2)-1,7)+1)&amp;""="","","SDO")))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Plan'!$I$9:$O$19,2*INT((0+WEEKDAY($A$3,2)-1)/7)+1,MOD(0+WEEKDAY($A$3,2)-1,7)+1)&amp;""="","","BDO")&lt;&gt;"",IF(INDEX('SDO Plan'!$I$9:$O$19,2*INT((0+WEEKDAY($A$3,2)-1)/7)+1,MOD(0+WEEKDAY($A$3,2)-1,7)+1)&amp;""="","","SDO")&lt;&gt;""),"BDO+SDO",IF(INDEX('BDO Plan'!$I$9:$O$19,2*INT((0+WEEKDAY($A$3,2)-1)/7)+1,MOD(0+WEEKDAY($A$3,2)-1,7)+1)&amp;""="","","BDO")&amp;IF(INDEX('SDO Plan'!$I$9:$O$19,2*INT((0+WEEKDAY($A$3,2)-1)/7)+1,MOD(0+WEEKDAY($A$3,2)-1,7)+1)&amp;""="","","SDO")))</f>
        <v/>
      </c>
      <c r="E25" s="202">
        <f>IF(E$5="","",IF(AND(IF(INDEX('BDO Plan'!$I$9:$O$19,2*INT((1+WEEKDAY($A$3,2)-1)/7)+1,MOD(1+WEEKDAY($A$3,2)-1,7)+1)&amp;""="","","BDO")&lt;&gt;"",IF(INDEX('SDO Plan'!$I$9:$O$19,2*INT((1+WEEKDAY($A$3,2)-1)/7)+1,MOD(1+WEEKDAY($A$3,2)-1,7)+1)&amp;""="","","SDO")&lt;&gt;""),"BDO+SDO",IF(INDEX('BDO Plan'!$I$9:$O$19,2*INT((1+WEEKDAY($A$3,2)-1)/7)+1,MOD(1+WEEKDAY($A$3,2)-1,7)+1)&amp;""="","","BDO")&amp;IF(INDEX('SDO Plan'!$I$9:$O$19,2*INT((1+WEEKDAY($A$3,2)-1)/7)+1,MOD(1+WEEKDAY($A$3,2)-1,7)+1)&amp;""="","","SDO")))</f>
        <v/>
      </c>
      <c r="F25" s="202">
        <f>IF(F$5="","",IF(AND(IF(INDEX('BDO Plan'!$I$9:$O$19,2*INT((2+WEEKDAY($A$3,2)-1)/7)+1,MOD(2+WEEKDAY($A$3,2)-1,7)+1)&amp;""="","","BDO")&lt;&gt;"",IF(INDEX('SDO Plan'!$I$9:$O$19,2*INT((2+WEEKDAY($A$3,2)-1)/7)+1,MOD(2+WEEKDAY($A$3,2)-1,7)+1)&amp;""="","","SDO")&lt;&gt;""),"BDO+SDO",IF(INDEX('BDO Plan'!$I$9:$O$19,2*INT((2+WEEKDAY($A$3,2)-1)/7)+1,MOD(2+WEEKDAY($A$3,2)-1,7)+1)&amp;""="","","BDO")&amp;IF(INDEX('SDO Plan'!$I$9:$O$19,2*INT((2+WEEKDAY($A$3,2)-1)/7)+1,MOD(2+WEEKDAY($A$3,2)-1,7)+1)&amp;""="","","SDO")))</f>
        <v/>
      </c>
      <c r="G25" s="202">
        <f>IF(G$5="","",IF(AND(IF(INDEX('BDO Plan'!$I$9:$O$19,2*INT((3+WEEKDAY($A$3,2)-1)/7)+1,MOD(3+WEEKDAY($A$3,2)-1,7)+1)&amp;""="","","BDO")&lt;&gt;"",IF(INDEX('SDO Plan'!$I$9:$O$19,2*INT((3+WEEKDAY($A$3,2)-1)/7)+1,MOD(3+WEEKDAY($A$3,2)-1,7)+1)&amp;""="","","SDO")&lt;&gt;""),"BDO+SDO",IF(INDEX('BDO Plan'!$I$9:$O$19,2*INT((3+WEEKDAY($A$3,2)-1)/7)+1,MOD(3+WEEKDAY($A$3,2)-1,7)+1)&amp;""="","","BDO")&amp;IF(INDEX('SDO Plan'!$I$9:$O$19,2*INT((3+WEEKDAY($A$3,2)-1)/7)+1,MOD(3+WEEKDAY($A$3,2)-1,7)+1)&amp;""="","","SDO")))</f>
        <v/>
      </c>
      <c r="H25" s="202">
        <f>IF(H$5="","",IF(AND(IF(INDEX('BDO Plan'!$I$9:$O$19,2*INT((4+WEEKDAY($A$3,2)-1)/7)+1,MOD(4+WEEKDAY($A$3,2)-1,7)+1)&amp;""="","","BDO")&lt;&gt;"",IF(INDEX('SDO Plan'!$I$9:$O$19,2*INT((4+WEEKDAY($A$3,2)-1)/7)+1,MOD(4+WEEKDAY($A$3,2)-1,7)+1)&amp;""="","","SDO")&lt;&gt;""),"BDO+SDO",IF(INDEX('BDO Plan'!$I$9:$O$19,2*INT((4+WEEKDAY($A$3,2)-1)/7)+1,MOD(4+WEEKDAY($A$3,2)-1,7)+1)&amp;""="","","BDO")&amp;IF(INDEX('SDO Plan'!$I$9:$O$19,2*INT((4+WEEKDAY($A$3,2)-1)/7)+1,MOD(4+WEEKDAY($A$3,2)-1,7)+1)&amp;""="","","SDO")))</f>
        <v/>
      </c>
      <c r="I25" s="202">
        <f>IF(I$5="","",IF(AND(IF(INDEX('BDO Plan'!$I$9:$O$19,2*INT((5+WEEKDAY($A$3,2)-1)/7)+1,MOD(5+WEEKDAY($A$3,2)-1,7)+1)&amp;""="","","BDO")&lt;&gt;"",IF(INDEX('SDO Plan'!$I$9:$O$19,2*INT((5+WEEKDAY($A$3,2)-1)/7)+1,MOD(5+WEEKDAY($A$3,2)-1,7)+1)&amp;""="","","SDO")&lt;&gt;""),"BDO+SDO",IF(INDEX('BDO Plan'!$I$9:$O$19,2*INT((5+WEEKDAY($A$3,2)-1)/7)+1,MOD(5+WEEKDAY($A$3,2)-1,7)+1)&amp;""="","","BDO")&amp;IF(INDEX('SDO Plan'!$I$9:$O$19,2*INT((5+WEEKDAY($A$3,2)-1)/7)+1,MOD(5+WEEKDAY($A$3,2)-1,7)+1)&amp;""="","","SDO")))</f>
        <v/>
      </c>
      <c r="J25" s="202">
        <f>IF(J$5="","",IF(AND(IF(INDEX('BDO Plan'!$I$9:$O$19,2*INT((6+WEEKDAY($A$3,2)-1)/7)+1,MOD(6+WEEKDAY($A$3,2)-1,7)+1)&amp;""="","","BDO")&lt;&gt;"",IF(INDEX('SDO Plan'!$I$9:$O$19,2*INT((6+WEEKDAY($A$3,2)-1)/7)+1,MOD(6+WEEKDAY($A$3,2)-1,7)+1)&amp;""="","","SDO")&lt;&gt;""),"BDO+SDO",IF(INDEX('BDO Plan'!$I$9:$O$19,2*INT((6+WEEKDAY($A$3,2)-1)/7)+1,MOD(6+WEEKDAY($A$3,2)-1,7)+1)&amp;""="","","BDO")&amp;IF(INDEX('SDO Plan'!$I$9:$O$19,2*INT((6+WEEKDAY($A$3,2)-1)/7)+1,MOD(6+WEEKDAY($A$3,2)-1,7)+1)&amp;""="","","SDO")))</f>
        <v/>
      </c>
      <c r="K25" s="202">
        <f>IF(K$5="","",IF(AND(IF(INDEX('BDO Plan'!$I$9:$O$19,2*INT((7+WEEKDAY($A$3,2)-1)/7)+1,MOD(7+WEEKDAY($A$3,2)-1,7)+1)&amp;""="","","BDO")&lt;&gt;"",IF(INDEX('SDO Plan'!$I$9:$O$19,2*INT((7+WEEKDAY($A$3,2)-1)/7)+1,MOD(7+WEEKDAY($A$3,2)-1,7)+1)&amp;""="","","SDO")&lt;&gt;""),"BDO+SDO",IF(INDEX('BDO Plan'!$I$9:$O$19,2*INT((7+WEEKDAY($A$3,2)-1)/7)+1,MOD(7+WEEKDAY($A$3,2)-1,7)+1)&amp;""="","","BDO")&amp;IF(INDEX('SDO Plan'!$I$9:$O$19,2*INT((7+WEEKDAY($A$3,2)-1)/7)+1,MOD(7+WEEKDAY($A$3,2)-1,7)+1)&amp;""="","","SDO")))</f>
        <v/>
      </c>
      <c r="L25" s="202">
        <f>IF(L$5="","",IF(AND(IF(INDEX('BDO Plan'!$I$9:$O$19,2*INT((8+WEEKDAY($A$3,2)-1)/7)+1,MOD(8+WEEKDAY($A$3,2)-1,7)+1)&amp;""="","","BDO")&lt;&gt;"",IF(INDEX('SDO Plan'!$I$9:$O$19,2*INT((8+WEEKDAY($A$3,2)-1)/7)+1,MOD(8+WEEKDAY($A$3,2)-1,7)+1)&amp;""="","","SDO")&lt;&gt;""),"BDO+SDO",IF(INDEX('BDO Plan'!$I$9:$O$19,2*INT((8+WEEKDAY($A$3,2)-1)/7)+1,MOD(8+WEEKDAY($A$3,2)-1,7)+1)&amp;""="","","BDO")&amp;IF(INDEX('SDO Plan'!$I$9:$O$19,2*INT((8+WEEKDAY($A$3,2)-1)/7)+1,MOD(8+WEEKDAY($A$3,2)-1,7)+1)&amp;""="","","SDO")))</f>
        <v/>
      </c>
      <c r="M25" s="202">
        <f>IF(M$5="","",IF(AND(IF(INDEX('BDO Plan'!$I$9:$O$19,2*INT((9+WEEKDAY($A$3,2)-1)/7)+1,MOD(9+WEEKDAY($A$3,2)-1,7)+1)&amp;""="","","BDO")&lt;&gt;"",IF(INDEX('SDO Plan'!$I$9:$O$19,2*INT((9+WEEKDAY($A$3,2)-1)/7)+1,MOD(9+WEEKDAY($A$3,2)-1,7)+1)&amp;""="","","SDO")&lt;&gt;""),"BDO+SDO",IF(INDEX('BDO Plan'!$I$9:$O$19,2*INT((9+WEEKDAY($A$3,2)-1)/7)+1,MOD(9+WEEKDAY($A$3,2)-1,7)+1)&amp;""="","","BDO")&amp;IF(INDEX('SDO Plan'!$I$9:$O$19,2*INT((9+WEEKDAY($A$3,2)-1)/7)+1,MOD(9+WEEKDAY($A$3,2)-1,7)+1)&amp;""="","","SDO")))</f>
        <v/>
      </c>
      <c r="N25" s="202">
        <f>IF(N$5="","",IF(AND(IF(INDEX('BDO Plan'!$I$9:$O$19,2*INT((10+WEEKDAY($A$3,2)-1)/7)+1,MOD(10+WEEKDAY($A$3,2)-1,7)+1)&amp;""="","","BDO")&lt;&gt;"",IF(INDEX('SDO Plan'!$I$9:$O$19,2*INT((10+WEEKDAY($A$3,2)-1)/7)+1,MOD(10+WEEKDAY($A$3,2)-1,7)+1)&amp;""="","","SDO")&lt;&gt;""),"BDO+SDO",IF(INDEX('BDO Plan'!$I$9:$O$19,2*INT((10+WEEKDAY($A$3,2)-1)/7)+1,MOD(10+WEEKDAY($A$3,2)-1,7)+1)&amp;""="","","BDO")&amp;IF(INDEX('SDO Plan'!$I$9:$O$19,2*INT((10+WEEKDAY($A$3,2)-1)/7)+1,MOD(10+WEEKDAY($A$3,2)-1,7)+1)&amp;""="","","SDO")))</f>
        <v/>
      </c>
      <c r="O25" s="202">
        <f>IF(O$5="","",IF(AND(IF(INDEX('BDO Plan'!$I$9:$O$19,2*INT((11+WEEKDAY($A$3,2)-1)/7)+1,MOD(11+WEEKDAY($A$3,2)-1,7)+1)&amp;""="","","BDO")&lt;&gt;"",IF(INDEX('SDO Plan'!$I$9:$O$19,2*INT((11+WEEKDAY($A$3,2)-1)/7)+1,MOD(11+WEEKDAY($A$3,2)-1,7)+1)&amp;""="","","SDO")&lt;&gt;""),"BDO+SDO",IF(INDEX('BDO Plan'!$I$9:$O$19,2*INT((11+WEEKDAY($A$3,2)-1)/7)+1,MOD(11+WEEKDAY($A$3,2)-1,7)+1)&amp;""="","","BDO")&amp;IF(INDEX('SDO Plan'!$I$9:$O$19,2*INT((11+WEEKDAY($A$3,2)-1)/7)+1,MOD(11+WEEKDAY($A$3,2)-1,7)+1)&amp;""="","","SDO")))</f>
        <v/>
      </c>
      <c r="P25" s="202">
        <f>IF(P$5="","",IF(AND(IF(INDEX('BDO Plan'!$I$9:$O$19,2*INT((12+WEEKDAY($A$3,2)-1)/7)+1,MOD(12+WEEKDAY($A$3,2)-1,7)+1)&amp;""="","","BDO")&lt;&gt;"",IF(INDEX('SDO Plan'!$I$9:$O$19,2*INT((12+WEEKDAY($A$3,2)-1)/7)+1,MOD(12+WEEKDAY($A$3,2)-1,7)+1)&amp;""="","","SDO")&lt;&gt;""),"BDO+SDO",IF(INDEX('BDO Plan'!$I$9:$O$19,2*INT((12+WEEKDAY($A$3,2)-1)/7)+1,MOD(12+WEEKDAY($A$3,2)-1,7)+1)&amp;""="","","BDO")&amp;IF(INDEX('SDO Plan'!$I$9:$O$19,2*INT((12+WEEKDAY($A$3,2)-1)/7)+1,MOD(12+WEEKDAY($A$3,2)-1,7)+1)&amp;""="","","SDO")))</f>
        <v/>
      </c>
      <c r="Q25" s="202">
        <f>IF(Q$5="","",IF(AND(IF(INDEX('BDO Plan'!$I$9:$O$19,2*INT((13+WEEKDAY($A$3,2)-1)/7)+1,MOD(13+WEEKDAY($A$3,2)-1,7)+1)&amp;""="","","BDO")&lt;&gt;"",IF(INDEX('SDO Plan'!$I$9:$O$19,2*INT((13+WEEKDAY($A$3,2)-1)/7)+1,MOD(13+WEEKDAY($A$3,2)-1,7)+1)&amp;""="","","SDO")&lt;&gt;""),"BDO+SDO",IF(INDEX('BDO Plan'!$I$9:$O$19,2*INT((13+WEEKDAY($A$3,2)-1)/7)+1,MOD(13+WEEKDAY($A$3,2)-1,7)+1)&amp;""="","","BDO")&amp;IF(INDEX('SDO Plan'!$I$9:$O$19,2*INT((13+WEEKDAY($A$3,2)-1)/7)+1,MOD(13+WEEKDAY($A$3,2)-1,7)+1)&amp;""="","","SDO")))</f>
        <v/>
      </c>
      <c r="R25" s="202">
        <f>IF(R$5="","",IF(AND(IF(INDEX('BDO Plan'!$I$9:$O$19,2*INT((14+WEEKDAY($A$3,2)-1)/7)+1,MOD(14+WEEKDAY($A$3,2)-1,7)+1)&amp;""="","","BDO")&lt;&gt;"",IF(INDEX('SDO Plan'!$I$9:$O$19,2*INT((14+WEEKDAY($A$3,2)-1)/7)+1,MOD(14+WEEKDAY($A$3,2)-1,7)+1)&amp;""="","","SDO")&lt;&gt;""),"BDO+SDO",IF(INDEX('BDO Plan'!$I$9:$O$19,2*INT((14+WEEKDAY($A$3,2)-1)/7)+1,MOD(14+WEEKDAY($A$3,2)-1,7)+1)&amp;""="","","BDO")&amp;IF(INDEX('SDO Plan'!$I$9:$O$19,2*INT((14+WEEKDAY($A$3,2)-1)/7)+1,MOD(14+WEEKDAY($A$3,2)-1,7)+1)&amp;""="","","SDO")))</f>
        <v/>
      </c>
      <c r="S25" s="202">
        <f>IF(S$5="","",IF(AND(IF(INDEX('BDO Plan'!$I$9:$O$19,2*INT((15+WEEKDAY($A$3,2)-1)/7)+1,MOD(15+WEEKDAY($A$3,2)-1,7)+1)&amp;""="","","BDO")&lt;&gt;"",IF(INDEX('SDO Plan'!$I$9:$O$19,2*INT((15+WEEKDAY($A$3,2)-1)/7)+1,MOD(15+WEEKDAY($A$3,2)-1,7)+1)&amp;""="","","SDO")&lt;&gt;""),"BDO+SDO",IF(INDEX('BDO Plan'!$I$9:$O$19,2*INT((15+WEEKDAY($A$3,2)-1)/7)+1,MOD(15+WEEKDAY($A$3,2)-1,7)+1)&amp;""="","","BDO")&amp;IF(INDEX('SDO Plan'!$I$9:$O$19,2*INT((15+WEEKDAY($A$3,2)-1)/7)+1,MOD(15+WEEKDAY($A$3,2)-1,7)+1)&amp;""="","","SDO")))</f>
        <v/>
      </c>
      <c r="T25" s="202">
        <f>IF(T$5="","",IF(AND(IF(INDEX('BDO Plan'!$I$9:$O$19,2*INT((16+WEEKDAY($A$3,2)-1)/7)+1,MOD(16+WEEKDAY($A$3,2)-1,7)+1)&amp;""="","","BDO")&lt;&gt;"",IF(INDEX('SDO Plan'!$I$9:$O$19,2*INT((16+WEEKDAY($A$3,2)-1)/7)+1,MOD(16+WEEKDAY($A$3,2)-1,7)+1)&amp;""="","","SDO")&lt;&gt;""),"BDO+SDO",IF(INDEX('BDO Plan'!$I$9:$O$19,2*INT((16+WEEKDAY($A$3,2)-1)/7)+1,MOD(16+WEEKDAY($A$3,2)-1,7)+1)&amp;""="","","BDO")&amp;IF(INDEX('SDO Plan'!$I$9:$O$19,2*INT((16+WEEKDAY($A$3,2)-1)/7)+1,MOD(16+WEEKDAY($A$3,2)-1,7)+1)&amp;""="","","SDO")))</f>
        <v/>
      </c>
      <c r="U25" s="202">
        <f>IF(U$5="","",IF(AND(IF(INDEX('BDO Plan'!$I$9:$O$19,2*INT((17+WEEKDAY($A$3,2)-1)/7)+1,MOD(17+WEEKDAY($A$3,2)-1,7)+1)&amp;""="","","BDO")&lt;&gt;"",IF(INDEX('SDO Plan'!$I$9:$O$19,2*INT((17+WEEKDAY($A$3,2)-1)/7)+1,MOD(17+WEEKDAY($A$3,2)-1,7)+1)&amp;""="","","SDO")&lt;&gt;""),"BDO+SDO",IF(INDEX('BDO Plan'!$I$9:$O$19,2*INT((17+WEEKDAY($A$3,2)-1)/7)+1,MOD(17+WEEKDAY($A$3,2)-1,7)+1)&amp;""="","","BDO")&amp;IF(INDEX('SDO Plan'!$I$9:$O$19,2*INT((17+WEEKDAY($A$3,2)-1)/7)+1,MOD(17+WEEKDAY($A$3,2)-1,7)+1)&amp;""="","","SDO")))</f>
        <v/>
      </c>
      <c r="V25" s="202">
        <f>IF(V$5="","",IF(AND(IF(INDEX('BDO Plan'!$I$9:$O$19,2*INT((18+WEEKDAY($A$3,2)-1)/7)+1,MOD(18+WEEKDAY($A$3,2)-1,7)+1)&amp;""="","","BDO")&lt;&gt;"",IF(INDEX('SDO Plan'!$I$9:$O$19,2*INT((18+WEEKDAY($A$3,2)-1)/7)+1,MOD(18+WEEKDAY($A$3,2)-1,7)+1)&amp;""="","","SDO")&lt;&gt;""),"BDO+SDO",IF(INDEX('BDO Plan'!$I$9:$O$19,2*INT((18+WEEKDAY($A$3,2)-1)/7)+1,MOD(18+WEEKDAY($A$3,2)-1,7)+1)&amp;""="","","BDO")&amp;IF(INDEX('SDO Plan'!$I$9:$O$19,2*INT((18+WEEKDAY($A$3,2)-1)/7)+1,MOD(18+WEEKDAY($A$3,2)-1,7)+1)&amp;""="","","SDO")))</f>
        <v/>
      </c>
      <c r="W25" s="202">
        <f>IF(W$5="","",IF(AND(IF(INDEX('BDO Plan'!$I$9:$O$19,2*INT((19+WEEKDAY($A$3,2)-1)/7)+1,MOD(19+WEEKDAY($A$3,2)-1,7)+1)&amp;""="","","BDO")&lt;&gt;"",IF(INDEX('SDO Plan'!$I$9:$O$19,2*INT((19+WEEKDAY($A$3,2)-1)/7)+1,MOD(19+WEEKDAY($A$3,2)-1,7)+1)&amp;""="","","SDO")&lt;&gt;""),"BDO+SDO",IF(INDEX('BDO Plan'!$I$9:$O$19,2*INT((19+WEEKDAY($A$3,2)-1)/7)+1,MOD(19+WEEKDAY($A$3,2)-1,7)+1)&amp;""="","","BDO")&amp;IF(INDEX('SDO Plan'!$I$9:$O$19,2*INT((19+WEEKDAY($A$3,2)-1)/7)+1,MOD(19+WEEKDAY($A$3,2)-1,7)+1)&amp;""="","","SDO")))</f>
        <v/>
      </c>
      <c r="X25" s="202">
        <f>IF(X$5="","",IF(AND(IF(INDEX('BDO Plan'!$I$9:$O$19,2*INT((20+WEEKDAY($A$3,2)-1)/7)+1,MOD(20+WEEKDAY($A$3,2)-1,7)+1)&amp;""="","","BDO")&lt;&gt;"",IF(INDEX('SDO Plan'!$I$9:$O$19,2*INT((20+WEEKDAY($A$3,2)-1)/7)+1,MOD(20+WEEKDAY($A$3,2)-1,7)+1)&amp;""="","","SDO")&lt;&gt;""),"BDO+SDO",IF(INDEX('BDO Plan'!$I$9:$O$19,2*INT((20+WEEKDAY($A$3,2)-1)/7)+1,MOD(20+WEEKDAY($A$3,2)-1,7)+1)&amp;""="","","BDO")&amp;IF(INDEX('SDO Plan'!$I$9:$O$19,2*INT((20+WEEKDAY($A$3,2)-1)/7)+1,MOD(20+WEEKDAY($A$3,2)-1,7)+1)&amp;""="","","SDO")))</f>
        <v/>
      </c>
      <c r="Y25" s="202">
        <f>IF(Y$5="","",IF(AND(IF(INDEX('BDO Plan'!$I$9:$O$19,2*INT((21+WEEKDAY($A$3,2)-1)/7)+1,MOD(21+WEEKDAY($A$3,2)-1,7)+1)&amp;""="","","BDO")&lt;&gt;"",IF(INDEX('SDO Plan'!$I$9:$O$19,2*INT((21+WEEKDAY($A$3,2)-1)/7)+1,MOD(21+WEEKDAY($A$3,2)-1,7)+1)&amp;""="","","SDO")&lt;&gt;""),"BDO+SDO",IF(INDEX('BDO Plan'!$I$9:$O$19,2*INT((21+WEEKDAY($A$3,2)-1)/7)+1,MOD(21+WEEKDAY($A$3,2)-1,7)+1)&amp;""="","","BDO")&amp;IF(INDEX('SDO Plan'!$I$9:$O$19,2*INT((21+WEEKDAY($A$3,2)-1)/7)+1,MOD(21+WEEKDAY($A$3,2)-1,7)+1)&amp;""="","","SDO")))</f>
        <v/>
      </c>
      <c r="Z25" s="202">
        <f>IF(Z$5="","",IF(AND(IF(INDEX('BDO Plan'!$I$9:$O$19,2*INT((22+WEEKDAY($A$3,2)-1)/7)+1,MOD(22+WEEKDAY($A$3,2)-1,7)+1)&amp;""="","","BDO")&lt;&gt;"",IF(INDEX('SDO Plan'!$I$9:$O$19,2*INT((22+WEEKDAY($A$3,2)-1)/7)+1,MOD(22+WEEKDAY($A$3,2)-1,7)+1)&amp;""="","","SDO")&lt;&gt;""),"BDO+SDO",IF(INDEX('BDO Plan'!$I$9:$O$19,2*INT((22+WEEKDAY($A$3,2)-1)/7)+1,MOD(22+WEEKDAY($A$3,2)-1,7)+1)&amp;""="","","BDO")&amp;IF(INDEX('SDO Plan'!$I$9:$O$19,2*INT((22+WEEKDAY($A$3,2)-1)/7)+1,MOD(22+WEEKDAY($A$3,2)-1,7)+1)&amp;""="","","SDO")))</f>
        <v/>
      </c>
      <c r="AA25" s="202">
        <f>IF(AA$5="","",IF(AND(IF(INDEX('BDO Plan'!$I$9:$O$19,2*INT((23+WEEKDAY($A$3,2)-1)/7)+1,MOD(23+WEEKDAY($A$3,2)-1,7)+1)&amp;""="","","BDO")&lt;&gt;"",IF(INDEX('SDO Plan'!$I$9:$O$19,2*INT((23+WEEKDAY($A$3,2)-1)/7)+1,MOD(23+WEEKDAY($A$3,2)-1,7)+1)&amp;""="","","SDO")&lt;&gt;""),"BDO+SDO",IF(INDEX('BDO Plan'!$I$9:$O$19,2*INT((23+WEEKDAY($A$3,2)-1)/7)+1,MOD(23+WEEKDAY($A$3,2)-1,7)+1)&amp;""="","","BDO")&amp;IF(INDEX('SDO Plan'!$I$9:$O$19,2*INT((23+WEEKDAY($A$3,2)-1)/7)+1,MOD(23+WEEKDAY($A$3,2)-1,7)+1)&amp;""="","","SDO")))</f>
        <v/>
      </c>
      <c r="AB25" s="202">
        <f>IF(AB$5="","",IF(AND(IF(INDEX('BDO Plan'!$I$9:$O$19,2*INT((24+WEEKDAY($A$3,2)-1)/7)+1,MOD(24+WEEKDAY($A$3,2)-1,7)+1)&amp;""="","","BDO")&lt;&gt;"",IF(INDEX('SDO Plan'!$I$9:$O$19,2*INT((24+WEEKDAY($A$3,2)-1)/7)+1,MOD(24+WEEKDAY($A$3,2)-1,7)+1)&amp;""="","","SDO")&lt;&gt;""),"BDO+SDO",IF(INDEX('BDO Plan'!$I$9:$O$19,2*INT((24+WEEKDAY($A$3,2)-1)/7)+1,MOD(24+WEEKDAY($A$3,2)-1,7)+1)&amp;""="","","BDO")&amp;IF(INDEX('SDO Plan'!$I$9:$O$19,2*INT((24+WEEKDAY($A$3,2)-1)/7)+1,MOD(24+WEEKDAY($A$3,2)-1,7)+1)&amp;""="","","SDO")))</f>
        <v/>
      </c>
      <c r="AC25" s="202">
        <f>IF(AC$5="","",IF(AND(IF(INDEX('BDO Plan'!$I$9:$O$19,2*INT((25+WEEKDAY($A$3,2)-1)/7)+1,MOD(25+WEEKDAY($A$3,2)-1,7)+1)&amp;""="","","BDO")&lt;&gt;"",IF(INDEX('SDO Plan'!$I$9:$O$19,2*INT((25+WEEKDAY($A$3,2)-1)/7)+1,MOD(25+WEEKDAY($A$3,2)-1,7)+1)&amp;""="","","SDO")&lt;&gt;""),"BDO+SDO",IF(INDEX('BDO Plan'!$I$9:$O$19,2*INT((25+WEEKDAY($A$3,2)-1)/7)+1,MOD(25+WEEKDAY($A$3,2)-1,7)+1)&amp;""="","","BDO")&amp;IF(INDEX('SDO Plan'!$I$9:$O$19,2*INT((25+WEEKDAY($A$3,2)-1)/7)+1,MOD(25+WEEKDAY($A$3,2)-1,7)+1)&amp;""="","","SDO")))</f>
        <v/>
      </c>
      <c r="AD25" s="202">
        <f>IF(AD$5="","",IF(AND(IF(INDEX('BDO Plan'!$I$9:$O$19,2*INT((26+WEEKDAY($A$3,2)-1)/7)+1,MOD(26+WEEKDAY($A$3,2)-1,7)+1)&amp;""="","","BDO")&lt;&gt;"",IF(INDEX('SDO Plan'!$I$9:$O$19,2*INT((26+WEEKDAY($A$3,2)-1)/7)+1,MOD(26+WEEKDAY($A$3,2)-1,7)+1)&amp;""="","","SDO")&lt;&gt;""),"BDO+SDO",IF(INDEX('BDO Plan'!$I$9:$O$19,2*INT((26+WEEKDAY($A$3,2)-1)/7)+1,MOD(26+WEEKDAY($A$3,2)-1,7)+1)&amp;""="","","BDO")&amp;IF(INDEX('SDO Plan'!$I$9:$O$19,2*INT((26+WEEKDAY($A$3,2)-1)/7)+1,MOD(26+WEEKDAY($A$3,2)-1,7)+1)&amp;""="","","SDO")))</f>
        <v/>
      </c>
      <c r="AE25" s="202">
        <f>IF(AE$5="","",IF(AND(IF(INDEX('BDO Plan'!$I$9:$O$19,2*INT((27+WEEKDAY($A$3,2)-1)/7)+1,MOD(27+WEEKDAY($A$3,2)-1,7)+1)&amp;""="","","BDO")&lt;&gt;"",IF(INDEX('SDO Plan'!$I$9:$O$19,2*INT((27+WEEKDAY($A$3,2)-1)/7)+1,MOD(27+WEEKDAY($A$3,2)-1,7)+1)&amp;""="","","SDO")&lt;&gt;""),"BDO+SDO",IF(INDEX('BDO Plan'!$I$9:$O$19,2*INT((27+WEEKDAY($A$3,2)-1)/7)+1,MOD(27+WEEKDAY($A$3,2)-1,7)+1)&amp;""="","","BDO")&amp;IF(INDEX('SDO Plan'!$I$9:$O$19,2*INT((27+WEEKDAY($A$3,2)-1)/7)+1,MOD(27+WEEKDAY($A$3,2)-1,7)+1)&amp;""="","","SDO")))</f>
        <v/>
      </c>
      <c r="AF25" s="202">
        <f>IF(AF$5="","",IF(AND(IF(INDEX('BDO Plan'!$I$9:$O$19,2*INT((28+WEEKDAY($A$3,2)-1)/7)+1,MOD(28+WEEKDAY($A$3,2)-1,7)+1)&amp;""="","","BDO")&lt;&gt;"",IF(INDEX('SDO Plan'!$I$9:$O$19,2*INT((28+WEEKDAY($A$3,2)-1)/7)+1,MOD(28+WEEKDAY($A$3,2)-1,7)+1)&amp;""="","","SDO")&lt;&gt;""),"BDO+SDO",IF(INDEX('BDO Plan'!$I$9:$O$19,2*INT((28+WEEKDAY($A$3,2)-1)/7)+1,MOD(28+WEEKDAY($A$3,2)-1,7)+1)&amp;""="","","BDO")&amp;IF(INDEX('SDO Plan'!$I$9:$O$19,2*INT((28+WEEKDAY($A$3,2)-1)/7)+1,MOD(28+WEEKDAY($A$3,2)-1,7)+1)&amp;""="","","SDO")))</f>
        <v/>
      </c>
      <c r="AG25" s="202">
        <f>IF(AG$5="","",IF(AND(IF(INDEX('BDO Plan'!$I$9:$O$19,2*INT((29+WEEKDAY($A$3,2)-1)/7)+1,MOD(29+WEEKDAY($A$3,2)-1,7)+1)&amp;""="","","BDO")&lt;&gt;"",IF(INDEX('SDO Plan'!$I$9:$O$19,2*INT((29+WEEKDAY($A$3,2)-1)/7)+1,MOD(29+WEEKDAY($A$3,2)-1,7)+1)&amp;""="","","SDO")&lt;&gt;""),"BDO+SDO",IF(INDEX('BDO Plan'!$I$9:$O$19,2*INT((29+WEEKDAY($A$3,2)-1)/7)+1,MOD(29+WEEKDAY($A$3,2)-1,7)+1)&amp;""="","","BDO")&amp;IF(INDEX('SDO Plan'!$I$9:$O$19,2*INT((29+WEEKDAY($A$3,2)-1)/7)+1,MOD(29+WEEKDAY($A$3,2)-1,7)+1)&amp;""="","","SDO")))</f>
        <v/>
      </c>
      <c r="AH25" s="202">
        <f>IF(AH$5="","",IF(AND(IF(INDEX('BDO Plan'!$I$9:$O$19,2*INT((30+WEEKDAY($A$3,2)-1)/7)+1,MOD(30+WEEKDAY($A$3,2)-1,7)+1)&amp;""="","","BDO")&lt;&gt;"",IF(INDEX('SDO Plan'!$I$9:$O$19,2*INT((30+WEEKDAY($A$3,2)-1)/7)+1,MOD(30+WEEKDAY($A$3,2)-1,7)+1)&amp;""="","","SDO")&lt;&gt;""),"BDO+SDO",IF(INDEX('BDO Plan'!$I$9:$O$19,2*INT((30+WEEKDAY($A$3,2)-1)/7)+1,MOD(30+WEEKDAY($A$3,2)-1,7)+1)&amp;""="","","BDO")&amp;IF(INDEX('SDO Plan'!$I$9:$O$19,2*INT((30+WEEKDAY($A$3,2)-1)/7)+1,MOD(30+WEEKDAY($A$3,2)-1,7)+1)&amp;""="","","SDO")))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Plan'!$Q$9:$W$19,2*INT((0+WEEKDAY($A$3,2)-1)/7)+1,MOD(0+WEEKDAY($A$3,2)-1,7)+1)&amp;""="","","BDO")&lt;&gt;"",IF(INDEX('SDO Plan'!$Q$9:$W$19,2*INT((0+WEEKDAY($A$3,2)-1)/7)+1,MOD(0+WEEKDAY($A$3,2)-1,7)+1)&amp;""="","","SDO")&lt;&gt;""),"BDO+SDO",IF(INDEX('BDO Plan'!$Q$9:$W$19,2*INT((0+WEEKDAY($A$3,2)-1)/7)+1,MOD(0+WEEKDAY($A$3,2)-1,7)+1)&amp;""="","","BDO")&amp;IF(INDEX('SDO Plan'!$Q$9:$W$19,2*INT((0+WEEKDAY($A$3,2)-1)/7)+1,MOD(0+WEEKDAY($A$3,2)-1,7)+1)&amp;""="","","SDO")))</f>
        <v/>
      </c>
      <c r="E25" s="202">
        <f>IF(E$5="","",IF(AND(IF(INDEX('BDO Plan'!$Q$9:$W$19,2*INT((1+WEEKDAY($A$3,2)-1)/7)+1,MOD(1+WEEKDAY($A$3,2)-1,7)+1)&amp;""="","","BDO")&lt;&gt;"",IF(INDEX('SDO Plan'!$Q$9:$W$19,2*INT((1+WEEKDAY($A$3,2)-1)/7)+1,MOD(1+WEEKDAY($A$3,2)-1,7)+1)&amp;""="","","SDO")&lt;&gt;""),"BDO+SDO",IF(INDEX('BDO Plan'!$Q$9:$W$19,2*INT((1+WEEKDAY($A$3,2)-1)/7)+1,MOD(1+WEEKDAY($A$3,2)-1,7)+1)&amp;""="","","BDO")&amp;IF(INDEX('SDO Plan'!$Q$9:$W$19,2*INT((1+WEEKDAY($A$3,2)-1)/7)+1,MOD(1+WEEKDAY($A$3,2)-1,7)+1)&amp;""="","","SDO")))</f>
        <v/>
      </c>
      <c r="F25" s="202">
        <f>IF(F$5="","",IF(AND(IF(INDEX('BDO Plan'!$Q$9:$W$19,2*INT((2+WEEKDAY($A$3,2)-1)/7)+1,MOD(2+WEEKDAY($A$3,2)-1,7)+1)&amp;""="","","BDO")&lt;&gt;"",IF(INDEX('SDO Plan'!$Q$9:$W$19,2*INT((2+WEEKDAY($A$3,2)-1)/7)+1,MOD(2+WEEKDAY($A$3,2)-1,7)+1)&amp;""="","","SDO")&lt;&gt;""),"BDO+SDO",IF(INDEX('BDO Plan'!$Q$9:$W$19,2*INT((2+WEEKDAY($A$3,2)-1)/7)+1,MOD(2+WEEKDAY($A$3,2)-1,7)+1)&amp;""="","","BDO")&amp;IF(INDEX('SDO Plan'!$Q$9:$W$19,2*INT((2+WEEKDAY($A$3,2)-1)/7)+1,MOD(2+WEEKDAY($A$3,2)-1,7)+1)&amp;""="","","SDO")))</f>
        <v/>
      </c>
      <c r="G25" s="202">
        <f>IF(G$5="","",IF(AND(IF(INDEX('BDO Plan'!$Q$9:$W$19,2*INT((3+WEEKDAY($A$3,2)-1)/7)+1,MOD(3+WEEKDAY($A$3,2)-1,7)+1)&amp;""="","","BDO")&lt;&gt;"",IF(INDEX('SDO Plan'!$Q$9:$W$19,2*INT((3+WEEKDAY($A$3,2)-1)/7)+1,MOD(3+WEEKDAY($A$3,2)-1,7)+1)&amp;""="","","SDO")&lt;&gt;""),"BDO+SDO",IF(INDEX('BDO Plan'!$Q$9:$W$19,2*INT((3+WEEKDAY($A$3,2)-1)/7)+1,MOD(3+WEEKDAY($A$3,2)-1,7)+1)&amp;""="","","BDO")&amp;IF(INDEX('SDO Plan'!$Q$9:$W$19,2*INT((3+WEEKDAY($A$3,2)-1)/7)+1,MOD(3+WEEKDAY($A$3,2)-1,7)+1)&amp;""="","","SDO")))</f>
        <v/>
      </c>
      <c r="H25" s="202">
        <f>IF(H$5="","",IF(AND(IF(INDEX('BDO Plan'!$Q$9:$W$19,2*INT((4+WEEKDAY($A$3,2)-1)/7)+1,MOD(4+WEEKDAY($A$3,2)-1,7)+1)&amp;""="","","BDO")&lt;&gt;"",IF(INDEX('SDO Plan'!$Q$9:$W$19,2*INT((4+WEEKDAY($A$3,2)-1)/7)+1,MOD(4+WEEKDAY($A$3,2)-1,7)+1)&amp;""="","","SDO")&lt;&gt;""),"BDO+SDO",IF(INDEX('BDO Plan'!$Q$9:$W$19,2*INT((4+WEEKDAY($A$3,2)-1)/7)+1,MOD(4+WEEKDAY($A$3,2)-1,7)+1)&amp;""="","","BDO")&amp;IF(INDEX('SDO Plan'!$Q$9:$W$19,2*INT((4+WEEKDAY($A$3,2)-1)/7)+1,MOD(4+WEEKDAY($A$3,2)-1,7)+1)&amp;""="","","SDO")))</f>
        <v/>
      </c>
      <c r="I25" s="202">
        <f>IF(I$5="","",IF(AND(IF(INDEX('BDO Plan'!$Q$9:$W$19,2*INT((5+WEEKDAY($A$3,2)-1)/7)+1,MOD(5+WEEKDAY($A$3,2)-1,7)+1)&amp;""="","","BDO")&lt;&gt;"",IF(INDEX('SDO Plan'!$Q$9:$W$19,2*INT((5+WEEKDAY($A$3,2)-1)/7)+1,MOD(5+WEEKDAY($A$3,2)-1,7)+1)&amp;""="","","SDO")&lt;&gt;""),"BDO+SDO",IF(INDEX('BDO Plan'!$Q$9:$W$19,2*INT((5+WEEKDAY($A$3,2)-1)/7)+1,MOD(5+WEEKDAY($A$3,2)-1,7)+1)&amp;""="","","BDO")&amp;IF(INDEX('SDO Plan'!$Q$9:$W$19,2*INT((5+WEEKDAY($A$3,2)-1)/7)+1,MOD(5+WEEKDAY($A$3,2)-1,7)+1)&amp;""="","","SDO")))</f>
        <v/>
      </c>
      <c r="J25" s="202">
        <f>IF(J$5="","",IF(AND(IF(INDEX('BDO Plan'!$Q$9:$W$19,2*INT((6+WEEKDAY($A$3,2)-1)/7)+1,MOD(6+WEEKDAY($A$3,2)-1,7)+1)&amp;""="","","BDO")&lt;&gt;"",IF(INDEX('SDO Plan'!$Q$9:$W$19,2*INT((6+WEEKDAY($A$3,2)-1)/7)+1,MOD(6+WEEKDAY($A$3,2)-1,7)+1)&amp;""="","","SDO")&lt;&gt;""),"BDO+SDO",IF(INDEX('BDO Plan'!$Q$9:$W$19,2*INT((6+WEEKDAY($A$3,2)-1)/7)+1,MOD(6+WEEKDAY($A$3,2)-1,7)+1)&amp;""="","","BDO")&amp;IF(INDEX('SDO Plan'!$Q$9:$W$19,2*INT((6+WEEKDAY($A$3,2)-1)/7)+1,MOD(6+WEEKDAY($A$3,2)-1,7)+1)&amp;""="","","SDO")))</f>
        <v/>
      </c>
      <c r="K25" s="202">
        <f>IF(K$5="","",IF(AND(IF(INDEX('BDO Plan'!$Q$9:$W$19,2*INT((7+WEEKDAY($A$3,2)-1)/7)+1,MOD(7+WEEKDAY($A$3,2)-1,7)+1)&amp;""="","","BDO")&lt;&gt;"",IF(INDEX('SDO Plan'!$Q$9:$W$19,2*INT((7+WEEKDAY($A$3,2)-1)/7)+1,MOD(7+WEEKDAY($A$3,2)-1,7)+1)&amp;""="","","SDO")&lt;&gt;""),"BDO+SDO",IF(INDEX('BDO Plan'!$Q$9:$W$19,2*INT((7+WEEKDAY($A$3,2)-1)/7)+1,MOD(7+WEEKDAY($A$3,2)-1,7)+1)&amp;""="","","BDO")&amp;IF(INDEX('SDO Plan'!$Q$9:$W$19,2*INT((7+WEEKDAY($A$3,2)-1)/7)+1,MOD(7+WEEKDAY($A$3,2)-1,7)+1)&amp;""="","","SDO")))</f>
        <v/>
      </c>
      <c r="L25" s="202">
        <f>IF(L$5="","",IF(AND(IF(INDEX('BDO Plan'!$Q$9:$W$19,2*INT((8+WEEKDAY($A$3,2)-1)/7)+1,MOD(8+WEEKDAY($A$3,2)-1,7)+1)&amp;""="","","BDO")&lt;&gt;"",IF(INDEX('SDO Plan'!$Q$9:$W$19,2*INT((8+WEEKDAY($A$3,2)-1)/7)+1,MOD(8+WEEKDAY($A$3,2)-1,7)+1)&amp;""="","","SDO")&lt;&gt;""),"BDO+SDO",IF(INDEX('BDO Plan'!$Q$9:$W$19,2*INT((8+WEEKDAY($A$3,2)-1)/7)+1,MOD(8+WEEKDAY($A$3,2)-1,7)+1)&amp;""="","","BDO")&amp;IF(INDEX('SDO Plan'!$Q$9:$W$19,2*INT((8+WEEKDAY($A$3,2)-1)/7)+1,MOD(8+WEEKDAY($A$3,2)-1,7)+1)&amp;""="","","SDO")))</f>
        <v/>
      </c>
      <c r="M25" s="202">
        <f>IF(M$5="","",IF(AND(IF(INDEX('BDO Plan'!$Q$9:$W$19,2*INT((9+WEEKDAY($A$3,2)-1)/7)+1,MOD(9+WEEKDAY($A$3,2)-1,7)+1)&amp;""="","","BDO")&lt;&gt;"",IF(INDEX('SDO Plan'!$Q$9:$W$19,2*INT((9+WEEKDAY($A$3,2)-1)/7)+1,MOD(9+WEEKDAY($A$3,2)-1,7)+1)&amp;""="","","SDO")&lt;&gt;""),"BDO+SDO",IF(INDEX('BDO Plan'!$Q$9:$W$19,2*INT((9+WEEKDAY($A$3,2)-1)/7)+1,MOD(9+WEEKDAY($A$3,2)-1,7)+1)&amp;""="","","BDO")&amp;IF(INDEX('SDO Plan'!$Q$9:$W$19,2*INT((9+WEEKDAY($A$3,2)-1)/7)+1,MOD(9+WEEKDAY($A$3,2)-1,7)+1)&amp;""="","","SDO")))</f>
        <v/>
      </c>
      <c r="N25" s="202">
        <f>IF(N$5="","",IF(AND(IF(INDEX('BDO Plan'!$Q$9:$W$19,2*INT((10+WEEKDAY($A$3,2)-1)/7)+1,MOD(10+WEEKDAY($A$3,2)-1,7)+1)&amp;""="","","BDO")&lt;&gt;"",IF(INDEX('SDO Plan'!$Q$9:$W$19,2*INT((10+WEEKDAY($A$3,2)-1)/7)+1,MOD(10+WEEKDAY($A$3,2)-1,7)+1)&amp;""="","","SDO")&lt;&gt;""),"BDO+SDO",IF(INDEX('BDO Plan'!$Q$9:$W$19,2*INT((10+WEEKDAY($A$3,2)-1)/7)+1,MOD(10+WEEKDAY($A$3,2)-1,7)+1)&amp;""="","","BDO")&amp;IF(INDEX('SDO Plan'!$Q$9:$W$19,2*INT((10+WEEKDAY($A$3,2)-1)/7)+1,MOD(10+WEEKDAY($A$3,2)-1,7)+1)&amp;""="","","SDO")))</f>
        <v/>
      </c>
      <c r="O25" s="202">
        <f>IF(O$5="","",IF(AND(IF(INDEX('BDO Plan'!$Q$9:$W$19,2*INT((11+WEEKDAY($A$3,2)-1)/7)+1,MOD(11+WEEKDAY($A$3,2)-1,7)+1)&amp;""="","","BDO")&lt;&gt;"",IF(INDEX('SDO Plan'!$Q$9:$W$19,2*INT((11+WEEKDAY($A$3,2)-1)/7)+1,MOD(11+WEEKDAY($A$3,2)-1,7)+1)&amp;""="","","SDO")&lt;&gt;""),"BDO+SDO",IF(INDEX('BDO Plan'!$Q$9:$W$19,2*INT((11+WEEKDAY($A$3,2)-1)/7)+1,MOD(11+WEEKDAY($A$3,2)-1,7)+1)&amp;""="","","BDO")&amp;IF(INDEX('SDO Plan'!$Q$9:$W$19,2*INT((11+WEEKDAY($A$3,2)-1)/7)+1,MOD(11+WEEKDAY($A$3,2)-1,7)+1)&amp;""="","","SDO")))</f>
        <v/>
      </c>
      <c r="P25" s="202">
        <f>IF(P$5="","",IF(AND(IF(INDEX('BDO Plan'!$Q$9:$W$19,2*INT((12+WEEKDAY($A$3,2)-1)/7)+1,MOD(12+WEEKDAY($A$3,2)-1,7)+1)&amp;""="","","BDO")&lt;&gt;"",IF(INDEX('SDO Plan'!$Q$9:$W$19,2*INT((12+WEEKDAY($A$3,2)-1)/7)+1,MOD(12+WEEKDAY($A$3,2)-1,7)+1)&amp;""="","","SDO")&lt;&gt;""),"BDO+SDO",IF(INDEX('BDO Plan'!$Q$9:$W$19,2*INT((12+WEEKDAY($A$3,2)-1)/7)+1,MOD(12+WEEKDAY($A$3,2)-1,7)+1)&amp;""="","","BDO")&amp;IF(INDEX('SDO Plan'!$Q$9:$W$19,2*INT((12+WEEKDAY($A$3,2)-1)/7)+1,MOD(12+WEEKDAY($A$3,2)-1,7)+1)&amp;""="","","SDO")))</f>
        <v/>
      </c>
      <c r="Q25" s="202">
        <f>IF(Q$5="","",IF(AND(IF(INDEX('BDO Plan'!$Q$9:$W$19,2*INT((13+WEEKDAY($A$3,2)-1)/7)+1,MOD(13+WEEKDAY($A$3,2)-1,7)+1)&amp;""="","","BDO")&lt;&gt;"",IF(INDEX('SDO Plan'!$Q$9:$W$19,2*INT((13+WEEKDAY($A$3,2)-1)/7)+1,MOD(13+WEEKDAY($A$3,2)-1,7)+1)&amp;""="","","SDO")&lt;&gt;""),"BDO+SDO",IF(INDEX('BDO Plan'!$Q$9:$W$19,2*INT((13+WEEKDAY($A$3,2)-1)/7)+1,MOD(13+WEEKDAY($A$3,2)-1,7)+1)&amp;""="","","BDO")&amp;IF(INDEX('SDO Plan'!$Q$9:$W$19,2*INT((13+WEEKDAY($A$3,2)-1)/7)+1,MOD(13+WEEKDAY($A$3,2)-1,7)+1)&amp;""="","","SDO")))</f>
        <v/>
      </c>
      <c r="R25" s="202">
        <f>IF(R$5="","",IF(AND(IF(INDEX('BDO Plan'!$Q$9:$W$19,2*INT((14+WEEKDAY($A$3,2)-1)/7)+1,MOD(14+WEEKDAY($A$3,2)-1,7)+1)&amp;""="","","BDO")&lt;&gt;"",IF(INDEX('SDO Plan'!$Q$9:$W$19,2*INT((14+WEEKDAY($A$3,2)-1)/7)+1,MOD(14+WEEKDAY($A$3,2)-1,7)+1)&amp;""="","","SDO")&lt;&gt;""),"BDO+SDO",IF(INDEX('BDO Plan'!$Q$9:$W$19,2*INT((14+WEEKDAY($A$3,2)-1)/7)+1,MOD(14+WEEKDAY($A$3,2)-1,7)+1)&amp;""="","","BDO")&amp;IF(INDEX('SDO Plan'!$Q$9:$W$19,2*INT((14+WEEKDAY($A$3,2)-1)/7)+1,MOD(14+WEEKDAY($A$3,2)-1,7)+1)&amp;""="","","SDO")))</f>
        <v/>
      </c>
      <c r="S25" s="202">
        <f>IF(S$5="","",IF(AND(IF(INDEX('BDO Plan'!$Q$9:$W$19,2*INT((15+WEEKDAY($A$3,2)-1)/7)+1,MOD(15+WEEKDAY($A$3,2)-1,7)+1)&amp;""="","","BDO")&lt;&gt;"",IF(INDEX('SDO Plan'!$Q$9:$W$19,2*INT((15+WEEKDAY($A$3,2)-1)/7)+1,MOD(15+WEEKDAY($A$3,2)-1,7)+1)&amp;""="","","SDO")&lt;&gt;""),"BDO+SDO",IF(INDEX('BDO Plan'!$Q$9:$W$19,2*INT((15+WEEKDAY($A$3,2)-1)/7)+1,MOD(15+WEEKDAY($A$3,2)-1,7)+1)&amp;""="","","BDO")&amp;IF(INDEX('SDO Plan'!$Q$9:$W$19,2*INT((15+WEEKDAY($A$3,2)-1)/7)+1,MOD(15+WEEKDAY($A$3,2)-1,7)+1)&amp;""="","","SDO")))</f>
        <v/>
      </c>
      <c r="T25" s="202">
        <f>IF(T$5="","",IF(AND(IF(INDEX('BDO Plan'!$Q$9:$W$19,2*INT((16+WEEKDAY($A$3,2)-1)/7)+1,MOD(16+WEEKDAY($A$3,2)-1,7)+1)&amp;""="","","BDO")&lt;&gt;"",IF(INDEX('SDO Plan'!$Q$9:$W$19,2*INT((16+WEEKDAY($A$3,2)-1)/7)+1,MOD(16+WEEKDAY($A$3,2)-1,7)+1)&amp;""="","","SDO")&lt;&gt;""),"BDO+SDO",IF(INDEX('BDO Plan'!$Q$9:$W$19,2*INT((16+WEEKDAY($A$3,2)-1)/7)+1,MOD(16+WEEKDAY($A$3,2)-1,7)+1)&amp;""="","","BDO")&amp;IF(INDEX('SDO Plan'!$Q$9:$W$19,2*INT((16+WEEKDAY($A$3,2)-1)/7)+1,MOD(16+WEEKDAY($A$3,2)-1,7)+1)&amp;""="","","SDO")))</f>
        <v/>
      </c>
      <c r="U25" s="202">
        <f>IF(U$5="","",IF(AND(IF(INDEX('BDO Plan'!$Q$9:$W$19,2*INT((17+WEEKDAY($A$3,2)-1)/7)+1,MOD(17+WEEKDAY($A$3,2)-1,7)+1)&amp;""="","","BDO")&lt;&gt;"",IF(INDEX('SDO Plan'!$Q$9:$W$19,2*INT((17+WEEKDAY($A$3,2)-1)/7)+1,MOD(17+WEEKDAY($A$3,2)-1,7)+1)&amp;""="","","SDO")&lt;&gt;""),"BDO+SDO",IF(INDEX('BDO Plan'!$Q$9:$W$19,2*INT((17+WEEKDAY($A$3,2)-1)/7)+1,MOD(17+WEEKDAY($A$3,2)-1,7)+1)&amp;""="","","BDO")&amp;IF(INDEX('SDO Plan'!$Q$9:$W$19,2*INT((17+WEEKDAY($A$3,2)-1)/7)+1,MOD(17+WEEKDAY($A$3,2)-1,7)+1)&amp;""="","","SDO")))</f>
        <v/>
      </c>
      <c r="V25" s="202">
        <f>IF(V$5="","",IF(AND(IF(INDEX('BDO Plan'!$Q$9:$W$19,2*INT((18+WEEKDAY($A$3,2)-1)/7)+1,MOD(18+WEEKDAY($A$3,2)-1,7)+1)&amp;""="","","BDO")&lt;&gt;"",IF(INDEX('SDO Plan'!$Q$9:$W$19,2*INT((18+WEEKDAY($A$3,2)-1)/7)+1,MOD(18+WEEKDAY($A$3,2)-1,7)+1)&amp;""="","","SDO")&lt;&gt;""),"BDO+SDO",IF(INDEX('BDO Plan'!$Q$9:$W$19,2*INT((18+WEEKDAY($A$3,2)-1)/7)+1,MOD(18+WEEKDAY($A$3,2)-1,7)+1)&amp;""="","","BDO")&amp;IF(INDEX('SDO Plan'!$Q$9:$W$19,2*INT((18+WEEKDAY($A$3,2)-1)/7)+1,MOD(18+WEEKDAY($A$3,2)-1,7)+1)&amp;""="","","SDO")))</f>
        <v/>
      </c>
      <c r="W25" s="202">
        <f>IF(W$5="","",IF(AND(IF(INDEX('BDO Plan'!$Q$9:$W$19,2*INT((19+WEEKDAY($A$3,2)-1)/7)+1,MOD(19+WEEKDAY($A$3,2)-1,7)+1)&amp;""="","","BDO")&lt;&gt;"",IF(INDEX('SDO Plan'!$Q$9:$W$19,2*INT((19+WEEKDAY($A$3,2)-1)/7)+1,MOD(19+WEEKDAY($A$3,2)-1,7)+1)&amp;""="","","SDO")&lt;&gt;""),"BDO+SDO",IF(INDEX('BDO Plan'!$Q$9:$W$19,2*INT((19+WEEKDAY($A$3,2)-1)/7)+1,MOD(19+WEEKDAY($A$3,2)-1,7)+1)&amp;""="","","BDO")&amp;IF(INDEX('SDO Plan'!$Q$9:$W$19,2*INT((19+WEEKDAY($A$3,2)-1)/7)+1,MOD(19+WEEKDAY($A$3,2)-1,7)+1)&amp;""="","","SDO")))</f>
        <v/>
      </c>
      <c r="X25" s="202">
        <f>IF(X$5="","",IF(AND(IF(INDEX('BDO Plan'!$Q$9:$W$19,2*INT((20+WEEKDAY($A$3,2)-1)/7)+1,MOD(20+WEEKDAY($A$3,2)-1,7)+1)&amp;""="","","BDO")&lt;&gt;"",IF(INDEX('SDO Plan'!$Q$9:$W$19,2*INT((20+WEEKDAY($A$3,2)-1)/7)+1,MOD(20+WEEKDAY($A$3,2)-1,7)+1)&amp;""="","","SDO")&lt;&gt;""),"BDO+SDO",IF(INDEX('BDO Plan'!$Q$9:$W$19,2*INT((20+WEEKDAY($A$3,2)-1)/7)+1,MOD(20+WEEKDAY($A$3,2)-1,7)+1)&amp;""="","","BDO")&amp;IF(INDEX('SDO Plan'!$Q$9:$W$19,2*INT((20+WEEKDAY($A$3,2)-1)/7)+1,MOD(20+WEEKDAY($A$3,2)-1,7)+1)&amp;""="","","SDO")))</f>
        <v/>
      </c>
      <c r="Y25" s="202">
        <f>IF(Y$5="","",IF(AND(IF(INDEX('BDO Plan'!$Q$9:$W$19,2*INT((21+WEEKDAY($A$3,2)-1)/7)+1,MOD(21+WEEKDAY($A$3,2)-1,7)+1)&amp;""="","","BDO")&lt;&gt;"",IF(INDEX('SDO Plan'!$Q$9:$W$19,2*INT((21+WEEKDAY($A$3,2)-1)/7)+1,MOD(21+WEEKDAY($A$3,2)-1,7)+1)&amp;""="","","SDO")&lt;&gt;""),"BDO+SDO",IF(INDEX('BDO Plan'!$Q$9:$W$19,2*INT((21+WEEKDAY($A$3,2)-1)/7)+1,MOD(21+WEEKDAY($A$3,2)-1,7)+1)&amp;""="","","BDO")&amp;IF(INDEX('SDO Plan'!$Q$9:$W$19,2*INT((21+WEEKDAY($A$3,2)-1)/7)+1,MOD(21+WEEKDAY($A$3,2)-1,7)+1)&amp;""="","","SDO")))</f>
        <v/>
      </c>
      <c r="Z25" s="202">
        <f>IF(Z$5="","",IF(AND(IF(INDEX('BDO Plan'!$Q$9:$W$19,2*INT((22+WEEKDAY($A$3,2)-1)/7)+1,MOD(22+WEEKDAY($A$3,2)-1,7)+1)&amp;""="","","BDO")&lt;&gt;"",IF(INDEX('SDO Plan'!$Q$9:$W$19,2*INT((22+WEEKDAY($A$3,2)-1)/7)+1,MOD(22+WEEKDAY($A$3,2)-1,7)+1)&amp;""="","","SDO")&lt;&gt;""),"BDO+SDO",IF(INDEX('BDO Plan'!$Q$9:$W$19,2*INT((22+WEEKDAY($A$3,2)-1)/7)+1,MOD(22+WEEKDAY($A$3,2)-1,7)+1)&amp;""="","","BDO")&amp;IF(INDEX('SDO Plan'!$Q$9:$W$19,2*INT((22+WEEKDAY($A$3,2)-1)/7)+1,MOD(22+WEEKDAY($A$3,2)-1,7)+1)&amp;""="","","SDO")))</f>
        <v/>
      </c>
      <c r="AA25" s="202">
        <f>IF(AA$5="","",IF(AND(IF(INDEX('BDO Plan'!$Q$9:$W$19,2*INT((23+WEEKDAY($A$3,2)-1)/7)+1,MOD(23+WEEKDAY($A$3,2)-1,7)+1)&amp;""="","","BDO")&lt;&gt;"",IF(INDEX('SDO Plan'!$Q$9:$W$19,2*INT((23+WEEKDAY($A$3,2)-1)/7)+1,MOD(23+WEEKDAY($A$3,2)-1,7)+1)&amp;""="","","SDO")&lt;&gt;""),"BDO+SDO",IF(INDEX('BDO Plan'!$Q$9:$W$19,2*INT((23+WEEKDAY($A$3,2)-1)/7)+1,MOD(23+WEEKDAY($A$3,2)-1,7)+1)&amp;""="","","BDO")&amp;IF(INDEX('SDO Plan'!$Q$9:$W$19,2*INT((23+WEEKDAY($A$3,2)-1)/7)+1,MOD(23+WEEKDAY($A$3,2)-1,7)+1)&amp;""="","","SDO")))</f>
        <v/>
      </c>
      <c r="AB25" s="202">
        <f>IF(AB$5="","",IF(AND(IF(INDEX('BDO Plan'!$Q$9:$W$19,2*INT((24+WEEKDAY($A$3,2)-1)/7)+1,MOD(24+WEEKDAY($A$3,2)-1,7)+1)&amp;""="","","BDO")&lt;&gt;"",IF(INDEX('SDO Plan'!$Q$9:$W$19,2*INT((24+WEEKDAY($A$3,2)-1)/7)+1,MOD(24+WEEKDAY($A$3,2)-1,7)+1)&amp;""="","","SDO")&lt;&gt;""),"BDO+SDO",IF(INDEX('BDO Plan'!$Q$9:$W$19,2*INT((24+WEEKDAY($A$3,2)-1)/7)+1,MOD(24+WEEKDAY($A$3,2)-1,7)+1)&amp;""="","","BDO")&amp;IF(INDEX('SDO Plan'!$Q$9:$W$19,2*INT((24+WEEKDAY($A$3,2)-1)/7)+1,MOD(24+WEEKDAY($A$3,2)-1,7)+1)&amp;""="","","SDO")))</f>
        <v/>
      </c>
      <c r="AC25" s="202">
        <f>IF(AC$5="","",IF(AND(IF(INDEX('BDO Plan'!$Q$9:$W$19,2*INT((25+WEEKDAY($A$3,2)-1)/7)+1,MOD(25+WEEKDAY($A$3,2)-1,7)+1)&amp;""="","","BDO")&lt;&gt;"",IF(INDEX('SDO Plan'!$Q$9:$W$19,2*INT((25+WEEKDAY($A$3,2)-1)/7)+1,MOD(25+WEEKDAY($A$3,2)-1,7)+1)&amp;""="","","SDO")&lt;&gt;""),"BDO+SDO",IF(INDEX('BDO Plan'!$Q$9:$W$19,2*INT((25+WEEKDAY($A$3,2)-1)/7)+1,MOD(25+WEEKDAY($A$3,2)-1,7)+1)&amp;""="","","BDO")&amp;IF(INDEX('SDO Plan'!$Q$9:$W$19,2*INT((25+WEEKDAY($A$3,2)-1)/7)+1,MOD(25+WEEKDAY($A$3,2)-1,7)+1)&amp;""="","","SDO")))</f>
        <v/>
      </c>
      <c r="AD25" s="202">
        <f>IF(AD$5="","",IF(AND(IF(INDEX('BDO Plan'!$Q$9:$W$19,2*INT((26+WEEKDAY($A$3,2)-1)/7)+1,MOD(26+WEEKDAY($A$3,2)-1,7)+1)&amp;""="","","BDO")&lt;&gt;"",IF(INDEX('SDO Plan'!$Q$9:$W$19,2*INT((26+WEEKDAY($A$3,2)-1)/7)+1,MOD(26+WEEKDAY($A$3,2)-1,7)+1)&amp;""="","","SDO")&lt;&gt;""),"BDO+SDO",IF(INDEX('BDO Plan'!$Q$9:$W$19,2*INT((26+WEEKDAY($A$3,2)-1)/7)+1,MOD(26+WEEKDAY($A$3,2)-1,7)+1)&amp;""="","","BDO")&amp;IF(INDEX('SDO Plan'!$Q$9:$W$19,2*INT((26+WEEKDAY($A$3,2)-1)/7)+1,MOD(26+WEEKDAY($A$3,2)-1,7)+1)&amp;""="","","SDO")))</f>
        <v/>
      </c>
      <c r="AE25" s="202">
        <f>IF(AE$5="","",IF(AND(IF(INDEX('BDO Plan'!$Q$9:$W$19,2*INT((27+WEEKDAY($A$3,2)-1)/7)+1,MOD(27+WEEKDAY($A$3,2)-1,7)+1)&amp;""="","","BDO")&lt;&gt;"",IF(INDEX('SDO Plan'!$Q$9:$W$19,2*INT((27+WEEKDAY($A$3,2)-1)/7)+1,MOD(27+WEEKDAY($A$3,2)-1,7)+1)&amp;""="","","SDO")&lt;&gt;""),"BDO+SDO",IF(INDEX('BDO Plan'!$Q$9:$W$19,2*INT((27+WEEKDAY($A$3,2)-1)/7)+1,MOD(27+WEEKDAY($A$3,2)-1,7)+1)&amp;""="","","BDO")&amp;IF(INDEX('SDO Plan'!$Q$9:$W$19,2*INT((27+WEEKDAY($A$3,2)-1)/7)+1,MOD(27+WEEKDAY($A$3,2)-1,7)+1)&amp;""="","","SDO")))</f>
        <v/>
      </c>
      <c r="AF25" s="202">
        <f>IF(AF$5="","",IF(AND(IF(INDEX('BDO Plan'!$Q$9:$W$19,2*INT((28+WEEKDAY($A$3,2)-1)/7)+1,MOD(28+WEEKDAY($A$3,2)-1,7)+1)&amp;""="","","BDO")&lt;&gt;"",IF(INDEX('SDO Plan'!$Q$9:$W$19,2*INT((28+WEEKDAY($A$3,2)-1)/7)+1,MOD(28+WEEKDAY($A$3,2)-1,7)+1)&amp;""="","","SDO")&lt;&gt;""),"BDO+SDO",IF(INDEX('BDO Plan'!$Q$9:$W$19,2*INT((28+WEEKDAY($A$3,2)-1)/7)+1,MOD(28+WEEKDAY($A$3,2)-1,7)+1)&amp;""="","","BDO")&amp;IF(INDEX('SDO Plan'!$Q$9:$W$19,2*INT((28+WEEKDAY($A$3,2)-1)/7)+1,MOD(28+WEEKDAY($A$3,2)-1,7)+1)&amp;""="","","SDO")))</f>
        <v/>
      </c>
      <c r="AG25" s="202">
        <f>IF(AG$5="","",IF(AND(IF(INDEX('BDO Plan'!$Q$9:$W$19,2*INT((29+WEEKDAY($A$3,2)-1)/7)+1,MOD(29+WEEKDAY($A$3,2)-1,7)+1)&amp;""="","","BDO")&lt;&gt;"",IF(INDEX('SDO Plan'!$Q$9:$W$19,2*INT((29+WEEKDAY($A$3,2)-1)/7)+1,MOD(29+WEEKDAY($A$3,2)-1,7)+1)&amp;""="","","SDO")&lt;&gt;""),"BDO+SDO",IF(INDEX('BDO Plan'!$Q$9:$W$19,2*INT((29+WEEKDAY($A$3,2)-1)/7)+1,MOD(29+WEEKDAY($A$3,2)-1,7)+1)&amp;""="","","BDO")&amp;IF(INDEX('SDO Plan'!$Q$9:$W$19,2*INT((29+WEEKDAY($A$3,2)-1)/7)+1,MOD(29+WEEKDAY($A$3,2)-1,7)+1)&amp;""="","","SDO")))</f>
        <v/>
      </c>
      <c r="AH25" s="202">
        <f>IF(AH$5="","",IF(AND(IF(INDEX('BDO Plan'!$Q$9:$W$19,2*INT((30+WEEKDAY($A$3,2)-1)/7)+1,MOD(30+WEEKDAY($A$3,2)-1,7)+1)&amp;""="","","BDO")&lt;&gt;"",IF(INDEX('SDO Plan'!$Q$9:$W$19,2*INT((30+WEEKDAY($A$3,2)-1)/7)+1,MOD(30+WEEKDAY($A$3,2)-1,7)+1)&amp;""="","","SDO")&lt;&gt;""),"BDO+SDO",IF(INDEX('BDO Plan'!$Q$9:$W$19,2*INT((30+WEEKDAY($A$3,2)-1)/7)+1,MOD(30+WEEKDAY($A$3,2)-1,7)+1)&amp;""="","","BDO")&amp;IF(INDEX('SDO Plan'!$Q$9:$W$19,2*INT((30+WEEKDAY($A$3,2)-1)/7)+1,MOD(30+WEEKDAY($A$3,2)-1,7)+1)&amp;""="","","SDO")))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DATE(PlanYear,4,1)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Plan'!$A$25:$G$35,2*INT((0+WEEKDAY($A$3,2)-1)/7)+1,MOD(0+WEEKDAY($A$3,2)-1,7)+1)&amp;""="","","BDO")&lt;&gt;"",IF(INDEX('SDO Plan'!$A$25:$G$35,2*INT((0+WEEKDAY($A$3,2)-1)/7)+1,MOD(0+WEEKDAY($A$3,2)-1,7)+1)&amp;""="","","SDO")&lt;&gt;""),"BDO+SDO",IF(INDEX('BDO Plan'!$A$25:$G$35,2*INT((0+WEEKDAY($A$3,2)-1)/7)+1,MOD(0+WEEKDAY($A$3,2)-1,7)+1)&amp;""="","","BDO")&amp;IF(INDEX('SDO Plan'!$A$25:$G$35,2*INT((0+WEEKDAY($A$3,2)-1)/7)+1,MOD(0+WEEKDAY($A$3,2)-1,7)+1)&amp;""="","","SDO")))</f>
        <v/>
      </c>
      <c r="E25" s="202">
        <f>IF(E$5="","",IF(AND(IF(INDEX('BDO Plan'!$A$25:$G$35,2*INT((1+WEEKDAY($A$3,2)-1)/7)+1,MOD(1+WEEKDAY($A$3,2)-1,7)+1)&amp;""="","","BDO")&lt;&gt;"",IF(INDEX('SDO Plan'!$A$25:$G$35,2*INT((1+WEEKDAY($A$3,2)-1)/7)+1,MOD(1+WEEKDAY($A$3,2)-1,7)+1)&amp;""="","","SDO")&lt;&gt;""),"BDO+SDO",IF(INDEX('BDO Plan'!$A$25:$G$35,2*INT((1+WEEKDAY($A$3,2)-1)/7)+1,MOD(1+WEEKDAY($A$3,2)-1,7)+1)&amp;""="","","BDO")&amp;IF(INDEX('SDO Plan'!$A$25:$G$35,2*INT((1+WEEKDAY($A$3,2)-1)/7)+1,MOD(1+WEEKDAY($A$3,2)-1,7)+1)&amp;""="","","SDO")))</f>
        <v/>
      </c>
      <c r="F25" s="202">
        <f>IF(F$5="","",IF(AND(IF(INDEX('BDO Plan'!$A$25:$G$35,2*INT((2+WEEKDAY($A$3,2)-1)/7)+1,MOD(2+WEEKDAY($A$3,2)-1,7)+1)&amp;""="","","BDO")&lt;&gt;"",IF(INDEX('SDO Plan'!$A$25:$G$35,2*INT((2+WEEKDAY($A$3,2)-1)/7)+1,MOD(2+WEEKDAY($A$3,2)-1,7)+1)&amp;""="","","SDO")&lt;&gt;""),"BDO+SDO",IF(INDEX('BDO Plan'!$A$25:$G$35,2*INT((2+WEEKDAY($A$3,2)-1)/7)+1,MOD(2+WEEKDAY($A$3,2)-1,7)+1)&amp;""="","","BDO")&amp;IF(INDEX('SDO Plan'!$A$25:$G$35,2*INT((2+WEEKDAY($A$3,2)-1)/7)+1,MOD(2+WEEKDAY($A$3,2)-1,7)+1)&amp;""="","","SDO")))</f>
        <v/>
      </c>
      <c r="G25" s="202">
        <f>IF(G$5="","",IF(AND(IF(INDEX('BDO Plan'!$A$25:$G$35,2*INT((3+WEEKDAY($A$3,2)-1)/7)+1,MOD(3+WEEKDAY($A$3,2)-1,7)+1)&amp;""="","","BDO")&lt;&gt;"",IF(INDEX('SDO Plan'!$A$25:$G$35,2*INT((3+WEEKDAY($A$3,2)-1)/7)+1,MOD(3+WEEKDAY($A$3,2)-1,7)+1)&amp;""="","","SDO")&lt;&gt;""),"BDO+SDO",IF(INDEX('BDO Plan'!$A$25:$G$35,2*INT((3+WEEKDAY($A$3,2)-1)/7)+1,MOD(3+WEEKDAY($A$3,2)-1,7)+1)&amp;""="","","BDO")&amp;IF(INDEX('SDO Plan'!$A$25:$G$35,2*INT((3+WEEKDAY($A$3,2)-1)/7)+1,MOD(3+WEEKDAY($A$3,2)-1,7)+1)&amp;""="","","SDO")))</f>
        <v/>
      </c>
      <c r="H25" s="202">
        <f>IF(H$5="","",IF(AND(IF(INDEX('BDO Plan'!$A$25:$G$35,2*INT((4+WEEKDAY($A$3,2)-1)/7)+1,MOD(4+WEEKDAY($A$3,2)-1,7)+1)&amp;""="","","BDO")&lt;&gt;"",IF(INDEX('SDO Plan'!$A$25:$G$35,2*INT((4+WEEKDAY($A$3,2)-1)/7)+1,MOD(4+WEEKDAY($A$3,2)-1,7)+1)&amp;""="","","SDO")&lt;&gt;""),"BDO+SDO",IF(INDEX('BDO Plan'!$A$25:$G$35,2*INT((4+WEEKDAY($A$3,2)-1)/7)+1,MOD(4+WEEKDAY($A$3,2)-1,7)+1)&amp;""="","","BDO")&amp;IF(INDEX('SDO Plan'!$A$25:$G$35,2*INT((4+WEEKDAY($A$3,2)-1)/7)+1,MOD(4+WEEKDAY($A$3,2)-1,7)+1)&amp;""="","","SDO")))</f>
        <v/>
      </c>
      <c r="I25" s="202">
        <f>IF(I$5="","",IF(AND(IF(INDEX('BDO Plan'!$A$25:$G$35,2*INT((5+WEEKDAY($A$3,2)-1)/7)+1,MOD(5+WEEKDAY($A$3,2)-1,7)+1)&amp;""="","","BDO")&lt;&gt;"",IF(INDEX('SDO Plan'!$A$25:$G$35,2*INT((5+WEEKDAY($A$3,2)-1)/7)+1,MOD(5+WEEKDAY($A$3,2)-1,7)+1)&amp;""="","","SDO")&lt;&gt;""),"BDO+SDO",IF(INDEX('BDO Plan'!$A$25:$G$35,2*INT((5+WEEKDAY($A$3,2)-1)/7)+1,MOD(5+WEEKDAY($A$3,2)-1,7)+1)&amp;""="","","BDO")&amp;IF(INDEX('SDO Plan'!$A$25:$G$35,2*INT((5+WEEKDAY($A$3,2)-1)/7)+1,MOD(5+WEEKDAY($A$3,2)-1,7)+1)&amp;""="","","SDO")))</f>
        <v/>
      </c>
      <c r="J25" s="202">
        <f>IF(J$5="","",IF(AND(IF(INDEX('BDO Plan'!$A$25:$G$35,2*INT((6+WEEKDAY($A$3,2)-1)/7)+1,MOD(6+WEEKDAY($A$3,2)-1,7)+1)&amp;""="","","BDO")&lt;&gt;"",IF(INDEX('SDO Plan'!$A$25:$G$35,2*INT((6+WEEKDAY($A$3,2)-1)/7)+1,MOD(6+WEEKDAY($A$3,2)-1,7)+1)&amp;""="","","SDO")&lt;&gt;""),"BDO+SDO",IF(INDEX('BDO Plan'!$A$25:$G$35,2*INT((6+WEEKDAY($A$3,2)-1)/7)+1,MOD(6+WEEKDAY($A$3,2)-1,7)+1)&amp;""="","","BDO")&amp;IF(INDEX('SDO Plan'!$A$25:$G$35,2*INT((6+WEEKDAY($A$3,2)-1)/7)+1,MOD(6+WEEKDAY($A$3,2)-1,7)+1)&amp;""="","","SDO")))</f>
        <v/>
      </c>
      <c r="K25" s="202">
        <f>IF(K$5="","",IF(AND(IF(INDEX('BDO Plan'!$A$25:$G$35,2*INT((7+WEEKDAY($A$3,2)-1)/7)+1,MOD(7+WEEKDAY($A$3,2)-1,7)+1)&amp;""="","","BDO")&lt;&gt;"",IF(INDEX('SDO Plan'!$A$25:$G$35,2*INT((7+WEEKDAY($A$3,2)-1)/7)+1,MOD(7+WEEKDAY($A$3,2)-1,7)+1)&amp;""="","","SDO")&lt;&gt;""),"BDO+SDO",IF(INDEX('BDO Plan'!$A$25:$G$35,2*INT((7+WEEKDAY($A$3,2)-1)/7)+1,MOD(7+WEEKDAY($A$3,2)-1,7)+1)&amp;""="","","BDO")&amp;IF(INDEX('SDO Plan'!$A$25:$G$35,2*INT((7+WEEKDAY($A$3,2)-1)/7)+1,MOD(7+WEEKDAY($A$3,2)-1,7)+1)&amp;""="","","SDO")))</f>
        <v/>
      </c>
      <c r="L25" s="202">
        <f>IF(L$5="","",IF(AND(IF(INDEX('BDO Plan'!$A$25:$G$35,2*INT((8+WEEKDAY($A$3,2)-1)/7)+1,MOD(8+WEEKDAY($A$3,2)-1,7)+1)&amp;""="","","BDO")&lt;&gt;"",IF(INDEX('SDO Plan'!$A$25:$G$35,2*INT((8+WEEKDAY($A$3,2)-1)/7)+1,MOD(8+WEEKDAY($A$3,2)-1,7)+1)&amp;""="","","SDO")&lt;&gt;""),"BDO+SDO",IF(INDEX('BDO Plan'!$A$25:$G$35,2*INT((8+WEEKDAY($A$3,2)-1)/7)+1,MOD(8+WEEKDAY($A$3,2)-1,7)+1)&amp;""="","","BDO")&amp;IF(INDEX('SDO Plan'!$A$25:$G$35,2*INT((8+WEEKDAY($A$3,2)-1)/7)+1,MOD(8+WEEKDAY($A$3,2)-1,7)+1)&amp;""="","","SDO")))</f>
        <v/>
      </c>
      <c r="M25" s="202">
        <f>IF(M$5="","",IF(AND(IF(INDEX('BDO Plan'!$A$25:$G$35,2*INT((9+WEEKDAY($A$3,2)-1)/7)+1,MOD(9+WEEKDAY($A$3,2)-1,7)+1)&amp;""="","","BDO")&lt;&gt;"",IF(INDEX('SDO Plan'!$A$25:$G$35,2*INT((9+WEEKDAY($A$3,2)-1)/7)+1,MOD(9+WEEKDAY($A$3,2)-1,7)+1)&amp;""="","","SDO")&lt;&gt;""),"BDO+SDO",IF(INDEX('BDO Plan'!$A$25:$G$35,2*INT((9+WEEKDAY($A$3,2)-1)/7)+1,MOD(9+WEEKDAY($A$3,2)-1,7)+1)&amp;""="","","BDO")&amp;IF(INDEX('SDO Plan'!$A$25:$G$35,2*INT((9+WEEKDAY($A$3,2)-1)/7)+1,MOD(9+WEEKDAY($A$3,2)-1,7)+1)&amp;""="","","SDO")))</f>
        <v/>
      </c>
      <c r="N25" s="202">
        <f>IF(N$5="","",IF(AND(IF(INDEX('BDO Plan'!$A$25:$G$35,2*INT((10+WEEKDAY($A$3,2)-1)/7)+1,MOD(10+WEEKDAY($A$3,2)-1,7)+1)&amp;""="","","BDO")&lt;&gt;"",IF(INDEX('SDO Plan'!$A$25:$G$35,2*INT((10+WEEKDAY($A$3,2)-1)/7)+1,MOD(10+WEEKDAY($A$3,2)-1,7)+1)&amp;""="","","SDO")&lt;&gt;""),"BDO+SDO",IF(INDEX('BDO Plan'!$A$25:$G$35,2*INT((10+WEEKDAY($A$3,2)-1)/7)+1,MOD(10+WEEKDAY($A$3,2)-1,7)+1)&amp;""="","","BDO")&amp;IF(INDEX('SDO Plan'!$A$25:$G$35,2*INT((10+WEEKDAY($A$3,2)-1)/7)+1,MOD(10+WEEKDAY($A$3,2)-1,7)+1)&amp;""="","","SDO")))</f>
        <v/>
      </c>
      <c r="O25" s="202">
        <f>IF(O$5="","",IF(AND(IF(INDEX('BDO Plan'!$A$25:$G$35,2*INT((11+WEEKDAY($A$3,2)-1)/7)+1,MOD(11+WEEKDAY($A$3,2)-1,7)+1)&amp;""="","","BDO")&lt;&gt;"",IF(INDEX('SDO Plan'!$A$25:$G$35,2*INT((11+WEEKDAY($A$3,2)-1)/7)+1,MOD(11+WEEKDAY($A$3,2)-1,7)+1)&amp;""="","","SDO")&lt;&gt;""),"BDO+SDO",IF(INDEX('BDO Plan'!$A$25:$G$35,2*INT((11+WEEKDAY($A$3,2)-1)/7)+1,MOD(11+WEEKDAY($A$3,2)-1,7)+1)&amp;""="","","BDO")&amp;IF(INDEX('SDO Plan'!$A$25:$G$35,2*INT((11+WEEKDAY($A$3,2)-1)/7)+1,MOD(11+WEEKDAY($A$3,2)-1,7)+1)&amp;""="","","SDO")))</f>
        <v/>
      </c>
      <c r="P25" s="202">
        <f>IF(P$5="","",IF(AND(IF(INDEX('BDO Plan'!$A$25:$G$35,2*INT((12+WEEKDAY($A$3,2)-1)/7)+1,MOD(12+WEEKDAY($A$3,2)-1,7)+1)&amp;""="","","BDO")&lt;&gt;"",IF(INDEX('SDO Plan'!$A$25:$G$35,2*INT((12+WEEKDAY($A$3,2)-1)/7)+1,MOD(12+WEEKDAY($A$3,2)-1,7)+1)&amp;""="","","SDO")&lt;&gt;""),"BDO+SDO",IF(INDEX('BDO Plan'!$A$25:$G$35,2*INT((12+WEEKDAY($A$3,2)-1)/7)+1,MOD(12+WEEKDAY($A$3,2)-1,7)+1)&amp;""="","","BDO")&amp;IF(INDEX('SDO Plan'!$A$25:$G$35,2*INT((12+WEEKDAY($A$3,2)-1)/7)+1,MOD(12+WEEKDAY($A$3,2)-1,7)+1)&amp;""="","","SDO")))</f>
        <v/>
      </c>
      <c r="Q25" s="202">
        <f>IF(Q$5="","",IF(AND(IF(INDEX('BDO Plan'!$A$25:$G$35,2*INT((13+WEEKDAY($A$3,2)-1)/7)+1,MOD(13+WEEKDAY($A$3,2)-1,7)+1)&amp;""="","","BDO")&lt;&gt;"",IF(INDEX('SDO Plan'!$A$25:$G$35,2*INT((13+WEEKDAY($A$3,2)-1)/7)+1,MOD(13+WEEKDAY($A$3,2)-1,7)+1)&amp;""="","","SDO")&lt;&gt;""),"BDO+SDO",IF(INDEX('BDO Plan'!$A$25:$G$35,2*INT((13+WEEKDAY($A$3,2)-1)/7)+1,MOD(13+WEEKDAY($A$3,2)-1,7)+1)&amp;""="","","BDO")&amp;IF(INDEX('SDO Plan'!$A$25:$G$35,2*INT((13+WEEKDAY($A$3,2)-1)/7)+1,MOD(13+WEEKDAY($A$3,2)-1,7)+1)&amp;""="","","SDO")))</f>
        <v/>
      </c>
      <c r="R25" s="202">
        <f>IF(R$5="","",IF(AND(IF(INDEX('BDO Plan'!$A$25:$G$35,2*INT((14+WEEKDAY($A$3,2)-1)/7)+1,MOD(14+WEEKDAY($A$3,2)-1,7)+1)&amp;""="","","BDO")&lt;&gt;"",IF(INDEX('SDO Plan'!$A$25:$G$35,2*INT((14+WEEKDAY($A$3,2)-1)/7)+1,MOD(14+WEEKDAY($A$3,2)-1,7)+1)&amp;""="","","SDO")&lt;&gt;""),"BDO+SDO",IF(INDEX('BDO Plan'!$A$25:$G$35,2*INT((14+WEEKDAY($A$3,2)-1)/7)+1,MOD(14+WEEKDAY($A$3,2)-1,7)+1)&amp;""="","","BDO")&amp;IF(INDEX('SDO Plan'!$A$25:$G$35,2*INT((14+WEEKDAY($A$3,2)-1)/7)+1,MOD(14+WEEKDAY($A$3,2)-1,7)+1)&amp;""="","","SDO")))</f>
        <v/>
      </c>
      <c r="S25" s="202">
        <f>IF(S$5="","",IF(AND(IF(INDEX('BDO Plan'!$A$25:$G$35,2*INT((15+WEEKDAY($A$3,2)-1)/7)+1,MOD(15+WEEKDAY($A$3,2)-1,7)+1)&amp;""="","","BDO")&lt;&gt;"",IF(INDEX('SDO Plan'!$A$25:$G$35,2*INT((15+WEEKDAY($A$3,2)-1)/7)+1,MOD(15+WEEKDAY($A$3,2)-1,7)+1)&amp;""="","","SDO")&lt;&gt;""),"BDO+SDO",IF(INDEX('BDO Plan'!$A$25:$G$35,2*INT((15+WEEKDAY($A$3,2)-1)/7)+1,MOD(15+WEEKDAY($A$3,2)-1,7)+1)&amp;""="","","BDO")&amp;IF(INDEX('SDO Plan'!$A$25:$G$35,2*INT((15+WEEKDAY($A$3,2)-1)/7)+1,MOD(15+WEEKDAY($A$3,2)-1,7)+1)&amp;""="","","SDO")))</f>
        <v/>
      </c>
      <c r="T25" s="202">
        <f>IF(T$5="","",IF(AND(IF(INDEX('BDO Plan'!$A$25:$G$35,2*INT((16+WEEKDAY($A$3,2)-1)/7)+1,MOD(16+WEEKDAY($A$3,2)-1,7)+1)&amp;""="","","BDO")&lt;&gt;"",IF(INDEX('SDO Plan'!$A$25:$G$35,2*INT((16+WEEKDAY($A$3,2)-1)/7)+1,MOD(16+WEEKDAY($A$3,2)-1,7)+1)&amp;""="","","SDO")&lt;&gt;""),"BDO+SDO",IF(INDEX('BDO Plan'!$A$25:$G$35,2*INT((16+WEEKDAY($A$3,2)-1)/7)+1,MOD(16+WEEKDAY($A$3,2)-1,7)+1)&amp;""="","","BDO")&amp;IF(INDEX('SDO Plan'!$A$25:$G$35,2*INT((16+WEEKDAY($A$3,2)-1)/7)+1,MOD(16+WEEKDAY($A$3,2)-1,7)+1)&amp;""="","","SDO")))</f>
        <v/>
      </c>
      <c r="U25" s="202">
        <f>IF(U$5="","",IF(AND(IF(INDEX('BDO Plan'!$A$25:$G$35,2*INT((17+WEEKDAY($A$3,2)-1)/7)+1,MOD(17+WEEKDAY($A$3,2)-1,7)+1)&amp;""="","","BDO")&lt;&gt;"",IF(INDEX('SDO Plan'!$A$25:$G$35,2*INT((17+WEEKDAY($A$3,2)-1)/7)+1,MOD(17+WEEKDAY($A$3,2)-1,7)+1)&amp;""="","","SDO")&lt;&gt;""),"BDO+SDO",IF(INDEX('BDO Plan'!$A$25:$G$35,2*INT((17+WEEKDAY($A$3,2)-1)/7)+1,MOD(17+WEEKDAY($A$3,2)-1,7)+1)&amp;""="","","BDO")&amp;IF(INDEX('SDO Plan'!$A$25:$G$35,2*INT((17+WEEKDAY($A$3,2)-1)/7)+1,MOD(17+WEEKDAY($A$3,2)-1,7)+1)&amp;""="","","SDO")))</f>
        <v/>
      </c>
      <c r="V25" s="202">
        <f>IF(V$5="","",IF(AND(IF(INDEX('BDO Plan'!$A$25:$G$35,2*INT((18+WEEKDAY($A$3,2)-1)/7)+1,MOD(18+WEEKDAY($A$3,2)-1,7)+1)&amp;""="","","BDO")&lt;&gt;"",IF(INDEX('SDO Plan'!$A$25:$G$35,2*INT((18+WEEKDAY($A$3,2)-1)/7)+1,MOD(18+WEEKDAY($A$3,2)-1,7)+1)&amp;""="","","SDO")&lt;&gt;""),"BDO+SDO",IF(INDEX('BDO Plan'!$A$25:$G$35,2*INT((18+WEEKDAY($A$3,2)-1)/7)+1,MOD(18+WEEKDAY($A$3,2)-1,7)+1)&amp;""="","","BDO")&amp;IF(INDEX('SDO Plan'!$A$25:$G$35,2*INT((18+WEEKDAY($A$3,2)-1)/7)+1,MOD(18+WEEKDAY($A$3,2)-1,7)+1)&amp;""="","","SDO")))</f>
        <v/>
      </c>
      <c r="W25" s="202">
        <f>IF(W$5="","",IF(AND(IF(INDEX('BDO Plan'!$A$25:$G$35,2*INT((19+WEEKDAY($A$3,2)-1)/7)+1,MOD(19+WEEKDAY($A$3,2)-1,7)+1)&amp;""="","","BDO")&lt;&gt;"",IF(INDEX('SDO Plan'!$A$25:$G$35,2*INT((19+WEEKDAY($A$3,2)-1)/7)+1,MOD(19+WEEKDAY($A$3,2)-1,7)+1)&amp;""="","","SDO")&lt;&gt;""),"BDO+SDO",IF(INDEX('BDO Plan'!$A$25:$G$35,2*INT((19+WEEKDAY($A$3,2)-1)/7)+1,MOD(19+WEEKDAY($A$3,2)-1,7)+1)&amp;""="","","BDO")&amp;IF(INDEX('SDO Plan'!$A$25:$G$35,2*INT((19+WEEKDAY($A$3,2)-1)/7)+1,MOD(19+WEEKDAY($A$3,2)-1,7)+1)&amp;""="","","SDO")))</f>
        <v/>
      </c>
      <c r="X25" s="202">
        <f>IF(X$5="","",IF(AND(IF(INDEX('BDO Plan'!$A$25:$G$35,2*INT((20+WEEKDAY($A$3,2)-1)/7)+1,MOD(20+WEEKDAY($A$3,2)-1,7)+1)&amp;""="","","BDO")&lt;&gt;"",IF(INDEX('SDO Plan'!$A$25:$G$35,2*INT((20+WEEKDAY($A$3,2)-1)/7)+1,MOD(20+WEEKDAY($A$3,2)-1,7)+1)&amp;""="","","SDO")&lt;&gt;""),"BDO+SDO",IF(INDEX('BDO Plan'!$A$25:$G$35,2*INT((20+WEEKDAY($A$3,2)-1)/7)+1,MOD(20+WEEKDAY($A$3,2)-1,7)+1)&amp;""="","","BDO")&amp;IF(INDEX('SDO Plan'!$A$25:$G$35,2*INT((20+WEEKDAY($A$3,2)-1)/7)+1,MOD(20+WEEKDAY($A$3,2)-1,7)+1)&amp;""="","","SDO")))</f>
        <v/>
      </c>
      <c r="Y25" s="202">
        <f>IF(Y$5="","",IF(AND(IF(INDEX('BDO Plan'!$A$25:$G$35,2*INT((21+WEEKDAY($A$3,2)-1)/7)+1,MOD(21+WEEKDAY($A$3,2)-1,7)+1)&amp;""="","","BDO")&lt;&gt;"",IF(INDEX('SDO Plan'!$A$25:$G$35,2*INT((21+WEEKDAY($A$3,2)-1)/7)+1,MOD(21+WEEKDAY($A$3,2)-1,7)+1)&amp;""="","","SDO")&lt;&gt;""),"BDO+SDO",IF(INDEX('BDO Plan'!$A$25:$G$35,2*INT((21+WEEKDAY($A$3,2)-1)/7)+1,MOD(21+WEEKDAY($A$3,2)-1,7)+1)&amp;""="","","BDO")&amp;IF(INDEX('SDO Plan'!$A$25:$G$35,2*INT((21+WEEKDAY($A$3,2)-1)/7)+1,MOD(21+WEEKDAY($A$3,2)-1,7)+1)&amp;""="","","SDO")))</f>
        <v/>
      </c>
      <c r="Z25" s="202">
        <f>IF(Z$5="","",IF(AND(IF(INDEX('BDO Plan'!$A$25:$G$35,2*INT((22+WEEKDAY($A$3,2)-1)/7)+1,MOD(22+WEEKDAY($A$3,2)-1,7)+1)&amp;""="","","BDO")&lt;&gt;"",IF(INDEX('SDO Plan'!$A$25:$G$35,2*INT((22+WEEKDAY($A$3,2)-1)/7)+1,MOD(22+WEEKDAY($A$3,2)-1,7)+1)&amp;""="","","SDO")&lt;&gt;""),"BDO+SDO",IF(INDEX('BDO Plan'!$A$25:$G$35,2*INT((22+WEEKDAY($A$3,2)-1)/7)+1,MOD(22+WEEKDAY($A$3,2)-1,7)+1)&amp;""="","","BDO")&amp;IF(INDEX('SDO Plan'!$A$25:$G$35,2*INT((22+WEEKDAY($A$3,2)-1)/7)+1,MOD(22+WEEKDAY($A$3,2)-1,7)+1)&amp;""="","","SDO")))</f>
        <v/>
      </c>
      <c r="AA25" s="202">
        <f>IF(AA$5="","",IF(AND(IF(INDEX('BDO Plan'!$A$25:$G$35,2*INT((23+WEEKDAY($A$3,2)-1)/7)+1,MOD(23+WEEKDAY($A$3,2)-1,7)+1)&amp;""="","","BDO")&lt;&gt;"",IF(INDEX('SDO Plan'!$A$25:$G$35,2*INT((23+WEEKDAY($A$3,2)-1)/7)+1,MOD(23+WEEKDAY($A$3,2)-1,7)+1)&amp;""="","","SDO")&lt;&gt;""),"BDO+SDO",IF(INDEX('BDO Plan'!$A$25:$G$35,2*INT((23+WEEKDAY($A$3,2)-1)/7)+1,MOD(23+WEEKDAY($A$3,2)-1,7)+1)&amp;""="","","BDO")&amp;IF(INDEX('SDO Plan'!$A$25:$G$35,2*INT((23+WEEKDAY($A$3,2)-1)/7)+1,MOD(23+WEEKDAY($A$3,2)-1,7)+1)&amp;""="","","SDO")))</f>
        <v/>
      </c>
      <c r="AB25" s="202">
        <f>IF(AB$5="","",IF(AND(IF(INDEX('BDO Plan'!$A$25:$G$35,2*INT((24+WEEKDAY($A$3,2)-1)/7)+1,MOD(24+WEEKDAY($A$3,2)-1,7)+1)&amp;""="","","BDO")&lt;&gt;"",IF(INDEX('SDO Plan'!$A$25:$G$35,2*INT((24+WEEKDAY($A$3,2)-1)/7)+1,MOD(24+WEEKDAY($A$3,2)-1,7)+1)&amp;""="","","SDO")&lt;&gt;""),"BDO+SDO",IF(INDEX('BDO Plan'!$A$25:$G$35,2*INT((24+WEEKDAY($A$3,2)-1)/7)+1,MOD(24+WEEKDAY($A$3,2)-1,7)+1)&amp;""="","","BDO")&amp;IF(INDEX('SDO Plan'!$A$25:$G$35,2*INT((24+WEEKDAY($A$3,2)-1)/7)+1,MOD(24+WEEKDAY($A$3,2)-1,7)+1)&amp;""="","","SDO")))</f>
        <v/>
      </c>
      <c r="AC25" s="202">
        <f>IF(AC$5="","",IF(AND(IF(INDEX('BDO Plan'!$A$25:$G$35,2*INT((25+WEEKDAY($A$3,2)-1)/7)+1,MOD(25+WEEKDAY($A$3,2)-1,7)+1)&amp;""="","","BDO")&lt;&gt;"",IF(INDEX('SDO Plan'!$A$25:$G$35,2*INT((25+WEEKDAY($A$3,2)-1)/7)+1,MOD(25+WEEKDAY($A$3,2)-1,7)+1)&amp;""="","","SDO")&lt;&gt;""),"BDO+SDO",IF(INDEX('BDO Plan'!$A$25:$G$35,2*INT((25+WEEKDAY($A$3,2)-1)/7)+1,MOD(25+WEEKDAY($A$3,2)-1,7)+1)&amp;""="","","BDO")&amp;IF(INDEX('SDO Plan'!$A$25:$G$35,2*INT((25+WEEKDAY($A$3,2)-1)/7)+1,MOD(25+WEEKDAY($A$3,2)-1,7)+1)&amp;""="","","SDO")))</f>
        <v/>
      </c>
      <c r="AD25" s="202">
        <f>IF(AD$5="","",IF(AND(IF(INDEX('BDO Plan'!$A$25:$G$35,2*INT((26+WEEKDAY($A$3,2)-1)/7)+1,MOD(26+WEEKDAY($A$3,2)-1,7)+1)&amp;""="","","BDO")&lt;&gt;"",IF(INDEX('SDO Plan'!$A$25:$G$35,2*INT((26+WEEKDAY($A$3,2)-1)/7)+1,MOD(26+WEEKDAY($A$3,2)-1,7)+1)&amp;""="","","SDO")&lt;&gt;""),"BDO+SDO",IF(INDEX('BDO Plan'!$A$25:$G$35,2*INT((26+WEEKDAY($A$3,2)-1)/7)+1,MOD(26+WEEKDAY($A$3,2)-1,7)+1)&amp;""="","","BDO")&amp;IF(INDEX('SDO Plan'!$A$25:$G$35,2*INT((26+WEEKDAY($A$3,2)-1)/7)+1,MOD(26+WEEKDAY($A$3,2)-1,7)+1)&amp;""="","","SDO")))</f>
        <v/>
      </c>
      <c r="AE25" s="202">
        <f>IF(AE$5="","",IF(AND(IF(INDEX('BDO Plan'!$A$25:$G$35,2*INT((27+WEEKDAY($A$3,2)-1)/7)+1,MOD(27+WEEKDAY($A$3,2)-1,7)+1)&amp;""="","","BDO")&lt;&gt;"",IF(INDEX('SDO Plan'!$A$25:$G$35,2*INT((27+WEEKDAY($A$3,2)-1)/7)+1,MOD(27+WEEKDAY($A$3,2)-1,7)+1)&amp;""="","","SDO")&lt;&gt;""),"BDO+SDO",IF(INDEX('BDO Plan'!$A$25:$G$35,2*INT((27+WEEKDAY($A$3,2)-1)/7)+1,MOD(27+WEEKDAY($A$3,2)-1,7)+1)&amp;""="","","BDO")&amp;IF(INDEX('SDO Plan'!$A$25:$G$35,2*INT((27+WEEKDAY($A$3,2)-1)/7)+1,MOD(27+WEEKDAY($A$3,2)-1,7)+1)&amp;""="","","SDO")))</f>
        <v/>
      </c>
      <c r="AF25" s="202">
        <f>IF(AF$5="","",IF(AND(IF(INDEX('BDO Plan'!$A$25:$G$35,2*INT((28+WEEKDAY($A$3,2)-1)/7)+1,MOD(28+WEEKDAY($A$3,2)-1,7)+1)&amp;""="","","BDO")&lt;&gt;"",IF(INDEX('SDO Plan'!$A$25:$G$35,2*INT((28+WEEKDAY($A$3,2)-1)/7)+1,MOD(28+WEEKDAY($A$3,2)-1,7)+1)&amp;""="","","SDO")&lt;&gt;""),"BDO+SDO",IF(INDEX('BDO Plan'!$A$25:$G$35,2*INT((28+WEEKDAY($A$3,2)-1)/7)+1,MOD(28+WEEKDAY($A$3,2)-1,7)+1)&amp;""="","","BDO")&amp;IF(INDEX('SDO Plan'!$A$25:$G$35,2*INT((28+WEEKDAY($A$3,2)-1)/7)+1,MOD(28+WEEKDAY($A$3,2)-1,7)+1)&amp;""="","","SDO")))</f>
        <v/>
      </c>
      <c r="AG25" s="202">
        <f>IF(AG$5="","",IF(AND(IF(INDEX('BDO Plan'!$A$25:$G$35,2*INT((29+WEEKDAY($A$3,2)-1)/7)+1,MOD(29+WEEKDAY($A$3,2)-1,7)+1)&amp;""="","","BDO")&lt;&gt;"",IF(INDEX('SDO Plan'!$A$25:$G$35,2*INT((29+WEEKDAY($A$3,2)-1)/7)+1,MOD(29+WEEKDAY($A$3,2)-1,7)+1)&amp;""="","","SDO")&lt;&gt;""),"BDO+SDO",IF(INDEX('BDO Plan'!$A$25:$G$35,2*INT((29+WEEKDAY($A$3,2)-1)/7)+1,MOD(29+WEEKDAY($A$3,2)-1,7)+1)&amp;""="","","BDO")&amp;IF(INDEX('SDO Plan'!$A$25:$G$35,2*INT((29+WEEKDAY($A$3,2)-1)/7)+1,MOD(29+WEEKDAY($A$3,2)-1,7)+1)&amp;""="","","SDO")))</f>
        <v/>
      </c>
      <c r="AH25" s="202">
        <f>IF(AH$5="","",IF(AND(IF(INDEX('BDO Plan'!$A$25:$G$35,2*INT((30+WEEKDAY($A$3,2)-1)/7)+1,MOD(30+WEEKDAY($A$3,2)-1,7)+1)&amp;""="","","BDO")&lt;&gt;"",IF(INDEX('SDO Plan'!$A$25:$G$35,2*INT((30+WEEKDAY($A$3,2)-1)/7)+1,MOD(30+WEEKDAY($A$3,2)-1,7)+1)&amp;""="","","SDO")&lt;&gt;""),"BDO+SDO",IF(INDEX('BDO Plan'!$A$25:$G$35,2*INT((30+WEEKDAY($A$3,2)-1)/7)+1,MOD(30+WEEKDAY($A$3,2)-1,7)+1)&amp;""="","","BDO")&amp;IF(INDEX('SDO Plan'!$A$25:$G$35,2*INT((30+WEEKDAY($A$3,2)-1)/7)+1,MOD(30+WEEKDAY($A$3,2)-1,7)+1)&amp;""="","","SDO")))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DATE(PlanYear,5,1)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Plan'!$I$25:$O$35,2*INT((0+WEEKDAY($A$3,2)-1)/7)+1,MOD(0+WEEKDAY($A$3,2)-1,7)+1)&amp;""="","","BDO")&lt;&gt;"",IF(INDEX('SDO Plan'!$I$25:$O$35,2*INT((0+WEEKDAY($A$3,2)-1)/7)+1,MOD(0+WEEKDAY($A$3,2)-1,7)+1)&amp;""="","","SDO")&lt;&gt;""),"BDO+SDO",IF(INDEX('BDO Plan'!$I$25:$O$35,2*INT((0+WEEKDAY($A$3,2)-1)/7)+1,MOD(0+WEEKDAY($A$3,2)-1,7)+1)&amp;""="","","BDO")&amp;IF(INDEX('SDO Plan'!$I$25:$O$35,2*INT((0+WEEKDAY($A$3,2)-1)/7)+1,MOD(0+WEEKDAY($A$3,2)-1,7)+1)&amp;""="","","SDO")))</f>
        <v/>
      </c>
      <c r="E25" s="202">
        <f>IF(E$5="","",IF(AND(IF(INDEX('BDO Plan'!$I$25:$O$35,2*INT((1+WEEKDAY($A$3,2)-1)/7)+1,MOD(1+WEEKDAY($A$3,2)-1,7)+1)&amp;""="","","BDO")&lt;&gt;"",IF(INDEX('SDO Plan'!$I$25:$O$35,2*INT((1+WEEKDAY($A$3,2)-1)/7)+1,MOD(1+WEEKDAY($A$3,2)-1,7)+1)&amp;""="","","SDO")&lt;&gt;""),"BDO+SDO",IF(INDEX('BDO Plan'!$I$25:$O$35,2*INT((1+WEEKDAY($A$3,2)-1)/7)+1,MOD(1+WEEKDAY($A$3,2)-1,7)+1)&amp;""="","","BDO")&amp;IF(INDEX('SDO Plan'!$I$25:$O$35,2*INT((1+WEEKDAY($A$3,2)-1)/7)+1,MOD(1+WEEKDAY($A$3,2)-1,7)+1)&amp;""="","","SDO")))</f>
        <v/>
      </c>
      <c r="F25" s="202">
        <f>IF(F$5="","",IF(AND(IF(INDEX('BDO Plan'!$I$25:$O$35,2*INT((2+WEEKDAY($A$3,2)-1)/7)+1,MOD(2+WEEKDAY($A$3,2)-1,7)+1)&amp;""="","","BDO")&lt;&gt;"",IF(INDEX('SDO Plan'!$I$25:$O$35,2*INT((2+WEEKDAY($A$3,2)-1)/7)+1,MOD(2+WEEKDAY($A$3,2)-1,7)+1)&amp;""="","","SDO")&lt;&gt;""),"BDO+SDO",IF(INDEX('BDO Plan'!$I$25:$O$35,2*INT((2+WEEKDAY($A$3,2)-1)/7)+1,MOD(2+WEEKDAY($A$3,2)-1,7)+1)&amp;""="","","BDO")&amp;IF(INDEX('SDO Plan'!$I$25:$O$35,2*INT((2+WEEKDAY($A$3,2)-1)/7)+1,MOD(2+WEEKDAY($A$3,2)-1,7)+1)&amp;""="","","SDO")))</f>
        <v/>
      </c>
      <c r="G25" s="202">
        <f>IF(G$5="","",IF(AND(IF(INDEX('BDO Plan'!$I$25:$O$35,2*INT((3+WEEKDAY($A$3,2)-1)/7)+1,MOD(3+WEEKDAY($A$3,2)-1,7)+1)&amp;""="","","BDO")&lt;&gt;"",IF(INDEX('SDO Plan'!$I$25:$O$35,2*INT((3+WEEKDAY($A$3,2)-1)/7)+1,MOD(3+WEEKDAY($A$3,2)-1,7)+1)&amp;""="","","SDO")&lt;&gt;""),"BDO+SDO",IF(INDEX('BDO Plan'!$I$25:$O$35,2*INT((3+WEEKDAY($A$3,2)-1)/7)+1,MOD(3+WEEKDAY($A$3,2)-1,7)+1)&amp;""="","","BDO")&amp;IF(INDEX('SDO Plan'!$I$25:$O$35,2*INT((3+WEEKDAY($A$3,2)-1)/7)+1,MOD(3+WEEKDAY($A$3,2)-1,7)+1)&amp;""="","","SDO")))</f>
        <v/>
      </c>
      <c r="H25" s="202">
        <f>IF(H$5="","",IF(AND(IF(INDEX('BDO Plan'!$I$25:$O$35,2*INT((4+WEEKDAY($A$3,2)-1)/7)+1,MOD(4+WEEKDAY($A$3,2)-1,7)+1)&amp;""="","","BDO")&lt;&gt;"",IF(INDEX('SDO Plan'!$I$25:$O$35,2*INT((4+WEEKDAY($A$3,2)-1)/7)+1,MOD(4+WEEKDAY($A$3,2)-1,7)+1)&amp;""="","","SDO")&lt;&gt;""),"BDO+SDO",IF(INDEX('BDO Plan'!$I$25:$O$35,2*INT((4+WEEKDAY($A$3,2)-1)/7)+1,MOD(4+WEEKDAY($A$3,2)-1,7)+1)&amp;""="","","BDO")&amp;IF(INDEX('SDO Plan'!$I$25:$O$35,2*INT((4+WEEKDAY($A$3,2)-1)/7)+1,MOD(4+WEEKDAY($A$3,2)-1,7)+1)&amp;""="","","SDO")))</f>
        <v/>
      </c>
      <c r="I25" s="202">
        <f>IF(I$5="","",IF(AND(IF(INDEX('BDO Plan'!$I$25:$O$35,2*INT((5+WEEKDAY($A$3,2)-1)/7)+1,MOD(5+WEEKDAY($A$3,2)-1,7)+1)&amp;""="","","BDO")&lt;&gt;"",IF(INDEX('SDO Plan'!$I$25:$O$35,2*INT((5+WEEKDAY($A$3,2)-1)/7)+1,MOD(5+WEEKDAY($A$3,2)-1,7)+1)&amp;""="","","SDO")&lt;&gt;""),"BDO+SDO",IF(INDEX('BDO Plan'!$I$25:$O$35,2*INT((5+WEEKDAY($A$3,2)-1)/7)+1,MOD(5+WEEKDAY($A$3,2)-1,7)+1)&amp;""="","","BDO")&amp;IF(INDEX('SDO Plan'!$I$25:$O$35,2*INT((5+WEEKDAY($A$3,2)-1)/7)+1,MOD(5+WEEKDAY($A$3,2)-1,7)+1)&amp;""="","","SDO")))</f>
        <v/>
      </c>
      <c r="J25" s="202">
        <f>IF(J$5="","",IF(AND(IF(INDEX('BDO Plan'!$I$25:$O$35,2*INT((6+WEEKDAY($A$3,2)-1)/7)+1,MOD(6+WEEKDAY($A$3,2)-1,7)+1)&amp;""="","","BDO")&lt;&gt;"",IF(INDEX('SDO Plan'!$I$25:$O$35,2*INT((6+WEEKDAY($A$3,2)-1)/7)+1,MOD(6+WEEKDAY($A$3,2)-1,7)+1)&amp;""="","","SDO")&lt;&gt;""),"BDO+SDO",IF(INDEX('BDO Plan'!$I$25:$O$35,2*INT((6+WEEKDAY($A$3,2)-1)/7)+1,MOD(6+WEEKDAY($A$3,2)-1,7)+1)&amp;""="","","BDO")&amp;IF(INDEX('SDO Plan'!$I$25:$O$35,2*INT((6+WEEKDAY($A$3,2)-1)/7)+1,MOD(6+WEEKDAY($A$3,2)-1,7)+1)&amp;""="","","SDO")))</f>
        <v/>
      </c>
      <c r="K25" s="202">
        <f>IF(K$5="","",IF(AND(IF(INDEX('BDO Plan'!$I$25:$O$35,2*INT((7+WEEKDAY($A$3,2)-1)/7)+1,MOD(7+WEEKDAY($A$3,2)-1,7)+1)&amp;""="","","BDO")&lt;&gt;"",IF(INDEX('SDO Plan'!$I$25:$O$35,2*INT((7+WEEKDAY($A$3,2)-1)/7)+1,MOD(7+WEEKDAY($A$3,2)-1,7)+1)&amp;""="","","SDO")&lt;&gt;""),"BDO+SDO",IF(INDEX('BDO Plan'!$I$25:$O$35,2*INT((7+WEEKDAY($A$3,2)-1)/7)+1,MOD(7+WEEKDAY($A$3,2)-1,7)+1)&amp;""="","","BDO")&amp;IF(INDEX('SDO Plan'!$I$25:$O$35,2*INT((7+WEEKDAY($A$3,2)-1)/7)+1,MOD(7+WEEKDAY($A$3,2)-1,7)+1)&amp;""="","","SDO")))</f>
        <v/>
      </c>
      <c r="L25" s="202">
        <f>IF(L$5="","",IF(AND(IF(INDEX('BDO Plan'!$I$25:$O$35,2*INT((8+WEEKDAY($A$3,2)-1)/7)+1,MOD(8+WEEKDAY($A$3,2)-1,7)+1)&amp;""="","","BDO")&lt;&gt;"",IF(INDEX('SDO Plan'!$I$25:$O$35,2*INT((8+WEEKDAY($A$3,2)-1)/7)+1,MOD(8+WEEKDAY($A$3,2)-1,7)+1)&amp;""="","","SDO")&lt;&gt;""),"BDO+SDO",IF(INDEX('BDO Plan'!$I$25:$O$35,2*INT((8+WEEKDAY($A$3,2)-1)/7)+1,MOD(8+WEEKDAY($A$3,2)-1,7)+1)&amp;""="","","BDO")&amp;IF(INDEX('SDO Plan'!$I$25:$O$35,2*INT((8+WEEKDAY($A$3,2)-1)/7)+1,MOD(8+WEEKDAY($A$3,2)-1,7)+1)&amp;""="","","SDO")))</f>
        <v/>
      </c>
      <c r="M25" s="202">
        <f>IF(M$5="","",IF(AND(IF(INDEX('BDO Plan'!$I$25:$O$35,2*INT((9+WEEKDAY($A$3,2)-1)/7)+1,MOD(9+WEEKDAY($A$3,2)-1,7)+1)&amp;""="","","BDO")&lt;&gt;"",IF(INDEX('SDO Plan'!$I$25:$O$35,2*INT((9+WEEKDAY($A$3,2)-1)/7)+1,MOD(9+WEEKDAY($A$3,2)-1,7)+1)&amp;""="","","SDO")&lt;&gt;""),"BDO+SDO",IF(INDEX('BDO Plan'!$I$25:$O$35,2*INT((9+WEEKDAY($A$3,2)-1)/7)+1,MOD(9+WEEKDAY($A$3,2)-1,7)+1)&amp;""="","","BDO")&amp;IF(INDEX('SDO Plan'!$I$25:$O$35,2*INT((9+WEEKDAY($A$3,2)-1)/7)+1,MOD(9+WEEKDAY($A$3,2)-1,7)+1)&amp;""="","","SDO")))</f>
        <v/>
      </c>
      <c r="N25" s="202">
        <f>IF(N$5="","",IF(AND(IF(INDEX('BDO Plan'!$I$25:$O$35,2*INT((10+WEEKDAY($A$3,2)-1)/7)+1,MOD(10+WEEKDAY($A$3,2)-1,7)+1)&amp;""="","","BDO")&lt;&gt;"",IF(INDEX('SDO Plan'!$I$25:$O$35,2*INT((10+WEEKDAY($A$3,2)-1)/7)+1,MOD(10+WEEKDAY($A$3,2)-1,7)+1)&amp;""="","","SDO")&lt;&gt;""),"BDO+SDO",IF(INDEX('BDO Plan'!$I$25:$O$35,2*INT((10+WEEKDAY($A$3,2)-1)/7)+1,MOD(10+WEEKDAY($A$3,2)-1,7)+1)&amp;""="","","BDO")&amp;IF(INDEX('SDO Plan'!$I$25:$O$35,2*INT((10+WEEKDAY($A$3,2)-1)/7)+1,MOD(10+WEEKDAY($A$3,2)-1,7)+1)&amp;""="","","SDO")))</f>
        <v/>
      </c>
      <c r="O25" s="202">
        <f>IF(O$5="","",IF(AND(IF(INDEX('BDO Plan'!$I$25:$O$35,2*INT((11+WEEKDAY($A$3,2)-1)/7)+1,MOD(11+WEEKDAY($A$3,2)-1,7)+1)&amp;""="","","BDO")&lt;&gt;"",IF(INDEX('SDO Plan'!$I$25:$O$35,2*INT((11+WEEKDAY($A$3,2)-1)/7)+1,MOD(11+WEEKDAY($A$3,2)-1,7)+1)&amp;""="","","SDO")&lt;&gt;""),"BDO+SDO",IF(INDEX('BDO Plan'!$I$25:$O$35,2*INT((11+WEEKDAY($A$3,2)-1)/7)+1,MOD(11+WEEKDAY($A$3,2)-1,7)+1)&amp;""="","","BDO")&amp;IF(INDEX('SDO Plan'!$I$25:$O$35,2*INT((11+WEEKDAY($A$3,2)-1)/7)+1,MOD(11+WEEKDAY($A$3,2)-1,7)+1)&amp;""="","","SDO")))</f>
        <v/>
      </c>
      <c r="P25" s="202">
        <f>IF(P$5="","",IF(AND(IF(INDEX('BDO Plan'!$I$25:$O$35,2*INT((12+WEEKDAY($A$3,2)-1)/7)+1,MOD(12+WEEKDAY($A$3,2)-1,7)+1)&amp;""="","","BDO")&lt;&gt;"",IF(INDEX('SDO Plan'!$I$25:$O$35,2*INT((12+WEEKDAY($A$3,2)-1)/7)+1,MOD(12+WEEKDAY($A$3,2)-1,7)+1)&amp;""="","","SDO")&lt;&gt;""),"BDO+SDO",IF(INDEX('BDO Plan'!$I$25:$O$35,2*INT((12+WEEKDAY($A$3,2)-1)/7)+1,MOD(12+WEEKDAY($A$3,2)-1,7)+1)&amp;""="","","BDO")&amp;IF(INDEX('SDO Plan'!$I$25:$O$35,2*INT((12+WEEKDAY($A$3,2)-1)/7)+1,MOD(12+WEEKDAY($A$3,2)-1,7)+1)&amp;""="","","SDO")))</f>
        <v/>
      </c>
      <c r="Q25" s="202">
        <f>IF(Q$5="","",IF(AND(IF(INDEX('BDO Plan'!$I$25:$O$35,2*INT((13+WEEKDAY($A$3,2)-1)/7)+1,MOD(13+WEEKDAY($A$3,2)-1,7)+1)&amp;""="","","BDO")&lt;&gt;"",IF(INDEX('SDO Plan'!$I$25:$O$35,2*INT((13+WEEKDAY($A$3,2)-1)/7)+1,MOD(13+WEEKDAY($A$3,2)-1,7)+1)&amp;""="","","SDO")&lt;&gt;""),"BDO+SDO",IF(INDEX('BDO Plan'!$I$25:$O$35,2*INT((13+WEEKDAY($A$3,2)-1)/7)+1,MOD(13+WEEKDAY($A$3,2)-1,7)+1)&amp;""="","","BDO")&amp;IF(INDEX('SDO Plan'!$I$25:$O$35,2*INT((13+WEEKDAY($A$3,2)-1)/7)+1,MOD(13+WEEKDAY($A$3,2)-1,7)+1)&amp;""="","","SDO")))</f>
        <v/>
      </c>
      <c r="R25" s="202">
        <f>IF(R$5="","",IF(AND(IF(INDEX('BDO Plan'!$I$25:$O$35,2*INT((14+WEEKDAY($A$3,2)-1)/7)+1,MOD(14+WEEKDAY($A$3,2)-1,7)+1)&amp;""="","","BDO")&lt;&gt;"",IF(INDEX('SDO Plan'!$I$25:$O$35,2*INT((14+WEEKDAY($A$3,2)-1)/7)+1,MOD(14+WEEKDAY($A$3,2)-1,7)+1)&amp;""="","","SDO")&lt;&gt;""),"BDO+SDO",IF(INDEX('BDO Plan'!$I$25:$O$35,2*INT((14+WEEKDAY($A$3,2)-1)/7)+1,MOD(14+WEEKDAY($A$3,2)-1,7)+1)&amp;""="","","BDO")&amp;IF(INDEX('SDO Plan'!$I$25:$O$35,2*INT((14+WEEKDAY($A$3,2)-1)/7)+1,MOD(14+WEEKDAY($A$3,2)-1,7)+1)&amp;""="","","SDO")))</f>
        <v/>
      </c>
      <c r="S25" s="202">
        <f>IF(S$5="","",IF(AND(IF(INDEX('BDO Plan'!$I$25:$O$35,2*INT((15+WEEKDAY($A$3,2)-1)/7)+1,MOD(15+WEEKDAY($A$3,2)-1,7)+1)&amp;""="","","BDO")&lt;&gt;"",IF(INDEX('SDO Plan'!$I$25:$O$35,2*INT((15+WEEKDAY($A$3,2)-1)/7)+1,MOD(15+WEEKDAY($A$3,2)-1,7)+1)&amp;""="","","SDO")&lt;&gt;""),"BDO+SDO",IF(INDEX('BDO Plan'!$I$25:$O$35,2*INT((15+WEEKDAY($A$3,2)-1)/7)+1,MOD(15+WEEKDAY($A$3,2)-1,7)+1)&amp;""="","","BDO")&amp;IF(INDEX('SDO Plan'!$I$25:$O$35,2*INT((15+WEEKDAY($A$3,2)-1)/7)+1,MOD(15+WEEKDAY($A$3,2)-1,7)+1)&amp;""="","","SDO")))</f>
        <v/>
      </c>
      <c r="T25" s="202">
        <f>IF(T$5="","",IF(AND(IF(INDEX('BDO Plan'!$I$25:$O$35,2*INT((16+WEEKDAY($A$3,2)-1)/7)+1,MOD(16+WEEKDAY($A$3,2)-1,7)+1)&amp;""="","","BDO")&lt;&gt;"",IF(INDEX('SDO Plan'!$I$25:$O$35,2*INT((16+WEEKDAY($A$3,2)-1)/7)+1,MOD(16+WEEKDAY($A$3,2)-1,7)+1)&amp;""="","","SDO")&lt;&gt;""),"BDO+SDO",IF(INDEX('BDO Plan'!$I$25:$O$35,2*INT((16+WEEKDAY($A$3,2)-1)/7)+1,MOD(16+WEEKDAY($A$3,2)-1,7)+1)&amp;""="","","BDO")&amp;IF(INDEX('SDO Plan'!$I$25:$O$35,2*INT((16+WEEKDAY($A$3,2)-1)/7)+1,MOD(16+WEEKDAY($A$3,2)-1,7)+1)&amp;""="","","SDO")))</f>
        <v/>
      </c>
      <c r="U25" s="202">
        <f>IF(U$5="","",IF(AND(IF(INDEX('BDO Plan'!$I$25:$O$35,2*INT((17+WEEKDAY($A$3,2)-1)/7)+1,MOD(17+WEEKDAY($A$3,2)-1,7)+1)&amp;""="","","BDO")&lt;&gt;"",IF(INDEX('SDO Plan'!$I$25:$O$35,2*INT((17+WEEKDAY($A$3,2)-1)/7)+1,MOD(17+WEEKDAY($A$3,2)-1,7)+1)&amp;""="","","SDO")&lt;&gt;""),"BDO+SDO",IF(INDEX('BDO Plan'!$I$25:$O$35,2*INT((17+WEEKDAY($A$3,2)-1)/7)+1,MOD(17+WEEKDAY($A$3,2)-1,7)+1)&amp;""="","","BDO")&amp;IF(INDEX('SDO Plan'!$I$25:$O$35,2*INT((17+WEEKDAY($A$3,2)-1)/7)+1,MOD(17+WEEKDAY($A$3,2)-1,7)+1)&amp;""="","","SDO")))</f>
        <v/>
      </c>
      <c r="V25" s="202">
        <f>IF(V$5="","",IF(AND(IF(INDEX('BDO Plan'!$I$25:$O$35,2*INT((18+WEEKDAY($A$3,2)-1)/7)+1,MOD(18+WEEKDAY($A$3,2)-1,7)+1)&amp;""="","","BDO")&lt;&gt;"",IF(INDEX('SDO Plan'!$I$25:$O$35,2*INT((18+WEEKDAY($A$3,2)-1)/7)+1,MOD(18+WEEKDAY($A$3,2)-1,7)+1)&amp;""="","","SDO")&lt;&gt;""),"BDO+SDO",IF(INDEX('BDO Plan'!$I$25:$O$35,2*INT((18+WEEKDAY($A$3,2)-1)/7)+1,MOD(18+WEEKDAY($A$3,2)-1,7)+1)&amp;""="","","BDO")&amp;IF(INDEX('SDO Plan'!$I$25:$O$35,2*INT((18+WEEKDAY($A$3,2)-1)/7)+1,MOD(18+WEEKDAY($A$3,2)-1,7)+1)&amp;""="","","SDO")))</f>
        <v/>
      </c>
      <c r="W25" s="202">
        <f>IF(W$5="","",IF(AND(IF(INDEX('BDO Plan'!$I$25:$O$35,2*INT((19+WEEKDAY($A$3,2)-1)/7)+1,MOD(19+WEEKDAY($A$3,2)-1,7)+1)&amp;""="","","BDO")&lt;&gt;"",IF(INDEX('SDO Plan'!$I$25:$O$35,2*INT((19+WEEKDAY($A$3,2)-1)/7)+1,MOD(19+WEEKDAY($A$3,2)-1,7)+1)&amp;""="","","SDO")&lt;&gt;""),"BDO+SDO",IF(INDEX('BDO Plan'!$I$25:$O$35,2*INT((19+WEEKDAY($A$3,2)-1)/7)+1,MOD(19+WEEKDAY($A$3,2)-1,7)+1)&amp;""="","","BDO")&amp;IF(INDEX('SDO Plan'!$I$25:$O$35,2*INT((19+WEEKDAY($A$3,2)-1)/7)+1,MOD(19+WEEKDAY($A$3,2)-1,7)+1)&amp;""="","","SDO")))</f>
        <v/>
      </c>
      <c r="X25" s="202">
        <f>IF(X$5="","",IF(AND(IF(INDEX('BDO Plan'!$I$25:$O$35,2*INT((20+WEEKDAY($A$3,2)-1)/7)+1,MOD(20+WEEKDAY($A$3,2)-1,7)+1)&amp;""="","","BDO")&lt;&gt;"",IF(INDEX('SDO Plan'!$I$25:$O$35,2*INT((20+WEEKDAY($A$3,2)-1)/7)+1,MOD(20+WEEKDAY($A$3,2)-1,7)+1)&amp;""="","","SDO")&lt;&gt;""),"BDO+SDO",IF(INDEX('BDO Plan'!$I$25:$O$35,2*INT((20+WEEKDAY($A$3,2)-1)/7)+1,MOD(20+WEEKDAY($A$3,2)-1,7)+1)&amp;""="","","BDO")&amp;IF(INDEX('SDO Plan'!$I$25:$O$35,2*INT((20+WEEKDAY($A$3,2)-1)/7)+1,MOD(20+WEEKDAY($A$3,2)-1,7)+1)&amp;""="","","SDO")))</f>
        <v/>
      </c>
      <c r="Y25" s="202">
        <f>IF(Y$5="","",IF(AND(IF(INDEX('BDO Plan'!$I$25:$O$35,2*INT((21+WEEKDAY($A$3,2)-1)/7)+1,MOD(21+WEEKDAY($A$3,2)-1,7)+1)&amp;""="","","BDO")&lt;&gt;"",IF(INDEX('SDO Plan'!$I$25:$O$35,2*INT((21+WEEKDAY($A$3,2)-1)/7)+1,MOD(21+WEEKDAY($A$3,2)-1,7)+1)&amp;""="","","SDO")&lt;&gt;""),"BDO+SDO",IF(INDEX('BDO Plan'!$I$25:$O$35,2*INT((21+WEEKDAY($A$3,2)-1)/7)+1,MOD(21+WEEKDAY($A$3,2)-1,7)+1)&amp;""="","","BDO")&amp;IF(INDEX('SDO Plan'!$I$25:$O$35,2*INT((21+WEEKDAY($A$3,2)-1)/7)+1,MOD(21+WEEKDAY($A$3,2)-1,7)+1)&amp;""="","","SDO")))</f>
        <v/>
      </c>
      <c r="Z25" s="202">
        <f>IF(Z$5="","",IF(AND(IF(INDEX('BDO Plan'!$I$25:$O$35,2*INT((22+WEEKDAY($A$3,2)-1)/7)+1,MOD(22+WEEKDAY($A$3,2)-1,7)+1)&amp;""="","","BDO")&lt;&gt;"",IF(INDEX('SDO Plan'!$I$25:$O$35,2*INT((22+WEEKDAY($A$3,2)-1)/7)+1,MOD(22+WEEKDAY($A$3,2)-1,7)+1)&amp;""="","","SDO")&lt;&gt;""),"BDO+SDO",IF(INDEX('BDO Plan'!$I$25:$O$35,2*INT((22+WEEKDAY($A$3,2)-1)/7)+1,MOD(22+WEEKDAY($A$3,2)-1,7)+1)&amp;""="","","BDO")&amp;IF(INDEX('SDO Plan'!$I$25:$O$35,2*INT((22+WEEKDAY($A$3,2)-1)/7)+1,MOD(22+WEEKDAY($A$3,2)-1,7)+1)&amp;""="","","SDO")))</f>
        <v/>
      </c>
      <c r="AA25" s="202">
        <f>IF(AA$5="","",IF(AND(IF(INDEX('BDO Plan'!$I$25:$O$35,2*INT((23+WEEKDAY($A$3,2)-1)/7)+1,MOD(23+WEEKDAY($A$3,2)-1,7)+1)&amp;""="","","BDO")&lt;&gt;"",IF(INDEX('SDO Plan'!$I$25:$O$35,2*INT((23+WEEKDAY($A$3,2)-1)/7)+1,MOD(23+WEEKDAY($A$3,2)-1,7)+1)&amp;""="","","SDO")&lt;&gt;""),"BDO+SDO",IF(INDEX('BDO Plan'!$I$25:$O$35,2*INT((23+WEEKDAY($A$3,2)-1)/7)+1,MOD(23+WEEKDAY($A$3,2)-1,7)+1)&amp;""="","","BDO")&amp;IF(INDEX('SDO Plan'!$I$25:$O$35,2*INT((23+WEEKDAY($A$3,2)-1)/7)+1,MOD(23+WEEKDAY($A$3,2)-1,7)+1)&amp;""="","","SDO")))</f>
        <v/>
      </c>
      <c r="AB25" s="202">
        <f>IF(AB$5="","",IF(AND(IF(INDEX('BDO Plan'!$I$25:$O$35,2*INT((24+WEEKDAY($A$3,2)-1)/7)+1,MOD(24+WEEKDAY($A$3,2)-1,7)+1)&amp;""="","","BDO")&lt;&gt;"",IF(INDEX('SDO Plan'!$I$25:$O$35,2*INT((24+WEEKDAY($A$3,2)-1)/7)+1,MOD(24+WEEKDAY($A$3,2)-1,7)+1)&amp;""="","","SDO")&lt;&gt;""),"BDO+SDO",IF(INDEX('BDO Plan'!$I$25:$O$35,2*INT((24+WEEKDAY($A$3,2)-1)/7)+1,MOD(24+WEEKDAY($A$3,2)-1,7)+1)&amp;""="","","BDO")&amp;IF(INDEX('SDO Plan'!$I$25:$O$35,2*INT((24+WEEKDAY($A$3,2)-1)/7)+1,MOD(24+WEEKDAY($A$3,2)-1,7)+1)&amp;""="","","SDO")))</f>
        <v/>
      </c>
      <c r="AC25" s="202">
        <f>IF(AC$5="","",IF(AND(IF(INDEX('BDO Plan'!$I$25:$O$35,2*INT((25+WEEKDAY($A$3,2)-1)/7)+1,MOD(25+WEEKDAY($A$3,2)-1,7)+1)&amp;""="","","BDO")&lt;&gt;"",IF(INDEX('SDO Plan'!$I$25:$O$35,2*INT((25+WEEKDAY($A$3,2)-1)/7)+1,MOD(25+WEEKDAY($A$3,2)-1,7)+1)&amp;""="","","SDO")&lt;&gt;""),"BDO+SDO",IF(INDEX('BDO Plan'!$I$25:$O$35,2*INT((25+WEEKDAY($A$3,2)-1)/7)+1,MOD(25+WEEKDAY($A$3,2)-1,7)+1)&amp;""="","","BDO")&amp;IF(INDEX('SDO Plan'!$I$25:$O$35,2*INT((25+WEEKDAY($A$3,2)-1)/7)+1,MOD(25+WEEKDAY($A$3,2)-1,7)+1)&amp;""="","","SDO")))</f>
        <v/>
      </c>
      <c r="AD25" s="202">
        <f>IF(AD$5="","",IF(AND(IF(INDEX('BDO Plan'!$I$25:$O$35,2*INT((26+WEEKDAY($A$3,2)-1)/7)+1,MOD(26+WEEKDAY($A$3,2)-1,7)+1)&amp;""="","","BDO")&lt;&gt;"",IF(INDEX('SDO Plan'!$I$25:$O$35,2*INT((26+WEEKDAY($A$3,2)-1)/7)+1,MOD(26+WEEKDAY($A$3,2)-1,7)+1)&amp;""="","","SDO")&lt;&gt;""),"BDO+SDO",IF(INDEX('BDO Plan'!$I$25:$O$35,2*INT((26+WEEKDAY($A$3,2)-1)/7)+1,MOD(26+WEEKDAY($A$3,2)-1,7)+1)&amp;""="","","BDO")&amp;IF(INDEX('SDO Plan'!$I$25:$O$35,2*INT((26+WEEKDAY($A$3,2)-1)/7)+1,MOD(26+WEEKDAY($A$3,2)-1,7)+1)&amp;""="","","SDO")))</f>
        <v/>
      </c>
      <c r="AE25" s="202">
        <f>IF(AE$5="","",IF(AND(IF(INDEX('BDO Plan'!$I$25:$O$35,2*INT((27+WEEKDAY($A$3,2)-1)/7)+1,MOD(27+WEEKDAY($A$3,2)-1,7)+1)&amp;""="","","BDO")&lt;&gt;"",IF(INDEX('SDO Plan'!$I$25:$O$35,2*INT((27+WEEKDAY($A$3,2)-1)/7)+1,MOD(27+WEEKDAY($A$3,2)-1,7)+1)&amp;""="","","SDO")&lt;&gt;""),"BDO+SDO",IF(INDEX('BDO Plan'!$I$25:$O$35,2*INT((27+WEEKDAY($A$3,2)-1)/7)+1,MOD(27+WEEKDAY($A$3,2)-1,7)+1)&amp;""="","","BDO")&amp;IF(INDEX('SDO Plan'!$I$25:$O$35,2*INT((27+WEEKDAY($A$3,2)-1)/7)+1,MOD(27+WEEKDAY($A$3,2)-1,7)+1)&amp;""="","","SDO")))</f>
        <v/>
      </c>
      <c r="AF25" s="202">
        <f>IF(AF$5="","",IF(AND(IF(INDEX('BDO Plan'!$I$25:$O$35,2*INT((28+WEEKDAY($A$3,2)-1)/7)+1,MOD(28+WEEKDAY($A$3,2)-1,7)+1)&amp;""="","","BDO")&lt;&gt;"",IF(INDEX('SDO Plan'!$I$25:$O$35,2*INT((28+WEEKDAY($A$3,2)-1)/7)+1,MOD(28+WEEKDAY($A$3,2)-1,7)+1)&amp;""="","","SDO")&lt;&gt;""),"BDO+SDO",IF(INDEX('BDO Plan'!$I$25:$O$35,2*INT((28+WEEKDAY($A$3,2)-1)/7)+1,MOD(28+WEEKDAY($A$3,2)-1,7)+1)&amp;""="","","BDO")&amp;IF(INDEX('SDO Plan'!$I$25:$O$35,2*INT((28+WEEKDAY($A$3,2)-1)/7)+1,MOD(28+WEEKDAY($A$3,2)-1,7)+1)&amp;""="","","SDO")))</f>
        <v/>
      </c>
      <c r="AG25" s="202">
        <f>IF(AG$5="","",IF(AND(IF(INDEX('BDO Plan'!$I$25:$O$35,2*INT((29+WEEKDAY($A$3,2)-1)/7)+1,MOD(29+WEEKDAY($A$3,2)-1,7)+1)&amp;""="","","BDO")&lt;&gt;"",IF(INDEX('SDO Plan'!$I$25:$O$35,2*INT((29+WEEKDAY($A$3,2)-1)/7)+1,MOD(29+WEEKDAY($A$3,2)-1,7)+1)&amp;""="","","SDO")&lt;&gt;""),"BDO+SDO",IF(INDEX('BDO Plan'!$I$25:$O$35,2*INT((29+WEEKDAY($A$3,2)-1)/7)+1,MOD(29+WEEKDAY($A$3,2)-1,7)+1)&amp;""="","","BDO")&amp;IF(INDEX('SDO Plan'!$I$25:$O$35,2*INT((29+WEEKDAY($A$3,2)-1)/7)+1,MOD(29+WEEKDAY($A$3,2)-1,7)+1)&amp;""="","","SDO")))</f>
        <v/>
      </c>
      <c r="AH25" s="202">
        <f>IF(AH$5="","",IF(AND(IF(INDEX('BDO Plan'!$I$25:$O$35,2*INT((30+WEEKDAY($A$3,2)-1)/7)+1,MOD(30+WEEKDAY($A$3,2)-1,7)+1)&amp;""="","","BDO")&lt;&gt;"",IF(INDEX('SDO Plan'!$I$25:$O$35,2*INT((30+WEEKDAY($A$3,2)-1)/7)+1,MOD(30+WEEKDAY($A$3,2)-1,7)+1)&amp;""="","","SDO")&lt;&gt;""),"BDO+SDO",IF(INDEX('BDO Plan'!$I$25:$O$35,2*INT((30+WEEKDAY($A$3,2)-1)/7)+1,MOD(30+WEEKDAY($A$3,2)-1,7)+1)&amp;""="","","BDO")&amp;IF(INDEX('SDO Plan'!$I$25:$O$35,2*INT((30+WEEKDAY($A$3,2)-1)/7)+1,MOD(30+WEEKDAY($A$3,2)-1,7)+1)&amp;""="","","SDO")))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DATE(PlanYear,6,1)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Plan'!$Q$25:$W$35,2*INT((0+WEEKDAY($A$3,2)-1)/7)+1,MOD(0+WEEKDAY($A$3,2)-1,7)+1)&amp;""="","","BDO")&lt;&gt;"",IF(INDEX('SDO Plan'!$Q$25:$W$35,2*INT((0+WEEKDAY($A$3,2)-1)/7)+1,MOD(0+WEEKDAY($A$3,2)-1,7)+1)&amp;""="","","SDO")&lt;&gt;""),"BDO+SDO",IF(INDEX('BDO Plan'!$Q$25:$W$35,2*INT((0+WEEKDAY($A$3,2)-1)/7)+1,MOD(0+WEEKDAY($A$3,2)-1,7)+1)&amp;""="","","BDO")&amp;IF(INDEX('SDO Plan'!$Q$25:$W$35,2*INT((0+WEEKDAY($A$3,2)-1)/7)+1,MOD(0+WEEKDAY($A$3,2)-1,7)+1)&amp;""="","","SDO")))</f>
        <v/>
      </c>
      <c r="E25" s="202">
        <f>IF(E$5="","",IF(AND(IF(INDEX('BDO Plan'!$Q$25:$W$35,2*INT((1+WEEKDAY($A$3,2)-1)/7)+1,MOD(1+WEEKDAY($A$3,2)-1,7)+1)&amp;""="","","BDO")&lt;&gt;"",IF(INDEX('SDO Plan'!$Q$25:$W$35,2*INT((1+WEEKDAY($A$3,2)-1)/7)+1,MOD(1+WEEKDAY($A$3,2)-1,7)+1)&amp;""="","","SDO")&lt;&gt;""),"BDO+SDO",IF(INDEX('BDO Plan'!$Q$25:$W$35,2*INT((1+WEEKDAY($A$3,2)-1)/7)+1,MOD(1+WEEKDAY($A$3,2)-1,7)+1)&amp;""="","","BDO")&amp;IF(INDEX('SDO Plan'!$Q$25:$W$35,2*INT((1+WEEKDAY($A$3,2)-1)/7)+1,MOD(1+WEEKDAY($A$3,2)-1,7)+1)&amp;""="","","SDO")))</f>
        <v/>
      </c>
      <c r="F25" s="202">
        <f>IF(F$5="","",IF(AND(IF(INDEX('BDO Plan'!$Q$25:$W$35,2*INT((2+WEEKDAY($A$3,2)-1)/7)+1,MOD(2+WEEKDAY($A$3,2)-1,7)+1)&amp;""="","","BDO")&lt;&gt;"",IF(INDEX('SDO Plan'!$Q$25:$W$35,2*INT((2+WEEKDAY($A$3,2)-1)/7)+1,MOD(2+WEEKDAY($A$3,2)-1,7)+1)&amp;""="","","SDO")&lt;&gt;""),"BDO+SDO",IF(INDEX('BDO Plan'!$Q$25:$W$35,2*INT((2+WEEKDAY($A$3,2)-1)/7)+1,MOD(2+WEEKDAY($A$3,2)-1,7)+1)&amp;""="","","BDO")&amp;IF(INDEX('SDO Plan'!$Q$25:$W$35,2*INT((2+WEEKDAY($A$3,2)-1)/7)+1,MOD(2+WEEKDAY($A$3,2)-1,7)+1)&amp;""="","","SDO")))</f>
        <v/>
      </c>
      <c r="G25" s="202">
        <f>IF(G$5="","",IF(AND(IF(INDEX('BDO Plan'!$Q$25:$W$35,2*INT((3+WEEKDAY($A$3,2)-1)/7)+1,MOD(3+WEEKDAY($A$3,2)-1,7)+1)&amp;""="","","BDO")&lt;&gt;"",IF(INDEX('SDO Plan'!$Q$25:$W$35,2*INT((3+WEEKDAY($A$3,2)-1)/7)+1,MOD(3+WEEKDAY($A$3,2)-1,7)+1)&amp;""="","","SDO")&lt;&gt;""),"BDO+SDO",IF(INDEX('BDO Plan'!$Q$25:$W$35,2*INT((3+WEEKDAY($A$3,2)-1)/7)+1,MOD(3+WEEKDAY($A$3,2)-1,7)+1)&amp;""="","","BDO")&amp;IF(INDEX('SDO Plan'!$Q$25:$W$35,2*INT((3+WEEKDAY($A$3,2)-1)/7)+1,MOD(3+WEEKDAY($A$3,2)-1,7)+1)&amp;""="","","SDO")))</f>
        <v/>
      </c>
      <c r="H25" s="202">
        <f>IF(H$5="","",IF(AND(IF(INDEX('BDO Plan'!$Q$25:$W$35,2*INT((4+WEEKDAY($A$3,2)-1)/7)+1,MOD(4+WEEKDAY($A$3,2)-1,7)+1)&amp;""="","","BDO")&lt;&gt;"",IF(INDEX('SDO Plan'!$Q$25:$W$35,2*INT((4+WEEKDAY($A$3,2)-1)/7)+1,MOD(4+WEEKDAY($A$3,2)-1,7)+1)&amp;""="","","SDO")&lt;&gt;""),"BDO+SDO",IF(INDEX('BDO Plan'!$Q$25:$W$35,2*INT((4+WEEKDAY($A$3,2)-1)/7)+1,MOD(4+WEEKDAY($A$3,2)-1,7)+1)&amp;""="","","BDO")&amp;IF(INDEX('SDO Plan'!$Q$25:$W$35,2*INT((4+WEEKDAY($A$3,2)-1)/7)+1,MOD(4+WEEKDAY($A$3,2)-1,7)+1)&amp;""="","","SDO")))</f>
        <v/>
      </c>
      <c r="I25" s="202">
        <f>IF(I$5="","",IF(AND(IF(INDEX('BDO Plan'!$Q$25:$W$35,2*INT((5+WEEKDAY($A$3,2)-1)/7)+1,MOD(5+WEEKDAY($A$3,2)-1,7)+1)&amp;""="","","BDO")&lt;&gt;"",IF(INDEX('SDO Plan'!$Q$25:$W$35,2*INT((5+WEEKDAY($A$3,2)-1)/7)+1,MOD(5+WEEKDAY($A$3,2)-1,7)+1)&amp;""="","","SDO")&lt;&gt;""),"BDO+SDO",IF(INDEX('BDO Plan'!$Q$25:$W$35,2*INT((5+WEEKDAY($A$3,2)-1)/7)+1,MOD(5+WEEKDAY($A$3,2)-1,7)+1)&amp;""="","","BDO")&amp;IF(INDEX('SDO Plan'!$Q$25:$W$35,2*INT((5+WEEKDAY($A$3,2)-1)/7)+1,MOD(5+WEEKDAY($A$3,2)-1,7)+1)&amp;""="","","SDO")))</f>
        <v/>
      </c>
      <c r="J25" s="202">
        <f>IF(J$5="","",IF(AND(IF(INDEX('BDO Plan'!$Q$25:$W$35,2*INT((6+WEEKDAY($A$3,2)-1)/7)+1,MOD(6+WEEKDAY($A$3,2)-1,7)+1)&amp;""="","","BDO")&lt;&gt;"",IF(INDEX('SDO Plan'!$Q$25:$W$35,2*INT((6+WEEKDAY($A$3,2)-1)/7)+1,MOD(6+WEEKDAY($A$3,2)-1,7)+1)&amp;""="","","SDO")&lt;&gt;""),"BDO+SDO",IF(INDEX('BDO Plan'!$Q$25:$W$35,2*INT((6+WEEKDAY($A$3,2)-1)/7)+1,MOD(6+WEEKDAY($A$3,2)-1,7)+1)&amp;""="","","BDO")&amp;IF(INDEX('SDO Plan'!$Q$25:$W$35,2*INT((6+WEEKDAY($A$3,2)-1)/7)+1,MOD(6+WEEKDAY($A$3,2)-1,7)+1)&amp;""="","","SDO")))</f>
        <v/>
      </c>
      <c r="K25" s="202">
        <f>IF(K$5="","",IF(AND(IF(INDEX('BDO Plan'!$Q$25:$W$35,2*INT((7+WEEKDAY($A$3,2)-1)/7)+1,MOD(7+WEEKDAY($A$3,2)-1,7)+1)&amp;""="","","BDO")&lt;&gt;"",IF(INDEX('SDO Plan'!$Q$25:$W$35,2*INT((7+WEEKDAY($A$3,2)-1)/7)+1,MOD(7+WEEKDAY($A$3,2)-1,7)+1)&amp;""="","","SDO")&lt;&gt;""),"BDO+SDO",IF(INDEX('BDO Plan'!$Q$25:$W$35,2*INT((7+WEEKDAY($A$3,2)-1)/7)+1,MOD(7+WEEKDAY($A$3,2)-1,7)+1)&amp;""="","","BDO")&amp;IF(INDEX('SDO Plan'!$Q$25:$W$35,2*INT((7+WEEKDAY($A$3,2)-1)/7)+1,MOD(7+WEEKDAY($A$3,2)-1,7)+1)&amp;""="","","SDO")))</f>
        <v/>
      </c>
      <c r="L25" s="202">
        <f>IF(L$5="","",IF(AND(IF(INDEX('BDO Plan'!$Q$25:$W$35,2*INT((8+WEEKDAY($A$3,2)-1)/7)+1,MOD(8+WEEKDAY($A$3,2)-1,7)+1)&amp;""="","","BDO")&lt;&gt;"",IF(INDEX('SDO Plan'!$Q$25:$W$35,2*INT((8+WEEKDAY($A$3,2)-1)/7)+1,MOD(8+WEEKDAY($A$3,2)-1,7)+1)&amp;""="","","SDO")&lt;&gt;""),"BDO+SDO",IF(INDEX('BDO Plan'!$Q$25:$W$35,2*INT((8+WEEKDAY($A$3,2)-1)/7)+1,MOD(8+WEEKDAY($A$3,2)-1,7)+1)&amp;""="","","BDO")&amp;IF(INDEX('SDO Plan'!$Q$25:$W$35,2*INT((8+WEEKDAY($A$3,2)-1)/7)+1,MOD(8+WEEKDAY($A$3,2)-1,7)+1)&amp;""="","","SDO")))</f>
        <v/>
      </c>
      <c r="M25" s="202">
        <f>IF(M$5="","",IF(AND(IF(INDEX('BDO Plan'!$Q$25:$W$35,2*INT((9+WEEKDAY($A$3,2)-1)/7)+1,MOD(9+WEEKDAY($A$3,2)-1,7)+1)&amp;""="","","BDO")&lt;&gt;"",IF(INDEX('SDO Plan'!$Q$25:$W$35,2*INT((9+WEEKDAY($A$3,2)-1)/7)+1,MOD(9+WEEKDAY($A$3,2)-1,7)+1)&amp;""="","","SDO")&lt;&gt;""),"BDO+SDO",IF(INDEX('BDO Plan'!$Q$25:$W$35,2*INT((9+WEEKDAY($A$3,2)-1)/7)+1,MOD(9+WEEKDAY($A$3,2)-1,7)+1)&amp;""="","","BDO")&amp;IF(INDEX('SDO Plan'!$Q$25:$W$35,2*INT((9+WEEKDAY($A$3,2)-1)/7)+1,MOD(9+WEEKDAY($A$3,2)-1,7)+1)&amp;""="","","SDO")))</f>
        <v/>
      </c>
      <c r="N25" s="202">
        <f>IF(N$5="","",IF(AND(IF(INDEX('BDO Plan'!$Q$25:$W$35,2*INT((10+WEEKDAY($A$3,2)-1)/7)+1,MOD(10+WEEKDAY($A$3,2)-1,7)+1)&amp;""="","","BDO")&lt;&gt;"",IF(INDEX('SDO Plan'!$Q$25:$W$35,2*INT((10+WEEKDAY($A$3,2)-1)/7)+1,MOD(10+WEEKDAY($A$3,2)-1,7)+1)&amp;""="","","SDO")&lt;&gt;""),"BDO+SDO",IF(INDEX('BDO Plan'!$Q$25:$W$35,2*INT((10+WEEKDAY($A$3,2)-1)/7)+1,MOD(10+WEEKDAY($A$3,2)-1,7)+1)&amp;""="","","BDO")&amp;IF(INDEX('SDO Plan'!$Q$25:$W$35,2*INT((10+WEEKDAY($A$3,2)-1)/7)+1,MOD(10+WEEKDAY($A$3,2)-1,7)+1)&amp;""="","","SDO")))</f>
        <v/>
      </c>
      <c r="O25" s="202">
        <f>IF(O$5="","",IF(AND(IF(INDEX('BDO Plan'!$Q$25:$W$35,2*INT((11+WEEKDAY($A$3,2)-1)/7)+1,MOD(11+WEEKDAY($A$3,2)-1,7)+1)&amp;""="","","BDO")&lt;&gt;"",IF(INDEX('SDO Plan'!$Q$25:$W$35,2*INT((11+WEEKDAY($A$3,2)-1)/7)+1,MOD(11+WEEKDAY($A$3,2)-1,7)+1)&amp;""="","","SDO")&lt;&gt;""),"BDO+SDO",IF(INDEX('BDO Plan'!$Q$25:$W$35,2*INT((11+WEEKDAY($A$3,2)-1)/7)+1,MOD(11+WEEKDAY($A$3,2)-1,7)+1)&amp;""="","","BDO")&amp;IF(INDEX('SDO Plan'!$Q$25:$W$35,2*INT((11+WEEKDAY($A$3,2)-1)/7)+1,MOD(11+WEEKDAY($A$3,2)-1,7)+1)&amp;""="","","SDO")))</f>
        <v/>
      </c>
      <c r="P25" s="202">
        <f>IF(P$5="","",IF(AND(IF(INDEX('BDO Plan'!$Q$25:$W$35,2*INT((12+WEEKDAY($A$3,2)-1)/7)+1,MOD(12+WEEKDAY($A$3,2)-1,7)+1)&amp;""="","","BDO")&lt;&gt;"",IF(INDEX('SDO Plan'!$Q$25:$W$35,2*INT((12+WEEKDAY($A$3,2)-1)/7)+1,MOD(12+WEEKDAY($A$3,2)-1,7)+1)&amp;""="","","SDO")&lt;&gt;""),"BDO+SDO",IF(INDEX('BDO Plan'!$Q$25:$W$35,2*INT((12+WEEKDAY($A$3,2)-1)/7)+1,MOD(12+WEEKDAY($A$3,2)-1,7)+1)&amp;""="","","BDO")&amp;IF(INDEX('SDO Plan'!$Q$25:$W$35,2*INT((12+WEEKDAY($A$3,2)-1)/7)+1,MOD(12+WEEKDAY($A$3,2)-1,7)+1)&amp;""="","","SDO")))</f>
        <v/>
      </c>
      <c r="Q25" s="202">
        <f>IF(Q$5="","",IF(AND(IF(INDEX('BDO Plan'!$Q$25:$W$35,2*INT((13+WEEKDAY($A$3,2)-1)/7)+1,MOD(13+WEEKDAY($A$3,2)-1,7)+1)&amp;""="","","BDO")&lt;&gt;"",IF(INDEX('SDO Plan'!$Q$25:$W$35,2*INT((13+WEEKDAY($A$3,2)-1)/7)+1,MOD(13+WEEKDAY($A$3,2)-1,7)+1)&amp;""="","","SDO")&lt;&gt;""),"BDO+SDO",IF(INDEX('BDO Plan'!$Q$25:$W$35,2*INT((13+WEEKDAY($A$3,2)-1)/7)+1,MOD(13+WEEKDAY($A$3,2)-1,7)+1)&amp;""="","","BDO")&amp;IF(INDEX('SDO Plan'!$Q$25:$W$35,2*INT((13+WEEKDAY($A$3,2)-1)/7)+1,MOD(13+WEEKDAY($A$3,2)-1,7)+1)&amp;""="","","SDO")))</f>
        <v/>
      </c>
      <c r="R25" s="202">
        <f>IF(R$5="","",IF(AND(IF(INDEX('BDO Plan'!$Q$25:$W$35,2*INT((14+WEEKDAY($A$3,2)-1)/7)+1,MOD(14+WEEKDAY($A$3,2)-1,7)+1)&amp;""="","","BDO")&lt;&gt;"",IF(INDEX('SDO Plan'!$Q$25:$W$35,2*INT((14+WEEKDAY($A$3,2)-1)/7)+1,MOD(14+WEEKDAY($A$3,2)-1,7)+1)&amp;""="","","SDO")&lt;&gt;""),"BDO+SDO",IF(INDEX('BDO Plan'!$Q$25:$W$35,2*INT((14+WEEKDAY($A$3,2)-1)/7)+1,MOD(14+WEEKDAY($A$3,2)-1,7)+1)&amp;""="","","BDO")&amp;IF(INDEX('SDO Plan'!$Q$25:$W$35,2*INT((14+WEEKDAY($A$3,2)-1)/7)+1,MOD(14+WEEKDAY($A$3,2)-1,7)+1)&amp;""="","","SDO")))</f>
        <v/>
      </c>
      <c r="S25" s="202">
        <f>IF(S$5="","",IF(AND(IF(INDEX('BDO Plan'!$Q$25:$W$35,2*INT((15+WEEKDAY($A$3,2)-1)/7)+1,MOD(15+WEEKDAY($A$3,2)-1,7)+1)&amp;""="","","BDO")&lt;&gt;"",IF(INDEX('SDO Plan'!$Q$25:$W$35,2*INT((15+WEEKDAY($A$3,2)-1)/7)+1,MOD(15+WEEKDAY($A$3,2)-1,7)+1)&amp;""="","","SDO")&lt;&gt;""),"BDO+SDO",IF(INDEX('BDO Plan'!$Q$25:$W$35,2*INT((15+WEEKDAY($A$3,2)-1)/7)+1,MOD(15+WEEKDAY($A$3,2)-1,7)+1)&amp;""="","","BDO")&amp;IF(INDEX('SDO Plan'!$Q$25:$W$35,2*INT((15+WEEKDAY($A$3,2)-1)/7)+1,MOD(15+WEEKDAY($A$3,2)-1,7)+1)&amp;""="","","SDO")))</f>
        <v/>
      </c>
      <c r="T25" s="202">
        <f>IF(T$5="","",IF(AND(IF(INDEX('BDO Plan'!$Q$25:$W$35,2*INT((16+WEEKDAY($A$3,2)-1)/7)+1,MOD(16+WEEKDAY($A$3,2)-1,7)+1)&amp;""="","","BDO")&lt;&gt;"",IF(INDEX('SDO Plan'!$Q$25:$W$35,2*INT((16+WEEKDAY($A$3,2)-1)/7)+1,MOD(16+WEEKDAY($A$3,2)-1,7)+1)&amp;""="","","SDO")&lt;&gt;""),"BDO+SDO",IF(INDEX('BDO Plan'!$Q$25:$W$35,2*INT((16+WEEKDAY($A$3,2)-1)/7)+1,MOD(16+WEEKDAY($A$3,2)-1,7)+1)&amp;""="","","BDO")&amp;IF(INDEX('SDO Plan'!$Q$25:$W$35,2*INT((16+WEEKDAY($A$3,2)-1)/7)+1,MOD(16+WEEKDAY($A$3,2)-1,7)+1)&amp;""="","","SDO")))</f>
        <v/>
      </c>
      <c r="U25" s="202">
        <f>IF(U$5="","",IF(AND(IF(INDEX('BDO Plan'!$Q$25:$W$35,2*INT((17+WEEKDAY($A$3,2)-1)/7)+1,MOD(17+WEEKDAY($A$3,2)-1,7)+1)&amp;""="","","BDO")&lt;&gt;"",IF(INDEX('SDO Plan'!$Q$25:$W$35,2*INT((17+WEEKDAY($A$3,2)-1)/7)+1,MOD(17+WEEKDAY($A$3,2)-1,7)+1)&amp;""="","","SDO")&lt;&gt;""),"BDO+SDO",IF(INDEX('BDO Plan'!$Q$25:$W$35,2*INT((17+WEEKDAY($A$3,2)-1)/7)+1,MOD(17+WEEKDAY($A$3,2)-1,7)+1)&amp;""="","","BDO")&amp;IF(INDEX('SDO Plan'!$Q$25:$W$35,2*INT((17+WEEKDAY($A$3,2)-1)/7)+1,MOD(17+WEEKDAY($A$3,2)-1,7)+1)&amp;""="","","SDO")))</f>
        <v/>
      </c>
      <c r="V25" s="202">
        <f>IF(V$5="","",IF(AND(IF(INDEX('BDO Plan'!$Q$25:$W$35,2*INT((18+WEEKDAY($A$3,2)-1)/7)+1,MOD(18+WEEKDAY($A$3,2)-1,7)+1)&amp;""="","","BDO")&lt;&gt;"",IF(INDEX('SDO Plan'!$Q$25:$W$35,2*INT((18+WEEKDAY($A$3,2)-1)/7)+1,MOD(18+WEEKDAY($A$3,2)-1,7)+1)&amp;""="","","SDO")&lt;&gt;""),"BDO+SDO",IF(INDEX('BDO Plan'!$Q$25:$W$35,2*INT((18+WEEKDAY($A$3,2)-1)/7)+1,MOD(18+WEEKDAY($A$3,2)-1,7)+1)&amp;""="","","BDO")&amp;IF(INDEX('SDO Plan'!$Q$25:$W$35,2*INT((18+WEEKDAY($A$3,2)-1)/7)+1,MOD(18+WEEKDAY($A$3,2)-1,7)+1)&amp;""="","","SDO")))</f>
        <v/>
      </c>
      <c r="W25" s="202">
        <f>IF(W$5="","",IF(AND(IF(INDEX('BDO Plan'!$Q$25:$W$35,2*INT((19+WEEKDAY($A$3,2)-1)/7)+1,MOD(19+WEEKDAY($A$3,2)-1,7)+1)&amp;""="","","BDO")&lt;&gt;"",IF(INDEX('SDO Plan'!$Q$25:$W$35,2*INT((19+WEEKDAY($A$3,2)-1)/7)+1,MOD(19+WEEKDAY($A$3,2)-1,7)+1)&amp;""="","","SDO")&lt;&gt;""),"BDO+SDO",IF(INDEX('BDO Plan'!$Q$25:$W$35,2*INT((19+WEEKDAY($A$3,2)-1)/7)+1,MOD(19+WEEKDAY($A$3,2)-1,7)+1)&amp;""="","","BDO")&amp;IF(INDEX('SDO Plan'!$Q$25:$W$35,2*INT((19+WEEKDAY($A$3,2)-1)/7)+1,MOD(19+WEEKDAY($A$3,2)-1,7)+1)&amp;""="","","SDO")))</f>
        <v/>
      </c>
      <c r="X25" s="202">
        <f>IF(X$5="","",IF(AND(IF(INDEX('BDO Plan'!$Q$25:$W$35,2*INT((20+WEEKDAY($A$3,2)-1)/7)+1,MOD(20+WEEKDAY($A$3,2)-1,7)+1)&amp;""="","","BDO")&lt;&gt;"",IF(INDEX('SDO Plan'!$Q$25:$W$35,2*INT((20+WEEKDAY($A$3,2)-1)/7)+1,MOD(20+WEEKDAY($A$3,2)-1,7)+1)&amp;""="","","SDO")&lt;&gt;""),"BDO+SDO",IF(INDEX('BDO Plan'!$Q$25:$W$35,2*INT((20+WEEKDAY($A$3,2)-1)/7)+1,MOD(20+WEEKDAY($A$3,2)-1,7)+1)&amp;""="","","BDO")&amp;IF(INDEX('SDO Plan'!$Q$25:$W$35,2*INT((20+WEEKDAY($A$3,2)-1)/7)+1,MOD(20+WEEKDAY($A$3,2)-1,7)+1)&amp;""="","","SDO")))</f>
        <v/>
      </c>
      <c r="Y25" s="202">
        <f>IF(Y$5="","",IF(AND(IF(INDEX('BDO Plan'!$Q$25:$W$35,2*INT((21+WEEKDAY($A$3,2)-1)/7)+1,MOD(21+WEEKDAY($A$3,2)-1,7)+1)&amp;""="","","BDO")&lt;&gt;"",IF(INDEX('SDO Plan'!$Q$25:$W$35,2*INT((21+WEEKDAY($A$3,2)-1)/7)+1,MOD(21+WEEKDAY($A$3,2)-1,7)+1)&amp;""="","","SDO")&lt;&gt;""),"BDO+SDO",IF(INDEX('BDO Plan'!$Q$25:$W$35,2*INT((21+WEEKDAY($A$3,2)-1)/7)+1,MOD(21+WEEKDAY($A$3,2)-1,7)+1)&amp;""="","","BDO")&amp;IF(INDEX('SDO Plan'!$Q$25:$W$35,2*INT((21+WEEKDAY($A$3,2)-1)/7)+1,MOD(21+WEEKDAY($A$3,2)-1,7)+1)&amp;""="","","SDO")))</f>
        <v/>
      </c>
      <c r="Z25" s="202">
        <f>IF(Z$5="","",IF(AND(IF(INDEX('BDO Plan'!$Q$25:$W$35,2*INT((22+WEEKDAY($A$3,2)-1)/7)+1,MOD(22+WEEKDAY($A$3,2)-1,7)+1)&amp;""="","","BDO")&lt;&gt;"",IF(INDEX('SDO Plan'!$Q$25:$W$35,2*INT((22+WEEKDAY($A$3,2)-1)/7)+1,MOD(22+WEEKDAY($A$3,2)-1,7)+1)&amp;""="","","SDO")&lt;&gt;""),"BDO+SDO",IF(INDEX('BDO Plan'!$Q$25:$W$35,2*INT((22+WEEKDAY($A$3,2)-1)/7)+1,MOD(22+WEEKDAY($A$3,2)-1,7)+1)&amp;""="","","BDO")&amp;IF(INDEX('SDO Plan'!$Q$25:$W$35,2*INT((22+WEEKDAY($A$3,2)-1)/7)+1,MOD(22+WEEKDAY($A$3,2)-1,7)+1)&amp;""="","","SDO")))</f>
        <v/>
      </c>
      <c r="AA25" s="202">
        <f>IF(AA$5="","",IF(AND(IF(INDEX('BDO Plan'!$Q$25:$W$35,2*INT((23+WEEKDAY($A$3,2)-1)/7)+1,MOD(23+WEEKDAY($A$3,2)-1,7)+1)&amp;""="","","BDO")&lt;&gt;"",IF(INDEX('SDO Plan'!$Q$25:$W$35,2*INT((23+WEEKDAY($A$3,2)-1)/7)+1,MOD(23+WEEKDAY($A$3,2)-1,7)+1)&amp;""="","","SDO")&lt;&gt;""),"BDO+SDO",IF(INDEX('BDO Plan'!$Q$25:$W$35,2*INT((23+WEEKDAY($A$3,2)-1)/7)+1,MOD(23+WEEKDAY($A$3,2)-1,7)+1)&amp;""="","","BDO")&amp;IF(INDEX('SDO Plan'!$Q$25:$W$35,2*INT((23+WEEKDAY($A$3,2)-1)/7)+1,MOD(23+WEEKDAY($A$3,2)-1,7)+1)&amp;""="","","SDO")))</f>
        <v/>
      </c>
      <c r="AB25" s="202">
        <f>IF(AB$5="","",IF(AND(IF(INDEX('BDO Plan'!$Q$25:$W$35,2*INT((24+WEEKDAY($A$3,2)-1)/7)+1,MOD(24+WEEKDAY($A$3,2)-1,7)+1)&amp;""="","","BDO")&lt;&gt;"",IF(INDEX('SDO Plan'!$Q$25:$W$35,2*INT((24+WEEKDAY($A$3,2)-1)/7)+1,MOD(24+WEEKDAY($A$3,2)-1,7)+1)&amp;""="","","SDO")&lt;&gt;""),"BDO+SDO",IF(INDEX('BDO Plan'!$Q$25:$W$35,2*INT((24+WEEKDAY($A$3,2)-1)/7)+1,MOD(24+WEEKDAY($A$3,2)-1,7)+1)&amp;""="","","BDO")&amp;IF(INDEX('SDO Plan'!$Q$25:$W$35,2*INT((24+WEEKDAY($A$3,2)-1)/7)+1,MOD(24+WEEKDAY($A$3,2)-1,7)+1)&amp;""="","","SDO")))</f>
        <v/>
      </c>
      <c r="AC25" s="202">
        <f>IF(AC$5="","",IF(AND(IF(INDEX('BDO Plan'!$Q$25:$W$35,2*INT((25+WEEKDAY($A$3,2)-1)/7)+1,MOD(25+WEEKDAY($A$3,2)-1,7)+1)&amp;""="","","BDO")&lt;&gt;"",IF(INDEX('SDO Plan'!$Q$25:$W$35,2*INT((25+WEEKDAY($A$3,2)-1)/7)+1,MOD(25+WEEKDAY($A$3,2)-1,7)+1)&amp;""="","","SDO")&lt;&gt;""),"BDO+SDO",IF(INDEX('BDO Plan'!$Q$25:$W$35,2*INT((25+WEEKDAY($A$3,2)-1)/7)+1,MOD(25+WEEKDAY($A$3,2)-1,7)+1)&amp;""="","","BDO")&amp;IF(INDEX('SDO Plan'!$Q$25:$W$35,2*INT((25+WEEKDAY($A$3,2)-1)/7)+1,MOD(25+WEEKDAY($A$3,2)-1,7)+1)&amp;""="","","SDO")))</f>
        <v/>
      </c>
      <c r="AD25" s="202">
        <f>IF(AD$5="","",IF(AND(IF(INDEX('BDO Plan'!$Q$25:$W$35,2*INT((26+WEEKDAY($A$3,2)-1)/7)+1,MOD(26+WEEKDAY($A$3,2)-1,7)+1)&amp;""="","","BDO")&lt;&gt;"",IF(INDEX('SDO Plan'!$Q$25:$W$35,2*INT((26+WEEKDAY($A$3,2)-1)/7)+1,MOD(26+WEEKDAY($A$3,2)-1,7)+1)&amp;""="","","SDO")&lt;&gt;""),"BDO+SDO",IF(INDEX('BDO Plan'!$Q$25:$W$35,2*INT((26+WEEKDAY($A$3,2)-1)/7)+1,MOD(26+WEEKDAY($A$3,2)-1,7)+1)&amp;""="","","BDO")&amp;IF(INDEX('SDO Plan'!$Q$25:$W$35,2*INT((26+WEEKDAY($A$3,2)-1)/7)+1,MOD(26+WEEKDAY($A$3,2)-1,7)+1)&amp;""="","","SDO")))</f>
        <v/>
      </c>
      <c r="AE25" s="202">
        <f>IF(AE$5="","",IF(AND(IF(INDEX('BDO Plan'!$Q$25:$W$35,2*INT((27+WEEKDAY($A$3,2)-1)/7)+1,MOD(27+WEEKDAY($A$3,2)-1,7)+1)&amp;""="","","BDO")&lt;&gt;"",IF(INDEX('SDO Plan'!$Q$25:$W$35,2*INT((27+WEEKDAY($A$3,2)-1)/7)+1,MOD(27+WEEKDAY($A$3,2)-1,7)+1)&amp;""="","","SDO")&lt;&gt;""),"BDO+SDO",IF(INDEX('BDO Plan'!$Q$25:$W$35,2*INT((27+WEEKDAY($A$3,2)-1)/7)+1,MOD(27+WEEKDAY($A$3,2)-1,7)+1)&amp;""="","","BDO")&amp;IF(INDEX('SDO Plan'!$Q$25:$W$35,2*INT((27+WEEKDAY($A$3,2)-1)/7)+1,MOD(27+WEEKDAY($A$3,2)-1,7)+1)&amp;""="","","SDO")))</f>
        <v/>
      </c>
      <c r="AF25" s="202">
        <f>IF(AF$5="","",IF(AND(IF(INDEX('BDO Plan'!$Q$25:$W$35,2*INT((28+WEEKDAY($A$3,2)-1)/7)+1,MOD(28+WEEKDAY($A$3,2)-1,7)+1)&amp;""="","","BDO")&lt;&gt;"",IF(INDEX('SDO Plan'!$Q$25:$W$35,2*INT((28+WEEKDAY($A$3,2)-1)/7)+1,MOD(28+WEEKDAY($A$3,2)-1,7)+1)&amp;""="","","SDO")&lt;&gt;""),"BDO+SDO",IF(INDEX('BDO Plan'!$Q$25:$W$35,2*INT((28+WEEKDAY($A$3,2)-1)/7)+1,MOD(28+WEEKDAY($A$3,2)-1,7)+1)&amp;""="","","BDO")&amp;IF(INDEX('SDO Plan'!$Q$25:$W$35,2*INT((28+WEEKDAY($A$3,2)-1)/7)+1,MOD(28+WEEKDAY($A$3,2)-1,7)+1)&amp;""="","","SDO")))</f>
        <v/>
      </c>
      <c r="AG25" s="202">
        <f>IF(AG$5="","",IF(AND(IF(INDEX('BDO Plan'!$Q$25:$W$35,2*INT((29+WEEKDAY($A$3,2)-1)/7)+1,MOD(29+WEEKDAY($A$3,2)-1,7)+1)&amp;""="","","BDO")&lt;&gt;"",IF(INDEX('SDO Plan'!$Q$25:$W$35,2*INT((29+WEEKDAY($A$3,2)-1)/7)+1,MOD(29+WEEKDAY($A$3,2)-1,7)+1)&amp;""="","","SDO")&lt;&gt;""),"BDO+SDO",IF(INDEX('BDO Plan'!$Q$25:$W$35,2*INT((29+WEEKDAY($A$3,2)-1)/7)+1,MOD(29+WEEKDAY($A$3,2)-1,7)+1)&amp;""="","","BDO")&amp;IF(INDEX('SDO Plan'!$Q$25:$W$35,2*INT((29+WEEKDAY($A$3,2)-1)/7)+1,MOD(29+WEEKDAY($A$3,2)-1,7)+1)&amp;""="","","SDO")))</f>
        <v/>
      </c>
      <c r="AH25" s="202">
        <f>IF(AH$5="","",IF(AND(IF(INDEX('BDO Plan'!$Q$25:$W$35,2*INT((30+WEEKDAY($A$3,2)-1)/7)+1,MOD(30+WEEKDAY($A$3,2)-1,7)+1)&amp;""="","","BDO")&lt;&gt;"",IF(INDEX('SDO Plan'!$Q$25:$W$35,2*INT((30+WEEKDAY($A$3,2)-1)/7)+1,MOD(30+WEEKDAY($A$3,2)-1,7)+1)&amp;""="","","SDO")&lt;&gt;""),"BDO+SDO",IF(INDEX('BDO Plan'!$Q$25:$W$35,2*INT((30+WEEKDAY($A$3,2)-1)/7)+1,MOD(30+WEEKDAY($A$3,2)-1,7)+1)&amp;""="","","BDO")&amp;IF(INDEX('SDO Plan'!$Q$25:$W$35,2*INT((30+WEEKDAY($A$3,2)-1)/7)+1,MOD(30+WEEKDAY($A$3,2)-1,7)+1)&amp;""="","","SDO")))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DATE(PlanYear,7,1)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Plan'!$A$41:$G$51,2*INT((0+WEEKDAY($A$3,2)-1)/7)+1,MOD(0+WEEKDAY($A$3,2)-1,7)+1)&amp;""="","","BDO")&lt;&gt;"",IF(INDEX('SDO Plan'!$A$41:$G$51,2*INT((0+WEEKDAY($A$3,2)-1)/7)+1,MOD(0+WEEKDAY($A$3,2)-1,7)+1)&amp;""="","","SDO")&lt;&gt;""),"BDO+SDO",IF(INDEX('BDO Plan'!$A$41:$G$51,2*INT((0+WEEKDAY($A$3,2)-1)/7)+1,MOD(0+WEEKDAY($A$3,2)-1,7)+1)&amp;""="","","BDO")&amp;IF(INDEX('SDO Plan'!$A$41:$G$51,2*INT((0+WEEKDAY($A$3,2)-1)/7)+1,MOD(0+WEEKDAY($A$3,2)-1,7)+1)&amp;""="","","SDO")))</f>
        <v/>
      </c>
      <c r="E25" s="202">
        <f>IF(E$5="","",IF(AND(IF(INDEX('BDO Plan'!$A$41:$G$51,2*INT((1+WEEKDAY($A$3,2)-1)/7)+1,MOD(1+WEEKDAY($A$3,2)-1,7)+1)&amp;""="","","BDO")&lt;&gt;"",IF(INDEX('SDO Plan'!$A$41:$G$51,2*INT((1+WEEKDAY($A$3,2)-1)/7)+1,MOD(1+WEEKDAY($A$3,2)-1,7)+1)&amp;""="","","SDO")&lt;&gt;""),"BDO+SDO",IF(INDEX('BDO Plan'!$A$41:$G$51,2*INT((1+WEEKDAY($A$3,2)-1)/7)+1,MOD(1+WEEKDAY($A$3,2)-1,7)+1)&amp;""="","","BDO")&amp;IF(INDEX('SDO Plan'!$A$41:$G$51,2*INT((1+WEEKDAY($A$3,2)-1)/7)+1,MOD(1+WEEKDAY($A$3,2)-1,7)+1)&amp;""="","","SDO")))</f>
        <v/>
      </c>
      <c r="F25" s="202">
        <f>IF(F$5="","",IF(AND(IF(INDEX('BDO Plan'!$A$41:$G$51,2*INT((2+WEEKDAY($A$3,2)-1)/7)+1,MOD(2+WEEKDAY($A$3,2)-1,7)+1)&amp;""="","","BDO")&lt;&gt;"",IF(INDEX('SDO Plan'!$A$41:$G$51,2*INT((2+WEEKDAY($A$3,2)-1)/7)+1,MOD(2+WEEKDAY($A$3,2)-1,7)+1)&amp;""="","","SDO")&lt;&gt;""),"BDO+SDO",IF(INDEX('BDO Plan'!$A$41:$G$51,2*INT((2+WEEKDAY($A$3,2)-1)/7)+1,MOD(2+WEEKDAY($A$3,2)-1,7)+1)&amp;""="","","BDO")&amp;IF(INDEX('SDO Plan'!$A$41:$G$51,2*INT((2+WEEKDAY($A$3,2)-1)/7)+1,MOD(2+WEEKDAY($A$3,2)-1,7)+1)&amp;""="","","SDO")))</f>
        <v/>
      </c>
      <c r="G25" s="202">
        <f>IF(G$5="","",IF(AND(IF(INDEX('BDO Plan'!$A$41:$G$51,2*INT((3+WEEKDAY($A$3,2)-1)/7)+1,MOD(3+WEEKDAY($A$3,2)-1,7)+1)&amp;""="","","BDO")&lt;&gt;"",IF(INDEX('SDO Plan'!$A$41:$G$51,2*INT((3+WEEKDAY($A$3,2)-1)/7)+1,MOD(3+WEEKDAY($A$3,2)-1,7)+1)&amp;""="","","SDO")&lt;&gt;""),"BDO+SDO",IF(INDEX('BDO Plan'!$A$41:$G$51,2*INT((3+WEEKDAY($A$3,2)-1)/7)+1,MOD(3+WEEKDAY($A$3,2)-1,7)+1)&amp;""="","","BDO")&amp;IF(INDEX('SDO Plan'!$A$41:$G$51,2*INT((3+WEEKDAY($A$3,2)-1)/7)+1,MOD(3+WEEKDAY($A$3,2)-1,7)+1)&amp;""="","","SDO")))</f>
        <v/>
      </c>
      <c r="H25" s="202">
        <f>IF(H$5="","",IF(AND(IF(INDEX('BDO Plan'!$A$41:$G$51,2*INT((4+WEEKDAY($A$3,2)-1)/7)+1,MOD(4+WEEKDAY($A$3,2)-1,7)+1)&amp;""="","","BDO")&lt;&gt;"",IF(INDEX('SDO Plan'!$A$41:$G$51,2*INT((4+WEEKDAY($A$3,2)-1)/7)+1,MOD(4+WEEKDAY($A$3,2)-1,7)+1)&amp;""="","","SDO")&lt;&gt;""),"BDO+SDO",IF(INDEX('BDO Plan'!$A$41:$G$51,2*INT((4+WEEKDAY($A$3,2)-1)/7)+1,MOD(4+WEEKDAY($A$3,2)-1,7)+1)&amp;""="","","BDO")&amp;IF(INDEX('SDO Plan'!$A$41:$G$51,2*INT((4+WEEKDAY($A$3,2)-1)/7)+1,MOD(4+WEEKDAY($A$3,2)-1,7)+1)&amp;""="","","SDO")))</f>
        <v/>
      </c>
      <c r="I25" s="202">
        <f>IF(I$5="","",IF(AND(IF(INDEX('BDO Plan'!$A$41:$G$51,2*INT((5+WEEKDAY($A$3,2)-1)/7)+1,MOD(5+WEEKDAY($A$3,2)-1,7)+1)&amp;""="","","BDO")&lt;&gt;"",IF(INDEX('SDO Plan'!$A$41:$G$51,2*INT((5+WEEKDAY($A$3,2)-1)/7)+1,MOD(5+WEEKDAY($A$3,2)-1,7)+1)&amp;""="","","SDO")&lt;&gt;""),"BDO+SDO",IF(INDEX('BDO Plan'!$A$41:$G$51,2*INT((5+WEEKDAY($A$3,2)-1)/7)+1,MOD(5+WEEKDAY($A$3,2)-1,7)+1)&amp;""="","","BDO")&amp;IF(INDEX('SDO Plan'!$A$41:$G$51,2*INT((5+WEEKDAY($A$3,2)-1)/7)+1,MOD(5+WEEKDAY($A$3,2)-1,7)+1)&amp;""="","","SDO")))</f>
        <v/>
      </c>
      <c r="J25" s="202">
        <f>IF(J$5="","",IF(AND(IF(INDEX('BDO Plan'!$A$41:$G$51,2*INT((6+WEEKDAY($A$3,2)-1)/7)+1,MOD(6+WEEKDAY($A$3,2)-1,7)+1)&amp;""="","","BDO")&lt;&gt;"",IF(INDEX('SDO Plan'!$A$41:$G$51,2*INT((6+WEEKDAY($A$3,2)-1)/7)+1,MOD(6+WEEKDAY($A$3,2)-1,7)+1)&amp;""="","","SDO")&lt;&gt;""),"BDO+SDO",IF(INDEX('BDO Plan'!$A$41:$G$51,2*INT((6+WEEKDAY($A$3,2)-1)/7)+1,MOD(6+WEEKDAY($A$3,2)-1,7)+1)&amp;""="","","BDO")&amp;IF(INDEX('SDO Plan'!$A$41:$G$51,2*INT((6+WEEKDAY($A$3,2)-1)/7)+1,MOD(6+WEEKDAY($A$3,2)-1,7)+1)&amp;""="","","SDO")))</f>
        <v/>
      </c>
      <c r="K25" s="202">
        <f>IF(K$5="","",IF(AND(IF(INDEX('BDO Plan'!$A$41:$G$51,2*INT((7+WEEKDAY($A$3,2)-1)/7)+1,MOD(7+WEEKDAY($A$3,2)-1,7)+1)&amp;""="","","BDO")&lt;&gt;"",IF(INDEX('SDO Plan'!$A$41:$G$51,2*INT((7+WEEKDAY($A$3,2)-1)/7)+1,MOD(7+WEEKDAY($A$3,2)-1,7)+1)&amp;""="","","SDO")&lt;&gt;""),"BDO+SDO",IF(INDEX('BDO Plan'!$A$41:$G$51,2*INT((7+WEEKDAY($A$3,2)-1)/7)+1,MOD(7+WEEKDAY($A$3,2)-1,7)+1)&amp;""="","","BDO")&amp;IF(INDEX('SDO Plan'!$A$41:$G$51,2*INT((7+WEEKDAY($A$3,2)-1)/7)+1,MOD(7+WEEKDAY($A$3,2)-1,7)+1)&amp;""="","","SDO")))</f>
        <v/>
      </c>
      <c r="L25" s="202">
        <f>IF(L$5="","",IF(AND(IF(INDEX('BDO Plan'!$A$41:$G$51,2*INT((8+WEEKDAY($A$3,2)-1)/7)+1,MOD(8+WEEKDAY($A$3,2)-1,7)+1)&amp;""="","","BDO")&lt;&gt;"",IF(INDEX('SDO Plan'!$A$41:$G$51,2*INT((8+WEEKDAY($A$3,2)-1)/7)+1,MOD(8+WEEKDAY($A$3,2)-1,7)+1)&amp;""="","","SDO")&lt;&gt;""),"BDO+SDO",IF(INDEX('BDO Plan'!$A$41:$G$51,2*INT((8+WEEKDAY($A$3,2)-1)/7)+1,MOD(8+WEEKDAY($A$3,2)-1,7)+1)&amp;""="","","BDO")&amp;IF(INDEX('SDO Plan'!$A$41:$G$51,2*INT((8+WEEKDAY($A$3,2)-1)/7)+1,MOD(8+WEEKDAY($A$3,2)-1,7)+1)&amp;""="","","SDO")))</f>
        <v/>
      </c>
      <c r="M25" s="202">
        <f>IF(M$5="","",IF(AND(IF(INDEX('BDO Plan'!$A$41:$G$51,2*INT((9+WEEKDAY($A$3,2)-1)/7)+1,MOD(9+WEEKDAY($A$3,2)-1,7)+1)&amp;""="","","BDO")&lt;&gt;"",IF(INDEX('SDO Plan'!$A$41:$G$51,2*INT((9+WEEKDAY($A$3,2)-1)/7)+1,MOD(9+WEEKDAY($A$3,2)-1,7)+1)&amp;""="","","SDO")&lt;&gt;""),"BDO+SDO",IF(INDEX('BDO Plan'!$A$41:$G$51,2*INT((9+WEEKDAY($A$3,2)-1)/7)+1,MOD(9+WEEKDAY($A$3,2)-1,7)+1)&amp;""="","","BDO")&amp;IF(INDEX('SDO Plan'!$A$41:$G$51,2*INT((9+WEEKDAY($A$3,2)-1)/7)+1,MOD(9+WEEKDAY($A$3,2)-1,7)+1)&amp;""="","","SDO")))</f>
        <v/>
      </c>
      <c r="N25" s="202">
        <f>IF(N$5="","",IF(AND(IF(INDEX('BDO Plan'!$A$41:$G$51,2*INT((10+WEEKDAY($A$3,2)-1)/7)+1,MOD(10+WEEKDAY($A$3,2)-1,7)+1)&amp;""="","","BDO")&lt;&gt;"",IF(INDEX('SDO Plan'!$A$41:$G$51,2*INT((10+WEEKDAY($A$3,2)-1)/7)+1,MOD(10+WEEKDAY($A$3,2)-1,7)+1)&amp;""="","","SDO")&lt;&gt;""),"BDO+SDO",IF(INDEX('BDO Plan'!$A$41:$G$51,2*INT((10+WEEKDAY($A$3,2)-1)/7)+1,MOD(10+WEEKDAY($A$3,2)-1,7)+1)&amp;""="","","BDO")&amp;IF(INDEX('SDO Plan'!$A$41:$G$51,2*INT((10+WEEKDAY($A$3,2)-1)/7)+1,MOD(10+WEEKDAY($A$3,2)-1,7)+1)&amp;""="","","SDO")))</f>
        <v/>
      </c>
      <c r="O25" s="202">
        <f>IF(O$5="","",IF(AND(IF(INDEX('BDO Plan'!$A$41:$G$51,2*INT((11+WEEKDAY($A$3,2)-1)/7)+1,MOD(11+WEEKDAY($A$3,2)-1,7)+1)&amp;""="","","BDO")&lt;&gt;"",IF(INDEX('SDO Plan'!$A$41:$G$51,2*INT((11+WEEKDAY($A$3,2)-1)/7)+1,MOD(11+WEEKDAY($A$3,2)-1,7)+1)&amp;""="","","SDO")&lt;&gt;""),"BDO+SDO",IF(INDEX('BDO Plan'!$A$41:$G$51,2*INT((11+WEEKDAY($A$3,2)-1)/7)+1,MOD(11+WEEKDAY($A$3,2)-1,7)+1)&amp;""="","","BDO")&amp;IF(INDEX('SDO Plan'!$A$41:$G$51,2*INT((11+WEEKDAY($A$3,2)-1)/7)+1,MOD(11+WEEKDAY($A$3,2)-1,7)+1)&amp;""="","","SDO")))</f>
        <v/>
      </c>
      <c r="P25" s="202">
        <f>IF(P$5="","",IF(AND(IF(INDEX('BDO Plan'!$A$41:$G$51,2*INT((12+WEEKDAY($A$3,2)-1)/7)+1,MOD(12+WEEKDAY($A$3,2)-1,7)+1)&amp;""="","","BDO")&lt;&gt;"",IF(INDEX('SDO Plan'!$A$41:$G$51,2*INT((12+WEEKDAY($A$3,2)-1)/7)+1,MOD(12+WEEKDAY($A$3,2)-1,7)+1)&amp;""="","","SDO")&lt;&gt;""),"BDO+SDO",IF(INDEX('BDO Plan'!$A$41:$G$51,2*INT((12+WEEKDAY($A$3,2)-1)/7)+1,MOD(12+WEEKDAY($A$3,2)-1,7)+1)&amp;""="","","BDO")&amp;IF(INDEX('SDO Plan'!$A$41:$G$51,2*INT((12+WEEKDAY($A$3,2)-1)/7)+1,MOD(12+WEEKDAY($A$3,2)-1,7)+1)&amp;""="","","SDO")))</f>
        <v/>
      </c>
      <c r="Q25" s="202">
        <f>IF(Q$5="","",IF(AND(IF(INDEX('BDO Plan'!$A$41:$G$51,2*INT((13+WEEKDAY($A$3,2)-1)/7)+1,MOD(13+WEEKDAY($A$3,2)-1,7)+1)&amp;""="","","BDO")&lt;&gt;"",IF(INDEX('SDO Plan'!$A$41:$G$51,2*INT((13+WEEKDAY($A$3,2)-1)/7)+1,MOD(13+WEEKDAY($A$3,2)-1,7)+1)&amp;""="","","SDO")&lt;&gt;""),"BDO+SDO",IF(INDEX('BDO Plan'!$A$41:$G$51,2*INT((13+WEEKDAY($A$3,2)-1)/7)+1,MOD(13+WEEKDAY($A$3,2)-1,7)+1)&amp;""="","","BDO")&amp;IF(INDEX('SDO Plan'!$A$41:$G$51,2*INT((13+WEEKDAY($A$3,2)-1)/7)+1,MOD(13+WEEKDAY($A$3,2)-1,7)+1)&amp;""="","","SDO")))</f>
        <v/>
      </c>
      <c r="R25" s="202">
        <f>IF(R$5="","",IF(AND(IF(INDEX('BDO Plan'!$A$41:$G$51,2*INT((14+WEEKDAY($A$3,2)-1)/7)+1,MOD(14+WEEKDAY($A$3,2)-1,7)+1)&amp;""="","","BDO")&lt;&gt;"",IF(INDEX('SDO Plan'!$A$41:$G$51,2*INT((14+WEEKDAY($A$3,2)-1)/7)+1,MOD(14+WEEKDAY($A$3,2)-1,7)+1)&amp;""="","","SDO")&lt;&gt;""),"BDO+SDO",IF(INDEX('BDO Plan'!$A$41:$G$51,2*INT((14+WEEKDAY($A$3,2)-1)/7)+1,MOD(14+WEEKDAY($A$3,2)-1,7)+1)&amp;""="","","BDO")&amp;IF(INDEX('SDO Plan'!$A$41:$G$51,2*INT((14+WEEKDAY($A$3,2)-1)/7)+1,MOD(14+WEEKDAY($A$3,2)-1,7)+1)&amp;""="","","SDO")))</f>
        <v/>
      </c>
      <c r="S25" s="202">
        <f>IF(S$5="","",IF(AND(IF(INDEX('BDO Plan'!$A$41:$G$51,2*INT((15+WEEKDAY($A$3,2)-1)/7)+1,MOD(15+WEEKDAY($A$3,2)-1,7)+1)&amp;""="","","BDO")&lt;&gt;"",IF(INDEX('SDO Plan'!$A$41:$G$51,2*INT((15+WEEKDAY($A$3,2)-1)/7)+1,MOD(15+WEEKDAY($A$3,2)-1,7)+1)&amp;""="","","SDO")&lt;&gt;""),"BDO+SDO",IF(INDEX('BDO Plan'!$A$41:$G$51,2*INT((15+WEEKDAY($A$3,2)-1)/7)+1,MOD(15+WEEKDAY($A$3,2)-1,7)+1)&amp;""="","","BDO")&amp;IF(INDEX('SDO Plan'!$A$41:$G$51,2*INT((15+WEEKDAY($A$3,2)-1)/7)+1,MOD(15+WEEKDAY($A$3,2)-1,7)+1)&amp;""="","","SDO")))</f>
        <v/>
      </c>
      <c r="T25" s="202">
        <f>IF(T$5="","",IF(AND(IF(INDEX('BDO Plan'!$A$41:$G$51,2*INT((16+WEEKDAY($A$3,2)-1)/7)+1,MOD(16+WEEKDAY($A$3,2)-1,7)+1)&amp;""="","","BDO")&lt;&gt;"",IF(INDEX('SDO Plan'!$A$41:$G$51,2*INT((16+WEEKDAY($A$3,2)-1)/7)+1,MOD(16+WEEKDAY($A$3,2)-1,7)+1)&amp;""="","","SDO")&lt;&gt;""),"BDO+SDO",IF(INDEX('BDO Plan'!$A$41:$G$51,2*INT((16+WEEKDAY($A$3,2)-1)/7)+1,MOD(16+WEEKDAY($A$3,2)-1,7)+1)&amp;""="","","BDO")&amp;IF(INDEX('SDO Plan'!$A$41:$G$51,2*INT((16+WEEKDAY($A$3,2)-1)/7)+1,MOD(16+WEEKDAY($A$3,2)-1,7)+1)&amp;""="","","SDO")))</f>
        <v/>
      </c>
      <c r="U25" s="202">
        <f>IF(U$5="","",IF(AND(IF(INDEX('BDO Plan'!$A$41:$G$51,2*INT((17+WEEKDAY($A$3,2)-1)/7)+1,MOD(17+WEEKDAY($A$3,2)-1,7)+1)&amp;""="","","BDO")&lt;&gt;"",IF(INDEX('SDO Plan'!$A$41:$G$51,2*INT((17+WEEKDAY($A$3,2)-1)/7)+1,MOD(17+WEEKDAY($A$3,2)-1,7)+1)&amp;""="","","SDO")&lt;&gt;""),"BDO+SDO",IF(INDEX('BDO Plan'!$A$41:$G$51,2*INT((17+WEEKDAY($A$3,2)-1)/7)+1,MOD(17+WEEKDAY($A$3,2)-1,7)+1)&amp;""="","","BDO")&amp;IF(INDEX('SDO Plan'!$A$41:$G$51,2*INT((17+WEEKDAY($A$3,2)-1)/7)+1,MOD(17+WEEKDAY($A$3,2)-1,7)+1)&amp;""="","","SDO")))</f>
        <v/>
      </c>
      <c r="V25" s="202">
        <f>IF(V$5="","",IF(AND(IF(INDEX('BDO Plan'!$A$41:$G$51,2*INT((18+WEEKDAY($A$3,2)-1)/7)+1,MOD(18+WEEKDAY($A$3,2)-1,7)+1)&amp;""="","","BDO")&lt;&gt;"",IF(INDEX('SDO Plan'!$A$41:$G$51,2*INT((18+WEEKDAY($A$3,2)-1)/7)+1,MOD(18+WEEKDAY($A$3,2)-1,7)+1)&amp;""="","","SDO")&lt;&gt;""),"BDO+SDO",IF(INDEX('BDO Plan'!$A$41:$G$51,2*INT((18+WEEKDAY($A$3,2)-1)/7)+1,MOD(18+WEEKDAY($A$3,2)-1,7)+1)&amp;""="","","BDO")&amp;IF(INDEX('SDO Plan'!$A$41:$G$51,2*INT((18+WEEKDAY($A$3,2)-1)/7)+1,MOD(18+WEEKDAY($A$3,2)-1,7)+1)&amp;""="","","SDO")))</f>
        <v/>
      </c>
      <c r="W25" s="202">
        <f>IF(W$5="","",IF(AND(IF(INDEX('BDO Plan'!$A$41:$G$51,2*INT((19+WEEKDAY($A$3,2)-1)/7)+1,MOD(19+WEEKDAY($A$3,2)-1,7)+1)&amp;""="","","BDO")&lt;&gt;"",IF(INDEX('SDO Plan'!$A$41:$G$51,2*INT((19+WEEKDAY($A$3,2)-1)/7)+1,MOD(19+WEEKDAY($A$3,2)-1,7)+1)&amp;""="","","SDO")&lt;&gt;""),"BDO+SDO",IF(INDEX('BDO Plan'!$A$41:$G$51,2*INT((19+WEEKDAY($A$3,2)-1)/7)+1,MOD(19+WEEKDAY($A$3,2)-1,7)+1)&amp;""="","","BDO")&amp;IF(INDEX('SDO Plan'!$A$41:$G$51,2*INT((19+WEEKDAY($A$3,2)-1)/7)+1,MOD(19+WEEKDAY($A$3,2)-1,7)+1)&amp;""="","","SDO")))</f>
        <v/>
      </c>
      <c r="X25" s="202">
        <f>IF(X$5="","",IF(AND(IF(INDEX('BDO Plan'!$A$41:$G$51,2*INT((20+WEEKDAY($A$3,2)-1)/7)+1,MOD(20+WEEKDAY($A$3,2)-1,7)+1)&amp;""="","","BDO")&lt;&gt;"",IF(INDEX('SDO Plan'!$A$41:$G$51,2*INT((20+WEEKDAY($A$3,2)-1)/7)+1,MOD(20+WEEKDAY($A$3,2)-1,7)+1)&amp;""="","","SDO")&lt;&gt;""),"BDO+SDO",IF(INDEX('BDO Plan'!$A$41:$G$51,2*INT((20+WEEKDAY($A$3,2)-1)/7)+1,MOD(20+WEEKDAY($A$3,2)-1,7)+1)&amp;""="","","BDO")&amp;IF(INDEX('SDO Plan'!$A$41:$G$51,2*INT((20+WEEKDAY($A$3,2)-1)/7)+1,MOD(20+WEEKDAY($A$3,2)-1,7)+1)&amp;""="","","SDO")))</f>
        <v/>
      </c>
      <c r="Y25" s="202">
        <f>IF(Y$5="","",IF(AND(IF(INDEX('BDO Plan'!$A$41:$G$51,2*INT((21+WEEKDAY($A$3,2)-1)/7)+1,MOD(21+WEEKDAY($A$3,2)-1,7)+1)&amp;""="","","BDO")&lt;&gt;"",IF(INDEX('SDO Plan'!$A$41:$G$51,2*INT((21+WEEKDAY($A$3,2)-1)/7)+1,MOD(21+WEEKDAY($A$3,2)-1,7)+1)&amp;""="","","SDO")&lt;&gt;""),"BDO+SDO",IF(INDEX('BDO Plan'!$A$41:$G$51,2*INT((21+WEEKDAY($A$3,2)-1)/7)+1,MOD(21+WEEKDAY($A$3,2)-1,7)+1)&amp;""="","","BDO")&amp;IF(INDEX('SDO Plan'!$A$41:$G$51,2*INT((21+WEEKDAY($A$3,2)-1)/7)+1,MOD(21+WEEKDAY($A$3,2)-1,7)+1)&amp;""="","","SDO")))</f>
        <v/>
      </c>
      <c r="Z25" s="202">
        <f>IF(Z$5="","",IF(AND(IF(INDEX('BDO Plan'!$A$41:$G$51,2*INT((22+WEEKDAY($A$3,2)-1)/7)+1,MOD(22+WEEKDAY($A$3,2)-1,7)+1)&amp;""="","","BDO")&lt;&gt;"",IF(INDEX('SDO Plan'!$A$41:$G$51,2*INT((22+WEEKDAY($A$3,2)-1)/7)+1,MOD(22+WEEKDAY($A$3,2)-1,7)+1)&amp;""="","","SDO")&lt;&gt;""),"BDO+SDO",IF(INDEX('BDO Plan'!$A$41:$G$51,2*INT((22+WEEKDAY($A$3,2)-1)/7)+1,MOD(22+WEEKDAY($A$3,2)-1,7)+1)&amp;""="","","BDO")&amp;IF(INDEX('SDO Plan'!$A$41:$G$51,2*INT((22+WEEKDAY($A$3,2)-1)/7)+1,MOD(22+WEEKDAY($A$3,2)-1,7)+1)&amp;""="","","SDO")))</f>
        <v/>
      </c>
      <c r="AA25" s="202">
        <f>IF(AA$5="","",IF(AND(IF(INDEX('BDO Plan'!$A$41:$G$51,2*INT((23+WEEKDAY($A$3,2)-1)/7)+1,MOD(23+WEEKDAY($A$3,2)-1,7)+1)&amp;""="","","BDO")&lt;&gt;"",IF(INDEX('SDO Plan'!$A$41:$G$51,2*INT((23+WEEKDAY($A$3,2)-1)/7)+1,MOD(23+WEEKDAY($A$3,2)-1,7)+1)&amp;""="","","SDO")&lt;&gt;""),"BDO+SDO",IF(INDEX('BDO Plan'!$A$41:$G$51,2*INT((23+WEEKDAY($A$3,2)-1)/7)+1,MOD(23+WEEKDAY($A$3,2)-1,7)+1)&amp;""="","","BDO")&amp;IF(INDEX('SDO Plan'!$A$41:$G$51,2*INT((23+WEEKDAY($A$3,2)-1)/7)+1,MOD(23+WEEKDAY($A$3,2)-1,7)+1)&amp;""="","","SDO")))</f>
        <v/>
      </c>
      <c r="AB25" s="202">
        <f>IF(AB$5="","",IF(AND(IF(INDEX('BDO Plan'!$A$41:$G$51,2*INT((24+WEEKDAY($A$3,2)-1)/7)+1,MOD(24+WEEKDAY($A$3,2)-1,7)+1)&amp;""="","","BDO")&lt;&gt;"",IF(INDEX('SDO Plan'!$A$41:$G$51,2*INT((24+WEEKDAY($A$3,2)-1)/7)+1,MOD(24+WEEKDAY($A$3,2)-1,7)+1)&amp;""="","","SDO")&lt;&gt;""),"BDO+SDO",IF(INDEX('BDO Plan'!$A$41:$G$51,2*INT((24+WEEKDAY($A$3,2)-1)/7)+1,MOD(24+WEEKDAY($A$3,2)-1,7)+1)&amp;""="","","BDO")&amp;IF(INDEX('SDO Plan'!$A$41:$G$51,2*INT((24+WEEKDAY($A$3,2)-1)/7)+1,MOD(24+WEEKDAY($A$3,2)-1,7)+1)&amp;""="","","SDO")))</f>
        <v/>
      </c>
      <c r="AC25" s="202">
        <f>IF(AC$5="","",IF(AND(IF(INDEX('BDO Plan'!$A$41:$G$51,2*INT((25+WEEKDAY($A$3,2)-1)/7)+1,MOD(25+WEEKDAY($A$3,2)-1,7)+1)&amp;""="","","BDO")&lt;&gt;"",IF(INDEX('SDO Plan'!$A$41:$G$51,2*INT((25+WEEKDAY($A$3,2)-1)/7)+1,MOD(25+WEEKDAY($A$3,2)-1,7)+1)&amp;""="","","SDO")&lt;&gt;""),"BDO+SDO",IF(INDEX('BDO Plan'!$A$41:$G$51,2*INT((25+WEEKDAY($A$3,2)-1)/7)+1,MOD(25+WEEKDAY($A$3,2)-1,7)+1)&amp;""="","","BDO")&amp;IF(INDEX('SDO Plan'!$A$41:$G$51,2*INT((25+WEEKDAY($A$3,2)-1)/7)+1,MOD(25+WEEKDAY($A$3,2)-1,7)+1)&amp;""="","","SDO")))</f>
        <v/>
      </c>
      <c r="AD25" s="202">
        <f>IF(AD$5="","",IF(AND(IF(INDEX('BDO Plan'!$A$41:$G$51,2*INT((26+WEEKDAY($A$3,2)-1)/7)+1,MOD(26+WEEKDAY($A$3,2)-1,7)+1)&amp;""="","","BDO")&lt;&gt;"",IF(INDEX('SDO Plan'!$A$41:$G$51,2*INT((26+WEEKDAY($A$3,2)-1)/7)+1,MOD(26+WEEKDAY($A$3,2)-1,7)+1)&amp;""="","","SDO")&lt;&gt;""),"BDO+SDO",IF(INDEX('BDO Plan'!$A$41:$G$51,2*INT((26+WEEKDAY($A$3,2)-1)/7)+1,MOD(26+WEEKDAY($A$3,2)-1,7)+1)&amp;""="","","BDO")&amp;IF(INDEX('SDO Plan'!$A$41:$G$51,2*INT((26+WEEKDAY($A$3,2)-1)/7)+1,MOD(26+WEEKDAY($A$3,2)-1,7)+1)&amp;""="","","SDO")))</f>
        <v/>
      </c>
      <c r="AE25" s="202">
        <f>IF(AE$5="","",IF(AND(IF(INDEX('BDO Plan'!$A$41:$G$51,2*INT((27+WEEKDAY($A$3,2)-1)/7)+1,MOD(27+WEEKDAY($A$3,2)-1,7)+1)&amp;""="","","BDO")&lt;&gt;"",IF(INDEX('SDO Plan'!$A$41:$G$51,2*INT((27+WEEKDAY($A$3,2)-1)/7)+1,MOD(27+WEEKDAY($A$3,2)-1,7)+1)&amp;""="","","SDO")&lt;&gt;""),"BDO+SDO",IF(INDEX('BDO Plan'!$A$41:$G$51,2*INT((27+WEEKDAY($A$3,2)-1)/7)+1,MOD(27+WEEKDAY($A$3,2)-1,7)+1)&amp;""="","","BDO")&amp;IF(INDEX('SDO Plan'!$A$41:$G$51,2*INT((27+WEEKDAY($A$3,2)-1)/7)+1,MOD(27+WEEKDAY($A$3,2)-1,7)+1)&amp;""="","","SDO")))</f>
        <v/>
      </c>
      <c r="AF25" s="202">
        <f>IF(AF$5="","",IF(AND(IF(INDEX('BDO Plan'!$A$41:$G$51,2*INT((28+WEEKDAY($A$3,2)-1)/7)+1,MOD(28+WEEKDAY($A$3,2)-1,7)+1)&amp;""="","","BDO")&lt;&gt;"",IF(INDEX('SDO Plan'!$A$41:$G$51,2*INT((28+WEEKDAY($A$3,2)-1)/7)+1,MOD(28+WEEKDAY($A$3,2)-1,7)+1)&amp;""="","","SDO")&lt;&gt;""),"BDO+SDO",IF(INDEX('BDO Plan'!$A$41:$G$51,2*INT((28+WEEKDAY($A$3,2)-1)/7)+1,MOD(28+WEEKDAY($A$3,2)-1,7)+1)&amp;""="","","BDO")&amp;IF(INDEX('SDO Plan'!$A$41:$G$51,2*INT((28+WEEKDAY($A$3,2)-1)/7)+1,MOD(28+WEEKDAY($A$3,2)-1,7)+1)&amp;""="","","SDO")))</f>
        <v/>
      </c>
      <c r="AG25" s="202">
        <f>IF(AG$5="","",IF(AND(IF(INDEX('BDO Plan'!$A$41:$G$51,2*INT((29+WEEKDAY($A$3,2)-1)/7)+1,MOD(29+WEEKDAY($A$3,2)-1,7)+1)&amp;""="","","BDO")&lt;&gt;"",IF(INDEX('SDO Plan'!$A$41:$G$51,2*INT((29+WEEKDAY($A$3,2)-1)/7)+1,MOD(29+WEEKDAY($A$3,2)-1,7)+1)&amp;""="","","SDO")&lt;&gt;""),"BDO+SDO",IF(INDEX('BDO Plan'!$A$41:$G$51,2*INT((29+WEEKDAY($A$3,2)-1)/7)+1,MOD(29+WEEKDAY($A$3,2)-1,7)+1)&amp;""="","","BDO")&amp;IF(INDEX('SDO Plan'!$A$41:$G$51,2*INT((29+WEEKDAY($A$3,2)-1)/7)+1,MOD(29+WEEKDAY($A$3,2)-1,7)+1)&amp;""="","","SDO")))</f>
        <v/>
      </c>
      <c r="AH25" s="202">
        <f>IF(AH$5="","",IF(AND(IF(INDEX('BDO Plan'!$A$41:$G$51,2*INT((30+WEEKDAY($A$3,2)-1)/7)+1,MOD(30+WEEKDAY($A$3,2)-1,7)+1)&amp;""="","","BDO")&lt;&gt;"",IF(INDEX('SDO Plan'!$A$41:$G$51,2*INT((30+WEEKDAY($A$3,2)-1)/7)+1,MOD(30+WEEKDAY($A$3,2)-1,7)+1)&amp;""="","","SDO")&lt;&gt;""),"BDO+SDO",IF(INDEX('BDO Plan'!$A$41:$G$51,2*INT((30+WEEKDAY($A$3,2)-1)/7)+1,MOD(30+WEEKDAY($A$3,2)-1,7)+1)&amp;""="","","BDO")&amp;IF(INDEX('SDO Plan'!$A$41:$G$51,2*INT((30+WEEKDAY($A$3,2)-1)/7)+1,MOD(30+WEEKDAY($A$3,2)-1,7)+1)&amp;""="","","SDO")))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DATE(PlanYear,8,1)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Plan'!$I$41:$O$51,2*INT((0+WEEKDAY($A$3,2)-1)/7)+1,MOD(0+WEEKDAY($A$3,2)-1,7)+1)&amp;""="","","BDO")&lt;&gt;"",IF(INDEX('SDO Plan'!$I$41:$O$51,2*INT((0+WEEKDAY($A$3,2)-1)/7)+1,MOD(0+WEEKDAY($A$3,2)-1,7)+1)&amp;""="","","SDO")&lt;&gt;""),"BDO+SDO",IF(INDEX('BDO Plan'!$I$41:$O$51,2*INT((0+WEEKDAY($A$3,2)-1)/7)+1,MOD(0+WEEKDAY($A$3,2)-1,7)+1)&amp;""="","","BDO")&amp;IF(INDEX('SDO Plan'!$I$41:$O$51,2*INT((0+WEEKDAY($A$3,2)-1)/7)+1,MOD(0+WEEKDAY($A$3,2)-1,7)+1)&amp;""="","","SDO")))</f>
        <v/>
      </c>
      <c r="E25" s="202">
        <f>IF(E$5="","",IF(AND(IF(INDEX('BDO Plan'!$I$41:$O$51,2*INT((1+WEEKDAY($A$3,2)-1)/7)+1,MOD(1+WEEKDAY($A$3,2)-1,7)+1)&amp;""="","","BDO")&lt;&gt;"",IF(INDEX('SDO Plan'!$I$41:$O$51,2*INT((1+WEEKDAY($A$3,2)-1)/7)+1,MOD(1+WEEKDAY($A$3,2)-1,7)+1)&amp;""="","","SDO")&lt;&gt;""),"BDO+SDO",IF(INDEX('BDO Plan'!$I$41:$O$51,2*INT((1+WEEKDAY($A$3,2)-1)/7)+1,MOD(1+WEEKDAY($A$3,2)-1,7)+1)&amp;""="","","BDO")&amp;IF(INDEX('SDO Plan'!$I$41:$O$51,2*INT((1+WEEKDAY($A$3,2)-1)/7)+1,MOD(1+WEEKDAY($A$3,2)-1,7)+1)&amp;""="","","SDO")))</f>
        <v/>
      </c>
      <c r="F25" s="202">
        <f>IF(F$5="","",IF(AND(IF(INDEX('BDO Plan'!$I$41:$O$51,2*INT((2+WEEKDAY($A$3,2)-1)/7)+1,MOD(2+WEEKDAY($A$3,2)-1,7)+1)&amp;""="","","BDO")&lt;&gt;"",IF(INDEX('SDO Plan'!$I$41:$O$51,2*INT((2+WEEKDAY($A$3,2)-1)/7)+1,MOD(2+WEEKDAY($A$3,2)-1,7)+1)&amp;""="","","SDO")&lt;&gt;""),"BDO+SDO",IF(INDEX('BDO Plan'!$I$41:$O$51,2*INT((2+WEEKDAY($A$3,2)-1)/7)+1,MOD(2+WEEKDAY($A$3,2)-1,7)+1)&amp;""="","","BDO")&amp;IF(INDEX('SDO Plan'!$I$41:$O$51,2*INT((2+WEEKDAY($A$3,2)-1)/7)+1,MOD(2+WEEKDAY($A$3,2)-1,7)+1)&amp;""="","","SDO")))</f>
        <v/>
      </c>
      <c r="G25" s="202">
        <f>IF(G$5="","",IF(AND(IF(INDEX('BDO Plan'!$I$41:$O$51,2*INT((3+WEEKDAY($A$3,2)-1)/7)+1,MOD(3+WEEKDAY($A$3,2)-1,7)+1)&amp;""="","","BDO")&lt;&gt;"",IF(INDEX('SDO Plan'!$I$41:$O$51,2*INT((3+WEEKDAY($A$3,2)-1)/7)+1,MOD(3+WEEKDAY($A$3,2)-1,7)+1)&amp;""="","","SDO")&lt;&gt;""),"BDO+SDO",IF(INDEX('BDO Plan'!$I$41:$O$51,2*INT((3+WEEKDAY($A$3,2)-1)/7)+1,MOD(3+WEEKDAY($A$3,2)-1,7)+1)&amp;""="","","BDO")&amp;IF(INDEX('SDO Plan'!$I$41:$O$51,2*INT((3+WEEKDAY($A$3,2)-1)/7)+1,MOD(3+WEEKDAY($A$3,2)-1,7)+1)&amp;""="","","SDO")))</f>
        <v/>
      </c>
      <c r="H25" s="202">
        <f>IF(H$5="","",IF(AND(IF(INDEX('BDO Plan'!$I$41:$O$51,2*INT((4+WEEKDAY($A$3,2)-1)/7)+1,MOD(4+WEEKDAY($A$3,2)-1,7)+1)&amp;""="","","BDO")&lt;&gt;"",IF(INDEX('SDO Plan'!$I$41:$O$51,2*INT((4+WEEKDAY($A$3,2)-1)/7)+1,MOD(4+WEEKDAY($A$3,2)-1,7)+1)&amp;""="","","SDO")&lt;&gt;""),"BDO+SDO",IF(INDEX('BDO Plan'!$I$41:$O$51,2*INT((4+WEEKDAY($A$3,2)-1)/7)+1,MOD(4+WEEKDAY($A$3,2)-1,7)+1)&amp;""="","","BDO")&amp;IF(INDEX('SDO Plan'!$I$41:$O$51,2*INT((4+WEEKDAY($A$3,2)-1)/7)+1,MOD(4+WEEKDAY($A$3,2)-1,7)+1)&amp;""="","","SDO")))</f>
        <v/>
      </c>
      <c r="I25" s="202">
        <f>IF(I$5="","",IF(AND(IF(INDEX('BDO Plan'!$I$41:$O$51,2*INT((5+WEEKDAY($A$3,2)-1)/7)+1,MOD(5+WEEKDAY($A$3,2)-1,7)+1)&amp;""="","","BDO")&lt;&gt;"",IF(INDEX('SDO Plan'!$I$41:$O$51,2*INT((5+WEEKDAY($A$3,2)-1)/7)+1,MOD(5+WEEKDAY($A$3,2)-1,7)+1)&amp;""="","","SDO")&lt;&gt;""),"BDO+SDO",IF(INDEX('BDO Plan'!$I$41:$O$51,2*INT((5+WEEKDAY($A$3,2)-1)/7)+1,MOD(5+WEEKDAY($A$3,2)-1,7)+1)&amp;""="","","BDO")&amp;IF(INDEX('SDO Plan'!$I$41:$O$51,2*INT((5+WEEKDAY($A$3,2)-1)/7)+1,MOD(5+WEEKDAY($A$3,2)-1,7)+1)&amp;""="","","SDO")))</f>
        <v/>
      </c>
      <c r="J25" s="202">
        <f>IF(J$5="","",IF(AND(IF(INDEX('BDO Plan'!$I$41:$O$51,2*INT((6+WEEKDAY($A$3,2)-1)/7)+1,MOD(6+WEEKDAY($A$3,2)-1,7)+1)&amp;""="","","BDO")&lt;&gt;"",IF(INDEX('SDO Plan'!$I$41:$O$51,2*INT((6+WEEKDAY($A$3,2)-1)/7)+1,MOD(6+WEEKDAY($A$3,2)-1,7)+1)&amp;""="","","SDO")&lt;&gt;""),"BDO+SDO",IF(INDEX('BDO Plan'!$I$41:$O$51,2*INT((6+WEEKDAY($A$3,2)-1)/7)+1,MOD(6+WEEKDAY($A$3,2)-1,7)+1)&amp;""="","","BDO")&amp;IF(INDEX('SDO Plan'!$I$41:$O$51,2*INT((6+WEEKDAY($A$3,2)-1)/7)+1,MOD(6+WEEKDAY($A$3,2)-1,7)+1)&amp;""="","","SDO")))</f>
        <v/>
      </c>
      <c r="K25" s="202">
        <f>IF(K$5="","",IF(AND(IF(INDEX('BDO Plan'!$I$41:$O$51,2*INT((7+WEEKDAY($A$3,2)-1)/7)+1,MOD(7+WEEKDAY($A$3,2)-1,7)+1)&amp;""="","","BDO")&lt;&gt;"",IF(INDEX('SDO Plan'!$I$41:$O$51,2*INT((7+WEEKDAY($A$3,2)-1)/7)+1,MOD(7+WEEKDAY($A$3,2)-1,7)+1)&amp;""="","","SDO")&lt;&gt;""),"BDO+SDO",IF(INDEX('BDO Plan'!$I$41:$O$51,2*INT((7+WEEKDAY($A$3,2)-1)/7)+1,MOD(7+WEEKDAY($A$3,2)-1,7)+1)&amp;""="","","BDO")&amp;IF(INDEX('SDO Plan'!$I$41:$O$51,2*INT((7+WEEKDAY($A$3,2)-1)/7)+1,MOD(7+WEEKDAY($A$3,2)-1,7)+1)&amp;""="","","SDO")))</f>
        <v/>
      </c>
      <c r="L25" s="202">
        <f>IF(L$5="","",IF(AND(IF(INDEX('BDO Plan'!$I$41:$O$51,2*INT((8+WEEKDAY($A$3,2)-1)/7)+1,MOD(8+WEEKDAY($A$3,2)-1,7)+1)&amp;""="","","BDO")&lt;&gt;"",IF(INDEX('SDO Plan'!$I$41:$O$51,2*INT((8+WEEKDAY($A$3,2)-1)/7)+1,MOD(8+WEEKDAY($A$3,2)-1,7)+1)&amp;""="","","SDO")&lt;&gt;""),"BDO+SDO",IF(INDEX('BDO Plan'!$I$41:$O$51,2*INT((8+WEEKDAY($A$3,2)-1)/7)+1,MOD(8+WEEKDAY($A$3,2)-1,7)+1)&amp;""="","","BDO")&amp;IF(INDEX('SDO Plan'!$I$41:$O$51,2*INT((8+WEEKDAY($A$3,2)-1)/7)+1,MOD(8+WEEKDAY($A$3,2)-1,7)+1)&amp;""="","","SDO")))</f>
        <v/>
      </c>
      <c r="M25" s="202">
        <f>IF(M$5="","",IF(AND(IF(INDEX('BDO Plan'!$I$41:$O$51,2*INT((9+WEEKDAY($A$3,2)-1)/7)+1,MOD(9+WEEKDAY($A$3,2)-1,7)+1)&amp;""="","","BDO")&lt;&gt;"",IF(INDEX('SDO Plan'!$I$41:$O$51,2*INT((9+WEEKDAY($A$3,2)-1)/7)+1,MOD(9+WEEKDAY($A$3,2)-1,7)+1)&amp;""="","","SDO")&lt;&gt;""),"BDO+SDO",IF(INDEX('BDO Plan'!$I$41:$O$51,2*INT((9+WEEKDAY($A$3,2)-1)/7)+1,MOD(9+WEEKDAY($A$3,2)-1,7)+1)&amp;""="","","BDO")&amp;IF(INDEX('SDO Plan'!$I$41:$O$51,2*INT((9+WEEKDAY($A$3,2)-1)/7)+1,MOD(9+WEEKDAY($A$3,2)-1,7)+1)&amp;""="","","SDO")))</f>
        <v/>
      </c>
      <c r="N25" s="202">
        <f>IF(N$5="","",IF(AND(IF(INDEX('BDO Plan'!$I$41:$O$51,2*INT((10+WEEKDAY($A$3,2)-1)/7)+1,MOD(10+WEEKDAY($A$3,2)-1,7)+1)&amp;""="","","BDO")&lt;&gt;"",IF(INDEX('SDO Plan'!$I$41:$O$51,2*INT((10+WEEKDAY($A$3,2)-1)/7)+1,MOD(10+WEEKDAY($A$3,2)-1,7)+1)&amp;""="","","SDO")&lt;&gt;""),"BDO+SDO",IF(INDEX('BDO Plan'!$I$41:$O$51,2*INT((10+WEEKDAY($A$3,2)-1)/7)+1,MOD(10+WEEKDAY($A$3,2)-1,7)+1)&amp;""="","","BDO")&amp;IF(INDEX('SDO Plan'!$I$41:$O$51,2*INT((10+WEEKDAY($A$3,2)-1)/7)+1,MOD(10+WEEKDAY($A$3,2)-1,7)+1)&amp;""="","","SDO")))</f>
        <v/>
      </c>
      <c r="O25" s="202">
        <f>IF(O$5="","",IF(AND(IF(INDEX('BDO Plan'!$I$41:$O$51,2*INT((11+WEEKDAY($A$3,2)-1)/7)+1,MOD(11+WEEKDAY($A$3,2)-1,7)+1)&amp;""="","","BDO")&lt;&gt;"",IF(INDEX('SDO Plan'!$I$41:$O$51,2*INT((11+WEEKDAY($A$3,2)-1)/7)+1,MOD(11+WEEKDAY($A$3,2)-1,7)+1)&amp;""="","","SDO")&lt;&gt;""),"BDO+SDO",IF(INDEX('BDO Plan'!$I$41:$O$51,2*INT((11+WEEKDAY($A$3,2)-1)/7)+1,MOD(11+WEEKDAY($A$3,2)-1,7)+1)&amp;""="","","BDO")&amp;IF(INDEX('SDO Plan'!$I$41:$O$51,2*INT((11+WEEKDAY($A$3,2)-1)/7)+1,MOD(11+WEEKDAY($A$3,2)-1,7)+1)&amp;""="","","SDO")))</f>
        <v/>
      </c>
      <c r="P25" s="202">
        <f>IF(P$5="","",IF(AND(IF(INDEX('BDO Plan'!$I$41:$O$51,2*INT((12+WEEKDAY($A$3,2)-1)/7)+1,MOD(12+WEEKDAY($A$3,2)-1,7)+1)&amp;""="","","BDO")&lt;&gt;"",IF(INDEX('SDO Plan'!$I$41:$O$51,2*INT((12+WEEKDAY($A$3,2)-1)/7)+1,MOD(12+WEEKDAY($A$3,2)-1,7)+1)&amp;""="","","SDO")&lt;&gt;""),"BDO+SDO",IF(INDEX('BDO Plan'!$I$41:$O$51,2*INT((12+WEEKDAY($A$3,2)-1)/7)+1,MOD(12+WEEKDAY($A$3,2)-1,7)+1)&amp;""="","","BDO")&amp;IF(INDEX('SDO Plan'!$I$41:$O$51,2*INT((12+WEEKDAY($A$3,2)-1)/7)+1,MOD(12+WEEKDAY($A$3,2)-1,7)+1)&amp;""="","","SDO")))</f>
        <v/>
      </c>
      <c r="Q25" s="202">
        <f>IF(Q$5="","",IF(AND(IF(INDEX('BDO Plan'!$I$41:$O$51,2*INT((13+WEEKDAY($A$3,2)-1)/7)+1,MOD(13+WEEKDAY($A$3,2)-1,7)+1)&amp;""="","","BDO")&lt;&gt;"",IF(INDEX('SDO Plan'!$I$41:$O$51,2*INT((13+WEEKDAY($A$3,2)-1)/7)+1,MOD(13+WEEKDAY($A$3,2)-1,7)+1)&amp;""="","","SDO")&lt;&gt;""),"BDO+SDO",IF(INDEX('BDO Plan'!$I$41:$O$51,2*INT((13+WEEKDAY($A$3,2)-1)/7)+1,MOD(13+WEEKDAY($A$3,2)-1,7)+1)&amp;""="","","BDO")&amp;IF(INDEX('SDO Plan'!$I$41:$O$51,2*INT((13+WEEKDAY($A$3,2)-1)/7)+1,MOD(13+WEEKDAY($A$3,2)-1,7)+1)&amp;""="","","SDO")))</f>
        <v/>
      </c>
      <c r="R25" s="202">
        <f>IF(R$5="","",IF(AND(IF(INDEX('BDO Plan'!$I$41:$O$51,2*INT((14+WEEKDAY($A$3,2)-1)/7)+1,MOD(14+WEEKDAY($A$3,2)-1,7)+1)&amp;""="","","BDO")&lt;&gt;"",IF(INDEX('SDO Plan'!$I$41:$O$51,2*INT((14+WEEKDAY($A$3,2)-1)/7)+1,MOD(14+WEEKDAY($A$3,2)-1,7)+1)&amp;""="","","SDO")&lt;&gt;""),"BDO+SDO",IF(INDEX('BDO Plan'!$I$41:$O$51,2*INT((14+WEEKDAY($A$3,2)-1)/7)+1,MOD(14+WEEKDAY($A$3,2)-1,7)+1)&amp;""="","","BDO")&amp;IF(INDEX('SDO Plan'!$I$41:$O$51,2*INT((14+WEEKDAY($A$3,2)-1)/7)+1,MOD(14+WEEKDAY($A$3,2)-1,7)+1)&amp;""="","","SDO")))</f>
        <v/>
      </c>
      <c r="S25" s="202">
        <f>IF(S$5="","",IF(AND(IF(INDEX('BDO Plan'!$I$41:$O$51,2*INT((15+WEEKDAY($A$3,2)-1)/7)+1,MOD(15+WEEKDAY($A$3,2)-1,7)+1)&amp;""="","","BDO")&lt;&gt;"",IF(INDEX('SDO Plan'!$I$41:$O$51,2*INT((15+WEEKDAY($A$3,2)-1)/7)+1,MOD(15+WEEKDAY($A$3,2)-1,7)+1)&amp;""="","","SDO")&lt;&gt;""),"BDO+SDO",IF(INDEX('BDO Plan'!$I$41:$O$51,2*INT((15+WEEKDAY($A$3,2)-1)/7)+1,MOD(15+WEEKDAY($A$3,2)-1,7)+1)&amp;""="","","BDO")&amp;IF(INDEX('SDO Plan'!$I$41:$O$51,2*INT((15+WEEKDAY($A$3,2)-1)/7)+1,MOD(15+WEEKDAY($A$3,2)-1,7)+1)&amp;""="","","SDO")))</f>
        <v/>
      </c>
      <c r="T25" s="202">
        <f>IF(T$5="","",IF(AND(IF(INDEX('BDO Plan'!$I$41:$O$51,2*INT((16+WEEKDAY($A$3,2)-1)/7)+1,MOD(16+WEEKDAY($A$3,2)-1,7)+1)&amp;""="","","BDO")&lt;&gt;"",IF(INDEX('SDO Plan'!$I$41:$O$51,2*INT((16+WEEKDAY($A$3,2)-1)/7)+1,MOD(16+WEEKDAY($A$3,2)-1,7)+1)&amp;""="","","SDO")&lt;&gt;""),"BDO+SDO",IF(INDEX('BDO Plan'!$I$41:$O$51,2*INT((16+WEEKDAY($A$3,2)-1)/7)+1,MOD(16+WEEKDAY($A$3,2)-1,7)+1)&amp;""="","","BDO")&amp;IF(INDEX('SDO Plan'!$I$41:$O$51,2*INT((16+WEEKDAY($A$3,2)-1)/7)+1,MOD(16+WEEKDAY($A$3,2)-1,7)+1)&amp;""="","","SDO")))</f>
        <v/>
      </c>
      <c r="U25" s="202">
        <f>IF(U$5="","",IF(AND(IF(INDEX('BDO Plan'!$I$41:$O$51,2*INT((17+WEEKDAY($A$3,2)-1)/7)+1,MOD(17+WEEKDAY($A$3,2)-1,7)+1)&amp;""="","","BDO")&lt;&gt;"",IF(INDEX('SDO Plan'!$I$41:$O$51,2*INT((17+WEEKDAY($A$3,2)-1)/7)+1,MOD(17+WEEKDAY($A$3,2)-1,7)+1)&amp;""="","","SDO")&lt;&gt;""),"BDO+SDO",IF(INDEX('BDO Plan'!$I$41:$O$51,2*INT((17+WEEKDAY($A$3,2)-1)/7)+1,MOD(17+WEEKDAY($A$3,2)-1,7)+1)&amp;""="","","BDO")&amp;IF(INDEX('SDO Plan'!$I$41:$O$51,2*INT((17+WEEKDAY($A$3,2)-1)/7)+1,MOD(17+WEEKDAY($A$3,2)-1,7)+1)&amp;""="","","SDO")))</f>
        <v/>
      </c>
      <c r="V25" s="202">
        <f>IF(V$5="","",IF(AND(IF(INDEX('BDO Plan'!$I$41:$O$51,2*INT((18+WEEKDAY($A$3,2)-1)/7)+1,MOD(18+WEEKDAY($A$3,2)-1,7)+1)&amp;""="","","BDO")&lt;&gt;"",IF(INDEX('SDO Plan'!$I$41:$O$51,2*INT((18+WEEKDAY($A$3,2)-1)/7)+1,MOD(18+WEEKDAY($A$3,2)-1,7)+1)&amp;""="","","SDO")&lt;&gt;""),"BDO+SDO",IF(INDEX('BDO Plan'!$I$41:$O$51,2*INT((18+WEEKDAY($A$3,2)-1)/7)+1,MOD(18+WEEKDAY($A$3,2)-1,7)+1)&amp;""="","","BDO")&amp;IF(INDEX('SDO Plan'!$I$41:$O$51,2*INT((18+WEEKDAY($A$3,2)-1)/7)+1,MOD(18+WEEKDAY($A$3,2)-1,7)+1)&amp;""="","","SDO")))</f>
        <v/>
      </c>
      <c r="W25" s="202">
        <f>IF(W$5="","",IF(AND(IF(INDEX('BDO Plan'!$I$41:$O$51,2*INT((19+WEEKDAY($A$3,2)-1)/7)+1,MOD(19+WEEKDAY($A$3,2)-1,7)+1)&amp;""="","","BDO")&lt;&gt;"",IF(INDEX('SDO Plan'!$I$41:$O$51,2*INT((19+WEEKDAY($A$3,2)-1)/7)+1,MOD(19+WEEKDAY($A$3,2)-1,7)+1)&amp;""="","","SDO")&lt;&gt;""),"BDO+SDO",IF(INDEX('BDO Plan'!$I$41:$O$51,2*INT((19+WEEKDAY($A$3,2)-1)/7)+1,MOD(19+WEEKDAY($A$3,2)-1,7)+1)&amp;""="","","BDO")&amp;IF(INDEX('SDO Plan'!$I$41:$O$51,2*INT((19+WEEKDAY($A$3,2)-1)/7)+1,MOD(19+WEEKDAY($A$3,2)-1,7)+1)&amp;""="","","SDO")))</f>
        <v/>
      </c>
      <c r="X25" s="202">
        <f>IF(X$5="","",IF(AND(IF(INDEX('BDO Plan'!$I$41:$O$51,2*INT((20+WEEKDAY($A$3,2)-1)/7)+1,MOD(20+WEEKDAY($A$3,2)-1,7)+1)&amp;""="","","BDO")&lt;&gt;"",IF(INDEX('SDO Plan'!$I$41:$O$51,2*INT((20+WEEKDAY($A$3,2)-1)/7)+1,MOD(20+WEEKDAY($A$3,2)-1,7)+1)&amp;""="","","SDO")&lt;&gt;""),"BDO+SDO",IF(INDEX('BDO Plan'!$I$41:$O$51,2*INT((20+WEEKDAY($A$3,2)-1)/7)+1,MOD(20+WEEKDAY($A$3,2)-1,7)+1)&amp;""="","","BDO")&amp;IF(INDEX('SDO Plan'!$I$41:$O$51,2*INT((20+WEEKDAY($A$3,2)-1)/7)+1,MOD(20+WEEKDAY($A$3,2)-1,7)+1)&amp;""="","","SDO")))</f>
        <v/>
      </c>
      <c r="Y25" s="202">
        <f>IF(Y$5="","",IF(AND(IF(INDEX('BDO Plan'!$I$41:$O$51,2*INT((21+WEEKDAY($A$3,2)-1)/7)+1,MOD(21+WEEKDAY($A$3,2)-1,7)+1)&amp;""="","","BDO")&lt;&gt;"",IF(INDEX('SDO Plan'!$I$41:$O$51,2*INT((21+WEEKDAY($A$3,2)-1)/7)+1,MOD(21+WEEKDAY($A$3,2)-1,7)+1)&amp;""="","","SDO")&lt;&gt;""),"BDO+SDO",IF(INDEX('BDO Plan'!$I$41:$O$51,2*INT((21+WEEKDAY($A$3,2)-1)/7)+1,MOD(21+WEEKDAY($A$3,2)-1,7)+1)&amp;""="","","BDO")&amp;IF(INDEX('SDO Plan'!$I$41:$O$51,2*INT((21+WEEKDAY($A$3,2)-1)/7)+1,MOD(21+WEEKDAY($A$3,2)-1,7)+1)&amp;""="","","SDO")))</f>
        <v/>
      </c>
      <c r="Z25" s="202">
        <f>IF(Z$5="","",IF(AND(IF(INDEX('BDO Plan'!$I$41:$O$51,2*INT((22+WEEKDAY($A$3,2)-1)/7)+1,MOD(22+WEEKDAY($A$3,2)-1,7)+1)&amp;""="","","BDO")&lt;&gt;"",IF(INDEX('SDO Plan'!$I$41:$O$51,2*INT((22+WEEKDAY($A$3,2)-1)/7)+1,MOD(22+WEEKDAY($A$3,2)-1,7)+1)&amp;""="","","SDO")&lt;&gt;""),"BDO+SDO",IF(INDEX('BDO Plan'!$I$41:$O$51,2*INT((22+WEEKDAY($A$3,2)-1)/7)+1,MOD(22+WEEKDAY($A$3,2)-1,7)+1)&amp;""="","","BDO")&amp;IF(INDEX('SDO Plan'!$I$41:$O$51,2*INT((22+WEEKDAY($A$3,2)-1)/7)+1,MOD(22+WEEKDAY($A$3,2)-1,7)+1)&amp;""="","","SDO")))</f>
        <v/>
      </c>
      <c r="AA25" s="202">
        <f>IF(AA$5="","",IF(AND(IF(INDEX('BDO Plan'!$I$41:$O$51,2*INT((23+WEEKDAY($A$3,2)-1)/7)+1,MOD(23+WEEKDAY($A$3,2)-1,7)+1)&amp;""="","","BDO")&lt;&gt;"",IF(INDEX('SDO Plan'!$I$41:$O$51,2*INT((23+WEEKDAY($A$3,2)-1)/7)+1,MOD(23+WEEKDAY($A$3,2)-1,7)+1)&amp;""="","","SDO")&lt;&gt;""),"BDO+SDO",IF(INDEX('BDO Plan'!$I$41:$O$51,2*INT((23+WEEKDAY($A$3,2)-1)/7)+1,MOD(23+WEEKDAY($A$3,2)-1,7)+1)&amp;""="","","BDO")&amp;IF(INDEX('SDO Plan'!$I$41:$O$51,2*INT((23+WEEKDAY($A$3,2)-1)/7)+1,MOD(23+WEEKDAY($A$3,2)-1,7)+1)&amp;""="","","SDO")))</f>
        <v/>
      </c>
      <c r="AB25" s="202">
        <f>IF(AB$5="","",IF(AND(IF(INDEX('BDO Plan'!$I$41:$O$51,2*INT((24+WEEKDAY($A$3,2)-1)/7)+1,MOD(24+WEEKDAY($A$3,2)-1,7)+1)&amp;""="","","BDO")&lt;&gt;"",IF(INDEX('SDO Plan'!$I$41:$O$51,2*INT((24+WEEKDAY($A$3,2)-1)/7)+1,MOD(24+WEEKDAY($A$3,2)-1,7)+1)&amp;""="","","SDO")&lt;&gt;""),"BDO+SDO",IF(INDEX('BDO Plan'!$I$41:$O$51,2*INT((24+WEEKDAY($A$3,2)-1)/7)+1,MOD(24+WEEKDAY($A$3,2)-1,7)+1)&amp;""="","","BDO")&amp;IF(INDEX('SDO Plan'!$I$41:$O$51,2*INT((24+WEEKDAY($A$3,2)-1)/7)+1,MOD(24+WEEKDAY($A$3,2)-1,7)+1)&amp;""="","","SDO")))</f>
        <v/>
      </c>
      <c r="AC25" s="202">
        <f>IF(AC$5="","",IF(AND(IF(INDEX('BDO Plan'!$I$41:$O$51,2*INT((25+WEEKDAY($A$3,2)-1)/7)+1,MOD(25+WEEKDAY($A$3,2)-1,7)+1)&amp;""="","","BDO")&lt;&gt;"",IF(INDEX('SDO Plan'!$I$41:$O$51,2*INT((25+WEEKDAY($A$3,2)-1)/7)+1,MOD(25+WEEKDAY($A$3,2)-1,7)+1)&amp;""="","","SDO")&lt;&gt;""),"BDO+SDO",IF(INDEX('BDO Plan'!$I$41:$O$51,2*INT((25+WEEKDAY($A$3,2)-1)/7)+1,MOD(25+WEEKDAY($A$3,2)-1,7)+1)&amp;""="","","BDO")&amp;IF(INDEX('SDO Plan'!$I$41:$O$51,2*INT((25+WEEKDAY($A$3,2)-1)/7)+1,MOD(25+WEEKDAY($A$3,2)-1,7)+1)&amp;""="","","SDO")))</f>
        <v/>
      </c>
      <c r="AD25" s="202">
        <f>IF(AD$5="","",IF(AND(IF(INDEX('BDO Plan'!$I$41:$O$51,2*INT((26+WEEKDAY($A$3,2)-1)/7)+1,MOD(26+WEEKDAY($A$3,2)-1,7)+1)&amp;""="","","BDO")&lt;&gt;"",IF(INDEX('SDO Plan'!$I$41:$O$51,2*INT((26+WEEKDAY($A$3,2)-1)/7)+1,MOD(26+WEEKDAY($A$3,2)-1,7)+1)&amp;""="","","SDO")&lt;&gt;""),"BDO+SDO",IF(INDEX('BDO Plan'!$I$41:$O$51,2*INT((26+WEEKDAY($A$3,2)-1)/7)+1,MOD(26+WEEKDAY($A$3,2)-1,7)+1)&amp;""="","","BDO")&amp;IF(INDEX('SDO Plan'!$I$41:$O$51,2*INT((26+WEEKDAY($A$3,2)-1)/7)+1,MOD(26+WEEKDAY($A$3,2)-1,7)+1)&amp;""="","","SDO")))</f>
        <v/>
      </c>
      <c r="AE25" s="202">
        <f>IF(AE$5="","",IF(AND(IF(INDEX('BDO Plan'!$I$41:$O$51,2*INT((27+WEEKDAY($A$3,2)-1)/7)+1,MOD(27+WEEKDAY($A$3,2)-1,7)+1)&amp;""="","","BDO")&lt;&gt;"",IF(INDEX('SDO Plan'!$I$41:$O$51,2*INT((27+WEEKDAY($A$3,2)-1)/7)+1,MOD(27+WEEKDAY($A$3,2)-1,7)+1)&amp;""="","","SDO")&lt;&gt;""),"BDO+SDO",IF(INDEX('BDO Plan'!$I$41:$O$51,2*INT((27+WEEKDAY($A$3,2)-1)/7)+1,MOD(27+WEEKDAY($A$3,2)-1,7)+1)&amp;""="","","BDO")&amp;IF(INDEX('SDO Plan'!$I$41:$O$51,2*INT((27+WEEKDAY($A$3,2)-1)/7)+1,MOD(27+WEEKDAY($A$3,2)-1,7)+1)&amp;""="","","SDO")))</f>
        <v/>
      </c>
      <c r="AF25" s="202">
        <f>IF(AF$5="","",IF(AND(IF(INDEX('BDO Plan'!$I$41:$O$51,2*INT((28+WEEKDAY($A$3,2)-1)/7)+1,MOD(28+WEEKDAY($A$3,2)-1,7)+1)&amp;""="","","BDO")&lt;&gt;"",IF(INDEX('SDO Plan'!$I$41:$O$51,2*INT((28+WEEKDAY($A$3,2)-1)/7)+1,MOD(28+WEEKDAY($A$3,2)-1,7)+1)&amp;""="","","SDO")&lt;&gt;""),"BDO+SDO",IF(INDEX('BDO Plan'!$I$41:$O$51,2*INT((28+WEEKDAY($A$3,2)-1)/7)+1,MOD(28+WEEKDAY($A$3,2)-1,7)+1)&amp;""="","","BDO")&amp;IF(INDEX('SDO Plan'!$I$41:$O$51,2*INT((28+WEEKDAY($A$3,2)-1)/7)+1,MOD(28+WEEKDAY($A$3,2)-1,7)+1)&amp;""="","","SDO")))</f>
        <v/>
      </c>
      <c r="AG25" s="202">
        <f>IF(AG$5="","",IF(AND(IF(INDEX('BDO Plan'!$I$41:$O$51,2*INT((29+WEEKDAY($A$3,2)-1)/7)+1,MOD(29+WEEKDAY($A$3,2)-1,7)+1)&amp;""="","","BDO")&lt;&gt;"",IF(INDEX('SDO Plan'!$I$41:$O$51,2*INT((29+WEEKDAY($A$3,2)-1)/7)+1,MOD(29+WEEKDAY($A$3,2)-1,7)+1)&amp;""="","","SDO")&lt;&gt;""),"BDO+SDO",IF(INDEX('BDO Plan'!$I$41:$O$51,2*INT((29+WEEKDAY($A$3,2)-1)/7)+1,MOD(29+WEEKDAY($A$3,2)-1,7)+1)&amp;""="","","BDO")&amp;IF(INDEX('SDO Plan'!$I$41:$O$51,2*INT((29+WEEKDAY($A$3,2)-1)/7)+1,MOD(29+WEEKDAY($A$3,2)-1,7)+1)&amp;""="","","SDO")))</f>
        <v/>
      </c>
      <c r="AH25" s="202">
        <f>IF(AH$5="","",IF(AND(IF(INDEX('BDO Plan'!$I$41:$O$51,2*INT((30+WEEKDAY($A$3,2)-1)/7)+1,MOD(30+WEEKDAY($A$3,2)-1,7)+1)&amp;""="","","BDO")&lt;&gt;"",IF(INDEX('SDO Plan'!$I$41:$O$51,2*INT((30+WEEKDAY($A$3,2)-1)/7)+1,MOD(30+WEEKDAY($A$3,2)-1,7)+1)&amp;""="","","SDO")&lt;&gt;""),"BDO+SDO",IF(INDEX('BDO Plan'!$I$41:$O$51,2*INT((30+WEEKDAY($A$3,2)-1)/7)+1,MOD(30+WEEKDAY($A$3,2)-1,7)+1)&amp;""="","","BDO")&amp;IF(INDEX('SDO Plan'!$I$41:$O$51,2*INT((30+WEEKDAY($A$3,2)-1)/7)+1,MOD(30+WEEKDAY($A$3,2)-1,7)+1)&amp;""="","","SDO")))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DATE(PlanYear,9,1)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Plan'!$Q$41:$W$51,2*INT((0+WEEKDAY($A$3,2)-1)/7)+1,MOD(0+WEEKDAY($A$3,2)-1,7)+1)&amp;""="","","BDO")&lt;&gt;"",IF(INDEX('SDO Plan'!$Q$41:$W$51,2*INT((0+WEEKDAY($A$3,2)-1)/7)+1,MOD(0+WEEKDAY($A$3,2)-1,7)+1)&amp;""="","","SDO")&lt;&gt;""),"BDO+SDO",IF(INDEX('BDO Plan'!$Q$41:$W$51,2*INT((0+WEEKDAY($A$3,2)-1)/7)+1,MOD(0+WEEKDAY($A$3,2)-1,7)+1)&amp;""="","","BDO")&amp;IF(INDEX('SDO Plan'!$Q$41:$W$51,2*INT((0+WEEKDAY($A$3,2)-1)/7)+1,MOD(0+WEEKDAY($A$3,2)-1,7)+1)&amp;""="","","SDO")))</f>
        <v/>
      </c>
      <c r="E25" s="202">
        <f>IF(E$5="","",IF(AND(IF(INDEX('BDO Plan'!$Q$41:$W$51,2*INT((1+WEEKDAY($A$3,2)-1)/7)+1,MOD(1+WEEKDAY($A$3,2)-1,7)+1)&amp;""="","","BDO")&lt;&gt;"",IF(INDEX('SDO Plan'!$Q$41:$W$51,2*INT((1+WEEKDAY($A$3,2)-1)/7)+1,MOD(1+WEEKDAY($A$3,2)-1,7)+1)&amp;""="","","SDO")&lt;&gt;""),"BDO+SDO",IF(INDEX('BDO Plan'!$Q$41:$W$51,2*INT((1+WEEKDAY($A$3,2)-1)/7)+1,MOD(1+WEEKDAY($A$3,2)-1,7)+1)&amp;""="","","BDO")&amp;IF(INDEX('SDO Plan'!$Q$41:$W$51,2*INT((1+WEEKDAY($A$3,2)-1)/7)+1,MOD(1+WEEKDAY($A$3,2)-1,7)+1)&amp;""="","","SDO")))</f>
        <v/>
      </c>
      <c r="F25" s="202">
        <f>IF(F$5="","",IF(AND(IF(INDEX('BDO Plan'!$Q$41:$W$51,2*INT((2+WEEKDAY($A$3,2)-1)/7)+1,MOD(2+WEEKDAY($A$3,2)-1,7)+1)&amp;""="","","BDO")&lt;&gt;"",IF(INDEX('SDO Plan'!$Q$41:$W$51,2*INT((2+WEEKDAY($A$3,2)-1)/7)+1,MOD(2+WEEKDAY($A$3,2)-1,7)+1)&amp;""="","","SDO")&lt;&gt;""),"BDO+SDO",IF(INDEX('BDO Plan'!$Q$41:$W$51,2*INT((2+WEEKDAY($A$3,2)-1)/7)+1,MOD(2+WEEKDAY($A$3,2)-1,7)+1)&amp;""="","","BDO")&amp;IF(INDEX('SDO Plan'!$Q$41:$W$51,2*INT((2+WEEKDAY($A$3,2)-1)/7)+1,MOD(2+WEEKDAY($A$3,2)-1,7)+1)&amp;""="","","SDO")))</f>
        <v/>
      </c>
      <c r="G25" s="202">
        <f>IF(G$5="","",IF(AND(IF(INDEX('BDO Plan'!$Q$41:$W$51,2*INT((3+WEEKDAY($A$3,2)-1)/7)+1,MOD(3+WEEKDAY($A$3,2)-1,7)+1)&amp;""="","","BDO")&lt;&gt;"",IF(INDEX('SDO Plan'!$Q$41:$W$51,2*INT((3+WEEKDAY($A$3,2)-1)/7)+1,MOD(3+WEEKDAY($A$3,2)-1,7)+1)&amp;""="","","SDO")&lt;&gt;""),"BDO+SDO",IF(INDEX('BDO Plan'!$Q$41:$W$51,2*INT((3+WEEKDAY($A$3,2)-1)/7)+1,MOD(3+WEEKDAY($A$3,2)-1,7)+1)&amp;""="","","BDO")&amp;IF(INDEX('SDO Plan'!$Q$41:$W$51,2*INT((3+WEEKDAY($A$3,2)-1)/7)+1,MOD(3+WEEKDAY($A$3,2)-1,7)+1)&amp;""="","","SDO")))</f>
        <v/>
      </c>
      <c r="H25" s="202">
        <f>IF(H$5="","",IF(AND(IF(INDEX('BDO Plan'!$Q$41:$W$51,2*INT((4+WEEKDAY($A$3,2)-1)/7)+1,MOD(4+WEEKDAY($A$3,2)-1,7)+1)&amp;""="","","BDO")&lt;&gt;"",IF(INDEX('SDO Plan'!$Q$41:$W$51,2*INT((4+WEEKDAY($A$3,2)-1)/7)+1,MOD(4+WEEKDAY($A$3,2)-1,7)+1)&amp;""="","","SDO")&lt;&gt;""),"BDO+SDO",IF(INDEX('BDO Plan'!$Q$41:$W$51,2*INT((4+WEEKDAY($A$3,2)-1)/7)+1,MOD(4+WEEKDAY($A$3,2)-1,7)+1)&amp;""="","","BDO")&amp;IF(INDEX('SDO Plan'!$Q$41:$W$51,2*INT((4+WEEKDAY($A$3,2)-1)/7)+1,MOD(4+WEEKDAY($A$3,2)-1,7)+1)&amp;""="","","SDO")))</f>
        <v/>
      </c>
      <c r="I25" s="202">
        <f>IF(I$5="","",IF(AND(IF(INDEX('BDO Plan'!$Q$41:$W$51,2*INT((5+WEEKDAY($A$3,2)-1)/7)+1,MOD(5+WEEKDAY($A$3,2)-1,7)+1)&amp;""="","","BDO")&lt;&gt;"",IF(INDEX('SDO Plan'!$Q$41:$W$51,2*INT((5+WEEKDAY($A$3,2)-1)/7)+1,MOD(5+WEEKDAY($A$3,2)-1,7)+1)&amp;""="","","SDO")&lt;&gt;""),"BDO+SDO",IF(INDEX('BDO Plan'!$Q$41:$W$51,2*INT((5+WEEKDAY($A$3,2)-1)/7)+1,MOD(5+WEEKDAY($A$3,2)-1,7)+1)&amp;""="","","BDO")&amp;IF(INDEX('SDO Plan'!$Q$41:$W$51,2*INT((5+WEEKDAY($A$3,2)-1)/7)+1,MOD(5+WEEKDAY($A$3,2)-1,7)+1)&amp;""="","","SDO")))</f>
        <v/>
      </c>
      <c r="J25" s="202">
        <f>IF(J$5="","",IF(AND(IF(INDEX('BDO Plan'!$Q$41:$W$51,2*INT((6+WEEKDAY($A$3,2)-1)/7)+1,MOD(6+WEEKDAY($A$3,2)-1,7)+1)&amp;""="","","BDO")&lt;&gt;"",IF(INDEX('SDO Plan'!$Q$41:$W$51,2*INT((6+WEEKDAY($A$3,2)-1)/7)+1,MOD(6+WEEKDAY($A$3,2)-1,7)+1)&amp;""="","","SDO")&lt;&gt;""),"BDO+SDO",IF(INDEX('BDO Plan'!$Q$41:$W$51,2*INT((6+WEEKDAY($A$3,2)-1)/7)+1,MOD(6+WEEKDAY($A$3,2)-1,7)+1)&amp;""="","","BDO")&amp;IF(INDEX('SDO Plan'!$Q$41:$W$51,2*INT((6+WEEKDAY($A$3,2)-1)/7)+1,MOD(6+WEEKDAY($A$3,2)-1,7)+1)&amp;""="","","SDO")))</f>
        <v/>
      </c>
      <c r="K25" s="202">
        <f>IF(K$5="","",IF(AND(IF(INDEX('BDO Plan'!$Q$41:$W$51,2*INT((7+WEEKDAY($A$3,2)-1)/7)+1,MOD(7+WEEKDAY($A$3,2)-1,7)+1)&amp;""="","","BDO")&lt;&gt;"",IF(INDEX('SDO Plan'!$Q$41:$W$51,2*INT((7+WEEKDAY($A$3,2)-1)/7)+1,MOD(7+WEEKDAY($A$3,2)-1,7)+1)&amp;""="","","SDO")&lt;&gt;""),"BDO+SDO",IF(INDEX('BDO Plan'!$Q$41:$W$51,2*INT((7+WEEKDAY($A$3,2)-1)/7)+1,MOD(7+WEEKDAY($A$3,2)-1,7)+1)&amp;""="","","BDO")&amp;IF(INDEX('SDO Plan'!$Q$41:$W$51,2*INT((7+WEEKDAY($A$3,2)-1)/7)+1,MOD(7+WEEKDAY($A$3,2)-1,7)+1)&amp;""="","","SDO")))</f>
        <v/>
      </c>
      <c r="L25" s="202">
        <f>IF(L$5="","",IF(AND(IF(INDEX('BDO Plan'!$Q$41:$W$51,2*INT((8+WEEKDAY($A$3,2)-1)/7)+1,MOD(8+WEEKDAY($A$3,2)-1,7)+1)&amp;""="","","BDO")&lt;&gt;"",IF(INDEX('SDO Plan'!$Q$41:$W$51,2*INT((8+WEEKDAY($A$3,2)-1)/7)+1,MOD(8+WEEKDAY($A$3,2)-1,7)+1)&amp;""="","","SDO")&lt;&gt;""),"BDO+SDO",IF(INDEX('BDO Plan'!$Q$41:$W$51,2*INT((8+WEEKDAY($A$3,2)-1)/7)+1,MOD(8+WEEKDAY($A$3,2)-1,7)+1)&amp;""="","","BDO")&amp;IF(INDEX('SDO Plan'!$Q$41:$W$51,2*INT((8+WEEKDAY($A$3,2)-1)/7)+1,MOD(8+WEEKDAY($A$3,2)-1,7)+1)&amp;""="","","SDO")))</f>
        <v/>
      </c>
      <c r="M25" s="202">
        <f>IF(M$5="","",IF(AND(IF(INDEX('BDO Plan'!$Q$41:$W$51,2*INT((9+WEEKDAY($A$3,2)-1)/7)+1,MOD(9+WEEKDAY($A$3,2)-1,7)+1)&amp;""="","","BDO")&lt;&gt;"",IF(INDEX('SDO Plan'!$Q$41:$W$51,2*INT((9+WEEKDAY($A$3,2)-1)/7)+1,MOD(9+WEEKDAY($A$3,2)-1,7)+1)&amp;""="","","SDO")&lt;&gt;""),"BDO+SDO",IF(INDEX('BDO Plan'!$Q$41:$W$51,2*INT((9+WEEKDAY($A$3,2)-1)/7)+1,MOD(9+WEEKDAY($A$3,2)-1,7)+1)&amp;""="","","BDO")&amp;IF(INDEX('SDO Plan'!$Q$41:$W$51,2*INT((9+WEEKDAY($A$3,2)-1)/7)+1,MOD(9+WEEKDAY($A$3,2)-1,7)+1)&amp;""="","","SDO")))</f>
        <v/>
      </c>
      <c r="N25" s="202">
        <f>IF(N$5="","",IF(AND(IF(INDEX('BDO Plan'!$Q$41:$W$51,2*INT((10+WEEKDAY($A$3,2)-1)/7)+1,MOD(10+WEEKDAY($A$3,2)-1,7)+1)&amp;""="","","BDO")&lt;&gt;"",IF(INDEX('SDO Plan'!$Q$41:$W$51,2*INT((10+WEEKDAY($A$3,2)-1)/7)+1,MOD(10+WEEKDAY($A$3,2)-1,7)+1)&amp;""="","","SDO")&lt;&gt;""),"BDO+SDO",IF(INDEX('BDO Plan'!$Q$41:$W$51,2*INT((10+WEEKDAY($A$3,2)-1)/7)+1,MOD(10+WEEKDAY($A$3,2)-1,7)+1)&amp;""="","","BDO")&amp;IF(INDEX('SDO Plan'!$Q$41:$W$51,2*INT((10+WEEKDAY($A$3,2)-1)/7)+1,MOD(10+WEEKDAY($A$3,2)-1,7)+1)&amp;""="","","SDO")))</f>
        <v/>
      </c>
      <c r="O25" s="202">
        <f>IF(O$5="","",IF(AND(IF(INDEX('BDO Plan'!$Q$41:$W$51,2*INT((11+WEEKDAY($A$3,2)-1)/7)+1,MOD(11+WEEKDAY($A$3,2)-1,7)+1)&amp;""="","","BDO")&lt;&gt;"",IF(INDEX('SDO Plan'!$Q$41:$W$51,2*INT((11+WEEKDAY($A$3,2)-1)/7)+1,MOD(11+WEEKDAY($A$3,2)-1,7)+1)&amp;""="","","SDO")&lt;&gt;""),"BDO+SDO",IF(INDEX('BDO Plan'!$Q$41:$W$51,2*INT((11+WEEKDAY($A$3,2)-1)/7)+1,MOD(11+WEEKDAY($A$3,2)-1,7)+1)&amp;""="","","BDO")&amp;IF(INDEX('SDO Plan'!$Q$41:$W$51,2*INT((11+WEEKDAY($A$3,2)-1)/7)+1,MOD(11+WEEKDAY($A$3,2)-1,7)+1)&amp;""="","","SDO")))</f>
        <v/>
      </c>
      <c r="P25" s="202">
        <f>IF(P$5="","",IF(AND(IF(INDEX('BDO Plan'!$Q$41:$W$51,2*INT((12+WEEKDAY($A$3,2)-1)/7)+1,MOD(12+WEEKDAY($A$3,2)-1,7)+1)&amp;""="","","BDO")&lt;&gt;"",IF(INDEX('SDO Plan'!$Q$41:$W$51,2*INT((12+WEEKDAY($A$3,2)-1)/7)+1,MOD(12+WEEKDAY($A$3,2)-1,7)+1)&amp;""="","","SDO")&lt;&gt;""),"BDO+SDO",IF(INDEX('BDO Plan'!$Q$41:$W$51,2*INT((12+WEEKDAY($A$3,2)-1)/7)+1,MOD(12+WEEKDAY($A$3,2)-1,7)+1)&amp;""="","","BDO")&amp;IF(INDEX('SDO Plan'!$Q$41:$W$51,2*INT((12+WEEKDAY($A$3,2)-1)/7)+1,MOD(12+WEEKDAY($A$3,2)-1,7)+1)&amp;""="","","SDO")))</f>
        <v/>
      </c>
      <c r="Q25" s="202">
        <f>IF(Q$5="","",IF(AND(IF(INDEX('BDO Plan'!$Q$41:$W$51,2*INT((13+WEEKDAY($A$3,2)-1)/7)+1,MOD(13+WEEKDAY($A$3,2)-1,7)+1)&amp;""="","","BDO")&lt;&gt;"",IF(INDEX('SDO Plan'!$Q$41:$W$51,2*INT((13+WEEKDAY($A$3,2)-1)/7)+1,MOD(13+WEEKDAY($A$3,2)-1,7)+1)&amp;""="","","SDO")&lt;&gt;""),"BDO+SDO",IF(INDEX('BDO Plan'!$Q$41:$W$51,2*INT((13+WEEKDAY($A$3,2)-1)/7)+1,MOD(13+WEEKDAY($A$3,2)-1,7)+1)&amp;""="","","BDO")&amp;IF(INDEX('SDO Plan'!$Q$41:$W$51,2*INT((13+WEEKDAY($A$3,2)-1)/7)+1,MOD(13+WEEKDAY($A$3,2)-1,7)+1)&amp;""="","","SDO")))</f>
        <v/>
      </c>
      <c r="R25" s="202">
        <f>IF(R$5="","",IF(AND(IF(INDEX('BDO Plan'!$Q$41:$W$51,2*INT((14+WEEKDAY($A$3,2)-1)/7)+1,MOD(14+WEEKDAY($A$3,2)-1,7)+1)&amp;""="","","BDO")&lt;&gt;"",IF(INDEX('SDO Plan'!$Q$41:$W$51,2*INT((14+WEEKDAY($A$3,2)-1)/7)+1,MOD(14+WEEKDAY($A$3,2)-1,7)+1)&amp;""="","","SDO")&lt;&gt;""),"BDO+SDO",IF(INDEX('BDO Plan'!$Q$41:$W$51,2*INT((14+WEEKDAY($A$3,2)-1)/7)+1,MOD(14+WEEKDAY($A$3,2)-1,7)+1)&amp;""="","","BDO")&amp;IF(INDEX('SDO Plan'!$Q$41:$W$51,2*INT((14+WEEKDAY($A$3,2)-1)/7)+1,MOD(14+WEEKDAY($A$3,2)-1,7)+1)&amp;""="","","SDO")))</f>
        <v/>
      </c>
      <c r="S25" s="202">
        <f>IF(S$5="","",IF(AND(IF(INDEX('BDO Plan'!$Q$41:$W$51,2*INT((15+WEEKDAY($A$3,2)-1)/7)+1,MOD(15+WEEKDAY($A$3,2)-1,7)+1)&amp;""="","","BDO")&lt;&gt;"",IF(INDEX('SDO Plan'!$Q$41:$W$51,2*INT((15+WEEKDAY($A$3,2)-1)/7)+1,MOD(15+WEEKDAY($A$3,2)-1,7)+1)&amp;""="","","SDO")&lt;&gt;""),"BDO+SDO",IF(INDEX('BDO Plan'!$Q$41:$W$51,2*INT((15+WEEKDAY($A$3,2)-1)/7)+1,MOD(15+WEEKDAY($A$3,2)-1,7)+1)&amp;""="","","BDO")&amp;IF(INDEX('SDO Plan'!$Q$41:$W$51,2*INT((15+WEEKDAY($A$3,2)-1)/7)+1,MOD(15+WEEKDAY($A$3,2)-1,7)+1)&amp;""="","","SDO")))</f>
        <v/>
      </c>
      <c r="T25" s="202">
        <f>IF(T$5="","",IF(AND(IF(INDEX('BDO Plan'!$Q$41:$W$51,2*INT((16+WEEKDAY($A$3,2)-1)/7)+1,MOD(16+WEEKDAY($A$3,2)-1,7)+1)&amp;""="","","BDO")&lt;&gt;"",IF(INDEX('SDO Plan'!$Q$41:$W$51,2*INT((16+WEEKDAY($A$3,2)-1)/7)+1,MOD(16+WEEKDAY($A$3,2)-1,7)+1)&amp;""="","","SDO")&lt;&gt;""),"BDO+SDO",IF(INDEX('BDO Plan'!$Q$41:$W$51,2*INT((16+WEEKDAY($A$3,2)-1)/7)+1,MOD(16+WEEKDAY($A$3,2)-1,7)+1)&amp;""="","","BDO")&amp;IF(INDEX('SDO Plan'!$Q$41:$W$51,2*INT((16+WEEKDAY($A$3,2)-1)/7)+1,MOD(16+WEEKDAY($A$3,2)-1,7)+1)&amp;""="","","SDO")))</f>
        <v/>
      </c>
      <c r="U25" s="202">
        <f>IF(U$5="","",IF(AND(IF(INDEX('BDO Plan'!$Q$41:$W$51,2*INT((17+WEEKDAY($A$3,2)-1)/7)+1,MOD(17+WEEKDAY($A$3,2)-1,7)+1)&amp;""="","","BDO")&lt;&gt;"",IF(INDEX('SDO Plan'!$Q$41:$W$51,2*INT((17+WEEKDAY($A$3,2)-1)/7)+1,MOD(17+WEEKDAY($A$3,2)-1,7)+1)&amp;""="","","SDO")&lt;&gt;""),"BDO+SDO",IF(INDEX('BDO Plan'!$Q$41:$W$51,2*INT((17+WEEKDAY($A$3,2)-1)/7)+1,MOD(17+WEEKDAY($A$3,2)-1,7)+1)&amp;""="","","BDO")&amp;IF(INDEX('SDO Plan'!$Q$41:$W$51,2*INT((17+WEEKDAY($A$3,2)-1)/7)+1,MOD(17+WEEKDAY($A$3,2)-1,7)+1)&amp;""="","","SDO")))</f>
        <v/>
      </c>
      <c r="V25" s="202">
        <f>IF(V$5="","",IF(AND(IF(INDEX('BDO Plan'!$Q$41:$W$51,2*INT((18+WEEKDAY($A$3,2)-1)/7)+1,MOD(18+WEEKDAY($A$3,2)-1,7)+1)&amp;""="","","BDO")&lt;&gt;"",IF(INDEX('SDO Plan'!$Q$41:$W$51,2*INT((18+WEEKDAY($A$3,2)-1)/7)+1,MOD(18+WEEKDAY($A$3,2)-1,7)+1)&amp;""="","","SDO")&lt;&gt;""),"BDO+SDO",IF(INDEX('BDO Plan'!$Q$41:$W$51,2*INT((18+WEEKDAY($A$3,2)-1)/7)+1,MOD(18+WEEKDAY($A$3,2)-1,7)+1)&amp;""="","","BDO")&amp;IF(INDEX('SDO Plan'!$Q$41:$W$51,2*INT((18+WEEKDAY($A$3,2)-1)/7)+1,MOD(18+WEEKDAY($A$3,2)-1,7)+1)&amp;""="","","SDO")))</f>
        <v/>
      </c>
      <c r="W25" s="202">
        <f>IF(W$5="","",IF(AND(IF(INDEX('BDO Plan'!$Q$41:$W$51,2*INT((19+WEEKDAY($A$3,2)-1)/7)+1,MOD(19+WEEKDAY($A$3,2)-1,7)+1)&amp;""="","","BDO")&lt;&gt;"",IF(INDEX('SDO Plan'!$Q$41:$W$51,2*INT((19+WEEKDAY($A$3,2)-1)/7)+1,MOD(19+WEEKDAY($A$3,2)-1,7)+1)&amp;""="","","SDO")&lt;&gt;""),"BDO+SDO",IF(INDEX('BDO Plan'!$Q$41:$W$51,2*INT((19+WEEKDAY($A$3,2)-1)/7)+1,MOD(19+WEEKDAY($A$3,2)-1,7)+1)&amp;""="","","BDO")&amp;IF(INDEX('SDO Plan'!$Q$41:$W$51,2*INT((19+WEEKDAY($A$3,2)-1)/7)+1,MOD(19+WEEKDAY($A$3,2)-1,7)+1)&amp;""="","","SDO")))</f>
        <v/>
      </c>
      <c r="X25" s="202">
        <f>IF(X$5="","",IF(AND(IF(INDEX('BDO Plan'!$Q$41:$W$51,2*INT((20+WEEKDAY($A$3,2)-1)/7)+1,MOD(20+WEEKDAY($A$3,2)-1,7)+1)&amp;""="","","BDO")&lt;&gt;"",IF(INDEX('SDO Plan'!$Q$41:$W$51,2*INT((20+WEEKDAY($A$3,2)-1)/7)+1,MOD(20+WEEKDAY($A$3,2)-1,7)+1)&amp;""="","","SDO")&lt;&gt;""),"BDO+SDO",IF(INDEX('BDO Plan'!$Q$41:$W$51,2*INT((20+WEEKDAY($A$3,2)-1)/7)+1,MOD(20+WEEKDAY($A$3,2)-1,7)+1)&amp;""="","","BDO")&amp;IF(INDEX('SDO Plan'!$Q$41:$W$51,2*INT((20+WEEKDAY($A$3,2)-1)/7)+1,MOD(20+WEEKDAY($A$3,2)-1,7)+1)&amp;""="","","SDO")))</f>
        <v/>
      </c>
      <c r="Y25" s="202">
        <f>IF(Y$5="","",IF(AND(IF(INDEX('BDO Plan'!$Q$41:$W$51,2*INT((21+WEEKDAY($A$3,2)-1)/7)+1,MOD(21+WEEKDAY($A$3,2)-1,7)+1)&amp;""="","","BDO")&lt;&gt;"",IF(INDEX('SDO Plan'!$Q$41:$W$51,2*INT((21+WEEKDAY($A$3,2)-1)/7)+1,MOD(21+WEEKDAY($A$3,2)-1,7)+1)&amp;""="","","SDO")&lt;&gt;""),"BDO+SDO",IF(INDEX('BDO Plan'!$Q$41:$W$51,2*INT((21+WEEKDAY($A$3,2)-1)/7)+1,MOD(21+WEEKDAY($A$3,2)-1,7)+1)&amp;""="","","BDO")&amp;IF(INDEX('SDO Plan'!$Q$41:$W$51,2*INT((21+WEEKDAY($A$3,2)-1)/7)+1,MOD(21+WEEKDAY($A$3,2)-1,7)+1)&amp;""="","","SDO")))</f>
        <v/>
      </c>
      <c r="Z25" s="202">
        <f>IF(Z$5="","",IF(AND(IF(INDEX('BDO Plan'!$Q$41:$W$51,2*INT((22+WEEKDAY($A$3,2)-1)/7)+1,MOD(22+WEEKDAY($A$3,2)-1,7)+1)&amp;""="","","BDO")&lt;&gt;"",IF(INDEX('SDO Plan'!$Q$41:$W$51,2*INT((22+WEEKDAY($A$3,2)-1)/7)+1,MOD(22+WEEKDAY($A$3,2)-1,7)+1)&amp;""="","","SDO")&lt;&gt;""),"BDO+SDO",IF(INDEX('BDO Plan'!$Q$41:$W$51,2*INT((22+WEEKDAY($A$3,2)-1)/7)+1,MOD(22+WEEKDAY($A$3,2)-1,7)+1)&amp;""="","","BDO")&amp;IF(INDEX('SDO Plan'!$Q$41:$W$51,2*INT((22+WEEKDAY($A$3,2)-1)/7)+1,MOD(22+WEEKDAY($A$3,2)-1,7)+1)&amp;""="","","SDO")))</f>
        <v/>
      </c>
      <c r="AA25" s="202">
        <f>IF(AA$5="","",IF(AND(IF(INDEX('BDO Plan'!$Q$41:$W$51,2*INT((23+WEEKDAY($A$3,2)-1)/7)+1,MOD(23+WEEKDAY($A$3,2)-1,7)+1)&amp;""="","","BDO")&lt;&gt;"",IF(INDEX('SDO Plan'!$Q$41:$W$51,2*INT((23+WEEKDAY($A$3,2)-1)/7)+1,MOD(23+WEEKDAY($A$3,2)-1,7)+1)&amp;""="","","SDO")&lt;&gt;""),"BDO+SDO",IF(INDEX('BDO Plan'!$Q$41:$W$51,2*INT((23+WEEKDAY($A$3,2)-1)/7)+1,MOD(23+WEEKDAY($A$3,2)-1,7)+1)&amp;""="","","BDO")&amp;IF(INDEX('SDO Plan'!$Q$41:$W$51,2*INT((23+WEEKDAY($A$3,2)-1)/7)+1,MOD(23+WEEKDAY($A$3,2)-1,7)+1)&amp;""="","","SDO")))</f>
        <v/>
      </c>
      <c r="AB25" s="202">
        <f>IF(AB$5="","",IF(AND(IF(INDEX('BDO Plan'!$Q$41:$W$51,2*INT((24+WEEKDAY($A$3,2)-1)/7)+1,MOD(24+WEEKDAY($A$3,2)-1,7)+1)&amp;""="","","BDO")&lt;&gt;"",IF(INDEX('SDO Plan'!$Q$41:$W$51,2*INT((24+WEEKDAY($A$3,2)-1)/7)+1,MOD(24+WEEKDAY($A$3,2)-1,7)+1)&amp;""="","","SDO")&lt;&gt;""),"BDO+SDO",IF(INDEX('BDO Plan'!$Q$41:$W$51,2*INT((24+WEEKDAY($A$3,2)-1)/7)+1,MOD(24+WEEKDAY($A$3,2)-1,7)+1)&amp;""="","","BDO")&amp;IF(INDEX('SDO Plan'!$Q$41:$W$51,2*INT((24+WEEKDAY($A$3,2)-1)/7)+1,MOD(24+WEEKDAY($A$3,2)-1,7)+1)&amp;""="","","SDO")))</f>
        <v/>
      </c>
      <c r="AC25" s="202">
        <f>IF(AC$5="","",IF(AND(IF(INDEX('BDO Plan'!$Q$41:$W$51,2*INT((25+WEEKDAY($A$3,2)-1)/7)+1,MOD(25+WEEKDAY($A$3,2)-1,7)+1)&amp;""="","","BDO")&lt;&gt;"",IF(INDEX('SDO Plan'!$Q$41:$W$51,2*INT((25+WEEKDAY($A$3,2)-1)/7)+1,MOD(25+WEEKDAY($A$3,2)-1,7)+1)&amp;""="","","SDO")&lt;&gt;""),"BDO+SDO",IF(INDEX('BDO Plan'!$Q$41:$W$51,2*INT((25+WEEKDAY($A$3,2)-1)/7)+1,MOD(25+WEEKDAY($A$3,2)-1,7)+1)&amp;""="","","BDO")&amp;IF(INDEX('SDO Plan'!$Q$41:$W$51,2*INT((25+WEEKDAY($A$3,2)-1)/7)+1,MOD(25+WEEKDAY($A$3,2)-1,7)+1)&amp;""="","","SDO")))</f>
        <v/>
      </c>
      <c r="AD25" s="202">
        <f>IF(AD$5="","",IF(AND(IF(INDEX('BDO Plan'!$Q$41:$W$51,2*INT((26+WEEKDAY($A$3,2)-1)/7)+1,MOD(26+WEEKDAY($A$3,2)-1,7)+1)&amp;""="","","BDO")&lt;&gt;"",IF(INDEX('SDO Plan'!$Q$41:$W$51,2*INT((26+WEEKDAY($A$3,2)-1)/7)+1,MOD(26+WEEKDAY($A$3,2)-1,7)+1)&amp;""="","","SDO")&lt;&gt;""),"BDO+SDO",IF(INDEX('BDO Plan'!$Q$41:$W$51,2*INT((26+WEEKDAY($A$3,2)-1)/7)+1,MOD(26+WEEKDAY($A$3,2)-1,7)+1)&amp;""="","","BDO")&amp;IF(INDEX('SDO Plan'!$Q$41:$W$51,2*INT((26+WEEKDAY($A$3,2)-1)/7)+1,MOD(26+WEEKDAY($A$3,2)-1,7)+1)&amp;""="","","SDO")))</f>
        <v/>
      </c>
      <c r="AE25" s="202">
        <f>IF(AE$5="","",IF(AND(IF(INDEX('BDO Plan'!$Q$41:$W$51,2*INT((27+WEEKDAY($A$3,2)-1)/7)+1,MOD(27+WEEKDAY($A$3,2)-1,7)+1)&amp;""="","","BDO")&lt;&gt;"",IF(INDEX('SDO Plan'!$Q$41:$W$51,2*INT((27+WEEKDAY($A$3,2)-1)/7)+1,MOD(27+WEEKDAY($A$3,2)-1,7)+1)&amp;""="","","SDO")&lt;&gt;""),"BDO+SDO",IF(INDEX('BDO Plan'!$Q$41:$W$51,2*INT((27+WEEKDAY($A$3,2)-1)/7)+1,MOD(27+WEEKDAY($A$3,2)-1,7)+1)&amp;""="","","BDO")&amp;IF(INDEX('SDO Plan'!$Q$41:$W$51,2*INT((27+WEEKDAY($A$3,2)-1)/7)+1,MOD(27+WEEKDAY($A$3,2)-1,7)+1)&amp;""="","","SDO")))</f>
        <v/>
      </c>
      <c r="AF25" s="202">
        <f>IF(AF$5="","",IF(AND(IF(INDEX('BDO Plan'!$Q$41:$W$51,2*INT((28+WEEKDAY($A$3,2)-1)/7)+1,MOD(28+WEEKDAY($A$3,2)-1,7)+1)&amp;""="","","BDO")&lt;&gt;"",IF(INDEX('SDO Plan'!$Q$41:$W$51,2*INT((28+WEEKDAY($A$3,2)-1)/7)+1,MOD(28+WEEKDAY($A$3,2)-1,7)+1)&amp;""="","","SDO")&lt;&gt;""),"BDO+SDO",IF(INDEX('BDO Plan'!$Q$41:$W$51,2*INT((28+WEEKDAY($A$3,2)-1)/7)+1,MOD(28+WEEKDAY($A$3,2)-1,7)+1)&amp;""="","","BDO")&amp;IF(INDEX('SDO Plan'!$Q$41:$W$51,2*INT((28+WEEKDAY($A$3,2)-1)/7)+1,MOD(28+WEEKDAY($A$3,2)-1,7)+1)&amp;""="","","SDO")))</f>
        <v/>
      </c>
      <c r="AG25" s="202">
        <f>IF(AG$5="","",IF(AND(IF(INDEX('BDO Plan'!$Q$41:$W$51,2*INT((29+WEEKDAY($A$3,2)-1)/7)+1,MOD(29+WEEKDAY($A$3,2)-1,7)+1)&amp;""="","","BDO")&lt;&gt;"",IF(INDEX('SDO Plan'!$Q$41:$W$51,2*INT((29+WEEKDAY($A$3,2)-1)/7)+1,MOD(29+WEEKDAY($A$3,2)-1,7)+1)&amp;""="","","SDO")&lt;&gt;""),"BDO+SDO",IF(INDEX('BDO Plan'!$Q$41:$W$51,2*INT((29+WEEKDAY($A$3,2)-1)/7)+1,MOD(29+WEEKDAY($A$3,2)-1,7)+1)&amp;""="","","BDO")&amp;IF(INDEX('SDO Plan'!$Q$41:$W$51,2*INT((29+WEEKDAY($A$3,2)-1)/7)+1,MOD(29+WEEKDAY($A$3,2)-1,7)+1)&amp;""="","","SDO")))</f>
        <v/>
      </c>
      <c r="AH25" s="202">
        <f>IF(AH$5="","",IF(AND(IF(INDEX('BDO Plan'!$Q$41:$W$51,2*INT((30+WEEKDAY($A$3,2)-1)/7)+1,MOD(30+WEEKDAY($A$3,2)-1,7)+1)&amp;""="","","BDO")&lt;&gt;"",IF(INDEX('SDO Plan'!$Q$41:$W$51,2*INT((30+WEEKDAY($A$3,2)-1)/7)+1,MOD(30+WEEKDAY($A$3,2)-1,7)+1)&amp;""="","","SDO")&lt;&gt;""),"BDO+SDO",IF(INDEX('BDO Plan'!$Q$41:$W$51,2*INT((30+WEEKDAY($A$3,2)-1)/7)+1,MOD(30+WEEKDAY($A$3,2)-1,7)+1)&amp;""="","","BDO")&amp;IF(INDEX('SDO Plan'!$Q$41:$W$51,2*INT((30+WEEKDAY($A$3,2)-1)/7)+1,MOD(30+WEEKDAY($A$3,2)-1,7)+1)&amp;""="","","SDO")))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2626"/>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DATE(PlanYear,10,1)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inlineStr">
        <is>
          <t>2xFLT-2.0</t>
        </is>
      </c>
      <c r="E6" s="170" t="inlineStr">
        <is>
          <t>FLT-1.5</t>
        </is>
      </c>
      <c r="F6" s="170" t="n"/>
      <c r="G6" s="170" t="n"/>
      <c r="H6" s="170" t="inlineStr">
        <is>
          <t>FLT-2.0</t>
        </is>
      </c>
      <c r="I6" s="170" t="n"/>
      <c r="J6" s="170" t="inlineStr">
        <is>
          <t>FLT-2.0</t>
        </is>
      </c>
      <c r="K6" s="170" t="n"/>
      <c r="L6" s="170" t="n"/>
      <c r="M6" s="170" t="n"/>
      <c r="N6" s="170" t="n"/>
      <c r="O6" s="170" t="inlineStr">
        <is>
          <t>FLT-2.0</t>
        </is>
      </c>
      <c r="P6" s="170" t="n"/>
      <c r="Q6" s="170" t="inlineStr">
        <is>
          <t>2xFLT-1.5</t>
        </is>
      </c>
      <c r="R6" s="170" t="n"/>
      <c r="S6" s="170" t="n"/>
      <c r="T6" s="170" t="n"/>
      <c r="U6" s="170" t="n"/>
      <c r="V6" s="170" t="n"/>
      <c r="W6" s="170" t="n"/>
      <c r="X6" s="170" t="inlineStr">
        <is>
          <t>FLT-2.0</t>
        </is>
      </c>
      <c r="Y6" s="170" t="inlineStr">
        <is>
          <t>FLT-3.0</t>
        </is>
      </c>
      <c r="Z6" s="170" t="inlineStr">
        <is>
          <t>FLT-2.0</t>
        </is>
      </c>
      <c r="AA6" s="170" t="n"/>
      <c r="AB6" s="170" t="n"/>
      <c r="AC6" s="170" t="inlineStr">
        <is>
          <t>FLT-2.0</t>
        </is>
      </c>
      <c r="AD6" s="170" t="inlineStr">
        <is>
          <t>FLT-2.0</t>
        </is>
      </c>
      <c r="AE6" s="170" t="n"/>
      <c r="AF6" s="170" t="inlineStr">
        <is>
          <t>FLT-2.0</t>
        </is>
      </c>
      <c r="AG6" s="170" t="inlineStr">
        <is>
          <t>2xFLT-2.0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inlineStr">
        <is>
          <t>0830-1030</t>
        </is>
      </c>
      <c r="E7" s="175" t="inlineStr">
        <is>
          <t>0800-0930</t>
        </is>
      </c>
      <c r="F7" s="175" t="n"/>
      <c r="G7" s="175" t="n"/>
      <c r="H7" s="175" t="inlineStr">
        <is>
          <t>0830</t>
        </is>
      </c>
      <c r="I7" s="175" t="n"/>
      <c r="J7" s="175" t="inlineStr">
        <is>
          <t>0830-1030</t>
        </is>
      </c>
      <c r="K7" s="175" t="n"/>
      <c r="L7" s="175" t="n"/>
      <c r="M7" s="175" t="n"/>
      <c r="N7" s="175" t="n"/>
      <c r="O7" s="175" t="inlineStr">
        <is>
          <t>0830-1030</t>
        </is>
      </c>
      <c r="P7" s="175" t="n"/>
      <c r="Q7" s="175" t="inlineStr">
        <is>
          <t>0800-1100</t>
        </is>
      </c>
      <c r="R7" s="175" t="n"/>
      <c r="S7" s="175" t="n"/>
      <c r="T7" s="175" t="n"/>
      <c r="U7" s="175" t="n"/>
      <c r="V7" s="175" t="n"/>
      <c r="W7" s="175" t="n"/>
      <c r="X7" s="175" t="inlineStr">
        <is>
          <t>0830-1030</t>
        </is>
      </c>
      <c r="Y7" s="175" t="inlineStr">
        <is>
          <t>0800-1100</t>
        </is>
      </c>
      <c r="Z7" s="175" t="inlineStr">
        <is>
          <t>0830-1030</t>
        </is>
      </c>
      <c r="AA7" s="175" t="n"/>
      <c r="AB7" s="175" t="n"/>
      <c r="AC7" s="175" t="inlineStr">
        <is>
          <t>0830-1030</t>
        </is>
      </c>
      <c r="AD7" s="175" t="inlineStr">
        <is>
          <t>0830-1030</t>
        </is>
      </c>
      <c r="AE7" s="175" t="n"/>
      <c r="AF7" s="175" t="inlineStr">
        <is>
          <t>0830-1030</t>
        </is>
      </c>
      <c r="AG7" s="175" t="inlineStr">
        <is>
          <t>0830-1030</t>
        </is>
      </c>
      <c r="AH7" s="175" t="n"/>
      <c r="AI7" s="176" t="n"/>
      <c r="AM7" s="177" t="n"/>
    </row>
    <row r="8" ht="15" customHeight="1">
      <c r="A8" s="178" t="n"/>
      <c r="B8" s="178" t="n"/>
      <c r="C8" s="178" t="n"/>
      <c r="D8" s="179" t="inlineStr">
        <is>
          <t>Formation lead VIPER</t>
        </is>
      </c>
      <c r="E8" s="179" t="n"/>
      <c r="F8" s="179" t="n"/>
      <c r="G8" s="179" t="n"/>
      <c r="H8" s="179" t="n"/>
      <c r="I8" s="179" t="n"/>
      <c r="J8" s="179" t="inlineStr">
        <is>
          <t>Need 2nd crew</t>
        </is>
      </c>
      <c r="K8" s="179" t="n"/>
      <c r="L8" s="179" t="inlineStr">
        <is>
          <t>NO FLY: Maintenance</t>
        </is>
      </c>
      <c r="M8" s="179" t="n"/>
      <c r="N8" s="179" t="n"/>
      <c r="O8" s="179" t="n"/>
      <c r="P8" s="179" t="n"/>
      <c r="Q8" s="179" t="inlineStr">
        <is>
          <t>Check rides</t>
        </is>
      </c>
      <c r="R8" s="179" t="n"/>
      <c r="S8" s="179" t="inlineStr">
        <is>
          <t>NO FLY: Stand-down</t>
        </is>
      </c>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inlineStr">
        <is>
          <t>FLT-1.5</t>
        </is>
      </c>
      <c r="E9" s="182" t="inlineStr">
        <is>
          <t>FLT-2.0</t>
        </is>
      </c>
      <c r="F9" s="182" t="n"/>
      <c r="G9" s="182" t="n"/>
      <c r="H9" s="182" t="inlineStr">
        <is>
          <t>FLT-1.5</t>
        </is>
      </c>
      <c r="I9" s="182" t="n"/>
      <c r="J9" s="182" t="inlineStr">
        <is>
          <t>FLT-1.5</t>
        </is>
      </c>
      <c r="K9" s="182" t="n"/>
      <c r="L9" s="182" t="n"/>
      <c r="M9" s="182" t="n"/>
      <c r="N9" s="182" t="n"/>
      <c r="O9" s="182" t="n"/>
      <c r="P9" s="182" t="n"/>
      <c r="Q9" s="182" t="n"/>
      <c r="R9" s="182" t="n"/>
      <c r="S9" s="182" t="n"/>
      <c r="T9" s="182" t="n"/>
      <c r="U9" s="182" t="n"/>
      <c r="V9" s="182" t="n"/>
      <c r="W9" s="182" t="n"/>
      <c r="X9" s="182" t="inlineStr">
        <is>
          <t>FLT-1.5</t>
        </is>
      </c>
      <c r="Y9" s="182" t="n"/>
      <c r="Z9" s="182" t="inlineStr">
        <is>
          <t>FLT-1.5</t>
        </is>
      </c>
      <c r="AA9" s="182" t="n"/>
      <c r="AB9" s="182" t="n"/>
      <c r="AC9" s="182" t="inlineStr">
        <is>
          <t>FLT-1.5</t>
        </is>
      </c>
      <c r="AD9" s="182" t="inlineStr">
        <is>
          <t>FLT-1.5</t>
        </is>
      </c>
      <c r="AE9" s="182" t="n"/>
      <c r="AF9" s="182" t="inlineStr">
        <is>
          <t>FLT-1.5</t>
        </is>
      </c>
      <c r="AG9" s="182" t="n"/>
      <c r="AH9" s="182" t="n"/>
      <c r="AI9" s="176" t="n"/>
      <c r="AM9" s="177" t="n"/>
    </row>
    <row r="10" ht="15" customHeight="1">
      <c r="A10" s="174" t="n"/>
      <c r="B10" s="174" t="n"/>
      <c r="C10" s="174" t="n"/>
      <c r="D10" s="175" t="inlineStr">
        <is>
          <t>0900-1030</t>
        </is>
      </c>
      <c r="E10" s="175" t="inlineStr">
        <is>
          <t>1000-1200</t>
        </is>
      </c>
      <c r="F10" s="175" t="n"/>
      <c r="G10" s="175" t="n"/>
      <c r="H10" s="175" t="inlineStr">
        <is>
          <t>TBC</t>
        </is>
      </c>
      <c r="I10" s="175" t="n"/>
      <c r="J10" s="175" t="inlineStr">
        <is>
          <t>1100</t>
        </is>
      </c>
      <c r="K10" s="175" t="n"/>
      <c r="L10" s="175" t="n"/>
      <c r="M10" s="175" t="n"/>
      <c r="N10" s="175" t="n"/>
      <c r="O10" s="175" t="n"/>
      <c r="P10" s="175" t="n"/>
      <c r="Q10" s="175" t="n"/>
      <c r="R10" s="175" t="n"/>
      <c r="S10" s="175" t="n"/>
      <c r="T10" s="175" t="n"/>
      <c r="U10" s="175" t="n"/>
      <c r="V10" s="175" t="n"/>
      <c r="W10" s="175" t="n"/>
      <c r="X10" s="175" t="inlineStr">
        <is>
          <t>1000-1130</t>
        </is>
      </c>
      <c r="Y10" s="175" t="n"/>
      <c r="Z10" s="175" t="inlineStr">
        <is>
          <t>1000-1130</t>
        </is>
      </c>
      <c r="AA10" s="175" t="n"/>
      <c r="AB10" s="175" t="n"/>
      <c r="AC10" s="175" t="inlineStr">
        <is>
          <t>1000-1130</t>
        </is>
      </c>
      <c r="AD10" s="175" t="inlineStr">
        <is>
          <t>1000-1130</t>
        </is>
      </c>
      <c r="AE10" s="175" t="n"/>
      <c r="AF10" s="175" t="inlineStr">
        <is>
          <t>1000-1130</t>
        </is>
      </c>
      <c r="AG10" s="175" t="n"/>
      <c r="AH10" s="175" t="n"/>
      <c r="AI10" s="176" t="n"/>
      <c r="AM10" s="177" t="n"/>
    </row>
    <row r="11" ht="15" customHeight="1">
      <c r="A11" s="183" t="n"/>
      <c r="B11" s="183" t="n"/>
      <c r="C11" s="183" t="n"/>
      <c r="D11" s="184" t="n"/>
      <c r="E11" s="184" t="n"/>
      <c r="F11" s="184" t="n"/>
      <c r="G11" s="184" t="n"/>
      <c r="H11" s="184" t="inlineStr">
        <is>
          <t>Wx dependent</t>
        </is>
      </c>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inlineStr">
        <is>
          <t>FLT-2.0</t>
        </is>
      </c>
      <c r="E12" s="170" t="inlineStr">
        <is>
          <t>FLT-2.0</t>
        </is>
      </c>
      <c r="F12" s="170" t="n"/>
      <c r="G12" s="170" t="n"/>
      <c r="H12" s="170" t="n"/>
      <c r="I12" s="170" t="inlineStr">
        <is>
          <t>FLT-3.0</t>
        </is>
      </c>
      <c r="J12" s="170" t="n"/>
      <c r="K12" s="170" t="n"/>
      <c r="L12" s="170" t="n"/>
      <c r="M12" s="170" t="n"/>
      <c r="N12" s="170" t="n"/>
      <c r="O12" s="170" t="inlineStr">
        <is>
          <t>FLT-1.5</t>
        </is>
      </c>
      <c r="P12" s="170" t="n"/>
      <c r="Q12" s="170" t="n"/>
      <c r="R12" s="170" t="n"/>
      <c r="S12" s="170" t="n"/>
      <c r="T12" s="170" t="n"/>
      <c r="U12" s="170" t="n"/>
      <c r="V12" s="170" t="n"/>
      <c r="W12" s="170" t="n"/>
      <c r="X12" s="170" t="n"/>
      <c r="Y12" s="170" t="n"/>
      <c r="Z12" s="170" t="inlineStr">
        <is>
          <t>FLT-1.5</t>
        </is>
      </c>
      <c r="AA12" s="170" t="n"/>
      <c r="AB12" s="170" t="n"/>
      <c r="AC12" s="170" t="n"/>
      <c r="AD12" s="170" t="n"/>
      <c r="AE12" s="170" t="inlineStr">
        <is>
          <t>FLT-2.0</t>
        </is>
      </c>
      <c r="AF12" s="170" t="n"/>
      <c r="AG12" s="170" t="n"/>
      <c r="AH12" s="170" t="n"/>
      <c r="AI12" s="176" t="n"/>
      <c r="AM12" s="177" t="n"/>
    </row>
    <row r="13" ht="15" customHeight="1">
      <c r="A13" s="174" t="n"/>
      <c r="B13" s="174" t="n"/>
      <c r="C13" s="174" t="n"/>
      <c r="D13" s="175" t="inlineStr">
        <is>
          <t>1400-1600</t>
        </is>
      </c>
      <c r="E13" s="175" t="inlineStr">
        <is>
          <t>1330</t>
        </is>
      </c>
      <c r="F13" s="175" t="n"/>
      <c r="G13" s="175" t="n"/>
      <c r="H13" s="175" t="n"/>
      <c r="I13" s="175" t="inlineStr">
        <is>
          <t>1300-1600</t>
        </is>
      </c>
      <c r="J13" s="175" t="n"/>
      <c r="K13" s="175" t="n"/>
      <c r="L13" s="175" t="n"/>
      <c r="M13" s="175" t="n"/>
      <c r="N13" s="175" t="n"/>
      <c r="O13" s="175" t="inlineStr">
        <is>
          <t>1400-1530</t>
        </is>
      </c>
      <c r="P13" s="175" t="n"/>
      <c r="Q13" s="175" t="n"/>
      <c r="R13" s="175" t="n"/>
      <c r="S13" s="175" t="n"/>
      <c r="T13" s="175" t="n"/>
      <c r="U13" s="175" t="n"/>
      <c r="V13" s="175" t="n"/>
      <c r="W13" s="175" t="n"/>
      <c r="X13" s="175" t="n"/>
      <c r="Y13" s="175" t="n"/>
      <c r="Z13" s="175" t="inlineStr">
        <is>
          <t>1430-1600</t>
        </is>
      </c>
      <c r="AA13" s="175" t="n"/>
      <c r="AB13" s="175" t="n"/>
      <c r="AC13" s="175" t="n"/>
      <c r="AD13" s="175" t="n"/>
      <c r="AE13" s="175" t="inlineStr">
        <is>
          <t>1400-1600</t>
        </is>
      </c>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inlineStr">
        <is>
          <t>FLT-1.5</t>
        </is>
      </c>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inlineStr">
        <is>
          <t>1530-1700</t>
        </is>
      </c>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inlineStr">
        <is>
          <t>+1 more: FLT-2.0 1600-1800</t>
        </is>
      </c>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inlineStr">
        <is>
          <t>NVG-2.0</t>
        </is>
      </c>
      <c r="F18" s="170" t="n"/>
      <c r="G18" s="170" t="n"/>
      <c r="H18" s="170" t="inlineStr">
        <is>
          <t>NVG-2.0</t>
        </is>
      </c>
      <c r="I18" s="170" t="n"/>
      <c r="J18" s="170" t="n"/>
      <c r="K18" s="170" t="n"/>
      <c r="L18" s="170" t="n"/>
      <c r="M18" s="170" t="n"/>
      <c r="N18" s="170" t="n"/>
      <c r="O18" s="170" t="n"/>
      <c r="P18" s="170" t="n"/>
      <c r="Q18" s="170" t="n"/>
      <c r="R18" s="170" t="n"/>
      <c r="S18" s="170" t="n"/>
      <c r="T18" s="170" t="n"/>
      <c r="U18" s="170" t="n"/>
      <c r="V18" s="170" t="n"/>
      <c r="W18" s="170" t="n"/>
      <c r="X18" s="170" t="n"/>
      <c r="Y18" s="170" t="inlineStr">
        <is>
          <t>NVG-2.0</t>
        </is>
      </c>
      <c r="Z18" s="170" t="n"/>
      <c r="AA18" s="170" t="n"/>
      <c r="AB18" s="170" t="n"/>
      <c r="AC18" s="170" t="n"/>
      <c r="AD18" s="170" t="inlineStr">
        <is>
          <t>NVG-2.0</t>
        </is>
      </c>
      <c r="AE18" s="170" t="n"/>
      <c r="AF18" s="170" t="inlineStr">
        <is>
          <t>NVG-2.0</t>
        </is>
      </c>
      <c r="AG18" s="170" t="n"/>
      <c r="AH18" s="170" t="n"/>
      <c r="AI18" s="176" t="n"/>
      <c r="AM18" s="177" t="n"/>
    </row>
    <row r="19" ht="15" customHeight="1">
      <c r="A19" s="174" t="n"/>
      <c r="B19" s="174" t="n"/>
      <c r="C19" s="174" t="n"/>
      <c r="D19" s="175" t="n"/>
      <c r="E19" s="175" t="inlineStr">
        <is>
          <t>2000-2200</t>
        </is>
      </c>
      <c r="F19" s="175" t="n"/>
      <c r="G19" s="175" t="n"/>
      <c r="H19" s="175" t="inlineStr">
        <is>
          <t>1930-2130</t>
        </is>
      </c>
      <c r="I19" s="175" t="n"/>
      <c r="J19" s="175" t="n"/>
      <c r="K19" s="175" t="n"/>
      <c r="L19" s="175" t="n"/>
      <c r="M19" s="175" t="n"/>
      <c r="N19" s="175" t="n"/>
      <c r="O19" s="175" t="n"/>
      <c r="P19" s="175" t="n"/>
      <c r="Q19" s="175" t="n"/>
      <c r="R19" s="175" t="n"/>
      <c r="S19" s="175" t="n"/>
      <c r="T19" s="175" t="n"/>
      <c r="U19" s="175" t="n"/>
      <c r="V19" s="175" t="n"/>
      <c r="W19" s="175" t="n"/>
      <c r="X19" s="175" t="n"/>
      <c r="Y19" s="175" t="inlineStr">
        <is>
          <t>2000-2200</t>
        </is>
      </c>
      <c r="Z19" s="175" t="n"/>
      <c r="AA19" s="175" t="n"/>
      <c r="AB19" s="175" t="n"/>
      <c r="AC19" s="175" t="n"/>
      <c r="AD19" s="175" t="inlineStr">
        <is>
          <t>2000-2200</t>
        </is>
      </c>
      <c r="AE19" s="175" t="n"/>
      <c r="AF19" s="175" t="inlineStr">
        <is>
          <t>2000-2200</t>
        </is>
      </c>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inlineStr">
        <is>
          <t>Safety Brief 0730-0800</t>
        </is>
      </c>
      <c r="E24" s="196" t="n"/>
      <c r="F24" s="196" t="n"/>
      <c r="G24" s="196" t="n"/>
      <c r="H24" s="196" t="n"/>
      <c r="I24" s="196" t="n"/>
      <c r="J24" s="196" t="n"/>
      <c r="K24" s="196" t="n"/>
      <c r="L24" s="196" t="inlineStr">
        <is>
          <t>Ground School 0900-1200</t>
        </is>
      </c>
      <c r="M24" s="196" t="n"/>
      <c r="N24" s="196" t="n"/>
      <c r="O24" s="196" t="n"/>
      <c r="P24" s="196" t="n"/>
      <c r="Q24" s="196" t="inlineStr">
        <is>
          <t>Sqn Meeting 1500</t>
        </is>
      </c>
      <c r="R24" s="196" t="n"/>
      <c r="S24" s="196" t="n"/>
      <c r="T24" s="196" t="n"/>
      <c r="U24" s="196" t="n"/>
      <c r="V24" s="196" t="n"/>
      <c r="W24" s="196" t="n"/>
      <c r="X24" s="196" t="n"/>
      <c r="Y24" s="196" t="n"/>
      <c r="Z24" s="196" t="n"/>
      <c r="AA24" s="196" t="n"/>
      <c r="AB24" s="196" t="n"/>
      <c r="AC24" s="196" t="n"/>
      <c r="AD24" s="196" t="n"/>
      <c r="AE24" s="196" t="inlineStr">
        <is>
          <t>Sqn Meeting 1500</t>
        </is>
      </c>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Plan'!$A$57:$G$67,2*INT((0+WEEKDAY($A$3,2)-1)/7)+1,MOD(0+WEEKDAY($A$3,2)-1,7)+1)&amp;""="","","BDO")&lt;&gt;"",IF(INDEX('SDO Plan'!$A$57:$G$67,2*INT((0+WEEKDAY($A$3,2)-1)/7)+1,MOD(0+WEEKDAY($A$3,2)-1,7)+1)&amp;""="","","SDO")&lt;&gt;""),"BDO+SDO",IF(INDEX('BDO Plan'!$A$57:$G$67,2*INT((0+WEEKDAY($A$3,2)-1)/7)+1,MOD(0+WEEKDAY($A$3,2)-1,7)+1)&amp;""="","","BDO")&amp;IF(INDEX('SDO Plan'!$A$57:$G$67,2*INT((0+WEEKDAY($A$3,2)-1)/7)+1,MOD(0+WEEKDAY($A$3,2)-1,7)+1)&amp;""="","","SDO")))</f>
        <v/>
      </c>
      <c r="E25" s="202">
        <f>IF(E$5="","",IF(AND(IF(INDEX('BDO Plan'!$A$57:$G$67,2*INT((1+WEEKDAY($A$3,2)-1)/7)+1,MOD(1+WEEKDAY($A$3,2)-1,7)+1)&amp;""="","","BDO")&lt;&gt;"",IF(INDEX('SDO Plan'!$A$57:$G$67,2*INT((1+WEEKDAY($A$3,2)-1)/7)+1,MOD(1+WEEKDAY($A$3,2)-1,7)+1)&amp;""="","","SDO")&lt;&gt;""),"BDO+SDO",IF(INDEX('BDO Plan'!$A$57:$G$67,2*INT((1+WEEKDAY($A$3,2)-1)/7)+1,MOD(1+WEEKDAY($A$3,2)-1,7)+1)&amp;""="","","BDO")&amp;IF(INDEX('SDO Plan'!$A$57:$G$67,2*INT((1+WEEKDAY($A$3,2)-1)/7)+1,MOD(1+WEEKDAY($A$3,2)-1,7)+1)&amp;""="","","SDO")))</f>
        <v/>
      </c>
      <c r="F25" s="202">
        <f>IF(F$5="","",IF(AND(IF(INDEX('BDO Plan'!$A$57:$G$67,2*INT((2+WEEKDAY($A$3,2)-1)/7)+1,MOD(2+WEEKDAY($A$3,2)-1,7)+1)&amp;""="","","BDO")&lt;&gt;"",IF(INDEX('SDO Plan'!$A$57:$G$67,2*INT((2+WEEKDAY($A$3,2)-1)/7)+1,MOD(2+WEEKDAY($A$3,2)-1,7)+1)&amp;""="","","SDO")&lt;&gt;""),"BDO+SDO",IF(INDEX('BDO Plan'!$A$57:$G$67,2*INT((2+WEEKDAY($A$3,2)-1)/7)+1,MOD(2+WEEKDAY($A$3,2)-1,7)+1)&amp;""="","","BDO")&amp;IF(INDEX('SDO Plan'!$A$57:$G$67,2*INT((2+WEEKDAY($A$3,2)-1)/7)+1,MOD(2+WEEKDAY($A$3,2)-1,7)+1)&amp;""="","","SDO")))</f>
        <v/>
      </c>
      <c r="G25" s="202">
        <f>IF(G$5="","",IF(AND(IF(INDEX('BDO Plan'!$A$57:$G$67,2*INT((3+WEEKDAY($A$3,2)-1)/7)+1,MOD(3+WEEKDAY($A$3,2)-1,7)+1)&amp;""="","","BDO")&lt;&gt;"",IF(INDEX('SDO Plan'!$A$57:$G$67,2*INT((3+WEEKDAY($A$3,2)-1)/7)+1,MOD(3+WEEKDAY($A$3,2)-1,7)+1)&amp;""="","","SDO")&lt;&gt;""),"BDO+SDO",IF(INDEX('BDO Plan'!$A$57:$G$67,2*INT((3+WEEKDAY($A$3,2)-1)/7)+1,MOD(3+WEEKDAY($A$3,2)-1,7)+1)&amp;""="","","BDO")&amp;IF(INDEX('SDO Plan'!$A$57:$G$67,2*INT((3+WEEKDAY($A$3,2)-1)/7)+1,MOD(3+WEEKDAY($A$3,2)-1,7)+1)&amp;""="","","SDO")))</f>
        <v/>
      </c>
      <c r="H25" s="202">
        <f>IF(H$5="","",IF(AND(IF(INDEX('BDO Plan'!$A$57:$G$67,2*INT((4+WEEKDAY($A$3,2)-1)/7)+1,MOD(4+WEEKDAY($A$3,2)-1,7)+1)&amp;""="","","BDO")&lt;&gt;"",IF(INDEX('SDO Plan'!$A$57:$G$67,2*INT((4+WEEKDAY($A$3,2)-1)/7)+1,MOD(4+WEEKDAY($A$3,2)-1,7)+1)&amp;""="","","SDO")&lt;&gt;""),"BDO+SDO",IF(INDEX('BDO Plan'!$A$57:$G$67,2*INT((4+WEEKDAY($A$3,2)-1)/7)+1,MOD(4+WEEKDAY($A$3,2)-1,7)+1)&amp;""="","","BDO")&amp;IF(INDEX('SDO Plan'!$A$57:$G$67,2*INT((4+WEEKDAY($A$3,2)-1)/7)+1,MOD(4+WEEKDAY($A$3,2)-1,7)+1)&amp;""="","","SDO")))</f>
        <v/>
      </c>
      <c r="I25" s="202">
        <f>IF(I$5="","",IF(AND(IF(INDEX('BDO Plan'!$A$57:$G$67,2*INT((5+WEEKDAY($A$3,2)-1)/7)+1,MOD(5+WEEKDAY($A$3,2)-1,7)+1)&amp;""="","","BDO")&lt;&gt;"",IF(INDEX('SDO Plan'!$A$57:$G$67,2*INT((5+WEEKDAY($A$3,2)-1)/7)+1,MOD(5+WEEKDAY($A$3,2)-1,7)+1)&amp;""="","","SDO")&lt;&gt;""),"BDO+SDO",IF(INDEX('BDO Plan'!$A$57:$G$67,2*INT((5+WEEKDAY($A$3,2)-1)/7)+1,MOD(5+WEEKDAY($A$3,2)-1,7)+1)&amp;""="","","BDO")&amp;IF(INDEX('SDO Plan'!$A$57:$G$67,2*INT((5+WEEKDAY($A$3,2)-1)/7)+1,MOD(5+WEEKDAY($A$3,2)-1,7)+1)&amp;""="","","SDO")))</f>
        <v/>
      </c>
      <c r="J25" s="202">
        <f>IF(J$5="","",IF(AND(IF(INDEX('BDO Plan'!$A$57:$G$67,2*INT((6+WEEKDAY($A$3,2)-1)/7)+1,MOD(6+WEEKDAY($A$3,2)-1,7)+1)&amp;""="","","BDO")&lt;&gt;"",IF(INDEX('SDO Plan'!$A$57:$G$67,2*INT((6+WEEKDAY($A$3,2)-1)/7)+1,MOD(6+WEEKDAY($A$3,2)-1,7)+1)&amp;""="","","SDO")&lt;&gt;""),"BDO+SDO",IF(INDEX('BDO Plan'!$A$57:$G$67,2*INT((6+WEEKDAY($A$3,2)-1)/7)+1,MOD(6+WEEKDAY($A$3,2)-1,7)+1)&amp;""="","","BDO")&amp;IF(INDEX('SDO Plan'!$A$57:$G$67,2*INT((6+WEEKDAY($A$3,2)-1)/7)+1,MOD(6+WEEKDAY($A$3,2)-1,7)+1)&amp;""="","","SDO")))</f>
        <v/>
      </c>
      <c r="K25" s="202">
        <f>IF(K$5="","",IF(AND(IF(INDEX('BDO Plan'!$A$57:$G$67,2*INT((7+WEEKDAY($A$3,2)-1)/7)+1,MOD(7+WEEKDAY($A$3,2)-1,7)+1)&amp;""="","","BDO")&lt;&gt;"",IF(INDEX('SDO Plan'!$A$57:$G$67,2*INT((7+WEEKDAY($A$3,2)-1)/7)+1,MOD(7+WEEKDAY($A$3,2)-1,7)+1)&amp;""="","","SDO")&lt;&gt;""),"BDO+SDO",IF(INDEX('BDO Plan'!$A$57:$G$67,2*INT((7+WEEKDAY($A$3,2)-1)/7)+1,MOD(7+WEEKDAY($A$3,2)-1,7)+1)&amp;""="","","BDO")&amp;IF(INDEX('SDO Plan'!$A$57:$G$67,2*INT((7+WEEKDAY($A$3,2)-1)/7)+1,MOD(7+WEEKDAY($A$3,2)-1,7)+1)&amp;""="","","SDO")))</f>
        <v/>
      </c>
      <c r="L25" s="202">
        <f>IF(L$5="","",IF(AND(IF(INDEX('BDO Plan'!$A$57:$G$67,2*INT((8+WEEKDAY($A$3,2)-1)/7)+1,MOD(8+WEEKDAY($A$3,2)-1,7)+1)&amp;""="","","BDO")&lt;&gt;"",IF(INDEX('SDO Plan'!$A$57:$G$67,2*INT((8+WEEKDAY($A$3,2)-1)/7)+1,MOD(8+WEEKDAY($A$3,2)-1,7)+1)&amp;""="","","SDO")&lt;&gt;""),"BDO+SDO",IF(INDEX('BDO Plan'!$A$57:$G$67,2*INT((8+WEEKDAY($A$3,2)-1)/7)+1,MOD(8+WEEKDAY($A$3,2)-1,7)+1)&amp;""="","","BDO")&amp;IF(INDEX('SDO Plan'!$A$57:$G$67,2*INT((8+WEEKDAY($A$3,2)-1)/7)+1,MOD(8+WEEKDAY($A$3,2)-1,7)+1)&amp;""="","","SDO")))</f>
        <v/>
      </c>
      <c r="M25" s="202">
        <f>IF(M$5="","",IF(AND(IF(INDEX('BDO Plan'!$A$57:$G$67,2*INT((9+WEEKDAY($A$3,2)-1)/7)+1,MOD(9+WEEKDAY($A$3,2)-1,7)+1)&amp;""="","","BDO")&lt;&gt;"",IF(INDEX('SDO Plan'!$A$57:$G$67,2*INT((9+WEEKDAY($A$3,2)-1)/7)+1,MOD(9+WEEKDAY($A$3,2)-1,7)+1)&amp;""="","","SDO")&lt;&gt;""),"BDO+SDO",IF(INDEX('BDO Plan'!$A$57:$G$67,2*INT((9+WEEKDAY($A$3,2)-1)/7)+1,MOD(9+WEEKDAY($A$3,2)-1,7)+1)&amp;""="","","BDO")&amp;IF(INDEX('SDO Plan'!$A$57:$G$67,2*INT((9+WEEKDAY($A$3,2)-1)/7)+1,MOD(9+WEEKDAY($A$3,2)-1,7)+1)&amp;""="","","SDO")))</f>
        <v/>
      </c>
      <c r="N25" s="202">
        <f>IF(N$5="","",IF(AND(IF(INDEX('BDO Plan'!$A$57:$G$67,2*INT((10+WEEKDAY($A$3,2)-1)/7)+1,MOD(10+WEEKDAY($A$3,2)-1,7)+1)&amp;""="","","BDO")&lt;&gt;"",IF(INDEX('SDO Plan'!$A$57:$G$67,2*INT((10+WEEKDAY($A$3,2)-1)/7)+1,MOD(10+WEEKDAY($A$3,2)-1,7)+1)&amp;""="","","SDO")&lt;&gt;""),"BDO+SDO",IF(INDEX('BDO Plan'!$A$57:$G$67,2*INT((10+WEEKDAY($A$3,2)-1)/7)+1,MOD(10+WEEKDAY($A$3,2)-1,7)+1)&amp;""="","","BDO")&amp;IF(INDEX('SDO Plan'!$A$57:$G$67,2*INT((10+WEEKDAY($A$3,2)-1)/7)+1,MOD(10+WEEKDAY($A$3,2)-1,7)+1)&amp;""="","","SDO")))</f>
        <v/>
      </c>
      <c r="O25" s="202">
        <f>IF(O$5="","",IF(AND(IF(INDEX('BDO Plan'!$A$57:$G$67,2*INT((11+WEEKDAY($A$3,2)-1)/7)+1,MOD(11+WEEKDAY($A$3,2)-1,7)+1)&amp;""="","","BDO")&lt;&gt;"",IF(INDEX('SDO Plan'!$A$57:$G$67,2*INT((11+WEEKDAY($A$3,2)-1)/7)+1,MOD(11+WEEKDAY($A$3,2)-1,7)+1)&amp;""="","","SDO")&lt;&gt;""),"BDO+SDO",IF(INDEX('BDO Plan'!$A$57:$G$67,2*INT((11+WEEKDAY($A$3,2)-1)/7)+1,MOD(11+WEEKDAY($A$3,2)-1,7)+1)&amp;""="","","BDO")&amp;IF(INDEX('SDO Plan'!$A$57:$G$67,2*INT((11+WEEKDAY($A$3,2)-1)/7)+1,MOD(11+WEEKDAY($A$3,2)-1,7)+1)&amp;""="","","SDO")))</f>
        <v/>
      </c>
      <c r="P25" s="202">
        <f>IF(P$5="","",IF(AND(IF(INDEX('BDO Plan'!$A$57:$G$67,2*INT((12+WEEKDAY($A$3,2)-1)/7)+1,MOD(12+WEEKDAY($A$3,2)-1,7)+1)&amp;""="","","BDO")&lt;&gt;"",IF(INDEX('SDO Plan'!$A$57:$G$67,2*INT((12+WEEKDAY($A$3,2)-1)/7)+1,MOD(12+WEEKDAY($A$3,2)-1,7)+1)&amp;""="","","SDO")&lt;&gt;""),"BDO+SDO",IF(INDEX('BDO Plan'!$A$57:$G$67,2*INT((12+WEEKDAY($A$3,2)-1)/7)+1,MOD(12+WEEKDAY($A$3,2)-1,7)+1)&amp;""="","","BDO")&amp;IF(INDEX('SDO Plan'!$A$57:$G$67,2*INT((12+WEEKDAY($A$3,2)-1)/7)+1,MOD(12+WEEKDAY($A$3,2)-1,7)+1)&amp;""="","","SDO")))</f>
        <v/>
      </c>
      <c r="Q25" s="202">
        <f>IF(Q$5="","",IF(AND(IF(INDEX('BDO Plan'!$A$57:$G$67,2*INT((13+WEEKDAY($A$3,2)-1)/7)+1,MOD(13+WEEKDAY($A$3,2)-1,7)+1)&amp;""="","","BDO")&lt;&gt;"",IF(INDEX('SDO Plan'!$A$57:$G$67,2*INT((13+WEEKDAY($A$3,2)-1)/7)+1,MOD(13+WEEKDAY($A$3,2)-1,7)+1)&amp;""="","","SDO")&lt;&gt;""),"BDO+SDO",IF(INDEX('BDO Plan'!$A$57:$G$67,2*INT((13+WEEKDAY($A$3,2)-1)/7)+1,MOD(13+WEEKDAY($A$3,2)-1,7)+1)&amp;""="","","BDO")&amp;IF(INDEX('SDO Plan'!$A$57:$G$67,2*INT((13+WEEKDAY($A$3,2)-1)/7)+1,MOD(13+WEEKDAY($A$3,2)-1,7)+1)&amp;""="","","SDO")))</f>
        <v/>
      </c>
      <c r="R25" s="202">
        <f>IF(R$5="","",IF(AND(IF(INDEX('BDO Plan'!$A$57:$G$67,2*INT((14+WEEKDAY($A$3,2)-1)/7)+1,MOD(14+WEEKDAY($A$3,2)-1,7)+1)&amp;""="","","BDO")&lt;&gt;"",IF(INDEX('SDO Plan'!$A$57:$G$67,2*INT((14+WEEKDAY($A$3,2)-1)/7)+1,MOD(14+WEEKDAY($A$3,2)-1,7)+1)&amp;""="","","SDO")&lt;&gt;""),"BDO+SDO",IF(INDEX('BDO Plan'!$A$57:$G$67,2*INT((14+WEEKDAY($A$3,2)-1)/7)+1,MOD(14+WEEKDAY($A$3,2)-1,7)+1)&amp;""="","","BDO")&amp;IF(INDEX('SDO Plan'!$A$57:$G$67,2*INT((14+WEEKDAY($A$3,2)-1)/7)+1,MOD(14+WEEKDAY($A$3,2)-1,7)+1)&amp;""="","","SDO")))</f>
        <v/>
      </c>
      <c r="S25" s="202">
        <f>IF(S$5="","",IF(AND(IF(INDEX('BDO Plan'!$A$57:$G$67,2*INT((15+WEEKDAY($A$3,2)-1)/7)+1,MOD(15+WEEKDAY($A$3,2)-1,7)+1)&amp;""="","","BDO")&lt;&gt;"",IF(INDEX('SDO Plan'!$A$57:$G$67,2*INT((15+WEEKDAY($A$3,2)-1)/7)+1,MOD(15+WEEKDAY($A$3,2)-1,7)+1)&amp;""="","","SDO")&lt;&gt;""),"BDO+SDO",IF(INDEX('BDO Plan'!$A$57:$G$67,2*INT((15+WEEKDAY($A$3,2)-1)/7)+1,MOD(15+WEEKDAY($A$3,2)-1,7)+1)&amp;""="","","BDO")&amp;IF(INDEX('SDO Plan'!$A$57:$G$67,2*INT((15+WEEKDAY($A$3,2)-1)/7)+1,MOD(15+WEEKDAY($A$3,2)-1,7)+1)&amp;""="","","SDO")))</f>
        <v/>
      </c>
      <c r="T25" s="202">
        <f>IF(T$5="","",IF(AND(IF(INDEX('BDO Plan'!$A$57:$G$67,2*INT((16+WEEKDAY($A$3,2)-1)/7)+1,MOD(16+WEEKDAY($A$3,2)-1,7)+1)&amp;""="","","BDO")&lt;&gt;"",IF(INDEX('SDO Plan'!$A$57:$G$67,2*INT((16+WEEKDAY($A$3,2)-1)/7)+1,MOD(16+WEEKDAY($A$3,2)-1,7)+1)&amp;""="","","SDO")&lt;&gt;""),"BDO+SDO",IF(INDEX('BDO Plan'!$A$57:$G$67,2*INT((16+WEEKDAY($A$3,2)-1)/7)+1,MOD(16+WEEKDAY($A$3,2)-1,7)+1)&amp;""="","","BDO")&amp;IF(INDEX('SDO Plan'!$A$57:$G$67,2*INT((16+WEEKDAY($A$3,2)-1)/7)+1,MOD(16+WEEKDAY($A$3,2)-1,7)+1)&amp;""="","","SDO")))</f>
        <v/>
      </c>
      <c r="U25" s="202">
        <f>IF(U$5="","",IF(AND(IF(INDEX('BDO Plan'!$A$57:$G$67,2*INT((17+WEEKDAY($A$3,2)-1)/7)+1,MOD(17+WEEKDAY($A$3,2)-1,7)+1)&amp;""="","","BDO")&lt;&gt;"",IF(INDEX('SDO Plan'!$A$57:$G$67,2*INT((17+WEEKDAY($A$3,2)-1)/7)+1,MOD(17+WEEKDAY($A$3,2)-1,7)+1)&amp;""="","","SDO")&lt;&gt;""),"BDO+SDO",IF(INDEX('BDO Plan'!$A$57:$G$67,2*INT((17+WEEKDAY($A$3,2)-1)/7)+1,MOD(17+WEEKDAY($A$3,2)-1,7)+1)&amp;""="","","BDO")&amp;IF(INDEX('SDO Plan'!$A$57:$G$67,2*INT((17+WEEKDAY($A$3,2)-1)/7)+1,MOD(17+WEEKDAY($A$3,2)-1,7)+1)&amp;""="","","SDO")))</f>
        <v/>
      </c>
      <c r="V25" s="202">
        <f>IF(V$5="","",IF(AND(IF(INDEX('BDO Plan'!$A$57:$G$67,2*INT((18+WEEKDAY($A$3,2)-1)/7)+1,MOD(18+WEEKDAY($A$3,2)-1,7)+1)&amp;""="","","BDO")&lt;&gt;"",IF(INDEX('SDO Plan'!$A$57:$G$67,2*INT((18+WEEKDAY($A$3,2)-1)/7)+1,MOD(18+WEEKDAY($A$3,2)-1,7)+1)&amp;""="","","SDO")&lt;&gt;""),"BDO+SDO",IF(INDEX('BDO Plan'!$A$57:$G$67,2*INT((18+WEEKDAY($A$3,2)-1)/7)+1,MOD(18+WEEKDAY($A$3,2)-1,7)+1)&amp;""="","","BDO")&amp;IF(INDEX('SDO Plan'!$A$57:$G$67,2*INT((18+WEEKDAY($A$3,2)-1)/7)+1,MOD(18+WEEKDAY($A$3,2)-1,7)+1)&amp;""="","","SDO")))</f>
        <v/>
      </c>
      <c r="W25" s="202">
        <f>IF(W$5="","",IF(AND(IF(INDEX('BDO Plan'!$A$57:$G$67,2*INT((19+WEEKDAY($A$3,2)-1)/7)+1,MOD(19+WEEKDAY($A$3,2)-1,7)+1)&amp;""="","","BDO")&lt;&gt;"",IF(INDEX('SDO Plan'!$A$57:$G$67,2*INT((19+WEEKDAY($A$3,2)-1)/7)+1,MOD(19+WEEKDAY($A$3,2)-1,7)+1)&amp;""="","","SDO")&lt;&gt;""),"BDO+SDO",IF(INDEX('BDO Plan'!$A$57:$G$67,2*INT((19+WEEKDAY($A$3,2)-1)/7)+1,MOD(19+WEEKDAY($A$3,2)-1,7)+1)&amp;""="","","BDO")&amp;IF(INDEX('SDO Plan'!$A$57:$G$67,2*INT((19+WEEKDAY($A$3,2)-1)/7)+1,MOD(19+WEEKDAY($A$3,2)-1,7)+1)&amp;""="","","SDO")))</f>
        <v/>
      </c>
      <c r="X25" s="202">
        <f>IF(X$5="","",IF(AND(IF(INDEX('BDO Plan'!$A$57:$G$67,2*INT((20+WEEKDAY($A$3,2)-1)/7)+1,MOD(20+WEEKDAY($A$3,2)-1,7)+1)&amp;""="","","BDO")&lt;&gt;"",IF(INDEX('SDO Plan'!$A$57:$G$67,2*INT((20+WEEKDAY($A$3,2)-1)/7)+1,MOD(20+WEEKDAY($A$3,2)-1,7)+1)&amp;""="","","SDO")&lt;&gt;""),"BDO+SDO",IF(INDEX('BDO Plan'!$A$57:$G$67,2*INT((20+WEEKDAY($A$3,2)-1)/7)+1,MOD(20+WEEKDAY($A$3,2)-1,7)+1)&amp;""="","","BDO")&amp;IF(INDEX('SDO Plan'!$A$57:$G$67,2*INT((20+WEEKDAY($A$3,2)-1)/7)+1,MOD(20+WEEKDAY($A$3,2)-1,7)+1)&amp;""="","","SDO")))</f>
        <v/>
      </c>
      <c r="Y25" s="202">
        <f>IF(Y$5="","",IF(AND(IF(INDEX('BDO Plan'!$A$57:$G$67,2*INT((21+WEEKDAY($A$3,2)-1)/7)+1,MOD(21+WEEKDAY($A$3,2)-1,7)+1)&amp;""="","","BDO")&lt;&gt;"",IF(INDEX('SDO Plan'!$A$57:$G$67,2*INT((21+WEEKDAY($A$3,2)-1)/7)+1,MOD(21+WEEKDAY($A$3,2)-1,7)+1)&amp;""="","","SDO")&lt;&gt;""),"BDO+SDO",IF(INDEX('BDO Plan'!$A$57:$G$67,2*INT((21+WEEKDAY($A$3,2)-1)/7)+1,MOD(21+WEEKDAY($A$3,2)-1,7)+1)&amp;""="","","BDO")&amp;IF(INDEX('SDO Plan'!$A$57:$G$67,2*INT((21+WEEKDAY($A$3,2)-1)/7)+1,MOD(21+WEEKDAY($A$3,2)-1,7)+1)&amp;""="","","SDO")))</f>
        <v/>
      </c>
      <c r="Z25" s="202">
        <f>IF(Z$5="","",IF(AND(IF(INDEX('BDO Plan'!$A$57:$G$67,2*INT((22+WEEKDAY($A$3,2)-1)/7)+1,MOD(22+WEEKDAY($A$3,2)-1,7)+1)&amp;""="","","BDO")&lt;&gt;"",IF(INDEX('SDO Plan'!$A$57:$G$67,2*INT((22+WEEKDAY($A$3,2)-1)/7)+1,MOD(22+WEEKDAY($A$3,2)-1,7)+1)&amp;""="","","SDO")&lt;&gt;""),"BDO+SDO",IF(INDEX('BDO Plan'!$A$57:$G$67,2*INT((22+WEEKDAY($A$3,2)-1)/7)+1,MOD(22+WEEKDAY($A$3,2)-1,7)+1)&amp;""="","","BDO")&amp;IF(INDEX('SDO Plan'!$A$57:$G$67,2*INT((22+WEEKDAY($A$3,2)-1)/7)+1,MOD(22+WEEKDAY($A$3,2)-1,7)+1)&amp;""="","","SDO")))</f>
        <v/>
      </c>
      <c r="AA25" s="202">
        <f>IF(AA$5="","",IF(AND(IF(INDEX('BDO Plan'!$A$57:$G$67,2*INT((23+WEEKDAY($A$3,2)-1)/7)+1,MOD(23+WEEKDAY($A$3,2)-1,7)+1)&amp;""="","","BDO")&lt;&gt;"",IF(INDEX('SDO Plan'!$A$57:$G$67,2*INT((23+WEEKDAY($A$3,2)-1)/7)+1,MOD(23+WEEKDAY($A$3,2)-1,7)+1)&amp;""="","","SDO")&lt;&gt;""),"BDO+SDO",IF(INDEX('BDO Plan'!$A$57:$G$67,2*INT((23+WEEKDAY($A$3,2)-1)/7)+1,MOD(23+WEEKDAY($A$3,2)-1,7)+1)&amp;""="","","BDO")&amp;IF(INDEX('SDO Plan'!$A$57:$G$67,2*INT((23+WEEKDAY($A$3,2)-1)/7)+1,MOD(23+WEEKDAY($A$3,2)-1,7)+1)&amp;""="","","SDO")))</f>
        <v/>
      </c>
      <c r="AB25" s="202">
        <f>IF(AB$5="","",IF(AND(IF(INDEX('BDO Plan'!$A$57:$G$67,2*INT((24+WEEKDAY($A$3,2)-1)/7)+1,MOD(24+WEEKDAY($A$3,2)-1,7)+1)&amp;""="","","BDO")&lt;&gt;"",IF(INDEX('SDO Plan'!$A$57:$G$67,2*INT((24+WEEKDAY($A$3,2)-1)/7)+1,MOD(24+WEEKDAY($A$3,2)-1,7)+1)&amp;""="","","SDO")&lt;&gt;""),"BDO+SDO",IF(INDEX('BDO Plan'!$A$57:$G$67,2*INT((24+WEEKDAY($A$3,2)-1)/7)+1,MOD(24+WEEKDAY($A$3,2)-1,7)+1)&amp;""="","","BDO")&amp;IF(INDEX('SDO Plan'!$A$57:$G$67,2*INT((24+WEEKDAY($A$3,2)-1)/7)+1,MOD(24+WEEKDAY($A$3,2)-1,7)+1)&amp;""="","","SDO")))</f>
        <v/>
      </c>
      <c r="AC25" s="202">
        <f>IF(AC$5="","",IF(AND(IF(INDEX('BDO Plan'!$A$57:$G$67,2*INT((25+WEEKDAY($A$3,2)-1)/7)+1,MOD(25+WEEKDAY($A$3,2)-1,7)+1)&amp;""="","","BDO")&lt;&gt;"",IF(INDEX('SDO Plan'!$A$57:$G$67,2*INT((25+WEEKDAY($A$3,2)-1)/7)+1,MOD(25+WEEKDAY($A$3,2)-1,7)+1)&amp;""="","","SDO")&lt;&gt;""),"BDO+SDO",IF(INDEX('BDO Plan'!$A$57:$G$67,2*INT((25+WEEKDAY($A$3,2)-1)/7)+1,MOD(25+WEEKDAY($A$3,2)-1,7)+1)&amp;""="","","BDO")&amp;IF(INDEX('SDO Plan'!$A$57:$G$67,2*INT((25+WEEKDAY($A$3,2)-1)/7)+1,MOD(25+WEEKDAY($A$3,2)-1,7)+1)&amp;""="","","SDO")))</f>
        <v/>
      </c>
      <c r="AD25" s="202">
        <f>IF(AD$5="","",IF(AND(IF(INDEX('BDO Plan'!$A$57:$G$67,2*INT((26+WEEKDAY($A$3,2)-1)/7)+1,MOD(26+WEEKDAY($A$3,2)-1,7)+1)&amp;""="","","BDO")&lt;&gt;"",IF(INDEX('SDO Plan'!$A$57:$G$67,2*INT((26+WEEKDAY($A$3,2)-1)/7)+1,MOD(26+WEEKDAY($A$3,2)-1,7)+1)&amp;""="","","SDO")&lt;&gt;""),"BDO+SDO",IF(INDEX('BDO Plan'!$A$57:$G$67,2*INT((26+WEEKDAY($A$3,2)-1)/7)+1,MOD(26+WEEKDAY($A$3,2)-1,7)+1)&amp;""="","","BDO")&amp;IF(INDEX('SDO Plan'!$A$57:$G$67,2*INT((26+WEEKDAY($A$3,2)-1)/7)+1,MOD(26+WEEKDAY($A$3,2)-1,7)+1)&amp;""="","","SDO")))</f>
        <v/>
      </c>
      <c r="AE25" s="202">
        <f>IF(AE$5="","",IF(AND(IF(INDEX('BDO Plan'!$A$57:$G$67,2*INT((27+WEEKDAY($A$3,2)-1)/7)+1,MOD(27+WEEKDAY($A$3,2)-1,7)+1)&amp;""="","","BDO")&lt;&gt;"",IF(INDEX('SDO Plan'!$A$57:$G$67,2*INT((27+WEEKDAY($A$3,2)-1)/7)+1,MOD(27+WEEKDAY($A$3,2)-1,7)+1)&amp;""="","","SDO")&lt;&gt;""),"BDO+SDO",IF(INDEX('BDO Plan'!$A$57:$G$67,2*INT((27+WEEKDAY($A$3,2)-1)/7)+1,MOD(27+WEEKDAY($A$3,2)-1,7)+1)&amp;""="","","BDO")&amp;IF(INDEX('SDO Plan'!$A$57:$G$67,2*INT((27+WEEKDAY($A$3,2)-1)/7)+1,MOD(27+WEEKDAY($A$3,2)-1,7)+1)&amp;""="","","SDO")))</f>
        <v/>
      </c>
      <c r="AF25" s="202">
        <f>IF(AF$5="","",IF(AND(IF(INDEX('BDO Plan'!$A$57:$G$67,2*INT((28+WEEKDAY($A$3,2)-1)/7)+1,MOD(28+WEEKDAY($A$3,2)-1,7)+1)&amp;""="","","BDO")&lt;&gt;"",IF(INDEX('SDO Plan'!$A$57:$G$67,2*INT((28+WEEKDAY($A$3,2)-1)/7)+1,MOD(28+WEEKDAY($A$3,2)-1,7)+1)&amp;""="","","SDO")&lt;&gt;""),"BDO+SDO",IF(INDEX('BDO Plan'!$A$57:$G$67,2*INT((28+WEEKDAY($A$3,2)-1)/7)+1,MOD(28+WEEKDAY($A$3,2)-1,7)+1)&amp;""="","","BDO")&amp;IF(INDEX('SDO Plan'!$A$57:$G$67,2*INT((28+WEEKDAY($A$3,2)-1)/7)+1,MOD(28+WEEKDAY($A$3,2)-1,7)+1)&amp;""="","","SDO")))</f>
        <v/>
      </c>
      <c r="AG25" s="202">
        <f>IF(AG$5="","",IF(AND(IF(INDEX('BDO Plan'!$A$57:$G$67,2*INT((29+WEEKDAY($A$3,2)-1)/7)+1,MOD(29+WEEKDAY($A$3,2)-1,7)+1)&amp;""="","","BDO")&lt;&gt;"",IF(INDEX('SDO Plan'!$A$57:$G$67,2*INT((29+WEEKDAY($A$3,2)-1)/7)+1,MOD(29+WEEKDAY($A$3,2)-1,7)+1)&amp;""="","","SDO")&lt;&gt;""),"BDO+SDO",IF(INDEX('BDO Plan'!$A$57:$G$67,2*INT((29+WEEKDAY($A$3,2)-1)/7)+1,MOD(29+WEEKDAY($A$3,2)-1,7)+1)&amp;""="","","BDO")&amp;IF(INDEX('SDO Plan'!$A$57:$G$67,2*INT((29+WEEKDAY($A$3,2)-1)/7)+1,MOD(29+WEEKDAY($A$3,2)-1,7)+1)&amp;""="","","SDO")))</f>
        <v/>
      </c>
      <c r="AH25" s="202">
        <f>IF(AH$5="","",IF(AND(IF(INDEX('BDO Plan'!$A$57:$G$67,2*INT((30+WEEKDAY($A$3,2)-1)/7)+1,MOD(30+WEEKDAY($A$3,2)-1,7)+1)&amp;""="","","BDO")&lt;&gt;"",IF(INDEX('SDO Plan'!$A$57:$G$67,2*INT((30+WEEKDAY($A$3,2)-1)/7)+1,MOD(30+WEEKDAY($A$3,2)-1,7)+1)&amp;""="","","SDO")&lt;&gt;""),"BDO+SDO",IF(INDEX('BDO Plan'!$A$57:$G$67,2*INT((30+WEEKDAY($A$3,2)-1)/7)+1,MOD(30+WEEKDAY($A$3,2)-1,7)+1)&amp;""="","","BDO")&amp;IF(INDEX('SDO Plan'!$A$57:$G$67,2*INT((30+WEEKDAY($A$3,2)-1)/7)+1,MOD(30+WEEKDAY($A$3,2)-1,7)+1)&amp;""="","","SDO")))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inlineStr">
        <is>
          <t>FLT-1.5</t>
        </is>
      </c>
      <c r="F27" s="209" t="n"/>
      <c r="G27" s="209" t="n"/>
      <c r="H27" s="209" t="inlineStr">
        <is>
          <t>SDO</t>
        </is>
      </c>
      <c r="I27" s="209" t="n"/>
      <c r="J27" s="209" t="inlineStr">
        <is>
          <t>SDO</t>
        </is>
      </c>
      <c r="K27" s="209" t="n"/>
      <c r="L27" s="209" t="inlineStr">
        <is>
          <t>SDO</t>
        </is>
      </c>
      <c r="M27" s="209" t="n"/>
      <c r="N27" s="209" t="n"/>
      <c r="O27" s="209" t="n"/>
      <c r="P27" s="209" t="n"/>
      <c r="Q27" s="209" t="n"/>
      <c r="R27" s="209" t="n"/>
      <c r="S27" s="209" t="n"/>
      <c r="T27" s="209" t="n"/>
      <c r="U27" s="209" t="n"/>
      <c r="V27" s="209" t="n"/>
      <c r="W27" s="209" t="n"/>
      <c r="X27" s="209" t="inlineStr">
        <is>
          <t>FLT-1.5</t>
        </is>
      </c>
      <c r="Y27" s="209" t="inlineStr">
        <is>
          <t>SDO</t>
        </is>
      </c>
      <c r="Z27" s="209" t="n"/>
      <c r="AA27" s="209" t="n"/>
      <c r="AB27" s="209" t="inlineStr">
        <is>
          <t>LL</t>
        </is>
      </c>
      <c r="AC27" s="209" t="inlineStr">
        <is>
          <t>LL</t>
        </is>
      </c>
      <c r="AD27" s="209" t="inlineStr">
        <is>
          <t>LL</t>
        </is>
      </c>
      <c r="AE27" s="209" t="n"/>
      <c r="AF27" s="209" t="inlineStr">
        <is>
          <t>FLT-2.0</t>
        </is>
      </c>
      <c r="AG27" s="209" t="inlineStr">
        <is>
          <t>FLT-2.0</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inlineStr">
        <is>
          <t>P1</t>
        </is>
      </c>
      <c r="P28" s="215" t="inlineStr">
        <is>
          <t>SIM</t>
        </is>
      </c>
      <c r="Q28" s="215" t="n"/>
      <c r="R28" s="215" t="n"/>
      <c r="S28" s="215" t="n"/>
      <c r="T28" s="215" t="n"/>
      <c r="U28" s="215" t="n"/>
      <c r="V28" s="215" t="n"/>
      <c r="W28" s="215" t="n"/>
      <c r="X28" s="215" t="n"/>
      <c r="Y28" s="215" t="n"/>
      <c r="Z28" s="215" t="n"/>
      <c r="AA28" s="215" t="n"/>
      <c r="AB28" s="215" t="inlineStr">
        <is>
          <t>LL</t>
        </is>
      </c>
      <c r="AC28" s="215" t="inlineStr">
        <is>
          <t>LL</t>
        </is>
      </c>
      <c r="AD28" s="215" t="inlineStr">
        <is>
          <t>LL</t>
        </is>
      </c>
      <c r="AE28" s="215" t="inlineStr">
        <is>
          <t>FLT-2.0</t>
        </is>
      </c>
      <c r="AF28" s="215" t="inlineStr">
        <is>
          <t>SIM</t>
        </is>
      </c>
      <c r="AG28" s="215" t="inlineStr">
        <is>
          <t>SIM</t>
        </is>
      </c>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inlineStr">
        <is>
          <t>LL</t>
        </is>
      </c>
      <c r="AC29" s="215" t="inlineStr">
        <is>
          <t>LL</t>
        </is>
      </c>
      <c r="AD29" s="215" t="inlineStr">
        <is>
          <t>LL</t>
        </is>
      </c>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inlineStr">
        <is>
          <t>FLT-2.0</t>
        </is>
      </c>
      <c r="F31" s="226" t="n"/>
      <c r="G31" s="226" t="n"/>
      <c r="H31" s="226" t="n"/>
      <c r="I31" s="226" t="n"/>
      <c r="J31" s="226" t="n"/>
      <c r="K31" s="226" t="n"/>
      <c r="L31" s="226" t="n"/>
      <c r="M31" s="226" t="n"/>
      <c r="N31" s="226" t="n"/>
      <c r="O31" s="226" t="inlineStr">
        <is>
          <t>Meeting</t>
        </is>
      </c>
      <c r="P31" s="226" t="n"/>
      <c r="Q31" s="226" t="n"/>
      <c r="R31" s="226" t="n"/>
      <c r="S31" s="226" t="n"/>
      <c r="T31" s="226" t="n"/>
      <c r="U31" s="226" t="n"/>
      <c r="V31" s="226" t="n"/>
      <c r="W31" s="226" t="n"/>
      <c r="X31" s="226" t="inlineStr">
        <is>
          <t>FLT-2.0</t>
        </is>
      </c>
      <c r="Y31" s="226" t="n"/>
      <c r="Z31" s="226" t="n"/>
      <c r="AA31" s="226" t="n"/>
      <c r="AB31" s="226" t="n"/>
      <c r="AC31" s="226" t="inlineStr">
        <is>
          <t>FLT-2.0</t>
        </is>
      </c>
      <c r="AD31" s="226" t="inlineStr">
        <is>
          <t>Medical Appt</t>
        </is>
      </c>
      <c r="AE31" s="226" t="n"/>
      <c r="AF31" s="226" t="inlineStr">
        <is>
          <t>LL</t>
        </is>
      </c>
      <c r="AG31" s="226" t="inlineStr">
        <is>
          <t>LL</t>
        </is>
      </c>
      <c r="AH31" s="226" t="inlineStr">
        <is>
          <t>LL</t>
        </is>
      </c>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inlineStr">
        <is>
          <t>FLT-1.5</t>
        </is>
      </c>
      <c r="AA32" s="231" t="n"/>
      <c r="AB32" s="231" t="n"/>
      <c r="AC32" s="231" t="n"/>
      <c r="AD32" s="231" t="inlineStr">
        <is>
          <t>Medical Appt</t>
        </is>
      </c>
      <c r="AE32" s="231" t="inlineStr">
        <is>
          <t>P1</t>
        </is>
      </c>
      <c r="AF32" s="231" t="inlineStr">
        <is>
          <t>LL</t>
        </is>
      </c>
      <c r="AG32" s="231" t="inlineStr">
        <is>
          <t>LL</t>
        </is>
      </c>
      <c r="AH32" s="231" t="inlineStr">
        <is>
          <t>LL</t>
        </is>
      </c>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inlineStr">
        <is>
          <t>Medical Appt</t>
        </is>
      </c>
      <c r="AE33" s="231" t="n"/>
      <c r="AF33" s="231" t="inlineStr">
        <is>
          <t>LL</t>
        </is>
      </c>
      <c r="AG33" s="231" t="inlineStr">
        <is>
          <t>LL</t>
        </is>
      </c>
      <c r="AH33" s="231" t="inlineStr">
        <is>
          <t>LL</t>
        </is>
      </c>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inlineStr">
        <is>
          <t>FLT-2.0</t>
        </is>
      </c>
      <c r="E35" s="209" t="n"/>
      <c r="F35" s="209" t="n"/>
      <c r="G35" s="209" t="n"/>
      <c r="H35" s="209" t="n"/>
      <c r="I35" s="209" t="n"/>
      <c r="J35" s="209" t="n"/>
      <c r="K35" s="209" t="n"/>
      <c r="L35" s="209" t="n"/>
      <c r="M35" s="209" t="n"/>
      <c r="N35" s="209" t="n"/>
      <c r="O35" s="209" t="n"/>
      <c r="P35" s="209" t="n"/>
      <c r="Q35" s="209" t="inlineStr">
        <is>
          <t>FLT-1.5</t>
        </is>
      </c>
      <c r="R35" s="209" t="n"/>
      <c r="S35" s="209" t="inlineStr">
        <is>
          <t>SDO</t>
        </is>
      </c>
      <c r="T35" s="209" t="n"/>
      <c r="U35" s="209" t="n"/>
      <c r="V35" s="209" t="n"/>
      <c r="W35" s="209" t="n"/>
      <c r="X35" s="209" t="n"/>
      <c r="Y35" s="209" t="n"/>
      <c r="Z35" s="209" t="n"/>
      <c r="AA35" s="209" t="n"/>
      <c r="AB35" s="209" t="n"/>
      <c r="AC35" s="209" t="inlineStr">
        <is>
          <t>FLT-1.5</t>
        </is>
      </c>
      <c r="AD35" s="209" t="n"/>
      <c r="AE35" s="209" t="inlineStr">
        <is>
          <t>SDO</t>
        </is>
      </c>
      <c r="AF35" s="209" t="inlineStr">
        <is>
          <t>Meeting</t>
        </is>
      </c>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inlineStr">
        <is>
          <t>FLT-3.0</t>
        </is>
      </c>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inlineStr">
        <is>
          <t>NVG-2.0</t>
        </is>
      </c>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inlineStr">
        <is>
          <t>NVG-2.0</t>
        </is>
      </c>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inlineStr">
        <is>
          <t>FLT-2.0</t>
        </is>
      </c>
      <c r="K39" s="226" t="n"/>
      <c r="L39" s="226" t="n"/>
      <c r="M39" s="226" t="n"/>
      <c r="N39" s="226" t="n"/>
      <c r="O39" s="226" t="n"/>
      <c r="P39" s="226" t="n"/>
      <c r="Q39" s="226" t="n"/>
      <c r="R39" s="226" t="n"/>
      <c r="S39" s="226" t="n"/>
      <c r="T39" s="226" t="n"/>
      <c r="U39" s="226" t="n"/>
      <c r="V39" s="226" t="inlineStr">
        <is>
          <t>SDO</t>
        </is>
      </c>
      <c r="W39" s="226" t="n"/>
      <c r="X39" s="226" t="n"/>
      <c r="Y39" s="226" t="n"/>
      <c r="Z39" s="226" t="inlineStr">
        <is>
          <t>FLT-2.0</t>
        </is>
      </c>
      <c r="AA39" s="226" t="n"/>
      <c r="AB39" s="226" t="n"/>
      <c r="AC39" s="226" t="n"/>
      <c r="AD39" s="226" t="n"/>
      <c r="AE39" s="226" t="inlineStr">
        <is>
          <t>Outstation</t>
        </is>
      </c>
      <c r="AF39" s="226" t="n"/>
      <c r="AG39" s="226" t="inlineStr">
        <is>
          <t>FLT-2.0</t>
        </is>
      </c>
      <c r="AH39" s="226" t="inlineStr">
        <is>
          <t>SDO</t>
        </is>
      </c>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inlineStr">
        <is>
          <t>FLT-2.0</t>
        </is>
      </c>
      <c r="E40" s="231" t="inlineStr">
        <is>
          <t>FLT-2.0</t>
        </is>
      </c>
      <c r="F40" s="231" t="n"/>
      <c r="G40" s="231" t="n"/>
      <c r="H40" s="231" t="n"/>
      <c r="I40" s="231" t="n"/>
      <c r="J40" s="231" t="n"/>
      <c r="K40" s="231" t="n"/>
      <c r="L40" s="231" t="n"/>
      <c r="M40" s="231" t="n"/>
      <c r="N40" s="231" t="n"/>
      <c r="O40" s="231" t="inlineStr">
        <is>
          <t>FLT-1.5</t>
        </is>
      </c>
      <c r="P40" s="231" t="n"/>
      <c r="Q40" s="231" t="n"/>
      <c r="R40" s="231" t="n"/>
      <c r="S40" s="231" t="inlineStr">
        <is>
          <t>SIM</t>
        </is>
      </c>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inlineStr">
        <is>
          <t>NVG-2.0</t>
        </is>
      </c>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inlineStr">
        <is>
          <t>FLT-2.0</t>
        </is>
      </c>
      <c r="I43" s="209" t="n"/>
      <c r="J43" s="209" t="n"/>
      <c r="K43" s="209" t="n"/>
      <c r="L43" s="209" t="n"/>
      <c r="M43" s="209" t="n"/>
      <c r="N43" s="209" t="n"/>
      <c r="O43" s="209" t="inlineStr">
        <is>
          <t>FLT-2.0</t>
        </is>
      </c>
      <c r="P43" s="209" t="inlineStr">
        <is>
          <t>SDO</t>
        </is>
      </c>
      <c r="Q43" s="209" t="n"/>
      <c r="R43" s="209" t="n"/>
      <c r="S43" s="209" t="n"/>
      <c r="T43" s="209" t="n"/>
      <c r="U43" s="209" t="n"/>
      <c r="V43" s="209" t="n"/>
      <c r="W43" s="209" t="n"/>
      <c r="X43" s="209" t="n"/>
      <c r="Y43" s="209" t="n"/>
      <c r="Z43" s="209" t="inlineStr">
        <is>
          <t>FLT-1.5</t>
        </is>
      </c>
      <c r="AA43" s="209" t="n"/>
      <c r="AB43" s="209" t="inlineStr">
        <is>
          <t>SDO</t>
        </is>
      </c>
      <c r="AC43" s="209" t="n"/>
      <c r="AD43" s="209" t="inlineStr">
        <is>
          <t>FLT-1.5</t>
        </is>
      </c>
      <c r="AE43" s="209" t="inlineStr">
        <is>
          <t>OL</t>
        </is>
      </c>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inlineStr">
        <is>
          <t>FLT-1.5</t>
        </is>
      </c>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inlineStr">
        <is>
          <t>SIM</t>
        </is>
      </c>
      <c r="Z44" s="215" t="inlineStr">
        <is>
          <t>SIM</t>
        </is>
      </c>
      <c r="AA44" s="215" t="n"/>
      <c r="AB44" s="215" t="n"/>
      <c r="AC44" s="215" t="inlineStr">
        <is>
          <t>SIM</t>
        </is>
      </c>
      <c r="AD44" s="215" t="n"/>
      <c r="AE44" s="215" t="inlineStr">
        <is>
          <t>OL</t>
        </is>
      </c>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inlineStr">
        <is>
          <t>P2</t>
        </is>
      </c>
      <c r="Z45" s="215" t="n"/>
      <c r="AA45" s="215" t="n"/>
      <c r="AB45" s="215" t="n"/>
      <c r="AC45" s="215" t="n"/>
      <c r="AD45" s="215" t="n"/>
      <c r="AE45" s="215" t="inlineStr">
        <is>
          <t>OL</t>
        </is>
      </c>
      <c r="AF45" s="215" t="inlineStr">
        <is>
          <t>NVG-2.0</t>
        </is>
      </c>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inlineStr">
        <is>
          <t>P2</t>
        </is>
      </c>
      <c r="G47" s="226" t="n"/>
      <c r="H47" s="226" t="n"/>
      <c r="I47" s="226" t="n"/>
      <c r="J47" s="226" t="n"/>
      <c r="K47" s="226" t="n"/>
      <c r="L47" s="226" t="n"/>
      <c r="M47" s="226" t="n"/>
      <c r="N47" s="226" t="n"/>
      <c r="O47" s="226" t="n"/>
      <c r="P47" s="226" t="n"/>
      <c r="Q47" s="226" t="inlineStr">
        <is>
          <t>FLT-1.5</t>
        </is>
      </c>
      <c r="R47" s="226" t="n"/>
      <c r="S47" s="226" t="n"/>
      <c r="T47" s="226" t="n"/>
      <c r="U47" s="226" t="n"/>
      <c r="V47" s="226" t="n"/>
      <c r="W47" s="226" t="n"/>
      <c r="X47" s="226" t="n"/>
      <c r="Y47" s="226" t="inlineStr">
        <is>
          <t>FLT-3.0</t>
        </is>
      </c>
      <c r="Z47" s="226" t="n"/>
      <c r="AA47" s="226" t="n"/>
      <c r="AB47" s="226" t="n"/>
      <c r="AC47" s="226" t="n"/>
      <c r="AD47" s="226" t="inlineStr">
        <is>
          <t>FLT-2.0</t>
        </is>
      </c>
      <c r="AE47" s="226" t="n"/>
      <c r="AF47" s="226" t="inlineStr">
        <is>
          <t>FLT-1.5</t>
        </is>
      </c>
      <c r="AG47" s="226" t="inlineStr">
        <is>
          <t>OIL</t>
        </is>
      </c>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inlineStr">
        <is>
          <t>SIM</t>
        </is>
      </c>
      <c r="AF48" s="231" t="n"/>
      <c r="AG48" s="231" t="inlineStr">
        <is>
          <t>OIL</t>
        </is>
      </c>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inlineStr">
        <is>
          <t>NVG-2.0</t>
        </is>
      </c>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inlineStr">
        <is>
          <t>P2</t>
        </is>
      </c>
      <c r="AE49" s="231" t="n"/>
      <c r="AF49" s="231" t="inlineStr">
        <is>
          <t>P2</t>
        </is>
      </c>
      <c r="AG49" s="231" t="inlineStr">
        <is>
          <t>OIL</t>
        </is>
      </c>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inlineStr">
        <is>
          <t>FLT-1.5</t>
        </is>
      </c>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inlineStr">
        <is>
          <t>FLT-3.0</t>
        </is>
      </c>
      <c r="F6" s="170" t="inlineStr">
        <is>
          <t>FLT-2.0</t>
        </is>
      </c>
      <c r="G6" s="170" t="inlineStr">
        <is>
          <t>FLT-2.0</t>
        </is>
      </c>
      <c r="H6" s="170" t="n"/>
      <c r="I6" s="170" t="inlineStr">
        <is>
          <t>FLT-2.0</t>
        </is>
      </c>
      <c r="J6" s="170" t="n"/>
      <c r="K6" s="170" t="n"/>
      <c r="L6" s="170" t="n"/>
      <c r="M6" s="170" t="inlineStr">
        <is>
          <t>FLT-2.0</t>
        </is>
      </c>
      <c r="N6" s="170" t="inlineStr">
        <is>
          <t>FLT-2.0</t>
        </is>
      </c>
      <c r="O6" s="170" t="inlineStr">
        <is>
          <t>FLT-2.0</t>
        </is>
      </c>
      <c r="P6" s="170" t="inlineStr">
        <is>
          <t>FLT-2.0</t>
        </is>
      </c>
      <c r="Q6" s="170" t="n"/>
      <c r="R6" s="170" t="n"/>
      <c r="S6" s="170" t="inlineStr">
        <is>
          <t>FLT-2.0</t>
        </is>
      </c>
      <c r="T6" s="170" t="inlineStr">
        <is>
          <t>FLT-3.0</t>
        </is>
      </c>
      <c r="U6" s="170" t="inlineStr">
        <is>
          <t>FLT-2.0</t>
        </is>
      </c>
      <c r="V6" s="170" t="inlineStr">
        <is>
          <t>FLT-3.0</t>
        </is>
      </c>
      <c r="W6" s="170" t="inlineStr">
        <is>
          <t>FLT-2.0</t>
        </is>
      </c>
      <c r="X6" s="170" t="n"/>
      <c r="Y6" s="170" t="n"/>
      <c r="Z6" s="170" t="inlineStr">
        <is>
          <t>FLT-2.0</t>
        </is>
      </c>
      <c r="AA6" s="170" t="inlineStr">
        <is>
          <t>2xFLT-2.0</t>
        </is>
      </c>
      <c r="AB6" s="170" t="n"/>
      <c r="AC6" s="170" t="inlineStr">
        <is>
          <t>FLT-2.0</t>
        </is>
      </c>
      <c r="AD6" s="170" t="n"/>
      <c r="AE6" s="170" t="n"/>
      <c r="AF6" s="170" t="n"/>
      <c r="AG6" s="170" t="inlineStr">
        <is>
          <t>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inlineStr">
        <is>
          <t>0800-1100</t>
        </is>
      </c>
      <c r="F7" s="175" t="inlineStr">
        <is>
          <t>0830-1030</t>
        </is>
      </c>
      <c r="G7" s="175" t="inlineStr">
        <is>
          <t>0830-1030</t>
        </is>
      </c>
      <c r="H7" s="175" t="n"/>
      <c r="I7" s="175" t="inlineStr">
        <is>
          <t>0830-1030</t>
        </is>
      </c>
      <c r="J7" s="175" t="n"/>
      <c r="K7" s="175" t="n"/>
      <c r="L7" s="175" t="n"/>
      <c r="M7" s="175" t="inlineStr">
        <is>
          <t>0830-1030</t>
        </is>
      </c>
      <c r="N7" s="175" t="inlineStr">
        <is>
          <t>0830-1030</t>
        </is>
      </c>
      <c r="O7" s="175" t="inlineStr">
        <is>
          <t>0830-1030</t>
        </is>
      </c>
      <c r="P7" s="175" t="inlineStr">
        <is>
          <t>0830-1030</t>
        </is>
      </c>
      <c r="Q7" s="175" t="n"/>
      <c r="R7" s="175" t="n"/>
      <c r="S7" s="175" t="inlineStr">
        <is>
          <t>0830-1030</t>
        </is>
      </c>
      <c r="T7" s="175" t="inlineStr">
        <is>
          <t>0800-1100</t>
        </is>
      </c>
      <c r="U7" s="175" t="inlineStr">
        <is>
          <t>0830-1030</t>
        </is>
      </c>
      <c r="V7" s="175" t="inlineStr">
        <is>
          <t>0800-1100</t>
        </is>
      </c>
      <c r="W7" s="175" t="inlineStr">
        <is>
          <t>0830-1030</t>
        </is>
      </c>
      <c r="X7" s="175" t="n"/>
      <c r="Y7" s="175" t="n"/>
      <c r="Z7" s="175" t="inlineStr">
        <is>
          <t>0830-1030</t>
        </is>
      </c>
      <c r="AA7" s="175" t="inlineStr">
        <is>
          <t>0830-1030</t>
        </is>
      </c>
      <c r="AB7" s="175" t="n"/>
      <c r="AC7" s="175" t="inlineStr">
        <is>
          <t>0830-1030</t>
        </is>
      </c>
      <c r="AD7" s="175" t="n"/>
      <c r="AE7" s="175" t="n"/>
      <c r="AF7" s="175" t="n"/>
      <c r="AG7" s="175" t="inlineStr">
        <is>
          <t>0830-1030</t>
        </is>
      </c>
      <c r="AH7" s="175" t="n"/>
      <c r="AI7" s="176" t="n"/>
      <c r="AM7" s="177" t="n"/>
    </row>
    <row r="8" ht="15" customHeight="1">
      <c r="A8" s="178" t="n"/>
      <c r="B8" s="178" t="n"/>
      <c r="C8" s="178" t="n"/>
      <c r="D8" s="179" t="n"/>
      <c r="E8" s="179" t="n"/>
      <c r="F8" s="179" t="n"/>
      <c r="G8" s="179" t="n"/>
      <c r="H8" s="179" t="n"/>
      <c r="I8" s="179" t="n"/>
      <c r="J8" s="179" t="n"/>
      <c r="K8" s="179" t="n"/>
      <c r="L8" s="179" t="inlineStr">
        <is>
          <t>NO FLY: Public Holiday</t>
        </is>
      </c>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inlineStr">
        <is>
          <t>FLT-1.5</t>
        </is>
      </c>
      <c r="G9" s="182" t="inlineStr">
        <is>
          <t>FLT-1.5</t>
        </is>
      </c>
      <c r="H9" s="182" t="n"/>
      <c r="I9" s="182" t="inlineStr">
        <is>
          <t>FLT-1.5</t>
        </is>
      </c>
      <c r="J9" s="182" t="n"/>
      <c r="K9" s="182" t="n"/>
      <c r="L9" s="182" t="n"/>
      <c r="M9" s="182" t="inlineStr">
        <is>
          <t>FLT-1.5</t>
        </is>
      </c>
      <c r="N9" s="182" t="inlineStr">
        <is>
          <t>FLT-1.5</t>
        </is>
      </c>
      <c r="O9" s="182" t="n"/>
      <c r="P9" s="182" t="inlineStr">
        <is>
          <t>FLT-1.5</t>
        </is>
      </c>
      <c r="Q9" s="182" t="n"/>
      <c r="R9" s="182" t="n"/>
      <c r="S9" s="182" t="inlineStr">
        <is>
          <t>FLT-1.5</t>
        </is>
      </c>
      <c r="T9" s="182" t="n"/>
      <c r="U9" s="182" t="inlineStr">
        <is>
          <t>FLT-1.5</t>
        </is>
      </c>
      <c r="V9" s="182" t="n"/>
      <c r="W9" s="182" t="n"/>
      <c r="X9" s="182" t="n"/>
      <c r="Y9" s="182" t="n"/>
      <c r="Z9" s="182" t="inlineStr">
        <is>
          <t>FLT-1.5</t>
        </is>
      </c>
      <c r="AA9" s="182" t="n"/>
      <c r="AB9" s="182" t="n"/>
      <c r="AC9" s="182" t="inlineStr">
        <is>
          <t>FLT-1.5</t>
        </is>
      </c>
      <c r="AD9" s="182" t="n"/>
      <c r="AE9" s="182" t="n"/>
      <c r="AF9" s="182" t="n"/>
      <c r="AG9" s="182" t="inlineStr">
        <is>
          <t>FLT-1.5</t>
        </is>
      </c>
      <c r="AH9" s="182" t="n"/>
      <c r="AI9" s="176" t="n"/>
      <c r="AM9" s="177" t="n"/>
    </row>
    <row r="10" ht="15" customHeight="1">
      <c r="A10" s="174" t="n"/>
      <c r="B10" s="174" t="n"/>
      <c r="C10" s="174" t="n"/>
      <c r="D10" s="175" t="n"/>
      <c r="E10" s="175" t="n"/>
      <c r="F10" s="175" t="inlineStr">
        <is>
          <t>1000-1130</t>
        </is>
      </c>
      <c r="G10" s="175" t="inlineStr">
        <is>
          <t>1000-1130</t>
        </is>
      </c>
      <c r="H10" s="175" t="n"/>
      <c r="I10" s="175" t="inlineStr">
        <is>
          <t>1000-1130</t>
        </is>
      </c>
      <c r="J10" s="175" t="n"/>
      <c r="K10" s="175" t="n"/>
      <c r="L10" s="175" t="n"/>
      <c r="M10" s="175" t="inlineStr">
        <is>
          <t>1000-1130</t>
        </is>
      </c>
      <c r="N10" s="175" t="inlineStr">
        <is>
          <t>1000-1130</t>
        </is>
      </c>
      <c r="O10" s="175" t="n"/>
      <c r="P10" s="175" t="inlineStr">
        <is>
          <t>1000-1130</t>
        </is>
      </c>
      <c r="Q10" s="175" t="n"/>
      <c r="R10" s="175" t="n"/>
      <c r="S10" s="175" t="inlineStr">
        <is>
          <t>1000-1130</t>
        </is>
      </c>
      <c r="T10" s="175" t="n"/>
      <c r="U10" s="175" t="inlineStr">
        <is>
          <t>1000-1130</t>
        </is>
      </c>
      <c r="V10" s="175" t="n"/>
      <c r="W10" s="175" t="n"/>
      <c r="X10" s="175" t="n"/>
      <c r="Y10" s="175" t="n"/>
      <c r="Z10" s="175" t="inlineStr">
        <is>
          <t>1000-1130</t>
        </is>
      </c>
      <c r="AA10" s="175" t="n"/>
      <c r="AB10" s="175" t="n"/>
      <c r="AC10" s="175" t="inlineStr">
        <is>
          <t>1000-1130</t>
        </is>
      </c>
      <c r="AD10" s="175" t="n"/>
      <c r="AE10" s="175" t="n"/>
      <c r="AF10" s="175" t="n"/>
      <c r="AG10" s="175" t="inlineStr">
        <is>
          <t>1000-1130</t>
        </is>
      </c>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inlineStr">
        <is>
          <t>FLT-1.5</t>
        </is>
      </c>
      <c r="F12" s="170" t="n"/>
      <c r="G12" s="170" t="inlineStr">
        <is>
          <t>FLT-2.0</t>
        </is>
      </c>
      <c r="H12" s="170" t="inlineStr">
        <is>
          <t>FLT-1.5</t>
        </is>
      </c>
      <c r="I12" s="170" t="inlineStr">
        <is>
          <t>FLT-2.0</t>
        </is>
      </c>
      <c r="J12" s="170" t="n"/>
      <c r="K12" s="170" t="n"/>
      <c r="L12" s="170" t="n"/>
      <c r="M12" s="170" t="inlineStr">
        <is>
          <t>FLT-1.5</t>
        </is>
      </c>
      <c r="N12" s="170" t="inlineStr">
        <is>
          <t>FLT-2.0</t>
        </is>
      </c>
      <c r="O12" s="170" t="n"/>
      <c r="P12" s="170" t="inlineStr">
        <is>
          <t>FLT-2.0</t>
        </is>
      </c>
      <c r="Q12" s="170" t="n"/>
      <c r="R12" s="170" t="n"/>
      <c r="S12" s="170" t="inlineStr">
        <is>
          <t>FLT-2.0</t>
        </is>
      </c>
      <c r="T12" s="170" t="n"/>
      <c r="U12" s="170" t="inlineStr">
        <is>
          <t>FLT-2.0</t>
        </is>
      </c>
      <c r="V12" s="170" t="inlineStr">
        <is>
          <t>FLT-2.0</t>
        </is>
      </c>
      <c r="W12" s="170" t="inlineStr">
        <is>
          <t>FLT-1.5</t>
        </is>
      </c>
      <c r="X12" s="170" t="n"/>
      <c r="Y12" s="170" t="n"/>
      <c r="Z12" s="170" t="n"/>
      <c r="AA12" s="170" t="inlineStr">
        <is>
          <t>FLT-2.0</t>
        </is>
      </c>
      <c r="AB12" s="170" t="inlineStr">
        <is>
          <t>FLT-1.5</t>
        </is>
      </c>
      <c r="AC12" s="170" t="n"/>
      <c r="AD12" s="170" t="n"/>
      <c r="AE12" s="170" t="n"/>
      <c r="AF12" s="170" t="n"/>
      <c r="AG12" s="170" t="inlineStr">
        <is>
          <t>FLT-2.0</t>
        </is>
      </c>
      <c r="AH12" s="170" t="n"/>
      <c r="AI12" s="176" t="n"/>
      <c r="AM12" s="177" t="n"/>
    </row>
    <row r="13" ht="15" customHeight="1">
      <c r="A13" s="174" t="n"/>
      <c r="B13" s="174" t="n"/>
      <c r="C13" s="174" t="n"/>
      <c r="D13" s="175" t="n"/>
      <c r="E13" s="175" t="inlineStr">
        <is>
          <t>1430-1600</t>
        </is>
      </c>
      <c r="F13" s="175" t="n"/>
      <c r="G13" s="175" t="inlineStr">
        <is>
          <t>1400-1600</t>
        </is>
      </c>
      <c r="H13" s="175" t="inlineStr">
        <is>
          <t>1430-1600</t>
        </is>
      </c>
      <c r="I13" s="175" t="inlineStr">
        <is>
          <t>1400-1600</t>
        </is>
      </c>
      <c r="J13" s="175" t="n"/>
      <c r="K13" s="175" t="n"/>
      <c r="L13" s="175" t="n"/>
      <c r="M13" s="175" t="inlineStr">
        <is>
          <t>1430-1600</t>
        </is>
      </c>
      <c r="N13" s="175" t="inlineStr">
        <is>
          <t>1400-1600</t>
        </is>
      </c>
      <c r="O13" s="175" t="n"/>
      <c r="P13" s="175" t="inlineStr">
        <is>
          <t>1400-1600</t>
        </is>
      </c>
      <c r="Q13" s="175" t="n"/>
      <c r="R13" s="175" t="n"/>
      <c r="S13" s="175" t="inlineStr">
        <is>
          <t>1400-1600</t>
        </is>
      </c>
      <c r="T13" s="175" t="n"/>
      <c r="U13" s="175" t="inlineStr">
        <is>
          <t>1400-1600</t>
        </is>
      </c>
      <c r="V13" s="175" t="inlineStr">
        <is>
          <t>1400-1600</t>
        </is>
      </c>
      <c r="W13" s="175" t="inlineStr">
        <is>
          <t>1430-1600</t>
        </is>
      </c>
      <c r="X13" s="175" t="n"/>
      <c r="Y13" s="175" t="n"/>
      <c r="Z13" s="175" t="n"/>
      <c r="AA13" s="175" t="inlineStr">
        <is>
          <t>1500-1700</t>
        </is>
      </c>
      <c r="AB13" s="175" t="inlineStr">
        <is>
          <t>1430-1600</t>
        </is>
      </c>
      <c r="AC13" s="175" t="n"/>
      <c r="AD13" s="175" t="n"/>
      <c r="AE13" s="175" t="n"/>
      <c r="AF13" s="175" t="n"/>
      <c r="AG13" s="175" t="inlineStr">
        <is>
          <t>1400-1600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inlineStr">
        <is>
          <t>VIP familiarisation</t>
        </is>
      </c>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inlineStr">
        <is>
          <t>NVG-2.0</t>
        </is>
      </c>
      <c r="G18" s="170" t="n"/>
      <c r="H18" s="170" t="inlineStr">
        <is>
          <t>NVG-2.0</t>
        </is>
      </c>
      <c r="I18" s="170" t="n"/>
      <c r="J18" s="170" t="n"/>
      <c r="K18" s="170" t="n"/>
      <c r="L18" s="170" t="n"/>
      <c r="M18" s="170" t="inlineStr">
        <is>
          <t>NVG-2.0</t>
        </is>
      </c>
      <c r="N18" s="170" t="n"/>
      <c r="O18" s="170" t="inlineStr">
        <is>
          <t>NVG-2.0</t>
        </is>
      </c>
      <c r="P18" s="170" t="n"/>
      <c r="Q18" s="170" t="n"/>
      <c r="R18" s="170" t="n"/>
      <c r="S18" s="170" t="n"/>
      <c r="T18" s="170" t="inlineStr">
        <is>
          <t>NVG-2.0</t>
        </is>
      </c>
      <c r="U18" s="170" t="n"/>
      <c r="V18" s="170" t="inlineStr">
        <is>
          <t>NVG-2.0</t>
        </is>
      </c>
      <c r="W18" s="170" t="n"/>
      <c r="X18" s="170" t="n"/>
      <c r="Y18" s="170" t="n"/>
      <c r="Z18" s="170" t="n"/>
      <c r="AA18" s="170" t="inlineStr">
        <is>
          <t>NVG-2.0</t>
        </is>
      </c>
      <c r="AB18" s="170" t="n"/>
      <c r="AC18" s="170" t="inlineStr">
        <is>
          <t>NVG-2.0</t>
        </is>
      </c>
      <c r="AD18" s="170" t="n"/>
      <c r="AE18" s="170" t="n"/>
      <c r="AF18" s="170" t="n"/>
      <c r="AG18" s="170" t="n"/>
      <c r="AH18" s="170" t="n"/>
      <c r="AI18" s="176" t="n"/>
      <c r="AM18" s="177" t="n"/>
    </row>
    <row r="19" ht="15" customHeight="1">
      <c r="A19" s="174" t="n"/>
      <c r="B19" s="174" t="n"/>
      <c r="C19" s="174" t="n"/>
      <c r="D19" s="175" t="n"/>
      <c r="E19" s="175" t="n"/>
      <c r="F19" s="175" t="inlineStr">
        <is>
          <t>2000-2200</t>
        </is>
      </c>
      <c r="G19" s="175" t="n"/>
      <c r="H19" s="175" t="inlineStr">
        <is>
          <t>2000-2200</t>
        </is>
      </c>
      <c r="I19" s="175" t="n"/>
      <c r="J19" s="175" t="n"/>
      <c r="K19" s="175" t="n"/>
      <c r="L19" s="175" t="n"/>
      <c r="M19" s="175" t="inlineStr">
        <is>
          <t>2000-2200</t>
        </is>
      </c>
      <c r="N19" s="175" t="n"/>
      <c r="O19" s="175" t="inlineStr">
        <is>
          <t>2000-2200</t>
        </is>
      </c>
      <c r="P19" s="175" t="n"/>
      <c r="Q19" s="175" t="n"/>
      <c r="R19" s="175" t="n"/>
      <c r="S19" s="175" t="n"/>
      <c r="T19" s="175" t="inlineStr">
        <is>
          <t>2000-2200</t>
        </is>
      </c>
      <c r="U19" s="175" t="n"/>
      <c r="V19" s="175" t="inlineStr">
        <is>
          <t>2000-2200</t>
        </is>
      </c>
      <c r="W19" s="175" t="n"/>
      <c r="X19" s="175" t="n"/>
      <c r="Y19" s="175" t="n"/>
      <c r="Z19" s="175" t="n"/>
      <c r="AA19" s="175" t="inlineStr">
        <is>
          <t>2000-2200</t>
        </is>
      </c>
      <c r="AB19" s="175" t="n"/>
      <c r="AC19" s="175" t="inlineStr">
        <is>
          <t>2000-2200</t>
        </is>
      </c>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inlineStr">
        <is>
          <t>Safety Brief 0730-0800</t>
        </is>
      </c>
      <c r="F24" s="196" t="n"/>
      <c r="G24" s="196" t="n"/>
      <c r="H24" s="196" t="n"/>
      <c r="I24" s="196" t="n"/>
      <c r="J24" s="196" t="n"/>
      <c r="K24" s="196" t="n"/>
      <c r="L24" s="196" t="n"/>
      <c r="M24" s="196" t="n"/>
      <c r="N24" s="196" t="inlineStr">
        <is>
          <t>Ground School 0900-1200</t>
        </is>
      </c>
      <c r="O24" s="196" t="n"/>
      <c r="P24" s="196" t="n"/>
      <c r="Q24" s="196" t="n"/>
      <c r="R24" s="196" t="n"/>
      <c r="S24" s="196" t="n"/>
      <c r="T24" s="196" t="n"/>
      <c r="U24" s="196" t="inlineStr">
        <is>
          <t>Sqn Meeting 1500</t>
        </is>
      </c>
      <c r="V24" s="196" t="n"/>
      <c r="W24" s="196" t="n"/>
      <c r="X24" s="196" t="n"/>
      <c r="Y24" s="196" t="n"/>
      <c r="Z24" s="196" t="n"/>
      <c r="AA24" s="196" t="n"/>
      <c r="AB24" s="196" t="n"/>
      <c r="AC24" s="196" t="inlineStr">
        <is>
          <t>CRM Lecture 1400-1600</t>
        </is>
      </c>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Plan'!$I$57:$O$67,2*INT((0+WEEKDAY($A$3,2)-1)/7)+1,MOD(0+WEEKDAY($A$3,2)-1,7)+1)&amp;""="","","BDO")&lt;&gt;"",IF(INDEX('SDO Plan'!$I$57:$O$67,2*INT((0+WEEKDAY($A$3,2)-1)/7)+1,MOD(0+WEEKDAY($A$3,2)-1,7)+1)&amp;""="","","SDO")&lt;&gt;""),"BDO+SDO",IF(INDEX('BDO Plan'!$I$57:$O$67,2*INT((0+WEEKDAY($A$3,2)-1)/7)+1,MOD(0+WEEKDAY($A$3,2)-1,7)+1)&amp;""="","","BDO")&amp;IF(INDEX('SDO Plan'!$I$57:$O$67,2*INT((0+WEEKDAY($A$3,2)-1)/7)+1,MOD(0+WEEKDAY($A$3,2)-1,7)+1)&amp;""="","","SDO")))</f>
        <v/>
      </c>
      <c r="E25" s="202">
        <f>IF(E$5="","",IF(AND(IF(INDEX('BDO Plan'!$I$57:$O$67,2*INT((1+WEEKDAY($A$3,2)-1)/7)+1,MOD(1+WEEKDAY($A$3,2)-1,7)+1)&amp;""="","","BDO")&lt;&gt;"",IF(INDEX('SDO Plan'!$I$57:$O$67,2*INT((1+WEEKDAY($A$3,2)-1)/7)+1,MOD(1+WEEKDAY($A$3,2)-1,7)+1)&amp;""="","","SDO")&lt;&gt;""),"BDO+SDO",IF(INDEX('BDO Plan'!$I$57:$O$67,2*INT((1+WEEKDAY($A$3,2)-1)/7)+1,MOD(1+WEEKDAY($A$3,2)-1,7)+1)&amp;""="","","BDO")&amp;IF(INDEX('SDO Plan'!$I$57:$O$67,2*INT((1+WEEKDAY($A$3,2)-1)/7)+1,MOD(1+WEEKDAY($A$3,2)-1,7)+1)&amp;""="","","SDO")))</f>
        <v/>
      </c>
      <c r="F25" s="202">
        <f>IF(F$5="","",IF(AND(IF(INDEX('BDO Plan'!$I$57:$O$67,2*INT((2+WEEKDAY($A$3,2)-1)/7)+1,MOD(2+WEEKDAY($A$3,2)-1,7)+1)&amp;""="","","BDO")&lt;&gt;"",IF(INDEX('SDO Plan'!$I$57:$O$67,2*INT((2+WEEKDAY($A$3,2)-1)/7)+1,MOD(2+WEEKDAY($A$3,2)-1,7)+1)&amp;""="","","SDO")&lt;&gt;""),"BDO+SDO",IF(INDEX('BDO Plan'!$I$57:$O$67,2*INT((2+WEEKDAY($A$3,2)-1)/7)+1,MOD(2+WEEKDAY($A$3,2)-1,7)+1)&amp;""="","","BDO")&amp;IF(INDEX('SDO Plan'!$I$57:$O$67,2*INT((2+WEEKDAY($A$3,2)-1)/7)+1,MOD(2+WEEKDAY($A$3,2)-1,7)+1)&amp;""="","","SDO")))</f>
        <v/>
      </c>
      <c r="G25" s="202">
        <f>IF(G$5="","",IF(AND(IF(INDEX('BDO Plan'!$I$57:$O$67,2*INT((3+WEEKDAY($A$3,2)-1)/7)+1,MOD(3+WEEKDAY($A$3,2)-1,7)+1)&amp;""="","","BDO")&lt;&gt;"",IF(INDEX('SDO Plan'!$I$57:$O$67,2*INT((3+WEEKDAY($A$3,2)-1)/7)+1,MOD(3+WEEKDAY($A$3,2)-1,7)+1)&amp;""="","","SDO")&lt;&gt;""),"BDO+SDO",IF(INDEX('BDO Plan'!$I$57:$O$67,2*INT((3+WEEKDAY($A$3,2)-1)/7)+1,MOD(3+WEEKDAY($A$3,2)-1,7)+1)&amp;""="","","BDO")&amp;IF(INDEX('SDO Plan'!$I$57:$O$67,2*INT((3+WEEKDAY($A$3,2)-1)/7)+1,MOD(3+WEEKDAY($A$3,2)-1,7)+1)&amp;""="","","SDO")))</f>
        <v/>
      </c>
      <c r="H25" s="202">
        <f>IF(H$5="","",IF(AND(IF(INDEX('BDO Plan'!$I$57:$O$67,2*INT((4+WEEKDAY($A$3,2)-1)/7)+1,MOD(4+WEEKDAY($A$3,2)-1,7)+1)&amp;""="","","BDO")&lt;&gt;"",IF(INDEX('SDO Plan'!$I$57:$O$67,2*INT((4+WEEKDAY($A$3,2)-1)/7)+1,MOD(4+WEEKDAY($A$3,2)-1,7)+1)&amp;""="","","SDO")&lt;&gt;""),"BDO+SDO",IF(INDEX('BDO Plan'!$I$57:$O$67,2*INT((4+WEEKDAY($A$3,2)-1)/7)+1,MOD(4+WEEKDAY($A$3,2)-1,7)+1)&amp;""="","","BDO")&amp;IF(INDEX('SDO Plan'!$I$57:$O$67,2*INT((4+WEEKDAY($A$3,2)-1)/7)+1,MOD(4+WEEKDAY($A$3,2)-1,7)+1)&amp;""="","","SDO")))</f>
        <v/>
      </c>
      <c r="I25" s="202">
        <f>IF(I$5="","",IF(AND(IF(INDEX('BDO Plan'!$I$57:$O$67,2*INT((5+WEEKDAY($A$3,2)-1)/7)+1,MOD(5+WEEKDAY($A$3,2)-1,7)+1)&amp;""="","","BDO")&lt;&gt;"",IF(INDEX('SDO Plan'!$I$57:$O$67,2*INT((5+WEEKDAY($A$3,2)-1)/7)+1,MOD(5+WEEKDAY($A$3,2)-1,7)+1)&amp;""="","","SDO")&lt;&gt;""),"BDO+SDO",IF(INDEX('BDO Plan'!$I$57:$O$67,2*INT((5+WEEKDAY($A$3,2)-1)/7)+1,MOD(5+WEEKDAY($A$3,2)-1,7)+1)&amp;""="","","BDO")&amp;IF(INDEX('SDO Plan'!$I$57:$O$67,2*INT((5+WEEKDAY($A$3,2)-1)/7)+1,MOD(5+WEEKDAY($A$3,2)-1,7)+1)&amp;""="","","SDO")))</f>
        <v/>
      </c>
      <c r="J25" s="202">
        <f>IF(J$5="","",IF(AND(IF(INDEX('BDO Plan'!$I$57:$O$67,2*INT((6+WEEKDAY($A$3,2)-1)/7)+1,MOD(6+WEEKDAY($A$3,2)-1,7)+1)&amp;""="","","BDO")&lt;&gt;"",IF(INDEX('SDO Plan'!$I$57:$O$67,2*INT((6+WEEKDAY($A$3,2)-1)/7)+1,MOD(6+WEEKDAY($A$3,2)-1,7)+1)&amp;""="","","SDO")&lt;&gt;""),"BDO+SDO",IF(INDEX('BDO Plan'!$I$57:$O$67,2*INT((6+WEEKDAY($A$3,2)-1)/7)+1,MOD(6+WEEKDAY($A$3,2)-1,7)+1)&amp;""="","","BDO")&amp;IF(INDEX('SDO Plan'!$I$57:$O$67,2*INT((6+WEEKDAY($A$3,2)-1)/7)+1,MOD(6+WEEKDAY($A$3,2)-1,7)+1)&amp;""="","","SDO")))</f>
        <v/>
      </c>
      <c r="K25" s="202">
        <f>IF(K$5="","",IF(AND(IF(INDEX('BDO Plan'!$I$57:$O$67,2*INT((7+WEEKDAY($A$3,2)-1)/7)+1,MOD(7+WEEKDAY($A$3,2)-1,7)+1)&amp;""="","","BDO")&lt;&gt;"",IF(INDEX('SDO Plan'!$I$57:$O$67,2*INT((7+WEEKDAY($A$3,2)-1)/7)+1,MOD(7+WEEKDAY($A$3,2)-1,7)+1)&amp;""="","","SDO")&lt;&gt;""),"BDO+SDO",IF(INDEX('BDO Plan'!$I$57:$O$67,2*INT((7+WEEKDAY($A$3,2)-1)/7)+1,MOD(7+WEEKDAY($A$3,2)-1,7)+1)&amp;""="","","BDO")&amp;IF(INDEX('SDO Plan'!$I$57:$O$67,2*INT((7+WEEKDAY($A$3,2)-1)/7)+1,MOD(7+WEEKDAY($A$3,2)-1,7)+1)&amp;""="","","SDO")))</f>
        <v/>
      </c>
      <c r="L25" s="202">
        <f>IF(L$5="","",IF(AND(IF(INDEX('BDO Plan'!$I$57:$O$67,2*INT((8+WEEKDAY($A$3,2)-1)/7)+1,MOD(8+WEEKDAY($A$3,2)-1,7)+1)&amp;""="","","BDO")&lt;&gt;"",IF(INDEX('SDO Plan'!$I$57:$O$67,2*INT((8+WEEKDAY($A$3,2)-1)/7)+1,MOD(8+WEEKDAY($A$3,2)-1,7)+1)&amp;""="","","SDO")&lt;&gt;""),"BDO+SDO",IF(INDEX('BDO Plan'!$I$57:$O$67,2*INT((8+WEEKDAY($A$3,2)-1)/7)+1,MOD(8+WEEKDAY($A$3,2)-1,7)+1)&amp;""="","","BDO")&amp;IF(INDEX('SDO Plan'!$I$57:$O$67,2*INT((8+WEEKDAY($A$3,2)-1)/7)+1,MOD(8+WEEKDAY($A$3,2)-1,7)+1)&amp;""="","","SDO")))</f>
        <v/>
      </c>
      <c r="M25" s="202">
        <f>IF(M$5="","",IF(AND(IF(INDEX('BDO Plan'!$I$57:$O$67,2*INT((9+WEEKDAY($A$3,2)-1)/7)+1,MOD(9+WEEKDAY($A$3,2)-1,7)+1)&amp;""="","","BDO")&lt;&gt;"",IF(INDEX('SDO Plan'!$I$57:$O$67,2*INT((9+WEEKDAY($A$3,2)-1)/7)+1,MOD(9+WEEKDAY($A$3,2)-1,7)+1)&amp;""="","","SDO")&lt;&gt;""),"BDO+SDO",IF(INDEX('BDO Plan'!$I$57:$O$67,2*INT((9+WEEKDAY($A$3,2)-1)/7)+1,MOD(9+WEEKDAY($A$3,2)-1,7)+1)&amp;""="","","BDO")&amp;IF(INDEX('SDO Plan'!$I$57:$O$67,2*INT((9+WEEKDAY($A$3,2)-1)/7)+1,MOD(9+WEEKDAY($A$3,2)-1,7)+1)&amp;""="","","SDO")))</f>
        <v/>
      </c>
      <c r="N25" s="202">
        <f>IF(N$5="","",IF(AND(IF(INDEX('BDO Plan'!$I$57:$O$67,2*INT((10+WEEKDAY($A$3,2)-1)/7)+1,MOD(10+WEEKDAY($A$3,2)-1,7)+1)&amp;""="","","BDO")&lt;&gt;"",IF(INDEX('SDO Plan'!$I$57:$O$67,2*INT((10+WEEKDAY($A$3,2)-1)/7)+1,MOD(10+WEEKDAY($A$3,2)-1,7)+1)&amp;""="","","SDO")&lt;&gt;""),"BDO+SDO",IF(INDEX('BDO Plan'!$I$57:$O$67,2*INT((10+WEEKDAY($A$3,2)-1)/7)+1,MOD(10+WEEKDAY($A$3,2)-1,7)+1)&amp;""="","","BDO")&amp;IF(INDEX('SDO Plan'!$I$57:$O$67,2*INT((10+WEEKDAY($A$3,2)-1)/7)+1,MOD(10+WEEKDAY($A$3,2)-1,7)+1)&amp;""="","","SDO")))</f>
        <v/>
      </c>
      <c r="O25" s="202">
        <f>IF(O$5="","",IF(AND(IF(INDEX('BDO Plan'!$I$57:$O$67,2*INT((11+WEEKDAY($A$3,2)-1)/7)+1,MOD(11+WEEKDAY($A$3,2)-1,7)+1)&amp;""="","","BDO")&lt;&gt;"",IF(INDEX('SDO Plan'!$I$57:$O$67,2*INT((11+WEEKDAY($A$3,2)-1)/7)+1,MOD(11+WEEKDAY($A$3,2)-1,7)+1)&amp;""="","","SDO")&lt;&gt;""),"BDO+SDO",IF(INDEX('BDO Plan'!$I$57:$O$67,2*INT((11+WEEKDAY($A$3,2)-1)/7)+1,MOD(11+WEEKDAY($A$3,2)-1,7)+1)&amp;""="","","BDO")&amp;IF(INDEX('SDO Plan'!$I$57:$O$67,2*INT((11+WEEKDAY($A$3,2)-1)/7)+1,MOD(11+WEEKDAY($A$3,2)-1,7)+1)&amp;""="","","SDO")))</f>
        <v/>
      </c>
      <c r="P25" s="202">
        <f>IF(P$5="","",IF(AND(IF(INDEX('BDO Plan'!$I$57:$O$67,2*INT((12+WEEKDAY($A$3,2)-1)/7)+1,MOD(12+WEEKDAY($A$3,2)-1,7)+1)&amp;""="","","BDO")&lt;&gt;"",IF(INDEX('SDO Plan'!$I$57:$O$67,2*INT((12+WEEKDAY($A$3,2)-1)/7)+1,MOD(12+WEEKDAY($A$3,2)-1,7)+1)&amp;""="","","SDO")&lt;&gt;""),"BDO+SDO",IF(INDEX('BDO Plan'!$I$57:$O$67,2*INT((12+WEEKDAY($A$3,2)-1)/7)+1,MOD(12+WEEKDAY($A$3,2)-1,7)+1)&amp;""="","","BDO")&amp;IF(INDEX('SDO Plan'!$I$57:$O$67,2*INT((12+WEEKDAY($A$3,2)-1)/7)+1,MOD(12+WEEKDAY($A$3,2)-1,7)+1)&amp;""="","","SDO")))</f>
        <v/>
      </c>
      <c r="Q25" s="202">
        <f>IF(Q$5="","",IF(AND(IF(INDEX('BDO Plan'!$I$57:$O$67,2*INT((13+WEEKDAY($A$3,2)-1)/7)+1,MOD(13+WEEKDAY($A$3,2)-1,7)+1)&amp;""="","","BDO")&lt;&gt;"",IF(INDEX('SDO Plan'!$I$57:$O$67,2*INT((13+WEEKDAY($A$3,2)-1)/7)+1,MOD(13+WEEKDAY($A$3,2)-1,7)+1)&amp;""="","","SDO")&lt;&gt;""),"BDO+SDO",IF(INDEX('BDO Plan'!$I$57:$O$67,2*INT((13+WEEKDAY($A$3,2)-1)/7)+1,MOD(13+WEEKDAY($A$3,2)-1,7)+1)&amp;""="","","BDO")&amp;IF(INDEX('SDO Plan'!$I$57:$O$67,2*INT((13+WEEKDAY($A$3,2)-1)/7)+1,MOD(13+WEEKDAY($A$3,2)-1,7)+1)&amp;""="","","SDO")))</f>
        <v/>
      </c>
      <c r="R25" s="202">
        <f>IF(R$5="","",IF(AND(IF(INDEX('BDO Plan'!$I$57:$O$67,2*INT((14+WEEKDAY($A$3,2)-1)/7)+1,MOD(14+WEEKDAY($A$3,2)-1,7)+1)&amp;""="","","BDO")&lt;&gt;"",IF(INDEX('SDO Plan'!$I$57:$O$67,2*INT((14+WEEKDAY($A$3,2)-1)/7)+1,MOD(14+WEEKDAY($A$3,2)-1,7)+1)&amp;""="","","SDO")&lt;&gt;""),"BDO+SDO",IF(INDEX('BDO Plan'!$I$57:$O$67,2*INT((14+WEEKDAY($A$3,2)-1)/7)+1,MOD(14+WEEKDAY($A$3,2)-1,7)+1)&amp;""="","","BDO")&amp;IF(INDEX('SDO Plan'!$I$57:$O$67,2*INT((14+WEEKDAY($A$3,2)-1)/7)+1,MOD(14+WEEKDAY($A$3,2)-1,7)+1)&amp;""="","","SDO")))</f>
        <v/>
      </c>
      <c r="S25" s="202">
        <f>IF(S$5="","",IF(AND(IF(INDEX('BDO Plan'!$I$57:$O$67,2*INT((15+WEEKDAY($A$3,2)-1)/7)+1,MOD(15+WEEKDAY($A$3,2)-1,7)+1)&amp;""="","","BDO")&lt;&gt;"",IF(INDEX('SDO Plan'!$I$57:$O$67,2*INT((15+WEEKDAY($A$3,2)-1)/7)+1,MOD(15+WEEKDAY($A$3,2)-1,7)+1)&amp;""="","","SDO")&lt;&gt;""),"BDO+SDO",IF(INDEX('BDO Plan'!$I$57:$O$67,2*INT((15+WEEKDAY($A$3,2)-1)/7)+1,MOD(15+WEEKDAY($A$3,2)-1,7)+1)&amp;""="","","BDO")&amp;IF(INDEX('SDO Plan'!$I$57:$O$67,2*INT((15+WEEKDAY($A$3,2)-1)/7)+1,MOD(15+WEEKDAY($A$3,2)-1,7)+1)&amp;""="","","SDO")))</f>
        <v/>
      </c>
      <c r="T25" s="202">
        <f>IF(T$5="","",IF(AND(IF(INDEX('BDO Plan'!$I$57:$O$67,2*INT((16+WEEKDAY($A$3,2)-1)/7)+1,MOD(16+WEEKDAY($A$3,2)-1,7)+1)&amp;""="","","BDO")&lt;&gt;"",IF(INDEX('SDO Plan'!$I$57:$O$67,2*INT((16+WEEKDAY($A$3,2)-1)/7)+1,MOD(16+WEEKDAY($A$3,2)-1,7)+1)&amp;""="","","SDO")&lt;&gt;""),"BDO+SDO",IF(INDEX('BDO Plan'!$I$57:$O$67,2*INT((16+WEEKDAY($A$3,2)-1)/7)+1,MOD(16+WEEKDAY($A$3,2)-1,7)+1)&amp;""="","","BDO")&amp;IF(INDEX('SDO Plan'!$I$57:$O$67,2*INT((16+WEEKDAY($A$3,2)-1)/7)+1,MOD(16+WEEKDAY($A$3,2)-1,7)+1)&amp;""="","","SDO")))</f>
        <v/>
      </c>
      <c r="U25" s="202">
        <f>IF(U$5="","",IF(AND(IF(INDEX('BDO Plan'!$I$57:$O$67,2*INT((17+WEEKDAY($A$3,2)-1)/7)+1,MOD(17+WEEKDAY($A$3,2)-1,7)+1)&amp;""="","","BDO")&lt;&gt;"",IF(INDEX('SDO Plan'!$I$57:$O$67,2*INT((17+WEEKDAY($A$3,2)-1)/7)+1,MOD(17+WEEKDAY($A$3,2)-1,7)+1)&amp;""="","","SDO")&lt;&gt;""),"BDO+SDO",IF(INDEX('BDO Plan'!$I$57:$O$67,2*INT((17+WEEKDAY($A$3,2)-1)/7)+1,MOD(17+WEEKDAY($A$3,2)-1,7)+1)&amp;""="","","BDO")&amp;IF(INDEX('SDO Plan'!$I$57:$O$67,2*INT((17+WEEKDAY($A$3,2)-1)/7)+1,MOD(17+WEEKDAY($A$3,2)-1,7)+1)&amp;""="","","SDO")))</f>
        <v/>
      </c>
      <c r="V25" s="202">
        <f>IF(V$5="","",IF(AND(IF(INDEX('BDO Plan'!$I$57:$O$67,2*INT((18+WEEKDAY($A$3,2)-1)/7)+1,MOD(18+WEEKDAY($A$3,2)-1,7)+1)&amp;""="","","BDO")&lt;&gt;"",IF(INDEX('SDO Plan'!$I$57:$O$67,2*INT((18+WEEKDAY($A$3,2)-1)/7)+1,MOD(18+WEEKDAY($A$3,2)-1,7)+1)&amp;""="","","SDO")&lt;&gt;""),"BDO+SDO",IF(INDEX('BDO Plan'!$I$57:$O$67,2*INT((18+WEEKDAY($A$3,2)-1)/7)+1,MOD(18+WEEKDAY($A$3,2)-1,7)+1)&amp;""="","","BDO")&amp;IF(INDEX('SDO Plan'!$I$57:$O$67,2*INT((18+WEEKDAY($A$3,2)-1)/7)+1,MOD(18+WEEKDAY($A$3,2)-1,7)+1)&amp;""="","","SDO")))</f>
        <v/>
      </c>
      <c r="W25" s="202">
        <f>IF(W$5="","",IF(AND(IF(INDEX('BDO Plan'!$I$57:$O$67,2*INT((19+WEEKDAY($A$3,2)-1)/7)+1,MOD(19+WEEKDAY($A$3,2)-1,7)+1)&amp;""="","","BDO")&lt;&gt;"",IF(INDEX('SDO Plan'!$I$57:$O$67,2*INT((19+WEEKDAY($A$3,2)-1)/7)+1,MOD(19+WEEKDAY($A$3,2)-1,7)+1)&amp;""="","","SDO")&lt;&gt;""),"BDO+SDO",IF(INDEX('BDO Plan'!$I$57:$O$67,2*INT((19+WEEKDAY($A$3,2)-1)/7)+1,MOD(19+WEEKDAY($A$3,2)-1,7)+1)&amp;""="","","BDO")&amp;IF(INDEX('SDO Plan'!$I$57:$O$67,2*INT((19+WEEKDAY($A$3,2)-1)/7)+1,MOD(19+WEEKDAY($A$3,2)-1,7)+1)&amp;""="","","SDO")))</f>
        <v/>
      </c>
      <c r="X25" s="202">
        <f>IF(X$5="","",IF(AND(IF(INDEX('BDO Plan'!$I$57:$O$67,2*INT((20+WEEKDAY($A$3,2)-1)/7)+1,MOD(20+WEEKDAY($A$3,2)-1,7)+1)&amp;""="","","BDO")&lt;&gt;"",IF(INDEX('SDO Plan'!$I$57:$O$67,2*INT((20+WEEKDAY($A$3,2)-1)/7)+1,MOD(20+WEEKDAY($A$3,2)-1,7)+1)&amp;""="","","SDO")&lt;&gt;""),"BDO+SDO",IF(INDEX('BDO Plan'!$I$57:$O$67,2*INT((20+WEEKDAY($A$3,2)-1)/7)+1,MOD(20+WEEKDAY($A$3,2)-1,7)+1)&amp;""="","","BDO")&amp;IF(INDEX('SDO Plan'!$I$57:$O$67,2*INT((20+WEEKDAY($A$3,2)-1)/7)+1,MOD(20+WEEKDAY($A$3,2)-1,7)+1)&amp;""="","","SDO")))</f>
        <v/>
      </c>
      <c r="Y25" s="202">
        <f>IF(Y$5="","",IF(AND(IF(INDEX('BDO Plan'!$I$57:$O$67,2*INT((21+WEEKDAY($A$3,2)-1)/7)+1,MOD(21+WEEKDAY($A$3,2)-1,7)+1)&amp;""="","","BDO")&lt;&gt;"",IF(INDEX('SDO Plan'!$I$57:$O$67,2*INT((21+WEEKDAY($A$3,2)-1)/7)+1,MOD(21+WEEKDAY($A$3,2)-1,7)+1)&amp;""="","","SDO")&lt;&gt;""),"BDO+SDO",IF(INDEX('BDO Plan'!$I$57:$O$67,2*INT((21+WEEKDAY($A$3,2)-1)/7)+1,MOD(21+WEEKDAY($A$3,2)-1,7)+1)&amp;""="","","BDO")&amp;IF(INDEX('SDO Plan'!$I$57:$O$67,2*INT((21+WEEKDAY($A$3,2)-1)/7)+1,MOD(21+WEEKDAY($A$3,2)-1,7)+1)&amp;""="","","SDO")))</f>
        <v/>
      </c>
      <c r="Z25" s="202">
        <f>IF(Z$5="","",IF(AND(IF(INDEX('BDO Plan'!$I$57:$O$67,2*INT((22+WEEKDAY($A$3,2)-1)/7)+1,MOD(22+WEEKDAY($A$3,2)-1,7)+1)&amp;""="","","BDO")&lt;&gt;"",IF(INDEX('SDO Plan'!$I$57:$O$67,2*INT((22+WEEKDAY($A$3,2)-1)/7)+1,MOD(22+WEEKDAY($A$3,2)-1,7)+1)&amp;""="","","SDO")&lt;&gt;""),"BDO+SDO",IF(INDEX('BDO Plan'!$I$57:$O$67,2*INT((22+WEEKDAY($A$3,2)-1)/7)+1,MOD(22+WEEKDAY($A$3,2)-1,7)+1)&amp;""="","","BDO")&amp;IF(INDEX('SDO Plan'!$I$57:$O$67,2*INT((22+WEEKDAY($A$3,2)-1)/7)+1,MOD(22+WEEKDAY($A$3,2)-1,7)+1)&amp;""="","","SDO")))</f>
        <v/>
      </c>
      <c r="AA25" s="202">
        <f>IF(AA$5="","",IF(AND(IF(INDEX('BDO Plan'!$I$57:$O$67,2*INT((23+WEEKDAY($A$3,2)-1)/7)+1,MOD(23+WEEKDAY($A$3,2)-1,7)+1)&amp;""="","","BDO")&lt;&gt;"",IF(INDEX('SDO Plan'!$I$57:$O$67,2*INT((23+WEEKDAY($A$3,2)-1)/7)+1,MOD(23+WEEKDAY($A$3,2)-1,7)+1)&amp;""="","","SDO")&lt;&gt;""),"BDO+SDO",IF(INDEX('BDO Plan'!$I$57:$O$67,2*INT((23+WEEKDAY($A$3,2)-1)/7)+1,MOD(23+WEEKDAY($A$3,2)-1,7)+1)&amp;""="","","BDO")&amp;IF(INDEX('SDO Plan'!$I$57:$O$67,2*INT((23+WEEKDAY($A$3,2)-1)/7)+1,MOD(23+WEEKDAY($A$3,2)-1,7)+1)&amp;""="","","SDO")))</f>
        <v/>
      </c>
      <c r="AB25" s="202">
        <f>IF(AB$5="","",IF(AND(IF(INDEX('BDO Plan'!$I$57:$O$67,2*INT((24+WEEKDAY($A$3,2)-1)/7)+1,MOD(24+WEEKDAY($A$3,2)-1,7)+1)&amp;""="","","BDO")&lt;&gt;"",IF(INDEX('SDO Plan'!$I$57:$O$67,2*INT((24+WEEKDAY($A$3,2)-1)/7)+1,MOD(24+WEEKDAY($A$3,2)-1,7)+1)&amp;""="","","SDO")&lt;&gt;""),"BDO+SDO",IF(INDEX('BDO Plan'!$I$57:$O$67,2*INT((24+WEEKDAY($A$3,2)-1)/7)+1,MOD(24+WEEKDAY($A$3,2)-1,7)+1)&amp;""="","","BDO")&amp;IF(INDEX('SDO Plan'!$I$57:$O$67,2*INT((24+WEEKDAY($A$3,2)-1)/7)+1,MOD(24+WEEKDAY($A$3,2)-1,7)+1)&amp;""="","","SDO")))</f>
        <v/>
      </c>
      <c r="AC25" s="202">
        <f>IF(AC$5="","",IF(AND(IF(INDEX('BDO Plan'!$I$57:$O$67,2*INT((25+WEEKDAY($A$3,2)-1)/7)+1,MOD(25+WEEKDAY($A$3,2)-1,7)+1)&amp;""="","","BDO")&lt;&gt;"",IF(INDEX('SDO Plan'!$I$57:$O$67,2*INT((25+WEEKDAY($A$3,2)-1)/7)+1,MOD(25+WEEKDAY($A$3,2)-1,7)+1)&amp;""="","","SDO")&lt;&gt;""),"BDO+SDO",IF(INDEX('BDO Plan'!$I$57:$O$67,2*INT((25+WEEKDAY($A$3,2)-1)/7)+1,MOD(25+WEEKDAY($A$3,2)-1,7)+1)&amp;""="","","BDO")&amp;IF(INDEX('SDO Plan'!$I$57:$O$67,2*INT((25+WEEKDAY($A$3,2)-1)/7)+1,MOD(25+WEEKDAY($A$3,2)-1,7)+1)&amp;""="","","SDO")))</f>
        <v/>
      </c>
      <c r="AD25" s="202">
        <f>IF(AD$5="","",IF(AND(IF(INDEX('BDO Plan'!$I$57:$O$67,2*INT((26+WEEKDAY($A$3,2)-1)/7)+1,MOD(26+WEEKDAY($A$3,2)-1,7)+1)&amp;""="","","BDO")&lt;&gt;"",IF(INDEX('SDO Plan'!$I$57:$O$67,2*INT((26+WEEKDAY($A$3,2)-1)/7)+1,MOD(26+WEEKDAY($A$3,2)-1,7)+1)&amp;""="","","SDO")&lt;&gt;""),"BDO+SDO",IF(INDEX('BDO Plan'!$I$57:$O$67,2*INT((26+WEEKDAY($A$3,2)-1)/7)+1,MOD(26+WEEKDAY($A$3,2)-1,7)+1)&amp;""="","","BDO")&amp;IF(INDEX('SDO Plan'!$I$57:$O$67,2*INT((26+WEEKDAY($A$3,2)-1)/7)+1,MOD(26+WEEKDAY($A$3,2)-1,7)+1)&amp;""="","","SDO")))</f>
        <v/>
      </c>
      <c r="AE25" s="202">
        <f>IF(AE$5="","",IF(AND(IF(INDEX('BDO Plan'!$I$57:$O$67,2*INT((27+WEEKDAY($A$3,2)-1)/7)+1,MOD(27+WEEKDAY($A$3,2)-1,7)+1)&amp;""="","","BDO")&lt;&gt;"",IF(INDEX('SDO Plan'!$I$57:$O$67,2*INT((27+WEEKDAY($A$3,2)-1)/7)+1,MOD(27+WEEKDAY($A$3,2)-1,7)+1)&amp;""="","","SDO")&lt;&gt;""),"BDO+SDO",IF(INDEX('BDO Plan'!$I$57:$O$67,2*INT((27+WEEKDAY($A$3,2)-1)/7)+1,MOD(27+WEEKDAY($A$3,2)-1,7)+1)&amp;""="","","BDO")&amp;IF(INDEX('SDO Plan'!$I$57:$O$67,2*INT((27+WEEKDAY($A$3,2)-1)/7)+1,MOD(27+WEEKDAY($A$3,2)-1,7)+1)&amp;""="","","SDO")))</f>
        <v/>
      </c>
      <c r="AF25" s="202">
        <f>IF(AF$5="","",IF(AND(IF(INDEX('BDO Plan'!$I$57:$O$67,2*INT((28+WEEKDAY($A$3,2)-1)/7)+1,MOD(28+WEEKDAY($A$3,2)-1,7)+1)&amp;""="","","BDO")&lt;&gt;"",IF(INDEX('SDO Plan'!$I$57:$O$67,2*INT((28+WEEKDAY($A$3,2)-1)/7)+1,MOD(28+WEEKDAY($A$3,2)-1,7)+1)&amp;""="","","SDO")&lt;&gt;""),"BDO+SDO",IF(INDEX('BDO Plan'!$I$57:$O$67,2*INT((28+WEEKDAY($A$3,2)-1)/7)+1,MOD(28+WEEKDAY($A$3,2)-1,7)+1)&amp;""="","","BDO")&amp;IF(INDEX('SDO Plan'!$I$57:$O$67,2*INT((28+WEEKDAY($A$3,2)-1)/7)+1,MOD(28+WEEKDAY($A$3,2)-1,7)+1)&amp;""="","","SDO")))</f>
        <v/>
      </c>
      <c r="AG25" s="202">
        <f>IF(AG$5="","",IF(AND(IF(INDEX('BDO Plan'!$I$57:$O$67,2*INT((29+WEEKDAY($A$3,2)-1)/7)+1,MOD(29+WEEKDAY($A$3,2)-1,7)+1)&amp;""="","","BDO")&lt;&gt;"",IF(INDEX('SDO Plan'!$I$57:$O$67,2*INT((29+WEEKDAY($A$3,2)-1)/7)+1,MOD(29+WEEKDAY($A$3,2)-1,7)+1)&amp;""="","","SDO")&lt;&gt;""),"BDO+SDO",IF(INDEX('BDO Plan'!$I$57:$O$67,2*INT((29+WEEKDAY($A$3,2)-1)/7)+1,MOD(29+WEEKDAY($A$3,2)-1,7)+1)&amp;""="","","BDO")&amp;IF(INDEX('SDO Plan'!$I$57:$O$67,2*INT((29+WEEKDAY($A$3,2)-1)/7)+1,MOD(29+WEEKDAY($A$3,2)-1,7)+1)&amp;""="","","SDO")))</f>
        <v/>
      </c>
      <c r="AH25" s="202">
        <f>IF(AH$5="","",IF(AND(IF(INDEX('BDO Plan'!$I$57:$O$67,2*INT((30+WEEKDAY($A$3,2)-1)/7)+1,MOD(30+WEEKDAY($A$3,2)-1,7)+1)&amp;""="","","BDO")&lt;&gt;"",IF(INDEX('SDO Plan'!$I$57:$O$67,2*INT((30+WEEKDAY($A$3,2)-1)/7)+1,MOD(30+WEEKDAY($A$3,2)-1,7)+1)&amp;""="","","SDO")&lt;&gt;""),"BDO+SDO",IF(INDEX('BDO Plan'!$I$57:$O$67,2*INT((30+WEEKDAY($A$3,2)-1)/7)+1,MOD(30+WEEKDAY($A$3,2)-1,7)+1)&amp;""="","","BDO")&amp;IF(INDEX('SDO Plan'!$I$57:$O$67,2*INT((30+WEEKDAY($A$3,2)-1)/7)+1,MOD(30+WEEKDAY($A$3,2)-1,7)+1)&amp;""="","","SDO")))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inlineStr">
        <is>
          <t>SDO</t>
        </is>
      </c>
      <c r="G27" s="209" t="inlineStr">
        <is>
          <t>FLT-1.5</t>
        </is>
      </c>
      <c r="H27" s="209" t="n"/>
      <c r="I27" s="209" t="n"/>
      <c r="J27" s="209" t="n"/>
      <c r="K27" s="209" t="n"/>
      <c r="L27" s="209" t="n"/>
      <c r="M27" s="209" t="n"/>
      <c r="N27" s="209" t="n"/>
      <c r="O27" s="209" t="inlineStr">
        <is>
          <t>SDO</t>
        </is>
      </c>
      <c r="P27" s="209" t="n"/>
      <c r="Q27" s="209" t="n"/>
      <c r="R27" s="209" t="n"/>
      <c r="S27" s="209" t="inlineStr">
        <is>
          <t>Meeting</t>
        </is>
      </c>
      <c r="T27" s="209" t="n"/>
      <c r="U27" s="209" t="inlineStr">
        <is>
          <t>FLT-2.0</t>
        </is>
      </c>
      <c r="V27" s="209" t="inlineStr">
        <is>
          <t>FLT-3.0</t>
        </is>
      </c>
      <c r="W27" s="209" t="inlineStr">
        <is>
          <t>FLT-2.0</t>
        </is>
      </c>
      <c r="X27" s="209" t="n"/>
      <c r="Y27" s="209" t="n"/>
      <c r="Z27" s="209" t="n"/>
      <c r="AA27" s="209" t="inlineStr">
        <is>
          <t>SDO</t>
        </is>
      </c>
      <c r="AB27" s="209" t="n"/>
      <c r="AC27" s="209" t="inlineStr">
        <is>
          <t>FLT-1.5</t>
        </is>
      </c>
      <c r="AD27" s="209" t="inlineStr">
        <is>
          <t>OL</t>
        </is>
      </c>
      <c r="AE27" s="209" t="n"/>
      <c r="AF27" s="209" t="n"/>
      <c r="AG27" s="209" t="inlineStr">
        <is>
          <t>FLT-1.5</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inlineStr">
        <is>
          <t>FLT-2.0</t>
        </is>
      </c>
      <c r="J28" s="215" t="n"/>
      <c r="K28" s="215" t="n"/>
      <c r="L28" s="215" t="n"/>
      <c r="M28" s="215" t="n"/>
      <c r="N28" s="215" t="inlineStr">
        <is>
          <t>FLT-2.0</t>
        </is>
      </c>
      <c r="O28" s="215" t="n"/>
      <c r="P28" s="215" t="n"/>
      <c r="Q28" s="215" t="n"/>
      <c r="R28" s="215" t="n"/>
      <c r="S28" s="215" t="n"/>
      <c r="T28" s="215" t="n"/>
      <c r="U28" s="215" t="n"/>
      <c r="V28" s="215" t="inlineStr">
        <is>
          <t>SIM</t>
        </is>
      </c>
      <c r="W28" s="215" t="n"/>
      <c r="X28" s="215" t="n"/>
      <c r="Y28" s="215" t="n"/>
      <c r="Z28" s="215" t="n"/>
      <c r="AA28" s="215" t="n"/>
      <c r="AB28" s="215" t="n"/>
      <c r="AC28" s="215" t="n"/>
      <c r="AD28" s="215" t="inlineStr">
        <is>
          <t>OL</t>
        </is>
      </c>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inlineStr">
        <is>
          <t>NVG-2.0</t>
        </is>
      </c>
      <c r="N29" s="215" t="n"/>
      <c r="O29" s="215" t="n"/>
      <c r="P29" s="215" t="n"/>
      <c r="Q29" s="215" t="n"/>
      <c r="R29" s="215" t="n"/>
      <c r="S29" s="215" t="n"/>
      <c r="T29" s="215" t="inlineStr">
        <is>
          <t>P2</t>
        </is>
      </c>
      <c r="U29" s="215" t="n"/>
      <c r="V29" s="215" t="n"/>
      <c r="W29" s="215" t="n"/>
      <c r="X29" s="215" t="n"/>
      <c r="Y29" s="215" t="n"/>
      <c r="Z29" s="215" t="n"/>
      <c r="AA29" s="215" t="n"/>
      <c r="AB29" s="215" t="n"/>
      <c r="AC29" s="215" t="n"/>
      <c r="AD29" s="215" t="inlineStr">
        <is>
          <t>OL</t>
        </is>
      </c>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inlineStr">
        <is>
          <t>LL</t>
        </is>
      </c>
      <c r="E31" s="226" t="inlineStr">
        <is>
          <t>LL</t>
        </is>
      </c>
      <c r="F31" s="226" t="inlineStr">
        <is>
          <t>FLT-2.0</t>
        </is>
      </c>
      <c r="G31" s="226" t="n"/>
      <c r="H31" s="226" t="n"/>
      <c r="I31" s="226" t="n"/>
      <c r="J31" s="226" t="n"/>
      <c r="K31" s="226" t="inlineStr">
        <is>
          <t>OIL</t>
        </is>
      </c>
      <c r="L31" s="226" t="n"/>
      <c r="M31" s="226" t="n"/>
      <c r="N31" s="226" t="n"/>
      <c r="O31" s="226" t="inlineStr">
        <is>
          <t>FLT-2.0</t>
        </is>
      </c>
      <c r="P31" s="226" t="n"/>
      <c r="Q31" s="226" t="n"/>
      <c r="R31" s="226" t="n"/>
      <c r="S31" s="226" t="n"/>
      <c r="T31" s="226" t="n"/>
      <c r="U31" s="226" t="inlineStr">
        <is>
          <t>FLT-1.5</t>
        </is>
      </c>
      <c r="V31" s="226" t="n"/>
      <c r="W31" s="226" t="n"/>
      <c r="X31" s="226" t="n"/>
      <c r="Y31" s="226" t="n"/>
      <c r="Z31" s="226" t="n"/>
      <c r="AA31" s="226" t="inlineStr">
        <is>
          <t>FLT-2.0</t>
        </is>
      </c>
      <c r="AB31" s="226" t="n"/>
      <c r="AC31" s="226" t="inlineStr">
        <is>
          <t>FLT-2.0</t>
        </is>
      </c>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inlineStr">
        <is>
          <t>LL</t>
        </is>
      </c>
      <c r="E32" s="231" t="inlineStr">
        <is>
          <t>LL</t>
        </is>
      </c>
      <c r="F32" s="231" t="n"/>
      <c r="G32" s="231" t="inlineStr">
        <is>
          <t>FLT-2.0</t>
        </is>
      </c>
      <c r="H32" s="231" t="inlineStr">
        <is>
          <t>FLT-1.5</t>
        </is>
      </c>
      <c r="I32" s="231" t="inlineStr">
        <is>
          <t>P1</t>
        </is>
      </c>
      <c r="J32" s="231" t="n"/>
      <c r="K32" s="231" t="inlineStr">
        <is>
          <t>OIL</t>
        </is>
      </c>
      <c r="L32" s="231" t="n"/>
      <c r="M32" s="231" t="inlineStr">
        <is>
          <t>FLT-1.5</t>
        </is>
      </c>
      <c r="N32" s="231" t="n"/>
      <c r="O32" s="231" t="n"/>
      <c r="P32" s="231" t="inlineStr">
        <is>
          <t>SIM</t>
        </is>
      </c>
      <c r="Q32" s="231" t="n"/>
      <c r="R32" s="231" t="n"/>
      <c r="S32" s="231" t="inlineStr">
        <is>
          <t>SIM</t>
        </is>
      </c>
      <c r="T32" s="231" t="n"/>
      <c r="U32" s="231" t="n"/>
      <c r="V32" s="231" t="inlineStr">
        <is>
          <t>P1</t>
        </is>
      </c>
      <c r="W32" s="231" t="n"/>
      <c r="X32" s="231" t="n"/>
      <c r="Y32" s="231" t="n"/>
      <c r="Z32" s="231" t="n"/>
      <c r="AA32" s="231" t="n"/>
      <c r="AB32" s="231" t="inlineStr">
        <is>
          <t>SIM</t>
        </is>
      </c>
      <c r="AC32" s="231" t="n"/>
      <c r="AD32" s="231" t="n"/>
      <c r="AE32" s="231" t="n"/>
      <c r="AF32" s="231" t="n"/>
      <c r="AG32" s="231" t="inlineStr">
        <is>
          <t>SIM</t>
        </is>
      </c>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inlineStr">
        <is>
          <t>LL</t>
        </is>
      </c>
      <c r="E33" s="231" t="inlineStr">
        <is>
          <t>LL</t>
        </is>
      </c>
      <c r="F33" s="231" t="n"/>
      <c r="G33" s="231" t="n"/>
      <c r="H33" s="231" t="n"/>
      <c r="I33" s="231" t="n"/>
      <c r="J33" s="231" t="n"/>
      <c r="K33" s="231" t="inlineStr">
        <is>
          <t>OIL</t>
        </is>
      </c>
      <c r="L33" s="231" t="n"/>
      <c r="M33" s="231" t="n"/>
      <c r="N33" s="231" t="n"/>
      <c r="O33" s="231" t="n"/>
      <c r="P33" s="231" t="n"/>
      <c r="Q33" s="231" t="n"/>
      <c r="R33" s="231" t="n"/>
      <c r="S33" s="231" t="n"/>
      <c r="T33" s="231" t="inlineStr">
        <is>
          <t>NVG-2.0</t>
        </is>
      </c>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inlineStr">
        <is>
          <t>FLT-3.0</t>
        </is>
      </c>
      <c r="F35" s="209" t="inlineStr">
        <is>
          <t>FLT-1.5</t>
        </is>
      </c>
      <c r="G35" s="209" t="n"/>
      <c r="H35" s="209" t="n"/>
      <c r="I35" s="209" t="inlineStr">
        <is>
          <t>LL</t>
        </is>
      </c>
      <c r="J35" s="209" t="inlineStr">
        <is>
          <t>LL</t>
        </is>
      </c>
      <c r="K35" s="209" t="inlineStr">
        <is>
          <t>OL</t>
        </is>
      </c>
      <c r="L35" s="209" t="inlineStr">
        <is>
          <t>SDO</t>
        </is>
      </c>
      <c r="M35" s="209" t="inlineStr">
        <is>
          <t>FLT-1.5</t>
        </is>
      </c>
      <c r="N35" s="209" t="inlineStr">
        <is>
          <t>Meeting</t>
        </is>
      </c>
      <c r="O35" s="209" t="n"/>
      <c r="P35" s="209" t="n"/>
      <c r="Q35" s="209" t="n"/>
      <c r="R35" s="209" t="inlineStr">
        <is>
          <t>SDO</t>
        </is>
      </c>
      <c r="S35" s="209" t="inlineStr">
        <is>
          <t>FLT-1.5</t>
        </is>
      </c>
      <c r="T35" s="209" t="n"/>
      <c r="U35" s="209" t="n"/>
      <c r="V35" s="209" t="n"/>
      <c r="W35" s="209" t="n"/>
      <c r="X35" s="209" t="n"/>
      <c r="Y35" s="209" t="n"/>
      <c r="Z35" s="209" t="inlineStr">
        <is>
          <t>FLT-1.5</t>
        </is>
      </c>
      <c r="AA35" s="209" t="n"/>
      <c r="AB35" s="209" t="n"/>
      <c r="AC35" s="209" t="n"/>
      <c r="AD35" s="209" t="inlineStr">
        <is>
          <t>SDO</t>
        </is>
      </c>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inlineStr">
        <is>
          <t>SIM</t>
        </is>
      </c>
      <c r="F36" s="215" t="n"/>
      <c r="G36" s="215" t="n"/>
      <c r="H36" s="215" t="n"/>
      <c r="I36" s="215" t="inlineStr">
        <is>
          <t>LL</t>
        </is>
      </c>
      <c r="J36" s="215" t="inlineStr">
        <is>
          <t>LL</t>
        </is>
      </c>
      <c r="K36" s="215" t="inlineStr">
        <is>
          <t>OL</t>
        </is>
      </c>
      <c r="L36" s="215" t="n"/>
      <c r="M36" s="215" t="inlineStr">
        <is>
          <t>SIM</t>
        </is>
      </c>
      <c r="N36" s="215" t="inlineStr">
        <is>
          <t>SIM</t>
        </is>
      </c>
      <c r="O36" s="215" t="inlineStr">
        <is>
          <t>SIM</t>
        </is>
      </c>
      <c r="P36" s="215" t="inlineStr">
        <is>
          <t>FLT-2.0</t>
        </is>
      </c>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inlineStr">
        <is>
          <t>NVG-2.0</t>
        </is>
      </c>
      <c r="I37" s="215" t="inlineStr">
        <is>
          <t>LL</t>
        </is>
      </c>
      <c r="J37" s="215" t="inlineStr">
        <is>
          <t>LL</t>
        </is>
      </c>
      <c r="K37" s="215" t="inlineStr">
        <is>
          <t>OL</t>
        </is>
      </c>
      <c r="L37" s="215" t="n"/>
      <c r="M37" s="215" t="n"/>
      <c r="N37" s="215" t="n"/>
      <c r="O37" s="215" t="n"/>
      <c r="P37" s="215" t="n"/>
      <c r="Q37" s="215" t="n"/>
      <c r="R37" s="215" t="n"/>
      <c r="S37" s="215" t="n"/>
      <c r="T37" s="215" t="n"/>
      <c r="U37" s="215" t="n"/>
      <c r="V37" s="215" t="inlineStr">
        <is>
          <t>NVG-2.0</t>
        </is>
      </c>
      <c r="W37" s="215" t="n"/>
      <c r="X37" s="215" t="n"/>
      <c r="Y37" s="215" t="n"/>
      <c r="Z37" s="215" t="n"/>
      <c r="AA37" s="215" t="inlineStr">
        <is>
          <t>NVG-2.0</t>
        </is>
      </c>
      <c r="AB37" s="215" t="n"/>
      <c r="AC37" s="215" t="inlineStr">
        <is>
          <t>P2</t>
        </is>
      </c>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inlineStr">
        <is>
          <t>FLT-2.0</t>
        </is>
      </c>
      <c r="H39" s="226" t="n"/>
      <c r="I39" s="226" t="inlineStr">
        <is>
          <t>FLT-1.5</t>
        </is>
      </c>
      <c r="J39" s="226" t="n"/>
      <c r="K39" s="226" t="n"/>
      <c r="L39" s="226" t="n"/>
      <c r="M39" s="226" t="inlineStr">
        <is>
          <t>LL</t>
        </is>
      </c>
      <c r="N39" s="226" t="inlineStr">
        <is>
          <t>LL</t>
        </is>
      </c>
      <c r="O39" s="226" t="inlineStr">
        <is>
          <t>LL</t>
        </is>
      </c>
      <c r="P39" s="226" t="inlineStr">
        <is>
          <t>FLT-2.0</t>
        </is>
      </c>
      <c r="Q39" s="226" t="n"/>
      <c r="R39" s="226" t="inlineStr">
        <is>
          <t>OL</t>
        </is>
      </c>
      <c r="S39" s="226" t="inlineStr">
        <is>
          <t>FLT-2.0</t>
        </is>
      </c>
      <c r="T39" s="226" t="inlineStr">
        <is>
          <t>FLT-3.0</t>
        </is>
      </c>
      <c r="U39" s="226" t="inlineStr">
        <is>
          <t>SDO</t>
        </is>
      </c>
      <c r="V39" s="226" t="n"/>
      <c r="W39" s="226" t="n"/>
      <c r="X39" s="226" t="n"/>
      <c r="Y39" s="226" t="n"/>
      <c r="Z39" s="226" t="n"/>
      <c r="AA39" s="226" t="n"/>
      <c r="AB39" s="226" t="n"/>
      <c r="AC39" s="226" t="n"/>
      <c r="AD39" s="226" t="n"/>
      <c r="AE39" s="226" t="n"/>
      <c r="AF39" s="226" t="n"/>
      <c r="AG39" s="226" t="inlineStr">
        <is>
          <t>SDO</t>
        </is>
      </c>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inlineStr">
        <is>
          <t>SIM</t>
        </is>
      </c>
      <c r="G40" s="231" t="n"/>
      <c r="H40" s="231" t="n"/>
      <c r="I40" s="231" t="n"/>
      <c r="J40" s="231" t="n"/>
      <c r="K40" s="231" t="n"/>
      <c r="L40" s="231" t="n"/>
      <c r="M40" s="231" t="inlineStr">
        <is>
          <t>LL</t>
        </is>
      </c>
      <c r="N40" s="231" t="inlineStr">
        <is>
          <t>LL</t>
        </is>
      </c>
      <c r="O40" s="231" t="inlineStr">
        <is>
          <t>LL</t>
        </is>
      </c>
      <c r="P40" s="231" t="inlineStr">
        <is>
          <t>P1</t>
        </is>
      </c>
      <c r="Q40" s="231" t="n"/>
      <c r="R40" s="231" t="inlineStr">
        <is>
          <t>OL</t>
        </is>
      </c>
      <c r="S40" s="231" t="n"/>
      <c r="T40" s="231" t="n"/>
      <c r="U40" s="231" t="n"/>
      <c r="V40" s="231" t="inlineStr">
        <is>
          <t>FLT-2.0</t>
        </is>
      </c>
      <c r="W40" s="231" t="inlineStr">
        <is>
          <t>FLT-1.5</t>
        </is>
      </c>
      <c r="X40" s="231" t="n"/>
      <c r="Y40" s="231" t="n"/>
      <c r="Z40" s="231" t="n"/>
      <c r="AA40" s="231" t="inlineStr">
        <is>
          <t>FLT-2.0</t>
        </is>
      </c>
      <c r="AB40" s="231" t="inlineStr">
        <is>
          <t>P1</t>
        </is>
      </c>
      <c r="AC40" s="231" t="inlineStr">
        <is>
          <t>SIM</t>
        </is>
      </c>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inlineStr">
        <is>
          <t>P2</t>
        </is>
      </c>
      <c r="I41" s="231" t="n"/>
      <c r="J41" s="231" t="n"/>
      <c r="K41" s="231" t="n"/>
      <c r="L41" s="231" t="n"/>
      <c r="M41" s="231" t="inlineStr">
        <is>
          <t>LL</t>
        </is>
      </c>
      <c r="N41" s="231" t="inlineStr">
        <is>
          <t>LL</t>
        </is>
      </c>
      <c r="O41" s="231" t="inlineStr">
        <is>
          <t>LL</t>
        </is>
      </c>
      <c r="P41" s="231" t="n"/>
      <c r="Q41" s="231" t="n"/>
      <c r="R41" s="231" t="inlineStr">
        <is>
          <t>OL</t>
        </is>
      </c>
      <c r="S41" s="231" t="n"/>
      <c r="T41" s="231" t="n"/>
      <c r="U41" s="231" t="n"/>
      <c r="V41" s="231" t="inlineStr">
        <is>
          <t>P2</t>
        </is>
      </c>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inlineStr">
        <is>
          <t>BU</t>
        </is>
      </c>
      <c r="G43" s="209" t="n"/>
      <c r="H43" s="209" t="n"/>
      <c r="I43" s="209" t="inlineStr">
        <is>
          <t>SDO</t>
        </is>
      </c>
      <c r="J43" s="209" t="n"/>
      <c r="K43" s="209" t="n"/>
      <c r="L43" s="209" t="n"/>
      <c r="M43" s="209" t="inlineStr">
        <is>
          <t>FLT-2.0</t>
        </is>
      </c>
      <c r="N43" s="209" t="inlineStr">
        <is>
          <t>FLT-1.5</t>
        </is>
      </c>
      <c r="O43" s="209" t="n"/>
      <c r="P43" s="209" t="n"/>
      <c r="Q43" s="209" t="inlineStr">
        <is>
          <t>LL</t>
        </is>
      </c>
      <c r="R43" s="209" t="inlineStr">
        <is>
          <t>LL</t>
        </is>
      </c>
      <c r="S43" s="209" t="inlineStr">
        <is>
          <t>Detachment</t>
        </is>
      </c>
      <c r="T43" s="209" t="inlineStr">
        <is>
          <t>Detachment</t>
        </is>
      </c>
      <c r="U43" s="209" t="inlineStr">
        <is>
          <t>Detachment</t>
        </is>
      </c>
      <c r="V43" s="209" t="inlineStr">
        <is>
          <t>Detachment</t>
        </is>
      </c>
      <c r="W43" s="209" t="inlineStr">
        <is>
          <t>Detachment</t>
        </is>
      </c>
      <c r="X43" s="209" t="inlineStr">
        <is>
          <t>SDO</t>
        </is>
      </c>
      <c r="Y43" s="209" t="n"/>
      <c r="Z43" s="209" t="inlineStr">
        <is>
          <t>FLT-2.0</t>
        </is>
      </c>
      <c r="AA43" s="209" t="inlineStr">
        <is>
          <t>FLT-2.0</t>
        </is>
      </c>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inlineStr">
        <is>
          <t>P1</t>
        </is>
      </c>
      <c r="F44" s="215" t="n"/>
      <c r="G44" s="215" t="n"/>
      <c r="H44" s="215" t="n"/>
      <c r="I44" s="215" t="n"/>
      <c r="J44" s="215" t="n"/>
      <c r="K44" s="215" t="n"/>
      <c r="L44" s="215" t="inlineStr">
        <is>
          <t>SIM</t>
        </is>
      </c>
      <c r="M44" s="215" t="inlineStr">
        <is>
          <t>P1</t>
        </is>
      </c>
      <c r="N44" s="215" t="n"/>
      <c r="O44" s="215" t="n"/>
      <c r="P44" s="215" t="n"/>
      <c r="Q44" s="215" t="inlineStr">
        <is>
          <t>LL</t>
        </is>
      </c>
      <c r="R44" s="215" t="inlineStr">
        <is>
          <t>LL</t>
        </is>
      </c>
      <c r="S44" s="215" t="inlineStr">
        <is>
          <t>Detachment</t>
        </is>
      </c>
      <c r="T44" s="215" t="inlineStr">
        <is>
          <t>Detachment</t>
        </is>
      </c>
      <c r="U44" s="215" t="inlineStr">
        <is>
          <t>Detachment</t>
        </is>
      </c>
      <c r="V44" s="215" t="inlineStr">
        <is>
          <t>Detachment</t>
        </is>
      </c>
      <c r="W44" s="215" t="inlineStr">
        <is>
          <t>Detachment</t>
        </is>
      </c>
      <c r="X44" s="215" t="n"/>
      <c r="Y44" s="215" t="n"/>
      <c r="Z44" s="215" t="n"/>
      <c r="AA44" s="215" t="n"/>
      <c r="AB44" s="215" t="inlineStr">
        <is>
          <t>FLT-1.5</t>
        </is>
      </c>
      <c r="AC44" s="215" t="n"/>
      <c r="AD44" s="215" t="n"/>
      <c r="AE44" s="215" t="n"/>
      <c r="AF44" s="215" t="n"/>
      <c r="AG44" s="215" t="inlineStr">
        <is>
          <t>FLT-2.0</t>
        </is>
      </c>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inlineStr">
        <is>
          <t>NVG-2.0</t>
        </is>
      </c>
      <c r="G45" s="215" t="n"/>
      <c r="H45" s="215" t="n"/>
      <c r="I45" s="215" t="n"/>
      <c r="J45" s="215" t="n"/>
      <c r="K45" s="215" t="n"/>
      <c r="L45" s="215" t="n"/>
      <c r="M45" s="215" t="n"/>
      <c r="N45" s="215" t="n"/>
      <c r="O45" s="215" t="inlineStr">
        <is>
          <t>NVG-2.0</t>
        </is>
      </c>
      <c r="P45" s="215" t="n"/>
      <c r="Q45" s="215" t="inlineStr">
        <is>
          <t>LL</t>
        </is>
      </c>
      <c r="R45" s="215" t="inlineStr">
        <is>
          <t>LL</t>
        </is>
      </c>
      <c r="S45" s="215" t="inlineStr">
        <is>
          <t>Detachment</t>
        </is>
      </c>
      <c r="T45" s="215" t="inlineStr">
        <is>
          <t>Detachment</t>
        </is>
      </c>
      <c r="U45" s="215" t="inlineStr">
        <is>
          <t>Detachment</t>
        </is>
      </c>
      <c r="V45" s="215" t="inlineStr">
        <is>
          <t>Detachment</t>
        </is>
      </c>
      <c r="W45" s="215" t="inlineStr">
        <is>
          <t>Detachment</t>
        </is>
      </c>
      <c r="X45" s="215" t="n"/>
      <c r="Y45" s="215" t="n"/>
      <c r="Z45" s="215" t="n"/>
      <c r="AA45" s="215" t="n"/>
      <c r="AB45" s="215" t="n"/>
      <c r="AC45" s="215" t="inlineStr">
        <is>
          <t>NVG-2.0</t>
        </is>
      </c>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inlineStr">
        <is>
          <t>Outstation</t>
        </is>
      </c>
      <c r="F47" s="226" t="n"/>
      <c r="G47" s="226" t="n"/>
      <c r="H47" s="226" t="n"/>
      <c r="I47" s="226" t="inlineStr">
        <is>
          <t>FLT-2.0</t>
        </is>
      </c>
      <c r="J47" s="226" t="n"/>
      <c r="K47" s="226" t="n"/>
      <c r="L47" s="226" t="n"/>
      <c r="M47" s="226" t="n"/>
      <c r="N47" s="226" t="inlineStr">
        <is>
          <t>FLT-2.0</t>
        </is>
      </c>
      <c r="O47" s="226" t="n"/>
      <c r="P47" s="226" t="inlineStr">
        <is>
          <t>FLT-1.5</t>
        </is>
      </c>
      <c r="Q47" s="226" t="n"/>
      <c r="R47" s="226" t="n"/>
      <c r="S47" s="226" t="n"/>
      <c r="T47" s="226" t="n"/>
      <c r="U47" s="226" t="n"/>
      <c r="V47" s="226" t="n"/>
      <c r="W47" s="226" t="n"/>
      <c r="X47" s="226" t="n"/>
      <c r="Y47" s="226" t="n"/>
      <c r="Z47" s="226" t="inlineStr">
        <is>
          <t>BU</t>
        </is>
      </c>
      <c r="AA47" s="226" t="inlineStr">
        <is>
          <t>LL</t>
        </is>
      </c>
      <c r="AB47" s="226" t="inlineStr">
        <is>
          <t>LL</t>
        </is>
      </c>
      <c r="AC47" s="226" t="inlineStr">
        <is>
          <t>LL</t>
        </is>
      </c>
      <c r="AD47" s="226" t="n"/>
      <c r="AE47" s="226" t="n"/>
      <c r="AF47" s="226" t="n"/>
      <c r="AG47" s="226" t="inlineStr">
        <is>
          <t>FLT-2.0</t>
        </is>
      </c>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inlineStr">
        <is>
          <t>FLT-1.5</t>
        </is>
      </c>
      <c r="F48" s="231" t="n"/>
      <c r="G48" s="231" t="inlineStr">
        <is>
          <t>P1</t>
        </is>
      </c>
      <c r="H48" s="231" t="n"/>
      <c r="I48" s="231" t="n"/>
      <c r="J48" s="231" t="n"/>
      <c r="K48" s="231" t="n"/>
      <c r="L48" s="231" t="n"/>
      <c r="M48" s="231" t="n"/>
      <c r="N48" s="231" t="inlineStr">
        <is>
          <t>P1</t>
        </is>
      </c>
      <c r="O48" s="231" t="n"/>
      <c r="P48" s="231" t="n"/>
      <c r="Q48" s="231" t="n"/>
      <c r="R48" s="231" t="n"/>
      <c r="S48" s="231" t="inlineStr">
        <is>
          <t>FLT-2.0</t>
        </is>
      </c>
      <c r="T48" s="231" t="n"/>
      <c r="U48" s="231" t="inlineStr">
        <is>
          <t>FLT-2.0</t>
        </is>
      </c>
      <c r="V48" s="231" t="n"/>
      <c r="W48" s="231" t="n"/>
      <c r="X48" s="231" t="n"/>
      <c r="Y48" s="231" t="n"/>
      <c r="Z48" s="231" t="n"/>
      <c r="AA48" s="231" t="inlineStr">
        <is>
          <t>LL</t>
        </is>
      </c>
      <c r="AB48" s="231" t="inlineStr">
        <is>
          <t>LL</t>
        </is>
      </c>
      <c r="AC48" s="231" t="inlineStr">
        <is>
          <t>LL</t>
        </is>
      </c>
      <c r="AD48" s="231" t="inlineStr">
        <is>
          <t>SIM</t>
        </is>
      </c>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inlineStr">
        <is>
          <t>LL</t>
        </is>
      </c>
      <c r="AB49" s="231" t="inlineStr">
        <is>
          <t>LL</t>
        </is>
      </c>
      <c r="AC49" s="231" t="inlineStr">
        <is>
          <t>LL</t>
        </is>
      </c>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Plan'!$Q$57:$W$67,2*INT((0+WEEKDAY($A$3,2)-1)/7)+1,MOD(0+WEEKDAY($A$3,2)-1,7)+1)&amp;""="","","BDO")&lt;&gt;"",IF(INDEX('SDO Plan'!$Q$57:$W$67,2*INT((0+WEEKDAY($A$3,2)-1)/7)+1,MOD(0+WEEKDAY($A$3,2)-1,7)+1)&amp;""="","","SDO")&lt;&gt;""),"BDO+SDO",IF(INDEX('BDO Plan'!$Q$57:$W$67,2*INT((0+WEEKDAY($A$3,2)-1)/7)+1,MOD(0+WEEKDAY($A$3,2)-1,7)+1)&amp;""="","","BDO")&amp;IF(INDEX('SDO Plan'!$Q$57:$W$67,2*INT((0+WEEKDAY($A$3,2)-1)/7)+1,MOD(0+WEEKDAY($A$3,2)-1,7)+1)&amp;""="","","SDO")))</f>
        <v/>
      </c>
      <c r="E25" s="202">
        <f>IF(E$5="","",IF(AND(IF(INDEX('BDO Plan'!$Q$57:$W$67,2*INT((1+WEEKDAY($A$3,2)-1)/7)+1,MOD(1+WEEKDAY($A$3,2)-1,7)+1)&amp;""="","","BDO")&lt;&gt;"",IF(INDEX('SDO Plan'!$Q$57:$W$67,2*INT((1+WEEKDAY($A$3,2)-1)/7)+1,MOD(1+WEEKDAY($A$3,2)-1,7)+1)&amp;""="","","SDO")&lt;&gt;""),"BDO+SDO",IF(INDEX('BDO Plan'!$Q$57:$W$67,2*INT((1+WEEKDAY($A$3,2)-1)/7)+1,MOD(1+WEEKDAY($A$3,2)-1,7)+1)&amp;""="","","BDO")&amp;IF(INDEX('SDO Plan'!$Q$57:$W$67,2*INT((1+WEEKDAY($A$3,2)-1)/7)+1,MOD(1+WEEKDAY($A$3,2)-1,7)+1)&amp;""="","","SDO")))</f>
        <v/>
      </c>
      <c r="F25" s="202">
        <f>IF(F$5="","",IF(AND(IF(INDEX('BDO Plan'!$Q$57:$W$67,2*INT((2+WEEKDAY($A$3,2)-1)/7)+1,MOD(2+WEEKDAY($A$3,2)-1,7)+1)&amp;""="","","BDO")&lt;&gt;"",IF(INDEX('SDO Plan'!$Q$57:$W$67,2*INT((2+WEEKDAY($A$3,2)-1)/7)+1,MOD(2+WEEKDAY($A$3,2)-1,7)+1)&amp;""="","","SDO")&lt;&gt;""),"BDO+SDO",IF(INDEX('BDO Plan'!$Q$57:$W$67,2*INT((2+WEEKDAY($A$3,2)-1)/7)+1,MOD(2+WEEKDAY($A$3,2)-1,7)+1)&amp;""="","","BDO")&amp;IF(INDEX('SDO Plan'!$Q$57:$W$67,2*INT((2+WEEKDAY($A$3,2)-1)/7)+1,MOD(2+WEEKDAY($A$3,2)-1,7)+1)&amp;""="","","SDO")))</f>
        <v/>
      </c>
      <c r="G25" s="202">
        <f>IF(G$5="","",IF(AND(IF(INDEX('BDO Plan'!$Q$57:$W$67,2*INT((3+WEEKDAY($A$3,2)-1)/7)+1,MOD(3+WEEKDAY($A$3,2)-1,7)+1)&amp;""="","","BDO")&lt;&gt;"",IF(INDEX('SDO Plan'!$Q$57:$W$67,2*INT((3+WEEKDAY($A$3,2)-1)/7)+1,MOD(3+WEEKDAY($A$3,2)-1,7)+1)&amp;""="","","SDO")&lt;&gt;""),"BDO+SDO",IF(INDEX('BDO Plan'!$Q$57:$W$67,2*INT((3+WEEKDAY($A$3,2)-1)/7)+1,MOD(3+WEEKDAY($A$3,2)-1,7)+1)&amp;""="","","BDO")&amp;IF(INDEX('SDO Plan'!$Q$57:$W$67,2*INT((3+WEEKDAY($A$3,2)-1)/7)+1,MOD(3+WEEKDAY($A$3,2)-1,7)+1)&amp;""="","","SDO")))</f>
        <v/>
      </c>
      <c r="H25" s="202">
        <f>IF(H$5="","",IF(AND(IF(INDEX('BDO Plan'!$Q$57:$W$67,2*INT((4+WEEKDAY($A$3,2)-1)/7)+1,MOD(4+WEEKDAY($A$3,2)-1,7)+1)&amp;""="","","BDO")&lt;&gt;"",IF(INDEX('SDO Plan'!$Q$57:$W$67,2*INT((4+WEEKDAY($A$3,2)-1)/7)+1,MOD(4+WEEKDAY($A$3,2)-1,7)+1)&amp;""="","","SDO")&lt;&gt;""),"BDO+SDO",IF(INDEX('BDO Plan'!$Q$57:$W$67,2*INT((4+WEEKDAY($A$3,2)-1)/7)+1,MOD(4+WEEKDAY($A$3,2)-1,7)+1)&amp;""="","","BDO")&amp;IF(INDEX('SDO Plan'!$Q$57:$W$67,2*INT((4+WEEKDAY($A$3,2)-1)/7)+1,MOD(4+WEEKDAY($A$3,2)-1,7)+1)&amp;""="","","SDO")))</f>
        <v/>
      </c>
      <c r="I25" s="202">
        <f>IF(I$5="","",IF(AND(IF(INDEX('BDO Plan'!$Q$57:$W$67,2*INT((5+WEEKDAY($A$3,2)-1)/7)+1,MOD(5+WEEKDAY($A$3,2)-1,7)+1)&amp;""="","","BDO")&lt;&gt;"",IF(INDEX('SDO Plan'!$Q$57:$W$67,2*INT((5+WEEKDAY($A$3,2)-1)/7)+1,MOD(5+WEEKDAY($A$3,2)-1,7)+1)&amp;""="","","SDO")&lt;&gt;""),"BDO+SDO",IF(INDEX('BDO Plan'!$Q$57:$W$67,2*INT((5+WEEKDAY($A$3,2)-1)/7)+1,MOD(5+WEEKDAY($A$3,2)-1,7)+1)&amp;""="","","BDO")&amp;IF(INDEX('SDO Plan'!$Q$57:$W$67,2*INT((5+WEEKDAY($A$3,2)-1)/7)+1,MOD(5+WEEKDAY($A$3,2)-1,7)+1)&amp;""="","","SDO")))</f>
        <v/>
      </c>
      <c r="J25" s="202">
        <f>IF(J$5="","",IF(AND(IF(INDEX('BDO Plan'!$Q$57:$W$67,2*INT((6+WEEKDAY($A$3,2)-1)/7)+1,MOD(6+WEEKDAY($A$3,2)-1,7)+1)&amp;""="","","BDO")&lt;&gt;"",IF(INDEX('SDO Plan'!$Q$57:$W$67,2*INT((6+WEEKDAY($A$3,2)-1)/7)+1,MOD(6+WEEKDAY($A$3,2)-1,7)+1)&amp;""="","","SDO")&lt;&gt;""),"BDO+SDO",IF(INDEX('BDO Plan'!$Q$57:$W$67,2*INT((6+WEEKDAY($A$3,2)-1)/7)+1,MOD(6+WEEKDAY($A$3,2)-1,7)+1)&amp;""="","","BDO")&amp;IF(INDEX('SDO Plan'!$Q$57:$W$67,2*INT((6+WEEKDAY($A$3,2)-1)/7)+1,MOD(6+WEEKDAY($A$3,2)-1,7)+1)&amp;""="","","SDO")))</f>
        <v/>
      </c>
      <c r="K25" s="202">
        <f>IF(K$5="","",IF(AND(IF(INDEX('BDO Plan'!$Q$57:$W$67,2*INT((7+WEEKDAY($A$3,2)-1)/7)+1,MOD(7+WEEKDAY($A$3,2)-1,7)+1)&amp;""="","","BDO")&lt;&gt;"",IF(INDEX('SDO Plan'!$Q$57:$W$67,2*INT((7+WEEKDAY($A$3,2)-1)/7)+1,MOD(7+WEEKDAY($A$3,2)-1,7)+1)&amp;""="","","SDO")&lt;&gt;""),"BDO+SDO",IF(INDEX('BDO Plan'!$Q$57:$W$67,2*INT((7+WEEKDAY($A$3,2)-1)/7)+1,MOD(7+WEEKDAY($A$3,2)-1,7)+1)&amp;""="","","BDO")&amp;IF(INDEX('SDO Plan'!$Q$57:$W$67,2*INT((7+WEEKDAY($A$3,2)-1)/7)+1,MOD(7+WEEKDAY($A$3,2)-1,7)+1)&amp;""="","","SDO")))</f>
        <v/>
      </c>
      <c r="L25" s="202">
        <f>IF(L$5="","",IF(AND(IF(INDEX('BDO Plan'!$Q$57:$W$67,2*INT((8+WEEKDAY($A$3,2)-1)/7)+1,MOD(8+WEEKDAY($A$3,2)-1,7)+1)&amp;""="","","BDO")&lt;&gt;"",IF(INDEX('SDO Plan'!$Q$57:$W$67,2*INT((8+WEEKDAY($A$3,2)-1)/7)+1,MOD(8+WEEKDAY($A$3,2)-1,7)+1)&amp;""="","","SDO")&lt;&gt;""),"BDO+SDO",IF(INDEX('BDO Plan'!$Q$57:$W$67,2*INT((8+WEEKDAY($A$3,2)-1)/7)+1,MOD(8+WEEKDAY($A$3,2)-1,7)+1)&amp;""="","","BDO")&amp;IF(INDEX('SDO Plan'!$Q$57:$W$67,2*INT((8+WEEKDAY($A$3,2)-1)/7)+1,MOD(8+WEEKDAY($A$3,2)-1,7)+1)&amp;""="","","SDO")))</f>
        <v/>
      </c>
      <c r="M25" s="202">
        <f>IF(M$5="","",IF(AND(IF(INDEX('BDO Plan'!$Q$57:$W$67,2*INT((9+WEEKDAY($A$3,2)-1)/7)+1,MOD(9+WEEKDAY($A$3,2)-1,7)+1)&amp;""="","","BDO")&lt;&gt;"",IF(INDEX('SDO Plan'!$Q$57:$W$67,2*INT((9+WEEKDAY($A$3,2)-1)/7)+1,MOD(9+WEEKDAY($A$3,2)-1,7)+1)&amp;""="","","SDO")&lt;&gt;""),"BDO+SDO",IF(INDEX('BDO Plan'!$Q$57:$W$67,2*INT((9+WEEKDAY($A$3,2)-1)/7)+1,MOD(9+WEEKDAY($A$3,2)-1,7)+1)&amp;""="","","BDO")&amp;IF(INDEX('SDO Plan'!$Q$57:$W$67,2*INT((9+WEEKDAY($A$3,2)-1)/7)+1,MOD(9+WEEKDAY($A$3,2)-1,7)+1)&amp;""="","","SDO")))</f>
        <v/>
      </c>
      <c r="N25" s="202">
        <f>IF(N$5="","",IF(AND(IF(INDEX('BDO Plan'!$Q$57:$W$67,2*INT((10+WEEKDAY($A$3,2)-1)/7)+1,MOD(10+WEEKDAY($A$3,2)-1,7)+1)&amp;""="","","BDO")&lt;&gt;"",IF(INDEX('SDO Plan'!$Q$57:$W$67,2*INT((10+WEEKDAY($A$3,2)-1)/7)+1,MOD(10+WEEKDAY($A$3,2)-1,7)+1)&amp;""="","","SDO")&lt;&gt;""),"BDO+SDO",IF(INDEX('BDO Plan'!$Q$57:$W$67,2*INT((10+WEEKDAY($A$3,2)-1)/7)+1,MOD(10+WEEKDAY($A$3,2)-1,7)+1)&amp;""="","","BDO")&amp;IF(INDEX('SDO Plan'!$Q$57:$W$67,2*INT((10+WEEKDAY($A$3,2)-1)/7)+1,MOD(10+WEEKDAY($A$3,2)-1,7)+1)&amp;""="","","SDO")))</f>
        <v/>
      </c>
      <c r="O25" s="202">
        <f>IF(O$5="","",IF(AND(IF(INDEX('BDO Plan'!$Q$57:$W$67,2*INT((11+WEEKDAY($A$3,2)-1)/7)+1,MOD(11+WEEKDAY($A$3,2)-1,7)+1)&amp;""="","","BDO")&lt;&gt;"",IF(INDEX('SDO Plan'!$Q$57:$W$67,2*INT((11+WEEKDAY($A$3,2)-1)/7)+1,MOD(11+WEEKDAY($A$3,2)-1,7)+1)&amp;""="","","SDO")&lt;&gt;""),"BDO+SDO",IF(INDEX('BDO Plan'!$Q$57:$W$67,2*INT((11+WEEKDAY($A$3,2)-1)/7)+1,MOD(11+WEEKDAY($A$3,2)-1,7)+1)&amp;""="","","BDO")&amp;IF(INDEX('SDO Plan'!$Q$57:$W$67,2*INT((11+WEEKDAY($A$3,2)-1)/7)+1,MOD(11+WEEKDAY($A$3,2)-1,7)+1)&amp;""="","","SDO")))</f>
        <v/>
      </c>
      <c r="P25" s="202">
        <f>IF(P$5="","",IF(AND(IF(INDEX('BDO Plan'!$Q$57:$W$67,2*INT((12+WEEKDAY($A$3,2)-1)/7)+1,MOD(12+WEEKDAY($A$3,2)-1,7)+1)&amp;""="","","BDO")&lt;&gt;"",IF(INDEX('SDO Plan'!$Q$57:$W$67,2*INT((12+WEEKDAY($A$3,2)-1)/7)+1,MOD(12+WEEKDAY($A$3,2)-1,7)+1)&amp;""="","","SDO")&lt;&gt;""),"BDO+SDO",IF(INDEX('BDO Plan'!$Q$57:$W$67,2*INT((12+WEEKDAY($A$3,2)-1)/7)+1,MOD(12+WEEKDAY($A$3,2)-1,7)+1)&amp;""="","","BDO")&amp;IF(INDEX('SDO Plan'!$Q$57:$W$67,2*INT((12+WEEKDAY($A$3,2)-1)/7)+1,MOD(12+WEEKDAY($A$3,2)-1,7)+1)&amp;""="","","SDO")))</f>
        <v/>
      </c>
      <c r="Q25" s="202">
        <f>IF(Q$5="","",IF(AND(IF(INDEX('BDO Plan'!$Q$57:$W$67,2*INT((13+WEEKDAY($A$3,2)-1)/7)+1,MOD(13+WEEKDAY($A$3,2)-1,7)+1)&amp;""="","","BDO")&lt;&gt;"",IF(INDEX('SDO Plan'!$Q$57:$W$67,2*INT((13+WEEKDAY($A$3,2)-1)/7)+1,MOD(13+WEEKDAY($A$3,2)-1,7)+1)&amp;""="","","SDO")&lt;&gt;""),"BDO+SDO",IF(INDEX('BDO Plan'!$Q$57:$W$67,2*INT((13+WEEKDAY($A$3,2)-1)/7)+1,MOD(13+WEEKDAY($A$3,2)-1,7)+1)&amp;""="","","BDO")&amp;IF(INDEX('SDO Plan'!$Q$57:$W$67,2*INT((13+WEEKDAY($A$3,2)-1)/7)+1,MOD(13+WEEKDAY($A$3,2)-1,7)+1)&amp;""="","","SDO")))</f>
        <v/>
      </c>
      <c r="R25" s="202">
        <f>IF(R$5="","",IF(AND(IF(INDEX('BDO Plan'!$Q$57:$W$67,2*INT((14+WEEKDAY($A$3,2)-1)/7)+1,MOD(14+WEEKDAY($A$3,2)-1,7)+1)&amp;""="","","BDO")&lt;&gt;"",IF(INDEX('SDO Plan'!$Q$57:$W$67,2*INT((14+WEEKDAY($A$3,2)-1)/7)+1,MOD(14+WEEKDAY($A$3,2)-1,7)+1)&amp;""="","","SDO")&lt;&gt;""),"BDO+SDO",IF(INDEX('BDO Plan'!$Q$57:$W$67,2*INT((14+WEEKDAY($A$3,2)-1)/7)+1,MOD(14+WEEKDAY($A$3,2)-1,7)+1)&amp;""="","","BDO")&amp;IF(INDEX('SDO Plan'!$Q$57:$W$67,2*INT((14+WEEKDAY($A$3,2)-1)/7)+1,MOD(14+WEEKDAY($A$3,2)-1,7)+1)&amp;""="","","SDO")))</f>
        <v/>
      </c>
      <c r="S25" s="202">
        <f>IF(S$5="","",IF(AND(IF(INDEX('BDO Plan'!$Q$57:$W$67,2*INT((15+WEEKDAY($A$3,2)-1)/7)+1,MOD(15+WEEKDAY($A$3,2)-1,7)+1)&amp;""="","","BDO")&lt;&gt;"",IF(INDEX('SDO Plan'!$Q$57:$W$67,2*INT((15+WEEKDAY($A$3,2)-1)/7)+1,MOD(15+WEEKDAY($A$3,2)-1,7)+1)&amp;""="","","SDO")&lt;&gt;""),"BDO+SDO",IF(INDEX('BDO Plan'!$Q$57:$W$67,2*INT((15+WEEKDAY($A$3,2)-1)/7)+1,MOD(15+WEEKDAY($A$3,2)-1,7)+1)&amp;""="","","BDO")&amp;IF(INDEX('SDO Plan'!$Q$57:$W$67,2*INT((15+WEEKDAY($A$3,2)-1)/7)+1,MOD(15+WEEKDAY($A$3,2)-1,7)+1)&amp;""="","","SDO")))</f>
        <v/>
      </c>
      <c r="T25" s="202">
        <f>IF(T$5="","",IF(AND(IF(INDEX('BDO Plan'!$Q$57:$W$67,2*INT((16+WEEKDAY($A$3,2)-1)/7)+1,MOD(16+WEEKDAY($A$3,2)-1,7)+1)&amp;""="","","BDO")&lt;&gt;"",IF(INDEX('SDO Plan'!$Q$57:$W$67,2*INT((16+WEEKDAY($A$3,2)-1)/7)+1,MOD(16+WEEKDAY($A$3,2)-1,7)+1)&amp;""="","","SDO")&lt;&gt;""),"BDO+SDO",IF(INDEX('BDO Plan'!$Q$57:$W$67,2*INT((16+WEEKDAY($A$3,2)-1)/7)+1,MOD(16+WEEKDAY($A$3,2)-1,7)+1)&amp;""="","","BDO")&amp;IF(INDEX('SDO Plan'!$Q$57:$W$67,2*INT((16+WEEKDAY($A$3,2)-1)/7)+1,MOD(16+WEEKDAY($A$3,2)-1,7)+1)&amp;""="","","SDO")))</f>
        <v/>
      </c>
      <c r="U25" s="202">
        <f>IF(U$5="","",IF(AND(IF(INDEX('BDO Plan'!$Q$57:$W$67,2*INT((17+WEEKDAY($A$3,2)-1)/7)+1,MOD(17+WEEKDAY($A$3,2)-1,7)+1)&amp;""="","","BDO")&lt;&gt;"",IF(INDEX('SDO Plan'!$Q$57:$W$67,2*INT((17+WEEKDAY($A$3,2)-1)/7)+1,MOD(17+WEEKDAY($A$3,2)-1,7)+1)&amp;""="","","SDO")&lt;&gt;""),"BDO+SDO",IF(INDEX('BDO Plan'!$Q$57:$W$67,2*INT((17+WEEKDAY($A$3,2)-1)/7)+1,MOD(17+WEEKDAY($A$3,2)-1,7)+1)&amp;""="","","BDO")&amp;IF(INDEX('SDO Plan'!$Q$57:$W$67,2*INT((17+WEEKDAY($A$3,2)-1)/7)+1,MOD(17+WEEKDAY($A$3,2)-1,7)+1)&amp;""="","","SDO")))</f>
        <v/>
      </c>
      <c r="V25" s="202">
        <f>IF(V$5="","",IF(AND(IF(INDEX('BDO Plan'!$Q$57:$W$67,2*INT((18+WEEKDAY($A$3,2)-1)/7)+1,MOD(18+WEEKDAY($A$3,2)-1,7)+1)&amp;""="","","BDO")&lt;&gt;"",IF(INDEX('SDO Plan'!$Q$57:$W$67,2*INT((18+WEEKDAY($A$3,2)-1)/7)+1,MOD(18+WEEKDAY($A$3,2)-1,7)+1)&amp;""="","","SDO")&lt;&gt;""),"BDO+SDO",IF(INDEX('BDO Plan'!$Q$57:$W$67,2*INT((18+WEEKDAY($A$3,2)-1)/7)+1,MOD(18+WEEKDAY($A$3,2)-1,7)+1)&amp;""="","","BDO")&amp;IF(INDEX('SDO Plan'!$Q$57:$W$67,2*INT((18+WEEKDAY($A$3,2)-1)/7)+1,MOD(18+WEEKDAY($A$3,2)-1,7)+1)&amp;""="","","SDO")))</f>
        <v/>
      </c>
      <c r="W25" s="202">
        <f>IF(W$5="","",IF(AND(IF(INDEX('BDO Plan'!$Q$57:$W$67,2*INT((19+WEEKDAY($A$3,2)-1)/7)+1,MOD(19+WEEKDAY($A$3,2)-1,7)+1)&amp;""="","","BDO")&lt;&gt;"",IF(INDEX('SDO Plan'!$Q$57:$W$67,2*INT((19+WEEKDAY($A$3,2)-1)/7)+1,MOD(19+WEEKDAY($A$3,2)-1,7)+1)&amp;""="","","SDO")&lt;&gt;""),"BDO+SDO",IF(INDEX('BDO Plan'!$Q$57:$W$67,2*INT((19+WEEKDAY($A$3,2)-1)/7)+1,MOD(19+WEEKDAY($A$3,2)-1,7)+1)&amp;""="","","BDO")&amp;IF(INDEX('SDO Plan'!$Q$57:$W$67,2*INT((19+WEEKDAY($A$3,2)-1)/7)+1,MOD(19+WEEKDAY($A$3,2)-1,7)+1)&amp;""="","","SDO")))</f>
        <v/>
      </c>
      <c r="X25" s="202">
        <f>IF(X$5="","",IF(AND(IF(INDEX('BDO Plan'!$Q$57:$W$67,2*INT((20+WEEKDAY($A$3,2)-1)/7)+1,MOD(20+WEEKDAY($A$3,2)-1,7)+1)&amp;""="","","BDO")&lt;&gt;"",IF(INDEX('SDO Plan'!$Q$57:$W$67,2*INT((20+WEEKDAY($A$3,2)-1)/7)+1,MOD(20+WEEKDAY($A$3,2)-1,7)+1)&amp;""="","","SDO")&lt;&gt;""),"BDO+SDO",IF(INDEX('BDO Plan'!$Q$57:$W$67,2*INT((20+WEEKDAY($A$3,2)-1)/7)+1,MOD(20+WEEKDAY($A$3,2)-1,7)+1)&amp;""="","","BDO")&amp;IF(INDEX('SDO Plan'!$Q$57:$W$67,2*INT((20+WEEKDAY($A$3,2)-1)/7)+1,MOD(20+WEEKDAY($A$3,2)-1,7)+1)&amp;""="","","SDO")))</f>
        <v/>
      </c>
      <c r="Y25" s="202">
        <f>IF(Y$5="","",IF(AND(IF(INDEX('BDO Plan'!$Q$57:$W$67,2*INT((21+WEEKDAY($A$3,2)-1)/7)+1,MOD(21+WEEKDAY($A$3,2)-1,7)+1)&amp;""="","","BDO")&lt;&gt;"",IF(INDEX('SDO Plan'!$Q$57:$W$67,2*INT((21+WEEKDAY($A$3,2)-1)/7)+1,MOD(21+WEEKDAY($A$3,2)-1,7)+1)&amp;""="","","SDO")&lt;&gt;""),"BDO+SDO",IF(INDEX('BDO Plan'!$Q$57:$W$67,2*INT((21+WEEKDAY($A$3,2)-1)/7)+1,MOD(21+WEEKDAY($A$3,2)-1,7)+1)&amp;""="","","BDO")&amp;IF(INDEX('SDO Plan'!$Q$57:$W$67,2*INT((21+WEEKDAY($A$3,2)-1)/7)+1,MOD(21+WEEKDAY($A$3,2)-1,7)+1)&amp;""="","","SDO")))</f>
        <v/>
      </c>
      <c r="Z25" s="202">
        <f>IF(Z$5="","",IF(AND(IF(INDEX('BDO Plan'!$Q$57:$W$67,2*INT((22+WEEKDAY($A$3,2)-1)/7)+1,MOD(22+WEEKDAY($A$3,2)-1,7)+1)&amp;""="","","BDO")&lt;&gt;"",IF(INDEX('SDO Plan'!$Q$57:$W$67,2*INT((22+WEEKDAY($A$3,2)-1)/7)+1,MOD(22+WEEKDAY($A$3,2)-1,7)+1)&amp;""="","","SDO")&lt;&gt;""),"BDO+SDO",IF(INDEX('BDO Plan'!$Q$57:$W$67,2*INT((22+WEEKDAY($A$3,2)-1)/7)+1,MOD(22+WEEKDAY($A$3,2)-1,7)+1)&amp;""="","","BDO")&amp;IF(INDEX('SDO Plan'!$Q$57:$W$67,2*INT((22+WEEKDAY($A$3,2)-1)/7)+1,MOD(22+WEEKDAY($A$3,2)-1,7)+1)&amp;""="","","SDO")))</f>
        <v/>
      </c>
      <c r="AA25" s="202">
        <f>IF(AA$5="","",IF(AND(IF(INDEX('BDO Plan'!$Q$57:$W$67,2*INT((23+WEEKDAY($A$3,2)-1)/7)+1,MOD(23+WEEKDAY($A$3,2)-1,7)+1)&amp;""="","","BDO")&lt;&gt;"",IF(INDEX('SDO Plan'!$Q$57:$W$67,2*INT((23+WEEKDAY($A$3,2)-1)/7)+1,MOD(23+WEEKDAY($A$3,2)-1,7)+1)&amp;""="","","SDO")&lt;&gt;""),"BDO+SDO",IF(INDEX('BDO Plan'!$Q$57:$W$67,2*INT((23+WEEKDAY($A$3,2)-1)/7)+1,MOD(23+WEEKDAY($A$3,2)-1,7)+1)&amp;""="","","BDO")&amp;IF(INDEX('SDO Plan'!$Q$57:$W$67,2*INT((23+WEEKDAY($A$3,2)-1)/7)+1,MOD(23+WEEKDAY($A$3,2)-1,7)+1)&amp;""="","","SDO")))</f>
        <v/>
      </c>
      <c r="AB25" s="202">
        <f>IF(AB$5="","",IF(AND(IF(INDEX('BDO Plan'!$Q$57:$W$67,2*INT((24+WEEKDAY($A$3,2)-1)/7)+1,MOD(24+WEEKDAY($A$3,2)-1,7)+1)&amp;""="","","BDO")&lt;&gt;"",IF(INDEX('SDO Plan'!$Q$57:$W$67,2*INT((24+WEEKDAY($A$3,2)-1)/7)+1,MOD(24+WEEKDAY($A$3,2)-1,7)+1)&amp;""="","","SDO")&lt;&gt;""),"BDO+SDO",IF(INDEX('BDO Plan'!$Q$57:$W$67,2*INT((24+WEEKDAY($A$3,2)-1)/7)+1,MOD(24+WEEKDAY($A$3,2)-1,7)+1)&amp;""="","","BDO")&amp;IF(INDEX('SDO Plan'!$Q$57:$W$67,2*INT((24+WEEKDAY($A$3,2)-1)/7)+1,MOD(24+WEEKDAY($A$3,2)-1,7)+1)&amp;""="","","SDO")))</f>
        <v/>
      </c>
      <c r="AC25" s="202">
        <f>IF(AC$5="","",IF(AND(IF(INDEX('BDO Plan'!$Q$57:$W$67,2*INT((25+WEEKDAY($A$3,2)-1)/7)+1,MOD(25+WEEKDAY($A$3,2)-1,7)+1)&amp;""="","","BDO")&lt;&gt;"",IF(INDEX('SDO Plan'!$Q$57:$W$67,2*INT((25+WEEKDAY($A$3,2)-1)/7)+1,MOD(25+WEEKDAY($A$3,2)-1,7)+1)&amp;""="","","SDO")&lt;&gt;""),"BDO+SDO",IF(INDEX('BDO Plan'!$Q$57:$W$67,2*INT((25+WEEKDAY($A$3,2)-1)/7)+1,MOD(25+WEEKDAY($A$3,2)-1,7)+1)&amp;""="","","BDO")&amp;IF(INDEX('SDO Plan'!$Q$57:$W$67,2*INT((25+WEEKDAY($A$3,2)-1)/7)+1,MOD(25+WEEKDAY($A$3,2)-1,7)+1)&amp;""="","","SDO")))</f>
        <v/>
      </c>
      <c r="AD25" s="202">
        <f>IF(AD$5="","",IF(AND(IF(INDEX('BDO Plan'!$Q$57:$W$67,2*INT((26+WEEKDAY($A$3,2)-1)/7)+1,MOD(26+WEEKDAY($A$3,2)-1,7)+1)&amp;""="","","BDO")&lt;&gt;"",IF(INDEX('SDO Plan'!$Q$57:$W$67,2*INT((26+WEEKDAY($A$3,2)-1)/7)+1,MOD(26+WEEKDAY($A$3,2)-1,7)+1)&amp;""="","","SDO")&lt;&gt;""),"BDO+SDO",IF(INDEX('BDO Plan'!$Q$57:$W$67,2*INT((26+WEEKDAY($A$3,2)-1)/7)+1,MOD(26+WEEKDAY($A$3,2)-1,7)+1)&amp;""="","","BDO")&amp;IF(INDEX('SDO Plan'!$Q$57:$W$67,2*INT((26+WEEKDAY($A$3,2)-1)/7)+1,MOD(26+WEEKDAY($A$3,2)-1,7)+1)&amp;""="","","SDO")))</f>
        <v/>
      </c>
      <c r="AE25" s="202">
        <f>IF(AE$5="","",IF(AND(IF(INDEX('BDO Plan'!$Q$57:$W$67,2*INT((27+WEEKDAY($A$3,2)-1)/7)+1,MOD(27+WEEKDAY($A$3,2)-1,7)+1)&amp;""="","","BDO")&lt;&gt;"",IF(INDEX('SDO Plan'!$Q$57:$W$67,2*INT((27+WEEKDAY($A$3,2)-1)/7)+1,MOD(27+WEEKDAY($A$3,2)-1,7)+1)&amp;""="","","SDO")&lt;&gt;""),"BDO+SDO",IF(INDEX('BDO Plan'!$Q$57:$W$67,2*INT((27+WEEKDAY($A$3,2)-1)/7)+1,MOD(27+WEEKDAY($A$3,2)-1,7)+1)&amp;""="","","BDO")&amp;IF(INDEX('SDO Plan'!$Q$57:$W$67,2*INT((27+WEEKDAY($A$3,2)-1)/7)+1,MOD(27+WEEKDAY($A$3,2)-1,7)+1)&amp;""="","","SDO")))</f>
        <v/>
      </c>
      <c r="AF25" s="202">
        <f>IF(AF$5="","",IF(AND(IF(INDEX('BDO Plan'!$Q$57:$W$67,2*INT((28+WEEKDAY($A$3,2)-1)/7)+1,MOD(28+WEEKDAY($A$3,2)-1,7)+1)&amp;""="","","BDO")&lt;&gt;"",IF(INDEX('SDO Plan'!$Q$57:$W$67,2*INT((28+WEEKDAY($A$3,2)-1)/7)+1,MOD(28+WEEKDAY($A$3,2)-1,7)+1)&amp;""="","","SDO")&lt;&gt;""),"BDO+SDO",IF(INDEX('BDO Plan'!$Q$57:$W$67,2*INT((28+WEEKDAY($A$3,2)-1)/7)+1,MOD(28+WEEKDAY($A$3,2)-1,7)+1)&amp;""="","","BDO")&amp;IF(INDEX('SDO Plan'!$Q$57:$W$67,2*INT((28+WEEKDAY($A$3,2)-1)/7)+1,MOD(28+WEEKDAY($A$3,2)-1,7)+1)&amp;""="","","SDO")))</f>
        <v/>
      </c>
      <c r="AG25" s="202">
        <f>IF(AG$5="","",IF(AND(IF(INDEX('BDO Plan'!$Q$57:$W$67,2*INT((29+WEEKDAY($A$3,2)-1)/7)+1,MOD(29+WEEKDAY($A$3,2)-1,7)+1)&amp;""="","","BDO")&lt;&gt;"",IF(INDEX('SDO Plan'!$Q$57:$W$67,2*INT((29+WEEKDAY($A$3,2)-1)/7)+1,MOD(29+WEEKDAY($A$3,2)-1,7)+1)&amp;""="","","SDO")&lt;&gt;""),"BDO+SDO",IF(INDEX('BDO Plan'!$Q$57:$W$67,2*INT((29+WEEKDAY($A$3,2)-1)/7)+1,MOD(29+WEEKDAY($A$3,2)-1,7)+1)&amp;""="","","BDO")&amp;IF(INDEX('SDO Plan'!$Q$57:$W$67,2*INT((29+WEEKDAY($A$3,2)-1)/7)+1,MOD(29+WEEKDAY($A$3,2)-1,7)+1)&amp;""="","","SDO")))</f>
        <v/>
      </c>
      <c r="AH25" s="202">
        <f>IF(AH$5="","",IF(AND(IF(INDEX('BDO Plan'!$Q$57:$W$67,2*INT((30+WEEKDAY($A$3,2)-1)/7)+1,MOD(30+WEEKDAY($A$3,2)-1,7)+1)&amp;""="","","BDO")&lt;&gt;"",IF(INDEX('SDO Plan'!$Q$57:$W$67,2*INT((30+WEEKDAY($A$3,2)-1)/7)+1,MOD(30+WEEKDAY($A$3,2)-1,7)+1)&amp;""="","","SDO")&lt;&gt;""),"BDO+SDO",IF(INDEX('BDO Plan'!$Q$57:$W$67,2*INT((30+WEEKDAY($A$3,2)-1)/7)+1,MOD(30+WEEKDAY($A$3,2)-1,7)+1)&amp;""="","","BDO")&amp;IF(INDEX('SDO Plan'!$Q$57:$W$67,2*INT((30+WEEKDAY($A$3,2)-1)/7)+1,MOD(30+WEEKDAY($A$3,2)-1,7)+1)&amp;""="","","SDO")))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7C3AED"/>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Loadmaster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Plan'!$A$73:$G$83,2*INT((0+WEEKDAY($A$3,2)-1)/7)+1,MOD(0+WEEKDAY($A$3,2)-1,7)+1)&amp;""="","","BDO")&lt;&gt;"",IF(INDEX('SDO Plan'!$A$73:$G$83,2*INT((0+WEEKDAY($A$3,2)-1)/7)+1,MOD(0+WEEKDAY($A$3,2)-1,7)+1)&amp;""="","","SDO")&lt;&gt;""),"BDO+SDO",IF(INDEX('BDO Plan'!$A$73:$G$83,2*INT((0+WEEKDAY($A$3,2)-1)/7)+1,MOD(0+WEEKDAY($A$3,2)-1,7)+1)&amp;""="","","BDO")&amp;IF(INDEX('SDO Plan'!$A$73:$G$83,2*INT((0+WEEKDAY($A$3,2)-1)/7)+1,MOD(0+WEEKDAY($A$3,2)-1,7)+1)&amp;""="","","SDO")))</f>
        <v/>
      </c>
      <c r="E25" s="202">
        <f>IF(E$5="","",IF(AND(IF(INDEX('BDO Plan'!$A$73:$G$83,2*INT((1+WEEKDAY($A$3,2)-1)/7)+1,MOD(1+WEEKDAY($A$3,2)-1,7)+1)&amp;""="","","BDO")&lt;&gt;"",IF(INDEX('SDO Plan'!$A$73:$G$83,2*INT((1+WEEKDAY($A$3,2)-1)/7)+1,MOD(1+WEEKDAY($A$3,2)-1,7)+1)&amp;""="","","SDO")&lt;&gt;""),"BDO+SDO",IF(INDEX('BDO Plan'!$A$73:$G$83,2*INT((1+WEEKDAY($A$3,2)-1)/7)+1,MOD(1+WEEKDAY($A$3,2)-1,7)+1)&amp;""="","","BDO")&amp;IF(INDEX('SDO Plan'!$A$73:$G$83,2*INT((1+WEEKDAY($A$3,2)-1)/7)+1,MOD(1+WEEKDAY($A$3,2)-1,7)+1)&amp;""="","","SDO")))</f>
        <v/>
      </c>
      <c r="F25" s="202">
        <f>IF(F$5="","",IF(AND(IF(INDEX('BDO Plan'!$A$73:$G$83,2*INT((2+WEEKDAY($A$3,2)-1)/7)+1,MOD(2+WEEKDAY($A$3,2)-1,7)+1)&amp;""="","","BDO")&lt;&gt;"",IF(INDEX('SDO Plan'!$A$73:$G$83,2*INT((2+WEEKDAY($A$3,2)-1)/7)+1,MOD(2+WEEKDAY($A$3,2)-1,7)+1)&amp;""="","","SDO")&lt;&gt;""),"BDO+SDO",IF(INDEX('BDO Plan'!$A$73:$G$83,2*INT((2+WEEKDAY($A$3,2)-1)/7)+1,MOD(2+WEEKDAY($A$3,2)-1,7)+1)&amp;""="","","BDO")&amp;IF(INDEX('SDO Plan'!$A$73:$G$83,2*INT((2+WEEKDAY($A$3,2)-1)/7)+1,MOD(2+WEEKDAY($A$3,2)-1,7)+1)&amp;""="","","SDO")))</f>
        <v/>
      </c>
      <c r="G25" s="202">
        <f>IF(G$5="","",IF(AND(IF(INDEX('BDO Plan'!$A$73:$G$83,2*INT((3+WEEKDAY($A$3,2)-1)/7)+1,MOD(3+WEEKDAY($A$3,2)-1,7)+1)&amp;""="","","BDO")&lt;&gt;"",IF(INDEX('SDO Plan'!$A$73:$G$83,2*INT((3+WEEKDAY($A$3,2)-1)/7)+1,MOD(3+WEEKDAY($A$3,2)-1,7)+1)&amp;""="","","SDO")&lt;&gt;""),"BDO+SDO",IF(INDEX('BDO Plan'!$A$73:$G$83,2*INT((3+WEEKDAY($A$3,2)-1)/7)+1,MOD(3+WEEKDAY($A$3,2)-1,7)+1)&amp;""="","","BDO")&amp;IF(INDEX('SDO Plan'!$A$73:$G$83,2*INT((3+WEEKDAY($A$3,2)-1)/7)+1,MOD(3+WEEKDAY($A$3,2)-1,7)+1)&amp;""="","","SDO")))</f>
        <v/>
      </c>
      <c r="H25" s="202">
        <f>IF(H$5="","",IF(AND(IF(INDEX('BDO Plan'!$A$73:$G$83,2*INT((4+WEEKDAY($A$3,2)-1)/7)+1,MOD(4+WEEKDAY($A$3,2)-1,7)+1)&amp;""="","","BDO")&lt;&gt;"",IF(INDEX('SDO Plan'!$A$73:$G$83,2*INT((4+WEEKDAY($A$3,2)-1)/7)+1,MOD(4+WEEKDAY($A$3,2)-1,7)+1)&amp;""="","","SDO")&lt;&gt;""),"BDO+SDO",IF(INDEX('BDO Plan'!$A$73:$G$83,2*INT((4+WEEKDAY($A$3,2)-1)/7)+1,MOD(4+WEEKDAY($A$3,2)-1,7)+1)&amp;""="","","BDO")&amp;IF(INDEX('SDO Plan'!$A$73:$G$83,2*INT((4+WEEKDAY($A$3,2)-1)/7)+1,MOD(4+WEEKDAY($A$3,2)-1,7)+1)&amp;""="","","SDO")))</f>
        <v/>
      </c>
      <c r="I25" s="202">
        <f>IF(I$5="","",IF(AND(IF(INDEX('BDO Plan'!$A$73:$G$83,2*INT((5+WEEKDAY($A$3,2)-1)/7)+1,MOD(5+WEEKDAY($A$3,2)-1,7)+1)&amp;""="","","BDO")&lt;&gt;"",IF(INDEX('SDO Plan'!$A$73:$G$83,2*INT((5+WEEKDAY($A$3,2)-1)/7)+1,MOD(5+WEEKDAY($A$3,2)-1,7)+1)&amp;""="","","SDO")&lt;&gt;""),"BDO+SDO",IF(INDEX('BDO Plan'!$A$73:$G$83,2*INT((5+WEEKDAY($A$3,2)-1)/7)+1,MOD(5+WEEKDAY($A$3,2)-1,7)+1)&amp;""="","","BDO")&amp;IF(INDEX('SDO Plan'!$A$73:$G$83,2*INT((5+WEEKDAY($A$3,2)-1)/7)+1,MOD(5+WEEKDAY($A$3,2)-1,7)+1)&amp;""="","","SDO")))</f>
        <v/>
      </c>
      <c r="J25" s="202">
        <f>IF(J$5="","",IF(AND(IF(INDEX('BDO Plan'!$A$73:$G$83,2*INT((6+WEEKDAY($A$3,2)-1)/7)+1,MOD(6+WEEKDAY($A$3,2)-1,7)+1)&amp;""="","","BDO")&lt;&gt;"",IF(INDEX('SDO Plan'!$A$73:$G$83,2*INT((6+WEEKDAY($A$3,2)-1)/7)+1,MOD(6+WEEKDAY($A$3,2)-1,7)+1)&amp;""="","","SDO")&lt;&gt;""),"BDO+SDO",IF(INDEX('BDO Plan'!$A$73:$G$83,2*INT((6+WEEKDAY($A$3,2)-1)/7)+1,MOD(6+WEEKDAY($A$3,2)-1,7)+1)&amp;""="","","BDO")&amp;IF(INDEX('SDO Plan'!$A$73:$G$83,2*INT((6+WEEKDAY($A$3,2)-1)/7)+1,MOD(6+WEEKDAY($A$3,2)-1,7)+1)&amp;""="","","SDO")))</f>
        <v/>
      </c>
      <c r="K25" s="202">
        <f>IF(K$5="","",IF(AND(IF(INDEX('BDO Plan'!$A$73:$G$83,2*INT((7+WEEKDAY($A$3,2)-1)/7)+1,MOD(7+WEEKDAY($A$3,2)-1,7)+1)&amp;""="","","BDO")&lt;&gt;"",IF(INDEX('SDO Plan'!$A$73:$G$83,2*INT((7+WEEKDAY($A$3,2)-1)/7)+1,MOD(7+WEEKDAY($A$3,2)-1,7)+1)&amp;""="","","SDO")&lt;&gt;""),"BDO+SDO",IF(INDEX('BDO Plan'!$A$73:$G$83,2*INT((7+WEEKDAY($A$3,2)-1)/7)+1,MOD(7+WEEKDAY($A$3,2)-1,7)+1)&amp;""="","","BDO")&amp;IF(INDEX('SDO Plan'!$A$73:$G$83,2*INT((7+WEEKDAY($A$3,2)-1)/7)+1,MOD(7+WEEKDAY($A$3,2)-1,7)+1)&amp;""="","","SDO")))</f>
        <v/>
      </c>
      <c r="L25" s="202">
        <f>IF(L$5="","",IF(AND(IF(INDEX('BDO Plan'!$A$73:$G$83,2*INT((8+WEEKDAY($A$3,2)-1)/7)+1,MOD(8+WEEKDAY($A$3,2)-1,7)+1)&amp;""="","","BDO")&lt;&gt;"",IF(INDEX('SDO Plan'!$A$73:$G$83,2*INT((8+WEEKDAY($A$3,2)-1)/7)+1,MOD(8+WEEKDAY($A$3,2)-1,7)+1)&amp;""="","","SDO")&lt;&gt;""),"BDO+SDO",IF(INDEX('BDO Plan'!$A$73:$G$83,2*INT((8+WEEKDAY($A$3,2)-1)/7)+1,MOD(8+WEEKDAY($A$3,2)-1,7)+1)&amp;""="","","BDO")&amp;IF(INDEX('SDO Plan'!$A$73:$G$83,2*INT((8+WEEKDAY($A$3,2)-1)/7)+1,MOD(8+WEEKDAY($A$3,2)-1,7)+1)&amp;""="","","SDO")))</f>
        <v/>
      </c>
      <c r="M25" s="202">
        <f>IF(M$5="","",IF(AND(IF(INDEX('BDO Plan'!$A$73:$G$83,2*INT((9+WEEKDAY($A$3,2)-1)/7)+1,MOD(9+WEEKDAY($A$3,2)-1,7)+1)&amp;""="","","BDO")&lt;&gt;"",IF(INDEX('SDO Plan'!$A$73:$G$83,2*INT((9+WEEKDAY($A$3,2)-1)/7)+1,MOD(9+WEEKDAY($A$3,2)-1,7)+1)&amp;""="","","SDO")&lt;&gt;""),"BDO+SDO",IF(INDEX('BDO Plan'!$A$73:$G$83,2*INT((9+WEEKDAY($A$3,2)-1)/7)+1,MOD(9+WEEKDAY($A$3,2)-1,7)+1)&amp;""="","","BDO")&amp;IF(INDEX('SDO Plan'!$A$73:$G$83,2*INT((9+WEEKDAY($A$3,2)-1)/7)+1,MOD(9+WEEKDAY($A$3,2)-1,7)+1)&amp;""="","","SDO")))</f>
        <v/>
      </c>
      <c r="N25" s="202">
        <f>IF(N$5="","",IF(AND(IF(INDEX('BDO Plan'!$A$73:$G$83,2*INT((10+WEEKDAY($A$3,2)-1)/7)+1,MOD(10+WEEKDAY($A$3,2)-1,7)+1)&amp;""="","","BDO")&lt;&gt;"",IF(INDEX('SDO Plan'!$A$73:$G$83,2*INT((10+WEEKDAY($A$3,2)-1)/7)+1,MOD(10+WEEKDAY($A$3,2)-1,7)+1)&amp;""="","","SDO")&lt;&gt;""),"BDO+SDO",IF(INDEX('BDO Plan'!$A$73:$G$83,2*INT((10+WEEKDAY($A$3,2)-1)/7)+1,MOD(10+WEEKDAY($A$3,2)-1,7)+1)&amp;""="","","BDO")&amp;IF(INDEX('SDO Plan'!$A$73:$G$83,2*INT((10+WEEKDAY($A$3,2)-1)/7)+1,MOD(10+WEEKDAY($A$3,2)-1,7)+1)&amp;""="","","SDO")))</f>
        <v/>
      </c>
      <c r="O25" s="202">
        <f>IF(O$5="","",IF(AND(IF(INDEX('BDO Plan'!$A$73:$G$83,2*INT((11+WEEKDAY($A$3,2)-1)/7)+1,MOD(11+WEEKDAY($A$3,2)-1,7)+1)&amp;""="","","BDO")&lt;&gt;"",IF(INDEX('SDO Plan'!$A$73:$G$83,2*INT((11+WEEKDAY($A$3,2)-1)/7)+1,MOD(11+WEEKDAY($A$3,2)-1,7)+1)&amp;""="","","SDO")&lt;&gt;""),"BDO+SDO",IF(INDEX('BDO Plan'!$A$73:$G$83,2*INT((11+WEEKDAY($A$3,2)-1)/7)+1,MOD(11+WEEKDAY($A$3,2)-1,7)+1)&amp;""="","","BDO")&amp;IF(INDEX('SDO Plan'!$A$73:$G$83,2*INT((11+WEEKDAY($A$3,2)-1)/7)+1,MOD(11+WEEKDAY($A$3,2)-1,7)+1)&amp;""="","","SDO")))</f>
        <v/>
      </c>
      <c r="P25" s="202">
        <f>IF(P$5="","",IF(AND(IF(INDEX('BDO Plan'!$A$73:$G$83,2*INT((12+WEEKDAY($A$3,2)-1)/7)+1,MOD(12+WEEKDAY($A$3,2)-1,7)+1)&amp;""="","","BDO")&lt;&gt;"",IF(INDEX('SDO Plan'!$A$73:$G$83,2*INT((12+WEEKDAY($A$3,2)-1)/7)+1,MOD(12+WEEKDAY($A$3,2)-1,7)+1)&amp;""="","","SDO")&lt;&gt;""),"BDO+SDO",IF(INDEX('BDO Plan'!$A$73:$G$83,2*INT((12+WEEKDAY($A$3,2)-1)/7)+1,MOD(12+WEEKDAY($A$3,2)-1,7)+1)&amp;""="","","BDO")&amp;IF(INDEX('SDO Plan'!$A$73:$G$83,2*INT((12+WEEKDAY($A$3,2)-1)/7)+1,MOD(12+WEEKDAY($A$3,2)-1,7)+1)&amp;""="","","SDO")))</f>
        <v/>
      </c>
      <c r="Q25" s="202">
        <f>IF(Q$5="","",IF(AND(IF(INDEX('BDO Plan'!$A$73:$G$83,2*INT((13+WEEKDAY($A$3,2)-1)/7)+1,MOD(13+WEEKDAY($A$3,2)-1,7)+1)&amp;""="","","BDO")&lt;&gt;"",IF(INDEX('SDO Plan'!$A$73:$G$83,2*INT((13+WEEKDAY($A$3,2)-1)/7)+1,MOD(13+WEEKDAY($A$3,2)-1,7)+1)&amp;""="","","SDO")&lt;&gt;""),"BDO+SDO",IF(INDEX('BDO Plan'!$A$73:$G$83,2*INT((13+WEEKDAY($A$3,2)-1)/7)+1,MOD(13+WEEKDAY($A$3,2)-1,7)+1)&amp;""="","","BDO")&amp;IF(INDEX('SDO Plan'!$A$73:$G$83,2*INT((13+WEEKDAY($A$3,2)-1)/7)+1,MOD(13+WEEKDAY($A$3,2)-1,7)+1)&amp;""="","","SDO")))</f>
        <v/>
      </c>
      <c r="R25" s="202">
        <f>IF(R$5="","",IF(AND(IF(INDEX('BDO Plan'!$A$73:$G$83,2*INT((14+WEEKDAY($A$3,2)-1)/7)+1,MOD(14+WEEKDAY($A$3,2)-1,7)+1)&amp;""="","","BDO")&lt;&gt;"",IF(INDEX('SDO Plan'!$A$73:$G$83,2*INT((14+WEEKDAY($A$3,2)-1)/7)+1,MOD(14+WEEKDAY($A$3,2)-1,7)+1)&amp;""="","","SDO")&lt;&gt;""),"BDO+SDO",IF(INDEX('BDO Plan'!$A$73:$G$83,2*INT((14+WEEKDAY($A$3,2)-1)/7)+1,MOD(14+WEEKDAY($A$3,2)-1,7)+1)&amp;""="","","BDO")&amp;IF(INDEX('SDO Plan'!$A$73:$G$83,2*INT((14+WEEKDAY($A$3,2)-1)/7)+1,MOD(14+WEEKDAY($A$3,2)-1,7)+1)&amp;""="","","SDO")))</f>
        <v/>
      </c>
      <c r="S25" s="202">
        <f>IF(S$5="","",IF(AND(IF(INDEX('BDO Plan'!$A$73:$G$83,2*INT((15+WEEKDAY($A$3,2)-1)/7)+1,MOD(15+WEEKDAY($A$3,2)-1,7)+1)&amp;""="","","BDO")&lt;&gt;"",IF(INDEX('SDO Plan'!$A$73:$G$83,2*INT((15+WEEKDAY($A$3,2)-1)/7)+1,MOD(15+WEEKDAY($A$3,2)-1,7)+1)&amp;""="","","SDO")&lt;&gt;""),"BDO+SDO",IF(INDEX('BDO Plan'!$A$73:$G$83,2*INT((15+WEEKDAY($A$3,2)-1)/7)+1,MOD(15+WEEKDAY($A$3,2)-1,7)+1)&amp;""="","","BDO")&amp;IF(INDEX('SDO Plan'!$A$73:$G$83,2*INT((15+WEEKDAY($A$3,2)-1)/7)+1,MOD(15+WEEKDAY($A$3,2)-1,7)+1)&amp;""="","","SDO")))</f>
        <v/>
      </c>
      <c r="T25" s="202">
        <f>IF(T$5="","",IF(AND(IF(INDEX('BDO Plan'!$A$73:$G$83,2*INT((16+WEEKDAY($A$3,2)-1)/7)+1,MOD(16+WEEKDAY($A$3,2)-1,7)+1)&amp;""="","","BDO")&lt;&gt;"",IF(INDEX('SDO Plan'!$A$73:$G$83,2*INT((16+WEEKDAY($A$3,2)-1)/7)+1,MOD(16+WEEKDAY($A$3,2)-1,7)+1)&amp;""="","","SDO")&lt;&gt;""),"BDO+SDO",IF(INDEX('BDO Plan'!$A$73:$G$83,2*INT((16+WEEKDAY($A$3,2)-1)/7)+1,MOD(16+WEEKDAY($A$3,2)-1,7)+1)&amp;""="","","BDO")&amp;IF(INDEX('SDO Plan'!$A$73:$G$83,2*INT((16+WEEKDAY($A$3,2)-1)/7)+1,MOD(16+WEEKDAY($A$3,2)-1,7)+1)&amp;""="","","SDO")))</f>
        <v/>
      </c>
      <c r="U25" s="202">
        <f>IF(U$5="","",IF(AND(IF(INDEX('BDO Plan'!$A$73:$G$83,2*INT((17+WEEKDAY($A$3,2)-1)/7)+1,MOD(17+WEEKDAY($A$3,2)-1,7)+1)&amp;""="","","BDO")&lt;&gt;"",IF(INDEX('SDO Plan'!$A$73:$G$83,2*INT((17+WEEKDAY($A$3,2)-1)/7)+1,MOD(17+WEEKDAY($A$3,2)-1,7)+1)&amp;""="","","SDO")&lt;&gt;""),"BDO+SDO",IF(INDEX('BDO Plan'!$A$73:$G$83,2*INT((17+WEEKDAY($A$3,2)-1)/7)+1,MOD(17+WEEKDAY($A$3,2)-1,7)+1)&amp;""="","","BDO")&amp;IF(INDEX('SDO Plan'!$A$73:$G$83,2*INT((17+WEEKDAY($A$3,2)-1)/7)+1,MOD(17+WEEKDAY($A$3,2)-1,7)+1)&amp;""="","","SDO")))</f>
        <v/>
      </c>
      <c r="V25" s="202">
        <f>IF(V$5="","",IF(AND(IF(INDEX('BDO Plan'!$A$73:$G$83,2*INT((18+WEEKDAY($A$3,2)-1)/7)+1,MOD(18+WEEKDAY($A$3,2)-1,7)+1)&amp;""="","","BDO")&lt;&gt;"",IF(INDEX('SDO Plan'!$A$73:$G$83,2*INT((18+WEEKDAY($A$3,2)-1)/7)+1,MOD(18+WEEKDAY($A$3,2)-1,7)+1)&amp;""="","","SDO")&lt;&gt;""),"BDO+SDO",IF(INDEX('BDO Plan'!$A$73:$G$83,2*INT((18+WEEKDAY($A$3,2)-1)/7)+1,MOD(18+WEEKDAY($A$3,2)-1,7)+1)&amp;""="","","BDO")&amp;IF(INDEX('SDO Plan'!$A$73:$G$83,2*INT((18+WEEKDAY($A$3,2)-1)/7)+1,MOD(18+WEEKDAY($A$3,2)-1,7)+1)&amp;""="","","SDO")))</f>
        <v/>
      </c>
      <c r="W25" s="202">
        <f>IF(W$5="","",IF(AND(IF(INDEX('BDO Plan'!$A$73:$G$83,2*INT((19+WEEKDAY($A$3,2)-1)/7)+1,MOD(19+WEEKDAY($A$3,2)-1,7)+1)&amp;""="","","BDO")&lt;&gt;"",IF(INDEX('SDO Plan'!$A$73:$G$83,2*INT((19+WEEKDAY($A$3,2)-1)/7)+1,MOD(19+WEEKDAY($A$3,2)-1,7)+1)&amp;""="","","SDO")&lt;&gt;""),"BDO+SDO",IF(INDEX('BDO Plan'!$A$73:$G$83,2*INT((19+WEEKDAY($A$3,2)-1)/7)+1,MOD(19+WEEKDAY($A$3,2)-1,7)+1)&amp;""="","","BDO")&amp;IF(INDEX('SDO Plan'!$A$73:$G$83,2*INT((19+WEEKDAY($A$3,2)-1)/7)+1,MOD(19+WEEKDAY($A$3,2)-1,7)+1)&amp;""="","","SDO")))</f>
        <v/>
      </c>
      <c r="X25" s="202">
        <f>IF(X$5="","",IF(AND(IF(INDEX('BDO Plan'!$A$73:$G$83,2*INT((20+WEEKDAY($A$3,2)-1)/7)+1,MOD(20+WEEKDAY($A$3,2)-1,7)+1)&amp;""="","","BDO")&lt;&gt;"",IF(INDEX('SDO Plan'!$A$73:$G$83,2*INT((20+WEEKDAY($A$3,2)-1)/7)+1,MOD(20+WEEKDAY($A$3,2)-1,7)+1)&amp;""="","","SDO")&lt;&gt;""),"BDO+SDO",IF(INDEX('BDO Plan'!$A$73:$G$83,2*INT((20+WEEKDAY($A$3,2)-1)/7)+1,MOD(20+WEEKDAY($A$3,2)-1,7)+1)&amp;""="","","BDO")&amp;IF(INDEX('SDO Plan'!$A$73:$G$83,2*INT((20+WEEKDAY($A$3,2)-1)/7)+1,MOD(20+WEEKDAY($A$3,2)-1,7)+1)&amp;""="","","SDO")))</f>
        <v/>
      </c>
      <c r="Y25" s="202">
        <f>IF(Y$5="","",IF(AND(IF(INDEX('BDO Plan'!$A$73:$G$83,2*INT((21+WEEKDAY($A$3,2)-1)/7)+1,MOD(21+WEEKDAY($A$3,2)-1,7)+1)&amp;""="","","BDO")&lt;&gt;"",IF(INDEX('SDO Plan'!$A$73:$G$83,2*INT((21+WEEKDAY($A$3,2)-1)/7)+1,MOD(21+WEEKDAY($A$3,2)-1,7)+1)&amp;""="","","SDO")&lt;&gt;""),"BDO+SDO",IF(INDEX('BDO Plan'!$A$73:$G$83,2*INT((21+WEEKDAY($A$3,2)-1)/7)+1,MOD(21+WEEKDAY($A$3,2)-1,7)+1)&amp;""="","","BDO")&amp;IF(INDEX('SDO Plan'!$A$73:$G$83,2*INT((21+WEEKDAY($A$3,2)-1)/7)+1,MOD(21+WEEKDAY($A$3,2)-1,7)+1)&amp;""="","","SDO")))</f>
        <v/>
      </c>
      <c r="Z25" s="202">
        <f>IF(Z$5="","",IF(AND(IF(INDEX('BDO Plan'!$A$73:$G$83,2*INT((22+WEEKDAY($A$3,2)-1)/7)+1,MOD(22+WEEKDAY($A$3,2)-1,7)+1)&amp;""="","","BDO")&lt;&gt;"",IF(INDEX('SDO Plan'!$A$73:$G$83,2*INT((22+WEEKDAY($A$3,2)-1)/7)+1,MOD(22+WEEKDAY($A$3,2)-1,7)+1)&amp;""="","","SDO")&lt;&gt;""),"BDO+SDO",IF(INDEX('BDO Plan'!$A$73:$G$83,2*INT((22+WEEKDAY($A$3,2)-1)/7)+1,MOD(22+WEEKDAY($A$3,2)-1,7)+1)&amp;""="","","BDO")&amp;IF(INDEX('SDO Plan'!$A$73:$G$83,2*INT((22+WEEKDAY($A$3,2)-1)/7)+1,MOD(22+WEEKDAY($A$3,2)-1,7)+1)&amp;""="","","SDO")))</f>
        <v/>
      </c>
      <c r="AA25" s="202">
        <f>IF(AA$5="","",IF(AND(IF(INDEX('BDO Plan'!$A$73:$G$83,2*INT((23+WEEKDAY($A$3,2)-1)/7)+1,MOD(23+WEEKDAY($A$3,2)-1,7)+1)&amp;""="","","BDO")&lt;&gt;"",IF(INDEX('SDO Plan'!$A$73:$G$83,2*INT((23+WEEKDAY($A$3,2)-1)/7)+1,MOD(23+WEEKDAY($A$3,2)-1,7)+1)&amp;""="","","SDO")&lt;&gt;""),"BDO+SDO",IF(INDEX('BDO Plan'!$A$73:$G$83,2*INT((23+WEEKDAY($A$3,2)-1)/7)+1,MOD(23+WEEKDAY($A$3,2)-1,7)+1)&amp;""="","","BDO")&amp;IF(INDEX('SDO Plan'!$A$73:$G$83,2*INT((23+WEEKDAY($A$3,2)-1)/7)+1,MOD(23+WEEKDAY($A$3,2)-1,7)+1)&amp;""="","","SDO")))</f>
        <v/>
      </c>
      <c r="AB25" s="202">
        <f>IF(AB$5="","",IF(AND(IF(INDEX('BDO Plan'!$A$73:$G$83,2*INT((24+WEEKDAY($A$3,2)-1)/7)+1,MOD(24+WEEKDAY($A$3,2)-1,7)+1)&amp;""="","","BDO")&lt;&gt;"",IF(INDEX('SDO Plan'!$A$73:$G$83,2*INT((24+WEEKDAY($A$3,2)-1)/7)+1,MOD(24+WEEKDAY($A$3,2)-1,7)+1)&amp;""="","","SDO")&lt;&gt;""),"BDO+SDO",IF(INDEX('BDO Plan'!$A$73:$G$83,2*INT((24+WEEKDAY($A$3,2)-1)/7)+1,MOD(24+WEEKDAY($A$3,2)-1,7)+1)&amp;""="","","BDO")&amp;IF(INDEX('SDO Plan'!$A$73:$G$83,2*INT((24+WEEKDAY($A$3,2)-1)/7)+1,MOD(24+WEEKDAY($A$3,2)-1,7)+1)&amp;""="","","SDO")))</f>
        <v/>
      </c>
      <c r="AC25" s="202">
        <f>IF(AC$5="","",IF(AND(IF(INDEX('BDO Plan'!$A$73:$G$83,2*INT((25+WEEKDAY($A$3,2)-1)/7)+1,MOD(25+WEEKDAY($A$3,2)-1,7)+1)&amp;""="","","BDO")&lt;&gt;"",IF(INDEX('SDO Plan'!$A$73:$G$83,2*INT((25+WEEKDAY($A$3,2)-1)/7)+1,MOD(25+WEEKDAY($A$3,2)-1,7)+1)&amp;""="","","SDO")&lt;&gt;""),"BDO+SDO",IF(INDEX('BDO Plan'!$A$73:$G$83,2*INT((25+WEEKDAY($A$3,2)-1)/7)+1,MOD(25+WEEKDAY($A$3,2)-1,7)+1)&amp;""="","","BDO")&amp;IF(INDEX('SDO Plan'!$A$73:$G$83,2*INT((25+WEEKDAY($A$3,2)-1)/7)+1,MOD(25+WEEKDAY($A$3,2)-1,7)+1)&amp;""="","","SDO")))</f>
        <v/>
      </c>
      <c r="AD25" s="202">
        <f>IF(AD$5="","",IF(AND(IF(INDEX('BDO Plan'!$A$73:$G$83,2*INT((26+WEEKDAY($A$3,2)-1)/7)+1,MOD(26+WEEKDAY($A$3,2)-1,7)+1)&amp;""="","","BDO")&lt;&gt;"",IF(INDEX('SDO Plan'!$A$73:$G$83,2*INT((26+WEEKDAY($A$3,2)-1)/7)+1,MOD(26+WEEKDAY($A$3,2)-1,7)+1)&amp;""="","","SDO")&lt;&gt;""),"BDO+SDO",IF(INDEX('BDO Plan'!$A$73:$G$83,2*INT((26+WEEKDAY($A$3,2)-1)/7)+1,MOD(26+WEEKDAY($A$3,2)-1,7)+1)&amp;""="","","BDO")&amp;IF(INDEX('SDO Plan'!$A$73:$G$83,2*INT((26+WEEKDAY($A$3,2)-1)/7)+1,MOD(26+WEEKDAY($A$3,2)-1,7)+1)&amp;""="","","SDO")))</f>
        <v/>
      </c>
      <c r="AE25" s="202">
        <f>IF(AE$5="","",IF(AND(IF(INDEX('BDO Plan'!$A$73:$G$83,2*INT((27+WEEKDAY($A$3,2)-1)/7)+1,MOD(27+WEEKDAY($A$3,2)-1,7)+1)&amp;""="","","BDO")&lt;&gt;"",IF(INDEX('SDO Plan'!$A$73:$G$83,2*INT((27+WEEKDAY($A$3,2)-1)/7)+1,MOD(27+WEEKDAY($A$3,2)-1,7)+1)&amp;""="","","SDO")&lt;&gt;""),"BDO+SDO",IF(INDEX('BDO Plan'!$A$73:$G$83,2*INT((27+WEEKDAY($A$3,2)-1)/7)+1,MOD(27+WEEKDAY($A$3,2)-1,7)+1)&amp;""="","","BDO")&amp;IF(INDEX('SDO Plan'!$A$73:$G$83,2*INT((27+WEEKDAY($A$3,2)-1)/7)+1,MOD(27+WEEKDAY($A$3,2)-1,7)+1)&amp;""="","","SDO")))</f>
        <v/>
      </c>
      <c r="AF25" s="202">
        <f>IF(AF$5="","",IF(AND(IF(INDEX('BDO Plan'!$A$73:$G$83,2*INT((28+WEEKDAY($A$3,2)-1)/7)+1,MOD(28+WEEKDAY($A$3,2)-1,7)+1)&amp;""="","","BDO")&lt;&gt;"",IF(INDEX('SDO Plan'!$A$73:$G$83,2*INT((28+WEEKDAY($A$3,2)-1)/7)+1,MOD(28+WEEKDAY($A$3,2)-1,7)+1)&amp;""="","","SDO")&lt;&gt;""),"BDO+SDO",IF(INDEX('BDO Plan'!$A$73:$G$83,2*INT((28+WEEKDAY($A$3,2)-1)/7)+1,MOD(28+WEEKDAY($A$3,2)-1,7)+1)&amp;""="","","BDO")&amp;IF(INDEX('SDO Plan'!$A$73:$G$83,2*INT((28+WEEKDAY($A$3,2)-1)/7)+1,MOD(28+WEEKDAY($A$3,2)-1,7)+1)&amp;""="","","SDO")))</f>
        <v/>
      </c>
      <c r="AG25" s="202">
        <f>IF(AG$5="","",IF(AND(IF(INDEX('BDO Plan'!$A$73:$G$83,2*INT((29+WEEKDAY($A$3,2)-1)/7)+1,MOD(29+WEEKDAY($A$3,2)-1,7)+1)&amp;""="","","BDO")&lt;&gt;"",IF(INDEX('SDO Plan'!$A$73:$G$83,2*INT((29+WEEKDAY($A$3,2)-1)/7)+1,MOD(29+WEEKDAY($A$3,2)-1,7)+1)&amp;""="","","SDO")&lt;&gt;""),"BDO+SDO",IF(INDEX('BDO Plan'!$A$73:$G$83,2*INT((29+WEEKDAY($A$3,2)-1)/7)+1,MOD(29+WEEKDAY($A$3,2)-1,7)+1)&amp;""="","","BDO")&amp;IF(INDEX('SDO Plan'!$A$73:$G$83,2*INT((29+WEEKDAY($A$3,2)-1)/7)+1,MOD(29+WEEKDAY($A$3,2)-1,7)+1)&amp;""="","","SDO")))</f>
        <v/>
      </c>
      <c r="AH25" s="202">
        <f>IF(AH$5="","",IF(AND(IF(INDEX('BDO Plan'!$A$73:$G$83,2*INT((30+WEEKDAY($A$3,2)-1)/7)+1,MOD(30+WEEKDAY($A$3,2)-1,7)+1)&amp;""="","","BDO")&lt;&gt;"",IF(INDEX('SDO Plan'!$A$73:$G$83,2*INT((30+WEEKDAY($A$3,2)-1)/7)+1,MOD(30+WEEKDAY($A$3,2)-1,7)+1)&amp;""="","","SDO")&lt;&gt;""),"BDO+SDO",IF(INDEX('BDO Plan'!$A$73:$G$83,2*INT((30+WEEKDAY($A$3,2)-1)/7)+1,MOD(30+WEEKDAY($A$3,2)-1,7)+1)&amp;""="","","BDO")&amp;IF(INDEX('SDO Plan'!$A$73:$G$83,2*INT((30+WEEKDAY($A$3,2)-1)/7)+1,MOD(30+WEEKDAY($A$3,2)-1,7)+1)&amp;""="","","SDO")))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2026-10-31T06:10:44Z</dcterms:created>
  <dcterms:modified xmlns:dcterms="http://purl.org/dc/terms/" xmlns:xsi="http://www.w3.org/2001/XMLSchema-instance" xsi:type="dcterms:W3CDTF">2026-10-31T06:11:10Z</dcterms:modified>
</cp:coreProperties>
</file>