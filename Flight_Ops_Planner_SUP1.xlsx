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Currency" sheetId="11" state="visible" r:id="rId11"/>
    <sheet xmlns:r="http://schemas.openxmlformats.org/officeDocument/2006/relationships" name="Currency Rules" sheetId="12" state="visible" r:id="rId12"/>
    <sheet xmlns:r="http://schemas.openxmlformats.org/officeDocument/2006/relationships" name="Activities" sheetId="13" state="visible" r:id="rId13"/>
    <sheet xmlns:r="http://schemas.openxmlformats.org/officeDocument/2006/relationships" name="Jan" sheetId="14" state="visible" r:id="rId14"/>
    <sheet xmlns:r="http://schemas.openxmlformats.org/officeDocument/2006/relationships" name="Feb" sheetId="15" state="visible" r:id="rId15"/>
    <sheet xmlns:r="http://schemas.openxmlformats.org/officeDocument/2006/relationships" name="Mar" sheetId="16" state="visible" r:id="rId16"/>
    <sheet xmlns:r="http://schemas.openxmlformats.org/officeDocument/2006/relationships" name="Apr" sheetId="17" state="visible" r:id="rId17"/>
    <sheet xmlns:r="http://schemas.openxmlformats.org/officeDocument/2006/relationships" name="May" sheetId="18" state="visible" r:id="rId18"/>
    <sheet xmlns:r="http://schemas.openxmlformats.org/officeDocument/2006/relationships" name="Jun" sheetId="19" state="visible" r:id="rId19"/>
    <sheet xmlns:r="http://schemas.openxmlformats.org/officeDocument/2006/relationships" name="Jul" sheetId="20" state="visible" r:id="rId20"/>
    <sheet xmlns:r="http://schemas.openxmlformats.org/officeDocument/2006/relationships" name="Aug" sheetId="21" state="visible" r:id="rId21"/>
    <sheet xmlns:r="http://schemas.openxmlformats.org/officeDocument/2006/relationships" name="Sep" sheetId="22" state="visible" r:id="rId22"/>
    <sheet xmlns:r="http://schemas.openxmlformats.org/officeDocument/2006/relationships" name="Oct" sheetId="23" state="visible" r:id="rId23"/>
    <sheet xmlns:r="http://schemas.openxmlformats.org/officeDocument/2006/relationships" name="Nov" sheetId="24" state="visible" r:id="rId24"/>
    <sheet xmlns:r="http://schemas.openxmlformats.org/officeDocument/2006/relationships" name="Dec" sheetId="25" state="visible" r:id="rId25"/>
  </sheets>
  <definedNames>
    <definedName name="CrewName">Roster!$C$6:$C$65</definedName>
    <definedName name="CrewCat">Roster!$E$6:$E$65</definedName>
    <definedName name="CrewStatus">Roster!$G$6:$G$65</definedName>
    <definedName name="NoteKey">'Cell Notes'!$G$6:$G$1505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0" hidden="1">'Currency'!$A$5:$AA$65</definedName>
    <definedName name="_xlnm._FilterDatabase" localSheetId="13" hidden="1">'Jan'!$A$26:$A$206</definedName>
    <definedName name="_xlnm.Print_Titles" localSheetId="13">'Jan'!$4:$5</definedName>
    <definedName name="_xlnm._FilterDatabase" localSheetId="14" hidden="1">'Feb'!$A$26:$A$206</definedName>
    <definedName name="_xlnm.Print_Titles" localSheetId="14">'Feb'!$4:$5</definedName>
    <definedName name="_xlnm._FilterDatabase" localSheetId="15" hidden="1">'Mar'!$A$26:$A$206</definedName>
    <definedName name="_xlnm.Print_Titles" localSheetId="15">'Mar'!$4:$5</definedName>
    <definedName name="_xlnm._FilterDatabase" localSheetId="16" hidden="1">'Apr'!$A$26:$A$206</definedName>
    <definedName name="_xlnm.Print_Titles" localSheetId="16">'Apr'!$4:$5</definedName>
    <definedName name="_xlnm._FilterDatabase" localSheetId="17" hidden="1">'May'!$A$26:$A$206</definedName>
    <definedName name="_xlnm.Print_Titles" localSheetId="17">'May'!$4:$5</definedName>
    <definedName name="_xlnm._FilterDatabase" localSheetId="18" hidden="1">'Jun'!$A$26:$A$206</definedName>
    <definedName name="_xlnm.Print_Titles" localSheetId="18">'Jun'!$4:$5</definedName>
    <definedName name="_xlnm._FilterDatabase" localSheetId="19" hidden="1">'Jul'!$A$26:$A$206</definedName>
    <definedName name="_xlnm.Print_Titles" localSheetId="19">'Jul'!$4:$5</definedName>
    <definedName name="_xlnm._FilterDatabase" localSheetId="20" hidden="1">'Aug'!$A$26:$A$206</definedName>
    <definedName name="_xlnm.Print_Titles" localSheetId="20">'Aug'!$4:$5</definedName>
    <definedName name="_xlnm._FilterDatabase" localSheetId="21" hidden="1">'Sep'!$A$26:$A$206</definedName>
    <definedName name="_xlnm.Print_Titles" localSheetId="21">'Sep'!$4:$5</definedName>
    <definedName name="_xlnm._FilterDatabase" localSheetId="22" hidden="1">'Oct'!$A$26:$A$206</definedName>
    <definedName name="_xlnm.Print_Titles" localSheetId="22">'Oct'!$4:$5</definedName>
    <definedName name="_xlnm._FilterDatabase" localSheetId="23" hidden="1">'Nov'!$A$26:$A$206</definedName>
    <definedName name="_xlnm.Print_Titles" localSheetId="23">'Nov'!$4:$5</definedName>
    <definedName name="_xlnm._FilterDatabase" localSheetId="24" hidden="1">'Dec'!$A$26:$A$206</definedName>
    <definedName name="_xlnm.Print_Titles" localSheetId="24">'Dec'!$4:$5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1D4ED8"/>
      <sz val="10"/>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64748B"/>
      <sz val="9"/>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1D4ED8"/>
      <sz val="12"/>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28" fillId="0" borderId="0" pivotButton="0" quotePrefix="0" xfId="0"/>
    <xf numFmtId="0" fontId="48" fillId="3" borderId="1" applyAlignment="1" pivotButton="0" quotePrefix="0" xfId="0">
      <alignment horizontal="center" vertical="center" wrapText="1"/>
    </xf>
    <xf numFmtId="0" fontId="48" fillId="3" borderId="1" applyAlignment="1" pivotButton="0" quotePrefix="0" xfId="0">
      <alignment horizontal="left" vertical="center" indent="1"/>
    </xf>
    <xf numFmtId="0" fontId="49" fillId="21" borderId="0" applyAlignment="1" pivotButton="0" quotePrefix="0" xfId="0">
      <alignment horizontal="center" vertical="center" wrapText="1"/>
    </xf>
    <xf numFmtId="0" fontId="49" fillId="28" borderId="0" applyAlignment="1" pivotButton="0" quotePrefix="0" xfId="0">
      <alignment horizontal="center" vertical="center" wrapText="1"/>
    </xf>
    <xf numFmtId="0" fontId="50" fillId="3" borderId="1" applyAlignment="1" pivotButton="0" quotePrefix="0" xfId="0">
      <alignment horizontal="left" vertical="center" indent="1"/>
    </xf>
    <xf numFmtId="0" fontId="28" fillId="31" borderId="25" applyAlignment="1" pivotButton="0" quotePrefix="0" xfId="0">
      <alignment horizontal="left" vertical="center" indent="1"/>
    </xf>
    <xf numFmtId="0" fontId="28" fillId="31" borderId="26" applyAlignment="1" pivotButton="0" quotePrefix="0" xfId="0">
      <alignment horizontal="left" vertical="center" indent="1"/>
    </xf>
    <xf numFmtId="0" fontId="28" fillId="31" borderId="27" applyAlignment="1" pivotButton="0" quotePrefix="0" xfId="0">
      <alignment horizontal="left" vertical="center" indent="1"/>
    </xf>
    <xf numFmtId="0" fontId="28" fillId="31" borderId="28" applyAlignment="1" pivotButton="0" quotePrefix="0" xfId="0">
      <alignment horizontal="left" vertical="center" indent="1"/>
    </xf>
    <xf numFmtId="0" fontId="0" fillId="31" borderId="30" pivotButton="0" quotePrefix="0" xfId="0"/>
    <xf numFmtId="0" fontId="28" fillId="31" borderId="32" applyAlignment="1" pivotButton="0" quotePrefix="0" xfId="0">
      <alignment horizontal="left" vertical="center" indent="1"/>
    </xf>
    <xf numFmtId="0" fontId="0" fillId="31" borderId="33" pivotButton="0" quotePrefix="0" xfId="0"/>
    <xf numFmtId="0" fontId="28" fillId="31" borderId="34" applyAlignment="1" pivotButton="0" quotePrefix="0" xfId="0">
      <alignment horizontal="left" vertical="center" indent="1"/>
    </xf>
    <xf numFmtId="0" fontId="0" fillId="31" borderId="35" pivotButton="0" quotePrefix="0" xfId="0"/>
    <xf numFmtId="0" fontId="28" fillId="31" borderId="36" applyAlignment="1" pivotButton="0" quotePrefix="0" xfId="0">
      <alignment horizontal="left" vertical="center" indent="1"/>
    </xf>
    <xf numFmtId="0" fontId="0" fillId="31" borderId="37" pivotButton="0" quotePrefix="0" xfId="0"/>
    <xf numFmtId="1" fontId="51" fillId="31" borderId="4" applyAlignment="1" pivotButton="0" quotePrefix="0" xfId="0">
      <alignment horizontal="left" vertical="center" indent="1"/>
    </xf>
    <xf numFmtId="173" fontId="52" fillId="31" borderId="4" applyAlignment="1" pivotButton="0" quotePrefix="0" xfId="0">
      <alignment horizontal="left" vertical="center" indent="1"/>
    </xf>
    <xf numFmtId="1" fontId="53" fillId="31" borderId="4" applyAlignment="1" pivotButton="0" quotePrefix="0" xfId="0">
      <alignment horizontal="left" vertical="center" indent="1"/>
    </xf>
    <xf numFmtId="1" fontId="54" fillId="31" borderId="29" applyAlignment="1" pivotButton="0" quotePrefix="0" xfId="0">
      <alignment horizontal="left" vertical="center" indent="1"/>
    </xf>
    <xf numFmtId="0" fontId="0" fillId="31" borderId="31" pivotButton="0" quotePrefix="0" xfId="0"/>
    <xf numFmtId="1" fontId="55" fillId="31" borderId="29" applyAlignment="1" pivotButton="0" quotePrefix="0" xfId="0">
      <alignment horizontal="left" vertical="center" indent="1"/>
    </xf>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0" fontId="30" fillId="0" borderId="0" pivotButton="0" quotePrefix="0" xfId="0"/>
    <xf numFmtId="0" fontId="19"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7" fillId="0" borderId="1" pivotButton="0" quotePrefix="0" xfId="0"/>
    <xf numFmtId="0" fontId="45" fillId="0" borderId="1" pivotButton="0" quotePrefix="0" xfId="0"/>
    <xf numFmtId="0" fontId="58" fillId="0" borderId="1" pivotButton="0" quotePrefix="0" xfId="0"/>
    <xf numFmtId="169" fontId="30" fillId="0" borderId="1" applyAlignment="1" pivotButton="0" quotePrefix="0" xfId="0">
      <alignment horizontal="center" vertical="center" wrapText="1"/>
    </xf>
    <xf numFmtId="166" fontId="30" fillId="0" borderId="1" applyAlignment="1" pivotButton="0" quotePrefix="0" xfId="0">
      <alignment horizontal="center" vertical="center" wrapText="1"/>
    </xf>
    <xf numFmtId="0" fontId="59" fillId="0" borderId="0" applyAlignment="1" pivotButton="0" quotePrefix="0" xfId="0">
      <alignment horizontal="center" vertical="center" wrapText="1"/>
    </xf>
    <xf numFmtId="0" fontId="20" fillId="0" borderId="0" pivotButton="0" quotePrefix="0" xfId="0"/>
    <xf numFmtId="174" fontId="20" fillId="0" borderId="0" applyAlignment="1" pivotButton="0" quotePrefix="0" xfId="0">
      <alignment horizontal="center" vertical="center" wrapText="1"/>
    </xf>
    <xf numFmtId="0" fontId="9" fillId="24" borderId="1" pivotButton="0" quotePrefix="0" xfId="0"/>
    <xf numFmtId="0" fontId="47" fillId="24" borderId="1" pivotButton="0" quotePrefix="0" xfId="0"/>
    <xf numFmtId="0" fontId="45" fillId="24" borderId="1" pivotButton="0" quotePrefix="0" xfId="0"/>
    <xf numFmtId="0" fontId="58" fillId="24" borderId="1" pivotButton="0" quotePrefix="0" xfId="0"/>
    <xf numFmtId="169" fontId="30" fillId="24" borderId="1" applyAlignment="1" pivotButton="0" quotePrefix="0" xfId="0">
      <alignment horizontal="center" vertical="center" wrapText="1"/>
    </xf>
    <xf numFmtId="166" fontId="30" fillId="24" borderId="1" applyAlignment="1" pivotButton="0" quotePrefix="0" xfId="0">
      <alignment horizontal="center" vertical="center" wrapText="1"/>
    </xf>
    <xf numFmtId="0" fontId="9" fillId="4" borderId="1" pivotButton="0" quotePrefix="0" xfId="0"/>
    <xf numFmtId="0" fontId="47" fillId="4" borderId="1" pivotButton="0" quotePrefix="0" xfId="0"/>
    <xf numFmtId="0" fontId="45" fillId="4" borderId="1" pivotButton="0" quotePrefix="0" xfId="0"/>
    <xf numFmtId="0" fontId="58" fillId="4" borderId="1" pivotButton="0" quotePrefix="0" xfId="0"/>
    <xf numFmtId="169" fontId="30" fillId="4" borderId="1" applyAlignment="1" pivotButton="0" quotePrefix="0" xfId="0">
      <alignment horizontal="center" vertical="center" wrapText="1"/>
    </xf>
    <xf numFmtId="166" fontId="30"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0" fillId="0" borderId="1" pivotButton="0" quotePrefix="0" xfId="0"/>
    <xf numFmtId="169" fontId="61" fillId="0" borderId="1" applyAlignment="1" pivotButton="0" quotePrefix="0" xfId="0">
      <alignment horizontal="center" vertical="center" wrapText="1"/>
    </xf>
    <xf numFmtId="166" fontId="61" fillId="0" borderId="1" applyAlignment="1" pivotButton="0" quotePrefix="0" xfId="0">
      <alignment horizontal="center" vertical="center" wrapText="1"/>
    </xf>
    <xf numFmtId="0" fontId="46"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62" fillId="3" borderId="1" pivotButton="0" quotePrefix="0" xfId="0"/>
    <xf numFmtId="0" fontId="63" fillId="0" borderId="0" pivotButton="0" quotePrefix="0" xfId="0"/>
    <xf numFmtId="0" fontId="28" fillId="31" borderId="39" applyAlignment="1" pivotButton="0" quotePrefix="0" xfId="0">
      <alignment horizontal="left" vertical="center" indent="1"/>
    </xf>
    <xf numFmtId="0" fontId="0" fillId="31" borderId="40" pivotButton="0" quotePrefix="0" xfId="0"/>
    <xf numFmtId="0" fontId="28" fillId="31" borderId="41" applyAlignment="1" pivotButton="0" quotePrefix="0" xfId="0">
      <alignment horizontal="left" vertical="center" indent="1"/>
    </xf>
    <xf numFmtId="0" fontId="28" fillId="31" borderId="42" applyAlignment="1" pivotButton="0" quotePrefix="0" xfId="0">
      <alignment horizontal="left" vertical="center" indent="1"/>
    </xf>
    <xf numFmtId="0" fontId="28" fillId="31" borderId="43" applyAlignment="1" pivotButton="0" quotePrefix="0" xfId="0">
      <alignment horizontal="left" vertical="center" indent="1"/>
    </xf>
    <xf numFmtId="1" fontId="51" fillId="31" borderId="29" applyAlignment="1" pivotButton="0" quotePrefix="0" xfId="0">
      <alignment horizontal="left" vertical="center" indent="1"/>
    </xf>
    <xf numFmtId="1"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4" fillId="31" borderId="4" applyAlignment="1" pivotButton="0" quotePrefix="0" xfId="0">
      <alignment horizontal="left" vertical="center" indent="1"/>
    </xf>
    <xf numFmtId="0" fontId="45" fillId="0" borderId="1" applyAlignment="1" pivotButton="0" quotePrefix="0" xfId="0">
      <alignment horizontal="center" vertical="center" wrapText="1"/>
    </xf>
    <xf numFmtId="0" fontId="7" fillId="0" borderId="0" pivotButton="0" quotePrefix="0" xfId="0"/>
    <xf numFmtId="0" fontId="25" fillId="2" borderId="0" applyAlignment="1" pivotButton="0" quotePrefix="0" xfId="0">
      <alignment horizontal="center" vertical="center" wrapText="1"/>
    </xf>
    <xf numFmtId="0" fontId="31" fillId="0" borderId="1" applyAlignment="1" pivotButton="0" quotePrefix="0" xfId="0">
      <alignment vertical="top"/>
    </xf>
    <xf numFmtId="0" fontId="23"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6" fillId="15" borderId="0" applyAlignment="1" pivotButton="0" quotePrefix="0" xfId="0">
      <alignment horizontal="center" vertical="center" wrapText="1"/>
    </xf>
    <xf numFmtId="0" fontId="27" fillId="16" borderId="0" applyAlignment="1" pivotButton="0" quotePrefix="0" xfId="0">
      <alignment horizontal="center" vertical="center" wrapText="1"/>
    </xf>
    <xf numFmtId="168" fontId="28" fillId="0" borderId="3" applyAlignment="1" pivotButton="0" quotePrefix="0" xfId="0">
      <alignment horizontal="left" vertical="top"/>
    </xf>
    <xf numFmtId="0" fontId="29"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21" fillId="0" borderId="0" pivotButton="0" quotePrefix="0" xfId="0"/>
    <xf numFmtId="167" fontId="16"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2" fillId="11" borderId="1" applyAlignment="1" pivotButton="0" quotePrefix="0" xfId="0">
      <alignment horizontal="center" vertical="center" wrapText="1"/>
    </xf>
    <xf numFmtId="0" fontId="21" fillId="0" borderId="1" applyAlignment="1" pivotButton="0" quotePrefix="0" xfId="0">
      <alignment horizontal="center" vertical="center" wrapText="1"/>
    </xf>
    <xf numFmtId="0" fontId="23" fillId="0" borderId="1" pivotButton="0" quotePrefix="0" xfId="0"/>
    <xf numFmtId="0" fontId="24"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0" fillId="0" borderId="1" applyAlignment="1" pivotButton="0" quotePrefix="0" xfId="0">
      <alignment horizontal="left" vertical="center" shrinkToFit="1" indent="1"/>
    </xf>
    <xf numFmtId="0" fontId="21" fillId="4" borderId="1" applyAlignment="1" pivotButton="0" quotePrefix="0" xfId="0">
      <alignment horizontal="center" vertical="center" wrapText="1"/>
    </xf>
    <xf numFmtId="0" fontId="23" fillId="4" borderId="1" pivotButton="0" quotePrefix="0" xfId="0"/>
    <xf numFmtId="0" fontId="4" fillId="3" borderId="1" applyAlignment="1" pivotButton="0" quotePrefix="0" xfId="0">
      <alignment vertical="center"/>
    </xf>
    <xf numFmtId="0" fontId="16" fillId="0" borderId="0" pivotButton="0" quotePrefix="0" xfId="0"/>
    <xf numFmtId="166" fontId="4" fillId="3" borderId="1" pivotButton="0" quotePrefix="0" xfId="0"/>
    <xf numFmtId="0" fontId="10" fillId="6" borderId="1" pivotButton="0" quotePrefix="0" xfId="0"/>
    <xf numFmtId="167" fontId="4" fillId="3"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5" borderId="1" pivotButton="0" quotePrefix="0" xfId="0"/>
    <xf numFmtId="0" fontId="16" fillId="11" borderId="1" pivotButton="0" quotePrefix="0" xfId="0"/>
    <xf numFmtId="0" fontId="17" fillId="12" borderId="1" pivotButton="0" quotePrefix="0" xfId="0"/>
    <xf numFmtId="0" fontId="18"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5"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0" fillId="6" borderId="3" applyAlignment="1" pivotButton="0" quotePrefix="0" xfId="0">
      <alignment horizontal="left" vertical="center" wrapText="1" indent="1"/>
    </xf>
    <xf numFmtId="0" fontId="32" fillId="22" borderId="3" applyAlignment="1" pivotButton="0" quotePrefix="0" xfId="0">
      <alignment horizontal="center" vertical="center" wrapText="1"/>
    </xf>
    <xf numFmtId="0" fontId="29" fillId="23" borderId="3" applyAlignment="1" pivotButton="0" quotePrefix="0" xfId="0">
      <alignment horizontal="center" vertical="bottom" shrinkToFit="1"/>
    </xf>
    <xf numFmtId="0" fontId="10"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0"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3" fillId="3" borderId="6" applyAlignment="1" pivotButton="0" quotePrefix="0" xfId="0">
      <alignment horizontal="center" vertical="top" shrinkToFit="1"/>
    </xf>
    <xf numFmtId="0" fontId="0" fillId="0" borderId="7" pivotButton="0" quotePrefix="0" xfId="0"/>
    <xf numFmtId="0" fontId="32" fillId="22" borderId="7" applyAlignment="1" pivotButton="0" quotePrefix="0" xfId="0">
      <alignment horizontal="center" vertical="center" wrapText="1"/>
    </xf>
    <xf numFmtId="0" fontId="29" fillId="23" borderId="7" applyAlignment="1" pivotButton="0" quotePrefix="0" xfId="0">
      <alignment horizontal="center" vertical="bottom" shrinkToFit="1"/>
    </xf>
    <xf numFmtId="0" fontId="0" fillId="0" borderId="8" pivotButton="0" quotePrefix="0" xfId="0"/>
    <xf numFmtId="49" fontId="33" fillId="3" borderId="8" applyAlignment="1" pivotButton="0" quotePrefix="0" xfId="0">
      <alignment horizontal="center" vertical="top" shrinkToFit="1"/>
    </xf>
    <xf numFmtId="0" fontId="0" fillId="0" borderId="3" pivotButton="0" quotePrefix="0" xfId="0"/>
    <xf numFmtId="0" fontId="34" fillId="3" borderId="3" applyAlignment="1" pivotButton="0" quotePrefix="0" xfId="0">
      <alignment horizontal="center" vertical="center" wrapText="1"/>
    </xf>
    <xf numFmtId="0" fontId="34" fillId="3" borderId="7" applyAlignment="1" pivotButton="0" quotePrefix="0" xfId="0">
      <alignment horizontal="center" vertical="center" wrapText="1"/>
    </xf>
    <xf numFmtId="0" fontId="35" fillId="25" borderId="3" applyAlignment="1" pivotButton="0" quotePrefix="0" xfId="0">
      <alignment horizontal="center" vertical="center" wrapText="1"/>
    </xf>
    <xf numFmtId="0" fontId="35"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6" fillId="26" borderId="1" applyAlignment="1" pivotButton="0" quotePrefix="0" xfId="0">
      <alignment horizontal="left" vertical="center" indent="1"/>
    </xf>
    <xf numFmtId="0" fontId="0" fillId="26" borderId="1" pivotButton="0" quotePrefix="0" xfId="0"/>
    <xf numFmtId="0" fontId="36" fillId="13" borderId="1" applyAlignment="1" pivotButton="0" quotePrefix="0" xfId="0">
      <alignment horizontal="center" vertical="center" wrapText="1"/>
    </xf>
    <xf numFmtId="49" fontId="37" fillId="27" borderId="1" applyAlignment="1" pivotButton="0" quotePrefix="0" xfId="0">
      <alignment horizontal="center" vertical="center" wrapText="1"/>
    </xf>
    <xf numFmtId="0" fontId="38" fillId="27" borderId="1" applyAlignment="1" pivotButton="0" quotePrefix="0" xfId="0">
      <alignment horizontal="center" vertical="center" wrapText="1"/>
    </xf>
    <xf numFmtId="0" fontId="0" fillId="0" borderId="17" pivotButton="0" quotePrefix="0" xfId="0"/>
    <xf numFmtId="0" fontId="26" fillId="28" borderId="0" applyAlignment="1" pivotButton="0" quotePrefix="0" xfId="0">
      <alignment horizontal="left" vertical="center" indent="1"/>
    </xf>
    <xf numFmtId="0" fontId="0" fillId="28" borderId="0" pivotButton="0" quotePrefix="0" xfId="0"/>
    <xf numFmtId="0" fontId="39" fillId="29" borderId="0" applyAlignment="1" pivotButton="0" quotePrefix="0" xfId="0">
      <alignment horizontal="center" vertical="center" wrapText="1"/>
    </xf>
    <xf numFmtId="0" fontId="40" fillId="30" borderId="1" applyAlignment="1" pivotButton="0" quotePrefix="0" xfId="0">
      <alignment horizontal="center" vertical="center" shrinkToFit="1"/>
    </xf>
    <xf numFmtId="0" fontId="41" fillId="30" borderId="1" applyAlignment="1" pivotButton="0" quotePrefix="0" xfId="0">
      <alignment horizontal="center" vertical="center" wrapText="1"/>
    </xf>
    <xf numFmtId="0" fontId="26" fillId="2" borderId="0" applyAlignment="1" pivotButton="0" quotePrefix="0" xfId="0">
      <alignment horizontal="left" vertical="center"/>
    </xf>
    <xf numFmtId="0" fontId="42" fillId="2" borderId="0" pivotButton="0" quotePrefix="0" xfId="0"/>
    <xf numFmtId="0" fontId="21" fillId="31" borderId="19" applyAlignment="1" pivotButton="0" quotePrefix="0" xfId="0">
      <alignment horizontal="center" vertical="center" shrinkToFit="1"/>
    </xf>
    <xf numFmtId="0" fontId="43" fillId="31" borderId="19" applyAlignment="1" pivotButton="0" quotePrefix="0" xfId="0">
      <alignment horizontal="left" vertical="bottom" wrapText="1" indent="1"/>
    </xf>
    <xf numFmtId="0" fontId="32" fillId="22" borderId="19" applyAlignment="1" pivotButton="0" quotePrefix="0" xfId="0">
      <alignment horizontal="center" vertical="center" wrapText="1"/>
    </xf>
    <xf numFmtId="0" fontId="45" fillId="31" borderId="19" applyAlignment="1" pivotButton="0" quotePrefix="0" xfId="0">
      <alignment horizontal="center" vertical="center" shrinkToFit="1"/>
    </xf>
    <xf numFmtId="169" fontId="46" fillId="31" borderId="19" applyAlignment="1" pivotButton="0" quotePrefix="0" xfId="0">
      <alignment horizontal="center" vertical="center" wrapText="1"/>
    </xf>
    <xf numFmtId="166" fontId="46" fillId="31" borderId="19" applyAlignment="1" pivotButton="0" quotePrefix="0" xfId="0">
      <alignment horizontal="center" vertical="center" wrapText="1"/>
    </xf>
    <xf numFmtId="170" fontId="21" fillId="31" borderId="20" applyAlignment="1" pivotButton="0" quotePrefix="0" xfId="0">
      <alignment horizontal="center" vertical="center" shrinkToFit="1"/>
    </xf>
    <xf numFmtId="0" fontId="0" fillId="31" borderId="20" pivotButton="0" quotePrefix="0" xfId="0"/>
    <xf numFmtId="0" fontId="34" fillId="3" borderId="20" applyAlignment="1" pivotButton="0" quotePrefix="0" xfId="0">
      <alignment horizontal="center" vertical="center" wrapText="1"/>
    </xf>
    <xf numFmtId="0" fontId="45" fillId="31" borderId="20" applyAlignment="1" pivotButton="0" quotePrefix="0" xfId="0">
      <alignment horizontal="center" vertical="center" shrinkToFit="1"/>
    </xf>
    <xf numFmtId="0" fontId="0" fillId="0" borderId="22" pivotButton="0" quotePrefix="0" xfId="0"/>
    <xf numFmtId="170" fontId="21" fillId="31" borderId="21" applyAlignment="1" pivotButton="0" quotePrefix="0" xfId="0">
      <alignment horizontal="center" vertical="center" shrinkToFit="1"/>
    </xf>
    <xf numFmtId="0" fontId="44" fillId="31" borderId="21" applyAlignment="1" pivotButton="0" quotePrefix="0" xfId="0">
      <alignment horizontal="left" vertical="top" shrinkToFit="1" indent="1"/>
    </xf>
    <xf numFmtId="0" fontId="35" fillId="25" borderId="21" applyAlignment="1" pivotButton="0" quotePrefix="0" xfId="0">
      <alignment horizontal="center" vertical="center" wrapText="1"/>
    </xf>
    <xf numFmtId="0" fontId="45" fillId="31" borderId="21" applyAlignment="1" pivotButton="0" quotePrefix="0" xfId="0">
      <alignment horizontal="center" vertical="center" shrinkToFit="1"/>
    </xf>
    <xf numFmtId="0" fontId="0" fillId="0" borderId="23" pivotButton="0" quotePrefix="0" xfId="0"/>
    <xf numFmtId="0" fontId="21" fillId="24" borderId="19" applyAlignment="1" pivotButton="0" quotePrefix="0" xfId="0">
      <alignment horizontal="center" vertical="center" shrinkToFit="1"/>
    </xf>
    <xf numFmtId="0" fontId="43" fillId="24" borderId="19" applyAlignment="1" pivotButton="0" quotePrefix="0" xfId="0">
      <alignment horizontal="left" vertical="bottom" wrapText="1" indent="1"/>
    </xf>
    <xf numFmtId="0" fontId="45" fillId="24" borderId="19" applyAlignment="1" pivotButton="0" quotePrefix="0" xfId="0">
      <alignment horizontal="center" vertical="center" shrinkToFit="1"/>
    </xf>
    <xf numFmtId="169" fontId="46" fillId="24" borderId="19" applyAlignment="1" pivotButton="0" quotePrefix="0" xfId="0">
      <alignment horizontal="center" vertical="center" wrapText="1"/>
    </xf>
    <xf numFmtId="166" fontId="46" fillId="24" borderId="19" applyAlignment="1" pivotButton="0" quotePrefix="0" xfId="0">
      <alignment horizontal="center" vertical="center" wrapText="1"/>
    </xf>
    <xf numFmtId="170" fontId="21" fillId="24" borderId="20" applyAlignment="1" pivotButton="0" quotePrefix="0" xfId="0">
      <alignment horizontal="center" vertical="center" shrinkToFit="1"/>
    </xf>
    <xf numFmtId="0" fontId="0" fillId="24" borderId="20" pivotButton="0" quotePrefix="0" xfId="0"/>
    <xf numFmtId="0" fontId="45" fillId="24" borderId="20" applyAlignment="1" pivotButton="0" quotePrefix="0" xfId="0">
      <alignment horizontal="center" vertical="center" shrinkToFit="1"/>
    </xf>
    <xf numFmtId="170" fontId="21" fillId="24" borderId="21" applyAlignment="1" pivotButton="0" quotePrefix="0" xfId="0">
      <alignment horizontal="center" vertical="center" shrinkToFit="1"/>
    </xf>
    <xf numFmtId="0" fontId="44" fillId="24" borderId="21" applyAlignment="1" pivotButton="0" quotePrefix="0" xfId="0">
      <alignment horizontal="left" vertical="top" shrinkToFit="1" indent="1"/>
    </xf>
    <xf numFmtId="0" fontId="45" fillId="24" borderId="21" applyAlignment="1" pivotButton="0" quotePrefix="0" xfId="0">
      <alignment horizontal="center" vertical="center" shrinkToFit="1"/>
    </xf>
    <xf numFmtId="0" fontId="21" fillId="4" borderId="24" applyAlignment="1" pivotButton="0" quotePrefix="0" xfId="0">
      <alignment horizontal="center" vertical="center" shrinkToFit="1"/>
    </xf>
    <xf numFmtId="0" fontId="43" fillId="4" borderId="24" applyAlignment="1" pivotButton="0" quotePrefix="0" xfId="0">
      <alignment horizontal="left" vertical="bottom" wrapText="1" indent="1"/>
    </xf>
    <xf numFmtId="0" fontId="32" fillId="22" borderId="24" applyAlignment="1" pivotButton="0" quotePrefix="0" xfId="0">
      <alignment horizontal="center" vertical="center" wrapText="1"/>
    </xf>
    <xf numFmtId="0" fontId="45" fillId="0" borderId="24" applyAlignment="1" pivotButton="0" quotePrefix="0" xfId="0">
      <alignment horizontal="center" vertical="center" shrinkToFit="1"/>
    </xf>
    <xf numFmtId="169" fontId="46" fillId="4" borderId="24" applyAlignment="1" pivotButton="0" quotePrefix="0" xfId="0">
      <alignment horizontal="center" vertical="center" wrapText="1"/>
    </xf>
    <xf numFmtId="166" fontId="46" fillId="4" borderId="24" applyAlignment="1" pivotButton="0" quotePrefix="0" xfId="0">
      <alignment horizontal="center" vertical="center" wrapText="1"/>
    </xf>
    <xf numFmtId="170" fontId="21" fillId="4" borderId="20" applyAlignment="1" pivotButton="0" quotePrefix="0" xfId="0">
      <alignment horizontal="center" vertical="center" shrinkToFit="1"/>
    </xf>
    <xf numFmtId="0" fontId="0" fillId="4" borderId="20" pivotButton="0" quotePrefix="0" xfId="0"/>
    <xf numFmtId="0" fontId="45" fillId="0" borderId="20" applyAlignment="1" pivotButton="0" quotePrefix="0" xfId="0">
      <alignment horizontal="center" vertical="center" shrinkToFit="1"/>
    </xf>
    <xf numFmtId="170" fontId="21" fillId="4" borderId="21" applyAlignment="1" pivotButton="0" quotePrefix="0" xfId="0">
      <alignment horizontal="center" vertical="center" shrinkToFit="1"/>
    </xf>
    <xf numFmtId="0" fontId="44" fillId="4" borderId="21" applyAlignment="1" pivotButton="0" quotePrefix="0" xfId="0">
      <alignment horizontal="left" vertical="top" shrinkToFit="1" indent="1"/>
    </xf>
    <xf numFmtId="0" fontId="45" fillId="0" borderId="21" applyAlignment="1" pivotButton="0" quotePrefix="0" xfId="0">
      <alignment horizontal="center" vertical="center" shrinkToFit="1"/>
    </xf>
    <xf numFmtId="0" fontId="21" fillId="4" borderId="19" applyAlignment="1" pivotButton="0" quotePrefix="0" xfId="0">
      <alignment horizontal="center" vertical="center" shrinkToFit="1"/>
    </xf>
    <xf numFmtId="0" fontId="43" fillId="4" borderId="19" applyAlignment="1" pivotButton="0" quotePrefix="0" xfId="0">
      <alignment horizontal="left" vertical="bottom" wrapText="1" indent="1"/>
    </xf>
    <xf numFmtId="0" fontId="45" fillId="0" borderId="19" applyAlignment="1" pivotButton="0" quotePrefix="0" xfId="0">
      <alignment horizontal="center" vertical="center" shrinkToFit="1"/>
    </xf>
    <xf numFmtId="169" fontId="46" fillId="4" borderId="19" applyAlignment="1" pivotButton="0" quotePrefix="0" xfId="0">
      <alignment horizontal="center" vertical="center" wrapText="1"/>
    </xf>
    <xf numFmtId="166" fontId="46" fillId="4" borderId="19" applyAlignment="1" pivotButton="0" quotePrefix="0" xfId="0">
      <alignment horizontal="center" vertical="center" wrapText="1"/>
    </xf>
    <xf numFmtId="0" fontId="23" fillId="24" borderId="1" applyAlignment="1" pivotButton="0" quotePrefix="0" xfId="0">
      <alignment horizontal="left" vertical="center" indent="1"/>
    </xf>
    <xf numFmtId="0" fontId="0" fillId="24" borderId="1" pivotButton="0" quotePrefix="0" xfId="0"/>
    <xf numFmtId="169" fontId="20" fillId="0" borderId="1" applyAlignment="1" pivotButton="0" quotePrefix="0" xfId="0">
      <alignment horizontal="center" vertical="center" wrapText="1"/>
    </xf>
    <xf numFmtId="0" fontId="47" fillId="24" borderId="1" applyAlignment="1" pivotButton="0" quotePrefix="0" xfId="0">
      <alignment horizontal="left" vertical="center" indent="1"/>
    </xf>
    <xf numFmtId="169" fontId="21" fillId="0" borderId="1" applyAlignment="1" pivotButton="0" quotePrefix="0" xfId="0">
      <alignment horizontal="center" vertical="center" wrapText="1"/>
    </xf>
    <xf numFmtId="166" fontId="20" fillId="0" borderId="1" applyAlignment="1" pivotButton="0" quotePrefix="0" xfId="0">
      <alignment horizontal="center" vertical="center" wrapText="1"/>
    </xf>
  </cellXfs>
  <cellStyles count="1">
    <cellStyle name="Normal" xfId="0" builtinId="0" hidden="0"/>
  </cellStyles>
  <dxfs count="37">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SUP 1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1</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SUP 1</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save a copy, change Year on the Dashboard, and clear the 12 month grids and the SDO Plan calendar.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SUP 1</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IF(YEAR(A5)&lt;&gt;PlanYear,"Date is outside planning year "&amp;PlanYear,"")</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YEAR($A$5)&lt;&gt;PlanYear,"",INDEX(CHOOSE(MONTH($A$5),'Jan'!$D$212:$AH$212,'Feb'!$D$212:$AH$212,'Mar'!$D$212:$AH$212,'Apr'!$D$212:$AH$212,'May'!$D$212:$AH$212,'Jun'!$D$212:$AH$212,'Jul'!$D$212:$AH$212,'Aug'!$D$212:$AH$212,'Sep'!$D$212:$AH$212,'Oct'!$D$212:$AH$212,'Nov'!$D$212:$AH$212,'Dec'!$D$212:$AH$212),1,DAY($A$5)))</f>
        <v/>
      </c>
      <c r="B8" s="25" t="n"/>
      <c r="C8" s="22">
        <f>IF(YEAR($A$5)&lt;&gt;PlanYear,"",INDEX(CHOOSE(MONTH($A$5),'Jan'!$D$213:$AH$213,'Feb'!$D$213:$AH$213,'Mar'!$D$213:$AH$213,'Apr'!$D$213:$AH$213,'May'!$D$213:$AH$213,'Jun'!$D$213:$AH$213,'Jul'!$D$213:$AH$213,'Aug'!$D$213:$AH$213,'Sep'!$D$213:$AH$213,'Oct'!$D$213:$AH$213,'Nov'!$D$213:$AH$213,'Dec'!$D$213:$AH$213),1,DAY($A$5)))</f>
        <v/>
      </c>
      <c r="D8" s="77">
        <f>IF(YEAR($A$5)&lt;&gt;PlanYear,"",INDEX(CHOOSE(MONTH($A$5),'Jan'!$D$214:$AH$214,'Feb'!$D$214:$AH$214,'Mar'!$D$214:$AH$214,'Apr'!$D$214:$AH$214,'May'!$D$214:$AH$214,'Jun'!$D$214:$AH$214,'Jul'!$D$214:$AH$214,'Aug'!$D$214:$AH$214,'Sep'!$D$214:$AH$214,'Oct'!$D$214:$AH$214,'Nov'!$D$214:$AH$214,'Dec'!$D$214:$AH$214),1,DAY($A$5)))</f>
        <v/>
      </c>
      <c r="E8" s="78">
        <f>IF(YEAR($A$5)&lt;&gt;PlanYear,"",INDEX(CHOOSE(MONTH($A$5),'Jan'!$D$216:$AH$216,'Feb'!$D$216:$AH$216,'Mar'!$D$216:$AH$216,'Apr'!$D$216:$AH$216,'May'!$D$216:$AH$216,'Jun'!$D$216:$AH$216,'Jul'!$D$216:$AH$216,'Aug'!$D$216:$AH$216,'Sep'!$D$216:$AH$216,'Oct'!$D$216:$AH$216,'Nov'!$D$216:$AH$216,'Dec'!$D$216:$AH$216),1,DAY($A$5)))</f>
        <v/>
      </c>
      <c r="F8" s="79">
        <f>IF(YEAR($A$5)&lt;&gt;PlanYear,"",INDEX(CHOOSE(MONTH($A$5),'Jan'!$D$217:$AH$217,'Feb'!$D$217:$AH$217,'Mar'!$D$217:$AH$217,'Apr'!$D$217:$AH$217,'May'!$D$217:$AH$217,'Jun'!$D$217:$AH$217,'Jul'!$D$217:$AH$217,'Aug'!$D$217:$AH$217,'Sep'!$D$217:$AH$217,'Oct'!$D$217:$AH$217,'Nov'!$D$217:$AH$217,'Dec'!$D$217:$AH$217),1,DAY($A$5)))</f>
        <v/>
      </c>
      <c r="G8" s="80">
        <f>IF(YEAR($A$5)&lt;&gt;PlanYear,"",IF(INDEX(CHOOSE(MONTH($A$5),'Jan'!$D$25:$AH$25,'Feb'!$D$25:$AH$25,'Mar'!$D$25:$AH$25,'Apr'!$D$25:$AH$25,'May'!$D$25:$AH$25,'Jun'!$D$25:$AH$25,'Jul'!$D$25:$AH$25,'Aug'!$D$25:$AH$25,'Sep'!$D$25:$AH$25,'Oct'!$D$25:$AH$25,'Nov'!$D$25:$AH$25,'Dec'!$D$25:$AH$25),1,DAY($A$5))="","No",INDEX(CHOOSE(MONTH($A$5),'Jan'!$D$25:$AH$25,'Feb'!$D$25:$AH$25,'Mar'!$D$25:$AH$25,'Apr'!$D$25:$AH$25,'May'!$D$25:$AH$25,'Jun'!$D$25:$AH$25,'Jul'!$D$25:$AH$25,'Aug'!$D$25:$AH$25,'Sep'!$D$25:$AH$25,'Oct'!$D$25:$AH$25,'Nov'!$D$25:$AH$25,'Dec'!$D$25:$AH$25),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YEAR($A$5)&lt;&gt;PlanYear),"",INDEX(CHOOSE(MONTH($A$5),'Jan'!$D$27:$AH$206,'Feb'!$D$27:$AH$206,'Mar'!$D$27:$AH$206,'Apr'!$D$27:$AH$206,'May'!$D$27:$AH$206,'Jun'!$D$27:$AH$206,'Jul'!$D$27:$AH$206,'Aug'!$D$27:$AH$206,'Sep'!$D$27:$AH$206,'Oct'!$D$27:$AH$206,'Nov'!$D$27:$AH$206,'Dec'!$D$27:$AH$206),1,DAY($A$5))&amp;"")</f>
        <v/>
      </c>
      <c r="E11" s="81">
        <f>IF(OR($B11="",YEAR($A$5)&lt;&gt;PlanYear),"",INDEX(CHOOSE(MONTH($A$5),'Jan'!$D$27:$AH$206,'Feb'!$D$27:$AH$206,'Mar'!$D$27:$AH$206,'Apr'!$D$27:$AH$206,'May'!$D$27:$AH$206,'Jun'!$D$27:$AH$206,'Jul'!$D$27:$AH$206,'Aug'!$D$27:$AH$206,'Sep'!$D$27:$AH$206,'Oct'!$D$27:$AH$206,'Nov'!$D$27:$AH$206,'Dec'!$D$27:$AH$206),2,DAY($A$5))&amp;"")</f>
        <v/>
      </c>
      <c r="F11" s="81">
        <f>IF(OR($B11="",YEAR($A$5)&lt;&gt;PlanYear),"",INDEX(CHOOSE(MONTH($A$5),'Jan'!$D$27:$AH$206,'Feb'!$D$27:$AH$206,'Mar'!$D$27:$AH$206,'Apr'!$D$27:$AH$206,'May'!$D$27:$AH$206,'Jun'!$D$27:$AH$206,'Jul'!$D$27:$AH$206,'Aug'!$D$27:$AH$206,'Sep'!$D$27:$AH$206,'Oct'!$D$27:$AH$206,'Nov'!$D$27:$AH$206,'Dec'!$D$27:$AH$206),3,DAY($A$5))&amp;"")</f>
        <v/>
      </c>
    </row>
    <row r="12">
      <c r="A12" s="38">
        <f>IF(Roster!$B$7="","",Roster!$B$7)</f>
        <v/>
      </c>
      <c r="B12" s="39">
        <f>IF(Roster!$C$7="","",Roster!$C$7)</f>
        <v/>
      </c>
      <c r="C12" s="40">
        <f>IF(Roster!$C$7="","",Roster!$F$7&amp;IF(OR(Roster!$G$7="SANS",Roster!$G$7="NSMEN")," | "&amp;Roster!$G$7,""))</f>
        <v/>
      </c>
      <c r="D12" s="81">
        <f>IF(OR($B12="",YEAR($A$5)&lt;&gt;PlanYear),"",INDEX(CHOOSE(MONTH($A$5),'Jan'!$D$27:$AH$206,'Feb'!$D$27:$AH$206,'Mar'!$D$27:$AH$206,'Apr'!$D$27:$AH$206,'May'!$D$27:$AH$206,'Jun'!$D$27:$AH$206,'Jul'!$D$27:$AH$206,'Aug'!$D$27:$AH$206,'Sep'!$D$27:$AH$206,'Oct'!$D$27:$AH$206,'Nov'!$D$27:$AH$206,'Dec'!$D$27:$AH$206),4,DAY($A$5))&amp;"")</f>
        <v/>
      </c>
      <c r="E12" s="81">
        <f>IF(OR($B12="",YEAR($A$5)&lt;&gt;PlanYear),"",INDEX(CHOOSE(MONTH($A$5),'Jan'!$D$27:$AH$206,'Feb'!$D$27:$AH$206,'Mar'!$D$27:$AH$206,'Apr'!$D$27:$AH$206,'May'!$D$27:$AH$206,'Jun'!$D$27:$AH$206,'Jul'!$D$27:$AH$206,'Aug'!$D$27:$AH$206,'Sep'!$D$27:$AH$206,'Oct'!$D$27:$AH$206,'Nov'!$D$27:$AH$206,'Dec'!$D$27:$AH$206),5,DAY($A$5))&amp;"")</f>
        <v/>
      </c>
      <c r="F12" s="81">
        <f>IF(OR($B12="",YEAR($A$5)&lt;&gt;PlanYear),"",INDEX(CHOOSE(MONTH($A$5),'Jan'!$D$27:$AH$206,'Feb'!$D$27:$AH$206,'Mar'!$D$27:$AH$206,'Apr'!$D$27:$AH$206,'May'!$D$27:$AH$206,'Jun'!$D$27:$AH$206,'Jul'!$D$27:$AH$206,'Aug'!$D$27:$AH$206,'Sep'!$D$27:$AH$206,'Oct'!$D$27:$AH$206,'Nov'!$D$27:$AH$206,'Dec'!$D$27:$AH$206),6,DAY($A$5))&amp;"")</f>
        <v/>
      </c>
    </row>
    <row r="13">
      <c r="A13" s="38">
        <f>IF(Roster!$B$8="","",Roster!$B$8)</f>
        <v/>
      </c>
      <c r="B13" s="39">
        <f>IF(Roster!$C$8="","",Roster!$C$8)</f>
        <v/>
      </c>
      <c r="C13" s="40">
        <f>IF(Roster!$C$8="","",Roster!$F$8&amp;IF(OR(Roster!$G$8="SANS",Roster!$G$8="NSMEN")," | "&amp;Roster!$G$8,""))</f>
        <v/>
      </c>
      <c r="D13" s="81">
        <f>IF(OR($B13="",YEAR($A$5)&lt;&gt;PlanYear),"",INDEX(CHOOSE(MONTH($A$5),'Jan'!$D$27:$AH$206,'Feb'!$D$27:$AH$206,'Mar'!$D$27:$AH$206,'Apr'!$D$27:$AH$206,'May'!$D$27:$AH$206,'Jun'!$D$27:$AH$206,'Jul'!$D$27:$AH$206,'Aug'!$D$27:$AH$206,'Sep'!$D$27:$AH$206,'Oct'!$D$27:$AH$206,'Nov'!$D$27:$AH$206,'Dec'!$D$27:$AH$206),7,DAY($A$5))&amp;"")</f>
        <v/>
      </c>
      <c r="E13" s="81">
        <f>IF(OR($B13="",YEAR($A$5)&lt;&gt;PlanYear),"",INDEX(CHOOSE(MONTH($A$5),'Jan'!$D$27:$AH$206,'Feb'!$D$27:$AH$206,'Mar'!$D$27:$AH$206,'Apr'!$D$27:$AH$206,'May'!$D$27:$AH$206,'Jun'!$D$27:$AH$206,'Jul'!$D$27:$AH$206,'Aug'!$D$27:$AH$206,'Sep'!$D$27:$AH$206,'Oct'!$D$27:$AH$206,'Nov'!$D$27:$AH$206,'Dec'!$D$27:$AH$206),8,DAY($A$5))&amp;"")</f>
        <v/>
      </c>
      <c r="F13" s="81">
        <f>IF(OR($B13="",YEAR($A$5)&lt;&gt;PlanYear),"",INDEX(CHOOSE(MONTH($A$5),'Jan'!$D$27:$AH$206,'Feb'!$D$27:$AH$206,'Mar'!$D$27:$AH$206,'Apr'!$D$27:$AH$206,'May'!$D$27:$AH$206,'Jun'!$D$27:$AH$206,'Jul'!$D$27:$AH$206,'Aug'!$D$27:$AH$206,'Sep'!$D$27:$AH$206,'Oct'!$D$27:$AH$206,'Nov'!$D$27:$AH$206,'Dec'!$D$27:$AH$206),9,DAY($A$5))&amp;"")</f>
        <v/>
      </c>
    </row>
    <row r="14">
      <c r="A14" s="38">
        <f>IF(Roster!$B$9="","",Roster!$B$9)</f>
        <v/>
      </c>
      <c r="B14" s="39">
        <f>IF(Roster!$C$9="","",Roster!$C$9)</f>
        <v/>
      </c>
      <c r="C14" s="40">
        <f>IF(Roster!$C$9="","",Roster!$F$9&amp;IF(OR(Roster!$G$9="SANS",Roster!$G$9="NSMEN")," | "&amp;Roster!$G$9,""))</f>
        <v/>
      </c>
      <c r="D14" s="81">
        <f>IF(OR($B14="",YEAR($A$5)&lt;&gt;PlanYear),"",INDEX(CHOOSE(MONTH($A$5),'Jan'!$D$27:$AH$206,'Feb'!$D$27:$AH$206,'Mar'!$D$27:$AH$206,'Apr'!$D$27:$AH$206,'May'!$D$27:$AH$206,'Jun'!$D$27:$AH$206,'Jul'!$D$27:$AH$206,'Aug'!$D$27:$AH$206,'Sep'!$D$27:$AH$206,'Oct'!$D$27:$AH$206,'Nov'!$D$27:$AH$206,'Dec'!$D$27:$AH$206),10,DAY($A$5))&amp;"")</f>
        <v/>
      </c>
      <c r="E14" s="81">
        <f>IF(OR($B14="",YEAR($A$5)&lt;&gt;PlanYear),"",INDEX(CHOOSE(MONTH($A$5),'Jan'!$D$27:$AH$206,'Feb'!$D$27:$AH$206,'Mar'!$D$27:$AH$206,'Apr'!$D$27:$AH$206,'May'!$D$27:$AH$206,'Jun'!$D$27:$AH$206,'Jul'!$D$27:$AH$206,'Aug'!$D$27:$AH$206,'Sep'!$D$27:$AH$206,'Oct'!$D$27:$AH$206,'Nov'!$D$27:$AH$206,'Dec'!$D$27:$AH$206),11,DAY($A$5))&amp;"")</f>
        <v/>
      </c>
      <c r="F14" s="81">
        <f>IF(OR($B14="",YEAR($A$5)&lt;&gt;PlanYear),"",INDEX(CHOOSE(MONTH($A$5),'Jan'!$D$27:$AH$206,'Feb'!$D$27:$AH$206,'Mar'!$D$27:$AH$206,'Apr'!$D$27:$AH$206,'May'!$D$27:$AH$206,'Jun'!$D$27:$AH$206,'Jul'!$D$27:$AH$206,'Aug'!$D$27:$AH$206,'Sep'!$D$27:$AH$206,'Oct'!$D$27:$AH$206,'Nov'!$D$27:$AH$206,'Dec'!$D$27:$AH$206),12,DAY($A$5))&amp;"")</f>
        <v/>
      </c>
    </row>
    <row r="15">
      <c r="A15" s="38">
        <f>IF(Roster!$B$10="","",Roster!$B$10)</f>
        <v/>
      </c>
      <c r="B15" s="39">
        <f>IF(Roster!$C$10="","",Roster!$C$10)</f>
        <v/>
      </c>
      <c r="C15" s="40">
        <f>IF(Roster!$C$10="","",Roster!$F$10&amp;IF(OR(Roster!$G$10="SANS",Roster!$G$10="NSMEN")," | "&amp;Roster!$G$10,""))</f>
        <v/>
      </c>
      <c r="D15" s="81">
        <f>IF(OR($B15="",YEAR($A$5)&lt;&gt;PlanYear),"",INDEX(CHOOSE(MONTH($A$5),'Jan'!$D$27:$AH$206,'Feb'!$D$27:$AH$206,'Mar'!$D$27:$AH$206,'Apr'!$D$27:$AH$206,'May'!$D$27:$AH$206,'Jun'!$D$27:$AH$206,'Jul'!$D$27:$AH$206,'Aug'!$D$27:$AH$206,'Sep'!$D$27:$AH$206,'Oct'!$D$27:$AH$206,'Nov'!$D$27:$AH$206,'Dec'!$D$27:$AH$206),13,DAY($A$5))&amp;"")</f>
        <v/>
      </c>
      <c r="E15" s="81">
        <f>IF(OR($B15="",YEAR($A$5)&lt;&gt;PlanYear),"",INDEX(CHOOSE(MONTH($A$5),'Jan'!$D$27:$AH$206,'Feb'!$D$27:$AH$206,'Mar'!$D$27:$AH$206,'Apr'!$D$27:$AH$206,'May'!$D$27:$AH$206,'Jun'!$D$27:$AH$206,'Jul'!$D$27:$AH$206,'Aug'!$D$27:$AH$206,'Sep'!$D$27:$AH$206,'Oct'!$D$27:$AH$206,'Nov'!$D$27:$AH$206,'Dec'!$D$27:$AH$206),14,DAY($A$5))&amp;"")</f>
        <v/>
      </c>
      <c r="F15" s="81">
        <f>IF(OR($B15="",YEAR($A$5)&lt;&gt;PlanYear),"",INDEX(CHOOSE(MONTH($A$5),'Jan'!$D$27:$AH$206,'Feb'!$D$27:$AH$206,'Mar'!$D$27:$AH$206,'Apr'!$D$27:$AH$206,'May'!$D$27:$AH$206,'Jun'!$D$27:$AH$206,'Jul'!$D$27:$AH$206,'Aug'!$D$27:$AH$206,'Sep'!$D$27:$AH$206,'Oct'!$D$27:$AH$206,'Nov'!$D$27:$AH$206,'Dec'!$D$27:$AH$206),15,DAY($A$5))&amp;"")</f>
        <v/>
      </c>
    </row>
    <row r="16">
      <c r="A16" s="38">
        <f>IF(Roster!$B$11="","",Roster!$B$11)</f>
        <v/>
      </c>
      <c r="B16" s="39">
        <f>IF(Roster!$C$11="","",Roster!$C$11)</f>
        <v/>
      </c>
      <c r="C16" s="40">
        <f>IF(Roster!$C$11="","",Roster!$F$11&amp;IF(OR(Roster!$G$11="SANS",Roster!$G$11="NSMEN")," | "&amp;Roster!$G$11,""))</f>
        <v/>
      </c>
      <c r="D16" s="81">
        <f>IF(OR($B16="",YEAR($A$5)&lt;&gt;PlanYear),"",INDEX(CHOOSE(MONTH($A$5),'Jan'!$D$27:$AH$206,'Feb'!$D$27:$AH$206,'Mar'!$D$27:$AH$206,'Apr'!$D$27:$AH$206,'May'!$D$27:$AH$206,'Jun'!$D$27:$AH$206,'Jul'!$D$27:$AH$206,'Aug'!$D$27:$AH$206,'Sep'!$D$27:$AH$206,'Oct'!$D$27:$AH$206,'Nov'!$D$27:$AH$206,'Dec'!$D$27:$AH$206),16,DAY($A$5))&amp;"")</f>
        <v/>
      </c>
      <c r="E16" s="81">
        <f>IF(OR($B16="",YEAR($A$5)&lt;&gt;PlanYear),"",INDEX(CHOOSE(MONTH($A$5),'Jan'!$D$27:$AH$206,'Feb'!$D$27:$AH$206,'Mar'!$D$27:$AH$206,'Apr'!$D$27:$AH$206,'May'!$D$27:$AH$206,'Jun'!$D$27:$AH$206,'Jul'!$D$27:$AH$206,'Aug'!$D$27:$AH$206,'Sep'!$D$27:$AH$206,'Oct'!$D$27:$AH$206,'Nov'!$D$27:$AH$206,'Dec'!$D$27:$AH$206),17,DAY($A$5))&amp;"")</f>
        <v/>
      </c>
      <c r="F16" s="81">
        <f>IF(OR($B16="",YEAR($A$5)&lt;&gt;PlanYear),"",INDEX(CHOOSE(MONTH($A$5),'Jan'!$D$27:$AH$206,'Feb'!$D$27:$AH$206,'Mar'!$D$27:$AH$206,'Apr'!$D$27:$AH$206,'May'!$D$27:$AH$206,'Jun'!$D$27:$AH$206,'Jul'!$D$27:$AH$206,'Aug'!$D$27:$AH$206,'Sep'!$D$27:$AH$206,'Oct'!$D$27:$AH$206,'Nov'!$D$27:$AH$206,'Dec'!$D$27:$AH$206),18,DAY($A$5))&amp;"")</f>
        <v/>
      </c>
    </row>
    <row r="17" hidden="1">
      <c r="A17" s="38">
        <f>IF(Roster!$B$12="","",Roster!$B$12)</f>
        <v/>
      </c>
      <c r="B17" s="39">
        <f>IF(Roster!$C$12="","",Roster!$C$12)</f>
        <v/>
      </c>
      <c r="C17" s="40">
        <f>IF(Roster!$C$12="","",Roster!$F$12&amp;IF(OR(Roster!$G$12="SANS",Roster!$G$12="NSMEN")," | "&amp;Roster!$G$12,""))</f>
        <v/>
      </c>
      <c r="D17" s="81">
        <f>IF(OR($B17="",YEAR($A$5)&lt;&gt;PlanYear),"",INDEX(CHOOSE(MONTH($A$5),'Jan'!$D$27:$AH$206,'Feb'!$D$27:$AH$206,'Mar'!$D$27:$AH$206,'Apr'!$D$27:$AH$206,'May'!$D$27:$AH$206,'Jun'!$D$27:$AH$206,'Jul'!$D$27:$AH$206,'Aug'!$D$27:$AH$206,'Sep'!$D$27:$AH$206,'Oct'!$D$27:$AH$206,'Nov'!$D$27:$AH$206,'Dec'!$D$27:$AH$206),19,DAY($A$5))&amp;"")</f>
        <v/>
      </c>
      <c r="E17" s="81">
        <f>IF(OR($B17="",YEAR($A$5)&lt;&gt;PlanYear),"",INDEX(CHOOSE(MONTH($A$5),'Jan'!$D$27:$AH$206,'Feb'!$D$27:$AH$206,'Mar'!$D$27:$AH$206,'Apr'!$D$27:$AH$206,'May'!$D$27:$AH$206,'Jun'!$D$27:$AH$206,'Jul'!$D$27:$AH$206,'Aug'!$D$27:$AH$206,'Sep'!$D$27:$AH$206,'Oct'!$D$27:$AH$206,'Nov'!$D$27:$AH$206,'Dec'!$D$27:$AH$206),20,DAY($A$5))&amp;"")</f>
        <v/>
      </c>
      <c r="F17" s="81">
        <f>IF(OR($B17="",YEAR($A$5)&lt;&gt;PlanYear),"",INDEX(CHOOSE(MONTH($A$5),'Jan'!$D$27:$AH$206,'Feb'!$D$27:$AH$206,'Mar'!$D$27:$AH$206,'Apr'!$D$27:$AH$206,'May'!$D$27:$AH$206,'Jun'!$D$27:$AH$206,'Jul'!$D$27:$AH$206,'Aug'!$D$27:$AH$206,'Sep'!$D$27:$AH$206,'Oct'!$D$27:$AH$206,'Nov'!$D$27:$AH$206,'Dec'!$D$27:$AH$206),21,DAY($A$5))&amp;"")</f>
        <v/>
      </c>
    </row>
    <row r="18" hidden="1">
      <c r="A18" s="38">
        <f>IF(Roster!$B$13="","",Roster!$B$13)</f>
        <v/>
      </c>
      <c r="B18" s="39">
        <f>IF(Roster!$C$13="","",Roster!$C$13)</f>
        <v/>
      </c>
      <c r="C18" s="40">
        <f>IF(Roster!$C$13="","",Roster!$F$13&amp;IF(OR(Roster!$G$13="SANS",Roster!$G$13="NSMEN")," | "&amp;Roster!$G$13,""))</f>
        <v/>
      </c>
      <c r="D18" s="81">
        <f>IF(OR($B18="",YEAR($A$5)&lt;&gt;PlanYear),"",INDEX(CHOOSE(MONTH($A$5),'Jan'!$D$27:$AH$206,'Feb'!$D$27:$AH$206,'Mar'!$D$27:$AH$206,'Apr'!$D$27:$AH$206,'May'!$D$27:$AH$206,'Jun'!$D$27:$AH$206,'Jul'!$D$27:$AH$206,'Aug'!$D$27:$AH$206,'Sep'!$D$27:$AH$206,'Oct'!$D$27:$AH$206,'Nov'!$D$27:$AH$206,'Dec'!$D$27:$AH$206),22,DAY($A$5))&amp;"")</f>
        <v/>
      </c>
      <c r="E18" s="81">
        <f>IF(OR($B18="",YEAR($A$5)&lt;&gt;PlanYear),"",INDEX(CHOOSE(MONTH($A$5),'Jan'!$D$27:$AH$206,'Feb'!$D$27:$AH$206,'Mar'!$D$27:$AH$206,'Apr'!$D$27:$AH$206,'May'!$D$27:$AH$206,'Jun'!$D$27:$AH$206,'Jul'!$D$27:$AH$206,'Aug'!$D$27:$AH$206,'Sep'!$D$27:$AH$206,'Oct'!$D$27:$AH$206,'Nov'!$D$27:$AH$206,'Dec'!$D$27:$AH$206),23,DAY($A$5))&amp;"")</f>
        <v/>
      </c>
      <c r="F18" s="81">
        <f>IF(OR($B18="",YEAR($A$5)&lt;&gt;PlanYear),"",INDEX(CHOOSE(MONTH($A$5),'Jan'!$D$27:$AH$206,'Feb'!$D$27:$AH$206,'Mar'!$D$27:$AH$206,'Apr'!$D$27:$AH$206,'May'!$D$27:$AH$206,'Jun'!$D$27:$AH$206,'Jul'!$D$27:$AH$206,'Aug'!$D$27:$AH$206,'Sep'!$D$27:$AH$206,'Oct'!$D$27:$AH$206,'Nov'!$D$27:$AH$206,'Dec'!$D$27:$AH$206),24,DAY($A$5))&amp;"")</f>
        <v/>
      </c>
    </row>
    <row r="19" hidden="1">
      <c r="A19" s="38">
        <f>IF(Roster!$B$14="","",Roster!$B$14)</f>
        <v/>
      </c>
      <c r="B19" s="39">
        <f>IF(Roster!$C$14="","",Roster!$C$14)</f>
        <v/>
      </c>
      <c r="C19" s="40">
        <f>IF(Roster!$C$14="","",Roster!$F$14&amp;IF(OR(Roster!$G$14="SANS",Roster!$G$14="NSMEN")," | "&amp;Roster!$G$14,""))</f>
        <v/>
      </c>
      <c r="D19" s="81">
        <f>IF(OR($B19="",YEAR($A$5)&lt;&gt;PlanYear),"",INDEX(CHOOSE(MONTH($A$5),'Jan'!$D$27:$AH$206,'Feb'!$D$27:$AH$206,'Mar'!$D$27:$AH$206,'Apr'!$D$27:$AH$206,'May'!$D$27:$AH$206,'Jun'!$D$27:$AH$206,'Jul'!$D$27:$AH$206,'Aug'!$D$27:$AH$206,'Sep'!$D$27:$AH$206,'Oct'!$D$27:$AH$206,'Nov'!$D$27:$AH$206,'Dec'!$D$27:$AH$206),25,DAY($A$5))&amp;"")</f>
        <v/>
      </c>
      <c r="E19" s="81">
        <f>IF(OR($B19="",YEAR($A$5)&lt;&gt;PlanYear),"",INDEX(CHOOSE(MONTH($A$5),'Jan'!$D$27:$AH$206,'Feb'!$D$27:$AH$206,'Mar'!$D$27:$AH$206,'Apr'!$D$27:$AH$206,'May'!$D$27:$AH$206,'Jun'!$D$27:$AH$206,'Jul'!$D$27:$AH$206,'Aug'!$D$27:$AH$206,'Sep'!$D$27:$AH$206,'Oct'!$D$27:$AH$206,'Nov'!$D$27:$AH$206,'Dec'!$D$27:$AH$206),26,DAY($A$5))&amp;"")</f>
        <v/>
      </c>
      <c r="F19" s="81">
        <f>IF(OR($B19="",YEAR($A$5)&lt;&gt;PlanYear),"",INDEX(CHOOSE(MONTH($A$5),'Jan'!$D$27:$AH$206,'Feb'!$D$27:$AH$206,'Mar'!$D$27:$AH$206,'Apr'!$D$27:$AH$206,'May'!$D$27:$AH$206,'Jun'!$D$27:$AH$206,'Jul'!$D$27:$AH$206,'Aug'!$D$27:$AH$206,'Sep'!$D$27:$AH$206,'Oct'!$D$27:$AH$206,'Nov'!$D$27:$AH$206,'Dec'!$D$27:$AH$206),27,DAY($A$5))&amp;"")</f>
        <v/>
      </c>
    </row>
    <row r="20" hidden="1">
      <c r="A20" s="38">
        <f>IF(Roster!$B$15="","",Roster!$B$15)</f>
        <v/>
      </c>
      <c r="B20" s="39">
        <f>IF(Roster!$C$15="","",Roster!$C$15)</f>
        <v/>
      </c>
      <c r="C20" s="40">
        <f>IF(Roster!$C$15="","",Roster!$F$15&amp;IF(OR(Roster!$G$15="SANS",Roster!$G$15="NSMEN")," | "&amp;Roster!$G$15,""))</f>
        <v/>
      </c>
      <c r="D20" s="81">
        <f>IF(OR($B20="",YEAR($A$5)&lt;&gt;PlanYear),"",INDEX(CHOOSE(MONTH($A$5),'Jan'!$D$27:$AH$206,'Feb'!$D$27:$AH$206,'Mar'!$D$27:$AH$206,'Apr'!$D$27:$AH$206,'May'!$D$27:$AH$206,'Jun'!$D$27:$AH$206,'Jul'!$D$27:$AH$206,'Aug'!$D$27:$AH$206,'Sep'!$D$27:$AH$206,'Oct'!$D$27:$AH$206,'Nov'!$D$27:$AH$206,'Dec'!$D$27:$AH$206),28,DAY($A$5))&amp;"")</f>
        <v/>
      </c>
      <c r="E20" s="81">
        <f>IF(OR($B20="",YEAR($A$5)&lt;&gt;PlanYear),"",INDEX(CHOOSE(MONTH($A$5),'Jan'!$D$27:$AH$206,'Feb'!$D$27:$AH$206,'Mar'!$D$27:$AH$206,'Apr'!$D$27:$AH$206,'May'!$D$27:$AH$206,'Jun'!$D$27:$AH$206,'Jul'!$D$27:$AH$206,'Aug'!$D$27:$AH$206,'Sep'!$D$27:$AH$206,'Oct'!$D$27:$AH$206,'Nov'!$D$27:$AH$206,'Dec'!$D$27:$AH$206),29,DAY($A$5))&amp;"")</f>
        <v/>
      </c>
      <c r="F20" s="81">
        <f>IF(OR($B20="",YEAR($A$5)&lt;&gt;PlanYear),"",INDEX(CHOOSE(MONTH($A$5),'Jan'!$D$27:$AH$206,'Feb'!$D$27:$AH$206,'Mar'!$D$27:$AH$206,'Apr'!$D$27:$AH$206,'May'!$D$27:$AH$206,'Jun'!$D$27:$AH$206,'Jul'!$D$27:$AH$206,'Aug'!$D$27:$AH$206,'Sep'!$D$27:$AH$206,'Oct'!$D$27:$AH$206,'Nov'!$D$27:$AH$206,'Dec'!$D$27:$AH$206),30,DAY($A$5))&amp;"")</f>
        <v/>
      </c>
    </row>
    <row r="21" hidden="1">
      <c r="A21" s="38">
        <f>IF(Roster!$B$16="","",Roster!$B$16)</f>
        <v/>
      </c>
      <c r="B21" s="39">
        <f>IF(Roster!$C$16="","",Roster!$C$16)</f>
        <v/>
      </c>
      <c r="C21" s="40">
        <f>IF(Roster!$C$16="","",Roster!$F$16&amp;IF(OR(Roster!$G$16="SANS",Roster!$G$16="NSMEN")," | "&amp;Roster!$G$16,""))</f>
        <v/>
      </c>
      <c r="D21" s="81">
        <f>IF(OR($B21="",YEAR($A$5)&lt;&gt;PlanYear),"",INDEX(CHOOSE(MONTH($A$5),'Jan'!$D$27:$AH$206,'Feb'!$D$27:$AH$206,'Mar'!$D$27:$AH$206,'Apr'!$D$27:$AH$206,'May'!$D$27:$AH$206,'Jun'!$D$27:$AH$206,'Jul'!$D$27:$AH$206,'Aug'!$D$27:$AH$206,'Sep'!$D$27:$AH$206,'Oct'!$D$27:$AH$206,'Nov'!$D$27:$AH$206,'Dec'!$D$27:$AH$206),31,DAY($A$5))&amp;"")</f>
        <v/>
      </c>
      <c r="E21" s="81">
        <f>IF(OR($B21="",YEAR($A$5)&lt;&gt;PlanYear),"",INDEX(CHOOSE(MONTH($A$5),'Jan'!$D$27:$AH$206,'Feb'!$D$27:$AH$206,'Mar'!$D$27:$AH$206,'Apr'!$D$27:$AH$206,'May'!$D$27:$AH$206,'Jun'!$D$27:$AH$206,'Jul'!$D$27:$AH$206,'Aug'!$D$27:$AH$206,'Sep'!$D$27:$AH$206,'Oct'!$D$27:$AH$206,'Nov'!$D$27:$AH$206,'Dec'!$D$27:$AH$206),32,DAY($A$5))&amp;"")</f>
        <v/>
      </c>
      <c r="F21" s="81">
        <f>IF(OR($B21="",YEAR($A$5)&lt;&gt;PlanYear),"",INDEX(CHOOSE(MONTH($A$5),'Jan'!$D$27:$AH$206,'Feb'!$D$27:$AH$206,'Mar'!$D$27:$AH$206,'Apr'!$D$27:$AH$206,'May'!$D$27:$AH$206,'Jun'!$D$27:$AH$206,'Jul'!$D$27:$AH$206,'Aug'!$D$27:$AH$206,'Sep'!$D$27:$AH$206,'Oct'!$D$27:$AH$206,'Nov'!$D$27:$AH$206,'Dec'!$D$27:$AH$206),33,DAY($A$5))&amp;"")</f>
        <v/>
      </c>
    </row>
    <row r="22" hidden="1">
      <c r="A22" s="38">
        <f>IF(Roster!$B$17="","",Roster!$B$17)</f>
        <v/>
      </c>
      <c r="B22" s="39">
        <f>IF(Roster!$C$17="","",Roster!$C$17)</f>
        <v/>
      </c>
      <c r="C22" s="40">
        <f>IF(Roster!$C$17="","",Roster!$F$17&amp;IF(OR(Roster!$G$17="SANS",Roster!$G$17="NSMEN")," | "&amp;Roster!$G$17,""))</f>
        <v/>
      </c>
      <c r="D22" s="81">
        <f>IF(OR($B22="",YEAR($A$5)&lt;&gt;PlanYear),"",INDEX(CHOOSE(MONTH($A$5),'Jan'!$D$27:$AH$206,'Feb'!$D$27:$AH$206,'Mar'!$D$27:$AH$206,'Apr'!$D$27:$AH$206,'May'!$D$27:$AH$206,'Jun'!$D$27:$AH$206,'Jul'!$D$27:$AH$206,'Aug'!$D$27:$AH$206,'Sep'!$D$27:$AH$206,'Oct'!$D$27:$AH$206,'Nov'!$D$27:$AH$206,'Dec'!$D$27:$AH$206),34,DAY($A$5))&amp;"")</f>
        <v/>
      </c>
      <c r="E22" s="81">
        <f>IF(OR($B22="",YEAR($A$5)&lt;&gt;PlanYear),"",INDEX(CHOOSE(MONTH($A$5),'Jan'!$D$27:$AH$206,'Feb'!$D$27:$AH$206,'Mar'!$D$27:$AH$206,'Apr'!$D$27:$AH$206,'May'!$D$27:$AH$206,'Jun'!$D$27:$AH$206,'Jul'!$D$27:$AH$206,'Aug'!$D$27:$AH$206,'Sep'!$D$27:$AH$206,'Oct'!$D$27:$AH$206,'Nov'!$D$27:$AH$206,'Dec'!$D$27:$AH$206),35,DAY($A$5))&amp;"")</f>
        <v/>
      </c>
      <c r="F22" s="81">
        <f>IF(OR($B22="",YEAR($A$5)&lt;&gt;PlanYear),"",INDEX(CHOOSE(MONTH($A$5),'Jan'!$D$27:$AH$206,'Feb'!$D$27:$AH$206,'Mar'!$D$27:$AH$206,'Apr'!$D$27:$AH$206,'May'!$D$27:$AH$206,'Jun'!$D$27:$AH$206,'Jul'!$D$27:$AH$206,'Aug'!$D$27:$AH$206,'Sep'!$D$27:$AH$206,'Oct'!$D$27:$AH$206,'Nov'!$D$27:$AH$206,'Dec'!$D$27:$AH$206),36,DAY($A$5))&amp;"")</f>
        <v/>
      </c>
    </row>
    <row r="23" hidden="1">
      <c r="A23" s="38">
        <f>IF(Roster!$B$18="","",Roster!$B$18)</f>
        <v/>
      </c>
      <c r="B23" s="39">
        <f>IF(Roster!$C$18="","",Roster!$C$18)</f>
        <v/>
      </c>
      <c r="C23" s="40">
        <f>IF(Roster!$C$18="","",Roster!$F$18&amp;IF(OR(Roster!$G$18="SANS",Roster!$G$18="NSMEN")," | "&amp;Roster!$G$18,""))</f>
        <v/>
      </c>
      <c r="D23" s="81">
        <f>IF(OR($B23="",YEAR($A$5)&lt;&gt;PlanYear),"",INDEX(CHOOSE(MONTH($A$5),'Jan'!$D$27:$AH$206,'Feb'!$D$27:$AH$206,'Mar'!$D$27:$AH$206,'Apr'!$D$27:$AH$206,'May'!$D$27:$AH$206,'Jun'!$D$27:$AH$206,'Jul'!$D$27:$AH$206,'Aug'!$D$27:$AH$206,'Sep'!$D$27:$AH$206,'Oct'!$D$27:$AH$206,'Nov'!$D$27:$AH$206,'Dec'!$D$27:$AH$206),37,DAY($A$5))&amp;"")</f>
        <v/>
      </c>
      <c r="E23" s="81">
        <f>IF(OR($B23="",YEAR($A$5)&lt;&gt;PlanYear),"",INDEX(CHOOSE(MONTH($A$5),'Jan'!$D$27:$AH$206,'Feb'!$D$27:$AH$206,'Mar'!$D$27:$AH$206,'Apr'!$D$27:$AH$206,'May'!$D$27:$AH$206,'Jun'!$D$27:$AH$206,'Jul'!$D$27:$AH$206,'Aug'!$D$27:$AH$206,'Sep'!$D$27:$AH$206,'Oct'!$D$27:$AH$206,'Nov'!$D$27:$AH$206,'Dec'!$D$27:$AH$206),38,DAY($A$5))&amp;"")</f>
        <v/>
      </c>
      <c r="F23" s="81">
        <f>IF(OR($B23="",YEAR($A$5)&lt;&gt;PlanYear),"",INDEX(CHOOSE(MONTH($A$5),'Jan'!$D$27:$AH$206,'Feb'!$D$27:$AH$206,'Mar'!$D$27:$AH$206,'Apr'!$D$27:$AH$206,'May'!$D$27:$AH$206,'Jun'!$D$27:$AH$206,'Jul'!$D$27:$AH$206,'Aug'!$D$27:$AH$206,'Sep'!$D$27:$AH$206,'Oct'!$D$27:$AH$206,'Nov'!$D$27:$AH$206,'Dec'!$D$27:$AH$206),39,DAY($A$5))&amp;"")</f>
        <v/>
      </c>
    </row>
    <row r="24" hidden="1">
      <c r="A24" s="38">
        <f>IF(Roster!$B$19="","",Roster!$B$19)</f>
        <v/>
      </c>
      <c r="B24" s="39">
        <f>IF(Roster!$C$19="","",Roster!$C$19)</f>
        <v/>
      </c>
      <c r="C24" s="40">
        <f>IF(Roster!$C$19="","",Roster!$F$19&amp;IF(OR(Roster!$G$19="SANS",Roster!$G$19="NSMEN")," | "&amp;Roster!$G$19,""))</f>
        <v/>
      </c>
      <c r="D24" s="81">
        <f>IF(OR($B24="",YEAR($A$5)&lt;&gt;PlanYear),"",INDEX(CHOOSE(MONTH($A$5),'Jan'!$D$27:$AH$206,'Feb'!$D$27:$AH$206,'Mar'!$D$27:$AH$206,'Apr'!$D$27:$AH$206,'May'!$D$27:$AH$206,'Jun'!$D$27:$AH$206,'Jul'!$D$27:$AH$206,'Aug'!$D$27:$AH$206,'Sep'!$D$27:$AH$206,'Oct'!$D$27:$AH$206,'Nov'!$D$27:$AH$206,'Dec'!$D$27:$AH$206),40,DAY($A$5))&amp;"")</f>
        <v/>
      </c>
      <c r="E24" s="81">
        <f>IF(OR($B24="",YEAR($A$5)&lt;&gt;PlanYear),"",INDEX(CHOOSE(MONTH($A$5),'Jan'!$D$27:$AH$206,'Feb'!$D$27:$AH$206,'Mar'!$D$27:$AH$206,'Apr'!$D$27:$AH$206,'May'!$D$27:$AH$206,'Jun'!$D$27:$AH$206,'Jul'!$D$27:$AH$206,'Aug'!$D$27:$AH$206,'Sep'!$D$27:$AH$206,'Oct'!$D$27:$AH$206,'Nov'!$D$27:$AH$206,'Dec'!$D$27:$AH$206),41,DAY($A$5))&amp;"")</f>
        <v/>
      </c>
      <c r="F24" s="81">
        <f>IF(OR($B24="",YEAR($A$5)&lt;&gt;PlanYear),"",INDEX(CHOOSE(MONTH($A$5),'Jan'!$D$27:$AH$206,'Feb'!$D$27:$AH$206,'Mar'!$D$27:$AH$206,'Apr'!$D$27:$AH$206,'May'!$D$27:$AH$206,'Jun'!$D$27:$AH$206,'Jul'!$D$27:$AH$206,'Aug'!$D$27:$AH$206,'Sep'!$D$27:$AH$206,'Oct'!$D$27:$AH$206,'Nov'!$D$27:$AH$206,'Dec'!$D$27:$AH$206),42,DAY($A$5))&amp;"")</f>
        <v/>
      </c>
    </row>
    <row r="25" hidden="1">
      <c r="A25" s="38">
        <f>IF(Roster!$B$20="","",Roster!$B$20)</f>
        <v/>
      </c>
      <c r="B25" s="39">
        <f>IF(Roster!$C$20="","",Roster!$C$20)</f>
        <v/>
      </c>
      <c r="C25" s="40">
        <f>IF(Roster!$C$20="","",Roster!$F$20&amp;IF(OR(Roster!$G$20="SANS",Roster!$G$20="NSMEN")," | "&amp;Roster!$G$20,""))</f>
        <v/>
      </c>
      <c r="D25" s="81">
        <f>IF(OR($B25="",YEAR($A$5)&lt;&gt;PlanYear),"",INDEX(CHOOSE(MONTH($A$5),'Jan'!$D$27:$AH$206,'Feb'!$D$27:$AH$206,'Mar'!$D$27:$AH$206,'Apr'!$D$27:$AH$206,'May'!$D$27:$AH$206,'Jun'!$D$27:$AH$206,'Jul'!$D$27:$AH$206,'Aug'!$D$27:$AH$206,'Sep'!$D$27:$AH$206,'Oct'!$D$27:$AH$206,'Nov'!$D$27:$AH$206,'Dec'!$D$27:$AH$206),43,DAY($A$5))&amp;"")</f>
        <v/>
      </c>
      <c r="E25" s="81">
        <f>IF(OR($B25="",YEAR($A$5)&lt;&gt;PlanYear),"",INDEX(CHOOSE(MONTH($A$5),'Jan'!$D$27:$AH$206,'Feb'!$D$27:$AH$206,'Mar'!$D$27:$AH$206,'Apr'!$D$27:$AH$206,'May'!$D$27:$AH$206,'Jun'!$D$27:$AH$206,'Jul'!$D$27:$AH$206,'Aug'!$D$27:$AH$206,'Sep'!$D$27:$AH$206,'Oct'!$D$27:$AH$206,'Nov'!$D$27:$AH$206,'Dec'!$D$27:$AH$206),44,DAY($A$5))&amp;"")</f>
        <v/>
      </c>
      <c r="F25" s="81">
        <f>IF(OR($B25="",YEAR($A$5)&lt;&gt;PlanYear),"",INDEX(CHOOSE(MONTH($A$5),'Jan'!$D$27:$AH$206,'Feb'!$D$27:$AH$206,'Mar'!$D$27:$AH$206,'Apr'!$D$27:$AH$206,'May'!$D$27:$AH$206,'Jun'!$D$27:$AH$206,'Jul'!$D$27:$AH$206,'Aug'!$D$27:$AH$206,'Sep'!$D$27:$AH$206,'Oct'!$D$27:$AH$206,'Nov'!$D$27:$AH$206,'Dec'!$D$27:$AH$206),45,DAY($A$5))&amp;"")</f>
        <v/>
      </c>
    </row>
    <row r="26" hidden="1">
      <c r="A26" s="38">
        <f>IF(Roster!$B$21="","",Roster!$B$21)</f>
        <v/>
      </c>
      <c r="B26" s="39">
        <f>IF(Roster!$C$21="","",Roster!$C$21)</f>
        <v/>
      </c>
      <c r="C26" s="40">
        <f>IF(Roster!$C$21="","",Roster!$F$21&amp;IF(OR(Roster!$G$21="SANS",Roster!$G$21="NSMEN")," | "&amp;Roster!$G$21,""))</f>
        <v/>
      </c>
      <c r="D26" s="81">
        <f>IF(OR($B26="",YEAR($A$5)&lt;&gt;PlanYear),"",INDEX(CHOOSE(MONTH($A$5),'Jan'!$D$27:$AH$206,'Feb'!$D$27:$AH$206,'Mar'!$D$27:$AH$206,'Apr'!$D$27:$AH$206,'May'!$D$27:$AH$206,'Jun'!$D$27:$AH$206,'Jul'!$D$27:$AH$206,'Aug'!$D$27:$AH$206,'Sep'!$D$27:$AH$206,'Oct'!$D$27:$AH$206,'Nov'!$D$27:$AH$206,'Dec'!$D$27:$AH$206),46,DAY($A$5))&amp;"")</f>
        <v/>
      </c>
      <c r="E26" s="81">
        <f>IF(OR($B26="",YEAR($A$5)&lt;&gt;PlanYear),"",INDEX(CHOOSE(MONTH($A$5),'Jan'!$D$27:$AH$206,'Feb'!$D$27:$AH$206,'Mar'!$D$27:$AH$206,'Apr'!$D$27:$AH$206,'May'!$D$27:$AH$206,'Jun'!$D$27:$AH$206,'Jul'!$D$27:$AH$206,'Aug'!$D$27:$AH$206,'Sep'!$D$27:$AH$206,'Oct'!$D$27:$AH$206,'Nov'!$D$27:$AH$206,'Dec'!$D$27:$AH$206),47,DAY($A$5))&amp;"")</f>
        <v/>
      </c>
      <c r="F26" s="81">
        <f>IF(OR($B26="",YEAR($A$5)&lt;&gt;PlanYear),"",INDEX(CHOOSE(MONTH($A$5),'Jan'!$D$27:$AH$206,'Feb'!$D$27:$AH$206,'Mar'!$D$27:$AH$206,'Apr'!$D$27:$AH$206,'May'!$D$27:$AH$206,'Jun'!$D$27:$AH$206,'Jul'!$D$27:$AH$206,'Aug'!$D$27:$AH$206,'Sep'!$D$27:$AH$206,'Oct'!$D$27:$AH$206,'Nov'!$D$27:$AH$206,'Dec'!$D$27:$AH$206),48,DAY($A$5))&amp;"")</f>
        <v/>
      </c>
    </row>
    <row r="27" hidden="1">
      <c r="A27" s="38">
        <f>IF(Roster!$B$22="","",Roster!$B$22)</f>
        <v/>
      </c>
      <c r="B27" s="39">
        <f>IF(Roster!$C$22="","",Roster!$C$22)</f>
        <v/>
      </c>
      <c r="C27" s="40">
        <f>IF(Roster!$C$22="","",Roster!$F$22&amp;IF(OR(Roster!$G$22="SANS",Roster!$G$22="NSMEN")," | "&amp;Roster!$G$22,""))</f>
        <v/>
      </c>
      <c r="D27" s="81">
        <f>IF(OR($B27="",YEAR($A$5)&lt;&gt;PlanYear),"",INDEX(CHOOSE(MONTH($A$5),'Jan'!$D$27:$AH$206,'Feb'!$D$27:$AH$206,'Mar'!$D$27:$AH$206,'Apr'!$D$27:$AH$206,'May'!$D$27:$AH$206,'Jun'!$D$27:$AH$206,'Jul'!$D$27:$AH$206,'Aug'!$D$27:$AH$206,'Sep'!$D$27:$AH$206,'Oct'!$D$27:$AH$206,'Nov'!$D$27:$AH$206,'Dec'!$D$27:$AH$206),49,DAY($A$5))&amp;"")</f>
        <v/>
      </c>
      <c r="E27" s="81">
        <f>IF(OR($B27="",YEAR($A$5)&lt;&gt;PlanYear),"",INDEX(CHOOSE(MONTH($A$5),'Jan'!$D$27:$AH$206,'Feb'!$D$27:$AH$206,'Mar'!$D$27:$AH$206,'Apr'!$D$27:$AH$206,'May'!$D$27:$AH$206,'Jun'!$D$27:$AH$206,'Jul'!$D$27:$AH$206,'Aug'!$D$27:$AH$206,'Sep'!$D$27:$AH$206,'Oct'!$D$27:$AH$206,'Nov'!$D$27:$AH$206,'Dec'!$D$27:$AH$206),50,DAY($A$5))&amp;"")</f>
        <v/>
      </c>
      <c r="F27" s="81">
        <f>IF(OR($B27="",YEAR($A$5)&lt;&gt;PlanYear),"",INDEX(CHOOSE(MONTH($A$5),'Jan'!$D$27:$AH$206,'Feb'!$D$27:$AH$206,'Mar'!$D$27:$AH$206,'Apr'!$D$27:$AH$206,'May'!$D$27:$AH$206,'Jun'!$D$27:$AH$206,'Jul'!$D$27:$AH$206,'Aug'!$D$27:$AH$206,'Sep'!$D$27:$AH$206,'Oct'!$D$27:$AH$206,'Nov'!$D$27:$AH$206,'Dec'!$D$27:$AH$206),51,DAY($A$5))&amp;"")</f>
        <v/>
      </c>
    </row>
    <row r="28" hidden="1">
      <c r="A28" s="38">
        <f>IF(Roster!$B$23="","",Roster!$B$23)</f>
        <v/>
      </c>
      <c r="B28" s="39">
        <f>IF(Roster!$C$23="","",Roster!$C$23)</f>
        <v/>
      </c>
      <c r="C28" s="40">
        <f>IF(Roster!$C$23="","",Roster!$F$23&amp;IF(OR(Roster!$G$23="SANS",Roster!$G$23="NSMEN")," | "&amp;Roster!$G$23,""))</f>
        <v/>
      </c>
      <c r="D28" s="81">
        <f>IF(OR($B28="",YEAR($A$5)&lt;&gt;PlanYear),"",INDEX(CHOOSE(MONTH($A$5),'Jan'!$D$27:$AH$206,'Feb'!$D$27:$AH$206,'Mar'!$D$27:$AH$206,'Apr'!$D$27:$AH$206,'May'!$D$27:$AH$206,'Jun'!$D$27:$AH$206,'Jul'!$D$27:$AH$206,'Aug'!$D$27:$AH$206,'Sep'!$D$27:$AH$206,'Oct'!$D$27:$AH$206,'Nov'!$D$27:$AH$206,'Dec'!$D$27:$AH$206),52,DAY($A$5))&amp;"")</f>
        <v/>
      </c>
      <c r="E28" s="81">
        <f>IF(OR($B28="",YEAR($A$5)&lt;&gt;PlanYear),"",INDEX(CHOOSE(MONTH($A$5),'Jan'!$D$27:$AH$206,'Feb'!$D$27:$AH$206,'Mar'!$D$27:$AH$206,'Apr'!$D$27:$AH$206,'May'!$D$27:$AH$206,'Jun'!$D$27:$AH$206,'Jul'!$D$27:$AH$206,'Aug'!$D$27:$AH$206,'Sep'!$D$27:$AH$206,'Oct'!$D$27:$AH$206,'Nov'!$D$27:$AH$206,'Dec'!$D$27:$AH$206),53,DAY($A$5))&amp;"")</f>
        <v/>
      </c>
      <c r="F28" s="81">
        <f>IF(OR($B28="",YEAR($A$5)&lt;&gt;PlanYear),"",INDEX(CHOOSE(MONTH($A$5),'Jan'!$D$27:$AH$206,'Feb'!$D$27:$AH$206,'Mar'!$D$27:$AH$206,'Apr'!$D$27:$AH$206,'May'!$D$27:$AH$206,'Jun'!$D$27:$AH$206,'Jul'!$D$27:$AH$206,'Aug'!$D$27:$AH$206,'Sep'!$D$27:$AH$206,'Oct'!$D$27:$AH$206,'Nov'!$D$27:$AH$206,'Dec'!$D$27:$AH$206),54,DAY($A$5))&amp;"")</f>
        <v/>
      </c>
    </row>
    <row r="29" hidden="1">
      <c r="A29" s="38">
        <f>IF(Roster!$B$24="","",Roster!$B$24)</f>
        <v/>
      </c>
      <c r="B29" s="39">
        <f>IF(Roster!$C$24="","",Roster!$C$24)</f>
        <v/>
      </c>
      <c r="C29" s="40">
        <f>IF(Roster!$C$24="","",Roster!$F$24&amp;IF(OR(Roster!$G$24="SANS",Roster!$G$24="NSMEN")," | "&amp;Roster!$G$24,""))</f>
        <v/>
      </c>
      <c r="D29" s="81">
        <f>IF(OR($B29="",YEAR($A$5)&lt;&gt;PlanYear),"",INDEX(CHOOSE(MONTH($A$5),'Jan'!$D$27:$AH$206,'Feb'!$D$27:$AH$206,'Mar'!$D$27:$AH$206,'Apr'!$D$27:$AH$206,'May'!$D$27:$AH$206,'Jun'!$D$27:$AH$206,'Jul'!$D$27:$AH$206,'Aug'!$D$27:$AH$206,'Sep'!$D$27:$AH$206,'Oct'!$D$27:$AH$206,'Nov'!$D$27:$AH$206,'Dec'!$D$27:$AH$206),55,DAY($A$5))&amp;"")</f>
        <v/>
      </c>
      <c r="E29" s="81">
        <f>IF(OR($B29="",YEAR($A$5)&lt;&gt;PlanYear),"",INDEX(CHOOSE(MONTH($A$5),'Jan'!$D$27:$AH$206,'Feb'!$D$27:$AH$206,'Mar'!$D$27:$AH$206,'Apr'!$D$27:$AH$206,'May'!$D$27:$AH$206,'Jun'!$D$27:$AH$206,'Jul'!$D$27:$AH$206,'Aug'!$D$27:$AH$206,'Sep'!$D$27:$AH$206,'Oct'!$D$27:$AH$206,'Nov'!$D$27:$AH$206,'Dec'!$D$27:$AH$206),56,DAY($A$5))&amp;"")</f>
        <v/>
      </c>
      <c r="F29" s="81">
        <f>IF(OR($B29="",YEAR($A$5)&lt;&gt;PlanYear),"",INDEX(CHOOSE(MONTH($A$5),'Jan'!$D$27:$AH$206,'Feb'!$D$27:$AH$206,'Mar'!$D$27:$AH$206,'Apr'!$D$27:$AH$206,'May'!$D$27:$AH$206,'Jun'!$D$27:$AH$206,'Jul'!$D$27:$AH$206,'Aug'!$D$27:$AH$206,'Sep'!$D$27:$AH$206,'Oct'!$D$27:$AH$206,'Nov'!$D$27:$AH$206,'Dec'!$D$27:$AH$206),57,DAY($A$5))&amp;"")</f>
        <v/>
      </c>
    </row>
    <row r="30" hidden="1">
      <c r="A30" s="38">
        <f>IF(Roster!$B$25="","",Roster!$B$25)</f>
        <v/>
      </c>
      <c r="B30" s="39">
        <f>IF(Roster!$C$25="","",Roster!$C$25)</f>
        <v/>
      </c>
      <c r="C30" s="40">
        <f>IF(Roster!$C$25="","",Roster!$F$25&amp;IF(OR(Roster!$G$25="SANS",Roster!$G$25="NSMEN")," | "&amp;Roster!$G$25,""))</f>
        <v/>
      </c>
      <c r="D30" s="81">
        <f>IF(OR($B30="",YEAR($A$5)&lt;&gt;PlanYear),"",INDEX(CHOOSE(MONTH($A$5),'Jan'!$D$27:$AH$206,'Feb'!$D$27:$AH$206,'Mar'!$D$27:$AH$206,'Apr'!$D$27:$AH$206,'May'!$D$27:$AH$206,'Jun'!$D$27:$AH$206,'Jul'!$D$27:$AH$206,'Aug'!$D$27:$AH$206,'Sep'!$D$27:$AH$206,'Oct'!$D$27:$AH$206,'Nov'!$D$27:$AH$206,'Dec'!$D$27:$AH$206),58,DAY($A$5))&amp;"")</f>
        <v/>
      </c>
      <c r="E30" s="81">
        <f>IF(OR($B30="",YEAR($A$5)&lt;&gt;PlanYear),"",INDEX(CHOOSE(MONTH($A$5),'Jan'!$D$27:$AH$206,'Feb'!$D$27:$AH$206,'Mar'!$D$27:$AH$206,'Apr'!$D$27:$AH$206,'May'!$D$27:$AH$206,'Jun'!$D$27:$AH$206,'Jul'!$D$27:$AH$206,'Aug'!$D$27:$AH$206,'Sep'!$D$27:$AH$206,'Oct'!$D$27:$AH$206,'Nov'!$D$27:$AH$206,'Dec'!$D$27:$AH$206),59,DAY($A$5))&amp;"")</f>
        <v/>
      </c>
      <c r="F30" s="81">
        <f>IF(OR($B30="",YEAR($A$5)&lt;&gt;PlanYear),"",INDEX(CHOOSE(MONTH($A$5),'Jan'!$D$27:$AH$206,'Feb'!$D$27:$AH$206,'Mar'!$D$27:$AH$206,'Apr'!$D$27:$AH$206,'May'!$D$27:$AH$206,'Jun'!$D$27:$AH$206,'Jul'!$D$27:$AH$206,'Aug'!$D$27:$AH$206,'Sep'!$D$27:$AH$206,'Oct'!$D$27:$AH$206,'Nov'!$D$27:$AH$206,'Dec'!$D$27:$AH$206),60,DAY($A$5))&amp;"")</f>
        <v/>
      </c>
    </row>
    <row r="31" hidden="1">
      <c r="A31" s="38">
        <f>IF(Roster!$B$26="","",Roster!$B$26)</f>
        <v/>
      </c>
      <c r="B31" s="39">
        <f>IF(Roster!$C$26="","",Roster!$C$26)</f>
        <v/>
      </c>
      <c r="C31" s="40">
        <f>IF(Roster!$C$26="","",Roster!$F$26&amp;IF(OR(Roster!$G$26="SANS",Roster!$G$26="NSMEN")," | "&amp;Roster!$G$26,""))</f>
        <v/>
      </c>
      <c r="D31" s="81">
        <f>IF(OR($B31="",YEAR($A$5)&lt;&gt;PlanYear),"",INDEX(CHOOSE(MONTH($A$5),'Jan'!$D$27:$AH$206,'Feb'!$D$27:$AH$206,'Mar'!$D$27:$AH$206,'Apr'!$D$27:$AH$206,'May'!$D$27:$AH$206,'Jun'!$D$27:$AH$206,'Jul'!$D$27:$AH$206,'Aug'!$D$27:$AH$206,'Sep'!$D$27:$AH$206,'Oct'!$D$27:$AH$206,'Nov'!$D$27:$AH$206,'Dec'!$D$27:$AH$206),61,DAY($A$5))&amp;"")</f>
        <v/>
      </c>
      <c r="E31" s="81">
        <f>IF(OR($B31="",YEAR($A$5)&lt;&gt;PlanYear),"",INDEX(CHOOSE(MONTH($A$5),'Jan'!$D$27:$AH$206,'Feb'!$D$27:$AH$206,'Mar'!$D$27:$AH$206,'Apr'!$D$27:$AH$206,'May'!$D$27:$AH$206,'Jun'!$D$27:$AH$206,'Jul'!$D$27:$AH$206,'Aug'!$D$27:$AH$206,'Sep'!$D$27:$AH$206,'Oct'!$D$27:$AH$206,'Nov'!$D$27:$AH$206,'Dec'!$D$27:$AH$206),62,DAY($A$5))&amp;"")</f>
        <v/>
      </c>
      <c r="F31" s="81">
        <f>IF(OR($B31="",YEAR($A$5)&lt;&gt;PlanYear),"",INDEX(CHOOSE(MONTH($A$5),'Jan'!$D$27:$AH$206,'Feb'!$D$27:$AH$206,'Mar'!$D$27:$AH$206,'Apr'!$D$27:$AH$206,'May'!$D$27:$AH$206,'Jun'!$D$27:$AH$206,'Jul'!$D$27:$AH$206,'Aug'!$D$27:$AH$206,'Sep'!$D$27:$AH$206,'Oct'!$D$27:$AH$206,'Nov'!$D$27:$AH$206,'Dec'!$D$27:$AH$206),63,DAY($A$5))&amp;"")</f>
        <v/>
      </c>
    </row>
    <row r="32" hidden="1">
      <c r="A32" s="38">
        <f>IF(Roster!$B$27="","",Roster!$B$27)</f>
        <v/>
      </c>
      <c r="B32" s="39">
        <f>IF(Roster!$C$27="","",Roster!$C$27)</f>
        <v/>
      </c>
      <c r="C32" s="40">
        <f>IF(Roster!$C$27="","",Roster!$F$27&amp;IF(OR(Roster!$G$27="SANS",Roster!$G$27="NSMEN")," | "&amp;Roster!$G$27,""))</f>
        <v/>
      </c>
      <c r="D32" s="81">
        <f>IF(OR($B32="",YEAR($A$5)&lt;&gt;PlanYear),"",INDEX(CHOOSE(MONTH($A$5),'Jan'!$D$27:$AH$206,'Feb'!$D$27:$AH$206,'Mar'!$D$27:$AH$206,'Apr'!$D$27:$AH$206,'May'!$D$27:$AH$206,'Jun'!$D$27:$AH$206,'Jul'!$D$27:$AH$206,'Aug'!$D$27:$AH$206,'Sep'!$D$27:$AH$206,'Oct'!$D$27:$AH$206,'Nov'!$D$27:$AH$206,'Dec'!$D$27:$AH$206),64,DAY($A$5))&amp;"")</f>
        <v/>
      </c>
      <c r="E32" s="81">
        <f>IF(OR($B32="",YEAR($A$5)&lt;&gt;PlanYear),"",INDEX(CHOOSE(MONTH($A$5),'Jan'!$D$27:$AH$206,'Feb'!$D$27:$AH$206,'Mar'!$D$27:$AH$206,'Apr'!$D$27:$AH$206,'May'!$D$27:$AH$206,'Jun'!$D$27:$AH$206,'Jul'!$D$27:$AH$206,'Aug'!$D$27:$AH$206,'Sep'!$D$27:$AH$206,'Oct'!$D$27:$AH$206,'Nov'!$D$27:$AH$206,'Dec'!$D$27:$AH$206),65,DAY($A$5))&amp;"")</f>
        <v/>
      </c>
      <c r="F32" s="81">
        <f>IF(OR($B32="",YEAR($A$5)&lt;&gt;PlanYear),"",INDEX(CHOOSE(MONTH($A$5),'Jan'!$D$27:$AH$206,'Feb'!$D$27:$AH$206,'Mar'!$D$27:$AH$206,'Apr'!$D$27:$AH$206,'May'!$D$27:$AH$206,'Jun'!$D$27:$AH$206,'Jul'!$D$27:$AH$206,'Aug'!$D$27:$AH$206,'Sep'!$D$27:$AH$206,'Oct'!$D$27:$AH$206,'Nov'!$D$27:$AH$206,'Dec'!$D$27:$AH$206),66,DAY($A$5))&amp;"")</f>
        <v/>
      </c>
    </row>
    <row r="33" hidden="1">
      <c r="A33" s="38">
        <f>IF(Roster!$B$28="","",Roster!$B$28)</f>
        <v/>
      </c>
      <c r="B33" s="39">
        <f>IF(Roster!$C$28="","",Roster!$C$28)</f>
        <v/>
      </c>
      <c r="C33" s="40">
        <f>IF(Roster!$C$28="","",Roster!$F$28&amp;IF(OR(Roster!$G$28="SANS",Roster!$G$28="NSMEN")," | "&amp;Roster!$G$28,""))</f>
        <v/>
      </c>
      <c r="D33" s="81">
        <f>IF(OR($B33="",YEAR($A$5)&lt;&gt;PlanYear),"",INDEX(CHOOSE(MONTH($A$5),'Jan'!$D$27:$AH$206,'Feb'!$D$27:$AH$206,'Mar'!$D$27:$AH$206,'Apr'!$D$27:$AH$206,'May'!$D$27:$AH$206,'Jun'!$D$27:$AH$206,'Jul'!$D$27:$AH$206,'Aug'!$D$27:$AH$206,'Sep'!$D$27:$AH$206,'Oct'!$D$27:$AH$206,'Nov'!$D$27:$AH$206,'Dec'!$D$27:$AH$206),67,DAY($A$5))&amp;"")</f>
        <v/>
      </c>
      <c r="E33" s="81">
        <f>IF(OR($B33="",YEAR($A$5)&lt;&gt;PlanYear),"",INDEX(CHOOSE(MONTH($A$5),'Jan'!$D$27:$AH$206,'Feb'!$D$27:$AH$206,'Mar'!$D$27:$AH$206,'Apr'!$D$27:$AH$206,'May'!$D$27:$AH$206,'Jun'!$D$27:$AH$206,'Jul'!$D$27:$AH$206,'Aug'!$D$27:$AH$206,'Sep'!$D$27:$AH$206,'Oct'!$D$27:$AH$206,'Nov'!$D$27:$AH$206,'Dec'!$D$27:$AH$206),68,DAY($A$5))&amp;"")</f>
        <v/>
      </c>
      <c r="F33" s="81">
        <f>IF(OR($B33="",YEAR($A$5)&lt;&gt;PlanYear),"",INDEX(CHOOSE(MONTH($A$5),'Jan'!$D$27:$AH$206,'Feb'!$D$27:$AH$206,'Mar'!$D$27:$AH$206,'Apr'!$D$27:$AH$206,'May'!$D$27:$AH$206,'Jun'!$D$27:$AH$206,'Jul'!$D$27:$AH$206,'Aug'!$D$27:$AH$206,'Sep'!$D$27:$AH$206,'Oct'!$D$27:$AH$206,'Nov'!$D$27:$AH$206,'Dec'!$D$27:$AH$206),69,DAY($A$5))&amp;"")</f>
        <v/>
      </c>
    </row>
    <row r="34" hidden="1">
      <c r="A34" s="38">
        <f>IF(Roster!$B$29="","",Roster!$B$29)</f>
        <v/>
      </c>
      <c r="B34" s="39">
        <f>IF(Roster!$C$29="","",Roster!$C$29)</f>
        <v/>
      </c>
      <c r="C34" s="40">
        <f>IF(Roster!$C$29="","",Roster!$F$29&amp;IF(OR(Roster!$G$29="SANS",Roster!$G$29="NSMEN")," | "&amp;Roster!$G$29,""))</f>
        <v/>
      </c>
      <c r="D34" s="81">
        <f>IF(OR($B34="",YEAR($A$5)&lt;&gt;PlanYear),"",INDEX(CHOOSE(MONTH($A$5),'Jan'!$D$27:$AH$206,'Feb'!$D$27:$AH$206,'Mar'!$D$27:$AH$206,'Apr'!$D$27:$AH$206,'May'!$D$27:$AH$206,'Jun'!$D$27:$AH$206,'Jul'!$D$27:$AH$206,'Aug'!$D$27:$AH$206,'Sep'!$D$27:$AH$206,'Oct'!$D$27:$AH$206,'Nov'!$D$27:$AH$206,'Dec'!$D$27:$AH$206),70,DAY($A$5))&amp;"")</f>
        <v/>
      </c>
      <c r="E34" s="81">
        <f>IF(OR($B34="",YEAR($A$5)&lt;&gt;PlanYear),"",INDEX(CHOOSE(MONTH($A$5),'Jan'!$D$27:$AH$206,'Feb'!$D$27:$AH$206,'Mar'!$D$27:$AH$206,'Apr'!$D$27:$AH$206,'May'!$D$27:$AH$206,'Jun'!$D$27:$AH$206,'Jul'!$D$27:$AH$206,'Aug'!$D$27:$AH$206,'Sep'!$D$27:$AH$206,'Oct'!$D$27:$AH$206,'Nov'!$D$27:$AH$206,'Dec'!$D$27:$AH$206),71,DAY($A$5))&amp;"")</f>
        <v/>
      </c>
      <c r="F34" s="81">
        <f>IF(OR($B34="",YEAR($A$5)&lt;&gt;PlanYear),"",INDEX(CHOOSE(MONTH($A$5),'Jan'!$D$27:$AH$206,'Feb'!$D$27:$AH$206,'Mar'!$D$27:$AH$206,'Apr'!$D$27:$AH$206,'May'!$D$27:$AH$206,'Jun'!$D$27:$AH$206,'Jul'!$D$27:$AH$206,'Aug'!$D$27:$AH$206,'Sep'!$D$27:$AH$206,'Oct'!$D$27:$AH$206,'Nov'!$D$27:$AH$206,'Dec'!$D$27:$AH$206),72,DAY($A$5))&amp;"")</f>
        <v/>
      </c>
    </row>
    <row r="35" hidden="1">
      <c r="A35" s="38">
        <f>IF(Roster!$B$30="","",Roster!$B$30)</f>
        <v/>
      </c>
      <c r="B35" s="39">
        <f>IF(Roster!$C$30="","",Roster!$C$30)</f>
        <v/>
      </c>
      <c r="C35" s="40">
        <f>IF(Roster!$C$30="","",Roster!$F$30&amp;IF(OR(Roster!$G$30="SANS",Roster!$G$30="NSMEN")," | "&amp;Roster!$G$30,""))</f>
        <v/>
      </c>
      <c r="D35" s="81">
        <f>IF(OR($B35="",YEAR($A$5)&lt;&gt;PlanYear),"",INDEX(CHOOSE(MONTH($A$5),'Jan'!$D$27:$AH$206,'Feb'!$D$27:$AH$206,'Mar'!$D$27:$AH$206,'Apr'!$D$27:$AH$206,'May'!$D$27:$AH$206,'Jun'!$D$27:$AH$206,'Jul'!$D$27:$AH$206,'Aug'!$D$27:$AH$206,'Sep'!$D$27:$AH$206,'Oct'!$D$27:$AH$206,'Nov'!$D$27:$AH$206,'Dec'!$D$27:$AH$206),73,DAY($A$5))&amp;"")</f>
        <v/>
      </c>
      <c r="E35" s="81">
        <f>IF(OR($B35="",YEAR($A$5)&lt;&gt;PlanYear),"",INDEX(CHOOSE(MONTH($A$5),'Jan'!$D$27:$AH$206,'Feb'!$D$27:$AH$206,'Mar'!$D$27:$AH$206,'Apr'!$D$27:$AH$206,'May'!$D$27:$AH$206,'Jun'!$D$27:$AH$206,'Jul'!$D$27:$AH$206,'Aug'!$D$27:$AH$206,'Sep'!$D$27:$AH$206,'Oct'!$D$27:$AH$206,'Nov'!$D$27:$AH$206,'Dec'!$D$27:$AH$206),74,DAY($A$5))&amp;"")</f>
        <v/>
      </c>
      <c r="F35" s="81">
        <f>IF(OR($B35="",YEAR($A$5)&lt;&gt;PlanYear),"",INDEX(CHOOSE(MONTH($A$5),'Jan'!$D$27:$AH$206,'Feb'!$D$27:$AH$206,'Mar'!$D$27:$AH$206,'Apr'!$D$27:$AH$206,'May'!$D$27:$AH$206,'Jun'!$D$27:$AH$206,'Jul'!$D$27:$AH$206,'Aug'!$D$27:$AH$206,'Sep'!$D$27:$AH$206,'Oct'!$D$27:$AH$206,'Nov'!$D$27:$AH$206,'Dec'!$D$27:$AH$206),75,DAY($A$5))&amp;"")</f>
        <v/>
      </c>
    </row>
    <row r="36" hidden="1">
      <c r="A36" s="38">
        <f>IF(Roster!$B$31="","",Roster!$B$31)</f>
        <v/>
      </c>
      <c r="B36" s="39">
        <f>IF(Roster!$C$31="","",Roster!$C$31)</f>
        <v/>
      </c>
      <c r="C36" s="40">
        <f>IF(Roster!$C$31="","",Roster!$F$31&amp;IF(OR(Roster!$G$31="SANS",Roster!$G$31="NSMEN")," | "&amp;Roster!$G$31,""))</f>
        <v/>
      </c>
      <c r="D36" s="81">
        <f>IF(OR($B36="",YEAR($A$5)&lt;&gt;PlanYear),"",INDEX(CHOOSE(MONTH($A$5),'Jan'!$D$27:$AH$206,'Feb'!$D$27:$AH$206,'Mar'!$D$27:$AH$206,'Apr'!$D$27:$AH$206,'May'!$D$27:$AH$206,'Jun'!$D$27:$AH$206,'Jul'!$D$27:$AH$206,'Aug'!$D$27:$AH$206,'Sep'!$D$27:$AH$206,'Oct'!$D$27:$AH$206,'Nov'!$D$27:$AH$206,'Dec'!$D$27:$AH$206),76,DAY($A$5))&amp;"")</f>
        <v/>
      </c>
      <c r="E36" s="81">
        <f>IF(OR($B36="",YEAR($A$5)&lt;&gt;PlanYear),"",INDEX(CHOOSE(MONTH($A$5),'Jan'!$D$27:$AH$206,'Feb'!$D$27:$AH$206,'Mar'!$D$27:$AH$206,'Apr'!$D$27:$AH$206,'May'!$D$27:$AH$206,'Jun'!$D$27:$AH$206,'Jul'!$D$27:$AH$206,'Aug'!$D$27:$AH$206,'Sep'!$D$27:$AH$206,'Oct'!$D$27:$AH$206,'Nov'!$D$27:$AH$206,'Dec'!$D$27:$AH$206),77,DAY($A$5))&amp;"")</f>
        <v/>
      </c>
      <c r="F36" s="81">
        <f>IF(OR($B36="",YEAR($A$5)&lt;&gt;PlanYear),"",INDEX(CHOOSE(MONTH($A$5),'Jan'!$D$27:$AH$206,'Feb'!$D$27:$AH$206,'Mar'!$D$27:$AH$206,'Apr'!$D$27:$AH$206,'May'!$D$27:$AH$206,'Jun'!$D$27:$AH$206,'Jul'!$D$27:$AH$206,'Aug'!$D$27:$AH$206,'Sep'!$D$27:$AH$206,'Oct'!$D$27:$AH$206,'Nov'!$D$27:$AH$206,'Dec'!$D$27:$AH$206),78,DAY($A$5))&amp;"")</f>
        <v/>
      </c>
    </row>
    <row r="37" hidden="1">
      <c r="A37" s="38">
        <f>IF(Roster!$B$32="","",Roster!$B$32)</f>
        <v/>
      </c>
      <c r="B37" s="39">
        <f>IF(Roster!$C$32="","",Roster!$C$32)</f>
        <v/>
      </c>
      <c r="C37" s="40">
        <f>IF(Roster!$C$32="","",Roster!$F$32&amp;IF(OR(Roster!$G$32="SANS",Roster!$G$32="NSMEN")," | "&amp;Roster!$G$32,""))</f>
        <v/>
      </c>
      <c r="D37" s="81">
        <f>IF(OR($B37="",YEAR($A$5)&lt;&gt;PlanYear),"",INDEX(CHOOSE(MONTH($A$5),'Jan'!$D$27:$AH$206,'Feb'!$D$27:$AH$206,'Mar'!$D$27:$AH$206,'Apr'!$D$27:$AH$206,'May'!$D$27:$AH$206,'Jun'!$D$27:$AH$206,'Jul'!$D$27:$AH$206,'Aug'!$D$27:$AH$206,'Sep'!$D$27:$AH$206,'Oct'!$D$27:$AH$206,'Nov'!$D$27:$AH$206,'Dec'!$D$27:$AH$206),79,DAY($A$5))&amp;"")</f>
        <v/>
      </c>
      <c r="E37" s="81">
        <f>IF(OR($B37="",YEAR($A$5)&lt;&gt;PlanYear),"",INDEX(CHOOSE(MONTH($A$5),'Jan'!$D$27:$AH$206,'Feb'!$D$27:$AH$206,'Mar'!$D$27:$AH$206,'Apr'!$D$27:$AH$206,'May'!$D$27:$AH$206,'Jun'!$D$27:$AH$206,'Jul'!$D$27:$AH$206,'Aug'!$D$27:$AH$206,'Sep'!$D$27:$AH$206,'Oct'!$D$27:$AH$206,'Nov'!$D$27:$AH$206,'Dec'!$D$27:$AH$206),80,DAY($A$5))&amp;"")</f>
        <v/>
      </c>
      <c r="F37" s="81">
        <f>IF(OR($B37="",YEAR($A$5)&lt;&gt;PlanYear),"",INDEX(CHOOSE(MONTH($A$5),'Jan'!$D$27:$AH$206,'Feb'!$D$27:$AH$206,'Mar'!$D$27:$AH$206,'Apr'!$D$27:$AH$206,'May'!$D$27:$AH$206,'Jun'!$D$27:$AH$206,'Jul'!$D$27:$AH$206,'Aug'!$D$27:$AH$206,'Sep'!$D$27:$AH$206,'Oct'!$D$27:$AH$206,'Nov'!$D$27:$AH$206,'Dec'!$D$27:$AH$206),81,DAY($A$5))&amp;"")</f>
        <v/>
      </c>
    </row>
    <row r="38" hidden="1">
      <c r="A38" s="38">
        <f>IF(Roster!$B$33="","",Roster!$B$33)</f>
        <v/>
      </c>
      <c r="B38" s="39">
        <f>IF(Roster!$C$33="","",Roster!$C$33)</f>
        <v/>
      </c>
      <c r="C38" s="40">
        <f>IF(Roster!$C$33="","",Roster!$F$33&amp;IF(OR(Roster!$G$33="SANS",Roster!$G$33="NSMEN")," | "&amp;Roster!$G$33,""))</f>
        <v/>
      </c>
      <c r="D38" s="81">
        <f>IF(OR($B38="",YEAR($A$5)&lt;&gt;PlanYear),"",INDEX(CHOOSE(MONTH($A$5),'Jan'!$D$27:$AH$206,'Feb'!$D$27:$AH$206,'Mar'!$D$27:$AH$206,'Apr'!$D$27:$AH$206,'May'!$D$27:$AH$206,'Jun'!$D$27:$AH$206,'Jul'!$D$27:$AH$206,'Aug'!$D$27:$AH$206,'Sep'!$D$27:$AH$206,'Oct'!$D$27:$AH$206,'Nov'!$D$27:$AH$206,'Dec'!$D$27:$AH$206),82,DAY($A$5))&amp;"")</f>
        <v/>
      </c>
      <c r="E38" s="81">
        <f>IF(OR($B38="",YEAR($A$5)&lt;&gt;PlanYear),"",INDEX(CHOOSE(MONTH($A$5),'Jan'!$D$27:$AH$206,'Feb'!$D$27:$AH$206,'Mar'!$D$27:$AH$206,'Apr'!$D$27:$AH$206,'May'!$D$27:$AH$206,'Jun'!$D$27:$AH$206,'Jul'!$D$27:$AH$206,'Aug'!$D$27:$AH$206,'Sep'!$D$27:$AH$206,'Oct'!$D$27:$AH$206,'Nov'!$D$27:$AH$206,'Dec'!$D$27:$AH$206),83,DAY($A$5))&amp;"")</f>
        <v/>
      </c>
      <c r="F38" s="81">
        <f>IF(OR($B38="",YEAR($A$5)&lt;&gt;PlanYear),"",INDEX(CHOOSE(MONTH($A$5),'Jan'!$D$27:$AH$206,'Feb'!$D$27:$AH$206,'Mar'!$D$27:$AH$206,'Apr'!$D$27:$AH$206,'May'!$D$27:$AH$206,'Jun'!$D$27:$AH$206,'Jul'!$D$27:$AH$206,'Aug'!$D$27:$AH$206,'Sep'!$D$27:$AH$206,'Oct'!$D$27:$AH$206,'Nov'!$D$27:$AH$206,'Dec'!$D$27:$AH$206),84,DAY($A$5))&amp;"")</f>
        <v/>
      </c>
    </row>
    <row r="39" hidden="1">
      <c r="A39" s="38">
        <f>IF(Roster!$B$34="","",Roster!$B$34)</f>
        <v/>
      </c>
      <c r="B39" s="39">
        <f>IF(Roster!$C$34="","",Roster!$C$34)</f>
        <v/>
      </c>
      <c r="C39" s="40">
        <f>IF(Roster!$C$34="","",Roster!$F$34&amp;IF(OR(Roster!$G$34="SANS",Roster!$G$34="NSMEN")," | "&amp;Roster!$G$34,""))</f>
        <v/>
      </c>
      <c r="D39" s="81">
        <f>IF(OR($B39="",YEAR($A$5)&lt;&gt;PlanYear),"",INDEX(CHOOSE(MONTH($A$5),'Jan'!$D$27:$AH$206,'Feb'!$D$27:$AH$206,'Mar'!$D$27:$AH$206,'Apr'!$D$27:$AH$206,'May'!$D$27:$AH$206,'Jun'!$D$27:$AH$206,'Jul'!$D$27:$AH$206,'Aug'!$D$27:$AH$206,'Sep'!$D$27:$AH$206,'Oct'!$D$27:$AH$206,'Nov'!$D$27:$AH$206,'Dec'!$D$27:$AH$206),85,DAY($A$5))&amp;"")</f>
        <v/>
      </c>
      <c r="E39" s="81">
        <f>IF(OR($B39="",YEAR($A$5)&lt;&gt;PlanYear),"",INDEX(CHOOSE(MONTH($A$5),'Jan'!$D$27:$AH$206,'Feb'!$D$27:$AH$206,'Mar'!$D$27:$AH$206,'Apr'!$D$27:$AH$206,'May'!$D$27:$AH$206,'Jun'!$D$27:$AH$206,'Jul'!$D$27:$AH$206,'Aug'!$D$27:$AH$206,'Sep'!$D$27:$AH$206,'Oct'!$D$27:$AH$206,'Nov'!$D$27:$AH$206,'Dec'!$D$27:$AH$206),86,DAY($A$5))&amp;"")</f>
        <v/>
      </c>
      <c r="F39" s="81">
        <f>IF(OR($B39="",YEAR($A$5)&lt;&gt;PlanYear),"",INDEX(CHOOSE(MONTH($A$5),'Jan'!$D$27:$AH$206,'Feb'!$D$27:$AH$206,'Mar'!$D$27:$AH$206,'Apr'!$D$27:$AH$206,'May'!$D$27:$AH$206,'Jun'!$D$27:$AH$206,'Jul'!$D$27:$AH$206,'Aug'!$D$27:$AH$206,'Sep'!$D$27:$AH$206,'Oct'!$D$27:$AH$206,'Nov'!$D$27:$AH$206,'Dec'!$D$27:$AH$206),87,DAY($A$5))&amp;"")</f>
        <v/>
      </c>
    </row>
    <row r="40" hidden="1">
      <c r="A40" s="38">
        <f>IF(Roster!$B$35="","",Roster!$B$35)</f>
        <v/>
      </c>
      <c r="B40" s="39">
        <f>IF(Roster!$C$35="","",Roster!$C$35)</f>
        <v/>
      </c>
      <c r="C40" s="40">
        <f>IF(Roster!$C$35="","",Roster!$F$35&amp;IF(OR(Roster!$G$35="SANS",Roster!$G$35="NSMEN")," | "&amp;Roster!$G$35,""))</f>
        <v/>
      </c>
      <c r="D40" s="81">
        <f>IF(OR($B40="",YEAR($A$5)&lt;&gt;PlanYear),"",INDEX(CHOOSE(MONTH($A$5),'Jan'!$D$27:$AH$206,'Feb'!$D$27:$AH$206,'Mar'!$D$27:$AH$206,'Apr'!$D$27:$AH$206,'May'!$D$27:$AH$206,'Jun'!$D$27:$AH$206,'Jul'!$D$27:$AH$206,'Aug'!$D$27:$AH$206,'Sep'!$D$27:$AH$206,'Oct'!$D$27:$AH$206,'Nov'!$D$27:$AH$206,'Dec'!$D$27:$AH$206),88,DAY($A$5))&amp;"")</f>
        <v/>
      </c>
      <c r="E40" s="81">
        <f>IF(OR($B40="",YEAR($A$5)&lt;&gt;PlanYear),"",INDEX(CHOOSE(MONTH($A$5),'Jan'!$D$27:$AH$206,'Feb'!$D$27:$AH$206,'Mar'!$D$27:$AH$206,'Apr'!$D$27:$AH$206,'May'!$D$27:$AH$206,'Jun'!$D$27:$AH$206,'Jul'!$D$27:$AH$206,'Aug'!$D$27:$AH$206,'Sep'!$D$27:$AH$206,'Oct'!$D$27:$AH$206,'Nov'!$D$27:$AH$206,'Dec'!$D$27:$AH$206),89,DAY($A$5))&amp;"")</f>
        <v/>
      </c>
      <c r="F40" s="81">
        <f>IF(OR($B40="",YEAR($A$5)&lt;&gt;PlanYear),"",INDEX(CHOOSE(MONTH($A$5),'Jan'!$D$27:$AH$206,'Feb'!$D$27:$AH$206,'Mar'!$D$27:$AH$206,'Apr'!$D$27:$AH$206,'May'!$D$27:$AH$206,'Jun'!$D$27:$AH$206,'Jul'!$D$27:$AH$206,'Aug'!$D$27:$AH$206,'Sep'!$D$27:$AH$206,'Oct'!$D$27:$AH$206,'Nov'!$D$27:$AH$206,'Dec'!$D$27:$AH$206),90,DAY($A$5))&amp;"")</f>
        <v/>
      </c>
    </row>
    <row r="41" hidden="1">
      <c r="A41" s="38">
        <f>IF(Roster!$B$36="","",Roster!$B$36)</f>
        <v/>
      </c>
      <c r="B41" s="39">
        <f>IF(Roster!$C$36="","",Roster!$C$36)</f>
        <v/>
      </c>
      <c r="C41" s="40">
        <f>IF(Roster!$C$36="","",Roster!$F$36&amp;IF(OR(Roster!$G$36="SANS",Roster!$G$36="NSMEN")," | "&amp;Roster!$G$36,""))</f>
        <v/>
      </c>
      <c r="D41" s="81">
        <f>IF(OR($B41="",YEAR($A$5)&lt;&gt;PlanYear),"",INDEX(CHOOSE(MONTH($A$5),'Jan'!$D$27:$AH$206,'Feb'!$D$27:$AH$206,'Mar'!$D$27:$AH$206,'Apr'!$D$27:$AH$206,'May'!$D$27:$AH$206,'Jun'!$D$27:$AH$206,'Jul'!$D$27:$AH$206,'Aug'!$D$27:$AH$206,'Sep'!$D$27:$AH$206,'Oct'!$D$27:$AH$206,'Nov'!$D$27:$AH$206,'Dec'!$D$27:$AH$206),91,DAY($A$5))&amp;"")</f>
        <v/>
      </c>
      <c r="E41" s="81">
        <f>IF(OR($B41="",YEAR($A$5)&lt;&gt;PlanYear),"",INDEX(CHOOSE(MONTH($A$5),'Jan'!$D$27:$AH$206,'Feb'!$D$27:$AH$206,'Mar'!$D$27:$AH$206,'Apr'!$D$27:$AH$206,'May'!$D$27:$AH$206,'Jun'!$D$27:$AH$206,'Jul'!$D$27:$AH$206,'Aug'!$D$27:$AH$206,'Sep'!$D$27:$AH$206,'Oct'!$D$27:$AH$206,'Nov'!$D$27:$AH$206,'Dec'!$D$27:$AH$206),92,DAY($A$5))&amp;"")</f>
        <v/>
      </c>
      <c r="F41" s="81">
        <f>IF(OR($B41="",YEAR($A$5)&lt;&gt;PlanYear),"",INDEX(CHOOSE(MONTH($A$5),'Jan'!$D$27:$AH$206,'Feb'!$D$27:$AH$206,'Mar'!$D$27:$AH$206,'Apr'!$D$27:$AH$206,'May'!$D$27:$AH$206,'Jun'!$D$27:$AH$206,'Jul'!$D$27:$AH$206,'Aug'!$D$27:$AH$206,'Sep'!$D$27:$AH$206,'Oct'!$D$27:$AH$206,'Nov'!$D$27:$AH$206,'Dec'!$D$27:$AH$206),93,DAY($A$5))&amp;"")</f>
        <v/>
      </c>
    </row>
    <row r="42" hidden="1">
      <c r="A42" s="38">
        <f>IF(Roster!$B$37="","",Roster!$B$37)</f>
        <v/>
      </c>
      <c r="B42" s="39">
        <f>IF(Roster!$C$37="","",Roster!$C$37)</f>
        <v/>
      </c>
      <c r="C42" s="40">
        <f>IF(Roster!$C$37="","",Roster!$F$37&amp;IF(OR(Roster!$G$37="SANS",Roster!$G$37="NSMEN")," | "&amp;Roster!$G$37,""))</f>
        <v/>
      </c>
      <c r="D42" s="81">
        <f>IF(OR($B42="",YEAR($A$5)&lt;&gt;PlanYear),"",INDEX(CHOOSE(MONTH($A$5),'Jan'!$D$27:$AH$206,'Feb'!$D$27:$AH$206,'Mar'!$D$27:$AH$206,'Apr'!$D$27:$AH$206,'May'!$D$27:$AH$206,'Jun'!$D$27:$AH$206,'Jul'!$D$27:$AH$206,'Aug'!$D$27:$AH$206,'Sep'!$D$27:$AH$206,'Oct'!$D$27:$AH$206,'Nov'!$D$27:$AH$206,'Dec'!$D$27:$AH$206),94,DAY($A$5))&amp;"")</f>
        <v/>
      </c>
      <c r="E42" s="81">
        <f>IF(OR($B42="",YEAR($A$5)&lt;&gt;PlanYear),"",INDEX(CHOOSE(MONTH($A$5),'Jan'!$D$27:$AH$206,'Feb'!$D$27:$AH$206,'Mar'!$D$27:$AH$206,'Apr'!$D$27:$AH$206,'May'!$D$27:$AH$206,'Jun'!$D$27:$AH$206,'Jul'!$D$27:$AH$206,'Aug'!$D$27:$AH$206,'Sep'!$D$27:$AH$206,'Oct'!$D$27:$AH$206,'Nov'!$D$27:$AH$206,'Dec'!$D$27:$AH$206),95,DAY($A$5))&amp;"")</f>
        <v/>
      </c>
      <c r="F42" s="81">
        <f>IF(OR($B42="",YEAR($A$5)&lt;&gt;PlanYear),"",INDEX(CHOOSE(MONTH($A$5),'Jan'!$D$27:$AH$206,'Feb'!$D$27:$AH$206,'Mar'!$D$27:$AH$206,'Apr'!$D$27:$AH$206,'May'!$D$27:$AH$206,'Jun'!$D$27:$AH$206,'Jul'!$D$27:$AH$206,'Aug'!$D$27:$AH$206,'Sep'!$D$27:$AH$206,'Oct'!$D$27:$AH$206,'Nov'!$D$27:$AH$206,'Dec'!$D$27:$AH$206),96,DAY($A$5))&amp;"")</f>
        <v/>
      </c>
    </row>
    <row r="43" hidden="1">
      <c r="A43" s="38">
        <f>IF(Roster!$B$38="","",Roster!$B$38)</f>
        <v/>
      </c>
      <c r="B43" s="39">
        <f>IF(Roster!$C$38="","",Roster!$C$38)</f>
        <v/>
      </c>
      <c r="C43" s="40">
        <f>IF(Roster!$C$38="","",Roster!$F$38&amp;IF(OR(Roster!$G$38="SANS",Roster!$G$38="NSMEN")," | "&amp;Roster!$G$38,""))</f>
        <v/>
      </c>
      <c r="D43" s="81">
        <f>IF(OR($B43="",YEAR($A$5)&lt;&gt;PlanYear),"",INDEX(CHOOSE(MONTH($A$5),'Jan'!$D$27:$AH$206,'Feb'!$D$27:$AH$206,'Mar'!$D$27:$AH$206,'Apr'!$D$27:$AH$206,'May'!$D$27:$AH$206,'Jun'!$D$27:$AH$206,'Jul'!$D$27:$AH$206,'Aug'!$D$27:$AH$206,'Sep'!$D$27:$AH$206,'Oct'!$D$27:$AH$206,'Nov'!$D$27:$AH$206,'Dec'!$D$27:$AH$206),97,DAY($A$5))&amp;"")</f>
        <v/>
      </c>
      <c r="E43" s="81">
        <f>IF(OR($B43="",YEAR($A$5)&lt;&gt;PlanYear),"",INDEX(CHOOSE(MONTH($A$5),'Jan'!$D$27:$AH$206,'Feb'!$D$27:$AH$206,'Mar'!$D$27:$AH$206,'Apr'!$D$27:$AH$206,'May'!$D$27:$AH$206,'Jun'!$D$27:$AH$206,'Jul'!$D$27:$AH$206,'Aug'!$D$27:$AH$206,'Sep'!$D$27:$AH$206,'Oct'!$D$27:$AH$206,'Nov'!$D$27:$AH$206,'Dec'!$D$27:$AH$206),98,DAY($A$5))&amp;"")</f>
        <v/>
      </c>
      <c r="F43" s="81">
        <f>IF(OR($B43="",YEAR($A$5)&lt;&gt;PlanYear),"",INDEX(CHOOSE(MONTH($A$5),'Jan'!$D$27:$AH$206,'Feb'!$D$27:$AH$206,'Mar'!$D$27:$AH$206,'Apr'!$D$27:$AH$206,'May'!$D$27:$AH$206,'Jun'!$D$27:$AH$206,'Jul'!$D$27:$AH$206,'Aug'!$D$27:$AH$206,'Sep'!$D$27:$AH$206,'Oct'!$D$27:$AH$206,'Nov'!$D$27:$AH$206,'Dec'!$D$27:$AH$206),99,DAY($A$5))&amp;"")</f>
        <v/>
      </c>
    </row>
    <row r="44" hidden="1">
      <c r="A44" s="38">
        <f>IF(Roster!$B$39="","",Roster!$B$39)</f>
        <v/>
      </c>
      <c r="B44" s="39">
        <f>IF(Roster!$C$39="","",Roster!$C$39)</f>
        <v/>
      </c>
      <c r="C44" s="40">
        <f>IF(Roster!$C$39="","",Roster!$F$39&amp;IF(OR(Roster!$G$39="SANS",Roster!$G$39="NSMEN")," | "&amp;Roster!$G$39,""))</f>
        <v/>
      </c>
      <c r="D44" s="81">
        <f>IF(OR($B44="",YEAR($A$5)&lt;&gt;PlanYear),"",INDEX(CHOOSE(MONTH($A$5),'Jan'!$D$27:$AH$206,'Feb'!$D$27:$AH$206,'Mar'!$D$27:$AH$206,'Apr'!$D$27:$AH$206,'May'!$D$27:$AH$206,'Jun'!$D$27:$AH$206,'Jul'!$D$27:$AH$206,'Aug'!$D$27:$AH$206,'Sep'!$D$27:$AH$206,'Oct'!$D$27:$AH$206,'Nov'!$D$27:$AH$206,'Dec'!$D$27:$AH$206),100,DAY($A$5))&amp;"")</f>
        <v/>
      </c>
      <c r="E44" s="81">
        <f>IF(OR($B44="",YEAR($A$5)&lt;&gt;PlanYear),"",INDEX(CHOOSE(MONTH($A$5),'Jan'!$D$27:$AH$206,'Feb'!$D$27:$AH$206,'Mar'!$D$27:$AH$206,'Apr'!$D$27:$AH$206,'May'!$D$27:$AH$206,'Jun'!$D$27:$AH$206,'Jul'!$D$27:$AH$206,'Aug'!$D$27:$AH$206,'Sep'!$D$27:$AH$206,'Oct'!$D$27:$AH$206,'Nov'!$D$27:$AH$206,'Dec'!$D$27:$AH$206),101,DAY($A$5))&amp;"")</f>
        <v/>
      </c>
      <c r="F44" s="81">
        <f>IF(OR($B44="",YEAR($A$5)&lt;&gt;PlanYear),"",INDEX(CHOOSE(MONTH($A$5),'Jan'!$D$27:$AH$206,'Feb'!$D$27:$AH$206,'Mar'!$D$27:$AH$206,'Apr'!$D$27:$AH$206,'May'!$D$27:$AH$206,'Jun'!$D$27:$AH$206,'Jul'!$D$27:$AH$206,'Aug'!$D$27:$AH$206,'Sep'!$D$27:$AH$206,'Oct'!$D$27:$AH$206,'Nov'!$D$27:$AH$206,'Dec'!$D$27:$AH$206),102,DAY($A$5))&amp;"")</f>
        <v/>
      </c>
    </row>
    <row r="45" hidden="1">
      <c r="A45" s="38">
        <f>IF(Roster!$B$40="","",Roster!$B$40)</f>
        <v/>
      </c>
      <c r="B45" s="39">
        <f>IF(Roster!$C$40="","",Roster!$C$40)</f>
        <v/>
      </c>
      <c r="C45" s="40">
        <f>IF(Roster!$C$40="","",Roster!$F$40&amp;IF(OR(Roster!$G$40="SANS",Roster!$G$40="NSMEN")," | "&amp;Roster!$G$40,""))</f>
        <v/>
      </c>
      <c r="D45" s="81">
        <f>IF(OR($B45="",YEAR($A$5)&lt;&gt;PlanYear),"",INDEX(CHOOSE(MONTH($A$5),'Jan'!$D$27:$AH$206,'Feb'!$D$27:$AH$206,'Mar'!$D$27:$AH$206,'Apr'!$D$27:$AH$206,'May'!$D$27:$AH$206,'Jun'!$D$27:$AH$206,'Jul'!$D$27:$AH$206,'Aug'!$D$27:$AH$206,'Sep'!$D$27:$AH$206,'Oct'!$D$27:$AH$206,'Nov'!$D$27:$AH$206,'Dec'!$D$27:$AH$206),103,DAY($A$5))&amp;"")</f>
        <v/>
      </c>
      <c r="E45" s="81">
        <f>IF(OR($B45="",YEAR($A$5)&lt;&gt;PlanYear),"",INDEX(CHOOSE(MONTH($A$5),'Jan'!$D$27:$AH$206,'Feb'!$D$27:$AH$206,'Mar'!$D$27:$AH$206,'Apr'!$D$27:$AH$206,'May'!$D$27:$AH$206,'Jun'!$D$27:$AH$206,'Jul'!$D$27:$AH$206,'Aug'!$D$27:$AH$206,'Sep'!$D$27:$AH$206,'Oct'!$D$27:$AH$206,'Nov'!$D$27:$AH$206,'Dec'!$D$27:$AH$206),104,DAY($A$5))&amp;"")</f>
        <v/>
      </c>
      <c r="F45" s="81">
        <f>IF(OR($B45="",YEAR($A$5)&lt;&gt;PlanYear),"",INDEX(CHOOSE(MONTH($A$5),'Jan'!$D$27:$AH$206,'Feb'!$D$27:$AH$206,'Mar'!$D$27:$AH$206,'Apr'!$D$27:$AH$206,'May'!$D$27:$AH$206,'Jun'!$D$27:$AH$206,'Jul'!$D$27:$AH$206,'Aug'!$D$27:$AH$206,'Sep'!$D$27:$AH$206,'Oct'!$D$27:$AH$206,'Nov'!$D$27:$AH$206,'Dec'!$D$27:$AH$206),105,DAY($A$5))&amp;"")</f>
        <v/>
      </c>
    </row>
    <row r="46" hidden="1">
      <c r="A46" s="38">
        <f>IF(Roster!$B$41="","",Roster!$B$41)</f>
        <v/>
      </c>
      <c r="B46" s="39">
        <f>IF(Roster!$C$41="","",Roster!$C$41)</f>
        <v/>
      </c>
      <c r="C46" s="40">
        <f>IF(Roster!$C$41="","",Roster!$F$41&amp;IF(OR(Roster!$G$41="SANS",Roster!$G$41="NSMEN")," | "&amp;Roster!$G$41,""))</f>
        <v/>
      </c>
      <c r="D46" s="81">
        <f>IF(OR($B46="",YEAR($A$5)&lt;&gt;PlanYear),"",INDEX(CHOOSE(MONTH($A$5),'Jan'!$D$27:$AH$206,'Feb'!$D$27:$AH$206,'Mar'!$D$27:$AH$206,'Apr'!$D$27:$AH$206,'May'!$D$27:$AH$206,'Jun'!$D$27:$AH$206,'Jul'!$D$27:$AH$206,'Aug'!$D$27:$AH$206,'Sep'!$D$27:$AH$206,'Oct'!$D$27:$AH$206,'Nov'!$D$27:$AH$206,'Dec'!$D$27:$AH$206),106,DAY($A$5))&amp;"")</f>
        <v/>
      </c>
      <c r="E46" s="81">
        <f>IF(OR($B46="",YEAR($A$5)&lt;&gt;PlanYear),"",INDEX(CHOOSE(MONTH($A$5),'Jan'!$D$27:$AH$206,'Feb'!$D$27:$AH$206,'Mar'!$D$27:$AH$206,'Apr'!$D$27:$AH$206,'May'!$D$27:$AH$206,'Jun'!$D$27:$AH$206,'Jul'!$D$27:$AH$206,'Aug'!$D$27:$AH$206,'Sep'!$D$27:$AH$206,'Oct'!$D$27:$AH$206,'Nov'!$D$27:$AH$206,'Dec'!$D$27:$AH$206),107,DAY($A$5))&amp;"")</f>
        <v/>
      </c>
      <c r="F46" s="81">
        <f>IF(OR($B46="",YEAR($A$5)&lt;&gt;PlanYear),"",INDEX(CHOOSE(MONTH($A$5),'Jan'!$D$27:$AH$206,'Feb'!$D$27:$AH$206,'Mar'!$D$27:$AH$206,'Apr'!$D$27:$AH$206,'May'!$D$27:$AH$206,'Jun'!$D$27:$AH$206,'Jul'!$D$27:$AH$206,'Aug'!$D$27:$AH$206,'Sep'!$D$27:$AH$206,'Oct'!$D$27:$AH$206,'Nov'!$D$27:$AH$206,'Dec'!$D$27:$AH$206),108,DAY($A$5))&amp;"")</f>
        <v/>
      </c>
    </row>
    <row r="47" hidden="1">
      <c r="A47" s="38">
        <f>IF(Roster!$B$42="","",Roster!$B$42)</f>
        <v/>
      </c>
      <c r="B47" s="39">
        <f>IF(Roster!$C$42="","",Roster!$C$42)</f>
        <v/>
      </c>
      <c r="C47" s="40">
        <f>IF(Roster!$C$42="","",Roster!$F$42&amp;IF(OR(Roster!$G$42="SANS",Roster!$G$42="NSMEN")," | "&amp;Roster!$G$42,""))</f>
        <v/>
      </c>
      <c r="D47" s="81">
        <f>IF(OR($B47="",YEAR($A$5)&lt;&gt;PlanYear),"",INDEX(CHOOSE(MONTH($A$5),'Jan'!$D$27:$AH$206,'Feb'!$D$27:$AH$206,'Mar'!$D$27:$AH$206,'Apr'!$D$27:$AH$206,'May'!$D$27:$AH$206,'Jun'!$D$27:$AH$206,'Jul'!$D$27:$AH$206,'Aug'!$D$27:$AH$206,'Sep'!$D$27:$AH$206,'Oct'!$D$27:$AH$206,'Nov'!$D$27:$AH$206,'Dec'!$D$27:$AH$206),109,DAY($A$5))&amp;"")</f>
        <v/>
      </c>
      <c r="E47" s="81">
        <f>IF(OR($B47="",YEAR($A$5)&lt;&gt;PlanYear),"",INDEX(CHOOSE(MONTH($A$5),'Jan'!$D$27:$AH$206,'Feb'!$D$27:$AH$206,'Mar'!$D$27:$AH$206,'Apr'!$D$27:$AH$206,'May'!$D$27:$AH$206,'Jun'!$D$27:$AH$206,'Jul'!$D$27:$AH$206,'Aug'!$D$27:$AH$206,'Sep'!$D$27:$AH$206,'Oct'!$D$27:$AH$206,'Nov'!$D$27:$AH$206,'Dec'!$D$27:$AH$206),110,DAY($A$5))&amp;"")</f>
        <v/>
      </c>
      <c r="F47" s="81">
        <f>IF(OR($B47="",YEAR($A$5)&lt;&gt;PlanYear),"",INDEX(CHOOSE(MONTH($A$5),'Jan'!$D$27:$AH$206,'Feb'!$D$27:$AH$206,'Mar'!$D$27:$AH$206,'Apr'!$D$27:$AH$206,'May'!$D$27:$AH$206,'Jun'!$D$27:$AH$206,'Jul'!$D$27:$AH$206,'Aug'!$D$27:$AH$206,'Sep'!$D$27:$AH$206,'Oct'!$D$27:$AH$206,'Nov'!$D$27:$AH$206,'Dec'!$D$27:$AH$206),111,DAY($A$5))&amp;"")</f>
        <v/>
      </c>
    </row>
    <row r="48" hidden="1">
      <c r="A48" s="38">
        <f>IF(Roster!$B$43="","",Roster!$B$43)</f>
        <v/>
      </c>
      <c r="B48" s="39">
        <f>IF(Roster!$C$43="","",Roster!$C$43)</f>
        <v/>
      </c>
      <c r="C48" s="40">
        <f>IF(Roster!$C$43="","",Roster!$F$43&amp;IF(OR(Roster!$G$43="SANS",Roster!$G$43="NSMEN")," | "&amp;Roster!$G$43,""))</f>
        <v/>
      </c>
      <c r="D48" s="81">
        <f>IF(OR($B48="",YEAR($A$5)&lt;&gt;PlanYear),"",INDEX(CHOOSE(MONTH($A$5),'Jan'!$D$27:$AH$206,'Feb'!$D$27:$AH$206,'Mar'!$D$27:$AH$206,'Apr'!$D$27:$AH$206,'May'!$D$27:$AH$206,'Jun'!$D$27:$AH$206,'Jul'!$D$27:$AH$206,'Aug'!$D$27:$AH$206,'Sep'!$D$27:$AH$206,'Oct'!$D$27:$AH$206,'Nov'!$D$27:$AH$206,'Dec'!$D$27:$AH$206),112,DAY($A$5))&amp;"")</f>
        <v/>
      </c>
      <c r="E48" s="81">
        <f>IF(OR($B48="",YEAR($A$5)&lt;&gt;PlanYear),"",INDEX(CHOOSE(MONTH($A$5),'Jan'!$D$27:$AH$206,'Feb'!$D$27:$AH$206,'Mar'!$D$27:$AH$206,'Apr'!$D$27:$AH$206,'May'!$D$27:$AH$206,'Jun'!$D$27:$AH$206,'Jul'!$D$27:$AH$206,'Aug'!$D$27:$AH$206,'Sep'!$D$27:$AH$206,'Oct'!$D$27:$AH$206,'Nov'!$D$27:$AH$206,'Dec'!$D$27:$AH$206),113,DAY($A$5))&amp;"")</f>
        <v/>
      </c>
      <c r="F48" s="81">
        <f>IF(OR($B48="",YEAR($A$5)&lt;&gt;PlanYear),"",INDEX(CHOOSE(MONTH($A$5),'Jan'!$D$27:$AH$206,'Feb'!$D$27:$AH$206,'Mar'!$D$27:$AH$206,'Apr'!$D$27:$AH$206,'May'!$D$27:$AH$206,'Jun'!$D$27:$AH$206,'Jul'!$D$27:$AH$206,'Aug'!$D$27:$AH$206,'Sep'!$D$27:$AH$206,'Oct'!$D$27:$AH$206,'Nov'!$D$27:$AH$206,'Dec'!$D$27:$AH$206),114,DAY($A$5))&amp;"")</f>
        <v/>
      </c>
    </row>
    <row r="49" hidden="1">
      <c r="A49" s="38">
        <f>IF(Roster!$B$44="","",Roster!$B$44)</f>
        <v/>
      </c>
      <c r="B49" s="39">
        <f>IF(Roster!$C$44="","",Roster!$C$44)</f>
        <v/>
      </c>
      <c r="C49" s="40">
        <f>IF(Roster!$C$44="","",Roster!$F$44&amp;IF(OR(Roster!$G$44="SANS",Roster!$G$44="NSMEN")," | "&amp;Roster!$G$44,""))</f>
        <v/>
      </c>
      <c r="D49" s="81">
        <f>IF(OR($B49="",YEAR($A$5)&lt;&gt;PlanYear),"",INDEX(CHOOSE(MONTH($A$5),'Jan'!$D$27:$AH$206,'Feb'!$D$27:$AH$206,'Mar'!$D$27:$AH$206,'Apr'!$D$27:$AH$206,'May'!$D$27:$AH$206,'Jun'!$D$27:$AH$206,'Jul'!$D$27:$AH$206,'Aug'!$D$27:$AH$206,'Sep'!$D$27:$AH$206,'Oct'!$D$27:$AH$206,'Nov'!$D$27:$AH$206,'Dec'!$D$27:$AH$206),115,DAY($A$5))&amp;"")</f>
        <v/>
      </c>
      <c r="E49" s="81">
        <f>IF(OR($B49="",YEAR($A$5)&lt;&gt;PlanYear),"",INDEX(CHOOSE(MONTH($A$5),'Jan'!$D$27:$AH$206,'Feb'!$D$27:$AH$206,'Mar'!$D$27:$AH$206,'Apr'!$D$27:$AH$206,'May'!$D$27:$AH$206,'Jun'!$D$27:$AH$206,'Jul'!$D$27:$AH$206,'Aug'!$D$27:$AH$206,'Sep'!$D$27:$AH$206,'Oct'!$D$27:$AH$206,'Nov'!$D$27:$AH$206,'Dec'!$D$27:$AH$206),116,DAY($A$5))&amp;"")</f>
        <v/>
      </c>
      <c r="F49" s="81">
        <f>IF(OR($B49="",YEAR($A$5)&lt;&gt;PlanYear),"",INDEX(CHOOSE(MONTH($A$5),'Jan'!$D$27:$AH$206,'Feb'!$D$27:$AH$206,'Mar'!$D$27:$AH$206,'Apr'!$D$27:$AH$206,'May'!$D$27:$AH$206,'Jun'!$D$27:$AH$206,'Jul'!$D$27:$AH$206,'Aug'!$D$27:$AH$206,'Sep'!$D$27:$AH$206,'Oct'!$D$27:$AH$206,'Nov'!$D$27:$AH$206,'Dec'!$D$27:$AH$206),117,DAY($A$5))&amp;"")</f>
        <v/>
      </c>
    </row>
    <row r="50" hidden="1">
      <c r="A50" s="38">
        <f>IF(Roster!$B$45="","",Roster!$B$45)</f>
        <v/>
      </c>
      <c r="B50" s="39">
        <f>IF(Roster!$C$45="","",Roster!$C$45)</f>
        <v/>
      </c>
      <c r="C50" s="40">
        <f>IF(Roster!$C$45="","",Roster!$F$45&amp;IF(OR(Roster!$G$45="SANS",Roster!$G$45="NSMEN")," | "&amp;Roster!$G$45,""))</f>
        <v/>
      </c>
      <c r="D50" s="81">
        <f>IF(OR($B50="",YEAR($A$5)&lt;&gt;PlanYear),"",INDEX(CHOOSE(MONTH($A$5),'Jan'!$D$27:$AH$206,'Feb'!$D$27:$AH$206,'Mar'!$D$27:$AH$206,'Apr'!$D$27:$AH$206,'May'!$D$27:$AH$206,'Jun'!$D$27:$AH$206,'Jul'!$D$27:$AH$206,'Aug'!$D$27:$AH$206,'Sep'!$D$27:$AH$206,'Oct'!$D$27:$AH$206,'Nov'!$D$27:$AH$206,'Dec'!$D$27:$AH$206),118,DAY($A$5))&amp;"")</f>
        <v/>
      </c>
      <c r="E50" s="81">
        <f>IF(OR($B50="",YEAR($A$5)&lt;&gt;PlanYear),"",INDEX(CHOOSE(MONTH($A$5),'Jan'!$D$27:$AH$206,'Feb'!$D$27:$AH$206,'Mar'!$D$27:$AH$206,'Apr'!$D$27:$AH$206,'May'!$D$27:$AH$206,'Jun'!$D$27:$AH$206,'Jul'!$D$27:$AH$206,'Aug'!$D$27:$AH$206,'Sep'!$D$27:$AH$206,'Oct'!$D$27:$AH$206,'Nov'!$D$27:$AH$206,'Dec'!$D$27:$AH$206),119,DAY($A$5))&amp;"")</f>
        <v/>
      </c>
      <c r="F50" s="81">
        <f>IF(OR($B50="",YEAR($A$5)&lt;&gt;PlanYear),"",INDEX(CHOOSE(MONTH($A$5),'Jan'!$D$27:$AH$206,'Feb'!$D$27:$AH$206,'Mar'!$D$27:$AH$206,'Apr'!$D$27:$AH$206,'May'!$D$27:$AH$206,'Jun'!$D$27:$AH$206,'Jul'!$D$27:$AH$206,'Aug'!$D$27:$AH$206,'Sep'!$D$27:$AH$206,'Oct'!$D$27:$AH$206,'Nov'!$D$27:$AH$206,'Dec'!$D$27:$AH$206),120,DAY($A$5))&amp;"")</f>
        <v/>
      </c>
    </row>
    <row r="51" hidden="1">
      <c r="A51" s="38">
        <f>IF(Roster!$B$46="","",Roster!$B$46)</f>
        <v/>
      </c>
      <c r="B51" s="39">
        <f>IF(Roster!$C$46="","",Roster!$C$46)</f>
        <v/>
      </c>
      <c r="C51" s="40">
        <f>IF(Roster!$C$46="","",Roster!$F$46&amp;IF(OR(Roster!$G$46="SANS",Roster!$G$46="NSMEN")," | "&amp;Roster!$G$46,""))</f>
        <v/>
      </c>
      <c r="D51" s="81">
        <f>IF(OR($B51="",YEAR($A$5)&lt;&gt;PlanYear),"",INDEX(CHOOSE(MONTH($A$5),'Jan'!$D$27:$AH$206,'Feb'!$D$27:$AH$206,'Mar'!$D$27:$AH$206,'Apr'!$D$27:$AH$206,'May'!$D$27:$AH$206,'Jun'!$D$27:$AH$206,'Jul'!$D$27:$AH$206,'Aug'!$D$27:$AH$206,'Sep'!$D$27:$AH$206,'Oct'!$D$27:$AH$206,'Nov'!$D$27:$AH$206,'Dec'!$D$27:$AH$206),121,DAY($A$5))&amp;"")</f>
        <v/>
      </c>
      <c r="E51" s="81">
        <f>IF(OR($B51="",YEAR($A$5)&lt;&gt;PlanYear),"",INDEX(CHOOSE(MONTH($A$5),'Jan'!$D$27:$AH$206,'Feb'!$D$27:$AH$206,'Mar'!$D$27:$AH$206,'Apr'!$D$27:$AH$206,'May'!$D$27:$AH$206,'Jun'!$D$27:$AH$206,'Jul'!$D$27:$AH$206,'Aug'!$D$27:$AH$206,'Sep'!$D$27:$AH$206,'Oct'!$D$27:$AH$206,'Nov'!$D$27:$AH$206,'Dec'!$D$27:$AH$206),122,DAY($A$5))&amp;"")</f>
        <v/>
      </c>
      <c r="F51" s="81">
        <f>IF(OR($B51="",YEAR($A$5)&lt;&gt;PlanYear),"",INDEX(CHOOSE(MONTH($A$5),'Jan'!$D$27:$AH$206,'Feb'!$D$27:$AH$206,'Mar'!$D$27:$AH$206,'Apr'!$D$27:$AH$206,'May'!$D$27:$AH$206,'Jun'!$D$27:$AH$206,'Jul'!$D$27:$AH$206,'Aug'!$D$27:$AH$206,'Sep'!$D$27:$AH$206,'Oct'!$D$27:$AH$206,'Nov'!$D$27:$AH$206,'Dec'!$D$27:$AH$206),123,DAY($A$5))&amp;"")</f>
        <v/>
      </c>
    </row>
    <row r="52" hidden="1">
      <c r="A52" s="38">
        <f>IF(Roster!$B$47="","",Roster!$B$47)</f>
        <v/>
      </c>
      <c r="B52" s="39">
        <f>IF(Roster!$C$47="","",Roster!$C$47)</f>
        <v/>
      </c>
      <c r="C52" s="40">
        <f>IF(Roster!$C$47="","",Roster!$F$47&amp;IF(OR(Roster!$G$47="SANS",Roster!$G$47="NSMEN")," | "&amp;Roster!$G$47,""))</f>
        <v/>
      </c>
      <c r="D52" s="81">
        <f>IF(OR($B52="",YEAR($A$5)&lt;&gt;PlanYear),"",INDEX(CHOOSE(MONTH($A$5),'Jan'!$D$27:$AH$206,'Feb'!$D$27:$AH$206,'Mar'!$D$27:$AH$206,'Apr'!$D$27:$AH$206,'May'!$D$27:$AH$206,'Jun'!$D$27:$AH$206,'Jul'!$D$27:$AH$206,'Aug'!$D$27:$AH$206,'Sep'!$D$27:$AH$206,'Oct'!$D$27:$AH$206,'Nov'!$D$27:$AH$206,'Dec'!$D$27:$AH$206),124,DAY($A$5))&amp;"")</f>
        <v/>
      </c>
      <c r="E52" s="81">
        <f>IF(OR($B52="",YEAR($A$5)&lt;&gt;PlanYear),"",INDEX(CHOOSE(MONTH($A$5),'Jan'!$D$27:$AH$206,'Feb'!$D$27:$AH$206,'Mar'!$D$27:$AH$206,'Apr'!$D$27:$AH$206,'May'!$D$27:$AH$206,'Jun'!$D$27:$AH$206,'Jul'!$D$27:$AH$206,'Aug'!$D$27:$AH$206,'Sep'!$D$27:$AH$206,'Oct'!$D$27:$AH$206,'Nov'!$D$27:$AH$206,'Dec'!$D$27:$AH$206),125,DAY($A$5))&amp;"")</f>
        <v/>
      </c>
      <c r="F52" s="81">
        <f>IF(OR($B52="",YEAR($A$5)&lt;&gt;PlanYear),"",INDEX(CHOOSE(MONTH($A$5),'Jan'!$D$27:$AH$206,'Feb'!$D$27:$AH$206,'Mar'!$D$27:$AH$206,'Apr'!$D$27:$AH$206,'May'!$D$27:$AH$206,'Jun'!$D$27:$AH$206,'Jul'!$D$27:$AH$206,'Aug'!$D$27:$AH$206,'Sep'!$D$27:$AH$206,'Oct'!$D$27:$AH$206,'Nov'!$D$27:$AH$206,'Dec'!$D$27:$AH$206),126,DAY($A$5))&amp;"")</f>
        <v/>
      </c>
    </row>
    <row r="53" hidden="1">
      <c r="A53" s="38">
        <f>IF(Roster!$B$48="","",Roster!$B$48)</f>
        <v/>
      </c>
      <c r="B53" s="39">
        <f>IF(Roster!$C$48="","",Roster!$C$48)</f>
        <v/>
      </c>
      <c r="C53" s="40">
        <f>IF(Roster!$C$48="","",Roster!$F$48&amp;IF(OR(Roster!$G$48="SANS",Roster!$G$48="NSMEN")," | "&amp;Roster!$G$48,""))</f>
        <v/>
      </c>
      <c r="D53" s="81">
        <f>IF(OR($B53="",YEAR($A$5)&lt;&gt;PlanYear),"",INDEX(CHOOSE(MONTH($A$5),'Jan'!$D$27:$AH$206,'Feb'!$D$27:$AH$206,'Mar'!$D$27:$AH$206,'Apr'!$D$27:$AH$206,'May'!$D$27:$AH$206,'Jun'!$D$27:$AH$206,'Jul'!$D$27:$AH$206,'Aug'!$D$27:$AH$206,'Sep'!$D$27:$AH$206,'Oct'!$D$27:$AH$206,'Nov'!$D$27:$AH$206,'Dec'!$D$27:$AH$206),127,DAY($A$5))&amp;"")</f>
        <v/>
      </c>
      <c r="E53" s="81">
        <f>IF(OR($B53="",YEAR($A$5)&lt;&gt;PlanYear),"",INDEX(CHOOSE(MONTH($A$5),'Jan'!$D$27:$AH$206,'Feb'!$D$27:$AH$206,'Mar'!$D$27:$AH$206,'Apr'!$D$27:$AH$206,'May'!$D$27:$AH$206,'Jun'!$D$27:$AH$206,'Jul'!$D$27:$AH$206,'Aug'!$D$27:$AH$206,'Sep'!$D$27:$AH$206,'Oct'!$D$27:$AH$206,'Nov'!$D$27:$AH$206,'Dec'!$D$27:$AH$206),128,DAY($A$5))&amp;"")</f>
        <v/>
      </c>
      <c r="F53" s="81">
        <f>IF(OR($B53="",YEAR($A$5)&lt;&gt;PlanYear),"",INDEX(CHOOSE(MONTH($A$5),'Jan'!$D$27:$AH$206,'Feb'!$D$27:$AH$206,'Mar'!$D$27:$AH$206,'Apr'!$D$27:$AH$206,'May'!$D$27:$AH$206,'Jun'!$D$27:$AH$206,'Jul'!$D$27:$AH$206,'Aug'!$D$27:$AH$206,'Sep'!$D$27:$AH$206,'Oct'!$D$27:$AH$206,'Nov'!$D$27:$AH$206,'Dec'!$D$27:$AH$206),129,DAY($A$5))&amp;"")</f>
        <v/>
      </c>
    </row>
    <row r="54" hidden="1">
      <c r="A54" s="38">
        <f>IF(Roster!$B$49="","",Roster!$B$49)</f>
        <v/>
      </c>
      <c r="B54" s="39">
        <f>IF(Roster!$C$49="","",Roster!$C$49)</f>
        <v/>
      </c>
      <c r="C54" s="40">
        <f>IF(Roster!$C$49="","",Roster!$F$49&amp;IF(OR(Roster!$G$49="SANS",Roster!$G$49="NSMEN")," | "&amp;Roster!$G$49,""))</f>
        <v/>
      </c>
      <c r="D54" s="81">
        <f>IF(OR($B54="",YEAR($A$5)&lt;&gt;PlanYear),"",INDEX(CHOOSE(MONTH($A$5),'Jan'!$D$27:$AH$206,'Feb'!$D$27:$AH$206,'Mar'!$D$27:$AH$206,'Apr'!$D$27:$AH$206,'May'!$D$27:$AH$206,'Jun'!$D$27:$AH$206,'Jul'!$D$27:$AH$206,'Aug'!$D$27:$AH$206,'Sep'!$D$27:$AH$206,'Oct'!$D$27:$AH$206,'Nov'!$D$27:$AH$206,'Dec'!$D$27:$AH$206),130,DAY($A$5))&amp;"")</f>
        <v/>
      </c>
      <c r="E54" s="81">
        <f>IF(OR($B54="",YEAR($A$5)&lt;&gt;PlanYear),"",INDEX(CHOOSE(MONTH($A$5),'Jan'!$D$27:$AH$206,'Feb'!$D$27:$AH$206,'Mar'!$D$27:$AH$206,'Apr'!$D$27:$AH$206,'May'!$D$27:$AH$206,'Jun'!$D$27:$AH$206,'Jul'!$D$27:$AH$206,'Aug'!$D$27:$AH$206,'Sep'!$D$27:$AH$206,'Oct'!$D$27:$AH$206,'Nov'!$D$27:$AH$206,'Dec'!$D$27:$AH$206),131,DAY($A$5))&amp;"")</f>
        <v/>
      </c>
      <c r="F54" s="81">
        <f>IF(OR($B54="",YEAR($A$5)&lt;&gt;PlanYear),"",INDEX(CHOOSE(MONTH($A$5),'Jan'!$D$27:$AH$206,'Feb'!$D$27:$AH$206,'Mar'!$D$27:$AH$206,'Apr'!$D$27:$AH$206,'May'!$D$27:$AH$206,'Jun'!$D$27:$AH$206,'Jul'!$D$27:$AH$206,'Aug'!$D$27:$AH$206,'Sep'!$D$27:$AH$206,'Oct'!$D$27:$AH$206,'Nov'!$D$27:$AH$206,'Dec'!$D$27:$AH$206),132,DAY($A$5))&amp;"")</f>
        <v/>
      </c>
    </row>
    <row r="55" hidden="1">
      <c r="A55" s="38">
        <f>IF(Roster!$B$50="","",Roster!$B$50)</f>
        <v/>
      </c>
      <c r="B55" s="39">
        <f>IF(Roster!$C$50="","",Roster!$C$50)</f>
        <v/>
      </c>
      <c r="C55" s="40">
        <f>IF(Roster!$C$50="","",Roster!$F$50&amp;IF(OR(Roster!$G$50="SANS",Roster!$G$50="NSMEN")," | "&amp;Roster!$G$50,""))</f>
        <v/>
      </c>
      <c r="D55" s="81">
        <f>IF(OR($B55="",YEAR($A$5)&lt;&gt;PlanYear),"",INDEX(CHOOSE(MONTH($A$5),'Jan'!$D$27:$AH$206,'Feb'!$D$27:$AH$206,'Mar'!$D$27:$AH$206,'Apr'!$D$27:$AH$206,'May'!$D$27:$AH$206,'Jun'!$D$27:$AH$206,'Jul'!$D$27:$AH$206,'Aug'!$D$27:$AH$206,'Sep'!$D$27:$AH$206,'Oct'!$D$27:$AH$206,'Nov'!$D$27:$AH$206,'Dec'!$D$27:$AH$206),133,DAY($A$5))&amp;"")</f>
        <v/>
      </c>
      <c r="E55" s="81">
        <f>IF(OR($B55="",YEAR($A$5)&lt;&gt;PlanYear),"",INDEX(CHOOSE(MONTH($A$5),'Jan'!$D$27:$AH$206,'Feb'!$D$27:$AH$206,'Mar'!$D$27:$AH$206,'Apr'!$D$27:$AH$206,'May'!$D$27:$AH$206,'Jun'!$D$27:$AH$206,'Jul'!$D$27:$AH$206,'Aug'!$D$27:$AH$206,'Sep'!$D$27:$AH$206,'Oct'!$D$27:$AH$206,'Nov'!$D$27:$AH$206,'Dec'!$D$27:$AH$206),134,DAY($A$5))&amp;"")</f>
        <v/>
      </c>
      <c r="F55" s="81">
        <f>IF(OR($B55="",YEAR($A$5)&lt;&gt;PlanYear),"",INDEX(CHOOSE(MONTH($A$5),'Jan'!$D$27:$AH$206,'Feb'!$D$27:$AH$206,'Mar'!$D$27:$AH$206,'Apr'!$D$27:$AH$206,'May'!$D$27:$AH$206,'Jun'!$D$27:$AH$206,'Jul'!$D$27:$AH$206,'Aug'!$D$27:$AH$206,'Sep'!$D$27:$AH$206,'Oct'!$D$27:$AH$206,'Nov'!$D$27:$AH$206,'Dec'!$D$27:$AH$206),135,DAY($A$5))&amp;"")</f>
        <v/>
      </c>
    </row>
    <row r="56">
      <c r="A56" s="53">
        <f>IF(Roster!$B$51="","",Roster!$B$51)</f>
        <v/>
      </c>
      <c r="B56" s="54">
        <f>IF(Roster!$C$51="","",Roster!$C$51)</f>
        <v/>
      </c>
      <c r="C56" s="55">
        <f>IF(Roster!$C$51="","",Roster!$F$51&amp;IF(OR(Roster!$G$51="SANS",Roster!$G$51="NSMEN")," | "&amp;Roster!$G$51,""))</f>
        <v/>
      </c>
      <c r="D56" s="81">
        <f>IF(OR($B56="",YEAR($A$5)&lt;&gt;PlanYear),"",INDEX(CHOOSE(MONTH($A$5),'Jan'!$D$27:$AH$206,'Feb'!$D$27:$AH$206,'Mar'!$D$27:$AH$206,'Apr'!$D$27:$AH$206,'May'!$D$27:$AH$206,'Jun'!$D$27:$AH$206,'Jul'!$D$27:$AH$206,'Aug'!$D$27:$AH$206,'Sep'!$D$27:$AH$206,'Oct'!$D$27:$AH$206,'Nov'!$D$27:$AH$206,'Dec'!$D$27:$AH$206),136,DAY($A$5))&amp;"")</f>
        <v/>
      </c>
      <c r="E56" s="81">
        <f>IF(OR($B56="",YEAR($A$5)&lt;&gt;PlanYear),"",INDEX(CHOOSE(MONTH($A$5),'Jan'!$D$27:$AH$206,'Feb'!$D$27:$AH$206,'Mar'!$D$27:$AH$206,'Apr'!$D$27:$AH$206,'May'!$D$27:$AH$206,'Jun'!$D$27:$AH$206,'Jul'!$D$27:$AH$206,'Aug'!$D$27:$AH$206,'Sep'!$D$27:$AH$206,'Oct'!$D$27:$AH$206,'Nov'!$D$27:$AH$206,'Dec'!$D$27:$AH$206),137,DAY($A$5))&amp;"")</f>
        <v/>
      </c>
      <c r="F56" s="81">
        <f>IF(OR($B56="",YEAR($A$5)&lt;&gt;PlanYear),"",INDEX(CHOOSE(MONTH($A$5),'Jan'!$D$27:$AH$206,'Feb'!$D$27:$AH$206,'Mar'!$D$27:$AH$206,'Apr'!$D$27:$AH$206,'May'!$D$27:$AH$206,'Jun'!$D$27:$AH$206,'Jul'!$D$27:$AH$206,'Aug'!$D$27:$AH$206,'Sep'!$D$27:$AH$206,'Oct'!$D$27:$AH$206,'Nov'!$D$27:$AH$206,'Dec'!$D$27:$AH$206),138,DAY($A$5))&amp;"")</f>
        <v/>
      </c>
    </row>
    <row r="57">
      <c r="A57" s="53">
        <f>IF(Roster!$B$52="","",Roster!$B$52)</f>
        <v/>
      </c>
      <c r="B57" s="54">
        <f>IF(Roster!$C$52="","",Roster!$C$52)</f>
        <v/>
      </c>
      <c r="C57" s="55">
        <f>IF(Roster!$C$52="","",Roster!$F$52&amp;IF(OR(Roster!$G$52="SANS",Roster!$G$52="NSMEN")," | "&amp;Roster!$G$52,""))</f>
        <v/>
      </c>
      <c r="D57" s="81">
        <f>IF(OR($B57="",YEAR($A$5)&lt;&gt;PlanYear),"",INDEX(CHOOSE(MONTH($A$5),'Jan'!$D$27:$AH$206,'Feb'!$D$27:$AH$206,'Mar'!$D$27:$AH$206,'Apr'!$D$27:$AH$206,'May'!$D$27:$AH$206,'Jun'!$D$27:$AH$206,'Jul'!$D$27:$AH$206,'Aug'!$D$27:$AH$206,'Sep'!$D$27:$AH$206,'Oct'!$D$27:$AH$206,'Nov'!$D$27:$AH$206,'Dec'!$D$27:$AH$206),139,DAY($A$5))&amp;"")</f>
        <v/>
      </c>
      <c r="E57" s="81">
        <f>IF(OR($B57="",YEAR($A$5)&lt;&gt;PlanYear),"",INDEX(CHOOSE(MONTH($A$5),'Jan'!$D$27:$AH$206,'Feb'!$D$27:$AH$206,'Mar'!$D$27:$AH$206,'Apr'!$D$27:$AH$206,'May'!$D$27:$AH$206,'Jun'!$D$27:$AH$206,'Jul'!$D$27:$AH$206,'Aug'!$D$27:$AH$206,'Sep'!$D$27:$AH$206,'Oct'!$D$27:$AH$206,'Nov'!$D$27:$AH$206,'Dec'!$D$27:$AH$206),140,DAY($A$5))&amp;"")</f>
        <v/>
      </c>
      <c r="F57" s="81">
        <f>IF(OR($B57="",YEAR($A$5)&lt;&gt;PlanYear),"",INDEX(CHOOSE(MONTH($A$5),'Jan'!$D$27:$AH$206,'Feb'!$D$27:$AH$206,'Mar'!$D$27:$AH$206,'Apr'!$D$27:$AH$206,'May'!$D$27:$AH$206,'Jun'!$D$27:$AH$206,'Jul'!$D$27:$AH$206,'Aug'!$D$27:$AH$206,'Sep'!$D$27:$AH$206,'Oct'!$D$27:$AH$206,'Nov'!$D$27:$AH$206,'Dec'!$D$27:$AH$206),141,DAY($A$5))&amp;"")</f>
        <v/>
      </c>
    </row>
    <row r="58" hidden="1">
      <c r="A58" s="53">
        <f>IF(Roster!$B$53="","",Roster!$B$53)</f>
        <v/>
      </c>
      <c r="B58" s="54">
        <f>IF(Roster!$C$53="","",Roster!$C$53)</f>
        <v/>
      </c>
      <c r="C58" s="55">
        <f>IF(Roster!$C$53="","",Roster!$F$53&amp;IF(OR(Roster!$G$53="SANS",Roster!$G$53="NSMEN")," | "&amp;Roster!$G$53,""))</f>
        <v/>
      </c>
      <c r="D58" s="81">
        <f>IF(OR($B58="",YEAR($A$5)&lt;&gt;PlanYear),"",INDEX(CHOOSE(MONTH($A$5),'Jan'!$D$27:$AH$206,'Feb'!$D$27:$AH$206,'Mar'!$D$27:$AH$206,'Apr'!$D$27:$AH$206,'May'!$D$27:$AH$206,'Jun'!$D$27:$AH$206,'Jul'!$D$27:$AH$206,'Aug'!$D$27:$AH$206,'Sep'!$D$27:$AH$206,'Oct'!$D$27:$AH$206,'Nov'!$D$27:$AH$206,'Dec'!$D$27:$AH$206),142,DAY($A$5))&amp;"")</f>
        <v/>
      </c>
      <c r="E58" s="81">
        <f>IF(OR($B58="",YEAR($A$5)&lt;&gt;PlanYear),"",INDEX(CHOOSE(MONTH($A$5),'Jan'!$D$27:$AH$206,'Feb'!$D$27:$AH$206,'Mar'!$D$27:$AH$206,'Apr'!$D$27:$AH$206,'May'!$D$27:$AH$206,'Jun'!$D$27:$AH$206,'Jul'!$D$27:$AH$206,'Aug'!$D$27:$AH$206,'Sep'!$D$27:$AH$206,'Oct'!$D$27:$AH$206,'Nov'!$D$27:$AH$206,'Dec'!$D$27:$AH$206),143,DAY($A$5))&amp;"")</f>
        <v/>
      </c>
      <c r="F58" s="81">
        <f>IF(OR($B58="",YEAR($A$5)&lt;&gt;PlanYear),"",INDEX(CHOOSE(MONTH($A$5),'Jan'!$D$27:$AH$206,'Feb'!$D$27:$AH$206,'Mar'!$D$27:$AH$206,'Apr'!$D$27:$AH$206,'May'!$D$27:$AH$206,'Jun'!$D$27:$AH$206,'Jul'!$D$27:$AH$206,'Aug'!$D$27:$AH$206,'Sep'!$D$27:$AH$206,'Oct'!$D$27:$AH$206,'Nov'!$D$27:$AH$206,'Dec'!$D$27:$AH$206),144,DAY($A$5))&amp;"")</f>
        <v/>
      </c>
    </row>
    <row r="59" hidden="1">
      <c r="A59" s="53">
        <f>IF(Roster!$B$54="","",Roster!$B$54)</f>
        <v/>
      </c>
      <c r="B59" s="54">
        <f>IF(Roster!$C$54="","",Roster!$C$54)</f>
        <v/>
      </c>
      <c r="C59" s="55">
        <f>IF(Roster!$C$54="","",Roster!$F$54&amp;IF(OR(Roster!$G$54="SANS",Roster!$G$54="NSMEN")," | "&amp;Roster!$G$54,""))</f>
        <v/>
      </c>
      <c r="D59" s="81">
        <f>IF(OR($B59="",YEAR($A$5)&lt;&gt;PlanYear),"",INDEX(CHOOSE(MONTH($A$5),'Jan'!$D$27:$AH$206,'Feb'!$D$27:$AH$206,'Mar'!$D$27:$AH$206,'Apr'!$D$27:$AH$206,'May'!$D$27:$AH$206,'Jun'!$D$27:$AH$206,'Jul'!$D$27:$AH$206,'Aug'!$D$27:$AH$206,'Sep'!$D$27:$AH$206,'Oct'!$D$27:$AH$206,'Nov'!$D$27:$AH$206,'Dec'!$D$27:$AH$206),145,DAY($A$5))&amp;"")</f>
        <v/>
      </c>
      <c r="E59" s="81">
        <f>IF(OR($B59="",YEAR($A$5)&lt;&gt;PlanYear),"",INDEX(CHOOSE(MONTH($A$5),'Jan'!$D$27:$AH$206,'Feb'!$D$27:$AH$206,'Mar'!$D$27:$AH$206,'Apr'!$D$27:$AH$206,'May'!$D$27:$AH$206,'Jun'!$D$27:$AH$206,'Jul'!$D$27:$AH$206,'Aug'!$D$27:$AH$206,'Sep'!$D$27:$AH$206,'Oct'!$D$27:$AH$206,'Nov'!$D$27:$AH$206,'Dec'!$D$27:$AH$206),146,DAY($A$5))&amp;"")</f>
        <v/>
      </c>
      <c r="F59" s="81">
        <f>IF(OR($B59="",YEAR($A$5)&lt;&gt;PlanYear),"",INDEX(CHOOSE(MONTH($A$5),'Jan'!$D$27:$AH$206,'Feb'!$D$27:$AH$206,'Mar'!$D$27:$AH$206,'Apr'!$D$27:$AH$206,'May'!$D$27:$AH$206,'Jun'!$D$27:$AH$206,'Jul'!$D$27:$AH$206,'Aug'!$D$27:$AH$206,'Sep'!$D$27:$AH$206,'Oct'!$D$27:$AH$206,'Nov'!$D$27:$AH$206,'Dec'!$D$27:$AH$206),147,DAY($A$5))&amp;"")</f>
        <v/>
      </c>
    </row>
    <row r="60" hidden="1">
      <c r="A60" s="53">
        <f>IF(Roster!$B$55="","",Roster!$B$55)</f>
        <v/>
      </c>
      <c r="B60" s="54">
        <f>IF(Roster!$C$55="","",Roster!$C$55)</f>
        <v/>
      </c>
      <c r="C60" s="55">
        <f>IF(Roster!$C$55="","",Roster!$F$55&amp;IF(OR(Roster!$G$55="SANS",Roster!$G$55="NSMEN")," | "&amp;Roster!$G$55,""))</f>
        <v/>
      </c>
      <c r="D60" s="81">
        <f>IF(OR($B60="",YEAR($A$5)&lt;&gt;PlanYear),"",INDEX(CHOOSE(MONTH($A$5),'Jan'!$D$27:$AH$206,'Feb'!$D$27:$AH$206,'Mar'!$D$27:$AH$206,'Apr'!$D$27:$AH$206,'May'!$D$27:$AH$206,'Jun'!$D$27:$AH$206,'Jul'!$D$27:$AH$206,'Aug'!$D$27:$AH$206,'Sep'!$D$27:$AH$206,'Oct'!$D$27:$AH$206,'Nov'!$D$27:$AH$206,'Dec'!$D$27:$AH$206),148,DAY($A$5))&amp;"")</f>
        <v/>
      </c>
      <c r="E60" s="81">
        <f>IF(OR($B60="",YEAR($A$5)&lt;&gt;PlanYear),"",INDEX(CHOOSE(MONTH($A$5),'Jan'!$D$27:$AH$206,'Feb'!$D$27:$AH$206,'Mar'!$D$27:$AH$206,'Apr'!$D$27:$AH$206,'May'!$D$27:$AH$206,'Jun'!$D$27:$AH$206,'Jul'!$D$27:$AH$206,'Aug'!$D$27:$AH$206,'Sep'!$D$27:$AH$206,'Oct'!$D$27:$AH$206,'Nov'!$D$27:$AH$206,'Dec'!$D$27:$AH$206),149,DAY($A$5))&amp;"")</f>
        <v/>
      </c>
      <c r="F60" s="81">
        <f>IF(OR($B60="",YEAR($A$5)&lt;&gt;PlanYear),"",INDEX(CHOOSE(MONTH($A$5),'Jan'!$D$27:$AH$206,'Feb'!$D$27:$AH$206,'Mar'!$D$27:$AH$206,'Apr'!$D$27:$AH$206,'May'!$D$27:$AH$206,'Jun'!$D$27:$AH$206,'Jul'!$D$27:$AH$206,'Aug'!$D$27:$AH$206,'Sep'!$D$27:$AH$206,'Oct'!$D$27:$AH$206,'Nov'!$D$27:$AH$206,'Dec'!$D$27:$AH$206),150,DAY($A$5))&amp;"")</f>
        <v/>
      </c>
    </row>
    <row r="61" hidden="1">
      <c r="A61" s="53">
        <f>IF(Roster!$B$56="","",Roster!$B$56)</f>
        <v/>
      </c>
      <c r="B61" s="54">
        <f>IF(Roster!$C$56="","",Roster!$C$56)</f>
        <v/>
      </c>
      <c r="C61" s="55">
        <f>IF(Roster!$C$56="","",Roster!$F$56&amp;IF(OR(Roster!$G$56="SANS",Roster!$G$56="NSMEN")," | "&amp;Roster!$G$56,""))</f>
        <v/>
      </c>
      <c r="D61" s="81">
        <f>IF(OR($B61="",YEAR($A$5)&lt;&gt;PlanYear),"",INDEX(CHOOSE(MONTH($A$5),'Jan'!$D$27:$AH$206,'Feb'!$D$27:$AH$206,'Mar'!$D$27:$AH$206,'Apr'!$D$27:$AH$206,'May'!$D$27:$AH$206,'Jun'!$D$27:$AH$206,'Jul'!$D$27:$AH$206,'Aug'!$D$27:$AH$206,'Sep'!$D$27:$AH$206,'Oct'!$D$27:$AH$206,'Nov'!$D$27:$AH$206,'Dec'!$D$27:$AH$206),151,DAY($A$5))&amp;"")</f>
        <v/>
      </c>
      <c r="E61" s="81">
        <f>IF(OR($B61="",YEAR($A$5)&lt;&gt;PlanYear),"",INDEX(CHOOSE(MONTH($A$5),'Jan'!$D$27:$AH$206,'Feb'!$D$27:$AH$206,'Mar'!$D$27:$AH$206,'Apr'!$D$27:$AH$206,'May'!$D$27:$AH$206,'Jun'!$D$27:$AH$206,'Jul'!$D$27:$AH$206,'Aug'!$D$27:$AH$206,'Sep'!$D$27:$AH$206,'Oct'!$D$27:$AH$206,'Nov'!$D$27:$AH$206,'Dec'!$D$27:$AH$206),152,DAY($A$5))&amp;"")</f>
        <v/>
      </c>
      <c r="F61" s="81">
        <f>IF(OR($B61="",YEAR($A$5)&lt;&gt;PlanYear),"",INDEX(CHOOSE(MONTH($A$5),'Jan'!$D$27:$AH$206,'Feb'!$D$27:$AH$206,'Mar'!$D$27:$AH$206,'Apr'!$D$27:$AH$206,'May'!$D$27:$AH$206,'Jun'!$D$27:$AH$206,'Jul'!$D$27:$AH$206,'Aug'!$D$27:$AH$206,'Sep'!$D$27:$AH$206,'Oct'!$D$27:$AH$206,'Nov'!$D$27:$AH$206,'Dec'!$D$27:$AH$206),153,DAY($A$5))&amp;"")</f>
        <v/>
      </c>
    </row>
    <row r="62" hidden="1">
      <c r="A62" s="53">
        <f>IF(Roster!$B$57="","",Roster!$B$57)</f>
        <v/>
      </c>
      <c r="B62" s="54">
        <f>IF(Roster!$C$57="","",Roster!$C$57)</f>
        <v/>
      </c>
      <c r="C62" s="55">
        <f>IF(Roster!$C$57="","",Roster!$F$57&amp;IF(OR(Roster!$G$57="SANS",Roster!$G$57="NSMEN")," | "&amp;Roster!$G$57,""))</f>
        <v/>
      </c>
      <c r="D62" s="81">
        <f>IF(OR($B62="",YEAR($A$5)&lt;&gt;PlanYear),"",INDEX(CHOOSE(MONTH($A$5),'Jan'!$D$27:$AH$206,'Feb'!$D$27:$AH$206,'Mar'!$D$27:$AH$206,'Apr'!$D$27:$AH$206,'May'!$D$27:$AH$206,'Jun'!$D$27:$AH$206,'Jul'!$D$27:$AH$206,'Aug'!$D$27:$AH$206,'Sep'!$D$27:$AH$206,'Oct'!$D$27:$AH$206,'Nov'!$D$27:$AH$206,'Dec'!$D$27:$AH$206),154,DAY($A$5))&amp;"")</f>
        <v/>
      </c>
      <c r="E62" s="81">
        <f>IF(OR($B62="",YEAR($A$5)&lt;&gt;PlanYear),"",INDEX(CHOOSE(MONTH($A$5),'Jan'!$D$27:$AH$206,'Feb'!$D$27:$AH$206,'Mar'!$D$27:$AH$206,'Apr'!$D$27:$AH$206,'May'!$D$27:$AH$206,'Jun'!$D$27:$AH$206,'Jul'!$D$27:$AH$206,'Aug'!$D$27:$AH$206,'Sep'!$D$27:$AH$206,'Oct'!$D$27:$AH$206,'Nov'!$D$27:$AH$206,'Dec'!$D$27:$AH$206),155,DAY($A$5))&amp;"")</f>
        <v/>
      </c>
      <c r="F62" s="81">
        <f>IF(OR($B62="",YEAR($A$5)&lt;&gt;PlanYear),"",INDEX(CHOOSE(MONTH($A$5),'Jan'!$D$27:$AH$206,'Feb'!$D$27:$AH$206,'Mar'!$D$27:$AH$206,'Apr'!$D$27:$AH$206,'May'!$D$27:$AH$206,'Jun'!$D$27:$AH$206,'Jul'!$D$27:$AH$206,'Aug'!$D$27:$AH$206,'Sep'!$D$27:$AH$206,'Oct'!$D$27:$AH$206,'Nov'!$D$27:$AH$206,'Dec'!$D$27:$AH$206),156,DAY($A$5))&amp;"")</f>
        <v/>
      </c>
    </row>
    <row r="63" hidden="1">
      <c r="A63" s="53">
        <f>IF(Roster!$B$58="","",Roster!$B$58)</f>
        <v/>
      </c>
      <c r="B63" s="54">
        <f>IF(Roster!$C$58="","",Roster!$C$58)</f>
        <v/>
      </c>
      <c r="C63" s="55">
        <f>IF(Roster!$C$58="","",Roster!$F$58&amp;IF(OR(Roster!$G$58="SANS",Roster!$G$58="NSMEN")," | "&amp;Roster!$G$58,""))</f>
        <v/>
      </c>
      <c r="D63" s="81">
        <f>IF(OR($B63="",YEAR($A$5)&lt;&gt;PlanYear),"",INDEX(CHOOSE(MONTH($A$5),'Jan'!$D$27:$AH$206,'Feb'!$D$27:$AH$206,'Mar'!$D$27:$AH$206,'Apr'!$D$27:$AH$206,'May'!$D$27:$AH$206,'Jun'!$D$27:$AH$206,'Jul'!$D$27:$AH$206,'Aug'!$D$27:$AH$206,'Sep'!$D$27:$AH$206,'Oct'!$D$27:$AH$206,'Nov'!$D$27:$AH$206,'Dec'!$D$27:$AH$206),157,DAY($A$5))&amp;"")</f>
        <v/>
      </c>
      <c r="E63" s="81">
        <f>IF(OR($B63="",YEAR($A$5)&lt;&gt;PlanYear),"",INDEX(CHOOSE(MONTH($A$5),'Jan'!$D$27:$AH$206,'Feb'!$D$27:$AH$206,'Mar'!$D$27:$AH$206,'Apr'!$D$27:$AH$206,'May'!$D$27:$AH$206,'Jun'!$D$27:$AH$206,'Jul'!$D$27:$AH$206,'Aug'!$D$27:$AH$206,'Sep'!$D$27:$AH$206,'Oct'!$D$27:$AH$206,'Nov'!$D$27:$AH$206,'Dec'!$D$27:$AH$206),158,DAY($A$5))&amp;"")</f>
        <v/>
      </c>
      <c r="F63" s="81">
        <f>IF(OR($B63="",YEAR($A$5)&lt;&gt;PlanYear),"",INDEX(CHOOSE(MONTH($A$5),'Jan'!$D$27:$AH$206,'Feb'!$D$27:$AH$206,'Mar'!$D$27:$AH$206,'Apr'!$D$27:$AH$206,'May'!$D$27:$AH$206,'Jun'!$D$27:$AH$206,'Jul'!$D$27:$AH$206,'Aug'!$D$27:$AH$206,'Sep'!$D$27:$AH$206,'Oct'!$D$27:$AH$206,'Nov'!$D$27:$AH$206,'Dec'!$D$27:$AH$206),159,DAY($A$5))&amp;"")</f>
        <v/>
      </c>
    </row>
    <row r="64" hidden="1">
      <c r="A64" s="53">
        <f>IF(Roster!$B$59="","",Roster!$B$59)</f>
        <v/>
      </c>
      <c r="B64" s="54">
        <f>IF(Roster!$C$59="","",Roster!$C$59)</f>
        <v/>
      </c>
      <c r="C64" s="55">
        <f>IF(Roster!$C$59="","",Roster!$F$59&amp;IF(OR(Roster!$G$59="SANS",Roster!$G$59="NSMEN")," | "&amp;Roster!$G$59,""))</f>
        <v/>
      </c>
      <c r="D64" s="81">
        <f>IF(OR($B64="",YEAR($A$5)&lt;&gt;PlanYear),"",INDEX(CHOOSE(MONTH($A$5),'Jan'!$D$27:$AH$206,'Feb'!$D$27:$AH$206,'Mar'!$D$27:$AH$206,'Apr'!$D$27:$AH$206,'May'!$D$27:$AH$206,'Jun'!$D$27:$AH$206,'Jul'!$D$27:$AH$206,'Aug'!$D$27:$AH$206,'Sep'!$D$27:$AH$206,'Oct'!$D$27:$AH$206,'Nov'!$D$27:$AH$206,'Dec'!$D$27:$AH$206),160,DAY($A$5))&amp;"")</f>
        <v/>
      </c>
      <c r="E64" s="81">
        <f>IF(OR($B64="",YEAR($A$5)&lt;&gt;PlanYear),"",INDEX(CHOOSE(MONTH($A$5),'Jan'!$D$27:$AH$206,'Feb'!$D$27:$AH$206,'Mar'!$D$27:$AH$206,'Apr'!$D$27:$AH$206,'May'!$D$27:$AH$206,'Jun'!$D$27:$AH$206,'Jul'!$D$27:$AH$206,'Aug'!$D$27:$AH$206,'Sep'!$D$27:$AH$206,'Oct'!$D$27:$AH$206,'Nov'!$D$27:$AH$206,'Dec'!$D$27:$AH$206),161,DAY($A$5))&amp;"")</f>
        <v/>
      </c>
      <c r="F64" s="81">
        <f>IF(OR($B64="",YEAR($A$5)&lt;&gt;PlanYear),"",INDEX(CHOOSE(MONTH($A$5),'Jan'!$D$27:$AH$206,'Feb'!$D$27:$AH$206,'Mar'!$D$27:$AH$206,'Apr'!$D$27:$AH$206,'May'!$D$27:$AH$206,'Jun'!$D$27:$AH$206,'Jul'!$D$27:$AH$206,'Aug'!$D$27:$AH$206,'Sep'!$D$27:$AH$206,'Oct'!$D$27:$AH$206,'Nov'!$D$27:$AH$206,'Dec'!$D$27:$AH$206),162,DAY($A$5))&amp;"")</f>
        <v/>
      </c>
    </row>
    <row r="65" hidden="1">
      <c r="A65" s="53">
        <f>IF(Roster!$B$60="","",Roster!$B$60)</f>
        <v/>
      </c>
      <c r="B65" s="54">
        <f>IF(Roster!$C$60="","",Roster!$C$60)</f>
        <v/>
      </c>
      <c r="C65" s="55">
        <f>IF(Roster!$C$60="","",Roster!$F$60&amp;IF(OR(Roster!$G$60="SANS",Roster!$G$60="NSMEN")," | "&amp;Roster!$G$60,""))</f>
        <v/>
      </c>
      <c r="D65" s="81">
        <f>IF(OR($B65="",YEAR($A$5)&lt;&gt;PlanYear),"",INDEX(CHOOSE(MONTH($A$5),'Jan'!$D$27:$AH$206,'Feb'!$D$27:$AH$206,'Mar'!$D$27:$AH$206,'Apr'!$D$27:$AH$206,'May'!$D$27:$AH$206,'Jun'!$D$27:$AH$206,'Jul'!$D$27:$AH$206,'Aug'!$D$27:$AH$206,'Sep'!$D$27:$AH$206,'Oct'!$D$27:$AH$206,'Nov'!$D$27:$AH$206,'Dec'!$D$27:$AH$206),163,DAY($A$5))&amp;"")</f>
        <v/>
      </c>
      <c r="E65" s="81">
        <f>IF(OR($B65="",YEAR($A$5)&lt;&gt;PlanYear),"",INDEX(CHOOSE(MONTH($A$5),'Jan'!$D$27:$AH$206,'Feb'!$D$27:$AH$206,'Mar'!$D$27:$AH$206,'Apr'!$D$27:$AH$206,'May'!$D$27:$AH$206,'Jun'!$D$27:$AH$206,'Jul'!$D$27:$AH$206,'Aug'!$D$27:$AH$206,'Sep'!$D$27:$AH$206,'Oct'!$D$27:$AH$206,'Nov'!$D$27:$AH$206,'Dec'!$D$27:$AH$206),164,DAY($A$5))&amp;"")</f>
        <v/>
      </c>
      <c r="F65" s="81">
        <f>IF(OR($B65="",YEAR($A$5)&lt;&gt;PlanYear),"",INDEX(CHOOSE(MONTH($A$5),'Jan'!$D$27:$AH$206,'Feb'!$D$27:$AH$206,'Mar'!$D$27:$AH$206,'Apr'!$D$27:$AH$206,'May'!$D$27:$AH$206,'Jun'!$D$27:$AH$206,'Jul'!$D$27:$AH$206,'Aug'!$D$27:$AH$206,'Sep'!$D$27:$AH$206,'Oct'!$D$27:$AH$206,'Nov'!$D$27:$AH$206,'Dec'!$D$27:$AH$206),165,DAY($A$5))&amp;"")</f>
        <v/>
      </c>
    </row>
    <row r="66" hidden="1">
      <c r="A66" s="53">
        <f>IF(Roster!$B$61="","",Roster!$B$61)</f>
        <v/>
      </c>
      <c r="B66" s="54">
        <f>IF(Roster!$C$61="","",Roster!$C$61)</f>
        <v/>
      </c>
      <c r="C66" s="55">
        <f>IF(Roster!$C$61="","",Roster!$F$61&amp;IF(OR(Roster!$G$61="SANS",Roster!$G$61="NSMEN")," | "&amp;Roster!$G$61,""))</f>
        <v/>
      </c>
      <c r="D66" s="81">
        <f>IF(OR($B66="",YEAR($A$5)&lt;&gt;PlanYear),"",INDEX(CHOOSE(MONTH($A$5),'Jan'!$D$27:$AH$206,'Feb'!$D$27:$AH$206,'Mar'!$D$27:$AH$206,'Apr'!$D$27:$AH$206,'May'!$D$27:$AH$206,'Jun'!$D$27:$AH$206,'Jul'!$D$27:$AH$206,'Aug'!$D$27:$AH$206,'Sep'!$D$27:$AH$206,'Oct'!$D$27:$AH$206,'Nov'!$D$27:$AH$206,'Dec'!$D$27:$AH$206),166,DAY($A$5))&amp;"")</f>
        <v/>
      </c>
      <c r="E66" s="81">
        <f>IF(OR($B66="",YEAR($A$5)&lt;&gt;PlanYear),"",INDEX(CHOOSE(MONTH($A$5),'Jan'!$D$27:$AH$206,'Feb'!$D$27:$AH$206,'Mar'!$D$27:$AH$206,'Apr'!$D$27:$AH$206,'May'!$D$27:$AH$206,'Jun'!$D$27:$AH$206,'Jul'!$D$27:$AH$206,'Aug'!$D$27:$AH$206,'Sep'!$D$27:$AH$206,'Oct'!$D$27:$AH$206,'Nov'!$D$27:$AH$206,'Dec'!$D$27:$AH$206),167,DAY($A$5))&amp;"")</f>
        <v/>
      </c>
      <c r="F66" s="81">
        <f>IF(OR($B66="",YEAR($A$5)&lt;&gt;PlanYear),"",INDEX(CHOOSE(MONTH($A$5),'Jan'!$D$27:$AH$206,'Feb'!$D$27:$AH$206,'Mar'!$D$27:$AH$206,'Apr'!$D$27:$AH$206,'May'!$D$27:$AH$206,'Jun'!$D$27:$AH$206,'Jul'!$D$27:$AH$206,'Aug'!$D$27:$AH$206,'Sep'!$D$27:$AH$206,'Oct'!$D$27:$AH$206,'Nov'!$D$27:$AH$206,'Dec'!$D$27:$AH$206),168,DAY($A$5))&amp;"")</f>
        <v/>
      </c>
    </row>
    <row r="67" hidden="1">
      <c r="A67" s="53">
        <f>IF(Roster!$B$62="","",Roster!$B$62)</f>
        <v/>
      </c>
      <c r="B67" s="54">
        <f>IF(Roster!$C$62="","",Roster!$C$62)</f>
        <v/>
      </c>
      <c r="C67" s="55">
        <f>IF(Roster!$C$62="","",Roster!$F$62&amp;IF(OR(Roster!$G$62="SANS",Roster!$G$62="NSMEN")," | "&amp;Roster!$G$62,""))</f>
        <v/>
      </c>
      <c r="D67" s="81">
        <f>IF(OR($B67="",YEAR($A$5)&lt;&gt;PlanYear),"",INDEX(CHOOSE(MONTH($A$5),'Jan'!$D$27:$AH$206,'Feb'!$D$27:$AH$206,'Mar'!$D$27:$AH$206,'Apr'!$D$27:$AH$206,'May'!$D$27:$AH$206,'Jun'!$D$27:$AH$206,'Jul'!$D$27:$AH$206,'Aug'!$D$27:$AH$206,'Sep'!$D$27:$AH$206,'Oct'!$D$27:$AH$206,'Nov'!$D$27:$AH$206,'Dec'!$D$27:$AH$206),169,DAY($A$5))&amp;"")</f>
        <v/>
      </c>
      <c r="E67" s="81">
        <f>IF(OR($B67="",YEAR($A$5)&lt;&gt;PlanYear),"",INDEX(CHOOSE(MONTH($A$5),'Jan'!$D$27:$AH$206,'Feb'!$D$27:$AH$206,'Mar'!$D$27:$AH$206,'Apr'!$D$27:$AH$206,'May'!$D$27:$AH$206,'Jun'!$D$27:$AH$206,'Jul'!$D$27:$AH$206,'Aug'!$D$27:$AH$206,'Sep'!$D$27:$AH$206,'Oct'!$D$27:$AH$206,'Nov'!$D$27:$AH$206,'Dec'!$D$27:$AH$206),170,DAY($A$5))&amp;"")</f>
        <v/>
      </c>
      <c r="F67" s="81">
        <f>IF(OR($B67="",YEAR($A$5)&lt;&gt;PlanYear),"",INDEX(CHOOSE(MONTH($A$5),'Jan'!$D$27:$AH$206,'Feb'!$D$27:$AH$206,'Mar'!$D$27:$AH$206,'Apr'!$D$27:$AH$206,'May'!$D$27:$AH$206,'Jun'!$D$27:$AH$206,'Jul'!$D$27:$AH$206,'Aug'!$D$27:$AH$206,'Sep'!$D$27:$AH$206,'Oct'!$D$27:$AH$206,'Nov'!$D$27:$AH$206,'Dec'!$D$27:$AH$206),171,DAY($A$5))&amp;"")</f>
        <v/>
      </c>
    </row>
    <row r="68" hidden="1">
      <c r="A68" s="53">
        <f>IF(Roster!$B$63="","",Roster!$B$63)</f>
        <v/>
      </c>
      <c r="B68" s="54">
        <f>IF(Roster!$C$63="","",Roster!$C$63)</f>
        <v/>
      </c>
      <c r="C68" s="55">
        <f>IF(Roster!$C$63="","",Roster!$F$63&amp;IF(OR(Roster!$G$63="SANS",Roster!$G$63="NSMEN")," | "&amp;Roster!$G$63,""))</f>
        <v/>
      </c>
      <c r="D68" s="81">
        <f>IF(OR($B68="",YEAR($A$5)&lt;&gt;PlanYear),"",INDEX(CHOOSE(MONTH($A$5),'Jan'!$D$27:$AH$206,'Feb'!$D$27:$AH$206,'Mar'!$D$27:$AH$206,'Apr'!$D$27:$AH$206,'May'!$D$27:$AH$206,'Jun'!$D$27:$AH$206,'Jul'!$D$27:$AH$206,'Aug'!$D$27:$AH$206,'Sep'!$D$27:$AH$206,'Oct'!$D$27:$AH$206,'Nov'!$D$27:$AH$206,'Dec'!$D$27:$AH$206),172,DAY($A$5))&amp;"")</f>
        <v/>
      </c>
      <c r="E68" s="81">
        <f>IF(OR($B68="",YEAR($A$5)&lt;&gt;PlanYear),"",INDEX(CHOOSE(MONTH($A$5),'Jan'!$D$27:$AH$206,'Feb'!$D$27:$AH$206,'Mar'!$D$27:$AH$206,'Apr'!$D$27:$AH$206,'May'!$D$27:$AH$206,'Jun'!$D$27:$AH$206,'Jul'!$D$27:$AH$206,'Aug'!$D$27:$AH$206,'Sep'!$D$27:$AH$206,'Oct'!$D$27:$AH$206,'Nov'!$D$27:$AH$206,'Dec'!$D$27:$AH$206),173,DAY($A$5))&amp;"")</f>
        <v/>
      </c>
      <c r="F68" s="81">
        <f>IF(OR($B68="",YEAR($A$5)&lt;&gt;PlanYear),"",INDEX(CHOOSE(MONTH($A$5),'Jan'!$D$27:$AH$206,'Feb'!$D$27:$AH$206,'Mar'!$D$27:$AH$206,'Apr'!$D$27:$AH$206,'May'!$D$27:$AH$206,'Jun'!$D$27:$AH$206,'Jul'!$D$27:$AH$206,'Aug'!$D$27:$AH$206,'Sep'!$D$27:$AH$206,'Oct'!$D$27:$AH$206,'Nov'!$D$27:$AH$206,'Dec'!$D$27:$AH$206),174,DAY($A$5))&amp;"")</f>
        <v/>
      </c>
    </row>
    <row r="69" hidden="1">
      <c r="A69" s="53">
        <f>IF(Roster!$B$64="","",Roster!$B$64)</f>
        <v/>
      </c>
      <c r="B69" s="54">
        <f>IF(Roster!$C$64="","",Roster!$C$64)</f>
        <v/>
      </c>
      <c r="C69" s="55">
        <f>IF(Roster!$C$64="","",Roster!$F$64&amp;IF(OR(Roster!$G$64="SANS",Roster!$G$64="NSMEN")," | "&amp;Roster!$G$64,""))</f>
        <v/>
      </c>
      <c r="D69" s="81">
        <f>IF(OR($B69="",YEAR($A$5)&lt;&gt;PlanYear),"",INDEX(CHOOSE(MONTH($A$5),'Jan'!$D$27:$AH$206,'Feb'!$D$27:$AH$206,'Mar'!$D$27:$AH$206,'Apr'!$D$27:$AH$206,'May'!$D$27:$AH$206,'Jun'!$D$27:$AH$206,'Jul'!$D$27:$AH$206,'Aug'!$D$27:$AH$206,'Sep'!$D$27:$AH$206,'Oct'!$D$27:$AH$206,'Nov'!$D$27:$AH$206,'Dec'!$D$27:$AH$206),175,DAY($A$5))&amp;"")</f>
        <v/>
      </c>
      <c r="E69" s="81">
        <f>IF(OR($B69="",YEAR($A$5)&lt;&gt;PlanYear),"",INDEX(CHOOSE(MONTH($A$5),'Jan'!$D$27:$AH$206,'Feb'!$D$27:$AH$206,'Mar'!$D$27:$AH$206,'Apr'!$D$27:$AH$206,'May'!$D$27:$AH$206,'Jun'!$D$27:$AH$206,'Jul'!$D$27:$AH$206,'Aug'!$D$27:$AH$206,'Sep'!$D$27:$AH$206,'Oct'!$D$27:$AH$206,'Nov'!$D$27:$AH$206,'Dec'!$D$27:$AH$206),176,DAY($A$5))&amp;"")</f>
        <v/>
      </c>
      <c r="F69" s="81">
        <f>IF(OR($B69="",YEAR($A$5)&lt;&gt;PlanYear),"",INDEX(CHOOSE(MONTH($A$5),'Jan'!$D$27:$AH$206,'Feb'!$D$27:$AH$206,'Mar'!$D$27:$AH$206,'Apr'!$D$27:$AH$206,'May'!$D$27:$AH$206,'Jun'!$D$27:$AH$206,'Jul'!$D$27:$AH$206,'Aug'!$D$27:$AH$206,'Sep'!$D$27:$AH$206,'Oct'!$D$27:$AH$206,'Nov'!$D$27:$AH$206,'Dec'!$D$27:$AH$206),177,DAY($A$5))&amp;"")</f>
        <v/>
      </c>
    </row>
    <row r="70" hidden="1">
      <c r="A70" s="53">
        <f>IF(Roster!$B$65="","",Roster!$B$65)</f>
        <v/>
      </c>
      <c r="B70" s="54">
        <f>IF(Roster!$C$65="","",Roster!$C$65)</f>
        <v/>
      </c>
      <c r="C70" s="55">
        <f>IF(Roster!$C$65="","",Roster!$F$65&amp;IF(OR(Roster!$G$65="SANS",Roster!$G$65="NSMEN")," | "&amp;Roster!$G$65,""))</f>
        <v/>
      </c>
      <c r="D70" s="81">
        <f>IF(OR($B70="",YEAR($A$5)&lt;&gt;PlanYear),"",INDEX(CHOOSE(MONTH($A$5),'Jan'!$D$27:$AH$206,'Feb'!$D$27:$AH$206,'Mar'!$D$27:$AH$206,'Apr'!$D$27:$AH$206,'May'!$D$27:$AH$206,'Jun'!$D$27:$AH$206,'Jul'!$D$27:$AH$206,'Aug'!$D$27:$AH$206,'Sep'!$D$27:$AH$206,'Oct'!$D$27:$AH$206,'Nov'!$D$27:$AH$206,'Dec'!$D$27:$AH$206),178,DAY($A$5))&amp;"")</f>
        <v/>
      </c>
      <c r="E70" s="81">
        <f>IF(OR($B70="",YEAR($A$5)&lt;&gt;PlanYear),"",INDEX(CHOOSE(MONTH($A$5),'Jan'!$D$27:$AH$206,'Feb'!$D$27:$AH$206,'Mar'!$D$27:$AH$206,'Apr'!$D$27:$AH$206,'May'!$D$27:$AH$206,'Jun'!$D$27:$AH$206,'Jul'!$D$27:$AH$206,'Aug'!$D$27:$AH$206,'Sep'!$D$27:$AH$206,'Oct'!$D$27:$AH$206,'Nov'!$D$27:$AH$206,'Dec'!$D$27:$AH$206),179,DAY($A$5))&amp;"")</f>
        <v/>
      </c>
      <c r="F70" s="81">
        <f>IF(OR($B70="",YEAR($A$5)&lt;&gt;PlanYear),"",INDEX(CHOOSE(MONTH($A$5),'Jan'!$D$27:$AH$206,'Feb'!$D$27:$AH$206,'Mar'!$D$27:$AH$206,'Apr'!$D$27:$AH$206,'May'!$D$27:$AH$206,'Jun'!$D$27:$AH$206,'Jul'!$D$27:$AH$206,'Aug'!$D$27:$AH$206,'Sep'!$D$27:$AH$206,'Oct'!$D$27:$AH$206,'Nov'!$D$27:$AH$206,'Dec'!$D$27:$AH$206),180,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SUP 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SUP 1.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inlineStr">
        <is>
          <t>SUP 1</t>
        </is>
      </c>
      <c r="E57" s="90" t="n"/>
      <c r="F57" s="90" t="n"/>
      <c r="G57" s="90" t="n"/>
      <c r="I57" s="90" t="n"/>
      <c r="J57" s="90" t="n"/>
      <c r="K57" s="90" t="n"/>
      <c r="L57" s="90" t="n"/>
      <c r="M57" s="90" t="n"/>
      <c r="N57" s="90" t="n"/>
      <c r="O57" s="90" t="inlineStr">
        <is>
          <t>SUP 1</t>
        </is>
      </c>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inlineStr">
        <is>
          <t>SUP 1</t>
        </is>
      </c>
      <c r="C59" s="90" t="n"/>
      <c r="D59" s="90" t="inlineStr">
        <is>
          <t>SUP 1</t>
        </is>
      </c>
      <c r="E59" s="90" t="n"/>
      <c r="F59" s="90" t="n"/>
      <c r="G59" s="90" t="inlineStr">
        <is>
          <t>SUP 1</t>
        </is>
      </c>
      <c r="I59" s="90" t="n"/>
      <c r="J59" s="90" t="n"/>
      <c r="K59" s="90" t="inlineStr">
        <is>
          <t>SUP 1</t>
        </is>
      </c>
      <c r="L59" s="90" t="n"/>
      <c r="M59" s="90" t="n"/>
      <c r="N59" s="90" t="inlineStr">
        <is>
          <t>SUP 1</t>
        </is>
      </c>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inlineStr">
        <is>
          <t>SUP 1</t>
        </is>
      </c>
      <c r="D61" s="90" t="n"/>
      <c r="E61" s="90" t="n"/>
      <c r="F61" s="90" t="inlineStr">
        <is>
          <t>SUP 1</t>
        </is>
      </c>
      <c r="G61" s="90" t="n"/>
      <c r="I61" s="90" t="n"/>
      <c r="J61" s="90" t="inlineStr">
        <is>
          <t>SUP 1</t>
        </is>
      </c>
      <c r="K61" s="90" t="n"/>
      <c r="L61" s="90" t="n"/>
      <c r="M61" s="90" t="inlineStr">
        <is>
          <t>SUP 1</t>
        </is>
      </c>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inlineStr">
        <is>
          <t>SUP 1</t>
        </is>
      </c>
      <c r="C63" s="90" t="n"/>
      <c r="D63" s="90" t="n"/>
      <c r="E63" s="90" t="inlineStr">
        <is>
          <t>SUP 1</t>
        </is>
      </c>
      <c r="F63" s="90" t="n"/>
      <c r="G63" s="90" t="n"/>
      <c r="I63" s="90" t="inlineStr">
        <is>
          <t>SUP 1</t>
        </is>
      </c>
      <c r="J63" s="90" t="n"/>
      <c r="K63" s="90" t="n"/>
      <c r="L63" s="90" t="inlineStr">
        <is>
          <t>SUP 1</t>
        </is>
      </c>
      <c r="M63" s="90" t="n"/>
      <c r="N63" s="90" t="n"/>
      <c r="O63" s="90" t="inlineStr">
        <is>
          <t>SUP 1</t>
        </is>
      </c>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inlineStr">
        <is>
          <t>SUP 1</t>
        </is>
      </c>
      <c r="B65" s="90" t="n"/>
      <c r="C65" s="90" t="n"/>
      <c r="D65" s="90" t="inlineStr">
        <is>
          <t>SUP 1</t>
        </is>
      </c>
      <c r="E65" s="90" t="n"/>
      <c r="F65" s="90" t="n"/>
      <c r="G65" s="90" t="n"/>
      <c r="I65" s="90" t="n"/>
      <c r="J65" s="90" t="n"/>
      <c r="K65" s="90" t="inlineStr">
        <is>
          <t>SUP 1</t>
        </is>
      </c>
      <c r="L65" s="90" t="n"/>
      <c r="M65" s="90" t="n"/>
      <c r="N65" s="90" t="inlineStr">
        <is>
          <t>SUP 1</t>
        </is>
      </c>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1">
    <dataValidation sqref="A9:G9 A11:G11 A13:G13 A15:G15 A17:G17 A19:G19 A25:G25 A27:G27 A29:G29 A31:G31 A33:G33 A35:G35 A41:G41 A43:G43 A45:G45 A47:G47 A49:G49 A51:G51 A57:G57 A59:G59 A61:G61 A63:G63 A65:G65 A67:G67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SUP 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SUP 1.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inlineStr">
        <is>
          <t>SUP 1</t>
        </is>
      </c>
      <c r="G57" s="90" t="n"/>
      <c r="I57" s="90" t="n"/>
      <c r="J57" s="90" t="n"/>
      <c r="K57" s="90" t="n"/>
      <c r="L57" s="90" t="n"/>
      <c r="M57" s="90" t="n"/>
      <c r="N57" s="90" t="n"/>
      <c r="O57" s="90" t="inlineStr">
        <is>
          <t>SUP 1</t>
        </is>
      </c>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inlineStr">
        <is>
          <t>SUP 1</t>
        </is>
      </c>
      <c r="C59" s="90" t="n"/>
      <c r="D59" s="90" t="n"/>
      <c r="E59" s="90" t="n"/>
      <c r="F59" s="90" t="n"/>
      <c r="G59" s="90" t="n"/>
      <c r="I59" s="90" t="n"/>
      <c r="J59" s="90" t="n"/>
      <c r="K59" s="90" t="n"/>
      <c r="L59" s="90" t="inlineStr">
        <is>
          <t>SUP 1</t>
        </is>
      </c>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inlineStr">
        <is>
          <t>SUP 1</t>
        </is>
      </c>
      <c r="B61" s="90" t="n"/>
      <c r="C61" s="90" t="n"/>
      <c r="D61" s="90" t="n"/>
      <c r="E61" s="90" t="inlineStr">
        <is>
          <t>SUP 1</t>
        </is>
      </c>
      <c r="F61" s="90" t="n"/>
      <c r="G61" s="90" t="n"/>
      <c r="I61" s="90" t="inlineStr">
        <is>
          <t>SUP 1</t>
        </is>
      </c>
      <c r="J61" s="90" t="n"/>
      <c r="K61" s="90" t="n"/>
      <c r="L61" s="90" t="n"/>
      <c r="M61" s="90" t="inlineStr">
        <is>
          <t>SUP 1</t>
        </is>
      </c>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inlineStr">
        <is>
          <t>SUP 1</t>
        </is>
      </c>
      <c r="C63" s="90" t="n"/>
      <c r="D63" s="90" t="n"/>
      <c r="E63" s="90" t="n"/>
      <c r="F63" s="90" t="inlineStr">
        <is>
          <t>SUP 1</t>
        </is>
      </c>
      <c r="G63" s="90" t="n"/>
      <c r="I63" s="90" t="n"/>
      <c r="J63" s="90" t="inlineStr">
        <is>
          <t>SUP 1</t>
        </is>
      </c>
      <c r="K63" s="90" t="n"/>
      <c r="L63" s="90" t="n"/>
      <c r="M63" s="90" t="n"/>
      <c r="N63" s="90" t="inlineStr">
        <is>
          <t>SUP 1</t>
        </is>
      </c>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inlineStr">
        <is>
          <t>SUP 1</t>
        </is>
      </c>
      <c r="D65" s="90" t="n"/>
      <c r="E65" s="90" t="n"/>
      <c r="F65" s="90" t="n"/>
      <c r="G65" s="90" t="n"/>
      <c r="I65" s="90" t="n"/>
      <c r="J65" s="90" t="n"/>
      <c r="K65" s="90" t="inlineStr">
        <is>
          <t>SUP 1</t>
        </is>
      </c>
      <c r="L65" s="90" t="n"/>
      <c r="M65" s="90" t="n"/>
      <c r="N65" s="90" t="n"/>
      <c r="O65" s="90" t="inlineStr">
        <is>
          <t>SUP 1</t>
        </is>
      </c>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1">
    <dataValidation sqref="A9:G9 A11:G11 A13:G13 A15:G15 A17:G17 A19:G19 A25:G25 A27:G27 A29:G29 A31:G31 A33:G33 A35:G35 A41:G41 A43:G43 A45:G45 A47:G47 A49:G49 A51:G51 A57:G57 A59:G59 A61:G61 A63:G63 A65:G65 A67:G67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SUP 1</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ALPHA</t>
        </is>
      </c>
      <c r="C6" s="95" t="inlineStr">
        <is>
          <t>CPT Alan Teo</t>
        </is>
      </c>
      <c r="D6" s="95" t="inlineStr">
        <is>
          <t>AT</t>
        </is>
      </c>
      <c r="E6" s="95" t="inlineStr">
        <is>
          <t>CAT A</t>
        </is>
      </c>
      <c r="F6" s="95" t="inlineStr">
        <is>
          <t>Instructor</t>
        </is>
      </c>
      <c r="G6" s="95" t="inlineStr">
        <is>
          <t>Active</t>
        </is>
      </c>
      <c r="H6" s="95" t="inlineStr">
        <is>
          <t>Sample crew: replace with your own</t>
        </is>
      </c>
    </row>
    <row r="7">
      <c r="A7" s="94" t="n">
        <v>2</v>
      </c>
      <c r="B7" s="95" t="inlineStr">
        <is>
          <t>BRAVO</t>
        </is>
      </c>
      <c r="C7" s="95" t="inlineStr">
        <is>
          <t>LTA Grace Wong</t>
        </is>
      </c>
      <c r="D7" s="95" t="inlineStr">
        <is>
          <t>GW</t>
        </is>
      </c>
      <c r="E7" s="95" t="inlineStr">
        <is>
          <t>CAT C</t>
        </is>
      </c>
      <c r="F7" s="95" t="inlineStr">
        <is>
          <t>Junior</t>
        </is>
      </c>
      <c r="G7" s="95" t="inlineStr">
        <is>
          <t>Active</t>
        </is>
      </c>
      <c r="H7" s="95" t="n"/>
    </row>
    <row r="8">
      <c r="A8" s="94" t="n">
        <v>3</v>
      </c>
      <c r="B8" s="95" t="inlineStr">
        <is>
          <t>CHARLIE</t>
        </is>
      </c>
      <c r="C8" s="95" t="inlineStr">
        <is>
          <t>CPT Daniel Tay</t>
        </is>
      </c>
      <c r="D8" s="95" t="inlineStr">
        <is>
          <t>DT</t>
        </is>
      </c>
      <c r="E8" s="95" t="inlineStr">
        <is>
          <t>CAT A</t>
        </is>
      </c>
      <c r="F8" s="95" t="inlineStr">
        <is>
          <t>Senior CAT A</t>
        </is>
      </c>
      <c r="G8" s="95" t="inlineStr">
        <is>
          <t>Active</t>
        </is>
      </c>
      <c r="H8" s="95" t="n"/>
    </row>
    <row r="9">
      <c r="A9" s="94" t="n">
        <v>4</v>
      </c>
      <c r="B9" s="95" t="inlineStr">
        <is>
          <t>DELTA</t>
        </is>
      </c>
      <c r="C9" s="95" t="inlineStr">
        <is>
          <t>LTA Mei Ling Ho</t>
        </is>
      </c>
      <c r="D9" s="95" t="inlineStr">
        <is>
          <t>MLH</t>
        </is>
      </c>
      <c r="E9" s="95" t="inlineStr">
        <is>
          <t>CAT B</t>
        </is>
      </c>
      <c r="F9" s="95" t="inlineStr">
        <is>
          <t>Senior CAT A</t>
        </is>
      </c>
      <c r="G9" s="95" t="inlineStr">
        <is>
          <t>Active</t>
        </is>
      </c>
      <c r="H9" s="95" t="n"/>
    </row>
    <row r="10">
      <c r="A10" s="94" t="n">
        <v>5</v>
      </c>
      <c r="B10" s="95" t="inlineStr">
        <is>
          <t>ECHO</t>
        </is>
      </c>
      <c r="C10" s="95" t="inlineStr">
        <is>
          <t>2LT Ryan Lim</t>
        </is>
      </c>
      <c r="D10" s="95" t="inlineStr">
        <is>
          <t>RL</t>
        </is>
      </c>
      <c r="E10" s="95" t="inlineStr">
        <is>
          <t>CAT D</t>
        </is>
      </c>
      <c r="F10" s="95" t="inlineStr">
        <is>
          <t>Junior</t>
        </is>
      </c>
      <c r="G10" s="95" t="inlineStr">
        <is>
          <t>Active</t>
        </is>
      </c>
      <c r="H10" s="95" t="n"/>
    </row>
    <row r="11">
      <c r="A11" s="94" t="n">
        <v>6</v>
      </c>
      <c r="B11" s="95" t="inlineStr">
        <is>
          <t>FOXTROT</t>
        </is>
      </c>
      <c r="C11" s="95" t="inlineStr">
        <is>
          <t>ME1 Hafiz Rahman</t>
        </is>
      </c>
      <c r="D11" s="95" t="inlineStr">
        <is>
          <t>HR</t>
        </is>
      </c>
      <c r="E11" s="95" t="inlineStr">
        <is>
          <t>TRAINEE</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GOLF</t>
        </is>
      </c>
      <c r="C51" s="98" t="inlineStr">
        <is>
          <t>CPT (NS) Victor Chan</t>
        </is>
      </c>
      <c r="D51" s="98" t="inlineStr">
        <is>
          <t>VC</t>
        </is>
      </c>
      <c r="E51" s="98" t="inlineStr">
        <is>
          <t>CAT A</t>
        </is>
      </c>
      <c r="F51" s="98" t="inlineStr">
        <is>
          <t>Instructor</t>
        </is>
      </c>
      <c r="G51" s="98" t="inlineStr">
        <is>
          <t>NSMEN</t>
        </is>
      </c>
      <c r="H51" s="98" t="n"/>
      <c r="J51" s="99" t="inlineStr">
        <is>
          <t>SANS / NSmen from here</t>
        </is>
      </c>
    </row>
    <row r="52">
      <c r="A52" s="100" t="n">
        <v>47</v>
      </c>
      <c r="B52" s="101" t="inlineStr">
        <is>
          <t>HOTEL</t>
        </is>
      </c>
      <c r="C52" s="101" t="inlineStr">
        <is>
          <t>ME3 Lim Boon Huat</t>
        </is>
      </c>
      <c r="D52" s="101" t="inlineStr">
        <is>
          <t>LBH</t>
        </is>
      </c>
      <c r="E52" s="101" t="inlineStr">
        <is>
          <t>CAT B</t>
        </is>
      </c>
      <c r="F52" s="101" t="inlineStr">
        <is>
          <t>Senior CAT A</t>
        </is>
      </c>
      <c r="G52" s="101" t="inlineStr">
        <is>
          <t>SANS</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SUP 1</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SUP 1</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MONTH(A6),'Jan'!$D$27:$AH$206,'Feb'!$D$27:$AH$206,'Mar'!$D$27:$AH$206,'Apr'!$D$27:$AH$206,'May'!$D$27:$AH$206,'Jun'!$D$27:$AH$206,'Jul'!$D$27:$AH$206,'Aug'!$D$27:$AH$206,'Sep'!$D$27:$AH$206,'Oct'!$D$27:$AH$206,'Nov'!$D$27:$AH$206,'Dec'!$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MONTH(A7),'Jan'!$D$27:$AH$206,'Feb'!$D$27:$AH$206,'Mar'!$D$27:$AH$206,'Apr'!$D$27:$AH$206,'May'!$D$27:$AH$206,'Jun'!$D$27:$AH$206,'Jul'!$D$27:$AH$206,'Aug'!$D$27:$AH$206,'Sep'!$D$27:$AH$206,'Oct'!$D$27:$AH$206,'Nov'!$D$27:$AH$206,'Dec'!$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MONTH(A8),'Jan'!$D$27:$AH$206,'Feb'!$D$27:$AH$206,'Mar'!$D$27:$AH$206,'Apr'!$D$27:$AH$206,'May'!$D$27:$AH$206,'Jun'!$D$27:$AH$206,'Jul'!$D$27:$AH$206,'Aug'!$D$27:$AH$206,'Sep'!$D$27:$AH$206,'Oct'!$D$27:$AH$206,'Nov'!$D$27:$AH$206,'Dec'!$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MONTH(A9),'Jan'!$D$27:$AH$206,'Feb'!$D$27:$AH$206,'Mar'!$D$27:$AH$206,'Apr'!$D$27:$AH$206,'May'!$D$27:$AH$206,'Jun'!$D$27:$AH$206,'Jul'!$D$27:$AH$206,'Aug'!$D$27:$AH$206,'Sep'!$D$27:$AH$206,'Oct'!$D$27:$AH$206,'Nov'!$D$27:$AH$206,'Dec'!$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MONTH(A10),'Jan'!$D$27:$AH$206,'Feb'!$D$27:$AH$206,'Mar'!$D$27:$AH$206,'Apr'!$D$27:$AH$206,'May'!$D$27:$AH$206,'Jun'!$D$27:$AH$206,'Jul'!$D$27:$AH$206,'Aug'!$D$27:$AH$206,'Sep'!$D$27:$AH$206,'Oct'!$D$27:$AH$206,'Nov'!$D$27:$AH$206,'Dec'!$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MONTH(A11),'Jan'!$D$27:$AH$206,'Feb'!$D$27:$AH$206,'Mar'!$D$27:$AH$206,'Apr'!$D$27:$AH$206,'May'!$D$27:$AH$206,'Jun'!$D$27:$AH$206,'Jul'!$D$27:$AH$206,'Aug'!$D$27:$AH$206,'Sep'!$D$27:$AH$206,'Oct'!$D$27:$AH$206,'Nov'!$D$27:$AH$206,'Dec'!$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MONTH(A12),'Jan'!$D$27:$AH$206,'Feb'!$D$27:$AH$206,'Mar'!$D$27:$AH$206,'Apr'!$D$27:$AH$206,'May'!$D$27:$AH$206,'Jun'!$D$27:$AH$206,'Jul'!$D$27:$AH$206,'Aug'!$D$27:$AH$206,'Sep'!$D$27:$AH$206,'Oct'!$D$27:$AH$206,'Nov'!$D$27:$AH$206,'Dec'!$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MONTH(A13),'Jan'!$D$27:$AH$206,'Feb'!$D$27:$AH$206,'Mar'!$D$27:$AH$206,'Apr'!$D$27:$AH$206,'May'!$D$27:$AH$206,'Jun'!$D$27:$AH$206,'Jul'!$D$27:$AH$206,'Aug'!$D$27:$AH$206,'Sep'!$D$27:$AH$206,'Oct'!$D$27:$AH$206,'Nov'!$D$27:$AH$206,'Dec'!$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MONTH(A14),'Jan'!$D$27:$AH$206,'Feb'!$D$27:$AH$206,'Mar'!$D$27:$AH$206,'Apr'!$D$27:$AH$206,'May'!$D$27:$AH$206,'Jun'!$D$27:$AH$206,'Jul'!$D$27:$AH$206,'Aug'!$D$27:$AH$206,'Sep'!$D$27:$AH$206,'Oct'!$D$27:$AH$206,'Nov'!$D$27:$AH$206,'Dec'!$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MONTH(A15),'Jan'!$D$27:$AH$206,'Feb'!$D$27:$AH$206,'Mar'!$D$27:$AH$206,'Apr'!$D$27:$AH$206,'May'!$D$27:$AH$206,'Jun'!$D$27:$AH$206,'Jul'!$D$27:$AH$206,'Aug'!$D$27:$AH$206,'Sep'!$D$27:$AH$206,'Oct'!$D$27:$AH$206,'Nov'!$D$27:$AH$206,'Dec'!$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MONTH(A16),'Jan'!$D$27:$AH$206,'Feb'!$D$27:$AH$206,'Mar'!$D$27:$AH$206,'Apr'!$D$27:$AH$206,'May'!$D$27:$AH$206,'Jun'!$D$27:$AH$206,'Jul'!$D$27:$AH$206,'Aug'!$D$27:$AH$206,'Sep'!$D$27:$AH$206,'Oct'!$D$27:$AH$206,'Nov'!$D$27:$AH$206,'Dec'!$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MONTH(A17),'Jan'!$D$27:$AH$206,'Feb'!$D$27:$AH$206,'Mar'!$D$27:$AH$206,'Apr'!$D$27:$AH$206,'May'!$D$27:$AH$206,'Jun'!$D$27:$AH$206,'Jul'!$D$27:$AH$206,'Aug'!$D$27:$AH$206,'Sep'!$D$27:$AH$206,'Oct'!$D$27:$AH$206,'Nov'!$D$27:$AH$206,'Dec'!$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MONTH(A18),'Jan'!$D$27:$AH$206,'Feb'!$D$27:$AH$206,'Mar'!$D$27:$AH$206,'Apr'!$D$27:$AH$206,'May'!$D$27:$AH$206,'Jun'!$D$27:$AH$206,'Jul'!$D$27:$AH$206,'Aug'!$D$27:$AH$206,'Sep'!$D$27:$AH$206,'Oct'!$D$27:$AH$206,'Nov'!$D$27:$AH$206,'Dec'!$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MONTH(A19),'Jan'!$D$27:$AH$206,'Feb'!$D$27:$AH$206,'Mar'!$D$27:$AH$206,'Apr'!$D$27:$AH$206,'May'!$D$27:$AH$206,'Jun'!$D$27:$AH$206,'Jul'!$D$27:$AH$206,'Aug'!$D$27:$AH$206,'Sep'!$D$27:$AH$206,'Oct'!$D$27:$AH$206,'Nov'!$D$27:$AH$206,'Dec'!$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MONTH(A20),'Jan'!$D$27:$AH$206,'Feb'!$D$27:$AH$206,'Mar'!$D$27:$AH$206,'Apr'!$D$27:$AH$206,'May'!$D$27:$AH$206,'Jun'!$D$27:$AH$206,'Jul'!$D$27:$AH$206,'Aug'!$D$27:$AH$206,'Sep'!$D$27:$AH$206,'Oct'!$D$27:$AH$206,'Nov'!$D$27:$AH$206,'Dec'!$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MONTH(A21),'Jan'!$D$27:$AH$206,'Feb'!$D$27:$AH$206,'Mar'!$D$27:$AH$206,'Apr'!$D$27:$AH$206,'May'!$D$27:$AH$206,'Jun'!$D$27:$AH$206,'Jul'!$D$27:$AH$206,'Aug'!$D$27:$AH$206,'Sep'!$D$27:$AH$206,'Oct'!$D$27:$AH$206,'Nov'!$D$27:$AH$206,'Dec'!$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MONTH(A22),'Jan'!$D$27:$AH$206,'Feb'!$D$27:$AH$206,'Mar'!$D$27:$AH$206,'Apr'!$D$27:$AH$206,'May'!$D$27:$AH$206,'Jun'!$D$27:$AH$206,'Jul'!$D$27:$AH$206,'Aug'!$D$27:$AH$206,'Sep'!$D$27:$AH$206,'Oct'!$D$27:$AH$206,'Nov'!$D$27:$AH$206,'Dec'!$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MONTH(A23),'Jan'!$D$27:$AH$206,'Feb'!$D$27:$AH$206,'Mar'!$D$27:$AH$206,'Apr'!$D$27:$AH$206,'May'!$D$27:$AH$206,'Jun'!$D$27:$AH$206,'Jul'!$D$27:$AH$206,'Aug'!$D$27:$AH$206,'Sep'!$D$27:$AH$206,'Oct'!$D$27:$AH$206,'Nov'!$D$27:$AH$206,'Dec'!$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MONTH(A24),'Jan'!$D$27:$AH$206,'Feb'!$D$27:$AH$206,'Mar'!$D$27:$AH$206,'Apr'!$D$27:$AH$206,'May'!$D$27:$AH$206,'Jun'!$D$27:$AH$206,'Jul'!$D$27:$AH$206,'Aug'!$D$27:$AH$206,'Sep'!$D$27:$AH$206,'Oct'!$D$27:$AH$206,'Nov'!$D$27:$AH$206,'Dec'!$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MONTH(A25),'Jan'!$D$27:$AH$206,'Feb'!$D$27:$AH$206,'Mar'!$D$27:$AH$206,'Apr'!$D$27:$AH$206,'May'!$D$27:$AH$206,'Jun'!$D$27:$AH$206,'Jul'!$D$27:$AH$206,'Aug'!$D$27:$AH$206,'Sep'!$D$27:$AH$206,'Oct'!$D$27:$AH$206,'Nov'!$D$27:$AH$206,'Dec'!$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MONTH(A26),'Jan'!$D$27:$AH$206,'Feb'!$D$27:$AH$206,'Mar'!$D$27:$AH$206,'Apr'!$D$27:$AH$206,'May'!$D$27:$AH$206,'Jun'!$D$27:$AH$206,'Jul'!$D$27:$AH$206,'Aug'!$D$27:$AH$206,'Sep'!$D$27:$AH$206,'Oct'!$D$27:$AH$206,'Nov'!$D$27:$AH$206,'Dec'!$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MONTH(A27),'Jan'!$D$27:$AH$206,'Feb'!$D$27:$AH$206,'Mar'!$D$27:$AH$206,'Apr'!$D$27:$AH$206,'May'!$D$27:$AH$206,'Jun'!$D$27:$AH$206,'Jul'!$D$27:$AH$206,'Aug'!$D$27:$AH$206,'Sep'!$D$27:$AH$206,'Oct'!$D$27:$AH$206,'Nov'!$D$27:$AH$206,'Dec'!$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MONTH(A28),'Jan'!$D$27:$AH$206,'Feb'!$D$27:$AH$206,'Mar'!$D$27:$AH$206,'Apr'!$D$27:$AH$206,'May'!$D$27:$AH$206,'Jun'!$D$27:$AH$206,'Jul'!$D$27:$AH$206,'Aug'!$D$27:$AH$206,'Sep'!$D$27:$AH$206,'Oct'!$D$27:$AH$206,'Nov'!$D$27:$AH$206,'Dec'!$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MONTH(A29),'Jan'!$D$27:$AH$206,'Feb'!$D$27:$AH$206,'Mar'!$D$27:$AH$206,'Apr'!$D$27:$AH$206,'May'!$D$27:$AH$206,'Jun'!$D$27:$AH$206,'Jul'!$D$27:$AH$206,'Aug'!$D$27:$AH$206,'Sep'!$D$27:$AH$206,'Oct'!$D$27:$AH$206,'Nov'!$D$27:$AH$206,'Dec'!$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MONTH(A30),'Jan'!$D$27:$AH$206,'Feb'!$D$27:$AH$206,'Mar'!$D$27:$AH$206,'Apr'!$D$27:$AH$206,'May'!$D$27:$AH$206,'Jun'!$D$27:$AH$206,'Jul'!$D$27:$AH$206,'Aug'!$D$27:$AH$206,'Sep'!$D$27:$AH$206,'Oct'!$D$27:$AH$206,'Nov'!$D$27:$AH$206,'Dec'!$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MONTH(A31),'Jan'!$D$27:$AH$206,'Feb'!$D$27:$AH$206,'Mar'!$D$27:$AH$206,'Apr'!$D$27:$AH$206,'May'!$D$27:$AH$206,'Jun'!$D$27:$AH$206,'Jul'!$D$27:$AH$206,'Aug'!$D$27:$AH$206,'Sep'!$D$27:$AH$206,'Oct'!$D$27:$AH$206,'Nov'!$D$27:$AH$206,'Dec'!$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MONTH(A32),'Jan'!$D$27:$AH$206,'Feb'!$D$27:$AH$206,'Mar'!$D$27:$AH$206,'Apr'!$D$27:$AH$206,'May'!$D$27:$AH$206,'Jun'!$D$27:$AH$206,'Jul'!$D$27:$AH$206,'Aug'!$D$27:$AH$206,'Sep'!$D$27:$AH$206,'Oct'!$D$27:$AH$206,'Nov'!$D$27:$AH$206,'Dec'!$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MONTH(A33),'Jan'!$D$27:$AH$206,'Feb'!$D$27:$AH$206,'Mar'!$D$27:$AH$206,'Apr'!$D$27:$AH$206,'May'!$D$27:$AH$206,'Jun'!$D$27:$AH$206,'Jul'!$D$27:$AH$206,'Aug'!$D$27:$AH$206,'Sep'!$D$27:$AH$206,'Oct'!$D$27:$AH$206,'Nov'!$D$27:$AH$206,'Dec'!$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MONTH(A34),'Jan'!$D$27:$AH$206,'Feb'!$D$27:$AH$206,'Mar'!$D$27:$AH$206,'Apr'!$D$27:$AH$206,'May'!$D$27:$AH$206,'Jun'!$D$27:$AH$206,'Jul'!$D$27:$AH$206,'Aug'!$D$27:$AH$206,'Sep'!$D$27:$AH$206,'Oct'!$D$27:$AH$206,'Nov'!$D$27:$AH$206,'Dec'!$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MONTH(A35),'Jan'!$D$27:$AH$206,'Feb'!$D$27:$AH$206,'Mar'!$D$27:$AH$206,'Apr'!$D$27:$AH$206,'May'!$D$27:$AH$206,'Jun'!$D$27:$AH$206,'Jul'!$D$27:$AH$206,'Aug'!$D$27:$AH$206,'Sep'!$D$27:$AH$206,'Oct'!$D$27:$AH$206,'Nov'!$D$27:$AH$206,'Dec'!$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MONTH(A36),'Jan'!$D$27:$AH$206,'Feb'!$D$27:$AH$206,'Mar'!$D$27:$AH$206,'Apr'!$D$27:$AH$206,'May'!$D$27:$AH$206,'Jun'!$D$27:$AH$206,'Jul'!$D$27:$AH$206,'Aug'!$D$27:$AH$206,'Sep'!$D$27:$AH$206,'Oct'!$D$27:$AH$206,'Nov'!$D$27:$AH$206,'Dec'!$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MONTH(A37),'Jan'!$D$27:$AH$206,'Feb'!$D$27:$AH$206,'Mar'!$D$27:$AH$206,'Apr'!$D$27:$AH$206,'May'!$D$27:$AH$206,'Jun'!$D$27:$AH$206,'Jul'!$D$27:$AH$206,'Aug'!$D$27:$AH$206,'Sep'!$D$27:$AH$206,'Oct'!$D$27:$AH$206,'Nov'!$D$27:$AH$206,'Dec'!$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MONTH(A38),'Jan'!$D$27:$AH$206,'Feb'!$D$27:$AH$206,'Mar'!$D$27:$AH$206,'Apr'!$D$27:$AH$206,'May'!$D$27:$AH$206,'Jun'!$D$27:$AH$206,'Jul'!$D$27:$AH$206,'Aug'!$D$27:$AH$206,'Sep'!$D$27:$AH$206,'Oct'!$D$27:$AH$206,'Nov'!$D$27:$AH$206,'Dec'!$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MONTH(A39),'Jan'!$D$27:$AH$206,'Feb'!$D$27:$AH$206,'Mar'!$D$27:$AH$206,'Apr'!$D$27:$AH$206,'May'!$D$27:$AH$206,'Jun'!$D$27:$AH$206,'Jul'!$D$27:$AH$206,'Aug'!$D$27:$AH$206,'Sep'!$D$27:$AH$206,'Oct'!$D$27:$AH$206,'Nov'!$D$27:$AH$206,'Dec'!$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MONTH(A40),'Jan'!$D$27:$AH$206,'Feb'!$D$27:$AH$206,'Mar'!$D$27:$AH$206,'Apr'!$D$27:$AH$206,'May'!$D$27:$AH$206,'Jun'!$D$27:$AH$206,'Jul'!$D$27:$AH$206,'Aug'!$D$27:$AH$206,'Sep'!$D$27:$AH$206,'Oct'!$D$27:$AH$206,'Nov'!$D$27:$AH$206,'Dec'!$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MONTH(A41),'Jan'!$D$27:$AH$206,'Feb'!$D$27:$AH$206,'Mar'!$D$27:$AH$206,'Apr'!$D$27:$AH$206,'May'!$D$27:$AH$206,'Jun'!$D$27:$AH$206,'Jul'!$D$27:$AH$206,'Aug'!$D$27:$AH$206,'Sep'!$D$27:$AH$206,'Oct'!$D$27:$AH$206,'Nov'!$D$27:$AH$206,'Dec'!$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MONTH(A42),'Jan'!$D$27:$AH$206,'Feb'!$D$27:$AH$206,'Mar'!$D$27:$AH$206,'Apr'!$D$27:$AH$206,'May'!$D$27:$AH$206,'Jun'!$D$27:$AH$206,'Jul'!$D$27:$AH$206,'Aug'!$D$27:$AH$206,'Sep'!$D$27:$AH$206,'Oct'!$D$27:$AH$206,'Nov'!$D$27:$AH$206,'Dec'!$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MONTH(A43),'Jan'!$D$27:$AH$206,'Feb'!$D$27:$AH$206,'Mar'!$D$27:$AH$206,'Apr'!$D$27:$AH$206,'May'!$D$27:$AH$206,'Jun'!$D$27:$AH$206,'Jul'!$D$27:$AH$206,'Aug'!$D$27:$AH$206,'Sep'!$D$27:$AH$206,'Oct'!$D$27:$AH$206,'Nov'!$D$27:$AH$206,'Dec'!$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MONTH(A44),'Jan'!$D$27:$AH$206,'Feb'!$D$27:$AH$206,'Mar'!$D$27:$AH$206,'Apr'!$D$27:$AH$206,'May'!$D$27:$AH$206,'Jun'!$D$27:$AH$206,'Jul'!$D$27:$AH$206,'Aug'!$D$27:$AH$206,'Sep'!$D$27:$AH$206,'Oct'!$D$27:$AH$206,'Nov'!$D$27:$AH$206,'Dec'!$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MONTH(A45),'Jan'!$D$27:$AH$206,'Feb'!$D$27:$AH$206,'Mar'!$D$27:$AH$206,'Apr'!$D$27:$AH$206,'May'!$D$27:$AH$206,'Jun'!$D$27:$AH$206,'Jul'!$D$27:$AH$206,'Aug'!$D$27:$AH$206,'Sep'!$D$27:$AH$206,'Oct'!$D$27:$AH$206,'Nov'!$D$27:$AH$206,'Dec'!$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MONTH(A46),'Jan'!$D$27:$AH$206,'Feb'!$D$27:$AH$206,'Mar'!$D$27:$AH$206,'Apr'!$D$27:$AH$206,'May'!$D$27:$AH$206,'Jun'!$D$27:$AH$206,'Jul'!$D$27:$AH$206,'Aug'!$D$27:$AH$206,'Sep'!$D$27:$AH$206,'Oct'!$D$27:$AH$206,'Nov'!$D$27:$AH$206,'Dec'!$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MONTH(A47),'Jan'!$D$27:$AH$206,'Feb'!$D$27:$AH$206,'Mar'!$D$27:$AH$206,'Apr'!$D$27:$AH$206,'May'!$D$27:$AH$206,'Jun'!$D$27:$AH$206,'Jul'!$D$27:$AH$206,'Aug'!$D$27:$AH$206,'Sep'!$D$27:$AH$206,'Oct'!$D$27:$AH$206,'Nov'!$D$27:$AH$206,'Dec'!$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MONTH(A48),'Jan'!$D$27:$AH$206,'Feb'!$D$27:$AH$206,'Mar'!$D$27:$AH$206,'Apr'!$D$27:$AH$206,'May'!$D$27:$AH$206,'Jun'!$D$27:$AH$206,'Jul'!$D$27:$AH$206,'Aug'!$D$27:$AH$206,'Sep'!$D$27:$AH$206,'Oct'!$D$27:$AH$206,'Nov'!$D$27:$AH$206,'Dec'!$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MONTH(A49),'Jan'!$D$27:$AH$206,'Feb'!$D$27:$AH$206,'Mar'!$D$27:$AH$206,'Apr'!$D$27:$AH$206,'May'!$D$27:$AH$206,'Jun'!$D$27:$AH$206,'Jul'!$D$27:$AH$206,'Aug'!$D$27:$AH$206,'Sep'!$D$27:$AH$206,'Oct'!$D$27:$AH$206,'Nov'!$D$27:$AH$206,'Dec'!$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MONTH(A50),'Jan'!$D$27:$AH$206,'Feb'!$D$27:$AH$206,'Mar'!$D$27:$AH$206,'Apr'!$D$27:$AH$206,'May'!$D$27:$AH$206,'Jun'!$D$27:$AH$206,'Jul'!$D$27:$AH$206,'Aug'!$D$27:$AH$206,'Sep'!$D$27:$AH$206,'Oct'!$D$27:$AH$206,'Nov'!$D$27:$AH$206,'Dec'!$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MONTH(A51),'Jan'!$D$27:$AH$206,'Feb'!$D$27:$AH$206,'Mar'!$D$27:$AH$206,'Apr'!$D$27:$AH$206,'May'!$D$27:$AH$206,'Jun'!$D$27:$AH$206,'Jul'!$D$27:$AH$206,'Aug'!$D$27:$AH$206,'Sep'!$D$27:$AH$206,'Oct'!$D$27:$AH$206,'Nov'!$D$27:$AH$206,'Dec'!$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MONTH(A52),'Jan'!$D$27:$AH$206,'Feb'!$D$27:$AH$206,'Mar'!$D$27:$AH$206,'Apr'!$D$27:$AH$206,'May'!$D$27:$AH$206,'Jun'!$D$27:$AH$206,'Jul'!$D$27:$AH$206,'Aug'!$D$27:$AH$206,'Sep'!$D$27:$AH$206,'Oct'!$D$27:$AH$206,'Nov'!$D$27:$AH$206,'Dec'!$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MONTH(A53),'Jan'!$D$27:$AH$206,'Feb'!$D$27:$AH$206,'Mar'!$D$27:$AH$206,'Apr'!$D$27:$AH$206,'May'!$D$27:$AH$206,'Jun'!$D$27:$AH$206,'Jul'!$D$27:$AH$206,'Aug'!$D$27:$AH$206,'Sep'!$D$27:$AH$206,'Oct'!$D$27:$AH$206,'Nov'!$D$27:$AH$206,'Dec'!$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MONTH(A54),'Jan'!$D$27:$AH$206,'Feb'!$D$27:$AH$206,'Mar'!$D$27:$AH$206,'Apr'!$D$27:$AH$206,'May'!$D$27:$AH$206,'Jun'!$D$27:$AH$206,'Jul'!$D$27:$AH$206,'Aug'!$D$27:$AH$206,'Sep'!$D$27:$AH$206,'Oct'!$D$27:$AH$206,'Nov'!$D$27:$AH$206,'Dec'!$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MONTH(A55),'Jan'!$D$27:$AH$206,'Feb'!$D$27:$AH$206,'Mar'!$D$27:$AH$206,'Apr'!$D$27:$AH$206,'May'!$D$27:$AH$206,'Jun'!$D$27:$AH$206,'Jul'!$D$27:$AH$206,'Aug'!$D$27:$AH$206,'Sep'!$D$27:$AH$206,'Oct'!$D$27:$AH$206,'Nov'!$D$27:$AH$206,'Dec'!$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MONTH(A56),'Jan'!$D$27:$AH$206,'Feb'!$D$27:$AH$206,'Mar'!$D$27:$AH$206,'Apr'!$D$27:$AH$206,'May'!$D$27:$AH$206,'Jun'!$D$27:$AH$206,'Jul'!$D$27:$AH$206,'Aug'!$D$27:$AH$206,'Sep'!$D$27:$AH$206,'Oct'!$D$27:$AH$206,'Nov'!$D$27:$AH$206,'Dec'!$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MONTH(A57),'Jan'!$D$27:$AH$206,'Feb'!$D$27:$AH$206,'Mar'!$D$27:$AH$206,'Apr'!$D$27:$AH$206,'May'!$D$27:$AH$206,'Jun'!$D$27:$AH$206,'Jul'!$D$27:$AH$206,'Aug'!$D$27:$AH$206,'Sep'!$D$27:$AH$206,'Oct'!$D$27:$AH$206,'Nov'!$D$27:$AH$206,'Dec'!$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MONTH(A58),'Jan'!$D$27:$AH$206,'Feb'!$D$27:$AH$206,'Mar'!$D$27:$AH$206,'Apr'!$D$27:$AH$206,'May'!$D$27:$AH$206,'Jun'!$D$27:$AH$206,'Jul'!$D$27:$AH$206,'Aug'!$D$27:$AH$206,'Sep'!$D$27:$AH$206,'Oct'!$D$27:$AH$206,'Nov'!$D$27:$AH$206,'Dec'!$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MONTH(A59),'Jan'!$D$27:$AH$206,'Feb'!$D$27:$AH$206,'Mar'!$D$27:$AH$206,'Apr'!$D$27:$AH$206,'May'!$D$27:$AH$206,'Jun'!$D$27:$AH$206,'Jul'!$D$27:$AH$206,'Aug'!$D$27:$AH$206,'Sep'!$D$27:$AH$206,'Oct'!$D$27:$AH$206,'Nov'!$D$27:$AH$206,'Dec'!$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MONTH(A60),'Jan'!$D$27:$AH$206,'Feb'!$D$27:$AH$206,'Mar'!$D$27:$AH$206,'Apr'!$D$27:$AH$206,'May'!$D$27:$AH$206,'Jun'!$D$27:$AH$206,'Jul'!$D$27:$AH$206,'Aug'!$D$27:$AH$206,'Sep'!$D$27:$AH$206,'Oct'!$D$27:$AH$206,'Nov'!$D$27:$AH$206,'Dec'!$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MONTH(A61),'Jan'!$D$27:$AH$206,'Feb'!$D$27:$AH$206,'Mar'!$D$27:$AH$206,'Apr'!$D$27:$AH$206,'May'!$D$27:$AH$206,'Jun'!$D$27:$AH$206,'Jul'!$D$27:$AH$206,'Aug'!$D$27:$AH$206,'Sep'!$D$27:$AH$206,'Oct'!$D$27:$AH$206,'Nov'!$D$27:$AH$206,'Dec'!$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MONTH(A62),'Jan'!$D$27:$AH$206,'Feb'!$D$27:$AH$206,'Mar'!$D$27:$AH$206,'Apr'!$D$27:$AH$206,'May'!$D$27:$AH$206,'Jun'!$D$27:$AH$206,'Jul'!$D$27:$AH$206,'Aug'!$D$27:$AH$206,'Sep'!$D$27:$AH$206,'Oct'!$D$27:$AH$206,'Nov'!$D$27:$AH$206,'Dec'!$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MONTH(A63),'Jan'!$D$27:$AH$206,'Feb'!$D$27:$AH$206,'Mar'!$D$27:$AH$206,'Apr'!$D$27:$AH$206,'May'!$D$27:$AH$206,'Jun'!$D$27:$AH$206,'Jul'!$D$27:$AH$206,'Aug'!$D$27:$AH$206,'Sep'!$D$27:$AH$206,'Oct'!$D$27:$AH$206,'Nov'!$D$27:$AH$206,'Dec'!$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MONTH(A64),'Jan'!$D$27:$AH$206,'Feb'!$D$27:$AH$206,'Mar'!$D$27:$AH$206,'Apr'!$D$27:$AH$206,'May'!$D$27:$AH$206,'Jun'!$D$27:$AH$206,'Jul'!$D$27:$AH$206,'Aug'!$D$27:$AH$206,'Sep'!$D$27:$AH$206,'Oct'!$D$27:$AH$206,'Nov'!$D$27:$AH$206,'Dec'!$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MONTH(A65),'Jan'!$D$27:$AH$206,'Feb'!$D$27:$AH$206,'Mar'!$D$27:$AH$206,'Apr'!$D$27:$AH$206,'May'!$D$27:$AH$206,'Jun'!$D$27:$AH$206,'Jul'!$D$27:$AH$206,'Aug'!$D$27:$AH$206,'Sep'!$D$27:$AH$206,'Oct'!$D$27:$AH$206,'Nov'!$D$27:$AH$206,'Dec'!$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MONTH(A66),'Jan'!$D$27:$AH$206,'Feb'!$D$27:$AH$206,'Mar'!$D$27:$AH$206,'Apr'!$D$27:$AH$206,'May'!$D$27:$AH$206,'Jun'!$D$27:$AH$206,'Jul'!$D$27:$AH$206,'Aug'!$D$27:$AH$206,'Sep'!$D$27:$AH$206,'Oct'!$D$27:$AH$206,'Nov'!$D$27:$AH$206,'Dec'!$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MONTH(A67),'Jan'!$D$27:$AH$206,'Feb'!$D$27:$AH$206,'Mar'!$D$27:$AH$206,'Apr'!$D$27:$AH$206,'May'!$D$27:$AH$206,'Jun'!$D$27:$AH$206,'Jul'!$D$27:$AH$206,'Aug'!$D$27:$AH$206,'Sep'!$D$27:$AH$206,'Oct'!$D$27:$AH$206,'Nov'!$D$27:$AH$206,'Dec'!$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MONTH(A68),'Jan'!$D$27:$AH$206,'Feb'!$D$27:$AH$206,'Mar'!$D$27:$AH$206,'Apr'!$D$27:$AH$206,'May'!$D$27:$AH$206,'Jun'!$D$27:$AH$206,'Jul'!$D$27:$AH$206,'Aug'!$D$27:$AH$206,'Sep'!$D$27:$AH$206,'Oct'!$D$27:$AH$206,'Nov'!$D$27:$AH$206,'Dec'!$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MONTH(A69),'Jan'!$D$27:$AH$206,'Feb'!$D$27:$AH$206,'Mar'!$D$27:$AH$206,'Apr'!$D$27:$AH$206,'May'!$D$27:$AH$206,'Jun'!$D$27:$AH$206,'Jul'!$D$27:$AH$206,'Aug'!$D$27:$AH$206,'Sep'!$D$27:$AH$206,'Oct'!$D$27:$AH$206,'Nov'!$D$27:$AH$206,'Dec'!$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MONTH(A70),'Jan'!$D$27:$AH$206,'Feb'!$D$27:$AH$206,'Mar'!$D$27:$AH$206,'Apr'!$D$27:$AH$206,'May'!$D$27:$AH$206,'Jun'!$D$27:$AH$206,'Jul'!$D$27:$AH$206,'Aug'!$D$27:$AH$206,'Sep'!$D$27:$AH$206,'Oct'!$D$27:$AH$206,'Nov'!$D$27:$AH$206,'Dec'!$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MONTH(A71),'Jan'!$D$27:$AH$206,'Feb'!$D$27:$AH$206,'Mar'!$D$27:$AH$206,'Apr'!$D$27:$AH$206,'May'!$D$27:$AH$206,'Jun'!$D$27:$AH$206,'Jul'!$D$27:$AH$206,'Aug'!$D$27:$AH$206,'Sep'!$D$27:$AH$206,'Oct'!$D$27:$AH$206,'Nov'!$D$27:$AH$206,'Dec'!$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MONTH(A72),'Jan'!$D$27:$AH$206,'Feb'!$D$27:$AH$206,'Mar'!$D$27:$AH$206,'Apr'!$D$27:$AH$206,'May'!$D$27:$AH$206,'Jun'!$D$27:$AH$206,'Jul'!$D$27:$AH$206,'Aug'!$D$27:$AH$206,'Sep'!$D$27:$AH$206,'Oct'!$D$27:$AH$206,'Nov'!$D$27:$AH$206,'Dec'!$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MONTH(A73),'Jan'!$D$27:$AH$206,'Feb'!$D$27:$AH$206,'Mar'!$D$27:$AH$206,'Apr'!$D$27:$AH$206,'May'!$D$27:$AH$206,'Jun'!$D$27:$AH$206,'Jul'!$D$27:$AH$206,'Aug'!$D$27:$AH$206,'Sep'!$D$27:$AH$206,'Oct'!$D$27:$AH$206,'Nov'!$D$27:$AH$206,'Dec'!$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MONTH(A74),'Jan'!$D$27:$AH$206,'Feb'!$D$27:$AH$206,'Mar'!$D$27:$AH$206,'Apr'!$D$27:$AH$206,'May'!$D$27:$AH$206,'Jun'!$D$27:$AH$206,'Jul'!$D$27:$AH$206,'Aug'!$D$27:$AH$206,'Sep'!$D$27:$AH$206,'Oct'!$D$27:$AH$206,'Nov'!$D$27:$AH$206,'Dec'!$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MONTH(A75),'Jan'!$D$27:$AH$206,'Feb'!$D$27:$AH$206,'Mar'!$D$27:$AH$206,'Apr'!$D$27:$AH$206,'May'!$D$27:$AH$206,'Jun'!$D$27:$AH$206,'Jul'!$D$27:$AH$206,'Aug'!$D$27:$AH$206,'Sep'!$D$27:$AH$206,'Oct'!$D$27:$AH$206,'Nov'!$D$27:$AH$206,'Dec'!$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MONTH(A76),'Jan'!$D$27:$AH$206,'Feb'!$D$27:$AH$206,'Mar'!$D$27:$AH$206,'Apr'!$D$27:$AH$206,'May'!$D$27:$AH$206,'Jun'!$D$27:$AH$206,'Jul'!$D$27:$AH$206,'Aug'!$D$27:$AH$206,'Sep'!$D$27:$AH$206,'Oct'!$D$27:$AH$206,'Nov'!$D$27:$AH$206,'Dec'!$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MONTH(A77),'Jan'!$D$27:$AH$206,'Feb'!$D$27:$AH$206,'Mar'!$D$27:$AH$206,'Apr'!$D$27:$AH$206,'May'!$D$27:$AH$206,'Jun'!$D$27:$AH$206,'Jul'!$D$27:$AH$206,'Aug'!$D$27:$AH$206,'Sep'!$D$27:$AH$206,'Oct'!$D$27:$AH$206,'Nov'!$D$27:$AH$206,'Dec'!$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MONTH(A78),'Jan'!$D$27:$AH$206,'Feb'!$D$27:$AH$206,'Mar'!$D$27:$AH$206,'Apr'!$D$27:$AH$206,'May'!$D$27:$AH$206,'Jun'!$D$27:$AH$206,'Jul'!$D$27:$AH$206,'Aug'!$D$27:$AH$206,'Sep'!$D$27:$AH$206,'Oct'!$D$27:$AH$206,'Nov'!$D$27:$AH$206,'Dec'!$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MONTH(A79),'Jan'!$D$27:$AH$206,'Feb'!$D$27:$AH$206,'Mar'!$D$27:$AH$206,'Apr'!$D$27:$AH$206,'May'!$D$27:$AH$206,'Jun'!$D$27:$AH$206,'Jul'!$D$27:$AH$206,'Aug'!$D$27:$AH$206,'Sep'!$D$27:$AH$206,'Oct'!$D$27:$AH$206,'Nov'!$D$27:$AH$206,'Dec'!$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MONTH(A80),'Jan'!$D$27:$AH$206,'Feb'!$D$27:$AH$206,'Mar'!$D$27:$AH$206,'Apr'!$D$27:$AH$206,'May'!$D$27:$AH$206,'Jun'!$D$27:$AH$206,'Jul'!$D$27:$AH$206,'Aug'!$D$27:$AH$206,'Sep'!$D$27:$AH$206,'Oct'!$D$27:$AH$206,'Nov'!$D$27:$AH$206,'Dec'!$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MONTH(A81),'Jan'!$D$27:$AH$206,'Feb'!$D$27:$AH$206,'Mar'!$D$27:$AH$206,'Apr'!$D$27:$AH$206,'May'!$D$27:$AH$206,'Jun'!$D$27:$AH$206,'Jul'!$D$27:$AH$206,'Aug'!$D$27:$AH$206,'Sep'!$D$27:$AH$206,'Oct'!$D$27:$AH$206,'Nov'!$D$27:$AH$206,'Dec'!$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MONTH(A82),'Jan'!$D$27:$AH$206,'Feb'!$D$27:$AH$206,'Mar'!$D$27:$AH$206,'Apr'!$D$27:$AH$206,'May'!$D$27:$AH$206,'Jun'!$D$27:$AH$206,'Jul'!$D$27:$AH$206,'Aug'!$D$27:$AH$206,'Sep'!$D$27:$AH$206,'Oct'!$D$27:$AH$206,'Nov'!$D$27:$AH$206,'Dec'!$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MONTH(A83),'Jan'!$D$27:$AH$206,'Feb'!$D$27:$AH$206,'Mar'!$D$27:$AH$206,'Apr'!$D$27:$AH$206,'May'!$D$27:$AH$206,'Jun'!$D$27:$AH$206,'Jul'!$D$27:$AH$206,'Aug'!$D$27:$AH$206,'Sep'!$D$27:$AH$206,'Oct'!$D$27:$AH$206,'Nov'!$D$27:$AH$206,'Dec'!$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MONTH(A84),'Jan'!$D$27:$AH$206,'Feb'!$D$27:$AH$206,'Mar'!$D$27:$AH$206,'Apr'!$D$27:$AH$206,'May'!$D$27:$AH$206,'Jun'!$D$27:$AH$206,'Jul'!$D$27:$AH$206,'Aug'!$D$27:$AH$206,'Sep'!$D$27:$AH$206,'Oct'!$D$27:$AH$206,'Nov'!$D$27:$AH$206,'Dec'!$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MONTH(A85),'Jan'!$D$27:$AH$206,'Feb'!$D$27:$AH$206,'Mar'!$D$27:$AH$206,'Apr'!$D$27:$AH$206,'May'!$D$27:$AH$206,'Jun'!$D$27:$AH$206,'Jul'!$D$27:$AH$206,'Aug'!$D$27:$AH$206,'Sep'!$D$27:$AH$206,'Oct'!$D$27:$AH$206,'Nov'!$D$27:$AH$206,'Dec'!$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MONTH(A86),'Jan'!$D$27:$AH$206,'Feb'!$D$27:$AH$206,'Mar'!$D$27:$AH$206,'Apr'!$D$27:$AH$206,'May'!$D$27:$AH$206,'Jun'!$D$27:$AH$206,'Jul'!$D$27:$AH$206,'Aug'!$D$27:$AH$206,'Sep'!$D$27:$AH$206,'Oct'!$D$27:$AH$206,'Nov'!$D$27:$AH$206,'Dec'!$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MONTH(A87),'Jan'!$D$27:$AH$206,'Feb'!$D$27:$AH$206,'Mar'!$D$27:$AH$206,'Apr'!$D$27:$AH$206,'May'!$D$27:$AH$206,'Jun'!$D$27:$AH$206,'Jul'!$D$27:$AH$206,'Aug'!$D$27:$AH$206,'Sep'!$D$27:$AH$206,'Oct'!$D$27:$AH$206,'Nov'!$D$27:$AH$206,'Dec'!$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MONTH(A88),'Jan'!$D$27:$AH$206,'Feb'!$D$27:$AH$206,'Mar'!$D$27:$AH$206,'Apr'!$D$27:$AH$206,'May'!$D$27:$AH$206,'Jun'!$D$27:$AH$206,'Jul'!$D$27:$AH$206,'Aug'!$D$27:$AH$206,'Sep'!$D$27:$AH$206,'Oct'!$D$27:$AH$206,'Nov'!$D$27:$AH$206,'Dec'!$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MONTH(A89),'Jan'!$D$27:$AH$206,'Feb'!$D$27:$AH$206,'Mar'!$D$27:$AH$206,'Apr'!$D$27:$AH$206,'May'!$D$27:$AH$206,'Jun'!$D$27:$AH$206,'Jul'!$D$27:$AH$206,'Aug'!$D$27:$AH$206,'Sep'!$D$27:$AH$206,'Oct'!$D$27:$AH$206,'Nov'!$D$27:$AH$206,'Dec'!$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MONTH(A90),'Jan'!$D$27:$AH$206,'Feb'!$D$27:$AH$206,'Mar'!$D$27:$AH$206,'Apr'!$D$27:$AH$206,'May'!$D$27:$AH$206,'Jun'!$D$27:$AH$206,'Jul'!$D$27:$AH$206,'Aug'!$D$27:$AH$206,'Sep'!$D$27:$AH$206,'Oct'!$D$27:$AH$206,'Nov'!$D$27:$AH$206,'Dec'!$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MONTH(A91),'Jan'!$D$27:$AH$206,'Feb'!$D$27:$AH$206,'Mar'!$D$27:$AH$206,'Apr'!$D$27:$AH$206,'May'!$D$27:$AH$206,'Jun'!$D$27:$AH$206,'Jul'!$D$27:$AH$206,'Aug'!$D$27:$AH$206,'Sep'!$D$27:$AH$206,'Oct'!$D$27:$AH$206,'Nov'!$D$27:$AH$206,'Dec'!$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MONTH(A92),'Jan'!$D$27:$AH$206,'Feb'!$D$27:$AH$206,'Mar'!$D$27:$AH$206,'Apr'!$D$27:$AH$206,'May'!$D$27:$AH$206,'Jun'!$D$27:$AH$206,'Jul'!$D$27:$AH$206,'Aug'!$D$27:$AH$206,'Sep'!$D$27:$AH$206,'Oct'!$D$27:$AH$206,'Nov'!$D$27:$AH$206,'Dec'!$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MONTH(A93),'Jan'!$D$27:$AH$206,'Feb'!$D$27:$AH$206,'Mar'!$D$27:$AH$206,'Apr'!$D$27:$AH$206,'May'!$D$27:$AH$206,'Jun'!$D$27:$AH$206,'Jul'!$D$27:$AH$206,'Aug'!$D$27:$AH$206,'Sep'!$D$27:$AH$206,'Oct'!$D$27:$AH$206,'Nov'!$D$27:$AH$206,'Dec'!$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MONTH(A94),'Jan'!$D$27:$AH$206,'Feb'!$D$27:$AH$206,'Mar'!$D$27:$AH$206,'Apr'!$D$27:$AH$206,'May'!$D$27:$AH$206,'Jun'!$D$27:$AH$206,'Jul'!$D$27:$AH$206,'Aug'!$D$27:$AH$206,'Sep'!$D$27:$AH$206,'Oct'!$D$27:$AH$206,'Nov'!$D$27:$AH$206,'Dec'!$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MONTH(A95),'Jan'!$D$27:$AH$206,'Feb'!$D$27:$AH$206,'Mar'!$D$27:$AH$206,'Apr'!$D$27:$AH$206,'May'!$D$27:$AH$206,'Jun'!$D$27:$AH$206,'Jul'!$D$27:$AH$206,'Aug'!$D$27:$AH$206,'Sep'!$D$27:$AH$206,'Oct'!$D$27:$AH$206,'Nov'!$D$27:$AH$206,'Dec'!$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MONTH(A96),'Jan'!$D$27:$AH$206,'Feb'!$D$27:$AH$206,'Mar'!$D$27:$AH$206,'Apr'!$D$27:$AH$206,'May'!$D$27:$AH$206,'Jun'!$D$27:$AH$206,'Jul'!$D$27:$AH$206,'Aug'!$D$27:$AH$206,'Sep'!$D$27:$AH$206,'Oct'!$D$27:$AH$206,'Nov'!$D$27:$AH$206,'Dec'!$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MONTH(A97),'Jan'!$D$27:$AH$206,'Feb'!$D$27:$AH$206,'Mar'!$D$27:$AH$206,'Apr'!$D$27:$AH$206,'May'!$D$27:$AH$206,'Jun'!$D$27:$AH$206,'Jul'!$D$27:$AH$206,'Aug'!$D$27:$AH$206,'Sep'!$D$27:$AH$206,'Oct'!$D$27:$AH$206,'Nov'!$D$27:$AH$206,'Dec'!$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MONTH(A98),'Jan'!$D$27:$AH$206,'Feb'!$D$27:$AH$206,'Mar'!$D$27:$AH$206,'Apr'!$D$27:$AH$206,'May'!$D$27:$AH$206,'Jun'!$D$27:$AH$206,'Jul'!$D$27:$AH$206,'Aug'!$D$27:$AH$206,'Sep'!$D$27:$AH$206,'Oct'!$D$27:$AH$206,'Nov'!$D$27:$AH$206,'Dec'!$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MONTH(A99),'Jan'!$D$27:$AH$206,'Feb'!$D$27:$AH$206,'Mar'!$D$27:$AH$206,'Apr'!$D$27:$AH$206,'May'!$D$27:$AH$206,'Jun'!$D$27:$AH$206,'Jul'!$D$27:$AH$206,'Aug'!$D$27:$AH$206,'Sep'!$D$27:$AH$206,'Oct'!$D$27:$AH$206,'Nov'!$D$27:$AH$206,'Dec'!$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MONTH(A100),'Jan'!$D$27:$AH$206,'Feb'!$D$27:$AH$206,'Mar'!$D$27:$AH$206,'Apr'!$D$27:$AH$206,'May'!$D$27:$AH$206,'Jun'!$D$27:$AH$206,'Jul'!$D$27:$AH$206,'Aug'!$D$27:$AH$206,'Sep'!$D$27:$AH$206,'Oct'!$D$27:$AH$206,'Nov'!$D$27:$AH$206,'Dec'!$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MONTH(A101),'Jan'!$D$27:$AH$206,'Feb'!$D$27:$AH$206,'Mar'!$D$27:$AH$206,'Apr'!$D$27:$AH$206,'May'!$D$27:$AH$206,'Jun'!$D$27:$AH$206,'Jul'!$D$27:$AH$206,'Aug'!$D$27:$AH$206,'Sep'!$D$27:$AH$206,'Oct'!$D$27:$AH$206,'Nov'!$D$27:$AH$206,'Dec'!$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MONTH(A102),'Jan'!$D$27:$AH$206,'Feb'!$D$27:$AH$206,'Mar'!$D$27:$AH$206,'Apr'!$D$27:$AH$206,'May'!$D$27:$AH$206,'Jun'!$D$27:$AH$206,'Jul'!$D$27:$AH$206,'Aug'!$D$27:$AH$206,'Sep'!$D$27:$AH$206,'Oct'!$D$27:$AH$206,'Nov'!$D$27:$AH$206,'Dec'!$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MONTH(A103),'Jan'!$D$27:$AH$206,'Feb'!$D$27:$AH$206,'Mar'!$D$27:$AH$206,'Apr'!$D$27:$AH$206,'May'!$D$27:$AH$206,'Jun'!$D$27:$AH$206,'Jul'!$D$27:$AH$206,'Aug'!$D$27:$AH$206,'Sep'!$D$27:$AH$206,'Oct'!$D$27:$AH$206,'Nov'!$D$27:$AH$206,'Dec'!$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MONTH(A104),'Jan'!$D$27:$AH$206,'Feb'!$D$27:$AH$206,'Mar'!$D$27:$AH$206,'Apr'!$D$27:$AH$206,'May'!$D$27:$AH$206,'Jun'!$D$27:$AH$206,'Jul'!$D$27:$AH$206,'Aug'!$D$27:$AH$206,'Sep'!$D$27:$AH$206,'Oct'!$D$27:$AH$206,'Nov'!$D$27:$AH$206,'Dec'!$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MONTH(A105),'Jan'!$D$27:$AH$206,'Feb'!$D$27:$AH$206,'Mar'!$D$27:$AH$206,'Apr'!$D$27:$AH$206,'May'!$D$27:$AH$206,'Jun'!$D$27:$AH$206,'Jul'!$D$27:$AH$206,'Aug'!$D$27:$AH$206,'Sep'!$D$27:$AH$206,'Oct'!$D$27:$AH$206,'Nov'!$D$27:$AH$206,'Dec'!$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MONTH(A106),'Jan'!$D$27:$AH$206,'Feb'!$D$27:$AH$206,'Mar'!$D$27:$AH$206,'Apr'!$D$27:$AH$206,'May'!$D$27:$AH$206,'Jun'!$D$27:$AH$206,'Jul'!$D$27:$AH$206,'Aug'!$D$27:$AH$206,'Sep'!$D$27:$AH$206,'Oct'!$D$27:$AH$206,'Nov'!$D$27:$AH$206,'Dec'!$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MONTH(A107),'Jan'!$D$27:$AH$206,'Feb'!$D$27:$AH$206,'Mar'!$D$27:$AH$206,'Apr'!$D$27:$AH$206,'May'!$D$27:$AH$206,'Jun'!$D$27:$AH$206,'Jul'!$D$27:$AH$206,'Aug'!$D$27:$AH$206,'Sep'!$D$27:$AH$206,'Oct'!$D$27:$AH$206,'Nov'!$D$27:$AH$206,'Dec'!$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MONTH(A108),'Jan'!$D$27:$AH$206,'Feb'!$D$27:$AH$206,'Mar'!$D$27:$AH$206,'Apr'!$D$27:$AH$206,'May'!$D$27:$AH$206,'Jun'!$D$27:$AH$206,'Jul'!$D$27:$AH$206,'Aug'!$D$27:$AH$206,'Sep'!$D$27:$AH$206,'Oct'!$D$27:$AH$206,'Nov'!$D$27:$AH$206,'Dec'!$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MONTH(A109),'Jan'!$D$27:$AH$206,'Feb'!$D$27:$AH$206,'Mar'!$D$27:$AH$206,'Apr'!$D$27:$AH$206,'May'!$D$27:$AH$206,'Jun'!$D$27:$AH$206,'Jul'!$D$27:$AH$206,'Aug'!$D$27:$AH$206,'Sep'!$D$27:$AH$206,'Oct'!$D$27:$AH$206,'Nov'!$D$27:$AH$206,'Dec'!$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MONTH(A110),'Jan'!$D$27:$AH$206,'Feb'!$D$27:$AH$206,'Mar'!$D$27:$AH$206,'Apr'!$D$27:$AH$206,'May'!$D$27:$AH$206,'Jun'!$D$27:$AH$206,'Jul'!$D$27:$AH$206,'Aug'!$D$27:$AH$206,'Sep'!$D$27:$AH$206,'Oct'!$D$27:$AH$206,'Nov'!$D$27:$AH$206,'Dec'!$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MONTH(A111),'Jan'!$D$27:$AH$206,'Feb'!$D$27:$AH$206,'Mar'!$D$27:$AH$206,'Apr'!$D$27:$AH$206,'May'!$D$27:$AH$206,'Jun'!$D$27:$AH$206,'Jul'!$D$27:$AH$206,'Aug'!$D$27:$AH$206,'Sep'!$D$27:$AH$206,'Oct'!$D$27:$AH$206,'Nov'!$D$27:$AH$206,'Dec'!$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MONTH(A112),'Jan'!$D$27:$AH$206,'Feb'!$D$27:$AH$206,'Mar'!$D$27:$AH$206,'Apr'!$D$27:$AH$206,'May'!$D$27:$AH$206,'Jun'!$D$27:$AH$206,'Jul'!$D$27:$AH$206,'Aug'!$D$27:$AH$206,'Sep'!$D$27:$AH$206,'Oct'!$D$27:$AH$206,'Nov'!$D$27:$AH$206,'Dec'!$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MONTH(A113),'Jan'!$D$27:$AH$206,'Feb'!$D$27:$AH$206,'Mar'!$D$27:$AH$206,'Apr'!$D$27:$AH$206,'May'!$D$27:$AH$206,'Jun'!$D$27:$AH$206,'Jul'!$D$27:$AH$206,'Aug'!$D$27:$AH$206,'Sep'!$D$27:$AH$206,'Oct'!$D$27:$AH$206,'Nov'!$D$27:$AH$206,'Dec'!$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MONTH(A114),'Jan'!$D$27:$AH$206,'Feb'!$D$27:$AH$206,'Mar'!$D$27:$AH$206,'Apr'!$D$27:$AH$206,'May'!$D$27:$AH$206,'Jun'!$D$27:$AH$206,'Jul'!$D$27:$AH$206,'Aug'!$D$27:$AH$206,'Sep'!$D$27:$AH$206,'Oct'!$D$27:$AH$206,'Nov'!$D$27:$AH$206,'Dec'!$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MONTH(A115),'Jan'!$D$27:$AH$206,'Feb'!$D$27:$AH$206,'Mar'!$D$27:$AH$206,'Apr'!$D$27:$AH$206,'May'!$D$27:$AH$206,'Jun'!$D$27:$AH$206,'Jul'!$D$27:$AH$206,'Aug'!$D$27:$AH$206,'Sep'!$D$27:$AH$206,'Oct'!$D$27:$AH$206,'Nov'!$D$27:$AH$206,'Dec'!$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MONTH(A116),'Jan'!$D$27:$AH$206,'Feb'!$D$27:$AH$206,'Mar'!$D$27:$AH$206,'Apr'!$D$27:$AH$206,'May'!$D$27:$AH$206,'Jun'!$D$27:$AH$206,'Jul'!$D$27:$AH$206,'Aug'!$D$27:$AH$206,'Sep'!$D$27:$AH$206,'Oct'!$D$27:$AH$206,'Nov'!$D$27:$AH$206,'Dec'!$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MONTH(A117),'Jan'!$D$27:$AH$206,'Feb'!$D$27:$AH$206,'Mar'!$D$27:$AH$206,'Apr'!$D$27:$AH$206,'May'!$D$27:$AH$206,'Jun'!$D$27:$AH$206,'Jul'!$D$27:$AH$206,'Aug'!$D$27:$AH$206,'Sep'!$D$27:$AH$206,'Oct'!$D$27:$AH$206,'Nov'!$D$27:$AH$206,'Dec'!$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MONTH(A118),'Jan'!$D$27:$AH$206,'Feb'!$D$27:$AH$206,'Mar'!$D$27:$AH$206,'Apr'!$D$27:$AH$206,'May'!$D$27:$AH$206,'Jun'!$D$27:$AH$206,'Jul'!$D$27:$AH$206,'Aug'!$D$27:$AH$206,'Sep'!$D$27:$AH$206,'Oct'!$D$27:$AH$206,'Nov'!$D$27:$AH$206,'Dec'!$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MONTH(A119),'Jan'!$D$27:$AH$206,'Feb'!$D$27:$AH$206,'Mar'!$D$27:$AH$206,'Apr'!$D$27:$AH$206,'May'!$D$27:$AH$206,'Jun'!$D$27:$AH$206,'Jul'!$D$27:$AH$206,'Aug'!$D$27:$AH$206,'Sep'!$D$27:$AH$206,'Oct'!$D$27:$AH$206,'Nov'!$D$27:$AH$206,'Dec'!$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MONTH(A120),'Jan'!$D$27:$AH$206,'Feb'!$D$27:$AH$206,'Mar'!$D$27:$AH$206,'Apr'!$D$27:$AH$206,'May'!$D$27:$AH$206,'Jun'!$D$27:$AH$206,'Jul'!$D$27:$AH$206,'Aug'!$D$27:$AH$206,'Sep'!$D$27:$AH$206,'Oct'!$D$27:$AH$206,'Nov'!$D$27:$AH$206,'Dec'!$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MONTH(A121),'Jan'!$D$27:$AH$206,'Feb'!$D$27:$AH$206,'Mar'!$D$27:$AH$206,'Apr'!$D$27:$AH$206,'May'!$D$27:$AH$206,'Jun'!$D$27:$AH$206,'Jul'!$D$27:$AH$206,'Aug'!$D$27:$AH$206,'Sep'!$D$27:$AH$206,'Oct'!$D$27:$AH$206,'Nov'!$D$27:$AH$206,'Dec'!$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MONTH(A122),'Jan'!$D$27:$AH$206,'Feb'!$D$27:$AH$206,'Mar'!$D$27:$AH$206,'Apr'!$D$27:$AH$206,'May'!$D$27:$AH$206,'Jun'!$D$27:$AH$206,'Jul'!$D$27:$AH$206,'Aug'!$D$27:$AH$206,'Sep'!$D$27:$AH$206,'Oct'!$D$27:$AH$206,'Nov'!$D$27:$AH$206,'Dec'!$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MONTH(A123),'Jan'!$D$27:$AH$206,'Feb'!$D$27:$AH$206,'Mar'!$D$27:$AH$206,'Apr'!$D$27:$AH$206,'May'!$D$27:$AH$206,'Jun'!$D$27:$AH$206,'Jul'!$D$27:$AH$206,'Aug'!$D$27:$AH$206,'Sep'!$D$27:$AH$206,'Oct'!$D$27:$AH$206,'Nov'!$D$27:$AH$206,'Dec'!$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MONTH(A124),'Jan'!$D$27:$AH$206,'Feb'!$D$27:$AH$206,'Mar'!$D$27:$AH$206,'Apr'!$D$27:$AH$206,'May'!$D$27:$AH$206,'Jun'!$D$27:$AH$206,'Jul'!$D$27:$AH$206,'Aug'!$D$27:$AH$206,'Sep'!$D$27:$AH$206,'Oct'!$D$27:$AH$206,'Nov'!$D$27:$AH$206,'Dec'!$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MONTH(A125),'Jan'!$D$27:$AH$206,'Feb'!$D$27:$AH$206,'Mar'!$D$27:$AH$206,'Apr'!$D$27:$AH$206,'May'!$D$27:$AH$206,'Jun'!$D$27:$AH$206,'Jul'!$D$27:$AH$206,'Aug'!$D$27:$AH$206,'Sep'!$D$27:$AH$206,'Oct'!$D$27:$AH$206,'Nov'!$D$27:$AH$206,'Dec'!$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MONTH(A126),'Jan'!$D$27:$AH$206,'Feb'!$D$27:$AH$206,'Mar'!$D$27:$AH$206,'Apr'!$D$27:$AH$206,'May'!$D$27:$AH$206,'Jun'!$D$27:$AH$206,'Jul'!$D$27:$AH$206,'Aug'!$D$27:$AH$206,'Sep'!$D$27:$AH$206,'Oct'!$D$27:$AH$206,'Nov'!$D$27:$AH$206,'Dec'!$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MONTH(A127),'Jan'!$D$27:$AH$206,'Feb'!$D$27:$AH$206,'Mar'!$D$27:$AH$206,'Apr'!$D$27:$AH$206,'May'!$D$27:$AH$206,'Jun'!$D$27:$AH$206,'Jul'!$D$27:$AH$206,'Aug'!$D$27:$AH$206,'Sep'!$D$27:$AH$206,'Oct'!$D$27:$AH$206,'Nov'!$D$27:$AH$206,'Dec'!$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MONTH(A128),'Jan'!$D$27:$AH$206,'Feb'!$D$27:$AH$206,'Mar'!$D$27:$AH$206,'Apr'!$D$27:$AH$206,'May'!$D$27:$AH$206,'Jun'!$D$27:$AH$206,'Jul'!$D$27:$AH$206,'Aug'!$D$27:$AH$206,'Sep'!$D$27:$AH$206,'Oct'!$D$27:$AH$206,'Nov'!$D$27:$AH$206,'Dec'!$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MONTH(A129),'Jan'!$D$27:$AH$206,'Feb'!$D$27:$AH$206,'Mar'!$D$27:$AH$206,'Apr'!$D$27:$AH$206,'May'!$D$27:$AH$206,'Jun'!$D$27:$AH$206,'Jul'!$D$27:$AH$206,'Aug'!$D$27:$AH$206,'Sep'!$D$27:$AH$206,'Oct'!$D$27:$AH$206,'Nov'!$D$27:$AH$206,'Dec'!$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MONTH(A130),'Jan'!$D$27:$AH$206,'Feb'!$D$27:$AH$206,'Mar'!$D$27:$AH$206,'Apr'!$D$27:$AH$206,'May'!$D$27:$AH$206,'Jun'!$D$27:$AH$206,'Jul'!$D$27:$AH$206,'Aug'!$D$27:$AH$206,'Sep'!$D$27:$AH$206,'Oct'!$D$27:$AH$206,'Nov'!$D$27:$AH$206,'Dec'!$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MONTH(A131),'Jan'!$D$27:$AH$206,'Feb'!$D$27:$AH$206,'Mar'!$D$27:$AH$206,'Apr'!$D$27:$AH$206,'May'!$D$27:$AH$206,'Jun'!$D$27:$AH$206,'Jul'!$D$27:$AH$206,'Aug'!$D$27:$AH$206,'Sep'!$D$27:$AH$206,'Oct'!$D$27:$AH$206,'Nov'!$D$27:$AH$206,'Dec'!$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MONTH(A132),'Jan'!$D$27:$AH$206,'Feb'!$D$27:$AH$206,'Mar'!$D$27:$AH$206,'Apr'!$D$27:$AH$206,'May'!$D$27:$AH$206,'Jun'!$D$27:$AH$206,'Jul'!$D$27:$AH$206,'Aug'!$D$27:$AH$206,'Sep'!$D$27:$AH$206,'Oct'!$D$27:$AH$206,'Nov'!$D$27:$AH$206,'Dec'!$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MONTH(A133),'Jan'!$D$27:$AH$206,'Feb'!$D$27:$AH$206,'Mar'!$D$27:$AH$206,'Apr'!$D$27:$AH$206,'May'!$D$27:$AH$206,'Jun'!$D$27:$AH$206,'Jul'!$D$27:$AH$206,'Aug'!$D$27:$AH$206,'Sep'!$D$27:$AH$206,'Oct'!$D$27:$AH$206,'Nov'!$D$27:$AH$206,'Dec'!$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MONTH(A134),'Jan'!$D$27:$AH$206,'Feb'!$D$27:$AH$206,'Mar'!$D$27:$AH$206,'Apr'!$D$27:$AH$206,'May'!$D$27:$AH$206,'Jun'!$D$27:$AH$206,'Jul'!$D$27:$AH$206,'Aug'!$D$27:$AH$206,'Sep'!$D$27:$AH$206,'Oct'!$D$27:$AH$206,'Nov'!$D$27:$AH$206,'Dec'!$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MONTH(A135),'Jan'!$D$27:$AH$206,'Feb'!$D$27:$AH$206,'Mar'!$D$27:$AH$206,'Apr'!$D$27:$AH$206,'May'!$D$27:$AH$206,'Jun'!$D$27:$AH$206,'Jul'!$D$27:$AH$206,'Aug'!$D$27:$AH$206,'Sep'!$D$27:$AH$206,'Oct'!$D$27:$AH$206,'Nov'!$D$27:$AH$206,'Dec'!$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MONTH(A136),'Jan'!$D$27:$AH$206,'Feb'!$D$27:$AH$206,'Mar'!$D$27:$AH$206,'Apr'!$D$27:$AH$206,'May'!$D$27:$AH$206,'Jun'!$D$27:$AH$206,'Jul'!$D$27:$AH$206,'Aug'!$D$27:$AH$206,'Sep'!$D$27:$AH$206,'Oct'!$D$27:$AH$206,'Nov'!$D$27:$AH$206,'Dec'!$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MONTH(A137),'Jan'!$D$27:$AH$206,'Feb'!$D$27:$AH$206,'Mar'!$D$27:$AH$206,'Apr'!$D$27:$AH$206,'May'!$D$27:$AH$206,'Jun'!$D$27:$AH$206,'Jul'!$D$27:$AH$206,'Aug'!$D$27:$AH$206,'Sep'!$D$27:$AH$206,'Oct'!$D$27:$AH$206,'Nov'!$D$27:$AH$206,'Dec'!$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MONTH(A138),'Jan'!$D$27:$AH$206,'Feb'!$D$27:$AH$206,'Mar'!$D$27:$AH$206,'Apr'!$D$27:$AH$206,'May'!$D$27:$AH$206,'Jun'!$D$27:$AH$206,'Jul'!$D$27:$AH$206,'Aug'!$D$27:$AH$206,'Sep'!$D$27:$AH$206,'Oct'!$D$27:$AH$206,'Nov'!$D$27:$AH$206,'Dec'!$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MONTH(A139),'Jan'!$D$27:$AH$206,'Feb'!$D$27:$AH$206,'Mar'!$D$27:$AH$206,'Apr'!$D$27:$AH$206,'May'!$D$27:$AH$206,'Jun'!$D$27:$AH$206,'Jul'!$D$27:$AH$206,'Aug'!$D$27:$AH$206,'Sep'!$D$27:$AH$206,'Oct'!$D$27:$AH$206,'Nov'!$D$27:$AH$206,'Dec'!$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MONTH(A140),'Jan'!$D$27:$AH$206,'Feb'!$D$27:$AH$206,'Mar'!$D$27:$AH$206,'Apr'!$D$27:$AH$206,'May'!$D$27:$AH$206,'Jun'!$D$27:$AH$206,'Jul'!$D$27:$AH$206,'Aug'!$D$27:$AH$206,'Sep'!$D$27:$AH$206,'Oct'!$D$27:$AH$206,'Nov'!$D$27:$AH$206,'Dec'!$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MONTH(A141),'Jan'!$D$27:$AH$206,'Feb'!$D$27:$AH$206,'Mar'!$D$27:$AH$206,'Apr'!$D$27:$AH$206,'May'!$D$27:$AH$206,'Jun'!$D$27:$AH$206,'Jul'!$D$27:$AH$206,'Aug'!$D$27:$AH$206,'Sep'!$D$27:$AH$206,'Oct'!$D$27:$AH$206,'Nov'!$D$27:$AH$206,'Dec'!$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MONTH(A142),'Jan'!$D$27:$AH$206,'Feb'!$D$27:$AH$206,'Mar'!$D$27:$AH$206,'Apr'!$D$27:$AH$206,'May'!$D$27:$AH$206,'Jun'!$D$27:$AH$206,'Jul'!$D$27:$AH$206,'Aug'!$D$27:$AH$206,'Sep'!$D$27:$AH$206,'Oct'!$D$27:$AH$206,'Nov'!$D$27:$AH$206,'Dec'!$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MONTH(A143),'Jan'!$D$27:$AH$206,'Feb'!$D$27:$AH$206,'Mar'!$D$27:$AH$206,'Apr'!$D$27:$AH$206,'May'!$D$27:$AH$206,'Jun'!$D$27:$AH$206,'Jul'!$D$27:$AH$206,'Aug'!$D$27:$AH$206,'Sep'!$D$27:$AH$206,'Oct'!$D$27:$AH$206,'Nov'!$D$27:$AH$206,'Dec'!$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MONTH(A144),'Jan'!$D$27:$AH$206,'Feb'!$D$27:$AH$206,'Mar'!$D$27:$AH$206,'Apr'!$D$27:$AH$206,'May'!$D$27:$AH$206,'Jun'!$D$27:$AH$206,'Jul'!$D$27:$AH$206,'Aug'!$D$27:$AH$206,'Sep'!$D$27:$AH$206,'Oct'!$D$27:$AH$206,'Nov'!$D$27:$AH$206,'Dec'!$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MONTH(A145),'Jan'!$D$27:$AH$206,'Feb'!$D$27:$AH$206,'Mar'!$D$27:$AH$206,'Apr'!$D$27:$AH$206,'May'!$D$27:$AH$206,'Jun'!$D$27:$AH$206,'Jul'!$D$27:$AH$206,'Aug'!$D$27:$AH$206,'Sep'!$D$27:$AH$206,'Oct'!$D$27:$AH$206,'Nov'!$D$27:$AH$206,'Dec'!$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MONTH(A146),'Jan'!$D$27:$AH$206,'Feb'!$D$27:$AH$206,'Mar'!$D$27:$AH$206,'Apr'!$D$27:$AH$206,'May'!$D$27:$AH$206,'Jun'!$D$27:$AH$206,'Jul'!$D$27:$AH$206,'Aug'!$D$27:$AH$206,'Sep'!$D$27:$AH$206,'Oct'!$D$27:$AH$206,'Nov'!$D$27:$AH$206,'Dec'!$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MONTH(A147),'Jan'!$D$27:$AH$206,'Feb'!$D$27:$AH$206,'Mar'!$D$27:$AH$206,'Apr'!$D$27:$AH$206,'May'!$D$27:$AH$206,'Jun'!$D$27:$AH$206,'Jul'!$D$27:$AH$206,'Aug'!$D$27:$AH$206,'Sep'!$D$27:$AH$206,'Oct'!$D$27:$AH$206,'Nov'!$D$27:$AH$206,'Dec'!$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MONTH(A148),'Jan'!$D$27:$AH$206,'Feb'!$D$27:$AH$206,'Mar'!$D$27:$AH$206,'Apr'!$D$27:$AH$206,'May'!$D$27:$AH$206,'Jun'!$D$27:$AH$206,'Jul'!$D$27:$AH$206,'Aug'!$D$27:$AH$206,'Sep'!$D$27:$AH$206,'Oct'!$D$27:$AH$206,'Nov'!$D$27:$AH$206,'Dec'!$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MONTH(A149),'Jan'!$D$27:$AH$206,'Feb'!$D$27:$AH$206,'Mar'!$D$27:$AH$206,'Apr'!$D$27:$AH$206,'May'!$D$27:$AH$206,'Jun'!$D$27:$AH$206,'Jul'!$D$27:$AH$206,'Aug'!$D$27:$AH$206,'Sep'!$D$27:$AH$206,'Oct'!$D$27:$AH$206,'Nov'!$D$27:$AH$206,'Dec'!$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MONTH(A150),'Jan'!$D$27:$AH$206,'Feb'!$D$27:$AH$206,'Mar'!$D$27:$AH$206,'Apr'!$D$27:$AH$206,'May'!$D$27:$AH$206,'Jun'!$D$27:$AH$206,'Jul'!$D$27:$AH$206,'Aug'!$D$27:$AH$206,'Sep'!$D$27:$AH$206,'Oct'!$D$27:$AH$206,'Nov'!$D$27:$AH$206,'Dec'!$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MONTH(A151),'Jan'!$D$27:$AH$206,'Feb'!$D$27:$AH$206,'Mar'!$D$27:$AH$206,'Apr'!$D$27:$AH$206,'May'!$D$27:$AH$206,'Jun'!$D$27:$AH$206,'Jul'!$D$27:$AH$206,'Aug'!$D$27:$AH$206,'Sep'!$D$27:$AH$206,'Oct'!$D$27:$AH$206,'Nov'!$D$27:$AH$206,'Dec'!$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MONTH(A152),'Jan'!$D$27:$AH$206,'Feb'!$D$27:$AH$206,'Mar'!$D$27:$AH$206,'Apr'!$D$27:$AH$206,'May'!$D$27:$AH$206,'Jun'!$D$27:$AH$206,'Jul'!$D$27:$AH$206,'Aug'!$D$27:$AH$206,'Sep'!$D$27:$AH$206,'Oct'!$D$27:$AH$206,'Nov'!$D$27:$AH$206,'Dec'!$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MONTH(A153),'Jan'!$D$27:$AH$206,'Feb'!$D$27:$AH$206,'Mar'!$D$27:$AH$206,'Apr'!$D$27:$AH$206,'May'!$D$27:$AH$206,'Jun'!$D$27:$AH$206,'Jul'!$D$27:$AH$206,'Aug'!$D$27:$AH$206,'Sep'!$D$27:$AH$206,'Oct'!$D$27:$AH$206,'Nov'!$D$27:$AH$206,'Dec'!$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MONTH(A154),'Jan'!$D$27:$AH$206,'Feb'!$D$27:$AH$206,'Mar'!$D$27:$AH$206,'Apr'!$D$27:$AH$206,'May'!$D$27:$AH$206,'Jun'!$D$27:$AH$206,'Jul'!$D$27:$AH$206,'Aug'!$D$27:$AH$206,'Sep'!$D$27:$AH$206,'Oct'!$D$27:$AH$206,'Nov'!$D$27:$AH$206,'Dec'!$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MONTH(A155),'Jan'!$D$27:$AH$206,'Feb'!$D$27:$AH$206,'Mar'!$D$27:$AH$206,'Apr'!$D$27:$AH$206,'May'!$D$27:$AH$206,'Jun'!$D$27:$AH$206,'Jul'!$D$27:$AH$206,'Aug'!$D$27:$AH$206,'Sep'!$D$27:$AH$206,'Oct'!$D$27:$AH$206,'Nov'!$D$27:$AH$206,'Dec'!$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MONTH(A156),'Jan'!$D$27:$AH$206,'Feb'!$D$27:$AH$206,'Mar'!$D$27:$AH$206,'Apr'!$D$27:$AH$206,'May'!$D$27:$AH$206,'Jun'!$D$27:$AH$206,'Jul'!$D$27:$AH$206,'Aug'!$D$27:$AH$206,'Sep'!$D$27:$AH$206,'Oct'!$D$27:$AH$206,'Nov'!$D$27:$AH$206,'Dec'!$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MONTH(A157),'Jan'!$D$27:$AH$206,'Feb'!$D$27:$AH$206,'Mar'!$D$27:$AH$206,'Apr'!$D$27:$AH$206,'May'!$D$27:$AH$206,'Jun'!$D$27:$AH$206,'Jul'!$D$27:$AH$206,'Aug'!$D$27:$AH$206,'Sep'!$D$27:$AH$206,'Oct'!$D$27:$AH$206,'Nov'!$D$27:$AH$206,'Dec'!$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MONTH(A158),'Jan'!$D$27:$AH$206,'Feb'!$D$27:$AH$206,'Mar'!$D$27:$AH$206,'Apr'!$D$27:$AH$206,'May'!$D$27:$AH$206,'Jun'!$D$27:$AH$206,'Jul'!$D$27:$AH$206,'Aug'!$D$27:$AH$206,'Sep'!$D$27:$AH$206,'Oct'!$D$27:$AH$206,'Nov'!$D$27:$AH$206,'Dec'!$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MONTH(A159),'Jan'!$D$27:$AH$206,'Feb'!$D$27:$AH$206,'Mar'!$D$27:$AH$206,'Apr'!$D$27:$AH$206,'May'!$D$27:$AH$206,'Jun'!$D$27:$AH$206,'Jul'!$D$27:$AH$206,'Aug'!$D$27:$AH$206,'Sep'!$D$27:$AH$206,'Oct'!$D$27:$AH$206,'Nov'!$D$27:$AH$206,'Dec'!$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MONTH(A160),'Jan'!$D$27:$AH$206,'Feb'!$D$27:$AH$206,'Mar'!$D$27:$AH$206,'Apr'!$D$27:$AH$206,'May'!$D$27:$AH$206,'Jun'!$D$27:$AH$206,'Jul'!$D$27:$AH$206,'Aug'!$D$27:$AH$206,'Sep'!$D$27:$AH$206,'Oct'!$D$27:$AH$206,'Nov'!$D$27:$AH$206,'Dec'!$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MONTH(A161),'Jan'!$D$27:$AH$206,'Feb'!$D$27:$AH$206,'Mar'!$D$27:$AH$206,'Apr'!$D$27:$AH$206,'May'!$D$27:$AH$206,'Jun'!$D$27:$AH$206,'Jul'!$D$27:$AH$206,'Aug'!$D$27:$AH$206,'Sep'!$D$27:$AH$206,'Oct'!$D$27:$AH$206,'Nov'!$D$27:$AH$206,'Dec'!$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MONTH(A162),'Jan'!$D$27:$AH$206,'Feb'!$D$27:$AH$206,'Mar'!$D$27:$AH$206,'Apr'!$D$27:$AH$206,'May'!$D$27:$AH$206,'Jun'!$D$27:$AH$206,'Jul'!$D$27:$AH$206,'Aug'!$D$27:$AH$206,'Sep'!$D$27:$AH$206,'Oct'!$D$27:$AH$206,'Nov'!$D$27:$AH$206,'Dec'!$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MONTH(A163),'Jan'!$D$27:$AH$206,'Feb'!$D$27:$AH$206,'Mar'!$D$27:$AH$206,'Apr'!$D$27:$AH$206,'May'!$D$27:$AH$206,'Jun'!$D$27:$AH$206,'Jul'!$D$27:$AH$206,'Aug'!$D$27:$AH$206,'Sep'!$D$27:$AH$206,'Oct'!$D$27:$AH$206,'Nov'!$D$27:$AH$206,'Dec'!$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MONTH(A164),'Jan'!$D$27:$AH$206,'Feb'!$D$27:$AH$206,'Mar'!$D$27:$AH$206,'Apr'!$D$27:$AH$206,'May'!$D$27:$AH$206,'Jun'!$D$27:$AH$206,'Jul'!$D$27:$AH$206,'Aug'!$D$27:$AH$206,'Sep'!$D$27:$AH$206,'Oct'!$D$27:$AH$206,'Nov'!$D$27:$AH$206,'Dec'!$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MONTH(A165),'Jan'!$D$27:$AH$206,'Feb'!$D$27:$AH$206,'Mar'!$D$27:$AH$206,'Apr'!$D$27:$AH$206,'May'!$D$27:$AH$206,'Jun'!$D$27:$AH$206,'Jul'!$D$27:$AH$206,'Aug'!$D$27:$AH$206,'Sep'!$D$27:$AH$206,'Oct'!$D$27:$AH$206,'Nov'!$D$27:$AH$206,'Dec'!$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MONTH(A166),'Jan'!$D$27:$AH$206,'Feb'!$D$27:$AH$206,'Mar'!$D$27:$AH$206,'Apr'!$D$27:$AH$206,'May'!$D$27:$AH$206,'Jun'!$D$27:$AH$206,'Jul'!$D$27:$AH$206,'Aug'!$D$27:$AH$206,'Sep'!$D$27:$AH$206,'Oct'!$D$27:$AH$206,'Nov'!$D$27:$AH$206,'Dec'!$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MONTH(A167),'Jan'!$D$27:$AH$206,'Feb'!$D$27:$AH$206,'Mar'!$D$27:$AH$206,'Apr'!$D$27:$AH$206,'May'!$D$27:$AH$206,'Jun'!$D$27:$AH$206,'Jul'!$D$27:$AH$206,'Aug'!$D$27:$AH$206,'Sep'!$D$27:$AH$206,'Oct'!$D$27:$AH$206,'Nov'!$D$27:$AH$206,'Dec'!$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MONTH(A168),'Jan'!$D$27:$AH$206,'Feb'!$D$27:$AH$206,'Mar'!$D$27:$AH$206,'Apr'!$D$27:$AH$206,'May'!$D$27:$AH$206,'Jun'!$D$27:$AH$206,'Jul'!$D$27:$AH$206,'Aug'!$D$27:$AH$206,'Sep'!$D$27:$AH$206,'Oct'!$D$27:$AH$206,'Nov'!$D$27:$AH$206,'Dec'!$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MONTH(A169),'Jan'!$D$27:$AH$206,'Feb'!$D$27:$AH$206,'Mar'!$D$27:$AH$206,'Apr'!$D$27:$AH$206,'May'!$D$27:$AH$206,'Jun'!$D$27:$AH$206,'Jul'!$D$27:$AH$206,'Aug'!$D$27:$AH$206,'Sep'!$D$27:$AH$206,'Oct'!$D$27:$AH$206,'Nov'!$D$27:$AH$206,'Dec'!$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MONTH(A170),'Jan'!$D$27:$AH$206,'Feb'!$D$27:$AH$206,'Mar'!$D$27:$AH$206,'Apr'!$D$27:$AH$206,'May'!$D$27:$AH$206,'Jun'!$D$27:$AH$206,'Jul'!$D$27:$AH$206,'Aug'!$D$27:$AH$206,'Sep'!$D$27:$AH$206,'Oct'!$D$27:$AH$206,'Nov'!$D$27:$AH$206,'Dec'!$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MONTH(A171),'Jan'!$D$27:$AH$206,'Feb'!$D$27:$AH$206,'Mar'!$D$27:$AH$206,'Apr'!$D$27:$AH$206,'May'!$D$27:$AH$206,'Jun'!$D$27:$AH$206,'Jul'!$D$27:$AH$206,'Aug'!$D$27:$AH$206,'Sep'!$D$27:$AH$206,'Oct'!$D$27:$AH$206,'Nov'!$D$27:$AH$206,'Dec'!$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MONTH(A172),'Jan'!$D$27:$AH$206,'Feb'!$D$27:$AH$206,'Mar'!$D$27:$AH$206,'Apr'!$D$27:$AH$206,'May'!$D$27:$AH$206,'Jun'!$D$27:$AH$206,'Jul'!$D$27:$AH$206,'Aug'!$D$27:$AH$206,'Sep'!$D$27:$AH$206,'Oct'!$D$27:$AH$206,'Nov'!$D$27:$AH$206,'Dec'!$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MONTH(A173),'Jan'!$D$27:$AH$206,'Feb'!$D$27:$AH$206,'Mar'!$D$27:$AH$206,'Apr'!$D$27:$AH$206,'May'!$D$27:$AH$206,'Jun'!$D$27:$AH$206,'Jul'!$D$27:$AH$206,'Aug'!$D$27:$AH$206,'Sep'!$D$27:$AH$206,'Oct'!$D$27:$AH$206,'Nov'!$D$27:$AH$206,'Dec'!$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MONTH(A174),'Jan'!$D$27:$AH$206,'Feb'!$D$27:$AH$206,'Mar'!$D$27:$AH$206,'Apr'!$D$27:$AH$206,'May'!$D$27:$AH$206,'Jun'!$D$27:$AH$206,'Jul'!$D$27:$AH$206,'Aug'!$D$27:$AH$206,'Sep'!$D$27:$AH$206,'Oct'!$D$27:$AH$206,'Nov'!$D$27:$AH$206,'Dec'!$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MONTH(A175),'Jan'!$D$27:$AH$206,'Feb'!$D$27:$AH$206,'Mar'!$D$27:$AH$206,'Apr'!$D$27:$AH$206,'May'!$D$27:$AH$206,'Jun'!$D$27:$AH$206,'Jul'!$D$27:$AH$206,'Aug'!$D$27:$AH$206,'Sep'!$D$27:$AH$206,'Oct'!$D$27:$AH$206,'Nov'!$D$27:$AH$206,'Dec'!$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MONTH(A176),'Jan'!$D$27:$AH$206,'Feb'!$D$27:$AH$206,'Mar'!$D$27:$AH$206,'Apr'!$D$27:$AH$206,'May'!$D$27:$AH$206,'Jun'!$D$27:$AH$206,'Jul'!$D$27:$AH$206,'Aug'!$D$27:$AH$206,'Sep'!$D$27:$AH$206,'Oct'!$D$27:$AH$206,'Nov'!$D$27:$AH$206,'Dec'!$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MONTH(A177),'Jan'!$D$27:$AH$206,'Feb'!$D$27:$AH$206,'Mar'!$D$27:$AH$206,'Apr'!$D$27:$AH$206,'May'!$D$27:$AH$206,'Jun'!$D$27:$AH$206,'Jul'!$D$27:$AH$206,'Aug'!$D$27:$AH$206,'Sep'!$D$27:$AH$206,'Oct'!$D$27:$AH$206,'Nov'!$D$27:$AH$206,'Dec'!$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MONTH(A178),'Jan'!$D$27:$AH$206,'Feb'!$D$27:$AH$206,'Mar'!$D$27:$AH$206,'Apr'!$D$27:$AH$206,'May'!$D$27:$AH$206,'Jun'!$D$27:$AH$206,'Jul'!$D$27:$AH$206,'Aug'!$D$27:$AH$206,'Sep'!$D$27:$AH$206,'Oct'!$D$27:$AH$206,'Nov'!$D$27:$AH$206,'Dec'!$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MONTH(A179),'Jan'!$D$27:$AH$206,'Feb'!$D$27:$AH$206,'Mar'!$D$27:$AH$206,'Apr'!$D$27:$AH$206,'May'!$D$27:$AH$206,'Jun'!$D$27:$AH$206,'Jul'!$D$27:$AH$206,'Aug'!$D$27:$AH$206,'Sep'!$D$27:$AH$206,'Oct'!$D$27:$AH$206,'Nov'!$D$27:$AH$206,'Dec'!$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MONTH(A180),'Jan'!$D$27:$AH$206,'Feb'!$D$27:$AH$206,'Mar'!$D$27:$AH$206,'Apr'!$D$27:$AH$206,'May'!$D$27:$AH$206,'Jun'!$D$27:$AH$206,'Jul'!$D$27:$AH$206,'Aug'!$D$27:$AH$206,'Sep'!$D$27:$AH$206,'Oct'!$D$27:$AH$206,'Nov'!$D$27:$AH$206,'Dec'!$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MONTH(A181),'Jan'!$D$27:$AH$206,'Feb'!$D$27:$AH$206,'Mar'!$D$27:$AH$206,'Apr'!$D$27:$AH$206,'May'!$D$27:$AH$206,'Jun'!$D$27:$AH$206,'Jul'!$D$27:$AH$206,'Aug'!$D$27:$AH$206,'Sep'!$D$27:$AH$206,'Oct'!$D$27:$AH$206,'Nov'!$D$27:$AH$206,'Dec'!$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MONTH(A182),'Jan'!$D$27:$AH$206,'Feb'!$D$27:$AH$206,'Mar'!$D$27:$AH$206,'Apr'!$D$27:$AH$206,'May'!$D$27:$AH$206,'Jun'!$D$27:$AH$206,'Jul'!$D$27:$AH$206,'Aug'!$D$27:$AH$206,'Sep'!$D$27:$AH$206,'Oct'!$D$27:$AH$206,'Nov'!$D$27:$AH$206,'Dec'!$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MONTH(A183),'Jan'!$D$27:$AH$206,'Feb'!$D$27:$AH$206,'Mar'!$D$27:$AH$206,'Apr'!$D$27:$AH$206,'May'!$D$27:$AH$206,'Jun'!$D$27:$AH$206,'Jul'!$D$27:$AH$206,'Aug'!$D$27:$AH$206,'Sep'!$D$27:$AH$206,'Oct'!$D$27:$AH$206,'Nov'!$D$27:$AH$206,'Dec'!$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MONTH(A184),'Jan'!$D$27:$AH$206,'Feb'!$D$27:$AH$206,'Mar'!$D$27:$AH$206,'Apr'!$D$27:$AH$206,'May'!$D$27:$AH$206,'Jun'!$D$27:$AH$206,'Jul'!$D$27:$AH$206,'Aug'!$D$27:$AH$206,'Sep'!$D$27:$AH$206,'Oct'!$D$27:$AH$206,'Nov'!$D$27:$AH$206,'Dec'!$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MONTH(A185),'Jan'!$D$27:$AH$206,'Feb'!$D$27:$AH$206,'Mar'!$D$27:$AH$206,'Apr'!$D$27:$AH$206,'May'!$D$27:$AH$206,'Jun'!$D$27:$AH$206,'Jul'!$D$27:$AH$206,'Aug'!$D$27:$AH$206,'Sep'!$D$27:$AH$206,'Oct'!$D$27:$AH$206,'Nov'!$D$27:$AH$206,'Dec'!$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MONTH(A186),'Jan'!$D$27:$AH$206,'Feb'!$D$27:$AH$206,'Mar'!$D$27:$AH$206,'Apr'!$D$27:$AH$206,'May'!$D$27:$AH$206,'Jun'!$D$27:$AH$206,'Jul'!$D$27:$AH$206,'Aug'!$D$27:$AH$206,'Sep'!$D$27:$AH$206,'Oct'!$D$27:$AH$206,'Nov'!$D$27:$AH$206,'Dec'!$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MONTH(A187),'Jan'!$D$27:$AH$206,'Feb'!$D$27:$AH$206,'Mar'!$D$27:$AH$206,'Apr'!$D$27:$AH$206,'May'!$D$27:$AH$206,'Jun'!$D$27:$AH$206,'Jul'!$D$27:$AH$206,'Aug'!$D$27:$AH$206,'Sep'!$D$27:$AH$206,'Oct'!$D$27:$AH$206,'Nov'!$D$27:$AH$206,'Dec'!$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MONTH(A188),'Jan'!$D$27:$AH$206,'Feb'!$D$27:$AH$206,'Mar'!$D$27:$AH$206,'Apr'!$D$27:$AH$206,'May'!$D$27:$AH$206,'Jun'!$D$27:$AH$206,'Jul'!$D$27:$AH$206,'Aug'!$D$27:$AH$206,'Sep'!$D$27:$AH$206,'Oct'!$D$27:$AH$206,'Nov'!$D$27:$AH$206,'Dec'!$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MONTH(A189),'Jan'!$D$27:$AH$206,'Feb'!$D$27:$AH$206,'Mar'!$D$27:$AH$206,'Apr'!$D$27:$AH$206,'May'!$D$27:$AH$206,'Jun'!$D$27:$AH$206,'Jul'!$D$27:$AH$206,'Aug'!$D$27:$AH$206,'Sep'!$D$27:$AH$206,'Oct'!$D$27:$AH$206,'Nov'!$D$27:$AH$206,'Dec'!$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MONTH(A190),'Jan'!$D$27:$AH$206,'Feb'!$D$27:$AH$206,'Mar'!$D$27:$AH$206,'Apr'!$D$27:$AH$206,'May'!$D$27:$AH$206,'Jun'!$D$27:$AH$206,'Jul'!$D$27:$AH$206,'Aug'!$D$27:$AH$206,'Sep'!$D$27:$AH$206,'Oct'!$D$27:$AH$206,'Nov'!$D$27:$AH$206,'Dec'!$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MONTH(A191),'Jan'!$D$27:$AH$206,'Feb'!$D$27:$AH$206,'Mar'!$D$27:$AH$206,'Apr'!$D$27:$AH$206,'May'!$D$27:$AH$206,'Jun'!$D$27:$AH$206,'Jul'!$D$27:$AH$206,'Aug'!$D$27:$AH$206,'Sep'!$D$27:$AH$206,'Oct'!$D$27:$AH$206,'Nov'!$D$27:$AH$206,'Dec'!$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MONTH(A192),'Jan'!$D$27:$AH$206,'Feb'!$D$27:$AH$206,'Mar'!$D$27:$AH$206,'Apr'!$D$27:$AH$206,'May'!$D$27:$AH$206,'Jun'!$D$27:$AH$206,'Jul'!$D$27:$AH$206,'Aug'!$D$27:$AH$206,'Sep'!$D$27:$AH$206,'Oct'!$D$27:$AH$206,'Nov'!$D$27:$AH$206,'Dec'!$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MONTH(A193),'Jan'!$D$27:$AH$206,'Feb'!$D$27:$AH$206,'Mar'!$D$27:$AH$206,'Apr'!$D$27:$AH$206,'May'!$D$27:$AH$206,'Jun'!$D$27:$AH$206,'Jul'!$D$27:$AH$206,'Aug'!$D$27:$AH$206,'Sep'!$D$27:$AH$206,'Oct'!$D$27:$AH$206,'Nov'!$D$27:$AH$206,'Dec'!$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MONTH(A194),'Jan'!$D$27:$AH$206,'Feb'!$D$27:$AH$206,'Mar'!$D$27:$AH$206,'Apr'!$D$27:$AH$206,'May'!$D$27:$AH$206,'Jun'!$D$27:$AH$206,'Jul'!$D$27:$AH$206,'Aug'!$D$27:$AH$206,'Sep'!$D$27:$AH$206,'Oct'!$D$27:$AH$206,'Nov'!$D$27:$AH$206,'Dec'!$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MONTH(A195),'Jan'!$D$27:$AH$206,'Feb'!$D$27:$AH$206,'Mar'!$D$27:$AH$206,'Apr'!$D$27:$AH$206,'May'!$D$27:$AH$206,'Jun'!$D$27:$AH$206,'Jul'!$D$27:$AH$206,'Aug'!$D$27:$AH$206,'Sep'!$D$27:$AH$206,'Oct'!$D$27:$AH$206,'Nov'!$D$27:$AH$206,'Dec'!$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MONTH(A196),'Jan'!$D$27:$AH$206,'Feb'!$D$27:$AH$206,'Mar'!$D$27:$AH$206,'Apr'!$D$27:$AH$206,'May'!$D$27:$AH$206,'Jun'!$D$27:$AH$206,'Jul'!$D$27:$AH$206,'Aug'!$D$27:$AH$206,'Sep'!$D$27:$AH$206,'Oct'!$D$27:$AH$206,'Nov'!$D$27:$AH$206,'Dec'!$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MONTH(A197),'Jan'!$D$27:$AH$206,'Feb'!$D$27:$AH$206,'Mar'!$D$27:$AH$206,'Apr'!$D$27:$AH$206,'May'!$D$27:$AH$206,'Jun'!$D$27:$AH$206,'Jul'!$D$27:$AH$206,'Aug'!$D$27:$AH$206,'Sep'!$D$27:$AH$206,'Oct'!$D$27:$AH$206,'Nov'!$D$27:$AH$206,'Dec'!$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MONTH(A198),'Jan'!$D$27:$AH$206,'Feb'!$D$27:$AH$206,'Mar'!$D$27:$AH$206,'Apr'!$D$27:$AH$206,'May'!$D$27:$AH$206,'Jun'!$D$27:$AH$206,'Jul'!$D$27:$AH$206,'Aug'!$D$27:$AH$206,'Sep'!$D$27:$AH$206,'Oct'!$D$27:$AH$206,'Nov'!$D$27:$AH$206,'Dec'!$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MONTH(A199),'Jan'!$D$27:$AH$206,'Feb'!$D$27:$AH$206,'Mar'!$D$27:$AH$206,'Apr'!$D$27:$AH$206,'May'!$D$27:$AH$206,'Jun'!$D$27:$AH$206,'Jul'!$D$27:$AH$206,'Aug'!$D$27:$AH$206,'Sep'!$D$27:$AH$206,'Oct'!$D$27:$AH$206,'Nov'!$D$27:$AH$206,'Dec'!$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MONTH(A200),'Jan'!$D$27:$AH$206,'Feb'!$D$27:$AH$206,'Mar'!$D$27:$AH$206,'Apr'!$D$27:$AH$206,'May'!$D$27:$AH$206,'Jun'!$D$27:$AH$206,'Jul'!$D$27:$AH$206,'Aug'!$D$27:$AH$206,'Sep'!$D$27:$AH$206,'Oct'!$D$27:$AH$206,'Nov'!$D$27:$AH$206,'Dec'!$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MONTH(A201),'Jan'!$D$27:$AH$206,'Feb'!$D$27:$AH$206,'Mar'!$D$27:$AH$206,'Apr'!$D$27:$AH$206,'May'!$D$27:$AH$206,'Jun'!$D$27:$AH$206,'Jul'!$D$27:$AH$206,'Aug'!$D$27:$AH$206,'Sep'!$D$27:$AH$206,'Oct'!$D$27:$AH$206,'Nov'!$D$27:$AH$206,'Dec'!$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MONTH(A202),'Jan'!$D$27:$AH$206,'Feb'!$D$27:$AH$206,'Mar'!$D$27:$AH$206,'Apr'!$D$27:$AH$206,'May'!$D$27:$AH$206,'Jun'!$D$27:$AH$206,'Jul'!$D$27:$AH$206,'Aug'!$D$27:$AH$206,'Sep'!$D$27:$AH$206,'Oct'!$D$27:$AH$206,'Nov'!$D$27:$AH$206,'Dec'!$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MONTH(A203),'Jan'!$D$27:$AH$206,'Feb'!$D$27:$AH$206,'Mar'!$D$27:$AH$206,'Apr'!$D$27:$AH$206,'May'!$D$27:$AH$206,'Jun'!$D$27:$AH$206,'Jul'!$D$27:$AH$206,'Aug'!$D$27:$AH$206,'Sep'!$D$27:$AH$206,'Oct'!$D$27:$AH$206,'Nov'!$D$27:$AH$206,'Dec'!$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MONTH(A204),'Jan'!$D$27:$AH$206,'Feb'!$D$27:$AH$206,'Mar'!$D$27:$AH$206,'Apr'!$D$27:$AH$206,'May'!$D$27:$AH$206,'Jun'!$D$27:$AH$206,'Jul'!$D$27:$AH$206,'Aug'!$D$27:$AH$206,'Sep'!$D$27:$AH$206,'Oct'!$D$27:$AH$206,'Nov'!$D$27:$AH$206,'Dec'!$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MONTH(A205),'Jan'!$D$27:$AH$206,'Feb'!$D$27:$AH$206,'Mar'!$D$27:$AH$206,'Apr'!$D$27:$AH$206,'May'!$D$27:$AH$206,'Jun'!$D$27:$AH$206,'Jul'!$D$27:$AH$206,'Aug'!$D$27:$AH$206,'Sep'!$D$27:$AH$206,'Oct'!$D$27:$AH$206,'Nov'!$D$27:$AH$206,'Dec'!$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MONTH(A206),'Jan'!$D$27:$AH$206,'Feb'!$D$27:$AH$206,'Mar'!$D$27:$AH$206,'Apr'!$D$27:$AH$206,'May'!$D$27:$AH$206,'Jun'!$D$27:$AH$206,'Jul'!$D$27:$AH$206,'Aug'!$D$27:$AH$206,'Sep'!$D$27:$AH$206,'Oct'!$D$27:$AH$206,'Nov'!$D$27:$AH$206,'Dec'!$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MONTH(A207),'Jan'!$D$27:$AH$206,'Feb'!$D$27:$AH$206,'Mar'!$D$27:$AH$206,'Apr'!$D$27:$AH$206,'May'!$D$27:$AH$206,'Jun'!$D$27:$AH$206,'Jul'!$D$27:$AH$206,'Aug'!$D$27:$AH$206,'Sep'!$D$27:$AH$206,'Oct'!$D$27:$AH$206,'Nov'!$D$27:$AH$206,'Dec'!$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MONTH(A208),'Jan'!$D$27:$AH$206,'Feb'!$D$27:$AH$206,'Mar'!$D$27:$AH$206,'Apr'!$D$27:$AH$206,'May'!$D$27:$AH$206,'Jun'!$D$27:$AH$206,'Jul'!$D$27:$AH$206,'Aug'!$D$27:$AH$206,'Sep'!$D$27:$AH$206,'Oct'!$D$27:$AH$206,'Nov'!$D$27:$AH$206,'Dec'!$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MONTH(A209),'Jan'!$D$27:$AH$206,'Feb'!$D$27:$AH$206,'Mar'!$D$27:$AH$206,'Apr'!$D$27:$AH$206,'May'!$D$27:$AH$206,'Jun'!$D$27:$AH$206,'Jul'!$D$27:$AH$206,'Aug'!$D$27:$AH$206,'Sep'!$D$27:$AH$206,'Oct'!$D$27:$AH$206,'Nov'!$D$27:$AH$206,'Dec'!$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MONTH(A210),'Jan'!$D$27:$AH$206,'Feb'!$D$27:$AH$206,'Mar'!$D$27:$AH$206,'Apr'!$D$27:$AH$206,'May'!$D$27:$AH$206,'Jun'!$D$27:$AH$206,'Jul'!$D$27:$AH$206,'Aug'!$D$27:$AH$206,'Sep'!$D$27:$AH$206,'Oct'!$D$27:$AH$206,'Nov'!$D$27:$AH$206,'Dec'!$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MONTH(A211),'Jan'!$D$27:$AH$206,'Feb'!$D$27:$AH$206,'Mar'!$D$27:$AH$206,'Apr'!$D$27:$AH$206,'May'!$D$27:$AH$206,'Jun'!$D$27:$AH$206,'Jul'!$D$27:$AH$206,'Aug'!$D$27:$AH$206,'Sep'!$D$27:$AH$206,'Oct'!$D$27:$AH$206,'Nov'!$D$27:$AH$206,'Dec'!$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MONTH(A212),'Jan'!$D$27:$AH$206,'Feb'!$D$27:$AH$206,'Mar'!$D$27:$AH$206,'Apr'!$D$27:$AH$206,'May'!$D$27:$AH$206,'Jun'!$D$27:$AH$206,'Jul'!$D$27:$AH$206,'Aug'!$D$27:$AH$206,'Sep'!$D$27:$AH$206,'Oct'!$D$27:$AH$206,'Nov'!$D$27:$AH$206,'Dec'!$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MONTH(A213),'Jan'!$D$27:$AH$206,'Feb'!$D$27:$AH$206,'Mar'!$D$27:$AH$206,'Apr'!$D$27:$AH$206,'May'!$D$27:$AH$206,'Jun'!$D$27:$AH$206,'Jul'!$D$27:$AH$206,'Aug'!$D$27:$AH$206,'Sep'!$D$27:$AH$206,'Oct'!$D$27:$AH$206,'Nov'!$D$27:$AH$206,'Dec'!$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MONTH(A214),'Jan'!$D$27:$AH$206,'Feb'!$D$27:$AH$206,'Mar'!$D$27:$AH$206,'Apr'!$D$27:$AH$206,'May'!$D$27:$AH$206,'Jun'!$D$27:$AH$206,'Jul'!$D$27:$AH$206,'Aug'!$D$27:$AH$206,'Sep'!$D$27:$AH$206,'Oct'!$D$27:$AH$206,'Nov'!$D$27:$AH$206,'Dec'!$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MONTH(A215),'Jan'!$D$27:$AH$206,'Feb'!$D$27:$AH$206,'Mar'!$D$27:$AH$206,'Apr'!$D$27:$AH$206,'May'!$D$27:$AH$206,'Jun'!$D$27:$AH$206,'Jul'!$D$27:$AH$206,'Aug'!$D$27:$AH$206,'Sep'!$D$27:$AH$206,'Oct'!$D$27:$AH$206,'Nov'!$D$27:$AH$206,'Dec'!$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MONTH(A216),'Jan'!$D$27:$AH$206,'Feb'!$D$27:$AH$206,'Mar'!$D$27:$AH$206,'Apr'!$D$27:$AH$206,'May'!$D$27:$AH$206,'Jun'!$D$27:$AH$206,'Jul'!$D$27:$AH$206,'Aug'!$D$27:$AH$206,'Sep'!$D$27:$AH$206,'Oct'!$D$27:$AH$206,'Nov'!$D$27:$AH$206,'Dec'!$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MONTH(A217),'Jan'!$D$27:$AH$206,'Feb'!$D$27:$AH$206,'Mar'!$D$27:$AH$206,'Apr'!$D$27:$AH$206,'May'!$D$27:$AH$206,'Jun'!$D$27:$AH$206,'Jul'!$D$27:$AH$206,'Aug'!$D$27:$AH$206,'Sep'!$D$27:$AH$206,'Oct'!$D$27:$AH$206,'Nov'!$D$27:$AH$206,'Dec'!$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MONTH(A218),'Jan'!$D$27:$AH$206,'Feb'!$D$27:$AH$206,'Mar'!$D$27:$AH$206,'Apr'!$D$27:$AH$206,'May'!$D$27:$AH$206,'Jun'!$D$27:$AH$206,'Jul'!$D$27:$AH$206,'Aug'!$D$27:$AH$206,'Sep'!$D$27:$AH$206,'Oct'!$D$27:$AH$206,'Nov'!$D$27:$AH$206,'Dec'!$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MONTH(A219),'Jan'!$D$27:$AH$206,'Feb'!$D$27:$AH$206,'Mar'!$D$27:$AH$206,'Apr'!$D$27:$AH$206,'May'!$D$27:$AH$206,'Jun'!$D$27:$AH$206,'Jul'!$D$27:$AH$206,'Aug'!$D$27:$AH$206,'Sep'!$D$27:$AH$206,'Oct'!$D$27:$AH$206,'Nov'!$D$27:$AH$206,'Dec'!$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MONTH(A220),'Jan'!$D$27:$AH$206,'Feb'!$D$27:$AH$206,'Mar'!$D$27:$AH$206,'Apr'!$D$27:$AH$206,'May'!$D$27:$AH$206,'Jun'!$D$27:$AH$206,'Jul'!$D$27:$AH$206,'Aug'!$D$27:$AH$206,'Sep'!$D$27:$AH$206,'Oct'!$D$27:$AH$206,'Nov'!$D$27:$AH$206,'Dec'!$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MONTH(A221),'Jan'!$D$27:$AH$206,'Feb'!$D$27:$AH$206,'Mar'!$D$27:$AH$206,'Apr'!$D$27:$AH$206,'May'!$D$27:$AH$206,'Jun'!$D$27:$AH$206,'Jul'!$D$27:$AH$206,'Aug'!$D$27:$AH$206,'Sep'!$D$27:$AH$206,'Oct'!$D$27:$AH$206,'Nov'!$D$27:$AH$206,'Dec'!$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MONTH(A222),'Jan'!$D$27:$AH$206,'Feb'!$D$27:$AH$206,'Mar'!$D$27:$AH$206,'Apr'!$D$27:$AH$206,'May'!$D$27:$AH$206,'Jun'!$D$27:$AH$206,'Jul'!$D$27:$AH$206,'Aug'!$D$27:$AH$206,'Sep'!$D$27:$AH$206,'Oct'!$D$27:$AH$206,'Nov'!$D$27:$AH$206,'Dec'!$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MONTH(A223),'Jan'!$D$27:$AH$206,'Feb'!$D$27:$AH$206,'Mar'!$D$27:$AH$206,'Apr'!$D$27:$AH$206,'May'!$D$27:$AH$206,'Jun'!$D$27:$AH$206,'Jul'!$D$27:$AH$206,'Aug'!$D$27:$AH$206,'Sep'!$D$27:$AH$206,'Oct'!$D$27:$AH$206,'Nov'!$D$27:$AH$206,'Dec'!$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MONTH(A224),'Jan'!$D$27:$AH$206,'Feb'!$D$27:$AH$206,'Mar'!$D$27:$AH$206,'Apr'!$D$27:$AH$206,'May'!$D$27:$AH$206,'Jun'!$D$27:$AH$206,'Jul'!$D$27:$AH$206,'Aug'!$D$27:$AH$206,'Sep'!$D$27:$AH$206,'Oct'!$D$27:$AH$206,'Nov'!$D$27:$AH$206,'Dec'!$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MONTH(A225),'Jan'!$D$27:$AH$206,'Feb'!$D$27:$AH$206,'Mar'!$D$27:$AH$206,'Apr'!$D$27:$AH$206,'May'!$D$27:$AH$206,'Jun'!$D$27:$AH$206,'Jul'!$D$27:$AH$206,'Aug'!$D$27:$AH$206,'Sep'!$D$27:$AH$206,'Oct'!$D$27:$AH$206,'Nov'!$D$27:$AH$206,'Dec'!$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MONTH(A226),'Jan'!$D$27:$AH$206,'Feb'!$D$27:$AH$206,'Mar'!$D$27:$AH$206,'Apr'!$D$27:$AH$206,'May'!$D$27:$AH$206,'Jun'!$D$27:$AH$206,'Jul'!$D$27:$AH$206,'Aug'!$D$27:$AH$206,'Sep'!$D$27:$AH$206,'Oct'!$D$27:$AH$206,'Nov'!$D$27:$AH$206,'Dec'!$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MONTH(A227),'Jan'!$D$27:$AH$206,'Feb'!$D$27:$AH$206,'Mar'!$D$27:$AH$206,'Apr'!$D$27:$AH$206,'May'!$D$27:$AH$206,'Jun'!$D$27:$AH$206,'Jul'!$D$27:$AH$206,'Aug'!$D$27:$AH$206,'Sep'!$D$27:$AH$206,'Oct'!$D$27:$AH$206,'Nov'!$D$27:$AH$206,'Dec'!$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MONTH(A228),'Jan'!$D$27:$AH$206,'Feb'!$D$27:$AH$206,'Mar'!$D$27:$AH$206,'Apr'!$D$27:$AH$206,'May'!$D$27:$AH$206,'Jun'!$D$27:$AH$206,'Jul'!$D$27:$AH$206,'Aug'!$D$27:$AH$206,'Sep'!$D$27:$AH$206,'Oct'!$D$27:$AH$206,'Nov'!$D$27:$AH$206,'Dec'!$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MONTH(A229),'Jan'!$D$27:$AH$206,'Feb'!$D$27:$AH$206,'Mar'!$D$27:$AH$206,'Apr'!$D$27:$AH$206,'May'!$D$27:$AH$206,'Jun'!$D$27:$AH$206,'Jul'!$D$27:$AH$206,'Aug'!$D$27:$AH$206,'Sep'!$D$27:$AH$206,'Oct'!$D$27:$AH$206,'Nov'!$D$27:$AH$206,'Dec'!$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MONTH(A230),'Jan'!$D$27:$AH$206,'Feb'!$D$27:$AH$206,'Mar'!$D$27:$AH$206,'Apr'!$D$27:$AH$206,'May'!$D$27:$AH$206,'Jun'!$D$27:$AH$206,'Jul'!$D$27:$AH$206,'Aug'!$D$27:$AH$206,'Sep'!$D$27:$AH$206,'Oct'!$D$27:$AH$206,'Nov'!$D$27:$AH$206,'Dec'!$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MONTH(A231),'Jan'!$D$27:$AH$206,'Feb'!$D$27:$AH$206,'Mar'!$D$27:$AH$206,'Apr'!$D$27:$AH$206,'May'!$D$27:$AH$206,'Jun'!$D$27:$AH$206,'Jul'!$D$27:$AH$206,'Aug'!$D$27:$AH$206,'Sep'!$D$27:$AH$206,'Oct'!$D$27:$AH$206,'Nov'!$D$27:$AH$206,'Dec'!$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MONTH(A232),'Jan'!$D$27:$AH$206,'Feb'!$D$27:$AH$206,'Mar'!$D$27:$AH$206,'Apr'!$D$27:$AH$206,'May'!$D$27:$AH$206,'Jun'!$D$27:$AH$206,'Jul'!$D$27:$AH$206,'Aug'!$D$27:$AH$206,'Sep'!$D$27:$AH$206,'Oct'!$D$27:$AH$206,'Nov'!$D$27:$AH$206,'Dec'!$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MONTH(A233),'Jan'!$D$27:$AH$206,'Feb'!$D$27:$AH$206,'Mar'!$D$27:$AH$206,'Apr'!$D$27:$AH$206,'May'!$D$27:$AH$206,'Jun'!$D$27:$AH$206,'Jul'!$D$27:$AH$206,'Aug'!$D$27:$AH$206,'Sep'!$D$27:$AH$206,'Oct'!$D$27:$AH$206,'Nov'!$D$27:$AH$206,'Dec'!$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MONTH(A234),'Jan'!$D$27:$AH$206,'Feb'!$D$27:$AH$206,'Mar'!$D$27:$AH$206,'Apr'!$D$27:$AH$206,'May'!$D$27:$AH$206,'Jun'!$D$27:$AH$206,'Jul'!$D$27:$AH$206,'Aug'!$D$27:$AH$206,'Sep'!$D$27:$AH$206,'Oct'!$D$27:$AH$206,'Nov'!$D$27:$AH$206,'Dec'!$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MONTH(A235),'Jan'!$D$27:$AH$206,'Feb'!$D$27:$AH$206,'Mar'!$D$27:$AH$206,'Apr'!$D$27:$AH$206,'May'!$D$27:$AH$206,'Jun'!$D$27:$AH$206,'Jul'!$D$27:$AH$206,'Aug'!$D$27:$AH$206,'Sep'!$D$27:$AH$206,'Oct'!$D$27:$AH$206,'Nov'!$D$27:$AH$206,'Dec'!$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MONTH(A236),'Jan'!$D$27:$AH$206,'Feb'!$D$27:$AH$206,'Mar'!$D$27:$AH$206,'Apr'!$D$27:$AH$206,'May'!$D$27:$AH$206,'Jun'!$D$27:$AH$206,'Jul'!$D$27:$AH$206,'Aug'!$D$27:$AH$206,'Sep'!$D$27:$AH$206,'Oct'!$D$27:$AH$206,'Nov'!$D$27:$AH$206,'Dec'!$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MONTH(A237),'Jan'!$D$27:$AH$206,'Feb'!$D$27:$AH$206,'Mar'!$D$27:$AH$206,'Apr'!$D$27:$AH$206,'May'!$D$27:$AH$206,'Jun'!$D$27:$AH$206,'Jul'!$D$27:$AH$206,'Aug'!$D$27:$AH$206,'Sep'!$D$27:$AH$206,'Oct'!$D$27:$AH$206,'Nov'!$D$27:$AH$206,'Dec'!$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MONTH(A238),'Jan'!$D$27:$AH$206,'Feb'!$D$27:$AH$206,'Mar'!$D$27:$AH$206,'Apr'!$D$27:$AH$206,'May'!$D$27:$AH$206,'Jun'!$D$27:$AH$206,'Jul'!$D$27:$AH$206,'Aug'!$D$27:$AH$206,'Sep'!$D$27:$AH$206,'Oct'!$D$27:$AH$206,'Nov'!$D$27:$AH$206,'Dec'!$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MONTH(A239),'Jan'!$D$27:$AH$206,'Feb'!$D$27:$AH$206,'Mar'!$D$27:$AH$206,'Apr'!$D$27:$AH$206,'May'!$D$27:$AH$206,'Jun'!$D$27:$AH$206,'Jul'!$D$27:$AH$206,'Aug'!$D$27:$AH$206,'Sep'!$D$27:$AH$206,'Oct'!$D$27:$AH$206,'Nov'!$D$27:$AH$206,'Dec'!$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MONTH(A240),'Jan'!$D$27:$AH$206,'Feb'!$D$27:$AH$206,'Mar'!$D$27:$AH$206,'Apr'!$D$27:$AH$206,'May'!$D$27:$AH$206,'Jun'!$D$27:$AH$206,'Jul'!$D$27:$AH$206,'Aug'!$D$27:$AH$206,'Sep'!$D$27:$AH$206,'Oct'!$D$27:$AH$206,'Nov'!$D$27:$AH$206,'Dec'!$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MONTH(A241),'Jan'!$D$27:$AH$206,'Feb'!$D$27:$AH$206,'Mar'!$D$27:$AH$206,'Apr'!$D$27:$AH$206,'May'!$D$27:$AH$206,'Jun'!$D$27:$AH$206,'Jul'!$D$27:$AH$206,'Aug'!$D$27:$AH$206,'Sep'!$D$27:$AH$206,'Oct'!$D$27:$AH$206,'Nov'!$D$27:$AH$206,'Dec'!$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MONTH(A242),'Jan'!$D$27:$AH$206,'Feb'!$D$27:$AH$206,'Mar'!$D$27:$AH$206,'Apr'!$D$27:$AH$206,'May'!$D$27:$AH$206,'Jun'!$D$27:$AH$206,'Jul'!$D$27:$AH$206,'Aug'!$D$27:$AH$206,'Sep'!$D$27:$AH$206,'Oct'!$D$27:$AH$206,'Nov'!$D$27:$AH$206,'Dec'!$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MONTH(A243),'Jan'!$D$27:$AH$206,'Feb'!$D$27:$AH$206,'Mar'!$D$27:$AH$206,'Apr'!$D$27:$AH$206,'May'!$D$27:$AH$206,'Jun'!$D$27:$AH$206,'Jul'!$D$27:$AH$206,'Aug'!$D$27:$AH$206,'Sep'!$D$27:$AH$206,'Oct'!$D$27:$AH$206,'Nov'!$D$27:$AH$206,'Dec'!$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MONTH(A244),'Jan'!$D$27:$AH$206,'Feb'!$D$27:$AH$206,'Mar'!$D$27:$AH$206,'Apr'!$D$27:$AH$206,'May'!$D$27:$AH$206,'Jun'!$D$27:$AH$206,'Jul'!$D$27:$AH$206,'Aug'!$D$27:$AH$206,'Sep'!$D$27:$AH$206,'Oct'!$D$27:$AH$206,'Nov'!$D$27:$AH$206,'Dec'!$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MONTH(A245),'Jan'!$D$27:$AH$206,'Feb'!$D$27:$AH$206,'Mar'!$D$27:$AH$206,'Apr'!$D$27:$AH$206,'May'!$D$27:$AH$206,'Jun'!$D$27:$AH$206,'Jul'!$D$27:$AH$206,'Aug'!$D$27:$AH$206,'Sep'!$D$27:$AH$206,'Oct'!$D$27:$AH$206,'Nov'!$D$27:$AH$206,'Dec'!$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MONTH(A246),'Jan'!$D$27:$AH$206,'Feb'!$D$27:$AH$206,'Mar'!$D$27:$AH$206,'Apr'!$D$27:$AH$206,'May'!$D$27:$AH$206,'Jun'!$D$27:$AH$206,'Jul'!$D$27:$AH$206,'Aug'!$D$27:$AH$206,'Sep'!$D$27:$AH$206,'Oct'!$D$27:$AH$206,'Nov'!$D$27:$AH$206,'Dec'!$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MONTH(A247),'Jan'!$D$27:$AH$206,'Feb'!$D$27:$AH$206,'Mar'!$D$27:$AH$206,'Apr'!$D$27:$AH$206,'May'!$D$27:$AH$206,'Jun'!$D$27:$AH$206,'Jul'!$D$27:$AH$206,'Aug'!$D$27:$AH$206,'Sep'!$D$27:$AH$206,'Oct'!$D$27:$AH$206,'Nov'!$D$27:$AH$206,'Dec'!$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MONTH(A248),'Jan'!$D$27:$AH$206,'Feb'!$D$27:$AH$206,'Mar'!$D$27:$AH$206,'Apr'!$D$27:$AH$206,'May'!$D$27:$AH$206,'Jun'!$D$27:$AH$206,'Jul'!$D$27:$AH$206,'Aug'!$D$27:$AH$206,'Sep'!$D$27:$AH$206,'Oct'!$D$27:$AH$206,'Nov'!$D$27:$AH$206,'Dec'!$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MONTH(A249),'Jan'!$D$27:$AH$206,'Feb'!$D$27:$AH$206,'Mar'!$D$27:$AH$206,'Apr'!$D$27:$AH$206,'May'!$D$27:$AH$206,'Jun'!$D$27:$AH$206,'Jul'!$D$27:$AH$206,'Aug'!$D$27:$AH$206,'Sep'!$D$27:$AH$206,'Oct'!$D$27:$AH$206,'Nov'!$D$27:$AH$206,'Dec'!$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MONTH(A250),'Jan'!$D$27:$AH$206,'Feb'!$D$27:$AH$206,'Mar'!$D$27:$AH$206,'Apr'!$D$27:$AH$206,'May'!$D$27:$AH$206,'Jun'!$D$27:$AH$206,'Jul'!$D$27:$AH$206,'Aug'!$D$27:$AH$206,'Sep'!$D$27:$AH$206,'Oct'!$D$27:$AH$206,'Nov'!$D$27:$AH$206,'Dec'!$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MONTH(A251),'Jan'!$D$27:$AH$206,'Feb'!$D$27:$AH$206,'Mar'!$D$27:$AH$206,'Apr'!$D$27:$AH$206,'May'!$D$27:$AH$206,'Jun'!$D$27:$AH$206,'Jul'!$D$27:$AH$206,'Aug'!$D$27:$AH$206,'Sep'!$D$27:$AH$206,'Oct'!$D$27:$AH$206,'Nov'!$D$27:$AH$206,'Dec'!$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MONTH(A252),'Jan'!$D$27:$AH$206,'Feb'!$D$27:$AH$206,'Mar'!$D$27:$AH$206,'Apr'!$D$27:$AH$206,'May'!$D$27:$AH$206,'Jun'!$D$27:$AH$206,'Jul'!$D$27:$AH$206,'Aug'!$D$27:$AH$206,'Sep'!$D$27:$AH$206,'Oct'!$D$27:$AH$206,'Nov'!$D$27:$AH$206,'Dec'!$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MONTH(A253),'Jan'!$D$27:$AH$206,'Feb'!$D$27:$AH$206,'Mar'!$D$27:$AH$206,'Apr'!$D$27:$AH$206,'May'!$D$27:$AH$206,'Jun'!$D$27:$AH$206,'Jul'!$D$27:$AH$206,'Aug'!$D$27:$AH$206,'Sep'!$D$27:$AH$206,'Oct'!$D$27:$AH$206,'Nov'!$D$27:$AH$206,'Dec'!$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MONTH(A254),'Jan'!$D$27:$AH$206,'Feb'!$D$27:$AH$206,'Mar'!$D$27:$AH$206,'Apr'!$D$27:$AH$206,'May'!$D$27:$AH$206,'Jun'!$D$27:$AH$206,'Jul'!$D$27:$AH$206,'Aug'!$D$27:$AH$206,'Sep'!$D$27:$AH$206,'Oct'!$D$27:$AH$206,'Nov'!$D$27:$AH$206,'Dec'!$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MONTH(A255),'Jan'!$D$27:$AH$206,'Feb'!$D$27:$AH$206,'Mar'!$D$27:$AH$206,'Apr'!$D$27:$AH$206,'May'!$D$27:$AH$206,'Jun'!$D$27:$AH$206,'Jul'!$D$27:$AH$206,'Aug'!$D$27:$AH$206,'Sep'!$D$27:$AH$206,'Oct'!$D$27:$AH$206,'Nov'!$D$27:$AH$206,'Dec'!$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MONTH(A256),'Jan'!$D$27:$AH$206,'Feb'!$D$27:$AH$206,'Mar'!$D$27:$AH$206,'Apr'!$D$27:$AH$206,'May'!$D$27:$AH$206,'Jun'!$D$27:$AH$206,'Jul'!$D$27:$AH$206,'Aug'!$D$27:$AH$206,'Sep'!$D$27:$AH$206,'Oct'!$D$27:$AH$206,'Nov'!$D$27:$AH$206,'Dec'!$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MONTH(A257),'Jan'!$D$27:$AH$206,'Feb'!$D$27:$AH$206,'Mar'!$D$27:$AH$206,'Apr'!$D$27:$AH$206,'May'!$D$27:$AH$206,'Jun'!$D$27:$AH$206,'Jul'!$D$27:$AH$206,'Aug'!$D$27:$AH$206,'Sep'!$D$27:$AH$206,'Oct'!$D$27:$AH$206,'Nov'!$D$27:$AH$206,'Dec'!$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MONTH(A258),'Jan'!$D$27:$AH$206,'Feb'!$D$27:$AH$206,'Mar'!$D$27:$AH$206,'Apr'!$D$27:$AH$206,'May'!$D$27:$AH$206,'Jun'!$D$27:$AH$206,'Jul'!$D$27:$AH$206,'Aug'!$D$27:$AH$206,'Sep'!$D$27:$AH$206,'Oct'!$D$27:$AH$206,'Nov'!$D$27:$AH$206,'Dec'!$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MONTH(A259),'Jan'!$D$27:$AH$206,'Feb'!$D$27:$AH$206,'Mar'!$D$27:$AH$206,'Apr'!$D$27:$AH$206,'May'!$D$27:$AH$206,'Jun'!$D$27:$AH$206,'Jul'!$D$27:$AH$206,'Aug'!$D$27:$AH$206,'Sep'!$D$27:$AH$206,'Oct'!$D$27:$AH$206,'Nov'!$D$27:$AH$206,'Dec'!$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MONTH(A260),'Jan'!$D$27:$AH$206,'Feb'!$D$27:$AH$206,'Mar'!$D$27:$AH$206,'Apr'!$D$27:$AH$206,'May'!$D$27:$AH$206,'Jun'!$D$27:$AH$206,'Jul'!$D$27:$AH$206,'Aug'!$D$27:$AH$206,'Sep'!$D$27:$AH$206,'Oct'!$D$27:$AH$206,'Nov'!$D$27:$AH$206,'Dec'!$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MONTH(A261),'Jan'!$D$27:$AH$206,'Feb'!$D$27:$AH$206,'Mar'!$D$27:$AH$206,'Apr'!$D$27:$AH$206,'May'!$D$27:$AH$206,'Jun'!$D$27:$AH$206,'Jul'!$D$27:$AH$206,'Aug'!$D$27:$AH$206,'Sep'!$D$27:$AH$206,'Oct'!$D$27:$AH$206,'Nov'!$D$27:$AH$206,'Dec'!$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MONTH(A262),'Jan'!$D$27:$AH$206,'Feb'!$D$27:$AH$206,'Mar'!$D$27:$AH$206,'Apr'!$D$27:$AH$206,'May'!$D$27:$AH$206,'Jun'!$D$27:$AH$206,'Jul'!$D$27:$AH$206,'Aug'!$D$27:$AH$206,'Sep'!$D$27:$AH$206,'Oct'!$D$27:$AH$206,'Nov'!$D$27:$AH$206,'Dec'!$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MONTH(A263),'Jan'!$D$27:$AH$206,'Feb'!$D$27:$AH$206,'Mar'!$D$27:$AH$206,'Apr'!$D$27:$AH$206,'May'!$D$27:$AH$206,'Jun'!$D$27:$AH$206,'Jul'!$D$27:$AH$206,'Aug'!$D$27:$AH$206,'Sep'!$D$27:$AH$206,'Oct'!$D$27:$AH$206,'Nov'!$D$27:$AH$206,'Dec'!$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MONTH(A264),'Jan'!$D$27:$AH$206,'Feb'!$D$27:$AH$206,'Mar'!$D$27:$AH$206,'Apr'!$D$27:$AH$206,'May'!$D$27:$AH$206,'Jun'!$D$27:$AH$206,'Jul'!$D$27:$AH$206,'Aug'!$D$27:$AH$206,'Sep'!$D$27:$AH$206,'Oct'!$D$27:$AH$206,'Nov'!$D$27:$AH$206,'Dec'!$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MONTH(A265),'Jan'!$D$27:$AH$206,'Feb'!$D$27:$AH$206,'Mar'!$D$27:$AH$206,'Apr'!$D$27:$AH$206,'May'!$D$27:$AH$206,'Jun'!$D$27:$AH$206,'Jul'!$D$27:$AH$206,'Aug'!$D$27:$AH$206,'Sep'!$D$27:$AH$206,'Oct'!$D$27:$AH$206,'Nov'!$D$27:$AH$206,'Dec'!$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MONTH(A266),'Jan'!$D$27:$AH$206,'Feb'!$D$27:$AH$206,'Mar'!$D$27:$AH$206,'Apr'!$D$27:$AH$206,'May'!$D$27:$AH$206,'Jun'!$D$27:$AH$206,'Jul'!$D$27:$AH$206,'Aug'!$D$27:$AH$206,'Sep'!$D$27:$AH$206,'Oct'!$D$27:$AH$206,'Nov'!$D$27:$AH$206,'Dec'!$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MONTH(A267),'Jan'!$D$27:$AH$206,'Feb'!$D$27:$AH$206,'Mar'!$D$27:$AH$206,'Apr'!$D$27:$AH$206,'May'!$D$27:$AH$206,'Jun'!$D$27:$AH$206,'Jul'!$D$27:$AH$206,'Aug'!$D$27:$AH$206,'Sep'!$D$27:$AH$206,'Oct'!$D$27:$AH$206,'Nov'!$D$27:$AH$206,'Dec'!$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MONTH(A268),'Jan'!$D$27:$AH$206,'Feb'!$D$27:$AH$206,'Mar'!$D$27:$AH$206,'Apr'!$D$27:$AH$206,'May'!$D$27:$AH$206,'Jun'!$D$27:$AH$206,'Jul'!$D$27:$AH$206,'Aug'!$D$27:$AH$206,'Sep'!$D$27:$AH$206,'Oct'!$D$27:$AH$206,'Nov'!$D$27:$AH$206,'Dec'!$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MONTH(A269),'Jan'!$D$27:$AH$206,'Feb'!$D$27:$AH$206,'Mar'!$D$27:$AH$206,'Apr'!$D$27:$AH$206,'May'!$D$27:$AH$206,'Jun'!$D$27:$AH$206,'Jul'!$D$27:$AH$206,'Aug'!$D$27:$AH$206,'Sep'!$D$27:$AH$206,'Oct'!$D$27:$AH$206,'Nov'!$D$27:$AH$206,'Dec'!$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MONTH(A270),'Jan'!$D$27:$AH$206,'Feb'!$D$27:$AH$206,'Mar'!$D$27:$AH$206,'Apr'!$D$27:$AH$206,'May'!$D$27:$AH$206,'Jun'!$D$27:$AH$206,'Jul'!$D$27:$AH$206,'Aug'!$D$27:$AH$206,'Sep'!$D$27:$AH$206,'Oct'!$D$27:$AH$206,'Nov'!$D$27:$AH$206,'Dec'!$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MONTH(A271),'Jan'!$D$27:$AH$206,'Feb'!$D$27:$AH$206,'Mar'!$D$27:$AH$206,'Apr'!$D$27:$AH$206,'May'!$D$27:$AH$206,'Jun'!$D$27:$AH$206,'Jul'!$D$27:$AH$206,'Aug'!$D$27:$AH$206,'Sep'!$D$27:$AH$206,'Oct'!$D$27:$AH$206,'Nov'!$D$27:$AH$206,'Dec'!$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MONTH(A272),'Jan'!$D$27:$AH$206,'Feb'!$D$27:$AH$206,'Mar'!$D$27:$AH$206,'Apr'!$D$27:$AH$206,'May'!$D$27:$AH$206,'Jun'!$D$27:$AH$206,'Jul'!$D$27:$AH$206,'Aug'!$D$27:$AH$206,'Sep'!$D$27:$AH$206,'Oct'!$D$27:$AH$206,'Nov'!$D$27:$AH$206,'Dec'!$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MONTH(A273),'Jan'!$D$27:$AH$206,'Feb'!$D$27:$AH$206,'Mar'!$D$27:$AH$206,'Apr'!$D$27:$AH$206,'May'!$D$27:$AH$206,'Jun'!$D$27:$AH$206,'Jul'!$D$27:$AH$206,'Aug'!$D$27:$AH$206,'Sep'!$D$27:$AH$206,'Oct'!$D$27:$AH$206,'Nov'!$D$27:$AH$206,'Dec'!$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MONTH(A274),'Jan'!$D$27:$AH$206,'Feb'!$D$27:$AH$206,'Mar'!$D$27:$AH$206,'Apr'!$D$27:$AH$206,'May'!$D$27:$AH$206,'Jun'!$D$27:$AH$206,'Jul'!$D$27:$AH$206,'Aug'!$D$27:$AH$206,'Sep'!$D$27:$AH$206,'Oct'!$D$27:$AH$206,'Nov'!$D$27:$AH$206,'Dec'!$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MONTH(A275),'Jan'!$D$27:$AH$206,'Feb'!$D$27:$AH$206,'Mar'!$D$27:$AH$206,'Apr'!$D$27:$AH$206,'May'!$D$27:$AH$206,'Jun'!$D$27:$AH$206,'Jul'!$D$27:$AH$206,'Aug'!$D$27:$AH$206,'Sep'!$D$27:$AH$206,'Oct'!$D$27:$AH$206,'Nov'!$D$27:$AH$206,'Dec'!$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MONTH(A276),'Jan'!$D$27:$AH$206,'Feb'!$D$27:$AH$206,'Mar'!$D$27:$AH$206,'Apr'!$D$27:$AH$206,'May'!$D$27:$AH$206,'Jun'!$D$27:$AH$206,'Jul'!$D$27:$AH$206,'Aug'!$D$27:$AH$206,'Sep'!$D$27:$AH$206,'Oct'!$D$27:$AH$206,'Nov'!$D$27:$AH$206,'Dec'!$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MONTH(A277),'Jan'!$D$27:$AH$206,'Feb'!$D$27:$AH$206,'Mar'!$D$27:$AH$206,'Apr'!$D$27:$AH$206,'May'!$D$27:$AH$206,'Jun'!$D$27:$AH$206,'Jul'!$D$27:$AH$206,'Aug'!$D$27:$AH$206,'Sep'!$D$27:$AH$206,'Oct'!$D$27:$AH$206,'Nov'!$D$27:$AH$206,'Dec'!$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MONTH(A278),'Jan'!$D$27:$AH$206,'Feb'!$D$27:$AH$206,'Mar'!$D$27:$AH$206,'Apr'!$D$27:$AH$206,'May'!$D$27:$AH$206,'Jun'!$D$27:$AH$206,'Jul'!$D$27:$AH$206,'Aug'!$D$27:$AH$206,'Sep'!$D$27:$AH$206,'Oct'!$D$27:$AH$206,'Nov'!$D$27:$AH$206,'Dec'!$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MONTH(A279),'Jan'!$D$27:$AH$206,'Feb'!$D$27:$AH$206,'Mar'!$D$27:$AH$206,'Apr'!$D$27:$AH$206,'May'!$D$27:$AH$206,'Jun'!$D$27:$AH$206,'Jul'!$D$27:$AH$206,'Aug'!$D$27:$AH$206,'Sep'!$D$27:$AH$206,'Oct'!$D$27:$AH$206,'Nov'!$D$27:$AH$206,'Dec'!$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MONTH(A280),'Jan'!$D$27:$AH$206,'Feb'!$D$27:$AH$206,'Mar'!$D$27:$AH$206,'Apr'!$D$27:$AH$206,'May'!$D$27:$AH$206,'Jun'!$D$27:$AH$206,'Jul'!$D$27:$AH$206,'Aug'!$D$27:$AH$206,'Sep'!$D$27:$AH$206,'Oct'!$D$27:$AH$206,'Nov'!$D$27:$AH$206,'Dec'!$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MONTH(A281),'Jan'!$D$27:$AH$206,'Feb'!$D$27:$AH$206,'Mar'!$D$27:$AH$206,'Apr'!$D$27:$AH$206,'May'!$D$27:$AH$206,'Jun'!$D$27:$AH$206,'Jul'!$D$27:$AH$206,'Aug'!$D$27:$AH$206,'Sep'!$D$27:$AH$206,'Oct'!$D$27:$AH$206,'Nov'!$D$27:$AH$206,'Dec'!$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MONTH(A282),'Jan'!$D$27:$AH$206,'Feb'!$D$27:$AH$206,'Mar'!$D$27:$AH$206,'Apr'!$D$27:$AH$206,'May'!$D$27:$AH$206,'Jun'!$D$27:$AH$206,'Jul'!$D$27:$AH$206,'Aug'!$D$27:$AH$206,'Sep'!$D$27:$AH$206,'Oct'!$D$27:$AH$206,'Nov'!$D$27:$AH$206,'Dec'!$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MONTH(A283),'Jan'!$D$27:$AH$206,'Feb'!$D$27:$AH$206,'Mar'!$D$27:$AH$206,'Apr'!$D$27:$AH$206,'May'!$D$27:$AH$206,'Jun'!$D$27:$AH$206,'Jul'!$D$27:$AH$206,'Aug'!$D$27:$AH$206,'Sep'!$D$27:$AH$206,'Oct'!$D$27:$AH$206,'Nov'!$D$27:$AH$206,'Dec'!$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MONTH(A284),'Jan'!$D$27:$AH$206,'Feb'!$D$27:$AH$206,'Mar'!$D$27:$AH$206,'Apr'!$D$27:$AH$206,'May'!$D$27:$AH$206,'Jun'!$D$27:$AH$206,'Jul'!$D$27:$AH$206,'Aug'!$D$27:$AH$206,'Sep'!$D$27:$AH$206,'Oct'!$D$27:$AH$206,'Nov'!$D$27:$AH$206,'Dec'!$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MONTH(A285),'Jan'!$D$27:$AH$206,'Feb'!$D$27:$AH$206,'Mar'!$D$27:$AH$206,'Apr'!$D$27:$AH$206,'May'!$D$27:$AH$206,'Jun'!$D$27:$AH$206,'Jul'!$D$27:$AH$206,'Aug'!$D$27:$AH$206,'Sep'!$D$27:$AH$206,'Oct'!$D$27:$AH$206,'Nov'!$D$27:$AH$206,'Dec'!$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MONTH(A286),'Jan'!$D$27:$AH$206,'Feb'!$D$27:$AH$206,'Mar'!$D$27:$AH$206,'Apr'!$D$27:$AH$206,'May'!$D$27:$AH$206,'Jun'!$D$27:$AH$206,'Jul'!$D$27:$AH$206,'Aug'!$D$27:$AH$206,'Sep'!$D$27:$AH$206,'Oct'!$D$27:$AH$206,'Nov'!$D$27:$AH$206,'Dec'!$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MONTH(A287),'Jan'!$D$27:$AH$206,'Feb'!$D$27:$AH$206,'Mar'!$D$27:$AH$206,'Apr'!$D$27:$AH$206,'May'!$D$27:$AH$206,'Jun'!$D$27:$AH$206,'Jul'!$D$27:$AH$206,'Aug'!$D$27:$AH$206,'Sep'!$D$27:$AH$206,'Oct'!$D$27:$AH$206,'Nov'!$D$27:$AH$206,'Dec'!$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MONTH(A288),'Jan'!$D$27:$AH$206,'Feb'!$D$27:$AH$206,'Mar'!$D$27:$AH$206,'Apr'!$D$27:$AH$206,'May'!$D$27:$AH$206,'Jun'!$D$27:$AH$206,'Jul'!$D$27:$AH$206,'Aug'!$D$27:$AH$206,'Sep'!$D$27:$AH$206,'Oct'!$D$27:$AH$206,'Nov'!$D$27:$AH$206,'Dec'!$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MONTH(A289),'Jan'!$D$27:$AH$206,'Feb'!$D$27:$AH$206,'Mar'!$D$27:$AH$206,'Apr'!$D$27:$AH$206,'May'!$D$27:$AH$206,'Jun'!$D$27:$AH$206,'Jul'!$D$27:$AH$206,'Aug'!$D$27:$AH$206,'Sep'!$D$27:$AH$206,'Oct'!$D$27:$AH$206,'Nov'!$D$27:$AH$206,'Dec'!$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MONTH(A290),'Jan'!$D$27:$AH$206,'Feb'!$D$27:$AH$206,'Mar'!$D$27:$AH$206,'Apr'!$D$27:$AH$206,'May'!$D$27:$AH$206,'Jun'!$D$27:$AH$206,'Jul'!$D$27:$AH$206,'Aug'!$D$27:$AH$206,'Sep'!$D$27:$AH$206,'Oct'!$D$27:$AH$206,'Nov'!$D$27:$AH$206,'Dec'!$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MONTH(A291),'Jan'!$D$27:$AH$206,'Feb'!$D$27:$AH$206,'Mar'!$D$27:$AH$206,'Apr'!$D$27:$AH$206,'May'!$D$27:$AH$206,'Jun'!$D$27:$AH$206,'Jul'!$D$27:$AH$206,'Aug'!$D$27:$AH$206,'Sep'!$D$27:$AH$206,'Oct'!$D$27:$AH$206,'Nov'!$D$27:$AH$206,'Dec'!$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MONTH(A292),'Jan'!$D$27:$AH$206,'Feb'!$D$27:$AH$206,'Mar'!$D$27:$AH$206,'Apr'!$D$27:$AH$206,'May'!$D$27:$AH$206,'Jun'!$D$27:$AH$206,'Jul'!$D$27:$AH$206,'Aug'!$D$27:$AH$206,'Sep'!$D$27:$AH$206,'Oct'!$D$27:$AH$206,'Nov'!$D$27:$AH$206,'Dec'!$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MONTH(A293),'Jan'!$D$27:$AH$206,'Feb'!$D$27:$AH$206,'Mar'!$D$27:$AH$206,'Apr'!$D$27:$AH$206,'May'!$D$27:$AH$206,'Jun'!$D$27:$AH$206,'Jul'!$D$27:$AH$206,'Aug'!$D$27:$AH$206,'Sep'!$D$27:$AH$206,'Oct'!$D$27:$AH$206,'Nov'!$D$27:$AH$206,'Dec'!$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MONTH(A294),'Jan'!$D$27:$AH$206,'Feb'!$D$27:$AH$206,'Mar'!$D$27:$AH$206,'Apr'!$D$27:$AH$206,'May'!$D$27:$AH$206,'Jun'!$D$27:$AH$206,'Jul'!$D$27:$AH$206,'Aug'!$D$27:$AH$206,'Sep'!$D$27:$AH$206,'Oct'!$D$27:$AH$206,'Nov'!$D$27:$AH$206,'Dec'!$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MONTH(A295),'Jan'!$D$27:$AH$206,'Feb'!$D$27:$AH$206,'Mar'!$D$27:$AH$206,'Apr'!$D$27:$AH$206,'May'!$D$27:$AH$206,'Jun'!$D$27:$AH$206,'Jul'!$D$27:$AH$206,'Aug'!$D$27:$AH$206,'Sep'!$D$27:$AH$206,'Oct'!$D$27:$AH$206,'Nov'!$D$27:$AH$206,'Dec'!$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MONTH(A296),'Jan'!$D$27:$AH$206,'Feb'!$D$27:$AH$206,'Mar'!$D$27:$AH$206,'Apr'!$D$27:$AH$206,'May'!$D$27:$AH$206,'Jun'!$D$27:$AH$206,'Jul'!$D$27:$AH$206,'Aug'!$D$27:$AH$206,'Sep'!$D$27:$AH$206,'Oct'!$D$27:$AH$206,'Nov'!$D$27:$AH$206,'Dec'!$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MONTH(A297),'Jan'!$D$27:$AH$206,'Feb'!$D$27:$AH$206,'Mar'!$D$27:$AH$206,'Apr'!$D$27:$AH$206,'May'!$D$27:$AH$206,'Jun'!$D$27:$AH$206,'Jul'!$D$27:$AH$206,'Aug'!$D$27:$AH$206,'Sep'!$D$27:$AH$206,'Oct'!$D$27:$AH$206,'Nov'!$D$27:$AH$206,'Dec'!$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MONTH(A298),'Jan'!$D$27:$AH$206,'Feb'!$D$27:$AH$206,'Mar'!$D$27:$AH$206,'Apr'!$D$27:$AH$206,'May'!$D$27:$AH$206,'Jun'!$D$27:$AH$206,'Jul'!$D$27:$AH$206,'Aug'!$D$27:$AH$206,'Sep'!$D$27:$AH$206,'Oct'!$D$27:$AH$206,'Nov'!$D$27:$AH$206,'Dec'!$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MONTH(A299),'Jan'!$D$27:$AH$206,'Feb'!$D$27:$AH$206,'Mar'!$D$27:$AH$206,'Apr'!$D$27:$AH$206,'May'!$D$27:$AH$206,'Jun'!$D$27:$AH$206,'Jul'!$D$27:$AH$206,'Aug'!$D$27:$AH$206,'Sep'!$D$27:$AH$206,'Oct'!$D$27:$AH$206,'Nov'!$D$27:$AH$206,'Dec'!$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MONTH(A300),'Jan'!$D$27:$AH$206,'Feb'!$D$27:$AH$206,'Mar'!$D$27:$AH$206,'Apr'!$D$27:$AH$206,'May'!$D$27:$AH$206,'Jun'!$D$27:$AH$206,'Jul'!$D$27:$AH$206,'Aug'!$D$27:$AH$206,'Sep'!$D$27:$AH$206,'Oct'!$D$27:$AH$206,'Nov'!$D$27:$AH$206,'Dec'!$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MONTH(A301),'Jan'!$D$27:$AH$206,'Feb'!$D$27:$AH$206,'Mar'!$D$27:$AH$206,'Apr'!$D$27:$AH$206,'May'!$D$27:$AH$206,'Jun'!$D$27:$AH$206,'Jul'!$D$27:$AH$206,'Aug'!$D$27:$AH$206,'Sep'!$D$27:$AH$206,'Oct'!$D$27:$AH$206,'Nov'!$D$27:$AH$206,'Dec'!$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MONTH(A302),'Jan'!$D$27:$AH$206,'Feb'!$D$27:$AH$206,'Mar'!$D$27:$AH$206,'Apr'!$D$27:$AH$206,'May'!$D$27:$AH$206,'Jun'!$D$27:$AH$206,'Jul'!$D$27:$AH$206,'Aug'!$D$27:$AH$206,'Sep'!$D$27:$AH$206,'Oct'!$D$27:$AH$206,'Nov'!$D$27:$AH$206,'Dec'!$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MONTH(A303),'Jan'!$D$27:$AH$206,'Feb'!$D$27:$AH$206,'Mar'!$D$27:$AH$206,'Apr'!$D$27:$AH$206,'May'!$D$27:$AH$206,'Jun'!$D$27:$AH$206,'Jul'!$D$27:$AH$206,'Aug'!$D$27:$AH$206,'Sep'!$D$27:$AH$206,'Oct'!$D$27:$AH$206,'Nov'!$D$27:$AH$206,'Dec'!$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MONTH(A304),'Jan'!$D$27:$AH$206,'Feb'!$D$27:$AH$206,'Mar'!$D$27:$AH$206,'Apr'!$D$27:$AH$206,'May'!$D$27:$AH$206,'Jun'!$D$27:$AH$206,'Jul'!$D$27:$AH$206,'Aug'!$D$27:$AH$206,'Sep'!$D$27:$AH$206,'Oct'!$D$27:$AH$206,'Nov'!$D$27:$AH$206,'Dec'!$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MONTH(A305),'Jan'!$D$27:$AH$206,'Feb'!$D$27:$AH$206,'Mar'!$D$27:$AH$206,'Apr'!$D$27:$AH$206,'May'!$D$27:$AH$206,'Jun'!$D$27:$AH$206,'Jul'!$D$27:$AH$206,'Aug'!$D$27:$AH$206,'Sep'!$D$27:$AH$206,'Oct'!$D$27:$AH$206,'Nov'!$D$27:$AH$206,'Dec'!$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MONTH(A306),'Jan'!$D$27:$AH$206,'Feb'!$D$27:$AH$206,'Mar'!$D$27:$AH$206,'Apr'!$D$27:$AH$206,'May'!$D$27:$AH$206,'Jun'!$D$27:$AH$206,'Jul'!$D$27:$AH$206,'Aug'!$D$27:$AH$206,'Sep'!$D$27:$AH$206,'Oct'!$D$27:$AH$206,'Nov'!$D$27:$AH$206,'Dec'!$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MONTH(A307),'Jan'!$D$27:$AH$206,'Feb'!$D$27:$AH$206,'Mar'!$D$27:$AH$206,'Apr'!$D$27:$AH$206,'May'!$D$27:$AH$206,'Jun'!$D$27:$AH$206,'Jul'!$D$27:$AH$206,'Aug'!$D$27:$AH$206,'Sep'!$D$27:$AH$206,'Oct'!$D$27:$AH$206,'Nov'!$D$27:$AH$206,'Dec'!$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MONTH(A308),'Jan'!$D$27:$AH$206,'Feb'!$D$27:$AH$206,'Mar'!$D$27:$AH$206,'Apr'!$D$27:$AH$206,'May'!$D$27:$AH$206,'Jun'!$D$27:$AH$206,'Jul'!$D$27:$AH$206,'Aug'!$D$27:$AH$206,'Sep'!$D$27:$AH$206,'Oct'!$D$27:$AH$206,'Nov'!$D$27:$AH$206,'Dec'!$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MONTH(A309),'Jan'!$D$27:$AH$206,'Feb'!$D$27:$AH$206,'Mar'!$D$27:$AH$206,'Apr'!$D$27:$AH$206,'May'!$D$27:$AH$206,'Jun'!$D$27:$AH$206,'Jul'!$D$27:$AH$206,'Aug'!$D$27:$AH$206,'Sep'!$D$27:$AH$206,'Oct'!$D$27:$AH$206,'Nov'!$D$27:$AH$206,'Dec'!$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MONTH(A310),'Jan'!$D$27:$AH$206,'Feb'!$D$27:$AH$206,'Mar'!$D$27:$AH$206,'Apr'!$D$27:$AH$206,'May'!$D$27:$AH$206,'Jun'!$D$27:$AH$206,'Jul'!$D$27:$AH$206,'Aug'!$D$27:$AH$206,'Sep'!$D$27:$AH$206,'Oct'!$D$27:$AH$206,'Nov'!$D$27:$AH$206,'Dec'!$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MONTH(A311),'Jan'!$D$27:$AH$206,'Feb'!$D$27:$AH$206,'Mar'!$D$27:$AH$206,'Apr'!$D$27:$AH$206,'May'!$D$27:$AH$206,'Jun'!$D$27:$AH$206,'Jul'!$D$27:$AH$206,'Aug'!$D$27:$AH$206,'Sep'!$D$27:$AH$206,'Oct'!$D$27:$AH$206,'Nov'!$D$27:$AH$206,'Dec'!$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MONTH(A312),'Jan'!$D$27:$AH$206,'Feb'!$D$27:$AH$206,'Mar'!$D$27:$AH$206,'Apr'!$D$27:$AH$206,'May'!$D$27:$AH$206,'Jun'!$D$27:$AH$206,'Jul'!$D$27:$AH$206,'Aug'!$D$27:$AH$206,'Sep'!$D$27:$AH$206,'Oct'!$D$27:$AH$206,'Nov'!$D$27:$AH$206,'Dec'!$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MONTH(A313),'Jan'!$D$27:$AH$206,'Feb'!$D$27:$AH$206,'Mar'!$D$27:$AH$206,'Apr'!$D$27:$AH$206,'May'!$D$27:$AH$206,'Jun'!$D$27:$AH$206,'Jul'!$D$27:$AH$206,'Aug'!$D$27:$AH$206,'Sep'!$D$27:$AH$206,'Oct'!$D$27:$AH$206,'Nov'!$D$27:$AH$206,'Dec'!$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MONTH(A314),'Jan'!$D$27:$AH$206,'Feb'!$D$27:$AH$206,'Mar'!$D$27:$AH$206,'Apr'!$D$27:$AH$206,'May'!$D$27:$AH$206,'Jun'!$D$27:$AH$206,'Jul'!$D$27:$AH$206,'Aug'!$D$27:$AH$206,'Sep'!$D$27:$AH$206,'Oct'!$D$27:$AH$206,'Nov'!$D$27:$AH$206,'Dec'!$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MONTH(A315),'Jan'!$D$27:$AH$206,'Feb'!$D$27:$AH$206,'Mar'!$D$27:$AH$206,'Apr'!$D$27:$AH$206,'May'!$D$27:$AH$206,'Jun'!$D$27:$AH$206,'Jul'!$D$27:$AH$206,'Aug'!$D$27:$AH$206,'Sep'!$D$27:$AH$206,'Oct'!$D$27:$AH$206,'Nov'!$D$27:$AH$206,'Dec'!$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MONTH(A316),'Jan'!$D$27:$AH$206,'Feb'!$D$27:$AH$206,'Mar'!$D$27:$AH$206,'Apr'!$D$27:$AH$206,'May'!$D$27:$AH$206,'Jun'!$D$27:$AH$206,'Jul'!$D$27:$AH$206,'Aug'!$D$27:$AH$206,'Sep'!$D$27:$AH$206,'Oct'!$D$27:$AH$206,'Nov'!$D$27:$AH$206,'Dec'!$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MONTH(A317),'Jan'!$D$27:$AH$206,'Feb'!$D$27:$AH$206,'Mar'!$D$27:$AH$206,'Apr'!$D$27:$AH$206,'May'!$D$27:$AH$206,'Jun'!$D$27:$AH$206,'Jul'!$D$27:$AH$206,'Aug'!$D$27:$AH$206,'Sep'!$D$27:$AH$206,'Oct'!$D$27:$AH$206,'Nov'!$D$27:$AH$206,'Dec'!$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MONTH(A318),'Jan'!$D$27:$AH$206,'Feb'!$D$27:$AH$206,'Mar'!$D$27:$AH$206,'Apr'!$D$27:$AH$206,'May'!$D$27:$AH$206,'Jun'!$D$27:$AH$206,'Jul'!$D$27:$AH$206,'Aug'!$D$27:$AH$206,'Sep'!$D$27:$AH$206,'Oct'!$D$27:$AH$206,'Nov'!$D$27:$AH$206,'Dec'!$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MONTH(A319),'Jan'!$D$27:$AH$206,'Feb'!$D$27:$AH$206,'Mar'!$D$27:$AH$206,'Apr'!$D$27:$AH$206,'May'!$D$27:$AH$206,'Jun'!$D$27:$AH$206,'Jul'!$D$27:$AH$206,'Aug'!$D$27:$AH$206,'Sep'!$D$27:$AH$206,'Oct'!$D$27:$AH$206,'Nov'!$D$27:$AH$206,'Dec'!$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MONTH(A320),'Jan'!$D$27:$AH$206,'Feb'!$D$27:$AH$206,'Mar'!$D$27:$AH$206,'Apr'!$D$27:$AH$206,'May'!$D$27:$AH$206,'Jun'!$D$27:$AH$206,'Jul'!$D$27:$AH$206,'Aug'!$D$27:$AH$206,'Sep'!$D$27:$AH$206,'Oct'!$D$27:$AH$206,'Nov'!$D$27:$AH$206,'Dec'!$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MONTH(A321),'Jan'!$D$27:$AH$206,'Feb'!$D$27:$AH$206,'Mar'!$D$27:$AH$206,'Apr'!$D$27:$AH$206,'May'!$D$27:$AH$206,'Jun'!$D$27:$AH$206,'Jul'!$D$27:$AH$206,'Aug'!$D$27:$AH$206,'Sep'!$D$27:$AH$206,'Oct'!$D$27:$AH$206,'Nov'!$D$27:$AH$206,'Dec'!$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MONTH(A322),'Jan'!$D$27:$AH$206,'Feb'!$D$27:$AH$206,'Mar'!$D$27:$AH$206,'Apr'!$D$27:$AH$206,'May'!$D$27:$AH$206,'Jun'!$D$27:$AH$206,'Jul'!$D$27:$AH$206,'Aug'!$D$27:$AH$206,'Sep'!$D$27:$AH$206,'Oct'!$D$27:$AH$206,'Nov'!$D$27:$AH$206,'Dec'!$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MONTH(A323),'Jan'!$D$27:$AH$206,'Feb'!$D$27:$AH$206,'Mar'!$D$27:$AH$206,'Apr'!$D$27:$AH$206,'May'!$D$27:$AH$206,'Jun'!$D$27:$AH$206,'Jul'!$D$27:$AH$206,'Aug'!$D$27:$AH$206,'Sep'!$D$27:$AH$206,'Oct'!$D$27:$AH$206,'Nov'!$D$27:$AH$206,'Dec'!$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MONTH(A324),'Jan'!$D$27:$AH$206,'Feb'!$D$27:$AH$206,'Mar'!$D$27:$AH$206,'Apr'!$D$27:$AH$206,'May'!$D$27:$AH$206,'Jun'!$D$27:$AH$206,'Jul'!$D$27:$AH$206,'Aug'!$D$27:$AH$206,'Sep'!$D$27:$AH$206,'Oct'!$D$27:$AH$206,'Nov'!$D$27:$AH$206,'Dec'!$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MONTH(A325),'Jan'!$D$27:$AH$206,'Feb'!$D$27:$AH$206,'Mar'!$D$27:$AH$206,'Apr'!$D$27:$AH$206,'May'!$D$27:$AH$206,'Jun'!$D$27:$AH$206,'Jul'!$D$27:$AH$206,'Aug'!$D$27:$AH$206,'Sep'!$D$27:$AH$206,'Oct'!$D$27:$AH$206,'Nov'!$D$27:$AH$206,'Dec'!$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MONTH(A326),'Jan'!$D$27:$AH$206,'Feb'!$D$27:$AH$206,'Mar'!$D$27:$AH$206,'Apr'!$D$27:$AH$206,'May'!$D$27:$AH$206,'Jun'!$D$27:$AH$206,'Jul'!$D$27:$AH$206,'Aug'!$D$27:$AH$206,'Sep'!$D$27:$AH$206,'Oct'!$D$27:$AH$206,'Nov'!$D$27:$AH$206,'Dec'!$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MONTH(A327),'Jan'!$D$27:$AH$206,'Feb'!$D$27:$AH$206,'Mar'!$D$27:$AH$206,'Apr'!$D$27:$AH$206,'May'!$D$27:$AH$206,'Jun'!$D$27:$AH$206,'Jul'!$D$27:$AH$206,'Aug'!$D$27:$AH$206,'Sep'!$D$27:$AH$206,'Oct'!$D$27:$AH$206,'Nov'!$D$27:$AH$206,'Dec'!$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MONTH(A328),'Jan'!$D$27:$AH$206,'Feb'!$D$27:$AH$206,'Mar'!$D$27:$AH$206,'Apr'!$D$27:$AH$206,'May'!$D$27:$AH$206,'Jun'!$D$27:$AH$206,'Jul'!$D$27:$AH$206,'Aug'!$D$27:$AH$206,'Sep'!$D$27:$AH$206,'Oct'!$D$27:$AH$206,'Nov'!$D$27:$AH$206,'Dec'!$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MONTH(A329),'Jan'!$D$27:$AH$206,'Feb'!$D$27:$AH$206,'Mar'!$D$27:$AH$206,'Apr'!$D$27:$AH$206,'May'!$D$27:$AH$206,'Jun'!$D$27:$AH$206,'Jul'!$D$27:$AH$206,'Aug'!$D$27:$AH$206,'Sep'!$D$27:$AH$206,'Oct'!$D$27:$AH$206,'Nov'!$D$27:$AH$206,'Dec'!$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MONTH(A330),'Jan'!$D$27:$AH$206,'Feb'!$D$27:$AH$206,'Mar'!$D$27:$AH$206,'Apr'!$D$27:$AH$206,'May'!$D$27:$AH$206,'Jun'!$D$27:$AH$206,'Jul'!$D$27:$AH$206,'Aug'!$D$27:$AH$206,'Sep'!$D$27:$AH$206,'Oct'!$D$27:$AH$206,'Nov'!$D$27:$AH$206,'Dec'!$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MONTH(A331),'Jan'!$D$27:$AH$206,'Feb'!$D$27:$AH$206,'Mar'!$D$27:$AH$206,'Apr'!$D$27:$AH$206,'May'!$D$27:$AH$206,'Jun'!$D$27:$AH$206,'Jul'!$D$27:$AH$206,'Aug'!$D$27:$AH$206,'Sep'!$D$27:$AH$206,'Oct'!$D$27:$AH$206,'Nov'!$D$27:$AH$206,'Dec'!$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MONTH(A332),'Jan'!$D$27:$AH$206,'Feb'!$D$27:$AH$206,'Mar'!$D$27:$AH$206,'Apr'!$D$27:$AH$206,'May'!$D$27:$AH$206,'Jun'!$D$27:$AH$206,'Jul'!$D$27:$AH$206,'Aug'!$D$27:$AH$206,'Sep'!$D$27:$AH$206,'Oct'!$D$27:$AH$206,'Nov'!$D$27:$AH$206,'Dec'!$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MONTH(A333),'Jan'!$D$27:$AH$206,'Feb'!$D$27:$AH$206,'Mar'!$D$27:$AH$206,'Apr'!$D$27:$AH$206,'May'!$D$27:$AH$206,'Jun'!$D$27:$AH$206,'Jul'!$D$27:$AH$206,'Aug'!$D$27:$AH$206,'Sep'!$D$27:$AH$206,'Oct'!$D$27:$AH$206,'Nov'!$D$27:$AH$206,'Dec'!$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MONTH(A334),'Jan'!$D$27:$AH$206,'Feb'!$D$27:$AH$206,'Mar'!$D$27:$AH$206,'Apr'!$D$27:$AH$206,'May'!$D$27:$AH$206,'Jun'!$D$27:$AH$206,'Jul'!$D$27:$AH$206,'Aug'!$D$27:$AH$206,'Sep'!$D$27:$AH$206,'Oct'!$D$27:$AH$206,'Nov'!$D$27:$AH$206,'Dec'!$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MONTH(A335),'Jan'!$D$27:$AH$206,'Feb'!$D$27:$AH$206,'Mar'!$D$27:$AH$206,'Apr'!$D$27:$AH$206,'May'!$D$27:$AH$206,'Jun'!$D$27:$AH$206,'Jul'!$D$27:$AH$206,'Aug'!$D$27:$AH$206,'Sep'!$D$27:$AH$206,'Oct'!$D$27:$AH$206,'Nov'!$D$27:$AH$206,'Dec'!$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MONTH(A336),'Jan'!$D$27:$AH$206,'Feb'!$D$27:$AH$206,'Mar'!$D$27:$AH$206,'Apr'!$D$27:$AH$206,'May'!$D$27:$AH$206,'Jun'!$D$27:$AH$206,'Jul'!$D$27:$AH$206,'Aug'!$D$27:$AH$206,'Sep'!$D$27:$AH$206,'Oct'!$D$27:$AH$206,'Nov'!$D$27:$AH$206,'Dec'!$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MONTH(A337),'Jan'!$D$27:$AH$206,'Feb'!$D$27:$AH$206,'Mar'!$D$27:$AH$206,'Apr'!$D$27:$AH$206,'May'!$D$27:$AH$206,'Jun'!$D$27:$AH$206,'Jul'!$D$27:$AH$206,'Aug'!$D$27:$AH$206,'Sep'!$D$27:$AH$206,'Oct'!$D$27:$AH$206,'Nov'!$D$27:$AH$206,'Dec'!$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MONTH(A338),'Jan'!$D$27:$AH$206,'Feb'!$D$27:$AH$206,'Mar'!$D$27:$AH$206,'Apr'!$D$27:$AH$206,'May'!$D$27:$AH$206,'Jun'!$D$27:$AH$206,'Jul'!$D$27:$AH$206,'Aug'!$D$27:$AH$206,'Sep'!$D$27:$AH$206,'Oct'!$D$27:$AH$206,'Nov'!$D$27:$AH$206,'Dec'!$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MONTH(A339),'Jan'!$D$27:$AH$206,'Feb'!$D$27:$AH$206,'Mar'!$D$27:$AH$206,'Apr'!$D$27:$AH$206,'May'!$D$27:$AH$206,'Jun'!$D$27:$AH$206,'Jul'!$D$27:$AH$206,'Aug'!$D$27:$AH$206,'Sep'!$D$27:$AH$206,'Oct'!$D$27:$AH$206,'Nov'!$D$27:$AH$206,'Dec'!$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MONTH(A340),'Jan'!$D$27:$AH$206,'Feb'!$D$27:$AH$206,'Mar'!$D$27:$AH$206,'Apr'!$D$27:$AH$206,'May'!$D$27:$AH$206,'Jun'!$D$27:$AH$206,'Jul'!$D$27:$AH$206,'Aug'!$D$27:$AH$206,'Sep'!$D$27:$AH$206,'Oct'!$D$27:$AH$206,'Nov'!$D$27:$AH$206,'Dec'!$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MONTH(A341),'Jan'!$D$27:$AH$206,'Feb'!$D$27:$AH$206,'Mar'!$D$27:$AH$206,'Apr'!$D$27:$AH$206,'May'!$D$27:$AH$206,'Jun'!$D$27:$AH$206,'Jul'!$D$27:$AH$206,'Aug'!$D$27:$AH$206,'Sep'!$D$27:$AH$206,'Oct'!$D$27:$AH$206,'Nov'!$D$27:$AH$206,'Dec'!$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MONTH(A342),'Jan'!$D$27:$AH$206,'Feb'!$D$27:$AH$206,'Mar'!$D$27:$AH$206,'Apr'!$D$27:$AH$206,'May'!$D$27:$AH$206,'Jun'!$D$27:$AH$206,'Jul'!$D$27:$AH$206,'Aug'!$D$27:$AH$206,'Sep'!$D$27:$AH$206,'Oct'!$D$27:$AH$206,'Nov'!$D$27:$AH$206,'Dec'!$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MONTH(A343),'Jan'!$D$27:$AH$206,'Feb'!$D$27:$AH$206,'Mar'!$D$27:$AH$206,'Apr'!$D$27:$AH$206,'May'!$D$27:$AH$206,'Jun'!$D$27:$AH$206,'Jul'!$D$27:$AH$206,'Aug'!$D$27:$AH$206,'Sep'!$D$27:$AH$206,'Oct'!$D$27:$AH$206,'Nov'!$D$27:$AH$206,'Dec'!$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MONTH(A344),'Jan'!$D$27:$AH$206,'Feb'!$D$27:$AH$206,'Mar'!$D$27:$AH$206,'Apr'!$D$27:$AH$206,'May'!$D$27:$AH$206,'Jun'!$D$27:$AH$206,'Jul'!$D$27:$AH$206,'Aug'!$D$27:$AH$206,'Sep'!$D$27:$AH$206,'Oct'!$D$27:$AH$206,'Nov'!$D$27:$AH$206,'Dec'!$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MONTH(A345),'Jan'!$D$27:$AH$206,'Feb'!$D$27:$AH$206,'Mar'!$D$27:$AH$206,'Apr'!$D$27:$AH$206,'May'!$D$27:$AH$206,'Jun'!$D$27:$AH$206,'Jul'!$D$27:$AH$206,'Aug'!$D$27:$AH$206,'Sep'!$D$27:$AH$206,'Oct'!$D$27:$AH$206,'Nov'!$D$27:$AH$206,'Dec'!$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MONTH(A346),'Jan'!$D$27:$AH$206,'Feb'!$D$27:$AH$206,'Mar'!$D$27:$AH$206,'Apr'!$D$27:$AH$206,'May'!$D$27:$AH$206,'Jun'!$D$27:$AH$206,'Jul'!$D$27:$AH$206,'Aug'!$D$27:$AH$206,'Sep'!$D$27:$AH$206,'Oct'!$D$27:$AH$206,'Nov'!$D$27:$AH$206,'Dec'!$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MONTH(A347),'Jan'!$D$27:$AH$206,'Feb'!$D$27:$AH$206,'Mar'!$D$27:$AH$206,'Apr'!$D$27:$AH$206,'May'!$D$27:$AH$206,'Jun'!$D$27:$AH$206,'Jul'!$D$27:$AH$206,'Aug'!$D$27:$AH$206,'Sep'!$D$27:$AH$206,'Oct'!$D$27:$AH$206,'Nov'!$D$27:$AH$206,'Dec'!$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MONTH(A348),'Jan'!$D$27:$AH$206,'Feb'!$D$27:$AH$206,'Mar'!$D$27:$AH$206,'Apr'!$D$27:$AH$206,'May'!$D$27:$AH$206,'Jun'!$D$27:$AH$206,'Jul'!$D$27:$AH$206,'Aug'!$D$27:$AH$206,'Sep'!$D$27:$AH$206,'Oct'!$D$27:$AH$206,'Nov'!$D$27:$AH$206,'Dec'!$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MONTH(A349),'Jan'!$D$27:$AH$206,'Feb'!$D$27:$AH$206,'Mar'!$D$27:$AH$206,'Apr'!$D$27:$AH$206,'May'!$D$27:$AH$206,'Jun'!$D$27:$AH$206,'Jul'!$D$27:$AH$206,'Aug'!$D$27:$AH$206,'Sep'!$D$27:$AH$206,'Oct'!$D$27:$AH$206,'Nov'!$D$27:$AH$206,'Dec'!$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MONTH(A350),'Jan'!$D$27:$AH$206,'Feb'!$D$27:$AH$206,'Mar'!$D$27:$AH$206,'Apr'!$D$27:$AH$206,'May'!$D$27:$AH$206,'Jun'!$D$27:$AH$206,'Jul'!$D$27:$AH$206,'Aug'!$D$27:$AH$206,'Sep'!$D$27:$AH$206,'Oct'!$D$27:$AH$206,'Nov'!$D$27:$AH$206,'Dec'!$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MONTH(A351),'Jan'!$D$27:$AH$206,'Feb'!$D$27:$AH$206,'Mar'!$D$27:$AH$206,'Apr'!$D$27:$AH$206,'May'!$D$27:$AH$206,'Jun'!$D$27:$AH$206,'Jul'!$D$27:$AH$206,'Aug'!$D$27:$AH$206,'Sep'!$D$27:$AH$206,'Oct'!$D$27:$AH$206,'Nov'!$D$27:$AH$206,'Dec'!$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MONTH(A352),'Jan'!$D$27:$AH$206,'Feb'!$D$27:$AH$206,'Mar'!$D$27:$AH$206,'Apr'!$D$27:$AH$206,'May'!$D$27:$AH$206,'Jun'!$D$27:$AH$206,'Jul'!$D$27:$AH$206,'Aug'!$D$27:$AH$206,'Sep'!$D$27:$AH$206,'Oct'!$D$27:$AH$206,'Nov'!$D$27:$AH$206,'Dec'!$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MONTH(A353),'Jan'!$D$27:$AH$206,'Feb'!$D$27:$AH$206,'Mar'!$D$27:$AH$206,'Apr'!$D$27:$AH$206,'May'!$D$27:$AH$206,'Jun'!$D$27:$AH$206,'Jul'!$D$27:$AH$206,'Aug'!$D$27:$AH$206,'Sep'!$D$27:$AH$206,'Oct'!$D$27:$AH$206,'Nov'!$D$27:$AH$206,'Dec'!$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MONTH(A354),'Jan'!$D$27:$AH$206,'Feb'!$D$27:$AH$206,'Mar'!$D$27:$AH$206,'Apr'!$D$27:$AH$206,'May'!$D$27:$AH$206,'Jun'!$D$27:$AH$206,'Jul'!$D$27:$AH$206,'Aug'!$D$27:$AH$206,'Sep'!$D$27:$AH$206,'Oct'!$D$27:$AH$206,'Nov'!$D$27:$AH$206,'Dec'!$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MONTH(A355),'Jan'!$D$27:$AH$206,'Feb'!$D$27:$AH$206,'Mar'!$D$27:$AH$206,'Apr'!$D$27:$AH$206,'May'!$D$27:$AH$206,'Jun'!$D$27:$AH$206,'Jul'!$D$27:$AH$206,'Aug'!$D$27:$AH$206,'Sep'!$D$27:$AH$206,'Oct'!$D$27:$AH$206,'Nov'!$D$27:$AH$206,'Dec'!$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MONTH(A356),'Jan'!$D$27:$AH$206,'Feb'!$D$27:$AH$206,'Mar'!$D$27:$AH$206,'Apr'!$D$27:$AH$206,'May'!$D$27:$AH$206,'Jun'!$D$27:$AH$206,'Jul'!$D$27:$AH$206,'Aug'!$D$27:$AH$206,'Sep'!$D$27:$AH$206,'Oct'!$D$27:$AH$206,'Nov'!$D$27:$AH$206,'Dec'!$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MONTH(A357),'Jan'!$D$27:$AH$206,'Feb'!$D$27:$AH$206,'Mar'!$D$27:$AH$206,'Apr'!$D$27:$AH$206,'May'!$D$27:$AH$206,'Jun'!$D$27:$AH$206,'Jul'!$D$27:$AH$206,'Aug'!$D$27:$AH$206,'Sep'!$D$27:$AH$206,'Oct'!$D$27:$AH$206,'Nov'!$D$27:$AH$206,'Dec'!$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MONTH(A358),'Jan'!$D$27:$AH$206,'Feb'!$D$27:$AH$206,'Mar'!$D$27:$AH$206,'Apr'!$D$27:$AH$206,'May'!$D$27:$AH$206,'Jun'!$D$27:$AH$206,'Jul'!$D$27:$AH$206,'Aug'!$D$27:$AH$206,'Sep'!$D$27:$AH$206,'Oct'!$D$27:$AH$206,'Nov'!$D$27:$AH$206,'Dec'!$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MONTH(A359),'Jan'!$D$27:$AH$206,'Feb'!$D$27:$AH$206,'Mar'!$D$27:$AH$206,'Apr'!$D$27:$AH$206,'May'!$D$27:$AH$206,'Jun'!$D$27:$AH$206,'Jul'!$D$27:$AH$206,'Aug'!$D$27:$AH$206,'Sep'!$D$27:$AH$206,'Oct'!$D$27:$AH$206,'Nov'!$D$27:$AH$206,'Dec'!$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MONTH(A360),'Jan'!$D$27:$AH$206,'Feb'!$D$27:$AH$206,'Mar'!$D$27:$AH$206,'Apr'!$D$27:$AH$206,'May'!$D$27:$AH$206,'Jun'!$D$27:$AH$206,'Jul'!$D$27:$AH$206,'Aug'!$D$27:$AH$206,'Sep'!$D$27:$AH$206,'Oct'!$D$27:$AH$206,'Nov'!$D$27:$AH$206,'Dec'!$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MONTH(A361),'Jan'!$D$27:$AH$206,'Feb'!$D$27:$AH$206,'Mar'!$D$27:$AH$206,'Apr'!$D$27:$AH$206,'May'!$D$27:$AH$206,'Jun'!$D$27:$AH$206,'Jul'!$D$27:$AH$206,'Aug'!$D$27:$AH$206,'Sep'!$D$27:$AH$206,'Oct'!$D$27:$AH$206,'Nov'!$D$27:$AH$206,'Dec'!$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MONTH(A362),'Jan'!$D$27:$AH$206,'Feb'!$D$27:$AH$206,'Mar'!$D$27:$AH$206,'Apr'!$D$27:$AH$206,'May'!$D$27:$AH$206,'Jun'!$D$27:$AH$206,'Jul'!$D$27:$AH$206,'Aug'!$D$27:$AH$206,'Sep'!$D$27:$AH$206,'Oct'!$D$27:$AH$206,'Nov'!$D$27:$AH$206,'Dec'!$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MONTH(A363),'Jan'!$D$27:$AH$206,'Feb'!$D$27:$AH$206,'Mar'!$D$27:$AH$206,'Apr'!$D$27:$AH$206,'May'!$D$27:$AH$206,'Jun'!$D$27:$AH$206,'Jul'!$D$27:$AH$206,'Aug'!$D$27:$AH$206,'Sep'!$D$27:$AH$206,'Oct'!$D$27:$AH$206,'Nov'!$D$27:$AH$206,'Dec'!$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MONTH(A364),'Jan'!$D$27:$AH$206,'Feb'!$D$27:$AH$206,'Mar'!$D$27:$AH$206,'Apr'!$D$27:$AH$206,'May'!$D$27:$AH$206,'Jun'!$D$27:$AH$206,'Jul'!$D$27:$AH$206,'Aug'!$D$27:$AH$206,'Sep'!$D$27:$AH$206,'Oct'!$D$27:$AH$206,'Nov'!$D$27:$AH$206,'Dec'!$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MONTH(A365),'Jan'!$D$27:$AH$206,'Feb'!$D$27:$AH$206,'Mar'!$D$27:$AH$206,'Apr'!$D$27:$AH$206,'May'!$D$27:$AH$206,'Jun'!$D$27:$AH$206,'Jul'!$D$27:$AH$206,'Aug'!$D$27:$AH$206,'Sep'!$D$27:$AH$206,'Oct'!$D$27:$AH$206,'Nov'!$D$27:$AH$206,'Dec'!$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MONTH(A366),'Jan'!$D$27:$AH$206,'Feb'!$D$27:$AH$206,'Mar'!$D$27:$AH$206,'Apr'!$D$27:$AH$206,'May'!$D$27:$AH$206,'Jun'!$D$27:$AH$206,'Jul'!$D$27:$AH$206,'Aug'!$D$27:$AH$206,'Sep'!$D$27:$AH$206,'Oct'!$D$27:$AH$206,'Nov'!$D$27:$AH$206,'Dec'!$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MONTH(A367),'Jan'!$D$27:$AH$206,'Feb'!$D$27:$AH$206,'Mar'!$D$27:$AH$206,'Apr'!$D$27:$AH$206,'May'!$D$27:$AH$206,'Jun'!$D$27:$AH$206,'Jul'!$D$27:$AH$206,'Aug'!$D$27:$AH$206,'Sep'!$D$27:$AH$206,'Oct'!$D$27:$AH$206,'Nov'!$D$27:$AH$206,'Dec'!$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MONTH(A368),'Jan'!$D$27:$AH$206,'Feb'!$D$27:$AH$206,'Mar'!$D$27:$AH$206,'Apr'!$D$27:$AH$206,'May'!$D$27:$AH$206,'Jun'!$D$27:$AH$206,'Jul'!$D$27:$AH$206,'Aug'!$D$27:$AH$206,'Sep'!$D$27:$AH$206,'Oct'!$D$27:$AH$206,'Nov'!$D$27:$AH$206,'Dec'!$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MONTH(A369),'Jan'!$D$27:$AH$206,'Feb'!$D$27:$AH$206,'Mar'!$D$27:$AH$206,'Apr'!$D$27:$AH$206,'May'!$D$27:$AH$206,'Jun'!$D$27:$AH$206,'Jul'!$D$27:$AH$206,'Aug'!$D$27:$AH$206,'Sep'!$D$27:$AH$206,'Oct'!$D$27:$AH$206,'Nov'!$D$27:$AH$206,'Dec'!$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MONTH(A370),'Jan'!$D$27:$AH$206,'Feb'!$D$27:$AH$206,'Mar'!$D$27:$AH$206,'Apr'!$D$27:$AH$206,'May'!$D$27:$AH$206,'Jun'!$D$27:$AH$206,'Jul'!$D$27:$AH$206,'Aug'!$D$27:$AH$206,'Sep'!$D$27:$AH$206,'Oct'!$D$27:$AH$206,'Nov'!$D$27:$AH$206,'Dec'!$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MONTH(A371),'Jan'!$D$27:$AH$206,'Feb'!$D$27:$AH$206,'Mar'!$D$27:$AH$206,'Apr'!$D$27:$AH$206,'May'!$D$27:$AH$206,'Jun'!$D$27:$AH$206,'Jul'!$D$27:$AH$206,'Aug'!$D$27:$AH$206,'Sep'!$D$27:$AH$206,'Oct'!$D$27:$AH$206,'Nov'!$D$27:$AH$206,'Dec'!$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MONTH(A372),'Jan'!$D$27:$AH$206,'Feb'!$D$27:$AH$206,'Mar'!$D$27:$AH$206,'Apr'!$D$27:$AH$206,'May'!$D$27:$AH$206,'Jun'!$D$27:$AH$206,'Jul'!$D$27:$AH$206,'Aug'!$D$27:$AH$206,'Sep'!$D$27:$AH$206,'Oct'!$D$27:$AH$206,'Nov'!$D$27:$AH$206,'Dec'!$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MONTH(A373),'Jan'!$D$27:$AH$206,'Feb'!$D$27:$AH$206,'Mar'!$D$27:$AH$206,'Apr'!$D$27:$AH$206,'May'!$D$27:$AH$206,'Jun'!$D$27:$AH$206,'Jul'!$D$27:$AH$206,'Aug'!$D$27:$AH$206,'Sep'!$D$27:$AH$206,'Oct'!$D$27:$AH$206,'Nov'!$D$27:$AH$206,'Dec'!$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MONTH(A374),'Jan'!$D$27:$AH$206,'Feb'!$D$27:$AH$206,'Mar'!$D$27:$AH$206,'Apr'!$D$27:$AH$206,'May'!$D$27:$AH$206,'Jun'!$D$27:$AH$206,'Jul'!$D$27:$AH$206,'Aug'!$D$27:$AH$206,'Sep'!$D$27:$AH$206,'Oct'!$D$27:$AH$206,'Nov'!$D$27:$AH$206,'Dec'!$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MONTH(A375),'Jan'!$D$27:$AH$206,'Feb'!$D$27:$AH$206,'Mar'!$D$27:$AH$206,'Apr'!$D$27:$AH$206,'May'!$D$27:$AH$206,'Jun'!$D$27:$AH$206,'Jul'!$D$27:$AH$206,'Aug'!$D$27:$AH$206,'Sep'!$D$27:$AH$206,'Oct'!$D$27:$AH$206,'Nov'!$D$27:$AH$206,'Dec'!$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MONTH(A376),'Jan'!$D$27:$AH$206,'Feb'!$D$27:$AH$206,'Mar'!$D$27:$AH$206,'Apr'!$D$27:$AH$206,'May'!$D$27:$AH$206,'Jun'!$D$27:$AH$206,'Jul'!$D$27:$AH$206,'Aug'!$D$27:$AH$206,'Sep'!$D$27:$AH$206,'Oct'!$D$27:$AH$206,'Nov'!$D$27:$AH$206,'Dec'!$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MONTH(A377),'Jan'!$D$27:$AH$206,'Feb'!$D$27:$AH$206,'Mar'!$D$27:$AH$206,'Apr'!$D$27:$AH$206,'May'!$D$27:$AH$206,'Jun'!$D$27:$AH$206,'Jul'!$D$27:$AH$206,'Aug'!$D$27:$AH$206,'Sep'!$D$27:$AH$206,'Oct'!$D$27:$AH$206,'Nov'!$D$27:$AH$206,'Dec'!$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MONTH(A378),'Jan'!$D$27:$AH$206,'Feb'!$D$27:$AH$206,'Mar'!$D$27:$AH$206,'Apr'!$D$27:$AH$206,'May'!$D$27:$AH$206,'Jun'!$D$27:$AH$206,'Jul'!$D$27:$AH$206,'Aug'!$D$27:$AH$206,'Sep'!$D$27:$AH$206,'Oct'!$D$27:$AH$206,'Nov'!$D$27:$AH$206,'Dec'!$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MONTH(A379),'Jan'!$D$27:$AH$206,'Feb'!$D$27:$AH$206,'Mar'!$D$27:$AH$206,'Apr'!$D$27:$AH$206,'May'!$D$27:$AH$206,'Jun'!$D$27:$AH$206,'Jul'!$D$27:$AH$206,'Aug'!$D$27:$AH$206,'Sep'!$D$27:$AH$206,'Oct'!$D$27:$AH$206,'Nov'!$D$27:$AH$206,'Dec'!$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MONTH(A380),'Jan'!$D$27:$AH$206,'Feb'!$D$27:$AH$206,'Mar'!$D$27:$AH$206,'Apr'!$D$27:$AH$206,'May'!$D$27:$AH$206,'Jun'!$D$27:$AH$206,'Jul'!$D$27:$AH$206,'Aug'!$D$27:$AH$206,'Sep'!$D$27:$AH$206,'Oct'!$D$27:$AH$206,'Nov'!$D$27:$AH$206,'Dec'!$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MONTH(A381),'Jan'!$D$27:$AH$206,'Feb'!$D$27:$AH$206,'Mar'!$D$27:$AH$206,'Apr'!$D$27:$AH$206,'May'!$D$27:$AH$206,'Jun'!$D$27:$AH$206,'Jul'!$D$27:$AH$206,'Aug'!$D$27:$AH$206,'Sep'!$D$27:$AH$206,'Oct'!$D$27:$AH$206,'Nov'!$D$27:$AH$206,'Dec'!$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MONTH(A382),'Jan'!$D$27:$AH$206,'Feb'!$D$27:$AH$206,'Mar'!$D$27:$AH$206,'Apr'!$D$27:$AH$206,'May'!$D$27:$AH$206,'Jun'!$D$27:$AH$206,'Jul'!$D$27:$AH$206,'Aug'!$D$27:$AH$206,'Sep'!$D$27:$AH$206,'Oct'!$D$27:$AH$206,'Nov'!$D$27:$AH$206,'Dec'!$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MONTH(A383),'Jan'!$D$27:$AH$206,'Feb'!$D$27:$AH$206,'Mar'!$D$27:$AH$206,'Apr'!$D$27:$AH$206,'May'!$D$27:$AH$206,'Jun'!$D$27:$AH$206,'Jul'!$D$27:$AH$206,'Aug'!$D$27:$AH$206,'Sep'!$D$27:$AH$206,'Oct'!$D$27:$AH$206,'Nov'!$D$27:$AH$206,'Dec'!$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MONTH(A384),'Jan'!$D$27:$AH$206,'Feb'!$D$27:$AH$206,'Mar'!$D$27:$AH$206,'Apr'!$D$27:$AH$206,'May'!$D$27:$AH$206,'Jun'!$D$27:$AH$206,'Jul'!$D$27:$AH$206,'Aug'!$D$27:$AH$206,'Sep'!$D$27:$AH$206,'Oct'!$D$27:$AH$206,'Nov'!$D$27:$AH$206,'Dec'!$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MONTH(A385),'Jan'!$D$27:$AH$206,'Feb'!$D$27:$AH$206,'Mar'!$D$27:$AH$206,'Apr'!$D$27:$AH$206,'May'!$D$27:$AH$206,'Jun'!$D$27:$AH$206,'Jul'!$D$27:$AH$206,'Aug'!$D$27:$AH$206,'Sep'!$D$27:$AH$206,'Oct'!$D$27:$AH$206,'Nov'!$D$27:$AH$206,'Dec'!$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MONTH(A386),'Jan'!$D$27:$AH$206,'Feb'!$D$27:$AH$206,'Mar'!$D$27:$AH$206,'Apr'!$D$27:$AH$206,'May'!$D$27:$AH$206,'Jun'!$D$27:$AH$206,'Jul'!$D$27:$AH$206,'Aug'!$D$27:$AH$206,'Sep'!$D$27:$AH$206,'Oct'!$D$27:$AH$206,'Nov'!$D$27:$AH$206,'Dec'!$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MONTH(A387),'Jan'!$D$27:$AH$206,'Feb'!$D$27:$AH$206,'Mar'!$D$27:$AH$206,'Apr'!$D$27:$AH$206,'May'!$D$27:$AH$206,'Jun'!$D$27:$AH$206,'Jul'!$D$27:$AH$206,'Aug'!$D$27:$AH$206,'Sep'!$D$27:$AH$206,'Oct'!$D$27:$AH$206,'Nov'!$D$27:$AH$206,'Dec'!$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MONTH(A388),'Jan'!$D$27:$AH$206,'Feb'!$D$27:$AH$206,'Mar'!$D$27:$AH$206,'Apr'!$D$27:$AH$206,'May'!$D$27:$AH$206,'Jun'!$D$27:$AH$206,'Jul'!$D$27:$AH$206,'Aug'!$D$27:$AH$206,'Sep'!$D$27:$AH$206,'Oct'!$D$27:$AH$206,'Nov'!$D$27:$AH$206,'Dec'!$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MONTH(A389),'Jan'!$D$27:$AH$206,'Feb'!$D$27:$AH$206,'Mar'!$D$27:$AH$206,'Apr'!$D$27:$AH$206,'May'!$D$27:$AH$206,'Jun'!$D$27:$AH$206,'Jul'!$D$27:$AH$206,'Aug'!$D$27:$AH$206,'Sep'!$D$27:$AH$206,'Oct'!$D$27:$AH$206,'Nov'!$D$27:$AH$206,'Dec'!$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MONTH(A390),'Jan'!$D$27:$AH$206,'Feb'!$D$27:$AH$206,'Mar'!$D$27:$AH$206,'Apr'!$D$27:$AH$206,'May'!$D$27:$AH$206,'Jun'!$D$27:$AH$206,'Jul'!$D$27:$AH$206,'Aug'!$D$27:$AH$206,'Sep'!$D$27:$AH$206,'Oct'!$D$27:$AH$206,'Nov'!$D$27:$AH$206,'Dec'!$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MONTH(A391),'Jan'!$D$27:$AH$206,'Feb'!$D$27:$AH$206,'Mar'!$D$27:$AH$206,'Apr'!$D$27:$AH$206,'May'!$D$27:$AH$206,'Jun'!$D$27:$AH$206,'Jul'!$D$27:$AH$206,'Aug'!$D$27:$AH$206,'Sep'!$D$27:$AH$206,'Oct'!$D$27:$AH$206,'Nov'!$D$27:$AH$206,'Dec'!$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MONTH(A392),'Jan'!$D$27:$AH$206,'Feb'!$D$27:$AH$206,'Mar'!$D$27:$AH$206,'Apr'!$D$27:$AH$206,'May'!$D$27:$AH$206,'Jun'!$D$27:$AH$206,'Jul'!$D$27:$AH$206,'Aug'!$D$27:$AH$206,'Sep'!$D$27:$AH$206,'Oct'!$D$27:$AH$206,'Nov'!$D$27:$AH$206,'Dec'!$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MONTH(A393),'Jan'!$D$27:$AH$206,'Feb'!$D$27:$AH$206,'Mar'!$D$27:$AH$206,'Apr'!$D$27:$AH$206,'May'!$D$27:$AH$206,'Jun'!$D$27:$AH$206,'Jul'!$D$27:$AH$206,'Aug'!$D$27:$AH$206,'Sep'!$D$27:$AH$206,'Oct'!$D$27:$AH$206,'Nov'!$D$27:$AH$206,'Dec'!$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MONTH(A394),'Jan'!$D$27:$AH$206,'Feb'!$D$27:$AH$206,'Mar'!$D$27:$AH$206,'Apr'!$D$27:$AH$206,'May'!$D$27:$AH$206,'Jun'!$D$27:$AH$206,'Jul'!$D$27:$AH$206,'Aug'!$D$27:$AH$206,'Sep'!$D$27:$AH$206,'Oct'!$D$27:$AH$206,'Nov'!$D$27:$AH$206,'Dec'!$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MONTH(A395),'Jan'!$D$27:$AH$206,'Feb'!$D$27:$AH$206,'Mar'!$D$27:$AH$206,'Apr'!$D$27:$AH$206,'May'!$D$27:$AH$206,'Jun'!$D$27:$AH$206,'Jul'!$D$27:$AH$206,'Aug'!$D$27:$AH$206,'Sep'!$D$27:$AH$206,'Oct'!$D$27:$AH$206,'Nov'!$D$27:$AH$206,'Dec'!$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MONTH(A396),'Jan'!$D$27:$AH$206,'Feb'!$D$27:$AH$206,'Mar'!$D$27:$AH$206,'Apr'!$D$27:$AH$206,'May'!$D$27:$AH$206,'Jun'!$D$27:$AH$206,'Jul'!$D$27:$AH$206,'Aug'!$D$27:$AH$206,'Sep'!$D$27:$AH$206,'Oct'!$D$27:$AH$206,'Nov'!$D$27:$AH$206,'Dec'!$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MONTH(A397),'Jan'!$D$27:$AH$206,'Feb'!$D$27:$AH$206,'Mar'!$D$27:$AH$206,'Apr'!$D$27:$AH$206,'May'!$D$27:$AH$206,'Jun'!$D$27:$AH$206,'Jul'!$D$27:$AH$206,'Aug'!$D$27:$AH$206,'Sep'!$D$27:$AH$206,'Oct'!$D$27:$AH$206,'Nov'!$D$27:$AH$206,'Dec'!$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MONTH(A398),'Jan'!$D$27:$AH$206,'Feb'!$D$27:$AH$206,'Mar'!$D$27:$AH$206,'Apr'!$D$27:$AH$206,'May'!$D$27:$AH$206,'Jun'!$D$27:$AH$206,'Jul'!$D$27:$AH$206,'Aug'!$D$27:$AH$206,'Sep'!$D$27:$AH$206,'Oct'!$D$27:$AH$206,'Nov'!$D$27:$AH$206,'Dec'!$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MONTH(A399),'Jan'!$D$27:$AH$206,'Feb'!$D$27:$AH$206,'Mar'!$D$27:$AH$206,'Apr'!$D$27:$AH$206,'May'!$D$27:$AH$206,'Jun'!$D$27:$AH$206,'Jul'!$D$27:$AH$206,'Aug'!$D$27:$AH$206,'Sep'!$D$27:$AH$206,'Oct'!$D$27:$AH$206,'Nov'!$D$27:$AH$206,'Dec'!$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MONTH(A400),'Jan'!$D$27:$AH$206,'Feb'!$D$27:$AH$206,'Mar'!$D$27:$AH$206,'Apr'!$D$27:$AH$206,'May'!$D$27:$AH$206,'Jun'!$D$27:$AH$206,'Jul'!$D$27:$AH$206,'Aug'!$D$27:$AH$206,'Sep'!$D$27:$AH$206,'Oct'!$D$27:$AH$206,'Nov'!$D$27:$AH$206,'Dec'!$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MONTH(A401),'Jan'!$D$27:$AH$206,'Feb'!$D$27:$AH$206,'Mar'!$D$27:$AH$206,'Apr'!$D$27:$AH$206,'May'!$D$27:$AH$206,'Jun'!$D$27:$AH$206,'Jul'!$D$27:$AH$206,'Aug'!$D$27:$AH$206,'Sep'!$D$27:$AH$206,'Oct'!$D$27:$AH$206,'Nov'!$D$27:$AH$206,'Dec'!$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MONTH(A402),'Jan'!$D$27:$AH$206,'Feb'!$D$27:$AH$206,'Mar'!$D$27:$AH$206,'Apr'!$D$27:$AH$206,'May'!$D$27:$AH$206,'Jun'!$D$27:$AH$206,'Jul'!$D$27:$AH$206,'Aug'!$D$27:$AH$206,'Sep'!$D$27:$AH$206,'Oct'!$D$27:$AH$206,'Nov'!$D$27:$AH$206,'Dec'!$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MONTH(A403),'Jan'!$D$27:$AH$206,'Feb'!$D$27:$AH$206,'Mar'!$D$27:$AH$206,'Apr'!$D$27:$AH$206,'May'!$D$27:$AH$206,'Jun'!$D$27:$AH$206,'Jul'!$D$27:$AH$206,'Aug'!$D$27:$AH$206,'Sep'!$D$27:$AH$206,'Oct'!$D$27:$AH$206,'Nov'!$D$27:$AH$206,'Dec'!$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MONTH(A404),'Jan'!$D$27:$AH$206,'Feb'!$D$27:$AH$206,'Mar'!$D$27:$AH$206,'Apr'!$D$27:$AH$206,'May'!$D$27:$AH$206,'Jun'!$D$27:$AH$206,'Jul'!$D$27:$AH$206,'Aug'!$D$27:$AH$206,'Sep'!$D$27:$AH$206,'Oct'!$D$27:$AH$206,'Nov'!$D$27:$AH$206,'Dec'!$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MONTH(A405),'Jan'!$D$27:$AH$206,'Feb'!$D$27:$AH$206,'Mar'!$D$27:$AH$206,'Apr'!$D$27:$AH$206,'May'!$D$27:$AH$206,'Jun'!$D$27:$AH$206,'Jul'!$D$27:$AH$206,'Aug'!$D$27:$AH$206,'Sep'!$D$27:$AH$206,'Oct'!$D$27:$AH$206,'Nov'!$D$27:$AH$206,'Dec'!$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MONTH(A406),'Jan'!$D$27:$AH$206,'Feb'!$D$27:$AH$206,'Mar'!$D$27:$AH$206,'Apr'!$D$27:$AH$206,'May'!$D$27:$AH$206,'Jun'!$D$27:$AH$206,'Jul'!$D$27:$AH$206,'Aug'!$D$27:$AH$206,'Sep'!$D$27:$AH$206,'Oct'!$D$27:$AH$206,'Nov'!$D$27:$AH$206,'Dec'!$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MONTH(A407),'Jan'!$D$27:$AH$206,'Feb'!$D$27:$AH$206,'Mar'!$D$27:$AH$206,'Apr'!$D$27:$AH$206,'May'!$D$27:$AH$206,'Jun'!$D$27:$AH$206,'Jul'!$D$27:$AH$206,'Aug'!$D$27:$AH$206,'Sep'!$D$27:$AH$206,'Oct'!$D$27:$AH$206,'Nov'!$D$27:$AH$206,'Dec'!$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MONTH(A408),'Jan'!$D$27:$AH$206,'Feb'!$D$27:$AH$206,'Mar'!$D$27:$AH$206,'Apr'!$D$27:$AH$206,'May'!$D$27:$AH$206,'Jun'!$D$27:$AH$206,'Jul'!$D$27:$AH$206,'Aug'!$D$27:$AH$206,'Sep'!$D$27:$AH$206,'Oct'!$D$27:$AH$206,'Nov'!$D$27:$AH$206,'Dec'!$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MONTH(A409),'Jan'!$D$27:$AH$206,'Feb'!$D$27:$AH$206,'Mar'!$D$27:$AH$206,'Apr'!$D$27:$AH$206,'May'!$D$27:$AH$206,'Jun'!$D$27:$AH$206,'Jul'!$D$27:$AH$206,'Aug'!$D$27:$AH$206,'Sep'!$D$27:$AH$206,'Oct'!$D$27:$AH$206,'Nov'!$D$27:$AH$206,'Dec'!$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MONTH(A410),'Jan'!$D$27:$AH$206,'Feb'!$D$27:$AH$206,'Mar'!$D$27:$AH$206,'Apr'!$D$27:$AH$206,'May'!$D$27:$AH$206,'Jun'!$D$27:$AH$206,'Jul'!$D$27:$AH$206,'Aug'!$D$27:$AH$206,'Sep'!$D$27:$AH$206,'Oct'!$D$27:$AH$206,'Nov'!$D$27:$AH$206,'Dec'!$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MONTH(A411),'Jan'!$D$27:$AH$206,'Feb'!$D$27:$AH$206,'Mar'!$D$27:$AH$206,'Apr'!$D$27:$AH$206,'May'!$D$27:$AH$206,'Jun'!$D$27:$AH$206,'Jul'!$D$27:$AH$206,'Aug'!$D$27:$AH$206,'Sep'!$D$27:$AH$206,'Oct'!$D$27:$AH$206,'Nov'!$D$27:$AH$206,'Dec'!$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MONTH(A412),'Jan'!$D$27:$AH$206,'Feb'!$D$27:$AH$206,'Mar'!$D$27:$AH$206,'Apr'!$D$27:$AH$206,'May'!$D$27:$AH$206,'Jun'!$D$27:$AH$206,'Jul'!$D$27:$AH$206,'Aug'!$D$27:$AH$206,'Sep'!$D$27:$AH$206,'Oct'!$D$27:$AH$206,'Nov'!$D$27:$AH$206,'Dec'!$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MONTH(A413),'Jan'!$D$27:$AH$206,'Feb'!$D$27:$AH$206,'Mar'!$D$27:$AH$206,'Apr'!$D$27:$AH$206,'May'!$D$27:$AH$206,'Jun'!$D$27:$AH$206,'Jul'!$D$27:$AH$206,'Aug'!$D$27:$AH$206,'Sep'!$D$27:$AH$206,'Oct'!$D$27:$AH$206,'Nov'!$D$27:$AH$206,'Dec'!$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MONTH(A414),'Jan'!$D$27:$AH$206,'Feb'!$D$27:$AH$206,'Mar'!$D$27:$AH$206,'Apr'!$D$27:$AH$206,'May'!$D$27:$AH$206,'Jun'!$D$27:$AH$206,'Jul'!$D$27:$AH$206,'Aug'!$D$27:$AH$206,'Sep'!$D$27:$AH$206,'Oct'!$D$27:$AH$206,'Nov'!$D$27:$AH$206,'Dec'!$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MONTH(A415),'Jan'!$D$27:$AH$206,'Feb'!$D$27:$AH$206,'Mar'!$D$27:$AH$206,'Apr'!$D$27:$AH$206,'May'!$D$27:$AH$206,'Jun'!$D$27:$AH$206,'Jul'!$D$27:$AH$206,'Aug'!$D$27:$AH$206,'Sep'!$D$27:$AH$206,'Oct'!$D$27:$AH$206,'Nov'!$D$27:$AH$206,'Dec'!$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MONTH(A416),'Jan'!$D$27:$AH$206,'Feb'!$D$27:$AH$206,'Mar'!$D$27:$AH$206,'Apr'!$D$27:$AH$206,'May'!$D$27:$AH$206,'Jun'!$D$27:$AH$206,'Jul'!$D$27:$AH$206,'Aug'!$D$27:$AH$206,'Sep'!$D$27:$AH$206,'Oct'!$D$27:$AH$206,'Nov'!$D$27:$AH$206,'Dec'!$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MONTH(A417),'Jan'!$D$27:$AH$206,'Feb'!$D$27:$AH$206,'Mar'!$D$27:$AH$206,'Apr'!$D$27:$AH$206,'May'!$D$27:$AH$206,'Jun'!$D$27:$AH$206,'Jul'!$D$27:$AH$206,'Aug'!$D$27:$AH$206,'Sep'!$D$27:$AH$206,'Oct'!$D$27:$AH$206,'Nov'!$D$27:$AH$206,'Dec'!$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MONTH(A418),'Jan'!$D$27:$AH$206,'Feb'!$D$27:$AH$206,'Mar'!$D$27:$AH$206,'Apr'!$D$27:$AH$206,'May'!$D$27:$AH$206,'Jun'!$D$27:$AH$206,'Jul'!$D$27:$AH$206,'Aug'!$D$27:$AH$206,'Sep'!$D$27:$AH$206,'Oct'!$D$27:$AH$206,'Nov'!$D$27:$AH$206,'Dec'!$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MONTH(A419),'Jan'!$D$27:$AH$206,'Feb'!$D$27:$AH$206,'Mar'!$D$27:$AH$206,'Apr'!$D$27:$AH$206,'May'!$D$27:$AH$206,'Jun'!$D$27:$AH$206,'Jul'!$D$27:$AH$206,'Aug'!$D$27:$AH$206,'Sep'!$D$27:$AH$206,'Oct'!$D$27:$AH$206,'Nov'!$D$27:$AH$206,'Dec'!$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MONTH(A420),'Jan'!$D$27:$AH$206,'Feb'!$D$27:$AH$206,'Mar'!$D$27:$AH$206,'Apr'!$D$27:$AH$206,'May'!$D$27:$AH$206,'Jun'!$D$27:$AH$206,'Jul'!$D$27:$AH$206,'Aug'!$D$27:$AH$206,'Sep'!$D$27:$AH$206,'Oct'!$D$27:$AH$206,'Nov'!$D$27:$AH$206,'Dec'!$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MONTH(A421),'Jan'!$D$27:$AH$206,'Feb'!$D$27:$AH$206,'Mar'!$D$27:$AH$206,'Apr'!$D$27:$AH$206,'May'!$D$27:$AH$206,'Jun'!$D$27:$AH$206,'Jul'!$D$27:$AH$206,'Aug'!$D$27:$AH$206,'Sep'!$D$27:$AH$206,'Oct'!$D$27:$AH$206,'Nov'!$D$27:$AH$206,'Dec'!$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MONTH(A422),'Jan'!$D$27:$AH$206,'Feb'!$D$27:$AH$206,'Mar'!$D$27:$AH$206,'Apr'!$D$27:$AH$206,'May'!$D$27:$AH$206,'Jun'!$D$27:$AH$206,'Jul'!$D$27:$AH$206,'Aug'!$D$27:$AH$206,'Sep'!$D$27:$AH$206,'Oct'!$D$27:$AH$206,'Nov'!$D$27:$AH$206,'Dec'!$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MONTH(A423),'Jan'!$D$27:$AH$206,'Feb'!$D$27:$AH$206,'Mar'!$D$27:$AH$206,'Apr'!$D$27:$AH$206,'May'!$D$27:$AH$206,'Jun'!$D$27:$AH$206,'Jul'!$D$27:$AH$206,'Aug'!$D$27:$AH$206,'Sep'!$D$27:$AH$206,'Oct'!$D$27:$AH$206,'Nov'!$D$27:$AH$206,'Dec'!$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MONTH(A424),'Jan'!$D$27:$AH$206,'Feb'!$D$27:$AH$206,'Mar'!$D$27:$AH$206,'Apr'!$D$27:$AH$206,'May'!$D$27:$AH$206,'Jun'!$D$27:$AH$206,'Jul'!$D$27:$AH$206,'Aug'!$D$27:$AH$206,'Sep'!$D$27:$AH$206,'Oct'!$D$27:$AH$206,'Nov'!$D$27:$AH$206,'Dec'!$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MONTH(A425),'Jan'!$D$27:$AH$206,'Feb'!$D$27:$AH$206,'Mar'!$D$27:$AH$206,'Apr'!$D$27:$AH$206,'May'!$D$27:$AH$206,'Jun'!$D$27:$AH$206,'Jul'!$D$27:$AH$206,'Aug'!$D$27:$AH$206,'Sep'!$D$27:$AH$206,'Oct'!$D$27:$AH$206,'Nov'!$D$27:$AH$206,'Dec'!$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MONTH(A426),'Jan'!$D$27:$AH$206,'Feb'!$D$27:$AH$206,'Mar'!$D$27:$AH$206,'Apr'!$D$27:$AH$206,'May'!$D$27:$AH$206,'Jun'!$D$27:$AH$206,'Jul'!$D$27:$AH$206,'Aug'!$D$27:$AH$206,'Sep'!$D$27:$AH$206,'Oct'!$D$27:$AH$206,'Nov'!$D$27:$AH$206,'Dec'!$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MONTH(A427),'Jan'!$D$27:$AH$206,'Feb'!$D$27:$AH$206,'Mar'!$D$27:$AH$206,'Apr'!$D$27:$AH$206,'May'!$D$27:$AH$206,'Jun'!$D$27:$AH$206,'Jul'!$D$27:$AH$206,'Aug'!$D$27:$AH$206,'Sep'!$D$27:$AH$206,'Oct'!$D$27:$AH$206,'Nov'!$D$27:$AH$206,'Dec'!$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MONTH(A428),'Jan'!$D$27:$AH$206,'Feb'!$D$27:$AH$206,'Mar'!$D$27:$AH$206,'Apr'!$D$27:$AH$206,'May'!$D$27:$AH$206,'Jun'!$D$27:$AH$206,'Jul'!$D$27:$AH$206,'Aug'!$D$27:$AH$206,'Sep'!$D$27:$AH$206,'Oct'!$D$27:$AH$206,'Nov'!$D$27:$AH$206,'Dec'!$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MONTH(A429),'Jan'!$D$27:$AH$206,'Feb'!$D$27:$AH$206,'Mar'!$D$27:$AH$206,'Apr'!$D$27:$AH$206,'May'!$D$27:$AH$206,'Jun'!$D$27:$AH$206,'Jul'!$D$27:$AH$206,'Aug'!$D$27:$AH$206,'Sep'!$D$27:$AH$206,'Oct'!$D$27:$AH$206,'Nov'!$D$27:$AH$206,'Dec'!$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MONTH(A430),'Jan'!$D$27:$AH$206,'Feb'!$D$27:$AH$206,'Mar'!$D$27:$AH$206,'Apr'!$D$27:$AH$206,'May'!$D$27:$AH$206,'Jun'!$D$27:$AH$206,'Jul'!$D$27:$AH$206,'Aug'!$D$27:$AH$206,'Sep'!$D$27:$AH$206,'Oct'!$D$27:$AH$206,'Nov'!$D$27:$AH$206,'Dec'!$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MONTH(A431),'Jan'!$D$27:$AH$206,'Feb'!$D$27:$AH$206,'Mar'!$D$27:$AH$206,'Apr'!$D$27:$AH$206,'May'!$D$27:$AH$206,'Jun'!$D$27:$AH$206,'Jul'!$D$27:$AH$206,'Aug'!$D$27:$AH$206,'Sep'!$D$27:$AH$206,'Oct'!$D$27:$AH$206,'Nov'!$D$27:$AH$206,'Dec'!$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MONTH(A432),'Jan'!$D$27:$AH$206,'Feb'!$D$27:$AH$206,'Mar'!$D$27:$AH$206,'Apr'!$D$27:$AH$206,'May'!$D$27:$AH$206,'Jun'!$D$27:$AH$206,'Jul'!$D$27:$AH$206,'Aug'!$D$27:$AH$206,'Sep'!$D$27:$AH$206,'Oct'!$D$27:$AH$206,'Nov'!$D$27:$AH$206,'Dec'!$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MONTH(A433),'Jan'!$D$27:$AH$206,'Feb'!$D$27:$AH$206,'Mar'!$D$27:$AH$206,'Apr'!$D$27:$AH$206,'May'!$D$27:$AH$206,'Jun'!$D$27:$AH$206,'Jul'!$D$27:$AH$206,'Aug'!$D$27:$AH$206,'Sep'!$D$27:$AH$206,'Oct'!$D$27:$AH$206,'Nov'!$D$27:$AH$206,'Dec'!$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MONTH(A434),'Jan'!$D$27:$AH$206,'Feb'!$D$27:$AH$206,'Mar'!$D$27:$AH$206,'Apr'!$D$27:$AH$206,'May'!$D$27:$AH$206,'Jun'!$D$27:$AH$206,'Jul'!$D$27:$AH$206,'Aug'!$D$27:$AH$206,'Sep'!$D$27:$AH$206,'Oct'!$D$27:$AH$206,'Nov'!$D$27:$AH$206,'Dec'!$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MONTH(A435),'Jan'!$D$27:$AH$206,'Feb'!$D$27:$AH$206,'Mar'!$D$27:$AH$206,'Apr'!$D$27:$AH$206,'May'!$D$27:$AH$206,'Jun'!$D$27:$AH$206,'Jul'!$D$27:$AH$206,'Aug'!$D$27:$AH$206,'Sep'!$D$27:$AH$206,'Oct'!$D$27:$AH$206,'Nov'!$D$27:$AH$206,'Dec'!$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MONTH(A436),'Jan'!$D$27:$AH$206,'Feb'!$D$27:$AH$206,'Mar'!$D$27:$AH$206,'Apr'!$D$27:$AH$206,'May'!$D$27:$AH$206,'Jun'!$D$27:$AH$206,'Jul'!$D$27:$AH$206,'Aug'!$D$27:$AH$206,'Sep'!$D$27:$AH$206,'Oct'!$D$27:$AH$206,'Nov'!$D$27:$AH$206,'Dec'!$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MONTH(A437),'Jan'!$D$27:$AH$206,'Feb'!$D$27:$AH$206,'Mar'!$D$27:$AH$206,'Apr'!$D$27:$AH$206,'May'!$D$27:$AH$206,'Jun'!$D$27:$AH$206,'Jul'!$D$27:$AH$206,'Aug'!$D$27:$AH$206,'Sep'!$D$27:$AH$206,'Oct'!$D$27:$AH$206,'Nov'!$D$27:$AH$206,'Dec'!$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MONTH(A438),'Jan'!$D$27:$AH$206,'Feb'!$D$27:$AH$206,'Mar'!$D$27:$AH$206,'Apr'!$D$27:$AH$206,'May'!$D$27:$AH$206,'Jun'!$D$27:$AH$206,'Jul'!$D$27:$AH$206,'Aug'!$D$27:$AH$206,'Sep'!$D$27:$AH$206,'Oct'!$D$27:$AH$206,'Nov'!$D$27:$AH$206,'Dec'!$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MONTH(A439),'Jan'!$D$27:$AH$206,'Feb'!$D$27:$AH$206,'Mar'!$D$27:$AH$206,'Apr'!$D$27:$AH$206,'May'!$D$27:$AH$206,'Jun'!$D$27:$AH$206,'Jul'!$D$27:$AH$206,'Aug'!$D$27:$AH$206,'Sep'!$D$27:$AH$206,'Oct'!$D$27:$AH$206,'Nov'!$D$27:$AH$206,'Dec'!$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MONTH(A440),'Jan'!$D$27:$AH$206,'Feb'!$D$27:$AH$206,'Mar'!$D$27:$AH$206,'Apr'!$D$27:$AH$206,'May'!$D$27:$AH$206,'Jun'!$D$27:$AH$206,'Jul'!$D$27:$AH$206,'Aug'!$D$27:$AH$206,'Sep'!$D$27:$AH$206,'Oct'!$D$27:$AH$206,'Nov'!$D$27:$AH$206,'Dec'!$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MONTH(A441),'Jan'!$D$27:$AH$206,'Feb'!$D$27:$AH$206,'Mar'!$D$27:$AH$206,'Apr'!$D$27:$AH$206,'May'!$D$27:$AH$206,'Jun'!$D$27:$AH$206,'Jul'!$D$27:$AH$206,'Aug'!$D$27:$AH$206,'Sep'!$D$27:$AH$206,'Oct'!$D$27:$AH$206,'Nov'!$D$27:$AH$206,'Dec'!$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MONTH(A442),'Jan'!$D$27:$AH$206,'Feb'!$D$27:$AH$206,'Mar'!$D$27:$AH$206,'Apr'!$D$27:$AH$206,'May'!$D$27:$AH$206,'Jun'!$D$27:$AH$206,'Jul'!$D$27:$AH$206,'Aug'!$D$27:$AH$206,'Sep'!$D$27:$AH$206,'Oct'!$D$27:$AH$206,'Nov'!$D$27:$AH$206,'Dec'!$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MONTH(A443),'Jan'!$D$27:$AH$206,'Feb'!$D$27:$AH$206,'Mar'!$D$27:$AH$206,'Apr'!$D$27:$AH$206,'May'!$D$27:$AH$206,'Jun'!$D$27:$AH$206,'Jul'!$D$27:$AH$206,'Aug'!$D$27:$AH$206,'Sep'!$D$27:$AH$206,'Oct'!$D$27:$AH$206,'Nov'!$D$27:$AH$206,'Dec'!$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MONTH(A444),'Jan'!$D$27:$AH$206,'Feb'!$D$27:$AH$206,'Mar'!$D$27:$AH$206,'Apr'!$D$27:$AH$206,'May'!$D$27:$AH$206,'Jun'!$D$27:$AH$206,'Jul'!$D$27:$AH$206,'Aug'!$D$27:$AH$206,'Sep'!$D$27:$AH$206,'Oct'!$D$27:$AH$206,'Nov'!$D$27:$AH$206,'Dec'!$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MONTH(A445),'Jan'!$D$27:$AH$206,'Feb'!$D$27:$AH$206,'Mar'!$D$27:$AH$206,'Apr'!$D$27:$AH$206,'May'!$D$27:$AH$206,'Jun'!$D$27:$AH$206,'Jul'!$D$27:$AH$206,'Aug'!$D$27:$AH$206,'Sep'!$D$27:$AH$206,'Oct'!$D$27:$AH$206,'Nov'!$D$27:$AH$206,'Dec'!$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MONTH(A446),'Jan'!$D$27:$AH$206,'Feb'!$D$27:$AH$206,'Mar'!$D$27:$AH$206,'Apr'!$D$27:$AH$206,'May'!$D$27:$AH$206,'Jun'!$D$27:$AH$206,'Jul'!$D$27:$AH$206,'Aug'!$D$27:$AH$206,'Sep'!$D$27:$AH$206,'Oct'!$D$27:$AH$206,'Nov'!$D$27:$AH$206,'Dec'!$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MONTH(A447),'Jan'!$D$27:$AH$206,'Feb'!$D$27:$AH$206,'Mar'!$D$27:$AH$206,'Apr'!$D$27:$AH$206,'May'!$D$27:$AH$206,'Jun'!$D$27:$AH$206,'Jul'!$D$27:$AH$206,'Aug'!$D$27:$AH$206,'Sep'!$D$27:$AH$206,'Oct'!$D$27:$AH$206,'Nov'!$D$27:$AH$206,'Dec'!$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MONTH(A448),'Jan'!$D$27:$AH$206,'Feb'!$D$27:$AH$206,'Mar'!$D$27:$AH$206,'Apr'!$D$27:$AH$206,'May'!$D$27:$AH$206,'Jun'!$D$27:$AH$206,'Jul'!$D$27:$AH$206,'Aug'!$D$27:$AH$206,'Sep'!$D$27:$AH$206,'Oct'!$D$27:$AH$206,'Nov'!$D$27:$AH$206,'Dec'!$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MONTH(A449),'Jan'!$D$27:$AH$206,'Feb'!$D$27:$AH$206,'Mar'!$D$27:$AH$206,'Apr'!$D$27:$AH$206,'May'!$D$27:$AH$206,'Jun'!$D$27:$AH$206,'Jul'!$D$27:$AH$206,'Aug'!$D$27:$AH$206,'Sep'!$D$27:$AH$206,'Oct'!$D$27:$AH$206,'Nov'!$D$27:$AH$206,'Dec'!$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MONTH(A450),'Jan'!$D$27:$AH$206,'Feb'!$D$27:$AH$206,'Mar'!$D$27:$AH$206,'Apr'!$D$27:$AH$206,'May'!$D$27:$AH$206,'Jun'!$D$27:$AH$206,'Jul'!$D$27:$AH$206,'Aug'!$D$27:$AH$206,'Sep'!$D$27:$AH$206,'Oct'!$D$27:$AH$206,'Nov'!$D$27:$AH$206,'Dec'!$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MONTH(A451),'Jan'!$D$27:$AH$206,'Feb'!$D$27:$AH$206,'Mar'!$D$27:$AH$206,'Apr'!$D$27:$AH$206,'May'!$D$27:$AH$206,'Jun'!$D$27:$AH$206,'Jul'!$D$27:$AH$206,'Aug'!$D$27:$AH$206,'Sep'!$D$27:$AH$206,'Oct'!$D$27:$AH$206,'Nov'!$D$27:$AH$206,'Dec'!$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MONTH(A452),'Jan'!$D$27:$AH$206,'Feb'!$D$27:$AH$206,'Mar'!$D$27:$AH$206,'Apr'!$D$27:$AH$206,'May'!$D$27:$AH$206,'Jun'!$D$27:$AH$206,'Jul'!$D$27:$AH$206,'Aug'!$D$27:$AH$206,'Sep'!$D$27:$AH$206,'Oct'!$D$27:$AH$206,'Nov'!$D$27:$AH$206,'Dec'!$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MONTH(A453),'Jan'!$D$27:$AH$206,'Feb'!$D$27:$AH$206,'Mar'!$D$27:$AH$206,'Apr'!$D$27:$AH$206,'May'!$D$27:$AH$206,'Jun'!$D$27:$AH$206,'Jul'!$D$27:$AH$206,'Aug'!$D$27:$AH$206,'Sep'!$D$27:$AH$206,'Oct'!$D$27:$AH$206,'Nov'!$D$27:$AH$206,'Dec'!$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MONTH(A454),'Jan'!$D$27:$AH$206,'Feb'!$D$27:$AH$206,'Mar'!$D$27:$AH$206,'Apr'!$D$27:$AH$206,'May'!$D$27:$AH$206,'Jun'!$D$27:$AH$206,'Jul'!$D$27:$AH$206,'Aug'!$D$27:$AH$206,'Sep'!$D$27:$AH$206,'Oct'!$D$27:$AH$206,'Nov'!$D$27:$AH$206,'Dec'!$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MONTH(A455),'Jan'!$D$27:$AH$206,'Feb'!$D$27:$AH$206,'Mar'!$D$27:$AH$206,'Apr'!$D$27:$AH$206,'May'!$D$27:$AH$206,'Jun'!$D$27:$AH$206,'Jul'!$D$27:$AH$206,'Aug'!$D$27:$AH$206,'Sep'!$D$27:$AH$206,'Oct'!$D$27:$AH$206,'Nov'!$D$27:$AH$206,'Dec'!$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MONTH(A456),'Jan'!$D$27:$AH$206,'Feb'!$D$27:$AH$206,'Mar'!$D$27:$AH$206,'Apr'!$D$27:$AH$206,'May'!$D$27:$AH$206,'Jun'!$D$27:$AH$206,'Jul'!$D$27:$AH$206,'Aug'!$D$27:$AH$206,'Sep'!$D$27:$AH$206,'Oct'!$D$27:$AH$206,'Nov'!$D$27:$AH$206,'Dec'!$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MONTH(A457),'Jan'!$D$27:$AH$206,'Feb'!$D$27:$AH$206,'Mar'!$D$27:$AH$206,'Apr'!$D$27:$AH$206,'May'!$D$27:$AH$206,'Jun'!$D$27:$AH$206,'Jul'!$D$27:$AH$206,'Aug'!$D$27:$AH$206,'Sep'!$D$27:$AH$206,'Oct'!$D$27:$AH$206,'Nov'!$D$27:$AH$206,'Dec'!$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MONTH(A458),'Jan'!$D$27:$AH$206,'Feb'!$D$27:$AH$206,'Mar'!$D$27:$AH$206,'Apr'!$D$27:$AH$206,'May'!$D$27:$AH$206,'Jun'!$D$27:$AH$206,'Jul'!$D$27:$AH$206,'Aug'!$D$27:$AH$206,'Sep'!$D$27:$AH$206,'Oct'!$D$27:$AH$206,'Nov'!$D$27:$AH$206,'Dec'!$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MONTH(A459),'Jan'!$D$27:$AH$206,'Feb'!$D$27:$AH$206,'Mar'!$D$27:$AH$206,'Apr'!$D$27:$AH$206,'May'!$D$27:$AH$206,'Jun'!$D$27:$AH$206,'Jul'!$D$27:$AH$206,'Aug'!$D$27:$AH$206,'Sep'!$D$27:$AH$206,'Oct'!$D$27:$AH$206,'Nov'!$D$27:$AH$206,'Dec'!$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MONTH(A460),'Jan'!$D$27:$AH$206,'Feb'!$D$27:$AH$206,'Mar'!$D$27:$AH$206,'Apr'!$D$27:$AH$206,'May'!$D$27:$AH$206,'Jun'!$D$27:$AH$206,'Jul'!$D$27:$AH$206,'Aug'!$D$27:$AH$206,'Sep'!$D$27:$AH$206,'Oct'!$D$27:$AH$206,'Nov'!$D$27:$AH$206,'Dec'!$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MONTH(A461),'Jan'!$D$27:$AH$206,'Feb'!$D$27:$AH$206,'Mar'!$D$27:$AH$206,'Apr'!$D$27:$AH$206,'May'!$D$27:$AH$206,'Jun'!$D$27:$AH$206,'Jul'!$D$27:$AH$206,'Aug'!$D$27:$AH$206,'Sep'!$D$27:$AH$206,'Oct'!$D$27:$AH$206,'Nov'!$D$27:$AH$206,'Dec'!$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MONTH(A462),'Jan'!$D$27:$AH$206,'Feb'!$D$27:$AH$206,'Mar'!$D$27:$AH$206,'Apr'!$D$27:$AH$206,'May'!$D$27:$AH$206,'Jun'!$D$27:$AH$206,'Jul'!$D$27:$AH$206,'Aug'!$D$27:$AH$206,'Sep'!$D$27:$AH$206,'Oct'!$D$27:$AH$206,'Nov'!$D$27:$AH$206,'Dec'!$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MONTH(A463),'Jan'!$D$27:$AH$206,'Feb'!$D$27:$AH$206,'Mar'!$D$27:$AH$206,'Apr'!$D$27:$AH$206,'May'!$D$27:$AH$206,'Jun'!$D$27:$AH$206,'Jul'!$D$27:$AH$206,'Aug'!$D$27:$AH$206,'Sep'!$D$27:$AH$206,'Oct'!$D$27:$AH$206,'Nov'!$D$27:$AH$206,'Dec'!$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MONTH(A464),'Jan'!$D$27:$AH$206,'Feb'!$D$27:$AH$206,'Mar'!$D$27:$AH$206,'Apr'!$D$27:$AH$206,'May'!$D$27:$AH$206,'Jun'!$D$27:$AH$206,'Jul'!$D$27:$AH$206,'Aug'!$D$27:$AH$206,'Sep'!$D$27:$AH$206,'Oct'!$D$27:$AH$206,'Nov'!$D$27:$AH$206,'Dec'!$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MONTH(A465),'Jan'!$D$27:$AH$206,'Feb'!$D$27:$AH$206,'Mar'!$D$27:$AH$206,'Apr'!$D$27:$AH$206,'May'!$D$27:$AH$206,'Jun'!$D$27:$AH$206,'Jul'!$D$27:$AH$206,'Aug'!$D$27:$AH$206,'Sep'!$D$27:$AH$206,'Oct'!$D$27:$AH$206,'Nov'!$D$27:$AH$206,'Dec'!$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MONTH(A466),'Jan'!$D$27:$AH$206,'Feb'!$D$27:$AH$206,'Mar'!$D$27:$AH$206,'Apr'!$D$27:$AH$206,'May'!$D$27:$AH$206,'Jun'!$D$27:$AH$206,'Jul'!$D$27:$AH$206,'Aug'!$D$27:$AH$206,'Sep'!$D$27:$AH$206,'Oct'!$D$27:$AH$206,'Nov'!$D$27:$AH$206,'Dec'!$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MONTH(A467),'Jan'!$D$27:$AH$206,'Feb'!$D$27:$AH$206,'Mar'!$D$27:$AH$206,'Apr'!$D$27:$AH$206,'May'!$D$27:$AH$206,'Jun'!$D$27:$AH$206,'Jul'!$D$27:$AH$206,'Aug'!$D$27:$AH$206,'Sep'!$D$27:$AH$206,'Oct'!$D$27:$AH$206,'Nov'!$D$27:$AH$206,'Dec'!$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MONTH(A468),'Jan'!$D$27:$AH$206,'Feb'!$D$27:$AH$206,'Mar'!$D$27:$AH$206,'Apr'!$D$27:$AH$206,'May'!$D$27:$AH$206,'Jun'!$D$27:$AH$206,'Jul'!$D$27:$AH$206,'Aug'!$D$27:$AH$206,'Sep'!$D$27:$AH$206,'Oct'!$D$27:$AH$206,'Nov'!$D$27:$AH$206,'Dec'!$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MONTH(A469),'Jan'!$D$27:$AH$206,'Feb'!$D$27:$AH$206,'Mar'!$D$27:$AH$206,'Apr'!$D$27:$AH$206,'May'!$D$27:$AH$206,'Jun'!$D$27:$AH$206,'Jul'!$D$27:$AH$206,'Aug'!$D$27:$AH$206,'Sep'!$D$27:$AH$206,'Oct'!$D$27:$AH$206,'Nov'!$D$27:$AH$206,'Dec'!$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MONTH(A470),'Jan'!$D$27:$AH$206,'Feb'!$D$27:$AH$206,'Mar'!$D$27:$AH$206,'Apr'!$D$27:$AH$206,'May'!$D$27:$AH$206,'Jun'!$D$27:$AH$206,'Jul'!$D$27:$AH$206,'Aug'!$D$27:$AH$206,'Sep'!$D$27:$AH$206,'Oct'!$D$27:$AH$206,'Nov'!$D$27:$AH$206,'Dec'!$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MONTH(A471),'Jan'!$D$27:$AH$206,'Feb'!$D$27:$AH$206,'Mar'!$D$27:$AH$206,'Apr'!$D$27:$AH$206,'May'!$D$27:$AH$206,'Jun'!$D$27:$AH$206,'Jul'!$D$27:$AH$206,'Aug'!$D$27:$AH$206,'Sep'!$D$27:$AH$206,'Oct'!$D$27:$AH$206,'Nov'!$D$27:$AH$206,'Dec'!$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MONTH(A472),'Jan'!$D$27:$AH$206,'Feb'!$D$27:$AH$206,'Mar'!$D$27:$AH$206,'Apr'!$D$27:$AH$206,'May'!$D$27:$AH$206,'Jun'!$D$27:$AH$206,'Jul'!$D$27:$AH$206,'Aug'!$D$27:$AH$206,'Sep'!$D$27:$AH$206,'Oct'!$D$27:$AH$206,'Nov'!$D$27:$AH$206,'Dec'!$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MONTH(A473),'Jan'!$D$27:$AH$206,'Feb'!$D$27:$AH$206,'Mar'!$D$27:$AH$206,'Apr'!$D$27:$AH$206,'May'!$D$27:$AH$206,'Jun'!$D$27:$AH$206,'Jul'!$D$27:$AH$206,'Aug'!$D$27:$AH$206,'Sep'!$D$27:$AH$206,'Oct'!$D$27:$AH$206,'Nov'!$D$27:$AH$206,'Dec'!$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MONTH(A474),'Jan'!$D$27:$AH$206,'Feb'!$D$27:$AH$206,'Mar'!$D$27:$AH$206,'Apr'!$D$27:$AH$206,'May'!$D$27:$AH$206,'Jun'!$D$27:$AH$206,'Jul'!$D$27:$AH$206,'Aug'!$D$27:$AH$206,'Sep'!$D$27:$AH$206,'Oct'!$D$27:$AH$206,'Nov'!$D$27:$AH$206,'Dec'!$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MONTH(A475),'Jan'!$D$27:$AH$206,'Feb'!$D$27:$AH$206,'Mar'!$D$27:$AH$206,'Apr'!$D$27:$AH$206,'May'!$D$27:$AH$206,'Jun'!$D$27:$AH$206,'Jul'!$D$27:$AH$206,'Aug'!$D$27:$AH$206,'Sep'!$D$27:$AH$206,'Oct'!$D$27:$AH$206,'Nov'!$D$27:$AH$206,'Dec'!$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MONTH(A476),'Jan'!$D$27:$AH$206,'Feb'!$D$27:$AH$206,'Mar'!$D$27:$AH$206,'Apr'!$D$27:$AH$206,'May'!$D$27:$AH$206,'Jun'!$D$27:$AH$206,'Jul'!$D$27:$AH$206,'Aug'!$D$27:$AH$206,'Sep'!$D$27:$AH$206,'Oct'!$D$27:$AH$206,'Nov'!$D$27:$AH$206,'Dec'!$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MONTH(A477),'Jan'!$D$27:$AH$206,'Feb'!$D$27:$AH$206,'Mar'!$D$27:$AH$206,'Apr'!$D$27:$AH$206,'May'!$D$27:$AH$206,'Jun'!$D$27:$AH$206,'Jul'!$D$27:$AH$206,'Aug'!$D$27:$AH$206,'Sep'!$D$27:$AH$206,'Oct'!$D$27:$AH$206,'Nov'!$D$27:$AH$206,'Dec'!$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MONTH(A478),'Jan'!$D$27:$AH$206,'Feb'!$D$27:$AH$206,'Mar'!$D$27:$AH$206,'Apr'!$D$27:$AH$206,'May'!$D$27:$AH$206,'Jun'!$D$27:$AH$206,'Jul'!$D$27:$AH$206,'Aug'!$D$27:$AH$206,'Sep'!$D$27:$AH$206,'Oct'!$D$27:$AH$206,'Nov'!$D$27:$AH$206,'Dec'!$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MONTH(A479),'Jan'!$D$27:$AH$206,'Feb'!$D$27:$AH$206,'Mar'!$D$27:$AH$206,'Apr'!$D$27:$AH$206,'May'!$D$27:$AH$206,'Jun'!$D$27:$AH$206,'Jul'!$D$27:$AH$206,'Aug'!$D$27:$AH$206,'Sep'!$D$27:$AH$206,'Oct'!$D$27:$AH$206,'Nov'!$D$27:$AH$206,'Dec'!$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MONTH(A480),'Jan'!$D$27:$AH$206,'Feb'!$D$27:$AH$206,'Mar'!$D$27:$AH$206,'Apr'!$D$27:$AH$206,'May'!$D$27:$AH$206,'Jun'!$D$27:$AH$206,'Jul'!$D$27:$AH$206,'Aug'!$D$27:$AH$206,'Sep'!$D$27:$AH$206,'Oct'!$D$27:$AH$206,'Nov'!$D$27:$AH$206,'Dec'!$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MONTH(A481),'Jan'!$D$27:$AH$206,'Feb'!$D$27:$AH$206,'Mar'!$D$27:$AH$206,'Apr'!$D$27:$AH$206,'May'!$D$27:$AH$206,'Jun'!$D$27:$AH$206,'Jul'!$D$27:$AH$206,'Aug'!$D$27:$AH$206,'Sep'!$D$27:$AH$206,'Oct'!$D$27:$AH$206,'Nov'!$D$27:$AH$206,'Dec'!$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MONTH(A482),'Jan'!$D$27:$AH$206,'Feb'!$D$27:$AH$206,'Mar'!$D$27:$AH$206,'Apr'!$D$27:$AH$206,'May'!$D$27:$AH$206,'Jun'!$D$27:$AH$206,'Jul'!$D$27:$AH$206,'Aug'!$D$27:$AH$206,'Sep'!$D$27:$AH$206,'Oct'!$D$27:$AH$206,'Nov'!$D$27:$AH$206,'Dec'!$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MONTH(A483),'Jan'!$D$27:$AH$206,'Feb'!$D$27:$AH$206,'Mar'!$D$27:$AH$206,'Apr'!$D$27:$AH$206,'May'!$D$27:$AH$206,'Jun'!$D$27:$AH$206,'Jul'!$D$27:$AH$206,'Aug'!$D$27:$AH$206,'Sep'!$D$27:$AH$206,'Oct'!$D$27:$AH$206,'Nov'!$D$27:$AH$206,'Dec'!$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MONTH(A484),'Jan'!$D$27:$AH$206,'Feb'!$D$27:$AH$206,'Mar'!$D$27:$AH$206,'Apr'!$D$27:$AH$206,'May'!$D$27:$AH$206,'Jun'!$D$27:$AH$206,'Jul'!$D$27:$AH$206,'Aug'!$D$27:$AH$206,'Sep'!$D$27:$AH$206,'Oct'!$D$27:$AH$206,'Nov'!$D$27:$AH$206,'Dec'!$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MONTH(A485),'Jan'!$D$27:$AH$206,'Feb'!$D$27:$AH$206,'Mar'!$D$27:$AH$206,'Apr'!$D$27:$AH$206,'May'!$D$27:$AH$206,'Jun'!$D$27:$AH$206,'Jul'!$D$27:$AH$206,'Aug'!$D$27:$AH$206,'Sep'!$D$27:$AH$206,'Oct'!$D$27:$AH$206,'Nov'!$D$27:$AH$206,'Dec'!$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MONTH(A486),'Jan'!$D$27:$AH$206,'Feb'!$D$27:$AH$206,'Mar'!$D$27:$AH$206,'Apr'!$D$27:$AH$206,'May'!$D$27:$AH$206,'Jun'!$D$27:$AH$206,'Jul'!$D$27:$AH$206,'Aug'!$D$27:$AH$206,'Sep'!$D$27:$AH$206,'Oct'!$D$27:$AH$206,'Nov'!$D$27:$AH$206,'Dec'!$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MONTH(A487),'Jan'!$D$27:$AH$206,'Feb'!$D$27:$AH$206,'Mar'!$D$27:$AH$206,'Apr'!$D$27:$AH$206,'May'!$D$27:$AH$206,'Jun'!$D$27:$AH$206,'Jul'!$D$27:$AH$206,'Aug'!$D$27:$AH$206,'Sep'!$D$27:$AH$206,'Oct'!$D$27:$AH$206,'Nov'!$D$27:$AH$206,'Dec'!$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MONTH(A488),'Jan'!$D$27:$AH$206,'Feb'!$D$27:$AH$206,'Mar'!$D$27:$AH$206,'Apr'!$D$27:$AH$206,'May'!$D$27:$AH$206,'Jun'!$D$27:$AH$206,'Jul'!$D$27:$AH$206,'Aug'!$D$27:$AH$206,'Sep'!$D$27:$AH$206,'Oct'!$D$27:$AH$206,'Nov'!$D$27:$AH$206,'Dec'!$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MONTH(A489),'Jan'!$D$27:$AH$206,'Feb'!$D$27:$AH$206,'Mar'!$D$27:$AH$206,'Apr'!$D$27:$AH$206,'May'!$D$27:$AH$206,'Jun'!$D$27:$AH$206,'Jul'!$D$27:$AH$206,'Aug'!$D$27:$AH$206,'Sep'!$D$27:$AH$206,'Oct'!$D$27:$AH$206,'Nov'!$D$27:$AH$206,'Dec'!$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MONTH(A490),'Jan'!$D$27:$AH$206,'Feb'!$D$27:$AH$206,'Mar'!$D$27:$AH$206,'Apr'!$D$27:$AH$206,'May'!$D$27:$AH$206,'Jun'!$D$27:$AH$206,'Jul'!$D$27:$AH$206,'Aug'!$D$27:$AH$206,'Sep'!$D$27:$AH$206,'Oct'!$D$27:$AH$206,'Nov'!$D$27:$AH$206,'Dec'!$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MONTH(A491),'Jan'!$D$27:$AH$206,'Feb'!$D$27:$AH$206,'Mar'!$D$27:$AH$206,'Apr'!$D$27:$AH$206,'May'!$D$27:$AH$206,'Jun'!$D$27:$AH$206,'Jul'!$D$27:$AH$206,'Aug'!$D$27:$AH$206,'Sep'!$D$27:$AH$206,'Oct'!$D$27:$AH$206,'Nov'!$D$27:$AH$206,'Dec'!$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MONTH(A492),'Jan'!$D$27:$AH$206,'Feb'!$D$27:$AH$206,'Mar'!$D$27:$AH$206,'Apr'!$D$27:$AH$206,'May'!$D$27:$AH$206,'Jun'!$D$27:$AH$206,'Jul'!$D$27:$AH$206,'Aug'!$D$27:$AH$206,'Sep'!$D$27:$AH$206,'Oct'!$D$27:$AH$206,'Nov'!$D$27:$AH$206,'Dec'!$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MONTH(A493),'Jan'!$D$27:$AH$206,'Feb'!$D$27:$AH$206,'Mar'!$D$27:$AH$206,'Apr'!$D$27:$AH$206,'May'!$D$27:$AH$206,'Jun'!$D$27:$AH$206,'Jul'!$D$27:$AH$206,'Aug'!$D$27:$AH$206,'Sep'!$D$27:$AH$206,'Oct'!$D$27:$AH$206,'Nov'!$D$27:$AH$206,'Dec'!$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MONTH(A494),'Jan'!$D$27:$AH$206,'Feb'!$D$27:$AH$206,'Mar'!$D$27:$AH$206,'Apr'!$D$27:$AH$206,'May'!$D$27:$AH$206,'Jun'!$D$27:$AH$206,'Jul'!$D$27:$AH$206,'Aug'!$D$27:$AH$206,'Sep'!$D$27:$AH$206,'Oct'!$D$27:$AH$206,'Nov'!$D$27:$AH$206,'Dec'!$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MONTH(A495),'Jan'!$D$27:$AH$206,'Feb'!$D$27:$AH$206,'Mar'!$D$27:$AH$206,'Apr'!$D$27:$AH$206,'May'!$D$27:$AH$206,'Jun'!$D$27:$AH$206,'Jul'!$D$27:$AH$206,'Aug'!$D$27:$AH$206,'Sep'!$D$27:$AH$206,'Oct'!$D$27:$AH$206,'Nov'!$D$27:$AH$206,'Dec'!$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MONTH(A496),'Jan'!$D$27:$AH$206,'Feb'!$D$27:$AH$206,'Mar'!$D$27:$AH$206,'Apr'!$D$27:$AH$206,'May'!$D$27:$AH$206,'Jun'!$D$27:$AH$206,'Jul'!$D$27:$AH$206,'Aug'!$D$27:$AH$206,'Sep'!$D$27:$AH$206,'Oct'!$D$27:$AH$206,'Nov'!$D$27:$AH$206,'Dec'!$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MONTH(A497),'Jan'!$D$27:$AH$206,'Feb'!$D$27:$AH$206,'Mar'!$D$27:$AH$206,'Apr'!$D$27:$AH$206,'May'!$D$27:$AH$206,'Jun'!$D$27:$AH$206,'Jul'!$D$27:$AH$206,'Aug'!$D$27:$AH$206,'Sep'!$D$27:$AH$206,'Oct'!$D$27:$AH$206,'Nov'!$D$27:$AH$206,'Dec'!$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MONTH(A498),'Jan'!$D$27:$AH$206,'Feb'!$D$27:$AH$206,'Mar'!$D$27:$AH$206,'Apr'!$D$27:$AH$206,'May'!$D$27:$AH$206,'Jun'!$D$27:$AH$206,'Jul'!$D$27:$AH$206,'Aug'!$D$27:$AH$206,'Sep'!$D$27:$AH$206,'Oct'!$D$27:$AH$206,'Nov'!$D$27:$AH$206,'Dec'!$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MONTH(A499),'Jan'!$D$27:$AH$206,'Feb'!$D$27:$AH$206,'Mar'!$D$27:$AH$206,'Apr'!$D$27:$AH$206,'May'!$D$27:$AH$206,'Jun'!$D$27:$AH$206,'Jul'!$D$27:$AH$206,'Aug'!$D$27:$AH$206,'Sep'!$D$27:$AH$206,'Oct'!$D$27:$AH$206,'Nov'!$D$27:$AH$206,'Dec'!$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MONTH(A500),'Jan'!$D$27:$AH$206,'Feb'!$D$27:$AH$206,'Mar'!$D$27:$AH$206,'Apr'!$D$27:$AH$206,'May'!$D$27:$AH$206,'Jun'!$D$27:$AH$206,'Jul'!$D$27:$AH$206,'Aug'!$D$27:$AH$206,'Sep'!$D$27:$AH$206,'Oct'!$D$27:$AH$206,'Nov'!$D$27:$AH$206,'Dec'!$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MONTH(A501),'Jan'!$D$27:$AH$206,'Feb'!$D$27:$AH$206,'Mar'!$D$27:$AH$206,'Apr'!$D$27:$AH$206,'May'!$D$27:$AH$206,'Jun'!$D$27:$AH$206,'Jul'!$D$27:$AH$206,'Aug'!$D$27:$AH$206,'Sep'!$D$27:$AH$206,'Oct'!$D$27:$AH$206,'Nov'!$D$27:$AH$206,'Dec'!$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MONTH(A502),'Jan'!$D$27:$AH$206,'Feb'!$D$27:$AH$206,'Mar'!$D$27:$AH$206,'Apr'!$D$27:$AH$206,'May'!$D$27:$AH$206,'Jun'!$D$27:$AH$206,'Jul'!$D$27:$AH$206,'Aug'!$D$27:$AH$206,'Sep'!$D$27:$AH$206,'Oct'!$D$27:$AH$206,'Nov'!$D$27:$AH$206,'Dec'!$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MONTH(A503),'Jan'!$D$27:$AH$206,'Feb'!$D$27:$AH$206,'Mar'!$D$27:$AH$206,'Apr'!$D$27:$AH$206,'May'!$D$27:$AH$206,'Jun'!$D$27:$AH$206,'Jul'!$D$27:$AH$206,'Aug'!$D$27:$AH$206,'Sep'!$D$27:$AH$206,'Oct'!$D$27:$AH$206,'Nov'!$D$27:$AH$206,'Dec'!$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MONTH(A504),'Jan'!$D$27:$AH$206,'Feb'!$D$27:$AH$206,'Mar'!$D$27:$AH$206,'Apr'!$D$27:$AH$206,'May'!$D$27:$AH$206,'Jun'!$D$27:$AH$206,'Jul'!$D$27:$AH$206,'Aug'!$D$27:$AH$206,'Sep'!$D$27:$AH$206,'Oct'!$D$27:$AH$206,'Nov'!$D$27:$AH$206,'Dec'!$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MONTH(A505),'Jan'!$D$27:$AH$206,'Feb'!$D$27:$AH$206,'Mar'!$D$27:$AH$206,'Apr'!$D$27:$AH$206,'May'!$D$27:$AH$206,'Jun'!$D$27:$AH$206,'Jul'!$D$27:$AH$206,'Aug'!$D$27:$AH$206,'Sep'!$D$27:$AH$206,'Oct'!$D$27:$AH$206,'Nov'!$D$27:$AH$206,'Dec'!$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MONTH(A506),'Jan'!$D$27:$AH$206,'Feb'!$D$27:$AH$206,'Mar'!$D$27:$AH$206,'Apr'!$D$27:$AH$206,'May'!$D$27:$AH$206,'Jun'!$D$27:$AH$206,'Jul'!$D$27:$AH$206,'Aug'!$D$27:$AH$206,'Sep'!$D$27:$AH$206,'Oct'!$D$27:$AH$206,'Nov'!$D$27:$AH$206,'Dec'!$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MONTH(A507),'Jan'!$D$27:$AH$206,'Feb'!$D$27:$AH$206,'Mar'!$D$27:$AH$206,'Apr'!$D$27:$AH$206,'May'!$D$27:$AH$206,'Jun'!$D$27:$AH$206,'Jul'!$D$27:$AH$206,'Aug'!$D$27:$AH$206,'Sep'!$D$27:$AH$206,'Oct'!$D$27:$AH$206,'Nov'!$D$27:$AH$206,'Dec'!$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MONTH(A508),'Jan'!$D$27:$AH$206,'Feb'!$D$27:$AH$206,'Mar'!$D$27:$AH$206,'Apr'!$D$27:$AH$206,'May'!$D$27:$AH$206,'Jun'!$D$27:$AH$206,'Jul'!$D$27:$AH$206,'Aug'!$D$27:$AH$206,'Sep'!$D$27:$AH$206,'Oct'!$D$27:$AH$206,'Nov'!$D$27:$AH$206,'Dec'!$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MONTH(A509),'Jan'!$D$27:$AH$206,'Feb'!$D$27:$AH$206,'Mar'!$D$27:$AH$206,'Apr'!$D$27:$AH$206,'May'!$D$27:$AH$206,'Jun'!$D$27:$AH$206,'Jul'!$D$27:$AH$206,'Aug'!$D$27:$AH$206,'Sep'!$D$27:$AH$206,'Oct'!$D$27:$AH$206,'Nov'!$D$27:$AH$206,'Dec'!$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MONTH(A510),'Jan'!$D$27:$AH$206,'Feb'!$D$27:$AH$206,'Mar'!$D$27:$AH$206,'Apr'!$D$27:$AH$206,'May'!$D$27:$AH$206,'Jun'!$D$27:$AH$206,'Jul'!$D$27:$AH$206,'Aug'!$D$27:$AH$206,'Sep'!$D$27:$AH$206,'Oct'!$D$27:$AH$206,'Nov'!$D$27:$AH$206,'Dec'!$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MONTH(A511),'Jan'!$D$27:$AH$206,'Feb'!$D$27:$AH$206,'Mar'!$D$27:$AH$206,'Apr'!$D$27:$AH$206,'May'!$D$27:$AH$206,'Jun'!$D$27:$AH$206,'Jul'!$D$27:$AH$206,'Aug'!$D$27:$AH$206,'Sep'!$D$27:$AH$206,'Oct'!$D$27:$AH$206,'Nov'!$D$27:$AH$206,'Dec'!$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MONTH(A512),'Jan'!$D$27:$AH$206,'Feb'!$D$27:$AH$206,'Mar'!$D$27:$AH$206,'Apr'!$D$27:$AH$206,'May'!$D$27:$AH$206,'Jun'!$D$27:$AH$206,'Jul'!$D$27:$AH$206,'Aug'!$D$27:$AH$206,'Sep'!$D$27:$AH$206,'Oct'!$D$27:$AH$206,'Nov'!$D$27:$AH$206,'Dec'!$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MONTH(A513),'Jan'!$D$27:$AH$206,'Feb'!$D$27:$AH$206,'Mar'!$D$27:$AH$206,'Apr'!$D$27:$AH$206,'May'!$D$27:$AH$206,'Jun'!$D$27:$AH$206,'Jul'!$D$27:$AH$206,'Aug'!$D$27:$AH$206,'Sep'!$D$27:$AH$206,'Oct'!$D$27:$AH$206,'Nov'!$D$27:$AH$206,'Dec'!$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MONTH(A514),'Jan'!$D$27:$AH$206,'Feb'!$D$27:$AH$206,'Mar'!$D$27:$AH$206,'Apr'!$D$27:$AH$206,'May'!$D$27:$AH$206,'Jun'!$D$27:$AH$206,'Jul'!$D$27:$AH$206,'Aug'!$D$27:$AH$206,'Sep'!$D$27:$AH$206,'Oct'!$D$27:$AH$206,'Nov'!$D$27:$AH$206,'Dec'!$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MONTH(A515),'Jan'!$D$27:$AH$206,'Feb'!$D$27:$AH$206,'Mar'!$D$27:$AH$206,'Apr'!$D$27:$AH$206,'May'!$D$27:$AH$206,'Jun'!$D$27:$AH$206,'Jul'!$D$27:$AH$206,'Aug'!$D$27:$AH$206,'Sep'!$D$27:$AH$206,'Oct'!$D$27:$AH$206,'Nov'!$D$27:$AH$206,'Dec'!$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MONTH(A516),'Jan'!$D$27:$AH$206,'Feb'!$D$27:$AH$206,'Mar'!$D$27:$AH$206,'Apr'!$D$27:$AH$206,'May'!$D$27:$AH$206,'Jun'!$D$27:$AH$206,'Jul'!$D$27:$AH$206,'Aug'!$D$27:$AH$206,'Sep'!$D$27:$AH$206,'Oct'!$D$27:$AH$206,'Nov'!$D$27:$AH$206,'Dec'!$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MONTH(A517),'Jan'!$D$27:$AH$206,'Feb'!$D$27:$AH$206,'Mar'!$D$27:$AH$206,'Apr'!$D$27:$AH$206,'May'!$D$27:$AH$206,'Jun'!$D$27:$AH$206,'Jul'!$D$27:$AH$206,'Aug'!$D$27:$AH$206,'Sep'!$D$27:$AH$206,'Oct'!$D$27:$AH$206,'Nov'!$D$27:$AH$206,'Dec'!$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MONTH(A518),'Jan'!$D$27:$AH$206,'Feb'!$D$27:$AH$206,'Mar'!$D$27:$AH$206,'Apr'!$D$27:$AH$206,'May'!$D$27:$AH$206,'Jun'!$D$27:$AH$206,'Jul'!$D$27:$AH$206,'Aug'!$D$27:$AH$206,'Sep'!$D$27:$AH$206,'Oct'!$D$27:$AH$206,'Nov'!$D$27:$AH$206,'Dec'!$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MONTH(A519),'Jan'!$D$27:$AH$206,'Feb'!$D$27:$AH$206,'Mar'!$D$27:$AH$206,'Apr'!$D$27:$AH$206,'May'!$D$27:$AH$206,'Jun'!$D$27:$AH$206,'Jul'!$D$27:$AH$206,'Aug'!$D$27:$AH$206,'Sep'!$D$27:$AH$206,'Oct'!$D$27:$AH$206,'Nov'!$D$27:$AH$206,'Dec'!$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MONTH(A520),'Jan'!$D$27:$AH$206,'Feb'!$D$27:$AH$206,'Mar'!$D$27:$AH$206,'Apr'!$D$27:$AH$206,'May'!$D$27:$AH$206,'Jun'!$D$27:$AH$206,'Jul'!$D$27:$AH$206,'Aug'!$D$27:$AH$206,'Sep'!$D$27:$AH$206,'Oct'!$D$27:$AH$206,'Nov'!$D$27:$AH$206,'Dec'!$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MONTH(A521),'Jan'!$D$27:$AH$206,'Feb'!$D$27:$AH$206,'Mar'!$D$27:$AH$206,'Apr'!$D$27:$AH$206,'May'!$D$27:$AH$206,'Jun'!$D$27:$AH$206,'Jul'!$D$27:$AH$206,'Aug'!$D$27:$AH$206,'Sep'!$D$27:$AH$206,'Oct'!$D$27:$AH$206,'Nov'!$D$27:$AH$206,'Dec'!$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MONTH(A522),'Jan'!$D$27:$AH$206,'Feb'!$D$27:$AH$206,'Mar'!$D$27:$AH$206,'Apr'!$D$27:$AH$206,'May'!$D$27:$AH$206,'Jun'!$D$27:$AH$206,'Jul'!$D$27:$AH$206,'Aug'!$D$27:$AH$206,'Sep'!$D$27:$AH$206,'Oct'!$D$27:$AH$206,'Nov'!$D$27:$AH$206,'Dec'!$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MONTH(A523),'Jan'!$D$27:$AH$206,'Feb'!$D$27:$AH$206,'Mar'!$D$27:$AH$206,'Apr'!$D$27:$AH$206,'May'!$D$27:$AH$206,'Jun'!$D$27:$AH$206,'Jul'!$D$27:$AH$206,'Aug'!$D$27:$AH$206,'Sep'!$D$27:$AH$206,'Oct'!$D$27:$AH$206,'Nov'!$D$27:$AH$206,'Dec'!$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MONTH(A524),'Jan'!$D$27:$AH$206,'Feb'!$D$27:$AH$206,'Mar'!$D$27:$AH$206,'Apr'!$D$27:$AH$206,'May'!$D$27:$AH$206,'Jun'!$D$27:$AH$206,'Jul'!$D$27:$AH$206,'Aug'!$D$27:$AH$206,'Sep'!$D$27:$AH$206,'Oct'!$D$27:$AH$206,'Nov'!$D$27:$AH$206,'Dec'!$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MONTH(A525),'Jan'!$D$27:$AH$206,'Feb'!$D$27:$AH$206,'Mar'!$D$27:$AH$206,'Apr'!$D$27:$AH$206,'May'!$D$27:$AH$206,'Jun'!$D$27:$AH$206,'Jul'!$D$27:$AH$206,'Aug'!$D$27:$AH$206,'Sep'!$D$27:$AH$206,'Oct'!$D$27:$AH$206,'Nov'!$D$27:$AH$206,'Dec'!$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MONTH(A526),'Jan'!$D$27:$AH$206,'Feb'!$D$27:$AH$206,'Mar'!$D$27:$AH$206,'Apr'!$D$27:$AH$206,'May'!$D$27:$AH$206,'Jun'!$D$27:$AH$206,'Jul'!$D$27:$AH$206,'Aug'!$D$27:$AH$206,'Sep'!$D$27:$AH$206,'Oct'!$D$27:$AH$206,'Nov'!$D$27:$AH$206,'Dec'!$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MONTH(A527),'Jan'!$D$27:$AH$206,'Feb'!$D$27:$AH$206,'Mar'!$D$27:$AH$206,'Apr'!$D$27:$AH$206,'May'!$D$27:$AH$206,'Jun'!$D$27:$AH$206,'Jul'!$D$27:$AH$206,'Aug'!$D$27:$AH$206,'Sep'!$D$27:$AH$206,'Oct'!$D$27:$AH$206,'Nov'!$D$27:$AH$206,'Dec'!$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MONTH(A528),'Jan'!$D$27:$AH$206,'Feb'!$D$27:$AH$206,'Mar'!$D$27:$AH$206,'Apr'!$D$27:$AH$206,'May'!$D$27:$AH$206,'Jun'!$D$27:$AH$206,'Jul'!$D$27:$AH$206,'Aug'!$D$27:$AH$206,'Sep'!$D$27:$AH$206,'Oct'!$D$27:$AH$206,'Nov'!$D$27:$AH$206,'Dec'!$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MONTH(A529),'Jan'!$D$27:$AH$206,'Feb'!$D$27:$AH$206,'Mar'!$D$27:$AH$206,'Apr'!$D$27:$AH$206,'May'!$D$27:$AH$206,'Jun'!$D$27:$AH$206,'Jul'!$D$27:$AH$206,'Aug'!$D$27:$AH$206,'Sep'!$D$27:$AH$206,'Oct'!$D$27:$AH$206,'Nov'!$D$27:$AH$206,'Dec'!$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MONTH(A530),'Jan'!$D$27:$AH$206,'Feb'!$D$27:$AH$206,'Mar'!$D$27:$AH$206,'Apr'!$D$27:$AH$206,'May'!$D$27:$AH$206,'Jun'!$D$27:$AH$206,'Jul'!$D$27:$AH$206,'Aug'!$D$27:$AH$206,'Sep'!$D$27:$AH$206,'Oct'!$D$27:$AH$206,'Nov'!$D$27:$AH$206,'Dec'!$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MONTH(A531),'Jan'!$D$27:$AH$206,'Feb'!$D$27:$AH$206,'Mar'!$D$27:$AH$206,'Apr'!$D$27:$AH$206,'May'!$D$27:$AH$206,'Jun'!$D$27:$AH$206,'Jul'!$D$27:$AH$206,'Aug'!$D$27:$AH$206,'Sep'!$D$27:$AH$206,'Oct'!$D$27:$AH$206,'Nov'!$D$27:$AH$206,'Dec'!$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MONTH(A532),'Jan'!$D$27:$AH$206,'Feb'!$D$27:$AH$206,'Mar'!$D$27:$AH$206,'Apr'!$D$27:$AH$206,'May'!$D$27:$AH$206,'Jun'!$D$27:$AH$206,'Jul'!$D$27:$AH$206,'Aug'!$D$27:$AH$206,'Sep'!$D$27:$AH$206,'Oct'!$D$27:$AH$206,'Nov'!$D$27:$AH$206,'Dec'!$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MONTH(A533),'Jan'!$D$27:$AH$206,'Feb'!$D$27:$AH$206,'Mar'!$D$27:$AH$206,'Apr'!$D$27:$AH$206,'May'!$D$27:$AH$206,'Jun'!$D$27:$AH$206,'Jul'!$D$27:$AH$206,'Aug'!$D$27:$AH$206,'Sep'!$D$27:$AH$206,'Oct'!$D$27:$AH$206,'Nov'!$D$27:$AH$206,'Dec'!$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MONTH(A534),'Jan'!$D$27:$AH$206,'Feb'!$D$27:$AH$206,'Mar'!$D$27:$AH$206,'Apr'!$D$27:$AH$206,'May'!$D$27:$AH$206,'Jun'!$D$27:$AH$206,'Jul'!$D$27:$AH$206,'Aug'!$D$27:$AH$206,'Sep'!$D$27:$AH$206,'Oct'!$D$27:$AH$206,'Nov'!$D$27:$AH$206,'Dec'!$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MONTH(A535),'Jan'!$D$27:$AH$206,'Feb'!$D$27:$AH$206,'Mar'!$D$27:$AH$206,'Apr'!$D$27:$AH$206,'May'!$D$27:$AH$206,'Jun'!$D$27:$AH$206,'Jul'!$D$27:$AH$206,'Aug'!$D$27:$AH$206,'Sep'!$D$27:$AH$206,'Oct'!$D$27:$AH$206,'Nov'!$D$27:$AH$206,'Dec'!$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MONTH(A536),'Jan'!$D$27:$AH$206,'Feb'!$D$27:$AH$206,'Mar'!$D$27:$AH$206,'Apr'!$D$27:$AH$206,'May'!$D$27:$AH$206,'Jun'!$D$27:$AH$206,'Jul'!$D$27:$AH$206,'Aug'!$D$27:$AH$206,'Sep'!$D$27:$AH$206,'Oct'!$D$27:$AH$206,'Nov'!$D$27:$AH$206,'Dec'!$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MONTH(A537),'Jan'!$D$27:$AH$206,'Feb'!$D$27:$AH$206,'Mar'!$D$27:$AH$206,'Apr'!$D$27:$AH$206,'May'!$D$27:$AH$206,'Jun'!$D$27:$AH$206,'Jul'!$D$27:$AH$206,'Aug'!$D$27:$AH$206,'Sep'!$D$27:$AH$206,'Oct'!$D$27:$AH$206,'Nov'!$D$27:$AH$206,'Dec'!$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MONTH(A538),'Jan'!$D$27:$AH$206,'Feb'!$D$27:$AH$206,'Mar'!$D$27:$AH$206,'Apr'!$D$27:$AH$206,'May'!$D$27:$AH$206,'Jun'!$D$27:$AH$206,'Jul'!$D$27:$AH$206,'Aug'!$D$27:$AH$206,'Sep'!$D$27:$AH$206,'Oct'!$D$27:$AH$206,'Nov'!$D$27:$AH$206,'Dec'!$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MONTH(A539),'Jan'!$D$27:$AH$206,'Feb'!$D$27:$AH$206,'Mar'!$D$27:$AH$206,'Apr'!$D$27:$AH$206,'May'!$D$27:$AH$206,'Jun'!$D$27:$AH$206,'Jul'!$D$27:$AH$206,'Aug'!$D$27:$AH$206,'Sep'!$D$27:$AH$206,'Oct'!$D$27:$AH$206,'Nov'!$D$27:$AH$206,'Dec'!$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MONTH(A540),'Jan'!$D$27:$AH$206,'Feb'!$D$27:$AH$206,'Mar'!$D$27:$AH$206,'Apr'!$D$27:$AH$206,'May'!$D$27:$AH$206,'Jun'!$D$27:$AH$206,'Jul'!$D$27:$AH$206,'Aug'!$D$27:$AH$206,'Sep'!$D$27:$AH$206,'Oct'!$D$27:$AH$206,'Nov'!$D$27:$AH$206,'Dec'!$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MONTH(A541),'Jan'!$D$27:$AH$206,'Feb'!$D$27:$AH$206,'Mar'!$D$27:$AH$206,'Apr'!$D$27:$AH$206,'May'!$D$27:$AH$206,'Jun'!$D$27:$AH$206,'Jul'!$D$27:$AH$206,'Aug'!$D$27:$AH$206,'Sep'!$D$27:$AH$206,'Oct'!$D$27:$AH$206,'Nov'!$D$27:$AH$206,'Dec'!$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MONTH(A542),'Jan'!$D$27:$AH$206,'Feb'!$D$27:$AH$206,'Mar'!$D$27:$AH$206,'Apr'!$D$27:$AH$206,'May'!$D$27:$AH$206,'Jun'!$D$27:$AH$206,'Jul'!$D$27:$AH$206,'Aug'!$D$27:$AH$206,'Sep'!$D$27:$AH$206,'Oct'!$D$27:$AH$206,'Nov'!$D$27:$AH$206,'Dec'!$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MONTH(A543),'Jan'!$D$27:$AH$206,'Feb'!$D$27:$AH$206,'Mar'!$D$27:$AH$206,'Apr'!$D$27:$AH$206,'May'!$D$27:$AH$206,'Jun'!$D$27:$AH$206,'Jul'!$D$27:$AH$206,'Aug'!$D$27:$AH$206,'Sep'!$D$27:$AH$206,'Oct'!$D$27:$AH$206,'Nov'!$D$27:$AH$206,'Dec'!$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MONTH(A544),'Jan'!$D$27:$AH$206,'Feb'!$D$27:$AH$206,'Mar'!$D$27:$AH$206,'Apr'!$D$27:$AH$206,'May'!$D$27:$AH$206,'Jun'!$D$27:$AH$206,'Jul'!$D$27:$AH$206,'Aug'!$D$27:$AH$206,'Sep'!$D$27:$AH$206,'Oct'!$D$27:$AH$206,'Nov'!$D$27:$AH$206,'Dec'!$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MONTH(A545),'Jan'!$D$27:$AH$206,'Feb'!$D$27:$AH$206,'Mar'!$D$27:$AH$206,'Apr'!$D$27:$AH$206,'May'!$D$27:$AH$206,'Jun'!$D$27:$AH$206,'Jul'!$D$27:$AH$206,'Aug'!$D$27:$AH$206,'Sep'!$D$27:$AH$206,'Oct'!$D$27:$AH$206,'Nov'!$D$27:$AH$206,'Dec'!$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MONTH(A546),'Jan'!$D$27:$AH$206,'Feb'!$D$27:$AH$206,'Mar'!$D$27:$AH$206,'Apr'!$D$27:$AH$206,'May'!$D$27:$AH$206,'Jun'!$D$27:$AH$206,'Jul'!$D$27:$AH$206,'Aug'!$D$27:$AH$206,'Sep'!$D$27:$AH$206,'Oct'!$D$27:$AH$206,'Nov'!$D$27:$AH$206,'Dec'!$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MONTH(A547),'Jan'!$D$27:$AH$206,'Feb'!$D$27:$AH$206,'Mar'!$D$27:$AH$206,'Apr'!$D$27:$AH$206,'May'!$D$27:$AH$206,'Jun'!$D$27:$AH$206,'Jul'!$D$27:$AH$206,'Aug'!$D$27:$AH$206,'Sep'!$D$27:$AH$206,'Oct'!$D$27:$AH$206,'Nov'!$D$27:$AH$206,'Dec'!$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MONTH(A548),'Jan'!$D$27:$AH$206,'Feb'!$D$27:$AH$206,'Mar'!$D$27:$AH$206,'Apr'!$D$27:$AH$206,'May'!$D$27:$AH$206,'Jun'!$D$27:$AH$206,'Jul'!$D$27:$AH$206,'Aug'!$D$27:$AH$206,'Sep'!$D$27:$AH$206,'Oct'!$D$27:$AH$206,'Nov'!$D$27:$AH$206,'Dec'!$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MONTH(A549),'Jan'!$D$27:$AH$206,'Feb'!$D$27:$AH$206,'Mar'!$D$27:$AH$206,'Apr'!$D$27:$AH$206,'May'!$D$27:$AH$206,'Jun'!$D$27:$AH$206,'Jul'!$D$27:$AH$206,'Aug'!$D$27:$AH$206,'Sep'!$D$27:$AH$206,'Oct'!$D$27:$AH$206,'Nov'!$D$27:$AH$206,'Dec'!$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MONTH(A550),'Jan'!$D$27:$AH$206,'Feb'!$D$27:$AH$206,'Mar'!$D$27:$AH$206,'Apr'!$D$27:$AH$206,'May'!$D$27:$AH$206,'Jun'!$D$27:$AH$206,'Jul'!$D$27:$AH$206,'Aug'!$D$27:$AH$206,'Sep'!$D$27:$AH$206,'Oct'!$D$27:$AH$206,'Nov'!$D$27:$AH$206,'Dec'!$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MONTH(A551),'Jan'!$D$27:$AH$206,'Feb'!$D$27:$AH$206,'Mar'!$D$27:$AH$206,'Apr'!$D$27:$AH$206,'May'!$D$27:$AH$206,'Jun'!$D$27:$AH$206,'Jul'!$D$27:$AH$206,'Aug'!$D$27:$AH$206,'Sep'!$D$27:$AH$206,'Oct'!$D$27:$AH$206,'Nov'!$D$27:$AH$206,'Dec'!$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MONTH(A552),'Jan'!$D$27:$AH$206,'Feb'!$D$27:$AH$206,'Mar'!$D$27:$AH$206,'Apr'!$D$27:$AH$206,'May'!$D$27:$AH$206,'Jun'!$D$27:$AH$206,'Jul'!$D$27:$AH$206,'Aug'!$D$27:$AH$206,'Sep'!$D$27:$AH$206,'Oct'!$D$27:$AH$206,'Nov'!$D$27:$AH$206,'Dec'!$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MONTH(A553),'Jan'!$D$27:$AH$206,'Feb'!$D$27:$AH$206,'Mar'!$D$27:$AH$206,'Apr'!$D$27:$AH$206,'May'!$D$27:$AH$206,'Jun'!$D$27:$AH$206,'Jul'!$D$27:$AH$206,'Aug'!$D$27:$AH$206,'Sep'!$D$27:$AH$206,'Oct'!$D$27:$AH$206,'Nov'!$D$27:$AH$206,'Dec'!$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MONTH(A554),'Jan'!$D$27:$AH$206,'Feb'!$D$27:$AH$206,'Mar'!$D$27:$AH$206,'Apr'!$D$27:$AH$206,'May'!$D$27:$AH$206,'Jun'!$D$27:$AH$206,'Jul'!$D$27:$AH$206,'Aug'!$D$27:$AH$206,'Sep'!$D$27:$AH$206,'Oct'!$D$27:$AH$206,'Nov'!$D$27:$AH$206,'Dec'!$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MONTH(A555),'Jan'!$D$27:$AH$206,'Feb'!$D$27:$AH$206,'Mar'!$D$27:$AH$206,'Apr'!$D$27:$AH$206,'May'!$D$27:$AH$206,'Jun'!$D$27:$AH$206,'Jul'!$D$27:$AH$206,'Aug'!$D$27:$AH$206,'Sep'!$D$27:$AH$206,'Oct'!$D$27:$AH$206,'Nov'!$D$27:$AH$206,'Dec'!$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MONTH(A556),'Jan'!$D$27:$AH$206,'Feb'!$D$27:$AH$206,'Mar'!$D$27:$AH$206,'Apr'!$D$27:$AH$206,'May'!$D$27:$AH$206,'Jun'!$D$27:$AH$206,'Jul'!$D$27:$AH$206,'Aug'!$D$27:$AH$206,'Sep'!$D$27:$AH$206,'Oct'!$D$27:$AH$206,'Nov'!$D$27:$AH$206,'Dec'!$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MONTH(A557),'Jan'!$D$27:$AH$206,'Feb'!$D$27:$AH$206,'Mar'!$D$27:$AH$206,'Apr'!$D$27:$AH$206,'May'!$D$27:$AH$206,'Jun'!$D$27:$AH$206,'Jul'!$D$27:$AH$206,'Aug'!$D$27:$AH$206,'Sep'!$D$27:$AH$206,'Oct'!$D$27:$AH$206,'Nov'!$D$27:$AH$206,'Dec'!$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MONTH(A558),'Jan'!$D$27:$AH$206,'Feb'!$D$27:$AH$206,'Mar'!$D$27:$AH$206,'Apr'!$D$27:$AH$206,'May'!$D$27:$AH$206,'Jun'!$D$27:$AH$206,'Jul'!$D$27:$AH$206,'Aug'!$D$27:$AH$206,'Sep'!$D$27:$AH$206,'Oct'!$D$27:$AH$206,'Nov'!$D$27:$AH$206,'Dec'!$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MONTH(A559),'Jan'!$D$27:$AH$206,'Feb'!$D$27:$AH$206,'Mar'!$D$27:$AH$206,'Apr'!$D$27:$AH$206,'May'!$D$27:$AH$206,'Jun'!$D$27:$AH$206,'Jul'!$D$27:$AH$206,'Aug'!$D$27:$AH$206,'Sep'!$D$27:$AH$206,'Oct'!$D$27:$AH$206,'Nov'!$D$27:$AH$206,'Dec'!$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MONTH(A560),'Jan'!$D$27:$AH$206,'Feb'!$D$27:$AH$206,'Mar'!$D$27:$AH$206,'Apr'!$D$27:$AH$206,'May'!$D$27:$AH$206,'Jun'!$D$27:$AH$206,'Jul'!$D$27:$AH$206,'Aug'!$D$27:$AH$206,'Sep'!$D$27:$AH$206,'Oct'!$D$27:$AH$206,'Nov'!$D$27:$AH$206,'Dec'!$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MONTH(A561),'Jan'!$D$27:$AH$206,'Feb'!$D$27:$AH$206,'Mar'!$D$27:$AH$206,'Apr'!$D$27:$AH$206,'May'!$D$27:$AH$206,'Jun'!$D$27:$AH$206,'Jul'!$D$27:$AH$206,'Aug'!$D$27:$AH$206,'Sep'!$D$27:$AH$206,'Oct'!$D$27:$AH$206,'Nov'!$D$27:$AH$206,'Dec'!$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MONTH(A562),'Jan'!$D$27:$AH$206,'Feb'!$D$27:$AH$206,'Mar'!$D$27:$AH$206,'Apr'!$D$27:$AH$206,'May'!$D$27:$AH$206,'Jun'!$D$27:$AH$206,'Jul'!$D$27:$AH$206,'Aug'!$D$27:$AH$206,'Sep'!$D$27:$AH$206,'Oct'!$D$27:$AH$206,'Nov'!$D$27:$AH$206,'Dec'!$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MONTH(A563),'Jan'!$D$27:$AH$206,'Feb'!$D$27:$AH$206,'Mar'!$D$27:$AH$206,'Apr'!$D$27:$AH$206,'May'!$D$27:$AH$206,'Jun'!$D$27:$AH$206,'Jul'!$D$27:$AH$206,'Aug'!$D$27:$AH$206,'Sep'!$D$27:$AH$206,'Oct'!$D$27:$AH$206,'Nov'!$D$27:$AH$206,'Dec'!$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MONTH(A564),'Jan'!$D$27:$AH$206,'Feb'!$D$27:$AH$206,'Mar'!$D$27:$AH$206,'Apr'!$D$27:$AH$206,'May'!$D$27:$AH$206,'Jun'!$D$27:$AH$206,'Jul'!$D$27:$AH$206,'Aug'!$D$27:$AH$206,'Sep'!$D$27:$AH$206,'Oct'!$D$27:$AH$206,'Nov'!$D$27:$AH$206,'Dec'!$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MONTH(A565),'Jan'!$D$27:$AH$206,'Feb'!$D$27:$AH$206,'Mar'!$D$27:$AH$206,'Apr'!$D$27:$AH$206,'May'!$D$27:$AH$206,'Jun'!$D$27:$AH$206,'Jul'!$D$27:$AH$206,'Aug'!$D$27:$AH$206,'Sep'!$D$27:$AH$206,'Oct'!$D$27:$AH$206,'Nov'!$D$27:$AH$206,'Dec'!$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MONTH(A566),'Jan'!$D$27:$AH$206,'Feb'!$D$27:$AH$206,'Mar'!$D$27:$AH$206,'Apr'!$D$27:$AH$206,'May'!$D$27:$AH$206,'Jun'!$D$27:$AH$206,'Jul'!$D$27:$AH$206,'Aug'!$D$27:$AH$206,'Sep'!$D$27:$AH$206,'Oct'!$D$27:$AH$206,'Nov'!$D$27:$AH$206,'Dec'!$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MONTH(A567),'Jan'!$D$27:$AH$206,'Feb'!$D$27:$AH$206,'Mar'!$D$27:$AH$206,'Apr'!$D$27:$AH$206,'May'!$D$27:$AH$206,'Jun'!$D$27:$AH$206,'Jul'!$D$27:$AH$206,'Aug'!$D$27:$AH$206,'Sep'!$D$27:$AH$206,'Oct'!$D$27:$AH$206,'Nov'!$D$27:$AH$206,'Dec'!$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MONTH(A568),'Jan'!$D$27:$AH$206,'Feb'!$D$27:$AH$206,'Mar'!$D$27:$AH$206,'Apr'!$D$27:$AH$206,'May'!$D$27:$AH$206,'Jun'!$D$27:$AH$206,'Jul'!$D$27:$AH$206,'Aug'!$D$27:$AH$206,'Sep'!$D$27:$AH$206,'Oct'!$D$27:$AH$206,'Nov'!$D$27:$AH$206,'Dec'!$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MONTH(A569),'Jan'!$D$27:$AH$206,'Feb'!$D$27:$AH$206,'Mar'!$D$27:$AH$206,'Apr'!$D$27:$AH$206,'May'!$D$27:$AH$206,'Jun'!$D$27:$AH$206,'Jul'!$D$27:$AH$206,'Aug'!$D$27:$AH$206,'Sep'!$D$27:$AH$206,'Oct'!$D$27:$AH$206,'Nov'!$D$27:$AH$206,'Dec'!$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MONTH(A570),'Jan'!$D$27:$AH$206,'Feb'!$D$27:$AH$206,'Mar'!$D$27:$AH$206,'Apr'!$D$27:$AH$206,'May'!$D$27:$AH$206,'Jun'!$D$27:$AH$206,'Jul'!$D$27:$AH$206,'Aug'!$D$27:$AH$206,'Sep'!$D$27:$AH$206,'Oct'!$D$27:$AH$206,'Nov'!$D$27:$AH$206,'Dec'!$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MONTH(A571),'Jan'!$D$27:$AH$206,'Feb'!$D$27:$AH$206,'Mar'!$D$27:$AH$206,'Apr'!$D$27:$AH$206,'May'!$D$27:$AH$206,'Jun'!$D$27:$AH$206,'Jul'!$D$27:$AH$206,'Aug'!$D$27:$AH$206,'Sep'!$D$27:$AH$206,'Oct'!$D$27:$AH$206,'Nov'!$D$27:$AH$206,'Dec'!$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MONTH(A572),'Jan'!$D$27:$AH$206,'Feb'!$D$27:$AH$206,'Mar'!$D$27:$AH$206,'Apr'!$D$27:$AH$206,'May'!$D$27:$AH$206,'Jun'!$D$27:$AH$206,'Jul'!$D$27:$AH$206,'Aug'!$D$27:$AH$206,'Sep'!$D$27:$AH$206,'Oct'!$D$27:$AH$206,'Nov'!$D$27:$AH$206,'Dec'!$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MONTH(A573),'Jan'!$D$27:$AH$206,'Feb'!$D$27:$AH$206,'Mar'!$D$27:$AH$206,'Apr'!$D$27:$AH$206,'May'!$D$27:$AH$206,'Jun'!$D$27:$AH$206,'Jul'!$D$27:$AH$206,'Aug'!$D$27:$AH$206,'Sep'!$D$27:$AH$206,'Oct'!$D$27:$AH$206,'Nov'!$D$27:$AH$206,'Dec'!$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MONTH(A574),'Jan'!$D$27:$AH$206,'Feb'!$D$27:$AH$206,'Mar'!$D$27:$AH$206,'Apr'!$D$27:$AH$206,'May'!$D$27:$AH$206,'Jun'!$D$27:$AH$206,'Jul'!$D$27:$AH$206,'Aug'!$D$27:$AH$206,'Sep'!$D$27:$AH$206,'Oct'!$D$27:$AH$206,'Nov'!$D$27:$AH$206,'Dec'!$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MONTH(A575),'Jan'!$D$27:$AH$206,'Feb'!$D$27:$AH$206,'Mar'!$D$27:$AH$206,'Apr'!$D$27:$AH$206,'May'!$D$27:$AH$206,'Jun'!$D$27:$AH$206,'Jul'!$D$27:$AH$206,'Aug'!$D$27:$AH$206,'Sep'!$D$27:$AH$206,'Oct'!$D$27:$AH$206,'Nov'!$D$27:$AH$206,'Dec'!$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MONTH(A576),'Jan'!$D$27:$AH$206,'Feb'!$D$27:$AH$206,'Mar'!$D$27:$AH$206,'Apr'!$D$27:$AH$206,'May'!$D$27:$AH$206,'Jun'!$D$27:$AH$206,'Jul'!$D$27:$AH$206,'Aug'!$D$27:$AH$206,'Sep'!$D$27:$AH$206,'Oct'!$D$27:$AH$206,'Nov'!$D$27:$AH$206,'Dec'!$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MONTH(A577),'Jan'!$D$27:$AH$206,'Feb'!$D$27:$AH$206,'Mar'!$D$27:$AH$206,'Apr'!$D$27:$AH$206,'May'!$D$27:$AH$206,'Jun'!$D$27:$AH$206,'Jul'!$D$27:$AH$206,'Aug'!$D$27:$AH$206,'Sep'!$D$27:$AH$206,'Oct'!$D$27:$AH$206,'Nov'!$D$27:$AH$206,'Dec'!$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MONTH(A578),'Jan'!$D$27:$AH$206,'Feb'!$D$27:$AH$206,'Mar'!$D$27:$AH$206,'Apr'!$D$27:$AH$206,'May'!$D$27:$AH$206,'Jun'!$D$27:$AH$206,'Jul'!$D$27:$AH$206,'Aug'!$D$27:$AH$206,'Sep'!$D$27:$AH$206,'Oct'!$D$27:$AH$206,'Nov'!$D$27:$AH$206,'Dec'!$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MONTH(A579),'Jan'!$D$27:$AH$206,'Feb'!$D$27:$AH$206,'Mar'!$D$27:$AH$206,'Apr'!$D$27:$AH$206,'May'!$D$27:$AH$206,'Jun'!$D$27:$AH$206,'Jul'!$D$27:$AH$206,'Aug'!$D$27:$AH$206,'Sep'!$D$27:$AH$206,'Oct'!$D$27:$AH$206,'Nov'!$D$27:$AH$206,'Dec'!$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MONTH(A580),'Jan'!$D$27:$AH$206,'Feb'!$D$27:$AH$206,'Mar'!$D$27:$AH$206,'Apr'!$D$27:$AH$206,'May'!$D$27:$AH$206,'Jun'!$D$27:$AH$206,'Jul'!$D$27:$AH$206,'Aug'!$D$27:$AH$206,'Sep'!$D$27:$AH$206,'Oct'!$D$27:$AH$206,'Nov'!$D$27:$AH$206,'Dec'!$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MONTH(A581),'Jan'!$D$27:$AH$206,'Feb'!$D$27:$AH$206,'Mar'!$D$27:$AH$206,'Apr'!$D$27:$AH$206,'May'!$D$27:$AH$206,'Jun'!$D$27:$AH$206,'Jul'!$D$27:$AH$206,'Aug'!$D$27:$AH$206,'Sep'!$D$27:$AH$206,'Oct'!$D$27:$AH$206,'Nov'!$D$27:$AH$206,'Dec'!$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MONTH(A582),'Jan'!$D$27:$AH$206,'Feb'!$D$27:$AH$206,'Mar'!$D$27:$AH$206,'Apr'!$D$27:$AH$206,'May'!$D$27:$AH$206,'Jun'!$D$27:$AH$206,'Jul'!$D$27:$AH$206,'Aug'!$D$27:$AH$206,'Sep'!$D$27:$AH$206,'Oct'!$D$27:$AH$206,'Nov'!$D$27:$AH$206,'Dec'!$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MONTH(A583),'Jan'!$D$27:$AH$206,'Feb'!$D$27:$AH$206,'Mar'!$D$27:$AH$206,'Apr'!$D$27:$AH$206,'May'!$D$27:$AH$206,'Jun'!$D$27:$AH$206,'Jul'!$D$27:$AH$206,'Aug'!$D$27:$AH$206,'Sep'!$D$27:$AH$206,'Oct'!$D$27:$AH$206,'Nov'!$D$27:$AH$206,'Dec'!$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MONTH(A584),'Jan'!$D$27:$AH$206,'Feb'!$D$27:$AH$206,'Mar'!$D$27:$AH$206,'Apr'!$D$27:$AH$206,'May'!$D$27:$AH$206,'Jun'!$D$27:$AH$206,'Jul'!$D$27:$AH$206,'Aug'!$D$27:$AH$206,'Sep'!$D$27:$AH$206,'Oct'!$D$27:$AH$206,'Nov'!$D$27:$AH$206,'Dec'!$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MONTH(A585),'Jan'!$D$27:$AH$206,'Feb'!$D$27:$AH$206,'Mar'!$D$27:$AH$206,'Apr'!$D$27:$AH$206,'May'!$D$27:$AH$206,'Jun'!$D$27:$AH$206,'Jul'!$D$27:$AH$206,'Aug'!$D$27:$AH$206,'Sep'!$D$27:$AH$206,'Oct'!$D$27:$AH$206,'Nov'!$D$27:$AH$206,'Dec'!$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MONTH(A586),'Jan'!$D$27:$AH$206,'Feb'!$D$27:$AH$206,'Mar'!$D$27:$AH$206,'Apr'!$D$27:$AH$206,'May'!$D$27:$AH$206,'Jun'!$D$27:$AH$206,'Jul'!$D$27:$AH$206,'Aug'!$D$27:$AH$206,'Sep'!$D$27:$AH$206,'Oct'!$D$27:$AH$206,'Nov'!$D$27:$AH$206,'Dec'!$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MONTH(A587),'Jan'!$D$27:$AH$206,'Feb'!$D$27:$AH$206,'Mar'!$D$27:$AH$206,'Apr'!$D$27:$AH$206,'May'!$D$27:$AH$206,'Jun'!$D$27:$AH$206,'Jul'!$D$27:$AH$206,'Aug'!$D$27:$AH$206,'Sep'!$D$27:$AH$206,'Oct'!$D$27:$AH$206,'Nov'!$D$27:$AH$206,'Dec'!$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MONTH(A588),'Jan'!$D$27:$AH$206,'Feb'!$D$27:$AH$206,'Mar'!$D$27:$AH$206,'Apr'!$D$27:$AH$206,'May'!$D$27:$AH$206,'Jun'!$D$27:$AH$206,'Jul'!$D$27:$AH$206,'Aug'!$D$27:$AH$206,'Sep'!$D$27:$AH$206,'Oct'!$D$27:$AH$206,'Nov'!$D$27:$AH$206,'Dec'!$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MONTH(A589),'Jan'!$D$27:$AH$206,'Feb'!$D$27:$AH$206,'Mar'!$D$27:$AH$206,'Apr'!$D$27:$AH$206,'May'!$D$27:$AH$206,'Jun'!$D$27:$AH$206,'Jul'!$D$27:$AH$206,'Aug'!$D$27:$AH$206,'Sep'!$D$27:$AH$206,'Oct'!$D$27:$AH$206,'Nov'!$D$27:$AH$206,'Dec'!$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MONTH(A590),'Jan'!$D$27:$AH$206,'Feb'!$D$27:$AH$206,'Mar'!$D$27:$AH$206,'Apr'!$D$27:$AH$206,'May'!$D$27:$AH$206,'Jun'!$D$27:$AH$206,'Jul'!$D$27:$AH$206,'Aug'!$D$27:$AH$206,'Sep'!$D$27:$AH$206,'Oct'!$D$27:$AH$206,'Nov'!$D$27:$AH$206,'Dec'!$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MONTH(A591),'Jan'!$D$27:$AH$206,'Feb'!$D$27:$AH$206,'Mar'!$D$27:$AH$206,'Apr'!$D$27:$AH$206,'May'!$D$27:$AH$206,'Jun'!$D$27:$AH$206,'Jul'!$D$27:$AH$206,'Aug'!$D$27:$AH$206,'Sep'!$D$27:$AH$206,'Oct'!$D$27:$AH$206,'Nov'!$D$27:$AH$206,'Dec'!$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MONTH(A592),'Jan'!$D$27:$AH$206,'Feb'!$D$27:$AH$206,'Mar'!$D$27:$AH$206,'Apr'!$D$27:$AH$206,'May'!$D$27:$AH$206,'Jun'!$D$27:$AH$206,'Jul'!$D$27:$AH$206,'Aug'!$D$27:$AH$206,'Sep'!$D$27:$AH$206,'Oct'!$D$27:$AH$206,'Nov'!$D$27:$AH$206,'Dec'!$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MONTH(A593),'Jan'!$D$27:$AH$206,'Feb'!$D$27:$AH$206,'Mar'!$D$27:$AH$206,'Apr'!$D$27:$AH$206,'May'!$D$27:$AH$206,'Jun'!$D$27:$AH$206,'Jul'!$D$27:$AH$206,'Aug'!$D$27:$AH$206,'Sep'!$D$27:$AH$206,'Oct'!$D$27:$AH$206,'Nov'!$D$27:$AH$206,'Dec'!$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MONTH(A594),'Jan'!$D$27:$AH$206,'Feb'!$D$27:$AH$206,'Mar'!$D$27:$AH$206,'Apr'!$D$27:$AH$206,'May'!$D$27:$AH$206,'Jun'!$D$27:$AH$206,'Jul'!$D$27:$AH$206,'Aug'!$D$27:$AH$206,'Sep'!$D$27:$AH$206,'Oct'!$D$27:$AH$206,'Nov'!$D$27:$AH$206,'Dec'!$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MONTH(A595),'Jan'!$D$27:$AH$206,'Feb'!$D$27:$AH$206,'Mar'!$D$27:$AH$206,'Apr'!$D$27:$AH$206,'May'!$D$27:$AH$206,'Jun'!$D$27:$AH$206,'Jul'!$D$27:$AH$206,'Aug'!$D$27:$AH$206,'Sep'!$D$27:$AH$206,'Oct'!$D$27:$AH$206,'Nov'!$D$27:$AH$206,'Dec'!$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MONTH(A596),'Jan'!$D$27:$AH$206,'Feb'!$D$27:$AH$206,'Mar'!$D$27:$AH$206,'Apr'!$D$27:$AH$206,'May'!$D$27:$AH$206,'Jun'!$D$27:$AH$206,'Jul'!$D$27:$AH$206,'Aug'!$D$27:$AH$206,'Sep'!$D$27:$AH$206,'Oct'!$D$27:$AH$206,'Nov'!$D$27:$AH$206,'Dec'!$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MONTH(A597),'Jan'!$D$27:$AH$206,'Feb'!$D$27:$AH$206,'Mar'!$D$27:$AH$206,'Apr'!$D$27:$AH$206,'May'!$D$27:$AH$206,'Jun'!$D$27:$AH$206,'Jul'!$D$27:$AH$206,'Aug'!$D$27:$AH$206,'Sep'!$D$27:$AH$206,'Oct'!$D$27:$AH$206,'Nov'!$D$27:$AH$206,'Dec'!$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MONTH(A598),'Jan'!$D$27:$AH$206,'Feb'!$D$27:$AH$206,'Mar'!$D$27:$AH$206,'Apr'!$D$27:$AH$206,'May'!$D$27:$AH$206,'Jun'!$D$27:$AH$206,'Jul'!$D$27:$AH$206,'Aug'!$D$27:$AH$206,'Sep'!$D$27:$AH$206,'Oct'!$D$27:$AH$206,'Nov'!$D$27:$AH$206,'Dec'!$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MONTH(A599),'Jan'!$D$27:$AH$206,'Feb'!$D$27:$AH$206,'Mar'!$D$27:$AH$206,'Apr'!$D$27:$AH$206,'May'!$D$27:$AH$206,'Jun'!$D$27:$AH$206,'Jul'!$D$27:$AH$206,'Aug'!$D$27:$AH$206,'Sep'!$D$27:$AH$206,'Oct'!$D$27:$AH$206,'Nov'!$D$27:$AH$206,'Dec'!$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MONTH(A600),'Jan'!$D$27:$AH$206,'Feb'!$D$27:$AH$206,'Mar'!$D$27:$AH$206,'Apr'!$D$27:$AH$206,'May'!$D$27:$AH$206,'Jun'!$D$27:$AH$206,'Jul'!$D$27:$AH$206,'Aug'!$D$27:$AH$206,'Sep'!$D$27:$AH$206,'Oct'!$D$27:$AH$206,'Nov'!$D$27:$AH$206,'Dec'!$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MONTH(A601),'Jan'!$D$27:$AH$206,'Feb'!$D$27:$AH$206,'Mar'!$D$27:$AH$206,'Apr'!$D$27:$AH$206,'May'!$D$27:$AH$206,'Jun'!$D$27:$AH$206,'Jul'!$D$27:$AH$206,'Aug'!$D$27:$AH$206,'Sep'!$D$27:$AH$206,'Oct'!$D$27:$AH$206,'Nov'!$D$27:$AH$206,'Dec'!$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MONTH(A602),'Jan'!$D$27:$AH$206,'Feb'!$D$27:$AH$206,'Mar'!$D$27:$AH$206,'Apr'!$D$27:$AH$206,'May'!$D$27:$AH$206,'Jun'!$D$27:$AH$206,'Jul'!$D$27:$AH$206,'Aug'!$D$27:$AH$206,'Sep'!$D$27:$AH$206,'Oct'!$D$27:$AH$206,'Nov'!$D$27:$AH$206,'Dec'!$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MONTH(A603),'Jan'!$D$27:$AH$206,'Feb'!$D$27:$AH$206,'Mar'!$D$27:$AH$206,'Apr'!$D$27:$AH$206,'May'!$D$27:$AH$206,'Jun'!$D$27:$AH$206,'Jul'!$D$27:$AH$206,'Aug'!$D$27:$AH$206,'Sep'!$D$27:$AH$206,'Oct'!$D$27:$AH$206,'Nov'!$D$27:$AH$206,'Dec'!$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MONTH(A604),'Jan'!$D$27:$AH$206,'Feb'!$D$27:$AH$206,'Mar'!$D$27:$AH$206,'Apr'!$D$27:$AH$206,'May'!$D$27:$AH$206,'Jun'!$D$27:$AH$206,'Jul'!$D$27:$AH$206,'Aug'!$D$27:$AH$206,'Sep'!$D$27:$AH$206,'Oct'!$D$27:$AH$206,'Nov'!$D$27:$AH$206,'Dec'!$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MONTH(A605),'Jan'!$D$27:$AH$206,'Feb'!$D$27:$AH$206,'Mar'!$D$27:$AH$206,'Apr'!$D$27:$AH$206,'May'!$D$27:$AH$206,'Jun'!$D$27:$AH$206,'Jul'!$D$27:$AH$206,'Aug'!$D$27:$AH$206,'Sep'!$D$27:$AH$206,'Oct'!$D$27:$AH$206,'Nov'!$D$27:$AH$206,'Dec'!$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MONTH(A606),'Jan'!$D$27:$AH$206,'Feb'!$D$27:$AH$206,'Mar'!$D$27:$AH$206,'Apr'!$D$27:$AH$206,'May'!$D$27:$AH$206,'Jun'!$D$27:$AH$206,'Jul'!$D$27:$AH$206,'Aug'!$D$27:$AH$206,'Sep'!$D$27:$AH$206,'Oct'!$D$27:$AH$206,'Nov'!$D$27:$AH$206,'Dec'!$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MONTH(A607),'Jan'!$D$27:$AH$206,'Feb'!$D$27:$AH$206,'Mar'!$D$27:$AH$206,'Apr'!$D$27:$AH$206,'May'!$D$27:$AH$206,'Jun'!$D$27:$AH$206,'Jul'!$D$27:$AH$206,'Aug'!$D$27:$AH$206,'Sep'!$D$27:$AH$206,'Oct'!$D$27:$AH$206,'Nov'!$D$27:$AH$206,'Dec'!$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MONTH(A608),'Jan'!$D$27:$AH$206,'Feb'!$D$27:$AH$206,'Mar'!$D$27:$AH$206,'Apr'!$D$27:$AH$206,'May'!$D$27:$AH$206,'Jun'!$D$27:$AH$206,'Jul'!$D$27:$AH$206,'Aug'!$D$27:$AH$206,'Sep'!$D$27:$AH$206,'Oct'!$D$27:$AH$206,'Nov'!$D$27:$AH$206,'Dec'!$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MONTH(A609),'Jan'!$D$27:$AH$206,'Feb'!$D$27:$AH$206,'Mar'!$D$27:$AH$206,'Apr'!$D$27:$AH$206,'May'!$D$27:$AH$206,'Jun'!$D$27:$AH$206,'Jul'!$D$27:$AH$206,'Aug'!$D$27:$AH$206,'Sep'!$D$27:$AH$206,'Oct'!$D$27:$AH$206,'Nov'!$D$27:$AH$206,'Dec'!$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MONTH(A610),'Jan'!$D$27:$AH$206,'Feb'!$D$27:$AH$206,'Mar'!$D$27:$AH$206,'Apr'!$D$27:$AH$206,'May'!$D$27:$AH$206,'Jun'!$D$27:$AH$206,'Jul'!$D$27:$AH$206,'Aug'!$D$27:$AH$206,'Sep'!$D$27:$AH$206,'Oct'!$D$27:$AH$206,'Nov'!$D$27:$AH$206,'Dec'!$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MONTH(A611),'Jan'!$D$27:$AH$206,'Feb'!$D$27:$AH$206,'Mar'!$D$27:$AH$206,'Apr'!$D$27:$AH$206,'May'!$D$27:$AH$206,'Jun'!$D$27:$AH$206,'Jul'!$D$27:$AH$206,'Aug'!$D$27:$AH$206,'Sep'!$D$27:$AH$206,'Oct'!$D$27:$AH$206,'Nov'!$D$27:$AH$206,'Dec'!$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MONTH(A612),'Jan'!$D$27:$AH$206,'Feb'!$D$27:$AH$206,'Mar'!$D$27:$AH$206,'Apr'!$D$27:$AH$206,'May'!$D$27:$AH$206,'Jun'!$D$27:$AH$206,'Jul'!$D$27:$AH$206,'Aug'!$D$27:$AH$206,'Sep'!$D$27:$AH$206,'Oct'!$D$27:$AH$206,'Nov'!$D$27:$AH$206,'Dec'!$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MONTH(A613),'Jan'!$D$27:$AH$206,'Feb'!$D$27:$AH$206,'Mar'!$D$27:$AH$206,'Apr'!$D$27:$AH$206,'May'!$D$27:$AH$206,'Jun'!$D$27:$AH$206,'Jul'!$D$27:$AH$206,'Aug'!$D$27:$AH$206,'Sep'!$D$27:$AH$206,'Oct'!$D$27:$AH$206,'Nov'!$D$27:$AH$206,'Dec'!$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MONTH(A614),'Jan'!$D$27:$AH$206,'Feb'!$D$27:$AH$206,'Mar'!$D$27:$AH$206,'Apr'!$D$27:$AH$206,'May'!$D$27:$AH$206,'Jun'!$D$27:$AH$206,'Jul'!$D$27:$AH$206,'Aug'!$D$27:$AH$206,'Sep'!$D$27:$AH$206,'Oct'!$D$27:$AH$206,'Nov'!$D$27:$AH$206,'Dec'!$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MONTH(A615),'Jan'!$D$27:$AH$206,'Feb'!$D$27:$AH$206,'Mar'!$D$27:$AH$206,'Apr'!$D$27:$AH$206,'May'!$D$27:$AH$206,'Jun'!$D$27:$AH$206,'Jul'!$D$27:$AH$206,'Aug'!$D$27:$AH$206,'Sep'!$D$27:$AH$206,'Oct'!$D$27:$AH$206,'Nov'!$D$27:$AH$206,'Dec'!$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MONTH(A616),'Jan'!$D$27:$AH$206,'Feb'!$D$27:$AH$206,'Mar'!$D$27:$AH$206,'Apr'!$D$27:$AH$206,'May'!$D$27:$AH$206,'Jun'!$D$27:$AH$206,'Jul'!$D$27:$AH$206,'Aug'!$D$27:$AH$206,'Sep'!$D$27:$AH$206,'Oct'!$D$27:$AH$206,'Nov'!$D$27:$AH$206,'Dec'!$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MONTH(A617),'Jan'!$D$27:$AH$206,'Feb'!$D$27:$AH$206,'Mar'!$D$27:$AH$206,'Apr'!$D$27:$AH$206,'May'!$D$27:$AH$206,'Jun'!$D$27:$AH$206,'Jul'!$D$27:$AH$206,'Aug'!$D$27:$AH$206,'Sep'!$D$27:$AH$206,'Oct'!$D$27:$AH$206,'Nov'!$D$27:$AH$206,'Dec'!$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MONTH(A618),'Jan'!$D$27:$AH$206,'Feb'!$D$27:$AH$206,'Mar'!$D$27:$AH$206,'Apr'!$D$27:$AH$206,'May'!$D$27:$AH$206,'Jun'!$D$27:$AH$206,'Jul'!$D$27:$AH$206,'Aug'!$D$27:$AH$206,'Sep'!$D$27:$AH$206,'Oct'!$D$27:$AH$206,'Nov'!$D$27:$AH$206,'Dec'!$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MONTH(A619),'Jan'!$D$27:$AH$206,'Feb'!$D$27:$AH$206,'Mar'!$D$27:$AH$206,'Apr'!$D$27:$AH$206,'May'!$D$27:$AH$206,'Jun'!$D$27:$AH$206,'Jul'!$D$27:$AH$206,'Aug'!$D$27:$AH$206,'Sep'!$D$27:$AH$206,'Oct'!$D$27:$AH$206,'Nov'!$D$27:$AH$206,'Dec'!$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MONTH(A620),'Jan'!$D$27:$AH$206,'Feb'!$D$27:$AH$206,'Mar'!$D$27:$AH$206,'Apr'!$D$27:$AH$206,'May'!$D$27:$AH$206,'Jun'!$D$27:$AH$206,'Jul'!$D$27:$AH$206,'Aug'!$D$27:$AH$206,'Sep'!$D$27:$AH$206,'Oct'!$D$27:$AH$206,'Nov'!$D$27:$AH$206,'Dec'!$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MONTH(A621),'Jan'!$D$27:$AH$206,'Feb'!$D$27:$AH$206,'Mar'!$D$27:$AH$206,'Apr'!$D$27:$AH$206,'May'!$D$27:$AH$206,'Jun'!$D$27:$AH$206,'Jul'!$D$27:$AH$206,'Aug'!$D$27:$AH$206,'Sep'!$D$27:$AH$206,'Oct'!$D$27:$AH$206,'Nov'!$D$27:$AH$206,'Dec'!$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MONTH(A622),'Jan'!$D$27:$AH$206,'Feb'!$D$27:$AH$206,'Mar'!$D$27:$AH$206,'Apr'!$D$27:$AH$206,'May'!$D$27:$AH$206,'Jun'!$D$27:$AH$206,'Jul'!$D$27:$AH$206,'Aug'!$D$27:$AH$206,'Sep'!$D$27:$AH$206,'Oct'!$D$27:$AH$206,'Nov'!$D$27:$AH$206,'Dec'!$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MONTH(A623),'Jan'!$D$27:$AH$206,'Feb'!$D$27:$AH$206,'Mar'!$D$27:$AH$206,'Apr'!$D$27:$AH$206,'May'!$D$27:$AH$206,'Jun'!$D$27:$AH$206,'Jul'!$D$27:$AH$206,'Aug'!$D$27:$AH$206,'Sep'!$D$27:$AH$206,'Oct'!$D$27:$AH$206,'Nov'!$D$27:$AH$206,'Dec'!$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MONTH(A624),'Jan'!$D$27:$AH$206,'Feb'!$D$27:$AH$206,'Mar'!$D$27:$AH$206,'Apr'!$D$27:$AH$206,'May'!$D$27:$AH$206,'Jun'!$D$27:$AH$206,'Jul'!$D$27:$AH$206,'Aug'!$D$27:$AH$206,'Sep'!$D$27:$AH$206,'Oct'!$D$27:$AH$206,'Nov'!$D$27:$AH$206,'Dec'!$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MONTH(A625),'Jan'!$D$27:$AH$206,'Feb'!$D$27:$AH$206,'Mar'!$D$27:$AH$206,'Apr'!$D$27:$AH$206,'May'!$D$27:$AH$206,'Jun'!$D$27:$AH$206,'Jul'!$D$27:$AH$206,'Aug'!$D$27:$AH$206,'Sep'!$D$27:$AH$206,'Oct'!$D$27:$AH$206,'Nov'!$D$27:$AH$206,'Dec'!$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MONTH(A626),'Jan'!$D$27:$AH$206,'Feb'!$D$27:$AH$206,'Mar'!$D$27:$AH$206,'Apr'!$D$27:$AH$206,'May'!$D$27:$AH$206,'Jun'!$D$27:$AH$206,'Jul'!$D$27:$AH$206,'Aug'!$D$27:$AH$206,'Sep'!$D$27:$AH$206,'Oct'!$D$27:$AH$206,'Nov'!$D$27:$AH$206,'Dec'!$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MONTH(A627),'Jan'!$D$27:$AH$206,'Feb'!$D$27:$AH$206,'Mar'!$D$27:$AH$206,'Apr'!$D$27:$AH$206,'May'!$D$27:$AH$206,'Jun'!$D$27:$AH$206,'Jul'!$D$27:$AH$206,'Aug'!$D$27:$AH$206,'Sep'!$D$27:$AH$206,'Oct'!$D$27:$AH$206,'Nov'!$D$27:$AH$206,'Dec'!$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MONTH(A628),'Jan'!$D$27:$AH$206,'Feb'!$D$27:$AH$206,'Mar'!$D$27:$AH$206,'Apr'!$D$27:$AH$206,'May'!$D$27:$AH$206,'Jun'!$D$27:$AH$206,'Jul'!$D$27:$AH$206,'Aug'!$D$27:$AH$206,'Sep'!$D$27:$AH$206,'Oct'!$D$27:$AH$206,'Nov'!$D$27:$AH$206,'Dec'!$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MONTH(A629),'Jan'!$D$27:$AH$206,'Feb'!$D$27:$AH$206,'Mar'!$D$27:$AH$206,'Apr'!$D$27:$AH$206,'May'!$D$27:$AH$206,'Jun'!$D$27:$AH$206,'Jul'!$D$27:$AH$206,'Aug'!$D$27:$AH$206,'Sep'!$D$27:$AH$206,'Oct'!$D$27:$AH$206,'Nov'!$D$27:$AH$206,'Dec'!$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MONTH(A630),'Jan'!$D$27:$AH$206,'Feb'!$D$27:$AH$206,'Mar'!$D$27:$AH$206,'Apr'!$D$27:$AH$206,'May'!$D$27:$AH$206,'Jun'!$D$27:$AH$206,'Jul'!$D$27:$AH$206,'Aug'!$D$27:$AH$206,'Sep'!$D$27:$AH$206,'Oct'!$D$27:$AH$206,'Nov'!$D$27:$AH$206,'Dec'!$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MONTH(A631),'Jan'!$D$27:$AH$206,'Feb'!$D$27:$AH$206,'Mar'!$D$27:$AH$206,'Apr'!$D$27:$AH$206,'May'!$D$27:$AH$206,'Jun'!$D$27:$AH$206,'Jul'!$D$27:$AH$206,'Aug'!$D$27:$AH$206,'Sep'!$D$27:$AH$206,'Oct'!$D$27:$AH$206,'Nov'!$D$27:$AH$206,'Dec'!$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MONTH(A632),'Jan'!$D$27:$AH$206,'Feb'!$D$27:$AH$206,'Mar'!$D$27:$AH$206,'Apr'!$D$27:$AH$206,'May'!$D$27:$AH$206,'Jun'!$D$27:$AH$206,'Jul'!$D$27:$AH$206,'Aug'!$D$27:$AH$206,'Sep'!$D$27:$AH$206,'Oct'!$D$27:$AH$206,'Nov'!$D$27:$AH$206,'Dec'!$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MONTH(A633),'Jan'!$D$27:$AH$206,'Feb'!$D$27:$AH$206,'Mar'!$D$27:$AH$206,'Apr'!$D$27:$AH$206,'May'!$D$27:$AH$206,'Jun'!$D$27:$AH$206,'Jul'!$D$27:$AH$206,'Aug'!$D$27:$AH$206,'Sep'!$D$27:$AH$206,'Oct'!$D$27:$AH$206,'Nov'!$D$27:$AH$206,'Dec'!$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MONTH(A634),'Jan'!$D$27:$AH$206,'Feb'!$D$27:$AH$206,'Mar'!$D$27:$AH$206,'Apr'!$D$27:$AH$206,'May'!$D$27:$AH$206,'Jun'!$D$27:$AH$206,'Jul'!$D$27:$AH$206,'Aug'!$D$27:$AH$206,'Sep'!$D$27:$AH$206,'Oct'!$D$27:$AH$206,'Nov'!$D$27:$AH$206,'Dec'!$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MONTH(A635),'Jan'!$D$27:$AH$206,'Feb'!$D$27:$AH$206,'Mar'!$D$27:$AH$206,'Apr'!$D$27:$AH$206,'May'!$D$27:$AH$206,'Jun'!$D$27:$AH$206,'Jul'!$D$27:$AH$206,'Aug'!$D$27:$AH$206,'Sep'!$D$27:$AH$206,'Oct'!$D$27:$AH$206,'Nov'!$D$27:$AH$206,'Dec'!$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MONTH(A636),'Jan'!$D$27:$AH$206,'Feb'!$D$27:$AH$206,'Mar'!$D$27:$AH$206,'Apr'!$D$27:$AH$206,'May'!$D$27:$AH$206,'Jun'!$D$27:$AH$206,'Jul'!$D$27:$AH$206,'Aug'!$D$27:$AH$206,'Sep'!$D$27:$AH$206,'Oct'!$D$27:$AH$206,'Nov'!$D$27:$AH$206,'Dec'!$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MONTH(A637),'Jan'!$D$27:$AH$206,'Feb'!$D$27:$AH$206,'Mar'!$D$27:$AH$206,'Apr'!$D$27:$AH$206,'May'!$D$27:$AH$206,'Jun'!$D$27:$AH$206,'Jul'!$D$27:$AH$206,'Aug'!$D$27:$AH$206,'Sep'!$D$27:$AH$206,'Oct'!$D$27:$AH$206,'Nov'!$D$27:$AH$206,'Dec'!$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MONTH(A638),'Jan'!$D$27:$AH$206,'Feb'!$D$27:$AH$206,'Mar'!$D$27:$AH$206,'Apr'!$D$27:$AH$206,'May'!$D$27:$AH$206,'Jun'!$D$27:$AH$206,'Jul'!$D$27:$AH$206,'Aug'!$D$27:$AH$206,'Sep'!$D$27:$AH$206,'Oct'!$D$27:$AH$206,'Nov'!$D$27:$AH$206,'Dec'!$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MONTH(A639),'Jan'!$D$27:$AH$206,'Feb'!$D$27:$AH$206,'Mar'!$D$27:$AH$206,'Apr'!$D$27:$AH$206,'May'!$D$27:$AH$206,'Jun'!$D$27:$AH$206,'Jul'!$D$27:$AH$206,'Aug'!$D$27:$AH$206,'Sep'!$D$27:$AH$206,'Oct'!$D$27:$AH$206,'Nov'!$D$27:$AH$206,'Dec'!$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MONTH(A640),'Jan'!$D$27:$AH$206,'Feb'!$D$27:$AH$206,'Mar'!$D$27:$AH$206,'Apr'!$D$27:$AH$206,'May'!$D$27:$AH$206,'Jun'!$D$27:$AH$206,'Jul'!$D$27:$AH$206,'Aug'!$D$27:$AH$206,'Sep'!$D$27:$AH$206,'Oct'!$D$27:$AH$206,'Nov'!$D$27:$AH$206,'Dec'!$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MONTH(A641),'Jan'!$D$27:$AH$206,'Feb'!$D$27:$AH$206,'Mar'!$D$27:$AH$206,'Apr'!$D$27:$AH$206,'May'!$D$27:$AH$206,'Jun'!$D$27:$AH$206,'Jul'!$D$27:$AH$206,'Aug'!$D$27:$AH$206,'Sep'!$D$27:$AH$206,'Oct'!$D$27:$AH$206,'Nov'!$D$27:$AH$206,'Dec'!$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MONTH(A642),'Jan'!$D$27:$AH$206,'Feb'!$D$27:$AH$206,'Mar'!$D$27:$AH$206,'Apr'!$D$27:$AH$206,'May'!$D$27:$AH$206,'Jun'!$D$27:$AH$206,'Jul'!$D$27:$AH$206,'Aug'!$D$27:$AH$206,'Sep'!$D$27:$AH$206,'Oct'!$D$27:$AH$206,'Nov'!$D$27:$AH$206,'Dec'!$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MONTH(A643),'Jan'!$D$27:$AH$206,'Feb'!$D$27:$AH$206,'Mar'!$D$27:$AH$206,'Apr'!$D$27:$AH$206,'May'!$D$27:$AH$206,'Jun'!$D$27:$AH$206,'Jul'!$D$27:$AH$206,'Aug'!$D$27:$AH$206,'Sep'!$D$27:$AH$206,'Oct'!$D$27:$AH$206,'Nov'!$D$27:$AH$206,'Dec'!$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MONTH(A644),'Jan'!$D$27:$AH$206,'Feb'!$D$27:$AH$206,'Mar'!$D$27:$AH$206,'Apr'!$D$27:$AH$206,'May'!$D$27:$AH$206,'Jun'!$D$27:$AH$206,'Jul'!$D$27:$AH$206,'Aug'!$D$27:$AH$206,'Sep'!$D$27:$AH$206,'Oct'!$D$27:$AH$206,'Nov'!$D$27:$AH$206,'Dec'!$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MONTH(A645),'Jan'!$D$27:$AH$206,'Feb'!$D$27:$AH$206,'Mar'!$D$27:$AH$206,'Apr'!$D$27:$AH$206,'May'!$D$27:$AH$206,'Jun'!$D$27:$AH$206,'Jul'!$D$27:$AH$206,'Aug'!$D$27:$AH$206,'Sep'!$D$27:$AH$206,'Oct'!$D$27:$AH$206,'Nov'!$D$27:$AH$206,'Dec'!$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MONTH(A646),'Jan'!$D$27:$AH$206,'Feb'!$D$27:$AH$206,'Mar'!$D$27:$AH$206,'Apr'!$D$27:$AH$206,'May'!$D$27:$AH$206,'Jun'!$D$27:$AH$206,'Jul'!$D$27:$AH$206,'Aug'!$D$27:$AH$206,'Sep'!$D$27:$AH$206,'Oct'!$D$27:$AH$206,'Nov'!$D$27:$AH$206,'Dec'!$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MONTH(A647),'Jan'!$D$27:$AH$206,'Feb'!$D$27:$AH$206,'Mar'!$D$27:$AH$206,'Apr'!$D$27:$AH$206,'May'!$D$27:$AH$206,'Jun'!$D$27:$AH$206,'Jul'!$D$27:$AH$206,'Aug'!$D$27:$AH$206,'Sep'!$D$27:$AH$206,'Oct'!$D$27:$AH$206,'Nov'!$D$27:$AH$206,'Dec'!$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MONTH(A648),'Jan'!$D$27:$AH$206,'Feb'!$D$27:$AH$206,'Mar'!$D$27:$AH$206,'Apr'!$D$27:$AH$206,'May'!$D$27:$AH$206,'Jun'!$D$27:$AH$206,'Jul'!$D$27:$AH$206,'Aug'!$D$27:$AH$206,'Sep'!$D$27:$AH$206,'Oct'!$D$27:$AH$206,'Nov'!$D$27:$AH$206,'Dec'!$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MONTH(A649),'Jan'!$D$27:$AH$206,'Feb'!$D$27:$AH$206,'Mar'!$D$27:$AH$206,'Apr'!$D$27:$AH$206,'May'!$D$27:$AH$206,'Jun'!$D$27:$AH$206,'Jul'!$D$27:$AH$206,'Aug'!$D$27:$AH$206,'Sep'!$D$27:$AH$206,'Oct'!$D$27:$AH$206,'Nov'!$D$27:$AH$206,'Dec'!$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MONTH(A650),'Jan'!$D$27:$AH$206,'Feb'!$D$27:$AH$206,'Mar'!$D$27:$AH$206,'Apr'!$D$27:$AH$206,'May'!$D$27:$AH$206,'Jun'!$D$27:$AH$206,'Jul'!$D$27:$AH$206,'Aug'!$D$27:$AH$206,'Sep'!$D$27:$AH$206,'Oct'!$D$27:$AH$206,'Nov'!$D$27:$AH$206,'Dec'!$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MONTH(A651),'Jan'!$D$27:$AH$206,'Feb'!$D$27:$AH$206,'Mar'!$D$27:$AH$206,'Apr'!$D$27:$AH$206,'May'!$D$27:$AH$206,'Jun'!$D$27:$AH$206,'Jul'!$D$27:$AH$206,'Aug'!$D$27:$AH$206,'Sep'!$D$27:$AH$206,'Oct'!$D$27:$AH$206,'Nov'!$D$27:$AH$206,'Dec'!$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MONTH(A652),'Jan'!$D$27:$AH$206,'Feb'!$D$27:$AH$206,'Mar'!$D$27:$AH$206,'Apr'!$D$27:$AH$206,'May'!$D$27:$AH$206,'Jun'!$D$27:$AH$206,'Jul'!$D$27:$AH$206,'Aug'!$D$27:$AH$206,'Sep'!$D$27:$AH$206,'Oct'!$D$27:$AH$206,'Nov'!$D$27:$AH$206,'Dec'!$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MONTH(A653),'Jan'!$D$27:$AH$206,'Feb'!$D$27:$AH$206,'Mar'!$D$27:$AH$206,'Apr'!$D$27:$AH$206,'May'!$D$27:$AH$206,'Jun'!$D$27:$AH$206,'Jul'!$D$27:$AH$206,'Aug'!$D$27:$AH$206,'Sep'!$D$27:$AH$206,'Oct'!$D$27:$AH$206,'Nov'!$D$27:$AH$206,'Dec'!$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MONTH(A654),'Jan'!$D$27:$AH$206,'Feb'!$D$27:$AH$206,'Mar'!$D$27:$AH$206,'Apr'!$D$27:$AH$206,'May'!$D$27:$AH$206,'Jun'!$D$27:$AH$206,'Jul'!$D$27:$AH$206,'Aug'!$D$27:$AH$206,'Sep'!$D$27:$AH$206,'Oct'!$D$27:$AH$206,'Nov'!$D$27:$AH$206,'Dec'!$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MONTH(A655),'Jan'!$D$27:$AH$206,'Feb'!$D$27:$AH$206,'Mar'!$D$27:$AH$206,'Apr'!$D$27:$AH$206,'May'!$D$27:$AH$206,'Jun'!$D$27:$AH$206,'Jul'!$D$27:$AH$206,'Aug'!$D$27:$AH$206,'Sep'!$D$27:$AH$206,'Oct'!$D$27:$AH$206,'Nov'!$D$27:$AH$206,'Dec'!$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MONTH(A656),'Jan'!$D$27:$AH$206,'Feb'!$D$27:$AH$206,'Mar'!$D$27:$AH$206,'Apr'!$D$27:$AH$206,'May'!$D$27:$AH$206,'Jun'!$D$27:$AH$206,'Jul'!$D$27:$AH$206,'Aug'!$D$27:$AH$206,'Sep'!$D$27:$AH$206,'Oct'!$D$27:$AH$206,'Nov'!$D$27:$AH$206,'Dec'!$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MONTH(A657),'Jan'!$D$27:$AH$206,'Feb'!$D$27:$AH$206,'Mar'!$D$27:$AH$206,'Apr'!$D$27:$AH$206,'May'!$D$27:$AH$206,'Jun'!$D$27:$AH$206,'Jul'!$D$27:$AH$206,'Aug'!$D$27:$AH$206,'Sep'!$D$27:$AH$206,'Oct'!$D$27:$AH$206,'Nov'!$D$27:$AH$206,'Dec'!$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MONTH(A658),'Jan'!$D$27:$AH$206,'Feb'!$D$27:$AH$206,'Mar'!$D$27:$AH$206,'Apr'!$D$27:$AH$206,'May'!$D$27:$AH$206,'Jun'!$D$27:$AH$206,'Jul'!$D$27:$AH$206,'Aug'!$D$27:$AH$206,'Sep'!$D$27:$AH$206,'Oct'!$D$27:$AH$206,'Nov'!$D$27:$AH$206,'Dec'!$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MONTH(A659),'Jan'!$D$27:$AH$206,'Feb'!$D$27:$AH$206,'Mar'!$D$27:$AH$206,'Apr'!$D$27:$AH$206,'May'!$D$27:$AH$206,'Jun'!$D$27:$AH$206,'Jul'!$D$27:$AH$206,'Aug'!$D$27:$AH$206,'Sep'!$D$27:$AH$206,'Oct'!$D$27:$AH$206,'Nov'!$D$27:$AH$206,'Dec'!$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MONTH(A660),'Jan'!$D$27:$AH$206,'Feb'!$D$27:$AH$206,'Mar'!$D$27:$AH$206,'Apr'!$D$27:$AH$206,'May'!$D$27:$AH$206,'Jun'!$D$27:$AH$206,'Jul'!$D$27:$AH$206,'Aug'!$D$27:$AH$206,'Sep'!$D$27:$AH$206,'Oct'!$D$27:$AH$206,'Nov'!$D$27:$AH$206,'Dec'!$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MONTH(A661),'Jan'!$D$27:$AH$206,'Feb'!$D$27:$AH$206,'Mar'!$D$27:$AH$206,'Apr'!$D$27:$AH$206,'May'!$D$27:$AH$206,'Jun'!$D$27:$AH$206,'Jul'!$D$27:$AH$206,'Aug'!$D$27:$AH$206,'Sep'!$D$27:$AH$206,'Oct'!$D$27:$AH$206,'Nov'!$D$27:$AH$206,'Dec'!$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MONTH(A662),'Jan'!$D$27:$AH$206,'Feb'!$D$27:$AH$206,'Mar'!$D$27:$AH$206,'Apr'!$D$27:$AH$206,'May'!$D$27:$AH$206,'Jun'!$D$27:$AH$206,'Jul'!$D$27:$AH$206,'Aug'!$D$27:$AH$206,'Sep'!$D$27:$AH$206,'Oct'!$D$27:$AH$206,'Nov'!$D$27:$AH$206,'Dec'!$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MONTH(A663),'Jan'!$D$27:$AH$206,'Feb'!$D$27:$AH$206,'Mar'!$D$27:$AH$206,'Apr'!$D$27:$AH$206,'May'!$D$27:$AH$206,'Jun'!$D$27:$AH$206,'Jul'!$D$27:$AH$206,'Aug'!$D$27:$AH$206,'Sep'!$D$27:$AH$206,'Oct'!$D$27:$AH$206,'Nov'!$D$27:$AH$206,'Dec'!$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MONTH(A664),'Jan'!$D$27:$AH$206,'Feb'!$D$27:$AH$206,'Mar'!$D$27:$AH$206,'Apr'!$D$27:$AH$206,'May'!$D$27:$AH$206,'Jun'!$D$27:$AH$206,'Jul'!$D$27:$AH$206,'Aug'!$D$27:$AH$206,'Sep'!$D$27:$AH$206,'Oct'!$D$27:$AH$206,'Nov'!$D$27:$AH$206,'Dec'!$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MONTH(A665),'Jan'!$D$27:$AH$206,'Feb'!$D$27:$AH$206,'Mar'!$D$27:$AH$206,'Apr'!$D$27:$AH$206,'May'!$D$27:$AH$206,'Jun'!$D$27:$AH$206,'Jul'!$D$27:$AH$206,'Aug'!$D$27:$AH$206,'Sep'!$D$27:$AH$206,'Oct'!$D$27:$AH$206,'Nov'!$D$27:$AH$206,'Dec'!$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MONTH(A666),'Jan'!$D$27:$AH$206,'Feb'!$D$27:$AH$206,'Mar'!$D$27:$AH$206,'Apr'!$D$27:$AH$206,'May'!$D$27:$AH$206,'Jun'!$D$27:$AH$206,'Jul'!$D$27:$AH$206,'Aug'!$D$27:$AH$206,'Sep'!$D$27:$AH$206,'Oct'!$D$27:$AH$206,'Nov'!$D$27:$AH$206,'Dec'!$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MONTH(A667),'Jan'!$D$27:$AH$206,'Feb'!$D$27:$AH$206,'Mar'!$D$27:$AH$206,'Apr'!$D$27:$AH$206,'May'!$D$27:$AH$206,'Jun'!$D$27:$AH$206,'Jul'!$D$27:$AH$206,'Aug'!$D$27:$AH$206,'Sep'!$D$27:$AH$206,'Oct'!$D$27:$AH$206,'Nov'!$D$27:$AH$206,'Dec'!$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MONTH(A668),'Jan'!$D$27:$AH$206,'Feb'!$D$27:$AH$206,'Mar'!$D$27:$AH$206,'Apr'!$D$27:$AH$206,'May'!$D$27:$AH$206,'Jun'!$D$27:$AH$206,'Jul'!$D$27:$AH$206,'Aug'!$D$27:$AH$206,'Sep'!$D$27:$AH$206,'Oct'!$D$27:$AH$206,'Nov'!$D$27:$AH$206,'Dec'!$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MONTH(A669),'Jan'!$D$27:$AH$206,'Feb'!$D$27:$AH$206,'Mar'!$D$27:$AH$206,'Apr'!$D$27:$AH$206,'May'!$D$27:$AH$206,'Jun'!$D$27:$AH$206,'Jul'!$D$27:$AH$206,'Aug'!$D$27:$AH$206,'Sep'!$D$27:$AH$206,'Oct'!$D$27:$AH$206,'Nov'!$D$27:$AH$206,'Dec'!$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MONTH(A670),'Jan'!$D$27:$AH$206,'Feb'!$D$27:$AH$206,'Mar'!$D$27:$AH$206,'Apr'!$D$27:$AH$206,'May'!$D$27:$AH$206,'Jun'!$D$27:$AH$206,'Jul'!$D$27:$AH$206,'Aug'!$D$27:$AH$206,'Sep'!$D$27:$AH$206,'Oct'!$D$27:$AH$206,'Nov'!$D$27:$AH$206,'Dec'!$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MONTH(A671),'Jan'!$D$27:$AH$206,'Feb'!$D$27:$AH$206,'Mar'!$D$27:$AH$206,'Apr'!$D$27:$AH$206,'May'!$D$27:$AH$206,'Jun'!$D$27:$AH$206,'Jul'!$D$27:$AH$206,'Aug'!$D$27:$AH$206,'Sep'!$D$27:$AH$206,'Oct'!$D$27:$AH$206,'Nov'!$D$27:$AH$206,'Dec'!$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MONTH(A672),'Jan'!$D$27:$AH$206,'Feb'!$D$27:$AH$206,'Mar'!$D$27:$AH$206,'Apr'!$D$27:$AH$206,'May'!$D$27:$AH$206,'Jun'!$D$27:$AH$206,'Jul'!$D$27:$AH$206,'Aug'!$D$27:$AH$206,'Sep'!$D$27:$AH$206,'Oct'!$D$27:$AH$206,'Nov'!$D$27:$AH$206,'Dec'!$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MONTH(A673),'Jan'!$D$27:$AH$206,'Feb'!$D$27:$AH$206,'Mar'!$D$27:$AH$206,'Apr'!$D$27:$AH$206,'May'!$D$27:$AH$206,'Jun'!$D$27:$AH$206,'Jul'!$D$27:$AH$206,'Aug'!$D$27:$AH$206,'Sep'!$D$27:$AH$206,'Oct'!$D$27:$AH$206,'Nov'!$D$27:$AH$206,'Dec'!$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MONTH(A674),'Jan'!$D$27:$AH$206,'Feb'!$D$27:$AH$206,'Mar'!$D$27:$AH$206,'Apr'!$D$27:$AH$206,'May'!$D$27:$AH$206,'Jun'!$D$27:$AH$206,'Jul'!$D$27:$AH$206,'Aug'!$D$27:$AH$206,'Sep'!$D$27:$AH$206,'Oct'!$D$27:$AH$206,'Nov'!$D$27:$AH$206,'Dec'!$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MONTH(A675),'Jan'!$D$27:$AH$206,'Feb'!$D$27:$AH$206,'Mar'!$D$27:$AH$206,'Apr'!$D$27:$AH$206,'May'!$D$27:$AH$206,'Jun'!$D$27:$AH$206,'Jul'!$D$27:$AH$206,'Aug'!$D$27:$AH$206,'Sep'!$D$27:$AH$206,'Oct'!$D$27:$AH$206,'Nov'!$D$27:$AH$206,'Dec'!$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MONTH(A676),'Jan'!$D$27:$AH$206,'Feb'!$D$27:$AH$206,'Mar'!$D$27:$AH$206,'Apr'!$D$27:$AH$206,'May'!$D$27:$AH$206,'Jun'!$D$27:$AH$206,'Jul'!$D$27:$AH$206,'Aug'!$D$27:$AH$206,'Sep'!$D$27:$AH$206,'Oct'!$D$27:$AH$206,'Nov'!$D$27:$AH$206,'Dec'!$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MONTH(A677),'Jan'!$D$27:$AH$206,'Feb'!$D$27:$AH$206,'Mar'!$D$27:$AH$206,'Apr'!$D$27:$AH$206,'May'!$D$27:$AH$206,'Jun'!$D$27:$AH$206,'Jul'!$D$27:$AH$206,'Aug'!$D$27:$AH$206,'Sep'!$D$27:$AH$206,'Oct'!$D$27:$AH$206,'Nov'!$D$27:$AH$206,'Dec'!$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MONTH(A678),'Jan'!$D$27:$AH$206,'Feb'!$D$27:$AH$206,'Mar'!$D$27:$AH$206,'Apr'!$D$27:$AH$206,'May'!$D$27:$AH$206,'Jun'!$D$27:$AH$206,'Jul'!$D$27:$AH$206,'Aug'!$D$27:$AH$206,'Sep'!$D$27:$AH$206,'Oct'!$D$27:$AH$206,'Nov'!$D$27:$AH$206,'Dec'!$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MONTH(A679),'Jan'!$D$27:$AH$206,'Feb'!$D$27:$AH$206,'Mar'!$D$27:$AH$206,'Apr'!$D$27:$AH$206,'May'!$D$27:$AH$206,'Jun'!$D$27:$AH$206,'Jul'!$D$27:$AH$206,'Aug'!$D$27:$AH$206,'Sep'!$D$27:$AH$206,'Oct'!$D$27:$AH$206,'Nov'!$D$27:$AH$206,'Dec'!$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MONTH(A680),'Jan'!$D$27:$AH$206,'Feb'!$D$27:$AH$206,'Mar'!$D$27:$AH$206,'Apr'!$D$27:$AH$206,'May'!$D$27:$AH$206,'Jun'!$D$27:$AH$206,'Jul'!$D$27:$AH$206,'Aug'!$D$27:$AH$206,'Sep'!$D$27:$AH$206,'Oct'!$D$27:$AH$206,'Nov'!$D$27:$AH$206,'Dec'!$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MONTH(A681),'Jan'!$D$27:$AH$206,'Feb'!$D$27:$AH$206,'Mar'!$D$27:$AH$206,'Apr'!$D$27:$AH$206,'May'!$D$27:$AH$206,'Jun'!$D$27:$AH$206,'Jul'!$D$27:$AH$206,'Aug'!$D$27:$AH$206,'Sep'!$D$27:$AH$206,'Oct'!$D$27:$AH$206,'Nov'!$D$27:$AH$206,'Dec'!$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MONTH(A682),'Jan'!$D$27:$AH$206,'Feb'!$D$27:$AH$206,'Mar'!$D$27:$AH$206,'Apr'!$D$27:$AH$206,'May'!$D$27:$AH$206,'Jun'!$D$27:$AH$206,'Jul'!$D$27:$AH$206,'Aug'!$D$27:$AH$206,'Sep'!$D$27:$AH$206,'Oct'!$D$27:$AH$206,'Nov'!$D$27:$AH$206,'Dec'!$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MONTH(A683),'Jan'!$D$27:$AH$206,'Feb'!$D$27:$AH$206,'Mar'!$D$27:$AH$206,'Apr'!$D$27:$AH$206,'May'!$D$27:$AH$206,'Jun'!$D$27:$AH$206,'Jul'!$D$27:$AH$206,'Aug'!$D$27:$AH$206,'Sep'!$D$27:$AH$206,'Oct'!$D$27:$AH$206,'Nov'!$D$27:$AH$206,'Dec'!$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MONTH(A684),'Jan'!$D$27:$AH$206,'Feb'!$D$27:$AH$206,'Mar'!$D$27:$AH$206,'Apr'!$D$27:$AH$206,'May'!$D$27:$AH$206,'Jun'!$D$27:$AH$206,'Jul'!$D$27:$AH$206,'Aug'!$D$27:$AH$206,'Sep'!$D$27:$AH$206,'Oct'!$D$27:$AH$206,'Nov'!$D$27:$AH$206,'Dec'!$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MONTH(A685),'Jan'!$D$27:$AH$206,'Feb'!$D$27:$AH$206,'Mar'!$D$27:$AH$206,'Apr'!$D$27:$AH$206,'May'!$D$27:$AH$206,'Jun'!$D$27:$AH$206,'Jul'!$D$27:$AH$206,'Aug'!$D$27:$AH$206,'Sep'!$D$27:$AH$206,'Oct'!$D$27:$AH$206,'Nov'!$D$27:$AH$206,'Dec'!$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MONTH(A686),'Jan'!$D$27:$AH$206,'Feb'!$D$27:$AH$206,'Mar'!$D$27:$AH$206,'Apr'!$D$27:$AH$206,'May'!$D$27:$AH$206,'Jun'!$D$27:$AH$206,'Jul'!$D$27:$AH$206,'Aug'!$D$27:$AH$206,'Sep'!$D$27:$AH$206,'Oct'!$D$27:$AH$206,'Nov'!$D$27:$AH$206,'Dec'!$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MONTH(A687),'Jan'!$D$27:$AH$206,'Feb'!$D$27:$AH$206,'Mar'!$D$27:$AH$206,'Apr'!$D$27:$AH$206,'May'!$D$27:$AH$206,'Jun'!$D$27:$AH$206,'Jul'!$D$27:$AH$206,'Aug'!$D$27:$AH$206,'Sep'!$D$27:$AH$206,'Oct'!$D$27:$AH$206,'Nov'!$D$27:$AH$206,'Dec'!$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MONTH(A688),'Jan'!$D$27:$AH$206,'Feb'!$D$27:$AH$206,'Mar'!$D$27:$AH$206,'Apr'!$D$27:$AH$206,'May'!$D$27:$AH$206,'Jun'!$D$27:$AH$206,'Jul'!$D$27:$AH$206,'Aug'!$D$27:$AH$206,'Sep'!$D$27:$AH$206,'Oct'!$D$27:$AH$206,'Nov'!$D$27:$AH$206,'Dec'!$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MONTH(A689),'Jan'!$D$27:$AH$206,'Feb'!$D$27:$AH$206,'Mar'!$D$27:$AH$206,'Apr'!$D$27:$AH$206,'May'!$D$27:$AH$206,'Jun'!$D$27:$AH$206,'Jul'!$D$27:$AH$206,'Aug'!$D$27:$AH$206,'Sep'!$D$27:$AH$206,'Oct'!$D$27:$AH$206,'Nov'!$D$27:$AH$206,'Dec'!$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MONTH(A690),'Jan'!$D$27:$AH$206,'Feb'!$D$27:$AH$206,'Mar'!$D$27:$AH$206,'Apr'!$D$27:$AH$206,'May'!$D$27:$AH$206,'Jun'!$D$27:$AH$206,'Jul'!$D$27:$AH$206,'Aug'!$D$27:$AH$206,'Sep'!$D$27:$AH$206,'Oct'!$D$27:$AH$206,'Nov'!$D$27:$AH$206,'Dec'!$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MONTH(A691),'Jan'!$D$27:$AH$206,'Feb'!$D$27:$AH$206,'Mar'!$D$27:$AH$206,'Apr'!$D$27:$AH$206,'May'!$D$27:$AH$206,'Jun'!$D$27:$AH$206,'Jul'!$D$27:$AH$206,'Aug'!$D$27:$AH$206,'Sep'!$D$27:$AH$206,'Oct'!$D$27:$AH$206,'Nov'!$D$27:$AH$206,'Dec'!$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MONTH(A692),'Jan'!$D$27:$AH$206,'Feb'!$D$27:$AH$206,'Mar'!$D$27:$AH$206,'Apr'!$D$27:$AH$206,'May'!$D$27:$AH$206,'Jun'!$D$27:$AH$206,'Jul'!$D$27:$AH$206,'Aug'!$D$27:$AH$206,'Sep'!$D$27:$AH$206,'Oct'!$D$27:$AH$206,'Nov'!$D$27:$AH$206,'Dec'!$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MONTH(A693),'Jan'!$D$27:$AH$206,'Feb'!$D$27:$AH$206,'Mar'!$D$27:$AH$206,'Apr'!$D$27:$AH$206,'May'!$D$27:$AH$206,'Jun'!$D$27:$AH$206,'Jul'!$D$27:$AH$206,'Aug'!$D$27:$AH$206,'Sep'!$D$27:$AH$206,'Oct'!$D$27:$AH$206,'Nov'!$D$27:$AH$206,'Dec'!$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MONTH(A694),'Jan'!$D$27:$AH$206,'Feb'!$D$27:$AH$206,'Mar'!$D$27:$AH$206,'Apr'!$D$27:$AH$206,'May'!$D$27:$AH$206,'Jun'!$D$27:$AH$206,'Jul'!$D$27:$AH$206,'Aug'!$D$27:$AH$206,'Sep'!$D$27:$AH$206,'Oct'!$D$27:$AH$206,'Nov'!$D$27:$AH$206,'Dec'!$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MONTH(A695),'Jan'!$D$27:$AH$206,'Feb'!$D$27:$AH$206,'Mar'!$D$27:$AH$206,'Apr'!$D$27:$AH$206,'May'!$D$27:$AH$206,'Jun'!$D$27:$AH$206,'Jul'!$D$27:$AH$206,'Aug'!$D$27:$AH$206,'Sep'!$D$27:$AH$206,'Oct'!$D$27:$AH$206,'Nov'!$D$27:$AH$206,'Dec'!$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MONTH(A696),'Jan'!$D$27:$AH$206,'Feb'!$D$27:$AH$206,'Mar'!$D$27:$AH$206,'Apr'!$D$27:$AH$206,'May'!$D$27:$AH$206,'Jun'!$D$27:$AH$206,'Jul'!$D$27:$AH$206,'Aug'!$D$27:$AH$206,'Sep'!$D$27:$AH$206,'Oct'!$D$27:$AH$206,'Nov'!$D$27:$AH$206,'Dec'!$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MONTH(A697),'Jan'!$D$27:$AH$206,'Feb'!$D$27:$AH$206,'Mar'!$D$27:$AH$206,'Apr'!$D$27:$AH$206,'May'!$D$27:$AH$206,'Jun'!$D$27:$AH$206,'Jul'!$D$27:$AH$206,'Aug'!$D$27:$AH$206,'Sep'!$D$27:$AH$206,'Oct'!$D$27:$AH$206,'Nov'!$D$27:$AH$206,'Dec'!$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MONTH(A698),'Jan'!$D$27:$AH$206,'Feb'!$D$27:$AH$206,'Mar'!$D$27:$AH$206,'Apr'!$D$27:$AH$206,'May'!$D$27:$AH$206,'Jun'!$D$27:$AH$206,'Jul'!$D$27:$AH$206,'Aug'!$D$27:$AH$206,'Sep'!$D$27:$AH$206,'Oct'!$D$27:$AH$206,'Nov'!$D$27:$AH$206,'Dec'!$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MONTH(A699),'Jan'!$D$27:$AH$206,'Feb'!$D$27:$AH$206,'Mar'!$D$27:$AH$206,'Apr'!$D$27:$AH$206,'May'!$D$27:$AH$206,'Jun'!$D$27:$AH$206,'Jul'!$D$27:$AH$206,'Aug'!$D$27:$AH$206,'Sep'!$D$27:$AH$206,'Oct'!$D$27:$AH$206,'Nov'!$D$27:$AH$206,'Dec'!$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MONTH(A700),'Jan'!$D$27:$AH$206,'Feb'!$D$27:$AH$206,'Mar'!$D$27:$AH$206,'Apr'!$D$27:$AH$206,'May'!$D$27:$AH$206,'Jun'!$D$27:$AH$206,'Jul'!$D$27:$AH$206,'Aug'!$D$27:$AH$206,'Sep'!$D$27:$AH$206,'Oct'!$D$27:$AH$206,'Nov'!$D$27:$AH$206,'Dec'!$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MONTH(A701),'Jan'!$D$27:$AH$206,'Feb'!$D$27:$AH$206,'Mar'!$D$27:$AH$206,'Apr'!$D$27:$AH$206,'May'!$D$27:$AH$206,'Jun'!$D$27:$AH$206,'Jul'!$D$27:$AH$206,'Aug'!$D$27:$AH$206,'Sep'!$D$27:$AH$206,'Oct'!$D$27:$AH$206,'Nov'!$D$27:$AH$206,'Dec'!$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MONTH(A702),'Jan'!$D$27:$AH$206,'Feb'!$D$27:$AH$206,'Mar'!$D$27:$AH$206,'Apr'!$D$27:$AH$206,'May'!$D$27:$AH$206,'Jun'!$D$27:$AH$206,'Jul'!$D$27:$AH$206,'Aug'!$D$27:$AH$206,'Sep'!$D$27:$AH$206,'Oct'!$D$27:$AH$206,'Nov'!$D$27:$AH$206,'Dec'!$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MONTH(A703),'Jan'!$D$27:$AH$206,'Feb'!$D$27:$AH$206,'Mar'!$D$27:$AH$206,'Apr'!$D$27:$AH$206,'May'!$D$27:$AH$206,'Jun'!$D$27:$AH$206,'Jul'!$D$27:$AH$206,'Aug'!$D$27:$AH$206,'Sep'!$D$27:$AH$206,'Oct'!$D$27:$AH$206,'Nov'!$D$27:$AH$206,'Dec'!$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MONTH(A704),'Jan'!$D$27:$AH$206,'Feb'!$D$27:$AH$206,'Mar'!$D$27:$AH$206,'Apr'!$D$27:$AH$206,'May'!$D$27:$AH$206,'Jun'!$D$27:$AH$206,'Jul'!$D$27:$AH$206,'Aug'!$D$27:$AH$206,'Sep'!$D$27:$AH$206,'Oct'!$D$27:$AH$206,'Nov'!$D$27:$AH$206,'Dec'!$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MONTH(A705),'Jan'!$D$27:$AH$206,'Feb'!$D$27:$AH$206,'Mar'!$D$27:$AH$206,'Apr'!$D$27:$AH$206,'May'!$D$27:$AH$206,'Jun'!$D$27:$AH$206,'Jul'!$D$27:$AH$206,'Aug'!$D$27:$AH$206,'Sep'!$D$27:$AH$206,'Oct'!$D$27:$AH$206,'Nov'!$D$27:$AH$206,'Dec'!$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MONTH(A706),'Jan'!$D$27:$AH$206,'Feb'!$D$27:$AH$206,'Mar'!$D$27:$AH$206,'Apr'!$D$27:$AH$206,'May'!$D$27:$AH$206,'Jun'!$D$27:$AH$206,'Jul'!$D$27:$AH$206,'Aug'!$D$27:$AH$206,'Sep'!$D$27:$AH$206,'Oct'!$D$27:$AH$206,'Nov'!$D$27:$AH$206,'Dec'!$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MONTH(A707),'Jan'!$D$27:$AH$206,'Feb'!$D$27:$AH$206,'Mar'!$D$27:$AH$206,'Apr'!$D$27:$AH$206,'May'!$D$27:$AH$206,'Jun'!$D$27:$AH$206,'Jul'!$D$27:$AH$206,'Aug'!$D$27:$AH$206,'Sep'!$D$27:$AH$206,'Oct'!$D$27:$AH$206,'Nov'!$D$27:$AH$206,'Dec'!$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MONTH(A708),'Jan'!$D$27:$AH$206,'Feb'!$D$27:$AH$206,'Mar'!$D$27:$AH$206,'Apr'!$D$27:$AH$206,'May'!$D$27:$AH$206,'Jun'!$D$27:$AH$206,'Jul'!$D$27:$AH$206,'Aug'!$D$27:$AH$206,'Sep'!$D$27:$AH$206,'Oct'!$D$27:$AH$206,'Nov'!$D$27:$AH$206,'Dec'!$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MONTH(A709),'Jan'!$D$27:$AH$206,'Feb'!$D$27:$AH$206,'Mar'!$D$27:$AH$206,'Apr'!$D$27:$AH$206,'May'!$D$27:$AH$206,'Jun'!$D$27:$AH$206,'Jul'!$D$27:$AH$206,'Aug'!$D$27:$AH$206,'Sep'!$D$27:$AH$206,'Oct'!$D$27:$AH$206,'Nov'!$D$27:$AH$206,'Dec'!$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MONTH(A710),'Jan'!$D$27:$AH$206,'Feb'!$D$27:$AH$206,'Mar'!$D$27:$AH$206,'Apr'!$D$27:$AH$206,'May'!$D$27:$AH$206,'Jun'!$D$27:$AH$206,'Jul'!$D$27:$AH$206,'Aug'!$D$27:$AH$206,'Sep'!$D$27:$AH$206,'Oct'!$D$27:$AH$206,'Nov'!$D$27:$AH$206,'Dec'!$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MONTH(A711),'Jan'!$D$27:$AH$206,'Feb'!$D$27:$AH$206,'Mar'!$D$27:$AH$206,'Apr'!$D$27:$AH$206,'May'!$D$27:$AH$206,'Jun'!$D$27:$AH$206,'Jul'!$D$27:$AH$206,'Aug'!$D$27:$AH$206,'Sep'!$D$27:$AH$206,'Oct'!$D$27:$AH$206,'Nov'!$D$27:$AH$206,'Dec'!$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MONTH(A712),'Jan'!$D$27:$AH$206,'Feb'!$D$27:$AH$206,'Mar'!$D$27:$AH$206,'Apr'!$D$27:$AH$206,'May'!$D$27:$AH$206,'Jun'!$D$27:$AH$206,'Jul'!$D$27:$AH$206,'Aug'!$D$27:$AH$206,'Sep'!$D$27:$AH$206,'Oct'!$D$27:$AH$206,'Nov'!$D$27:$AH$206,'Dec'!$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MONTH(A713),'Jan'!$D$27:$AH$206,'Feb'!$D$27:$AH$206,'Mar'!$D$27:$AH$206,'Apr'!$D$27:$AH$206,'May'!$D$27:$AH$206,'Jun'!$D$27:$AH$206,'Jul'!$D$27:$AH$206,'Aug'!$D$27:$AH$206,'Sep'!$D$27:$AH$206,'Oct'!$D$27:$AH$206,'Nov'!$D$27:$AH$206,'Dec'!$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MONTH(A714),'Jan'!$D$27:$AH$206,'Feb'!$D$27:$AH$206,'Mar'!$D$27:$AH$206,'Apr'!$D$27:$AH$206,'May'!$D$27:$AH$206,'Jun'!$D$27:$AH$206,'Jul'!$D$27:$AH$206,'Aug'!$D$27:$AH$206,'Sep'!$D$27:$AH$206,'Oct'!$D$27:$AH$206,'Nov'!$D$27:$AH$206,'Dec'!$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MONTH(A715),'Jan'!$D$27:$AH$206,'Feb'!$D$27:$AH$206,'Mar'!$D$27:$AH$206,'Apr'!$D$27:$AH$206,'May'!$D$27:$AH$206,'Jun'!$D$27:$AH$206,'Jul'!$D$27:$AH$206,'Aug'!$D$27:$AH$206,'Sep'!$D$27:$AH$206,'Oct'!$D$27:$AH$206,'Nov'!$D$27:$AH$206,'Dec'!$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MONTH(A716),'Jan'!$D$27:$AH$206,'Feb'!$D$27:$AH$206,'Mar'!$D$27:$AH$206,'Apr'!$D$27:$AH$206,'May'!$D$27:$AH$206,'Jun'!$D$27:$AH$206,'Jul'!$D$27:$AH$206,'Aug'!$D$27:$AH$206,'Sep'!$D$27:$AH$206,'Oct'!$D$27:$AH$206,'Nov'!$D$27:$AH$206,'Dec'!$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MONTH(A717),'Jan'!$D$27:$AH$206,'Feb'!$D$27:$AH$206,'Mar'!$D$27:$AH$206,'Apr'!$D$27:$AH$206,'May'!$D$27:$AH$206,'Jun'!$D$27:$AH$206,'Jul'!$D$27:$AH$206,'Aug'!$D$27:$AH$206,'Sep'!$D$27:$AH$206,'Oct'!$D$27:$AH$206,'Nov'!$D$27:$AH$206,'Dec'!$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MONTH(A718),'Jan'!$D$27:$AH$206,'Feb'!$D$27:$AH$206,'Mar'!$D$27:$AH$206,'Apr'!$D$27:$AH$206,'May'!$D$27:$AH$206,'Jun'!$D$27:$AH$206,'Jul'!$D$27:$AH$206,'Aug'!$D$27:$AH$206,'Sep'!$D$27:$AH$206,'Oct'!$D$27:$AH$206,'Nov'!$D$27:$AH$206,'Dec'!$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MONTH(A719),'Jan'!$D$27:$AH$206,'Feb'!$D$27:$AH$206,'Mar'!$D$27:$AH$206,'Apr'!$D$27:$AH$206,'May'!$D$27:$AH$206,'Jun'!$D$27:$AH$206,'Jul'!$D$27:$AH$206,'Aug'!$D$27:$AH$206,'Sep'!$D$27:$AH$206,'Oct'!$D$27:$AH$206,'Nov'!$D$27:$AH$206,'Dec'!$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MONTH(A720),'Jan'!$D$27:$AH$206,'Feb'!$D$27:$AH$206,'Mar'!$D$27:$AH$206,'Apr'!$D$27:$AH$206,'May'!$D$27:$AH$206,'Jun'!$D$27:$AH$206,'Jul'!$D$27:$AH$206,'Aug'!$D$27:$AH$206,'Sep'!$D$27:$AH$206,'Oct'!$D$27:$AH$206,'Nov'!$D$27:$AH$206,'Dec'!$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MONTH(A721),'Jan'!$D$27:$AH$206,'Feb'!$D$27:$AH$206,'Mar'!$D$27:$AH$206,'Apr'!$D$27:$AH$206,'May'!$D$27:$AH$206,'Jun'!$D$27:$AH$206,'Jul'!$D$27:$AH$206,'Aug'!$D$27:$AH$206,'Sep'!$D$27:$AH$206,'Oct'!$D$27:$AH$206,'Nov'!$D$27:$AH$206,'Dec'!$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MONTH(A722),'Jan'!$D$27:$AH$206,'Feb'!$D$27:$AH$206,'Mar'!$D$27:$AH$206,'Apr'!$D$27:$AH$206,'May'!$D$27:$AH$206,'Jun'!$D$27:$AH$206,'Jul'!$D$27:$AH$206,'Aug'!$D$27:$AH$206,'Sep'!$D$27:$AH$206,'Oct'!$D$27:$AH$206,'Nov'!$D$27:$AH$206,'Dec'!$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MONTH(A723),'Jan'!$D$27:$AH$206,'Feb'!$D$27:$AH$206,'Mar'!$D$27:$AH$206,'Apr'!$D$27:$AH$206,'May'!$D$27:$AH$206,'Jun'!$D$27:$AH$206,'Jul'!$D$27:$AH$206,'Aug'!$D$27:$AH$206,'Sep'!$D$27:$AH$206,'Oct'!$D$27:$AH$206,'Nov'!$D$27:$AH$206,'Dec'!$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MONTH(A724),'Jan'!$D$27:$AH$206,'Feb'!$D$27:$AH$206,'Mar'!$D$27:$AH$206,'Apr'!$D$27:$AH$206,'May'!$D$27:$AH$206,'Jun'!$D$27:$AH$206,'Jul'!$D$27:$AH$206,'Aug'!$D$27:$AH$206,'Sep'!$D$27:$AH$206,'Oct'!$D$27:$AH$206,'Nov'!$D$27:$AH$206,'Dec'!$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MONTH(A725),'Jan'!$D$27:$AH$206,'Feb'!$D$27:$AH$206,'Mar'!$D$27:$AH$206,'Apr'!$D$27:$AH$206,'May'!$D$27:$AH$206,'Jun'!$D$27:$AH$206,'Jul'!$D$27:$AH$206,'Aug'!$D$27:$AH$206,'Sep'!$D$27:$AH$206,'Oct'!$D$27:$AH$206,'Nov'!$D$27:$AH$206,'Dec'!$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MONTH(A726),'Jan'!$D$27:$AH$206,'Feb'!$D$27:$AH$206,'Mar'!$D$27:$AH$206,'Apr'!$D$27:$AH$206,'May'!$D$27:$AH$206,'Jun'!$D$27:$AH$206,'Jul'!$D$27:$AH$206,'Aug'!$D$27:$AH$206,'Sep'!$D$27:$AH$206,'Oct'!$D$27:$AH$206,'Nov'!$D$27:$AH$206,'Dec'!$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MONTH(A727),'Jan'!$D$27:$AH$206,'Feb'!$D$27:$AH$206,'Mar'!$D$27:$AH$206,'Apr'!$D$27:$AH$206,'May'!$D$27:$AH$206,'Jun'!$D$27:$AH$206,'Jul'!$D$27:$AH$206,'Aug'!$D$27:$AH$206,'Sep'!$D$27:$AH$206,'Oct'!$D$27:$AH$206,'Nov'!$D$27:$AH$206,'Dec'!$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MONTH(A728),'Jan'!$D$27:$AH$206,'Feb'!$D$27:$AH$206,'Mar'!$D$27:$AH$206,'Apr'!$D$27:$AH$206,'May'!$D$27:$AH$206,'Jun'!$D$27:$AH$206,'Jul'!$D$27:$AH$206,'Aug'!$D$27:$AH$206,'Sep'!$D$27:$AH$206,'Oct'!$D$27:$AH$206,'Nov'!$D$27:$AH$206,'Dec'!$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MONTH(A729),'Jan'!$D$27:$AH$206,'Feb'!$D$27:$AH$206,'Mar'!$D$27:$AH$206,'Apr'!$D$27:$AH$206,'May'!$D$27:$AH$206,'Jun'!$D$27:$AH$206,'Jul'!$D$27:$AH$206,'Aug'!$D$27:$AH$206,'Sep'!$D$27:$AH$206,'Oct'!$D$27:$AH$206,'Nov'!$D$27:$AH$206,'Dec'!$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MONTH(A730),'Jan'!$D$27:$AH$206,'Feb'!$D$27:$AH$206,'Mar'!$D$27:$AH$206,'Apr'!$D$27:$AH$206,'May'!$D$27:$AH$206,'Jun'!$D$27:$AH$206,'Jul'!$D$27:$AH$206,'Aug'!$D$27:$AH$206,'Sep'!$D$27:$AH$206,'Oct'!$D$27:$AH$206,'Nov'!$D$27:$AH$206,'Dec'!$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MONTH(A731),'Jan'!$D$27:$AH$206,'Feb'!$D$27:$AH$206,'Mar'!$D$27:$AH$206,'Apr'!$D$27:$AH$206,'May'!$D$27:$AH$206,'Jun'!$D$27:$AH$206,'Jul'!$D$27:$AH$206,'Aug'!$D$27:$AH$206,'Sep'!$D$27:$AH$206,'Oct'!$D$27:$AH$206,'Nov'!$D$27:$AH$206,'Dec'!$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MONTH(A732),'Jan'!$D$27:$AH$206,'Feb'!$D$27:$AH$206,'Mar'!$D$27:$AH$206,'Apr'!$D$27:$AH$206,'May'!$D$27:$AH$206,'Jun'!$D$27:$AH$206,'Jul'!$D$27:$AH$206,'Aug'!$D$27:$AH$206,'Sep'!$D$27:$AH$206,'Oct'!$D$27:$AH$206,'Nov'!$D$27:$AH$206,'Dec'!$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MONTH(A733),'Jan'!$D$27:$AH$206,'Feb'!$D$27:$AH$206,'Mar'!$D$27:$AH$206,'Apr'!$D$27:$AH$206,'May'!$D$27:$AH$206,'Jun'!$D$27:$AH$206,'Jul'!$D$27:$AH$206,'Aug'!$D$27:$AH$206,'Sep'!$D$27:$AH$206,'Oct'!$D$27:$AH$206,'Nov'!$D$27:$AH$206,'Dec'!$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MONTH(A734),'Jan'!$D$27:$AH$206,'Feb'!$D$27:$AH$206,'Mar'!$D$27:$AH$206,'Apr'!$D$27:$AH$206,'May'!$D$27:$AH$206,'Jun'!$D$27:$AH$206,'Jul'!$D$27:$AH$206,'Aug'!$D$27:$AH$206,'Sep'!$D$27:$AH$206,'Oct'!$D$27:$AH$206,'Nov'!$D$27:$AH$206,'Dec'!$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MONTH(A735),'Jan'!$D$27:$AH$206,'Feb'!$D$27:$AH$206,'Mar'!$D$27:$AH$206,'Apr'!$D$27:$AH$206,'May'!$D$27:$AH$206,'Jun'!$D$27:$AH$206,'Jul'!$D$27:$AH$206,'Aug'!$D$27:$AH$206,'Sep'!$D$27:$AH$206,'Oct'!$D$27:$AH$206,'Nov'!$D$27:$AH$206,'Dec'!$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MONTH(A736),'Jan'!$D$27:$AH$206,'Feb'!$D$27:$AH$206,'Mar'!$D$27:$AH$206,'Apr'!$D$27:$AH$206,'May'!$D$27:$AH$206,'Jun'!$D$27:$AH$206,'Jul'!$D$27:$AH$206,'Aug'!$D$27:$AH$206,'Sep'!$D$27:$AH$206,'Oct'!$D$27:$AH$206,'Nov'!$D$27:$AH$206,'Dec'!$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MONTH(A737),'Jan'!$D$27:$AH$206,'Feb'!$D$27:$AH$206,'Mar'!$D$27:$AH$206,'Apr'!$D$27:$AH$206,'May'!$D$27:$AH$206,'Jun'!$D$27:$AH$206,'Jul'!$D$27:$AH$206,'Aug'!$D$27:$AH$206,'Sep'!$D$27:$AH$206,'Oct'!$D$27:$AH$206,'Nov'!$D$27:$AH$206,'Dec'!$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MONTH(A738),'Jan'!$D$27:$AH$206,'Feb'!$D$27:$AH$206,'Mar'!$D$27:$AH$206,'Apr'!$D$27:$AH$206,'May'!$D$27:$AH$206,'Jun'!$D$27:$AH$206,'Jul'!$D$27:$AH$206,'Aug'!$D$27:$AH$206,'Sep'!$D$27:$AH$206,'Oct'!$D$27:$AH$206,'Nov'!$D$27:$AH$206,'Dec'!$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MONTH(A739),'Jan'!$D$27:$AH$206,'Feb'!$D$27:$AH$206,'Mar'!$D$27:$AH$206,'Apr'!$D$27:$AH$206,'May'!$D$27:$AH$206,'Jun'!$D$27:$AH$206,'Jul'!$D$27:$AH$206,'Aug'!$D$27:$AH$206,'Sep'!$D$27:$AH$206,'Oct'!$D$27:$AH$206,'Nov'!$D$27:$AH$206,'Dec'!$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MONTH(A740),'Jan'!$D$27:$AH$206,'Feb'!$D$27:$AH$206,'Mar'!$D$27:$AH$206,'Apr'!$D$27:$AH$206,'May'!$D$27:$AH$206,'Jun'!$D$27:$AH$206,'Jul'!$D$27:$AH$206,'Aug'!$D$27:$AH$206,'Sep'!$D$27:$AH$206,'Oct'!$D$27:$AH$206,'Nov'!$D$27:$AH$206,'Dec'!$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MONTH(A741),'Jan'!$D$27:$AH$206,'Feb'!$D$27:$AH$206,'Mar'!$D$27:$AH$206,'Apr'!$D$27:$AH$206,'May'!$D$27:$AH$206,'Jun'!$D$27:$AH$206,'Jul'!$D$27:$AH$206,'Aug'!$D$27:$AH$206,'Sep'!$D$27:$AH$206,'Oct'!$D$27:$AH$206,'Nov'!$D$27:$AH$206,'Dec'!$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MONTH(A742),'Jan'!$D$27:$AH$206,'Feb'!$D$27:$AH$206,'Mar'!$D$27:$AH$206,'Apr'!$D$27:$AH$206,'May'!$D$27:$AH$206,'Jun'!$D$27:$AH$206,'Jul'!$D$27:$AH$206,'Aug'!$D$27:$AH$206,'Sep'!$D$27:$AH$206,'Oct'!$D$27:$AH$206,'Nov'!$D$27:$AH$206,'Dec'!$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MONTH(A743),'Jan'!$D$27:$AH$206,'Feb'!$D$27:$AH$206,'Mar'!$D$27:$AH$206,'Apr'!$D$27:$AH$206,'May'!$D$27:$AH$206,'Jun'!$D$27:$AH$206,'Jul'!$D$27:$AH$206,'Aug'!$D$27:$AH$206,'Sep'!$D$27:$AH$206,'Oct'!$D$27:$AH$206,'Nov'!$D$27:$AH$206,'Dec'!$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MONTH(A744),'Jan'!$D$27:$AH$206,'Feb'!$D$27:$AH$206,'Mar'!$D$27:$AH$206,'Apr'!$D$27:$AH$206,'May'!$D$27:$AH$206,'Jun'!$D$27:$AH$206,'Jul'!$D$27:$AH$206,'Aug'!$D$27:$AH$206,'Sep'!$D$27:$AH$206,'Oct'!$D$27:$AH$206,'Nov'!$D$27:$AH$206,'Dec'!$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MONTH(A745),'Jan'!$D$27:$AH$206,'Feb'!$D$27:$AH$206,'Mar'!$D$27:$AH$206,'Apr'!$D$27:$AH$206,'May'!$D$27:$AH$206,'Jun'!$D$27:$AH$206,'Jul'!$D$27:$AH$206,'Aug'!$D$27:$AH$206,'Sep'!$D$27:$AH$206,'Oct'!$D$27:$AH$206,'Nov'!$D$27:$AH$206,'Dec'!$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MONTH(A746),'Jan'!$D$27:$AH$206,'Feb'!$D$27:$AH$206,'Mar'!$D$27:$AH$206,'Apr'!$D$27:$AH$206,'May'!$D$27:$AH$206,'Jun'!$D$27:$AH$206,'Jul'!$D$27:$AH$206,'Aug'!$D$27:$AH$206,'Sep'!$D$27:$AH$206,'Oct'!$D$27:$AH$206,'Nov'!$D$27:$AH$206,'Dec'!$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MONTH(A747),'Jan'!$D$27:$AH$206,'Feb'!$D$27:$AH$206,'Mar'!$D$27:$AH$206,'Apr'!$D$27:$AH$206,'May'!$D$27:$AH$206,'Jun'!$D$27:$AH$206,'Jul'!$D$27:$AH$206,'Aug'!$D$27:$AH$206,'Sep'!$D$27:$AH$206,'Oct'!$D$27:$AH$206,'Nov'!$D$27:$AH$206,'Dec'!$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MONTH(A748),'Jan'!$D$27:$AH$206,'Feb'!$D$27:$AH$206,'Mar'!$D$27:$AH$206,'Apr'!$D$27:$AH$206,'May'!$D$27:$AH$206,'Jun'!$D$27:$AH$206,'Jul'!$D$27:$AH$206,'Aug'!$D$27:$AH$206,'Sep'!$D$27:$AH$206,'Oct'!$D$27:$AH$206,'Nov'!$D$27:$AH$206,'Dec'!$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MONTH(A749),'Jan'!$D$27:$AH$206,'Feb'!$D$27:$AH$206,'Mar'!$D$27:$AH$206,'Apr'!$D$27:$AH$206,'May'!$D$27:$AH$206,'Jun'!$D$27:$AH$206,'Jul'!$D$27:$AH$206,'Aug'!$D$27:$AH$206,'Sep'!$D$27:$AH$206,'Oct'!$D$27:$AH$206,'Nov'!$D$27:$AH$206,'Dec'!$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MONTH(A750),'Jan'!$D$27:$AH$206,'Feb'!$D$27:$AH$206,'Mar'!$D$27:$AH$206,'Apr'!$D$27:$AH$206,'May'!$D$27:$AH$206,'Jun'!$D$27:$AH$206,'Jul'!$D$27:$AH$206,'Aug'!$D$27:$AH$206,'Sep'!$D$27:$AH$206,'Oct'!$D$27:$AH$206,'Nov'!$D$27:$AH$206,'Dec'!$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MONTH(A751),'Jan'!$D$27:$AH$206,'Feb'!$D$27:$AH$206,'Mar'!$D$27:$AH$206,'Apr'!$D$27:$AH$206,'May'!$D$27:$AH$206,'Jun'!$D$27:$AH$206,'Jul'!$D$27:$AH$206,'Aug'!$D$27:$AH$206,'Sep'!$D$27:$AH$206,'Oct'!$D$27:$AH$206,'Nov'!$D$27:$AH$206,'Dec'!$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MONTH(A752),'Jan'!$D$27:$AH$206,'Feb'!$D$27:$AH$206,'Mar'!$D$27:$AH$206,'Apr'!$D$27:$AH$206,'May'!$D$27:$AH$206,'Jun'!$D$27:$AH$206,'Jul'!$D$27:$AH$206,'Aug'!$D$27:$AH$206,'Sep'!$D$27:$AH$206,'Oct'!$D$27:$AH$206,'Nov'!$D$27:$AH$206,'Dec'!$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MONTH(A753),'Jan'!$D$27:$AH$206,'Feb'!$D$27:$AH$206,'Mar'!$D$27:$AH$206,'Apr'!$D$27:$AH$206,'May'!$D$27:$AH$206,'Jun'!$D$27:$AH$206,'Jul'!$D$27:$AH$206,'Aug'!$D$27:$AH$206,'Sep'!$D$27:$AH$206,'Oct'!$D$27:$AH$206,'Nov'!$D$27:$AH$206,'Dec'!$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MONTH(A754),'Jan'!$D$27:$AH$206,'Feb'!$D$27:$AH$206,'Mar'!$D$27:$AH$206,'Apr'!$D$27:$AH$206,'May'!$D$27:$AH$206,'Jun'!$D$27:$AH$206,'Jul'!$D$27:$AH$206,'Aug'!$D$27:$AH$206,'Sep'!$D$27:$AH$206,'Oct'!$D$27:$AH$206,'Nov'!$D$27:$AH$206,'Dec'!$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MONTH(A755),'Jan'!$D$27:$AH$206,'Feb'!$D$27:$AH$206,'Mar'!$D$27:$AH$206,'Apr'!$D$27:$AH$206,'May'!$D$27:$AH$206,'Jun'!$D$27:$AH$206,'Jul'!$D$27:$AH$206,'Aug'!$D$27:$AH$206,'Sep'!$D$27:$AH$206,'Oct'!$D$27:$AH$206,'Nov'!$D$27:$AH$206,'Dec'!$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MONTH(A756),'Jan'!$D$27:$AH$206,'Feb'!$D$27:$AH$206,'Mar'!$D$27:$AH$206,'Apr'!$D$27:$AH$206,'May'!$D$27:$AH$206,'Jun'!$D$27:$AH$206,'Jul'!$D$27:$AH$206,'Aug'!$D$27:$AH$206,'Sep'!$D$27:$AH$206,'Oct'!$D$27:$AH$206,'Nov'!$D$27:$AH$206,'Dec'!$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MONTH(A757),'Jan'!$D$27:$AH$206,'Feb'!$D$27:$AH$206,'Mar'!$D$27:$AH$206,'Apr'!$D$27:$AH$206,'May'!$D$27:$AH$206,'Jun'!$D$27:$AH$206,'Jul'!$D$27:$AH$206,'Aug'!$D$27:$AH$206,'Sep'!$D$27:$AH$206,'Oct'!$D$27:$AH$206,'Nov'!$D$27:$AH$206,'Dec'!$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MONTH(A758),'Jan'!$D$27:$AH$206,'Feb'!$D$27:$AH$206,'Mar'!$D$27:$AH$206,'Apr'!$D$27:$AH$206,'May'!$D$27:$AH$206,'Jun'!$D$27:$AH$206,'Jul'!$D$27:$AH$206,'Aug'!$D$27:$AH$206,'Sep'!$D$27:$AH$206,'Oct'!$D$27:$AH$206,'Nov'!$D$27:$AH$206,'Dec'!$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MONTH(A759),'Jan'!$D$27:$AH$206,'Feb'!$D$27:$AH$206,'Mar'!$D$27:$AH$206,'Apr'!$D$27:$AH$206,'May'!$D$27:$AH$206,'Jun'!$D$27:$AH$206,'Jul'!$D$27:$AH$206,'Aug'!$D$27:$AH$206,'Sep'!$D$27:$AH$206,'Oct'!$D$27:$AH$206,'Nov'!$D$27:$AH$206,'Dec'!$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MONTH(A760),'Jan'!$D$27:$AH$206,'Feb'!$D$27:$AH$206,'Mar'!$D$27:$AH$206,'Apr'!$D$27:$AH$206,'May'!$D$27:$AH$206,'Jun'!$D$27:$AH$206,'Jul'!$D$27:$AH$206,'Aug'!$D$27:$AH$206,'Sep'!$D$27:$AH$206,'Oct'!$D$27:$AH$206,'Nov'!$D$27:$AH$206,'Dec'!$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MONTH(A761),'Jan'!$D$27:$AH$206,'Feb'!$D$27:$AH$206,'Mar'!$D$27:$AH$206,'Apr'!$D$27:$AH$206,'May'!$D$27:$AH$206,'Jun'!$D$27:$AH$206,'Jul'!$D$27:$AH$206,'Aug'!$D$27:$AH$206,'Sep'!$D$27:$AH$206,'Oct'!$D$27:$AH$206,'Nov'!$D$27:$AH$206,'Dec'!$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MONTH(A762),'Jan'!$D$27:$AH$206,'Feb'!$D$27:$AH$206,'Mar'!$D$27:$AH$206,'Apr'!$D$27:$AH$206,'May'!$D$27:$AH$206,'Jun'!$D$27:$AH$206,'Jul'!$D$27:$AH$206,'Aug'!$D$27:$AH$206,'Sep'!$D$27:$AH$206,'Oct'!$D$27:$AH$206,'Nov'!$D$27:$AH$206,'Dec'!$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MONTH(A763),'Jan'!$D$27:$AH$206,'Feb'!$D$27:$AH$206,'Mar'!$D$27:$AH$206,'Apr'!$D$27:$AH$206,'May'!$D$27:$AH$206,'Jun'!$D$27:$AH$206,'Jul'!$D$27:$AH$206,'Aug'!$D$27:$AH$206,'Sep'!$D$27:$AH$206,'Oct'!$D$27:$AH$206,'Nov'!$D$27:$AH$206,'Dec'!$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MONTH(A764),'Jan'!$D$27:$AH$206,'Feb'!$D$27:$AH$206,'Mar'!$D$27:$AH$206,'Apr'!$D$27:$AH$206,'May'!$D$27:$AH$206,'Jun'!$D$27:$AH$206,'Jul'!$D$27:$AH$206,'Aug'!$D$27:$AH$206,'Sep'!$D$27:$AH$206,'Oct'!$D$27:$AH$206,'Nov'!$D$27:$AH$206,'Dec'!$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MONTH(A765),'Jan'!$D$27:$AH$206,'Feb'!$D$27:$AH$206,'Mar'!$D$27:$AH$206,'Apr'!$D$27:$AH$206,'May'!$D$27:$AH$206,'Jun'!$D$27:$AH$206,'Jul'!$D$27:$AH$206,'Aug'!$D$27:$AH$206,'Sep'!$D$27:$AH$206,'Oct'!$D$27:$AH$206,'Nov'!$D$27:$AH$206,'Dec'!$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MONTH(A766),'Jan'!$D$27:$AH$206,'Feb'!$D$27:$AH$206,'Mar'!$D$27:$AH$206,'Apr'!$D$27:$AH$206,'May'!$D$27:$AH$206,'Jun'!$D$27:$AH$206,'Jul'!$D$27:$AH$206,'Aug'!$D$27:$AH$206,'Sep'!$D$27:$AH$206,'Oct'!$D$27:$AH$206,'Nov'!$D$27:$AH$206,'Dec'!$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MONTH(A767),'Jan'!$D$27:$AH$206,'Feb'!$D$27:$AH$206,'Mar'!$D$27:$AH$206,'Apr'!$D$27:$AH$206,'May'!$D$27:$AH$206,'Jun'!$D$27:$AH$206,'Jul'!$D$27:$AH$206,'Aug'!$D$27:$AH$206,'Sep'!$D$27:$AH$206,'Oct'!$D$27:$AH$206,'Nov'!$D$27:$AH$206,'Dec'!$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MONTH(A768),'Jan'!$D$27:$AH$206,'Feb'!$D$27:$AH$206,'Mar'!$D$27:$AH$206,'Apr'!$D$27:$AH$206,'May'!$D$27:$AH$206,'Jun'!$D$27:$AH$206,'Jul'!$D$27:$AH$206,'Aug'!$D$27:$AH$206,'Sep'!$D$27:$AH$206,'Oct'!$D$27:$AH$206,'Nov'!$D$27:$AH$206,'Dec'!$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MONTH(A769),'Jan'!$D$27:$AH$206,'Feb'!$D$27:$AH$206,'Mar'!$D$27:$AH$206,'Apr'!$D$27:$AH$206,'May'!$D$27:$AH$206,'Jun'!$D$27:$AH$206,'Jul'!$D$27:$AH$206,'Aug'!$D$27:$AH$206,'Sep'!$D$27:$AH$206,'Oct'!$D$27:$AH$206,'Nov'!$D$27:$AH$206,'Dec'!$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MONTH(A770),'Jan'!$D$27:$AH$206,'Feb'!$D$27:$AH$206,'Mar'!$D$27:$AH$206,'Apr'!$D$27:$AH$206,'May'!$D$27:$AH$206,'Jun'!$D$27:$AH$206,'Jul'!$D$27:$AH$206,'Aug'!$D$27:$AH$206,'Sep'!$D$27:$AH$206,'Oct'!$D$27:$AH$206,'Nov'!$D$27:$AH$206,'Dec'!$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MONTH(A771),'Jan'!$D$27:$AH$206,'Feb'!$D$27:$AH$206,'Mar'!$D$27:$AH$206,'Apr'!$D$27:$AH$206,'May'!$D$27:$AH$206,'Jun'!$D$27:$AH$206,'Jul'!$D$27:$AH$206,'Aug'!$D$27:$AH$206,'Sep'!$D$27:$AH$206,'Oct'!$D$27:$AH$206,'Nov'!$D$27:$AH$206,'Dec'!$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MONTH(A772),'Jan'!$D$27:$AH$206,'Feb'!$D$27:$AH$206,'Mar'!$D$27:$AH$206,'Apr'!$D$27:$AH$206,'May'!$D$27:$AH$206,'Jun'!$D$27:$AH$206,'Jul'!$D$27:$AH$206,'Aug'!$D$27:$AH$206,'Sep'!$D$27:$AH$206,'Oct'!$D$27:$AH$206,'Nov'!$D$27:$AH$206,'Dec'!$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MONTH(A773),'Jan'!$D$27:$AH$206,'Feb'!$D$27:$AH$206,'Mar'!$D$27:$AH$206,'Apr'!$D$27:$AH$206,'May'!$D$27:$AH$206,'Jun'!$D$27:$AH$206,'Jul'!$D$27:$AH$206,'Aug'!$D$27:$AH$206,'Sep'!$D$27:$AH$206,'Oct'!$D$27:$AH$206,'Nov'!$D$27:$AH$206,'Dec'!$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MONTH(A774),'Jan'!$D$27:$AH$206,'Feb'!$D$27:$AH$206,'Mar'!$D$27:$AH$206,'Apr'!$D$27:$AH$206,'May'!$D$27:$AH$206,'Jun'!$D$27:$AH$206,'Jul'!$D$27:$AH$206,'Aug'!$D$27:$AH$206,'Sep'!$D$27:$AH$206,'Oct'!$D$27:$AH$206,'Nov'!$D$27:$AH$206,'Dec'!$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MONTH(A775),'Jan'!$D$27:$AH$206,'Feb'!$D$27:$AH$206,'Mar'!$D$27:$AH$206,'Apr'!$D$27:$AH$206,'May'!$D$27:$AH$206,'Jun'!$D$27:$AH$206,'Jul'!$D$27:$AH$206,'Aug'!$D$27:$AH$206,'Sep'!$D$27:$AH$206,'Oct'!$D$27:$AH$206,'Nov'!$D$27:$AH$206,'Dec'!$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MONTH(A776),'Jan'!$D$27:$AH$206,'Feb'!$D$27:$AH$206,'Mar'!$D$27:$AH$206,'Apr'!$D$27:$AH$206,'May'!$D$27:$AH$206,'Jun'!$D$27:$AH$206,'Jul'!$D$27:$AH$206,'Aug'!$D$27:$AH$206,'Sep'!$D$27:$AH$206,'Oct'!$D$27:$AH$206,'Nov'!$D$27:$AH$206,'Dec'!$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MONTH(A777),'Jan'!$D$27:$AH$206,'Feb'!$D$27:$AH$206,'Mar'!$D$27:$AH$206,'Apr'!$D$27:$AH$206,'May'!$D$27:$AH$206,'Jun'!$D$27:$AH$206,'Jul'!$D$27:$AH$206,'Aug'!$D$27:$AH$206,'Sep'!$D$27:$AH$206,'Oct'!$D$27:$AH$206,'Nov'!$D$27:$AH$206,'Dec'!$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MONTH(A778),'Jan'!$D$27:$AH$206,'Feb'!$D$27:$AH$206,'Mar'!$D$27:$AH$206,'Apr'!$D$27:$AH$206,'May'!$D$27:$AH$206,'Jun'!$D$27:$AH$206,'Jul'!$D$27:$AH$206,'Aug'!$D$27:$AH$206,'Sep'!$D$27:$AH$206,'Oct'!$D$27:$AH$206,'Nov'!$D$27:$AH$206,'Dec'!$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MONTH(A779),'Jan'!$D$27:$AH$206,'Feb'!$D$27:$AH$206,'Mar'!$D$27:$AH$206,'Apr'!$D$27:$AH$206,'May'!$D$27:$AH$206,'Jun'!$D$27:$AH$206,'Jul'!$D$27:$AH$206,'Aug'!$D$27:$AH$206,'Sep'!$D$27:$AH$206,'Oct'!$D$27:$AH$206,'Nov'!$D$27:$AH$206,'Dec'!$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MONTH(A780),'Jan'!$D$27:$AH$206,'Feb'!$D$27:$AH$206,'Mar'!$D$27:$AH$206,'Apr'!$D$27:$AH$206,'May'!$D$27:$AH$206,'Jun'!$D$27:$AH$206,'Jul'!$D$27:$AH$206,'Aug'!$D$27:$AH$206,'Sep'!$D$27:$AH$206,'Oct'!$D$27:$AH$206,'Nov'!$D$27:$AH$206,'Dec'!$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MONTH(A781),'Jan'!$D$27:$AH$206,'Feb'!$D$27:$AH$206,'Mar'!$D$27:$AH$206,'Apr'!$D$27:$AH$206,'May'!$D$27:$AH$206,'Jun'!$D$27:$AH$206,'Jul'!$D$27:$AH$206,'Aug'!$D$27:$AH$206,'Sep'!$D$27:$AH$206,'Oct'!$D$27:$AH$206,'Nov'!$D$27:$AH$206,'Dec'!$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MONTH(A782),'Jan'!$D$27:$AH$206,'Feb'!$D$27:$AH$206,'Mar'!$D$27:$AH$206,'Apr'!$D$27:$AH$206,'May'!$D$27:$AH$206,'Jun'!$D$27:$AH$206,'Jul'!$D$27:$AH$206,'Aug'!$D$27:$AH$206,'Sep'!$D$27:$AH$206,'Oct'!$D$27:$AH$206,'Nov'!$D$27:$AH$206,'Dec'!$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MONTH(A783),'Jan'!$D$27:$AH$206,'Feb'!$D$27:$AH$206,'Mar'!$D$27:$AH$206,'Apr'!$D$27:$AH$206,'May'!$D$27:$AH$206,'Jun'!$D$27:$AH$206,'Jul'!$D$27:$AH$206,'Aug'!$D$27:$AH$206,'Sep'!$D$27:$AH$206,'Oct'!$D$27:$AH$206,'Nov'!$D$27:$AH$206,'Dec'!$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MONTH(A784),'Jan'!$D$27:$AH$206,'Feb'!$D$27:$AH$206,'Mar'!$D$27:$AH$206,'Apr'!$D$27:$AH$206,'May'!$D$27:$AH$206,'Jun'!$D$27:$AH$206,'Jul'!$D$27:$AH$206,'Aug'!$D$27:$AH$206,'Sep'!$D$27:$AH$206,'Oct'!$D$27:$AH$206,'Nov'!$D$27:$AH$206,'Dec'!$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MONTH(A785),'Jan'!$D$27:$AH$206,'Feb'!$D$27:$AH$206,'Mar'!$D$27:$AH$206,'Apr'!$D$27:$AH$206,'May'!$D$27:$AH$206,'Jun'!$D$27:$AH$206,'Jul'!$D$27:$AH$206,'Aug'!$D$27:$AH$206,'Sep'!$D$27:$AH$206,'Oct'!$D$27:$AH$206,'Nov'!$D$27:$AH$206,'Dec'!$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MONTH(A786),'Jan'!$D$27:$AH$206,'Feb'!$D$27:$AH$206,'Mar'!$D$27:$AH$206,'Apr'!$D$27:$AH$206,'May'!$D$27:$AH$206,'Jun'!$D$27:$AH$206,'Jul'!$D$27:$AH$206,'Aug'!$D$27:$AH$206,'Sep'!$D$27:$AH$206,'Oct'!$D$27:$AH$206,'Nov'!$D$27:$AH$206,'Dec'!$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MONTH(A787),'Jan'!$D$27:$AH$206,'Feb'!$D$27:$AH$206,'Mar'!$D$27:$AH$206,'Apr'!$D$27:$AH$206,'May'!$D$27:$AH$206,'Jun'!$D$27:$AH$206,'Jul'!$D$27:$AH$206,'Aug'!$D$27:$AH$206,'Sep'!$D$27:$AH$206,'Oct'!$D$27:$AH$206,'Nov'!$D$27:$AH$206,'Dec'!$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MONTH(A788),'Jan'!$D$27:$AH$206,'Feb'!$D$27:$AH$206,'Mar'!$D$27:$AH$206,'Apr'!$D$27:$AH$206,'May'!$D$27:$AH$206,'Jun'!$D$27:$AH$206,'Jul'!$D$27:$AH$206,'Aug'!$D$27:$AH$206,'Sep'!$D$27:$AH$206,'Oct'!$D$27:$AH$206,'Nov'!$D$27:$AH$206,'Dec'!$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MONTH(A789),'Jan'!$D$27:$AH$206,'Feb'!$D$27:$AH$206,'Mar'!$D$27:$AH$206,'Apr'!$D$27:$AH$206,'May'!$D$27:$AH$206,'Jun'!$D$27:$AH$206,'Jul'!$D$27:$AH$206,'Aug'!$D$27:$AH$206,'Sep'!$D$27:$AH$206,'Oct'!$D$27:$AH$206,'Nov'!$D$27:$AH$206,'Dec'!$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MONTH(A790),'Jan'!$D$27:$AH$206,'Feb'!$D$27:$AH$206,'Mar'!$D$27:$AH$206,'Apr'!$D$27:$AH$206,'May'!$D$27:$AH$206,'Jun'!$D$27:$AH$206,'Jul'!$D$27:$AH$206,'Aug'!$D$27:$AH$206,'Sep'!$D$27:$AH$206,'Oct'!$D$27:$AH$206,'Nov'!$D$27:$AH$206,'Dec'!$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MONTH(A791),'Jan'!$D$27:$AH$206,'Feb'!$D$27:$AH$206,'Mar'!$D$27:$AH$206,'Apr'!$D$27:$AH$206,'May'!$D$27:$AH$206,'Jun'!$D$27:$AH$206,'Jul'!$D$27:$AH$206,'Aug'!$D$27:$AH$206,'Sep'!$D$27:$AH$206,'Oct'!$D$27:$AH$206,'Nov'!$D$27:$AH$206,'Dec'!$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MONTH(A792),'Jan'!$D$27:$AH$206,'Feb'!$D$27:$AH$206,'Mar'!$D$27:$AH$206,'Apr'!$D$27:$AH$206,'May'!$D$27:$AH$206,'Jun'!$D$27:$AH$206,'Jul'!$D$27:$AH$206,'Aug'!$D$27:$AH$206,'Sep'!$D$27:$AH$206,'Oct'!$D$27:$AH$206,'Nov'!$D$27:$AH$206,'Dec'!$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MONTH(A793),'Jan'!$D$27:$AH$206,'Feb'!$D$27:$AH$206,'Mar'!$D$27:$AH$206,'Apr'!$D$27:$AH$206,'May'!$D$27:$AH$206,'Jun'!$D$27:$AH$206,'Jul'!$D$27:$AH$206,'Aug'!$D$27:$AH$206,'Sep'!$D$27:$AH$206,'Oct'!$D$27:$AH$206,'Nov'!$D$27:$AH$206,'Dec'!$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MONTH(A794),'Jan'!$D$27:$AH$206,'Feb'!$D$27:$AH$206,'Mar'!$D$27:$AH$206,'Apr'!$D$27:$AH$206,'May'!$D$27:$AH$206,'Jun'!$D$27:$AH$206,'Jul'!$D$27:$AH$206,'Aug'!$D$27:$AH$206,'Sep'!$D$27:$AH$206,'Oct'!$D$27:$AH$206,'Nov'!$D$27:$AH$206,'Dec'!$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MONTH(A795),'Jan'!$D$27:$AH$206,'Feb'!$D$27:$AH$206,'Mar'!$D$27:$AH$206,'Apr'!$D$27:$AH$206,'May'!$D$27:$AH$206,'Jun'!$D$27:$AH$206,'Jul'!$D$27:$AH$206,'Aug'!$D$27:$AH$206,'Sep'!$D$27:$AH$206,'Oct'!$D$27:$AH$206,'Nov'!$D$27:$AH$206,'Dec'!$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MONTH(A796),'Jan'!$D$27:$AH$206,'Feb'!$D$27:$AH$206,'Mar'!$D$27:$AH$206,'Apr'!$D$27:$AH$206,'May'!$D$27:$AH$206,'Jun'!$D$27:$AH$206,'Jul'!$D$27:$AH$206,'Aug'!$D$27:$AH$206,'Sep'!$D$27:$AH$206,'Oct'!$D$27:$AH$206,'Nov'!$D$27:$AH$206,'Dec'!$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MONTH(A797),'Jan'!$D$27:$AH$206,'Feb'!$D$27:$AH$206,'Mar'!$D$27:$AH$206,'Apr'!$D$27:$AH$206,'May'!$D$27:$AH$206,'Jun'!$D$27:$AH$206,'Jul'!$D$27:$AH$206,'Aug'!$D$27:$AH$206,'Sep'!$D$27:$AH$206,'Oct'!$D$27:$AH$206,'Nov'!$D$27:$AH$206,'Dec'!$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MONTH(A798),'Jan'!$D$27:$AH$206,'Feb'!$D$27:$AH$206,'Mar'!$D$27:$AH$206,'Apr'!$D$27:$AH$206,'May'!$D$27:$AH$206,'Jun'!$D$27:$AH$206,'Jul'!$D$27:$AH$206,'Aug'!$D$27:$AH$206,'Sep'!$D$27:$AH$206,'Oct'!$D$27:$AH$206,'Nov'!$D$27:$AH$206,'Dec'!$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MONTH(A799),'Jan'!$D$27:$AH$206,'Feb'!$D$27:$AH$206,'Mar'!$D$27:$AH$206,'Apr'!$D$27:$AH$206,'May'!$D$27:$AH$206,'Jun'!$D$27:$AH$206,'Jul'!$D$27:$AH$206,'Aug'!$D$27:$AH$206,'Sep'!$D$27:$AH$206,'Oct'!$D$27:$AH$206,'Nov'!$D$27:$AH$206,'Dec'!$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MONTH(A800),'Jan'!$D$27:$AH$206,'Feb'!$D$27:$AH$206,'Mar'!$D$27:$AH$206,'Apr'!$D$27:$AH$206,'May'!$D$27:$AH$206,'Jun'!$D$27:$AH$206,'Jul'!$D$27:$AH$206,'Aug'!$D$27:$AH$206,'Sep'!$D$27:$AH$206,'Oct'!$D$27:$AH$206,'Nov'!$D$27:$AH$206,'Dec'!$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MONTH(A801),'Jan'!$D$27:$AH$206,'Feb'!$D$27:$AH$206,'Mar'!$D$27:$AH$206,'Apr'!$D$27:$AH$206,'May'!$D$27:$AH$206,'Jun'!$D$27:$AH$206,'Jul'!$D$27:$AH$206,'Aug'!$D$27:$AH$206,'Sep'!$D$27:$AH$206,'Oct'!$D$27:$AH$206,'Nov'!$D$27:$AH$206,'Dec'!$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MONTH(A802),'Jan'!$D$27:$AH$206,'Feb'!$D$27:$AH$206,'Mar'!$D$27:$AH$206,'Apr'!$D$27:$AH$206,'May'!$D$27:$AH$206,'Jun'!$D$27:$AH$206,'Jul'!$D$27:$AH$206,'Aug'!$D$27:$AH$206,'Sep'!$D$27:$AH$206,'Oct'!$D$27:$AH$206,'Nov'!$D$27:$AH$206,'Dec'!$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MONTH(A803),'Jan'!$D$27:$AH$206,'Feb'!$D$27:$AH$206,'Mar'!$D$27:$AH$206,'Apr'!$D$27:$AH$206,'May'!$D$27:$AH$206,'Jun'!$D$27:$AH$206,'Jul'!$D$27:$AH$206,'Aug'!$D$27:$AH$206,'Sep'!$D$27:$AH$206,'Oct'!$D$27:$AH$206,'Nov'!$D$27:$AH$206,'Dec'!$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MONTH(A804),'Jan'!$D$27:$AH$206,'Feb'!$D$27:$AH$206,'Mar'!$D$27:$AH$206,'Apr'!$D$27:$AH$206,'May'!$D$27:$AH$206,'Jun'!$D$27:$AH$206,'Jul'!$D$27:$AH$206,'Aug'!$D$27:$AH$206,'Sep'!$D$27:$AH$206,'Oct'!$D$27:$AH$206,'Nov'!$D$27:$AH$206,'Dec'!$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MONTH(A805),'Jan'!$D$27:$AH$206,'Feb'!$D$27:$AH$206,'Mar'!$D$27:$AH$206,'Apr'!$D$27:$AH$206,'May'!$D$27:$AH$206,'Jun'!$D$27:$AH$206,'Jul'!$D$27:$AH$206,'Aug'!$D$27:$AH$206,'Sep'!$D$27:$AH$206,'Oct'!$D$27:$AH$206,'Nov'!$D$27:$AH$206,'Dec'!$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MONTH(A806),'Jan'!$D$27:$AH$206,'Feb'!$D$27:$AH$206,'Mar'!$D$27:$AH$206,'Apr'!$D$27:$AH$206,'May'!$D$27:$AH$206,'Jun'!$D$27:$AH$206,'Jul'!$D$27:$AH$206,'Aug'!$D$27:$AH$206,'Sep'!$D$27:$AH$206,'Oct'!$D$27:$AH$206,'Nov'!$D$27:$AH$206,'Dec'!$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MONTH(A807),'Jan'!$D$27:$AH$206,'Feb'!$D$27:$AH$206,'Mar'!$D$27:$AH$206,'Apr'!$D$27:$AH$206,'May'!$D$27:$AH$206,'Jun'!$D$27:$AH$206,'Jul'!$D$27:$AH$206,'Aug'!$D$27:$AH$206,'Sep'!$D$27:$AH$206,'Oct'!$D$27:$AH$206,'Nov'!$D$27:$AH$206,'Dec'!$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MONTH(A808),'Jan'!$D$27:$AH$206,'Feb'!$D$27:$AH$206,'Mar'!$D$27:$AH$206,'Apr'!$D$27:$AH$206,'May'!$D$27:$AH$206,'Jun'!$D$27:$AH$206,'Jul'!$D$27:$AH$206,'Aug'!$D$27:$AH$206,'Sep'!$D$27:$AH$206,'Oct'!$D$27:$AH$206,'Nov'!$D$27:$AH$206,'Dec'!$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MONTH(A809),'Jan'!$D$27:$AH$206,'Feb'!$D$27:$AH$206,'Mar'!$D$27:$AH$206,'Apr'!$D$27:$AH$206,'May'!$D$27:$AH$206,'Jun'!$D$27:$AH$206,'Jul'!$D$27:$AH$206,'Aug'!$D$27:$AH$206,'Sep'!$D$27:$AH$206,'Oct'!$D$27:$AH$206,'Nov'!$D$27:$AH$206,'Dec'!$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MONTH(A810),'Jan'!$D$27:$AH$206,'Feb'!$D$27:$AH$206,'Mar'!$D$27:$AH$206,'Apr'!$D$27:$AH$206,'May'!$D$27:$AH$206,'Jun'!$D$27:$AH$206,'Jul'!$D$27:$AH$206,'Aug'!$D$27:$AH$206,'Sep'!$D$27:$AH$206,'Oct'!$D$27:$AH$206,'Nov'!$D$27:$AH$206,'Dec'!$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MONTH(A811),'Jan'!$D$27:$AH$206,'Feb'!$D$27:$AH$206,'Mar'!$D$27:$AH$206,'Apr'!$D$27:$AH$206,'May'!$D$27:$AH$206,'Jun'!$D$27:$AH$206,'Jul'!$D$27:$AH$206,'Aug'!$D$27:$AH$206,'Sep'!$D$27:$AH$206,'Oct'!$D$27:$AH$206,'Nov'!$D$27:$AH$206,'Dec'!$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MONTH(A812),'Jan'!$D$27:$AH$206,'Feb'!$D$27:$AH$206,'Mar'!$D$27:$AH$206,'Apr'!$D$27:$AH$206,'May'!$D$27:$AH$206,'Jun'!$D$27:$AH$206,'Jul'!$D$27:$AH$206,'Aug'!$D$27:$AH$206,'Sep'!$D$27:$AH$206,'Oct'!$D$27:$AH$206,'Nov'!$D$27:$AH$206,'Dec'!$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MONTH(A813),'Jan'!$D$27:$AH$206,'Feb'!$D$27:$AH$206,'Mar'!$D$27:$AH$206,'Apr'!$D$27:$AH$206,'May'!$D$27:$AH$206,'Jun'!$D$27:$AH$206,'Jul'!$D$27:$AH$206,'Aug'!$D$27:$AH$206,'Sep'!$D$27:$AH$206,'Oct'!$D$27:$AH$206,'Nov'!$D$27:$AH$206,'Dec'!$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MONTH(A814),'Jan'!$D$27:$AH$206,'Feb'!$D$27:$AH$206,'Mar'!$D$27:$AH$206,'Apr'!$D$27:$AH$206,'May'!$D$27:$AH$206,'Jun'!$D$27:$AH$206,'Jul'!$D$27:$AH$206,'Aug'!$D$27:$AH$206,'Sep'!$D$27:$AH$206,'Oct'!$D$27:$AH$206,'Nov'!$D$27:$AH$206,'Dec'!$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MONTH(A815),'Jan'!$D$27:$AH$206,'Feb'!$D$27:$AH$206,'Mar'!$D$27:$AH$206,'Apr'!$D$27:$AH$206,'May'!$D$27:$AH$206,'Jun'!$D$27:$AH$206,'Jul'!$D$27:$AH$206,'Aug'!$D$27:$AH$206,'Sep'!$D$27:$AH$206,'Oct'!$D$27:$AH$206,'Nov'!$D$27:$AH$206,'Dec'!$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MONTH(A816),'Jan'!$D$27:$AH$206,'Feb'!$D$27:$AH$206,'Mar'!$D$27:$AH$206,'Apr'!$D$27:$AH$206,'May'!$D$27:$AH$206,'Jun'!$D$27:$AH$206,'Jul'!$D$27:$AH$206,'Aug'!$D$27:$AH$206,'Sep'!$D$27:$AH$206,'Oct'!$D$27:$AH$206,'Nov'!$D$27:$AH$206,'Dec'!$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MONTH(A817),'Jan'!$D$27:$AH$206,'Feb'!$D$27:$AH$206,'Mar'!$D$27:$AH$206,'Apr'!$D$27:$AH$206,'May'!$D$27:$AH$206,'Jun'!$D$27:$AH$206,'Jul'!$D$27:$AH$206,'Aug'!$D$27:$AH$206,'Sep'!$D$27:$AH$206,'Oct'!$D$27:$AH$206,'Nov'!$D$27:$AH$206,'Dec'!$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MONTH(A818),'Jan'!$D$27:$AH$206,'Feb'!$D$27:$AH$206,'Mar'!$D$27:$AH$206,'Apr'!$D$27:$AH$206,'May'!$D$27:$AH$206,'Jun'!$D$27:$AH$206,'Jul'!$D$27:$AH$206,'Aug'!$D$27:$AH$206,'Sep'!$D$27:$AH$206,'Oct'!$D$27:$AH$206,'Nov'!$D$27:$AH$206,'Dec'!$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MONTH(A819),'Jan'!$D$27:$AH$206,'Feb'!$D$27:$AH$206,'Mar'!$D$27:$AH$206,'Apr'!$D$27:$AH$206,'May'!$D$27:$AH$206,'Jun'!$D$27:$AH$206,'Jul'!$D$27:$AH$206,'Aug'!$D$27:$AH$206,'Sep'!$D$27:$AH$206,'Oct'!$D$27:$AH$206,'Nov'!$D$27:$AH$206,'Dec'!$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MONTH(A820),'Jan'!$D$27:$AH$206,'Feb'!$D$27:$AH$206,'Mar'!$D$27:$AH$206,'Apr'!$D$27:$AH$206,'May'!$D$27:$AH$206,'Jun'!$D$27:$AH$206,'Jul'!$D$27:$AH$206,'Aug'!$D$27:$AH$206,'Sep'!$D$27:$AH$206,'Oct'!$D$27:$AH$206,'Nov'!$D$27:$AH$206,'Dec'!$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MONTH(A821),'Jan'!$D$27:$AH$206,'Feb'!$D$27:$AH$206,'Mar'!$D$27:$AH$206,'Apr'!$D$27:$AH$206,'May'!$D$27:$AH$206,'Jun'!$D$27:$AH$206,'Jul'!$D$27:$AH$206,'Aug'!$D$27:$AH$206,'Sep'!$D$27:$AH$206,'Oct'!$D$27:$AH$206,'Nov'!$D$27:$AH$206,'Dec'!$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MONTH(A822),'Jan'!$D$27:$AH$206,'Feb'!$D$27:$AH$206,'Mar'!$D$27:$AH$206,'Apr'!$D$27:$AH$206,'May'!$D$27:$AH$206,'Jun'!$D$27:$AH$206,'Jul'!$D$27:$AH$206,'Aug'!$D$27:$AH$206,'Sep'!$D$27:$AH$206,'Oct'!$D$27:$AH$206,'Nov'!$D$27:$AH$206,'Dec'!$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MONTH(A823),'Jan'!$D$27:$AH$206,'Feb'!$D$27:$AH$206,'Mar'!$D$27:$AH$206,'Apr'!$D$27:$AH$206,'May'!$D$27:$AH$206,'Jun'!$D$27:$AH$206,'Jul'!$D$27:$AH$206,'Aug'!$D$27:$AH$206,'Sep'!$D$27:$AH$206,'Oct'!$D$27:$AH$206,'Nov'!$D$27:$AH$206,'Dec'!$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MONTH(A824),'Jan'!$D$27:$AH$206,'Feb'!$D$27:$AH$206,'Mar'!$D$27:$AH$206,'Apr'!$D$27:$AH$206,'May'!$D$27:$AH$206,'Jun'!$D$27:$AH$206,'Jul'!$D$27:$AH$206,'Aug'!$D$27:$AH$206,'Sep'!$D$27:$AH$206,'Oct'!$D$27:$AH$206,'Nov'!$D$27:$AH$206,'Dec'!$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MONTH(A825),'Jan'!$D$27:$AH$206,'Feb'!$D$27:$AH$206,'Mar'!$D$27:$AH$206,'Apr'!$D$27:$AH$206,'May'!$D$27:$AH$206,'Jun'!$D$27:$AH$206,'Jul'!$D$27:$AH$206,'Aug'!$D$27:$AH$206,'Sep'!$D$27:$AH$206,'Oct'!$D$27:$AH$206,'Nov'!$D$27:$AH$206,'Dec'!$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MONTH(A826),'Jan'!$D$27:$AH$206,'Feb'!$D$27:$AH$206,'Mar'!$D$27:$AH$206,'Apr'!$D$27:$AH$206,'May'!$D$27:$AH$206,'Jun'!$D$27:$AH$206,'Jul'!$D$27:$AH$206,'Aug'!$D$27:$AH$206,'Sep'!$D$27:$AH$206,'Oct'!$D$27:$AH$206,'Nov'!$D$27:$AH$206,'Dec'!$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MONTH(A827),'Jan'!$D$27:$AH$206,'Feb'!$D$27:$AH$206,'Mar'!$D$27:$AH$206,'Apr'!$D$27:$AH$206,'May'!$D$27:$AH$206,'Jun'!$D$27:$AH$206,'Jul'!$D$27:$AH$206,'Aug'!$D$27:$AH$206,'Sep'!$D$27:$AH$206,'Oct'!$D$27:$AH$206,'Nov'!$D$27:$AH$206,'Dec'!$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MONTH(A828),'Jan'!$D$27:$AH$206,'Feb'!$D$27:$AH$206,'Mar'!$D$27:$AH$206,'Apr'!$D$27:$AH$206,'May'!$D$27:$AH$206,'Jun'!$D$27:$AH$206,'Jul'!$D$27:$AH$206,'Aug'!$D$27:$AH$206,'Sep'!$D$27:$AH$206,'Oct'!$D$27:$AH$206,'Nov'!$D$27:$AH$206,'Dec'!$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MONTH(A829),'Jan'!$D$27:$AH$206,'Feb'!$D$27:$AH$206,'Mar'!$D$27:$AH$206,'Apr'!$D$27:$AH$206,'May'!$D$27:$AH$206,'Jun'!$D$27:$AH$206,'Jul'!$D$27:$AH$206,'Aug'!$D$27:$AH$206,'Sep'!$D$27:$AH$206,'Oct'!$D$27:$AH$206,'Nov'!$D$27:$AH$206,'Dec'!$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MONTH(A830),'Jan'!$D$27:$AH$206,'Feb'!$D$27:$AH$206,'Mar'!$D$27:$AH$206,'Apr'!$D$27:$AH$206,'May'!$D$27:$AH$206,'Jun'!$D$27:$AH$206,'Jul'!$D$27:$AH$206,'Aug'!$D$27:$AH$206,'Sep'!$D$27:$AH$206,'Oct'!$D$27:$AH$206,'Nov'!$D$27:$AH$206,'Dec'!$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MONTH(A831),'Jan'!$D$27:$AH$206,'Feb'!$D$27:$AH$206,'Mar'!$D$27:$AH$206,'Apr'!$D$27:$AH$206,'May'!$D$27:$AH$206,'Jun'!$D$27:$AH$206,'Jul'!$D$27:$AH$206,'Aug'!$D$27:$AH$206,'Sep'!$D$27:$AH$206,'Oct'!$D$27:$AH$206,'Nov'!$D$27:$AH$206,'Dec'!$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MONTH(A832),'Jan'!$D$27:$AH$206,'Feb'!$D$27:$AH$206,'Mar'!$D$27:$AH$206,'Apr'!$D$27:$AH$206,'May'!$D$27:$AH$206,'Jun'!$D$27:$AH$206,'Jul'!$D$27:$AH$206,'Aug'!$D$27:$AH$206,'Sep'!$D$27:$AH$206,'Oct'!$D$27:$AH$206,'Nov'!$D$27:$AH$206,'Dec'!$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MONTH(A833),'Jan'!$D$27:$AH$206,'Feb'!$D$27:$AH$206,'Mar'!$D$27:$AH$206,'Apr'!$D$27:$AH$206,'May'!$D$27:$AH$206,'Jun'!$D$27:$AH$206,'Jul'!$D$27:$AH$206,'Aug'!$D$27:$AH$206,'Sep'!$D$27:$AH$206,'Oct'!$D$27:$AH$206,'Nov'!$D$27:$AH$206,'Dec'!$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MONTH(A834),'Jan'!$D$27:$AH$206,'Feb'!$D$27:$AH$206,'Mar'!$D$27:$AH$206,'Apr'!$D$27:$AH$206,'May'!$D$27:$AH$206,'Jun'!$D$27:$AH$206,'Jul'!$D$27:$AH$206,'Aug'!$D$27:$AH$206,'Sep'!$D$27:$AH$206,'Oct'!$D$27:$AH$206,'Nov'!$D$27:$AH$206,'Dec'!$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MONTH(A835),'Jan'!$D$27:$AH$206,'Feb'!$D$27:$AH$206,'Mar'!$D$27:$AH$206,'Apr'!$D$27:$AH$206,'May'!$D$27:$AH$206,'Jun'!$D$27:$AH$206,'Jul'!$D$27:$AH$206,'Aug'!$D$27:$AH$206,'Sep'!$D$27:$AH$206,'Oct'!$D$27:$AH$206,'Nov'!$D$27:$AH$206,'Dec'!$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MONTH(A836),'Jan'!$D$27:$AH$206,'Feb'!$D$27:$AH$206,'Mar'!$D$27:$AH$206,'Apr'!$D$27:$AH$206,'May'!$D$27:$AH$206,'Jun'!$D$27:$AH$206,'Jul'!$D$27:$AH$206,'Aug'!$D$27:$AH$206,'Sep'!$D$27:$AH$206,'Oct'!$D$27:$AH$206,'Nov'!$D$27:$AH$206,'Dec'!$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MONTH(A837),'Jan'!$D$27:$AH$206,'Feb'!$D$27:$AH$206,'Mar'!$D$27:$AH$206,'Apr'!$D$27:$AH$206,'May'!$D$27:$AH$206,'Jun'!$D$27:$AH$206,'Jul'!$D$27:$AH$206,'Aug'!$D$27:$AH$206,'Sep'!$D$27:$AH$206,'Oct'!$D$27:$AH$206,'Nov'!$D$27:$AH$206,'Dec'!$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MONTH(A838),'Jan'!$D$27:$AH$206,'Feb'!$D$27:$AH$206,'Mar'!$D$27:$AH$206,'Apr'!$D$27:$AH$206,'May'!$D$27:$AH$206,'Jun'!$D$27:$AH$206,'Jul'!$D$27:$AH$206,'Aug'!$D$27:$AH$206,'Sep'!$D$27:$AH$206,'Oct'!$D$27:$AH$206,'Nov'!$D$27:$AH$206,'Dec'!$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MONTH(A839),'Jan'!$D$27:$AH$206,'Feb'!$D$27:$AH$206,'Mar'!$D$27:$AH$206,'Apr'!$D$27:$AH$206,'May'!$D$27:$AH$206,'Jun'!$D$27:$AH$206,'Jul'!$D$27:$AH$206,'Aug'!$D$27:$AH$206,'Sep'!$D$27:$AH$206,'Oct'!$D$27:$AH$206,'Nov'!$D$27:$AH$206,'Dec'!$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MONTH(A840),'Jan'!$D$27:$AH$206,'Feb'!$D$27:$AH$206,'Mar'!$D$27:$AH$206,'Apr'!$D$27:$AH$206,'May'!$D$27:$AH$206,'Jun'!$D$27:$AH$206,'Jul'!$D$27:$AH$206,'Aug'!$D$27:$AH$206,'Sep'!$D$27:$AH$206,'Oct'!$D$27:$AH$206,'Nov'!$D$27:$AH$206,'Dec'!$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MONTH(A841),'Jan'!$D$27:$AH$206,'Feb'!$D$27:$AH$206,'Mar'!$D$27:$AH$206,'Apr'!$D$27:$AH$206,'May'!$D$27:$AH$206,'Jun'!$D$27:$AH$206,'Jul'!$D$27:$AH$206,'Aug'!$D$27:$AH$206,'Sep'!$D$27:$AH$206,'Oct'!$D$27:$AH$206,'Nov'!$D$27:$AH$206,'Dec'!$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MONTH(A842),'Jan'!$D$27:$AH$206,'Feb'!$D$27:$AH$206,'Mar'!$D$27:$AH$206,'Apr'!$D$27:$AH$206,'May'!$D$27:$AH$206,'Jun'!$D$27:$AH$206,'Jul'!$D$27:$AH$206,'Aug'!$D$27:$AH$206,'Sep'!$D$27:$AH$206,'Oct'!$D$27:$AH$206,'Nov'!$D$27:$AH$206,'Dec'!$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MONTH(A843),'Jan'!$D$27:$AH$206,'Feb'!$D$27:$AH$206,'Mar'!$D$27:$AH$206,'Apr'!$D$27:$AH$206,'May'!$D$27:$AH$206,'Jun'!$D$27:$AH$206,'Jul'!$D$27:$AH$206,'Aug'!$D$27:$AH$206,'Sep'!$D$27:$AH$206,'Oct'!$D$27:$AH$206,'Nov'!$D$27:$AH$206,'Dec'!$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MONTH(A844),'Jan'!$D$27:$AH$206,'Feb'!$D$27:$AH$206,'Mar'!$D$27:$AH$206,'Apr'!$D$27:$AH$206,'May'!$D$27:$AH$206,'Jun'!$D$27:$AH$206,'Jul'!$D$27:$AH$206,'Aug'!$D$27:$AH$206,'Sep'!$D$27:$AH$206,'Oct'!$D$27:$AH$206,'Nov'!$D$27:$AH$206,'Dec'!$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MONTH(A845),'Jan'!$D$27:$AH$206,'Feb'!$D$27:$AH$206,'Mar'!$D$27:$AH$206,'Apr'!$D$27:$AH$206,'May'!$D$27:$AH$206,'Jun'!$D$27:$AH$206,'Jul'!$D$27:$AH$206,'Aug'!$D$27:$AH$206,'Sep'!$D$27:$AH$206,'Oct'!$D$27:$AH$206,'Nov'!$D$27:$AH$206,'Dec'!$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MONTH(A846),'Jan'!$D$27:$AH$206,'Feb'!$D$27:$AH$206,'Mar'!$D$27:$AH$206,'Apr'!$D$27:$AH$206,'May'!$D$27:$AH$206,'Jun'!$D$27:$AH$206,'Jul'!$D$27:$AH$206,'Aug'!$D$27:$AH$206,'Sep'!$D$27:$AH$206,'Oct'!$D$27:$AH$206,'Nov'!$D$27:$AH$206,'Dec'!$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MONTH(A847),'Jan'!$D$27:$AH$206,'Feb'!$D$27:$AH$206,'Mar'!$D$27:$AH$206,'Apr'!$D$27:$AH$206,'May'!$D$27:$AH$206,'Jun'!$D$27:$AH$206,'Jul'!$D$27:$AH$206,'Aug'!$D$27:$AH$206,'Sep'!$D$27:$AH$206,'Oct'!$D$27:$AH$206,'Nov'!$D$27:$AH$206,'Dec'!$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MONTH(A848),'Jan'!$D$27:$AH$206,'Feb'!$D$27:$AH$206,'Mar'!$D$27:$AH$206,'Apr'!$D$27:$AH$206,'May'!$D$27:$AH$206,'Jun'!$D$27:$AH$206,'Jul'!$D$27:$AH$206,'Aug'!$D$27:$AH$206,'Sep'!$D$27:$AH$206,'Oct'!$D$27:$AH$206,'Nov'!$D$27:$AH$206,'Dec'!$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MONTH(A849),'Jan'!$D$27:$AH$206,'Feb'!$D$27:$AH$206,'Mar'!$D$27:$AH$206,'Apr'!$D$27:$AH$206,'May'!$D$27:$AH$206,'Jun'!$D$27:$AH$206,'Jul'!$D$27:$AH$206,'Aug'!$D$27:$AH$206,'Sep'!$D$27:$AH$206,'Oct'!$D$27:$AH$206,'Nov'!$D$27:$AH$206,'Dec'!$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MONTH(A850),'Jan'!$D$27:$AH$206,'Feb'!$D$27:$AH$206,'Mar'!$D$27:$AH$206,'Apr'!$D$27:$AH$206,'May'!$D$27:$AH$206,'Jun'!$D$27:$AH$206,'Jul'!$D$27:$AH$206,'Aug'!$D$27:$AH$206,'Sep'!$D$27:$AH$206,'Oct'!$D$27:$AH$206,'Nov'!$D$27:$AH$206,'Dec'!$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MONTH(A851),'Jan'!$D$27:$AH$206,'Feb'!$D$27:$AH$206,'Mar'!$D$27:$AH$206,'Apr'!$D$27:$AH$206,'May'!$D$27:$AH$206,'Jun'!$D$27:$AH$206,'Jul'!$D$27:$AH$206,'Aug'!$D$27:$AH$206,'Sep'!$D$27:$AH$206,'Oct'!$D$27:$AH$206,'Nov'!$D$27:$AH$206,'Dec'!$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MONTH(A852),'Jan'!$D$27:$AH$206,'Feb'!$D$27:$AH$206,'Mar'!$D$27:$AH$206,'Apr'!$D$27:$AH$206,'May'!$D$27:$AH$206,'Jun'!$D$27:$AH$206,'Jul'!$D$27:$AH$206,'Aug'!$D$27:$AH$206,'Sep'!$D$27:$AH$206,'Oct'!$D$27:$AH$206,'Nov'!$D$27:$AH$206,'Dec'!$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MONTH(A853),'Jan'!$D$27:$AH$206,'Feb'!$D$27:$AH$206,'Mar'!$D$27:$AH$206,'Apr'!$D$27:$AH$206,'May'!$D$27:$AH$206,'Jun'!$D$27:$AH$206,'Jul'!$D$27:$AH$206,'Aug'!$D$27:$AH$206,'Sep'!$D$27:$AH$206,'Oct'!$D$27:$AH$206,'Nov'!$D$27:$AH$206,'Dec'!$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MONTH(A854),'Jan'!$D$27:$AH$206,'Feb'!$D$27:$AH$206,'Mar'!$D$27:$AH$206,'Apr'!$D$27:$AH$206,'May'!$D$27:$AH$206,'Jun'!$D$27:$AH$206,'Jul'!$D$27:$AH$206,'Aug'!$D$27:$AH$206,'Sep'!$D$27:$AH$206,'Oct'!$D$27:$AH$206,'Nov'!$D$27:$AH$206,'Dec'!$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MONTH(A855),'Jan'!$D$27:$AH$206,'Feb'!$D$27:$AH$206,'Mar'!$D$27:$AH$206,'Apr'!$D$27:$AH$206,'May'!$D$27:$AH$206,'Jun'!$D$27:$AH$206,'Jul'!$D$27:$AH$206,'Aug'!$D$27:$AH$206,'Sep'!$D$27:$AH$206,'Oct'!$D$27:$AH$206,'Nov'!$D$27:$AH$206,'Dec'!$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MONTH(A856),'Jan'!$D$27:$AH$206,'Feb'!$D$27:$AH$206,'Mar'!$D$27:$AH$206,'Apr'!$D$27:$AH$206,'May'!$D$27:$AH$206,'Jun'!$D$27:$AH$206,'Jul'!$D$27:$AH$206,'Aug'!$D$27:$AH$206,'Sep'!$D$27:$AH$206,'Oct'!$D$27:$AH$206,'Nov'!$D$27:$AH$206,'Dec'!$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MONTH(A857),'Jan'!$D$27:$AH$206,'Feb'!$D$27:$AH$206,'Mar'!$D$27:$AH$206,'Apr'!$D$27:$AH$206,'May'!$D$27:$AH$206,'Jun'!$D$27:$AH$206,'Jul'!$D$27:$AH$206,'Aug'!$D$27:$AH$206,'Sep'!$D$27:$AH$206,'Oct'!$D$27:$AH$206,'Nov'!$D$27:$AH$206,'Dec'!$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MONTH(A858),'Jan'!$D$27:$AH$206,'Feb'!$D$27:$AH$206,'Mar'!$D$27:$AH$206,'Apr'!$D$27:$AH$206,'May'!$D$27:$AH$206,'Jun'!$D$27:$AH$206,'Jul'!$D$27:$AH$206,'Aug'!$D$27:$AH$206,'Sep'!$D$27:$AH$206,'Oct'!$D$27:$AH$206,'Nov'!$D$27:$AH$206,'Dec'!$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MONTH(A859),'Jan'!$D$27:$AH$206,'Feb'!$D$27:$AH$206,'Mar'!$D$27:$AH$206,'Apr'!$D$27:$AH$206,'May'!$D$27:$AH$206,'Jun'!$D$27:$AH$206,'Jul'!$D$27:$AH$206,'Aug'!$D$27:$AH$206,'Sep'!$D$27:$AH$206,'Oct'!$D$27:$AH$206,'Nov'!$D$27:$AH$206,'Dec'!$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MONTH(A860),'Jan'!$D$27:$AH$206,'Feb'!$D$27:$AH$206,'Mar'!$D$27:$AH$206,'Apr'!$D$27:$AH$206,'May'!$D$27:$AH$206,'Jun'!$D$27:$AH$206,'Jul'!$D$27:$AH$206,'Aug'!$D$27:$AH$206,'Sep'!$D$27:$AH$206,'Oct'!$D$27:$AH$206,'Nov'!$D$27:$AH$206,'Dec'!$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MONTH(A861),'Jan'!$D$27:$AH$206,'Feb'!$D$27:$AH$206,'Mar'!$D$27:$AH$206,'Apr'!$D$27:$AH$206,'May'!$D$27:$AH$206,'Jun'!$D$27:$AH$206,'Jul'!$D$27:$AH$206,'Aug'!$D$27:$AH$206,'Sep'!$D$27:$AH$206,'Oct'!$D$27:$AH$206,'Nov'!$D$27:$AH$206,'Dec'!$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MONTH(A862),'Jan'!$D$27:$AH$206,'Feb'!$D$27:$AH$206,'Mar'!$D$27:$AH$206,'Apr'!$D$27:$AH$206,'May'!$D$27:$AH$206,'Jun'!$D$27:$AH$206,'Jul'!$D$27:$AH$206,'Aug'!$D$27:$AH$206,'Sep'!$D$27:$AH$206,'Oct'!$D$27:$AH$206,'Nov'!$D$27:$AH$206,'Dec'!$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MONTH(A863),'Jan'!$D$27:$AH$206,'Feb'!$D$27:$AH$206,'Mar'!$D$27:$AH$206,'Apr'!$D$27:$AH$206,'May'!$D$27:$AH$206,'Jun'!$D$27:$AH$206,'Jul'!$D$27:$AH$206,'Aug'!$D$27:$AH$206,'Sep'!$D$27:$AH$206,'Oct'!$D$27:$AH$206,'Nov'!$D$27:$AH$206,'Dec'!$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MONTH(A864),'Jan'!$D$27:$AH$206,'Feb'!$D$27:$AH$206,'Mar'!$D$27:$AH$206,'Apr'!$D$27:$AH$206,'May'!$D$27:$AH$206,'Jun'!$D$27:$AH$206,'Jul'!$D$27:$AH$206,'Aug'!$D$27:$AH$206,'Sep'!$D$27:$AH$206,'Oct'!$D$27:$AH$206,'Nov'!$D$27:$AH$206,'Dec'!$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MONTH(A865),'Jan'!$D$27:$AH$206,'Feb'!$D$27:$AH$206,'Mar'!$D$27:$AH$206,'Apr'!$D$27:$AH$206,'May'!$D$27:$AH$206,'Jun'!$D$27:$AH$206,'Jul'!$D$27:$AH$206,'Aug'!$D$27:$AH$206,'Sep'!$D$27:$AH$206,'Oct'!$D$27:$AH$206,'Nov'!$D$27:$AH$206,'Dec'!$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MONTH(A866),'Jan'!$D$27:$AH$206,'Feb'!$D$27:$AH$206,'Mar'!$D$27:$AH$206,'Apr'!$D$27:$AH$206,'May'!$D$27:$AH$206,'Jun'!$D$27:$AH$206,'Jul'!$D$27:$AH$206,'Aug'!$D$27:$AH$206,'Sep'!$D$27:$AH$206,'Oct'!$D$27:$AH$206,'Nov'!$D$27:$AH$206,'Dec'!$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MONTH(A867),'Jan'!$D$27:$AH$206,'Feb'!$D$27:$AH$206,'Mar'!$D$27:$AH$206,'Apr'!$D$27:$AH$206,'May'!$D$27:$AH$206,'Jun'!$D$27:$AH$206,'Jul'!$D$27:$AH$206,'Aug'!$D$27:$AH$206,'Sep'!$D$27:$AH$206,'Oct'!$D$27:$AH$206,'Nov'!$D$27:$AH$206,'Dec'!$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MONTH(A868),'Jan'!$D$27:$AH$206,'Feb'!$D$27:$AH$206,'Mar'!$D$27:$AH$206,'Apr'!$D$27:$AH$206,'May'!$D$27:$AH$206,'Jun'!$D$27:$AH$206,'Jul'!$D$27:$AH$206,'Aug'!$D$27:$AH$206,'Sep'!$D$27:$AH$206,'Oct'!$D$27:$AH$206,'Nov'!$D$27:$AH$206,'Dec'!$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MONTH(A869),'Jan'!$D$27:$AH$206,'Feb'!$D$27:$AH$206,'Mar'!$D$27:$AH$206,'Apr'!$D$27:$AH$206,'May'!$D$27:$AH$206,'Jun'!$D$27:$AH$206,'Jul'!$D$27:$AH$206,'Aug'!$D$27:$AH$206,'Sep'!$D$27:$AH$206,'Oct'!$D$27:$AH$206,'Nov'!$D$27:$AH$206,'Dec'!$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MONTH(A870),'Jan'!$D$27:$AH$206,'Feb'!$D$27:$AH$206,'Mar'!$D$27:$AH$206,'Apr'!$D$27:$AH$206,'May'!$D$27:$AH$206,'Jun'!$D$27:$AH$206,'Jul'!$D$27:$AH$206,'Aug'!$D$27:$AH$206,'Sep'!$D$27:$AH$206,'Oct'!$D$27:$AH$206,'Nov'!$D$27:$AH$206,'Dec'!$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MONTH(A871),'Jan'!$D$27:$AH$206,'Feb'!$D$27:$AH$206,'Mar'!$D$27:$AH$206,'Apr'!$D$27:$AH$206,'May'!$D$27:$AH$206,'Jun'!$D$27:$AH$206,'Jul'!$D$27:$AH$206,'Aug'!$D$27:$AH$206,'Sep'!$D$27:$AH$206,'Oct'!$D$27:$AH$206,'Nov'!$D$27:$AH$206,'Dec'!$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MONTH(A872),'Jan'!$D$27:$AH$206,'Feb'!$D$27:$AH$206,'Mar'!$D$27:$AH$206,'Apr'!$D$27:$AH$206,'May'!$D$27:$AH$206,'Jun'!$D$27:$AH$206,'Jul'!$D$27:$AH$206,'Aug'!$D$27:$AH$206,'Sep'!$D$27:$AH$206,'Oct'!$D$27:$AH$206,'Nov'!$D$27:$AH$206,'Dec'!$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MONTH(A873),'Jan'!$D$27:$AH$206,'Feb'!$D$27:$AH$206,'Mar'!$D$27:$AH$206,'Apr'!$D$27:$AH$206,'May'!$D$27:$AH$206,'Jun'!$D$27:$AH$206,'Jul'!$D$27:$AH$206,'Aug'!$D$27:$AH$206,'Sep'!$D$27:$AH$206,'Oct'!$D$27:$AH$206,'Nov'!$D$27:$AH$206,'Dec'!$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MONTH(A874),'Jan'!$D$27:$AH$206,'Feb'!$D$27:$AH$206,'Mar'!$D$27:$AH$206,'Apr'!$D$27:$AH$206,'May'!$D$27:$AH$206,'Jun'!$D$27:$AH$206,'Jul'!$D$27:$AH$206,'Aug'!$D$27:$AH$206,'Sep'!$D$27:$AH$206,'Oct'!$D$27:$AH$206,'Nov'!$D$27:$AH$206,'Dec'!$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MONTH(A875),'Jan'!$D$27:$AH$206,'Feb'!$D$27:$AH$206,'Mar'!$D$27:$AH$206,'Apr'!$D$27:$AH$206,'May'!$D$27:$AH$206,'Jun'!$D$27:$AH$206,'Jul'!$D$27:$AH$206,'Aug'!$D$27:$AH$206,'Sep'!$D$27:$AH$206,'Oct'!$D$27:$AH$206,'Nov'!$D$27:$AH$206,'Dec'!$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MONTH(A876),'Jan'!$D$27:$AH$206,'Feb'!$D$27:$AH$206,'Mar'!$D$27:$AH$206,'Apr'!$D$27:$AH$206,'May'!$D$27:$AH$206,'Jun'!$D$27:$AH$206,'Jul'!$D$27:$AH$206,'Aug'!$D$27:$AH$206,'Sep'!$D$27:$AH$206,'Oct'!$D$27:$AH$206,'Nov'!$D$27:$AH$206,'Dec'!$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MONTH(A877),'Jan'!$D$27:$AH$206,'Feb'!$D$27:$AH$206,'Mar'!$D$27:$AH$206,'Apr'!$D$27:$AH$206,'May'!$D$27:$AH$206,'Jun'!$D$27:$AH$206,'Jul'!$D$27:$AH$206,'Aug'!$D$27:$AH$206,'Sep'!$D$27:$AH$206,'Oct'!$D$27:$AH$206,'Nov'!$D$27:$AH$206,'Dec'!$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MONTH(A878),'Jan'!$D$27:$AH$206,'Feb'!$D$27:$AH$206,'Mar'!$D$27:$AH$206,'Apr'!$D$27:$AH$206,'May'!$D$27:$AH$206,'Jun'!$D$27:$AH$206,'Jul'!$D$27:$AH$206,'Aug'!$D$27:$AH$206,'Sep'!$D$27:$AH$206,'Oct'!$D$27:$AH$206,'Nov'!$D$27:$AH$206,'Dec'!$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MONTH(A879),'Jan'!$D$27:$AH$206,'Feb'!$D$27:$AH$206,'Mar'!$D$27:$AH$206,'Apr'!$D$27:$AH$206,'May'!$D$27:$AH$206,'Jun'!$D$27:$AH$206,'Jul'!$D$27:$AH$206,'Aug'!$D$27:$AH$206,'Sep'!$D$27:$AH$206,'Oct'!$D$27:$AH$206,'Nov'!$D$27:$AH$206,'Dec'!$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MONTH(A880),'Jan'!$D$27:$AH$206,'Feb'!$D$27:$AH$206,'Mar'!$D$27:$AH$206,'Apr'!$D$27:$AH$206,'May'!$D$27:$AH$206,'Jun'!$D$27:$AH$206,'Jul'!$D$27:$AH$206,'Aug'!$D$27:$AH$206,'Sep'!$D$27:$AH$206,'Oct'!$D$27:$AH$206,'Nov'!$D$27:$AH$206,'Dec'!$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MONTH(A881),'Jan'!$D$27:$AH$206,'Feb'!$D$27:$AH$206,'Mar'!$D$27:$AH$206,'Apr'!$D$27:$AH$206,'May'!$D$27:$AH$206,'Jun'!$D$27:$AH$206,'Jul'!$D$27:$AH$206,'Aug'!$D$27:$AH$206,'Sep'!$D$27:$AH$206,'Oct'!$D$27:$AH$206,'Nov'!$D$27:$AH$206,'Dec'!$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MONTH(A882),'Jan'!$D$27:$AH$206,'Feb'!$D$27:$AH$206,'Mar'!$D$27:$AH$206,'Apr'!$D$27:$AH$206,'May'!$D$27:$AH$206,'Jun'!$D$27:$AH$206,'Jul'!$D$27:$AH$206,'Aug'!$D$27:$AH$206,'Sep'!$D$27:$AH$206,'Oct'!$D$27:$AH$206,'Nov'!$D$27:$AH$206,'Dec'!$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MONTH(A883),'Jan'!$D$27:$AH$206,'Feb'!$D$27:$AH$206,'Mar'!$D$27:$AH$206,'Apr'!$D$27:$AH$206,'May'!$D$27:$AH$206,'Jun'!$D$27:$AH$206,'Jul'!$D$27:$AH$206,'Aug'!$D$27:$AH$206,'Sep'!$D$27:$AH$206,'Oct'!$D$27:$AH$206,'Nov'!$D$27:$AH$206,'Dec'!$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MONTH(A884),'Jan'!$D$27:$AH$206,'Feb'!$D$27:$AH$206,'Mar'!$D$27:$AH$206,'Apr'!$D$27:$AH$206,'May'!$D$27:$AH$206,'Jun'!$D$27:$AH$206,'Jul'!$D$27:$AH$206,'Aug'!$D$27:$AH$206,'Sep'!$D$27:$AH$206,'Oct'!$D$27:$AH$206,'Nov'!$D$27:$AH$206,'Dec'!$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MONTH(A885),'Jan'!$D$27:$AH$206,'Feb'!$D$27:$AH$206,'Mar'!$D$27:$AH$206,'Apr'!$D$27:$AH$206,'May'!$D$27:$AH$206,'Jun'!$D$27:$AH$206,'Jul'!$D$27:$AH$206,'Aug'!$D$27:$AH$206,'Sep'!$D$27:$AH$206,'Oct'!$D$27:$AH$206,'Nov'!$D$27:$AH$206,'Dec'!$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MONTH(A886),'Jan'!$D$27:$AH$206,'Feb'!$D$27:$AH$206,'Mar'!$D$27:$AH$206,'Apr'!$D$27:$AH$206,'May'!$D$27:$AH$206,'Jun'!$D$27:$AH$206,'Jul'!$D$27:$AH$206,'Aug'!$D$27:$AH$206,'Sep'!$D$27:$AH$206,'Oct'!$D$27:$AH$206,'Nov'!$D$27:$AH$206,'Dec'!$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MONTH(A887),'Jan'!$D$27:$AH$206,'Feb'!$D$27:$AH$206,'Mar'!$D$27:$AH$206,'Apr'!$D$27:$AH$206,'May'!$D$27:$AH$206,'Jun'!$D$27:$AH$206,'Jul'!$D$27:$AH$206,'Aug'!$D$27:$AH$206,'Sep'!$D$27:$AH$206,'Oct'!$D$27:$AH$206,'Nov'!$D$27:$AH$206,'Dec'!$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MONTH(A888),'Jan'!$D$27:$AH$206,'Feb'!$D$27:$AH$206,'Mar'!$D$27:$AH$206,'Apr'!$D$27:$AH$206,'May'!$D$27:$AH$206,'Jun'!$D$27:$AH$206,'Jul'!$D$27:$AH$206,'Aug'!$D$27:$AH$206,'Sep'!$D$27:$AH$206,'Oct'!$D$27:$AH$206,'Nov'!$D$27:$AH$206,'Dec'!$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MONTH(A889),'Jan'!$D$27:$AH$206,'Feb'!$D$27:$AH$206,'Mar'!$D$27:$AH$206,'Apr'!$D$27:$AH$206,'May'!$D$27:$AH$206,'Jun'!$D$27:$AH$206,'Jul'!$D$27:$AH$206,'Aug'!$D$27:$AH$206,'Sep'!$D$27:$AH$206,'Oct'!$D$27:$AH$206,'Nov'!$D$27:$AH$206,'Dec'!$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MONTH(A890),'Jan'!$D$27:$AH$206,'Feb'!$D$27:$AH$206,'Mar'!$D$27:$AH$206,'Apr'!$D$27:$AH$206,'May'!$D$27:$AH$206,'Jun'!$D$27:$AH$206,'Jul'!$D$27:$AH$206,'Aug'!$D$27:$AH$206,'Sep'!$D$27:$AH$206,'Oct'!$D$27:$AH$206,'Nov'!$D$27:$AH$206,'Dec'!$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MONTH(A891),'Jan'!$D$27:$AH$206,'Feb'!$D$27:$AH$206,'Mar'!$D$27:$AH$206,'Apr'!$D$27:$AH$206,'May'!$D$27:$AH$206,'Jun'!$D$27:$AH$206,'Jul'!$D$27:$AH$206,'Aug'!$D$27:$AH$206,'Sep'!$D$27:$AH$206,'Oct'!$D$27:$AH$206,'Nov'!$D$27:$AH$206,'Dec'!$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MONTH(A892),'Jan'!$D$27:$AH$206,'Feb'!$D$27:$AH$206,'Mar'!$D$27:$AH$206,'Apr'!$D$27:$AH$206,'May'!$D$27:$AH$206,'Jun'!$D$27:$AH$206,'Jul'!$D$27:$AH$206,'Aug'!$D$27:$AH$206,'Sep'!$D$27:$AH$206,'Oct'!$D$27:$AH$206,'Nov'!$D$27:$AH$206,'Dec'!$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MONTH(A893),'Jan'!$D$27:$AH$206,'Feb'!$D$27:$AH$206,'Mar'!$D$27:$AH$206,'Apr'!$D$27:$AH$206,'May'!$D$27:$AH$206,'Jun'!$D$27:$AH$206,'Jul'!$D$27:$AH$206,'Aug'!$D$27:$AH$206,'Sep'!$D$27:$AH$206,'Oct'!$D$27:$AH$206,'Nov'!$D$27:$AH$206,'Dec'!$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MONTH(A894),'Jan'!$D$27:$AH$206,'Feb'!$D$27:$AH$206,'Mar'!$D$27:$AH$206,'Apr'!$D$27:$AH$206,'May'!$D$27:$AH$206,'Jun'!$D$27:$AH$206,'Jul'!$D$27:$AH$206,'Aug'!$D$27:$AH$206,'Sep'!$D$27:$AH$206,'Oct'!$D$27:$AH$206,'Nov'!$D$27:$AH$206,'Dec'!$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MONTH(A895),'Jan'!$D$27:$AH$206,'Feb'!$D$27:$AH$206,'Mar'!$D$27:$AH$206,'Apr'!$D$27:$AH$206,'May'!$D$27:$AH$206,'Jun'!$D$27:$AH$206,'Jul'!$D$27:$AH$206,'Aug'!$D$27:$AH$206,'Sep'!$D$27:$AH$206,'Oct'!$D$27:$AH$206,'Nov'!$D$27:$AH$206,'Dec'!$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MONTH(A896),'Jan'!$D$27:$AH$206,'Feb'!$D$27:$AH$206,'Mar'!$D$27:$AH$206,'Apr'!$D$27:$AH$206,'May'!$D$27:$AH$206,'Jun'!$D$27:$AH$206,'Jul'!$D$27:$AH$206,'Aug'!$D$27:$AH$206,'Sep'!$D$27:$AH$206,'Oct'!$D$27:$AH$206,'Nov'!$D$27:$AH$206,'Dec'!$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MONTH(A897),'Jan'!$D$27:$AH$206,'Feb'!$D$27:$AH$206,'Mar'!$D$27:$AH$206,'Apr'!$D$27:$AH$206,'May'!$D$27:$AH$206,'Jun'!$D$27:$AH$206,'Jul'!$D$27:$AH$206,'Aug'!$D$27:$AH$206,'Sep'!$D$27:$AH$206,'Oct'!$D$27:$AH$206,'Nov'!$D$27:$AH$206,'Dec'!$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MONTH(A898),'Jan'!$D$27:$AH$206,'Feb'!$D$27:$AH$206,'Mar'!$D$27:$AH$206,'Apr'!$D$27:$AH$206,'May'!$D$27:$AH$206,'Jun'!$D$27:$AH$206,'Jul'!$D$27:$AH$206,'Aug'!$D$27:$AH$206,'Sep'!$D$27:$AH$206,'Oct'!$D$27:$AH$206,'Nov'!$D$27:$AH$206,'Dec'!$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MONTH(A899),'Jan'!$D$27:$AH$206,'Feb'!$D$27:$AH$206,'Mar'!$D$27:$AH$206,'Apr'!$D$27:$AH$206,'May'!$D$27:$AH$206,'Jun'!$D$27:$AH$206,'Jul'!$D$27:$AH$206,'Aug'!$D$27:$AH$206,'Sep'!$D$27:$AH$206,'Oct'!$D$27:$AH$206,'Nov'!$D$27:$AH$206,'Dec'!$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MONTH(A900),'Jan'!$D$27:$AH$206,'Feb'!$D$27:$AH$206,'Mar'!$D$27:$AH$206,'Apr'!$D$27:$AH$206,'May'!$D$27:$AH$206,'Jun'!$D$27:$AH$206,'Jul'!$D$27:$AH$206,'Aug'!$D$27:$AH$206,'Sep'!$D$27:$AH$206,'Oct'!$D$27:$AH$206,'Nov'!$D$27:$AH$206,'Dec'!$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MONTH(A901),'Jan'!$D$27:$AH$206,'Feb'!$D$27:$AH$206,'Mar'!$D$27:$AH$206,'Apr'!$D$27:$AH$206,'May'!$D$27:$AH$206,'Jun'!$D$27:$AH$206,'Jul'!$D$27:$AH$206,'Aug'!$D$27:$AH$206,'Sep'!$D$27:$AH$206,'Oct'!$D$27:$AH$206,'Nov'!$D$27:$AH$206,'Dec'!$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MONTH(A902),'Jan'!$D$27:$AH$206,'Feb'!$D$27:$AH$206,'Mar'!$D$27:$AH$206,'Apr'!$D$27:$AH$206,'May'!$D$27:$AH$206,'Jun'!$D$27:$AH$206,'Jul'!$D$27:$AH$206,'Aug'!$D$27:$AH$206,'Sep'!$D$27:$AH$206,'Oct'!$D$27:$AH$206,'Nov'!$D$27:$AH$206,'Dec'!$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MONTH(A903),'Jan'!$D$27:$AH$206,'Feb'!$D$27:$AH$206,'Mar'!$D$27:$AH$206,'Apr'!$D$27:$AH$206,'May'!$D$27:$AH$206,'Jun'!$D$27:$AH$206,'Jul'!$D$27:$AH$206,'Aug'!$D$27:$AH$206,'Sep'!$D$27:$AH$206,'Oct'!$D$27:$AH$206,'Nov'!$D$27:$AH$206,'Dec'!$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MONTH(A904),'Jan'!$D$27:$AH$206,'Feb'!$D$27:$AH$206,'Mar'!$D$27:$AH$206,'Apr'!$D$27:$AH$206,'May'!$D$27:$AH$206,'Jun'!$D$27:$AH$206,'Jul'!$D$27:$AH$206,'Aug'!$D$27:$AH$206,'Sep'!$D$27:$AH$206,'Oct'!$D$27:$AH$206,'Nov'!$D$27:$AH$206,'Dec'!$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MONTH(A905),'Jan'!$D$27:$AH$206,'Feb'!$D$27:$AH$206,'Mar'!$D$27:$AH$206,'Apr'!$D$27:$AH$206,'May'!$D$27:$AH$206,'Jun'!$D$27:$AH$206,'Jul'!$D$27:$AH$206,'Aug'!$D$27:$AH$206,'Sep'!$D$27:$AH$206,'Oct'!$D$27:$AH$206,'Nov'!$D$27:$AH$206,'Dec'!$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MONTH(A906),'Jan'!$D$27:$AH$206,'Feb'!$D$27:$AH$206,'Mar'!$D$27:$AH$206,'Apr'!$D$27:$AH$206,'May'!$D$27:$AH$206,'Jun'!$D$27:$AH$206,'Jul'!$D$27:$AH$206,'Aug'!$D$27:$AH$206,'Sep'!$D$27:$AH$206,'Oct'!$D$27:$AH$206,'Nov'!$D$27:$AH$206,'Dec'!$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MONTH(A907),'Jan'!$D$27:$AH$206,'Feb'!$D$27:$AH$206,'Mar'!$D$27:$AH$206,'Apr'!$D$27:$AH$206,'May'!$D$27:$AH$206,'Jun'!$D$27:$AH$206,'Jul'!$D$27:$AH$206,'Aug'!$D$27:$AH$206,'Sep'!$D$27:$AH$206,'Oct'!$D$27:$AH$206,'Nov'!$D$27:$AH$206,'Dec'!$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MONTH(A908),'Jan'!$D$27:$AH$206,'Feb'!$D$27:$AH$206,'Mar'!$D$27:$AH$206,'Apr'!$D$27:$AH$206,'May'!$D$27:$AH$206,'Jun'!$D$27:$AH$206,'Jul'!$D$27:$AH$206,'Aug'!$D$27:$AH$206,'Sep'!$D$27:$AH$206,'Oct'!$D$27:$AH$206,'Nov'!$D$27:$AH$206,'Dec'!$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MONTH(A909),'Jan'!$D$27:$AH$206,'Feb'!$D$27:$AH$206,'Mar'!$D$27:$AH$206,'Apr'!$D$27:$AH$206,'May'!$D$27:$AH$206,'Jun'!$D$27:$AH$206,'Jul'!$D$27:$AH$206,'Aug'!$D$27:$AH$206,'Sep'!$D$27:$AH$206,'Oct'!$D$27:$AH$206,'Nov'!$D$27:$AH$206,'Dec'!$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MONTH(A910),'Jan'!$D$27:$AH$206,'Feb'!$D$27:$AH$206,'Mar'!$D$27:$AH$206,'Apr'!$D$27:$AH$206,'May'!$D$27:$AH$206,'Jun'!$D$27:$AH$206,'Jul'!$D$27:$AH$206,'Aug'!$D$27:$AH$206,'Sep'!$D$27:$AH$206,'Oct'!$D$27:$AH$206,'Nov'!$D$27:$AH$206,'Dec'!$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MONTH(A911),'Jan'!$D$27:$AH$206,'Feb'!$D$27:$AH$206,'Mar'!$D$27:$AH$206,'Apr'!$D$27:$AH$206,'May'!$D$27:$AH$206,'Jun'!$D$27:$AH$206,'Jul'!$D$27:$AH$206,'Aug'!$D$27:$AH$206,'Sep'!$D$27:$AH$206,'Oct'!$D$27:$AH$206,'Nov'!$D$27:$AH$206,'Dec'!$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MONTH(A912),'Jan'!$D$27:$AH$206,'Feb'!$D$27:$AH$206,'Mar'!$D$27:$AH$206,'Apr'!$D$27:$AH$206,'May'!$D$27:$AH$206,'Jun'!$D$27:$AH$206,'Jul'!$D$27:$AH$206,'Aug'!$D$27:$AH$206,'Sep'!$D$27:$AH$206,'Oct'!$D$27:$AH$206,'Nov'!$D$27:$AH$206,'Dec'!$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MONTH(A913),'Jan'!$D$27:$AH$206,'Feb'!$D$27:$AH$206,'Mar'!$D$27:$AH$206,'Apr'!$D$27:$AH$206,'May'!$D$27:$AH$206,'Jun'!$D$27:$AH$206,'Jul'!$D$27:$AH$206,'Aug'!$D$27:$AH$206,'Sep'!$D$27:$AH$206,'Oct'!$D$27:$AH$206,'Nov'!$D$27:$AH$206,'Dec'!$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MONTH(A914),'Jan'!$D$27:$AH$206,'Feb'!$D$27:$AH$206,'Mar'!$D$27:$AH$206,'Apr'!$D$27:$AH$206,'May'!$D$27:$AH$206,'Jun'!$D$27:$AH$206,'Jul'!$D$27:$AH$206,'Aug'!$D$27:$AH$206,'Sep'!$D$27:$AH$206,'Oct'!$D$27:$AH$206,'Nov'!$D$27:$AH$206,'Dec'!$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MONTH(A915),'Jan'!$D$27:$AH$206,'Feb'!$D$27:$AH$206,'Mar'!$D$27:$AH$206,'Apr'!$D$27:$AH$206,'May'!$D$27:$AH$206,'Jun'!$D$27:$AH$206,'Jul'!$D$27:$AH$206,'Aug'!$D$27:$AH$206,'Sep'!$D$27:$AH$206,'Oct'!$D$27:$AH$206,'Nov'!$D$27:$AH$206,'Dec'!$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MONTH(A916),'Jan'!$D$27:$AH$206,'Feb'!$D$27:$AH$206,'Mar'!$D$27:$AH$206,'Apr'!$D$27:$AH$206,'May'!$D$27:$AH$206,'Jun'!$D$27:$AH$206,'Jul'!$D$27:$AH$206,'Aug'!$D$27:$AH$206,'Sep'!$D$27:$AH$206,'Oct'!$D$27:$AH$206,'Nov'!$D$27:$AH$206,'Dec'!$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MONTH(A917),'Jan'!$D$27:$AH$206,'Feb'!$D$27:$AH$206,'Mar'!$D$27:$AH$206,'Apr'!$D$27:$AH$206,'May'!$D$27:$AH$206,'Jun'!$D$27:$AH$206,'Jul'!$D$27:$AH$206,'Aug'!$D$27:$AH$206,'Sep'!$D$27:$AH$206,'Oct'!$D$27:$AH$206,'Nov'!$D$27:$AH$206,'Dec'!$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MONTH(A918),'Jan'!$D$27:$AH$206,'Feb'!$D$27:$AH$206,'Mar'!$D$27:$AH$206,'Apr'!$D$27:$AH$206,'May'!$D$27:$AH$206,'Jun'!$D$27:$AH$206,'Jul'!$D$27:$AH$206,'Aug'!$D$27:$AH$206,'Sep'!$D$27:$AH$206,'Oct'!$D$27:$AH$206,'Nov'!$D$27:$AH$206,'Dec'!$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MONTH(A919),'Jan'!$D$27:$AH$206,'Feb'!$D$27:$AH$206,'Mar'!$D$27:$AH$206,'Apr'!$D$27:$AH$206,'May'!$D$27:$AH$206,'Jun'!$D$27:$AH$206,'Jul'!$D$27:$AH$206,'Aug'!$D$27:$AH$206,'Sep'!$D$27:$AH$206,'Oct'!$D$27:$AH$206,'Nov'!$D$27:$AH$206,'Dec'!$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MONTH(A920),'Jan'!$D$27:$AH$206,'Feb'!$D$27:$AH$206,'Mar'!$D$27:$AH$206,'Apr'!$D$27:$AH$206,'May'!$D$27:$AH$206,'Jun'!$D$27:$AH$206,'Jul'!$D$27:$AH$206,'Aug'!$D$27:$AH$206,'Sep'!$D$27:$AH$206,'Oct'!$D$27:$AH$206,'Nov'!$D$27:$AH$206,'Dec'!$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MONTH(A921),'Jan'!$D$27:$AH$206,'Feb'!$D$27:$AH$206,'Mar'!$D$27:$AH$206,'Apr'!$D$27:$AH$206,'May'!$D$27:$AH$206,'Jun'!$D$27:$AH$206,'Jul'!$D$27:$AH$206,'Aug'!$D$27:$AH$206,'Sep'!$D$27:$AH$206,'Oct'!$D$27:$AH$206,'Nov'!$D$27:$AH$206,'Dec'!$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MONTH(A922),'Jan'!$D$27:$AH$206,'Feb'!$D$27:$AH$206,'Mar'!$D$27:$AH$206,'Apr'!$D$27:$AH$206,'May'!$D$27:$AH$206,'Jun'!$D$27:$AH$206,'Jul'!$D$27:$AH$206,'Aug'!$D$27:$AH$206,'Sep'!$D$27:$AH$206,'Oct'!$D$27:$AH$206,'Nov'!$D$27:$AH$206,'Dec'!$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MONTH(A923),'Jan'!$D$27:$AH$206,'Feb'!$D$27:$AH$206,'Mar'!$D$27:$AH$206,'Apr'!$D$27:$AH$206,'May'!$D$27:$AH$206,'Jun'!$D$27:$AH$206,'Jul'!$D$27:$AH$206,'Aug'!$D$27:$AH$206,'Sep'!$D$27:$AH$206,'Oct'!$D$27:$AH$206,'Nov'!$D$27:$AH$206,'Dec'!$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MONTH(A924),'Jan'!$D$27:$AH$206,'Feb'!$D$27:$AH$206,'Mar'!$D$27:$AH$206,'Apr'!$D$27:$AH$206,'May'!$D$27:$AH$206,'Jun'!$D$27:$AH$206,'Jul'!$D$27:$AH$206,'Aug'!$D$27:$AH$206,'Sep'!$D$27:$AH$206,'Oct'!$D$27:$AH$206,'Nov'!$D$27:$AH$206,'Dec'!$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MONTH(A925),'Jan'!$D$27:$AH$206,'Feb'!$D$27:$AH$206,'Mar'!$D$27:$AH$206,'Apr'!$D$27:$AH$206,'May'!$D$27:$AH$206,'Jun'!$D$27:$AH$206,'Jul'!$D$27:$AH$206,'Aug'!$D$27:$AH$206,'Sep'!$D$27:$AH$206,'Oct'!$D$27:$AH$206,'Nov'!$D$27:$AH$206,'Dec'!$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MONTH(A926),'Jan'!$D$27:$AH$206,'Feb'!$D$27:$AH$206,'Mar'!$D$27:$AH$206,'Apr'!$D$27:$AH$206,'May'!$D$27:$AH$206,'Jun'!$D$27:$AH$206,'Jul'!$D$27:$AH$206,'Aug'!$D$27:$AH$206,'Sep'!$D$27:$AH$206,'Oct'!$D$27:$AH$206,'Nov'!$D$27:$AH$206,'Dec'!$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MONTH(A927),'Jan'!$D$27:$AH$206,'Feb'!$D$27:$AH$206,'Mar'!$D$27:$AH$206,'Apr'!$D$27:$AH$206,'May'!$D$27:$AH$206,'Jun'!$D$27:$AH$206,'Jul'!$D$27:$AH$206,'Aug'!$D$27:$AH$206,'Sep'!$D$27:$AH$206,'Oct'!$D$27:$AH$206,'Nov'!$D$27:$AH$206,'Dec'!$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MONTH(A928),'Jan'!$D$27:$AH$206,'Feb'!$D$27:$AH$206,'Mar'!$D$27:$AH$206,'Apr'!$D$27:$AH$206,'May'!$D$27:$AH$206,'Jun'!$D$27:$AH$206,'Jul'!$D$27:$AH$206,'Aug'!$D$27:$AH$206,'Sep'!$D$27:$AH$206,'Oct'!$D$27:$AH$206,'Nov'!$D$27:$AH$206,'Dec'!$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MONTH(A929),'Jan'!$D$27:$AH$206,'Feb'!$D$27:$AH$206,'Mar'!$D$27:$AH$206,'Apr'!$D$27:$AH$206,'May'!$D$27:$AH$206,'Jun'!$D$27:$AH$206,'Jul'!$D$27:$AH$206,'Aug'!$D$27:$AH$206,'Sep'!$D$27:$AH$206,'Oct'!$D$27:$AH$206,'Nov'!$D$27:$AH$206,'Dec'!$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MONTH(A930),'Jan'!$D$27:$AH$206,'Feb'!$D$27:$AH$206,'Mar'!$D$27:$AH$206,'Apr'!$D$27:$AH$206,'May'!$D$27:$AH$206,'Jun'!$D$27:$AH$206,'Jul'!$D$27:$AH$206,'Aug'!$D$27:$AH$206,'Sep'!$D$27:$AH$206,'Oct'!$D$27:$AH$206,'Nov'!$D$27:$AH$206,'Dec'!$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MONTH(A931),'Jan'!$D$27:$AH$206,'Feb'!$D$27:$AH$206,'Mar'!$D$27:$AH$206,'Apr'!$D$27:$AH$206,'May'!$D$27:$AH$206,'Jun'!$D$27:$AH$206,'Jul'!$D$27:$AH$206,'Aug'!$D$27:$AH$206,'Sep'!$D$27:$AH$206,'Oct'!$D$27:$AH$206,'Nov'!$D$27:$AH$206,'Dec'!$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MONTH(A932),'Jan'!$D$27:$AH$206,'Feb'!$D$27:$AH$206,'Mar'!$D$27:$AH$206,'Apr'!$D$27:$AH$206,'May'!$D$27:$AH$206,'Jun'!$D$27:$AH$206,'Jul'!$D$27:$AH$206,'Aug'!$D$27:$AH$206,'Sep'!$D$27:$AH$206,'Oct'!$D$27:$AH$206,'Nov'!$D$27:$AH$206,'Dec'!$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MONTH(A933),'Jan'!$D$27:$AH$206,'Feb'!$D$27:$AH$206,'Mar'!$D$27:$AH$206,'Apr'!$D$27:$AH$206,'May'!$D$27:$AH$206,'Jun'!$D$27:$AH$206,'Jul'!$D$27:$AH$206,'Aug'!$D$27:$AH$206,'Sep'!$D$27:$AH$206,'Oct'!$D$27:$AH$206,'Nov'!$D$27:$AH$206,'Dec'!$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MONTH(A934),'Jan'!$D$27:$AH$206,'Feb'!$D$27:$AH$206,'Mar'!$D$27:$AH$206,'Apr'!$D$27:$AH$206,'May'!$D$27:$AH$206,'Jun'!$D$27:$AH$206,'Jul'!$D$27:$AH$206,'Aug'!$D$27:$AH$206,'Sep'!$D$27:$AH$206,'Oct'!$D$27:$AH$206,'Nov'!$D$27:$AH$206,'Dec'!$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MONTH(A935),'Jan'!$D$27:$AH$206,'Feb'!$D$27:$AH$206,'Mar'!$D$27:$AH$206,'Apr'!$D$27:$AH$206,'May'!$D$27:$AH$206,'Jun'!$D$27:$AH$206,'Jul'!$D$27:$AH$206,'Aug'!$D$27:$AH$206,'Sep'!$D$27:$AH$206,'Oct'!$D$27:$AH$206,'Nov'!$D$27:$AH$206,'Dec'!$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MONTH(A936),'Jan'!$D$27:$AH$206,'Feb'!$D$27:$AH$206,'Mar'!$D$27:$AH$206,'Apr'!$D$27:$AH$206,'May'!$D$27:$AH$206,'Jun'!$D$27:$AH$206,'Jul'!$D$27:$AH$206,'Aug'!$D$27:$AH$206,'Sep'!$D$27:$AH$206,'Oct'!$D$27:$AH$206,'Nov'!$D$27:$AH$206,'Dec'!$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MONTH(A937),'Jan'!$D$27:$AH$206,'Feb'!$D$27:$AH$206,'Mar'!$D$27:$AH$206,'Apr'!$D$27:$AH$206,'May'!$D$27:$AH$206,'Jun'!$D$27:$AH$206,'Jul'!$D$27:$AH$206,'Aug'!$D$27:$AH$206,'Sep'!$D$27:$AH$206,'Oct'!$D$27:$AH$206,'Nov'!$D$27:$AH$206,'Dec'!$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MONTH(A938),'Jan'!$D$27:$AH$206,'Feb'!$D$27:$AH$206,'Mar'!$D$27:$AH$206,'Apr'!$D$27:$AH$206,'May'!$D$27:$AH$206,'Jun'!$D$27:$AH$206,'Jul'!$D$27:$AH$206,'Aug'!$D$27:$AH$206,'Sep'!$D$27:$AH$206,'Oct'!$D$27:$AH$206,'Nov'!$D$27:$AH$206,'Dec'!$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MONTH(A939),'Jan'!$D$27:$AH$206,'Feb'!$D$27:$AH$206,'Mar'!$D$27:$AH$206,'Apr'!$D$27:$AH$206,'May'!$D$27:$AH$206,'Jun'!$D$27:$AH$206,'Jul'!$D$27:$AH$206,'Aug'!$D$27:$AH$206,'Sep'!$D$27:$AH$206,'Oct'!$D$27:$AH$206,'Nov'!$D$27:$AH$206,'Dec'!$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MONTH(A940),'Jan'!$D$27:$AH$206,'Feb'!$D$27:$AH$206,'Mar'!$D$27:$AH$206,'Apr'!$D$27:$AH$206,'May'!$D$27:$AH$206,'Jun'!$D$27:$AH$206,'Jul'!$D$27:$AH$206,'Aug'!$D$27:$AH$206,'Sep'!$D$27:$AH$206,'Oct'!$D$27:$AH$206,'Nov'!$D$27:$AH$206,'Dec'!$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MONTH(A941),'Jan'!$D$27:$AH$206,'Feb'!$D$27:$AH$206,'Mar'!$D$27:$AH$206,'Apr'!$D$27:$AH$206,'May'!$D$27:$AH$206,'Jun'!$D$27:$AH$206,'Jul'!$D$27:$AH$206,'Aug'!$D$27:$AH$206,'Sep'!$D$27:$AH$206,'Oct'!$D$27:$AH$206,'Nov'!$D$27:$AH$206,'Dec'!$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MONTH(A942),'Jan'!$D$27:$AH$206,'Feb'!$D$27:$AH$206,'Mar'!$D$27:$AH$206,'Apr'!$D$27:$AH$206,'May'!$D$27:$AH$206,'Jun'!$D$27:$AH$206,'Jul'!$D$27:$AH$206,'Aug'!$D$27:$AH$206,'Sep'!$D$27:$AH$206,'Oct'!$D$27:$AH$206,'Nov'!$D$27:$AH$206,'Dec'!$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MONTH(A943),'Jan'!$D$27:$AH$206,'Feb'!$D$27:$AH$206,'Mar'!$D$27:$AH$206,'Apr'!$D$27:$AH$206,'May'!$D$27:$AH$206,'Jun'!$D$27:$AH$206,'Jul'!$D$27:$AH$206,'Aug'!$D$27:$AH$206,'Sep'!$D$27:$AH$206,'Oct'!$D$27:$AH$206,'Nov'!$D$27:$AH$206,'Dec'!$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MONTH(A944),'Jan'!$D$27:$AH$206,'Feb'!$D$27:$AH$206,'Mar'!$D$27:$AH$206,'Apr'!$D$27:$AH$206,'May'!$D$27:$AH$206,'Jun'!$D$27:$AH$206,'Jul'!$D$27:$AH$206,'Aug'!$D$27:$AH$206,'Sep'!$D$27:$AH$206,'Oct'!$D$27:$AH$206,'Nov'!$D$27:$AH$206,'Dec'!$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MONTH(A945),'Jan'!$D$27:$AH$206,'Feb'!$D$27:$AH$206,'Mar'!$D$27:$AH$206,'Apr'!$D$27:$AH$206,'May'!$D$27:$AH$206,'Jun'!$D$27:$AH$206,'Jul'!$D$27:$AH$206,'Aug'!$D$27:$AH$206,'Sep'!$D$27:$AH$206,'Oct'!$D$27:$AH$206,'Nov'!$D$27:$AH$206,'Dec'!$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MONTH(A946),'Jan'!$D$27:$AH$206,'Feb'!$D$27:$AH$206,'Mar'!$D$27:$AH$206,'Apr'!$D$27:$AH$206,'May'!$D$27:$AH$206,'Jun'!$D$27:$AH$206,'Jul'!$D$27:$AH$206,'Aug'!$D$27:$AH$206,'Sep'!$D$27:$AH$206,'Oct'!$D$27:$AH$206,'Nov'!$D$27:$AH$206,'Dec'!$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MONTH(A947),'Jan'!$D$27:$AH$206,'Feb'!$D$27:$AH$206,'Mar'!$D$27:$AH$206,'Apr'!$D$27:$AH$206,'May'!$D$27:$AH$206,'Jun'!$D$27:$AH$206,'Jul'!$D$27:$AH$206,'Aug'!$D$27:$AH$206,'Sep'!$D$27:$AH$206,'Oct'!$D$27:$AH$206,'Nov'!$D$27:$AH$206,'Dec'!$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MONTH(A948),'Jan'!$D$27:$AH$206,'Feb'!$D$27:$AH$206,'Mar'!$D$27:$AH$206,'Apr'!$D$27:$AH$206,'May'!$D$27:$AH$206,'Jun'!$D$27:$AH$206,'Jul'!$D$27:$AH$206,'Aug'!$D$27:$AH$206,'Sep'!$D$27:$AH$206,'Oct'!$D$27:$AH$206,'Nov'!$D$27:$AH$206,'Dec'!$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MONTH(A949),'Jan'!$D$27:$AH$206,'Feb'!$D$27:$AH$206,'Mar'!$D$27:$AH$206,'Apr'!$D$27:$AH$206,'May'!$D$27:$AH$206,'Jun'!$D$27:$AH$206,'Jul'!$D$27:$AH$206,'Aug'!$D$27:$AH$206,'Sep'!$D$27:$AH$206,'Oct'!$D$27:$AH$206,'Nov'!$D$27:$AH$206,'Dec'!$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MONTH(A950),'Jan'!$D$27:$AH$206,'Feb'!$D$27:$AH$206,'Mar'!$D$27:$AH$206,'Apr'!$D$27:$AH$206,'May'!$D$27:$AH$206,'Jun'!$D$27:$AH$206,'Jul'!$D$27:$AH$206,'Aug'!$D$27:$AH$206,'Sep'!$D$27:$AH$206,'Oct'!$D$27:$AH$206,'Nov'!$D$27:$AH$206,'Dec'!$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MONTH(A951),'Jan'!$D$27:$AH$206,'Feb'!$D$27:$AH$206,'Mar'!$D$27:$AH$206,'Apr'!$D$27:$AH$206,'May'!$D$27:$AH$206,'Jun'!$D$27:$AH$206,'Jul'!$D$27:$AH$206,'Aug'!$D$27:$AH$206,'Sep'!$D$27:$AH$206,'Oct'!$D$27:$AH$206,'Nov'!$D$27:$AH$206,'Dec'!$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MONTH(A952),'Jan'!$D$27:$AH$206,'Feb'!$D$27:$AH$206,'Mar'!$D$27:$AH$206,'Apr'!$D$27:$AH$206,'May'!$D$27:$AH$206,'Jun'!$D$27:$AH$206,'Jul'!$D$27:$AH$206,'Aug'!$D$27:$AH$206,'Sep'!$D$27:$AH$206,'Oct'!$D$27:$AH$206,'Nov'!$D$27:$AH$206,'Dec'!$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MONTH(A953),'Jan'!$D$27:$AH$206,'Feb'!$D$27:$AH$206,'Mar'!$D$27:$AH$206,'Apr'!$D$27:$AH$206,'May'!$D$27:$AH$206,'Jun'!$D$27:$AH$206,'Jul'!$D$27:$AH$206,'Aug'!$D$27:$AH$206,'Sep'!$D$27:$AH$206,'Oct'!$D$27:$AH$206,'Nov'!$D$27:$AH$206,'Dec'!$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MONTH(A954),'Jan'!$D$27:$AH$206,'Feb'!$D$27:$AH$206,'Mar'!$D$27:$AH$206,'Apr'!$D$27:$AH$206,'May'!$D$27:$AH$206,'Jun'!$D$27:$AH$206,'Jul'!$D$27:$AH$206,'Aug'!$D$27:$AH$206,'Sep'!$D$27:$AH$206,'Oct'!$D$27:$AH$206,'Nov'!$D$27:$AH$206,'Dec'!$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MONTH(A955),'Jan'!$D$27:$AH$206,'Feb'!$D$27:$AH$206,'Mar'!$D$27:$AH$206,'Apr'!$D$27:$AH$206,'May'!$D$27:$AH$206,'Jun'!$D$27:$AH$206,'Jul'!$D$27:$AH$206,'Aug'!$D$27:$AH$206,'Sep'!$D$27:$AH$206,'Oct'!$D$27:$AH$206,'Nov'!$D$27:$AH$206,'Dec'!$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MONTH(A956),'Jan'!$D$27:$AH$206,'Feb'!$D$27:$AH$206,'Mar'!$D$27:$AH$206,'Apr'!$D$27:$AH$206,'May'!$D$27:$AH$206,'Jun'!$D$27:$AH$206,'Jul'!$D$27:$AH$206,'Aug'!$D$27:$AH$206,'Sep'!$D$27:$AH$206,'Oct'!$D$27:$AH$206,'Nov'!$D$27:$AH$206,'Dec'!$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MONTH(A957),'Jan'!$D$27:$AH$206,'Feb'!$D$27:$AH$206,'Mar'!$D$27:$AH$206,'Apr'!$D$27:$AH$206,'May'!$D$27:$AH$206,'Jun'!$D$27:$AH$206,'Jul'!$D$27:$AH$206,'Aug'!$D$27:$AH$206,'Sep'!$D$27:$AH$206,'Oct'!$D$27:$AH$206,'Nov'!$D$27:$AH$206,'Dec'!$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MONTH(A958),'Jan'!$D$27:$AH$206,'Feb'!$D$27:$AH$206,'Mar'!$D$27:$AH$206,'Apr'!$D$27:$AH$206,'May'!$D$27:$AH$206,'Jun'!$D$27:$AH$206,'Jul'!$D$27:$AH$206,'Aug'!$D$27:$AH$206,'Sep'!$D$27:$AH$206,'Oct'!$D$27:$AH$206,'Nov'!$D$27:$AH$206,'Dec'!$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MONTH(A959),'Jan'!$D$27:$AH$206,'Feb'!$D$27:$AH$206,'Mar'!$D$27:$AH$206,'Apr'!$D$27:$AH$206,'May'!$D$27:$AH$206,'Jun'!$D$27:$AH$206,'Jul'!$D$27:$AH$206,'Aug'!$D$27:$AH$206,'Sep'!$D$27:$AH$206,'Oct'!$D$27:$AH$206,'Nov'!$D$27:$AH$206,'Dec'!$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MONTH(A960),'Jan'!$D$27:$AH$206,'Feb'!$D$27:$AH$206,'Mar'!$D$27:$AH$206,'Apr'!$D$27:$AH$206,'May'!$D$27:$AH$206,'Jun'!$D$27:$AH$206,'Jul'!$D$27:$AH$206,'Aug'!$D$27:$AH$206,'Sep'!$D$27:$AH$206,'Oct'!$D$27:$AH$206,'Nov'!$D$27:$AH$206,'Dec'!$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MONTH(A961),'Jan'!$D$27:$AH$206,'Feb'!$D$27:$AH$206,'Mar'!$D$27:$AH$206,'Apr'!$D$27:$AH$206,'May'!$D$27:$AH$206,'Jun'!$D$27:$AH$206,'Jul'!$D$27:$AH$206,'Aug'!$D$27:$AH$206,'Sep'!$D$27:$AH$206,'Oct'!$D$27:$AH$206,'Nov'!$D$27:$AH$206,'Dec'!$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MONTH(A962),'Jan'!$D$27:$AH$206,'Feb'!$D$27:$AH$206,'Mar'!$D$27:$AH$206,'Apr'!$D$27:$AH$206,'May'!$D$27:$AH$206,'Jun'!$D$27:$AH$206,'Jul'!$D$27:$AH$206,'Aug'!$D$27:$AH$206,'Sep'!$D$27:$AH$206,'Oct'!$D$27:$AH$206,'Nov'!$D$27:$AH$206,'Dec'!$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MONTH(A963),'Jan'!$D$27:$AH$206,'Feb'!$D$27:$AH$206,'Mar'!$D$27:$AH$206,'Apr'!$D$27:$AH$206,'May'!$D$27:$AH$206,'Jun'!$D$27:$AH$206,'Jul'!$D$27:$AH$206,'Aug'!$D$27:$AH$206,'Sep'!$D$27:$AH$206,'Oct'!$D$27:$AH$206,'Nov'!$D$27:$AH$206,'Dec'!$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MONTH(A964),'Jan'!$D$27:$AH$206,'Feb'!$D$27:$AH$206,'Mar'!$D$27:$AH$206,'Apr'!$D$27:$AH$206,'May'!$D$27:$AH$206,'Jun'!$D$27:$AH$206,'Jul'!$D$27:$AH$206,'Aug'!$D$27:$AH$206,'Sep'!$D$27:$AH$206,'Oct'!$D$27:$AH$206,'Nov'!$D$27:$AH$206,'Dec'!$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MONTH(A965),'Jan'!$D$27:$AH$206,'Feb'!$D$27:$AH$206,'Mar'!$D$27:$AH$206,'Apr'!$D$27:$AH$206,'May'!$D$27:$AH$206,'Jun'!$D$27:$AH$206,'Jul'!$D$27:$AH$206,'Aug'!$D$27:$AH$206,'Sep'!$D$27:$AH$206,'Oct'!$D$27:$AH$206,'Nov'!$D$27:$AH$206,'Dec'!$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MONTH(A966),'Jan'!$D$27:$AH$206,'Feb'!$D$27:$AH$206,'Mar'!$D$27:$AH$206,'Apr'!$D$27:$AH$206,'May'!$D$27:$AH$206,'Jun'!$D$27:$AH$206,'Jul'!$D$27:$AH$206,'Aug'!$D$27:$AH$206,'Sep'!$D$27:$AH$206,'Oct'!$D$27:$AH$206,'Nov'!$D$27:$AH$206,'Dec'!$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MONTH(A967),'Jan'!$D$27:$AH$206,'Feb'!$D$27:$AH$206,'Mar'!$D$27:$AH$206,'Apr'!$D$27:$AH$206,'May'!$D$27:$AH$206,'Jun'!$D$27:$AH$206,'Jul'!$D$27:$AH$206,'Aug'!$D$27:$AH$206,'Sep'!$D$27:$AH$206,'Oct'!$D$27:$AH$206,'Nov'!$D$27:$AH$206,'Dec'!$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MONTH(A968),'Jan'!$D$27:$AH$206,'Feb'!$D$27:$AH$206,'Mar'!$D$27:$AH$206,'Apr'!$D$27:$AH$206,'May'!$D$27:$AH$206,'Jun'!$D$27:$AH$206,'Jul'!$D$27:$AH$206,'Aug'!$D$27:$AH$206,'Sep'!$D$27:$AH$206,'Oct'!$D$27:$AH$206,'Nov'!$D$27:$AH$206,'Dec'!$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MONTH(A969),'Jan'!$D$27:$AH$206,'Feb'!$D$27:$AH$206,'Mar'!$D$27:$AH$206,'Apr'!$D$27:$AH$206,'May'!$D$27:$AH$206,'Jun'!$D$27:$AH$206,'Jul'!$D$27:$AH$206,'Aug'!$D$27:$AH$206,'Sep'!$D$27:$AH$206,'Oct'!$D$27:$AH$206,'Nov'!$D$27:$AH$206,'Dec'!$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MONTH(A970),'Jan'!$D$27:$AH$206,'Feb'!$D$27:$AH$206,'Mar'!$D$27:$AH$206,'Apr'!$D$27:$AH$206,'May'!$D$27:$AH$206,'Jun'!$D$27:$AH$206,'Jul'!$D$27:$AH$206,'Aug'!$D$27:$AH$206,'Sep'!$D$27:$AH$206,'Oct'!$D$27:$AH$206,'Nov'!$D$27:$AH$206,'Dec'!$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MONTH(A971),'Jan'!$D$27:$AH$206,'Feb'!$D$27:$AH$206,'Mar'!$D$27:$AH$206,'Apr'!$D$27:$AH$206,'May'!$D$27:$AH$206,'Jun'!$D$27:$AH$206,'Jul'!$D$27:$AH$206,'Aug'!$D$27:$AH$206,'Sep'!$D$27:$AH$206,'Oct'!$D$27:$AH$206,'Nov'!$D$27:$AH$206,'Dec'!$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MONTH(A972),'Jan'!$D$27:$AH$206,'Feb'!$D$27:$AH$206,'Mar'!$D$27:$AH$206,'Apr'!$D$27:$AH$206,'May'!$D$27:$AH$206,'Jun'!$D$27:$AH$206,'Jul'!$D$27:$AH$206,'Aug'!$D$27:$AH$206,'Sep'!$D$27:$AH$206,'Oct'!$D$27:$AH$206,'Nov'!$D$27:$AH$206,'Dec'!$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MONTH(A973),'Jan'!$D$27:$AH$206,'Feb'!$D$27:$AH$206,'Mar'!$D$27:$AH$206,'Apr'!$D$27:$AH$206,'May'!$D$27:$AH$206,'Jun'!$D$27:$AH$206,'Jul'!$D$27:$AH$206,'Aug'!$D$27:$AH$206,'Sep'!$D$27:$AH$206,'Oct'!$D$27:$AH$206,'Nov'!$D$27:$AH$206,'Dec'!$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MONTH(A974),'Jan'!$D$27:$AH$206,'Feb'!$D$27:$AH$206,'Mar'!$D$27:$AH$206,'Apr'!$D$27:$AH$206,'May'!$D$27:$AH$206,'Jun'!$D$27:$AH$206,'Jul'!$D$27:$AH$206,'Aug'!$D$27:$AH$206,'Sep'!$D$27:$AH$206,'Oct'!$D$27:$AH$206,'Nov'!$D$27:$AH$206,'Dec'!$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MONTH(A975),'Jan'!$D$27:$AH$206,'Feb'!$D$27:$AH$206,'Mar'!$D$27:$AH$206,'Apr'!$D$27:$AH$206,'May'!$D$27:$AH$206,'Jun'!$D$27:$AH$206,'Jul'!$D$27:$AH$206,'Aug'!$D$27:$AH$206,'Sep'!$D$27:$AH$206,'Oct'!$D$27:$AH$206,'Nov'!$D$27:$AH$206,'Dec'!$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MONTH(A976),'Jan'!$D$27:$AH$206,'Feb'!$D$27:$AH$206,'Mar'!$D$27:$AH$206,'Apr'!$D$27:$AH$206,'May'!$D$27:$AH$206,'Jun'!$D$27:$AH$206,'Jul'!$D$27:$AH$206,'Aug'!$D$27:$AH$206,'Sep'!$D$27:$AH$206,'Oct'!$D$27:$AH$206,'Nov'!$D$27:$AH$206,'Dec'!$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MONTH(A977),'Jan'!$D$27:$AH$206,'Feb'!$D$27:$AH$206,'Mar'!$D$27:$AH$206,'Apr'!$D$27:$AH$206,'May'!$D$27:$AH$206,'Jun'!$D$27:$AH$206,'Jul'!$D$27:$AH$206,'Aug'!$D$27:$AH$206,'Sep'!$D$27:$AH$206,'Oct'!$D$27:$AH$206,'Nov'!$D$27:$AH$206,'Dec'!$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MONTH(A978),'Jan'!$D$27:$AH$206,'Feb'!$D$27:$AH$206,'Mar'!$D$27:$AH$206,'Apr'!$D$27:$AH$206,'May'!$D$27:$AH$206,'Jun'!$D$27:$AH$206,'Jul'!$D$27:$AH$206,'Aug'!$D$27:$AH$206,'Sep'!$D$27:$AH$206,'Oct'!$D$27:$AH$206,'Nov'!$D$27:$AH$206,'Dec'!$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MONTH(A979),'Jan'!$D$27:$AH$206,'Feb'!$D$27:$AH$206,'Mar'!$D$27:$AH$206,'Apr'!$D$27:$AH$206,'May'!$D$27:$AH$206,'Jun'!$D$27:$AH$206,'Jul'!$D$27:$AH$206,'Aug'!$D$27:$AH$206,'Sep'!$D$27:$AH$206,'Oct'!$D$27:$AH$206,'Nov'!$D$27:$AH$206,'Dec'!$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MONTH(A980),'Jan'!$D$27:$AH$206,'Feb'!$D$27:$AH$206,'Mar'!$D$27:$AH$206,'Apr'!$D$27:$AH$206,'May'!$D$27:$AH$206,'Jun'!$D$27:$AH$206,'Jul'!$D$27:$AH$206,'Aug'!$D$27:$AH$206,'Sep'!$D$27:$AH$206,'Oct'!$D$27:$AH$206,'Nov'!$D$27:$AH$206,'Dec'!$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MONTH(A981),'Jan'!$D$27:$AH$206,'Feb'!$D$27:$AH$206,'Mar'!$D$27:$AH$206,'Apr'!$D$27:$AH$206,'May'!$D$27:$AH$206,'Jun'!$D$27:$AH$206,'Jul'!$D$27:$AH$206,'Aug'!$D$27:$AH$206,'Sep'!$D$27:$AH$206,'Oct'!$D$27:$AH$206,'Nov'!$D$27:$AH$206,'Dec'!$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MONTH(A982),'Jan'!$D$27:$AH$206,'Feb'!$D$27:$AH$206,'Mar'!$D$27:$AH$206,'Apr'!$D$27:$AH$206,'May'!$D$27:$AH$206,'Jun'!$D$27:$AH$206,'Jul'!$D$27:$AH$206,'Aug'!$D$27:$AH$206,'Sep'!$D$27:$AH$206,'Oct'!$D$27:$AH$206,'Nov'!$D$27:$AH$206,'Dec'!$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MONTH(A983),'Jan'!$D$27:$AH$206,'Feb'!$D$27:$AH$206,'Mar'!$D$27:$AH$206,'Apr'!$D$27:$AH$206,'May'!$D$27:$AH$206,'Jun'!$D$27:$AH$206,'Jul'!$D$27:$AH$206,'Aug'!$D$27:$AH$206,'Sep'!$D$27:$AH$206,'Oct'!$D$27:$AH$206,'Nov'!$D$27:$AH$206,'Dec'!$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MONTH(A984),'Jan'!$D$27:$AH$206,'Feb'!$D$27:$AH$206,'Mar'!$D$27:$AH$206,'Apr'!$D$27:$AH$206,'May'!$D$27:$AH$206,'Jun'!$D$27:$AH$206,'Jul'!$D$27:$AH$206,'Aug'!$D$27:$AH$206,'Sep'!$D$27:$AH$206,'Oct'!$D$27:$AH$206,'Nov'!$D$27:$AH$206,'Dec'!$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MONTH(A985),'Jan'!$D$27:$AH$206,'Feb'!$D$27:$AH$206,'Mar'!$D$27:$AH$206,'Apr'!$D$27:$AH$206,'May'!$D$27:$AH$206,'Jun'!$D$27:$AH$206,'Jul'!$D$27:$AH$206,'Aug'!$D$27:$AH$206,'Sep'!$D$27:$AH$206,'Oct'!$D$27:$AH$206,'Nov'!$D$27:$AH$206,'Dec'!$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MONTH(A986),'Jan'!$D$27:$AH$206,'Feb'!$D$27:$AH$206,'Mar'!$D$27:$AH$206,'Apr'!$D$27:$AH$206,'May'!$D$27:$AH$206,'Jun'!$D$27:$AH$206,'Jul'!$D$27:$AH$206,'Aug'!$D$27:$AH$206,'Sep'!$D$27:$AH$206,'Oct'!$D$27:$AH$206,'Nov'!$D$27:$AH$206,'Dec'!$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MONTH(A987),'Jan'!$D$27:$AH$206,'Feb'!$D$27:$AH$206,'Mar'!$D$27:$AH$206,'Apr'!$D$27:$AH$206,'May'!$D$27:$AH$206,'Jun'!$D$27:$AH$206,'Jul'!$D$27:$AH$206,'Aug'!$D$27:$AH$206,'Sep'!$D$27:$AH$206,'Oct'!$D$27:$AH$206,'Nov'!$D$27:$AH$206,'Dec'!$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MONTH(A988),'Jan'!$D$27:$AH$206,'Feb'!$D$27:$AH$206,'Mar'!$D$27:$AH$206,'Apr'!$D$27:$AH$206,'May'!$D$27:$AH$206,'Jun'!$D$27:$AH$206,'Jul'!$D$27:$AH$206,'Aug'!$D$27:$AH$206,'Sep'!$D$27:$AH$206,'Oct'!$D$27:$AH$206,'Nov'!$D$27:$AH$206,'Dec'!$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MONTH(A989),'Jan'!$D$27:$AH$206,'Feb'!$D$27:$AH$206,'Mar'!$D$27:$AH$206,'Apr'!$D$27:$AH$206,'May'!$D$27:$AH$206,'Jun'!$D$27:$AH$206,'Jul'!$D$27:$AH$206,'Aug'!$D$27:$AH$206,'Sep'!$D$27:$AH$206,'Oct'!$D$27:$AH$206,'Nov'!$D$27:$AH$206,'Dec'!$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MONTH(A990),'Jan'!$D$27:$AH$206,'Feb'!$D$27:$AH$206,'Mar'!$D$27:$AH$206,'Apr'!$D$27:$AH$206,'May'!$D$27:$AH$206,'Jun'!$D$27:$AH$206,'Jul'!$D$27:$AH$206,'Aug'!$D$27:$AH$206,'Sep'!$D$27:$AH$206,'Oct'!$D$27:$AH$206,'Nov'!$D$27:$AH$206,'Dec'!$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MONTH(A991),'Jan'!$D$27:$AH$206,'Feb'!$D$27:$AH$206,'Mar'!$D$27:$AH$206,'Apr'!$D$27:$AH$206,'May'!$D$27:$AH$206,'Jun'!$D$27:$AH$206,'Jul'!$D$27:$AH$206,'Aug'!$D$27:$AH$206,'Sep'!$D$27:$AH$206,'Oct'!$D$27:$AH$206,'Nov'!$D$27:$AH$206,'Dec'!$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MONTH(A992),'Jan'!$D$27:$AH$206,'Feb'!$D$27:$AH$206,'Mar'!$D$27:$AH$206,'Apr'!$D$27:$AH$206,'May'!$D$27:$AH$206,'Jun'!$D$27:$AH$206,'Jul'!$D$27:$AH$206,'Aug'!$D$27:$AH$206,'Sep'!$D$27:$AH$206,'Oct'!$D$27:$AH$206,'Nov'!$D$27:$AH$206,'Dec'!$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MONTH(A993),'Jan'!$D$27:$AH$206,'Feb'!$D$27:$AH$206,'Mar'!$D$27:$AH$206,'Apr'!$D$27:$AH$206,'May'!$D$27:$AH$206,'Jun'!$D$27:$AH$206,'Jul'!$D$27:$AH$206,'Aug'!$D$27:$AH$206,'Sep'!$D$27:$AH$206,'Oct'!$D$27:$AH$206,'Nov'!$D$27:$AH$206,'Dec'!$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MONTH(A994),'Jan'!$D$27:$AH$206,'Feb'!$D$27:$AH$206,'Mar'!$D$27:$AH$206,'Apr'!$D$27:$AH$206,'May'!$D$27:$AH$206,'Jun'!$D$27:$AH$206,'Jul'!$D$27:$AH$206,'Aug'!$D$27:$AH$206,'Sep'!$D$27:$AH$206,'Oct'!$D$27:$AH$206,'Nov'!$D$27:$AH$206,'Dec'!$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MONTH(A995),'Jan'!$D$27:$AH$206,'Feb'!$D$27:$AH$206,'Mar'!$D$27:$AH$206,'Apr'!$D$27:$AH$206,'May'!$D$27:$AH$206,'Jun'!$D$27:$AH$206,'Jul'!$D$27:$AH$206,'Aug'!$D$27:$AH$206,'Sep'!$D$27:$AH$206,'Oct'!$D$27:$AH$206,'Nov'!$D$27:$AH$206,'Dec'!$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MONTH(A996),'Jan'!$D$27:$AH$206,'Feb'!$D$27:$AH$206,'Mar'!$D$27:$AH$206,'Apr'!$D$27:$AH$206,'May'!$D$27:$AH$206,'Jun'!$D$27:$AH$206,'Jul'!$D$27:$AH$206,'Aug'!$D$27:$AH$206,'Sep'!$D$27:$AH$206,'Oct'!$D$27:$AH$206,'Nov'!$D$27:$AH$206,'Dec'!$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MONTH(A997),'Jan'!$D$27:$AH$206,'Feb'!$D$27:$AH$206,'Mar'!$D$27:$AH$206,'Apr'!$D$27:$AH$206,'May'!$D$27:$AH$206,'Jun'!$D$27:$AH$206,'Jul'!$D$27:$AH$206,'Aug'!$D$27:$AH$206,'Sep'!$D$27:$AH$206,'Oct'!$D$27:$AH$206,'Nov'!$D$27:$AH$206,'Dec'!$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MONTH(A998),'Jan'!$D$27:$AH$206,'Feb'!$D$27:$AH$206,'Mar'!$D$27:$AH$206,'Apr'!$D$27:$AH$206,'May'!$D$27:$AH$206,'Jun'!$D$27:$AH$206,'Jul'!$D$27:$AH$206,'Aug'!$D$27:$AH$206,'Sep'!$D$27:$AH$206,'Oct'!$D$27:$AH$206,'Nov'!$D$27:$AH$206,'Dec'!$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MONTH(A999),'Jan'!$D$27:$AH$206,'Feb'!$D$27:$AH$206,'Mar'!$D$27:$AH$206,'Apr'!$D$27:$AH$206,'May'!$D$27:$AH$206,'Jun'!$D$27:$AH$206,'Jul'!$D$27:$AH$206,'Aug'!$D$27:$AH$206,'Sep'!$D$27:$AH$206,'Oct'!$D$27:$AH$206,'Nov'!$D$27:$AH$206,'Dec'!$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MONTH(A1000),'Jan'!$D$27:$AH$206,'Feb'!$D$27:$AH$206,'Mar'!$D$27:$AH$206,'Apr'!$D$27:$AH$206,'May'!$D$27:$AH$206,'Jun'!$D$27:$AH$206,'Jul'!$D$27:$AH$206,'Aug'!$D$27:$AH$206,'Sep'!$D$27:$AH$206,'Oct'!$D$27:$AH$206,'Nov'!$D$27:$AH$206,'Dec'!$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MONTH(A1001),'Jan'!$D$27:$AH$206,'Feb'!$D$27:$AH$206,'Mar'!$D$27:$AH$206,'Apr'!$D$27:$AH$206,'May'!$D$27:$AH$206,'Jun'!$D$27:$AH$206,'Jul'!$D$27:$AH$206,'Aug'!$D$27:$AH$206,'Sep'!$D$27:$AH$206,'Oct'!$D$27:$AH$206,'Nov'!$D$27:$AH$206,'Dec'!$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MONTH(A1002),'Jan'!$D$27:$AH$206,'Feb'!$D$27:$AH$206,'Mar'!$D$27:$AH$206,'Apr'!$D$27:$AH$206,'May'!$D$27:$AH$206,'Jun'!$D$27:$AH$206,'Jul'!$D$27:$AH$206,'Aug'!$D$27:$AH$206,'Sep'!$D$27:$AH$206,'Oct'!$D$27:$AH$206,'Nov'!$D$27:$AH$206,'Dec'!$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MONTH(A1003),'Jan'!$D$27:$AH$206,'Feb'!$D$27:$AH$206,'Mar'!$D$27:$AH$206,'Apr'!$D$27:$AH$206,'May'!$D$27:$AH$206,'Jun'!$D$27:$AH$206,'Jul'!$D$27:$AH$206,'Aug'!$D$27:$AH$206,'Sep'!$D$27:$AH$206,'Oct'!$D$27:$AH$206,'Nov'!$D$27:$AH$206,'Dec'!$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MONTH(A1004),'Jan'!$D$27:$AH$206,'Feb'!$D$27:$AH$206,'Mar'!$D$27:$AH$206,'Apr'!$D$27:$AH$206,'May'!$D$27:$AH$206,'Jun'!$D$27:$AH$206,'Jul'!$D$27:$AH$206,'Aug'!$D$27:$AH$206,'Sep'!$D$27:$AH$206,'Oct'!$D$27:$AH$206,'Nov'!$D$27:$AH$206,'Dec'!$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MONTH(A1005),'Jan'!$D$27:$AH$206,'Feb'!$D$27:$AH$206,'Mar'!$D$27:$AH$206,'Apr'!$D$27:$AH$206,'May'!$D$27:$AH$206,'Jun'!$D$27:$AH$206,'Jul'!$D$27:$AH$206,'Aug'!$D$27:$AH$206,'Sep'!$D$27:$AH$206,'Oct'!$D$27:$AH$206,'Nov'!$D$27:$AH$206,'Dec'!$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MONTH(A1006),'Jan'!$D$27:$AH$206,'Feb'!$D$27:$AH$206,'Mar'!$D$27:$AH$206,'Apr'!$D$27:$AH$206,'May'!$D$27:$AH$206,'Jun'!$D$27:$AH$206,'Jul'!$D$27:$AH$206,'Aug'!$D$27:$AH$206,'Sep'!$D$27:$AH$206,'Oct'!$D$27:$AH$206,'Nov'!$D$27:$AH$206,'Dec'!$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MONTH(A1007),'Jan'!$D$27:$AH$206,'Feb'!$D$27:$AH$206,'Mar'!$D$27:$AH$206,'Apr'!$D$27:$AH$206,'May'!$D$27:$AH$206,'Jun'!$D$27:$AH$206,'Jul'!$D$27:$AH$206,'Aug'!$D$27:$AH$206,'Sep'!$D$27:$AH$206,'Oct'!$D$27:$AH$206,'Nov'!$D$27:$AH$206,'Dec'!$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MONTH(A1008),'Jan'!$D$27:$AH$206,'Feb'!$D$27:$AH$206,'Mar'!$D$27:$AH$206,'Apr'!$D$27:$AH$206,'May'!$D$27:$AH$206,'Jun'!$D$27:$AH$206,'Jul'!$D$27:$AH$206,'Aug'!$D$27:$AH$206,'Sep'!$D$27:$AH$206,'Oct'!$D$27:$AH$206,'Nov'!$D$27:$AH$206,'Dec'!$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MONTH(A1009),'Jan'!$D$27:$AH$206,'Feb'!$D$27:$AH$206,'Mar'!$D$27:$AH$206,'Apr'!$D$27:$AH$206,'May'!$D$27:$AH$206,'Jun'!$D$27:$AH$206,'Jul'!$D$27:$AH$206,'Aug'!$D$27:$AH$206,'Sep'!$D$27:$AH$206,'Oct'!$D$27:$AH$206,'Nov'!$D$27:$AH$206,'Dec'!$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MONTH(A1010),'Jan'!$D$27:$AH$206,'Feb'!$D$27:$AH$206,'Mar'!$D$27:$AH$206,'Apr'!$D$27:$AH$206,'May'!$D$27:$AH$206,'Jun'!$D$27:$AH$206,'Jul'!$D$27:$AH$206,'Aug'!$D$27:$AH$206,'Sep'!$D$27:$AH$206,'Oct'!$D$27:$AH$206,'Nov'!$D$27:$AH$206,'Dec'!$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MONTH(A1011),'Jan'!$D$27:$AH$206,'Feb'!$D$27:$AH$206,'Mar'!$D$27:$AH$206,'Apr'!$D$27:$AH$206,'May'!$D$27:$AH$206,'Jun'!$D$27:$AH$206,'Jul'!$D$27:$AH$206,'Aug'!$D$27:$AH$206,'Sep'!$D$27:$AH$206,'Oct'!$D$27:$AH$206,'Nov'!$D$27:$AH$206,'Dec'!$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MONTH(A1012),'Jan'!$D$27:$AH$206,'Feb'!$D$27:$AH$206,'Mar'!$D$27:$AH$206,'Apr'!$D$27:$AH$206,'May'!$D$27:$AH$206,'Jun'!$D$27:$AH$206,'Jul'!$D$27:$AH$206,'Aug'!$D$27:$AH$206,'Sep'!$D$27:$AH$206,'Oct'!$D$27:$AH$206,'Nov'!$D$27:$AH$206,'Dec'!$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MONTH(A1013),'Jan'!$D$27:$AH$206,'Feb'!$D$27:$AH$206,'Mar'!$D$27:$AH$206,'Apr'!$D$27:$AH$206,'May'!$D$27:$AH$206,'Jun'!$D$27:$AH$206,'Jul'!$D$27:$AH$206,'Aug'!$D$27:$AH$206,'Sep'!$D$27:$AH$206,'Oct'!$D$27:$AH$206,'Nov'!$D$27:$AH$206,'Dec'!$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MONTH(A1014),'Jan'!$D$27:$AH$206,'Feb'!$D$27:$AH$206,'Mar'!$D$27:$AH$206,'Apr'!$D$27:$AH$206,'May'!$D$27:$AH$206,'Jun'!$D$27:$AH$206,'Jul'!$D$27:$AH$206,'Aug'!$D$27:$AH$206,'Sep'!$D$27:$AH$206,'Oct'!$D$27:$AH$206,'Nov'!$D$27:$AH$206,'Dec'!$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MONTH(A1015),'Jan'!$D$27:$AH$206,'Feb'!$D$27:$AH$206,'Mar'!$D$27:$AH$206,'Apr'!$D$27:$AH$206,'May'!$D$27:$AH$206,'Jun'!$D$27:$AH$206,'Jul'!$D$27:$AH$206,'Aug'!$D$27:$AH$206,'Sep'!$D$27:$AH$206,'Oct'!$D$27:$AH$206,'Nov'!$D$27:$AH$206,'Dec'!$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MONTH(A1016),'Jan'!$D$27:$AH$206,'Feb'!$D$27:$AH$206,'Mar'!$D$27:$AH$206,'Apr'!$D$27:$AH$206,'May'!$D$27:$AH$206,'Jun'!$D$27:$AH$206,'Jul'!$D$27:$AH$206,'Aug'!$D$27:$AH$206,'Sep'!$D$27:$AH$206,'Oct'!$D$27:$AH$206,'Nov'!$D$27:$AH$206,'Dec'!$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MONTH(A1017),'Jan'!$D$27:$AH$206,'Feb'!$D$27:$AH$206,'Mar'!$D$27:$AH$206,'Apr'!$D$27:$AH$206,'May'!$D$27:$AH$206,'Jun'!$D$27:$AH$206,'Jul'!$D$27:$AH$206,'Aug'!$D$27:$AH$206,'Sep'!$D$27:$AH$206,'Oct'!$D$27:$AH$206,'Nov'!$D$27:$AH$206,'Dec'!$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MONTH(A1018),'Jan'!$D$27:$AH$206,'Feb'!$D$27:$AH$206,'Mar'!$D$27:$AH$206,'Apr'!$D$27:$AH$206,'May'!$D$27:$AH$206,'Jun'!$D$27:$AH$206,'Jul'!$D$27:$AH$206,'Aug'!$D$27:$AH$206,'Sep'!$D$27:$AH$206,'Oct'!$D$27:$AH$206,'Nov'!$D$27:$AH$206,'Dec'!$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MONTH(A1019),'Jan'!$D$27:$AH$206,'Feb'!$D$27:$AH$206,'Mar'!$D$27:$AH$206,'Apr'!$D$27:$AH$206,'May'!$D$27:$AH$206,'Jun'!$D$27:$AH$206,'Jul'!$D$27:$AH$206,'Aug'!$D$27:$AH$206,'Sep'!$D$27:$AH$206,'Oct'!$D$27:$AH$206,'Nov'!$D$27:$AH$206,'Dec'!$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MONTH(A1020),'Jan'!$D$27:$AH$206,'Feb'!$D$27:$AH$206,'Mar'!$D$27:$AH$206,'Apr'!$D$27:$AH$206,'May'!$D$27:$AH$206,'Jun'!$D$27:$AH$206,'Jul'!$D$27:$AH$206,'Aug'!$D$27:$AH$206,'Sep'!$D$27:$AH$206,'Oct'!$D$27:$AH$206,'Nov'!$D$27:$AH$206,'Dec'!$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MONTH(A1021),'Jan'!$D$27:$AH$206,'Feb'!$D$27:$AH$206,'Mar'!$D$27:$AH$206,'Apr'!$D$27:$AH$206,'May'!$D$27:$AH$206,'Jun'!$D$27:$AH$206,'Jul'!$D$27:$AH$206,'Aug'!$D$27:$AH$206,'Sep'!$D$27:$AH$206,'Oct'!$D$27:$AH$206,'Nov'!$D$27:$AH$206,'Dec'!$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MONTH(A1022),'Jan'!$D$27:$AH$206,'Feb'!$D$27:$AH$206,'Mar'!$D$27:$AH$206,'Apr'!$D$27:$AH$206,'May'!$D$27:$AH$206,'Jun'!$D$27:$AH$206,'Jul'!$D$27:$AH$206,'Aug'!$D$27:$AH$206,'Sep'!$D$27:$AH$206,'Oct'!$D$27:$AH$206,'Nov'!$D$27:$AH$206,'Dec'!$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MONTH(A1023),'Jan'!$D$27:$AH$206,'Feb'!$D$27:$AH$206,'Mar'!$D$27:$AH$206,'Apr'!$D$27:$AH$206,'May'!$D$27:$AH$206,'Jun'!$D$27:$AH$206,'Jul'!$D$27:$AH$206,'Aug'!$D$27:$AH$206,'Sep'!$D$27:$AH$206,'Oct'!$D$27:$AH$206,'Nov'!$D$27:$AH$206,'Dec'!$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MONTH(A1024),'Jan'!$D$27:$AH$206,'Feb'!$D$27:$AH$206,'Mar'!$D$27:$AH$206,'Apr'!$D$27:$AH$206,'May'!$D$27:$AH$206,'Jun'!$D$27:$AH$206,'Jul'!$D$27:$AH$206,'Aug'!$D$27:$AH$206,'Sep'!$D$27:$AH$206,'Oct'!$D$27:$AH$206,'Nov'!$D$27:$AH$206,'Dec'!$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MONTH(A1025),'Jan'!$D$27:$AH$206,'Feb'!$D$27:$AH$206,'Mar'!$D$27:$AH$206,'Apr'!$D$27:$AH$206,'May'!$D$27:$AH$206,'Jun'!$D$27:$AH$206,'Jul'!$D$27:$AH$206,'Aug'!$D$27:$AH$206,'Sep'!$D$27:$AH$206,'Oct'!$D$27:$AH$206,'Nov'!$D$27:$AH$206,'Dec'!$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MONTH(A1026),'Jan'!$D$27:$AH$206,'Feb'!$D$27:$AH$206,'Mar'!$D$27:$AH$206,'Apr'!$D$27:$AH$206,'May'!$D$27:$AH$206,'Jun'!$D$27:$AH$206,'Jul'!$D$27:$AH$206,'Aug'!$D$27:$AH$206,'Sep'!$D$27:$AH$206,'Oct'!$D$27:$AH$206,'Nov'!$D$27:$AH$206,'Dec'!$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MONTH(A1027),'Jan'!$D$27:$AH$206,'Feb'!$D$27:$AH$206,'Mar'!$D$27:$AH$206,'Apr'!$D$27:$AH$206,'May'!$D$27:$AH$206,'Jun'!$D$27:$AH$206,'Jul'!$D$27:$AH$206,'Aug'!$D$27:$AH$206,'Sep'!$D$27:$AH$206,'Oct'!$D$27:$AH$206,'Nov'!$D$27:$AH$206,'Dec'!$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MONTH(A1028),'Jan'!$D$27:$AH$206,'Feb'!$D$27:$AH$206,'Mar'!$D$27:$AH$206,'Apr'!$D$27:$AH$206,'May'!$D$27:$AH$206,'Jun'!$D$27:$AH$206,'Jul'!$D$27:$AH$206,'Aug'!$D$27:$AH$206,'Sep'!$D$27:$AH$206,'Oct'!$D$27:$AH$206,'Nov'!$D$27:$AH$206,'Dec'!$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MONTH(A1029),'Jan'!$D$27:$AH$206,'Feb'!$D$27:$AH$206,'Mar'!$D$27:$AH$206,'Apr'!$D$27:$AH$206,'May'!$D$27:$AH$206,'Jun'!$D$27:$AH$206,'Jul'!$D$27:$AH$206,'Aug'!$D$27:$AH$206,'Sep'!$D$27:$AH$206,'Oct'!$D$27:$AH$206,'Nov'!$D$27:$AH$206,'Dec'!$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MONTH(A1030),'Jan'!$D$27:$AH$206,'Feb'!$D$27:$AH$206,'Mar'!$D$27:$AH$206,'Apr'!$D$27:$AH$206,'May'!$D$27:$AH$206,'Jun'!$D$27:$AH$206,'Jul'!$D$27:$AH$206,'Aug'!$D$27:$AH$206,'Sep'!$D$27:$AH$206,'Oct'!$D$27:$AH$206,'Nov'!$D$27:$AH$206,'Dec'!$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MONTH(A1031),'Jan'!$D$27:$AH$206,'Feb'!$D$27:$AH$206,'Mar'!$D$27:$AH$206,'Apr'!$D$27:$AH$206,'May'!$D$27:$AH$206,'Jun'!$D$27:$AH$206,'Jul'!$D$27:$AH$206,'Aug'!$D$27:$AH$206,'Sep'!$D$27:$AH$206,'Oct'!$D$27:$AH$206,'Nov'!$D$27:$AH$206,'Dec'!$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MONTH(A1032),'Jan'!$D$27:$AH$206,'Feb'!$D$27:$AH$206,'Mar'!$D$27:$AH$206,'Apr'!$D$27:$AH$206,'May'!$D$27:$AH$206,'Jun'!$D$27:$AH$206,'Jul'!$D$27:$AH$206,'Aug'!$D$27:$AH$206,'Sep'!$D$27:$AH$206,'Oct'!$D$27:$AH$206,'Nov'!$D$27:$AH$206,'Dec'!$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MONTH(A1033),'Jan'!$D$27:$AH$206,'Feb'!$D$27:$AH$206,'Mar'!$D$27:$AH$206,'Apr'!$D$27:$AH$206,'May'!$D$27:$AH$206,'Jun'!$D$27:$AH$206,'Jul'!$D$27:$AH$206,'Aug'!$D$27:$AH$206,'Sep'!$D$27:$AH$206,'Oct'!$D$27:$AH$206,'Nov'!$D$27:$AH$206,'Dec'!$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MONTH(A1034),'Jan'!$D$27:$AH$206,'Feb'!$D$27:$AH$206,'Mar'!$D$27:$AH$206,'Apr'!$D$27:$AH$206,'May'!$D$27:$AH$206,'Jun'!$D$27:$AH$206,'Jul'!$D$27:$AH$206,'Aug'!$D$27:$AH$206,'Sep'!$D$27:$AH$206,'Oct'!$D$27:$AH$206,'Nov'!$D$27:$AH$206,'Dec'!$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MONTH(A1035),'Jan'!$D$27:$AH$206,'Feb'!$D$27:$AH$206,'Mar'!$D$27:$AH$206,'Apr'!$D$27:$AH$206,'May'!$D$27:$AH$206,'Jun'!$D$27:$AH$206,'Jul'!$D$27:$AH$206,'Aug'!$D$27:$AH$206,'Sep'!$D$27:$AH$206,'Oct'!$D$27:$AH$206,'Nov'!$D$27:$AH$206,'Dec'!$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MONTH(A1036),'Jan'!$D$27:$AH$206,'Feb'!$D$27:$AH$206,'Mar'!$D$27:$AH$206,'Apr'!$D$27:$AH$206,'May'!$D$27:$AH$206,'Jun'!$D$27:$AH$206,'Jul'!$D$27:$AH$206,'Aug'!$D$27:$AH$206,'Sep'!$D$27:$AH$206,'Oct'!$D$27:$AH$206,'Nov'!$D$27:$AH$206,'Dec'!$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MONTH(A1037),'Jan'!$D$27:$AH$206,'Feb'!$D$27:$AH$206,'Mar'!$D$27:$AH$206,'Apr'!$D$27:$AH$206,'May'!$D$27:$AH$206,'Jun'!$D$27:$AH$206,'Jul'!$D$27:$AH$206,'Aug'!$D$27:$AH$206,'Sep'!$D$27:$AH$206,'Oct'!$D$27:$AH$206,'Nov'!$D$27:$AH$206,'Dec'!$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MONTH(A1038),'Jan'!$D$27:$AH$206,'Feb'!$D$27:$AH$206,'Mar'!$D$27:$AH$206,'Apr'!$D$27:$AH$206,'May'!$D$27:$AH$206,'Jun'!$D$27:$AH$206,'Jul'!$D$27:$AH$206,'Aug'!$D$27:$AH$206,'Sep'!$D$27:$AH$206,'Oct'!$D$27:$AH$206,'Nov'!$D$27:$AH$206,'Dec'!$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MONTH(A1039),'Jan'!$D$27:$AH$206,'Feb'!$D$27:$AH$206,'Mar'!$D$27:$AH$206,'Apr'!$D$27:$AH$206,'May'!$D$27:$AH$206,'Jun'!$D$27:$AH$206,'Jul'!$D$27:$AH$206,'Aug'!$D$27:$AH$206,'Sep'!$D$27:$AH$206,'Oct'!$D$27:$AH$206,'Nov'!$D$27:$AH$206,'Dec'!$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MONTH(A1040),'Jan'!$D$27:$AH$206,'Feb'!$D$27:$AH$206,'Mar'!$D$27:$AH$206,'Apr'!$D$27:$AH$206,'May'!$D$27:$AH$206,'Jun'!$D$27:$AH$206,'Jul'!$D$27:$AH$206,'Aug'!$D$27:$AH$206,'Sep'!$D$27:$AH$206,'Oct'!$D$27:$AH$206,'Nov'!$D$27:$AH$206,'Dec'!$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MONTH(A1041),'Jan'!$D$27:$AH$206,'Feb'!$D$27:$AH$206,'Mar'!$D$27:$AH$206,'Apr'!$D$27:$AH$206,'May'!$D$27:$AH$206,'Jun'!$D$27:$AH$206,'Jul'!$D$27:$AH$206,'Aug'!$D$27:$AH$206,'Sep'!$D$27:$AH$206,'Oct'!$D$27:$AH$206,'Nov'!$D$27:$AH$206,'Dec'!$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MONTH(A1042),'Jan'!$D$27:$AH$206,'Feb'!$D$27:$AH$206,'Mar'!$D$27:$AH$206,'Apr'!$D$27:$AH$206,'May'!$D$27:$AH$206,'Jun'!$D$27:$AH$206,'Jul'!$D$27:$AH$206,'Aug'!$D$27:$AH$206,'Sep'!$D$27:$AH$206,'Oct'!$D$27:$AH$206,'Nov'!$D$27:$AH$206,'Dec'!$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MONTH(A1043),'Jan'!$D$27:$AH$206,'Feb'!$D$27:$AH$206,'Mar'!$D$27:$AH$206,'Apr'!$D$27:$AH$206,'May'!$D$27:$AH$206,'Jun'!$D$27:$AH$206,'Jul'!$D$27:$AH$206,'Aug'!$D$27:$AH$206,'Sep'!$D$27:$AH$206,'Oct'!$D$27:$AH$206,'Nov'!$D$27:$AH$206,'Dec'!$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MONTH(A1044),'Jan'!$D$27:$AH$206,'Feb'!$D$27:$AH$206,'Mar'!$D$27:$AH$206,'Apr'!$D$27:$AH$206,'May'!$D$27:$AH$206,'Jun'!$D$27:$AH$206,'Jul'!$D$27:$AH$206,'Aug'!$D$27:$AH$206,'Sep'!$D$27:$AH$206,'Oct'!$D$27:$AH$206,'Nov'!$D$27:$AH$206,'Dec'!$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MONTH(A1045),'Jan'!$D$27:$AH$206,'Feb'!$D$27:$AH$206,'Mar'!$D$27:$AH$206,'Apr'!$D$27:$AH$206,'May'!$D$27:$AH$206,'Jun'!$D$27:$AH$206,'Jul'!$D$27:$AH$206,'Aug'!$D$27:$AH$206,'Sep'!$D$27:$AH$206,'Oct'!$D$27:$AH$206,'Nov'!$D$27:$AH$206,'Dec'!$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MONTH(A1046),'Jan'!$D$27:$AH$206,'Feb'!$D$27:$AH$206,'Mar'!$D$27:$AH$206,'Apr'!$D$27:$AH$206,'May'!$D$27:$AH$206,'Jun'!$D$27:$AH$206,'Jul'!$D$27:$AH$206,'Aug'!$D$27:$AH$206,'Sep'!$D$27:$AH$206,'Oct'!$D$27:$AH$206,'Nov'!$D$27:$AH$206,'Dec'!$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MONTH(A1047),'Jan'!$D$27:$AH$206,'Feb'!$D$27:$AH$206,'Mar'!$D$27:$AH$206,'Apr'!$D$27:$AH$206,'May'!$D$27:$AH$206,'Jun'!$D$27:$AH$206,'Jul'!$D$27:$AH$206,'Aug'!$D$27:$AH$206,'Sep'!$D$27:$AH$206,'Oct'!$D$27:$AH$206,'Nov'!$D$27:$AH$206,'Dec'!$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MONTH(A1048),'Jan'!$D$27:$AH$206,'Feb'!$D$27:$AH$206,'Mar'!$D$27:$AH$206,'Apr'!$D$27:$AH$206,'May'!$D$27:$AH$206,'Jun'!$D$27:$AH$206,'Jul'!$D$27:$AH$206,'Aug'!$D$27:$AH$206,'Sep'!$D$27:$AH$206,'Oct'!$D$27:$AH$206,'Nov'!$D$27:$AH$206,'Dec'!$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MONTH(A1049),'Jan'!$D$27:$AH$206,'Feb'!$D$27:$AH$206,'Mar'!$D$27:$AH$206,'Apr'!$D$27:$AH$206,'May'!$D$27:$AH$206,'Jun'!$D$27:$AH$206,'Jul'!$D$27:$AH$206,'Aug'!$D$27:$AH$206,'Sep'!$D$27:$AH$206,'Oct'!$D$27:$AH$206,'Nov'!$D$27:$AH$206,'Dec'!$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MONTH(A1050),'Jan'!$D$27:$AH$206,'Feb'!$D$27:$AH$206,'Mar'!$D$27:$AH$206,'Apr'!$D$27:$AH$206,'May'!$D$27:$AH$206,'Jun'!$D$27:$AH$206,'Jul'!$D$27:$AH$206,'Aug'!$D$27:$AH$206,'Sep'!$D$27:$AH$206,'Oct'!$D$27:$AH$206,'Nov'!$D$27:$AH$206,'Dec'!$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MONTH(A1051),'Jan'!$D$27:$AH$206,'Feb'!$D$27:$AH$206,'Mar'!$D$27:$AH$206,'Apr'!$D$27:$AH$206,'May'!$D$27:$AH$206,'Jun'!$D$27:$AH$206,'Jul'!$D$27:$AH$206,'Aug'!$D$27:$AH$206,'Sep'!$D$27:$AH$206,'Oct'!$D$27:$AH$206,'Nov'!$D$27:$AH$206,'Dec'!$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MONTH(A1052),'Jan'!$D$27:$AH$206,'Feb'!$D$27:$AH$206,'Mar'!$D$27:$AH$206,'Apr'!$D$27:$AH$206,'May'!$D$27:$AH$206,'Jun'!$D$27:$AH$206,'Jul'!$D$27:$AH$206,'Aug'!$D$27:$AH$206,'Sep'!$D$27:$AH$206,'Oct'!$D$27:$AH$206,'Nov'!$D$27:$AH$206,'Dec'!$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MONTH(A1053),'Jan'!$D$27:$AH$206,'Feb'!$D$27:$AH$206,'Mar'!$D$27:$AH$206,'Apr'!$D$27:$AH$206,'May'!$D$27:$AH$206,'Jun'!$D$27:$AH$206,'Jul'!$D$27:$AH$206,'Aug'!$D$27:$AH$206,'Sep'!$D$27:$AH$206,'Oct'!$D$27:$AH$206,'Nov'!$D$27:$AH$206,'Dec'!$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MONTH(A1054),'Jan'!$D$27:$AH$206,'Feb'!$D$27:$AH$206,'Mar'!$D$27:$AH$206,'Apr'!$D$27:$AH$206,'May'!$D$27:$AH$206,'Jun'!$D$27:$AH$206,'Jul'!$D$27:$AH$206,'Aug'!$D$27:$AH$206,'Sep'!$D$27:$AH$206,'Oct'!$D$27:$AH$206,'Nov'!$D$27:$AH$206,'Dec'!$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MONTH(A1055),'Jan'!$D$27:$AH$206,'Feb'!$D$27:$AH$206,'Mar'!$D$27:$AH$206,'Apr'!$D$27:$AH$206,'May'!$D$27:$AH$206,'Jun'!$D$27:$AH$206,'Jul'!$D$27:$AH$206,'Aug'!$D$27:$AH$206,'Sep'!$D$27:$AH$206,'Oct'!$D$27:$AH$206,'Nov'!$D$27:$AH$206,'Dec'!$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MONTH(A1056),'Jan'!$D$27:$AH$206,'Feb'!$D$27:$AH$206,'Mar'!$D$27:$AH$206,'Apr'!$D$27:$AH$206,'May'!$D$27:$AH$206,'Jun'!$D$27:$AH$206,'Jul'!$D$27:$AH$206,'Aug'!$D$27:$AH$206,'Sep'!$D$27:$AH$206,'Oct'!$D$27:$AH$206,'Nov'!$D$27:$AH$206,'Dec'!$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MONTH(A1057),'Jan'!$D$27:$AH$206,'Feb'!$D$27:$AH$206,'Mar'!$D$27:$AH$206,'Apr'!$D$27:$AH$206,'May'!$D$27:$AH$206,'Jun'!$D$27:$AH$206,'Jul'!$D$27:$AH$206,'Aug'!$D$27:$AH$206,'Sep'!$D$27:$AH$206,'Oct'!$D$27:$AH$206,'Nov'!$D$27:$AH$206,'Dec'!$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MONTH(A1058),'Jan'!$D$27:$AH$206,'Feb'!$D$27:$AH$206,'Mar'!$D$27:$AH$206,'Apr'!$D$27:$AH$206,'May'!$D$27:$AH$206,'Jun'!$D$27:$AH$206,'Jul'!$D$27:$AH$206,'Aug'!$D$27:$AH$206,'Sep'!$D$27:$AH$206,'Oct'!$D$27:$AH$206,'Nov'!$D$27:$AH$206,'Dec'!$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MONTH(A1059),'Jan'!$D$27:$AH$206,'Feb'!$D$27:$AH$206,'Mar'!$D$27:$AH$206,'Apr'!$D$27:$AH$206,'May'!$D$27:$AH$206,'Jun'!$D$27:$AH$206,'Jul'!$D$27:$AH$206,'Aug'!$D$27:$AH$206,'Sep'!$D$27:$AH$206,'Oct'!$D$27:$AH$206,'Nov'!$D$27:$AH$206,'Dec'!$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MONTH(A1060),'Jan'!$D$27:$AH$206,'Feb'!$D$27:$AH$206,'Mar'!$D$27:$AH$206,'Apr'!$D$27:$AH$206,'May'!$D$27:$AH$206,'Jun'!$D$27:$AH$206,'Jul'!$D$27:$AH$206,'Aug'!$D$27:$AH$206,'Sep'!$D$27:$AH$206,'Oct'!$D$27:$AH$206,'Nov'!$D$27:$AH$206,'Dec'!$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MONTH(A1061),'Jan'!$D$27:$AH$206,'Feb'!$D$27:$AH$206,'Mar'!$D$27:$AH$206,'Apr'!$D$27:$AH$206,'May'!$D$27:$AH$206,'Jun'!$D$27:$AH$206,'Jul'!$D$27:$AH$206,'Aug'!$D$27:$AH$206,'Sep'!$D$27:$AH$206,'Oct'!$D$27:$AH$206,'Nov'!$D$27:$AH$206,'Dec'!$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MONTH(A1062),'Jan'!$D$27:$AH$206,'Feb'!$D$27:$AH$206,'Mar'!$D$27:$AH$206,'Apr'!$D$27:$AH$206,'May'!$D$27:$AH$206,'Jun'!$D$27:$AH$206,'Jul'!$D$27:$AH$206,'Aug'!$D$27:$AH$206,'Sep'!$D$27:$AH$206,'Oct'!$D$27:$AH$206,'Nov'!$D$27:$AH$206,'Dec'!$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MONTH(A1063),'Jan'!$D$27:$AH$206,'Feb'!$D$27:$AH$206,'Mar'!$D$27:$AH$206,'Apr'!$D$27:$AH$206,'May'!$D$27:$AH$206,'Jun'!$D$27:$AH$206,'Jul'!$D$27:$AH$206,'Aug'!$D$27:$AH$206,'Sep'!$D$27:$AH$206,'Oct'!$D$27:$AH$206,'Nov'!$D$27:$AH$206,'Dec'!$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MONTH(A1064),'Jan'!$D$27:$AH$206,'Feb'!$D$27:$AH$206,'Mar'!$D$27:$AH$206,'Apr'!$D$27:$AH$206,'May'!$D$27:$AH$206,'Jun'!$D$27:$AH$206,'Jul'!$D$27:$AH$206,'Aug'!$D$27:$AH$206,'Sep'!$D$27:$AH$206,'Oct'!$D$27:$AH$206,'Nov'!$D$27:$AH$206,'Dec'!$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MONTH(A1065),'Jan'!$D$27:$AH$206,'Feb'!$D$27:$AH$206,'Mar'!$D$27:$AH$206,'Apr'!$D$27:$AH$206,'May'!$D$27:$AH$206,'Jun'!$D$27:$AH$206,'Jul'!$D$27:$AH$206,'Aug'!$D$27:$AH$206,'Sep'!$D$27:$AH$206,'Oct'!$D$27:$AH$206,'Nov'!$D$27:$AH$206,'Dec'!$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MONTH(A1066),'Jan'!$D$27:$AH$206,'Feb'!$D$27:$AH$206,'Mar'!$D$27:$AH$206,'Apr'!$D$27:$AH$206,'May'!$D$27:$AH$206,'Jun'!$D$27:$AH$206,'Jul'!$D$27:$AH$206,'Aug'!$D$27:$AH$206,'Sep'!$D$27:$AH$206,'Oct'!$D$27:$AH$206,'Nov'!$D$27:$AH$206,'Dec'!$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MONTH(A1067),'Jan'!$D$27:$AH$206,'Feb'!$D$27:$AH$206,'Mar'!$D$27:$AH$206,'Apr'!$D$27:$AH$206,'May'!$D$27:$AH$206,'Jun'!$D$27:$AH$206,'Jul'!$D$27:$AH$206,'Aug'!$D$27:$AH$206,'Sep'!$D$27:$AH$206,'Oct'!$D$27:$AH$206,'Nov'!$D$27:$AH$206,'Dec'!$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MONTH(A1068),'Jan'!$D$27:$AH$206,'Feb'!$D$27:$AH$206,'Mar'!$D$27:$AH$206,'Apr'!$D$27:$AH$206,'May'!$D$27:$AH$206,'Jun'!$D$27:$AH$206,'Jul'!$D$27:$AH$206,'Aug'!$D$27:$AH$206,'Sep'!$D$27:$AH$206,'Oct'!$D$27:$AH$206,'Nov'!$D$27:$AH$206,'Dec'!$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MONTH(A1069),'Jan'!$D$27:$AH$206,'Feb'!$D$27:$AH$206,'Mar'!$D$27:$AH$206,'Apr'!$D$27:$AH$206,'May'!$D$27:$AH$206,'Jun'!$D$27:$AH$206,'Jul'!$D$27:$AH$206,'Aug'!$D$27:$AH$206,'Sep'!$D$27:$AH$206,'Oct'!$D$27:$AH$206,'Nov'!$D$27:$AH$206,'Dec'!$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MONTH(A1070),'Jan'!$D$27:$AH$206,'Feb'!$D$27:$AH$206,'Mar'!$D$27:$AH$206,'Apr'!$D$27:$AH$206,'May'!$D$27:$AH$206,'Jun'!$D$27:$AH$206,'Jul'!$D$27:$AH$206,'Aug'!$D$27:$AH$206,'Sep'!$D$27:$AH$206,'Oct'!$D$27:$AH$206,'Nov'!$D$27:$AH$206,'Dec'!$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MONTH(A1071),'Jan'!$D$27:$AH$206,'Feb'!$D$27:$AH$206,'Mar'!$D$27:$AH$206,'Apr'!$D$27:$AH$206,'May'!$D$27:$AH$206,'Jun'!$D$27:$AH$206,'Jul'!$D$27:$AH$206,'Aug'!$D$27:$AH$206,'Sep'!$D$27:$AH$206,'Oct'!$D$27:$AH$206,'Nov'!$D$27:$AH$206,'Dec'!$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MONTH(A1072),'Jan'!$D$27:$AH$206,'Feb'!$D$27:$AH$206,'Mar'!$D$27:$AH$206,'Apr'!$D$27:$AH$206,'May'!$D$27:$AH$206,'Jun'!$D$27:$AH$206,'Jul'!$D$27:$AH$206,'Aug'!$D$27:$AH$206,'Sep'!$D$27:$AH$206,'Oct'!$D$27:$AH$206,'Nov'!$D$27:$AH$206,'Dec'!$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MONTH(A1073),'Jan'!$D$27:$AH$206,'Feb'!$D$27:$AH$206,'Mar'!$D$27:$AH$206,'Apr'!$D$27:$AH$206,'May'!$D$27:$AH$206,'Jun'!$D$27:$AH$206,'Jul'!$D$27:$AH$206,'Aug'!$D$27:$AH$206,'Sep'!$D$27:$AH$206,'Oct'!$D$27:$AH$206,'Nov'!$D$27:$AH$206,'Dec'!$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MONTH(A1074),'Jan'!$D$27:$AH$206,'Feb'!$D$27:$AH$206,'Mar'!$D$27:$AH$206,'Apr'!$D$27:$AH$206,'May'!$D$27:$AH$206,'Jun'!$D$27:$AH$206,'Jul'!$D$27:$AH$206,'Aug'!$D$27:$AH$206,'Sep'!$D$27:$AH$206,'Oct'!$D$27:$AH$206,'Nov'!$D$27:$AH$206,'Dec'!$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MONTH(A1075),'Jan'!$D$27:$AH$206,'Feb'!$D$27:$AH$206,'Mar'!$D$27:$AH$206,'Apr'!$D$27:$AH$206,'May'!$D$27:$AH$206,'Jun'!$D$27:$AH$206,'Jul'!$D$27:$AH$206,'Aug'!$D$27:$AH$206,'Sep'!$D$27:$AH$206,'Oct'!$D$27:$AH$206,'Nov'!$D$27:$AH$206,'Dec'!$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MONTH(A1076),'Jan'!$D$27:$AH$206,'Feb'!$D$27:$AH$206,'Mar'!$D$27:$AH$206,'Apr'!$D$27:$AH$206,'May'!$D$27:$AH$206,'Jun'!$D$27:$AH$206,'Jul'!$D$27:$AH$206,'Aug'!$D$27:$AH$206,'Sep'!$D$27:$AH$206,'Oct'!$D$27:$AH$206,'Nov'!$D$27:$AH$206,'Dec'!$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MONTH(A1077),'Jan'!$D$27:$AH$206,'Feb'!$D$27:$AH$206,'Mar'!$D$27:$AH$206,'Apr'!$D$27:$AH$206,'May'!$D$27:$AH$206,'Jun'!$D$27:$AH$206,'Jul'!$D$27:$AH$206,'Aug'!$D$27:$AH$206,'Sep'!$D$27:$AH$206,'Oct'!$D$27:$AH$206,'Nov'!$D$27:$AH$206,'Dec'!$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MONTH(A1078),'Jan'!$D$27:$AH$206,'Feb'!$D$27:$AH$206,'Mar'!$D$27:$AH$206,'Apr'!$D$27:$AH$206,'May'!$D$27:$AH$206,'Jun'!$D$27:$AH$206,'Jul'!$D$27:$AH$206,'Aug'!$D$27:$AH$206,'Sep'!$D$27:$AH$206,'Oct'!$D$27:$AH$206,'Nov'!$D$27:$AH$206,'Dec'!$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MONTH(A1079),'Jan'!$D$27:$AH$206,'Feb'!$D$27:$AH$206,'Mar'!$D$27:$AH$206,'Apr'!$D$27:$AH$206,'May'!$D$27:$AH$206,'Jun'!$D$27:$AH$206,'Jul'!$D$27:$AH$206,'Aug'!$D$27:$AH$206,'Sep'!$D$27:$AH$206,'Oct'!$D$27:$AH$206,'Nov'!$D$27:$AH$206,'Dec'!$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MONTH(A1080),'Jan'!$D$27:$AH$206,'Feb'!$D$27:$AH$206,'Mar'!$D$27:$AH$206,'Apr'!$D$27:$AH$206,'May'!$D$27:$AH$206,'Jun'!$D$27:$AH$206,'Jul'!$D$27:$AH$206,'Aug'!$D$27:$AH$206,'Sep'!$D$27:$AH$206,'Oct'!$D$27:$AH$206,'Nov'!$D$27:$AH$206,'Dec'!$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MONTH(A1081),'Jan'!$D$27:$AH$206,'Feb'!$D$27:$AH$206,'Mar'!$D$27:$AH$206,'Apr'!$D$27:$AH$206,'May'!$D$27:$AH$206,'Jun'!$D$27:$AH$206,'Jul'!$D$27:$AH$206,'Aug'!$D$27:$AH$206,'Sep'!$D$27:$AH$206,'Oct'!$D$27:$AH$206,'Nov'!$D$27:$AH$206,'Dec'!$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MONTH(A1082),'Jan'!$D$27:$AH$206,'Feb'!$D$27:$AH$206,'Mar'!$D$27:$AH$206,'Apr'!$D$27:$AH$206,'May'!$D$27:$AH$206,'Jun'!$D$27:$AH$206,'Jul'!$D$27:$AH$206,'Aug'!$D$27:$AH$206,'Sep'!$D$27:$AH$206,'Oct'!$D$27:$AH$206,'Nov'!$D$27:$AH$206,'Dec'!$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MONTH(A1083),'Jan'!$D$27:$AH$206,'Feb'!$D$27:$AH$206,'Mar'!$D$27:$AH$206,'Apr'!$D$27:$AH$206,'May'!$D$27:$AH$206,'Jun'!$D$27:$AH$206,'Jul'!$D$27:$AH$206,'Aug'!$D$27:$AH$206,'Sep'!$D$27:$AH$206,'Oct'!$D$27:$AH$206,'Nov'!$D$27:$AH$206,'Dec'!$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MONTH(A1084),'Jan'!$D$27:$AH$206,'Feb'!$D$27:$AH$206,'Mar'!$D$27:$AH$206,'Apr'!$D$27:$AH$206,'May'!$D$27:$AH$206,'Jun'!$D$27:$AH$206,'Jul'!$D$27:$AH$206,'Aug'!$D$27:$AH$206,'Sep'!$D$27:$AH$206,'Oct'!$D$27:$AH$206,'Nov'!$D$27:$AH$206,'Dec'!$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MONTH(A1085),'Jan'!$D$27:$AH$206,'Feb'!$D$27:$AH$206,'Mar'!$D$27:$AH$206,'Apr'!$D$27:$AH$206,'May'!$D$27:$AH$206,'Jun'!$D$27:$AH$206,'Jul'!$D$27:$AH$206,'Aug'!$D$27:$AH$206,'Sep'!$D$27:$AH$206,'Oct'!$D$27:$AH$206,'Nov'!$D$27:$AH$206,'Dec'!$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MONTH(A1086),'Jan'!$D$27:$AH$206,'Feb'!$D$27:$AH$206,'Mar'!$D$27:$AH$206,'Apr'!$D$27:$AH$206,'May'!$D$27:$AH$206,'Jun'!$D$27:$AH$206,'Jul'!$D$27:$AH$206,'Aug'!$D$27:$AH$206,'Sep'!$D$27:$AH$206,'Oct'!$D$27:$AH$206,'Nov'!$D$27:$AH$206,'Dec'!$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MONTH(A1087),'Jan'!$D$27:$AH$206,'Feb'!$D$27:$AH$206,'Mar'!$D$27:$AH$206,'Apr'!$D$27:$AH$206,'May'!$D$27:$AH$206,'Jun'!$D$27:$AH$206,'Jul'!$D$27:$AH$206,'Aug'!$D$27:$AH$206,'Sep'!$D$27:$AH$206,'Oct'!$D$27:$AH$206,'Nov'!$D$27:$AH$206,'Dec'!$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MONTH(A1088),'Jan'!$D$27:$AH$206,'Feb'!$D$27:$AH$206,'Mar'!$D$27:$AH$206,'Apr'!$D$27:$AH$206,'May'!$D$27:$AH$206,'Jun'!$D$27:$AH$206,'Jul'!$D$27:$AH$206,'Aug'!$D$27:$AH$206,'Sep'!$D$27:$AH$206,'Oct'!$D$27:$AH$206,'Nov'!$D$27:$AH$206,'Dec'!$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MONTH(A1089),'Jan'!$D$27:$AH$206,'Feb'!$D$27:$AH$206,'Mar'!$D$27:$AH$206,'Apr'!$D$27:$AH$206,'May'!$D$27:$AH$206,'Jun'!$D$27:$AH$206,'Jul'!$D$27:$AH$206,'Aug'!$D$27:$AH$206,'Sep'!$D$27:$AH$206,'Oct'!$D$27:$AH$206,'Nov'!$D$27:$AH$206,'Dec'!$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MONTH(A1090),'Jan'!$D$27:$AH$206,'Feb'!$D$27:$AH$206,'Mar'!$D$27:$AH$206,'Apr'!$D$27:$AH$206,'May'!$D$27:$AH$206,'Jun'!$D$27:$AH$206,'Jul'!$D$27:$AH$206,'Aug'!$D$27:$AH$206,'Sep'!$D$27:$AH$206,'Oct'!$D$27:$AH$206,'Nov'!$D$27:$AH$206,'Dec'!$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MONTH(A1091),'Jan'!$D$27:$AH$206,'Feb'!$D$27:$AH$206,'Mar'!$D$27:$AH$206,'Apr'!$D$27:$AH$206,'May'!$D$27:$AH$206,'Jun'!$D$27:$AH$206,'Jul'!$D$27:$AH$206,'Aug'!$D$27:$AH$206,'Sep'!$D$27:$AH$206,'Oct'!$D$27:$AH$206,'Nov'!$D$27:$AH$206,'Dec'!$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MONTH(A1092),'Jan'!$D$27:$AH$206,'Feb'!$D$27:$AH$206,'Mar'!$D$27:$AH$206,'Apr'!$D$27:$AH$206,'May'!$D$27:$AH$206,'Jun'!$D$27:$AH$206,'Jul'!$D$27:$AH$206,'Aug'!$D$27:$AH$206,'Sep'!$D$27:$AH$206,'Oct'!$D$27:$AH$206,'Nov'!$D$27:$AH$206,'Dec'!$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MONTH(A1093),'Jan'!$D$27:$AH$206,'Feb'!$D$27:$AH$206,'Mar'!$D$27:$AH$206,'Apr'!$D$27:$AH$206,'May'!$D$27:$AH$206,'Jun'!$D$27:$AH$206,'Jul'!$D$27:$AH$206,'Aug'!$D$27:$AH$206,'Sep'!$D$27:$AH$206,'Oct'!$D$27:$AH$206,'Nov'!$D$27:$AH$206,'Dec'!$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MONTH(A1094),'Jan'!$D$27:$AH$206,'Feb'!$D$27:$AH$206,'Mar'!$D$27:$AH$206,'Apr'!$D$27:$AH$206,'May'!$D$27:$AH$206,'Jun'!$D$27:$AH$206,'Jul'!$D$27:$AH$206,'Aug'!$D$27:$AH$206,'Sep'!$D$27:$AH$206,'Oct'!$D$27:$AH$206,'Nov'!$D$27:$AH$206,'Dec'!$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MONTH(A1095),'Jan'!$D$27:$AH$206,'Feb'!$D$27:$AH$206,'Mar'!$D$27:$AH$206,'Apr'!$D$27:$AH$206,'May'!$D$27:$AH$206,'Jun'!$D$27:$AH$206,'Jul'!$D$27:$AH$206,'Aug'!$D$27:$AH$206,'Sep'!$D$27:$AH$206,'Oct'!$D$27:$AH$206,'Nov'!$D$27:$AH$206,'Dec'!$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MONTH(A1096),'Jan'!$D$27:$AH$206,'Feb'!$D$27:$AH$206,'Mar'!$D$27:$AH$206,'Apr'!$D$27:$AH$206,'May'!$D$27:$AH$206,'Jun'!$D$27:$AH$206,'Jul'!$D$27:$AH$206,'Aug'!$D$27:$AH$206,'Sep'!$D$27:$AH$206,'Oct'!$D$27:$AH$206,'Nov'!$D$27:$AH$206,'Dec'!$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MONTH(A1097),'Jan'!$D$27:$AH$206,'Feb'!$D$27:$AH$206,'Mar'!$D$27:$AH$206,'Apr'!$D$27:$AH$206,'May'!$D$27:$AH$206,'Jun'!$D$27:$AH$206,'Jul'!$D$27:$AH$206,'Aug'!$D$27:$AH$206,'Sep'!$D$27:$AH$206,'Oct'!$D$27:$AH$206,'Nov'!$D$27:$AH$206,'Dec'!$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MONTH(A1098),'Jan'!$D$27:$AH$206,'Feb'!$D$27:$AH$206,'Mar'!$D$27:$AH$206,'Apr'!$D$27:$AH$206,'May'!$D$27:$AH$206,'Jun'!$D$27:$AH$206,'Jul'!$D$27:$AH$206,'Aug'!$D$27:$AH$206,'Sep'!$D$27:$AH$206,'Oct'!$D$27:$AH$206,'Nov'!$D$27:$AH$206,'Dec'!$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MONTH(A1099),'Jan'!$D$27:$AH$206,'Feb'!$D$27:$AH$206,'Mar'!$D$27:$AH$206,'Apr'!$D$27:$AH$206,'May'!$D$27:$AH$206,'Jun'!$D$27:$AH$206,'Jul'!$D$27:$AH$206,'Aug'!$D$27:$AH$206,'Sep'!$D$27:$AH$206,'Oct'!$D$27:$AH$206,'Nov'!$D$27:$AH$206,'Dec'!$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MONTH(A1100),'Jan'!$D$27:$AH$206,'Feb'!$D$27:$AH$206,'Mar'!$D$27:$AH$206,'Apr'!$D$27:$AH$206,'May'!$D$27:$AH$206,'Jun'!$D$27:$AH$206,'Jul'!$D$27:$AH$206,'Aug'!$D$27:$AH$206,'Sep'!$D$27:$AH$206,'Oct'!$D$27:$AH$206,'Nov'!$D$27:$AH$206,'Dec'!$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MONTH(A1101),'Jan'!$D$27:$AH$206,'Feb'!$D$27:$AH$206,'Mar'!$D$27:$AH$206,'Apr'!$D$27:$AH$206,'May'!$D$27:$AH$206,'Jun'!$D$27:$AH$206,'Jul'!$D$27:$AH$206,'Aug'!$D$27:$AH$206,'Sep'!$D$27:$AH$206,'Oct'!$D$27:$AH$206,'Nov'!$D$27:$AH$206,'Dec'!$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MONTH(A1102),'Jan'!$D$27:$AH$206,'Feb'!$D$27:$AH$206,'Mar'!$D$27:$AH$206,'Apr'!$D$27:$AH$206,'May'!$D$27:$AH$206,'Jun'!$D$27:$AH$206,'Jul'!$D$27:$AH$206,'Aug'!$D$27:$AH$206,'Sep'!$D$27:$AH$206,'Oct'!$D$27:$AH$206,'Nov'!$D$27:$AH$206,'Dec'!$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MONTH(A1103),'Jan'!$D$27:$AH$206,'Feb'!$D$27:$AH$206,'Mar'!$D$27:$AH$206,'Apr'!$D$27:$AH$206,'May'!$D$27:$AH$206,'Jun'!$D$27:$AH$206,'Jul'!$D$27:$AH$206,'Aug'!$D$27:$AH$206,'Sep'!$D$27:$AH$206,'Oct'!$D$27:$AH$206,'Nov'!$D$27:$AH$206,'Dec'!$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MONTH(A1104),'Jan'!$D$27:$AH$206,'Feb'!$D$27:$AH$206,'Mar'!$D$27:$AH$206,'Apr'!$D$27:$AH$206,'May'!$D$27:$AH$206,'Jun'!$D$27:$AH$206,'Jul'!$D$27:$AH$206,'Aug'!$D$27:$AH$206,'Sep'!$D$27:$AH$206,'Oct'!$D$27:$AH$206,'Nov'!$D$27:$AH$206,'Dec'!$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MONTH(A1105),'Jan'!$D$27:$AH$206,'Feb'!$D$27:$AH$206,'Mar'!$D$27:$AH$206,'Apr'!$D$27:$AH$206,'May'!$D$27:$AH$206,'Jun'!$D$27:$AH$206,'Jul'!$D$27:$AH$206,'Aug'!$D$27:$AH$206,'Sep'!$D$27:$AH$206,'Oct'!$D$27:$AH$206,'Nov'!$D$27:$AH$206,'Dec'!$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MONTH(A1106),'Jan'!$D$27:$AH$206,'Feb'!$D$27:$AH$206,'Mar'!$D$27:$AH$206,'Apr'!$D$27:$AH$206,'May'!$D$27:$AH$206,'Jun'!$D$27:$AH$206,'Jul'!$D$27:$AH$206,'Aug'!$D$27:$AH$206,'Sep'!$D$27:$AH$206,'Oct'!$D$27:$AH$206,'Nov'!$D$27:$AH$206,'Dec'!$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MONTH(A1107),'Jan'!$D$27:$AH$206,'Feb'!$D$27:$AH$206,'Mar'!$D$27:$AH$206,'Apr'!$D$27:$AH$206,'May'!$D$27:$AH$206,'Jun'!$D$27:$AH$206,'Jul'!$D$27:$AH$206,'Aug'!$D$27:$AH$206,'Sep'!$D$27:$AH$206,'Oct'!$D$27:$AH$206,'Nov'!$D$27:$AH$206,'Dec'!$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MONTH(A1108),'Jan'!$D$27:$AH$206,'Feb'!$D$27:$AH$206,'Mar'!$D$27:$AH$206,'Apr'!$D$27:$AH$206,'May'!$D$27:$AH$206,'Jun'!$D$27:$AH$206,'Jul'!$D$27:$AH$206,'Aug'!$D$27:$AH$206,'Sep'!$D$27:$AH$206,'Oct'!$D$27:$AH$206,'Nov'!$D$27:$AH$206,'Dec'!$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MONTH(A1109),'Jan'!$D$27:$AH$206,'Feb'!$D$27:$AH$206,'Mar'!$D$27:$AH$206,'Apr'!$D$27:$AH$206,'May'!$D$27:$AH$206,'Jun'!$D$27:$AH$206,'Jul'!$D$27:$AH$206,'Aug'!$D$27:$AH$206,'Sep'!$D$27:$AH$206,'Oct'!$D$27:$AH$206,'Nov'!$D$27:$AH$206,'Dec'!$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MONTH(A1110),'Jan'!$D$27:$AH$206,'Feb'!$D$27:$AH$206,'Mar'!$D$27:$AH$206,'Apr'!$D$27:$AH$206,'May'!$D$27:$AH$206,'Jun'!$D$27:$AH$206,'Jul'!$D$27:$AH$206,'Aug'!$D$27:$AH$206,'Sep'!$D$27:$AH$206,'Oct'!$D$27:$AH$206,'Nov'!$D$27:$AH$206,'Dec'!$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MONTH(A1111),'Jan'!$D$27:$AH$206,'Feb'!$D$27:$AH$206,'Mar'!$D$27:$AH$206,'Apr'!$D$27:$AH$206,'May'!$D$27:$AH$206,'Jun'!$D$27:$AH$206,'Jul'!$D$27:$AH$206,'Aug'!$D$27:$AH$206,'Sep'!$D$27:$AH$206,'Oct'!$D$27:$AH$206,'Nov'!$D$27:$AH$206,'Dec'!$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MONTH(A1112),'Jan'!$D$27:$AH$206,'Feb'!$D$27:$AH$206,'Mar'!$D$27:$AH$206,'Apr'!$D$27:$AH$206,'May'!$D$27:$AH$206,'Jun'!$D$27:$AH$206,'Jul'!$D$27:$AH$206,'Aug'!$D$27:$AH$206,'Sep'!$D$27:$AH$206,'Oct'!$D$27:$AH$206,'Nov'!$D$27:$AH$206,'Dec'!$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MONTH(A1113),'Jan'!$D$27:$AH$206,'Feb'!$D$27:$AH$206,'Mar'!$D$27:$AH$206,'Apr'!$D$27:$AH$206,'May'!$D$27:$AH$206,'Jun'!$D$27:$AH$206,'Jul'!$D$27:$AH$206,'Aug'!$D$27:$AH$206,'Sep'!$D$27:$AH$206,'Oct'!$D$27:$AH$206,'Nov'!$D$27:$AH$206,'Dec'!$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MONTH(A1114),'Jan'!$D$27:$AH$206,'Feb'!$D$27:$AH$206,'Mar'!$D$27:$AH$206,'Apr'!$D$27:$AH$206,'May'!$D$27:$AH$206,'Jun'!$D$27:$AH$206,'Jul'!$D$27:$AH$206,'Aug'!$D$27:$AH$206,'Sep'!$D$27:$AH$206,'Oct'!$D$27:$AH$206,'Nov'!$D$27:$AH$206,'Dec'!$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MONTH(A1115),'Jan'!$D$27:$AH$206,'Feb'!$D$27:$AH$206,'Mar'!$D$27:$AH$206,'Apr'!$D$27:$AH$206,'May'!$D$27:$AH$206,'Jun'!$D$27:$AH$206,'Jul'!$D$27:$AH$206,'Aug'!$D$27:$AH$206,'Sep'!$D$27:$AH$206,'Oct'!$D$27:$AH$206,'Nov'!$D$27:$AH$206,'Dec'!$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MONTH(A1116),'Jan'!$D$27:$AH$206,'Feb'!$D$27:$AH$206,'Mar'!$D$27:$AH$206,'Apr'!$D$27:$AH$206,'May'!$D$27:$AH$206,'Jun'!$D$27:$AH$206,'Jul'!$D$27:$AH$206,'Aug'!$D$27:$AH$206,'Sep'!$D$27:$AH$206,'Oct'!$D$27:$AH$206,'Nov'!$D$27:$AH$206,'Dec'!$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MONTH(A1117),'Jan'!$D$27:$AH$206,'Feb'!$D$27:$AH$206,'Mar'!$D$27:$AH$206,'Apr'!$D$27:$AH$206,'May'!$D$27:$AH$206,'Jun'!$D$27:$AH$206,'Jul'!$D$27:$AH$206,'Aug'!$D$27:$AH$206,'Sep'!$D$27:$AH$206,'Oct'!$D$27:$AH$206,'Nov'!$D$27:$AH$206,'Dec'!$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MONTH(A1118),'Jan'!$D$27:$AH$206,'Feb'!$D$27:$AH$206,'Mar'!$D$27:$AH$206,'Apr'!$D$27:$AH$206,'May'!$D$27:$AH$206,'Jun'!$D$27:$AH$206,'Jul'!$D$27:$AH$206,'Aug'!$D$27:$AH$206,'Sep'!$D$27:$AH$206,'Oct'!$D$27:$AH$206,'Nov'!$D$27:$AH$206,'Dec'!$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MONTH(A1119),'Jan'!$D$27:$AH$206,'Feb'!$D$27:$AH$206,'Mar'!$D$27:$AH$206,'Apr'!$D$27:$AH$206,'May'!$D$27:$AH$206,'Jun'!$D$27:$AH$206,'Jul'!$D$27:$AH$206,'Aug'!$D$27:$AH$206,'Sep'!$D$27:$AH$206,'Oct'!$D$27:$AH$206,'Nov'!$D$27:$AH$206,'Dec'!$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MONTH(A1120),'Jan'!$D$27:$AH$206,'Feb'!$D$27:$AH$206,'Mar'!$D$27:$AH$206,'Apr'!$D$27:$AH$206,'May'!$D$27:$AH$206,'Jun'!$D$27:$AH$206,'Jul'!$D$27:$AH$206,'Aug'!$D$27:$AH$206,'Sep'!$D$27:$AH$206,'Oct'!$D$27:$AH$206,'Nov'!$D$27:$AH$206,'Dec'!$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MONTH(A1121),'Jan'!$D$27:$AH$206,'Feb'!$D$27:$AH$206,'Mar'!$D$27:$AH$206,'Apr'!$D$27:$AH$206,'May'!$D$27:$AH$206,'Jun'!$D$27:$AH$206,'Jul'!$D$27:$AH$206,'Aug'!$D$27:$AH$206,'Sep'!$D$27:$AH$206,'Oct'!$D$27:$AH$206,'Nov'!$D$27:$AH$206,'Dec'!$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MONTH(A1122),'Jan'!$D$27:$AH$206,'Feb'!$D$27:$AH$206,'Mar'!$D$27:$AH$206,'Apr'!$D$27:$AH$206,'May'!$D$27:$AH$206,'Jun'!$D$27:$AH$206,'Jul'!$D$27:$AH$206,'Aug'!$D$27:$AH$206,'Sep'!$D$27:$AH$206,'Oct'!$D$27:$AH$206,'Nov'!$D$27:$AH$206,'Dec'!$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MONTH(A1123),'Jan'!$D$27:$AH$206,'Feb'!$D$27:$AH$206,'Mar'!$D$27:$AH$206,'Apr'!$D$27:$AH$206,'May'!$D$27:$AH$206,'Jun'!$D$27:$AH$206,'Jul'!$D$27:$AH$206,'Aug'!$D$27:$AH$206,'Sep'!$D$27:$AH$206,'Oct'!$D$27:$AH$206,'Nov'!$D$27:$AH$206,'Dec'!$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MONTH(A1124),'Jan'!$D$27:$AH$206,'Feb'!$D$27:$AH$206,'Mar'!$D$27:$AH$206,'Apr'!$D$27:$AH$206,'May'!$D$27:$AH$206,'Jun'!$D$27:$AH$206,'Jul'!$D$27:$AH$206,'Aug'!$D$27:$AH$206,'Sep'!$D$27:$AH$206,'Oct'!$D$27:$AH$206,'Nov'!$D$27:$AH$206,'Dec'!$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MONTH(A1125),'Jan'!$D$27:$AH$206,'Feb'!$D$27:$AH$206,'Mar'!$D$27:$AH$206,'Apr'!$D$27:$AH$206,'May'!$D$27:$AH$206,'Jun'!$D$27:$AH$206,'Jul'!$D$27:$AH$206,'Aug'!$D$27:$AH$206,'Sep'!$D$27:$AH$206,'Oct'!$D$27:$AH$206,'Nov'!$D$27:$AH$206,'Dec'!$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MONTH(A1126),'Jan'!$D$27:$AH$206,'Feb'!$D$27:$AH$206,'Mar'!$D$27:$AH$206,'Apr'!$D$27:$AH$206,'May'!$D$27:$AH$206,'Jun'!$D$27:$AH$206,'Jul'!$D$27:$AH$206,'Aug'!$D$27:$AH$206,'Sep'!$D$27:$AH$206,'Oct'!$D$27:$AH$206,'Nov'!$D$27:$AH$206,'Dec'!$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MONTH(A1127),'Jan'!$D$27:$AH$206,'Feb'!$D$27:$AH$206,'Mar'!$D$27:$AH$206,'Apr'!$D$27:$AH$206,'May'!$D$27:$AH$206,'Jun'!$D$27:$AH$206,'Jul'!$D$27:$AH$206,'Aug'!$D$27:$AH$206,'Sep'!$D$27:$AH$206,'Oct'!$D$27:$AH$206,'Nov'!$D$27:$AH$206,'Dec'!$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MONTH(A1128),'Jan'!$D$27:$AH$206,'Feb'!$D$27:$AH$206,'Mar'!$D$27:$AH$206,'Apr'!$D$27:$AH$206,'May'!$D$27:$AH$206,'Jun'!$D$27:$AH$206,'Jul'!$D$27:$AH$206,'Aug'!$D$27:$AH$206,'Sep'!$D$27:$AH$206,'Oct'!$D$27:$AH$206,'Nov'!$D$27:$AH$206,'Dec'!$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MONTH(A1129),'Jan'!$D$27:$AH$206,'Feb'!$D$27:$AH$206,'Mar'!$D$27:$AH$206,'Apr'!$D$27:$AH$206,'May'!$D$27:$AH$206,'Jun'!$D$27:$AH$206,'Jul'!$D$27:$AH$206,'Aug'!$D$27:$AH$206,'Sep'!$D$27:$AH$206,'Oct'!$D$27:$AH$206,'Nov'!$D$27:$AH$206,'Dec'!$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MONTH(A1130),'Jan'!$D$27:$AH$206,'Feb'!$D$27:$AH$206,'Mar'!$D$27:$AH$206,'Apr'!$D$27:$AH$206,'May'!$D$27:$AH$206,'Jun'!$D$27:$AH$206,'Jul'!$D$27:$AH$206,'Aug'!$D$27:$AH$206,'Sep'!$D$27:$AH$206,'Oct'!$D$27:$AH$206,'Nov'!$D$27:$AH$206,'Dec'!$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MONTH(A1131),'Jan'!$D$27:$AH$206,'Feb'!$D$27:$AH$206,'Mar'!$D$27:$AH$206,'Apr'!$D$27:$AH$206,'May'!$D$27:$AH$206,'Jun'!$D$27:$AH$206,'Jul'!$D$27:$AH$206,'Aug'!$D$27:$AH$206,'Sep'!$D$27:$AH$206,'Oct'!$D$27:$AH$206,'Nov'!$D$27:$AH$206,'Dec'!$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MONTH(A1132),'Jan'!$D$27:$AH$206,'Feb'!$D$27:$AH$206,'Mar'!$D$27:$AH$206,'Apr'!$D$27:$AH$206,'May'!$D$27:$AH$206,'Jun'!$D$27:$AH$206,'Jul'!$D$27:$AH$206,'Aug'!$D$27:$AH$206,'Sep'!$D$27:$AH$206,'Oct'!$D$27:$AH$206,'Nov'!$D$27:$AH$206,'Dec'!$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MONTH(A1133),'Jan'!$D$27:$AH$206,'Feb'!$D$27:$AH$206,'Mar'!$D$27:$AH$206,'Apr'!$D$27:$AH$206,'May'!$D$27:$AH$206,'Jun'!$D$27:$AH$206,'Jul'!$D$27:$AH$206,'Aug'!$D$27:$AH$206,'Sep'!$D$27:$AH$206,'Oct'!$D$27:$AH$206,'Nov'!$D$27:$AH$206,'Dec'!$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MONTH(A1134),'Jan'!$D$27:$AH$206,'Feb'!$D$27:$AH$206,'Mar'!$D$27:$AH$206,'Apr'!$D$27:$AH$206,'May'!$D$27:$AH$206,'Jun'!$D$27:$AH$206,'Jul'!$D$27:$AH$206,'Aug'!$D$27:$AH$206,'Sep'!$D$27:$AH$206,'Oct'!$D$27:$AH$206,'Nov'!$D$27:$AH$206,'Dec'!$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MONTH(A1135),'Jan'!$D$27:$AH$206,'Feb'!$D$27:$AH$206,'Mar'!$D$27:$AH$206,'Apr'!$D$27:$AH$206,'May'!$D$27:$AH$206,'Jun'!$D$27:$AH$206,'Jul'!$D$27:$AH$206,'Aug'!$D$27:$AH$206,'Sep'!$D$27:$AH$206,'Oct'!$D$27:$AH$206,'Nov'!$D$27:$AH$206,'Dec'!$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MONTH(A1136),'Jan'!$D$27:$AH$206,'Feb'!$D$27:$AH$206,'Mar'!$D$27:$AH$206,'Apr'!$D$27:$AH$206,'May'!$D$27:$AH$206,'Jun'!$D$27:$AH$206,'Jul'!$D$27:$AH$206,'Aug'!$D$27:$AH$206,'Sep'!$D$27:$AH$206,'Oct'!$D$27:$AH$206,'Nov'!$D$27:$AH$206,'Dec'!$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MONTH(A1137),'Jan'!$D$27:$AH$206,'Feb'!$D$27:$AH$206,'Mar'!$D$27:$AH$206,'Apr'!$D$27:$AH$206,'May'!$D$27:$AH$206,'Jun'!$D$27:$AH$206,'Jul'!$D$27:$AH$206,'Aug'!$D$27:$AH$206,'Sep'!$D$27:$AH$206,'Oct'!$D$27:$AH$206,'Nov'!$D$27:$AH$206,'Dec'!$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MONTH(A1138),'Jan'!$D$27:$AH$206,'Feb'!$D$27:$AH$206,'Mar'!$D$27:$AH$206,'Apr'!$D$27:$AH$206,'May'!$D$27:$AH$206,'Jun'!$D$27:$AH$206,'Jul'!$D$27:$AH$206,'Aug'!$D$27:$AH$206,'Sep'!$D$27:$AH$206,'Oct'!$D$27:$AH$206,'Nov'!$D$27:$AH$206,'Dec'!$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MONTH(A1139),'Jan'!$D$27:$AH$206,'Feb'!$D$27:$AH$206,'Mar'!$D$27:$AH$206,'Apr'!$D$27:$AH$206,'May'!$D$27:$AH$206,'Jun'!$D$27:$AH$206,'Jul'!$D$27:$AH$206,'Aug'!$D$27:$AH$206,'Sep'!$D$27:$AH$206,'Oct'!$D$27:$AH$206,'Nov'!$D$27:$AH$206,'Dec'!$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MONTH(A1140),'Jan'!$D$27:$AH$206,'Feb'!$D$27:$AH$206,'Mar'!$D$27:$AH$206,'Apr'!$D$27:$AH$206,'May'!$D$27:$AH$206,'Jun'!$D$27:$AH$206,'Jul'!$D$27:$AH$206,'Aug'!$D$27:$AH$206,'Sep'!$D$27:$AH$206,'Oct'!$D$27:$AH$206,'Nov'!$D$27:$AH$206,'Dec'!$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MONTH(A1141),'Jan'!$D$27:$AH$206,'Feb'!$D$27:$AH$206,'Mar'!$D$27:$AH$206,'Apr'!$D$27:$AH$206,'May'!$D$27:$AH$206,'Jun'!$D$27:$AH$206,'Jul'!$D$27:$AH$206,'Aug'!$D$27:$AH$206,'Sep'!$D$27:$AH$206,'Oct'!$D$27:$AH$206,'Nov'!$D$27:$AH$206,'Dec'!$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MONTH(A1142),'Jan'!$D$27:$AH$206,'Feb'!$D$27:$AH$206,'Mar'!$D$27:$AH$206,'Apr'!$D$27:$AH$206,'May'!$D$27:$AH$206,'Jun'!$D$27:$AH$206,'Jul'!$D$27:$AH$206,'Aug'!$D$27:$AH$206,'Sep'!$D$27:$AH$206,'Oct'!$D$27:$AH$206,'Nov'!$D$27:$AH$206,'Dec'!$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MONTH(A1143),'Jan'!$D$27:$AH$206,'Feb'!$D$27:$AH$206,'Mar'!$D$27:$AH$206,'Apr'!$D$27:$AH$206,'May'!$D$27:$AH$206,'Jun'!$D$27:$AH$206,'Jul'!$D$27:$AH$206,'Aug'!$D$27:$AH$206,'Sep'!$D$27:$AH$206,'Oct'!$D$27:$AH$206,'Nov'!$D$27:$AH$206,'Dec'!$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MONTH(A1144),'Jan'!$D$27:$AH$206,'Feb'!$D$27:$AH$206,'Mar'!$D$27:$AH$206,'Apr'!$D$27:$AH$206,'May'!$D$27:$AH$206,'Jun'!$D$27:$AH$206,'Jul'!$D$27:$AH$206,'Aug'!$D$27:$AH$206,'Sep'!$D$27:$AH$206,'Oct'!$D$27:$AH$206,'Nov'!$D$27:$AH$206,'Dec'!$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MONTH(A1145),'Jan'!$D$27:$AH$206,'Feb'!$D$27:$AH$206,'Mar'!$D$27:$AH$206,'Apr'!$D$27:$AH$206,'May'!$D$27:$AH$206,'Jun'!$D$27:$AH$206,'Jul'!$D$27:$AH$206,'Aug'!$D$27:$AH$206,'Sep'!$D$27:$AH$206,'Oct'!$D$27:$AH$206,'Nov'!$D$27:$AH$206,'Dec'!$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MONTH(A1146),'Jan'!$D$27:$AH$206,'Feb'!$D$27:$AH$206,'Mar'!$D$27:$AH$206,'Apr'!$D$27:$AH$206,'May'!$D$27:$AH$206,'Jun'!$D$27:$AH$206,'Jul'!$D$27:$AH$206,'Aug'!$D$27:$AH$206,'Sep'!$D$27:$AH$206,'Oct'!$D$27:$AH$206,'Nov'!$D$27:$AH$206,'Dec'!$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MONTH(A1147),'Jan'!$D$27:$AH$206,'Feb'!$D$27:$AH$206,'Mar'!$D$27:$AH$206,'Apr'!$D$27:$AH$206,'May'!$D$27:$AH$206,'Jun'!$D$27:$AH$206,'Jul'!$D$27:$AH$206,'Aug'!$D$27:$AH$206,'Sep'!$D$27:$AH$206,'Oct'!$D$27:$AH$206,'Nov'!$D$27:$AH$206,'Dec'!$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MONTH(A1148),'Jan'!$D$27:$AH$206,'Feb'!$D$27:$AH$206,'Mar'!$D$27:$AH$206,'Apr'!$D$27:$AH$206,'May'!$D$27:$AH$206,'Jun'!$D$27:$AH$206,'Jul'!$D$27:$AH$206,'Aug'!$D$27:$AH$206,'Sep'!$D$27:$AH$206,'Oct'!$D$27:$AH$206,'Nov'!$D$27:$AH$206,'Dec'!$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MONTH(A1149),'Jan'!$D$27:$AH$206,'Feb'!$D$27:$AH$206,'Mar'!$D$27:$AH$206,'Apr'!$D$27:$AH$206,'May'!$D$27:$AH$206,'Jun'!$D$27:$AH$206,'Jul'!$D$27:$AH$206,'Aug'!$D$27:$AH$206,'Sep'!$D$27:$AH$206,'Oct'!$D$27:$AH$206,'Nov'!$D$27:$AH$206,'Dec'!$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MONTH(A1150),'Jan'!$D$27:$AH$206,'Feb'!$D$27:$AH$206,'Mar'!$D$27:$AH$206,'Apr'!$D$27:$AH$206,'May'!$D$27:$AH$206,'Jun'!$D$27:$AH$206,'Jul'!$D$27:$AH$206,'Aug'!$D$27:$AH$206,'Sep'!$D$27:$AH$206,'Oct'!$D$27:$AH$206,'Nov'!$D$27:$AH$206,'Dec'!$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MONTH(A1151),'Jan'!$D$27:$AH$206,'Feb'!$D$27:$AH$206,'Mar'!$D$27:$AH$206,'Apr'!$D$27:$AH$206,'May'!$D$27:$AH$206,'Jun'!$D$27:$AH$206,'Jul'!$D$27:$AH$206,'Aug'!$D$27:$AH$206,'Sep'!$D$27:$AH$206,'Oct'!$D$27:$AH$206,'Nov'!$D$27:$AH$206,'Dec'!$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MONTH(A1152),'Jan'!$D$27:$AH$206,'Feb'!$D$27:$AH$206,'Mar'!$D$27:$AH$206,'Apr'!$D$27:$AH$206,'May'!$D$27:$AH$206,'Jun'!$D$27:$AH$206,'Jul'!$D$27:$AH$206,'Aug'!$D$27:$AH$206,'Sep'!$D$27:$AH$206,'Oct'!$D$27:$AH$206,'Nov'!$D$27:$AH$206,'Dec'!$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MONTH(A1153),'Jan'!$D$27:$AH$206,'Feb'!$D$27:$AH$206,'Mar'!$D$27:$AH$206,'Apr'!$D$27:$AH$206,'May'!$D$27:$AH$206,'Jun'!$D$27:$AH$206,'Jul'!$D$27:$AH$206,'Aug'!$D$27:$AH$206,'Sep'!$D$27:$AH$206,'Oct'!$D$27:$AH$206,'Nov'!$D$27:$AH$206,'Dec'!$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MONTH(A1154),'Jan'!$D$27:$AH$206,'Feb'!$D$27:$AH$206,'Mar'!$D$27:$AH$206,'Apr'!$D$27:$AH$206,'May'!$D$27:$AH$206,'Jun'!$D$27:$AH$206,'Jul'!$D$27:$AH$206,'Aug'!$D$27:$AH$206,'Sep'!$D$27:$AH$206,'Oct'!$D$27:$AH$206,'Nov'!$D$27:$AH$206,'Dec'!$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MONTH(A1155),'Jan'!$D$27:$AH$206,'Feb'!$D$27:$AH$206,'Mar'!$D$27:$AH$206,'Apr'!$D$27:$AH$206,'May'!$D$27:$AH$206,'Jun'!$D$27:$AH$206,'Jul'!$D$27:$AH$206,'Aug'!$D$27:$AH$206,'Sep'!$D$27:$AH$206,'Oct'!$D$27:$AH$206,'Nov'!$D$27:$AH$206,'Dec'!$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MONTH(A1156),'Jan'!$D$27:$AH$206,'Feb'!$D$27:$AH$206,'Mar'!$D$27:$AH$206,'Apr'!$D$27:$AH$206,'May'!$D$27:$AH$206,'Jun'!$D$27:$AH$206,'Jul'!$D$27:$AH$206,'Aug'!$D$27:$AH$206,'Sep'!$D$27:$AH$206,'Oct'!$D$27:$AH$206,'Nov'!$D$27:$AH$206,'Dec'!$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MONTH(A1157),'Jan'!$D$27:$AH$206,'Feb'!$D$27:$AH$206,'Mar'!$D$27:$AH$206,'Apr'!$D$27:$AH$206,'May'!$D$27:$AH$206,'Jun'!$D$27:$AH$206,'Jul'!$D$27:$AH$206,'Aug'!$D$27:$AH$206,'Sep'!$D$27:$AH$206,'Oct'!$D$27:$AH$206,'Nov'!$D$27:$AH$206,'Dec'!$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MONTH(A1158),'Jan'!$D$27:$AH$206,'Feb'!$D$27:$AH$206,'Mar'!$D$27:$AH$206,'Apr'!$D$27:$AH$206,'May'!$D$27:$AH$206,'Jun'!$D$27:$AH$206,'Jul'!$D$27:$AH$206,'Aug'!$D$27:$AH$206,'Sep'!$D$27:$AH$206,'Oct'!$D$27:$AH$206,'Nov'!$D$27:$AH$206,'Dec'!$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MONTH(A1159),'Jan'!$D$27:$AH$206,'Feb'!$D$27:$AH$206,'Mar'!$D$27:$AH$206,'Apr'!$D$27:$AH$206,'May'!$D$27:$AH$206,'Jun'!$D$27:$AH$206,'Jul'!$D$27:$AH$206,'Aug'!$D$27:$AH$206,'Sep'!$D$27:$AH$206,'Oct'!$D$27:$AH$206,'Nov'!$D$27:$AH$206,'Dec'!$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MONTH(A1160),'Jan'!$D$27:$AH$206,'Feb'!$D$27:$AH$206,'Mar'!$D$27:$AH$206,'Apr'!$D$27:$AH$206,'May'!$D$27:$AH$206,'Jun'!$D$27:$AH$206,'Jul'!$D$27:$AH$206,'Aug'!$D$27:$AH$206,'Sep'!$D$27:$AH$206,'Oct'!$D$27:$AH$206,'Nov'!$D$27:$AH$206,'Dec'!$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MONTH(A1161),'Jan'!$D$27:$AH$206,'Feb'!$D$27:$AH$206,'Mar'!$D$27:$AH$206,'Apr'!$D$27:$AH$206,'May'!$D$27:$AH$206,'Jun'!$D$27:$AH$206,'Jul'!$D$27:$AH$206,'Aug'!$D$27:$AH$206,'Sep'!$D$27:$AH$206,'Oct'!$D$27:$AH$206,'Nov'!$D$27:$AH$206,'Dec'!$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MONTH(A1162),'Jan'!$D$27:$AH$206,'Feb'!$D$27:$AH$206,'Mar'!$D$27:$AH$206,'Apr'!$D$27:$AH$206,'May'!$D$27:$AH$206,'Jun'!$D$27:$AH$206,'Jul'!$D$27:$AH$206,'Aug'!$D$27:$AH$206,'Sep'!$D$27:$AH$206,'Oct'!$D$27:$AH$206,'Nov'!$D$27:$AH$206,'Dec'!$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MONTH(A1163),'Jan'!$D$27:$AH$206,'Feb'!$D$27:$AH$206,'Mar'!$D$27:$AH$206,'Apr'!$D$27:$AH$206,'May'!$D$27:$AH$206,'Jun'!$D$27:$AH$206,'Jul'!$D$27:$AH$206,'Aug'!$D$27:$AH$206,'Sep'!$D$27:$AH$206,'Oct'!$D$27:$AH$206,'Nov'!$D$27:$AH$206,'Dec'!$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MONTH(A1164),'Jan'!$D$27:$AH$206,'Feb'!$D$27:$AH$206,'Mar'!$D$27:$AH$206,'Apr'!$D$27:$AH$206,'May'!$D$27:$AH$206,'Jun'!$D$27:$AH$206,'Jul'!$D$27:$AH$206,'Aug'!$D$27:$AH$206,'Sep'!$D$27:$AH$206,'Oct'!$D$27:$AH$206,'Nov'!$D$27:$AH$206,'Dec'!$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MONTH(A1165),'Jan'!$D$27:$AH$206,'Feb'!$D$27:$AH$206,'Mar'!$D$27:$AH$206,'Apr'!$D$27:$AH$206,'May'!$D$27:$AH$206,'Jun'!$D$27:$AH$206,'Jul'!$D$27:$AH$206,'Aug'!$D$27:$AH$206,'Sep'!$D$27:$AH$206,'Oct'!$D$27:$AH$206,'Nov'!$D$27:$AH$206,'Dec'!$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MONTH(A1166),'Jan'!$D$27:$AH$206,'Feb'!$D$27:$AH$206,'Mar'!$D$27:$AH$206,'Apr'!$D$27:$AH$206,'May'!$D$27:$AH$206,'Jun'!$D$27:$AH$206,'Jul'!$D$27:$AH$206,'Aug'!$D$27:$AH$206,'Sep'!$D$27:$AH$206,'Oct'!$D$27:$AH$206,'Nov'!$D$27:$AH$206,'Dec'!$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MONTH(A1167),'Jan'!$D$27:$AH$206,'Feb'!$D$27:$AH$206,'Mar'!$D$27:$AH$206,'Apr'!$D$27:$AH$206,'May'!$D$27:$AH$206,'Jun'!$D$27:$AH$206,'Jul'!$D$27:$AH$206,'Aug'!$D$27:$AH$206,'Sep'!$D$27:$AH$206,'Oct'!$D$27:$AH$206,'Nov'!$D$27:$AH$206,'Dec'!$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MONTH(A1168),'Jan'!$D$27:$AH$206,'Feb'!$D$27:$AH$206,'Mar'!$D$27:$AH$206,'Apr'!$D$27:$AH$206,'May'!$D$27:$AH$206,'Jun'!$D$27:$AH$206,'Jul'!$D$27:$AH$206,'Aug'!$D$27:$AH$206,'Sep'!$D$27:$AH$206,'Oct'!$D$27:$AH$206,'Nov'!$D$27:$AH$206,'Dec'!$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MONTH(A1169),'Jan'!$D$27:$AH$206,'Feb'!$D$27:$AH$206,'Mar'!$D$27:$AH$206,'Apr'!$D$27:$AH$206,'May'!$D$27:$AH$206,'Jun'!$D$27:$AH$206,'Jul'!$D$27:$AH$206,'Aug'!$D$27:$AH$206,'Sep'!$D$27:$AH$206,'Oct'!$D$27:$AH$206,'Nov'!$D$27:$AH$206,'Dec'!$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MONTH(A1170),'Jan'!$D$27:$AH$206,'Feb'!$D$27:$AH$206,'Mar'!$D$27:$AH$206,'Apr'!$D$27:$AH$206,'May'!$D$27:$AH$206,'Jun'!$D$27:$AH$206,'Jul'!$D$27:$AH$206,'Aug'!$D$27:$AH$206,'Sep'!$D$27:$AH$206,'Oct'!$D$27:$AH$206,'Nov'!$D$27:$AH$206,'Dec'!$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MONTH(A1171),'Jan'!$D$27:$AH$206,'Feb'!$D$27:$AH$206,'Mar'!$D$27:$AH$206,'Apr'!$D$27:$AH$206,'May'!$D$27:$AH$206,'Jun'!$D$27:$AH$206,'Jul'!$D$27:$AH$206,'Aug'!$D$27:$AH$206,'Sep'!$D$27:$AH$206,'Oct'!$D$27:$AH$206,'Nov'!$D$27:$AH$206,'Dec'!$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MONTH(A1172),'Jan'!$D$27:$AH$206,'Feb'!$D$27:$AH$206,'Mar'!$D$27:$AH$206,'Apr'!$D$27:$AH$206,'May'!$D$27:$AH$206,'Jun'!$D$27:$AH$206,'Jul'!$D$27:$AH$206,'Aug'!$D$27:$AH$206,'Sep'!$D$27:$AH$206,'Oct'!$D$27:$AH$206,'Nov'!$D$27:$AH$206,'Dec'!$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MONTH(A1173),'Jan'!$D$27:$AH$206,'Feb'!$D$27:$AH$206,'Mar'!$D$27:$AH$206,'Apr'!$D$27:$AH$206,'May'!$D$27:$AH$206,'Jun'!$D$27:$AH$206,'Jul'!$D$27:$AH$206,'Aug'!$D$27:$AH$206,'Sep'!$D$27:$AH$206,'Oct'!$D$27:$AH$206,'Nov'!$D$27:$AH$206,'Dec'!$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MONTH(A1174),'Jan'!$D$27:$AH$206,'Feb'!$D$27:$AH$206,'Mar'!$D$27:$AH$206,'Apr'!$D$27:$AH$206,'May'!$D$27:$AH$206,'Jun'!$D$27:$AH$206,'Jul'!$D$27:$AH$206,'Aug'!$D$27:$AH$206,'Sep'!$D$27:$AH$206,'Oct'!$D$27:$AH$206,'Nov'!$D$27:$AH$206,'Dec'!$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MONTH(A1175),'Jan'!$D$27:$AH$206,'Feb'!$D$27:$AH$206,'Mar'!$D$27:$AH$206,'Apr'!$D$27:$AH$206,'May'!$D$27:$AH$206,'Jun'!$D$27:$AH$206,'Jul'!$D$27:$AH$206,'Aug'!$D$27:$AH$206,'Sep'!$D$27:$AH$206,'Oct'!$D$27:$AH$206,'Nov'!$D$27:$AH$206,'Dec'!$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MONTH(A1176),'Jan'!$D$27:$AH$206,'Feb'!$D$27:$AH$206,'Mar'!$D$27:$AH$206,'Apr'!$D$27:$AH$206,'May'!$D$27:$AH$206,'Jun'!$D$27:$AH$206,'Jul'!$D$27:$AH$206,'Aug'!$D$27:$AH$206,'Sep'!$D$27:$AH$206,'Oct'!$D$27:$AH$206,'Nov'!$D$27:$AH$206,'Dec'!$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MONTH(A1177),'Jan'!$D$27:$AH$206,'Feb'!$D$27:$AH$206,'Mar'!$D$27:$AH$206,'Apr'!$D$27:$AH$206,'May'!$D$27:$AH$206,'Jun'!$D$27:$AH$206,'Jul'!$D$27:$AH$206,'Aug'!$D$27:$AH$206,'Sep'!$D$27:$AH$206,'Oct'!$D$27:$AH$206,'Nov'!$D$27:$AH$206,'Dec'!$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MONTH(A1178),'Jan'!$D$27:$AH$206,'Feb'!$D$27:$AH$206,'Mar'!$D$27:$AH$206,'Apr'!$D$27:$AH$206,'May'!$D$27:$AH$206,'Jun'!$D$27:$AH$206,'Jul'!$D$27:$AH$206,'Aug'!$D$27:$AH$206,'Sep'!$D$27:$AH$206,'Oct'!$D$27:$AH$206,'Nov'!$D$27:$AH$206,'Dec'!$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MONTH(A1179),'Jan'!$D$27:$AH$206,'Feb'!$D$27:$AH$206,'Mar'!$D$27:$AH$206,'Apr'!$D$27:$AH$206,'May'!$D$27:$AH$206,'Jun'!$D$27:$AH$206,'Jul'!$D$27:$AH$206,'Aug'!$D$27:$AH$206,'Sep'!$D$27:$AH$206,'Oct'!$D$27:$AH$206,'Nov'!$D$27:$AH$206,'Dec'!$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MONTH(A1180),'Jan'!$D$27:$AH$206,'Feb'!$D$27:$AH$206,'Mar'!$D$27:$AH$206,'Apr'!$D$27:$AH$206,'May'!$D$27:$AH$206,'Jun'!$D$27:$AH$206,'Jul'!$D$27:$AH$206,'Aug'!$D$27:$AH$206,'Sep'!$D$27:$AH$206,'Oct'!$D$27:$AH$206,'Nov'!$D$27:$AH$206,'Dec'!$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MONTH(A1181),'Jan'!$D$27:$AH$206,'Feb'!$D$27:$AH$206,'Mar'!$D$27:$AH$206,'Apr'!$D$27:$AH$206,'May'!$D$27:$AH$206,'Jun'!$D$27:$AH$206,'Jul'!$D$27:$AH$206,'Aug'!$D$27:$AH$206,'Sep'!$D$27:$AH$206,'Oct'!$D$27:$AH$206,'Nov'!$D$27:$AH$206,'Dec'!$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MONTH(A1182),'Jan'!$D$27:$AH$206,'Feb'!$D$27:$AH$206,'Mar'!$D$27:$AH$206,'Apr'!$D$27:$AH$206,'May'!$D$27:$AH$206,'Jun'!$D$27:$AH$206,'Jul'!$D$27:$AH$206,'Aug'!$D$27:$AH$206,'Sep'!$D$27:$AH$206,'Oct'!$D$27:$AH$206,'Nov'!$D$27:$AH$206,'Dec'!$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MONTH(A1183),'Jan'!$D$27:$AH$206,'Feb'!$D$27:$AH$206,'Mar'!$D$27:$AH$206,'Apr'!$D$27:$AH$206,'May'!$D$27:$AH$206,'Jun'!$D$27:$AH$206,'Jul'!$D$27:$AH$206,'Aug'!$D$27:$AH$206,'Sep'!$D$27:$AH$206,'Oct'!$D$27:$AH$206,'Nov'!$D$27:$AH$206,'Dec'!$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MONTH(A1184),'Jan'!$D$27:$AH$206,'Feb'!$D$27:$AH$206,'Mar'!$D$27:$AH$206,'Apr'!$D$27:$AH$206,'May'!$D$27:$AH$206,'Jun'!$D$27:$AH$206,'Jul'!$D$27:$AH$206,'Aug'!$D$27:$AH$206,'Sep'!$D$27:$AH$206,'Oct'!$D$27:$AH$206,'Nov'!$D$27:$AH$206,'Dec'!$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MONTH(A1185),'Jan'!$D$27:$AH$206,'Feb'!$D$27:$AH$206,'Mar'!$D$27:$AH$206,'Apr'!$D$27:$AH$206,'May'!$D$27:$AH$206,'Jun'!$D$27:$AH$206,'Jul'!$D$27:$AH$206,'Aug'!$D$27:$AH$206,'Sep'!$D$27:$AH$206,'Oct'!$D$27:$AH$206,'Nov'!$D$27:$AH$206,'Dec'!$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MONTH(A1186),'Jan'!$D$27:$AH$206,'Feb'!$D$27:$AH$206,'Mar'!$D$27:$AH$206,'Apr'!$D$27:$AH$206,'May'!$D$27:$AH$206,'Jun'!$D$27:$AH$206,'Jul'!$D$27:$AH$206,'Aug'!$D$27:$AH$206,'Sep'!$D$27:$AH$206,'Oct'!$D$27:$AH$206,'Nov'!$D$27:$AH$206,'Dec'!$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MONTH(A1187),'Jan'!$D$27:$AH$206,'Feb'!$D$27:$AH$206,'Mar'!$D$27:$AH$206,'Apr'!$D$27:$AH$206,'May'!$D$27:$AH$206,'Jun'!$D$27:$AH$206,'Jul'!$D$27:$AH$206,'Aug'!$D$27:$AH$206,'Sep'!$D$27:$AH$206,'Oct'!$D$27:$AH$206,'Nov'!$D$27:$AH$206,'Dec'!$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MONTH(A1188),'Jan'!$D$27:$AH$206,'Feb'!$D$27:$AH$206,'Mar'!$D$27:$AH$206,'Apr'!$D$27:$AH$206,'May'!$D$27:$AH$206,'Jun'!$D$27:$AH$206,'Jul'!$D$27:$AH$206,'Aug'!$D$27:$AH$206,'Sep'!$D$27:$AH$206,'Oct'!$D$27:$AH$206,'Nov'!$D$27:$AH$206,'Dec'!$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MONTH(A1189),'Jan'!$D$27:$AH$206,'Feb'!$D$27:$AH$206,'Mar'!$D$27:$AH$206,'Apr'!$D$27:$AH$206,'May'!$D$27:$AH$206,'Jun'!$D$27:$AH$206,'Jul'!$D$27:$AH$206,'Aug'!$D$27:$AH$206,'Sep'!$D$27:$AH$206,'Oct'!$D$27:$AH$206,'Nov'!$D$27:$AH$206,'Dec'!$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MONTH(A1190),'Jan'!$D$27:$AH$206,'Feb'!$D$27:$AH$206,'Mar'!$D$27:$AH$206,'Apr'!$D$27:$AH$206,'May'!$D$27:$AH$206,'Jun'!$D$27:$AH$206,'Jul'!$D$27:$AH$206,'Aug'!$D$27:$AH$206,'Sep'!$D$27:$AH$206,'Oct'!$D$27:$AH$206,'Nov'!$D$27:$AH$206,'Dec'!$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MONTH(A1191),'Jan'!$D$27:$AH$206,'Feb'!$D$27:$AH$206,'Mar'!$D$27:$AH$206,'Apr'!$D$27:$AH$206,'May'!$D$27:$AH$206,'Jun'!$D$27:$AH$206,'Jul'!$D$27:$AH$206,'Aug'!$D$27:$AH$206,'Sep'!$D$27:$AH$206,'Oct'!$D$27:$AH$206,'Nov'!$D$27:$AH$206,'Dec'!$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MONTH(A1192),'Jan'!$D$27:$AH$206,'Feb'!$D$27:$AH$206,'Mar'!$D$27:$AH$206,'Apr'!$D$27:$AH$206,'May'!$D$27:$AH$206,'Jun'!$D$27:$AH$206,'Jul'!$D$27:$AH$206,'Aug'!$D$27:$AH$206,'Sep'!$D$27:$AH$206,'Oct'!$D$27:$AH$206,'Nov'!$D$27:$AH$206,'Dec'!$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MONTH(A1193),'Jan'!$D$27:$AH$206,'Feb'!$D$27:$AH$206,'Mar'!$D$27:$AH$206,'Apr'!$D$27:$AH$206,'May'!$D$27:$AH$206,'Jun'!$D$27:$AH$206,'Jul'!$D$27:$AH$206,'Aug'!$D$27:$AH$206,'Sep'!$D$27:$AH$206,'Oct'!$D$27:$AH$206,'Nov'!$D$27:$AH$206,'Dec'!$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MONTH(A1194),'Jan'!$D$27:$AH$206,'Feb'!$D$27:$AH$206,'Mar'!$D$27:$AH$206,'Apr'!$D$27:$AH$206,'May'!$D$27:$AH$206,'Jun'!$D$27:$AH$206,'Jul'!$D$27:$AH$206,'Aug'!$D$27:$AH$206,'Sep'!$D$27:$AH$206,'Oct'!$D$27:$AH$206,'Nov'!$D$27:$AH$206,'Dec'!$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MONTH(A1195),'Jan'!$D$27:$AH$206,'Feb'!$D$27:$AH$206,'Mar'!$D$27:$AH$206,'Apr'!$D$27:$AH$206,'May'!$D$27:$AH$206,'Jun'!$D$27:$AH$206,'Jul'!$D$27:$AH$206,'Aug'!$D$27:$AH$206,'Sep'!$D$27:$AH$206,'Oct'!$D$27:$AH$206,'Nov'!$D$27:$AH$206,'Dec'!$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MONTH(A1196),'Jan'!$D$27:$AH$206,'Feb'!$D$27:$AH$206,'Mar'!$D$27:$AH$206,'Apr'!$D$27:$AH$206,'May'!$D$27:$AH$206,'Jun'!$D$27:$AH$206,'Jul'!$D$27:$AH$206,'Aug'!$D$27:$AH$206,'Sep'!$D$27:$AH$206,'Oct'!$D$27:$AH$206,'Nov'!$D$27:$AH$206,'Dec'!$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MONTH(A1197),'Jan'!$D$27:$AH$206,'Feb'!$D$27:$AH$206,'Mar'!$D$27:$AH$206,'Apr'!$D$27:$AH$206,'May'!$D$27:$AH$206,'Jun'!$D$27:$AH$206,'Jul'!$D$27:$AH$206,'Aug'!$D$27:$AH$206,'Sep'!$D$27:$AH$206,'Oct'!$D$27:$AH$206,'Nov'!$D$27:$AH$206,'Dec'!$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MONTH(A1198),'Jan'!$D$27:$AH$206,'Feb'!$D$27:$AH$206,'Mar'!$D$27:$AH$206,'Apr'!$D$27:$AH$206,'May'!$D$27:$AH$206,'Jun'!$D$27:$AH$206,'Jul'!$D$27:$AH$206,'Aug'!$D$27:$AH$206,'Sep'!$D$27:$AH$206,'Oct'!$D$27:$AH$206,'Nov'!$D$27:$AH$206,'Dec'!$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MONTH(A1199),'Jan'!$D$27:$AH$206,'Feb'!$D$27:$AH$206,'Mar'!$D$27:$AH$206,'Apr'!$D$27:$AH$206,'May'!$D$27:$AH$206,'Jun'!$D$27:$AH$206,'Jul'!$D$27:$AH$206,'Aug'!$D$27:$AH$206,'Sep'!$D$27:$AH$206,'Oct'!$D$27:$AH$206,'Nov'!$D$27:$AH$206,'Dec'!$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MONTH(A1200),'Jan'!$D$27:$AH$206,'Feb'!$D$27:$AH$206,'Mar'!$D$27:$AH$206,'Apr'!$D$27:$AH$206,'May'!$D$27:$AH$206,'Jun'!$D$27:$AH$206,'Jul'!$D$27:$AH$206,'Aug'!$D$27:$AH$206,'Sep'!$D$27:$AH$206,'Oct'!$D$27:$AH$206,'Nov'!$D$27:$AH$206,'Dec'!$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MONTH(A1201),'Jan'!$D$27:$AH$206,'Feb'!$D$27:$AH$206,'Mar'!$D$27:$AH$206,'Apr'!$D$27:$AH$206,'May'!$D$27:$AH$206,'Jun'!$D$27:$AH$206,'Jul'!$D$27:$AH$206,'Aug'!$D$27:$AH$206,'Sep'!$D$27:$AH$206,'Oct'!$D$27:$AH$206,'Nov'!$D$27:$AH$206,'Dec'!$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MONTH(A1202),'Jan'!$D$27:$AH$206,'Feb'!$D$27:$AH$206,'Mar'!$D$27:$AH$206,'Apr'!$D$27:$AH$206,'May'!$D$27:$AH$206,'Jun'!$D$27:$AH$206,'Jul'!$D$27:$AH$206,'Aug'!$D$27:$AH$206,'Sep'!$D$27:$AH$206,'Oct'!$D$27:$AH$206,'Nov'!$D$27:$AH$206,'Dec'!$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MONTH(A1203),'Jan'!$D$27:$AH$206,'Feb'!$D$27:$AH$206,'Mar'!$D$27:$AH$206,'Apr'!$D$27:$AH$206,'May'!$D$27:$AH$206,'Jun'!$D$27:$AH$206,'Jul'!$D$27:$AH$206,'Aug'!$D$27:$AH$206,'Sep'!$D$27:$AH$206,'Oct'!$D$27:$AH$206,'Nov'!$D$27:$AH$206,'Dec'!$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MONTH(A1204),'Jan'!$D$27:$AH$206,'Feb'!$D$27:$AH$206,'Mar'!$D$27:$AH$206,'Apr'!$D$27:$AH$206,'May'!$D$27:$AH$206,'Jun'!$D$27:$AH$206,'Jul'!$D$27:$AH$206,'Aug'!$D$27:$AH$206,'Sep'!$D$27:$AH$206,'Oct'!$D$27:$AH$206,'Nov'!$D$27:$AH$206,'Dec'!$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MONTH(A1205),'Jan'!$D$27:$AH$206,'Feb'!$D$27:$AH$206,'Mar'!$D$27:$AH$206,'Apr'!$D$27:$AH$206,'May'!$D$27:$AH$206,'Jun'!$D$27:$AH$206,'Jul'!$D$27:$AH$206,'Aug'!$D$27:$AH$206,'Sep'!$D$27:$AH$206,'Oct'!$D$27:$AH$206,'Nov'!$D$27:$AH$206,'Dec'!$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MONTH(A1206),'Jan'!$D$27:$AH$206,'Feb'!$D$27:$AH$206,'Mar'!$D$27:$AH$206,'Apr'!$D$27:$AH$206,'May'!$D$27:$AH$206,'Jun'!$D$27:$AH$206,'Jul'!$D$27:$AH$206,'Aug'!$D$27:$AH$206,'Sep'!$D$27:$AH$206,'Oct'!$D$27:$AH$206,'Nov'!$D$27:$AH$206,'Dec'!$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MONTH(A1207),'Jan'!$D$27:$AH$206,'Feb'!$D$27:$AH$206,'Mar'!$D$27:$AH$206,'Apr'!$D$27:$AH$206,'May'!$D$27:$AH$206,'Jun'!$D$27:$AH$206,'Jul'!$D$27:$AH$206,'Aug'!$D$27:$AH$206,'Sep'!$D$27:$AH$206,'Oct'!$D$27:$AH$206,'Nov'!$D$27:$AH$206,'Dec'!$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MONTH(A1208),'Jan'!$D$27:$AH$206,'Feb'!$D$27:$AH$206,'Mar'!$D$27:$AH$206,'Apr'!$D$27:$AH$206,'May'!$D$27:$AH$206,'Jun'!$D$27:$AH$206,'Jul'!$D$27:$AH$206,'Aug'!$D$27:$AH$206,'Sep'!$D$27:$AH$206,'Oct'!$D$27:$AH$206,'Nov'!$D$27:$AH$206,'Dec'!$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MONTH(A1209),'Jan'!$D$27:$AH$206,'Feb'!$D$27:$AH$206,'Mar'!$D$27:$AH$206,'Apr'!$D$27:$AH$206,'May'!$D$27:$AH$206,'Jun'!$D$27:$AH$206,'Jul'!$D$27:$AH$206,'Aug'!$D$27:$AH$206,'Sep'!$D$27:$AH$206,'Oct'!$D$27:$AH$206,'Nov'!$D$27:$AH$206,'Dec'!$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MONTH(A1210),'Jan'!$D$27:$AH$206,'Feb'!$D$27:$AH$206,'Mar'!$D$27:$AH$206,'Apr'!$D$27:$AH$206,'May'!$D$27:$AH$206,'Jun'!$D$27:$AH$206,'Jul'!$D$27:$AH$206,'Aug'!$D$27:$AH$206,'Sep'!$D$27:$AH$206,'Oct'!$D$27:$AH$206,'Nov'!$D$27:$AH$206,'Dec'!$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MONTH(A1211),'Jan'!$D$27:$AH$206,'Feb'!$D$27:$AH$206,'Mar'!$D$27:$AH$206,'Apr'!$D$27:$AH$206,'May'!$D$27:$AH$206,'Jun'!$D$27:$AH$206,'Jul'!$D$27:$AH$206,'Aug'!$D$27:$AH$206,'Sep'!$D$27:$AH$206,'Oct'!$D$27:$AH$206,'Nov'!$D$27:$AH$206,'Dec'!$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MONTH(A1212),'Jan'!$D$27:$AH$206,'Feb'!$D$27:$AH$206,'Mar'!$D$27:$AH$206,'Apr'!$D$27:$AH$206,'May'!$D$27:$AH$206,'Jun'!$D$27:$AH$206,'Jul'!$D$27:$AH$206,'Aug'!$D$27:$AH$206,'Sep'!$D$27:$AH$206,'Oct'!$D$27:$AH$206,'Nov'!$D$27:$AH$206,'Dec'!$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MONTH(A1213),'Jan'!$D$27:$AH$206,'Feb'!$D$27:$AH$206,'Mar'!$D$27:$AH$206,'Apr'!$D$27:$AH$206,'May'!$D$27:$AH$206,'Jun'!$D$27:$AH$206,'Jul'!$D$27:$AH$206,'Aug'!$D$27:$AH$206,'Sep'!$D$27:$AH$206,'Oct'!$D$27:$AH$206,'Nov'!$D$27:$AH$206,'Dec'!$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MONTH(A1214),'Jan'!$D$27:$AH$206,'Feb'!$D$27:$AH$206,'Mar'!$D$27:$AH$206,'Apr'!$D$27:$AH$206,'May'!$D$27:$AH$206,'Jun'!$D$27:$AH$206,'Jul'!$D$27:$AH$206,'Aug'!$D$27:$AH$206,'Sep'!$D$27:$AH$206,'Oct'!$D$27:$AH$206,'Nov'!$D$27:$AH$206,'Dec'!$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MONTH(A1215),'Jan'!$D$27:$AH$206,'Feb'!$D$27:$AH$206,'Mar'!$D$27:$AH$206,'Apr'!$D$27:$AH$206,'May'!$D$27:$AH$206,'Jun'!$D$27:$AH$206,'Jul'!$D$27:$AH$206,'Aug'!$D$27:$AH$206,'Sep'!$D$27:$AH$206,'Oct'!$D$27:$AH$206,'Nov'!$D$27:$AH$206,'Dec'!$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MONTH(A1216),'Jan'!$D$27:$AH$206,'Feb'!$D$27:$AH$206,'Mar'!$D$27:$AH$206,'Apr'!$D$27:$AH$206,'May'!$D$27:$AH$206,'Jun'!$D$27:$AH$206,'Jul'!$D$27:$AH$206,'Aug'!$D$27:$AH$206,'Sep'!$D$27:$AH$206,'Oct'!$D$27:$AH$206,'Nov'!$D$27:$AH$206,'Dec'!$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MONTH(A1217),'Jan'!$D$27:$AH$206,'Feb'!$D$27:$AH$206,'Mar'!$D$27:$AH$206,'Apr'!$D$27:$AH$206,'May'!$D$27:$AH$206,'Jun'!$D$27:$AH$206,'Jul'!$D$27:$AH$206,'Aug'!$D$27:$AH$206,'Sep'!$D$27:$AH$206,'Oct'!$D$27:$AH$206,'Nov'!$D$27:$AH$206,'Dec'!$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MONTH(A1218),'Jan'!$D$27:$AH$206,'Feb'!$D$27:$AH$206,'Mar'!$D$27:$AH$206,'Apr'!$D$27:$AH$206,'May'!$D$27:$AH$206,'Jun'!$D$27:$AH$206,'Jul'!$D$27:$AH$206,'Aug'!$D$27:$AH$206,'Sep'!$D$27:$AH$206,'Oct'!$D$27:$AH$206,'Nov'!$D$27:$AH$206,'Dec'!$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MONTH(A1219),'Jan'!$D$27:$AH$206,'Feb'!$D$27:$AH$206,'Mar'!$D$27:$AH$206,'Apr'!$D$27:$AH$206,'May'!$D$27:$AH$206,'Jun'!$D$27:$AH$206,'Jul'!$D$27:$AH$206,'Aug'!$D$27:$AH$206,'Sep'!$D$27:$AH$206,'Oct'!$D$27:$AH$206,'Nov'!$D$27:$AH$206,'Dec'!$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MONTH(A1220),'Jan'!$D$27:$AH$206,'Feb'!$D$27:$AH$206,'Mar'!$D$27:$AH$206,'Apr'!$D$27:$AH$206,'May'!$D$27:$AH$206,'Jun'!$D$27:$AH$206,'Jul'!$D$27:$AH$206,'Aug'!$D$27:$AH$206,'Sep'!$D$27:$AH$206,'Oct'!$D$27:$AH$206,'Nov'!$D$27:$AH$206,'Dec'!$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MONTH(A1221),'Jan'!$D$27:$AH$206,'Feb'!$D$27:$AH$206,'Mar'!$D$27:$AH$206,'Apr'!$D$27:$AH$206,'May'!$D$27:$AH$206,'Jun'!$D$27:$AH$206,'Jul'!$D$27:$AH$206,'Aug'!$D$27:$AH$206,'Sep'!$D$27:$AH$206,'Oct'!$D$27:$AH$206,'Nov'!$D$27:$AH$206,'Dec'!$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MONTH(A1222),'Jan'!$D$27:$AH$206,'Feb'!$D$27:$AH$206,'Mar'!$D$27:$AH$206,'Apr'!$D$27:$AH$206,'May'!$D$27:$AH$206,'Jun'!$D$27:$AH$206,'Jul'!$D$27:$AH$206,'Aug'!$D$27:$AH$206,'Sep'!$D$27:$AH$206,'Oct'!$D$27:$AH$206,'Nov'!$D$27:$AH$206,'Dec'!$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MONTH(A1223),'Jan'!$D$27:$AH$206,'Feb'!$D$27:$AH$206,'Mar'!$D$27:$AH$206,'Apr'!$D$27:$AH$206,'May'!$D$27:$AH$206,'Jun'!$D$27:$AH$206,'Jul'!$D$27:$AH$206,'Aug'!$D$27:$AH$206,'Sep'!$D$27:$AH$206,'Oct'!$D$27:$AH$206,'Nov'!$D$27:$AH$206,'Dec'!$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MONTH(A1224),'Jan'!$D$27:$AH$206,'Feb'!$D$27:$AH$206,'Mar'!$D$27:$AH$206,'Apr'!$D$27:$AH$206,'May'!$D$27:$AH$206,'Jun'!$D$27:$AH$206,'Jul'!$D$27:$AH$206,'Aug'!$D$27:$AH$206,'Sep'!$D$27:$AH$206,'Oct'!$D$27:$AH$206,'Nov'!$D$27:$AH$206,'Dec'!$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MONTH(A1225),'Jan'!$D$27:$AH$206,'Feb'!$D$27:$AH$206,'Mar'!$D$27:$AH$206,'Apr'!$D$27:$AH$206,'May'!$D$27:$AH$206,'Jun'!$D$27:$AH$206,'Jul'!$D$27:$AH$206,'Aug'!$D$27:$AH$206,'Sep'!$D$27:$AH$206,'Oct'!$D$27:$AH$206,'Nov'!$D$27:$AH$206,'Dec'!$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MONTH(A1226),'Jan'!$D$27:$AH$206,'Feb'!$D$27:$AH$206,'Mar'!$D$27:$AH$206,'Apr'!$D$27:$AH$206,'May'!$D$27:$AH$206,'Jun'!$D$27:$AH$206,'Jul'!$D$27:$AH$206,'Aug'!$D$27:$AH$206,'Sep'!$D$27:$AH$206,'Oct'!$D$27:$AH$206,'Nov'!$D$27:$AH$206,'Dec'!$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MONTH(A1227),'Jan'!$D$27:$AH$206,'Feb'!$D$27:$AH$206,'Mar'!$D$27:$AH$206,'Apr'!$D$27:$AH$206,'May'!$D$27:$AH$206,'Jun'!$D$27:$AH$206,'Jul'!$D$27:$AH$206,'Aug'!$D$27:$AH$206,'Sep'!$D$27:$AH$206,'Oct'!$D$27:$AH$206,'Nov'!$D$27:$AH$206,'Dec'!$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MONTH(A1228),'Jan'!$D$27:$AH$206,'Feb'!$D$27:$AH$206,'Mar'!$D$27:$AH$206,'Apr'!$D$27:$AH$206,'May'!$D$27:$AH$206,'Jun'!$D$27:$AH$206,'Jul'!$D$27:$AH$206,'Aug'!$D$27:$AH$206,'Sep'!$D$27:$AH$206,'Oct'!$D$27:$AH$206,'Nov'!$D$27:$AH$206,'Dec'!$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MONTH(A1229),'Jan'!$D$27:$AH$206,'Feb'!$D$27:$AH$206,'Mar'!$D$27:$AH$206,'Apr'!$D$27:$AH$206,'May'!$D$27:$AH$206,'Jun'!$D$27:$AH$206,'Jul'!$D$27:$AH$206,'Aug'!$D$27:$AH$206,'Sep'!$D$27:$AH$206,'Oct'!$D$27:$AH$206,'Nov'!$D$27:$AH$206,'Dec'!$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MONTH(A1230),'Jan'!$D$27:$AH$206,'Feb'!$D$27:$AH$206,'Mar'!$D$27:$AH$206,'Apr'!$D$27:$AH$206,'May'!$D$27:$AH$206,'Jun'!$D$27:$AH$206,'Jul'!$D$27:$AH$206,'Aug'!$D$27:$AH$206,'Sep'!$D$27:$AH$206,'Oct'!$D$27:$AH$206,'Nov'!$D$27:$AH$206,'Dec'!$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MONTH(A1231),'Jan'!$D$27:$AH$206,'Feb'!$D$27:$AH$206,'Mar'!$D$27:$AH$206,'Apr'!$D$27:$AH$206,'May'!$D$27:$AH$206,'Jun'!$D$27:$AH$206,'Jul'!$D$27:$AH$206,'Aug'!$D$27:$AH$206,'Sep'!$D$27:$AH$206,'Oct'!$D$27:$AH$206,'Nov'!$D$27:$AH$206,'Dec'!$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MONTH(A1232),'Jan'!$D$27:$AH$206,'Feb'!$D$27:$AH$206,'Mar'!$D$27:$AH$206,'Apr'!$D$27:$AH$206,'May'!$D$27:$AH$206,'Jun'!$D$27:$AH$206,'Jul'!$D$27:$AH$206,'Aug'!$D$27:$AH$206,'Sep'!$D$27:$AH$206,'Oct'!$D$27:$AH$206,'Nov'!$D$27:$AH$206,'Dec'!$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MONTH(A1233),'Jan'!$D$27:$AH$206,'Feb'!$D$27:$AH$206,'Mar'!$D$27:$AH$206,'Apr'!$D$27:$AH$206,'May'!$D$27:$AH$206,'Jun'!$D$27:$AH$206,'Jul'!$D$27:$AH$206,'Aug'!$D$27:$AH$206,'Sep'!$D$27:$AH$206,'Oct'!$D$27:$AH$206,'Nov'!$D$27:$AH$206,'Dec'!$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MONTH(A1234),'Jan'!$D$27:$AH$206,'Feb'!$D$27:$AH$206,'Mar'!$D$27:$AH$206,'Apr'!$D$27:$AH$206,'May'!$D$27:$AH$206,'Jun'!$D$27:$AH$206,'Jul'!$D$27:$AH$206,'Aug'!$D$27:$AH$206,'Sep'!$D$27:$AH$206,'Oct'!$D$27:$AH$206,'Nov'!$D$27:$AH$206,'Dec'!$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MONTH(A1235),'Jan'!$D$27:$AH$206,'Feb'!$D$27:$AH$206,'Mar'!$D$27:$AH$206,'Apr'!$D$27:$AH$206,'May'!$D$27:$AH$206,'Jun'!$D$27:$AH$206,'Jul'!$D$27:$AH$206,'Aug'!$D$27:$AH$206,'Sep'!$D$27:$AH$206,'Oct'!$D$27:$AH$206,'Nov'!$D$27:$AH$206,'Dec'!$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MONTH(A1236),'Jan'!$D$27:$AH$206,'Feb'!$D$27:$AH$206,'Mar'!$D$27:$AH$206,'Apr'!$D$27:$AH$206,'May'!$D$27:$AH$206,'Jun'!$D$27:$AH$206,'Jul'!$D$27:$AH$206,'Aug'!$D$27:$AH$206,'Sep'!$D$27:$AH$206,'Oct'!$D$27:$AH$206,'Nov'!$D$27:$AH$206,'Dec'!$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MONTH(A1237),'Jan'!$D$27:$AH$206,'Feb'!$D$27:$AH$206,'Mar'!$D$27:$AH$206,'Apr'!$D$27:$AH$206,'May'!$D$27:$AH$206,'Jun'!$D$27:$AH$206,'Jul'!$D$27:$AH$206,'Aug'!$D$27:$AH$206,'Sep'!$D$27:$AH$206,'Oct'!$D$27:$AH$206,'Nov'!$D$27:$AH$206,'Dec'!$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MONTH(A1238),'Jan'!$D$27:$AH$206,'Feb'!$D$27:$AH$206,'Mar'!$D$27:$AH$206,'Apr'!$D$27:$AH$206,'May'!$D$27:$AH$206,'Jun'!$D$27:$AH$206,'Jul'!$D$27:$AH$206,'Aug'!$D$27:$AH$206,'Sep'!$D$27:$AH$206,'Oct'!$D$27:$AH$206,'Nov'!$D$27:$AH$206,'Dec'!$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MONTH(A1239),'Jan'!$D$27:$AH$206,'Feb'!$D$27:$AH$206,'Mar'!$D$27:$AH$206,'Apr'!$D$27:$AH$206,'May'!$D$27:$AH$206,'Jun'!$D$27:$AH$206,'Jul'!$D$27:$AH$206,'Aug'!$D$27:$AH$206,'Sep'!$D$27:$AH$206,'Oct'!$D$27:$AH$206,'Nov'!$D$27:$AH$206,'Dec'!$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MONTH(A1240),'Jan'!$D$27:$AH$206,'Feb'!$D$27:$AH$206,'Mar'!$D$27:$AH$206,'Apr'!$D$27:$AH$206,'May'!$D$27:$AH$206,'Jun'!$D$27:$AH$206,'Jul'!$D$27:$AH$206,'Aug'!$D$27:$AH$206,'Sep'!$D$27:$AH$206,'Oct'!$D$27:$AH$206,'Nov'!$D$27:$AH$206,'Dec'!$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MONTH(A1241),'Jan'!$D$27:$AH$206,'Feb'!$D$27:$AH$206,'Mar'!$D$27:$AH$206,'Apr'!$D$27:$AH$206,'May'!$D$27:$AH$206,'Jun'!$D$27:$AH$206,'Jul'!$D$27:$AH$206,'Aug'!$D$27:$AH$206,'Sep'!$D$27:$AH$206,'Oct'!$D$27:$AH$206,'Nov'!$D$27:$AH$206,'Dec'!$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MONTH(A1242),'Jan'!$D$27:$AH$206,'Feb'!$D$27:$AH$206,'Mar'!$D$27:$AH$206,'Apr'!$D$27:$AH$206,'May'!$D$27:$AH$206,'Jun'!$D$27:$AH$206,'Jul'!$D$27:$AH$206,'Aug'!$D$27:$AH$206,'Sep'!$D$27:$AH$206,'Oct'!$D$27:$AH$206,'Nov'!$D$27:$AH$206,'Dec'!$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MONTH(A1243),'Jan'!$D$27:$AH$206,'Feb'!$D$27:$AH$206,'Mar'!$D$27:$AH$206,'Apr'!$D$27:$AH$206,'May'!$D$27:$AH$206,'Jun'!$D$27:$AH$206,'Jul'!$D$27:$AH$206,'Aug'!$D$27:$AH$206,'Sep'!$D$27:$AH$206,'Oct'!$D$27:$AH$206,'Nov'!$D$27:$AH$206,'Dec'!$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MONTH(A1244),'Jan'!$D$27:$AH$206,'Feb'!$D$27:$AH$206,'Mar'!$D$27:$AH$206,'Apr'!$D$27:$AH$206,'May'!$D$27:$AH$206,'Jun'!$D$27:$AH$206,'Jul'!$D$27:$AH$206,'Aug'!$D$27:$AH$206,'Sep'!$D$27:$AH$206,'Oct'!$D$27:$AH$206,'Nov'!$D$27:$AH$206,'Dec'!$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MONTH(A1245),'Jan'!$D$27:$AH$206,'Feb'!$D$27:$AH$206,'Mar'!$D$27:$AH$206,'Apr'!$D$27:$AH$206,'May'!$D$27:$AH$206,'Jun'!$D$27:$AH$206,'Jul'!$D$27:$AH$206,'Aug'!$D$27:$AH$206,'Sep'!$D$27:$AH$206,'Oct'!$D$27:$AH$206,'Nov'!$D$27:$AH$206,'Dec'!$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MONTH(A1246),'Jan'!$D$27:$AH$206,'Feb'!$D$27:$AH$206,'Mar'!$D$27:$AH$206,'Apr'!$D$27:$AH$206,'May'!$D$27:$AH$206,'Jun'!$D$27:$AH$206,'Jul'!$D$27:$AH$206,'Aug'!$D$27:$AH$206,'Sep'!$D$27:$AH$206,'Oct'!$D$27:$AH$206,'Nov'!$D$27:$AH$206,'Dec'!$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MONTH(A1247),'Jan'!$D$27:$AH$206,'Feb'!$D$27:$AH$206,'Mar'!$D$27:$AH$206,'Apr'!$D$27:$AH$206,'May'!$D$27:$AH$206,'Jun'!$D$27:$AH$206,'Jul'!$D$27:$AH$206,'Aug'!$D$27:$AH$206,'Sep'!$D$27:$AH$206,'Oct'!$D$27:$AH$206,'Nov'!$D$27:$AH$206,'Dec'!$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MONTH(A1248),'Jan'!$D$27:$AH$206,'Feb'!$D$27:$AH$206,'Mar'!$D$27:$AH$206,'Apr'!$D$27:$AH$206,'May'!$D$27:$AH$206,'Jun'!$D$27:$AH$206,'Jul'!$D$27:$AH$206,'Aug'!$D$27:$AH$206,'Sep'!$D$27:$AH$206,'Oct'!$D$27:$AH$206,'Nov'!$D$27:$AH$206,'Dec'!$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MONTH(A1249),'Jan'!$D$27:$AH$206,'Feb'!$D$27:$AH$206,'Mar'!$D$27:$AH$206,'Apr'!$D$27:$AH$206,'May'!$D$27:$AH$206,'Jun'!$D$27:$AH$206,'Jul'!$D$27:$AH$206,'Aug'!$D$27:$AH$206,'Sep'!$D$27:$AH$206,'Oct'!$D$27:$AH$206,'Nov'!$D$27:$AH$206,'Dec'!$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MONTH(A1250),'Jan'!$D$27:$AH$206,'Feb'!$D$27:$AH$206,'Mar'!$D$27:$AH$206,'Apr'!$D$27:$AH$206,'May'!$D$27:$AH$206,'Jun'!$D$27:$AH$206,'Jul'!$D$27:$AH$206,'Aug'!$D$27:$AH$206,'Sep'!$D$27:$AH$206,'Oct'!$D$27:$AH$206,'Nov'!$D$27:$AH$206,'Dec'!$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MONTH(A1251),'Jan'!$D$27:$AH$206,'Feb'!$D$27:$AH$206,'Mar'!$D$27:$AH$206,'Apr'!$D$27:$AH$206,'May'!$D$27:$AH$206,'Jun'!$D$27:$AH$206,'Jul'!$D$27:$AH$206,'Aug'!$D$27:$AH$206,'Sep'!$D$27:$AH$206,'Oct'!$D$27:$AH$206,'Nov'!$D$27:$AH$206,'Dec'!$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MONTH(A1252),'Jan'!$D$27:$AH$206,'Feb'!$D$27:$AH$206,'Mar'!$D$27:$AH$206,'Apr'!$D$27:$AH$206,'May'!$D$27:$AH$206,'Jun'!$D$27:$AH$206,'Jul'!$D$27:$AH$206,'Aug'!$D$27:$AH$206,'Sep'!$D$27:$AH$206,'Oct'!$D$27:$AH$206,'Nov'!$D$27:$AH$206,'Dec'!$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MONTH(A1253),'Jan'!$D$27:$AH$206,'Feb'!$D$27:$AH$206,'Mar'!$D$27:$AH$206,'Apr'!$D$27:$AH$206,'May'!$D$27:$AH$206,'Jun'!$D$27:$AH$206,'Jul'!$D$27:$AH$206,'Aug'!$D$27:$AH$206,'Sep'!$D$27:$AH$206,'Oct'!$D$27:$AH$206,'Nov'!$D$27:$AH$206,'Dec'!$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MONTH(A1254),'Jan'!$D$27:$AH$206,'Feb'!$D$27:$AH$206,'Mar'!$D$27:$AH$206,'Apr'!$D$27:$AH$206,'May'!$D$27:$AH$206,'Jun'!$D$27:$AH$206,'Jul'!$D$27:$AH$206,'Aug'!$D$27:$AH$206,'Sep'!$D$27:$AH$206,'Oct'!$D$27:$AH$206,'Nov'!$D$27:$AH$206,'Dec'!$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MONTH(A1255),'Jan'!$D$27:$AH$206,'Feb'!$D$27:$AH$206,'Mar'!$D$27:$AH$206,'Apr'!$D$27:$AH$206,'May'!$D$27:$AH$206,'Jun'!$D$27:$AH$206,'Jul'!$D$27:$AH$206,'Aug'!$D$27:$AH$206,'Sep'!$D$27:$AH$206,'Oct'!$D$27:$AH$206,'Nov'!$D$27:$AH$206,'Dec'!$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MONTH(A1256),'Jan'!$D$27:$AH$206,'Feb'!$D$27:$AH$206,'Mar'!$D$27:$AH$206,'Apr'!$D$27:$AH$206,'May'!$D$27:$AH$206,'Jun'!$D$27:$AH$206,'Jul'!$D$27:$AH$206,'Aug'!$D$27:$AH$206,'Sep'!$D$27:$AH$206,'Oct'!$D$27:$AH$206,'Nov'!$D$27:$AH$206,'Dec'!$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MONTH(A1257),'Jan'!$D$27:$AH$206,'Feb'!$D$27:$AH$206,'Mar'!$D$27:$AH$206,'Apr'!$D$27:$AH$206,'May'!$D$27:$AH$206,'Jun'!$D$27:$AH$206,'Jul'!$D$27:$AH$206,'Aug'!$D$27:$AH$206,'Sep'!$D$27:$AH$206,'Oct'!$D$27:$AH$206,'Nov'!$D$27:$AH$206,'Dec'!$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MONTH(A1258),'Jan'!$D$27:$AH$206,'Feb'!$D$27:$AH$206,'Mar'!$D$27:$AH$206,'Apr'!$D$27:$AH$206,'May'!$D$27:$AH$206,'Jun'!$D$27:$AH$206,'Jul'!$D$27:$AH$206,'Aug'!$D$27:$AH$206,'Sep'!$D$27:$AH$206,'Oct'!$D$27:$AH$206,'Nov'!$D$27:$AH$206,'Dec'!$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MONTH(A1259),'Jan'!$D$27:$AH$206,'Feb'!$D$27:$AH$206,'Mar'!$D$27:$AH$206,'Apr'!$D$27:$AH$206,'May'!$D$27:$AH$206,'Jun'!$D$27:$AH$206,'Jul'!$D$27:$AH$206,'Aug'!$D$27:$AH$206,'Sep'!$D$27:$AH$206,'Oct'!$D$27:$AH$206,'Nov'!$D$27:$AH$206,'Dec'!$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MONTH(A1260),'Jan'!$D$27:$AH$206,'Feb'!$D$27:$AH$206,'Mar'!$D$27:$AH$206,'Apr'!$D$27:$AH$206,'May'!$D$27:$AH$206,'Jun'!$D$27:$AH$206,'Jul'!$D$27:$AH$206,'Aug'!$D$27:$AH$206,'Sep'!$D$27:$AH$206,'Oct'!$D$27:$AH$206,'Nov'!$D$27:$AH$206,'Dec'!$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MONTH(A1261),'Jan'!$D$27:$AH$206,'Feb'!$D$27:$AH$206,'Mar'!$D$27:$AH$206,'Apr'!$D$27:$AH$206,'May'!$D$27:$AH$206,'Jun'!$D$27:$AH$206,'Jul'!$D$27:$AH$206,'Aug'!$D$27:$AH$206,'Sep'!$D$27:$AH$206,'Oct'!$D$27:$AH$206,'Nov'!$D$27:$AH$206,'Dec'!$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MONTH(A1262),'Jan'!$D$27:$AH$206,'Feb'!$D$27:$AH$206,'Mar'!$D$27:$AH$206,'Apr'!$D$27:$AH$206,'May'!$D$27:$AH$206,'Jun'!$D$27:$AH$206,'Jul'!$D$27:$AH$206,'Aug'!$D$27:$AH$206,'Sep'!$D$27:$AH$206,'Oct'!$D$27:$AH$206,'Nov'!$D$27:$AH$206,'Dec'!$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MONTH(A1263),'Jan'!$D$27:$AH$206,'Feb'!$D$27:$AH$206,'Mar'!$D$27:$AH$206,'Apr'!$D$27:$AH$206,'May'!$D$27:$AH$206,'Jun'!$D$27:$AH$206,'Jul'!$D$27:$AH$206,'Aug'!$D$27:$AH$206,'Sep'!$D$27:$AH$206,'Oct'!$D$27:$AH$206,'Nov'!$D$27:$AH$206,'Dec'!$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MONTH(A1264),'Jan'!$D$27:$AH$206,'Feb'!$D$27:$AH$206,'Mar'!$D$27:$AH$206,'Apr'!$D$27:$AH$206,'May'!$D$27:$AH$206,'Jun'!$D$27:$AH$206,'Jul'!$D$27:$AH$206,'Aug'!$D$27:$AH$206,'Sep'!$D$27:$AH$206,'Oct'!$D$27:$AH$206,'Nov'!$D$27:$AH$206,'Dec'!$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MONTH(A1265),'Jan'!$D$27:$AH$206,'Feb'!$D$27:$AH$206,'Mar'!$D$27:$AH$206,'Apr'!$D$27:$AH$206,'May'!$D$27:$AH$206,'Jun'!$D$27:$AH$206,'Jul'!$D$27:$AH$206,'Aug'!$D$27:$AH$206,'Sep'!$D$27:$AH$206,'Oct'!$D$27:$AH$206,'Nov'!$D$27:$AH$206,'Dec'!$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MONTH(A1266),'Jan'!$D$27:$AH$206,'Feb'!$D$27:$AH$206,'Mar'!$D$27:$AH$206,'Apr'!$D$27:$AH$206,'May'!$D$27:$AH$206,'Jun'!$D$27:$AH$206,'Jul'!$D$27:$AH$206,'Aug'!$D$27:$AH$206,'Sep'!$D$27:$AH$206,'Oct'!$D$27:$AH$206,'Nov'!$D$27:$AH$206,'Dec'!$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MONTH(A1267),'Jan'!$D$27:$AH$206,'Feb'!$D$27:$AH$206,'Mar'!$D$27:$AH$206,'Apr'!$D$27:$AH$206,'May'!$D$27:$AH$206,'Jun'!$D$27:$AH$206,'Jul'!$D$27:$AH$206,'Aug'!$D$27:$AH$206,'Sep'!$D$27:$AH$206,'Oct'!$D$27:$AH$206,'Nov'!$D$27:$AH$206,'Dec'!$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MONTH(A1268),'Jan'!$D$27:$AH$206,'Feb'!$D$27:$AH$206,'Mar'!$D$27:$AH$206,'Apr'!$D$27:$AH$206,'May'!$D$27:$AH$206,'Jun'!$D$27:$AH$206,'Jul'!$D$27:$AH$206,'Aug'!$D$27:$AH$206,'Sep'!$D$27:$AH$206,'Oct'!$D$27:$AH$206,'Nov'!$D$27:$AH$206,'Dec'!$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MONTH(A1269),'Jan'!$D$27:$AH$206,'Feb'!$D$27:$AH$206,'Mar'!$D$27:$AH$206,'Apr'!$D$27:$AH$206,'May'!$D$27:$AH$206,'Jun'!$D$27:$AH$206,'Jul'!$D$27:$AH$206,'Aug'!$D$27:$AH$206,'Sep'!$D$27:$AH$206,'Oct'!$D$27:$AH$206,'Nov'!$D$27:$AH$206,'Dec'!$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MONTH(A1270),'Jan'!$D$27:$AH$206,'Feb'!$D$27:$AH$206,'Mar'!$D$27:$AH$206,'Apr'!$D$27:$AH$206,'May'!$D$27:$AH$206,'Jun'!$D$27:$AH$206,'Jul'!$D$27:$AH$206,'Aug'!$D$27:$AH$206,'Sep'!$D$27:$AH$206,'Oct'!$D$27:$AH$206,'Nov'!$D$27:$AH$206,'Dec'!$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MONTH(A1271),'Jan'!$D$27:$AH$206,'Feb'!$D$27:$AH$206,'Mar'!$D$27:$AH$206,'Apr'!$D$27:$AH$206,'May'!$D$27:$AH$206,'Jun'!$D$27:$AH$206,'Jul'!$D$27:$AH$206,'Aug'!$D$27:$AH$206,'Sep'!$D$27:$AH$206,'Oct'!$D$27:$AH$206,'Nov'!$D$27:$AH$206,'Dec'!$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MONTH(A1272),'Jan'!$D$27:$AH$206,'Feb'!$D$27:$AH$206,'Mar'!$D$27:$AH$206,'Apr'!$D$27:$AH$206,'May'!$D$27:$AH$206,'Jun'!$D$27:$AH$206,'Jul'!$D$27:$AH$206,'Aug'!$D$27:$AH$206,'Sep'!$D$27:$AH$206,'Oct'!$D$27:$AH$206,'Nov'!$D$27:$AH$206,'Dec'!$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MONTH(A1273),'Jan'!$D$27:$AH$206,'Feb'!$D$27:$AH$206,'Mar'!$D$27:$AH$206,'Apr'!$D$27:$AH$206,'May'!$D$27:$AH$206,'Jun'!$D$27:$AH$206,'Jul'!$D$27:$AH$206,'Aug'!$D$27:$AH$206,'Sep'!$D$27:$AH$206,'Oct'!$D$27:$AH$206,'Nov'!$D$27:$AH$206,'Dec'!$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MONTH(A1274),'Jan'!$D$27:$AH$206,'Feb'!$D$27:$AH$206,'Mar'!$D$27:$AH$206,'Apr'!$D$27:$AH$206,'May'!$D$27:$AH$206,'Jun'!$D$27:$AH$206,'Jul'!$D$27:$AH$206,'Aug'!$D$27:$AH$206,'Sep'!$D$27:$AH$206,'Oct'!$D$27:$AH$206,'Nov'!$D$27:$AH$206,'Dec'!$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MONTH(A1275),'Jan'!$D$27:$AH$206,'Feb'!$D$27:$AH$206,'Mar'!$D$27:$AH$206,'Apr'!$D$27:$AH$206,'May'!$D$27:$AH$206,'Jun'!$D$27:$AH$206,'Jul'!$D$27:$AH$206,'Aug'!$D$27:$AH$206,'Sep'!$D$27:$AH$206,'Oct'!$D$27:$AH$206,'Nov'!$D$27:$AH$206,'Dec'!$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MONTH(A1276),'Jan'!$D$27:$AH$206,'Feb'!$D$27:$AH$206,'Mar'!$D$27:$AH$206,'Apr'!$D$27:$AH$206,'May'!$D$27:$AH$206,'Jun'!$D$27:$AH$206,'Jul'!$D$27:$AH$206,'Aug'!$D$27:$AH$206,'Sep'!$D$27:$AH$206,'Oct'!$D$27:$AH$206,'Nov'!$D$27:$AH$206,'Dec'!$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MONTH(A1277),'Jan'!$D$27:$AH$206,'Feb'!$D$27:$AH$206,'Mar'!$D$27:$AH$206,'Apr'!$D$27:$AH$206,'May'!$D$27:$AH$206,'Jun'!$D$27:$AH$206,'Jul'!$D$27:$AH$206,'Aug'!$D$27:$AH$206,'Sep'!$D$27:$AH$206,'Oct'!$D$27:$AH$206,'Nov'!$D$27:$AH$206,'Dec'!$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MONTH(A1278),'Jan'!$D$27:$AH$206,'Feb'!$D$27:$AH$206,'Mar'!$D$27:$AH$206,'Apr'!$D$27:$AH$206,'May'!$D$27:$AH$206,'Jun'!$D$27:$AH$206,'Jul'!$D$27:$AH$206,'Aug'!$D$27:$AH$206,'Sep'!$D$27:$AH$206,'Oct'!$D$27:$AH$206,'Nov'!$D$27:$AH$206,'Dec'!$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MONTH(A1279),'Jan'!$D$27:$AH$206,'Feb'!$D$27:$AH$206,'Mar'!$D$27:$AH$206,'Apr'!$D$27:$AH$206,'May'!$D$27:$AH$206,'Jun'!$D$27:$AH$206,'Jul'!$D$27:$AH$206,'Aug'!$D$27:$AH$206,'Sep'!$D$27:$AH$206,'Oct'!$D$27:$AH$206,'Nov'!$D$27:$AH$206,'Dec'!$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MONTH(A1280),'Jan'!$D$27:$AH$206,'Feb'!$D$27:$AH$206,'Mar'!$D$27:$AH$206,'Apr'!$D$27:$AH$206,'May'!$D$27:$AH$206,'Jun'!$D$27:$AH$206,'Jul'!$D$27:$AH$206,'Aug'!$D$27:$AH$206,'Sep'!$D$27:$AH$206,'Oct'!$D$27:$AH$206,'Nov'!$D$27:$AH$206,'Dec'!$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MONTH(A1281),'Jan'!$D$27:$AH$206,'Feb'!$D$27:$AH$206,'Mar'!$D$27:$AH$206,'Apr'!$D$27:$AH$206,'May'!$D$27:$AH$206,'Jun'!$D$27:$AH$206,'Jul'!$D$27:$AH$206,'Aug'!$D$27:$AH$206,'Sep'!$D$27:$AH$206,'Oct'!$D$27:$AH$206,'Nov'!$D$27:$AH$206,'Dec'!$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MONTH(A1282),'Jan'!$D$27:$AH$206,'Feb'!$D$27:$AH$206,'Mar'!$D$27:$AH$206,'Apr'!$D$27:$AH$206,'May'!$D$27:$AH$206,'Jun'!$D$27:$AH$206,'Jul'!$D$27:$AH$206,'Aug'!$D$27:$AH$206,'Sep'!$D$27:$AH$206,'Oct'!$D$27:$AH$206,'Nov'!$D$27:$AH$206,'Dec'!$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MONTH(A1283),'Jan'!$D$27:$AH$206,'Feb'!$D$27:$AH$206,'Mar'!$D$27:$AH$206,'Apr'!$D$27:$AH$206,'May'!$D$27:$AH$206,'Jun'!$D$27:$AH$206,'Jul'!$D$27:$AH$206,'Aug'!$D$27:$AH$206,'Sep'!$D$27:$AH$206,'Oct'!$D$27:$AH$206,'Nov'!$D$27:$AH$206,'Dec'!$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MONTH(A1284),'Jan'!$D$27:$AH$206,'Feb'!$D$27:$AH$206,'Mar'!$D$27:$AH$206,'Apr'!$D$27:$AH$206,'May'!$D$27:$AH$206,'Jun'!$D$27:$AH$206,'Jul'!$D$27:$AH$206,'Aug'!$D$27:$AH$206,'Sep'!$D$27:$AH$206,'Oct'!$D$27:$AH$206,'Nov'!$D$27:$AH$206,'Dec'!$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MONTH(A1285),'Jan'!$D$27:$AH$206,'Feb'!$D$27:$AH$206,'Mar'!$D$27:$AH$206,'Apr'!$D$27:$AH$206,'May'!$D$27:$AH$206,'Jun'!$D$27:$AH$206,'Jul'!$D$27:$AH$206,'Aug'!$D$27:$AH$206,'Sep'!$D$27:$AH$206,'Oct'!$D$27:$AH$206,'Nov'!$D$27:$AH$206,'Dec'!$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MONTH(A1286),'Jan'!$D$27:$AH$206,'Feb'!$D$27:$AH$206,'Mar'!$D$27:$AH$206,'Apr'!$D$27:$AH$206,'May'!$D$27:$AH$206,'Jun'!$D$27:$AH$206,'Jul'!$D$27:$AH$206,'Aug'!$D$27:$AH$206,'Sep'!$D$27:$AH$206,'Oct'!$D$27:$AH$206,'Nov'!$D$27:$AH$206,'Dec'!$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MONTH(A1287),'Jan'!$D$27:$AH$206,'Feb'!$D$27:$AH$206,'Mar'!$D$27:$AH$206,'Apr'!$D$27:$AH$206,'May'!$D$27:$AH$206,'Jun'!$D$27:$AH$206,'Jul'!$D$27:$AH$206,'Aug'!$D$27:$AH$206,'Sep'!$D$27:$AH$206,'Oct'!$D$27:$AH$206,'Nov'!$D$27:$AH$206,'Dec'!$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MONTH(A1288),'Jan'!$D$27:$AH$206,'Feb'!$D$27:$AH$206,'Mar'!$D$27:$AH$206,'Apr'!$D$27:$AH$206,'May'!$D$27:$AH$206,'Jun'!$D$27:$AH$206,'Jul'!$D$27:$AH$206,'Aug'!$D$27:$AH$206,'Sep'!$D$27:$AH$206,'Oct'!$D$27:$AH$206,'Nov'!$D$27:$AH$206,'Dec'!$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MONTH(A1289),'Jan'!$D$27:$AH$206,'Feb'!$D$27:$AH$206,'Mar'!$D$27:$AH$206,'Apr'!$D$27:$AH$206,'May'!$D$27:$AH$206,'Jun'!$D$27:$AH$206,'Jul'!$D$27:$AH$206,'Aug'!$D$27:$AH$206,'Sep'!$D$27:$AH$206,'Oct'!$D$27:$AH$206,'Nov'!$D$27:$AH$206,'Dec'!$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MONTH(A1290),'Jan'!$D$27:$AH$206,'Feb'!$D$27:$AH$206,'Mar'!$D$27:$AH$206,'Apr'!$D$27:$AH$206,'May'!$D$27:$AH$206,'Jun'!$D$27:$AH$206,'Jul'!$D$27:$AH$206,'Aug'!$D$27:$AH$206,'Sep'!$D$27:$AH$206,'Oct'!$D$27:$AH$206,'Nov'!$D$27:$AH$206,'Dec'!$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MONTH(A1291),'Jan'!$D$27:$AH$206,'Feb'!$D$27:$AH$206,'Mar'!$D$27:$AH$206,'Apr'!$D$27:$AH$206,'May'!$D$27:$AH$206,'Jun'!$D$27:$AH$206,'Jul'!$D$27:$AH$206,'Aug'!$D$27:$AH$206,'Sep'!$D$27:$AH$206,'Oct'!$D$27:$AH$206,'Nov'!$D$27:$AH$206,'Dec'!$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MONTH(A1292),'Jan'!$D$27:$AH$206,'Feb'!$D$27:$AH$206,'Mar'!$D$27:$AH$206,'Apr'!$D$27:$AH$206,'May'!$D$27:$AH$206,'Jun'!$D$27:$AH$206,'Jul'!$D$27:$AH$206,'Aug'!$D$27:$AH$206,'Sep'!$D$27:$AH$206,'Oct'!$D$27:$AH$206,'Nov'!$D$27:$AH$206,'Dec'!$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MONTH(A1293),'Jan'!$D$27:$AH$206,'Feb'!$D$27:$AH$206,'Mar'!$D$27:$AH$206,'Apr'!$D$27:$AH$206,'May'!$D$27:$AH$206,'Jun'!$D$27:$AH$206,'Jul'!$D$27:$AH$206,'Aug'!$D$27:$AH$206,'Sep'!$D$27:$AH$206,'Oct'!$D$27:$AH$206,'Nov'!$D$27:$AH$206,'Dec'!$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MONTH(A1294),'Jan'!$D$27:$AH$206,'Feb'!$D$27:$AH$206,'Mar'!$D$27:$AH$206,'Apr'!$D$27:$AH$206,'May'!$D$27:$AH$206,'Jun'!$D$27:$AH$206,'Jul'!$D$27:$AH$206,'Aug'!$D$27:$AH$206,'Sep'!$D$27:$AH$206,'Oct'!$D$27:$AH$206,'Nov'!$D$27:$AH$206,'Dec'!$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MONTH(A1295),'Jan'!$D$27:$AH$206,'Feb'!$D$27:$AH$206,'Mar'!$D$27:$AH$206,'Apr'!$D$27:$AH$206,'May'!$D$27:$AH$206,'Jun'!$D$27:$AH$206,'Jul'!$D$27:$AH$206,'Aug'!$D$27:$AH$206,'Sep'!$D$27:$AH$206,'Oct'!$D$27:$AH$206,'Nov'!$D$27:$AH$206,'Dec'!$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MONTH(A1296),'Jan'!$D$27:$AH$206,'Feb'!$D$27:$AH$206,'Mar'!$D$27:$AH$206,'Apr'!$D$27:$AH$206,'May'!$D$27:$AH$206,'Jun'!$D$27:$AH$206,'Jul'!$D$27:$AH$206,'Aug'!$D$27:$AH$206,'Sep'!$D$27:$AH$206,'Oct'!$D$27:$AH$206,'Nov'!$D$27:$AH$206,'Dec'!$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MONTH(A1297),'Jan'!$D$27:$AH$206,'Feb'!$D$27:$AH$206,'Mar'!$D$27:$AH$206,'Apr'!$D$27:$AH$206,'May'!$D$27:$AH$206,'Jun'!$D$27:$AH$206,'Jul'!$D$27:$AH$206,'Aug'!$D$27:$AH$206,'Sep'!$D$27:$AH$206,'Oct'!$D$27:$AH$206,'Nov'!$D$27:$AH$206,'Dec'!$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MONTH(A1298),'Jan'!$D$27:$AH$206,'Feb'!$D$27:$AH$206,'Mar'!$D$27:$AH$206,'Apr'!$D$27:$AH$206,'May'!$D$27:$AH$206,'Jun'!$D$27:$AH$206,'Jul'!$D$27:$AH$206,'Aug'!$D$27:$AH$206,'Sep'!$D$27:$AH$206,'Oct'!$D$27:$AH$206,'Nov'!$D$27:$AH$206,'Dec'!$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MONTH(A1299),'Jan'!$D$27:$AH$206,'Feb'!$D$27:$AH$206,'Mar'!$D$27:$AH$206,'Apr'!$D$27:$AH$206,'May'!$D$27:$AH$206,'Jun'!$D$27:$AH$206,'Jul'!$D$27:$AH$206,'Aug'!$D$27:$AH$206,'Sep'!$D$27:$AH$206,'Oct'!$D$27:$AH$206,'Nov'!$D$27:$AH$206,'Dec'!$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MONTH(A1300),'Jan'!$D$27:$AH$206,'Feb'!$D$27:$AH$206,'Mar'!$D$27:$AH$206,'Apr'!$D$27:$AH$206,'May'!$D$27:$AH$206,'Jun'!$D$27:$AH$206,'Jul'!$D$27:$AH$206,'Aug'!$D$27:$AH$206,'Sep'!$D$27:$AH$206,'Oct'!$D$27:$AH$206,'Nov'!$D$27:$AH$206,'Dec'!$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MONTH(A1301),'Jan'!$D$27:$AH$206,'Feb'!$D$27:$AH$206,'Mar'!$D$27:$AH$206,'Apr'!$D$27:$AH$206,'May'!$D$27:$AH$206,'Jun'!$D$27:$AH$206,'Jul'!$D$27:$AH$206,'Aug'!$D$27:$AH$206,'Sep'!$D$27:$AH$206,'Oct'!$D$27:$AH$206,'Nov'!$D$27:$AH$206,'Dec'!$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MONTH(A1302),'Jan'!$D$27:$AH$206,'Feb'!$D$27:$AH$206,'Mar'!$D$27:$AH$206,'Apr'!$D$27:$AH$206,'May'!$D$27:$AH$206,'Jun'!$D$27:$AH$206,'Jul'!$D$27:$AH$206,'Aug'!$D$27:$AH$206,'Sep'!$D$27:$AH$206,'Oct'!$D$27:$AH$206,'Nov'!$D$27:$AH$206,'Dec'!$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MONTH(A1303),'Jan'!$D$27:$AH$206,'Feb'!$D$27:$AH$206,'Mar'!$D$27:$AH$206,'Apr'!$D$27:$AH$206,'May'!$D$27:$AH$206,'Jun'!$D$27:$AH$206,'Jul'!$D$27:$AH$206,'Aug'!$D$27:$AH$206,'Sep'!$D$27:$AH$206,'Oct'!$D$27:$AH$206,'Nov'!$D$27:$AH$206,'Dec'!$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MONTH(A1304),'Jan'!$D$27:$AH$206,'Feb'!$D$27:$AH$206,'Mar'!$D$27:$AH$206,'Apr'!$D$27:$AH$206,'May'!$D$27:$AH$206,'Jun'!$D$27:$AH$206,'Jul'!$D$27:$AH$206,'Aug'!$D$27:$AH$206,'Sep'!$D$27:$AH$206,'Oct'!$D$27:$AH$206,'Nov'!$D$27:$AH$206,'Dec'!$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MONTH(A1305),'Jan'!$D$27:$AH$206,'Feb'!$D$27:$AH$206,'Mar'!$D$27:$AH$206,'Apr'!$D$27:$AH$206,'May'!$D$27:$AH$206,'Jun'!$D$27:$AH$206,'Jul'!$D$27:$AH$206,'Aug'!$D$27:$AH$206,'Sep'!$D$27:$AH$206,'Oct'!$D$27:$AH$206,'Nov'!$D$27:$AH$206,'Dec'!$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MONTH(A1306),'Jan'!$D$27:$AH$206,'Feb'!$D$27:$AH$206,'Mar'!$D$27:$AH$206,'Apr'!$D$27:$AH$206,'May'!$D$27:$AH$206,'Jun'!$D$27:$AH$206,'Jul'!$D$27:$AH$206,'Aug'!$D$27:$AH$206,'Sep'!$D$27:$AH$206,'Oct'!$D$27:$AH$206,'Nov'!$D$27:$AH$206,'Dec'!$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MONTH(A1307),'Jan'!$D$27:$AH$206,'Feb'!$D$27:$AH$206,'Mar'!$D$27:$AH$206,'Apr'!$D$27:$AH$206,'May'!$D$27:$AH$206,'Jun'!$D$27:$AH$206,'Jul'!$D$27:$AH$206,'Aug'!$D$27:$AH$206,'Sep'!$D$27:$AH$206,'Oct'!$D$27:$AH$206,'Nov'!$D$27:$AH$206,'Dec'!$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MONTH(A1308),'Jan'!$D$27:$AH$206,'Feb'!$D$27:$AH$206,'Mar'!$D$27:$AH$206,'Apr'!$D$27:$AH$206,'May'!$D$27:$AH$206,'Jun'!$D$27:$AH$206,'Jul'!$D$27:$AH$206,'Aug'!$D$27:$AH$206,'Sep'!$D$27:$AH$206,'Oct'!$D$27:$AH$206,'Nov'!$D$27:$AH$206,'Dec'!$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MONTH(A1309),'Jan'!$D$27:$AH$206,'Feb'!$D$27:$AH$206,'Mar'!$D$27:$AH$206,'Apr'!$D$27:$AH$206,'May'!$D$27:$AH$206,'Jun'!$D$27:$AH$206,'Jul'!$D$27:$AH$206,'Aug'!$D$27:$AH$206,'Sep'!$D$27:$AH$206,'Oct'!$D$27:$AH$206,'Nov'!$D$27:$AH$206,'Dec'!$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MONTH(A1310),'Jan'!$D$27:$AH$206,'Feb'!$D$27:$AH$206,'Mar'!$D$27:$AH$206,'Apr'!$D$27:$AH$206,'May'!$D$27:$AH$206,'Jun'!$D$27:$AH$206,'Jul'!$D$27:$AH$206,'Aug'!$D$27:$AH$206,'Sep'!$D$27:$AH$206,'Oct'!$D$27:$AH$206,'Nov'!$D$27:$AH$206,'Dec'!$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MONTH(A1311),'Jan'!$D$27:$AH$206,'Feb'!$D$27:$AH$206,'Mar'!$D$27:$AH$206,'Apr'!$D$27:$AH$206,'May'!$D$27:$AH$206,'Jun'!$D$27:$AH$206,'Jul'!$D$27:$AH$206,'Aug'!$D$27:$AH$206,'Sep'!$D$27:$AH$206,'Oct'!$D$27:$AH$206,'Nov'!$D$27:$AH$206,'Dec'!$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MONTH(A1312),'Jan'!$D$27:$AH$206,'Feb'!$D$27:$AH$206,'Mar'!$D$27:$AH$206,'Apr'!$D$27:$AH$206,'May'!$D$27:$AH$206,'Jun'!$D$27:$AH$206,'Jul'!$D$27:$AH$206,'Aug'!$D$27:$AH$206,'Sep'!$D$27:$AH$206,'Oct'!$D$27:$AH$206,'Nov'!$D$27:$AH$206,'Dec'!$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MONTH(A1313),'Jan'!$D$27:$AH$206,'Feb'!$D$27:$AH$206,'Mar'!$D$27:$AH$206,'Apr'!$D$27:$AH$206,'May'!$D$27:$AH$206,'Jun'!$D$27:$AH$206,'Jul'!$D$27:$AH$206,'Aug'!$D$27:$AH$206,'Sep'!$D$27:$AH$206,'Oct'!$D$27:$AH$206,'Nov'!$D$27:$AH$206,'Dec'!$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MONTH(A1314),'Jan'!$D$27:$AH$206,'Feb'!$D$27:$AH$206,'Mar'!$D$27:$AH$206,'Apr'!$D$27:$AH$206,'May'!$D$27:$AH$206,'Jun'!$D$27:$AH$206,'Jul'!$D$27:$AH$206,'Aug'!$D$27:$AH$206,'Sep'!$D$27:$AH$206,'Oct'!$D$27:$AH$206,'Nov'!$D$27:$AH$206,'Dec'!$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MONTH(A1315),'Jan'!$D$27:$AH$206,'Feb'!$D$27:$AH$206,'Mar'!$D$27:$AH$206,'Apr'!$D$27:$AH$206,'May'!$D$27:$AH$206,'Jun'!$D$27:$AH$206,'Jul'!$D$27:$AH$206,'Aug'!$D$27:$AH$206,'Sep'!$D$27:$AH$206,'Oct'!$D$27:$AH$206,'Nov'!$D$27:$AH$206,'Dec'!$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MONTH(A1316),'Jan'!$D$27:$AH$206,'Feb'!$D$27:$AH$206,'Mar'!$D$27:$AH$206,'Apr'!$D$27:$AH$206,'May'!$D$27:$AH$206,'Jun'!$D$27:$AH$206,'Jul'!$D$27:$AH$206,'Aug'!$D$27:$AH$206,'Sep'!$D$27:$AH$206,'Oct'!$D$27:$AH$206,'Nov'!$D$27:$AH$206,'Dec'!$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MONTH(A1317),'Jan'!$D$27:$AH$206,'Feb'!$D$27:$AH$206,'Mar'!$D$27:$AH$206,'Apr'!$D$27:$AH$206,'May'!$D$27:$AH$206,'Jun'!$D$27:$AH$206,'Jul'!$D$27:$AH$206,'Aug'!$D$27:$AH$206,'Sep'!$D$27:$AH$206,'Oct'!$D$27:$AH$206,'Nov'!$D$27:$AH$206,'Dec'!$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MONTH(A1318),'Jan'!$D$27:$AH$206,'Feb'!$D$27:$AH$206,'Mar'!$D$27:$AH$206,'Apr'!$D$27:$AH$206,'May'!$D$27:$AH$206,'Jun'!$D$27:$AH$206,'Jul'!$D$27:$AH$206,'Aug'!$D$27:$AH$206,'Sep'!$D$27:$AH$206,'Oct'!$D$27:$AH$206,'Nov'!$D$27:$AH$206,'Dec'!$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MONTH(A1319),'Jan'!$D$27:$AH$206,'Feb'!$D$27:$AH$206,'Mar'!$D$27:$AH$206,'Apr'!$D$27:$AH$206,'May'!$D$27:$AH$206,'Jun'!$D$27:$AH$206,'Jul'!$D$27:$AH$206,'Aug'!$D$27:$AH$206,'Sep'!$D$27:$AH$206,'Oct'!$D$27:$AH$206,'Nov'!$D$27:$AH$206,'Dec'!$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MONTH(A1320),'Jan'!$D$27:$AH$206,'Feb'!$D$27:$AH$206,'Mar'!$D$27:$AH$206,'Apr'!$D$27:$AH$206,'May'!$D$27:$AH$206,'Jun'!$D$27:$AH$206,'Jul'!$D$27:$AH$206,'Aug'!$D$27:$AH$206,'Sep'!$D$27:$AH$206,'Oct'!$D$27:$AH$206,'Nov'!$D$27:$AH$206,'Dec'!$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MONTH(A1321),'Jan'!$D$27:$AH$206,'Feb'!$D$27:$AH$206,'Mar'!$D$27:$AH$206,'Apr'!$D$27:$AH$206,'May'!$D$27:$AH$206,'Jun'!$D$27:$AH$206,'Jul'!$D$27:$AH$206,'Aug'!$D$27:$AH$206,'Sep'!$D$27:$AH$206,'Oct'!$D$27:$AH$206,'Nov'!$D$27:$AH$206,'Dec'!$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MONTH(A1322),'Jan'!$D$27:$AH$206,'Feb'!$D$27:$AH$206,'Mar'!$D$27:$AH$206,'Apr'!$D$27:$AH$206,'May'!$D$27:$AH$206,'Jun'!$D$27:$AH$206,'Jul'!$D$27:$AH$206,'Aug'!$D$27:$AH$206,'Sep'!$D$27:$AH$206,'Oct'!$D$27:$AH$206,'Nov'!$D$27:$AH$206,'Dec'!$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MONTH(A1323),'Jan'!$D$27:$AH$206,'Feb'!$D$27:$AH$206,'Mar'!$D$27:$AH$206,'Apr'!$D$27:$AH$206,'May'!$D$27:$AH$206,'Jun'!$D$27:$AH$206,'Jul'!$D$27:$AH$206,'Aug'!$D$27:$AH$206,'Sep'!$D$27:$AH$206,'Oct'!$D$27:$AH$206,'Nov'!$D$27:$AH$206,'Dec'!$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MONTH(A1324),'Jan'!$D$27:$AH$206,'Feb'!$D$27:$AH$206,'Mar'!$D$27:$AH$206,'Apr'!$D$27:$AH$206,'May'!$D$27:$AH$206,'Jun'!$D$27:$AH$206,'Jul'!$D$27:$AH$206,'Aug'!$D$27:$AH$206,'Sep'!$D$27:$AH$206,'Oct'!$D$27:$AH$206,'Nov'!$D$27:$AH$206,'Dec'!$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MONTH(A1325),'Jan'!$D$27:$AH$206,'Feb'!$D$27:$AH$206,'Mar'!$D$27:$AH$206,'Apr'!$D$27:$AH$206,'May'!$D$27:$AH$206,'Jun'!$D$27:$AH$206,'Jul'!$D$27:$AH$206,'Aug'!$D$27:$AH$206,'Sep'!$D$27:$AH$206,'Oct'!$D$27:$AH$206,'Nov'!$D$27:$AH$206,'Dec'!$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MONTH(A1326),'Jan'!$D$27:$AH$206,'Feb'!$D$27:$AH$206,'Mar'!$D$27:$AH$206,'Apr'!$D$27:$AH$206,'May'!$D$27:$AH$206,'Jun'!$D$27:$AH$206,'Jul'!$D$27:$AH$206,'Aug'!$D$27:$AH$206,'Sep'!$D$27:$AH$206,'Oct'!$D$27:$AH$206,'Nov'!$D$27:$AH$206,'Dec'!$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MONTH(A1327),'Jan'!$D$27:$AH$206,'Feb'!$D$27:$AH$206,'Mar'!$D$27:$AH$206,'Apr'!$D$27:$AH$206,'May'!$D$27:$AH$206,'Jun'!$D$27:$AH$206,'Jul'!$D$27:$AH$206,'Aug'!$D$27:$AH$206,'Sep'!$D$27:$AH$206,'Oct'!$D$27:$AH$206,'Nov'!$D$27:$AH$206,'Dec'!$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MONTH(A1328),'Jan'!$D$27:$AH$206,'Feb'!$D$27:$AH$206,'Mar'!$D$27:$AH$206,'Apr'!$D$27:$AH$206,'May'!$D$27:$AH$206,'Jun'!$D$27:$AH$206,'Jul'!$D$27:$AH$206,'Aug'!$D$27:$AH$206,'Sep'!$D$27:$AH$206,'Oct'!$D$27:$AH$206,'Nov'!$D$27:$AH$206,'Dec'!$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MONTH(A1329),'Jan'!$D$27:$AH$206,'Feb'!$D$27:$AH$206,'Mar'!$D$27:$AH$206,'Apr'!$D$27:$AH$206,'May'!$D$27:$AH$206,'Jun'!$D$27:$AH$206,'Jul'!$D$27:$AH$206,'Aug'!$D$27:$AH$206,'Sep'!$D$27:$AH$206,'Oct'!$D$27:$AH$206,'Nov'!$D$27:$AH$206,'Dec'!$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MONTH(A1330),'Jan'!$D$27:$AH$206,'Feb'!$D$27:$AH$206,'Mar'!$D$27:$AH$206,'Apr'!$D$27:$AH$206,'May'!$D$27:$AH$206,'Jun'!$D$27:$AH$206,'Jul'!$D$27:$AH$206,'Aug'!$D$27:$AH$206,'Sep'!$D$27:$AH$206,'Oct'!$D$27:$AH$206,'Nov'!$D$27:$AH$206,'Dec'!$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MONTH(A1331),'Jan'!$D$27:$AH$206,'Feb'!$D$27:$AH$206,'Mar'!$D$27:$AH$206,'Apr'!$D$27:$AH$206,'May'!$D$27:$AH$206,'Jun'!$D$27:$AH$206,'Jul'!$D$27:$AH$206,'Aug'!$D$27:$AH$206,'Sep'!$D$27:$AH$206,'Oct'!$D$27:$AH$206,'Nov'!$D$27:$AH$206,'Dec'!$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MONTH(A1332),'Jan'!$D$27:$AH$206,'Feb'!$D$27:$AH$206,'Mar'!$D$27:$AH$206,'Apr'!$D$27:$AH$206,'May'!$D$27:$AH$206,'Jun'!$D$27:$AH$206,'Jul'!$D$27:$AH$206,'Aug'!$D$27:$AH$206,'Sep'!$D$27:$AH$206,'Oct'!$D$27:$AH$206,'Nov'!$D$27:$AH$206,'Dec'!$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MONTH(A1333),'Jan'!$D$27:$AH$206,'Feb'!$D$27:$AH$206,'Mar'!$D$27:$AH$206,'Apr'!$D$27:$AH$206,'May'!$D$27:$AH$206,'Jun'!$D$27:$AH$206,'Jul'!$D$27:$AH$206,'Aug'!$D$27:$AH$206,'Sep'!$D$27:$AH$206,'Oct'!$D$27:$AH$206,'Nov'!$D$27:$AH$206,'Dec'!$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MONTH(A1334),'Jan'!$D$27:$AH$206,'Feb'!$D$27:$AH$206,'Mar'!$D$27:$AH$206,'Apr'!$D$27:$AH$206,'May'!$D$27:$AH$206,'Jun'!$D$27:$AH$206,'Jul'!$D$27:$AH$206,'Aug'!$D$27:$AH$206,'Sep'!$D$27:$AH$206,'Oct'!$D$27:$AH$206,'Nov'!$D$27:$AH$206,'Dec'!$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MONTH(A1335),'Jan'!$D$27:$AH$206,'Feb'!$D$27:$AH$206,'Mar'!$D$27:$AH$206,'Apr'!$D$27:$AH$206,'May'!$D$27:$AH$206,'Jun'!$D$27:$AH$206,'Jul'!$D$27:$AH$206,'Aug'!$D$27:$AH$206,'Sep'!$D$27:$AH$206,'Oct'!$D$27:$AH$206,'Nov'!$D$27:$AH$206,'Dec'!$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MONTH(A1336),'Jan'!$D$27:$AH$206,'Feb'!$D$27:$AH$206,'Mar'!$D$27:$AH$206,'Apr'!$D$27:$AH$206,'May'!$D$27:$AH$206,'Jun'!$D$27:$AH$206,'Jul'!$D$27:$AH$206,'Aug'!$D$27:$AH$206,'Sep'!$D$27:$AH$206,'Oct'!$D$27:$AH$206,'Nov'!$D$27:$AH$206,'Dec'!$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MONTH(A1337),'Jan'!$D$27:$AH$206,'Feb'!$D$27:$AH$206,'Mar'!$D$27:$AH$206,'Apr'!$D$27:$AH$206,'May'!$D$27:$AH$206,'Jun'!$D$27:$AH$206,'Jul'!$D$27:$AH$206,'Aug'!$D$27:$AH$206,'Sep'!$D$27:$AH$206,'Oct'!$D$27:$AH$206,'Nov'!$D$27:$AH$206,'Dec'!$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MONTH(A1338),'Jan'!$D$27:$AH$206,'Feb'!$D$27:$AH$206,'Mar'!$D$27:$AH$206,'Apr'!$D$27:$AH$206,'May'!$D$27:$AH$206,'Jun'!$D$27:$AH$206,'Jul'!$D$27:$AH$206,'Aug'!$D$27:$AH$206,'Sep'!$D$27:$AH$206,'Oct'!$D$27:$AH$206,'Nov'!$D$27:$AH$206,'Dec'!$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MONTH(A1339),'Jan'!$D$27:$AH$206,'Feb'!$D$27:$AH$206,'Mar'!$D$27:$AH$206,'Apr'!$D$27:$AH$206,'May'!$D$27:$AH$206,'Jun'!$D$27:$AH$206,'Jul'!$D$27:$AH$206,'Aug'!$D$27:$AH$206,'Sep'!$D$27:$AH$206,'Oct'!$D$27:$AH$206,'Nov'!$D$27:$AH$206,'Dec'!$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MONTH(A1340),'Jan'!$D$27:$AH$206,'Feb'!$D$27:$AH$206,'Mar'!$D$27:$AH$206,'Apr'!$D$27:$AH$206,'May'!$D$27:$AH$206,'Jun'!$D$27:$AH$206,'Jul'!$D$27:$AH$206,'Aug'!$D$27:$AH$206,'Sep'!$D$27:$AH$206,'Oct'!$D$27:$AH$206,'Nov'!$D$27:$AH$206,'Dec'!$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MONTH(A1341),'Jan'!$D$27:$AH$206,'Feb'!$D$27:$AH$206,'Mar'!$D$27:$AH$206,'Apr'!$D$27:$AH$206,'May'!$D$27:$AH$206,'Jun'!$D$27:$AH$206,'Jul'!$D$27:$AH$206,'Aug'!$D$27:$AH$206,'Sep'!$D$27:$AH$206,'Oct'!$D$27:$AH$206,'Nov'!$D$27:$AH$206,'Dec'!$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MONTH(A1342),'Jan'!$D$27:$AH$206,'Feb'!$D$27:$AH$206,'Mar'!$D$27:$AH$206,'Apr'!$D$27:$AH$206,'May'!$D$27:$AH$206,'Jun'!$D$27:$AH$206,'Jul'!$D$27:$AH$206,'Aug'!$D$27:$AH$206,'Sep'!$D$27:$AH$206,'Oct'!$D$27:$AH$206,'Nov'!$D$27:$AH$206,'Dec'!$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MONTH(A1343),'Jan'!$D$27:$AH$206,'Feb'!$D$27:$AH$206,'Mar'!$D$27:$AH$206,'Apr'!$D$27:$AH$206,'May'!$D$27:$AH$206,'Jun'!$D$27:$AH$206,'Jul'!$D$27:$AH$206,'Aug'!$D$27:$AH$206,'Sep'!$D$27:$AH$206,'Oct'!$D$27:$AH$206,'Nov'!$D$27:$AH$206,'Dec'!$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MONTH(A1344),'Jan'!$D$27:$AH$206,'Feb'!$D$27:$AH$206,'Mar'!$D$27:$AH$206,'Apr'!$D$27:$AH$206,'May'!$D$27:$AH$206,'Jun'!$D$27:$AH$206,'Jul'!$D$27:$AH$206,'Aug'!$D$27:$AH$206,'Sep'!$D$27:$AH$206,'Oct'!$D$27:$AH$206,'Nov'!$D$27:$AH$206,'Dec'!$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MONTH(A1345),'Jan'!$D$27:$AH$206,'Feb'!$D$27:$AH$206,'Mar'!$D$27:$AH$206,'Apr'!$D$27:$AH$206,'May'!$D$27:$AH$206,'Jun'!$D$27:$AH$206,'Jul'!$D$27:$AH$206,'Aug'!$D$27:$AH$206,'Sep'!$D$27:$AH$206,'Oct'!$D$27:$AH$206,'Nov'!$D$27:$AH$206,'Dec'!$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MONTH(A1346),'Jan'!$D$27:$AH$206,'Feb'!$D$27:$AH$206,'Mar'!$D$27:$AH$206,'Apr'!$D$27:$AH$206,'May'!$D$27:$AH$206,'Jun'!$D$27:$AH$206,'Jul'!$D$27:$AH$206,'Aug'!$D$27:$AH$206,'Sep'!$D$27:$AH$206,'Oct'!$D$27:$AH$206,'Nov'!$D$27:$AH$206,'Dec'!$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MONTH(A1347),'Jan'!$D$27:$AH$206,'Feb'!$D$27:$AH$206,'Mar'!$D$27:$AH$206,'Apr'!$D$27:$AH$206,'May'!$D$27:$AH$206,'Jun'!$D$27:$AH$206,'Jul'!$D$27:$AH$206,'Aug'!$D$27:$AH$206,'Sep'!$D$27:$AH$206,'Oct'!$D$27:$AH$206,'Nov'!$D$27:$AH$206,'Dec'!$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MONTH(A1348),'Jan'!$D$27:$AH$206,'Feb'!$D$27:$AH$206,'Mar'!$D$27:$AH$206,'Apr'!$D$27:$AH$206,'May'!$D$27:$AH$206,'Jun'!$D$27:$AH$206,'Jul'!$D$27:$AH$206,'Aug'!$D$27:$AH$206,'Sep'!$D$27:$AH$206,'Oct'!$D$27:$AH$206,'Nov'!$D$27:$AH$206,'Dec'!$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MONTH(A1349),'Jan'!$D$27:$AH$206,'Feb'!$D$27:$AH$206,'Mar'!$D$27:$AH$206,'Apr'!$D$27:$AH$206,'May'!$D$27:$AH$206,'Jun'!$D$27:$AH$206,'Jul'!$D$27:$AH$206,'Aug'!$D$27:$AH$206,'Sep'!$D$27:$AH$206,'Oct'!$D$27:$AH$206,'Nov'!$D$27:$AH$206,'Dec'!$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MONTH(A1350),'Jan'!$D$27:$AH$206,'Feb'!$D$27:$AH$206,'Mar'!$D$27:$AH$206,'Apr'!$D$27:$AH$206,'May'!$D$27:$AH$206,'Jun'!$D$27:$AH$206,'Jul'!$D$27:$AH$206,'Aug'!$D$27:$AH$206,'Sep'!$D$27:$AH$206,'Oct'!$D$27:$AH$206,'Nov'!$D$27:$AH$206,'Dec'!$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MONTH(A1351),'Jan'!$D$27:$AH$206,'Feb'!$D$27:$AH$206,'Mar'!$D$27:$AH$206,'Apr'!$D$27:$AH$206,'May'!$D$27:$AH$206,'Jun'!$D$27:$AH$206,'Jul'!$D$27:$AH$206,'Aug'!$D$27:$AH$206,'Sep'!$D$27:$AH$206,'Oct'!$D$27:$AH$206,'Nov'!$D$27:$AH$206,'Dec'!$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MONTH(A1352),'Jan'!$D$27:$AH$206,'Feb'!$D$27:$AH$206,'Mar'!$D$27:$AH$206,'Apr'!$D$27:$AH$206,'May'!$D$27:$AH$206,'Jun'!$D$27:$AH$206,'Jul'!$D$27:$AH$206,'Aug'!$D$27:$AH$206,'Sep'!$D$27:$AH$206,'Oct'!$D$27:$AH$206,'Nov'!$D$27:$AH$206,'Dec'!$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MONTH(A1353),'Jan'!$D$27:$AH$206,'Feb'!$D$27:$AH$206,'Mar'!$D$27:$AH$206,'Apr'!$D$27:$AH$206,'May'!$D$27:$AH$206,'Jun'!$D$27:$AH$206,'Jul'!$D$27:$AH$206,'Aug'!$D$27:$AH$206,'Sep'!$D$27:$AH$206,'Oct'!$D$27:$AH$206,'Nov'!$D$27:$AH$206,'Dec'!$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MONTH(A1354),'Jan'!$D$27:$AH$206,'Feb'!$D$27:$AH$206,'Mar'!$D$27:$AH$206,'Apr'!$D$27:$AH$206,'May'!$D$27:$AH$206,'Jun'!$D$27:$AH$206,'Jul'!$D$27:$AH$206,'Aug'!$D$27:$AH$206,'Sep'!$D$27:$AH$206,'Oct'!$D$27:$AH$206,'Nov'!$D$27:$AH$206,'Dec'!$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MONTH(A1355),'Jan'!$D$27:$AH$206,'Feb'!$D$27:$AH$206,'Mar'!$D$27:$AH$206,'Apr'!$D$27:$AH$206,'May'!$D$27:$AH$206,'Jun'!$D$27:$AH$206,'Jul'!$D$27:$AH$206,'Aug'!$D$27:$AH$206,'Sep'!$D$27:$AH$206,'Oct'!$D$27:$AH$206,'Nov'!$D$27:$AH$206,'Dec'!$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MONTH(A1356),'Jan'!$D$27:$AH$206,'Feb'!$D$27:$AH$206,'Mar'!$D$27:$AH$206,'Apr'!$D$27:$AH$206,'May'!$D$27:$AH$206,'Jun'!$D$27:$AH$206,'Jul'!$D$27:$AH$206,'Aug'!$D$27:$AH$206,'Sep'!$D$27:$AH$206,'Oct'!$D$27:$AH$206,'Nov'!$D$27:$AH$206,'Dec'!$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MONTH(A1357),'Jan'!$D$27:$AH$206,'Feb'!$D$27:$AH$206,'Mar'!$D$27:$AH$206,'Apr'!$D$27:$AH$206,'May'!$D$27:$AH$206,'Jun'!$D$27:$AH$206,'Jul'!$D$27:$AH$206,'Aug'!$D$27:$AH$206,'Sep'!$D$27:$AH$206,'Oct'!$D$27:$AH$206,'Nov'!$D$27:$AH$206,'Dec'!$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MONTH(A1358),'Jan'!$D$27:$AH$206,'Feb'!$D$27:$AH$206,'Mar'!$D$27:$AH$206,'Apr'!$D$27:$AH$206,'May'!$D$27:$AH$206,'Jun'!$D$27:$AH$206,'Jul'!$D$27:$AH$206,'Aug'!$D$27:$AH$206,'Sep'!$D$27:$AH$206,'Oct'!$D$27:$AH$206,'Nov'!$D$27:$AH$206,'Dec'!$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MONTH(A1359),'Jan'!$D$27:$AH$206,'Feb'!$D$27:$AH$206,'Mar'!$D$27:$AH$206,'Apr'!$D$27:$AH$206,'May'!$D$27:$AH$206,'Jun'!$D$27:$AH$206,'Jul'!$D$27:$AH$206,'Aug'!$D$27:$AH$206,'Sep'!$D$27:$AH$206,'Oct'!$D$27:$AH$206,'Nov'!$D$27:$AH$206,'Dec'!$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MONTH(A1360),'Jan'!$D$27:$AH$206,'Feb'!$D$27:$AH$206,'Mar'!$D$27:$AH$206,'Apr'!$D$27:$AH$206,'May'!$D$27:$AH$206,'Jun'!$D$27:$AH$206,'Jul'!$D$27:$AH$206,'Aug'!$D$27:$AH$206,'Sep'!$D$27:$AH$206,'Oct'!$D$27:$AH$206,'Nov'!$D$27:$AH$206,'Dec'!$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MONTH(A1361),'Jan'!$D$27:$AH$206,'Feb'!$D$27:$AH$206,'Mar'!$D$27:$AH$206,'Apr'!$D$27:$AH$206,'May'!$D$27:$AH$206,'Jun'!$D$27:$AH$206,'Jul'!$D$27:$AH$206,'Aug'!$D$27:$AH$206,'Sep'!$D$27:$AH$206,'Oct'!$D$27:$AH$206,'Nov'!$D$27:$AH$206,'Dec'!$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MONTH(A1362),'Jan'!$D$27:$AH$206,'Feb'!$D$27:$AH$206,'Mar'!$D$27:$AH$206,'Apr'!$D$27:$AH$206,'May'!$D$27:$AH$206,'Jun'!$D$27:$AH$206,'Jul'!$D$27:$AH$206,'Aug'!$D$27:$AH$206,'Sep'!$D$27:$AH$206,'Oct'!$D$27:$AH$206,'Nov'!$D$27:$AH$206,'Dec'!$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MONTH(A1363),'Jan'!$D$27:$AH$206,'Feb'!$D$27:$AH$206,'Mar'!$D$27:$AH$206,'Apr'!$D$27:$AH$206,'May'!$D$27:$AH$206,'Jun'!$D$27:$AH$206,'Jul'!$D$27:$AH$206,'Aug'!$D$27:$AH$206,'Sep'!$D$27:$AH$206,'Oct'!$D$27:$AH$206,'Nov'!$D$27:$AH$206,'Dec'!$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MONTH(A1364),'Jan'!$D$27:$AH$206,'Feb'!$D$27:$AH$206,'Mar'!$D$27:$AH$206,'Apr'!$D$27:$AH$206,'May'!$D$27:$AH$206,'Jun'!$D$27:$AH$206,'Jul'!$D$27:$AH$206,'Aug'!$D$27:$AH$206,'Sep'!$D$27:$AH$206,'Oct'!$D$27:$AH$206,'Nov'!$D$27:$AH$206,'Dec'!$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MONTH(A1365),'Jan'!$D$27:$AH$206,'Feb'!$D$27:$AH$206,'Mar'!$D$27:$AH$206,'Apr'!$D$27:$AH$206,'May'!$D$27:$AH$206,'Jun'!$D$27:$AH$206,'Jul'!$D$27:$AH$206,'Aug'!$D$27:$AH$206,'Sep'!$D$27:$AH$206,'Oct'!$D$27:$AH$206,'Nov'!$D$27:$AH$206,'Dec'!$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MONTH(A1366),'Jan'!$D$27:$AH$206,'Feb'!$D$27:$AH$206,'Mar'!$D$27:$AH$206,'Apr'!$D$27:$AH$206,'May'!$D$27:$AH$206,'Jun'!$D$27:$AH$206,'Jul'!$D$27:$AH$206,'Aug'!$D$27:$AH$206,'Sep'!$D$27:$AH$206,'Oct'!$D$27:$AH$206,'Nov'!$D$27:$AH$206,'Dec'!$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MONTH(A1367),'Jan'!$D$27:$AH$206,'Feb'!$D$27:$AH$206,'Mar'!$D$27:$AH$206,'Apr'!$D$27:$AH$206,'May'!$D$27:$AH$206,'Jun'!$D$27:$AH$206,'Jul'!$D$27:$AH$206,'Aug'!$D$27:$AH$206,'Sep'!$D$27:$AH$206,'Oct'!$D$27:$AH$206,'Nov'!$D$27:$AH$206,'Dec'!$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MONTH(A1368),'Jan'!$D$27:$AH$206,'Feb'!$D$27:$AH$206,'Mar'!$D$27:$AH$206,'Apr'!$D$27:$AH$206,'May'!$D$27:$AH$206,'Jun'!$D$27:$AH$206,'Jul'!$D$27:$AH$206,'Aug'!$D$27:$AH$206,'Sep'!$D$27:$AH$206,'Oct'!$D$27:$AH$206,'Nov'!$D$27:$AH$206,'Dec'!$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MONTH(A1369),'Jan'!$D$27:$AH$206,'Feb'!$D$27:$AH$206,'Mar'!$D$27:$AH$206,'Apr'!$D$27:$AH$206,'May'!$D$27:$AH$206,'Jun'!$D$27:$AH$206,'Jul'!$D$27:$AH$206,'Aug'!$D$27:$AH$206,'Sep'!$D$27:$AH$206,'Oct'!$D$27:$AH$206,'Nov'!$D$27:$AH$206,'Dec'!$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MONTH(A1370),'Jan'!$D$27:$AH$206,'Feb'!$D$27:$AH$206,'Mar'!$D$27:$AH$206,'Apr'!$D$27:$AH$206,'May'!$D$27:$AH$206,'Jun'!$D$27:$AH$206,'Jul'!$D$27:$AH$206,'Aug'!$D$27:$AH$206,'Sep'!$D$27:$AH$206,'Oct'!$D$27:$AH$206,'Nov'!$D$27:$AH$206,'Dec'!$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MONTH(A1371),'Jan'!$D$27:$AH$206,'Feb'!$D$27:$AH$206,'Mar'!$D$27:$AH$206,'Apr'!$D$27:$AH$206,'May'!$D$27:$AH$206,'Jun'!$D$27:$AH$206,'Jul'!$D$27:$AH$206,'Aug'!$D$27:$AH$206,'Sep'!$D$27:$AH$206,'Oct'!$D$27:$AH$206,'Nov'!$D$27:$AH$206,'Dec'!$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MONTH(A1372),'Jan'!$D$27:$AH$206,'Feb'!$D$27:$AH$206,'Mar'!$D$27:$AH$206,'Apr'!$D$27:$AH$206,'May'!$D$27:$AH$206,'Jun'!$D$27:$AH$206,'Jul'!$D$27:$AH$206,'Aug'!$D$27:$AH$206,'Sep'!$D$27:$AH$206,'Oct'!$D$27:$AH$206,'Nov'!$D$27:$AH$206,'Dec'!$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MONTH(A1373),'Jan'!$D$27:$AH$206,'Feb'!$D$27:$AH$206,'Mar'!$D$27:$AH$206,'Apr'!$D$27:$AH$206,'May'!$D$27:$AH$206,'Jun'!$D$27:$AH$206,'Jul'!$D$27:$AH$206,'Aug'!$D$27:$AH$206,'Sep'!$D$27:$AH$206,'Oct'!$D$27:$AH$206,'Nov'!$D$27:$AH$206,'Dec'!$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MONTH(A1374),'Jan'!$D$27:$AH$206,'Feb'!$D$27:$AH$206,'Mar'!$D$27:$AH$206,'Apr'!$D$27:$AH$206,'May'!$D$27:$AH$206,'Jun'!$D$27:$AH$206,'Jul'!$D$27:$AH$206,'Aug'!$D$27:$AH$206,'Sep'!$D$27:$AH$206,'Oct'!$D$27:$AH$206,'Nov'!$D$27:$AH$206,'Dec'!$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MONTH(A1375),'Jan'!$D$27:$AH$206,'Feb'!$D$27:$AH$206,'Mar'!$D$27:$AH$206,'Apr'!$D$27:$AH$206,'May'!$D$27:$AH$206,'Jun'!$D$27:$AH$206,'Jul'!$D$27:$AH$206,'Aug'!$D$27:$AH$206,'Sep'!$D$27:$AH$206,'Oct'!$D$27:$AH$206,'Nov'!$D$27:$AH$206,'Dec'!$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MONTH(A1376),'Jan'!$D$27:$AH$206,'Feb'!$D$27:$AH$206,'Mar'!$D$27:$AH$206,'Apr'!$D$27:$AH$206,'May'!$D$27:$AH$206,'Jun'!$D$27:$AH$206,'Jul'!$D$27:$AH$206,'Aug'!$D$27:$AH$206,'Sep'!$D$27:$AH$206,'Oct'!$D$27:$AH$206,'Nov'!$D$27:$AH$206,'Dec'!$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MONTH(A1377),'Jan'!$D$27:$AH$206,'Feb'!$D$27:$AH$206,'Mar'!$D$27:$AH$206,'Apr'!$D$27:$AH$206,'May'!$D$27:$AH$206,'Jun'!$D$27:$AH$206,'Jul'!$D$27:$AH$206,'Aug'!$D$27:$AH$206,'Sep'!$D$27:$AH$206,'Oct'!$D$27:$AH$206,'Nov'!$D$27:$AH$206,'Dec'!$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MONTH(A1378),'Jan'!$D$27:$AH$206,'Feb'!$D$27:$AH$206,'Mar'!$D$27:$AH$206,'Apr'!$D$27:$AH$206,'May'!$D$27:$AH$206,'Jun'!$D$27:$AH$206,'Jul'!$D$27:$AH$206,'Aug'!$D$27:$AH$206,'Sep'!$D$27:$AH$206,'Oct'!$D$27:$AH$206,'Nov'!$D$27:$AH$206,'Dec'!$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MONTH(A1379),'Jan'!$D$27:$AH$206,'Feb'!$D$27:$AH$206,'Mar'!$D$27:$AH$206,'Apr'!$D$27:$AH$206,'May'!$D$27:$AH$206,'Jun'!$D$27:$AH$206,'Jul'!$D$27:$AH$206,'Aug'!$D$27:$AH$206,'Sep'!$D$27:$AH$206,'Oct'!$D$27:$AH$206,'Nov'!$D$27:$AH$206,'Dec'!$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MONTH(A1380),'Jan'!$D$27:$AH$206,'Feb'!$D$27:$AH$206,'Mar'!$D$27:$AH$206,'Apr'!$D$27:$AH$206,'May'!$D$27:$AH$206,'Jun'!$D$27:$AH$206,'Jul'!$D$27:$AH$206,'Aug'!$D$27:$AH$206,'Sep'!$D$27:$AH$206,'Oct'!$D$27:$AH$206,'Nov'!$D$27:$AH$206,'Dec'!$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MONTH(A1381),'Jan'!$D$27:$AH$206,'Feb'!$D$27:$AH$206,'Mar'!$D$27:$AH$206,'Apr'!$D$27:$AH$206,'May'!$D$27:$AH$206,'Jun'!$D$27:$AH$206,'Jul'!$D$27:$AH$206,'Aug'!$D$27:$AH$206,'Sep'!$D$27:$AH$206,'Oct'!$D$27:$AH$206,'Nov'!$D$27:$AH$206,'Dec'!$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MONTH(A1382),'Jan'!$D$27:$AH$206,'Feb'!$D$27:$AH$206,'Mar'!$D$27:$AH$206,'Apr'!$D$27:$AH$206,'May'!$D$27:$AH$206,'Jun'!$D$27:$AH$206,'Jul'!$D$27:$AH$206,'Aug'!$D$27:$AH$206,'Sep'!$D$27:$AH$206,'Oct'!$D$27:$AH$206,'Nov'!$D$27:$AH$206,'Dec'!$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MONTH(A1383),'Jan'!$D$27:$AH$206,'Feb'!$D$27:$AH$206,'Mar'!$D$27:$AH$206,'Apr'!$D$27:$AH$206,'May'!$D$27:$AH$206,'Jun'!$D$27:$AH$206,'Jul'!$D$27:$AH$206,'Aug'!$D$27:$AH$206,'Sep'!$D$27:$AH$206,'Oct'!$D$27:$AH$206,'Nov'!$D$27:$AH$206,'Dec'!$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MONTH(A1384),'Jan'!$D$27:$AH$206,'Feb'!$D$27:$AH$206,'Mar'!$D$27:$AH$206,'Apr'!$D$27:$AH$206,'May'!$D$27:$AH$206,'Jun'!$D$27:$AH$206,'Jul'!$D$27:$AH$206,'Aug'!$D$27:$AH$206,'Sep'!$D$27:$AH$206,'Oct'!$D$27:$AH$206,'Nov'!$D$27:$AH$206,'Dec'!$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MONTH(A1385),'Jan'!$D$27:$AH$206,'Feb'!$D$27:$AH$206,'Mar'!$D$27:$AH$206,'Apr'!$D$27:$AH$206,'May'!$D$27:$AH$206,'Jun'!$D$27:$AH$206,'Jul'!$D$27:$AH$206,'Aug'!$D$27:$AH$206,'Sep'!$D$27:$AH$206,'Oct'!$D$27:$AH$206,'Nov'!$D$27:$AH$206,'Dec'!$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MONTH(A1386),'Jan'!$D$27:$AH$206,'Feb'!$D$27:$AH$206,'Mar'!$D$27:$AH$206,'Apr'!$D$27:$AH$206,'May'!$D$27:$AH$206,'Jun'!$D$27:$AH$206,'Jul'!$D$27:$AH$206,'Aug'!$D$27:$AH$206,'Sep'!$D$27:$AH$206,'Oct'!$D$27:$AH$206,'Nov'!$D$27:$AH$206,'Dec'!$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MONTH(A1387),'Jan'!$D$27:$AH$206,'Feb'!$D$27:$AH$206,'Mar'!$D$27:$AH$206,'Apr'!$D$27:$AH$206,'May'!$D$27:$AH$206,'Jun'!$D$27:$AH$206,'Jul'!$D$27:$AH$206,'Aug'!$D$27:$AH$206,'Sep'!$D$27:$AH$206,'Oct'!$D$27:$AH$206,'Nov'!$D$27:$AH$206,'Dec'!$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MONTH(A1388),'Jan'!$D$27:$AH$206,'Feb'!$D$27:$AH$206,'Mar'!$D$27:$AH$206,'Apr'!$D$27:$AH$206,'May'!$D$27:$AH$206,'Jun'!$D$27:$AH$206,'Jul'!$D$27:$AH$206,'Aug'!$D$27:$AH$206,'Sep'!$D$27:$AH$206,'Oct'!$D$27:$AH$206,'Nov'!$D$27:$AH$206,'Dec'!$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MONTH(A1389),'Jan'!$D$27:$AH$206,'Feb'!$D$27:$AH$206,'Mar'!$D$27:$AH$206,'Apr'!$D$27:$AH$206,'May'!$D$27:$AH$206,'Jun'!$D$27:$AH$206,'Jul'!$D$27:$AH$206,'Aug'!$D$27:$AH$206,'Sep'!$D$27:$AH$206,'Oct'!$D$27:$AH$206,'Nov'!$D$27:$AH$206,'Dec'!$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MONTH(A1390),'Jan'!$D$27:$AH$206,'Feb'!$D$27:$AH$206,'Mar'!$D$27:$AH$206,'Apr'!$D$27:$AH$206,'May'!$D$27:$AH$206,'Jun'!$D$27:$AH$206,'Jul'!$D$27:$AH$206,'Aug'!$D$27:$AH$206,'Sep'!$D$27:$AH$206,'Oct'!$D$27:$AH$206,'Nov'!$D$27:$AH$206,'Dec'!$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MONTH(A1391),'Jan'!$D$27:$AH$206,'Feb'!$D$27:$AH$206,'Mar'!$D$27:$AH$206,'Apr'!$D$27:$AH$206,'May'!$D$27:$AH$206,'Jun'!$D$27:$AH$206,'Jul'!$D$27:$AH$206,'Aug'!$D$27:$AH$206,'Sep'!$D$27:$AH$206,'Oct'!$D$27:$AH$206,'Nov'!$D$27:$AH$206,'Dec'!$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MONTH(A1392),'Jan'!$D$27:$AH$206,'Feb'!$D$27:$AH$206,'Mar'!$D$27:$AH$206,'Apr'!$D$27:$AH$206,'May'!$D$27:$AH$206,'Jun'!$D$27:$AH$206,'Jul'!$D$27:$AH$206,'Aug'!$D$27:$AH$206,'Sep'!$D$27:$AH$206,'Oct'!$D$27:$AH$206,'Nov'!$D$27:$AH$206,'Dec'!$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MONTH(A1393),'Jan'!$D$27:$AH$206,'Feb'!$D$27:$AH$206,'Mar'!$D$27:$AH$206,'Apr'!$D$27:$AH$206,'May'!$D$27:$AH$206,'Jun'!$D$27:$AH$206,'Jul'!$D$27:$AH$206,'Aug'!$D$27:$AH$206,'Sep'!$D$27:$AH$206,'Oct'!$D$27:$AH$206,'Nov'!$D$27:$AH$206,'Dec'!$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MONTH(A1394),'Jan'!$D$27:$AH$206,'Feb'!$D$27:$AH$206,'Mar'!$D$27:$AH$206,'Apr'!$D$27:$AH$206,'May'!$D$27:$AH$206,'Jun'!$D$27:$AH$206,'Jul'!$D$27:$AH$206,'Aug'!$D$27:$AH$206,'Sep'!$D$27:$AH$206,'Oct'!$D$27:$AH$206,'Nov'!$D$27:$AH$206,'Dec'!$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MONTH(A1395),'Jan'!$D$27:$AH$206,'Feb'!$D$27:$AH$206,'Mar'!$D$27:$AH$206,'Apr'!$D$27:$AH$206,'May'!$D$27:$AH$206,'Jun'!$D$27:$AH$206,'Jul'!$D$27:$AH$206,'Aug'!$D$27:$AH$206,'Sep'!$D$27:$AH$206,'Oct'!$D$27:$AH$206,'Nov'!$D$27:$AH$206,'Dec'!$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MONTH(A1396),'Jan'!$D$27:$AH$206,'Feb'!$D$27:$AH$206,'Mar'!$D$27:$AH$206,'Apr'!$D$27:$AH$206,'May'!$D$27:$AH$206,'Jun'!$D$27:$AH$206,'Jul'!$D$27:$AH$206,'Aug'!$D$27:$AH$206,'Sep'!$D$27:$AH$206,'Oct'!$D$27:$AH$206,'Nov'!$D$27:$AH$206,'Dec'!$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MONTH(A1397),'Jan'!$D$27:$AH$206,'Feb'!$D$27:$AH$206,'Mar'!$D$27:$AH$206,'Apr'!$D$27:$AH$206,'May'!$D$27:$AH$206,'Jun'!$D$27:$AH$206,'Jul'!$D$27:$AH$206,'Aug'!$D$27:$AH$206,'Sep'!$D$27:$AH$206,'Oct'!$D$27:$AH$206,'Nov'!$D$27:$AH$206,'Dec'!$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MONTH(A1398),'Jan'!$D$27:$AH$206,'Feb'!$D$27:$AH$206,'Mar'!$D$27:$AH$206,'Apr'!$D$27:$AH$206,'May'!$D$27:$AH$206,'Jun'!$D$27:$AH$206,'Jul'!$D$27:$AH$206,'Aug'!$D$27:$AH$206,'Sep'!$D$27:$AH$206,'Oct'!$D$27:$AH$206,'Nov'!$D$27:$AH$206,'Dec'!$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MONTH(A1399),'Jan'!$D$27:$AH$206,'Feb'!$D$27:$AH$206,'Mar'!$D$27:$AH$206,'Apr'!$D$27:$AH$206,'May'!$D$27:$AH$206,'Jun'!$D$27:$AH$206,'Jul'!$D$27:$AH$206,'Aug'!$D$27:$AH$206,'Sep'!$D$27:$AH$206,'Oct'!$D$27:$AH$206,'Nov'!$D$27:$AH$206,'Dec'!$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MONTH(A1400),'Jan'!$D$27:$AH$206,'Feb'!$D$27:$AH$206,'Mar'!$D$27:$AH$206,'Apr'!$D$27:$AH$206,'May'!$D$27:$AH$206,'Jun'!$D$27:$AH$206,'Jul'!$D$27:$AH$206,'Aug'!$D$27:$AH$206,'Sep'!$D$27:$AH$206,'Oct'!$D$27:$AH$206,'Nov'!$D$27:$AH$206,'Dec'!$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MONTH(A1401),'Jan'!$D$27:$AH$206,'Feb'!$D$27:$AH$206,'Mar'!$D$27:$AH$206,'Apr'!$D$27:$AH$206,'May'!$D$27:$AH$206,'Jun'!$D$27:$AH$206,'Jul'!$D$27:$AH$206,'Aug'!$D$27:$AH$206,'Sep'!$D$27:$AH$206,'Oct'!$D$27:$AH$206,'Nov'!$D$27:$AH$206,'Dec'!$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MONTH(A1402),'Jan'!$D$27:$AH$206,'Feb'!$D$27:$AH$206,'Mar'!$D$27:$AH$206,'Apr'!$D$27:$AH$206,'May'!$D$27:$AH$206,'Jun'!$D$27:$AH$206,'Jul'!$D$27:$AH$206,'Aug'!$D$27:$AH$206,'Sep'!$D$27:$AH$206,'Oct'!$D$27:$AH$206,'Nov'!$D$27:$AH$206,'Dec'!$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MONTH(A1403),'Jan'!$D$27:$AH$206,'Feb'!$D$27:$AH$206,'Mar'!$D$27:$AH$206,'Apr'!$D$27:$AH$206,'May'!$D$27:$AH$206,'Jun'!$D$27:$AH$206,'Jul'!$D$27:$AH$206,'Aug'!$D$27:$AH$206,'Sep'!$D$27:$AH$206,'Oct'!$D$27:$AH$206,'Nov'!$D$27:$AH$206,'Dec'!$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MONTH(A1404),'Jan'!$D$27:$AH$206,'Feb'!$D$27:$AH$206,'Mar'!$D$27:$AH$206,'Apr'!$D$27:$AH$206,'May'!$D$27:$AH$206,'Jun'!$D$27:$AH$206,'Jul'!$D$27:$AH$206,'Aug'!$D$27:$AH$206,'Sep'!$D$27:$AH$206,'Oct'!$D$27:$AH$206,'Nov'!$D$27:$AH$206,'Dec'!$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MONTH(A1405),'Jan'!$D$27:$AH$206,'Feb'!$D$27:$AH$206,'Mar'!$D$27:$AH$206,'Apr'!$D$27:$AH$206,'May'!$D$27:$AH$206,'Jun'!$D$27:$AH$206,'Jul'!$D$27:$AH$206,'Aug'!$D$27:$AH$206,'Sep'!$D$27:$AH$206,'Oct'!$D$27:$AH$206,'Nov'!$D$27:$AH$206,'Dec'!$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MONTH(A1406),'Jan'!$D$27:$AH$206,'Feb'!$D$27:$AH$206,'Mar'!$D$27:$AH$206,'Apr'!$D$27:$AH$206,'May'!$D$27:$AH$206,'Jun'!$D$27:$AH$206,'Jul'!$D$27:$AH$206,'Aug'!$D$27:$AH$206,'Sep'!$D$27:$AH$206,'Oct'!$D$27:$AH$206,'Nov'!$D$27:$AH$206,'Dec'!$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MONTH(A1407),'Jan'!$D$27:$AH$206,'Feb'!$D$27:$AH$206,'Mar'!$D$27:$AH$206,'Apr'!$D$27:$AH$206,'May'!$D$27:$AH$206,'Jun'!$D$27:$AH$206,'Jul'!$D$27:$AH$206,'Aug'!$D$27:$AH$206,'Sep'!$D$27:$AH$206,'Oct'!$D$27:$AH$206,'Nov'!$D$27:$AH$206,'Dec'!$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MONTH(A1408),'Jan'!$D$27:$AH$206,'Feb'!$D$27:$AH$206,'Mar'!$D$27:$AH$206,'Apr'!$D$27:$AH$206,'May'!$D$27:$AH$206,'Jun'!$D$27:$AH$206,'Jul'!$D$27:$AH$206,'Aug'!$D$27:$AH$206,'Sep'!$D$27:$AH$206,'Oct'!$D$27:$AH$206,'Nov'!$D$27:$AH$206,'Dec'!$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MONTH(A1409),'Jan'!$D$27:$AH$206,'Feb'!$D$27:$AH$206,'Mar'!$D$27:$AH$206,'Apr'!$D$27:$AH$206,'May'!$D$27:$AH$206,'Jun'!$D$27:$AH$206,'Jul'!$D$27:$AH$206,'Aug'!$D$27:$AH$206,'Sep'!$D$27:$AH$206,'Oct'!$D$27:$AH$206,'Nov'!$D$27:$AH$206,'Dec'!$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MONTH(A1410),'Jan'!$D$27:$AH$206,'Feb'!$D$27:$AH$206,'Mar'!$D$27:$AH$206,'Apr'!$D$27:$AH$206,'May'!$D$27:$AH$206,'Jun'!$D$27:$AH$206,'Jul'!$D$27:$AH$206,'Aug'!$D$27:$AH$206,'Sep'!$D$27:$AH$206,'Oct'!$D$27:$AH$206,'Nov'!$D$27:$AH$206,'Dec'!$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MONTH(A1411),'Jan'!$D$27:$AH$206,'Feb'!$D$27:$AH$206,'Mar'!$D$27:$AH$206,'Apr'!$D$27:$AH$206,'May'!$D$27:$AH$206,'Jun'!$D$27:$AH$206,'Jul'!$D$27:$AH$206,'Aug'!$D$27:$AH$206,'Sep'!$D$27:$AH$206,'Oct'!$D$27:$AH$206,'Nov'!$D$27:$AH$206,'Dec'!$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MONTH(A1412),'Jan'!$D$27:$AH$206,'Feb'!$D$27:$AH$206,'Mar'!$D$27:$AH$206,'Apr'!$D$27:$AH$206,'May'!$D$27:$AH$206,'Jun'!$D$27:$AH$206,'Jul'!$D$27:$AH$206,'Aug'!$D$27:$AH$206,'Sep'!$D$27:$AH$206,'Oct'!$D$27:$AH$206,'Nov'!$D$27:$AH$206,'Dec'!$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MONTH(A1413),'Jan'!$D$27:$AH$206,'Feb'!$D$27:$AH$206,'Mar'!$D$27:$AH$206,'Apr'!$D$27:$AH$206,'May'!$D$27:$AH$206,'Jun'!$D$27:$AH$206,'Jul'!$D$27:$AH$206,'Aug'!$D$27:$AH$206,'Sep'!$D$27:$AH$206,'Oct'!$D$27:$AH$206,'Nov'!$D$27:$AH$206,'Dec'!$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MONTH(A1414),'Jan'!$D$27:$AH$206,'Feb'!$D$27:$AH$206,'Mar'!$D$27:$AH$206,'Apr'!$D$27:$AH$206,'May'!$D$27:$AH$206,'Jun'!$D$27:$AH$206,'Jul'!$D$27:$AH$206,'Aug'!$D$27:$AH$206,'Sep'!$D$27:$AH$206,'Oct'!$D$27:$AH$206,'Nov'!$D$27:$AH$206,'Dec'!$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MONTH(A1415),'Jan'!$D$27:$AH$206,'Feb'!$D$27:$AH$206,'Mar'!$D$27:$AH$206,'Apr'!$D$27:$AH$206,'May'!$D$27:$AH$206,'Jun'!$D$27:$AH$206,'Jul'!$D$27:$AH$206,'Aug'!$D$27:$AH$206,'Sep'!$D$27:$AH$206,'Oct'!$D$27:$AH$206,'Nov'!$D$27:$AH$206,'Dec'!$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MONTH(A1416),'Jan'!$D$27:$AH$206,'Feb'!$D$27:$AH$206,'Mar'!$D$27:$AH$206,'Apr'!$D$27:$AH$206,'May'!$D$27:$AH$206,'Jun'!$D$27:$AH$206,'Jul'!$D$27:$AH$206,'Aug'!$D$27:$AH$206,'Sep'!$D$27:$AH$206,'Oct'!$D$27:$AH$206,'Nov'!$D$27:$AH$206,'Dec'!$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MONTH(A1417),'Jan'!$D$27:$AH$206,'Feb'!$D$27:$AH$206,'Mar'!$D$27:$AH$206,'Apr'!$D$27:$AH$206,'May'!$D$27:$AH$206,'Jun'!$D$27:$AH$206,'Jul'!$D$27:$AH$206,'Aug'!$D$27:$AH$206,'Sep'!$D$27:$AH$206,'Oct'!$D$27:$AH$206,'Nov'!$D$27:$AH$206,'Dec'!$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MONTH(A1418),'Jan'!$D$27:$AH$206,'Feb'!$D$27:$AH$206,'Mar'!$D$27:$AH$206,'Apr'!$D$27:$AH$206,'May'!$D$27:$AH$206,'Jun'!$D$27:$AH$206,'Jul'!$D$27:$AH$206,'Aug'!$D$27:$AH$206,'Sep'!$D$27:$AH$206,'Oct'!$D$27:$AH$206,'Nov'!$D$27:$AH$206,'Dec'!$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MONTH(A1419),'Jan'!$D$27:$AH$206,'Feb'!$D$27:$AH$206,'Mar'!$D$27:$AH$206,'Apr'!$D$27:$AH$206,'May'!$D$27:$AH$206,'Jun'!$D$27:$AH$206,'Jul'!$D$27:$AH$206,'Aug'!$D$27:$AH$206,'Sep'!$D$27:$AH$206,'Oct'!$D$27:$AH$206,'Nov'!$D$27:$AH$206,'Dec'!$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MONTH(A1420),'Jan'!$D$27:$AH$206,'Feb'!$D$27:$AH$206,'Mar'!$D$27:$AH$206,'Apr'!$D$27:$AH$206,'May'!$D$27:$AH$206,'Jun'!$D$27:$AH$206,'Jul'!$D$27:$AH$206,'Aug'!$D$27:$AH$206,'Sep'!$D$27:$AH$206,'Oct'!$D$27:$AH$206,'Nov'!$D$27:$AH$206,'Dec'!$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MONTH(A1421),'Jan'!$D$27:$AH$206,'Feb'!$D$27:$AH$206,'Mar'!$D$27:$AH$206,'Apr'!$D$27:$AH$206,'May'!$D$27:$AH$206,'Jun'!$D$27:$AH$206,'Jul'!$D$27:$AH$206,'Aug'!$D$27:$AH$206,'Sep'!$D$27:$AH$206,'Oct'!$D$27:$AH$206,'Nov'!$D$27:$AH$206,'Dec'!$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MONTH(A1422),'Jan'!$D$27:$AH$206,'Feb'!$D$27:$AH$206,'Mar'!$D$27:$AH$206,'Apr'!$D$27:$AH$206,'May'!$D$27:$AH$206,'Jun'!$D$27:$AH$206,'Jul'!$D$27:$AH$206,'Aug'!$D$27:$AH$206,'Sep'!$D$27:$AH$206,'Oct'!$D$27:$AH$206,'Nov'!$D$27:$AH$206,'Dec'!$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MONTH(A1423),'Jan'!$D$27:$AH$206,'Feb'!$D$27:$AH$206,'Mar'!$D$27:$AH$206,'Apr'!$D$27:$AH$206,'May'!$D$27:$AH$206,'Jun'!$D$27:$AH$206,'Jul'!$D$27:$AH$206,'Aug'!$D$27:$AH$206,'Sep'!$D$27:$AH$206,'Oct'!$D$27:$AH$206,'Nov'!$D$27:$AH$206,'Dec'!$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MONTH(A1424),'Jan'!$D$27:$AH$206,'Feb'!$D$27:$AH$206,'Mar'!$D$27:$AH$206,'Apr'!$D$27:$AH$206,'May'!$D$27:$AH$206,'Jun'!$D$27:$AH$206,'Jul'!$D$27:$AH$206,'Aug'!$D$27:$AH$206,'Sep'!$D$27:$AH$206,'Oct'!$D$27:$AH$206,'Nov'!$D$27:$AH$206,'Dec'!$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MONTH(A1425),'Jan'!$D$27:$AH$206,'Feb'!$D$27:$AH$206,'Mar'!$D$27:$AH$206,'Apr'!$D$27:$AH$206,'May'!$D$27:$AH$206,'Jun'!$D$27:$AH$206,'Jul'!$D$27:$AH$206,'Aug'!$D$27:$AH$206,'Sep'!$D$27:$AH$206,'Oct'!$D$27:$AH$206,'Nov'!$D$27:$AH$206,'Dec'!$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MONTH(A1426),'Jan'!$D$27:$AH$206,'Feb'!$D$27:$AH$206,'Mar'!$D$27:$AH$206,'Apr'!$D$27:$AH$206,'May'!$D$27:$AH$206,'Jun'!$D$27:$AH$206,'Jul'!$D$27:$AH$206,'Aug'!$D$27:$AH$206,'Sep'!$D$27:$AH$206,'Oct'!$D$27:$AH$206,'Nov'!$D$27:$AH$206,'Dec'!$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MONTH(A1427),'Jan'!$D$27:$AH$206,'Feb'!$D$27:$AH$206,'Mar'!$D$27:$AH$206,'Apr'!$D$27:$AH$206,'May'!$D$27:$AH$206,'Jun'!$D$27:$AH$206,'Jul'!$D$27:$AH$206,'Aug'!$D$27:$AH$206,'Sep'!$D$27:$AH$206,'Oct'!$D$27:$AH$206,'Nov'!$D$27:$AH$206,'Dec'!$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MONTH(A1428),'Jan'!$D$27:$AH$206,'Feb'!$D$27:$AH$206,'Mar'!$D$27:$AH$206,'Apr'!$D$27:$AH$206,'May'!$D$27:$AH$206,'Jun'!$D$27:$AH$206,'Jul'!$D$27:$AH$206,'Aug'!$D$27:$AH$206,'Sep'!$D$27:$AH$206,'Oct'!$D$27:$AH$206,'Nov'!$D$27:$AH$206,'Dec'!$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MONTH(A1429),'Jan'!$D$27:$AH$206,'Feb'!$D$27:$AH$206,'Mar'!$D$27:$AH$206,'Apr'!$D$27:$AH$206,'May'!$D$27:$AH$206,'Jun'!$D$27:$AH$206,'Jul'!$D$27:$AH$206,'Aug'!$D$27:$AH$206,'Sep'!$D$27:$AH$206,'Oct'!$D$27:$AH$206,'Nov'!$D$27:$AH$206,'Dec'!$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MONTH(A1430),'Jan'!$D$27:$AH$206,'Feb'!$D$27:$AH$206,'Mar'!$D$27:$AH$206,'Apr'!$D$27:$AH$206,'May'!$D$27:$AH$206,'Jun'!$D$27:$AH$206,'Jul'!$D$27:$AH$206,'Aug'!$D$27:$AH$206,'Sep'!$D$27:$AH$206,'Oct'!$D$27:$AH$206,'Nov'!$D$27:$AH$206,'Dec'!$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MONTH(A1431),'Jan'!$D$27:$AH$206,'Feb'!$D$27:$AH$206,'Mar'!$D$27:$AH$206,'Apr'!$D$27:$AH$206,'May'!$D$27:$AH$206,'Jun'!$D$27:$AH$206,'Jul'!$D$27:$AH$206,'Aug'!$D$27:$AH$206,'Sep'!$D$27:$AH$206,'Oct'!$D$27:$AH$206,'Nov'!$D$27:$AH$206,'Dec'!$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MONTH(A1432),'Jan'!$D$27:$AH$206,'Feb'!$D$27:$AH$206,'Mar'!$D$27:$AH$206,'Apr'!$D$27:$AH$206,'May'!$D$27:$AH$206,'Jun'!$D$27:$AH$206,'Jul'!$D$27:$AH$206,'Aug'!$D$27:$AH$206,'Sep'!$D$27:$AH$206,'Oct'!$D$27:$AH$206,'Nov'!$D$27:$AH$206,'Dec'!$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MONTH(A1433),'Jan'!$D$27:$AH$206,'Feb'!$D$27:$AH$206,'Mar'!$D$27:$AH$206,'Apr'!$D$27:$AH$206,'May'!$D$27:$AH$206,'Jun'!$D$27:$AH$206,'Jul'!$D$27:$AH$206,'Aug'!$D$27:$AH$206,'Sep'!$D$27:$AH$206,'Oct'!$D$27:$AH$206,'Nov'!$D$27:$AH$206,'Dec'!$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MONTH(A1434),'Jan'!$D$27:$AH$206,'Feb'!$D$27:$AH$206,'Mar'!$D$27:$AH$206,'Apr'!$D$27:$AH$206,'May'!$D$27:$AH$206,'Jun'!$D$27:$AH$206,'Jul'!$D$27:$AH$206,'Aug'!$D$27:$AH$206,'Sep'!$D$27:$AH$206,'Oct'!$D$27:$AH$206,'Nov'!$D$27:$AH$206,'Dec'!$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MONTH(A1435),'Jan'!$D$27:$AH$206,'Feb'!$D$27:$AH$206,'Mar'!$D$27:$AH$206,'Apr'!$D$27:$AH$206,'May'!$D$27:$AH$206,'Jun'!$D$27:$AH$206,'Jul'!$D$27:$AH$206,'Aug'!$D$27:$AH$206,'Sep'!$D$27:$AH$206,'Oct'!$D$27:$AH$206,'Nov'!$D$27:$AH$206,'Dec'!$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MONTH(A1436),'Jan'!$D$27:$AH$206,'Feb'!$D$27:$AH$206,'Mar'!$D$27:$AH$206,'Apr'!$D$27:$AH$206,'May'!$D$27:$AH$206,'Jun'!$D$27:$AH$206,'Jul'!$D$27:$AH$206,'Aug'!$D$27:$AH$206,'Sep'!$D$27:$AH$206,'Oct'!$D$27:$AH$206,'Nov'!$D$27:$AH$206,'Dec'!$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MONTH(A1437),'Jan'!$D$27:$AH$206,'Feb'!$D$27:$AH$206,'Mar'!$D$27:$AH$206,'Apr'!$D$27:$AH$206,'May'!$D$27:$AH$206,'Jun'!$D$27:$AH$206,'Jul'!$D$27:$AH$206,'Aug'!$D$27:$AH$206,'Sep'!$D$27:$AH$206,'Oct'!$D$27:$AH$206,'Nov'!$D$27:$AH$206,'Dec'!$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MONTH(A1438),'Jan'!$D$27:$AH$206,'Feb'!$D$27:$AH$206,'Mar'!$D$27:$AH$206,'Apr'!$D$27:$AH$206,'May'!$D$27:$AH$206,'Jun'!$D$27:$AH$206,'Jul'!$D$27:$AH$206,'Aug'!$D$27:$AH$206,'Sep'!$D$27:$AH$206,'Oct'!$D$27:$AH$206,'Nov'!$D$27:$AH$206,'Dec'!$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MONTH(A1439),'Jan'!$D$27:$AH$206,'Feb'!$D$27:$AH$206,'Mar'!$D$27:$AH$206,'Apr'!$D$27:$AH$206,'May'!$D$27:$AH$206,'Jun'!$D$27:$AH$206,'Jul'!$D$27:$AH$206,'Aug'!$D$27:$AH$206,'Sep'!$D$27:$AH$206,'Oct'!$D$27:$AH$206,'Nov'!$D$27:$AH$206,'Dec'!$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MONTH(A1440),'Jan'!$D$27:$AH$206,'Feb'!$D$27:$AH$206,'Mar'!$D$27:$AH$206,'Apr'!$D$27:$AH$206,'May'!$D$27:$AH$206,'Jun'!$D$27:$AH$206,'Jul'!$D$27:$AH$206,'Aug'!$D$27:$AH$206,'Sep'!$D$27:$AH$206,'Oct'!$D$27:$AH$206,'Nov'!$D$27:$AH$206,'Dec'!$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MONTH(A1441),'Jan'!$D$27:$AH$206,'Feb'!$D$27:$AH$206,'Mar'!$D$27:$AH$206,'Apr'!$D$27:$AH$206,'May'!$D$27:$AH$206,'Jun'!$D$27:$AH$206,'Jul'!$D$27:$AH$206,'Aug'!$D$27:$AH$206,'Sep'!$D$27:$AH$206,'Oct'!$D$27:$AH$206,'Nov'!$D$27:$AH$206,'Dec'!$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MONTH(A1442),'Jan'!$D$27:$AH$206,'Feb'!$D$27:$AH$206,'Mar'!$D$27:$AH$206,'Apr'!$D$27:$AH$206,'May'!$D$27:$AH$206,'Jun'!$D$27:$AH$206,'Jul'!$D$27:$AH$206,'Aug'!$D$27:$AH$206,'Sep'!$D$27:$AH$206,'Oct'!$D$27:$AH$206,'Nov'!$D$27:$AH$206,'Dec'!$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MONTH(A1443),'Jan'!$D$27:$AH$206,'Feb'!$D$27:$AH$206,'Mar'!$D$27:$AH$206,'Apr'!$D$27:$AH$206,'May'!$D$27:$AH$206,'Jun'!$D$27:$AH$206,'Jul'!$D$27:$AH$206,'Aug'!$D$27:$AH$206,'Sep'!$D$27:$AH$206,'Oct'!$D$27:$AH$206,'Nov'!$D$27:$AH$206,'Dec'!$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MONTH(A1444),'Jan'!$D$27:$AH$206,'Feb'!$D$27:$AH$206,'Mar'!$D$27:$AH$206,'Apr'!$D$27:$AH$206,'May'!$D$27:$AH$206,'Jun'!$D$27:$AH$206,'Jul'!$D$27:$AH$206,'Aug'!$D$27:$AH$206,'Sep'!$D$27:$AH$206,'Oct'!$D$27:$AH$206,'Nov'!$D$27:$AH$206,'Dec'!$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MONTH(A1445),'Jan'!$D$27:$AH$206,'Feb'!$D$27:$AH$206,'Mar'!$D$27:$AH$206,'Apr'!$D$27:$AH$206,'May'!$D$27:$AH$206,'Jun'!$D$27:$AH$206,'Jul'!$D$27:$AH$206,'Aug'!$D$27:$AH$206,'Sep'!$D$27:$AH$206,'Oct'!$D$27:$AH$206,'Nov'!$D$27:$AH$206,'Dec'!$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MONTH(A1446),'Jan'!$D$27:$AH$206,'Feb'!$D$27:$AH$206,'Mar'!$D$27:$AH$206,'Apr'!$D$27:$AH$206,'May'!$D$27:$AH$206,'Jun'!$D$27:$AH$206,'Jul'!$D$27:$AH$206,'Aug'!$D$27:$AH$206,'Sep'!$D$27:$AH$206,'Oct'!$D$27:$AH$206,'Nov'!$D$27:$AH$206,'Dec'!$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MONTH(A1447),'Jan'!$D$27:$AH$206,'Feb'!$D$27:$AH$206,'Mar'!$D$27:$AH$206,'Apr'!$D$27:$AH$206,'May'!$D$27:$AH$206,'Jun'!$D$27:$AH$206,'Jul'!$D$27:$AH$206,'Aug'!$D$27:$AH$206,'Sep'!$D$27:$AH$206,'Oct'!$D$27:$AH$206,'Nov'!$D$27:$AH$206,'Dec'!$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MONTH(A1448),'Jan'!$D$27:$AH$206,'Feb'!$D$27:$AH$206,'Mar'!$D$27:$AH$206,'Apr'!$D$27:$AH$206,'May'!$D$27:$AH$206,'Jun'!$D$27:$AH$206,'Jul'!$D$27:$AH$206,'Aug'!$D$27:$AH$206,'Sep'!$D$27:$AH$206,'Oct'!$D$27:$AH$206,'Nov'!$D$27:$AH$206,'Dec'!$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MONTH(A1449),'Jan'!$D$27:$AH$206,'Feb'!$D$27:$AH$206,'Mar'!$D$27:$AH$206,'Apr'!$D$27:$AH$206,'May'!$D$27:$AH$206,'Jun'!$D$27:$AH$206,'Jul'!$D$27:$AH$206,'Aug'!$D$27:$AH$206,'Sep'!$D$27:$AH$206,'Oct'!$D$27:$AH$206,'Nov'!$D$27:$AH$206,'Dec'!$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MONTH(A1450),'Jan'!$D$27:$AH$206,'Feb'!$D$27:$AH$206,'Mar'!$D$27:$AH$206,'Apr'!$D$27:$AH$206,'May'!$D$27:$AH$206,'Jun'!$D$27:$AH$206,'Jul'!$D$27:$AH$206,'Aug'!$D$27:$AH$206,'Sep'!$D$27:$AH$206,'Oct'!$D$27:$AH$206,'Nov'!$D$27:$AH$206,'Dec'!$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MONTH(A1451),'Jan'!$D$27:$AH$206,'Feb'!$D$27:$AH$206,'Mar'!$D$27:$AH$206,'Apr'!$D$27:$AH$206,'May'!$D$27:$AH$206,'Jun'!$D$27:$AH$206,'Jul'!$D$27:$AH$206,'Aug'!$D$27:$AH$206,'Sep'!$D$27:$AH$206,'Oct'!$D$27:$AH$206,'Nov'!$D$27:$AH$206,'Dec'!$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MONTH(A1452),'Jan'!$D$27:$AH$206,'Feb'!$D$27:$AH$206,'Mar'!$D$27:$AH$206,'Apr'!$D$27:$AH$206,'May'!$D$27:$AH$206,'Jun'!$D$27:$AH$206,'Jul'!$D$27:$AH$206,'Aug'!$D$27:$AH$206,'Sep'!$D$27:$AH$206,'Oct'!$D$27:$AH$206,'Nov'!$D$27:$AH$206,'Dec'!$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MONTH(A1453),'Jan'!$D$27:$AH$206,'Feb'!$D$27:$AH$206,'Mar'!$D$27:$AH$206,'Apr'!$D$27:$AH$206,'May'!$D$27:$AH$206,'Jun'!$D$27:$AH$206,'Jul'!$D$27:$AH$206,'Aug'!$D$27:$AH$206,'Sep'!$D$27:$AH$206,'Oct'!$D$27:$AH$206,'Nov'!$D$27:$AH$206,'Dec'!$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MONTH(A1454),'Jan'!$D$27:$AH$206,'Feb'!$D$27:$AH$206,'Mar'!$D$27:$AH$206,'Apr'!$D$27:$AH$206,'May'!$D$27:$AH$206,'Jun'!$D$27:$AH$206,'Jul'!$D$27:$AH$206,'Aug'!$D$27:$AH$206,'Sep'!$D$27:$AH$206,'Oct'!$D$27:$AH$206,'Nov'!$D$27:$AH$206,'Dec'!$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MONTH(A1455),'Jan'!$D$27:$AH$206,'Feb'!$D$27:$AH$206,'Mar'!$D$27:$AH$206,'Apr'!$D$27:$AH$206,'May'!$D$27:$AH$206,'Jun'!$D$27:$AH$206,'Jul'!$D$27:$AH$206,'Aug'!$D$27:$AH$206,'Sep'!$D$27:$AH$206,'Oct'!$D$27:$AH$206,'Nov'!$D$27:$AH$206,'Dec'!$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MONTH(A1456),'Jan'!$D$27:$AH$206,'Feb'!$D$27:$AH$206,'Mar'!$D$27:$AH$206,'Apr'!$D$27:$AH$206,'May'!$D$27:$AH$206,'Jun'!$D$27:$AH$206,'Jul'!$D$27:$AH$206,'Aug'!$D$27:$AH$206,'Sep'!$D$27:$AH$206,'Oct'!$D$27:$AH$206,'Nov'!$D$27:$AH$206,'Dec'!$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MONTH(A1457),'Jan'!$D$27:$AH$206,'Feb'!$D$27:$AH$206,'Mar'!$D$27:$AH$206,'Apr'!$D$27:$AH$206,'May'!$D$27:$AH$206,'Jun'!$D$27:$AH$206,'Jul'!$D$27:$AH$206,'Aug'!$D$27:$AH$206,'Sep'!$D$27:$AH$206,'Oct'!$D$27:$AH$206,'Nov'!$D$27:$AH$206,'Dec'!$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MONTH(A1458),'Jan'!$D$27:$AH$206,'Feb'!$D$27:$AH$206,'Mar'!$D$27:$AH$206,'Apr'!$D$27:$AH$206,'May'!$D$27:$AH$206,'Jun'!$D$27:$AH$206,'Jul'!$D$27:$AH$206,'Aug'!$D$27:$AH$206,'Sep'!$D$27:$AH$206,'Oct'!$D$27:$AH$206,'Nov'!$D$27:$AH$206,'Dec'!$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MONTH(A1459),'Jan'!$D$27:$AH$206,'Feb'!$D$27:$AH$206,'Mar'!$D$27:$AH$206,'Apr'!$D$27:$AH$206,'May'!$D$27:$AH$206,'Jun'!$D$27:$AH$206,'Jul'!$D$27:$AH$206,'Aug'!$D$27:$AH$206,'Sep'!$D$27:$AH$206,'Oct'!$D$27:$AH$206,'Nov'!$D$27:$AH$206,'Dec'!$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MONTH(A1460),'Jan'!$D$27:$AH$206,'Feb'!$D$27:$AH$206,'Mar'!$D$27:$AH$206,'Apr'!$D$27:$AH$206,'May'!$D$27:$AH$206,'Jun'!$D$27:$AH$206,'Jul'!$D$27:$AH$206,'Aug'!$D$27:$AH$206,'Sep'!$D$27:$AH$206,'Oct'!$D$27:$AH$206,'Nov'!$D$27:$AH$206,'Dec'!$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MONTH(A1461),'Jan'!$D$27:$AH$206,'Feb'!$D$27:$AH$206,'Mar'!$D$27:$AH$206,'Apr'!$D$27:$AH$206,'May'!$D$27:$AH$206,'Jun'!$D$27:$AH$206,'Jul'!$D$27:$AH$206,'Aug'!$D$27:$AH$206,'Sep'!$D$27:$AH$206,'Oct'!$D$27:$AH$206,'Nov'!$D$27:$AH$206,'Dec'!$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MONTH(A1462),'Jan'!$D$27:$AH$206,'Feb'!$D$27:$AH$206,'Mar'!$D$27:$AH$206,'Apr'!$D$27:$AH$206,'May'!$D$27:$AH$206,'Jun'!$D$27:$AH$206,'Jul'!$D$27:$AH$206,'Aug'!$D$27:$AH$206,'Sep'!$D$27:$AH$206,'Oct'!$D$27:$AH$206,'Nov'!$D$27:$AH$206,'Dec'!$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MONTH(A1463),'Jan'!$D$27:$AH$206,'Feb'!$D$27:$AH$206,'Mar'!$D$27:$AH$206,'Apr'!$D$27:$AH$206,'May'!$D$27:$AH$206,'Jun'!$D$27:$AH$206,'Jul'!$D$27:$AH$206,'Aug'!$D$27:$AH$206,'Sep'!$D$27:$AH$206,'Oct'!$D$27:$AH$206,'Nov'!$D$27:$AH$206,'Dec'!$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MONTH(A1464),'Jan'!$D$27:$AH$206,'Feb'!$D$27:$AH$206,'Mar'!$D$27:$AH$206,'Apr'!$D$27:$AH$206,'May'!$D$27:$AH$206,'Jun'!$D$27:$AH$206,'Jul'!$D$27:$AH$206,'Aug'!$D$27:$AH$206,'Sep'!$D$27:$AH$206,'Oct'!$D$27:$AH$206,'Nov'!$D$27:$AH$206,'Dec'!$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MONTH(A1465),'Jan'!$D$27:$AH$206,'Feb'!$D$27:$AH$206,'Mar'!$D$27:$AH$206,'Apr'!$D$27:$AH$206,'May'!$D$27:$AH$206,'Jun'!$D$27:$AH$206,'Jul'!$D$27:$AH$206,'Aug'!$D$27:$AH$206,'Sep'!$D$27:$AH$206,'Oct'!$D$27:$AH$206,'Nov'!$D$27:$AH$206,'Dec'!$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MONTH(A1466),'Jan'!$D$27:$AH$206,'Feb'!$D$27:$AH$206,'Mar'!$D$27:$AH$206,'Apr'!$D$27:$AH$206,'May'!$D$27:$AH$206,'Jun'!$D$27:$AH$206,'Jul'!$D$27:$AH$206,'Aug'!$D$27:$AH$206,'Sep'!$D$27:$AH$206,'Oct'!$D$27:$AH$206,'Nov'!$D$27:$AH$206,'Dec'!$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MONTH(A1467),'Jan'!$D$27:$AH$206,'Feb'!$D$27:$AH$206,'Mar'!$D$27:$AH$206,'Apr'!$D$27:$AH$206,'May'!$D$27:$AH$206,'Jun'!$D$27:$AH$206,'Jul'!$D$27:$AH$206,'Aug'!$D$27:$AH$206,'Sep'!$D$27:$AH$206,'Oct'!$D$27:$AH$206,'Nov'!$D$27:$AH$206,'Dec'!$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MONTH(A1468),'Jan'!$D$27:$AH$206,'Feb'!$D$27:$AH$206,'Mar'!$D$27:$AH$206,'Apr'!$D$27:$AH$206,'May'!$D$27:$AH$206,'Jun'!$D$27:$AH$206,'Jul'!$D$27:$AH$206,'Aug'!$D$27:$AH$206,'Sep'!$D$27:$AH$206,'Oct'!$D$27:$AH$206,'Nov'!$D$27:$AH$206,'Dec'!$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MONTH(A1469),'Jan'!$D$27:$AH$206,'Feb'!$D$27:$AH$206,'Mar'!$D$27:$AH$206,'Apr'!$D$27:$AH$206,'May'!$D$27:$AH$206,'Jun'!$D$27:$AH$206,'Jul'!$D$27:$AH$206,'Aug'!$D$27:$AH$206,'Sep'!$D$27:$AH$206,'Oct'!$D$27:$AH$206,'Nov'!$D$27:$AH$206,'Dec'!$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MONTH(A1470),'Jan'!$D$27:$AH$206,'Feb'!$D$27:$AH$206,'Mar'!$D$27:$AH$206,'Apr'!$D$27:$AH$206,'May'!$D$27:$AH$206,'Jun'!$D$27:$AH$206,'Jul'!$D$27:$AH$206,'Aug'!$D$27:$AH$206,'Sep'!$D$27:$AH$206,'Oct'!$D$27:$AH$206,'Nov'!$D$27:$AH$206,'Dec'!$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MONTH(A1471),'Jan'!$D$27:$AH$206,'Feb'!$D$27:$AH$206,'Mar'!$D$27:$AH$206,'Apr'!$D$27:$AH$206,'May'!$D$27:$AH$206,'Jun'!$D$27:$AH$206,'Jul'!$D$27:$AH$206,'Aug'!$D$27:$AH$206,'Sep'!$D$27:$AH$206,'Oct'!$D$27:$AH$206,'Nov'!$D$27:$AH$206,'Dec'!$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MONTH(A1472),'Jan'!$D$27:$AH$206,'Feb'!$D$27:$AH$206,'Mar'!$D$27:$AH$206,'Apr'!$D$27:$AH$206,'May'!$D$27:$AH$206,'Jun'!$D$27:$AH$206,'Jul'!$D$27:$AH$206,'Aug'!$D$27:$AH$206,'Sep'!$D$27:$AH$206,'Oct'!$D$27:$AH$206,'Nov'!$D$27:$AH$206,'Dec'!$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MONTH(A1473),'Jan'!$D$27:$AH$206,'Feb'!$D$27:$AH$206,'Mar'!$D$27:$AH$206,'Apr'!$D$27:$AH$206,'May'!$D$27:$AH$206,'Jun'!$D$27:$AH$206,'Jul'!$D$27:$AH$206,'Aug'!$D$27:$AH$206,'Sep'!$D$27:$AH$206,'Oct'!$D$27:$AH$206,'Nov'!$D$27:$AH$206,'Dec'!$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MONTH(A1474),'Jan'!$D$27:$AH$206,'Feb'!$D$27:$AH$206,'Mar'!$D$27:$AH$206,'Apr'!$D$27:$AH$206,'May'!$D$27:$AH$206,'Jun'!$D$27:$AH$206,'Jul'!$D$27:$AH$206,'Aug'!$D$27:$AH$206,'Sep'!$D$27:$AH$206,'Oct'!$D$27:$AH$206,'Nov'!$D$27:$AH$206,'Dec'!$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MONTH(A1475),'Jan'!$D$27:$AH$206,'Feb'!$D$27:$AH$206,'Mar'!$D$27:$AH$206,'Apr'!$D$27:$AH$206,'May'!$D$27:$AH$206,'Jun'!$D$27:$AH$206,'Jul'!$D$27:$AH$206,'Aug'!$D$27:$AH$206,'Sep'!$D$27:$AH$206,'Oct'!$D$27:$AH$206,'Nov'!$D$27:$AH$206,'Dec'!$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MONTH(A1476),'Jan'!$D$27:$AH$206,'Feb'!$D$27:$AH$206,'Mar'!$D$27:$AH$206,'Apr'!$D$27:$AH$206,'May'!$D$27:$AH$206,'Jun'!$D$27:$AH$206,'Jul'!$D$27:$AH$206,'Aug'!$D$27:$AH$206,'Sep'!$D$27:$AH$206,'Oct'!$D$27:$AH$206,'Nov'!$D$27:$AH$206,'Dec'!$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MONTH(A1477),'Jan'!$D$27:$AH$206,'Feb'!$D$27:$AH$206,'Mar'!$D$27:$AH$206,'Apr'!$D$27:$AH$206,'May'!$D$27:$AH$206,'Jun'!$D$27:$AH$206,'Jul'!$D$27:$AH$206,'Aug'!$D$27:$AH$206,'Sep'!$D$27:$AH$206,'Oct'!$D$27:$AH$206,'Nov'!$D$27:$AH$206,'Dec'!$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MONTH(A1478),'Jan'!$D$27:$AH$206,'Feb'!$D$27:$AH$206,'Mar'!$D$27:$AH$206,'Apr'!$D$27:$AH$206,'May'!$D$27:$AH$206,'Jun'!$D$27:$AH$206,'Jul'!$D$27:$AH$206,'Aug'!$D$27:$AH$206,'Sep'!$D$27:$AH$206,'Oct'!$D$27:$AH$206,'Nov'!$D$27:$AH$206,'Dec'!$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MONTH(A1479),'Jan'!$D$27:$AH$206,'Feb'!$D$27:$AH$206,'Mar'!$D$27:$AH$206,'Apr'!$D$27:$AH$206,'May'!$D$27:$AH$206,'Jun'!$D$27:$AH$206,'Jul'!$D$27:$AH$206,'Aug'!$D$27:$AH$206,'Sep'!$D$27:$AH$206,'Oct'!$D$27:$AH$206,'Nov'!$D$27:$AH$206,'Dec'!$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MONTH(A1480),'Jan'!$D$27:$AH$206,'Feb'!$D$27:$AH$206,'Mar'!$D$27:$AH$206,'Apr'!$D$27:$AH$206,'May'!$D$27:$AH$206,'Jun'!$D$27:$AH$206,'Jul'!$D$27:$AH$206,'Aug'!$D$27:$AH$206,'Sep'!$D$27:$AH$206,'Oct'!$D$27:$AH$206,'Nov'!$D$27:$AH$206,'Dec'!$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MONTH(A1481),'Jan'!$D$27:$AH$206,'Feb'!$D$27:$AH$206,'Mar'!$D$27:$AH$206,'Apr'!$D$27:$AH$206,'May'!$D$27:$AH$206,'Jun'!$D$27:$AH$206,'Jul'!$D$27:$AH$206,'Aug'!$D$27:$AH$206,'Sep'!$D$27:$AH$206,'Oct'!$D$27:$AH$206,'Nov'!$D$27:$AH$206,'Dec'!$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MONTH(A1482),'Jan'!$D$27:$AH$206,'Feb'!$D$27:$AH$206,'Mar'!$D$27:$AH$206,'Apr'!$D$27:$AH$206,'May'!$D$27:$AH$206,'Jun'!$D$27:$AH$206,'Jul'!$D$27:$AH$206,'Aug'!$D$27:$AH$206,'Sep'!$D$27:$AH$206,'Oct'!$D$27:$AH$206,'Nov'!$D$27:$AH$206,'Dec'!$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MONTH(A1483),'Jan'!$D$27:$AH$206,'Feb'!$D$27:$AH$206,'Mar'!$D$27:$AH$206,'Apr'!$D$27:$AH$206,'May'!$D$27:$AH$206,'Jun'!$D$27:$AH$206,'Jul'!$D$27:$AH$206,'Aug'!$D$27:$AH$206,'Sep'!$D$27:$AH$206,'Oct'!$D$27:$AH$206,'Nov'!$D$27:$AH$206,'Dec'!$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MONTH(A1484),'Jan'!$D$27:$AH$206,'Feb'!$D$27:$AH$206,'Mar'!$D$27:$AH$206,'Apr'!$D$27:$AH$206,'May'!$D$27:$AH$206,'Jun'!$D$27:$AH$206,'Jul'!$D$27:$AH$206,'Aug'!$D$27:$AH$206,'Sep'!$D$27:$AH$206,'Oct'!$D$27:$AH$206,'Nov'!$D$27:$AH$206,'Dec'!$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MONTH(A1485),'Jan'!$D$27:$AH$206,'Feb'!$D$27:$AH$206,'Mar'!$D$27:$AH$206,'Apr'!$D$27:$AH$206,'May'!$D$27:$AH$206,'Jun'!$D$27:$AH$206,'Jul'!$D$27:$AH$206,'Aug'!$D$27:$AH$206,'Sep'!$D$27:$AH$206,'Oct'!$D$27:$AH$206,'Nov'!$D$27:$AH$206,'Dec'!$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MONTH(A1486),'Jan'!$D$27:$AH$206,'Feb'!$D$27:$AH$206,'Mar'!$D$27:$AH$206,'Apr'!$D$27:$AH$206,'May'!$D$27:$AH$206,'Jun'!$D$27:$AH$206,'Jul'!$D$27:$AH$206,'Aug'!$D$27:$AH$206,'Sep'!$D$27:$AH$206,'Oct'!$D$27:$AH$206,'Nov'!$D$27:$AH$206,'Dec'!$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MONTH(A1487),'Jan'!$D$27:$AH$206,'Feb'!$D$27:$AH$206,'Mar'!$D$27:$AH$206,'Apr'!$D$27:$AH$206,'May'!$D$27:$AH$206,'Jun'!$D$27:$AH$206,'Jul'!$D$27:$AH$206,'Aug'!$D$27:$AH$206,'Sep'!$D$27:$AH$206,'Oct'!$D$27:$AH$206,'Nov'!$D$27:$AH$206,'Dec'!$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MONTH(A1488),'Jan'!$D$27:$AH$206,'Feb'!$D$27:$AH$206,'Mar'!$D$27:$AH$206,'Apr'!$D$27:$AH$206,'May'!$D$27:$AH$206,'Jun'!$D$27:$AH$206,'Jul'!$D$27:$AH$206,'Aug'!$D$27:$AH$206,'Sep'!$D$27:$AH$206,'Oct'!$D$27:$AH$206,'Nov'!$D$27:$AH$206,'Dec'!$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MONTH(A1489),'Jan'!$D$27:$AH$206,'Feb'!$D$27:$AH$206,'Mar'!$D$27:$AH$206,'Apr'!$D$27:$AH$206,'May'!$D$27:$AH$206,'Jun'!$D$27:$AH$206,'Jul'!$D$27:$AH$206,'Aug'!$D$27:$AH$206,'Sep'!$D$27:$AH$206,'Oct'!$D$27:$AH$206,'Nov'!$D$27:$AH$206,'Dec'!$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MONTH(A1490),'Jan'!$D$27:$AH$206,'Feb'!$D$27:$AH$206,'Mar'!$D$27:$AH$206,'Apr'!$D$27:$AH$206,'May'!$D$27:$AH$206,'Jun'!$D$27:$AH$206,'Jul'!$D$27:$AH$206,'Aug'!$D$27:$AH$206,'Sep'!$D$27:$AH$206,'Oct'!$D$27:$AH$206,'Nov'!$D$27:$AH$206,'Dec'!$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MONTH(A1491),'Jan'!$D$27:$AH$206,'Feb'!$D$27:$AH$206,'Mar'!$D$27:$AH$206,'Apr'!$D$27:$AH$206,'May'!$D$27:$AH$206,'Jun'!$D$27:$AH$206,'Jul'!$D$27:$AH$206,'Aug'!$D$27:$AH$206,'Sep'!$D$27:$AH$206,'Oct'!$D$27:$AH$206,'Nov'!$D$27:$AH$206,'Dec'!$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MONTH(A1492),'Jan'!$D$27:$AH$206,'Feb'!$D$27:$AH$206,'Mar'!$D$27:$AH$206,'Apr'!$D$27:$AH$206,'May'!$D$27:$AH$206,'Jun'!$D$27:$AH$206,'Jul'!$D$27:$AH$206,'Aug'!$D$27:$AH$206,'Sep'!$D$27:$AH$206,'Oct'!$D$27:$AH$206,'Nov'!$D$27:$AH$206,'Dec'!$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MONTH(A1493),'Jan'!$D$27:$AH$206,'Feb'!$D$27:$AH$206,'Mar'!$D$27:$AH$206,'Apr'!$D$27:$AH$206,'May'!$D$27:$AH$206,'Jun'!$D$27:$AH$206,'Jul'!$D$27:$AH$206,'Aug'!$D$27:$AH$206,'Sep'!$D$27:$AH$206,'Oct'!$D$27:$AH$206,'Nov'!$D$27:$AH$206,'Dec'!$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MONTH(A1494),'Jan'!$D$27:$AH$206,'Feb'!$D$27:$AH$206,'Mar'!$D$27:$AH$206,'Apr'!$D$27:$AH$206,'May'!$D$27:$AH$206,'Jun'!$D$27:$AH$206,'Jul'!$D$27:$AH$206,'Aug'!$D$27:$AH$206,'Sep'!$D$27:$AH$206,'Oct'!$D$27:$AH$206,'Nov'!$D$27:$AH$206,'Dec'!$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MONTH(A1495),'Jan'!$D$27:$AH$206,'Feb'!$D$27:$AH$206,'Mar'!$D$27:$AH$206,'Apr'!$D$27:$AH$206,'May'!$D$27:$AH$206,'Jun'!$D$27:$AH$206,'Jul'!$D$27:$AH$206,'Aug'!$D$27:$AH$206,'Sep'!$D$27:$AH$206,'Oct'!$D$27:$AH$206,'Nov'!$D$27:$AH$206,'Dec'!$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MONTH(A1496),'Jan'!$D$27:$AH$206,'Feb'!$D$27:$AH$206,'Mar'!$D$27:$AH$206,'Apr'!$D$27:$AH$206,'May'!$D$27:$AH$206,'Jun'!$D$27:$AH$206,'Jul'!$D$27:$AH$206,'Aug'!$D$27:$AH$206,'Sep'!$D$27:$AH$206,'Oct'!$D$27:$AH$206,'Nov'!$D$27:$AH$206,'Dec'!$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MONTH(A1497),'Jan'!$D$27:$AH$206,'Feb'!$D$27:$AH$206,'Mar'!$D$27:$AH$206,'Apr'!$D$27:$AH$206,'May'!$D$27:$AH$206,'Jun'!$D$27:$AH$206,'Jul'!$D$27:$AH$206,'Aug'!$D$27:$AH$206,'Sep'!$D$27:$AH$206,'Oct'!$D$27:$AH$206,'Nov'!$D$27:$AH$206,'Dec'!$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MONTH(A1498),'Jan'!$D$27:$AH$206,'Feb'!$D$27:$AH$206,'Mar'!$D$27:$AH$206,'Apr'!$D$27:$AH$206,'May'!$D$27:$AH$206,'Jun'!$D$27:$AH$206,'Jul'!$D$27:$AH$206,'Aug'!$D$27:$AH$206,'Sep'!$D$27:$AH$206,'Oct'!$D$27:$AH$206,'Nov'!$D$27:$AH$206,'Dec'!$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MONTH(A1499),'Jan'!$D$27:$AH$206,'Feb'!$D$27:$AH$206,'Mar'!$D$27:$AH$206,'Apr'!$D$27:$AH$206,'May'!$D$27:$AH$206,'Jun'!$D$27:$AH$206,'Jul'!$D$27:$AH$206,'Aug'!$D$27:$AH$206,'Sep'!$D$27:$AH$206,'Oct'!$D$27:$AH$206,'Nov'!$D$27:$AH$206,'Dec'!$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MONTH(A1500),'Jan'!$D$27:$AH$206,'Feb'!$D$27:$AH$206,'Mar'!$D$27:$AH$206,'Apr'!$D$27:$AH$206,'May'!$D$27:$AH$206,'Jun'!$D$27:$AH$206,'Jul'!$D$27:$AH$206,'Aug'!$D$27:$AH$206,'Sep'!$D$27:$AH$206,'Oct'!$D$27:$AH$206,'Nov'!$D$27:$AH$206,'Dec'!$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MONTH(A1501),'Jan'!$D$27:$AH$206,'Feb'!$D$27:$AH$206,'Mar'!$D$27:$AH$206,'Apr'!$D$27:$AH$206,'May'!$D$27:$AH$206,'Jun'!$D$27:$AH$206,'Jul'!$D$27:$AH$206,'Aug'!$D$27:$AH$206,'Sep'!$D$27:$AH$206,'Oct'!$D$27:$AH$206,'Nov'!$D$27:$AH$206,'Dec'!$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MONTH(A1502),'Jan'!$D$27:$AH$206,'Feb'!$D$27:$AH$206,'Mar'!$D$27:$AH$206,'Apr'!$D$27:$AH$206,'May'!$D$27:$AH$206,'Jun'!$D$27:$AH$206,'Jul'!$D$27:$AH$206,'Aug'!$D$27:$AH$206,'Sep'!$D$27:$AH$206,'Oct'!$D$27:$AH$206,'Nov'!$D$27:$AH$206,'Dec'!$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MONTH(A1503),'Jan'!$D$27:$AH$206,'Feb'!$D$27:$AH$206,'Mar'!$D$27:$AH$206,'Apr'!$D$27:$AH$206,'May'!$D$27:$AH$206,'Jun'!$D$27:$AH$206,'Jul'!$D$27:$AH$206,'Aug'!$D$27:$AH$206,'Sep'!$D$27:$AH$206,'Oct'!$D$27:$AH$206,'Nov'!$D$27:$AH$206,'Dec'!$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MONTH(A1504),'Jan'!$D$27:$AH$206,'Feb'!$D$27:$AH$206,'Mar'!$D$27:$AH$206,'Apr'!$D$27:$AH$206,'May'!$D$27:$AH$206,'Jun'!$D$27:$AH$206,'Jul'!$D$27:$AH$206,'Aug'!$D$27:$AH$206,'Sep'!$D$27:$AH$206,'Oct'!$D$27:$AH$206,'Nov'!$D$27:$AH$206,'Dec'!$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MONTH(A1505),'Jan'!$D$27:$AH$206,'Feb'!$D$27:$AH$206,'Mar'!$D$27:$AH$206,'Apr'!$D$27:$AH$206,'May'!$D$27:$AH$206,'Jun'!$D$27:$AH$206,'Jul'!$D$27:$AH$206,'Aug'!$D$27:$AH$206,'Sep'!$D$27:$AH$206,'Oct'!$D$27:$AH$206,'Nov'!$D$27:$AH$206,'Dec'!$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type="date" operator="between">
      <formula1>DATE(2026,1,1)</formula1>
      <formula2>DATE(2026,12,31)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SUP 1</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DATE(2026,1,1)</formula1>
      <formula2>DATE(2027,12,31)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SUP 1</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5" t="inlineStr">
        <is>
          <t>As of</t>
        </is>
      </c>
      <c r="B3" s="126" t="n"/>
      <c r="C3" s="30" t="inlineStr">
        <is>
          <t>(date of the last dashboard save)</t>
        </is>
      </c>
    </row>
    <row r="4">
      <c r="A4" s="127" t="inlineStr">
        <is>
          <t>Callsign</t>
        </is>
      </c>
      <c r="B4" s="127" t="inlineStr">
        <is>
          <t>Name</t>
        </is>
      </c>
      <c r="C4" s="127" t="inlineStr">
        <is>
          <t>Flags</t>
        </is>
      </c>
      <c r="D4" s="128">
        <f>IF('Currency Rules'!$A$6="","Rule 1",'Currency Rules'!$A$6)</f>
        <v/>
      </c>
      <c r="E4" s="129" t="n"/>
      <c r="F4" s="128">
        <f>IF('Currency Rules'!$A$7="","Rule 2",'Currency Rules'!$A$7)</f>
        <v/>
      </c>
      <c r="G4" s="129" t="n"/>
      <c r="H4" s="128">
        <f>IF('Currency Rules'!$A$8="","Rule 3",'Currency Rules'!$A$8)</f>
        <v/>
      </c>
      <c r="I4" s="129" t="n"/>
      <c r="J4" s="128">
        <f>IF('Currency Rules'!$A$9="","Rule 4",'Currency Rules'!$A$9)</f>
        <v/>
      </c>
      <c r="K4" s="129" t="n"/>
      <c r="L4" s="128">
        <f>IF('Currency Rules'!$A$10="","Rule 5",'Currency Rules'!$A$10)</f>
        <v/>
      </c>
      <c r="M4" s="129" t="n"/>
      <c r="N4" s="128">
        <f>IF('Currency Rules'!$A$11="","Rule 6",'Currency Rules'!$A$11)</f>
        <v/>
      </c>
      <c r="O4" s="129" t="n"/>
      <c r="P4" s="128">
        <f>IF('Currency Rules'!$A$12="","Rule 7",'Currency Rules'!$A$12)</f>
        <v/>
      </c>
      <c r="Q4" s="129" t="n"/>
      <c r="R4" s="128">
        <f>IF('Currency Rules'!$A$13="","Rule 8",'Currency Rules'!$A$13)</f>
        <v/>
      </c>
      <c r="S4" s="129" t="n"/>
      <c r="T4" s="128">
        <f>IF('Currency Rules'!$A$14="","Rule 9",'Currency Rules'!$A$14)</f>
        <v/>
      </c>
      <c r="U4" s="129" t="n"/>
      <c r="V4" s="128">
        <f>IF('Currency Rules'!$A$15="","Rule 10",'Currency Rules'!$A$15)</f>
        <v/>
      </c>
      <c r="W4" s="129" t="n"/>
      <c r="X4" s="128">
        <f>IF('Currency Rules'!$A$16="","Rule 11",'Currency Rules'!$A$16)</f>
        <v/>
      </c>
      <c r="Y4" s="129" t="n"/>
      <c r="Z4" s="128">
        <f>IF('Currency Rules'!$A$17="","Rule 12",'Currency Rules'!$A$17)</f>
        <v/>
      </c>
      <c r="AA4" s="129" t="n"/>
    </row>
    <row r="5">
      <c r="A5" s="2" t="n"/>
      <c r="B5" s="2" t="n"/>
      <c r="C5" s="2" t="n"/>
      <c r="D5" s="130" t="inlineStr">
        <is>
          <t>Before</t>
        </is>
      </c>
      <c r="E5" s="130" t="inlineStr">
        <is>
          <t>Status</t>
        </is>
      </c>
      <c r="F5" s="130" t="inlineStr">
        <is>
          <t>Before</t>
        </is>
      </c>
      <c r="G5" s="130" t="inlineStr">
        <is>
          <t>Status</t>
        </is>
      </c>
      <c r="H5" s="130" t="inlineStr">
        <is>
          <t>Before</t>
        </is>
      </c>
      <c r="I5" s="130" t="inlineStr">
        <is>
          <t>Status</t>
        </is>
      </c>
      <c r="J5" s="130" t="inlineStr">
        <is>
          <t>Before</t>
        </is>
      </c>
      <c r="K5" s="130" t="inlineStr">
        <is>
          <t>Status</t>
        </is>
      </c>
      <c r="L5" s="130" t="inlineStr">
        <is>
          <t>Before</t>
        </is>
      </c>
      <c r="M5" s="130" t="inlineStr">
        <is>
          <t>Status</t>
        </is>
      </c>
      <c r="N5" s="130" t="inlineStr">
        <is>
          <t>Before</t>
        </is>
      </c>
      <c r="O5" s="130" t="inlineStr">
        <is>
          <t>Status</t>
        </is>
      </c>
      <c r="P5" s="130" t="inlineStr">
        <is>
          <t>Before</t>
        </is>
      </c>
      <c r="Q5" s="130" t="inlineStr">
        <is>
          <t>Status</t>
        </is>
      </c>
      <c r="R5" s="130" t="inlineStr">
        <is>
          <t>Before</t>
        </is>
      </c>
      <c r="S5" s="130" t="inlineStr">
        <is>
          <t>Status</t>
        </is>
      </c>
      <c r="T5" s="130" t="inlineStr">
        <is>
          <t>Before</t>
        </is>
      </c>
      <c r="U5" s="130" t="inlineStr">
        <is>
          <t>Status</t>
        </is>
      </c>
      <c r="V5" s="130" t="inlineStr">
        <is>
          <t>Before</t>
        </is>
      </c>
      <c r="W5" s="130" t="inlineStr">
        <is>
          <t>Status</t>
        </is>
      </c>
      <c r="X5" s="130" t="inlineStr">
        <is>
          <t>Before</t>
        </is>
      </c>
      <c r="Y5" s="130" t="inlineStr">
        <is>
          <t>Status</t>
        </is>
      </c>
      <c r="Z5" s="130" t="inlineStr">
        <is>
          <t>Before</t>
        </is>
      </c>
      <c r="AA5" s="130" t="inlineStr">
        <is>
          <t>Status</t>
        </is>
      </c>
    </row>
    <row r="6">
      <c r="A6" s="131">
        <f>IF(Roster!$C$6="","",IF(Roster!$B$6="","#"&amp;1,Roster!$B$6&amp;""))</f>
        <v/>
      </c>
      <c r="B6" s="132">
        <f>IF(Roster!$C$6="","",Roster!$C$6)</f>
        <v/>
      </c>
      <c r="C6" s="133" t="n"/>
      <c r="D6" s="134" t="n"/>
      <c r="E6" s="135" t="n"/>
      <c r="F6" s="134" t="n">
        <v>46144</v>
      </c>
      <c r="G6" s="135" t="n"/>
      <c r="H6" s="134" t="n"/>
      <c r="I6" s="135" t="n"/>
      <c r="J6" s="134" t="n"/>
      <c r="K6" s="135" t="n"/>
      <c r="L6" s="134" t="n"/>
      <c r="M6" s="135" t="n"/>
      <c r="N6" s="134" t="n"/>
      <c r="O6" s="135" t="n"/>
      <c r="P6" s="134" t="n"/>
      <c r="Q6" s="135" t="n"/>
      <c r="R6" s="134" t="n"/>
      <c r="S6" s="135" t="n"/>
      <c r="T6" s="134" t="n"/>
      <c r="U6" s="135" t="n"/>
      <c r="V6" s="134" t="n"/>
      <c r="W6" s="135" t="n"/>
      <c r="X6" s="134" t="n"/>
      <c r="Y6" s="135" t="n"/>
      <c r="Z6" s="134" t="n"/>
      <c r="AA6" s="135" t="n"/>
    </row>
    <row r="7">
      <c r="A7" s="131">
        <f>IF(Roster!$C$7="","",IF(Roster!$B$7="","#"&amp;2,Roster!$B$7&amp;""))</f>
        <v/>
      </c>
      <c r="B7" s="132">
        <f>IF(Roster!$C$7="","",Roster!$C$7)</f>
        <v/>
      </c>
      <c r="C7" s="133" t="n"/>
      <c r="D7" s="134" t="n"/>
      <c r="E7" s="135" t="n"/>
      <c r="F7" s="134" t="n">
        <v>46193</v>
      </c>
      <c r="G7" s="135" t="n"/>
      <c r="H7" s="134" t="n">
        <v>46266</v>
      </c>
      <c r="I7" s="135" t="n"/>
      <c r="J7" s="134" t="n"/>
      <c r="K7" s="135" t="n"/>
      <c r="L7" s="134" t="n"/>
      <c r="M7" s="135" t="n"/>
      <c r="N7" s="134" t="n"/>
      <c r="O7" s="135" t="n"/>
      <c r="P7" s="134" t="n"/>
      <c r="Q7" s="135" t="n"/>
      <c r="R7" s="134" t="n"/>
      <c r="S7" s="135" t="n"/>
      <c r="T7" s="134" t="n"/>
      <c r="U7" s="135" t="n"/>
      <c r="V7" s="134" t="n"/>
      <c r="W7" s="135" t="n"/>
      <c r="X7" s="134" t="n"/>
      <c r="Y7" s="135" t="n"/>
      <c r="Z7" s="134" t="n"/>
      <c r="AA7" s="135" t="n"/>
    </row>
    <row r="8">
      <c r="A8" s="131">
        <f>IF(Roster!$C$8="","",IF(Roster!$B$8="","#"&amp;3,Roster!$B$8&amp;""))</f>
        <v/>
      </c>
      <c r="B8" s="132">
        <f>IF(Roster!$C$8="","",Roster!$C$8)</f>
        <v/>
      </c>
      <c r="C8" s="133" t="n"/>
      <c r="D8" s="134" t="n">
        <v>46275</v>
      </c>
      <c r="E8" s="135" t="n"/>
      <c r="F8" s="134" t="n">
        <v>46249</v>
      </c>
      <c r="G8" s="135" t="n"/>
      <c r="H8" s="134" t="n"/>
      <c r="I8" s="135" t="n"/>
      <c r="J8" s="134" t="n"/>
      <c r="K8" s="135" t="n"/>
      <c r="L8" s="134" t="n"/>
      <c r="M8" s="135" t="n"/>
      <c r="N8" s="134" t="n"/>
      <c r="O8" s="135" t="n"/>
      <c r="P8" s="134" t="n"/>
      <c r="Q8" s="135" t="n"/>
      <c r="R8" s="134" t="n"/>
      <c r="S8" s="135" t="n"/>
      <c r="T8" s="134" t="n"/>
      <c r="U8" s="135" t="n"/>
      <c r="V8" s="134" t="n"/>
      <c r="W8" s="135" t="n"/>
      <c r="X8" s="134" t="n"/>
      <c r="Y8" s="135" t="n"/>
      <c r="Z8" s="134" t="n"/>
      <c r="AA8" s="135" t="n"/>
    </row>
    <row r="9">
      <c r="A9" s="131">
        <f>IF(Roster!$C$9="","",IF(Roster!$B$9="","#"&amp;4,Roster!$B$9&amp;""))</f>
        <v/>
      </c>
      <c r="B9" s="132">
        <f>IF(Roster!$C$9="","",Roster!$C$9)</f>
        <v/>
      </c>
      <c r="C9" s="133" t="n"/>
      <c r="D9" s="134" t="n">
        <v>46277</v>
      </c>
      <c r="E9" s="135" t="n"/>
      <c r="F9" s="134" t="n"/>
      <c r="G9" s="135" t="n"/>
      <c r="H9" s="134" t="n"/>
      <c r="I9" s="135" t="n"/>
      <c r="J9" s="134" t="n"/>
      <c r="K9" s="135" t="n"/>
      <c r="L9" s="134" t="n"/>
      <c r="M9" s="135" t="n"/>
      <c r="N9" s="134" t="n"/>
      <c r="O9" s="135" t="n"/>
      <c r="P9" s="134" t="n"/>
      <c r="Q9" s="135" t="n"/>
      <c r="R9" s="134" t="n"/>
      <c r="S9" s="135" t="n"/>
      <c r="T9" s="134" t="n"/>
      <c r="U9" s="135" t="n"/>
      <c r="V9" s="134" t="n"/>
      <c r="W9" s="135" t="n"/>
      <c r="X9" s="134" t="n"/>
      <c r="Y9" s="135" t="n"/>
      <c r="Z9" s="134" t="n"/>
      <c r="AA9" s="135" t="n"/>
    </row>
    <row r="10">
      <c r="A10" s="131">
        <f>IF(Roster!$C$10="","",IF(Roster!$B$10="","#"&amp;5,Roster!$B$10&amp;""))</f>
        <v/>
      </c>
      <c r="B10" s="132">
        <f>IF(Roster!$C$10="","",Roster!$C$10)</f>
        <v/>
      </c>
      <c r="C10" s="133" t="n"/>
      <c r="D10" s="134" t="n"/>
      <c r="E10" s="135" t="n"/>
      <c r="F10" s="134" t="n">
        <v>46162</v>
      </c>
      <c r="G10" s="135" t="n"/>
      <c r="H10" s="134" t="n"/>
      <c r="I10" s="135" t="n"/>
      <c r="J10" s="134" t="n"/>
      <c r="K10" s="135" t="n"/>
      <c r="L10" s="134" t="n"/>
      <c r="M10" s="135" t="n"/>
      <c r="N10" s="134" t="n"/>
      <c r="O10" s="135" t="n"/>
      <c r="P10" s="134" t="n"/>
      <c r="Q10" s="135" t="n"/>
      <c r="R10" s="134" t="n"/>
      <c r="S10" s="135" t="n"/>
      <c r="T10" s="134" t="n"/>
      <c r="U10" s="135" t="n"/>
      <c r="V10" s="134" t="n"/>
      <c r="W10" s="135" t="n"/>
      <c r="X10" s="134" t="n"/>
      <c r="Y10" s="135" t="n"/>
      <c r="Z10" s="134" t="n"/>
      <c r="AA10" s="135" t="n"/>
    </row>
    <row r="11">
      <c r="A11" s="131">
        <f>IF(Roster!$C$11="","",IF(Roster!$B$11="","#"&amp;6,Roster!$B$11&amp;""))</f>
        <v/>
      </c>
      <c r="B11" s="132">
        <f>IF(Roster!$C$11="","",Roster!$C$11)</f>
        <v/>
      </c>
      <c r="C11" s="133" t="n"/>
      <c r="D11" s="134" t="n"/>
      <c r="E11" s="135" t="n"/>
      <c r="F11" s="134" t="n"/>
      <c r="G11" s="135" t="n"/>
      <c r="H11" s="134" t="n"/>
      <c r="I11" s="135" t="n"/>
      <c r="J11" s="134" t="n"/>
      <c r="K11" s="135" t="n"/>
      <c r="L11" s="134" t="n"/>
      <c r="M11" s="135" t="n"/>
      <c r="N11" s="134" t="n"/>
      <c r="O11" s="135" t="n"/>
      <c r="P11" s="134" t="n"/>
      <c r="Q11" s="135" t="n"/>
      <c r="R11" s="134" t="n"/>
      <c r="S11" s="135" t="n"/>
      <c r="T11" s="134" t="n"/>
      <c r="U11" s="135" t="n"/>
      <c r="V11" s="134" t="n"/>
      <c r="W11" s="135" t="n"/>
      <c r="X11" s="134" t="n"/>
      <c r="Y11" s="135" t="n"/>
      <c r="Z11" s="134" t="n"/>
      <c r="AA11" s="135" t="n"/>
    </row>
    <row r="12">
      <c r="A12" s="131">
        <f>IF(Roster!$C$12="","",IF(Roster!$B$12="","#"&amp;7,Roster!$B$12&amp;""))</f>
        <v/>
      </c>
      <c r="B12" s="132">
        <f>IF(Roster!$C$12="","",Roster!$C$12)</f>
        <v/>
      </c>
      <c r="C12" s="133" t="n"/>
      <c r="D12" s="134" t="n"/>
      <c r="E12" s="135" t="n"/>
      <c r="F12" s="134" t="n"/>
      <c r="G12" s="135" t="n"/>
      <c r="H12" s="134" t="n"/>
      <c r="I12" s="135" t="n"/>
      <c r="J12" s="134" t="n"/>
      <c r="K12" s="135" t="n"/>
      <c r="L12" s="134" t="n"/>
      <c r="M12" s="135" t="n"/>
      <c r="N12" s="134" t="n"/>
      <c r="O12" s="135" t="n"/>
      <c r="P12" s="134" t="n"/>
      <c r="Q12" s="135" t="n"/>
      <c r="R12" s="134" t="n"/>
      <c r="S12" s="135" t="n"/>
      <c r="T12" s="134" t="n"/>
      <c r="U12" s="135" t="n"/>
      <c r="V12" s="134" t="n"/>
      <c r="W12" s="135" t="n"/>
      <c r="X12" s="134" t="n"/>
      <c r="Y12" s="135" t="n"/>
      <c r="Z12" s="134" t="n"/>
      <c r="AA12" s="135" t="n"/>
    </row>
    <row r="13">
      <c r="A13" s="131">
        <f>IF(Roster!$C$13="","",IF(Roster!$B$13="","#"&amp;8,Roster!$B$13&amp;""))</f>
        <v/>
      </c>
      <c r="B13" s="132">
        <f>IF(Roster!$C$13="","",Roster!$C$13)</f>
        <v/>
      </c>
      <c r="C13" s="133" t="n"/>
      <c r="D13" s="134" t="n"/>
      <c r="E13" s="135" t="n"/>
      <c r="F13" s="134" t="n"/>
      <c r="G13" s="135" t="n"/>
      <c r="H13" s="134" t="n"/>
      <c r="I13" s="135" t="n"/>
      <c r="J13" s="134" t="n"/>
      <c r="K13" s="135" t="n"/>
      <c r="L13" s="134" t="n"/>
      <c r="M13" s="135" t="n"/>
      <c r="N13" s="134" t="n"/>
      <c r="O13" s="135" t="n"/>
      <c r="P13" s="134" t="n"/>
      <c r="Q13" s="135" t="n"/>
      <c r="R13" s="134" t="n"/>
      <c r="S13" s="135" t="n"/>
      <c r="T13" s="134" t="n"/>
      <c r="U13" s="135" t="n"/>
      <c r="V13" s="134" t="n"/>
      <c r="W13" s="135" t="n"/>
      <c r="X13" s="134" t="n"/>
      <c r="Y13" s="135" t="n"/>
      <c r="Z13" s="134" t="n"/>
      <c r="AA13" s="135" t="n"/>
    </row>
    <row r="14">
      <c r="A14" s="131">
        <f>IF(Roster!$C$14="","",IF(Roster!$B$14="","#"&amp;9,Roster!$B$14&amp;""))</f>
        <v/>
      </c>
      <c r="B14" s="132">
        <f>IF(Roster!$C$14="","",Roster!$C$14)</f>
        <v/>
      </c>
      <c r="C14" s="133" t="n"/>
      <c r="D14" s="134" t="n"/>
      <c r="E14" s="135" t="n"/>
      <c r="F14" s="134" t="n"/>
      <c r="G14" s="135" t="n"/>
      <c r="H14" s="134" t="n"/>
      <c r="I14" s="135" t="n"/>
      <c r="J14" s="134" t="n"/>
      <c r="K14" s="135" t="n"/>
      <c r="L14" s="134" t="n"/>
      <c r="M14" s="135" t="n"/>
      <c r="N14" s="134" t="n"/>
      <c r="O14" s="135" t="n"/>
      <c r="P14" s="134" t="n"/>
      <c r="Q14" s="135" t="n"/>
      <c r="R14" s="134" t="n"/>
      <c r="S14" s="135" t="n"/>
      <c r="T14" s="134" t="n"/>
      <c r="U14" s="135" t="n"/>
      <c r="V14" s="134" t="n"/>
      <c r="W14" s="135" t="n"/>
      <c r="X14" s="134" t="n"/>
      <c r="Y14" s="135" t="n"/>
      <c r="Z14" s="134" t="n"/>
      <c r="AA14" s="135" t="n"/>
    </row>
    <row r="15">
      <c r="A15" s="131">
        <f>IF(Roster!$C$15="","",IF(Roster!$B$15="","#"&amp;10,Roster!$B$15&amp;""))</f>
        <v/>
      </c>
      <c r="B15" s="132">
        <f>IF(Roster!$C$15="","",Roster!$C$15)</f>
        <v/>
      </c>
      <c r="C15" s="133" t="n"/>
      <c r="D15" s="134" t="n"/>
      <c r="E15" s="135" t="n"/>
      <c r="F15" s="134" t="n"/>
      <c r="G15" s="135" t="n"/>
      <c r="H15" s="134" t="n"/>
      <c r="I15" s="135" t="n"/>
      <c r="J15" s="134" t="n"/>
      <c r="K15" s="135" t="n"/>
      <c r="L15" s="134" t="n"/>
      <c r="M15" s="135" t="n"/>
      <c r="N15" s="134" t="n"/>
      <c r="O15" s="135" t="n"/>
      <c r="P15" s="134" t="n"/>
      <c r="Q15" s="135" t="n"/>
      <c r="R15" s="134" t="n"/>
      <c r="S15" s="135" t="n"/>
      <c r="T15" s="134" t="n"/>
      <c r="U15" s="135" t="n"/>
      <c r="V15" s="134" t="n"/>
      <c r="W15" s="135" t="n"/>
      <c r="X15" s="134" t="n"/>
      <c r="Y15" s="135" t="n"/>
      <c r="Z15" s="134" t="n"/>
      <c r="AA15" s="135" t="n"/>
    </row>
    <row r="16">
      <c r="A16" s="131">
        <f>IF(Roster!$C$16="","",IF(Roster!$B$16="","#"&amp;11,Roster!$B$16&amp;""))</f>
        <v/>
      </c>
      <c r="B16" s="132">
        <f>IF(Roster!$C$16="","",Roster!$C$16)</f>
        <v/>
      </c>
      <c r="C16" s="133" t="n"/>
      <c r="D16" s="134" t="n"/>
      <c r="E16" s="135" t="n"/>
      <c r="F16" s="134" t="n"/>
      <c r="G16" s="135" t="n"/>
      <c r="H16" s="134" t="n"/>
      <c r="I16" s="135" t="n"/>
      <c r="J16" s="134" t="n"/>
      <c r="K16" s="135" t="n"/>
      <c r="L16" s="134" t="n"/>
      <c r="M16" s="135" t="n"/>
      <c r="N16" s="134" t="n"/>
      <c r="O16" s="135" t="n"/>
      <c r="P16" s="134" t="n"/>
      <c r="Q16" s="135" t="n"/>
      <c r="R16" s="134" t="n"/>
      <c r="S16" s="135" t="n"/>
      <c r="T16" s="134" t="n"/>
      <c r="U16" s="135" t="n"/>
      <c r="V16" s="134" t="n"/>
      <c r="W16" s="135" t="n"/>
      <c r="X16" s="134" t="n"/>
      <c r="Y16" s="135" t="n"/>
      <c r="Z16" s="134" t="n"/>
      <c r="AA16" s="135" t="n"/>
    </row>
    <row r="17">
      <c r="A17" s="131">
        <f>IF(Roster!$C$17="","",IF(Roster!$B$17="","#"&amp;12,Roster!$B$17&amp;""))</f>
        <v/>
      </c>
      <c r="B17" s="132">
        <f>IF(Roster!$C$17="","",Roster!$C$17)</f>
        <v/>
      </c>
      <c r="C17" s="133" t="n"/>
      <c r="D17" s="134" t="n"/>
      <c r="E17" s="135" t="n"/>
      <c r="F17" s="134" t="n"/>
      <c r="G17" s="135" t="n"/>
      <c r="H17" s="134" t="n"/>
      <c r="I17" s="135" t="n"/>
      <c r="J17" s="134" t="n"/>
      <c r="K17" s="135" t="n"/>
      <c r="L17" s="134" t="n"/>
      <c r="M17" s="135" t="n"/>
      <c r="N17" s="134" t="n"/>
      <c r="O17" s="135" t="n"/>
      <c r="P17" s="134" t="n"/>
      <c r="Q17" s="135" t="n"/>
      <c r="R17" s="134" t="n"/>
      <c r="S17" s="135" t="n"/>
      <c r="T17" s="134" t="n"/>
      <c r="U17" s="135" t="n"/>
      <c r="V17" s="134" t="n"/>
      <c r="W17" s="135" t="n"/>
      <c r="X17" s="134" t="n"/>
      <c r="Y17" s="135" t="n"/>
      <c r="Z17" s="134" t="n"/>
      <c r="AA17" s="135" t="n"/>
    </row>
    <row r="18">
      <c r="A18" s="131">
        <f>IF(Roster!$C$18="","",IF(Roster!$B$18="","#"&amp;13,Roster!$B$18&amp;""))</f>
        <v/>
      </c>
      <c r="B18" s="132">
        <f>IF(Roster!$C$18="","",Roster!$C$18)</f>
        <v/>
      </c>
      <c r="C18" s="133" t="n"/>
      <c r="D18" s="134" t="n"/>
      <c r="E18" s="135" t="n"/>
      <c r="F18" s="134" t="n"/>
      <c r="G18" s="135" t="n"/>
      <c r="H18" s="134" t="n"/>
      <c r="I18" s="135" t="n"/>
      <c r="J18" s="134" t="n"/>
      <c r="K18" s="135" t="n"/>
      <c r="L18" s="134" t="n"/>
      <c r="M18" s="135" t="n"/>
      <c r="N18" s="134" t="n"/>
      <c r="O18" s="135" t="n"/>
      <c r="P18" s="134" t="n"/>
      <c r="Q18" s="135" t="n"/>
      <c r="R18" s="134" t="n"/>
      <c r="S18" s="135" t="n"/>
      <c r="T18" s="134" t="n"/>
      <c r="U18" s="135" t="n"/>
      <c r="V18" s="134" t="n"/>
      <c r="W18" s="135" t="n"/>
      <c r="X18" s="134" t="n"/>
      <c r="Y18" s="135" t="n"/>
      <c r="Z18" s="134" t="n"/>
      <c r="AA18" s="135" t="n"/>
    </row>
    <row r="19">
      <c r="A19" s="131">
        <f>IF(Roster!$C$19="","",IF(Roster!$B$19="","#"&amp;14,Roster!$B$19&amp;""))</f>
        <v/>
      </c>
      <c r="B19" s="132">
        <f>IF(Roster!$C$19="","",Roster!$C$19)</f>
        <v/>
      </c>
      <c r="C19" s="133" t="n"/>
      <c r="D19" s="134" t="n"/>
      <c r="E19" s="135" t="n"/>
      <c r="F19" s="134" t="n"/>
      <c r="G19" s="135" t="n"/>
      <c r="H19" s="134" t="n"/>
      <c r="I19" s="135" t="n"/>
      <c r="J19" s="134" t="n"/>
      <c r="K19" s="135" t="n"/>
      <c r="L19" s="134" t="n"/>
      <c r="M19" s="135" t="n"/>
      <c r="N19" s="134" t="n"/>
      <c r="O19" s="135" t="n"/>
      <c r="P19" s="134" t="n"/>
      <c r="Q19" s="135" t="n"/>
      <c r="R19" s="134" t="n"/>
      <c r="S19" s="135" t="n"/>
      <c r="T19" s="134" t="n"/>
      <c r="U19" s="135" t="n"/>
      <c r="V19" s="134" t="n"/>
      <c r="W19" s="135" t="n"/>
      <c r="X19" s="134" t="n"/>
      <c r="Y19" s="135" t="n"/>
      <c r="Z19" s="134" t="n"/>
      <c r="AA19" s="135" t="n"/>
    </row>
    <row r="20">
      <c r="A20" s="131">
        <f>IF(Roster!$C$20="","",IF(Roster!$B$20="","#"&amp;15,Roster!$B$20&amp;""))</f>
        <v/>
      </c>
      <c r="B20" s="132">
        <f>IF(Roster!$C$20="","",Roster!$C$20)</f>
        <v/>
      </c>
      <c r="C20" s="133" t="n"/>
      <c r="D20" s="134" t="n"/>
      <c r="E20" s="135" t="n"/>
      <c r="F20" s="134" t="n"/>
      <c r="G20" s="135" t="n"/>
      <c r="H20" s="134" t="n"/>
      <c r="I20" s="135" t="n"/>
      <c r="J20" s="134" t="n"/>
      <c r="K20" s="135" t="n"/>
      <c r="L20" s="134" t="n"/>
      <c r="M20" s="135" t="n"/>
      <c r="N20" s="134" t="n"/>
      <c r="O20" s="135" t="n"/>
      <c r="P20" s="134" t="n"/>
      <c r="Q20" s="135" t="n"/>
      <c r="R20" s="134" t="n"/>
      <c r="S20" s="135" t="n"/>
      <c r="T20" s="134" t="n"/>
      <c r="U20" s="135" t="n"/>
      <c r="V20" s="134" t="n"/>
      <c r="W20" s="135" t="n"/>
      <c r="X20" s="134" t="n"/>
      <c r="Y20" s="135" t="n"/>
      <c r="Z20" s="134" t="n"/>
      <c r="AA20" s="135" t="n"/>
    </row>
    <row r="21">
      <c r="A21" s="131">
        <f>IF(Roster!$C$21="","",IF(Roster!$B$21="","#"&amp;16,Roster!$B$21&amp;""))</f>
        <v/>
      </c>
      <c r="B21" s="132">
        <f>IF(Roster!$C$21="","",Roster!$C$21)</f>
        <v/>
      </c>
      <c r="C21" s="133" t="n"/>
      <c r="D21" s="134" t="n"/>
      <c r="E21" s="135" t="n"/>
      <c r="F21" s="134" t="n"/>
      <c r="G21" s="135" t="n"/>
      <c r="H21" s="134" t="n"/>
      <c r="I21" s="135" t="n"/>
      <c r="J21" s="134" t="n"/>
      <c r="K21" s="135" t="n"/>
      <c r="L21" s="134" t="n"/>
      <c r="M21" s="135" t="n"/>
      <c r="N21" s="134" t="n"/>
      <c r="O21" s="135" t="n"/>
      <c r="P21" s="134" t="n"/>
      <c r="Q21" s="135" t="n"/>
      <c r="R21" s="134" t="n"/>
      <c r="S21" s="135" t="n"/>
      <c r="T21" s="134" t="n"/>
      <c r="U21" s="135" t="n"/>
      <c r="V21" s="134" t="n"/>
      <c r="W21" s="135" t="n"/>
      <c r="X21" s="134" t="n"/>
      <c r="Y21" s="135" t="n"/>
      <c r="Z21" s="134" t="n"/>
      <c r="AA21" s="135" t="n"/>
    </row>
    <row r="22">
      <c r="A22" s="131">
        <f>IF(Roster!$C$22="","",IF(Roster!$B$22="","#"&amp;17,Roster!$B$22&amp;""))</f>
        <v/>
      </c>
      <c r="B22" s="132">
        <f>IF(Roster!$C$22="","",Roster!$C$22)</f>
        <v/>
      </c>
      <c r="C22" s="133" t="n"/>
      <c r="D22" s="134" t="n"/>
      <c r="E22" s="135" t="n"/>
      <c r="F22" s="134" t="n"/>
      <c r="G22" s="135" t="n"/>
      <c r="H22" s="134" t="n"/>
      <c r="I22" s="135" t="n"/>
      <c r="J22" s="134" t="n"/>
      <c r="K22" s="135" t="n"/>
      <c r="L22" s="134" t="n"/>
      <c r="M22" s="135" t="n"/>
      <c r="N22" s="134" t="n"/>
      <c r="O22" s="135" t="n"/>
      <c r="P22" s="134" t="n"/>
      <c r="Q22" s="135" t="n"/>
      <c r="R22" s="134" t="n"/>
      <c r="S22" s="135" t="n"/>
      <c r="T22" s="134" t="n"/>
      <c r="U22" s="135" t="n"/>
      <c r="V22" s="134" t="n"/>
      <c r="W22" s="135" t="n"/>
      <c r="X22" s="134" t="n"/>
      <c r="Y22" s="135" t="n"/>
      <c r="Z22" s="134" t="n"/>
      <c r="AA22" s="135" t="n"/>
    </row>
    <row r="23">
      <c r="A23" s="131">
        <f>IF(Roster!$C$23="","",IF(Roster!$B$23="","#"&amp;18,Roster!$B$23&amp;""))</f>
        <v/>
      </c>
      <c r="B23" s="132">
        <f>IF(Roster!$C$23="","",Roster!$C$23)</f>
        <v/>
      </c>
      <c r="C23" s="133" t="n"/>
      <c r="D23" s="134" t="n"/>
      <c r="E23" s="135" t="n"/>
      <c r="F23" s="134" t="n"/>
      <c r="G23" s="135" t="n"/>
      <c r="H23" s="134" t="n"/>
      <c r="I23" s="135" t="n"/>
      <c r="J23" s="134" t="n"/>
      <c r="K23" s="135" t="n"/>
      <c r="L23" s="134" t="n"/>
      <c r="M23" s="135" t="n"/>
      <c r="N23" s="134" t="n"/>
      <c r="O23" s="135" t="n"/>
      <c r="P23" s="134" t="n"/>
      <c r="Q23" s="135" t="n"/>
      <c r="R23" s="134" t="n"/>
      <c r="S23" s="135" t="n"/>
      <c r="T23" s="134" t="n"/>
      <c r="U23" s="135" t="n"/>
      <c r="V23" s="134" t="n"/>
      <c r="W23" s="135" t="n"/>
      <c r="X23" s="134" t="n"/>
      <c r="Y23" s="135" t="n"/>
      <c r="Z23" s="134" t="n"/>
      <c r="AA23" s="135" t="n"/>
    </row>
    <row r="24">
      <c r="A24" s="131">
        <f>IF(Roster!$C$24="","",IF(Roster!$B$24="","#"&amp;19,Roster!$B$24&amp;""))</f>
        <v/>
      </c>
      <c r="B24" s="132">
        <f>IF(Roster!$C$24="","",Roster!$C$24)</f>
        <v/>
      </c>
      <c r="C24" s="133" t="n"/>
      <c r="D24" s="134" t="n"/>
      <c r="E24" s="135" t="n"/>
      <c r="F24" s="134" t="n"/>
      <c r="G24" s="135" t="n"/>
      <c r="H24" s="134" t="n"/>
      <c r="I24" s="135" t="n"/>
      <c r="J24" s="134" t="n"/>
      <c r="K24" s="135" t="n"/>
      <c r="L24" s="134" t="n"/>
      <c r="M24" s="135" t="n"/>
      <c r="N24" s="134" t="n"/>
      <c r="O24" s="135" t="n"/>
      <c r="P24" s="134" t="n"/>
      <c r="Q24" s="135" t="n"/>
      <c r="R24" s="134" t="n"/>
      <c r="S24" s="135" t="n"/>
      <c r="T24" s="134" t="n"/>
      <c r="U24" s="135" t="n"/>
      <c r="V24" s="134" t="n"/>
      <c r="W24" s="135" t="n"/>
      <c r="X24" s="134" t="n"/>
      <c r="Y24" s="135" t="n"/>
      <c r="Z24" s="134" t="n"/>
      <c r="AA24" s="135" t="n"/>
    </row>
    <row r="25">
      <c r="A25" s="131">
        <f>IF(Roster!$C$25="","",IF(Roster!$B$25="","#"&amp;20,Roster!$B$25&amp;""))</f>
        <v/>
      </c>
      <c r="B25" s="132">
        <f>IF(Roster!$C$25="","",Roster!$C$25)</f>
        <v/>
      </c>
      <c r="C25" s="133" t="n"/>
      <c r="D25" s="134" t="n"/>
      <c r="E25" s="135" t="n"/>
      <c r="F25" s="134" t="n"/>
      <c r="G25" s="135" t="n"/>
      <c r="H25" s="134" t="n"/>
      <c r="I25" s="135" t="n"/>
      <c r="J25" s="134" t="n"/>
      <c r="K25" s="135" t="n"/>
      <c r="L25" s="134" t="n"/>
      <c r="M25" s="135" t="n"/>
      <c r="N25" s="134" t="n"/>
      <c r="O25" s="135" t="n"/>
      <c r="P25" s="134" t="n"/>
      <c r="Q25" s="135" t="n"/>
      <c r="R25" s="134" t="n"/>
      <c r="S25" s="135" t="n"/>
      <c r="T25" s="134" t="n"/>
      <c r="U25" s="135" t="n"/>
      <c r="V25" s="134" t="n"/>
      <c r="W25" s="135" t="n"/>
      <c r="X25" s="134" t="n"/>
      <c r="Y25" s="135" t="n"/>
      <c r="Z25" s="134" t="n"/>
      <c r="AA25" s="135" t="n"/>
    </row>
    <row r="26">
      <c r="A26" s="131">
        <f>IF(Roster!$C$26="","",IF(Roster!$B$26="","#"&amp;21,Roster!$B$26&amp;""))</f>
        <v/>
      </c>
      <c r="B26" s="132">
        <f>IF(Roster!$C$26="","",Roster!$C$26)</f>
        <v/>
      </c>
      <c r="C26" s="133" t="n"/>
      <c r="D26" s="134" t="n"/>
      <c r="E26" s="135" t="n"/>
      <c r="F26" s="134" t="n"/>
      <c r="G26" s="135" t="n"/>
      <c r="H26" s="134" t="n"/>
      <c r="I26" s="135" t="n"/>
      <c r="J26" s="134" t="n"/>
      <c r="K26" s="135" t="n"/>
      <c r="L26" s="134" t="n"/>
      <c r="M26" s="135" t="n"/>
      <c r="N26" s="134" t="n"/>
      <c r="O26" s="135" t="n"/>
      <c r="P26" s="134" t="n"/>
      <c r="Q26" s="135" t="n"/>
      <c r="R26" s="134" t="n"/>
      <c r="S26" s="135" t="n"/>
      <c r="T26" s="134" t="n"/>
      <c r="U26" s="135" t="n"/>
      <c r="V26" s="134" t="n"/>
      <c r="W26" s="135" t="n"/>
      <c r="X26" s="134" t="n"/>
      <c r="Y26" s="135" t="n"/>
      <c r="Z26" s="134" t="n"/>
      <c r="AA26" s="135" t="n"/>
    </row>
    <row r="27">
      <c r="A27" s="131">
        <f>IF(Roster!$C$27="","",IF(Roster!$B$27="","#"&amp;22,Roster!$B$27&amp;""))</f>
        <v/>
      </c>
      <c r="B27" s="132">
        <f>IF(Roster!$C$27="","",Roster!$C$27)</f>
        <v/>
      </c>
      <c r="C27" s="133" t="n"/>
      <c r="D27" s="134" t="n"/>
      <c r="E27" s="135" t="n"/>
      <c r="F27" s="134" t="n"/>
      <c r="G27" s="135" t="n"/>
      <c r="H27" s="134" t="n"/>
      <c r="I27" s="135" t="n"/>
      <c r="J27" s="134" t="n"/>
      <c r="K27" s="135" t="n"/>
      <c r="L27" s="134" t="n"/>
      <c r="M27" s="135" t="n"/>
      <c r="N27" s="134" t="n"/>
      <c r="O27" s="135" t="n"/>
      <c r="P27" s="134" t="n"/>
      <c r="Q27" s="135" t="n"/>
      <c r="R27" s="134" t="n"/>
      <c r="S27" s="135" t="n"/>
      <c r="T27" s="134" t="n"/>
      <c r="U27" s="135" t="n"/>
      <c r="V27" s="134" t="n"/>
      <c r="W27" s="135" t="n"/>
      <c r="X27" s="134" t="n"/>
      <c r="Y27" s="135" t="n"/>
      <c r="Z27" s="134" t="n"/>
      <c r="AA27" s="135" t="n"/>
    </row>
    <row r="28">
      <c r="A28" s="131">
        <f>IF(Roster!$C$28="","",IF(Roster!$B$28="","#"&amp;23,Roster!$B$28&amp;""))</f>
        <v/>
      </c>
      <c r="B28" s="132">
        <f>IF(Roster!$C$28="","",Roster!$C$28)</f>
        <v/>
      </c>
      <c r="C28" s="133" t="n"/>
      <c r="D28" s="134" t="n"/>
      <c r="E28" s="135" t="n"/>
      <c r="F28" s="134" t="n"/>
      <c r="G28" s="135" t="n"/>
      <c r="H28" s="134" t="n"/>
      <c r="I28" s="135" t="n"/>
      <c r="J28" s="134" t="n"/>
      <c r="K28" s="135" t="n"/>
      <c r="L28" s="134" t="n"/>
      <c r="M28" s="135" t="n"/>
      <c r="N28" s="134" t="n"/>
      <c r="O28" s="135" t="n"/>
      <c r="P28" s="134" t="n"/>
      <c r="Q28" s="135" t="n"/>
      <c r="R28" s="134" t="n"/>
      <c r="S28" s="135" t="n"/>
      <c r="T28" s="134" t="n"/>
      <c r="U28" s="135" t="n"/>
      <c r="V28" s="134" t="n"/>
      <c r="W28" s="135" t="n"/>
      <c r="X28" s="134" t="n"/>
      <c r="Y28" s="135" t="n"/>
      <c r="Z28" s="134" t="n"/>
      <c r="AA28" s="135" t="n"/>
    </row>
    <row r="29">
      <c r="A29" s="131">
        <f>IF(Roster!$C$29="","",IF(Roster!$B$29="","#"&amp;24,Roster!$B$29&amp;""))</f>
        <v/>
      </c>
      <c r="B29" s="132">
        <f>IF(Roster!$C$29="","",Roster!$C$29)</f>
        <v/>
      </c>
      <c r="C29" s="133" t="n"/>
      <c r="D29" s="134" t="n"/>
      <c r="E29" s="135" t="n"/>
      <c r="F29" s="134" t="n"/>
      <c r="G29" s="135" t="n"/>
      <c r="H29" s="134" t="n"/>
      <c r="I29" s="135" t="n"/>
      <c r="J29" s="134" t="n"/>
      <c r="K29" s="135" t="n"/>
      <c r="L29" s="134" t="n"/>
      <c r="M29" s="135" t="n"/>
      <c r="N29" s="134" t="n"/>
      <c r="O29" s="135" t="n"/>
      <c r="P29" s="134" t="n"/>
      <c r="Q29" s="135" t="n"/>
      <c r="R29" s="134" t="n"/>
      <c r="S29" s="135" t="n"/>
      <c r="T29" s="134" t="n"/>
      <c r="U29" s="135" t="n"/>
      <c r="V29" s="134" t="n"/>
      <c r="W29" s="135" t="n"/>
      <c r="X29" s="134" t="n"/>
      <c r="Y29" s="135" t="n"/>
      <c r="Z29" s="134" t="n"/>
      <c r="AA29" s="135" t="n"/>
    </row>
    <row r="30">
      <c r="A30" s="131">
        <f>IF(Roster!$C$30="","",IF(Roster!$B$30="","#"&amp;25,Roster!$B$30&amp;""))</f>
        <v/>
      </c>
      <c r="B30" s="132">
        <f>IF(Roster!$C$30="","",Roster!$C$30)</f>
        <v/>
      </c>
      <c r="C30" s="133" t="n"/>
      <c r="D30" s="134" t="n"/>
      <c r="E30" s="135" t="n"/>
      <c r="F30" s="134" t="n"/>
      <c r="G30" s="135" t="n"/>
      <c r="H30" s="134" t="n"/>
      <c r="I30" s="135" t="n"/>
      <c r="J30" s="134" t="n"/>
      <c r="K30" s="135" t="n"/>
      <c r="L30" s="134" t="n"/>
      <c r="M30" s="135" t="n"/>
      <c r="N30" s="134" t="n"/>
      <c r="O30" s="135" t="n"/>
      <c r="P30" s="134" t="n"/>
      <c r="Q30" s="135" t="n"/>
      <c r="R30" s="134" t="n"/>
      <c r="S30" s="135" t="n"/>
      <c r="T30" s="134" t="n"/>
      <c r="U30" s="135" t="n"/>
      <c r="V30" s="134" t="n"/>
      <c r="W30" s="135" t="n"/>
      <c r="X30" s="134" t="n"/>
      <c r="Y30" s="135" t="n"/>
      <c r="Z30" s="134" t="n"/>
      <c r="AA30" s="135" t="n"/>
    </row>
    <row r="31">
      <c r="A31" s="131">
        <f>IF(Roster!$C$31="","",IF(Roster!$B$31="","#"&amp;26,Roster!$B$31&amp;""))</f>
        <v/>
      </c>
      <c r="B31" s="132">
        <f>IF(Roster!$C$31="","",Roster!$C$31)</f>
        <v/>
      </c>
      <c r="C31" s="133" t="n"/>
      <c r="D31" s="134" t="n"/>
      <c r="E31" s="135" t="n"/>
      <c r="F31" s="134" t="n"/>
      <c r="G31" s="135" t="n"/>
      <c r="H31" s="134" t="n"/>
      <c r="I31" s="135" t="n"/>
      <c r="J31" s="134" t="n"/>
      <c r="K31" s="135" t="n"/>
      <c r="L31" s="134" t="n"/>
      <c r="M31" s="135" t="n"/>
      <c r="N31" s="134" t="n"/>
      <c r="O31" s="135" t="n"/>
      <c r="P31" s="134" t="n"/>
      <c r="Q31" s="135" t="n"/>
      <c r="R31" s="134" t="n"/>
      <c r="S31" s="135" t="n"/>
      <c r="T31" s="134" t="n"/>
      <c r="U31" s="135" t="n"/>
      <c r="V31" s="134" t="n"/>
      <c r="W31" s="135" t="n"/>
      <c r="X31" s="134" t="n"/>
      <c r="Y31" s="135" t="n"/>
      <c r="Z31" s="134" t="n"/>
      <c r="AA31" s="135" t="n"/>
    </row>
    <row r="32">
      <c r="A32" s="131">
        <f>IF(Roster!$C$32="","",IF(Roster!$B$32="","#"&amp;27,Roster!$B$32&amp;""))</f>
        <v/>
      </c>
      <c r="B32" s="132">
        <f>IF(Roster!$C$32="","",Roster!$C$32)</f>
        <v/>
      </c>
      <c r="C32" s="133" t="n"/>
      <c r="D32" s="134" t="n"/>
      <c r="E32" s="135" t="n"/>
      <c r="F32" s="134" t="n"/>
      <c r="G32" s="135" t="n"/>
      <c r="H32" s="134" t="n"/>
      <c r="I32" s="135" t="n"/>
      <c r="J32" s="134" t="n"/>
      <c r="K32" s="135" t="n"/>
      <c r="L32" s="134" t="n"/>
      <c r="M32" s="135" t="n"/>
      <c r="N32" s="134" t="n"/>
      <c r="O32" s="135" t="n"/>
      <c r="P32" s="134" t="n"/>
      <c r="Q32" s="135" t="n"/>
      <c r="R32" s="134" t="n"/>
      <c r="S32" s="135" t="n"/>
      <c r="T32" s="134" t="n"/>
      <c r="U32" s="135" t="n"/>
      <c r="V32" s="134" t="n"/>
      <c r="W32" s="135" t="n"/>
      <c r="X32" s="134" t="n"/>
      <c r="Y32" s="135" t="n"/>
      <c r="Z32" s="134" t="n"/>
      <c r="AA32" s="135" t="n"/>
    </row>
    <row r="33">
      <c r="A33" s="131">
        <f>IF(Roster!$C$33="","",IF(Roster!$B$33="","#"&amp;28,Roster!$B$33&amp;""))</f>
        <v/>
      </c>
      <c r="B33" s="132">
        <f>IF(Roster!$C$33="","",Roster!$C$33)</f>
        <v/>
      </c>
      <c r="C33" s="133" t="n"/>
      <c r="D33" s="134" t="n"/>
      <c r="E33" s="135" t="n"/>
      <c r="F33" s="134" t="n"/>
      <c r="G33" s="135" t="n"/>
      <c r="H33" s="134" t="n"/>
      <c r="I33" s="135" t="n"/>
      <c r="J33" s="134" t="n"/>
      <c r="K33" s="135" t="n"/>
      <c r="L33" s="134" t="n"/>
      <c r="M33" s="135" t="n"/>
      <c r="N33" s="134" t="n"/>
      <c r="O33" s="135" t="n"/>
      <c r="P33" s="134" t="n"/>
      <c r="Q33" s="135" t="n"/>
      <c r="R33" s="134" t="n"/>
      <c r="S33" s="135" t="n"/>
      <c r="T33" s="134" t="n"/>
      <c r="U33" s="135" t="n"/>
      <c r="V33" s="134" t="n"/>
      <c r="W33" s="135" t="n"/>
      <c r="X33" s="134" t="n"/>
      <c r="Y33" s="135" t="n"/>
      <c r="Z33" s="134" t="n"/>
      <c r="AA33" s="135" t="n"/>
    </row>
    <row r="34">
      <c r="A34" s="131">
        <f>IF(Roster!$C$34="","",IF(Roster!$B$34="","#"&amp;29,Roster!$B$34&amp;""))</f>
        <v/>
      </c>
      <c r="B34" s="132">
        <f>IF(Roster!$C$34="","",Roster!$C$34)</f>
        <v/>
      </c>
      <c r="C34" s="133" t="n"/>
      <c r="D34" s="134" t="n"/>
      <c r="E34" s="135" t="n"/>
      <c r="F34" s="134" t="n"/>
      <c r="G34" s="135" t="n"/>
      <c r="H34" s="134" t="n"/>
      <c r="I34" s="135" t="n"/>
      <c r="J34" s="134" t="n"/>
      <c r="K34" s="135" t="n"/>
      <c r="L34" s="134" t="n"/>
      <c r="M34" s="135" t="n"/>
      <c r="N34" s="134" t="n"/>
      <c r="O34" s="135" t="n"/>
      <c r="P34" s="134" t="n"/>
      <c r="Q34" s="135" t="n"/>
      <c r="R34" s="134" t="n"/>
      <c r="S34" s="135" t="n"/>
      <c r="T34" s="134" t="n"/>
      <c r="U34" s="135" t="n"/>
      <c r="V34" s="134" t="n"/>
      <c r="W34" s="135" t="n"/>
      <c r="X34" s="134" t="n"/>
      <c r="Y34" s="135" t="n"/>
      <c r="Z34" s="134" t="n"/>
      <c r="AA34" s="135" t="n"/>
    </row>
    <row r="35">
      <c r="A35" s="131">
        <f>IF(Roster!$C$35="","",IF(Roster!$B$35="","#"&amp;30,Roster!$B$35&amp;""))</f>
        <v/>
      </c>
      <c r="B35" s="132">
        <f>IF(Roster!$C$35="","",Roster!$C$35)</f>
        <v/>
      </c>
      <c r="C35" s="133" t="n"/>
      <c r="D35" s="134" t="n"/>
      <c r="E35" s="135" t="n"/>
      <c r="F35" s="134" t="n"/>
      <c r="G35" s="135" t="n"/>
      <c r="H35" s="134" t="n"/>
      <c r="I35" s="135" t="n"/>
      <c r="J35" s="134" t="n"/>
      <c r="K35" s="135" t="n"/>
      <c r="L35" s="134" t="n"/>
      <c r="M35" s="135" t="n"/>
      <c r="N35" s="134" t="n"/>
      <c r="O35" s="135" t="n"/>
      <c r="P35" s="134" t="n"/>
      <c r="Q35" s="135" t="n"/>
      <c r="R35" s="134" t="n"/>
      <c r="S35" s="135" t="n"/>
      <c r="T35" s="134" t="n"/>
      <c r="U35" s="135" t="n"/>
      <c r="V35" s="134" t="n"/>
      <c r="W35" s="135" t="n"/>
      <c r="X35" s="134" t="n"/>
      <c r="Y35" s="135" t="n"/>
      <c r="Z35" s="134" t="n"/>
      <c r="AA35" s="135" t="n"/>
    </row>
    <row r="36">
      <c r="A36" s="131">
        <f>IF(Roster!$C$36="","",IF(Roster!$B$36="","#"&amp;31,Roster!$B$36&amp;""))</f>
        <v/>
      </c>
      <c r="B36" s="132">
        <f>IF(Roster!$C$36="","",Roster!$C$36)</f>
        <v/>
      </c>
      <c r="C36" s="133" t="n"/>
      <c r="D36" s="134" t="n"/>
      <c r="E36" s="135" t="n"/>
      <c r="F36" s="134" t="n"/>
      <c r="G36" s="135" t="n"/>
      <c r="H36" s="134" t="n"/>
      <c r="I36" s="135" t="n"/>
      <c r="J36" s="134" t="n"/>
      <c r="K36" s="135" t="n"/>
      <c r="L36" s="134" t="n"/>
      <c r="M36" s="135" t="n"/>
      <c r="N36" s="134" t="n"/>
      <c r="O36" s="135" t="n"/>
      <c r="P36" s="134" t="n"/>
      <c r="Q36" s="135" t="n"/>
      <c r="R36" s="134" t="n"/>
      <c r="S36" s="135" t="n"/>
      <c r="T36" s="134" t="n"/>
      <c r="U36" s="135" t="n"/>
      <c r="V36" s="134" t="n"/>
      <c r="W36" s="135" t="n"/>
      <c r="X36" s="134" t="n"/>
      <c r="Y36" s="135" t="n"/>
      <c r="Z36" s="134" t="n"/>
      <c r="AA36" s="135" t="n"/>
    </row>
    <row r="37">
      <c r="A37" s="131">
        <f>IF(Roster!$C$37="","",IF(Roster!$B$37="","#"&amp;32,Roster!$B$37&amp;""))</f>
        <v/>
      </c>
      <c r="B37" s="132">
        <f>IF(Roster!$C$37="","",Roster!$C$37)</f>
        <v/>
      </c>
      <c r="C37" s="133" t="n"/>
      <c r="D37" s="134" t="n"/>
      <c r="E37" s="135" t="n"/>
      <c r="F37" s="134" t="n"/>
      <c r="G37" s="135" t="n"/>
      <c r="H37" s="134" t="n"/>
      <c r="I37" s="135" t="n"/>
      <c r="J37" s="134" t="n"/>
      <c r="K37" s="135" t="n"/>
      <c r="L37" s="134" t="n"/>
      <c r="M37" s="135" t="n"/>
      <c r="N37" s="134" t="n"/>
      <c r="O37" s="135" t="n"/>
      <c r="P37" s="134" t="n"/>
      <c r="Q37" s="135" t="n"/>
      <c r="R37" s="134" t="n"/>
      <c r="S37" s="135" t="n"/>
      <c r="T37" s="134" t="n"/>
      <c r="U37" s="135" t="n"/>
      <c r="V37" s="134" t="n"/>
      <c r="W37" s="135" t="n"/>
      <c r="X37" s="134" t="n"/>
      <c r="Y37" s="135" t="n"/>
      <c r="Z37" s="134" t="n"/>
      <c r="AA37" s="135" t="n"/>
    </row>
    <row r="38">
      <c r="A38" s="131">
        <f>IF(Roster!$C$38="","",IF(Roster!$B$38="","#"&amp;33,Roster!$B$38&amp;""))</f>
        <v/>
      </c>
      <c r="B38" s="132">
        <f>IF(Roster!$C$38="","",Roster!$C$38)</f>
        <v/>
      </c>
      <c r="C38" s="133" t="n"/>
      <c r="D38" s="134" t="n"/>
      <c r="E38" s="135" t="n"/>
      <c r="F38" s="134" t="n"/>
      <c r="G38" s="135" t="n"/>
      <c r="H38" s="134" t="n"/>
      <c r="I38" s="135" t="n"/>
      <c r="J38" s="134" t="n"/>
      <c r="K38" s="135" t="n"/>
      <c r="L38" s="134" t="n"/>
      <c r="M38" s="135" t="n"/>
      <c r="N38" s="134" t="n"/>
      <c r="O38" s="135" t="n"/>
      <c r="P38" s="134" t="n"/>
      <c r="Q38" s="135" t="n"/>
      <c r="R38" s="134" t="n"/>
      <c r="S38" s="135" t="n"/>
      <c r="T38" s="134" t="n"/>
      <c r="U38" s="135" t="n"/>
      <c r="V38" s="134" t="n"/>
      <c r="W38" s="135" t="n"/>
      <c r="X38" s="134" t="n"/>
      <c r="Y38" s="135" t="n"/>
      <c r="Z38" s="134" t="n"/>
      <c r="AA38" s="135" t="n"/>
    </row>
    <row r="39">
      <c r="A39" s="131">
        <f>IF(Roster!$C$39="","",IF(Roster!$B$39="","#"&amp;34,Roster!$B$39&amp;""))</f>
        <v/>
      </c>
      <c r="B39" s="132">
        <f>IF(Roster!$C$39="","",Roster!$C$39)</f>
        <v/>
      </c>
      <c r="C39" s="133" t="n"/>
      <c r="D39" s="134" t="n"/>
      <c r="E39" s="135" t="n"/>
      <c r="F39" s="134" t="n"/>
      <c r="G39" s="135" t="n"/>
      <c r="H39" s="134" t="n"/>
      <c r="I39" s="135" t="n"/>
      <c r="J39" s="134" t="n"/>
      <c r="K39" s="135" t="n"/>
      <c r="L39" s="134" t="n"/>
      <c r="M39" s="135" t="n"/>
      <c r="N39" s="134" t="n"/>
      <c r="O39" s="135" t="n"/>
      <c r="P39" s="134" t="n"/>
      <c r="Q39" s="135" t="n"/>
      <c r="R39" s="134" t="n"/>
      <c r="S39" s="135" t="n"/>
      <c r="T39" s="134" t="n"/>
      <c r="U39" s="135" t="n"/>
      <c r="V39" s="134" t="n"/>
      <c r="W39" s="135" t="n"/>
      <c r="X39" s="134" t="n"/>
      <c r="Y39" s="135" t="n"/>
      <c r="Z39" s="134" t="n"/>
      <c r="AA39" s="135" t="n"/>
    </row>
    <row r="40">
      <c r="A40" s="131">
        <f>IF(Roster!$C$40="","",IF(Roster!$B$40="","#"&amp;35,Roster!$B$40&amp;""))</f>
        <v/>
      </c>
      <c r="B40" s="132">
        <f>IF(Roster!$C$40="","",Roster!$C$40)</f>
        <v/>
      </c>
      <c r="C40" s="133" t="n"/>
      <c r="D40" s="134" t="n"/>
      <c r="E40" s="135" t="n"/>
      <c r="F40" s="134" t="n"/>
      <c r="G40" s="135" t="n"/>
      <c r="H40" s="134" t="n"/>
      <c r="I40" s="135" t="n"/>
      <c r="J40" s="134" t="n"/>
      <c r="K40" s="135" t="n"/>
      <c r="L40" s="134" t="n"/>
      <c r="M40" s="135" t="n"/>
      <c r="N40" s="134" t="n"/>
      <c r="O40" s="135" t="n"/>
      <c r="P40" s="134" t="n"/>
      <c r="Q40" s="135" t="n"/>
      <c r="R40" s="134" t="n"/>
      <c r="S40" s="135" t="n"/>
      <c r="T40" s="134" t="n"/>
      <c r="U40" s="135" t="n"/>
      <c r="V40" s="134" t="n"/>
      <c r="W40" s="135" t="n"/>
      <c r="X40" s="134" t="n"/>
      <c r="Y40" s="135" t="n"/>
      <c r="Z40" s="134" t="n"/>
      <c r="AA40" s="135" t="n"/>
    </row>
    <row r="41">
      <c r="A41" s="131">
        <f>IF(Roster!$C$41="","",IF(Roster!$B$41="","#"&amp;36,Roster!$B$41&amp;""))</f>
        <v/>
      </c>
      <c r="B41" s="132">
        <f>IF(Roster!$C$41="","",Roster!$C$41)</f>
        <v/>
      </c>
      <c r="C41" s="133" t="n"/>
      <c r="D41" s="134" t="n"/>
      <c r="E41" s="135" t="n"/>
      <c r="F41" s="134" t="n"/>
      <c r="G41" s="135" t="n"/>
      <c r="H41" s="134" t="n"/>
      <c r="I41" s="135" t="n"/>
      <c r="J41" s="134" t="n"/>
      <c r="K41" s="135" t="n"/>
      <c r="L41" s="134" t="n"/>
      <c r="M41" s="135" t="n"/>
      <c r="N41" s="134" t="n"/>
      <c r="O41" s="135" t="n"/>
      <c r="P41" s="134" t="n"/>
      <c r="Q41" s="135" t="n"/>
      <c r="R41" s="134" t="n"/>
      <c r="S41" s="135" t="n"/>
      <c r="T41" s="134" t="n"/>
      <c r="U41" s="135" t="n"/>
      <c r="V41" s="134" t="n"/>
      <c r="W41" s="135" t="n"/>
      <c r="X41" s="134" t="n"/>
      <c r="Y41" s="135" t="n"/>
      <c r="Z41" s="134" t="n"/>
      <c r="AA41" s="135" t="n"/>
    </row>
    <row r="42">
      <c r="A42" s="131">
        <f>IF(Roster!$C$42="","",IF(Roster!$B$42="","#"&amp;37,Roster!$B$42&amp;""))</f>
        <v/>
      </c>
      <c r="B42" s="132">
        <f>IF(Roster!$C$42="","",Roster!$C$42)</f>
        <v/>
      </c>
      <c r="C42" s="133" t="n"/>
      <c r="D42" s="134" t="n"/>
      <c r="E42" s="135" t="n"/>
      <c r="F42" s="134" t="n"/>
      <c r="G42" s="135" t="n"/>
      <c r="H42" s="134" t="n"/>
      <c r="I42" s="135" t="n"/>
      <c r="J42" s="134" t="n"/>
      <c r="K42" s="135" t="n"/>
      <c r="L42" s="134" t="n"/>
      <c r="M42" s="135" t="n"/>
      <c r="N42" s="134" t="n"/>
      <c r="O42" s="135" t="n"/>
      <c r="P42" s="134" t="n"/>
      <c r="Q42" s="135" t="n"/>
      <c r="R42" s="134" t="n"/>
      <c r="S42" s="135" t="n"/>
      <c r="T42" s="134" t="n"/>
      <c r="U42" s="135" t="n"/>
      <c r="V42" s="134" t="n"/>
      <c r="W42" s="135" t="n"/>
      <c r="X42" s="134" t="n"/>
      <c r="Y42" s="135" t="n"/>
      <c r="Z42" s="134" t="n"/>
      <c r="AA42" s="135" t="n"/>
    </row>
    <row r="43">
      <c r="A43" s="131">
        <f>IF(Roster!$C$43="","",IF(Roster!$B$43="","#"&amp;38,Roster!$B$43&amp;""))</f>
        <v/>
      </c>
      <c r="B43" s="132">
        <f>IF(Roster!$C$43="","",Roster!$C$43)</f>
        <v/>
      </c>
      <c r="C43" s="133" t="n"/>
      <c r="D43" s="134" t="n"/>
      <c r="E43" s="135" t="n"/>
      <c r="F43" s="134" t="n"/>
      <c r="G43" s="135" t="n"/>
      <c r="H43" s="134" t="n"/>
      <c r="I43" s="135" t="n"/>
      <c r="J43" s="134" t="n"/>
      <c r="K43" s="135" t="n"/>
      <c r="L43" s="134" t="n"/>
      <c r="M43" s="135" t="n"/>
      <c r="N43" s="134" t="n"/>
      <c r="O43" s="135" t="n"/>
      <c r="P43" s="134" t="n"/>
      <c r="Q43" s="135" t="n"/>
      <c r="R43" s="134" t="n"/>
      <c r="S43" s="135" t="n"/>
      <c r="T43" s="134" t="n"/>
      <c r="U43" s="135" t="n"/>
      <c r="V43" s="134" t="n"/>
      <c r="W43" s="135" t="n"/>
      <c r="X43" s="134" t="n"/>
      <c r="Y43" s="135" t="n"/>
      <c r="Z43" s="134" t="n"/>
      <c r="AA43" s="135" t="n"/>
    </row>
    <row r="44">
      <c r="A44" s="131">
        <f>IF(Roster!$C$44="","",IF(Roster!$B$44="","#"&amp;39,Roster!$B$44&amp;""))</f>
        <v/>
      </c>
      <c r="B44" s="132">
        <f>IF(Roster!$C$44="","",Roster!$C$44)</f>
        <v/>
      </c>
      <c r="C44" s="133" t="n"/>
      <c r="D44" s="134" t="n"/>
      <c r="E44" s="135" t="n"/>
      <c r="F44" s="134" t="n"/>
      <c r="G44" s="135" t="n"/>
      <c r="H44" s="134" t="n"/>
      <c r="I44" s="135" t="n"/>
      <c r="J44" s="134" t="n"/>
      <c r="K44" s="135" t="n"/>
      <c r="L44" s="134" t="n"/>
      <c r="M44" s="135" t="n"/>
      <c r="N44" s="134" t="n"/>
      <c r="O44" s="135" t="n"/>
      <c r="P44" s="134" t="n"/>
      <c r="Q44" s="135" t="n"/>
      <c r="R44" s="134" t="n"/>
      <c r="S44" s="135" t="n"/>
      <c r="T44" s="134" t="n"/>
      <c r="U44" s="135" t="n"/>
      <c r="V44" s="134" t="n"/>
      <c r="W44" s="135" t="n"/>
      <c r="X44" s="134" t="n"/>
      <c r="Y44" s="135" t="n"/>
      <c r="Z44" s="134" t="n"/>
      <c r="AA44" s="135" t="n"/>
    </row>
    <row r="45">
      <c r="A45" s="131">
        <f>IF(Roster!$C$45="","",IF(Roster!$B$45="","#"&amp;40,Roster!$B$45&amp;""))</f>
        <v/>
      </c>
      <c r="B45" s="132">
        <f>IF(Roster!$C$45="","",Roster!$C$45)</f>
        <v/>
      </c>
      <c r="C45" s="133" t="n"/>
      <c r="D45" s="134" t="n"/>
      <c r="E45" s="135" t="n"/>
      <c r="F45" s="134" t="n"/>
      <c r="G45" s="135" t="n"/>
      <c r="H45" s="134" t="n"/>
      <c r="I45" s="135" t="n"/>
      <c r="J45" s="134" t="n"/>
      <c r="K45" s="135" t="n"/>
      <c r="L45" s="134" t="n"/>
      <c r="M45" s="135" t="n"/>
      <c r="N45" s="134" t="n"/>
      <c r="O45" s="135" t="n"/>
      <c r="P45" s="134" t="n"/>
      <c r="Q45" s="135" t="n"/>
      <c r="R45" s="134" t="n"/>
      <c r="S45" s="135" t="n"/>
      <c r="T45" s="134" t="n"/>
      <c r="U45" s="135" t="n"/>
      <c r="V45" s="134" t="n"/>
      <c r="W45" s="135" t="n"/>
      <c r="X45" s="134" t="n"/>
      <c r="Y45" s="135" t="n"/>
      <c r="Z45" s="134" t="n"/>
      <c r="AA45" s="135" t="n"/>
    </row>
    <row r="46">
      <c r="A46" s="131">
        <f>IF(Roster!$C$46="","",IF(Roster!$B$46="","#"&amp;41,Roster!$B$46&amp;""))</f>
        <v/>
      </c>
      <c r="B46" s="132">
        <f>IF(Roster!$C$46="","",Roster!$C$46)</f>
        <v/>
      </c>
      <c r="C46" s="133" t="n"/>
      <c r="D46" s="134" t="n"/>
      <c r="E46" s="135" t="n"/>
      <c r="F46" s="134" t="n"/>
      <c r="G46" s="135" t="n"/>
      <c r="H46" s="134" t="n"/>
      <c r="I46" s="135" t="n"/>
      <c r="J46" s="134" t="n"/>
      <c r="K46" s="135" t="n"/>
      <c r="L46" s="134" t="n"/>
      <c r="M46" s="135" t="n"/>
      <c r="N46" s="134" t="n"/>
      <c r="O46" s="135" t="n"/>
      <c r="P46" s="134" t="n"/>
      <c r="Q46" s="135" t="n"/>
      <c r="R46" s="134" t="n"/>
      <c r="S46" s="135" t="n"/>
      <c r="T46" s="134" t="n"/>
      <c r="U46" s="135" t="n"/>
      <c r="V46" s="134" t="n"/>
      <c r="W46" s="135" t="n"/>
      <c r="X46" s="134" t="n"/>
      <c r="Y46" s="135" t="n"/>
      <c r="Z46" s="134" t="n"/>
      <c r="AA46" s="135" t="n"/>
    </row>
    <row r="47">
      <c r="A47" s="131">
        <f>IF(Roster!$C$47="","",IF(Roster!$B$47="","#"&amp;42,Roster!$B$47&amp;""))</f>
        <v/>
      </c>
      <c r="B47" s="132">
        <f>IF(Roster!$C$47="","",Roster!$C$47)</f>
        <v/>
      </c>
      <c r="C47" s="133" t="n"/>
      <c r="D47" s="134" t="n"/>
      <c r="E47" s="135" t="n"/>
      <c r="F47" s="134" t="n"/>
      <c r="G47" s="135" t="n"/>
      <c r="H47" s="134" t="n"/>
      <c r="I47" s="135" t="n"/>
      <c r="J47" s="134" t="n"/>
      <c r="K47" s="135" t="n"/>
      <c r="L47" s="134" t="n"/>
      <c r="M47" s="135" t="n"/>
      <c r="N47" s="134" t="n"/>
      <c r="O47" s="135" t="n"/>
      <c r="P47" s="134" t="n"/>
      <c r="Q47" s="135" t="n"/>
      <c r="R47" s="134" t="n"/>
      <c r="S47" s="135" t="n"/>
      <c r="T47" s="134" t="n"/>
      <c r="U47" s="135" t="n"/>
      <c r="V47" s="134" t="n"/>
      <c r="W47" s="135" t="n"/>
      <c r="X47" s="134" t="n"/>
      <c r="Y47" s="135" t="n"/>
      <c r="Z47" s="134" t="n"/>
      <c r="AA47" s="135" t="n"/>
    </row>
    <row r="48">
      <c r="A48" s="131">
        <f>IF(Roster!$C$48="","",IF(Roster!$B$48="","#"&amp;43,Roster!$B$48&amp;""))</f>
        <v/>
      </c>
      <c r="B48" s="132">
        <f>IF(Roster!$C$48="","",Roster!$C$48)</f>
        <v/>
      </c>
      <c r="C48" s="133" t="n"/>
      <c r="D48" s="134" t="n"/>
      <c r="E48" s="135" t="n"/>
      <c r="F48" s="134" t="n"/>
      <c r="G48" s="135" t="n"/>
      <c r="H48" s="134" t="n"/>
      <c r="I48" s="135" t="n"/>
      <c r="J48" s="134" t="n"/>
      <c r="K48" s="135" t="n"/>
      <c r="L48" s="134" t="n"/>
      <c r="M48" s="135" t="n"/>
      <c r="N48" s="134" t="n"/>
      <c r="O48" s="135" t="n"/>
      <c r="P48" s="134" t="n"/>
      <c r="Q48" s="135" t="n"/>
      <c r="R48" s="134" t="n"/>
      <c r="S48" s="135" t="n"/>
      <c r="T48" s="134" t="n"/>
      <c r="U48" s="135" t="n"/>
      <c r="V48" s="134" t="n"/>
      <c r="W48" s="135" t="n"/>
      <c r="X48" s="134" t="n"/>
      <c r="Y48" s="135" t="n"/>
      <c r="Z48" s="134" t="n"/>
      <c r="AA48" s="135" t="n"/>
    </row>
    <row r="49">
      <c r="A49" s="131">
        <f>IF(Roster!$C$49="","",IF(Roster!$B$49="","#"&amp;44,Roster!$B$49&amp;""))</f>
        <v/>
      </c>
      <c r="B49" s="132">
        <f>IF(Roster!$C$49="","",Roster!$C$49)</f>
        <v/>
      </c>
      <c r="C49" s="133" t="n"/>
      <c r="D49" s="134" t="n"/>
      <c r="E49" s="135" t="n"/>
      <c r="F49" s="134" t="n"/>
      <c r="G49" s="135" t="n"/>
      <c r="H49" s="134" t="n"/>
      <c r="I49" s="135" t="n"/>
      <c r="J49" s="134" t="n"/>
      <c r="K49" s="135" t="n"/>
      <c r="L49" s="134" t="n"/>
      <c r="M49" s="135" t="n"/>
      <c r="N49" s="134" t="n"/>
      <c r="O49" s="135" t="n"/>
      <c r="P49" s="134" t="n"/>
      <c r="Q49" s="135" t="n"/>
      <c r="R49" s="134" t="n"/>
      <c r="S49" s="135" t="n"/>
      <c r="T49" s="134" t="n"/>
      <c r="U49" s="135" t="n"/>
      <c r="V49" s="134" t="n"/>
      <c r="W49" s="135" t="n"/>
      <c r="X49" s="134" t="n"/>
      <c r="Y49" s="135" t="n"/>
      <c r="Z49" s="134" t="n"/>
      <c r="AA49" s="135" t="n"/>
    </row>
    <row r="50">
      <c r="A50" s="131">
        <f>IF(Roster!$C$50="","",IF(Roster!$B$50="","#"&amp;45,Roster!$B$50&amp;""))</f>
        <v/>
      </c>
      <c r="B50" s="132">
        <f>IF(Roster!$C$50="","",Roster!$C$50)</f>
        <v/>
      </c>
      <c r="C50" s="133" t="n"/>
      <c r="D50" s="134" t="n"/>
      <c r="E50" s="135" t="n"/>
      <c r="F50" s="134" t="n"/>
      <c r="G50" s="135" t="n"/>
      <c r="H50" s="134" t="n"/>
      <c r="I50" s="135" t="n"/>
      <c r="J50" s="134" t="n"/>
      <c r="K50" s="135" t="n"/>
      <c r="L50" s="134" t="n"/>
      <c r="M50" s="135" t="n"/>
      <c r="N50" s="134" t="n"/>
      <c r="O50" s="135" t="n"/>
      <c r="P50" s="134" t="n"/>
      <c r="Q50" s="135" t="n"/>
      <c r="R50" s="134" t="n"/>
      <c r="S50" s="135" t="n"/>
      <c r="T50" s="134" t="n"/>
      <c r="U50" s="135" t="n"/>
      <c r="V50" s="134" t="n"/>
      <c r="W50" s="135" t="n"/>
      <c r="X50" s="134" t="n"/>
      <c r="Y50" s="135" t="n"/>
      <c r="Z50" s="134" t="n"/>
      <c r="AA50" s="135" t="n"/>
    </row>
    <row r="51">
      <c r="A51" s="136">
        <f>IF(Roster!$C$51="","",IF(Roster!$B$51="","#"&amp;46,Roster!$B$51&amp;""))</f>
        <v/>
      </c>
      <c r="B51" s="137">
        <f>IF(Roster!$C$51="","",Roster!$C$51)</f>
        <v/>
      </c>
      <c r="C51" s="133" t="n"/>
      <c r="D51" s="134" t="n">
        <v>46254</v>
      </c>
      <c r="E51" s="135" t="n"/>
      <c r="F51" s="134" t="n"/>
      <c r="G51" s="135" t="n"/>
      <c r="H51" s="134" t="n"/>
      <c r="I51" s="135" t="n"/>
      <c r="J51" s="134" t="n"/>
      <c r="K51" s="135" t="n"/>
      <c r="L51" s="134" t="n"/>
      <c r="M51" s="135" t="n"/>
      <c r="N51" s="134" t="n"/>
      <c r="O51" s="135" t="n"/>
      <c r="P51" s="134" t="n"/>
      <c r="Q51" s="135" t="n"/>
      <c r="R51" s="134" t="n"/>
      <c r="S51" s="135" t="n"/>
      <c r="T51" s="134" t="n"/>
      <c r="U51" s="135" t="n"/>
      <c r="V51" s="134" t="n"/>
      <c r="W51" s="135" t="n"/>
      <c r="X51" s="134" t="n"/>
      <c r="Y51" s="135" t="n"/>
      <c r="Z51" s="134" t="n"/>
      <c r="AA51" s="135" t="n"/>
    </row>
    <row r="52">
      <c r="A52" s="136">
        <f>IF(Roster!$C$52="","",IF(Roster!$B$52="","#"&amp;47,Roster!$B$52&amp;""))</f>
        <v/>
      </c>
      <c r="B52" s="137">
        <f>IF(Roster!$C$52="","",Roster!$C$52)</f>
        <v/>
      </c>
      <c r="C52" s="133" t="n"/>
      <c r="D52" s="134" t="n">
        <v>46290</v>
      </c>
      <c r="E52" s="135" t="n"/>
      <c r="F52" s="134" t="n">
        <v>46210</v>
      </c>
      <c r="G52" s="135" t="n"/>
      <c r="H52" s="134" t="n"/>
      <c r="I52" s="135" t="n"/>
      <c r="J52" s="134" t="n"/>
      <c r="K52" s="135" t="n"/>
      <c r="L52" s="134" t="n"/>
      <c r="M52" s="135" t="n"/>
      <c r="N52" s="134" t="n"/>
      <c r="O52" s="135" t="n"/>
      <c r="P52" s="134" t="n"/>
      <c r="Q52" s="135" t="n"/>
      <c r="R52" s="134" t="n"/>
      <c r="S52" s="135" t="n"/>
      <c r="T52" s="134" t="n"/>
      <c r="U52" s="135" t="n"/>
      <c r="V52" s="134" t="n"/>
      <c r="W52" s="135" t="n"/>
      <c r="X52" s="134" t="n"/>
      <c r="Y52" s="135" t="n"/>
      <c r="Z52" s="134" t="n"/>
      <c r="AA52" s="135" t="n"/>
    </row>
    <row r="53">
      <c r="A53" s="136">
        <f>IF(Roster!$C$53="","",IF(Roster!$B$53="","#"&amp;48,Roster!$B$53&amp;""))</f>
        <v/>
      </c>
      <c r="B53" s="137">
        <f>IF(Roster!$C$53="","",Roster!$C$53)</f>
        <v/>
      </c>
      <c r="C53" s="133" t="n"/>
      <c r="D53" s="134" t="n"/>
      <c r="E53" s="135" t="n"/>
      <c r="F53" s="134" t="n"/>
      <c r="G53" s="135" t="n"/>
      <c r="H53" s="134" t="n"/>
      <c r="I53" s="135" t="n"/>
      <c r="J53" s="134" t="n"/>
      <c r="K53" s="135" t="n"/>
      <c r="L53" s="134" t="n"/>
      <c r="M53" s="135" t="n"/>
      <c r="N53" s="134" t="n"/>
      <c r="O53" s="135" t="n"/>
      <c r="P53" s="134" t="n"/>
      <c r="Q53" s="135" t="n"/>
      <c r="R53" s="134" t="n"/>
      <c r="S53" s="135" t="n"/>
      <c r="T53" s="134" t="n"/>
      <c r="U53" s="135" t="n"/>
      <c r="V53" s="134" t="n"/>
      <c r="W53" s="135" t="n"/>
      <c r="X53" s="134" t="n"/>
      <c r="Y53" s="135" t="n"/>
      <c r="Z53" s="134" t="n"/>
      <c r="AA53" s="135" t="n"/>
    </row>
    <row r="54">
      <c r="A54" s="136">
        <f>IF(Roster!$C$54="","",IF(Roster!$B$54="","#"&amp;49,Roster!$B$54&amp;""))</f>
        <v/>
      </c>
      <c r="B54" s="137">
        <f>IF(Roster!$C$54="","",Roster!$C$54)</f>
        <v/>
      </c>
      <c r="C54" s="133" t="n"/>
      <c r="D54" s="134" t="n"/>
      <c r="E54" s="135" t="n"/>
      <c r="F54" s="134" t="n"/>
      <c r="G54" s="135" t="n"/>
      <c r="H54" s="134" t="n"/>
      <c r="I54" s="135" t="n"/>
      <c r="J54" s="134" t="n"/>
      <c r="K54" s="135" t="n"/>
      <c r="L54" s="134" t="n"/>
      <c r="M54" s="135" t="n"/>
      <c r="N54" s="134" t="n"/>
      <c r="O54" s="135" t="n"/>
      <c r="P54" s="134" t="n"/>
      <c r="Q54" s="135" t="n"/>
      <c r="R54" s="134" t="n"/>
      <c r="S54" s="135" t="n"/>
      <c r="T54" s="134" t="n"/>
      <c r="U54" s="135" t="n"/>
      <c r="V54" s="134" t="n"/>
      <c r="W54" s="135" t="n"/>
      <c r="X54" s="134" t="n"/>
      <c r="Y54" s="135" t="n"/>
      <c r="Z54" s="134" t="n"/>
      <c r="AA54" s="135" t="n"/>
    </row>
    <row r="55">
      <c r="A55" s="136">
        <f>IF(Roster!$C$55="","",IF(Roster!$B$55="","#"&amp;50,Roster!$B$55&amp;""))</f>
        <v/>
      </c>
      <c r="B55" s="137">
        <f>IF(Roster!$C$55="","",Roster!$C$55)</f>
        <v/>
      </c>
      <c r="C55" s="133" t="n"/>
      <c r="D55" s="134" t="n"/>
      <c r="E55" s="135" t="n"/>
      <c r="F55" s="134" t="n"/>
      <c r="G55" s="135" t="n"/>
      <c r="H55" s="134" t="n"/>
      <c r="I55" s="135" t="n"/>
      <c r="J55" s="134" t="n"/>
      <c r="K55" s="135" t="n"/>
      <c r="L55" s="134" t="n"/>
      <c r="M55" s="135" t="n"/>
      <c r="N55" s="134" t="n"/>
      <c r="O55" s="135" t="n"/>
      <c r="P55" s="134" t="n"/>
      <c r="Q55" s="135" t="n"/>
      <c r="R55" s="134" t="n"/>
      <c r="S55" s="135" t="n"/>
      <c r="T55" s="134" t="n"/>
      <c r="U55" s="135" t="n"/>
      <c r="V55" s="134" t="n"/>
      <c r="W55" s="135" t="n"/>
      <c r="X55" s="134" t="n"/>
      <c r="Y55" s="135" t="n"/>
      <c r="Z55" s="134" t="n"/>
      <c r="AA55" s="135" t="n"/>
    </row>
    <row r="56">
      <c r="A56" s="136">
        <f>IF(Roster!$C$56="","",IF(Roster!$B$56="","#"&amp;51,Roster!$B$56&amp;""))</f>
        <v/>
      </c>
      <c r="B56" s="137">
        <f>IF(Roster!$C$56="","",Roster!$C$56)</f>
        <v/>
      </c>
      <c r="C56" s="133" t="n"/>
      <c r="D56" s="134" t="n"/>
      <c r="E56" s="135" t="n"/>
      <c r="F56" s="134" t="n"/>
      <c r="G56" s="135" t="n"/>
      <c r="H56" s="134" t="n"/>
      <c r="I56" s="135" t="n"/>
      <c r="J56" s="134" t="n"/>
      <c r="K56" s="135" t="n"/>
      <c r="L56" s="134" t="n"/>
      <c r="M56" s="135" t="n"/>
      <c r="N56" s="134" t="n"/>
      <c r="O56" s="135" t="n"/>
      <c r="P56" s="134" t="n"/>
      <c r="Q56" s="135" t="n"/>
      <c r="R56" s="134" t="n"/>
      <c r="S56" s="135" t="n"/>
      <c r="T56" s="134" t="n"/>
      <c r="U56" s="135" t="n"/>
      <c r="V56" s="134" t="n"/>
      <c r="W56" s="135" t="n"/>
      <c r="X56" s="134" t="n"/>
      <c r="Y56" s="135" t="n"/>
      <c r="Z56" s="134" t="n"/>
      <c r="AA56" s="135" t="n"/>
    </row>
    <row r="57">
      <c r="A57" s="136">
        <f>IF(Roster!$C$57="","",IF(Roster!$B$57="","#"&amp;52,Roster!$B$57&amp;""))</f>
        <v/>
      </c>
      <c r="B57" s="137">
        <f>IF(Roster!$C$57="","",Roster!$C$57)</f>
        <v/>
      </c>
      <c r="C57" s="133" t="n"/>
      <c r="D57" s="134" t="n"/>
      <c r="E57" s="135" t="n"/>
      <c r="F57" s="134" t="n"/>
      <c r="G57" s="135" t="n"/>
      <c r="H57" s="134" t="n"/>
      <c r="I57" s="135" t="n"/>
      <c r="J57" s="134" t="n"/>
      <c r="K57" s="135" t="n"/>
      <c r="L57" s="134" t="n"/>
      <c r="M57" s="135" t="n"/>
      <c r="N57" s="134" t="n"/>
      <c r="O57" s="135" t="n"/>
      <c r="P57" s="134" t="n"/>
      <c r="Q57" s="135" t="n"/>
      <c r="R57" s="134" t="n"/>
      <c r="S57" s="135" t="n"/>
      <c r="T57" s="134" t="n"/>
      <c r="U57" s="135" t="n"/>
      <c r="V57" s="134" t="n"/>
      <c r="W57" s="135" t="n"/>
      <c r="X57" s="134" t="n"/>
      <c r="Y57" s="135" t="n"/>
      <c r="Z57" s="134" t="n"/>
      <c r="AA57" s="135" t="n"/>
    </row>
    <row r="58">
      <c r="A58" s="136">
        <f>IF(Roster!$C$58="","",IF(Roster!$B$58="","#"&amp;53,Roster!$B$58&amp;""))</f>
        <v/>
      </c>
      <c r="B58" s="137">
        <f>IF(Roster!$C$58="","",Roster!$C$58)</f>
        <v/>
      </c>
      <c r="C58" s="133" t="n"/>
      <c r="D58" s="134" t="n"/>
      <c r="E58" s="135" t="n"/>
      <c r="F58" s="134" t="n"/>
      <c r="G58" s="135" t="n"/>
      <c r="H58" s="134" t="n"/>
      <c r="I58" s="135" t="n"/>
      <c r="J58" s="134" t="n"/>
      <c r="K58" s="135" t="n"/>
      <c r="L58" s="134" t="n"/>
      <c r="M58" s="135" t="n"/>
      <c r="N58" s="134" t="n"/>
      <c r="O58" s="135" t="n"/>
      <c r="P58" s="134" t="n"/>
      <c r="Q58" s="135" t="n"/>
      <c r="R58" s="134" t="n"/>
      <c r="S58" s="135" t="n"/>
      <c r="T58" s="134" t="n"/>
      <c r="U58" s="135" t="n"/>
      <c r="V58" s="134" t="n"/>
      <c r="W58" s="135" t="n"/>
      <c r="X58" s="134" t="n"/>
      <c r="Y58" s="135" t="n"/>
      <c r="Z58" s="134" t="n"/>
      <c r="AA58" s="135" t="n"/>
    </row>
    <row r="59">
      <c r="A59" s="136">
        <f>IF(Roster!$C$59="","",IF(Roster!$B$59="","#"&amp;54,Roster!$B$59&amp;""))</f>
        <v/>
      </c>
      <c r="B59" s="137">
        <f>IF(Roster!$C$59="","",Roster!$C$59)</f>
        <v/>
      </c>
      <c r="C59" s="133" t="n"/>
      <c r="D59" s="134" t="n"/>
      <c r="E59" s="135" t="n"/>
      <c r="F59" s="134" t="n"/>
      <c r="G59" s="135" t="n"/>
      <c r="H59" s="134" t="n"/>
      <c r="I59" s="135" t="n"/>
      <c r="J59" s="134" t="n"/>
      <c r="K59" s="135" t="n"/>
      <c r="L59" s="134" t="n"/>
      <c r="M59" s="135" t="n"/>
      <c r="N59" s="134" t="n"/>
      <c r="O59" s="135" t="n"/>
      <c r="P59" s="134" t="n"/>
      <c r="Q59" s="135" t="n"/>
      <c r="R59" s="134" t="n"/>
      <c r="S59" s="135" t="n"/>
      <c r="T59" s="134" t="n"/>
      <c r="U59" s="135" t="n"/>
      <c r="V59" s="134" t="n"/>
      <c r="W59" s="135" t="n"/>
      <c r="X59" s="134" t="n"/>
      <c r="Y59" s="135" t="n"/>
      <c r="Z59" s="134" t="n"/>
      <c r="AA59" s="135" t="n"/>
    </row>
    <row r="60">
      <c r="A60" s="136">
        <f>IF(Roster!$C$60="","",IF(Roster!$B$60="","#"&amp;55,Roster!$B$60&amp;""))</f>
        <v/>
      </c>
      <c r="B60" s="137">
        <f>IF(Roster!$C$60="","",Roster!$C$60)</f>
        <v/>
      </c>
      <c r="C60" s="133" t="n"/>
      <c r="D60" s="134" t="n"/>
      <c r="E60" s="135" t="n"/>
      <c r="F60" s="134" t="n"/>
      <c r="G60" s="135" t="n"/>
      <c r="H60" s="134" t="n"/>
      <c r="I60" s="135" t="n"/>
      <c r="J60" s="134" t="n"/>
      <c r="K60" s="135" t="n"/>
      <c r="L60" s="134" t="n"/>
      <c r="M60" s="135" t="n"/>
      <c r="N60" s="134" t="n"/>
      <c r="O60" s="135" t="n"/>
      <c r="P60" s="134" t="n"/>
      <c r="Q60" s="135" t="n"/>
      <c r="R60" s="134" t="n"/>
      <c r="S60" s="135" t="n"/>
      <c r="T60" s="134" t="n"/>
      <c r="U60" s="135" t="n"/>
      <c r="V60" s="134" t="n"/>
      <c r="W60" s="135" t="n"/>
      <c r="X60" s="134" t="n"/>
      <c r="Y60" s="135" t="n"/>
      <c r="Z60" s="134" t="n"/>
      <c r="AA60" s="135" t="n"/>
    </row>
    <row r="61">
      <c r="A61" s="136">
        <f>IF(Roster!$C$61="","",IF(Roster!$B$61="","#"&amp;56,Roster!$B$61&amp;""))</f>
        <v/>
      </c>
      <c r="B61" s="137">
        <f>IF(Roster!$C$61="","",Roster!$C$61)</f>
        <v/>
      </c>
      <c r="C61" s="133" t="n"/>
      <c r="D61" s="134" t="n"/>
      <c r="E61" s="135" t="n"/>
      <c r="F61" s="134" t="n"/>
      <c r="G61" s="135" t="n"/>
      <c r="H61" s="134" t="n"/>
      <c r="I61" s="135" t="n"/>
      <c r="J61" s="134" t="n"/>
      <c r="K61" s="135" t="n"/>
      <c r="L61" s="134" t="n"/>
      <c r="M61" s="135" t="n"/>
      <c r="N61" s="134" t="n"/>
      <c r="O61" s="135" t="n"/>
      <c r="P61" s="134" t="n"/>
      <c r="Q61" s="135" t="n"/>
      <c r="R61" s="134" t="n"/>
      <c r="S61" s="135" t="n"/>
      <c r="T61" s="134" t="n"/>
      <c r="U61" s="135" t="n"/>
      <c r="V61" s="134" t="n"/>
      <c r="W61" s="135" t="n"/>
      <c r="X61" s="134" t="n"/>
      <c r="Y61" s="135" t="n"/>
      <c r="Z61" s="134" t="n"/>
      <c r="AA61" s="135" t="n"/>
    </row>
    <row r="62">
      <c r="A62" s="136">
        <f>IF(Roster!$C$62="","",IF(Roster!$B$62="","#"&amp;57,Roster!$B$62&amp;""))</f>
        <v/>
      </c>
      <c r="B62" s="137">
        <f>IF(Roster!$C$62="","",Roster!$C$62)</f>
        <v/>
      </c>
      <c r="C62" s="133" t="n"/>
      <c r="D62" s="134" t="n"/>
      <c r="E62" s="135" t="n"/>
      <c r="F62" s="134" t="n"/>
      <c r="G62" s="135" t="n"/>
      <c r="H62" s="134" t="n"/>
      <c r="I62" s="135" t="n"/>
      <c r="J62" s="134" t="n"/>
      <c r="K62" s="135" t="n"/>
      <c r="L62" s="134" t="n"/>
      <c r="M62" s="135" t="n"/>
      <c r="N62" s="134" t="n"/>
      <c r="O62" s="135" t="n"/>
      <c r="P62" s="134" t="n"/>
      <c r="Q62" s="135" t="n"/>
      <c r="R62" s="134" t="n"/>
      <c r="S62" s="135" t="n"/>
      <c r="T62" s="134" t="n"/>
      <c r="U62" s="135" t="n"/>
      <c r="V62" s="134" t="n"/>
      <c r="W62" s="135" t="n"/>
      <c r="X62" s="134" t="n"/>
      <c r="Y62" s="135" t="n"/>
      <c r="Z62" s="134" t="n"/>
      <c r="AA62" s="135" t="n"/>
    </row>
    <row r="63">
      <c r="A63" s="136">
        <f>IF(Roster!$C$63="","",IF(Roster!$B$63="","#"&amp;58,Roster!$B$63&amp;""))</f>
        <v/>
      </c>
      <c r="B63" s="137">
        <f>IF(Roster!$C$63="","",Roster!$C$63)</f>
        <v/>
      </c>
      <c r="C63" s="133" t="n"/>
      <c r="D63" s="134" t="n"/>
      <c r="E63" s="135" t="n"/>
      <c r="F63" s="134" t="n"/>
      <c r="G63" s="135" t="n"/>
      <c r="H63" s="134" t="n"/>
      <c r="I63" s="135" t="n"/>
      <c r="J63" s="134" t="n"/>
      <c r="K63" s="135" t="n"/>
      <c r="L63" s="134" t="n"/>
      <c r="M63" s="135" t="n"/>
      <c r="N63" s="134" t="n"/>
      <c r="O63" s="135" t="n"/>
      <c r="P63" s="134" t="n"/>
      <c r="Q63" s="135" t="n"/>
      <c r="R63" s="134" t="n"/>
      <c r="S63" s="135" t="n"/>
      <c r="T63" s="134" t="n"/>
      <c r="U63" s="135" t="n"/>
      <c r="V63" s="134" t="n"/>
      <c r="W63" s="135" t="n"/>
      <c r="X63" s="134" t="n"/>
      <c r="Y63" s="135" t="n"/>
      <c r="Z63" s="134" t="n"/>
      <c r="AA63" s="135" t="n"/>
    </row>
    <row r="64">
      <c r="A64" s="136">
        <f>IF(Roster!$C$64="","",IF(Roster!$B$64="","#"&amp;59,Roster!$B$64&amp;""))</f>
        <v/>
      </c>
      <c r="B64" s="137">
        <f>IF(Roster!$C$64="","",Roster!$C$64)</f>
        <v/>
      </c>
      <c r="C64" s="133" t="n"/>
      <c r="D64" s="134" t="n"/>
      <c r="E64" s="135" t="n"/>
      <c r="F64" s="134" t="n"/>
      <c r="G64" s="135" t="n"/>
      <c r="H64" s="134" t="n"/>
      <c r="I64" s="135" t="n"/>
      <c r="J64" s="134" t="n"/>
      <c r="K64" s="135" t="n"/>
      <c r="L64" s="134" t="n"/>
      <c r="M64" s="135" t="n"/>
      <c r="N64" s="134" t="n"/>
      <c r="O64" s="135" t="n"/>
      <c r="P64" s="134" t="n"/>
      <c r="Q64" s="135" t="n"/>
      <c r="R64" s="134" t="n"/>
      <c r="S64" s="135" t="n"/>
      <c r="T64" s="134" t="n"/>
      <c r="U64" s="135" t="n"/>
      <c r="V64" s="134" t="n"/>
      <c r="W64" s="135" t="n"/>
      <c r="X64" s="134" t="n"/>
      <c r="Y64" s="135" t="n"/>
      <c r="Z64" s="134" t="n"/>
      <c r="AA64" s="135" t="n"/>
    </row>
    <row r="65">
      <c r="A65" s="136">
        <f>IF(Roster!$C$65="","",IF(Roster!$B$65="","#"&amp;60,Roster!$B$65&amp;""))</f>
        <v/>
      </c>
      <c r="B65" s="137">
        <f>IF(Roster!$C$65="","",Roster!$C$65)</f>
        <v/>
      </c>
      <c r="C65" s="133" t="n"/>
      <c r="D65" s="134" t="n"/>
      <c r="E65" s="135" t="n"/>
      <c r="F65" s="134" t="n"/>
      <c r="G65" s="135" t="n"/>
      <c r="H65" s="134" t="n"/>
      <c r="I65" s="135" t="n"/>
      <c r="J65" s="134" t="n"/>
      <c r="K65" s="135" t="n"/>
      <c r="L65" s="134" t="n"/>
      <c r="M65" s="135" t="n"/>
      <c r="N65" s="134" t="n"/>
      <c r="O65" s="135" t="n"/>
      <c r="P65" s="134" t="n"/>
      <c r="Q65" s="135" t="n"/>
      <c r="R65" s="134" t="n"/>
      <c r="S65" s="135" t="n"/>
      <c r="T65" s="134" t="n"/>
      <c r="U65" s="135" t="n"/>
      <c r="V65" s="134" t="n"/>
      <c r="W65" s="135" t="n"/>
      <c r="X65" s="134" t="n"/>
      <c r="Y65" s="135" t="n"/>
      <c r="Z65" s="134" t="n"/>
      <c r="AA65" s="135"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4" stopIfTrue="1">
      <formula>AND(MOD(COLUMN(E6),2)=1,LEFT(E6,3)="DUE")</formula>
    </cfRule>
    <cfRule type="expression" priority="4" dxfId="21" stopIfTrue="1">
      <formula>AND(MOD(COLUMN(E6),2)=1,LEFT(E6,2)="OK")</formula>
    </cfRule>
  </conditionalFormatting>
  <conditionalFormatting sqref="C6:C65">
    <cfRule type="expression" priority="5" dxfId="25">
      <formula>N(C6)&gt;0</formula>
    </cfRule>
  </conditionalFormatting>
  <pageMargins left="0.75" right="0.75" top="1" bottom="1" header="0.5" footer="0.5"/>
</worksheet>
</file>

<file path=xl/worksheets/sheet12.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38" t="inlineStr">
        <is>
          <t>General flying</t>
        </is>
      </c>
      <c r="B6" s="138" t="inlineStr">
        <is>
          <t>All</t>
        </is>
      </c>
      <c r="C6" s="106" t="n"/>
      <c r="D6" s="138" t="inlineStr">
        <is>
          <t>Any flight</t>
        </is>
      </c>
      <c r="E6" s="106" t="n"/>
      <c r="F6" s="138" t="n">
        <v>45</v>
      </c>
      <c r="G6" s="138" t="n">
        <v>1</v>
      </c>
      <c r="H6" s="138" t="n">
        <v>7</v>
      </c>
      <c r="I6" s="106" t="inlineStr">
        <is>
          <t>Flagged after 45 calendar days without flying</t>
        </is>
      </c>
    </row>
    <row r="7" ht="30" customHeight="1">
      <c r="A7" s="138" t="inlineStr">
        <is>
          <t>Mission currency</t>
        </is>
      </c>
      <c r="B7" s="138" t="inlineStr">
        <is>
          <t>All</t>
        </is>
      </c>
      <c r="C7" s="106" t="n"/>
      <c r="D7" s="138" t="inlineStr">
        <is>
          <t>Mission type</t>
        </is>
      </c>
      <c r="E7" s="106" t="inlineStr">
        <is>
          <t>MSN</t>
        </is>
      </c>
      <c r="F7" s="138" t="n">
        <v>180</v>
      </c>
      <c r="G7" s="138" t="n">
        <v>1</v>
      </c>
      <c r="H7" s="138" t="n">
        <v>14</v>
      </c>
      <c r="I7" s="106" t="inlineStr">
        <is>
          <t>Flagged after 180 days without a mission sortie (Mission Type MSN on Activities)</t>
        </is>
      </c>
    </row>
    <row r="8" ht="30" customHeight="1">
      <c r="A8" s="138" t="inlineStr">
        <is>
          <t>Night flying</t>
        </is>
      </c>
      <c r="B8" s="138" t="inlineStr">
        <is>
          <t>Role</t>
        </is>
      </c>
      <c r="C8" s="106" t="inlineStr">
        <is>
          <t>Instructor</t>
        </is>
      </c>
      <c r="D8" s="138" t="inlineStr">
        <is>
          <t>Mission type</t>
        </is>
      </c>
      <c r="E8" s="106" t="inlineStr">
        <is>
          <t>NIGHT</t>
        </is>
      </c>
      <c r="F8" s="138" t="n">
        <v>90</v>
      </c>
      <c r="G8" s="138" t="n">
        <v>2</v>
      </c>
      <c r="H8" s="138" t="n">
        <v>14</v>
      </c>
      <c r="I8" s="106" t="inlineStr">
        <is>
          <t>Example of a count rule: at least 2 night sorties in 90 days</t>
        </is>
      </c>
    </row>
    <row r="9" ht="30" customHeight="1">
      <c r="A9" s="138" t="n"/>
      <c r="B9" s="138" t="n"/>
      <c r="C9" s="106" t="n"/>
      <c r="D9" s="138" t="n"/>
      <c r="E9" s="106" t="n"/>
      <c r="F9" s="138" t="n"/>
      <c r="G9" s="138" t="n"/>
      <c r="H9" s="138" t="n"/>
      <c r="I9" s="106" t="n"/>
    </row>
    <row r="10" ht="30" customHeight="1">
      <c r="A10" s="138" t="n"/>
      <c r="B10" s="138" t="n"/>
      <c r="C10" s="106" t="n"/>
      <c r="D10" s="138" t="n"/>
      <c r="E10" s="106" t="n"/>
      <c r="F10" s="138" t="n"/>
      <c r="G10" s="138" t="n"/>
      <c r="H10" s="138" t="n"/>
      <c r="I10" s="106" t="n"/>
    </row>
    <row r="11" ht="30" customHeight="1">
      <c r="A11" s="138" t="n"/>
      <c r="B11" s="138" t="n"/>
      <c r="C11" s="106" t="n"/>
      <c r="D11" s="138" t="n"/>
      <c r="E11" s="106" t="n"/>
      <c r="F11" s="138" t="n"/>
      <c r="G11" s="138" t="n"/>
      <c r="H11" s="138" t="n"/>
      <c r="I11" s="106" t="n"/>
    </row>
    <row r="12" ht="30" customHeight="1">
      <c r="A12" s="138" t="n"/>
      <c r="B12" s="138" t="n"/>
      <c r="C12" s="106" t="n"/>
      <c r="D12" s="138" t="n"/>
      <c r="E12" s="106" t="n"/>
      <c r="F12" s="138" t="n"/>
      <c r="G12" s="138" t="n"/>
      <c r="H12" s="138" t="n"/>
      <c r="I12" s="106" t="n"/>
    </row>
    <row r="13" ht="30" customHeight="1">
      <c r="A13" s="138" t="n"/>
      <c r="B13" s="138" t="n"/>
      <c r="C13" s="106" t="n"/>
      <c r="D13" s="138" t="n"/>
      <c r="E13" s="106" t="n"/>
      <c r="F13" s="138" t="n"/>
      <c r="G13" s="138" t="n"/>
      <c r="H13" s="138" t="n"/>
      <c r="I13" s="106" t="n"/>
    </row>
    <row r="14" ht="30" customHeight="1">
      <c r="A14" s="138" t="n"/>
      <c r="B14" s="138" t="n"/>
      <c r="C14" s="106" t="n"/>
      <c r="D14" s="138" t="n"/>
      <c r="E14" s="106" t="n"/>
      <c r="F14" s="138" t="n"/>
      <c r="G14" s="138" t="n"/>
      <c r="H14" s="138" t="n"/>
      <c r="I14" s="106" t="n"/>
    </row>
    <row r="15" ht="30" customHeight="1">
      <c r="A15" s="138" t="n"/>
      <c r="B15" s="138" t="n"/>
      <c r="C15" s="106" t="n"/>
      <c r="D15" s="138" t="n"/>
      <c r="E15" s="106" t="n"/>
      <c r="F15" s="138" t="n"/>
      <c r="G15" s="138" t="n"/>
      <c r="H15" s="138" t="n"/>
      <c r="I15" s="106" t="n"/>
    </row>
    <row r="16" ht="30" customHeight="1">
      <c r="A16" s="138" t="n"/>
      <c r="B16" s="138" t="n"/>
      <c r="C16" s="106" t="n"/>
      <c r="D16" s="138" t="n"/>
      <c r="E16" s="106" t="n"/>
      <c r="F16" s="138" t="n"/>
      <c r="G16" s="138" t="n"/>
      <c r="H16" s="138" t="n"/>
      <c r="I16" s="106" t="n"/>
    </row>
    <row r="17" ht="30" customHeight="1">
      <c r="A17" s="138" t="n"/>
      <c r="B17" s="138" t="n"/>
      <c r="C17" s="106" t="n"/>
      <c r="D17" s="138" t="n"/>
      <c r="E17" s="106" t="n"/>
      <c r="F17" s="138" t="n"/>
      <c r="G17" s="138" t="n"/>
      <c r="H17" s="138" t="n"/>
      <c r="I17" s="106" t="n"/>
    </row>
    <row r="20">
      <c r="A20" s="139"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L5" s="31" t="inlineStr">
        <is>
          <t>Sorties (calc)</t>
        </is>
      </c>
      <c r="M5" s="31" t="inlineStr">
        <is>
          <t>Flight #</t>
        </is>
      </c>
      <c r="N5" s="31" t="inlineStr">
        <is>
          <t>Flight list</t>
        </is>
      </c>
    </row>
    <row r="6">
      <c r="A6" s="95" t="inlineStr">
        <is>
          <t>FLT-1.5</t>
        </is>
      </c>
      <c r="B6" s="95" t="inlineStr">
        <is>
          <t>Routine Sortie (1.5h)</t>
        </is>
      </c>
      <c r="C6" s="95" t="inlineStr">
        <is>
          <t>Flight</t>
        </is>
      </c>
      <c r="D6" s="140" t="n">
        <v>1.5</v>
      </c>
      <c r="E6" s="95" t="n"/>
      <c r="F6" s="95" t="inlineStr">
        <is>
          <t>GEN</t>
        </is>
      </c>
      <c r="G6" s="141" t="inlineStr">
        <is>
          <t>Flight</t>
        </is>
      </c>
      <c r="I6" s="142" t="n">
        <v>46023</v>
      </c>
      <c r="J6" s="95" t="inlineStr">
        <is>
          <t>New Year's Day</t>
        </is>
      </c>
      <c r="L6">
        <f>IF($A6="","",IF($E6="",1,$E6))</f>
        <v/>
      </c>
      <c r="M6">
        <f>IF(AND($A6&lt;&gt;"",$C6=$G$6),COUNTIFS($A$6:$A6,"&lt;&gt;",$C$6:$C6,$G$6),"")</f>
        <v/>
      </c>
      <c r="N6">
        <f>IFERROR(INDEX($A$6:$A$65,MATCH(1,$M$6:$M$65,0)),"")</f>
        <v/>
      </c>
    </row>
    <row r="7">
      <c r="A7" s="95" t="inlineStr">
        <is>
          <t>FLT-2.0</t>
        </is>
      </c>
      <c r="B7" s="95" t="inlineStr">
        <is>
          <t>Standard Sortie (2.0h)</t>
        </is>
      </c>
      <c r="C7" s="95" t="inlineStr">
        <is>
          <t>Flight</t>
        </is>
      </c>
      <c r="D7" s="140" t="n">
        <v>2</v>
      </c>
      <c r="E7" s="95" t="n"/>
      <c r="F7" s="95" t="inlineStr">
        <is>
          <t>GEN</t>
        </is>
      </c>
      <c r="G7" s="143" t="inlineStr">
        <is>
          <t>Sim</t>
        </is>
      </c>
      <c r="I7" s="142" t="n">
        <v>46070</v>
      </c>
      <c r="J7" s="95" t="inlineStr">
        <is>
          <t>Chinese New Year</t>
        </is>
      </c>
      <c r="L7">
        <f>IF($A7="","",IF($E7="",1,$E7))</f>
        <v/>
      </c>
      <c r="M7">
        <f>IF(AND($A7&lt;&gt;"",$C7=$G$6),COUNTIFS($A$6:$A7,"&lt;&gt;",$C$6:$C7,$G$6),"")</f>
        <v/>
      </c>
      <c r="N7">
        <f>IFERROR(INDEX($A$6:$A$65,MATCH(2,$M$6:$M$65,0)),"")</f>
        <v/>
      </c>
    </row>
    <row r="8">
      <c r="A8" s="95" t="inlineStr">
        <is>
          <t>FLT-3.0</t>
        </is>
      </c>
      <c r="B8" s="95" t="inlineStr">
        <is>
          <t>Extended Mission (3.0h)</t>
        </is>
      </c>
      <c r="C8" s="95" t="inlineStr">
        <is>
          <t>Flight</t>
        </is>
      </c>
      <c r="D8" s="140" t="n">
        <v>3</v>
      </c>
      <c r="E8" s="95" t="n"/>
      <c r="F8" s="95" t="inlineStr">
        <is>
          <t>GEN</t>
        </is>
      </c>
      <c r="G8" s="144" t="inlineStr">
        <is>
          <t>Ground Duty</t>
        </is>
      </c>
      <c r="I8" s="142" t="n">
        <v>46071</v>
      </c>
      <c r="J8" s="95" t="inlineStr">
        <is>
          <t>Chinese New Year</t>
        </is>
      </c>
      <c r="L8">
        <f>IF($A8="","",IF($E8="",1,$E8))</f>
        <v/>
      </c>
      <c r="M8">
        <f>IF(AND($A8&lt;&gt;"",$C8=$G$6),COUNTIFS($A$6:$A8,"&lt;&gt;",$C$6:$C8,$G$6),"")</f>
        <v/>
      </c>
      <c r="N8">
        <f>IFERROR(INDEX($A$6:$A$65,MATCH(3,$M$6:$M$65,0)),"")</f>
        <v/>
      </c>
    </row>
    <row r="9">
      <c r="A9" s="95" t="inlineStr">
        <is>
          <t>NVG-2.0</t>
        </is>
      </c>
      <c r="B9" s="95" t="inlineStr">
        <is>
          <t>Night Flying Sortie (2.0h)</t>
        </is>
      </c>
      <c r="C9" s="95" t="inlineStr">
        <is>
          <t>Flight</t>
        </is>
      </c>
      <c r="D9" s="140" t="n">
        <v>2</v>
      </c>
      <c r="E9" s="95" t="n"/>
      <c r="F9" s="95" t="inlineStr">
        <is>
          <t>NIGHT</t>
        </is>
      </c>
      <c r="G9" s="145" t="inlineStr">
        <is>
          <t>Squadron Duty</t>
        </is>
      </c>
      <c r="I9" s="142" t="n">
        <v>46102</v>
      </c>
      <c r="J9" s="95" t="inlineStr">
        <is>
          <t>Hari Raya Puasa</t>
        </is>
      </c>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0" t="n">
        <v>3</v>
      </c>
      <c r="E10" s="95" t="n">
        <v>2</v>
      </c>
      <c r="F10" s="95" t="inlineStr">
        <is>
          <t>GEN</t>
        </is>
      </c>
      <c r="G10" s="146" t="inlineStr">
        <is>
          <t>Leave</t>
        </is>
      </c>
      <c r="I10" s="142" t="n">
        <v>46115</v>
      </c>
      <c r="J10" s="95" t="inlineStr">
        <is>
          <t>Good Friday</t>
        </is>
      </c>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0" t="n">
        <v>4</v>
      </c>
      <c r="E11" s="95" t="n">
        <v>2</v>
      </c>
      <c r="F11" s="95" t="inlineStr">
        <is>
          <t>GEN</t>
        </is>
      </c>
      <c r="G11" s="147" t="inlineStr">
        <is>
          <t>Off</t>
        </is>
      </c>
      <c r="I11" s="142" t="n">
        <v>46143</v>
      </c>
      <c r="J11" s="95" t="inlineStr">
        <is>
          <t>Labour Day</t>
        </is>
      </c>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0" t="n">
        <v>3</v>
      </c>
      <c r="E12" s="95" t="n"/>
      <c r="F12" s="95" t="inlineStr">
        <is>
          <t>MSN</t>
        </is>
      </c>
      <c r="G12" s="148" t="inlineStr">
        <is>
          <t>Admin</t>
        </is>
      </c>
      <c r="I12" s="142" t="n">
        <v>46169</v>
      </c>
      <c r="J12" s="95" t="inlineStr">
        <is>
          <t>Hari Raya Haji</t>
        </is>
      </c>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0" t="n">
        <v>1.5</v>
      </c>
      <c r="E13" s="95" t="n"/>
      <c r="F13" s="95" t="inlineStr">
        <is>
          <t>TRG</t>
        </is>
      </c>
      <c r="G13" s="149" t="inlineStr">
        <is>
          <t>Medical</t>
        </is>
      </c>
      <c r="I13" s="142" t="n">
        <v>46173</v>
      </c>
      <c r="J13" s="95" t="inlineStr">
        <is>
          <t>Vesak Day</t>
        </is>
      </c>
      <c r="L13">
        <f>IF($A13="","",IF($E13="",1,$E13))</f>
        <v/>
      </c>
      <c r="M13">
        <f>IF(AND($A13&lt;&gt;"",$C13=$G$6),COUNTIFS($A$6:$A13,"&lt;&gt;",$C$6:$C13,$G$6),"")</f>
        <v/>
      </c>
      <c r="N13">
        <f>IFERROR(INDEX($A$6:$A$65,MATCH(8,$M$6:$M$65,0)),"")</f>
        <v/>
      </c>
    </row>
    <row r="14">
      <c r="A14" s="95" t="inlineStr">
        <is>
          <t>SIM</t>
        </is>
      </c>
      <c r="B14" s="95" t="inlineStr">
        <is>
          <t>Simulator Training</t>
        </is>
      </c>
      <c r="C14" s="95" t="inlineStr">
        <is>
          <t>Sim</t>
        </is>
      </c>
      <c r="D14" s="140" t="n">
        <v>0</v>
      </c>
      <c r="E14" s="95" t="n"/>
      <c r="F14" s="95" t="n"/>
      <c r="G14" s="150" t="inlineStr">
        <is>
          <t>Oversea Duty</t>
        </is>
      </c>
      <c r="I14" s="142" t="n">
        <v>46174</v>
      </c>
      <c r="J14" s="95" t="inlineStr">
        <is>
          <t>Vesak Day (in lieu)</t>
        </is>
      </c>
      <c r="L14">
        <f>IF($A14="","",IF($E14="",1,$E14))</f>
        <v/>
      </c>
      <c r="M14">
        <f>IF(AND($A14&lt;&gt;"",$C14=$G$6),COUNTIFS($A$6:$A14,"&lt;&gt;",$C$6:$C14,$G$6),"")</f>
        <v/>
      </c>
      <c r="N14">
        <f>IFERROR(INDEX($A$6:$A$65,MATCH(9,$M$6:$M$65,0)),"")</f>
        <v/>
      </c>
    </row>
    <row r="15">
      <c r="A15" s="95" t="inlineStr">
        <is>
          <t>SIMCEN</t>
        </is>
      </c>
      <c r="B15" s="95" t="inlineStr">
        <is>
          <t>Simulator Training (SIMCEN)</t>
        </is>
      </c>
      <c r="C15" s="95" t="inlineStr">
        <is>
          <t>Sim</t>
        </is>
      </c>
      <c r="D15" s="140" t="n">
        <v>0</v>
      </c>
      <c r="E15" s="95" t="n"/>
      <c r="F15" s="95" t="n"/>
      <c r="I15" s="142" t="n">
        <v>46243</v>
      </c>
      <c r="J15" s="95" t="inlineStr">
        <is>
          <t>National Day</t>
        </is>
      </c>
      <c r="L15">
        <f>IF($A15="","",IF($E15="",1,$E15))</f>
        <v/>
      </c>
      <c r="M15">
        <f>IF(AND($A15&lt;&gt;"",$C15=$G$6),COUNTIFS($A$6:$A15,"&lt;&gt;",$C$6:$C15,$G$6),"")</f>
        <v/>
      </c>
      <c r="N15">
        <f>IFERROR(INDEX($A$6:$A$65,MATCH(10,$M$6:$M$65,0)),"")</f>
        <v/>
      </c>
    </row>
    <row r="16">
      <c r="A16" s="95" t="inlineStr">
        <is>
          <t>BU</t>
        </is>
      </c>
      <c r="B16" s="95" t="inlineStr">
        <is>
          <t>Quick Reaction Standby</t>
        </is>
      </c>
      <c r="C16" s="95" t="inlineStr">
        <is>
          <t>Ground Duty</t>
        </is>
      </c>
      <c r="D16" s="140" t="n">
        <v>0</v>
      </c>
      <c r="E16" s="95" t="n"/>
      <c r="F16" s="95" t="n"/>
      <c r="G16" s="30" t="inlineStr">
        <is>
          <t>You can rename these; don't add more.</t>
        </is>
      </c>
      <c r="I16" s="142" t="n">
        <v>46244</v>
      </c>
      <c r="J16" s="95" t="inlineStr">
        <is>
          <t>National Day (in lieu)</t>
        </is>
      </c>
      <c r="L16">
        <f>IF($A16="","",IF($E16="",1,$E16))</f>
        <v/>
      </c>
      <c r="M16">
        <f>IF(AND($A16&lt;&gt;"",$C16=$G$6),COUNTIFS($A$6:$A16,"&lt;&gt;",$C$6:$C16,$G$6),"")</f>
        <v/>
      </c>
      <c r="N16">
        <f>IFERROR(INDEX($A$6:$A$65,MATCH(11,$M$6:$M$65,0)),"")</f>
        <v/>
      </c>
    </row>
    <row r="17">
      <c r="A17" s="95" t="inlineStr">
        <is>
          <t>P1</t>
        </is>
      </c>
      <c r="B17" s="95" t="inlineStr">
        <is>
          <t>P1 Crew</t>
        </is>
      </c>
      <c r="C17" s="95" t="inlineStr">
        <is>
          <t>Ground Duty</t>
        </is>
      </c>
      <c r="D17" s="140" t="n">
        <v>0</v>
      </c>
      <c r="E17" s="95" t="n"/>
      <c r="F17" s="95" t="n"/>
      <c r="I17" s="142" t="n">
        <v>46334</v>
      </c>
      <c r="J17" s="95" t="inlineStr">
        <is>
          <t>Deepavali</t>
        </is>
      </c>
      <c r="L17">
        <f>IF($A17="","",IF($E17="",1,$E17))</f>
        <v/>
      </c>
      <c r="M17">
        <f>IF(AND($A17&lt;&gt;"",$C17=$G$6),COUNTIFS($A$6:$A17,"&lt;&gt;",$C$6:$C17,$G$6),"")</f>
        <v/>
      </c>
      <c r="N17">
        <f>IFERROR(INDEX($A$6:$A$65,MATCH(12,$M$6:$M$65,0)),"")</f>
        <v/>
      </c>
    </row>
    <row r="18">
      <c r="A18" s="95" t="inlineStr">
        <is>
          <t>P2</t>
        </is>
      </c>
      <c r="B18" s="95" t="inlineStr">
        <is>
          <t>P2 Crew</t>
        </is>
      </c>
      <c r="C18" s="95" t="inlineStr">
        <is>
          <t>Ground Duty</t>
        </is>
      </c>
      <c r="D18" s="140" t="n">
        <v>0</v>
      </c>
      <c r="E18" s="95" t="n"/>
      <c r="F18" s="95" t="n"/>
      <c r="I18" s="142" t="n">
        <v>46335</v>
      </c>
      <c r="J18" s="95" t="inlineStr">
        <is>
          <t>Deepavali (in lieu)</t>
        </is>
      </c>
      <c r="L18">
        <f>IF($A18="","",IF($E18="",1,$E18))</f>
        <v/>
      </c>
      <c r="M18">
        <f>IF(AND($A18&lt;&gt;"",$C18=$G$6),COUNTIFS($A$6:$A18,"&lt;&gt;",$C$6:$C18,$G$6),"")</f>
        <v/>
      </c>
      <c r="N18">
        <f>IFERROR(INDEX($A$6:$A$65,MATCH(13,$M$6:$M$65,0)),"")</f>
        <v/>
      </c>
    </row>
    <row r="19">
      <c r="A19" s="95" t="inlineStr">
        <is>
          <t>SDO</t>
        </is>
      </c>
      <c r="B19" s="95" t="inlineStr">
        <is>
          <t>Squadron Duty Orderly</t>
        </is>
      </c>
      <c r="C19" s="95" t="inlineStr">
        <is>
          <t>Squadron Duty</t>
        </is>
      </c>
      <c r="D19" s="140" t="n">
        <v>0</v>
      </c>
      <c r="E19" s="95" t="n"/>
      <c r="F19" s="95" t="n"/>
      <c r="I19" s="142" t="n">
        <v>46381</v>
      </c>
      <c r="J19" s="95" t="inlineStr">
        <is>
          <t>Christmas Day</t>
        </is>
      </c>
      <c r="L19">
        <f>IF($A19="","",IF($E19="",1,$E19))</f>
        <v/>
      </c>
      <c r="M19">
        <f>IF(AND($A19&lt;&gt;"",$C19=$G$6),COUNTIFS($A$6:$A19,"&lt;&gt;",$C$6:$C19,$G$6),"")</f>
        <v/>
      </c>
      <c r="N19">
        <f>IFERROR(INDEX($A$6:$A$65,MATCH(14,$M$6:$M$65,0)),"")</f>
        <v/>
      </c>
    </row>
    <row r="20">
      <c r="A20" s="95" t="inlineStr">
        <is>
          <t>BDO</t>
        </is>
      </c>
      <c r="B20" s="95" t="inlineStr">
        <is>
          <t>Base Duty Officer</t>
        </is>
      </c>
      <c r="C20" s="95" t="inlineStr">
        <is>
          <t>Squadron Duty</t>
        </is>
      </c>
      <c r="D20" s="140" t="n">
        <v>0</v>
      </c>
      <c r="E20" s="95" t="n"/>
      <c r="F20" s="95" t="n"/>
      <c r="I20" s="142" t="n">
        <v>46388</v>
      </c>
      <c r="J20" s="95" t="inlineStr">
        <is>
          <t>New Year's Day</t>
        </is>
      </c>
      <c r="L20">
        <f>IF($A20="","",IF($E20="",1,$E20))</f>
        <v/>
      </c>
      <c r="M20">
        <f>IF(AND($A20&lt;&gt;"",$C20=$G$6),COUNTIFS($A$6:$A20,"&lt;&gt;",$C$6:$C20,$G$6),"")</f>
        <v/>
      </c>
      <c r="N20">
        <f>IFERROR(INDEX($A$6:$A$65,MATCH(15,$M$6:$M$65,0)),"")</f>
        <v/>
      </c>
    </row>
    <row r="21">
      <c r="A21" s="95" t="inlineStr">
        <is>
          <t>Meeting</t>
        </is>
      </c>
      <c r="B21" s="95" t="inlineStr">
        <is>
          <t>Meeting</t>
        </is>
      </c>
      <c r="C21" s="95" t="inlineStr">
        <is>
          <t>Admin</t>
        </is>
      </c>
      <c r="D21" s="140" t="n">
        <v>0</v>
      </c>
      <c r="E21" s="95" t="n"/>
      <c r="F21" s="95" t="n"/>
      <c r="I21" s="142" t="n">
        <v>46424</v>
      </c>
      <c r="J21" s="95" t="inlineStr">
        <is>
          <t>Chinese New Year</t>
        </is>
      </c>
      <c r="L21">
        <f>IF($A21="","",IF($E21="",1,$E21))</f>
        <v/>
      </c>
      <c r="M21">
        <f>IF(AND($A21&lt;&gt;"",$C21=$G$6),COUNTIFS($A$6:$A21,"&lt;&gt;",$C$6:$C21,$G$6),"")</f>
        <v/>
      </c>
      <c r="N21">
        <f>IFERROR(INDEX($A$6:$A$65,MATCH(16,$M$6:$M$65,0)),"")</f>
        <v/>
      </c>
    </row>
    <row r="22">
      <c r="A22" s="95" t="inlineStr">
        <is>
          <t>Outstation</t>
        </is>
      </c>
      <c r="B22" s="95" t="inlineStr">
        <is>
          <t>Out of office for work purpose</t>
        </is>
      </c>
      <c r="C22" s="95" t="inlineStr">
        <is>
          <t>Admin</t>
        </is>
      </c>
      <c r="D22" s="140" t="n">
        <v>0</v>
      </c>
      <c r="E22" s="95" t="n"/>
      <c r="F22" s="95" t="n"/>
      <c r="I22" s="142" t="n">
        <v>46425</v>
      </c>
      <c r="J22" s="95" t="inlineStr">
        <is>
          <t>Chinese New Year</t>
        </is>
      </c>
      <c r="L22">
        <f>IF($A22="","",IF($E22="",1,$E22))</f>
        <v/>
      </c>
      <c r="M22">
        <f>IF(AND($A22&lt;&gt;"",$C22=$G$6),COUNTIFS($A$6:$A22,"&lt;&gt;",$C$6:$C22,$G$6),"")</f>
        <v/>
      </c>
      <c r="N22">
        <f>IFERROR(INDEX($A$6:$A$65,MATCH(17,$M$6:$M$65,0)),"")</f>
        <v/>
      </c>
    </row>
    <row r="23">
      <c r="A23" s="95" t="inlineStr">
        <is>
          <t>Detachment</t>
        </is>
      </c>
      <c r="B23" s="95" t="inlineStr">
        <is>
          <t>Detachment</t>
        </is>
      </c>
      <c r="C23" s="95" t="inlineStr">
        <is>
          <t>Oversea Duty</t>
        </is>
      </c>
      <c r="D23" s="140" t="n">
        <v>0</v>
      </c>
      <c r="E23" s="95" t="n"/>
      <c r="F23" s="95" t="n"/>
      <c r="I23" s="142" t="n">
        <v>46426</v>
      </c>
      <c r="J23" s="95" t="inlineStr">
        <is>
          <t>Chinese New Year (in lieu)</t>
        </is>
      </c>
      <c r="L23">
        <f>IF($A23="","",IF($E23="",1,$E23))</f>
        <v/>
      </c>
      <c r="M23">
        <f>IF(AND($A23&lt;&gt;"",$C23=$G$6),COUNTIFS($A$6:$A23,"&lt;&gt;",$C$6:$C23,$G$6),"")</f>
        <v/>
      </c>
      <c r="N23">
        <f>IFERROR(INDEX($A$6:$A$65,MATCH(18,$M$6:$M$65,0)),"")</f>
        <v/>
      </c>
    </row>
    <row r="24">
      <c r="A24" s="95" t="inlineStr">
        <is>
          <t>MC</t>
        </is>
      </c>
      <c r="B24" s="95" t="inlineStr">
        <is>
          <t>Medical Leave</t>
        </is>
      </c>
      <c r="C24" s="95" t="inlineStr">
        <is>
          <t>Medical</t>
        </is>
      </c>
      <c r="D24" s="140" t="n">
        <v>0</v>
      </c>
      <c r="E24" s="95" t="n"/>
      <c r="F24" s="95" t="n"/>
      <c r="I24" s="142" t="n">
        <v>46456</v>
      </c>
      <c r="J24" s="95" t="inlineStr">
        <is>
          <t>Hari Raya Puasa</t>
        </is>
      </c>
      <c r="L24">
        <f>IF($A24="","",IF($E24="",1,$E24))</f>
        <v/>
      </c>
      <c r="M24">
        <f>IF(AND($A24&lt;&gt;"",$C24=$G$6),COUNTIFS($A$6:$A24,"&lt;&gt;",$C$6:$C24,$G$6),"")</f>
        <v/>
      </c>
      <c r="N24">
        <f>IFERROR(INDEX($A$6:$A$65,MATCH(19,$M$6:$M$65,0)),"")</f>
        <v/>
      </c>
    </row>
    <row r="25">
      <c r="A25" s="95" t="inlineStr">
        <is>
          <t>Medical Appt</t>
        </is>
      </c>
      <c r="B25" s="95" t="inlineStr">
        <is>
          <t>Medical Appointment</t>
        </is>
      </c>
      <c r="C25" s="95" t="inlineStr">
        <is>
          <t>Medical</t>
        </is>
      </c>
      <c r="D25" s="140" t="n">
        <v>0</v>
      </c>
      <c r="E25" s="95" t="n"/>
      <c r="F25" s="95" t="n"/>
      <c r="I25" s="142" t="n">
        <v>46472</v>
      </c>
      <c r="J25" s="95" t="inlineStr">
        <is>
          <t>Good Friday</t>
        </is>
      </c>
      <c r="L25">
        <f>IF($A25="","",IF($E25="",1,$E25))</f>
        <v/>
      </c>
      <c r="M25">
        <f>IF(AND($A25&lt;&gt;"",$C25=$G$6),COUNTIFS($A$6:$A25,"&lt;&gt;",$C$6:$C25,$G$6),"")</f>
        <v/>
      </c>
      <c r="N25">
        <f>IFERROR(INDEX($A$6:$A$65,MATCH(20,$M$6:$M$65,0)),"")</f>
        <v/>
      </c>
    </row>
    <row r="26">
      <c r="A26" s="95" t="inlineStr">
        <is>
          <t>LL</t>
        </is>
      </c>
      <c r="B26" s="95" t="inlineStr">
        <is>
          <t>Local Leave</t>
        </is>
      </c>
      <c r="C26" s="95" t="inlineStr">
        <is>
          <t>Leave</t>
        </is>
      </c>
      <c r="D26" s="140" t="n">
        <v>0</v>
      </c>
      <c r="E26" s="95" t="n"/>
      <c r="F26" s="95" t="n"/>
      <c r="I26" s="142" t="n">
        <v>46508</v>
      </c>
      <c r="J26" s="95" t="inlineStr">
        <is>
          <t>Labour Day</t>
        </is>
      </c>
      <c r="L26">
        <f>IF($A26="","",IF($E26="",1,$E26))</f>
        <v/>
      </c>
      <c r="M26">
        <f>IF(AND($A26&lt;&gt;"",$C26=$G$6),COUNTIFS($A$6:$A26,"&lt;&gt;",$C$6:$C26,$G$6),"")</f>
        <v/>
      </c>
      <c r="N26">
        <f>IFERROR(INDEX($A$6:$A$65,MATCH(21,$M$6:$M$65,0)),"")</f>
        <v/>
      </c>
    </row>
    <row r="27">
      <c r="A27" s="95" t="inlineStr">
        <is>
          <t>OL</t>
        </is>
      </c>
      <c r="B27" s="95" t="inlineStr">
        <is>
          <t>Oversea Leave</t>
        </is>
      </c>
      <c r="C27" s="95" t="inlineStr">
        <is>
          <t>Leave</t>
        </is>
      </c>
      <c r="D27" s="140" t="n">
        <v>0</v>
      </c>
      <c r="E27" s="95" t="n"/>
      <c r="F27" s="95" t="n"/>
      <c r="I27" s="142" t="n">
        <v>46524</v>
      </c>
      <c r="J27" s="95" t="inlineStr">
        <is>
          <t>Hari Raya Haji</t>
        </is>
      </c>
      <c r="L27">
        <f>IF($A27="","",IF($E27="",1,$E27))</f>
        <v/>
      </c>
      <c r="M27">
        <f>IF(AND($A27&lt;&gt;"",$C27=$G$6),COUNTIFS($A$6:$A27,"&lt;&gt;",$C$6:$C27,$G$6),"")</f>
        <v/>
      </c>
      <c r="N27">
        <f>IFERROR(INDEX($A$6:$A$65,MATCH(22,$M$6:$M$65,0)),"")</f>
        <v/>
      </c>
    </row>
    <row r="28">
      <c r="A28" s="95" t="inlineStr">
        <is>
          <t>OIL</t>
        </is>
      </c>
      <c r="B28" s="95" t="inlineStr">
        <is>
          <t>OIL</t>
        </is>
      </c>
      <c r="C28" s="95" t="inlineStr">
        <is>
          <t>Off</t>
        </is>
      </c>
      <c r="D28" s="140" t="n">
        <v>0</v>
      </c>
      <c r="E28" s="95" t="n"/>
      <c r="F28" s="95" t="n"/>
      <c r="I28" s="142" t="n">
        <v>46527</v>
      </c>
      <c r="J28" s="95" t="inlineStr">
        <is>
          <t>Vesak Day</t>
        </is>
      </c>
      <c r="L28">
        <f>IF($A28="","",IF($E28="",1,$E28))</f>
        <v/>
      </c>
      <c r="M28">
        <f>IF(AND($A28&lt;&gt;"",$C28=$G$6),COUNTIFS($A$6:$A28,"&lt;&gt;",$C$6:$C28,$G$6),"")</f>
        <v/>
      </c>
      <c r="N28">
        <f>IFERROR(INDEX($A$6:$A$65,MATCH(23,$M$6:$M$65,0)),"")</f>
        <v/>
      </c>
    </row>
    <row r="29">
      <c r="A29" s="95" t="n"/>
      <c r="B29" s="95" t="n"/>
      <c r="C29" s="95" t="n"/>
      <c r="D29" s="140" t="n"/>
      <c r="E29" s="95" t="n"/>
      <c r="F29" s="95" t="n"/>
      <c r="I29" s="142" t="n">
        <v>46608</v>
      </c>
      <c r="J29" s="95" t="inlineStr">
        <is>
          <t>National Day</t>
        </is>
      </c>
      <c r="L29">
        <f>IF($A29="","",IF($E29="",1,$E29))</f>
        <v/>
      </c>
      <c r="M29">
        <f>IF(AND($A29&lt;&gt;"",$C29=$G$6),COUNTIFS($A$6:$A29,"&lt;&gt;",$C$6:$C29,$G$6),"")</f>
        <v/>
      </c>
      <c r="N29">
        <f>IFERROR(INDEX($A$6:$A$65,MATCH(24,$M$6:$M$65,0)),"")</f>
        <v/>
      </c>
    </row>
    <row r="30">
      <c r="A30" s="95" t="n"/>
      <c r="B30" s="95" t="n"/>
      <c r="C30" s="95" t="n"/>
      <c r="D30" s="140" t="n"/>
      <c r="E30" s="95" t="n"/>
      <c r="F30" s="95" t="n"/>
      <c r="I30" s="142" t="n">
        <v>46688</v>
      </c>
      <c r="J30" s="95" t="inlineStr">
        <is>
          <t>Deepavali</t>
        </is>
      </c>
      <c r="L30">
        <f>IF($A30="","",IF($E30="",1,$E30))</f>
        <v/>
      </c>
      <c r="M30">
        <f>IF(AND($A30&lt;&gt;"",$C30=$G$6),COUNTIFS($A$6:$A30,"&lt;&gt;",$C$6:$C30,$G$6),"")</f>
        <v/>
      </c>
      <c r="N30">
        <f>IFERROR(INDEX($A$6:$A$65,MATCH(25,$M$6:$M$65,0)),"")</f>
        <v/>
      </c>
    </row>
    <row r="31">
      <c r="A31" s="95" t="n"/>
      <c r="B31" s="95" t="n"/>
      <c r="C31" s="95" t="n"/>
      <c r="D31" s="140" t="n"/>
      <c r="E31" s="95" t="n"/>
      <c r="F31" s="95" t="n"/>
      <c r="I31" s="142" t="n">
        <v>46746</v>
      </c>
      <c r="J31" s="95" t="inlineStr">
        <is>
          <t>Christmas Day</t>
        </is>
      </c>
      <c r="L31">
        <f>IF($A31="","",IF($E31="",1,$E31))</f>
        <v/>
      </c>
      <c r="M31">
        <f>IF(AND($A31&lt;&gt;"",$C31=$G$6),COUNTIFS($A$6:$A31,"&lt;&gt;",$C$6:$C31,$G$6),"")</f>
        <v/>
      </c>
      <c r="N31">
        <f>IFERROR(INDEX($A$6:$A$65,MATCH(26,$M$6:$M$65,0)),"")</f>
        <v/>
      </c>
    </row>
    <row r="32">
      <c r="A32" s="95" t="n"/>
      <c r="B32" s="95" t="n"/>
      <c r="C32" s="95" t="n"/>
      <c r="D32" s="140" t="n"/>
      <c r="E32" s="95" t="n"/>
      <c r="F32" s="95" t="n"/>
      <c r="I32" s="142" t="n"/>
      <c r="J32" s="95" t="n"/>
      <c r="L32">
        <f>IF($A32="","",IF($E32="",1,$E32))</f>
        <v/>
      </c>
      <c r="M32">
        <f>IF(AND($A32&lt;&gt;"",$C32=$G$6),COUNTIFS($A$6:$A32,"&lt;&gt;",$C$6:$C32,$G$6),"")</f>
        <v/>
      </c>
      <c r="N32">
        <f>IFERROR(INDEX($A$6:$A$65,MATCH(27,$M$6:$M$65,0)),"")</f>
        <v/>
      </c>
    </row>
    <row r="33">
      <c r="A33" s="95" t="n"/>
      <c r="B33" s="95" t="n"/>
      <c r="C33" s="95" t="n"/>
      <c r="D33" s="140" t="n"/>
      <c r="E33" s="95" t="n"/>
      <c r="F33" s="95" t="n"/>
      <c r="I33" s="142" t="n"/>
      <c r="J33" s="95" t="n"/>
      <c r="L33">
        <f>IF($A33="","",IF($E33="",1,$E33))</f>
        <v/>
      </c>
      <c r="M33">
        <f>IF(AND($A33&lt;&gt;"",$C33=$G$6),COUNTIFS($A$6:$A33,"&lt;&gt;",$C$6:$C33,$G$6),"")</f>
        <v/>
      </c>
      <c r="N33">
        <f>IFERROR(INDEX($A$6:$A$65,MATCH(28,$M$6:$M$65,0)),"")</f>
        <v/>
      </c>
    </row>
    <row r="34">
      <c r="A34" s="95" t="n"/>
      <c r="B34" s="95" t="n"/>
      <c r="C34" s="95" t="n"/>
      <c r="D34" s="140" t="n"/>
      <c r="E34" s="95" t="n"/>
      <c r="F34" s="95" t="n"/>
      <c r="I34" s="142" t="n"/>
      <c r="J34" s="95" t="n"/>
      <c r="L34">
        <f>IF($A34="","",IF($E34="",1,$E34))</f>
        <v/>
      </c>
      <c r="M34">
        <f>IF(AND($A34&lt;&gt;"",$C34=$G$6),COUNTIFS($A$6:$A34,"&lt;&gt;",$C$6:$C34,$G$6),"")</f>
        <v/>
      </c>
      <c r="N34">
        <f>IFERROR(INDEX($A$6:$A$65,MATCH(29,$M$6:$M$65,0)),"")</f>
        <v/>
      </c>
    </row>
    <row r="35">
      <c r="A35" s="95" t="n"/>
      <c r="B35" s="95" t="n"/>
      <c r="C35" s="95" t="n"/>
      <c r="D35" s="140" t="n"/>
      <c r="E35" s="95" t="n"/>
      <c r="F35" s="95" t="n"/>
      <c r="I35" s="142" t="n"/>
      <c r="J35" s="95" t="n"/>
      <c r="L35">
        <f>IF($A35="","",IF($E35="",1,$E35))</f>
        <v/>
      </c>
      <c r="M35">
        <f>IF(AND($A35&lt;&gt;"",$C35=$G$6),COUNTIFS($A$6:$A35,"&lt;&gt;",$C$6:$C35,$G$6),"")</f>
        <v/>
      </c>
      <c r="N35">
        <f>IFERROR(INDEX($A$6:$A$65,MATCH(30,$M$6:$M$65,0)),"")</f>
        <v/>
      </c>
    </row>
    <row r="36">
      <c r="A36" s="95" t="n"/>
      <c r="B36" s="95" t="n"/>
      <c r="C36" s="95" t="n"/>
      <c r="D36" s="140" t="n"/>
      <c r="E36" s="95" t="n"/>
      <c r="F36" s="95" t="n"/>
      <c r="L36">
        <f>IF($A36="","",IF($E36="",1,$E36))</f>
        <v/>
      </c>
      <c r="M36">
        <f>IF(AND($A36&lt;&gt;"",$C36=$G$6),COUNTIFS($A$6:$A36,"&lt;&gt;",$C$6:$C36,$G$6),"")</f>
        <v/>
      </c>
      <c r="N36">
        <f>IFERROR(INDEX($A$6:$A$65,MATCH(31,$M$6:$M$65,0)),"")</f>
        <v/>
      </c>
    </row>
    <row r="37">
      <c r="A37" s="95" t="n"/>
      <c r="B37" s="95" t="n"/>
      <c r="C37" s="95" t="n"/>
      <c r="D37" s="140" t="n"/>
      <c r="E37" s="95" t="n"/>
      <c r="F37" s="95" t="n"/>
      <c r="L37">
        <f>IF($A37="","",IF($E37="",1,$E37))</f>
        <v/>
      </c>
      <c r="M37">
        <f>IF(AND($A37&lt;&gt;"",$C37=$G$6),COUNTIFS($A$6:$A37,"&lt;&gt;",$C$6:$C37,$G$6),"")</f>
        <v/>
      </c>
      <c r="N37">
        <f>IFERROR(INDEX($A$6:$A$65,MATCH(32,$M$6:$M$65,0)),"")</f>
        <v/>
      </c>
    </row>
    <row r="38">
      <c r="A38" s="95" t="n"/>
      <c r="B38" s="95" t="n"/>
      <c r="C38" s="95" t="n"/>
      <c r="D38" s="140" t="n"/>
      <c r="E38" s="95" t="n"/>
      <c r="F38" s="95" t="n"/>
      <c r="L38">
        <f>IF($A38="","",IF($E38="",1,$E38))</f>
        <v/>
      </c>
      <c r="M38">
        <f>IF(AND($A38&lt;&gt;"",$C38=$G$6),COUNTIFS($A$6:$A38,"&lt;&gt;",$C$6:$C38,$G$6),"")</f>
        <v/>
      </c>
      <c r="N38">
        <f>IFERROR(INDEX($A$6:$A$65,MATCH(33,$M$6:$M$65,0)),"")</f>
        <v/>
      </c>
    </row>
    <row r="39">
      <c r="A39" s="95" t="n"/>
      <c r="B39" s="95" t="n"/>
      <c r="C39" s="95" t="n"/>
      <c r="D39" s="140" t="n"/>
      <c r="E39" s="95" t="n"/>
      <c r="F39" s="95" t="n"/>
      <c r="L39">
        <f>IF($A39="","",IF($E39="",1,$E39))</f>
        <v/>
      </c>
      <c r="M39">
        <f>IF(AND($A39&lt;&gt;"",$C39=$G$6),COUNTIFS($A$6:$A39,"&lt;&gt;",$C$6:$C39,$G$6),"")</f>
        <v/>
      </c>
      <c r="N39">
        <f>IFERROR(INDEX($A$6:$A$65,MATCH(34,$M$6:$M$65,0)),"")</f>
        <v/>
      </c>
    </row>
    <row r="40">
      <c r="A40" s="95" t="n"/>
      <c r="B40" s="95" t="n"/>
      <c r="C40" s="95" t="n"/>
      <c r="D40" s="140" t="n"/>
      <c r="E40" s="95" t="n"/>
      <c r="F40" s="95" t="n"/>
      <c r="L40">
        <f>IF($A40="","",IF($E40="",1,$E40))</f>
        <v/>
      </c>
      <c r="M40">
        <f>IF(AND($A40&lt;&gt;"",$C40=$G$6),COUNTIFS($A$6:$A40,"&lt;&gt;",$C$6:$C40,$G$6),"")</f>
        <v/>
      </c>
      <c r="N40">
        <f>IFERROR(INDEX($A$6:$A$65,MATCH(35,$M$6:$M$65,0)),"")</f>
        <v/>
      </c>
    </row>
    <row r="41">
      <c r="A41" s="95" t="n"/>
      <c r="B41" s="95" t="n"/>
      <c r="C41" s="95" t="n"/>
      <c r="D41" s="140" t="n"/>
      <c r="E41" s="95" t="n"/>
      <c r="F41" s="95" t="n"/>
      <c r="L41">
        <f>IF($A41="","",IF($E41="",1,$E41))</f>
        <v/>
      </c>
      <c r="M41">
        <f>IF(AND($A41&lt;&gt;"",$C41=$G$6),COUNTIFS($A$6:$A41,"&lt;&gt;",$C$6:$C41,$G$6),"")</f>
        <v/>
      </c>
      <c r="N41">
        <f>IFERROR(INDEX($A$6:$A$65,MATCH(36,$M$6:$M$65,0)),"")</f>
        <v/>
      </c>
    </row>
    <row r="42">
      <c r="A42" s="95" t="n"/>
      <c r="B42" s="95" t="n"/>
      <c r="C42" s="95" t="n"/>
      <c r="D42" s="140" t="n"/>
      <c r="E42" s="95" t="n"/>
      <c r="F42" s="95" t="n"/>
      <c r="L42">
        <f>IF($A42="","",IF($E42="",1,$E42))</f>
        <v/>
      </c>
      <c r="M42">
        <f>IF(AND($A42&lt;&gt;"",$C42=$G$6),COUNTIFS($A$6:$A42,"&lt;&gt;",$C$6:$C42,$G$6),"")</f>
        <v/>
      </c>
      <c r="N42">
        <f>IFERROR(INDEX($A$6:$A$65,MATCH(37,$M$6:$M$65,0)),"")</f>
        <v/>
      </c>
    </row>
    <row r="43">
      <c r="A43" s="95" t="n"/>
      <c r="B43" s="95" t="n"/>
      <c r="C43" s="95" t="n"/>
      <c r="D43" s="140" t="n"/>
      <c r="E43" s="95" t="n"/>
      <c r="F43" s="95" t="n"/>
      <c r="L43">
        <f>IF($A43="","",IF($E43="",1,$E43))</f>
        <v/>
      </c>
      <c r="M43">
        <f>IF(AND($A43&lt;&gt;"",$C43=$G$6),COUNTIFS($A$6:$A43,"&lt;&gt;",$C$6:$C43,$G$6),"")</f>
        <v/>
      </c>
      <c r="N43">
        <f>IFERROR(INDEX($A$6:$A$65,MATCH(38,$M$6:$M$65,0)),"")</f>
        <v/>
      </c>
    </row>
    <row r="44">
      <c r="A44" s="95" t="n"/>
      <c r="B44" s="95" t="n"/>
      <c r="C44" s="95" t="n"/>
      <c r="D44" s="140" t="n"/>
      <c r="E44" s="95" t="n"/>
      <c r="F44" s="95" t="n"/>
      <c r="L44">
        <f>IF($A44="","",IF($E44="",1,$E44))</f>
        <v/>
      </c>
      <c r="M44">
        <f>IF(AND($A44&lt;&gt;"",$C44=$G$6),COUNTIFS($A$6:$A44,"&lt;&gt;",$C$6:$C44,$G$6),"")</f>
        <v/>
      </c>
      <c r="N44">
        <f>IFERROR(INDEX($A$6:$A$65,MATCH(39,$M$6:$M$65,0)),"")</f>
        <v/>
      </c>
    </row>
    <row r="45">
      <c r="A45" s="95" t="n"/>
      <c r="B45" s="95" t="n"/>
      <c r="C45" s="95" t="n"/>
      <c r="D45" s="140" t="n"/>
      <c r="E45" s="95" t="n"/>
      <c r="F45" s="95" t="n"/>
      <c r="L45">
        <f>IF($A45="","",IF($E45="",1,$E45))</f>
        <v/>
      </c>
      <c r="M45">
        <f>IF(AND($A45&lt;&gt;"",$C45=$G$6),COUNTIFS($A$6:$A45,"&lt;&gt;",$C$6:$C45,$G$6),"")</f>
        <v/>
      </c>
      <c r="N45">
        <f>IFERROR(INDEX($A$6:$A$65,MATCH(40,$M$6:$M$65,0)),"")</f>
        <v/>
      </c>
    </row>
    <row r="46">
      <c r="A46" s="95" t="n"/>
      <c r="B46" s="95" t="n"/>
      <c r="C46" s="95" t="n"/>
      <c r="D46" s="140" t="n"/>
      <c r="E46" s="95" t="n"/>
      <c r="F46" s="95" t="n"/>
      <c r="L46">
        <f>IF($A46="","",IF($E46="",1,$E46))</f>
        <v/>
      </c>
      <c r="M46">
        <f>IF(AND($A46&lt;&gt;"",$C46=$G$6),COUNTIFS($A$6:$A46,"&lt;&gt;",$C$6:$C46,$G$6),"")</f>
        <v/>
      </c>
      <c r="N46">
        <f>IFERROR(INDEX($A$6:$A$65,MATCH(41,$M$6:$M$65,0)),"")</f>
        <v/>
      </c>
    </row>
    <row r="47">
      <c r="A47" s="95" t="n"/>
      <c r="B47" s="95" t="n"/>
      <c r="C47" s="95" t="n"/>
      <c r="D47" s="140" t="n"/>
      <c r="E47" s="95" t="n"/>
      <c r="F47" s="95" t="n"/>
      <c r="L47">
        <f>IF($A47="","",IF($E47="",1,$E47))</f>
        <v/>
      </c>
      <c r="M47">
        <f>IF(AND($A47&lt;&gt;"",$C47=$G$6),COUNTIFS($A$6:$A47,"&lt;&gt;",$C$6:$C47,$G$6),"")</f>
        <v/>
      </c>
      <c r="N47">
        <f>IFERROR(INDEX($A$6:$A$65,MATCH(42,$M$6:$M$65,0)),"")</f>
        <v/>
      </c>
    </row>
    <row r="48">
      <c r="A48" s="95" t="n"/>
      <c r="B48" s="95" t="n"/>
      <c r="C48" s="95" t="n"/>
      <c r="D48" s="140" t="n"/>
      <c r="E48" s="95" t="n"/>
      <c r="F48" s="95" t="n"/>
      <c r="L48">
        <f>IF($A48="","",IF($E48="",1,$E48))</f>
        <v/>
      </c>
      <c r="M48">
        <f>IF(AND($A48&lt;&gt;"",$C48=$G$6),COUNTIFS($A$6:$A48,"&lt;&gt;",$C$6:$C48,$G$6),"")</f>
        <v/>
      </c>
      <c r="N48">
        <f>IFERROR(INDEX($A$6:$A$65,MATCH(43,$M$6:$M$65,0)),"")</f>
        <v/>
      </c>
    </row>
    <row r="49">
      <c r="A49" s="95" t="n"/>
      <c r="B49" s="95" t="n"/>
      <c r="C49" s="95" t="n"/>
      <c r="D49" s="140" t="n"/>
      <c r="E49" s="95" t="n"/>
      <c r="F49" s="95" t="n"/>
      <c r="L49">
        <f>IF($A49="","",IF($E49="",1,$E49))</f>
        <v/>
      </c>
      <c r="M49">
        <f>IF(AND($A49&lt;&gt;"",$C49=$G$6),COUNTIFS($A$6:$A49,"&lt;&gt;",$C$6:$C49,$G$6),"")</f>
        <v/>
      </c>
      <c r="N49">
        <f>IFERROR(INDEX($A$6:$A$65,MATCH(44,$M$6:$M$65,0)),"")</f>
        <v/>
      </c>
    </row>
    <row r="50">
      <c r="A50" s="95" t="n"/>
      <c r="B50" s="95" t="n"/>
      <c r="C50" s="95" t="n"/>
      <c r="D50" s="140" t="n"/>
      <c r="E50" s="95" t="n"/>
      <c r="F50" s="95" t="n"/>
      <c r="L50">
        <f>IF($A50="","",IF($E50="",1,$E50))</f>
        <v/>
      </c>
      <c r="M50">
        <f>IF(AND($A50&lt;&gt;"",$C50=$G$6),COUNTIFS($A$6:$A50,"&lt;&gt;",$C$6:$C50,$G$6),"")</f>
        <v/>
      </c>
      <c r="N50">
        <f>IFERROR(INDEX($A$6:$A$65,MATCH(45,$M$6:$M$65,0)),"")</f>
        <v/>
      </c>
    </row>
    <row r="51">
      <c r="A51" s="95" t="n"/>
      <c r="B51" s="95" t="n"/>
      <c r="C51" s="95" t="n"/>
      <c r="D51" s="140" t="n"/>
      <c r="E51" s="95" t="n"/>
      <c r="F51" s="95" t="n"/>
      <c r="L51">
        <f>IF($A51="","",IF($E51="",1,$E51))</f>
        <v/>
      </c>
      <c r="M51">
        <f>IF(AND($A51&lt;&gt;"",$C51=$G$6),COUNTIFS($A$6:$A51,"&lt;&gt;",$C$6:$C51,$G$6),"")</f>
        <v/>
      </c>
      <c r="N51">
        <f>IFERROR(INDEX($A$6:$A$65,MATCH(46,$M$6:$M$65,0)),"")</f>
        <v/>
      </c>
    </row>
    <row r="52">
      <c r="A52" s="95" t="n"/>
      <c r="B52" s="95" t="n"/>
      <c r="C52" s="95" t="n"/>
      <c r="D52" s="140" t="n"/>
      <c r="E52" s="95" t="n"/>
      <c r="F52" s="95" t="n"/>
      <c r="L52">
        <f>IF($A52="","",IF($E52="",1,$E52))</f>
        <v/>
      </c>
      <c r="M52">
        <f>IF(AND($A52&lt;&gt;"",$C52=$G$6),COUNTIFS($A$6:$A52,"&lt;&gt;",$C$6:$C52,$G$6),"")</f>
        <v/>
      </c>
      <c r="N52">
        <f>IFERROR(INDEX($A$6:$A$65,MATCH(47,$M$6:$M$65,0)),"")</f>
        <v/>
      </c>
    </row>
    <row r="53">
      <c r="A53" s="95" t="n"/>
      <c r="B53" s="95" t="n"/>
      <c r="C53" s="95" t="n"/>
      <c r="D53" s="140" t="n"/>
      <c r="E53" s="95" t="n"/>
      <c r="F53" s="95" t="n"/>
      <c r="L53">
        <f>IF($A53="","",IF($E53="",1,$E53))</f>
        <v/>
      </c>
      <c r="M53">
        <f>IF(AND($A53&lt;&gt;"",$C53=$G$6),COUNTIFS($A$6:$A53,"&lt;&gt;",$C$6:$C53,$G$6),"")</f>
        <v/>
      </c>
      <c r="N53">
        <f>IFERROR(INDEX($A$6:$A$65,MATCH(48,$M$6:$M$65,0)),"")</f>
        <v/>
      </c>
    </row>
    <row r="54">
      <c r="A54" s="95" t="n"/>
      <c r="B54" s="95" t="n"/>
      <c r="C54" s="95" t="n"/>
      <c r="D54" s="140" t="n"/>
      <c r="E54" s="95" t="n"/>
      <c r="F54" s="95" t="n"/>
      <c r="L54">
        <f>IF($A54="","",IF($E54="",1,$E54))</f>
        <v/>
      </c>
      <c r="M54">
        <f>IF(AND($A54&lt;&gt;"",$C54=$G$6),COUNTIFS($A$6:$A54,"&lt;&gt;",$C$6:$C54,$G$6),"")</f>
        <v/>
      </c>
      <c r="N54">
        <f>IFERROR(INDEX($A$6:$A$65,MATCH(49,$M$6:$M$65,0)),"")</f>
        <v/>
      </c>
    </row>
    <row r="55">
      <c r="A55" s="95" t="n"/>
      <c r="B55" s="95" t="n"/>
      <c r="C55" s="95" t="n"/>
      <c r="D55" s="140" t="n"/>
      <c r="E55" s="95" t="n"/>
      <c r="F55" s="95" t="n"/>
      <c r="L55">
        <f>IF($A55="","",IF($E55="",1,$E55))</f>
        <v/>
      </c>
      <c r="M55">
        <f>IF(AND($A55&lt;&gt;"",$C55=$G$6),COUNTIFS($A$6:$A55,"&lt;&gt;",$C$6:$C55,$G$6),"")</f>
        <v/>
      </c>
      <c r="N55">
        <f>IFERROR(INDEX($A$6:$A$65,MATCH(50,$M$6:$M$65,0)),"")</f>
        <v/>
      </c>
    </row>
    <row r="56">
      <c r="A56" s="95" t="n"/>
      <c r="B56" s="95" t="n"/>
      <c r="C56" s="95" t="n"/>
      <c r="D56" s="140" t="n"/>
      <c r="E56" s="95" t="n"/>
      <c r="F56" s="95" t="n"/>
      <c r="L56">
        <f>IF($A56="","",IF($E56="",1,$E56))</f>
        <v/>
      </c>
      <c r="M56">
        <f>IF(AND($A56&lt;&gt;"",$C56=$G$6),COUNTIFS($A$6:$A56,"&lt;&gt;",$C$6:$C56,$G$6),"")</f>
        <v/>
      </c>
      <c r="N56">
        <f>IFERROR(INDEX($A$6:$A$65,MATCH(51,$M$6:$M$65,0)),"")</f>
        <v/>
      </c>
    </row>
    <row r="57">
      <c r="A57" s="95" t="n"/>
      <c r="B57" s="95" t="n"/>
      <c r="C57" s="95" t="n"/>
      <c r="D57" s="140" t="n"/>
      <c r="E57" s="95" t="n"/>
      <c r="F57" s="95" t="n"/>
      <c r="L57">
        <f>IF($A57="","",IF($E57="",1,$E57))</f>
        <v/>
      </c>
      <c r="M57">
        <f>IF(AND($A57&lt;&gt;"",$C57=$G$6),COUNTIFS($A$6:$A57,"&lt;&gt;",$C$6:$C57,$G$6),"")</f>
        <v/>
      </c>
      <c r="N57">
        <f>IFERROR(INDEX($A$6:$A$65,MATCH(52,$M$6:$M$65,0)),"")</f>
        <v/>
      </c>
    </row>
    <row r="58">
      <c r="A58" s="95" t="n"/>
      <c r="B58" s="95" t="n"/>
      <c r="C58" s="95" t="n"/>
      <c r="D58" s="140" t="n"/>
      <c r="E58" s="95" t="n"/>
      <c r="F58" s="95" t="n"/>
      <c r="L58">
        <f>IF($A58="","",IF($E58="",1,$E58))</f>
        <v/>
      </c>
      <c r="M58">
        <f>IF(AND($A58&lt;&gt;"",$C58=$G$6),COUNTIFS($A$6:$A58,"&lt;&gt;",$C$6:$C58,$G$6),"")</f>
        <v/>
      </c>
      <c r="N58">
        <f>IFERROR(INDEX($A$6:$A$65,MATCH(53,$M$6:$M$65,0)),"")</f>
        <v/>
      </c>
    </row>
    <row r="59">
      <c r="A59" s="95" t="n"/>
      <c r="B59" s="95" t="n"/>
      <c r="C59" s="95" t="n"/>
      <c r="D59" s="140" t="n"/>
      <c r="E59" s="95" t="n"/>
      <c r="F59" s="95" t="n"/>
      <c r="L59">
        <f>IF($A59="","",IF($E59="",1,$E59))</f>
        <v/>
      </c>
      <c r="M59">
        <f>IF(AND($A59&lt;&gt;"",$C59=$G$6),COUNTIFS($A$6:$A59,"&lt;&gt;",$C$6:$C59,$G$6),"")</f>
        <v/>
      </c>
      <c r="N59">
        <f>IFERROR(INDEX($A$6:$A$65,MATCH(54,$M$6:$M$65,0)),"")</f>
        <v/>
      </c>
    </row>
    <row r="60">
      <c r="A60" s="95" t="n"/>
      <c r="B60" s="95" t="n"/>
      <c r="C60" s="95" t="n"/>
      <c r="D60" s="140" t="n"/>
      <c r="E60" s="95" t="n"/>
      <c r="F60" s="95" t="n"/>
      <c r="L60">
        <f>IF($A60="","",IF($E60="",1,$E60))</f>
        <v/>
      </c>
      <c r="M60">
        <f>IF(AND($A60&lt;&gt;"",$C60=$G$6),COUNTIFS($A$6:$A60,"&lt;&gt;",$C$6:$C60,$G$6),"")</f>
        <v/>
      </c>
      <c r="N60">
        <f>IFERROR(INDEX($A$6:$A$65,MATCH(55,$M$6:$M$65,0)),"")</f>
        <v/>
      </c>
    </row>
    <row r="61">
      <c r="A61" s="95" t="n"/>
      <c r="B61" s="95" t="n"/>
      <c r="C61" s="95" t="n"/>
      <c r="D61" s="140" t="n"/>
      <c r="E61" s="95" t="n"/>
      <c r="F61" s="95" t="n"/>
      <c r="L61">
        <f>IF($A61="","",IF($E61="",1,$E61))</f>
        <v/>
      </c>
      <c r="M61">
        <f>IF(AND($A61&lt;&gt;"",$C61=$G$6),COUNTIFS($A$6:$A61,"&lt;&gt;",$C$6:$C61,$G$6),"")</f>
        <v/>
      </c>
      <c r="N61">
        <f>IFERROR(INDEX($A$6:$A$65,MATCH(56,$M$6:$M$65,0)),"")</f>
        <v/>
      </c>
    </row>
    <row r="62">
      <c r="A62" s="95" t="n"/>
      <c r="B62" s="95" t="n"/>
      <c r="C62" s="95" t="n"/>
      <c r="D62" s="140" t="n"/>
      <c r="E62" s="95" t="n"/>
      <c r="F62" s="95" t="n"/>
      <c r="L62">
        <f>IF($A62="","",IF($E62="",1,$E62))</f>
        <v/>
      </c>
      <c r="M62">
        <f>IF(AND($A62&lt;&gt;"",$C62=$G$6),COUNTIFS($A$6:$A62,"&lt;&gt;",$C$6:$C62,$G$6),"")</f>
        <v/>
      </c>
      <c r="N62">
        <f>IFERROR(INDEX($A$6:$A$65,MATCH(57,$M$6:$M$65,0)),"")</f>
        <v/>
      </c>
    </row>
    <row r="63">
      <c r="A63" s="95" t="n"/>
      <c r="B63" s="95" t="n"/>
      <c r="C63" s="95" t="n"/>
      <c r="D63" s="140" t="n"/>
      <c r="E63" s="95" t="n"/>
      <c r="F63" s="95" t="n"/>
      <c r="L63">
        <f>IF($A63="","",IF($E63="",1,$E63))</f>
        <v/>
      </c>
      <c r="M63">
        <f>IF(AND($A63&lt;&gt;"",$C63=$G$6),COUNTIFS($A$6:$A63,"&lt;&gt;",$C$6:$C63,$G$6),"")</f>
        <v/>
      </c>
      <c r="N63">
        <f>IFERROR(INDEX($A$6:$A$65,MATCH(58,$M$6:$M$65,0)),"")</f>
        <v/>
      </c>
    </row>
    <row r="64">
      <c r="A64" s="95" t="n"/>
      <c r="B64" s="95" t="n"/>
      <c r="C64" s="95" t="n"/>
      <c r="D64" s="140" t="n"/>
      <c r="E64" s="95" t="n"/>
      <c r="F64" s="95" t="n"/>
      <c r="L64">
        <f>IF($A64="","",IF($E64="",1,$E64))</f>
        <v/>
      </c>
      <c r="M64">
        <f>IF(AND($A64&lt;&gt;"",$C64=$G$6),COUNTIFS($A$6:$A64,"&lt;&gt;",$C$6:$C64,$G$6),"")</f>
        <v/>
      </c>
      <c r="N64">
        <f>IFERROR(INDEX($A$6:$A$65,MATCH(59,$M$6:$M$65,0)),"")</f>
        <v/>
      </c>
    </row>
    <row r="65">
      <c r="A65" s="95" t="n"/>
      <c r="B65" s="95" t="n"/>
      <c r="C65" s="95" t="n"/>
      <c r="D65" s="140" t="n"/>
      <c r="E65" s="95" t="n"/>
      <c r="F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199">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199">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199">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199">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199">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199">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199">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199">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199">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199">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199">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199">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199">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199">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199">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199">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199">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199">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199">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199">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199">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199">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199">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199">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199">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199">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199">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199">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199">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199">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199">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199">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199">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199">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199">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199">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199">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199">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199">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199">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199">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199">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199">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199">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199">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199">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199">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199">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199">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199">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199">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199">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199">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199">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199">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199">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199">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199">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199">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199">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DATE(PlanYear,3,1)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199">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199">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199">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199">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199">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199">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199">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199">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199">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199">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199">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199">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199">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199">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199">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199">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199">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199">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199">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199">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199">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199">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199">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199">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199">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199">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199">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199">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199">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199">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DATE(PlanYear,4,1)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199">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199">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199">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199">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199">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199">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199">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199">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199">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199">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199">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199">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199">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199">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199">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199">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199">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199">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199">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199">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199">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199">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199">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199">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199">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199">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199">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199">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199">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199">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DATE(PlanYear,5,1)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199">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199">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199">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199">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199">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199">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199">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199">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199">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199">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199">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199">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199">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199">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199">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199">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199">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199">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199">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199">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199">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199">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199">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199">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199">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199">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199">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199">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199">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199">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DATE(PlanYear,6,1)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199">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199">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199">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199">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199">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199">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199">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199">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199">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199">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199">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199">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199">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199">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199">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199">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199">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199">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199">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199">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199">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199">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199">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199">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199">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199">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199">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199">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199">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199">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DATE(PlanYear,7,1)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199">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199">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199">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199">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199">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199">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199">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199">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199">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199">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199">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199">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199">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199">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199">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199">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199">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199">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199">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199">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199">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199">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199">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199">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199">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199">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199">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199">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199">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199">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DATE(PlanYear,8,1)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199">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199">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199">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199">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199">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199">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199">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199">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199">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199">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199">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199">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199">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199">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199">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199">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199">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199">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199">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199">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199">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199">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199">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199">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199">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199">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199">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199">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199">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199">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DATE(PlanYear,9,1)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199">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199">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199">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199">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199">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199">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199">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199">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199">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199">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199">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199">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199">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199">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199">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199">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199">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199">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199">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199">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199">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199">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199">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199">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199">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199">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199">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199">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199">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199">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DATE(PlanYear,10,1)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inlineStr">
        <is>
          <t>2xFLT-2.0</t>
        </is>
      </c>
      <c r="E6" s="167" t="inlineStr">
        <is>
          <t>FLT-1.5</t>
        </is>
      </c>
      <c r="F6" s="167" t="n"/>
      <c r="G6" s="167" t="n"/>
      <c r="H6" s="167" t="inlineStr">
        <is>
          <t>FLT-2.0</t>
        </is>
      </c>
      <c r="I6" s="167" t="n"/>
      <c r="J6" s="167" t="inlineStr">
        <is>
          <t>FLT-2.0</t>
        </is>
      </c>
      <c r="K6" s="167" t="n"/>
      <c r="L6" s="167" t="n"/>
      <c r="M6" s="167" t="n"/>
      <c r="N6" s="167" t="n"/>
      <c r="O6" s="167" t="inlineStr">
        <is>
          <t>FLT-2.0</t>
        </is>
      </c>
      <c r="P6" s="167" t="n"/>
      <c r="Q6" s="167" t="inlineStr">
        <is>
          <t>2xFLT-1.5</t>
        </is>
      </c>
      <c r="R6" s="167" t="n"/>
      <c r="S6" s="167" t="n"/>
      <c r="T6" s="167" t="n"/>
      <c r="U6" s="167" t="n"/>
      <c r="V6" s="167" t="n"/>
      <c r="W6" s="167" t="n"/>
      <c r="X6" s="167" t="inlineStr">
        <is>
          <t>FLT-2.0</t>
        </is>
      </c>
      <c r="Y6" s="167" t="inlineStr">
        <is>
          <t>FLT-3.0</t>
        </is>
      </c>
      <c r="Z6" s="167" t="inlineStr">
        <is>
          <t>FLT-2.0</t>
        </is>
      </c>
      <c r="AA6" s="167" t="n"/>
      <c r="AB6" s="167" t="n"/>
      <c r="AC6" s="167" t="inlineStr">
        <is>
          <t>FLT-2.0</t>
        </is>
      </c>
      <c r="AD6" s="167" t="inlineStr">
        <is>
          <t>FLT-2.0</t>
        </is>
      </c>
      <c r="AE6" s="167" t="n"/>
      <c r="AF6" s="167" t="inlineStr">
        <is>
          <t>FLT-2.0</t>
        </is>
      </c>
      <c r="AG6" s="167" t="inlineStr">
        <is>
          <t>2xFLT-2.0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inlineStr">
        <is>
          <t>0830-1030</t>
        </is>
      </c>
      <c r="E7" s="172" t="inlineStr">
        <is>
          <t>0800-0930</t>
        </is>
      </c>
      <c r="F7" s="172" t="n"/>
      <c r="G7" s="172" t="n"/>
      <c r="H7" s="172" t="inlineStr">
        <is>
          <t>0830</t>
        </is>
      </c>
      <c r="I7" s="172" t="n"/>
      <c r="J7" s="172" t="inlineStr">
        <is>
          <t>0830-1030</t>
        </is>
      </c>
      <c r="K7" s="172" t="n"/>
      <c r="L7" s="172" t="n"/>
      <c r="M7" s="172" t="n"/>
      <c r="N7" s="172" t="n"/>
      <c r="O7" s="172" t="inlineStr">
        <is>
          <t>0830-1030</t>
        </is>
      </c>
      <c r="P7" s="172" t="n"/>
      <c r="Q7" s="172" t="inlineStr">
        <is>
          <t>0800-1100</t>
        </is>
      </c>
      <c r="R7" s="172" t="n"/>
      <c r="S7" s="172" t="n"/>
      <c r="T7" s="172" t="n"/>
      <c r="U7" s="172" t="n"/>
      <c r="V7" s="172" t="n"/>
      <c r="W7" s="172" t="n"/>
      <c r="X7" s="172" t="inlineStr">
        <is>
          <t>0830-1030</t>
        </is>
      </c>
      <c r="Y7" s="172" t="inlineStr">
        <is>
          <t>0800-1100</t>
        </is>
      </c>
      <c r="Z7" s="172" t="inlineStr">
        <is>
          <t>0830-1030</t>
        </is>
      </c>
      <c r="AA7" s="172" t="n"/>
      <c r="AB7" s="172" t="n"/>
      <c r="AC7" s="172" t="inlineStr">
        <is>
          <t>0830-1030</t>
        </is>
      </c>
      <c r="AD7" s="172" t="inlineStr">
        <is>
          <t>0830-1030</t>
        </is>
      </c>
      <c r="AE7" s="172" t="n"/>
      <c r="AF7" s="172" t="inlineStr">
        <is>
          <t>0830-1030</t>
        </is>
      </c>
      <c r="AG7" s="172" t="inlineStr">
        <is>
          <t>0830-1030</t>
        </is>
      </c>
      <c r="AH7" s="172" t="n"/>
      <c r="AI7" s="173" t="n"/>
      <c r="AM7" s="174" t="n"/>
    </row>
    <row r="8" ht="15" customHeight="1">
      <c r="A8" s="175" t="n"/>
      <c r="B8" s="175" t="n"/>
      <c r="C8" s="175" t="n"/>
      <c r="D8" s="176" t="inlineStr">
        <is>
          <t>Formation lead VIPER</t>
        </is>
      </c>
      <c r="E8" s="176" t="n"/>
      <c r="F8" s="176" t="n"/>
      <c r="G8" s="176" t="n"/>
      <c r="H8" s="176" t="n"/>
      <c r="I8" s="176" t="n"/>
      <c r="J8" s="176" t="inlineStr">
        <is>
          <t>Need 2nd crew</t>
        </is>
      </c>
      <c r="K8" s="176" t="n"/>
      <c r="L8" s="176" t="inlineStr">
        <is>
          <t>NO FLY: Maintenance</t>
        </is>
      </c>
      <c r="M8" s="176" t="n"/>
      <c r="N8" s="176" t="n"/>
      <c r="O8" s="176" t="n"/>
      <c r="P8" s="176" t="n"/>
      <c r="Q8" s="176" t="inlineStr">
        <is>
          <t>Check rides</t>
        </is>
      </c>
      <c r="R8" s="176" t="n"/>
      <c r="S8" s="176" t="inlineStr">
        <is>
          <t>NO FLY: Stand-down</t>
        </is>
      </c>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inlineStr">
        <is>
          <t>FLT-1.5</t>
        </is>
      </c>
      <c r="E9" s="179" t="inlineStr">
        <is>
          <t>FLT-2.0</t>
        </is>
      </c>
      <c r="F9" s="179" t="n"/>
      <c r="G9" s="179" t="n"/>
      <c r="H9" s="179" t="inlineStr">
        <is>
          <t>FLT-1.5</t>
        </is>
      </c>
      <c r="I9" s="179" t="n"/>
      <c r="J9" s="179" t="inlineStr">
        <is>
          <t>FLT-1.5</t>
        </is>
      </c>
      <c r="K9" s="179" t="n"/>
      <c r="L9" s="179" t="n"/>
      <c r="M9" s="179" t="n"/>
      <c r="N9" s="179" t="n"/>
      <c r="O9" s="179" t="n"/>
      <c r="P9" s="179" t="n"/>
      <c r="Q9" s="179" t="n"/>
      <c r="R9" s="179" t="n"/>
      <c r="S9" s="179" t="n"/>
      <c r="T9" s="179" t="n"/>
      <c r="U9" s="179" t="n"/>
      <c r="V9" s="179" t="n"/>
      <c r="W9" s="179" t="n"/>
      <c r="X9" s="179" t="inlineStr">
        <is>
          <t>FLT-1.5</t>
        </is>
      </c>
      <c r="Y9" s="179" t="n"/>
      <c r="Z9" s="179" t="inlineStr">
        <is>
          <t>FLT-1.5</t>
        </is>
      </c>
      <c r="AA9" s="179" t="n"/>
      <c r="AB9" s="179" t="n"/>
      <c r="AC9" s="179" t="inlineStr">
        <is>
          <t>FLT-1.5</t>
        </is>
      </c>
      <c r="AD9" s="179" t="inlineStr">
        <is>
          <t>FLT-1.5</t>
        </is>
      </c>
      <c r="AE9" s="179" t="n"/>
      <c r="AF9" s="179" t="inlineStr">
        <is>
          <t>FLT-1.5</t>
        </is>
      </c>
      <c r="AG9" s="179" t="n"/>
      <c r="AH9" s="179" t="n"/>
      <c r="AI9" s="173" t="n"/>
      <c r="AM9" s="174" t="n"/>
    </row>
    <row r="10" ht="15" customHeight="1">
      <c r="A10" s="171" t="n"/>
      <c r="B10" s="171" t="n"/>
      <c r="C10" s="171" t="n"/>
      <c r="D10" s="172" t="inlineStr">
        <is>
          <t>0900-1030</t>
        </is>
      </c>
      <c r="E10" s="172" t="inlineStr">
        <is>
          <t>1000-1200</t>
        </is>
      </c>
      <c r="F10" s="172" t="n"/>
      <c r="G10" s="172" t="n"/>
      <c r="H10" s="172" t="inlineStr">
        <is>
          <t>TBC</t>
        </is>
      </c>
      <c r="I10" s="172" t="n"/>
      <c r="J10" s="172" t="inlineStr">
        <is>
          <t>1100</t>
        </is>
      </c>
      <c r="K10" s="172" t="n"/>
      <c r="L10" s="172" t="n"/>
      <c r="M10" s="172" t="n"/>
      <c r="N10" s="172" t="n"/>
      <c r="O10" s="172" t="n"/>
      <c r="P10" s="172" t="n"/>
      <c r="Q10" s="172" t="n"/>
      <c r="R10" s="172" t="n"/>
      <c r="S10" s="172" t="n"/>
      <c r="T10" s="172" t="n"/>
      <c r="U10" s="172" t="n"/>
      <c r="V10" s="172" t="n"/>
      <c r="W10" s="172" t="n"/>
      <c r="X10" s="172" t="inlineStr">
        <is>
          <t>1000-1130</t>
        </is>
      </c>
      <c r="Y10" s="172" t="n"/>
      <c r="Z10" s="172" t="inlineStr">
        <is>
          <t>1000-1130</t>
        </is>
      </c>
      <c r="AA10" s="172" t="n"/>
      <c r="AB10" s="172" t="n"/>
      <c r="AC10" s="172" t="inlineStr">
        <is>
          <t>1000-1130</t>
        </is>
      </c>
      <c r="AD10" s="172" t="inlineStr">
        <is>
          <t>1000-1130</t>
        </is>
      </c>
      <c r="AE10" s="172" t="n"/>
      <c r="AF10" s="172" t="inlineStr">
        <is>
          <t>1000-1130</t>
        </is>
      </c>
      <c r="AG10" s="172" t="n"/>
      <c r="AH10" s="172" t="n"/>
      <c r="AI10" s="173" t="n"/>
      <c r="AM10" s="174" t="n"/>
    </row>
    <row r="11" ht="15" customHeight="1">
      <c r="A11" s="180" t="n"/>
      <c r="B11" s="180" t="n"/>
      <c r="C11" s="180" t="n"/>
      <c r="D11" s="181" t="n"/>
      <c r="E11" s="181" t="n"/>
      <c r="F11" s="181" t="n"/>
      <c r="G11" s="181" t="n"/>
      <c r="H11" s="181" t="inlineStr">
        <is>
          <t>Wx dependent</t>
        </is>
      </c>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inlineStr">
        <is>
          <t>FLT-2.0</t>
        </is>
      </c>
      <c r="E12" s="167" t="inlineStr">
        <is>
          <t>FLT-2.0</t>
        </is>
      </c>
      <c r="F12" s="167" t="n"/>
      <c r="G12" s="167" t="n"/>
      <c r="H12" s="167" t="n"/>
      <c r="I12" s="167" t="n"/>
      <c r="J12" s="167" t="n"/>
      <c r="K12" s="167" t="n"/>
      <c r="L12" s="167" t="n"/>
      <c r="M12" s="167" t="n"/>
      <c r="N12" s="167" t="n"/>
      <c r="O12" s="167" t="inlineStr">
        <is>
          <t>FLT-1.5</t>
        </is>
      </c>
      <c r="P12" s="167" t="n"/>
      <c r="Q12" s="167" t="n"/>
      <c r="R12" s="167" t="n"/>
      <c r="S12" s="167" t="n"/>
      <c r="T12" s="167" t="n"/>
      <c r="U12" s="167" t="n"/>
      <c r="V12" s="167" t="n"/>
      <c r="W12" s="167" t="n"/>
      <c r="X12" s="167" t="n"/>
      <c r="Y12" s="167" t="n"/>
      <c r="Z12" s="167" t="inlineStr">
        <is>
          <t>FLT-1.5</t>
        </is>
      </c>
      <c r="AA12" s="167" t="n"/>
      <c r="AB12" s="167" t="n"/>
      <c r="AC12" s="167" t="n"/>
      <c r="AD12" s="167" t="n"/>
      <c r="AE12" s="167" t="inlineStr">
        <is>
          <t>FLT-2.0</t>
        </is>
      </c>
      <c r="AF12" s="167" t="n"/>
      <c r="AG12" s="167" t="n"/>
      <c r="AH12" s="167" t="n"/>
      <c r="AI12" s="173" t="n"/>
      <c r="AM12" s="174" t="n"/>
    </row>
    <row r="13" ht="15" customHeight="1">
      <c r="A13" s="171" t="n"/>
      <c r="B13" s="171" t="n"/>
      <c r="C13" s="171" t="n"/>
      <c r="D13" s="172" t="inlineStr">
        <is>
          <t>1400-1600</t>
        </is>
      </c>
      <c r="E13" s="172" t="inlineStr">
        <is>
          <t>1330</t>
        </is>
      </c>
      <c r="F13" s="172" t="n"/>
      <c r="G13" s="172" t="n"/>
      <c r="H13" s="172" t="n"/>
      <c r="I13" s="172" t="n"/>
      <c r="J13" s="172" t="n"/>
      <c r="K13" s="172" t="n"/>
      <c r="L13" s="172" t="n"/>
      <c r="M13" s="172" t="n"/>
      <c r="N13" s="172" t="n"/>
      <c r="O13" s="172" t="inlineStr">
        <is>
          <t>1400-1530</t>
        </is>
      </c>
      <c r="P13" s="172" t="n"/>
      <c r="Q13" s="172" t="n"/>
      <c r="R13" s="172" t="n"/>
      <c r="S13" s="172" t="n"/>
      <c r="T13" s="172" t="n"/>
      <c r="U13" s="172" t="n"/>
      <c r="V13" s="172" t="n"/>
      <c r="W13" s="172" t="n"/>
      <c r="X13" s="172" t="n"/>
      <c r="Y13" s="172" t="n"/>
      <c r="Z13" s="172" t="inlineStr">
        <is>
          <t>1430-1600</t>
        </is>
      </c>
      <c r="AA13" s="172" t="n"/>
      <c r="AB13" s="172" t="n"/>
      <c r="AC13" s="172" t="n"/>
      <c r="AD13" s="172" t="n"/>
      <c r="AE13" s="172" t="inlineStr">
        <is>
          <t>1400-1600</t>
        </is>
      </c>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inlineStr">
        <is>
          <t>FLT-1.5</t>
        </is>
      </c>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inlineStr">
        <is>
          <t>1530-1700</t>
        </is>
      </c>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inlineStr">
        <is>
          <t>+1 more: FLT-2.0 1600-1800</t>
        </is>
      </c>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inlineStr">
        <is>
          <t>NVG-2.0</t>
        </is>
      </c>
      <c r="F18" s="167" t="n"/>
      <c r="G18" s="167" t="n"/>
      <c r="H18" s="167" t="inlineStr">
        <is>
          <t>NVG-2.0</t>
        </is>
      </c>
      <c r="I18" s="167" t="n"/>
      <c r="J18" s="167" t="n"/>
      <c r="K18" s="167" t="n"/>
      <c r="L18" s="167" t="n"/>
      <c r="M18" s="167" t="n"/>
      <c r="N18" s="167" t="n"/>
      <c r="O18" s="167" t="n"/>
      <c r="P18" s="167" t="n"/>
      <c r="Q18" s="167" t="n"/>
      <c r="R18" s="167" t="n"/>
      <c r="S18" s="167" t="n"/>
      <c r="T18" s="167" t="n"/>
      <c r="U18" s="167" t="n"/>
      <c r="V18" s="167" t="n"/>
      <c r="W18" s="167" t="n"/>
      <c r="X18" s="167" t="n"/>
      <c r="Y18" s="167" t="inlineStr">
        <is>
          <t>NVG-2.0</t>
        </is>
      </c>
      <c r="Z18" s="167" t="n"/>
      <c r="AA18" s="167" t="n"/>
      <c r="AB18" s="167" t="n"/>
      <c r="AC18" s="167" t="n"/>
      <c r="AD18" s="167" t="inlineStr">
        <is>
          <t>NVG-2.0</t>
        </is>
      </c>
      <c r="AE18" s="167" t="n"/>
      <c r="AF18" s="167" t="inlineStr">
        <is>
          <t>NVG-2.0</t>
        </is>
      </c>
      <c r="AG18" s="167" t="n"/>
      <c r="AH18" s="167" t="n"/>
      <c r="AI18" s="173" t="n"/>
      <c r="AM18" s="174" t="n"/>
    </row>
    <row r="19" ht="15" customHeight="1">
      <c r="A19" s="171" t="n"/>
      <c r="B19" s="171" t="n"/>
      <c r="C19" s="171" t="n"/>
      <c r="D19" s="172" t="n"/>
      <c r="E19" s="172" t="inlineStr">
        <is>
          <t>2000-2200</t>
        </is>
      </c>
      <c r="F19" s="172" t="n"/>
      <c r="G19" s="172" t="n"/>
      <c r="H19" s="172" t="inlineStr">
        <is>
          <t>1930-2130</t>
        </is>
      </c>
      <c r="I19" s="172" t="n"/>
      <c r="J19" s="172" t="n"/>
      <c r="K19" s="172" t="n"/>
      <c r="L19" s="172" t="n"/>
      <c r="M19" s="172" t="n"/>
      <c r="N19" s="172" t="n"/>
      <c r="O19" s="172" t="n"/>
      <c r="P19" s="172" t="n"/>
      <c r="Q19" s="172" t="n"/>
      <c r="R19" s="172" t="n"/>
      <c r="S19" s="172" t="n"/>
      <c r="T19" s="172" t="n"/>
      <c r="U19" s="172" t="n"/>
      <c r="V19" s="172" t="n"/>
      <c r="W19" s="172" t="n"/>
      <c r="X19" s="172" t="n"/>
      <c r="Y19" s="172" t="inlineStr">
        <is>
          <t>2000-2200</t>
        </is>
      </c>
      <c r="Z19" s="172" t="n"/>
      <c r="AA19" s="172" t="n"/>
      <c r="AB19" s="172" t="n"/>
      <c r="AC19" s="172" t="n"/>
      <c r="AD19" s="172" t="inlineStr">
        <is>
          <t>2000-2200</t>
        </is>
      </c>
      <c r="AE19" s="172" t="n"/>
      <c r="AF19" s="172" t="inlineStr">
        <is>
          <t>2000-2200</t>
        </is>
      </c>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inlineStr">
        <is>
          <t>Safety Brief 0730-0800</t>
        </is>
      </c>
      <c r="E24" s="193" t="n"/>
      <c r="F24" s="193" t="n"/>
      <c r="G24" s="193" t="n"/>
      <c r="H24" s="193" t="n"/>
      <c r="I24" s="193" t="n"/>
      <c r="J24" s="193" t="inlineStr">
        <is>
          <t>CRM Lecture 1400-1600</t>
        </is>
      </c>
      <c r="K24" s="193" t="n"/>
      <c r="L24" s="193" t="inlineStr">
        <is>
          <t>Ground School 0900-1200</t>
        </is>
      </c>
      <c r="M24" s="193" t="n"/>
      <c r="N24" s="193" t="n"/>
      <c r="O24" s="193" t="n"/>
      <c r="P24" s="193" t="n"/>
      <c r="Q24" s="193" t="inlineStr">
        <is>
          <t>Sqn Meeting 1500</t>
        </is>
      </c>
      <c r="R24" s="193" t="n"/>
      <c r="S24" s="193" t="n"/>
      <c r="T24" s="193" t="n"/>
      <c r="U24" s="193" t="n"/>
      <c r="V24" s="193" t="n"/>
      <c r="W24" s="193" t="n"/>
      <c r="X24" s="193" t="n"/>
      <c r="Y24" s="193" t="n"/>
      <c r="Z24" s="193" t="n"/>
      <c r="AA24" s="193" t="n"/>
      <c r="AB24" s="193" t="n"/>
      <c r="AC24" s="193" t="n"/>
      <c r="AD24" s="193" t="n"/>
      <c r="AE24" s="193" t="inlineStr">
        <is>
          <t>Sqn Meeting 1500</t>
        </is>
      </c>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199">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199">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199">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199">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199">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199">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199">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199">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199">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199">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199">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199">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199">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199">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199">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199">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199">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199">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199">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199">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199">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199">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199">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199">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199">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199">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199">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199">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199">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199">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inlineStr">
        <is>
          <t>SDO</t>
        </is>
      </c>
      <c r="J27" s="206" t="inlineStr">
        <is>
          <t>FLT-1.5</t>
        </is>
      </c>
      <c r="K27" s="206" t="n"/>
      <c r="L27" s="206" t="n"/>
      <c r="M27" s="206" t="n"/>
      <c r="N27" s="206" t="inlineStr">
        <is>
          <t>SDO</t>
        </is>
      </c>
      <c r="O27" s="206" t="n"/>
      <c r="P27" s="206" t="n"/>
      <c r="Q27" s="206" t="inlineStr">
        <is>
          <t>BU</t>
        </is>
      </c>
      <c r="R27" s="206" t="n"/>
      <c r="S27" s="206" t="inlineStr">
        <is>
          <t>BDO</t>
        </is>
      </c>
      <c r="T27" s="206" t="n"/>
      <c r="U27" s="206" t="n"/>
      <c r="V27" s="206" t="n"/>
      <c r="W27" s="206" t="n"/>
      <c r="X27" s="206" t="inlineStr">
        <is>
          <t>FLT-1.5</t>
        </is>
      </c>
      <c r="Y27" s="206" t="inlineStr">
        <is>
          <t>LL</t>
        </is>
      </c>
      <c r="Z27" s="206" t="inlineStr">
        <is>
          <t>LL</t>
        </is>
      </c>
      <c r="AA27" s="206" t="inlineStr">
        <is>
          <t>BDO</t>
        </is>
      </c>
      <c r="AB27" s="206" t="n"/>
      <c r="AC27" s="206" t="inlineStr">
        <is>
          <t>SDO</t>
        </is>
      </c>
      <c r="AD27" s="206" t="inlineStr">
        <is>
          <t>FLT-2.0</t>
        </is>
      </c>
      <c r="AE27" s="206" t="n"/>
      <c r="AF27" s="206" t="n"/>
      <c r="AG27" s="206" t="inlineStr">
        <is>
          <t>OIL</t>
        </is>
      </c>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inlineStr">
        <is>
          <t>FLT-2.0</t>
        </is>
      </c>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inlineStr">
        <is>
          <t>LL</t>
        </is>
      </c>
      <c r="Z28" s="212" t="inlineStr">
        <is>
          <t>LL</t>
        </is>
      </c>
      <c r="AA28" s="212" t="n"/>
      <c r="AB28" s="212" t="n"/>
      <c r="AC28" s="212" t="n"/>
      <c r="AD28" s="212" t="n"/>
      <c r="AE28" s="212" t="inlineStr">
        <is>
          <t>FLT-2.0</t>
        </is>
      </c>
      <c r="AF28" s="212" t="n"/>
      <c r="AG28" s="212" t="inlineStr">
        <is>
          <t>OIL</t>
        </is>
      </c>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inlineStr">
        <is>
          <t>LL</t>
        </is>
      </c>
      <c r="Z29" s="217" t="inlineStr">
        <is>
          <t>LL</t>
        </is>
      </c>
      <c r="AA29" s="217" t="n"/>
      <c r="AB29" s="217" t="n"/>
      <c r="AC29" s="217" t="n"/>
      <c r="AD29" s="217" t="n"/>
      <c r="AE29" s="217" t="n"/>
      <c r="AF29" s="217" t="n"/>
      <c r="AG29" s="217" t="inlineStr">
        <is>
          <t>OIL</t>
        </is>
      </c>
      <c r="AH29" s="217" t="n"/>
      <c r="AI29" s="218" t="n"/>
      <c r="AJ29" s="218" t="n"/>
      <c r="AK29" s="218" t="n"/>
      <c r="AL29" s="218" t="n"/>
      <c r="AM29" s="218" t="n"/>
    </row>
    <row r="30" ht="19" customHeight="1">
      <c r="A30" s="219">
        <f>IF(Roster!$C$7="","",IF(Roster!$B$7="","#"&amp;2,Roster!$B$7&amp;""))</f>
        <v/>
      </c>
      <c r="B30" s="220">
        <f>IF(Roster!$C$7="","",Roster!$C$7)</f>
        <v/>
      </c>
      <c r="C30" s="205" t="inlineStr">
        <is>
          <t>AM</t>
        </is>
      </c>
      <c r="D30" s="221" t="inlineStr">
        <is>
          <t>FLT-2.0</t>
        </is>
      </c>
      <c r="E30" s="221" t="n"/>
      <c r="F30" s="221" t="n"/>
      <c r="G30" s="221" t="n"/>
      <c r="H30" s="221" t="n"/>
      <c r="I30" s="221" t="n"/>
      <c r="J30" s="221" t="n"/>
      <c r="K30" s="221" t="n"/>
      <c r="L30" s="221" t="n"/>
      <c r="M30" s="221" t="n"/>
      <c r="N30" s="221" t="n"/>
      <c r="O30" s="221" t="inlineStr">
        <is>
          <t>FLT-2.0</t>
        </is>
      </c>
      <c r="P30" s="221" t="n"/>
      <c r="Q30" s="221" t="n"/>
      <c r="R30" s="221" t="n"/>
      <c r="S30" s="221" t="n"/>
      <c r="T30" s="221" t="inlineStr">
        <is>
          <t>SDO</t>
        </is>
      </c>
      <c r="U30" s="221" t="n"/>
      <c r="V30" s="221" t="n"/>
      <c r="W30" s="221" t="n"/>
      <c r="X30" s="221" t="n"/>
      <c r="Y30" s="221" t="n"/>
      <c r="Z30" s="221" t="inlineStr">
        <is>
          <t>FLT-1.5</t>
        </is>
      </c>
      <c r="AA30" s="221" t="n"/>
      <c r="AB30" s="221" t="n"/>
      <c r="AC30" s="221" t="n"/>
      <c r="AD30" s="221" t="inlineStr">
        <is>
          <t>Medical Appt</t>
        </is>
      </c>
      <c r="AE30" s="221" t="inlineStr">
        <is>
          <t>LL</t>
        </is>
      </c>
      <c r="AF30" s="221" t="inlineStr">
        <is>
          <t>LL</t>
        </is>
      </c>
      <c r="AG30" s="221" t="inlineStr">
        <is>
          <t>FLT-2.0</t>
        </is>
      </c>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inlineStr">
        <is>
          <t>P2</t>
        </is>
      </c>
      <c r="J31" s="226" t="n"/>
      <c r="K31" s="226" t="n"/>
      <c r="L31" s="226" t="n"/>
      <c r="M31" s="226" t="n"/>
      <c r="N31" s="226" t="n"/>
      <c r="O31" s="226" t="inlineStr">
        <is>
          <t>SIM</t>
        </is>
      </c>
      <c r="P31" s="226" t="n"/>
      <c r="Q31" s="226" t="n"/>
      <c r="R31" s="226" t="n"/>
      <c r="S31" s="226" t="n"/>
      <c r="T31" s="226" t="n"/>
      <c r="U31" s="226" t="n"/>
      <c r="V31" s="226" t="n"/>
      <c r="W31" s="226" t="n"/>
      <c r="X31" s="226" t="n"/>
      <c r="Y31" s="226" t="n"/>
      <c r="Z31" s="226" t="n"/>
      <c r="AA31" s="226" t="n"/>
      <c r="AB31" s="226" t="n"/>
      <c r="AC31" s="226" t="n"/>
      <c r="AD31" s="226" t="inlineStr">
        <is>
          <t>Medical Appt</t>
        </is>
      </c>
      <c r="AE31" s="226" t="inlineStr">
        <is>
          <t>LL</t>
        </is>
      </c>
      <c r="AF31" s="226" t="inlineStr">
        <is>
          <t>LL</t>
        </is>
      </c>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inlineStr">
        <is>
          <t>Medical Appt</t>
        </is>
      </c>
      <c r="AE32" s="229" t="inlineStr">
        <is>
          <t>LL</t>
        </is>
      </c>
      <c r="AF32" s="229" t="inlineStr">
        <is>
          <t>LL</t>
        </is>
      </c>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inlineStr">
        <is>
          <t>FLT-1.5</t>
        </is>
      </c>
      <c r="E33" s="206" t="inlineStr">
        <is>
          <t>FLT-2.0</t>
        </is>
      </c>
      <c r="F33" s="206" t="n"/>
      <c r="G33" s="206" t="n"/>
      <c r="H33" s="206" t="n"/>
      <c r="I33" s="206" t="n"/>
      <c r="J33" s="206" t="n"/>
      <c r="K33" s="206" t="inlineStr">
        <is>
          <t>LL</t>
        </is>
      </c>
      <c r="L33" s="206" t="n"/>
      <c r="M33" s="206" t="n"/>
      <c r="N33" s="206" t="n"/>
      <c r="O33" s="206" t="inlineStr">
        <is>
          <t>BDO</t>
        </is>
      </c>
      <c r="P33" s="206" t="n"/>
      <c r="Q33" s="206" t="inlineStr">
        <is>
          <t>SDO</t>
        </is>
      </c>
      <c r="R33" s="206" t="n"/>
      <c r="S33" s="206" t="n"/>
      <c r="T33" s="206" t="n"/>
      <c r="U33" s="206" t="n"/>
      <c r="V33" s="206" t="n"/>
      <c r="W33" s="206" t="inlineStr">
        <is>
          <t>BDO</t>
        </is>
      </c>
      <c r="X33" s="206" t="inlineStr">
        <is>
          <t>FLT-2.0</t>
        </is>
      </c>
      <c r="Y33" s="206" t="n"/>
      <c r="Z33" s="206" t="inlineStr">
        <is>
          <t>SDO</t>
        </is>
      </c>
      <c r="AA33" s="206" t="n"/>
      <c r="AB33" s="206" t="n"/>
      <c r="AC33" s="206" t="inlineStr">
        <is>
          <t>FLT-2.0</t>
        </is>
      </c>
      <c r="AD33" s="206" t="inlineStr">
        <is>
          <t>FLT-1.5</t>
        </is>
      </c>
      <c r="AE33" s="206" t="inlineStr">
        <is>
          <t>BDO</t>
        </is>
      </c>
      <c r="AF33" s="206" t="inlineStr">
        <is>
          <t>FLT-1.5</t>
        </is>
      </c>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inlineStr">
        <is>
          <t>SIM</t>
        </is>
      </c>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inlineStr">
        <is>
          <t>SDO</t>
        </is>
      </c>
      <c r="E36" s="221" t="n"/>
      <c r="F36" s="221" t="n"/>
      <c r="G36" s="221" t="n"/>
      <c r="H36" s="221" t="n"/>
      <c r="I36" s="221" t="n"/>
      <c r="J36" s="221" t="inlineStr">
        <is>
          <t>FLT-2.0</t>
        </is>
      </c>
      <c r="K36" s="221" t="n"/>
      <c r="L36" s="221" t="n"/>
      <c r="M36" s="221" t="n"/>
      <c r="N36" s="221" t="n"/>
      <c r="O36" s="221" t="n"/>
      <c r="P36" s="221" t="n"/>
      <c r="Q36" s="221" t="n"/>
      <c r="R36" s="221" t="n"/>
      <c r="S36" s="221" t="n"/>
      <c r="T36" s="221" t="n"/>
      <c r="U36" s="221" t="n"/>
      <c r="V36" s="221" t="n"/>
      <c r="W36" s="221" t="inlineStr">
        <is>
          <t>SDO</t>
        </is>
      </c>
      <c r="X36" s="221" t="n"/>
      <c r="Y36" s="221" t="n"/>
      <c r="Z36" s="221" t="inlineStr">
        <is>
          <t>BU</t>
        </is>
      </c>
      <c r="AA36" s="221" t="n"/>
      <c r="AB36" s="221" t="n"/>
      <c r="AC36" s="221" t="inlineStr">
        <is>
          <t>FLT-1.5</t>
        </is>
      </c>
      <c r="AD36" s="221" t="n"/>
      <c r="AE36" s="221" t="n"/>
      <c r="AF36" s="221" t="inlineStr">
        <is>
          <t>SDO</t>
        </is>
      </c>
      <c r="AG36" s="221" t="inlineStr">
        <is>
          <t>FLT-2.0</t>
        </is>
      </c>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inlineStr">
        <is>
          <t>FLT-2.0</t>
        </is>
      </c>
      <c r="F37" s="226" t="n"/>
      <c r="G37" s="226" t="n"/>
      <c r="H37" s="226" t="n"/>
      <c r="I37" s="226" t="n"/>
      <c r="J37" s="226" t="n"/>
      <c r="K37" s="226" t="n"/>
      <c r="L37" s="226" t="n"/>
      <c r="M37" s="226" t="n"/>
      <c r="N37" s="226" t="n"/>
      <c r="O37" s="226" t="inlineStr">
        <is>
          <t>FLT-1.5</t>
        </is>
      </c>
      <c r="P37" s="226" t="n"/>
      <c r="Q37" s="226" t="n"/>
      <c r="R37" s="226" t="inlineStr">
        <is>
          <t>SIM</t>
        </is>
      </c>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inlineStr">
        <is>
          <t>NVG-2.0</t>
        </is>
      </c>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inlineStr">
        <is>
          <t>FLT-2.0</t>
        </is>
      </c>
      <c r="I39" s="206" t="n"/>
      <c r="J39" s="206" t="n"/>
      <c r="K39" s="206" t="n"/>
      <c r="L39" s="206" t="n"/>
      <c r="M39" s="206" t="n"/>
      <c r="N39" s="206" t="n"/>
      <c r="O39" s="206" t="inlineStr">
        <is>
          <t>BU</t>
        </is>
      </c>
      <c r="P39" s="206" t="n"/>
      <c r="Q39" s="206" t="inlineStr">
        <is>
          <t>FLT-1.5</t>
        </is>
      </c>
      <c r="R39" s="206" t="n"/>
      <c r="S39" s="206" t="n"/>
      <c r="T39" s="206" t="n"/>
      <c r="U39" s="206" t="n"/>
      <c r="V39" s="206" t="n"/>
      <c r="W39" s="206" t="n"/>
      <c r="X39" s="206" t="n"/>
      <c r="Y39" s="206" t="n"/>
      <c r="Z39" s="206" t="inlineStr">
        <is>
          <t>FLT-2.0</t>
        </is>
      </c>
      <c r="AA39" s="206" t="n"/>
      <c r="AB39" s="206" t="n"/>
      <c r="AC39" s="206" t="n"/>
      <c r="AD39" s="206" t="n"/>
      <c r="AE39" s="206" t="n"/>
      <c r="AF39" s="206" t="inlineStr">
        <is>
          <t>FLT-2.0</t>
        </is>
      </c>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inlineStr">
        <is>
          <t>P1</t>
        </is>
      </c>
      <c r="P40" s="212" t="n"/>
      <c r="Q40" s="212" t="n"/>
      <c r="R40" s="212" t="n"/>
      <c r="S40" s="212" t="n"/>
      <c r="T40" s="212" t="n"/>
      <c r="U40" s="212" t="n"/>
      <c r="V40" s="212" t="n"/>
      <c r="W40" s="212" t="n"/>
      <c r="X40" s="212" t="n"/>
      <c r="Y40" s="212" t="n"/>
      <c r="Z40" s="212" t="inlineStr">
        <is>
          <t>P1</t>
        </is>
      </c>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inlineStr">
        <is>
          <t>NVG-2.0</t>
        </is>
      </c>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inlineStr">
        <is>
          <t>NVG-2.0</t>
        </is>
      </c>
      <c r="AE41" s="217" t="n"/>
      <c r="AF41" s="217" t="inlineStr">
        <is>
          <t>P2</t>
        </is>
      </c>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inlineStr">
        <is>
          <t>SIM</t>
        </is>
      </c>
      <c r="I42" s="221" t="n"/>
      <c r="J42" s="221" t="n"/>
      <c r="K42" s="221" t="n"/>
      <c r="L42" s="221" t="n"/>
      <c r="M42" s="221" t="n"/>
      <c r="N42" s="221" t="n"/>
      <c r="O42" s="221" t="n"/>
      <c r="P42" s="221" t="n"/>
      <c r="Q42" s="221" t="inlineStr">
        <is>
          <t>FLT-1.5</t>
        </is>
      </c>
      <c r="R42" s="221" t="inlineStr">
        <is>
          <t>Meeting</t>
        </is>
      </c>
      <c r="S42" s="221" t="n"/>
      <c r="T42" s="221" t="n"/>
      <c r="U42" s="221" t="n"/>
      <c r="V42" s="221" t="n"/>
      <c r="W42" s="221" t="n"/>
      <c r="X42" s="221" t="n"/>
      <c r="Y42" s="221" t="inlineStr">
        <is>
          <t>FLT-3.0</t>
        </is>
      </c>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inlineStr">
        <is>
          <t>FLT-1.5</t>
        </is>
      </c>
      <c r="AA43" s="226" t="n"/>
      <c r="AB43" s="226" t="n"/>
      <c r="AC43" s="226" t="n"/>
      <c r="AD43" s="226" t="n"/>
      <c r="AE43" s="226" t="inlineStr">
        <is>
          <t>SIM</t>
        </is>
      </c>
      <c r="AF43" s="226" t="inlineStr">
        <is>
          <t>SIM</t>
        </is>
      </c>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inlineStr">
        <is>
          <t>P2</t>
        </is>
      </c>
      <c r="Z44" s="229" t="n"/>
      <c r="AA44" s="229" t="n"/>
      <c r="AB44" s="229" t="n"/>
      <c r="AC44" s="229" t="n"/>
      <c r="AD44" s="229" t="n"/>
      <c r="AE44" s="229" t="n"/>
      <c r="AF44" s="229" t="inlineStr">
        <is>
          <t>NVG-2.0</t>
        </is>
      </c>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inlineStr">
        <is>
          <t>NVG-2.0</t>
        </is>
      </c>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inlineStr">
        <is>
          <t>FLT-1.5</t>
        </is>
      </c>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inlineStr">
        <is>
          <t>FLT-3.0</t>
        </is>
      </c>
      <c r="F6" s="167" t="inlineStr">
        <is>
          <t>FLT-2.0</t>
        </is>
      </c>
      <c r="G6" s="167" t="inlineStr">
        <is>
          <t>FLT-2.0</t>
        </is>
      </c>
      <c r="H6" s="167" t="n"/>
      <c r="I6" s="167" t="inlineStr">
        <is>
          <t>FLT-2.0</t>
        </is>
      </c>
      <c r="J6" s="167" t="n"/>
      <c r="K6" s="167" t="n"/>
      <c r="L6" s="167" t="n"/>
      <c r="M6" s="167" t="inlineStr">
        <is>
          <t>FLT-2.0</t>
        </is>
      </c>
      <c r="N6" s="167" t="inlineStr">
        <is>
          <t>FLT-2.0</t>
        </is>
      </c>
      <c r="O6" s="167" t="inlineStr">
        <is>
          <t>FLT-2.0</t>
        </is>
      </c>
      <c r="P6" s="167" t="inlineStr">
        <is>
          <t>FLT-2.0</t>
        </is>
      </c>
      <c r="Q6" s="167" t="n"/>
      <c r="R6" s="167" t="n"/>
      <c r="S6" s="167" t="inlineStr">
        <is>
          <t>FLT-2.0</t>
        </is>
      </c>
      <c r="T6" s="167" t="inlineStr">
        <is>
          <t>FLT-3.0</t>
        </is>
      </c>
      <c r="U6" s="167" t="inlineStr">
        <is>
          <t>FLT-2.0</t>
        </is>
      </c>
      <c r="V6" s="167" t="inlineStr">
        <is>
          <t>FLT-3.0</t>
        </is>
      </c>
      <c r="W6" s="167" t="inlineStr">
        <is>
          <t>FLT-2.0</t>
        </is>
      </c>
      <c r="X6" s="167" t="n"/>
      <c r="Y6" s="167" t="n"/>
      <c r="Z6" s="167" t="inlineStr">
        <is>
          <t>FLT-2.0</t>
        </is>
      </c>
      <c r="AA6" s="167" t="inlineStr">
        <is>
          <t>2xFLT-2.0</t>
        </is>
      </c>
      <c r="AB6" s="167" t="n"/>
      <c r="AC6" s="167" t="inlineStr">
        <is>
          <t>FLT-2.0</t>
        </is>
      </c>
      <c r="AD6" s="167" t="n"/>
      <c r="AE6" s="167" t="n"/>
      <c r="AF6" s="167" t="n"/>
      <c r="AG6" s="167" t="inlineStr">
        <is>
          <t>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inlineStr">
        <is>
          <t>0800-1100</t>
        </is>
      </c>
      <c r="F7" s="172" t="inlineStr">
        <is>
          <t>0830-1030</t>
        </is>
      </c>
      <c r="G7" s="172" t="inlineStr">
        <is>
          <t>0830-1030</t>
        </is>
      </c>
      <c r="H7" s="172" t="n"/>
      <c r="I7" s="172" t="inlineStr">
        <is>
          <t>0830-1030</t>
        </is>
      </c>
      <c r="J7" s="172" t="n"/>
      <c r="K7" s="172" t="n"/>
      <c r="L7" s="172" t="n"/>
      <c r="M7" s="172" t="inlineStr">
        <is>
          <t>0830-1030</t>
        </is>
      </c>
      <c r="N7" s="172" t="inlineStr">
        <is>
          <t>0830-1030</t>
        </is>
      </c>
      <c r="O7" s="172" t="inlineStr">
        <is>
          <t>0830-1030</t>
        </is>
      </c>
      <c r="P7" s="172" t="inlineStr">
        <is>
          <t>0830-1030</t>
        </is>
      </c>
      <c r="Q7" s="172" t="n"/>
      <c r="R7" s="172" t="n"/>
      <c r="S7" s="172" t="inlineStr">
        <is>
          <t>0830-1030</t>
        </is>
      </c>
      <c r="T7" s="172" t="inlineStr">
        <is>
          <t>0800-1100</t>
        </is>
      </c>
      <c r="U7" s="172" t="inlineStr">
        <is>
          <t>0830-1030</t>
        </is>
      </c>
      <c r="V7" s="172" t="inlineStr">
        <is>
          <t>0800-1100</t>
        </is>
      </c>
      <c r="W7" s="172" t="inlineStr">
        <is>
          <t>0830-1030</t>
        </is>
      </c>
      <c r="X7" s="172" t="n"/>
      <c r="Y7" s="172" t="n"/>
      <c r="Z7" s="172" t="inlineStr">
        <is>
          <t>0830-1030</t>
        </is>
      </c>
      <c r="AA7" s="172" t="inlineStr">
        <is>
          <t>0830-1030</t>
        </is>
      </c>
      <c r="AB7" s="172" t="n"/>
      <c r="AC7" s="172" t="inlineStr">
        <is>
          <t>0830-1030</t>
        </is>
      </c>
      <c r="AD7" s="172" t="n"/>
      <c r="AE7" s="172" t="n"/>
      <c r="AF7" s="172" t="n"/>
      <c r="AG7" s="172" t="inlineStr">
        <is>
          <t>0830-1030</t>
        </is>
      </c>
      <c r="AH7" s="172" t="n"/>
      <c r="AI7" s="173" t="n"/>
      <c r="AM7" s="174" t="n"/>
    </row>
    <row r="8" ht="15" customHeight="1">
      <c r="A8" s="175" t="n"/>
      <c r="B8" s="175" t="n"/>
      <c r="C8" s="175" t="n"/>
      <c r="D8" s="176" t="n"/>
      <c r="E8" s="176" t="n"/>
      <c r="F8" s="176" t="n"/>
      <c r="G8" s="176" t="n"/>
      <c r="H8" s="176" t="n"/>
      <c r="I8" s="176" t="n"/>
      <c r="J8" s="176" t="n"/>
      <c r="K8" s="176" t="n"/>
      <c r="L8" s="176" t="inlineStr">
        <is>
          <t>NO FLY: Public Holiday</t>
        </is>
      </c>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inlineStr">
        <is>
          <t>FLT-1.5</t>
        </is>
      </c>
      <c r="G9" s="179" t="inlineStr">
        <is>
          <t>FLT-1.5</t>
        </is>
      </c>
      <c r="H9" s="179" t="n"/>
      <c r="I9" s="179" t="inlineStr">
        <is>
          <t>FLT-1.5</t>
        </is>
      </c>
      <c r="J9" s="179" t="n"/>
      <c r="K9" s="179" t="n"/>
      <c r="L9" s="179" t="n"/>
      <c r="M9" s="179" t="inlineStr">
        <is>
          <t>FLT-1.5</t>
        </is>
      </c>
      <c r="N9" s="179" t="inlineStr">
        <is>
          <t>FLT-1.5</t>
        </is>
      </c>
      <c r="O9" s="179" t="n"/>
      <c r="P9" s="179" t="inlineStr">
        <is>
          <t>FLT-1.5</t>
        </is>
      </c>
      <c r="Q9" s="179" t="n"/>
      <c r="R9" s="179" t="n"/>
      <c r="S9" s="179" t="inlineStr">
        <is>
          <t>FLT-1.5</t>
        </is>
      </c>
      <c r="T9" s="179" t="n"/>
      <c r="U9" s="179" t="inlineStr">
        <is>
          <t>FLT-1.5</t>
        </is>
      </c>
      <c r="V9" s="179" t="n"/>
      <c r="W9" s="179" t="n"/>
      <c r="X9" s="179" t="n"/>
      <c r="Y9" s="179" t="n"/>
      <c r="Z9" s="179" t="inlineStr">
        <is>
          <t>FLT-1.5</t>
        </is>
      </c>
      <c r="AA9" s="179" t="n"/>
      <c r="AB9" s="179" t="n"/>
      <c r="AC9" s="179" t="inlineStr">
        <is>
          <t>FLT-1.5</t>
        </is>
      </c>
      <c r="AD9" s="179" t="n"/>
      <c r="AE9" s="179" t="n"/>
      <c r="AF9" s="179" t="n"/>
      <c r="AG9" s="179" t="inlineStr">
        <is>
          <t>FLT-1.5</t>
        </is>
      </c>
      <c r="AH9" s="179" t="n"/>
      <c r="AI9" s="173" t="n"/>
      <c r="AM9" s="174" t="n"/>
    </row>
    <row r="10" ht="15" customHeight="1">
      <c r="A10" s="171" t="n"/>
      <c r="B10" s="171" t="n"/>
      <c r="C10" s="171" t="n"/>
      <c r="D10" s="172" t="n"/>
      <c r="E10" s="172" t="n"/>
      <c r="F10" s="172" t="inlineStr">
        <is>
          <t>1000-1130</t>
        </is>
      </c>
      <c r="G10" s="172" t="inlineStr">
        <is>
          <t>1000-1130</t>
        </is>
      </c>
      <c r="H10" s="172" t="n"/>
      <c r="I10" s="172" t="inlineStr">
        <is>
          <t>1000-1130</t>
        </is>
      </c>
      <c r="J10" s="172" t="n"/>
      <c r="K10" s="172" t="n"/>
      <c r="L10" s="172" t="n"/>
      <c r="M10" s="172" t="inlineStr">
        <is>
          <t>1000-1130</t>
        </is>
      </c>
      <c r="N10" s="172" t="inlineStr">
        <is>
          <t>1000-1130</t>
        </is>
      </c>
      <c r="O10" s="172" t="n"/>
      <c r="P10" s="172" t="inlineStr">
        <is>
          <t>1000-1130</t>
        </is>
      </c>
      <c r="Q10" s="172" t="n"/>
      <c r="R10" s="172" t="n"/>
      <c r="S10" s="172" t="inlineStr">
        <is>
          <t>1000-1130</t>
        </is>
      </c>
      <c r="T10" s="172" t="n"/>
      <c r="U10" s="172" t="inlineStr">
        <is>
          <t>1000-1130</t>
        </is>
      </c>
      <c r="V10" s="172" t="n"/>
      <c r="W10" s="172" t="n"/>
      <c r="X10" s="172" t="n"/>
      <c r="Y10" s="172" t="n"/>
      <c r="Z10" s="172" t="inlineStr">
        <is>
          <t>1000-1130</t>
        </is>
      </c>
      <c r="AA10" s="172" t="n"/>
      <c r="AB10" s="172" t="n"/>
      <c r="AC10" s="172" t="inlineStr">
        <is>
          <t>1000-1130</t>
        </is>
      </c>
      <c r="AD10" s="172" t="n"/>
      <c r="AE10" s="172" t="n"/>
      <c r="AF10" s="172" t="n"/>
      <c r="AG10" s="172" t="inlineStr">
        <is>
          <t>1000-1130</t>
        </is>
      </c>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inlineStr">
        <is>
          <t>FLT-1.5</t>
        </is>
      </c>
      <c r="F12" s="167" t="n"/>
      <c r="G12" s="167" t="inlineStr">
        <is>
          <t>FLT-2.0</t>
        </is>
      </c>
      <c r="H12" s="167" t="inlineStr">
        <is>
          <t>FLT-1.5</t>
        </is>
      </c>
      <c r="I12" s="167" t="inlineStr">
        <is>
          <t>FLT-2.0</t>
        </is>
      </c>
      <c r="J12" s="167" t="n"/>
      <c r="K12" s="167" t="n"/>
      <c r="L12" s="167" t="n"/>
      <c r="M12" s="167" t="inlineStr">
        <is>
          <t>FLT-1.5</t>
        </is>
      </c>
      <c r="N12" s="167" t="inlineStr">
        <is>
          <t>FLT-2.0</t>
        </is>
      </c>
      <c r="O12" s="167" t="n"/>
      <c r="P12" s="167" t="inlineStr">
        <is>
          <t>FLT-2.0</t>
        </is>
      </c>
      <c r="Q12" s="167" t="n"/>
      <c r="R12" s="167" t="n"/>
      <c r="S12" s="167" t="inlineStr">
        <is>
          <t>FLT-2.0</t>
        </is>
      </c>
      <c r="T12" s="167" t="n"/>
      <c r="U12" s="167" t="inlineStr">
        <is>
          <t>FLT-2.0</t>
        </is>
      </c>
      <c r="V12" s="167" t="inlineStr">
        <is>
          <t>FLT-2.0</t>
        </is>
      </c>
      <c r="W12" s="167" t="inlineStr">
        <is>
          <t>FLT-1.5</t>
        </is>
      </c>
      <c r="X12" s="167" t="n"/>
      <c r="Y12" s="167" t="n"/>
      <c r="Z12" s="167" t="n"/>
      <c r="AA12" s="167" t="n"/>
      <c r="AB12" s="167" t="inlineStr">
        <is>
          <t>FLT-1.5</t>
        </is>
      </c>
      <c r="AC12" s="167" t="n"/>
      <c r="AD12" s="167" t="n"/>
      <c r="AE12" s="167" t="n"/>
      <c r="AF12" s="167" t="n"/>
      <c r="AG12" s="167" t="inlineStr">
        <is>
          <t>FLT-2.0</t>
        </is>
      </c>
      <c r="AH12" s="167" t="n"/>
      <c r="AI12" s="173" t="n"/>
      <c r="AM12" s="174" t="n"/>
    </row>
    <row r="13" ht="15" customHeight="1">
      <c r="A13" s="171" t="n"/>
      <c r="B13" s="171" t="n"/>
      <c r="C13" s="171" t="n"/>
      <c r="D13" s="172" t="n"/>
      <c r="E13" s="172" t="inlineStr">
        <is>
          <t>1430-1600</t>
        </is>
      </c>
      <c r="F13" s="172" t="n"/>
      <c r="G13" s="172" t="inlineStr">
        <is>
          <t>1400-1600</t>
        </is>
      </c>
      <c r="H13" s="172" t="inlineStr">
        <is>
          <t>1430-1600</t>
        </is>
      </c>
      <c r="I13" s="172" t="inlineStr">
        <is>
          <t>1400-1600</t>
        </is>
      </c>
      <c r="J13" s="172" t="n"/>
      <c r="K13" s="172" t="n"/>
      <c r="L13" s="172" t="n"/>
      <c r="M13" s="172" t="inlineStr">
        <is>
          <t>1430-1600</t>
        </is>
      </c>
      <c r="N13" s="172" t="inlineStr">
        <is>
          <t>1400-1600</t>
        </is>
      </c>
      <c r="O13" s="172" t="n"/>
      <c r="P13" s="172" t="inlineStr">
        <is>
          <t>1400-1600</t>
        </is>
      </c>
      <c r="Q13" s="172" t="n"/>
      <c r="R13" s="172" t="n"/>
      <c r="S13" s="172" t="inlineStr">
        <is>
          <t>1400-1600</t>
        </is>
      </c>
      <c r="T13" s="172" t="n"/>
      <c r="U13" s="172" t="inlineStr">
        <is>
          <t>1400-1600</t>
        </is>
      </c>
      <c r="V13" s="172" t="inlineStr">
        <is>
          <t>1400-1600</t>
        </is>
      </c>
      <c r="W13" s="172" t="inlineStr">
        <is>
          <t>1430-1600</t>
        </is>
      </c>
      <c r="X13" s="172" t="n"/>
      <c r="Y13" s="172" t="n"/>
      <c r="Z13" s="172" t="n"/>
      <c r="AA13" s="172" t="n"/>
      <c r="AB13" s="172" t="inlineStr">
        <is>
          <t>1430-1600</t>
        </is>
      </c>
      <c r="AC13" s="172" t="n"/>
      <c r="AD13" s="172" t="n"/>
      <c r="AE13" s="172" t="n"/>
      <c r="AF13" s="172" t="n"/>
      <c r="AG13" s="172" t="inlineStr">
        <is>
          <t>1400-1600</t>
        </is>
      </c>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inlineStr">
        <is>
          <t>NVG-2.0</t>
        </is>
      </c>
      <c r="G18" s="167" t="n"/>
      <c r="H18" s="167" t="inlineStr">
        <is>
          <t>NVG-2.0</t>
        </is>
      </c>
      <c r="I18" s="167" t="n"/>
      <c r="J18" s="167" t="n"/>
      <c r="K18" s="167" t="n"/>
      <c r="L18" s="167" t="n"/>
      <c r="M18" s="167" t="inlineStr">
        <is>
          <t>NVG-2.0</t>
        </is>
      </c>
      <c r="N18" s="167" t="n"/>
      <c r="O18" s="167" t="inlineStr">
        <is>
          <t>NVG-2.0</t>
        </is>
      </c>
      <c r="P18" s="167" t="n"/>
      <c r="Q18" s="167" t="n"/>
      <c r="R18" s="167" t="n"/>
      <c r="S18" s="167" t="n"/>
      <c r="T18" s="167" t="inlineStr">
        <is>
          <t>NVG-2.0</t>
        </is>
      </c>
      <c r="U18" s="167" t="n"/>
      <c r="V18" s="167" t="inlineStr">
        <is>
          <t>NVG-2.0</t>
        </is>
      </c>
      <c r="W18" s="167" t="n"/>
      <c r="X18" s="167" t="n"/>
      <c r="Y18" s="167" t="n"/>
      <c r="Z18" s="167" t="n"/>
      <c r="AA18" s="167" t="inlineStr">
        <is>
          <t>NVG-2.0</t>
        </is>
      </c>
      <c r="AB18" s="167" t="n"/>
      <c r="AC18" s="167" t="inlineStr">
        <is>
          <t>NVG-2.0</t>
        </is>
      </c>
      <c r="AD18" s="167" t="n"/>
      <c r="AE18" s="167" t="n"/>
      <c r="AF18" s="167" t="n"/>
      <c r="AG18" s="167" t="n"/>
      <c r="AH18" s="167" t="n"/>
      <c r="AI18" s="173" t="n"/>
      <c r="AM18" s="174" t="n"/>
    </row>
    <row r="19" ht="15" customHeight="1">
      <c r="A19" s="171" t="n"/>
      <c r="B19" s="171" t="n"/>
      <c r="C19" s="171" t="n"/>
      <c r="D19" s="172" t="n"/>
      <c r="E19" s="172" t="n"/>
      <c r="F19" s="172" t="inlineStr">
        <is>
          <t>2000-2200</t>
        </is>
      </c>
      <c r="G19" s="172" t="n"/>
      <c r="H19" s="172" t="inlineStr">
        <is>
          <t>2000-2200</t>
        </is>
      </c>
      <c r="I19" s="172" t="n"/>
      <c r="J19" s="172" t="n"/>
      <c r="K19" s="172" t="n"/>
      <c r="L19" s="172" t="n"/>
      <c r="M19" s="172" t="inlineStr">
        <is>
          <t>2000-2200</t>
        </is>
      </c>
      <c r="N19" s="172" t="n"/>
      <c r="O19" s="172" t="inlineStr">
        <is>
          <t>2000-2200</t>
        </is>
      </c>
      <c r="P19" s="172" t="n"/>
      <c r="Q19" s="172" t="n"/>
      <c r="R19" s="172" t="n"/>
      <c r="S19" s="172" t="n"/>
      <c r="T19" s="172" t="inlineStr">
        <is>
          <t>2000-2200</t>
        </is>
      </c>
      <c r="U19" s="172" t="n"/>
      <c r="V19" s="172" t="inlineStr">
        <is>
          <t>2000-2200</t>
        </is>
      </c>
      <c r="W19" s="172" t="n"/>
      <c r="X19" s="172" t="n"/>
      <c r="Y19" s="172" t="n"/>
      <c r="Z19" s="172" t="n"/>
      <c r="AA19" s="172" t="inlineStr">
        <is>
          <t>2000-2200</t>
        </is>
      </c>
      <c r="AB19" s="172" t="n"/>
      <c r="AC19" s="172" t="inlineStr">
        <is>
          <t>2000-2200</t>
        </is>
      </c>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inlineStr">
        <is>
          <t>Safety Brief 0730-0800</t>
        </is>
      </c>
      <c r="F24" s="193" t="n"/>
      <c r="G24" s="193" t="n"/>
      <c r="H24" s="193" t="n"/>
      <c r="I24" s="193" t="n"/>
      <c r="J24" s="193" t="n"/>
      <c r="K24" s="193" t="n"/>
      <c r="L24" s="193" t="n"/>
      <c r="M24" s="193" t="n"/>
      <c r="N24" s="193" t="inlineStr">
        <is>
          <t>Ground School 0900-1200</t>
        </is>
      </c>
      <c r="O24" s="193" t="n"/>
      <c r="P24" s="193" t="n"/>
      <c r="Q24" s="193" t="n"/>
      <c r="R24" s="193" t="n"/>
      <c r="S24" s="193" t="n"/>
      <c r="T24" s="193" t="n"/>
      <c r="U24" s="193" t="inlineStr">
        <is>
          <t>Sqn Meeting 1500</t>
        </is>
      </c>
      <c r="V24" s="193" t="n"/>
      <c r="W24" s="193" t="n"/>
      <c r="X24" s="193" t="n"/>
      <c r="Y24" s="193" t="n"/>
      <c r="Z24" s="193" t="n"/>
      <c r="AA24" s="193" t="n"/>
      <c r="AB24" s="193" t="n"/>
      <c r="AC24" s="193" t="inlineStr">
        <is>
          <t>CRM Lecture 1400-1600</t>
        </is>
      </c>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199">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199">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199">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199">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199">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199">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199">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199">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199">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199">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199">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199">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199">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199">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199">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199">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199">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199">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199">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199">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199">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199">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199">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199">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199">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199">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199">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199">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199">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199">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inlineStr">
        <is>
          <t>BDO</t>
        </is>
      </c>
      <c r="E27" s="206" t="n"/>
      <c r="F27" s="206" t="n"/>
      <c r="G27" s="206" t="inlineStr">
        <is>
          <t>FLT-1.5</t>
        </is>
      </c>
      <c r="H27" s="206" t="inlineStr">
        <is>
          <t>BDO</t>
        </is>
      </c>
      <c r="I27" s="206" t="n"/>
      <c r="J27" s="206" t="inlineStr">
        <is>
          <t>SDO</t>
        </is>
      </c>
      <c r="K27" s="206" t="n"/>
      <c r="L27" s="206" t="inlineStr">
        <is>
          <t>BDO</t>
        </is>
      </c>
      <c r="M27" s="206" t="n"/>
      <c r="N27" s="206" t="n"/>
      <c r="O27" s="206" t="n"/>
      <c r="P27" s="206" t="inlineStr">
        <is>
          <t>FLT-1.5</t>
        </is>
      </c>
      <c r="Q27" s="206" t="n"/>
      <c r="R27" s="206" t="n"/>
      <c r="S27" s="206" t="inlineStr">
        <is>
          <t>BU</t>
        </is>
      </c>
      <c r="T27" s="206" t="inlineStr">
        <is>
          <t>BDO</t>
        </is>
      </c>
      <c r="U27" s="206" t="n"/>
      <c r="V27" s="206" t="inlineStr">
        <is>
          <t>SDO</t>
        </is>
      </c>
      <c r="W27" s="206" t="inlineStr">
        <is>
          <t>FLT-2.0</t>
        </is>
      </c>
      <c r="X27" s="206" t="n"/>
      <c r="Y27" s="206" t="n"/>
      <c r="Z27" s="206" t="inlineStr">
        <is>
          <t>FLT-1.5</t>
        </is>
      </c>
      <c r="AA27" s="206" t="n"/>
      <c r="AB27" s="206" t="inlineStr">
        <is>
          <t>BDO</t>
        </is>
      </c>
      <c r="AC27" s="206" t="n"/>
      <c r="AD27" s="206" t="n"/>
      <c r="AE27" s="206" t="n"/>
      <c r="AF27" s="206" t="n"/>
      <c r="AG27" s="206" t="inlineStr">
        <is>
          <t>FLT-1.5</t>
        </is>
      </c>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inlineStr">
        <is>
          <t>FLT-1.5</t>
        </is>
      </c>
      <c r="F28" s="212" t="n"/>
      <c r="G28" s="212" t="n"/>
      <c r="H28" s="212" t="n"/>
      <c r="I28" s="212" t="inlineStr">
        <is>
          <t>FLT-2.0</t>
        </is>
      </c>
      <c r="J28" s="212" t="n"/>
      <c r="K28" s="212" t="n"/>
      <c r="L28" s="212" t="n"/>
      <c r="M28" s="212" t="inlineStr">
        <is>
          <t>FLT-1.5</t>
        </is>
      </c>
      <c r="N28" s="212" t="n"/>
      <c r="O28" s="212" t="n"/>
      <c r="P28" s="212" t="inlineStr">
        <is>
          <t>P1</t>
        </is>
      </c>
      <c r="Q28" s="212" t="n"/>
      <c r="R28" s="212" t="n"/>
      <c r="S28" s="212" t="n"/>
      <c r="T28" s="212" t="n"/>
      <c r="U28" s="212" t="inlineStr">
        <is>
          <t>SIM</t>
        </is>
      </c>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inlineStr">
        <is>
          <t>P2</t>
        </is>
      </c>
      <c r="G29" s="217" t="n"/>
      <c r="H29" s="217" t="n"/>
      <c r="I29" s="217" t="n"/>
      <c r="J29" s="217" t="n"/>
      <c r="K29" s="217" t="n"/>
      <c r="L29" s="217" t="n"/>
      <c r="M29" s="217" t="inlineStr">
        <is>
          <t>P2</t>
        </is>
      </c>
      <c r="N29" s="217" t="n"/>
      <c r="O29" s="217" t="inlineStr">
        <is>
          <t>NVG-2.0</t>
        </is>
      </c>
      <c r="P29" s="217" t="n"/>
      <c r="Q29" s="217" t="n"/>
      <c r="R29" s="217" t="n"/>
      <c r="S29" s="217" t="n"/>
      <c r="T29" s="217" t="n"/>
      <c r="U29" s="217" t="n"/>
      <c r="V29" s="217" t="n"/>
      <c r="W29" s="217" t="n"/>
      <c r="X29" s="217" t="n"/>
      <c r="Y29" s="217" t="n"/>
      <c r="Z29" s="217" t="n"/>
      <c r="AA29" s="217" t="n"/>
      <c r="AB29" s="217" t="n"/>
      <c r="AC29" s="217" t="inlineStr">
        <is>
          <t>P2</t>
        </is>
      </c>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inlineStr">
        <is>
          <t>OL</t>
        </is>
      </c>
      <c r="E30" s="221" t="inlineStr">
        <is>
          <t>FLT-3.0</t>
        </is>
      </c>
      <c r="F30" s="221" t="n"/>
      <c r="G30" s="221" t="inlineStr">
        <is>
          <t>SDO</t>
        </is>
      </c>
      <c r="H30" s="221" t="n"/>
      <c r="I30" s="221" t="inlineStr">
        <is>
          <t>FLT-1.5</t>
        </is>
      </c>
      <c r="J30" s="221" t="n"/>
      <c r="K30" s="221" t="n"/>
      <c r="L30" s="221" t="n"/>
      <c r="M30" s="221" t="n"/>
      <c r="N30" s="221" t="n"/>
      <c r="O30" s="221" t="n"/>
      <c r="P30" s="221" t="inlineStr">
        <is>
          <t>SDO</t>
        </is>
      </c>
      <c r="Q30" s="221" t="n"/>
      <c r="R30" s="221" t="n"/>
      <c r="S30" s="221" t="n"/>
      <c r="T30" s="221" t="n"/>
      <c r="U30" s="221" t="n"/>
      <c r="V30" s="221" t="n"/>
      <c r="W30" s="221" t="n"/>
      <c r="X30" s="221" t="n"/>
      <c r="Y30" s="221" t="n"/>
      <c r="Z30" s="221" t="n"/>
      <c r="AA30" s="221" t="n"/>
      <c r="AB30" s="221" t="inlineStr">
        <is>
          <t>SDO</t>
        </is>
      </c>
      <c r="AC30" s="221" t="inlineStr">
        <is>
          <t>BU</t>
        </is>
      </c>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inlineStr">
        <is>
          <t>OL</t>
        </is>
      </c>
      <c r="E31" s="226" t="n"/>
      <c r="F31" s="226" t="n"/>
      <c r="G31" s="226" t="n"/>
      <c r="H31" s="226" t="n"/>
      <c r="I31" s="226" t="n"/>
      <c r="J31" s="226" t="n"/>
      <c r="K31" s="226" t="n"/>
      <c r="L31" s="226" t="n"/>
      <c r="M31" s="226" t="n"/>
      <c r="N31" s="226" t="inlineStr">
        <is>
          <t>FLT-2.0</t>
        </is>
      </c>
      <c r="O31" s="226" t="n"/>
      <c r="P31" s="226" t="n"/>
      <c r="Q31" s="226" t="n"/>
      <c r="R31" s="226" t="n"/>
      <c r="S31" s="226" t="inlineStr">
        <is>
          <t>FLT-2.0</t>
        </is>
      </c>
      <c r="T31" s="226" t="n"/>
      <c r="U31" s="226" t="n"/>
      <c r="V31" s="226" t="inlineStr">
        <is>
          <t>FLT-2.0</t>
        </is>
      </c>
      <c r="W31" s="226" t="n"/>
      <c r="X31" s="226" t="n"/>
      <c r="Y31" s="226" t="n"/>
      <c r="Z31" s="226" t="n"/>
      <c r="AA31" s="226" t="n"/>
      <c r="AB31" s="226" t="n"/>
      <c r="AC31" s="226" t="n"/>
      <c r="AD31" s="226" t="n"/>
      <c r="AE31" s="226" t="n"/>
      <c r="AF31" s="226" t="n"/>
      <c r="AG31" s="226" t="inlineStr">
        <is>
          <t>FLT-2.0</t>
        </is>
      </c>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inlineStr">
        <is>
          <t>OL</t>
        </is>
      </c>
      <c r="E32" s="229" t="n"/>
      <c r="F32" s="229" t="inlineStr">
        <is>
          <t>NVG-2.0</t>
        </is>
      </c>
      <c r="G32" s="229" t="n"/>
      <c r="H32" s="229" t="inlineStr">
        <is>
          <t>P2</t>
        </is>
      </c>
      <c r="I32" s="229" t="n"/>
      <c r="J32" s="229" t="n"/>
      <c r="K32" s="229" t="n"/>
      <c r="L32" s="229" t="n"/>
      <c r="M32" s="229" t="inlineStr">
        <is>
          <t>NVG-2.0</t>
        </is>
      </c>
      <c r="N32" s="229" t="n"/>
      <c r="O32" s="229" t="inlineStr">
        <is>
          <t>P2</t>
        </is>
      </c>
      <c r="P32" s="229" t="n"/>
      <c r="Q32" s="229" t="n"/>
      <c r="R32" s="229" t="n"/>
      <c r="S32" s="229" t="n"/>
      <c r="T32" s="229" t="inlineStr">
        <is>
          <t>P2</t>
        </is>
      </c>
      <c r="U32" s="229" t="n"/>
      <c r="V32" s="229" t="n"/>
      <c r="W32" s="229" t="n"/>
      <c r="X32" s="229" t="n"/>
      <c r="Y32" s="229" t="n"/>
      <c r="Z32" s="229" t="n"/>
      <c r="AA32" s="229" t="inlineStr">
        <is>
          <t>NVG-2.0</t>
        </is>
      </c>
      <c r="AB32" s="229" t="n"/>
      <c r="AC32" s="229" t="inlineStr">
        <is>
          <t>NVG-2.0</t>
        </is>
      </c>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inlineStr">
        <is>
          <t>SDO</t>
        </is>
      </c>
      <c r="E33" s="206" t="n"/>
      <c r="F33" s="206" t="inlineStr">
        <is>
          <t>FLT-2.0</t>
        </is>
      </c>
      <c r="G33" s="206" t="n"/>
      <c r="H33" s="206" t="inlineStr">
        <is>
          <t>LL</t>
        </is>
      </c>
      <c r="I33" s="206" t="inlineStr">
        <is>
          <t>LL</t>
        </is>
      </c>
      <c r="J33" s="206" t="inlineStr">
        <is>
          <t>LL</t>
        </is>
      </c>
      <c r="K33" s="206" t="n"/>
      <c r="L33" s="206" t="inlineStr">
        <is>
          <t>OL</t>
        </is>
      </c>
      <c r="M33" s="206" t="inlineStr">
        <is>
          <t>FLT-2.0</t>
        </is>
      </c>
      <c r="N33" s="206" t="inlineStr">
        <is>
          <t>FLT-2.0</t>
        </is>
      </c>
      <c r="O33" s="206" t="inlineStr">
        <is>
          <t>FLT-2.0</t>
        </is>
      </c>
      <c r="P33" s="206" t="inlineStr">
        <is>
          <t>BDO</t>
        </is>
      </c>
      <c r="Q33" s="206" t="n"/>
      <c r="R33" s="206" t="n"/>
      <c r="S33" s="206" t="inlineStr">
        <is>
          <t>SDO</t>
        </is>
      </c>
      <c r="T33" s="206" t="n"/>
      <c r="U33" s="206" t="n"/>
      <c r="V33" s="206" t="n"/>
      <c r="W33" s="206" t="n"/>
      <c r="X33" s="206" t="inlineStr">
        <is>
          <t>BDO</t>
        </is>
      </c>
      <c r="Y33" s="206" t="n"/>
      <c r="Z33" s="206" t="n"/>
      <c r="AA33" s="206" t="n"/>
      <c r="AB33" s="206" t="n"/>
      <c r="AC33" s="206" t="inlineStr">
        <is>
          <t>FLT-2.0</t>
        </is>
      </c>
      <c r="AD33" s="206" t="n"/>
      <c r="AE33" s="206" t="inlineStr">
        <is>
          <t>SDO</t>
        </is>
      </c>
      <c r="AF33" s="206" t="inlineStr">
        <is>
          <t>BDO</t>
        </is>
      </c>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inlineStr">
        <is>
          <t>LL</t>
        </is>
      </c>
      <c r="I34" s="212" t="inlineStr">
        <is>
          <t>LL</t>
        </is>
      </c>
      <c r="J34" s="212" t="inlineStr">
        <is>
          <t>LL</t>
        </is>
      </c>
      <c r="K34" s="212" t="n"/>
      <c r="L34" s="212" t="inlineStr">
        <is>
          <t>OL</t>
        </is>
      </c>
      <c r="M34" s="212" t="n"/>
      <c r="N34" s="212" t="inlineStr">
        <is>
          <t>P1</t>
        </is>
      </c>
      <c r="O34" s="212" t="n"/>
      <c r="P34" s="212" t="n"/>
      <c r="Q34" s="212" t="n"/>
      <c r="R34" s="212" t="n"/>
      <c r="S34" s="212" t="n"/>
      <c r="T34" s="212" t="n"/>
      <c r="U34" s="212" t="inlineStr">
        <is>
          <t>FLT-2.0</t>
        </is>
      </c>
      <c r="V34" s="212" t="inlineStr">
        <is>
          <t>P1</t>
        </is>
      </c>
      <c r="W34" s="212" t="inlineStr">
        <is>
          <t>FLT-1.5</t>
        </is>
      </c>
      <c r="X34" s="212" t="n"/>
      <c r="Y34" s="212" t="n"/>
      <c r="Z34" s="212" t="n"/>
      <c r="AA34" s="212" t="n"/>
      <c r="AB34" s="212" t="inlineStr">
        <is>
          <t>P1</t>
        </is>
      </c>
      <c r="AC34" s="212" t="inlineStr">
        <is>
          <t>SIM</t>
        </is>
      </c>
      <c r="AD34" s="212" t="n"/>
      <c r="AE34" s="212" t="n"/>
      <c r="AF34" s="212" t="n"/>
      <c r="AG34" s="212" t="inlineStr">
        <is>
          <t>SIM</t>
        </is>
      </c>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inlineStr">
        <is>
          <t>LL</t>
        </is>
      </c>
      <c r="I35" s="217" t="inlineStr">
        <is>
          <t>LL</t>
        </is>
      </c>
      <c r="J35" s="217" t="inlineStr">
        <is>
          <t>LL</t>
        </is>
      </c>
      <c r="K35" s="217" t="n"/>
      <c r="L35" s="217" t="inlineStr">
        <is>
          <t>OL</t>
        </is>
      </c>
      <c r="M35" s="217" t="n"/>
      <c r="N35" s="217" t="n"/>
      <c r="O35" s="217" t="n"/>
      <c r="P35" s="217" t="n"/>
      <c r="Q35" s="217" t="n"/>
      <c r="R35" s="217" t="n"/>
      <c r="S35" s="217" t="n"/>
      <c r="T35" s="217" t="inlineStr">
        <is>
          <t>NVG-2.0</t>
        </is>
      </c>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inlineStr">
        <is>
          <t>FLT-2.0</t>
        </is>
      </c>
      <c r="H36" s="221" t="n"/>
      <c r="I36" s="221" t="n"/>
      <c r="J36" s="221" t="n"/>
      <c r="K36" s="221" t="n"/>
      <c r="L36" s="221" t="inlineStr">
        <is>
          <t>Outstation</t>
        </is>
      </c>
      <c r="M36" s="221" t="inlineStr">
        <is>
          <t>SDO</t>
        </is>
      </c>
      <c r="N36" s="221" t="inlineStr">
        <is>
          <t>LL</t>
        </is>
      </c>
      <c r="O36" s="221" t="inlineStr">
        <is>
          <t>LL</t>
        </is>
      </c>
      <c r="P36" s="221" t="inlineStr">
        <is>
          <t>LL</t>
        </is>
      </c>
      <c r="Q36" s="221" t="n"/>
      <c r="R36" s="221" t="n"/>
      <c r="S36" s="221" t="inlineStr">
        <is>
          <t>FLT-2.0</t>
        </is>
      </c>
      <c r="T36" s="221" t="inlineStr">
        <is>
          <t>FLT-3.0</t>
        </is>
      </c>
      <c r="U36" s="221" t="inlineStr">
        <is>
          <t>FLT-1.5</t>
        </is>
      </c>
      <c r="V36" s="221" t="inlineStr">
        <is>
          <t>FLT-3.0</t>
        </is>
      </c>
      <c r="W36" s="221" t="n"/>
      <c r="X36" s="221" t="n"/>
      <c r="Y36" s="221" t="inlineStr">
        <is>
          <t>SDO</t>
        </is>
      </c>
      <c r="Z36" s="221" t="n"/>
      <c r="AA36" s="221" t="inlineStr">
        <is>
          <t>FLT-2.0</t>
        </is>
      </c>
      <c r="AB36" s="221" t="inlineStr">
        <is>
          <t>OL</t>
        </is>
      </c>
      <c r="AC36" s="221" t="inlineStr">
        <is>
          <t>FLT-1.5</t>
        </is>
      </c>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inlineStr">
        <is>
          <t>SIM</t>
        </is>
      </c>
      <c r="F37" s="226" t="n"/>
      <c r="G37" s="226" t="inlineStr">
        <is>
          <t>P1</t>
        </is>
      </c>
      <c r="H37" s="226" t="inlineStr">
        <is>
          <t>SIM</t>
        </is>
      </c>
      <c r="I37" s="226" t="inlineStr">
        <is>
          <t>SIM</t>
        </is>
      </c>
      <c r="J37" s="226" t="n"/>
      <c r="K37" s="226" t="n"/>
      <c r="L37" s="226" t="n"/>
      <c r="M37" s="226" t="n"/>
      <c r="N37" s="226" t="inlineStr">
        <is>
          <t>LL</t>
        </is>
      </c>
      <c r="O37" s="226" t="inlineStr">
        <is>
          <t>LL</t>
        </is>
      </c>
      <c r="P37" s="226" t="inlineStr">
        <is>
          <t>LL</t>
        </is>
      </c>
      <c r="Q37" s="226" t="n"/>
      <c r="R37" s="226" t="n"/>
      <c r="S37" s="226" t="inlineStr">
        <is>
          <t>P1</t>
        </is>
      </c>
      <c r="T37" s="226" t="n"/>
      <c r="U37" s="226" t="inlineStr">
        <is>
          <t>P1</t>
        </is>
      </c>
      <c r="V37" s="226" t="n"/>
      <c r="W37" s="226" t="inlineStr">
        <is>
          <t>P1</t>
        </is>
      </c>
      <c r="X37" s="226" t="n"/>
      <c r="Y37" s="226" t="n"/>
      <c r="Z37" s="226" t="n"/>
      <c r="AA37" s="226" t="n"/>
      <c r="AB37" s="226" t="inlineStr">
        <is>
          <t>OL</t>
        </is>
      </c>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inlineStr">
        <is>
          <t>NVG-2.0</t>
        </is>
      </c>
      <c r="I38" s="229" t="n"/>
      <c r="J38" s="229" t="n"/>
      <c r="K38" s="229" t="n"/>
      <c r="L38" s="229" t="n"/>
      <c r="M38" s="229" t="n"/>
      <c r="N38" s="229" t="inlineStr">
        <is>
          <t>LL</t>
        </is>
      </c>
      <c r="O38" s="229" t="inlineStr">
        <is>
          <t>LL</t>
        </is>
      </c>
      <c r="P38" s="229" t="inlineStr">
        <is>
          <t>LL</t>
        </is>
      </c>
      <c r="Q38" s="229" t="n"/>
      <c r="R38" s="229" t="n"/>
      <c r="S38" s="229" t="n"/>
      <c r="T38" s="229" t="n"/>
      <c r="U38" s="229" t="n"/>
      <c r="V38" s="229" t="n"/>
      <c r="W38" s="229" t="n"/>
      <c r="X38" s="229" t="n"/>
      <c r="Y38" s="229" t="n"/>
      <c r="Z38" s="229" t="n"/>
      <c r="AA38" s="229" t="n"/>
      <c r="AB38" s="229" t="inlineStr">
        <is>
          <t>OL</t>
        </is>
      </c>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inlineStr">
        <is>
          <t>Meeting</t>
        </is>
      </c>
      <c r="I39" s="206" t="inlineStr">
        <is>
          <t>Outstation</t>
        </is>
      </c>
      <c r="J39" s="206" t="n"/>
      <c r="K39" s="206" t="n"/>
      <c r="L39" s="206" t="n"/>
      <c r="M39" s="206" t="inlineStr">
        <is>
          <t>FLT-1.5</t>
        </is>
      </c>
      <c r="N39" s="206" t="n"/>
      <c r="O39" s="206" t="n"/>
      <c r="P39" s="206" t="inlineStr">
        <is>
          <t>FLT-2.0</t>
        </is>
      </c>
      <c r="Q39" s="206" t="inlineStr">
        <is>
          <t>LL</t>
        </is>
      </c>
      <c r="R39" s="206" t="inlineStr">
        <is>
          <t>LL</t>
        </is>
      </c>
      <c r="S39" s="206" t="inlineStr">
        <is>
          <t>Detachment</t>
        </is>
      </c>
      <c r="T39" s="206" t="inlineStr">
        <is>
          <t>Detachment</t>
        </is>
      </c>
      <c r="U39" s="206" t="inlineStr">
        <is>
          <t>Detachment</t>
        </is>
      </c>
      <c r="V39" s="206" t="inlineStr">
        <is>
          <t>Detachment</t>
        </is>
      </c>
      <c r="W39" s="206" t="inlineStr">
        <is>
          <t>Detachment</t>
        </is>
      </c>
      <c r="X39" s="206" t="n"/>
      <c r="Y39" s="206" t="n"/>
      <c r="Z39" s="206" t="inlineStr">
        <is>
          <t>FLT-2.0</t>
        </is>
      </c>
      <c r="AA39" s="206" t="inlineStr">
        <is>
          <t>FLT-2.0</t>
        </is>
      </c>
      <c r="AB39" s="206" t="n"/>
      <c r="AC39" s="206" t="inlineStr">
        <is>
          <t>OL</t>
        </is>
      </c>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inlineStr">
        <is>
          <t>FLT-2.0</t>
        </is>
      </c>
      <c r="H40" s="212" t="inlineStr">
        <is>
          <t>FLT-1.5</t>
        </is>
      </c>
      <c r="I40" s="212" t="inlineStr">
        <is>
          <t>P1</t>
        </is>
      </c>
      <c r="J40" s="212" t="n"/>
      <c r="K40" s="212" t="n"/>
      <c r="L40" s="212" t="n"/>
      <c r="M40" s="212" t="n"/>
      <c r="N40" s="212" t="inlineStr">
        <is>
          <t>SIM</t>
        </is>
      </c>
      <c r="O40" s="212" t="n"/>
      <c r="P40" s="212" t="inlineStr">
        <is>
          <t>FLT-2.0</t>
        </is>
      </c>
      <c r="Q40" s="212" t="inlineStr">
        <is>
          <t>LL</t>
        </is>
      </c>
      <c r="R40" s="212" t="inlineStr">
        <is>
          <t>LL</t>
        </is>
      </c>
      <c r="S40" s="212" t="inlineStr">
        <is>
          <t>Detachment</t>
        </is>
      </c>
      <c r="T40" s="212" t="inlineStr">
        <is>
          <t>Detachment</t>
        </is>
      </c>
      <c r="U40" s="212" t="inlineStr">
        <is>
          <t>Detachment</t>
        </is>
      </c>
      <c r="V40" s="212" t="inlineStr">
        <is>
          <t>Detachment</t>
        </is>
      </c>
      <c r="W40" s="212" t="inlineStr">
        <is>
          <t>Detachment</t>
        </is>
      </c>
      <c r="X40" s="212" t="n"/>
      <c r="Y40" s="212" t="n"/>
      <c r="Z40" s="212" t="n"/>
      <c r="AA40" s="212" t="inlineStr">
        <is>
          <t>SIM</t>
        </is>
      </c>
      <c r="AB40" s="212" t="inlineStr">
        <is>
          <t>FLT-1.5</t>
        </is>
      </c>
      <c r="AC40" s="212" t="inlineStr">
        <is>
          <t>OL</t>
        </is>
      </c>
      <c r="AD40" s="212" t="inlineStr">
        <is>
          <t>SIM</t>
        </is>
      </c>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inlineStr">
        <is>
          <t>LL</t>
        </is>
      </c>
      <c r="R41" s="217" t="inlineStr">
        <is>
          <t>LL</t>
        </is>
      </c>
      <c r="S41" s="217" t="inlineStr">
        <is>
          <t>Detachment</t>
        </is>
      </c>
      <c r="T41" s="217" t="inlineStr">
        <is>
          <t>Detachment</t>
        </is>
      </c>
      <c r="U41" s="217" t="inlineStr">
        <is>
          <t>Detachment</t>
        </is>
      </c>
      <c r="V41" s="217" t="inlineStr">
        <is>
          <t>Detachment</t>
        </is>
      </c>
      <c r="W41" s="217" t="inlineStr">
        <is>
          <t>Detachment</t>
        </is>
      </c>
      <c r="X41" s="217" t="n"/>
      <c r="Y41" s="217" t="n"/>
      <c r="Z41" s="217" t="n"/>
      <c r="AA41" s="217" t="n"/>
      <c r="AB41" s="217" t="n"/>
      <c r="AC41" s="217" t="inlineStr">
        <is>
          <t>OL</t>
        </is>
      </c>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inlineStr">
        <is>
          <t>FLT-1.5</t>
        </is>
      </c>
      <c r="G42" s="221" t="n"/>
      <c r="H42" s="221" t="n"/>
      <c r="I42" s="221" t="inlineStr">
        <is>
          <t>FLT-2.0</t>
        </is>
      </c>
      <c r="J42" s="221" t="n"/>
      <c r="K42" s="221" t="n"/>
      <c r="L42" s="221" t="n"/>
      <c r="M42" s="221" t="n"/>
      <c r="N42" s="221" t="inlineStr">
        <is>
          <t>FLT-1.5</t>
        </is>
      </c>
      <c r="O42" s="221" t="n"/>
      <c r="P42" s="221" t="inlineStr">
        <is>
          <t>OL</t>
        </is>
      </c>
      <c r="Q42" s="221" t="n"/>
      <c r="R42" s="221" t="n"/>
      <c r="S42" s="221" t="inlineStr">
        <is>
          <t>FLT-1.5</t>
        </is>
      </c>
      <c r="T42" s="221" t="n"/>
      <c r="U42" s="221" t="inlineStr">
        <is>
          <t>FLT-2.0</t>
        </is>
      </c>
      <c r="V42" s="221" t="n"/>
      <c r="W42" s="221" t="n"/>
      <c r="X42" s="221" t="n"/>
      <c r="Y42" s="221" t="n"/>
      <c r="Z42" s="221" t="inlineStr">
        <is>
          <t>LL</t>
        </is>
      </c>
      <c r="AA42" s="221" t="inlineStr">
        <is>
          <t>LL</t>
        </is>
      </c>
      <c r="AB42" s="221" t="inlineStr">
        <is>
          <t>LL</t>
        </is>
      </c>
      <c r="AC42" s="221" t="inlineStr">
        <is>
          <t>LL</t>
        </is>
      </c>
      <c r="AD42" s="221" t="inlineStr">
        <is>
          <t>LL</t>
        </is>
      </c>
      <c r="AE42" s="221" t="n"/>
      <c r="AF42" s="221" t="n"/>
      <c r="AG42" s="221" t="inlineStr">
        <is>
          <t>FLT-2.0</t>
        </is>
      </c>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inlineStr">
        <is>
          <t>P1</t>
        </is>
      </c>
      <c r="I43" s="226" t="n"/>
      <c r="J43" s="226" t="n"/>
      <c r="K43" s="226" t="n"/>
      <c r="L43" s="226" t="n"/>
      <c r="M43" s="226" t="inlineStr">
        <is>
          <t>P1</t>
        </is>
      </c>
      <c r="N43" s="226" t="n"/>
      <c r="O43" s="226" t="n"/>
      <c r="P43" s="226" t="inlineStr">
        <is>
          <t>OL</t>
        </is>
      </c>
      <c r="Q43" s="226" t="n"/>
      <c r="R43" s="226" t="n"/>
      <c r="S43" s="226" t="inlineStr">
        <is>
          <t>SIM</t>
        </is>
      </c>
      <c r="T43" s="226" t="n"/>
      <c r="U43" s="226" t="n"/>
      <c r="V43" s="226" t="n"/>
      <c r="W43" s="226" t="n"/>
      <c r="X43" s="226" t="n"/>
      <c r="Y43" s="226" t="n"/>
      <c r="Z43" s="226" t="inlineStr">
        <is>
          <t>LL</t>
        </is>
      </c>
      <c r="AA43" s="226" t="inlineStr">
        <is>
          <t>LL</t>
        </is>
      </c>
      <c r="AB43" s="226" t="inlineStr">
        <is>
          <t>LL</t>
        </is>
      </c>
      <c r="AC43" s="226" t="inlineStr">
        <is>
          <t>LL</t>
        </is>
      </c>
      <c r="AD43" s="226" t="inlineStr">
        <is>
          <t>LL</t>
        </is>
      </c>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inlineStr">
        <is>
          <t>OL</t>
        </is>
      </c>
      <c r="Q44" s="229" t="n"/>
      <c r="R44" s="229" t="n"/>
      <c r="S44" s="229" t="n"/>
      <c r="T44" s="229" t="n"/>
      <c r="U44" s="229" t="n"/>
      <c r="V44" s="229" t="inlineStr">
        <is>
          <t>NVG-2.0</t>
        </is>
      </c>
      <c r="W44" s="229" t="n"/>
      <c r="X44" s="229" t="n"/>
      <c r="Y44" s="229" t="n"/>
      <c r="Z44" s="229" t="inlineStr">
        <is>
          <t>LL</t>
        </is>
      </c>
      <c r="AA44" s="229" t="inlineStr">
        <is>
          <t>LL</t>
        </is>
      </c>
      <c r="AB44" s="229" t="inlineStr">
        <is>
          <t>LL</t>
        </is>
      </c>
      <c r="AC44" s="229" t="inlineStr">
        <is>
          <t>LL</t>
        </is>
      </c>
      <c r="AD44" s="229" t="inlineStr">
        <is>
          <t>LL</t>
        </is>
      </c>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199">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199">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199">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199">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199">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199">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199">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199">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199">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199">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199">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199">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199">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199">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199">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199">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199">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199">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199">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199">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199">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199">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199">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199">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199">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199">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199">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199">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199">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199">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idden="1"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idden="1"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idden="1"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2026-10-22T15:53:44Z</dcterms:created>
  <dcterms:modified xmlns:dcterms="http://purl.org/dc/terms/" xmlns:xsi="http://www.w3.org/2001/XMLSchema-instance" xsi:type="dcterms:W3CDTF">2026-10-22T15:54:06Z</dcterms:modified>
</cp:coreProperties>
</file>