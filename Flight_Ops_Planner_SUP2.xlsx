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'Jan'!$A$26:$A$206</definedName>
    <definedName name="_xlnm.Print_Titles" localSheetId="17">'Jan'!$4:$5</definedName>
    <definedName name="_xlnm._FilterDatabase" localSheetId="18" hidden="1">'Feb'!$A$26:$A$206</definedName>
    <definedName name="_xlnm.Print_Titles" localSheetId="18">'Feb'!$4:$5</definedName>
    <definedName name="_xlnm._FilterDatabase" localSheetId="19" hidden="1">'Mar'!$A$26:$A$206</definedName>
    <definedName name="_xlnm.Print_Titles" localSheetId="19">'Mar'!$4:$5</definedName>
    <definedName name="_xlnm._FilterDatabase" localSheetId="20" hidden="1">'Apr'!$A$26:$A$206</definedName>
    <definedName name="_xlnm.Print_Titles" localSheetId="20">'Apr'!$4:$5</definedName>
    <definedName name="_xlnm._FilterDatabase" localSheetId="21" hidden="1">'May'!$A$26:$A$206</definedName>
    <definedName name="_xlnm.Print_Titles" localSheetId="21">'May'!$4:$5</definedName>
    <definedName name="_xlnm._FilterDatabase" localSheetId="22" hidden="1">'Jun'!$A$26:$A$206</definedName>
    <definedName name="_xlnm.Print_Titles" localSheetId="22">'Jun'!$4:$5</definedName>
    <definedName name="_xlnm._FilterDatabase" localSheetId="23" hidden="1">'Jul'!$A$26:$A$206</definedName>
    <definedName name="_xlnm.Print_Titles" localSheetId="23">'Jul'!$4:$5</definedName>
    <definedName name="_xlnm._FilterDatabase" localSheetId="24" hidden="1">'Aug'!$A$26:$A$206</definedName>
    <definedName name="_xlnm.Print_Titles" localSheetId="24">'Aug'!$4:$5</definedName>
    <definedName name="_xlnm._FilterDatabase" localSheetId="25" hidden="1">'Sep'!$A$26:$A$206</definedName>
    <definedName name="_xlnm.Print_Titles" localSheetId="25">'Sep'!$4:$5</definedName>
    <definedName name="_xlnm._FilterDatabase" localSheetId="26" hidden="1">'Oct'!$A$26:$A$206</definedName>
    <definedName name="_xlnm.Print_Titles" localSheetId="26">'Oct'!$4:$5</definedName>
    <definedName name="_xlnm._FilterDatabase" localSheetId="27" hidden="1">'Nov'!$A$26:$A$206</definedName>
    <definedName name="_xlnm.Print_Titles" localSheetId="27">'Nov'!$4:$5</definedName>
    <definedName name="_xlnm._FilterDatabase" localSheetId="28" hidden="1">'Dec'!$A$26:$A$206</definedName>
    <definedName name="_xlnm.Print_Titles" localSheetId="28">'Dec'!$4:$5</definedName>
    <definedName name="_xlnm._FilterDatabase" localSheetId="29" hidden="1">'Jan (next year)'!$A$26:$A$206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6">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49" fillId="3" borderId="1" applyAlignment="1" pivotButton="0" quotePrefix="0" xfId="0">
      <alignment horizontal="center" vertical="center" wrapText="1"/>
    </xf>
    <xf numFmtId="0" fontId="49" fillId="3" borderId="1" applyAlignment="1" pivotButton="0" quotePrefix="0" xfId="0">
      <alignment horizontal="left" vertical="center" indent="1"/>
    </xf>
    <xf numFmtId="0" fontId="50" fillId="21" borderId="0" applyAlignment="1" pivotButton="0" quotePrefix="0" xfId="0">
      <alignment horizontal="center" vertical="center" wrapText="1"/>
    </xf>
    <xf numFmtId="0" fontId="50" fillId="28" borderId="0" applyAlignment="1" pivotButton="0" quotePrefix="0" xfId="0">
      <alignment horizontal="center" vertical="center" wrapText="1"/>
    </xf>
    <xf numFmtId="0" fontId="51"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2" fillId="31" borderId="4" applyAlignment="1" pivotButton="0" quotePrefix="0" xfId="0">
      <alignment horizontal="left" vertical="center" indent="1"/>
    </xf>
    <xf numFmtId="173" fontId="53" fillId="31" borderId="4" applyAlignment="1" pivotButton="0" quotePrefix="0" xfId="0">
      <alignment horizontal="left" vertical="center" indent="1"/>
    </xf>
    <xf numFmtId="1" fontId="54" fillId="31" borderId="4" applyAlignment="1" pivotButton="0" quotePrefix="0" xfId="0">
      <alignment horizontal="left" vertical="center" indent="1"/>
    </xf>
    <xf numFmtId="1" fontId="55" fillId="31" borderId="29" applyAlignment="1" pivotButton="0" quotePrefix="0" xfId="0">
      <alignment horizontal="left" vertical="center" indent="1"/>
    </xf>
    <xf numFmtId="0" fontId="0" fillId="31" borderId="31" pivotButton="0" quotePrefix="0" xfId="0"/>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8" fillId="0" borderId="1" pivotButton="0" quotePrefix="0" xfId="0"/>
    <xf numFmtId="0" fontId="46" fillId="0" borderId="1" pivotButton="0" quotePrefix="0" xfId="0"/>
    <xf numFmtId="0" fontId="59"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0"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8" fillId="24" borderId="1" pivotButton="0" quotePrefix="0" xfId="0"/>
    <xf numFmtId="0" fontId="46" fillId="24" borderId="1" pivotButton="0" quotePrefix="0" xfId="0"/>
    <xf numFmtId="0" fontId="59"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8" fillId="4" borderId="1" pivotButton="0" quotePrefix="0" xfId="0"/>
    <xf numFmtId="0" fontId="46" fillId="4" borderId="1" pivotButton="0" quotePrefix="0" xfId="0"/>
    <xf numFmtId="0" fontId="59"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1" fillId="0" borderId="1" pivotButton="0" quotePrefix="0" xfId="0"/>
    <xf numFmtId="169" fontId="62" fillId="0" borderId="1" applyAlignment="1" pivotButton="0" quotePrefix="0" xfId="0">
      <alignment horizontal="center" vertical="center" wrapText="1"/>
    </xf>
    <xf numFmtId="166" fontId="62" fillId="0" borderId="1" applyAlignment="1" pivotButton="0" quotePrefix="0" xfId="0">
      <alignment horizontal="center" vertical="center" wrapText="1"/>
    </xf>
    <xf numFmtId="0" fontId="47"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10" fillId="3" borderId="1" pivotButton="0" quotePrefix="0" xfId="0"/>
    <xf numFmtId="0" fontId="63"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2" fillId="31" borderId="29" applyAlignment="1" pivotButton="0" quotePrefix="0" xfId="0">
      <alignment horizontal="left" vertical="center" indent="1"/>
    </xf>
    <xf numFmtId="1" fontId="55" fillId="31" borderId="4" applyAlignment="1" pivotButton="0" quotePrefix="0" xfId="0">
      <alignment horizontal="left" vertical="center" indent="1"/>
    </xf>
    <xf numFmtId="1" fontId="56"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5"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7" fillId="31" borderId="19" applyAlignment="1" pivotButton="0" quotePrefix="0" xfId="0">
      <alignment horizontal="center" vertical="center" wrapText="1"/>
    </xf>
    <xf numFmtId="166" fontId="47"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170" fontId="24" fillId="31" borderId="21" applyAlignment="1" pivotButton="0" quotePrefix="0" xfId="0">
      <alignment horizontal="center" vertical="center" shrinkToFit="1"/>
    </xf>
    <xf numFmtId="0" fontId="11" fillId="31" borderId="21" applyAlignment="1" pivotButton="0" quotePrefix="0" xfId="0">
      <alignment horizontal="left" vertical="top" shrinkToFit="1" indent="1"/>
    </xf>
    <xf numFmtId="0" fontId="37" fillId="25" borderId="21" applyAlignment="1" pivotButton="0" quotePrefix="0" xfId="0">
      <alignment horizontal="center" vertical="center" wrapText="1"/>
    </xf>
    <xf numFmtId="0" fontId="46" fillId="31"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7" fillId="24" borderId="19" applyAlignment="1" pivotButton="0" quotePrefix="0" xfId="0">
      <alignment horizontal="center" vertical="center" wrapText="1"/>
    </xf>
    <xf numFmtId="166" fontId="47"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170" fontId="24" fillId="24" borderId="21" applyAlignment="1" pivotButton="0" quotePrefix="0" xfId="0">
      <alignment horizontal="center" vertical="center" shrinkToFit="1"/>
    </xf>
    <xf numFmtId="0" fontId="11" fillId="24" borderId="21" applyAlignment="1" pivotButton="0" quotePrefix="0" xfId="0">
      <alignment horizontal="left" vertical="top" shrinkToFit="1" indent="1"/>
    </xf>
    <xf numFmtId="0" fontId="46" fillId="24" borderId="21" applyAlignment="1" pivotButton="0" quotePrefix="0" xfId="0">
      <alignment horizontal="center" vertical="center" shrinkToFit="1"/>
    </xf>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7" fillId="4" borderId="24" applyAlignment="1" pivotButton="0" quotePrefix="0" xfId="0">
      <alignment horizontal="center" vertical="center" wrapText="1"/>
    </xf>
    <xf numFmtId="166" fontId="47"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170" fontId="24" fillId="4" borderId="21" applyAlignment="1" pivotButton="0" quotePrefix="0" xfId="0">
      <alignment horizontal="center" vertical="center" shrinkToFit="1"/>
    </xf>
    <xf numFmtId="0" fontId="11" fillId="4" borderId="21" applyAlignment="1" pivotButton="0" quotePrefix="0" xfId="0">
      <alignment horizontal="left" vertical="top" shrinkToFit="1" indent="1"/>
    </xf>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7" fillId="4" borderId="19" applyAlignment="1" pivotButton="0" quotePrefix="0" xfId="0">
      <alignment horizontal="center" vertical="center" wrapText="1"/>
    </xf>
    <xf numFmtId="166" fontId="47"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8"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SUP 2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2</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SUP 2</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hidden="1">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SUP 2</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IF(OR($B11="",NOT(AND($A$5&gt;=DATE(PlanYear,1,1),$A$5&lt;=DATE(PlanYear+1,1,31)))),"",INDEX({chooser},{3 * i + s + 1},DAY($A$5))&amp;"")</f>
        <v/>
      </c>
      <c r="E11" s="81">
        <f>IF(OR($B11="",NOT(AND($A$5&gt;=DATE(PlanYear,1,1),$A$5&lt;=DATE(PlanYear+1,1,31)))),"",INDEX({chooser},{3 * i + s + 1},DAY($A$5))&amp;"")</f>
        <v/>
      </c>
      <c r="F11" s="81">
        <f>IF(OR($B11="",NOT(AND($A$5&gt;=DATE(PlanYear,1,1),$A$5&lt;=DATE(PlanYear+1,1,31)))),"",INDEX({chooser},{3 * i + s + 1},DAY($A$5))&amp;"")</f>
        <v/>
      </c>
    </row>
    <row r="12">
      <c r="A12" s="38">
        <f>IF(Roster!$B$7="","",Roster!$B$7)</f>
        <v/>
      </c>
      <c r="B12" s="39">
        <f>IF(Roster!$C$7="","",Roster!$C$7)</f>
        <v/>
      </c>
      <c r="C12" s="40">
        <f>IF(Roster!$C$7="","",Roster!$F$7&amp;IF(OR(Roster!$G$7="SANS",Roster!$G$7="NSMEN")," | "&amp;Roster!$G$7,""))</f>
        <v/>
      </c>
      <c r="D12" s="81">
        <f>IF(OR($B12="",NOT(AND($A$5&gt;=DATE(PlanYear,1,1),$A$5&lt;=DATE(PlanYear+1,1,31)))),"",INDEX({chooser},{3 * i + s + 1},DAY($A$5))&amp;"")</f>
        <v/>
      </c>
      <c r="E12" s="81">
        <f>IF(OR($B12="",NOT(AND($A$5&gt;=DATE(PlanYear,1,1),$A$5&lt;=DATE(PlanYear+1,1,31)))),"",INDEX({chooser},{3 * i + s + 1},DAY($A$5))&amp;"")</f>
        <v/>
      </c>
      <c r="F12" s="81">
        <f>IF(OR($B12="",NOT(AND($A$5&gt;=DATE(PlanYear,1,1),$A$5&lt;=DATE(PlanYear+1,1,31)))),"",INDEX({chooser},{3 * i + s + 1},DAY($A$5))&amp;"")</f>
        <v/>
      </c>
    </row>
    <row r="13">
      <c r="A13" s="38">
        <f>IF(Roster!$B$8="","",Roster!$B$8)</f>
        <v/>
      </c>
      <c r="B13" s="39">
        <f>IF(Roster!$C$8="","",Roster!$C$8)</f>
        <v/>
      </c>
      <c r="C13" s="40">
        <f>IF(Roster!$C$8="","",Roster!$F$8&amp;IF(OR(Roster!$G$8="SANS",Roster!$G$8="NSMEN")," | "&amp;Roster!$G$8,""))</f>
        <v/>
      </c>
      <c r="D13" s="81">
        <f>IF(OR($B13="",NOT(AND($A$5&gt;=DATE(PlanYear,1,1),$A$5&lt;=DATE(PlanYear+1,1,31)))),"",INDEX({chooser},{3 * i + s + 1},DAY($A$5))&amp;"")</f>
        <v/>
      </c>
      <c r="E13" s="81">
        <f>IF(OR($B13="",NOT(AND($A$5&gt;=DATE(PlanYear,1,1),$A$5&lt;=DATE(PlanYear+1,1,31)))),"",INDEX({chooser},{3 * i + s + 1},DAY($A$5))&amp;"")</f>
        <v/>
      </c>
      <c r="F13" s="81">
        <f>IF(OR($B13="",NOT(AND($A$5&gt;=DATE(PlanYear,1,1),$A$5&lt;=DATE(PlanYear+1,1,31)))),"",INDEX({chooser},{3 * i + s + 1},DAY($A$5))&amp;"")</f>
        <v/>
      </c>
    </row>
    <row r="14">
      <c r="A14" s="38">
        <f>IF(Roster!$B$9="","",Roster!$B$9)</f>
        <v/>
      </c>
      <c r="B14" s="39">
        <f>IF(Roster!$C$9="","",Roster!$C$9)</f>
        <v/>
      </c>
      <c r="C14" s="40">
        <f>IF(Roster!$C$9="","",Roster!$F$9&amp;IF(OR(Roster!$G$9="SANS",Roster!$G$9="NSMEN")," | "&amp;Roster!$G$9,""))</f>
        <v/>
      </c>
      <c r="D14" s="81">
        <f>IF(OR($B14="",NOT(AND($A$5&gt;=DATE(PlanYear,1,1),$A$5&lt;=DATE(PlanYear+1,1,31)))),"",INDEX({chooser},{3 * i + s + 1},DAY($A$5))&amp;"")</f>
        <v/>
      </c>
      <c r="E14" s="81">
        <f>IF(OR($B14="",NOT(AND($A$5&gt;=DATE(PlanYear,1,1),$A$5&lt;=DATE(PlanYear+1,1,31)))),"",INDEX({chooser},{3 * i + s + 1},DAY($A$5))&amp;"")</f>
        <v/>
      </c>
      <c r="F14" s="81">
        <f>IF(OR($B14="",NOT(AND($A$5&gt;=DATE(PlanYear,1,1),$A$5&lt;=DATE(PlanYear+1,1,31)))),"",INDEX({chooser},{3 * i + s + 1},DAY($A$5))&amp;"")</f>
        <v/>
      </c>
    </row>
    <row r="15">
      <c r="A15" s="38">
        <f>IF(Roster!$B$10="","",Roster!$B$10)</f>
        <v/>
      </c>
      <c r="B15" s="39">
        <f>IF(Roster!$C$10="","",Roster!$C$10)</f>
        <v/>
      </c>
      <c r="C15" s="40">
        <f>IF(Roster!$C$10="","",Roster!$F$10&amp;IF(OR(Roster!$G$10="SANS",Roster!$G$10="NSMEN")," | "&amp;Roster!$G$10,""))</f>
        <v/>
      </c>
      <c r="D15" s="81">
        <f>IF(OR($B15="",NOT(AND($A$5&gt;=DATE(PlanYear,1,1),$A$5&lt;=DATE(PlanYear+1,1,31)))),"",INDEX({chooser},{3 * i + s + 1},DAY($A$5))&amp;"")</f>
        <v/>
      </c>
      <c r="E15" s="81">
        <f>IF(OR($B15="",NOT(AND($A$5&gt;=DATE(PlanYear,1,1),$A$5&lt;=DATE(PlanYear+1,1,31)))),"",INDEX({chooser},{3 * i + s + 1},DAY($A$5))&amp;"")</f>
        <v/>
      </c>
      <c r="F15" s="81">
        <f>IF(OR($B15="",NOT(AND($A$5&gt;=DATE(PlanYear,1,1),$A$5&lt;=DATE(PlanYear+1,1,31)))),"",INDEX({chooser},{3 * i + s + 1},DAY($A$5))&amp;"")</f>
        <v/>
      </c>
    </row>
    <row r="16">
      <c r="A16" s="38">
        <f>IF(Roster!$B$11="","",Roster!$B$11)</f>
        <v/>
      </c>
      <c r="B16" s="39">
        <f>IF(Roster!$C$11="","",Roster!$C$11)</f>
        <v/>
      </c>
      <c r="C16" s="40">
        <f>IF(Roster!$C$11="","",Roster!$F$11&amp;IF(OR(Roster!$G$11="SANS",Roster!$G$11="NSMEN")," | "&amp;Roster!$G$11,""))</f>
        <v/>
      </c>
      <c r="D16" s="81">
        <f>IF(OR($B16="",NOT(AND($A$5&gt;=DATE(PlanYear,1,1),$A$5&lt;=DATE(PlanYear+1,1,31)))),"",INDEX({chooser},{3 * i + s + 1},DAY($A$5))&amp;"")</f>
        <v/>
      </c>
      <c r="E16" s="81">
        <f>IF(OR($B16="",NOT(AND($A$5&gt;=DATE(PlanYear,1,1),$A$5&lt;=DATE(PlanYear+1,1,31)))),"",INDEX({chooser},{3 * i + s + 1},DAY($A$5))&amp;"")</f>
        <v/>
      </c>
      <c r="F16" s="81">
        <f>IF(OR($B16="",NOT(AND($A$5&gt;=DATE(PlanYear,1,1),$A$5&lt;=DATE(PlanYear+1,1,31)))),"",INDEX({chooser},{3 * i + s + 1},DAY($A$5))&amp;"")</f>
        <v/>
      </c>
    </row>
    <row r="17" hidden="1">
      <c r="A17" s="38">
        <f>IF(Roster!$B$12="","",Roster!$B$12)</f>
        <v/>
      </c>
      <c r="B17" s="39">
        <f>IF(Roster!$C$12="","",Roster!$C$12)</f>
        <v/>
      </c>
      <c r="C17" s="40">
        <f>IF(Roster!$C$12="","",Roster!$F$12&amp;IF(OR(Roster!$G$12="SANS",Roster!$G$12="NSMEN")," | "&amp;Roster!$G$12,""))</f>
        <v/>
      </c>
      <c r="D17" s="81">
        <f>IF(OR($B17="",NOT(AND($A$5&gt;=DATE(PlanYear,1,1),$A$5&lt;=DATE(PlanYear+1,1,31)))),"",INDEX({chooser},{3 * i + s + 1},DAY($A$5))&amp;"")</f>
        <v/>
      </c>
      <c r="E17" s="81">
        <f>IF(OR($B17="",NOT(AND($A$5&gt;=DATE(PlanYear,1,1),$A$5&lt;=DATE(PlanYear+1,1,31)))),"",INDEX({chooser},{3 * i + s + 1},DAY($A$5))&amp;"")</f>
        <v/>
      </c>
      <c r="F17" s="81">
        <f>IF(OR($B17="",NOT(AND($A$5&gt;=DATE(PlanYear,1,1),$A$5&lt;=DATE(PlanYear+1,1,31)))),"",INDEX({chooser},{3 * i + s + 1},DAY($A$5))&amp;"")</f>
        <v/>
      </c>
    </row>
    <row r="18" hidden="1">
      <c r="A18" s="38">
        <f>IF(Roster!$B$13="","",Roster!$B$13)</f>
        <v/>
      </c>
      <c r="B18" s="39">
        <f>IF(Roster!$C$13="","",Roster!$C$13)</f>
        <v/>
      </c>
      <c r="C18" s="40">
        <f>IF(Roster!$C$13="","",Roster!$F$13&amp;IF(OR(Roster!$G$13="SANS",Roster!$G$13="NSMEN")," | "&amp;Roster!$G$13,""))</f>
        <v/>
      </c>
      <c r="D18" s="81">
        <f>IF(OR($B18="",NOT(AND($A$5&gt;=DATE(PlanYear,1,1),$A$5&lt;=DATE(PlanYear+1,1,31)))),"",INDEX({chooser},{3 * i + s + 1},DAY($A$5))&amp;"")</f>
        <v/>
      </c>
      <c r="E18" s="81">
        <f>IF(OR($B18="",NOT(AND($A$5&gt;=DATE(PlanYear,1,1),$A$5&lt;=DATE(PlanYear+1,1,31)))),"",INDEX({chooser},{3 * i + s + 1},DAY($A$5))&amp;"")</f>
        <v/>
      </c>
      <c r="F18" s="81">
        <f>IF(OR($B18="",NOT(AND($A$5&gt;=DATE(PlanYear,1,1),$A$5&lt;=DATE(PlanYear+1,1,31)))),"",INDEX({chooser},{3 * i + s + 1},DAY($A$5))&amp;"")</f>
        <v/>
      </c>
    </row>
    <row r="19" hidden="1">
      <c r="A19" s="38">
        <f>IF(Roster!$B$14="","",Roster!$B$14)</f>
        <v/>
      </c>
      <c r="B19" s="39">
        <f>IF(Roster!$C$14="","",Roster!$C$14)</f>
        <v/>
      </c>
      <c r="C19" s="40">
        <f>IF(Roster!$C$14="","",Roster!$F$14&amp;IF(OR(Roster!$G$14="SANS",Roster!$G$14="NSMEN")," | "&amp;Roster!$G$14,""))</f>
        <v/>
      </c>
      <c r="D19" s="81">
        <f>IF(OR($B19="",NOT(AND($A$5&gt;=DATE(PlanYear,1,1),$A$5&lt;=DATE(PlanYear+1,1,31)))),"",INDEX({chooser},{3 * i + s + 1},DAY($A$5))&amp;"")</f>
        <v/>
      </c>
      <c r="E19" s="81">
        <f>IF(OR($B19="",NOT(AND($A$5&gt;=DATE(PlanYear,1,1),$A$5&lt;=DATE(PlanYear+1,1,31)))),"",INDEX({chooser},{3 * i + s + 1},DAY($A$5))&amp;"")</f>
        <v/>
      </c>
      <c r="F19" s="81">
        <f>IF(OR($B19="",NOT(AND($A$5&gt;=DATE(PlanYear,1,1),$A$5&lt;=DATE(PlanYear+1,1,31)))),"",INDEX({chooser},{3 * i + s + 1},DAY($A$5))&amp;"")</f>
        <v/>
      </c>
    </row>
    <row r="20" hidden="1">
      <c r="A20" s="38">
        <f>IF(Roster!$B$15="","",Roster!$B$15)</f>
        <v/>
      </c>
      <c r="B20" s="39">
        <f>IF(Roster!$C$15="","",Roster!$C$15)</f>
        <v/>
      </c>
      <c r="C20" s="40">
        <f>IF(Roster!$C$15="","",Roster!$F$15&amp;IF(OR(Roster!$G$15="SANS",Roster!$G$15="NSMEN")," | "&amp;Roster!$G$15,""))</f>
        <v/>
      </c>
      <c r="D20" s="81">
        <f>IF(OR($B20="",NOT(AND($A$5&gt;=DATE(PlanYear,1,1),$A$5&lt;=DATE(PlanYear+1,1,31)))),"",INDEX({chooser},{3 * i + s + 1},DAY($A$5))&amp;"")</f>
        <v/>
      </c>
      <c r="E20" s="81">
        <f>IF(OR($B20="",NOT(AND($A$5&gt;=DATE(PlanYear,1,1),$A$5&lt;=DATE(PlanYear+1,1,31)))),"",INDEX({chooser},{3 * i + s + 1},DAY($A$5))&amp;"")</f>
        <v/>
      </c>
      <c r="F20" s="81">
        <f>IF(OR($B20="",NOT(AND($A$5&gt;=DATE(PlanYear,1,1),$A$5&lt;=DATE(PlanYear+1,1,31)))),"",INDEX({chooser},{3 * i + s + 1},DAY($A$5))&amp;"")</f>
        <v/>
      </c>
    </row>
    <row r="21" hidden="1">
      <c r="A21" s="38">
        <f>IF(Roster!$B$16="","",Roster!$B$16)</f>
        <v/>
      </c>
      <c r="B21" s="39">
        <f>IF(Roster!$C$16="","",Roster!$C$16)</f>
        <v/>
      </c>
      <c r="C21" s="40">
        <f>IF(Roster!$C$16="","",Roster!$F$16&amp;IF(OR(Roster!$G$16="SANS",Roster!$G$16="NSMEN")," | "&amp;Roster!$G$16,""))</f>
        <v/>
      </c>
      <c r="D21" s="81">
        <f>IF(OR($B21="",NOT(AND($A$5&gt;=DATE(PlanYear,1,1),$A$5&lt;=DATE(PlanYear+1,1,31)))),"",INDEX({chooser},{3 * i + s + 1},DAY($A$5))&amp;"")</f>
        <v/>
      </c>
      <c r="E21" s="81">
        <f>IF(OR($B21="",NOT(AND($A$5&gt;=DATE(PlanYear,1,1),$A$5&lt;=DATE(PlanYear+1,1,31)))),"",INDEX({chooser},{3 * i + s + 1},DAY($A$5))&amp;"")</f>
        <v/>
      </c>
      <c r="F21" s="81">
        <f>IF(OR($B21="",NOT(AND($A$5&gt;=DATE(PlanYear,1,1),$A$5&lt;=DATE(PlanYear+1,1,31)))),"",INDEX({chooser},{3 * i + s + 1},DAY($A$5))&amp;"")</f>
        <v/>
      </c>
    </row>
    <row r="22" hidden="1">
      <c r="A22" s="38">
        <f>IF(Roster!$B$17="","",Roster!$B$17)</f>
        <v/>
      </c>
      <c r="B22" s="39">
        <f>IF(Roster!$C$17="","",Roster!$C$17)</f>
        <v/>
      </c>
      <c r="C22" s="40">
        <f>IF(Roster!$C$17="","",Roster!$F$17&amp;IF(OR(Roster!$G$17="SANS",Roster!$G$17="NSMEN")," | "&amp;Roster!$G$17,""))</f>
        <v/>
      </c>
      <c r="D22" s="81">
        <f>IF(OR($B22="",NOT(AND($A$5&gt;=DATE(PlanYear,1,1),$A$5&lt;=DATE(PlanYear+1,1,31)))),"",INDEX({chooser},{3 * i + s + 1},DAY($A$5))&amp;"")</f>
        <v/>
      </c>
      <c r="E22" s="81">
        <f>IF(OR($B22="",NOT(AND($A$5&gt;=DATE(PlanYear,1,1),$A$5&lt;=DATE(PlanYear+1,1,31)))),"",INDEX({chooser},{3 * i + s + 1},DAY($A$5))&amp;"")</f>
        <v/>
      </c>
      <c r="F22" s="81">
        <f>IF(OR($B22="",NOT(AND($A$5&gt;=DATE(PlanYear,1,1),$A$5&lt;=DATE(PlanYear+1,1,31)))),"",INDEX({chooser},{3 * i + s + 1},DAY($A$5))&amp;"")</f>
        <v/>
      </c>
    </row>
    <row r="23" hidden="1">
      <c r="A23" s="38">
        <f>IF(Roster!$B$18="","",Roster!$B$18)</f>
        <v/>
      </c>
      <c r="B23" s="39">
        <f>IF(Roster!$C$18="","",Roster!$C$18)</f>
        <v/>
      </c>
      <c r="C23" s="40">
        <f>IF(Roster!$C$18="","",Roster!$F$18&amp;IF(OR(Roster!$G$18="SANS",Roster!$G$18="NSMEN")," | "&amp;Roster!$G$18,""))</f>
        <v/>
      </c>
      <c r="D23" s="81">
        <f>IF(OR($B23="",NOT(AND($A$5&gt;=DATE(PlanYear,1,1),$A$5&lt;=DATE(PlanYear+1,1,31)))),"",INDEX({chooser},{3 * i + s + 1},DAY($A$5))&amp;"")</f>
        <v/>
      </c>
      <c r="E23" s="81">
        <f>IF(OR($B23="",NOT(AND($A$5&gt;=DATE(PlanYear,1,1),$A$5&lt;=DATE(PlanYear+1,1,31)))),"",INDEX({chooser},{3 * i + s + 1},DAY($A$5))&amp;"")</f>
        <v/>
      </c>
      <c r="F23" s="81">
        <f>IF(OR($B23="",NOT(AND($A$5&gt;=DATE(PlanYear,1,1),$A$5&lt;=DATE(PlanYear+1,1,31)))),"",INDEX({chooser},{3 * i + s + 1},DAY($A$5))&amp;"")</f>
        <v/>
      </c>
    </row>
    <row r="24" hidden="1">
      <c r="A24" s="38">
        <f>IF(Roster!$B$19="","",Roster!$B$19)</f>
        <v/>
      </c>
      <c r="B24" s="39">
        <f>IF(Roster!$C$19="","",Roster!$C$19)</f>
        <v/>
      </c>
      <c r="C24" s="40">
        <f>IF(Roster!$C$19="","",Roster!$F$19&amp;IF(OR(Roster!$G$19="SANS",Roster!$G$19="NSMEN")," | "&amp;Roster!$G$19,""))</f>
        <v/>
      </c>
      <c r="D24" s="81">
        <f>IF(OR($B24="",NOT(AND($A$5&gt;=DATE(PlanYear,1,1),$A$5&lt;=DATE(PlanYear+1,1,31)))),"",INDEX({chooser},{3 * i + s + 1},DAY($A$5))&amp;"")</f>
        <v/>
      </c>
      <c r="E24" s="81">
        <f>IF(OR($B24="",NOT(AND($A$5&gt;=DATE(PlanYear,1,1),$A$5&lt;=DATE(PlanYear+1,1,31)))),"",INDEX({chooser},{3 * i + s + 1},DAY($A$5))&amp;"")</f>
        <v/>
      </c>
      <c r="F24" s="81">
        <f>IF(OR($B24="",NOT(AND($A$5&gt;=DATE(PlanYear,1,1),$A$5&lt;=DATE(PlanYear+1,1,31)))),"",INDEX({chooser},{3 * i + s + 1},DAY($A$5))&amp;"")</f>
        <v/>
      </c>
    </row>
    <row r="25" hidden="1">
      <c r="A25" s="38">
        <f>IF(Roster!$B$20="","",Roster!$B$20)</f>
        <v/>
      </c>
      <c r="B25" s="39">
        <f>IF(Roster!$C$20="","",Roster!$C$20)</f>
        <v/>
      </c>
      <c r="C25" s="40">
        <f>IF(Roster!$C$20="","",Roster!$F$20&amp;IF(OR(Roster!$G$20="SANS",Roster!$G$20="NSMEN")," | "&amp;Roster!$G$20,""))</f>
        <v/>
      </c>
      <c r="D25" s="81">
        <f>IF(OR($B25="",NOT(AND($A$5&gt;=DATE(PlanYear,1,1),$A$5&lt;=DATE(PlanYear+1,1,31)))),"",INDEX({chooser},{3 * i + s + 1},DAY($A$5))&amp;"")</f>
        <v/>
      </c>
      <c r="E25" s="81">
        <f>IF(OR($B25="",NOT(AND($A$5&gt;=DATE(PlanYear,1,1),$A$5&lt;=DATE(PlanYear+1,1,31)))),"",INDEX({chooser},{3 * i + s + 1},DAY($A$5))&amp;"")</f>
        <v/>
      </c>
      <c r="F25" s="81">
        <f>IF(OR($B25="",NOT(AND($A$5&gt;=DATE(PlanYear,1,1),$A$5&lt;=DATE(PlanYear+1,1,31)))),"",INDEX({chooser},{3 * i + s + 1},DAY($A$5))&amp;"")</f>
        <v/>
      </c>
    </row>
    <row r="26" hidden="1">
      <c r="A26" s="38">
        <f>IF(Roster!$B$21="","",Roster!$B$21)</f>
        <v/>
      </c>
      <c r="B26" s="39">
        <f>IF(Roster!$C$21="","",Roster!$C$21)</f>
        <v/>
      </c>
      <c r="C26" s="40">
        <f>IF(Roster!$C$21="","",Roster!$F$21&amp;IF(OR(Roster!$G$21="SANS",Roster!$G$21="NSMEN")," | "&amp;Roster!$G$21,""))</f>
        <v/>
      </c>
      <c r="D26" s="81">
        <f>IF(OR($B26="",NOT(AND($A$5&gt;=DATE(PlanYear,1,1),$A$5&lt;=DATE(PlanYear+1,1,31)))),"",INDEX({chooser},{3 * i + s + 1},DAY($A$5))&amp;"")</f>
        <v/>
      </c>
      <c r="E26" s="81">
        <f>IF(OR($B26="",NOT(AND($A$5&gt;=DATE(PlanYear,1,1),$A$5&lt;=DATE(PlanYear+1,1,31)))),"",INDEX({chooser},{3 * i + s + 1},DAY($A$5))&amp;"")</f>
        <v/>
      </c>
      <c r="F26" s="81">
        <f>IF(OR($B26="",NOT(AND($A$5&gt;=DATE(PlanYear,1,1),$A$5&lt;=DATE(PlanYear+1,1,31)))),"",INDEX({chooser},{3 * i + s + 1},DAY($A$5))&amp;"")</f>
        <v/>
      </c>
    </row>
    <row r="27" hidden="1">
      <c r="A27" s="38">
        <f>IF(Roster!$B$22="","",Roster!$B$22)</f>
        <v/>
      </c>
      <c r="B27" s="39">
        <f>IF(Roster!$C$22="","",Roster!$C$22)</f>
        <v/>
      </c>
      <c r="C27" s="40">
        <f>IF(Roster!$C$22="","",Roster!$F$22&amp;IF(OR(Roster!$G$22="SANS",Roster!$G$22="NSMEN")," | "&amp;Roster!$G$22,""))</f>
        <v/>
      </c>
      <c r="D27" s="81">
        <f>IF(OR($B27="",NOT(AND($A$5&gt;=DATE(PlanYear,1,1),$A$5&lt;=DATE(PlanYear+1,1,31)))),"",INDEX({chooser},{3 * i + s + 1},DAY($A$5))&amp;"")</f>
        <v/>
      </c>
      <c r="E27" s="81">
        <f>IF(OR($B27="",NOT(AND($A$5&gt;=DATE(PlanYear,1,1),$A$5&lt;=DATE(PlanYear+1,1,31)))),"",INDEX({chooser},{3 * i + s + 1},DAY($A$5))&amp;"")</f>
        <v/>
      </c>
      <c r="F27" s="81">
        <f>IF(OR($B27="",NOT(AND($A$5&gt;=DATE(PlanYear,1,1),$A$5&lt;=DATE(PlanYear+1,1,31)))),"",INDEX({chooser},{3 * i + s + 1},DAY($A$5))&amp;"")</f>
        <v/>
      </c>
    </row>
    <row r="28" hidden="1">
      <c r="A28" s="38">
        <f>IF(Roster!$B$23="","",Roster!$B$23)</f>
        <v/>
      </c>
      <c r="B28" s="39">
        <f>IF(Roster!$C$23="","",Roster!$C$23)</f>
        <v/>
      </c>
      <c r="C28" s="40">
        <f>IF(Roster!$C$23="","",Roster!$F$23&amp;IF(OR(Roster!$G$23="SANS",Roster!$G$23="NSMEN")," | "&amp;Roster!$G$23,""))</f>
        <v/>
      </c>
      <c r="D28" s="81">
        <f>IF(OR($B28="",NOT(AND($A$5&gt;=DATE(PlanYear,1,1),$A$5&lt;=DATE(PlanYear+1,1,31)))),"",INDEX({chooser},{3 * i + s + 1},DAY($A$5))&amp;"")</f>
        <v/>
      </c>
      <c r="E28" s="81">
        <f>IF(OR($B28="",NOT(AND($A$5&gt;=DATE(PlanYear,1,1),$A$5&lt;=DATE(PlanYear+1,1,31)))),"",INDEX({chooser},{3 * i + s + 1},DAY($A$5))&amp;"")</f>
        <v/>
      </c>
      <c r="F28" s="81">
        <f>IF(OR($B28="",NOT(AND($A$5&gt;=DATE(PlanYear,1,1),$A$5&lt;=DATE(PlanYear+1,1,31)))),"",INDEX({chooser},{3 * i + s + 1},DAY($A$5))&amp;"")</f>
        <v/>
      </c>
    </row>
    <row r="29" hidden="1">
      <c r="A29" s="38">
        <f>IF(Roster!$B$24="","",Roster!$B$24)</f>
        <v/>
      </c>
      <c r="B29" s="39">
        <f>IF(Roster!$C$24="","",Roster!$C$24)</f>
        <v/>
      </c>
      <c r="C29" s="40">
        <f>IF(Roster!$C$24="","",Roster!$F$24&amp;IF(OR(Roster!$G$24="SANS",Roster!$G$24="NSMEN")," | "&amp;Roster!$G$24,""))</f>
        <v/>
      </c>
      <c r="D29" s="81">
        <f>IF(OR($B29="",NOT(AND($A$5&gt;=DATE(PlanYear,1,1),$A$5&lt;=DATE(PlanYear+1,1,31)))),"",INDEX({chooser},{3 * i + s + 1},DAY($A$5))&amp;"")</f>
        <v/>
      </c>
      <c r="E29" s="81">
        <f>IF(OR($B29="",NOT(AND($A$5&gt;=DATE(PlanYear,1,1),$A$5&lt;=DATE(PlanYear+1,1,31)))),"",INDEX({chooser},{3 * i + s + 1},DAY($A$5))&amp;"")</f>
        <v/>
      </c>
      <c r="F29" s="81">
        <f>IF(OR($B29="",NOT(AND($A$5&gt;=DATE(PlanYear,1,1),$A$5&lt;=DATE(PlanYear+1,1,31)))),"",INDEX({chooser},{3 * i + s + 1},DAY($A$5))&amp;"")</f>
        <v/>
      </c>
    </row>
    <row r="30" hidden="1">
      <c r="A30" s="38">
        <f>IF(Roster!$B$25="","",Roster!$B$25)</f>
        <v/>
      </c>
      <c r="B30" s="39">
        <f>IF(Roster!$C$25="","",Roster!$C$25)</f>
        <v/>
      </c>
      <c r="C30" s="40">
        <f>IF(Roster!$C$25="","",Roster!$F$25&amp;IF(OR(Roster!$G$25="SANS",Roster!$G$25="NSMEN")," | "&amp;Roster!$G$25,""))</f>
        <v/>
      </c>
      <c r="D30" s="81">
        <f>IF(OR($B30="",NOT(AND($A$5&gt;=DATE(PlanYear,1,1),$A$5&lt;=DATE(PlanYear+1,1,31)))),"",INDEX({chooser},{3 * i + s + 1},DAY($A$5))&amp;"")</f>
        <v/>
      </c>
      <c r="E30" s="81">
        <f>IF(OR($B30="",NOT(AND($A$5&gt;=DATE(PlanYear,1,1),$A$5&lt;=DATE(PlanYear+1,1,31)))),"",INDEX({chooser},{3 * i + s + 1},DAY($A$5))&amp;"")</f>
        <v/>
      </c>
      <c r="F30" s="81">
        <f>IF(OR($B30="",NOT(AND($A$5&gt;=DATE(PlanYear,1,1),$A$5&lt;=DATE(PlanYear+1,1,31)))),"",INDEX({chooser},{3 * i + s + 1},DAY($A$5))&amp;"")</f>
        <v/>
      </c>
    </row>
    <row r="31" hidden="1">
      <c r="A31" s="38">
        <f>IF(Roster!$B$26="","",Roster!$B$26)</f>
        <v/>
      </c>
      <c r="B31" s="39">
        <f>IF(Roster!$C$26="","",Roster!$C$26)</f>
        <v/>
      </c>
      <c r="C31" s="40">
        <f>IF(Roster!$C$26="","",Roster!$F$26&amp;IF(OR(Roster!$G$26="SANS",Roster!$G$26="NSMEN")," | "&amp;Roster!$G$26,""))</f>
        <v/>
      </c>
      <c r="D31" s="81">
        <f>IF(OR($B31="",NOT(AND($A$5&gt;=DATE(PlanYear,1,1),$A$5&lt;=DATE(PlanYear+1,1,31)))),"",INDEX({chooser},{3 * i + s + 1},DAY($A$5))&amp;"")</f>
        <v/>
      </c>
      <c r="E31" s="81">
        <f>IF(OR($B31="",NOT(AND($A$5&gt;=DATE(PlanYear,1,1),$A$5&lt;=DATE(PlanYear+1,1,31)))),"",INDEX({chooser},{3 * i + s + 1},DAY($A$5))&amp;"")</f>
        <v/>
      </c>
      <c r="F31" s="81">
        <f>IF(OR($B31="",NOT(AND($A$5&gt;=DATE(PlanYear,1,1),$A$5&lt;=DATE(PlanYear+1,1,31)))),"",INDEX({chooser},{3 * i + s + 1},DAY($A$5))&amp;"")</f>
        <v/>
      </c>
    </row>
    <row r="32" hidden="1">
      <c r="A32" s="38">
        <f>IF(Roster!$B$27="","",Roster!$B$27)</f>
        <v/>
      </c>
      <c r="B32" s="39">
        <f>IF(Roster!$C$27="","",Roster!$C$27)</f>
        <v/>
      </c>
      <c r="C32" s="40">
        <f>IF(Roster!$C$27="","",Roster!$F$27&amp;IF(OR(Roster!$G$27="SANS",Roster!$G$27="NSMEN")," | "&amp;Roster!$G$27,""))</f>
        <v/>
      </c>
      <c r="D32" s="81">
        <f>IF(OR($B32="",NOT(AND($A$5&gt;=DATE(PlanYear,1,1),$A$5&lt;=DATE(PlanYear+1,1,31)))),"",INDEX({chooser},{3 * i + s + 1},DAY($A$5))&amp;"")</f>
        <v/>
      </c>
      <c r="E32" s="81">
        <f>IF(OR($B32="",NOT(AND($A$5&gt;=DATE(PlanYear,1,1),$A$5&lt;=DATE(PlanYear+1,1,31)))),"",INDEX({chooser},{3 * i + s + 1},DAY($A$5))&amp;"")</f>
        <v/>
      </c>
      <c r="F32" s="81">
        <f>IF(OR($B32="",NOT(AND($A$5&gt;=DATE(PlanYear,1,1),$A$5&lt;=DATE(PlanYear+1,1,31)))),"",INDEX({chooser},{3 * i + s + 1},DAY($A$5))&amp;"")</f>
        <v/>
      </c>
    </row>
    <row r="33" hidden="1">
      <c r="A33" s="38">
        <f>IF(Roster!$B$28="","",Roster!$B$28)</f>
        <v/>
      </c>
      <c r="B33" s="39">
        <f>IF(Roster!$C$28="","",Roster!$C$28)</f>
        <v/>
      </c>
      <c r="C33" s="40">
        <f>IF(Roster!$C$28="","",Roster!$F$28&amp;IF(OR(Roster!$G$28="SANS",Roster!$G$28="NSMEN")," | "&amp;Roster!$G$28,""))</f>
        <v/>
      </c>
      <c r="D33" s="81">
        <f>IF(OR($B33="",NOT(AND($A$5&gt;=DATE(PlanYear,1,1),$A$5&lt;=DATE(PlanYear+1,1,31)))),"",INDEX({chooser},{3 * i + s + 1},DAY($A$5))&amp;"")</f>
        <v/>
      </c>
      <c r="E33" s="81">
        <f>IF(OR($B33="",NOT(AND($A$5&gt;=DATE(PlanYear,1,1),$A$5&lt;=DATE(PlanYear+1,1,31)))),"",INDEX({chooser},{3 * i + s + 1},DAY($A$5))&amp;"")</f>
        <v/>
      </c>
      <c r="F33" s="81">
        <f>IF(OR($B33="",NOT(AND($A$5&gt;=DATE(PlanYear,1,1),$A$5&lt;=DATE(PlanYear+1,1,31)))),"",INDEX({chooser},{3 * i + s + 1},DAY($A$5))&amp;"")</f>
        <v/>
      </c>
    </row>
    <row r="34" hidden="1">
      <c r="A34" s="38">
        <f>IF(Roster!$B$29="","",Roster!$B$29)</f>
        <v/>
      </c>
      <c r="B34" s="39">
        <f>IF(Roster!$C$29="","",Roster!$C$29)</f>
        <v/>
      </c>
      <c r="C34" s="40">
        <f>IF(Roster!$C$29="","",Roster!$F$29&amp;IF(OR(Roster!$G$29="SANS",Roster!$G$29="NSMEN")," | "&amp;Roster!$G$29,""))</f>
        <v/>
      </c>
      <c r="D34" s="81">
        <f>IF(OR($B34="",NOT(AND($A$5&gt;=DATE(PlanYear,1,1),$A$5&lt;=DATE(PlanYear+1,1,31)))),"",INDEX({chooser},{3 * i + s + 1},DAY($A$5))&amp;"")</f>
        <v/>
      </c>
      <c r="E34" s="81">
        <f>IF(OR($B34="",NOT(AND($A$5&gt;=DATE(PlanYear,1,1),$A$5&lt;=DATE(PlanYear+1,1,31)))),"",INDEX({chooser},{3 * i + s + 1},DAY($A$5))&amp;"")</f>
        <v/>
      </c>
      <c r="F34" s="81">
        <f>IF(OR($B34="",NOT(AND($A$5&gt;=DATE(PlanYear,1,1),$A$5&lt;=DATE(PlanYear+1,1,31)))),"",INDEX({chooser},{3 * i + s + 1},DAY($A$5))&amp;"")</f>
        <v/>
      </c>
    </row>
    <row r="35" hidden="1">
      <c r="A35" s="38">
        <f>IF(Roster!$B$30="","",Roster!$B$30)</f>
        <v/>
      </c>
      <c r="B35" s="39">
        <f>IF(Roster!$C$30="","",Roster!$C$30)</f>
        <v/>
      </c>
      <c r="C35" s="40">
        <f>IF(Roster!$C$30="","",Roster!$F$30&amp;IF(OR(Roster!$G$30="SANS",Roster!$G$30="NSMEN")," | "&amp;Roster!$G$30,""))</f>
        <v/>
      </c>
      <c r="D35" s="81">
        <f>IF(OR($B35="",NOT(AND($A$5&gt;=DATE(PlanYear,1,1),$A$5&lt;=DATE(PlanYear+1,1,31)))),"",INDEX({chooser},{3 * i + s + 1},DAY($A$5))&amp;"")</f>
        <v/>
      </c>
      <c r="E35" s="81">
        <f>IF(OR($B35="",NOT(AND($A$5&gt;=DATE(PlanYear,1,1),$A$5&lt;=DATE(PlanYear+1,1,31)))),"",INDEX({chooser},{3 * i + s + 1},DAY($A$5))&amp;"")</f>
        <v/>
      </c>
      <c r="F35" s="81">
        <f>IF(OR($B35="",NOT(AND($A$5&gt;=DATE(PlanYear,1,1),$A$5&lt;=DATE(PlanYear+1,1,31)))),"",INDEX({chooser},{3 * i + s + 1},DAY($A$5))&amp;"")</f>
        <v/>
      </c>
    </row>
    <row r="36" hidden="1">
      <c r="A36" s="38">
        <f>IF(Roster!$B$31="","",Roster!$B$31)</f>
        <v/>
      </c>
      <c r="B36" s="39">
        <f>IF(Roster!$C$31="","",Roster!$C$31)</f>
        <v/>
      </c>
      <c r="C36" s="40">
        <f>IF(Roster!$C$31="","",Roster!$F$31&amp;IF(OR(Roster!$G$31="SANS",Roster!$G$31="NSMEN")," | "&amp;Roster!$G$31,""))</f>
        <v/>
      </c>
      <c r="D36" s="81">
        <f>IF(OR($B36="",NOT(AND($A$5&gt;=DATE(PlanYear,1,1),$A$5&lt;=DATE(PlanYear+1,1,31)))),"",INDEX({chooser},{3 * i + s + 1},DAY($A$5))&amp;"")</f>
        <v/>
      </c>
      <c r="E36" s="81">
        <f>IF(OR($B36="",NOT(AND($A$5&gt;=DATE(PlanYear,1,1),$A$5&lt;=DATE(PlanYear+1,1,31)))),"",INDEX({chooser},{3 * i + s + 1},DAY($A$5))&amp;"")</f>
        <v/>
      </c>
      <c r="F36" s="81">
        <f>IF(OR($B36="",NOT(AND($A$5&gt;=DATE(PlanYear,1,1),$A$5&lt;=DATE(PlanYear+1,1,31)))),"",INDEX({chooser},{3 * i + s + 1},DAY($A$5))&amp;"")</f>
        <v/>
      </c>
    </row>
    <row r="37" hidden="1">
      <c r="A37" s="38">
        <f>IF(Roster!$B$32="","",Roster!$B$32)</f>
        <v/>
      </c>
      <c r="B37" s="39">
        <f>IF(Roster!$C$32="","",Roster!$C$32)</f>
        <v/>
      </c>
      <c r="C37" s="40">
        <f>IF(Roster!$C$32="","",Roster!$F$32&amp;IF(OR(Roster!$G$32="SANS",Roster!$G$32="NSMEN")," | "&amp;Roster!$G$32,""))</f>
        <v/>
      </c>
      <c r="D37" s="81">
        <f>IF(OR($B37="",NOT(AND($A$5&gt;=DATE(PlanYear,1,1),$A$5&lt;=DATE(PlanYear+1,1,31)))),"",INDEX({chooser},{3 * i + s + 1},DAY($A$5))&amp;"")</f>
        <v/>
      </c>
      <c r="E37" s="81">
        <f>IF(OR($B37="",NOT(AND($A$5&gt;=DATE(PlanYear,1,1),$A$5&lt;=DATE(PlanYear+1,1,31)))),"",INDEX({chooser},{3 * i + s + 1},DAY($A$5))&amp;"")</f>
        <v/>
      </c>
      <c r="F37" s="81">
        <f>IF(OR($B37="",NOT(AND($A$5&gt;=DATE(PlanYear,1,1),$A$5&lt;=DATE(PlanYear+1,1,31)))),"",INDEX({chooser},{3 * i + s + 1},DAY($A$5))&amp;"")</f>
        <v/>
      </c>
    </row>
    <row r="38" hidden="1">
      <c r="A38" s="38">
        <f>IF(Roster!$B$33="","",Roster!$B$33)</f>
        <v/>
      </c>
      <c r="B38" s="39">
        <f>IF(Roster!$C$33="","",Roster!$C$33)</f>
        <v/>
      </c>
      <c r="C38" s="40">
        <f>IF(Roster!$C$33="","",Roster!$F$33&amp;IF(OR(Roster!$G$33="SANS",Roster!$G$33="NSMEN")," | "&amp;Roster!$G$33,""))</f>
        <v/>
      </c>
      <c r="D38" s="81">
        <f>IF(OR($B38="",NOT(AND($A$5&gt;=DATE(PlanYear,1,1),$A$5&lt;=DATE(PlanYear+1,1,31)))),"",INDEX({chooser},{3 * i + s + 1},DAY($A$5))&amp;"")</f>
        <v/>
      </c>
      <c r="E38" s="81">
        <f>IF(OR($B38="",NOT(AND($A$5&gt;=DATE(PlanYear,1,1),$A$5&lt;=DATE(PlanYear+1,1,31)))),"",INDEX({chooser},{3 * i + s + 1},DAY($A$5))&amp;"")</f>
        <v/>
      </c>
      <c r="F38" s="81">
        <f>IF(OR($B38="",NOT(AND($A$5&gt;=DATE(PlanYear,1,1),$A$5&lt;=DATE(PlanYear+1,1,31)))),"",INDEX({chooser},{3 * i + s + 1},DAY($A$5))&amp;"")</f>
        <v/>
      </c>
    </row>
    <row r="39" hidden="1">
      <c r="A39" s="38">
        <f>IF(Roster!$B$34="","",Roster!$B$34)</f>
        <v/>
      </c>
      <c r="B39" s="39">
        <f>IF(Roster!$C$34="","",Roster!$C$34)</f>
        <v/>
      </c>
      <c r="C39" s="40">
        <f>IF(Roster!$C$34="","",Roster!$F$34&amp;IF(OR(Roster!$G$34="SANS",Roster!$G$34="NSMEN")," | "&amp;Roster!$G$34,""))</f>
        <v/>
      </c>
      <c r="D39" s="81">
        <f>IF(OR($B39="",NOT(AND($A$5&gt;=DATE(PlanYear,1,1),$A$5&lt;=DATE(PlanYear+1,1,31)))),"",INDEX({chooser},{3 * i + s + 1},DAY($A$5))&amp;"")</f>
        <v/>
      </c>
      <c r="E39" s="81">
        <f>IF(OR($B39="",NOT(AND($A$5&gt;=DATE(PlanYear,1,1),$A$5&lt;=DATE(PlanYear+1,1,31)))),"",INDEX({chooser},{3 * i + s + 1},DAY($A$5))&amp;"")</f>
        <v/>
      </c>
      <c r="F39" s="81">
        <f>IF(OR($B39="",NOT(AND($A$5&gt;=DATE(PlanYear,1,1),$A$5&lt;=DATE(PlanYear+1,1,31)))),"",INDEX({chooser},{3 * i + s + 1},DAY($A$5))&amp;"")</f>
        <v/>
      </c>
    </row>
    <row r="40" hidden="1">
      <c r="A40" s="38">
        <f>IF(Roster!$B$35="","",Roster!$B$35)</f>
        <v/>
      </c>
      <c r="B40" s="39">
        <f>IF(Roster!$C$35="","",Roster!$C$35)</f>
        <v/>
      </c>
      <c r="C40" s="40">
        <f>IF(Roster!$C$35="","",Roster!$F$35&amp;IF(OR(Roster!$G$35="SANS",Roster!$G$35="NSMEN")," | "&amp;Roster!$G$35,""))</f>
        <v/>
      </c>
      <c r="D40" s="81">
        <f>IF(OR($B40="",NOT(AND($A$5&gt;=DATE(PlanYear,1,1),$A$5&lt;=DATE(PlanYear+1,1,31)))),"",INDEX({chooser},{3 * i + s + 1},DAY($A$5))&amp;"")</f>
        <v/>
      </c>
      <c r="E40" s="81">
        <f>IF(OR($B40="",NOT(AND($A$5&gt;=DATE(PlanYear,1,1),$A$5&lt;=DATE(PlanYear+1,1,31)))),"",INDEX({chooser},{3 * i + s + 1},DAY($A$5))&amp;"")</f>
        <v/>
      </c>
      <c r="F40" s="81">
        <f>IF(OR($B40="",NOT(AND($A$5&gt;=DATE(PlanYear,1,1),$A$5&lt;=DATE(PlanYear+1,1,31)))),"",INDEX({chooser},{3 * i + s + 1},DAY($A$5))&amp;"")</f>
        <v/>
      </c>
    </row>
    <row r="41" hidden="1">
      <c r="A41" s="38">
        <f>IF(Roster!$B$36="","",Roster!$B$36)</f>
        <v/>
      </c>
      <c r="B41" s="39">
        <f>IF(Roster!$C$36="","",Roster!$C$36)</f>
        <v/>
      </c>
      <c r="C41" s="40">
        <f>IF(Roster!$C$36="","",Roster!$F$36&amp;IF(OR(Roster!$G$36="SANS",Roster!$G$36="NSMEN")," | "&amp;Roster!$G$36,""))</f>
        <v/>
      </c>
      <c r="D41" s="81">
        <f>IF(OR($B41="",NOT(AND($A$5&gt;=DATE(PlanYear,1,1),$A$5&lt;=DATE(PlanYear+1,1,31)))),"",INDEX({chooser},{3 * i + s + 1},DAY($A$5))&amp;"")</f>
        <v/>
      </c>
      <c r="E41" s="81">
        <f>IF(OR($B41="",NOT(AND($A$5&gt;=DATE(PlanYear,1,1),$A$5&lt;=DATE(PlanYear+1,1,31)))),"",INDEX({chooser},{3 * i + s + 1},DAY($A$5))&amp;"")</f>
        <v/>
      </c>
      <c r="F41" s="81">
        <f>IF(OR($B41="",NOT(AND($A$5&gt;=DATE(PlanYear,1,1),$A$5&lt;=DATE(PlanYear+1,1,31)))),"",INDEX({chooser},{3 * i + s + 1},DAY($A$5))&amp;"")</f>
        <v/>
      </c>
    </row>
    <row r="42" hidden="1">
      <c r="A42" s="38">
        <f>IF(Roster!$B$37="","",Roster!$B$37)</f>
        <v/>
      </c>
      <c r="B42" s="39">
        <f>IF(Roster!$C$37="","",Roster!$C$37)</f>
        <v/>
      </c>
      <c r="C42" s="40">
        <f>IF(Roster!$C$37="","",Roster!$F$37&amp;IF(OR(Roster!$G$37="SANS",Roster!$G$37="NSMEN")," | "&amp;Roster!$G$37,""))</f>
        <v/>
      </c>
      <c r="D42" s="81">
        <f>IF(OR($B42="",NOT(AND($A$5&gt;=DATE(PlanYear,1,1),$A$5&lt;=DATE(PlanYear+1,1,31)))),"",INDEX({chooser},{3 * i + s + 1},DAY($A$5))&amp;"")</f>
        <v/>
      </c>
      <c r="E42" s="81">
        <f>IF(OR($B42="",NOT(AND($A$5&gt;=DATE(PlanYear,1,1),$A$5&lt;=DATE(PlanYear+1,1,31)))),"",INDEX({chooser},{3 * i + s + 1},DAY($A$5))&amp;"")</f>
        <v/>
      </c>
      <c r="F42" s="81">
        <f>IF(OR($B42="",NOT(AND($A$5&gt;=DATE(PlanYear,1,1),$A$5&lt;=DATE(PlanYear+1,1,31)))),"",INDEX({chooser},{3 * i + s + 1},DAY($A$5))&amp;"")</f>
        <v/>
      </c>
    </row>
    <row r="43" hidden="1">
      <c r="A43" s="38">
        <f>IF(Roster!$B$38="","",Roster!$B$38)</f>
        <v/>
      </c>
      <c r="B43" s="39">
        <f>IF(Roster!$C$38="","",Roster!$C$38)</f>
        <v/>
      </c>
      <c r="C43" s="40">
        <f>IF(Roster!$C$38="","",Roster!$F$38&amp;IF(OR(Roster!$G$38="SANS",Roster!$G$38="NSMEN")," | "&amp;Roster!$G$38,""))</f>
        <v/>
      </c>
      <c r="D43" s="81">
        <f>IF(OR($B43="",NOT(AND($A$5&gt;=DATE(PlanYear,1,1),$A$5&lt;=DATE(PlanYear+1,1,31)))),"",INDEX({chooser},{3 * i + s + 1},DAY($A$5))&amp;"")</f>
        <v/>
      </c>
      <c r="E43" s="81">
        <f>IF(OR($B43="",NOT(AND($A$5&gt;=DATE(PlanYear,1,1),$A$5&lt;=DATE(PlanYear+1,1,31)))),"",INDEX({chooser},{3 * i + s + 1},DAY($A$5))&amp;"")</f>
        <v/>
      </c>
      <c r="F43" s="81">
        <f>IF(OR($B43="",NOT(AND($A$5&gt;=DATE(PlanYear,1,1),$A$5&lt;=DATE(PlanYear+1,1,31)))),"",INDEX({chooser},{3 * i + s + 1},DAY($A$5))&amp;"")</f>
        <v/>
      </c>
    </row>
    <row r="44" hidden="1">
      <c r="A44" s="38">
        <f>IF(Roster!$B$39="","",Roster!$B$39)</f>
        <v/>
      </c>
      <c r="B44" s="39">
        <f>IF(Roster!$C$39="","",Roster!$C$39)</f>
        <v/>
      </c>
      <c r="C44" s="40">
        <f>IF(Roster!$C$39="","",Roster!$F$39&amp;IF(OR(Roster!$G$39="SANS",Roster!$G$39="NSMEN")," | "&amp;Roster!$G$39,""))</f>
        <v/>
      </c>
      <c r="D44" s="81">
        <f>IF(OR($B44="",NOT(AND($A$5&gt;=DATE(PlanYear,1,1),$A$5&lt;=DATE(PlanYear+1,1,31)))),"",INDEX({chooser},{3 * i + s + 1},DAY($A$5))&amp;"")</f>
        <v/>
      </c>
      <c r="E44" s="81">
        <f>IF(OR($B44="",NOT(AND($A$5&gt;=DATE(PlanYear,1,1),$A$5&lt;=DATE(PlanYear+1,1,31)))),"",INDEX({chooser},{3 * i + s + 1},DAY($A$5))&amp;"")</f>
        <v/>
      </c>
      <c r="F44" s="81">
        <f>IF(OR($B44="",NOT(AND($A$5&gt;=DATE(PlanYear,1,1),$A$5&lt;=DATE(PlanYear+1,1,31)))),"",INDEX({chooser},{3 * i + s + 1},DAY($A$5))&amp;"")</f>
        <v/>
      </c>
    </row>
    <row r="45" hidden="1">
      <c r="A45" s="38">
        <f>IF(Roster!$B$40="","",Roster!$B$40)</f>
        <v/>
      </c>
      <c r="B45" s="39">
        <f>IF(Roster!$C$40="","",Roster!$C$40)</f>
        <v/>
      </c>
      <c r="C45" s="40">
        <f>IF(Roster!$C$40="","",Roster!$F$40&amp;IF(OR(Roster!$G$40="SANS",Roster!$G$40="NSMEN")," | "&amp;Roster!$G$40,""))</f>
        <v/>
      </c>
      <c r="D45" s="81">
        <f>IF(OR($B45="",NOT(AND($A$5&gt;=DATE(PlanYear,1,1),$A$5&lt;=DATE(PlanYear+1,1,31)))),"",INDEX({chooser},{3 * i + s + 1},DAY($A$5))&amp;"")</f>
        <v/>
      </c>
      <c r="E45" s="81">
        <f>IF(OR($B45="",NOT(AND($A$5&gt;=DATE(PlanYear,1,1),$A$5&lt;=DATE(PlanYear+1,1,31)))),"",INDEX({chooser},{3 * i + s + 1},DAY($A$5))&amp;"")</f>
        <v/>
      </c>
      <c r="F45" s="81">
        <f>IF(OR($B45="",NOT(AND($A$5&gt;=DATE(PlanYear,1,1),$A$5&lt;=DATE(PlanYear+1,1,31)))),"",INDEX({chooser},{3 * i + s + 1},DAY($A$5))&amp;"")</f>
        <v/>
      </c>
    </row>
    <row r="46" hidden="1">
      <c r="A46" s="38">
        <f>IF(Roster!$B$41="","",Roster!$B$41)</f>
        <v/>
      </c>
      <c r="B46" s="39">
        <f>IF(Roster!$C$41="","",Roster!$C$41)</f>
        <v/>
      </c>
      <c r="C46" s="40">
        <f>IF(Roster!$C$41="","",Roster!$F$41&amp;IF(OR(Roster!$G$41="SANS",Roster!$G$41="NSMEN")," | "&amp;Roster!$G$41,""))</f>
        <v/>
      </c>
      <c r="D46" s="81">
        <f>IF(OR($B46="",NOT(AND($A$5&gt;=DATE(PlanYear,1,1),$A$5&lt;=DATE(PlanYear+1,1,31)))),"",INDEX({chooser},{3 * i + s + 1},DAY($A$5))&amp;"")</f>
        <v/>
      </c>
      <c r="E46" s="81">
        <f>IF(OR($B46="",NOT(AND($A$5&gt;=DATE(PlanYear,1,1),$A$5&lt;=DATE(PlanYear+1,1,31)))),"",INDEX({chooser},{3 * i + s + 1},DAY($A$5))&amp;"")</f>
        <v/>
      </c>
      <c r="F46" s="81">
        <f>IF(OR($B46="",NOT(AND($A$5&gt;=DATE(PlanYear,1,1),$A$5&lt;=DATE(PlanYear+1,1,31)))),"",INDEX({chooser},{3 * i + s + 1},DAY($A$5))&amp;"")</f>
        <v/>
      </c>
    </row>
    <row r="47" hidden="1">
      <c r="A47" s="38">
        <f>IF(Roster!$B$42="","",Roster!$B$42)</f>
        <v/>
      </c>
      <c r="B47" s="39">
        <f>IF(Roster!$C$42="","",Roster!$C$42)</f>
        <v/>
      </c>
      <c r="C47" s="40">
        <f>IF(Roster!$C$42="","",Roster!$F$42&amp;IF(OR(Roster!$G$42="SANS",Roster!$G$42="NSMEN")," | "&amp;Roster!$G$42,""))</f>
        <v/>
      </c>
      <c r="D47" s="81">
        <f>IF(OR($B47="",NOT(AND($A$5&gt;=DATE(PlanYear,1,1),$A$5&lt;=DATE(PlanYear+1,1,31)))),"",INDEX({chooser},{3 * i + s + 1},DAY($A$5))&amp;"")</f>
        <v/>
      </c>
      <c r="E47" s="81">
        <f>IF(OR($B47="",NOT(AND($A$5&gt;=DATE(PlanYear,1,1),$A$5&lt;=DATE(PlanYear+1,1,31)))),"",INDEX({chooser},{3 * i + s + 1},DAY($A$5))&amp;"")</f>
        <v/>
      </c>
      <c r="F47" s="81">
        <f>IF(OR($B47="",NOT(AND($A$5&gt;=DATE(PlanYear,1,1),$A$5&lt;=DATE(PlanYear+1,1,31)))),"",INDEX({chooser},{3 * i + s + 1},DAY($A$5))&amp;"")</f>
        <v/>
      </c>
    </row>
    <row r="48" hidden="1">
      <c r="A48" s="38">
        <f>IF(Roster!$B$43="","",Roster!$B$43)</f>
        <v/>
      </c>
      <c r="B48" s="39">
        <f>IF(Roster!$C$43="","",Roster!$C$43)</f>
        <v/>
      </c>
      <c r="C48" s="40">
        <f>IF(Roster!$C$43="","",Roster!$F$43&amp;IF(OR(Roster!$G$43="SANS",Roster!$G$43="NSMEN")," | "&amp;Roster!$G$43,""))</f>
        <v/>
      </c>
      <c r="D48" s="81">
        <f>IF(OR($B48="",NOT(AND($A$5&gt;=DATE(PlanYear,1,1),$A$5&lt;=DATE(PlanYear+1,1,31)))),"",INDEX({chooser},{3 * i + s + 1},DAY($A$5))&amp;"")</f>
        <v/>
      </c>
      <c r="E48" s="81">
        <f>IF(OR($B48="",NOT(AND($A$5&gt;=DATE(PlanYear,1,1),$A$5&lt;=DATE(PlanYear+1,1,31)))),"",INDEX({chooser},{3 * i + s + 1},DAY($A$5))&amp;"")</f>
        <v/>
      </c>
      <c r="F48" s="81">
        <f>IF(OR($B48="",NOT(AND($A$5&gt;=DATE(PlanYear,1,1),$A$5&lt;=DATE(PlanYear+1,1,31)))),"",INDEX({chooser},{3 * i + s + 1},DAY($A$5))&amp;"")</f>
        <v/>
      </c>
    </row>
    <row r="49" hidden="1">
      <c r="A49" s="38">
        <f>IF(Roster!$B$44="","",Roster!$B$44)</f>
        <v/>
      </c>
      <c r="B49" s="39">
        <f>IF(Roster!$C$44="","",Roster!$C$44)</f>
        <v/>
      </c>
      <c r="C49" s="40">
        <f>IF(Roster!$C$44="","",Roster!$F$44&amp;IF(OR(Roster!$G$44="SANS",Roster!$G$44="NSMEN")," | "&amp;Roster!$G$44,""))</f>
        <v/>
      </c>
      <c r="D49" s="81">
        <f>IF(OR($B49="",NOT(AND($A$5&gt;=DATE(PlanYear,1,1),$A$5&lt;=DATE(PlanYear+1,1,31)))),"",INDEX({chooser},{3 * i + s + 1},DAY($A$5))&amp;"")</f>
        <v/>
      </c>
      <c r="E49" s="81">
        <f>IF(OR($B49="",NOT(AND($A$5&gt;=DATE(PlanYear,1,1),$A$5&lt;=DATE(PlanYear+1,1,31)))),"",INDEX({chooser},{3 * i + s + 1},DAY($A$5))&amp;"")</f>
        <v/>
      </c>
      <c r="F49" s="81">
        <f>IF(OR($B49="",NOT(AND($A$5&gt;=DATE(PlanYear,1,1),$A$5&lt;=DATE(PlanYear+1,1,31)))),"",INDEX({chooser},{3 * i + s + 1},DAY($A$5))&amp;"")</f>
        <v/>
      </c>
    </row>
    <row r="50" hidden="1">
      <c r="A50" s="38">
        <f>IF(Roster!$B$45="","",Roster!$B$45)</f>
        <v/>
      </c>
      <c r="B50" s="39">
        <f>IF(Roster!$C$45="","",Roster!$C$45)</f>
        <v/>
      </c>
      <c r="C50" s="40">
        <f>IF(Roster!$C$45="","",Roster!$F$45&amp;IF(OR(Roster!$G$45="SANS",Roster!$G$45="NSMEN")," | "&amp;Roster!$G$45,""))</f>
        <v/>
      </c>
      <c r="D50" s="81">
        <f>IF(OR($B50="",NOT(AND($A$5&gt;=DATE(PlanYear,1,1),$A$5&lt;=DATE(PlanYear+1,1,31)))),"",INDEX({chooser},{3 * i + s + 1},DAY($A$5))&amp;"")</f>
        <v/>
      </c>
      <c r="E50" s="81">
        <f>IF(OR($B50="",NOT(AND($A$5&gt;=DATE(PlanYear,1,1),$A$5&lt;=DATE(PlanYear+1,1,31)))),"",INDEX({chooser},{3 * i + s + 1},DAY($A$5))&amp;"")</f>
        <v/>
      </c>
      <c r="F50" s="81">
        <f>IF(OR($B50="",NOT(AND($A$5&gt;=DATE(PlanYear,1,1),$A$5&lt;=DATE(PlanYear+1,1,31)))),"",INDEX({chooser},{3 * i + s + 1},DAY($A$5))&amp;"")</f>
        <v/>
      </c>
    </row>
    <row r="51" hidden="1">
      <c r="A51" s="38">
        <f>IF(Roster!$B$46="","",Roster!$B$46)</f>
        <v/>
      </c>
      <c r="B51" s="39">
        <f>IF(Roster!$C$46="","",Roster!$C$46)</f>
        <v/>
      </c>
      <c r="C51" s="40">
        <f>IF(Roster!$C$46="","",Roster!$F$46&amp;IF(OR(Roster!$G$46="SANS",Roster!$G$46="NSMEN")," | "&amp;Roster!$G$46,""))</f>
        <v/>
      </c>
      <c r="D51" s="81">
        <f>IF(OR($B51="",NOT(AND($A$5&gt;=DATE(PlanYear,1,1),$A$5&lt;=DATE(PlanYear+1,1,31)))),"",INDEX({chooser},{3 * i + s + 1},DAY($A$5))&amp;"")</f>
        <v/>
      </c>
      <c r="E51" s="81">
        <f>IF(OR($B51="",NOT(AND($A$5&gt;=DATE(PlanYear,1,1),$A$5&lt;=DATE(PlanYear+1,1,31)))),"",INDEX({chooser},{3 * i + s + 1},DAY($A$5))&amp;"")</f>
        <v/>
      </c>
      <c r="F51" s="81">
        <f>IF(OR($B51="",NOT(AND($A$5&gt;=DATE(PlanYear,1,1),$A$5&lt;=DATE(PlanYear+1,1,31)))),"",INDEX({chooser},{3 * i + s + 1},DAY($A$5))&amp;"")</f>
        <v/>
      </c>
    </row>
    <row r="52" hidden="1">
      <c r="A52" s="38">
        <f>IF(Roster!$B$47="","",Roster!$B$47)</f>
        <v/>
      </c>
      <c r="B52" s="39">
        <f>IF(Roster!$C$47="","",Roster!$C$47)</f>
        <v/>
      </c>
      <c r="C52" s="40">
        <f>IF(Roster!$C$47="","",Roster!$F$47&amp;IF(OR(Roster!$G$47="SANS",Roster!$G$47="NSMEN")," | "&amp;Roster!$G$47,""))</f>
        <v/>
      </c>
      <c r="D52" s="81">
        <f>IF(OR($B52="",NOT(AND($A$5&gt;=DATE(PlanYear,1,1),$A$5&lt;=DATE(PlanYear+1,1,31)))),"",INDEX({chooser},{3 * i + s + 1},DAY($A$5))&amp;"")</f>
        <v/>
      </c>
      <c r="E52" s="81">
        <f>IF(OR($B52="",NOT(AND($A$5&gt;=DATE(PlanYear,1,1),$A$5&lt;=DATE(PlanYear+1,1,31)))),"",INDEX({chooser},{3 * i + s + 1},DAY($A$5))&amp;"")</f>
        <v/>
      </c>
      <c r="F52" s="81">
        <f>IF(OR($B52="",NOT(AND($A$5&gt;=DATE(PlanYear,1,1),$A$5&lt;=DATE(PlanYear+1,1,31)))),"",INDEX({chooser},{3 * i + s + 1},DAY($A$5))&amp;"")</f>
        <v/>
      </c>
    </row>
    <row r="53" hidden="1">
      <c r="A53" s="38">
        <f>IF(Roster!$B$48="","",Roster!$B$48)</f>
        <v/>
      </c>
      <c r="B53" s="39">
        <f>IF(Roster!$C$48="","",Roster!$C$48)</f>
        <v/>
      </c>
      <c r="C53" s="40">
        <f>IF(Roster!$C$48="","",Roster!$F$48&amp;IF(OR(Roster!$G$48="SANS",Roster!$G$48="NSMEN")," | "&amp;Roster!$G$48,""))</f>
        <v/>
      </c>
      <c r="D53" s="81">
        <f>IF(OR($B53="",NOT(AND($A$5&gt;=DATE(PlanYear,1,1),$A$5&lt;=DATE(PlanYear+1,1,31)))),"",INDEX({chooser},{3 * i + s + 1},DAY($A$5))&amp;"")</f>
        <v/>
      </c>
      <c r="E53" s="81">
        <f>IF(OR($B53="",NOT(AND($A$5&gt;=DATE(PlanYear,1,1),$A$5&lt;=DATE(PlanYear+1,1,31)))),"",INDEX({chooser},{3 * i + s + 1},DAY($A$5))&amp;"")</f>
        <v/>
      </c>
      <c r="F53" s="81">
        <f>IF(OR($B53="",NOT(AND($A$5&gt;=DATE(PlanYear,1,1),$A$5&lt;=DATE(PlanYear+1,1,31)))),"",INDEX({chooser},{3 * i + s + 1},DAY($A$5))&amp;"")</f>
        <v/>
      </c>
    </row>
    <row r="54" hidden="1">
      <c r="A54" s="38">
        <f>IF(Roster!$B$49="","",Roster!$B$49)</f>
        <v/>
      </c>
      <c r="B54" s="39">
        <f>IF(Roster!$C$49="","",Roster!$C$49)</f>
        <v/>
      </c>
      <c r="C54" s="40">
        <f>IF(Roster!$C$49="","",Roster!$F$49&amp;IF(OR(Roster!$G$49="SANS",Roster!$G$49="NSMEN")," | "&amp;Roster!$G$49,""))</f>
        <v/>
      </c>
      <c r="D54" s="81">
        <f>IF(OR($B54="",NOT(AND($A$5&gt;=DATE(PlanYear,1,1),$A$5&lt;=DATE(PlanYear+1,1,31)))),"",INDEX({chooser},{3 * i + s + 1},DAY($A$5))&amp;"")</f>
        <v/>
      </c>
      <c r="E54" s="81">
        <f>IF(OR($B54="",NOT(AND($A$5&gt;=DATE(PlanYear,1,1),$A$5&lt;=DATE(PlanYear+1,1,31)))),"",INDEX({chooser},{3 * i + s + 1},DAY($A$5))&amp;"")</f>
        <v/>
      </c>
      <c r="F54" s="81">
        <f>IF(OR($B54="",NOT(AND($A$5&gt;=DATE(PlanYear,1,1),$A$5&lt;=DATE(PlanYear+1,1,31)))),"",INDEX({chooser},{3 * i + s + 1},DAY($A$5))&amp;"")</f>
        <v/>
      </c>
    </row>
    <row r="55" hidden="1">
      <c r="A55" s="38">
        <f>IF(Roster!$B$50="","",Roster!$B$50)</f>
        <v/>
      </c>
      <c r="B55" s="39">
        <f>IF(Roster!$C$50="","",Roster!$C$50)</f>
        <v/>
      </c>
      <c r="C55" s="40">
        <f>IF(Roster!$C$50="","",Roster!$F$50&amp;IF(OR(Roster!$G$50="SANS",Roster!$G$50="NSMEN")," | "&amp;Roster!$G$50,""))</f>
        <v/>
      </c>
      <c r="D55" s="81">
        <f>IF(OR($B55="",NOT(AND($A$5&gt;=DATE(PlanYear,1,1),$A$5&lt;=DATE(PlanYear+1,1,31)))),"",INDEX({chooser},{3 * i + s + 1},DAY($A$5))&amp;"")</f>
        <v/>
      </c>
      <c r="E55" s="81">
        <f>IF(OR($B55="",NOT(AND($A$5&gt;=DATE(PlanYear,1,1),$A$5&lt;=DATE(PlanYear+1,1,31)))),"",INDEX({chooser},{3 * i + s + 1},DAY($A$5))&amp;"")</f>
        <v/>
      </c>
      <c r="F55" s="81">
        <f>IF(OR($B55="",NOT(AND($A$5&gt;=DATE(PlanYear,1,1),$A$5&lt;=DATE(PlanYear+1,1,31)))),"",INDEX({chooser},{3 * i + s + 1},DAY($A$5))&amp;"")</f>
        <v/>
      </c>
    </row>
    <row r="56">
      <c r="A56" s="53">
        <f>IF(Roster!$B$51="","",Roster!$B$51)</f>
        <v/>
      </c>
      <c r="B56" s="54">
        <f>IF(Roster!$C$51="","",Roster!$C$51)</f>
        <v/>
      </c>
      <c r="C56" s="55">
        <f>IF(Roster!$C$51="","",Roster!$F$51&amp;IF(OR(Roster!$G$51="SANS",Roster!$G$51="NSMEN")," | "&amp;Roster!$G$51,""))</f>
        <v/>
      </c>
      <c r="D56" s="81">
        <f>IF(OR($B56="",NOT(AND($A$5&gt;=DATE(PlanYear,1,1),$A$5&lt;=DATE(PlanYear+1,1,31)))),"",INDEX({chooser},{3 * i + s + 1},DAY($A$5))&amp;"")</f>
        <v/>
      </c>
      <c r="E56" s="81">
        <f>IF(OR($B56="",NOT(AND($A$5&gt;=DATE(PlanYear,1,1),$A$5&lt;=DATE(PlanYear+1,1,31)))),"",INDEX({chooser},{3 * i + s + 1},DAY($A$5))&amp;"")</f>
        <v/>
      </c>
      <c r="F56" s="81">
        <f>IF(OR($B56="",NOT(AND($A$5&gt;=DATE(PlanYear,1,1),$A$5&lt;=DATE(PlanYear+1,1,31)))),"",INDEX({chooser},{3 * i + s + 1},DAY($A$5))&amp;"")</f>
        <v/>
      </c>
    </row>
    <row r="57">
      <c r="A57" s="53">
        <f>IF(Roster!$B$52="","",Roster!$B$52)</f>
        <v/>
      </c>
      <c r="B57" s="54">
        <f>IF(Roster!$C$52="","",Roster!$C$52)</f>
        <v/>
      </c>
      <c r="C57" s="55">
        <f>IF(Roster!$C$52="","",Roster!$F$52&amp;IF(OR(Roster!$G$52="SANS",Roster!$G$52="NSMEN")," | "&amp;Roster!$G$52,""))</f>
        <v/>
      </c>
      <c r="D57" s="81">
        <f>IF(OR($B57="",NOT(AND($A$5&gt;=DATE(PlanYear,1,1),$A$5&lt;=DATE(PlanYear+1,1,31)))),"",INDEX({chooser},{3 * i + s + 1},DAY($A$5))&amp;"")</f>
        <v/>
      </c>
      <c r="E57" s="81">
        <f>IF(OR($B57="",NOT(AND($A$5&gt;=DATE(PlanYear,1,1),$A$5&lt;=DATE(PlanYear+1,1,31)))),"",INDEX({chooser},{3 * i + s + 1},DAY($A$5))&amp;"")</f>
        <v/>
      </c>
      <c r="F57" s="81">
        <f>IF(OR($B57="",NOT(AND($A$5&gt;=DATE(PlanYear,1,1),$A$5&lt;=DATE(PlanYear+1,1,31)))),"",INDEX({chooser},{3 * i + s + 1},DAY($A$5))&amp;"")</f>
        <v/>
      </c>
    </row>
    <row r="58" hidden="1">
      <c r="A58" s="53">
        <f>IF(Roster!$B$53="","",Roster!$B$53)</f>
        <v/>
      </c>
      <c r="B58" s="54">
        <f>IF(Roster!$C$53="","",Roster!$C$53)</f>
        <v/>
      </c>
      <c r="C58" s="55">
        <f>IF(Roster!$C$53="","",Roster!$F$53&amp;IF(OR(Roster!$G$53="SANS",Roster!$G$53="NSMEN")," | "&amp;Roster!$G$53,""))</f>
        <v/>
      </c>
      <c r="D58" s="81">
        <f>IF(OR($B58="",NOT(AND($A$5&gt;=DATE(PlanYear,1,1),$A$5&lt;=DATE(PlanYear+1,1,31)))),"",INDEX({chooser},{3 * i + s + 1},DAY($A$5))&amp;"")</f>
        <v/>
      </c>
      <c r="E58" s="81">
        <f>IF(OR($B58="",NOT(AND($A$5&gt;=DATE(PlanYear,1,1),$A$5&lt;=DATE(PlanYear+1,1,31)))),"",INDEX({chooser},{3 * i + s + 1},DAY($A$5))&amp;"")</f>
        <v/>
      </c>
      <c r="F58" s="81">
        <f>IF(OR($B58="",NOT(AND($A$5&gt;=DATE(PlanYear,1,1),$A$5&lt;=DATE(PlanYear+1,1,31)))),"",INDEX({chooser},{3 * i + s + 1},DAY($A$5))&amp;"")</f>
        <v/>
      </c>
    </row>
    <row r="59" hidden="1">
      <c r="A59" s="53">
        <f>IF(Roster!$B$54="","",Roster!$B$54)</f>
        <v/>
      </c>
      <c r="B59" s="54">
        <f>IF(Roster!$C$54="","",Roster!$C$54)</f>
        <v/>
      </c>
      <c r="C59" s="55">
        <f>IF(Roster!$C$54="","",Roster!$F$54&amp;IF(OR(Roster!$G$54="SANS",Roster!$G$54="NSMEN")," | "&amp;Roster!$G$54,""))</f>
        <v/>
      </c>
      <c r="D59" s="81">
        <f>IF(OR($B59="",NOT(AND($A$5&gt;=DATE(PlanYear,1,1),$A$5&lt;=DATE(PlanYear+1,1,31)))),"",INDEX({chooser},{3 * i + s + 1},DAY($A$5))&amp;"")</f>
        <v/>
      </c>
      <c r="E59" s="81">
        <f>IF(OR($B59="",NOT(AND($A$5&gt;=DATE(PlanYear,1,1),$A$5&lt;=DATE(PlanYear+1,1,31)))),"",INDEX({chooser},{3 * i + s + 1},DAY($A$5))&amp;"")</f>
        <v/>
      </c>
      <c r="F59" s="81">
        <f>IF(OR($B59="",NOT(AND($A$5&gt;=DATE(PlanYear,1,1),$A$5&lt;=DATE(PlanYear+1,1,31)))),"",INDEX({chooser},{3 * i + s + 1},DAY($A$5))&amp;"")</f>
        <v/>
      </c>
    </row>
    <row r="60" hidden="1">
      <c r="A60" s="53">
        <f>IF(Roster!$B$55="","",Roster!$B$55)</f>
        <v/>
      </c>
      <c r="B60" s="54">
        <f>IF(Roster!$C$55="","",Roster!$C$55)</f>
        <v/>
      </c>
      <c r="C60" s="55">
        <f>IF(Roster!$C$55="","",Roster!$F$55&amp;IF(OR(Roster!$G$55="SANS",Roster!$G$55="NSMEN")," | "&amp;Roster!$G$55,""))</f>
        <v/>
      </c>
      <c r="D60" s="81">
        <f>IF(OR($B60="",NOT(AND($A$5&gt;=DATE(PlanYear,1,1),$A$5&lt;=DATE(PlanYear+1,1,31)))),"",INDEX({chooser},{3 * i + s + 1},DAY($A$5))&amp;"")</f>
        <v/>
      </c>
      <c r="E60" s="81">
        <f>IF(OR($B60="",NOT(AND($A$5&gt;=DATE(PlanYear,1,1),$A$5&lt;=DATE(PlanYear+1,1,31)))),"",INDEX({chooser},{3 * i + s + 1},DAY($A$5))&amp;"")</f>
        <v/>
      </c>
      <c r="F60" s="81">
        <f>IF(OR($B60="",NOT(AND($A$5&gt;=DATE(PlanYear,1,1),$A$5&lt;=DATE(PlanYear+1,1,31)))),"",INDEX({chooser},{3 * i + s + 1},DAY($A$5))&amp;"")</f>
        <v/>
      </c>
    </row>
    <row r="61" hidden="1">
      <c r="A61" s="53">
        <f>IF(Roster!$B$56="","",Roster!$B$56)</f>
        <v/>
      </c>
      <c r="B61" s="54">
        <f>IF(Roster!$C$56="","",Roster!$C$56)</f>
        <v/>
      </c>
      <c r="C61" s="55">
        <f>IF(Roster!$C$56="","",Roster!$F$56&amp;IF(OR(Roster!$G$56="SANS",Roster!$G$56="NSMEN")," | "&amp;Roster!$G$56,""))</f>
        <v/>
      </c>
      <c r="D61" s="81">
        <f>IF(OR($B61="",NOT(AND($A$5&gt;=DATE(PlanYear,1,1),$A$5&lt;=DATE(PlanYear+1,1,31)))),"",INDEX({chooser},{3 * i + s + 1},DAY($A$5))&amp;"")</f>
        <v/>
      </c>
      <c r="E61" s="81">
        <f>IF(OR($B61="",NOT(AND($A$5&gt;=DATE(PlanYear,1,1),$A$5&lt;=DATE(PlanYear+1,1,31)))),"",INDEX({chooser},{3 * i + s + 1},DAY($A$5))&amp;"")</f>
        <v/>
      </c>
      <c r="F61" s="81">
        <f>IF(OR($B61="",NOT(AND($A$5&gt;=DATE(PlanYear,1,1),$A$5&lt;=DATE(PlanYear+1,1,31)))),"",INDEX({chooser},{3 * i + s + 1},DAY($A$5))&amp;"")</f>
        <v/>
      </c>
    </row>
    <row r="62" hidden="1">
      <c r="A62" s="53">
        <f>IF(Roster!$B$57="","",Roster!$B$57)</f>
        <v/>
      </c>
      <c r="B62" s="54">
        <f>IF(Roster!$C$57="","",Roster!$C$57)</f>
        <v/>
      </c>
      <c r="C62" s="55">
        <f>IF(Roster!$C$57="","",Roster!$F$57&amp;IF(OR(Roster!$G$57="SANS",Roster!$G$57="NSMEN")," | "&amp;Roster!$G$57,""))</f>
        <v/>
      </c>
      <c r="D62" s="81">
        <f>IF(OR($B62="",NOT(AND($A$5&gt;=DATE(PlanYear,1,1),$A$5&lt;=DATE(PlanYear+1,1,31)))),"",INDEX({chooser},{3 * i + s + 1},DAY($A$5))&amp;"")</f>
        <v/>
      </c>
      <c r="E62" s="81">
        <f>IF(OR($B62="",NOT(AND($A$5&gt;=DATE(PlanYear,1,1),$A$5&lt;=DATE(PlanYear+1,1,31)))),"",INDEX({chooser},{3 * i + s + 1},DAY($A$5))&amp;"")</f>
        <v/>
      </c>
      <c r="F62" s="81">
        <f>IF(OR($B62="",NOT(AND($A$5&gt;=DATE(PlanYear,1,1),$A$5&lt;=DATE(PlanYear+1,1,31)))),"",INDEX({chooser},{3 * i + s + 1},DAY($A$5))&amp;"")</f>
        <v/>
      </c>
    </row>
    <row r="63" hidden="1">
      <c r="A63" s="53">
        <f>IF(Roster!$B$58="","",Roster!$B$58)</f>
        <v/>
      </c>
      <c r="B63" s="54">
        <f>IF(Roster!$C$58="","",Roster!$C$58)</f>
        <v/>
      </c>
      <c r="C63" s="55">
        <f>IF(Roster!$C$58="","",Roster!$F$58&amp;IF(OR(Roster!$G$58="SANS",Roster!$G$58="NSMEN")," | "&amp;Roster!$G$58,""))</f>
        <v/>
      </c>
      <c r="D63" s="81">
        <f>IF(OR($B63="",NOT(AND($A$5&gt;=DATE(PlanYear,1,1),$A$5&lt;=DATE(PlanYear+1,1,31)))),"",INDEX({chooser},{3 * i + s + 1},DAY($A$5))&amp;"")</f>
        <v/>
      </c>
      <c r="E63" s="81">
        <f>IF(OR($B63="",NOT(AND($A$5&gt;=DATE(PlanYear,1,1),$A$5&lt;=DATE(PlanYear+1,1,31)))),"",INDEX({chooser},{3 * i + s + 1},DAY($A$5))&amp;"")</f>
        <v/>
      </c>
      <c r="F63" s="81">
        <f>IF(OR($B63="",NOT(AND($A$5&gt;=DATE(PlanYear,1,1),$A$5&lt;=DATE(PlanYear+1,1,31)))),"",INDEX({chooser},{3 * i + s + 1},DAY($A$5))&amp;"")</f>
        <v/>
      </c>
    </row>
    <row r="64" hidden="1">
      <c r="A64" s="53">
        <f>IF(Roster!$B$59="","",Roster!$B$59)</f>
        <v/>
      </c>
      <c r="B64" s="54">
        <f>IF(Roster!$C$59="","",Roster!$C$59)</f>
        <v/>
      </c>
      <c r="C64" s="55">
        <f>IF(Roster!$C$59="","",Roster!$F$59&amp;IF(OR(Roster!$G$59="SANS",Roster!$G$59="NSMEN")," | "&amp;Roster!$G$59,""))</f>
        <v/>
      </c>
      <c r="D64" s="81">
        <f>IF(OR($B64="",NOT(AND($A$5&gt;=DATE(PlanYear,1,1),$A$5&lt;=DATE(PlanYear+1,1,31)))),"",INDEX({chooser},{3 * i + s + 1},DAY($A$5))&amp;"")</f>
        <v/>
      </c>
      <c r="E64" s="81">
        <f>IF(OR($B64="",NOT(AND($A$5&gt;=DATE(PlanYear,1,1),$A$5&lt;=DATE(PlanYear+1,1,31)))),"",INDEX({chooser},{3 * i + s + 1},DAY($A$5))&amp;"")</f>
        <v/>
      </c>
      <c r="F64" s="81">
        <f>IF(OR($B64="",NOT(AND($A$5&gt;=DATE(PlanYear,1,1),$A$5&lt;=DATE(PlanYear+1,1,31)))),"",INDEX({chooser},{3 * i + s + 1},DAY($A$5))&amp;"")</f>
        <v/>
      </c>
    </row>
    <row r="65" hidden="1">
      <c r="A65" s="53">
        <f>IF(Roster!$B$60="","",Roster!$B$60)</f>
        <v/>
      </c>
      <c r="B65" s="54">
        <f>IF(Roster!$C$60="","",Roster!$C$60)</f>
        <v/>
      </c>
      <c r="C65" s="55">
        <f>IF(Roster!$C$60="","",Roster!$F$60&amp;IF(OR(Roster!$G$60="SANS",Roster!$G$60="NSMEN")," | "&amp;Roster!$G$60,""))</f>
        <v/>
      </c>
      <c r="D65" s="81">
        <f>IF(OR($B65="",NOT(AND($A$5&gt;=DATE(PlanYear,1,1),$A$5&lt;=DATE(PlanYear+1,1,31)))),"",INDEX({chooser},{3 * i + s + 1},DAY($A$5))&amp;"")</f>
        <v/>
      </c>
      <c r="E65" s="81">
        <f>IF(OR($B65="",NOT(AND($A$5&gt;=DATE(PlanYear,1,1),$A$5&lt;=DATE(PlanYear+1,1,31)))),"",INDEX({chooser},{3 * i + s + 1},DAY($A$5))&amp;"")</f>
        <v/>
      </c>
      <c r="F65" s="81">
        <f>IF(OR($B65="",NOT(AND($A$5&gt;=DATE(PlanYear,1,1),$A$5&lt;=DATE(PlanYear+1,1,31)))),"",INDEX({chooser},{3 * i + s + 1},DAY($A$5))&amp;"")</f>
        <v/>
      </c>
    </row>
    <row r="66" hidden="1">
      <c r="A66" s="53">
        <f>IF(Roster!$B$61="","",Roster!$B$61)</f>
        <v/>
      </c>
      <c r="B66" s="54">
        <f>IF(Roster!$C$61="","",Roster!$C$61)</f>
        <v/>
      </c>
      <c r="C66" s="55">
        <f>IF(Roster!$C$61="","",Roster!$F$61&amp;IF(OR(Roster!$G$61="SANS",Roster!$G$61="NSMEN")," | "&amp;Roster!$G$61,""))</f>
        <v/>
      </c>
      <c r="D66" s="81">
        <f>IF(OR($B66="",NOT(AND($A$5&gt;=DATE(PlanYear,1,1),$A$5&lt;=DATE(PlanYear+1,1,31)))),"",INDEX({chooser},{3 * i + s + 1},DAY($A$5))&amp;"")</f>
        <v/>
      </c>
      <c r="E66" s="81">
        <f>IF(OR($B66="",NOT(AND($A$5&gt;=DATE(PlanYear,1,1),$A$5&lt;=DATE(PlanYear+1,1,31)))),"",INDEX({chooser},{3 * i + s + 1},DAY($A$5))&amp;"")</f>
        <v/>
      </c>
      <c r="F66" s="81">
        <f>IF(OR($B66="",NOT(AND($A$5&gt;=DATE(PlanYear,1,1),$A$5&lt;=DATE(PlanYear+1,1,31)))),"",INDEX({chooser},{3 * i + s + 1},DAY($A$5))&amp;"")</f>
        <v/>
      </c>
    </row>
    <row r="67" hidden="1">
      <c r="A67" s="53">
        <f>IF(Roster!$B$62="","",Roster!$B$62)</f>
        <v/>
      </c>
      <c r="B67" s="54">
        <f>IF(Roster!$C$62="","",Roster!$C$62)</f>
        <v/>
      </c>
      <c r="C67" s="55">
        <f>IF(Roster!$C$62="","",Roster!$F$62&amp;IF(OR(Roster!$G$62="SANS",Roster!$G$62="NSMEN")," | "&amp;Roster!$G$62,""))</f>
        <v/>
      </c>
      <c r="D67" s="81">
        <f>IF(OR($B67="",NOT(AND($A$5&gt;=DATE(PlanYear,1,1),$A$5&lt;=DATE(PlanYear+1,1,31)))),"",INDEX({chooser},{3 * i + s + 1},DAY($A$5))&amp;"")</f>
        <v/>
      </c>
      <c r="E67" s="81">
        <f>IF(OR($B67="",NOT(AND($A$5&gt;=DATE(PlanYear,1,1),$A$5&lt;=DATE(PlanYear+1,1,31)))),"",INDEX({chooser},{3 * i + s + 1},DAY($A$5))&amp;"")</f>
        <v/>
      </c>
      <c r="F67" s="81">
        <f>IF(OR($B67="",NOT(AND($A$5&gt;=DATE(PlanYear,1,1),$A$5&lt;=DATE(PlanYear+1,1,31)))),"",INDEX({chooser},{3 * i + s + 1},DAY($A$5))&amp;"")</f>
        <v/>
      </c>
    </row>
    <row r="68" hidden="1">
      <c r="A68" s="53">
        <f>IF(Roster!$B$63="","",Roster!$B$63)</f>
        <v/>
      </c>
      <c r="B68" s="54">
        <f>IF(Roster!$C$63="","",Roster!$C$63)</f>
        <v/>
      </c>
      <c r="C68" s="55">
        <f>IF(Roster!$C$63="","",Roster!$F$63&amp;IF(OR(Roster!$G$63="SANS",Roster!$G$63="NSMEN")," | "&amp;Roster!$G$63,""))</f>
        <v/>
      </c>
      <c r="D68" s="81">
        <f>IF(OR($B68="",NOT(AND($A$5&gt;=DATE(PlanYear,1,1),$A$5&lt;=DATE(PlanYear+1,1,31)))),"",INDEX({chooser},{3 * i + s + 1},DAY($A$5))&amp;"")</f>
        <v/>
      </c>
      <c r="E68" s="81">
        <f>IF(OR($B68="",NOT(AND($A$5&gt;=DATE(PlanYear,1,1),$A$5&lt;=DATE(PlanYear+1,1,31)))),"",INDEX({chooser},{3 * i + s + 1},DAY($A$5))&amp;"")</f>
        <v/>
      </c>
      <c r="F68" s="81">
        <f>IF(OR($B68="",NOT(AND($A$5&gt;=DATE(PlanYear,1,1),$A$5&lt;=DATE(PlanYear+1,1,31)))),"",INDEX({chooser},{3 * i + s + 1},DAY($A$5))&amp;"")</f>
        <v/>
      </c>
    </row>
    <row r="69" hidden="1">
      <c r="A69" s="53">
        <f>IF(Roster!$B$64="","",Roster!$B$64)</f>
        <v/>
      </c>
      <c r="B69" s="54">
        <f>IF(Roster!$C$64="","",Roster!$C$64)</f>
        <v/>
      </c>
      <c r="C69" s="55">
        <f>IF(Roster!$C$64="","",Roster!$F$64&amp;IF(OR(Roster!$G$64="SANS",Roster!$G$64="NSMEN")," | "&amp;Roster!$G$64,""))</f>
        <v/>
      </c>
      <c r="D69" s="81">
        <f>IF(OR($B69="",NOT(AND($A$5&gt;=DATE(PlanYear,1,1),$A$5&lt;=DATE(PlanYear+1,1,31)))),"",INDEX({chooser},{3 * i + s + 1},DAY($A$5))&amp;"")</f>
        <v/>
      </c>
      <c r="E69" s="81">
        <f>IF(OR($B69="",NOT(AND($A$5&gt;=DATE(PlanYear,1,1),$A$5&lt;=DATE(PlanYear+1,1,31)))),"",INDEX({chooser},{3 * i + s + 1},DAY($A$5))&amp;"")</f>
        <v/>
      </c>
      <c r="F69" s="81">
        <f>IF(OR($B69="",NOT(AND($A$5&gt;=DATE(PlanYear,1,1),$A$5&lt;=DATE(PlanYear+1,1,31)))),"",INDEX({chooser},{3 * i + s + 1},DAY($A$5))&amp;"")</f>
        <v/>
      </c>
    </row>
    <row r="70" hidden="1">
      <c r="A70" s="53">
        <f>IF(Roster!$B$65="","",Roster!$B$65)</f>
        <v/>
      </c>
      <c r="B70" s="54">
        <f>IF(Roster!$C$65="","",Roster!$C$65)</f>
        <v/>
      </c>
      <c r="C70" s="55">
        <f>IF(Roster!$C$65="","",Roster!$F$65&amp;IF(OR(Roster!$G$65="SANS",Roster!$G$65="NSMEN")," | "&amp;Roster!$G$65,""))</f>
        <v/>
      </c>
      <c r="D70" s="81">
        <f>IF(OR($B70="",NOT(AND($A$5&gt;=DATE(PlanYear,1,1),$A$5&lt;=DATE(PlanYear+1,1,31)))),"",INDEX({chooser},{3 * i + s + 1},DAY($A$5))&amp;"")</f>
        <v/>
      </c>
      <c r="E70" s="81">
        <f>IF(OR($B70="",NOT(AND($A$5&gt;=DATE(PlanYear,1,1),$A$5&lt;=DATE(PlanYear+1,1,31)))),"",INDEX({chooser},{3 * i + s + 1},DAY($A$5))&amp;"")</f>
        <v/>
      </c>
      <c r="F70" s="81">
        <f>IF(OR($B70="",NOT(AND($A$5&gt;=DATE(PlanYear,1,1),$A$5&lt;=DATE(PlanYear+1,1,31)))),"",INDEX({chooser},{3 * i + s + 1},DAY($A$5))&amp;"")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SUP 2</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SUP 2.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SDO days are kept in their own files. Open them in the dashboard to see the combined calendar.</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inlineStr">
        <is>
          <t>SUP 2</t>
        </is>
      </c>
      <c r="F57" s="90" t="inlineStr">
        <is>
          <t>SUP 2</t>
        </is>
      </c>
      <c r="G57" s="90" t="inlineStr">
        <is>
          <t>SUP 2</t>
        </is>
      </c>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inlineStr">
        <is>
          <t>SUP 2</t>
        </is>
      </c>
      <c r="G59" s="90" t="n"/>
      <c r="I59" s="90" t="inlineStr">
        <is>
          <t>SUP 2</t>
        </is>
      </c>
      <c r="J59" s="90" t="n"/>
      <c r="K59" s="90" t="n"/>
      <c r="L59" s="90" t="inlineStr">
        <is>
          <t>SUP 2</t>
        </is>
      </c>
      <c r="M59" s="90" t="n"/>
      <c r="N59" s="90" t="n"/>
      <c r="O59" s="90" t="inlineStr">
        <is>
          <t>SUP 2</t>
        </is>
      </c>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inlineStr">
        <is>
          <t>SUP 2</t>
        </is>
      </c>
      <c r="B61" s="90" t="n"/>
      <c r="C61" s="90" t="n"/>
      <c r="D61" s="90" t="inlineStr">
        <is>
          <t>SUP 2</t>
        </is>
      </c>
      <c r="E61" s="90" t="n"/>
      <c r="F61" s="90" t="n"/>
      <c r="G61" s="90" t="inlineStr">
        <is>
          <t>SUP 2</t>
        </is>
      </c>
      <c r="I61" s="90" t="n"/>
      <c r="J61" s="90" t="n"/>
      <c r="K61" s="90" t="inlineStr">
        <is>
          <t>SUP 2</t>
        </is>
      </c>
      <c r="L61" s="90" t="n"/>
      <c r="M61" s="90" t="n"/>
      <c r="N61" s="90" t="inlineStr">
        <is>
          <t>SUP 2</t>
        </is>
      </c>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inlineStr">
        <is>
          <t>SUP 2</t>
        </is>
      </c>
      <c r="D63" s="90" t="n"/>
      <c r="E63" s="90" t="n"/>
      <c r="F63" s="90" t="inlineStr">
        <is>
          <t>SUP 2</t>
        </is>
      </c>
      <c r="G63" s="90" t="n"/>
      <c r="I63" s="90" t="n"/>
      <c r="J63" s="90" t="inlineStr">
        <is>
          <t>SUP 2</t>
        </is>
      </c>
      <c r="K63" s="90" t="n"/>
      <c r="L63" s="90" t="n"/>
      <c r="M63" s="90" t="inlineStr">
        <is>
          <t>SUP 2</t>
        </is>
      </c>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inlineStr">
        <is>
          <t>SUP 2</t>
        </is>
      </c>
      <c r="C65" s="90" t="n"/>
      <c r="D65" s="90" t="n"/>
      <c r="E65" s="90" t="inlineStr">
        <is>
          <t>SUP 2</t>
        </is>
      </c>
      <c r="F65" s="90" t="n"/>
      <c r="G65" s="90" t="n"/>
      <c r="I65" s="90" t="inlineStr">
        <is>
          <t>SUP 2</t>
        </is>
      </c>
      <c r="J65" s="90" t="n"/>
      <c r="K65" s="90" t="n"/>
      <c r="L65" s="90" t="inlineStr">
        <is>
          <t>SUP 2</t>
        </is>
      </c>
      <c r="M65" s="90" t="n"/>
      <c r="N65" s="90" t="n"/>
      <c r="O65" s="90" t="inlineStr">
        <is>
          <t>SUP 2</t>
        </is>
      </c>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SDO day" error="Pick your department from the dropdown, or leave the day empty." type="list" errorStyle="stop">
      <formula1>ThisDept</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SUP 2</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SUP 2.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inlineStr">
        <is>
          <t>SUP 2</t>
        </is>
      </c>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inlineStr">
        <is>
          <t>SUP 2</t>
        </is>
      </c>
      <c r="B59" s="90" t="n"/>
      <c r="C59" s="90" t="n"/>
      <c r="D59" s="90" t="inlineStr">
        <is>
          <t>SUP 2</t>
        </is>
      </c>
      <c r="E59" s="90" t="n"/>
      <c r="F59" s="90" t="inlineStr">
        <is>
          <t>SUP 2</t>
        </is>
      </c>
      <c r="G59" s="90" t="n"/>
      <c r="I59" s="90" t="n"/>
      <c r="J59" s="90" t="inlineStr">
        <is>
          <t>SUP 2</t>
        </is>
      </c>
      <c r="K59" s="90" t="n"/>
      <c r="L59" s="90" t="n"/>
      <c r="M59" s="90" t="n"/>
      <c r="N59" s="90" t="inlineStr">
        <is>
          <t>SUP 2</t>
        </is>
      </c>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inlineStr">
        <is>
          <t>SUP 2</t>
        </is>
      </c>
      <c r="D61" s="90" t="n"/>
      <c r="E61" s="90" t="n"/>
      <c r="F61" s="90" t="n"/>
      <c r="G61" s="90" t="inlineStr">
        <is>
          <t>SUP 2</t>
        </is>
      </c>
      <c r="I61" s="90" t="n"/>
      <c r="J61" s="90" t="n"/>
      <c r="K61" s="90" t="inlineStr">
        <is>
          <t>SUP 2</t>
        </is>
      </c>
      <c r="L61" s="90" t="n"/>
      <c r="M61" s="90" t="n"/>
      <c r="N61" s="90" t="n"/>
      <c r="O61" s="90" t="inlineStr">
        <is>
          <t>SUP 2</t>
        </is>
      </c>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inlineStr">
        <is>
          <t>SUP 2</t>
        </is>
      </c>
      <c r="E63" s="90" t="n"/>
      <c r="F63" s="90" t="n"/>
      <c r="G63" s="90" t="n"/>
      <c r="I63" s="90" t="n"/>
      <c r="J63" s="90" t="n"/>
      <c r="K63" s="90" t="n"/>
      <c r="L63" s="90" t="inlineStr">
        <is>
          <t>SUP 2</t>
        </is>
      </c>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inlineStr">
        <is>
          <t>SUP 2</t>
        </is>
      </c>
      <c r="B65" s="90" t="n"/>
      <c r="C65" s="90" t="n"/>
      <c r="D65" s="90" t="n"/>
      <c r="E65" s="90" t="inlineStr">
        <is>
          <t>SUP 2</t>
        </is>
      </c>
      <c r="F65" s="90" t="n"/>
      <c r="G65" s="90" t="n"/>
      <c r="I65" s="90" t="inlineStr">
        <is>
          <t>SUP 2</t>
        </is>
      </c>
      <c r="J65" s="90" t="n"/>
      <c r="K65" s="90" t="n"/>
      <c r="L65" s="90" t="n"/>
      <c r="M65" s="90" t="inlineStr">
        <is>
          <t>SUP 2</t>
        </is>
      </c>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SUP 2</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VIPER</t>
        </is>
      </c>
      <c r="C6" s="95" t="inlineStr">
        <is>
          <t>MAJ Tan Wei Ming</t>
        </is>
      </c>
      <c r="D6" s="95" t="inlineStr">
        <is>
          <t>TWM</t>
        </is>
      </c>
      <c r="E6" s="95" t="inlineStr">
        <is>
          <t>CAT A</t>
        </is>
      </c>
      <c r="F6" s="95" t="inlineStr">
        <is>
          <t>Instructor</t>
        </is>
      </c>
      <c r="G6" s="95" t="inlineStr">
        <is>
          <t>Active</t>
        </is>
      </c>
      <c r="H6" s="95" t="inlineStr">
        <is>
          <t>Sample crew: replace with your own</t>
        </is>
      </c>
    </row>
    <row r="7">
      <c r="A7" s="94" t="n">
        <v>2</v>
      </c>
      <c r="B7" s="95" t="inlineStr">
        <is>
          <t>HAWK</t>
        </is>
      </c>
      <c r="C7" s="95" t="inlineStr">
        <is>
          <t>CPT Sarah Lim</t>
        </is>
      </c>
      <c r="D7" s="95" t="inlineStr">
        <is>
          <t>SL</t>
        </is>
      </c>
      <c r="E7" s="95" t="inlineStr">
        <is>
          <t>CAT A</t>
        </is>
      </c>
      <c r="F7" s="95" t="inlineStr">
        <is>
          <t>Senior CAT A</t>
        </is>
      </c>
      <c r="G7" s="95" t="inlineStr">
        <is>
          <t>Active</t>
        </is>
      </c>
      <c r="H7" s="95" t="n"/>
    </row>
    <row r="8">
      <c r="A8" s="94" t="n">
        <v>3</v>
      </c>
      <c r="B8" s="95" t="inlineStr">
        <is>
          <t>RAPTOR</t>
        </is>
      </c>
      <c r="C8" s="95" t="inlineStr">
        <is>
          <t>CPT Kumaravel S.</t>
        </is>
      </c>
      <c r="D8" s="95" t="inlineStr">
        <is>
          <t>KS</t>
        </is>
      </c>
      <c r="E8" s="95" t="inlineStr">
        <is>
          <t>CAT B</t>
        </is>
      </c>
      <c r="F8" s="95" t="inlineStr">
        <is>
          <t>Senior CAT A</t>
        </is>
      </c>
      <c r="G8" s="95" t="inlineStr">
        <is>
          <t>Active</t>
        </is>
      </c>
      <c r="H8" s="95" t="n"/>
    </row>
    <row r="9">
      <c r="A9" s="94" t="n">
        <v>4</v>
      </c>
      <c r="B9" s="95" t="inlineStr">
        <is>
          <t>FALCON</t>
        </is>
      </c>
      <c r="C9" s="95" t="inlineStr">
        <is>
          <t>LTA Rachel Goh</t>
        </is>
      </c>
      <c r="D9" s="95" t="inlineStr">
        <is>
          <t>RG</t>
        </is>
      </c>
      <c r="E9" s="95" t="inlineStr">
        <is>
          <t>CAT C</t>
        </is>
      </c>
      <c r="F9" s="95" t="inlineStr">
        <is>
          <t>Junior</t>
        </is>
      </c>
      <c r="G9" s="95" t="inlineStr">
        <is>
          <t>Active</t>
        </is>
      </c>
      <c r="H9" s="95" t="n"/>
    </row>
    <row r="10">
      <c r="A10" s="94" t="n">
        <v>5</v>
      </c>
      <c r="B10" s="95" t="inlineStr">
        <is>
          <t>EAGLE</t>
        </is>
      </c>
      <c r="C10" s="95" t="inlineStr">
        <is>
          <t>LTA Marcus Chua</t>
        </is>
      </c>
      <c r="D10" s="95" t="inlineStr">
        <is>
          <t>MC</t>
        </is>
      </c>
      <c r="E10" s="95" t="inlineStr">
        <is>
          <t>CAT D</t>
        </is>
      </c>
      <c r="F10" s="95" t="inlineStr">
        <is>
          <t>Junior</t>
        </is>
      </c>
      <c r="G10" s="95" t="inlineStr">
        <is>
          <t>Active</t>
        </is>
      </c>
      <c r="H10" s="95" t="n"/>
    </row>
    <row r="11">
      <c r="A11" s="94" t="n">
        <v>6</v>
      </c>
      <c r="B11" s="95" t="inlineStr">
        <is>
          <t>OWL</t>
        </is>
      </c>
      <c r="C11" s="95" t="inlineStr">
        <is>
          <t>ME2 Nurul Huda</t>
        </is>
      </c>
      <c r="D11" s="95" t="inlineStr">
        <is>
          <t>NH</t>
        </is>
      </c>
      <c r="E11" s="95" t="inlineStr">
        <is>
          <t>TRAINEE</t>
        </is>
      </c>
      <c r="F11" s="95" t="inlineStr">
        <is>
          <t>Junior</t>
        </is>
      </c>
      <c r="G11" s="95" t="inlineStr">
        <is>
          <t>Active</t>
        </is>
      </c>
      <c r="H11" s="95" t="n"/>
    </row>
    <row r="12">
      <c r="A12" s="94" t="n">
        <v>7</v>
      </c>
      <c r="B12" s="95" t="n"/>
      <c r="C12" s="95" t="n"/>
      <c r="D12" s="95" t="n"/>
      <c r="E12" s="95" t="n"/>
      <c r="F12" s="95" t="n"/>
      <c r="G12" s="95" t="n"/>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TALON</t>
        </is>
      </c>
      <c r="C51" s="98" t="inlineStr">
        <is>
          <t>CPT (NS) Lee Kok Wai</t>
        </is>
      </c>
      <c r="D51" s="98" t="inlineStr">
        <is>
          <t>LKW</t>
        </is>
      </c>
      <c r="E51" s="98" t="inlineStr">
        <is>
          <t>CAT A</t>
        </is>
      </c>
      <c r="F51" s="98" t="inlineStr">
        <is>
          <t>Instructor</t>
        </is>
      </c>
      <c r="G51" s="98" t="inlineStr">
        <is>
          <t>NSMEN</t>
        </is>
      </c>
      <c r="H51" s="98" t="n"/>
      <c r="J51" s="99" t="inlineStr">
        <is>
          <t>SANS / NSmen from here</t>
        </is>
      </c>
    </row>
    <row r="52">
      <c r="A52" s="100" t="n">
        <v>47</v>
      </c>
      <c r="B52" s="101" t="inlineStr">
        <is>
          <t>KESTREL</t>
        </is>
      </c>
      <c r="C52" s="101" t="inlineStr">
        <is>
          <t>ME3 Ahmad Yusof</t>
        </is>
      </c>
      <c r="D52" s="101" t="inlineStr">
        <is>
          <t>AY</t>
        </is>
      </c>
      <c r="E52" s="101" t="inlineStr">
        <is>
          <t>CAT B</t>
        </is>
      </c>
      <c r="F52" s="101" t="inlineStr">
        <is>
          <t>Senior CAT A</t>
        </is>
      </c>
      <c r="G52" s="101" t="inlineStr">
        <is>
          <t>SANS</t>
        </is>
      </c>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SUP 2</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SUP 2</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v>46296</v>
      </c>
      <c r="B6" s="107" t="inlineStr">
        <is>
          <t>AM</t>
        </is>
      </c>
      <c r="C6" s="105" t="inlineStr">
        <is>
          <t>VIPER</t>
        </is>
      </c>
      <c r="D6" s="92">
        <f>IF(C6="","",IFERROR(INDEX(Roster!$C$6:$C$65,IFERROR(MATCH(C6,Roster!$B$6:$B$65,0),MATCH(C6,Roster!$C$6:$C$65,0))),"not on the Roster"))</f>
        <v/>
      </c>
      <c r="E6" s="106" t="inlineStr">
        <is>
          <t>Instructor for EAGLE</t>
        </is>
      </c>
      <c r="F6" s="104">
        <f>IF(OR(A6="",C6="",B6=""),"",IFERROR(INDEX(CHOOSE(IF(YEAR(A6)&gt;PlanYear,13,MONTH(A6)),'Jan'!$D$27:$AH$206,'Feb'!$D$27:$AH$206,'Mar'!$D$27:$AH$206,'Apr'!$D$27:$AH$206,'May'!$D$27:$AH$206,'Jun'!$D$27:$AH$206,'Jul'!$D$27:$AH$206,'Aug'!$D$27:$AH$206,'Sep'!$D$27:$AH$206,'Oct'!$D$27:$AH$206,'Nov'!$D$27:$AH$206,'Dec'!$D$27:$AH$206,'Jan (next year)'!$D$27:$AH$206),27+3*(IFERROR(MATCH(C6,Roster!$B$6:$B$65,0),MATCH(C6,Roster!$C$6:$C$65,0))-1)+MATCH(B6,{"AM","PM","NIGHT"},0)-1-27+1,DAY(A6))&amp;"",""))</f>
        <v/>
      </c>
      <c r="G6" s="123">
        <f>IF(OR(A6="",C6="",B6="",E6=""),"",IFERROR(A6&amp;"|"&amp;(27+3*(IFERROR(MATCH(C6,Roster!$B$6:$B$65,0),MATCH(C6,Roster!$C$6:$C$65,0))-1)+MATCH(B6,{"AM","PM","NIGHT"},0)-1),""))</f>
        <v/>
      </c>
    </row>
    <row r="7">
      <c r="A7" s="122" t="n">
        <v>46297</v>
      </c>
      <c r="B7" s="107" t="inlineStr">
        <is>
          <t>NIGHT</t>
        </is>
      </c>
      <c r="C7" s="105" t="inlineStr">
        <is>
          <t>VIPER</t>
        </is>
      </c>
      <c r="D7" s="92">
        <f>IF(C7="","",IFERROR(INDEX(Roster!$C$6:$C$65,IFERROR(MATCH(C7,Roster!$B$6:$B$65,0),MATCH(C7,Roster!$C$6:$C$65,0))),"not on the Roster"))</f>
        <v/>
      </c>
      <c r="E7" s="106" t="inlineStr">
        <is>
          <t>NVG currency check</t>
        </is>
      </c>
      <c r="F7" s="104">
        <f>IF(OR(A7="",C7="",B7=""),"",IFERROR(INDEX(CHOOSE(IF(YEAR(A7)&gt;PlanYear,13,MONTH(A7)),'Jan'!$D$27:$AH$206,'Feb'!$D$27:$AH$206,'Mar'!$D$27:$AH$206,'Apr'!$D$27:$AH$206,'May'!$D$27:$AH$206,'Jun'!$D$27:$AH$206,'Jul'!$D$27:$AH$206,'Aug'!$D$27:$AH$206,'Sep'!$D$27:$AH$206,'Oct'!$D$27:$AH$206,'Nov'!$D$27:$AH$206,'Dec'!$D$27:$AH$206,'Jan (next year)'!$D$27:$AH$206),27+3*(IFERROR(MATCH(C7,Roster!$B$6:$B$65,0),MATCH(C7,Roster!$C$6:$C$65,0))-1)+MATCH(B7,{"AM","PM","NIGHT"},0)-1-27+1,DAY(A7))&amp;"",""))</f>
        <v/>
      </c>
      <c r="G7" s="123">
        <f>IF(OR(A7="",C7="",B7="",E7=""),"",IFERROR(A7&amp;"|"&amp;(27+3*(IFERROR(MATCH(C7,Roster!$B$6:$B$65,0),MATCH(C7,Roster!$C$6:$C$65,0))-1)+MATCH(B7,{"AM","PM","NIGHT"},0)-1),""))</f>
        <v/>
      </c>
    </row>
    <row r="8">
      <c r="A8" s="122" t="n">
        <v>46300</v>
      </c>
      <c r="B8" s="107" t="inlineStr">
        <is>
          <t>AM</t>
        </is>
      </c>
      <c r="C8" s="105" t="inlineStr">
        <is>
          <t>HAWK</t>
        </is>
      </c>
      <c r="D8" s="92">
        <f>IF(C8="","",IFERROR(INDEX(Roster!$C$6:$C$65,IFERROR(MATCH(C8,Roster!$B$6:$B$65,0),MATCH(C8,Roster!$C$6:$C$65,0))),"not on the Roster"))</f>
        <v/>
      </c>
      <c r="E8" s="106" t="inlineStr">
        <is>
          <t>Lead, brief 0730</t>
        </is>
      </c>
      <c r="F8" s="104">
        <f>IF(OR(A8="",C8="",B8=""),"",IFERROR(INDEX(CHOOSE(IF(YEAR(A8)&gt;PlanYear,13,MONTH(A8)),'Jan'!$D$27:$AH$206,'Feb'!$D$27:$AH$206,'Mar'!$D$27:$AH$206,'Apr'!$D$27:$AH$206,'May'!$D$27:$AH$206,'Jun'!$D$27:$AH$206,'Jul'!$D$27:$AH$206,'Aug'!$D$27:$AH$206,'Sep'!$D$27:$AH$206,'Oct'!$D$27:$AH$206,'Nov'!$D$27:$AH$206,'Dec'!$D$27:$AH$206,'Jan (next year)'!$D$27:$AH$206),27+3*(IFERROR(MATCH(C8,Roster!$B$6:$B$65,0),MATCH(C8,Roster!$C$6:$C$65,0))-1)+MATCH(B8,{"AM","PM","NIGHT"},0)-1-27+1,DAY(A8))&amp;"",""))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IF(YEAR(A9)&gt;PlanYear,13,MONTH(A9)),'Jan'!$D$27:$AH$206,'Feb'!$D$27:$AH$206,'Mar'!$D$27:$AH$206,'Apr'!$D$27:$AH$206,'May'!$D$27:$AH$206,'Jun'!$D$27:$AH$206,'Jul'!$D$27:$AH$206,'Aug'!$D$27:$AH$206,'Sep'!$D$27:$AH$206,'Oct'!$D$27:$AH$206,'Nov'!$D$27:$AH$206,'Dec'!$D$27:$AH$206,'Jan (next year)'!$D$27:$AH$206),27+3*(IFERROR(MATCH(C9,Roster!$B$6:$B$65,0),MATCH(C9,Roster!$C$6:$C$65,0))-1)+MATCH(B9,{"AM","PM","NIGHT"},0)-1-27+1,DAY(A9))&amp;"",""))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IF(YEAR(A10)&gt;PlanYear,13,MONTH(A10)),'Jan'!$D$27:$AH$206,'Feb'!$D$27:$AH$206,'Mar'!$D$27:$AH$206,'Apr'!$D$27:$AH$206,'May'!$D$27:$AH$206,'Jun'!$D$27:$AH$206,'Jul'!$D$27:$AH$206,'Aug'!$D$27:$AH$206,'Sep'!$D$27:$AH$206,'Oct'!$D$27:$AH$206,'Nov'!$D$27:$AH$206,'Dec'!$D$27:$AH$206,'Jan (next year)'!$D$27:$AH$206),27+3*(IFERROR(MATCH(C10,Roster!$B$6:$B$65,0),MATCH(C10,Roster!$C$6:$C$65,0))-1)+MATCH(B10,{"AM","PM","NIGHT"},0)-1-27+1,DAY(A10))&amp;"",""))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IF(YEAR(A11)&gt;PlanYear,13,MONTH(A11)),'Jan'!$D$27:$AH$206,'Feb'!$D$27:$AH$206,'Mar'!$D$27:$AH$206,'Apr'!$D$27:$AH$206,'May'!$D$27:$AH$206,'Jun'!$D$27:$AH$206,'Jul'!$D$27:$AH$206,'Aug'!$D$27:$AH$206,'Sep'!$D$27:$AH$206,'Oct'!$D$27:$AH$206,'Nov'!$D$27:$AH$206,'Dec'!$D$27:$AH$206,'Jan (next year)'!$D$27:$AH$206),27+3*(IFERROR(MATCH(C11,Roster!$B$6:$B$65,0),MATCH(C11,Roster!$C$6:$C$65,0))-1)+MATCH(B11,{"AM","PM","NIGHT"},0)-1-27+1,DAY(A11))&amp;"",""))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IF(YEAR(A12)&gt;PlanYear,13,MONTH(A12)),'Jan'!$D$27:$AH$206,'Feb'!$D$27:$AH$206,'Mar'!$D$27:$AH$206,'Apr'!$D$27:$AH$206,'May'!$D$27:$AH$206,'Jun'!$D$27:$AH$206,'Jul'!$D$27:$AH$206,'Aug'!$D$27:$AH$206,'Sep'!$D$27:$AH$206,'Oct'!$D$27:$AH$206,'Nov'!$D$27:$AH$206,'Dec'!$D$27:$AH$206,'Jan (next year)'!$D$27:$AH$206),27+3*(IFERROR(MATCH(C12,Roster!$B$6:$B$65,0),MATCH(C12,Roster!$C$6:$C$65,0))-1)+MATCH(B12,{"AM","PM","NIGHT"},0)-1-27+1,DAY(A12))&amp;"",""))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IF(YEAR(A13)&gt;PlanYear,13,MONTH(A13)),'Jan'!$D$27:$AH$206,'Feb'!$D$27:$AH$206,'Mar'!$D$27:$AH$206,'Apr'!$D$27:$AH$206,'May'!$D$27:$AH$206,'Jun'!$D$27:$AH$206,'Jul'!$D$27:$AH$206,'Aug'!$D$27:$AH$206,'Sep'!$D$27:$AH$206,'Oct'!$D$27:$AH$206,'Nov'!$D$27:$AH$206,'Dec'!$D$27:$AH$206,'Jan (next year)'!$D$27:$AH$206),27+3*(IFERROR(MATCH(C13,Roster!$B$6:$B$65,0),MATCH(C13,Roster!$C$6:$C$65,0))-1)+MATCH(B13,{"AM","PM","NIGHT"},0)-1-27+1,DAY(A13))&amp;"",""))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IF(YEAR(A14)&gt;PlanYear,13,MONTH(A14)),'Jan'!$D$27:$AH$206,'Feb'!$D$27:$AH$206,'Mar'!$D$27:$AH$206,'Apr'!$D$27:$AH$206,'May'!$D$27:$AH$206,'Jun'!$D$27:$AH$206,'Jul'!$D$27:$AH$206,'Aug'!$D$27:$AH$206,'Sep'!$D$27:$AH$206,'Oct'!$D$27:$AH$206,'Nov'!$D$27:$AH$206,'Dec'!$D$27:$AH$206,'Jan (next year)'!$D$27:$AH$206),27+3*(IFERROR(MATCH(C14,Roster!$B$6:$B$65,0),MATCH(C14,Roster!$C$6:$C$65,0))-1)+MATCH(B14,{"AM","PM","NIGHT"},0)-1-27+1,DAY(A14))&amp;"",""))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IF(YEAR(A15)&gt;PlanYear,13,MONTH(A15)),'Jan'!$D$27:$AH$206,'Feb'!$D$27:$AH$206,'Mar'!$D$27:$AH$206,'Apr'!$D$27:$AH$206,'May'!$D$27:$AH$206,'Jun'!$D$27:$AH$206,'Jul'!$D$27:$AH$206,'Aug'!$D$27:$AH$206,'Sep'!$D$27:$AH$206,'Oct'!$D$27:$AH$206,'Nov'!$D$27:$AH$206,'Dec'!$D$27:$AH$206,'Jan (next year)'!$D$27:$AH$206),27+3*(IFERROR(MATCH(C15,Roster!$B$6:$B$65,0),MATCH(C15,Roster!$C$6:$C$65,0))-1)+MATCH(B15,{"AM","PM","NIGHT"},0)-1-27+1,DAY(A15))&amp;"",""))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IF(YEAR(A16)&gt;PlanYear,13,MONTH(A16)),'Jan'!$D$27:$AH$206,'Feb'!$D$27:$AH$206,'Mar'!$D$27:$AH$206,'Apr'!$D$27:$AH$206,'May'!$D$27:$AH$206,'Jun'!$D$27:$AH$206,'Jul'!$D$27:$AH$206,'Aug'!$D$27:$AH$206,'Sep'!$D$27:$AH$206,'Oct'!$D$27:$AH$206,'Nov'!$D$27:$AH$206,'Dec'!$D$27:$AH$206,'Jan (next year)'!$D$27:$AH$206),27+3*(IFERROR(MATCH(C16,Roster!$B$6:$B$65,0),MATCH(C16,Roster!$C$6:$C$65,0))-1)+MATCH(B16,{"AM","PM","NIGHT"},0)-1-27+1,DAY(A16))&amp;"",""))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IF(YEAR(A17)&gt;PlanYear,13,MONTH(A17)),'Jan'!$D$27:$AH$206,'Feb'!$D$27:$AH$206,'Mar'!$D$27:$AH$206,'Apr'!$D$27:$AH$206,'May'!$D$27:$AH$206,'Jun'!$D$27:$AH$206,'Jul'!$D$27:$AH$206,'Aug'!$D$27:$AH$206,'Sep'!$D$27:$AH$206,'Oct'!$D$27:$AH$206,'Nov'!$D$27:$AH$206,'Dec'!$D$27:$AH$206,'Jan (next year)'!$D$27:$AH$206),27+3*(IFERROR(MATCH(C17,Roster!$B$6:$B$65,0),MATCH(C17,Roster!$C$6:$C$65,0))-1)+MATCH(B17,{"AM","PM","NIGHT"},0)-1-27+1,DAY(A17))&amp;"",""))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IF(YEAR(A18)&gt;PlanYear,13,MONTH(A18)),'Jan'!$D$27:$AH$206,'Feb'!$D$27:$AH$206,'Mar'!$D$27:$AH$206,'Apr'!$D$27:$AH$206,'May'!$D$27:$AH$206,'Jun'!$D$27:$AH$206,'Jul'!$D$27:$AH$206,'Aug'!$D$27:$AH$206,'Sep'!$D$27:$AH$206,'Oct'!$D$27:$AH$206,'Nov'!$D$27:$AH$206,'Dec'!$D$27:$AH$206,'Jan (next year)'!$D$27:$AH$206),27+3*(IFERROR(MATCH(C18,Roster!$B$6:$B$65,0),MATCH(C18,Roster!$C$6:$C$65,0))-1)+MATCH(B18,{"AM","PM","NIGHT"},0)-1-27+1,DAY(A18))&amp;"",""))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IF(YEAR(A19)&gt;PlanYear,13,MONTH(A19)),'Jan'!$D$27:$AH$206,'Feb'!$D$27:$AH$206,'Mar'!$D$27:$AH$206,'Apr'!$D$27:$AH$206,'May'!$D$27:$AH$206,'Jun'!$D$27:$AH$206,'Jul'!$D$27:$AH$206,'Aug'!$D$27:$AH$206,'Sep'!$D$27:$AH$206,'Oct'!$D$27:$AH$206,'Nov'!$D$27:$AH$206,'Dec'!$D$27:$AH$206,'Jan (next year)'!$D$27:$AH$206),27+3*(IFERROR(MATCH(C19,Roster!$B$6:$B$65,0),MATCH(C19,Roster!$C$6:$C$65,0))-1)+MATCH(B19,{"AM","PM","NIGHT"},0)-1-27+1,DAY(A19))&amp;"",""))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IF(YEAR(A20)&gt;PlanYear,13,MONTH(A20)),'Jan'!$D$27:$AH$206,'Feb'!$D$27:$AH$206,'Mar'!$D$27:$AH$206,'Apr'!$D$27:$AH$206,'May'!$D$27:$AH$206,'Jun'!$D$27:$AH$206,'Jul'!$D$27:$AH$206,'Aug'!$D$27:$AH$206,'Sep'!$D$27:$AH$206,'Oct'!$D$27:$AH$206,'Nov'!$D$27:$AH$206,'Dec'!$D$27:$AH$206,'Jan (next year)'!$D$27:$AH$206),27+3*(IFERROR(MATCH(C20,Roster!$B$6:$B$65,0),MATCH(C20,Roster!$C$6:$C$65,0))-1)+MATCH(B20,{"AM","PM","NIGHT"},0)-1-27+1,DAY(A20))&amp;"",""))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IF(YEAR(A21)&gt;PlanYear,13,MONTH(A21)),'Jan'!$D$27:$AH$206,'Feb'!$D$27:$AH$206,'Mar'!$D$27:$AH$206,'Apr'!$D$27:$AH$206,'May'!$D$27:$AH$206,'Jun'!$D$27:$AH$206,'Jul'!$D$27:$AH$206,'Aug'!$D$27:$AH$206,'Sep'!$D$27:$AH$206,'Oct'!$D$27:$AH$206,'Nov'!$D$27:$AH$206,'Dec'!$D$27:$AH$206,'Jan (next year)'!$D$27:$AH$206),27+3*(IFERROR(MATCH(C21,Roster!$B$6:$B$65,0),MATCH(C21,Roster!$C$6:$C$65,0))-1)+MATCH(B21,{"AM","PM","NIGHT"},0)-1-27+1,DAY(A21))&amp;"",""))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IF(YEAR(A22)&gt;PlanYear,13,MONTH(A22)),'Jan'!$D$27:$AH$206,'Feb'!$D$27:$AH$206,'Mar'!$D$27:$AH$206,'Apr'!$D$27:$AH$206,'May'!$D$27:$AH$206,'Jun'!$D$27:$AH$206,'Jul'!$D$27:$AH$206,'Aug'!$D$27:$AH$206,'Sep'!$D$27:$AH$206,'Oct'!$D$27:$AH$206,'Nov'!$D$27:$AH$206,'Dec'!$D$27:$AH$206,'Jan (next year)'!$D$27:$AH$206),27+3*(IFERROR(MATCH(C22,Roster!$B$6:$B$65,0),MATCH(C22,Roster!$C$6:$C$65,0))-1)+MATCH(B22,{"AM","PM","NIGHT"},0)-1-27+1,DAY(A22))&amp;"",""))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IF(YEAR(A23)&gt;PlanYear,13,MONTH(A23)),'Jan'!$D$27:$AH$206,'Feb'!$D$27:$AH$206,'Mar'!$D$27:$AH$206,'Apr'!$D$27:$AH$206,'May'!$D$27:$AH$206,'Jun'!$D$27:$AH$206,'Jul'!$D$27:$AH$206,'Aug'!$D$27:$AH$206,'Sep'!$D$27:$AH$206,'Oct'!$D$27:$AH$206,'Nov'!$D$27:$AH$206,'Dec'!$D$27:$AH$206,'Jan (next year)'!$D$27:$AH$206),27+3*(IFERROR(MATCH(C23,Roster!$B$6:$B$65,0),MATCH(C23,Roster!$C$6:$C$65,0))-1)+MATCH(B23,{"AM","PM","NIGHT"},0)-1-27+1,DAY(A23))&amp;"",""))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IF(YEAR(A24)&gt;PlanYear,13,MONTH(A24)),'Jan'!$D$27:$AH$206,'Feb'!$D$27:$AH$206,'Mar'!$D$27:$AH$206,'Apr'!$D$27:$AH$206,'May'!$D$27:$AH$206,'Jun'!$D$27:$AH$206,'Jul'!$D$27:$AH$206,'Aug'!$D$27:$AH$206,'Sep'!$D$27:$AH$206,'Oct'!$D$27:$AH$206,'Nov'!$D$27:$AH$206,'Dec'!$D$27:$AH$206,'Jan (next year)'!$D$27:$AH$206),27+3*(IFERROR(MATCH(C24,Roster!$B$6:$B$65,0),MATCH(C24,Roster!$C$6:$C$65,0))-1)+MATCH(B24,{"AM","PM","NIGHT"},0)-1-27+1,DAY(A24))&amp;"",""))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IF(YEAR(A25)&gt;PlanYear,13,MONTH(A25)),'Jan'!$D$27:$AH$206,'Feb'!$D$27:$AH$206,'Mar'!$D$27:$AH$206,'Apr'!$D$27:$AH$206,'May'!$D$27:$AH$206,'Jun'!$D$27:$AH$206,'Jul'!$D$27:$AH$206,'Aug'!$D$27:$AH$206,'Sep'!$D$27:$AH$206,'Oct'!$D$27:$AH$206,'Nov'!$D$27:$AH$206,'Dec'!$D$27:$AH$206,'Jan (next year)'!$D$27:$AH$206),27+3*(IFERROR(MATCH(C25,Roster!$B$6:$B$65,0),MATCH(C25,Roster!$C$6:$C$65,0))-1)+MATCH(B25,{"AM","PM","NIGHT"},0)-1-27+1,DAY(A25))&amp;"",""))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IF(YEAR(A26)&gt;PlanYear,13,MONTH(A26)),'Jan'!$D$27:$AH$206,'Feb'!$D$27:$AH$206,'Mar'!$D$27:$AH$206,'Apr'!$D$27:$AH$206,'May'!$D$27:$AH$206,'Jun'!$D$27:$AH$206,'Jul'!$D$27:$AH$206,'Aug'!$D$27:$AH$206,'Sep'!$D$27:$AH$206,'Oct'!$D$27:$AH$206,'Nov'!$D$27:$AH$206,'Dec'!$D$27:$AH$206,'Jan (next year)'!$D$27:$AH$206),27+3*(IFERROR(MATCH(C26,Roster!$B$6:$B$65,0),MATCH(C26,Roster!$C$6:$C$65,0))-1)+MATCH(B26,{"AM","PM","NIGHT"},0)-1-27+1,DAY(A26))&amp;"",""))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IF(YEAR(A27)&gt;PlanYear,13,MONTH(A27)),'Jan'!$D$27:$AH$206,'Feb'!$D$27:$AH$206,'Mar'!$D$27:$AH$206,'Apr'!$D$27:$AH$206,'May'!$D$27:$AH$206,'Jun'!$D$27:$AH$206,'Jul'!$D$27:$AH$206,'Aug'!$D$27:$AH$206,'Sep'!$D$27:$AH$206,'Oct'!$D$27:$AH$206,'Nov'!$D$27:$AH$206,'Dec'!$D$27:$AH$206,'Jan (next year)'!$D$27:$AH$206),27+3*(IFERROR(MATCH(C27,Roster!$B$6:$B$65,0),MATCH(C27,Roster!$C$6:$C$65,0))-1)+MATCH(B27,{"AM","PM","NIGHT"},0)-1-27+1,DAY(A27))&amp;"",""))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IF(YEAR(A28)&gt;PlanYear,13,MONTH(A28)),'Jan'!$D$27:$AH$206,'Feb'!$D$27:$AH$206,'Mar'!$D$27:$AH$206,'Apr'!$D$27:$AH$206,'May'!$D$27:$AH$206,'Jun'!$D$27:$AH$206,'Jul'!$D$27:$AH$206,'Aug'!$D$27:$AH$206,'Sep'!$D$27:$AH$206,'Oct'!$D$27:$AH$206,'Nov'!$D$27:$AH$206,'Dec'!$D$27:$AH$206,'Jan (next year)'!$D$27:$AH$206),27+3*(IFERROR(MATCH(C28,Roster!$B$6:$B$65,0),MATCH(C28,Roster!$C$6:$C$65,0))-1)+MATCH(B28,{"AM","PM","NIGHT"},0)-1-27+1,DAY(A28))&amp;"",""))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IF(YEAR(A29)&gt;PlanYear,13,MONTH(A29)),'Jan'!$D$27:$AH$206,'Feb'!$D$27:$AH$206,'Mar'!$D$27:$AH$206,'Apr'!$D$27:$AH$206,'May'!$D$27:$AH$206,'Jun'!$D$27:$AH$206,'Jul'!$D$27:$AH$206,'Aug'!$D$27:$AH$206,'Sep'!$D$27:$AH$206,'Oct'!$D$27:$AH$206,'Nov'!$D$27:$AH$206,'Dec'!$D$27:$AH$206,'Jan (next year)'!$D$27:$AH$206),27+3*(IFERROR(MATCH(C29,Roster!$B$6:$B$65,0),MATCH(C29,Roster!$C$6:$C$65,0))-1)+MATCH(B29,{"AM","PM","NIGHT"},0)-1-27+1,DAY(A29))&amp;"",""))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IF(YEAR(A30)&gt;PlanYear,13,MONTH(A30)),'Jan'!$D$27:$AH$206,'Feb'!$D$27:$AH$206,'Mar'!$D$27:$AH$206,'Apr'!$D$27:$AH$206,'May'!$D$27:$AH$206,'Jun'!$D$27:$AH$206,'Jul'!$D$27:$AH$206,'Aug'!$D$27:$AH$206,'Sep'!$D$27:$AH$206,'Oct'!$D$27:$AH$206,'Nov'!$D$27:$AH$206,'Dec'!$D$27:$AH$206,'Jan (next year)'!$D$27:$AH$206),27+3*(IFERROR(MATCH(C30,Roster!$B$6:$B$65,0),MATCH(C30,Roster!$C$6:$C$65,0))-1)+MATCH(B30,{"AM","PM","NIGHT"},0)-1-27+1,DAY(A30))&amp;"",""))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IF(YEAR(A31)&gt;PlanYear,13,MONTH(A31)),'Jan'!$D$27:$AH$206,'Feb'!$D$27:$AH$206,'Mar'!$D$27:$AH$206,'Apr'!$D$27:$AH$206,'May'!$D$27:$AH$206,'Jun'!$D$27:$AH$206,'Jul'!$D$27:$AH$206,'Aug'!$D$27:$AH$206,'Sep'!$D$27:$AH$206,'Oct'!$D$27:$AH$206,'Nov'!$D$27:$AH$206,'Dec'!$D$27:$AH$206,'Jan (next year)'!$D$27:$AH$206),27+3*(IFERROR(MATCH(C31,Roster!$B$6:$B$65,0),MATCH(C31,Roster!$C$6:$C$65,0))-1)+MATCH(B31,{"AM","PM","NIGHT"},0)-1-27+1,DAY(A31))&amp;"",""))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IF(YEAR(A32)&gt;PlanYear,13,MONTH(A32)),'Jan'!$D$27:$AH$206,'Feb'!$D$27:$AH$206,'Mar'!$D$27:$AH$206,'Apr'!$D$27:$AH$206,'May'!$D$27:$AH$206,'Jun'!$D$27:$AH$206,'Jul'!$D$27:$AH$206,'Aug'!$D$27:$AH$206,'Sep'!$D$27:$AH$206,'Oct'!$D$27:$AH$206,'Nov'!$D$27:$AH$206,'Dec'!$D$27:$AH$206,'Jan (next year)'!$D$27:$AH$206),27+3*(IFERROR(MATCH(C32,Roster!$B$6:$B$65,0),MATCH(C32,Roster!$C$6:$C$65,0))-1)+MATCH(B32,{"AM","PM","NIGHT"},0)-1-27+1,DAY(A32))&amp;"",""))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IF(YEAR(A33)&gt;PlanYear,13,MONTH(A33)),'Jan'!$D$27:$AH$206,'Feb'!$D$27:$AH$206,'Mar'!$D$27:$AH$206,'Apr'!$D$27:$AH$206,'May'!$D$27:$AH$206,'Jun'!$D$27:$AH$206,'Jul'!$D$27:$AH$206,'Aug'!$D$27:$AH$206,'Sep'!$D$27:$AH$206,'Oct'!$D$27:$AH$206,'Nov'!$D$27:$AH$206,'Dec'!$D$27:$AH$206,'Jan (next year)'!$D$27:$AH$206),27+3*(IFERROR(MATCH(C33,Roster!$B$6:$B$65,0),MATCH(C33,Roster!$C$6:$C$65,0))-1)+MATCH(B33,{"AM","PM","NIGHT"},0)-1-27+1,DAY(A33))&amp;"",""))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IF(YEAR(A34)&gt;PlanYear,13,MONTH(A34)),'Jan'!$D$27:$AH$206,'Feb'!$D$27:$AH$206,'Mar'!$D$27:$AH$206,'Apr'!$D$27:$AH$206,'May'!$D$27:$AH$206,'Jun'!$D$27:$AH$206,'Jul'!$D$27:$AH$206,'Aug'!$D$27:$AH$206,'Sep'!$D$27:$AH$206,'Oct'!$D$27:$AH$206,'Nov'!$D$27:$AH$206,'Dec'!$D$27:$AH$206,'Jan (next year)'!$D$27:$AH$206),27+3*(IFERROR(MATCH(C34,Roster!$B$6:$B$65,0),MATCH(C34,Roster!$C$6:$C$65,0))-1)+MATCH(B34,{"AM","PM","NIGHT"},0)-1-27+1,DAY(A34))&amp;"",""))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IF(YEAR(A35)&gt;PlanYear,13,MONTH(A35)),'Jan'!$D$27:$AH$206,'Feb'!$D$27:$AH$206,'Mar'!$D$27:$AH$206,'Apr'!$D$27:$AH$206,'May'!$D$27:$AH$206,'Jun'!$D$27:$AH$206,'Jul'!$D$27:$AH$206,'Aug'!$D$27:$AH$206,'Sep'!$D$27:$AH$206,'Oct'!$D$27:$AH$206,'Nov'!$D$27:$AH$206,'Dec'!$D$27:$AH$206,'Jan (next year)'!$D$27:$AH$206),27+3*(IFERROR(MATCH(C35,Roster!$B$6:$B$65,0),MATCH(C35,Roster!$C$6:$C$65,0))-1)+MATCH(B35,{"AM","PM","NIGHT"},0)-1-27+1,DAY(A35))&amp;"",""))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IF(YEAR(A36)&gt;PlanYear,13,MONTH(A36)),'Jan'!$D$27:$AH$206,'Feb'!$D$27:$AH$206,'Mar'!$D$27:$AH$206,'Apr'!$D$27:$AH$206,'May'!$D$27:$AH$206,'Jun'!$D$27:$AH$206,'Jul'!$D$27:$AH$206,'Aug'!$D$27:$AH$206,'Sep'!$D$27:$AH$206,'Oct'!$D$27:$AH$206,'Nov'!$D$27:$AH$206,'Dec'!$D$27:$AH$206,'Jan (next year)'!$D$27:$AH$206),27+3*(IFERROR(MATCH(C36,Roster!$B$6:$B$65,0),MATCH(C36,Roster!$C$6:$C$65,0))-1)+MATCH(B36,{"AM","PM","NIGHT"},0)-1-27+1,DAY(A36))&amp;"",""))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IF(YEAR(A37)&gt;PlanYear,13,MONTH(A37)),'Jan'!$D$27:$AH$206,'Feb'!$D$27:$AH$206,'Mar'!$D$27:$AH$206,'Apr'!$D$27:$AH$206,'May'!$D$27:$AH$206,'Jun'!$D$27:$AH$206,'Jul'!$D$27:$AH$206,'Aug'!$D$27:$AH$206,'Sep'!$D$27:$AH$206,'Oct'!$D$27:$AH$206,'Nov'!$D$27:$AH$206,'Dec'!$D$27:$AH$206,'Jan (next year)'!$D$27:$AH$206),27+3*(IFERROR(MATCH(C37,Roster!$B$6:$B$65,0),MATCH(C37,Roster!$C$6:$C$65,0))-1)+MATCH(B37,{"AM","PM","NIGHT"},0)-1-27+1,DAY(A37))&amp;"",""))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IF(YEAR(A38)&gt;PlanYear,13,MONTH(A38)),'Jan'!$D$27:$AH$206,'Feb'!$D$27:$AH$206,'Mar'!$D$27:$AH$206,'Apr'!$D$27:$AH$206,'May'!$D$27:$AH$206,'Jun'!$D$27:$AH$206,'Jul'!$D$27:$AH$206,'Aug'!$D$27:$AH$206,'Sep'!$D$27:$AH$206,'Oct'!$D$27:$AH$206,'Nov'!$D$27:$AH$206,'Dec'!$D$27:$AH$206,'Jan (next year)'!$D$27:$AH$206),27+3*(IFERROR(MATCH(C38,Roster!$B$6:$B$65,0),MATCH(C38,Roster!$C$6:$C$65,0))-1)+MATCH(B38,{"AM","PM","NIGHT"},0)-1-27+1,DAY(A38))&amp;"",""))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IF(YEAR(A39)&gt;PlanYear,13,MONTH(A39)),'Jan'!$D$27:$AH$206,'Feb'!$D$27:$AH$206,'Mar'!$D$27:$AH$206,'Apr'!$D$27:$AH$206,'May'!$D$27:$AH$206,'Jun'!$D$27:$AH$206,'Jul'!$D$27:$AH$206,'Aug'!$D$27:$AH$206,'Sep'!$D$27:$AH$206,'Oct'!$D$27:$AH$206,'Nov'!$D$27:$AH$206,'Dec'!$D$27:$AH$206,'Jan (next year)'!$D$27:$AH$206),27+3*(IFERROR(MATCH(C39,Roster!$B$6:$B$65,0),MATCH(C39,Roster!$C$6:$C$65,0))-1)+MATCH(B39,{"AM","PM","NIGHT"},0)-1-27+1,DAY(A39))&amp;"",""))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IF(YEAR(A40)&gt;PlanYear,13,MONTH(A40)),'Jan'!$D$27:$AH$206,'Feb'!$D$27:$AH$206,'Mar'!$D$27:$AH$206,'Apr'!$D$27:$AH$206,'May'!$D$27:$AH$206,'Jun'!$D$27:$AH$206,'Jul'!$D$27:$AH$206,'Aug'!$D$27:$AH$206,'Sep'!$D$27:$AH$206,'Oct'!$D$27:$AH$206,'Nov'!$D$27:$AH$206,'Dec'!$D$27:$AH$206,'Jan (next year)'!$D$27:$AH$206),27+3*(IFERROR(MATCH(C40,Roster!$B$6:$B$65,0),MATCH(C40,Roster!$C$6:$C$65,0))-1)+MATCH(B40,{"AM","PM","NIGHT"},0)-1-27+1,DAY(A40))&amp;"",""))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IF(YEAR(A41)&gt;PlanYear,13,MONTH(A41)),'Jan'!$D$27:$AH$206,'Feb'!$D$27:$AH$206,'Mar'!$D$27:$AH$206,'Apr'!$D$27:$AH$206,'May'!$D$27:$AH$206,'Jun'!$D$27:$AH$206,'Jul'!$D$27:$AH$206,'Aug'!$D$27:$AH$206,'Sep'!$D$27:$AH$206,'Oct'!$D$27:$AH$206,'Nov'!$D$27:$AH$206,'Dec'!$D$27:$AH$206,'Jan (next year)'!$D$27:$AH$206),27+3*(IFERROR(MATCH(C41,Roster!$B$6:$B$65,0),MATCH(C41,Roster!$C$6:$C$65,0))-1)+MATCH(B41,{"AM","PM","NIGHT"},0)-1-27+1,DAY(A41))&amp;"",""))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IF(YEAR(A42)&gt;PlanYear,13,MONTH(A42)),'Jan'!$D$27:$AH$206,'Feb'!$D$27:$AH$206,'Mar'!$D$27:$AH$206,'Apr'!$D$27:$AH$206,'May'!$D$27:$AH$206,'Jun'!$D$27:$AH$206,'Jul'!$D$27:$AH$206,'Aug'!$D$27:$AH$206,'Sep'!$D$27:$AH$206,'Oct'!$D$27:$AH$206,'Nov'!$D$27:$AH$206,'Dec'!$D$27:$AH$206,'Jan (next year)'!$D$27:$AH$206),27+3*(IFERROR(MATCH(C42,Roster!$B$6:$B$65,0),MATCH(C42,Roster!$C$6:$C$65,0))-1)+MATCH(B42,{"AM","PM","NIGHT"},0)-1-27+1,DAY(A42))&amp;"",""))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IF(YEAR(A43)&gt;PlanYear,13,MONTH(A43)),'Jan'!$D$27:$AH$206,'Feb'!$D$27:$AH$206,'Mar'!$D$27:$AH$206,'Apr'!$D$27:$AH$206,'May'!$D$27:$AH$206,'Jun'!$D$27:$AH$206,'Jul'!$D$27:$AH$206,'Aug'!$D$27:$AH$206,'Sep'!$D$27:$AH$206,'Oct'!$D$27:$AH$206,'Nov'!$D$27:$AH$206,'Dec'!$D$27:$AH$206,'Jan (next year)'!$D$27:$AH$206),27+3*(IFERROR(MATCH(C43,Roster!$B$6:$B$65,0),MATCH(C43,Roster!$C$6:$C$65,0))-1)+MATCH(B43,{"AM","PM","NIGHT"},0)-1-27+1,DAY(A43))&amp;"",""))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IF(YEAR(A44)&gt;PlanYear,13,MONTH(A44)),'Jan'!$D$27:$AH$206,'Feb'!$D$27:$AH$206,'Mar'!$D$27:$AH$206,'Apr'!$D$27:$AH$206,'May'!$D$27:$AH$206,'Jun'!$D$27:$AH$206,'Jul'!$D$27:$AH$206,'Aug'!$D$27:$AH$206,'Sep'!$D$27:$AH$206,'Oct'!$D$27:$AH$206,'Nov'!$D$27:$AH$206,'Dec'!$D$27:$AH$206,'Jan (next year)'!$D$27:$AH$206),27+3*(IFERROR(MATCH(C44,Roster!$B$6:$B$65,0),MATCH(C44,Roster!$C$6:$C$65,0))-1)+MATCH(B44,{"AM","PM","NIGHT"},0)-1-27+1,DAY(A44))&amp;"",""))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IF(YEAR(A45)&gt;PlanYear,13,MONTH(A45)),'Jan'!$D$27:$AH$206,'Feb'!$D$27:$AH$206,'Mar'!$D$27:$AH$206,'Apr'!$D$27:$AH$206,'May'!$D$27:$AH$206,'Jun'!$D$27:$AH$206,'Jul'!$D$27:$AH$206,'Aug'!$D$27:$AH$206,'Sep'!$D$27:$AH$206,'Oct'!$D$27:$AH$206,'Nov'!$D$27:$AH$206,'Dec'!$D$27:$AH$206,'Jan (next year)'!$D$27:$AH$206),27+3*(IFERROR(MATCH(C45,Roster!$B$6:$B$65,0),MATCH(C45,Roster!$C$6:$C$65,0))-1)+MATCH(B45,{"AM","PM","NIGHT"},0)-1-27+1,DAY(A45))&amp;"",""))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IF(YEAR(A46)&gt;PlanYear,13,MONTH(A46)),'Jan'!$D$27:$AH$206,'Feb'!$D$27:$AH$206,'Mar'!$D$27:$AH$206,'Apr'!$D$27:$AH$206,'May'!$D$27:$AH$206,'Jun'!$D$27:$AH$206,'Jul'!$D$27:$AH$206,'Aug'!$D$27:$AH$206,'Sep'!$D$27:$AH$206,'Oct'!$D$27:$AH$206,'Nov'!$D$27:$AH$206,'Dec'!$D$27:$AH$206,'Jan (next year)'!$D$27:$AH$206),27+3*(IFERROR(MATCH(C46,Roster!$B$6:$B$65,0),MATCH(C46,Roster!$C$6:$C$65,0))-1)+MATCH(B46,{"AM","PM","NIGHT"},0)-1-27+1,DAY(A46))&amp;"",""))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IF(YEAR(A47)&gt;PlanYear,13,MONTH(A47)),'Jan'!$D$27:$AH$206,'Feb'!$D$27:$AH$206,'Mar'!$D$27:$AH$206,'Apr'!$D$27:$AH$206,'May'!$D$27:$AH$206,'Jun'!$D$27:$AH$206,'Jul'!$D$27:$AH$206,'Aug'!$D$27:$AH$206,'Sep'!$D$27:$AH$206,'Oct'!$D$27:$AH$206,'Nov'!$D$27:$AH$206,'Dec'!$D$27:$AH$206,'Jan (next year)'!$D$27:$AH$206),27+3*(IFERROR(MATCH(C47,Roster!$B$6:$B$65,0),MATCH(C47,Roster!$C$6:$C$65,0))-1)+MATCH(B47,{"AM","PM","NIGHT"},0)-1-27+1,DAY(A47))&amp;"",""))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IF(YEAR(A48)&gt;PlanYear,13,MONTH(A48)),'Jan'!$D$27:$AH$206,'Feb'!$D$27:$AH$206,'Mar'!$D$27:$AH$206,'Apr'!$D$27:$AH$206,'May'!$D$27:$AH$206,'Jun'!$D$27:$AH$206,'Jul'!$D$27:$AH$206,'Aug'!$D$27:$AH$206,'Sep'!$D$27:$AH$206,'Oct'!$D$27:$AH$206,'Nov'!$D$27:$AH$206,'Dec'!$D$27:$AH$206,'Jan (next year)'!$D$27:$AH$206),27+3*(IFERROR(MATCH(C48,Roster!$B$6:$B$65,0),MATCH(C48,Roster!$C$6:$C$65,0))-1)+MATCH(B48,{"AM","PM","NIGHT"},0)-1-27+1,DAY(A48))&amp;"",""))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IF(YEAR(A49)&gt;PlanYear,13,MONTH(A49)),'Jan'!$D$27:$AH$206,'Feb'!$D$27:$AH$206,'Mar'!$D$27:$AH$206,'Apr'!$D$27:$AH$206,'May'!$D$27:$AH$206,'Jun'!$D$27:$AH$206,'Jul'!$D$27:$AH$206,'Aug'!$D$27:$AH$206,'Sep'!$D$27:$AH$206,'Oct'!$D$27:$AH$206,'Nov'!$D$27:$AH$206,'Dec'!$D$27:$AH$206,'Jan (next year)'!$D$27:$AH$206),27+3*(IFERROR(MATCH(C49,Roster!$B$6:$B$65,0),MATCH(C49,Roster!$C$6:$C$65,0))-1)+MATCH(B49,{"AM","PM","NIGHT"},0)-1-27+1,DAY(A49))&amp;"",""))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IF(YEAR(A50)&gt;PlanYear,13,MONTH(A50)),'Jan'!$D$27:$AH$206,'Feb'!$D$27:$AH$206,'Mar'!$D$27:$AH$206,'Apr'!$D$27:$AH$206,'May'!$D$27:$AH$206,'Jun'!$D$27:$AH$206,'Jul'!$D$27:$AH$206,'Aug'!$D$27:$AH$206,'Sep'!$D$27:$AH$206,'Oct'!$D$27:$AH$206,'Nov'!$D$27:$AH$206,'Dec'!$D$27:$AH$206,'Jan (next year)'!$D$27:$AH$206),27+3*(IFERROR(MATCH(C50,Roster!$B$6:$B$65,0),MATCH(C50,Roster!$C$6:$C$65,0))-1)+MATCH(B50,{"AM","PM","NIGHT"},0)-1-27+1,DAY(A50))&amp;"",""))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IF(YEAR(A51)&gt;PlanYear,13,MONTH(A51)),'Jan'!$D$27:$AH$206,'Feb'!$D$27:$AH$206,'Mar'!$D$27:$AH$206,'Apr'!$D$27:$AH$206,'May'!$D$27:$AH$206,'Jun'!$D$27:$AH$206,'Jul'!$D$27:$AH$206,'Aug'!$D$27:$AH$206,'Sep'!$D$27:$AH$206,'Oct'!$D$27:$AH$206,'Nov'!$D$27:$AH$206,'Dec'!$D$27:$AH$206,'Jan (next year)'!$D$27:$AH$206),27+3*(IFERROR(MATCH(C51,Roster!$B$6:$B$65,0),MATCH(C51,Roster!$C$6:$C$65,0))-1)+MATCH(B51,{"AM","PM","NIGHT"},0)-1-27+1,DAY(A51))&amp;"",""))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IF(YEAR(A52)&gt;PlanYear,13,MONTH(A52)),'Jan'!$D$27:$AH$206,'Feb'!$D$27:$AH$206,'Mar'!$D$27:$AH$206,'Apr'!$D$27:$AH$206,'May'!$D$27:$AH$206,'Jun'!$D$27:$AH$206,'Jul'!$D$27:$AH$206,'Aug'!$D$27:$AH$206,'Sep'!$D$27:$AH$206,'Oct'!$D$27:$AH$206,'Nov'!$D$27:$AH$206,'Dec'!$D$27:$AH$206,'Jan (next year)'!$D$27:$AH$206),27+3*(IFERROR(MATCH(C52,Roster!$B$6:$B$65,0),MATCH(C52,Roster!$C$6:$C$65,0))-1)+MATCH(B52,{"AM","PM","NIGHT"},0)-1-27+1,DAY(A52))&amp;"",""))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IF(YEAR(A53)&gt;PlanYear,13,MONTH(A53)),'Jan'!$D$27:$AH$206,'Feb'!$D$27:$AH$206,'Mar'!$D$27:$AH$206,'Apr'!$D$27:$AH$206,'May'!$D$27:$AH$206,'Jun'!$D$27:$AH$206,'Jul'!$D$27:$AH$206,'Aug'!$D$27:$AH$206,'Sep'!$D$27:$AH$206,'Oct'!$D$27:$AH$206,'Nov'!$D$27:$AH$206,'Dec'!$D$27:$AH$206,'Jan (next year)'!$D$27:$AH$206),27+3*(IFERROR(MATCH(C53,Roster!$B$6:$B$65,0),MATCH(C53,Roster!$C$6:$C$65,0))-1)+MATCH(B53,{"AM","PM","NIGHT"},0)-1-27+1,DAY(A53))&amp;"",""))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IF(YEAR(A54)&gt;PlanYear,13,MONTH(A54)),'Jan'!$D$27:$AH$206,'Feb'!$D$27:$AH$206,'Mar'!$D$27:$AH$206,'Apr'!$D$27:$AH$206,'May'!$D$27:$AH$206,'Jun'!$D$27:$AH$206,'Jul'!$D$27:$AH$206,'Aug'!$D$27:$AH$206,'Sep'!$D$27:$AH$206,'Oct'!$D$27:$AH$206,'Nov'!$D$27:$AH$206,'Dec'!$D$27:$AH$206,'Jan (next year)'!$D$27:$AH$206),27+3*(IFERROR(MATCH(C54,Roster!$B$6:$B$65,0),MATCH(C54,Roster!$C$6:$C$65,0))-1)+MATCH(B54,{"AM","PM","NIGHT"},0)-1-27+1,DAY(A54))&amp;"",""))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IF(YEAR(A55)&gt;PlanYear,13,MONTH(A55)),'Jan'!$D$27:$AH$206,'Feb'!$D$27:$AH$206,'Mar'!$D$27:$AH$206,'Apr'!$D$27:$AH$206,'May'!$D$27:$AH$206,'Jun'!$D$27:$AH$206,'Jul'!$D$27:$AH$206,'Aug'!$D$27:$AH$206,'Sep'!$D$27:$AH$206,'Oct'!$D$27:$AH$206,'Nov'!$D$27:$AH$206,'Dec'!$D$27:$AH$206,'Jan (next year)'!$D$27:$AH$206),27+3*(IFERROR(MATCH(C55,Roster!$B$6:$B$65,0),MATCH(C55,Roster!$C$6:$C$65,0))-1)+MATCH(B55,{"AM","PM","NIGHT"},0)-1-27+1,DAY(A55))&amp;"",""))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IF(YEAR(A56)&gt;PlanYear,13,MONTH(A56)),'Jan'!$D$27:$AH$206,'Feb'!$D$27:$AH$206,'Mar'!$D$27:$AH$206,'Apr'!$D$27:$AH$206,'May'!$D$27:$AH$206,'Jun'!$D$27:$AH$206,'Jul'!$D$27:$AH$206,'Aug'!$D$27:$AH$206,'Sep'!$D$27:$AH$206,'Oct'!$D$27:$AH$206,'Nov'!$D$27:$AH$206,'Dec'!$D$27:$AH$206,'Jan (next year)'!$D$27:$AH$206),27+3*(IFERROR(MATCH(C56,Roster!$B$6:$B$65,0),MATCH(C56,Roster!$C$6:$C$65,0))-1)+MATCH(B56,{"AM","PM","NIGHT"},0)-1-27+1,DAY(A56))&amp;"",""))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IF(YEAR(A57)&gt;PlanYear,13,MONTH(A57)),'Jan'!$D$27:$AH$206,'Feb'!$D$27:$AH$206,'Mar'!$D$27:$AH$206,'Apr'!$D$27:$AH$206,'May'!$D$27:$AH$206,'Jun'!$D$27:$AH$206,'Jul'!$D$27:$AH$206,'Aug'!$D$27:$AH$206,'Sep'!$D$27:$AH$206,'Oct'!$D$27:$AH$206,'Nov'!$D$27:$AH$206,'Dec'!$D$27:$AH$206,'Jan (next year)'!$D$27:$AH$206),27+3*(IFERROR(MATCH(C57,Roster!$B$6:$B$65,0),MATCH(C57,Roster!$C$6:$C$65,0))-1)+MATCH(B57,{"AM","PM","NIGHT"},0)-1-27+1,DAY(A57))&amp;"",""))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IF(YEAR(A58)&gt;PlanYear,13,MONTH(A58)),'Jan'!$D$27:$AH$206,'Feb'!$D$27:$AH$206,'Mar'!$D$27:$AH$206,'Apr'!$D$27:$AH$206,'May'!$D$27:$AH$206,'Jun'!$D$27:$AH$206,'Jul'!$D$27:$AH$206,'Aug'!$D$27:$AH$206,'Sep'!$D$27:$AH$206,'Oct'!$D$27:$AH$206,'Nov'!$D$27:$AH$206,'Dec'!$D$27:$AH$206,'Jan (next year)'!$D$27:$AH$206),27+3*(IFERROR(MATCH(C58,Roster!$B$6:$B$65,0),MATCH(C58,Roster!$C$6:$C$65,0))-1)+MATCH(B58,{"AM","PM","NIGHT"},0)-1-27+1,DAY(A58))&amp;"",""))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IF(YEAR(A59)&gt;PlanYear,13,MONTH(A59)),'Jan'!$D$27:$AH$206,'Feb'!$D$27:$AH$206,'Mar'!$D$27:$AH$206,'Apr'!$D$27:$AH$206,'May'!$D$27:$AH$206,'Jun'!$D$27:$AH$206,'Jul'!$D$27:$AH$206,'Aug'!$D$27:$AH$206,'Sep'!$D$27:$AH$206,'Oct'!$D$27:$AH$206,'Nov'!$D$27:$AH$206,'Dec'!$D$27:$AH$206,'Jan (next year)'!$D$27:$AH$206),27+3*(IFERROR(MATCH(C59,Roster!$B$6:$B$65,0),MATCH(C59,Roster!$C$6:$C$65,0))-1)+MATCH(B59,{"AM","PM","NIGHT"},0)-1-27+1,DAY(A59))&amp;"",""))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IF(YEAR(A60)&gt;PlanYear,13,MONTH(A60)),'Jan'!$D$27:$AH$206,'Feb'!$D$27:$AH$206,'Mar'!$D$27:$AH$206,'Apr'!$D$27:$AH$206,'May'!$D$27:$AH$206,'Jun'!$D$27:$AH$206,'Jul'!$D$27:$AH$206,'Aug'!$D$27:$AH$206,'Sep'!$D$27:$AH$206,'Oct'!$D$27:$AH$206,'Nov'!$D$27:$AH$206,'Dec'!$D$27:$AH$206,'Jan (next year)'!$D$27:$AH$206),27+3*(IFERROR(MATCH(C60,Roster!$B$6:$B$65,0),MATCH(C60,Roster!$C$6:$C$65,0))-1)+MATCH(B60,{"AM","PM","NIGHT"},0)-1-27+1,DAY(A60))&amp;"",""))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IF(YEAR(A61)&gt;PlanYear,13,MONTH(A61)),'Jan'!$D$27:$AH$206,'Feb'!$D$27:$AH$206,'Mar'!$D$27:$AH$206,'Apr'!$D$27:$AH$206,'May'!$D$27:$AH$206,'Jun'!$D$27:$AH$206,'Jul'!$D$27:$AH$206,'Aug'!$D$27:$AH$206,'Sep'!$D$27:$AH$206,'Oct'!$D$27:$AH$206,'Nov'!$D$27:$AH$206,'Dec'!$D$27:$AH$206,'Jan (next year)'!$D$27:$AH$206),27+3*(IFERROR(MATCH(C61,Roster!$B$6:$B$65,0),MATCH(C61,Roster!$C$6:$C$65,0))-1)+MATCH(B61,{"AM","PM","NIGHT"},0)-1-27+1,DAY(A61))&amp;"",""))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IF(YEAR(A62)&gt;PlanYear,13,MONTH(A62)),'Jan'!$D$27:$AH$206,'Feb'!$D$27:$AH$206,'Mar'!$D$27:$AH$206,'Apr'!$D$27:$AH$206,'May'!$D$27:$AH$206,'Jun'!$D$27:$AH$206,'Jul'!$D$27:$AH$206,'Aug'!$D$27:$AH$206,'Sep'!$D$27:$AH$206,'Oct'!$D$27:$AH$206,'Nov'!$D$27:$AH$206,'Dec'!$D$27:$AH$206,'Jan (next year)'!$D$27:$AH$206),27+3*(IFERROR(MATCH(C62,Roster!$B$6:$B$65,0),MATCH(C62,Roster!$C$6:$C$65,0))-1)+MATCH(B62,{"AM","PM","NIGHT"},0)-1-27+1,DAY(A62))&amp;"",""))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IF(YEAR(A63)&gt;PlanYear,13,MONTH(A63)),'Jan'!$D$27:$AH$206,'Feb'!$D$27:$AH$206,'Mar'!$D$27:$AH$206,'Apr'!$D$27:$AH$206,'May'!$D$27:$AH$206,'Jun'!$D$27:$AH$206,'Jul'!$D$27:$AH$206,'Aug'!$D$27:$AH$206,'Sep'!$D$27:$AH$206,'Oct'!$D$27:$AH$206,'Nov'!$D$27:$AH$206,'Dec'!$D$27:$AH$206,'Jan (next year)'!$D$27:$AH$206),27+3*(IFERROR(MATCH(C63,Roster!$B$6:$B$65,0),MATCH(C63,Roster!$C$6:$C$65,0))-1)+MATCH(B63,{"AM","PM","NIGHT"},0)-1-27+1,DAY(A63))&amp;"",""))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IF(YEAR(A64)&gt;PlanYear,13,MONTH(A64)),'Jan'!$D$27:$AH$206,'Feb'!$D$27:$AH$206,'Mar'!$D$27:$AH$206,'Apr'!$D$27:$AH$206,'May'!$D$27:$AH$206,'Jun'!$D$27:$AH$206,'Jul'!$D$27:$AH$206,'Aug'!$D$27:$AH$206,'Sep'!$D$27:$AH$206,'Oct'!$D$27:$AH$206,'Nov'!$D$27:$AH$206,'Dec'!$D$27:$AH$206,'Jan (next year)'!$D$27:$AH$206),27+3*(IFERROR(MATCH(C64,Roster!$B$6:$B$65,0),MATCH(C64,Roster!$C$6:$C$65,0))-1)+MATCH(B64,{"AM","PM","NIGHT"},0)-1-27+1,DAY(A64))&amp;"",""))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IF(YEAR(A65)&gt;PlanYear,13,MONTH(A65)),'Jan'!$D$27:$AH$206,'Feb'!$D$27:$AH$206,'Mar'!$D$27:$AH$206,'Apr'!$D$27:$AH$206,'May'!$D$27:$AH$206,'Jun'!$D$27:$AH$206,'Jul'!$D$27:$AH$206,'Aug'!$D$27:$AH$206,'Sep'!$D$27:$AH$206,'Oct'!$D$27:$AH$206,'Nov'!$D$27:$AH$206,'Dec'!$D$27:$AH$206,'Jan (next year)'!$D$27:$AH$206),27+3*(IFERROR(MATCH(C65,Roster!$B$6:$B$65,0),MATCH(C65,Roster!$C$6:$C$65,0))-1)+MATCH(B65,{"AM","PM","NIGHT"},0)-1-27+1,DAY(A65))&amp;"",""))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IF(YEAR(A66)&gt;PlanYear,13,MONTH(A66)),'Jan'!$D$27:$AH$206,'Feb'!$D$27:$AH$206,'Mar'!$D$27:$AH$206,'Apr'!$D$27:$AH$206,'May'!$D$27:$AH$206,'Jun'!$D$27:$AH$206,'Jul'!$D$27:$AH$206,'Aug'!$D$27:$AH$206,'Sep'!$D$27:$AH$206,'Oct'!$D$27:$AH$206,'Nov'!$D$27:$AH$206,'Dec'!$D$27:$AH$206,'Jan (next year)'!$D$27:$AH$206),27+3*(IFERROR(MATCH(C66,Roster!$B$6:$B$65,0),MATCH(C66,Roster!$C$6:$C$65,0))-1)+MATCH(B66,{"AM","PM","NIGHT"},0)-1-27+1,DAY(A66))&amp;"",""))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IF(YEAR(A67)&gt;PlanYear,13,MONTH(A67)),'Jan'!$D$27:$AH$206,'Feb'!$D$27:$AH$206,'Mar'!$D$27:$AH$206,'Apr'!$D$27:$AH$206,'May'!$D$27:$AH$206,'Jun'!$D$27:$AH$206,'Jul'!$D$27:$AH$206,'Aug'!$D$27:$AH$206,'Sep'!$D$27:$AH$206,'Oct'!$D$27:$AH$206,'Nov'!$D$27:$AH$206,'Dec'!$D$27:$AH$206,'Jan (next year)'!$D$27:$AH$206),27+3*(IFERROR(MATCH(C67,Roster!$B$6:$B$65,0),MATCH(C67,Roster!$C$6:$C$65,0))-1)+MATCH(B67,{"AM","PM","NIGHT"},0)-1-27+1,DAY(A67))&amp;"",""))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IF(YEAR(A68)&gt;PlanYear,13,MONTH(A68)),'Jan'!$D$27:$AH$206,'Feb'!$D$27:$AH$206,'Mar'!$D$27:$AH$206,'Apr'!$D$27:$AH$206,'May'!$D$27:$AH$206,'Jun'!$D$27:$AH$206,'Jul'!$D$27:$AH$206,'Aug'!$D$27:$AH$206,'Sep'!$D$27:$AH$206,'Oct'!$D$27:$AH$206,'Nov'!$D$27:$AH$206,'Dec'!$D$27:$AH$206,'Jan (next year)'!$D$27:$AH$206),27+3*(IFERROR(MATCH(C68,Roster!$B$6:$B$65,0),MATCH(C68,Roster!$C$6:$C$65,0))-1)+MATCH(B68,{"AM","PM","NIGHT"},0)-1-27+1,DAY(A68))&amp;"",""))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IF(YEAR(A69)&gt;PlanYear,13,MONTH(A69)),'Jan'!$D$27:$AH$206,'Feb'!$D$27:$AH$206,'Mar'!$D$27:$AH$206,'Apr'!$D$27:$AH$206,'May'!$D$27:$AH$206,'Jun'!$D$27:$AH$206,'Jul'!$D$27:$AH$206,'Aug'!$D$27:$AH$206,'Sep'!$D$27:$AH$206,'Oct'!$D$27:$AH$206,'Nov'!$D$27:$AH$206,'Dec'!$D$27:$AH$206,'Jan (next year)'!$D$27:$AH$206),27+3*(IFERROR(MATCH(C69,Roster!$B$6:$B$65,0),MATCH(C69,Roster!$C$6:$C$65,0))-1)+MATCH(B69,{"AM","PM","NIGHT"},0)-1-27+1,DAY(A69))&amp;"",""))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IF(YEAR(A70)&gt;PlanYear,13,MONTH(A70)),'Jan'!$D$27:$AH$206,'Feb'!$D$27:$AH$206,'Mar'!$D$27:$AH$206,'Apr'!$D$27:$AH$206,'May'!$D$27:$AH$206,'Jun'!$D$27:$AH$206,'Jul'!$D$27:$AH$206,'Aug'!$D$27:$AH$206,'Sep'!$D$27:$AH$206,'Oct'!$D$27:$AH$206,'Nov'!$D$27:$AH$206,'Dec'!$D$27:$AH$206,'Jan (next year)'!$D$27:$AH$206),27+3*(IFERROR(MATCH(C70,Roster!$B$6:$B$65,0),MATCH(C70,Roster!$C$6:$C$65,0))-1)+MATCH(B70,{"AM","PM","NIGHT"},0)-1-27+1,DAY(A70))&amp;"",""))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IF(YEAR(A71)&gt;PlanYear,13,MONTH(A71)),'Jan'!$D$27:$AH$206,'Feb'!$D$27:$AH$206,'Mar'!$D$27:$AH$206,'Apr'!$D$27:$AH$206,'May'!$D$27:$AH$206,'Jun'!$D$27:$AH$206,'Jul'!$D$27:$AH$206,'Aug'!$D$27:$AH$206,'Sep'!$D$27:$AH$206,'Oct'!$D$27:$AH$206,'Nov'!$D$27:$AH$206,'Dec'!$D$27:$AH$206,'Jan (next year)'!$D$27:$AH$206),27+3*(IFERROR(MATCH(C71,Roster!$B$6:$B$65,0),MATCH(C71,Roster!$C$6:$C$65,0))-1)+MATCH(B71,{"AM","PM","NIGHT"},0)-1-27+1,DAY(A71))&amp;"",""))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IF(YEAR(A72)&gt;PlanYear,13,MONTH(A72)),'Jan'!$D$27:$AH$206,'Feb'!$D$27:$AH$206,'Mar'!$D$27:$AH$206,'Apr'!$D$27:$AH$206,'May'!$D$27:$AH$206,'Jun'!$D$27:$AH$206,'Jul'!$D$27:$AH$206,'Aug'!$D$27:$AH$206,'Sep'!$D$27:$AH$206,'Oct'!$D$27:$AH$206,'Nov'!$D$27:$AH$206,'Dec'!$D$27:$AH$206,'Jan (next year)'!$D$27:$AH$206),27+3*(IFERROR(MATCH(C72,Roster!$B$6:$B$65,0),MATCH(C72,Roster!$C$6:$C$65,0))-1)+MATCH(B72,{"AM","PM","NIGHT"},0)-1-27+1,DAY(A72))&amp;"",""))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IF(YEAR(A73)&gt;PlanYear,13,MONTH(A73)),'Jan'!$D$27:$AH$206,'Feb'!$D$27:$AH$206,'Mar'!$D$27:$AH$206,'Apr'!$D$27:$AH$206,'May'!$D$27:$AH$206,'Jun'!$D$27:$AH$206,'Jul'!$D$27:$AH$206,'Aug'!$D$27:$AH$206,'Sep'!$D$27:$AH$206,'Oct'!$D$27:$AH$206,'Nov'!$D$27:$AH$206,'Dec'!$D$27:$AH$206,'Jan (next year)'!$D$27:$AH$206),27+3*(IFERROR(MATCH(C73,Roster!$B$6:$B$65,0),MATCH(C73,Roster!$C$6:$C$65,0))-1)+MATCH(B73,{"AM","PM","NIGHT"},0)-1-27+1,DAY(A73))&amp;"",""))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IF(YEAR(A74)&gt;PlanYear,13,MONTH(A74)),'Jan'!$D$27:$AH$206,'Feb'!$D$27:$AH$206,'Mar'!$D$27:$AH$206,'Apr'!$D$27:$AH$206,'May'!$D$27:$AH$206,'Jun'!$D$27:$AH$206,'Jul'!$D$27:$AH$206,'Aug'!$D$27:$AH$206,'Sep'!$D$27:$AH$206,'Oct'!$D$27:$AH$206,'Nov'!$D$27:$AH$206,'Dec'!$D$27:$AH$206,'Jan (next year)'!$D$27:$AH$206),27+3*(IFERROR(MATCH(C74,Roster!$B$6:$B$65,0),MATCH(C74,Roster!$C$6:$C$65,0))-1)+MATCH(B74,{"AM","PM","NIGHT"},0)-1-27+1,DAY(A74))&amp;"",""))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IF(YEAR(A75)&gt;PlanYear,13,MONTH(A75)),'Jan'!$D$27:$AH$206,'Feb'!$D$27:$AH$206,'Mar'!$D$27:$AH$206,'Apr'!$D$27:$AH$206,'May'!$D$27:$AH$206,'Jun'!$D$27:$AH$206,'Jul'!$D$27:$AH$206,'Aug'!$D$27:$AH$206,'Sep'!$D$27:$AH$206,'Oct'!$D$27:$AH$206,'Nov'!$D$27:$AH$206,'Dec'!$D$27:$AH$206,'Jan (next year)'!$D$27:$AH$206),27+3*(IFERROR(MATCH(C75,Roster!$B$6:$B$65,0),MATCH(C75,Roster!$C$6:$C$65,0))-1)+MATCH(B75,{"AM","PM","NIGHT"},0)-1-27+1,DAY(A75))&amp;"",""))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IF(YEAR(A76)&gt;PlanYear,13,MONTH(A76)),'Jan'!$D$27:$AH$206,'Feb'!$D$27:$AH$206,'Mar'!$D$27:$AH$206,'Apr'!$D$27:$AH$206,'May'!$D$27:$AH$206,'Jun'!$D$27:$AH$206,'Jul'!$D$27:$AH$206,'Aug'!$D$27:$AH$206,'Sep'!$D$27:$AH$206,'Oct'!$D$27:$AH$206,'Nov'!$D$27:$AH$206,'Dec'!$D$27:$AH$206,'Jan (next year)'!$D$27:$AH$206),27+3*(IFERROR(MATCH(C76,Roster!$B$6:$B$65,0),MATCH(C76,Roster!$C$6:$C$65,0))-1)+MATCH(B76,{"AM","PM","NIGHT"},0)-1-27+1,DAY(A76))&amp;"",""))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IF(YEAR(A77)&gt;PlanYear,13,MONTH(A77)),'Jan'!$D$27:$AH$206,'Feb'!$D$27:$AH$206,'Mar'!$D$27:$AH$206,'Apr'!$D$27:$AH$206,'May'!$D$27:$AH$206,'Jun'!$D$27:$AH$206,'Jul'!$D$27:$AH$206,'Aug'!$D$27:$AH$206,'Sep'!$D$27:$AH$206,'Oct'!$D$27:$AH$206,'Nov'!$D$27:$AH$206,'Dec'!$D$27:$AH$206,'Jan (next year)'!$D$27:$AH$206),27+3*(IFERROR(MATCH(C77,Roster!$B$6:$B$65,0),MATCH(C77,Roster!$C$6:$C$65,0))-1)+MATCH(B77,{"AM","PM","NIGHT"},0)-1-27+1,DAY(A77))&amp;"",""))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IF(YEAR(A78)&gt;PlanYear,13,MONTH(A78)),'Jan'!$D$27:$AH$206,'Feb'!$D$27:$AH$206,'Mar'!$D$27:$AH$206,'Apr'!$D$27:$AH$206,'May'!$D$27:$AH$206,'Jun'!$D$27:$AH$206,'Jul'!$D$27:$AH$206,'Aug'!$D$27:$AH$206,'Sep'!$D$27:$AH$206,'Oct'!$D$27:$AH$206,'Nov'!$D$27:$AH$206,'Dec'!$D$27:$AH$206,'Jan (next year)'!$D$27:$AH$206),27+3*(IFERROR(MATCH(C78,Roster!$B$6:$B$65,0),MATCH(C78,Roster!$C$6:$C$65,0))-1)+MATCH(B78,{"AM","PM","NIGHT"},0)-1-27+1,DAY(A78))&amp;"",""))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IF(YEAR(A79)&gt;PlanYear,13,MONTH(A79)),'Jan'!$D$27:$AH$206,'Feb'!$D$27:$AH$206,'Mar'!$D$27:$AH$206,'Apr'!$D$27:$AH$206,'May'!$D$27:$AH$206,'Jun'!$D$27:$AH$206,'Jul'!$D$27:$AH$206,'Aug'!$D$27:$AH$206,'Sep'!$D$27:$AH$206,'Oct'!$D$27:$AH$206,'Nov'!$D$27:$AH$206,'Dec'!$D$27:$AH$206,'Jan (next year)'!$D$27:$AH$206),27+3*(IFERROR(MATCH(C79,Roster!$B$6:$B$65,0),MATCH(C79,Roster!$C$6:$C$65,0))-1)+MATCH(B79,{"AM","PM","NIGHT"},0)-1-27+1,DAY(A79))&amp;"",""))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IF(YEAR(A80)&gt;PlanYear,13,MONTH(A80)),'Jan'!$D$27:$AH$206,'Feb'!$D$27:$AH$206,'Mar'!$D$27:$AH$206,'Apr'!$D$27:$AH$206,'May'!$D$27:$AH$206,'Jun'!$D$27:$AH$206,'Jul'!$D$27:$AH$206,'Aug'!$D$27:$AH$206,'Sep'!$D$27:$AH$206,'Oct'!$D$27:$AH$206,'Nov'!$D$27:$AH$206,'Dec'!$D$27:$AH$206,'Jan (next year)'!$D$27:$AH$206),27+3*(IFERROR(MATCH(C80,Roster!$B$6:$B$65,0),MATCH(C80,Roster!$C$6:$C$65,0))-1)+MATCH(B80,{"AM","PM","NIGHT"},0)-1-27+1,DAY(A80))&amp;"",""))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IF(YEAR(A81)&gt;PlanYear,13,MONTH(A81)),'Jan'!$D$27:$AH$206,'Feb'!$D$27:$AH$206,'Mar'!$D$27:$AH$206,'Apr'!$D$27:$AH$206,'May'!$D$27:$AH$206,'Jun'!$D$27:$AH$206,'Jul'!$D$27:$AH$206,'Aug'!$D$27:$AH$206,'Sep'!$D$27:$AH$206,'Oct'!$D$27:$AH$206,'Nov'!$D$27:$AH$206,'Dec'!$D$27:$AH$206,'Jan (next year)'!$D$27:$AH$206),27+3*(IFERROR(MATCH(C81,Roster!$B$6:$B$65,0),MATCH(C81,Roster!$C$6:$C$65,0))-1)+MATCH(B81,{"AM","PM","NIGHT"},0)-1-27+1,DAY(A81))&amp;"",""))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IF(YEAR(A82)&gt;PlanYear,13,MONTH(A82)),'Jan'!$D$27:$AH$206,'Feb'!$D$27:$AH$206,'Mar'!$D$27:$AH$206,'Apr'!$D$27:$AH$206,'May'!$D$27:$AH$206,'Jun'!$D$27:$AH$206,'Jul'!$D$27:$AH$206,'Aug'!$D$27:$AH$206,'Sep'!$D$27:$AH$206,'Oct'!$D$27:$AH$206,'Nov'!$D$27:$AH$206,'Dec'!$D$27:$AH$206,'Jan (next year)'!$D$27:$AH$206),27+3*(IFERROR(MATCH(C82,Roster!$B$6:$B$65,0),MATCH(C82,Roster!$C$6:$C$65,0))-1)+MATCH(B82,{"AM","PM","NIGHT"},0)-1-27+1,DAY(A82))&amp;"",""))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IF(YEAR(A83)&gt;PlanYear,13,MONTH(A83)),'Jan'!$D$27:$AH$206,'Feb'!$D$27:$AH$206,'Mar'!$D$27:$AH$206,'Apr'!$D$27:$AH$206,'May'!$D$27:$AH$206,'Jun'!$D$27:$AH$206,'Jul'!$D$27:$AH$206,'Aug'!$D$27:$AH$206,'Sep'!$D$27:$AH$206,'Oct'!$D$27:$AH$206,'Nov'!$D$27:$AH$206,'Dec'!$D$27:$AH$206,'Jan (next year)'!$D$27:$AH$206),27+3*(IFERROR(MATCH(C83,Roster!$B$6:$B$65,0),MATCH(C83,Roster!$C$6:$C$65,0))-1)+MATCH(B83,{"AM","PM","NIGHT"},0)-1-27+1,DAY(A83))&amp;"",""))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IF(YEAR(A84)&gt;PlanYear,13,MONTH(A84)),'Jan'!$D$27:$AH$206,'Feb'!$D$27:$AH$206,'Mar'!$D$27:$AH$206,'Apr'!$D$27:$AH$206,'May'!$D$27:$AH$206,'Jun'!$D$27:$AH$206,'Jul'!$D$27:$AH$206,'Aug'!$D$27:$AH$206,'Sep'!$D$27:$AH$206,'Oct'!$D$27:$AH$206,'Nov'!$D$27:$AH$206,'Dec'!$D$27:$AH$206,'Jan (next year)'!$D$27:$AH$206),27+3*(IFERROR(MATCH(C84,Roster!$B$6:$B$65,0),MATCH(C84,Roster!$C$6:$C$65,0))-1)+MATCH(B84,{"AM","PM","NIGHT"},0)-1-27+1,DAY(A84))&amp;"",""))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IF(YEAR(A85)&gt;PlanYear,13,MONTH(A85)),'Jan'!$D$27:$AH$206,'Feb'!$D$27:$AH$206,'Mar'!$D$27:$AH$206,'Apr'!$D$27:$AH$206,'May'!$D$27:$AH$206,'Jun'!$D$27:$AH$206,'Jul'!$D$27:$AH$206,'Aug'!$D$27:$AH$206,'Sep'!$D$27:$AH$206,'Oct'!$D$27:$AH$206,'Nov'!$D$27:$AH$206,'Dec'!$D$27:$AH$206,'Jan (next year)'!$D$27:$AH$206),27+3*(IFERROR(MATCH(C85,Roster!$B$6:$B$65,0),MATCH(C85,Roster!$C$6:$C$65,0))-1)+MATCH(B85,{"AM","PM","NIGHT"},0)-1-27+1,DAY(A85))&amp;"",""))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IF(YEAR(A86)&gt;PlanYear,13,MONTH(A86)),'Jan'!$D$27:$AH$206,'Feb'!$D$27:$AH$206,'Mar'!$D$27:$AH$206,'Apr'!$D$27:$AH$206,'May'!$D$27:$AH$206,'Jun'!$D$27:$AH$206,'Jul'!$D$27:$AH$206,'Aug'!$D$27:$AH$206,'Sep'!$D$27:$AH$206,'Oct'!$D$27:$AH$206,'Nov'!$D$27:$AH$206,'Dec'!$D$27:$AH$206,'Jan (next year)'!$D$27:$AH$206),27+3*(IFERROR(MATCH(C86,Roster!$B$6:$B$65,0),MATCH(C86,Roster!$C$6:$C$65,0))-1)+MATCH(B86,{"AM","PM","NIGHT"},0)-1-27+1,DAY(A86))&amp;"",""))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IF(YEAR(A87)&gt;PlanYear,13,MONTH(A87)),'Jan'!$D$27:$AH$206,'Feb'!$D$27:$AH$206,'Mar'!$D$27:$AH$206,'Apr'!$D$27:$AH$206,'May'!$D$27:$AH$206,'Jun'!$D$27:$AH$206,'Jul'!$D$27:$AH$206,'Aug'!$D$27:$AH$206,'Sep'!$D$27:$AH$206,'Oct'!$D$27:$AH$206,'Nov'!$D$27:$AH$206,'Dec'!$D$27:$AH$206,'Jan (next year)'!$D$27:$AH$206),27+3*(IFERROR(MATCH(C87,Roster!$B$6:$B$65,0),MATCH(C87,Roster!$C$6:$C$65,0))-1)+MATCH(B87,{"AM","PM","NIGHT"},0)-1-27+1,DAY(A87))&amp;"",""))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IF(YEAR(A88)&gt;PlanYear,13,MONTH(A88)),'Jan'!$D$27:$AH$206,'Feb'!$D$27:$AH$206,'Mar'!$D$27:$AH$206,'Apr'!$D$27:$AH$206,'May'!$D$27:$AH$206,'Jun'!$D$27:$AH$206,'Jul'!$D$27:$AH$206,'Aug'!$D$27:$AH$206,'Sep'!$D$27:$AH$206,'Oct'!$D$27:$AH$206,'Nov'!$D$27:$AH$206,'Dec'!$D$27:$AH$206,'Jan (next year)'!$D$27:$AH$206),27+3*(IFERROR(MATCH(C88,Roster!$B$6:$B$65,0),MATCH(C88,Roster!$C$6:$C$65,0))-1)+MATCH(B88,{"AM","PM","NIGHT"},0)-1-27+1,DAY(A88))&amp;"",""))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IF(YEAR(A89)&gt;PlanYear,13,MONTH(A89)),'Jan'!$D$27:$AH$206,'Feb'!$D$27:$AH$206,'Mar'!$D$27:$AH$206,'Apr'!$D$27:$AH$206,'May'!$D$27:$AH$206,'Jun'!$D$27:$AH$206,'Jul'!$D$27:$AH$206,'Aug'!$D$27:$AH$206,'Sep'!$D$27:$AH$206,'Oct'!$D$27:$AH$206,'Nov'!$D$27:$AH$206,'Dec'!$D$27:$AH$206,'Jan (next year)'!$D$27:$AH$206),27+3*(IFERROR(MATCH(C89,Roster!$B$6:$B$65,0),MATCH(C89,Roster!$C$6:$C$65,0))-1)+MATCH(B89,{"AM","PM","NIGHT"},0)-1-27+1,DAY(A89))&amp;"",""))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IF(YEAR(A90)&gt;PlanYear,13,MONTH(A90)),'Jan'!$D$27:$AH$206,'Feb'!$D$27:$AH$206,'Mar'!$D$27:$AH$206,'Apr'!$D$27:$AH$206,'May'!$D$27:$AH$206,'Jun'!$D$27:$AH$206,'Jul'!$D$27:$AH$206,'Aug'!$D$27:$AH$206,'Sep'!$D$27:$AH$206,'Oct'!$D$27:$AH$206,'Nov'!$D$27:$AH$206,'Dec'!$D$27:$AH$206,'Jan (next year)'!$D$27:$AH$206),27+3*(IFERROR(MATCH(C90,Roster!$B$6:$B$65,0),MATCH(C90,Roster!$C$6:$C$65,0))-1)+MATCH(B90,{"AM","PM","NIGHT"},0)-1-27+1,DAY(A90))&amp;"",""))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IF(YEAR(A91)&gt;PlanYear,13,MONTH(A91)),'Jan'!$D$27:$AH$206,'Feb'!$D$27:$AH$206,'Mar'!$D$27:$AH$206,'Apr'!$D$27:$AH$206,'May'!$D$27:$AH$206,'Jun'!$D$27:$AH$206,'Jul'!$D$27:$AH$206,'Aug'!$D$27:$AH$206,'Sep'!$D$27:$AH$206,'Oct'!$D$27:$AH$206,'Nov'!$D$27:$AH$206,'Dec'!$D$27:$AH$206,'Jan (next year)'!$D$27:$AH$206),27+3*(IFERROR(MATCH(C91,Roster!$B$6:$B$65,0),MATCH(C91,Roster!$C$6:$C$65,0))-1)+MATCH(B91,{"AM","PM","NIGHT"},0)-1-27+1,DAY(A91))&amp;"",""))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IF(YEAR(A92)&gt;PlanYear,13,MONTH(A92)),'Jan'!$D$27:$AH$206,'Feb'!$D$27:$AH$206,'Mar'!$D$27:$AH$206,'Apr'!$D$27:$AH$206,'May'!$D$27:$AH$206,'Jun'!$D$27:$AH$206,'Jul'!$D$27:$AH$206,'Aug'!$D$27:$AH$206,'Sep'!$D$27:$AH$206,'Oct'!$D$27:$AH$206,'Nov'!$D$27:$AH$206,'Dec'!$D$27:$AH$206,'Jan (next year)'!$D$27:$AH$206),27+3*(IFERROR(MATCH(C92,Roster!$B$6:$B$65,0),MATCH(C92,Roster!$C$6:$C$65,0))-1)+MATCH(B92,{"AM","PM","NIGHT"},0)-1-27+1,DAY(A92))&amp;"",""))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IF(YEAR(A93)&gt;PlanYear,13,MONTH(A93)),'Jan'!$D$27:$AH$206,'Feb'!$D$27:$AH$206,'Mar'!$D$27:$AH$206,'Apr'!$D$27:$AH$206,'May'!$D$27:$AH$206,'Jun'!$D$27:$AH$206,'Jul'!$D$27:$AH$206,'Aug'!$D$27:$AH$206,'Sep'!$D$27:$AH$206,'Oct'!$D$27:$AH$206,'Nov'!$D$27:$AH$206,'Dec'!$D$27:$AH$206,'Jan (next year)'!$D$27:$AH$206),27+3*(IFERROR(MATCH(C93,Roster!$B$6:$B$65,0),MATCH(C93,Roster!$C$6:$C$65,0))-1)+MATCH(B93,{"AM","PM","NIGHT"},0)-1-27+1,DAY(A93))&amp;"",""))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IF(YEAR(A94)&gt;PlanYear,13,MONTH(A94)),'Jan'!$D$27:$AH$206,'Feb'!$D$27:$AH$206,'Mar'!$D$27:$AH$206,'Apr'!$D$27:$AH$206,'May'!$D$27:$AH$206,'Jun'!$D$27:$AH$206,'Jul'!$D$27:$AH$206,'Aug'!$D$27:$AH$206,'Sep'!$D$27:$AH$206,'Oct'!$D$27:$AH$206,'Nov'!$D$27:$AH$206,'Dec'!$D$27:$AH$206,'Jan (next year)'!$D$27:$AH$206),27+3*(IFERROR(MATCH(C94,Roster!$B$6:$B$65,0),MATCH(C94,Roster!$C$6:$C$65,0))-1)+MATCH(B94,{"AM","PM","NIGHT"},0)-1-27+1,DAY(A94))&amp;"",""))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IF(YEAR(A95)&gt;PlanYear,13,MONTH(A95)),'Jan'!$D$27:$AH$206,'Feb'!$D$27:$AH$206,'Mar'!$D$27:$AH$206,'Apr'!$D$27:$AH$206,'May'!$D$27:$AH$206,'Jun'!$D$27:$AH$206,'Jul'!$D$27:$AH$206,'Aug'!$D$27:$AH$206,'Sep'!$D$27:$AH$206,'Oct'!$D$27:$AH$206,'Nov'!$D$27:$AH$206,'Dec'!$D$27:$AH$206,'Jan (next year)'!$D$27:$AH$206),27+3*(IFERROR(MATCH(C95,Roster!$B$6:$B$65,0),MATCH(C95,Roster!$C$6:$C$65,0))-1)+MATCH(B95,{"AM","PM","NIGHT"},0)-1-27+1,DAY(A95))&amp;"",""))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IF(YEAR(A96)&gt;PlanYear,13,MONTH(A96)),'Jan'!$D$27:$AH$206,'Feb'!$D$27:$AH$206,'Mar'!$D$27:$AH$206,'Apr'!$D$27:$AH$206,'May'!$D$27:$AH$206,'Jun'!$D$27:$AH$206,'Jul'!$D$27:$AH$206,'Aug'!$D$27:$AH$206,'Sep'!$D$27:$AH$206,'Oct'!$D$27:$AH$206,'Nov'!$D$27:$AH$206,'Dec'!$D$27:$AH$206,'Jan (next year)'!$D$27:$AH$206),27+3*(IFERROR(MATCH(C96,Roster!$B$6:$B$65,0),MATCH(C96,Roster!$C$6:$C$65,0))-1)+MATCH(B96,{"AM","PM","NIGHT"},0)-1-27+1,DAY(A96))&amp;"",""))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IF(YEAR(A97)&gt;PlanYear,13,MONTH(A97)),'Jan'!$D$27:$AH$206,'Feb'!$D$27:$AH$206,'Mar'!$D$27:$AH$206,'Apr'!$D$27:$AH$206,'May'!$D$27:$AH$206,'Jun'!$D$27:$AH$206,'Jul'!$D$27:$AH$206,'Aug'!$D$27:$AH$206,'Sep'!$D$27:$AH$206,'Oct'!$D$27:$AH$206,'Nov'!$D$27:$AH$206,'Dec'!$D$27:$AH$206,'Jan (next year)'!$D$27:$AH$206),27+3*(IFERROR(MATCH(C97,Roster!$B$6:$B$65,0),MATCH(C97,Roster!$C$6:$C$65,0))-1)+MATCH(B97,{"AM","PM","NIGHT"},0)-1-27+1,DAY(A97))&amp;"",""))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IF(YEAR(A98)&gt;PlanYear,13,MONTH(A98)),'Jan'!$D$27:$AH$206,'Feb'!$D$27:$AH$206,'Mar'!$D$27:$AH$206,'Apr'!$D$27:$AH$206,'May'!$D$27:$AH$206,'Jun'!$D$27:$AH$206,'Jul'!$D$27:$AH$206,'Aug'!$D$27:$AH$206,'Sep'!$D$27:$AH$206,'Oct'!$D$27:$AH$206,'Nov'!$D$27:$AH$206,'Dec'!$D$27:$AH$206,'Jan (next year)'!$D$27:$AH$206),27+3*(IFERROR(MATCH(C98,Roster!$B$6:$B$65,0),MATCH(C98,Roster!$C$6:$C$65,0))-1)+MATCH(B98,{"AM","PM","NIGHT"},0)-1-27+1,DAY(A98))&amp;"",""))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IF(YEAR(A99)&gt;PlanYear,13,MONTH(A99)),'Jan'!$D$27:$AH$206,'Feb'!$D$27:$AH$206,'Mar'!$D$27:$AH$206,'Apr'!$D$27:$AH$206,'May'!$D$27:$AH$206,'Jun'!$D$27:$AH$206,'Jul'!$D$27:$AH$206,'Aug'!$D$27:$AH$206,'Sep'!$D$27:$AH$206,'Oct'!$D$27:$AH$206,'Nov'!$D$27:$AH$206,'Dec'!$D$27:$AH$206,'Jan (next year)'!$D$27:$AH$206),27+3*(IFERROR(MATCH(C99,Roster!$B$6:$B$65,0),MATCH(C99,Roster!$C$6:$C$65,0))-1)+MATCH(B99,{"AM","PM","NIGHT"},0)-1-27+1,DAY(A99))&amp;"",""))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$206,'Feb'!$D$27:$AH$206,'Mar'!$D$27:$AH$206,'Apr'!$D$27:$AH$206,'May'!$D$27:$AH$206,'Jun'!$D$27:$AH$206,'Jul'!$D$27:$AH$206,'Aug'!$D$27:$AH$206,'Sep'!$D$27:$AH$206,'Oct'!$D$27:$AH$206,'Nov'!$D$27:$AH$206,'Dec'!$D$27:$AH$206,'Jan (next year)'!$D$27:$AH$206),27+3*(IFERROR(MATCH(C100,Roster!$B$6:$B$65,0),MATCH(C100,Roster!$C$6:$C$65,0))-1)+MATCH(B100,{"AM","PM","NIGHT"},0)-1-27+1,DAY(A100))&amp;"",""))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$206,'Feb'!$D$27:$AH$206,'Mar'!$D$27:$AH$206,'Apr'!$D$27:$AH$206,'May'!$D$27:$AH$206,'Jun'!$D$27:$AH$206,'Jul'!$D$27:$AH$206,'Aug'!$D$27:$AH$206,'Sep'!$D$27:$AH$206,'Oct'!$D$27:$AH$206,'Nov'!$D$27:$AH$206,'Dec'!$D$27:$AH$206,'Jan (next year)'!$D$27:$AH$206),27+3*(IFERROR(MATCH(C101,Roster!$B$6:$B$65,0),MATCH(C101,Roster!$C$6:$C$65,0))-1)+MATCH(B101,{"AM","PM","NIGHT"},0)-1-27+1,DAY(A101))&amp;"",""))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$206,'Feb'!$D$27:$AH$206,'Mar'!$D$27:$AH$206,'Apr'!$D$27:$AH$206,'May'!$D$27:$AH$206,'Jun'!$D$27:$AH$206,'Jul'!$D$27:$AH$206,'Aug'!$D$27:$AH$206,'Sep'!$D$27:$AH$206,'Oct'!$D$27:$AH$206,'Nov'!$D$27:$AH$206,'Dec'!$D$27:$AH$206,'Jan (next year)'!$D$27:$AH$206),27+3*(IFERROR(MATCH(C102,Roster!$B$6:$B$65,0),MATCH(C102,Roster!$C$6:$C$65,0))-1)+MATCH(B102,{"AM","PM","NIGHT"},0)-1-27+1,DAY(A102))&amp;"",""))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$206,'Feb'!$D$27:$AH$206,'Mar'!$D$27:$AH$206,'Apr'!$D$27:$AH$206,'May'!$D$27:$AH$206,'Jun'!$D$27:$AH$206,'Jul'!$D$27:$AH$206,'Aug'!$D$27:$AH$206,'Sep'!$D$27:$AH$206,'Oct'!$D$27:$AH$206,'Nov'!$D$27:$AH$206,'Dec'!$D$27:$AH$206,'Jan (next year)'!$D$27:$AH$206),27+3*(IFERROR(MATCH(C103,Roster!$B$6:$B$65,0),MATCH(C103,Roster!$C$6:$C$65,0))-1)+MATCH(B103,{"AM","PM","NIGHT"},0)-1-27+1,DAY(A103))&amp;"",""))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$206,'Feb'!$D$27:$AH$206,'Mar'!$D$27:$AH$206,'Apr'!$D$27:$AH$206,'May'!$D$27:$AH$206,'Jun'!$D$27:$AH$206,'Jul'!$D$27:$AH$206,'Aug'!$D$27:$AH$206,'Sep'!$D$27:$AH$206,'Oct'!$D$27:$AH$206,'Nov'!$D$27:$AH$206,'Dec'!$D$27:$AH$206,'Jan (next year)'!$D$27:$AH$206),27+3*(IFERROR(MATCH(C104,Roster!$B$6:$B$65,0),MATCH(C104,Roster!$C$6:$C$65,0))-1)+MATCH(B104,{"AM","PM","NIGHT"},0)-1-27+1,DAY(A104))&amp;"",""))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$206,'Feb'!$D$27:$AH$206,'Mar'!$D$27:$AH$206,'Apr'!$D$27:$AH$206,'May'!$D$27:$AH$206,'Jun'!$D$27:$AH$206,'Jul'!$D$27:$AH$206,'Aug'!$D$27:$AH$206,'Sep'!$D$27:$AH$206,'Oct'!$D$27:$AH$206,'Nov'!$D$27:$AH$206,'Dec'!$D$27:$AH$206,'Jan (next year)'!$D$27:$AH$206),27+3*(IFERROR(MATCH(C105,Roster!$B$6:$B$65,0),MATCH(C105,Roster!$C$6:$C$65,0))-1)+MATCH(B105,{"AM","PM","NIGHT"},0)-1-27+1,DAY(A105))&amp;"",""))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$206,'Feb'!$D$27:$AH$206,'Mar'!$D$27:$AH$206,'Apr'!$D$27:$AH$206,'May'!$D$27:$AH$206,'Jun'!$D$27:$AH$206,'Jul'!$D$27:$AH$206,'Aug'!$D$27:$AH$206,'Sep'!$D$27:$AH$206,'Oct'!$D$27:$AH$206,'Nov'!$D$27:$AH$206,'Dec'!$D$27:$AH$206,'Jan (next year)'!$D$27:$AH$206),27+3*(IFERROR(MATCH(C106,Roster!$B$6:$B$65,0),MATCH(C106,Roster!$C$6:$C$65,0))-1)+MATCH(B106,{"AM","PM","NIGHT"},0)-1-27+1,DAY(A106))&amp;"",""))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$206,'Feb'!$D$27:$AH$206,'Mar'!$D$27:$AH$206,'Apr'!$D$27:$AH$206,'May'!$D$27:$AH$206,'Jun'!$D$27:$AH$206,'Jul'!$D$27:$AH$206,'Aug'!$D$27:$AH$206,'Sep'!$D$27:$AH$206,'Oct'!$D$27:$AH$206,'Nov'!$D$27:$AH$206,'Dec'!$D$27:$AH$206,'Jan (next year)'!$D$27:$AH$206),27+3*(IFERROR(MATCH(C107,Roster!$B$6:$B$65,0),MATCH(C107,Roster!$C$6:$C$65,0))-1)+MATCH(B107,{"AM","PM","NIGHT"},0)-1-27+1,DAY(A107))&amp;"",""))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$206,'Feb'!$D$27:$AH$206,'Mar'!$D$27:$AH$206,'Apr'!$D$27:$AH$206,'May'!$D$27:$AH$206,'Jun'!$D$27:$AH$206,'Jul'!$D$27:$AH$206,'Aug'!$D$27:$AH$206,'Sep'!$D$27:$AH$206,'Oct'!$D$27:$AH$206,'Nov'!$D$27:$AH$206,'Dec'!$D$27:$AH$206,'Jan (next year)'!$D$27:$AH$206),27+3*(IFERROR(MATCH(C108,Roster!$B$6:$B$65,0),MATCH(C108,Roster!$C$6:$C$65,0))-1)+MATCH(B108,{"AM","PM","NIGHT"},0)-1-27+1,DAY(A108))&amp;"",""))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$206,'Feb'!$D$27:$AH$206,'Mar'!$D$27:$AH$206,'Apr'!$D$27:$AH$206,'May'!$D$27:$AH$206,'Jun'!$D$27:$AH$206,'Jul'!$D$27:$AH$206,'Aug'!$D$27:$AH$206,'Sep'!$D$27:$AH$206,'Oct'!$D$27:$AH$206,'Nov'!$D$27:$AH$206,'Dec'!$D$27:$AH$206,'Jan (next year)'!$D$27:$AH$206),27+3*(IFERROR(MATCH(C109,Roster!$B$6:$B$65,0),MATCH(C109,Roster!$C$6:$C$65,0))-1)+MATCH(B109,{"AM","PM","NIGHT"},0)-1-27+1,DAY(A109))&amp;"",""))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$206,'Feb'!$D$27:$AH$206,'Mar'!$D$27:$AH$206,'Apr'!$D$27:$AH$206,'May'!$D$27:$AH$206,'Jun'!$D$27:$AH$206,'Jul'!$D$27:$AH$206,'Aug'!$D$27:$AH$206,'Sep'!$D$27:$AH$206,'Oct'!$D$27:$AH$206,'Nov'!$D$27:$AH$206,'Dec'!$D$27:$AH$206,'Jan (next year)'!$D$27:$AH$206),27+3*(IFERROR(MATCH(C110,Roster!$B$6:$B$65,0),MATCH(C110,Roster!$C$6:$C$65,0))-1)+MATCH(B110,{"AM","PM","NIGHT"},0)-1-27+1,DAY(A110))&amp;"",""))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$206,'Feb'!$D$27:$AH$206,'Mar'!$D$27:$AH$206,'Apr'!$D$27:$AH$206,'May'!$D$27:$AH$206,'Jun'!$D$27:$AH$206,'Jul'!$D$27:$AH$206,'Aug'!$D$27:$AH$206,'Sep'!$D$27:$AH$206,'Oct'!$D$27:$AH$206,'Nov'!$D$27:$AH$206,'Dec'!$D$27:$AH$206,'Jan (next year)'!$D$27:$AH$206),27+3*(IFERROR(MATCH(C111,Roster!$B$6:$B$65,0),MATCH(C111,Roster!$C$6:$C$65,0))-1)+MATCH(B111,{"AM","PM","NIGHT"},0)-1-27+1,DAY(A111))&amp;"",""))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$206,'Feb'!$D$27:$AH$206,'Mar'!$D$27:$AH$206,'Apr'!$D$27:$AH$206,'May'!$D$27:$AH$206,'Jun'!$D$27:$AH$206,'Jul'!$D$27:$AH$206,'Aug'!$D$27:$AH$206,'Sep'!$D$27:$AH$206,'Oct'!$D$27:$AH$206,'Nov'!$D$27:$AH$206,'Dec'!$D$27:$AH$206,'Jan (next year)'!$D$27:$AH$206),27+3*(IFERROR(MATCH(C112,Roster!$B$6:$B$65,0),MATCH(C112,Roster!$C$6:$C$65,0))-1)+MATCH(B112,{"AM","PM","NIGHT"},0)-1-27+1,DAY(A112))&amp;"",""))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$206,'Feb'!$D$27:$AH$206,'Mar'!$D$27:$AH$206,'Apr'!$D$27:$AH$206,'May'!$D$27:$AH$206,'Jun'!$D$27:$AH$206,'Jul'!$D$27:$AH$206,'Aug'!$D$27:$AH$206,'Sep'!$D$27:$AH$206,'Oct'!$D$27:$AH$206,'Nov'!$D$27:$AH$206,'Dec'!$D$27:$AH$206,'Jan (next year)'!$D$27:$AH$206),27+3*(IFERROR(MATCH(C113,Roster!$B$6:$B$65,0),MATCH(C113,Roster!$C$6:$C$65,0))-1)+MATCH(B113,{"AM","PM","NIGHT"},0)-1-27+1,DAY(A113))&amp;"",""))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$206,'Feb'!$D$27:$AH$206,'Mar'!$D$27:$AH$206,'Apr'!$D$27:$AH$206,'May'!$D$27:$AH$206,'Jun'!$D$27:$AH$206,'Jul'!$D$27:$AH$206,'Aug'!$D$27:$AH$206,'Sep'!$D$27:$AH$206,'Oct'!$D$27:$AH$206,'Nov'!$D$27:$AH$206,'Dec'!$D$27:$AH$206,'Jan (next year)'!$D$27:$AH$206),27+3*(IFERROR(MATCH(C114,Roster!$B$6:$B$65,0),MATCH(C114,Roster!$C$6:$C$65,0))-1)+MATCH(B114,{"AM","PM","NIGHT"},0)-1-27+1,DAY(A114))&amp;"",""))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$206,'Feb'!$D$27:$AH$206,'Mar'!$D$27:$AH$206,'Apr'!$D$27:$AH$206,'May'!$D$27:$AH$206,'Jun'!$D$27:$AH$206,'Jul'!$D$27:$AH$206,'Aug'!$D$27:$AH$206,'Sep'!$D$27:$AH$206,'Oct'!$D$27:$AH$206,'Nov'!$D$27:$AH$206,'Dec'!$D$27:$AH$206,'Jan (next year)'!$D$27:$AH$206),27+3*(IFERROR(MATCH(C115,Roster!$B$6:$B$65,0),MATCH(C115,Roster!$C$6:$C$65,0))-1)+MATCH(B115,{"AM","PM","NIGHT"},0)-1-27+1,DAY(A115))&amp;"",""))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$206,'Feb'!$D$27:$AH$206,'Mar'!$D$27:$AH$206,'Apr'!$D$27:$AH$206,'May'!$D$27:$AH$206,'Jun'!$D$27:$AH$206,'Jul'!$D$27:$AH$206,'Aug'!$D$27:$AH$206,'Sep'!$D$27:$AH$206,'Oct'!$D$27:$AH$206,'Nov'!$D$27:$AH$206,'Dec'!$D$27:$AH$206,'Jan (next year)'!$D$27:$AH$206),27+3*(IFERROR(MATCH(C116,Roster!$B$6:$B$65,0),MATCH(C116,Roster!$C$6:$C$65,0))-1)+MATCH(B116,{"AM","PM","NIGHT"},0)-1-27+1,DAY(A116))&amp;"",""))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$206,'Feb'!$D$27:$AH$206,'Mar'!$D$27:$AH$206,'Apr'!$D$27:$AH$206,'May'!$D$27:$AH$206,'Jun'!$D$27:$AH$206,'Jul'!$D$27:$AH$206,'Aug'!$D$27:$AH$206,'Sep'!$D$27:$AH$206,'Oct'!$D$27:$AH$206,'Nov'!$D$27:$AH$206,'Dec'!$D$27:$AH$206,'Jan (next year)'!$D$27:$AH$206),27+3*(IFERROR(MATCH(C117,Roster!$B$6:$B$65,0),MATCH(C117,Roster!$C$6:$C$65,0))-1)+MATCH(B117,{"AM","PM","NIGHT"},0)-1-27+1,DAY(A117))&amp;"",""))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$206,'Feb'!$D$27:$AH$206,'Mar'!$D$27:$AH$206,'Apr'!$D$27:$AH$206,'May'!$D$27:$AH$206,'Jun'!$D$27:$AH$206,'Jul'!$D$27:$AH$206,'Aug'!$D$27:$AH$206,'Sep'!$D$27:$AH$206,'Oct'!$D$27:$AH$206,'Nov'!$D$27:$AH$206,'Dec'!$D$27:$AH$206,'Jan (next year)'!$D$27:$AH$206),27+3*(IFERROR(MATCH(C118,Roster!$B$6:$B$65,0),MATCH(C118,Roster!$C$6:$C$65,0))-1)+MATCH(B118,{"AM","PM","NIGHT"},0)-1-27+1,DAY(A118))&amp;"",""))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$206,'Feb'!$D$27:$AH$206,'Mar'!$D$27:$AH$206,'Apr'!$D$27:$AH$206,'May'!$D$27:$AH$206,'Jun'!$D$27:$AH$206,'Jul'!$D$27:$AH$206,'Aug'!$D$27:$AH$206,'Sep'!$D$27:$AH$206,'Oct'!$D$27:$AH$206,'Nov'!$D$27:$AH$206,'Dec'!$D$27:$AH$206,'Jan (next year)'!$D$27:$AH$206),27+3*(IFERROR(MATCH(C119,Roster!$B$6:$B$65,0),MATCH(C119,Roster!$C$6:$C$65,0))-1)+MATCH(B119,{"AM","PM","NIGHT"},0)-1-27+1,DAY(A119))&amp;"",""))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$206,'Feb'!$D$27:$AH$206,'Mar'!$D$27:$AH$206,'Apr'!$D$27:$AH$206,'May'!$D$27:$AH$206,'Jun'!$D$27:$AH$206,'Jul'!$D$27:$AH$206,'Aug'!$D$27:$AH$206,'Sep'!$D$27:$AH$206,'Oct'!$D$27:$AH$206,'Nov'!$D$27:$AH$206,'Dec'!$D$27:$AH$206,'Jan (next year)'!$D$27:$AH$206),27+3*(IFERROR(MATCH(C120,Roster!$B$6:$B$65,0),MATCH(C120,Roster!$C$6:$C$65,0))-1)+MATCH(B120,{"AM","PM","NIGHT"},0)-1-27+1,DAY(A120))&amp;"",""))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$206,'Feb'!$D$27:$AH$206,'Mar'!$D$27:$AH$206,'Apr'!$D$27:$AH$206,'May'!$D$27:$AH$206,'Jun'!$D$27:$AH$206,'Jul'!$D$27:$AH$206,'Aug'!$D$27:$AH$206,'Sep'!$D$27:$AH$206,'Oct'!$D$27:$AH$206,'Nov'!$D$27:$AH$206,'Dec'!$D$27:$AH$206,'Jan (next year)'!$D$27:$AH$206),27+3*(IFERROR(MATCH(C121,Roster!$B$6:$B$65,0),MATCH(C121,Roster!$C$6:$C$65,0))-1)+MATCH(B121,{"AM","PM","NIGHT"},0)-1-27+1,DAY(A121))&amp;"",""))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$206,'Feb'!$D$27:$AH$206,'Mar'!$D$27:$AH$206,'Apr'!$D$27:$AH$206,'May'!$D$27:$AH$206,'Jun'!$D$27:$AH$206,'Jul'!$D$27:$AH$206,'Aug'!$D$27:$AH$206,'Sep'!$D$27:$AH$206,'Oct'!$D$27:$AH$206,'Nov'!$D$27:$AH$206,'Dec'!$D$27:$AH$206,'Jan (next year)'!$D$27:$AH$206),27+3*(IFERROR(MATCH(C122,Roster!$B$6:$B$65,0),MATCH(C122,Roster!$C$6:$C$65,0))-1)+MATCH(B122,{"AM","PM","NIGHT"},0)-1-27+1,DAY(A122))&amp;"",""))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$206,'Feb'!$D$27:$AH$206,'Mar'!$D$27:$AH$206,'Apr'!$D$27:$AH$206,'May'!$D$27:$AH$206,'Jun'!$D$27:$AH$206,'Jul'!$D$27:$AH$206,'Aug'!$D$27:$AH$206,'Sep'!$D$27:$AH$206,'Oct'!$D$27:$AH$206,'Nov'!$D$27:$AH$206,'Dec'!$D$27:$AH$206,'Jan (next year)'!$D$27:$AH$206),27+3*(IFERROR(MATCH(C123,Roster!$B$6:$B$65,0),MATCH(C123,Roster!$C$6:$C$65,0))-1)+MATCH(B123,{"AM","PM","NIGHT"},0)-1-27+1,DAY(A123))&amp;"",""))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$206,'Feb'!$D$27:$AH$206,'Mar'!$D$27:$AH$206,'Apr'!$D$27:$AH$206,'May'!$D$27:$AH$206,'Jun'!$D$27:$AH$206,'Jul'!$D$27:$AH$206,'Aug'!$D$27:$AH$206,'Sep'!$D$27:$AH$206,'Oct'!$D$27:$AH$206,'Nov'!$D$27:$AH$206,'Dec'!$D$27:$AH$206,'Jan (next year)'!$D$27:$AH$206),27+3*(IFERROR(MATCH(C124,Roster!$B$6:$B$65,0),MATCH(C124,Roster!$C$6:$C$65,0))-1)+MATCH(B124,{"AM","PM","NIGHT"},0)-1-27+1,DAY(A124))&amp;"",""))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$206,'Feb'!$D$27:$AH$206,'Mar'!$D$27:$AH$206,'Apr'!$D$27:$AH$206,'May'!$D$27:$AH$206,'Jun'!$D$27:$AH$206,'Jul'!$D$27:$AH$206,'Aug'!$D$27:$AH$206,'Sep'!$D$27:$AH$206,'Oct'!$D$27:$AH$206,'Nov'!$D$27:$AH$206,'Dec'!$D$27:$AH$206,'Jan (next year)'!$D$27:$AH$206),27+3*(IFERROR(MATCH(C125,Roster!$B$6:$B$65,0),MATCH(C125,Roster!$C$6:$C$65,0))-1)+MATCH(B125,{"AM","PM","NIGHT"},0)-1-27+1,DAY(A125))&amp;"",""))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$206,'Feb'!$D$27:$AH$206,'Mar'!$D$27:$AH$206,'Apr'!$D$27:$AH$206,'May'!$D$27:$AH$206,'Jun'!$D$27:$AH$206,'Jul'!$D$27:$AH$206,'Aug'!$D$27:$AH$206,'Sep'!$D$27:$AH$206,'Oct'!$D$27:$AH$206,'Nov'!$D$27:$AH$206,'Dec'!$D$27:$AH$206,'Jan (next year)'!$D$27:$AH$206),27+3*(IFERROR(MATCH(C126,Roster!$B$6:$B$65,0),MATCH(C126,Roster!$C$6:$C$65,0))-1)+MATCH(B126,{"AM","PM","NIGHT"},0)-1-27+1,DAY(A126))&amp;"",""))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$206,'Feb'!$D$27:$AH$206,'Mar'!$D$27:$AH$206,'Apr'!$D$27:$AH$206,'May'!$D$27:$AH$206,'Jun'!$D$27:$AH$206,'Jul'!$D$27:$AH$206,'Aug'!$D$27:$AH$206,'Sep'!$D$27:$AH$206,'Oct'!$D$27:$AH$206,'Nov'!$D$27:$AH$206,'Dec'!$D$27:$AH$206,'Jan (next year)'!$D$27:$AH$206),27+3*(IFERROR(MATCH(C127,Roster!$B$6:$B$65,0),MATCH(C127,Roster!$C$6:$C$65,0))-1)+MATCH(B127,{"AM","PM","NIGHT"},0)-1-27+1,DAY(A127))&amp;"",""))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$206,'Feb'!$D$27:$AH$206,'Mar'!$D$27:$AH$206,'Apr'!$D$27:$AH$206,'May'!$D$27:$AH$206,'Jun'!$D$27:$AH$206,'Jul'!$D$27:$AH$206,'Aug'!$D$27:$AH$206,'Sep'!$D$27:$AH$206,'Oct'!$D$27:$AH$206,'Nov'!$D$27:$AH$206,'Dec'!$D$27:$AH$206,'Jan (next year)'!$D$27:$AH$206),27+3*(IFERROR(MATCH(C128,Roster!$B$6:$B$65,0),MATCH(C128,Roster!$C$6:$C$65,0))-1)+MATCH(B128,{"AM","PM","NIGHT"},0)-1-27+1,DAY(A128))&amp;"",""))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$206,'Feb'!$D$27:$AH$206,'Mar'!$D$27:$AH$206,'Apr'!$D$27:$AH$206,'May'!$D$27:$AH$206,'Jun'!$D$27:$AH$206,'Jul'!$D$27:$AH$206,'Aug'!$D$27:$AH$206,'Sep'!$D$27:$AH$206,'Oct'!$D$27:$AH$206,'Nov'!$D$27:$AH$206,'Dec'!$D$27:$AH$206,'Jan (next year)'!$D$27:$AH$206),27+3*(IFERROR(MATCH(C129,Roster!$B$6:$B$65,0),MATCH(C129,Roster!$C$6:$C$65,0))-1)+MATCH(B129,{"AM","PM","NIGHT"},0)-1-27+1,DAY(A129))&amp;"",""))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$206,'Feb'!$D$27:$AH$206,'Mar'!$D$27:$AH$206,'Apr'!$D$27:$AH$206,'May'!$D$27:$AH$206,'Jun'!$D$27:$AH$206,'Jul'!$D$27:$AH$206,'Aug'!$D$27:$AH$206,'Sep'!$D$27:$AH$206,'Oct'!$D$27:$AH$206,'Nov'!$D$27:$AH$206,'Dec'!$D$27:$AH$206,'Jan (next year)'!$D$27:$AH$206),27+3*(IFERROR(MATCH(C130,Roster!$B$6:$B$65,0),MATCH(C130,Roster!$C$6:$C$65,0))-1)+MATCH(B130,{"AM","PM","NIGHT"},0)-1-27+1,DAY(A130))&amp;"",""))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$206,'Feb'!$D$27:$AH$206,'Mar'!$D$27:$AH$206,'Apr'!$D$27:$AH$206,'May'!$D$27:$AH$206,'Jun'!$D$27:$AH$206,'Jul'!$D$27:$AH$206,'Aug'!$D$27:$AH$206,'Sep'!$D$27:$AH$206,'Oct'!$D$27:$AH$206,'Nov'!$D$27:$AH$206,'Dec'!$D$27:$AH$206,'Jan (next year)'!$D$27:$AH$206),27+3*(IFERROR(MATCH(C131,Roster!$B$6:$B$65,0),MATCH(C131,Roster!$C$6:$C$65,0))-1)+MATCH(B131,{"AM","PM","NIGHT"},0)-1-27+1,DAY(A131))&amp;"",""))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$206,'Feb'!$D$27:$AH$206,'Mar'!$D$27:$AH$206,'Apr'!$D$27:$AH$206,'May'!$D$27:$AH$206,'Jun'!$D$27:$AH$206,'Jul'!$D$27:$AH$206,'Aug'!$D$27:$AH$206,'Sep'!$D$27:$AH$206,'Oct'!$D$27:$AH$206,'Nov'!$D$27:$AH$206,'Dec'!$D$27:$AH$206,'Jan (next year)'!$D$27:$AH$206),27+3*(IFERROR(MATCH(C132,Roster!$B$6:$B$65,0),MATCH(C132,Roster!$C$6:$C$65,0))-1)+MATCH(B132,{"AM","PM","NIGHT"},0)-1-27+1,DAY(A132))&amp;"",""))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$206,'Feb'!$D$27:$AH$206,'Mar'!$D$27:$AH$206,'Apr'!$D$27:$AH$206,'May'!$D$27:$AH$206,'Jun'!$D$27:$AH$206,'Jul'!$D$27:$AH$206,'Aug'!$D$27:$AH$206,'Sep'!$D$27:$AH$206,'Oct'!$D$27:$AH$206,'Nov'!$D$27:$AH$206,'Dec'!$D$27:$AH$206,'Jan (next year)'!$D$27:$AH$206),27+3*(IFERROR(MATCH(C133,Roster!$B$6:$B$65,0),MATCH(C133,Roster!$C$6:$C$65,0))-1)+MATCH(B133,{"AM","PM","NIGHT"},0)-1-27+1,DAY(A133))&amp;"",""))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$206,'Feb'!$D$27:$AH$206,'Mar'!$D$27:$AH$206,'Apr'!$D$27:$AH$206,'May'!$D$27:$AH$206,'Jun'!$D$27:$AH$206,'Jul'!$D$27:$AH$206,'Aug'!$D$27:$AH$206,'Sep'!$D$27:$AH$206,'Oct'!$D$27:$AH$206,'Nov'!$D$27:$AH$206,'Dec'!$D$27:$AH$206,'Jan (next year)'!$D$27:$AH$206),27+3*(IFERROR(MATCH(C134,Roster!$B$6:$B$65,0),MATCH(C134,Roster!$C$6:$C$65,0))-1)+MATCH(B134,{"AM","PM","NIGHT"},0)-1-27+1,DAY(A134))&amp;"",""))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$206,'Feb'!$D$27:$AH$206,'Mar'!$D$27:$AH$206,'Apr'!$D$27:$AH$206,'May'!$D$27:$AH$206,'Jun'!$D$27:$AH$206,'Jul'!$D$27:$AH$206,'Aug'!$D$27:$AH$206,'Sep'!$D$27:$AH$206,'Oct'!$D$27:$AH$206,'Nov'!$D$27:$AH$206,'Dec'!$D$27:$AH$206,'Jan (next year)'!$D$27:$AH$206),27+3*(IFERROR(MATCH(C135,Roster!$B$6:$B$65,0),MATCH(C135,Roster!$C$6:$C$65,0))-1)+MATCH(B135,{"AM","PM","NIGHT"},0)-1-27+1,DAY(A135))&amp;"",""))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$206,'Feb'!$D$27:$AH$206,'Mar'!$D$27:$AH$206,'Apr'!$D$27:$AH$206,'May'!$D$27:$AH$206,'Jun'!$D$27:$AH$206,'Jul'!$D$27:$AH$206,'Aug'!$D$27:$AH$206,'Sep'!$D$27:$AH$206,'Oct'!$D$27:$AH$206,'Nov'!$D$27:$AH$206,'Dec'!$D$27:$AH$206,'Jan (next year)'!$D$27:$AH$206),27+3*(IFERROR(MATCH(C136,Roster!$B$6:$B$65,0),MATCH(C136,Roster!$C$6:$C$65,0))-1)+MATCH(B136,{"AM","PM","NIGHT"},0)-1-27+1,DAY(A136))&amp;"",""))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$206,'Feb'!$D$27:$AH$206,'Mar'!$D$27:$AH$206,'Apr'!$D$27:$AH$206,'May'!$D$27:$AH$206,'Jun'!$D$27:$AH$206,'Jul'!$D$27:$AH$206,'Aug'!$D$27:$AH$206,'Sep'!$D$27:$AH$206,'Oct'!$D$27:$AH$206,'Nov'!$D$27:$AH$206,'Dec'!$D$27:$AH$206,'Jan (next year)'!$D$27:$AH$206),27+3*(IFERROR(MATCH(C137,Roster!$B$6:$B$65,0),MATCH(C137,Roster!$C$6:$C$65,0))-1)+MATCH(B137,{"AM","PM","NIGHT"},0)-1-27+1,DAY(A137))&amp;"",""))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$206,'Feb'!$D$27:$AH$206,'Mar'!$D$27:$AH$206,'Apr'!$D$27:$AH$206,'May'!$D$27:$AH$206,'Jun'!$D$27:$AH$206,'Jul'!$D$27:$AH$206,'Aug'!$D$27:$AH$206,'Sep'!$D$27:$AH$206,'Oct'!$D$27:$AH$206,'Nov'!$D$27:$AH$206,'Dec'!$D$27:$AH$206,'Jan (next year)'!$D$27:$AH$206),27+3*(IFERROR(MATCH(C138,Roster!$B$6:$B$65,0),MATCH(C138,Roster!$C$6:$C$65,0))-1)+MATCH(B138,{"AM","PM","NIGHT"},0)-1-27+1,DAY(A138))&amp;"",""))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$206,'Feb'!$D$27:$AH$206,'Mar'!$D$27:$AH$206,'Apr'!$D$27:$AH$206,'May'!$D$27:$AH$206,'Jun'!$D$27:$AH$206,'Jul'!$D$27:$AH$206,'Aug'!$D$27:$AH$206,'Sep'!$D$27:$AH$206,'Oct'!$D$27:$AH$206,'Nov'!$D$27:$AH$206,'Dec'!$D$27:$AH$206,'Jan (next year)'!$D$27:$AH$206),27+3*(IFERROR(MATCH(C139,Roster!$B$6:$B$65,0),MATCH(C139,Roster!$C$6:$C$65,0))-1)+MATCH(B139,{"AM","PM","NIGHT"},0)-1-27+1,DAY(A139))&amp;"",""))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$206,'Feb'!$D$27:$AH$206,'Mar'!$D$27:$AH$206,'Apr'!$D$27:$AH$206,'May'!$D$27:$AH$206,'Jun'!$D$27:$AH$206,'Jul'!$D$27:$AH$206,'Aug'!$D$27:$AH$206,'Sep'!$D$27:$AH$206,'Oct'!$D$27:$AH$206,'Nov'!$D$27:$AH$206,'Dec'!$D$27:$AH$206,'Jan (next year)'!$D$27:$AH$206),27+3*(IFERROR(MATCH(C140,Roster!$B$6:$B$65,0),MATCH(C140,Roster!$C$6:$C$65,0))-1)+MATCH(B140,{"AM","PM","NIGHT"},0)-1-27+1,DAY(A140))&amp;"",""))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$206,'Feb'!$D$27:$AH$206,'Mar'!$D$27:$AH$206,'Apr'!$D$27:$AH$206,'May'!$D$27:$AH$206,'Jun'!$D$27:$AH$206,'Jul'!$D$27:$AH$206,'Aug'!$D$27:$AH$206,'Sep'!$D$27:$AH$206,'Oct'!$D$27:$AH$206,'Nov'!$D$27:$AH$206,'Dec'!$D$27:$AH$206,'Jan (next year)'!$D$27:$AH$206),27+3*(IFERROR(MATCH(C141,Roster!$B$6:$B$65,0),MATCH(C141,Roster!$C$6:$C$65,0))-1)+MATCH(B141,{"AM","PM","NIGHT"},0)-1-27+1,DAY(A141))&amp;"",""))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$206,'Feb'!$D$27:$AH$206,'Mar'!$D$27:$AH$206,'Apr'!$D$27:$AH$206,'May'!$D$27:$AH$206,'Jun'!$D$27:$AH$206,'Jul'!$D$27:$AH$206,'Aug'!$D$27:$AH$206,'Sep'!$D$27:$AH$206,'Oct'!$D$27:$AH$206,'Nov'!$D$27:$AH$206,'Dec'!$D$27:$AH$206,'Jan (next year)'!$D$27:$AH$206),27+3*(IFERROR(MATCH(C142,Roster!$B$6:$B$65,0),MATCH(C142,Roster!$C$6:$C$65,0))-1)+MATCH(B142,{"AM","PM","NIGHT"},0)-1-27+1,DAY(A142))&amp;"",""))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$206,'Feb'!$D$27:$AH$206,'Mar'!$D$27:$AH$206,'Apr'!$D$27:$AH$206,'May'!$D$27:$AH$206,'Jun'!$D$27:$AH$206,'Jul'!$D$27:$AH$206,'Aug'!$D$27:$AH$206,'Sep'!$D$27:$AH$206,'Oct'!$D$27:$AH$206,'Nov'!$D$27:$AH$206,'Dec'!$D$27:$AH$206,'Jan (next year)'!$D$27:$AH$206),27+3*(IFERROR(MATCH(C143,Roster!$B$6:$B$65,0),MATCH(C143,Roster!$C$6:$C$65,0))-1)+MATCH(B143,{"AM","PM","NIGHT"},0)-1-27+1,DAY(A143))&amp;"",""))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$206,'Feb'!$D$27:$AH$206,'Mar'!$D$27:$AH$206,'Apr'!$D$27:$AH$206,'May'!$D$27:$AH$206,'Jun'!$D$27:$AH$206,'Jul'!$D$27:$AH$206,'Aug'!$D$27:$AH$206,'Sep'!$D$27:$AH$206,'Oct'!$D$27:$AH$206,'Nov'!$D$27:$AH$206,'Dec'!$D$27:$AH$206,'Jan (next year)'!$D$27:$AH$206),27+3*(IFERROR(MATCH(C144,Roster!$B$6:$B$65,0),MATCH(C144,Roster!$C$6:$C$65,0))-1)+MATCH(B144,{"AM","PM","NIGHT"},0)-1-27+1,DAY(A144))&amp;"",""))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$206,'Feb'!$D$27:$AH$206,'Mar'!$D$27:$AH$206,'Apr'!$D$27:$AH$206,'May'!$D$27:$AH$206,'Jun'!$D$27:$AH$206,'Jul'!$D$27:$AH$206,'Aug'!$D$27:$AH$206,'Sep'!$D$27:$AH$206,'Oct'!$D$27:$AH$206,'Nov'!$D$27:$AH$206,'Dec'!$D$27:$AH$206,'Jan (next year)'!$D$27:$AH$206),27+3*(IFERROR(MATCH(C145,Roster!$B$6:$B$65,0),MATCH(C145,Roster!$C$6:$C$65,0))-1)+MATCH(B145,{"AM","PM","NIGHT"},0)-1-27+1,DAY(A145))&amp;"",""))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$206,'Feb'!$D$27:$AH$206,'Mar'!$D$27:$AH$206,'Apr'!$D$27:$AH$206,'May'!$D$27:$AH$206,'Jun'!$D$27:$AH$206,'Jul'!$D$27:$AH$206,'Aug'!$D$27:$AH$206,'Sep'!$D$27:$AH$206,'Oct'!$D$27:$AH$206,'Nov'!$D$27:$AH$206,'Dec'!$D$27:$AH$206,'Jan (next year)'!$D$27:$AH$206),27+3*(IFERROR(MATCH(C146,Roster!$B$6:$B$65,0),MATCH(C146,Roster!$C$6:$C$65,0))-1)+MATCH(B146,{"AM","PM","NIGHT"},0)-1-27+1,DAY(A146))&amp;"",""))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$206,'Feb'!$D$27:$AH$206,'Mar'!$D$27:$AH$206,'Apr'!$D$27:$AH$206,'May'!$D$27:$AH$206,'Jun'!$D$27:$AH$206,'Jul'!$D$27:$AH$206,'Aug'!$D$27:$AH$206,'Sep'!$D$27:$AH$206,'Oct'!$D$27:$AH$206,'Nov'!$D$27:$AH$206,'Dec'!$D$27:$AH$206,'Jan (next year)'!$D$27:$AH$206),27+3*(IFERROR(MATCH(C147,Roster!$B$6:$B$65,0),MATCH(C147,Roster!$C$6:$C$65,0))-1)+MATCH(B147,{"AM","PM","NIGHT"},0)-1-27+1,DAY(A147))&amp;"",""))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$206,'Feb'!$D$27:$AH$206,'Mar'!$D$27:$AH$206,'Apr'!$D$27:$AH$206,'May'!$D$27:$AH$206,'Jun'!$D$27:$AH$206,'Jul'!$D$27:$AH$206,'Aug'!$D$27:$AH$206,'Sep'!$D$27:$AH$206,'Oct'!$D$27:$AH$206,'Nov'!$D$27:$AH$206,'Dec'!$D$27:$AH$206,'Jan (next year)'!$D$27:$AH$206),27+3*(IFERROR(MATCH(C148,Roster!$B$6:$B$65,0),MATCH(C148,Roster!$C$6:$C$65,0))-1)+MATCH(B148,{"AM","PM","NIGHT"},0)-1-27+1,DAY(A148))&amp;"",""))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$206,'Feb'!$D$27:$AH$206,'Mar'!$D$27:$AH$206,'Apr'!$D$27:$AH$206,'May'!$D$27:$AH$206,'Jun'!$D$27:$AH$206,'Jul'!$D$27:$AH$206,'Aug'!$D$27:$AH$206,'Sep'!$D$27:$AH$206,'Oct'!$D$27:$AH$206,'Nov'!$D$27:$AH$206,'Dec'!$D$27:$AH$206,'Jan (next year)'!$D$27:$AH$206),27+3*(IFERROR(MATCH(C149,Roster!$B$6:$B$65,0),MATCH(C149,Roster!$C$6:$C$65,0))-1)+MATCH(B149,{"AM","PM","NIGHT"},0)-1-27+1,DAY(A149))&amp;"",""))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$206,'Feb'!$D$27:$AH$206,'Mar'!$D$27:$AH$206,'Apr'!$D$27:$AH$206,'May'!$D$27:$AH$206,'Jun'!$D$27:$AH$206,'Jul'!$D$27:$AH$206,'Aug'!$D$27:$AH$206,'Sep'!$D$27:$AH$206,'Oct'!$D$27:$AH$206,'Nov'!$D$27:$AH$206,'Dec'!$D$27:$AH$206,'Jan (next year)'!$D$27:$AH$206),27+3*(IFERROR(MATCH(C150,Roster!$B$6:$B$65,0),MATCH(C150,Roster!$C$6:$C$65,0))-1)+MATCH(B150,{"AM","PM","NIGHT"},0)-1-27+1,DAY(A150))&amp;"",""))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$206,'Feb'!$D$27:$AH$206,'Mar'!$D$27:$AH$206,'Apr'!$D$27:$AH$206,'May'!$D$27:$AH$206,'Jun'!$D$27:$AH$206,'Jul'!$D$27:$AH$206,'Aug'!$D$27:$AH$206,'Sep'!$D$27:$AH$206,'Oct'!$D$27:$AH$206,'Nov'!$D$27:$AH$206,'Dec'!$D$27:$AH$206,'Jan (next year)'!$D$27:$AH$206),27+3*(IFERROR(MATCH(C151,Roster!$B$6:$B$65,0),MATCH(C151,Roster!$C$6:$C$65,0))-1)+MATCH(B151,{"AM","PM","NIGHT"},0)-1-27+1,DAY(A151))&amp;"",""))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$206,'Feb'!$D$27:$AH$206,'Mar'!$D$27:$AH$206,'Apr'!$D$27:$AH$206,'May'!$D$27:$AH$206,'Jun'!$D$27:$AH$206,'Jul'!$D$27:$AH$206,'Aug'!$D$27:$AH$206,'Sep'!$D$27:$AH$206,'Oct'!$D$27:$AH$206,'Nov'!$D$27:$AH$206,'Dec'!$D$27:$AH$206,'Jan (next year)'!$D$27:$AH$206),27+3*(IFERROR(MATCH(C152,Roster!$B$6:$B$65,0),MATCH(C152,Roster!$C$6:$C$65,0))-1)+MATCH(B152,{"AM","PM","NIGHT"},0)-1-27+1,DAY(A152))&amp;"",""))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$206,'Feb'!$D$27:$AH$206,'Mar'!$D$27:$AH$206,'Apr'!$D$27:$AH$206,'May'!$D$27:$AH$206,'Jun'!$D$27:$AH$206,'Jul'!$D$27:$AH$206,'Aug'!$D$27:$AH$206,'Sep'!$D$27:$AH$206,'Oct'!$D$27:$AH$206,'Nov'!$D$27:$AH$206,'Dec'!$D$27:$AH$206,'Jan (next year)'!$D$27:$AH$206),27+3*(IFERROR(MATCH(C153,Roster!$B$6:$B$65,0),MATCH(C153,Roster!$C$6:$C$65,0))-1)+MATCH(B153,{"AM","PM","NIGHT"},0)-1-27+1,DAY(A153))&amp;"",""))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$206,'Feb'!$D$27:$AH$206,'Mar'!$D$27:$AH$206,'Apr'!$D$27:$AH$206,'May'!$D$27:$AH$206,'Jun'!$D$27:$AH$206,'Jul'!$D$27:$AH$206,'Aug'!$D$27:$AH$206,'Sep'!$D$27:$AH$206,'Oct'!$D$27:$AH$206,'Nov'!$D$27:$AH$206,'Dec'!$D$27:$AH$206,'Jan (next year)'!$D$27:$AH$206),27+3*(IFERROR(MATCH(C154,Roster!$B$6:$B$65,0),MATCH(C154,Roster!$C$6:$C$65,0))-1)+MATCH(B154,{"AM","PM","NIGHT"},0)-1-27+1,DAY(A154))&amp;"",""))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$206,'Feb'!$D$27:$AH$206,'Mar'!$D$27:$AH$206,'Apr'!$D$27:$AH$206,'May'!$D$27:$AH$206,'Jun'!$D$27:$AH$206,'Jul'!$D$27:$AH$206,'Aug'!$D$27:$AH$206,'Sep'!$D$27:$AH$206,'Oct'!$D$27:$AH$206,'Nov'!$D$27:$AH$206,'Dec'!$D$27:$AH$206,'Jan (next year)'!$D$27:$AH$206),27+3*(IFERROR(MATCH(C155,Roster!$B$6:$B$65,0),MATCH(C155,Roster!$C$6:$C$65,0))-1)+MATCH(B155,{"AM","PM","NIGHT"},0)-1-27+1,DAY(A155))&amp;"",""))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$206,'Feb'!$D$27:$AH$206,'Mar'!$D$27:$AH$206,'Apr'!$D$27:$AH$206,'May'!$D$27:$AH$206,'Jun'!$D$27:$AH$206,'Jul'!$D$27:$AH$206,'Aug'!$D$27:$AH$206,'Sep'!$D$27:$AH$206,'Oct'!$D$27:$AH$206,'Nov'!$D$27:$AH$206,'Dec'!$D$27:$AH$206,'Jan (next year)'!$D$27:$AH$206),27+3*(IFERROR(MATCH(C156,Roster!$B$6:$B$65,0),MATCH(C156,Roster!$C$6:$C$65,0))-1)+MATCH(B156,{"AM","PM","NIGHT"},0)-1-27+1,DAY(A156))&amp;"",""))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$206,'Feb'!$D$27:$AH$206,'Mar'!$D$27:$AH$206,'Apr'!$D$27:$AH$206,'May'!$D$27:$AH$206,'Jun'!$D$27:$AH$206,'Jul'!$D$27:$AH$206,'Aug'!$D$27:$AH$206,'Sep'!$D$27:$AH$206,'Oct'!$D$27:$AH$206,'Nov'!$D$27:$AH$206,'Dec'!$D$27:$AH$206,'Jan (next year)'!$D$27:$AH$206),27+3*(IFERROR(MATCH(C157,Roster!$B$6:$B$65,0),MATCH(C157,Roster!$C$6:$C$65,0))-1)+MATCH(B157,{"AM","PM","NIGHT"},0)-1-27+1,DAY(A157))&amp;"",""))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$206,'Feb'!$D$27:$AH$206,'Mar'!$D$27:$AH$206,'Apr'!$D$27:$AH$206,'May'!$D$27:$AH$206,'Jun'!$D$27:$AH$206,'Jul'!$D$27:$AH$206,'Aug'!$D$27:$AH$206,'Sep'!$D$27:$AH$206,'Oct'!$D$27:$AH$206,'Nov'!$D$27:$AH$206,'Dec'!$D$27:$AH$206,'Jan (next year)'!$D$27:$AH$206),27+3*(IFERROR(MATCH(C158,Roster!$B$6:$B$65,0),MATCH(C158,Roster!$C$6:$C$65,0))-1)+MATCH(B158,{"AM","PM","NIGHT"},0)-1-27+1,DAY(A158))&amp;"",""))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$206,'Feb'!$D$27:$AH$206,'Mar'!$D$27:$AH$206,'Apr'!$D$27:$AH$206,'May'!$D$27:$AH$206,'Jun'!$D$27:$AH$206,'Jul'!$D$27:$AH$206,'Aug'!$D$27:$AH$206,'Sep'!$D$27:$AH$206,'Oct'!$D$27:$AH$206,'Nov'!$D$27:$AH$206,'Dec'!$D$27:$AH$206,'Jan (next year)'!$D$27:$AH$206),27+3*(IFERROR(MATCH(C159,Roster!$B$6:$B$65,0),MATCH(C159,Roster!$C$6:$C$65,0))-1)+MATCH(B159,{"AM","PM","NIGHT"},0)-1-27+1,DAY(A159))&amp;"",""))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$206,'Feb'!$D$27:$AH$206,'Mar'!$D$27:$AH$206,'Apr'!$D$27:$AH$206,'May'!$D$27:$AH$206,'Jun'!$D$27:$AH$206,'Jul'!$D$27:$AH$206,'Aug'!$D$27:$AH$206,'Sep'!$D$27:$AH$206,'Oct'!$D$27:$AH$206,'Nov'!$D$27:$AH$206,'Dec'!$D$27:$AH$206,'Jan (next year)'!$D$27:$AH$206),27+3*(IFERROR(MATCH(C160,Roster!$B$6:$B$65,0),MATCH(C160,Roster!$C$6:$C$65,0))-1)+MATCH(B160,{"AM","PM","NIGHT"},0)-1-27+1,DAY(A160))&amp;"",""))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$206,'Feb'!$D$27:$AH$206,'Mar'!$D$27:$AH$206,'Apr'!$D$27:$AH$206,'May'!$D$27:$AH$206,'Jun'!$D$27:$AH$206,'Jul'!$D$27:$AH$206,'Aug'!$D$27:$AH$206,'Sep'!$D$27:$AH$206,'Oct'!$D$27:$AH$206,'Nov'!$D$27:$AH$206,'Dec'!$D$27:$AH$206,'Jan (next year)'!$D$27:$AH$206),27+3*(IFERROR(MATCH(C161,Roster!$B$6:$B$65,0),MATCH(C161,Roster!$C$6:$C$65,0))-1)+MATCH(B161,{"AM","PM","NIGHT"},0)-1-27+1,DAY(A161))&amp;"",""))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$206,'Feb'!$D$27:$AH$206,'Mar'!$D$27:$AH$206,'Apr'!$D$27:$AH$206,'May'!$D$27:$AH$206,'Jun'!$D$27:$AH$206,'Jul'!$D$27:$AH$206,'Aug'!$D$27:$AH$206,'Sep'!$D$27:$AH$206,'Oct'!$D$27:$AH$206,'Nov'!$D$27:$AH$206,'Dec'!$D$27:$AH$206,'Jan (next year)'!$D$27:$AH$206),27+3*(IFERROR(MATCH(C162,Roster!$B$6:$B$65,0),MATCH(C162,Roster!$C$6:$C$65,0))-1)+MATCH(B162,{"AM","PM","NIGHT"},0)-1-27+1,DAY(A162))&amp;"",""))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$206,'Feb'!$D$27:$AH$206,'Mar'!$D$27:$AH$206,'Apr'!$D$27:$AH$206,'May'!$D$27:$AH$206,'Jun'!$D$27:$AH$206,'Jul'!$D$27:$AH$206,'Aug'!$D$27:$AH$206,'Sep'!$D$27:$AH$206,'Oct'!$D$27:$AH$206,'Nov'!$D$27:$AH$206,'Dec'!$D$27:$AH$206,'Jan (next year)'!$D$27:$AH$206),27+3*(IFERROR(MATCH(C163,Roster!$B$6:$B$65,0),MATCH(C163,Roster!$C$6:$C$65,0))-1)+MATCH(B163,{"AM","PM","NIGHT"},0)-1-27+1,DAY(A163))&amp;"",""))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$206,'Feb'!$D$27:$AH$206,'Mar'!$D$27:$AH$206,'Apr'!$D$27:$AH$206,'May'!$D$27:$AH$206,'Jun'!$D$27:$AH$206,'Jul'!$D$27:$AH$206,'Aug'!$D$27:$AH$206,'Sep'!$D$27:$AH$206,'Oct'!$D$27:$AH$206,'Nov'!$D$27:$AH$206,'Dec'!$D$27:$AH$206,'Jan (next year)'!$D$27:$AH$206),27+3*(IFERROR(MATCH(C164,Roster!$B$6:$B$65,0),MATCH(C164,Roster!$C$6:$C$65,0))-1)+MATCH(B164,{"AM","PM","NIGHT"},0)-1-27+1,DAY(A164))&amp;"",""))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$206,'Feb'!$D$27:$AH$206,'Mar'!$D$27:$AH$206,'Apr'!$D$27:$AH$206,'May'!$D$27:$AH$206,'Jun'!$D$27:$AH$206,'Jul'!$D$27:$AH$206,'Aug'!$D$27:$AH$206,'Sep'!$D$27:$AH$206,'Oct'!$D$27:$AH$206,'Nov'!$D$27:$AH$206,'Dec'!$D$27:$AH$206,'Jan (next year)'!$D$27:$AH$206),27+3*(IFERROR(MATCH(C165,Roster!$B$6:$B$65,0),MATCH(C165,Roster!$C$6:$C$65,0))-1)+MATCH(B165,{"AM","PM","NIGHT"},0)-1-27+1,DAY(A165))&amp;"",""))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$206,'Feb'!$D$27:$AH$206,'Mar'!$D$27:$AH$206,'Apr'!$D$27:$AH$206,'May'!$D$27:$AH$206,'Jun'!$D$27:$AH$206,'Jul'!$D$27:$AH$206,'Aug'!$D$27:$AH$206,'Sep'!$D$27:$AH$206,'Oct'!$D$27:$AH$206,'Nov'!$D$27:$AH$206,'Dec'!$D$27:$AH$206,'Jan (next year)'!$D$27:$AH$206),27+3*(IFERROR(MATCH(C166,Roster!$B$6:$B$65,0),MATCH(C166,Roster!$C$6:$C$65,0))-1)+MATCH(B166,{"AM","PM","NIGHT"},0)-1-27+1,DAY(A166))&amp;"",""))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$206,'Feb'!$D$27:$AH$206,'Mar'!$D$27:$AH$206,'Apr'!$D$27:$AH$206,'May'!$D$27:$AH$206,'Jun'!$D$27:$AH$206,'Jul'!$D$27:$AH$206,'Aug'!$D$27:$AH$206,'Sep'!$D$27:$AH$206,'Oct'!$D$27:$AH$206,'Nov'!$D$27:$AH$206,'Dec'!$D$27:$AH$206,'Jan (next year)'!$D$27:$AH$206),27+3*(IFERROR(MATCH(C167,Roster!$B$6:$B$65,0),MATCH(C167,Roster!$C$6:$C$65,0))-1)+MATCH(B167,{"AM","PM","NIGHT"},0)-1-27+1,DAY(A167))&amp;"",""))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$206,'Feb'!$D$27:$AH$206,'Mar'!$D$27:$AH$206,'Apr'!$D$27:$AH$206,'May'!$D$27:$AH$206,'Jun'!$D$27:$AH$206,'Jul'!$D$27:$AH$206,'Aug'!$D$27:$AH$206,'Sep'!$D$27:$AH$206,'Oct'!$D$27:$AH$206,'Nov'!$D$27:$AH$206,'Dec'!$D$27:$AH$206,'Jan (next year)'!$D$27:$AH$206),27+3*(IFERROR(MATCH(C168,Roster!$B$6:$B$65,0),MATCH(C168,Roster!$C$6:$C$65,0))-1)+MATCH(B168,{"AM","PM","NIGHT"},0)-1-27+1,DAY(A168))&amp;"",""))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$206,'Feb'!$D$27:$AH$206,'Mar'!$D$27:$AH$206,'Apr'!$D$27:$AH$206,'May'!$D$27:$AH$206,'Jun'!$D$27:$AH$206,'Jul'!$D$27:$AH$206,'Aug'!$D$27:$AH$206,'Sep'!$D$27:$AH$206,'Oct'!$D$27:$AH$206,'Nov'!$D$27:$AH$206,'Dec'!$D$27:$AH$206,'Jan (next year)'!$D$27:$AH$206),27+3*(IFERROR(MATCH(C169,Roster!$B$6:$B$65,0),MATCH(C169,Roster!$C$6:$C$65,0))-1)+MATCH(B169,{"AM","PM","NIGHT"},0)-1-27+1,DAY(A169))&amp;"",""))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$206,'Feb'!$D$27:$AH$206,'Mar'!$D$27:$AH$206,'Apr'!$D$27:$AH$206,'May'!$D$27:$AH$206,'Jun'!$D$27:$AH$206,'Jul'!$D$27:$AH$206,'Aug'!$D$27:$AH$206,'Sep'!$D$27:$AH$206,'Oct'!$D$27:$AH$206,'Nov'!$D$27:$AH$206,'Dec'!$D$27:$AH$206,'Jan (next year)'!$D$27:$AH$206),27+3*(IFERROR(MATCH(C170,Roster!$B$6:$B$65,0),MATCH(C170,Roster!$C$6:$C$65,0))-1)+MATCH(B170,{"AM","PM","NIGHT"},0)-1-27+1,DAY(A170))&amp;"",""))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$206,'Feb'!$D$27:$AH$206,'Mar'!$D$27:$AH$206,'Apr'!$D$27:$AH$206,'May'!$D$27:$AH$206,'Jun'!$D$27:$AH$206,'Jul'!$D$27:$AH$206,'Aug'!$D$27:$AH$206,'Sep'!$D$27:$AH$206,'Oct'!$D$27:$AH$206,'Nov'!$D$27:$AH$206,'Dec'!$D$27:$AH$206,'Jan (next year)'!$D$27:$AH$206),27+3*(IFERROR(MATCH(C171,Roster!$B$6:$B$65,0),MATCH(C171,Roster!$C$6:$C$65,0))-1)+MATCH(B171,{"AM","PM","NIGHT"},0)-1-27+1,DAY(A171))&amp;"",""))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$206,'Feb'!$D$27:$AH$206,'Mar'!$D$27:$AH$206,'Apr'!$D$27:$AH$206,'May'!$D$27:$AH$206,'Jun'!$D$27:$AH$206,'Jul'!$D$27:$AH$206,'Aug'!$D$27:$AH$206,'Sep'!$D$27:$AH$206,'Oct'!$D$27:$AH$206,'Nov'!$D$27:$AH$206,'Dec'!$D$27:$AH$206,'Jan (next year)'!$D$27:$AH$206),27+3*(IFERROR(MATCH(C172,Roster!$B$6:$B$65,0),MATCH(C172,Roster!$C$6:$C$65,0))-1)+MATCH(B172,{"AM","PM","NIGHT"},0)-1-27+1,DAY(A172))&amp;"",""))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$206,'Feb'!$D$27:$AH$206,'Mar'!$D$27:$AH$206,'Apr'!$D$27:$AH$206,'May'!$D$27:$AH$206,'Jun'!$D$27:$AH$206,'Jul'!$D$27:$AH$206,'Aug'!$D$27:$AH$206,'Sep'!$D$27:$AH$206,'Oct'!$D$27:$AH$206,'Nov'!$D$27:$AH$206,'Dec'!$D$27:$AH$206,'Jan (next year)'!$D$27:$AH$206),27+3*(IFERROR(MATCH(C173,Roster!$B$6:$B$65,0),MATCH(C173,Roster!$C$6:$C$65,0))-1)+MATCH(B173,{"AM","PM","NIGHT"},0)-1-27+1,DAY(A173))&amp;"",""))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$206,'Feb'!$D$27:$AH$206,'Mar'!$D$27:$AH$206,'Apr'!$D$27:$AH$206,'May'!$D$27:$AH$206,'Jun'!$D$27:$AH$206,'Jul'!$D$27:$AH$206,'Aug'!$D$27:$AH$206,'Sep'!$D$27:$AH$206,'Oct'!$D$27:$AH$206,'Nov'!$D$27:$AH$206,'Dec'!$D$27:$AH$206,'Jan (next year)'!$D$27:$AH$206),27+3*(IFERROR(MATCH(C174,Roster!$B$6:$B$65,0),MATCH(C174,Roster!$C$6:$C$65,0))-1)+MATCH(B174,{"AM","PM","NIGHT"},0)-1-27+1,DAY(A174))&amp;"",""))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$206,'Feb'!$D$27:$AH$206,'Mar'!$D$27:$AH$206,'Apr'!$D$27:$AH$206,'May'!$D$27:$AH$206,'Jun'!$D$27:$AH$206,'Jul'!$D$27:$AH$206,'Aug'!$D$27:$AH$206,'Sep'!$D$27:$AH$206,'Oct'!$D$27:$AH$206,'Nov'!$D$27:$AH$206,'Dec'!$D$27:$AH$206,'Jan (next year)'!$D$27:$AH$206),27+3*(IFERROR(MATCH(C175,Roster!$B$6:$B$65,0),MATCH(C175,Roster!$C$6:$C$65,0))-1)+MATCH(B175,{"AM","PM","NIGHT"},0)-1-27+1,DAY(A175))&amp;"",""))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$206,'Feb'!$D$27:$AH$206,'Mar'!$D$27:$AH$206,'Apr'!$D$27:$AH$206,'May'!$D$27:$AH$206,'Jun'!$D$27:$AH$206,'Jul'!$D$27:$AH$206,'Aug'!$D$27:$AH$206,'Sep'!$D$27:$AH$206,'Oct'!$D$27:$AH$206,'Nov'!$D$27:$AH$206,'Dec'!$D$27:$AH$206,'Jan (next year)'!$D$27:$AH$206),27+3*(IFERROR(MATCH(C176,Roster!$B$6:$B$65,0),MATCH(C176,Roster!$C$6:$C$65,0))-1)+MATCH(B176,{"AM","PM","NIGHT"},0)-1-27+1,DAY(A176))&amp;"",""))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$206,'Feb'!$D$27:$AH$206,'Mar'!$D$27:$AH$206,'Apr'!$D$27:$AH$206,'May'!$D$27:$AH$206,'Jun'!$D$27:$AH$206,'Jul'!$D$27:$AH$206,'Aug'!$D$27:$AH$206,'Sep'!$D$27:$AH$206,'Oct'!$D$27:$AH$206,'Nov'!$D$27:$AH$206,'Dec'!$D$27:$AH$206,'Jan (next year)'!$D$27:$AH$206),27+3*(IFERROR(MATCH(C177,Roster!$B$6:$B$65,0),MATCH(C177,Roster!$C$6:$C$65,0))-1)+MATCH(B177,{"AM","PM","NIGHT"},0)-1-27+1,DAY(A177))&amp;"",""))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$206,'Feb'!$D$27:$AH$206,'Mar'!$D$27:$AH$206,'Apr'!$D$27:$AH$206,'May'!$D$27:$AH$206,'Jun'!$D$27:$AH$206,'Jul'!$D$27:$AH$206,'Aug'!$D$27:$AH$206,'Sep'!$D$27:$AH$206,'Oct'!$D$27:$AH$206,'Nov'!$D$27:$AH$206,'Dec'!$D$27:$AH$206,'Jan (next year)'!$D$27:$AH$206),27+3*(IFERROR(MATCH(C178,Roster!$B$6:$B$65,0),MATCH(C178,Roster!$C$6:$C$65,0))-1)+MATCH(B178,{"AM","PM","NIGHT"},0)-1-27+1,DAY(A178))&amp;"",""))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$206,'Feb'!$D$27:$AH$206,'Mar'!$D$27:$AH$206,'Apr'!$D$27:$AH$206,'May'!$D$27:$AH$206,'Jun'!$D$27:$AH$206,'Jul'!$D$27:$AH$206,'Aug'!$D$27:$AH$206,'Sep'!$D$27:$AH$206,'Oct'!$D$27:$AH$206,'Nov'!$D$27:$AH$206,'Dec'!$D$27:$AH$206,'Jan (next year)'!$D$27:$AH$206),27+3*(IFERROR(MATCH(C179,Roster!$B$6:$B$65,0),MATCH(C179,Roster!$C$6:$C$65,0))-1)+MATCH(B179,{"AM","PM","NIGHT"},0)-1-27+1,DAY(A179))&amp;"",""))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$206,'Feb'!$D$27:$AH$206,'Mar'!$D$27:$AH$206,'Apr'!$D$27:$AH$206,'May'!$D$27:$AH$206,'Jun'!$D$27:$AH$206,'Jul'!$D$27:$AH$206,'Aug'!$D$27:$AH$206,'Sep'!$D$27:$AH$206,'Oct'!$D$27:$AH$206,'Nov'!$D$27:$AH$206,'Dec'!$D$27:$AH$206,'Jan (next year)'!$D$27:$AH$206),27+3*(IFERROR(MATCH(C180,Roster!$B$6:$B$65,0),MATCH(C180,Roster!$C$6:$C$65,0))-1)+MATCH(B180,{"AM","PM","NIGHT"},0)-1-27+1,DAY(A180))&amp;"",""))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$206,'Feb'!$D$27:$AH$206,'Mar'!$D$27:$AH$206,'Apr'!$D$27:$AH$206,'May'!$D$27:$AH$206,'Jun'!$D$27:$AH$206,'Jul'!$D$27:$AH$206,'Aug'!$D$27:$AH$206,'Sep'!$D$27:$AH$206,'Oct'!$D$27:$AH$206,'Nov'!$D$27:$AH$206,'Dec'!$D$27:$AH$206,'Jan (next year)'!$D$27:$AH$206),27+3*(IFERROR(MATCH(C181,Roster!$B$6:$B$65,0),MATCH(C181,Roster!$C$6:$C$65,0))-1)+MATCH(B181,{"AM","PM","NIGHT"},0)-1-27+1,DAY(A181))&amp;"",""))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$206,'Feb'!$D$27:$AH$206,'Mar'!$D$27:$AH$206,'Apr'!$D$27:$AH$206,'May'!$D$27:$AH$206,'Jun'!$D$27:$AH$206,'Jul'!$D$27:$AH$206,'Aug'!$D$27:$AH$206,'Sep'!$D$27:$AH$206,'Oct'!$D$27:$AH$206,'Nov'!$D$27:$AH$206,'Dec'!$D$27:$AH$206,'Jan (next year)'!$D$27:$AH$206),27+3*(IFERROR(MATCH(C182,Roster!$B$6:$B$65,0),MATCH(C182,Roster!$C$6:$C$65,0))-1)+MATCH(B182,{"AM","PM","NIGHT"},0)-1-27+1,DAY(A182))&amp;"",""))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$206,'Feb'!$D$27:$AH$206,'Mar'!$D$27:$AH$206,'Apr'!$D$27:$AH$206,'May'!$D$27:$AH$206,'Jun'!$D$27:$AH$206,'Jul'!$D$27:$AH$206,'Aug'!$D$27:$AH$206,'Sep'!$D$27:$AH$206,'Oct'!$D$27:$AH$206,'Nov'!$D$27:$AH$206,'Dec'!$D$27:$AH$206,'Jan (next year)'!$D$27:$AH$206),27+3*(IFERROR(MATCH(C183,Roster!$B$6:$B$65,0),MATCH(C183,Roster!$C$6:$C$65,0))-1)+MATCH(B183,{"AM","PM","NIGHT"},0)-1-27+1,DAY(A183))&amp;"",""))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$206,'Feb'!$D$27:$AH$206,'Mar'!$D$27:$AH$206,'Apr'!$D$27:$AH$206,'May'!$D$27:$AH$206,'Jun'!$D$27:$AH$206,'Jul'!$D$27:$AH$206,'Aug'!$D$27:$AH$206,'Sep'!$D$27:$AH$206,'Oct'!$D$27:$AH$206,'Nov'!$D$27:$AH$206,'Dec'!$D$27:$AH$206,'Jan (next year)'!$D$27:$AH$206),27+3*(IFERROR(MATCH(C184,Roster!$B$6:$B$65,0),MATCH(C184,Roster!$C$6:$C$65,0))-1)+MATCH(B184,{"AM","PM","NIGHT"},0)-1-27+1,DAY(A184))&amp;"",""))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$206,'Feb'!$D$27:$AH$206,'Mar'!$D$27:$AH$206,'Apr'!$D$27:$AH$206,'May'!$D$27:$AH$206,'Jun'!$D$27:$AH$206,'Jul'!$D$27:$AH$206,'Aug'!$D$27:$AH$206,'Sep'!$D$27:$AH$206,'Oct'!$D$27:$AH$206,'Nov'!$D$27:$AH$206,'Dec'!$D$27:$AH$206,'Jan (next year)'!$D$27:$AH$206),27+3*(IFERROR(MATCH(C185,Roster!$B$6:$B$65,0),MATCH(C185,Roster!$C$6:$C$65,0))-1)+MATCH(B185,{"AM","PM","NIGHT"},0)-1-27+1,DAY(A185))&amp;"",""))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$206,'Feb'!$D$27:$AH$206,'Mar'!$D$27:$AH$206,'Apr'!$D$27:$AH$206,'May'!$D$27:$AH$206,'Jun'!$D$27:$AH$206,'Jul'!$D$27:$AH$206,'Aug'!$D$27:$AH$206,'Sep'!$D$27:$AH$206,'Oct'!$D$27:$AH$206,'Nov'!$D$27:$AH$206,'Dec'!$D$27:$AH$206,'Jan (next year)'!$D$27:$AH$206),27+3*(IFERROR(MATCH(C186,Roster!$B$6:$B$65,0),MATCH(C186,Roster!$C$6:$C$65,0))-1)+MATCH(B186,{"AM","PM","NIGHT"},0)-1-27+1,DAY(A186))&amp;"",""))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$206,'Feb'!$D$27:$AH$206,'Mar'!$D$27:$AH$206,'Apr'!$D$27:$AH$206,'May'!$D$27:$AH$206,'Jun'!$D$27:$AH$206,'Jul'!$D$27:$AH$206,'Aug'!$D$27:$AH$206,'Sep'!$D$27:$AH$206,'Oct'!$D$27:$AH$206,'Nov'!$D$27:$AH$206,'Dec'!$D$27:$AH$206,'Jan (next year)'!$D$27:$AH$206),27+3*(IFERROR(MATCH(C187,Roster!$B$6:$B$65,0),MATCH(C187,Roster!$C$6:$C$65,0))-1)+MATCH(B187,{"AM","PM","NIGHT"},0)-1-27+1,DAY(A187))&amp;"",""))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$206,'Feb'!$D$27:$AH$206,'Mar'!$D$27:$AH$206,'Apr'!$D$27:$AH$206,'May'!$D$27:$AH$206,'Jun'!$D$27:$AH$206,'Jul'!$D$27:$AH$206,'Aug'!$D$27:$AH$206,'Sep'!$D$27:$AH$206,'Oct'!$D$27:$AH$206,'Nov'!$D$27:$AH$206,'Dec'!$D$27:$AH$206,'Jan (next year)'!$D$27:$AH$206),27+3*(IFERROR(MATCH(C188,Roster!$B$6:$B$65,0),MATCH(C188,Roster!$C$6:$C$65,0))-1)+MATCH(B188,{"AM","PM","NIGHT"},0)-1-27+1,DAY(A188))&amp;"",""))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$206,'Feb'!$D$27:$AH$206,'Mar'!$D$27:$AH$206,'Apr'!$D$27:$AH$206,'May'!$D$27:$AH$206,'Jun'!$D$27:$AH$206,'Jul'!$D$27:$AH$206,'Aug'!$D$27:$AH$206,'Sep'!$D$27:$AH$206,'Oct'!$D$27:$AH$206,'Nov'!$D$27:$AH$206,'Dec'!$D$27:$AH$206,'Jan (next year)'!$D$27:$AH$206),27+3*(IFERROR(MATCH(C189,Roster!$B$6:$B$65,0),MATCH(C189,Roster!$C$6:$C$65,0))-1)+MATCH(B189,{"AM","PM","NIGHT"},0)-1-27+1,DAY(A189))&amp;"",""))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$206,'Feb'!$D$27:$AH$206,'Mar'!$D$27:$AH$206,'Apr'!$D$27:$AH$206,'May'!$D$27:$AH$206,'Jun'!$D$27:$AH$206,'Jul'!$D$27:$AH$206,'Aug'!$D$27:$AH$206,'Sep'!$D$27:$AH$206,'Oct'!$D$27:$AH$206,'Nov'!$D$27:$AH$206,'Dec'!$D$27:$AH$206,'Jan (next year)'!$D$27:$AH$206),27+3*(IFERROR(MATCH(C190,Roster!$B$6:$B$65,0),MATCH(C190,Roster!$C$6:$C$65,0))-1)+MATCH(B190,{"AM","PM","NIGHT"},0)-1-27+1,DAY(A190))&amp;"",""))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$206,'Feb'!$D$27:$AH$206,'Mar'!$D$27:$AH$206,'Apr'!$D$27:$AH$206,'May'!$D$27:$AH$206,'Jun'!$D$27:$AH$206,'Jul'!$D$27:$AH$206,'Aug'!$D$27:$AH$206,'Sep'!$D$27:$AH$206,'Oct'!$D$27:$AH$206,'Nov'!$D$27:$AH$206,'Dec'!$D$27:$AH$206,'Jan (next year)'!$D$27:$AH$206),27+3*(IFERROR(MATCH(C191,Roster!$B$6:$B$65,0),MATCH(C191,Roster!$C$6:$C$65,0))-1)+MATCH(B191,{"AM","PM","NIGHT"},0)-1-27+1,DAY(A191))&amp;"",""))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$206,'Feb'!$D$27:$AH$206,'Mar'!$D$27:$AH$206,'Apr'!$D$27:$AH$206,'May'!$D$27:$AH$206,'Jun'!$D$27:$AH$206,'Jul'!$D$27:$AH$206,'Aug'!$D$27:$AH$206,'Sep'!$D$27:$AH$206,'Oct'!$D$27:$AH$206,'Nov'!$D$27:$AH$206,'Dec'!$D$27:$AH$206,'Jan (next year)'!$D$27:$AH$206),27+3*(IFERROR(MATCH(C192,Roster!$B$6:$B$65,0),MATCH(C192,Roster!$C$6:$C$65,0))-1)+MATCH(B192,{"AM","PM","NIGHT"},0)-1-27+1,DAY(A192))&amp;"",""))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$206,'Feb'!$D$27:$AH$206,'Mar'!$D$27:$AH$206,'Apr'!$D$27:$AH$206,'May'!$D$27:$AH$206,'Jun'!$D$27:$AH$206,'Jul'!$D$27:$AH$206,'Aug'!$D$27:$AH$206,'Sep'!$D$27:$AH$206,'Oct'!$D$27:$AH$206,'Nov'!$D$27:$AH$206,'Dec'!$D$27:$AH$206,'Jan (next year)'!$D$27:$AH$206),27+3*(IFERROR(MATCH(C193,Roster!$B$6:$B$65,0),MATCH(C193,Roster!$C$6:$C$65,0))-1)+MATCH(B193,{"AM","PM","NIGHT"},0)-1-27+1,DAY(A193))&amp;"",""))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$206,'Feb'!$D$27:$AH$206,'Mar'!$D$27:$AH$206,'Apr'!$D$27:$AH$206,'May'!$D$27:$AH$206,'Jun'!$D$27:$AH$206,'Jul'!$D$27:$AH$206,'Aug'!$D$27:$AH$206,'Sep'!$D$27:$AH$206,'Oct'!$D$27:$AH$206,'Nov'!$D$27:$AH$206,'Dec'!$D$27:$AH$206,'Jan (next year)'!$D$27:$AH$206),27+3*(IFERROR(MATCH(C194,Roster!$B$6:$B$65,0),MATCH(C194,Roster!$C$6:$C$65,0))-1)+MATCH(B194,{"AM","PM","NIGHT"},0)-1-27+1,DAY(A194))&amp;"",""))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$206,'Feb'!$D$27:$AH$206,'Mar'!$D$27:$AH$206,'Apr'!$D$27:$AH$206,'May'!$D$27:$AH$206,'Jun'!$D$27:$AH$206,'Jul'!$D$27:$AH$206,'Aug'!$D$27:$AH$206,'Sep'!$D$27:$AH$206,'Oct'!$D$27:$AH$206,'Nov'!$D$27:$AH$206,'Dec'!$D$27:$AH$206,'Jan (next year)'!$D$27:$AH$206),27+3*(IFERROR(MATCH(C195,Roster!$B$6:$B$65,0),MATCH(C195,Roster!$C$6:$C$65,0))-1)+MATCH(B195,{"AM","PM","NIGHT"},0)-1-27+1,DAY(A195))&amp;"",""))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$206,'Feb'!$D$27:$AH$206,'Mar'!$D$27:$AH$206,'Apr'!$D$27:$AH$206,'May'!$D$27:$AH$206,'Jun'!$D$27:$AH$206,'Jul'!$D$27:$AH$206,'Aug'!$D$27:$AH$206,'Sep'!$D$27:$AH$206,'Oct'!$D$27:$AH$206,'Nov'!$D$27:$AH$206,'Dec'!$D$27:$AH$206,'Jan (next year)'!$D$27:$AH$206),27+3*(IFERROR(MATCH(C196,Roster!$B$6:$B$65,0),MATCH(C196,Roster!$C$6:$C$65,0))-1)+MATCH(B196,{"AM","PM","NIGHT"},0)-1-27+1,DAY(A196))&amp;"",""))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$206,'Feb'!$D$27:$AH$206,'Mar'!$D$27:$AH$206,'Apr'!$D$27:$AH$206,'May'!$D$27:$AH$206,'Jun'!$D$27:$AH$206,'Jul'!$D$27:$AH$206,'Aug'!$D$27:$AH$206,'Sep'!$D$27:$AH$206,'Oct'!$D$27:$AH$206,'Nov'!$D$27:$AH$206,'Dec'!$D$27:$AH$206,'Jan (next year)'!$D$27:$AH$206),27+3*(IFERROR(MATCH(C197,Roster!$B$6:$B$65,0),MATCH(C197,Roster!$C$6:$C$65,0))-1)+MATCH(B197,{"AM","PM","NIGHT"},0)-1-27+1,DAY(A197))&amp;"",""))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$206,'Feb'!$D$27:$AH$206,'Mar'!$D$27:$AH$206,'Apr'!$D$27:$AH$206,'May'!$D$27:$AH$206,'Jun'!$D$27:$AH$206,'Jul'!$D$27:$AH$206,'Aug'!$D$27:$AH$206,'Sep'!$D$27:$AH$206,'Oct'!$D$27:$AH$206,'Nov'!$D$27:$AH$206,'Dec'!$D$27:$AH$206,'Jan (next year)'!$D$27:$AH$206),27+3*(IFERROR(MATCH(C198,Roster!$B$6:$B$65,0),MATCH(C198,Roster!$C$6:$C$65,0))-1)+MATCH(B198,{"AM","PM","NIGHT"},0)-1-27+1,DAY(A198))&amp;"",""))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$206,'Feb'!$D$27:$AH$206,'Mar'!$D$27:$AH$206,'Apr'!$D$27:$AH$206,'May'!$D$27:$AH$206,'Jun'!$D$27:$AH$206,'Jul'!$D$27:$AH$206,'Aug'!$D$27:$AH$206,'Sep'!$D$27:$AH$206,'Oct'!$D$27:$AH$206,'Nov'!$D$27:$AH$206,'Dec'!$D$27:$AH$206,'Jan (next year)'!$D$27:$AH$206),27+3*(IFERROR(MATCH(C199,Roster!$B$6:$B$65,0),MATCH(C199,Roster!$C$6:$C$65,0))-1)+MATCH(B199,{"AM","PM","NIGHT"},0)-1-27+1,DAY(A199))&amp;"",""))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$206,'Feb'!$D$27:$AH$206,'Mar'!$D$27:$AH$206,'Apr'!$D$27:$AH$206,'May'!$D$27:$AH$206,'Jun'!$D$27:$AH$206,'Jul'!$D$27:$AH$206,'Aug'!$D$27:$AH$206,'Sep'!$D$27:$AH$206,'Oct'!$D$27:$AH$206,'Nov'!$D$27:$AH$206,'Dec'!$D$27:$AH$206,'Jan (next year)'!$D$27:$AH$206),27+3*(IFERROR(MATCH(C200,Roster!$B$6:$B$65,0),MATCH(C200,Roster!$C$6:$C$65,0))-1)+MATCH(B200,{"AM","PM","NIGHT"},0)-1-27+1,DAY(A200))&amp;"",""))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$206,'Feb'!$D$27:$AH$206,'Mar'!$D$27:$AH$206,'Apr'!$D$27:$AH$206,'May'!$D$27:$AH$206,'Jun'!$D$27:$AH$206,'Jul'!$D$27:$AH$206,'Aug'!$D$27:$AH$206,'Sep'!$D$27:$AH$206,'Oct'!$D$27:$AH$206,'Nov'!$D$27:$AH$206,'Dec'!$D$27:$AH$206,'Jan (next year)'!$D$27:$AH$206),27+3*(IFERROR(MATCH(C201,Roster!$B$6:$B$65,0),MATCH(C201,Roster!$C$6:$C$65,0))-1)+MATCH(B201,{"AM","PM","NIGHT"},0)-1-27+1,DAY(A201))&amp;"",""))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$206,'Feb'!$D$27:$AH$206,'Mar'!$D$27:$AH$206,'Apr'!$D$27:$AH$206,'May'!$D$27:$AH$206,'Jun'!$D$27:$AH$206,'Jul'!$D$27:$AH$206,'Aug'!$D$27:$AH$206,'Sep'!$D$27:$AH$206,'Oct'!$D$27:$AH$206,'Nov'!$D$27:$AH$206,'Dec'!$D$27:$AH$206,'Jan (next year)'!$D$27:$AH$206),27+3*(IFERROR(MATCH(C202,Roster!$B$6:$B$65,0),MATCH(C202,Roster!$C$6:$C$65,0))-1)+MATCH(B202,{"AM","PM","NIGHT"},0)-1-27+1,DAY(A202))&amp;"",""))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$206,'Feb'!$D$27:$AH$206,'Mar'!$D$27:$AH$206,'Apr'!$D$27:$AH$206,'May'!$D$27:$AH$206,'Jun'!$D$27:$AH$206,'Jul'!$D$27:$AH$206,'Aug'!$D$27:$AH$206,'Sep'!$D$27:$AH$206,'Oct'!$D$27:$AH$206,'Nov'!$D$27:$AH$206,'Dec'!$D$27:$AH$206,'Jan (next year)'!$D$27:$AH$206),27+3*(IFERROR(MATCH(C203,Roster!$B$6:$B$65,0),MATCH(C203,Roster!$C$6:$C$65,0))-1)+MATCH(B203,{"AM","PM","NIGHT"},0)-1-27+1,DAY(A203))&amp;"",""))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$206,'Feb'!$D$27:$AH$206,'Mar'!$D$27:$AH$206,'Apr'!$D$27:$AH$206,'May'!$D$27:$AH$206,'Jun'!$D$27:$AH$206,'Jul'!$D$27:$AH$206,'Aug'!$D$27:$AH$206,'Sep'!$D$27:$AH$206,'Oct'!$D$27:$AH$206,'Nov'!$D$27:$AH$206,'Dec'!$D$27:$AH$206,'Jan (next year)'!$D$27:$AH$206),27+3*(IFERROR(MATCH(C204,Roster!$B$6:$B$65,0),MATCH(C204,Roster!$C$6:$C$65,0))-1)+MATCH(B204,{"AM","PM","NIGHT"},0)-1-27+1,DAY(A204))&amp;"",""))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$206,'Feb'!$D$27:$AH$206,'Mar'!$D$27:$AH$206,'Apr'!$D$27:$AH$206,'May'!$D$27:$AH$206,'Jun'!$D$27:$AH$206,'Jul'!$D$27:$AH$206,'Aug'!$D$27:$AH$206,'Sep'!$D$27:$AH$206,'Oct'!$D$27:$AH$206,'Nov'!$D$27:$AH$206,'Dec'!$D$27:$AH$206,'Jan (next year)'!$D$27:$AH$206),27+3*(IFERROR(MATCH(C205,Roster!$B$6:$B$65,0),MATCH(C205,Roster!$C$6:$C$65,0))-1)+MATCH(B205,{"AM","PM","NIGHT"},0)-1-27+1,DAY(A205))&amp;"",""))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$206,'Feb'!$D$27:$AH$206,'Mar'!$D$27:$AH$206,'Apr'!$D$27:$AH$206,'May'!$D$27:$AH$206,'Jun'!$D$27:$AH$206,'Jul'!$D$27:$AH$206,'Aug'!$D$27:$AH$206,'Sep'!$D$27:$AH$206,'Oct'!$D$27:$AH$206,'Nov'!$D$27:$AH$206,'Dec'!$D$27:$AH$206,'Jan (next year)'!$D$27:$AH$206),27+3*(IFERROR(MATCH(C206,Roster!$B$6:$B$65,0),MATCH(C206,Roster!$C$6:$C$65,0))-1)+MATCH(B206,{"AM","PM","NIGHT"},0)-1-27+1,DAY(A206))&amp;"",""))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$206,'Feb'!$D$27:$AH$206,'Mar'!$D$27:$AH$206,'Apr'!$D$27:$AH$206,'May'!$D$27:$AH$206,'Jun'!$D$27:$AH$206,'Jul'!$D$27:$AH$206,'Aug'!$D$27:$AH$206,'Sep'!$D$27:$AH$206,'Oct'!$D$27:$AH$206,'Nov'!$D$27:$AH$206,'Dec'!$D$27:$AH$206,'Jan (next year)'!$D$27:$AH$206),27+3*(IFERROR(MATCH(C207,Roster!$B$6:$B$65,0),MATCH(C207,Roster!$C$6:$C$65,0))-1)+MATCH(B207,{"AM","PM","NIGHT"},0)-1-27+1,DAY(A207))&amp;"",""))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$206,'Feb'!$D$27:$AH$206,'Mar'!$D$27:$AH$206,'Apr'!$D$27:$AH$206,'May'!$D$27:$AH$206,'Jun'!$D$27:$AH$206,'Jul'!$D$27:$AH$206,'Aug'!$D$27:$AH$206,'Sep'!$D$27:$AH$206,'Oct'!$D$27:$AH$206,'Nov'!$D$27:$AH$206,'Dec'!$D$27:$AH$206,'Jan (next year)'!$D$27:$AH$206),27+3*(IFERROR(MATCH(C208,Roster!$B$6:$B$65,0),MATCH(C208,Roster!$C$6:$C$65,0))-1)+MATCH(B208,{"AM","PM","NIGHT"},0)-1-27+1,DAY(A208))&amp;"",""))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$206,'Feb'!$D$27:$AH$206,'Mar'!$D$27:$AH$206,'Apr'!$D$27:$AH$206,'May'!$D$27:$AH$206,'Jun'!$D$27:$AH$206,'Jul'!$D$27:$AH$206,'Aug'!$D$27:$AH$206,'Sep'!$D$27:$AH$206,'Oct'!$D$27:$AH$206,'Nov'!$D$27:$AH$206,'Dec'!$D$27:$AH$206,'Jan (next year)'!$D$27:$AH$206),27+3*(IFERROR(MATCH(C209,Roster!$B$6:$B$65,0),MATCH(C209,Roster!$C$6:$C$65,0))-1)+MATCH(B209,{"AM","PM","NIGHT"},0)-1-27+1,DAY(A209))&amp;"",""))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$206,'Feb'!$D$27:$AH$206,'Mar'!$D$27:$AH$206,'Apr'!$D$27:$AH$206,'May'!$D$27:$AH$206,'Jun'!$D$27:$AH$206,'Jul'!$D$27:$AH$206,'Aug'!$D$27:$AH$206,'Sep'!$D$27:$AH$206,'Oct'!$D$27:$AH$206,'Nov'!$D$27:$AH$206,'Dec'!$D$27:$AH$206,'Jan (next year)'!$D$27:$AH$206),27+3*(IFERROR(MATCH(C210,Roster!$B$6:$B$65,0),MATCH(C210,Roster!$C$6:$C$65,0))-1)+MATCH(B210,{"AM","PM","NIGHT"},0)-1-27+1,DAY(A210))&amp;"",""))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$206,'Feb'!$D$27:$AH$206,'Mar'!$D$27:$AH$206,'Apr'!$D$27:$AH$206,'May'!$D$27:$AH$206,'Jun'!$D$27:$AH$206,'Jul'!$D$27:$AH$206,'Aug'!$D$27:$AH$206,'Sep'!$D$27:$AH$206,'Oct'!$D$27:$AH$206,'Nov'!$D$27:$AH$206,'Dec'!$D$27:$AH$206,'Jan (next year)'!$D$27:$AH$206),27+3*(IFERROR(MATCH(C211,Roster!$B$6:$B$65,0),MATCH(C211,Roster!$C$6:$C$65,0))-1)+MATCH(B211,{"AM","PM","NIGHT"},0)-1-27+1,DAY(A211))&amp;"",""))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$206,'Feb'!$D$27:$AH$206,'Mar'!$D$27:$AH$206,'Apr'!$D$27:$AH$206,'May'!$D$27:$AH$206,'Jun'!$D$27:$AH$206,'Jul'!$D$27:$AH$206,'Aug'!$D$27:$AH$206,'Sep'!$D$27:$AH$206,'Oct'!$D$27:$AH$206,'Nov'!$D$27:$AH$206,'Dec'!$D$27:$AH$206,'Jan (next year)'!$D$27:$AH$206),27+3*(IFERROR(MATCH(C212,Roster!$B$6:$B$65,0),MATCH(C212,Roster!$C$6:$C$65,0))-1)+MATCH(B212,{"AM","PM","NIGHT"},0)-1-27+1,DAY(A212))&amp;"",""))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$206,'Feb'!$D$27:$AH$206,'Mar'!$D$27:$AH$206,'Apr'!$D$27:$AH$206,'May'!$D$27:$AH$206,'Jun'!$D$27:$AH$206,'Jul'!$D$27:$AH$206,'Aug'!$D$27:$AH$206,'Sep'!$D$27:$AH$206,'Oct'!$D$27:$AH$206,'Nov'!$D$27:$AH$206,'Dec'!$D$27:$AH$206,'Jan (next year)'!$D$27:$AH$206),27+3*(IFERROR(MATCH(C213,Roster!$B$6:$B$65,0),MATCH(C213,Roster!$C$6:$C$65,0))-1)+MATCH(B213,{"AM","PM","NIGHT"},0)-1-27+1,DAY(A213))&amp;"",""))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$206,'Feb'!$D$27:$AH$206,'Mar'!$D$27:$AH$206,'Apr'!$D$27:$AH$206,'May'!$D$27:$AH$206,'Jun'!$D$27:$AH$206,'Jul'!$D$27:$AH$206,'Aug'!$D$27:$AH$206,'Sep'!$D$27:$AH$206,'Oct'!$D$27:$AH$206,'Nov'!$D$27:$AH$206,'Dec'!$D$27:$AH$206,'Jan (next year)'!$D$27:$AH$206),27+3*(IFERROR(MATCH(C214,Roster!$B$6:$B$65,0),MATCH(C214,Roster!$C$6:$C$65,0))-1)+MATCH(B214,{"AM","PM","NIGHT"},0)-1-27+1,DAY(A214))&amp;"",""))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$206,'Feb'!$D$27:$AH$206,'Mar'!$D$27:$AH$206,'Apr'!$D$27:$AH$206,'May'!$D$27:$AH$206,'Jun'!$D$27:$AH$206,'Jul'!$D$27:$AH$206,'Aug'!$D$27:$AH$206,'Sep'!$D$27:$AH$206,'Oct'!$D$27:$AH$206,'Nov'!$D$27:$AH$206,'Dec'!$D$27:$AH$206,'Jan (next year)'!$D$27:$AH$206),27+3*(IFERROR(MATCH(C215,Roster!$B$6:$B$65,0),MATCH(C215,Roster!$C$6:$C$65,0))-1)+MATCH(B215,{"AM","PM","NIGHT"},0)-1-27+1,DAY(A215))&amp;"",""))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$206,'Feb'!$D$27:$AH$206,'Mar'!$D$27:$AH$206,'Apr'!$D$27:$AH$206,'May'!$D$27:$AH$206,'Jun'!$D$27:$AH$206,'Jul'!$D$27:$AH$206,'Aug'!$D$27:$AH$206,'Sep'!$D$27:$AH$206,'Oct'!$D$27:$AH$206,'Nov'!$D$27:$AH$206,'Dec'!$D$27:$AH$206,'Jan (next year)'!$D$27:$AH$206),27+3*(IFERROR(MATCH(C216,Roster!$B$6:$B$65,0),MATCH(C216,Roster!$C$6:$C$65,0))-1)+MATCH(B216,{"AM","PM","NIGHT"},0)-1-27+1,DAY(A216))&amp;"",""))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$206,'Feb'!$D$27:$AH$206,'Mar'!$D$27:$AH$206,'Apr'!$D$27:$AH$206,'May'!$D$27:$AH$206,'Jun'!$D$27:$AH$206,'Jul'!$D$27:$AH$206,'Aug'!$D$27:$AH$206,'Sep'!$D$27:$AH$206,'Oct'!$D$27:$AH$206,'Nov'!$D$27:$AH$206,'Dec'!$D$27:$AH$206,'Jan (next year)'!$D$27:$AH$206),27+3*(IFERROR(MATCH(C217,Roster!$B$6:$B$65,0),MATCH(C217,Roster!$C$6:$C$65,0))-1)+MATCH(B217,{"AM","PM","NIGHT"},0)-1-27+1,DAY(A217))&amp;"",""))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$206,'Feb'!$D$27:$AH$206,'Mar'!$D$27:$AH$206,'Apr'!$D$27:$AH$206,'May'!$D$27:$AH$206,'Jun'!$D$27:$AH$206,'Jul'!$D$27:$AH$206,'Aug'!$D$27:$AH$206,'Sep'!$D$27:$AH$206,'Oct'!$D$27:$AH$206,'Nov'!$D$27:$AH$206,'Dec'!$D$27:$AH$206,'Jan (next year)'!$D$27:$AH$206),27+3*(IFERROR(MATCH(C218,Roster!$B$6:$B$65,0),MATCH(C218,Roster!$C$6:$C$65,0))-1)+MATCH(B218,{"AM","PM","NIGHT"},0)-1-27+1,DAY(A218))&amp;"",""))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$206,'Feb'!$D$27:$AH$206,'Mar'!$D$27:$AH$206,'Apr'!$D$27:$AH$206,'May'!$D$27:$AH$206,'Jun'!$D$27:$AH$206,'Jul'!$D$27:$AH$206,'Aug'!$D$27:$AH$206,'Sep'!$D$27:$AH$206,'Oct'!$D$27:$AH$206,'Nov'!$D$27:$AH$206,'Dec'!$D$27:$AH$206,'Jan (next year)'!$D$27:$AH$206),27+3*(IFERROR(MATCH(C219,Roster!$B$6:$B$65,0),MATCH(C219,Roster!$C$6:$C$65,0))-1)+MATCH(B219,{"AM","PM","NIGHT"},0)-1-27+1,DAY(A219))&amp;"",""))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$206,'Feb'!$D$27:$AH$206,'Mar'!$D$27:$AH$206,'Apr'!$D$27:$AH$206,'May'!$D$27:$AH$206,'Jun'!$D$27:$AH$206,'Jul'!$D$27:$AH$206,'Aug'!$D$27:$AH$206,'Sep'!$D$27:$AH$206,'Oct'!$D$27:$AH$206,'Nov'!$D$27:$AH$206,'Dec'!$D$27:$AH$206,'Jan (next year)'!$D$27:$AH$206),27+3*(IFERROR(MATCH(C220,Roster!$B$6:$B$65,0),MATCH(C220,Roster!$C$6:$C$65,0))-1)+MATCH(B220,{"AM","PM","NIGHT"},0)-1-27+1,DAY(A220))&amp;"",""))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$206,'Feb'!$D$27:$AH$206,'Mar'!$D$27:$AH$206,'Apr'!$D$27:$AH$206,'May'!$D$27:$AH$206,'Jun'!$D$27:$AH$206,'Jul'!$D$27:$AH$206,'Aug'!$D$27:$AH$206,'Sep'!$D$27:$AH$206,'Oct'!$D$27:$AH$206,'Nov'!$D$27:$AH$206,'Dec'!$D$27:$AH$206,'Jan (next year)'!$D$27:$AH$206),27+3*(IFERROR(MATCH(C221,Roster!$B$6:$B$65,0),MATCH(C221,Roster!$C$6:$C$65,0))-1)+MATCH(B221,{"AM","PM","NIGHT"},0)-1-27+1,DAY(A221))&amp;"",""))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$206,'Feb'!$D$27:$AH$206,'Mar'!$D$27:$AH$206,'Apr'!$D$27:$AH$206,'May'!$D$27:$AH$206,'Jun'!$D$27:$AH$206,'Jul'!$D$27:$AH$206,'Aug'!$D$27:$AH$206,'Sep'!$D$27:$AH$206,'Oct'!$D$27:$AH$206,'Nov'!$D$27:$AH$206,'Dec'!$D$27:$AH$206,'Jan (next year)'!$D$27:$AH$206),27+3*(IFERROR(MATCH(C222,Roster!$B$6:$B$65,0),MATCH(C222,Roster!$C$6:$C$65,0))-1)+MATCH(B222,{"AM","PM","NIGHT"},0)-1-27+1,DAY(A222))&amp;"",""))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$206,'Feb'!$D$27:$AH$206,'Mar'!$D$27:$AH$206,'Apr'!$D$27:$AH$206,'May'!$D$27:$AH$206,'Jun'!$D$27:$AH$206,'Jul'!$D$27:$AH$206,'Aug'!$D$27:$AH$206,'Sep'!$D$27:$AH$206,'Oct'!$D$27:$AH$206,'Nov'!$D$27:$AH$206,'Dec'!$D$27:$AH$206,'Jan (next year)'!$D$27:$AH$206),27+3*(IFERROR(MATCH(C223,Roster!$B$6:$B$65,0),MATCH(C223,Roster!$C$6:$C$65,0))-1)+MATCH(B223,{"AM","PM","NIGHT"},0)-1-27+1,DAY(A223))&amp;"",""))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$206,'Feb'!$D$27:$AH$206,'Mar'!$D$27:$AH$206,'Apr'!$D$27:$AH$206,'May'!$D$27:$AH$206,'Jun'!$D$27:$AH$206,'Jul'!$D$27:$AH$206,'Aug'!$D$27:$AH$206,'Sep'!$D$27:$AH$206,'Oct'!$D$27:$AH$206,'Nov'!$D$27:$AH$206,'Dec'!$D$27:$AH$206,'Jan (next year)'!$D$27:$AH$206),27+3*(IFERROR(MATCH(C224,Roster!$B$6:$B$65,0),MATCH(C224,Roster!$C$6:$C$65,0))-1)+MATCH(B224,{"AM","PM","NIGHT"},0)-1-27+1,DAY(A224))&amp;"",""))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$206,'Feb'!$D$27:$AH$206,'Mar'!$D$27:$AH$206,'Apr'!$D$27:$AH$206,'May'!$D$27:$AH$206,'Jun'!$D$27:$AH$206,'Jul'!$D$27:$AH$206,'Aug'!$D$27:$AH$206,'Sep'!$D$27:$AH$206,'Oct'!$D$27:$AH$206,'Nov'!$D$27:$AH$206,'Dec'!$D$27:$AH$206,'Jan (next year)'!$D$27:$AH$206),27+3*(IFERROR(MATCH(C225,Roster!$B$6:$B$65,0),MATCH(C225,Roster!$C$6:$C$65,0))-1)+MATCH(B225,{"AM","PM","NIGHT"},0)-1-27+1,DAY(A225))&amp;"",""))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$206,'Feb'!$D$27:$AH$206,'Mar'!$D$27:$AH$206,'Apr'!$D$27:$AH$206,'May'!$D$27:$AH$206,'Jun'!$D$27:$AH$206,'Jul'!$D$27:$AH$206,'Aug'!$D$27:$AH$206,'Sep'!$D$27:$AH$206,'Oct'!$D$27:$AH$206,'Nov'!$D$27:$AH$206,'Dec'!$D$27:$AH$206,'Jan (next year)'!$D$27:$AH$206),27+3*(IFERROR(MATCH(C226,Roster!$B$6:$B$65,0),MATCH(C226,Roster!$C$6:$C$65,0))-1)+MATCH(B226,{"AM","PM","NIGHT"},0)-1-27+1,DAY(A226))&amp;"",""))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$206,'Feb'!$D$27:$AH$206,'Mar'!$D$27:$AH$206,'Apr'!$D$27:$AH$206,'May'!$D$27:$AH$206,'Jun'!$D$27:$AH$206,'Jul'!$D$27:$AH$206,'Aug'!$D$27:$AH$206,'Sep'!$D$27:$AH$206,'Oct'!$D$27:$AH$206,'Nov'!$D$27:$AH$206,'Dec'!$D$27:$AH$206,'Jan (next year)'!$D$27:$AH$206),27+3*(IFERROR(MATCH(C227,Roster!$B$6:$B$65,0),MATCH(C227,Roster!$C$6:$C$65,0))-1)+MATCH(B227,{"AM","PM","NIGHT"},0)-1-27+1,DAY(A227))&amp;"",""))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$206,'Feb'!$D$27:$AH$206,'Mar'!$D$27:$AH$206,'Apr'!$D$27:$AH$206,'May'!$D$27:$AH$206,'Jun'!$D$27:$AH$206,'Jul'!$D$27:$AH$206,'Aug'!$D$27:$AH$206,'Sep'!$D$27:$AH$206,'Oct'!$D$27:$AH$206,'Nov'!$D$27:$AH$206,'Dec'!$D$27:$AH$206,'Jan (next year)'!$D$27:$AH$206),27+3*(IFERROR(MATCH(C228,Roster!$B$6:$B$65,0),MATCH(C228,Roster!$C$6:$C$65,0))-1)+MATCH(B228,{"AM","PM","NIGHT"},0)-1-27+1,DAY(A228))&amp;"",""))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$206,'Feb'!$D$27:$AH$206,'Mar'!$D$27:$AH$206,'Apr'!$D$27:$AH$206,'May'!$D$27:$AH$206,'Jun'!$D$27:$AH$206,'Jul'!$D$27:$AH$206,'Aug'!$D$27:$AH$206,'Sep'!$D$27:$AH$206,'Oct'!$D$27:$AH$206,'Nov'!$D$27:$AH$206,'Dec'!$D$27:$AH$206,'Jan (next year)'!$D$27:$AH$206),27+3*(IFERROR(MATCH(C229,Roster!$B$6:$B$65,0),MATCH(C229,Roster!$C$6:$C$65,0))-1)+MATCH(B229,{"AM","PM","NIGHT"},0)-1-27+1,DAY(A229))&amp;"",""))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$206,'Feb'!$D$27:$AH$206,'Mar'!$D$27:$AH$206,'Apr'!$D$27:$AH$206,'May'!$D$27:$AH$206,'Jun'!$D$27:$AH$206,'Jul'!$D$27:$AH$206,'Aug'!$D$27:$AH$206,'Sep'!$D$27:$AH$206,'Oct'!$D$27:$AH$206,'Nov'!$D$27:$AH$206,'Dec'!$D$27:$AH$206,'Jan (next year)'!$D$27:$AH$206),27+3*(IFERROR(MATCH(C230,Roster!$B$6:$B$65,0),MATCH(C230,Roster!$C$6:$C$65,0))-1)+MATCH(B230,{"AM","PM","NIGHT"},0)-1-27+1,DAY(A230))&amp;"",""))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$206,'Feb'!$D$27:$AH$206,'Mar'!$D$27:$AH$206,'Apr'!$D$27:$AH$206,'May'!$D$27:$AH$206,'Jun'!$D$27:$AH$206,'Jul'!$D$27:$AH$206,'Aug'!$D$27:$AH$206,'Sep'!$D$27:$AH$206,'Oct'!$D$27:$AH$206,'Nov'!$D$27:$AH$206,'Dec'!$D$27:$AH$206,'Jan (next year)'!$D$27:$AH$206),27+3*(IFERROR(MATCH(C231,Roster!$B$6:$B$65,0),MATCH(C231,Roster!$C$6:$C$65,0))-1)+MATCH(B231,{"AM","PM","NIGHT"},0)-1-27+1,DAY(A231))&amp;"",""))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$206,'Feb'!$D$27:$AH$206,'Mar'!$D$27:$AH$206,'Apr'!$D$27:$AH$206,'May'!$D$27:$AH$206,'Jun'!$D$27:$AH$206,'Jul'!$D$27:$AH$206,'Aug'!$D$27:$AH$206,'Sep'!$D$27:$AH$206,'Oct'!$D$27:$AH$206,'Nov'!$D$27:$AH$206,'Dec'!$D$27:$AH$206,'Jan (next year)'!$D$27:$AH$206),27+3*(IFERROR(MATCH(C232,Roster!$B$6:$B$65,0),MATCH(C232,Roster!$C$6:$C$65,0))-1)+MATCH(B232,{"AM","PM","NIGHT"},0)-1-27+1,DAY(A232))&amp;"",""))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$206,'Feb'!$D$27:$AH$206,'Mar'!$D$27:$AH$206,'Apr'!$D$27:$AH$206,'May'!$D$27:$AH$206,'Jun'!$D$27:$AH$206,'Jul'!$D$27:$AH$206,'Aug'!$D$27:$AH$206,'Sep'!$D$27:$AH$206,'Oct'!$D$27:$AH$206,'Nov'!$D$27:$AH$206,'Dec'!$D$27:$AH$206,'Jan (next year)'!$D$27:$AH$206),27+3*(IFERROR(MATCH(C233,Roster!$B$6:$B$65,0),MATCH(C233,Roster!$C$6:$C$65,0))-1)+MATCH(B233,{"AM","PM","NIGHT"},0)-1-27+1,DAY(A233))&amp;"",""))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$206,'Feb'!$D$27:$AH$206,'Mar'!$D$27:$AH$206,'Apr'!$D$27:$AH$206,'May'!$D$27:$AH$206,'Jun'!$D$27:$AH$206,'Jul'!$D$27:$AH$206,'Aug'!$D$27:$AH$206,'Sep'!$D$27:$AH$206,'Oct'!$D$27:$AH$206,'Nov'!$D$27:$AH$206,'Dec'!$D$27:$AH$206,'Jan (next year)'!$D$27:$AH$206),27+3*(IFERROR(MATCH(C234,Roster!$B$6:$B$65,0),MATCH(C234,Roster!$C$6:$C$65,0))-1)+MATCH(B234,{"AM","PM","NIGHT"},0)-1-27+1,DAY(A234))&amp;"",""))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$206,'Feb'!$D$27:$AH$206,'Mar'!$D$27:$AH$206,'Apr'!$D$27:$AH$206,'May'!$D$27:$AH$206,'Jun'!$D$27:$AH$206,'Jul'!$D$27:$AH$206,'Aug'!$D$27:$AH$206,'Sep'!$D$27:$AH$206,'Oct'!$D$27:$AH$206,'Nov'!$D$27:$AH$206,'Dec'!$D$27:$AH$206,'Jan (next year)'!$D$27:$AH$206),27+3*(IFERROR(MATCH(C235,Roster!$B$6:$B$65,0),MATCH(C235,Roster!$C$6:$C$65,0))-1)+MATCH(B235,{"AM","PM","NIGHT"},0)-1-27+1,DAY(A235))&amp;"",""))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$206,'Feb'!$D$27:$AH$206,'Mar'!$D$27:$AH$206,'Apr'!$D$27:$AH$206,'May'!$D$27:$AH$206,'Jun'!$D$27:$AH$206,'Jul'!$D$27:$AH$206,'Aug'!$D$27:$AH$206,'Sep'!$D$27:$AH$206,'Oct'!$D$27:$AH$206,'Nov'!$D$27:$AH$206,'Dec'!$D$27:$AH$206,'Jan (next year)'!$D$27:$AH$206),27+3*(IFERROR(MATCH(C236,Roster!$B$6:$B$65,0),MATCH(C236,Roster!$C$6:$C$65,0))-1)+MATCH(B236,{"AM","PM","NIGHT"},0)-1-27+1,DAY(A236))&amp;"",""))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$206,'Feb'!$D$27:$AH$206,'Mar'!$D$27:$AH$206,'Apr'!$D$27:$AH$206,'May'!$D$27:$AH$206,'Jun'!$D$27:$AH$206,'Jul'!$D$27:$AH$206,'Aug'!$D$27:$AH$206,'Sep'!$D$27:$AH$206,'Oct'!$D$27:$AH$206,'Nov'!$D$27:$AH$206,'Dec'!$D$27:$AH$206,'Jan (next year)'!$D$27:$AH$206),27+3*(IFERROR(MATCH(C237,Roster!$B$6:$B$65,0),MATCH(C237,Roster!$C$6:$C$65,0))-1)+MATCH(B237,{"AM","PM","NIGHT"},0)-1-27+1,DAY(A237))&amp;"",""))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$206,'Feb'!$D$27:$AH$206,'Mar'!$D$27:$AH$206,'Apr'!$D$27:$AH$206,'May'!$D$27:$AH$206,'Jun'!$D$27:$AH$206,'Jul'!$D$27:$AH$206,'Aug'!$D$27:$AH$206,'Sep'!$D$27:$AH$206,'Oct'!$D$27:$AH$206,'Nov'!$D$27:$AH$206,'Dec'!$D$27:$AH$206,'Jan (next year)'!$D$27:$AH$206),27+3*(IFERROR(MATCH(C238,Roster!$B$6:$B$65,0),MATCH(C238,Roster!$C$6:$C$65,0))-1)+MATCH(B238,{"AM","PM","NIGHT"},0)-1-27+1,DAY(A238))&amp;"",""))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$206,'Feb'!$D$27:$AH$206,'Mar'!$D$27:$AH$206,'Apr'!$D$27:$AH$206,'May'!$D$27:$AH$206,'Jun'!$D$27:$AH$206,'Jul'!$D$27:$AH$206,'Aug'!$D$27:$AH$206,'Sep'!$D$27:$AH$206,'Oct'!$D$27:$AH$206,'Nov'!$D$27:$AH$206,'Dec'!$D$27:$AH$206,'Jan (next year)'!$D$27:$AH$206),27+3*(IFERROR(MATCH(C239,Roster!$B$6:$B$65,0),MATCH(C239,Roster!$C$6:$C$65,0))-1)+MATCH(B239,{"AM","PM","NIGHT"},0)-1-27+1,DAY(A239))&amp;"",""))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$206,'Feb'!$D$27:$AH$206,'Mar'!$D$27:$AH$206,'Apr'!$D$27:$AH$206,'May'!$D$27:$AH$206,'Jun'!$D$27:$AH$206,'Jul'!$D$27:$AH$206,'Aug'!$D$27:$AH$206,'Sep'!$D$27:$AH$206,'Oct'!$D$27:$AH$206,'Nov'!$D$27:$AH$206,'Dec'!$D$27:$AH$206,'Jan (next year)'!$D$27:$AH$206),27+3*(IFERROR(MATCH(C240,Roster!$B$6:$B$65,0),MATCH(C240,Roster!$C$6:$C$65,0))-1)+MATCH(B240,{"AM","PM","NIGHT"},0)-1-27+1,DAY(A240))&amp;"",""))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$206,'Feb'!$D$27:$AH$206,'Mar'!$D$27:$AH$206,'Apr'!$D$27:$AH$206,'May'!$D$27:$AH$206,'Jun'!$D$27:$AH$206,'Jul'!$D$27:$AH$206,'Aug'!$D$27:$AH$206,'Sep'!$D$27:$AH$206,'Oct'!$D$27:$AH$206,'Nov'!$D$27:$AH$206,'Dec'!$D$27:$AH$206,'Jan (next year)'!$D$27:$AH$206),27+3*(IFERROR(MATCH(C241,Roster!$B$6:$B$65,0),MATCH(C241,Roster!$C$6:$C$65,0))-1)+MATCH(B241,{"AM","PM","NIGHT"},0)-1-27+1,DAY(A241))&amp;"",""))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$206,'Feb'!$D$27:$AH$206,'Mar'!$D$27:$AH$206,'Apr'!$D$27:$AH$206,'May'!$D$27:$AH$206,'Jun'!$D$27:$AH$206,'Jul'!$D$27:$AH$206,'Aug'!$D$27:$AH$206,'Sep'!$D$27:$AH$206,'Oct'!$D$27:$AH$206,'Nov'!$D$27:$AH$206,'Dec'!$D$27:$AH$206,'Jan (next year)'!$D$27:$AH$206),27+3*(IFERROR(MATCH(C242,Roster!$B$6:$B$65,0),MATCH(C242,Roster!$C$6:$C$65,0))-1)+MATCH(B242,{"AM","PM","NIGHT"},0)-1-27+1,DAY(A242))&amp;"",""))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$206,'Feb'!$D$27:$AH$206,'Mar'!$D$27:$AH$206,'Apr'!$D$27:$AH$206,'May'!$D$27:$AH$206,'Jun'!$D$27:$AH$206,'Jul'!$D$27:$AH$206,'Aug'!$D$27:$AH$206,'Sep'!$D$27:$AH$206,'Oct'!$D$27:$AH$206,'Nov'!$D$27:$AH$206,'Dec'!$D$27:$AH$206,'Jan (next year)'!$D$27:$AH$206),27+3*(IFERROR(MATCH(C243,Roster!$B$6:$B$65,0),MATCH(C243,Roster!$C$6:$C$65,0))-1)+MATCH(B243,{"AM","PM","NIGHT"},0)-1-27+1,DAY(A243))&amp;"",""))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$206,'Feb'!$D$27:$AH$206,'Mar'!$D$27:$AH$206,'Apr'!$D$27:$AH$206,'May'!$D$27:$AH$206,'Jun'!$D$27:$AH$206,'Jul'!$D$27:$AH$206,'Aug'!$D$27:$AH$206,'Sep'!$D$27:$AH$206,'Oct'!$D$27:$AH$206,'Nov'!$D$27:$AH$206,'Dec'!$D$27:$AH$206,'Jan (next year)'!$D$27:$AH$206),27+3*(IFERROR(MATCH(C244,Roster!$B$6:$B$65,0),MATCH(C244,Roster!$C$6:$C$65,0))-1)+MATCH(B244,{"AM","PM","NIGHT"},0)-1-27+1,DAY(A244))&amp;"",""))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$206,'Feb'!$D$27:$AH$206,'Mar'!$D$27:$AH$206,'Apr'!$D$27:$AH$206,'May'!$D$27:$AH$206,'Jun'!$D$27:$AH$206,'Jul'!$D$27:$AH$206,'Aug'!$D$27:$AH$206,'Sep'!$D$27:$AH$206,'Oct'!$D$27:$AH$206,'Nov'!$D$27:$AH$206,'Dec'!$D$27:$AH$206,'Jan (next year)'!$D$27:$AH$206),27+3*(IFERROR(MATCH(C245,Roster!$B$6:$B$65,0),MATCH(C245,Roster!$C$6:$C$65,0))-1)+MATCH(B245,{"AM","PM","NIGHT"},0)-1-27+1,DAY(A245))&amp;"",""))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$206,'Feb'!$D$27:$AH$206,'Mar'!$D$27:$AH$206,'Apr'!$D$27:$AH$206,'May'!$D$27:$AH$206,'Jun'!$D$27:$AH$206,'Jul'!$D$27:$AH$206,'Aug'!$D$27:$AH$206,'Sep'!$D$27:$AH$206,'Oct'!$D$27:$AH$206,'Nov'!$D$27:$AH$206,'Dec'!$D$27:$AH$206,'Jan (next year)'!$D$27:$AH$206),27+3*(IFERROR(MATCH(C246,Roster!$B$6:$B$65,0),MATCH(C246,Roster!$C$6:$C$65,0))-1)+MATCH(B246,{"AM","PM","NIGHT"},0)-1-27+1,DAY(A246))&amp;"",""))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$206,'Feb'!$D$27:$AH$206,'Mar'!$D$27:$AH$206,'Apr'!$D$27:$AH$206,'May'!$D$27:$AH$206,'Jun'!$D$27:$AH$206,'Jul'!$D$27:$AH$206,'Aug'!$D$27:$AH$206,'Sep'!$D$27:$AH$206,'Oct'!$D$27:$AH$206,'Nov'!$D$27:$AH$206,'Dec'!$D$27:$AH$206,'Jan (next year)'!$D$27:$AH$206),27+3*(IFERROR(MATCH(C247,Roster!$B$6:$B$65,0),MATCH(C247,Roster!$C$6:$C$65,0))-1)+MATCH(B247,{"AM","PM","NIGHT"},0)-1-27+1,DAY(A247))&amp;"",""))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$206,'Feb'!$D$27:$AH$206,'Mar'!$D$27:$AH$206,'Apr'!$D$27:$AH$206,'May'!$D$27:$AH$206,'Jun'!$D$27:$AH$206,'Jul'!$D$27:$AH$206,'Aug'!$D$27:$AH$206,'Sep'!$D$27:$AH$206,'Oct'!$D$27:$AH$206,'Nov'!$D$27:$AH$206,'Dec'!$D$27:$AH$206,'Jan (next year)'!$D$27:$AH$206),27+3*(IFERROR(MATCH(C248,Roster!$B$6:$B$65,0),MATCH(C248,Roster!$C$6:$C$65,0))-1)+MATCH(B248,{"AM","PM","NIGHT"},0)-1-27+1,DAY(A248))&amp;"",""))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$206,'Feb'!$D$27:$AH$206,'Mar'!$D$27:$AH$206,'Apr'!$D$27:$AH$206,'May'!$D$27:$AH$206,'Jun'!$D$27:$AH$206,'Jul'!$D$27:$AH$206,'Aug'!$D$27:$AH$206,'Sep'!$D$27:$AH$206,'Oct'!$D$27:$AH$206,'Nov'!$D$27:$AH$206,'Dec'!$D$27:$AH$206,'Jan (next year)'!$D$27:$AH$206),27+3*(IFERROR(MATCH(C249,Roster!$B$6:$B$65,0),MATCH(C249,Roster!$C$6:$C$65,0))-1)+MATCH(B249,{"AM","PM","NIGHT"},0)-1-27+1,DAY(A249))&amp;"",""))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$206,'Feb'!$D$27:$AH$206,'Mar'!$D$27:$AH$206,'Apr'!$D$27:$AH$206,'May'!$D$27:$AH$206,'Jun'!$D$27:$AH$206,'Jul'!$D$27:$AH$206,'Aug'!$D$27:$AH$206,'Sep'!$D$27:$AH$206,'Oct'!$D$27:$AH$206,'Nov'!$D$27:$AH$206,'Dec'!$D$27:$AH$206,'Jan (next year)'!$D$27:$AH$206),27+3*(IFERROR(MATCH(C250,Roster!$B$6:$B$65,0),MATCH(C250,Roster!$C$6:$C$65,0))-1)+MATCH(B250,{"AM","PM","NIGHT"},0)-1-27+1,DAY(A250))&amp;"",""))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$206,'Feb'!$D$27:$AH$206,'Mar'!$D$27:$AH$206,'Apr'!$D$27:$AH$206,'May'!$D$27:$AH$206,'Jun'!$D$27:$AH$206,'Jul'!$D$27:$AH$206,'Aug'!$D$27:$AH$206,'Sep'!$D$27:$AH$206,'Oct'!$D$27:$AH$206,'Nov'!$D$27:$AH$206,'Dec'!$D$27:$AH$206,'Jan (next year)'!$D$27:$AH$206),27+3*(IFERROR(MATCH(C251,Roster!$B$6:$B$65,0),MATCH(C251,Roster!$C$6:$C$65,0))-1)+MATCH(B251,{"AM","PM","NIGHT"},0)-1-27+1,DAY(A251))&amp;"",""))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$206,'Feb'!$D$27:$AH$206,'Mar'!$D$27:$AH$206,'Apr'!$D$27:$AH$206,'May'!$D$27:$AH$206,'Jun'!$D$27:$AH$206,'Jul'!$D$27:$AH$206,'Aug'!$D$27:$AH$206,'Sep'!$D$27:$AH$206,'Oct'!$D$27:$AH$206,'Nov'!$D$27:$AH$206,'Dec'!$D$27:$AH$206,'Jan (next year)'!$D$27:$AH$206),27+3*(IFERROR(MATCH(C252,Roster!$B$6:$B$65,0),MATCH(C252,Roster!$C$6:$C$65,0))-1)+MATCH(B252,{"AM","PM","NIGHT"},0)-1-27+1,DAY(A252))&amp;"",""))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$206,'Feb'!$D$27:$AH$206,'Mar'!$D$27:$AH$206,'Apr'!$D$27:$AH$206,'May'!$D$27:$AH$206,'Jun'!$D$27:$AH$206,'Jul'!$D$27:$AH$206,'Aug'!$D$27:$AH$206,'Sep'!$D$27:$AH$206,'Oct'!$D$27:$AH$206,'Nov'!$D$27:$AH$206,'Dec'!$D$27:$AH$206,'Jan (next year)'!$D$27:$AH$206),27+3*(IFERROR(MATCH(C253,Roster!$B$6:$B$65,0),MATCH(C253,Roster!$C$6:$C$65,0))-1)+MATCH(B253,{"AM","PM","NIGHT"},0)-1-27+1,DAY(A253))&amp;"",""))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$206,'Feb'!$D$27:$AH$206,'Mar'!$D$27:$AH$206,'Apr'!$D$27:$AH$206,'May'!$D$27:$AH$206,'Jun'!$D$27:$AH$206,'Jul'!$D$27:$AH$206,'Aug'!$D$27:$AH$206,'Sep'!$D$27:$AH$206,'Oct'!$D$27:$AH$206,'Nov'!$D$27:$AH$206,'Dec'!$D$27:$AH$206,'Jan (next year)'!$D$27:$AH$206),27+3*(IFERROR(MATCH(C254,Roster!$B$6:$B$65,0),MATCH(C254,Roster!$C$6:$C$65,0))-1)+MATCH(B254,{"AM","PM","NIGHT"},0)-1-27+1,DAY(A254))&amp;"",""))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$206,'Feb'!$D$27:$AH$206,'Mar'!$D$27:$AH$206,'Apr'!$D$27:$AH$206,'May'!$D$27:$AH$206,'Jun'!$D$27:$AH$206,'Jul'!$D$27:$AH$206,'Aug'!$D$27:$AH$206,'Sep'!$D$27:$AH$206,'Oct'!$D$27:$AH$206,'Nov'!$D$27:$AH$206,'Dec'!$D$27:$AH$206,'Jan (next year)'!$D$27:$AH$206),27+3*(IFERROR(MATCH(C255,Roster!$B$6:$B$65,0),MATCH(C255,Roster!$C$6:$C$65,0))-1)+MATCH(B255,{"AM","PM","NIGHT"},0)-1-27+1,DAY(A255))&amp;"",""))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$206,'Feb'!$D$27:$AH$206,'Mar'!$D$27:$AH$206,'Apr'!$D$27:$AH$206,'May'!$D$27:$AH$206,'Jun'!$D$27:$AH$206,'Jul'!$D$27:$AH$206,'Aug'!$D$27:$AH$206,'Sep'!$D$27:$AH$206,'Oct'!$D$27:$AH$206,'Nov'!$D$27:$AH$206,'Dec'!$D$27:$AH$206,'Jan (next year)'!$D$27:$AH$206),27+3*(IFERROR(MATCH(C256,Roster!$B$6:$B$65,0),MATCH(C256,Roster!$C$6:$C$65,0))-1)+MATCH(B256,{"AM","PM","NIGHT"},0)-1-27+1,DAY(A256))&amp;"",""))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$206,'Feb'!$D$27:$AH$206,'Mar'!$D$27:$AH$206,'Apr'!$D$27:$AH$206,'May'!$D$27:$AH$206,'Jun'!$D$27:$AH$206,'Jul'!$D$27:$AH$206,'Aug'!$D$27:$AH$206,'Sep'!$D$27:$AH$206,'Oct'!$D$27:$AH$206,'Nov'!$D$27:$AH$206,'Dec'!$D$27:$AH$206,'Jan (next year)'!$D$27:$AH$206),27+3*(IFERROR(MATCH(C257,Roster!$B$6:$B$65,0),MATCH(C257,Roster!$C$6:$C$65,0))-1)+MATCH(B257,{"AM","PM","NIGHT"},0)-1-27+1,DAY(A257))&amp;"",""))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$206,'Feb'!$D$27:$AH$206,'Mar'!$D$27:$AH$206,'Apr'!$D$27:$AH$206,'May'!$D$27:$AH$206,'Jun'!$D$27:$AH$206,'Jul'!$D$27:$AH$206,'Aug'!$D$27:$AH$206,'Sep'!$D$27:$AH$206,'Oct'!$D$27:$AH$206,'Nov'!$D$27:$AH$206,'Dec'!$D$27:$AH$206,'Jan (next year)'!$D$27:$AH$206),27+3*(IFERROR(MATCH(C258,Roster!$B$6:$B$65,0),MATCH(C258,Roster!$C$6:$C$65,0))-1)+MATCH(B258,{"AM","PM","NIGHT"},0)-1-27+1,DAY(A258))&amp;"",""))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$206,'Feb'!$D$27:$AH$206,'Mar'!$D$27:$AH$206,'Apr'!$D$27:$AH$206,'May'!$D$27:$AH$206,'Jun'!$D$27:$AH$206,'Jul'!$D$27:$AH$206,'Aug'!$D$27:$AH$206,'Sep'!$D$27:$AH$206,'Oct'!$D$27:$AH$206,'Nov'!$D$27:$AH$206,'Dec'!$D$27:$AH$206,'Jan (next year)'!$D$27:$AH$206),27+3*(IFERROR(MATCH(C259,Roster!$B$6:$B$65,0),MATCH(C259,Roster!$C$6:$C$65,0))-1)+MATCH(B259,{"AM","PM","NIGHT"},0)-1-27+1,DAY(A259))&amp;"",""))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$206,'Feb'!$D$27:$AH$206,'Mar'!$D$27:$AH$206,'Apr'!$D$27:$AH$206,'May'!$D$27:$AH$206,'Jun'!$D$27:$AH$206,'Jul'!$D$27:$AH$206,'Aug'!$D$27:$AH$206,'Sep'!$D$27:$AH$206,'Oct'!$D$27:$AH$206,'Nov'!$D$27:$AH$206,'Dec'!$D$27:$AH$206,'Jan (next year)'!$D$27:$AH$206),27+3*(IFERROR(MATCH(C260,Roster!$B$6:$B$65,0),MATCH(C260,Roster!$C$6:$C$65,0))-1)+MATCH(B260,{"AM","PM","NIGHT"},0)-1-27+1,DAY(A260))&amp;"",""))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$206,'Feb'!$D$27:$AH$206,'Mar'!$D$27:$AH$206,'Apr'!$D$27:$AH$206,'May'!$D$27:$AH$206,'Jun'!$D$27:$AH$206,'Jul'!$D$27:$AH$206,'Aug'!$D$27:$AH$206,'Sep'!$D$27:$AH$206,'Oct'!$D$27:$AH$206,'Nov'!$D$27:$AH$206,'Dec'!$D$27:$AH$206,'Jan (next year)'!$D$27:$AH$206),27+3*(IFERROR(MATCH(C261,Roster!$B$6:$B$65,0),MATCH(C261,Roster!$C$6:$C$65,0))-1)+MATCH(B261,{"AM","PM","NIGHT"},0)-1-27+1,DAY(A261))&amp;"",""))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$206,'Feb'!$D$27:$AH$206,'Mar'!$D$27:$AH$206,'Apr'!$D$27:$AH$206,'May'!$D$27:$AH$206,'Jun'!$D$27:$AH$206,'Jul'!$D$27:$AH$206,'Aug'!$D$27:$AH$206,'Sep'!$D$27:$AH$206,'Oct'!$D$27:$AH$206,'Nov'!$D$27:$AH$206,'Dec'!$D$27:$AH$206,'Jan (next year)'!$D$27:$AH$206),27+3*(IFERROR(MATCH(C262,Roster!$B$6:$B$65,0),MATCH(C262,Roster!$C$6:$C$65,0))-1)+MATCH(B262,{"AM","PM","NIGHT"},0)-1-27+1,DAY(A262))&amp;"",""))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$206,'Feb'!$D$27:$AH$206,'Mar'!$D$27:$AH$206,'Apr'!$D$27:$AH$206,'May'!$D$27:$AH$206,'Jun'!$D$27:$AH$206,'Jul'!$D$27:$AH$206,'Aug'!$D$27:$AH$206,'Sep'!$D$27:$AH$206,'Oct'!$D$27:$AH$206,'Nov'!$D$27:$AH$206,'Dec'!$D$27:$AH$206,'Jan (next year)'!$D$27:$AH$206),27+3*(IFERROR(MATCH(C263,Roster!$B$6:$B$65,0),MATCH(C263,Roster!$C$6:$C$65,0))-1)+MATCH(B263,{"AM","PM","NIGHT"},0)-1-27+1,DAY(A263))&amp;"",""))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$206,'Feb'!$D$27:$AH$206,'Mar'!$D$27:$AH$206,'Apr'!$D$27:$AH$206,'May'!$D$27:$AH$206,'Jun'!$D$27:$AH$206,'Jul'!$D$27:$AH$206,'Aug'!$D$27:$AH$206,'Sep'!$D$27:$AH$206,'Oct'!$D$27:$AH$206,'Nov'!$D$27:$AH$206,'Dec'!$D$27:$AH$206,'Jan (next year)'!$D$27:$AH$206),27+3*(IFERROR(MATCH(C264,Roster!$B$6:$B$65,0),MATCH(C264,Roster!$C$6:$C$65,0))-1)+MATCH(B264,{"AM","PM","NIGHT"},0)-1-27+1,DAY(A264))&amp;"",""))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$206,'Feb'!$D$27:$AH$206,'Mar'!$D$27:$AH$206,'Apr'!$D$27:$AH$206,'May'!$D$27:$AH$206,'Jun'!$D$27:$AH$206,'Jul'!$D$27:$AH$206,'Aug'!$D$27:$AH$206,'Sep'!$D$27:$AH$206,'Oct'!$D$27:$AH$206,'Nov'!$D$27:$AH$206,'Dec'!$D$27:$AH$206,'Jan (next year)'!$D$27:$AH$206),27+3*(IFERROR(MATCH(C265,Roster!$B$6:$B$65,0),MATCH(C265,Roster!$C$6:$C$65,0))-1)+MATCH(B265,{"AM","PM","NIGHT"},0)-1-27+1,DAY(A265))&amp;"",""))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$206,'Feb'!$D$27:$AH$206,'Mar'!$D$27:$AH$206,'Apr'!$D$27:$AH$206,'May'!$D$27:$AH$206,'Jun'!$D$27:$AH$206,'Jul'!$D$27:$AH$206,'Aug'!$D$27:$AH$206,'Sep'!$D$27:$AH$206,'Oct'!$D$27:$AH$206,'Nov'!$D$27:$AH$206,'Dec'!$D$27:$AH$206,'Jan (next year)'!$D$27:$AH$206),27+3*(IFERROR(MATCH(C266,Roster!$B$6:$B$65,0),MATCH(C266,Roster!$C$6:$C$65,0))-1)+MATCH(B266,{"AM","PM","NIGHT"},0)-1-27+1,DAY(A266))&amp;"",""))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$206,'Feb'!$D$27:$AH$206,'Mar'!$D$27:$AH$206,'Apr'!$D$27:$AH$206,'May'!$D$27:$AH$206,'Jun'!$D$27:$AH$206,'Jul'!$D$27:$AH$206,'Aug'!$D$27:$AH$206,'Sep'!$D$27:$AH$206,'Oct'!$D$27:$AH$206,'Nov'!$D$27:$AH$206,'Dec'!$D$27:$AH$206,'Jan (next year)'!$D$27:$AH$206),27+3*(IFERROR(MATCH(C267,Roster!$B$6:$B$65,0),MATCH(C267,Roster!$C$6:$C$65,0))-1)+MATCH(B267,{"AM","PM","NIGHT"},0)-1-27+1,DAY(A267))&amp;"",""))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$206,'Feb'!$D$27:$AH$206,'Mar'!$D$27:$AH$206,'Apr'!$D$27:$AH$206,'May'!$D$27:$AH$206,'Jun'!$D$27:$AH$206,'Jul'!$D$27:$AH$206,'Aug'!$D$27:$AH$206,'Sep'!$D$27:$AH$206,'Oct'!$D$27:$AH$206,'Nov'!$D$27:$AH$206,'Dec'!$D$27:$AH$206,'Jan (next year)'!$D$27:$AH$206),27+3*(IFERROR(MATCH(C268,Roster!$B$6:$B$65,0),MATCH(C268,Roster!$C$6:$C$65,0))-1)+MATCH(B268,{"AM","PM","NIGHT"},0)-1-27+1,DAY(A268))&amp;"",""))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$206,'Feb'!$D$27:$AH$206,'Mar'!$D$27:$AH$206,'Apr'!$D$27:$AH$206,'May'!$D$27:$AH$206,'Jun'!$D$27:$AH$206,'Jul'!$D$27:$AH$206,'Aug'!$D$27:$AH$206,'Sep'!$D$27:$AH$206,'Oct'!$D$27:$AH$206,'Nov'!$D$27:$AH$206,'Dec'!$D$27:$AH$206,'Jan (next year)'!$D$27:$AH$206),27+3*(IFERROR(MATCH(C269,Roster!$B$6:$B$65,0),MATCH(C269,Roster!$C$6:$C$65,0))-1)+MATCH(B269,{"AM","PM","NIGHT"},0)-1-27+1,DAY(A269))&amp;"",""))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$206,'Feb'!$D$27:$AH$206,'Mar'!$D$27:$AH$206,'Apr'!$D$27:$AH$206,'May'!$D$27:$AH$206,'Jun'!$D$27:$AH$206,'Jul'!$D$27:$AH$206,'Aug'!$D$27:$AH$206,'Sep'!$D$27:$AH$206,'Oct'!$D$27:$AH$206,'Nov'!$D$27:$AH$206,'Dec'!$D$27:$AH$206,'Jan (next year)'!$D$27:$AH$206),27+3*(IFERROR(MATCH(C270,Roster!$B$6:$B$65,0),MATCH(C270,Roster!$C$6:$C$65,0))-1)+MATCH(B270,{"AM","PM","NIGHT"},0)-1-27+1,DAY(A270))&amp;"",""))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$206,'Feb'!$D$27:$AH$206,'Mar'!$D$27:$AH$206,'Apr'!$D$27:$AH$206,'May'!$D$27:$AH$206,'Jun'!$D$27:$AH$206,'Jul'!$D$27:$AH$206,'Aug'!$D$27:$AH$206,'Sep'!$D$27:$AH$206,'Oct'!$D$27:$AH$206,'Nov'!$D$27:$AH$206,'Dec'!$D$27:$AH$206,'Jan (next year)'!$D$27:$AH$206),27+3*(IFERROR(MATCH(C271,Roster!$B$6:$B$65,0),MATCH(C271,Roster!$C$6:$C$65,0))-1)+MATCH(B271,{"AM","PM","NIGHT"},0)-1-27+1,DAY(A271))&amp;"",""))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$206,'Feb'!$D$27:$AH$206,'Mar'!$D$27:$AH$206,'Apr'!$D$27:$AH$206,'May'!$D$27:$AH$206,'Jun'!$D$27:$AH$206,'Jul'!$D$27:$AH$206,'Aug'!$D$27:$AH$206,'Sep'!$D$27:$AH$206,'Oct'!$D$27:$AH$206,'Nov'!$D$27:$AH$206,'Dec'!$D$27:$AH$206,'Jan (next year)'!$D$27:$AH$206),27+3*(IFERROR(MATCH(C272,Roster!$B$6:$B$65,0),MATCH(C272,Roster!$C$6:$C$65,0))-1)+MATCH(B272,{"AM","PM","NIGHT"},0)-1-27+1,DAY(A272))&amp;"",""))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$206,'Feb'!$D$27:$AH$206,'Mar'!$D$27:$AH$206,'Apr'!$D$27:$AH$206,'May'!$D$27:$AH$206,'Jun'!$D$27:$AH$206,'Jul'!$D$27:$AH$206,'Aug'!$D$27:$AH$206,'Sep'!$D$27:$AH$206,'Oct'!$D$27:$AH$206,'Nov'!$D$27:$AH$206,'Dec'!$D$27:$AH$206,'Jan (next year)'!$D$27:$AH$206),27+3*(IFERROR(MATCH(C273,Roster!$B$6:$B$65,0),MATCH(C273,Roster!$C$6:$C$65,0))-1)+MATCH(B273,{"AM","PM","NIGHT"},0)-1-27+1,DAY(A273))&amp;"",""))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$206,'Feb'!$D$27:$AH$206,'Mar'!$D$27:$AH$206,'Apr'!$D$27:$AH$206,'May'!$D$27:$AH$206,'Jun'!$D$27:$AH$206,'Jul'!$D$27:$AH$206,'Aug'!$D$27:$AH$206,'Sep'!$D$27:$AH$206,'Oct'!$D$27:$AH$206,'Nov'!$D$27:$AH$206,'Dec'!$D$27:$AH$206,'Jan (next year)'!$D$27:$AH$206),27+3*(IFERROR(MATCH(C274,Roster!$B$6:$B$65,0),MATCH(C274,Roster!$C$6:$C$65,0))-1)+MATCH(B274,{"AM","PM","NIGHT"},0)-1-27+1,DAY(A274))&amp;"",""))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$206,'Feb'!$D$27:$AH$206,'Mar'!$D$27:$AH$206,'Apr'!$D$27:$AH$206,'May'!$D$27:$AH$206,'Jun'!$D$27:$AH$206,'Jul'!$D$27:$AH$206,'Aug'!$D$27:$AH$206,'Sep'!$D$27:$AH$206,'Oct'!$D$27:$AH$206,'Nov'!$D$27:$AH$206,'Dec'!$D$27:$AH$206,'Jan (next year)'!$D$27:$AH$206),27+3*(IFERROR(MATCH(C275,Roster!$B$6:$B$65,0),MATCH(C275,Roster!$C$6:$C$65,0))-1)+MATCH(B275,{"AM","PM","NIGHT"},0)-1-27+1,DAY(A275))&amp;"",""))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$206,'Feb'!$D$27:$AH$206,'Mar'!$D$27:$AH$206,'Apr'!$D$27:$AH$206,'May'!$D$27:$AH$206,'Jun'!$D$27:$AH$206,'Jul'!$D$27:$AH$206,'Aug'!$D$27:$AH$206,'Sep'!$D$27:$AH$206,'Oct'!$D$27:$AH$206,'Nov'!$D$27:$AH$206,'Dec'!$D$27:$AH$206,'Jan (next year)'!$D$27:$AH$206),27+3*(IFERROR(MATCH(C276,Roster!$B$6:$B$65,0),MATCH(C276,Roster!$C$6:$C$65,0))-1)+MATCH(B276,{"AM","PM","NIGHT"},0)-1-27+1,DAY(A276))&amp;"",""))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$206,'Feb'!$D$27:$AH$206,'Mar'!$D$27:$AH$206,'Apr'!$D$27:$AH$206,'May'!$D$27:$AH$206,'Jun'!$D$27:$AH$206,'Jul'!$D$27:$AH$206,'Aug'!$D$27:$AH$206,'Sep'!$D$27:$AH$206,'Oct'!$D$27:$AH$206,'Nov'!$D$27:$AH$206,'Dec'!$D$27:$AH$206,'Jan (next year)'!$D$27:$AH$206),27+3*(IFERROR(MATCH(C277,Roster!$B$6:$B$65,0),MATCH(C277,Roster!$C$6:$C$65,0))-1)+MATCH(B277,{"AM","PM","NIGHT"},0)-1-27+1,DAY(A277))&amp;"",""))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$206,'Feb'!$D$27:$AH$206,'Mar'!$D$27:$AH$206,'Apr'!$D$27:$AH$206,'May'!$D$27:$AH$206,'Jun'!$D$27:$AH$206,'Jul'!$D$27:$AH$206,'Aug'!$D$27:$AH$206,'Sep'!$D$27:$AH$206,'Oct'!$D$27:$AH$206,'Nov'!$D$27:$AH$206,'Dec'!$D$27:$AH$206,'Jan (next year)'!$D$27:$AH$206),27+3*(IFERROR(MATCH(C278,Roster!$B$6:$B$65,0),MATCH(C278,Roster!$C$6:$C$65,0))-1)+MATCH(B278,{"AM","PM","NIGHT"},0)-1-27+1,DAY(A278))&amp;"",""))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$206,'Feb'!$D$27:$AH$206,'Mar'!$D$27:$AH$206,'Apr'!$D$27:$AH$206,'May'!$D$27:$AH$206,'Jun'!$D$27:$AH$206,'Jul'!$D$27:$AH$206,'Aug'!$D$27:$AH$206,'Sep'!$D$27:$AH$206,'Oct'!$D$27:$AH$206,'Nov'!$D$27:$AH$206,'Dec'!$D$27:$AH$206,'Jan (next year)'!$D$27:$AH$206),27+3*(IFERROR(MATCH(C279,Roster!$B$6:$B$65,0),MATCH(C279,Roster!$C$6:$C$65,0))-1)+MATCH(B279,{"AM","PM","NIGHT"},0)-1-27+1,DAY(A279))&amp;"",""))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$206,'Feb'!$D$27:$AH$206,'Mar'!$D$27:$AH$206,'Apr'!$D$27:$AH$206,'May'!$D$27:$AH$206,'Jun'!$D$27:$AH$206,'Jul'!$D$27:$AH$206,'Aug'!$D$27:$AH$206,'Sep'!$D$27:$AH$206,'Oct'!$D$27:$AH$206,'Nov'!$D$27:$AH$206,'Dec'!$D$27:$AH$206,'Jan (next year)'!$D$27:$AH$206),27+3*(IFERROR(MATCH(C280,Roster!$B$6:$B$65,0),MATCH(C280,Roster!$C$6:$C$65,0))-1)+MATCH(B280,{"AM","PM","NIGHT"},0)-1-27+1,DAY(A280))&amp;"",""))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$206,'Feb'!$D$27:$AH$206,'Mar'!$D$27:$AH$206,'Apr'!$D$27:$AH$206,'May'!$D$27:$AH$206,'Jun'!$D$27:$AH$206,'Jul'!$D$27:$AH$206,'Aug'!$D$27:$AH$206,'Sep'!$D$27:$AH$206,'Oct'!$D$27:$AH$206,'Nov'!$D$27:$AH$206,'Dec'!$D$27:$AH$206,'Jan (next year)'!$D$27:$AH$206),27+3*(IFERROR(MATCH(C281,Roster!$B$6:$B$65,0),MATCH(C281,Roster!$C$6:$C$65,0))-1)+MATCH(B281,{"AM","PM","NIGHT"},0)-1-27+1,DAY(A281))&amp;"",""))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$206,'Feb'!$D$27:$AH$206,'Mar'!$D$27:$AH$206,'Apr'!$D$27:$AH$206,'May'!$D$27:$AH$206,'Jun'!$D$27:$AH$206,'Jul'!$D$27:$AH$206,'Aug'!$D$27:$AH$206,'Sep'!$D$27:$AH$206,'Oct'!$D$27:$AH$206,'Nov'!$D$27:$AH$206,'Dec'!$D$27:$AH$206,'Jan (next year)'!$D$27:$AH$206),27+3*(IFERROR(MATCH(C282,Roster!$B$6:$B$65,0),MATCH(C282,Roster!$C$6:$C$65,0))-1)+MATCH(B282,{"AM","PM","NIGHT"},0)-1-27+1,DAY(A282))&amp;"",""))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$206,'Feb'!$D$27:$AH$206,'Mar'!$D$27:$AH$206,'Apr'!$D$27:$AH$206,'May'!$D$27:$AH$206,'Jun'!$D$27:$AH$206,'Jul'!$D$27:$AH$206,'Aug'!$D$27:$AH$206,'Sep'!$D$27:$AH$206,'Oct'!$D$27:$AH$206,'Nov'!$D$27:$AH$206,'Dec'!$D$27:$AH$206,'Jan (next year)'!$D$27:$AH$206),27+3*(IFERROR(MATCH(C283,Roster!$B$6:$B$65,0),MATCH(C283,Roster!$C$6:$C$65,0))-1)+MATCH(B283,{"AM","PM","NIGHT"},0)-1-27+1,DAY(A283))&amp;"",""))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$206,'Feb'!$D$27:$AH$206,'Mar'!$D$27:$AH$206,'Apr'!$D$27:$AH$206,'May'!$D$27:$AH$206,'Jun'!$D$27:$AH$206,'Jul'!$D$27:$AH$206,'Aug'!$D$27:$AH$206,'Sep'!$D$27:$AH$206,'Oct'!$D$27:$AH$206,'Nov'!$D$27:$AH$206,'Dec'!$D$27:$AH$206,'Jan (next year)'!$D$27:$AH$206),27+3*(IFERROR(MATCH(C284,Roster!$B$6:$B$65,0),MATCH(C284,Roster!$C$6:$C$65,0))-1)+MATCH(B284,{"AM","PM","NIGHT"},0)-1-27+1,DAY(A284))&amp;"",""))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$206,'Feb'!$D$27:$AH$206,'Mar'!$D$27:$AH$206,'Apr'!$D$27:$AH$206,'May'!$D$27:$AH$206,'Jun'!$D$27:$AH$206,'Jul'!$D$27:$AH$206,'Aug'!$D$27:$AH$206,'Sep'!$D$27:$AH$206,'Oct'!$D$27:$AH$206,'Nov'!$D$27:$AH$206,'Dec'!$D$27:$AH$206,'Jan (next year)'!$D$27:$AH$206),27+3*(IFERROR(MATCH(C285,Roster!$B$6:$B$65,0),MATCH(C285,Roster!$C$6:$C$65,0))-1)+MATCH(B285,{"AM","PM","NIGHT"},0)-1-27+1,DAY(A285))&amp;"",""))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$206,'Feb'!$D$27:$AH$206,'Mar'!$D$27:$AH$206,'Apr'!$D$27:$AH$206,'May'!$D$27:$AH$206,'Jun'!$D$27:$AH$206,'Jul'!$D$27:$AH$206,'Aug'!$D$27:$AH$206,'Sep'!$D$27:$AH$206,'Oct'!$D$27:$AH$206,'Nov'!$D$27:$AH$206,'Dec'!$D$27:$AH$206,'Jan (next year)'!$D$27:$AH$206),27+3*(IFERROR(MATCH(C286,Roster!$B$6:$B$65,0),MATCH(C286,Roster!$C$6:$C$65,0))-1)+MATCH(B286,{"AM","PM","NIGHT"},0)-1-27+1,DAY(A286))&amp;"",""))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$206,'Feb'!$D$27:$AH$206,'Mar'!$D$27:$AH$206,'Apr'!$D$27:$AH$206,'May'!$D$27:$AH$206,'Jun'!$D$27:$AH$206,'Jul'!$D$27:$AH$206,'Aug'!$D$27:$AH$206,'Sep'!$D$27:$AH$206,'Oct'!$D$27:$AH$206,'Nov'!$D$27:$AH$206,'Dec'!$D$27:$AH$206,'Jan (next year)'!$D$27:$AH$206),27+3*(IFERROR(MATCH(C287,Roster!$B$6:$B$65,0),MATCH(C287,Roster!$C$6:$C$65,0))-1)+MATCH(B287,{"AM","PM","NIGHT"},0)-1-27+1,DAY(A287))&amp;"",""))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$206,'Feb'!$D$27:$AH$206,'Mar'!$D$27:$AH$206,'Apr'!$D$27:$AH$206,'May'!$D$27:$AH$206,'Jun'!$D$27:$AH$206,'Jul'!$D$27:$AH$206,'Aug'!$D$27:$AH$206,'Sep'!$D$27:$AH$206,'Oct'!$D$27:$AH$206,'Nov'!$D$27:$AH$206,'Dec'!$D$27:$AH$206,'Jan (next year)'!$D$27:$AH$206),27+3*(IFERROR(MATCH(C288,Roster!$B$6:$B$65,0),MATCH(C288,Roster!$C$6:$C$65,0))-1)+MATCH(B288,{"AM","PM","NIGHT"},0)-1-27+1,DAY(A288))&amp;"",""))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$206,'Feb'!$D$27:$AH$206,'Mar'!$D$27:$AH$206,'Apr'!$D$27:$AH$206,'May'!$D$27:$AH$206,'Jun'!$D$27:$AH$206,'Jul'!$D$27:$AH$206,'Aug'!$D$27:$AH$206,'Sep'!$D$27:$AH$206,'Oct'!$D$27:$AH$206,'Nov'!$D$27:$AH$206,'Dec'!$D$27:$AH$206,'Jan (next year)'!$D$27:$AH$206),27+3*(IFERROR(MATCH(C289,Roster!$B$6:$B$65,0),MATCH(C289,Roster!$C$6:$C$65,0))-1)+MATCH(B289,{"AM","PM","NIGHT"},0)-1-27+1,DAY(A289))&amp;"",""))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$206,'Feb'!$D$27:$AH$206,'Mar'!$D$27:$AH$206,'Apr'!$D$27:$AH$206,'May'!$D$27:$AH$206,'Jun'!$D$27:$AH$206,'Jul'!$D$27:$AH$206,'Aug'!$D$27:$AH$206,'Sep'!$D$27:$AH$206,'Oct'!$D$27:$AH$206,'Nov'!$D$27:$AH$206,'Dec'!$D$27:$AH$206,'Jan (next year)'!$D$27:$AH$206),27+3*(IFERROR(MATCH(C290,Roster!$B$6:$B$65,0),MATCH(C290,Roster!$C$6:$C$65,0))-1)+MATCH(B290,{"AM","PM","NIGHT"},0)-1-27+1,DAY(A290))&amp;"",""))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$206,'Feb'!$D$27:$AH$206,'Mar'!$D$27:$AH$206,'Apr'!$D$27:$AH$206,'May'!$D$27:$AH$206,'Jun'!$D$27:$AH$206,'Jul'!$D$27:$AH$206,'Aug'!$D$27:$AH$206,'Sep'!$D$27:$AH$206,'Oct'!$D$27:$AH$206,'Nov'!$D$27:$AH$206,'Dec'!$D$27:$AH$206,'Jan (next year)'!$D$27:$AH$206),27+3*(IFERROR(MATCH(C291,Roster!$B$6:$B$65,0),MATCH(C291,Roster!$C$6:$C$65,0))-1)+MATCH(B291,{"AM","PM","NIGHT"},0)-1-27+1,DAY(A291))&amp;"",""))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$206,'Feb'!$D$27:$AH$206,'Mar'!$D$27:$AH$206,'Apr'!$D$27:$AH$206,'May'!$D$27:$AH$206,'Jun'!$D$27:$AH$206,'Jul'!$D$27:$AH$206,'Aug'!$D$27:$AH$206,'Sep'!$D$27:$AH$206,'Oct'!$D$27:$AH$206,'Nov'!$D$27:$AH$206,'Dec'!$D$27:$AH$206,'Jan (next year)'!$D$27:$AH$206),27+3*(IFERROR(MATCH(C292,Roster!$B$6:$B$65,0),MATCH(C292,Roster!$C$6:$C$65,0))-1)+MATCH(B292,{"AM","PM","NIGHT"},0)-1-27+1,DAY(A292))&amp;"",""))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$206,'Feb'!$D$27:$AH$206,'Mar'!$D$27:$AH$206,'Apr'!$D$27:$AH$206,'May'!$D$27:$AH$206,'Jun'!$D$27:$AH$206,'Jul'!$D$27:$AH$206,'Aug'!$D$27:$AH$206,'Sep'!$D$27:$AH$206,'Oct'!$D$27:$AH$206,'Nov'!$D$27:$AH$206,'Dec'!$D$27:$AH$206,'Jan (next year)'!$D$27:$AH$206),27+3*(IFERROR(MATCH(C293,Roster!$B$6:$B$65,0),MATCH(C293,Roster!$C$6:$C$65,0))-1)+MATCH(B293,{"AM","PM","NIGHT"},0)-1-27+1,DAY(A293))&amp;"",""))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$206,'Feb'!$D$27:$AH$206,'Mar'!$D$27:$AH$206,'Apr'!$D$27:$AH$206,'May'!$D$27:$AH$206,'Jun'!$D$27:$AH$206,'Jul'!$D$27:$AH$206,'Aug'!$D$27:$AH$206,'Sep'!$D$27:$AH$206,'Oct'!$D$27:$AH$206,'Nov'!$D$27:$AH$206,'Dec'!$D$27:$AH$206,'Jan (next year)'!$D$27:$AH$206),27+3*(IFERROR(MATCH(C294,Roster!$B$6:$B$65,0),MATCH(C294,Roster!$C$6:$C$65,0))-1)+MATCH(B294,{"AM","PM","NIGHT"},0)-1-27+1,DAY(A294))&amp;"",""))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$206,'Feb'!$D$27:$AH$206,'Mar'!$D$27:$AH$206,'Apr'!$D$27:$AH$206,'May'!$D$27:$AH$206,'Jun'!$D$27:$AH$206,'Jul'!$D$27:$AH$206,'Aug'!$D$27:$AH$206,'Sep'!$D$27:$AH$206,'Oct'!$D$27:$AH$206,'Nov'!$D$27:$AH$206,'Dec'!$D$27:$AH$206,'Jan (next year)'!$D$27:$AH$206),27+3*(IFERROR(MATCH(C295,Roster!$B$6:$B$65,0),MATCH(C295,Roster!$C$6:$C$65,0))-1)+MATCH(B295,{"AM","PM","NIGHT"},0)-1-27+1,DAY(A295))&amp;"",""))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$206,'Feb'!$D$27:$AH$206,'Mar'!$D$27:$AH$206,'Apr'!$D$27:$AH$206,'May'!$D$27:$AH$206,'Jun'!$D$27:$AH$206,'Jul'!$D$27:$AH$206,'Aug'!$D$27:$AH$206,'Sep'!$D$27:$AH$206,'Oct'!$D$27:$AH$206,'Nov'!$D$27:$AH$206,'Dec'!$D$27:$AH$206,'Jan (next year)'!$D$27:$AH$206),27+3*(IFERROR(MATCH(C296,Roster!$B$6:$B$65,0),MATCH(C296,Roster!$C$6:$C$65,0))-1)+MATCH(B296,{"AM","PM","NIGHT"},0)-1-27+1,DAY(A296))&amp;"",""))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$206,'Feb'!$D$27:$AH$206,'Mar'!$D$27:$AH$206,'Apr'!$D$27:$AH$206,'May'!$D$27:$AH$206,'Jun'!$D$27:$AH$206,'Jul'!$D$27:$AH$206,'Aug'!$D$27:$AH$206,'Sep'!$D$27:$AH$206,'Oct'!$D$27:$AH$206,'Nov'!$D$27:$AH$206,'Dec'!$D$27:$AH$206,'Jan (next year)'!$D$27:$AH$206),27+3*(IFERROR(MATCH(C297,Roster!$B$6:$B$65,0),MATCH(C297,Roster!$C$6:$C$65,0))-1)+MATCH(B297,{"AM","PM","NIGHT"},0)-1-27+1,DAY(A297))&amp;"",""))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$206,'Feb'!$D$27:$AH$206,'Mar'!$D$27:$AH$206,'Apr'!$D$27:$AH$206,'May'!$D$27:$AH$206,'Jun'!$D$27:$AH$206,'Jul'!$D$27:$AH$206,'Aug'!$D$27:$AH$206,'Sep'!$D$27:$AH$206,'Oct'!$D$27:$AH$206,'Nov'!$D$27:$AH$206,'Dec'!$D$27:$AH$206,'Jan (next year)'!$D$27:$AH$206),27+3*(IFERROR(MATCH(C298,Roster!$B$6:$B$65,0),MATCH(C298,Roster!$C$6:$C$65,0))-1)+MATCH(B298,{"AM","PM","NIGHT"},0)-1-27+1,DAY(A298))&amp;"",""))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$206,'Feb'!$D$27:$AH$206,'Mar'!$D$27:$AH$206,'Apr'!$D$27:$AH$206,'May'!$D$27:$AH$206,'Jun'!$D$27:$AH$206,'Jul'!$D$27:$AH$206,'Aug'!$D$27:$AH$206,'Sep'!$D$27:$AH$206,'Oct'!$D$27:$AH$206,'Nov'!$D$27:$AH$206,'Dec'!$D$27:$AH$206,'Jan (next year)'!$D$27:$AH$206),27+3*(IFERROR(MATCH(C299,Roster!$B$6:$B$65,0),MATCH(C299,Roster!$C$6:$C$65,0))-1)+MATCH(B299,{"AM","PM","NIGHT"},0)-1-27+1,DAY(A299))&amp;"",""))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$206,'Feb'!$D$27:$AH$206,'Mar'!$D$27:$AH$206,'Apr'!$D$27:$AH$206,'May'!$D$27:$AH$206,'Jun'!$D$27:$AH$206,'Jul'!$D$27:$AH$206,'Aug'!$D$27:$AH$206,'Sep'!$D$27:$AH$206,'Oct'!$D$27:$AH$206,'Nov'!$D$27:$AH$206,'Dec'!$D$27:$AH$206,'Jan (next year)'!$D$27:$AH$206),27+3*(IFERROR(MATCH(C300,Roster!$B$6:$B$65,0),MATCH(C300,Roster!$C$6:$C$65,0))-1)+MATCH(B300,{"AM","PM","NIGHT"},0)-1-27+1,DAY(A300))&amp;"",""))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$206,'Feb'!$D$27:$AH$206,'Mar'!$D$27:$AH$206,'Apr'!$D$27:$AH$206,'May'!$D$27:$AH$206,'Jun'!$D$27:$AH$206,'Jul'!$D$27:$AH$206,'Aug'!$D$27:$AH$206,'Sep'!$D$27:$AH$206,'Oct'!$D$27:$AH$206,'Nov'!$D$27:$AH$206,'Dec'!$D$27:$AH$206,'Jan (next year)'!$D$27:$AH$206),27+3*(IFERROR(MATCH(C301,Roster!$B$6:$B$65,0),MATCH(C301,Roster!$C$6:$C$65,0))-1)+MATCH(B301,{"AM","PM","NIGHT"},0)-1-27+1,DAY(A301))&amp;"",""))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$206,'Feb'!$D$27:$AH$206,'Mar'!$D$27:$AH$206,'Apr'!$D$27:$AH$206,'May'!$D$27:$AH$206,'Jun'!$D$27:$AH$206,'Jul'!$D$27:$AH$206,'Aug'!$D$27:$AH$206,'Sep'!$D$27:$AH$206,'Oct'!$D$27:$AH$206,'Nov'!$D$27:$AH$206,'Dec'!$D$27:$AH$206,'Jan (next year)'!$D$27:$AH$206),27+3*(IFERROR(MATCH(C302,Roster!$B$6:$B$65,0),MATCH(C302,Roster!$C$6:$C$65,0))-1)+MATCH(B302,{"AM","PM","NIGHT"},0)-1-27+1,DAY(A302))&amp;"",""))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$206,'Feb'!$D$27:$AH$206,'Mar'!$D$27:$AH$206,'Apr'!$D$27:$AH$206,'May'!$D$27:$AH$206,'Jun'!$D$27:$AH$206,'Jul'!$D$27:$AH$206,'Aug'!$D$27:$AH$206,'Sep'!$D$27:$AH$206,'Oct'!$D$27:$AH$206,'Nov'!$D$27:$AH$206,'Dec'!$D$27:$AH$206,'Jan (next year)'!$D$27:$AH$206),27+3*(IFERROR(MATCH(C303,Roster!$B$6:$B$65,0),MATCH(C303,Roster!$C$6:$C$65,0))-1)+MATCH(B303,{"AM","PM","NIGHT"},0)-1-27+1,DAY(A303))&amp;"",""))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$206,'Feb'!$D$27:$AH$206,'Mar'!$D$27:$AH$206,'Apr'!$D$27:$AH$206,'May'!$D$27:$AH$206,'Jun'!$D$27:$AH$206,'Jul'!$D$27:$AH$206,'Aug'!$D$27:$AH$206,'Sep'!$D$27:$AH$206,'Oct'!$D$27:$AH$206,'Nov'!$D$27:$AH$206,'Dec'!$D$27:$AH$206,'Jan (next year)'!$D$27:$AH$206),27+3*(IFERROR(MATCH(C304,Roster!$B$6:$B$65,0),MATCH(C304,Roster!$C$6:$C$65,0))-1)+MATCH(B304,{"AM","PM","NIGHT"},0)-1-27+1,DAY(A304))&amp;"",""))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$206,'Feb'!$D$27:$AH$206,'Mar'!$D$27:$AH$206,'Apr'!$D$27:$AH$206,'May'!$D$27:$AH$206,'Jun'!$D$27:$AH$206,'Jul'!$D$27:$AH$206,'Aug'!$D$27:$AH$206,'Sep'!$D$27:$AH$206,'Oct'!$D$27:$AH$206,'Nov'!$D$27:$AH$206,'Dec'!$D$27:$AH$206,'Jan (next year)'!$D$27:$AH$206),27+3*(IFERROR(MATCH(C305,Roster!$B$6:$B$65,0),MATCH(C305,Roster!$C$6:$C$65,0))-1)+MATCH(B305,{"AM","PM","NIGHT"},0)-1-27+1,DAY(A305))&amp;"",""))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$206,'Feb'!$D$27:$AH$206,'Mar'!$D$27:$AH$206,'Apr'!$D$27:$AH$206,'May'!$D$27:$AH$206,'Jun'!$D$27:$AH$206,'Jul'!$D$27:$AH$206,'Aug'!$D$27:$AH$206,'Sep'!$D$27:$AH$206,'Oct'!$D$27:$AH$206,'Nov'!$D$27:$AH$206,'Dec'!$D$27:$AH$206,'Jan (next year)'!$D$27:$AH$206),27+3*(IFERROR(MATCH(C306,Roster!$B$6:$B$65,0),MATCH(C306,Roster!$C$6:$C$65,0))-1)+MATCH(B306,{"AM","PM","NIGHT"},0)-1-27+1,DAY(A306))&amp;"",""))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$206,'Feb'!$D$27:$AH$206,'Mar'!$D$27:$AH$206,'Apr'!$D$27:$AH$206,'May'!$D$27:$AH$206,'Jun'!$D$27:$AH$206,'Jul'!$D$27:$AH$206,'Aug'!$D$27:$AH$206,'Sep'!$D$27:$AH$206,'Oct'!$D$27:$AH$206,'Nov'!$D$27:$AH$206,'Dec'!$D$27:$AH$206,'Jan (next year)'!$D$27:$AH$206),27+3*(IFERROR(MATCH(C307,Roster!$B$6:$B$65,0),MATCH(C307,Roster!$C$6:$C$65,0))-1)+MATCH(B307,{"AM","PM","NIGHT"},0)-1-27+1,DAY(A307))&amp;"",""))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$206,'Feb'!$D$27:$AH$206,'Mar'!$D$27:$AH$206,'Apr'!$D$27:$AH$206,'May'!$D$27:$AH$206,'Jun'!$D$27:$AH$206,'Jul'!$D$27:$AH$206,'Aug'!$D$27:$AH$206,'Sep'!$D$27:$AH$206,'Oct'!$D$27:$AH$206,'Nov'!$D$27:$AH$206,'Dec'!$D$27:$AH$206,'Jan (next year)'!$D$27:$AH$206),27+3*(IFERROR(MATCH(C308,Roster!$B$6:$B$65,0),MATCH(C308,Roster!$C$6:$C$65,0))-1)+MATCH(B308,{"AM","PM","NIGHT"},0)-1-27+1,DAY(A308))&amp;"",""))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$206,'Feb'!$D$27:$AH$206,'Mar'!$D$27:$AH$206,'Apr'!$D$27:$AH$206,'May'!$D$27:$AH$206,'Jun'!$D$27:$AH$206,'Jul'!$D$27:$AH$206,'Aug'!$D$27:$AH$206,'Sep'!$D$27:$AH$206,'Oct'!$D$27:$AH$206,'Nov'!$D$27:$AH$206,'Dec'!$D$27:$AH$206,'Jan (next year)'!$D$27:$AH$206),27+3*(IFERROR(MATCH(C309,Roster!$B$6:$B$65,0),MATCH(C309,Roster!$C$6:$C$65,0))-1)+MATCH(B309,{"AM","PM","NIGHT"},0)-1-27+1,DAY(A309))&amp;"",""))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$206,'Feb'!$D$27:$AH$206,'Mar'!$D$27:$AH$206,'Apr'!$D$27:$AH$206,'May'!$D$27:$AH$206,'Jun'!$D$27:$AH$206,'Jul'!$D$27:$AH$206,'Aug'!$D$27:$AH$206,'Sep'!$D$27:$AH$206,'Oct'!$D$27:$AH$206,'Nov'!$D$27:$AH$206,'Dec'!$D$27:$AH$206,'Jan (next year)'!$D$27:$AH$206),27+3*(IFERROR(MATCH(C310,Roster!$B$6:$B$65,0),MATCH(C310,Roster!$C$6:$C$65,0))-1)+MATCH(B310,{"AM","PM","NIGHT"},0)-1-27+1,DAY(A310))&amp;"",""))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$206,'Feb'!$D$27:$AH$206,'Mar'!$D$27:$AH$206,'Apr'!$D$27:$AH$206,'May'!$D$27:$AH$206,'Jun'!$D$27:$AH$206,'Jul'!$D$27:$AH$206,'Aug'!$D$27:$AH$206,'Sep'!$D$27:$AH$206,'Oct'!$D$27:$AH$206,'Nov'!$D$27:$AH$206,'Dec'!$D$27:$AH$206,'Jan (next year)'!$D$27:$AH$206),27+3*(IFERROR(MATCH(C311,Roster!$B$6:$B$65,0),MATCH(C311,Roster!$C$6:$C$65,0))-1)+MATCH(B311,{"AM","PM","NIGHT"},0)-1-27+1,DAY(A311))&amp;"",""))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$206,'Feb'!$D$27:$AH$206,'Mar'!$D$27:$AH$206,'Apr'!$D$27:$AH$206,'May'!$D$27:$AH$206,'Jun'!$D$27:$AH$206,'Jul'!$D$27:$AH$206,'Aug'!$D$27:$AH$206,'Sep'!$D$27:$AH$206,'Oct'!$D$27:$AH$206,'Nov'!$D$27:$AH$206,'Dec'!$D$27:$AH$206,'Jan (next year)'!$D$27:$AH$206),27+3*(IFERROR(MATCH(C312,Roster!$B$6:$B$65,0),MATCH(C312,Roster!$C$6:$C$65,0))-1)+MATCH(B312,{"AM","PM","NIGHT"},0)-1-27+1,DAY(A312))&amp;"",""))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$206,'Feb'!$D$27:$AH$206,'Mar'!$D$27:$AH$206,'Apr'!$D$27:$AH$206,'May'!$D$27:$AH$206,'Jun'!$D$27:$AH$206,'Jul'!$D$27:$AH$206,'Aug'!$D$27:$AH$206,'Sep'!$D$27:$AH$206,'Oct'!$D$27:$AH$206,'Nov'!$D$27:$AH$206,'Dec'!$D$27:$AH$206,'Jan (next year)'!$D$27:$AH$206),27+3*(IFERROR(MATCH(C313,Roster!$B$6:$B$65,0),MATCH(C313,Roster!$C$6:$C$65,0))-1)+MATCH(B313,{"AM","PM","NIGHT"},0)-1-27+1,DAY(A313))&amp;"",""))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$206,'Feb'!$D$27:$AH$206,'Mar'!$D$27:$AH$206,'Apr'!$D$27:$AH$206,'May'!$D$27:$AH$206,'Jun'!$D$27:$AH$206,'Jul'!$D$27:$AH$206,'Aug'!$D$27:$AH$206,'Sep'!$D$27:$AH$206,'Oct'!$D$27:$AH$206,'Nov'!$D$27:$AH$206,'Dec'!$D$27:$AH$206,'Jan (next year)'!$D$27:$AH$206),27+3*(IFERROR(MATCH(C314,Roster!$B$6:$B$65,0),MATCH(C314,Roster!$C$6:$C$65,0))-1)+MATCH(B314,{"AM","PM","NIGHT"},0)-1-27+1,DAY(A314))&amp;"",""))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$206,'Feb'!$D$27:$AH$206,'Mar'!$D$27:$AH$206,'Apr'!$D$27:$AH$206,'May'!$D$27:$AH$206,'Jun'!$D$27:$AH$206,'Jul'!$D$27:$AH$206,'Aug'!$D$27:$AH$206,'Sep'!$D$27:$AH$206,'Oct'!$D$27:$AH$206,'Nov'!$D$27:$AH$206,'Dec'!$D$27:$AH$206,'Jan (next year)'!$D$27:$AH$206),27+3*(IFERROR(MATCH(C315,Roster!$B$6:$B$65,0),MATCH(C315,Roster!$C$6:$C$65,0))-1)+MATCH(B315,{"AM","PM","NIGHT"},0)-1-27+1,DAY(A315))&amp;"",""))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$206,'Feb'!$D$27:$AH$206,'Mar'!$D$27:$AH$206,'Apr'!$D$27:$AH$206,'May'!$D$27:$AH$206,'Jun'!$D$27:$AH$206,'Jul'!$D$27:$AH$206,'Aug'!$D$27:$AH$206,'Sep'!$D$27:$AH$206,'Oct'!$D$27:$AH$206,'Nov'!$D$27:$AH$206,'Dec'!$D$27:$AH$206,'Jan (next year)'!$D$27:$AH$206),27+3*(IFERROR(MATCH(C316,Roster!$B$6:$B$65,0),MATCH(C316,Roster!$C$6:$C$65,0))-1)+MATCH(B316,{"AM","PM","NIGHT"},0)-1-27+1,DAY(A316))&amp;"",""))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$206,'Feb'!$D$27:$AH$206,'Mar'!$D$27:$AH$206,'Apr'!$D$27:$AH$206,'May'!$D$27:$AH$206,'Jun'!$D$27:$AH$206,'Jul'!$D$27:$AH$206,'Aug'!$D$27:$AH$206,'Sep'!$D$27:$AH$206,'Oct'!$D$27:$AH$206,'Nov'!$D$27:$AH$206,'Dec'!$D$27:$AH$206,'Jan (next year)'!$D$27:$AH$206),27+3*(IFERROR(MATCH(C317,Roster!$B$6:$B$65,0),MATCH(C317,Roster!$C$6:$C$65,0))-1)+MATCH(B317,{"AM","PM","NIGHT"},0)-1-27+1,DAY(A317))&amp;"",""))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$206,'Feb'!$D$27:$AH$206,'Mar'!$D$27:$AH$206,'Apr'!$D$27:$AH$206,'May'!$D$27:$AH$206,'Jun'!$D$27:$AH$206,'Jul'!$D$27:$AH$206,'Aug'!$D$27:$AH$206,'Sep'!$D$27:$AH$206,'Oct'!$D$27:$AH$206,'Nov'!$D$27:$AH$206,'Dec'!$D$27:$AH$206,'Jan (next year)'!$D$27:$AH$206),27+3*(IFERROR(MATCH(C318,Roster!$B$6:$B$65,0),MATCH(C318,Roster!$C$6:$C$65,0))-1)+MATCH(B318,{"AM","PM","NIGHT"},0)-1-27+1,DAY(A318))&amp;"",""))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$206,'Feb'!$D$27:$AH$206,'Mar'!$D$27:$AH$206,'Apr'!$D$27:$AH$206,'May'!$D$27:$AH$206,'Jun'!$D$27:$AH$206,'Jul'!$D$27:$AH$206,'Aug'!$D$27:$AH$206,'Sep'!$D$27:$AH$206,'Oct'!$D$27:$AH$206,'Nov'!$D$27:$AH$206,'Dec'!$D$27:$AH$206,'Jan (next year)'!$D$27:$AH$206),27+3*(IFERROR(MATCH(C319,Roster!$B$6:$B$65,0),MATCH(C319,Roster!$C$6:$C$65,0))-1)+MATCH(B319,{"AM","PM","NIGHT"},0)-1-27+1,DAY(A319))&amp;"",""))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$206,'Feb'!$D$27:$AH$206,'Mar'!$D$27:$AH$206,'Apr'!$D$27:$AH$206,'May'!$D$27:$AH$206,'Jun'!$D$27:$AH$206,'Jul'!$D$27:$AH$206,'Aug'!$D$27:$AH$206,'Sep'!$D$27:$AH$206,'Oct'!$D$27:$AH$206,'Nov'!$D$27:$AH$206,'Dec'!$D$27:$AH$206,'Jan (next year)'!$D$27:$AH$206),27+3*(IFERROR(MATCH(C320,Roster!$B$6:$B$65,0),MATCH(C320,Roster!$C$6:$C$65,0))-1)+MATCH(B320,{"AM","PM","NIGHT"},0)-1-27+1,DAY(A320))&amp;"",""))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$206,'Feb'!$D$27:$AH$206,'Mar'!$D$27:$AH$206,'Apr'!$D$27:$AH$206,'May'!$D$27:$AH$206,'Jun'!$D$27:$AH$206,'Jul'!$D$27:$AH$206,'Aug'!$D$27:$AH$206,'Sep'!$D$27:$AH$206,'Oct'!$D$27:$AH$206,'Nov'!$D$27:$AH$206,'Dec'!$D$27:$AH$206,'Jan (next year)'!$D$27:$AH$206),27+3*(IFERROR(MATCH(C321,Roster!$B$6:$B$65,0),MATCH(C321,Roster!$C$6:$C$65,0))-1)+MATCH(B321,{"AM","PM","NIGHT"},0)-1-27+1,DAY(A321))&amp;"",""))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$206,'Feb'!$D$27:$AH$206,'Mar'!$D$27:$AH$206,'Apr'!$D$27:$AH$206,'May'!$D$27:$AH$206,'Jun'!$D$27:$AH$206,'Jul'!$D$27:$AH$206,'Aug'!$D$27:$AH$206,'Sep'!$D$27:$AH$206,'Oct'!$D$27:$AH$206,'Nov'!$D$27:$AH$206,'Dec'!$D$27:$AH$206,'Jan (next year)'!$D$27:$AH$206),27+3*(IFERROR(MATCH(C322,Roster!$B$6:$B$65,0),MATCH(C322,Roster!$C$6:$C$65,0))-1)+MATCH(B322,{"AM","PM","NIGHT"},0)-1-27+1,DAY(A322))&amp;"",""))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$206,'Feb'!$D$27:$AH$206,'Mar'!$D$27:$AH$206,'Apr'!$D$27:$AH$206,'May'!$D$27:$AH$206,'Jun'!$D$27:$AH$206,'Jul'!$D$27:$AH$206,'Aug'!$D$27:$AH$206,'Sep'!$D$27:$AH$206,'Oct'!$D$27:$AH$206,'Nov'!$D$27:$AH$206,'Dec'!$D$27:$AH$206,'Jan (next year)'!$D$27:$AH$206),27+3*(IFERROR(MATCH(C323,Roster!$B$6:$B$65,0),MATCH(C323,Roster!$C$6:$C$65,0))-1)+MATCH(B323,{"AM","PM","NIGHT"},0)-1-27+1,DAY(A323))&amp;"",""))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$206,'Feb'!$D$27:$AH$206,'Mar'!$D$27:$AH$206,'Apr'!$D$27:$AH$206,'May'!$D$27:$AH$206,'Jun'!$D$27:$AH$206,'Jul'!$D$27:$AH$206,'Aug'!$D$27:$AH$206,'Sep'!$D$27:$AH$206,'Oct'!$D$27:$AH$206,'Nov'!$D$27:$AH$206,'Dec'!$D$27:$AH$206,'Jan (next year)'!$D$27:$AH$206),27+3*(IFERROR(MATCH(C324,Roster!$B$6:$B$65,0),MATCH(C324,Roster!$C$6:$C$65,0))-1)+MATCH(B324,{"AM","PM","NIGHT"},0)-1-27+1,DAY(A324))&amp;"",""))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$206,'Feb'!$D$27:$AH$206,'Mar'!$D$27:$AH$206,'Apr'!$D$27:$AH$206,'May'!$D$27:$AH$206,'Jun'!$D$27:$AH$206,'Jul'!$D$27:$AH$206,'Aug'!$D$27:$AH$206,'Sep'!$D$27:$AH$206,'Oct'!$D$27:$AH$206,'Nov'!$D$27:$AH$206,'Dec'!$D$27:$AH$206,'Jan (next year)'!$D$27:$AH$206),27+3*(IFERROR(MATCH(C325,Roster!$B$6:$B$65,0),MATCH(C325,Roster!$C$6:$C$65,0))-1)+MATCH(B325,{"AM","PM","NIGHT"},0)-1-27+1,DAY(A325))&amp;"",""))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$206,'Feb'!$D$27:$AH$206,'Mar'!$D$27:$AH$206,'Apr'!$D$27:$AH$206,'May'!$D$27:$AH$206,'Jun'!$D$27:$AH$206,'Jul'!$D$27:$AH$206,'Aug'!$D$27:$AH$206,'Sep'!$D$27:$AH$206,'Oct'!$D$27:$AH$206,'Nov'!$D$27:$AH$206,'Dec'!$D$27:$AH$206,'Jan (next year)'!$D$27:$AH$206),27+3*(IFERROR(MATCH(C326,Roster!$B$6:$B$65,0),MATCH(C326,Roster!$C$6:$C$65,0))-1)+MATCH(B326,{"AM","PM","NIGHT"},0)-1-27+1,DAY(A326))&amp;"",""))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$206,'Feb'!$D$27:$AH$206,'Mar'!$D$27:$AH$206,'Apr'!$D$27:$AH$206,'May'!$D$27:$AH$206,'Jun'!$D$27:$AH$206,'Jul'!$D$27:$AH$206,'Aug'!$D$27:$AH$206,'Sep'!$D$27:$AH$206,'Oct'!$D$27:$AH$206,'Nov'!$D$27:$AH$206,'Dec'!$D$27:$AH$206,'Jan (next year)'!$D$27:$AH$206),27+3*(IFERROR(MATCH(C327,Roster!$B$6:$B$65,0),MATCH(C327,Roster!$C$6:$C$65,0))-1)+MATCH(B327,{"AM","PM","NIGHT"},0)-1-27+1,DAY(A327))&amp;"",""))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$206,'Feb'!$D$27:$AH$206,'Mar'!$D$27:$AH$206,'Apr'!$D$27:$AH$206,'May'!$D$27:$AH$206,'Jun'!$D$27:$AH$206,'Jul'!$D$27:$AH$206,'Aug'!$D$27:$AH$206,'Sep'!$D$27:$AH$206,'Oct'!$D$27:$AH$206,'Nov'!$D$27:$AH$206,'Dec'!$D$27:$AH$206,'Jan (next year)'!$D$27:$AH$206),27+3*(IFERROR(MATCH(C328,Roster!$B$6:$B$65,0),MATCH(C328,Roster!$C$6:$C$65,0))-1)+MATCH(B328,{"AM","PM","NIGHT"},0)-1-27+1,DAY(A328))&amp;"",""))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$206,'Feb'!$D$27:$AH$206,'Mar'!$D$27:$AH$206,'Apr'!$D$27:$AH$206,'May'!$D$27:$AH$206,'Jun'!$D$27:$AH$206,'Jul'!$D$27:$AH$206,'Aug'!$D$27:$AH$206,'Sep'!$D$27:$AH$206,'Oct'!$D$27:$AH$206,'Nov'!$D$27:$AH$206,'Dec'!$D$27:$AH$206,'Jan (next year)'!$D$27:$AH$206),27+3*(IFERROR(MATCH(C329,Roster!$B$6:$B$65,0),MATCH(C329,Roster!$C$6:$C$65,0))-1)+MATCH(B329,{"AM","PM","NIGHT"},0)-1-27+1,DAY(A329))&amp;"",""))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$206,'Feb'!$D$27:$AH$206,'Mar'!$D$27:$AH$206,'Apr'!$D$27:$AH$206,'May'!$D$27:$AH$206,'Jun'!$D$27:$AH$206,'Jul'!$D$27:$AH$206,'Aug'!$D$27:$AH$206,'Sep'!$D$27:$AH$206,'Oct'!$D$27:$AH$206,'Nov'!$D$27:$AH$206,'Dec'!$D$27:$AH$206,'Jan (next year)'!$D$27:$AH$206),27+3*(IFERROR(MATCH(C330,Roster!$B$6:$B$65,0),MATCH(C330,Roster!$C$6:$C$65,0))-1)+MATCH(B330,{"AM","PM","NIGHT"},0)-1-27+1,DAY(A330))&amp;"",""))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$206,'Feb'!$D$27:$AH$206,'Mar'!$D$27:$AH$206,'Apr'!$D$27:$AH$206,'May'!$D$27:$AH$206,'Jun'!$D$27:$AH$206,'Jul'!$D$27:$AH$206,'Aug'!$D$27:$AH$206,'Sep'!$D$27:$AH$206,'Oct'!$D$27:$AH$206,'Nov'!$D$27:$AH$206,'Dec'!$D$27:$AH$206,'Jan (next year)'!$D$27:$AH$206),27+3*(IFERROR(MATCH(C331,Roster!$B$6:$B$65,0),MATCH(C331,Roster!$C$6:$C$65,0))-1)+MATCH(B331,{"AM","PM","NIGHT"},0)-1-27+1,DAY(A331))&amp;"",""))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$206,'Feb'!$D$27:$AH$206,'Mar'!$D$27:$AH$206,'Apr'!$D$27:$AH$206,'May'!$D$27:$AH$206,'Jun'!$D$27:$AH$206,'Jul'!$D$27:$AH$206,'Aug'!$D$27:$AH$206,'Sep'!$D$27:$AH$206,'Oct'!$D$27:$AH$206,'Nov'!$D$27:$AH$206,'Dec'!$D$27:$AH$206,'Jan (next year)'!$D$27:$AH$206),27+3*(IFERROR(MATCH(C332,Roster!$B$6:$B$65,0),MATCH(C332,Roster!$C$6:$C$65,0))-1)+MATCH(B332,{"AM","PM","NIGHT"},0)-1-27+1,DAY(A332))&amp;"",""))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$206,'Feb'!$D$27:$AH$206,'Mar'!$D$27:$AH$206,'Apr'!$D$27:$AH$206,'May'!$D$27:$AH$206,'Jun'!$D$27:$AH$206,'Jul'!$D$27:$AH$206,'Aug'!$D$27:$AH$206,'Sep'!$D$27:$AH$206,'Oct'!$D$27:$AH$206,'Nov'!$D$27:$AH$206,'Dec'!$D$27:$AH$206,'Jan (next year)'!$D$27:$AH$206),27+3*(IFERROR(MATCH(C333,Roster!$B$6:$B$65,0),MATCH(C333,Roster!$C$6:$C$65,0))-1)+MATCH(B333,{"AM","PM","NIGHT"},0)-1-27+1,DAY(A333))&amp;"",""))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$206,'Feb'!$D$27:$AH$206,'Mar'!$D$27:$AH$206,'Apr'!$D$27:$AH$206,'May'!$D$27:$AH$206,'Jun'!$D$27:$AH$206,'Jul'!$D$27:$AH$206,'Aug'!$D$27:$AH$206,'Sep'!$D$27:$AH$206,'Oct'!$D$27:$AH$206,'Nov'!$D$27:$AH$206,'Dec'!$D$27:$AH$206,'Jan (next year)'!$D$27:$AH$206),27+3*(IFERROR(MATCH(C334,Roster!$B$6:$B$65,0),MATCH(C334,Roster!$C$6:$C$65,0))-1)+MATCH(B334,{"AM","PM","NIGHT"},0)-1-27+1,DAY(A334))&amp;"",""))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$206,'Feb'!$D$27:$AH$206,'Mar'!$D$27:$AH$206,'Apr'!$D$27:$AH$206,'May'!$D$27:$AH$206,'Jun'!$D$27:$AH$206,'Jul'!$D$27:$AH$206,'Aug'!$D$27:$AH$206,'Sep'!$D$27:$AH$206,'Oct'!$D$27:$AH$206,'Nov'!$D$27:$AH$206,'Dec'!$D$27:$AH$206,'Jan (next year)'!$D$27:$AH$206),27+3*(IFERROR(MATCH(C335,Roster!$B$6:$B$65,0),MATCH(C335,Roster!$C$6:$C$65,0))-1)+MATCH(B335,{"AM","PM","NIGHT"},0)-1-27+1,DAY(A335))&amp;"",""))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$206,'Feb'!$D$27:$AH$206,'Mar'!$D$27:$AH$206,'Apr'!$D$27:$AH$206,'May'!$D$27:$AH$206,'Jun'!$D$27:$AH$206,'Jul'!$D$27:$AH$206,'Aug'!$D$27:$AH$206,'Sep'!$D$27:$AH$206,'Oct'!$D$27:$AH$206,'Nov'!$D$27:$AH$206,'Dec'!$D$27:$AH$206,'Jan (next year)'!$D$27:$AH$206),27+3*(IFERROR(MATCH(C336,Roster!$B$6:$B$65,0),MATCH(C336,Roster!$C$6:$C$65,0))-1)+MATCH(B336,{"AM","PM","NIGHT"},0)-1-27+1,DAY(A336))&amp;"",""))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$206,'Feb'!$D$27:$AH$206,'Mar'!$D$27:$AH$206,'Apr'!$D$27:$AH$206,'May'!$D$27:$AH$206,'Jun'!$D$27:$AH$206,'Jul'!$D$27:$AH$206,'Aug'!$D$27:$AH$206,'Sep'!$D$27:$AH$206,'Oct'!$D$27:$AH$206,'Nov'!$D$27:$AH$206,'Dec'!$D$27:$AH$206,'Jan (next year)'!$D$27:$AH$206),27+3*(IFERROR(MATCH(C337,Roster!$B$6:$B$65,0),MATCH(C337,Roster!$C$6:$C$65,0))-1)+MATCH(B337,{"AM","PM","NIGHT"},0)-1-27+1,DAY(A337))&amp;"",""))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$206,'Feb'!$D$27:$AH$206,'Mar'!$D$27:$AH$206,'Apr'!$D$27:$AH$206,'May'!$D$27:$AH$206,'Jun'!$D$27:$AH$206,'Jul'!$D$27:$AH$206,'Aug'!$D$27:$AH$206,'Sep'!$D$27:$AH$206,'Oct'!$D$27:$AH$206,'Nov'!$D$27:$AH$206,'Dec'!$D$27:$AH$206,'Jan (next year)'!$D$27:$AH$206),27+3*(IFERROR(MATCH(C338,Roster!$B$6:$B$65,0),MATCH(C338,Roster!$C$6:$C$65,0))-1)+MATCH(B338,{"AM","PM","NIGHT"},0)-1-27+1,DAY(A338))&amp;"",""))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$206,'Feb'!$D$27:$AH$206,'Mar'!$D$27:$AH$206,'Apr'!$D$27:$AH$206,'May'!$D$27:$AH$206,'Jun'!$D$27:$AH$206,'Jul'!$D$27:$AH$206,'Aug'!$D$27:$AH$206,'Sep'!$D$27:$AH$206,'Oct'!$D$27:$AH$206,'Nov'!$D$27:$AH$206,'Dec'!$D$27:$AH$206,'Jan (next year)'!$D$27:$AH$206),27+3*(IFERROR(MATCH(C339,Roster!$B$6:$B$65,0),MATCH(C339,Roster!$C$6:$C$65,0))-1)+MATCH(B339,{"AM","PM","NIGHT"},0)-1-27+1,DAY(A339))&amp;"",""))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$206,'Feb'!$D$27:$AH$206,'Mar'!$D$27:$AH$206,'Apr'!$D$27:$AH$206,'May'!$D$27:$AH$206,'Jun'!$D$27:$AH$206,'Jul'!$D$27:$AH$206,'Aug'!$D$27:$AH$206,'Sep'!$D$27:$AH$206,'Oct'!$D$27:$AH$206,'Nov'!$D$27:$AH$206,'Dec'!$D$27:$AH$206,'Jan (next year)'!$D$27:$AH$206),27+3*(IFERROR(MATCH(C340,Roster!$B$6:$B$65,0),MATCH(C340,Roster!$C$6:$C$65,0))-1)+MATCH(B340,{"AM","PM","NIGHT"},0)-1-27+1,DAY(A340))&amp;"",""))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$206,'Feb'!$D$27:$AH$206,'Mar'!$D$27:$AH$206,'Apr'!$D$27:$AH$206,'May'!$D$27:$AH$206,'Jun'!$D$27:$AH$206,'Jul'!$D$27:$AH$206,'Aug'!$D$27:$AH$206,'Sep'!$D$27:$AH$206,'Oct'!$D$27:$AH$206,'Nov'!$D$27:$AH$206,'Dec'!$D$27:$AH$206,'Jan (next year)'!$D$27:$AH$206),27+3*(IFERROR(MATCH(C341,Roster!$B$6:$B$65,0),MATCH(C341,Roster!$C$6:$C$65,0))-1)+MATCH(B341,{"AM","PM","NIGHT"},0)-1-27+1,DAY(A341))&amp;"",""))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$206,'Feb'!$D$27:$AH$206,'Mar'!$D$27:$AH$206,'Apr'!$D$27:$AH$206,'May'!$D$27:$AH$206,'Jun'!$D$27:$AH$206,'Jul'!$D$27:$AH$206,'Aug'!$D$27:$AH$206,'Sep'!$D$27:$AH$206,'Oct'!$D$27:$AH$206,'Nov'!$D$27:$AH$206,'Dec'!$D$27:$AH$206,'Jan (next year)'!$D$27:$AH$206),27+3*(IFERROR(MATCH(C342,Roster!$B$6:$B$65,0),MATCH(C342,Roster!$C$6:$C$65,0))-1)+MATCH(B342,{"AM","PM","NIGHT"},0)-1-27+1,DAY(A342))&amp;"",""))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$206,'Feb'!$D$27:$AH$206,'Mar'!$D$27:$AH$206,'Apr'!$D$27:$AH$206,'May'!$D$27:$AH$206,'Jun'!$D$27:$AH$206,'Jul'!$D$27:$AH$206,'Aug'!$D$27:$AH$206,'Sep'!$D$27:$AH$206,'Oct'!$D$27:$AH$206,'Nov'!$D$27:$AH$206,'Dec'!$D$27:$AH$206,'Jan (next year)'!$D$27:$AH$206),27+3*(IFERROR(MATCH(C343,Roster!$B$6:$B$65,0),MATCH(C343,Roster!$C$6:$C$65,0))-1)+MATCH(B343,{"AM","PM","NIGHT"},0)-1-27+1,DAY(A343))&amp;"",""))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$206,'Feb'!$D$27:$AH$206,'Mar'!$D$27:$AH$206,'Apr'!$D$27:$AH$206,'May'!$D$27:$AH$206,'Jun'!$D$27:$AH$206,'Jul'!$D$27:$AH$206,'Aug'!$D$27:$AH$206,'Sep'!$D$27:$AH$206,'Oct'!$D$27:$AH$206,'Nov'!$D$27:$AH$206,'Dec'!$D$27:$AH$206,'Jan (next year)'!$D$27:$AH$206),27+3*(IFERROR(MATCH(C344,Roster!$B$6:$B$65,0),MATCH(C344,Roster!$C$6:$C$65,0))-1)+MATCH(B344,{"AM","PM","NIGHT"},0)-1-27+1,DAY(A344))&amp;"",""))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$206,'Feb'!$D$27:$AH$206,'Mar'!$D$27:$AH$206,'Apr'!$D$27:$AH$206,'May'!$D$27:$AH$206,'Jun'!$D$27:$AH$206,'Jul'!$D$27:$AH$206,'Aug'!$D$27:$AH$206,'Sep'!$D$27:$AH$206,'Oct'!$D$27:$AH$206,'Nov'!$D$27:$AH$206,'Dec'!$D$27:$AH$206,'Jan (next year)'!$D$27:$AH$206),27+3*(IFERROR(MATCH(C345,Roster!$B$6:$B$65,0),MATCH(C345,Roster!$C$6:$C$65,0))-1)+MATCH(B345,{"AM","PM","NIGHT"},0)-1-27+1,DAY(A345))&amp;"",""))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$206,'Feb'!$D$27:$AH$206,'Mar'!$D$27:$AH$206,'Apr'!$D$27:$AH$206,'May'!$D$27:$AH$206,'Jun'!$D$27:$AH$206,'Jul'!$D$27:$AH$206,'Aug'!$D$27:$AH$206,'Sep'!$D$27:$AH$206,'Oct'!$D$27:$AH$206,'Nov'!$D$27:$AH$206,'Dec'!$D$27:$AH$206,'Jan (next year)'!$D$27:$AH$206),27+3*(IFERROR(MATCH(C346,Roster!$B$6:$B$65,0),MATCH(C346,Roster!$C$6:$C$65,0))-1)+MATCH(B346,{"AM","PM","NIGHT"},0)-1-27+1,DAY(A346))&amp;"",""))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$206,'Feb'!$D$27:$AH$206,'Mar'!$D$27:$AH$206,'Apr'!$D$27:$AH$206,'May'!$D$27:$AH$206,'Jun'!$D$27:$AH$206,'Jul'!$D$27:$AH$206,'Aug'!$D$27:$AH$206,'Sep'!$D$27:$AH$206,'Oct'!$D$27:$AH$206,'Nov'!$D$27:$AH$206,'Dec'!$D$27:$AH$206,'Jan (next year)'!$D$27:$AH$206),27+3*(IFERROR(MATCH(C347,Roster!$B$6:$B$65,0),MATCH(C347,Roster!$C$6:$C$65,0))-1)+MATCH(B347,{"AM","PM","NIGHT"},0)-1-27+1,DAY(A347))&amp;"",""))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$206,'Feb'!$D$27:$AH$206,'Mar'!$D$27:$AH$206,'Apr'!$D$27:$AH$206,'May'!$D$27:$AH$206,'Jun'!$D$27:$AH$206,'Jul'!$D$27:$AH$206,'Aug'!$D$27:$AH$206,'Sep'!$D$27:$AH$206,'Oct'!$D$27:$AH$206,'Nov'!$D$27:$AH$206,'Dec'!$D$27:$AH$206,'Jan (next year)'!$D$27:$AH$206),27+3*(IFERROR(MATCH(C348,Roster!$B$6:$B$65,0),MATCH(C348,Roster!$C$6:$C$65,0))-1)+MATCH(B348,{"AM","PM","NIGHT"},0)-1-27+1,DAY(A348))&amp;"",""))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$206,'Feb'!$D$27:$AH$206,'Mar'!$D$27:$AH$206,'Apr'!$D$27:$AH$206,'May'!$D$27:$AH$206,'Jun'!$D$27:$AH$206,'Jul'!$D$27:$AH$206,'Aug'!$D$27:$AH$206,'Sep'!$D$27:$AH$206,'Oct'!$D$27:$AH$206,'Nov'!$D$27:$AH$206,'Dec'!$D$27:$AH$206,'Jan (next year)'!$D$27:$AH$206),27+3*(IFERROR(MATCH(C349,Roster!$B$6:$B$65,0),MATCH(C349,Roster!$C$6:$C$65,0))-1)+MATCH(B349,{"AM","PM","NIGHT"},0)-1-27+1,DAY(A349))&amp;"",""))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$206,'Feb'!$D$27:$AH$206,'Mar'!$D$27:$AH$206,'Apr'!$D$27:$AH$206,'May'!$D$27:$AH$206,'Jun'!$D$27:$AH$206,'Jul'!$D$27:$AH$206,'Aug'!$D$27:$AH$206,'Sep'!$D$27:$AH$206,'Oct'!$D$27:$AH$206,'Nov'!$D$27:$AH$206,'Dec'!$D$27:$AH$206,'Jan (next year)'!$D$27:$AH$206),27+3*(IFERROR(MATCH(C350,Roster!$B$6:$B$65,0),MATCH(C350,Roster!$C$6:$C$65,0))-1)+MATCH(B350,{"AM","PM","NIGHT"},0)-1-27+1,DAY(A350))&amp;"",""))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$206,'Feb'!$D$27:$AH$206,'Mar'!$D$27:$AH$206,'Apr'!$D$27:$AH$206,'May'!$D$27:$AH$206,'Jun'!$D$27:$AH$206,'Jul'!$D$27:$AH$206,'Aug'!$D$27:$AH$206,'Sep'!$D$27:$AH$206,'Oct'!$D$27:$AH$206,'Nov'!$D$27:$AH$206,'Dec'!$D$27:$AH$206,'Jan (next year)'!$D$27:$AH$206),27+3*(IFERROR(MATCH(C351,Roster!$B$6:$B$65,0),MATCH(C351,Roster!$C$6:$C$65,0))-1)+MATCH(B351,{"AM","PM","NIGHT"},0)-1-27+1,DAY(A351))&amp;"",""))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$206,'Feb'!$D$27:$AH$206,'Mar'!$D$27:$AH$206,'Apr'!$D$27:$AH$206,'May'!$D$27:$AH$206,'Jun'!$D$27:$AH$206,'Jul'!$D$27:$AH$206,'Aug'!$D$27:$AH$206,'Sep'!$D$27:$AH$206,'Oct'!$D$27:$AH$206,'Nov'!$D$27:$AH$206,'Dec'!$D$27:$AH$206,'Jan (next year)'!$D$27:$AH$206),27+3*(IFERROR(MATCH(C352,Roster!$B$6:$B$65,0),MATCH(C352,Roster!$C$6:$C$65,0))-1)+MATCH(B352,{"AM","PM","NIGHT"},0)-1-27+1,DAY(A352))&amp;"",""))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$206,'Feb'!$D$27:$AH$206,'Mar'!$D$27:$AH$206,'Apr'!$D$27:$AH$206,'May'!$D$27:$AH$206,'Jun'!$D$27:$AH$206,'Jul'!$D$27:$AH$206,'Aug'!$D$27:$AH$206,'Sep'!$D$27:$AH$206,'Oct'!$D$27:$AH$206,'Nov'!$D$27:$AH$206,'Dec'!$D$27:$AH$206,'Jan (next year)'!$D$27:$AH$206),27+3*(IFERROR(MATCH(C353,Roster!$B$6:$B$65,0),MATCH(C353,Roster!$C$6:$C$65,0))-1)+MATCH(B353,{"AM","PM","NIGHT"},0)-1-27+1,DAY(A353))&amp;"",""))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$206,'Feb'!$D$27:$AH$206,'Mar'!$D$27:$AH$206,'Apr'!$D$27:$AH$206,'May'!$D$27:$AH$206,'Jun'!$D$27:$AH$206,'Jul'!$D$27:$AH$206,'Aug'!$D$27:$AH$206,'Sep'!$D$27:$AH$206,'Oct'!$D$27:$AH$206,'Nov'!$D$27:$AH$206,'Dec'!$D$27:$AH$206,'Jan (next year)'!$D$27:$AH$206),27+3*(IFERROR(MATCH(C354,Roster!$B$6:$B$65,0),MATCH(C354,Roster!$C$6:$C$65,0))-1)+MATCH(B354,{"AM","PM","NIGHT"},0)-1-27+1,DAY(A354))&amp;"",""))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$206,'Feb'!$D$27:$AH$206,'Mar'!$D$27:$AH$206,'Apr'!$D$27:$AH$206,'May'!$D$27:$AH$206,'Jun'!$D$27:$AH$206,'Jul'!$D$27:$AH$206,'Aug'!$D$27:$AH$206,'Sep'!$D$27:$AH$206,'Oct'!$D$27:$AH$206,'Nov'!$D$27:$AH$206,'Dec'!$D$27:$AH$206,'Jan (next year)'!$D$27:$AH$206),27+3*(IFERROR(MATCH(C355,Roster!$B$6:$B$65,0),MATCH(C355,Roster!$C$6:$C$65,0))-1)+MATCH(B355,{"AM","PM","NIGHT"},0)-1-27+1,DAY(A355))&amp;"",""))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$206,'Feb'!$D$27:$AH$206,'Mar'!$D$27:$AH$206,'Apr'!$D$27:$AH$206,'May'!$D$27:$AH$206,'Jun'!$D$27:$AH$206,'Jul'!$D$27:$AH$206,'Aug'!$D$27:$AH$206,'Sep'!$D$27:$AH$206,'Oct'!$D$27:$AH$206,'Nov'!$D$27:$AH$206,'Dec'!$D$27:$AH$206,'Jan (next year)'!$D$27:$AH$206),27+3*(IFERROR(MATCH(C356,Roster!$B$6:$B$65,0),MATCH(C356,Roster!$C$6:$C$65,0))-1)+MATCH(B356,{"AM","PM","NIGHT"},0)-1-27+1,DAY(A356))&amp;"",""))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$206,'Feb'!$D$27:$AH$206,'Mar'!$D$27:$AH$206,'Apr'!$D$27:$AH$206,'May'!$D$27:$AH$206,'Jun'!$D$27:$AH$206,'Jul'!$D$27:$AH$206,'Aug'!$D$27:$AH$206,'Sep'!$D$27:$AH$206,'Oct'!$D$27:$AH$206,'Nov'!$D$27:$AH$206,'Dec'!$D$27:$AH$206,'Jan (next year)'!$D$27:$AH$206),27+3*(IFERROR(MATCH(C357,Roster!$B$6:$B$65,0),MATCH(C357,Roster!$C$6:$C$65,0))-1)+MATCH(B357,{"AM","PM","NIGHT"},0)-1-27+1,DAY(A357))&amp;"",""))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$206,'Feb'!$D$27:$AH$206,'Mar'!$D$27:$AH$206,'Apr'!$D$27:$AH$206,'May'!$D$27:$AH$206,'Jun'!$D$27:$AH$206,'Jul'!$D$27:$AH$206,'Aug'!$D$27:$AH$206,'Sep'!$D$27:$AH$206,'Oct'!$D$27:$AH$206,'Nov'!$D$27:$AH$206,'Dec'!$D$27:$AH$206,'Jan (next year)'!$D$27:$AH$206),27+3*(IFERROR(MATCH(C358,Roster!$B$6:$B$65,0),MATCH(C358,Roster!$C$6:$C$65,0))-1)+MATCH(B358,{"AM","PM","NIGHT"},0)-1-27+1,DAY(A358))&amp;"",""))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$206,'Feb'!$D$27:$AH$206,'Mar'!$D$27:$AH$206,'Apr'!$D$27:$AH$206,'May'!$D$27:$AH$206,'Jun'!$D$27:$AH$206,'Jul'!$D$27:$AH$206,'Aug'!$D$27:$AH$206,'Sep'!$D$27:$AH$206,'Oct'!$D$27:$AH$206,'Nov'!$D$27:$AH$206,'Dec'!$D$27:$AH$206,'Jan (next year)'!$D$27:$AH$206),27+3*(IFERROR(MATCH(C359,Roster!$B$6:$B$65,0),MATCH(C359,Roster!$C$6:$C$65,0))-1)+MATCH(B359,{"AM","PM","NIGHT"},0)-1-27+1,DAY(A359))&amp;"",""))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$206,'Feb'!$D$27:$AH$206,'Mar'!$D$27:$AH$206,'Apr'!$D$27:$AH$206,'May'!$D$27:$AH$206,'Jun'!$D$27:$AH$206,'Jul'!$D$27:$AH$206,'Aug'!$D$27:$AH$206,'Sep'!$D$27:$AH$206,'Oct'!$D$27:$AH$206,'Nov'!$D$27:$AH$206,'Dec'!$D$27:$AH$206,'Jan (next year)'!$D$27:$AH$206),27+3*(IFERROR(MATCH(C360,Roster!$B$6:$B$65,0),MATCH(C360,Roster!$C$6:$C$65,0))-1)+MATCH(B360,{"AM","PM","NIGHT"},0)-1-27+1,DAY(A360))&amp;"",""))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$206,'Feb'!$D$27:$AH$206,'Mar'!$D$27:$AH$206,'Apr'!$D$27:$AH$206,'May'!$D$27:$AH$206,'Jun'!$D$27:$AH$206,'Jul'!$D$27:$AH$206,'Aug'!$D$27:$AH$206,'Sep'!$D$27:$AH$206,'Oct'!$D$27:$AH$206,'Nov'!$D$27:$AH$206,'Dec'!$D$27:$AH$206,'Jan (next year)'!$D$27:$AH$206),27+3*(IFERROR(MATCH(C361,Roster!$B$6:$B$65,0),MATCH(C361,Roster!$C$6:$C$65,0))-1)+MATCH(B361,{"AM","PM","NIGHT"},0)-1-27+1,DAY(A361))&amp;"",""))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$206,'Feb'!$D$27:$AH$206,'Mar'!$D$27:$AH$206,'Apr'!$D$27:$AH$206,'May'!$D$27:$AH$206,'Jun'!$D$27:$AH$206,'Jul'!$D$27:$AH$206,'Aug'!$D$27:$AH$206,'Sep'!$D$27:$AH$206,'Oct'!$D$27:$AH$206,'Nov'!$D$27:$AH$206,'Dec'!$D$27:$AH$206,'Jan (next year)'!$D$27:$AH$206),27+3*(IFERROR(MATCH(C362,Roster!$B$6:$B$65,0),MATCH(C362,Roster!$C$6:$C$65,0))-1)+MATCH(B362,{"AM","PM","NIGHT"},0)-1-27+1,DAY(A362))&amp;"",""))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$206,'Feb'!$D$27:$AH$206,'Mar'!$D$27:$AH$206,'Apr'!$D$27:$AH$206,'May'!$D$27:$AH$206,'Jun'!$D$27:$AH$206,'Jul'!$D$27:$AH$206,'Aug'!$D$27:$AH$206,'Sep'!$D$27:$AH$206,'Oct'!$D$27:$AH$206,'Nov'!$D$27:$AH$206,'Dec'!$D$27:$AH$206,'Jan (next year)'!$D$27:$AH$206),27+3*(IFERROR(MATCH(C363,Roster!$B$6:$B$65,0),MATCH(C363,Roster!$C$6:$C$65,0))-1)+MATCH(B363,{"AM","PM","NIGHT"},0)-1-27+1,DAY(A363))&amp;"",""))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$206,'Feb'!$D$27:$AH$206,'Mar'!$D$27:$AH$206,'Apr'!$D$27:$AH$206,'May'!$D$27:$AH$206,'Jun'!$D$27:$AH$206,'Jul'!$D$27:$AH$206,'Aug'!$D$27:$AH$206,'Sep'!$D$27:$AH$206,'Oct'!$D$27:$AH$206,'Nov'!$D$27:$AH$206,'Dec'!$D$27:$AH$206,'Jan (next year)'!$D$27:$AH$206),27+3*(IFERROR(MATCH(C364,Roster!$B$6:$B$65,0),MATCH(C364,Roster!$C$6:$C$65,0))-1)+MATCH(B364,{"AM","PM","NIGHT"},0)-1-27+1,DAY(A364))&amp;"",""))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$206,'Feb'!$D$27:$AH$206,'Mar'!$D$27:$AH$206,'Apr'!$D$27:$AH$206,'May'!$D$27:$AH$206,'Jun'!$D$27:$AH$206,'Jul'!$D$27:$AH$206,'Aug'!$D$27:$AH$206,'Sep'!$D$27:$AH$206,'Oct'!$D$27:$AH$206,'Nov'!$D$27:$AH$206,'Dec'!$D$27:$AH$206,'Jan (next year)'!$D$27:$AH$206),27+3*(IFERROR(MATCH(C365,Roster!$B$6:$B$65,0),MATCH(C365,Roster!$C$6:$C$65,0))-1)+MATCH(B365,{"AM","PM","NIGHT"},0)-1-27+1,DAY(A365))&amp;"",""))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$206,'Feb'!$D$27:$AH$206,'Mar'!$D$27:$AH$206,'Apr'!$D$27:$AH$206,'May'!$D$27:$AH$206,'Jun'!$D$27:$AH$206,'Jul'!$D$27:$AH$206,'Aug'!$D$27:$AH$206,'Sep'!$D$27:$AH$206,'Oct'!$D$27:$AH$206,'Nov'!$D$27:$AH$206,'Dec'!$D$27:$AH$206,'Jan (next year)'!$D$27:$AH$206),27+3*(IFERROR(MATCH(C366,Roster!$B$6:$B$65,0),MATCH(C366,Roster!$C$6:$C$65,0))-1)+MATCH(B366,{"AM","PM","NIGHT"},0)-1-27+1,DAY(A366))&amp;"",""))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$206,'Feb'!$D$27:$AH$206,'Mar'!$D$27:$AH$206,'Apr'!$D$27:$AH$206,'May'!$D$27:$AH$206,'Jun'!$D$27:$AH$206,'Jul'!$D$27:$AH$206,'Aug'!$D$27:$AH$206,'Sep'!$D$27:$AH$206,'Oct'!$D$27:$AH$206,'Nov'!$D$27:$AH$206,'Dec'!$D$27:$AH$206,'Jan (next year)'!$D$27:$AH$206),27+3*(IFERROR(MATCH(C367,Roster!$B$6:$B$65,0),MATCH(C367,Roster!$C$6:$C$65,0))-1)+MATCH(B367,{"AM","PM","NIGHT"},0)-1-27+1,DAY(A367))&amp;"",""))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$206,'Feb'!$D$27:$AH$206,'Mar'!$D$27:$AH$206,'Apr'!$D$27:$AH$206,'May'!$D$27:$AH$206,'Jun'!$D$27:$AH$206,'Jul'!$D$27:$AH$206,'Aug'!$D$27:$AH$206,'Sep'!$D$27:$AH$206,'Oct'!$D$27:$AH$206,'Nov'!$D$27:$AH$206,'Dec'!$D$27:$AH$206,'Jan (next year)'!$D$27:$AH$206),27+3*(IFERROR(MATCH(C368,Roster!$B$6:$B$65,0),MATCH(C368,Roster!$C$6:$C$65,0))-1)+MATCH(B368,{"AM","PM","NIGHT"},0)-1-27+1,DAY(A368))&amp;"",""))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$206,'Feb'!$D$27:$AH$206,'Mar'!$D$27:$AH$206,'Apr'!$D$27:$AH$206,'May'!$D$27:$AH$206,'Jun'!$D$27:$AH$206,'Jul'!$D$27:$AH$206,'Aug'!$D$27:$AH$206,'Sep'!$D$27:$AH$206,'Oct'!$D$27:$AH$206,'Nov'!$D$27:$AH$206,'Dec'!$D$27:$AH$206,'Jan (next year)'!$D$27:$AH$206),27+3*(IFERROR(MATCH(C369,Roster!$B$6:$B$65,0),MATCH(C369,Roster!$C$6:$C$65,0))-1)+MATCH(B369,{"AM","PM","NIGHT"},0)-1-27+1,DAY(A369))&amp;"",""))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$206,'Feb'!$D$27:$AH$206,'Mar'!$D$27:$AH$206,'Apr'!$D$27:$AH$206,'May'!$D$27:$AH$206,'Jun'!$D$27:$AH$206,'Jul'!$D$27:$AH$206,'Aug'!$D$27:$AH$206,'Sep'!$D$27:$AH$206,'Oct'!$D$27:$AH$206,'Nov'!$D$27:$AH$206,'Dec'!$D$27:$AH$206,'Jan (next year)'!$D$27:$AH$206),27+3*(IFERROR(MATCH(C370,Roster!$B$6:$B$65,0),MATCH(C370,Roster!$C$6:$C$65,0))-1)+MATCH(B370,{"AM","PM","NIGHT"},0)-1-27+1,DAY(A370))&amp;"",""))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$206,'Feb'!$D$27:$AH$206,'Mar'!$D$27:$AH$206,'Apr'!$D$27:$AH$206,'May'!$D$27:$AH$206,'Jun'!$D$27:$AH$206,'Jul'!$D$27:$AH$206,'Aug'!$D$27:$AH$206,'Sep'!$D$27:$AH$206,'Oct'!$D$27:$AH$206,'Nov'!$D$27:$AH$206,'Dec'!$D$27:$AH$206,'Jan (next year)'!$D$27:$AH$206),27+3*(IFERROR(MATCH(C371,Roster!$B$6:$B$65,0),MATCH(C371,Roster!$C$6:$C$65,0))-1)+MATCH(B371,{"AM","PM","NIGHT"},0)-1-27+1,DAY(A371))&amp;"",""))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$206,'Feb'!$D$27:$AH$206,'Mar'!$D$27:$AH$206,'Apr'!$D$27:$AH$206,'May'!$D$27:$AH$206,'Jun'!$D$27:$AH$206,'Jul'!$D$27:$AH$206,'Aug'!$D$27:$AH$206,'Sep'!$D$27:$AH$206,'Oct'!$D$27:$AH$206,'Nov'!$D$27:$AH$206,'Dec'!$D$27:$AH$206,'Jan (next year)'!$D$27:$AH$206),27+3*(IFERROR(MATCH(C372,Roster!$B$6:$B$65,0),MATCH(C372,Roster!$C$6:$C$65,0))-1)+MATCH(B372,{"AM","PM","NIGHT"},0)-1-27+1,DAY(A372))&amp;"",""))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$206,'Feb'!$D$27:$AH$206,'Mar'!$D$27:$AH$206,'Apr'!$D$27:$AH$206,'May'!$D$27:$AH$206,'Jun'!$D$27:$AH$206,'Jul'!$D$27:$AH$206,'Aug'!$D$27:$AH$206,'Sep'!$D$27:$AH$206,'Oct'!$D$27:$AH$206,'Nov'!$D$27:$AH$206,'Dec'!$D$27:$AH$206,'Jan (next year)'!$D$27:$AH$206),27+3*(IFERROR(MATCH(C373,Roster!$B$6:$B$65,0),MATCH(C373,Roster!$C$6:$C$65,0))-1)+MATCH(B373,{"AM","PM","NIGHT"},0)-1-27+1,DAY(A373))&amp;"",""))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$206,'Feb'!$D$27:$AH$206,'Mar'!$D$27:$AH$206,'Apr'!$D$27:$AH$206,'May'!$D$27:$AH$206,'Jun'!$D$27:$AH$206,'Jul'!$D$27:$AH$206,'Aug'!$D$27:$AH$206,'Sep'!$D$27:$AH$206,'Oct'!$D$27:$AH$206,'Nov'!$D$27:$AH$206,'Dec'!$D$27:$AH$206,'Jan (next year)'!$D$27:$AH$206),27+3*(IFERROR(MATCH(C374,Roster!$B$6:$B$65,0),MATCH(C374,Roster!$C$6:$C$65,0))-1)+MATCH(B374,{"AM","PM","NIGHT"},0)-1-27+1,DAY(A374))&amp;"",""))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$206,'Feb'!$D$27:$AH$206,'Mar'!$D$27:$AH$206,'Apr'!$D$27:$AH$206,'May'!$D$27:$AH$206,'Jun'!$D$27:$AH$206,'Jul'!$D$27:$AH$206,'Aug'!$D$27:$AH$206,'Sep'!$D$27:$AH$206,'Oct'!$D$27:$AH$206,'Nov'!$D$27:$AH$206,'Dec'!$D$27:$AH$206,'Jan (next year)'!$D$27:$AH$206),27+3*(IFERROR(MATCH(C375,Roster!$B$6:$B$65,0),MATCH(C375,Roster!$C$6:$C$65,0))-1)+MATCH(B375,{"AM","PM","NIGHT"},0)-1-27+1,DAY(A375))&amp;"",""))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$206,'Feb'!$D$27:$AH$206,'Mar'!$D$27:$AH$206,'Apr'!$D$27:$AH$206,'May'!$D$27:$AH$206,'Jun'!$D$27:$AH$206,'Jul'!$D$27:$AH$206,'Aug'!$D$27:$AH$206,'Sep'!$D$27:$AH$206,'Oct'!$D$27:$AH$206,'Nov'!$D$27:$AH$206,'Dec'!$D$27:$AH$206,'Jan (next year)'!$D$27:$AH$206),27+3*(IFERROR(MATCH(C376,Roster!$B$6:$B$65,0),MATCH(C376,Roster!$C$6:$C$65,0))-1)+MATCH(B376,{"AM","PM","NIGHT"},0)-1-27+1,DAY(A376))&amp;"",""))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$206,'Feb'!$D$27:$AH$206,'Mar'!$D$27:$AH$206,'Apr'!$D$27:$AH$206,'May'!$D$27:$AH$206,'Jun'!$D$27:$AH$206,'Jul'!$D$27:$AH$206,'Aug'!$D$27:$AH$206,'Sep'!$D$27:$AH$206,'Oct'!$D$27:$AH$206,'Nov'!$D$27:$AH$206,'Dec'!$D$27:$AH$206,'Jan (next year)'!$D$27:$AH$206),27+3*(IFERROR(MATCH(C377,Roster!$B$6:$B$65,0),MATCH(C377,Roster!$C$6:$C$65,0))-1)+MATCH(B377,{"AM","PM","NIGHT"},0)-1-27+1,DAY(A377))&amp;"",""))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$206,'Feb'!$D$27:$AH$206,'Mar'!$D$27:$AH$206,'Apr'!$D$27:$AH$206,'May'!$D$27:$AH$206,'Jun'!$D$27:$AH$206,'Jul'!$D$27:$AH$206,'Aug'!$D$27:$AH$206,'Sep'!$D$27:$AH$206,'Oct'!$D$27:$AH$206,'Nov'!$D$27:$AH$206,'Dec'!$D$27:$AH$206,'Jan (next year)'!$D$27:$AH$206),27+3*(IFERROR(MATCH(C378,Roster!$B$6:$B$65,0),MATCH(C378,Roster!$C$6:$C$65,0))-1)+MATCH(B378,{"AM","PM","NIGHT"},0)-1-27+1,DAY(A378))&amp;"",""))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$206,'Feb'!$D$27:$AH$206,'Mar'!$D$27:$AH$206,'Apr'!$D$27:$AH$206,'May'!$D$27:$AH$206,'Jun'!$D$27:$AH$206,'Jul'!$D$27:$AH$206,'Aug'!$D$27:$AH$206,'Sep'!$D$27:$AH$206,'Oct'!$D$27:$AH$206,'Nov'!$D$27:$AH$206,'Dec'!$D$27:$AH$206,'Jan (next year)'!$D$27:$AH$206),27+3*(IFERROR(MATCH(C379,Roster!$B$6:$B$65,0),MATCH(C379,Roster!$C$6:$C$65,0))-1)+MATCH(B379,{"AM","PM","NIGHT"},0)-1-27+1,DAY(A379))&amp;"",""))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$206,'Feb'!$D$27:$AH$206,'Mar'!$D$27:$AH$206,'Apr'!$D$27:$AH$206,'May'!$D$27:$AH$206,'Jun'!$D$27:$AH$206,'Jul'!$D$27:$AH$206,'Aug'!$D$27:$AH$206,'Sep'!$D$27:$AH$206,'Oct'!$D$27:$AH$206,'Nov'!$D$27:$AH$206,'Dec'!$D$27:$AH$206,'Jan (next year)'!$D$27:$AH$206),27+3*(IFERROR(MATCH(C380,Roster!$B$6:$B$65,0),MATCH(C380,Roster!$C$6:$C$65,0))-1)+MATCH(B380,{"AM","PM","NIGHT"},0)-1-27+1,DAY(A380))&amp;"",""))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$206,'Feb'!$D$27:$AH$206,'Mar'!$D$27:$AH$206,'Apr'!$D$27:$AH$206,'May'!$D$27:$AH$206,'Jun'!$D$27:$AH$206,'Jul'!$D$27:$AH$206,'Aug'!$D$27:$AH$206,'Sep'!$D$27:$AH$206,'Oct'!$D$27:$AH$206,'Nov'!$D$27:$AH$206,'Dec'!$D$27:$AH$206,'Jan (next year)'!$D$27:$AH$206),27+3*(IFERROR(MATCH(C381,Roster!$B$6:$B$65,0),MATCH(C381,Roster!$C$6:$C$65,0))-1)+MATCH(B381,{"AM","PM","NIGHT"},0)-1-27+1,DAY(A381))&amp;"",""))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$206,'Feb'!$D$27:$AH$206,'Mar'!$D$27:$AH$206,'Apr'!$D$27:$AH$206,'May'!$D$27:$AH$206,'Jun'!$D$27:$AH$206,'Jul'!$D$27:$AH$206,'Aug'!$D$27:$AH$206,'Sep'!$D$27:$AH$206,'Oct'!$D$27:$AH$206,'Nov'!$D$27:$AH$206,'Dec'!$D$27:$AH$206,'Jan (next year)'!$D$27:$AH$206),27+3*(IFERROR(MATCH(C382,Roster!$B$6:$B$65,0),MATCH(C382,Roster!$C$6:$C$65,0))-1)+MATCH(B382,{"AM","PM","NIGHT"},0)-1-27+1,DAY(A382))&amp;"",""))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$206,'Feb'!$D$27:$AH$206,'Mar'!$D$27:$AH$206,'Apr'!$D$27:$AH$206,'May'!$D$27:$AH$206,'Jun'!$D$27:$AH$206,'Jul'!$D$27:$AH$206,'Aug'!$D$27:$AH$206,'Sep'!$D$27:$AH$206,'Oct'!$D$27:$AH$206,'Nov'!$D$27:$AH$206,'Dec'!$D$27:$AH$206,'Jan (next year)'!$D$27:$AH$206),27+3*(IFERROR(MATCH(C383,Roster!$B$6:$B$65,0),MATCH(C383,Roster!$C$6:$C$65,0))-1)+MATCH(B383,{"AM","PM","NIGHT"},0)-1-27+1,DAY(A383))&amp;"",""))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$206,'Feb'!$D$27:$AH$206,'Mar'!$D$27:$AH$206,'Apr'!$D$27:$AH$206,'May'!$D$27:$AH$206,'Jun'!$D$27:$AH$206,'Jul'!$D$27:$AH$206,'Aug'!$D$27:$AH$206,'Sep'!$D$27:$AH$206,'Oct'!$D$27:$AH$206,'Nov'!$D$27:$AH$206,'Dec'!$D$27:$AH$206,'Jan (next year)'!$D$27:$AH$206),27+3*(IFERROR(MATCH(C384,Roster!$B$6:$B$65,0),MATCH(C384,Roster!$C$6:$C$65,0))-1)+MATCH(B384,{"AM","PM","NIGHT"},0)-1-27+1,DAY(A384))&amp;"",""))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$206,'Feb'!$D$27:$AH$206,'Mar'!$D$27:$AH$206,'Apr'!$D$27:$AH$206,'May'!$D$27:$AH$206,'Jun'!$D$27:$AH$206,'Jul'!$D$27:$AH$206,'Aug'!$D$27:$AH$206,'Sep'!$D$27:$AH$206,'Oct'!$D$27:$AH$206,'Nov'!$D$27:$AH$206,'Dec'!$D$27:$AH$206,'Jan (next year)'!$D$27:$AH$206),27+3*(IFERROR(MATCH(C385,Roster!$B$6:$B$65,0),MATCH(C385,Roster!$C$6:$C$65,0))-1)+MATCH(B385,{"AM","PM","NIGHT"},0)-1-27+1,DAY(A385))&amp;"",""))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$206,'Feb'!$D$27:$AH$206,'Mar'!$D$27:$AH$206,'Apr'!$D$27:$AH$206,'May'!$D$27:$AH$206,'Jun'!$D$27:$AH$206,'Jul'!$D$27:$AH$206,'Aug'!$D$27:$AH$206,'Sep'!$D$27:$AH$206,'Oct'!$D$27:$AH$206,'Nov'!$D$27:$AH$206,'Dec'!$D$27:$AH$206,'Jan (next year)'!$D$27:$AH$206),27+3*(IFERROR(MATCH(C386,Roster!$B$6:$B$65,0),MATCH(C386,Roster!$C$6:$C$65,0))-1)+MATCH(B386,{"AM","PM","NIGHT"},0)-1-27+1,DAY(A386))&amp;"",""))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$206,'Feb'!$D$27:$AH$206,'Mar'!$D$27:$AH$206,'Apr'!$D$27:$AH$206,'May'!$D$27:$AH$206,'Jun'!$D$27:$AH$206,'Jul'!$D$27:$AH$206,'Aug'!$D$27:$AH$206,'Sep'!$D$27:$AH$206,'Oct'!$D$27:$AH$206,'Nov'!$D$27:$AH$206,'Dec'!$D$27:$AH$206,'Jan (next year)'!$D$27:$AH$206),27+3*(IFERROR(MATCH(C387,Roster!$B$6:$B$65,0),MATCH(C387,Roster!$C$6:$C$65,0))-1)+MATCH(B387,{"AM","PM","NIGHT"},0)-1-27+1,DAY(A387))&amp;"",""))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$206,'Feb'!$D$27:$AH$206,'Mar'!$D$27:$AH$206,'Apr'!$D$27:$AH$206,'May'!$D$27:$AH$206,'Jun'!$D$27:$AH$206,'Jul'!$D$27:$AH$206,'Aug'!$D$27:$AH$206,'Sep'!$D$27:$AH$206,'Oct'!$D$27:$AH$206,'Nov'!$D$27:$AH$206,'Dec'!$D$27:$AH$206,'Jan (next year)'!$D$27:$AH$206),27+3*(IFERROR(MATCH(C388,Roster!$B$6:$B$65,0),MATCH(C388,Roster!$C$6:$C$65,0))-1)+MATCH(B388,{"AM","PM","NIGHT"},0)-1-27+1,DAY(A388))&amp;"",""))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$206,'Feb'!$D$27:$AH$206,'Mar'!$D$27:$AH$206,'Apr'!$D$27:$AH$206,'May'!$D$27:$AH$206,'Jun'!$D$27:$AH$206,'Jul'!$D$27:$AH$206,'Aug'!$D$27:$AH$206,'Sep'!$D$27:$AH$206,'Oct'!$D$27:$AH$206,'Nov'!$D$27:$AH$206,'Dec'!$D$27:$AH$206,'Jan (next year)'!$D$27:$AH$206),27+3*(IFERROR(MATCH(C389,Roster!$B$6:$B$65,0),MATCH(C389,Roster!$C$6:$C$65,0))-1)+MATCH(B389,{"AM","PM","NIGHT"},0)-1-27+1,DAY(A389))&amp;"",""))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$206,'Feb'!$D$27:$AH$206,'Mar'!$D$27:$AH$206,'Apr'!$D$27:$AH$206,'May'!$D$27:$AH$206,'Jun'!$D$27:$AH$206,'Jul'!$D$27:$AH$206,'Aug'!$D$27:$AH$206,'Sep'!$D$27:$AH$206,'Oct'!$D$27:$AH$206,'Nov'!$D$27:$AH$206,'Dec'!$D$27:$AH$206,'Jan (next year)'!$D$27:$AH$206),27+3*(IFERROR(MATCH(C390,Roster!$B$6:$B$65,0),MATCH(C390,Roster!$C$6:$C$65,0))-1)+MATCH(B390,{"AM","PM","NIGHT"},0)-1-27+1,DAY(A390))&amp;"",""))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$206,'Feb'!$D$27:$AH$206,'Mar'!$D$27:$AH$206,'Apr'!$D$27:$AH$206,'May'!$D$27:$AH$206,'Jun'!$D$27:$AH$206,'Jul'!$D$27:$AH$206,'Aug'!$D$27:$AH$206,'Sep'!$D$27:$AH$206,'Oct'!$D$27:$AH$206,'Nov'!$D$27:$AH$206,'Dec'!$D$27:$AH$206,'Jan (next year)'!$D$27:$AH$206),27+3*(IFERROR(MATCH(C391,Roster!$B$6:$B$65,0),MATCH(C391,Roster!$C$6:$C$65,0))-1)+MATCH(B391,{"AM","PM","NIGHT"},0)-1-27+1,DAY(A391))&amp;"",""))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$206,'Feb'!$D$27:$AH$206,'Mar'!$D$27:$AH$206,'Apr'!$D$27:$AH$206,'May'!$D$27:$AH$206,'Jun'!$D$27:$AH$206,'Jul'!$D$27:$AH$206,'Aug'!$D$27:$AH$206,'Sep'!$D$27:$AH$206,'Oct'!$D$27:$AH$206,'Nov'!$D$27:$AH$206,'Dec'!$D$27:$AH$206,'Jan (next year)'!$D$27:$AH$206),27+3*(IFERROR(MATCH(C392,Roster!$B$6:$B$65,0),MATCH(C392,Roster!$C$6:$C$65,0))-1)+MATCH(B392,{"AM","PM","NIGHT"},0)-1-27+1,DAY(A392))&amp;"",""))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$206,'Feb'!$D$27:$AH$206,'Mar'!$D$27:$AH$206,'Apr'!$D$27:$AH$206,'May'!$D$27:$AH$206,'Jun'!$D$27:$AH$206,'Jul'!$D$27:$AH$206,'Aug'!$D$27:$AH$206,'Sep'!$D$27:$AH$206,'Oct'!$D$27:$AH$206,'Nov'!$D$27:$AH$206,'Dec'!$D$27:$AH$206,'Jan (next year)'!$D$27:$AH$206),27+3*(IFERROR(MATCH(C393,Roster!$B$6:$B$65,0),MATCH(C393,Roster!$C$6:$C$65,0))-1)+MATCH(B393,{"AM","PM","NIGHT"},0)-1-27+1,DAY(A393))&amp;"",""))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$206,'Feb'!$D$27:$AH$206,'Mar'!$D$27:$AH$206,'Apr'!$D$27:$AH$206,'May'!$D$27:$AH$206,'Jun'!$D$27:$AH$206,'Jul'!$D$27:$AH$206,'Aug'!$D$27:$AH$206,'Sep'!$D$27:$AH$206,'Oct'!$D$27:$AH$206,'Nov'!$D$27:$AH$206,'Dec'!$D$27:$AH$206,'Jan (next year)'!$D$27:$AH$206),27+3*(IFERROR(MATCH(C394,Roster!$B$6:$B$65,0),MATCH(C394,Roster!$C$6:$C$65,0))-1)+MATCH(B394,{"AM","PM","NIGHT"},0)-1-27+1,DAY(A394))&amp;"",""))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$206,'Feb'!$D$27:$AH$206,'Mar'!$D$27:$AH$206,'Apr'!$D$27:$AH$206,'May'!$D$27:$AH$206,'Jun'!$D$27:$AH$206,'Jul'!$D$27:$AH$206,'Aug'!$D$27:$AH$206,'Sep'!$D$27:$AH$206,'Oct'!$D$27:$AH$206,'Nov'!$D$27:$AH$206,'Dec'!$D$27:$AH$206,'Jan (next year)'!$D$27:$AH$206),27+3*(IFERROR(MATCH(C395,Roster!$B$6:$B$65,0),MATCH(C395,Roster!$C$6:$C$65,0))-1)+MATCH(B395,{"AM","PM","NIGHT"},0)-1-27+1,DAY(A395))&amp;"",""))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$206,'Feb'!$D$27:$AH$206,'Mar'!$D$27:$AH$206,'Apr'!$D$27:$AH$206,'May'!$D$27:$AH$206,'Jun'!$D$27:$AH$206,'Jul'!$D$27:$AH$206,'Aug'!$D$27:$AH$206,'Sep'!$D$27:$AH$206,'Oct'!$D$27:$AH$206,'Nov'!$D$27:$AH$206,'Dec'!$D$27:$AH$206,'Jan (next year)'!$D$27:$AH$206),27+3*(IFERROR(MATCH(C396,Roster!$B$6:$B$65,0),MATCH(C396,Roster!$C$6:$C$65,0))-1)+MATCH(B396,{"AM","PM","NIGHT"},0)-1-27+1,DAY(A396))&amp;"",""))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$206,'Feb'!$D$27:$AH$206,'Mar'!$D$27:$AH$206,'Apr'!$D$27:$AH$206,'May'!$D$27:$AH$206,'Jun'!$D$27:$AH$206,'Jul'!$D$27:$AH$206,'Aug'!$D$27:$AH$206,'Sep'!$D$27:$AH$206,'Oct'!$D$27:$AH$206,'Nov'!$D$27:$AH$206,'Dec'!$D$27:$AH$206,'Jan (next year)'!$D$27:$AH$206),27+3*(IFERROR(MATCH(C397,Roster!$B$6:$B$65,0),MATCH(C397,Roster!$C$6:$C$65,0))-1)+MATCH(B397,{"AM","PM","NIGHT"},0)-1-27+1,DAY(A397))&amp;"",""))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$206,'Feb'!$D$27:$AH$206,'Mar'!$D$27:$AH$206,'Apr'!$D$27:$AH$206,'May'!$D$27:$AH$206,'Jun'!$D$27:$AH$206,'Jul'!$D$27:$AH$206,'Aug'!$D$27:$AH$206,'Sep'!$D$27:$AH$206,'Oct'!$D$27:$AH$206,'Nov'!$D$27:$AH$206,'Dec'!$D$27:$AH$206,'Jan (next year)'!$D$27:$AH$206),27+3*(IFERROR(MATCH(C398,Roster!$B$6:$B$65,0),MATCH(C398,Roster!$C$6:$C$65,0))-1)+MATCH(B398,{"AM","PM","NIGHT"},0)-1-27+1,DAY(A398))&amp;"",""))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$206,'Feb'!$D$27:$AH$206,'Mar'!$D$27:$AH$206,'Apr'!$D$27:$AH$206,'May'!$D$27:$AH$206,'Jun'!$D$27:$AH$206,'Jul'!$D$27:$AH$206,'Aug'!$D$27:$AH$206,'Sep'!$D$27:$AH$206,'Oct'!$D$27:$AH$206,'Nov'!$D$27:$AH$206,'Dec'!$D$27:$AH$206,'Jan (next year)'!$D$27:$AH$206),27+3*(IFERROR(MATCH(C399,Roster!$B$6:$B$65,0),MATCH(C399,Roster!$C$6:$C$65,0))-1)+MATCH(B399,{"AM","PM","NIGHT"},0)-1-27+1,DAY(A399))&amp;"",""))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$206,'Feb'!$D$27:$AH$206,'Mar'!$D$27:$AH$206,'Apr'!$D$27:$AH$206,'May'!$D$27:$AH$206,'Jun'!$D$27:$AH$206,'Jul'!$D$27:$AH$206,'Aug'!$D$27:$AH$206,'Sep'!$D$27:$AH$206,'Oct'!$D$27:$AH$206,'Nov'!$D$27:$AH$206,'Dec'!$D$27:$AH$206,'Jan (next year)'!$D$27:$AH$206),27+3*(IFERROR(MATCH(C400,Roster!$B$6:$B$65,0),MATCH(C400,Roster!$C$6:$C$65,0))-1)+MATCH(B400,{"AM","PM","NIGHT"},0)-1-27+1,DAY(A400))&amp;"",""))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$206,'Feb'!$D$27:$AH$206,'Mar'!$D$27:$AH$206,'Apr'!$D$27:$AH$206,'May'!$D$27:$AH$206,'Jun'!$D$27:$AH$206,'Jul'!$D$27:$AH$206,'Aug'!$D$27:$AH$206,'Sep'!$D$27:$AH$206,'Oct'!$D$27:$AH$206,'Nov'!$D$27:$AH$206,'Dec'!$D$27:$AH$206,'Jan (next year)'!$D$27:$AH$206),27+3*(IFERROR(MATCH(C401,Roster!$B$6:$B$65,0),MATCH(C401,Roster!$C$6:$C$65,0))-1)+MATCH(B401,{"AM","PM","NIGHT"},0)-1-27+1,DAY(A401))&amp;"",""))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$206,'Feb'!$D$27:$AH$206,'Mar'!$D$27:$AH$206,'Apr'!$D$27:$AH$206,'May'!$D$27:$AH$206,'Jun'!$D$27:$AH$206,'Jul'!$D$27:$AH$206,'Aug'!$D$27:$AH$206,'Sep'!$D$27:$AH$206,'Oct'!$D$27:$AH$206,'Nov'!$D$27:$AH$206,'Dec'!$D$27:$AH$206,'Jan (next year)'!$D$27:$AH$206),27+3*(IFERROR(MATCH(C402,Roster!$B$6:$B$65,0),MATCH(C402,Roster!$C$6:$C$65,0))-1)+MATCH(B402,{"AM","PM","NIGHT"},0)-1-27+1,DAY(A402))&amp;"",""))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$206,'Feb'!$D$27:$AH$206,'Mar'!$D$27:$AH$206,'Apr'!$D$27:$AH$206,'May'!$D$27:$AH$206,'Jun'!$D$27:$AH$206,'Jul'!$D$27:$AH$206,'Aug'!$D$27:$AH$206,'Sep'!$D$27:$AH$206,'Oct'!$D$27:$AH$206,'Nov'!$D$27:$AH$206,'Dec'!$D$27:$AH$206,'Jan (next year)'!$D$27:$AH$206),27+3*(IFERROR(MATCH(C403,Roster!$B$6:$B$65,0),MATCH(C403,Roster!$C$6:$C$65,0))-1)+MATCH(B403,{"AM","PM","NIGHT"},0)-1-27+1,DAY(A403))&amp;"",""))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$206,'Feb'!$D$27:$AH$206,'Mar'!$D$27:$AH$206,'Apr'!$D$27:$AH$206,'May'!$D$27:$AH$206,'Jun'!$D$27:$AH$206,'Jul'!$D$27:$AH$206,'Aug'!$D$27:$AH$206,'Sep'!$D$27:$AH$206,'Oct'!$D$27:$AH$206,'Nov'!$D$27:$AH$206,'Dec'!$D$27:$AH$206,'Jan (next year)'!$D$27:$AH$206),27+3*(IFERROR(MATCH(C404,Roster!$B$6:$B$65,0),MATCH(C404,Roster!$C$6:$C$65,0))-1)+MATCH(B404,{"AM","PM","NIGHT"},0)-1-27+1,DAY(A404))&amp;"",""))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$206,'Feb'!$D$27:$AH$206,'Mar'!$D$27:$AH$206,'Apr'!$D$27:$AH$206,'May'!$D$27:$AH$206,'Jun'!$D$27:$AH$206,'Jul'!$D$27:$AH$206,'Aug'!$D$27:$AH$206,'Sep'!$D$27:$AH$206,'Oct'!$D$27:$AH$206,'Nov'!$D$27:$AH$206,'Dec'!$D$27:$AH$206,'Jan (next year)'!$D$27:$AH$206),27+3*(IFERROR(MATCH(C405,Roster!$B$6:$B$65,0),MATCH(C405,Roster!$C$6:$C$65,0))-1)+MATCH(B405,{"AM","PM","NIGHT"},0)-1-27+1,DAY(A405))&amp;"",""))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$206,'Feb'!$D$27:$AH$206,'Mar'!$D$27:$AH$206,'Apr'!$D$27:$AH$206,'May'!$D$27:$AH$206,'Jun'!$D$27:$AH$206,'Jul'!$D$27:$AH$206,'Aug'!$D$27:$AH$206,'Sep'!$D$27:$AH$206,'Oct'!$D$27:$AH$206,'Nov'!$D$27:$AH$206,'Dec'!$D$27:$AH$206,'Jan (next year)'!$D$27:$AH$206),27+3*(IFERROR(MATCH(C406,Roster!$B$6:$B$65,0),MATCH(C406,Roster!$C$6:$C$65,0))-1)+MATCH(B406,{"AM","PM","NIGHT"},0)-1-27+1,DAY(A406))&amp;"",""))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$206,'Feb'!$D$27:$AH$206,'Mar'!$D$27:$AH$206,'Apr'!$D$27:$AH$206,'May'!$D$27:$AH$206,'Jun'!$D$27:$AH$206,'Jul'!$D$27:$AH$206,'Aug'!$D$27:$AH$206,'Sep'!$D$27:$AH$206,'Oct'!$D$27:$AH$206,'Nov'!$D$27:$AH$206,'Dec'!$D$27:$AH$206,'Jan (next year)'!$D$27:$AH$206),27+3*(IFERROR(MATCH(C407,Roster!$B$6:$B$65,0),MATCH(C407,Roster!$C$6:$C$65,0))-1)+MATCH(B407,{"AM","PM","NIGHT"},0)-1-27+1,DAY(A407))&amp;"",""))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$206,'Feb'!$D$27:$AH$206,'Mar'!$D$27:$AH$206,'Apr'!$D$27:$AH$206,'May'!$D$27:$AH$206,'Jun'!$D$27:$AH$206,'Jul'!$D$27:$AH$206,'Aug'!$D$27:$AH$206,'Sep'!$D$27:$AH$206,'Oct'!$D$27:$AH$206,'Nov'!$D$27:$AH$206,'Dec'!$D$27:$AH$206,'Jan (next year)'!$D$27:$AH$206),27+3*(IFERROR(MATCH(C408,Roster!$B$6:$B$65,0),MATCH(C408,Roster!$C$6:$C$65,0))-1)+MATCH(B408,{"AM","PM","NIGHT"},0)-1-27+1,DAY(A408))&amp;"",""))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$206,'Feb'!$D$27:$AH$206,'Mar'!$D$27:$AH$206,'Apr'!$D$27:$AH$206,'May'!$D$27:$AH$206,'Jun'!$D$27:$AH$206,'Jul'!$D$27:$AH$206,'Aug'!$D$27:$AH$206,'Sep'!$D$27:$AH$206,'Oct'!$D$27:$AH$206,'Nov'!$D$27:$AH$206,'Dec'!$D$27:$AH$206,'Jan (next year)'!$D$27:$AH$206),27+3*(IFERROR(MATCH(C409,Roster!$B$6:$B$65,0),MATCH(C409,Roster!$C$6:$C$65,0))-1)+MATCH(B409,{"AM","PM","NIGHT"},0)-1-27+1,DAY(A409))&amp;"",""))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$206,'Feb'!$D$27:$AH$206,'Mar'!$D$27:$AH$206,'Apr'!$D$27:$AH$206,'May'!$D$27:$AH$206,'Jun'!$D$27:$AH$206,'Jul'!$D$27:$AH$206,'Aug'!$D$27:$AH$206,'Sep'!$D$27:$AH$206,'Oct'!$D$27:$AH$206,'Nov'!$D$27:$AH$206,'Dec'!$D$27:$AH$206,'Jan (next year)'!$D$27:$AH$206),27+3*(IFERROR(MATCH(C410,Roster!$B$6:$B$65,0),MATCH(C410,Roster!$C$6:$C$65,0))-1)+MATCH(B410,{"AM","PM","NIGHT"},0)-1-27+1,DAY(A410))&amp;"",""))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$206,'Feb'!$D$27:$AH$206,'Mar'!$D$27:$AH$206,'Apr'!$D$27:$AH$206,'May'!$D$27:$AH$206,'Jun'!$D$27:$AH$206,'Jul'!$D$27:$AH$206,'Aug'!$D$27:$AH$206,'Sep'!$D$27:$AH$206,'Oct'!$D$27:$AH$206,'Nov'!$D$27:$AH$206,'Dec'!$D$27:$AH$206,'Jan (next year)'!$D$27:$AH$206),27+3*(IFERROR(MATCH(C411,Roster!$B$6:$B$65,0),MATCH(C411,Roster!$C$6:$C$65,0))-1)+MATCH(B411,{"AM","PM","NIGHT"},0)-1-27+1,DAY(A411))&amp;"",""))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$206,'Feb'!$D$27:$AH$206,'Mar'!$D$27:$AH$206,'Apr'!$D$27:$AH$206,'May'!$D$27:$AH$206,'Jun'!$D$27:$AH$206,'Jul'!$D$27:$AH$206,'Aug'!$D$27:$AH$206,'Sep'!$D$27:$AH$206,'Oct'!$D$27:$AH$206,'Nov'!$D$27:$AH$206,'Dec'!$D$27:$AH$206,'Jan (next year)'!$D$27:$AH$206),27+3*(IFERROR(MATCH(C412,Roster!$B$6:$B$65,0),MATCH(C412,Roster!$C$6:$C$65,0))-1)+MATCH(B412,{"AM","PM","NIGHT"},0)-1-27+1,DAY(A412))&amp;"",""))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$206,'Feb'!$D$27:$AH$206,'Mar'!$D$27:$AH$206,'Apr'!$D$27:$AH$206,'May'!$D$27:$AH$206,'Jun'!$D$27:$AH$206,'Jul'!$D$27:$AH$206,'Aug'!$D$27:$AH$206,'Sep'!$D$27:$AH$206,'Oct'!$D$27:$AH$206,'Nov'!$D$27:$AH$206,'Dec'!$D$27:$AH$206,'Jan (next year)'!$D$27:$AH$206),27+3*(IFERROR(MATCH(C413,Roster!$B$6:$B$65,0),MATCH(C413,Roster!$C$6:$C$65,0))-1)+MATCH(B413,{"AM","PM","NIGHT"},0)-1-27+1,DAY(A413))&amp;"",""))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$206,'Feb'!$D$27:$AH$206,'Mar'!$D$27:$AH$206,'Apr'!$D$27:$AH$206,'May'!$D$27:$AH$206,'Jun'!$D$27:$AH$206,'Jul'!$D$27:$AH$206,'Aug'!$D$27:$AH$206,'Sep'!$D$27:$AH$206,'Oct'!$D$27:$AH$206,'Nov'!$D$27:$AH$206,'Dec'!$D$27:$AH$206,'Jan (next year)'!$D$27:$AH$206),27+3*(IFERROR(MATCH(C414,Roster!$B$6:$B$65,0),MATCH(C414,Roster!$C$6:$C$65,0))-1)+MATCH(B414,{"AM","PM","NIGHT"},0)-1-27+1,DAY(A414))&amp;"",""))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$206,'Feb'!$D$27:$AH$206,'Mar'!$D$27:$AH$206,'Apr'!$D$27:$AH$206,'May'!$D$27:$AH$206,'Jun'!$D$27:$AH$206,'Jul'!$D$27:$AH$206,'Aug'!$D$27:$AH$206,'Sep'!$D$27:$AH$206,'Oct'!$D$27:$AH$206,'Nov'!$D$27:$AH$206,'Dec'!$D$27:$AH$206,'Jan (next year)'!$D$27:$AH$206),27+3*(IFERROR(MATCH(C415,Roster!$B$6:$B$65,0),MATCH(C415,Roster!$C$6:$C$65,0))-1)+MATCH(B415,{"AM","PM","NIGHT"},0)-1-27+1,DAY(A415))&amp;"",""))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$206,'Feb'!$D$27:$AH$206,'Mar'!$D$27:$AH$206,'Apr'!$D$27:$AH$206,'May'!$D$27:$AH$206,'Jun'!$D$27:$AH$206,'Jul'!$D$27:$AH$206,'Aug'!$D$27:$AH$206,'Sep'!$D$27:$AH$206,'Oct'!$D$27:$AH$206,'Nov'!$D$27:$AH$206,'Dec'!$D$27:$AH$206,'Jan (next year)'!$D$27:$AH$206),27+3*(IFERROR(MATCH(C416,Roster!$B$6:$B$65,0),MATCH(C416,Roster!$C$6:$C$65,0))-1)+MATCH(B416,{"AM","PM","NIGHT"},0)-1-27+1,DAY(A416))&amp;"",""))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$206,'Feb'!$D$27:$AH$206,'Mar'!$D$27:$AH$206,'Apr'!$D$27:$AH$206,'May'!$D$27:$AH$206,'Jun'!$D$27:$AH$206,'Jul'!$D$27:$AH$206,'Aug'!$D$27:$AH$206,'Sep'!$D$27:$AH$206,'Oct'!$D$27:$AH$206,'Nov'!$D$27:$AH$206,'Dec'!$D$27:$AH$206,'Jan (next year)'!$D$27:$AH$206),27+3*(IFERROR(MATCH(C417,Roster!$B$6:$B$65,0),MATCH(C417,Roster!$C$6:$C$65,0))-1)+MATCH(B417,{"AM","PM","NIGHT"},0)-1-27+1,DAY(A417))&amp;"",""))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$206,'Feb'!$D$27:$AH$206,'Mar'!$D$27:$AH$206,'Apr'!$D$27:$AH$206,'May'!$D$27:$AH$206,'Jun'!$D$27:$AH$206,'Jul'!$D$27:$AH$206,'Aug'!$D$27:$AH$206,'Sep'!$D$27:$AH$206,'Oct'!$D$27:$AH$206,'Nov'!$D$27:$AH$206,'Dec'!$D$27:$AH$206,'Jan (next year)'!$D$27:$AH$206),27+3*(IFERROR(MATCH(C418,Roster!$B$6:$B$65,0),MATCH(C418,Roster!$C$6:$C$65,0))-1)+MATCH(B418,{"AM","PM","NIGHT"},0)-1-27+1,DAY(A418))&amp;"",""))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$206,'Feb'!$D$27:$AH$206,'Mar'!$D$27:$AH$206,'Apr'!$D$27:$AH$206,'May'!$D$27:$AH$206,'Jun'!$D$27:$AH$206,'Jul'!$D$27:$AH$206,'Aug'!$D$27:$AH$206,'Sep'!$D$27:$AH$206,'Oct'!$D$27:$AH$206,'Nov'!$D$27:$AH$206,'Dec'!$D$27:$AH$206,'Jan (next year)'!$D$27:$AH$206),27+3*(IFERROR(MATCH(C419,Roster!$B$6:$B$65,0),MATCH(C419,Roster!$C$6:$C$65,0))-1)+MATCH(B419,{"AM","PM","NIGHT"},0)-1-27+1,DAY(A419))&amp;"",""))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$206,'Feb'!$D$27:$AH$206,'Mar'!$D$27:$AH$206,'Apr'!$D$27:$AH$206,'May'!$D$27:$AH$206,'Jun'!$D$27:$AH$206,'Jul'!$D$27:$AH$206,'Aug'!$D$27:$AH$206,'Sep'!$D$27:$AH$206,'Oct'!$D$27:$AH$206,'Nov'!$D$27:$AH$206,'Dec'!$D$27:$AH$206,'Jan (next year)'!$D$27:$AH$206),27+3*(IFERROR(MATCH(C420,Roster!$B$6:$B$65,0),MATCH(C420,Roster!$C$6:$C$65,0))-1)+MATCH(B420,{"AM","PM","NIGHT"},0)-1-27+1,DAY(A420))&amp;"",""))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$206,'Feb'!$D$27:$AH$206,'Mar'!$D$27:$AH$206,'Apr'!$D$27:$AH$206,'May'!$D$27:$AH$206,'Jun'!$D$27:$AH$206,'Jul'!$D$27:$AH$206,'Aug'!$D$27:$AH$206,'Sep'!$D$27:$AH$206,'Oct'!$D$27:$AH$206,'Nov'!$D$27:$AH$206,'Dec'!$D$27:$AH$206,'Jan (next year)'!$D$27:$AH$206),27+3*(IFERROR(MATCH(C421,Roster!$B$6:$B$65,0),MATCH(C421,Roster!$C$6:$C$65,0))-1)+MATCH(B421,{"AM","PM","NIGHT"},0)-1-27+1,DAY(A421))&amp;"",""))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$206,'Feb'!$D$27:$AH$206,'Mar'!$D$27:$AH$206,'Apr'!$D$27:$AH$206,'May'!$D$27:$AH$206,'Jun'!$D$27:$AH$206,'Jul'!$D$27:$AH$206,'Aug'!$D$27:$AH$206,'Sep'!$D$27:$AH$206,'Oct'!$D$27:$AH$206,'Nov'!$D$27:$AH$206,'Dec'!$D$27:$AH$206,'Jan (next year)'!$D$27:$AH$206),27+3*(IFERROR(MATCH(C422,Roster!$B$6:$B$65,0),MATCH(C422,Roster!$C$6:$C$65,0))-1)+MATCH(B422,{"AM","PM","NIGHT"},0)-1-27+1,DAY(A422))&amp;"",""))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$206,'Feb'!$D$27:$AH$206,'Mar'!$D$27:$AH$206,'Apr'!$D$27:$AH$206,'May'!$D$27:$AH$206,'Jun'!$D$27:$AH$206,'Jul'!$D$27:$AH$206,'Aug'!$D$27:$AH$206,'Sep'!$D$27:$AH$206,'Oct'!$D$27:$AH$206,'Nov'!$D$27:$AH$206,'Dec'!$D$27:$AH$206,'Jan (next year)'!$D$27:$AH$206),27+3*(IFERROR(MATCH(C423,Roster!$B$6:$B$65,0),MATCH(C423,Roster!$C$6:$C$65,0))-1)+MATCH(B423,{"AM","PM","NIGHT"},0)-1-27+1,DAY(A423))&amp;"",""))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$206,'Feb'!$D$27:$AH$206,'Mar'!$D$27:$AH$206,'Apr'!$D$27:$AH$206,'May'!$D$27:$AH$206,'Jun'!$D$27:$AH$206,'Jul'!$D$27:$AH$206,'Aug'!$D$27:$AH$206,'Sep'!$D$27:$AH$206,'Oct'!$D$27:$AH$206,'Nov'!$D$27:$AH$206,'Dec'!$D$27:$AH$206,'Jan (next year)'!$D$27:$AH$206),27+3*(IFERROR(MATCH(C424,Roster!$B$6:$B$65,0),MATCH(C424,Roster!$C$6:$C$65,0))-1)+MATCH(B424,{"AM","PM","NIGHT"},0)-1-27+1,DAY(A424))&amp;"",""))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$206,'Feb'!$D$27:$AH$206,'Mar'!$D$27:$AH$206,'Apr'!$D$27:$AH$206,'May'!$D$27:$AH$206,'Jun'!$D$27:$AH$206,'Jul'!$D$27:$AH$206,'Aug'!$D$27:$AH$206,'Sep'!$D$27:$AH$206,'Oct'!$D$27:$AH$206,'Nov'!$D$27:$AH$206,'Dec'!$D$27:$AH$206,'Jan (next year)'!$D$27:$AH$206),27+3*(IFERROR(MATCH(C425,Roster!$B$6:$B$65,0),MATCH(C425,Roster!$C$6:$C$65,0))-1)+MATCH(B425,{"AM","PM","NIGHT"},0)-1-27+1,DAY(A425))&amp;"",""))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$206,'Feb'!$D$27:$AH$206,'Mar'!$D$27:$AH$206,'Apr'!$D$27:$AH$206,'May'!$D$27:$AH$206,'Jun'!$D$27:$AH$206,'Jul'!$D$27:$AH$206,'Aug'!$D$27:$AH$206,'Sep'!$D$27:$AH$206,'Oct'!$D$27:$AH$206,'Nov'!$D$27:$AH$206,'Dec'!$D$27:$AH$206,'Jan (next year)'!$D$27:$AH$206),27+3*(IFERROR(MATCH(C426,Roster!$B$6:$B$65,0),MATCH(C426,Roster!$C$6:$C$65,0))-1)+MATCH(B426,{"AM","PM","NIGHT"},0)-1-27+1,DAY(A426))&amp;"",""))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$206,'Feb'!$D$27:$AH$206,'Mar'!$D$27:$AH$206,'Apr'!$D$27:$AH$206,'May'!$D$27:$AH$206,'Jun'!$D$27:$AH$206,'Jul'!$D$27:$AH$206,'Aug'!$D$27:$AH$206,'Sep'!$D$27:$AH$206,'Oct'!$D$27:$AH$206,'Nov'!$D$27:$AH$206,'Dec'!$D$27:$AH$206,'Jan (next year)'!$D$27:$AH$206),27+3*(IFERROR(MATCH(C427,Roster!$B$6:$B$65,0),MATCH(C427,Roster!$C$6:$C$65,0))-1)+MATCH(B427,{"AM","PM","NIGHT"},0)-1-27+1,DAY(A427))&amp;"",""))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$206,'Feb'!$D$27:$AH$206,'Mar'!$D$27:$AH$206,'Apr'!$D$27:$AH$206,'May'!$D$27:$AH$206,'Jun'!$D$27:$AH$206,'Jul'!$D$27:$AH$206,'Aug'!$D$27:$AH$206,'Sep'!$D$27:$AH$206,'Oct'!$D$27:$AH$206,'Nov'!$D$27:$AH$206,'Dec'!$D$27:$AH$206,'Jan (next year)'!$D$27:$AH$206),27+3*(IFERROR(MATCH(C428,Roster!$B$6:$B$65,0),MATCH(C428,Roster!$C$6:$C$65,0))-1)+MATCH(B428,{"AM","PM","NIGHT"},0)-1-27+1,DAY(A428))&amp;"",""))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$206,'Feb'!$D$27:$AH$206,'Mar'!$D$27:$AH$206,'Apr'!$D$27:$AH$206,'May'!$D$27:$AH$206,'Jun'!$D$27:$AH$206,'Jul'!$D$27:$AH$206,'Aug'!$D$27:$AH$206,'Sep'!$D$27:$AH$206,'Oct'!$D$27:$AH$206,'Nov'!$D$27:$AH$206,'Dec'!$D$27:$AH$206,'Jan (next year)'!$D$27:$AH$206),27+3*(IFERROR(MATCH(C429,Roster!$B$6:$B$65,0),MATCH(C429,Roster!$C$6:$C$65,0))-1)+MATCH(B429,{"AM","PM","NIGHT"},0)-1-27+1,DAY(A429))&amp;"",""))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$206,'Feb'!$D$27:$AH$206,'Mar'!$D$27:$AH$206,'Apr'!$D$27:$AH$206,'May'!$D$27:$AH$206,'Jun'!$D$27:$AH$206,'Jul'!$D$27:$AH$206,'Aug'!$D$27:$AH$206,'Sep'!$D$27:$AH$206,'Oct'!$D$27:$AH$206,'Nov'!$D$27:$AH$206,'Dec'!$D$27:$AH$206,'Jan (next year)'!$D$27:$AH$206),27+3*(IFERROR(MATCH(C430,Roster!$B$6:$B$65,0),MATCH(C430,Roster!$C$6:$C$65,0))-1)+MATCH(B430,{"AM","PM","NIGHT"},0)-1-27+1,DAY(A430))&amp;"",""))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$206,'Feb'!$D$27:$AH$206,'Mar'!$D$27:$AH$206,'Apr'!$D$27:$AH$206,'May'!$D$27:$AH$206,'Jun'!$D$27:$AH$206,'Jul'!$D$27:$AH$206,'Aug'!$D$27:$AH$206,'Sep'!$D$27:$AH$206,'Oct'!$D$27:$AH$206,'Nov'!$D$27:$AH$206,'Dec'!$D$27:$AH$206,'Jan (next year)'!$D$27:$AH$206),27+3*(IFERROR(MATCH(C431,Roster!$B$6:$B$65,0),MATCH(C431,Roster!$C$6:$C$65,0))-1)+MATCH(B431,{"AM","PM","NIGHT"},0)-1-27+1,DAY(A431))&amp;"",""))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$206,'Feb'!$D$27:$AH$206,'Mar'!$D$27:$AH$206,'Apr'!$D$27:$AH$206,'May'!$D$27:$AH$206,'Jun'!$D$27:$AH$206,'Jul'!$D$27:$AH$206,'Aug'!$D$27:$AH$206,'Sep'!$D$27:$AH$206,'Oct'!$D$27:$AH$206,'Nov'!$D$27:$AH$206,'Dec'!$D$27:$AH$206,'Jan (next year)'!$D$27:$AH$206),27+3*(IFERROR(MATCH(C432,Roster!$B$6:$B$65,0),MATCH(C432,Roster!$C$6:$C$65,0))-1)+MATCH(B432,{"AM","PM","NIGHT"},0)-1-27+1,DAY(A432))&amp;"",""))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$206,'Feb'!$D$27:$AH$206,'Mar'!$D$27:$AH$206,'Apr'!$D$27:$AH$206,'May'!$D$27:$AH$206,'Jun'!$D$27:$AH$206,'Jul'!$D$27:$AH$206,'Aug'!$D$27:$AH$206,'Sep'!$D$27:$AH$206,'Oct'!$D$27:$AH$206,'Nov'!$D$27:$AH$206,'Dec'!$D$27:$AH$206,'Jan (next year)'!$D$27:$AH$206),27+3*(IFERROR(MATCH(C433,Roster!$B$6:$B$65,0),MATCH(C433,Roster!$C$6:$C$65,0))-1)+MATCH(B433,{"AM","PM","NIGHT"},0)-1-27+1,DAY(A433))&amp;"",""))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$206,'Feb'!$D$27:$AH$206,'Mar'!$D$27:$AH$206,'Apr'!$D$27:$AH$206,'May'!$D$27:$AH$206,'Jun'!$D$27:$AH$206,'Jul'!$D$27:$AH$206,'Aug'!$D$27:$AH$206,'Sep'!$D$27:$AH$206,'Oct'!$D$27:$AH$206,'Nov'!$D$27:$AH$206,'Dec'!$D$27:$AH$206,'Jan (next year)'!$D$27:$AH$206),27+3*(IFERROR(MATCH(C434,Roster!$B$6:$B$65,0),MATCH(C434,Roster!$C$6:$C$65,0))-1)+MATCH(B434,{"AM","PM","NIGHT"},0)-1-27+1,DAY(A434))&amp;"",""))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$206,'Feb'!$D$27:$AH$206,'Mar'!$D$27:$AH$206,'Apr'!$D$27:$AH$206,'May'!$D$27:$AH$206,'Jun'!$D$27:$AH$206,'Jul'!$D$27:$AH$206,'Aug'!$D$27:$AH$206,'Sep'!$D$27:$AH$206,'Oct'!$D$27:$AH$206,'Nov'!$D$27:$AH$206,'Dec'!$D$27:$AH$206,'Jan (next year)'!$D$27:$AH$206),27+3*(IFERROR(MATCH(C435,Roster!$B$6:$B$65,0),MATCH(C435,Roster!$C$6:$C$65,0))-1)+MATCH(B435,{"AM","PM","NIGHT"},0)-1-27+1,DAY(A435))&amp;"",""))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$206,'Feb'!$D$27:$AH$206,'Mar'!$D$27:$AH$206,'Apr'!$D$27:$AH$206,'May'!$D$27:$AH$206,'Jun'!$D$27:$AH$206,'Jul'!$D$27:$AH$206,'Aug'!$D$27:$AH$206,'Sep'!$D$27:$AH$206,'Oct'!$D$27:$AH$206,'Nov'!$D$27:$AH$206,'Dec'!$D$27:$AH$206,'Jan (next year)'!$D$27:$AH$206),27+3*(IFERROR(MATCH(C436,Roster!$B$6:$B$65,0),MATCH(C436,Roster!$C$6:$C$65,0))-1)+MATCH(B436,{"AM","PM","NIGHT"},0)-1-27+1,DAY(A436))&amp;"",""))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$206,'Feb'!$D$27:$AH$206,'Mar'!$D$27:$AH$206,'Apr'!$D$27:$AH$206,'May'!$D$27:$AH$206,'Jun'!$D$27:$AH$206,'Jul'!$D$27:$AH$206,'Aug'!$D$27:$AH$206,'Sep'!$D$27:$AH$206,'Oct'!$D$27:$AH$206,'Nov'!$D$27:$AH$206,'Dec'!$D$27:$AH$206,'Jan (next year)'!$D$27:$AH$206),27+3*(IFERROR(MATCH(C437,Roster!$B$6:$B$65,0),MATCH(C437,Roster!$C$6:$C$65,0))-1)+MATCH(B437,{"AM","PM","NIGHT"},0)-1-27+1,DAY(A437))&amp;"",""))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$206,'Feb'!$D$27:$AH$206,'Mar'!$D$27:$AH$206,'Apr'!$D$27:$AH$206,'May'!$D$27:$AH$206,'Jun'!$D$27:$AH$206,'Jul'!$D$27:$AH$206,'Aug'!$D$27:$AH$206,'Sep'!$D$27:$AH$206,'Oct'!$D$27:$AH$206,'Nov'!$D$27:$AH$206,'Dec'!$D$27:$AH$206,'Jan (next year)'!$D$27:$AH$206),27+3*(IFERROR(MATCH(C438,Roster!$B$6:$B$65,0),MATCH(C438,Roster!$C$6:$C$65,0))-1)+MATCH(B438,{"AM","PM","NIGHT"},0)-1-27+1,DAY(A438))&amp;"",""))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$206,'Feb'!$D$27:$AH$206,'Mar'!$D$27:$AH$206,'Apr'!$D$27:$AH$206,'May'!$D$27:$AH$206,'Jun'!$D$27:$AH$206,'Jul'!$D$27:$AH$206,'Aug'!$D$27:$AH$206,'Sep'!$D$27:$AH$206,'Oct'!$D$27:$AH$206,'Nov'!$D$27:$AH$206,'Dec'!$D$27:$AH$206,'Jan (next year)'!$D$27:$AH$206),27+3*(IFERROR(MATCH(C439,Roster!$B$6:$B$65,0),MATCH(C439,Roster!$C$6:$C$65,0))-1)+MATCH(B439,{"AM","PM","NIGHT"},0)-1-27+1,DAY(A439))&amp;"",""))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$206,'Feb'!$D$27:$AH$206,'Mar'!$D$27:$AH$206,'Apr'!$D$27:$AH$206,'May'!$D$27:$AH$206,'Jun'!$D$27:$AH$206,'Jul'!$D$27:$AH$206,'Aug'!$D$27:$AH$206,'Sep'!$D$27:$AH$206,'Oct'!$D$27:$AH$206,'Nov'!$D$27:$AH$206,'Dec'!$D$27:$AH$206,'Jan (next year)'!$D$27:$AH$206),27+3*(IFERROR(MATCH(C440,Roster!$B$6:$B$65,0),MATCH(C440,Roster!$C$6:$C$65,0))-1)+MATCH(B440,{"AM","PM","NIGHT"},0)-1-27+1,DAY(A440))&amp;"",""))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$206,'Feb'!$D$27:$AH$206,'Mar'!$D$27:$AH$206,'Apr'!$D$27:$AH$206,'May'!$D$27:$AH$206,'Jun'!$D$27:$AH$206,'Jul'!$D$27:$AH$206,'Aug'!$D$27:$AH$206,'Sep'!$D$27:$AH$206,'Oct'!$D$27:$AH$206,'Nov'!$D$27:$AH$206,'Dec'!$D$27:$AH$206,'Jan (next year)'!$D$27:$AH$206),27+3*(IFERROR(MATCH(C441,Roster!$B$6:$B$65,0),MATCH(C441,Roster!$C$6:$C$65,0))-1)+MATCH(B441,{"AM","PM","NIGHT"},0)-1-27+1,DAY(A441))&amp;"",""))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$206,'Feb'!$D$27:$AH$206,'Mar'!$D$27:$AH$206,'Apr'!$D$27:$AH$206,'May'!$D$27:$AH$206,'Jun'!$D$27:$AH$206,'Jul'!$D$27:$AH$206,'Aug'!$D$27:$AH$206,'Sep'!$D$27:$AH$206,'Oct'!$D$27:$AH$206,'Nov'!$D$27:$AH$206,'Dec'!$D$27:$AH$206,'Jan (next year)'!$D$27:$AH$206),27+3*(IFERROR(MATCH(C442,Roster!$B$6:$B$65,0),MATCH(C442,Roster!$C$6:$C$65,0))-1)+MATCH(B442,{"AM","PM","NIGHT"},0)-1-27+1,DAY(A442))&amp;"",""))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$206,'Feb'!$D$27:$AH$206,'Mar'!$D$27:$AH$206,'Apr'!$D$27:$AH$206,'May'!$D$27:$AH$206,'Jun'!$D$27:$AH$206,'Jul'!$D$27:$AH$206,'Aug'!$D$27:$AH$206,'Sep'!$D$27:$AH$206,'Oct'!$D$27:$AH$206,'Nov'!$D$27:$AH$206,'Dec'!$D$27:$AH$206,'Jan (next year)'!$D$27:$AH$206),27+3*(IFERROR(MATCH(C443,Roster!$B$6:$B$65,0),MATCH(C443,Roster!$C$6:$C$65,0))-1)+MATCH(B443,{"AM","PM","NIGHT"},0)-1-27+1,DAY(A443))&amp;"",""))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$206,'Feb'!$D$27:$AH$206,'Mar'!$D$27:$AH$206,'Apr'!$D$27:$AH$206,'May'!$D$27:$AH$206,'Jun'!$D$27:$AH$206,'Jul'!$D$27:$AH$206,'Aug'!$D$27:$AH$206,'Sep'!$D$27:$AH$206,'Oct'!$D$27:$AH$206,'Nov'!$D$27:$AH$206,'Dec'!$D$27:$AH$206,'Jan (next year)'!$D$27:$AH$206),27+3*(IFERROR(MATCH(C444,Roster!$B$6:$B$65,0),MATCH(C444,Roster!$C$6:$C$65,0))-1)+MATCH(B444,{"AM","PM","NIGHT"},0)-1-27+1,DAY(A444))&amp;"",""))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$206,'Feb'!$D$27:$AH$206,'Mar'!$D$27:$AH$206,'Apr'!$D$27:$AH$206,'May'!$D$27:$AH$206,'Jun'!$D$27:$AH$206,'Jul'!$D$27:$AH$206,'Aug'!$D$27:$AH$206,'Sep'!$D$27:$AH$206,'Oct'!$D$27:$AH$206,'Nov'!$D$27:$AH$206,'Dec'!$D$27:$AH$206,'Jan (next year)'!$D$27:$AH$206),27+3*(IFERROR(MATCH(C445,Roster!$B$6:$B$65,0),MATCH(C445,Roster!$C$6:$C$65,0))-1)+MATCH(B445,{"AM","PM","NIGHT"},0)-1-27+1,DAY(A445))&amp;"",""))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$206,'Feb'!$D$27:$AH$206,'Mar'!$D$27:$AH$206,'Apr'!$D$27:$AH$206,'May'!$D$27:$AH$206,'Jun'!$D$27:$AH$206,'Jul'!$D$27:$AH$206,'Aug'!$D$27:$AH$206,'Sep'!$D$27:$AH$206,'Oct'!$D$27:$AH$206,'Nov'!$D$27:$AH$206,'Dec'!$D$27:$AH$206,'Jan (next year)'!$D$27:$AH$206),27+3*(IFERROR(MATCH(C446,Roster!$B$6:$B$65,0),MATCH(C446,Roster!$C$6:$C$65,0))-1)+MATCH(B446,{"AM","PM","NIGHT"},0)-1-27+1,DAY(A446))&amp;"",""))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$206,'Feb'!$D$27:$AH$206,'Mar'!$D$27:$AH$206,'Apr'!$D$27:$AH$206,'May'!$D$27:$AH$206,'Jun'!$D$27:$AH$206,'Jul'!$D$27:$AH$206,'Aug'!$D$27:$AH$206,'Sep'!$D$27:$AH$206,'Oct'!$D$27:$AH$206,'Nov'!$D$27:$AH$206,'Dec'!$D$27:$AH$206,'Jan (next year)'!$D$27:$AH$206),27+3*(IFERROR(MATCH(C447,Roster!$B$6:$B$65,0),MATCH(C447,Roster!$C$6:$C$65,0))-1)+MATCH(B447,{"AM","PM","NIGHT"},0)-1-27+1,DAY(A447))&amp;"",""))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$206,'Feb'!$D$27:$AH$206,'Mar'!$D$27:$AH$206,'Apr'!$D$27:$AH$206,'May'!$D$27:$AH$206,'Jun'!$D$27:$AH$206,'Jul'!$D$27:$AH$206,'Aug'!$D$27:$AH$206,'Sep'!$D$27:$AH$206,'Oct'!$D$27:$AH$206,'Nov'!$D$27:$AH$206,'Dec'!$D$27:$AH$206,'Jan (next year)'!$D$27:$AH$206),27+3*(IFERROR(MATCH(C448,Roster!$B$6:$B$65,0),MATCH(C448,Roster!$C$6:$C$65,0))-1)+MATCH(B448,{"AM","PM","NIGHT"},0)-1-27+1,DAY(A448))&amp;"",""))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$206,'Feb'!$D$27:$AH$206,'Mar'!$D$27:$AH$206,'Apr'!$D$27:$AH$206,'May'!$D$27:$AH$206,'Jun'!$D$27:$AH$206,'Jul'!$D$27:$AH$206,'Aug'!$D$27:$AH$206,'Sep'!$D$27:$AH$206,'Oct'!$D$27:$AH$206,'Nov'!$D$27:$AH$206,'Dec'!$D$27:$AH$206,'Jan (next year)'!$D$27:$AH$206),27+3*(IFERROR(MATCH(C449,Roster!$B$6:$B$65,0),MATCH(C449,Roster!$C$6:$C$65,0))-1)+MATCH(B449,{"AM","PM","NIGHT"},0)-1-27+1,DAY(A449))&amp;"",""))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$206,'Feb'!$D$27:$AH$206,'Mar'!$D$27:$AH$206,'Apr'!$D$27:$AH$206,'May'!$D$27:$AH$206,'Jun'!$D$27:$AH$206,'Jul'!$D$27:$AH$206,'Aug'!$D$27:$AH$206,'Sep'!$D$27:$AH$206,'Oct'!$D$27:$AH$206,'Nov'!$D$27:$AH$206,'Dec'!$D$27:$AH$206,'Jan (next year)'!$D$27:$AH$206),27+3*(IFERROR(MATCH(C450,Roster!$B$6:$B$65,0),MATCH(C450,Roster!$C$6:$C$65,0))-1)+MATCH(B450,{"AM","PM","NIGHT"},0)-1-27+1,DAY(A450))&amp;"",""))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$206,'Feb'!$D$27:$AH$206,'Mar'!$D$27:$AH$206,'Apr'!$D$27:$AH$206,'May'!$D$27:$AH$206,'Jun'!$D$27:$AH$206,'Jul'!$D$27:$AH$206,'Aug'!$D$27:$AH$206,'Sep'!$D$27:$AH$206,'Oct'!$D$27:$AH$206,'Nov'!$D$27:$AH$206,'Dec'!$D$27:$AH$206,'Jan (next year)'!$D$27:$AH$206),27+3*(IFERROR(MATCH(C451,Roster!$B$6:$B$65,0),MATCH(C451,Roster!$C$6:$C$65,0))-1)+MATCH(B451,{"AM","PM","NIGHT"},0)-1-27+1,DAY(A451))&amp;"",""))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$206,'Feb'!$D$27:$AH$206,'Mar'!$D$27:$AH$206,'Apr'!$D$27:$AH$206,'May'!$D$27:$AH$206,'Jun'!$D$27:$AH$206,'Jul'!$D$27:$AH$206,'Aug'!$D$27:$AH$206,'Sep'!$D$27:$AH$206,'Oct'!$D$27:$AH$206,'Nov'!$D$27:$AH$206,'Dec'!$D$27:$AH$206,'Jan (next year)'!$D$27:$AH$206),27+3*(IFERROR(MATCH(C452,Roster!$B$6:$B$65,0),MATCH(C452,Roster!$C$6:$C$65,0))-1)+MATCH(B452,{"AM","PM","NIGHT"},0)-1-27+1,DAY(A452))&amp;"",""))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$206,'Feb'!$D$27:$AH$206,'Mar'!$D$27:$AH$206,'Apr'!$D$27:$AH$206,'May'!$D$27:$AH$206,'Jun'!$D$27:$AH$206,'Jul'!$D$27:$AH$206,'Aug'!$D$27:$AH$206,'Sep'!$D$27:$AH$206,'Oct'!$D$27:$AH$206,'Nov'!$D$27:$AH$206,'Dec'!$D$27:$AH$206,'Jan (next year)'!$D$27:$AH$206),27+3*(IFERROR(MATCH(C453,Roster!$B$6:$B$65,0),MATCH(C453,Roster!$C$6:$C$65,0))-1)+MATCH(B453,{"AM","PM","NIGHT"},0)-1-27+1,DAY(A453))&amp;"",""))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$206,'Feb'!$D$27:$AH$206,'Mar'!$D$27:$AH$206,'Apr'!$D$27:$AH$206,'May'!$D$27:$AH$206,'Jun'!$D$27:$AH$206,'Jul'!$D$27:$AH$206,'Aug'!$D$27:$AH$206,'Sep'!$D$27:$AH$206,'Oct'!$D$27:$AH$206,'Nov'!$D$27:$AH$206,'Dec'!$D$27:$AH$206,'Jan (next year)'!$D$27:$AH$206),27+3*(IFERROR(MATCH(C454,Roster!$B$6:$B$65,0),MATCH(C454,Roster!$C$6:$C$65,0))-1)+MATCH(B454,{"AM","PM","NIGHT"},0)-1-27+1,DAY(A454))&amp;"",""))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$206,'Feb'!$D$27:$AH$206,'Mar'!$D$27:$AH$206,'Apr'!$D$27:$AH$206,'May'!$D$27:$AH$206,'Jun'!$D$27:$AH$206,'Jul'!$D$27:$AH$206,'Aug'!$D$27:$AH$206,'Sep'!$D$27:$AH$206,'Oct'!$D$27:$AH$206,'Nov'!$D$27:$AH$206,'Dec'!$D$27:$AH$206,'Jan (next year)'!$D$27:$AH$206),27+3*(IFERROR(MATCH(C455,Roster!$B$6:$B$65,0),MATCH(C455,Roster!$C$6:$C$65,0))-1)+MATCH(B455,{"AM","PM","NIGHT"},0)-1-27+1,DAY(A455))&amp;"",""))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$206,'Feb'!$D$27:$AH$206,'Mar'!$D$27:$AH$206,'Apr'!$D$27:$AH$206,'May'!$D$27:$AH$206,'Jun'!$D$27:$AH$206,'Jul'!$D$27:$AH$206,'Aug'!$D$27:$AH$206,'Sep'!$D$27:$AH$206,'Oct'!$D$27:$AH$206,'Nov'!$D$27:$AH$206,'Dec'!$D$27:$AH$206,'Jan (next year)'!$D$27:$AH$206),27+3*(IFERROR(MATCH(C456,Roster!$B$6:$B$65,0),MATCH(C456,Roster!$C$6:$C$65,0))-1)+MATCH(B456,{"AM","PM","NIGHT"},0)-1-27+1,DAY(A456))&amp;"",""))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$206,'Feb'!$D$27:$AH$206,'Mar'!$D$27:$AH$206,'Apr'!$D$27:$AH$206,'May'!$D$27:$AH$206,'Jun'!$D$27:$AH$206,'Jul'!$D$27:$AH$206,'Aug'!$D$27:$AH$206,'Sep'!$D$27:$AH$206,'Oct'!$D$27:$AH$206,'Nov'!$D$27:$AH$206,'Dec'!$D$27:$AH$206,'Jan (next year)'!$D$27:$AH$206),27+3*(IFERROR(MATCH(C457,Roster!$B$6:$B$65,0),MATCH(C457,Roster!$C$6:$C$65,0))-1)+MATCH(B457,{"AM","PM","NIGHT"},0)-1-27+1,DAY(A457))&amp;"",""))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$206,'Feb'!$D$27:$AH$206,'Mar'!$D$27:$AH$206,'Apr'!$D$27:$AH$206,'May'!$D$27:$AH$206,'Jun'!$D$27:$AH$206,'Jul'!$D$27:$AH$206,'Aug'!$D$27:$AH$206,'Sep'!$D$27:$AH$206,'Oct'!$D$27:$AH$206,'Nov'!$D$27:$AH$206,'Dec'!$D$27:$AH$206,'Jan (next year)'!$D$27:$AH$206),27+3*(IFERROR(MATCH(C458,Roster!$B$6:$B$65,0),MATCH(C458,Roster!$C$6:$C$65,0))-1)+MATCH(B458,{"AM","PM","NIGHT"},0)-1-27+1,DAY(A458))&amp;"",""))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$206,'Feb'!$D$27:$AH$206,'Mar'!$D$27:$AH$206,'Apr'!$D$27:$AH$206,'May'!$D$27:$AH$206,'Jun'!$D$27:$AH$206,'Jul'!$D$27:$AH$206,'Aug'!$D$27:$AH$206,'Sep'!$D$27:$AH$206,'Oct'!$D$27:$AH$206,'Nov'!$D$27:$AH$206,'Dec'!$D$27:$AH$206,'Jan (next year)'!$D$27:$AH$206),27+3*(IFERROR(MATCH(C459,Roster!$B$6:$B$65,0),MATCH(C459,Roster!$C$6:$C$65,0))-1)+MATCH(B459,{"AM","PM","NIGHT"},0)-1-27+1,DAY(A459))&amp;"",""))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$206,'Feb'!$D$27:$AH$206,'Mar'!$D$27:$AH$206,'Apr'!$D$27:$AH$206,'May'!$D$27:$AH$206,'Jun'!$D$27:$AH$206,'Jul'!$D$27:$AH$206,'Aug'!$D$27:$AH$206,'Sep'!$D$27:$AH$206,'Oct'!$D$27:$AH$206,'Nov'!$D$27:$AH$206,'Dec'!$D$27:$AH$206,'Jan (next year)'!$D$27:$AH$206),27+3*(IFERROR(MATCH(C460,Roster!$B$6:$B$65,0),MATCH(C460,Roster!$C$6:$C$65,0))-1)+MATCH(B460,{"AM","PM","NIGHT"},0)-1-27+1,DAY(A460))&amp;"",""))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$206,'Feb'!$D$27:$AH$206,'Mar'!$D$27:$AH$206,'Apr'!$D$27:$AH$206,'May'!$D$27:$AH$206,'Jun'!$D$27:$AH$206,'Jul'!$D$27:$AH$206,'Aug'!$D$27:$AH$206,'Sep'!$D$27:$AH$206,'Oct'!$D$27:$AH$206,'Nov'!$D$27:$AH$206,'Dec'!$D$27:$AH$206,'Jan (next year)'!$D$27:$AH$206),27+3*(IFERROR(MATCH(C461,Roster!$B$6:$B$65,0),MATCH(C461,Roster!$C$6:$C$65,0))-1)+MATCH(B461,{"AM","PM","NIGHT"},0)-1-27+1,DAY(A461))&amp;"",""))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$206,'Feb'!$D$27:$AH$206,'Mar'!$D$27:$AH$206,'Apr'!$D$27:$AH$206,'May'!$D$27:$AH$206,'Jun'!$D$27:$AH$206,'Jul'!$D$27:$AH$206,'Aug'!$D$27:$AH$206,'Sep'!$D$27:$AH$206,'Oct'!$D$27:$AH$206,'Nov'!$D$27:$AH$206,'Dec'!$D$27:$AH$206,'Jan (next year)'!$D$27:$AH$206),27+3*(IFERROR(MATCH(C462,Roster!$B$6:$B$65,0),MATCH(C462,Roster!$C$6:$C$65,0))-1)+MATCH(B462,{"AM","PM","NIGHT"},0)-1-27+1,DAY(A462))&amp;"",""))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$206,'Feb'!$D$27:$AH$206,'Mar'!$D$27:$AH$206,'Apr'!$D$27:$AH$206,'May'!$D$27:$AH$206,'Jun'!$D$27:$AH$206,'Jul'!$D$27:$AH$206,'Aug'!$D$27:$AH$206,'Sep'!$D$27:$AH$206,'Oct'!$D$27:$AH$206,'Nov'!$D$27:$AH$206,'Dec'!$D$27:$AH$206,'Jan (next year)'!$D$27:$AH$206),27+3*(IFERROR(MATCH(C463,Roster!$B$6:$B$65,0),MATCH(C463,Roster!$C$6:$C$65,0))-1)+MATCH(B463,{"AM","PM","NIGHT"},0)-1-27+1,DAY(A463))&amp;"",""))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$206,'Feb'!$D$27:$AH$206,'Mar'!$D$27:$AH$206,'Apr'!$D$27:$AH$206,'May'!$D$27:$AH$206,'Jun'!$D$27:$AH$206,'Jul'!$D$27:$AH$206,'Aug'!$D$27:$AH$206,'Sep'!$D$27:$AH$206,'Oct'!$D$27:$AH$206,'Nov'!$D$27:$AH$206,'Dec'!$D$27:$AH$206,'Jan (next year)'!$D$27:$AH$206),27+3*(IFERROR(MATCH(C464,Roster!$B$6:$B$65,0),MATCH(C464,Roster!$C$6:$C$65,0))-1)+MATCH(B464,{"AM","PM","NIGHT"},0)-1-27+1,DAY(A464))&amp;"",""))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$206,'Feb'!$D$27:$AH$206,'Mar'!$D$27:$AH$206,'Apr'!$D$27:$AH$206,'May'!$D$27:$AH$206,'Jun'!$D$27:$AH$206,'Jul'!$D$27:$AH$206,'Aug'!$D$27:$AH$206,'Sep'!$D$27:$AH$206,'Oct'!$D$27:$AH$206,'Nov'!$D$27:$AH$206,'Dec'!$D$27:$AH$206,'Jan (next year)'!$D$27:$AH$206),27+3*(IFERROR(MATCH(C465,Roster!$B$6:$B$65,0),MATCH(C465,Roster!$C$6:$C$65,0))-1)+MATCH(B465,{"AM","PM","NIGHT"},0)-1-27+1,DAY(A465))&amp;"",""))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$206,'Feb'!$D$27:$AH$206,'Mar'!$D$27:$AH$206,'Apr'!$D$27:$AH$206,'May'!$D$27:$AH$206,'Jun'!$D$27:$AH$206,'Jul'!$D$27:$AH$206,'Aug'!$D$27:$AH$206,'Sep'!$D$27:$AH$206,'Oct'!$D$27:$AH$206,'Nov'!$D$27:$AH$206,'Dec'!$D$27:$AH$206,'Jan (next year)'!$D$27:$AH$206),27+3*(IFERROR(MATCH(C466,Roster!$B$6:$B$65,0),MATCH(C466,Roster!$C$6:$C$65,0))-1)+MATCH(B466,{"AM","PM","NIGHT"},0)-1-27+1,DAY(A466))&amp;"",""))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$206,'Feb'!$D$27:$AH$206,'Mar'!$D$27:$AH$206,'Apr'!$D$27:$AH$206,'May'!$D$27:$AH$206,'Jun'!$D$27:$AH$206,'Jul'!$D$27:$AH$206,'Aug'!$D$27:$AH$206,'Sep'!$D$27:$AH$206,'Oct'!$D$27:$AH$206,'Nov'!$D$27:$AH$206,'Dec'!$D$27:$AH$206,'Jan (next year)'!$D$27:$AH$206),27+3*(IFERROR(MATCH(C467,Roster!$B$6:$B$65,0),MATCH(C467,Roster!$C$6:$C$65,0))-1)+MATCH(B467,{"AM","PM","NIGHT"},0)-1-27+1,DAY(A467))&amp;"",""))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$206,'Feb'!$D$27:$AH$206,'Mar'!$D$27:$AH$206,'Apr'!$D$27:$AH$206,'May'!$D$27:$AH$206,'Jun'!$D$27:$AH$206,'Jul'!$D$27:$AH$206,'Aug'!$D$27:$AH$206,'Sep'!$D$27:$AH$206,'Oct'!$D$27:$AH$206,'Nov'!$D$27:$AH$206,'Dec'!$D$27:$AH$206,'Jan (next year)'!$D$27:$AH$206),27+3*(IFERROR(MATCH(C468,Roster!$B$6:$B$65,0),MATCH(C468,Roster!$C$6:$C$65,0))-1)+MATCH(B468,{"AM","PM","NIGHT"},0)-1-27+1,DAY(A468))&amp;"",""))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$206,'Feb'!$D$27:$AH$206,'Mar'!$D$27:$AH$206,'Apr'!$D$27:$AH$206,'May'!$D$27:$AH$206,'Jun'!$D$27:$AH$206,'Jul'!$D$27:$AH$206,'Aug'!$D$27:$AH$206,'Sep'!$D$27:$AH$206,'Oct'!$D$27:$AH$206,'Nov'!$D$27:$AH$206,'Dec'!$D$27:$AH$206,'Jan (next year)'!$D$27:$AH$206),27+3*(IFERROR(MATCH(C469,Roster!$B$6:$B$65,0),MATCH(C469,Roster!$C$6:$C$65,0))-1)+MATCH(B469,{"AM","PM","NIGHT"},0)-1-27+1,DAY(A469))&amp;"",""))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$206,'Feb'!$D$27:$AH$206,'Mar'!$D$27:$AH$206,'Apr'!$D$27:$AH$206,'May'!$D$27:$AH$206,'Jun'!$D$27:$AH$206,'Jul'!$D$27:$AH$206,'Aug'!$D$27:$AH$206,'Sep'!$D$27:$AH$206,'Oct'!$D$27:$AH$206,'Nov'!$D$27:$AH$206,'Dec'!$D$27:$AH$206,'Jan (next year)'!$D$27:$AH$206),27+3*(IFERROR(MATCH(C470,Roster!$B$6:$B$65,0),MATCH(C470,Roster!$C$6:$C$65,0))-1)+MATCH(B470,{"AM","PM","NIGHT"},0)-1-27+1,DAY(A470))&amp;"",""))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$206,'Feb'!$D$27:$AH$206,'Mar'!$D$27:$AH$206,'Apr'!$D$27:$AH$206,'May'!$D$27:$AH$206,'Jun'!$D$27:$AH$206,'Jul'!$D$27:$AH$206,'Aug'!$D$27:$AH$206,'Sep'!$D$27:$AH$206,'Oct'!$D$27:$AH$206,'Nov'!$D$27:$AH$206,'Dec'!$D$27:$AH$206,'Jan (next year)'!$D$27:$AH$206),27+3*(IFERROR(MATCH(C471,Roster!$B$6:$B$65,0),MATCH(C471,Roster!$C$6:$C$65,0))-1)+MATCH(B471,{"AM","PM","NIGHT"},0)-1-27+1,DAY(A471))&amp;"",""))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$206,'Feb'!$D$27:$AH$206,'Mar'!$D$27:$AH$206,'Apr'!$D$27:$AH$206,'May'!$D$27:$AH$206,'Jun'!$D$27:$AH$206,'Jul'!$D$27:$AH$206,'Aug'!$D$27:$AH$206,'Sep'!$D$27:$AH$206,'Oct'!$D$27:$AH$206,'Nov'!$D$27:$AH$206,'Dec'!$D$27:$AH$206,'Jan (next year)'!$D$27:$AH$206),27+3*(IFERROR(MATCH(C472,Roster!$B$6:$B$65,0),MATCH(C472,Roster!$C$6:$C$65,0))-1)+MATCH(B472,{"AM","PM","NIGHT"},0)-1-27+1,DAY(A472))&amp;"",""))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$206,'Feb'!$D$27:$AH$206,'Mar'!$D$27:$AH$206,'Apr'!$D$27:$AH$206,'May'!$D$27:$AH$206,'Jun'!$D$27:$AH$206,'Jul'!$D$27:$AH$206,'Aug'!$D$27:$AH$206,'Sep'!$D$27:$AH$206,'Oct'!$D$27:$AH$206,'Nov'!$D$27:$AH$206,'Dec'!$D$27:$AH$206,'Jan (next year)'!$D$27:$AH$206),27+3*(IFERROR(MATCH(C473,Roster!$B$6:$B$65,0),MATCH(C473,Roster!$C$6:$C$65,0))-1)+MATCH(B473,{"AM","PM","NIGHT"},0)-1-27+1,DAY(A473))&amp;"",""))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$206,'Feb'!$D$27:$AH$206,'Mar'!$D$27:$AH$206,'Apr'!$D$27:$AH$206,'May'!$D$27:$AH$206,'Jun'!$D$27:$AH$206,'Jul'!$D$27:$AH$206,'Aug'!$D$27:$AH$206,'Sep'!$D$27:$AH$206,'Oct'!$D$27:$AH$206,'Nov'!$D$27:$AH$206,'Dec'!$D$27:$AH$206,'Jan (next year)'!$D$27:$AH$206),27+3*(IFERROR(MATCH(C474,Roster!$B$6:$B$65,0),MATCH(C474,Roster!$C$6:$C$65,0))-1)+MATCH(B474,{"AM","PM","NIGHT"},0)-1-27+1,DAY(A474))&amp;"",""))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$206,'Feb'!$D$27:$AH$206,'Mar'!$D$27:$AH$206,'Apr'!$D$27:$AH$206,'May'!$D$27:$AH$206,'Jun'!$D$27:$AH$206,'Jul'!$D$27:$AH$206,'Aug'!$D$27:$AH$206,'Sep'!$D$27:$AH$206,'Oct'!$D$27:$AH$206,'Nov'!$D$27:$AH$206,'Dec'!$D$27:$AH$206,'Jan (next year)'!$D$27:$AH$206),27+3*(IFERROR(MATCH(C475,Roster!$B$6:$B$65,0),MATCH(C475,Roster!$C$6:$C$65,0))-1)+MATCH(B475,{"AM","PM","NIGHT"},0)-1-27+1,DAY(A475))&amp;"",""))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$206,'Feb'!$D$27:$AH$206,'Mar'!$D$27:$AH$206,'Apr'!$D$27:$AH$206,'May'!$D$27:$AH$206,'Jun'!$D$27:$AH$206,'Jul'!$D$27:$AH$206,'Aug'!$D$27:$AH$206,'Sep'!$D$27:$AH$206,'Oct'!$D$27:$AH$206,'Nov'!$D$27:$AH$206,'Dec'!$D$27:$AH$206,'Jan (next year)'!$D$27:$AH$206),27+3*(IFERROR(MATCH(C476,Roster!$B$6:$B$65,0),MATCH(C476,Roster!$C$6:$C$65,0))-1)+MATCH(B476,{"AM","PM","NIGHT"},0)-1-27+1,DAY(A476))&amp;"",""))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$206,'Feb'!$D$27:$AH$206,'Mar'!$D$27:$AH$206,'Apr'!$D$27:$AH$206,'May'!$D$27:$AH$206,'Jun'!$D$27:$AH$206,'Jul'!$D$27:$AH$206,'Aug'!$D$27:$AH$206,'Sep'!$D$27:$AH$206,'Oct'!$D$27:$AH$206,'Nov'!$D$27:$AH$206,'Dec'!$D$27:$AH$206,'Jan (next year)'!$D$27:$AH$206),27+3*(IFERROR(MATCH(C477,Roster!$B$6:$B$65,0),MATCH(C477,Roster!$C$6:$C$65,0))-1)+MATCH(B477,{"AM","PM","NIGHT"},0)-1-27+1,DAY(A477))&amp;"",""))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$206,'Feb'!$D$27:$AH$206,'Mar'!$D$27:$AH$206,'Apr'!$D$27:$AH$206,'May'!$D$27:$AH$206,'Jun'!$D$27:$AH$206,'Jul'!$D$27:$AH$206,'Aug'!$D$27:$AH$206,'Sep'!$D$27:$AH$206,'Oct'!$D$27:$AH$206,'Nov'!$D$27:$AH$206,'Dec'!$D$27:$AH$206,'Jan (next year)'!$D$27:$AH$206),27+3*(IFERROR(MATCH(C478,Roster!$B$6:$B$65,0),MATCH(C478,Roster!$C$6:$C$65,0))-1)+MATCH(B478,{"AM","PM","NIGHT"},0)-1-27+1,DAY(A478))&amp;"",""))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$206,'Feb'!$D$27:$AH$206,'Mar'!$D$27:$AH$206,'Apr'!$D$27:$AH$206,'May'!$D$27:$AH$206,'Jun'!$D$27:$AH$206,'Jul'!$D$27:$AH$206,'Aug'!$D$27:$AH$206,'Sep'!$D$27:$AH$206,'Oct'!$D$27:$AH$206,'Nov'!$D$27:$AH$206,'Dec'!$D$27:$AH$206,'Jan (next year)'!$D$27:$AH$206),27+3*(IFERROR(MATCH(C479,Roster!$B$6:$B$65,0),MATCH(C479,Roster!$C$6:$C$65,0))-1)+MATCH(B479,{"AM","PM","NIGHT"},0)-1-27+1,DAY(A479))&amp;"",""))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$206,'Feb'!$D$27:$AH$206,'Mar'!$D$27:$AH$206,'Apr'!$D$27:$AH$206,'May'!$D$27:$AH$206,'Jun'!$D$27:$AH$206,'Jul'!$D$27:$AH$206,'Aug'!$D$27:$AH$206,'Sep'!$D$27:$AH$206,'Oct'!$D$27:$AH$206,'Nov'!$D$27:$AH$206,'Dec'!$D$27:$AH$206,'Jan (next year)'!$D$27:$AH$206),27+3*(IFERROR(MATCH(C480,Roster!$B$6:$B$65,0),MATCH(C480,Roster!$C$6:$C$65,0))-1)+MATCH(B480,{"AM","PM","NIGHT"},0)-1-27+1,DAY(A480))&amp;"",""))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$206,'Feb'!$D$27:$AH$206,'Mar'!$D$27:$AH$206,'Apr'!$D$27:$AH$206,'May'!$D$27:$AH$206,'Jun'!$D$27:$AH$206,'Jul'!$D$27:$AH$206,'Aug'!$D$27:$AH$206,'Sep'!$D$27:$AH$206,'Oct'!$D$27:$AH$206,'Nov'!$D$27:$AH$206,'Dec'!$D$27:$AH$206,'Jan (next year)'!$D$27:$AH$206),27+3*(IFERROR(MATCH(C481,Roster!$B$6:$B$65,0),MATCH(C481,Roster!$C$6:$C$65,0))-1)+MATCH(B481,{"AM","PM","NIGHT"},0)-1-27+1,DAY(A481))&amp;"",""))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$206,'Feb'!$D$27:$AH$206,'Mar'!$D$27:$AH$206,'Apr'!$D$27:$AH$206,'May'!$D$27:$AH$206,'Jun'!$D$27:$AH$206,'Jul'!$D$27:$AH$206,'Aug'!$D$27:$AH$206,'Sep'!$D$27:$AH$206,'Oct'!$D$27:$AH$206,'Nov'!$D$27:$AH$206,'Dec'!$D$27:$AH$206,'Jan (next year)'!$D$27:$AH$206),27+3*(IFERROR(MATCH(C482,Roster!$B$6:$B$65,0),MATCH(C482,Roster!$C$6:$C$65,0))-1)+MATCH(B482,{"AM","PM","NIGHT"},0)-1-27+1,DAY(A482))&amp;"",""))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$206,'Feb'!$D$27:$AH$206,'Mar'!$D$27:$AH$206,'Apr'!$D$27:$AH$206,'May'!$D$27:$AH$206,'Jun'!$D$27:$AH$206,'Jul'!$D$27:$AH$206,'Aug'!$D$27:$AH$206,'Sep'!$D$27:$AH$206,'Oct'!$D$27:$AH$206,'Nov'!$D$27:$AH$206,'Dec'!$D$27:$AH$206,'Jan (next year)'!$D$27:$AH$206),27+3*(IFERROR(MATCH(C483,Roster!$B$6:$B$65,0),MATCH(C483,Roster!$C$6:$C$65,0))-1)+MATCH(B483,{"AM","PM","NIGHT"},0)-1-27+1,DAY(A483))&amp;"",""))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$206,'Feb'!$D$27:$AH$206,'Mar'!$D$27:$AH$206,'Apr'!$D$27:$AH$206,'May'!$D$27:$AH$206,'Jun'!$D$27:$AH$206,'Jul'!$D$27:$AH$206,'Aug'!$D$27:$AH$206,'Sep'!$D$27:$AH$206,'Oct'!$D$27:$AH$206,'Nov'!$D$27:$AH$206,'Dec'!$D$27:$AH$206,'Jan (next year)'!$D$27:$AH$206),27+3*(IFERROR(MATCH(C484,Roster!$B$6:$B$65,0),MATCH(C484,Roster!$C$6:$C$65,0))-1)+MATCH(B484,{"AM","PM","NIGHT"},0)-1-27+1,DAY(A484))&amp;"",""))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$206,'Feb'!$D$27:$AH$206,'Mar'!$D$27:$AH$206,'Apr'!$D$27:$AH$206,'May'!$D$27:$AH$206,'Jun'!$D$27:$AH$206,'Jul'!$D$27:$AH$206,'Aug'!$D$27:$AH$206,'Sep'!$D$27:$AH$206,'Oct'!$D$27:$AH$206,'Nov'!$D$27:$AH$206,'Dec'!$D$27:$AH$206,'Jan (next year)'!$D$27:$AH$206),27+3*(IFERROR(MATCH(C485,Roster!$B$6:$B$65,0),MATCH(C485,Roster!$C$6:$C$65,0))-1)+MATCH(B485,{"AM","PM","NIGHT"},0)-1-27+1,DAY(A485))&amp;"",""))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$206,'Feb'!$D$27:$AH$206,'Mar'!$D$27:$AH$206,'Apr'!$D$27:$AH$206,'May'!$D$27:$AH$206,'Jun'!$D$27:$AH$206,'Jul'!$D$27:$AH$206,'Aug'!$D$27:$AH$206,'Sep'!$D$27:$AH$206,'Oct'!$D$27:$AH$206,'Nov'!$D$27:$AH$206,'Dec'!$D$27:$AH$206,'Jan (next year)'!$D$27:$AH$206),27+3*(IFERROR(MATCH(C486,Roster!$B$6:$B$65,0),MATCH(C486,Roster!$C$6:$C$65,0))-1)+MATCH(B486,{"AM","PM","NIGHT"},0)-1-27+1,DAY(A486))&amp;"",""))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$206,'Feb'!$D$27:$AH$206,'Mar'!$D$27:$AH$206,'Apr'!$D$27:$AH$206,'May'!$D$27:$AH$206,'Jun'!$D$27:$AH$206,'Jul'!$D$27:$AH$206,'Aug'!$D$27:$AH$206,'Sep'!$D$27:$AH$206,'Oct'!$D$27:$AH$206,'Nov'!$D$27:$AH$206,'Dec'!$D$27:$AH$206,'Jan (next year)'!$D$27:$AH$206),27+3*(IFERROR(MATCH(C487,Roster!$B$6:$B$65,0),MATCH(C487,Roster!$C$6:$C$65,0))-1)+MATCH(B487,{"AM","PM","NIGHT"},0)-1-27+1,DAY(A487))&amp;"",""))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$206,'Feb'!$D$27:$AH$206,'Mar'!$D$27:$AH$206,'Apr'!$D$27:$AH$206,'May'!$D$27:$AH$206,'Jun'!$D$27:$AH$206,'Jul'!$D$27:$AH$206,'Aug'!$D$27:$AH$206,'Sep'!$D$27:$AH$206,'Oct'!$D$27:$AH$206,'Nov'!$D$27:$AH$206,'Dec'!$D$27:$AH$206,'Jan (next year)'!$D$27:$AH$206),27+3*(IFERROR(MATCH(C488,Roster!$B$6:$B$65,0),MATCH(C488,Roster!$C$6:$C$65,0))-1)+MATCH(B488,{"AM","PM","NIGHT"},0)-1-27+1,DAY(A488))&amp;"",""))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$206,'Feb'!$D$27:$AH$206,'Mar'!$D$27:$AH$206,'Apr'!$D$27:$AH$206,'May'!$D$27:$AH$206,'Jun'!$D$27:$AH$206,'Jul'!$D$27:$AH$206,'Aug'!$D$27:$AH$206,'Sep'!$D$27:$AH$206,'Oct'!$D$27:$AH$206,'Nov'!$D$27:$AH$206,'Dec'!$D$27:$AH$206,'Jan (next year)'!$D$27:$AH$206),27+3*(IFERROR(MATCH(C489,Roster!$B$6:$B$65,0),MATCH(C489,Roster!$C$6:$C$65,0))-1)+MATCH(B489,{"AM","PM","NIGHT"},0)-1-27+1,DAY(A489))&amp;"",""))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$206,'Feb'!$D$27:$AH$206,'Mar'!$D$27:$AH$206,'Apr'!$D$27:$AH$206,'May'!$D$27:$AH$206,'Jun'!$D$27:$AH$206,'Jul'!$D$27:$AH$206,'Aug'!$D$27:$AH$206,'Sep'!$D$27:$AH$206,'Oct'!$D$27:$AH$206,'Nov'!$D$27:$AH$206,'Dec'!$D$27:$AH$206,'Jan (next year)'!$D$27:$AH$206),27+3*(IFERROR(MATCH(C490,Roster!$B$6:$B$65,0),MATCH(C490,Roster!$C$6:$C$65,0))-1)+MATCH(B490,{"AM","PM","NIGHT"},0)-1-27+1,DAY(A490))&amp;"",""))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$206,'Feb'!$D$27:$AH$206,'Mar'!$D$27:$AH$206,'Apr'!$D$27:$AH$206,'May'!$D$27:$AH$206,'Jun'!$D$27:$AH$206,'Jul'!$D$27:$AH$206,'Aug'!$D$27:$AH$206,'Sep'!$D$27:$AH$206,'Oct'!$D$27:$AH$206,'Nov'!$D$27:$AH$206,'Dec'!$D$27:$AH$206,'Jan (next year)'!$D$27:$AH$206),27+3*(IFERROR(MATCH(C491,Roster!$B$6:$B$65,0),MATCH(C491,Roster!$C$6:$C$65,0))-1)+MATCH(B491,{"AM","PM","NIGHT"},0)-1-27+1,DAY(A491))&amp;"",""))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$206,'Feb'!$D$27:$AH$206,'Mar'!$D$27:$AH$206,'Apr'!$D$27:$AH$206,'May'!$D$27:$AH$206,'Jun'!$D$27:$AH$206,'Jul'!$D$27:$AH$206,'Aug'!$D$27:$AH$206,'Sep'!$D$27:$AH$206,'Oct'!$D$27:$AH$206,'Nov'!$D$27:$AH$206,'Dec'!$D$27:$AH$206,'Jan (next year)'!$D$27:$AH$206),27+3*(IFERROR(MATCH(C492,Roster!$B$6:$B$65,0),MATCH(C492,Roster!$C$6:$C$65,0))-1)+MATCH(B492,{"AM","PM","NIGHT"},0)-1-27+1,DAY(A492))&amp;"",""))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$206,'Feb'!$D$27:$AH$206,'Mar'!$D$27:$AH$206,'Apr'!$D$27:$AH$206,'May'!$D$27:$AH$206,'Jun'!$D$27:$AH$206,'Jul'!$D$27:$AH$206,'Aug'!$D$27:$AH$206,'Sep'!$D$27:$AH$206,'Oct'!$D$27:$AH$206,'Nov'!$D$27:$AH$206,'Dec'!$D$27:$AH$206,'Jan (next year)'!$D$27:$AH$206),27+3*(IFERROR(MATCH(C493,Roster!$B$6:$B$65,0),MATCH(C493,Roster!$C$6:$C$65,0))-1)+MATCH(B493,{"AM","PM","NIGHT"},0)-1-27+1,DAY(A493))&amp;"",""))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$206,'Feb'!$D$27:$AH$206,'Mar'!$D$27:$AH$206,'Apr'!$D$27:$AH$206,'May'!$D$27:$AH$206,'Jun'!$D$27:$AH$206,'Jul'!$D$27:$AH$206,'Aug'!$D$27:$AH$206,'Sep'!$D$27:$AH$206,'Oct'!$D$27:$AH$206,'Nov'!$D$27:$AH$206,'Dec'!$D$27:$AH$206,'Jan (next year)'!$D$27:$AH$206),27+3*(IFERROR(MATCH(C494,Roster!$B$6:$B$65,0),MATCH(C494,Roster!$C$6:$C$65,0))-1)+MATCH(B494,{"AM","PM","NIGHT"},0)-1-27+1,DAY(A494))&amp;"",""))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$206,'Feb'!$D$27:$AH$206,'Mar'!$D$27:$AH$206,'Apr'!$D$27:$AH$206,'May'!$D$27:$AH$206,'Jun'!$D$27:$AH$206,'Jul'!$D$27:$AH$206,'Aug'!$D$27:$AH$206,'Sep'!$D$27:$AH$206,'Oct'!$D$27:$AH$206,'Nov'!$D$27:$AH$206,'Dec'!$D$27:$AH$206,'Jan (next year)'!$D$27:$AH$206),27+3*(IFERROR(MATCH(C495,Roster!$B$6:$B$65,0),MATCH(C495,Roster!$C$6:$C$65,0))-1)+MATCH(B495,{"AM","PM","NIGHT"},0)-1-27+1,DAY(A495))&amp;"",""))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$206,'Feb'!$D$27:$AH$206,'Mar'!$D$27:$AH$206,'Apr'!$D$27:$AH$206,'May'!$D$27:$AH$206,'Jun'!$D$27:$AH$206,'Jul'!$D$27:$AH$206,'Aug'!$D$27:$AH$206,'Sep'!$D$27:$AH$206,'Oct'!$D$27:$AH$206,'Nov'!$D$27:$AH$206,'Dec'!$D$27:$AH$206,'Jan (next year)'!$D$27:$AH$206),27+3*(IFERROR(MATCH(C496,Roster!$B$6:$B$65,0),MATCH(C496,Roster!$C$6:$C$65,0))-1)+MATCH(B496,{"AM","PM","NIGHT"},0)-1-27+1,DAY(A496))&amp;"",""))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$206,'Feb'!$D$27:$AH$206,'Mar'!$D$27:$AH$206,'Apr'!$D$27:$AH$206,'May'!$D$27:$AH$206,'Jun'!$D$27:$AH$206,'Jul'!$D$27:$AH$206,'Aug'!$D$27:$AH$206,'Sep'!$D$27:$AH$206,'Oct'!$D$27:$AH$206,'Nov'!$D$27:$AH$206,'Dec'!$D$27:$AH$206,'Jan (next year)'!$D$27:$AH$206),27+3*(IFERROR(MATCH(C497,Roster!$B$6:$B$65,0),MATCH(C497,Roster!$C$6:$C$65,0))-1)+MATCH(B497,{"AM","PM","NIGHT"},0)-1-27+1,DAY(A497))&amp;"",""))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$206,'Feb'!$D$27:$AH$206,'Mar'!$D$27:$AH$206,'Apr'!$D$27:$AH$206,'May'!$D$27:$AH$206,'Jun'!$D$27:$AH$206,'Jul'!$D$27:$AH$206,'Aug'!$D$27:$AH$206,'Sep'!$D$27:$AH$206,'Oct'!$D$27:$AH$206,'Nov'!$D$27:$AH$206,'Dec'!$D$27:$AH$206,'Jan (next year)'!$D$27:$AH$206),27+3*(IFERROR(MATCH(C498,Roster!$B$6:$B$65,0),MATCH(C498,Roster!$C$6:$C$65,0))-1)+MATCH(B498,{"AM","PM","NIGHT"},0)-1-27+1,DAY(A498))&amp;"",""))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$206,'Feb'!$D$27:$AH$206,'Mar'!$D$27:$AH$206,'Apr'!$D$27:$AH$206,'May'!$D$27:$AH$206,'Jun'!$D$27:$AH$206,'Jul'!$D$27:$AH$206,'Aug'!$D$27:$AH$206,'Sep'!$D$27:$AH$206,'Oct'!$D$27:$AH$206,'Nov'!$D$27:$AH$206,'Dec'!$D$27:$AH$206,'Jan (next year)'!$D$27:$AH$206),27+3*(IFERROR(MATCH(C499,Roster!$B$6:$B$65,0),MATCH(C499,Roster!$C$6:$C$65,0))-1)+MATCH(B499,{"AM","PM","NIGHT"},0)-1-27+1,DAY(A499))&amp;"",""))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$206,'Feb'!$D$27:$AH$206,'Mar'!$D$27:$AH$206,'Apr'!$D$27:$AH$206,'May'!$D$27:$AH$206,'Jun'!$D$27:$AH$206,'Jul'!$D$27:$AH$206,'Aug'!$D$27:$AH$206,'Sep'!$D$27:$AH$206,'Oct'!$D$27:$AH$206,'Nov'!$D$27:$AH$206,'Dec'!$D$27:$AH$206,'Jan (next year)'!$D$27:$AH$206),27+3*(IFERROR(MATCH(C500,Roster!$B$6:$B$65,0),MATCH(C500,Roster!$C$6:$C$65,0))-1)+MATCH(B500,{"AM","PM","NIGHT"},0)-1-27+1,DAY(A500))&amp;"",""))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$206,'Feb'!$D$27:$AH$206,'Mar'!$D$27:$AH$206,'Apr'!$D$27:$AH$206,'May'!$D$27:$AH$206,'Jun'!$D$27:$AH$206,'Jul'!$D$27:$AH$206,'Aug'!$D$27:$AH$206,'Sep'!$D$27:$AH$206,'Oct'!$D$27:$AH$206,'Nov'!$D$27:$AH$206,'Dec'!$D$27:$AH$206,'Jan (next year)'!$D$27:$AH$206),27+3*(IFERROR(MATCH(C501,Roster!$B$6:$B$65,0),MATCH(C501,Roster!$C$6:$C$65,0))-1)+MATCH(B501,{"AM","PM","NIGHT"},0)-1-27+1,DAY(A501))&amp;"",""))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$206,'Feb'!$D$27:$AH$206,'Mar'!$D$27:$AH$206,'Apr'!$D$27:$AH$206,'May'!$D$27:$AH$206,'Jun'!$D$27:$AH$206,'Jul'!$D$27:$AH$206,'Aug'!$D$27:$AH$206,'Sep'!$D$27:$AH$206,'Oct'!$D$27:$AH$206,'Nov'!$D$27:$AH$206,'Dec'!$D$27:$AH$206,'Jan (next year)'!$D$27:$AH$206),27+3*(IFERROR(MATCH(C502,Roster!$B$6:$B$65,0),MATCH(C502,Roster!$C$6:$C$65,0))-1)+MATCH(B502,{"AM","PM","NIGHT"},0)-1-27+1,DAY(A502))&amp;"",""))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$206,'Feb'!$D$27:$AH$206,'Mar'!$D$27:$AH$206,'Apr'!$D$27:$AH$206,'May'!$D$27:$AH$206,'Jun'!$D$27:$AH$206,'Jul'!$D$27:$AH$206,'Aug'!$D$27:$AH$206,'Sep'!$D$27:$AH$206,'Oct'!$D$27:$AH$206,'Nov'!$D$27:$AH$206,'Dec'!$D$27:$AH$206,'Jan (next year)'!$D$27:$AH$206),27+3*(IFERROR(MATCH(C503,Roster!$B$6:$B$65,0),MATCH(C503,Roster!$C$6:$C$65,0))-1)+MATCH(B503,{"AM","PM","NIGHT"},0)-1-27+1,DAY(A503))&amp;"",""))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$206,'Feb'!$D$27:$AH$206,'Mar'!$D$27:$AH$206,'Apr'!$D$27:$AH$206,'May'!$D$27:$AH$206,'Jun'!$D$27:$AH$206,'Jul'!$D$27:$AH$206,'Aug'!$D$27:$AH$206,'Sep'!$D$27:$AH$206,'Oct'!$D$27:$AH$206,'Nov'!$D$27:$AH$206,'Dec'!$D$27:$AH$206,'Jan (next year)'!$D$27:$AH$206),27+3*(IFERROR(MATCH(C504,Roster!$B$6:$B$65,0),MATCH(C504,Roster!$C$6:$C$65,0))-1)+MATCH(B504,{"AM","PM","NIGHT"},0)-1-27+1,DAY(A504))&amp;"",""))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$206,'Feb'!$D$27:$AH$206,'Mar'!$D$27:$AH$206,'Apr'!$D$27:$AH$206,'May'!$D$27:$AH$206,'Jun'!$D$27:$AH$206,'Jul'!$D$27:$AH$206,'Aug'!$D$27:$AH$206,'Sep'!$D$27:$AH$206,'Oct'!$D$27:$AH$206,'Nov'!$D$27:$AH$206,'Dec'!$D$27:$AH$206,'Jan (next year)'!$D$27:$AH$206),27+3*(IFERROR(MATCH(C505,Roster!$B$6:$B$65,0),MATCH(C505,Roster!$C$6:$C$65,0))-1)+MATCH(B505,{"AM","PM","NIGHT"},0)-1-27+1,DAY(A505))&amp;"",""))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$206,'Feb'!$D$27:$AH$206,'Mar'!$D$27:$AH$206,'Apr'!$D$27:$AH$206,'May'!$D$27:$AH$206,'Jun'!$D$27:$AH$206,'Jul'!$D$27:$AH$206,'Aug'!$D$27:$AH$206,'Sep'!$D$27:$AH$206,'Oct'!$D$27:$AH$206,'Nov'!$D$27:$AH$206,'Dec'!$D$27:$AH$206,'Jan (next year)'!$D$27:$AH$206),27+3*(IFERROR(MATCH(C506,Roster!$B$6:$B$65,0),MATCH(C506,Roster!$C$6:$C$65,0))-1)+MATCH(B506,{"AM","PM","NIGHT"},0)-1-27+1,DAY(A506))&amp;"",""))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$206,'Feb'!$D$27:$AH$206,'Mar'!$D$27:$AH$206,'Apr'!$D$27:$AH$206,'May'!$D$27:$AH$206,'Jun'!$D$27:$AH$206,'Jul'!$D$27:$AH$206,'Aug'!$D$27:$AH$206,'Sep'!$D$27:$AH$206,'Oct'!$D$27:$AH$206,'Nov'!$D$27:$AH$206,'Dec'!$D$27:$AH$206,'Jan (next year)'!$D$27:$AH$206),27+3*(IFERROR(MATCH(C507,Roster!$B$6:$B$65,0),MATCH(C507,Roster!$C$6:$C$65,0))-1)+MATCH(B507,{"AM","PM","NIGHT"},0)-1-27+1,DAY(A507))&amp;"",""))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$206,'Feb'!$D$27:$AH$206,'Mar'!$D$27:$AH$206,'Apr'!$D$27:$AH$206,'May'!$D$27:$AH$206,'Jun'!$D$27:$AH$206,'Jul'!$D$27:$AH$206,'Aug'!$D$27:$AH$206,'Sep'!$D$27:$AH$206,'Oct'!$D$27:$AH$206,'Nov'!$D$27:$AH$206,'Dec'!$D$27:$AH$206,'Jan (next year)'!$D$27:$AH$206),27+3*(IFERROR(MATCH(C508,Roster!$B$6:$B$65,0),MATCH(C508,Roster!$C$6:$C$65,0))-1)+MATCH(B508,{"AM","PM","NIGHT"},0)-1-27+1,DAY(A508))&amp;"",""))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$206,'Feb'!$D$27:$AH$206,'Mar'!$D$27:$AH$206,'Apr'!$D$27:$AH$206,'May'!$D$27:$AH$206,'Jun'!$D$27:$AH$206,'Jul'!$D$27:$AH$206,'Aug'!$D$27:$AH$206,'Sep'!$D$27:$AH$206,'Oct'!$D$27:$AH$206,'Nov'!$D$27:$AH$206,'Dec'!$D$27:$AH$206,'Jan (next year)'!$D$27:$AH$206),27+3*(IFERROR(MATCH(C509,Roster!$B$6:$B$65,0),MATCH(C509,Roster!$C$6:$C$65,0))-1)+MATCH(B509,{"AM","PM","NIGHT"},0)-1-27+1,DAY(A509))&amp;"",""))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$206,'Feb'!$D$27:$AH$206,'Mar'!$D$27:$AH$206,'Apr'!$D$27:$AH$206,'May'!$D$27:$AH$206,'Jun'!$D$27:$AH$206,'Jul'!$D$27:$AH$206,'Aug'!$D$27:$AH$206,'Sep'!$D$27:$AH$206,'Oct'!$D$27:$AH$206,'Nov'!$D$27:$AH$206,'Dec'!$D$27:$AH$206,'Jan (next year)'!$D$27:$AH$206),27+3*(IFERROR(MATCH(C510,Roster!$B$6:$B$65,0),MATCH(C510,Roster!$C$6:$C$65,0))-1)+MATCH(B510,{"AM","PM","NIGHT"},0)-1-27+1,DAY(A510))&amp;"",""))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$206,'Feb'!$D$27:$AH$206,'Mar'!$D$27:$AH$206,'Apr'!$D$27:$AH$206,'May'!$D$27:$AH$206,'Jun'!$D$27:$AH$206,'Jul'!$D$27:$AH$206,'Aug'!$D$27:$AH$206,'Sep'!$D$27:$AH$206,'Oct'!$D$27:$AH$206,'Nov'!$D$27:$AH$206,'Dec'!$D$27:$AH$206,'Jan (next year)'!$D$27:$AH$206),27+3*(IFERROR(MATCH(C511,Roster!$B$6:$B$65,0),MATCH(C511,Roster!$C$6:$C$65,0))-1)+MATCH(B511,{"AM","PM","NIGHT"},0)-1-27+1,DAY(A511))&amp;"",""))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$206,'Feb'!$D$27:$AH$206,'Mar'!$D$27:$AH$206,'Apr'!$D$27:$AH$206,'May'!$D$27:$AH$206,'Jun'!$D$27:$AH$206,'Jul'!$D$27:$AH$206,'Aug'!$D$27:$AH$206,'Sep'!$D$27:$AH$206,'Oct'!$D$27:$AH$206,'Nov'!$D$27:$AH$206,'Dec'!$D$27:$AH$206,'Jan (next year)'!$D$27:$AH$206),27+3*(IFERROR(MATCH(C512,Roster!$B$6:$B$65,0),MATCH(C512,Roster!$C$6:$C$65,0))-1)+MATCH(B512,{"AM","PM","NIGHT"},0)-1-27+1,DAY(A512))&amp;"",""))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$206,'Feb'!$D$27:$AH$206,'Mar'!$D$27:$AH$206,'Apr'!$D$27:$AH$206,'May'!$D$27:$AH$206,'Jun'!$D$27:$AH$206,'Jul'!$D$27:$AH$206,'Aug'!$D$27:$AH$206,'Sep'!$D$27:$AH$206,'Oct'!$D$27:$AH$206,'Nov'!$D$27:$AH$206,'Dec'!$D$27:$AH$206,'Jan (next year)'!$D$27:$AH$206),27+3*(IFERROR(MATCH(C513,Roster!$B$6:$B$65,0),MATCH(C513,Roster!$C$6:$C$65,0))-1)+MATCH(B513,{"AM","PM","NIGHT"},0)-1-27+1,DAY(A513))&amp;"",""))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$206,'Feb'!$D$27:$AH$206,'Mar'!$D$27:$AH$206,'Apr'!$D$27:$AH$206,'May'!$D$27:$AH$206,'Jun'!$D$27:$AH$206,'Jul'!$D$27:$AH$206,'Aug'!$D$27:$AH$206,'Sep'!$D$27:$AH$206,'Oct'!$D$27:$AH$206,'Nov'!$D$27:$AH$206,'Dec'!$D$27:$AH$206,'Jan (next year)'!$D$27:$AH$206),27+3*(IFERROR(MATCH(C514,Roster!$B$6:$B$65,0),MATCH(C514,Roster!$C$6:$C$65,0))-1)+MATCH(B514,{"AM","PM","NIGHT"},0)-1-27+1,DAY(A514))&amp;"",""))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$206,'Feb'!$D$27:$AH$206,'Mar'!$D$27:$AH$206,'Apr'!$D$27:$AH$206,'May'!$D$27:$AH$206,'Jun'!$D$27:$AH$206,'Jul'!$D$27:$AH$206,'Aug'!$D$27:$AH$206,'Sep'!$D$27:$AH$206,'Oct'!$D$27:$AH$206,'Nov'!$D$27:$AH$206,'Dec'!$D$27:$AH$206,'Jan (next year)'!$D$27:$AH$206),27+3*(IFERROR(MATCH(C515,Roster!$B$6:$B$65,0),MATCH(C515,Roster!$C$6:$C$65,0))-1)+MATCH(B515,{"AM","PM","NIGHT"},0)-1-27+1,DAY(A515))&amp;"",""))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$206,'Feb'!$D$27:$AH$206,'Mar'!$D$27:$AH$206,'Apr'!$D$27:$AH$206,'May'!$D$27:$AH$206,'Jun'!$D$27:$AH$206,'Jul'!$D$27:$AH$206,'Aug'!$D$27:$AH$206,'Sep'!$D$27:$AH$206,'Oct'!$D$27:$AH$206,'Nov'!$D$27:$AH$206,'Dec'!$D$27:$AH$206,'Jan (next year)'!$D$27:$AH$206),27+3*(IFERROR(MATCH(C516,Roster!$B$6:$B$65,0),MATCH(C516,Roster!$C$6:$C$65,0))-1)+MATCH(B516,{"AM","PM","NIGHT"},0)-1-27+1,DAY(A516))&amp;"",""))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$206,'Feb'!$D$27:$AH$206,'Mar'!$D$27:$AH$206,'Apr'!$D$27:$AH$206,'May'!$D$27:$AH$206,'Jun'!$D$27:$AH$206,'Jul'!$D$27:$AH$206,'Aug'!$D$27:$AH$206,'Sep'!$D$27:$AH$206,'Oct'!$D$27:$AH$206,'Nov'!$D$27:$AH$206,'Dec'!$D$27:$AH$206,'Jan (next year)'!$D$27:$AH$206),27+3*(IFERROR(MATCH(C517,Roster!$B$6:$B$65,0),MATCH(C517,Roster!$C$6:$C$65,0))-1)+MATCH(B517,{"AM","PM","NIGHT"},0)-1-27+1,DAY(A517))&amp;"",""))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$206,'Feb'!$D$27:$AH$206,'Mar'!$D$27:$AH$206,'Apr'!$D$27:$AH$206,'May'!$D$27:$AH$206,'Jun'!$D$27:$AH$206,'Jul'!$D$27:$AH$206,'Aug'!$D$27:$AH$206,'Sep'!$D$27:$AH$206,'Oct'!$D$27:$AH$206,'Nov'!$D$27:$AH$206,'Dec'!$D$27:$AH$206,'Jan (next year)'!$D$27:$AH$206),27+3*(IFERROR(MATCH(C518,Roster!$B$6:$B$65,0),MATCH(C518,Roster!$C$6:$C$65,0))-1)+MATCH(B518,{"AM","PM","NIGHT"},0)-1-27+1,DAY(A518))&amp;"",""))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$206,'Feb'!$D$27:$AH$206,'Mar'!$D$27:$AH$206,'Apr'!$D$27:$AH$206,'May'!$D$27:$AH$206,'Jun'!$D$27:$AH$206,'Jul'!$D$27:$AH$206,'Aug'!$D$27:$AH$206,'Sep'!$D$27:$AH$206,'Oct'!$D$27:$AH$206,'Nov'!$D$27:$AH$206,'Dec'!$D$27:$AH$206,'Jan (next year)'!$D$27:$AH$206),27+3*(IFERROR(MATCH(C519,Roster!$B$6:$B$65,0),MATCH(C519,Roster!$C$6:$C$65,0))-1)+MATCH(B519,{"AM","PM","NIGHT"},0)-1-27+1,DAY(A519))&amp;"",""))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$206,'Feb'!$D$27:$AH$206,'Mar'!$D$27:$AH$206,'Apr'!$D$27:$AH$206,'May'!$D$27:$AH$206,'Jun'!$D$27:$AH$206,'Jul'!$D$27:$AH$206,'Aug'!$D$27:$AH$206,'Sep'!$D$27:$AH$206,'Oct'!$D$27:$AH$206,'Nov'!$D$27:$AH$206,'Dec'!$D$27:$AH$206,'Jan (next year)'!$D$27:$AH$206),27+3*(IFERROR(MATCH(C520,Roster!$B$6:$B$65,0),MATCH(C520,Roster!$C$6:$C$65,0))-1)+MATCH(B520,{"AM","PM","NIGHT"},0)-1-27+1,DAY(A520))&amp;"",""))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$206,'Feb'!$D$27:$AH$206,'Mar'!$D$27:$AH$206,'Apr'!$D$27:$AH$206,'May'!$D$27:$AH$206,'Jun'!$D$27:$AH$206,'Jul'!$D$27:$AH$206,'Aug'!$D$27:$AH$206,'Sep'!$D$27:$AH$206,'Oct'!$D$27:$AH$206,'Nov'!$D$27:$AH$206,'Dec'!$D$27:$AH$206,'Jan (next year)'!$D$27:$AH$206),27+3*(IFERROR(MATCH(C521,Roster!$B$6:$B$65,0),MATCH(C521,Roster!$C$6:$C$65,0))-1)+MATCH(B521,{"AM","PM","NIGHT"},0)-1-27+1,DAY(A521))&amp;"",""))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$206,'Feb'!$D$27:$AH$206,'Mar'!$D$27:$AH$206,'Apr'!$D$27:$AH$206,'May'!$D$27:$AH$206,'Jun'!$D$27:$AH$206,'Jul'!$D$27:$AH$206,'Aug'!$D$27:$AH$206,'Sep'!$D$27:$AH$206,'Oct'!$D$27:$AH$206,'Nov'!$D$27:$AH$206,'Dec'!$D$27:$AH$206,'Jan (next year)'!$D$27:$AH$206),27+3*(IFERROR(MATCH(C522,Roster!$B$6:$B$65,0),MATCH(C522,Roster!$C$6:$C$65,0))-1)+MATCH(B522,{"AM","PM","NIGHT"},0)-1-27+1,DAY(A522))&amp;"",""))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$206,'Feb'!$D$27:$AH$206,'Mar'!$D$27:$AH$206,'Apr'!$D$27:$AH$206,'May'!$D$27:$AH$206,'Jun'!$D$27:$AH$206,'Jul'!$D$27:$AH$206,'Aug'!$D$27:$AH$206,'Sep'!$D$27:$AH$206,'Oct'!$D$27:$AH$206,'Nov'!$D$27:$AH$206,'Dec'!$D$27:$AH$206,'Jan (next year)'!$D$27:$AH$206),27+3*(IFERROR(MATCH(C523,Roster!$B$6:$B$65,0),MATCH(C523,Roster!$C$6:$C$65,0))-1)+MATCH(B523,{"AM","PM","NIGHT"},0)-1-27+1,DAY(A523))&amp;"",""))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$206,'Feb'!$D$27:$AH$206,'Mar'!$D$27:$AH$206,'Apr'!$D$27:$AH$206,'May'!$D$27:$AH$206,'Jun'!$D$27:$AH$206,'Jul'!$D$27:$AH$206,'Aug'!$D$27:$AH$206,'Sep'!$D$27:$AH$206,'Oct'!$D$27:$AH$206,'Nov'!$D$27:$AH$206,'Dec'!$D$27:$AH$206,'Jan (next year)'!$D$27:$AH$206),27+3*(IFERROR(MATCH(C524,Roster!$B$6:$B$65,0),MATCH(C524,Roster!$C$6:$C$65,0))-1)+MATCH(B524,{"AM","PM","NIGHT"},0)-1-27+1,DAY(A524))&amp;"",""))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$206,'Feb'!$D$27:$AH$206,'Mar'!$D$27:$AH$206,'Apr'!$D$27:$AH$206,'May'!$D$27:$AH$206,'Jun'!$D$27:$AH$206,'Jul'!$D$27:$AH$206,'Aug'!$D$27:$AH$206,'Sep'!$D$27:$AH$206,'Oct'!$D$27:$AH$206,'Nov'!$D$27:$AH$206,'Dec'!$D$27:$AH$206,'Jan (next year)'!$D$27:$AH$206),27+3*(IFERROR(MATCH(C525,Roster!$B$6:$B$65,0),MATCH(C525,Roster!$C$6:$C$65,0))-1)+MATCH(B525,{"AM","PM","NIGHT"},0)-1-27+1,DAY(A525))&amp;"",""))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$206,'Feb'!$D$27:$AH$206,'Mar'!$D$27:$AH$206,'Apr'!$D$27:$AH$206,'May'!$D$27:$AH$206,'Jun'!$D$27:$AH$206,'Jul'!$D$27:$AH$206,'Aug'!$D$27:$AH$206,'Sep'!$D$27:$AH$206,'Oct'!$D$27:$AH$206,'Nov'!$D$27:$AH$206,'Dec'!$D$27:$AH$206,'Jan (next year)'!$D$27:$AH$206),27+3*(IFERROR(MATCH(C526,Roster!$B$6:$B$65,0),MATCH(C526,Roster!$C$6:$C$65,0))-1)+MATCH(B526,{"AM","PM","NIGHT"},0)-1-27+1,DAY(A526))&amp;"",""))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$206,'Feb'!$D$27:$AH$206,'Mar'!$D$27:$AH$206,'Apr'!$D$27:$AH$206,'May'!$D$27:$AH$206,'Jun'!$D$27:$AH$206,'Jul'!$D$27:$AH$206,'Aug'!$D$27:$AH$206,'Sep'!$D$27:$AH$206,'Oct'!$D$27:$AH$206,'Nov'!$D$27:$AH$206,'Dec'!$D$27:$AH$206,'Jan (next year)'!$D$27:$AH$206),27+3*(IFERROR(MATCH(C527,Roster!$B$6:$B$65,0),MATCH(C527,Roster!$C$6:$C$65,0))-1)+MATCH(B527,{"AM","PM","NIGHT"},0)-1-27+1,DAY(A527))&amp;"",""))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$206,'Feb'!$D$27:$AH$206,'Mar'!$D$27:$AH$206,'Apr'!$D$27:$AH$206,'May'!$D$27:$AH$206,'Jun'!$D$27:$AH$206,'Jul'!$D$27:$AH$206,'Aug'!$D$27:$AH$206,'Sep'!$D$27:$AH$206,'Oct'!$D$27:$AH$206,'Nov'!$D$27:$AH$206,'Dec'!$D$27:$AH$206,'Jan (next year)'!$D$27:$AH$206),27+3*(IFERROR(MATCH(C528,Roster!$B$6:$B$65,0),MATCH(C528,Roster!$C$6:$C$65,0))-1)+MATCH(B528,{"AM","PM","NIGHT"},0)-1-27+1,DAY(A528))&amp;"",""))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$206,'Feb'!$D$27:$AH$206,'Mar'!$D$27:$AH$206,'Apr'!$D$27:$AH$206,'May'!$D$27:$AH$206,'Jun'!$D$27:$AH$206,'Jul'!$D$27:$AH$206,'Aug'!$D$27:$AH$206,'Sep'!$D$27:$AH$206,'Oct'!$D$27:$AH$206,'Nov'!$D$27:$AH$206,'Dec'!$D$27:$AH$206,'Jan (next year)'!$D$27:$AH$206),27+3*(IFERROR(MATCH(C529,Roster!$B$6:$B$65,0),MATCH(C529,Roster!$C$6:$C$65,0))-1)+MATCH(B529,{"AM","PM","NIGHT"},0)-1-27+1,DAY(A529))&amp;"",""))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$206,'Feb'!$D$27:$AH$206,'Mar'!$D$27:$AH$206,'Apr'!$D$27:$AH$206,'May'!$D$27:$AH$206,'Jun'!$D$27:$AH$206,'Jul'!$D$27:$AH$206,'Aug'!$D$27:$AH$206,'Sep'!$D$27:$AH$206,'Oct'!$D$27:$AH$206,'Nov'!$D$27:$AH$206,'Dec'!$D$27:$AH$206,'Jan (next year)'!$D$27:$AH$206),27+3*(IFERROR(MATCH(C530,Roster!$B$6:$B$65,0),MATCH(C530,Roster!$C$6:$C$65,0))-1)+MATCH(B530,{"AM","PM","NIGHT"},0)-1-27+1,DAY(A530))&amp;"",""))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$206,'Feb'!$D$27:$AH$206,'Mar'!$D$27:$AH$206,'Apr'!$D$27:$AH$206,'May'!$D$27:$AH$206,'Jun'!$D$27:$AH$206,'Jul'!$D$27:$AH$206,'Aug'!$D$27:$AH$206,'Sep'!$D$27:$AH$206,'Oct'!$D$27:$AH$206,'Nov'!$D$27:$AH$206,'Dec'!$D$27:$AH$206,'Jan (next year)'!$D$27:$AH$206),27+3*(IFERROR(MATCH(C531,Roster!$B$6:$B$65,0),MATCH(C531,Roster!$C$6:$C$65,0))-1)+MATCH(B531,{"AM","PM","NIGHT"},0)-1-27+1,DAY(A531))&amp;"",""))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$206,'Feb'!$D$27:$AH$206,'Mar'!$D$27:$AH$206,'Apr'!$D$27:$AH$206,'May'!$D$27:$AH$206,'Jun'!$D$27:$AH$206,'Jul'!$D$27:$AH$206,'Aug'!$D$27:$AH$206,'Sep'!$D$27:$AH$206,'Oct'!$D$27:$AH$206,'Nov'!$D$27:$AH$206,'Dec'!$D$27:$AH$206,'Jan (next year)'!$D$27:$AH$206),27+3*(IFERROR(MATCH(C532,Roster!$B$6:$B$65,0),MATCH(C532,Roster!$C$6:$C$65,0))-1)+MATCH(B532,{"AM","PM","NIGHT"},0)-1-27+1,DAY(A532))&amp;"",""))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$206,'Feb'!$D$27:$AH$206,'Mar'!$D$27:$AH$206,'Apr'!$D$27:$AH$206,'May'!$D$27:$AH$206,'Jun'!$D$27:$AH$206,'Jul'!$D$27:$AH$206,'Aug'!$D$27:$AH$206,'Sep'!$D$27:$AH$206,'Oct'!$D$27:$AH$206,'Nov'!$D$27:$AH$206,'Dec'!$D$27:$AH$206,'Jan (next year)'!$D$27:$AH$206),27+3*(IFERROR(MATCH(C533,Roster!$B$6:$B$65,0),MATCH(C533,Roster!$C$6:$C$65,0))-1)+MATCH(B533,{"AM","PM","NIGHT"},0)-1-27+1,DAY(A533))&amp;"",""))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$206,'Feb'!$D$27:$AH$206,'Mar'!$D$27:$AH$206,'Apr'!$D$27:$AH$206,'May'!$D$27:$AH$206,'Jun'!$D$27:$AH$206,'Jul'!$D$27:$AH$206,'Aug'!$D$27:$AH$206,'Sep'!$D$27:$AH$206,'Oct'!$D$27:$AH$206,'Nov'!$D$27:$AH$206,'Dec'!$D$27:$AH$206,'Jan (next year)'!$D$27:$AH$206),27+3*(IFERROR(MATCH(C534,Roster!$B$6:$B$65,0),MATCH(C534,Roster!$C$6:$C$65,0))-1)+MATCH(B534,{"AM","PM","NIGHT"},0)-1-27+1,DAY(A534))&amp;"",""))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$206,'Feb'!$D$27:$AH$206,'Mar'!$D$27:$AH$206,'Apr'!$D$27:$AH$206,'May'!$D$27:$AH$206,'Jun'!$D$27:$AH$206,'Jul'!$D$27:$AH$206,'Aug'!$D$27:$AH$206,'Sep'!$D$27:$AH$206,'Oct'!$D$27:$AH$206,'Nov'!$D$27:$AH$206,'Dec'!$D$27:$AH$206,'Jan (next year)'!$D$27:$AH$206),27+3*(IFERROR(MATCH(C535,Roster!$B$6:$B$65,0),MATCH(C535,Roster!$C$6:$C$65,0))-1)+MATCH(B535,{"AM","PM","NIGHT"},0)-1-27+1,DAY(A535))&amp;"",""))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$206,'Feb'!$D$27:$AH$206,'Mar'!$D$27:$AH$206,'Apr'!$D$27:$AH$206,'May'!$D$27:$AH$206,'Jun'!$D$27:$AH$206,'Jul'!$D$27:$AH$206,'Aug'!$D$27:$AH$206,'Sep'!$D$27:$AH$206,'Oct'!$D$27:$AH$206,'Nov'!$D$27:$AH$206,'Dec'!$D$27:$AH$206,'Jan (next year)'!$D$27:$AH$206),27+3*(IFERROR(MATCH(C536,Roster!$B$6:$B$65,0),MATCH(C536,Roster!$C$6:$C$65,0))-1)+MATCH(B536,{"AM","PM","NIGHT"},0)-1-27+1,DAY(A536))&amp;"",""))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$206,'Feb'!$D$27:$AH$206,'Mar'!$D$27:$AH$206,'Apr'!$D$27:$AH$206,'May'!$D$27:$AH$206,'Jun'!$D$27:$AH$206,'Jul'!$D$27:$AH$206,'Aug'!$D$27:$AH$206,'Sep'!$D$27:$AH$206,'Oct'!$D$27:$AH$206,'Nov'!$D$27:$AH$206,'Dec'!$D$27:$AH$206,'Jan (next year)'!$D$27:$AH$206),27+3*(IFERROR(MATCH(C537,Roster!$B$6:$B$65,0),MATCH(C537,Roster!$C$6:$C$65,0))-1)+MATCH(B537,{"AM","PM","NIGHT"},0)-1-27+1,DAY(A537))&amp;"",""))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$206,'Feb'!$D$27:$AH$206,'Mar'!$D$27:$AH$206,'Apr'!$D$27:$AH$206,'May'!$D$27:$AH$206,'Jun'!$D$27:$AH$206,'Jul'!$D$27:$AH$206,'Aug'!$D$27:$AH$206,'Sep'!$D$27:$AH$206,'Oct'!$D$27:$AH$206,'Nov'!$D$27:$AH$206,'Dec'!$D$27:$AH$206,'Jan (next year)'!$D$27:$AH$206),27+3*(IFERROR(MATCH(C538,Roster!$B$6:$B$65,0),MATCH(C538,Roster!$C$6:$C$65,0))-1)+MATCH(B538,{"AM","PM","NIGHT"},0)-1-27+1,DAY(A538))&amp;"",""))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$206,'Feb'!$D$27:$AH$206,'Mar'!$D$27:$AH$206,'Apr'!$D$27:$AH$206,'May'!$D$27:$AH$206,'Jun'!$D$27:$AH$206,'Jul'!$D$27:$AH$206,'Aug'!$D$27:$AH$206,'Sep'!$D$27:$AH$206,'Oct'!$D$27:$AH$206,'Nov'!$D$27:$AH$206,'Dec'!$D$27:$AH$206,'Jan (next year)'!$D$27:$AH$206),27+3*(IFERROR(MATCH(C539,Roster!$B$6:$B$65,0),MATCH(C539,Roster!$C$6:$C$65,0))-1)+MATCH(B539,{"AM","PM","NIGHT"},0)-1-27+1,DAY(A539))&amp;"",""))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$206,'Feb'!$D$27:$AH$206,'Mar'!$D$27:$AH$206,'Apr'!$D$27:$AH$206,'May'!$D$27:$AH$206,'Jun'!$D$27:$AH$206,'Jul'!$D$27:$AH$206,'Aug'!$D$27:$AH$206,'Sep'!$D$27:$AH$206,'Oct'!$D$27:$AH$206,'Nov'!$D$27:$AH$206,'Dec'!$D$27:$AH$206,'Jan (next year)'!$D$27:$AH$206),27+3*(IFERROR(MATCH(C540,Roster!$B$6:$B$65,0),MATCH(C540,Roster!$C$6:$C$65,0))-1)+MATCH(B540,{"AM","PM","NIGHT"},0)-1-27+1,DAY(A540))&amp;"",""))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$206,'Feb'!$D$27:$AH$206,'Mar'!$D$27:$AH$206,'Apr'!$D$27:$AH$206,'May'!$D$27:$AH$206,'Jun'!$D$27:$AH$206,'Jul'!$D$27:$AH$206,'Aug'!$D$27:$AH$206,'Sep'!$D$27:$AH$206,'Oct'!$D$27:$AH$206,'Nov'!$D$27:$AH$206,'Dec'!$D$27:$AH$206,'Jan (next year)'!$D$27:$AH$206),27+3*(IFERROR(MATCH(C541,Roster!$B$6:$B$65,0),MATCH(C541,Roster!$C$6:$C$65,0))-1)+MATCH(B541,{"AM","PM","NIGHT"},0)-1-27+1,DAY(A541))&amp;"",""))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$206,'Feb'!$D$27:$AH$206,'Mar'!$D$27:$AH$206,'Apr'!$D$27:$AH$206,'May'!$D$27:$AH$206,'Jun'!$D$27:$AH$206,'Jul'!$D$27:$AH$206,'Aug'!$D$27:$AH$206,'Sep'!$D$27:$AH$206,'Oct'!$D$27:$AH$206,'Nov'!$D$27:$AH$206,'Dec'!$D$27:$AH$206,'Jan (next year)'!$D$27:$AH$206),27+3*(IFERROR(MATCH(C542,Roster!$B$6:$B$65,0),MATCH(C542,Roster!$C$6:$C$65,0))-1)+MATCH(B542,{"AM","PM","NIGHT"},0)-1-27+1,DAY(A542))&amp;"",""))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$206,'Feb'!$D$27:$AH$206,'Mar'!$D$27:$AH$206,'Apr'!$D$27:$AH$206,'May'!$D$27:$AH$206,'Jun'!$D$27:$AH$206,'Jul'!$D$27:$AH$206,'Aug'!$D$27:$AH$206,'Sep'!$D$27:$AH$206,'Oct'!$D$27:$AH$206,'Nov'!$D$27:$AH$206,'Dec'!$D$27:$AH$206,'Jan (next year)'!$D$27:$AH$206),27+3*(IFERROR(MATCH(C543,Roster!$B$6:$B$65,0),MATCH(C543,Roster!$C$6:$C$65,0))-1)+MATCH(B543,{"AM","PM","NIGHT"},0)-1-27+1,DAY(A543))&amp;"",""))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$206,'Feb'!$D$27:$AH$206,'Mar'!$D$27:$AH$206,'Apr'!$D$27:$AH$206,'May'!$D$27:$AH$206,'Jun'!$D$27:$AH$206,'Jul'!$D$27:$AH$206,'Aug'!$D$27:$AH$206,'Sep'!$D$27:$AH$206,'Oct'!$D$27:$AH$206,'Nov'!$D$27:$AH$206,'Dec'!$D$27:$AH$206,'Jan (next year)'!$D$27:$AH$206),27+3*(IFERROR(MATCH(C544,Roster!$B$6:$B$65,0),MATCH(C544,Roster!$C$6:$C$65,0))-1)+MATCH(B544,{"AM","PM","NIGHT"},0)-1-27+1,DAY(A544))&amp;"",""))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$206,'Feb'!$D$27:$AH$206,'Mar'!$D$27:$AH$206,'Apr'!$D$27:$AH$206,'May'!$D$27:$AH$206,'Jun'!$D$27:$AH$206,'Jul'!$D$27:$AH$206,'Aug'!$D$27:$AH$206,'Sep'!$D$27:$AH$206,'Oct'!$D$27:$AH$206,'Nov'!$D$27:$AH$206,'Dec'!$D$27:$AH$206,'Jan (next year)'!$D$27:$AH$206),27+3*(IFERROR(MATCH(C545,Roster!$B$6:$B$65,0),MATCH(C545,Roster!$C$6:$C$65,0))-1)+MATCH(B545,{"AM","PM","NIGHT"},0)-1-27+1,DAY(A545))&amp;"",""))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$206,'Feb'!$D$27:$AH$206,'Mar'!$D$27:$AH$206,'Apr'!$D$27:$AH$206,'May'!$D$27:$AH$206,'Jun'!$D$27:$AH$206,'Jul'!$D$27:$AH$206,'Aug'!$D$27:$AH$206,'Sep'!$D$27:$AH$206,'Oct'!$D$27:$AH$206,'Nov'!$D$27:$AH$206,'Dec'!$D$27:$AH$206,'Jan (next year)'!$D$27:$AH$206),27+3*(IFERROR(MATCH(C546,Roster!$B$6:$B$65,0),MATCH(C546,Roster!$C$6:$C$65,0))-1)+MATCH(B546,{"AM","PM","NIGHT"},0)-1-27+1,DAY(A546))&amp;"",""))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$206,'Feb'!$D$27:$AH$206,'Mar'!$D$27:$AH$206,'Apr'!$D$27:$AH$206,'May'!$D$27:$AH$206,'Jun'!$D$27:$AH$206,'Jul'!$D$27:$AH$206,'Aug'!$D$27:$AH$206,'Sep'!$D$27:$AH$206,'Oct'!$D$27:$AH$206,'Nov'!$D$27:$AH$206,'Dec'!$D$27:$AH$206,'Jan (next year)'!$D$27:$AH$206),27+3*(IFERROR(MATCH(C547,Roster!$B$6:$B$65,0),MATCH(C547,Roster!$C$6:$C$65,0))-1)+MATCH(B547,{"AM","PM","NIGHT"},0)-1-27+1,DAY(A547))&amp;"",""))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$206,'Feb'!$D$27:$AH$206,'Mar'!$D$27:$AH$206,'Apr'!$D$27:$AH$206,'May'!$D$27:$AH$206,'Jun'!$D$27:$AH$206,'Jul'!$D$27:$AH$206,'Aug'!$D$27:$AH$206,'Sep'!$D$27:$AH$206,'Oct'!$D$27:$AH$206,'Nov'!$D$27:$AH$206,'Dec'!$D$27:$AH$206,'Jan (next year)'!$D$27:$AH$206),27+3*(IFERROR(MATCH(C548,Roster!$B$6:$B$65,0),MATCH(C548,Roster!$C$6:$C$65,0))-1)+MATCH(B548,{"AM","PM","NIGHT"},0)-1-27+1,DAY(A548))&amp;"",""))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$206,'Feb'!$D$27:$AH$206,'Mar'!$D$27:$AH$206,'Apr'!$D$27:$AH$206,'May'!$D$27:$AH$206,'Jun'!$D$27:$AH$206,'Jul'!$D$27:$AH$206,'Aug'!$D$27:$AH$206,'Sep'!$D$27:$AH$206,'Oct'!$D$27:$AH$206,'Nov'!$D$27:$AH$206,'Dec'!$D$27:$AH$206,'Jan (next year)'!$D$27:$AH$206),27+3*(IFERROR(MATCH(C549,Roster!$B$6:$B$65,0),MATCH(C549,Roster!$C$6:$C$65,0))-1)+MATCH(B549,{"AM","PM","NIGHT"},0)-1-27+1,DAY(A549))&amp;"",""))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$206,'Feb'!$D$27:$AH$206,'Mar'!$D$27:$AH$206,'Apr'!$D$27:$AH$206,'May'!$D$27:$AH$206,'Jun'!$D$27:$AH$206,'Jul'!$D$27:$AH$206,'Aug'!$D$27:$AH$206,'Sep'!$D$27:$AH$206,'Oct'!$D$27:$AH$206,'Nov'!$D$27:$AH$206,'Dec'!$D$27:$AH$206,'Jan (next year)'!$D$27:$AH$206),27+3*(IFERROR(MATCH(C550,Roster!$B$6:$B$65,0),MATCH(C550,Roster!$C$6:$C$65,0))-1)+MATCH(B550,{"AM","PM","NIGHT"},0)-1-27+1,DAY(A550))&amp;"",""))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$206,'Feb'!$D$27:$AH$206,'Mar'!$D$27:$AH$206,'Apr'!$D$27:$AH$206,'May'!$D$27:$AH$206,'Jun'!$D$27:$AH$206,'Jul'!$D$27:$AH$206,'Aug'!$D$27:$AH$206,'Sep'!$D$27:$AH$206,'Oct'!$D$27:$AH$206,'Nov'!$D$27:$AH$206,'Dec'!$D$27:$AH$206,'Jan (next year)'!$D$27:$AH$206),27+3*(IFERROR(MATCH(C551,Roster!$B$6:$B$65,0),MATCH(C551,Roster!$C$6:$C$65,0))-1)+MATCH(B551,{"AM","PM","NIGHT"},0)-1-27+1,DAY(A551))&amp;"",""))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$206,'Feb'!$D$27:$AH$206,'Mar'!$D$27:$AH$206,'Apr'!$D$27:$AH$206,'May'!$D$27:$AH$206,'Jun'!$D$27:$AH$206,'Jul'!$D$27:$AH$206,'Aug'!$D$27:$AH$206,'Sep'!$D$27:$AH$206,'Oct'!$D$27:$AH$206,'Nov'!$D$27:$AH$206,'Dec'!$D$27:$AH$206,'Jan (next year)'!$D$27:$AH$206),27+3*(IFERROR(MATCH(C552,Roster!$B$6:$B$65,0),MATCH(C552,Roster!$C$6:$C$65,0))-1)+MATCH(B552,{"AM","PM","NIGHT"},0)-1-27+1,DAY(A552))&amp;"",""))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$206,'Feb'!$D$27:$AH$206,'Mar'!$D$27:$AH$206,'Apr'!$D$27:$AH$206,'May'!$D$27:$AH$206,'Jun'!$D$27:$AH$206,'Jul'!$D$27:$AH$206,'Aug'!$D$27:$AH$206,'Sep'!$D$27:$AH$206,'Oct'!$D$27:$AH$206,'Nov'!$D$27:$AH$206,'Dec'!$D$27:$AH$206,'Jan (next year)'!$D$27:$AH$206),27+3*(IFERROR(MATCH(C553,Roster!$B$6:$B$65,0),MATCH(C553,Roster!$C$6:$C$65,0))-1)+MATCH(B553,{"AM","PM","NIGHT"},0)-1-27+1,DAY(A553))&amp;"",""))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$206,'Feb'!$D$27:$AH$206,'Mar'!$D$27:$AH$206,'Apr'!$D$27:$AH$206,'May'!$D$27:$AH$206,'Jun'!$D$27:$AH$206,'Jul'!$D$27:$AH$206,'Aug'!$D$27:$AH$206,'Sep'!$D$27:$AH$206,'Oct'!$D$27:$AH$206,'Nov'!$D$27:$AH$206,'Dec'!$D$27:$AH$206,'Jan (next year)'!$D$27:$AH$206),27+3*(IFERROR(MATCH(C554,Roster!$B$6:$B$65,0),MATCH(C554,Roster!$C$6:$C$65,0))-1)+MATCH(B554,{"AM","PM","NIGHT"},0)-1-27+1,DAY(A554))&amp;"",""))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$206,'Feb'!$D$27:$AH$206,'Mar'!$D$27:$AH$206,'Apr'!$D$27:$AH$206,'May'!$D$27:$AH$206,'Jun'!$D$27:$AH$206,'Jul'!$D$27:$AH$206,'Aug'!$D$27:$AH$206,'Sep'!$D$27:$AH$206,'Oct'!$D$27:$AH$206,'Nov'!$D$27:$AH$206,'Dec'!$D$27:$AH$206,'Jan (next year)'!$D$27:$AH$206),27+3*(IFERROR(MATCH(C555,Roster!$B$6:$B$65,0),MATCH(C555,Roster!$C$6:$C$65,0))-1)+MATCH(B555,{"AM","PM","NIGHT"},0)-1-27+1,DAY(A555))&amp;"",""))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$206,'Feb'!$D$27:$AH$206,'Mar'!$D$27:$AH$206,'Apr'!$D$27:$AH$206,'May'!$D$27:$AH$206,'Jun'!$D$27:$AH$206,'Jul'!$D$27:$AH$206,'Aug'!$D$27:$AH$206,'Sep'!$D$27:$AH$206,'Oct'!$D$27:$AH$206,'Nov'!$D$27:$AH$206,'Dec'!$D$27:$AH$206,'Jan (next year)'!$D$27:$AH$206),27+3*(IFERROR(MATCH(C556,Roster!$B$6:$B$65,0),MATCH(C556,Roster!$C$6:$C$65,0))-1)+MATCH(B556,{"AM","PM","NIGHT"},0)-1-27+1,DAY(A556))&amp;"",""))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$206,'Feb'!$D$27:$AH$206,'Mar'!$D$27:$AH$206,'Apr'!$D$27:$AH$206,'May'!$D$27:$AH$206,'Jun'!$D$27:$AH$206,'Jul'!$D$27:$AH$206,'Aug'!$D$27:$AH$206,'Sep'!$D$27:$AH$206,'Oct'!$D$27:$AH$206,'Nov'!$D$27:$AH$206,'Dec'!$D$27:$AH$206,'Jan (next year)'!$D$27:$AH$206),27+3*(IFERROR(MATCH(C557,Roster!$B$6:$B$65,0),MATCH(C557,Roster!$C$6:$C$65,0))-1)+MATCH(B557,{"AM","PM","NIGHT"},0)-1-27+1,DAY(A557))&amp;"",""))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$206,'Feb'!$D$27:$AH$206,'Mar'!$D$27:$AH$206,'Apr'!$D$27:$AH$206,'May'!$D$27:$AH$206,'Jun'!$D$27:$AH$206,'Jul'!$D$27:$AH$206,'Aug'!$D$27:$AH$206,'Sep'!$D$27:$AH$206,'Oct'!$D$27:$AH$206,'Nov'!$D$27:$AH$206,'Dec'!$D$27:$AH$206,'Jan (next year)'!$D$27:$AH$206),27+3*(IFERROR(MATCH(C558,Roster!$B$6:$B$65,0),MATCH(C558,Roster!$C$6:$C$65,0))-1)+MATCH(B558,{"AM","PM","NIGHT"},0)-1-27+1,DAY(A558))&amp;"",""))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$206,'Feb'!$D$27:$AH$206,'Mar'!$D$27:$AH$206,'Apr'!$D$27:$AH$206,'May'!$D$27:$AH$206,'Jun'!$D$27:$AH$206,'Jul'!$D$27:$AH$206,'Aug'!$D$27:$AH$206,'Sep'!$D$27:$AH$206,'Oct'!$D$27:$AH$206,'Nov'!$D$27:$AH$206,'Dec'!$D$27:$AH$206,'Jan (next year)'!$D$27:$AH$206),27+3*(IFERROR(MATCH(C559,Roster!$B$6:$B$65,0),MATCH(C559,Roster!$C$6:$C$65,0))-1)+MATCH(B559,{"AM","PM","NIGHT"},0)-1-27+1,DAY(A559))&amp;"",""))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$206,'Feb'!$D$27:$AH$206,'Mar'!$D$27:$AH$206,'Apr'!$D$27:$AH$206,'May'!$D$27:$AH$206,'Jun'!$D$27:$AH$206,'Jul'!$D$27:$AH$206,'Aug'!$D$27:$AH$206,'Sep'!$D$27:$AH$206,'Oct'!$D$27:$AH$206,'Nov'!$D$27:$AH$206,'Dec'!$D$27:$AH$206,'Jan (next year)'!$D$27:$AH$206),27+3*(IFERROR(MATCH(C560,Roster!$B$6:$B$65,0),MATCH(C560,Roster!$C$6:$C$65,0))-1)+MATCH(B560,{"AM","PM","NIGHT"},0)-1-27+1,DAY(A560))&amp;"",""))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$206,'Feb'!$D$27:$AH$206,'Mar'!$D$27:$AH$206,'Apr'!$D$27:$AH$206,'May'!$D$27:$AH$206,'Jun'!$D$27:$AH$206,'Jul'!$D$27:$AH$206,'Aug'!$D$27:$AH$206,'Sep'!$D$27:$AH$206,'Oct'!$D$27:$AH$206,'Nov'!$D$27:$AH$206,'Dec'!$D$27:$AH$206,'Jan (next year)'!$D$27:$AH$206),27+3*(IFERROR(MATCH(C561,Roster!$B$6:$B$65,0),MATCH(C561,Roster!$C$6:$C$65,0))-1)+MATCH(B561,{"AM","PM","NIGHT"},0)-1-27+1,DAY(A561))&amp;"",""))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$206,'Feb'!$D$27:$AH$206,'Mar'!$D$27:$AH$206,'Apr'!$D$27:$AH$206,'May'!$D$27:$AH$206,'Jun'!$D$27:$AH$206,'Jul'!$D$27:$AH$206,'Aug'!$D$27:$AH$206,'Sep'!$D$27:$AH$206,'Oct'!$D$27:$AH$206,'Nov'!$D$27:$AH$206,'Dec'!$D$27:$AH$206,'Jan (next year)'!$D$27:$AH$206),27+3*(IFERROR(MATCH(C562,Roster!$B$6:$B$65,0),MATCH(C562,Roster!$C$6:$C$65,0))-1)+MATCH(B562,{"AM","PM","NIGHT"},0)-1-27+1,DAY(A562))&amp;"",""))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$206,'Feb'!$D$27:$AH$206,'Mar'!$D$27:$AH$206,'Apr'!$D$27:$AH$206,'May'!$D$27:$AH$206,'Jun'!$D$27:$AH$206,'Jul'!$D$27:$AH$206,'Aug'!$D$27:$AH$206,'Sep'!$D$27:$AH$206,'Oct'!$D$27:$AH$206,'Nov'!$D$27:$AH$206,'Dec'!$D$27:$AH$206,'Jan (next year)'!$D$27:$AH$206),27+3*(IFERROR(MATCH(C563,Roster!$B$6:$B$65,0),MATCH(C563,Roster!$C$6:$C$65,0))-1)+MATCH(B563,{"AM","PM","NIGHT"},0)-1-27+1,DAY(A563))&amp;"",""))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$206,'Feb'!$D$27:$AH$206,'Mar'!$D$27:$AH$206,'Apr'!$D$27:$AH$206,'May'!$D$27:$AH$206,'Jun'!$D$27:$AH$206,'Jul'!$D$27:$AH$206,'Aug'!$D$27:$AH$206,'Sep'!$D$27:$AH$206,'Oct'!$D$27:$AH$206,'Nov'!$D$27:$AH$206,'Dec'!$D$27:$AH$206,'Jan (next year)'!$D$27:$AH$206),27+3*(IFERROR(MATCH(C564,Roster!$B$6:$B$65,0),MATCH(C564,Roster!$C$6:$C$65,0))-1)+MATCH(B564,{"AM","PM","NIGHT"},0)-1-27+1,DAY(A564))&amp;"",""))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$206,'Feb'!$D$27:$AH$206,'Mar'!$D$27:$AH$206,'Apr'!$D$27:$AH$206,'May'!$D$27:$AH$206,'Jun'!$D$27:$AH$206,'Jul'!$D$27:$AH$206,'Aug'!$D$27:$AH$206,'Sep'!$D$27:$AH$206,'Oct'!$D$27:$AH$206,'Nov'!$D$27:$AH$206,'Dec'!$D$27:$AH$206,'Jan (next year)'!$D$27:$AH$206),27+3*(IFERROR(MATCH(C565,Roster!$B$6:$B$65,0),MATCH(C565,Roster!$C$6:$C$65,0))-1)+MATCH(B565,{"AM","PM","NIGHT"},0)-1-27+1,DAY(A565))&amp;"",""))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$206,'Feb'!$D$27:$AH$206,'Mar'!$D$27:$AH$206,'Apr'!$D$27:$AH$206,'May'!$D$27:$AH$206,'Jun'!$D$27:$AH$206,'Jul'!$D$27:$AH$206,'Aug'!$D$27:$AH$206,'Sep'!$D$27:$AH$206,'Oct'!$D$27:$AH$206,'Nov'!$D$27:$AH$206,'Dec'!$D$27:$AH$206,'Jan (next year)'!$D$27:$AH$206),27+3*(IFERROR(MATCH(C566,Roster!$B$6:$B$65,0),MATCH(C566,Roster!$C$6:$C$65,0))-1)+MATCH(B566,{"AM","PM","NIGHT"},0)-1-27+1,DAY(A566))&amp;"",""))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$206,'Feb'!$D$27:$AH$206,'Mar'!$D$27:$AH$206,'Apr'!$D$27:$AH$206,'May'!$D$27:$AH$206,'Jun'!$D$27:$AH$206,'Jul'!$D$27:$AH$206,'Aug'!$D$27:$AH$206,'Sep'!$D$27:$AH$206,'Oct'!$D$27:$AH$206,'Nov'!$D$27:$AH$206,'Dec'!$D$27:$AH$206,'Jan (next year)'!$D$27:$AH$206),27+3*(IFERROR(MATCH(C567,Roster!$B$6:$B$65,0),MATCH(C567,Roster!$C$6:$C$65,0))-1)+MATCH(B567,{"AM","PM","NIGHT"},0)-1-27+1,DAY(A567))&amp;"",""))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$206,'Feb'!$D$27:$AH$206,'Mar'!$D$27:$AH$206,'Apr'!$D$27:$AH$206,'May'!$D$27:$AH$206,'Jun'!$D$27:$AH$206,'Jul'!$D$27:$AH$206,'Aug'!$D$27:$AH$206,'Sep'!$D$27:$AH$206,'Oct'!$D$27:$AH$206,'Nov'!$D$27:$AH$206,'Dec'!$D$27:$AH$206,'Jan (next year)'!$D$27:$AH$206),27+3*(IFERROR(MATCH(C568,Roster!$B$6:$B$65,0),MATCH(C568,Roster!$C$6:$C$65,0))-1)+MATCH(B568,{"AM","PM","NIGHT"},0)-1-27+1,DAY(A568))&amp;"",""))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$206,'Feb'!$D$27:$AH$206,'Mar'!$D$27:$AH$206,'Apr'!$D$27:$AH$206,'May'!$D$27:$AH$206,'Jun'!$D$27:$AH$206,'Jul'!$D$27:$AH$206,'Aug'!$D$27:$AH$206,'Sep'!$D$27:$AH$206,'Oct'!$D$27:$AH$206,'Nov'!$D$27:$AH$206,'Dec'!$D$27:$AH$206,'Jan (next year)'!$D$27:$AH$206),27+3*(IFERROR(MATCH(C569,Roster!$B$6:$B$65,0),MATCH(C569,Roster!$C$6:$C$65,0))-1)+MATCH(B569,{"AM","PM","NIGHT"},0)-1-27+1,DAY(A569))&amp;"",""))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$206,'Feb'!$D$27:$AH$206,'Mar'!$D$27:$AH$206,'Apr'!$D$27:$AH$206,'May'!$D$27:$AH$206,'Jun'!$D$27:$AH$206,'Jul'!$D$27:$AH$206,'Aug'!$D$27:$AH$206,'Sep'!$D$27:$AH$206,'Oct'!$D$27:$AH$206,'Nov'!$D$27:$AH$206,'Dec'!$D$27:$AH$206,'Jan (next year)'!$D$27:$AH$206),27+3*(IFERROR(MATCH(C570,Roster!$B$6:$B$65,0),MATCH(C570,Roster!$C$6:$C$65,0))-1)+MATCH(B570,{"AM","PM","NIGHT"},0)-1-27+1,DAY(A570))&amp;"",""))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$206,'Feb'!$D$27:$AH$206,'Mar'!$D$27:$AH$206,'Apr'!$D$27:$AH$206,'May'!$D$27:$AH$206,'Jun'!$D$27:$AH$206,'Jul'!$D$27:$AH$206,'Aug'!$D$27:$AH$206,'Sep'!$D$27:$AH$206,'Oct'!$D$27:$AH$206,'Nov'!$D$27:$AH$206,'Dec'!$D$27:$AH$206,'Jan (next year)'!$D$27:$AH$206),27+3*(IFERROR(MATCH(C571,Roster!$B$6:$B$65,0),MATCH(C571,Roster!$C$6:$C$65,0))-1)+MATCH(B571,{"AM","PM","NIGHT"},0)-1-27+1,DAY(A571))&amp;"",""))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$206,'Feb'!$D$27:$AH$206,'Mar'!$D$27:$AH$206,'Apr'!$D$27:$AH$206,'May'!$D$27:$AH$206,'Jun'!$D$27:$AH$206,'Jul'!$D$27:$AH$206,'Aug'!$D$27:$AH$206,'Sep'!$D$27:$AH$206,'Oct'!$D$27:$AH$206,'Nov'!$D$27:$AH$206,'Dec'!$D$27:$AH$206,'Jan (next year)'!$D$27:$AH$206),27+3*(IFERROR(MATCH(C572,Roster!$B$6:$B$65,0),MATCH(C572,Roster!$C$6:$C$65,0))-1)+MATCH(B572,{"AM","PM","NIGHT"},0)-1-27+1,DAY(A572))&amp;"",""))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$206,'Feb'!$D$27:$AH$206,'Mar'!$D$27:$AH$206,'Apr'!$D$27:$AH$206,'May'!$D$27:$AH$206,'Jun'!$D$27:$AH$206,'Jul'!$D$27:$AH$206,'Aug'!$D$27:$AH$206,'Sep'!$D$27:$AH$206,'Oct'!$D$27:$AH$206,'Nov'!$D$27:$AH$206,'Dec'!$D$27:$AH$206,'Jan (next year)'!$D$27:$AH$206),27+3*(IFERROR(MATCH(C573,Roster!$B$6:$B$65,0),MATCH(C573,Roster!$C$6:$C$65,0))-1)+MATCH(B573,{"AM","PM","NIGHT"},0)-1-27+1,DAY(A573))&amp;"",""))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$206,'Feb'!$D$27:$AH$206,'Mar'!$D$27:$AH$206,'Apr'!$D$27:$AH$206,'May'!$D$27:$AH$206,'Jun'!$D$27:$AH$206,'Jul'!$D$27:$AH$206,'Aug'!$D$27:$AH$206,'Sep'!$D$27:$AH$206,'Oct'!$D$27:$AH$206,'Nov'!$D$27:$AH$206,'Dec'!$D$27:$AH$206,'Jan (next year)'!$D$27:$AH$206),27+3*(IFERROR(MATCH(C574,Roster!$B$6:$B$65,0),MATCH(C574,Roster!$C$6:$C$65,0))-1)+MATCH(B574,{"AM","PM","NIGHT"},0)-1-27+1,DAY(A574))&amp;"",""))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$206,'Feb'!$D$27:$AH$206,'Mar'!$D$27:$AH$206,'Apr'!$D$27:$AH$206,'May'!$D$27:$AH$206,'Jun'!$D$27:$AH$206,'Jul'!$D$27:$AH$206,'Aug'!$D$27:$AH$206,'Sep'!$D$27:$AH$206,'Oct'!$D$27:$AH$206,'Nov'!$D$27:$AH$206,'Dec'!$D$27:$AH$206,'Jan (next year)'!$D$27:$AH$206),27+3*(IFERROR(MATCH(C575,Roster!$B$6:$B$65,0),MATCH(C575,Roster!$C$6:$C$65,0))-1)+MATCH(B575,{"AM","PM","NIGHT"},0)-1-27+1,DAY(A575))&amp;"",""))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$206,'Feb'!$D$27:$AH$206,'Mar'!$D$27:$AH$206,'Apr'!$D$27:$AH$206,'May'!$D$27:$AH$206,'Jun'!$D$27:$AH$206,'Jul'!$D$27:$AH$206,'Aug'!$D$27:$AH$206,'Sep'!$D$27:$AH$206,'Oct'!$D$27:$AH$206,'Nov'!$D$27:$AH$206,'Dec'!$D$27:$AH$206,'Jan (next year)'!$D$27:$AH$206),27+3*(IFERROR(MATCH(C576,Roster!$B$6:$B$65,0),MATCH(C576,Roster!$C$6:$C$65,0))-1)+MATCH(B576,{"AM","PM","NIGHT"},0)-1-27+1,DAY(A576))&amp;"",""))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$206,'Feb'!$D$27:$AH$206,'Mar'!$D$27:$AH$206,'Apr'!$D$27:$AH$206,'May'!$D$27:$AH$206,'Jun'!$D$27:$AH$206,'Jul'!$D$27:$AH$206,'Aug'!$D$27:$AH$206,'Sep'!$D$27:$AH$206,'Oct'!$D$27:$AH$206,'Nov'!$D$27:$AH$206,'Dec'!$D$27:$AH$206,'Jan (next year)'!$D$27:$AH$206),27+3*(IFERROR(MATCH(C577,Roster!$B$6:$B$65,0),MATCH(C577,Roster!$C$6:$C$65,0))-1)+MATCH(B577,{"AM","PM","NIGHT"},0)-1-27+1,DAY(A577))&amp;"",""))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$206,'Feb'!$D$27:$AH$206,'Mar'!$D$27:$AH$206,'Apr'!$D$27:$AH$206,'May'!$D$27:$AH$206,'Jun'!$D$27:$AH$206,'Jul'!$D$27:$AH$206,'Aug'!$D$27:$AH$206,'Sep'!$D$27:$AH$206,'Oct'!$D$27:$AH$206,'Nov'!$D$27:$AH$206,'Dec'!$D$27:$AH$206,'Jan (next year)'!$D$27:$AH$206),27+3*(IFERROR(MATCH(C578,Roster!$B$6:$B$65,0),MATCH(C578,Roster!$C$6:$C$65,0))-1)+MATCH(B578,{"AM","PM","NIGHT"},0)-1-27+1,DAY(A578))&amp;"",""))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$206,'Feb'!$D$27:$AH$206,'Mar'!$D$27:$AH$206,'Apr'!$D$27:$AH$206,'May'!$D$27:$AH$206,'Jun'!$D$27:$AH$206,'Jul'!$D$27:$AH$206,'Aug'!$D$27:$AH$206,'Sep'!$D$27:$AH$206,'Oct'!$D$27:$AH$206,'Nov'!$D$27:$AH$206,'Dec'!$D$27:$AH$206,'Jan (next year)'!$D$27:$AH$206),27+3*(IFERROR(MATCH(C579,Roster!$B$6:$B$65,0),MATCH(C579,Roster!$C$6:$C$65,0))-1)+MATCH(B579,{"AM","PM","NIGHT"},0)-1-27+1,DAY(A579))&amp;"",""))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$206,'Feb'!$D$27:$AH$206,'Mar'!$D$27:$AH$206,'Apr'!$D$27:$AH$206,'May'!$D$27:$AH$206,'Jun'!$D$27:$AH$206,'Jul'!$D$27:$AH$206,'Aug'!$D$27:$AH$206,'Sep'!$D$27:$AH$206,'Oct'!$D$27:$AH$206,'Nov'!$D$27:$AH$206,'Dec'!$D$27:$AH$206,'Jan (next year)'!$D$27:$AH$206),27+3*(IFERROR(MATCH(C580,Roster!$B$6:$B$65,0),MATCH(C580,Roster!$C$6:$C$65,0))-1)+MATCH(B580,{"AM","PM","NIGHT"},0)-1-27+1,DAY(A580))&amp;"",""))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$206,'Feb'!$D$27:$AH$206,'Mar'!$D$27:$AH$206,'Apr'!$D$27:$AH$206,'May'!$D$27:$AH$206,'Jun'!$D$27:$AH$206,'Jul'!$D$27:$AH$206,'Aug'!$D$27:$AH$206,'Sep'!$D$27:$AH$206,'Oct'!$D$27:$AH$206,'Nov'!$D$27:$AH$206,'Dec'!$D$27:$AH$206,'Jan (next year)'!$D$27:$AH$206),27+3*(IFERROR(MATCH(C581,Roster!$B$6:$B$65,0),MATCH(C581,Roster!$C$6:$C$65,0))-1)+MATCH(B581,{"AM","PM","NIGHT"},0)-1-27+1,DAY(A581))&amp;"",""))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$206,'Feb'!$D$27:$AH$206,'Mar'!$D$27:$AH$206,'Apr'!$D$27:$AH$206,'May'!$D$27:$AH$206,'Jun'!$D$27:$AH$206,'Jul'!$D$27:$AH$206,'Aug'!$D$27:$AH$206,'Sep'!$D$27:$AH$206,'Oct'!$D$27:$AH$206,'Nov'!$D$27:$AH$206,'Dec'!$D$27:$AH$206,'Jan (next year)'!$D$27:$AH$206),27+3*(IFERROR(MATCH(C582,Roster!$B$6:$B$65,0),MATCH(C582,Roster!$C$6:$C$65,0))-1)+MATCH(B582,{"AM","PM","NIGHT"},0)-1-27+1,DAY(A582))&amp;"",""))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$206,'Feb'!$D$27:$AH$206,'Mar'!$D$27:$AH$206,'Apr'!$D$27:$AH$206,'May'!$D$27:$AH$206,'Jun'!$D$27:$AH$206,'Jul'!$D$27:$AH$206,'Aug'!$D$27:$AH$206,'Sep'!$D$27:$AH$206,'Oct'!$D$27:$AH$206,'Nov'!$D$27:$AH$206,'Dec'!$D$27:$AH$206,'Jan (next year)'!$D$27:$AH$206),27+3*(IFERROR(MATCH(C583,Roster!$B$6:$B$65,0),MATCH(C583,Roster!$C$6:$C$65,0))-1)+MATCH(B583,{"AM","PM","NIGHT"},0)-1-27+1,DAY(A583))&amp;"",""))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$206,'Feb'!$D$27:$AH$206,'Mar'!$D$27:$AH$206,'Apr'!$D$27:$AH$206,'May'!$D$27:$AH$206,'Jun'!$D$27:$AH$206,'Jul'!$D$27:$AH$206,'Aug'!$D$27:$AH$206,'Sep'!$D$27:$AH$206,'Oct'!$D$27:$AH$206,'Nov'!$D$27:$AH$206,'Dec'!$D$27:$AH$206,'Jan (next year)'!$D$27:$AH$206),27+3*(IFERROR(MATCH(C584,Roster!$B$6:$B$65,0),MATCH(C584,Roster!$C$6:$C$65,0))-1)+MATCH(B584,{"AM","PM","NIGHT"},0)-1-27+1,DAY(A584))&amp;"",""))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$206,'Feb'!$D$27:$AH$206,'Mar'!$D$27:$AH$206,'Apr'!$D$27:$AH$206,'May'!$D$27:$AH$206,'Jun'!$D$27:$AH$206,'Jul'!$D$27:$AH$206,'Aug'!$D$27:$AH$206,'Sep'!$D$27:$AH$206,'Oct'!$D$27:$AH$206,'Nov'!$D$27:$AH$206,'Dec'!$D$27:$AH$206,'Jan (next year)'!$D$27:$AH$206),27+3*(IFERROR(MATCH(C585,Roster!$B$6:$B$65,0),MATCH(C585,Roster!$C$6:$C$65,0))-1)+MATCH(B585,{"AM","PM","NIGHT"},0)-1-27+1,DAY(A585))&amp;"",""))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$206,'Feb'!$D$27:$AH$206,'Mar'!$D$27:$AH$206,'Apr'!$D$27:$AH$206,'May'!$D$27:$AH$206,'Jun'!$D$27:$AH$206,'Jul'!$D$27:$AH$206,'Aug'!$D$27:$AH$206,'Sep'!$D$27:$AH$206,'Oct'!$D$27:$AH$206,'Nov'!$D$27:$AH$206,'Dec'!$D$27:$AH$206,'Jan (next year)'!$D$27:$AH$206),27+3*(IFERROR(MATCH(C586,Roster!$B$6:$B$65,0),MATCH(C586,Roster!$C$6:$C$65,0))-1)+MATCH(B586,{"AM","PM","NIGHT"},0)-1-27+1,DAY(A586))&amp;"",""))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$206,'Feb'!$D$27:$AH$206,'Mar'!$D$27:$AH$206,'Apr'!$D$27:$AH$206,'May'!$D$27:$AH$206,'Jun'!$D$27:$AH$206,'Jul'!$D$27:$AH$206,'Aug'!$D$27:$AH$206,'Sep'!$D$27:$AH$206,'Oct'!$D$27:$AH$206,'Nov'!$D$27:$AH$206,'Dec'!$D$27:$AH$206,'Jan (next year)'!$D$27:$AH$206),27+3*(IFERROR(MATCH(C587,Roster!$B$6:$B$65,0),MATCH(C587,Roster!$C$6:$C$65,0))-1)+MATCH(B587,{"AM","PM","NIGHT"},0)-1-27+1,DAY(A587))&amp;"",""))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$206,'Feb'!$D$27:$AH$206,'Mar'!$D$27:$AH$206,'Apr'!$D$27:$AH$206,'May'!$D$27:$AH$206,'Jun'!$D$27:$AH$206,'Jul'!$D$27:$AH$206,'Aug'!$D$27:$AH$206,'Sep'!$D$27:$AH$206,'Oct'!$D$27:$AH$206,'Nov'!$D$27:$AH$206,'Dec'!$D$27:$AH$206,'Jan (next year)'!$D$27:$AH$206),27+3*(IFERROR(MATCH(C588,Roster!$B$6:$B$65,0),MATCH(C588,Roster!$C$6:$C$65,0))-1)+MATCH(B588,{"AM","PM","NIGHT"},0)-1-27+1,DAY(A588))&amp;"",""))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$206,'Feb'!$D$27:$AH$206,'Mar'!$D$27:$AH$206,'Apr'!$D$27:$AH$206,'May'!$D$27:$AH$206,'Jun'!$D$27:$AH$206,'Jul'!$D$27:$AH$206,'Aug'!$D$27:$AH$206,'Sep'!$D$27:$AH$206,'Oct'!$D$27:$AH$206,'Nov'!$D$27:$AH$206,'Dec'!$D$27:$AH$206,'Jan (next year)'!$D$27:$AH$206),27+3*(IFERROR(MATCH(C589,Roster!$B$6:$B$65,0),MATCH(C589,Roster!$C$6:$C$65,0))-1)+MATCH(B589,{"AM","PM","NIGHT"},0)-1-27+1,DAY(A589))&amp;"",""))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$206,'Feb'!$D$27:$AH$206,'Mar'!$D$27:$AH$206,'Apr'!$D$27:$AH$206,'May'!$D$27:$AH$206,'Jun'!$D$27:$AH$206,'Jul'!$D$27:$AH$206,'Aug'!$D$27:$AH$206,'Sep'!$D$27:$AH$206,'Oct'!$D$27:$AH$206,'Nov'!$D$27:$AH$206,'Dec'!$D$27:$AH$206,'Jan (next year)'!$D$27:$AH$206),27+3*(IFERROR(MATCH(C590,Roster!$B$6:$B$65,0),MATCH(C590,Roster!$C$6:$C$65,0))-1)+MATCH(B590,{"AM","PM","NIGHT"},0)-1-27+1,DAY(A590))&amp;"",""))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$206,'Feb'!$D$27:$AH$206,'Mar'!$D$27:$AH$206,'Apr'!$D$27:$AH$206,'May'!$D$27:$AH$206,'Jun'!$D$27:$AH$206,'Jul'!$D$27:$AH$206,'Aug'!$D$27:$AH$206,'Sep'!$D$27:$AH$206,'Oct'!$D$27:$AH$206,'Nov'!$D$27:$AH$206,'Dec'!$D$27:$AH$206,'Jan (next year)'!$D$27:$AH$206),27+3*(IFERROR(MATCH(C591,Roster!$B$6:$B$65,0),MATCH(C591,Roster!$C$6:$C$65,0))-1)+MATCH(B591,{"AM","PM","NIGHT"},0)-1-27+1,DAY(A591))&amp;"",""))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$206,'Feb'!$D$27:$AH$206,'Mar'!$D$27:$AH$206,'Apr'!$D$27:$AH$206,'May'!$D$27:$AH$206,'Jun'!$D$27:$AH$206,'Jul'!$D$27:$AH$206,'Aug'!$D$27:$AH$206,'Sep'!$D$27:$AH$206,'Oct'!$D$27:$AH$206,'Nov'!$D$27:$AH$206,'Dec'!$D$27:$AH$206,'Jan (next year)'!$D$27:$AH$206),27+3*(IFERROR(MATCH(C592,Roster!$B$6:$B$65,0),MATCH(C592,Roster!$C$6:$C$65,0))-1)+MATCH(B592,{"AM","PM","NIGHT"},0)-1-27+1,DAY(A592))&amp;"",""))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$206,'Feb'!$D$27:$AH$206,'Mar'!$D$27:$AH$206,'Apr'!$D$27:$AH$206,'May'!$D$27:$AH$206,'Jun'!$D$27:$AH$206,'Jul'!$D$27:$AH$206,'Aug'!$D$27:$AH$206,'Sep'!$D$27:$AH$206,'Oct'!$D$27:$AH$206,'Nov'!$D$27:$AH$206,'Dec'!$D$27:$AH$206,'Jan (next year)'!$D$27:$AH$206),27+3*(IFERROR(MATCH(C593,Roster!$B$6:$B$65,0),MATCH(C593,Roster!$C$6:$C$65,0))-1)+MATCH(B593,{"AM","PM","NIGHT"},0)-1-27+1,DAY(A593))&amp;"",""))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$206,'Feb'!$D$27:$AH$206,'Mar'!$D$27:$AH$206,'Apr'!$D$27:$AH$206,'May'!$D$27:$AH$206,'Jun'!$D$27:$AH$206,'Jul'!$D$27:$AH$206,'Aug'!$D$27:$AH$206,'Sep'!$D$27:$AH$206,'Oct'!$D$27:$AH$206,'Nov'!$D$27:$AH$206,'Dec'!$D$27:$AH$206,'Jan (next year)'!$D$27:$AH$206),27+3*(IFERROR(MATCH(C594,Roster!$B$6:$B$65,0),MATCH(C594,Roster!$C$6:$C$65,0))-1)+MATCH(B594,{"AM","PM","NIGHT"},0)-1-27+1,DAY(A594))&amp;"",""))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$206,'Feb'!$D$27:$AH$206,'Mar'!$D$27:$AH$206,'Apr'!$D$27:$AH$206,'May'!$D$27:$AH$206,'Jun'!$D$27:$AH$206,'Jul'!$D$27:$AH$206,'Aug'!$D$27:$AH$206,'Sep'!$D$27:$AH$206,'Oct'!$D$27:$AH$206,'Nov'!$D$27:$AH$206,'Dec'!$D$27:$AH$206,'Jan (next year)'!$D$27:$AH$206),27+3*(IFERROR(MATCH(C595,Roster!$B$6:$B$65,0),MATCH(C595,Roster!$C$6:$C$65,0))-1)+MATCH(B595,{"AM","PM","NIGHT"},0)-1-27+1,DAY(A595))&amp;"",""))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$206,'Feb'!$D$27:$AH$206,'Mar'!$D$27:$AH$206,'Apr'!$D$27:$AH$206,'May'!$D$27:$AH$206,'Jun'!$D$27:$AH$206,'Jul'!$D$27:$AH$206,'Aug'!$D$27:$AH$206,'Sep'!$D$27:$AH$206,'Oct'!$D$27:$AH$206,'Nov'!$D$27:$AH$206,'Dec'!$D$27:$AH$206,'Jan (next year)'!$D$27:$AH$206),27+3*(IFERROR(MATCH(C596,Roster!$B$6:$B$65,0),MATCH(C596,Roster!$C$6:$C$65,0))-1)+MATCH(B596,{"AM","PM","NIGHT"},0)-1-27+1,DAY(A596))&amp;"",""))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$206,'Feb'!$D$27:$AH$206,'Mar'!$D$27:$AH$206,'Apr'!$D$27:$AH$206,'May'!$D$27:$AH$206,'Jun'!$D$27:$AH$206,'Jul'!$D$27:$AH$206,'Aug'!$D$27:$AH$206,'Sep'!$D$27:$AH$206,'Oct'!$D$27:$AH$206,'Nov'!$D$27:$AH$206,'Dec'!$D$27:$AH$206,'Jan (next year)'!$D$27:$AH$206),27+3*(IFERROR(MATCH(C597,Roster!$B$6:$B$65,0),MATCH(C597,Roster!$C$6:$C$65,0))-1)+MATCH(B597,{"AM","PM","NIGHT"},0)-1-27+1,DAY(A597))&amp;"",""))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$206,'Feb'!$D$27:$AH$206,'Mar'!$D$27:$AH$206,'Apr'!$D$27:$AH$206,'May'!$D$27:$AH$206,'Jun'!$D$27:$AH$206,'Jul'!$D$27:$AH$206,'Aug'!$D$27:$AH$206,'Sep'!$D$27:$AH$206,'Oct'!$D$27:$AH$206,'Nov'!$D$27:$AH$206,'Dec'!$D$27:$AH$206,'Jan (next year)'!$D$27:$AH$206),27+3*(IFERROR(MATCH(C598,Roster!$B$6:$B$65,0),MATCH(C598,Roster!$C$6:$C$65,0))-1)+MATCH(B598,{"AM","PM","NIGHT"},0)-1-27+1,DAY(A598))&amp;"",""))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$206,'Feb'!$D$27:$AH$206,'Mar'!$D$27:$AH$206,'Apr'!$D$27:$AH$206,'May'!$D$27:$AH$206,'Jun'!$D$27:$AH$206,'Jul'!$D$27:$AH$206,'Aug'!$D$27:$AH$206,'Sep'!$D$27:$AH$206,'Oct'!$D$27:$AH$206,'Nov'!$D$27:$AH$206,'Dec'!$D$27:$AH$206,'Jan (next year)'!$D$27:$AH$206),27+3*(IFERROR(MATCH(C599,Roster!$B$6:$B$65,0),MATCH(C599,Roster!$C$6:$C$65,0))-1)+MATCH(B599,{"AM","PM","NIGHT"},0)-1-27+1,DAY(A599))&amp;"",""))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$206,'Feb'!$D$27:$AH$206,'Mar'!$D$27:$AH$206,'Apr'!$D$27:$AH$206,'May'!$D$27:$AH$206,'Jun'!$D$27:$AH$206,'Jul'!$D$27:$AH$206,'Aug'!$D$27:$AH$206,'Sep'!$D$27:$AH$206,'Oct'!$D$27:$AH$206,'Nov'!$D$27:$AH$206,'Dec'!$D$27:$AH$206,'Jan (next year)'!$D$27:$AH$206),27+3*(IFERROR(MATCH(C600,Roster!$B$6:$B$65,0),MATCH(C600,Roster!$C$6:$C$65,0))-1)+MATCH(B600,{"AM","PM","NIGHT"},0)-1-27+1,DAY(A600))&amp;"",""))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$206,'Feb'!$D$27:$AH$206,'Mar'!$D$27:$AH$206,'Apr'!$D$27:$AH$206,'May'!$D$27:$AH$206,'Jun'!$D$27:$AH$206,'Jul'!$D$27:$AH$206,'Aug'!$D$27:$AH$206,'Sep'!$D$27:$AH$206,'Oct'!$D$27:$AH$206,'Nov'!$D$27:$AH$206,'Dec'!$D$27:$AH$206,'Jan (next year)'!$D$27:$AH$206),27+3*(IFERROR(MATCH(C601,Roster!$B$6:$B$65,0),MATCH(C601,Roster!$C$6:$C$65,0))-1)+MATCH(B601,{"AM","PM","NIGHT"},0)-1-27+1,DAY(A601))&amp;"",""))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$206,'Feb'!$D$27:$AH$206,'Mar'!$D$27:$AH$206,'Apr'!$D$27:$AH$206,'May'!$D$27:$AH$206,'Jun'!$D$27:$AH$206,'Jul'!$D$27:$AH$206,'Aug'!$D$27:$AH$206,'Sep'!$D$27:$AH$206,'Oct'!$D$27:$AH$206,'Nov'!$D$27:$AH$206,'Dec'!$D$27:$AH$206,'Jan (next year)'!$D$27:$AH$206),27+3*(IFERROR(MATCH(C602,Roster!$B$6:$B$65,0),MATCH(C602,Roster!$C$6:$C$65,0))-1)+MATCH(B602,{"AM","PM","NIGHT"},0)-1-27+1,DAY(A602))&amp;"",""))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$206,'Feb'!$D$27:$AH$206,'Mar'!$D$27:$AH$206,'Apr'!$D$27:$AH$206,'May'!$D$27:$AH$206,'Jun'!$D$27:$AH$206,'Jul'!$D$27:$AH$206,'Aug'!$D$27:$AH$206,'Sep'!$D$27:$AH$206,'Oct'!$D$27:$AH$206,'Nov'!$D$27:$AH$206,'Dec'!$D$27:$AH$206,'Jan (next year)'!$D$27:$AH$206),27+3*(IFERROR(MATCH(C603,Roster!$B$6:$B$65,0),MATCH(C603,Roster!$C$6:$C$65,0))-1)+MATCH(B603,{"AM","PM","NIGHT"},0)-1-27+1,DAY(A603))&amp;"",""))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$206,'Feb'!$D$27:$AH$206,'Mar'!$D$27:$AH$206,'Apr'!$D$27:$AH$206,'May'!$D$27:$AH$206,'Jun'!$D$27:$AH$206,'Jul'!$D$27:$AH$206,'Aug'!$D$27:$AH$206,'Sep'!$D$27:$AH$206,'Oct'!$D$27:$AH$206,'Nov'!$D$27:$AH$206,'Dec'!$D$27:$AH$206,'Jan (next year)'!$D$27:$AH$206),27+3*(IFERROR(MATCH(C604,Roster!$B$6:$B$65,0),MATCH(C604,Roster!$C$6:$C$65,0))-1)+MATCH(B604,{"AM","PM","NIGHT"},0)-1-27+1,DAY(A604))&amp;"",""))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$206,'Feb'!$D$27:$AH$206,'Mar'!$D$27:$AH$206,'Apr'!$D$27:$AH$206,'May'!$D$27:$AH$206,'Jun'!$D$27:$AH$206,'Jul'!$D$27:$AH$206,'Aug'!$D$27:$AH$206,'Sep'!$D$27:$AH$206,'Oct'!$D$27:$AH$206,'Nov'!$D$27:$AH$206,'Dec'!$D$27:$AH$206,'Jan (next year)'!$D$27:$AH$206),27+3*(IFERROR(MATCH(C605,Roster!$B$6:$B$65,0),MATCH(C605,Roster!$C$6:$C$65,0))-1)+MATCH(B605,{"AM","PM","NIGHT"},0)-1-27+1,DAY(A605))&amp;"",""))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$206,'Feb'!$D$27:$AH$206,'Mar'!$D$27:$AH$206,'Apr'!$D$27:$AH$206,'May'!$D$27:$AH$206,'Jun'!$D$27:$AH$206,'Jul'!$D$27:$AH$206,'Aug'!$D$27:$AH$206,'Sep'!$D$27:$AH$206,'Oct'!$D$27:$AH$206,'Nov'!$D$27:$AH$206,'Dec'!$D$27:$AH$206,'Jan (next year)'!$D$27:$AH$206),27+3*(IFERROR(MATCH(C606,Roster!$B$6:$B$65,0),MATCH(C606,Roster!$C$6:$C$65,0))-1)+MATCH(B606,{"AM","PM","NIGHT"},0)-1-27+1,DAY(A606))&amp;"",""))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$206,'Feb'!$D$27:$AH$206,'Mar'!$D$27:$AH$206,'Apr'!$D$27:$AH$206,'May'!$D$27:$AH$206,'Jun'!$D$27:$AH$206,'Jul'!$D$27:$AH$206,'Aug'!$D$27:$AH$206,'Sep'!$D$27:$AH$206,'Oct'!$D$27:$AH$206,'Nov'!$D$27:$AH$206,'Dec'!$D$27:$AH$206,'Jan (next year)'!$D$27:$AH$206),27+3*(IFERROR(MATCH(C607,Roster!$B$6:$B$65,0),MATCH(C607,Roster!$C$6:$C$65,0))-1)+MATCH(B607,{"AM","PM","NIGHT"},0)-1-27+1,DAY(A607))&amp;"",""))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$206,'Feb'!$D$27:$AH$206,'Mar'!$D$27:$AH$206,'Apr'!$D$27:$AH$206,'May'!$D$27:$AH$206,'Jun'!$D$27:$AH$206,'Jul'!$D$27:$AH$206,'Aug'!$D$27:$AH$206,'Sep'!$D$27:$AH$206,'Oct'!$D$27:$AH$206,'Nov'!$D$27:$AH$206,'Dec'!$D$27:$AH$206,'Jan (next year)'!$D$27:$AH$206),27+3*(IFERROR(MATCH(C608,Roster!$B$6:$B$65,0),MATCH(C608,Roster!$C$6:$C$65,0))-1)+MATCH(B608,{"AM","PM","NIGHT"},0)-1-27+1,DAY(A608))&amp;"",""))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$206,'Feb'!$D$27:$AH$206,'Mar'!$D$27:$AH$206,'Apr'!$D$27:$AH$206,'May'!$D$27:$AH$206,'Jun'!$D$27:$AH$206,'Jul'!$D$27:$AH$206,'Aug'!$D$27:$AH$206,'Sep'!$D$27:$AH$206,'Oct'!$D$27:$AH$206,'Nov'!$D$27:$AH$206,'Dec'!$D$27:$AH$206,'Jan (next year)'!$D$27:$AH$206),27+3*(IFERROR(MATCH(C609,Roster!$B$6:$B$65,0),MATCH(C609,Roster!$C$6:$C$65,0))-1)+MATCH(B609,{"AM","PM","NIGHT"},0)-1-27+1,DAY(A609))&amp;"",""))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$206,'Feb'!$D$27:$AH$206,'Mar'!$D$27:$AH$206,'Apr'!$D$27:$AH$206,'May'!$D$27:$AH$206,'Jun'!$D$27:$AH$206,'Jul'!$D$27:$AH$206,'Aug'!$D$27:$AH$206,'Sep'!$D$27:$AH$206,'Oct'!$D$27:$AH$206,'Nov'!$D$27:$AH$206,'Dec'!$D$27:$AH$206,'Jan (next year)'!$D$27:$AH$206),27+3*(IFERROR(MATCH(C610,Roster!$B$6:$B$65,0),MATCH(C610,Roster!$C$6:$C$65,0))-1)+MATCH(B610,{"AM","PM","NIGHT"},0)-1-27+1,DAY(A610))&amp;"",""))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$206,'Feb'!$D$27:$AH$206,'Mar'!$D$27:$AH$206,'Apr'!$D$27:$AH$206,'May'!$D$27:$AH$206,'Jun'!$D$27:$AH$206,'Jul'!$D$27:$AH$206,'Aug'!$D$27:$AH$206,'Sep'!$D$27:$AH$206,'Oct'!$D$27:$AH$206,'Nov'!$D$27:$AH$206,'Dec'!$D$27:$AH$206,'Jan (next year)'!$D$27:$AH$206),27+3*(IFERROR(MATCH(C611,Roster!$B$6:$B$65,0),MATCH(C611,Roster!$C$6:$C$65,0))-1)+MATCH(B611,{"AM","PM","NIGHT"},0)-1-27+1,DAY(A611))&amp;"",""))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$206,'Feb'!$D$27:$AH$206,'Mar'!$D$27:$AH$206,'Apr'!$D$27:$AH$206,'May'!$D$27:$AH$206,'Jun'!$D$27:$AH$206,'Jul'!$D$27:$AH$206,'Aug'!$D$27:$AH$206,'Sep'!$D$27:$AH$206,'Oct'!$D$27:$AH$206,'Nov'!$D$27:$AH$206,'Dec'!$D$27:$AH$206,'Jan (next year)'!$D$27:$AH$206),27+3*(IFERROR(MATCH(C612,Roster!$B$6:$B$65,0),MATCH(C612,Roster!$C$6:$C$65,0))-1)+MATCH(B612,{"AM","PM","NIGHT"},0)-1-27+1,DAY(A612))&amp;"",""))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$206,'Feb'!$D$27:$AH$206,'Mar'!$D$27:$AH$206,'Apr'!$D$27:$AH$206,'May'!$D$27:$AH$206,'Jun'!$D$27:$AH$206,'Jul'!$D$27:$AH$206,'Aug'!$D$27:$AH$206,'Sep'!$D$27:$AH$206,'Oct'!$D$27:$AH$206,'Nov'!$D$27:$AH$206,'Dec'!$D$27:$AH$206,'Jan (next year)'!$D$27:$AH$206),27+3*(IFERROR(MATCH(C613,Roster!$B$6:$B$65,0),MATCH(C613,Roster!$C$6:$C$65,0))-1)+MATCH(B613,{"AM","PM","NIGHT"},0)-1-27+1,DAY(A613))&amp;"",""))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$206,'Feb'!$D$27:$AH$206,'Mar'!$D$27:$AH$206,'Apr'!$D$27:$AH$206,'May'!$D$27:$AH$206,'Jun'!$D$27:$AH$206,'Jul'!$D$27:$AH$206,'Aug'!$D$27:$AH$206,'Sep'!$D$27:$AH$206,'Oct'!$D$27:$AH$206,'Nov'!$D$27:$AH$206,'Dec'!$D$27:$AH$206,'Jan (next year)'!$D$27:$AH$206),27+3*(IFERROR(MATCH(C614,Roster!$B$6:$B$65,0),MATCH(C614,Roster!$C$6:$C$65,0))-1)+MATCH(B614,{"AM","PM","NIGHT"},0)-1-27+1,DAY(A614))&amp;"",""))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$206,'Feb'!$D$27:$AH$206,'Mar'!$D$27:$AH$206,'Apr'!$D$27:$AH$206,'May'!$D$27:$AH$206,'Jun'!$D$27:$AH$206,'Jul'!$D$27:$AH$206,'Aug'!$D$27:$AH$206,'Sep'!$D$27:$AH$206,'Oct'!$D$27:$AH$206,'Nov'!$D$27:$AH$206,'Dec'!$D$27:$AH$206,'Jan (next year)'!$D$27:$AH$206),27+3*(IFERROR(MATCH(C615,Roster!$B$6:$B$65,0),MATCH(C615,Roster!$C$6:$C$65,0))-1)+MATCH(B615,{"AM","PM","NIGHT"},0)-1-27+1,DAY(A615))&amp;"",""))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$206,'Feb'!$D$27:$AH$206,'Mar'!$D$27:$AH$206,'Apr'!$D$27:$AH$206,'May'!$D$27:$AH$206,'Jun'!$D$27:$AH$206,'Jul'!$D$27:$AH$206,'Aug'!$D$27:$AH$206,'Sep'!$D$27:$AH$206,'Oct'!$D$27:$AH$206,'Nov'!$D$27:$AH$206,'Dec'!$D$27:$AH$206,'Jan (next year)'!$D$27:$AH$206),27+3*(IFERROR(MATCH(C616,Roster!$B$6:$B$65,0),MATCH(C616,Roster!$C$6:$C$65,0))-1)+MATCH(B616,{"AM","PM","NIGHT"},0)-1-27+1,DAY(A616))&amp;"",""))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$206,'Feb'!$D$27:$AH$206,'Mar'!$D$27:$AH$206,'Apr'!$D$27:$AH$206,'May'!$D$27:$AH$206,'Jun'!$D$27:$AH$206,'Jul'!$D$27:$AH$206,'Aug'!$D$27:$AH$206,'Sep'!$D$27:$AH$206,'Oct'!$D$27:$AH$206,'Nov'!$D$27:$AH$206,'Dec'!$D$27:$AH$206,'Jan (next year)'!$D$27:$AH$206),27+3*(IFERROR(MATCH(C617,Roster!$B$6:$B$65,0),MATCH(C617,Roster!$C$6:$C$65,0))-1)+MATCH(B617,{"AM","PM","NIGHT"},0)-1-27+1,DAY(A617))&amp;"",""))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$206,'Feb'!$D$27:$AH$206,'Mar'!$D$27:$AH$206,'Apr'!$D$27:$AH$206,'May'!$D$27:$AH$206,'Jun'!$D$27:$AH$206,'Jul'!$D$27:$AH$206,'Aug'!$D$27:$AH$206,'Sep'!$D$27:$AH$206,'Oct'!$D$27:$AH$206,'Nov'!$D$27:$AH$206,'Dec'!$D$27:$AH$206,'Jan (next year)'!$D$27:$AH$206),27+3*(IFERROR(MATCH(C618,Roster!$B$6:$B$65,0),MATCH(C618,Roster!$C$6:$C$65,0))-1)+MATCH(B618,{"AM","PM","NIGHT"},0)-1-27+1,DAY(A618))&amp;"",""))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$206,'Feb'!$D$27:$AH$206,'Mar'!$D$27:$AH$206,'Apr'!$D$27:$AH$206,'May'!$D$27:$AH$206,'Jun'!$D$27:$AH$206,'Jul'!$D$27:$AH$206,'Aug'!$D$27:$AH$206,'Sep'!$D$27:$AH$206,'Oct'!$D$27:$AH$206,'Nov'!$D$27:$AH$206,'Dec'!$D$27:$AH$206,'Jan (next year)'!$D$27:$AH$206),27+3*(IFERROR(MATCH(C619,Roster!$B$6:$B$65,0),MATCH(C619,Roster!$C$6:$C$65,0))-1)+MATCH(B619,{"AM","PM","NIGHT"},0)-1-27+1,DAY(A619))&amp;"",""))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$206,'Feb'!$D$27:$AH$206,'Mar'!$D$27:$AH$206,'Apr'!$D$27:$AH$206,'May'!$D$27:$AH$206,'Jun'!$D$27:$AH$206,'Jul'!$D$27:$AH$206,'Aug'!$D$27:$AH$206,'Sep'!$D$27:$AH$206,'Oct'!$D$27:$AH$206,'Nov'!$D$27:$AH$206,'Dec'!$D$27:$AH$206,'Jan (next year)'!$D$27:$AH$206),27+3*(IFERROR(MATCH(C620,Roster!$B$6:$B$65,0),MATCH(C620,Roster!$C$6:$C$65,0))-1)+MATCH(B620,{"AM","PM","NIGHT"},0)-1-27+1,DAY(A620))&amp;"",""))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$206,'Feb'!$D$27:$AH$206,'Mar'!$D$27:$AH$206,'Apr'!$D$27:$AH$206,'May'!$D$27:$AH$206,'Jun'!$D$27:$AH$206,'Jul'!$D$27:$AH$206,'Aug'!$D$27:$AH$206,'Sep'!$D$27:$AH$206,'Oct'!$D$27:$AH$206,'Nov'!$D$27:$AH$206,'Dec'!$D$27:$AH$206,'Jan (next year)'!$D$27:$AH$206),27+3*(IFERROR(MATCH(C621,Roster!$B$6:$B$65,0),MATCH(C621,Roster!$C$6:$C$65,0))-1)+MATCH(B621,{"AM","PM","NIGHT"},0)-1-27+1,DAY(A621))&amp;"",""))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$206,'Feb'!$D$27:$AH$206,'Mar'!$D$27:$AH$206,'Apr'!$D$27:$AH$206,'May'!$D$27:$AH$206,'Jun'!$D$27:$AH$206,'Jul'!$D$27:$AH$206,'Aug'!$D$27:$AH$206,'Sep'!$D$27:$AH$206,'Oct'!$D$27:$AH$206,'Nov'!$D$27:$AH$206,'Dec'!$D$27:$AH$206,'Jan (next year)'!$D$27:$AH$206),27+3*(IFERROR(MATCH(C622,Roster!$B$6:$B$65,0),MATCH(C622,Roster!$C$6:$C$65,0))-1)+MATCH(B622,{"AM","PM","NIGHT"},0)-1-27+1,DAY(A622))&amp;"",""))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$206,'Feb'!$D$27:$AH$206,'Mar'!$D$27:$AH$206,'Apr'!$D$27:$AH$206,'May'!$D$27:$AH$206,'Jun'!$D$27:$AH$206,'Jul'!$D$27:$AH$206,'Aug'!$D$27:$AH$206,'Sep'!$D$27:$AH$206,'Oct'!$D$27:$AH$206,'Nov'!$D$27:$AH$206,'Dec'!$D$27:$AH$206,'Jan (next year)'!$D$27:$AH$206),27+3*(IFERROR(MATCH(C623,Roster!$B$6:$B$65,0),MATCH(C623,Roster!$C$6:$C$65,0))-1)+MATCH(B623,{"AM","PM","NIGHT"},0)-1-27+1,DAY(A623))&amp;"",""))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$206,'Feb'!$D$27:$AH$206,'Mar'!$D$27:$AH$206,'Apr'!$D$27:$AH$206,'May'!$D$27:$AH$206,'Jun'!$D$27:$AH$206,'Jul'!$D$27:$AH$206,'Aug'!$D$27:$AH$206,'Sep'!$D$27:$AH$206,'Oct'!$D$27:$AH$206,'Nov'!$D$27:$AH$206,'Dec'!$D$27:$AH$206,'Jan (next year)'!$D$27:$AH$206),27+3*(IFERROR(MATCH(C624,Roster!$B$6:$B$65,0),MATCH(C624,Roster!$C$6:$C$65,0))-1)+MATCH(B624,{"AM","PM","NIGHT"},0)-1-27+1,DAY(A624))&amp;"",""))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$206,'Feb'!$D$27:$AH$206,'Mar'!$D$27:$AH$206,'Apr'!$D$27:$AH$206,'May'!$D$27:$AH$206,'Jun'!$D$27:$AH$206,'Jul'!$D$27:$AH$206,'Aug'!$D$27:$AH$206,'Sep'!$D$27:$AH$206,'Oct'!$D$27:$AH$206,'Nov'!$D$27:$AH$206,'Dec'!$D$27:$AH$206,'Jan (next year)'!$D$27:$AH$206),27+3*(IFERROR(MATCH(C625,Roster!$B$6:$B$65,0),MATCH(C625,Roster!$C$6:$C$65,0))-1)+MATCH(B625,{"AM","PM","NIGHT"},0)-1-27+1,DAY(A625))&amp;"",""))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$206,'Feb'!$D$27:$AH$206,'Mar'!$D$27:$AH$206,'Apr'!$D$27:$AH$206,'May'!$D$27:$AH$206,'Jun'!$D$27:$AH$206,'Jul'!$D$27:$AH$206,'Aug'!$D$27:$AH$206,'Sep'!$D$27:$AH$206,'Oct'!$D$27:$AH$206,'Nov'!$D$27:$AH$206,'Dec'!$D$27:$AH$206,'Jan (next year)'!$D$27:$AH$206),27+3*(IFERROR(MATCH(C626,Roster!$B$6:$B$65,0),MATCH(C626,Roster!$C$6:$C$65,0))-1)+MATCH(B626,{"AM","PM","NIGHT"},0)-1-27+1,DAY(A626))&amp;"",""))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$206,'Feb'!$D$27:$AH$206,'Mar'!$D$27:$AH$206,'Apr'!$D$27:$AH$206,'May'!$D$27:$AH$206,'Jun'!$D$27:$AH$206,'Jul'!$D$27:$AH$206,'Aug'!$D$27:$AH$206,'Sep'!$D$27:$AH$206,'Oct'!$D$27:$AH$206,'Nov'!$D$27:$AH$206,'Dec'!$D$27:$AH$206,'Jan (next year)'!$D$27:$AH$206),27+3*(IFERROR(MATCH(C627,Roster!$B$6:$B$65,0),MATCH(C627,Roster!$C$6:$C$65,0))-1)+MATCH(B627,{"AM","PM","NIGHT"},0)-1-27+1,DAY(A627))&amp;"",""))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$206,'Feb'!$D$27:$AH$206,'Mar'!$D$27:$AH$206,'Apr'!$D$27:$AH$206,'May'!$D$27:$AH$206,'Jun'!$D$27:$AH$206,'Jul'!$D$27:$AH$206,'Aug'!$D$27:$AH$206,'Sep'!$D$27:$AH$206,'Oct'!$D$27:$AH$206,'Nov'!$D$27:$AH$206,'Dec'!$D$27:$AH$206,'Jan (next year)'!$D$27:$AH$206),27+3*(IFERROR(MATCH(C628,Roster!$B$6:$B$65,0),MATCH(C628,Roster!$C$6:$C$65,0))-1)+MATCH(B628,{"AM","PM","NIGHT"},0)-1-27+1,DAY(A628))&amp;"",""))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$206,'Feb'!$D$27:$AH$206,'Mar'!$D$27:$AH$206,'Apr'!$D$27:$AH$206,'May'!$D$27:$AH$206,'Jun'!$D$27:$AH$206,'Jul'!$D$27:$AH$206,'Aug'!$D$27:$AH$206,'Sep'!$D$27:$AH$206,'Oct'!$D$27:$AH$206,'Nov'!$D$27:$AH$206,'Dec'!$D$27:$AH$206,'Jan (next year)'!$D$27:$AH$206),27+3*(IFERROR(MATCH(C629,Roster!$B$6:$B$65,0),MATCH(C629,Roster!$C$6:$C$65,0))-1)+MATCH(B629,{"AM","PM","NIGHT"},0)-1-27+1,DAY(A629))&amp;"",""))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$206,'Feb'!$D$27:$AH$206,'Mar'!$D$27:$AH$206,'Apr'!$D$27:$AH$206,'May'!$D$27:$AH$206,'Jun'!$D$27:$AH$206,'Jul'!$D$27:$AH$206,'Aug'!$D$27:$AH$206,'Sep'!$D$27:$AH$206,'Oct'!$D$27:$AH$206,'Nov'!$D$27:$AH$206,'Dec'!$D$27:$AH$206,'Jan (next year)'!$D$27:$AH$206),27+3*(IFERROR(MATCH(C630,Roster!$B$6:$B$65,0),MATCH(C630,Roster!$C$6:$C$65,0))-1)+MATCH(B630,{"AM","PM","NIGHT"},0)-1-27+1,DAY(A630))&amp;"",""))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$206,'Feb'!$D$27:$AH$206,'Mar'!$D$27:$AH$206,'Apr'!$D$27:$AH$206,'May'!$D$27:$AH$206,'Jun'!$D$27:$AH$206,'Jul'!$D$27:$AH$206,'Aug'!$D$27:$AH$206,'Sep'!$D$27:$AH$206,'Oct'!$D$27:$AH$206,'Nov'!$D$27:$AH$206,'Dec'!$D$27:$AH$206,'Jan (next year)'!$D$27:$AH$206),27+3*(IFERROR(MATCH(C631,Roster!$B$6:$B$65,0),MATCH(C631,Roster!$C$6:$C$65,0))-1)+MATCH(B631,{"AM","PM","NIGHT"},0)-1-27+1,DAY(A631))&amp;"",""))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$206,'Feb'!$D$27:$AH$206,'Mar'!$D$27:$AH$206,'Apr'!$D$27:$AH$206,'May'!$D$27:$AH$206,'Jun'!$D$27:$AH$206,'Jul'!$D$27:$AH$206,'Aug'!$D$27:$AH$206,'Sep'!$D$27:$AH$206,'Oct'!$D$27:$AH$206,'Nov'!$D$27:$AH$206,'Dec'!$D$27:$AH$206,'Jan (next year)'!$D$27:$AH$206),27+3*(IFERROR(MATCH(C632,Roster!$B$6:$B$65,0),MATCH(C632,Roster!$C$6:$C$65,0))-1)+MATCH(B632,{"AM","PM","NIGHT"},0)-1-27+1,DAY(A632))&amp;"",""))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$206,'Feb'!$D$27:$AH$206,'Mar'!$D$27:$AH$206,'Apr'!$D$27:$AH$206,'May'!$D$27:$AH$206,'Jun'!$D$27:$AH$206,'Jul'!$D$27:$AH$206,'Aug'!$D$27:$AH$206,'Sep'!$D$27:$AH$206,'Oct'!$D$27:$AH$206,'Nov'!$D$27:$AH$206,'Dec'!$D$27:$AH$206,'Jan (next year)'!$D$27:$AH$206),27+3*(IFERROR(MATCH(C633,Roster!$B$6:$B$65,0),MATCH(C633,Roster!$C$6:$C$65,0))-1)+MATCH(B633,{"AM","PM","NIGHT"},0)-1-27+1,DAY(A633))&amp;"",""))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$206,'Feb'!$D$27:$AH$206,'Mar'!$D$27:$AH$206,'Apr'!$D$27:$AH$206,'May'!$D$27:$AH$206,'Jun'!$D$27:$AH$206,'Jul'!$D$27:$AH$206,'Aug'!$D$27:$AH$206,'Sep'!$D$27:$AH$206,'Oct'!$D$27:$AH$206,'Nov'!$D$27:$AH$206,'Dec'!$D$27:$AH$206,'Jan (next year)'!$D$27:$AH$206),27+3*(IFERROR(MATCH(C634,Roster!$B$6:$B$65,0),MATCH(C634,Roster!$C$6:$C$65,0))-1)+MATCH(B634,{"AM","PM","NIGHT"},0)-1-27+1,DAY(A634))&amp;"",""))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$206,'Feb'!$D$27:$AH$206,'Mar'!$D$27:$AH$206,'Apr'!$D$27:$AH$206,'May'!$D$27:$AH$206,'Jun'!$D$27:$AH$206,'Jul'!$D$27:$AH$206,'Aug'!$D$27:$AH$206,'Sep'!$D$27:$AH$206,'Oct'!$D$27:$AH$206,'Nov'!$D$27:$AH$206,'Dec'!$D$27:$AH$206,'Jan (next year)'!$D$27:$AH$206),27+3*(IFERROR(MATCH(C635,Roster!$B$6:$B$65,0),MATCH(C635,Roster!$C$6:$C$65,0))-1)+MATCH(B635,{"AM","PM","NIGHT"},0)-1-27+1,DAY(A635))&amp;"",""))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$206,'Feb'!$D$27:$AH$206,'Mar'!$D$27:$AH$206,'Apr'!$D$27:$AH$206,'May'!$D$27:$AH$206,'Jun'!$D$27:$AH$206,'Jul'!$D$27:$AH$206,'Aug'!$D$27:$AH$206,'Sep'!$D$27:$AH$206,'Oct'!$D$27:$AH$206,'Nov'!$D$27:$AH$206,'Dec'!$D$27:$AH$206,'Jan (next year)'!$D$27:$AH$206),27+3*(IFERROR(MATCH(C636,Roster!$B$6:$B$65,0),MATCH(C636,Roster!$C$6:$C$65,0))-1)+MATCH(B636,{"AM","PM","NIGHT"},0)-1-27+1,DAY(A636))&amp;"",""))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$206,'Feb'!$D$27:$AH$206,'Mar'!$D$27:$AH$206,'Apr'!$D$27:$AH$206,'May'!$D$27:$AH$206,'Jun'!$D$27:$AH$206,'Jul'!$D$27:$AH$206,'Aug'!$D$27:$AH$206,'Sep'!$D$27:$AH$206,'Oct'!$D$27:$AH$206,'Nov'!$D$27:$AH$206,'Dec'!$D$27:$AH$206,'Jan (next year)'!$D$27:$AH$206),27+3*(IFERROR(MATCH(C637,Roster!$B$6:$B$65,0),MATCH(C637,Roster!$C$6:$C$65,0))-1)+MATCH(B637,{"AM","PM","NIGHT"},0)-1-27+1,DAY(A637))&amp;"",""))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$206,'Feb'!$D$27:$AH$206,'Mar'!$D$27:$AH$206,'Apr'!$D$27:$AH$206,'May'!$D$27:$AH$206,'Jun'!$D$27:$AH$206,'Jul'!$D$27:$AH$206,'Aug'!$D$27:$AH$206,'Sep'!$D$27:$AH$206,'Oct'!$D$27:$AH$206,'Nov'!$D$27:$AH$206,'Dec'!$D$27:$AH$206,'Jan (next year)'!$D$27:$AH$206),27+3*(IFERROR(MATCH(C638,Roster!$B$6:$B$65,0),MATCH(C638,Roster!$C$6:$C$65,0))-1)+MATCH(B638,{"AM","PM","NIGHT"},0)-1-27+1,DAY(A638))&amp;"",""))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$206,'Feb'!$D$27:$AH$206,'Mar'!$D$27:$AH$206,'Apr'!$D$27:$AH$206,'May'!$D$27:$AH$206,'Jun'!$D$27:$AH$206,'Jul'!$D$27:$AH$206,'Aug'!$D$27:$AH$206,'Sep'!$D$27:$AH$206,'Oct'!$D$27:$AH$206,'Nov'!$D$27:$AH$206,'Dec'!$D$27:$AH$206,'Jan (next year)'!$D$27:$AH$206),27+3*(IFERROR(MATCH(C639,Roster!$B$6:$B$65,0),MATCH(C639,Roster!$C$6:$C$65,0))-1)+MATCH(B639,{"AM","PM","NIGHT"},0)-1-27+1,DAY(A639))&amp;"",""))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$206,'Feb'!$D$27:$AH$206,'Mar'!$D$27:$AH$206,'Apr'!$D$27:$AH$206,'May'!$D$27:$AH$206,'Jun'!$D$27:$AH$206,'Jul'!$D$27:$AH$206,'Aug'!$D$27:$AH$206,'Sep'!$D$27:$AH$206,'Oct'!$D$27:$AH$206,'Nov'!$D$27:$AH$206,'Dec'!$D$27:$AH$206,'Jan (next year)'!$D$27:$AH$206),27+3*(IFERROR(MATCH(C640,Roster!$B$6:$B$65,0),MATCH(C640,Roster!$C$6:$C$65,0))-1)+MATCH(B640,{"AM","PM","NIGHT"},0)-1-27+1,DAY(A640))&amp;"",""))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$206,'Feb'!$D$27:$AH$206,'Mar'!$D$27:$AH$206,'Apr'!$D$27:$AH$206,'May'!$D$27:$AH$206,'Jun'!$D$27:$AH$206,'Jul'!$D$27:$AH$206,'Aug'!$D$27:$AH$206,'Sep'!$D$27:$AH$206,'Oct'!$D$27:$AH$206,'Nov'!$D$27:$AH$206,'Dec'!$D$27:$AH$206,'Jan (next year)'!$D$27:$AH$206),27+3*(IFERROR(MATCH(C641,Roster!$B$6:$B$65,0),MATCH(C641,Roster!$C$6:$C$65,0))-1)+MATCH(B641,{"AM","PM","NIGHT"},0)-1-27+1,DAY(A641))&amp;"",""))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$206,'Feb'!$D$27:$AH$206,'Mar'!$D$27:$AH$206,'Apr'!$D$27:$AH$206,'May'!$D$27:$AH$206,'Jun'!$D$27:$AH$206,'Jul'!$D$27:$AH$206,'Aug'!$D$27:$AH$206,'Sep'!$D$27:$AH$206,'Oct'!$D$27:$AH$206,'Nov'!$D$27:$AH$206,'Dec'!$D$27:$AH$206,'Jan (next year)'!$D$27:$AH$206),27+3*(IFERROR(MATCH(C642,Roster!$B$6:$B$65,0),MATCH(C642,Roster!$C$6:$C$65,0))-1)+MATCH(B642,{"AM","PM","NIGHT"},0)-1-27+1,DAY(A642))&amp;"",""))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$206,'Feb'!$D$27:$AH$206,'Mar'!$D$27:$AH$206,'Apr'!$D$27:$AH$206,'May'!$D$27:$AH$206,'Jun'!$D$27:$AH$206,'Jul'!$D$27:$AH$206,'Aug'!$D$27:$AH$206,'Sep'!$D$27:$AH$206,'Oct'!$D$27:$AH$206,'Nov'!$D$27:$AH$206,'Dec'!$D$27:$AH$206,'Jan (next year)'!$D$27:$AH$206),27+3*(IFERROR(MATCH(C643,Roster!$B$6:$B$65,0),MATCH(C643,Roster!$C$6:$C$65,0))-1)+MATCH(B643,{"AM","PM","NIGHT"},0)-1-27+1,DAY(A643))&amp;"",""))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$206,'Feb'!$D$27:$AH$206,'Mar'!$D$27:$AH$206,'Apr'!$D$27:$AH$206,'May'!$D$27:$AH$206,'Jun'!$D$27:$AH$206,'Jul'!$D$27:$AH$206,'Aug'!$D$27:$AH$206,'Sep'!$D$27:$AH$206,'Oct'!$D$27:$AH$206,'Nov'!$D$27:$AH$206,'Dec'!$D$27:$AH$206,'Jan (next year)'!$D$27:$AH$206),27+3*(IFERROR(MATCH(C644,Roster!$B$6:$B$65,0),MATCH(C644,Roster!$C$6:$C$65,0))-1)+MATCH(B644,{"AM","PM","NIGHT"},0)-1-27+1,DAY(A644))&amp;"",""))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$206,'Feb'!$D$27:$AH$206,'Mar'!$D$27:$AH$206,'Apr'!$D$27:$AH$206,'May'!$D$27:$AH$206,'Jun'!$D$27:$AH$206,'Jul'!$D$27:$AH$206,'Aug'!$D$27:$AH$206,'Sep'!$D$27:$AH$206,'Oct'!$D$27:$AH$206,'Nov'!$D$27:$AH$206,'Dec'!$D$27:$AH$206,'Jan (next year)'!$D$27:$AH$206),27+3*(IFERROR(MATCH(C645,Roster!$B$6:$B$65,0),MATCH(C645,Roster!$C$6:$C$65,0))-1)+MATCH(B645,{"AM","PM","NIGHT"},0)-1-27+1,DAY(A645))&amp;"",""))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$206,'Feb'!$D$27:$AH$206,'Mar'!$D$27:$AH$206,'Apr'!$D$27:$AH$206,'May'!$D$27:$AH$206,'Jun'!$D$27:$AH$206,'Jul'!$D$27:$AH$206,'Aug'!$D$27:$AH$206,'Sep'!$D$27:$AH$206,'Oct'!$D$27:$AH$206,'Nov'!$D$27:$AH$206,'Dec'!$D$27:$AH$206,'Jan (next year)'!$D$27:$AH$206),27+3*(IFERROR(MATCH(C646,Roster!$B$6:$B$65,0),MATCH(C646,Roster!$C$6:$C$65,0))-1)+MATCH(B646,{"AM","PM","NIGHT"},0)-1-27+1,DAY(A646))&amp;"",""))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$206,'Feb'!$D$27:$AH$206,'Mar'!$D$27:$AH$206,'Apr'!$D$27:$AH$206,'May'!$D$27:$AH$206,'Jun'!$D$27:$AH$206,'Jul'!$D$27:$AH$206,'Aug'!$D$27:$AH$206,'Sep'!$D$27:$AH$206,'Oct'!$D$27:$AH$206,'Nov'!$D$27:$AH$206,'Dec'!$D$27:$AH$206,'Jan (next year)'!$D$27:$AH$206),27+3*(IFERROR(MATCH(C647,Roster!$B$6:$B$65,0),MATCH(C647,Roster!$C$6:$C$65,0))-1)+MATCH(B647,{"AM","PM","NIGHT"},0)-1-27+1,DAY(A647))&amp;"",""))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$206,'Feb'!$D$27:$AH$206,'Mar'!$D$27:$AH$206,'Apr'!$D$27:$AH$206,'May'!$D$27:$AH$206,'Jun'!$D$27:$AH$206,'Jul'!$D$27:$AH$206,'Aug'!$D$27:$AH$206,'Sep'!$D$27:$AH$206,'Oct'!$D$27:$AH$206,'Nov'!$D$27:$AH$206,'Dec'!$D$27:$AH$206,'Jan (next year)'!$D$27:$AH$206),27+3*(IFERROR(MATCH(C648,Roster!$B$6:$B$65,0),MATCH(C648,Roster!$C$6:$C$65,0))-1)+MATCH(B648,{"AM","PM","NIGHT"},0)-1-27+1,DAY(A648))&amp;"",""))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$206,'Feb'!$D$27:$AH$206,'Mar'!$D$27:$AH$206,'Apr'!$D$27:$AH$206,'May'!$D$27:$AH$206,'Jun'!$D$27:$AH$206,'Jul'!$D$27:$AH$206,'Aug'!$D$27:$AH$206,'Sep'!$D$27:$AH$206,'Oct'!$D$27:$AH$206,'Nov'!$D$27:$AH$206,'Dec'!$D$27:$AH$206,'Jan (next year)'!$D$27:$AH$206),27+3*(IFERROR(MATCH(C649,Roster!$B$6:$B$65,0),MATCH(C649,Roster!$C$6:$C$65,0))-1)+MATCH(B649,{"AM","PM","NIGHT"},0)-1-27+1,DAY(A649))&amp;"",""))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$206,'Feb'!$D$27:$AH$206,'Mar'!$D$27:$AH$206,'Apr'!$D$27:$AH$206,'May'!$D$27:$AH$206,'Jun'!$D$27:$AH$206,'Jul'!$D$27:$AH$206,'Aug'!$D$27:$AH$206,'Sep'!$D$27:$AH$206,'Oct'!$D$27:$AH$206,'Nov'!$D$27:$AH$206,'Dec'!$D$27:$AH$206,'Jan (next year)'!$D$27:$AH$206),27+3*(IFERROR(MATCH(C650,Roster!$B$6:$B$65,0),MATCH(C650,Roster!$C$6:$C$65,0))-1)+MATCH(B650,{"AM","PM","NIGHT"},0)-1-27+1,DAY(A650))&amp;"",""))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$206,'Feb'!$D$27:$AH$206,'Mar'!$D$27:$AH$206,'Apr'!$D$27:$AH$206,'May'!$D$27:$AH$206,'Jun'!$D$27:$AH$206,'Jul'!$D$27:$AH$206,'Aug'!$D$27:$AH$206,'Sep'!$D$27:$AH$206,'Oct'!$D$27:$AH$206,'Nov'!$D$27:$AH$206,'Dec'!$D$27:$AH$206,'Jan (next year)'!$D$27:$AH$206),27+3*(IFERROR(MATCH(C651,Roster!$B$6:$B$65,0),MATCH(C651,Roster!$C$6:$C$65,0))-1)+MATCH(B651,{"AM","PM","NIGHT"},0)-1-27+1,DAY(A651))&amp;"",""))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$206,'Feb'!$D$27:$AH$206,'Mar'!$D$27:$AH$206,'Apr'!$D$27:$AH$206,'May'!$D$27:$AH$206,'Jun'!$D$27:$AH$206,'Jul'!$D$27:$AH$206,'Aug'!$D$27:$AH$206,'Sep'!$D$27:$AH$206,'Oct'!$D$27:$AH$206,'Nov'!$D$27:$AH$206,'Dec'!$D$27:$AH$206,'Jan (next year)'!$D$27:$AH$206),27+3*(IFERROR(MATCH(C652,Roster!$B$6:$B$65,0),MATCH(C652,Roster!$C$6:$C$65,0))-1)+MATCH(B652,{"AM","PM","NIGHT"},0)-1-27+1,DAY(A652))&amp;"",""))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$206,'Feb'!$D$27:$AH$206,'Mar'!$D$27:$AH$206,'Apr'!$D$27:$AH$206,'May'!$D$27:$AH$206,'Jun'!$D$27:$AH$206,'Jul'!$D$27:$AH$206,'Aug'!$D$27:$AH$206,'Sep'!$D$27:$AH$206,'Oct'!$D$27:$AH$206,'Nov'!$D$27:$AH$206,'Dec'!$D$27:$AH$206,'Jan (next year)'!$D$27:$AH$206),27+3*(IFERROR(MATCH(C653,Roster!$B$6:$B$65,0),MATCH(C653,Roster!$C$6:$C$65,0))-1)+MATCH(B653,{"AM","PM","NIGHT"},0)-1-27+1,DAY(A653))&amp;"",""))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$206,'Feb'!$D$27:$AH$206,'Mar'!$D$27:$AH$206,'Apr'!$D$27:$AH$206,'May'!$D$27:$AH$206,'Jun'!$D$27:$AH$206,'Jul'!$D$27:$AH$206,'Aug'!$D$27:$AH$206,'Sep'!$D$27:$AH$206,'Oct'!$D$27:$AH$206,'Nov'!$D$27:$AH$206,'Dec'!$D$27:$AH$206,'Jan (next year)'!$D$27:$AH$206),27+3*(IFERROR(MATCH(C654,Roster!$B$6:$B$65,0),MATCH(C654,Roster!$C$6:$C$65,0))-1)+MATCH(B654,{"AM","PM","NIGHT"},0)-1-27+1,DAY(A654))&amp;"",""))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$206,'Feb'!$D$27:$AH$206,'Mar'!$D$27:$AH$206,'Apr'!$D$27:$AH$206,'May'!$D$27:$AH$206,'Jun'!$D$27:$AH$206,'Jul'!$D$27:$AH$206,'Aug'!$D$27:$AH$206,'Sep'!$D$27:$AH$206,'Oct'!$D$27:$AH$206,'Nov'!$D$27:$AH$206,'Dec'!$D$27:$AH$206,'Jan (next year)'!$D$27:$AH$206),27+3*(IFERROR(MATCH(C655,Roster!$B$6:$B$65,0),MATCH(C655,Roster!$C$6:$C$65,0))-1)+MATCH(B655,{"AM","PM","NIGHT"},0)-1-27+1,DAY(A655))&amp;"",""))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$206,'Feb'!$D$27:$AH$206,'Mar'!$D$27:$AH$206,'Apr'!$D$27:$AH$206,'May'!$D$27:$AH$206,'Jun'!$D$27:$AH$206,'Jul'!$D$27:$AH$206,'Aug'!$D$27:$AH$206,'Sep'!$D$27:$AH$206,'Oct'!$D$27:$AH$206,'Nov'!$D$27:$AH$206,'Dec'!$D$27:$AH$206,'Jan (next year)'!$D$27:$AH$206),27+3*(IFERROR(MATCH(C656,Roster!$B$6:$B$65,0),MATCH(C656,Roster!$C$6:$C$65,0))-1)+MATCH(B656,{"AM","PM","NIGHT"},0)-1-27+1,DAY(A656))&amp;"",""))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$206,'Feb'!$D$27:$AH$206,'Mar'!$D$27:$AH$206,'Apr'!$D$27:$AH$206,'May'!$D$27:$AH$206,'Jun'!$D$27:$AH$206,'Jul'!$D$27:$AH$206,'Aug'!$D$27:$AH$206,'Sep'!$D$27:$AH$206,'Oct'!$D$27:$AH$206,'Nov'!$D$27:$AH$206,'Dec'!$D$27:$AH$206,'Jan (next year)'!$D$27:$AH$206),27+3*(IFERROR(MATCH(C657,Roster!$B$6:$B$65,0),MATCH(C657,Roster!$C$6:$C$65,0))-1)+MATCH(B657,{"AM","PM","NIGHT"},0)-1-27+1,DAY(A657))&amp;"",""))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$206,'Feb'!$D$27:$AH$206,'Mar'!$D$27:$AH$206,'Apr'!$D$27:$AH$206,'May'!$D$27:$AH$206,'Jun'!$D$27:$AH$206,'Jul'!$D$27:$AH$206,'Aug'!$D$27:$AH$206,'Sep'!$D$27:$AH$206,'Oct'!$D$27:$AH$206,'Nov'!$D$27:$AH$206,'Dec'!$D$27:$AH$206,'Jan (next year)'!$D$27:$AH$206),27+3*(IFERROR(MATCH(C658,Roster!$B$6:$B$65,0),MATCH(C658,Roster!$C$6:$C$65,0))-1)+MATCH(B658,{"AM","PM","NIGHT"},0)-1-27+1,DAY(A658))&amp;"",""))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$206,'Feb'!$D$27:$AH$206,'Mar'!$D$27:$AH$206,'Apr'!$D$27:$AH$206,'May'!$D$27:$AH$206,'Jun'!$D$27:$AH$206,'Jul'!$D$27:$AH$206,'Aug'!$D$27:$AH$206,'Sep'!$D$27:$AH$206,'Oct'!$D$27:$AH$206,'Nov'!$D$27:$AH$206,'Dec'!$D$27:$AH$206,'Jan (next year)'!$D$27:$AH$206),27+3*(IFERROR(MATCH(C659,Roster!$B$6:$B$65,0),MATCH(C659,Roster!$C$6:$C$65,0))-1)+MATCH(B659,{"AM","PM","NIGHT"},0)-1-27+1,DAY(A659))&amp;"",""))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$206,'Feb'!$D$27:$AH$206,'Mar'!$D$27:$AH$206,'Apr'!$D$27:$AH$206,'May'!$D$27:$AH$206,'Jun'!$D$27:$AH$206,'Jul'!$D$27:$AH$206,'Aug'!$D$27:$AH$206,'Sep'!$D$27:$AH$206,'Oct'!$D$27:$AH$206,'Nov'!$D$27:$AH$206,'Dec'!$D$27:$AH$206,'Jan (next year)'!$D$27:$AH$206),27+3*(IFERROR(MATCH(C660,Roster!$B$6:$B$65,0),MATCH(C660,Roster!$C$6:$C$65,0))-1)+MATCH(B660,{"AM","PM","NIGHT"},0)-1-27+1,DAY(A660))&amp;"",""))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$206,'Feb'!$D$27:$AH$206,'Mar'!$D$27:$AH$206,'Apr'!$D$27:$AH$206,'May'!$D$27:$AH$206,'Jun'!$D$27:$AH$206,'Jul'!$D$27:$AH$206,'Aug'!$D$27:$AH$206,'Sep'!$D$27:$AH$206,'Oct'!$D$27:$AH$206,'Nov'!$D$27:$AH$206,'Dec'!$D$27:$AH$206,'Jan (next year)'!$D$27:$AH$206),27+3*(IFERROR(MATCH(C661,Roster!$B$6:$B$65,0),MATCH(C661,Roster!$C$6:$C$65,0))-1)+MATCH(B661,{"AM","PM","NIGHT"},0)-1-27+1,DAY(A661))&amp;"",""))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$206,'Feb'!$D$27:$AH$206,'Mar'!$D$27:$AH$206,'Apr'!$D$27:$AH$206,'May'!$D$27:$AH$206,'Jun'!$D$27:$AH$206,'Jul'!$D$27:$AH$206,'Aug'!$D$27:$AH$206,'Sep'!$D$27:$AH$206,'Oct'!$D$27:$AH$206,'Nov'!$D$27:$AH$206,'Dec'!$D$27:$AH$206,'Jan (next year)'!$D$27:$AH$206),27+3*(IFERROR(MATCH(C662,Roster!$B$6:$B$65,0),MATCH(C662,Roster!$C$6:$C$65,0))-1)+MATCH(B662,{"AM","PM","NIGHT"},0)-1-27+1,DAY(A662))&amp;"",""))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$206,'Feb'!$D$27:$AH$206,'Mar'!$D$27:$AH$206,'Apr'!$D$27:$AH$206,'May'!$D$27:$AH$206,'Jun'!$D$27:$AH$206,'Jul'!$D$27:$AH$206,'Aug'!$D$27:$AH$206,'Sep'!$D$27:$AH$206,'Oct'!$D$27:$AH$206,'Nov'!$D$27:$AH$206,'Dec'!$D$27:$AH$206,'Jan (next year)'!$D$27:$AH$206),27+3*(IFERROR(MATCH(C663,Roster!$B$6:$B$65,0),MATCH(C663,Roster!$C$6:$C$65,0))-1)+MATCH(B663,{"AM","PM","NIGHT"},0)-1-27+1,DAY(A663))&amp;"",""))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$206,'Feb'!$D$27:$AH$206,'Mar'!$D$27:$AH$206,'Apr'!$D$27:$AH$206,'May'!$D$27:$AH$206,'Jun'!$D$27:$AH$206,'Jul'!$D$27:$AH$206,'Aug'!$D$27:$AH$206,'Sep'!$D$27:$AH$206,'Oct'!$D$27:$AH$206,'Nov'!$D$27:$AH$206,'Dec'!$D$27:$AH$206,'Jan (next year)'!$D$27:$AH$206),27+3*(IFERROR(MATCH(C664,Roster!$B$6:$B$65,0),MATCH(C664,Roster!$C$6:$C$65,0))-1)+MATCH(B664,{"AM","PM","NIGHT"},0)-1-27+1,DAY(A664))&amp;"",""))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$206,'Feb'!$D$27:$AH$206,'Mar'!$D$27:$AH$206,'Apr'!$D$27:$AH$206,'May'!$D$27:$AH$206,'Jun'!$D$27:$AH$206,'Jul'!$D$27:$AH$206,'Aug'!$D$27:$AH$206,'Sep'!$D$27:$AH$206,'Oct'!$D$27:$AH$206,'Nov'!$D$27:$AH$206,'Dec'!$D$27:$AH$206,'Jan (next year)'!$D$27:$AH$206),27+3*(IFERROR(MATCH(C665,Roster!$B$6:$B$65,0),MATCH(C665,Roster!$C$6:$C$65,0))-1)+MATCH(B665,{"AM","PM","NIGHT"},0)-1-27+1,DAY(A665))&amp;"",""))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$206,'Feb'!$D$27:$AH$206,'Mar'!$D$27:$AH$206,'Apr'!$D$27:$AH$206,'May'!$D$27:$AH$206,'Jun'!$D$27:$AH$206,'Jul'!$D$27:$AH$206,'Aug'!$D$27:$AH$206,'Sep'!$D$27:$AH$206,'Oct'!$D$27:$AH$206,'Nov'!$D$27:$AH$206,'Dec'!$D$27:$AH$206,'Jan (next year)'!$D$27:$AH$206),27+3*(IFERROR(MATCH(C666,Roster!$B$6:$B$65,0),MATCH(C666,Roster!$C$6:$C$65,0))-1)+MATCH(B666,{"AM","PM","NIGHT"},0)-1-27+1,DAY(A666))&amp;"",""))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$206,'Feb'!$D$27:$AH$206,'Mar'!$D$27:$AH$206,'Apr'!$D$27:$AH$206,'May'!$D$27:$AH$206,'Jun'!$D$27:$AH$206,'Jul'!$D$27:$AH$206,'Aug'!$D$27:$AH$206,'Sep'!$D$27:$AH$206,'Oct'!$D$27:$AH$206,'Nov'!$D$27:$AH$206,'Dec'!$D$27:$AH$206,'Jan (next year)'!$D$27:$AH$206),27+3*(IFERROR(MATCH(C667,Roster!$B$6:$B$65,0),MATCH(C667,Roster!$C$6:$C$65,0))-1)+MATCH(B667,{"AM","PM","NIGHT"},0)-1-27+1,DAY(A667))&amp;"",""))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$206,'Feb'!$D$27:$AH$206,'Mar'!$D$27:$AH$206,'Apr'!$D$27:$AH$206,'May'!$D$27:$AH$206,'Jun'!$D$27:$AH$206,'Jul'!$D$27:$AH$206,'Aug'!$D$27:$AH$206,'Sep'!$D$27:$AH$206,'Oct'!$D$27:$AH$206,'Nov'!$D$27:$AH$206,'Dec'!$D$27:$AH$206,'Jan (next year)'!$D$27:$AH$206),27+3*(IFERROR(MATCH(C668,Roster!$B$6:$B$65,0),MATCH(C668,Roster!$C$6:$C$65,0))-1)+MATCH(B668,{"AM","PM","NIGHT"},0)-1-27+1,DAY(A668))&amp;"",""))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$206,'Feb'!$D$27:$AH$206,'Mar'!$D$27:$AH$206,'Apr'!$D$27:$AH$206,'May'!$D$27:$AH$206,'Jun'!$D$27:$AH$206,'Jul'!$D$27:$AH$206,'Aug'!$D$27:$AH$206,'Sep'!$D$27:$AH$206,'Oct'!$D$27:$AH$206,'Nov'!$D$27:$AH$206,'Dec'!$D$27:$AH$206,'Jan (next year)'!$D$27:$AH$206),27+3*(IFERROR(MATCH(C669,Roster!$B$6:$B$65,0),MATCH(C669,Roster!$C$6:$C$65,0))-1)+MATCH(B669,{"AM","PM","NIGHT"},0)-1-27+1,DAY(A669))&amp;"",""))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$206,'Feb'!$D$27:$AH$206,'Mar'!$D$27:$AH$206,'Apr'!$D$27:$AH$206,'May'!$D$27:$AH$206,'Jun'!$D$27:$AH$206,'Jul'!$D$27:$AH$206,'Aug'!$D$27:$AH$206,'Sep'!$D$27:$AH$206,'Oct'!$D$27:$AH$206,'Nov'!$D$27:$AH$206,'Dec'!$D$27:$AH$206,'Jan (next year)'!$D$27:$AH$206),27+3*(IFERROR(MATCH(C670,Roster!$B$6:$B$65,0),MATCH(C670,Roster!$C$6:$C$65,0))-1)+MATCH(B670,{"AM","PM","NIGHT"},0)-1-27+1,DAY(A670))&amp;"",""))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$206,'Feb'!$D$27:$AH$206,'Mar'!$D$27:$AH$206,'Apr'!$D$27:$AH$206,'May'!$D$27:$AH$206,'Jun'!$D$27:$AH$206,'Jul'!$D$27:$AH$206,'Aug'!$D$27:$AH$206,'Sep'!$D$27:$AH$206,'Oct'!$D$27:$AH$206,'Nov'!$D$27:$AH$206,'Dec'!$D$27:$AH$206,'Jan (next year)'!$D$27:$AH$206),27+3*(IFERROR(MATCH(C671,Roster!$B$6:$B$65,0),MATCH(C671,Roster!$C$6:$C$65,0))-1)+MATCH(B671,{"AM","PM","NIGHT"},0)-1-27+1,DAY(A671))&amp;"",""))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$206,'Feb'!$D$27:$AH$206,'Mar'!$D$27:$AH$206,'Apr'!$D$27:$AH$206,'May'!$D$27:$AH$206,'Jun'!$D$27:$AH$206,'Jul'!$D$27:$AH$206,'Aug'!$D$27:$AH$206,'Sep'!$D$27:$AH$206,'Oct'!$D$27:$AH$206,'Nov'!$D$27:$AH$206,'Dec'!$D$27:$AH$206,'Jan (next year)'!$D$27:$AH$206),27+3*(IFERROR(MATCH(C672,Roster!$B$6:$B$65,0),MATCH(C672,Roster!$C$6:$C$65,0))-1)+MATCH(B672,{"AM","PM","NIGHT"},0)-1-27+1,DAY(A672))&amp;"",""))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$206,'Feb'!$D$27:$AH$206,'Mar'!$D$27:$AH$206,'Apr'!$D$27:$AH$206,'May'!$D$27:$AH$206,'Jun'!$D$27:$AH$206,'Jul'!$D$27:$AH$206,'Aug'!$D$27:$AH$206,'Sep'!$D$27:$AH$206,'Oct'!$D$27:$AH$206,'Nov'!$D$27:$AH$206,'Dec'!$D$27:$AH$206,'Jan (next year)'!$D$27:$AH$206),27+3*(IFERROR(MATCH(C673,Roster!$B$6:$B$65,0),MATCH(C673,Roster!$C$6:$C$65,0))-1)+MATCH(B673,{"AM","PM","NIGHT"},0)-1-27+1,DAY(A673))&amp;"",""))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$206,'Feb'!$D$27:$AH$206,'Mar'!$D$27:$AH$206,'Apr'!$D$27:$AH$206,'May'!$D$27:$AH$206,'Jun'!$D$27:$AH$206,'Jul'!$D$27:$AH$206,'Aug'!$D$27:$AH$206,'Sep'!$D$27:$AH$206,'Oct'!$D$27:$AH$206,'Nov'!$D$27:$AH$206,'Dec'!$D$27:$AH$206,'Jan (next year)'!$D$27:$AH$206),27+3*(IFERROR(MATCH(C674,Roster!$B$6:$B$65,0),MATCH(C674,Roster!$C$6:$C$65,0))-1)+MATCH(B674,{"AM","PM","NIGHT"},0)-1-27+1,DAY(A674))&amp;"",""))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$206,'Feb'!$D$27:$AH$206,'Mar'!$D$27:$AH$206,'Apr'!$D$27:$AH$206,'May'!$D$27:$AH$206,'Jun'!$D$27:$AH$206,'Jul'!$D$27:$AH$206,'Aug'!$D$27:$AH$206,'Sep'!$D$27:$AH$206,'Oct'!$D$27:$AH$206,'Nov'!$D$27:$AH$206,'Dec'!$D$27:$AH$206,'Jan (next year)'!$D$27:$AH$206),27+3*(IFERROR(MATCH(C675,Roster!$B$6:$B$65,0),MATCH(C675,Roster!$C$6:$C$65,0))-1)+MATCH(B675,{"AM","PM","NIGHT"},0)-1-27+1,DAY(A675))&amp;"",""))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$206,'Feb'!$D$27:$AH$206,'Mar'!$D$27:$AH$206,'Apr'!$D$27:$AH$206,'May'!$D$27:$AH$206,'Jun'!$D$27:$AH$206,'Jul'!$D$27:$AH$206,'Aug'!$D$27:$AH$206,'Sep'!$D$27:$AH$206,'Oct'!$D$27:$AH$206,'Nov'!$D$27:$AH$206,'Dec'!$D$27:$AH$206,'Jan (next year)'!$D$27:$AH$206),27+3*(IFERROR(MATCH(C676,Roster!$B$6:$B$65,0),MATCH(C676,Roster!$C$6:$C$65,0))-1)+MATCH(B676,{"AM","PM","NIGHT"},0)-1-27+1,DAY(A676))&amp;"",""))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$206,'Feb'!$D$27:$AH$206,'Mar'!$D$27:$AH$206,'Apr'!$D$27:$AH$206,'May'!$D$27:$AH$206,'Jun'!$D$27:$AH$206,'Jul'!$D$27:$AH$206,'Aug'!$D$27:$AH$206,'Sep'!$D$27:$AH$206,'Oct'!$D$27:$AH$206,'Nov'!$D$27:$AH$206,'Dec'!$D$27:$AH$206,'Jan (next year)'!$D$27:$AH$206),27+3*(IFERROR(MATCH(C677,Roster!$B$6:$B$65,0),MATCH(C677,Roster!$C$6:$C$65,0))-1)+MATCH(B677,{"AM","PM","NIGHT"},0)-1-27+1,DAY(A677))&amp;"",""))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$206,'Feb'!$D$27:$AH$206,'Mar'!$D$27:$AH$206,'Apr'!$D$27:$AH$206,'May'!$D$27:$AH$206,'Jun'!$D$27:$AH$206,'Jul'!$D$27:$AH$206,'Aug'!$D$27:$AH$206,'Sep'!$D$27:$AH$206,'Oct'!$D$27:$AH$206,'Nov'!$D$27:$AH$206,'Dec'!$D$27:$AH$206,'Jan (next year)'!$D$27:$AH$206),27+3*(IFERROR(MATCH(C678,Roster!$B$6:$B$65,0),MATCH(C678,Roster!$C$6:$C$65,0))-1)+MATCH(B678,{"AM","PM","NIGHT"},0)-1-27+1,DAY(A678))&amp;"",""))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$206,'Feb'!$D$27:$AH$206,'Mar'!$D$27:$AH$206,'Apr'!$D$27:$AH$206,'May'!$D$27:$AH$206,'Jun'!$D$27:$AH$206,'Jul'!$D$27:$AH$206,'Aug'!$D$27:$AH$206,'Sep'!$D$27:$AH$206,'Oct'!$D$27:$AH$206,'Nov'!$D$27:$AH$206,'Dec'!$D$27:$AH$206,'Jan (next year)'!$D$27:$AH$206),27+3*(IFERROR(MATCH(C679,Roster!$B$6:$B$65,0),MATCH(C679,Roster!$C$6:$C$65,0))-1)+MATCH(B679,{"AM","PM","NIGHT"},0)-1-27+1,DAY(A679))&amp;"",""))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$206,'Feb'!$D$27:$AH$206,'Mar'!$D$27:$AH$206,'Apr'!$D$27:$AH$206,'May'!$D$27:$AH$206,'Jun'!$D$27:$AH$206,'Jul'!$D$27:$AH$206,'Aug'!$D$27:$AH$206,'Sep'!$D$27:$AH$206,'Oct'!$D$27:$AH$206,'Nov'!$D$27:$AH$206,'Dec'!$D$27:$AH$206,'Jan (next year)'!$D$27:$AH$206),27+3*(IFERROR(MATCH(C680,Roster!$B$6:$B$65,0),MATCH(C680,Roster!$C$6:$C$65,0))-1)+MATCH(B680,{"AM","PM","NIGHT"},0)-1-27+1,DAY(A680))&amp;"",""))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$206,'Feb'!$D$27:$AH$206,'Mar'!$D$27:$AH$206,'Apr'!$D$27:$AH$206,'May'!$D$27:$AH$206,'Jun'!$D$27:$AH$206,'Jul'!$D$27:$AH$206,'Aug'!$D$27:$AH$206,'Sep'!$D$27:$AH$206,'Oct'!$D$27:$AH$206,'Nov'!$D$27:$AH$206,'Dec'!$D$27:$AH$206,'Jan (next year)'!$D$27:$AH$206),27+3*(IFERROR(MATCH(C681,Roster!$B$6:$B$65,0),MATCH(C681,Roster!$C$6:$C$65,0))-1)+MATCH(B681,{"AM","PM","NIGHT"},0)-1-27+1,DAY(A681))&amp;"",""))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$206,'Feb'!$D$27:$AH$206,'Mar'!$D$27:$AH$206,'Apr'!$D$27:$AH$206,'May'!$D$27:$AH$206,'Jun'!$D$27:$AH$206,'Jul'!$D$27:$AH$206,'Aug'!$D$27:$AH$206,'Sep'!$D$27:$AH$206,'Oct'!$D$27:$AH$206,'Nov'!$D$27:$AH$206,'Dec'!$D$27:$AH$206,'Jan (next year)'!$D$27:$AH$206),27+3*(IFERROR(MATCH(C682,Roster!$B$6:$B$65,0),MATCH(C682,Roster!$C$6:$C$65,0))-1)+MATCH(B682,{"AM","PM","NIGHT"},0)-1-27+1,DAY(A682))&amp;"",""))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$206,'Feb'!$D$27:$AH$206,'Mar'!$D$27:$AH$206,'Apr'!$D$27:$AH$206,'May'!$D$27:$AH$206,'Jun'!$D$27:$AH$206,'Jul'!$D$27:$AH$206,'Aug'!$D$27:$AH$206,'Sep'!$D$27:$AH$206,'Oct'!$D$27:$AH$206,'Nov'!$D$27:$AH$206,'Dec'!$D$27:$AH$206,'Jan (next year)'!$D$27:$AH$206),27+3*(IFERROR(MATCH(C683,Roster!$B$6:$B$65,0),MATCH(C683,Roster!$C$6:$C$65,0))-1)+MATCH(B683,{"AM","PM","NIGHT"},0)-1-27+1,DAY(A683))&amp;"",""))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$206,'Feb'!$D$27:$AH$206,'Mar'!$D$27:$AH$206,'Apr'!$D$27:$AH$206,'May'!$D$27:$AH$206,'Jun'!$D$27:$AH$206,'Jul'!$D$27:$AH$206,'Aug'!$D$27:$AH$206,'Sep'!$D$27:$AH$206,'Oct'!$D$27:$AH$206,'Nov'!$D$27:$AH$206,'Dec'!$D$27:$AH$206,'Jan (next year)'!$D$27:$AH$206),27+3*(IFERROR(MATCH(C684,Roster!$B$6:$B$65,0),MATCH(C684,Roster!$C$6:$C$65,0))-1)+MATCH(B684,{"AM","PM","NIGHT"},0)-1-27+1,DAY(A684))&amp;"",""))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$206,'Feb'!$D$27:$AH$206,'Mar'!$D$27:$AH$206,'Apr'!$D$27:$AH$206,'May'!$D$27:$AH$206,'Jun'!$D$27:$AH$206,'Jul'!$D$27:$AH$206,'Aug'!$D$27:$AH$206,'Sep'!$D$27:$AH$206,'Oct'!$D$27:$AH$206,'Nov'!$D$27:$AH$206,'Dec'!$D$27:$AH$206,'Jan (next year)'!$D$27:$AH$206),27+3*(IFERROR(MATCH(C685,Roster!$B$6:$B$65,0),MATCH(C685,Roster!$C$6:$C$65,0))-1)+MATCH(B685,{"AM","PM","NIGHT"},0)-1-27+1,DAY(A685))&amp;"",""))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$206,'Feb'!$D$27:$AH$206,'Mar'!$D$27:$AH$206,'Apr'!$D$27:$AH$206,'May'!$D$27:$AH$206,'Jun'!$D$27:$AH$206,'Jul'!$D$27:$AH$206,'Aug'!$D$27:$AH$206,'Sep'!$D$27:$AH$206,'Oct'!$D$27:$AH$206,'Nov'!$D$27:$AH$206,'Dec'!$D$27:$AH$206,'Jan (next year)'!$D$27:$AH$206),27+3*(IFERROR(MATCH(C686,Roster!$B$6:$B$65,0),MATCH(C686,Roster!$C$6:$C$65,0))-1)+MATCH(B686,{"AM","PM","NIGHT"},0)-1-27+1,DAY(A686))&amp;"",""))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$206,'Feb'!$D$27:$AH$206,'Mar'!$D$27:$AH$206,'Apr'!$D$27:$AH$206,'May'!$D$27:$AH$206,'Jun'!$D$27:$AH$206,'Jul'!$D$27:$AH$206,'Aug'!$D$27:$AH$206,'Sep'!$D$27:$AH$206,'Oct'!$D$27:$AH$206,'Nov'!$D$27:$AH$206,'Dec'!$D$27:$AH$206,'Jan (next year)'!$D$27:$AH$206),27+3*(IFERROR(MATCH(C687,Roster!$B$6:$B$65,0),MATCH(C687,Roster!$C$6:$C$65,0))-1)+MATCH(B687,{"AM","PM","NIGHT"},0)-1-27+1,DAY(A687))&amp;"",""))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$206,'Feb'!$D$27:$AH$206,'Mar'!$D$27:$AH$206,'Apr'!$D$27:$AH$206,'May'!$D$27:$AH$206,'Jun'!$D$27:$AH$206,'Jul'!$D$27:$AH$206,'Aug'!$D$27:$AH$206,'Sep'!$D$27:$AH$206,'Oct'!$D$27:$AH$206,'Nov'!$D$27:$AH$206,'Dec'!$D$27:$AH$206,'Jan (next year)'!$D$27:$AH$206),27+3*(IFERROR(MATCH(C688,Roster!$B$6:$B$65,0),MATCH(C688,Roster!$C$6:$C$65,0))-1)+MATCH(B688,{"AM","PM","NIGHT"},0)-1-27+1,DAY(A688))&amp;"",""))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$206,'Feb'!$D$27:$AH$206,'Mar'!$D$27:$AH$206,'Apr'!$D$27:$AH$206,'May'!$D$27:$AH$206,'Jun'!$D$27:$AH$206,'Jul'!$D$27:$AH$206,'Aug'!$D$27:$AH$206,'Sep'!$D$27:$AH$206,'Oct'!$D$27:$AH$206,'Nov'!$D$27:$AH$206,'Dec'!$D$27:$AH$206,'Jan (next year)'!$D$27:$AH$206),27+3*(IFERROR(MATCH(C689,Roster!$B$6:$B$65,0),MATCH(C689,Roster!$C$6:$C$65,0))-1)+MATCH(B689,{"AM","PM","NIGHT"},0)-1-27+1,DAY(A689))&amp;"",""))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$206,'Feb'!$D$27:$AH$206,'Mar'!$D$27:$AH$206,'Apr'!$D$27:$AH$206,'May'!$D$27:$AH$206,'Jun'!$D$27:$AH$206,'Jul'!$D$27:$AH$206,'Aug'!$D$27:$AH$206,'Sep'!$D$27:$AH$206,'Oct'!$D$27:$AH$206,'Nov'!$D$27:$AH$206,'Dec'!$D$27:$AH$206,'Jan (next year)'!$D$27:$AH$206),27+3*(IFERROR(MATCH(C690,Roster!$B$6:$B$65,0),MATCH(C690,Roster!$C$6:$C$65,0))-1)+MATCH(B690,{"AM","PM","NIGHT"},0)-1-27+1,DAY(A690))&amp;"",""))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$206,'Feb'!$D$27:$AH$206,'Mar'!$D$27:$AH$206,'Apr'!$D$27:$AH$206,'May'!$D$27:$AH$206,'Jun'!$D$27:$AH$206,'Jul'!$D$27:$AH$206,'Aug'!$D$27:$AH$206,'Sep'!$D$27:$AH$206,'Oct'!$D$27:$AH$206,'Nov'!$D$27:$AH$206,'Dec'!$D$27:$AH$206,'Jan (next year)'!$D$27:$AH$206),27+3*(IFERROR(MATCH(C691,Roster!$B$6:$B$65,0),MATCH(C691,Roster!$C$6:$C$65,0))-1)+MATCH(B691,{"AM","PM","NIGHT"},0)-1-27+1,DAY(A691))&amp;"",""))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$206,'Feb'!$D$27:$AH$206,'Mar'!$D$27:$AH$206,'Apr'!$D$27:$AH$206,'May'!$D$27:$AH$206,'Jun'!$D$27:$AH$206,'Jul'!$D$27:$AH$206,'Aug'!$D$27:$AH$206,'Sep'!$D$27:$AH$206,'Oct'!$D$27:$AH$206,'Nov'!$D$27:$AH$206,'Dec'!$D$27:$AH$206,'Jan (next year)'!$D$27:$AH$206),27+3*(IFERROR(MATCH(C692,Roster!$B$6:$B$65,0),MATCH(C692,Roster!$C$6:$C$65,0))-1)+MATCH(B692,{"AM","PM","NIGHT"},0)-1-27+1,DAY(A692))&amp;"",""))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$206,'Feb'!$D$27:$AH$206,'Mar'!$D$27:$AH$206,'Apr'!$D$27:$AH$206,'May'!$D$27:$AH$206,'Jun'!$D$27:$AH$206,'Jul'!$D$27:$AH$206,'Aug'!$D$27:$AH$206,'Sep'!$D$27:$AH$206,'Oct'!$D$27:$AH$206,'Nov'!$D$27:$AH$206,'Dec'!$D$27:$AH$206,'Jan (next year)'!$D$27:$AH$206),27+3*(IFERROR(MATCH(C693,Roster!$B$6:$B$65,0),MATCH(C693,Roster!$C$6:$C$65,0))-1)+MATCH(B693,{"AM","PM","NIGHT"},0)-1-27+1,DAY(A693))&amp;"",""))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$206,'Feb'!$D$27:$AH$206,'Mar'!$D$27:$AH$206,'Apr'!$D$27:$AH$206,'May'!$D$27:$AH$206,'Jun'!$D$27:$AH$206,'Jul'!$D$27:$AH$206,'Aug'!$D$27:$AH$206,'Sep'!$D$27:$AH$206,'Oct'!$D$27:$AH$206,'Nov'!$D$27:$AH$206,'Dec'!$D$27:$AH$206,'Jan (next year)'!$D$27:$AH$206),27+3*(IFERROR(MATCH(C694,Roster!$B$6:$B$65,0),MATCH(C694,Roster!$C$6:$C$65,0))-1)+MATCH(B694,{"AM","PM","NIGHT"},0)-1-27+1,DAY(A694))&amp;"",""))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$206,'Feb'!$D$27:$AH$206,'Mar'!$D$27:$AH$206,'Apr'!$D$27:$AH$206,'May'!$D$27:$AH$206,'Jun'!$D$27:$AH$206,'Jul'!$D$27:$AH$206,'Aug'!$D$27:$AH$206,'Sep'!$D$27:$AH$206,'Oct'!$D$27:$AH$206,'Nov'!$D$27:$AH$206,'Dec'!$D$27:$AH$206,'Jan (next year)'!$D$27:$AH$206),27+3*(IFERROR(MATCH(C695,Roster!$B$6:$B$65,0),MATCH(C695,Roster!$C$6:$C$65,0))-1)+MATCH(B695,{"AM","PM","NIGHT"},0)-1-27+1,DAY(A695))&amp;"",""))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$206,'Feb'!$D$27:$AH$206,'Mar'!$D$27:$AH$206,'Apr'!$D$27:$AH$206,'May'!$D$27:$AH$206,'Jun'!$D$27:$AH$206,'Jul'!$D$27:$AH$206,'Aug'!$D$27:$AH$206,'Sep'!$D$27:$AH$206,'Oct'!$D$27:$AH$206,'Nov'!$D$27:$AH$206,'Dec'!$D$27:$AH$206,'Jan (next year)'!$D$27:$AH$206),27+3*(IFERROR(MATCH(C696,Roster!$B$6:$B$65,0),MATCH(C696,Roster!$C$6:$C$65,0))-1)+MATCH(B696,{"AM","PM","NIGHT"},0)-1-27+1,DAY(A696))&amp;"",""))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$206,'Feb'!$D$27:$AH$206,'Mar'!$D$27:$AH$206,'Apr'!$D$27:$AH$206,'May'!$D$27:$AH$206,'Jun'!$D$27:$AH$206,'Jul'!$D$27:$AH$206,'Aug'!$D$27:$AH$206,'Sep'!$D$27:$AH$206,'Oct'!$D$27:$AH$206,'Nov'!$D$27:$AH$206,'Dec'!$D$27:$AH$206,'Jan (next year)'!$D$27:$AH$206),27+3*(IFERROR(MATCH(C697,Roster!$B$6:$B$65,0),MATCH(C697,Roster!$C$6:$C$65,0))-1)+MATCH(B697,{"AM","PM","NIGHT"},0)-1-27+1,DAY(A697))&amp;"",""))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$206,'Feb'!$D$27:$AH$206,'Mar'!$D$27:$AH$206,'Apr'!$D$27:$AH$206,'May'!$D$27:$AH$206,'Jun'!$D$27:$AH$206,'Jul'!$D$27:$AH$206,'Aug'!$D$27:$AH$206,'Sep'!$D$27:$AH$206,'Oct'!$D$27:$AH$206,'Nov'!$D$27:$AH$206,'Dec'!$D$27:$AH$206,'Jan (next year)'!$D$27:$AH$206),27+3*(IFERROR(MATCH(C698,Roster!$B$6:$B$65,0),MATCH(C698,Roster!$C$6:$C$65,0))-1)+MATCH(B698,{"AM","PM","NIGHT"},0)-1-27+1,DAY(A698))&amp;"",""))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$206,'Feb'!$D$27:$AH$206,'Mar'!$D$27:$AH$206,'Apr'!$D$27:$AH$206,'May'!$D$27:$AH$206,'Jun'!$D$27:$AH$206,'Jul'!$D$27:$AH$206,'Aug'!$D$27:$AH$206,'Sep'!$D$27:$AH$206,'Oct'!$D$27:$AH$206,'Nov'!$D$27:$AH$206,'Dec'!$D$27:$AH$206,'Jan (next year)'!$D$27:$AH$206),27+3*(IFERROR(MATCH(C699,Roster!$B$6:$B$65,0),MATCH(C699,Roster!$C$6:$C$65,0))-1)+MATCH(B699,{"AM","PM","NIGHT"},0)-1-27+1,DAY(A699))&amp;"",""))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$206,'Feb'!$D$27:$AH$206,'Mar'!$D$27:$AH$206,'Apr'!$D$27:$AH$206,'May'!$D$27:$AH$206,'Jun'!$D$27:$AH$206,'Jul'!$D$27:$AH$206,'Aug'!$D$27:$AH$206,'Sep'!$D$27:$AH$206,'Oct'!$D$27:$AH$206,'Nov'!$D$27:$AH$206,'Dec'!$D$27:$AH$206,'Jan (next year)'!$D$27:$AH$206),27+3*(IFERROR(MATCH(C700,Roster!$B$6:$B$65,0),MATCH(C700,Roster!$C$6:$C$65,0))-1)+MATCH(B700,{"AM","PM","NIGHT"},0)-1-27+1,DAY(A700))&amp;"",""))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$206,'Feb'!$D$27:$AH$206,'Mar'!$D$27:$AH$206,'Apr'!$D$27:$AH$206,'May'!$D$27:$AH$206,'Jun'!$D$27:$AH$206,'Jul'!$D$27:$AH$206,'Aug'!$D$27:$AH$206,'Sep'!$D$27:$AH$206,'Oct'!$D$27:$AH$206,'Nov'!$D$27:$AH$206,'Dec'!$D$27:$AH$206,'Jan (next year)'!$D$27:$AH$206),27+3*(IFERROR(MATCH(C701,Roster!$B$6:$B$65,0),MATCH(C701,Roster!$C$6:$C$65,0))-1)+MATCH(B701,{"AM","PM","NIGHT"},0)-1-27+1,DAY(A701))&amp;"",""))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$206,'Feb'!$D$27:$AH$206,'Mar'!$D$27:$AH$206,'Apr'!$D$27:$AH$206,'May'!$D$27:$AH$206,'Jun'!$D$27:$AH$206,'Jul'!$D$27:$AH$206,'Aug'!$D$27:$AH$206,'Sep'!$D$27:$AH$206,'Oct'!$D$27:$AH$206,'Nov'!$D$27:$AH$206,'Dec'!$D$27:$AH$206,'Jan (next year)'!$D$27:$AH$206),27+3*(IFERROR(MATCH(C702,Roster!$B$6:$B$65,0),MATCH(C702,Roster!$C$6:$C$65,0))-1)+MATCH(B702,{"AM","PM","NIGHT"},0)-1-27+1,DAY(A702))&amp;"",""))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$206,'Feb'!$D$27:$AH$206,'Mar'!$D$27:$AH$206,'Apr'!$D$27:$AH$206,'May'!$D$27:$AH$206,'Jun'!$D$27:$AH$206,'Jul'!$D$27:$AH$206,'Aug'!$D$27:$AH$206,'Sep'!$D$27:$AH$206,'Oct'!$D$27:$AH$206,'Nov'!$D$27:$AH$206,'Dec'!$D$27:$AH$206,'Jan (next year)'!$D$27:$AH$206),27+3*(IFERROR(MATCH(C703,Roster!$B$6:$B$65,0),MATCH(C703,Roster!$C$6:$C$65,0))-1)+MATCH(B703,{"AM","PM","NIGHT"},0)-1-27+1,DAY(A703))&amp;"",""))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$206,'Feb'!$D$27:$AH$206,'Mar'!$D$27:$AH$206,'Apr'!$D$27:$AH$206,'May'!$D$27:$AH$206,'Jun'!$D$27:$AH$206,'Jul'!$D$27:$AH$206,'Aug'!$D$27:$AH$206,'Sep'!$D$27:$AH$206,'Oct'!$D$27:$AH$206,'Nov'!$D$27:$AH$206,'Dec'!$D$27:$AH$206,'Jan (next year)'!$D$27:$AH$206),27+3*(IFERROR(MATCH(C704,Roster!$B$6:$B$65,0),MATCH(C704,Roster!$C$6:$C$65,0))-1)+MATCH(B704,{"AM","PM","NIGHT"},0)-1-27+1,DAY(A704))&amp;"",""))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$206,'Feb'!$D$27:$AH$206,'Mar'!$D$27:$AH$206,'Apr'!$D$27:$AH$206,'May'!$D$27:$AH$206,'Jun'!$D$27:$AH$206,'Jul'!$D$27:$AH$206,'Aug'!$D$27:$AH$206,'Sep'!$D$27:$AH$206,'Oct'!$D$27:$AH$206,'Nov'!$D$27:$AH$206,'Dec'!$D$27:$AH$206,'Jan (next year)'!$D$27:$AH$206),27+3*(IFERROR(MATCH(C705,Roster!$B$6:$B$65,0),MATCH(C705,Roster!$C$6:$C$65,0))-1)+MATCH(B705,{"AM","PM","NIGHT"},0)-1-27+1,DAY(A705))&amp;"",""))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$206,'Feb'!$D$27:$AH$206,'Mar'!$D$27:$AH$206,'Apr'!$D$27:$AH$206,'May'!$D$27:$AH$206,'Jun'!$D$27:$AH$206,'Jul'!$D$27:$AH$206,'Aug'!$D$27:$AH$206,'Sep'!$D$27:$AH$206,'Oct'!$D$27:$AH$206,'Nov'!$D$27:$AH$206,'Dec'!$D$27:$AH$206,'Jan (next year)'!$D$27:$AH$206),27+3*(IFERROR(MATCH(C706,Roster!$B$6:$B$65,0),MATCH(C706,Roster!$C$6:$C$65,0))-1)+MATCH(B706,{"AM","PM","NIGHT"},0)-1-27+1,DAY(A706))&amp;"",""))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$206,'Feb'!$D$27:$AH$206,'Mar'!$D$27:$AH$206,'Apr'!$D$27:$AH$206,'May'!$D$27:$AH$206,'Jun'!$D$27:$AH$206,'Jul'!$D$27:$AH$206,'Aug'!$D$27:$AH$206,'Sep'!$D$27:$AH$206,'Oct'!$D$27:$AH$206,'Nov'!$D$27:$AH$206,'Dec'!$D$27:$AH$206,'Jan (next year)'!$D$27:$AH$206),27+3*(IFERROR(MATCH(C707,Roster!$B$6:$B$65,0),MATCH(C707,Roster!$C$6:$C$65,0))-1)+MATCH(B707,{"AM","PM","NIGHT"},0)-1-27+1,DAY(A707))&amp;"",""))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$206,'Feb'!$D$27:$AH$206,'Mar'!$D$27:$AH$206,'Apr'!$D$27:$AH$206,'May'!$D$27:$AH$206,'Jun'!$D$27:$AH$206,'Jul'!$D$27:$AH$206,'Aug'!$D$27:$AH$206,'Sep'!$D$27:$AH$206,'Oct'!$D$27:$AH$206,'Nov'!$D$27:$AH$206,'Dec'!$D$27:$AH$206,'Jan (next year)'!$D$27:$AH$206),27+3*(IFERROR(MATCH(C708,Roster!$B$6:$B$65,0),MATCH(C708,Roster!$C$6:$C$65,0))-1)+MATCH(B708,{"AM","PM","NIGHT"},0)-1-27+1,DAY(A708))&amp;"",""))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$206,'Feb'!$D$27:$AH$206,'Mar'!$D$27:$AH$206,'Apr'!$D$27:$AH$206,'May'!$D$27:$AH$206,'Jun'!$D$27:$AH$206,'Jul'!$D$27:$AH$206,'Aug'!$D$27:$AH$206,'Sep'!$D$27:$AH$206,'Oct'!$D$27:$AH$206,'Nov'!$D$27:$AH$206,'Dec'!$D$27:$AH$206,'Jan (next year)'!$D$27:$AH$206),27+3*(IFERROR(MATCH(C709,Roster!$B$6:$B$65,0),MATCH(C709,Roster!$C$6:$C$65,0))-1)+MATCH(B709,{"AM","PM","NIGHT"},0)-1-27+1,DAY(A709))&amp;"",""))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$206,'Feb'!$D$27:$AH$206,'Mar'!$D$27:$AH$206,'Apr'!$D$27:$AH$206,'May'!$D$27:$AH$206,'Jun'!$D$27:$AH$206,'Jul'!$D$27:$AH$206,'Aug'!$D$27:$AH$206,'Sep'!$D$27:$AH$206,'Oct'!$D$27:$AH$206,'Nov'!$D$27:$AH$206,'Dec'!$D$27:$AH$206,'Jan (next year)'!$D$27:$AH$206),27+3*(IFERROR(MATCH(C710,Roster!$B$6:$B$65,0),MATCH(C710,Roster!$C$6:$C$65,0))-1)+MATCH(B710,{"AM","PM","NIGHT"},0)-1-27+1,DAY(A710))&amp;"",""))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$206,'Feb'!$D$27:$AH$206,'Mar'!$D$27:$AH$206,'Apr'!$D$27:$AH$206,'May'!$D$27:$AH$206,'Jun'!$D$27:$AH$206,'Jul'!$D$27:$AH$206,'Aug'!$D$27:$AH$206,'Sep'!$D$27:$AH$206,'Oct'!$D$27:$AH$206,'Nov'!$D$27:$AH$206,'Dec'!$D$27:$AH$206,'Jan (next year)'!$D$27:$AH$206),27+3*(IFERROR(MATCH(C711,Roster!$B$6:$B$65,0),MATCH(C711,Roster!$C$6:$C$65,0))-1)+MATCH(B711,{"AM","PM","NIGHT"},0)-1-27+1,DAY(A711))&amp;"",""))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$206,'Feb'!$D$27:$AH$206,'Mar'!$D$27:$AH$206,'Apr'!$D$27:$AH$206,'May'!$D$27:$AH$206,'Jun'!$D$27:$AH$206,'Jul'!$D$27:$AH$206,'Aug'!$D$27:$AH$206,'Sep'!$D$27:$AH$206,'Oct'!$D$27:$AH$206,'Nov'!$D$27:$AH$206,'Dec'!$D$27:$AH$206,'Jan (next year)'!$D$27:$AH$206),27+3*(IFERROR(MATCH(C712,Roster!$B$6:$B$65,0),MATCH(C712,Roster!$C$6:$C$65,0))-1)+MATCH(B712,{"AM","PM","NIGHT"},0)-1-27+1,DAY(A712))&amp;"",""))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$206,'Feb'!$D$27:$AH$206,'Mar'!$D$27:$AH$206,'Apr'!$D$27:$AH$206,'May'!$D$27:$AH$206,'Jun'!$D$27:$AH$206,'Jul'!$D$27:$AH$206,'Aug'!$D$27:$AH$206,'Sep'!$D$27:$AH$206,'Oct'!$D$27:$AH$206,'Nov'!$D$27:$AH$206,'Dec'!$D$27:$AH$206,'Jan (next year)'!$D$27:$AH$206),27+3*(IFERROR(MATCH(C713,Roster!$B$6:$B$65,0),MATCH(C713,Roster!$C$6:$C$65,0))-1)+MATCH(B713,{"AM","PM","NIGHT"},0)-1-27+1,DAY(A713))&amp;"",""))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$206,'Feb'!$D$27:$AH$206,'Mar'!$D$27:$AH$206,'Apr'!$D$27:$AH$206,'May'!$D$27:$AH$206,'Jun'!$D$27:$AH$206,'Jul'!$D$27:$AH$206,'Aug'!$D$27:$AH$206,'Sep'!$D$27:$AH$206,'Oct'!$D$27:$AH$206,'Nov'!$D$27:$AH$206,'Dec'!$D$27:$AH$206,'Jan (next year)'!$D$27:$AH$206),27+3*(IFERROR(MATCH(C714,Roster!$B$6:$B$65,0),MATCH(C714,Roster!$C$6:$C$65,0))-1)+MATCH(B714,{"AM","PM","NIGHT"},0)-1-27+1,DAY(A714))&amp;"",""))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$206,'Feb'!$D$27:$AH$206,'Mar'!$D$27:$AH$206,'Apr'!$D$27:$AH$206,'May'!$D$27:$AH$206,'Jun'!$D$27:$AH$206,'Jul'!$D$27:$AH$206,'Aug'!$D$27:$AH$206,'Sep'!$D$27:$AH$206,'Oct'!$D$27:$AH$206,'Nov'!$D$27:$AH$206,'Dec'!$D$27:$AH$206,'Jan (next year)'!$D$27:$AH$206),27+3*(IFERROR(MATCH(C715,Roster!$B$6:$B$65,0),MATCH(C715,Roster!$C$6:$C$65,0))-1)+MATCH(B715,{"AM","PM","NIGHT"},0)-1-27+1,DAY(A715))&amp;"",""))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$206,'Feb'!$D$27:$AH$206,'Mar'!$D$27:$AH$206,'Apr'!$D$27:$AH$206,'May'!$D$27:$AH$206,'Jun'!$D$27:$AH$206,'Jul'!$D$27:$AH$206,'Aug'!$D$27:$AH$206,'Sep'!$D$27:$AH$206,'Oct'!$D$27:$AH$206,'Nov'!$D$27:$AH$206,'Dec'!$D$27:$AH$206,'Jan (next year)'!$D$27:$AH$206),27+3*(IFERROR(MATCH(C716,Roster!$B$6:$B$65,0),MATCH(C716,Roster!$C$6:$C$65,0))-1)+MATCH(B716,{"AM","PM","NIGHT"},0)-1-27+1,DAY(A716))&amp;"",""))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$206,'Feb'!$D$27:$AH$206,'Mar'!$D$27:$AH$206,'Apr'!$D$27:$AH$206,'May'!$D$27:$AH$206,'Jun'!$D$27:$AH$206,'Jul'!$D$27:$AH$206,'Aug'!$D$27:$AH$206,'Sep'!$D$27:$AH$206,'Oct'!$D$27:$AH$206,'Nov'!$D$27:$AH$206,'Dec'!$D$27:$AH$206,'Jan (next year)'!$D$27:$AH$206),27+3*(IFERROR(MATCH(C717,Roster!$B$6:$B$65,0),MATCH(C717,Roster!$C$6:$C$65,0))-1)+MATCH(B717,{"AM","PM","NIGHT"},0)-1-27+1,DAY(A717))&amp;"",""))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$206,'Feb'!$D$27:$AH$206,'Mar'!$D$27:$AH$206,'Apr'!$D$27:$AH$206,'May'!$D$27:$AH$206,'Jun'!$D$27:$AH$206,'Jul'!$D$27:$AH$206,'Aug'!$D$27:$AH$206,'Sep'!$D$27:$AH$206,'Oct'!$D$27:$AH$206,'Nov'!$D$27:$AH$206,'Dec'!$D$27:$AH$206,'Jan (next year)'!$D$27:$AH$206),27+3*(IFERROR(MATCH(C718,Roster!$B$6:$B$65,0),MATCH(C718,Roster!$C$6:$C$65,0))-1)+MATCH(B718,{"AM","PM","NIGHT"},0)-1-27+1,DAY(A718))&amp;"",""))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$206,'Feb'!$D$27:$AH$206,'Mar'!$D$27:$AH$206,'Apr'!$D$27:$AH$206,'May'!$D$27:$AH$206,'Jun'!$D$27:$AH$206,'Jul'!$D$27:$AH$206,'Aug'!$D$27:$AH$206,'Sep'!$D$27:$AH$206,'Oct'!$D$27:$AH$206,'Nov'!$D$27:$AH$206,'Dec'!$D$27:$AH$206,'Jan (next year)'!$D$27:$AH$206),27+3*(IFERROR(MATCH(C719,Roster!$B$6:$B$65,0),MATCH(C719,Roster!$C$6:$C$65,0))-1)+MATCH(B719,{"AM","PM","NIGHT"},0)-1-27+1,DAY(A719))&amp;"",""))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$206,'Feb'!$D$27:$AH$206,'Mar'!$D$27:$AH$206,'Apr'!$D$27:$AH$206,'May'!$D$27:$AH$206,'Jun'!$D$27:$AH$206,'Jul'!$D$27:$AH$206,'Aug'!$D$27:$AH$206,'Sep'!$D$27:$AH$206,'Oct'!$D$27:$AH$206,'Nov'!$D$27:$AH$206,'Dec'!$D$27:$AH$206,'Jan (next year)'!$D$27:$AH$206),27+3*(IFERROR(MATCH(C720,Roster!$B$6:$B$65,0),MATCH(C720,Roster!$C$6:$C$65,0))-1)+MATCH(B720,{"AM","PM","NIGHT"},0)-1-27+1,DAY(A720))&amp;"",""))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$206,'Feb'!$D$27:$AH$206,'Mar'!$D$27:$AH$206,'Apr'!$D$27:$AH$206,'May'!$D$27:$AH$206,'Jun'!$D$27:$AH$206,'Jul'!$D$27:$AH$206,'Aug'!$D$27:$AH$206,'Sep'!$D$27:$AH$206,'Oct'!$D$27:$AH$206,'Nov'!$D$27:$AH$206,'Dec'!$D$27:$AH$206,'Jan (next year)'!$D$27:$AH$206),27+3*(IFERROR(MATCH(C721,Roster!$B$6:$B$65,0),MATCH(C721,Roster!$C$6:$C$65,0))-1)+MATCH(B721,{"AM","PM","NIGHT"},0)-1-27+1,DAY(A721))&amp;"",""))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$206,'Feb'!$D$27:$AH$206,'Mar'!$D$27:$AH$206,'Apr'!$D$27:$AH$206,'May'!$D$27:$AH$206,'Jun'!$D$27:$AH$206,'Jul'!$D$27:$AH$206,'Aug'!$D$27:$AH$206,'Sep'!$D$27:$AH$206,'Oct'!$D$27:$AH$206,'Nov'!$D$27:$AH$206,'Dec'!$D$27:$AH$206,'Jan (next year)'!$D$27:$AH$206),27+3*(IFERROR(MATCH(C722,Roster!$B$6:$B$65,0),MATCH(C722,Roster!$C$6:$C$65,0))-1)+MATCH(B722,{"AM","PM","NIGHT"},0)-1-27+1,DAY(A722))&amp;"",""))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$206,'Feb'!$D$27:$AH$206,'Mar'!$D$27:$AH$206,'Apr'!$D$27:$AH$206,'May'!$D$27:$AH$206,'Jun'!$D$27:$AH$206,'Jul'!$D$27:$AH$206,'Aug'!$D$27:$AH$206,'Sep'!$D$27:$AH$206,'Oct'!$D$27:$AH$206,'Nov'!$D$27:$AH$206,'Dec'!$D$27:$AH$206,'Jan (next year)'!$D$27:$AH$206),27+3*(IFERROR(MATCH(C723,Roster!$B$6:$B$65,0),MATCH(C723,Roster!$C$6:$C$65,0))-1)+MATCH(B723,{"AM","PM","NIGHT"},0)-1-27+1,DAY(A723))&amp;"",""))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$206,'Feb'!$D$27:$AH$206,'Mar'!$D$27:$AH$206,'Apr'!$D$27:$AH$206,'May'!$D$27:$AH$206,'Jun'!$D$27:$AH$206,'Jul'!$D$27:$AH$206,'Aug'!$D$27:$AH$206,'Sep'!$D$27:$AH$206,'Oct'!$D$27:$AH$206,'Nov'!$D$27:$AH$206,'Dec'!$D$27:$AH$206,'Jan (next year)'!$D$27:$AH$206),27+3*(IFERROR(MATCH(C724,Roster!$B$6:$B$65,0),MATCH(C724,Roster!$C$6:$C$65,0))-1)+MATCH(B724,{"AM","PM","NIGHT"},0)-1-27+1,DAY(A724))&amp;"",""))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$206,'Feb'!$D$27:$AH$206,'Mar'!$D$27:$AH$206,'Apr'!$D$27:$AH$206,'May'!$D$27:$AH$206,'Jun'!$D$27:$AH$206,'Jul'!$D$27:$AH$206,'Aug'!$D$27:$AH$206,'Sep'!$D$27:$AH$206,'Oct'!$D$27:$AH$206,'Nov'!$D$27:$AH$206,'Dec'!$D$27:$AH$206,'Jan (next year)'!$D$27:$AH$206),27+3*(IFERROR(MATCH(C725,Roster!$B$6:$B$65,0),MATCH(C725,Roster!$C$6:$C$65,0))-1)+MATCH(B725,{"AM","PM","NIGHT"},0)-1-27+1,DAY(A725))&amp;"",""))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$206,'Feb'!$D$27:$AH$206,'Mar'!$D$27:$AH$206,'Apr'!$D$27:$AH$206,'May'!$D$27:$AH$206,'Jun'!$D$27:$AH$206,'Jul'!$D$27:$AH$206,'Aug'!$D$27:$AH$206,'Sep'!$D$27:$AH$206,'Oct'!$D$27:$AH$206,'Nov'!$D$27:$AH$206,'Dec'!$D$27:$AH$206,'Jan (next year)'!$D$27:$AH$206),27+3*(IFERROR(MATCH(C726,Roster!$B$6:$B$65,0),MATCH(C726,Roster!$C$6:$C$65,0))-1)+MATCH(B726,{"AM","PM","NIGHT"},0)-1-27+1,DAY(A726))&amp;"",""))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$206,'Feb'!$D$27:$AH$206,'Mar'!$D$27:$AH$206,'Apr'!$D$27:$AH$206,'May'!$D$27:$AH$206,'Jun'!$D$27:$AH$206,'Jul'!$D$27:$AH$206,'Aug'!$D$27:$AH$206,'Sep'!$D$27:$AH$206,'Oct'!$D$27:$AH$206,'Nov'!$D$27:$AH$206,'Dec'!$D$27:$AH$206,'Jan (next year)'!$D$27:$AH$206),27+3*(IFERROR(MATCH(C727,Roster!$B$6:$B$65,0),MATCH(C727,Roster!$C$6:$C$65,0))-1)+MATCH(B727,{"AM","PM","NIGHT"},0)-1-27+1,DAY(A727))&amp;"",""))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$206,'Feb'!$D$27:$AH$206,'Mar'!$D$27:$AH$206,'Apr'!$D$27:$AH$206,'May'!$D$27:$AH$206,'Jun'!$D$27:$AH$206,'Jul'!$D$27:$AH$206,'Aug'!$D$27:$AH$206,'Sep'!$D$27:$AH$206,'Oct'!$D$27:$AH$206,'Nov'!$D$27:$AH$206,'Dec'!$D$27:$AH$206,'Jan (next year)'!$D$27:$AH$206),27+3*(IFERROR(MATCH(C728,Roster!$B$6:$B$65,0),MATCH(C728,Roster!$C$6:$C$65,0))-1)+MATCH(B728,{"AM","PM","NIGHT"},0)-1-27+1,DAY(A728))&amp;"",""))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$206,'Feb'!$D$27:$AH$206,'Mar'!$D$27:$AH$206,'Apr'!$D$27:$AH$206,'May'!$D$27:$AH$206,'Jun'!$D$27:$AH$206,'Jul'!$D$27:$AH$206,'Aug'!$D$27:$AH$206,'Sep'!$D$27:$AH$206,'Oct'!$D$27:$AH$206,'Nov'!$D$27:$AH$206,'Dec'!$D$27:$AH$206,'Jan (next year)'!$D$27:$AH$206),27+3*(IFERROR(MATCH(C729,Roster!$B$6:$B$65,0),MATCH(C729,Roster!$C$6:$C$65,0))-1)+MATCH(B729,{"AM","PM","NIGHT"},0)-1-27+1,DAY(A729))&amp;"",""))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$206,'Feb'!$D$27:$AH$206,'Mar'!$D$27:$AH$206,'Apr'!$D$27:$AH$206,'May'!$D$27:$AH$206,'Jun'!$D$27:$AH$206,'Jul'!$D$27:$AH$206,'Aug'!$D$27:$AH$206,'Sep'!$D$27:$AH$206,'Oct'!$D$27:$AH$206,'Nov'!$D$27:$AH$206,'Dec'!$D$27:$AH$206,'Jan (next year)'!$D$27:$AH$206),27+3*(IFERROR(MATCH(C730,Roster!$B$6:$B$65,0),MATCH(C730,Roster!$C$6:$C$65,0))-1)+MATCH(B730,{"AM","PM","NIGHT"},0)-1-27+1,DAY(A730))&amp;"",""))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$206,'Feb'!$D$27:$AH$206,'Mar'!$D$27:$AH$206,'Apr'!$D$27:$AH$206,'May'!$D$27:$AH$206,'Jun'!$D$27:$AH$206,'Jul'!$D$27:$AH$206,'Aug'!$D$27:$AH$206,'Sep'!$D$27:$AH$206,'Oct'!$D$27:$AH$206,'Nov'!$D$27:$AH$206,'Dec'!$D$27:$AH$206,'Jan (next year)'!$D$27:$AH$206),27+3*(IFERROR(MATCH(C731,Roster!$B$6:$B$65,0),MATCH(C731,Roster!$C$6:$C$65,0))-1)+MATCH(B731,{"AM","PM","NIGHT"},0)-1-27+1,DAY(A731))&amp;"",""))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$206,'Feb'!$D$27:$AH$206,'Mar'!$D$27:$AH$206,'Apr'!$D$27:$AH$206,'May'!$D$27:$AH$206,'Jun'!$D$27:$AH$206,'Jul'!$D$27:$AH$206,'Aug'!$D$27:$AH$206,'Sep'!$D$27:$AH$206,'Oct'!$D$27:$AH$206,'Nov'!$D$27:$AH$206,'Dec'!$D$27:$AH$206,'Jan (next year)'!$D$27:$AH$206),27+3*(IFERROR(MATCH(C732,Roster!$B$6:$B$65,0),MATCH(C732,Roster!$C$6:$C$65,0))-1)+MATCH(B732,{"AM","PM","NIGHT"},0)-1-27+1,DAY(A732))&amp;"",""))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$206,'Feb'!$D$27:$AH$206,'Mar'!$D$27:$AH$206,'Apr'!$D$27:$AH$206,'May'!$D$27:$AH$206,'Jun'!$D$27:$AH$206,'Jul'!$D$27:$AH$206,'Aug'!$D$27:$AH$206,'Sep'!$D$27:$AH$206,'Oct'!$D$27:$AH$206,'Nov'!$D$27:$AH$206,'Dec'!$D$27:$AH$206,'Jan (next year)'!$D$27:$AH$206),27+3*(IFERROR(MATCH(C733,Roster!$B$6:$B$65,0),MATCH(C733,Roster!$C$6:$C$65,0))-1)+MATCH(B733,{"AM","PM","NIGHT"},0)-1-27+1,DAY(A733))&amp;"",""))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$206,'Feb'!$D$27:$AH$206,'Mar'!$D$27:$AH$206,'Apr'!$D$27:$AH$206,'May'!$D$27:$AH$206,'Jun'!$D$27:$AH$206,'Jul'!$D$27:$AH$206,'Aug'!$D$27:$AH$206,'Sep'!$D$27:$AH$206,'Oct'!$D$27:$AH$206,'Nov'!$D$27:$AH$206,'Dec'!$D$27:$AH$206,'Jan (next year)'!$D$27:$AH$206),27+3*(IFERROR(MATCH(C734,Roster!$B$6:$B$65,0),MATCH(C734,Roster!$C$6:$C$65,0))-1)+MATCH(B734,{"AM","PM","NIGHT"},0)-1-27+1,DAY(A734))&amp;"",""))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$206,'Feb'!$D$27:$AH$206,'Mar'!$D$27:$AH$206,'Apr'!$D$27:$AH$206,'May'!$D$27:$AH$206,'Jun'!$D$27:$AH$206,'Jul'!$D$27:$AH$206,'Aug'!$D$27:$AH$206,'Sep'!$D$27:$AH$206,'Oct'!$D$27:$AH$206,'Nov'!$D$27:$AH$206,'Dec'!$D$27:$AH$206,'Jan (next year)'!$D$27:$AH$206),27+3*(IFERROR(MATCH(C735,Roster!$B$6:$B$65,0),MATCH(C735,Roster!$C$6:$C$65,0))-1)+MATCH(B735,{"AM","PM","NIGHT"},0)-1-27+1,DAY(A735))&amp;"",""))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$206,'Feb'!$D$27:$AH$206,'Mar'!$D$27:$AH$206,'Apr'!$D$27:$AH$206,'May'!$D$27:$AH$206,'Jun'!$D$27:$AH$206,'Jul'!$D$27:$AH$206,'Aug'!$D$27:$AH$206,'Sep'!$D$27:$AH$206,'Oct'!$D$27:$AH$206,'Nov'!$D$27:$AH$206,'Dec'!$D$27:$AH$206,'Jan (next year)'!$D$27:$AH$206),27+3*(IFERROR(MATCH(C736,Roster!$B$6:$B$65,0),MATCH(C736,Roster!$C$6:$C$65,0))-1)+MATCH(B736,{"AM","PM","NIGHT"},0)-1-27+1,DAY(A736))&amp;"",""))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$206,'Feb'!$D$27:$AH$206,'Mar'!$D$27:$AH$206,'Apr'!$D$27:$AH$206,'May'!$D$27:$AH$206,'Jun'!$D$27:$AH$206,'Jul'!$D$27:$AH$206,'Aug'!$D$27:$AH$206,'Sep'!$D$27:$AH$206,'Oct'!$D$27:$AH$206,'Nov'!$D$27:$AH$206,'Dec'!$D$27:$AH$206,'Jan (next year)'!$D$27:$AH$206),27+3*(IFERROR(MATCH(C737,Roster!$B$6:$B$65,0),MATCH(C737,Roster!$C$6:$C$65,0))-1)+MATCH(B737,{"AM","PM","NIGHT"},0)-1-27+1,DAY(A737))&amp;"",""))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$206,'Feb'!$D$27:$AH$206,'Mar'!$D$27:$AH$206,'Apr'!$D$27:$AH$206,'May'!$D$27:$AH$206,'Jun'!$D$27:$AH$206,'Jul'!$D$27:$AH$206,'Aug'!$D$27:$AH$206,'Sep'!$D$27:$AH$206,'Oct'!$D$27:$AH$206,'Nov'!$D$27:$AH$206,'Dec'!$D$27:$AH$206,'Jan (next year)'!$D$27:$AH$206),27+3*(IFERROR(MATCH(C738,Roster!$B$6:$B$65,0),MATCH(C738,Roster!$C$6:$C$65,0))-1)+MATCH(B738,{"AM","PM","NIGHT"},0)-1-27+1,DAY(A738))&amp;"",""))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$206,'Feb'!$D$27:$AH$206,'Mar'!$D$27:$AH$206,'Apr'!$D$27:$AH$206,'May'!$D$27:$AH$206,'Jun'!$D$27:$AH$206,'Jul'!$D$27:$AH$206,'Aug'!$D$27:$AH$206,'Sep'!$D$27:$AH$206,'Oct'!$D$27:$AH$206,'Nov'!$D$27:$AH$206,'Dec'!$D$27:$AH$206,'Jan (next year)'!$D$27:$AH$206),27+3*(IFERROR(MATCH(C739,Roster!$B$6:$B$65,0),MATCH(C739,Roster!$C$6:$C$65,0))-1)+MATCH(B739,{"AM","PM","NIGHT"},0)-1-27+1,DAY(A739))&amp;"",""))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$206,'Feb'!$D$27:$AH$206,'Mar'!$D$27:$AH$206,'Apr'!$D$27:$AH$206,'May'!$D$27:$AH$206,'Jun'!$D$27:$AH$206,'Jul'!$D$27:$AH$206,'Aug'!$D$27:$AH$206,'Sep'!$D$27:$AH$206,'Oct'!$D$27:$AH$206,'Nov'!$D$27:$AH$206,'Dec'!$D$27:$AH$206,'Jan (next year)'!$D$27:$AH$206),27+3*(IFERROR(MATCH(C740,Roster!$B$6:$B$65,0),MATCH(C740,Roster!$C$6:$C$65,0))-1)+MATCH(B740,{"AM","PM","NIGHT"},0)-1-27+1,DAY(A740))&amp;"",""))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$206,'Feb'!$D$27:$AH$206,'Mar'!$D$27:$AH$206,'Apr'!$D$27:$AH$206,'May'!$D$27:$AH$206,'Jun'!$D$27:$AH$206,'Jul'!$D$27:$AH$206,'Aug'!$D$27:$AH$206,'Sep'!$D$27:$AH$206,'Oct'!$D$27:$AH$206,'Nov'!$D$27:$AH$206,'Dec'!$D$27:$AH$206,'Jan (next year)'!$D$27:$AH$206),27+3*(IFERROR(MATCH(C741,Roster!$B$6:$B$65,0),MATCH(C741,Roster!$C$6:$C$65,0))-1)+MATCH(B741,{"AM","PM","NIGHT"},0)-1-27+1,DAY(A741))&amp;"",""))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$206,'Feb'!$D$27:$AH$206,'Mar'!$D$27:$AH$206,'Apr'!$D$27:$AH$206,'May'!$D$27:$AH$206,'Jun'!$D$27:$AH$206,'Jul'!$D$27:$AH$206,'Aug'!$D$27:$AH$206,'Sep'!$D$27:$AH$206,'Oct'!$D$27:$AH$206,'Nov'!$D$27:$AH$206,'Dec'!$D$27:$AH$206,'Jan (next year)'!$D$27:$AH$206),27+3*(IFERROR(MATCH(C742,Roster!$B$6:$B$65,0),MATCH(C742,Roster!$C$6:$C$65,0))-1)+MATCH(B742,{"AM","PM","NIGHT"},0)-1-27+1,DAY(A742))&amp;"",""))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$206,'Feb'!$D$27:$AH$206,'Mar'!$D$27:$AH$206,'Apr'!$D$27:$AH$206,'May'!$D$27:$AH$206,'Jun'!$D$27:$AH$206,'Jul'!$D$27:$AH$206,'Aug'!$D$27:$AH$206,'Sep'!$D$27:$AH$206,'Oct'!$D$27:$AH$206,'Nov'!$D$27:$AH$206,'Dec'!$D$27:$AH$206,'Jan (next year)'!$D$27:$AH$206),27+3*(IFERROR(MATCH(C743,Roster!$B$6:$B$65,0),MATCH(C743,Roster!$C$6:$C$65,0))-1)+MATCH(B743,{"AM","PM","NIGHT"},0)-1-27+1,DAY(A743))&amp;"",""))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$206,'Feb'!$D$27:$AH$206,'Mar'!$D$27:$AH$206,'Apr'!$D$27:$AH$206,'May'!$D$27:$AH$206,'Jun'!$D$27:$AH$206,'Jul'!$D$27:$AH$206,'Aug'!$D$27:$AH$206,'Sep'!$D$27:$AH$206,'Oct'!$D$27:$AH$206,'Nov'!$D$27:$AH$206,'Dec'!$D$27:$AH$206,'Jan (next year)'!$D$27:$AH$206),27+3*(IFERROR(MATCH(C744,Roster!$B$6:$B$65,0),MATCH(C744,Roster!$C$6:$C$65,0))-1)+MATCH(B744,{"AM","PM","NIGHT"},0)-1-27+1,DAY(A744))&amp;"",""))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$206,'Feb'!$D$27:$AH$206,'Mar'!$D$27:$AH$206,'Apr'!$D$27:$AH$206,'May'!$D$27:$AH$206,'Jun'!$D$27:$AH$206,'Jul'!$D$27:$AH$206,'Aug'!$D$27:$AH$206,'Sep'!$D$27:$AH$206,'Oct'!$D$27:$AH$206,'Nov'!$D$27:$AH$206,'Dec'!$D$27:$AH$206,'Jan (next year)'!$D$27:$AH$206),27+3*(IFERROR(MATCH(C745,Roster!$B$6:$B$65,0),MATCH(C745,Roster!$C$6:$C$65,0))-1)+MATCH(B745,{"AM","PM","NIGHT"},0)-1-27+1,DAY(A745))&amp;"",""))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$206,'Feb'!$D$27:$AH$206,'Mar'!$D$27:$AH$206,'Apr'!$D$27:$AH$206,'May'!$D$27:$AH$206,'Jun'!$D$27:$AH$206,'Jul'!$D$27:$AH$206,'Aug'!$D$27:$AH$206,'Sep'!$D$27:$AH$206,'Oct'!$D$27:$AH$206,'Nov'!$D$27:$AH$206,'Dec'!$D$27:$AH$206,'Jan (next year)'!$D$27:$AH$206),27+3*(IFERROR(MATCH(C746,Roster!$B$6:$B$65,0),MATCH(C746,Roster!$C$6:$C$65,0))-1)+MATCH(B746,{"AM","PM","NIGHT"},0)-1-27+1,DAY(A746))&amp;"",""))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$206,'Feb'!$D$27:$AH$206,'Mar'!$D$27:$AH$206,'Apr'!$D$27:$AH$206,'May'!$D$27:$AH$206,'Jun'!$D$27:$AH$206,'Jul'!$D$27:$AH$206,'Aug'!$D$27:$AH$206,'Sep'!$D$27:$AH$206,'Oct'!$D$27:$AH$206,'Nov'!$D$27:$AH$206,'Dec'!$D$27:$AH$206,'Jan (next year)'!$D$27:$AH$206),27+3*(IFERROR(MATCH(C747,Roster!$B$6:$B$65,0),MATCH(C747,Roster!$C$6:$C$65,0))-1)+MATCH(B747,{"AM","PM","NIGHT"},0)-1-27+1,DAY(A747))&amp;"",""))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$206,'Feb'!$D$27:$AH$206,'Mar'!$D$27:$AH$206,'Apr'!$D$27:$AH$206,'May'!$D$27:$AH$206,'Jun'!$D$27:$AH$206,'Jul'!$D$27:$AH$206,'Aug'!$D$27:$AH$206,'Sep'!$D$27:$AH$206,'Oct'!$D$27:$AH$206,'Nov'!$D$27:$AH$206,'Dec'!$D$27:$AH$206,'Jan (next year)'!$D$27:$AH$206),27+3*(IFERROR(MATCH(C748,Roster!$B$6:$B$65,0),MATCH(C748,Roster!$C$6:$C$65,0))-1)+MATCH(B748,{"AM","PM","NIGHT"},0)-1-27+1,DAY(A748))&amp;"",""))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$206,'Feb'!$D$27:$AH$206,'Mar'!$D$27:$AH$206,'Apr'!$D$27:$AH$206,'May'!$D$27:$AH$206,'Jun'!$D$27:$AH$206,'Jul'!$D$27:$AH$206,'Aug'!$D$27:$AH$206,'Sep'!$D$27:$AH$206,'Oct'!$D$27:$AH$206,'Nov'!$D$27:$AH$206,'Dec'!$D$27:$AH$206,'Jan (next year)'!$D$27:$AH$206),27+3*(IFERROR(MATCH(C749,Roster!$B$6:$B$65,0),MATCH(C749,Roster!$C$6:$C$65,0))-1)+MATCH(B749,{"AM","PM","NIGHT"},0)-1-27+1,DAY(A749))&amp;"",""))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$206,'Feb'!$D$27:$AH$206,'Mar'!$D$27:$AH$206,'Apr'!$D$27:$AH$206,'May'!$D$27:$AH$206,'Jun'!$D$27:$AH$206,'Jul'!$D$27:$AH$206,'Aug'!$D$27:$AH$206,'Sep'!$D$27:$AH$206,'Oct'!$D$27:$AH$206,'Nov'!$D$27:$AH$206,'Dec'!$D$27:$AH$206,'Jan (next year)'!$D$27:$AH$206),27+3*(IFERROR(MATCH(C750,Roster!$B$6:$B$65,0),MATCH(C750,Roster!$C$6:$C$65,0))-1)+MATCH(B750,{"AM","PM","NIGHT"},0)-1-27+1,DAY(A750))&amp;"",""))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$206,'Feb'!$D$27:$AH$206,'Mar'!$D$27:$AH$206,'Apr'!$D$27:$AH$206,'May'!$D$27:$AH$206,'Jun'!$D$27:$AH$206,'Jul'!$D$27:$AH$206,'Aug'!$D$27:$AH$206,'Sep'!$D$27:$AH$206,'Oct'!$D$27:$AH$206,'Nov'!$D$27:$AH$206,'Dec'!$D$27:$AH$206,'Jan (next year)'!$D$27:$AH$206),27+3*(IFERROR(MATCH(C751,Roster!$B$6:$B$65,0),MATCH(C751,Roster!$C$6:$C$65,0))-1)+MATCH(B751,{"AM","PM","NIGHT"},0)-1-27+1,DAY(A751))&amp;"",""))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$206,'Feb'!$D$27:$AH$206,'Mar'!$D$27:$AH$206,'Apr'!$D$27:$AH$206,'May'!$D$27:$AH$206,'Jun'!$D$27:$AH$206,'Jul'!$D$27:$AH$206,'Aug'!$D$27:$AH$206,'Sep'!$D$27:$AH$206,'Oct'!$D$27:$AH$206,'Nov'!$D$27:$AH$206,'Dec'!$D$27:$AH$206,'Jan (next year)'!$D$27:$AH$206),27+3*(IFERROR(MATCH(C752,Roster!$B$6:$B$65,0),MATCH(C752,Roster!$C$6:$C$65,0))-1)+MATCH(B752,{"AM","PM","NIGHT"},0)-1-27+1,DAY(A752))&amp;"",""))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$206,'Feb'!$D$27:$AH$206,'Mar'!$D$27:$AH$206,'Apr'!$D$27:$AH$206,'May'!$D$27:$AH$206,'Jun'!$D$27:$AH$206,'Jul'!$D$27:$AH$206,'Aug'!$D$27:$AH$206,'Sep'!$D$27:$AH$206,'Oct'!$D$27:$AH$206,'Nov'!$D$27:$AH$206,'Dec'!$D$27:$AH$206,'Jan (next year)'!$D$27:$AH$206),27+3*(IFERROR(MATCH(C753,Roster!$B$6:$B$65,0),MATCH(C753,Roster!$C$6:$C$65,0))-1)+MATCH(B753,{"AM","PM","NIGHT"},0)-1-27+1,DAY(A753))&amp;"",""))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$206,'Feb'!$D$27:$AH$206,'Mar'!$D$27:$AH$206,'Apr'!$D$27:$AH$206,'May'!$D$27:$AH$206,'Jun'!$D$27:$AH$206,'Jul'!$D$27:$AH$206,'Aug'!$D$27:$AH$206,'Sep'!$D$27:$AH$206,'Oct'!$D$27:$AH$206,'Nov'!$D$27:$AH$206,'Dec'!$D$27:$AH$206,'Jan (next year)'!$D$27:$AH$206),27+3*(IFERROR(MATCH(C754,Roster!$B$6:$B$65,0),MATCH(C754,Roster!$C$6:$C$65,0))-1)+MATCH(B754,{"AM","PM","NIGHT"},0)-1-27+1,DAY(A754))&amp;"",""))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$206,'Feb'!$D$27:$AH$206,'Mar'!$D$27:$AH$206,'Apr'!$D$27:$AH$206,'May'!$D$27:$AH$206,'Jun'!$D$27:$AH$206,'Jul'!$D$27:$AH$206,'Aug'!$D$27:$AH$206,'Sep'!$D$27:$AH$206,'Oct'!$D$27:$AH$206,'Nov'!$D$27:$AH$206,'Dec'!$D$27:$AH$206,'Jan (next year)'!$D$27:$AH$206),27+3*(IFERROR(MATCH(C755,Roster!$B$6:$B$65,0),MATCH(C755,Roster!$C$6:$C$65,0))-1)+MATCH(B755,{"AM","PM","NIGHT"},0)-1-27+1,DAY(A755))&amp;"",""))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$206,'Feb'!$D$27:$AH$206,'Mar'!$D$27:$AH$206,'Apr'!$D$27:$AH$206,'May'!$D$27:$AH$206,'Jun'!$D$27:$AH$206,'Jul'!$D$27:$AH$206,'Aug'!$D$27:$AH$206,'Sep'!$D$27:$AH$206,'Oct'!$D$27:$AH$206,'Nov'!$D$27:$AH$206,'Dec'!$D$27:$AH$206,'Jan (next year)'!$D$27:$AH$206),27+3*(IFERROR(MATCH(C756,Roster!$B$6:$B$65,0),MATCH(C756,Roster!$C$6:$C$65,0))-1)+MATCH(B756,{"AM","PM","NIGHT"},0)-1-27+1,DAY(A756))&amp;"",""))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$206,'Feb'!$D$27:$AH$206,'Mar'!$D$27:$AH$206,'Apr'!$D$27:$AH$206,'May'!$D$27:$AH$206,'Jun'!$D$27:$AH$206,'Jul'!$D$27:$AH$206,'Aug'!$D$27:$AH$206,'Sep'!$D$27:$AH$206,'Oct'!$D$27:$AH$206,'Nov'!$D$27:$AH$206,'Dec'!$D$27:$AH$206,'Jan (next year)'!$D$27:$AH$206),27+3*(IFERROR(MATCH(C757,Roster!$B$6:$B$65,0),MATCH(C757,Roster!$C$6:$C$65,0))-1)+MATCH(B757,{"AM","PM","NIGHT"},0)-1-27+1,DAY(A757))&amp;"",""))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$206,'Feb'!$D$27:$AH$206,'Mar'!$D$27:$AH$206,'Apr'!$D$27:$AH$206,'May'!$D$27:$AH$206,'Jun'!$D$27:$AH$206,'Jul'!$D$27:$AH$206,'Aug'!$D$27:$AH$206,'Sep'!$D$27:$AH$206,'Oct'!$D$27:$AH$206,'Nov'!$D$27:$AH$206,'Dec'!$D$27:$AH$206,'Jan (next year)'!$D$27:$AH$206),27+3*(IFERROR(MATCH(C758,Roster!$B$6:$B$65,0),MATCH(C758,Roster!$C$6:$C$65,0))-1)+MATCH(B758,{"AM","PM","NIGHT"},0)-1-27+1,DAY(A758))&amp;"",""))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$206,'Feb'!$D$27:$AH$206,'Mar'!$D$27:$AH$206,'Apr'!$D$27:$AH$206,'May'!$D$27:$AH$206,'Jun'!$D$27:$AH$206,'Jul'!$D$27:$AH$206,'Aug'!$D$27:$AH$206,'Sep'!$D$27:$AH$206,'Oct'!$D$27:$AH$206,'Nov'!$D$27:$AH$206,'Dec'!$D$27:$AH$206,'Jan (next year)'!$D$27:$AH$206),27+3*(IFERROR(MATCH(C759,Roster!$B$6:$B$65,0),MATCH(C759,Roster!$C$6:$C$65,0))-1)+MATCH(B759,{"AM","PM","NIGHT"},0)-1-27+1,DAY(A759))&amp;"",""))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$206,'Feb'!$D$27:$AH$206,'Mar'!$D$27:$AH$206,'Apr'!$D$27:$AH$206,'May'!$D$27:$AH$206,'Jun'!$D$27:$AH$206,'Jul'!$D$27:$AH$206,'Aug'!$D$27:$AH$206,'Sep'!$D$27:$AH$206,'Oct'!$D$27:$AH$206,'Nov'!$D$27:$AH$206,'Dec'!$D$27:$AH$206,'Jan (next year)'!$D$27:$AH$206),27+3*(IFERROR(MATCH(C760,Roster!$B$6:$B$65,0),MATCH(C760,Roster!$C$6:$C$65,0))-1)+MATCH(B760,{"AM","PM","NIGHT"},0)-1-27+1,DAY(A760))&amp;"",""))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$206,'Feb'!$D$27:$AH$206,'Mar'!$D$27:$AH$206,'Apr'!$D$27:$AH$206,'May'!$D$27:$AH$206,'Jun'!$D$27:$AH$206,'Jul'!$D$27:$AH$206,'Aug'!$D$27:$AH$206,'Sep'!$D$27:$AH$206,'Oct'!$D$27:$AH$206,'Nov'!$D$27:$AH$206,'Dec'!$D$27:$AH$206,'Jan (next year)'!$D$27:$AH$206),27+3*(IFERROR(MATCH(C761,Roster!$B$6:$B$65,0),MATCH(C761,Roster!$C$6:$C$65,0))-1)+MATCH(B761,{"AM","PM","NIGHT"},0)-1-27+1,DAY(A761))&amp;"",""))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$206,'Feb'!$D$27:$AH$206,'Mar'!$D$27:$AH$206,'Apr'!$D$27:$AH$206,'May'!$D$27:$AH$206,'Jun'!$D$27:$AH$206,'Jul'!$D$27:$AH$206,'Aug'!$D$27:$AH$206,'Sep'!$D$27:$AH$206,'Oct'!$D$27:$AH$206,'Nov'!$D$27:$AH$206,'Dec'!$D$27:$AH$206,'Jan (next year)'!$D$27:$AH$206),27+3*(IFERROR(MATCH(C762,Roster!$B$6:$B$65,0),MATCH(C762,Roster!$C$6:$C$65,0))-1)+MATCH(B762,{"AM","PM","NIGHT"},0)-1-27+1,DAY(A762))&amp;"",""))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$206,'Feb'!$D$27:$AH$206,'Mar'!$D$27:$AH$206,'Apr'!$D$27:$AH$206,'May'!$D$27:$AH$206,'Jun'!$D$27:$AH$206,'Jul'!$D$27:$AH$206,'Aug'!$D$27:$AH$206,'Sep'!$D$27:$AH$206,'Oct'!$D$27:$AH$206,'Nov'!$D$27:$AH$206,'Dec'!$D$27:$AH$206,'Jan (next year)'!$D$27:$AH$206),27+3*(IFERROR(MATCH(C763,Roster!$B$6:$B$65,0),MATCH(C763,Roster!$C$6:$C$65,0))-1)+MATCH(B763,{"AM","PM","NIGHT"},0)-1-27+1,DAY(A763))&amp;"",""))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$206,'Feb'!$D$27:$AH$206,'Mar'!$D$27:$AH$206,'Apr'!$D$27:$AH$206,'May'!$D$27:$AH$206,'Jun'!$D$27:$AH$206,'Jul'!$D$27:$AH$206,'Aug'!$D$27:$AH$206,'Sep'!$D$27:$AH$206,'Oct'!$D$27:$AH$206,'Nov'!$D$27:$AH$206,'Dec'!$D$27:$AH$206,'Jan (next year)'!$D$27:$AH$206),27+3*(IFERROR(MATCH(C764,Roster!$B$6:$B$65,0),MATCH(C764,Roster!$C$6:$C$65,0))-1)+MATCH(B764,{"AM","PM","NIGHT"},0)-1-27+1,DAY(A764))&amp;"",""))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$206,'Feb'!$D$27:$AH$206,'Mar'!$D$27:$AH$206,'Apr'!$D$27:$AH$206,'May'!$D$27:$AH$206,'Jun'!$D$27:$AH$206,'Jul'!$D$27:$AH$206,'Aug'!$D$27:$AH$206,'Sep'!$D$27:$AH$206,'Oct'!$D$27:$AH$206,'Nov'!$D$27:$AH$206,'Dec'!$D$27:$AH$206,'Jan (next year)'!$D$27:$AH$206),27+3*(IFERROR(MATCH(C765,Roster!$B$6:$B$65,0),MATCH(C765,Roster!$C$6:$C$65,0))-1)+MATCH(B765,{"AM","PM","NIGHT"},0)-1-27+1,DAY(A765))&amp;"",""))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$206,'Feb'!$D$27:$AH$206,'Mar'!$D$27:$AH$206,'Apr'!$D$27:$AH$206,'May'!$D$27:$AH$206,'Jun'!$D$27:$AH$206,'Jul'!$D$27:$AH$206,'Aug'!$D$27:$AH$206,'Sep'!$D$27:$AH$206,'Oct'!$D$27:$AH$206,'Nov'!$D$27:$AH$206,'Dec'!$D$27:$AH$206,'Jan (next year)'!$D$27:$AH$206),27+3*(IFERROR(MATCH(C766,Roster!$B$6:$B$65,0),MATCH(C766,Roster!$C$6:$C$65,0))-1)+MATCH(B766,{"AM","PM","NIGHT"},0)-1-27+1,DAY(A766))&amp;"",""))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$206,'Feb'!$D$27:$AH$206,'Mar'!$D$27:$AH$206,'Apr'!$D$27:$AH$206,'May'!$D$27:$AH$206,'Jun'!$D$27:$AH$206,'Jul'!$D$27:$AH$206,'Aug'!$D$27:$AH$206,'Sep'!$D$27:$AH$206,'Oct'!$D$27:$AH$206,'Nov'!$D$27:$AH$206,'Dec'!$D$27:$AH$206,'Jan (next year)'!$D$27:$AH$206),27+3*(IFERROR(MATCH(C767,Roster!$B$6:$B$65,0),MATCH(C767,Roster!$C$6:$C$65,0))-1)+MATCH(B767,{"AM","PM","NIGHT"},0)-1-27+1,DAY(A767))&amp;"",""))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$206,'Feb'!$D$27:$AH$206,'Mar'!$D$27:$AH$206,'Apr'!$D$27:$AH$206,'May'!$D$27:$AH$206,'Jun'!$D$27:$AH$206,'Jul'!$D$27:$AH$206,'Aug'!$D$27:$AH$206,'Sep'!$D$27:$AH$206,'Oct'!$D$27:$AH$206,'Nov'!$D$27:$AH$206,'Dec'!$D$27:$AH$206,'Jan (next year)'!$D$27:$AH$206),27+3*(IFERROR(MATCH(C768,Roster!$B$6:$B$65,0),MATCH(C768,Roster!$C$6:$C$65,0))-1)+MATCH(B768,{"AM","PM","NIGHT"},0)-1-27+1,DAY(A768))&amp;"",""))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$206,'Feb'!$D$27:$AH$206,'Mar'!$D$27:$AH$206,'Apr'!$D$27:$AH$206,'May'!$D$27:$AH$206,'Jun'!$D$27:$AH$206,'Jul'!$D$27:$AH$206,'Aug'!$D$27:$AH$206,'Sep'!$D$27:$AH$206,'Oct'!$D$27:$AH$206,'Nov'!$D$27:$AH$206,'Dec'!$D$27:$AH$206,'Jan (next year)'!$D$27:$AH$206),27+3*(IFERROR(MATCH(C769,Roster!$B$6:$B$65,0),MATCH(C769,Roster!$C$6:$C$65,0))-1)+MATCH(B769,{"AM","PM","NIGHT"},0)-1-27+1,DAY(A769))&amp;"",""))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$206,'Feb'!$D$27:$AH$206,'Mar'!$D$27:$AH$206,'Apr'!$D$27:$AH$206,'May'!$D$27:$AH$206,'Jun'!$D$27:$AH$206,'Jul'!$D$27:$AH$206,'Aug'!$D$27:$AH$206,'Sep'!$D$27:$AH$206,'Oct'!$D$27:$AH$206,'Nov'!$D$27:$AH$206,'Dec'!$D$27:$AH$206,'Jan (next year)'!$D$27:$AH$206),27+3*(IFERROR(MATCH(C770,Roster!$B$6:$B$65,0),MATCH(C770,Roster!$C$6:$C$65,0))-1)+MATCH(B770,{"AM","PM","NIGHT"},0)-1-27+1,DAY(A770))&amp;"",""))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$206,'Feb'!$D$27:$AH$206,'Mar'!$D$27:$AH$206,'Apr'!$D$27:$AH$206,'May'!$D$27:$AH$206,'Jun'!$D$27:$AH$206,'Jul'!$D$27:$AH$206,'Aug'!$D$27:$AH$206,'Sep'!$D$27:$AH$206,'Oct'!$D$27:$AH$206,'Nov'!$D$27:$AH$206,'Dec'!$D$27:$AH$206,'Jan (next year)'!$D$27:$AH$206),27+3*(IFERROR(MATCH(C771,Roster!$B$6:$B$65,0),MATCH(C771,Roster!$C$6:$C$65,0))-1)+MATCH(B771,{"AM","PM","NIGHT"},0)-1-27+1,DAY(A771))&amp;"",""))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$206,'Feb'!$D$27:$AH$206,'Mar'!$D$27:$AH$206,'Apr'!$D$27:$AH$206,'May'!$D$27:$AH$206,'Jun'!$D$27:$AH$206,'Jul'!$D$27:$AH$206,'Aug'!$D$27:$AH$206,'Sep'!$D$27:$AH$206,'Oct'!$D$27:$AH$206,'Nov'!$D$27:$AH$206,'Dec'!$D$27:$AH$206,'Jan (next year)'!$D$27:$AH$206),27+3*(IFERROR(MATCH(C772,Roster!$B$6:$B$65,0),MATCH(C772,Roster!$C$6:$C$65,0))-1)+MATCH(B772,{"AM","PM","NIGHT"},0)-1-27+1,DAY(A772))&amp;"",""))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$206,'Feb'!$D$27:$AH$206,'Mar'!$D$27:$AH$206,'Apr'!$D$27:$AH$206,'May'!$D$27:$AH$206,'Jun'!$D$27:$AH$206,'Jul'!$D$27:$AH$206,'Aug'!$D$27:$AH$206,'Sep'!$D$27:$AH$206,'Oct'!$D$27:$AH$206,'Nov'!$D$27:$AH$206,'Dec'!$D$27:$AH$206,'Jan (next year)'!$D$27:$AH$206),27+3*(IFERROR(MATCH(C773,Roster!$B$6:$B$65,0),MATCH(C773,Roster!$C$6:$C$65,0))-1)+MATCH(B773,{"AM","PM","NIGHT"},0)-1-27+1,DAY(A773))&amp;"",""))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$206,'Feb'!$D$27:$AH$206,'Mar'!$D$27:$AH$206,'Apr'!$D$27:$AH$206,'May'!$D$27:$AH$206,'Jun'!$D$27:$AH$206,'Jul'!$D$27:$AH$206,'Aug'!$D$27:$AH$206,'Sep'!$D$27:$AH$206,'Oct'!$D$27:$AH$206,'Nov'!$D$27:$AH$206,'Dec'!$D$27:$AH$206,'Jan (next year)'!$D$27:$AH$206),27+3*(IFERROR(MATCH(C774,Roster!$B$6:$B$65,0),MATCH(C774,Roster!$C$6:$C$65,0))-1)+MATCH(B774,{"AM","PM","NIGHT"},0)-1-27+1,DAY(A774))&amp;"",""))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$206,'Feb'!$D$27:$AH$206,'Mar'!$D$27:$AH$206,'Apr'!$D$27:$AH$206,'May'!$D$27:$AH$206,'Jun'!$D$27:$AH$206,'Jul'!$D$27:$AH$206,'Aug'!$D$27:$AH$206,'Sep'!$D$27:$AH$206,'Oct'!$D$27:$AH$206,'Nov'!$D$27:$AH$206,'Dec'!$D$27:$AH$206,'Jan (next year)'!$D$27:$AH$206),27+3*(IFERROR(MATCH(C775,Roster!$B$6:$B$65,0),MATCH(C775,Roster!$C$6:$C$65,0))-1)+MATCH(B775,{"AM","PM","NIGHT"},0)-1-27+1,DAY(A775))&amp;"",""))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$206,'Feb'!$D$27:$AH$206,'Mar'!$D$27:$AH$206,'Apr'!$D$27:$AH$206,'May'!$D$27:$AH$206,'Jun'!$D$27:$AH$206,'Jul'!$D$27:$AH$206,'Aug'!$D$27:$AH$206,'Sep'!$D$27:$AH$206,'Oct'!$D$27:$AH$206,'Nov'!$D$27:$AH$206,'Dec'!$D$27:$AH$206,'Jan (next year)'!$D$27:$AH$206),27+3*(IFERROR(MATCH(C776,Roster!$B$6:$B$65,0),MATCH(C776,Roster!$C$6:$C$65,0))-1)+MATCH(B776,{"AM","PM","NIGHT"},0)-1-27+1,DAY(A776))&amp;"",""))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$206,'Feb'!$D$27:$AH$206,'Mar'!$D$27:$AH$206,'Apr'!$D$27:$AH$206,'May'!$D$27:$AH$206,'Jun'!$D$27:$AH$206,'Jul'!$D$27:$AH$206,'Aug'!$D$27:$AH$206,'Sep'!$D$27:$AH$206,'Oct'!$D$27:$AH$206,'Nov'!$D$27:$AH$206,'Dec'!$D$27:$AH$206,'Jan (next year)'!$D$27:$AH$206),27+3*(IFERROR(MATCH(C777,Roster!$B$6:$B$65,0),MATCH(C777,Roster!$C$6:$C$65,0))-1)+MATCH(B777,{"AM","PM","NIGHT"},0)-1-27+1,DAY(A777))&amp;"",""))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$206,'Feb'!$D$27:$AH$206,'Mar'!$D$27:$AH$206,'Apr'!$D$27:$AH$206,'May'!$D$27:$AH$206,'Jun'!$D$27:$AH$206,'Jul'!$D$27:$AH$206,'Aug'!$D$27:$AH$206,'Sep'!$D$27:$AH$206,'Oct'!$D$27:$AH$206,'Nov'!$D$27:$AH$206,'Dec'!$D$27:$AH$206,'Jan (next year)'!$D$27:$AH$206),27+3*(IFERROR(MATCH(C778,Roster!$B$6:$B$65,0),MATCH(C778,Roster!$C$6:$C$65,0))-1)+MATCH(B778,{"AM","PM","NIGHT"},0)-1-27+1,DAY(A778))&amp;"",""))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$206,'Feb'!$D$27:$AH$206,'Mar'!$D$27:$AH$206,'Apr'!$D$27:$AH$206,'May'!$D$27:$AH$206,'Jun'!$D$27:$AH$206,'Jul'!$D$27:$AH$206,'Aug'!$D$27:$AH$206,'Sep'!$D$27:$AH$206,'Oct'!$D$27:$AH$206,'Nov'!$D$27:$AH$206,'Dec'!$D$27:$AH$206,'Jan (next year)'!$D$27:$AH$206),27+3*(IFERROR(MATCH(C779,Roster!$B$6:$B$65,0),MATCH(C779,Roster!$C$6:$C$65,0))-1)+MATCH(B779,{"AM","PM","NIGHT"},0)-1-27+1,DAY(A779))&amp;"",""))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$206,'Feb'!$D$27:$AH$206,'Mar'!$D$27:$AH$206,'Apr'!$D$27:$AH$206,'May'!$D$27:$AH$206,'Jun'!$D$27:$AH$206,'Jul'!$D$27:$AH$206,'Aug'!$D$27:$AH$206,'Sep'!$D$27:$AH$206,'Oct'!$D$27:$AH$206,'Nov'!$D$27:$AH$206,'Dec'!$D$27:$AH$206,'Jan (next year)'!$D$27:$AH$206),27+3*(IFERROR(MATCH(C780,Roster!$B$6:$B$65,0),MATCH(C780,Roster!$C$6:$C$65,0))-1)+MATCH(B780,{"AM","PM","NIGHT"},0)-1-27+1,DAY(A780))&amp;"",""))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$206,'Feb'!$D$27:$AH$206,'Mar'!$D$27:$AH$206,'Apr'!$D$27:$AH$206,'May'!$D$27:$AH$206,'Jun'!$D$27:$AH$206,'Jul'!$D$27:$AH$206,'Aug'!$D$27:$AH$206,'Sep'!$D$27:$AH$206,'Oct'!$D$27:$AH$206,'Nov'!$D$27:$AH$206,'Dec'!$D$27:$AH$206,'Jan (next year)'!$D$27:$AH$206),27+3*(IFERROR(MATCH(C781,Roster!$B$6:$B$65,0),MATCH(C781,Roster!$C$6:$C$65,0))-1)+MATCH(B781,{"AM","PM","NIGHT"},0)-1-27+1,DAY(A781))&amp;"",""))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$206,'Feb'!$D$27:$AH$206,'Mar'!$D$27:$AH$206,'Apr'!$D$27:$AH$206,'May'!$D$27:$AH$206,'Jun'!$D$27:$AH$206,'Jul'!$D$27:$AH$206,'Aug'!$D$27:$AH$206,'Sep'!$D$27:$AH$206,'Oct'!$D$27:$AH$206,'Nov'!$D$27:$AH$206,'Dec'!$D$27:$AH$206,'Jan (next year)'!$D$27:$AH$206),27+3*(IFERROR(MATCH(C782,Roster!$B$6:$B$65,0),MATCH(C782,Roster!$C$6:$C$65,0))-1)+MATCH(B782,{"AM","PM","NIGHT"},0)-1-27+1,DAY(A782))&amp;"",""))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$206,'Feb'!$D$27:$AH$206,'Mar'!$D$27:$AH$206,'Apr'!$D$27:$AH$206,'May'!$D$27:$AH$206,'Jun'!$D$27:$AH$206,'Jul'!$D$27:$AH$206,'Aug'!$D$27:$AH$206,'Sep'!$D$27:$AH$206,'Oct'!$D$27:$AH$206,'Nov'!$D$27:$AH$206,'Dec'!$D$27:$AH$206,'Jan (next year)'!$D$27:$AH$206),27+3*(IFERROR(MATCH(C783,Roster!$B$6:$B$65,0),MATCH(C783,Roster!$C$6:$C$65,0))-1)+MATCH(B783,{"AM","PM","NIGHT"},0)-1-27+1,DAY(A783))&amp;"",""))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$206,'Feb'!$D$27:$AH$206,'Mar'!$D$27:$AH$206,'Apr'!$D$27:$AH$206,'May'!$D$27:$AH$206,'Jun'!$D$27:$AH$206,'Jul'!$D$27:$AH$206,'Aug'!$D$27:$AH$206,'Sep'!$D$27:$AH$206,'Oct'!$D$27:$AH$206,'Nov'!$D$27:$AH$206,'Dec'!$D$27:$AH$206,'Jan (next year)'!$D$27:$AH$206),27+3*(IFERROR(MATCH(C784,Roster!$B$6:$B$65,0),MATCH(C784,Roster!$C$6:$C$65,0))-1)+MATCH(B784,{"AM","PM","NIGHT"},0)-1-27+1,DAY(A784))&amp;"",""))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$206,'Feb'!$D$27:$AH$206,'Mar'!$D$27:$AH$206,'Apr'!$D$27:$AH$206,'May'!$D$27:$AH$206,'Jun'!$D$27:$AH$206,'Jul'!$D$27:$AH$206,'Aug'!$D$27:$AH$206,'Sep'!$D$27:$AH$206,'Oct'!$D$27:$AH$206,'Nov'!$D$27:$AH$206,'Dec'!$D$27:$AH$206,'Jan (next year)'!$D$27:$AH$206),27+3*(IFERROR(MATCH(C785,Roster!$B$6:$B$65,0),MATCH(C785,Roster!$C$6:$C$65,0))-1)+MATCH(B785,{"AM","PM","NIGHT"},0)-1-27+1,DAY(A785))&amp;"",""))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$206,'Feb'!$D$27:$AH$206,'Mar'!$D$27:$AH$206,'Apr'!$D$27:$AH$206,'May'!$D$27:$AH$206,'Jun'!$D$27:$AH$206,'Jul'!$D$27:$AH$206,'Aug'!$D$27:$AH$206,'Sep'!$D$27:$AH$206,'Oct'!$D$27:$AH$206,'Nov'!$D$27:$AH$206,'Dec'!$D$27:$AH$206,'Jan (next year)'!$D$27:$AH$206),27+3*(IFERROR(MATCH(C786,Roster!$B$6:$B$65,0),MATCH(C786,Roster!$C$6:$C$65,0))-1)+MATCH(B786,{"AM","PM","NIGHT"},0)-1-27+1,DAY(A786))&amp;"",""))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$206,'Feb'!$D$27:$AH$206,'Mar'!$D$27:$AH$206,'Apr'!$D$27:$AH$206,'May'!$D$27:$AH$206,'Jun'!$D$27:$AH$206,'Jul'!$D$27:$AH$206,'Aug'!$D$27:$AH$206,'Sep'!$D$27:$AH$206,'Oct'!$D$27:$AH$206,'Nov'!$D$27:$AH$206,'Dec'!$D$27:$AH$206,'Jan (next year)'!$D$27:$AH$206),27+3*(IFERROR(MATCH(C787,Roster!$B$6:$B$65,0),MATCH(C787,Roster!$C$6:$C$65,0))-1)+MATCH(B787,{"AM","PM","NIGHT"},0)-1-27+1,DAY(A787))&amp;"",""))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$206,'Feb'!$D$27:$AH$206,'Mar'!$D$27:$AH$206,'Apr'!$D$27:$AH$206,'May'!$D$27:$AH$206,'Jun'!$D$27:$AH$206,'Jul'!$D$27:$AH$206,'Aug'!$D$27:$AH$206,'Sep'!$D$27:$AH$206,'Oct'!$D$27:$AH$206,'Nov'!$D$27:$AH$206,'Dec'!$D$27:$AH$206,'Jan (next year)'!$D$27:$AH$206),27+3*(IFERROR(MATCH(C788,Roster!$B$6:$B$65,0),MATCH(C788,Roster!$C$6:$C$65,0))-1)+MATCH(B788,{"AM","PM","NIGHT"},0)-1-27+1,DAY(A788))&amp;"",""))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$206,'Feb'!$D$27:$AH$206,'Mar'!$D$27:$AH$206,'Apr'!$D$27:$AH$206,'May'!$D$27:$AH$206,'Jun'!$D$27:$AH$206,'Jul'!$D$27:$AH$206,'Aug'!$D$27:$AH$206,'Sep'!$D$27:$AH$206,'Oct'!$D$27:$AH$206,'Nov'!$D$27:$AH$206,'Dec'!$D$27:$AH$206,'Jan (next year)'!$D$27:$AH$206),27+3*(IFERROR(MATCH(C789,Roster!$B$6:$B$65,0),MATCH(C789,Roster!$C$6:$C$65,0))-1)+MATCH(B789,{"AM","PM","NIGHT"},0)-1-27+1,DAY(A789))&amp;"",""))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$206,'Feb'!$D$27:$AH$206,'Mar'!$D$27:$AH$206,'Apr'!$D$27:$AH$206,'May'!$D$27:$AH$206,'Jun'!$D$27:$AH$206,'Jul'!$D$27:$AH$206,'Aug'!$D$27:$AH$206,'Sep'!$D$27:$AH$206,'Oct'!$D$27:$AH$206,'Nov'!$D$27:$AH$206,'Dec'!$D$27:$AH$206,'Jan (next year)'!$D$27:$AH$206),27+3*(IFERROR(MATCH(C790,Roster!$B$6:$B$65,0),MATCH(C790,Roster!$C$6:$C$65,0))-1)+MATCH(B790,{"AM","PM","NIGHT"},0)-1-27+1,DAY(A790))&amp;"",""))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$206,'Feb'!$D$27:$AH$206,'Mar'!$D$27:$AH$206,'Apr'!$D$27:$AH$206,'May'!$D$27:$AH$206,'Jun'!$D$27:$AH$206,'Jul'!$D$27:$AH$206,'Aug'!$D$27:$AH$206,'Sep'!$D$27:$AH$206,'Oct'!$D$27:$AH$206,'Nov'!$D$27:$AH$206,'Dec'!$D$27:$AH$206,'Jan (next year)'!$D$27:$AH$206),27+3*(IFERROR(MATCH(C791,Roster!$B$6:$B$65,0),MATCH(C791,Roster!$C$6:$C$65,0))-1)+MATCH(B791,{"AM","PM","NIGHT"},0)-1-27+1,DAY(A791))&amp;"",""))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$206,'Feb'!$D$27:$AH$206,'Mar'!$D$27:$AH$206,'Apr'!$D$27:$AH$206,'May'!$D$27:$AH$206,'Jun'!$D$27:$AH$206,'Jul'!$D$27:$AH$206,'Aug'!$D$27:$AH$206,'Sep'!$D$27:$AH$206,'Oct'!$D$27:$AH$206,'Nov'!$D$27:$AH$206,'Dec'!$D$27:$AH$206,'Jan (next year)'!$D$27:$AH$206),27+3*(IFERROR(MATCH(C792,Roster!$B$6:$B$65,0),MATCH(C792,Roster!$C$6:$C$65,0))-1)+MATCH(B792,{"AM","PM","NIGHT"},0)-1-27+1,DAY(A792))&amp;"",""))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$206,'Feb'!$D$27:$AH$206,'Mar'!$D$27:$AH$206,'Apr'!$D$27:$AH$206,'May'!$D$27:$AH$206,'Jun'!$D$27:$AH$206,'Jul'!$D$27:$AH$206,'Aug'!$D$27:$AH$206,'Sep'!$D$27:$AH$206,'Oct'!$D$27:$AH$206,'Nov'!$D$27:$AH$206,'Dec'!$D$27:$AH$206,'Jan (next year)'!$D$27:$AH$206),27+3*(IFERROR(MATCH(C793,Roster!$B$6:$B$65,0),MATCH(C793,Roster!$C$6:$C$65,0))-1)+MATCH(B793,{"AM","PM","NIGHT"},0)-1-27+1,DAY(A793))&amp;"",""))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$206,'Feb'!$D$27:$AH$206,'Mar'!$D$27:$AH$206,'Apr'!$D$27:$AH$206,'May'!$D$27:$AH$206,'Jun'!$D$27:$AH$206,'Jul'!$D$27:$AH$206,'Aug'!$D$27:$AH$206,'Sep'!$D$27:$AH$206,'Oct'!$D$27:$AH$206,'Nov'!$D$27:$AH$206,'Dec'!$D$27:$AH$206,'Jan (next year)'!$D$27:$AH$206),27+3*(IFERROR(MATCH(C794,Roster!$B$6:$B$65,0),MATCH(C794,Roster!$C$6:$C$65,0))-1)+MATCH(B794,{"AM","PM","NIGHT"},0)-1-27+1,DAY(A794))&amp;"",""))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$206,'Feb'!$D$27:$AH$206,'Mar'!$D$27:$AH$206,'Apr'!$D$27:$AH$206,'May'!$D$27:$AH$206,'Jun'!$D$27:$AH$206,'Jul'!$D$27:$AH$206,'Aug'!$D$27:$AH$206,'Sep'!$D$27:$AH$206,'Oct'!$D$27:$AH$206,'Nov'!$D$27:$AH$206,'Dec'!$D$27:$AH$206,'Jan (next year)'!$D$27:$AH$206),27+3*(IFERROR(MATCH(C795,Roster!$B$6:$B$65,0),MATCH(C795,Roster!$C$6:$C$65,0))-1)+MATCH(B795,{"AM","PM","NIGHT"},0)-1-27+1,DAY(A795))&amp;"",""))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$206,'Feb'!$D$27:$AH$206,'Mar'!$D$27:$AH$206,'Apr'!$D$27:$AH$206,'May'!$D$27:$AH$206,'Jun'!$D$27:$AH$206,'Jul'!$D$27:$AH$206,'Aug'!$D$27:$AH$206,'Sep'!$D$27:$AH$206,'Oct'!$D$27:$AH$206,'Nov'!$D$27:$AH$206,'Dec'!$D$27:$AH$206,'Jan (next year)'!$D$27:$AH$206),27+3*(IFERROR(MATCH(C796,Roster!$B$6:$B$65,0),MATCH(C796,Roster!$C$6:$C$65,0))-1)+MATCH(B796,{"AM","PM","NIGHT"},0)-1-27+1,DAY(A796))&amp;"",""))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$206,'Feb'!$D$27:$AH$206,'Mar'!$D$27:$AH$206,'Apr'!$D$27:$AH$206,'May'!$D$27:$AH$206,'Jun'!$D$27:$AH$206,'Jul'!$D$27:$AH$206,'Aug'!$D$27:$AH$206,'Sep'!$D$27:$AH$206,'Oct'!$D$27:$AH$206,'Nov'!$D$27:$AH$206,'Dec'!$D$27:$AH$206,'Jan (next year)'!$D$27:$AH$206),27+3*(IFERROR(MATCH(C797,Roster!$B$6:$B$65,0),MATCH(C797,Roster!$C$6:$C$65,0))-1)+MATCH(B797,{"AM","PM","NIGHT"},0)-1-27+1,DAY(A797))&amp;"",""))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$206,'Feb'!$D$27:$AH$206,'Mar'!$D$27:$AH$206,'Apr'!$D$27:$AH$206,'May'!$D$27:$AH$206,'Jun'!$D$27:$AH$206,'Jul'!$D$27:$AH$206,'Aug'!$D$27:$AH$206,'Sep'!$D$27:$AH$206,'Oct'!$D$27:$AH$206,'Nov'!$D$27:$AH$206,'Dec'!$D$27:$AH$206,'Jan (next year)'!$D$27:$AH$206),27+3*(IFERROR(MATCH(C798,Roster!$B$6:$B$65,0),MATCH(C798,Roster!$C$6:$C$65,0))-1)+MATCH(B798,{"AM","PM","NIGHT"},0)-1-27+1,DAY(A798))&amp;"",""))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$206,'Feb'!$D$27:$AH$206,'Mar'!$D$27:$AH$206,'Apr'!$D$27:$AH$206,'May'!$D$27:$AH$206,'Jun'!$D$27:$AH$206,'Jul'!$D$27:$AH$206,'Aug'!$D$27:$AH$206,'Sep'!$D$27:$AH$206,'Oct'!$D$27:$AH$206,'Nov'!$D$27:$AH$206,'Dec'!$D$27:$AH$206,'Jan (next year)'!$D$27:$AH$206),27+3*(IFERROR(MATCH(C799,Roster!$B$6:$B$65,0),MATCH(C799,Roster!$C$6:$C$65,0))-1)+MATCH(B799,{"AM","PM","NIGHT"},0)-1-27+1,DAY(A799))&amp;"",""))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$206,'Feb'!$D$27:$AH$206,'Mar'!$D$27:$AH$206,'Apr'!$D$27:$AH$206,'May'!$D$27:$AH$206,'Jun'!$D$27:$AH$206,'Jul'!$D$27:$AH$206,'Aug'!$D$27:$AH$206,'Sep'!$D$27:$AH$206,'Oct'!$D$27:$AH$206,'Nov'!$D$27:$AH$206,'Dec'!$D$27:$AH$206,'Jan (next year)'!$D$27:$AH$206),27+3*(IFERROR(MATCH(C800,Roster!$B$6:$B$65,0),MATCH(C800,Roster!$C$6:$C$65,0))-1)+MATCH(B800,{"AM","PM","NIGHT"},0)-1-27+1,DAY(A800))&amp;"",""))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$206,'Feb'!$D$27:$AH$206,'Mar'!$D$27:$AH$206,'Apr'!$D$27:$AH$206,'May'!$D$27:$AH$206,'Jun'!$D$27:$AH$206,'Jul'!$D$27:$AH$206,'Aug'!$D$27:$AH$206,'Sep'!$D$27:$AH$206,'Oct'!$D$27:$AH$206,'Nov'!$D$27:$AH$206,'Dec'!$D$27:$AH$206,'Jan (next year)'!$D$27:$AH$206),27+3*(IFERROR(MATCH(C801,Roster!$B$6:$B$65,0),MATCH(C801,Roster!$C$6:$C$65,0))-1)+MATCH(B801,{"AM","PM","NIGHT"},0)-1-27+1,DAY(A801))&amp;"",""))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$206,'Feb'!$D$27:$AH$206,'Mar'!$D$27:$AH$206,'Apr'!$D$27:$AH$206,'May'!$D$27:$AH$206,'Jun'!$D$27:$AH$206,'Jul'!$D$27:$AH$206,'Aug'!$D$27:$AH$206,'Sep'!$D$27:$AH$206,'Oct'!$D$27:$AH$206,'Nov'!$D$27:$AH$206,'Dec'!$D$27:$AH$206,'Jan (next year)'!$D$27:$AH$206),27+3*(IFERROR(MATCH(C802,Roster!$B$6:$B$65,0),MATCH(C802,Roster!$C$6:$C$65,0))-1)+MATCH(B802,{"AM","PM","NIGHT"},0)-1-27+1,DAY(A802))&amp;"",""))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$206,'Feb'!$D$27:$AH$206,'Mar'!$D$27:$AH$206,'Apr'!$D$27:$AH$206,'May'!$D$27:$AH$206,'Jun'!$D$27:$AH$206,'Jul'!$D$27:$AH$206,'Aug'!$D$27:$AH$206,'Sep'!$D$27:$AH$206,'Oct'!$D$27:$AH$206,'Nov'!$D$27:$AH$206,'Dec'!$D$27:$AH$206,'Jan (next year)'!$D$27:$AH$206),27+3*(IFERROR(MATCH(C803,Roster!$B$6:$B$65,0),MATCH(C803,Roster!$C$6:$C$65,0))-1)+MATCH(B803,{"AM","PM","NIGHT"},0)-1-27+1,DAY(A803))&amp;"",""))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$206,'Feb'!$D$27:$AH$206,'Mar'!$D$27:$AH$206,'Apr'!$D$27:$AH$206,'May'!$D$27:$AH$206,'Jun'!$D$27:$AH$206,'Jul'!$D$27:$AH$206,'Aug'!$D$27:$AH$206,'Sep'!$D$27:$AH$206,'Oct'!$D$27:$AH$206,'Nov'!$D$27:$AH$206,'Dec'!$D$27:$AH$206,'Jan (next year)'!$D$27:$AH$206),27+3*(IFERROR(MATCH(C804,Roster!$B$6:$B$65,0),MATCH(C804,Roster!$C$6:$C$65,0))-1)+MATCH(B804,{"AM","PM","NIGHT"},0)-1-27+1,DAY(A804))&amp;"",""))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$206,'Feb'!$D$27:$AH$206,'Mar'!$D$27:$AH$206,'Apr'!$D$27:$AH$206,'May'!$D$27:$AH$206,'Jun'!$D$27:$AH$206,'Jul'!$D$27:$AH$206,'Aug'!$D$27:$AH$206,'Sep'!$D$27:$AH$206,'Oct'!$D$27:$AH$206,'Nov'!$D$27:$AH$206,'Dec'!$D$27:$AH$206,'Jan (next year)'!$D$27:$AH$206),27+3*(IFERROR(MATCH(C805,Roster!$B$6:$B$65,0),MATCH(C805,Roster!$C$6:$C$65,0))-1)+MATCH(B805,{"AM","PM","NIGHT"},0)-1-27+1,DAY(A805))&amp;"",""))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$206,'Feb'!$D$27:$AH$206,'Mar'!$D$27:$AH$206,'Apr'!$D$27:$AH$206,'May'!$D$27:$AH$206,'Jun'!$D$27:$AH$206,'Jul'!$D$27:$AH$206,'Aug'!$D$27:$AH$206,'Sep'!$D$27:$AH$206,'Oct'!$D$27:$AH$206,'Nov'!$D$27:$AH$206,'Dec'!$D$27:$AH$206,'Jan (next year)'!$D$27:$AH$206),27+3*(IFERROR(MATCH(C806,Roster!$B$6:$B$65,0),MATCH(C806,Roster!$C$6:$C$65,0))-1)+MATCH(B806,{"AM","PM","NIGHT"},0)-1-27+1,DAY(A806))&amp;"",""))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$206,'Feb'!$D$27:$AH$206,'Mar'!$D$27:$AH$206,'Apr'!$D$27:$AH$206,'May'!$D$27:$AH$206,'Jun'!$D$27:$AH$206,'Jul'!$D$27:$AH$206,'Aug'!$D$27:$AH$206,'Sep'!$D$27:$AH$206,'Oct'!$D$27:$AH$206,'Nov'!$D$27:$AH$206,'Dec'!$D$27:$AH$206,'Jan (next year)'!$D$27:$AH$206),27+3*(IFERROR(MATCH(C807,Roster!$B$6:$B$65,0),MATCH(C807,Roster!$C$6:$C$65,0))-1)+MATCH(B807,{"AM","PM","NIGHT"},0)-1-27+1,DAY(A807))&amp;"",""))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$206,'Feb'!$D$27:$AH$206,'Mar'!$D$27:$AH$206,'Apr'!$D$27:$AH$206,'May'!$D$27:$AH$206,'Jun'!$D$27:$AH$206,'Jul'!$D$27:$AH$206,'Aug'!$D$27:$AH$206,'Sep'!$D$27:$AH$206,'Oct'!$D$27:$AH$206,'Nov'!$D$27:$AH$206,'Dec'!$D$27:$AH$206,'Jan (next year)'!$D$27:$AH$206),27+3*(IFERROR(MATCH(C808,Roster!$B$6:$B$65,0),MATCH(C808,Roster!$C$6:$C$65,0))-1)+MATCH(B808,{"AM","PM","NIGHT"},0)-1-27+1,DAY(A808))&amp;"",""))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$206,'Feb'!$D$27:$AH$206,'Mar'!$D$27:$AH$206,'Apr'!$D$27:$AH$206,'May'!$D$27:$AH$206,'Jun'!$D$27:$AH$206,'Jul'!$D$27:$AH$206,'Aug'!$D$27:$AH$206,'Sep'!$D$27:$AH$206,'Oct'!$D$27:$AH$206,'Nov'!$D$27:$AH$206,'Dec'!$D$27:$AH$206,'Jan (next year)'!$D$27:$AH$206),27+3*(IFERROR(MATCH(C809,Roster!$B$6:$B$65,0),MATCH(C809,Roster!$C$6:$C$65,0))-1)+MATCH(B809,{"AM","PM","NIGHT"},0)-1-27+1,DAY(A809))&amp;"",""))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$206,'Feb'!$D$27:$AH$206,'Mar'!$D$27:$AH$206,'Apr'!$D$27:$AH$206,'May'!$D$27:$AH$206,'Jun'!$D$27:$AH$206,'Jul'!$D$27:$AH$206,'Aug'!$D$27:$AH$206,'Sep'!$D$27:$AH$206,'Oct'!$D$27:$AH$206,'Nov'!$D$27:$AH$206,'Dec'!$D$27:$AH$206,'Jan (next year)'!$D$27:$AH$206),27+3*(IFERROR(MATCH(C810,Roster!$B$6:$B$65,0),MATCH(C810,Roster!$C$6:$C$65,0))-1)+MATCH(B810,{"AM","PM","NIGHT"},0)-1-27+1,DAY(A810))&amp;"",""))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$206,'Feb'!$D$27:$AH$206,'Mar'!$D$27:$AH$206,'Apr'!$D$27:$AH$206,'May'!$D$27:$AH$206,'Jun'!$D$27:$AH$206,'Jul'!$D$27:$AH$206,'Aug'!$D$27:$AH$206,'Sep'!$D$27:$AH$206,'Oct'!$D$27:$AH$206,'Nov'!$D$27:$AH$206,'Dec'!$D$27:$AH$206,'Jan (next year)'!$D$27:$AH$206),27+3*(IFERROR(MATCH(C811,Roster!$B$6:$B$65,0),MATCH(C811,Roster!$C$6:$C$65,0))-1)+MATCH(B811,{"AM","PM","NIGHT"},0)-1-27+1,DAY(A811))&amp;"",""))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$206,'Feb'!$D$27:$AH$206,'Mar'!$D$27:$AH$206,'Apr'!$D$27:$AH$206,'May'!$D$27:$AH$206,'Jun'!$D$27:$AH$206,'Jul'!$D$27:$AH$206,'Aug'!$D$27:$AH$206,'Sep'!$D$27:$AH$206,'Oct'!$D$27:$AH$206,'Nov'!$D$27:$AH$206,'Dec'!$D$27:$AH$206,'Jan (next year)'!$D$27:$AH$206),27+3*(IFERROR(MATCH(C812,Roster!$B$6:$B$65,0),MATCH(C812,Roster!$C$6:$C$65,0))-1)+MATCH(B812,{"AM","PM","NIGHT"},0)-1-27+1,DAY(A812))&amp;"",""))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$206,'Feb'!$D$27:$AH$206,'Mar'!$D$27:$AH$206,'Apr'!$D$27:$AH$206,'May'!$D$27:$AH$206,'Jun'!$D$27:$AH$206,'Jul'!$D$27:$AH$206,'Aug'!$D$27:$AH$206,'Sep'!$D$27:$AH$206,'Oct'!$D$27:$AH$206,'Nov'!$D$27:$AH$206,'Dec'!$D$27:$AH$206,'Jan (next year)'!$D$27:$AH$206),27+3*(IFERROR(MATCH(C813,Roster!$B$6:$B$65,0),MATCH(C813,Roster!$C$6:$C$65,0))-1)+MATCH(B813,{"AM","PM","NIGHT"},0)-1-27+1,DAY(A813))&amp;"",""))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$206,'Feb'!$D$27:$AH$206,'Mar'!$D$27:$AH$206,'Apr'!$D$27:$AH$206,'May'!$D$27:$AH$206,'Jun'!$D$27:$AH$206,'Jul'!$D$27:$AH$206,'Aug'!$D$27:$AH$206,'Sep'!$D$27:$AH$206,'Oct'!$D$27:$AH$206,'Nov'!$D$27:$AH$206,'Dec'!$D$27:$AH$206,'Jan (next year)'!$D$27:$AH$206),27+3*(IFERROR(MATCH(C814,Roster!$B$6:$B$65,0),MATCH(C814,Roster!$C$6:$C$65,0))-1)+MATCH(B814,{"AM","PM","NIGHT"},0)-1-27+1,DAY(A814))&amp;"",""))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$206,'Feb'!$D$27:$AH$206,'Mar'!$D$27:$AH$206,'Apr'!$D$27:$AH$206,'May'!$D$27:$AH$206,'Jun'!$D$27:$AH$206,'Jul'!$D$27:$AH$206,'Aug'!$D$27:$AH$206,'Sep'!$D$27:$AH$206,'Oct'!$D$27:$AH$206,'Nov'!$D$27:$AH$206,'Dec'!$D$27:$AH$206,'Jan (next year)'!$D$27:$AH$206),27+3*(IFERROR(MATCH(C815,Roster!$B$6:$B$65,0),MATCH(C815,Roster!$C$6:$C$65,0))-1)+MATCH(B815,{"AM","PM","NIGHT"},0)-1-27+1,DAY(A815))&amp;"",""))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$206,'Feb'!$D$27:$AH$206,'Mar'!$D$27:$AH$206,'Apr'!$D$27:$AH$206,'May'!$D$27:$AH$206,'Jun'!$D$27:$AH$206,'Jul'!$D$27:$AH$206,'Aug'!$D$27:$AH$206,'Sep'!$D$27:$AH$206,'Oct'!$D$27:$AH$206,'Nov'!$D$27:$AH$206,'Dec'!$D$27:$AH$206,'Jan (next year)'!$D$27:$AH$206),27+3*(IFERROR(MATCH(C816,Roster!$B$6:$B$65,0),MATCH(C816,Roster!$C$6:$C$65,0))-1)+MATCH(B816,{"AM","PM","NIGHT"},0)-1-27+1,DAY(A816))&amp;"",""))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$206,'Feb'!$D$27:$AH$206,'Mar'!$D$27:$AH$206,'Apr'!$D$27:$AH$206,'May'!$D$27:$AH$206,'Jun'!$D$27:$AH$206,'Jul'!$D$27:$AH$206,'Aug'!$D$27:$AH$206,'Sep'!$D$27:$AH$206,'Oct'!$D$27:$AH$206,'Nov'!$D$27:$AH$206,'Dec'!$D$27:$AH$206,'Jan (next year)'!$D$27:$AH$206),27+3*(IFERROR(MATCH(C817,Roster!$B$6:$B$65,0),MATCH(C817,Roster!$C$6:$C$65,0))-1)+MATCH(B817,{"AM","PM","NIGHT"},0)-1-27+1,DAY(A817))&amp;"",""))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$206,'Feb'!$D$27:$AH$206,'Mar'!$D$27:$AH$206,'Apr'!$D$27:$AH$206,'May'!$D$27:$AH$206,'Jun'!$D$27:$AH$206,'Jul'!$D$27:$AH$206,'Aug'!$D$27:$AH$206,'Sep'!$D$27:$AH$206,'Oct'!$D$27:$AH$206,'Nov'!$D$27:$AH$206,'Dec'!$D$27:$AH$206,'Jan (next year)'!$D$27:$AH$206),27+3*(IFERROR(MATCH(C818,Roster!$B$6:$B$65,0),MATCH(C818,Roster!$C$6:$C$65,0))-1)+MATCH(B818,{"AM","PM","NIGHT"},0)-1-27+1,DAY(A818))&amp;"",""))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$206,'Feb'!$D$27:$AH$206,'Mar'!$D$27:$AH$206,'Apr'!$D$27:$AH$206,'May'!$D$27:$AH$206,'Jun'!$D$27:$AH$206,'Jul'!$D$27:$AH$206,'Aug'!$D$27:$AH$206,'Sep'!$D$27:$AH$206,'Oct'!$D$27:$AH$206,'Nov'!$D$27:$AH$206,'Dec'!$D$27:$AH$206,'Jan (next year)'!$D$27:$AH$206),27+3*(IFERROR(MATCH(C819,Roster!$B$6:$B$65,0),MATCH(C819,Roster!$C$6:$C$65,0))-1)+MATCH(B819,{"AM","PM","NIGHT"},0)-1-27+1,DAY(A819))&amp;"",""))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$206,'Feb'!$D$27:$AH$206,'Mar'!$D$27:$AH$206,'Apr'!$D$27:$AH$206,'May'!$D$27:$AH$206,'Jun'!$D$27:$AH$206,'Jul'!$D$27:$AH$206,'Aug'!$D$27:$AH$206,'Sep'!$D$27:$AH$206,'Oct'!$D$27:$AH$206,'Nov'!$D$27:$AH$206,'Dec'!$D$27:$AH$206,'Jan (next year)'!$D$27:$AH$206),27+3*(IFERROR(MATCH(C820,Roster!$B$6:$B$65,0),MATCH(C820,Roster!$C$6:$C$65,0))-1)+MATCH(B820,{"AM","PM","NIGHT"},0)-1-27+1,DAY(A820))&amp;"",""))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$206,'Feb'!$D$27:$AH$206,'Mar'!$D$27:$AH$206,'Apr'!$D$27:$AH$206,'May'!$D$27:$AH$206,'Jun'!$D$27:$AH$206,'Jul'!$D$27:$AH$206,'Aug'!$D$27:$AH$206,'Sep'!$D$27:$AH$206,'Oct'!$D$27:$AH$206,'Nov'!$D$27:$AH$206,'Dec'!$D$27:$AH$206,'Jan (next year)'!$D$27:$AH$206),27+3*(IFERROR(MATCH(C821,Roster!$B$6:$B$65,0),MATCH(C821,Roster!$C$6:$C$65,0))-1)+MATCH(B821,{"AM","PM","NIGHT"},0)-1-27+1,DAY(A821))&amp;"",""))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$206,'Feb'!$D$27:$AH$206,'Mar'!$D$27:$AH$206,'Apr'!$D$27:$AH$206,'May'!$D$27:$AH$206,'Jun'!$D$27:$AH$206,'Jul'!$D$27:$AH$206,'Aug'!$D$27:$AH$206,'Sep'!$D$27:$AH$206,'Oct'!$D$27:$AH$206,'Nov'!$D$27:$AH$206,'Dec'!$D$27:$AH$206,'Jan (next year)'!$D$27:$AH$206),27+3*(IFERROR(MATCH(C822,Roster!$B$6:$B$65,0),MATCH(C822,Roster!$C$6:$C$65,0))-1)+MATCH(B822,{"AM","PM","NIGHT"},0)-1-27+1,DAY(A822))&amp;"",""))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$206,'Feb'!$D$27:$AH$206,'Mar'!$D$27:$AH$206,'Apr'!$D$27:$AH$206,'May'!$D$27:$AH$206,'Jun'!$D$27:$AH$206,'Jul'!$D$27:$AH$206,'Aug'!$D$27:$AH$206,'Sep'!$D$27:$AH$206,'Oct'!$D$27:$AH$206,'Nov'!$D$27:$AH$206,'Dec'!$D$27:$AH$206,'Jan (next year)'!$D$27:$AH$206),27+3*(IFERROR(MATCH(C823,Roster!$B$6:$B$65,0),MATCH(C823,Roster!$C$6:$C$65,0))-1)+MATCH(B823,{"AM","PM","NIGHT"},0)-1-27+1,DAY(A823))&amp;"",""))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$206,'Feb'!$D$27:$AH$206,'Mar'!$D$27:$AH$206,'Apr'!$D$27:$AH$206,'May'!$D$27:$AH$206,'Jun'!$D$27:$AH$206,'Jul'!$D$27:$AH$206,'Aug'!$D$27:$AH$206,'Sep'!$D$27:$AH$206,'Oct'!$D$27:$AH$206,'Nov'!$D$27:$AH$206,'Dec'!$D$27:$AH$206,'Jan (next year)'!$D$27:$AH$206),27+3*(IFERROR(MATCH(C824,Roster!$B$6:$B$65,0),MATCH(C824,Roster!$C$6:$C$65,0))-1)+MATCH(B824,{"AM","PM","NIGHT"},0)-1-27+1,DAY(A824))&amp;"",""))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$206,'Feb'!$D$27:$AH$206,'Mar'!$D$27:$AH$206,'Apr'!$D$27:$AH$206,'May'!$D$27:$AH$206,'Jun'!$D$27:$AH$206,'Jul'!$D$27:$AH$206,'Aug'!$D$27:$AH$206,'Sep'!$D$27:$AH$206,'Oct'!$D$27:$AH$206,'Nov'!$D$27:$AH$206,'Dec'!$D$27:$AH$206,'Jan (next year)'!$D$27:$AH$206),27+3*(IFERROR(MATCH(C825,Roster!$B$6:$B$65,0),MATCH(C825,Roster!$C$6:$C$65,0))-1)+MATCH(B825,{"AM","PM","NIGHT"},0)-1-27+1,DAY(A825))&amp;"",""))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$206,'Feb'!$D$27:$AH$206,'Mar'!$D$27:$AH$206,'Apr'!$D$27:$AH$206,'May'!$D$27:$AH$206,'Jun'!$D$27:$AH$206,'Jul'!$D$27:$AH$206,'Aug'!$D$27:$AH$206,'Sep'!$D$27:$AH$206,'Oct'!$D$27:$AH$206,'Nov'!$D$27:$AH$206,'Dec'!$D$27:$AH$206,'Jan (next year)'!$D$27:$AH$206),27+3*(IFERROR(MATCH(C826,Roster!$B$6:$B$65,0),MATCH(C826,Roster!$C$6:$C$65,0))-1)+MATCH(B826,{"AM","PM","NIGHT"},0)-1-27+1,DAY(A826))&amp;"",""))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$206,'Feb'!$D$27:$AH$206,'Mar'!$D$27:$AH$206,'Apr'!$D$27:$AH$206,'May'!$D$27:$AH$206,'Jun'!$D$27:$AH$206,'Jul'!$D$27:$AH$206,'Aug'!$D$27:$AH$206,'Sep'!$D$27:$AH$206,'Oct'!$D$27:$AH$206,'Nov'!$D$27:$AH$206,'Dec'!$D$27:$AH$206,'Jan (next year)'!$D$27:$AH$206),27+3*(IFERROR(MATCH(C827,Roster!$B$6:$B$65,0),MATCH(C827,Roster!$C$6:$C$65,0))-1)+MATCH(B827,{"AM","PM","NIGHT"},0)-1-27+1,DAY(A827))&amp;"",""))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$206,'Feb'!$D$27:$AH$206,'Mar'!$D$27:$AH$206,'Apr'!$D$27:$AH$206,'May'!$D$27:$AH$206,'Jun'!$D$27:$AH$206,'Jul'!$D$27:$AH$206,'Aug'!$D$27:$AH$206,'Sep'!$D$27:$AH$206,'Oct'!$D$27:$AH$206,'Nov'!$D$27:$AH$206,'Dec'!$D$27:$AH$206,'Jan (next year)'!$D$27:$AH$206),27+3*(IFERROR(MATCH(C828,Roster!$B$6:$B$65,0),MATCH(C828,Roster!$C$6:$C$65,0))-1)+MATCH(B828,{"AM","PM","NIGHT"},0)-1-27+1,DAY(A828))&amp;"",""))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$206,'Feb'!$D$27:$AH$206,'Mar'!$D$27:$AH$206,'Apr'!$D$27:$AH$206,'May'!$D$27:$AH$206,'Jun'!$D$27:$AH$206,'Jul'!$D$27:$AH$206,'Aug'!$D$27:$AH$206,'Sep'!$D$27:$AH$206,'Oct'!$D$27:$AH$206,'Nov'!$D$27:$AH$206,'Dec'!$D$27:$AH$206,'Jan (next year)'!$D$27:$AH$206),27+3*(IFERROR(MATCH(C829,Roster!$B$6:$B$65,0),MATCH(C829,Roster!$C$6:$C$65,0))-1)+MATCH(B829,{"AM","PM","NIGHT"},0)-1-27+1,DAY(A829))&amp;"",""))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$206,'Feb'!$D$27:$AH$206,'Mar'!$D$27:$AH$206,'Apr'!$D$27:$AH$206,'May'!$D$27:$AH$206,'Jun'!$D$27:$AH$206,'Jul'!$D$27:$AH$206,'Aug'!$D$27:$AH$206,'Sep'!$D$27:$AH$206,'Oct'!$D$27:$AH$206,'Nov'!$D$27:$AH$206,'Dec'!$D$27:$AH$206,'Jan (next year)'!$D$27:$AH$206),27+3*(IFERROR(MATCH(C830,Roster!$B$6:$B$65,0),MATCH(C830,Roster!$C$6:$C$65,0))-1)+MATCH(B830,{"AM","PM","NIGHT"},0)-1-27+1,DAY(A830))&amp;"",""))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$206,'Feb'!$D$27:$AH$206,'Mar'!$D$27:$AH$206,'Apr'!$D$27:$AH$206,'May'!$D$27:$AH$206,'Jun'!$D$27:$AH$206,'Jul'!$D$27:$AH$206,'Aug'!$D$27:$AH$206,'Sep'!$D$27:$AH$206,'Oct'!$D$27:$AH$206,'Nov'!$D$27:$AH$206,'Dec'!$D$27:$AH$206,'Jan (next year)'!$D$27:$AH$206),27+3*(IFERROR(MATCH(C831,Roster!$B$6:$B$65,0),MATCH(C831,Roster!$C$6:$C$65,0))-1)+MATCH(B831,{"AM","PM","NIGHT"},0)-1-27+1,DAY(A831))&amp;"",""))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$206,'Feb'!$D$27:$AH$206,'Mar'!$D$27:$AH$206,'Apr'!$D$27:$AH$206,'May'!$D$27:$AH$206,'Jun'!$D$27:$AH$206,'Jul'!$D$27:$AH$206,'Aug'!$D$27:$AH$206,'Sep'!$D$27:$AH$206,'Oct'!$D$27:$AH$206,'Nov'!$D$27:$AH$206,'Dec'!$D$27:$AH$206,'Jan (next year)'!$D$27:$AH$206),27+3*(IFERROR(MATCH(C832,Roster!$B$6:$B$65,0),MATCH(C832,Roster!$C$6:$C$65,0))-1)+MATCH(B832,{"AM","PM","NIGHT"},0)-1-27+1,DAY(A832))&amp;"",""))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$206,'Feb'!$D$27:$AH$206,'Mar'!$D$27:$AH$206,'Apr'!$D$27:$AH$206,'May'!$D$27:$AH$206,'Jun'!$D$27:$AH$206,'Jul'!$D$27:$AH$206,'Aug'!$D$27:$AH$206,'Sep'!$D$27:$AH$206,'Oct'!$D$27:$AH$206,'Nov'!$D$27:$AH$206,'Dec'!$D$27:$AH$206,'Jan (next year)'!$D$27:$AH$206),27+3*(IFERROR(MATCH(C833,Roster!$B$6:$B$65,0),MATCH(C833,Roster!$C$6:$C$65,0))-1)+MATCH(B833,{"AM","PM","NIGHT"},0)-1-27+1,DAY(A833))&amp;"",""))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$206,'Feb'!$D$27:$AH$206,'Mar'!$D$27:$AH$206,'Apr'!$D$27:$AH$206,'May'!$D$27:$AH$206,'Jun'!$D$27:$AH$206,'Jul'!$D$27:$AH$206,'Aug'!$D$27:$AH$206,'Sep'!$D$27:$AH$206,'Oct'!$D$27:$AH$206,'Nov'!$D$27:$AH$206,'Dec'!$D$27:$AH$206,'Jan (next year)'!$D$27:$AH$206),27+3*(IFERROR(MATCH(C834,Roster!$B$6:$B$65,0),MATCH(C834,Roster!$C$6:$C$65,0))-1)+MATCH(B834,{"AM","PM","NIGHT"},0)-1-27+1,DAY(A834))&amp;"",""))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$206,'Feb'!$D$27:$AH$206,'Mar'!$D$27:$AH$206,'Apr'!$D$27:$AH$206,'May'!$D$27:$AH$206,'Jun'!$D$27:$AH$206,'Jul'!$D$27:$AH$206,'Aug'!$D$27:$AH$206,'Sep'!$D$27:$AH$206,'Oct'!$D$27:$AH$206,'Nov'!$D$27:$AH$206,'Dec'!$D$27:$AH$206,'Jan (next year)'!$D$27:$AH$206),27+3*(IFERROR(MATCH(C835,Roster!$B$6:$B$65,0),MATCH(C835,Roster!$C$6:$C$65,0))-1)+MATCH(B835,{"AM","PM","NIGHT"},0)-1-27+1,DAY(A835))&amp;"",""))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$206,'Feb'!$D$27:$AH$206,'Mar'!$D$27:$AH$206,'Apr'!$D$27:$AH$206,'May'!$D$27:$AH$206,'Jun'!$D$27:$AH$206,'Jul'!$D$27:$AH$206,'Aug'!$D$27:$AH$206,'Sep'!$D$27:$AH$206,'Oct'!$D$27:$AH$206,'Nov'!$D$27:$AH$206,'Dec'!$D$27:$AH$206,'Jan (next year)'!$D$27:$AH$206),27+3*(IFERROR(MATCH(C836,Roster!$B$6:$B$65,0),MATCH(C836,Roster!$C$6:$C$65,0))-1)+MATCH(B836,{"AM","PM","NIGHT"},0)-1-27+1,DAY(A836))&amp;"",""))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$206,'Feb'!$D$27:$AH$206,'Mar'!$D$27:$AH$206,'Apr'!$D$27:$AH$206,'May'!$D$27:$AH$206,'Jun'!$D$27:$AH$206,'Jul'!$D$27:$AH$206,'Aug'!$D$27:$AH$206,'Sep'!$D$27:$AH$206,'Oct'!$D$27:$AH$206,'Nov'!$D$27:$AH$206,'Dec'!$D$27:$AH$206,'Jan (next year)'!$D$27:$AH$206),27+3*(IFERROR(MATCH(C837,Roster!$B$6:$B$65,0),MATCH(C837,Roster!$C$6:$C$65,0))-1)+MATCH(B837,{"AM","PM","NIGHT"},0)-1-27+1,DAY(A837))&amp;"",""))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$206,'Feb'!$D$27:$AH$206,'Mar'!$D$27:$AH$206,'Apr'!$D$27:$AH$206,'May'!$D$27:$AH$206,'Jun'!$D$27:$AH$206,'Jul'!$D$27:$AH$206,'Aug'!$D$27:$AH$206,'Sep'!$D$27:$AH$206,'Oct'!$D$27:$AH$206,'Nov'!$D$27:$AH$206,'Dec'!$D$27:$AH$206,'Jan (next year)'!$D$27:$AH$206),27+3*(IFERROR(MATCH(C838,Roster!$B$6:$B$65,0),MATCH(C838,Roster!$C$6:$C$65,0))-1)+MATCH(B838,{"AM","PM","NIGHT"},0)-1-27+1,DAY(A838))&amp;"",""))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$206,'Feb'!$D$27:$AH$206,'Mar'!$D$27:$AH$206,'Apr'!$D$27:$AH$206,'May'!$D$27:$AH$206,'Jun'!$D$27:$AH$206,'Jul'!$D$27:$AH$206,'Aug'!$D$27:$AH$206,'Sep'!$D$27:$AH$206,'Oct'!$D$27:$AH$206,'Nov'!$D$27:$AH$206,'Dec'!$D$27:$AH$206,'Jan (next year)'!$D$27:$AH$206),27+3*(IFERROR(MATCH(C839,Roster!$B$6:$B$65,0),MATCH(C839,Roster!$C$6:$C$65,0))-1)+MATCH(B839,{"AM","PM","NIGHT"},0)-1-27+1,DAY(A839))&amp;"",""))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$206,'Feb'!$D$27:$AH$206,'Mar'!$D$27:$AH$206,'Apr'!$D$27:$AH$206,'May'!$D$27:$AH$206,'Jun'!$D$27:$AH$206,'Jul'!$D$27:$AH$206,'Aug'!$D$27:$AH$206,'Sep'!$D$27:$AH$206,'Oct'!$D$27:$AH$206,'Nov'!$D$27:$AH$206,'Dec'!$D$27:$AH$206,'Jan (next year)'!$D$27:$AH$206),27+3*(IFERROR(MATCH(C840,Roster!$B$6:$B$65,0),MATCH(C840,Roster!$C$6:$C$65,0))-1)+MATCH(B840,{"AM","PM","NIGHT"},0)-1-27+1,DAY(A840))&amp;"",""))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$206,'Feb'!$D$27:$AH$206,'Mar'!$D$27:$AH$206,'Apr'!$D$27:$AH$206,'May'!$D$27:$AH$206,'Jun'!$D$27:$AH$206,'Jul'!$D$27:$AH$206,'Aug'!$D$27:$AH$206,'Sep'!$D$27:$AH$206,'Oct'!$D$27:$AH$206,'Nov'!$D$27:$AH$206,'Dec'!$D$27:$AH$206,'Jan (next year)'!$D$27:$AH$206),27+3*(IFERROR(MATCH(C841,Roster!$B$6:$B$65,0),MATCH(C841,Roster!$C$6:$C$65,0))-1)+MATCH(B841,{"AM","PM","NIGHT"},0)-1-27+1,DAY(A841))&amp;"",""))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$206,'Feb'!$D$27:$AH$206,'Mar'!$D$27:$AH$206,'Apr'!$D$27:$AH$206,'May'!$D$27:$AH$206,'Jun'!$D$27:$AH$206,'Jul'!$D$27:$AH$206,'Aug'!$D$27:$AH$206,'Sep'!$D$27:$AH$206,'Oct'!$D$27:$AH$206,'Nov'!$D$27:$AH$206,'Dec'!$D$27:$AH$206,'Jan (next year)'!$D$27:$AH$206),27+3*(IFERROR(MATCH(C842,Roster!$B$6:$B$65,0),MATCH(C842,Roster!$C$6:$C$65,0))-1)+MATCH(B842,{"AM","PM","NIGHT"},0)-1-27+1,DAY(A842))&amp;"",""))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$206,'Feb'!$D$27:$AH$206,'Mar'!$D$27:$AH$206,'Apr'!$D$27:$AH$206,'May'!$D$27:$AH$206,'Jun'!$D$27:$AH$206,'Jul'!$D$27:$AH$206,'Aug'!$D$27:$AH$206,'Sep'!$D$27:$AH$206,'Oct'!$D$27:$AH$206,'Nov'!$D$27:$AH$206,'Dec'!$D$27:$AH$206,'Jan (next year)'!$D$27:$AH$206),27+3*(IFERROR(MATCH(C843,Roster!$B$6:$B$65,0),MATCH(C843,Roster!$C$6:$C$65,0))-1)+MATCH(B843,{"AM","PM","NIGHT"},0)-1-27+1,DAY(A843))&amp;"",""))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$206,'Feb'!$D$27:$AH$206,'Mar'!$D$27:$AH$206,'Apr'!$D$27:$AH$206,'May'!$D$27:$AH$206,'Jun'!$D$27:$AH$206,'Jul'!$D$27:$AH$206,'Aug'!$D$27:$AH$206,'Sep'!$D$27:$AH$206,'Oct'!$D$27:$AH$206,'Nov'!$D$27:$AH$206,'Dec'!$D$27:$AH$206,'Jan (next year)'!$D$27:$AH$206),27+3*(IFERROR(MATCH(C844,Roster!$B$6:$B$65,0),MATCH(C844,Roster!$C$6:$C$65,0))-1)+MATCH(B844,{"AM","PM","NIGHT"},0)-1-27+1,DAY(A844))&amp;"",""))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$206,'Feb'!$D$27:$AH$206,'Mar'!$D$27:$AH$206,'Apr'!$D$27:$AH$206,'May'!$D$27:$AH$206,'Jun'!$D$27:$AH$206,'Jul'!$D$27:$AH$206,'Aug'!$D$27:$AH$206,'Sep'!$D$27:$AH$206,'Oct'!$D$27:$AH$206,'Nov'!$D$27:$AH$206,'Dec'!$D$27:$AH$206,'Jan (next year)'!$D$27:$AH$206),27+3*(IFERROR(MATCH(C845,Roster!$B$6:$B$65,0),MATCH(C845,Roster!$C$6:$C$65,0))-1)+MATCH(B845,{"AM","PM","NIGHT"},0)-1-27+1,DAY(A845))&amp;"",""))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$206,'Feb'!$D$27:$AH$206,'Mar'!$D$27:$AH$206,'Apr'!$D$27:$AH$206,'May'!$D$27:$AH$206,'Jun'!$D$27:$AH$206,'Jul'!$D$27:$AH$206,'Aug'!$D$27:$AH$206,'Sep'!$D$27:$AH$206,'Oct'!$D$27:$AH$206,'Nov'!$D$27:$AH$206,'Dec'!$D$27:$AH$206,'Jan (next year)'!$D$27:$AH$206),27+3*(IFERROR(MATCH(C846,Roster!$B$6:$B$65,0),MATCH(C846,Roster!$C$6:$C$65,0))-1)+MATCH(B846,{"AM","PM","NIGHT"},0)-1-27+1,DAY(A846))&amp;"",""))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$206,'Feb'!$D$27:$AH$206,'Mar'!$D$27:$AH$206,'Apr'!$D$27:$AH$206,'May'!$D$27:$AH$206,'Jun'!$D$27:$AH$206,'Jul'!$D$27:$AH$206,'Aug'!$D$27:$AH$206,'Sep'!$D$27:$AH$206,'Oct'!$D$27:$AH$206,'Nov'!$D$27:$AH$206,'Dec'!$D$27:$AH$206,'Jan (next year)'!$D$27:$AH$206),27+3*(IFERROR(MATCH(C847,Roster!$B$6:$B$65,0),MATCH(C847,Roster!$C$6:$C$65,0))-1)+MATCH(B847,{"AM","PM","NIGHT"},0)-1-27+1,DAY(A847))&amp;"",""))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$206,'Feb'!$D$27:$AH$206,'Mar'!$D$27:$AH$206,'Apr'!$D$27:$AH$206,'May'!$D$27:$AH$206,'Jun'!$D$27:$AH$206,'Jul'!$D$27:$AH$206,'Aug'!$D$27:$AH$206,'Sep'!$D$27:$AH$206,'Oct'!$D$27:$AH$206,'Nov'!$D$27:$AH$206,'Dec'!$D$27:$AH$206,'Jan (next year)'!$D$27:$AH$206),27+3*(IFERROR(MATCH(C848,Roster!$B$6:$B$65,0),MATCH(C848,Roster!$C$6:$C$65,0))-1)+MATCH(B848,{"AM","PM","NIGHT"},0)-1-27+1,DAY(A848))&amp;"",""))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$206,'Feb'!$D$27:$AH$206,'Mar'!$D$27:$AH$206,'Apr'!$D$27:$AH$206,'May'!$D$27:$AH$206,'Jun'!$D$27:$AH$206,'Jul'!$D$27:$AH$206,'Aug'!$D$27:$AH$206,'Sep'!$D$27:$AH$206,'Oct'!$D$27:$AH$206,'Nov'!$D$27:$AH$206,'Dec'!$D$27:$AH$206,'Jan (next year)'!$D$27:$AH$206),27+3*(IFERROR(MATCH(C849,Roster!$B$6:$B$65,0),MATCH(C849,Roster!$C$6:$C$65,0))-1)+MATCH(B849,{"AM","PM","NIGHT"},0)-1-27+1,DAY(A849))&amp;"",""))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$206,'Feb'!$D$27:$AH$206,'Mar'!$D$27:$AH$206,'Apr'!$D$27:$AH$206,'May'!$D$27:$AH$206,'Jun'!$D$27:$AH$206,'Jul'!$D$27:$AH$206,'Aug'!$D$27:$AH$206,'Sep'!$D$27:$AH$206,'Oct'!$D$27:$AH$206,'Nov'!$D$27:$AH$206,'Dec'!$D$27:$AH$206,'Jan (next year)'!$D$27:$AH$206),27+3*(IFERROR(MATCH(C850,Roster!$B$6:$B$65,0),MATCH(C850,Roster!$C$6:$C$65,0))-1)+MATCH(B850,{"AM","PM","NIGHT"},0)-1-27+1,DAY(A850))&amp;"",""))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$206,'Feb'!$D$27:$AH$206,'Mar'!$D$27:$AH$206,'Apr'!$D$27:$AH$206,'May'!$D$27:$AH$206,'Jun'!$D$27:$AH$206,'Jul'!$D$27:$AH$206,'Aug'!$D$27:$AH$206,'Sep'!$D$27:$AH$206,'Oct'!$D$27:$AH$206,'Nov'!$D$27:$AH$206,'Dec'!$D$27:$AH$206,'Jan (next year)'!$D$27:$AH$206),27+3*(IFERROR(MATCH(C851,Roster!$B$6:$B$65,0),MATCH(C851,Roster!$C$6:$C$65,0))-1)+MATCH(B851,{"AM","PM","NIGHT"},0)-1-27+1,DAY(A851))&amp;"",""))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$206,'Feb'!$D$27:$AH$206,'Mar'!$D$27:$AH$206,'Apr'!$D$27:$AH$206,'May'!$D$27:$AH$206,'Jun'!$D$27:$AH$206,'Jul'!$D$27:$AH$206,'Aug'!$D$27:$AH$206,'Sep'!$D$27:$AH$206,'Oct'!$D$27:$AH$206,'Nov'!$D$27:$AH$206,'Dec'!$D$27:$AH$206,'Jan (next year)'!$D$27:$AH$206),27+3*(IFERROR(MATCH(C852,Roster!$B$6:$B$65,0),MATCH(C852,Roster!$C$6:$C$65,0))-1)+MATCH(B852,{"AM","PM","NIGHT"},0)-1-27+1,DAY(A852))&amp;"",""))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$206,'Feb'!$D$27:$AH$206,'Mar'!$D$27:$AH$206,'Apr'!$D$27:$AH$206,'May'!$D$27:$AH$206,'Jun'!$D$27:$AH$206,'Jul'!$D$27:$AH$206,'Aug'!$D$27:$AH$206,'Sep'!$D$27:$AH$206,'Oct'!$D$27:$AH$206,'Nov'!$D$27:$AH$206,'Dec'!$D$27:$AH$206,'Jan (next year)'!$D$27:$AH$206),27+3*(IFERROR(MATCH(C853,Roster!$B$6:$B$65,0),MATCH(C853,Roster!$C$6:$C$65,0))-1)+MATCH(B853,{"AM","PM","NIGHT"},0)-1-27+1,DAY(A853))&amp;"",""))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$206,'Feb'!$D$27:$AH$206,'Mar'!$D$27:$AH$206,'Apr'!$D$27:$AH$206,'May'!$D$27:$AH$206,'Jun'!$D$27:$AH$206,'Jul'!$D$27:$AH$206,'Aug'!$D$27:$AH$206,'Sep'!$D$27:$AH$206,'Oct'!$D$27:$AH$206,'Nov'!$D$27:$AH$206,'Dec'!$D$27:$AH$206,'Jan (next year)'!$D$27:$AH$206),27+3*(IFERROR(MATCH(C854,Roster!$B$6:$B$65,0),MATCH(C854,Roster!$C$6:$C$65,0))-1)+MATCH(B854,{"AM","PM","NIGHT"},0)-1-27+1,DAY(A854))&amp;"",""))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$206,'Feb'!$D$27:$AH$206,'Mar'!$D$27:$AH$206,'Apr'!$D$27:$AH$206,'May'!$D$27:$AH$206,'Jun'!$D$27:$AH$206,'Jul'!$D$27:$AH$206,'Aug'!$D$27:$AH$206,'Sep'!$D$27:$AH$206,'Oct'!$D$27:$AH$206,'Nov'!$D$27:$AH$206,'Dec'!$D$27:$AH$206,'Jan (next year)'!$D$27:$AH$206),27+3*(IFERROR(MATCH(C855,Roster!$B$6:$B$65,0),MATCH(C855,Roster!$C$6:$C$65,0))-1)+MATCH(B855,{"AM","PM","NIGHT"},0)-1-27+1,DAY(A855))&amp;"",""))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$206,'Feb'!$D$27:$AH$206,'Mar'!$D$27:$AH$206,'Apr'!$D$27:$AH$206,'May'!$D$27:$AH$206,'Jun'!$D$27:$AH$206,'Jul'!$D$27:$AH$206,'Aug'!$D$27:$AH$206,'Sep'!$D$27:$AH$206,'Oct'!$D$27:$AH$206,'Nov'!$D$27:$AH$206,'Dec'!$D$27:$AH$206,'Jan (next year)'!$D$27:$AH$206),27+3*(IFERROR(MATCH(C856,Roster!$B$6:$B$65,0),MATCH(C856,Roster!$C$6:$C$65,0))-1)+MATCH(B856,{"AM","PM","NIGHT"},0)-1-27+1,DAY(A856))&amp;"",""))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$206,'Feb'!$D$27:$AH$206,'Mar'!$D$27:$AH$206,'Apr'!$D$27:$AH$206,'May'!$D$27:$AH$206,'Jun'!$D$27:$AH$206,'Jul'!$D$27:$AH$206,'Aug'!$D$27:$AH$206,'Sep'!$D$27:$AH$206,'Oct'!$D$27:$AH$206,'Nov'!$D$27:$AH$206,'Dec'!$D$27:$AH$206,'Jan (next year)'!$D$27:$AH$206),27+3*(IFERROR(MATCH(C857,Roster!$B$6:$B$65,0),MATCH(C857,Roster!$C$6:$C$65,0))-1)+MATCH(B857,{"AM","PM","NIGHT"},0)-1-27+1,DAY(A857))&amp;"",""))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$206,'Feb'!$D$27:$AH$206,'Mar'!$D$27:$AH$206,'Apr'!$D$27:$AH$206,'May'!$D$27:$AH$206,'Jun'!$D$27:$AH$206,'Jul'!$D$27:$AH$206,'Aug'!$D$27:$AH$206,'Sep'!$D$27:$AH$206,'Oct'!$D$27:$AH$206,'Nov'!$D$27:$AH$206,'Dec'!$D$27:$AH$206,'Jan (next year)'!$D$27:$AH$206),27+3*(IFERROR(MATCH(C858,Roster!$B$6:$B$65,0),MATCH(C858,Roster!$C$6:$C$65,0))-1)+MATCH(B858,{"AM","PM","NIGHT"},0)-1-27+1,DAY(A858))&amp;"",""))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$206,'Feb'!$D$27:$AH$206,'Mar'!$D$27:$AH$206,'Apr'!$D$27:$AH$206,'May'!$D$27:$AH$206,'Jun'!$D$27:$AH$206,'Jul'!$D$27:$AH$206,'Aug'!$D$27:$AH$206,'Sep'!$D$27:$AH$206,'Oct'!$D$27:$AH$206,'Nov'!$D$27:$AH$206,'Dec'!$D$27:$AH$206,'Jan (next year)'!$D$27:$AH$206),27+3*(IFERROR(MATCH(C859,Roster!$B$6:$B$65,0),MATCH(C859,Roster!$C$6:$C$65,0))-1)+MATCH(B859,{"AM","PM","NIGHT"},0)-1-27+1,DAY(A859))&amp;"",""))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$206,'Feb'!$D$27:$AH$206,'Mar'!$D$27:$AH$206,'Apr'!$D$27:$AH$206,'May'!$D$27:$AH$206,'Jun'!$D$27:$AH$206,'Jul'!$D$27:$AH$206,'Aug'!$D$27:$AH$206,'Sep'!$D$27:$AH$206,'Oct'!$D$27:$AH$206,'Nov'!$D$27:$AH$206,'Dec'!$D$27:$AH$206,'Jan (next year)'!$D$27:$AH$206),27+3*(IFERROR(MATCH(C860,Roster!$B$6:$B$65,0),MATCH(C860,Roster!$C$6:$C$65,0))-1)+MATCH(B860,{"AM","PM","NIGHT"},0)-1-27+1,DAY(A860))&amp;"",""))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$206,'Feb'!$D$27:$AH$206,'Mar'!$D$27:$AH$206,'Apr'!$D$27:$AH$206,'May'!$D$27:$AH$206,'Jun'!$D$27:$AH$206,'Jul'!$D$27:$AH$206,'Aug'!$D$27:$AH$206,'Sep'!$D$27:$AH$206,'Oct'!$D$27:$AH$206,'Nov'!$D$27:$AH$206,'Dec'!$D$27:$AH$206,'Jan (next year)'!$D$27:$AH$206),27+3*(IFERROR(MATCH(C861,Roster!$B$6:$B$65,0),MATCH(C861,Roster!$C$6:$C$65,0))-1)+MATCH(B861,{"AM","PM","NIGHT"},0)-1-27+1,DAY(A861))&amp;"",""))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$206,'Feb'!$D$27:$AH$206,'Mar'!$D$27:$AH$206,'Apr'!$D$27:$AH$206,'May'!$D$27:$AH$206,'Jun'!$D$27:$AH$206,'Jul'!$D$27:$AH$206,'Aug'!$D$27:$AH$206,'Sep'!$D$27:$AH$206,'Oct'!$D$27:$AH$206,'Nov'!$D$27:$AH$206,'Dec'!$D$27:$AH$206,'Jan (next year)'!$D$27:$AH$206),27+3*(IFERROR(MATCH(C862,Roster!$B$6:$B$65,0),MATCH(C862,Roster!$C$6:$C$65,0))-1)+MATCH(B862,{"AM","PM","NIGHT"},0)-1-27+1,DAY(A862))&amp;"",""))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$206,'Feb'!$D$27:$AH$206,'Mar'!$D$27:$AH$206,'Apr'!$D$27:$AH$206,'May'!$D$27:$AH$206,'Jun'!$D$27:$AH$206,'Jul'!$D$27:$AH$206,'Aug'!$D$27:$AH$206,'Sep'!$D$27:$AH$206,'Oct'!$D$27:$AH$206,'Nov'!$D$27:$AH$206,'Dec'!$D$27:$AH$206,'Jan (next year)'!$D$27:$AH$206),27+3*(IFERROR(MATCH(C863,Roster!$B$6:$B$65,0),MATCH(C863,Roster!$C$6:$C$65,0))-1)+MATCH(B863,{"AM","PM","NIGHT"},0)-1-27+1,DAY(A863))&amp;"",""))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$206,'Feb'!$D$27:$AH$206,'Mar'!$D$27:$AH$206,'Apr'!$D$27:$AH$206,'May'!$D$27:$AH$206,'Jun'!$D$27:$AH$206,'Jul'!$D$27:$AH$206,'Aug'!$D$27:$AH$206,'Sep'!$D$27:$AH$206,'Oct'!$D$27:$AH$206,'Nov'!$D$27:$AH$206,'Dec'!$D$27:$AH$206,'Jan (next year)'!$D$27:$AH$206),27+3*(IFERROR(MATCH(C864,Roster!$B$6:$B$65,0),MATCH(C864,Roster!$C$6:$C$65,0))-1)+MATCH(B864,{"AM","PM","NIGHT"},0)-1-27+1,DAY(A864))&amp;"",""))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$206,'Feb'!$D$27:$AH$206,'Mar'!$D$27:$AH$206,'Apr'!$D$27:$AH$206,'May'!$D$27:$AH$206,'Jun'!$D$27:$AH$206,'Jul'!$D$27:$AH$206,'Aug'!$D$27:$AH$206,'Sep'!$D$27:$AH$206,'Oct'!$D$27:$AH$206,'Nov'!$D$27:$AH$206,'Dec'!$D$27:$AH$206,'Jan (next year)'!$D$27:$AH$206),27+3*(IFERROR(MATCH(C865,Roster!$B$6:$B$65,0),MATCH(C865,Roster!$C$6:$C$65,0))-1)+MATCH(B865,{"AM","PM","NIGHT"},0)-1-27+1,DAY(A865))&amp;"",""))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$206,'Feb'!$D$27:$AH$206,'Mar'!$D$27:$AH$206,'Apr'!$D$27:$AH$206,'May'!$D$27:$AH$206,'Jun'!$D$27:$AH$206,'Jul'!$D$27:$AH$206,'Aug'!$D$27:$AH$206,'Sep'!$D$27:$AH$206,'Oct'!$D$27:$AH$206,'Nov'!$D$27:$AH$206,'Dec'!$D$27:$AH$206,'Jan (next year)'!$D$27:$AH$206),27+3*(IFERROR(MATCH(C866,Roster!$B$6:$B$65,0),MATCH(C866,Roster!$C$6:$C$65,0))-1)+MATCH(B866,{"AM","PM","NIGHT"},0)-1-27+1,DAY(A866))&amp;"",""))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$206,'Feb'!$D$27:$AH$206,'Mar'!$D$27:$AH$206,'Apr'!$D$27:$AH$206,'May'!$D$27:$AH$206,'Jun'!$D$27:$AH$206,'Jul'!$D$27:$AH$206,'Aug'!$D$27:$AH$206,'Sep'!$D$27:$AH$206,'Oct'!$D$27:$AH$206,'Nov'!$D$27:$AH$206,'Dec'!$D$27:$AH$206,'Jan (next year)'!$D$27:$AH$206),27+3*(IFERROR(MATCH(C867,Roster!$B$6:$B$65,0),MATCH(C867,Roster!$C$6:$C$65,0))-1)+MATCH(B867,{"AM","PM","NIGHT"},0)-1-27+1,DAY(A867))&amp;"",""))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$206,'Feb'!$D$27:$AH$206,'Mar'!$D$27:$AH$206,'Apr'!$D$27:$AH$206,'May'!$D$27:$AH$206,'Jun'!$D$27:$AH$206,'Jul'!$D$27:$AH$206,'Aug'!$D$27:$AH$206,'Sep'!$D$27:$AH$206,'Oct'!$D$27:$AH$206,'Nov'!$D$27:$AH$206,'Dec'!$D$27:$AH$206,'Jan (next year)'!$D$27:$AH$206),27+3*(IFERROR(MATCH(C868,Roster!$B$6:$B$65,0),MATCH(C868,Roster!$C$6:$C$65,0))-1)+MATCH(B868,{"AM","PM","NIGHT"},0)-1-27+1,DAY(A868))&amp;"",""))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$206,'Feb'!$D$27:$AH$206,'Mar'!$D$27:$AH$206,'Apr'!$D$27:$AH$206,'May'!$D$27:$AH$206,'Jun'!$D$27:$AH$206,'Jul'!$D$27:$AH$206,'Aug'!$D$27:$AH$206,'Sep'!$D$27:$AH$206,'Oct'!$D$27:$AH$206,'Nov'!$D$27:$AH$206,'Dec'!$D$27:$AH$206,'Jan (next year)'!$D$27:$AH$206),27+3*(IFERROR(MATCH(C869,Roster!$B$6:$B$65,0),MATCH(C869,Roster!$C$6:$C$65,0))-1)+MATCH(B869,{"AM","PM","NIGHT"},0)-1-27+1,DAY(A869))&amp;"",""))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$206,'Feb'!$D$27:$AH$206,'Mar'!$D$27:$AH$206,'Apr'!$D$27:$AH$206,'May'!$D$27:$AH$206,'Jun'!$D$27:$AH$206,'Jul'!$D$27:$AH$206,'Aug'!$D$27:$AH$206,'Sep'!$D$27:$AH$206,'Oct'!$D$27:$AH$206,'Nov'!$D$27:$AH$206,'Dec'!$D$27:$AH$206,'Jan (next year)'!$D$27:$AH$206),27+3*(IFERROR(MATCH(C870,Roster!$B$6:$B$65,0),MATCH(C870,Roster!$C$6:$C$65,0))-1)+MATCH(B870,{"AM","PM","NIGHT"},0)-1-27+1,DAY(A870))&amp;"",""))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$206,'Feb'!$D$27:$AH$206,'Mar'!$D$27:$AH$206,'Apr'!$D$27:$AH$206,'May'!$D$27:$AH$206,'Jun'!$D$27:$AH$206,'Jul'!$D$27:$AH$206,'Aug'!$D$27:$AH$206,'Sep'!$D$27:$AH$206,'Oct'!$D$27:$AH$206,'Nov'!$D$27:$AH$206,'Dec'!$D$27:$AH$206,'Jan (next year)'!$D$27:$AH$206),27+3*(IFERROR(MATCH(C871,Roster!$B$6:$B$65,0),MATCH(C871,Roster!$C$6:$C$65,0))-1)+MATCH(B871,{"AM","PM","NIGHT"},0)-1-27+1,DAY(A871))&amp;"",""))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$206,'Feb'!$D$27:$AH$206,'Mar'!$D$27:$AH$206,'Apr'!$D$27:$AH$206,'May'!$D$27:$AH$206,'Jun'!$D$27:$AH$206,'Jul'!$D$27:$AH$206,'Aug'!$D$27:$AH$206,'Sep'!$D$27:$AH$206,'Oct'!$D$27:$AH$206,'Nov'!$D$27:$AH$206,'Dec'!$D$27:$AH$206,'Jan (next year)'!$D$27:$AH$206),27+3*(IFERROR(MATCH(C872,Roster!$B$6:$B$65,0),MATCH(C872,Roster!$C$6:$C$65,0))-1)+MATCH(B872,{"AM","PM","NIGHT"},0)-1-27+1,DAY(A872))&amp;"",""))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$206,'Feb'!$D$27:$AH$206,'Mar'!$D$27:$AH$206,'Apr'!$D$27:$AH$206,'May'!$D$27:$AH$206,'Jun'!$D$27:$AH$206,'Jul'!$D$27:$AH$206,'Aug'!$D$27:$AH$206,'Sep'!$D$27:$AH$206,'Oct'!$D$27:$AH$206,'Nov'!$D$27:$AH$206,'Dec'!$D$27:$AH$206,'Jan (next year)'!$D$27:$AH$206),27+3*(IFERROR(MATCH(C873,Roster!$B$6:$B$65,0),MATCH(C873,Roster!$C$6:$C$65,0))-1)+MATCH(B873,{"AM","PM","NIGHT"},0)-1-27+1,DAY(A873))&amp;"",""))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$206,'Feb'!$D$27:$AH$206,'Mar'!$D$27:$AH$206,'Apr'!$D$27:$AH$206,'May'!$D$27:$AH$206,'Jun'!$D$27:$AH$206,'Jul'!$D$27:$AH$206,'Aug'!$D$27:$AH$206,'Sep'!$D$27:$AH$206,'Oct'!$D$27:$AH$206,'Nov'!$D$27:$AH$206,'Dec'!$D$27:$AH$206,'Jan (next year)'!$D$27:$AH$206),27+3*(IFERROR(MATCH(C874,Roster!$B$6:$B$65,0),MATCH(C874,Roster!$C$6:$C$65,0))-1)+MATCH(B874,{"AM","PM","NIGHT"},0)-1-27+1,DAY(A874))&amp;"",""))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$206,'Feb'!$D$27:$AH$206,'Mar'!$D$27:$AH$206,'Apr'!$D$27:$AH$206,'May'!$D$27:$AH$206,'Jun'!$D$27:$AH$206,'Jul'!$D$27:$AH$206,'Aug'!$D$27:$AH$206,'Sep'!$D$27:$AH$206,'Oct'!$D$27:$AH$206,'Nov'!$D$27:$AH$206,'Dec'!$D$27:$AH$206,'Jan (next year)'!$D$27:$AH$206),27+3*(IFERROR(MATCH(C875,Roster!$B$6:$B$65,0),MATCH(C875,Roster!$C$6:$C$65,0))-1)+MATCH(B875,{"AM","PM","NIGHT"},0)-1-27+1,DAY(A875))&amp;"",""))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$206,'Feb'!$D$27:$AH$206,'Mar'!$D$27:$AH$206,'Apr'!$D$27:$AH$206,'May'!$D$27:$AH$206,'Jun'!$D$27:$AH$206,'Jul'!$D$27:$AH$206,'Aug'!$D$27:$AH$206,'Sep'!$D$27:$AH$206,'Oct'!$D$27:$AH$206,'Nov'!$D$27:$AH$206,'Dec'!$D$27:$AH$206,'Jan (next year)'!$D$27:$AH$206),27+3*(IFERROR(MATCH(C876,Roster!$B$6:$B$65,0),MATCH(C876,Roster!$C$6:$C$65,0))-1)+MATCH(B876,{"AM","PM","NIGHT"},0)-1-27+1,DAY(A876))&amp;"",""))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$206,'Feb'!$D$27:$AH$206,'Mar'!$D$27:$AH$206,'Apr'!$D$27:$AH$206,'May'!$D$27:$AH$206,'Jun'!$D$27:$AH$206,'Jul'!$D$27:$AH$206,'Aug'!$D$27:$AH$206,'Sep'!$D$27:$AH$206,'Oct'!$D$27:$AH$206,'Nov'!$D$27:$AH$206,'Dec'!$D$27:$AH$206,'Jan (next year)'!$D$27:$AH$206),27+3*(IFERROR(MATCH(C877,Roster!$B$6:$B$65,0),MATCH(C877,Roster!$C$6:$C$65,0))-1)+MATCH(B877,{"AM","PM","NIGHT"},0)-1-27+1,DAY(A877))&amp;"",""))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$206,'Feb'!$D$27:$AH$206,'Mar'!$D$27:$AH$206,'Apr'!$D$27:$AH$206,'May'!$D$27:$AH$206,'Jun'!$D$27:$AH$206,'Jul'!$D$27:$AH$206,'Aug'!$D$27:$AH$206,'Sep'!$D$27:$AH$206,'Oct'!$D$27:$AH$206,'Nov'!$D$27:$AH$206,'Dec'!$D$27:$AH$206,'Jan (next year)'!$D$27:$AH$206),27+3*(IFERROR(MATCH(C878,Roster!$B$6:$B$65,0),MATCH(C878,Roster!$C$6:$C$65,0))-1)+MATCH(B878,{"AM","PM","NIGHT"},0)-1-27+1,DAY(A878))&amp;"",""))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$206,'Feb'!$D$27:$AH$206,'Mar'!$D$27:$AH$206,'Apr'!$D$27:$AH$206,'May'!$D$27:$AH$206,'Jun'!$D$27:$AH$206,'Jul'!$D$27:$AH$206,'Aug'!$D$27:$AH$206,'Sep'!$D$27:$AH$206,'Oct'!$D$27:$AH$206,'Nov'!$D$27:$AH$206,'Dec'!$D$27:$AH$206,'Jan (next year)'!$D$27:$AH$206),27+3*(IFERROR(MATCH(C879,Roster!$B$6:$B$65,0),MATCH(C879,Roster!$C$6:$C$65,0))-1)+MATCH(B879,{"AM","PM","NIGHT"},0)-1-27+1,DAY(A879))&amp;"",""))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$206,'Feb'!$D$27:$AH$206,'Mar'!$D$27:$AH$206,'Apr'!$D$27:$AH$206,'May'!$D$27:$AH$206,'Jun'!$D$27:$AH$206,'Jul'!$D$27:$AH$206,'Aug'!$D$27:$AH$206,'Sep'!$D$27:$AH$206,'Oct'!$D$27:$AH$206,'Nov'!$D$27:$AH$206,'Dec'!$D$27:$AH$206,'Jan (next year)'!$D$27:$AH$206),27+3*(IFERROR(MATCH(C880,Roster!$B$6:$B$65,0),MATCH(C880,Roster!$C$6:$C$65,0))-1)+MATCH(B880,{"AM","PM","NIGHT"},0)-1-27+1,DAY(A880))&amp;"",""))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$206,'Feb'!$D$27:$AH$206,'Mar'!$D$27:$AH$206,'Apr'!$D$27:$AH$206,'May'!$D$27:$AH$206,'Jun'!$D$27:$AH$206,'Jul'!$D$27:$AH$206,'Aug'!$D$27:$AH$206,'Sep'!$D$27:$AH$206,'Oct'!$D$27:$AH$206,'Nov'!$D$27:$AH$206,'Dec'!$D$27:$AH$206,'Jan (next year)'!$D$27:$AH$206),27+3*(IFERROR(MATCH(C881,Roster!$B$6:$B$65,0),MATCH(C881,Roster!$C$6:$C$65,0))-1)+MATCH(B881,{"AM","PM","NIGHT"},0)-1-27+1,DAY(A881))&amp;"",""))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$206,'Feb'!$D$27:$AH$206,'Mar'!$D$27:$AH$206,'Apr'!$D$27:$AH$206,'May'!$D$27:$AH$206,'Jun'!$D$27:$AH$206,'Jul'!$D$27:$AH$206,'Aug'!$D$27:$AH$206,'Sep'!$D$27:$AH$206,'Oct'!$D$27:$AH$206,'Nov'!$D$27:$AH$206,'Dec'!$D$27:$AH$206,'Jan (next year)'!$D$27:$AH$206),27+3*(IFERROR(MATCH(C882,Roster!$B$6:$B$65,0),MATCH(C882,Roster!$C$6:$C$65,0))-1)+MATCH(B882,{"AM","PM","NIGHT"},0)-1-27+1,DAY(A882))&amp;"",""))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$206,'Feb'!$D$27:$AH$206,'Mar'!$D$27:$AH$206,'Apr'!$D$27:$AH$206,'May'!$D$27:$AH$206,'Jun'!$D$27:$AH$206,'Jul'!$D$27:$AH$206,'Aug'!$D$27:$AH$206,'Sep'!$D$27:$AH$206,'Oct'!$D$27:$AH$206,'Nov'!$D$27:$AH$206,'Dec'!$D$27:$AH$206,'Jan (next year)'!$D$27:$AH$206),27+3*(IFERROR(MATCH(C883,Roster!$B$6:$B$65,0),MATCH(C883,Roster!$C$6:$C$65,0))-1)+MATCH(B883,{"AM","PM","NIGHT"},0)-1-27+1,DAY(A883))&amp;"",""))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$206,'Feb'!$D$27:$AH$206,'Mar'!$D$27:$AH$206,'Apr'!$D$27:$AH$206,'May'!$D$27:$AH$206,'Jun'!$D$27:$AH$206,'Jul'!$D$27:$AH$206,'Aug'!$D$27:$AH$206,'Sep'!$D$27:$AH$206,'Oct'!$D$27:$AH$206,'Nov'!$D$27:$AH$206,'Dec'!$D$27:$AH$206,'Jan (next year)'!$D$27:$AH$206),27+3*(IFERROR(MATCH(C884,Roster!$B$6:$B$65,0),MATCH(C884,Roster!$C$6:$C$65,0))-1)+MATCH(B884,{"AM","PM","NIGHT"},0)-1-27+1,DAY(A884))&amp;"",""))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$206,'Feb'!$D$27:$AH$206,'Mar'!$D$27:$AH$206,'Apr'!$D$27:$AH$206,'May'!$D$27:$AH$206,'Jun'!$D$27:$AH$206,'Jul'!$D$27:$AH$206,'Aug'!$D$27:$AH$206,'Sep'!$D$27:$AH$206,'Oct'!$D$27:$AH$206,'Nov'!$D$27:$AH$206,'Dec'!$D$27:$AH$206,'Jan (next year)'!$D$27:$AH$206),27+3*(IFERROR(MATCH(C885,Roster!$B$6:$B$65,0),MATCH(C885,Roster!$C$6:$C$65,0))-1)+MATCH(B885,{"AM","PM","NIGHT"},0)-1-27+1,DAY(A885))&amp;"",""))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$206,'Feb'!$D$27:$AH$206,'Mar'!$D$27:$AH$206,'Apr'!$D$27:$AH$206,'May'!$D$27:$AH$206,'Jun'!$D$27:$AH$206,'Jul'!$D$27:$AH$206,'Aug'!$D$27:$AH$206,'Sep'!$D$27:$AH$206,'Oct'!$D$27:$AH$206,'Nov'!$D$27:$AH$206,'Dec'!$D$27:$AH$206,'Jan (next year)'!$D$27:$AH$206),27+3*(IFERROR(MATCH(C886,Roster!$B$6:$B$65,0),MATCH(C886,Roster!$C$6:$C$65,0))-1)+MATCH(B886,{"AM","PM","NIGHT"},0)-1-27+1,DAY(A886))&amp;"",""))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$206,'Feb'!$D$27:$AH$206,'Mar'!$D$27:$AH$206,'Apr'!$D$27:$AH$206,'May'!$D$27:$AH$206,'Jun'!$D$27:$AH$206,'Jul'!$D$27:$AH$206,'Aug'!$D$27:$AH$206,'Sep'!$D$27:$AH$206,'Oct'!$D$27:$AH$206,'Nov'!$D$27:$AH$206,'Dec'!$D$27:$AH$206,'Jan (next year)'!$D$27:$AH$206),27+3*(IFERROR(MATCH(C887,Roster!$B$6:$B$65,0),MATCH(C887,Roster!$C$6:$C$65,0))-1)+MATCH(B887,{"AM","PM","NIGHT"},0)-1-27+1,DAY(A887))&amp;"",""))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$206,'Feb'!$D$27:$AH$206,'Mar'!$D$27:$AH$206,'Apr'!$D$27:$AH$206,'May'!$D$27:$AH$206,'Jun'!$D$27:$AH$206,'Jul'!$D$27:$AH$206,'Aug'!$D$27:$AH$206,'Sep'!$D$27:$AH$206,'Oct'!$D$27:$AH$206,'Nov'!$D$27:$AH$206,'Dec'!$D$27:$AH$206,'Jan (next year)'!$D$27:$AH$206),27+3*(IFERROR(MATCH(C888,Roster!$B$6:$B$65,0),MATCH(C888,Roster!$C$6:$C$65,0))-1)+MATCH(B888,{"AM","PM","NIGHT"},0)-1-27+1,DAY(A888))&amp;"",""))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$206,'Feb'!$D$27:$AH$206,'Mar'!$D$27:$AH$206,'Apr'!$D$27:$AH$206,'May'!$D$27:$AH$206,'Jun'!$D$27:$AH$206,'Jul'!$D$27:$AH$206,'Aug'!$D$27:$AH$206,'Sep'!$D$27:$AH$206,'Oct'!$D$27:$AH$206,'Nov'!$D$27:$AH$206,'Dec'!$D$27:$AH$206,'Jan (next year)'!$D$27:$AH$206),27+3*(IFERROR(MATCH(C889,Roster!$B$6:$B$65,0),MATCH(C889,Roster!$C$6:$C$65,0))-1)+MATCH(B889,{"AM","PM","NIGHT"},0)-1-27+1,DAY(A889))&amp;"",""))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$206,'Feb'!$D$27:$AH$206,'Mar'!$D$27:$AH$206,'Apr'!$D$27:$AH$206,'May'!$D$27:$AH$206,'Jun'!$D$27:$AH$206,'Jul'!$D$27:$AH$206,'Aug'!$D$27:$AH$206,'Sep'!$D$27:$AH$206,'Oct'!$D$27:$AH$206,'Nov'!$D$27:$AH$206,'Dec'!$D$27:$AH$206,'Jan (next year)'!$D$27:$AH$206),27+3*(IFERROR(MATCH(C890,Roster!$B$6:$B$65,0),MATCH(C890,Roster!$C$6:$C$65,0))-1)+MATCH(B890,{"AM","PM","NIGHT"},0)-1-27+1,DAY(A890))&amp;"",""))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$206,'Feb'!$D$27:$AH$206,'Mar'!$D$27:$AH$206,'Apr'!$D$27:$AH$206,'May'!$D$27:$AH$206,'Jun'!$D$27:$AH$206,'Jul'!$D$27:$AH$206,'Aug'!$D$27:$AH$206,'Sep'!$D$27:$AH$206,'Oct'!$D$27:$AH$206,'Nov'!$D$27:$AH$206,'Dec'!$D$27:$AH$206,'Jan (next year)'!$D$27:$AH$206),27+3*(IFERROR(MATCH(C891,Roster!$B$6:$B$65,0),MATCH(C891,Roster!$C$6:$C$65,0))-1)+MATCH(B891,{"AM","PM","NIGHT"},0)-1-27+1,DAY(A891))&amp;"",""))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$206,'Feb'!$D$27:$AH$206,'Mar'!$D$27:$AH$206,'Apr'!$D$27:$AH$206,'May'!$D$27:$AH$206,'Jun'!$D$27:$AH$206,'Jul'!$D$27:$AH$206,'Aug'!$D$27:$AH$206,'Sep'!$D$27:$AH$206,'Oct'!$D$27:$AH$206,'Nov'!$D$27:$AH$206,'Dec'!$D$27:$AH$206,'Jan (next year)'!$D$27:$AH$206),27+3*(IFERROR(MATCH(C892,Roster!$B$6:$B$65,0),MATCH(C892,Roster!$C$6:$C$65,0))-1)+MATCH(B892,{"AM","PM","NIGHT"},0)-1-27+1,DAY(A892))&amp;"",""))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$206,'Feb'!$D$27:$AH$206,'Mar'!$D$27:$AH$206,'Apr'!$D$27:$AH$206,'May'!$D$27:$AH$206,'Jun'!$D$27:$AH$206,'Jul'!$D$27:$AH$206,'Aug'!$D$27:$AH$206,'Sep'!$D$27:$AH$206,'Oct'!$D$27:$AH$206,'Nov'!$D$27:$AH$206,'Dec'!$D$27:$AH$206,'Jan (next year)'!$D$27:$AH$206),27+3*(IFERROR(MATCH(C893,Roster!$B$6:$B$65,0),MATCH(C893,Roster!$C$6:$C$65,0))-1)+MATCH(B893,{"AM","PM","NIGHT"},0)-1-27+1,DAY(A893))&amp;"",""))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$206,'Feb'!$D$27:$AH$206,'Mar'!$D$27:$AH$206,'Apr'!$D$27:$AH$206,'May'!$D$27:$AH$206,'Jun'!$D$27:$AH$206,'Jul'!$D$27:$AH$206,'Aug'!$D$27:$AH$206,'Sep'!$D$27:$AH$206,'Oct'!$D$27:$AH$206,'Nov'!$D$27:$AH$206,'Dec'!$D$27:$AH$206,'Jan (next year)'!$D$27:$AH$206),27+3*(IFERROR(MATCH(C894,Roster!$B$6:$B$65,0),MATCH(C894,Roster!$C$6:$C$65,0))-1)+MATCH(B894,{"AM","PM","NIGHT"},0)-1-27+1,DAY(A894))&amp;"",""))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$206,'Feb'!$D$27:$AH$206,'Mar'!$D$27:$AH$206,'Apr'!$D$27:$AH$206,'May'!$D$27:$AH$206,'Jun'!$D$27:$AH$206,'Jul'!$D$27:$AH$206,'Aug'!$D$27:$AH$206,'Sep'!$D$27:$AH$206,'Oct'!$D$27:$AH$206,'Nov'!$D$27:$AH$206,'Dec'!$D$27:$AH$206,'Jan (next year)'!$D$27:$AH$206),27+3*(IFERROR(MATCH(C895,Roster!$B$6:$B$65,0),MATCH(C895,Roster!$C$6:$C$65,0))-1)+MATCH(B895,{"AM","PM","NIGHT"},0)-1-27+1,DAY(A895))&amp;"",""))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$206,'Feb'!$D$27:$AH$206,'Mar'!$D$27:$AH$206,'Apr'!$D$27:$AH$206,'May'!$D$27:$AH$206,'Jun'!$D$27:$AH$206,'Jul'!$D$27:$AH$206,'Aug'!$D$27:$AH$206,'Sep'!$D$27:$AH$206,'Oct'!$D$27:$AH$206,'Nov'!$D$27:$AH$206,'Dec'!$D$27:$AH$206,'Jan (next year)'!$D$27:$AH$206),27+3*(IFERROR(MATCH(C896,Roster!$B$6:$B$65,0),MATCH(C896,Roster!$C$6:$C$65,0))-1)+MATCH(B896,{"AM","PM","NIGHT"},0)-1-27+1,DAY(A896))&amp;"",""))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$206,'Feb'!$D$27:$AH$206,'Mar'!$D$27:$AH$206,'Apr'!$D$27:$AH$206,'May'!$D$27:$AH$206,'Jun'!$D$27:$AH$206,'Jul'!$D$27:$AH$206,'Aug'!$D$27:$AH$206,'Sep'!$D$27:$AH$206,'Oct'!$D$27:$AH$206,'Nov'!$D$27:$AH$206,'Dec'!$D$27:$AH$206,'Jan (next year)'!$D$27:$AH$206),27+3*(IFERROR(MATCH(C897,Roster!$B$6:$B$65,0),MATCH(C897,Roster!$C$6:$C$65,0))-1)+MATCH(B897,{"AM","PM","NIGHT"},0)-1-27+1,DAY(A897))&amp;"",""))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$206,'Feb'!$D$27:$AH$206,'Mar'!$D$27:$AH$206,'Apr'!$D$27:$AH$206,'May'!$D$27:$AH$206,'Jun'!$D$27:$AH$206,'Jul'!$D$27:$AH$206,'Aug'!$D$27:$AH$206,'Sep'!$D$27:$AH$206,'Oct'!$D$27:$AH$206,'Nov'!$D$27:$AH$206,'Dec'!$D$27:$AH$206,'Jan (next year)'!$D$27:$AH$206),27+3*(IFERROR(MATCH(C898,Roster!$B$6:$B$65,0),MATCH(C898,Roster!$C$6:$C$65,0))-1)+MATCH(B898,{"AM","PM","NIGHT"},0)-1-27+1,DAY(A898))&amp;"",""))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$206,'Feb'!$D$27:$AH$206,'Mar'!$D$27:$AH$206,'Apr'!$D$27:$AH$206,'May'!$D$27:$AH$206,'Jun'!$D$27:$AH$206,'Jul'!$D$27:$AH$206,'Aug'!$D$27:$AH$206,'Sep'!$D$27:$AH$206,'Oct'!$D$27:$AH$206,'Nov'!$D$27:$AH$206,'Dec'!$D$27:$AH$206,'Jan (next year)'!$D$27:$AH$206),27+3*(IFERROR(MATCH(C899,Roster!$B$6:$B$65,0),MATCH(C899,Roster!$C$6:$C$65,0))-1)+MATCH(B899,{"AM","PM","NIGHT"},0)-1-27+1,DAY(A899))&amp;"",""))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$206,'Feb'!$D$27:$AH$206,'Mar'!$D$27:$AH$206,'Apr'!$D$27:$AH$206,'May'!$D$27:$AH$206,'Jun'!$D$27:$AH$206,'Jul'!$D$27:$AH$206,'Aug'!$D$27:$AH$206,'Sep'!$D$27:$AH$206,'Oct'!$D$27:$AH$206,'Nov'!$D$27:$AH$206,'Dec'!$D$27:$AH$206,'Jan (next year)'!$D$27:$AH$206),27+3*(IFERROR(MATCH(C900,Roster!$B$6:$B$65,0),MATCH(C900,Roster!$C$6:$C$65,0))-1)+MATCH(B900,{"AM","PM","NIGHT"},0)-1-27+1,DAY(A900))&amp;"",""))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$206,'Feb'!$D$27:$AH$206,'Mar'!$D$27:$AH$206,'Apr'!$D$27:$AH$206,'May'!$D$27:$AH$206,'Jun'!$D$27:$AH$206,'Jul'!$D$27:$AH$206,'Aug'!$D$27:$AH$206,'Sep'!$D$27:$AH$206,'Oct'!$D$27:$AH$206,'Nov'!$D$27:$AH$206,'Dec'!$D$27:$AH$206,'Jan (next year)'!$D$27:$AH$206),27+3*(IFERROR(MATCH(C901,Roster!$B$6:$B$65,0),MATCH(C901,Roster!$C$6:$C$65,0))-1)+MATCH(B901,{"AM","PM","NIGHT"},0)-1-27+1,DAY(A901))&amp;"",""))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$206,'Feb'!$D$27:$AH$206,'Mar'!$D$27:$AH$206,'Apr'!$D$27:$AH$206,'May'!$D$27:$AH$206,'Jun'!$D$27:$AH$206,'Jul'!$D$27:$AH$206,'Aug'!$D$27:$AH$206,'Sep'!$D$27:$AH$206,'Oct'!$D$27:$AH$206,'Nov'!$D$27:$AH$206,'Dec'!$D$27:$AH$206,'Jan (next year)'!$D$27:$AH$206),27+3*(IFERROR(MATCH(C902,Roster!$B$6:$B$65,0),MATCH(C902,Roster!$C$6:$C$65,0))-1)+MATCH(B902,{"AM","PM","NIGHT"},0)-1-27+1,DAY(A902))&amp;"",""))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$206,'Feb'!$D$27:$AH$206,'Mar'!$D$27:$AH$206,'Apr'!$D$27:$AH$206,'May'!$D$27:$AH$206,'Jun'!$D$27:$AH$206,'Jul'!$D$27:$AH$206,'Aug'!$D$27:$AH$206,'Sep'!$D$27:$AH$206,'Oct'!$D$27:$AH$206,'Nov'!$D$27:$AH$206,'Dec'!$D$27:$AH$206,'Jan (next year)'!$D$27:$AH$206),27+3*(IFERROR(MATCH(C903,Roster!$B$6:$B$65,0),MATCH(C903,Roster!$C$6:$C$65,0))-1)+MATCH(B903,{"AM","PM","NIGHT"},0)-1-27+1,DAY(A903))&amp;"",""))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$206,'Feb'!$D$27:$AH$206,'Mar'!$D$27:$AH$206,'Apr'!$D$27:$AH$206,'May'!$D$27:$AH$206,'Jun'!$D$27:$AH$206,'Jul'!$D$27:$AH$206,'Aug'!$D$27:$AH$206,'Sep'!$D$27:$AH$206,'Oct'!$D$27:$AH$206,'Nov'!$D$27:$AH$206,'Dec'!$D$27:$AH$206,'Jan (next year)'!$D$27:$AH$206),27+3*(IFERROR(MATCH(C904,Roster!$B$6:$B$65,0),MATCH(C904,Roster!$C$6:$C$65,0))-1)+MATCH(B904,{"AM","PM","NIGHT"},0)-1-27+1,DAY(A904))&amp;"",""))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$206,'Feb'!$D$27:$AH$206,'Mar'!$D$27:$AH$206,'Apr'!$D$27:$AH$206,'May'!$D$27:$AH$206,'Jun'!$D$27:$AH$206,'Jul'!$D$27:$AH$206,'Aug'!$D$27:$AH$206,'Sep'!$D$27:$AH$206,'Oct'!$D$27:$AH$206,'Nov'!$D$27:$AH$206,'Dec'!$D$27:$AH$206,'Jan (next year)'!$D$27:$AH$206),27+3*(IFERROR(MATCH(C905,Roster!$B$6:$B$65,0),MATCH(C905,Roster!$C$6:$C$65,0))-1)+MATCH(B905,{"AM","PM","NIGHT"},0)-1-27+1,DAY(A905))&amp;"",""))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$206,'Feb'!$D$27:$AH$206,'Mar'!$D$27:$AH$206,'Apr'!$D$27:$AH$206,'May'!$D$27:$AH$206,'Jun'!$D$27:$AH$206,'Jul'!$D$27:$AH$206,'Aug'!$D$27:$AH$206,'Sep'!$D$27:$AH$206,'Oct'!$D$27:$AH$206,'Nov'!$D$27:$AH$206,'Dec'!$D$27:$AH$206,'Jan (next year)'!$D$27:$AH$206),27+3*(IFERROR(MATCH(C906,Roster!$B$6:$B$65,0),MATCH(C906,Roster!$C$6:$C$65,0))-1)+MATCH(B906,{"AM","PM","NIGHT"},0)-1-27+1,DAY(A906))&amp;"",""))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$206,'Feb'!$D$27:$AH$206,'Mar'!$D$27:$AH$206,'Apr'!$D$27:$AH$206,'May'!$D$27:$AH$206,'Jun'!$D$27:$AH$206,'Jul'!$D$27:$AH$206,'Aug'!$D$27:$AH$206,'Sep'!$D$27:$AH$206,'Oct'!$D$27:$AH$206,'Nov'!$D$27:$AH$206,'Dec'!$D$27:$AH$206,'Jan (next year)'!$D$27:$AH$206),27+3*(IFERROR(MATCH(C907,Roster!$B$6:$B$65,0),MATCH(C907,Roster!$C$6:$C$65,0))-1)+MATCH(B907,{"AM","PM","NIGHT"},0)-1-27+1,DAY(A907))&amp;"",""))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$206,'Feb'!$D$27:$AH$206,'Mar'!$D$27:$AH$206,'Apr'!$D$27:$AH$206,'May'!$D$27:$AH$206,'Jun'!$D$27:$AH$206,'Jul'!$D$27:$AH$206,'Aug'!$D$27:$AH$206,'Sep'!$D$27:$AH$206,'Oct'!$D$27:$AH$206,'Nov'!$D$27:$AH$206,'Dec'!$D$27:$AH$206,'Jan (next year)'!$D$27:$AH$206),27+3*(IFERROR(MATCH(C908,Roster!$B$6:$B$65,0),MATCH(C908,Roster!$C$6:$C$65,0))-1)+MATCH(B908,{"AM","PM","NIGHT"},0)-1-27+1,DAY(A908))&amp;"",""))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$206,'Feb'!$D$27:$AH$206,'Mar'!$D$27:$AH$206,'Apr'!$D$27:$AH$206,'May'!$D$27:$AH$206,'Jun'!$D$27:$AH$206,'Jul'!$D$27:$AH$206,'Aug'!$D$27:$AH$206,'Sep'!$D$27:$AH$206,'Oct'!$D$27:$AH$206,'Nov'!$D$27:$AH$206,'Dec'!$D$27:$AH$206,'Jan (next year)'!$D$27:$AH$206),27+3*(IFERROR(MATCH(C909,Roster!$B$6:$B$65,0),MATCH(C909,Roster!$C$6:$C$65,0))-1)+MATCH(B909,{"AM","PM","NIGHT"},0)-1-27+1,DAY(A909))&amp;"",""))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$206,'Feb'!$D$27:$AH$206,'Mar'!$D$27:$AH$206,'Apr'!$D$27:$AH$206,'May'!$D$27:$AH$206,'Jun'!$D$27:$AH$206,'Jul'!$D$27:$AH$206,'Aug'!$D$27:$AH$206,'Sep'!$D$27:$AH$206,'Oct'!$D$27:$AH$206,'Nov'!$D$27:$AH$206,'Dec'!$D$27:$AH$206,'Jan (next year)'!$D$27:$AH$206),27+3*(IFERROR(MATCH(C910,Roster!$B$6:$B$65,0),MATCH(C910,Roster!$C$6:$C$65,0))-1)+MATCH(B910,{"AM","PM","NIGHT"},0)-1-27+1,DAY(A910))&amp;"",""))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$206,'Feb'!$D$27:$AH$206,'Mar'!$D$27:$AH$206,'Apr'!$D$27:$AH$206,'May'!$D$27:$AH$206,'Jun'!$D$27:$AH$206,'Jul'!$D$27:$AH$206,'Aug'!$D$27:$AH$206,'Sep'!$D$27:$AH$206,'Oct'!$D$27:$AH$206,'Nov'!$D$27:$AH$206,'Dec'!$D$27:$AH$206,'Jan (next year)'!$D$27:$AH$206),27+3*(IFERROR(MATCH(C911,Roster!$B$6:$B$65,0),MATCH(C911,Roster!$C$6:$C$65,0))-1)+MATCH(B911,{"AM","PM","NIGHT"},0)-1-27+1,DAY(A911))&amp;"",""))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$206,'Feb'!$D$27:$AH$206,'Mar'!$D$27:$AH$206,'Apr'!$D$27:$AH$206,'May'!$D$27:$AH$206,'Jun'!$D$27:$AH$206,'Jul'!$D$27:$AH$206,'Aug'!$D$27:$AH$206,'Sep'!$D$27:$AH$206,'Oct'!$D$27:$AH$206,'Nov'!$D$27:$AH$206,'Dec'!$D$27:$AH$206,'Jan (next year)'!$D$27:$AH$206),27+3*(IFERROR(MATCH(C912,Roster!$B$6:$B$65,0),MATCH(C912,Roster!$C$6:$C$65,0))-1)+MATCH(B912,{"AM","PM","NIGHT"},0)-1-27+1,DAY(A912))&amp;"",""))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$206,'Feb'!$D$27:$AH$206,'Mar'!$D$27:$AH$206,'Apr'!$D$27:$AH$206,'May'!$D$27:$AH$206,'Jun'!$D$27:$AH$206,'Jul'!$D$27:$AH$206,'Aug'!$D$27:$AH$206,'Sep'!$D$27:$AH$206,'Oct'!$D$27:$AH$206,'Nov'!$D$27:$AH$206,'Dec'!$D$27:$AH$206,'Jan (next year)'!$D$27:$AH$206),27+3*(IFERROR(MATCH(C913,Roster!$B$6:$B$65,0),MATCH(C913,Roster!$C$6:$C$65,0))-1)+MATCH(B913,{"AM","PM","NIGHT"},0)-1-27+1,DAY(A913))&amp;"",""))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$206,'Feb'!$D$27:$AH$206,'Mar'!$D$27:$AH$206,'Apr'!$D$27:$AH$206,'May'!$D$27:$AH$206,'Jun'!$D$27:$AH$206,'Jul'!$D$27:$AH$206,'Aug'!$D$27:$AH$206,'Sep'!$D$27:$AH$206,'Oct'!$D$27:$AH$206,'Nov'!$D$27:$AH$206,'Dec'!$D$27:$AH$206,'Jan (next year)'!$D$27:$AH$206),27+3*(IFERROR(MATCH(C914,Roster!$B$6:$B$65,0),MATCH(C914,Roster!$C$6:$C$65,0))-1)+MATCH(B914,{"AM","PM","NIGHT"},0)-1-27+1,DAY(A914))&amp;"",""))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$206,'Feb'!$D$27:$AH$206,'Mar'!$D$27:$AH$206,'Apr'!$D$27:$AH$206,'May'!$D$27:$AH$206,'Jun'!$D$27:$AH$206,'Jul'!$D$27:$AH$206,'Aug'!$D$27:$AH$206,'Sep'!$D$27:$AH$206,'Oct'!$D$27:$AH$206,'Nov'!$D$27:$AH$206,'Dec'!$D$27:$AH$206,'Jan (next year)'!$D$27:$AH$206),27+3*(IFERROR(MATCH(C915,Roster!$B$6:$B$65,0),MATCH(C915,Roster!$C$6:$C$65,0))-1)+MATCH(B915,{"AM","PM","NIGHT"},0)-1-27+1,DAY(A915))&amp;"",""))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$206,'Feb'!$D$27:$AH$206,'Mar'!$D$27:$AH$206,'Apr'!$D$27:$AH$206,'May'!$D$27:$AH$206,'Jun'!$D$27:$AH$206,'Jul'!$D$27:$AH$206,'Aug'!$D$27:$AH$206,'Sep'!$D$27:$AH$206,'Oct'!$D$27:$AH$206,'Nov'!$D$27:$AH$206,'Dec'!$D$27:$AH$206,'Jan (next year)'!$D$27:$AH$206),27+3*(IFERROR(MATCH(C916,Roster!$B$6:$B$65,0),MATCH(C916,Roster!$C$6:$C$65,0))-1)+MATCH(B916,{"AM","PM","NIGHT"},0)-1-27+1,DAY(A916))&amp;"",""))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$206,'Feb'!$D$27:$AH$206,'Mar'!$D$27:$AH$206,'Apr'!$D$27:$AH$206,'May'!$D$27:$AH$206,'Jun'!$D$27:$AH$206,'Jul'!$D$27:$AH$206,'Aug'!$D$27:$AH$206,'Sep'!$D$27:$AH$206,'Oct'!$D$27:$AH$206,'Nov'!$D$27:$AH$206,'Dec'!$D$27:$AH$206,'Jan (next year)'!$D$27:$AH$206),27+3*(IFERROR(MATCH(C917,Roster!$B$6:$B$65,0),MATCH(C917,Roster!$C$6:$C$65,0))-1)+MATCH(B917,{"AM","PM","NIGHT"},0)-1-27+1,DAY(A917))&amp;"",""))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$206,'Feb'!$D$27:$AH$206,'Mar'!$D$27:$AH$206,'Apr'!$D$27:$AH$206,'May'!$D$27:$AH$206,'Jun'!$D$27:$AH$206,'Jul'!$D$27:$AH$206,'Aug'!$D$27:$AH$206,'Sep'!$D$27:$AH$206,'Oct'!$D$27:$AH$206,'Nov'!$D$27:$AH$206,'Dec'!$D$27:$AH$206,'Jan (next year)'!$D$27:$AH$206),27+3*(IFERROR(MATCH(C918,Roster!$B$6:$B$65,0),MATCH(C918,Roster!$C$6:$C$65,0))-1)+MATCH(B918,{"AM","PM","NIGHT"},0)-1-27+1,DAY(A918))&amp;"",""))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$206,'Feb'!$D$27:$AH$206,'Mar'!$D$27:$AH$206,'Apr'!$D$27:$AH$206,'May'!$D$27:$AH$206,'Jun'!$D$27:$AH$206,'Jul'!$D$27:$AH$206,'Aug'!$D$27:$AH$206,'Sep'!$D$27:$AH$206,'Oct'!$D$27:$AH$206,'Nov'!$D$27:$AH$206,'Dec'!$D$27:$AH$206,'Jan (next year)'!$D$27:$AH$206),27+3*(IFERROR(MATCH(C919,Roster!$B$6:$B$65,0),MATCH(C919,Roster!$C$6:$C$65,0))-1)+MATCH(B919,{"AM","PM","NIGHT"},0)-1-27+1,DAY(A919))&amp;"",""))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$206,'Feb'!$D$27:$AH$206,'Mar'!$D$27:$AH$206,'Apr'!$D$27:$AH$206,'May'!$D$27:$AH$206,'Jun'!$D$27:$AH$206,'Jul'!$D$27:$AH$206,'Aug'!$D$27:$AH$206,'Sep'!$D$27:$AH$206,'Oct'!$D$27:$AH$206,'Nov'!$D$27:$AH$206,'Dec'!$D$27:$AH$206,'Jan (next year)'!$D$27:$AH$206),27+3*(IFERROR(MATCH(C920,Roster!$B$6:$B$65,0),MATCH(C920,Roster!$C$6:$C$65,0))-1)+MATCH(B920,{"AM","PM","NIGHT"},0)-1-27+1,DAY(A920))&amp;"",""))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$206,'Feb'!$D$27:$AH$206,'Mar'!$D$27:$AH$206,'Apr'!$D$27:$AH$206,'May'!$D$27:$AH$206,'Jun'!$D$27:$AH$206,'Jul'!$D$27:$AH$206,'Aug'!$D$27:$AH$206,'Sep'!$D$27:$AH$206,'Oct'!$D$27:$AH$206,'Nov'!$D$27:$AH$206,'Dec'!$D$27:$AH$206,'Jan (next year)'!$D$27:$AH$206),27+3*(IFERROR(MATCH(C921,Roster!$B$6:$B$65,0),MATCH(C921,Roster!$C$6:$C$65,0))-1)+MATCH(B921,{"AM","PM","NIGHT"},0)-1-27+1,DAY(A921))&amp;"",""))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$206,'Feb'!$D$27:$AH$206,'Mar'!$D$27:$AH$206,'Apr'!$D$27:$AH$206,'May'!$D$27:$AH$206,'Jun'!$D$27:$AH$206,'Jul'!$D$27:$AH$206,'Aug'!$D$27:$AH$206,'Sep'!$D$27:$AH$206,'Oct'!$D$27:$AH$206,'Nov'!$D$27:$AH$206,'Dec'!$D$27:$AH$206,'Jan (next year)'!$D$27:$AH$206),27+3*(IFERROR(MATCH(C922,Roster!$B$6:$B$65,0),MATCH(C922,Roster!$C$6:$C$65,0))-1)+MATCH(B922,{"AM","PM","NIGHT"},0)-1-27+1,DAY(A922))&amp;"",""))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$206,'Feb'!$D$27:$AH$206,'Mar'!$D$27:$AH$206,'Apr'!$D$27:$AH$206,'May'!$D$27:$AH$206,'Jun'!$D$27:$AH$206,'Jul'!$D$27:$AH$206,'Aug'!$D$27:$AH$206,'Sep'!$D$27:$AH$206,'Oct'!$D$27:$AH$206,'Nov'!$D$27:$AH$206,'Dec'!$D$27:$AH$206,'Jan (next year)'!$D$27:$AH$206),27+3*(IFERROR(MATCH(C923,Roster!$B$6:$B$65,0),MATCH(C923,Roster!$C$6:$C$65,0))-1)+MATCH(B923,{"AM","PM","NIGHT"},0)-1-27+1,DAY(A923))&amp;"",""))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$206,'Feb'!$D$27:$AH$206,'Mar'!$D$27:$AH$206,'Apr'!$D$27:$AH$206,'May'!$D$27:$AH$206,'Jun'!$D$27:$AH$206,'Jul'!$D$27:$AH$206,'Aug'!$D$27:$AH$206,'Sep'!$D$27:$AH$206,'Oct'!$D$27:$AH$206,'Nov'!$D$27:$AH$206,'Dec'!$D$27:$AH$206,'Jan (next year)'!$D$27:$AH$206),27+3*(IFERROR(MATCH(C924,Roster!$B$6:$B$65,0),MATCH(C924,Roster!$C$6:$C$65,0))-1)+MATCH(B924,{"AM","PM","NIGHT"},0)-1-27+1,DAY(A924))&amp;"",""))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$206,'Feb'!$D$27:$AH$206,'Mar'!$D$27:$AH$206,'Apr'!$D$27:$AH$206,'May'!$D$27:$AH$206,'Jun'!$D$27:$AH$206,'Jul'!$D$27:$AH$206,'Aug'!$D$27:$AH$206,'Sep'!$D$27:$AH$206,'Oct'!$D$27:$AH$206,'Nov'!$D$27:$AH$206,'Dec'!$D$27:$AH$206,'Jan (next year)'!$D$27:$AH$206),27+3*(IFERROR(MATCH(C925,Roster!$B$6:$B$65,0),MATCH(C925,Roster!$C$6:$C$65,0))-1)+MATCH(B925,{"AM","PM","NIGHT"},0)-1-27+1,DAY(A925))&amp;"",""))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$206,'Feb'!$D$27:$AH$206,'Mar'!$D$27:$AH$206,'Apr'!$D$27:$AH$206,'May'!$D$27:$AH$206,'Jun'!$D$27:$AH$206,'Jul'!$D$27:$AH$206,'Aug'!$D$27:$AH$206,'Sep'!$D$27:$AH$206,'Oct'!$D$27:$AH$206,'Nov'!$D$27:$AH$206,'Dec'!$D$27:$AH$206,'Jan (next year)'!$D$27:$AH$206),27+3*(IFERROR(MATCH(C926,Roster!$B$6:$B$65,0),MATCH(C926,Roster!$C$6:$C$65,0))-1)+MATCH(B926,{"AM","PM","NIGHT"},0)-1-27+1,DAY(A926))&amp;"",""))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$206,'Feb'!$D$27:$AH$206,'Mar'!$D$27:$AH$206,'Apr'!$D$27:$AH$206,'May'!$D$27:$AH$206,'Jun'!$D$27:$AH$206,'Jul'!$D$27:$AH$206,'Aug'!$D$27:$AH$206,'Sep'!$D$27:$AH$206,'Oct'!$D$27:$AH$206,'Nov'!$D$27:$AH$206,'Dec'!$D$27:$AH$206,'Jan (next year)'!$D$27:$AH$206),27+3*(IFERROR(MATCH(C927,Roster!$B$6:$B$65,0),MATCH(C927,Roster!$C$6:$C$65,0))-1)+MATCH(B927,{"AM","PM","NIGHT"},0)-1-27+1,DAY(A927))&amp;"",""))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$206,'Feb'!$D$27:$AH$206,'Mar'!$D$27:$AH$206,'Apr'!$D$27:$AH$206,'May'!$D$27:$AH$206,'Jun'!$D$27:$AH$206,'Jul'!$D$27:$AH$206,'Aug'!$D$27:$AH$206,'Sep'!$D$27:$AH$206,'Oct'!$D$27:$AH$206,'Nov'!$D$27:$AH$206,'Dec'!$D$27:$AH$206,'Jan (next year)'!$D$27:$AH$206),27+3*(IFERROR(MATCH(C928,Roster!$B$6:$B$65,0),MATCH(C928,Roster!$C$6:$C$65,0))-1)+MATCH(B928,{"AM","PM","NIGHT"},0)-1-27+1,DAY(A928))&amp;"",""))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$206,'Feb'!$D$27:$AH$206,'Mar'!$D$27:$AH$206,'Apr'!$D$27:$AH$206,'May'!$D$27:$AH$206,'Jun'!$D$27:$AH$206,'Jul'!$D$27:$AH$206,'Aug'!$D$27:$AH$206,'Sep'!$D$27:$AH$206,'Oct'!$D$27:$AH$206,'Nov'!$D$27:$AH$206,'Dec'!$D$27:$AH$206,'Jan (next year)'!$D$27:$AH$206),27+3*(IFERROR(MATCH(C929,Roster!$B$6:$B$65,0),MATCH(C929,Roster!$C$6:$C$65,0))-1)+MATCH(B929,{"AM","PM","NIGHT"},0)-1-27+1,DAY(A929))&amp;"",""))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$206,'Feb'!$D$27:$AH$206,'Mar'!$D$27:$AH$206,'Apr'!$D$27:$AH$206,'May'!$D$27:$AH$206,'Jun'!$D$27:$AH$206,'Jul'!$D$27:$AH$206,'Aug'!$D$27:$AH$206,'Sep'!$D$27:$AH$206,'Oct'!$D$27:$AH$206,'Nov'!$D$27:$AH$206,'Dec'!$D$27:$AH$206,'Jan (next year)'!$D$27:$AH$206),27+3*(IFERROR(MATCH(C930,Roster!$B$6:$B$65,0),MATCH(C930,Roster!$C$6:$C$65,0))-1)+MATCH(B930,{"AM","PM","NIGHT"},0)-1-27+1,DAY(A930))&amp;"",""))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$206,'Feb'!$D$27:$AH$206,'Mar'!$D$27:$AH$206,'Apr'!$D$27:$AH$206,'May'!$D$27:$AH$206,'Jun'!$D$27:$AH$206,'Jul'!$D$27:$AH$206,'Aug'!$D$27:$AH$206,'Sep'!$D$27:$AH$206,'Oct'!$D$27:$AH$206,'Nov'!$D$27:$AH$206,'Dec'!$D$27:$AH$206,'Jan (next year)'!$D$27:$AH$206),27+3*(IFERROR(MATCH(C931,Roster!$B$6:$B$65,0),MATCH(C931,Roster!$C$6:$C$65,0))-1)+MATCH(B931,{"AM","PM","NIGHT"},0)-1-27+1,DAY(A931))&amp;"",""))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$206,'Feb'!$D$27:$AH$206,'Mar'!$D$27:$AH$206,'Apr'!$D$27:$AH$206,'May'!$D$27:$AH$206,'Jun'!$D$27:$AH$206,'Jul'!$D$27:$AH$206,'Aug'!$D$27:$AH$206,'Sep'!$D$27:$AH$206,'Oct'!$D$27:$AH$206,'Nov'!$D$27:$AH$206,'Dec'!$D$27:$AH$206,'Jan (next year)'!$D$27:$AH$206),27+3*(IFERROR(MATCH(C932,Roster!$B$6:$B$65,0),MATCH(C932,Roster!$C$6:$C$65,0))-1)+MATCH(B932,{"AM","PM","NIGHT"},0)-1-27+1,DAY(A932))&amp;"",""))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$206,'Feb'!$D$27:$AH$206,'Mar'!$D$27:$AH$206,'Apr'!$D$27:$AH$206,'May'!$D$27:$AH$206,'Jun'!$D$27:$AH$206,'Jul'!$D$27:$AH$206,'Aug'!$D$27:$AH$206,'Sep'!$D$27:$AH$206,'Oct'!$D$27:$AH$206,'Nov'!$D$27:$AH$206,'Dec'!$D$27:$AH$206,'Jan (next year)'!$D$27:$AH$206),27+3*(IFERROR(MATCH(C933,Roster!$B$6:$B$65,0),MATCH(C933,Roster!$C$6:$C$65,0))-1)+MATCH(B933,{"AM","PM","NIGHT"},0)-1-27+1,DAY(A933))&amp;"",""))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$206,'Feb'!$D$27:$AH$206,'Mar'!$D$27:$AH$206,'Apr'!$D$27:$AH$206,'May'!$D$27:$AH$206,'Jun'!$D$27:$AH$206,'Jul'!$D$27:$AH$206,'Aug'!$D$27:$AH$206,'Sep'!$D$27:$AH$206,'Oct'!$D$27:$AH$206,'Nov'!$D$27:$AH$206,'Dec'!$D$27:$AH$206,'Jan (next year)'!$D$27:$AH$206),27+3*(IFERROR(MATCH(C934,Roster!$B$6:$B$65,0),MATCH(C934,Roster!$C$6:$C$65,0))-1)+MATCH(B934,{"AM","PM","NIGHT"},0)-1-27+1,DAY(A934))&amp;"",""))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$206,'Feb'!$D$27:$AH$206,'Mar'!$D$27:$AH$206,'Apr'!$D$27:$AH$206,'May'!$D$27:$AH$206,'Jun'!$D$27:$AH$206,'Jul'!$D$27:$AH$206,'Aug'!$D$27:$AH$206,'Sep'!$D$27:$AH$206,'Oct'!$D$27:$AH$206,'Nov'!$D$27:$AH$206,'Dec'!$D$27:$AH$206,'Jan (next year)'!$D$27:$AH$206),27+3*(IFERROR(MATCH(C935,Roster!$B$6:$B$65,0),MATCH(C935,Roster!$C$6:$C$65,0))-1)+MATCH(B935,{"AM","PM","NIGHT"},0)-1-27+1,DAY(A935))&amp;"",""))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$206,'Feb'!$D$27:$AH$206,'Mar'!$D$27:$AH$206,'Apr'!$D$27:$AH$206,'May'!$D$27:$AH$206,'Jun'!$D$27:$AH$206,'Jul'!$D$27:$AH$206,'Aug'!$D$27:$AH$206,'Sep'!$D$27:$AH$206,'Oct'!$D$27:$AH$206,'Nov'!$D$27:$AH$206,'Dec'!$D$27:$AH$206,'Jan (next year)'!$D$27:$AH$206),27+3*(IFERROR(MATCH(C936,Roster!$B$6:$B$65,0),MATCH(C936,Roster!$C$6:$C$65,0))-1)+MATCH(B936,{"AM","PM","NIGHT"},0)-1-27+1,DAY(A936))&amp;"",""))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$206,'Feb'!$D$27:$AH$206,'Mar'!$D$27:$AH$206,'Apr'!$D$27:$AH$206,'May'!$D$27:$AH$206,'Jun'!$D$27:$AH$206,'Jul'!$D$27:$AH$206,'Aug'!$D$27:$AH$206,'Sep'!$D$27:$AH$206,'Oct'!$D$27:$AH$206,'Nov'!$D$27:$AH$206,'Dec'!$D$27:$AH$206,'Jan (next year)'!$D$27:$AH$206),27+3*(IFERROR(MATCH(C937,Roster!$B$6:$B$65,0),MATCH(C937,Roster!$C$6:$C$65,0))-1)+MATCH(B937,{"AM","PM","NIGHT"},0)-1-27+1,DAY(A937))&amp;"",""))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$206,'Feb'!$D$27:$AH$206,'Mar'!$D$27:$AH$206,'Apr'!$D$27:$AH$206,'May'!$D$27:$AH$206,'Jun'!$D$27:$AH$206,'Jul'!$D$27:$AH$206,'Aug'!$D$27:$AH$206,'Sep'!$D$27:$AH$206,'Oct'!$D$27:$AH$206,'Nov'!$D$27:$AH$206,'Dec'!$D$27:$AH$206,'Jan (next year)'!$D$27:$AH$206),27+3*(IFERROR(MATCH(C938,Roster!$B$6:$B$65,0),MATCH(C938,Roster!$C$6:$C$65,0))-1)+MATCH(B938,{"AM","PM","NIGHT"},0)-1-27+1,DAY(A938))&amp;"",""))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$206,'Feb'!$D$27:$AH$206,'Mar'!$D$27:$AH$206,'Apr'!$D$27:$AH$206,'May'!$D$27:$AH$206,'Jun'!$D$27:$AH$206,'Jul'!$D$27:$AH$206,'Aug'!$D$27:$AH$206,'Sep'!$D$27:$AH$206,'Oct'!$D$27:$AH$206,'Nov'!$D$27:$AH$206,'Dec'!$D$27:$AH$206,'Jan (next year)'!$D$27:$AH$206),27+3*(IFERROR(MATCH(C939,Roster!$B$6:$B$65,0),MATCH(C939,Roster!$C$6:$C$65,0))-1)+MATCH(B939,{"AM","PM","NIGHT"},0)-1-27+1,DAY(A939))&amp;"",""))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$206,'Feb'!$D$27:$AH$206,'Mar'!$D$27:$AH$206,'Apr'!$D$27:$AH$206,'May'!$D$27:$AH$206,'Jun'!$D$27:$AH$206,'Jul'!$D$27:$AH$206,'Aug'!$D$27:$AH$206,'Sep'!$D$27:$AH$206,'Oct'!$D$27:$AH$206,'Nov'!$D$27:$AH$206,'Dec'!$D$27:$AH$206,'Jan (next year)'!$D$27:$AH$206),27+3*(IFERROR(MATCH(C940,Roster!$B$6:$B$65,0),MATCH(C940,Roster!$C$6:$C$65,0))-1)+MATCH(B940,{"AM","PM","NIGHT"},0)-1-27+1,DAY(A940))&amp;"",""))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$206,'Feb'!$D$27:$AH$206,'Mar'!$D$27:$AH$206,'Apr'!$D$27:$AH$206,'May'!$D$27:$AH$206,'Jun'!$D$27:$AH$206,'Jul'!$D$27:$AH$206,'Aug'!$D$27:$AH$206,'Sep'!$D$27:$AH$206,'Oct'!$D$27:$AH$206,'Nov'!$D$27:$AH$206,'Dec'!$D$27:$AH$206,'Jan (next year)'!$D$27:$AH$206),27+3*(IFERROR(MATCH(C941,Roster!$B$6:$B$65,0),MATCH(C941,Roster!$C$6:$C$65,0))-1)+MATCH(B941,{"AM","PM","NIGHT"},0)-1-27+1,DAY(A941))&amp;"",""))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$206,'Feb'!$D$27:$AH$206,'Mar'!$D$27:$AH$206,'Apr'!$D$27:$AH$206,'May'!$D$27:$AH$206,'Jun'!$D$27:$AH$206,'Jul'!$D$27:$AH$206,'Aug'!$D$27:$AH$206,'Sep'!$D$27:$AH$206,'Oct'!$D$27:$AH$206,'Nov'!$D$27:$AH$206,'Dec'!$D$27:$AH$206,'Jan (next year)'!$D$27:$AH$206),27+3*(IFERROR(MATCH(C942,Roster!$B$6:$B$65,0),MATCH(C942,Roster!$C$6:$C$65,0))-1)+MATCH(B942,{"AM","PM","NIGHT"},0)-1-27+1,DAY(A942))&amp;"",""))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$206,'Feb'!$D$27:$AH$206,'Mar'!$D$27:$AH$206,'Apr'!$D$27:$AH$206,'May'!$D$27:$AH$206,'Jun'!$D$27:$AH$206,'Jul'!$D$27:$AH$206,'Aug'!$D$27:$AH$206,'Sep'!$D$27:$AH$206,'Oct'!$D$27:$AH$206,'Nov'!$D$27:$AH$206,'Dec'!$D$27:$AH$206,'Jan (next year)'!$D$27:$AH$206),27+3*(IFERROR(MATCH(C943,Roster!$B$6:$B$65,0),MATCH(C943,Roster!$C$6:$C$65,0))-1)+MATCH(B943,{"AM","PM","NIGHT"},0)-1-27+1,DAY(A943))&amp;"",""))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$206,'Feb'!$D$27:$AH$206,'Mar'!$D$27:$AH$206,'Apr'!$D$27:$AH$206,'May'!$D$27:$AH$206,'Jun'!$D$27:$AH$206,'Jul'!$D$27:$AH$206,'Aug'!$D$27:$AH$206,'Sep'!$D$27:$AH$206,'Oct'!$D$27:$AH$206,'Nov'!$D$27:$AH$206,'Dec'!$D$27:$AH$206,'Jan (next year)'!$D$27:$AH$206),27+3*(IFERROR(MATCH(C944,Roster!$B$6:$B$65,0),MATCH(C944,Roster!$C$6:$C$65,0))-1)+MATCH(B944,{"AM","PM","NIGHT"},0)-1-27+1,DAY(A944))&amp;"",""))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$206,'Feb'!$D$27:$AH$206,'Mar'!$D$27:$AH$206,'Apr'!$D$27:$AH$206,'May'!$D$27:$AH$206,'Jun'!$D$27:$AH$206,'Jul'!$D$27:$AH$206,'Aug'!$D$27:$AH$206,'Sep'!$D$27:$AH$206,'Oct'!$D$27:$AH$206,'Nov'!$D$27:$AH$206,'Dec'!$D$27:$AH$206,'Jan (next year)'!$D$27:$AH$206),27+3*(IFERROR(MATCH(C945,Roster!$B$6:$B$65,0),MATCH(C945,Roster!$C$6:$C$65,0))-1)+MATCH(B945,{"AM","PM","NIGHT"},0)-1-27+1,DAY(A945))&amp;"",""))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$206,'Feb'!$D$27:$AH$206,'Mar'!$D$27:$AH$206,'Apr'!$D$27:$AH$206,'May'!$D$27:$AH$206,'Jun'!$D$27:$AH$206,'Jul'!$D$27:$AH$206,'Aug'!$D$27:$AH$206,'Sep'!$D$27:$AH$206,'Oct'!$D$27:$AH$206,'Nov'!$D$27:$AH$206,'Dec'!$D$27:$AH$206,'Jan (next year)'!$D$27:$AH$206),27+3*(IFERROR(MATCH(C946,Roster!$B$6:$B$65,0),MATCH(C946,Roster!$C$6:$C$65,0))-1)+MATCH(B946,{"AM","PM","NIGHT"},0)-1-27+1,DAY(A946))&amp;"",""))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$206,'Feb'!$D$27:$AH$206,'Mar'!$D$27:$AH$206,'Apr'!$D$27:$AH$206,'May'!$D$27:$AH$206,'Jun'!$D$27:$AH$206,'Jul'!$D$27:$AH$206,'Aug'!$D$27:$AH$206,'Sep'!$D$27:$AH$206,'Oct'!$D$27:$AH$206,'Nov'!$D$27:$AH$206,'Dec'!$D$27:$AH$206,'Jan (next year)'!$D$27:$AH$206),27+3*(IFERROR(MATCH(C947,Roster!$B$6:$B$65,0),MATCH(C947,Roster!$C$6:$C$65,0))-1)+MATCH(B947,{"AM","PM","NIGHT"},0)-1-27+1,DAY(A947))&amp;"",""))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$206,'Feb'!$D$27:$AH$206,'Mar'!$D$27:$AH$206,'Apr'!$D$27:$AH$206,'May'!$D$27:$AH$206,'Jun'!$D$27:$AH$206,'Jul'!$D$27:$AH$206,'Aug'!$D$27:$AH$206,'Sep'!$D$27:$AH$206,'Oct'!$D$27:$AH$206,'Nov'!$D$27:$AH$206,'Dec'!$D$27:$AH$206,'Jan (next year)'!$D$27:$AH$206),27+3*(IFERROR(MATCH(C948,Roster!$B$6:$B$65,0),MATCH(C948,Roster!$C$6:$C$65,0))-1)+MATCH(B948,{"AM","PM","NIGHT"},0)-1-27+1,DAY(A948))&amp;"",""))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$206,'Feb'!$D$27:$AH$206,'Mar'!$D$27:$AH$206,'Apr'!$D$27:$AH$206,'May'!$D$27:$AH$206,'Jun'!$D$27:$AH$206,'Jul'!$D$27:$AH$206,'Aug'!$D$27:$AH$206,'Sep'!$D$27:$AH$206,'Oct'!$D$27:$AH$206,'Nov'!$D$27:$AH$206,'Dec'!$D$27:$AH$206,'Jan (next year)'!$D$27:$AH$206),27+3*(IFERROR(MATCH(C949,Roster!$B$6:$B$65,0),MATCH(C949,Roster!$C$6:$C$65,0))-1)+MATCH(B949,{"AM","PM","NIGHT"},0)-1-27+1,DAY(A949))&amp;"",""))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$206,'Feb'!$D$27:$AH$206,'Mar'!$D$27:$AH$206,'Apr'!$D$27:$AH$206,'May'!$D$27:$AH$206,'Jun'!$D$27:$AH$206,'Jul'!$D$27:$AH$206,'Aug'!$D$27:$AH$206,'Sep'!$D$27:$AH$206,'Oct'!$D$27:$AH$206,'Nov'!$D$27:$AH$206,'Dec'!$D$27:$AH$206,'Jan (next year)'!$D$27:$AH$206),27+3*(IFERROR(MATCH(C950,Roster!$B$6:$B$65,0),MATCH(C950,Roster!$C$6:$C$65,0))-1)+MATCH(B950,{"AM","PM","NIGHT"},0)-1-27+1,DAY(A950))&amp;"",""))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$206,'Feb'!$D$27:$AH$206,'Mar'!$D$27:$AH$206,'Apr'!$D$27:$AH$206,'May'!$D$27:$AH$206,'Jun'!$D$27:$AH$206,'Jul'!$D$27:$AH$206,'Aug'!$D$27:$AH$206,'Sep'!$D$27:$AH$206,'Oct'!$D$27:$AH$206,'Nov'!$D$27:$AH$206,'Dec'!$D$27:$AH$206,'Jan (next year)'!$D$27:$AH$206),27+3*(IFERROR(MATCH(C951,Roster!$B$6:$B$65,0),MATCH(C951,Roster!$C$6:$C$65,0))-1)+MATCH(B951,{"AM","PM","NIGHT"},0)-1-27+1,DAY(A951))&amp;"",""))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$206,'Feb'!$D$27:$AH$206,'Mar'!$D$27:$AH$206,'Apr'!$D$27:$AH$206,'May'!$D$27:$AH$206,'Jun'!$D$27:$AH$206,'Jul'!$D$27:$AH$206,'Aug'!$D$27:$AH$206,'Sep'!$D$27:$AH$206,'Oct'!$D$27:$AH$206,'Nov'!$D$27:$AH$206,'Dec'!$D$27:$AH$206,'Jan (next year)'!$D$27:$AH$206),27+3*(IFERROR(MATCH(C952,Roster!$B$6:$B$65,0),MATCH(C952,Roster!$C$6:$C$65,0))-1)+MATCH(B952,{"AM","PM","NIGHT"},0)-1-27+1,DAY(A952))&amp;"",""))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$206,'Feb'!$D$27:$AH$206,'Mar'!$D$27:$AH$206,'Apr'!$D$27:$AH$206,'May'!$D$27:$AH$206,'Jun'!$D$27:$AH$206,'Jul'!$D$27:$AH$206,'Aug'!$D$27:$AH$206,'Sep'!$D$27:$AH$206,'Oct'!$D$27:$AH$206,'Nov'!$D$27:$AH$206,'Dec'!$D$27:$AH$206,'Jan (next year)'!$D$27:$AH$206),27+3*(IFERROR(MATCH(C953,Roster!$B$6:$B$65,0),MATCH(C953,Roster!$C$6:$C$65,0))-1)+MATCH(B953,{"AM","PM","NIGHT"},0)-1-27+1,DAY(A953))&amp;"",""))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$206,'Feb'!$D$27:$AH$206,'Mar'!$D$27:$AH$206,'Apr'!$D$27:$AH$206,'May'!$D$27:$AH$206,'Jun'!$D$27:$AH$206,'Jul'!$D$27:$AH$206,'Aug'!$D$27:$AH$206,'Sep'!$D$27:$AH$206,'Oct'!$D$27:$AH$206,'Nov'!$D$27:$AH$206,'Dec'!$D$27:$AH$206,'Jan (next year)'!$D$27:$AH$206),27+3*(IFERROR(MATCH(C954,Roster!$B$6:$B$65,0),MATCH(C954,Roster!$C$6:$C$65,0))-1)+MATCH(B954,{"AM","PM","NIGHT"},0)-1-27+1,DAY(A954))&amp;"",""))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$206,'Feb'!$D$27:$AH$206,'Mar'!$D$27:$AH$206,'Apr'!$D$27:$AH$206,'May'!$D$27:$AH$206,'Jun'!$D$27:$AH$206,'Jul'!$D$27:$AH$206,'Aug'!$D$27:$AH$206,'Sep'!$D$27:$AH$206,'Oct'!$D$27:$AH$206,'Nov'!$D$27:$AH$206,'Dec'!$D$27:$AH$206,'Jan (next year)'!$D$27:$AH$206),27+3*(IFERROR(MATCH(C955,Roster!$B$6:$B$65,0),MATCH(C955,Roster!$C$6:$C$65,0))-1)+MATCH(B955,{"AM","PM","NIGHT"},0)-1-27+1,DAY(A955))&amp;"",""))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$206,'Feb'!$D$27:$AH$206,'Mar'!$D$27:$AH$206,'Apr'!$D$27:$AH$206,'May'!$D$27:$AH$206,'Jun'!$D$27:$AH$206,'Jul'!$D$27:$AH$206,'Aug'!$D$27:$AH$206,'Sep'!$D$27:$AH$206,'Oct'!$D$27:$AH$206,'Nov'!$D$27:$AH$206,'Dec'!$D$27:$AH$206,'Jan (next year)'!$D$27:$AH$206),27+3*(IFERROR(MATCH(C956,Roster!$B$6:$B$65,0),MATCH(C956,Roster!$C$6:$C$65,0))-1)+MATCH(B956,{"AM","PM","NIGHT"},0)-1-27+1,DAY(A956))&amp;"",""))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$206,'Feb'!$D$27:$AH$206,'Mar'!$D$27:$AH$206,'Apr'!$D$27:$AH$206,'May'!$D$27:$AH$206,'Jun'!$D$27:$AH$206,'Jul'!$D$27:$AH$206,'Aug'!$D$27:$AH$206,'Sep'!$D$27:$AH$206,'Oct'!$D$27:$AH$206,'Nov'!$D$27:$AH$206,'Dec'!$D$27:$AH$206,'Jan (next year)'!$D$27:$AH$206),27+3*(IFERROR(MATCH(C957,Roster!$B$6:$B$65,0),MATCH(C957,Roster!$C$6:$C$65,0))-1)+MATCH(B957,{"AM","PM","NIGHT"},0)-1-27+1,DAY(A957))&amp;"",""))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$206,'Feb'!$D$27:$AH$206,'Mar'!$D$27:$AH$206,'Apr'!$D$27:$AH$206,'May'!$D$27:$AH$206,'Jun'!$D$27:$AH$206,'Jul'!$D$27:$AH$206,'Aug'!$D$27:$AH$206,'Sep'!$D$27:$AH$206,'Oct'!$D$27:$AH$206,'Nov'!$D$27:$AH$206,'Dec'!$D$27:$AH$206,'Jan (next year)'!$D$27:$AH$206),27+3*(IFERROR(MATCH(C958,Roster!$B$6:$B$65,0),MATCH(C958,Roster!$C$6:$C$65,0))-1)+MATCH(B958,{"AM","PM","NIGHT"},0)-1-27+1,DAY(A958))&amp;"",""))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$206,'Feb'!$D$27:$AH$206,'Mar'!$D$27:$AH$206,'Apr'!$D$27:$AH$206,'May'!$D$27:$AH$206,'Jun'!$D$27:$AH$206,'Jul'!$D$27:$AH$206,'Aug'!$D$27:$AH$206,'Sep'!$D$27:$AH$206,'Oct'!$D$27:$AH$206,'Nov'!$D$27:$AH$206,'Dec'!$D$27:$AH$206,'Jan (next year)'!$D$27:$AH$206),27+3*(IFERROR(MATCH(C959,Roster!$B$6:$B$65,0),MATCH(C959,Roster!$C$6:$C$65,0))-1)+MATCH(B959,{"AM","PM","NIGHT"},0)-1-27+1,DAY(A959))&amp;"",""))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$206,'Feb'!$D$27:$AH$206,'Mar'!$D$27:$AH$206,'Apr'!$D$27:$AH$206,'May'!$D$27:$AH$206,'Jun'!$D$27:$AH$206,'Jul'!$D$27:$AH$206,'Aug'!$D$27:$AH$206,'Sep'!$D$27:$AH$206,'Oct'!$D$27:$AH$206,'Nov'!$D$27:$AH$206,'Dec'!$D$27:$AH$206,'Jan (next year)'!$D$27:$AH$206),27+3*(IFERROR(MATCH(C960,Roster!$B$6:$B$65,0),MATCH(C960,Roster!$C$6:$C$65,0))-1)+MATCH(B960,{"AM","PM","NIGHT"},0)-1-27+1,DAY(A960))&amp;"",""))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$206,'Feb'!$D$27:$AH$206,'Mar'!$D$27:$AH$206,'Apr'!$D$27:$AH$206,'May'!$D$27:$AH$206,'Jun'!$D$27:$AH$206,'Jul'!$D$27:$AH$206,'Aug'!$D$27:$AH$206,'Sep'!$D$27:$AH$206,'Oct'!$D$27:$AH$206,'Nov'!$D$27:$AH$206,'Dec'!$D$27:$AH$206,'Jan (next year)'!$D$27:$AH$206),27+3*(IFERROR(MATCH(C961,Roster!$B$6:$B$65,0),MATCH(C961,Roster!$C$6:$C$65,0))-1)+MATCH(B961,{"AM","PM","NIGHT"},0)-1-27+1,DAY(A961))&amp;"",""))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$206,'Feb'!$D$27:$AH$206,'Mar'!$D$27:$AH$206,'Apr'!$D$27:$AH$206,'May'!$D$27:$AH$206,'Jun'!$D$27:$AH$206,'Jul'!$D$27:$AH$206,'Aug'!$D$27:$AH$206,'Sep'!$D$27:$AH$206,'Oct'!$D$27:$AH$206,'Nov'!$D$27:$AH$206,'Dec'!$D$27:$AH$206,'Jan (next year)'!$D$27:$AH$206),27+3*(IFERROR(MATCH(C962,Roster!$B$6:$B$65,0),MATCH(C962,Roster!$C$6:$C$65,0))-1)+MATCH(B962,{"AM","PM","NIGHT"},0)-1-27+1,DAY(A962))&amp;"",""))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$206,'Feb'!$D$27:$AH$206,'Mar'!$D$27:$AH$206,'Apr'!$D$27:$AH$206,'May'!$D$27:$AH$206,'Jun'!$D$27:$AH$206,'Jul'!$D$27:$AH$206,'Aug'!$D$27:$AH$206,'Sep'!$D$27:$AH$206,'Oct'!$D$27:$AH$206,'Nov'!$D$27:$AH$206,'Dec'!$D$27:$AH$206,'Jan (next year)'!$D$27:$AH$206),27+3*(IFERROR(MATCH(C963,Roster!$B$6:$B$65,0),MATCH(C963,Roster!$C$6:$C$65,0))-1)+MATCH(B963,{"AM","PM","NIGHT"},0)-1-27+1,DAY(A963))&amp;"",""))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$206,'Feb'!$D$27:$AH$206,'Mar'!$D$27:$AH$206,'Apr'!$D$27:$AH$206,'May'!$D$27:$AH$206,'Jun'!$D$27:$AH$206,'Jul'!$D$27:$AH$206,'Aug'!$D$27:$AH$206,'Sep'!$D$27:$AH$206,'Oct'!$D$27:$AH$206,'Nov'!$D$27:$AH$206,'Dec'!$D$27:$AH$206,'Jan (next year)'!$D$27:$AH$206),27+3*(IFERROR(MATCH(C964,Roster!$B$6:$B$65,0),MATCH(C964,Roster!$C$6:$C$65,0))-1)+MATCH(B964,{"AM","PM","NIGHT"},0)-1-27+1,DAY(A964))&amp;"",""))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$206,'Feb'!$D$27:$AH$206,'Mar'!$D$27:$AH$206,'Apr'!$D$27:$AH$206,'May'!$D$27:$AH$206,'Jun'!$D$27:$AH$206,'Jul'!$D$27:$AH$206,'Aug'!$D$27:$AH$206,'Sep'!$D$27:$AH$206,'Oct'!$D$27:$AH$206,'Nov'!$D$27:$AH$206,'Dec'!$D$27:$AH$206,'Jan (next year)'!$D$27:$AH$206),27+3*(IFERROR(MATCH(C965,Roster!$B$6:$B$65,0),MATCH(C965,Roster!$C$6:$C$65,0))-1)+MATCH(B965,{"AM","PM","NIGHT"},0)-1-27+1,DAY(A965))&amp;"",""))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$206,'Feb'!$D$27:$AH$206,'Mar'!$D$27:$AH$206,'Apr'!$D$27:$AH$206,'May'!$D$27:$AH$206,'Jun'!$D$27:$AH$206,'Jul'!$D$27:$AH$206,'Aug'!$D$27:$AH$206,'Sep'!$D$27:$AH$206,'Oct'!$D$27:$AH$206,'Nov'!$D$27:$AH$206,'Dec'!$D$27:$AH$206,'Jan (next year)'!$D$27:$AH$206),27+3*(IFERROR(MATCH(C966,Roster!$B$6:$B$65,0),MATCH(C966,Roster!$C$6:$C$65,0))-1)+MATCH(B966,{"AM","PM","NIGHT"},0)-1-27+1,DAY(A966))&amp;"",""))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$206,'Feb'!$D$27:$AH$206,'Mar'!$D$27:$AH$206,'Apr'!$D$27:$AH$206,'May'!$D$27:$AH$206,'Jun'!$D$27:$AH$206,'Jul'!$D$27:$AH$206,'Aug'!$D$27:$AH$206,'Sep'!$D$27:$AH$206,'Oct'!$D$27:$AH$206,'Nov'!$D$27:$AH$206,'Dec'!$D$27:$AH$206,'Jan (next year)'!$D$27:$AH$206),27+3*(IFERROR(MATCH(C967,Roster!$B$6:$B$65,0),MATCH(C967,Roster!$C$6:$C$65,0))-1)+MATCH(B967,{"AM","PM","NIGHT"},0)-1-27+1,DAY(A967))&amp;"",""))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$206,'Feb'!$D$27:$AH$206,'Mar'!$D$27:$AH$206,'Apr'!$D$27:$AH$206,'May'!$D$27:$AH$206,'Jun'!$D$27:$AH$206,'Jul'!$D$27:$AH$206,'Aug'!$D$27:$AH$206,'Sep'!$D$27:$AH$206,'Oct'!$D$27:$AH$206,'Nov'!$D$27:$AH$206,'Dec'!$D$27:$AH$206,'Jan (next year)'!$D$27:$AH$206),27+3*(IFERROR(MATCH(C968,Roster!$B$6:$B$65,0),MATCH(C968,Roster!$C$6:$C$65,0))-1)+MATCH(B968,{"AM","PM","NIGHT"},0)-1-27+1,DAY(A968))&amp;"",""))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$206,'Feb'!$D$27:$AH$206,'Mar'!$D$27:$AH$206,'Apr'!$D$27:$AH$206,'May'!$D$27:$AH$206,'Jun'!$D$27:$AH$206,'Jul'!$D$27:$AH$206,'Aug'!$D$27:$AH$206,'Sep'!$D$27:$AH$206,'Oct'!$D$27:$AH$206,'Nov'!$D$27:$AH$206,'Dec'!$D$27:$AH$206,'Jan (next year)'!$D$27:$AH$206),27+3*(IFERROR(MATCH(C969,Roster!$B$6:$B$65,0),MATCH(C969,Roster!$C$6:$C$65,0))-1)+MATCH(B969,{"AM","PM","NIGHT"},0)-1-27+1,DAY(A969))&amp;"",""))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$206,'Feb'!$D$27:$AH$206,'Mar'!$D$27:$AH$206,'Apr'!$D$27:$AH$206,'May'!$D$27:$AH$206,'Jun'!$D$27:$AH$206,'Jul'!$D$27:$AH$206,'Aug'!$D$27:$AH$206,'Sep'!$D$27:$AH$206,'Oct'!$D$27:$AH$206,'Nov'!$D$27:$AH$206,'Dec'!$D$27:$AH$206,'Jan (next year)'!$D$27:$AH$206),27+3*(IFERROR(MATCH(C970,Roster!$B$6:$B$65,0),MATCH(C970,Roster!$C$6:$C$65,0))-1)+MATCH(B970,{"AM","PM","NIGHT"},0)-1-27+1,DAY(A970))&amp;"",""))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$206,'Feb'!$D$27:$AH$206,'Mar'!$D$27:$AH$206,'Apr'!$D$27:$AH$206,'May'!$D$27:$AH$206,'Jun'!$D$27:$AH$206,'Jul'!$D$27:$AH$206,'Aug'!$D$27:$AH$206,'Sep'!$D$27:$AH$206,'Oct'!$D$27:$AH$206,'Nov'!$D$27:$AH$206,'Dec'!$D$27:$AH$206,'Jan (next year)'!$D$27:$AH$206),27+3*(IFERROR(MATCH(C971,Roster!$B$6:$B$65,0),MATCH(C971,Roster!$C$6:$C$65,0))-1)+MATCH(B971,{"AM","PM","NIGHT"},0)-1-27+1,DAY(A971))&amp;"",""))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$206,'Feb'!$D$27:$AH$206,'Mar'!$D$27:$AH$206,'Apr'!$D$27:$AH$206,'May'!$D$27:$AH$206,'Jun'!$D$27:$AH$206,'Jul'!$D$27:$AH$206,'Aug'!$D$27:$AH$206,'Sep'!$D$27:$AH$206,'Oct'!$D$27:$AH$206,'Nov'!$D$27:$AH$206,'Dec'!$D$27:$AH$206,'Jan (next year)'!$D$27:$AH$206),27+3*(IFERROR(MATCH(C972,Roster!$B$6:$B$65,0),MATCH(C972,Roster!$C$6:$C$65,0))-1)+MATCH(B972,{"AM","PM","NIGHT"},0)-1-27+1,DAY(A972))&amp;"",""))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$206,'Feb'!$D$27:$AH$206,'Mar'!$D$27:$AH$206,'Apr'!$D$27:$AH$206,'May'!$D$27:$AH$206,'Jun'!$D$27:$AH$206,'Jul'!$D$27:$AH$206,'Aug'!$D$27:$AH$206,'Sep'!$D$27:$AH$206,'Oct'!$D$27:$AH$206,'Nov'!$D$27:$AH$206,'Dec'!$D$27:$AH$206,'Jan (next year)'!$D$27:$AH$206),27+3*(IFERROR(MATCH(C973,Roster!$B$6:$B$65,0),MATCH(C973,Roster!$C$6:$C$65,0))-1)+MATCH(B973,{"AM","PM","NIGHT"},0)-1-27+1,DAY(A973))&amp;"",""))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$206,'Feb'!$D$27:$AH$206,'Mar'!$D$27:$AH$206,'Apr'!$D$27:$AH$206,'May'!$D$27:$AH$206,'Jun'!$D$27:$AH$206,'Jul'!$D$27:$AH$206,'Aug'!$D$27:$AH$206,'Sep'!$D$27:$AH$206,'Oct'!$D$27:$AH$206,'Nov'!$D$27:$AH$206,'Dec'!$D$27:$AH$206,'Jan (next year)'!$D$27:$AH$206),27+3*(IFERROR(MATCH(C974,Roster!$B$6:$B$65,0),MATCH(C974,Roster!$C$6:$C$65,0))-1)+MATCH(B974,{"AM","PM","NIGHT"},0)-1-27+1,DAY(A974))&amp;"",""))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$206,'Feb'!$D$27:$AH$206,'Mar'!$D$27:$AH$206,'Apr'!$D$27:$AH$206,'May'!$D$27:$AH$206,'Jun'!$D$27:$AH$206,'Jul'!$D$27:$AH$206,'Aug'!$D$27:$AH$206,'Sep'!$D$27:$AH$206,'Oct'!$D$27:$AH$206,'Nov'!$D$27:$AH$206,'Dec'!$D$27:$AH$206,'Jan (next year)'!$D$27:$AH$206),27+3*(IFERROR(MATCH(C975,Roster!$B$6:$B$65,0),MATCH(C975,Roster!$C$6:$C$65,0))-1)+MATCH(B975,{"AM","PM","NIGHT"},0)-1-27+1,DAY(A975))&amp;"",""))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$206,'Feb'!$D$27:$AH$206,'Mar'!$D$27:$AH$206,'Apr'!$D$27:$AH$206,'May'!$D$27:$AH$206,'Jun'!$D$27:$AH$206,'Jul'!$D$27:$AH$206,'Aug'!$D$27:$AH$206,'Sep'!$D$27:$AH$206,'Oct'!$D$27:$AH$206,'Nov'!$D$27:$AH$206,'Dec'!$D$27:$AH$206,'Jan (next year)'!$D$27:$AH$206),27+3*(IFERROR(MATCH(C976,Roster!$B$6:$B$65,0),MATCH(C976,Roster!$C$6:$C$65,0))-1)+MATCH(B976,{"AM","PM","NIGHT"},0)-1-27+1,DAY(A976))&amp;"",""))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$206,'Feb'!$D$27:$AH$206,'Mar'!$D$27:$AH$206,'Apr'!$D$27:$AH$206,'May'!$D$27:$AH$206,'Jun'!$D$27:$AH$206,'Jul'!$D$27:$AH$206,'Aug'!$D$27:$AH$206,'Sep'!$D$27:$AH$206,'Oct'!$D$27:$AH$206,'Nov'!$D$27:$AH$206,'Dec'!$D$27:$AH$206,'Jan (next year)'!$D$27:$AH$206),27+3*(IFERROR(MATCH(C977,Roster!$B$6:$B$65,0),MATCH(C977,Roster!$C$6:$C$65,0))-1)+MATCH(B977,{"AM","PM","NIGHT"},0)-1-27+1,DAY(A977))&amp;"",""))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$206,'Feb'!$D$27:$AH$206,'Mar'!$D$27:$AH$206,'Apr'!$D$27:$AH$206,'May'!$D$27:$AH$206,'Jun'!$D$27:$AH$206,'Jul'!$D$27:$AH$206,'Aug'!$D$27:$AH$206,'Sep'!$D$27:$AH$206,'Oct'!$D$27:$AH$206,'Nov'!$D$27:$AH$206,'Dec'!$D$27:$AH$206,'Jan (next year)'!$D$27:$AH$206),27+3*(IFERROR(MATCH(C978,Roster!$B$6:$B$65,0),MATCH(C978,Roster!$C$6:$C$65,0))-1)+MATCH(B978,{"AM","PM","NIGHT"},0)-1-27+1,DAY(A978))&amp;"",""))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$206,'Feb'!$D$27:$AH$206,'Mar'!$D$27:$AH$206,'Apr'!$D$27:$AH$206,'May'!$D$27:$AH$206,'Jun'!$D$27:$AH$206,'Jul'!$D$27:$AH$206,'Aug'!$D$27:$AH$206,'Sep'!$D$27:$AH$206,'Oct'!$D$27:$AH$206,'Nov'!$D$27:$AH$206,'Dec'!$D$27:$AH$206,'Jan (next year)'!$D$27:$AH$206),27+3*(IFERROR(MATCH(C979,Roster!$B$6:$B$65,0),MATCH(C979,Roster!$C$6:$C$65,0))-1)+MATCH(B979,{"AM","PM","NIGHT"},0)-1-27+1,DAY(A979))&amp;"",""))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$206,'Feb'!$D$27:$AH$206,'Mar'!$D$27:$AH$206,'Apr'!$D$27:$AH$206,'May'!$D$27:$AH$206,'Jun'!$D$27:$AH$206,'Jul'!$D$27:$AH$206,'Aug'!$D$27:$AH$206,'Sep'!$D$27:$AH$206,'Oct'!$D$27:$AH$206,'Nov'!$D$27:$AH$206,'Dec'!$D$27:$AH$206,'Jan (next year)'!$D$27:$AH$206),27+3*(IFERROR(MATCH(C980,Roster!$B$6:$B$65,0),MATCH(C980,Roster!$C$6:$C$65,0))-1)+MATCH(B980,{"AM","PM","NIGHT"},0)-1-27+1,DAY(A980))&amp;"",""))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$206,'Feb'!$D$27:$AH$206,'Mar'!$D$27:$AH$206,'Apr'!$D$27:$AH$206,'May'!$D$27:$AH$206,'Jun'!$D$27:$AH$206,'Jul'!$D$27:$AH$206,'Aug'!$D$27:$AH$206,'Sep'!$D$27:$AH$206,'Oct'!$D$27:$AH$206,'Nov'!$D$27:$AH$206,'Dec'!$D$27:$AH$206,'Jan (next year)'!$D$27:$AH$206),27+3*(IFERROR(MATCH(C981,Roster!$B$6:$B$65,0),MATCH(C981,Roster!$C$6:$C$65,0))-1)+MATCH(B981,{"AM","PM","NIGHT"},0)-1-27+1,DAY(A981))&amp;"",""))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$206,'Feb'!$D$27:$AH$206,'Mar'!$D$27:$AH$206,'Apr'!$D$27:$AH$206,'May'!$D$27:$AH$206,'Jun'!$D$27:$AH$206,'Jul'!$D$27:$AH$206,'Aug'!$D$27:$AH$206,'Sep'!$D$27:$AH$206,'Oct'!$D$27:$AH$206,'Nov'!$D$27:$AH$206,'Dec'!$D$27:$AH$206,'Jan (next year)'!$D$27:$AH$206),27+3*(IFERROR(MATCH(C982,Roster!$B$6:$B$65,0),MATCH(C982,Roster!$C$6:$C$65,0))-1)+MATCH(B982,{"AM","PM","NIGHT"},0)-1-27+1,DAY(A982))&amp;"",""))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$206,'Feb'!$D$27:$AH$206,'Mar'!$D$27:$AH$206,'Apr'!$D$27:$AH$206,'May'!$D$27:$AH$206,'Jun'!$D$27:$AH$206,'Jul'!$D$27:$AH$206,'Aug'!$D$27:$AH$206,'Sep'!$D$27:$AH$206,'Oct'!$D$27:$AH$206,'Nov'!$D$27:$AH$206,'Dec'!$D$27:$AH$206,'Jan (next year)'!$D$27:$AH$206),27+3*(IFERROR(MATCH(C983,Roster!$B$6:$B$65,0),MATCH(C983,Roster!$C$6:$C$65,0))-1)+MATCH(B983,{"AM","PM","NIGHT"},0)-1-27+1,DAY(A983))&amp;"",""))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$206,'Feb'!$D$27:$AH$206,'Mar'!$D$27:$AH$206,'Apr'!$D$27:$AH$206,'May'!$D$27:$AH$206,'Jun'!$D$27:$AH$206,'Jul'!$D$27:$AH$206,'Aug'!$D$27:$AH$206,'Sep'!$D$27:$AH$206,'Oct'!$D$27:$AH$206,'Nov'!$D$27:$AH$206,'Dec'!$D$27:$AH$206,'Jan (next year)'!$D$27:$AH$206),27+3*(IFERROR(MATCH(C984,Roster!$B$6:$B$65,0),MATCH(C984,Roster!$C$6:$C$65,0))-1)+MATCH(B984,{"AM","PM","NIGHT"},0)-1-27+1,DAY(A984))&amp;"",""))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$206,'Feb'!$D$27:$AH$206,'Mar'!$D$27:$AH$206,'Apr'!$D$27:$AH$206,'May'!$D$27:$AH$206,'Jun'!$D$27:$AH$206,'Jul'!$D$27:$AH$206,'Aug'!$D$27:$AH$206,'Sep'!$D$27:$AH$206,'Oct'!$D$27:$AH$206,'Nov'!$D$27:$AH$206,'Dec'!$D$27:$AH$206,'Jan (next year)'!$D$27:$AH$206),27+3*(IFERROR(MATCH(C985,Roster!$B$6:$B$65,0),MATCH(C985,Roster!$C$6:$C$65,0))-1)+MATCH(B985,{"AM","PM","NIGHT"},0)-1-27+1,DAY(A985))&amp;"",""))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$206,'Feb'!$D$27:$AH$206,'Mar'!$D$27:$AH$206,'Apr'!$D$27:$AH$206,'May'!$D$27:$AH$206,'Jun'!$D$27:$AH$206,'Jul'!$D$27:$AH$206,'Aug'!$D$27:$AH$206,'Sep'!$D$27:$AH$206,'Oct'!$D$27:$AH$206,'Nov'!$D$27:$AH$206,'Dec'!$D$27:$AH$206,'Jan (next year)'!$D$27:$AH$206),27+3*(IFERROR(MATCH(C986,Roster!$B$6:$B$65,0),MATCH(C986,Roster!$C$6:$C$65,0))-1)+MATCH(B986,{"AM","PM","NIGHT"},0)-1-27+1,DAY(A986))&amp;"",""))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$206,'Feb'!$D$27:$AH$206,'Mar'!$D$27:$AH$206,'Apr'!$D$27:$AH$206,'May'!$D$27:$AH$206,'Jun'!$D$27:$AH$206,'Jul'!$D$27:$AH$206,'Aug'!$D$27:$AH$206,'Sep'!$D$27:$AH$206,'Oct'!$D$27:$AH$206,'Nov'!$D$27:$AH$206,'Dec'!$D$27:$AH$206,'Jan (next year)'!$D$27:$AH$206),27+3*(IFERROR(MATCH(C987,Roster!$B$6:$B$65,0),MATCH(C987,Roster!$C$6:$C$65,0))-1)+MATCH(B987,{"AM","PM","NIGHT"},0)-1-27+1,DAY(A987))&amp;"",""))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$206,'Feb'!$D$27:$AH$206,'Mar'!$D$27:$AH$206,'Apr'!$D$27:$AH$206,'May'!$D$27:$AH$206,'Jun'!$D$27:$AH$206,'Jul'!$D$27:$AH$206,'Aug'!$D$27:$AH$206,'Sep'!$D$27:$AH$206,'Oct'!$D$27:$AH$206,'Nov'!$D$27:$AH$206,'Dec'!$D$27:$AH$206,'Jan (next year)'!$D$27:$AH$206),27+3*(IFERROR(MATCH(C988,Roster!$B$6:$B$65,0),MATCH(C988,Roster!$C$6:$C$65,0))-1)+MATCH(B988,{"AM","PM","NIGHT"},0)-1-27+1,DAY(A988))&amp;"",""))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$206,'Feb'!$D$27:$AH$206,'Mar'!$D$27:$AH$206,'Apr'!$D$27:$AH$206,'May'!$D$27:$AH$206,'Jun'!$D$27:$AH$206,'Jul'!$D$27:$AH$206,'Aug'!$D$27:$AH$206,'Sep'!$D$27:$AH$206,'Oct'!$D$27:$AH$206,'Nov'!$D$27:$AH$206,'Dec'!$D$27:$AH$206,'Jan (next year)'!$D$27:$AH$206),27+3*(IFERROR(MATCH(C989,Roster!$B$6:$B$65,0),MATCH(C989,Roster!$C$6:$C$65,0))-1)+MATCH(B989,{"AM","PM","NIGHT"},0)-1-27+1,DAY(A989))&amp;"",""))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$206,'Feb'!$D$27:$AH$206,'Mar'!$D$27:$AH$206,'Apr'!$D$27:$AH$206,'May'!$D$27:$AH$206,'Jun'!$D$27:$AH$206,'Jul'!$D$27:$AH$206,'Aug'!$D$27:$AH$206,'Sep'!$D$27:$AH$206,'Oct'!$D$27:$AH$206,'Nov'!$D$27:$AH$206,'Dec'!$D$27:$AH$206,'Jan (next year)'!$D$27:$AH$206),27+3*(IFERROR(MATCH(C990,Roster!$B$6:$B$65,0),MATCH(C990,Roster!$C$6:$C$65,0))-1)+MATCH(B990,{"AM","PM","NIGHT"},0)-1-27+1,DAY(A990))&amp;"",""))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$206,'Feb'!$D$27:$AH$206,'Mar'!$D$27:$AH$206,'Apr'!$D$27:$AH$206,'May'!$D$27:$AH$206,'Jun'!$D$27:$AH$206,'Jul'!$D$27:$AH$206,'Aug'!$D$27:$AH$206,'Sep'!$D$27:$AH$206,'Oct'!$D$27:$AH$206,'Nov'!$D$27:$AH$206,'Dec'!$D$27:$AH$206,'Jan (next year)'!$D$27:$AH$206),27+3*(IFERROR(MATCH(C991,Roster!$B$6:$B$65,0),MATCH(C991,Roster!$C$6:$C$65,0))-1)+MATCH(B991,{"AM","PM","NIGHT"},0)-1-27+1,DAY(A991))&amp;"",""))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$206,'Feb'!$D$27:$AH$206,'Mar'!$D$27:$AH$206,'Apr'!$D$27:$AH$206,'May'!$D$27:$AH$206,'Jun'!$D$27:$AH$206,'Jul'!$D$27:$AH$206,'Aug'!$D$27:$AH$206,'Sep'!$D$27:$AH$206,'Oct'!$D$27:$AH$206,'Nov'!$D$27:$AH$206,'Dec'!$D$27:$AH$206,'Jan (next year)'!$D$27:$AH$206),27+3*(IFERROR(MATCH(C992,Roster!$B$6:$B$65,0),MATCH(C992,Roster!$C$6:$C$65,0))-1)+MATCH(B992,{"AM","PM","NIGHT"},0)-1-27+1,DAY(A992))&amp;"",""))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$206,'Feb'!$D$27:$AH$206,'Mar'!$D$27:$AH$206,'Apr'!$D$27:$AH$206,'May'!$D$27:$AH$206,'Jun'!$D$27:$AH$206,'Jul'!$D$27:$AH$206,'Aug'!$D$27:$AH$206,'Sep'!$D$27:$AH$206,'Oct'!$D$27:$AH$206,'Nov'!$D$27:$AH$206,'Dec'!$D$27:$AH$206,'Jan (next year)'!$D$27:$AH$206),27+3*(IFERROR(MATCH(C993,Roster!$B$6:$B$65,0),MATCH(C993,Roster!$C$6:$C$65,0))-1)+MATCH(B993,{"AM","PM","NIGHT"},0)-1-27+1,DAY(A993))&amp;"",""))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$206,'Feb'!$D$27:$AH$206,'Mar'!$D$27:$AH$206,'Apr'!$D$27:$AH$206,'May'!$D$27:$AH$206,'Jun'!$D$27:$AH$206,'Jul'!$D$27:$AH$206,'Aug'!$D$27:$AH$206,'Sep'!$D$27:$AH$206,'Oct'!$D$27:$AH$206,'Nov'!$D$27:$AH$206,'Dec'!$D$27:$AH$206,'Jan (next year)'!$D$27:$AH$206),27+3*(IFERROR(MATCH(C994,Roster!$B$6:$B$65,0),MATCH(C994,Roster!$C$6:$C$65,0))-1)+MATCH(B994,{"AM","PM","NIGHT"},0)-1-27+1,DAY(A994))&amp;"",""))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$206,'Feb'!$D$27:$AH$206,'Mar'!$D$27:$AH$206,'Apr'!$D$27:$AH$206,'May'!$D$27:$AH$206,'Jun'!$D$27:$AH$206,'Jul'!$D$27:$AH$206,'Aug'!$D$27:$AH$206,'Sep'!$D$27:$AH$206,'Oct'!$D$27:$AH$206,'Nov'!$D$27:$AH$206,'Dec'!$D$27:$AH$206,'Jan (next year)'!$D$27:$AH$206),27+3*(IFERROR(MATCH(C995,Roster!$B$6:$B$65,0),MATCH(C995,Roster!$C$6:$C$65,0))-1)+MATCH(B995,{"AM","PM","NIGHT"},0)-1-27+1,DAY(A995))&amp;"",""))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$206,'Feb'!$D$27:$AH$206,'Mar'!$D$27:$AH$206,'Apr'!$D$27:$AH$206,'May'!$D$27:$AH$206,'Jun'!$D$27:$AH$206,'Jul'!$D$27:$AH$206,'Aug'!$D$27:$AH$206,'Sep'!$D$27:$AH$206,'Oct'!$D$27:$AH$206,'Nov'!$D$27:$AH$206,'Dec'!$D$27:$AH$206,'Jan (next year)'!$D$27:$AH$206),27+3*(IFERROR(MATCH(C996,Roster!$B$6:$B$65,0),MATCH(C996,Roster!$C$6:$C$65,0))-1)+MATCH(B996,{"AM","PM","NIGHT"},0)-1-27+1,DAY(A996))&amp;"",""))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$206,'Feb'!$D$27:$AH$206,'Mar'!$D$27:$AH$206,'Apr'!$D$27:$AH$206,'May'!$D$27:$AH$206,'Jun'!$D$27:$AH$206,'Jul'!$D$27:$AH$206,'Aug'!$D$27:$AH$206,'Sep'!$D$27:$AH$206,'Oct'!$D$27:$AH$206,'Nov'!$D$27:$AH$206,'Dec'!$D$27:$AH$206,'Jan (next year)'!$D$27:$AH$206),27+3*(IFERROR(MATCH(C997,Roster!$B$6:$B$65,0),MATCH(C997,Roster!$C$6:$C$65,0))-1)+MATCH(B997,{"AM","PM","NIGHT"},0)-1-27+1,DAY(A997))&amp;"",""))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$206,'Feb'!$D$27:$AH$206,'Mar'!$D$27:$AH$206,'Apr'!$D$27:$AH$206,'May'!$D$27:$AH$206,'Jun'!$D$27:$AH$206,'Jul'!$D$27:$AH$206,'Aug'!$D$27:$AH$206,'Sep'!$D$27:$AH$206,'Oct'!$D$27:$AH$206,'Nov'!$D$27:$AH$206,'Dec'!$D$27:$AH$206,'Jan (next year)'!$D$27:$AH$206),27+3*(IFERROR(MATCH(C998,Roster!$B$6:$B$65,0),MATCH(C998,Roster!$C$6:$C$65,0))-1)+MATCH(B998,{"AM","PM","NIGHT"},0)-1-27+1,DAY(A998))&amp;"",""))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$206,'Feb'!$D$27:$AH$206,'Mar'!$D$27:$AH$206,'Apr'!$D$27:$AH$206,'May'!$D$27:$AH$206,'Jun'!$D$27:$AH$206,'Jul'!$D$27:$AH$206,'Aug'!$D$27:$AH$206,'Sep'!$D$27:$AH$206,'Oct'!$D$27:$AH$206,'Nov'!$D$27:$AH$206,'Dec'!$D$27:$AH$206,'Jan (next year)'!$D$27:$AH$206),27+3*(IFERROR(MATCH(C999,Roster!$B$6:$B$65,0),MATCH(C999,Roster!$C$6:$C$65,0))-1)+MATCH(B999,{"AM","PM","NIGHT"},0)-1-27+1,DAY(A999))&amp;"",""))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$206,'Feb'!$D$27:$AH$206,'Mar'!$D$27:$AH$206,'Apr'!$D$27:$AH$206,'May'!$D$27:$AH$206,'Jun'!$D$27:$AH$206,'Jul'!$D$27:$AH$206,'Aug'!$D$27:$AH$206,'Sep'!$D$27:$AH$206,'Oct'!$D$27:$AH$206,'Nov'!$D$27:$AH$206,'Dec'!$D$27:$AH$206,'Jan (next year)'!$D$27:$AH$206),27+3*(IFERROR(MATCH(C1000,Roster!$B$6:$B$65,0),MATCH(C1000,Roster!$C$6:$C$65,0))-1)+MATCH(B1000,{"AM","PM","NIGHT"},0)-1-27+1,DAY(A1000))&amp;"",""))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$206,'Feb'!$D$27:$AH$206,'Mar'!$D$27:$AH$206,'Apr'!$D$27:$AH$206,'May'!$D$27:$AH$206,'Jun'!$D$27:$AH$206,'Jul'!$D$27:$AH$206,'Aug'!$D$27:$AH$206,'Sep'!$D$27:$AH$206,'Oct'!$D$27:$AH$206,'Nov'!$D$27:$AH$206,'Dec'!$D$27:$AH$206,'Jan (next year)'!$D$27:$AH$206),27+3*(IFERROR(MATCH(C1001,Roster!$B$6:$B$65,0),MATCH(C1001,Roster!$C$6:$C$65,0))-1)+MATCH(B1001,{"AM","PM","NIGHT"},0)-1-27+1,DAY(A1001))&amp;"",""))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$206,'Feb'!$D$27:$AH$206,'Mar'!$D$27:$AH$206,'Apr'!$D$27:$AH$206,'May'!$D$27:$AH$206,'Jun'!$D$27:$AH$206,'Jul'!$D$27:$AH$206,'Aug'!$D$27:$AH$206,'Sep'!$D$27:$AH$206,'Oct'!$D$27:$AH$206,'Nov'!$D$27:$AH$206,'Dec'!$D$27:$AH$206,'Jan (next year)'!$D$27:$AH$206),27+3*(IFERROR(MATCH(C1002,Roster!$B$6:$B$65,0),MATCH(C1002,Roster!$C$6:$C$65,0))-1)+MATCH(B1002,{"AM","PM","NIGHT"},0)-1-27+1,DAY(A1002))&amp;"",""))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$206,'Feb'!$D$27:$AH$206,'Mar'!$D$27:$AH$206,'Apr'!$D$27:$AH$206,'May'!$D$27:$AH$206,'Jun'!$D$27:$AH$206,'Jul'!$D$27:$AH$206,'Aug'!$D$27:$AH$206,'Sep'!$D$27:$AH$206,'Oct'!$D$27:$AH$206,'Nov'!$D$27:$AH$206,'Dec'!$D$27:$AH$206,'Jan (next year)'!$D$27:$AH$206),27+3*(IFERROR(MATCH(C1003,Roster!$B$6:$B$65,0),MATCH(C1003,Roster!$C$6:$C$65,0))-1)+MATCH(B1003,{"AM","PM","NIGHT"},0)-1-27+1,DAY(A1003))&amp;"",""))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$206,'Feb'!$D$27:$AH$206,'Mar'!$D$27:$AH$206,'Apr'!$D$27:$AH$206,'May'!$D$27:$AH$206,'Jun'!$D$27:$AH$206,'Jul'!$D$27:$AH$206,'Aug'!$D$27:$AH$206,'Sep'!$D$27:$AH$206,'Oct'!$D$27:$AH$206,'Nov'!$D$27:$AH$206,'Dec'!$D$27:$AH$206,'Jan (next year)'!$D$27:$AH$206),27+3*(IFERROR(MATCH(C1004,Roster!$B$6:$B$65,0),MATCH(C1004,Roster!$C$6:$C$65,0))-1)+MATCH(B1004,{"AM","PM","NIGHT"},0)-1-27+1,DAY(A1004))&amp;"",""))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$206,'Feb'!$D$27:$AH$206,'Mar'!$D$27:$AH$206,'Apr'!$D$27:$AH$206,'May'!$D$27:$AH$206,'Jun'!$D$27:$AH$206,'Jul'!$D$27:$AH$206,'Aug'!$D$27:$AH$206,'Sep'!$D$27:$AH$206,'Oct'!$D$27:$AH$206,'Nov'!$D$27:$AH$206,'Dec'!$D$27:$AH$206,'Jan (next year)'!$D$27:$AH$206),27+3*(IFERROR(MATCH(C1005,Roster!$B$6:$B$65,0),MATCH(C1005,Roster!$C$6:$C$65,0))-1)+MATCH(B1005,{"AM","PM","NIGHT"},0)-1-27+1,DAY(A1005))&amp;"",""))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$206,'Feb'!$D$27:$AH$206,'Mar'!$D$27:$AH$206,'Apr'!$D$27:$AH$206,'May'!$D$27:$AH$206,'Jun'!$D$27:$AH$206,'Jul'!$D$27:$AH$206,'Aug'!$D$27:$AH$206,'Sep'!$D$27:$AH$206,'Oct'!$D$27:$AH$206,'Nov'!$D$27:$AH$206,'Dec'!$D$27:$AH$206,'Jan (next year)'!$D$27:$AH$206),27+3*(IFERROR(MATCH(C1006,Roster!$B$6:$B$65,0),MATCH(C1006,Roster!$C$6:$C$65,0))-1)+MATCH(B1006,{"AM","PM","NIGHT"},0)-1-27+1,DAY(A1006))&amp;"",""))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$206,'Feb'!$D$27:$AH$206,'Mar'!$D$27:$AH$206,'Apr'!$D$27:$AH$206,'May'!$D$27:$AH$206,'Jun'!$D$27:$AH$206,'Jul'!$D$27:$AH$206,'Aug'!$D$27:$AH$206,'Sep'!$D$27:$AH$206,'Oct'!$D$27:$AH$206,'Nov'!$D$27:$AH$206,'Dec'!$D$27:$AH$206,'Jan (next year)'!$D$27:$AH$206),27+3*(IFERROR(MATCH(C1007,Roster!$B$6:$B$65,0),MATCH(C1007,Roster!$C$6:$C$65,0))-1)+MATCH(B1007,{"AM","PM","NIGHT"},0)-1-27+1,DAY(A1007))&amp;"",""))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$206,'Feb'!$D$27:$AH$206,'Mar'!$D$27:$AH$206,'Apr'!$D$27:$AH$206,'May'!$D$27:$AH$206,'Jun'!$D$27:$AH$206,'Jul'!$D$27:$AH$206,'Aug'!$D$27:$AH$206,'Sep'!$D$27:$AH$206,'Oct'!$D$27:$AH$206,'Nov'!$D$27:$AH$206,'Dec'!$D$27:$AH$206,'Jan (next year)'!$D$27:$AH$206),27+3*(IFERROR(MATCH(C1008,Roster!$B$6:$B$65,0),MATCH(C1008,Roster!$C$6:$C$65,0))-1)+MATCH(B1008,{"AM","PM","NIGHT"},0)-1-27+1,DAY(A1008))&amp;"",""))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$206,'Feb'!$D$27:$AH$206,'Mar'!$D$27:$AH$206,'Apr'!$D$27:$AH$206,'May'!$D$27:$AH$206,'Jun'!$D$27:$AH$206,'Jul'!$D$27:$AH$206,'Aug'!$D$27:$AH$206,'Sep'!$D$27:$AH$206,'Oct'!$D$27:$AH$206,'Nov'!$D$27:$AH$206,'Dec'!$D$27:$AH$206,'Jan (next year)'!$D$27:$AH$206),27+3*(IFERROR(MATCH(C1009,Roster!$B$6:$B$65,0),MATCH(C1009,Roster!$C$6:$C$65,0))-1)+MATCH(B1009,{"AM","PM","NIGHT"},0)-1-27+1,DAY(A1009))&amp;"",""))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$206,'Feb'!$D$27:$AH$206,'Mar'!$D$27:$AH$206,'Apr'!$D$27:$AH$206,'May'!$D$27:$AH$206,'Jun'!$D$27:$AH$206,'Jul'!$D$27:$AH$206,'Aug'!$D$27:$AH$206,'Sep'!$D$27:$AH$206,'Oct'!$D$27:$AH$206,'Nov'!$D$27:$AH$206,'Dec'!$D$27:$AH$206,'Jan (next year)'!$D$27:$AH$206),27+3*(IFERROR(MATCH(C1010,Roster!$B$6:$B$65,0),MATCH(C1010,Roster!$C$6:$C$65,0))-1)+MATCH(B1010,{"AM","PM","NIGHT"},0)-1-27+1,DAY(A1010))&amp;"",""))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$206,'Feb'!$D$27:$AH$206,'Mar'!$D$27:$AH$206,'Apr'!$D$27:$AH$206,'May'!$D$27:$AH$206,'Jun'!$D$27:$AH$206,'Jul'!$D$27:$AH$206,'Aug'!$D$27:$AH$206,'Sep'!$D$27:$AH$206,'Oct'!$D$27:$AH$206,'Nov'!$D$27:$AH$206,'Dec'!$D$27:$AH$206,'Jan (next year)'!$D$27:$AH$206),27+3*(IFERROR(MATCH(C1011,Roster!$B$6:$B$65,0),MATCH(C1011,Roster!$C$6:$C$65,0))-1)+MATCH(B1011,{"AM","PM","NIGHT"},0)-1-27+1,DAY(A1011))&amp;"",""))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$206,'Feb'!$D$27:$AH$206,'Mar'!$D$27:$AH$206,'Apr'!$D$27:$AH$206,'May'!$D$27:$AH$206,'Jun'!$D$27:$AH$206,'Jul'!$D$27:$AH$206,'Aug'!$D$27:$AH$206,'Sep'!$D$27:$AH$206,'Oct'!$D$27:$AH$206,'Nov'!$D$27:$AH$206,'Dec'!$D$27:$AH$206,'Jan (next year)'!$D$27:$AH$206),27+3*(IFERROR(MATCH(C1012,Roster!$B$6:$B$65,0),MATCH(C1012,Roster!$C$6:$C$65,0))-1)+MATCH(B1012,{"AM","PM","NIGHT"},0)-1-27+1,DAY(A1012))&amp;"",""))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$206,'Feb'!$D$27:$AH$206,'Mar'!$D$27:$AH$206,'Apr'!$D$27:$AH$206,'May'!$D$27:$AH$206,'Jun'!$D$27:$AH$206,'Jul'!$D$27:$AH$206,'Aug'!$D$27:$AH$206,'Sep'!$D$27:$AH$206,'Oct'!$D$27:$AH$206,'Nov'!$D$27:$AH$206,'Dec'!$D$27:$AH$206,'Jan (next year)'!$D$27:$AH$206),27+3*(IFERROR(MATCH(C1013,Roster!$B$6:$B$65,0),MATCH(C1013,Roster!$C$6:$C$65,0))-1)+MATCH(B1013,{"AM","PM","NIGHT"},0)-1-27+1,DAY(A1013))&amp;"",""))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$206,'Feb'!$D$27:$AH$206,'Mar'!$D$27:$AH$206,'Apr'!$D$27:$AH$206,'May'!$D$27:$AH$206,'Jun'!$D$27:$AH$206,'Jul'!$D$27:$AH$206,'Aug'!$D$27:$AH$206,'Sep'!$D$27:$AH$206,'Oct'!$D$27:$AH$206,'Nov'!$D$27:$AH$206,'Dec'!$D$27:$AH$206,'Jan (next year)'!$D$27:$AH$206),27+3*(IFERROR(MATCH(C1014,Roster!$B$6:$B$65,0),MATCH(C1014,Roster!$C$6:$C$65,0))-1)+MATCH(B1014,{"AM","PM","NIGHT"},0)-1-27+1,DAY(A1014))&amp;"",""))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$206,'Feb'!$D$27:$AH$206,'Mar'!$D$27:$AH$206,'Apr'!$D$27:$AH$206,'May'!$D$27:$AH$206,'Jun'!$D$27:$AH$206,'Jul'!$D$27:$AH$206,'Aug'!$D$27:$AH$206,'Sep'!$D$27:$AH$206,'Oct'!$D$27:$AH$206,'Nov'!$D$27:$AH$206,'Dec'!$D$27:$AH$206,'Jan (next year)'!$D$27:$AH$206),27+3*(IFERROR(MATCH(C1015,Roster!$B$6:$B$65,0),MATCH(C1015,Roster!$C$6:$C$65,0))-1)+MATCH(B1015,{"AM","PM","NIGHT"},0)-1-27+1,DAY(A1015))&amp;"",""))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$206,'Feb'!$D$27:$AH$206,'Mar'!$D$27:$AH$206,'Apr'!$D$27:$AH$206,'May'!$D$27:$AH$206,'Jun'!$D$27:$AH$206,'Jul'!$D$27:$AH$206,'Aug'!$D$27:$AH$206,'Sep'!$D$27:$AH$206,'Oct'!$D$27:$AH$206,'Nov'!$D$27:$AH$206,'Dec'!$D$27:$AH$206,'Jan (next year)'!$D$27:$AH$206),27+3*(IFERROR(MATCH(C1016,Roster!$B$6:$B$65,0),MATCH(C1016,Roster!$C$6:$C$65,0))-1)+MATCH(B1016,{"AM","PM","NIGHT"},0)-1-27+1,DAY(A1016))&amp;"",""))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$206,'Feb'!$D$27:$AH$206,'Mar'!$D$27:$AH$206,'Apr'!$D$27:$AH$206,'May'!$D$27:$AH$206,'Jun'!$D$27:$AH$206,'Jul'!$D$27:$AH$206,'Aug'!$D$27:$AH$206,'Sep'!$D$27:$AH$206,'Oct'!$D$27:$AH$206,'Nov'!$D$27:$AH$206,'Dec'!$D$27:$AH$206,'Jan (next year)'!$D$27:$AH$206),27+3*(IFERROR(MATCH(C1017,Roster!$B$6:$B$65,0),MATCH(C1017,Roster!$C$6:$C$65,0))-1)+MATCH(B1017,{"AM","PM","NIGHT"},0)-1-27+1,DAY(A1017))&amp;"",""))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$206,'Feb'!$D$27:$AH$206,'Mar'!$D$27:$AH$206,'Apr'!$D$27:$AH$206,'May'!$D$27:$AH$206,'Jun'!$D$27:$AH$206,'Jul'!$D$27:$AH$206,'Aug'!$D$27:$AH$206,'Sep'!$D$27:$AH$206,'Oct'!$D$27:$AH$206,'Nov'!$D$27:$AH$206,'Dec'!$D$27:$AH$206,'Jan (next year)'!$D$27:$AH$206),27+3*(IFERROR(MATCH(C1018,Roster!$B$6:$B$65,0),MATCH(C1018,Roster!$C$6:$C$65,0))-1)+MATCH(B1018,{"AM","PM","NIGHT"},0)-1-27+1,DAY(A1018))&amp;"",""))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$206,'Feb'!$D$27:$AH$206,'Mar'!$D$27:$AH$206,'Apr'!$D$27:$AH$206,'May'!$D$27:$AH$206,'Jun'!$D$27:$AH$206,'Jul'!$D$27:$AH$206,'Aug'!$D$27:$AH$206,'Sep'!$D$27:$AH$206,'Oct'!$D$27:$AH$206,'Nov'!$D$27:$AH$206,'Dec'!$D$27:$AH$206,'Jan (next year)'!$D$27:$AH$206),27+3*(IFERROR(MATCH(C1019,Roster!$B$6:$B$65,0),MATCH(C1019,Roster!$C$6:$C$65,0))-1)+MATCH(B1019,{"AM","PM","NIGHT"},0)-1-27+1,DAY(A1019))&amp;"",""))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$206,'Feb'!$D$27:$AH$206,'Mar'!$D$27:$AH$206,'Apr'!$D$27:$AH$206,'May'!$D$27:$AH$206,'Jun'!$D$27:$AH$206,'Jul'!$D$27:$AH$206,'Aug'!$D$27:$AH$206,'Sep'!$D$27:$AH$206,'Oct'!$D$27:$AH$206,'Nov'!$D$27:$AH$206,'Dec'!$D$27:$AH$206,'Jan (next year)'!$D$27:$AH$206),27+3*(IFERROR(MATCH(C1020,Roster!$B$6:$B$65,0),MATCH(C1020,Roster!$C$6:$C$65,0))-1)+MATCH(B1020,{"AM","PM","NIGHT"},0)-1-27+1,DAY(A1020))&amp;"",""))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$206,'Feb'!$D$27:$AH$206,'Mar'!$D$27:$AH$206,'Apr'!$D$27:$AH$206,'May'!$D$27:$AH$206,'Jun'!$D$27:$AH$206,'Jul'!$D$27:$AH$206,'Aug'!$D$27:$AH$206,'Sep'!$D$27:$AH$206,'Oct'!$D$27:$AH$206,'Nov'!$D$27:$AH$206,'Dec'!$D$27:$AH$206,'Jan (next year)'!$D$27:$AH$206),27+3*(IFERROR(MATCH(C1021,Roster!$B$6:$B$65,0),MATCH(C1021,Roster!$C$6:$C$65,0))-1)+MATCH(B1021,{"AM","PM","NIGHT"},0)-1-27+1,DAY(A1021))&amp;"",""))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$206,'Feb'!$D$27:$AH$206,'Mar'!$D$27:$AH$206,'Apr'!$D$27:$AH$206,'May'!$D$27:$AH$206,'Jun'!$D$27:$AH$206,'Jul'!$D$27:$AH$206,'Aug'!$D$27:$AH$206,'Sep'!$D$27:$AH$206,'Oct'!$D$27:$AH$206,'Nov'!$D$27:$AH$206,'Dec'!$D$27:$AH$206,'Jan (next year)'!$D$27:$AH$206),27+3*(IFERROR(MATCH(C1022,Roster!$B$6:$B$65,0),MATCH(C1022,Roster!$C$6:$C$65,0))-1)+MATCH(B1022,{"AM","PM","NIGHT"},0)-1-27+1,DAY(A1022))&amp;"",""))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$206,'Feb'!$D$27:$AH$206,'Mar'!$D$27:$AH$206,'Apr'!$D$27:$AH$206,'May'!$D$27:$AH$206,'Jun'!$D$27:$AH$206,'Jul'!$D$27:$AH$206,'Aug'!$D$27:$AH$206,'Sep'!$D$27:$AH$206,'Oct'!$D$27:$AH$206,'Nov'!$D$27:$AH$206,'Dec'!$D$27:$AH$206,'Jan (next year)'!$D$27:$AH$206),27+3*(IFERROR(MATCH(C1023,Roster!$B$6:$B$65,0),MATCH(C1023,Roster!$C$6:$C$65,0))-1)+MATCH(B1023,{"AM","PM","NIGHT"},0)-1-27+1,DAY(A1023))&amp;"",""))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$206,'Feb'!$D$27:$AH$206,'Mar'!$D$27:$AH$206,'Apr'!$D$27:$AH$206,'May'!$D$27:$AH$206,'Jun'!$D$27:$AH$206,'Jul'!$D$27:$AH$206,'Aug'!$D$27:$AH$206,'Sep'!$D$27:$AH$206,'Oct'!$D$27:$AH$206,'Nov'!$D$27:$AH$206,'Dec'!$D$27:$AH$206,'Jan (next year)'!$D$27:$AH$206),27+3*(IFERROR(MATCH(C1024,Roster!$B$6:$B$65,0),MATCH(C1024,Roster!$C$6:$C$65,0))-1)+MATCH(B1024,{"AM","PM","NIGHT"},0)-1-27+1,DAY(A1024))&amp;"",""))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$206,'Feb'!$D$27:$AH$206,'Mar'!$D$27:$AH$206,'Apr'!$D$27:$AH$206,'May'!$D$27:$AH$206,'Jun'!$D$27:$AH$206,'Jul'!$D$27:$AH$206,'Aug'!$D$27:$AH$206,'Sep'!$D$27:$AH$206,'Oct'!$D$27:$AH$206,'Nov'!$D$27:$AH$206,'Dec'!$D$27:$AH$206,'Jan (next year)'!$D$27:$AH$206),27+3*(IFERROR(MATCH(C1025,Roster!$B$6:$B$65,0),MATCH(C1025,Roster!$C$6:$C$65,0))-1)+MATCH(B1025,{"AM","PM","NIGHT"},0)-1-27+1,DAY(A1025))&amp;"",""))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$206,'Feb'!$D$27:$AH$206,'Mar'!$D$27:$AH$206,'Apr'!$D$27:$AH$206,'May'!$D$27:$AH$206,'Jun'!$D$27:$AH$206,'Jul'!$D$27:$AH$206,'Aug'!$D$27:$AH$206,'Sep'!$D$27:$AH$206,'Oct'!$D$27:$AH$206,'Nov'!$D$27:$AH$206,'Dec'!$D$27:$AH$206,'Jan (next year)'!$D$27:$AH$206),27+3*(IFERROR(MATCH(C1026,Roster!$B$6:$B$65,0),MATCH(C1026,Roster!$C$6:$C$65,0))-1)+MATCH(B1026,{"AM","PM","NIGHT"},0)-1-27+1,DAY(A1026))&amp;"",""))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$206,'Feb'!$D$27:$AH$206,'Mar'!$D$27:$AH$206,'Apr'!$D$27:$AH$206,'May'!$D$27:$AH$206,'Jun'!$D$27:$AH$206,'Jul'!$D$27:$AH$206,'Aug'!$D$27:$AH$206,'Sep'!$D$27:$AH$206,'Oct'!$D$27:$AH$206,'Nov'!$D$27:$AH$206,'Dec'!$D$27:$AH$206,'Jan (next year)'!$D$27:$AH$206),27+3*(IFERROR(MATCH(C1027,Roster!$B$6:$B$65,0),MATCH(C1027,Roster!$C$6:$C$65,0))-1)+MATCH(B1027,{"AM","PM","NIGHT"},0)-1-27+1,DAY(A1027))&amp;"",""))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$206,'Feb'!$D$27:$AH$206,'Mar'!$D$27:$AH$206,'Apr'!$D$27:$AH$206,'May'!$D$27:$AH$206,'Jun'!$D$27:$AH$206,'Jul'!$D$27:$AH$206,'Aug'!$D$27:$AH$206,'Sep'!$D$27:$AH$206,'Oct'!$D$27:$AH$206,'Nov'!$D$27:$AH$206,'Dec'!$D$27:$AH$206,'Jan (next year)'!$D$27:$AH$206),27+3*(IFERROR(MATCH(C1028,Roster!$B$6:$B$65,0),MATCH(C1028,Roster!$C$6:$C$65,0))-1)+MATCH(B1028,{"AM","PM","NIGHT"},0)-1-27+1,DAY(A1028))&amp;"",""))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$206,'Feb'!$D$27:$AH$206,'Mar'!$D$27:$AH$206,'Apr'!$D$27:$AH$206,'May'!$D$27:$AH$206,'Jun'!$D$27:$AH$206,'Jul'!$D$27:$AH$206,'Aug'!$D$27:$AH$206,'Sep'!$D$27:$AH$206,'Oct'!$D$27:$AH$206,'Nov'!$D$27:$AH$206,'Dec'!$D$27:$AH$206,'Jan (next year)'!$D$27:$AH$206),27+3*(IFERROR(MATCH(C1029,Roster!$B$6:$B$65,0),MATCH(C1029,Roster!$C$6:$C$65,0))-1)+MATCH(B1029,{"AM","PM","NIGHT"},0)-1-27+1,DAY(A1029))&amp;"",""))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$206,'Feb'!$D$27:$AH$206,'Mar'!$D$27:$AH$206,'Apr'!$D$27:$AH$206,'May'!$D$27:$AH$206,'Jun'!$D$27:$AH$206,'Jul'!$D$27:$AH$206,'Aug'!$D$27:$AH$206,'Sep'!$D$27:$AH$206,'Oct'!$D$27:$AH$206,'Nov'!$D$27:$AH$206,'Dec'!$D$27:$AH$206,'Jan (next year)'!$D$27:$AH$206),27+3*(IFERROR(MATCH(C1030,Roster!$B$6:$B$65,0),MATCH(C1030,Roster!$C$6:$C$65,0))-1)+MATCH(B1030,{"AM","PM","NIGHT"},0)-1-27+1,DAY(A1030))&amp;"",""))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$206,'Feb'!$D$27:$AH$206,'Mar'!$D$27:$AH$206,'Apr'!$D$27:$AH$206,'May'!$D$27:$AH$206,'Jun'!$D$27:$AH$206,'Jul'!$D$27:$AH$206,'Aug'!$D$27:$AH$206,'Sep'!$D$27:$AH$206,'Oct'!$D$27:$AH$206,'Nov'!$D$27:$AH$206,'Dec'!$D$27:$AH$206,'Jan (next year)'!$D$27:$AH$206),27+3*(IFERROR(MATCH(C1031,Roster!$B$6:$B$65,0),MATCH(C1031,Roster!$C$6:$C$65,0))-1)+MATCH(B1031,{"AM","PM","NIGHT"},0)-1-27+1,DAY(A1031))&amp;"",""))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$206,'Feb'!$D$27:$AH$206,'Mar'!$D$27:$AH$206,'Apr'!$D$27:$AH$206,'May'!$D$27:$AH$206,'Jun'!$D$27:$AH$206,'Jul'!$D$27:$AH$206,'Aug'!$D$27:$AH$206,'Sep'!$D$27:$AH$206,'Oct'!$D$27:$AH$206,'Nov'!$D$27:$AH$206,'Dec'!$D$27:$AH$206,'Jan (next year)'!$D$27:$AH$206),27+3*(IFERROR(MATCH(C1032,Roster!$B$6:$B$65,0),MATCH(C1032,Roster!$C$6:$C$65,0))-1)+MATCH(B1032,{"AM","PM","NIGHT"},0)-1-27+1,DAY(A1032))&amp;"",""))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$206,'Feb'!$D$27:$AH$206,'Mar'!$D$27:$AH$206,'Apr'!$D$27:$AH$206,'May'!$D$27:$AH$206,'Jun'!$D$27:$AH$206,'Jul'!$D$27:$AH$206,'Aug'!$D$27:$AH$206,'Sep'!$D$27:$AH$206,'Oct'!$D$27:$AH$206,'Nov'!$D$27:$AH$206,'Dec'!$D$27:$AH$206,'Jan (next year)'!$D$27:$AH$206),27+3*(IFERROR(MATCH(C1033,Roster!$B$6:$B$65,0),MATCH(C1033,Roster!$C$6:$C$65,0))-1)+MATCH(B1033,{"AM","PM","NIGHT"},0)-1-27+1,DAY(A1033))&amp;"",""))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$206,'Feb'!$D$27:$AH$206,'Mar'!$D$27:$AH$206,'Apr'!$D$27:$AH$206,'May'!$D$27:$AH$206,'Jun'!$D$27:$AH$206,'Jul'!$D$27:$AH$206,'Aug'!$D$27:$AH$206,'Sep'!$D$27:$AH$206,'Oct'!$D$27:$AH$206,'Nov'!$D$27:$AH$206,'Dec'!$D$27:$AH$206,'Jan (next year)'!$D$27:$AH$206),27+3*(IFERROR(MATCH(C1034,Roster!$B$6:$B$65,0),MATCH(C1034,Roster!$C$6:$C$65,0))-1)+MATCH(B1034,{"AM","PM","NIGHT"},0)-1-27+1,DAY(A1034))&amp;"",""))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$206,'Feb'!$D$27:$AH$206,'Mar'!$D$27:$AH$206,'Apr'!$D$27:$AH$206,'May'!$D$27:$AH$206,'Jun'!$D$27:$AH$206,'Jul'!$D$27:$AH$206,'Aug'!$D$27:$AH$206,'Sep'!$D$27:$AH$206,'Oct'!$D$27:$AH$206,'Nov'!$D$27:$AH$206,'Dec'!$D$27:$AH$206,'Jan (next year)'!$D$27:$AH$206),27+3*(IFERROR(MATCH(C1035,Roster!$B$6:$B$65,0),MATCH(C1035,Roster!$C$6:$C$65,0))-1)+MATCH(B1035,{"AM","PM","NIGHT"},0)-1-27+1,DAY(A1035))&amp;"",""))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$206,'Feb'!$D$27:$AH$206,'Mar'!$D$27:$AH$206,'Apr'!$D$27:$AH$206,'May'!$D$27:$AH$206,'Jun'!$D$27:$AH$206,'Jul'!$D$27:$AH$206,'Aug'!$D$27:$AH$206,'Sep'!$D$27:$AH$206,'Oct'!$D$27:$AH$206,'Nov'!$D$27:$AH$206,'Dec'!$D$27:$AH$206,'Jan (next year)'!$D$27:$AH$206),27+3*(IFERROR(MATCH(C1036,Roster!$B$6:$B$65,0),MATCH(C1036,Roster!$C$6:$C$65,0))-1)+MATCH(B1036,{"AM","PM","NIGHT"},0)-1-27+1,DAY(A1036))&amp;"",""))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$206,'Feb'!$D$27:$AH$206,'Mar'!$D$27:$AH$206,'Apr'!$D$27:$AH$206,'May'!$D$27:$AH$206,'Jun'!$D$27:$AH$206,'Jul'!$D$27:$AH$206,'Aug'!$D$27:$AH$206,'Sep'!$D$27:$AH$206,'Oct'!$D$27:$AH$206,'Nov'!$D$27:$AH$206,'Dec'!$D$27:$AH$206,'Jan (next year)'!$D$27:$AH$206),27+3*(IFERROR(MATCH(C1037,Roster!$B$6:$B$65,0),MATCH(C1037,Roster!$C$6:$C$65,0))-1)+MATCH(B1037,{"AM","PM","NIGHT"},0)-1-27+1,DAY(A1037))&amp;"",""))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$206,'Feb'!$D$27:$AH$206,'Mar'!$D$27:$AH$206,'Apr'!$D$27:$AH$206,'May'!$D$27:$AH$206,'Jun'!$D$27:$AH$206,'Jul'!$D$27:$AH$206,'Aug'!$D$27:$AH$206,'Sep'!$D$27:$AH$206,'Oct'!$D$27:$AH$206,'Nov'!$D$27:$AH$206,'Dec'!$D$27:$AH$206,'Jan (next year)'!$D$27:$AH$206),27+3*(IFERROR(MATCH(C1038,Roster!$B$6:$B$65,0),MATCH(C1038,Roster!$C$6:$C$65,0))-1)+MATCH(B1038,{"AM","PM","NIGHT"},0)-1-27+1,DAY(A1038))&amp;"",""))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$206,'Feb'!$D$27:$AH$206,'Mar'!$D$27:$AH$206,'Apr'!$D$27:$AH$206,'May'!$D$27:$AH$206,'Jun'!$D$27:$AH$206,'Jul'!$D$27:$AH$206,'Aug'!$D$27:$AH$206,'Sep'!$D$27:$AH$206,'Oct'!$D$27:$AH$206,'Nov'!$D$27:$AH$206,'Dec'!$D$27:$AH$206,'Jan (next year)'!$D$27:$AH$206),27+3*(IFERROR(MATCH(C1039,Roster!$B$6:$B$65,0),MATCH(C1039,Roster!$C$6:$C$65,0))-1)+MATCH(B1039,{"AM","PM","NIGHT"},0)-1-27+1,DAY(A1039))&amp;"",""))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$206,'Feb'!$D$27:$AH$206,'Mar'!$D$27:$AH$206,'Apr'!$D$27:$AH$206,'May'!$D$27:$AH$206,'Jun'!$D$27:$AH$206,'Jul'!$D$27:$AH$206,'Aug'!$D$27:$AH$206,'Sep'!$D$27:$AH$206,'Oct'!$D$27:$AH$206,'Nov'!$D$27:$AH$206,'Dec'!$D$27:$AH$206,'Jan (next year)'!$D$27:$AH$206),27+3*(IFERROR(MATCH(C1040,Roster!$B$6:$B$65,0),MATCH(C1040,Roster!$C$6:$C$65,0))-1)+MATCH(B1040,{"AM","PM","NIGHT"},0)-1-27+1,DAY(A1040))&amp;"",""))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$206,'Feb'!$D$27:$AH$206,'Mar'!$D$27:$AH$206,'Apr'!$D$27:$AH$206,'May'!$D$27:$AH$206,'Jun'!$D$27:$AH$206,'Jul'!$D$27:$AH$206,'Aug'!$D$27:$AH$206,'Sep'!$D$27:$AH$206,'Oct'!$D$27:$AH$206,'Nov'!$D$27:$AH$206,'Dec'!$D$27:$AH$206,'Jan (next year)'!$D$27:$AH$206),27+3*(IFERROR(MATCH(C1041,Roster!$B$6:$B$65,0),MATCH(C1041,Roster!$C$6:$C$65,0))-1)+MATCH(B1041,{"AM","PM","NIGHT"},0)-1-27+1,DAY(A1041))&amp;"",""))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$206,'Feb'!$D$27:$AH$206,'Mar'!$D$27:$AH$206,'Apr'!$D$27:$AH$206,'May'!$D$27:$AH$206,'Jun'!$D$27:$AH$206,'Jul'!$D$27:$AH$206,'Aug'!$D$27:$AH$206,'Sep'!$D$27:$AH$206,'Oct'!$D$27:$AH$206,'Nov'!$D$27:$AH$206,'Dec'!$D$27:$AH$206,'Jan (next year)'!$D$27:$AH$206),27+3*(IFERROR(MATCH(C1042,Roster!$B$6:$B$65,0),MATCH(C1042,Roster!$C$6:$C$65,0))-1)+MATCH(B1042,{"AM","PM","NIGHT"},0)-1-27+1,DAY(A1042))&amp;"",""))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$206,'Feb'!$D$27:$AH$206,'Mar'!$D$27:$AH$206,'Apr'!$D$27:$AH$206,'May'!$D$27:$AH$206,'Jun'!$D$27:$AH$206,'Jul'!$D$27:$AH$206,'Aug'!$D$27:$AH$206,'Sep'!$D$27:$AH$206,'Oct'!$D$27:$AH$206,'Nov'!$D$27:$AH$206,'Dec'!$D$27:$AH$206,'Jan (next year)'!$D$27:$AH$206),27+3*(IFERROR(MATCH(C1043,Roster!$B$6:$B$65,0),MATCH(C1043,Roster!$C$6:$C$65,0))-1)+MATCH(B1043,{"AM","PM","NIGHT"},0)-1-27+1,DAY(A1043))&amp;"",""))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$206,'Feb'!$D$27:$AH$206,'Mar'!$D$27:$AH$206,'Apr'!$D$27:$AH$206,'May'!$D$27:$AH$206,'Jun'!$D$27:$AH$206,'Jul'!$D$27:$AH$206,'Aug'!$D$27:$AH$206,'Sep'!$D$27:$AH$206,'Oct'!$D$27:$AH$206,'Nov'!$D$27:$AH$206,'Dec'!$D$27:$AH$206,'Jan (next year)'!$D$27:$AH$206),27+3*(IFERROR(MATCH(C1044,Roster!$B$6:$B$65,0),MATCH(C1044,Roster!$C$6:$C$65,0))-1)+MATCH(B1044,{"AM","PM","NIGHT"},0)-1-27+1,DAY(A1044))&amp;"",""))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$206,'Feb'!$D$27:$AH$206,'Mar'!$D$27:$AH$206,'Apr'!$D$27:$AH$206,'May'!$D$27:$AH$206,'Jun'!$D$27:$AH$206,'Jul'!$D$27:$AH$206,'Aug'!$D$27:$AH$206,'Sep'!$D$27:$AH$206,'Oct'!$D$27:$AH$206,'Nov'!$D$27:$AH$206,'Dec'!$D$27:$AH$206,'Jan (next year)'!$D$27:$AH$206),27+3*(IFERROR(MATCH(C1045,Roster!$B$6:$B$65,0),MATCH(C1045,Roster!$C$6:$C$65,0))-1)+MATCH(B1045,{"AM","PM","NIGHT"},0)-1-27+1,DAY(A1045))&amp;"",""))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$206,'Feb'!$D$27:$AH$206,'Mar'!$D$27:$AH$206,'Apr'!$D$27:$AH$206,'May'!$D$27:$AH$206,'Jun'!$D$27:$AH$206,'Jul'!$D$27:$AH$206,'Aug'!$D$27:$AH$206,'Sep'!$D$27:$AH$206,'Oct'!$D$27:$AH$206,'Nov'!$D$27:$AH$206,'Dec'!$D$27:$AH$206,'Jan (next year)'!$D$27:$AH$206),27+3*(IFERROR(MATCH(C1046,Roster!$B$6:$B$65,0),MATCH(C1046,Roster!$C$6:$C$65,0))-1)+MATCH(B1046,{"AM","PM","NIGHT"},0)-1-27+1,DAY(A1046))&amp;"",""))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$206,'Feb'!$D$27:$AH$206,'Mar'!$D$27:$AH$206,'Apr'!$D$27:$AH$206,'May'!$D$27:$AH$206,'Jun'!$D$27:$AH$206,'Jul'!$D$27:$AH$206,'Aug'!$D$27:$AH$206,'Sep'!$D$27:$AH$206,'Oct'!$D$27:$AH$206,'Nov'!$D$27:$AH$206,'Dec'!$D$27:$AH$206,'Jan (next year)'!$D$27:$AH$206),27+3*(IFERROR(MATCH(C1047,Roster!$B$6:$B$65,0),MATCH(C1047,Roster!$C$6:$C$65,0))-1)+MATCH(B1047,{"AM","PM","NIGHT"},0)-1-27+1,DAY(A1047))&amp;"",""))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$206,'Feb'!$D$27:$AH$206,'Mar'!$D$27:$AH$206,'Apr'!$D$27:$AH$206,'May'!$D$27:$AH$206,'Jun'!$D$27:$AH$206,'Jul'!$D$27:$AH$206,'Aug'!$D$27:$AH$206,'Sep'!$D$27:$AH$206,'Oct'!$D$27:$AH$206,'Nov'!$D$27:$AH$206,'Dec'!$D$27:$AH$206,'Jan (next year)'!$D$27:$AH$206),27+3*(IFERROR(MATCH(C1048,Roster!$B$6:$B$65,0),MATCH(C1048,Roster!$C$6:$C$65,0))-1)+MATCH(B1048,{"AM","PM","NIGHT"},0)-1-27+1,DAY(A1048))&amp;"",""))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$206,'Feb'!$D$27:$AH$206,'Mar'!$D$27:$AH$206,'Apr'!$D$27:$AH$206,'May'!$D$27:$AH$206,'Jun'!$D$27:$AH$206,'Jul'!$D$27:$AH$206,'Aug'!$D$27:$AH$206,'Sep'!$D$27:$AH$206,'Oct'!$D$27:$AH$206,'Nov'!$D$27:$AH$206,'Dec'!$D$27:$AH$206,'Jan (next year)'!$D$27:$AH$206),27+3*(IFERROR(MATCH(C1049,Roster!$B$6:$B$65,0),MATCH(C1049,Roster!$C$6:$C$65,0))-1)+MATCH(B1049,{"AM","PM","NIGHT"},0)-1-27+1,DAY(A1049))&amp;"",""))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$206,'Feb'!$D$27:$AH$206,'Mar'!$D$27:$AH$206,'Apr'!$D$27:$AH$206,'May'!$D$27:$AH$206,'Jun'!$D$27:$AH$206,'Jul'!$D$27:$AH$206,'Aug'!$D$27:$AH$206,'Sep'!$D$27:$AH$206,'Oct'!$D$27:$AH$206,'Nov'!$D$27:$AH$206,'Dec'!$D$27:$AH$206,'Jan (next year)'!$D$27:$AH$206),27+3*(IFERROR(MATCH(C1050,Roster!$B$6:$B$65,0),MATCH(C1050,Roster!$C$6:$C$65,0))-1)+MATCH(B1050,{"AM","PM","NIGHT"},0)-1-27+1,DAY(A1050))&amp;"",""))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$206,'Feb'!$D$27:$AH$206,'Mar'!$D$27:$AH$206,'Apr'!$D$27:$AH$206,'May'!$D$27:$AH$206,'Jun'!$D$27:$AH$206,'Jul'!$D$27:$AH$206,'Aug'!$D$27:$AH$206,'Sep'!$D$27:$AH$206,'Oct'!$D$27:$AH$206,'Nov'!$D$27:$AH$206,'Dec'!$D$27:$AH$206,'Jan (next year)'!$D$27:$AH$206),27+3*(IFERROR(MATCH(C1051,Roster!$B$6:$B$65,0),MATCH(C1051,Roster!$C$6:$C$65,0))-1)+MATCH(B1051,{"AM","PM","NIGHT"},0)-1-27+1,DAY(A1051))&amp;"",""))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$206,'Feb'!$D$27:$AH$206,'Mar'!$D$27:$AH$206,'Apr'!$D$27:$AH$206,'May'!$D$27:$AH$206,'Jun'!$D$27:$AH$206,'Jul'!$D$27:$AH$206,'Aug'!$D$27:$AH$206,'Sep'!$D$27:$AH$206,'Oct'!$D$27:$AH$206,'Nov'!$D$27:$AH$206,'Dec'!$D$27:$AH$206,'Jan (next year)'!$D$27:$AH$206),27+3*(IFERROR(MATCH(C1052,Roster!$B$6:$B$65,0),MATCH(C1052,Roster!$C$6:$C$65,0))-1)+MATCH(B1052,{"AM","PM","NIGHT"},0)-1-27+1,DAY(A1052))&amp;"",""))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$206,'Feb'!$D$27:$AH$206,'Mar'!$D$27:$AH$206,'Apr'!$D$27:$AH$206,'May'!$D$27:$AH$206,'Jun'!$D$27:$AH$206,'Jul'!$D$27:$AH$206,'Aug'!$D$27:$AH$206,'Sep'!$D$27:$AH$206,'Oct'!$D$27:$AH$206,'Nov'!$D$27:$AH$206,'Dec'!$D$27:$AH$206,'Jan (next year)'!$D$27:$AH$206),27+3*(IFERROR(MATCH(C1053,Roster!$B$6:$B$65,0),MATCH(C1053,Roster!$C$6:$C$65,0))-1)+MATCH(B1053,{"AM","PM","NIGHT"},0)-1-27+1,DAY(A1053))&amp;"",""))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$206,'Feb'!$D$27:$AH$206,'Mar'!$D$27:$AH$206,'Apr'!$D$27:$AH$206,'May'!$D$27:$AH$206,'Jun'!$D$27:$AH$206,'Jul'!$D$27:$AH$206,'Aug'!$D$27:$AH$206,'Sep'!$D$27:$AH$206,'Oct'!$D$27:$AH$206,'Nov'!$D$27:$AH$206,'Dec'!$D$27:$AH$206,'Jan (next year)'!$D$27:$AH$206),27+3*(IFERROR(MATCH(C1054,Roster!$B$6:$B$65,0),MATCH(C1054,Roster!$C$6:$C$65,0))-1)+MATCH(B1054,{"AM","PM","NIGHT"},0)-1-27+1,DAY(A1054))&amp;"",""))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$206,'Feb'!$D$27:$AH$206,'Mar'!$D$27:$AH$206,'Apr'!$D$27:$AH$206,'May'!$D$27:$AH$206,'Jun'!$D$27:$AH$206,'Jul'!$D$27:$AH$206,'Aug'!$D$27:$AH$206,'Sep'!$D$27:$AH$206,'Oct'!$D$27:$AH$206,'Nov'!$D$27:$AH$206,'Dec'!$D$27:$AH$206,'Jan (next year)'!$D$27:$AH$206),27+3*(IFERROR(MATCH(C1055,Roster!$B$6:$B$65,0),MATCH(C1055,Roster!$C$6:$C$65,0))-1)+MATCH(B1055,{"AM","PM","NIGHT"},0)-1-27+1,DAY(A1055))&amp;"",""))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$206,'Feb'!$D$27:$AH$206,'Mar'!$D$27:$AH$206,'Apr'!$D$27:$AH$206,'May'!$D$27:$AH$206,'Jun'!$D$27:$AH$206,'Jul'!$D$27:$AH$206,'Aug'!$D$27:$AH$206,'Sep'!$D$27:$AH$206,'Oct'!$D$27:$AH$206,'Nov'!$D$27:$AH$206,'Dec'!$D$27:$AH$206,'Jan (next year)'!$D$27:$AH$206),27+3*(IFERROR(MATCH(C1056,Roster!$B$6:$B$65,0),MATCH(C1056,Roster!$C$6:$C$65,0))-1)+MATCH(B1056,{"AM","PM","NIGHT"},0)-1-27+1,DAY(A1056))&amp;"",""))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$206,'Feb'!$D$27:$AH$206,'Mar'!$D$27:$AH$206,'Apr'!$D$27:$AH$206,'May'!$D$27:$AH$206,'Jun'!$D$27:$AH$206,'Jul'!$D$27:$AH$206,'Aug'!$D$27:$AH$206,'Sep'!$D$27:$AH$206,'Oct'!$D$27:$AH$206,'Nov'!$D$27:$AH$206,'Dec'!$D$27:$AH$206,'Jan (next year)'!$D$27:$AH$206),27+3*(IFERROR(MATCH(C1057,Roster!$B$6:$B$65,0),MATCH(C1057,Roster!$C$6:$C$65,0))-1)+MATCH(B1057,{"AM","PM","NIGHT"},0)-1-27+1,DAY(A1057))&amp;"",""))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$206,'Feb'!$D$27:$AH$206,'Mar'!$D$27:$AH$206,'Apr'!$D$27:$AH$206,'May'!$D$27:$AH$206,'Jun'!$D$27:$AH$206,'Jul'!$D$27:$AH$206,'Aug'!$D$27:$AH$206,'Sep'!$D$27:$AH$206,'Oct'!$D$27:$AH$206,'Nov'!$D$27:$AH$206,'Dec'!$D$27:$AH$206,'Jan (next year)'!$D$27:$AH$206),27+3*(IFERROR(MATCH(C1058,Roster!$B$6:$B$65,0),MATCH(C1058,Roster!$C$6:$C$65,0))-1)+MATCH(B1058,{"AM","PM","NIGHT"},0)-1-27+1,DAY(A1058))&amp;"",""))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$206,'Feb'!$D$27:$AH$206,'Mar'!$D$27:$AH$206,'Apr'!$D$27:$AH$206,'May'!$D$27:$AH$206,'Jun'!$D$27:$AH$206,'Jul'!$D$27:$AH$206,'Aug'!$D$27:$AH$206,'Sep'!$D$27:$AH$206,'Oct'!$D$27:$AH$206,'Nov'!$D$27:$AH$206,'Dec'!$D$27:$AH$206,'Jan (next year)'!$D$27:$AH$206),27+3*(IFERROR(MATCH(C1059,Roster!$B$6:$B$65,0),MATCH(C1059,Roster!$C$6:$C$65,0))-1)+MATCH(B1059,{"AM","PM","NIGHT"},0)-1-27+1,DAY(A1059))&amp;"",""))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$206,'Feb'!$D$27:$AH$206,'Mar'!$D$27:$AH$206,'Apr'!$D$27:$AH$206,'May'!$D$27:$AH$206,'Jun'!$D$27:$AH$206,'Jul'!$D$27:$AH$206,'Aug'!$D$27:$AH$206,'Sep'!$D$27:$AH$206,'Oct'!$D$27:$AH$206,'Nov'!$D$27:$AH$206,'Dec'!$D$27:$AH$206,'Jan (next year)'!$D$27:$AH$206),27+3*(IFERROR(MATCH(C1060,Roster!$B$6:$B$65,0),MATCH(C1060,Roster!$C$6:$C$65,0))-1)+MATCH(B1060,{"AM","PM","NIGHT"},0)-1-27+1,DAY(A1060))&amp;"",""))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$206,'Feb'!$D$27:$AH$206,'Mar'!$D$27:$AH$206,'Apr'!$D$27:$AH$206,'May'!$D$27:$AH$206,'Jun'!$D$27:$AH$206,'Jul'!$D$27:$AH$206,'Aug'!$D$27:$AH$206,'Sep'!$D$27:$AH$206,'Oct'!$D$27:$AH$206,'Nov'!$D$27:$AH$206,'Dec'!$D$27:$AH$206,'Jan (next year)'!$D$27:$AH$206),27+3*(IFERROR(MATCH(C1061,Roster!$B$6:$B$65,0),MATCH(C1061,Roster!$C$6:$C$65,0))-1)+MATCH(B1061,{"AM","PM","NIGHT"},0)-1-27+1,DAY(A1061))&amp;"",""))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$206,'Feb'!$D$27:$AH$206,'Mar'!$D$27:$AH$206,'Apr'!$D$27:$AH$206,'May'!$D$27:$AH$206,'Jun'!$D$27:$AH$206,'Jul'!$D$27:$AH$206,'Aug'!$D$27:$AH$206,'Sep'!$D$27:$AH$206,'Oct'!$D$27:$AH$206,'Nov'!$D$27:$AH$206,'Dec'!$D$27:$AH$206,'Jan (next year)'!$D$27:$AH$206),27+3*(IFERROR(MATCH(C1062,Roster!$B$6:$B$65,0),MATCH(C1062,Roster!$C$6:$C$65,0))-1)+MATCH(B1062,{"AM","PM","NIGHT"},0)-1-27+1,DAY(A1062))&amp;"",""))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$206,'Feb'!$D$27:$AH$206,'Mar'!$D$27:$AH$206,'Apr'!$D$27:$AH$206,'May'!$D$27:$AH$206,'Jun'!$D$27:$AH$206,'Jul'!$D$27:$AH$206,'Aug'!$D$27:$AH$206,'Sep'!$D$27:$AH$206,'Oct'!$D$27:$AH$206,'Nov'!$D$27:$AH$206,'Dec'!$D$27:$AH$206,'Jan (next year)'!$D$27:$AH$206),27+3*(IFERROR(MATCH(C1063,Roster!$B$6:$B$65,0),MATCH(C1063,Roster!$C$6:$C$65,0))-1)+MATCH(B1063,{"AM","PM","NIGHT"},0)-1-27+1,DAY(A1063))&amp;"",""))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$206,'Feb'!$D$27:$AH$206,'Mar'!$D$27:$AH$206,'Apr'!$D$27:$AH$206,'May'!$D$27:$AH$206,'Jun'!$D$27:$AH$206,'Jul'!$D$27:$AH$206,'Aug'!$D$27:$AH$206,'Sep'!$D$27:$AH$206,'Oct'!$D$27:$AH$206,'Nov'!$D$27:$AH$206,'Dec'!$D$27:$AH$206,'Jan (next year)'!$D$27:$AH$206),27+3*(IFERROR(MATCH(C1064,Roster!$B$6:$B$65,0),MATCH(C1064,Roster!$C$6:$C$65,0))-1)+MATCH(B1064,{"AM","PM","NIGHT"},0)-1-27+1,DAY(A1064))&amp;"",""))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$206,'Feb'!$D$27:$AH$206,'Mar'!$D$27:$AH$206,'Apr'!$D$27:$AH$206,'May'!$D$27:$AH$206,'Jun'!$D$27:$AH$206,'Jul'!$D$27:$AH$206,'Aug'!$D$27:$AH$206,'Sep'!$D$27:$AH$206,'Oct'!$D$27:$AH$206,'Nov'!$D$27:$AH$206,'Dec'!$D$27:$AH$206,'Jan (next year)'!$D$27:$AH$206),27+3*(IFERROR(MATCH(C1065,Roster!$B$6:$B$65,0),MATCH(C1065,Roster!$C$6:$C$65,0))-1)+MATCH(B1065,{"AM","PM","NIGHT"},0)-1-27+1,DAY(A1065))&amp;"",""))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$206,'Feb'!$D$27:$AH$206,'Mar'!$D$27:$AH$206,'Apr'!$D$27:$AH$206,'May'!$D$27:$AH$206,'Jun'!$D$27:$AH$206,'Jul'!$D$27:$AH$206,'Aug'!$D$27:$AH$206,'Sep'!$D$27:$AH$206,'Oct'!$D$27:$AH$206,'Nov'!$D$27:$AH$206,'Dec'!$D$27:$AH$206,'Jan (next year)'!$D$27:$AH$206),27+3*(IFERROR(MATCH(C1066,Roster!$B$6:$B$65,0),MATCH(C1066,Roster!$C$6:$C$65,0))-1)+MATCH(B1066,{"AM","PM","NIGHT"},0)-1-27+1,DAY(A1066))&amp;"",""))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$206,'Feb'!$D$27:$AH$206,'Mar'!$D$27:$AH$206,'Apr'!$D$27:$AH$206,'May'!$D$27:$AH$206,'Jun'!$D$27:$AH$206,'Jul'!$D$27:$AH$206,'Aug'!$D$27:$AH$206,'Sep'!$D$27:$AH$206,'Oct'!$D$27:$AH$206,'Nov'!$D$27:$AH$206,'Dec'!$D$27:$AH$206,'Jan (next year)'!$D$27:$AH$206),27+3*(IFERROR(MATCH(C1067,Roster!$B$6:$B$65,0),MATCH(C1067,Roster!$C$6:$C$65,0))-1)+MATCH(B1067,{"AM","PM","NIGHT"},0)-1-27+1,DAY(A1067))&amp;"",""))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$206,'Feb'!$D$27:$AH$206,'Mar'!$D$27:$AH$206,'Apr'!$D$27:$AH$206,'May'!$D$27:$AH$206,'Jun'!$D$27:$AH$206,'Jul'!$D$27:$AH$206,'Aug'!$D$27:$AH$206,'Sep'!$D$27:$AH$206,'Oct'!$D$27:$AH$206,'Nov'!$D$27:$AH$206,'Dec'!$D$27:$AH$206,'Jan (next year)'!$D$27:$AH$206),27+3*(IFERROR(MATCH(C1068,Roster!$B$6:$B$65,0),MATCH(C1068,Roster!$C$6:$C$65,0))-1)+MATCH(B1068,{"AM","PM","NIGHT"},0)-1-27+1,DAY(A1068))&amp;"",""))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$206,'Feb'!$D$27:$AH$206,'Mar'!$D$27:$AH$206,'Apr'!$D$27:$AH$206,'May'!$D$27:$AH$206,'Jun'!$D$27:$AH$206,'Jul'!$D$27:$AH$206,'Aug'!$D$27:$AH$206,'Sep'!$D$27:$AH$206,'Oct'!$D$27:$AH$206,'Nov'!$D$27:$AH$206,'Dec'!$D$27:$AH$206,'Jan (next year)'!$D$27:$AH$206),27+3*(IFERROR(MATCH(C1069,Roster!$B$6:$B$65,0),MATCH(C1069,Roster!$C$6:$C$65,0))-1)+MATCH(B1069,{"AM","PM","NIGHT"},0)-1-27+1,DAY(A1069))&amp;"",""))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$206,'Feb'!$D$27:$AH$206,'Mar'!$D$27:$AH$206,'Apr'!$D$27:$AH$206,'May'!$D$27:$AH$206,'Jun'!$D$27:$AH$206,'Jul'!$D$27:$AH$206,'Aug'!$D$27:$AH$206,'Sep'!$D$27:$AH$206,'Oct'!$D$27:$AH$206,'Nov'!$D$27:$AH$206,'Dec'!$D$27:$AH$206,'Jan (next year)'!$D$27:$AH$206),27+3*(IFERROR(MATCH(C1070,Roster!$B$6:$B$65,0),MATCH(C1070,Roster!$C$6:$C$65,0))-1)+MATCH(B1070,{"AM","PM","NIGHT"},0)-1-27+1,DAY(A1070))&amp;"",""))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$206,'Feb'!$D$27:$AH$206,'Mar'!$D$27:$AH$206,'Apr'!$D$27:$AH$206,'May'!$D$27:$AH$206,'Jun'!$D$27:$AH$206,'Jul'!$D$27:$AH$206,'Aug'!$D$27:$AH$206,'Sep'!$D$27:$AH$206,'Oct'!$D$27:$AH$206,'Nov'!$D$27:$AH$206,'Dec'!$D$27:$AH$206,'Jan (next year)'!$D$27:$AH$206),27+3*(IFERROR(MATCH(C1071,Roster!$B$6:$B$65,0),MATCH(C1071,Roster!$C$6:$C$65,0))-1)+MATCH(B1071,{"AM","PM","NIGHT"},0)-1-27+1,DAY(A1071))&amp;"",""))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$206,'Feb'!$D$27:$AH$206,'Mar'!$D$27:$AH$206,'Apr'!$D$27:$AH$206,'May'!$D$27:$AH$206,'Jun'!$D$27:$AH$206,'Jul'!$D$27:$AH$206,'Aug'!$D$27:$AH$206,'Sep'!$D$27:$AH$206,'Oct'!$D$27:$AH$206,'Nov'!$D$27:$AH$206,'Dec'!$D$27:$AH$206,'Jan (next year)'!$D$27:$AH$206),27+3*(IFERROR(MATCH(C1072,Roster!$B$6:$B$65,0),MATCH(C1072,Roster!$C$6:$C$65,0))-1)+MATCH(B1072,{"AM","PM","NIGHT"},0)-1-27+1,DAY(A1072))&amp;"",""))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$206,'Feb'!$D$27:$AH$206,'Mar'!$D$27:$AH$206,'Apr'!$D$27:$AH$206,'May'!$D$27:$AH$206,'Jun'!$D$27:$AH$206,'Jul'!$D$27:$AH$206,'Aug'!$D$27:$AH$206,'Sep'!$D$27:$AH$206,'Oct'!$D$27:$AH$206,'Nov'!$D$27:$AH$206,'Dec'!$D$27:$AH$206,'Jan (next year)'!$D$27:$AH$206),27+3*(IFERROR(MATCH(C1073,Roster!$B$6:$B$65,0),MATCH(C1073,Roster!$C$6:$C$65,0))-1)+MATCH(B1073,{"AM","PM","NIGHT"},0)-1-27+1,DAY(A1073))&amp;"",""))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$206,'Feb'!$D$27:$AH$206,'Mar'!$D$27:$AH$206,'Apr'!$D$27:$AH$206,'May'!$D$27:$AH$206,'Jun'!$D$27:$AH$206,'Jul'!$D$27:$AH$206,'Aug'!$D$27:$AH$206,'Sep'!$D$27:$AH$206,'Oct'!$D$27:$AH$206,'Nov'!$D$27:$AH$206,'Dec'!$D$27:$AH$206,'Jan (next year)'!$D$27:$AH$206),27+3*(IFERROR(MATCH(C1074,Roster!$B$6:$B$65,0),MATCH(C1074,Roster!$C$6:$C$65,0))-1)+MATCH(B1074,{"AM","PM","NIGHT"},0)-1-27+1,DAY(A1074))&amp;"",""))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$206,'Feb'!$D$27:$AH$206,'Mar'!$D$27:$AH$206,'Apr'!$D$27:$AH$206,'May'!$D$27:$AH$206,'Jun'!$D$27:$AH$206,'Jul'!$D$27:$AH$206,'Aug'!$D$27:$AH$206,'Sep'!$D$27:$AH$206,'Oct'!$D$27:$AH$206,'Nov'!$D$27:$AH$206,'Dec'!$D$27:$AH$206,'Jan (next year)'!$D$27:$AH$206),27+3*(IFERROR(MATCH(C1075,Roster!$B$6:$B$65,0),MATCH(C1075,Roster!$C$6:$C$65,0))-1)+MATCH(B1075,{"AM","PM","NIGHT"},0)-1-27+1,DAY(A1075))&amp;"",""))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$206,'Feb'!$D$27:$AH$206,'Mar'!$D$27:$AH$206,'Apr'!$D$27:$AH$206,'May'!$D$27:$AH$206,'Jun'!$D$27:$AH$206,'Jul'!$D$27:$AH$206,'Aug'!$D$27:$AH$206,'Sep'!$D$27:$AH$206,'Oct'!$D$27:$AH$206,'Nov'!$D$27:$AH$206,'Dec'!$D$27:$AH$206,'Jan (next year)'!$D$27:$AH$206),27+3*(IFERROR(MATCH(C1076,Roster!$B$6:$B$65,0),MATCH(C1076,Roster!$C$6:$C$65,0))-1)+MATCH(B1076,{"AM","PM","NIGHT"},0)-1-27+1,DAY(A1076))&amp;"",""))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$206,'Feb'!$D$27:$AH$206,'Mar'!$D$27:$AH$206,'Apr'!$D$27:$AH$206,'May'!$D$27:$AH$206,'Jun'!$D$27:$AH$206,'Jul'!$D$27:$AH$206,'Aug'!$D$27:$AH$206,'Sep'!$D$27:$AH$206,'Oct'!$D$27:$AH$206,'Nov'!$D$27:$AH$206,'Dec'!$D$27:$AH$206,'Jan (next year)'!$D$27:$AH$206),27+3*(IFERROR(MATCH(C1077,Roster!$B$6:$B$65,0),MATCH(C1077,Roster!$C$6:$C$65,0))-1)+MATCH(B1077,{"AM","PM","NIGHT"},0)-1-27+1,DAY(A1077))&amp;"",""))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$206,'Feb'!$D$27:$AH$206,'Mar'!$D$27:$AH$206,'Apr'!$D$27:$AH$206,'May'!$D$27:$AH$206,'Jun'!$D$27:$AH$206,'Jul'!$D$27:$AH$206,'Aug'!$D$27:$AH$206,'Sep'!$D$27:$AH$206,'Oct'!$D$27:$AH$206,'Nov'!$D$27:$AH$206,'Dec'!$D$27:$AH$206,'Jan (next year)'!$D$27:$AH$206),27+3*(IFERROR(MATCH(C1078,Roster!$B$6:$B$65,0),MATCH(C1078,Roster!$C$6:$C$65,0))-1)+MATCH(B1078,{"AM","PM","NIGHT"},0)-1-27+1,DAY(A1078))&amp;"",""))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$206,'Feb'!$D$27:$AH$206,'Mar'!$D$27:$AH$206,'Apr'!$D$27:$AH$206,'May'!$D$27:$AH$206,'Jun'!$D$27:$AH$206,'Jul'!$D$27:$AH$206,'Aug'!$D$27:$AH$206,'Sep'!$D$27:$AH$206,'Oct'!$D$27:$AH$206,'Nov'!$D$27:$AH$206,'Dec'!$D$27:$AH$206,'Jan (next year)'!$D$27:$AH$206),27+3*(IFERROR(MATCH(C1079,Roster!$B$6:$B$65,0),MATCH(C1079,Roster!$C$6:$C$65,0))-1)+MATCH(B1079,{"AM","PM","NIGHT"},0)-1-27+1,DAY(A1079))&amp;"",""))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$206,'Feb'!$D$27:$AH$206,'Mar'!$D$27:$AH$206,'Apr'!$D$27:$AH$206,'May'!$D$27:$AH$206,'Jun'!$D$27:$AH$206,'Jul'!$D$27:$AH$206,'Aug'!$D$27:$AH$206,'Sep'!$D$27:$AH$206,'Oct'!$D$27:$AH$206,'Nov'!$D$27:$AH$206,'Dec'!$D$27:$AH$206,'Jan (next year)'!$D$27:$AH$206),27+3*(IFERROR(MATCH(C1080,Roster!$B$6:$B$65,0),MATCH(C1080,Roster!$C$6:$C$65,0))-1)+MATCH(B1080,{"AM","PM","NIGHT"},0)-1-27+1,DAY(A1080))&amp;"",""))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$206,'Feb'!$D$27:$AH$206,'Mar'!$D$27:$AH$206,'Apr'!$D$27:$AH$206,'May'!$D$27:$AH$206,'Jun'!$D$27:$AH$206,'Jul'!$D$27:$AH$206,'Aug'!$D$27:$AH$206,'Sep'!$D$27:$AH$206,'Oct'!$D$27:$AH$206,'Nov'!$D$27:$AH$206,'Dec'!$D$27:$AH$206,'Jan (next year)'!$D$27:$AH$206),27+3*(IFERROR(MATCH(C1081,Roster!$B$6:$B$65,0),MATCH(C1081,Roster!$C$6:$C$65,0))-1)+MATCH(B1081,{"AM","PM","NIGHT"},0)-1-27+1,DAY(A1081))&amp;"",""))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$206,'Feb'!$D$27:$AH$206,'Mar'!$D$27:$AH$206,'Apr'!$D$27:$AH$206,'May'!$D$27:$AH$206,'Jun'!$D$27:$AH$206,'Jul'!$D$27:$AH$206,'Aug'!$D$27:$AH$206,'Sep'!$D$27:$AH$206,'Oct'!$D$27:$AH$206,'Nov'!$D$27:$AH$206,'Dec'!$D$27:$AH$206,'Jan (next year)'!$D$27:$AH$206),27+3*(IFERROR(MATCH(C1082,Roster!$B$6:$B$65,0),MATCH(C1082,Roster!$C$6:$C$65,0))-1)+MATCH(B1082,{"AM","PM","NIGHT"},0)-1-27+1,DAY(A1082))&amp;"",""))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$206,'Feb'!$D$27:$AH$206,'Mar'!$D$27:$AH$206,'Apr'!$D$27:$AH$206,'May'!$D$27:$AH$206,'Jun'!$D$27:$AH$206,'Jul'!$D$27:$AH$206,'Aug'!$D$27:$AH$206,'Sep'!$D$27:$AH$206,'Oct'!$D$27:$AH$206,'Nov'!$D$27:$AH$206,'Dec'!$D$27:$AH$206,'Jan (next year)'!$D$27:$AH$206),27+3*(IFERROR(MATCH(C1083,Roster!$B$6:$B$65,0),MATCH(C1083,Roster!$C$6:$C$65,0))-1)+MATCH(B1083,{"AM","PM","NIGHT"},0)-1-27+1,DAY(A1083))&amp;"",""))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$206,'Feb'!$D$27:$AH$206,'Mar'!$D$27:$AH$206,'Apr'!$D$27:$AH$206,'May'!$D$27:$AH$206,'Jun'!$D$27:$AH$206,'Jul'!$D$27:$AH$206,'Aug'!$D$27:$AH$206,'Sep'!$D$27:$AH$206,'Oct'!$D$27:$AH$206,'Nov'!$D$27:$AH$206,'Dec'!$D$27:$AH$206,'Jan (next year)'!$D$27:$AH$206),27+3*(IFERROR(MATCH(C1084,Roster!$B$6:$B$65,0),MATCH(C1084,Roster!$C$6:$C$65,0))-1)+MATCH(B1084,{"AM","PM","NIGHT"},0)-1-27+1,DAY(A1084))&amp;"",""))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$206,'Feb'!$D$27:$AH$206,'Mar'!$D$27:$AH$206,'Apr'!$D$27:$AH$206,'May'!$D$27:$AH$206,'Jun'!$D$27:$AH$206,'Jul'!$D$27:$AH$206,'Aug'!$D$27:$AH$206,'Sep'!$D$27:$AH$206,'Oct'!$D$27:$AH$206,'Nov'!$D$27:$AH$206,'Dec'!$D$27:$AH$206,'Jan (next year)'!$D$27:$AH$206),27+3*(IFERROR(MATCH(C1085,Roster!$B$6:$B$65,0),MATCH(C1085,Roster!$C$6:$C$65,0))-1)+MATCH(B1085,{"AM","PM","NIGHT"},0)-1-27+1,DAY(A1085))&amp;"",""))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$206,'Feb'!$D$27:$AH$206,'Mar'!$D$27:$AH$206,'Apr'!$D$27:$AH$206,'May'!$D$27:$AH$206,'Jun'!$D$27:$AH$206,'Jul'!$D$27:$AH$206,'Aug'!$D$27:$AH$206,'Sep'!$D$27:$AH$206,'Oct'!$D$27:$AH$206,'Nov'!$D$27:$AH$206,'Dec'!$D$27:$AH$206,'Jan (next year)'!$D$27:$AH$206),27+3*(IFERROR(MATCH(C1086,Roster!$B$6:$B$65,0),MATCH(C1086,Roster!$C$6:$C$65,0))-1)+MATCH(B1086,{"AM","PM","NIGHT"},0)-1-27+1,DAY(A1086))&amp;"",""))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$206,'Feb'!$D$27:$AH$206,'Mar'!$D$27:$AH$206,'Apr'!$D$27:$AH$206,'May'!$D$27:$AH$206,'Jun'!$D$27:$AH$206,'Jul'!$D$27:$AH$206,'Aug'!$D$27:$AH$206,'Sep'!$D$27:$AH$206,'Oct'!$D$27:$AH$206,'Nov'!$D$27:$AH$206,'Dec'!$D$27:$AH$206,'Jan (next year)'!$D$27:$AH$206),27+3*(IFERROR(MATCH(C1087,Roster!$B$6:$B$65,0),MATCH(C1087,Roster!$C$6:$C$65,0))-1)+MATCH(B1087,{"AM","PM","NIGHT"},0)-1-27+1,DAY(A1087))&amp;"",""))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$206,'Feb'!$D$27:$AH$206,'Mar'!$D$27:$AH$206,'Apr'!$D$27:$AH$206,'May'!$D$27:$AH$206,'Jun'!$D$27:$AH$206,'Jul'!$D$27:$AH$206,'Aug'!$D$27:$AH$206,'Sep'!$D$27:$AH$206,'Oct'!$D$27:$AH$206,'Nov'!$D$27:$AH$206,'Dec'!$D$27:$AH$206,'Jan (next year)'!$D$27:$AH$206),27+3*(IFERROR(MATCH(C1088,Roster!$B$6:$B$65,0),MATCH(C1088,Roster!$C$6:$C$65,0))-1)+MATCH(B1088,{"AM","PM","NIGHT"},0)-1-27+1,DAY(A1088))&amp;"",""))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$206,'Feb'!$D$27:$AH$206,'Mar'!$D$27:$AH$206,'Apr'!$D$27:$AH$206,'May'!$D$27:$AH$206,'Jun'!$D$27:$AH$206,'Jul'!$D$27:$AH$206,'Aug'!$D$27:$AH$206,'Sep'!$D$27:$AH$206,'Oct'!$D$27:$AH$206,'Nov'!$D$27:$AH$206,'Dec'!$D$27:$AH$206,'Jan (next year)'!$D$27:$AH$206),27+3*(IFERROR(MATCH(C1089,Roster!$B$6:$B$65,0),MATCH(C1089,Roster!$C$6:$C$65,0))-1)+MATCH(B1089,{"AM","PM","NIGHT"},0)-1-27+1,DAY(A1089))&amp;"",""))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$206,'Feb'!$D$27:$AH$206,'Mar'!$D$27:$AH$206,'Apr'!$D$27:$AH$206,'May'!$D$27:$AH$206,'Jun'!$D$27:$AH$206,'Jul'!$D$27:$AH$206,'Aug'!$D$27:$AH$206,'Sep'!$D$27:$AH$206,'Oct'!$D$27:$AH$206,'Nov'!$D$27:$AH$206,'Dec'!$D$27:$AH$206,'Jan (next year)'!$D$27:$AH$206),27+3*(IFERROR(MATCH(C1090,Roster!$B$6:$B$65,0),MATCH(C1090,Roster!$C$6:$C$65,0))-1)+MATCH(B1090,{"AM","PM","NIGHT"},0)-1-27+1,DAY(A1090))&amp;"",""))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$206,'Feb'!$D$27:$AH$206,'Mar'!$D$27:$AH$206,'Apr'!$D$27:$AH$206,'May'!$D$27:$AH$206,'Jun'!$D$27:$AH$206,'Jul'!$D$27:$AH$206,'Aug'!$D$27:$AH$206,'Sep'!$D$27:$AH$206,'Oct'!$D$27:$AH$206,'Nov'!$D$27:$AH$206,'Dec'!$D$27:$AH$206,'Jan (next year)'!$D$27:$AH$206),27+3*(IFERROR(MATCH(C1091,Roster!$B$6:$B$65,0),MATCH(C1091,Roster!$C$6:$C$65,0))-1)+MATCH(B1091,{"AM","PM","NIGHT"},0)-1-27+1,DAY(A1091))&amp;"",""))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$206,'Feb'!$D$27:$AH$206,'Mar'!$D$27:$AH$206,'Apr'!$D$27:$AH$206,'May'!$D$27:$AH$206,'Jun'!$D$27:$AH$206,'Jul'!$D$27:$AH$206,'Aug'!$D$27:$AH$206,'Sep'!$D$27:$AH$206,'Oct'!$D$27:$AH$206,'Nov'!$D$27:$AH$206,'Dec'!$D$27:$AH$206,'Jan (next year)'!$D$27:$AH$206),27+3*(IFERROR(MATCH(C1092,Roster!$B$6:$B$65,0),MATCH(C1092,Roster!$C$6:$C$65,0))-1)+MATCH(B1092,{"AM","PM","NIGHT"},0)-1-27+1,DAY(A1092))&amp;"",""))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$206,'Feb'!$D$27:$AH$206,'Mar'!$D$27:$AH$206,'Apr'!$D$27:$AH$206,'May'!$D$27:$AH$206,'Jun'!$D$27:$AH$206,'Jul'!$D$27:$AH$206,'Aug'!$D$27:$AH$206,'Sep'!$D$27:$AH$206,'Oct'!$D$27:$AH$206,'Nov'!$D$27:$AH$206,'Dec'!$D$27:$AH$206,'Jan (next year)'!$D$27:$AH$206),27+3*(IFERROR(MATCH(C1093,Roster!$B$6:$B$65,0),MATCH(C1093,Roster!$C$6:$C$65,0))-1)+MATCH(B1093,{"AM","PM","NIGHT"},0)-1-27+1,DAY(A1093))&amp;"",""))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$206,'Feb'!$D$27:$AH$206,'Mar'!$D$27:$AH$206,'Apr'!$D$27:$AH$206,'May'!$D$27:$AH$206,'Jun'!$D$27:$AH$206,'Jul'!$D$27:$AH$206,'Aug'!$D$27:$AH$206,'Sep'!$D$27:$AH$206,'Oct'!$D$27:$AH$206,'Nov'!$D$27:$AH$206,'Dec'!$D$27:$AH$206,'Jan (next year)'!$D$27:$AH$206),27+3*(IFERROR(MATCH(C1094,Roster!$B$6:$B$65,0),MATCH(C1094,Roster!$C$6:$C$65,0))-1)+MATCH(B1094,{"AM","PM","NIGHT"},0)-1-27+1,DAY(A1094))&amp;"",""))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$206,'Feb'!$D$27:$AH$206,'Mar'!$D$27:$AH$206,'Apr'!$D$27:$AH$206,'May'!$D$27:$AH$206,'Jun'!$D$27:$AH$206,'Jul'!$D$27:$AH$206,'Aug'!$D$27:$AH$206,'Sep'!$D$27:$AH$206,'Oct'!$D$27:$AH$206,'Nov'!$D$27:$AH$206,'Dec'!$D$27:$AH$206,'Jan (next year)'!$D$27:$AH$206),27+3*(IFERROR(MATCH(C1095,Roster!$B$6:$B$65,0),MATCH(C1095,Roster!$C$6:$C$65,0))-1)+MATCH(B1095,{"AM","PM","NIGHT"},0)-1-27+1,DAY(A1095))&amp;"",""))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$206,'Feb'!$D$27:$AH$206,'Mar'!$D$27:$AH$206,'Apr'!$D$27:$AH$206,'May'!$D$27:$AH$206,'Jun'!$D$27:$AH$206,'Jul'!$D$27:$AH$206,'Aug'!$D$27:$AH$206,'Sep'!$D$27:$AH$206,'Oct'!$D$27:$AH$206,'Nov'!$D$27:$AH$206,'Dec'!$D$27:$AH$206,'Jan (next year)'!$D$27:$AH$206),27+3*(IFERROR(MATCH(C1096,Roster!$B$6:$B$65,0),MATCH(C1096,Roster!$C$6:$C$65,0))-1)+MATCH(B1096,{"AM","PM","NIGHT"},0)-1-27+1,DAY(A1096))&amp;"",""))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$206,'Feb'!$D$27:$AH$206,'Mar'!$D$27:$AH$206,'Apr'!$D$27:$AH$206,'May'!$D$27:$AH$206,'Jun'!$D$27:$AH$206,'Jul'!$D$27:$AH$206,'Aug'!$D$27:$AH$206,'Sep'!$D$27:$AH$206,'Oct'!$D$27:$AH$206,'Nov'!$D$27:$AH$206,'Dec'!$D$27:$AH$206,'Jan (next year)'!$D$27:$AH$206),27+3*(IFERROR(MATCH(C1097,Roster!$B$6:$B$65,0),MATCH(C1097,Roster!$C$6:$C$65,0))-1)+MATCH(B1097,{"AM","PM","NIGHT"},0)-1-27+1,DAY(A1097))&amp;"",""))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$206,'Feb'!$D$27:$AH$206,'Mar'!$D$27:$AH$206,'Apr'!$D$27:$AH$206,'May'!$D$27:$AH$206,'Jun'!$D$27:$AH$206,'Jul'!$D$27:$AH$206,'Aug'!$D$27:$AH$206,'Sep'!$D$27:$AH$206,'Oct'!$D$27:$AH$206,'Nov'!$D$27:$AH$206,'Dec'!$D$27:$AH$206,'Jan (next year)'!$D$27:$AH$206),27+3*(IFERROR(MATCH(C1098,Roster!$B$6:$B$65,0),MATCH(C1098,Roster!$C$6:$C$65,0))-1)+MATCH(B1098,{"AM","PM","NIGHT"},0)-1-27+1,DAY(A1098))&amp;"",""))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$206,'Feb'!$D$27:$AH$206,'Mar'!$D$27:$AH$206,'Apr'!$D$27:$AH$206,'May'!$D$27:$AH$206,'Jun'!$D$27:$AH$206,'Jul'!$D$27:$AH$206,'Aug'!$D$27:$AH$206,'Sep'!$D$27:$AH$206,'Oct'!$D$27:$AH$206,'Nov'!$D$27:$AH$206,'Dec'!$D$27:$AH$206,'Jan (next year)'!$D$27:$AH$206),27+3*(IFERROR(MATCH(C1099,Roster!$B$6:$B$65,0),MATCH(C1099,Roster!$C$6:$C$65,0))-1)+MATCH(B1099,{"AM","PM","NIGHT"},0)-1-27+1,DAY(A1099))&amp;"",""))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$206,'Feb'!$D$27:$AH$206,'Mar'!$D$27:$AH$206,'Apr'!$D$27:$AH$206,'May'!$D$27:$AH$206,'Jun'!$D$27:$AH$206,'Jul'!$D$27:$AH$206,'Aug'!$D$27:$AH$206,'Sep'!$D$27:$AH$206,'Oct'!$D$27:$AH$206,'Nov'!$D$27:$AH$206,'Dec'!$D$27:$AH$206,'Jan (next year)'!$D$27:$AH$206),27+3*(IFERROR(MATCH(C1100,Roster!$B$6:$B$65,0),MATCH(C1100,Roster!$C$6:$C$65,0))-1)+MATCH(B1100,{"AM","PM","NIGHT"},0)-1-27+1,DAY(A1100))&amp;"",""))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$206,'Feb'!$D$27:$AH$206,'Mar'!$D$27:$AH$206,'Apr'!$D$27:$AH$206,'May'!$D$27:$AH$206,'Jun'!$D$27:$AH$206,'Jul'!$D$27:$AH$206,'Aug'!$D$27:$AH$206,'Sep'!$D$27:$AH$206,'Oct'!$D$27:$AH$206,'Nov'!$D$27:$AH$206,'Dec'!$D$27:$AH$206,'Jan (next year)'!$D$27:$AH$206),27+3*(IFERROR(MATCH(C1101,Roster!$B$6:$B$65,0),MATCH(C1101,Roster!$C$6:$C$65,0))-1)+MATCH(B1101,{"AM","PM","NIGHT"},0)-1-27+1,DAY(A1101))&amp;"",""))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$206,'Feb'!$D$27:$AH$206,'Mar'!$D$27:$AH$206,'Apr'!$D$27:$AH$206,'May'!$D$27:$AH$206,'Jun'!$D$27:$AH$206,'Jul'!$D$27:$AH$206,'Aug'!$D$27:$AH$206,'Sep'!$D$27:$AH$206,'Oct'!$D$27:$AH$206,'Nov'!$D$27:$AH$206,'Dec'!$D$27:$AH$206,'Jan (next year)'!$D$27:$AH$206),27+3*(IFERROR(MATCH(C1102,Roster!$B$6:$B$65,0),MATCH(C1102,Roster!$C$6:$C$65,0))-1)+MATCH(B1102,{"AM","PM","NIGHT"},0)-1-27+1,DAY(A1102))&amp;"",""))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$206,'Feb'!$D$27:$AH$206,'Mar'!$D$27:$AH$206,'Apr'!$D$27:$AH$206,'May'!$D$27:$AH$206,'Jun'!$D$27:$AH$206,'Jul'!$D$27:$AH$206,'Aug'!$D$27:$AH$206,'Sep'!$D$27:$AH$206,'Oct'!$D$27:$AH$206,'Nov'!$D$27:$AH$206,'Dec'!$D$27:$AH$206,'Jan (next year)'!$D$27:$AH$206),27+3*(IFERROR(MATCH(C1103,Roster!$B$6:$B$65,0),MATCH(C1103,Roster!$C$6:$C$65,0))-1)+MATCH(B1103,{"AM","PM","NIGHT"},0)-1-27+1,DAY(A1103))&amp;"",""))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$206,'Feb'!$D$27:$AH$206,'Mar'!$D$27:$AH$206,'Apr'!$D$27:$AH$206,'May'!$D$27:$AH$206,'Jun'!$D$27:$AH$206,'Jul'!$D$27:$AH$206,'Aug'!$D$27:$AH$206,'Sep'!$D$27:$AH$206,'Oct'!$D$27:$AH$206,'Nov'!$D$27:$AH$206,'Dec'!$D$27:$AH$206,'Jan (next year)'!$D$27:$AH$206),27+3*(IFERROR(MATCH(C1104,Roster!$B$6:$B$65,0),MATCH(C1104,Roster!$C$6:$C$65,0))-1)+MATCH(B1104,{"AM","PM","NIGHT"},0)-1-27+1,DAY(A1104))&amp;"",""))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$206,'Feb'!$D$27:$AH$206,'Mar'!$D$27:$AH$206,'Apr'!$D$27:$AH$206,'May'!$D$27:$AH$206,'Jun'!$D$27:$AH$206,'Jul'!$D$27:$AH$206,'Aug'!$D$27:$AH$206,'Sep'!$D$27:$AH$206,'Oct'!$D$27:$AH$206,'Nov'!$D$27:$AH$206,'Dec'!$D$27:$AH$206,'Jan (next year)'!$D$27:$AH$206),27+3*(IFERROR(MATCH(C1105,Roster!$B$6:$B$65,0),MATCH(C1105,Roster!$C$6:$C$65,0))-1)+MATCH(B1105,{"AM","PM","NIGHT"},0)-1-27+1,DAY(A1105))&amp;"",""))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$206,'Feb'!$D$27:$AH$206,'Mar'!$D$27:$AH$206,'Apr'!$D$27:$AH$206,'May'!$D$27:$AH$206,'Jun'!$D$27:$AH$206,'Jul'!$D$27:$AH$206,'Aug'!$D$27:$AH$206,'Sep'!$D$27:$AH$206,'Oct'!$D$27:$AH$206,'Nov'!$D$27:$AH$206,'Dec'!$D$27:$AH$206,'Jan (next year)'!$D$27:$AH$206),27+3*(IFERROR(MATCH(C1106,Roster!$B$6:$B$65,0),MATCH(C1106,Roster!$C$6:$C$65,0))-1)+MATCH(B1106,{"AM","PM","NIGHT"},0)-1-27+1,DAY(A1106))&amp;"",""))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$206,'Feb'!$D$27:$AH$206,'Mar'!$D$27:$AH$206,'Apr'!$D$27:$AH$206,'May'!$D$27:$AH$206,'Jun'!$D$27:$AH$206,'Jul'!$D$27:$AH$206,'Aug'!$D$27:$AH$206,'Sep'!$D$27:$AH$206,'Oct'!$D$27:$AH$206,'Nov'!$D$27:$AH$206,'Dec'!$D$27:$AH$206,'Jan (next year)'!$D$27:$AH$206),27+3*(IFERROR(MATCH(C1107,Roster!$B$6:$B$65,0),MATCH(C1107,Roster!$C$6:$C$65,0))-1)+MATCH(B1107,{"AM","PM","NIGHT"},0)-1-27+1,DAY(A1107))&amp;"",""))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$206,'Feb'!$D$27:$AH$206,'Mar'!$D$27:$AH$206,'Apr'!$D$27:$AH$206,'May'!$D$27:$AH$206,'Jun'!$D$27:$AH$206,'Jul'!$D$27:$AH$206,'Aug'!$D$27:$AH$206,'Sep'!$D$27:$AH$206,'Oct'!$D$27:$AH$206,'Nov'!$D$27:$AH$206,'Dec'!$D$27:$AH$206,'Jan (next year)'!$D$27:$AH$206),27+3*(IFERROR(MATCH(C1108,Roster!$B$6:$B$65,0),MATCH(C1108,Roster!$C$6:$C$65,0))-1)+MATCH(B1108,{"AM","PM","NIGHT"},0)-1-27+1,DAY(A1108))&amp;"",""))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$206,'Feb'!$D$27:$AH$206,'Mar'!$D$27:$AH$206,'Apr'!$D$27:$AH$206,'May'!$D$27:$AH$206,'Jun'!$D$27:$AH$206,'Jul'!$D$27:$AH$206,'Aug'!$D$27:$AH$206,'Sep'!$D$27:$AH$206,'Oct'!$D$27:$AH$206,'Nov'!$D$27:$AH$206,'Dec'!$D$27:$AH$206,'Jan (next year)'!$D$27:$AH$206),27+3*(IFERROR(MATCH(C1109,Roster!$B$6:$B$65,0),MATCH(C1109,Roster!$C$6:$C$65,0))-1)+MATCH(B1109,{"AM","PM","NIGHT"},0)-1-27+1,DAY(A1109))&amp;"",""))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$206,'Feb'!$D$27:$AH$206,'Mar'!$D$27:$AH$206,'Apr'!$D$27:$AH$206,'May'!$D$27:$AH$206,'Jun'!$D$27:$AH$206,'Jul'!$D$27:$AH$206,'Aug'!$D$27:$AH$206,'Sep'!$D$27:$AH$206,'Oct'!$D$27:$AH$206,'Nov'!$D$27:$AH$206,'Dec'!$D$27:$AH$206,'Jan (next year)'!$D$27:$AH$206),27+3*(IFERROR(MATCH(C1110,Roster!$B$6:$B$65,0),MATCH(C1110,Roster!$C$6:$C$65,0))-1)+MATCH(B1110,{"AM","PM","NIGHT"},0)-1-27+1,DAY(A1110))&amp;"",""))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$206,'Feb'!$D$27:$AH$206,'Mar'!$D$27:$AH$206,'Apr'!$D$27:$AH$206,'May'!$D$27:$AH$206,'Jun'!$D$27:$AH$206,'Jul'!$D$27:$AH$206,'Aug'!$D$27:$AH$206,'Sep'!$D$27:$AH$206,'Oct'!$D$27:$AH$206,'Nov'!$D$27:$AH$206,'Dec'!$D$27:$AH$206,'Jan (next year)'!$D$27:$AH$206),27+3*(IFERROR(MATCH(C1111,Roster!$B$6:$B$65,0),MATCH(C1111,Roster!$C$6:$C$65,0))-1)+MATCH(B1111,{"AM","PM","NIGHT"},0)-1-27+1,DAY(A1111))&amp;"",""))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$206,'Feb'!$D$27:$AH$206,'Mar'!$D$27:$AH$206,'Apr'!$D$27:$AH$206,'May'!$D$27:$AH$206,'Jun'!$D$27:$AH$206,'Jul'!$D$27:$AH$206,'Aug'!$D$27:$AH$206,'Sep'!$D$27:$AH$206,'Oct'!$D$27:$AH$206,'Nov'!$D$27:$AH$206,'Dec'!$D$27:$AH$206,'Jan (next year)'!$D$27:$AH$206),27+3*(IFERROR(MATCH(C1112,Roster!$B$6:$B$65,0),MATCH(C1112,Roster!$C$6:$C$65,0))-1)+MATCH(B1112,{"AM","PM","NIGHT"},0)-1-27+1,DAY(A1112))&amp;"",""))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$206,'Feb'!$D$27:$AH$206,'Mar'!$D$27:$AH$206,'Apr'!$D$27:$AH$206,'May'!$D$27:$AH$206,'Jun'!$D$27:$AH$206,'Jul'!$D$27:$AH$206,'Aug'!$D$27:$AH$206,'Sep'!$D$27:$AH$206,'Oct'!$D$27:$AH$206,'Nov'!$D$27:$AH$206,'Dec'!$D$27:$AH$206,'Jan (next year)'!$D$27:$AH$206),27+3*(IFERROR(MATCH(C1113,Roster!$B$6:$B$65,0),MATCH(C1113,Roster!$C$6:$C$65,0))-1)+MATCH(B1113,{"AM","PM","NIGHT"},0)-1-27+1,DAY(A1113))&amp;"",""))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$206,'Feb'!$D$27:$AH$206,'Mar'!$D$27:$AH$206,'Apr'!$D$27:$AH$206,'May'!$D$27:$AH$206,'Jun'!$D$27:$AH$206,'Jul'!$D$27:$AH$206,'Aug'!$D$27:$AH$206,'Sep'!$D$27:$AH$206,'Oct'!$D$27:$AH$206,'Nov'!$D$27:$AH$206,'Dec'!$D$27:$AH$206,'Jan (next year)'!$D$27:$AH$206),27+3*(IFERROR(MATCH(C1114,Roster!$B$6:$B$65,0),MATCH(C1114,Roster!$C$6:$C$65,0))-1)+MATCH(B1114,{"AM","PM","NIGHT"},0)-1-27+1,DAY(A1114))&amp;"",""))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$206,'Feb'!$D$27:$AH$206,'Mar'!$D$27:$AH$206,'Apr'!$D$27:$AH$206,'May'!$D$27:$AH$206,'Jun'!$D$27:$AH$206,'Jul'!$D$27:$AH$206,'Aug'!$D$27:$AH$206,'Sep'!$D$27:$AH$206,'Oct'!$D$27:$AH$206,'Nov'!$D$27:$AH$206,'Dec'!$D$27:$AH$206,'Jan (next year)'!$D$27:$AH$206),27+3*(IFERROR(MATCH(C1115,Roster!$B$6:$B$65,0),MATCH(C1115,Roster!$C$6:$C$65,0))-1)+MATCH(B1115,{"AM","PM","NIGHT"},0)-1-27+1,DAY(A1115))&amp;"",""))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$206,'Feb'!$D$27:$AH$206,'Mar'!$D$27:$AH$206,'Apr'!$D$27:$AH$206,'May'!$D$27:$AH$206,'Jun'!$D$27:$AH$206,'Jul'!$D$27:$AH$206,'Aug'!$D$27:$AH$206,'Sep'!$D$27:$AH$206,'Oct'!$D$27:$AH$206,'Nov'!$D$27:$AH$206,'Dec'!$D$27:$AH$206,'Jan (next year)'!$D$27:$AH$206),27+3*(IFERROR(MATCH(C1116,Roster!$B$6:$B$65,0),MATCH(C1116,Roster!$C$6:$C$65,0))-1)+MATCH(B1116,{"AM","PM","NIGHT"},0)-1-27+1,DAY(A1116))&amp;"",""))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$206,'Feb'!$D$27:$AH$206,'Mar'!$D$27:$AH$206,'Apr'!$D$27:$AH$206,'May'!$D$27:$AH$206,'Jun'!$D$27:$AH$206,'Jul'!$D$27:$AH$206,'Aug'!$D$27:$AH$206,'Sep'!$D$27:$AH$206,'Oct'!$D$27:$AH$206,'Nov'!$D$27:$AH$206,'Dec'!$D$27:$AH$206,'Jan (next year)'!$D$27:$AH$206),27+3*(IFERROR(MATCH(C1117,Roster!$B$6:$B$65,0),MATCH(C1117,Roster!$C$6:$C$65,0))-1)+MATCH(B1117,{"AM","PM","NIGHT"},0)-1-27+1,DAY(A1117))&amp;"",""))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$206,'Feb'!$D$27:$AH$206,'Mar'!$D$27:$AH$206,'Apr'!$D$27:$AH$206,'May'!$D$27:$AH$206,'Jun'!$D$27:$AH$206,'Jul'!$D$27:$AH$206,'Aug'!$D$27:$AH$206,'Sep'!$D$27:$AH$206,'Oct'!$D$27:$AH$206,'Nov'!$D$27:$AH$206,'Dec'!$D$27:$AH$206,'Jan (next year)'!$D$27:$AH$206),27+3*(IFERROR(MATCH(C1118,Roster!$B$6:$B$65,0),MATCH(C1118,Roster!$C$6:$C$65,0))-1)+MATCH(B1118,{"AM","PM","NIGHT"},0)-1-27+1,DAY(A1118))&amp;"",""))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$206,'Feb'!$D$27:$AH$206,'Mar'!$D$27:$AH$206,'Apr'!$D$27:$AH$206,'May'!$D$27:$AH$206,'Jun'!$D$27:$AH$206,'Jul'!$D$27:$AH$206,'Aug'!$D$27:$AH$206,'Sep'!$D$27:$AH$206,'Oct'!$D$27:$AH$206,'Nov'!$D$27:$AH$206,'Dec'!$D$27:$AH$206,'Jan (next year)'!$D$27:$AH$206),27+3*(IFERROR(MATCH(C1119,Roster!$B$6:$B$65,0),MATCH(C1119,Roster!$C$6:$C$65,0))-1)+MATCH(B1119,{"AM","PM","NIGHT"},0)-1-27+1,DAY(A1119))&amp;"",""))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$206,'Feb'!$D$27:$AH$206,'Mar'!$D$27:$AH$206,'Apr'!$D$27:$AH$206,'May'!$D$27:$AH$206,'Jun'!$D$27:$AH$206,'Jul'!$D$27:$AH$206,'Aug'!$D$27:$AH$206,'Sep'!$D$27:$AH$206,'Oct'!$D$27:$AH$206,'Nov'!$D$27:$AH$206,'Dec'!$D$27:$AH$206,'Jan (next year)'!$D$27:$AH$206),27+3*(IFERROR(MATCH(C1120,Roster!$B$6:$B$65,0),MATCH(C1120,Roster!$C$6:$C$65,0))-1)+MATCH(B1120,{"AM","PM","NIGHT"},0)-1-27+1,DAY(A1120))&amp;"",""))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$206,'Feb'!$D$27:$AH$206,'Mar'!$D$27:$AH$206,'Apr'!$D$27:$AH$206,'May'!$D$27:$AH$206,'Jun'!$D$27:$AH$206,'Jul'!$D$27:$AH$206,'Aug'!$D$27:$AH$206,'Sep'!$D$27:$AH$206,'Oct'!$D$27:$AH$206,'Nov'!$D$27:$AH$206,'Dec'!$D$27:$AH$206,'Jan (next year)'!$D$27:$AH$206),27+3*(IFERROR(MATCH(C1121,Roster!$B$6:$B$65,0),MATCH(C1121,Roster!$C$6:$C$65,0))-1)+MATCH(B1121,{"AM","PM","NIGHT"},0)-1-27+1,DAY(A1121))&amp;"",""))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$206,'Feb'!$D$27:$AH$206,'Mar'!$D$27:$AH$206,'Apr'!$D$27:$AH$206,'May'!$D$27:$AH$206,'Jun'!$D$27:$AH$206,'Jul'!$D$27:$AH$206,'Aug'!$D$27:$AH$206,'Sep'!$D$27:$AH$206,'Oct'!$D$27:$AH$206,'Nov'!$D$27:$AH$206,'Dec'!$D$27:$AH$206,'Jan (next year)'!$D$27:$AH$206),27+3*(IFERROR(MATCH(C1122,Roster!$B$6:$B$65,0),MATCH(C1122,Roster!$C$6:$C$65,0))-1)+MATCH(B1122,{"AM","PM","NIGHT"},0)-1-27+1,DAY(A1122))&amp;"",""))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$206,'Feb'!$D$27:$AH$206,'Mar'!$D$27:$AH$206,'Apr'!$D$27:$AH$206,'May'!$D$27:$AH$206,'Jun'!$D$27:$AH$206,'Jul'!$D$27:$AH$206,'Aug'!$D$27:$AH$206,'Sep'!$D$27:$AH$206,'Oct'!$D$27:$AH$206,'Nov'!$D$27:$AH$206,'Dec'!$D$27:$AH$206,'Jan (next year)'!$D$27:$AH$206),27+3*(IFERROR(MATCH(C1123,Roster!$B$6:$B$65,0),MATCH(C1123,Roster!$C$6:$C$65,0))-1)+MATCH(B1123,{"AM","PM","NIGHT"},0)-1-27+1,DAY(A1123))&amp;"",""))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$206,'Feb'!$D$27:$AH$206,'Mar'!$D$27:$AH$206,'Apr'!$D$27:$AH$206,'May'!$D$27:$AH$206,'Jun'!$D$27:$AH$206,'Jul'!$D$27:$AH$206,'Aug'!$D$27:$AH$206,'Sep'!$D$27:$AH$206,'Oct'!$D$27:$AH$206,'Nov'!$D$27:$AH$206,'Dec'!$D$27:$AH$206,'Jan (next year)'!$D$27:$AH$206),27+3*(IFERROR(MATCH(C1124,Roster!$B$6:$B$65,0),MATCH(C1124,Roster!$C$6:$C$65,0))-1)+MATCH(B1124,{"AM","PM","NIGHT"},0)-1-27+1,DAY(A1124))&amp;"",""))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$206,'Feb'!$D$27:$AH$206,'Mar'!$D$27:$AH$206,'Apr'!$D$27:$AH$206,'May'!$D$27:$AH$206,'Jun'!$D$27:$AH$206,'Jul'!$D$27:$AH$206,'Aug'!$D$27:$AH$206,'Sep'!$D$27:$AH$206,'Oct'!$D$27:$AH$206,'Nov'!$D$27:$AH$206,'Dec'!$D$27:$AH$206,'Jan (next year)'!$D$27:$AH$206),27+3*(IFERROR(MATCH(C1125,Roster!$B$6:$B$65,0),MATCH(C1125,Roster!$C$6:$C$65,0))-1)+MATCH(B1125,{"AM","PM","NIGHT"},0)-1-27+1,DAY(A1125))&amp;"",""))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$206,'Feb'!$D$27:$AH$206,'Mar'!$D$27:$AH$206,'Apr'!$D$27:$AH$206,'May'!$D$27:$AH$206,'Jun'!$D$27:$AH$206,'Jul'!$D$27:$AH$206,'Aug'!$D$27:$AH$206,'Sep'!$D$27:$AH$206,'Oct'!$D$27:$AH$206,'Nov'!$D$27:$AH$206,'Dec'!$D$27:$AH$206,'Jan (next year)'!$D$27:$AH$206),27+3*(IFERROR(MATCH(C1126,Roster!$B$6:$B$65,0),MATCH(C1126,Roster!$C$6:$C$65,0))-1)+MATCH(B1126,{"AM","PM","NIGHT"},0)-1-27+1,DAY(A1126))&amp;"",""))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$206,'Feb'!$D$27:$AH$206,'Mar'!$D$27:$AH$206,'Apr'!$D$27:$AH$206,'May'!$D$27:$AH$206,'Jun'!$D$27:$AH$206,'Jul'!$D$27:$AH$206,'Aug'!$D$27:$AH$206,'Sep'!$D$27:$AH$206,'Oct'!$D$27:$AH$206,'Nov'!$D$27:$AH$206,'Dec'!$D$27:$AH$206,'Jan (next year)'!$D$27:$AH$206),27+3*(IFERROR(MATCH(C1127,Roster!$B$6:$B$65,0),MATCH(C1127,Roster!$C$6:$C$65,0))-1)+MATCH(B1127,{"AM","PM","NIGHT"},0)-1-27+1,DAY(A1127))&amp;"",""))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$206,'Feb'!$D$27:$AH$206,'Mar'!$D$27:$AH$206,'Apr'!$D$27:$AH$206,'May'!$D$27:$AH$206,'Jun'!$D$27:$AH$206,'Jul'!$D$27:$AH$206,'Aug'!$D$27:$AH$206,'Sep'!$D$27:$AH$206,'Oct'!$D$27:$AH$206,'Nov'!$D$27:$AH$206,'Dec'!$D$27:$AH$206,'Jan (next year)'!$D$27:$AH$206),27+3*(IFERROR(MATCH(C1128,Roster!$B$6:$B$65,0),MATCH(C1128,Roster!$C$6:$C$65,0))-1)+MATCH(B1128,{"AM","PM","NIGHT"},0)-1-27+1,DAY(A1128))&amp;"",""))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$206,'Feb'!$D$27:$AH$206,'Mar'!$D$27:$AH$206,'Apr'!$D$27:$AH$206,'May'!$D$27:$AH$206,'Jun'!$D$27:$AH$206,'Jul'!$D$27:$AH$206,'Aug'!$D$27:$AH$206,'Sep'!$D$27:$AH$206,'Oct'!$D$27:$AH$206,'Nov'!$D$27:$AH$206,'Dec'!$D$27:$AH$206,'Jan (next year)'!$D$27:$AH$206),27+3*(IFERROR(MATCH(C1129,Roster!$B$6:$B$65,0),MATCH(C1129,Roster!$C$6:$C$65,0))-1)+MATCH(B1129,{"AM","PM","NIGHT"},0)-1-27+1,DAY(A1129))&amp;"",""))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$206,'Feb'!$D$27:$AH$206,'Mar'!$D$27:$AH$206,'Apr'!$D$27:$AH$206,'May'!$D$27:$AH$206,'Jun'!$D$27:$AH$206,'Jul'!$D$27:$AH$206,'Aug'!$D$27:$AH$206,'Sep'!$D$27:$AH$206,'Oct'!$D$27:$AH$206,'Nov'!$D$27:$AH$206,'Dec'!$D$27:$AH$206,'Jan (next year)'!$D$27:$AH$206),27+3*(IFERROR(MATCH(C1130,Roster!$B$6:$B$65,0),MATCH(C1130,Roster!$C$6:$C$65,0))-1)+MATCH(B1130,{"AM","PM","NIGHT"},0)-1-27+1,DAY(A1130))&amp;"",""))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$206,'Feb'!$D$27:$AH$206,'Mar'!$D$27:$AH$206,'Apr'!$D$27:$AH$206,'May'!$D$27:$AH$206,'Jun'!$D$27:$AH$206,'Jul'!$D$27:$AH$206,'Aug'!$D$27:$AH$206,'Sep'!$D$27:$AH$206,'Oct'!$D$27:$AH$206,'Nov'!$D$27:$AH$206,'Dec'!$D$27:$AH$206,'Jan (next year)'!$D$27:$AH$206),27+3*(IFERROR(MATCH(C1131,Roster!$B$6:$B$65,0),MATCH(C1131,Roster!$C$6:$C$65,0))-1)+MATCH(B1131,{"AM","PM","NIGHT"},0)-1-27+1,DAY(A1131))&amp;"",""))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$206,'Feb'!$D$27:$AH$206,'Mar'!$D$27:$AH$206,'Apr'!$D$27:$AH$206,'May'!$D$27:$AH$206,'Jun'!$D$27:$AH$206,'Jul'!$D$27:$AH$206,'Aug'!$D$27:$AH$206,'Sep'!$D$27:$AH$206,'Oct'!$D$27:$AH$206,'Nov'!$D$27:$AH$206,'Dec'!$D$27:$AH$206,'Jan (next year)'!$D$27:$AH$206),27+3*(IFERROR(MATCH(C1132,Roster!$B$6:$B$65,0),MATCH(C1132,Roster!$C$6:$C$65,0))-1)+MATCH(B1132,{"AM","PM","NIGHT"},0)-1-27+1,DAY(A1132))&amp;"",""))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$206,'Feb'!$D$27:$AH$206,'Mar'!$D$27:$AH$206,'Apr'!$D$27:$AH$206,'May'!$D$27:$AH$206,'Jun'!$D$27:$AH$206,'Jul'!$D$27:$AH$206,'Aug'!$D$27:$AH$206,'Sep'!$D$27:$AH$206,'Oct'!$D$27:$AH$206,'Nov'!$D$27:$AH$206,'Dec'!$D$27:$AH$206,'Jan (next year)'!$D$27:$AH$206),27+3*(IFERROR(MATCH(C1133,Roster!$B$6:$B$65,0),MATCH(C1133,Roster!$C$6:$C$65,0))-1)+MATCH(B1133,{"AM","PM","NIGHT"},0)-1-27+1,DAY(A1133))&amp;"",""))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$206,'Feb'!$D$27:$AH$206,'Mar'!$D$27:$AH$206,'Apr'!$D$27:$AH$206,'May'!$D$27:$AH$206,'Jun'!$D$27:$AH$206,'Jul'!$D$27:$AH$206,'Aug'!$D$27:$AH$206,'Sep'!$D$27:$AH$206,'Oct'!$D$27:$AH$206,'Nov'!$D$27:$AH$206,'Dec'!$D$27:$AH$206,'Jan (next year)'!$D$27:$AH$206),27+3*(IFERROR(MATCH(C1134,Roster!$B$6:$B$65,0),MATCH(C1134,Roster!$C$6:$C$65,0))-1)+MATCH(B1134,{"AM","PM","NIGHT"},0)-1-27+1,DAY(A1134))&amp;"",""))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$206,'Feb'!$D$27:$AH$206,'Mar'!$D$27:$AH$206,'Apr'!$D$27:$AH$206,'May'!$D$27:$AH$206,'Jun'!$D$27:$AH$206,'Jul'!$D$27:$AH$206,'Aug'!$D$27:$AH$206,'Sep'!$D$27:$AH$206,'Oct'!$D$27:$AH$206,'Nov'!$D$27:$AH$206,'Dec'!$D$27:$AH$206,'Jan (next year)'!$D$27:$AH$206),27+3*(IFERROR(MATCH(C1135,Roster!$B$6:$B$65,0),MATCH(C1135,Roster!$C$6:$C$65,0))-1)+MATCH(B1135,{"AM","PM","NIGHT"},0)-1-27+1,DAY(A1135))&amp;"",""))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$206,'Feb'!$D$27:$AH$206,'Mar'!$D$27:$AH$206,'Apr'!$D$27:$AH$206,'May'!$D$27:$AH$206,'Jun'!$D$27:$AH$206,'Jul'!$D$27:$AH$206,'Aug'!$D$27:$AH$206,'Sep'!$D$27:$AH$206,'Oct'!$D$27:$AH$206,'Nov'!$D$27:$AH$206,'Dec'!$D$27:$AH$206,'Jan (next year)'!$D$27:$AH$206),27+3*(IFERROR(MATCH(C1136,Roster!$B$6:$B$65,0),MATCH(C1136,Roster!$C$6:$C$65,0))-1)+MATCH(B1136,{"AM","PM","NIGHT"},0)-1-27+1,DAY(A1136))&amp;"",""))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$206,'Feb'!$D$27:$AH$206,'Mar'!$D$27:$AH$206,'Apr'!$D$27:$AH$206,'May'!$D$27:$AH$206,'Jun'!$D$27:$AH$206,'Jul'!$D$27:$AH$206,'Aug'!$D$27:$AH$206,'Sep'!$D$27:$AH$206,'Oct'!$D$27:$AH$206,'Nov'!$D$27:$AH$206,'Dec'!$D$27:$AH$206,'Jan (next year)'!$D$27:$AH$206),27+3*(IFERROR(MATCH(C1137,Roster!$B$6:$B$65,0),MATCH(C1137,Roster!$C$6:$C$65,0))-1)+MATCH(B1137,{"AM","PM","NIGHT"},0)-1-27+1,DAY(A1137))&amp;"",""))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$206,'Feb'!$D$27:$AH$206,'Mar'!$D$27:$AH$206,'Apr'!$D$27:$AH$206,'May'!$D$27:$AH$206,'Jun'!$D$27:$AH$206,'Jul'!$D$27:$AH$206,'Aug'!$D$27:$AH$206,'Sep'!$D$27:$AH$206,'Oct'!$D$27:$AH$206,'Nov'!$D$27:$AH$206,'Dec'!$D$27:$AH$206,'Jan (next year)'!$D$27:$AH$206),27+3*(IFERROR(MATCH(C1138,Roster!$B$6:$B$65,0),MATCH(C1138,Roster!$C$6:$C$65,0))-1)+MATCH(B1138,{"AM","PM","NIGHT"},0)-1-27+1,DAY(A1138))&amp;"",""))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$206,'Feb'!$D$27:$AH$206,'Mar'!$D$27:$AH$206,'Apr'!$D$27:$AH$206,'May'!$D$27:$AH$206,'Jun'!$D$27:$AH$206,'Jul'!$D$27:$AH$206,'Aug'!$D$27:$AH$206,'Sep'!$D$27:$AH$206,'Oct'!$D$27:$AH$206,'Nov'!$D$27:$AH$206,'Dec'!$D$27:$AH$206,'Jan (next year)'!$D$27:$AH$206),27+3*(IFERROR(MATCH(C1139,Roster!$B$6:$B$65,0),MATCH(C1139,Roster!$C$6:$C$65,0))-1)+MATCH(B1139,{"AM","PM","NIGHT"},0)-1-27+1,DAY(A1139))&amp;"",""))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$206,'Feb'!$D$27:$AH$206,'Mar'!$D$27:$AH$206,'Apr'!$D$27:$AH$206,'May'!$D$27:$AH$206,'Jun'!$D$27:$AH$206,'Jul'!$D$27:$AH$206,'Aug'!$D$27:$AH$206,'Sep'!$D$27:$AH$206,'Oct'!$D$27:$AH$206,'Nov'!$D$27:$AH$206,'Dec'!$D$27:$AH$206,'Jan (next year)'!$D$27:$AH$206),27+3*(IFERROR(MATCH(C1140,Roster!$B$6:$B$65,0),MATCH(C1140,Roster!$C$6:$C$65,0))-1)+MATCH(B1140,{"AM","PM","NIGHT"},0)-1-27+1,DAY(A1140))&amp;"",""))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$206,'Feb'!$D$27:$AH$206,'Mar'!$D$27:$AH$206,'Apr'!$D$27:$AH$206,'May'!$D$27:$AH$206,'Jun'!$D$27:$AH$206,'Jul'!$D$27:$AH$206,'Aug'!$D$27:$AH$206,'Sep'!$D$27:$AH$206,'Oct'!$D$27:$AH$206,'Nov'!$D$27:$AH$206,'Dec'!$D$27:$AH$206,'Jan (next year)'!$D$27:$AH$206),27+3*(IFERROR(MATCH(C1141,Roster!$B$6:$B$65,0),MATCH(C1141,Roster!$C$6:$C$65,0))-1)+MATCH(B1141,{"AM","PM","NIGHT"},0)-1-27+1,DAY(A1141))&amp;"",""))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$206,'Feb'!$D$27:$AH$206,'Mar'!$D$27:$AH$206,'Apr'!$D$27:$AH$206,'May'!$D$27:$AH$206,'Jun'!$D$27:$AH$206,'Jul'!$D$27:$AH$206,'Aug'!$D$27:$AH$206,'Sep'!$D$27:$AH$206,'Oct'!$D$27:$AH$206,'Nov'!$D$27:$AH$206,'Dec'!$D$27:$AH$206,'Jan (next year)'!$D$27:$AH$206),27+3*(IFERROR(MATCH(C1142,Roster!$B$6:$B$65,0),MATCH(C1142,Roster!$C$6:$C$65,0))-1)+MATCH(B1142,{"AM","PM","NIGHT"},0)-1-27+1,DAY(A1142))&amp;"",""))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$206,'Feb'!$D$27:$AH$206,'Mar'!$D$27:$AH$206,'Apr'!$D$27:$AH$206,'May'!$D$27:$AH$206,'Jun'!$D$27:$AH$206,'Jul'!$D$27:$AH$206,'Aug'!$D$27:$AH$206,'Sep'!$D$27:$AH$206,'Oct'!$D$27:$AH$206,'Nov'!$D$27:$AH$206,'Dec'!$D$27:$AH$206,'Jan (next year)'!$D$27:$AH$206),27+3*(IFERROR(MATCH(C1143,Roster!$B$6:$B$65,0),MATCH(C1143,Roster!$C$6:$C$65,0))-1)+MATCH(B1143,{"AM","PM","NIGHT"},0)-1-27+1,DAY(A1143))&amp;"",""))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$206,'Feb'!$D$27:$AH$206,'Mar'!$D$27:$AH$206,'Apr'!$D$27:$AH$206,'May'!$D$27:$AH$206,'Jun'!$D$27:$AH$206,'Jul'!$D$27:$AH$206,'Aug'!$D$27:$AH$206,'Sep'!$D$27:$AH$206,'Oct'!$D$27:$AH$206,'Nov'!$D$27:$AH$206,'Dec'!$D$27:$AH$206,'Jan (next year)'!$D$27:$AH$206),27+3*(IFERROR(MATCH(C1144,Roster!$B$6:$B$65,0),MATCH(C1144,Roster!$C$6:$C$65,0))-1)+MATCH(B1144,{"AM","PM","NIGHT"},0)-1-27+1,DAY(A1144))&amp;"",""))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$206,'Feb'!$D$27:$AH$206,'Mar'!$D$27:$AH$206,'Apr'!$D$27:$AH$206,'May'!$D$27:$AH$206,'Jun'!$D$27:$AH$206,'Jul'!$D$27:$AH$206,'Aug'!$D$27:$AH$206,'Sep'!$D$27:$AH$206,'Oct'!$D$27:$AH$206,'Nov'!$D$27:$AH$206,'Dec'!$D$27:$AH$206,'Jan (next year)'!$D$27:$AH$206),27+3*(IFERROR(MATCH(C1145,Roster!$B$6:$B$65,0),MATCH(C1145,Roster!$C$6:$C$65,0))-1)+MATCH(B1145,{"AM","PM","NIGHT"},0)-1-27+1,DAY(A1145))&amp;"",""))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$206,'Feb'!$D$27:$AH$206,'Mar'!$D$27:$AH$206,'Apr'!$D$27:$AH$206,'May'!$D$27:$AH$206,'Jun'!$D$27:$AH$206,'Jul'!$D$27:$AH$206,'Aug'!$D$27:$AH$206,'Sep'!$D$27:$AH$206,'Oct'!$D$27:$AH$206,'Nov'!$D$27:$AH$206,'Dec'!$D$27:$AH$206,'Jan (next year)'!$D$27:$AH$206),27+3*(IFERROR(MATCH(C1146,Roster!$B$6:$B$65,0),MATCH(C1146,Roster!$C$6:$C$65,0))-1)+MATCH(B1146,{"AM","PM","NIGHT"},0)-1-27+1,DAY(A1146))&amp;"",""))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$206,'Feb'!$D$27:$AH$206,'Mar'!$D$27:$AH$206,'Apr'!$D$27:$AH$206,'May'!$D$27:$AH$206,'Jun'!$D$27:$AH$206,'Jul'!$D$27:$AH$206,'Aug'!$D$27:$AH$206,'Sep'!$D$27:$AH$206,'Oct'!$D$27:$AH$206,'Nov'!$D$27:$AH$206,'Dec'!$D$27:$AH$206,'Jan (next year)'!$D$27:$AH$206),27+3*(IFERROR(MATCH(C1147,Roster!$B$6:$B$65,0),MATCH(C1147,Roster!$C$6:$C$65,0))-1)+MATCH(B1147,{"AM","PM","NIGHT"},0)-1-27+1,DAY(A1147))&amp;"",""))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$206,'Feb'!$D$27:$AH$206,'Mar'!$D$27:$AH$206,'Apr'!$D$27:$AH$206,'May'!$D$27:$AH$206,'Jun'!$D$27:$AH$206,'Jul'!$D$27:$AH$206,'Aug'!$D$27:$AH$206,'Sep'!$D$27:$AH$206,'Oct'!$D$27:$AH$206,'Nov'!$D$27:$AH$206,'Dec'!$D$27:$AH$206,'Jan (next year)'!$D$27:$AH$206),27+3*(IFERROR(MATCH(C1148,Roster!$B$6:$B$65,0),MATCH(C1148,Roster!$C$6:$C$65,0))-1)+MATCH(B1148,{"AM","PM","NIGHT"},0)-1-27+1,DAY(A1148))&amp;"",""))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$206,'Feb'!$D$27:$AH$206,'Mar'!$D$27:$AH$206,'Apr'!$D$27:$AH$206,'May'!$D$27:$AH$206,'Jun'!$D$27:$AH$206,'Jul'!$D$27:$AH$206,'Aug'!$D$27:$AH$206,'Sep'!$D$27:$AH$206,'Oct'!$D$27:$AH$206,'Nov'!$D$27:$AH$206,'Dec'!$D$27:$AH$206,'Jan (next year)'!$D$27:$AH$206),27+3*(IFERROR(MATCH(C1149,Roster!$B$6:$B$65,0),MATCH(C1149,Roster!$C$6:$C$65,0))-1)+MATCH(B1149,{"AM","PM","NIGHT"},0)-1-27+1,DAY(A1149))&amp;"",""))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$206,'Feb'!$D$27:$AH$206,'Mar'!$D$27:$AH$206,'Apr'!$D$27:$AH$206,'May'!$D$27:$AH$206,'Jun'!$D$27:$AH$206,'Jul'!$D$27:$AH$206,'Aug'!$D$27:$AH$206,'Sep'!$D$27:$AH$206,'Oct'!$D$27:$AH$206,'Nov'!$D$27:$AH$206,'Dec'!$D$27:$AH$206,'Jan (next year)'!$D$27:$AH$206),27+3*(IFERROR(MATCH(C1150,Roster!$B$6:$B$65,0),MATCH(C1150,Roster!$C$6:$C$65,0))-1)+MATCH(B1150,{"AM","PM","NIGHT"},0)-1-27+1,DAY(A1150))&amp;"",""))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$206,'Feb'!$D$27:$AH$206,'Mar'!$D$27:$AH$206,'Apr'!$D$27:$AH$206,'May'!$D$27:$AH$206,'Jun'!$D$27:$AH$206,'Jul'!$D$27:$AH$206,'Aug'!$D$27:$AH$206,'Sep'!$D$27:$AH$206,'Oct'!$D$27:$AH$206,'Nov'!$D$27:$AH$206,'Dec'!$D$27:$AH$206,'Jan (next year)'!$D$27:$AH$206),27+3*(IFERROR(MATCH(C1151,Roster!$B$6:$B$65,0),MATCH(C1151,Roster!$C$6:$C$65,0))-1)+MATCH(B1151,{"AM","PM","NIGHT"},0)-1-27+1,DAY(A1151))&amp;"",""))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$206,'Feb'!$D$27:$AH$206,'Mar'!$D$27:$AH$206,'Apr'!$D$27:$AH$206,'May'!$D$27:$AH$206,'Jun'!$D$27:$AH$206,'Jul'!$D$27:$AH$206,'Aug'!$D$27:$AH$206,'Sep'!$D$27:$AH$206,'Oct'!$D$27:$AH$206,'Nov'!$D$27:$AH$206,'Dec'!$D$27:$AH$206,'Jan (next year)'!$D$27:$AH$206),27+3*(IFERROR(MATCH(C1152,Roster!$B$6:$B$65,0),MATCH(C1152,Roster!$C$6:$C$65,0))-1)+MATCH(B1152,{"AM","PM","NIGHT"},0)-1-27+1,DAY(A1152))&amp;"",""))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$206,'Feb'!$D$27:$AH$206,'Mar'!$D$27:$AH$206,'Apr'!$D$27:$AH$206,'May'!$D$27:$AH$206,'Jun'!$D$27:$AH$206,'Jul'!$D$27:$AH$206,'Aug'!$D$27:$AH$206,'Sep'!$D$27:$AH$206,'Oct'!$D$27:$AH$206,'Nov'!$D$27:$AH$206,'Dec'!$D$27:$AH$206,'Jan (next year)'!$D$27:$AH$206),27+3*(IFERROR(MATCH(C1153,Roster!$B$6:$B$65,0),MATCH(C1153,Roster!$C$6:$C$65,0))-1)+MATCH(B1153,{"AM","PM","NIGHT"},0)-1-27+1,DAY(A1153))&amp;"",""))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$206,'Feb'!$D$27:$AH$206,'Mar'!$D$27:$AH$206,'Apr'!$D$27:$AH$206,'May'!$D$27:$AH$206,'Jun'!$D$27:$AH$206,'Jul'!$D$27:$AH$206,'Aug'!$D$27:$AH$206,'Sep'!$D$27:$AH$206,'Oct'!$D$27:$AH$206,'Nov'!$D$27:$AH$206,'Dec'!$D$27:$AH$206,'Jan (next year)'!$D$27:$AH$206),27+3*(IFERROR(MATCH(C1154,Roster!$B$6:$B$65,0),MATCH(C1154,Roster!$C$6:$C$65,0))-1)+MATCH(B1154,{"AM","PM","NIGHT"},0)-1-27+1,DAY(A1154))&amp;"",""))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$206,'Feb'!$D$27:$AH$206,'Mar'!$D$27:$AH$206,'Apr'!$D$27:$AH$206,'May'!$D$27:$AH$206,'Jun'!$D$27:$AH$206,'Jul'!$D$27:$AH$206,'Aug'!$D$27:$AH$206,'Sep'!$D$27:$AH$206,'Oct'!$D$27:$AH$206,'Nov'!$D$27:$AH$206,'Dec'!$D$27:$AH$206,'Jan (next year)'!$D$27:$AH$206),27+3*(IFERROR(MATCH(C1155,Roster!$B$6:$B$65,0),MATCH(C1155,Roster!$C$6:$C$65,0))-1)+MATCH(B1155,{"AM","PM","NIGHT"},0)-1-27+1,DAY(A1155))&amp;"",""))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$206,'Feb'!$D$27:$AH$206,'Mar'!$D$27:$AH$206,'Apr'!$D$27:$AH$206,'May'!$D$27:$AH$206,'Jun'!$D$27:$AH$206,'Jul'!$D$27:$AH$206,'Aug'!$D$27:$AH$206,'Sep'!$D$27:$AH$206,'Oct'!$D$27:$AH$206,'Nov'!$D$27:$AH$206,'Dec'!$D$27:$AH$206,'Jan (next year)'!$D$27:$AH$206),27+3*(IFERROR(MATCH(C1156,Roster!$B$6:$B$65,0),MATCH(C1156,Roster!$C$6:$C$65,0))-1)+MATCH(B1156,{"AM","PM","NIGHT"},0)-1-27+1,DAY(A1156))&amp;"",""))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$206,'Feb'!$D$27:$AH$206,'Mar'!$D$27:$AH$206,'Apr'!$D$27:$AH$206,'May'!$D$27:$AH$206,'Jun'!$D$27:$AH$206,'Jul'!$D$27:$AH$206,'Aug'!$D$27:$AH$206,'Sep'!$D$27:$AH$206,'Oct'!$D$27:$AH$206,'Nov'!$D$27:$AH$206,'Dec'!$D$27:$AH$206,'Jan (next year)'!$D$27:$AH$206),27+3*(IFERROR(MATCH(C1157,Roster!$B$6:$B$65,0),MATCH(C1157,Roster!$C$6:$C$65,0))-1)+MATCH(B1157,{"AM","PM","NIGHT"},0)-1-27+1,DAY(A1157))&amp;"",""))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$206,'Feb'!$D$27:$AH$206,'Mar'!$D$27:$AH$206,'Apr'!$D$27:$AH$206,'May'!$D$27:$AH$206,'Jun'!$D$27:$AH$206,'Jul'!$D$27:$AH$206,'Aug'!$D$27:$AH$206,'Sep'!$D$27:$AH$206,'Oct'!$D$27:$AH$206,'Nov'!$D$27:$AH$206,'Dec'!$D$27:$AH$206,'Jan (next year)'!$D$27:$AH$206),27+3*(IFERROR(MATCH(C1158,Roster!$B$6:$B$65,0),MATCH(C1158,Roster!$C$6:$C$65,0))-1)+MATCH(B1158,{"AM","PM","NIGHT"},0)-1-27+1,DAY(A1158))&amp;"",""))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$206,'Feb'!$D$27:$AH$206,'Mar'!$D$27:$AH$206,'Apr'!$D$27:$AH$206,'May'!$D$27:$AH$206,'Jun'!$D$27:$AH$206,'Jul'!$D$27:$AH$206,'Aug'!$D$27:$AH$206,'Sep'!$D$27:$AH$206,'Oct'!$D$27:$AH$206,'Nov'!$D$27:$AH$206,'Dec'!$D$27:$AH$206,'Jan (next year)'!$D$27:$AH$206),27+3*(IFERROR(MATCH(C1159,Roster!$B$6:$B$65,0),MATCH(C1159,Roster!$C$6:$C$65,0))-1)+MATCH(B1159,{"AM","PM","NIGHT"},0)-1-27+1,DAY(A1159))&amp;"",""))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$206,'Feb'!$D$27:$AH$206,'Mar'!$D$27:$AH$206,'Apr'!$D$27:$AH$206,'May'!$D$27:$AH$206,'Jun'!$D$27:$AH$206,'Jul'!$D$27:$AH$206,'Aug'!$D$27:$AH$206,'Sep'!$D$27:$AH$206,'Oct'!$D$27:$AH$206,'Nov'!$D$27:$AH$206,'Dec'!$D$27:$AH$206,'Jan (next year)'!$D$27:$AH$206),27+3*(IFERROR(MATCH(C1160,Roster!$B$6:$B$65,0),MATCH(C1160,Roster!$C$6:$C$65,0))-1)+MATCH(B1160,{"AM","PM","NIGHT"},0)-1-27+1,DAY(A1160))&amp;"",""))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$206,'Feb'!$D$27:$AH$206,'Mar'!$D$27:$AH$206,'Apr'!$D$27:$AH$206,'May'!$D$27:$AH$206,'Jun'!$D$27:$AH$206,'Jul'!$D$27:$AH$206,'Aug'!$D$27:$AH$206,'Sep'!$D$27:$AH$206,'Oct'!$D$27:$AH$206,'Nov'!$D$27:$AH$206,'Dec'!$D$27:$AH$206,'Jan (next year)'!$D$27:$AH$206),27+3*(IFERROR(MATCH(C1161,Roster!$B$6:$B$65,0),MATCH(C1161,Roster!$C$6:$C$65,0))-1)+MATCH(B1161,{"AM","PM","NIGHT"},0)-1-27+1,DAY(A1161))&amp;"",""))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$206,'Feb'!$D$27:$AH$206,'Mar'!$D$27:$AH$206,'Apr'!$D$27:$AH$206,'May'!$D$27:$AH$206,'Jun'!$D$27:$AH$206,'Jul'!$D$27:$AH$206,'Aug'!$D$27:$AH$206,'Sep'!$D$27:$AH$206,'Oct'!$D$27:$AH$206,'Nov'!$D$27:$AH$206,'Dec'!$D$27:$AH$206,'Jan (next year)'!$D$27:$AH$206),27+3*(IFERROR(MATCH(C1162,Roster!$B$6:$B$65,0),MATCH(C1162,Roster!$C$6:$C$65,0))-1)+MATCH(B1162,{"AM","PM","NIGHT"},0)-1-27+1,DAY(A1162))&amp;"",""))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$206,'Feb'!$D$27:$AH$206,'Mar'!$D$27:$AH$206,'Apr'!$D$27:$AH$206,'May'!$D$27:$AH$206,'Jun'!$D$27:$AH$206,'Jul'!$D$27:$AH$206,'Aug'!$D$27:$AH$206,'Sep'!$D$27:$AH$206,'Oct'!$D$27:$AH$206,'Nov'!$D$27:$AH$206,'Dec'!$D$27:$AH$206,'Jan (next year)'!$D$27:$AH$206),27+3*(IFERROR(MATCH(C1163,Roster!$B$6:$B$65,0),MATCH(C1163,Roster!$C$6:$C$65,0))-1)+MATCH(B1163,{"AM","PM","NIGHT"},0)-1-27+1,DAY(A1163))&amp;"",""))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$206,'Feb'!$D$27:$AH$206,'Mar'!$D$27:$AH$206,'Apr'!$D$27:$AH$206,'May'!$D$27:$AH$206,'Jun'!$D$27:$AH$206,'Jul'!$D$27:$AH$206,'Aug'!$D$27:$AH$206,'Sep'!$D$27:$AH$206,'Oct'!$D$27:$AH$206,'Nov'!$D$27:$AH$206,'Dec'!$D$27:$AH$206,'Jan (next year)'!$D$27:$AH$206),27+3*(IFERROR(MATCH(C1164,Roster!$B$6:$B$65,0),MATCH(C1164,Roster!$C$6:$C$65,0))-1)+MATCH(B1164,{"AM","PM","NIGHT"},0)-1-27+1,DAY(A1164))&amp;"",""))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$206,'Feb'!$D$27:$AH$206,'Mar'!$D$27:$AH$206,'Apr'!$D$27:$AH$206,'May'!$D$27:$AH$206,'Jun'!$D$27:$AH$206,'Jul'!$D$27:$AH$206,'Aug'!$D$27:$AH$206,'Sep'!$D$27:$AH$206,'Oct'!$D$27:$AH$206,'Nov'!$D$27:$AH$206,'Dec'!$D$27:$AH$206,'Jan (next year)'!$D$27:$AH$206),27+3*(IFERROR(MATCH(C1165,Roster!$B$6:$B$65,0),MATCH(C1165,Roster!$C$6:$C$65,0))-1)+MATCH(B1165,{"AM","PM","NIGHT"},0)-1-27+1,DAY(A1165))&amp;"",""))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$206,'Feb'!$D$27:$AH$206,'Mar'!$D$27:$AH$206,'Apr'!$D$27:$AH$206,'May'!$D$27:$AH$206,'Jun'!$D$27:$AH$206,'Jul'!$D$27:$AH$206,'Aug'!$D$27:$AH$206,'Sep'!$D$27:$AH$206,'Oct'!$D$27:$AH$206,'Nov'!$D$27:$AH$206,'Dec'!$D$27:$AH$206,'Jan (next year)'!$D$27:$AH$206),27+3*(IFERROR(MATCH(C1166,Roster!$B$6:$B$65,0),MATCH(C1166,Roster!$C$6:$C$65,0))-1)+MATCH(B1166,{"AM","PM","NIGHT"},0)-1-27+1,DAY(A1166))&amp;"",""))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$206,'Feb'!$D$27:$AH$206,'Mar'!$D$27:$AH$206,'Apr'!$D$27:$AH$206,'May'!$D$27:$AH$206,'Jun'!$D$27:$AH$206,'Jul'!$D$27:$AH$206,'Aug'!$D$27:$AH$206,'Sep'!$D$27:$AH$206,'Oct'!$D$27:$AH$206,'Nov'!$D$27:$AH$206,'Dec'!$D$27:$AH$206,'Jan (next year)'!$D$27:$AH$206),27+3*(IFERROR(MATCH(C1167,Roster!$B$6:$B$65,0),MATCH(C1167,Roster!$C$6:$C$65,0))-1)+MATCH(B1167,{"AM","PM","NIGHT"},0)-1-27+1,DAY(A1167))&amp;"",""))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$206,'Feb'!$D$27:$AH$206,'Mar'!$D$27:$AH$206,'Apr'!$D$27:$AH$206,'May'!$D$27:$AH$206,'Jun'!$D$27:$AH$206,'Jul'!$D$27:$AH$206,'Aug'!$D$27:$AH$206,'Sep'!$D$27:$AH$206,'Oct'!$D$27:$AH$206,'Nov'!$D$27:$AH$206,'Dec'!$D$27:$AH$206,'Jan (next year)'!$D$27:$AH$206),27+3*(IFERROR(MATCH(C1168,Roster!$B$6:$B$65,0),MATCH(C1168,Roster!$C$6:$C$65,0))-1)+MATCH(B1168,{"AM","PM","NIGHT"},0)-1-27+1,DAY(A1168))&amp;"",""))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$206,'Feb'!$D$27:$AH$206,'Mar'!$D$27:$AH$206,'Apr'!$D$27:$AH$206,'May'!$D$27:$AH$206,'Jun'!$D$27:$AH$206,'Jul'!$D$27:$AH$206,'Aug'!$D$27:$AH$206,'Sep'!$D$27:$AH$206,'Oct'!$D$27:$AH$206,'Nov'!$D$27:$AH$206,'Dec'!$D$27:$AH$206,'Jan (next year)'!$D$27:$AH$206),27+3*(IFERROR(MATCH(C1169,Roster!$B$6:$B$65,0),MATCH(C1169,Roster!$C$6:$C$65,0))-1)+MATCH(B1169,{"AM","PM","NIGHT"},0)-1-27+1,DAY(A1169))&amp;"",""))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$206,'Feb'!$D$27:$AH$206,'Mar'!$D$27:$AH$206,'Apr'!$D$27:$AH$206,'May'!$D$27:$AH$206,'Jun'!$D$27:$AH$206,'Jul'!$D$27:$AH$206,'Aug'!$D$27:$AH$206,'Sep'!$D$27:$AH$206,'Oct'!$D$27:$AH$206,'Nov'!$D$27:$AH$206,'Dec'!$D$27:$AH$206,'Jan (next year)'!$D$27:$AH$206),27+3*(IFERROR(MATCH(C1170,Roster!$B$6:$B$65,0),MATCH(C1170,Roster!$C$6:$C$65,0))-1)+MATCH(B1170,{"AM","PM","NIGHT"},0)-1-27+1,DAY(A1170))&amp;"",""))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$206,'Feb'!$D$27:$AH$206,'Mar'!$D$27:$AH$206,'Apr'!$D$27:$AH$206,'May'!$D$27:$AH$206,'Jun'!$D$27:$AH$206,'Jul'!$D$27:$AH$206,'Aug'!$D$27:$AH$206,'Sep'!$D$27:$AH$206,'Oct'!$D$27:$AH$206,'Nov'!$D$27:$AH$206,'Dec'!$D$27:$AH$206,'Jan (next year)'!$D$27:$AH$206),27+3*(IFERROR(MATCH(C1171,Roster!$B$6:$B$65,0),MATCH(C1171,Roster!$C$6:$C$65,0))-1)+MATCH(B1171,{"AM","PM","NIGHT"},0)-1-27+1,DAY(A1171))&amp;"",""))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$206,'Feb'!$D$27:$AH$206,'Mar'!$D$27:$AH$206,'Apr'!$D$27:$AH$206,'May'!$D$27:$AH$206,'Jun'!$D$27:$AH$206,'Jul'!$D$27:$AH$206,'Aug'!$D$27:$AH$206,'Sep'!$D$27:$AH$206,'Oct'!$D$27:$AH$206,'Nov'!$D$27:$AH$206,'Dec'!$D$27:$AH$206,'Jan (next year)'!$D$27:$AH$206),27+3*(IFERROR(MATCH(C1172,Roster!$B$6:$B$65,0),MATCH(C1172,Roster!$C$6:$C$65,0))-1)+MATCH(B1172,{"AM","PM","NIGHT"},0)-1-27+1,DAY(A1172))&amp;"",""))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$206,'Feb'!$D$27:$AH$206,'Mar'!$D$27:$AH$206,'Apr'!$D$27:$AH$206,'May'!$D$27:$AH$206,'Jun'!$D$27:$AH$206,'Jul'!$D$27:$AH$206,'Aug'!$D$27:$AH$206,'Sep'!$D$27:$AH$206,'Oct'!$D$27:$AH$206,'Nov'!$D$27:$AH$206,'Dec'!$D$27:$AH$206,'Jan (next year)'!$D$27:$AH$206),27+3*(IFERROR(MATCH(C1173,Roster!$B$6:$B$65,0),MATCH(C1173,Roster!$C$6:$C$65,0))-1)+MATCH(B1173,{"AM","PM","NIGHT"},0)-1-27+1,DAY(A1173))&amp;"",""))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$206,'Feb'!$D$27:$AH$206,'Mar'!$D$27:$AH$206,'Apr'!$D$27:$AH$206,'May'!$D$27:$AH$206,'Jun'!$D$27:$AH$206,'Jul'!$D$27:$AH$206,'Aug'!$D$27:$AH$206,'Sep'!$D$27:$AH$206,'Oct'!$D$27:$AH$206,'Nov'!$D$27:$AH$206,'Dec'!$D$27:$AH$206,'Jan (next year)'!$D$27:$AH$206),27+3*(IFERROR(MATCH(C1174,Roster!$B$6:$B$65,0),MATCH(C1174,Roster!$C$6:$C$65,0))-1)+MATCH(B1174,{"AM","PM","NIGHT"},0)-1-27+1,DAY(A1174))&amp;"",""))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$206,'Feb'!$D$27:$AH$206,'Mar'!$D$27:$AH$206,'Apr'!$D$27:$AH$206,'May'!$D$27:$AH$206,'Jun'!$D$27:$AH$206,'Jul'!$D$27:$AH$206,'Aug'!$D$27:$AH$206,'Sep'!$D$27:$AH$206,'Oct'!$D$27:$AH$206,'Nov'!$D$27:$AH$206,'Dec'!$D$27:$AH$206,'Jan (next year)'!$D$27:$AH$206),27+3*(IFERROR(MATCH(C1175,Roster!$B$6:$B$65,0),MATCH(C1175,Roster!$C$6:$C$65,0))-1)+MATCH(B1175,{"AM","PM","NIGHT"},0)-1-27+1,DAY(A1175))&amp;"",""))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$206,'Feb'!$D$27:$AH$206,'Mar'!$D$27:$AH$206,'Apr'!$D$27:$AH$206,'May'!$D$27:$AH$206,'Jun'!$D$27:$AH$206,'Jul'!$D$27:$AH$206,'Aug'!$D$27:$AH$206,'Sep'!$D$27:$AH$206,'Oct'!$D$27:$AH$206,'Nov'!$D$27:$AH$206,'Dec'!$D$27:$AH$206,'Jan (next year)'!$D$27:$AH$206),27+3*(IFERROR(MATCH(C1176,Roster!$B$6:$B$65,0),MATCH(C1176,Roster!$C$6:$C$65,0))-1)+MATCH(B1176,{"AM","PM","NIGHT"},0)-1-27+1,DAY(A1176))&amp;"",""))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$206,'Feb'!$D$27:$AH$206,'Mar'!$D$27:$AH$206,'Apr'!$D$27:$AH$206,'May'!$D$27:$AH$206,'Jun'!$D$27:$AH$206,'Jul'!$D$27:$AH$206,'Aug'!$D$27:$AH$206,'Sep'!$D$27:$AH$206,'Oct'!$D$27:$AH$206,'Nov'!$D$27:$AH$206,'Dec'!$D$27:$AH$206,'Jan (next year)'!$D$27:$AH$206),27+3*(IFERROR(MATCH(C1177,Roster!$B$6:$B$65,0),MATCH(C1177,Roster!$C$6:$C$65,0))-1)+MATCH(B1177,{"AM","PM","NIGHT"},0)-1-27+1,DAY(A1177))&amp;"",""))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$206,'Feb'!$D$27:$AH$206,'Mar'!$D$27:$AH$206,'Apr'!$D$27:$AH$206,'May'!$D$27:$AH$206,'Jun'!$D$27:$AH$206,'Jul'!$D$27:$AH$206,'Aug'!$D$27:$AH$206,'Sep'!$D$27:$AH$206,'Oct'!$D$27:$AH$206,'Nov'!$D$27:$AH$206,'Dec'!$D$27:$AH$206,'Jan (next year)'!$D$27:$AH$206),27+3*(IFERROR(MATCH(C1178,Roster!$B$6:$B$65,0),MATCH(C1178,Roster!$C$6:$C$65,0))-1)+MATCH(B1178,{"AM","PM","NIGHT"},0)-1-27+1,DAY(A1178))&amp;"",""))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$206,'Feb'!$D$27:$AH$206,'Mar'!$D$27:$AH$206,'Apr'!$D$27:$AH$206,'May'!$D$27:$AH$206,'Jun'!$D$27:$AH$206,'Jul'!$D$27:$AH$206,'Aug'!$D$27:$AH$206,'Sep'!$D$27:$AH$206,'Oct'!$D$27:$AH$206,'Nov'!$D$27:$AH$206,'Dec'!$D$27:$AH$206,'Jan (next year)'!$D$27:$AH$206),27+3*(IFERROR(MATCH(C1179,Roster!$B$6:$B$65,0),MATCH(C1179,Roster!$C$6:$C$65,0))-1)+MATCH(B1179,{"AM","PM","NIGHT"},0)-1-27+1,DAY(A1179))&amp;"",""))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$206,'Feb'!$D$27:$AH$206,'Mar'!$D$27:$AH$206,'Apr'!$D$27:$AH$206,'May'!$D$27:$AH$206,'Jun'!$D$27:$AH$206,'Jul'!$D$27:$AH$206,'Aug'!$D$27:$AH$206,'Sep'!$D$27:$AH$206,'Oct'!$D$27:$AH$206,'Nov'!$D$27:$AH$206,'Dec'!$D$27:$AH$206,'Jan (next year)'!$D$27:$AH$206),27+3*(IFERROR(MATCH(C1180,Roster!$B$6:$B$65,0),MATCH(C1180,Roster!$C$6:$C$65,0))-1)+MATCH(B1180,{"AM","PM","NIGHT"},0)-1-27+1,DAY(A1180))&amp;"",""))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$206,'Feb'!$D$27:$AH$206,'Mar'!$D$27:$AH$206,'Apr'!$D$27:$AH$206,'May'!$D$27:$AH$206,'Jun'!$D$27:$AH$206,'Jul'!$D$27:$AH$206,'Aug'!$D$27:$AH$206,'Sep'!$D$27:$AH$206,'Oct'!$D$27:$AH$206,'Nov'!$D$27:$AH$206,'Dec'!$D$27:$AH$206,'Jan (next year)'!$D$27:$AH$206),27+3*(IFERROR(MATCH(C1181,Roster!$B$6:$B$65,0),MATCH(C1181,Roster!$C$6:$C$65,0))-1)+MATCH(B1181,{"AM","PM","NIGHT"},0)-1-27+1,DAY(A1181))&amp;"",""))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$206,'Feb'!$D$27:$AH$206,'Mar'!$D$27:$AH$206,'Apr'!$D$27:$AH$206,'May'!$D$27:$AH$206,'Jun'!$D$27:$AH$206,'Jul'!$D$27:$AH$206,'Aug'!$D$27:$AH$206,'Sep'!$D$27:$AH$206,'Oct'!$D$27:$AH$206,'Nov'!$D$27:$AH$206,'Dec'!$D$27:$AH$206,'Jan (next year)'!$D$27:$AH$206),27+3*(IFERROR(MATCH(C1182,Roster!$B$6:$B$65,0),MATCH(C1182,Roster!$C$6:$C$65,0))-1)+MATCH(B1182,{"AM","PM","NIGHT"},0)-1-27+1,DAY(A1182))&amp;"",""))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$206,'Feb'!$D$27:$AH$206,'Mar'!$D$27:$AH$206,'Apr'!$D$27:$AH$206,'May'!$D$27:$AH$206,'Jun'!$D$27:$AH$206,'Jul'!$D$27:$AH$206,'Aug'!$D$27:$AH$206,'Sep'!$D$27:$AH$206,'Oct'!$D$27:$AH$206,'Nov'!$D$27:$AH$206,'Dec'!$D$27:$AH$206,'Jan (next year)'!$D$27:$AH$206),27+3*(IFERROR(MATCH(C1183,Roster!$B$6:$B$65,0),MATCH(C1183,Roster!$C$6:$C$65,0))-1)+MATCH(B1183,{"AM","PM","NIGHT"},0)-1-27+1,DAY(A1183))&amp;"",""))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$206,'Feb'!$D$27:$AH$206,'Mar'!$D$27:$AH$206,'Apr'!$D$27:$AH$206,'May'!$D$27:$AH$206,'Jun'!$D$27:$AH$206,'Jul'!$D$27:$AH$206,'Aug'!$D$27:$AH$206,'Sep'!$D$27:$AH$206,'Oct'!$D$27:$AH$206,'Nov'!$D$27:$AH$206,'Dec'!$D$27:$AH$206,'Jan (next year)'!$D$27:$AH$206),27+3*(IFERROR(MATCH(C1184,Roster!$B$6:$B$65,0),MATCH(C1184,Roster!$C$6:$C$65,0))-1)+MATCH(B1184,{"AM","PM","NIGHT"},0)-1-27+1,DAY(A1184))&amp;"",""))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$206,'Feb'!$D$27:$AH$206,'Mar'!$D$27:$AH$206,'Apr'!$D$27:$AH$206,'May'!$D$27:$AH$206,'Jun'!$D$27:$AH$206,'Jul'!$D$27:$AH$206,'Aug'!$D$27:$AH$206,'Sep'!$D$27:$AH$206,'Oct'!$D$27:$AH$206,'Nov'!$D$27:$AH$206,'Dec'!$D$27:$AH$206,'Jan (next year)'!$D$27:$AH$206),27+3*(IFERROR(MATCH(C1185,Roster!$B$6:$B$65,0),MATCH(C1185,Roster!$C$6:$C$65,0))-1)+MATCH(B1185,{"AM","PM","NIGHT"},0)-1-27+1,DAY(A1185))&amp;"",""))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$206,'Feb'!$D$27:$AH$206,'Mar'!$D$27:$AH$206,'Apr'!$D$27:$AH$206,'May'!$D$27:$AH$206,'Jun'!$D$27:$AH$206,'Jul'!$D$27:$AH$206,'Aug'!$D$27:$AH$206,'Sep'!$D$27:$AH$206,'Oct'!$D$27:$AH$206,'Nov'!$D$27:$AH$206,'Dec'!$D$27:$AH$206,'Jan (next year)'!$D$27:$AH$206),27+3*(IFERROR(MATCH(C1186,Roster!$B$6:$B$65,0),MATCH(C1186,Roster!$C$6:$C$65,0))-1)+MATCH(B1186,{"AM","PM","NIGHT"},0)-1-27+1,DAY(A1186))&amp;"",""))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$206,'Feb'!$D$27:$AH$206,'Mar'!$D$27:$AH$206,'Apr'!$D$27:$AH$206,'May'!$D$27:$AH$206,'Jun'!$D$27:$AH$206,'Jul'!$D$27:$AH$206,'Aug'!$D$27:$AH$206,'Sep'!$D$27:$AH$206,'Oct'!$D$27:$AH$206,'Nov'!$D$27:$AH$206,'Dec'!$D$27:$AH$206,'Jan (next year)'!$D$27:$AH$206),27+3*(IFERROR(MATCH(C1187,Roster!$B$6:$B$65,0),MATCH(C1187,Roster!$C$6:$C$65,0))-1)+MATCH(B1187,{"AM","PM","NIGHT"},0)-1-27+1,DAY(A1187))&amp;"",""))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$206,'Feb'!$D$27:$AH$206,'Mar'!$D$27:$AH$206,'Apr'!$D$27:$AH$206,'May'!$D$27:$AH$206,'Jun'!$D$27:$AH$206,'Jul'!$D$27:$AH$206,'Aug'!$D$27:$AH$206,'Sep'!$D$27:$AH$206,'Oct'!$D$27:$AH$206,'Nov'!$D$27:$AH$206,'Dec'!$D$27:$AH$206,'Jan (next year)'!$D$27:$AH$206),27+3*(IFERROR(MATCH(C1188,Roster!$B$6:$B$65,0),MATCH(C1188,Roster!$C$6:$C$65,0))-1)+MATCH(B1188,{"AM","PM","NIGHT"},0)-1-27+1,DAY(A1188))&amp;"",""))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$206,'Feb'!$D$27:$AH$206,'Mar'!$D$27:$AH$206,'Apr'!$D$27:$AH$206,'May'!$D$27:$AH$206,'Jun'!$D$27:$AH$206,'Jul'!$D$27:$AH$206,'Aug'!$D$27:$AH$206,'Sep'!$D$27:$AH$206,'Oct'!$D$27:$AH$206,'Nov'!$D$27:$AH$206,'Dec'!$D$27:$AH$206,'Jan (next year)'!$D$27:$AH$206),27+3*(IFERROR(MATCH(C1189,Roster!$B$6:$B$65,0),MATCH(C1189,Roster!$C$6:$C$65,0))-1)+MATCH(B1189,{"AM","PM","NIGHT"},0)-1-27+1,DAY(A1189))&amp;"",""))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$206,'Feb'!$D$27:$AH$206,'Mar'!$D$27:$AH$206,'Apr'!$D$27:$AH$206,'May'!$D$27:$AH$206,'Jun'!$D$27:$AH$206,'Jul'!$D$27:$AH$206,'Aug'!$D$27:$AH$206,'Sep'!$D$27:$AH$206,'Oct'!$D$27:$AH$206,'Nov'!$D$27:$AH$206,'Dec'!$D$27:$AH$206,'Jan (next year)'!$D$27:$AH$206),27+3*(IFERROR(MATCH(C1190,Roster!$B$6:$B$65,0),MATCH(C1190,Roster!$C$6:$C$65,0))-1)+MATCH(B1190,{"AM","PM","NIGHT"},0)-1-27+1,DAY(A1190))&amp;"",""))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$206,'Feb'!$D$27:$AH$206,'Mar'!$D$27:$AH$206,'Apr'!$D$27:$AH$206,'May'!$D$27:$AH$206,'Jun'!$D$27:$AH$206,'Jul'!$D$27:$AH$206,'Aug'!$D$27:$AH$206,'Sep'!$D$27:$AH$206,'Oct'!$D$27:$AH$206,'Nov'!$D$27:$AH$206,'Dec'!$D$27:$AH$206,'Jan (next year)'!$D$27:$AH$206),27+3*(IFERROR(MATCH(C1191,Roster!$B$6:$B$65,0),MATCH(C1191,Roster!$C$6:$C$65,0))-1)+MATCH(B1191,{"AM","PM","NIGHT"},0)-1-27+1,DAY(A1191))&amp;"",""))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$206,'Feb'!$D$27:$AH$206,'Mar'!$D$27:$AH$206,'Apr'!$D$27:$AH$206,'May'!$D$27:$AH$206,'Jun'!$D$27:$AH$206,'Jul'!$D$27:$AH$206,'Aug'!$D$27:$AH$206,'Sep'!$D$27:$AH$206,'Oct'!$D$27:$AH$206,'Nov'!$D$27:$AH$206,'Dec'!$D$27:$AH$206,'Jan (next year)'!$D$27:$AH$206),27+3*(IFERROR(MATCH(C1192,Roster!$B$6:$B$65,0),MATCH(C1192,Roster!$C$6:$C$65,0))-1)+MATCH(B1192,{"AM","PM","NIGHT"},0)-1-27+1,DAY(A1192))&amp;"",""))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$206,'Feb'!$D$27:$AH$206,'Mar'!$D$27:$AH$206,'Apr'!$D$27:$AH$206,'May'!$D$27:$AH$206,'Jun'!$D$27:$AH$206,'Jul'!$D$27:$AH$206,'Aug'!$D$27:$AH$206,'Sep'!$D$27:$AH$206,'Oct'!$D$27:$AH$206,'Nov'!$D$27:$AH$206,'Dec'!$D$27:$AH$206,'Jan (next year)'!$D$27:$AH$206),27+3*(IFERROR(MATCH(C1193,Roster!$B$6:$B$65,0),MATCH(C1193,Roster!$C$6:$C$65,0))-1)+MATCH(B1193,{"AM","PM","NIGHT"},0)-1-27+1,DAY(A1193))&amp;"",""))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$206,'Feb'!$D$27:$AH$206,'Mar'!$D$27:$AH$206,'Apr'!$D$27:$AH$206,'May'!$D$27:$AH$206,'Jun'!$D$27:$AH$206,'Jul'!$D$27:$AH$206,'Aug'!$D$27:$AH$206,'Sep'!$D$27:$AH$206,'Oct'!$D$27:$AH$206,'Nov'!$D$27:$AH$206,'Dec'!$D$27:$AH$206,'Jan (next year)'!$D$27:$AH$206),27+3*(IFERROR(MATCH(C1194,Roster!$B$6:$B$65,0),MATCH(C1194,Roster!$C$6:$C$65,0))-1)+MATCH(B1194,{"AM","PM","NIGHT"},0)-1-27+1,DAY(A1194))&amp;"",""))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$206,'Feb'!$D$27:$AH$206,'Mar'!$D$27:$AH$206,'Apr'!$D$27:$AH$206,'May'!$D$27:$AH$206,'Jun'!$D$27:$AH$206,'Jul'!$D$27:$AH$206,'Aug'!$D$27:$AH$206,'Sep'!$D$27:$AH$206,'Oct'!$D$27:$AH$206,'Nov'!$D$27:$AH$206,'Dec'!$D$27:$AH$206,'Jan (next year)'!$D$27:$AH$206),27+3*(IFERROR(MATCH(C1195,Roster!$B$6:$B$65,0),MATCH(C1195,Roster!$C$6:$C$65,0))-1)+MATCH(B1195,{"AM","PM","NIGHT"},0)-1-27+1,DAY(A1195))&amp;"",""))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$206,'Feb'!$D$27:$AH$206,'Mar'!$D$27:$AH$206,'Apr'!$D$27:$AH$206,'May'!$D$27:$AH$206,'Jun'!$D$27:$AH$206,'Jul'!$D$27:$AH$206,'Aug'!$D$27:$AH$206,'Sep'!$D$27:$AH$206,'Oct'!$D$27:$AH$206,'Nov'!$D$27:$AH$206,'Dec'!$D$27:$AH$206,'Jan (next year)'!$D$27:$AH$206),27+3*(IFERROR(MATCH(C1196,Roster!$B$6:$B$65,0),MATCH(C1196,Roster!$C$6:$C$65,0))-1)+MATCH(B1196,{"AM","PM","NIGHT"},0)-1-27+1,DAY(A1196))&amp;"",""))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$206,'Feb'!$D$27:$AH$206,'Mar'!$D$27:$AH$206,'Apr'!$D$27:$AH$206,'May'!$D$27:$AH$206,'Jun'!$D$27:$AH$206,'Jul'!$D$27:$AH$206,'Aug'!$D$27:$AH$206,'Sep'!$D$27:$AH$206,'Oct'!$D$27:$AH$206,'Nov'!$D$27:$AH$206,'Dec'!$D$27:$AH$206,'Jan (next year)'!$D$27:$AH$206),27+3*(IFERROR(MATCH(C1197,Roster!$B$6:$B$65,0),MATCH(C1197,Roster!$C$6:$C$65,0))-1)+MATCH(B1197,{"AM","PM","NIGHT"},0)-1-27+1,DAY(A1197))&amp;"",""))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$206,'Feb'!$D$27:$AH$206,'Mar'!$D$27:$AH$206,'Apr'!$D$27:$AH$206,'May'!$D$27:$AH$206,'Jun'!$D$27:$AH$206,'Jul'!$D$27:$AH$206,'Aug'!$D$27:$AH$206,'Sep'!$D$27:$AH$206,'Oct'!$D$27:$AH$206,'Nov'!$D$27:$AH$206,'Dec'!$D$27:$AH$206,'Jan (next year)'!$D$27:$AH$206),27+3*(IFERROR(MATCH(C1198,Roster!$B$6:$B$65,0),MATCH(C1198,Roster!$C$6:$C$65,0))-1)+MATCH(B1198,{"AM","PM","NIGHT"},0)-1-27+1,DAY(A1198))&amp;"",""))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$206,'Feb'!$D$27:$AH$206,'Mar'!$D$27:$AH$206,'Apr'!$D$27:$AH$206,'May'!$D$27:$AH$206,'Jun'!$D$27:$AH$206,'Jul'!$D$27:$AH$206,'Aug'!$D$27:$AH$206,'Sep'!$D$27:$AH$206,'Oct'!$D$27:$AH$206,'Nov'!$D$27:$AH$206,'Dec'!$D$27:$AH$206,'Jan (next year)'!$D$27:$AH$206),27+3*(IFERROR(MATCH(C1199,Roster!$B$6:$B$65,0),MATCH(C1199,Roster!$C$6:$C$65,0))-1)+MATCH(B1199,{"AM","PM","NIGHT"},0)-1-27+1,DAY(A1199))&amp;"",""))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$206,'Feb'!$D$27:$AH$206,'Mar'!$D$27:$AH$206,'Apr'!$D$27:$AH$206,'May'!$D$27:$AH$206,'Jun'!$D$27:$AH$206,'Jul'!$D$27:$AH$206,'Aug'!$D$27:$AH$206,'Sep'!$D$27:$AH$206,'Oct'!$D$27:$AH$206,'Nov'!$D$27:$AH$206,'Dec'!$D$27:$AH$206,'Jan (next year)'!$D$27:$AH$206),27+3*(IFERROR(MATCH(C1200,Roster!$B$6:$B$65,0),MATCH(C1200,Roster!$C$6:$C$65,0))-1)+MATCH(B1200,{"AM","PM","NIGHT"},0)-1-27+1,DAY(A1200))&amp;"",""))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$206,'Feb'!$D$27:$AH$206,'Mar'!$D$27:$AH$206,'Apr'!$D$27:$AH$206,'May'!$D$27:$AH$206,'Jun'!$D$27:$AH$206,'Jul'!$D$27:$AH$206,'Aug'!$D$27:$AH$206,'Sep'!$D$27:$AH$206,'Oct'!$D$27:$AH$206,'Nov'!$D$27:$AH$206,'Dec'!$D$27:$AH$206,'Jan (next year)'!$D$27:$AH$206),27+3*(IFERROR(MATCH(C1201,Roster!$B$6:$B$65,0),MATCH(C1201,Roster!$C$6:$C$65,0))-1)+MATCH(B1201,{"AM","PM","NIGHT"},0)-1-27+1,DAY(A1201))&amp;"",""))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$206,'Feb'!$D$27:$AH$206,'Mar'!$D$27:$AH$206,'Apr'!$D$27:$AH$206,'May'!$D$27:$AH$206,'Jun'!$D$27:$AH$206,'Jul'!$D$27:$AH$206,'Aug'!$D$27:$AH$206,'Sep'!$D$27:$AH$206,'Oct'!$D$27:$AH$206,'Nov'!$D$27:$AH$206,'Dec'!$D$27:$AH$206,'Jan (next year)'!$D$27:$AH$206),27+3*(IFERROR(MATCH(C1202,Roster!$B$6:$B$65,0),MATCH(C1202,Roster!$C$6:$C$65,0))-1)+MATCH(B1202,{"AM","PM","NIGHT"},0)-1-27+1,DAY(A1202))&amp;"",""))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$206,'Feb'!$D$27:$AH$206,'Mar'!$D$27:$AH$206,'Apr'!$D$27:$AH$206,'May'!$D$27:$AH$206,'Jun'!$D$27:$AH$206,'Jul'!$D$27:$AH$206,'Aug'!$D$27:$AH$206,'Sep'!$D$27:$AH$206,'Oct'!$D$27:$AH$206,'Nov'!$D$27:$AH$206,'Dec'!$D$27:$AH$206,'Jan (next year)'!$D$27:$AH$206),27+3*(IFERROR(MATCH(C1203,Roster!$B$6:$B$65,0),MATCH(C1203,Roster!$C$6:$C$65,0))-1)+MATCH(B1203,{"AM","PM","NIGHT"},0)-1-27+1,DAY(A1203))&amp;"",""))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$206,'Feb'!$D$27:$AH$206,'Mar'!$D$27:$AH$206,'Apr'!$D$27:$AH$206,'May'!$D$27:$AH$206,'Jun'!$D$27:$AH$206,'Jul'!$D$27:$AH$206,'Aug'!$D$27:$AH$206,'Sep'!$D$27:$AH$206,'Oct'!$D$27:$AH$206,'Nov'!$D$27:$AH$206,'Dec'!$D$27:$AH$206,'Jan (next year)'!$D$27:$AH$206),27+3*(IFERROR(MATCH(C1204,Roster!$B$6:$B$65,0),MATCH(C1204,Roster!$C$6:$C$65,0))-1)+MATCH(B1204,{"AM","PM","NIGHT"},0)-1-27+1,DAY(A1204))&amp;"",""))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$206,'Feb'!$D$27:$AH$206,'Mar'!$D$27:$AH$206,'Apr'!$D$27:$AH$206,'May'!$D$27:$AH$206,'Jun'!$D$27:$AH$206,'Jul'!$D$27:$AH$206,'Aug'!$D$27:$AH$206,'Sep'!$D$27:$AH$206,'Oct'!$D$27:$AH$206,'Nov'!$D$27:$AH$206,'Dec'!$D$27:$AH$206,'Jan (next year)'!$D$27:$AH$206),27+3*(IFERROR(MATCH(C1205,Roster!$B$6:$B$65,0),MATCH(C1205,Roster!$C$6:$C$65,0))-1)+MATCH(B1205,{"AM","PM","NIGHT"},0)-1-27+1,DAY(A1205))&amp;"",""))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$206,'Feb'!$D$27:$AH$206,'Mar'!$D$27:$AH$206,'Apr'!$D$27:$AH$206,'May'!$D$27:$AH$206,'Jun'!$D$27:$AH$206,'Jul'!$D$27:$AH$206,'Aug'!$D$27:$AH$206,'Sep'!$D$27:$AH$206,'Oct'!$D$27:$AH$206,'Nov'!$D$27:$AH$206,'Dec'!$D$27:$AH$206,'Jan (next year)'!$D$27:$AH$206),27+3*(IFERROR(MATCH(C1206,Roster!$B$6:$B$65,0),MATCH(C1206,Roster!$C$6:$C$65,0))-1)+MATCH(B1206,{"AM","PM","NIGHT"},0)-1-27+1,DAY(A1206))&amp;"",""))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$206,'Feb'!$D$27:$AH$206,'Mar'!$D$27:$AH$206,'Apr'!$D$27:$AH$206,'May'!$D$27:$AH$206,'Jun'!$D$27:$AH$206,'Jul'!$D$27:$AH$206,'Aug'!$D$27:$AH$206,'Sep'!$D$27:$AH$206,'Oct'!$D$27:$AH$206,'Nov'!$D$27:$AH$206,'Dec'!$D$27:$AH$206,'Jan (next year)'!$D$27:$AH$206),27+3*(IFERROR(MATCH(C1207,Roster!$B$6:$B$65,0),MATCH(C1207,Roster!$C$6:$C$65,0))-1)+MATCH(B1207,{"AM","PM","NIGHT"},0)-1-27+1,DAY(A1207))&amp;"",""))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$206,'Feb'!$D$27:$AH$206,'Mar'!$D$27:$AH$206,'Apr'!$D$27:$AH$206,'May'!$D$27:$AH$206,'Jun'!$D$27:$AH$206,'Jul'!$D$27:$AH$206,'Aug'!$D$27:$AH$206,'Sep'!$D$27:$AH$206,'Oct'!$D$27:$AH$206,'Nov'!$D$27:$AH$206,'Dec'!$D$27:$AH$206,'Jan (next year)'!$D$27:$AH$206),27+3*(IFERROR(MATCH(C1208,Roster!$B$6:$B$65,0),MATCH(C1208,Roster!$C$6:$C$65,0))-1)+MATCH(B1208,{"AM","PM","NIGHT"},0)-1-27+1,DAY(A1208))&amp;"",""))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$206,'Feb'!$D$27:$AH$206,'Mar'!$D$27:$AH$206,'Apr'!$D$27:$AH$206,'May'!$D$27:$AH$206,'Jun'!$D$27:$AH$206,'Jul'!$D$27:$AH$206,'Aug'!$D$27:$AH$206,'Sep'!$D$27:$AH$206,'Oct'!$D$27:$AH$206,'Nov'!$D$27:$AH$206,'Dec'!$D$27:$AH$206,'Jan (next year)'!$D$27:$AH$206),27+3*(IFERROR(MATCH(C1209,Roster!$B$6:$B$65,0),MATCH(C1209,Roster!$C$6:$C$65,0))-1)+MATCH(B1209,{"AM","PM","NIGHT"},0)-1-27+1,DAY(A1209))&amp;"",""))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$206,'Feb'!$D$27:$AH$206,'Mar'!$D$27:$AH$206,'Apr'!$D$27:$AH$206,'May'!$D$27:$AH$206,'Jun'!$D$27:$AH$206,'Jul'!$D$27:$AH$206,'Aug'!$D$27:$AH$206,'Sep'!$D$27:$AH$206,'Oct'!$D$27:$AH$206,'Nov'!$D$27:$AH$206,'Dec'!$D$27:$AH$206,'Jan (next year)'!$D$27:$AH$206),27+3*(IFERROR(MATCH(C1210,Roster!$B$6:$B$65,0),MATCH(C1210,Roster!$C$6:$C$65,0))-1)+MATCH(B1210,{"AM","PM","NIGHT"},0)-1-27+1,DAY(A1210))&amp;"",""))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$206,'Feb'!$D$27:$AH$206,'Mar'!$D$27:$AH$206,'Apr'!$D$27:$AH$206,'May'!$D$27:$AH$206,'Jun'!$D$27:$AH$206,'Jul'!$D$27:$AH$206,'Aug'!$D$27:$AH$206,'Sep'!$D$27:$AH$206,'Oct'!$D$27:$AH$206,'Nov'!$D$27:$AH$206,'Dec'!$D$27:$AH$206,'Jan (next year)'!$D$27:$AH$206),27+3*(IFERROR(MATCH(C1211,Roster!$B$6:$B$65,0),MATCH(C1211,Roster!$C$6:$C$65,0))-1)+MATCH(B1211,{"AM","PM","NIGHT"},0)-1-27+1,DAY(A1211))&amp;"",""))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$206,'Feb'!$D$27:$AH$206,'Mar'!$D$27:$AH$206,'Apr'!$D$27:$AH$206,'May'!$D$27:$AH$206,'Jun'!$D$27:$AH$206,'Jul'!$D$27:$AH$206,'Aug'!$D$27:$AH$206,'Sep'!$D$27:$AH$206,'Oct'!$D$27:$AH$206,'Nov'!$D$27:$AH$206,'Dec'!$D$27:$AH$206,'Jan (next year)'!$D$27:$AH$206),27+3*(IFERROR(MATCH(C1212,Roster!$B$6:$B$65,0),MATCH(C1212,Roster!$C$6:$C$65,0))-1)+MATCH(B1212,{"AM","PM","NIGHT"},0)-1-27+1,DAY(A1212))&amp;"",""))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$206,'Feb'!$D$27:$AH$206,'Mar'!$D$27:$AH$206,'Apr'!$D$27:$AH$206,'May'!$D$27:$AH$206,'Jun'!$D$27:$AH$206,'Jul'!$D$27:$AH$206,'Aug'!$D$27:$AH$206,'Sep'!$D$27:$AH$206,'Oct'!$D$27:$AH$206,'Nov'!$D$27:$AH$206,'Dec'!$D$27:$AH$206,'Jan (next year)'!$D$27:$AH$206),27+3*(IFERROR(MATCH(C1213,Roster!$B$6:$B$65,0),MATCH(C1213,Roster!$C$6:$C$65,0))-1)+MATCH(B1213,{"AM","PM","NIGHT"},0)-1-27+1,DAY(A1213))&amp;"",""))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$206,'Feb'!$D$27:$AH$206,'Mar'!$D$27:$AH$206,'Apr'!$D$27:$AH$206,'May'!$D$27:$AH$206,'Jun'!$D$27:$AH$206,'Jul'!$D$27:$AH$206,'Aug'!$D$27:$AH$206,'Sep'!$D$27:$AH$206,'Oct'!$D$27:$AH$206,'Nov'!$D$27:$AH$206,'Dec'!$D$27:$AH$206,'Jan (next year)'!$D$27:$AH$206),27+3*(IFERROR(MATCH(C1214,Roster!$B$6:$B$65,0),MATCH(C1214,Roster!$C$6:$C$65,0))-1)+MATCH(B1214,{"AM","PM","NIGHT"},0)-1-27+1,DAY(A1214))&amp;"",""))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$206,'Feb'!$D$27:$AH$206,'Mar'!$D$27:$AH$206,'Apr'!$D$27:$AH$206,'May'!$D$27:$AH$206,'Jun'!$D$27:$AH$206,'Jul'!$D$27:$AH$206,'Aug'!$D$27:$AH$206,'Sep'!$D$27:$AH$206,'Oct'!$D$27:$AH$206,'Nov'!$D$27:$AH$206,'Dec'!$D$27:$AH$206,'Jan (next year)'!$D$27:$AH$206),27+3*(IFERROR(MATCH(C1215,Roster!$B$6:$B$65,0),MATCH(C1215,Roster!$C$6:$C$65,0))-1)+MATCH(B1215,{"AM","PM","NIGHT"},0)-1-27+1,DAY(A1215))&amp;"",""))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$206,'Feb'!$D$27:$AH$206,'Mar'!$D$27:$AH$206,'Apr'!$D$27:$AH$206,'May'!$D$27:$AH$206,'Jun'!$D$27:$AH$206,'Jul'!$D$27:$AH$206,'Aug'!$D$27:$AH$206,'Sep'!$D$27:$AH$206,'Oct'!$D$27:$AH$206,'Nov'!$D$27:$AH$206,'Dec'!$D$27:$AH$206,'Jan (next year)'!$D$27:$AH$206),27+3*(IFERROR(MATCH(C1216,Roster!$B$6:$B$65,0),MATCH(C1216,Roster!$C$6:$C$65,0))-1)+MATCH(B1216,{"AM","PM","NIGHT"},0)-1-27+1,DAY(A1216))&amp;"",""))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$206,'Feb'!$D$27:$AH$206,'Mar'!$D$27:$AH$206,'Apr'!$D$27:$AH$206,'May'!$D$27:$AH$206,'Jun'!$D$27:$AH$206,'Jul'!$D$27:$AH$206,'Aug'!$D$27:$AH$206,'Sep'!$D$27:$AH$206,'Oct'!$D$27:$AH$206,'Nov'!$D$27:$AH$206,'Dec'!$D$27:$AH$206,'Jan (next year)'!$D$27:$AH$206),27+3*(IFERROR(MATCH(C1217,Roster!$B$6:$B$65,0),MATCH(C1217,Roster!$C$6:$C$65,0))-1)+MATCH(B1217,{"AM","PM","NIGHT"},0)-1-27+1,DAY(A1217))&amp;"",""))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$206,'Feb'!$D$27:$AH$206,'Mar'!$D$27:$AH$206,'Apr'!$D$27:$AH$206,'May'!$D$27:$AH$206,'Jun'!$D$27:$AH$206,'Jul'!$D$27:$AH$206,'Aug'!$D$27:$AH$206,'Sep'!$D$27:$AH$206,'Oct'!$D$27:$AH$206,'Nov'!$D$27:$AH$206,'Dec'!$D$27:$AH$206,'Jan (next year)'!$D$27:$AH$206),27+3*(IFERROR(MATCH(C1218,Roster!$B$6:$B$65,0),MATCH(C1218,Roster!$C$6:$C$65,0))-1)+MATCH(B1218,{"AM","PM","NIGHT"},0)-1-27+1,DAY(A1218))&amp;"",""))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$206,'Feb'!$D$27:$AH$206,'Mar'!$D$27:$AH$206,'Apr'!$D$27:$AH$206,'May'!$D$27:$AH$206,'Jun'!$D$27:$AH$206,'Jul'!$D$27:$AH$206,'Aug'!$D$27:$AH$206,'Sep'!$D$27:$AH$206,'Oct'!$D$27:$AH$206,'Nov'!$D$27:$AH$206,'Dec'!$D$27:$AH$206,'Jan (next year)'!$D$27:$AH$206),27+3*(IFERROR(MATCH(C1219,Roster!$B$6:$B$65,0),MATCH(C1219,Roster!$C$6:$C$65,0))-1)+MATCH(B1219,{"AM","PM","NIGHT"},0)-1-27+1,DAY(A1219))&amp;"",""))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$206,'Feb'!$D$27:$AH$206,'Mar'!$D$27:$AH$206,'Apr'!$D$27:$AH$206,'May'!$D$27:$AH$206,'Jun'!$D$27:$AH$206,'Jul'!$D$27:$AH$206,'Aug'!$D$27:$AH$206,'Sep'!$D$27:$AH$206,'Oct'!$D$27:$AH$206,'Nov'!$D$27:$AH$206,'Dec'!$D$27:$AH$206,'Jan (next year)'!$D$27:$AH$206),27+3*(IFERROR(MATCH(C1220,Roster!$B$6:$B$65,0),MATCH(C1220,Roster!$C$6:$C$65,0))-1)+MATCH(B1220,{"AM","PM","NIGHT"},0)-1-27+1,DAY(A1220))&amp;"",""))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$206,'Feb'!$D$27:$AH$206,'Mar'!$D$27:$AH$206,'Apr'!$D$27:$AH$206,'May'!$D$27:$AH$206,'Jun'!$D$27:$AH$206,'Jul'!$D$27:$AH$206,'Aug'!$D$27:$AH$206,'Sep'!$D$27:$AH$206,'Oct'!$D$27:$AH$206,'Nov'!$D$27:$AH$206,'Dec'!$D$27:$AH$206,'Jan (next year)'!$D$27:$AH$206),27+3*(IFERROR(MATCH(C1221,Roster!$B$6:$B$65,0),MATCH(C1221,Roster!$C$6:$C$65,0))-1)+MATCH(B1221,{"AM","PM","NIGHT"},0)-1-27+1,DAY(A1221))&amp;"",""))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$206,'Feb'!$D$27:$AH$206,'Mar'!$D$27:$AH$206,'Apr'!$D$27:$AH$206,'May'!$D$27:$AH$206,'Jun'!$D$27:$AH$206,'Jul'!$D$27:$AH$206,'Aug'!$D$27:$AH$206,'Sep'!$D$27:$AH$206,'Oct'!$D$27:$AH$206,'Nov'!$D$27:$AH$206,'Dec'!$D$27:$AH$206,'Jan (next year)'!$D$27:$AH$206),27+3*(IFERROR(MATCH(C1222,Roster!$B$6:$B$65,0),MATCH(C1222,Roster!$C$6:$C$65,0))-1)+MATCH(B1222,{"AM","PM","NIGHT"},0)-1-27+1,DAY(A1222))&amp;"",""))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$206,'Feb'!$D$27:$AH$206,'Mar'!$D$27:$AH$206,'Apr'!$D$27:$AH$206,'May'!$D$27:$AH$206,'Jun'!$D$27:$AH$206,'Jul'!$D$27:$AH$206,'Aug'!$D$27:$AH$206,'Sep'!$D$27:$AH$206,'Oct'!$D$27:$AH$206,'Nov'!$D$27:$AH$206,'Dec'!$D$27:$AH$206,'Jan (next year)'!$D$27:$AH$206),27+3*(IFERROR(MATCH(C1223,Roster!$B$6:$B$65,0),MATCH(C1223,Roster!$C$6:$C$65,0))-1)+MATCH(B1223,{"AM","PM","NIGHT"},0)-1-27+1,DAY(A1223))&amp;"",""))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$206,'Feb'!$D$27:$AH$206,'Mar'!$D$27:$AH$206,'Apr'!$D$27:$AH$206,'May'!$D$27:$AH$206,'Jun'!$D$27:$AH$206,'Jul'!$D$27:$AH$206,'Aug'!$D$27:$AH$206,'Sep'!$D$27:$AH$206,'Oct'!$D$27:$AH$206,'Nov'!$D$27:$AH$206,'Dec'!$D$27:$AH$206,'Jan (next year)'!$D$27:$AH$206),27+3*(IFERROR(MATCH(C1224,Roster!$B$6:$B$65,0),MATCH(C1224,Roster!$C$6:$C$65,0))-1)+MATCH(B1224,{"AM","PM","NIGHT"},0)-1-27+1,DAY(A1224))&amp;"",""))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$206,'Feb'!$D$27:$AH$206,'Mar'!$D$27:$AH$206,'Apr'!$D$27:$AH$206,'May'!$D$27:$AH$206,'Jun'!$D$27:$AH$206,'Jul'!$D$27:$AH$206,'Aug'!$D$27:$AH$206,'Sep'!$D$27:$AH$206,'Oct'!$D$27:$AH$206,'Nov'!$D$27:$AH$206,'Dec'!$D$27:$AH$206,'Jan (next year)'!$D$27:$AH$206),27+3*(IFERROR(MATCH(C1225,Roster!$B$6:$B$65,0),MATCH(C1225,Roster!$C$6:$C$65,0))-1)+MATCH(B1225,{"AM","PM","NIGHT"},0)-1-27+1,DAY(A1225))&amp;"",""))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$206,'Feb'!$D$27:$AH$206,'Mar'!$D$27:$AH$206,'Apr'!$D$27:$AH$206,'May'!$D$27:$AH$206,'Jun'!$D$27:$AH$206,'Jul'!$D$27:$AH$206,'Aug'!$D$27:$AH$206,'Sep'!$D$27:$AH$206,'Oct'!$D$27:$AH$206,'Nov'!$D$27:$AH$206,'Dec'!$D$27:$AH$206,'Jan (next year)'!$D$27:$AH$206),27+3*(IFERROR(MATCH(C1226,Roster!$B$6:$B$65,0),MATCH(C1226,Roster!$C$6:$C$65,0))-1)+MATCH(B1226,{"AM","PM","NIGHT"},0)-1-27+1,DAY(A1226))&amp;"",""))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$206,'Feb'!$D$27:$AH$206,'Mar'!$D$27:$AH$206,'Apr'!$D$27:$AH$206,'May'!$D$27:$AH$206,'Jun'!$D$27:$AH$206,'Jul'!$D$27:$AH$206,'Aug'!$D$27:$AH$206,'Sep'!$D$27:$AH$206,'Oct'!$D$27:$AH$206,'Nov'!$D$27:$AH$206,'Dec'!$D$27:$AH$206,'Jan (next year)'!$D$27:$AH$206),27+3*(IFERROR(MATCH(C1227,Roster!$B$6:$B$65,0),MATCH(C1227,Roster!$C$6:$C$65,0))-1)+MATCH(B1227,{"AM","PM","NIGHT"},0)-1-27+1,DAY(A1227))&amp;"",""))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$206,'Feb'!$D$27:$AH$206,'Mar'!$D$27:$AH$206,'Apr'!$D$27:$AH$206,'May'!$D$27:$AH$206,'Jun'!$D$27:$AH$206,'Jul'!$D$27:$AH$206,'Aug'!$D$27:$AH$206,'Sep'!$D$27:$AH$206,'Oct'!$D$27:$AH$206,'Nov'!$D$27:$AH$206,'Dec'!$D$27:$AH$206,'Jan (next year)'!$D$27:$AH$206),27+3*(IFERROR(MATCH(C1228,Roster!$B$6:$B$65,0),MATCH(C1228,Roster!$C$6:$C$65,0))-1)+MATCH(B1228,{"AM","PM","NIGHT"},0)-1-27+1,DAY(A1228))&amp;"",""))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$206,'Feb'!$D$27:$AH$206,'Mar'!$D$27:$AH$206,'Apr'!$D$27:$AH$206,'May'!$D$27:$AH$206,'Jun'!$D$27:$AH$206,'Jul'!$D$27:$AH$206,'Aug'!$D$27:$AH$206,'Sep'!$D$27:$AH$206,'Oct'!$D$27:$AH$206,'Nov'!$D$27:$AH$206,'Dec'!$D$27:$AH$206,'Jan (next year)'!$D$27:$AH$206),27+3*(IFERROR(MATCH(C1229,Roster!$B$6:$B$65,0),MATCH(C1229,Roster!$C$6:$C$65,0))-1)+MATCH(B1229,{"AM","PM","NIGHT"},0)-1-27+1,DAY(A1229))&amp;"",""))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$206,'Feb'!$D$27:$AH$206,'Mar'!$D$27:$AH$206,'Apr'!$D$27:$AH$206,'May'!$D$27:$AH$206,'Jun'!$D$27:$AH$206,'Jul'!$D$27:$AH$206,'Aug'!$D$27:$AH$206,'Sep'!$D$27:$AH$206,'Oct'!$D$27:$AH$206,'Nov'!$D$27:$AH$206,'Dec'!$D$27:$AH$206,'Jan (next year)'!$D$27:$AH$206),27+3*(IFERROR(MATCH(C1230,Roster!$B$6:$B$65,0),MATCH(C1230,Roster!$C$6:$C$65,0))-1)+MATCH(B1230,{"AM","PM","NIGHT"},0)-1-27+1,DAY(A1230))&amp;"",""))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$206,'Feb'!$D$27:$AH$206,'Mar'!$D$27:$AH$206,'Apr'!$D$27:$AH$206,'May'!$D$27:$AH$206,'Jun'!$D$27:$AH$206,'Jul'!$D$27:$AH$206,'Aug'!$D$27:$AH$206,'Sep'!$D$27:$AH$206,'Oct'!$D$27:$AH$206,'Nov'!$D$27:$AH$206,'Dec'!$D$27:$AH$206,'Jan (next year)'!$D$27:$AH$206),27+3*(IFERROR(MATCH(C1231,Roster!$B$6:$B$65,0),MATCH(C1231,Roster!$C$6:$C$65,0))-1)+MATCH(B1231,{"AM","PM","NIGHT"},0)-1-27+1,DAY(A1231))&amp;"",""))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$206,'Feb'!$D$27:$AH$206,'Mar'!$D$27:$AH$206,'Apr'!$D$27:$AH$206,'May'!$D$27:$AH$206,'Jun'!$D$27:$AH$206,'Jul'!$D$27:$AH$206,'Aug'!$D$27:$AH$206,'Sep'!$D$27:$AH$206,'Oct'!$D$27:$AH$206,'Nov'!$D$27:$AH$206,'Dec'!$D$27:$AH$206,'Jan (next year)'!$D$27:$AH$206),27+3*(IFERROR(MATCH(C1232,Roster!$B$6:$B$65,0),MATCH(C1232,Roster!$C$6:$C$65,0))-1)+MATCH(B1232,{"AM","PM","NIGHT"},0)-1-27+1,DAY(A1232))&amp;"",""))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$206,'Feb'!$D$27:$AH$206,'Mar'!$D$27:$AH$206,'Apr'!$D$27:$AH$206,'May'!$D$27:$AH$206,'Jun'!$D$27:$AH$206,'Jul'!$D$27:$AH$206,'Aug'!$D$27:$AH$206,'Sep'!$D$27:$AH$206,'Oct'!$D$27:$AH$206,'Nov'!$D$27:$AH$206,'Dec'!$D$27:$AH$206,'Jan (next year)'!$D$27:$AH$206),27+3*(IFERROR(MATCH(C1233,Roster!$B$6:$B$65,0),MATCH(C1233,Roster!$C$6:$C$65,0))-1)+MATCH(B1233,{"AM","PM","NIGHT"},0)-1-27+1,DAY(A1233))&amp;"",""))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$206,'Feb'!$D$27:$AH$206,'Mar'!$D$27:$AH$206,'Apr'!$D$27:$AH$206,'May'!$D$27:$AH$206,'Jun'!$D$27:$AH$206,'Jul'!$D$27:$AH$206,'Aug'!$D$27:$AH$206,'Sep'!$D$27:$AH$206,'Oct'!$D$27:$AH$206,'Nov'!$D$27:$AH$206,'Dec'!$D$27:$AH$206,'Jan (next year)'!$D$27:$AH$206),27+3*(IFERROR(MATCH(C1234,Roster!$B$6:$B$65,0),MATCH(C1234,Roster!$C$6:$C$65,0))-1)+MATCH(B1234,{"AM","PM","NIGHT"},0)-1-27+1,DAY(A1234))&amp;"",""))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$206,'Feb'!$D$27:$AH$206,'Mar'!$D$27:$AH$206,'Apr'!$D$27:$AH$206,'May'!$D$27:$AH$206,'Jun'!$D$27:$AH$206,'Jul'!$D$27:$AH$206,'Aug'!$D$27:$AH$206,'Sep'!$D$27:$AH$206,'Oct'!$D$27:$AH$206,'Nov'!$D$27:$AH$206,'Dec'!$D$27:$AH$206,'Jan (next year)'!$D$27:$AH$206),27+3*(IFERROR(MATCH(C1235,Roster!$B$6:$B$65,0),MATCH(C1235,Roster!$C$6:$C$65,0))-1)+MATCH(B1235,{"AM","PM","NIGHT"},0)-1-27+1,DAY(A1235))&amp;"",""))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$206,'Feb'!$D$27:$AH$206,'Mar'!$D$27:$AH$206,'Apr'!$D$27:$AH$206,'May'!$D$27:$AH$206,'Jun'!$D$27:$AH$206,'Jul'!$D$27:$AH$206,'Aug'!$D$27:$AH$206,'Sep'!$D$27:$AH$206,'Oct'!$D$27:$AH$206,'Nov'!$D$27:$AH$206,'Dec'!$D$27:$AH$206,'Jan (next year)'!$D$27:$AH$206),27+3*(IFERROR(MATCH(C1236,Roster!$B$6:$B$65,0),MATCH(C1236,Roster!$C$6:$C$65,0))-1)+MATCH(B1236,{"AM","PM","NIGHT"},0)-1-27+1,DAY(A1236))&amp;"",""))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$206,'Feb'!$D$27:$AH$206,'Mar'!$D$27:$AH$206,'Apr'!$D$27:$AH$206,'May'!$D$27:$AH$206,'Jun'!$D$27:$AH$206,'Jul'!$D$27:$AH$206,'Aug'!$D$27:$AH$206,'Sep'!$D$27:$AH$206,'Oct'!$D$27:$AH$206,'Nov'!$D$27:$AH$206,'Dec'!$D$27:$AH$206,'Jan (next year)'!$D$27:$AH$206),27+3*(IFERROR(MATCH(C1237,Roster!$B$6:$B$65,0),MATCH(C1237,Roster!$C$6:$C$65,0))-1)+MATCH(B1237,{"AM","PM","NIGHT"},0)-1-27+1,DAY(A1237))&amp;"",""))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$206,'Feb'!$D$27:$AH$206,'Mar'!$D$27:$AH$206,'Apr'!$D$27:$AH$206,'May'!$D$27:$AH$206,'Jun'!$D$27:$AH$206,'Jul'!$D$27:$AH$206,'Aug'!$D$27:$AH$206,'Sep'!$D$27:$AH$206,'Oct'!$D$27:$AH$206,'Nov'!$D$27:$AH$206,'Dec'!$D$27:$AH$206,'Jan (next year)'!$D$27:$AH$206),27+3*(IFERROR(MATCH(C1238,Roster!$B$6:$B$65,0),MATCH(C1238,Roster!$C$6:$C$65,0))-1)+MATCH(B1238,{"AM","PM","NIGHT"},0)-1-27+1,DAY(A1238))&amp;"",""))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$206,'Feb'!$D$27:$AH$206,'Mar'!$D$27:$AH$206,'Apr'!$D$27:$AH$206,'May'!$D$27:$AH$206,'Jun'!$D$27:$AH$206,'Jul'!$D$27:$AH$206,'Aug'!$D$27:$AH$206,'Sep'!$D$27:$AH$206,'Oct'!$D$27:$AH$206,'Nov'!$D$27:$AH$206,'Dec'!$D$27:$AH$206,'Jan (next year)'!$D$27:$AH$206),27+3*(IFERROR(MATCH(C1239,Roster!$B$6:$B$65,0),MATCH(C1239,Roster!$C$6:$C$65,0))-1)+MATCH(B1239,{"AM","PM","NIGHT"},0)-1-27+1,DAY(A1239))&amp;"",""))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$206,'Feb'!$D$27:$AH$206,'Mar'!$D$27:$AH$206,'Apr'!$D$27:$AH$206,'May'!$D$27:$AH$206,'Jun'!$D$27:$AH$206,'Jul'!$D$27:$AH$206,'Aug'!$D$27:$AH$206,'Sep'!$D$27:$AH$206,'Oct'!$D$27:$AH$206,'Nov'!$D$27:$AH$206,'Dec'!$D$27:$AH$206,'Jan (next year)'!$D$27:$AH$206),27+3*(IFERROR(MATCH(C1240,Roster!$B$6:$B$65,0),MATCH(C1240,Roster!$C$6:$C$65,0))-1)+MATCH(B1240,{"AM","PM","NIGHT"},0)-1-27+1,DAY(A1240))&amp;"",""))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$206,'Feb'!$D$27:$AH$206,'Mar'!$D$27:$AH$206,'Apr'!$D$27:$AH$206,'May'!$D$27:$AH$206,'Jun'!$D$27:$AH$206,'Jul'!$D$27:$AH$206,'Aug'!$D$27:$AH$206,'Sep'!$D$27:$AH$206,'Oct'!$D$27:$AH$206,'Nov'!$D$27:$AH$206,'Dec'!$D$27:$AH$206,'Jan (next year)'!$D$27:$AH$206),27+3*(IFERROR(MATCH(C1241,Roster!$B$6:$B$65,0),MATCH(C1241,Roster!$C$6:$C$65,0))-1)+MATCH(B1241,{"AM","PM","NIGHT"},0)-1-27+1,DAY(A1241))&amp;"",""))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$206,'Feb'!$D$27:$AH$206,'Mar'!$D$27:$AH$206,'Apr'!$D$27:$AH$206,'May'!$D$27:$AH$206,'Jun'!$D$27:$AH$206,'Jul'!$D$27:$AH$206,'Aug'!$D$27:$AH$206,'Sep'!$D$27:$AH$206,'Oct'!$D$27:$AH$206,'Nov'!$D$27:$AH$206,'Dec'!$D$27:$AH$206,'Jan (next year)'!$D$27:$AH$206),27+3*(IFERROR(MATCH(C1242,Roster!$B$6:$B$65,0),MATCH(C1242,Roster!$C$6:$C$65,0))-1)+MATCH(B1242,{"AM","PM","NIGHT"},0)-1-27+1,DAY(A1242))&amp;"",""))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$206,'Feb'!$D$27:$AH$206,'Mar'!$D$27:$AH$206,'Apr'!$D$27:$AH$206,'May'!$D$27:$AH$206,'Jun'!$D$27:$AH$206,'Jul'!$D$27:$AH$206,'Aug'!$D$27:$AH$206,'Sep'!$D$27:$AH$206,'Oct'!$D$27:$AH$206,'Nov'!$D$27:$AH$206,'Dec'!$D$27:$AH$206,'Jan (next year)'!$D$27:$AH$206),27+3*(IFERROR(MATCH(C1243,Roster!$B$6:$B$65,0),MATCH(C1243,Roster!$C$6:$C$65,0))-1)+MATCH(B1243,{"AM","PM","NIGHT"},0)-1-27+1,DAY(A1243))&amp;"",""))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$206,'Feb'!$D$27:$AH$206,'Mar'!$D$27:$AH$206,'Apr'!$D$27:$AH$206,'May'!$D$27:$AH$206,'Jun'!$D$27:$AH$206,'Jul'!$D$27:$AH$206,'Aug'!$D$27:$AH$206,'Sep'!$D$27:$AH$206,'Oct'!$D$27:$AH$206,'Nov'!$D$27:$AH$206,'Dec'!$D$27:$AH$206,'Jan (next year)'!$D$27:$AH$206),27+3*(IFERROR(MATCH(C1244,Roster!$B$6:$B$65,0),MATCH(C1244,Roster!$C$6:$C$65,0))-1)+MATCH(B1244,{"AM","PM","NIGHT"},0)-1-27+1,DAY(A1244))&amp;"",""))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$206,'Feb'!$D$27:$AH$206,'Mar'!$D$27:$AH$206,'Apr'!$D$27:$AH$206,'May'!$D$27:$AH$206,'Jun'!$D$27:$AH$206,'Jul'!$D$27:$AH$206,'Aug'!$D$27:$AH$206,'Sep'!$D$27:$AH$206,'Oct'!$D$27:$AH$206,'Nov'!$D$27:$AH$206,'Dec'!$D$27:$AH$206,'Jan (next year)'!$D$27:$AH$206),27+3*(IFERROR(MATCH(C1245,Roster!$B$6:$B$65,0),MATCH(C1245,Roster!$C$6:$C$65,0))-1)+MATCH(B1245,{"AM","PM","NIGHT"},0)-1-27+1,DAY(A1245))&amp;"",""))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$206,'Feb'!$D$27:$AH$206,'Mar'!$D$27:$AH$206,'Apr'!$D$27:$AH$206,'May'!$D$27:$AH$206,'Jun'!$D$27:$AH$206,'Jul'!$D$27:$AH$206,'Aug'!$D$27:$AH$206,'Sep'!$D$27:$AH$206,'Oct'!$D$27:$AH$206,'Nov'!$D$27:$AH$206,'Dec'!$D$27:$AH$206,'Jan (next year)'!$D$27:$AH$206),27+3*(IFERROR(MATCH(C1246,Roster!$B$6:$B$65,0),MATCH(C1246,Roster!$C$6:$C$65,0))-1)+MATCH(B1246,{"AM","PM","NIGHT"},0)-1-27+1,DAY(A1246))&amp;"",""))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$206,'Feb'!$D$27:$AH$206,'Mar'!$D$27:$AH$206,'Apr'!$D$27:$AH$206,'May'!$D$27:$AH$206,'Jun'!$D$27:$AH$206,'Jul'!$D$27:$AH$206,'Aug'!$D$27:$AH$206,'Sep'!$D$27:$AH$206,'Oct'!$D$27:$AH$206,'Nov'!$D$27:$AH$206,'Dec'!$D$27:$AH$206,'Jan (next year)'!$D$27:$AH$206),27+3*(IFERROR(MATCH(C1247,Roster!$B$6:$B$65,0),MATCH(C1247,Roster!$C$6:$C$65,0))-1)+MATCH(B1247,{"AM","PM","NIGHT"},0)-1-27+1,DAY(A1247))&amp;"",""))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$206,'Feb'!$D$27:$AH$206,'Mar'!$D$27:$AH$206,'Apr'!$D$27:$AH$206,'May'!$D$27:$AH$206,'Jun'!$D$27:$AH$206,'Jul'!$D$27:$AH$206,'Aug'!$D$27:$AH$206,'Sep'!$D$27:$AH$206,'Oct'!$D$27:$AH$206,'Nov'!$D$27:$AH$206,'Dec'!$D$27:$AH$206,'Jan (next year)'!$D$27:$AH$206),27+3*(IFERROR(MATCH(C1248,Roster!$B$6:$B$65,0),MATCH(C1248,Roster!$C$6:$C$65,0))-1)+MATCH(B1248,{"AM","PM","NIGHT"},0)-1-27+1,DAY(A1248))&amp;"",""))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$206,'Feb'!$D$27:$AH$206,'Mar'!$D$27:$AH$206,'Apr'!$D$27:$AH$206,'May'!$D$27:$AH$206,'Jun'!$D$27:$AH$206,'Jul'!$D$27:$AH$206,'Aug'!$D$27:$AH$206,'Sep'!$D$27:$AH$206,'Oct'!$D$27:$AH$206,'Nov'!$D$27:$AH$206,'Dec'!$D$27:$AH$206,'Jan (next year)'!$D$27:$AH$206),27+3*(IFERROR(MATCH(C1249,Roster!$B$6:$B$65,0),MATCH(C1249,Roster!$C$6:$C$65,0))-1)+MATCH(B1249,{"AM","PM","NIGHT"},0)-1-27+1,DAY(A1249))&amp;"",""))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$206,'Feb'!$D$27:$AH$206,'Mar'!$D$27:$AH$206,'Apr'!$D$27:$AH$206,'May'!$D$27:$AH$206,'Jun'!$D$27:$AH$206,'Jul'!$D$27:$AH$206,'Aug'!$D$27:$AH$206,'Sep'!$D$27:$AH$206,'Oct'!$D$27:$AH$206,'Nov'!$D$27:$AH$206,'Dec'!$D$27:$AH$206,'Jan (next year)'!$D$27:$AH$206),27+3*(IFERROR(MATCH(C1250,Roster!$B$6:$B$65,0),MATCH(C1250,Roster!$C$6:$C$65,0))-1)+MATCH(B1250,{"AM","PM","NIGHT"},0)-1-27+1,DAY(A1250))&amp;"",""))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$206,'Feb'!$D$27:$AH$206,'Mar'!$D$27:$AH$206,'Apr'!$D$27:$AH$206,'May'!$D$27:$AH$206,'Jun'!$D$27:$AH$206,'Jul'!$D$27:$AH$206,'Aug'!$D$27:$AH$206,'Sep'!$D$27:$AH$206,'Oct'!$D$27:$AH$206,'Nov'!$D$27:$AH$206,'Dec'!$D$27:$AH$206,'Jan (next year)'!$D$27:$AH$206),27+3*(IFERROR(MATCH(C1251,Roster!$B$6:$B$65,0),MATCH(C1251,Roster!$C$6:$C$65,0))-1)+MATCH(B1251,{"AM","PM","NIGHT"},0)-1-27+1,DAY(A1251))&amp;"",""))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$206,'Feb'!$D$27:$AH$206,'Mar'!$D$27:$AH$206,'Apr'!$D$27:$AH$206,'May'!$D$27:$AH$206,'Jun'!$D$27:$AH$206,'Jul'!$D$27:$AH$206,'Aug'!$D$27:$AH$206,'Sep'!$D$27:$AH$206,'Oct'!$D$27:$AH$206,'Nov'!$D$27:$AH$206,'Dec'!$D$27:$AH$206,'Jan (next year)'!$D$27:$AH$206),27+3*(IFERROR(MATCH(C1252,Roster!$B$6:$B$65,0),MATCH(C1252,Roster!$C$6:$C$65,0))-1)+MATCH(B1252,{"AM","PM","NIGHT"},0)-1-27+1,DAY(A1252))&amp;"",""))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$206,'Feb'!$D$27:$AH$206,'Mar'!$D$27:$AH$206,'Apr'!$D$27:$AH$206,'May'!$D$27:$AH$206,'Jun'!$D$27:$AH$206,'Jul'!$D$27:$AH$206,'Aug'!$D$27:$AH$206,'Sep'!$D$27:$AH$206,'Oct'!$D$27:$AH$206,'Nov'!$D$27:$AH$206,'Dec'!$D$27:$AH$206,'Jan (next year)'!$D$27:$AH$206),27+3*(IFERROR(MATCH(C1253,Roster!$B$6:$B$65,0),MATCH(C1253,Roster!$C$6:$C$65,0))-1)+MATCH(B1253,{"AM","PM","NIGHT"},0)-1-27+1,DAY(A1253))&amp;"",""))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$206,'Feb'!$D$27:$AH$206,'Mar'!$D$27:$AH$206,'Apr'!$D$27:$AH$206,'May'!$D$27:$AH$206,'Jun'!$D$27:$AH$206,'Jul'!$D$27:$AH$206,'Aug'!$D$27:$AH$206,'Sep'!$D$27:$AH$206,'Oct'!$D$27:$AH$206,'Nov'!$D$27:$AH$206,'Dec'!$D$27:$AH$206,'Jan (next year)'!$D$27:$AH$206),27+3*(IFERROR(MATCH(C1254,Roster!$B$6:$B$65,0),MATCH(C1254,Roster!$C$6:$C$65,0))-1)+MATCH(B1254,{"AM","PM","NIGHT"},0)-1-27+1,DAY(A1254))&amp;"",""))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$206,'Feb'!$D$27:$AH$206,'Mar'!$D$27:$AH$206,'Apr'!$D$27:$AH$206,'May'!$D$27:$AH$206,'Jun'!$D$27:$AH$206,'Jul'!$D$27:$AH$206,'Aug'!$D$27:$AH$206,'Sep'!$D$27:$AH$206,'Oct'!$D$27:$AH$206,'Nov'!$D$27:$AH$206,'Dec'!$D$27:$AH$206,'Jan (next year)'!$D$27:$AH$206),27+3*(IFERROR(MATCH(C1255,Roster!$B$6:$B$65,0),MATCH(C1255,Roster!$C$6:$C$65,0))-1)+MATCH(B1255,{"AM","PM","NIGHT"},0)-1-27+1,DAY(A1255))&amp;"",""))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$206,'Feb'!$D$27:$AH$206,'Mar'!$D$27:$AH$206,'Apr'!$D$27:$AH$206,'May'!$D$27:$AH$206,'Jun'!$D$27:$AH$206,'Jul'!$D$27:$AH$206,'Aug'!$D$27:$AH$206,'Sep'!$D$27:$AH$206,'Oct'!$D$27:$AH$206,'Nov'!$D$27:$AH$206,'Dec'!$D$27:$AH$206,'Jan (next year)'!$D$27:$AH$206),27+3*(IFERROR(MATCH(C1256,Roster!$B$6:$B$65,0),MATCH(C1256,Roster!$C$6:$C$65,0))-1)+MATCH(B1256,{"AM","PM","NIGHT"},0)-1-27+1,DAY(A1256))&amp;"",""))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$206,'Feb'!$D$27:$AH$206,'Mar'!$D$27:$AH$206,'Apr'!$D$27:$AH$206,'May'!$D$27:$AH$206,'Jun'!$D$27:$AH$206,'Jul'!$D$27:$AH$206,'Aug'!$D$27:$AH$206,'Sep'!$D$27:$AH$206,'Oct'!$D$27:$AH$206,'Nov'!$D$27:$AH$206,'Dec'!$D$27:$AH$206,'Jan (next year)'!$D$27:$AH$206),27+3*(IFERROR(MATCH(C1257,Roster!$B$6:$B$65,0),MATCH(C1257,Roster!$C$6:$C$65,0))-1)+MATCH(B1257,{"AM","PM","NIGHT"},0)-1-27+1,DAY(A1257))&amp;"",""))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$206,'Feb'!$D$27:$AH$206,'Mar'!$D$27:$AH$206,'Apr'!$D$27:$AH$206,'May'!$D$27:$AH$206,'Jun'!$D$27:$AH$206,'Jul'!$D$27:$AH$206,'Aug'!$D$27:$AH$206,'Sep'!$D$27:$AH$206,'Oct'!$D$27:$AH$206,'Nov'!$D$27:$AH$206,'Dec'!$D$27:$AH$206,'Jan (next year)'!$D$27:$AH$206),27+3*(IFERROR(MATCH(C1258,Roster!$B$6:$B$65,0),MATCH(C1258,Roster!$C$6:$C$65,0))-1)+MATCH(B1258,{"AM","PM","NIGHT"},0)-1-27+1,DAY(A1258))&amp;"",""))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$206,'Feb'!$D$27:$AH$206,'Mar'!$D$27:$AH$206,'Apr'!$D$27:$AH$206,'May'!$D$27:$AH$206,'Jun'!$D$27:$AH$206,'Jul'!$D$27:$AH$206,'Aug'!$D$27:$AH$206,'Sep'!$D$27:$AH$206,'Oct'!$D$27:$AH$206,'Nov'!$D$27:$AH$206,'Dec'!$D$27:$AH$206,'Jan (next year)'!$D$27:$AH$206),27+3*(IFERROR(MATCH(C1259,Roster!$B$6:$B$65,0),MATCH(C1259,Roster!$C$6:$C$65,0))-1)+MATCH(B1259,{"AM","PM","NIGHT"},0)-1-27+1,DAY(A1259))&amp;"",""))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$206,'Feb'!$D$27:$AH$206,'Mar'!$D$27:$AH$206,'Apr'!$D$27:$AH$206,'May'!$D$27:$AH$206,'Jun'!$D$27:$AH$206,'Jul'!$D$27:$AH$206,'Aug'!$D$27:$AH$206,'Sep'!$D$27:$AH$206,'Oct'!$D$27:$AH$206,'Nov'!$D$27:$AH$206,'Dec'!$D$27:$AH$206,'Jan (next year)'!$D$27:$AH$206),27+3*(IFERROR(MATCH(C1260,Roster!$B$6:$B$65,0),MATCH(C1260,Roster!$C$6:$C$65,0))-1)+MATCH(B1260,{"AM","PM","NIGHT"},0)-1-27+1,DAY(A1260))&amp;"",""))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$206,'Feb'!$D$27:$AH$206,'Mar'!$D$27:$AH$206,'Apr'!$D$27:$AH$206,'May'!$D$27:$AH$206,'Jun'!$D$27:$AH$206,'Jul'!$D$27:$AH$206,'Aug'!$D$27:$AH$206,'Sep'!$D$27:$AH$206,'Oct'!$D$27:$AH$206,'Nov'!$D$27:$AH$206,'Dec'!$D$27:$AH$206,'Jan (next year)'!$D$27:$AH$206),27+3*(IFERROR(MATCH(C1261,Roster!$B$6:$B$65,0),MATCH(C1261,Roster!$C$6:$C$65,0))-1)+MATCH(B1261,{"AM","PM","NIGHT"},0)-1-27+1,DAY(A1261))&amp;"",""))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$206,'Feb'!$D$27:$AH$206,'Mar'!$D$27:$AH$206,'Apr'!$D$27:$AH$206,'May'!$D$27:$AH$206,'Jun'!$D$27:$AH$206,'Jul'!$D$27:$AH$206,'Aug'!$D$27:$AH$206,'Sep'!$D$27:$AH$206,'Oct'!$D$27:$AH$206,'Nov'!$D$27:$AH$206,'Dec'!$D$27:$AH$206,'Jan (next year)'!$D$27:$AH$206),27+3*(IFERROR(MATCH(C1262,Roster!$B$6:$B$65,0),MATCH(C1262,Roster!$C$6:$C$65,0))-1)+MATCH(B1262,{"AM","PM","NIGHT"},0)-1-27+1,DAY(A1262))&amp;"",""))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$206,'Feb'!$D$27:$AH$206,'Mar'!$D$27:$AH$206,'Apr'!$D$27:$AH$206,'May'!$D$27:$AH$206,'Jun'!$D$27:$AH$206,'Jul'!$D$27:$AH$206,'Aug'!$D$27:$AH$206,'Sep'!$D$27:$AH$206,'Oct'!$D$27:$AH$206,'Nov'!$D$27:$AH$206,'Dec'!$D$27:$AH$206,'Jan (next year)'!$D$27:$AH$206),27+3*(IFERROR(MATCH(C1263,Roster!$B$6:$B$65,0),MATCH(C1263,Roster!$C$6:$C$65,0))-1)+MATCH(B1263,{"AM","PM","NIGHT"},0)-1-27+1,DAY(A1263))&amp;"",""))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$206,'Feb'!$D$27:$AH$206,'Mar'!$D$27:$AH$206,'Apr'!$D$27:$AH$206,'May'!$D$27:$AH$206,'Jun'!$D$27:$AH$206,'Jul'!$D$27:$AH$206,'Aug'!$D$27:$AH$206,'Sep'!$D$27:$AH$206,'Oct'!$D$27:$AH$206,'Nov'!$D$27:$AH$206,'Dec'!$D$27:$AH$206,'Jan (next year)'!$D$27:$AH$206),27+3*(IFERROR(MATCH(C1264,Roster!$B$6:$B$65,0),MATCH(C1264,Roster!$C$6:$C$65,0))-1)+MATCH(B1264,{"AM","PM","NIGHT"},0)-1-27+1,DAY(A1264))&amp;"",""))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$206,'Feb'!$D$27:$AH$206,'Mar'!$D$27:$AH$206,'Apr'!$D$27:$AH$206,'May'!$D$27:$AH$206,'Jun'!$D$27:$AH$206,'Jul'!$D$27:$AH$206,'Aug'!$D$27:$AH$206,'Sep'!$D$27:$AH$206,'Oct'!$D$27:$AH$206,'Nov'!$D$27:$AH$206,'Dec'!$D$27:$AH$206,'Jan (next year)'!$D$27:$AH$206),27+3*(IFERROR(MATCH(C1265,Roster!$B$6:$B$65,0),MATCH(C1265,Roster!$C$6:$C$65,0))-1)+MATCH(B1265,{"AM","PM","NIGHT"},0)-1-27+1,DAY(A1265))&amp;"",""))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$206,'Feb'!$D$27:$AH$206,'Mar'!$D$27:$AH$206,'Apr'!$D$27:$AH$206,'May'!$D$27:$AH$206,'Jun'!$D$27:$AH$206,'Jul'!$D$27:$AH$206,'Aug'!$D$27:$AH$206,'Sep'!$D$27:$AH$206,'Oct'!$D$27:$AH$206,'Nov'!$D$27:$AH$206,'Dec'!$D$27:$AH$206,'Jan (next year)'!$D$27:$AH$206),27+3*(IFERROR(MATCH(C1266,Roster!$B$6:$B$65,0),MATCH(C1266,Roster!$C$6:$C$65,0))-1)+MATCH(B1266,{"AM","PM","NIGHT"},0)-1-27+1,DAY(A1266))&amp;"",""))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$206,'Feb'!$D$27:$AH$206,'Mar'!$D$27:$AH$206,'Apr'!$D$27:$AH$206,'May'!$D$27:$AH$206,'Jun'!$D$27:$AH$206,'Jul'!$D$27:$AH$206,'Aug'!$D$27:$AH$206,'Sep'!$D$27:$AH$206,'Oct'!$D$27:$AH$206,'Nov'!$D$27:$AH$206,'Dec'!$D$27:$AH$206,'Jan (next year)'!$D$27:$AH$206),27+3*(IFERROR(MATCH(C1267,Roster!$B$6:$B$65,0),MATCH(C1267,Roster!$C$6:$C$65,0))-1)+MATCH(B1267,{"AM","PM","NIGHT"},0)-1-27+1,DAY(A1267))&amp;"",""))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$206,'Feb'!$D$27:$AH$206,'Mar'!$D$27:$AH$206,'Apr'!$D$27:$AH$206,'May'!$D$27:$AH$206,'Jun'!$D$27:$AH$206,'Jul'!$D$27:$AH$206,'Aug'!$D$27:$AH$206,'Sep'!$D$27:$AH$206,'Oct'!$D$27:$AH$206,'Nov'!$D$27:$AH$206,'Dec'!$D$27:$AH$206,'Jan (next year)'!$D$27:$AH$206),27+3*(IFERROR(MATCH(C1268,Roster!$B$6:$B$65,0),MATCH(C1268,Roster!$C$6:$C$65,0))-1)+MATCH(B1268,{"AM","PM","NIGHT"},0)-1-27+1,DAY(A1268))&amp;"",""))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$206,'Feb'!$D$27:$AH$206,'Mar'!$D$27:$AH$206,'Apr'!$D$27:$AH$206,'May'!$D$27:$AH$206,'Jun'!$D$27:$AH$206,'Jul'!$D$27:$AH$206,'Aug'!$D$27:$AH$206,'Sep'!$D$27:$AH$206,'Oct'!$D$27:$AH$206,'Nov'!$D$27:$AH$206,'Dec'!$D$27:$AH$206,'Jan (next year)'!$D$27:$AH$206),27+3*(IFERROR(MATCH(C1269,Roster!$B$6:$B$65,0),MATCH(C1269,Roster!$C$6:$C$65,0))-1)+MATCH(B1269,{"AM","PM","NIGHT"},0)-1-27+1,DAY(A1269))&amp;"",""))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$206,'Feb'!$D$27:$AH$206,'Mar'!$D$27:$AH$206,'Apr'!$D$27:$AH$206,'May'!$D$27:$AH$206,'Jun'!$D$27:$AH$206,'Jul'!$D$27:$AH$206,'Aug'!$D$27:$AH$206,'Sep'!$D$27:$AH$206,'Oct'!$D$27:$AH$206,'Nov'!$D$27:$AH$206,'Dec'!$D$27:$AH$206,'Jan (next year)'!$D$27:$AH$206),27+3*(IFERROR(MATCH(C1270,Roster!$B$6:$B$65,0),MATCH(C1270,Roster!$C$6:$C$65,0))-1)+MATCH(B1270,{"AM","PM","NIGHT"},0)-1-27+1,DAY(A1270))&amp;"",""))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$206,'Feb'!$D$27:$AH$206,'Mar'!$D$27:$AH$206,'Apr'!$D$27:$AH$206,'May'!$D$27:$AH$206,'Jun'!$D$27:$AH$206,'Jul'!$D$27:$AH$206,'Aug'!$D$27:$AH$206,'Sep'!$D$27:$AH$206,'Oct'!$D$27:$AH$206,'Nov'!$D$27:$AH$206,'Dec'!$D$27:$AH$206,'Jan (next year)'!$D$27:$AH$206),27+3*(IFERROR(MATCH(C1271,Roster!$B$6:$B$65,0),MATCH(C1271,Roster!$C$6:$C$65,0))-1)+MATCH(B1271,{"AM","PM","NIGHT"},0)-1-27+1,DAY(A1271))&amp;"",""))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$206,'Feb'!$D$27:$AH$206,'Mar'!$D$27:$AH$206,'Apr'!$D$27:$AH$206,'May'!$D$27:$AH$206,'Jun'!$D$27:$AH$206,'Jul'!$D$27:$AH$206,'Aug'!$D$27:$AH$206,'Sep'!$D$27:$AH$206,'Oct'!$D$27:$AH$206,'Nov'!$D$27:$AH$206,'Dec'!$D$27:$AH$206,'Jan (next year)'!$D$27:$AH$206),27+3*(IFERROR(MATCH(C1272,Roster!$B$6:$B$65,0),MATCH(C1272,Roster!$C$6:$C$65,0))-1)+MATCH(B1272,{"AM","PM","NIGHT"},0)-1-27+1,DAY(A1272))&amp;"",""))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$206,'Feb'!$D$27:$AH$206,'Mar'!$D$27:$AH$206,'Apr'!$D$27:$AH$206,'May'!$D$27:$AH$206,'Jun'!$D$27:$AH$206,'Jul'!$D$27:$AH$206,'Aug'!$D$27:$AH$206,'Sep'!$D$27:$AH$206,'Oct'!$D$27:$AH$206,'Nov'!$D$27:$AH$206,'Dec'!$D$27:$AH$206,'Jan (next year)'!$D$27:$AH$206),27+3*(IFERROR(MATCH(C1273,Roster!$B$6:$B$65,0),MATCH(C1273,Roster!$C$6:$C$65,0))-1)+MATCH(B1273,{"AM","PM","NIGHT"},0)-1-27+1,DAY(A1273))&amp;"",""))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$206,'Feb'!$D$27:$AH$206,'Mar'!$D$27:$AH$206,'Apr'!$D$27:$AH$206,'May'!$D$27:$AH$206,'Jun'!$D$27:$AH$206,'Jul'!$D$27:$AH$206,'Aug'!$D$27:$AH$206,'Sep'!$D$27:$AH$206,'Oct'!$D$27:$AH$206,'Nov'!$D$27:$AH$206,'Dec'!$D$27:$AH$206,'Jan (next year)'!$D$27:$AH$206),27+3*(IFERROR(MATCH(C1274,Roster!$B$6:$B$65,0),MATCH(C1274,Roster!$C$6:$C$65,0))-1)+MATCH(B1274,{"AM","PM","NIGHT"},0)-1-27+1,DAY(A1274))&amp;"",""))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$206,'Feb'!$D$27:$AH$206,'Mar'!$D$27:$AH$206,'Apr'!$D$27:$AH$206,'May'!$D$27:$AH$206,'Jun'!$D$27:$AH$206,'Jul'!$D$27:$AH$206,'Aug'!$D$27:$AH$206,'Sep'!$D$27:$AH$206,'Oct'!$D$27:$AH$206,'Nov'!$D$27:$AH$206,'Dec'!$D$27:$AH$206,'Jan (next year)'!$D$27:$AH$206),27+3*(IFERROR(MATCH(C1275,Roster!$B$6:$B$65,0),MATCH(C1275,Roster!$C$6:$C$65,0))-1)+MATCH(B1275,{"AM","PM","NIGHT"},0)-1-27+1,DAY(A1275))&amp;"",""))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$206,'Feb'!$D$27:$AH$206,'Mar'!$D$27:$AH$206,'Apr'!$D$27:$AH$206,'May'!$D$27:$AH$206,'Jun'!$D$27:$AH$206,'Jul'!$D$27:$AH$206,'Aug'!$D$27:$AH$206,'Sep'!$D$27:$AH$206,'Oct'!$D$27:$AH$206,'Nov'!$D$27:$AH$206,'Dec'!$D$27:$AH$206,'Jan (next year)'!$D$27:$AH$206),27+3*(IFERROR(MATCH(C1276,Roster!$B$6:$B$65,0),MATCH(C1276,Roster!$C$6:$C$65,0))-1)+MATCH(B1276,{"AM","PM","NIGHT"},0)-1-27+1,DAY(A1276))&amp;"",""))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$206,'Feb'!$D$27:$AH$206,'Mar'!$D$27:$AH$206,'Apr'!$D$27:$AH$206,'May'!$D$27:$AH$206,'Jun'!$D$27:$AH$206,'Jul'!$D$27:$AH$206,'Aug'!$D$27:$AH$206,'Sep'!$D$27:$AH$206,'Oct'!$D$27:$AH$206,'Nov'!$D$27:$AH$206,'Dec'!$D$27:$AH$206,'Jan (next year)'!$D$27:$AH$206),27+3*(IFERROR(MATCH(C1277,Roster!$B$6:$B$65,0),MATCH(C1277,Roster!$C$6:$C$65,0))-1)+MATCH(B1277,{"AM","PM","NIGHT"},0)-1-27+1,DAY(A1277))&amp;"",""))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$206,'Feb'!$D$27:$AH$206,'Mar'!$D$27:$AH$206,'Apr'!$D$27:$AH$206,'May'!$D$27:$AH$206,'Jun'!$D$27:$AH$206,'Jul'!$D$27:$AH$206,'Aug'!$D$27:$AH$206,'Sep'!$D$27:$AH$206,'Oct'!$D$27:$AH$206,'Nov'!$D$27:$AH$206,'Dec'!$D$27:$AH$206,'Jan (next year)'!$D$27:$AH$206),27+3*(IFERROR(MATCH(C1278,Roster!$B$6:$B$65,0),MATCH(C1278,Roster!$C$6:$C$65,0))-1)+MATCH(B1278,{"AM","PM","NIGHT"},0)-1-27+1,DAY(A1278))&amp;"",""))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$206,'Feb'!$D$27:$AH$206,'Mar'!$D$27:$AH$206,'Apr'!$D$27:$AH$206,'May'!$D$27:$AH$206,'Jun'!$D$27:$AH$206,'Jul'!$D$27:$AH$206,'Aug'!$D$27:$AH$206,'Sep'!$D$27:$AH$206,'Oct'!$D$27:$AH$206,'Nov'!$D$27:$AH$206,'Dec'!$D$27:$AH$206,'Jan (next year)'!$D$27:$AH$206),27+3*(IFERROR(MATCH(C1279,Roster!$B$6:$B$65,0),MATCH(C1279,Roster!$C$6:$C$65,0))-1)+MATCH(B1279,{"AM","PM","NIGHT"},0)-1-27+1,DAY(A1279))&amp;"",""))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$206,'Feb'!$D$27:$AH$206,'Mar'!$D$27:$AH$206,'Apr'!$D$27:$AH$206,'May'!$D$27:$AH$206,'Jun'!$D$27:$AH$206,'Jul'!$D$27:$AH$206,'Aug'!$D$27:$AH$206,'Sep'!$D$27:$AH$206,'Oct'!$D$27:$AH$206,'Nov'!$D$27:$AH$206,'Dec'!$D$27:$AH$206,'Jan (next year)'!$D$27:$AH$206),27+3*(IFERROR(MATCH(C1280,Roster!$B$6:$B$65,0),MATCH(C1280,Roster!$C$6:$C$65,0))-1)+MATCH(B1280,{"AM","PM","NIGHT"},0)-1-27+1,DAY(A1280))&amp;"",""))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$206,'Feb'!$D$27:$AH$206,'Mar'!$D$27:$AH$206,'Apr'!$D$27:$AH$206,'May'!$D$27:$AH$206,'Jun'!$D$27:$AH$206,'Jul'!$D$27:$AH$206,'Aug'!$D$27:$AH$206,'Sep'!$D$27:$AH$206,'Oct'!$D$27:$AH$206,'Nov'!$D$27:$AH$206,'Dec'!$D$27:$AH$206,'Jan (next year)'!$D$27:$AH$206),27+3*(IFERROR(MATCH(C1281,Roster!$B$6:$B$65,0),MATCH(C1281,Roster!$C$6:$C$65,0))-1)+MATCH(B1281,{"AM","PM","NIGHT"},0)-1-27+1,DAY(A1281))&amp;"",""))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$206,'Feb'!$D$27:$AH$206,'Mar'!$D$27:$AH$206,'Apr'!$D$27:$AH$206,'May'!$D$27:$AH$206,'Jun'!$D$27:$AH$206,'Jul'!$D$27:$AH$206,'Aug'!$D$27:$AH$206,'Sep'!$D$27:$AH$206,'Oct'!$D$27:$AH$206,'Nov'!$D$27:$AH$206,'Dec'!$D$27:$AH$206,'Jan (next year)'!$D$27:$AH$206),27+3*(IFERROR(MATCH(C1282,Roster!$B$6:$B$65,0),MATCH(C1282,Roster!$C$6:$C$65,0))-1)+MATCH(B1282,{"AM","PM","NIGHT"},0)-1-27+1,DAY(A1282))&amp;"",""))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$206,'Feb'!$D$27:$AH$206,'Mar'!$D$27:$AH$206,'Apr'!$D$27:$AH$206,'May'!$D$27:$AH$206,'Jun'!$D$27:$AH$206,'Jul'!$D$27:$AH$206,'Aug'!$D$27:$AH$206,'Sep'!$D$27:$AH$206,'Oct'!$D$27:$AH$206,'Nov'!$D$27:$AH$206,'Dec'!$D$27:$AH$206,'Jan (next year)'!$D$27:$AH$206),27+3*(IFERROR(MATCH(C1283,Roster!$B$6:$B$65,0),MATCH(C1283,Roster!$C$6:$C$65,0))-1)+MATCH(B1283,{"AM","PM","NIGHT"},0)-1-27+1,DAY(A1283))&amp;"",""))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$206,'Feb'!$D$27:$AH$206,'Mar'!$D$27:$AH$206,'Apr'!$D$27:$AH$206,'May'!$D$27:$AH$206,'Jun'!$D$27:$AH$206,'Jul'!$D$27:$AH$206,'Aug'!$D$27:$AH$206,'Sep'!$D$27:$AH$206,'Oct'!$D$27:$AH$206,'Nov'!$D$27:$AH$206,'Dec'!$D$27:$AH$206,'Jan (next year)'!$D$27:$AH$206),27+3*(IFERROR(MATCH(C1284,Roster!$B$6:$B$65,0),MATCH(C1284,Roster!$C$6:$C$65,0))-1)+MATCH(B1284,{"AM","PM","NIGHT"},0)-1-27+1,DAY(A1284))&amp;"",""))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$206,'Feb'!$D$27:$AH$206,'Mar'!$D$27:$AH$206,'Apr'!$D$27:$AH$206,'May'!$D$27:$AH$206,'Jun'!$D$27:$AH$206,'Jul'!$D$27:$AH$206,'Aug'!$D$27:$AH$206,'Sep'!$D$27:$AH$206,'Oct'!$D$27:$AH$206,'Nov'!$D$27:$AH$206,'Dec'!$D$27:$AH$206,'Jan (next year)'!$D$27:$AH$206),27+3*(IFERROR(MATCH(C1285,Roster!$B$6:$B$65,0),MATCH(C1285,Roster!$C$6:$C$65,0))-1)+MATCH(B1285,{"AM","PM","NIGHT"},0)-1-27+1,DAY(A1285))&amp;"",""))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$206,'Feb'!$D$27:$AH$206,'Mar'!$D$27:$AH$206,'Apr'!$D$27:$AH$206,'May'!$D$27:$AH$206,'Jun'!$D$27:$AH$206,'Jul'!$D$27:$AH$206,'Aug'!$D$27:$AH$206,'Sep'!$D$27:$AH$206,'Oct'!$D$27:$AH$206,'Nov'!$D$27:$AH$206,'Dec'!$D$27:$AH$206,'Jan (next year)'!$D$27:$AH$206),27+3*(IFERROR(MATCH(C1286,Roster!$B$6:$B$65,0),MATCH(C1286,Roster!$C$6:$C$65,0))-1)+MATCH(B1286,{"AM","PM","NIGHT"},0)-1-27+1,DAY(A1286))&amp;"",""))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$206,'Feb'!$D$27:$AH$206,'Mar'!$D$27:$AH$206,'Apr'!$D$27:$AH$206,'May'!$D$27:$AH$206,'Jun'!$D$27:$AH$206,'Jul'!$D$27:$AH$206,'Aug'!$D$27:$AH$206,'Sep'!$D$27:$AH$206,'Oct'!$D$27:$AH$206,'Nov'!$D$27:$AH$206,'Dec'!$D$27:$AH$206,'Jan (next year)'!$D$27:$AH$206),27+3*(IFERROR(MATCH(C1287,Roster!$B$6:$B$65,0),MATCH(C1287,Roster!$C$6:$C$65,0))-1)+MATCH(B1287,{"AM","PM","NIGHT"},0)-1-27+1,DAY(A1287))&amp;"",""))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$206,'Feb'!$D$27:$AH$206,'Mar'!$D$27:$AH$206,'Apr'!$D$27:$AH$206,'May'!$D$27:$AH$206,'Jun'!$D$27:$AH$206,'Jul'!$D$27:$AH$206,'Aug'!$D$27:$AH$206,'Sep'!$D$27:$AH$206,'Oct'!$D$27:$AH$206,'Nov'!$D$27:$AH$206,'Dec'!$D$27:$AH$206,'Jan (next year)'!$D$27:$AH$206),27+3*(IFERROR(MATCH(C1288,Roster!$B$6:$B$65,0),MATCH(C1288,Roster!$C$6:$C$65,0))-1)+MATCH(B1288,{"AM","PM","NIGHT"},0)-1-27+1,DAY(A1288))&amp;"",""))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$206,'Feb'!$D$27:$AH$206,'Mar'!$D$27:$AH$206,'Apr'!$D$27:$AH$206,'May'!$D$27:$AH$206,'Jun'!$D$27:$AH$206,'Jul'!$D$27:$AH$206,'Aug'!$D$27:$AH$206,'Sep'!$D$27:$AH$206,'Oct'!$D$27:$AH$206,'Nov'!$D$27:$AH$206,'Dec'!$D$27:$AH$206,'Jan (next year)'!$D$27:$AH$206),27+3*(IFERROR(MATCH(C1289,Roster!$B$6:$B$65,0),MATCH(C1289,Roster!$C$6:$C$65,0))-1)+MATCH(B1289,{"AM","PM","NIGHT"},0)-1-27+1,DAY(A1289))&amp;"",""))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$206,'Feb'!$D$27:$AH$206,'Mar'!$D$27:$AH$206,'Apr'!$D$27:$AH$206,'May'!$D$27:$AH$206,'Jun'!$D$27:$AH$206,'Jul'!$D$27:$AH$206,'Aug'!$D$27:$AH$206,'Sep'!$D$27:$AH$206,'Oct'!$D$27:$AH$206,'Nov'!$D$27:$AH$206,'Dec'!$D$27:$AH$206,'Jan (next year)'!$D$27:$AH$206),27+3*(IFERROR(MATCH(C1290,Roster!$B$6:$B$65,0),MATCH(C1290,Roster!$C$6:$C$65,0))-1)+MATCH(B1290,{"AM","PM","NIGHT"},0)-1-27+1,DAY(A1290))&amp;"",""))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$206,'Feb'!$D$27:$AH$206,'Mar'!$D$27:$AH$206,'Apr'!$D$27:$AH$206,'May'!$D$27:$AH$206,'Jun'!$D$27:$AH$206,'Jul'!$D$27:$AH$206,'Aug'!$D$27:$AH$206,'Sep'!$D$27:$AH$206,'Oct'!$D$27:$AH$206,'Nov'!$D$27:$AH$206,'Dec'!$D$27:$AH$206,'Jan (next year)'!$D$27:$AH$206),27+3*(IFERROR(MATCH(C1291,Roster!$B$6:$B$65,0),MATCH(C1291,Roster!$C$6:$C$65,0))-1)+MATCH(B1291,{"AM","PM","NIGHT"},0)-1-27+1,DAY(A1291))&amp;"",""))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$206,'Feb'!$D$27:$AH$206,'Mar'!$D$27:$AH$206,'Apr'!$D$27:$AH$206,'May'!$D$27:$AH$206,'Jun'!$D$27:$AH$206,'Jul'!$D$27:$AH$206,'Aug'!$D$27:$AH$206,'Sep'!$D$27:$AH$206,'Oct'!$D$27:$AH$206,'Nov'!$D$27:$AH$206,'Dec'!$D$27:$AH$206,'Jan (next year)'!$D$27:$AH$206),27+3*(IFERROR(MATCH(C1292,Roster!$B$6:$B$65,0),MATCH(C1292,Roster!$C$6:$C$65,0))-1)+MATCH(B1292,{"AM","PM","NIGHT"},0)-1-27+1,DAY(A1292))&amp;"",""))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$206,'Feb'!$D$27:$AH$206,'Mar'!$D$27:$AH$206,'Apr'!$D$27:$AH$206,'May'!$D$27:$AH$206,'Jun'!$D$27:$AH$206,'Jul'!$D$27:$AH$206,'Aug'!$D$27:$AH$206,'Sep'!$D$27:$AH$206,'Oct'!$D$27:$AH$206,'Nov'!$D$27:$AH$206,'Dec'!$D$27:$AH$206,'Jan (next year)'!$D$27:$AH$206),27+3*(IFERROR(MATCH(C1293,Roster!$B$6:$B$65,0),MATCH(C1293,Roster!$C$6:$C$65,0))-1)+MATCH(B1293,{"AM","PM","NIGHT"},0)-1-27+1,DAY(A1293))&amp;"",""))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$206,'Feb'!$D$27:$AH$206,'Mar'!$D$27:$AH$206,'Apr'!$D$27:$AH$206,'May'!$D$27:$AH$206,'Jun'!$D$27:$AH$206,'Jul'!$D$27:$AH$206,'Aug'!$D$27:$AH$206,'Sep'!$D$27:$AH$206,'Oct'!$D$27:$AH$206,'Nov'!$D$27:$AH$206,'Dec'!$D$27:$AH$206,'Jan (next year)'!$D$27:$AH$206),27+3*(IFERROR(MATCH(C1294,Roster!$B$6:$B$65,0),MATCH(C1294,Roster!$C$6:$C$65,0))-1)+MATCH(B1294,{"AM","PM","NIGHT"},0)-1-27+1,DAY(A1294))&amp;"",""))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$206,'Feb'!$D$27:$AH$206,'Mar'!$D$27:$AH$206,'Apr'!$D$27:$AH$206,'May'!$D$27:$AH$206,'Jun'!$D$27:$AH$206,'Jul'!$D$27:$AH$206,'Aug'!$D$27:$AH$206,'Sep'!$D$27:$AH$206,'Oct'!$D$27:$AH$206,'Nov'!$D$27:$AH$206,'Dec'!$D$27:$AH$206,'Jan (next year)'!$D$27:$AH$206),27+3*(IFERROR(MATCH(C1295,Roster!$B$6:$B$65,0),MATCH(C1295,Roster!$C$6:$C$65,0))-1)+MATCH(B1295,{"AM","PM","NIGHT"},0)-1-27+1,DAY(A1295))&amp;"",""))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$206,'Feb'!$D$27:$AH$206,'Mar'!$D$27:$AH$206,'Apr'!$D$27:$AH$206,'May'!$D$27:$AH$206,'Jun'!$D$27:$AH$206,'Jul'!$D$27:$AH$206,'Aug'!$D$27:$AH$206,'Sep'!$D$27:$AH$206,'Oct'!$D$27:$AH$206,'Nov'!$D$27:$AH$206,'Dec'!$D$27:$AH$206,'Jan (next year)'!$D$27:$AH$206),27+3*(IFERROR(MATCH(C1296,Roster!$B$6:$B$65,0),MATCH(C1296,Roster!$C$6:$C$65,0))-1)+MATCH(B1296,{"AM","PM","NIGHT"},0)-1-27+1,DAY(A1296))&amp;"",""))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$206,'Feb'!$D$27:$AH$206,'Mar'!$D$27:$AH$206,'Apr'!$D$27:$AH$206,'May'!$D$27:$AH$206,'Jun'!$D$27:$AH$206,'Jul'!$D$27:$AH$206,'Aug'!$D$27:$AH$206,'Sep'!$D$27:$AH$206,'Oct'!$D$27:$AH$206,'Nov'!$D$27:$AH$206,'Dec'!$D$27:$AH$206,'Jan (next year)'!$D$27:$AH$206),27+3*(IFERROR(MATCH(C1297,Roster!$B$6:$B$65,0),MATCH(C1297,Roster!$C$6:$C$65,0))-1)+MATCH(B1297,{"AM","PM","NIGHT"},0)-1-27+1,DAY(A1297))&amp;"",""))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$206,'Feb'!$D$27:$AH$206,'Mar'!$D$27:$AH$206,'Apr'!$D$27:$AH$206,'May'!$D$27:$AH$206,'Jun'!$D$27:$AH$206,'Jul'!$D$27:$AH$206,'Aug'!$D$27:$AH$206,'Sep'!$D$27:$AH$206,'Oct'!$D$27:$AH$206,'Nov'!$D$27:$AH$206,'Dec'!$D$27:$AH$206,'Jan (next year)'!$D$27:$AH$206),27+3*(IFERROR(MATCH(C1298,Roster!$B$6:$B$65,0),MATCH(C1298,Roster!$C$6:$C$65,0))-1)+MATCH(B1298,{"AM","PM","NIGHT"},0)-1-27+1,DAY(A1298))&amp;"",""))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$206,'Feb'!$D$27:$AH$206,'Mar'!$D$27:$AH$206,'Apr'!$D$27:$AH$206,'May'!$D$27:$AH$206,'Jun'!$D$27:$AH$206,'Jul'!$D$27:$AH$206,'Aug'!$D$27:$AH$206,'Sep'!$D$27:$AH$206,'Oct'!$D$27:$AH$206,'Nov'!$D$27:$AH$206,'Dec'!$D$27:$AH$206,'Jan (next year)'!$D$27:$AH$206),27+3*(IFERROR(MATCH(C1299,Roster!$B$6:$B$65,0),MATCH(C1299,Roster!$C$6:$C$65,0))-1)+MATCH(B1299,{"AM","PM","NIGHT"},0)-1-27+1,DAY(A1299))&amp;"",""))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$206,'Feb'!$D$27:$AH$206,'Mar'!$D$27:$AH$206,'Apr'!$D$27:$AH$206,'May'!$D$27:$AH$206,'Jun'!$D$27:$AH$206,'Jul'!$D$27:$AH$206,'Aug'!$D$27:$AH$206,'Sep'!$D$27:$AH$206,'Oct'!$D$27:$AH$206,'Nov'!$D$27:$AH$206,'Dec'!$D$27:$AH$206,'Jan (next year)'!$D$27:$AH$206),27+3*(IFERROR(MATCH(C1300,Roster!$B$6:$B$65,0),MATCH(C1300,Roster!$C$6:$C$65,0))-1)+MATCH(B1300,{"AM","PM","NIGHT"},0)-1-27+1,DAY(A1300))&amp;"",""))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$206,'Feb'!$D$27:$AH$206,'Mar'!$D$27:$AH$206,'Apr'!$D$27:$AH$206,'May'!$D$27:$AH$206,'Jun'!$D$27:$AH$206,'Jul'!$D$27:$AH$206,'Aug'!$D$27:$AH$206,'Sep'!$D$27:$AH$206,'Oct'!$D$27:$AH$206,'Nov'!$D$27:$AH$206,'Dec'!$D$27:$AH$206,'Jan (next year)'!$D$27:$AH$206),27+3*(IFERROR(MATCH(C1301,Roster!$B$6:$B$65,0),MATCH(C1301,Roster!$C$6:$C$65,0))-1)+MATCH(B1301,{"AM","PM","NIGHT"},0)-1-27+1,DAY(A1301))&amp;"",""))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$206,'Feb'!$D$27:$AH$206,'Mar'!$D$27:$AH$206,'Apr'!$D$27:$AH$206,'May'!$D$27:$AH$206,'Jun'!$D$27:$AH$206,'Jul'!$D$27:$AH$206,'Aug'!$D$27:$AH$206,'Sep'!$D$27:$AH$206,'Oct'!$D$27:$AH$206,'Nov'!$D$27:$AH$206,'Dec'!$D$27:$AH$206,'Jan (next year)'!$D$27:$AH$206),27+3*(IFERROR(MATCH(C1302,Roster!$B$6:$B$65,0),MATCH(C1302,Roster!$C$6:$C$65,0))-1)+MATCH(B1302,{"AM","PM","NIGHT"},0)-1-27+1,DAY(A1302))&amp;"",""))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$206,'Feb'!$D$27:$AH$206,'Mar'!$D$27:$AH$206,'Apr'!$D$27:$AH$206,'May'!$D$27:$AH$206,'Jun'!$D$27:$AH$206,'Jul'!$D$27:$AH$206,'Aug'!$D$27:$AH$206,'Sep'!$D$27:$AH$206,'Oct'!$D$27:$AH$206,'Nov'!$D$27:$AH$206,'Dec'!$D$27:$AH$206,'Jan (next year)'!$D$27:$AH$206),27+3*(IFERROR(MATCH(C1303,Roster!$B$6:$B$65,0),MATCH(C1303,Roster!$C$6:$C$65,0))-1)+MATCH(B1303,{"AM","PM","NIGHT"},0)-1-27+1,DAY(A1303))&amp;"",""))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$206,'Feb'!$D$27:$AH$206,'Mar'!$D$27:$AH$206,'Apr'!$D$27:$AH$206,'May'!$D$27:$AH$206,'Jun'!$D$27:$AH$206,'Jul'!$D$27:$AH$206,'Aug'!$D$27:$AH$206,'Sep'!$D$27:$AH$206,'Oct'!$D$27:$AH$206,'Nov'!$D$27:$AH$206,'Dec'!$D$27:$AH$206,'Jan (next year)'!$D$27:$AH$206),27+3*(IFERROR(MATCH(C1304,Roster!$B$6:$B$65,0),MATCH(C1304,Roster!$C$6:$C$65,0))-1)+MATCH(B1304,{"AM","PM","NIGHT"},0)-1-27+1,DAY(A1304))&amp;"",""))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$206,'Feb'!$D$27:$AH$206,'Mar'!$D$27:$AH$206,'Apr'!$D$27:$AH$206,'May'!$D$27:$AH$206,'Jun'!$D$27:$AH$206,'Jul'!$D$27:$AH$206,'Aug'!$D$27:$AH$206,'Sep'!$D$27:$AH$206,'Oct'!$D$27:$AH$206,'Nov'!$D$27:$AH$206,'Dec'!$D$27:$AH$206,'Jan (next year)'!$D$27:$AH$206),27+3*(IFERROR(MATCH(C1305,Roster!$B$6:$B$65,0),MATCH(C1305,Roster!$C$6:$C$65,0))-1)+MATCH(B1305,{"AM","PM","NIGHT"},0)-1-27+1,DAY(A1305))&amp;"",""))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$206,'Feb'!$D$27:$AH$206,'Mar'!$D$27:$AH$206,'Apr'!$D$27:$AH$206,'May'!$D$27:$AH$206,'Jun'!$D$27:$AH$206,'Jul'!$D$27:$AH$206,'Aug'!$D$27:$AH$206,'Sep'!$D$27:$AH$206,'Oct'!$D$27:$AH$206,'Nov'!$D$27:$AH$206,'Dec'!$D$27:$AH$206,'Jan (next year)'!$D$27:$AH$206),27+3*(IFERROR(MATCH(C1306,Roster!$B$6:$B$65,0),MATCH(C1306,Roster!$C$6:$C$65,0))-1)+MATCH(B1306,{"AM","PM","NIGHT"},0)-1-27+1,DAY(A1306))&amp;"",""))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$206,'Feb'!$D$27:$AH$206,'Mar'!$D$27:$AH$206,'Apr'!$D$27:$AH$206,'May'!$D$27:$AH$206,'Jun'!$D$27:$AH$206,'Jul'!$D$27:$AH$206,'Aug'!$D$27:$AH$206,'Sep'!$D$27:$AH$206,'Oct'!$D$27:$AH$206,'Nov'!$D$27:$AH$206,'Dec'!$D$27:$AH$206,'Jan (next year)'!$D$27:$AH$206),27+3*(IFERROR(MATCH(C1307,Roster!$B$6:$B$65,0),MATCH(C1307,Roster!$C$6:$C$65,0))-1)+MATCH(B1307,{"AM","PM","NIGHT"},0)-1-27+1,DAY(A1307))&amp;"",""))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$206,'Feb'!$D$27:$AH$206,'Mar'!$D$27:$AH$206,'Apr'!$D$27:$AH$206,'May'!$D$27:$AH$206,'Jun'!$D$27:$AH$206,'Jul'!$D$27:$AH$206,'Aug'!$D$27:$AH$206,'Sep'!$D$27:$AH$206,'Oct'!$D$27:$AH$206,'Nov'!$D$27:$AH$206,'Dec'!$D$27:$AH$206,'Jan (next year)'!$D$27:$AH$206),27+3*(IFERROR(MATCH(C1308,Roster!$B$6:$B$65,0),MATCH(C1308,Roster!$C$6:$C$65,0))-1)+MATCH(B1308,{"AM","PM","NIGHT"},0)-1-27+1,DAY(A1308))&amp;"",""))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$206,'Feb'!$D$27:$AH$206,'Mar'!$D$27:$AH$206,'Apr'!$D$27:$AH$206,'May'!$D$27:$AH$206,'Jun'!$D$27:$AH$206,'Jul'!$D$27:$AH$206,'Aug'!$D$27:$AH$206,'Sep'!$D$27:$AH$206,'Oct'!$D$27:$AH$206,'Nov'!$D$27:$AH$206,'Dec'!$D$27:$AH$206,'Jan (next year)'!$D$27:$AH$206),27+3*(IFERROR(MATCH(C1309,Roster!$B$6:$B$65,0),MATCH(C1309,Roster!$C$6:$C$65,0))-1)+MATCH(B1309,{"AM","PM","NIGHT"},0)-1-27+1,DAY(A1309))&amp;"",""))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$206,'Feb'!$D$27:$AH$206,'Mar'!$D$27:$AH$206,'Apr'!$D$27:$AH$206,'May'!$D$27:$AH$206,'Jun'!$D$27:$AH$206,'Jul'!$D$27:$AH$206,'Aug'!$D$27:$AH$206,'Sep'!$D$27:$AH$206,'Oct'!$D$27:$AH$206,'Nov'!$D$27:$AH$206,'Dec'!$D$27:$AH$206,'Jan (next year)'!$D$27:$AH$206),27+3*(IFERROR(MATCH(C1310,Roster!$B$6:$B$65,0),MATCH(C1310,Roster!$C$6:$C$65,0))-1)+MATCH(B1310,{"AM","PM","NIGHT"},0)-1-27+1,DAY(A1310))&amp;"",""))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$206,'Feb'!$D$27:$AH$206,'Mar'!$D$27:$AH$206,'Apr'!$D$27:$AH$206,'May'!$D$27:$AH$206,'Jun'!$D$27:$AH$206,'Jul'!$D$27:$AH$206,'Aug'!$D$27:$AH$206,'Sep'!$D$27:$AH$206,'Oct'!$D$27:$AH$206,'Nov'!$D$27:$AH$206,'Dec'!$D$27:$AH$206,'Jan (next year)'!$D$27:$AH$206),27+3*(IFERROR(MATCH(C1311,Roster!$B$6:$B$65,0),MATCH(C1311,Roster!$C$6:$C$65,0))-1)+MATCH(B1311,{"AM","PM","NIGHT"},0)-1-27+1,DAY(A1311))&amp;"",""))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$206,'Feb'!$D$27:$AH$206,'Mar'!$D$27:$AH$206,'Apr'!$D$27:$AH$206,'May'!$D$27:$AH$206,'Jun'!$D$27:$AH$206,'Jul'!$D$27:$AH$206,'Aug'!$D$27:$AH$206,'Sep'!$D$27:$AH$206,'Oct'!$D$27:$AH$206,'Nov'!$D$27:$AH$206,'Dec'!$D$27:$AH$206,'Jan (next year)'!$D$27:$AH$206),27+3*(IFERROR(MATCH(C1312,Roster!$B$6:$B$65,0),MATCH(C1312,Roster!$C$6:$C$65,0))-1)+MATCH(B1312,{"AM","PM","NIGHT"},0)-1-27+1,DAY(A1312))&amp;"",""))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$206,'Feb'!$D$27:$AH$206,'Mar'!$D$27:$AH$206,'Apr'!$D$27:$AH$206,'May'!$D$27:$AH$206,'Jun'!$D$27:$AH$206,'Jul'!$D$27:$AH$206,'Aug'!$D$27:$AH$206,'Sep'!$D$27:$AH$206,'Oct'!$D$27:$AH$206,'Nov'!$D$27:$AH$206,'Dec'!$D$27:$AH$206,'Jan (next year)'!$D$27:$AH$206),27+3*(IFERROR(MATCH(C1313,Roster!$B$6:$B$65,0),MATCH(C1313,Roster!$C$6:$C$65,0))-1)+MATCH(B1313,{"AM","PM","NIGHT"},0)-1-27+1,DAY(A1313))&amp;"",""))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$206,'Feb'!$D$27:$AH$206,'Mar'!$D$27:$AH$206,'Apr'!$D$27:$AH$206,'May'!$D$27:$AH$206,'Jun'!$D$27:$AH$206,'Jul'!$D$27:$AH$206,'Aug'!$D$27:$AH$206,'Sep'!$D$27:$AH$206,'Oct'!$D$27:$AH$206,'Nov'!$D$27:$AH$206,'Dec'!$D$27:$AH$206,'Jan (next year)'!$D$27:$AH$206),27+3*(IFERROR(MATCH(C1314,Roster!$B$6:$B$65,0),MATCH(C1314,Roster!$C$6:$C$65,0))-1)+MATCH(B1314,{"AM","PM","NIGHT"},0)-1-27+1,DAY(A1314))&amp;"",""))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$206,'Feb'!$D$27:$AH$206,'Mar'!$D$27:$AH$206,'Apr'!$D$27:$AH$206,'May'!$D$27:$AH$206,'Jun'!$D$27:$AH$206,'Jul'!$D$27:$AH$206,'Aug'!$D$27:$AH$206,'Sep'!$D$27:$AH$206,'Oct'!$D$27:$AH$206,'Nov'!$D$27:$AH$206,'Dec'!$D$27:$AH$206,'Jan (next year)'!$D$27:$AH$206),27+3*(IFERROR(MATCH(C1315,Roster!$B$6:$B$65,0),MATCH(C1315,Roster!$C$6:$C$65,0))-1)+MATCH(B1315,{"AM","PM","NIGHT"},0)-1-27+1,DAY(A1315))&amp;"",""))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$206,'Feb'!$D$27:$AH$206,'Mar'!$D$27:$AH$206,'Apr'!$D$27:$AH$206,'May'!$D$27:$AH$206,'Jun'!$D$27:$AH$206,'Jul'!$D$27:$AH$206,'Aug'!$D$27:$AH$206,'Sep'!$D$27:$AH$206,'Oct'!$D$27:$AH$206,'Nov'!$D$27:$AH$206,'Dec'!$D$27:$AH$206,'Jan (next year)'!$D$27:$AH$206),27+3*(IFERROR(MATCH(C1316,Roster!$B$6:$B$65,0),MATCH(C1316,Roster!$C$6:$C$65,0))-1)+MATCH(B1316,{"AM","PM","NIGHT"},0)-1-27+1,DAY(A1316))&amp;"",""))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$206,'Feb'!$D$27:$AH$206,'Mar'!$D$27:$AH$206,'Apr'!$D$27:$AH$206,'May'!$D$27:$AH$206,'Jun'!$D$27:$AH$206,'Jul'!$D$27:$AH$206,'Aug'!$D$27:$AH$206,'Sep'!$D$27:$AH$206,'Oct'!$D$27:$AH$206,'Nov'!$D$27:$AH$206,'Dec'!$D$27:$AH$206,'Jan (next year)'!$D$27:$AH$206),27+3*(IFERROR(MATCH(C1317,Roster!$B$6:$B$65,0),MATCH(C1317,Roster!$C$6:$C$65,0))-1)+MATCH(B1317,{"AM","PM","NIGHT"},0)-1-27+1,DAY(A1317))&amp;"",""))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$206,'Feb'!$D$27:$AH$206,'Mar'!$D$27:$AH$206,'Apr'!$D$27:$AH$206,'May'!$D$27:$AH$206,'Jun'!$D$27:$AH$206,'Jul'!$D$27:$AH$206,'Aug'!$D$27:$AH$206,'Sep'!$D$27:$AH$206,'Oct'!$D$27:$AH$206,'Nov'!$D$27:$AH$206,'Dec'!$D$27:$AH$206,'Jan (next year)'!$D$27:$AH$206),27+3*(IFERROR(MATCH(C1318,Roster!$B$6:$B$65,0),MATCH(C1318,Roster!$C$6:$C$65,0))-1)+MATCH(B1318,{"AM","PM","NIGHT"},0)-1-27+1,DAY(A1318))&amp;"",""))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$206,'Feb'!$D$27:$AH$206,'Mar'!$D$27:$AH$206,'Apr'!$D$27:$AH$206,'May'!$D$27:$AH$206,'Jun'!$D$27:$AH$206,'Jul'!$D$27:$AH$206,'Aug'!$D$27:$AH$206,'Sep'!$D$27:$AH$206,'Oct'!$D$27:$AH$206,'Nov'!$D$27:$AH$206,'Dec'!$D$27:$AH$206,'Jan (next year)'!$D$27:$AH$206),27+3*(IFERROR(MATCH(C1319,Roster!$B$6:$B$65,0),MATCH(C1319,Roster!$C$6:$C$65,0))-1)+MATCH(B1319,{"AM","PM","NIGHT"},0)-1-27+1,DAY(A1319))&amp;"",""))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$206,'Feb'!$D$27:$AH$206,'Mar'!$D$27:$AH$206,'Apr'!$D$27:$AH$206,'May'!$D$27:$AH$206,'Jun'!$D$27:$AH$206,'Jul'!$D$27:$AH$206,'Aug'!$D$27:$AH$206,'Sep'!$D$27:$AH$206,'Oct'!$D$27:$AH$206,'Nov'!$D$27:$AH$206,'Dec'!$D$27:$AH$206,'Jan (next year)'!$D$27:$AH$206),27+3*(IFERROR(MATCH(C1320,Roster!$B$6:$B$65,0),MATCH(C1320,Roster!$C$6:$C$65,0))-1)+MATCH(B1320,{"AM","PM","NIGHT"},0)-1-27+1,DAY(A1320))&amp;"",""))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$206,'Feb'!$D$27:$AH$206,'Mar'!$D$27:$AH$206,'Apr'!$D$27:$AH$206,'May'!$D$27:$AH$206,'Jun'!$D$27:$AH$206,'Jul'!$D$27:$AH$206,'Aug'!$D$27:$AH$206,'Sep'!$D$27:$AH$206,'Oct'!$D$27:$AH$206,'Nov'!$D$27:$AH$206,'Dec'!$D$27:$AH$206,'Jan (next year)'!$D$27:$AH$206),27+3*(IFERROR(MATCH(C1321,Roster!$B$6:$B$65,0),MATCH(C1321,Roster!$C$6:$C$65,0))-1)+MATCH(B1321,{"AM","PM","NIGHT"},0)-1-27+1,DAY(A1321))&amp;"",""))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$206,'Feb'!$D$27:$AH$206,'Mar'!$D$27:$AH$206,'Apr'!$D$27:$AH$206,'May'!$D$27:$AH$206,'Jun'!$D$27:$AH$206,'Jul'!$D$27:$AH$206,'Aug'!$D$27:$AH$206,'Sep'!$D$27:$AH$206,'Oct'!$D$27:$AH$206,'Nov'!$D$27:$AH$206,'Dec'!$D$27:$AH$206,'Jan (next year)'!$D$27:$AH$206),27+3*(IFERROR(MATCH(C1322,Roster!$B$6:$B$65,0),MATCH(C1322,Roster!$C$6:$C$65,0))-1)+MATCH(B1322,{"AM","PM","NIGHT"},0)-1-27+1,DAY(A1322))&amp;"",""))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$206,'Feb'!$D$27:$AH$206,'Mar'!$D$27:$AH$206,'Apr'!$D$27:$AH$206,'May'!$D$27:$AH$206,'Jun'!$D$27:$AH$206,'Jul'!$D$27:$AH$206,'Aug'!$D$27:$AH$206,'Sep'!$D$27:$AH$206,'Oct'!$D$27:$AH$206,'Nov'!$D$27:$AH$206,'Dec'!$D$27:$AH$206,'Jan (next year)'!$D$27:$AH$206),27+3*(IFERROR(MATCH(C1323,Roster!$B$6:$B$65,0),MATCH(C1323,Roster!$C$6:$C$65,0))-1)+MATCH(B1323,{"AM","PM","NIGHT"},0)-1-27+1,DAY(A1323))&amp;"",""))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$206,'Feb'!$D$27:$AH$206,'Mar'!$D$27:$AH$206,'Apr'!$D$27:$AH$206,'May'!$D$27:$AH$206,'Jun'!$D$27:$AH$206,'Jul'!$D$27:$AH$206,'Aug'!$D$27:$AH$206,'Sep'!$D$27:$AH$206,'Oct'!$D$27:$AH$206,'Nov'!$D$27:$AH$206,'Dec'!$D$27:$AH$206,'Jan (next year)'!$D$27:$AH$206),27+3*(IFERROR(MATCH(C1324,Roster!$B$6:$B$65,0),MATCH(C1324,Roster!$C$6:$C$65,0))-1)+MATCH(B1324,{"AM","PM","NIGHT"},0)-1-27+1,DAY(A1324))&amp;"",""))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$206,'Feb'!$D$27:$AH$206,'Mar'!$D$27:$AH$206,'Apr'!$D$27:$AH$206,'May'!$D$27:$AH$206,'Jun'!$D$27:$AH$206,'Jul'!$D$27:$AH$206,'Aug'!$D$27:$AH$206,'Sep'!$D$27:$AH$206,'Oct'!$D$27:$AH$206,'Nov'!$D$27:$AH$206,'Dec'!$D$27:$AH$206,'Jan (next year)'!$D$27:$AH$206),27+3*(IFERROR(MATCH(C1325,Roster!$B$6:$B$65,0),MATCH(C1325,Roster!$C$6:$C$65,0))-1)+MATCH(B1325,{"AM","PM","NIGHT"},0)-1-27+1,DAY(A1325))&amp;"",""))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$206,'Feb'!$D$27:$AH$206,'Mar'!$D$27:$AH$206,'Apr'!$D$27:$AH$206,'May'!$D$27:$AH$206,'Jun'!$D$27:$AH$206,'Jul'!$D$27:$AH$206,'Aug'!$D$27:$AH$206,'Sep'!$D$27:$AH$206,'Oct'!$D$27:$AH$206,'Nov'!$D$27:$AH$206,'Dec'!$D$27:$AH$206,'Jan (next year)'!$D$27:$AH$206),27+3*(IFERROR(MATCH(C1326,Roster!$B$6:$B$65,0),MATCH(C1326,Roster!$C$6:$C$65,0))-1)+MATCH(B1326,{"AM","PM","NIGHT"},0)-1-27+1,DAY(A1326))&amp;"",""))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$206,'Feb'!$D$27:$AH$206,'Mar'!$D$27:$AH$206,'Apr'!$D$27:$AH$206,'May'!$D$27:$AH$206,'Jun'!$D$27:$AH$206,'Jul'!$D$27:$AH$206,'Aug'!$D$27:$AH$206,'Sep'!$D$27:$AH$206,'Oct'!$D$27:$AH$206,'Nov'!$D$27:$AH$206,'Dec'!$D$27:$AH$206,'Jan (next year)'!$D$27:$AH$206),27+3*(IFERROR(MATCH(C1327,Roster!$B$6:$B$65,0),MATCH(C1327,Roster!$C$6:$C$65,0))-1)+MATCH(B1327,{"AM","PM","NIGHT"},0)-1-27+1,DAY(A1327))&amp;"",""))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$206,'Feb'!$D$27:$AH$206,'Mar'!$D$27:$AH$206,'Apr'!$D$27:$AH$206,'May'!$D$27:$AH$206,'Jun'!$D$27:$AH$206,'Jul'!$D$27:$AH$206,'Aug'!$D$27:$AH$206,'Sep'!$D$27:$AH$206,'Oct'!$D$27:$AH$206,'Nov'!$D$27:$AH$206,'Dec'!$D$27:$AH$206,'Jan (next year)'!$D$27:$AH$206),27+3*(IFERROR(MATCH(C1328,Roster!$B$6:$B$65,0),MATCH(C1328,Roster!$C$6:$C$65,0))-1)+MATCH(B1328,{"AM","PM","NIGHT"},0)-1-27+1,DAY(A1328))&amp;"",""))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$206,'Feb'!$D$27:$AH$206,'Mar'!$D$27:$AH$206,'Apr'!$D$27:$AH$206,'May'!$D$27:$AH$206,'Jun'!$D$27:$AH$206,'Jul'!$D$27:$AH$206,'Aug'!$D$27:$AH$206,'Sep'!$D$27:$AH$206,'Oct'!$D$27:$AH$206,'Nov'!$D$27:$AH$206,'Dec'!$D$27:$AH$206,'Jan (next year)'!$D$27:$AH$206),27+3*(IFERROR(MATCH(C1329,Roster!$B$6:$B$65,0),MATCH(C1329,Roster!$C$6:$C$65,0))-1)+MATCH(B1329,{"AM","PM","NIGHT"},0)-1-27+1,DAY(A1329))&amp;"",""))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$206,'Feb'!$D$27:$AH$206,'Mar'!$D$27:$AH$206,'Apr'!$D$27:$AH$206,'May'!$D$27:$AH$206,'Jun'!$D$27:$AH$206,'Jul'!$D$27:$AH$206,'Aug'!$D$27:$AH$206,'Sep'!$D$27:$AH$206,'Oct'!$D$27:$AH$206,'Nov'!$D$27:$AH$206,'Dec'!$D$27:$AH$206,'Jan (next year)'!$D$27:$AH$206),27+3*(IFERROR(MATCH(C1330,Roster!$B$6:$B$65,0),MATCH(C1330,Roster!$C$6:$C$65,0))-1)+MATCH(B1330,{"AM","PM","NIGHT"},0)-1-27+1,DAY(A1330))&amp;"",""))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$206,'Feb'!$D$27:$AH$206,'Mar'!$D$27:$AH$206,'Apr'!$D$27:$AH$206,'May'!$D$27:$AH$206,'Jun'!$D$27:$AH$206,'Jul'!$D$27:$AH$206,'Aug'!$D$27:$AH$206,'Sep'!$D$27:$AH$206,'Oct'!$D$27:$AH$206,'Nov'!$D$27:$AH$206,'Dec'!$D$27:$AH$206,'Jan (next year)'!$D$27:$AH$206),27+3*(IFERROR(MATCH(C1331,Roster!$B$6:$B$65,0),MATCH(C1331,Roster!$C$6:$C$65,0))-1)+MATCH(B1331,{"AM","PM","NIGHT"},0)-1-27+1,DAY(A1331))&amp;"",""))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$206,'Feb'!$D$27:$AH$206,'Mar'!$D$27:$AH$206,'Apr'!$D$27:$AH$206,'May'!$D$27:$AH$206,'Jun'!$D$27:$AH$206,'Jul'!$D$27:$AH$206,'Aug'!$D$27:$AH$206,'Sep'!$D$27:$AH$206,'Oct'!$D$27:$AH$206,'Nov'!$D$27:$AH$206,'Dec'!$D$27:$AH$206,'Jan (next year)'!$D$27:$AH$206),27+3*(IFERROR(MATCH(C1332,Roster!$B$6:$B$65,0),MATCH(C1332,Roster!$C$6:$C$65,0))-1)+MATCH(B1332,{"AM","PM","NIGHT"},0)-1-27+1,DAY(A1332))&amp;"",""))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$206,'Feb'!$D$27:$AH$206,'Mar'!$D$27:$AH$206,'Apr'!$D$27:$AH$206,'May'!$D$27:$AH$206,'Jun'!$D$27:$AH$206,'Jul'!$D$27:$AH$206,'Aug'!$D$27:$AH$206,'Sep'!$D$27:$AH$206,'Oct'!$D$27:$AH$206,'Nov'!$D$27:$AH$206,'Dec'!$D$27:$AH$206,'Jan (next year)'!$D$27:$AH$206),27+3*(IFERROR(MATCH(C1333,Roster!$B$6:$B$65,0),MATCH(C1333,Roster!$C$6:$C$65,0))-1)+MATCH(B1333,{"AM","PM","NIGHT"},0)-1-27+1,DAY(A1333))&amp;"",""))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$206,'Feb'!$D$27:$AH$206,'Mar'!$D$27:$AH$206,'Apr'!$D$27:$AH$206,'May'!$D$27:$AH$206,'Jun'!$D$27:$AH$206,'Jul'!$D$27:$AH$206,'Aug'!$D$27:$AH$206,'Sep'!$D$27:$AH$206,'Oct'!$D$27:$AH$206,'Nov'!$D$27:$AH$206,'Dec'!$D$27:$AH$206,'Jan (next year)'!$D$27:$AH$206),27+3*(IFERROR(MATCH(C1334,Roster!$B$6:$B$65,0),MATCH(C1334,Roster!$C$6:$C$65,0))-1)+MATCH(B1334,{"AM","PM","NIGHT"},0)-1-27+1,DAY(A1334))&amp;"",""))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$206,'Feb'!$D$27:$AH$206,'Mar'!$D$27:$AH$206,'Apr'!$D$27:$AH$206,'May'!$D$27:$AH$206,'Jun'!$D$27:$AH$206,'Jul'!$D$27:$AH$206,'Aug'!$D$27:$AH$206,'Sep'!$D$27:$AH$206,'Oct'!$D$27:$AH$206,'Nov'!$D$27:$AH$206,'Dec'!$D$27:$AH$206,'Jan (next year)'!$D$27:$AH$206),27+3*(IFERROR(MATCH(C1335,Roster!$B$6:$B$65,0),MATCH(C1335,Roster!$C$6:$C$65,0))-1)+MATCH(B1335,{"AM","PM","NIGHT"},0)-1-27+1,DAY(A1335))&amp;"",""))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$206,'Feb'!$D$27:$AH$206,'Mar'!$D$27:$AH$206,'Apr'!$D$27:$AH$206,'May'!$D$27:$AH$206,'Jun'!$D$27:$AH$206,'Jul'!$D$27:$AH$206,'Aug'!$D$27:$AH$206,'Sep'!$D$27:$AH$206,'Oct'!$D$27:$AH$206,'Nov'!$D$27:$AH$206,'Dec'!$D$27:$AH$206,'Jan (next year)'!$D$27:$AH$206),27+3*(IFERROR(MATCH(C1336,Roster!$B$6:$B$65,0),MATCH(C1336,Roster!$C$6:$C$65,0))-1)+MATCH(B1336,{"AM","PM","NIGHT"},0)-1-27+1,DAY(A1336))&amp;"",""))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$206,'Feb'!$D$27:$AH$206,'Mar'!$D$27:$AH$206,'Apr'!$D$27:$AH$206,'May'!$D$27:$AH$206,'Jun'!$D$27:$AH$206,'Jul'!$D$27:$AH$206,'Aug'!$D$27:$AH$206,'Sep'!$D$27:$AH$206,'Oct'!$D$27:$AH$206,'Nov'!$D$27:$AH$206,'Dec'!$D$27:$AH$206,'Jan (next year)'!$D$27:$AH$206),27+3*(IFERROR(MATCH(C1337,Roster!$B$6:$B$65,0),MATCH(C1337,Roster!$C$6:$C$65,0))-1)+MATCH(B1337,{"AM","PM","NIGHT"},0)-1-27+1,DAY(A1337))&amp;"",""))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$206,'Feb'!$D$27:$AH$206,'Mar'!$D$27:$AH$206,'Apr'!$D$27:$AH$206,'May'!$D$27:$AH$206,'Jun'!$D$27:$AH$206,'Jul'!$D$27:$AH$206,'Aug'!$D$27:$AH$206,'Sep'!$D$27:$AH$206,'Oct'!$D$27:$AH$206,'Nov'!$D$27:$AH$206,'Dec'!$D$27:$AH$206,'Jan (next year)'!$D$27:$AH$206),27+3*(IFERROR(MATCH(C1338,Roster!$B$6:$B$65,0),MATCH(C1338,Roster!$C$6:$C$65,0))-1)+MATCH(B1338,{"AM","PM","NIGHT"},0)-1-27+1,DAY(A1338))&amp;"",""))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$206,'Feb'!$D$27:$AH$206,'Mar'!$D$27:$AH$206,'Apr'!$D$27:$AH$206,'May'!$D$27:$AH$206,'Jun'!$D$27:$AH$206,'Jul'!$D$27:$AH$206,'Aug'!$D$27:$AH$206,'Sep'!$D$27:$AH$206,'Oct'!$D$27:$AH$206,'Nov'!$D$27:$AH$206,'Dec'!$D$27:$AH$206,'Jan (next year)'!$D$27:$AH$206),27+3*(IFERROR(MATCH(C1339,Roster!$B$6:$B$65,0),MATCH(C1339,Roster!$C$6:$C$65,0))-1)+MATCH(B1339,{"AM","PM","NIGHT"},0)-1-27+1,DAY(A1339))&amp;"",""))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$206,'Feb'!$D$27:$AH$206,'Mar'!$D$27:$AH$206,'Apr'!$D$27:$AH$206,'May'!$D$27:$AH$206,'Jun'!$D$27:$AH$206,'Jul'!$D$27:$AH$206,'Aug'!$D$27:$AH$206,'Sep'!$D$27:$AH$206,'Oct'!$D$27:$AH$206,'Nov'!$D$27:$AH$206,'Dec'!$D$27:$AH$206,'Jan (next year)'!$D$27:$AH$206),27+3*(IFERROR(MATCH(C1340,Roster!$B$6:$B$65,0),MATCH(C1340,Roster!$C$6:$C$65,0))-1)+MATCH(B1340,{"AM","PM","NIGHT"},0)-1-27+1,DAY(A1340))&amp;"",""))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$206,'Feb'!$D$27:$AH$206,'Mar'!$D$27:$AH$206,'Apr'!$D$27:$AH$206,'May'!$D$27:$AH$206,'Jun'!$D$27:$AH$206,'Jul'!$D$27:$AH$206,'Aug'!$D$27:$AH$206,'Sep'!$D$27:$AH$206,'Oct'!$D$27:$AH$206,'Nov'!$D$27:$AH$206,'Dec'!$D$27:$AH$206,'Jan (next year)'!$D$27:$AH$206),27+3*(IFERROR(MATCH(C1341,Roster!$B$6:$B$65,0),MATCH(C1341,Roster!$C$6:$C$65,0))-1)+MATCH(B1341,{"AM","PM","NIGHT"},0)-1-27+1,DAY(A1341))&amp;"",""))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$206,'Feb'!$D$27:$AH$206,'Mar'!$D$27:$AH$206,'Apr'!$D$27:$AH$206,'May'!$D$27:$AH$206,'Jun'!$D$27:$AH$206,'Jul'!$D$27:$AH$206,'Aug'!$D$27:$AH$206,'Sep'!$D$27:$AH$206,'Oct'!$D$27:$AH$206,'Nov'!$D$27:$AH$206,'Dec'!$D$27:$AH$206,'Jan (next year)'!$D$27:$AH$206),27+3*(IFERROR(MATCH(C1342,Roster!$B$6:$B$65,0),MATCH(C1342,Roster!$C$6:$C$65,0))-1)+MATCH(B1342,{"AM","PM","NIGHT"},0)-1-27+1,DAY(A1342))&amp;"",""))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$206,'Feb'!$D$27:$AH$206,'Mar'!$D$27:$AH$206,'Apr'!$D$27:$AH$206,'May'!$D$27:$AH$206,'Jun'!$D$27:$AH$206,'Jul'!$D$27:$AH$206,'Aug'!$D$27:$AH$206,'Sep'!$D$27:$AH$206,'Oct'!$D$27:$AH$206,'Nov'!$D$27:$AH$206,'Dec'!$D$27:$AH$206,'Jan (next year)'!$D$27:$AH$206),27+3*(IFERROR(MATCH(C1343,Roster!$B$6:$B$65,0),MATCH(C1343,Roster!$C$6:$C$65,0))-1)+MATCH(B1343,{"AM","PM","NIGHT"},0)-1-27+1,DAY(A1343))&amp;"",""))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$206,'Feb'!$D$27:$AH$206,'Mar'!$D$27:$AH$206,'Apr'!$D$27:$AH$206,'May'!$D$27:$AH$206,'Jun'!$D$27:$AH$206,'Jul'!$D$27:$AH$206,'Aug'!$D$27:$AH$206,'Sep'!$D$27:$AH$206,'Oct'!$D$27:$AH$206,'Nov'!$D$27:$AH$206,'Dec'!$D$27:$AH$206,'Jan (next year)'!$D$27:$AH$206),27+3*(IFERROR(MATCH(C1344,Roster!$B$6:$B$65,0),MATCH(C1344,Roster!$C$6:$C$65,0))-1)+MATCH(B1344,{"AM","PM","NIGHT"},0)-1-27+1,DAY(A1344))&amp;"",""))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$206,'Feb'!$D$27:$AH$206,'Mar'!$D$27:$AH$206,'Apr'!$D$27:$AH$206,'May'!$D$27:$AH$206,'Jun'!$D$27:$AH$206,'Jul'!$D$27:$AH$206,'Aug'!$D$27:$AH$206,'Sep'!$D$27:$AH$206,'Oct'!$D$27:$AH$206,'Nov'!$D$27:$AH$206,'Dec'!$D$27:$AH$206,'Jan (next year)'!$D$27:$AH$206),27+3*(IFERROR(MATCH(C1345,Roster!$B$6:$B$65,0),MATCH(C1345,Roster!$C$6:$C$65,0))-1)+MATCH(B1345,{"AM","PM","NIGHT"},0)-1-27+1,DAY(A1345))&amp;"",""))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$206,'Feb'!$D$27:$AH$206,'Mar'!$D$27:$AH$206,'Apr'!$D$27:$AH$206,'May'!$D$27:$AH$206,'Jun'!$D$27:$AH$206,'Jul'!$D$27:$AH$206,'Aug'!$D$27:$AH$206,'Sep'!$D$27:$AH$206,'Oct'!$D$27:$AH$206,'Nov'!$D$27:$AH$206,'Dec'!$D$27:$AH$206,'Jan (next year)'!$D$27:$AH$206),27+3*(IFERROR(MATCH(C1346,Roster!$B$6:$B$65,0),MATCH(C1346,Roster!$C$6:$C$65,0))-1)+MATCH(B1346,{"AM","PM","NIGHT"},0)-1-27+1,DAY(A1346))&amp;"",""))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$206,'Feb'!$D$27:$AH$206,'Mar'!$D$27:$AH$206,'Apr'!$D$27:$AH$206,'May'!$D$27:$AH$206,'Jun'!$D$27:$AH$206,'Jul'!$D$27:$AH$206,'Aug'!$D$27:$AH$206,'Sep'!$D$27:$AH$206,'Oct'!$D$27:$AH$206,'Nov'!$D$27:$AH$206,'Dec'!$D$27:$AH$206,'Jan (next year)'!$D$27:$AH$206),27+3*(IFERROR(MATCH(C1347,Roster!$B$6:$B$65,0),MATCH(C1347,Roster!$C$6:$C$65,0))-1)+MATCH(B1347,{"AM","PM","NIGHT"},0)-1-27+1,DAY(A1347))&amp;"",""))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$206,'Feb'!$D$27:$AH$206,'Mar'!$D$27:$AH$206,'Apr'!$D$27:$AH$206,'May'!$D$27:$AH$206,'Jun'!$D$27:$AH$206,'Jul'!$D$27:$AH$206,'Aug'!$D$27:$AH$206,'Sep'!$D$27:$AH$206,'Oct'!$D$27:$AH$206,'Nov'!$D$27:$AH$206,'Dec'!$D$27:$AH$206,'Jan (next year)'!$D$27:$AH$206),27+3*(IFERROR(MATCH(C1348,Roster!$B$6:$B$65,0),MATCH(C1348,Roster!$C$6:$C$65,0))-1)+MATCH(B1348,{"AM","PM","NIGHT"},0)-1-27+1,DAY(A1348))&amp;"",""))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$206,'Feb'!$D$27:$AH$206,'Mar'!$D$27:$AH$206,'Apr'!$D$27:$AH$206,'May'!$D$27:$AH$206,'Jun'!$D$27:$AH$206,'Jul'!$D$27:$AH$206,'Aug'!$D$27:$AH$206,'Sep'!$D$27:$AH$206,'Oct'!$D$27:$AH$206,'Nov'!$D$27:$AH$206,'Dec'!$D$27:$AH$206,'Jan (next year)'!$D$27:$AH$206),27+3*(IFERROR(MATCH(C1349,Roster!$B$6:$B$65,0),MATCH(C1349,Roster!$C$6:$C$65,0))-1)+MATCH(B1349,{"AM","PM","NIGHT"},0)-1-27+1,DAY(A1349))&amp;"",""))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$206,'Feb'!$D$27:$AH$206,'Mar'!$D$27:$AH$206,'Apr'!$D$27:$AH$206,'May'!$D$27:$AH$206,'Jun'!$D$27:$AH$206,'Jul'!$D$27:$AH$206,'Aug'!$D$27:$AH$206,'Sep'!$D$27:$AH$206,'Oct'!$D$27:$AH$206,'Nov'!$D$27:$AH$206,'Dec'!$D$27:$AH$206,'Jan (next year)'!$D$27:$AH$206),27+3*(IFERROR(MATCH(C1350,Roster!$B$6:$B$65,0),MATCH(C1350,Roster!$C$6:$C$65,0))-1)+MATCH(B1350,{"AM","PM","NIGHT"},0)-1-27+1,DAY(A1350))&amp;"",""))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$206,'Feb'!$D$27:$AH$206,'Mar'!$D$27:$AH$206,'Apr'!$D$27:$AH$206,'May'!$D$27:$AH$206,'Jun'!$D$27:$AH$206,'Jul'!$D$27:$AH$206,'Aug'!$D$27:$AH$206,'Sep'!$D$27:$AH$206,'Oct'!$D$27:$AH$206,'Nov'!$D$27:$AH$206,'Dec'!$D$27:$AH$206,'Jan (next year)'!$D$27:$AH$206),27+3*(IFERROR(MATCH(C1351,Roster!$B$6:$B$65,0),MATCH(C1351,Roster!$C$6:$C$65,0))-1)+MATCH(B1351,{"AM","PM","NIGHT"},0)-1-27+1,DAY(A1351))&amp;"",""))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$206,'Feb'!$D$27:$AH$206,'Mar'!$D$27:$AH$206,'Apr'!$D$27:$AH$206,'May'!$D$27:$AH$206,'Jun'!$D$27:$AH$206,'Jul'!$D$27:$AH$206,'Aug'!$D$27:$AH$206,'Sep'!$D$27:$AH$206,'Oct'!$D$27:$AH$206,'Nov'!$D$27:$AH$206,'Dec'!$D$27:$AH$206,'Jan (next year)'!$D$27:$AH$206),27+3*(IFERROR(MATCH(C1352,Roster!$B$6:$B$65,0),MATCH(C1352,Roster!$C$6:$C$65,0))-1)+MATCH(B1352,{"AM","PM","NIGHT"},0)-1-27+1,DAY(A1352))&amp;"",""))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$206,'Feb'!$D$27:$AH$206,'Mar'!$D$27:$AH$206,'Apr'!$D$27:$AH$206,'May'!$D$27:$AH$206,'Jun'!$D$27:$AH$206,'Jul'!$D$27:$AH$206,'Aug'!$D$27:$AH$206,'Sep'!$D$27:$AH$206,'Oct'!$D$27:$AH$206,'Nov'!$D$27:$AH$206,'Dec'!$D$27:$AH$206,'Jan (next year)'!$D$27:$AH$206),27+3*(IFERROR(MATCH(C1353,Roster!$B$6:$B$65,0),MATCH(C1353,Roster!$C$6:$C$65,0))-1)+MATCH(B1353,{"AM","PM","NIGHT"},0)-1-27+1,DAY(A1353))&amp;"",""))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$206,'Feb'!$D$27:$AH$206,'Mar'!$D$27:$AH$206,'Apr'!$D$27:$AH$206,'May'!$D$27:$AH$206,'Jun'!$D$27:$AH$206,'Jul'!$D$27:$AH$206,'Aug'!$D$27:$AH$206,'Sep'!$D$27:$AH$206,'Oct'!$D$27:$AH$206,'Nov'!$D$27:$AH$206,'Dec'!$D$27:$AH$206,'Jan (next year)'!$D$27:$AH$206),27+3*(IFERROR(MATCH(C1354,Roster!$B$6:$B$65,0),MATCH(C1354,Roster!$C$6:$C$65,0))-1)+MATCH(B1354,{"AM","PM","NIGHT"},0)-1-27+1,DAY(A1354))&amp;"",""))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$206,'Feb'!$D$27:$AH$206,'Mar'!$D$27:$AH$206,'Apr'!$D$27:$AH$206,'May'!$D$27:$AH$206,'Jun'!$D$27:$AH$206,'Jul'!$D$27:$AH$206,'Aug'!$D$27:$AH$206,'Sep'!$D$27:$AH$206,'Oct'!$D$27:$AH$206,'Nov'!$D$27:$AH$206,'Dec'!$D$27:$AH$206,'Jan (next year)'!$D$27:$AH$206),27+3*(IFERROR(MATCH(C1355,Roster!$B$6:$B$65,0),MATCH(C1355,Roster!$C$6:$C$65,0))-1)+MATCH(B1355,{"AM","PM","NIGHT"},0)-1-27+1,DAY(A1355))&amp;"",""))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$206,'Feb'!$D$27:$AH$206,'Mar'!$D$27:$AH$206,'Apr'!$D$27:$AH$206,'May'!$D$27:$AH$206,'Jun'!$D$27:$AH$206,'Jul'!$D$27:$AH$206,'Aug'!$D$27:$AH$206,'Sep'!$D$27:$AH$206,'Oct'!$D$27:$AH$206,'Nov'!$D$27:$AH$206,'Dec'!$D$27:$AH$206,'Jan (next year)'!$D$27:$AH$206),27+3*(IFERROR(MATCH(C1356,Roster!$B$6:$B$65,0),MATCH(C1356,Roster!$C$6:$C$65,0))-1)+MATCH(B1356,{"AM","PM","NIGHT"},0)-1-27+1,DAY(A1356))&amp;"",""))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$206,'Feb'!$D$27:$AH$206,'Mar'!$D$27:$AH$206,'Apr'!$D$27:$AH$206,'May'!$D$27:$AH$206,'Jun'!$D$27:$AH$206,'Jul'!$D$27:$AH$206,'Aug'!$D$27:$AH$206,'Sep'!$D$27:$AH$206,'Oct'!$D$27:$AH$206,'Nov'!$D$27:$AH$206,'Dec'!$D$27:$AH$206,'Jan (next year)'!$D$27:$AH$206),27+3*(IFERROR(MATCH(C1357,Roster!$B$6:$B$65,0),MATCH(C1357,Roster!$C$6:$C$65,0))-1)+MATCH(B1357,{"AM","PM","NIGHT"},0)-1-27+1,DAY(A1357))&amp;"",""))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$206,'Feb'!$D$27:$AH$206,'Mar'!$D$27:$AH$206,'Apr'!$D$27:$AH$206,'May'!$D$27:$AH$206,'Jun'!$D$27:$AH$206,'Jul'!$D$27:$AH$206,'Aug'!$D$27:$AH$206,'Sep'!$D$27:$AH$206,'Oct'!$D$27:$AH$206,'Nov'!$D$27:$AH$206,'Dec'!$D$27:$AH$206,'Jan (next year)'!$D$27:$AH$206),27+3*(IFERROR(MATCH(C1358,Roster!$B$6:$B$65,0),MATCH(C1358,Roster!$C$6:$C$65,0))-1)+MATCH(B1358,{"AM","PM","NIGHT"},0)-1-27+1,DAY(A1358))&amp;"",""))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$206,'Feb'!$D$27:$AH$206,'Mar'!$D$27:$AH$206,'Apr'!$D$27:$AH$206,'May'!$D$27:$AH$206,'Jun'!$D$27:$AH$206,'Jul'!$D$27:$AH$206,'Aug'!$D$27:$AH$206,'Sep'!$D$27:$AH$206,'Oct'!$D$27:$AH$206,'Nov'!$D$27:$AH$206,'Dec'!$D$27:$AH$206,'Jan (next year)'!$D$27:$AH$206),27+3*(IFERROR(MATCH(C1359,Roster!$B$6:$B$65,0),MATCH(C1359,Roster!$C$6:$C$65,0))-1)+MATCH(B1359,{"AM","PM","NIGHT"},0)-1-27+1,DAY(A1359))&amp;"",""))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$206,'Feb'!$D$27:$AH$206,'Mar'!$D$27:$AH$206,'Apr'!$D$27:$AH$206,'May'!$D$27:$AH$206,'Jun'!$D$27:$AH$206,'Jul'!$D$27:$AH$206,'Aug'!$D$27:$AH$206,'Sep'!$D$27:$AH$206,'Oct'!$D$27:$AH$206,'Nov'!$D$27:$AH$206,'Dec'!$D$27:$AH$206,'Jan (next year)'!$D$27:$AH$206),27+3*(IFERROR(MATCH(C1360,Roster!$B$6:$B$65,0),MATCH(C1360,Roster!$C$6:$C$65,0))-1)+MATCH(B1360,{"AM","PM","NIGHT"},0)-1-27+1,DAY(A1360))&amp;"",""))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$206,'Feb'!$D$27:$AH$206,'Mar'!$D$27:$AH$206,'Apr'!$D$27:$AH$206,'May'!$D$27:$AH$206,'Jun'!$D$27:$AH$206,'Jul'!$D$27:$AH$206,'Aug'!$D$27:$AH$206,'Sep'!$D$27:$AH$206,'Oct'!$D$27:$AH$206,'Nov'!$D$27:$AH$206,'Dec'!$D$27:$AH$206,'Jan (next year)'!$D$27:$AH$206),27+3*(IFERROR(MATCH(C1361,Roster!$B$6:$B$65,0),MATCH(C1361,Roster!$C$6:$C$65,0))-1)+MATCH(B1361,{"AM","PM","NIGHT"},0)-1-27+1,DAY(A1361))&amp;"",""))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$206,'Feb'!$D$27:$AH$206,'Mar'!$D$27:$AH$206,'Apr'!$D$27:$AH$206,'May'!$D$27:$AH$206,'Jun'!$D$27:$AH$206,'Jul'!$D$27:$AH$206,'Aug'!$D$27:$AH$206,'Sep'!$D$27:$AH$206,'Oct'!$D$27:$AH$206,'Nov'!$D$27:$AH$206,'Dec'!$D$27:$AH$206,'Jan (next year)'!$D$27:$AH$206),27+3*(IFERROR(MATCH(C1362,Roster!$B$6:$B$65,0),MATCH(C1362,Roster!$C$6:$C$65,0))-1)+MATCH(B1362,{"AM","PM","NIGHT"},0)-1-27+1,DAY(A1362))&amp;"",""))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$206,'Feb'!$D$27:$AH$206,'Mar'!$D$27:$AH$206,'Apr'!$D$27:$AH$206,'May'!$D$27:$AH$206,'Jun'!$D$27:$AH$206,'Jul'!$D$27:$AH$206,'Aug'!$D$27:$AH$206,'Sep'!$D$27:$AH$206,'Oct'!$D$27:$AH$206,'Nov'!$D$27:$AH$206,'Dec'!$D$27:$AH$206,'Jan (next year)'!$D$27:$AH$206),27+3*(IFERROR(MATCH(C1363,Roster!$B$6:$B$65,0),MATCH(C1363,Roster!$C$6:$C$65,0))-1)+MATCH(B1363,{"AM","PM","NIGHT"},0)-1-27+1,DAY(A1363))&amp;"",""))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$206,'Feb'!$D$27:$AH$206,'Mar'!$D$27:$AH$206,'Apr'!$D$27:$AH$206,'May'!$D$27:$AH$206,'Jun'!$D$27:$AH$206,'Jul'!$D$27:$AH$206,'Aug'!$D$27:$AH$206,'Sep'!$D$27:$AH$206,'Oct'!$D$27:$AH$206,'Nov'!$D$27:$AH$206,'Dec'!$D$27:$AH$206,'Jan (next year)'!$D$27:$AH$206),27+3*(IFERROR(MATCH(C1364,Roster!$B$6:$B$65,0),MATCH(C1364,Roster!$C$6:$C$65,0))-1)+MATCH(B1364,{"AM","PM","NIGHT"},0)-1-27+1,DAY(A1364))&amp;"",""))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$206,'Feb'!$D$27:$AH$206,'Mar'!$D$27:$AH$206,'Apr'!$D$27:$AH$206,'May'!$D$27:$AH$206,'Jun'!$D$27:$AH$206,'Jul'!$D$27:$AH$206,'Aug'!$D$27:$AH$206,'Sep'!$D$27:$AH$206,'Oct'!$D$27:$AH$206,'Nov'!$D$27:$AH$206,'Dec'!$D$27:$AH$206,'Jan (next year)'!$D$27:$AH$206),27+3*(IFERROR(MATCH(C1365,Roster!$B$6:$B$65,0),MATCH(C1365,Roster!$C$6:$C$65,0))-1)+MATCH(B1365,{"AM","PM","NIGHT"},0)-1-27+1,DAY(A1365))&amp;"",""))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$206,'Feb'!$D$27:$AH$206,'Mar'!$D$27:$AH$206,'Apr'!$D$27:$AH$206,'May'!$D$27:$AH$206,'Jun'!$D$27:$AH$206,'Jul'!$D$27:$AH$206,'Aug'!$D$27:$AH$206,'Sep'!$D$27:$AH$206,'Oct'!$D$27:$AH$206,'Nov'!$D$27:$AH$206,'Dec'!$D$27:$AH$206,'Jan (next year)'!$D$27:$AH$206),27+3*(IFERROR(MATCH(C1366,Roster!$B$6:$B$65,0),MATCH(C1366,Roster!$C$6:$C$65,0))-1)+MATCH(B1366,{"AM","PM","NIGHT"},0)-1-27+1,DAY(A1366))&amp;"",""))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$206,'Feb'!$D$27:$AH$206,'Mar'!$D$27:$AH$206,'Apr'!$D$27:$AH$206,'May'!$D$27:$AH$206,'Jun'!$D$27:$AH$206,'Jul'!$D$27:$AH$206,'Aug'!$D$27:$AH$206,'Sep'!$D$27:$AH$206,'Oct'!$D$27:$AH$206,'Nov'!$D$27:$AH$206,'Dec'!$D$27:$AH$206,'Jan (next year)'!$D$27:$AH$206),27+3*(IFERROR(MATCH(C1367,Roster!$B$6:$B$65,0),MATCH(C1367,Roster!$C$6:$C$65,0))-1)+MATCH(B1367,{"AM","PM","NIGHT"},0)-1-27+1,DAY(A1367))&amp;"",""))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$206,'Feb'!$D$27:$AH$206,'Mar'!$D$27:$AH$206,'Apr'!$D$27:$AH$206,'May'!$D$27:$AH$206,'Jun'!$D$27:$AH$206,'Jul'!$D$27:$AH$206,'Aug'!$D$27:$AH$206,'Sep'!$D$27:$AH$206,'Oct'!$D$27:$AH$206,'Nov'!$D$27:$AH$206,'Dec'!$D$27:$AH$206,'Jan (next year)'!$D$27:$AH$206),27+3*(IFERROR(MATCH(C1368,Roster!$B$6:$B$65,0),MATCH(C1368,Roster!$C$6:$C$65,0))-1)+MATCH(B1368,{"AM","PM","NIGHT"},0)-1-27+1,DAY(A1368))&amp;"",""))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$206,'Feb'!$D$27:$AH$206,'Mar'!$D$27:$AH$206,'Apr'!$D$27:$AH$206,'May'!$D$27:$AH$206,'Jun'!$D$27:$AH$206,'Jul'!$D$27:$AH$206,'Aug'!$D$27:$AH$206,'Sep'!$D$27:$AH$206,'Oct'!$D$27:$AH$206,'Nov'!$D$27:$AH$206,'Dec'!$D$27:$AH$206,'Jan (next year)'!$D$27:$AH$206),27+3*(IFERROR(MATCH(C1369,Roster!$B$6:$B$65,0),MATCH(C1369,Roster!$C$6:$C$65,0))-1)+MATCH(B1369,{"AM","PM","NIGHT"},0)-1-27+1,DAY(A1369))&amp;"",""))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$206,'Feb'!$D$27:$AH$206,'Mar'!$D$27:$AH$206,'Apr'!$D$27:$AH$206,'May'!$D$27:$AH$206,'Jun'!$D$27:$AH$206,'Jul'!$D$27:$AH$206,'Aug'!$D$27:$AH$206,'Sep'!$D$27:$AH$206,'Oct'!$D$27:$AH$206,'Nov'!$D$27:$AH$206,'Dec'!$D$27:$AH$206,'Jan (next year)'!$D$27:$AH$206),27+3*(IFERROR(MATCH(C1370,Roster!$B$6:$B$65,0),MATCH(C1370,Roster!$C$6:$C$65,0))-1)+MATCH(B1370,{"AM","PM","NIGHT"},0)-1-27+1,DAY(A1370))&amp;"",""))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$206,'Feb'!$D$27:$AH$206,'Mar'!$D$27:$AH$206,'Apr'!$D$27:$AH$206,'May'!$D$27:$AH$206,'Jun'!$D$27:$AH$206,'Jul'!$D$27:$AH$206,'Aug'!$D$27:$AH$206,'Sep'!$D$27:$AH$206,'Oct'!$D$27:$AH$206,'Nov'!$D$27:$AH$206,'Dec'!$D$27:$AH$206,'Jan (next year)'!$D$27:$AH$206),27+3*(IFERROR(MATCH(C1371,Roster!$B$6:$B$65,0),MATCH(C1371,Roster!$C$6:$C$65,0))-1)+MATCH(B1371,{"AM","PM","NIGHT"},0)-1-27+1,DAY(A1371))&amp;"",""))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$206,'Feb'!$D$27:$AH$206,'Mar'!$D$27:$AH$206,'Apr'!$D$27:$AH$206,'May'!$D$27:$AH$206,'Jun'!$D$27:$AH$206,'Jul'!$D$27:$AH$206,'Aug'!$D$27:$AH$206,'Sep'!$D$27:$AH$206,'Oct'!$D$27:$AH$206,'Nov'!$D$27:$AH$206,'Dec'!$D$27:$AH$206,'Jan (next year)'!$D$27:$AH$206),27+3*(IFERROR(MATCH(C1372,Roster!$B$6:$B$65,0),MATCH(C1372,Roster!$C$6:$C$65,0))-1)+MATCH(B1372,{"AM","PM","NIGHT"},0)-1-27+1,DAY(A1372))&amp;"",""))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$206,'Feb'!$D$27:$AH$206,'Mar'!$D$27:$AH$206,'Apr'!$D$27:$AH$206,'May'!$D$27:$AH$206,'Jun'!$D$27:$AH$206,'Jul'!$D$27:$AH$206,'Aug'!$D$27:$AH$206,'Sep'!$D$27:$AH$206,'Oct'!$D$27:$AH$206,'Nov'!$D$27:$AH$206,'Dec'!$D$27:$AH$206,'Jan (next year)'!$D$27:$AH$206),27+3*(IFERROR(MATCH(C1373,Roster!$B$6:$B$65,0),MATCH(C1373,Roster!$C$6:$C$65,0))-1)+MATCH(B1373,{"AM","PM","NIGHT"},0)-1-27+1,DAY(A1373))&amp;"",""))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$206,'Feb'!$D$27:$AH$206,'Mar'!$D$27:$AH$206,'Apr'!$D$27:$AH$206,'May'!$D$27:$AH$206,'Jun'!$D$27:$AH$206,'Jul'!$D$27:$AH$206,'Aug'!$D$27:$AH$206,'Sep'!$D$27:$AH$206,'Oct'!$D$27:$AH$206,'Nov'!$D$27:$AH$206,'Dec'!$D$27:$AH$206,'Jan (next year)'!$D$27:$AH$206),27+3*(IFERROR(MATCH(C1374,Roster!$B$6:$B$65,0),MATCH(C1374,Roster!$C$6:$C$65,0))-1)+MATCH(B1374,{"AM","PM","NIGHT"},0)-1-27+1,DAY(A1374))&amp;"",""))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$206,'Feb'!$D$27:$AH$206,'Mar'!$D$27:$AH$206,'Apr'!$D$27:$AH$206,'May'!$D$27:$AH$206,'Jun'!$D$27:$AH$206,'Jul'!$D$27:$AH$206,'Aug'!$D$27:$AH$206,'Sep'!$D$27:$AH$206,'Oct'!$D$27:$AH$206,'Nov'!$D$27:$AH$206,'Dec'!$D$27:$AH$206,'Jan (next year)'!$D$27:$AH$206),27+3*(IFERROR(MATCH(C1375,Roster!$B$6:$B$65,0),MATCH(C1375,Roster!$C$6:$C$65,0))-1)+MATCH(B1375,{"AM","PM","NIGHT"},0)-1-27+1,DAY(A1375))&amp;"",""))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$206,'Feb'!$D$27:$AH$206,'Mar'!$D$27:$AH$206,'Apr'!$D$27:$AH$206,'May'!$D$27:$AH$206,'Jun'!$D$27:$AH$206,'Jul'!$D$27:$AH$206,'Aug'!$D$27:$AH$206,'Sep'!$D$27:$AH$206,'Oct'!$D$27:$AH$206,'Nov'!$D$27:$AH$206,'Dec'!$D$27:$AH$206,'Jan (next year)'!$D$27:$AH$206),27+3*(IFERROR(MATCH(C1376,Roster!$B$6:$B$65,0),MATCH(C1376,Roster!$C$6:$C$65,0))-1)+MATCH(B1376,{"AM","PM","NIGHT"},0)-1-27+1,DAY(A1376))&amp;"",""))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$206,'Feb'!$D$27:$AH$206,'Mar'!$D$27:$AH$206,'Apr'!$D$27:$AH$206,'May'!$D$27:$AH$206,'Jun'!$D$27:$AH$206,'Jul'!$D$27:$AH$206,'Aug'!$D$27:$AH$206,'Sep'!$D$27:$AH$206,'Oct'!$D$27:$AH$206,'Nov'!$D$27:$AH$206,'Dec'!$D$27:$AH$206,'Jan (next year)'!$D$27:$AH$206),27+3*(IFERROR(MATCH(C1377,Roster!$B$6:$B$65,0),MATCH(C1377,Roster!$C$6:$C$65,0))-1)+MATCH(B1377,{"AM","PM","NIGHT"},0)-1-27+1,DAY(A1377))&amp;"",""))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$206,'Feb'!$D$27:$AH$206,'Mar'!$D$27:$AH$206,'Apr'!$D$27:$AH$206,'May'!$D$27:$AH$206,'Jun'!$D$27:$AH$206,'Jul'!$D$27:$AH$206,'Aug'!$D$27:$AH$206,'Sep'!$D$27:$AH$206,'Oct'!$D$27:$AH$206,'Nov'!$D$27:$AH$206,'Dec'!$D$27:$AH$206,'Jan (next year)'!$D$27:$AH$206),27+3*(IFERROR(MATCH(C1378,Roster!$B$6:$B$65,0),MATCH(C1378,Roster!$C$6:$C$65,0))-1)+MATCH(B1378,{"AM","PM","NIGHT"},0)-1-27+1,DAY(A1378))&amp;"",""))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$206,'Feb'!$D$27:$AH$206,'Mar'!$D$27:$AH$206,'Apr'!$D$27:$AH$206,'May'!$D$27:$AH$206,'Jun'!$D$27:$AH$206,'Jul'!$D$27:$AH$206,'Aug'!$D$27:$AH$206,'Sep'!$D$27:$AH$206,'Oct'!$D$27:$AH$206,'Nov'!$D$27:$AH$206,'Dec'!$D$27:$AH$206,'Jan (next year)'!$D$27:$AH$206),27+3*(IFERROR(MATCH(C1379,Roster!$B$6:$B$65,0),MATCH(C1379,Roster!$C$6:$C$65,0))-1)+MATCH(B1379,{"AM","PM","NIGHT"},0)-1-27+1,DAY(A1379))&amp;"",""))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$206,'Feb'!$D$27:$AH$206,'Mar'!$D$27:$AH$206,'Apr'!$D$27:$AH$206,'May'!$D$27:$AH$206,'Jun'!$D$27:$AH$206,'Jul'!$D$27:$AH$206,'Aug'!$D$27:$AH$206,'Sep'!$D$27:$AH$206,'Oct'!$D$27:$AH$206,'Nov'!$D$27:$AH$206,'Dec'!$D$27:$AH$206,'Jan (next year)'!$D$27:$AH$206),27+3*(IFERROR(MATCH(C1380,Roster!$B$6:$B$65,0),MATCH(C1380,Roster!$C$6:$C$65,0))-1)+MATCH(B1380,{"AM","PM","NIGHT"},0)-1-27+1,DAY(A1380))&amp;"",""))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$206,'Feb'!$D$27:$AH$206,'Mar'!$D$27:$AH$206,'Apr'!$D$27:$AH$206,'May'!$D$27:$AH$206,'Jun'!$D$27:$AH$206,'Jul'!$D$27:$AH$206,'Aug'!$D$27:$AH$206,'Sep'!$D$27:$AH$206,'Oct'!$D$27:$AH$206,'Nov'!$D$27:$AH$206,'Dec'!$D$27:$AH$206,'Jan (next year)'!$D$27:$AH$206),27+3*(IFERROR(MATCH(C1381,Roster!$B$6:$B$65,0),MATCH(C1381,Roster!$C$6:$C$65,0))-1)+MATCH(B1381,{"AM","PM","NIGHT"},0)-1-27+1,DAY(A1381))&amp;"",""))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$206,'Feb'!$D$27:$AH$206,'Mar'!$D$27:$AH$206,'Apr'!$D$27:$AH$206,'May'!$D$27:$AH$206,'Jun'!$D$27:$AH$206,'Jul'!$D$27:$AH$206,'Aug'!$D$27:$AH$206,'Sep'!$D$27:$AH$206,'Oct'!$D$27:$AH$206,'Nov'!$D$27:$AH$206,'Dec'!$D$27:$AH$206,'Jan (next year)'!$D$27:$AH$206),27+3*(IFERROR(MATCH(C1382,Roster!$B$6:$B$65,0),MATCH(C1382,Roster!$C$6:$C$65,0))-1)+MATCH(B1382,{"AM","PM","NIGHT"},0)-1-27+1,DAY(A1382))&amp;"",""))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$206,'Feb'!$D$27:$AH$206,'Mar'!$D$27:$AH$206,'Apr'!$D$27:$AH$206,'May'!$D$27:$AH$206,'Jun'!$D$27:$AH$206,'Jul'!$D$27:$AH$206,'Aug'!$D$27:$AH$206,'Sep'!$D$27:$AH$206,'Oct'!$D$27:$AH$206,'Nov'!$D$27:$AH$206,'Dec'!$D$27:$AH$206,'Jan (next year)'!$D$27:$AH$206),27+3*(IFERROR(MATCH(C1383,Roster!$B$6:$B$65,0),MATCH(C1383,Roster!$C$6:$C$65,0))-1)+MATCH(B1383,{"AM","PM","NIGHT"},0)-1-27+1,DAY(A1383))&amp;"",""))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$206,'Feb'!$D$27:$AH$206,'Mar'!$D$27:$AH$206,'Apr'!$D$27:$AH$206,'May'!$D$27:$AH$206,'Jun'!$D$27:$AH$206,'Jul'!$D$27:$AH$206,'Aug'!$D$27:$AH$206,'Sep'!$D$27:$AH$206,'Oct'!$D$27:$AH$206,'Nov'!$D$27:$AH$206,'Dec'!$D$27:$AH$206,'Jan (next year)'!$D$27:$AH$206),27+3*(IFERROR(MATCH(C1384,Roster!$B$6:$B$65,0),MATCH(C1384,Roster!$C$6:$C$65,0))-1)+MATCH(B1384,{"AM","PM","NIGHT"},0)-1-27+1,DAY(A1384))&amp;"",""))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$206,'Feb'!$D$27:$AH$206,'Mar'!$D$27:$AH$206,'Apr'!$D$27:$AH$206,'May'!$D$27:$AH$206,'Jun'!$D$27:$AH$206,'Jul'!$D$27:$AH$206,'Aug'!$D$27:$AH$206,'Sep'!$D$27:$AH$206,'Oct'!$D$27:$AH$206,'Nov'!$D$27:$AH$206,'Dec'!$D$27:$AH$206,'Jan (next year)'!$D$27:$AH$206),27+3*(IFERROR(MATCH(C1385,Roster!$B$6:$B$65,0),MATCH(C1385,Roster!$C$6:$C$65,0))-1)+MATCH(B1385,{"AM","PM","NIGHT"},0)-1-27+1,DAY(A1385))&amp;"",""))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$206,'Feb'!$D$27:$AH$206,'Mar'!$D$27:$AH$206,'Apr'!$D$27:$AH$206,'May'!$D$27:$AH$206,'Jun'!$D$27:$AH$206,'Jul'!$D$27:$AH$206,'Aug'!$D$27:$AH$206,'Sep'!$D$27:$AH$206,'Oct'!$D$27:$AH$206,'Nov'!$D$27:$AH$206,'Dec'!$D$27:$AH$206,'Jan (next year)'!$D$27:$AH$206),27+3*(IFERROR(MATCH(C1386,Roster!$B$6:$B$65,0),MATCH(C1386,Roster!$C$6:$C$65,0))-1)+MATCH(B1386,{"AM","PM","NIGHT"},0)-1-27+1,DAY(A1386))&amp;"",""))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$206,'Feb'!$D$27:$AH$206,'Mar'!$D$27:$AH$206,'Apr'!$D$27:$AH$206,'May'!$D$27:$AH$206,'Jun'!$D$27:$AH$206,'Jul'!$D$27:$AH$206,'Aug'!$D$27:$AH$206,'Sep'!$D$27:$AH$206,'Oct'!$D$27:$AH$206,'Nov'!$D$27:$AH$206,'Dec'!$D$27:$AH$206,'Jan (next year)'!$D$27:$AH$206),27+3*(IFERROR(MATCH(C1387,Roster!$B$6:$B$65,0),MATCH(C1387,Roster!$C$6:$C$65,0))-1)+MATCH(B1387,{"AM","PM","NIGHT"},0)-1-27+1,DAY(A1387))&amp;"",""))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$206,'Feb'!$D$27:$AH$206,'Mar'!$D$27:$AH$206,'Apr'!$D$27:$AH$206,'May'!$D$27:$AH$206,'Jun'!$D$27:$AH$206,'Jul'!$D$27:$AH$206,'Aug'!$D$27:$AH$206,'Sep'!$D$27:$AH$206,'Oct'!$D$27:$AH$206,'Nov'!$D$27:$AH$206,'Dec'!$D$27:$AH$206,'Jan (next year)'!$D$27:$AH$206),27+3*(IFERROR(MATCH(C1388,Roster!$B$6:$B$65,0),MATCH(C1388,Roster!$C$6:$C$65,0))-1)+MATCH(B1388,{"AM","PM","NIGHT"},0)-1-27+1,DAY(A1388))&amp;"",""))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$206,'Feb'!$D$27:$AH$206,'Mar'!$D$27:$AH$206,'Apr'!$D$27:$AH$206,'May'!$D$27:$AH$206,'Jun'!$D$27:$AH$206,'Jul'!$D$27:$AH$206,'Aug'!$D$27:$AH$206,'Sep'!$D$27:$AH$206,'Oct'!$D$27:$AH$206,'Nov'!$D$27:$AH$206,'Dec'!$D$27:$AH$206,'Jan (next year)'!$D$27:$AH$206),27+3*(IFERROR(MATCH(C1389,Roster!$B$6:$B$65,0),MATCH(C1389,Roster!$C$6:$C$65,0))-1)+MATCH(B1389,{"AM","PM","NIGHT"},0)-1-27+1,DAY(A1389))&amp;"",""))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$206,'Feb'!$D$27:$AH$206,'Mar'!$D$27:$AH$206,'Apr'!$D$27:$AH$206,'May'!$D$27:$AH$206,'Jun'!$D$27:$AH$206,'Jul'!$D$27:$AH$206,'Aug'!$D$27:$AH$206,'Sep'!$D$27:$AH$206,'Oct'!$D$27:$AH$206,'Nov'!$D$27:$AH$206,'Dec'!$D$27:$AH$206,'Jan (next year)'!$D$27:$AH$206),27+3*(IFERROR(MATCH(C1390,Roster!$B$6:$B$65,0),MATCH(C1390,Roster!$C$6:$C$65,0))-1)+MATCH(B1390,{"AM","PM","NIGHT"},0)-1-27+1,DAY(A1390))&amp;"",""))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$206,'Feb'!$D$27:$AH$206,'Mar'!$D$27:$AH$206,'Apr'!$D$27:$AH$206,'May'!$D$27:$AH$206,'Jun'!$D$27:$AH$206,'Jul'!$D$27:$AH$206,'Aug'!$D$27:$AH$206,'Sep'!$D$27:$AH$206,'Oct'!$D$27:$AH$206,'Nov'!$D$27:$AH$206,'Dec'!$D$27:$AH$206,'Jan (next year)'!$D$27:$AH$206),27+3*(IFERROR(MATCH(C1391,Roster!$B$6:$B$65,0),MATCH(C1391,Roster!$C$6:$C$65,0))-1)+MATCH(B1391,{"AM","PM","NIGHT"},0)-1-27+1,DAY(A1391))&amp;"",""))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$206,'Feb'!$D$27:$AH$206,'Mar'!$D$27:$AH$206,'Apr'!$D$27:$AH$206,'May'!$D$27:$AH$206,'Jun'!$D$27:$AH$206,'Jul'!$D$27:$AH$206,'Aug'!$D$27:$AH$206,'Sep'!$D$27:$AH$206,'Oct'!$D$27:$AH$206,'Nov'!$D$27:$AH$206,'Dec'!$D$27:$AH$206,'Jan (next year)'!$D$27:$AH$206),27+3*(IFERROR(MATCH(C1392,Roster!$B$6:$B$65,0),MATCH(C1392,Roster!$C$6:$C$65,0))-1)+MATCH(B1392,{"AM","PM","NIGHT"},0)-1-27+1,DAY(A1392))&amp;"",""))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$206,'Feb'!$D$27:$AH$206,'Mar'!$D$27:$AH$206,'Apr'!$D$27:$AH$206,'May'!$D$27:$AH$206,'Jun'!$D$27:$AH$206,'Jul'!$D$27:$AH$206,'Aug'!$D$27:$AH$206,'Sep'!$D$27:$AH$206,'Oct'!$D$27:$AH$206,'Nov'!$D$27:$AH$206,'Dec'!$D$27:$AH$206,'Jan (next year)'!$D$27:$AH$206),27+3*(IFERROR(MATCH(C1393,Roster!$B$6:$B$65,0),MATCH(C1393,Roster!$C$6:$C$65,0))-1)+MATCH(B1393,{"AM","PM","NIGHT"},0)-1-27+1,DAY(A1393))&amp;"",""))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$206,'Feb'!$D$27:$AH$206,'Mar'!$D$27:$AH$206,'Apr'!$D$27:$AH$206,'May'!$D$27:$AH$206,'Jun'!$D$27:$AH$206,'Jul'!$D$27:$AH$206,'Aug'!$D$27:$AH$206,'Sep'!$D$27:$AH$206,'Oct'!$D$27:$AH$206,'Nov'!$D$27:$AH$206,'Dec'!$D$27:$AH$206,'Jan (next year)'!$D$27:$AH$206),27+3*(IFERROR(MATCH(C1394,Roster!$B$6:$B$65,0),MATCH(C1394,Roster!$C$6:$C$65,0))-1)+MATCH(B1394,{"AM","PM","NIGHT"},0)-1-27+1,DAY(A1394))&amp;"",""))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$206,'Feb'!$D$27:$AH$206,'Mar'!$D$27:$AH$206,'Apr'!$D$27:$AH$206,'May'!$D$27:$AH$206,'Jun'!$D$27:$AH$206,'Jul'!$D$27:$AH$206,'Aug'!$D$27:$AH$206,'Sep'!$D$27:$AH$206,'Oct'!$D$27:$AH$206,'Nov'!$D$27:$AH$206,'Dec'!$D$27:$AH$206,'Jan (next year)'!$D$27:$AH$206),27+3*(IFERROR(MATCH(C1395,Roster!$B$6:$B$65,0),MATCH(C1395,Roster!$C$6:$C$65,0))-1)+MATCH(B1395,{"AM","PM","NIGHT"},0)-1-27+1,DAY(A1395))&amp;"",""))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$206,'Feb'!$D$27:$AH$206,'Mar'!$D$27:$AH$206,'Apr'!$D$27:$AH$206,'May'!$D$27:$AH$206,'Jun'!$D$27:$AH$206,'Jul'!$D$27:$AH$206,'Aug'!$D$27:$AH$206,'Sep'!$D$27:$AH$206,'Oct'!$D$27:$AH$206,'Nov'!$D$27:$AH$206,'Dec'!$D$27:$AH$206,'Jan (next year)'!$D$27:$AH$206),27+3*(IFERROR(MATCH(C1396,Roster!$B$6:$B$65,0),MATCH(C1396,Roster!$C$6:$C$65,0))-1)+MATCH(B1396,{"AM","PM","NIGHT"},0)-1-27+1,DAY(A1396))&amp;"",""))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$206,'Feb'!$D$27:$AH$206,'Mar'!$D$27:$AH$206,'Apr'!$D$27:$AH$206,'May'!$D$27:$AH$206,'Jun'!$D$27:$AH$206,'Jul'!$D$27:$AH$206,'Aug'!$D$27:$AH$206,'Sep'!$D$27:$AH$206,'Oct'!$D$27:$AH$206,'Nov'!$D$27:$AH$206,'Dec'!$D$27:$AH$206,'Jan (next year)'!$D$27:$AH$206),27+3*(IFERROR(MATCH(C1397,Roster!$B$6:$B$65,0),MATCH(C1397,Roster!$C$6:$C$65,0))-1)+MATCH(B1397,{"AM","PM","NIGHT"},0)-1-27+1,DAY(A1397))&amp;"",""))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$206,'Feb'!$D$27:$AH$206,'Mar'!$D$27:$AH$206,'Apr'!$D$27:$AH$206,'May'!$D$27:$AH$206,'Jun'!$D$27:$AH$206,'Jul'!$D$27:$AH$206,'Aug'!$D$27:$AH$206,'Sep'!$D$27:$AH$206,'Oct'!$D$27:$AH$206,'Nov'!$D$27:$AH$206,'Dec'!$D$27:$AH$206,'Jan (next year)'!$D$27:$AH$206),27+3*(IFERROR(MATCH(C1398,Roster!$B$6:$B$65,0),MATCH(C1398,Roster!$C$6:$C$65,0))-1)+MATCH(B1398,{"AM","PM","NIGHT"},0)-1-27+1,DAY(A1398))&amp;"",""))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$206,'Feb'!$D$27:$AH$206,'Mar'!$D$27:$AH$206,'Apr'!$D$27:$AH$206,'May'!$D$27:$AH$206,'Jun'!$D$27:$AH$206,'Jul'!$D$27:$AH$206,'Aug'!$D$27:$AH$206,'Sep'!$D$27:$AH$206,'Oct'!$D$27:$AH$206,'Nov'!$D$27:$AH$206,'Dec'!$D$27:$AH$206,'Jan (next year)'!$D$27:$AH$206),27+3*(IFERROR(MATCH(C1399,Roster!$B$6:$B$65,0),MATCH(C1399,Roster!$C$6:$C$65,0))-1)+MATCH(B1399,{"AM","PM","NIGHT"},0)-1-27+1,DAY(A1399))&amp;"",""))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$206,'Feb'!$D$27:$AH$206,'Mar'!$D$27:$AH$206,'Apr'!$D$27:$AH$206,'May'!$D$27:$AH$206,'Jun'!$D$27:$AH$206,'Jul'!$D$27:$AH$206,'Aug'!$D$27:$AH$206,'Sep'!$D$27:$AH$206,'Oct'!$D$27:$AH$206,'Nov'!$D$27:$AH$206,'Dec'!$D$27:$AH$206,'Jan (next year)'!$D$27:$AH$206),27+3*(IFERROR(MATCH(C1400,Roster!$B$6:$B$65,0),MATCH(C1400,Roster!$C$6:$C$65,0))-1)+MATCH(B1400,{"AM","PM","NIGHT"},0)-1-27+1,DAY(A1400))&amp;"",""))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$206,'Feb'!$D$27:$AH$206,'Mar'!$D$27:$AH$206,'Apr'!$D$27:$AH$206,'May'!$D$27:$AH$206,'Jun'!$D$27:$AH$206,'Jul'!$D$27:$AH$206,'Aug'!$D$27:$AH$206,'Sep'!$D$27:$AH$206,'Oct'!$D$27:$AH$206,'Nov'!$D$27:$AH$206,'Dec'!$D$27:$AH$206,'Jan (next year)'!$D$27:$AH$206),27+3*(IFERROR(MATCH(C1401,Roster!$B$6:$B$65,0),MATCH(C1401,Roster!$C$6:$C$65,0))-1)+MATCH(B1401,{"AM","PM","NIGHT"},0)-1-27+1,DAY(A1401))&amp;"",""))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$206,'Feb'!$D$27:$AH$206,'Mar'!$D$27:$AH$206,'Apr'!$D$27:$AH$206,'May'!$D$27:$AH$206,'Jun'!$D$27:$AH$206,'Jul'!$D$27:$AH$206,'Aug'!$D$27:$AH$206,'Sep'!$D$27:$AH$206,'Oct'!$D$27:$AH$206,'Nov'!$D$27:$AH$206,'Dec'!$D$27:$AH$206,'Jan (next year)'!$D$27:$AH$206),27+3*(IFERROR(MATCH(C1402,Roster!$B$6:$B$65,0),MATCH(C1402,Roster!$C$6:$C$65,0))-1)+MATCH(B1402,{"AM","PM","NIGHT"},0)-1-27+1,DAY(A1402))&amp;"",""))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$206,'Feb'!$D$27:$AH$206,'Mar'!$D$27:$AH$206,'Apr'!$D$27:$AH$206,'May'!$D$27:$AH$206,'Jun'!$D$27:$AH$206,'Jul'!$D$27:$AH$206,'Aug'!$D$27:$AH$206,'Sep'!$D$27:$AH$206,'Oct'!$D$27:$AH$206,'Nov'!$D$27:$AH$206,'Dec'!$D$27:$AH$206,'Jan (next year)'!$D$27:$AH$206),27+3*(IFERROR(MATCH(C1403,Roster!$B$6:$B$65,0),MATCH(C1403,Roster!$C$6:$C$65,0))-1)+MATCH(B1403,{"AM","PM","NIGHT"},0)-1-27+1,DAY(A1403))&amp;"",""))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$206,'Feb'!$D$27:$AH$206,'Mar'!$D$27:$AH$206,'Apr'!$D$27:$AH$206,'May'!$D$27:$AH$206,'Jun'!$D$27:$AH$206,'Jul'!$D$27:$AH$206,'Aug'!$D$27:$AH$206,'Sep'!$D$27:$AH$206,'Oct'!$D$27:$AH$206,'Nov'!$D$27:$AH$206,'Dec'!$D$27:$AH$206,'Jan (next year)'!$D$27:$AH$206),27+3*(IFERROR(MATCH(C1404,Roster!$B$6:$B$65,0),MATCH(C1404,Roster!$C$6:$C$65,0))-1)+MATCH(B1404,{"AM","PM","NIGHT"},0)-1-27+1,DAY(A1404))&amp;"",""))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$206,'Feb'!$D$27:$AH$206,'Mar'!$D$27:$AH$206,'Apr'!$D$27:$AH$206,'May'!$D$27:$AH$206,'Jun'!$D$27:$AH$206,'Jul'!$D$27:$AH$206,'Aug'!$D$27:$AH$206,'Sep'!$D$27:$AH$206,'Oct'!$D$27:$AH$206,'Nov'!$D$27:$AH$206,'Dec'!$D$27:$AH$206,'Jan (next year)'!$D$27:$AH$206),27+3*(IFERROR(MATCH(C1405,Roster!$B$6:$B$65,0),MATCH(C1405,Roster!$C$6:$C$65,0))-1)+MATCH(B1405,{"AM","PM","NIGHT"},0)-1-27+1,DAY(A1405))&amp;"",""))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$206,'Feb'!$D$27:$AH$206,'Mar'!$D$27:$AH$206,'Apr'!$D$27:$AH$206,'May'!$D$27:$AH$206,'Jun'!$D$27:$AH$206,'Jul'!$D$27:$AH$206,'Aug'!$D$27:$AH$206,'Sep'!$D$27:$AH$206,'Oct'!$D$27:$AH$206,'Nov'!$D$27:$AH$206,'Dec'!$D$27:$AH$206,'Jan (next year)'!$D$27:$AH$206),27+3*(IFERROR(MATCH(C1406,Roster!$B$6:$B$65,0),MATCH(C1406,Roster!$C$6:$C$65,0))-1)+MATCH(B1406,{"AM","PM","NIGHT"},0)-1-27+1,DAY(A1406))&amp;"",""))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$206,'Feb'!$D$27:$AH$206,'Mar'!$D$27:$AH$206,'Apr'!$D$27:$AH$206,'May'!$D$27:$AH$206,'Jun'!$D$27:$AH$206,'Jul'!$D$27:$AH$206,'Aug'!$D$27:$AH$206,'Sep'!$D$27:$AH$206,'Oct'!$D$27:$AH$206,'Nov'!$D$27:$AH$206,'Dec'!$D$27:$AH$206,'Jan (next year)'!$D$27:$AH$206),27+3*(IFERROR(MATCH(C1407,Roster!$B$6:$B$65,0),MATCH(C1407,Roster!$C$6:$C$65,0))-1)+MATCH(B1407,{"AM","PM","NIGHT"},0)-1-27+1,DAY(A1407))&amp;"",""))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$206,'Feb'!$D$27:$AH$206,'Mar'!$D$27:$AH$206,'Apr'!$D$27:$AH$206,'May'!$D$27:$AH$206,'Jun'!$D$27:$AH$206,'Jul'!$D$27:$AH$206,'Aug'!$D$27:$AH$206,'Sep'!$D$27:$AH$206,'Oct'!$D$27:$AH$206,'Nov'!$D$27:$AH$206,'Dec'!$D$27:$AH$206,'Jan (next year)'!$D$27:$AH$206),27+3*(IFERROR(MATCH(C1408,Roster!$B$6:$B$65,0),MATCH(C1408,Roster!$C$6:$C$65,0))-1)+MATCH(B1408,{"AM","PM","NIGHT"},0)-1-27+1,DAY(A1408))&amp;"",""))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$206,'Feb'!$D$27:$AH$206,'Mar'!$D$27:$AH$206,'Apr'!$D$27:$AH$206,'May'!$D$27:$AH$206,'Jun'!$D$27:$AH$206,'Jul'!$D$27:$AH$206,'Aug'!$D$27:$AH$206,'Sep'!$D$27:$AH$206,'Oct'!$D$27:$AH$206,'Nov'!$D$27:$AH$206,'Dec'!$D$27:$AH$206,'Jan (next year)'!$D$27:$AH$206),27+3*(IFERROR(MATCH(C1409,Roster!$B$6:$B$65,0),MATCH(C1409,Roster!$C$6:$C$65,0))-1)+MATCH(B1409,{"AM","PM","NIGHT"},0)-1-27+1,DAY(A1409))&amp;"",""))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$206,'Feb'!$D$27:$AH$206,'Mar'!$D$27:$AH$206,'Apr'!$D$27:$AH$206,'May'!$D$27:$AH$206,'Jun'!$D$27:$AH$206,'Jul'!$D$27:$AH$206,'Aug'!$D$27:$AH$206,'Sep'!$D$27:$AH$206,'Oct'!$D$27:$AH$206,'Nov'!$D$27:$AH$206,'Dec'!$D$27:$AH$206,'Jan (next year)'!$D$27:$AH$206),27+3*(IFERROR(MATCH(C1410,Roster!$B$6:$B$65,0),MATCH(C1410,Roster!$C$6:$C$65,0))-1)+MATCH(B1410,{"AM","PM","NIGHT"},0)-1-27+1,DAY(A1410))&amp;"",""))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$206,'Feb'!$D$27:$AH$206,'Mar'!$D$27:$AH$206,'Apr'!$D$27:$AH$206,'May'!$D$27:$AH$206,'Jun'!$D$27:$AH$206,'Jul'!$D$27:$AH$206,'Aug'!$D$27:$AH$206,'Sep'!$D$27:$AH$206,'Oct'!$D$27:$AH$206,'Nov'!$D$27:$AH$206,'Dec'!$D$27:$AH$206,'Jan (next year)'!$D$27:$AH$206),27+3*(IFERROR(MATCH(C1411,Roster!$B$6:$B$65,0),MATCH(C1411,Roster!$C$6:$C$65,0))-1)+MATCH(B1411,{"AM","PM","NIGHT"},0)-1-27+1,DAY(A1411))&amp;"",""))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$206,'Feb'!$D$27:$AH$206,'Mar'!$D$27:$AH$206,'Apr'!$D$27:$AH$206,'May'!$D$27:$AH$206,'Jun'!$D$27:$AH$206,'Jul'!$D$27:$AH$206,'Aug'!$D$27:$AH$206,'Sep'!$D$27:$AH$206,'Oct'!$D$27:$AH$206,'Nov'!$D$27:$AH$206,'Dec'!$D$27:$AH$206,'Jan (next year)'!$D$27:$AH$206),27+3*(IFERROR(MATCH(C1412,Roster!$B$6:$B$65,0),MATCH(C1412,Roster!$C$6:$C$65,0))-1)+MATCH(B1412,{"AM","PM","NIGHT"},0)-1-27+1,DAY(A1412))&amp;"",""))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$206,'Feb'!$D$27:$AH$206,'Mar'!$D$27:$AH$206,'Apr'!$D$27:$AH$206,'May'!$D$27:$AH$206,'Jun'!$D$27:$AH$206,'Jul'!$D$27:$AH$206,'Aug'!$D$27:$AH$206,'Sep'!$D$27:$AH$206,'Oct'!$D$27:$AH$206,'Nov'!$D$27:$AH$206,'Dec'!$D$27:$AH$206,'Jan (next year)'!$D$27:$AH$206),27+3*(IFERROR(MATCH(C1413,Roster!$B$6:$B$65,0),MATCH(C1413,Roster!$C$6:$C$65,0))-1)+MATCH(B1413,{"AM","PM","NIGHT"},0)-1-27+1,DAY(A1413))&amp;"",""))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$206,'Feb'!$D$27:$AH$206,'Mar'!$D$27:$AH$206,'Apr'!$D$27:$AH$206,'May'!$D$27:$AH$206,'Jun'!$D$27:$AH$206,'Jul'!$D$27:$AH$206,'Aug'!$D$27:$AH$206,'Sep'!$D$27:$AH$206,'Oct'!$D$27:$AH$206,'Nov'!$D$27:$AH$206,'Dec'!$D$27:$AH$206,'Jan (next year)'!$D$27:$AH$206),27+3*(IFERROR(MATCH(C1414,Roster!$B$6:$B$65,0),MATCH(C1414,Roster!$C$6:$C$65,0))-1)+MATCH(B1414,{"AM","PM","NIGHT"},0)-1-27+1,DAY(A1414))&amp;"",""))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$206,'Feb'!$D$27:$AH$206,'Mar'!$D$27:$AH$206,'Apr'!$D$27:$AH$206,'May'!$D$27:$AH$206,'Jun'!$D$27:$AH$206,'Jul'!$D$27:$AH$206,'Aug'!$D$27:$AH$206,'Sep'!$D$27:$AH$206,'Oct'!$D$27:$AH$206,'Nov'!$D$27:$AH$206,'Dec'!$D$27:$AH$206,'Jan (next year)'!$D$27:$AH$206),27+3*(IFERROR(MATCH(C1415,Roster!$B$6:$B$65,0),MATCH(C1415,Roster!$C$6:$C$65,0))-1)+MATCH(B1415,{"AM","PM","NIGHT"},0)-1-27+1,DAY(A1415))&amp;"",""))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$206,'Feb'!$D$27:$AH$206,'Mar'!$D$27:$AH$206,'Apr'!$D$27:$AH$206,'May'!$D$27:$AH$206,'Jun'!$D$27:$AH$206,'Jul'!$D$27:$AH$206,'Aug'!$D$27:$AH$206,'Sep'!$D$27:$AH$206,'Oct'!$D$27:$AH$206,'Nov'!$D$27:$AH$206,'Dec'!$D$27:$AH$206,'Jan (next year)'!$D$27:$AH$206),27+3*(IFERROR(MATCH(C1416,Roster!$B$6:$B$65,0),MATCH(C1416,Roster!$C$6:$C$65,0))-1)+MATCH(B1416,{"AM","PM","NIGHT"},0)-1-27+1,DAY(A1416))&amp;"",""))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$206,'Feb'!$D$27:$AH$206,'Mar'!$D$27:$AH$206,'Apr'!$D$27:$AH$206,'May'!$D$27:$AH$206,'Jun'!$D$27:$AH$206,'Jul'!$D$27:$AH$206,'Aug'!$D$27:$AH$206,'Sep'!$D$27:$AH$206,'Oct'!$D$27:$AH$206,'Nov'!$D$27:$AH$206,'Dec'!$D$27:$AH$206,'Jan (next year)'!$D$27:$AH$206),27+3*(IFERROR(MATCH(C1417,Roster!$B$6:$B$65,0),MATCH(C1417,Roster!$C$6:$C$65,0))-1)+MATCH(B1417,{"AM","PM","NIGHT"},0)-1-27+1,DAY(A1417))&amp;"",""))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$206,'Feb'!$D$27:$AH$206,'Mar'!$D$27:$AH$206,'Apr'!$D$27:$AH$206,'May'!$D$27:$AH$206,'Jun'!$D$27:$AH$206,'Jul'!$D$27:$AH$206,'Aug'!$D$27:$AH$206,'Sep'!$D$27:$AH$206,'Oct'!$D$27:$AH$206,'Nov'!$D$27:$AH$206,'Dec'!$D$27:$AH$206,'Jan (next year)'!$D$27:$AH$206),27+3*(IFERROR(MATCH(C1418,Roster!$B$6:$B$65,0),MATCH(C1418,Roster!$C$6:$C$65,0))-1)+MATCH(B1418,{"AM","PM","NIGHT"},0)-1-27+1,DAY(A1418))&amp;"",""))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$206,'Feb'!$D$27:$AH$206,'Mar'!$D$27:$AH$206,'Apr'!$D$27:$AH$206,'May'!$D$27:$AH$206,'Jun'!$D$27:$AH$206,'Jul'!$D$27:$AH$206,'Aug'!$D$27:$AH$206,'Sep'!$D$27:$AH$206,'Oct'!$D$27:$AH$206,'Nov'!$D$27:$AH$206,'Dec'!$D$27:$AH$206,'Jan (next year)'!$D$27:$AH$206),27+3*(IFERROR(MATCH(C1419,Roster!$B$6:$B$65,0),MATCH(C1419,Roster!$C$6:$C$65,0))-1)+MATCH(B1419,{"AM","PM","NIGHT"},0)-1-27+1,DAY(A1419))&amp;"",""))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$206,'Feb'!$D$27:$AH$206,'Mar'!$D$27:$AH$206,'Apr'!$D$27:$AH$206,'May'!$D$27:$AH$206,'Jun'!$D$27:$AH$206,'Jul'!$D$27:$AH$206,'Aug'!$D$27:$AH$206,'Sep'!$D$27:$AH$206,'Oct'!$D$27:$AH$206,'Nov'!$D$27:$AH$206,'Dec'!$D$27:$AH$206,'Jan (next year)'!$D$27:$AH$206),27+3*(IFERROR(MATCH(C1420,Roster!$B$6:$B$65,0),MATCH(C1420,Roster!$C$6:$C$65,0))-1)+MATCH(B1420,{"AM","PM","NIGHT"},0)-1-27+1,DAY(A1420))&amp;"",""))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$206,'Feb'!$D$27:$AH$206,'Mar'!$D$27:$AH$206,'Apr'!$D$27:$AH$206,'May'!$D$27:$AH$206,'Jun'!$D$27:$AH$206,'Jul'!$D$27:$AH$206,'Aug'!$D$27:$AH$206,'Sep'!$D$27:$AH$206,'Oct'!$D$27:$AH$206,'Nov'!$D$27:$AH$206,'Dec'!$D$27:$AH$206,'Jan (next year)'!$D$27:$AH$206),27+3*(IFERROR(MATCH(C1421,Roster!$B$6:$B$65,0),MATCH(C1421,Roster!$C$6:$C$65,0))-1)+MATCH(B1421,{"AM","PM","NIGHT"},0)-1-27+1,DAY(A1421))&amp;"",""))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$206,'Feb'!$D$27:$AH$206,'Mar'!$D$27:$AH$206,'Apr'!$D$27:$AH$206,'May'!$D$27:$AH$206,'Jun'!$D$27:$AH$206,'Jul'!$D$27:$AH$206,'Aug'!$D$27:$AH$206,'Sep'!$D$27:$AH$206,'Oct'!$D$27:$AH$206,'Nov'!$D$27:$AH$206,'Dec'!$D$27:$AH$206,'Jan (next year)'!$D$27:$AH$206),27+3*(IFERROR(MATCH(C1422,Roster!$B$6:$B$65,0),MATCH(C1422,Roster!$C$6:$C$65,0))-1)+MATCH(B1422,{"AM","PM","NIGHT"},0)-1-27+1,DAY(A1422))&amp;"",""))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$206,'Feb'!$D$27:$AH$206,'Mar'!$D$27:$AH$206,'Apr'!$D$27:$AH$206,'May'!$D$27:$AH$206,'Jun'!$D$27:$AH$206,'Jul'!$D$27:$AH$206,'Aug'!$D$27:$AH$206,'Sep'!$D$27:$AH$206,'Oct'!$D$27:$AH$206,'Nov'!$D$27:$AH$206,'Dec'!$D$27:$AH$206,'Jan (next year)'!$D$27:$AH$206),27+3*(IFERROR(MATCH(C1423,Roster!$B$6:$B$65,0),MATCH(C1423,Roster!$C$6:$C$65,0))-1)+MATCH(B1423,{"AM","PM","NIGHT"},0)-1-27+1,DAY(A1423))&amp;"",""))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$206,'Feb'!$D$27:$AH$206,'Mar'!$D$27:$AH$206,'Apr'!$D$27:$AH$206,'May'!$D$27:$AH$206,'Jun'!$D$27:$AH$206,'Jul'!$D$27:$AH$206,'Aug'!$D$27:$AH$206,'Sep'!$D$27:$AH$206,'Oct'!$D$27:$AH$206,'Nov'!$D$27:$AH$206,'Dec'!$D$27:$AH$206,'Jan (next year)'!$D$27:$AH$206),27+3*(IFERROR(MATCH(C1424,Roster!$B$6:$B$65,0),MATCH(C1424,Roster!$C$6:$C$65,0))-1)+MATCH(B1424,{"AM","PM","NIGHT"},0)-1-27+1,DAY(A1424))&amp;"",""))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$206,'Feb'!$D$27:$AH$206,'Mar'!$D$27:$AH$206,'Apr'!$D$27:$AH$206,'May'!$D$27:$AH$206,'Jun'!$D$27:$AH$206,'Jul'!$D$27:$AH$206,'Aug'!$D$27:$AH$206,'Sep'!$D$27:$AH$206,'Oct'!$D$27:$AH$206,'Nov'!$D$27:$AH$206,'Dec'!$D$27:$AH$206,'Jan (next year)'!$D$27:$AH$206),27+3*(IFERROR(MATCH(C1425,Roster!$B$6:$B$65,0),MATCH(C1425,Roster!$C$6:$C$65,0))-1)+MATCH(B1425,{"AM","PM","NIGHT"},0)-1-27+1,DAY(A1425))&amp;"",""))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$206,'Feb'!$D$27:$AH$206,'Mar'!$D$27:$AH$206,'Apr'!$D$27:$AH$206,'May'!$D$27:$AH$206,'Jun'!$D$27:$AH$206,'Jul'!$D$27:$AH$206,'Aug'!$D$27:$AH$206,'Sep'!$D$27:$AH$206,'Oct'!$D$27:$AH$206,'Nov'!$D$27:$AH$206,'Dec'!$D$27:$AH$206,'Jan (next year)'!$D$27:$AH$206),27+3*(IFERROR(MATCH(C1426,Roster!$B$6:$B$65,0),MATCH(C1426,Roster!$C$6:$C$65,0))-1)+MATCH(B1426,{"AM","PM","NIGHT"},0)-1-27+1,DAY(A1426))&amp;"",""))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$206,'Feb'!$D$27:$AH$206,'Mar'!$D$27:$AH$206,'Apr'!$D$27:$AH$206,'May'!$D$27:$AH$206,'Jun'!$D$27:$AH$206,'Jul'!$D$27:$AH$206,'Aug'!$D$27:$AH$206,'Sep'!$D$27:$AH$206,'Oct'!$D$27:$AH$206,'Nov'!$D$27:$AH$206,'Dec'!$D$27:$AH$206,'Jan (next year)'!$D$27:$AH$206),27+3*(IFERROR(MATCH(C1427,Roster!$B$6:$B$65,0),MATCH(C1427,Roster!$C$6:$C$65,0))-1)+MATCH(B1427,{"AM","PM","NIGHT"},0)-1-27+1,DAY(A1427))&amp;"",""))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$206,'Feb'!$D$27:$AH$206,'Mar'!$D$27:$AH$206,'Apr'!$D$27:$AH$206,'May'!$D$27:$AH$206,'Jun'!$D$27:$AH$206,'Jul'!$D$27:$AH$206,'Aug'!$D$27:$AH$206,'Sep'!$D$27:$AH$206,'Oct'!$D$27:$AH$206,'Nov'!$D$27:$AH$206,'Dec'!$D$27:$AH$206,'Jan (next year)'!$D$27:$AH$206),27+3*(IFERROR(MATCH(C1428,Roster!$B$6:$B$65,0),MATCH(C1428,Roster!$C$6:$C$65,0))-1)+MATCH(B1428,{"AM","PM","NIGHT"},0)-1-27+1,DAY(A1428))&amp;"",""))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$206,'Feb'!$D$27:$AH$206,'Mar'!$D$27:$AH$206,'Apr'!$D$27:$AH$206,'May'!$D$27:$AH$206,'Jun'!$D$27:$AH$206,'Jul'!$D$27:$AH$206,'Aug'!$D$27:$AH$206,'Sep'!$D$27:$AH$206,'Oct'!$D$27:$AH$206,'Nov'!$D$27:$AH$206,'Dec'!$D$27:$AH$206,'Jan (next year)'!$D$27:$AH$206),27+3*(IFERROR(MATCH(C1429,Roster!$B$6:$B$65,0),MATCH(C1429,Roster!$C$6:$C$65,0))-1)+MATCH(B1429,{"AM","PM","NIGHT"},0)-1-27+1,DAY(A1429))&amp;"",""))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$206,'Feb'!$D$27:$AH$206,'Mar'!$D$27:$AH$206,'Apr'!$D$27:$AH$206,'May'!$D$27:$AH$206,'Jun'!$D$27:$AH$206,'Jul'!$D$27:$AH$206,'Aug'!$D$27:$AH$206,'Sep'!$D$27:$AH$206,'Oct'!$D$27:$AH$206,'Nov'!$D$27:$AH$206,'Dec'!$D$27:$AH$206,'Jan (next year)'!$D$27:$AH$206),27+3*(IFERROR(MATCH(C1430,Roster!$B$6:$B$65,0),MATCH(C1430,Roster!$C$6:$C$65,0))-1)+MATCH(B1430,{"AM","PM","NIGHT"},0)-1-27+1,DAY(A1430))&amp;"",""))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$206,'Feb'!$D$27:$AH$206,'Mar'!$D$27:$AH$206,'Apr'!$D$27:$AH$206,'May'!$D$27:$AH$206,'Jun'!$D$27:$AH$206,'Jul'!$D$27:$AH$206,'Aug'!$D$27:$AH$206,'Sep'!$D$27:$AH$206,'Oct'!$D$27:$AH$206,'Nov'!$D$27:$AH$206,'Dec'!$D$27:$AH$206,'Jan (next year)'!$D$27:$AH$206),27+3*(IFERROR(MATCH(C1431,Roster!$B$6:$B$65,0),MATCH(C1431,Roster!$C$6:$C$65,0))-1)+MATCH(B1431,{"AM","PM","NIGHT"},0)-1-27+1,DAY(A1431))&amp;"",""))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$206,'Feb'!$D$27:$AH$206,'Mar'!$D$27:$AH$206,'Apr'!$D$27:$AH$206,'May'!$D$27:$AH$206,'Jun'!$D$27:$AH$206,'Jul'!$D$27:$AH$206,'Aug'!$D$27:$AH$206,'Sep'!$D$27:$AH$206,'Oct'!$D$27:$AH$206,'Nov'!$D$27:$AH$206,'Dec'!$D$27:$AH$206,'Jan (next year)'!$D$27:$AH$206),27+3*(IFERROR(MATCH(C1432,Roster!$B$6:$B$65,0),MATCH(C1432,Roster!$C$6:$C$65,0))-1)+MATCH(B1432,{"AM","PM","NIGHT"},0)-1-27+1,DAY(A1432))&amp;"",""))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$206,'Feb'!$D$27:$AH$206,'Mar'!$D$27:$AH$206,'Apr'!$D$27:$AH$206,'May'!$D$27:$AH$206,'Jun'!$D$27:$AH$206,'Jul'!$D$27:$AH$206,'Aug'!$D$27:$AH$206,'Sep'!$D$27:$AH$206,'Oct'!$D$27:$AH$206,'Nov'!$D$27:$AH$206,'Dec'!$D$27:$AH$206,'Jan (next year)'!$D$27:$AH$206),27+3*(IFERROR(MATCH(C1433,Roster!$B$6:$B$65,0),MATCH(C1433,Roster!$C$6:$C$65,0))-1)+MATCH(B1433,{"AM","PM","NIGHT"},0)-1-27+1,DAY(A1433))&amp;"",""))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$206,'Feb'!$D$27:$AH$206,'Mar'!$D$27:$AH$206,'Apr'!$D$27:$AH$206,'May'!$D$27:$AH$206,'Jun'!$D$27:$AH$206,'Jul'!$D$27:$AH$206,'Aug'!$D$27:$AH$206,'Sep'!$D$27:$AH$206,'Oct'!$D$27:$AH$206,'Nov'!$D$27:$AH$206,'Dec'!$D$27:$AH$206,'Jan (next year)'!$D$27:$AH$206),27+3*(IFERROR(MATCH(C1434,Roster!$B$6:$B$65,0),MATCH(C1434,Roster!$C$6:$C$65,0))-1)+MATCH(B1434,{"AM","PM","NIGHT"},0)-1-27+1,DAY(A1434))&amp;"",""))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$206,'Feb'!$D$27:$AH$206,'Mar'!$D$27:$AH$206,'Apr'!$D$27:$AH$206,'May'!$D$27:$AH$206,'Jun'!$D$27:$AH$206,'Jul'!$D$27:$AH$206,'Aug'!$D$27:$AH$206,'Sep'!$D$27:$AH$206,'Oct'!$D$27:$AH$206,'Nov'!$D$27:$AH$206,'Dec'!$D$27:$AH$206,'Jan (next year)'!$D$27:$AH$206),27+3*(IFERROR(MATCH(C1435,Roster!$B$6:$B$65,0),MATCH(C1435,Roster!$C$6:$C$65,0))-1)+MATCH(B1435,{"AM","PM","NIGHT"},0)-1-27+1,DAY(A1435))&amp;"",""))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$206,'Feb'!$D$27:$AH$206,'Mar'!$D$27:$AH$206,'Apr'!$D$27:$AH$206,'May'!$D$27:$AH$206,'Jun'!$D$27:$AH$206,'Jul'!$D$27:$AH$206,'Aug'!$D$27:$AH$206,'Sep'!$D$27:$AH$206,'Oct'!$D$27:$AH$206,'Nov'!$D$27:$AH$206,'Dec'!$D$27:$AH$206,'Jan (next year)'!$D$27:$AH$206),27+3*(IFERROR(MATCH(C1436,Roster!$B$6:$B$65,0),MATCH(C1436,Roster!$C$6:$C$65,0))-1)+MATCH(B1436,{"AM","PM","NIGHT"},0)-1-27+1,DAY(A1436))&amp;"",""))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$206,'Feb'!$D$27:$AH$206,'Mar'!$D$27:$AH$206,'Apr'!$D$27:$AH$206,'May'!$D$27:$AH$206,'Jun'!$D$27:$AH$206,'Jul'!$D$27:$AH$206,'Aug'!$D$27:$AH$206,'Sep'!$D$27:$AH$206,'Oct'!$D$27:$AH$206,'Nov'!$D$27:$AH$206,'Dec'!$D$27:$AH$206,'Jan (next year)'!$D$27:$AH$206),27+3*(IFERROR(MATCH(C1437,Roster!$B$6:$B$65,0),MATCH(C1437,Roster!$C$6:$C$65,0))-1)+MATCH(B1437,{"AM","PM","NIGHT"},0)-1-27+1,DAY(A1437))&amp;"",""))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$206,'Feb'!$D$27:$AH$206,'Mar'!$D$27:$AH$206,'Apr'!$D$27:$AH$206,'May'!$D$27:$AH$206,'Jun'!$D$27:$AH$206,'Jul'!$D$27:$AH$206,'Aug'!$D$27:$AH$206,'Sep'!$D$27:$AH$206,'Oct'!$D$27:$AH$206,'Nov'!$D$27:$AH$206,'Dec'!$D$27:$AH$206,'Jan (next year)'!$D$27:$AH$206),27+3*(IFERROR(MATCH(C1438,Roster!$B$6:$B$65,0),MATCH(C1438,Roster!$C$6:$C$65,0))-1)+MATCH(B1438,{"AM","PM","NIGHT"},0)-1-27+1,DAY(A1438))&amp;"",""))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$206,'Feb'!$D$27:$AH$206,'Mar'!$D$27:$AH$206,'Apr'!$D$27:$AH$206,'May'!$D$27:$AH$206,'Jun'!$D$27:$AH$206,'Jul'!$D$27:$AH$206,'Aug'!$D$27:$AH$206,'Sep'!$D$27:$AH$206,'Oct'!$D$27:$AH$206,'Nov'!$D$27:$AH$206,'Dec'!$D$27:$AH$206,'Jan (next year)'!$D$27:$AH$206),27+3*(IFERROR(MATCH(C1439,Roster!$B$6:$B$65,0),MATCH(C1439,Roster!$C$6:$C$65,0))-1)+MATCH(B1439,{"AM","PM","NIGHT"},0)-1-27+1,DAY(A1439))&amp;"",""))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$206,'Feb'!$D$27:$AH$206,'Mar'!$D$27:$AH$206,'Apr'!$D$27:$AH$206,'May'!$D$27:$AH$206,'Jun'!$D$27:$AH$206,'Jul'!$D$27:$AH$206,'Aug'!$D$27:$AH$206,'Sep'!$D$27:$AH$206,'Oct'!$D$27:$AH$206,'Nov'!$D$27:$AH$206,'Dec'!$D$27:$AH$206,'Jan (next year)'!$D$27:$AH$206),27+3*(IFERROR(MATCH(C1440,Roster!$B$6:$B$65,0),MATCH(C1440,Roster!$C$6:$C$65,0))-1)+MATCH(B1440,{"AM","PM","NIGHT"},0)-1-27+1,DAY(A1440))&amp;"",""))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$206,'Feb'!$D$27:$AH$206,'Mar'!$D$27:$AH$206,'Apr'!$D$27:$AH$206,'May'!$D$27:$AH$206,'Jun'!$D$27:$AH$206,'Jul'!$D$27:$AH$206,'Aug'!$D$27:$AH$206,'Sep'!$D$27:$AH$206,'Oct'!$D$27:$AH$206,'Nov'!$D$27:$AH$206,'Dec'!$D$27:$AH$206,'Jan (next year)'!$D$27:$AH$206),27+3*(IFERROR(MATCH(C1441,Roster!$B$6:$B$65,0),MATCH(C1441,Roster!$C$6:$C$65,0))-1)+MATCH(B1441,{"AM","PM","NIGHT"},0)-1-27+1,DAY(A1441))&amp;"",""))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$206,'Feb'!$D$27:$AH$206,'Mar'!$D$27:$AH$206,'Apr'!$D$27:$AH$206,'May'!$D$27:$AH$206,'Jun'!$D$27:$AH$206,'Jul'!$D$27:$AH$206,'Aug'!$D$27:$AH$206,'Sep'!$D$27:$AH$206,'Oct'!$D$27:$AH$206,'Nov'!$D$27:$AH$206,'Dec'!$D$27:$AH$206,'Jan (next year)'!$D$27:$AH$206),27+3*(IFERROR(MATCH(C1442,Roster!$B$6:$B$65,0),MATCH(C1442,Roster!$C$6:$C$65,0))-1)+MATCH(B1442,{"AM","PM","NIGHT"},0)-1-27+1,DAY(A1442))&amp;"",""))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$206,'Feb'!$D$27:$AH$206,'Mar'!$D$27:$AH$206,'Apr'!$D$27:$AH$206,'May'!$D$27:$AH$206,'Jun'!$D$27:$AH$206,'Jul'!$D$27:$AH$206,'Aug'!$D$27:$AH$206,'Sep'!$D$27:$AH$206,'Oct'!$D$27:$AH$206,'Nov'!$D$27:$AH$206,'Dec'!$D$27:$AH$206,'Jan (next year)'!$D$27:$AH$206),27+3*(IFERROR(MATCH(C1443,Roster!$B$6:$B$65,0),MATCH(C1443,Roster!$C$6:$C$65,0))-1)+MATCH(B1443,{"AM","PM","NIGHT"},0)-1-27+1,DAY(A1443))&amp;"",""))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$206,'Feb'!$D$27:$AH$206,'Mar'!$D$27:$AH$206,'Apr'!$D$27:$AH$206,'May'!$D$27:$AH$206,'Jun'!$D$27:$AH$206,'Jul'!$D$27:$AH$206,'Aug'!$D$27:$AH$206,'Sep'!$D$27:$AH$206,'Oct'!$D$27:$AH$206,'Nov'!$D$27:$AH$206,'Dec'!$D$27:$AH$206,'Jan (next year)'!$D$27:$AH$206),27+3*(IFERROR(MATCH(C1444,Roster!$B$6:$B$65,0),MATCH(C1444,Roster!$C$6:$C$65,0))-1)+MATCH(B1444,{"AM","PM","NIGHT"},0)-1-27+1,DAY(A1444))&amp;"",""))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$206,'Feb'!$D$27:$AH$206,'Mar'!$D$27:$AH$206,'Apr'!$D$27:$AH$206,'May'!$D$27:$AH$206,'Jun'!$D$27:$AH$206,'Jul'!$D$27:$AH$206,'Aug'!$D$27:$AH$206,'Sep'!$D$27:$AH$206,'Oct'!$D$27:$AH$206,'Nov'!$D$27:$AH$206,'Dec'!$D$27:$AH$206,'Jan (next year)'!$D$27:$AH$206),27+3*(IFERROR(MATCH(C1445,Roster!$B$6:$B$65,0),MATCH(C1445,Roster!$C$6:$C$65,0))-1)+MATCH(B1445,{"AM","PM","NIGHT"},0)-1-27+1,DAY(A1445))&amp;"",""))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$206,'Feb'!$D$27:$AH$206,'Mar'!$D$27:$AH$206,'Apr'!$D$27:$AH$206,'May'!$D$27:$AH$206,'Jun'!$D$27:$AH$206,'Jul'!$D$27:$AH$206,'Aug'!$D$27:$AH$206,'Sep'!$D$27:$AH$206,'Oct'!$D$27:$AH$206,'Nov'!$D$27:$AH$206,'Dec'!$D$27:$AH$206,'Jan (next year)'!$D$27:$AH$206),27+3*(IFERROR(MATCH(C1446,Roster!$B$6:$B$65,0),MATCH(C1446,Roster!$C$6:$C$65,0))-1)+MATCH(B1446,{"AM","PM","NIGHT"},0)-1-27+1,DAY(A1446))&amp;"",""))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$206,'Feb'!$D$27:$AH$206,'Mar'!$D$27:$AH$206,'Apr'!$D$27:$AH$206,'May'!$D$27:$AH$206,'Jun'!$D$27:$AH$206,'Jul'!$D$27:$AH$206,'Aug'!$D$27:$AH$206,'Sep'!$D$27:$AH$206,'Oct'!$D$27:$AH$206,'Nov'!$D$27:$AH$206,'Dec'!$D$27:$AH$206,'Jan (next year)'!$D$27:$AH$206),27+3*(IFERROR(MATCH(C1447,Roster!$B$6:$B$65,0),MATCH(C1447,Roster!$C$6:$C$65,0))-1)+MATCH(B1447,{"AM","PM","NIGHT"},0)-1-27+1,DAY(A1447))&amp;"",""))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$206,'Feb'!$D$27:$AH$206,'Mar'!$D$27:$AH$206,'Apr'!$D$27:$AH$206,'May'!$D$27:$AH$206,'Jun'!$D$27:$AH$206,'Jul'!$D$27:$AH$206,'Aug'!$D$27:$AH$206,'Sep'!$D$27:$AH$206,'Oct'!$D$27:$AH$206,'Nov'!$D$27:$AH$206,'Dec'!$D$27:$AH$206,'Jan (next year)'!$D$27:$AH$206),27+3*(IFERROR(MATCH(C1448,Roster!$B$6:$B$65,0),MATCH(C1448,Roster!$C$6:$C$65,0))-1)+MATCH(B1448,{"AM","PM","NIGHT"},0)-1-27+1,DAY(A1448))&amp;"",""))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$206,'Feb'!$D$27:$AH$206,'Mar'!$D$27:$AH$206,'Apr'!$D$27:$AH$206,'May'!$D$27:$AH$206,'Jun'!$D$27:$AH$206,'Jul'!$D$27:$AH$206,'Aug'!$D$27:$AH$206,'Sep'!$D$27:$AH$206,'Oct'!$D$27:$AH$206,'Nov'!$D$27:$AH$206,'Dec'!$D$27:$AH$206,'Jan (next year)'!$D$27:$AH$206),27+3*(IFERROR(MATCH(C1449,Roster!$B$6:$B$65,0),MATCH(C1449,Roster!$C$6:$C$65,0))-1)+MATCH(B1449,{"AM","PM","NIGHT"},0)-1-27+1,DAY(A1449))&amp;"",""))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$206,'Feb'!$D$27:$AH$206,'Mar'!$D$27:$AH$206,'Apr'!$D$27:$AH$206,'May'!$D$27:$AH$206,'Jun'!$D$27:$AH$206,'Jul'!$D$27:$AH$206,'Aug'!$D$27:$AH$206,'Sep'!$D$27:$AH$206,'Oct'!$D$27:$AH$206,'Nov'!$D$27:$AH$206,'Dec'!$D$27:$AH$206,'Jan (next year)'!$D$27:$AH$206),27+3*(IFERROR(MATCH(C1450,Roster!$B$6:$B$65,0),MATCH(C1450,Roster!$C$6:$C$65,0))-1)+MATCH(B1450,{"AM","PM","NIGHT"},0)-1-27+1,DAY(A1450))&amp;"",""))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$206,'Feb'!$D$27:$AH$206,'Mar'!$D$27:$AH$206,'Apr'!$D$27:$AH$206,'May'!$D$27:$AH$206,'Jun'!$D$27:$AH$206,'Jul'!$D$27:$AH$206,'Aug'!$D$27:$AH$206,'Sep'!$D$27:$AH$206,'Oct'!$D$27:$AH$206,'Nov'!$D$27:$AH$206,'Dec'!$D$27:$AH$206,'Jan (next year)'!$D$27:$AH$206),27+3*(IFERROR(MATCH(C1451,Roster!$B$6:$B$65,0),MATCH(C1451,Roster!$C$6:$C$65,0))-1)+MATCH(B1451,{"AM","PM","NIGHT"},0)-1-27+1,DAY(A1451))&amp;"",""))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$206,'Feb'!$D$27:$AH$206,'Mar'!$D$27:$AH$206,'Apr'!$D$27:$AH$206,'May'!$D$27:$AH$206,'Jun'!$D$27:$AH$206,'Jul'!$D$27:$AH$206,'Aug'!$D$27:$AH$206,'Sep'!$D$27:$AH$206,'Oct'!$D$27:$AH$206,'Nov'!$D$27:$AH$206,'Dec'!$D$27:$AH$206,'Jan (next year)'!$D$27:$AH$206),27+3*(IFERROR(MATCH(C1452,Roster!$B$6:$B$65,0),MATCH(C1452,Roster!$C$6:$C$65,0))-1)+MATCH(B1452,{"AM","PM","NIGHT"},0)-1-27+1,DAY(A1452))&amp;"",""))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$206,'Feb'!$D$27:$AH$206,'Mar'!$D$27:$AH$206,'Apr'!$D$27:$AH$206,'May'!$D$27:$AH$206,'Jun'!$D$27:$AH$206,'Jul'!$D$27:$AH$206,'Aug'!$D$27:$AH$206,'Sep'!$D$27:$AH$206,'Oct'!$D$27:$AH$206,'Nov'!$D$27:$AH$206,'Dec'!$D$27:$AH$206,'Jan (next year)'!$D$27:$AH$206),27+3*(IFERROR(MATCH(C1453,Roster!$B$6:$B$65,0),MATCH(C1453,Roster!$C$6:$C$65,0))-1)+MATCH(B1453,{"AM","PM","NIGHT"},0)-1-27+1,DAY(A1453))&amp;"",""))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$206,'Feb'!$D$27:$AH$206,'Mar'!$D$27:$AH$206,'Apr'!$D$27:$AH$206,'May'!$D$27:$AH$206,'Jun'!$D$27:$AH$206,'Jul'!$D$27:$AH$206,'Aug'!$D$27:$AH$206,'Sep'!$D$27:$AH$206,'Oct'!$D$27:$AH$206,'Nov'!$D$27:$AH$206,'Dec'!$D$27:$AH$206,'Jan (next year)'!$D$27:$AH$206),27+3*(IFERROR(MATCH(C1454,Roster!$B$6:$B$65,0),MATCH(C1454,Roster!$C$6:$C$65,0))-1)+MATCH(B1454,{"AM","PM","NIGHT"},0)-1-27+1,DAY(A1454))&amp;"",""))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$206,'Feb'!$D$27:$AH$206,'Mar'!$D$27:$AH$206,'Apr'!$D$27:$AH$206,'May'!$D$27:$AH$206,'Jun'!$D$27:$AH$206,'Jul'!$D$27:$AH$206,'Aug'!$D$27:$AH$206,'Sep'!$D$27:$AH$206,'Oct'!$D$27:$AH$206,'Nov'!$D$27:$AH$206,'Dec'!$D$27:$AH$206,'Jan (next year)'!$D$27:$AH$206),27+3*(IFERROR(MATCH(C1455,Roster!$B$6:$B$65,0),MATCH(C1455,Roster!$C$6:$C$65,0))-1)+MATCH(B1455,{"AM","PM","NIGHT"},0)-1-27+1,DAY(A1455))&amp;"",""))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$206,'Feb'!$D$27:$AH$206,'Mar'!$D$27:$AH$206,'Apr'!$D$27:$AH$206,'May'!$D$27:$AH$206,'Jun'!$D$27:$AH$206,'Jul'!$D$27:$AH$206,'Aug'!$D$27:$AH$206,'Sep'!$D$27:$AH$206,'Oct'!$D$27:$AH$206,'Nov'!$D$27:$AH$206,'Dec'!$D$27:$AH$206,'Jan (next year)'!$D$27:$AH$206),27+3*(IFERROR(MATCH(C1456,Roster!$B$6:$B$65,0),MATCH(C1456,Roster!$C$6:$C$65,0))-1)+MATCH(B1456,{"AM","PM","NIGHT"},0)-1-27+1,DAY(A1456))&amp;"",""))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$206,'Feb'!$D$27:$AH$206,'Mar'!$D$27:$AH$206,'Apr'!$D$27:$AH$206,'May'!$D$27:$AH$206,'Jun'!$D$27:$AH$206,'Jul'!$D$27:$AH$206,'Aug'!$D$27:$AH$206,'Sep'!$D$27:$AH$206,'Oct'!$D$27:$AH$206,'Nov'!$D$27:$AH$206,'Dec'!$D$27:$AH$206,'Jan (next year)'!$D$27:$AH$206),27+3*(IFERROR(MATCH(C1457,Roster!$B$6:$B$65,0),MATCH(C1457,Roster!$C$6:$C$65,0))-1)+MATCH(B1457,{"AM","PM","NIGHT"},0)-1-27+1,DAY(A1457))&amp;"",""))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$206,'Feb'!$D$27:$AH$206,'Mar'!$D$27:$AH$206,'Apr'!$D$27:$AH$206,'May'!$D$27:$AH$206,'Jun'!$D$27:$AH$206,'Jul'!$D$27:$AH$206,'Aug'!$D$27:$AH$206,'Sep'!$D$27:$AH$206,'Oct'!$D$27:$AH$206,'Nov'!$D$27:$AH$206,'Dec'!$D$27:$AH$206,'Jan (next year)'!$D$27:$AH$206),27+3*(IFERROR(MATCH(C1458,Roster!$B$6:$B$65,0),MATCH(C1458,Roster!$C$6:$C$65,0))-1)+MATCH(B1458,{"AM","PM","NIGHT"},0)-1-27+1,DAY(A1458))&amp;"",""))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$206,'Feb'!$D$27:$AH$206,'Mar'!$D$27:$AH$206,'Apr'!$D$27:$AH$206,'May'!$D$27:$AH$206,'Jun'!$D$27:$AH$206,'Jul'!$D$27:$AH$206,'Aug'!$D$27:$AH$206,'Sep'!$D$27:$AH$206,'Oct'!$D$27:$AH$206,'Nov'!$D$27:$AH$206,'Dec'!$D$27:$AH$206,'Jan (next year)'!$D$27:$AH$206),27+3*(IFERROR(MATCH(C1459,Roster!$B$6:$B$65,0),MATCH(C1459,Roster!$C$6:$C$65,0))-1)+MATCH(B1459,{"AM","PM","NIGHT"},0)-1-27+1,DAY(A1459))&amp;"",""))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$206,'Feb'!$D$27:$AH$206,'Mar'!$D$27:$AH$206,'Apr'!$D$27:$AH$206,'May'!$D$27:$AH$206,'Jun'!$D$27:$AH$206,'Jul'!$D$27:$AH$206,'Aug'!$D$27:$AH$206,'Sep'!$D$27:$AH$206,'Oct'!$D$27:$AH$206,'Nov'!$D$27:$AH$206,'Dec'!$D$27:$AH$206,'Jan (next year)'!$D$27:$AH$206),27+3*(IFERROR(MATCH(C1460,Roster!$B$6:$B$65,0),MATCH(C1460,Roster!$C$6:$C$65,0))-1)+MATCH(B1460,{"AM","PM","NIGHT"},0)-1-27+1,DAY(A1460))&amp;"",""))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$206,'Feb'!$D$27:$AH$206,'Mar'!$D$27:$AH$206,'Apr'!$D$27:$AH$206,'May'!$D$27:$AH$206,'Jun'!$D$27:$AH$206,'Jul'!$D$27:$AH$206,'Aug'!$D$27:$AH$206,'Sep'!$D$27:$AH$206,'Oct'!$D$27:$AH$206,'Nov'!$D$27:$AH$206,'Dec'!$D$27:$AH$206,'Jan (next year)'!$D$27:$AH$206),27+3*(IFERROR(MATCH(C1461,Roster!$B$6:$B$65,0),MATCH(C1461,Roster!$C$6:$C$65,0))-1)+MATCH(B1461,{"AM","PM","NIGHT"},0)-1-27+1,DAY(A1461))&amp;"",""))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$206,'Feb'!$D$27:$AH$206,'Mar'!$D$27:$AH$206,'Apr'!$D$27:$AH$206,'May'!$D$27:$AH$206,'Jun'!$D$27:$AH$206,'Jul'!$D$27:$AH$206,'Aug'!$D$27:$AH$206,'Sep'!$D$27:$AH$206,'Oct'!$D$27:$AH$206,'Nov'!$D$27:$AH$206,'Dec'!$D$27:$AH$206,'Jan (next year)'!$D$27:$AH$206),27+3*(IFERROR(MATCH(C1462,Roster!$B$6:$B$65,0),MATCH(C1462,Roster!$C$6:$C$65,0))-1)+MATCH(B1462,{"AM","PM","NIGHT"},0)-1-27+1,DAY(A1462))&amp;"",""))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$206,'Feb'!$D$27:$AH$206,'Mar'!$D$27:$AH$206,'Apr'!$D$27:$AH$206,'May'!$D$27:$AH$206,'Jun'!$D$27:$AH$206,'Jul'!$D$27:$AH$206,'Aug'!$D$27:$AH$206,'Sep'!$D$27:$AH$206,'Oct'!$D$27:$AH$206,'Nov'!$D$27:$AH$206,'Dec'!$D$27:$AH$206,'Jan (next year)'!$D$27:$AH$206),27+3*(IFERROR(MATCH(C1463,Roster!$B$6:$B$65,0),MATCH(C1463,Roster!$C$6:$C$65,0))-1)+MATCH(B1463,{"AM","PM","NIGHT"},0)-1-27+1,DAY(A1463))&amp;"",""))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$206,'Feb'!$D$27:$AH$206,'Mar'!$D$27:$AH$206,'Apr'!$D$27:$AH$206,'May'!$D$27:$AH$206,'Jun'!$D$27:$AH$206,'Jul'!$D$27:$AH$206,'Aug'!$D$27:$AH$206,'Sep'!$D$27:$AH$206,'Oct'!$D$27:$AH$206,'Nov'!$D$27:$AH$206,'Dec'!$D$27:$AH$206,'Jan (next year)'!$D$27:$AH$206),27+3*(IFERROR(MATCH(C1464,Roster!$B$6:$B$65,0),MATCH(C1464,Roster!$C$6:$C$65,0))-1)+MATCH(B1464,{"AM","PM","NIGHT"},0)-1-27+1,DAY(A1464))&amp;"",""))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$206,'Feb'!$D$27:$AH$206,'Mar'!$D$27:$AH$206,'Apr'!$D$27:$AH$206,'May'!$D$27:$AH$206,'Jun'!$D$27:$AH$206,'Jul'!$D$27:$AH$206,'Aug'!$D$27:$AH$206,'Sep'!$D$27:$AH$206,'Oct'!$D$27:$AH$206,'Nov'!$D$27:$AH$206,'Dec'!$D$27:$AH$206,'Jan (next year)'!$D$27:$AH$206),27+3*(IFERROR(MATCH(C1465,Roster!$B$6:$B$65,0),MATCH(C1465,Roster!$C$6:$C$65,0))-1)+MATCH(B1465,{"AM","PM","NIGHT"},0)-1-27+1,DAY(A1465))&amp;"",""))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$206,'Feb'!$D$27:$AH$206,'Mar'!$D$27:$AH$206,'Apr'!$D$27:$AH$206,'May'!$D$27:$AH$206,'Jun'!$D$27:$AH$206,'Jul'!$D$27:$AH$206,'Aug'!$D$27:$AH$206,'Sep'!$D$27:$AH$206,'Oct'!$D$27:$AH$206,'Nov'!$D$27:$AH$206,'Dec'!$D$27:$AH$206,'Jan (next year)'!$D$27:$AH$206),27+3*(IFERROR(MATCH(C1466,Roster!$B$6:$B$65,0),MATCH(C1466,Roster!$C$6:$C$65,0))-1)+MATCH(B1466,{"AM","PM","NIGHT"},0)-1-27+1,DAY(A1466))&amp;"",""))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$206,'Feb'!$D$27:$AH$206,'Mar'!$D$27:$AH$206,'Apr'!$D$27:$AH$206,'May'!$D$27:$AH$206,'Jun'!$D$27:$AH$206,'Jul'!$D$27:$AH$206,'Aug'!$D$27:$AH$206,'Sep'!$D$27:$AH$206,'Oct'!$D$27:$AH$206,'Nov'!$D$27:$AH$206,'Dec'!$D$27:$AH$206,'Jan (next year)'!$D$27:$AH$206),27+3*(IFERROR(MATCH(C1467,Roster!$B$6:$B$65,0),MATCH(C1467,Roster!$C$6:$C$65,0))-1)+MATCH(B1467,{"AM","PM","NIGHT"},0)-1-27+1,DAY(A1467))&amp;"",""))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$206,'Feb'!$D$27:$AH$206,'Mar'!$D$27:$AH$206,'Apr'!$D$27:$AH$206,'May'!$D$27:$AH$206,'Jun'!$D$27:$AH$206,'Jul'!$D$27:$AH$206,'Aug'!$D$27:$AH$206,'Sep'!$D$27:$AH$206,'Oct'!$D$27:$AH$206,'Nov'!$D$27:$AH$206,'Dec'!$D$27:$AH$206,'Jan (next year)'!$D$27:$AH$206),27+3*(IFERROR(MATCH(C1468,Roster!$B$6:$B$65,0),MATCH(C1468,Roster!$C$6:$C$65,0))-1)+MATCH(B1468,{"AM","PM","NIGHT"},0)-1-27+1,DAY(A1468))&amp;"",""))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$206,'Feb'!$D$27:$AH$206,'Mar'!$D$27:$AH$206,'Apr'!$D$27:$AH$206,'May'!$D$27:$AH$206,'Jun'!$D$27:$AH$206,'Jul'!$D$27:$AH$206,'Aug'!$D$27:$AH$206,'Sep'!$D$27:$AH$206,'Oct'!$D$27:$AH$206,'Nov'!$D$27:$AH$206,'Dec'!$D$27:$AH$206,'Jan (next year)'!$D$27:$AH$206),27+3*(IFERROR(MATCH(C1469,Roster!$B$6:$B$65,0),MATCH(C1469,Roster!$C$6:$C$65,0))-1)+MATCH(B1469,{"AM","PM","NIGHT"},0)-1-27+1,DAY(A1469))&amp;"",""))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$206,'Feb'!$D$27:$AH$206,'Mar'!$D$27:$AH$206,'Apr'!$D$27:$AH$206,'May'!$D$27:$AH$206,'Jun'!$D$27:$AH$206,'Jul'!$D$27:$AH$206,'Aug'!$D$27:$AH$206,'Sep'!$D$27:$AH$206,'Oct'!$D$27:$AH$206,'Nov'!$D$27:$AH$206,'Dec'!$D$27:$AH$206,'Jan (next year)'!$D$27:$AH$206),27+3*(IFERROR(MATCH(C1470,Roster!$B$6:$B$65,0),MATCH(C1470,Roster!$C$6:$C$65,0))-1)+MATCH(B1470,{"AM","PM","NIGHT"},0)-1-27+1,DAY(A1470))&amp;"",""))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$206,'Feb'!$D$27:$AH$206,'Mar'!$D$27:$AH$206,'Apr'!$D$27:$AH$206,'May'!$D$27:$AH$206,'Jun'!$D$27:$AH$206,'Jul'!$D$27:$AH$206,'Aug'!$D$27:$AH$206,'Sep'!$D$27:$AH$206,'Oct'!$D$27:$AH$206,'Nov'!$D$27:$AH$206,'Dec'!$D$27:$AH$206,'Jan (next year)'!$D$27:$AH$206),27+3*(IFERROR(MATCH(C1471,Roster!$B$6:$B$65,0),MATCH(C1471,Roster!$C$6:$C$65,0))-1)+MATCH(B1471,{"AM","PM","NIGHT"},0)-1-27+1,DAY(A1471))&amp;"",""))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$206,'Feb'!$D$27:$AH$206,'Mar'!$D$27:$AH$206,'Apr'!$D$27:$AH$206,'May'!$D$27:$AH$206,'Jun'!$D$27:$AH$206,'Jul'!$D$27:$AH$206,'Aug'!$D$27:$AH$206,'Sep'!$D$27:$AH$206,'Oct'!$D$27:$AH$206,'Nov'!$D$27:$AH$206,'Dec'!$D$27:$AH$206,'Jan (next year)'!$D$27:$AH$206),27+3*(IFERROR(MATCH(C1472,Roster!$B$6:$B$65,0),MATCH(C1472,Roster!$C$6:$C$65,0))-1)+MATCH(B1472,{"AM","PM","NIGHT"},0)-1-27+1,DAY(A1472))&amp;"",""))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$206,'Feb'!$D$27:$AH$206,'Mar'!$D$27:$AH$206,'Apr'!$D$27:$AH$206,'May'!$D$27:$AH$206,'Jun'!$D$27:$AH$206,'Jul'!$D$27:$AH$206,'Aug'!$D$27:$AH$206,'Sep'!$D$27:$AH$206,'Oct'!$D$27:$AH$206,'Nov'!$D$27:$AH$206,'Dec'!$D$27:$AH$206,'Jan (next year)'!$D$27:$AH$206),27+3*(IFERROR(MATCH(C1473,Roster!$B$6:$B$65,0),MATCH(C1473,Roster!$C$6:$C$65,0))-1)+MATCH(B1473,{"AM","PM","NIGHT"},0)-1-27+1,DAY(A1473))&amp;"",""))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$206,'Feb'!$D$27:$AH$206,'Mar'!$D$27:$AH$206,'Apr'!$D$27:$AH$206,'May'!$D$27:$AH$206,'Jun'!$D$27:$AH$206,'Jul'!$D$27:$AH$206,'Aug'!$D$27:$AH$206,'Sep'!$D$27:$AH$206,'Oct'!$D$27:$AH$206,'Nov'!$D$27:$AH$206,'Dec'!$D$27:$AH$206,'Jan (next year)'!$D$27:$AH$206),27+3*(IFERROR(MATCH(C1474,Roster!$B$6:$B$65,0),MATCH(C1474,Roster!$C$6:$C$65,0))-1)+MATCH(B1474,{"AM","PM","NIGHT"},0)-1-27+1,DAY(A1474))&amp;"",""))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$206,'Feb'!$D$27:$AH$206,'Mar'!$D$27:$AH$206,'Apr'!$D$27:$AH$206,'May'!$D$27:$AH$206,'Jun'!$D$27:$AH$206,'Jul'!$D$27:$AH$206,'Aug'!$D$27:$AH$206,'Sep'!$D$27:$AH$206,'Oct'!$D$27:$AH$206,'Nov'!$D$27:$AH$206,'Dec'!$D$27:$AH$206,'Jan (next year)'!$D$27:$AH$206),27+3*(IFERROR(MATCH(C1475,Roster!$B$6:$B$65,0),MATCH(C1475,Roster!$C$6:$C$65,0))-1)+MATCH(B1475,{"AM","PM","NIGHT"},0)-1-27+1,DAY(A1475))&amp;"",""))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$206,'Feb'!$D$27:$AH$206,'Mar'!$D$27:$AH$206,'Apr'!$D$27:$AH$206,'May'!$D$27:$AH$206,'Jun'!$D$27:$AH$206,'Jul'!$D$27:$AH$206,'Aug'!$D$27:$AH$206,'Sep'!$D$27:$AH$206,'Oct'!$D$27:$AH$206,'Nov'!$D$27:$AH$206,'Dec'!$D$27:$AH$206,'Jan (next year)'!$D$27:$AH$206),27+3*(IFERROR(MATCH(C1476,Roster!$B$6:$B$65,0),MATCH(C1476,Roster!$C$6:$C$65,0))-1)+MATCH(B1476,{"AM","PM","NIGHT"},0)-1-27+1,DAY(A1476))&amp;"",""))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$206,'Feb'!$D$27:$AH$206,'Mar'!$D$27:$AH$206,'Apr'!$D$27:$AH$206,'May'!$D$27:$AH$206,'Jun'!$D$27:$AH$206,'Jul'!$D$27:$AH$206,'Aug'!$D$27:$AH$206,'Sep'!$D$27:$AH$206,'Oct'!$D$27:$AH$206,'Nov'!$D$27:$AH$206,'Dec'!$D$27:$AH$206,'Jan (next year)'!$D$27:$AH$206),27+3*(IFERROR(MATCH(C1477,Roster!$B$6:$B$65,0),MATCH(C1477,Roster!$C$6:$C$65,0))-1)+MATCH(B1477,{"AM","PM","NIGHT"},0)-1-27+1,DAY(A1477))&amp;"",""))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$206,'Feb'!$D$27:$AH$206,'Mar'!$D$27:$AH$206,'Apr'!$D$27:$AH$206,'May'!$D$27:$AH$206,'Jun'!$D$27:$AH$206,'Jul'!$D$27:$AH$206,'Aug'!$D$27:$AH$206,'Sep'!$D$27:$AH$206,'Oct'!$D$27:$AH$206,'Nov'!$D$27:$AH$206,'Dec'!$D$27:$AH$206,'Jan (next year)'!$D$27:$AH$206),27+3*(IFERROR(MATCH(C1478,Roster!$B$6:$B$65,0),MATCH(C1478,Roster!$C$6:$C$65,0))-1)+MATCH(B1478,{"AM","PM","NIGHT"},0)-1-27+1,DAY(A1478))&amp;"",""))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$206,'Feb'!$D$27:$AH$206,'Mar'!$D$27:$AH$206,'Apr'!$D$27:$AH$206,'May'!$D$27:$AH$206,'Jun'!$D$27:$AH$206,'Jul'!$D$27:$AH$206,'Aug'!$D$27:$AH$206,'Sep'!$D$27:$AH$206,'Oct'!$D$27:$AH$206,'Nov'!$D$27:$AH$206,'Dec'!$D$27:$AH$206,'Jan (next year)'!$D$27:$AH$206),27+3*(IFERROR(MATCH(C1479,Roster!$B$6:$B$65,0),MATCH(C1479,Roster!$C$6:$C$65,0))-1)+MATCH(B1479,{"AM","PM","NIGHT"},0)-1-27+1,DAY(A1479))&amp;"",""))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$206,'Feb'!$D$27:$AH$206,'Mar'!$D$27:$AH$206,'Apr'!$D$27:$AH$206,'May'!$D$27:$AH$206,'Jun'!$D$27:$AH$206,'Jul'!$D$27:$AH$206,'Aug'!$D$27:$AH$206,'Sep'!$D$27:$AH$206,'Oct'!$D$27:$AH$206,'Nov'!$D$27:$AH$206,'Dec'!$D$27:$AH$206,'Jan (next year)'!$D$27:$AH$206),27+3*(IFERROR(MATCH(C1480,Roster!$B$6:$B$65,0),MATCH(C1480,Roster!$C$6:$C$65,0))-1)+MATCH(B1480,{"AM","PM","NIGHT"},0)-1-27+1,DAY(A1480))&amp;"",""))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$206,'Feb'!$D$27:$AH$206,'Mar'!$D$27:$AH$206,'Apr'!$D$27:$AH$206,'May'!$D$27:$AH$206,'Jun'!$D$27:$AH$206,'Jul'!$D$27:$AH$206,'Aug'!$D$27:$AH$206,'Sep'!$D$27:$AH$206,'Oct'!$D$27:$AH$206,'Nov'!$D$27:$AH$206,'Dec'!$D$27:$AH$206,'Jan (next year)'!$D$27:$AH$206),27+3*(IFERROR(MATCH(C1481,Roster!$B$6:$B$65,0),MATCH(C1481,Roster!$C$6:$C$65,0))-1)+MATCH(B1481,{"AM","PM","NIGHT"},0)-1-27+1,DAY(A1481))&amp;"",""))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$206,'Feb'!$D$27:$AH$206,'Mar'!$D$27:$AH$206,'Apr'!$D$27:$AH$206,'May'!$D$27:$AH$206,'Jun'!$D$27:$AH$206,'Jul'!$D$27:$AH$206,'Aug'!$D$27:$AH$206,'Sep'!$D$27:$AH$206,'Oct'!$D$27:$AH$206,'Nov'!$D$27:$AH$206,'Dec'!$D$27:$AH$206,'Jan (next year)'!$D$27:$AH$206),27+3*(IFERROR(MATCH(C1482,Roster!$B$6:$B$65,0),MATCH(C1482,Roster!$C$6:$C$65,0))-1)+MATCH(B1482,{"AM","PM","NIGHT"},0)-1-27+1,DAY(A1482))&amp;"",""))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$206,'Feb'!$D$27:$AH$206,'Mar'!$D$27:$AH$206,'Apr'!$D$27:$AH$206,'May'!$D$27:$AH$206,'Jun'!$D$27:$AH$206,'Jul'!$D$27:$AH$206,'Aug'!$D$27:$AH$206,'Sep'!$D$27:$AH$206,'Oct'!$D$27:$AH$206,'Nov'!$D$27:$AH$206,'Dec'!$D$27:$AH$206,'Jan (next year)'!$D$27:$AH$206),27+3*(IFERROR(MATCH(C1483,Roster!$B$6:$B$65,0),MATCH(C1483,Roster!$C$6:$C$65,0))-1)+MATCH(B1483,{"AM","PM","NIGHT"},0)-1-27+1,DAY(A1483))&amp;"",""))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$206,'Feb'!$D$27:$AH$206,'Mar'!$D$27:$AH$206,'Apr'!$D$27:$AH$206,'May'!$D$27:$AH$206,'Jun'!$D$27:$AH$206,'Jul'!$D$27:$AH$206,'Aug'!$D$27:$AH$206,'Sep'!$D$27:$AH$206,'Oct'!$D$27:$AH$206,'Nov'!$D$27:$AH$206,'Dec'!$D$27:$AH$206,'Jan (next year)'!$D$27:$AH$206),27+3*(IFERROR(MATCH(C1484,Roster!$B$6:$B$65,0),MATCH(C1484,Roster!$C$6:$C$65,0))-1)+MATCH(B1484,{"AM","PM","NIGHT"},0)-1-27+1,DAY(A1484))&amp;"",""))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$206,'Feb'!$D$27:$AH$206,'Mar'!$D$27:$AH$206,'Apr'!$D$27:$AH$206,'May'!$D$27:$AH$206,'Jun'!$D$27:$AH$206,'Jul'!$D$27:$AH$206,'Aug'!$D$27:$AH$206,'Sep'!$D$27:$AH$206,'Oct'!$D$27:$AH$206,'Nov'!$D$27:$AH$206,'Dec'!$D$27:$AH$206,'Jan (next year)'!$D$27:$AH$206),27+3*(IFERROR(MATCH(C1485,Roster!$B$6:$B$65,0),MATCH(C1485,Roster!$C$6:$C$65,0))-1)+MATCH(B1485,{"AM","PM","NIGHT"},0)-1-27+1,DAY(A1485))&amp;"",""))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$206,'Feb'!$D$27:$AH$206,'Mar'!$D$27:$AH$206,'Apr'!$D$27:$AH$206,'May'!$D$27:$AH$206,'Jun'!$D$27:$AH$206,'Jul'!$D$27:$AH$206,'Aug'!$D$27:$AH$206,'Sep'!$D$27:$AH$206,'Oct'!$D$27:$AH$206,'Nov'!$D$27:$AH$206,'Dec'!$D$27:$AH$206,'Jan (next year)'!$D$27:$AH$206),27+3*(IFERROR(MATCH(C1486,Roster!$B$6:$B$65,0),MATCH(C1486,Roster!$C$6:$C$65,0))-1)+MATCH(B1486,{"AM","PM","NIGHT"},0)-1-27+1,DAY(A1486))&amp;"",""))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$206,'Feb'!$D$27:$AH$206,'Mar'!$D$27:$AH$206,'Apr'!$D$27:$AH$206,'May'!$D$27:$AH$206,'Jun'!$D$27:$AH$206,'Jul'!$D$27:$AH$206,'Aug'!$D$27:$AH$206,'Sep'!$D$27:$AH$206,'Oct'!$D$27:$AH$206,'Nov'!$D$27:$AH$206,'Dec'!$D$27:$AH$206,'Jan (next year)'!$D$27:$AH$206),27+3*(IFERROR(MATCH(C1487,Roster!$B$6:$B$65,0),MATCH(C1487,Roster!$C$6:$C$65,0))-1)+MATCH(B1487,{"AM","PM","NIGHT"},0)-1-27+1,DAY(A1487))&amp;"",""))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$206,'Feb'!$D$27:$AH$206,'Mar'!$D$27:$AH$206,'Apr'!$D$27:$AH$206,'May'!$D$27:$AH$206,'Jun'!$D$27:$AH$206,'Jul'!$D$27:$AH$206,'Aug'!$D$27:$AH$206,'Sep'!$D$27:$AH$206,'Oct'!$D$27:$AH$206,'Nov'!$D$27:$AH$206,'Dec'!$D$27:$AH$206,'Jan (next year)'!$D$27:$AH$206),27+3*(IFERROR(MATCH(C1488,Roster!$B$6:$B$65,0),MATCH(C1488,Roster!$C$6:$C$65,0))-1)+MATCH(B1488,{"AM","PM","NIGHT"},0)-1-27+1,DAY(A1488))&amp;"",""))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$206,'Feb'!$D$27:$AH$206,'Mar'!$D$27:$AH$206,'Apr'!$D$27:$AH$206,'May'!$D$27:$AH$206,'Jun'!$D$27:$AH$206,'Jul'!$D$27:$AH$206,'Aug'!$D$27:$AH$206,'Sep'!$D$27:$AH$206,'Oct'!$D$27:$AH$206,'Nov'!$D$27:$AH$206,'Dec'!$D$27:$AH$206,'Jan (next year)'!$D$27:$AH$206),27+3*(IFERROR(MATCH(C1489,Roster!$B$6:$B$65,0),MATCH(C1489,Roster!$C$6:$C$65,0))-1)+MATCH(B1489,{"AM","PM","NIGHT"},0)-1-27+1,DAY(A1489))&amp;"",""))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$206,'Feb'!$D$27:$AH$206,'Mar'!$D$27:$AH$206,'Apr'!$D$27:$AH$206,'May'!$D$27:$AH$206,'Jun'!$D$27:$AH$206,'Jul'!$D$27:$AH$206,'Aug'!$D$27:$AH$206,'Sep'!$D$27:$AH$206,'Oct'!$D$27:$AH$206,'Nov'!$D$27:$AH$206,'Dec'!$D$27:$AH$206,'Jan (next year)'!$D$27:$AH$206),27+3*(IFERROR(MATCH(C1490,Roster!$B$6:$B$65,0),MATCH(C1490,Roster!$C$6:$C$65,0))-1)+MATCH(B1490,{"AM","PM","NIGHT"},0)-1-27+1,DAY(A1490))&amp;"",""))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$206,'Feb'!$D$27:$AH$206,'Mar'!$D$27:$AH$206,'Apr'!$D$27:$AH$206,'May'!$D$27:$AH$206,'Jun'!$D$27:$AH$206,'Jul'!$D$27:$AH$206,'Aug'!$D$27:$AH$206,'Sep'!$D$27:$AH$206,'Oct'!$D$27:$AH$206,'Nov'!$D$27:$AH$206,'Dec'!$D$27:$AH$206,'Jan (next year)'!$D$27:$AH$206),27+3*(IFERROR(MATCH(C1491,Roster!$B$6:$B$65,0),MATCH(C1491,Roster!$C$6:$C$65,0))-1)+MATCH(B1491,{"AM","PM","NIGHT"},0)-1-27+1,DAY(A1491))&amp;"",""))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$206,'Feb'!$D$27:$AH$206,'Mar'!$D$27:$AH$206,'Apr'!$D$27:$AH$206,'May'!$D$27:$AH$206,'Jun'!$D$27:$AH$206,'Jul'!$D$27:$AH$206,'Aug'!$D$27:$AH$206,'Sep'!$D$27:$AH$206,'Oct'!$D$27:$AH$206,'Nov'!$D$27:$AH$206,'Dec'!$D$27:$AH$206,'Jan (next year)'!$D$27:$AH$206),27+3*(IFERROR(MATCH(C1492,Roster!$B$6:$B$65,0),MATCH(C1492,Roster!$C$6:$C$65,0))-1)+MATCH(B1492,{"AM","PM","NIGHT"},0)-1-27+1,DAY(A1492))&amp;"",""))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$206,'Feb'!$D$27:$AH$206,'Mar'!$D$27:$AH$206,'Apr'!$D$27:$AH$206,'May'!$D$27:$AH$206,'Jun'!$D$27:$AH$206,'Jul'!$D$27:$AH$206,'Aug'!$D$27:$AH$206,'Sep'!$D$27:$AH$206,'Oct'!$D$27:$AH$206,'Nov'!$D$27:$AH$206,'Dec'!$D$27:$AH$206,'Jan (next year)'!$D$27:$AH$206),27+3*(IFERROR(MATCH(C1493,Roster!$B$6:$B$65,0),MATCH(C1493,Roster!$C$6:$C$65,0))-1)+MATCH(B1493,{"AM","PM","NIGHT"},0)-1-27+1,DAY(A1493))&amp;"",""))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$206,'Feb'!$D$27:$AH$206,'Mar'!$D$27:$AH$206,'Apr'!$D$27:$AH$206,'May'!$D$27:$AH$206,'Jun'!$D$27:$AH$206,'Jul'!$D$27:$AH$206,'Aug'!$D$27:$AH$206,'Sep'!$D$27:$AH$206,'Oct'!$D$27:$AH$206,'Nov'!$D$27:$AH$206,'Dec'!$D$27:$AH$206,'Jan (next year)'!$D$27:$AH$206),27+3*(IFERROR(MATCH(C1494,Roster!$B$6:$B$65,0),MATCH(C1494,Roster!$C$6:$C$65,0))-1)+MATCH(B1494,{"AM","PM","NIGHT"},0)-1-27+1,DAY(A1494))&amp;"",""))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$206,'Feb'!$D$27:$AH$206,'Mar'!$D$27:$AH$206,'Apr'!$D$27:$AH$206,'May'!$D$27:$AH$206,'Jun'!$D$27:$AH$206,'Jul'!$D$27:$AH$206,'Aug'!$D$27:$AH$206,'Sep'!$D$27:$AH$206,'Oct'!$D$27:$AH$206,'Nov'!$D$27:$AH$206,'Dec'!$D$27:$AH$206,'Jan (next year)'!$D$27:$AH$206),27+3*(IFERROR(MATCH(C1495,Roster!$B$6:$B$65,0),MATCH(C1495,Roster!$C$6:$C$65,0))-1)+MATCH(B1495,{"AM","PM","NIGHT"},0)-1-27+1,DAY(A1495))&amp;"",""))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$206,'Feb'!$D$27:$AH$206,'Mar'!$D$27:$AH$206,'Apr'!$D$27:$AH$206,'May'!$D$27:$AH$206,'Jun'!$D$27:$AH$206,'Jul'!$D$27:$AH$206,'Aug'!$D$27:$AH$206,'Sep'!$D$27:$AH$206,'Oct'!$D$27:$AH$206,'Nov'!$D$27:$AH$206,'Dec'!$D$27:$AH$206,'Jan (next year)'!$D$27:$AH$206),27+3*(IFERROR(MATCH(C1496,Roster!$B$6:$B$65,0),MATCH(C1496,Roster!$C$6:$C$65,0))-1)+MATCH(B1496,{"AM","PM","NIGHT"},0)-1-27+1,DAY(A1496))&amp;"",""))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$206,'Feb'!$D$27:$AH$206,'Mar'!$D$27:$AH$206,'Apr'!$D$27:$AH$206,'May'!$D$27:$AH$206,'Jun'!$D$27:$AH$206,'Jul'!$D$27:$AH$206,'Aug'!$D$27:$AH$206,'Sep'!$D$27:$AH$206,'Oct'!$D$27:$AH$206,'Nov'!$D$27:$AH$206,'Dec'!$D$27:$AH$206,'Jan (next year)'!$D$27:$AH$206),27+3*(IFERROR(MATCH(C1497,Roster!$B$6:$B$65,0),MATCH(C1497,Roster!$C$6:$C$65,0))-1)+MATCH(B1497,{"AM","PM","NIGHT"},0)-1-27+1,DAY(A1497))&amp;"",""))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$206,'Feb'!$D$27:$AH$206,'Mar'!$D$27:$AH$206,'Apr'!$D$27:$AH$206,'May'!$D$27:$AH$206,'Jun'!$D$27:$AH$206,'Jul'!$D$27:$AH$206,'Aug'!$D$27:$AH$206,'Sep'!$D$27:$AH$206,'Oct'!$D$27:$AH$206,'Nov'!$D$27:$AH$206,'Dec'!$D$27:$AH$206,'Jan (next year)'!$D$27:$AH$206),27+3*(IFERROR(MATCH(C1498,Roster!$B$6:$B$65,0),MATCH(C1498,Roster!$C$6:$C$65,0))-1)+MATCH(B1498,{"AM","PM","NIGHT"},0)-1-27+1,DAY(A1498))&amp;"",""))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$206,'Feb'!$D$27:$AH$206,'Mar'!$D$27:$AH$206,'Apr'!$D$27:$AH$206,'May'!$D$27:$AH$206,'Jun'!$D$27:$AH$206,'Jul'!$D$27:$AH$206,'Aug'!$D$27:$AH$206,'Sep'!$D$27:$AH$206,'Oct'!$D$27:$AH$206,'Nov'!$D$27:$AH$206,'Dec'!$D$27:$AH$206,'Jan (next year)'!$D$27:$AH$206),27+3*(IFERROR(MATCH(C1499,Roster!$B$6:$B$65,0),MATCH(C1499,Roster!$C$6:$C$65,0))-1)+MATCH(B1499,{"AM","PM","NIGHT"},0)-1-27+1,DAY(A1499))&amp;"",""))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$206,'Feb'!$D$27:$AH$206,'Mar'!$D$27:$AH$206,'Apr'!$D$27:$AH$206,'May'!$D$27:$AH$206,'Jun'!$D$27:$AH$206,'Jul'!$D$27:$AH$206,'Aug'!$D$27:$AH$206,'Sep'!$D$27:$AH$206,'Oct'!$D$27:$AH$206,'Nov'!$D$27:$AH$206,'Dec'!$D$27:$AH$206,'Jan (next year)'!$D$27:$AH$206),27+3*(IFERROR(MATCH(C1500,Roster!$B$6:$B$65,0),MATCH(C1500,Roster!$C$6:$C$65,0))-1)+MATCH(B1500,{"AM","PM","NIGHT"},0)-1-27+1,DAY(A1500))&amp;"",""))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$206,'Feb'!$D$27:$AH$206,'Mar'!$D$27:$AH$206,'Apr'!$D$27:$AH$206,'May'!$D$27:$AH$206,'Jun'!$D$27:$AH$206,'Jul'!$D$27:$AH$206,'Aug'!$D$27:$AH$206,'Sep'!$D$27:$AH$206,'Oct'!$D$27:$AH$206,'Nov'!$D$27:$AH$206,'Dec'!$D$27:$AH$206,'Jan (next year)'!$D$27:$AH$206),27+3*(IFERROR(MATCH(C1501,Roster!$B$6:$B$65,0),MATCH(C1501,Roster!$C$6:$C$65,0))-1)+MATCH(B1501,{"AM","PM","NIGHT"},0)-1-27+1,DAY(A1501))&amp;"",""))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$206,'Feb'!$D$27:$AH$206,'Mar'!$D$27:$AH$206,'Apr'!$D$27:$AH$206,'May'!$D$27:$AH$206,'Jun'!$D$27:$AH$206,'Jul'!$D$27:$AH$206,'Aug'!$D$27:$AH$206,'Sep'!$D$27:$AH$206,'Oct'!$D$27:$AH$206,'Nov'!$D$27:$AH$206,'Dec'!$D$27:$AH$206,'Jan (next year)'!$D$27:$AH$206),27+3*(IFERROR(MATCH(C1502,Roster!$B$6:$B$65,0),MATCH(C1502,Roster!$C$6:$C$65,0))-1)+MATCH(B1502,{"AM","PM","NIGHT"},0)-1-27+1,DAY(A1502))&amp;"",""))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$206,'Feb'!$D$27:$AH$206,'Mar'!$D$27:$AH$206,'Apr'!$D$27:$AH$206,'May'!$D$27:$AH$206,'Jun'!$D$27:$AH$206,'Jul'!$D$27:$AH$206,'Aug'!$D$27:$AH$206,'Sep'!$D$27:$AH$206,'Oct'!$D$27:$AH$206,'Nov'!$D$27:$AH$206,'Dec'!$D$27:$AH$206,'Jan (next year)'!$D$27:$AH$206),27+3*(IFERROR(MATCH(C1503,Roster!$B$6:$B$65,0),MATCH(C1503,Roster!$C$6:$C$65,0))-1)+MATCH(B1503,{"AM","PM","NIGHT"},0)-1-27+1,DAY(A1503))&amp;"",""))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$206,'Feb'!$D$27:$AH$206,'Mar'!$D$27:$AH$206,'Apr'!$D$27:$AH$206,'May'!$D$27:$AH$206,'Jun'!$D$27:$AH$206,'Jul'!$D$27:$AH$206,'Aug'!$D$27:$AH$206,'Sep'!$D$27:$AH$206,'Oct'!$D$27:$AH$206,'Nov'!$D$27:$AH$206,'Dec'!$D$27:$AH$206,'Jan (next year)'!$D$27:$AH$206),27+3*(IFERROR(MATCH(C1504,Roster!$B$6:$B$65,0),MATCH(C1504,Roster!$C$6:$C$65,0))-1)+MATCH(B1504,{"AM","PM","NIGHT"},0)-1-27+1,DAY(A1504))&amp;"",""))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$206,'Feb'!$D$27:$AH$206,'Mar'!$D$27:$AH$206,'Apr'!$D$27:$AH$206,'May'!$D$27:$AH$206,'Jun'!$D$27:$AH$206,'Jul'!$D$27:$AH$206,'Aug'!$D$27:$AH$206,'Sep'!$D$27:$AH$206,'Oct'!$D$27:$AH$206,'Nov'!$D$27:$AH$206,'Dec'!$D$27:$AH$206,'Jan (next year)'!$D$27:$AH$206),27+3*(IFERROR(MATCH(C1505,Roster!$B$6:$B$65,0),MATCH(C1505,Roster!$C$6:$C$65,0))-1)+MATCH(B1505,{"AM","PM","NIGHT"},0)-1-27+1,DAY(A1505))&amp;"",""))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SUP 2</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SUP 2</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inlineStr">
        <is>
          <t>S2-SAMPLE1</t>
        </is>
      </c>
      <c r="B6" s="122" t="n"/>
      <c r="C6" s="95" t="n"/>
      <c r="D6" s="95" t="n"/>
      <c r="E6" s="95" t="n"/>
      <c r="F6" s="95" t="inlineStr">
        <is>
          <t>OWL needs a second sortie for Flight 3 next week, any PM</t>
        </is>
      </c>
      <c r="G6" s="124" t="n">
        <v>46297</v>
      </c>
    </row>
    <row r="7">
      <c r="A7" s="105" t="inlineStr">
        <is>
          <t>S2-SAMPLE2</t>
        </is>
      </c>
      <c r="B7" s="122" t="n"/>
      <c r="C7" s="95" t="n"/>
      <c r="D7" s="95" t="n"/>
      <c r="E7" s="95" t="n"/>
      <c r="F7" s="95" t="inlineStr">
        <is>
          <t>Can Friday's AM flight start 0900 instead? Ground school runs late</t>
        </is>
      </c>
      <c r="G7" s="124" t="n">
        <v>46296</v>
      </c>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SUP 2</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SUP 2</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SUP 2</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n"/>
      <c r="B10" s="106" t="n"/>
      <c r="C10" s="106" t="n"/>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SUP 2 (MISSION CREW)</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Intro</t>
        </is>
      </c>
      <c r="C6" s="107" t="n">
        <v>1</v>
      </c>
      <c r="D6" s="127" t="inlineStr">
        <is>
          <t>S2-O-INT1</t>
        </is>
      </c>
      <c r="E6" s="106" t="inlineStr">
        <is>
          <t>Demo Flight</t>
        </is>
      </c>
      <c r="F6" s="107" t="n"/>
      <c r="G6" s="106" t="n"/>
      <c r="H6" s="107" t="inlineStr">
        <is>
          <t>Flight</t>
        </is>
      </c>
    </row>
    <row r="7">
      <c r="A7" s="106" t="inlineStr">
        <is>
          <t>OCU</t>
        </is>
      </c>
      <c r="B7" s="107" t="inlineStr">
        <is>
          <t>Intro</t>
        </is>
      </c>
      <c r="C7" s="107" t="n">
        <v>2</v>
      </c>
      <c r="D7" s="127" t="inlineStr">
        <is>
          <t>S2-O-INT2</t>
        </is>
      </c>
      <c r="E7" s="106" t="inlineStr">
        <is>
          <t>TTX 1</t>
        </is>
      </c>
      <c r="F7" s="107" t="n"/>
      <c r="G7" s="106" t="n"/>
      <c r="H7" s="107" t="inlineStr">
        <is>
          <t>Ground</t>
        </is>
      </c>
    </row>
    <row r="8">
      <c r="A8" s="106" t="inlineStr">
        <is>
          <t>OCU</t>
        </is>
      </c>
      <c r="B8" s="107" t="inlineStr">
        <is>
          <t>Intro</t>
        </is>
      </c>
      <c r="C8" s="107" t="n">
        <v>3</v>
      </c>
      <c r="D8" s="127" t="inlineStr">
        <is>
          <t>S2-O-INT3</t>
        </is>
      </c>
      <c r="E8" s="106" t="inlineStr">
        <is>
          <t>TTX 2</t>
        </is>
      </c>
      <c r="F8" s="107" t="n"/>
      <c r="G8" s="106" t="n"/>
      <c r="H8" s="107" t="inlineStr">
        <is>
          <t>Ground</t>
        </is>
      </c>
    </row>
    <row r="9">
      <c r="A9" s="106" t="inlineStr">
        <is>
          <t>OCU</t>
        </is>
      </c>
      <c r="B9" s="107" t="inlineStr">
        <is>
          <t>Sims</t>
        </is>
      </c>
      <c r="C9" s="107" t="n">
        <v>1</v>
      </c>
      <c r="D9" s="127" t="inlineStr">
        <is>
          <t>S2-O-SIM1</t>
        </is>
      </c>
      <c r="E9" s="106" t="inlineStr">
        <is>
          <t>SIMS 1</t>
        </is>
      </c>
      <c r="F9" s="107" t="n"/>
      <c r="G9" s="106" t="n"/>
      <c r="H9" s="107" t="inlineStr">
        <is>
          <t>Sim</t>
        </is>
      </c>
    </row>
    <row r="10">
      <c r="A10" s="106" t="inlineStr">
        <is>
          <t>OCU</t>
        </is>
      </c>
      <c r="B10" s="107" t="inlineStr">
        <is>
          <t>Sims</t>
        </is>
      </c>
      <c r="C10" s="107" t="n">
        <v>2</v>
      </c>
      <c r="D10" s="127" t="inlineStr">
        <is>
          <t>S2-O-SIM2</t>
        </is>
      </c>
      <c r="E10" s="106" t="inlineStr">
        <is>
          <t>SIMS 2</t>
        </is>
      </c>
      <c r="F10" s="107" t="n"/>
      <c r="G10" s="106" t="n"/>
      <c r="H10" s="107" t="inlineStr">
        <is>
          <t>Sim</t>
        </is>
      </c>
    </row>
    <row r="11">
      <c r="A11" s="106" t="inlineStr">
        <is>
          <t>OCU</t>
        </is>
      </c>
      <c r="B11" s="107" t="inlineStr">
        <is>
          <t>Sims</t>
        </is>
      </c>
      <c r="C11" s="107" t="n">
        <v>3</v>
      </c>
      <c r="D11" s="127" t="inlineStr">
        <is>
          <t>S2-O-SIM3</t>
        </is>
      </c>
      <c r="E11" s="106" t="inlineStr">
        <is>
          <t>SIMS 3</t>
        </is>
      </c>
      <c r="F11" s="107" t="n"/>
      <c r="G11" s="106" t="n"/>
      <c r="H11" s="107" t="inlineStr">
        <is>
          <t>Sim</t>
        </is>
      </c>
    </row>
    <row r="12">
      <c r="A12" s="106" t="inlineStr">
        <is>
          <t>OCU</t>
        </is>
      </c>
      <c r="B12" s="107" t="inlineStr">
        <is>
          <t>Sims</t>
        </is>
      </c>
      <c r="C12" s="107" t="n">
        <v>4</v>
      </c>
      <c r="D12" s="127" t="inlineStr">
        <is>
          <t>S2-O-SIMCHK</t>
        </is>
      </c>
      <c r="E12" s="106" t="inlineStr">
        <is>
          <t>SIMS Check</t>
        </is>
      </c>
      <c r="F12" s="107" t="n"/>
      <c r="G12" s="106" t="n"/>
      <c r="H12" s="107" t="inlineStr">
        <is>
          <t>Sim</t>
        </is>
      </c>
    </row>
    <row r="13">
      <c r="A13" s="106" t="inlineStr">
        <is>
          <t>OCU</t>
        </is>
      </c>
      <c r="B13" s="107" t="inlineStr">
        <is>
          <t>Flight</t>
        </is>
      </c>
      <c r="C13" s="107" t="n">
        <v>1</v>
      </c>
      <c r="D13" s="127" t="inlineStr">
        <is>
          <t>S2-O-FLT1</t>
        </is>
      </c>
      <c r="E13" s="106" t="inlineStr">
        <is>
          <t>Flight 1</t>
        </is>
      </c>
      <c r="F13" s="107" t="n"/>
      <c r="G13" s="106" t="n"/>
      <c r="H13" s="107" t="inlineStr">
        <is>
          <t>Flight</t>
        </is>
      </c>
    </row>
    <row r="14">
      <c r="A14" s="106" t="inlineStr">
        <is>
          <t>OCU</t>
        </is>
      </c>
      <c r="B14" s="107" t="inlineStr">
        <is>
          <t>Flight</t>
        </is>
      </c>
      <c r="C14" s="107" t="n">
        <v>2</v>
      </c>
      <c r="D14" s="127" t="inlineStr">
        <is>
          <t>S2-O-FLT2</t>
        </is>
      </c>
      <c r="E14" s="106" t="inlineStr">
        <is>
          <t>Flight 2</t>
        </is>
      </c>
      <c r="F14" s="107" t="n"/>
      <c r="G14" s="106" t="n"/>
      <c r="H14" s="107" t="inlineStr">
        <is>
          <t>Flight</t>
        </is>
      </c>
    </row>
    <row r="15">
      <c r="A15" s="106" t="inlineStr">
        <is>
          <t>OCU</t>
        </is>
      </c>
      <c r="B15" s="107" t="inlineStr">
        <is>
          <t>Flight</t>
        </is>
      </c>
      <c r="C15" s="107" t="n">
        <v>3</v>
      </c>
      <c r="D15" s="127" t="inlineStr">
        <is>
          <t>S2-O-FLT3</t>
        </is>
      </c>
      <c r="E15" s="106" t="inlineStr">
        <is>
          <t>Flight 3</t>
        </is>
      </c>
      <c r="F15" s="107" t="n"/>
      <c r="G15" s="106" t="n"/>
      <c r="H15" s="107" t="inlineStr">
        <is>
          <t>Flight</t>
        </is>
      </c>
    </row>
    <row r="16">
      <c r="A16" s="106" t="inlineStr">
        <is>
          <t>OCU</t>
        </is>
      </c>
      <c r="B16" s="107" t="inlineStr">
        <is>
          <t>Flight</t>
        </is>
      </c>
      <c r="C16" s="107" t="n">
        <v>4</v>
      </c>
      <c r="D16" s="127" t="inlineStr">
        <is>
          <t>S2-O-FLT4</t>
        </is>
      </c>
      <c r="E16" s="106" t="inlineStr">
        <is>
          <t>Flight 4</t>
        </is>
      </c>
      <c r="F16" s="107" t="n"/>
      <c r="G16" s="106" t="n"/>
      <c r="H16" s="107" t="inlineStr">
        <is>
          <t>Flight</t>
        </is>
      </c>
    </row>
    <row r="17">
      <c r="A17" s="106" t="inlineStr">
        <is>
          <t>OCU</t>
        </is>
      </c>
      <c r="B17" s="107" t="inlineStr">
        <is>
          <t>Flight</t>
        </is>
      </c>
      <c r="C17" s="107" t="n">
        <v>5</v>
      </c>
      <c r="D17" s="127" t="inlineStr">
        <is>
          <t>S2-O-FLT5</t>
        </is>
      </c>
      <c r="E17" s="106" t="inlineStr">
        <is>
          <t>Flight 5</t>
        </is>
      </c>
      <c r="F17" s="107" t="n"/>
      <c r="G17" s="106" t="n"/>
      <c r="H17" s="107" t="inlineStr">
        <is>
          <t>Flight</t>
        </is>
      </c>
    </row>
    <row r="18">
      <c r="A18" s="106" t="inlineStr">
        <is>
          <t>OCU</t>
        </is>
      </c>
      <c r="B18" s="107" t="inlineStr">
        <is>
          <t>Flight</t>
        </is>
      </c>
      <c r="C18" s="107" t="n">
        <v>6</v>
      </c>
      <c r="D18" s="127" t="inlineStr">
        <is>
          <t>S2-O-FLTCHK</t>
        </is>
      </c>
      <c r="E18" s="106" t="inlineStr">
        <is>
          <t>CAT D Check</t>
        </is>
      </c>
      <c r="F18" s="107" t="n"/>
      <c r="G18" s="106" t="n"/>
      <c r="H18" s="107" t="inlineStr">
        <is>
          <t>Flight</t>
        </is>
      </c>
    </row>
    <row r="19">
      <c r="A19" s="106" t="inlineStr">
        <is>
          <t>CAT C</t>
        </is>
      </c>
      <c r="B19" s="107" t="inlineStr">
        <is>
          <t>TTX</t>
        </is>
      </c>
      <c r="C19" s="107" t="n">
        <v>1</v>
      </c>
      <c r="D19" s="127" t="inlineStr">
        <is>
          <t>S2-C-TTX1</t>
        </is>
      </c>
      <c r="E19" s="106" t="inlineStr">
        <is>
          <t>TTX 1</t>
        </is>
      </c>
      <c r="F19" s="107" t="n"/>
      <c r="G19" s="106" t="n"/>
      <c r="H19" s="107" t="inlineStr">
        <is>
          <t>Ground</t>
        </is>
      </c>
    </row>
    <row r="20">
      <c r="A20" s="106" t="inlineStr">
        <is>
          <t>CAT C</t>
        </is>
      </c>
      <c r="B20" s="107" t="inlineStr">
        <is>
          <t>TTX</t>
        </is>
      </c>
      <c r="C20" s="107" t="n">
        <v>2</v>
      </c>
      <c r="D20" s="127" t="inlineStr">
        <is>
          <t>S2-C-TTX2</t>
        </is>
      </c>
      <c r="E20" s="106" t="inlineStr">
        <is>
          <t>TTX 2</t>
        </is>
      </c>
      <c r="F20" s="107" t="n"/>
      <c r="G20" s="106" t="n"/>
      <c r="H20" s="107" t="inlineStr">
        <is>
          <t>Ground</t>
        </is>
      </c>
    </row>
    <row r="21">
      <c r="A21" s="106" t="inlineStr">
        <is>
          <t>CAT C</t>
        </is>
      </c>
      <c r="B21" s="107" t="inlineStr">
        <is>
          <t>Sims</t>
        </is>
      </c>
      <c r="C21" s="107" t="n">
        <v>1</v>
      </c>
      <c r="D21" s="127" t="inlineStr">
        <is>
          <t>S2-C-SIM1</t>
        </is>
      </c>
      <c r="E21" s="106" t="inlineStr">
        <is>
          <t>SIMS 1</t>
        </is>
      </c>
      <c r="F21" s="107" t="n"/>
      <c r="G21" s="106" t="n"/>
      <c r="H21" s="107" t="inlineStr">
        <is>
          <t>Sim</t>
        </is>
      </c>
    </row>
    <row r="22">
      <c r="A22" s="106" t="inlineStr">
        <is>
          <t>CAT C</t>
        </is>
      </c>
      <c r="B22" s="107" t="inlineStr">
        <is>
          <t>Sims</t>
        </is>
      </c>
      <c r="C22" s="107" t="n">
        <v>2</v>
      </c>
      <c r="D22" s="127" t="inlineStr">
        <is>
          <t>S2-C-SIM2</t>
        </is>
      </c>
      <c r="E22" s="106" t="inlineStr">
        <is>
          <t>SIMS 2</t>
        </is>
      </c>
      <c r="F22" s="107" t="n"/>
      <c r="G22" s="106" t="n"/>
      <c r="H22" s="107" t="inlineStr">
        <is>
          <t>Sim</t>
        </is>
      </c>
    </row>
    <row r="23">
      <c r="A23" s="106" t="inlineStr">
        <is>
          <t>CAT C</t>
        </is>
      </c>
      <c r="B23" s="107" t="inlineStr">
        <is>
          <t>Sims</t>
        </is>
      </c>
      <c r="C23" s="107" t="n">
        <v>3</v>
      </c>
      <c r="D23" s="127" t="inlineStr">
        <is>
          <t>S2-C-SIM3</t>
        </is>
      </c>
      <c r="E23" s="106" t="inlineStr">
        <is>
          <t>SIMS 3</t>
        </is>
      </c>
      <c r="F23" s="107" t="n"/>
      <c r="G23" s="106" t="n"/>
      <c r="H23" s="107" t="inlineStr">
        <is>
          <t>Sim</t>
        </is>
      </c>
    </row>
    <row r="24">
      <c r="A24" s="106" t="inlineStr">
        <is>
          <t>CAT C</t>
        </is>
      </c>
      <c r="B24" s="107" t="inlineStr">
        <is>
          <t>Sims</t>
        </is>
      </c>
      <c r="C24" s="107" t="n">
        <v>4</v>
      </c>
      <c r="D24" s="127" t="inlineStr">
        <is>
          <t>S2-C-SIMCHK</t>
        </is>
      </c>
      <c r="E24" s="106" t="inlineStr">
        <is>
          <t>SIMS Check</t>
        </is>
      </c>
      <c r="F24" s="107" t="n"/>
      <c r="G24" s="106" t="n"/>
      <c r="H24" s="107" t="inlineStr">
        <is>
          <t>Sim</t>
        </is>
      </c>
    </row>
    <row r="25">
      <c r="A25" s="106" t="inlineStr">
        <is>
          <t>CAT C</t>
        </is>
      </c>
      <c r="B25" s="107" t="inlineStr">
        <is>
          <t>Flight</t>
        </is>
      </c>
      <c r="C25" s="107" t="n">
        <v>1</v>
      </c>
      <c r="D25" s="127" t="inlineStr">
        <is>
          <t>S2-C-FLT1</t>
        </is>
      </c>
      <c r="E25" s="106" t="inlineStr">
        <is>
          <t>Flight 1</t>
        </is>
      </c>
      <c r="F25" s="107" t="n"/>
      <c r="G25" s="106" t="n"/>
      <c r="H25" s="107" t="inlineStr">
        <is>
          <t>Flight</t>
        </is>
      </c>
    </row>
    <row r="26">
      <c r="A26" s="106" t="inlineStr">
        <is>
          <t>CAT C</t>
        </is>
      </c>
      <c r="B26" s="107" t="inlineStr">
        <is>
          <t>Flight</t>
        </is>
      </c>
      <c r="C26" s="107" t="n">
        <v>2</v>
      </c>
      <c r="D26" s="127" t="inlineStr">
        <is>
          <t>S2-C-FLT2</t>
        </is>
      </c>
      <c r="E26" s="106" t="inlineStr">
        <is>
          <t>Flight 2</t>
        </is>
      </c>
      <c r="F26" s="107" t="n"/>
      <c r="G26" s="106" t="n"/>
      <c r="H26" s="107" t="inlineStr">
        <is>
          <t>Flight</t>
        </is>
      </c>
    </row>
    <row r="27">
      <c r="A27" s="106" t="inlineStr">
        <is>
          <t>CAT C</t>
        </is>
      </c>
      <c r="B27" s="107" t="inlineStr">
        <is>
          <t>Flight</t>
        </is>
      </c>
      <c r="C27" s="107" t="n">
        <v>3</v>
      </c>
      <c r="D27" s="127" t="inlineStr">
        <is>
          <t>S2-C-FLT3</t>
        </is>
      </c>
      <c r="E27" s="106" t="inlineStr">
        <is>
          <t>Flight 3</t>
        </is>
      </c>
      <c r="F27" s="107" t="n"/>
      <c r="G27" s="106" t="n"/>
      <c r="H27" s="107" t="inlineStr">
        <is>
          <t>Flight</t>
        </is>
      </c>
    </row>
    <row r="28">
      <c r="A28" s="106" t="inlineStr">
        <is>
          <t>CAT C</t>
        </is>
      </c>
      <c r="B28" s="107" t="inlineStr">
        <is>
          <t>Flight</t>
        </is>
      </c>
      <c r="C28" s="107" t="n">
        <v>4</v>
      </c>
      <c r="D28" s="127" t="inlineStr">
        <is>
          <t>S2-C-FLTCHK</t>
        </is>
      </c>
      <c r="E28" s="106" t="inlineStr">
        <is>
          <t>CAT C Check</t>
        </is>
      </c>
      <c r="F28" s="107" t="n"/>
      <c r="G28" s="106" t="n"/>
      <c r="H28" s="107" t="inlineStr">
        <is>
          <t>Flight</t>
        </is>
      </c>
    </row>
    <row r="29">
      <c r="A29" s="106" t="inlineStr">
        <is>
          <t>CAT C</t>
        </is>
      </c>
      <c r="B29" s="107" t="inlineStr">
        <is>
          <t>Role: SAL</t>
        </is>
      </c>
      <c r="C29" s="107" t="n">
        <v>1</v>
      </c>
      <c r="D29" s="127" t="inlineStr">
        <is>
          <t>S2-C-SAL1</t>
        </is>
      </c>
      <c r="E29" s="106" t="inlineStr">
        <is>
          <t>SAL TTX 1</t>
        </is>
      </c>
      <c r="F29" s="107" t="n"/>
      <c r="G29" s="106" t="n"/>
      <c r="H29" s="107" t="inlineStr">
        <is>
          <t>Ground</t>
        </is>
      </c>
    </row>
    <row r="30">
      <c r="A30" s="106" t="inlineStr">
        <is>
          <t>CAT C</t>
        </is>
      </c>
      <c r="B30" s="107" t="inlineStr">
        <is>
          <t>Role: SAL</t>
        </is>
      </c>
      <c r="C30" s="107" t="n">
        <v>2</v>
      </c>
      <c r="D30" s="127" t="inlineStr">
        <is>
          <t>S2-C-SAL2</t>
        </is>
      </c>
      <c r="E30" s="106" t="inlineStr">
        <is>
          <t>SAL Flight 1</t>
        </is>
      </c>
      <c r="F30" s="107" t="n"/>
      <c r="G30" s="106" t="n"/>
      <c r="H30" s="107" t="inlineStr">
        <is>
          <t>Flight</t>
        </is>
      </c>
    </row>
    <row r="31">
      <c r="A31" s="106" t="inlineStr">
        <is>
          <t>CAT C</t>
        </is>
      </c>
      <c r="B31" s="107" t="inlineStr">
        <is>
          <t>Role: SAL</t>
        </is>
      </c>
      <c r="C31" s="107" t="n">
        <v>3</v>
      </c>
      <c r="D31" s="127" t="inlineStr">
        <is>
          <t>S2-C-SAL3</t>
        </is>
      </c>
      <c r="E31" s="106" t="inlineStr">
        <is>
          <t>SAL Flight 2</t>
        </is>
      </c>
      <c r="F31" s="107" t="n"/>
      <c r="G31" s="106" t="n"/>
      <c r="H31" s="107" t="inlineStr">
        <is>
          <t>Flight</t>
        </is>
      </c>
    </row>
    <row r="32">
      <c r="A32" s="106" t="inlineStr">
        <is>
          <t>CAT C</t>
        </is>
      </c>
      <c r="B32" s="107" t="inlineStr">
        <is>
          <t>Role: SAL</t>
        </is>
      </c>
      <c r="C32" s="107" t="n">
        <v>4</v>
      </c>
      <c r="D32" s="127" t="inlineStr">
        <is>
          <t>S2-C-SALCHK</t>
        </is>
      </c>
      <c r="E32" s="106" t="inlineStr">
        <is>
          <t>SAL Check</t>
        </is>
      </c>
      <c r="F32" s="107" t="n"/>
      <c r="G32" s="106" t="n"/>
      <c r="H32" s="107" t="inlineStr">
        <is>
          <t>Flight</t>
        </is>
      </c>
    </row>
    <row r="33">
      <c r="A33" s="106" t="inlineStr">
        <is>
          <t>CAT B</t>
        </is>
      </c>
      <c r="B33" s="107" t="inlineStr">
        <is>
          <t>Sims</t>
        </is>
      </c>
      <c r="C33" s="107" t="n">
        <v>1</v>
      </c>
      <c r="D33" s="127" t="inlineStr">
        <is>
          <t>S2-B-SIM1</t>
        </is>
      </c>
      <c r="E33" s="106" t="inlineStr">
        <is>
          <t>TACT SIMS 1</t>
        </is>
      </c>
      <c r="F33" s="107" t="n"/>
      <c r="G33" s="106" t="n"/>
      <c r="H33" s="107" t="inlineStr">
        <is>
          <t>Sim</t>
        </is>
      </c>
    </row>
    <row r="34">
      <c r="A34" s="106" t="inlineStr">
        <is>
          <t>CAT B</t>
        </is>
      </c>
      <c r="B34" s="107" t="inlineStr">
        <is>
          <t>Sims</t>
        </is>
      </c>
      <c r="C34" s="107" t="n">
        <v>2</v>
      </c>
      <c r="D34" s="127" t="inlineStr">
        <is>
          <t>S2-B-SIM2</t>
        </is>
      </c>
      <c r="E34" s="106" t="inlineStr">
        <is>
          <t>MKZ SIMS 1</t>
        </is>
      </c>
      <c r="F34" s="107" t="n"/>
      <c r="G34" s="106" t="n"/>
      <c r="H34" s="107" t="inlineStr">
        <is>
          <t>Sim</t>
        </is>
      </c>
    </row>
    <row r="35">
      <c r="A35" s="106" t="inlineStr">
        <is>
          <t>CAT B</t>
        </is>
      </c>
      <c r="B35" s="107" t="inlineStr">
        <is>
          <t>Sims</t>
        </is>
      </c>
      <c r="C35" s="107" t="n">
        <v>3</v>
      </c>
      <c r="D35" s="127" t="inlineStr">
        <is>
          <t>S2-B-SIM3</t>
        </is>
      </c>
      <c r="E35" s="106" t="inlineStr">
        <is>
          <t>MAS SIMS 1</t>
        </is>
      </c>
      <c r="F35" s="107" t="n"/>
      <c r="G35" s="106" t="n"/>
      <c r="H35" s="107" t="inlineStr">
        <is>
          <t>Sim</t>
        </is>
      </c>
    </row>
    <row r="36">
      <c r="A36" s="106" t="inlineStr">
        <is>
          <t>CAT B</t>
        </is>
      </c>
      <c r="B36" s="107" t="inlineStr">
        <is>
          <t>Role: EIS</t>
        </is>
      </c>
      <c r="C36" s="107" t="n">
        <v>1</v>
      </c>
      <c r="D36" s="127" t="inlineStr">
        <is>
          <t>S2-B-EIS1</t>
        </is>
      </c>
      <c r="E36" s="106" t="inlineStr">
        <is>
          <t>EIS TTX</t>
        </is>
      </c>
      <c r="F36" s="107" t="n"/>
      <c r="G36" s="106" t="n"/>
      <c r="H36" s="107" t="inlineStr">
        <is>
          <t>Ground</t>
        </is>
      </c>
    </row>
    <row r="37">
      <c r="A37" s="106" t="inlineStr">
        <is>
          <t>CAT B</t>
        </is>
      </c>
      <c r="B37" s="107" t="inlineStr">
        <is>
          <t>Role: EIS</t>
        </is>
      </c>
      <c r="C37" s="107" t="n">
        <v>2</v>
      </c>
      <c r="D37" s="127" t="inlineStr">
        <is>
          <t>S2-B-EIS2</t>
        </is>
      </c>
      <c r="E37" s="106" t="inlineStr">
        <is>
          <t>EIS Flight 1</t>
        </is>
      </c>
      <c r="F37" s="107" t="n"/>
      <c r="G37" s="106" t="n"/>
      <c r="H37" s="107" t="inlineStr">
        <is>
          <t>Flight</t>
        </is>
      </c>
    </row>
    <row r="38">
      <c r="A38" s="106" t="inlineStr">
        <is>
          <t>CAT B</t>
        </is>
      </c>
      <c r="B38" s="107" t="inlineStr">
        <is>
          <t>Role: EIS</t>
        </is>
      </c>
      <c r="C38" s="107" t="n">
        <v>3</v>
      </c>
      <c r="D38" s="127" t="inlineStr">
        <is>
          <t>S2-B-EISCHK</t>
        </is>
      </c>
      <c r="E38" s="106" t="inlineStr">
        <is>
          <t>EIS Check</t>
        </is>
      </c>
      <c r="F38" s="107" t="n"/>
      <c r="G38" s="106" t="n"/>
      <c r="H38" s="107" t="inlineStr">
        <is>
          <t>Flight</t>
        </is>
      </c>
    </row>
    <row r="39">
      <c r="A39" s="106" t="inlineStr">
        <is>
          <t>CAT B</t>
        </is>
      </c>
      <c r="B39" s="107" t="inlineStr">
        <is>
          <t>Role: MS</t>
        </is>
      </c>
      <c r="C39" s="107" t="n">
        <v>1</v>
      </c>
      <c r="D39" s="127" t="inlineStr">
        <is>
          <t>S2-B-MS1</t>
        </is>
      </c>
      <c r="E39" s="106" t="inlineStr">
        <is>
          <t>MS TTX</t>
        </is>
      </c>
      <c r="F39" s="107" t="n"/>
      <c r="G39" s="106" t="n"/>
      <c r="H39" s="107" t="inlineStr">
        <is>
          <t>Ground</t>
        </is>
      </c>
    </row>
    <row r="40">
      <c r="A40" s="106" t="inlineStr">
        <is>
          <t>CAT B</t>
        </is>
      </c>
      <c r="B40" s="107" t="inlineStr">
        <is>
          <t>Role: MS</t>
        </is>
      </c>
      <c r="C40" s="107" t="n">
        <v>2</v>
      </c>
      <c r="D40" s="127" t="inlineStr">
        <is>
          <t>S2-B-MS2</t>
        </is>
      </c>
      <c r="E40" s="106" t="inlineStr">
        <is>
          <t>MS TACT TTX</t>
        </is>
      </c>
      <c r="F40" s="107" t="n"/>
      <c r="G40" s="106" t="n"/>
      <c r="H40" s="107" t="inlineStr">
        <is>
          <t>Ground</t>
        </is>
      </c>
    </row>
    <row r="41">
      <c r="A41" s="106" t="inlineStr">
        <is>
          <t>CAT B</t>
        </is>
      </c>
      <c r="B41" s="107" t="inlineStr">
        <is>
          <t>Role: MS</t>
        </is>
      </c>
      <c r="C41" s="107" t="n">
        <v>3</v>
      </c>
      <c r="D41" s="127" t="inlineStr">
        <is>
          <t>S2-B-MS3</t>
        </is>
      </c>
      <c r="E41" s="106" t="inlineStr">
        <is>
          <t>MS SIMS 1</t>
        </is>
      </c>
      <c r="F41" s="107" t="n"/>
      <c r="G41" s="106" t="n"/>
      <c r="H41" s="107" t="inlineStr">
        <is>
          <t>Sim</t>
        </is>
      </c>
    </row>
    <row r="42">
      <c r="A42" s="106" t="inlineStr">
        <is>
          <t>CAT B</t>
        </is>
      </c>
      <c r="B42" s="107" t="inlineStr">
        <is>
          <t>Role: MS</t>
        </is>
      </c>
      <c r="C42" s="107" t="n">
        <v>4</v>
      </c>
      <c r="D42" s="127" t="inlineStr">
        <is>
          <t>S2-B-MS4</t>
        </is>
      </c>
      <c r="E42" s="106" t="inlineStr">
        <is>
          <t>MS Flight 1</t>
        </is>
      </c>
      <c r="F42" s="107" t="n"/>
      <c r="G42" s="106" t="n"/>
      <c r="H42" s="107" t="inlineStr">
        <is>
          <t>Flight</t>
        </is>
      </c>
    </row>
    <row r="43">
      <c r="A43" s="106" t="inlineStr">
        <is>
          <t>CAT B</t>
        </is>
      </c>
      <c r="B43" s="107" t="inlineStr">
        <is>
          <t>Role: MS</t>
        </is>
      </c>
      <c r="C43" s="107" t="n">
        <v>5</v>
      </c>
      <c r="D43" s="127" t="inlineStr">
        <is>
          <t>S2-B-MS5</t>
        </is>
      </c>
      <c r="E43" s="106" t="inlineStr">
        <is>
          <t>MS Flight 2</t>
        </is>
      </c>
      <c r="F43" s="107" t="n"/>
      <c r="G43" s="106" t="n"/>
      <c r="H43" s="107" t="inlineStr">
        <is>
          <t>Flight</t>
        </is>
      </c>
    </row>
    <row r="44">
      <c r="A44" s="106" t="inlineStr">
        <is>
          <t>CAT B</t>
        </is>
      </c>
      <c r="B44" s="107" t="inlineStr">
        <is>
          <t>Role: MS</t>
        </is>
      </c>
      <c r="C44" s="107" t="n">
        <v>6</v>
      </c>
      <c r="D44" s="127" t="inlineStr">
        <is>
          <t>S2-B-MSCHK</t>
        </is>
      </c>
      <c r="E44" s="106" t="inlineStr">
        <is>
          <t>MS Check</t>
        </is>
      </c>
      <c r="F44" s="107" t="n"/>
      <c r="G44" s="106" t="n"/>
      <c r="H44" s="107" t="inlineStr">
        <is>
          <t>Flight</t>
        </is>
      </c>
    </row>
    <row r="45">
      <c r="A45" s="106" t="inlineStr">
        <is>
          <t>CAT A</t>
        </is>
      </c>
      <c r="B45" s="107" t="inlineStr">
        <is>
          <t>Sims</t>
        </is>
      </c>
      <c r="C45" s="107" t="n">
        <v>1</v>
      </c>
      <c r="D45" s="127" t="inlineStr">
        <is>
          <t>S2-A-SIM1</t>
        </is>
      </c>
      <c r="E45" s="106" t="inlineStr">
        <is>
          <t>MAS Tact SIMS 1</t>
        </is>
      </c>
      <c r="F45" s="107" t="n"/>
      <c r="G45" s="106" t="n"/>
      <c r="H45" s="107" t="inlineStr">
        <is>
          <t>Sim</t>
        </is>
      </c>
    </row>
    <row r="46">
      <c r="A46" s="106" t="inlineStr">
        <is>
          <t>CAT A</t>
        </is>
      </c>
      <c r="B46" s="107" t="inlineStr">
        <is>
          <t>Sims</t>
        </is>
      </c>
      <c r="C46" s="107" t="n">
        <v>2</v>
      </c>
      <c r="D46" s="127" t="inlineStr">
        <is>
          <t>S2-A-SIM2</t>
        </is>
      </c>
      <c r="E46" s="106" t="inlineStr">
        <is>
          <t>MAS Tact SIMS 2</t>
        </is>
      </c>
      <c r="F46" s="107" t="n"/>
      <c r="G46" s="106" t="n"/>
      <c r="H46" s="107" t="inlineStr">
        <is>
          <t>Sim</t>
        </is>
      </c>
    </row>
    <row r="47">
      <c r="A47" s="106" t="inlineStr">
        <is>
          <t>CAT A</t>
        </is>
      </c>
      <c r="B47" s="107" t="inlineStr">
        <is>
          <t>Sims</t>
        </is>
      </c>
      <c r="C47" s="107" t="n">
        <v>3</v>
      </c>
      <c r="D47" s="127" t="inlineStr">
        <is>
          <t>S2-A-SIM3</t>
        </is>
      </c>
      <c r="E47" s="106" t="inlineStr">
        <is>
          <t>MAS Tact SIMS 3</t>
        </is>
      </c>
      <c r="F47" s="107" t="n"/>
      <c r="G47" s="106" t="n"/>
      <c r="H47" s="107" t="inlineStr">
        <is>
          <t>Sim</t>
        </is>
      </c>
    </row>
    <row r="48">
      <c r="A48" s="106" t="inlineStr">
        <is>
          <t>CAT A</t>
        </is>
      </c>
      <c r="B48" s="107" t="inlineStr">
        <is>
          <t>Sims</t>
        </is>
      </c>
      <c r="C48" s="107" t="n">
        <v>4</v>
      </c>
      <c r="D48" s="127" t="inlineStr">
        <is>
          <t>S2-A-SIMCHK</t>
        </is>
      </c>
      <c r="E48" s="106" t="inlineStr">
        <is>
          <t>MAS Tact SIMS Check</t>
        </is>
      </c>
      <c r="F48" s="107" t="n"/>
      <c r="G48" s="106" t="n"/>
      <c r="H48" s="107" t="inlineStr">
        <is>
          <t>Sim</t>
        </is>
      </c>
    </row>
    <row r="49">
      <c r="A49" s="106" t="inlineStr">
        <is>
          <t>CAT A</t>
        </is>
      </c>
      <c r="B49" s="107" t="inlineStr">
        <is>
          <t>Flight</t>
        </is>
      </c>
      <c r="C49" s="107" t="n">
        <v>1</v>
      </c>
      <c r="D49" s="127" t="inlineStr">
        <is>
          <t>S2-A-FLT1</t>
        </is>
      </c>
      <c r="E49" s="106" t="inlineStr">
        <is>
          <t>MAS Tact Flight 1</t>
        </is>
      </c>
      <c r="F49" s="107" t="n"/>
      <c r="G49" s="106" t="n"/>
      <c r="H49" s="107" t="inlineStr">
        <is>
          <t>Flight</t>
        </is>
      </c>
    </row>
    <row r="50">
      <c r="A50" s="106" t="inlineStr">
        <is>
          <t>CAT A</t>
        </is>
      </c>
      <c r="B50" s="107" t="inlineStr">
        <is>
          <t>Flight</t>
        </is>
      </c>
      <c r="C50" s="107" t="n">
        <v>2</v>
      </c>
      <c r="D50" s="127" t="inlineStr">
        <is>
          <t>S2-A-FLT2</t>
        </is>
      </c>
      <c r="E50" s="106" t="inlineStr">
        <is>
          <t>MAS Tact Flight 2</t>
        </is>
      </c>
      <c r="F50" s="107" t="n"/>
      <c r="G50" s="106" t="n"/>
      <c r="H50" s="107" t="inlineStr">
        <is>
          <t>Flight</t>
        </is>
      </c>
    </row>
    <row r="51">
      <c r="A51" s="106" t="inlineStr">
        <is>
          <t>CAT A</t>
        </is>
      </c>
      <c r="B51" s="107" t="inlineStr">
        <is>
          <t>Flight</t>
        </is>
      </c>
      <c r="C51" s="107" t="n">
        <v>3</v>
      </c>
      <c r="D51" s="127" t="inlineStr">
        <is>
          <t>S2-A-FLT3</t>
        </is>
      </c>
      <c r="E51" s="106" t="inlineStr">
        <is>
          <t>MAS Tact Flight 3</t>
        </is>
      </c>
      <c r="F51" s="107" t="n"/>
      <c r="G51" s="106" t="n"/>
      <c r="H51" s="107" t="inlineStr">
        <is>
          <t>Flight</t>
        </is>
      </c>
    </row>
    <row r="52">
      <c r="A52" s="106" t="inlineStr">
        <is>
          <t>CAT A</t>
        </is>
      </c>
      <c r="B52" s="107" t="inlineStr">
        <is>
          <t>Flight</t>
        </is>
      </c>
      <c r="C52" s="107" t="n">
        <v>4</v>
      </c>
      <c r="D52" s="127" t="inlineStr">
        <is>
          <t>S2-A-FLTCHK</t>
        </is>
      </c>
      <c r="E52" s="106" t="inlineStr">
        <is>
          <t>MAS Tact Flight Check</t>
        </is>
      </c>
      <c r="F52" s="107" t="n"/>
      <c r="G52" s="106" t="n"/>
      <c r="H52" s="107" t="inlineStr">
        <is>
          <t>Flight</t>
        </is>
      </c>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row>
    <row r="21">
      <c r="A21" s="95" t="inlineStr">
        <is>
          <t>SDO</t>
        </is>
      </c>
      <c r="B21" s="95" t="inlineStr">
        <is>
          <t>Squadron Duty Orderly</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row>
    <row r="22">
      <c r="A22" s="95" t="inlineStr">
        <is>
          <t>BDO</t>
        </is>
      </c>
      <c r="B22" s="95" t="inlineStr">
        <is>
          <t>Base Duty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row>
    <row r="23">
      <c r="A23" s="95" t="inlineStr">
        <is>
          <t>Meeting</t>
        </is>
      </c>
      <c r="B23" s="95" t="inlineStr">
        <is>
          <t>Meeting</t>
        </is>
      </c>
      <c r="C23" s="95" t="inlineStr">
        <is>
          <t>Admin</t>
        </is>
      </c>
      <c r="D23" s="143" t="n">
        <v>0</v>
      </c>
      <c r="E23" s="95" t="n"/>
      <c r="F23" s="95" t="n"/>
      <c r="I23" s="145" t="n">
        <v>46426</v>
      </c>
      <c r="J23" s="95" t="inlineStr">
        <is>
          <t>Chinese New Year (in lieu)</t>
        </is>
      </c>
      <c r="K23" s="95" t="n"/>
      <c r="L23">
        <f>IF($A23="","",IF($E23="",1,$E23))</f>
        <v/>
      </c>
      <c r="M23">
        <f>IF(AND($A23&lt;&gt;"",$C23=$G$6),COUNTIFS($A$6:$A23,"&lt;&gt;",$C$6:$C23,$G$6),"")</f>
        <v/>
      </c>
      <c r="N23">
        <f>IFERROR(INDEX($A$6:$A$65,MATCH(18,$M$6:$M$65,0)),"")</f>
        <v/>
      </c>
    </row>
    <row r="24">
      <c r="A24" s="95" t="inlineStr">
        <is>
          <t>Outstation</t>
        </is>
      </c>
      <c r="B24" s="95" t="inlineStr">
        <is>
          <t>Out of office for work purpose</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row>
    <row r="25">
      <c r="A25" s="95" t="inlineStr">
        <is>
          <t>Detachment</t>
        </is>
      </c>
      <c r="B25" s="95" t="inlineStr">
        <is>
          <t>Detachment</t>
        </is>
      </c>
      <c r="C25" s="95" t="inlineStr">
        <is>
          <t>Oversea Duty</t>
        </is>
      </c>
      <c r="D25" s="143" t="n">
        <v>0</v>
      </c>
      <c r="E25" s="95" t="n"/>
      <c r="F25" s="95" t="n"/>
      <c r="I25" s="145" t="n">
        <v>46472</v>
      </c>
      <c r="J25" s="95" t="inlineStr">
        <is>
          <t>Good Friday</t>
        </is>
      </c>
      <c r="K25" s="95" t="n"/>
      <c r="L25">
        <f>IF($A25="","",IF($E25="",1,$E25))</f>
        <v/>
      </c>
      <c r="M25">
        <f>IF(AND($A25&lt;&gt;"",$C25=$G$6),COUNTIFS($A$6:$A25,"&lt;&gt;",$C$6:$C25,$G$6),"")</f>
        <v/>
      </c>
      <c r="N25">
        <f>IFERROR(INDEX($A$6:$A$65,MATCH(20,$M$6:$M$65,0)),"")</f>
        <v/>
      </c>
    </row>
    <row r="26">
      <c r="A26" s="95" t="inlineStr">
        <is>
          <t>MC</t>
        </is>
      </c>
      <c r="B26" s="95" t="inlineStr">
        <is>
          <t>Medical Leave</t>
        </is>
      </c>
      <c r="C26" s="95" t="inlineStr">
        <is>
          <t>Medical</t>
        </is>
      </c>
      <c r="D26" s="143" t="n">
        <v>0</v>
      </c>
      <c r="E26" s="95" t="n"/>
      <c r="F26" s="95" t="n"/>
      <c r="I26" s="145" t="n">
        <v>46508</v>
      </c>
      <c r="J26" s="95" t="inlineStr">
        <is>
          <t>Labour Day</t>
        </is>
      </c>
      <c r="K26" s="95" t="n"/>
      <c r="L26">
        <f>IF($A26="","",IF($E26="",1,$E26))</f>
        <v/>
      </c>
      <c r="M26">
        <f>IF(AND($A26&lt;&gt;"",$C26=$G$6),COUNTIFS($A$6:$A26,"&lt;&gt;",$C$6:$C26,$G$6),"")</f>
        <v/>
      </c>
      <c r="N26">
        <f>IFERROR(INDEX($A$6:$A$65,MATCH(21,$M$6:$M$65,0)),"")</f>
        <v/>
      </c>
    </row>
    <row r="27">
      <c r="A27" s="95" t="inlineStr">
        <is>
          <t>Medical Appt</t>
        </is>
      </c>
      <c r="B27" s="95" t="inlineStr">
        <is>
          <t>Medical Appointment</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row>
    <row r="28">
      <c r="A28" s="95" t="inlineStr">
        <is>
          <t>LL</t>
        </is>
      </c>
      <c r="B28" s="95" t="inlineStr">
        <is>
          <t>Local Leave</t>
        </is>
      </c>
      <c r="C28" s="95" t="inlineStr">
        <is>
          <t>Leave</t>
        </is>
      </c>
      <c r="D28" s="143" t="n">
        <v>0</v>
      </c>
      <c r="E28" s="95" t="n"/>
      <c r="F28" s="95" t="n"/>
      <c r="I28" s="145" t="n">
        <v>46527</v>
      </c>
      <c r="J28" s="95" t="inlineStr">
        <is>
          <t>Vesak Day</t>
        </is>
      </c>
      <c r="K28" s="95" t="n"/>
      <c r="L28">
        <f>IF($A28="","",IF($E28="",1,$E28))</f>
        <v/>
      </c>
      <c r="M28">
        <f>IF(AND($A28&lt;&gt;"",$C28=$G$6),COUNTIFS($A$6:$A28,"&lt;&gt;",$C$6:$C28,$G$6),"")</f>
        <v/>
      </c>
      <c r="N28">
        <f>IFERROR(INDEX($A$6:$A$65,MATCH(23,$M$6:$M$65,0)),"")</f>
        <v/>
      </c>
    </row>
    <row r="29">
      <c r="A29" s="95" t="inlineStr">
        <is>
          <t>OL</t>
        </is>
      </c>
      <c r="B29" s="95" t="inlineStr">
        <is>
          <t>Oversea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row>
    <row r="30">
      <c r="A30" s="95" t="inlineStr">
        <is>
          <t>OIL</t>
        </is>
      </c>
      <c r="B30" s="95" t="inlineStr">
        <is>
          <t>OIL</t>
        </is>
      </c>
      <c r="C30" s="95" t="inlineStr">
        <is>
          <t>Off</t>
        </is>
      </c>
      <c r="D30" s="143" t="n">
        <v>0</v>
      </c>
      <c r="E30" s="95" t="n"/>
      <c r="F30" s="95" t="n"/>
      <c r="I30" s="145" t="n">
        <v>46688</v>
      </c>
      <c r="J30" s="95" t="inlineStr">
        <is>
          <t>Deepavali</t>
        </is>
      </c>
      <c r="K30" s="95" t="n"/>
      <c r="L30">
        <f>IF($A30="","",IF($E30="",1,$E30))</f>
        <v/>
      </c>
      <c r="M30">
        <f>IF(AND($A30&lt;&gt;"",$C30=$G$6),COUNTIFS($A$6:$A30,"&lt;&gt;",$C$6:$C30,$G$6),"")</f>
        <v/>
      </c>
      <c r="N30">
        <f>IFERROR(INDEX($A$6:$A$65,MATCH(25,$M$6:$M$65,0)),"")</f>
        <v/>
      </c>
    </row>
    <row r="31">
      <c r="A31" s="95" t="n"/>
      <c r="B31" s="95" t="n"/>
      <c r="C31" s="95" t="n"/>
      <c r="D31" s="143" t="n"/>
      <c r="E31" s="95" t="n"/>
      <c r="F31" s="95" t="n"/>
      <c r="I31" s="145" t="n">
        <v>46746</v>
      </c>
      <c r="J31" s="95" t="inlineStr">
        <is>
          <t>Christmas Day</t>
        </is>
      </c>
      <c r="K31" s="95" t="n"/>
      <c r="L31">
        <f>IF($A31="","",IF($E31="",1,$E31))</f>
        <v/>
      </c>
      <c r="M31">
        <f>IF(AND($A31&lt;&gt;"",$C31=$G$6),COUNTIFS($A$6:$A31,"&lt;&gt;",$C$6:$C31,$G$6),"")</f>
        <v/>
      </c>
      <c r="N31">
        <f>IFERROR(INDEX($A$6:$A$65,MATCH(26,$M$6:$M$65,0)),"")</f>
        <v/>
      </c>
    </row>
    <row r="32">
      <c r="A32" s="95" t="n"/>
      <c r="B32" s="95" t="n"/>
      <c r="C32" s="95" t="n"/>
      <c r="D32" s="143" t="n"/>
      <c r="E32" s="95" t="n"/>
      <c r="F32" s="95" t="n"/>
      <c r="I32" s="145" t="n"/>
      <c r="J32" s="95" t="n"/>
      <c r="K32" s="95" t="n"/>
      <c r="L32">
        <f>IF($A32="","",IF($E32="",1,$E32))</f>
        <v/>
      </c>
      <c r="M32">
        <f>IF(AND($A32&lt;&gt;"",$C32=$G$6),COUNTIFS($A$6:$A32,"&lt;&gt;",$C$6:$C32,$G$6),"")</f>
        <v/>
      </c>
      <c r="N32">
        <f>IFERROR(INDEX($A$6:$A$65,MATCH(27,$M$6:$M$65,0)),"")</f>
        <v/>
      </c>
    </row>
    <row r="33">
      <c r="A33" s="95" t="n"/>
      <c r="B33" s="95" t="n"/>
      <c r="C33" s="95" t="n"/>
      <c r="D33" s="143" t="n"/>
      <c r="E33" s="95" t="n"/>
      <c r="F33" s="95" t="n"/>
      <c r="I33" s="145" t="n"/>
      <c r="J33" s="95" t="n"/>
      <c r="K33" s="95" t="n"/>
      <c r="L33">
        <f>IF($A33="","",IF($E33="",1,$E33))</f>
        <v/>
      </c>
      <c r="M33">
        <f>IF(AND($A33&lt;&gt;"",$C33=$G$6),COUNTIFS($A$6:$A33,"&lt;&gt;",$C$6:$C33,$G$6),"")</f>
        <v/>
      </c>
      <c r="N33">
        <f>IFERROR(INDEX($A$6:$A$65,MATCH(28,$M$6:$M$65,0)),"")</f>
        <v/>
      </c>
    </row>
    <row r="34">
      <c r="A34" s="95" t="n"/>
      <c r="B34" s="95" t="n"/>
      <c r="C34" s="95" t="n"/>
      <c r="D34" s="143" t="n"/>
      <c r="E34" s="95" t="n"/>
      <c r="F34" s="95" t="n"/>
      <c r="I34" s="145" t="n"/>
      <c r="J34" s="95" t="n"/>
      <c r="K34" s="95" t="n"/>
      <c r="L34">
        <f>IF($A34="","",IF($E34="",1,$E34))</f>
        <v/>
      </c>
      <c r="M34">
        <f>IF(AND($A34&lt;&gt;"",$C34=$G$6),COUNTIFS($A$6:$A34,"&lt;&gt;",$C$6:$C34,$G$6),"")</f>
        <v/>
      </c>
      <c r="N34">
        <f>IFERROR(INDEX($A$6:$A$65,MATCH(29,$M$6:$M$65,0)),"")</f>
        <v/>
      </c>
    </row>
    <row r="35">
      <c r="A35" s="95" t="n"/>
      <c r="B35" s="95" t="n"/>
      <c r="C35" s="95" t="n"/>
      <c r="D35" s="143" t="n"/>
      <c r="E35" s="95" t="n"/>
      <c r="F35" s="95" t="n"/>
      <c r="I35" s="145" t="n"/>
      <c r="J35" s="95" t="n"/>
      <c r="K35" s="95" t="n"/>
      <c r="L35">
        <f>IF($A35="","",IF($E35="",1,$E35))</f>
        <v/>
      </c>
      <c r="M35">
        <f>IF(AND($A35&lt;&gt;"",$C35=$G$6),COUNTIFS($A$6:$A35,"&lt;&gt;",$C$6:$C35,$G$6),"")</f>
        <v/>
      </c>
      <c r="N35">
        <f>IFERROR(INDEX($A$6:$A$65,MATCH(30,$M$6:$M$65,0)),"")</f>
        <v/>
      </c>
    </row>
    <row r="36">
      <c r="A36" s="95" t="n"/>
      <c r="B36" s="95" t="n"/>
      <c r="C36" s="95" t="n"/>
      <c r="D36" s="143" t="n"/>
      <c r="E36" s="95" t="n"/>
      <c r="F36" s="95" t="n"/>
      <c r="K36" s="95" t="n"/>
      <c r="L36">
        <f>IF($A36="","",IF($E36="",1,$E36))</f>
        <v/>
      </c>
      <c r="M36">
        <f>IF(AND($A36&lt;&gt;"",$C36=$G$6),COUNTIFS($A$6:$A36,"&lt;&gt;",$C$6:$C36,$G$6),"")</f>
        <v/>
      </c>
      <c r="N36">
        <f>IFERROR(INDEX($A$6:$A$65,MATCH(31,$M$6:$M$65,0)),"")</f>
        <v/>
      </c>
    </row>
    <row r="37">
      <c r="A37" s="95" t="n"/>
      <c r="B37" s="95" t="n"/>
      <c r="C37" s="95" t="n"/>
      <c r="D37" s="143" t="n"/>
      <c r="E37" s="95" t="n"/>
      <c r="F37" s="95" t="n"/>
      <c r="K37" s="95" t="n"/>
      <c r="L37">
        <f>IF($A37="","",IF($E37="",1,$E37))</f>
        <v/>
      </c>
      <c r="M37">
        <f>IF(AND($A37&lt;&gt;"",$C37=$G$6),COUNTIFS($A$6:$A37,"&lt;&gt;",$C$6:$C37,$G$6),"")</f>
        <v/>
      </c>
      <c r="N37">
        <f>IFERROR(INDEX($A$6:$A$65,MATCH(32,$M$6:$M$65,0)),"")</f>
        <v/>
      </c>
    </row>
    <row r="38">
      <c r="A38" s="95" t="n"/>
      <c r="B38" s="95" t="n"/>
      <c r="C38" s="95" t="n"/>
      <c r="D38" s="143" t="n"/>
      <c r="E38" s="95" t="n"/>
      <c r="F38" s="95" t="n"/>
      <c r="K38" s="95" t="n"/>
      <c r="L38">
        <f>IF($A38="","",IF($E38="",1,$E38))</f>
        <v/>
      </c>
      <c r="M38">
        <f>IF(AND($A38&lt;&gt;"",$C38=$G$6),COUNTIFS($A$6:$A38,"&lt;&gt;",$C$6:$C38,$G$6),"")</f>
        <v/>
      </c>
      <c r="N38">
        <f>IFERROR(INDEX($A$6:$A$65,MATCH(33,$M$6:$M$65,0)),"")</f>
        <v/>
      </c>
    </row>
    <row r="39">
      <c r="A39" s="95" t="n"/>
      <c r="B39" s="95" t="n"/>
      <c r="C39" s="95" t="n"/>
      <c r="D39" s="143" t="n"/>
      <c r="E39" s="95" t="n"/>
      <c r="F39" s="95" t="n"/>
      <c r="K39" s="95" t="n"/>
      <c r="L39">
        <f>IF($A39="","",IF($E39="",1,$E39))</f>
        <v/>
      </c>
      <c r="M39">
        <f>IF(AND($A39&lt;&gt;"",$C39=$G$6),COUNTIFS($A$6:$A39,"&lt;&gt;",$C$6:$C39,$G$6),"")</f>
        <v/>
      </c>
      <c r="N39">
        <f>IFERROR(INDEX($A$6:$A$65,MATCH(34,$M$6:$M$65,0)),"")</f>
        <v/>
      </c>
    </row>
    <row r="40">
      <c r="A40" s="95" t="n"/>
      <c r="B40" s="95" t="n"/>
      <c r="C40" s="95" t="n"/>
      <c r="D40" s="143" t="n"/>
      <c r="E40" s="95" t="n"/>
      <c r="F40" s="95" t="n"/>
      <c r="K40" s="95" t="n"/>
      <c r="L40">
        <f>IF($A40="","",IF($E40="",1,$E40))</f>
        <v/>
      </c>
      <c r="M40">
        <f>IF(AND($A40&lt;&gt;"",$C40=$G$6),COUNTIFS($A$6:$A40,"&lt;&gt;",$C$6:$C40,$G$6),"")</f>
        <v/>
      </c>
      <c r="N40">
        <f>IFERROR(INDEX($A$6:$A$65,MATCH(35,$M$6:$M$65,0)),"")</f>
        <v/>
      </c>
    </row>
    <row r="41">
      <c r="A41" s="95" t="n"/>
      <c r="B41" s="95" t="n"/>
      <c r="C41" s="95" t="n"/>
      <c r="D41" s="143" t="n"/>
      <c r="E41" s="95" t="n"/>
      <c r="F41" s="95" t="n"/>
      <c r="K41" s="95" t="n"/>
      <c r="L41">
        <f>IF($A41="","",IF($E41="",1,$E41))</f>
        <v/>
      </c>
      <c r="M41">
        <f>IF(AND($A41&lt;&gt;"",$C41=$G$6),COUNTIFS($A$6:$A41,"&lt;&gt;",$C$6:$C41,$G$6),"")</f>
        <v/>
      </c>
      <c r="N41">
        <f>IFERROR(INDEX($A$6:$A$65,MATCH(36,$M$6:$M$65,0)),"")</f>
        <v/>
      </c>
    </row>
    <row r="42">
      <c r="A42" s="95" t="n"/>
      <c r="B42" s="95" t="n"/>
      <c r="C42" s="95" t="n"/>
      <c r="D42" s="143" t="n"/>
      <c r="E42" s="95" t="n"/>
      <c r="F42" s="95" t="n"/>
      <c r="K42" s="95" t="n"/>
      <c r="L42">
        <f>IF($A42="","",IF($E42="",1,$E42))</f>
        <v/>
      </c>
      <c r="M42">
        <f>IF(AND($A42&lt;&gt;"",$C42=$G$6),COUNTIFS($A$6:$A42,"&lt;&gt;",$C$6:$C42,$G$6),"")</f>
        <v/>
      </c>
      <c r="N42">
        <f>IFERROR(INDEX($A$6:$A$65,MATCH(37,$M$6:$M$65,0)),"")</f>
        <v/>
      </c>
    </row>
    <row r="43">
      <c r="A43" s="95" t="n"/>
      <c r="B43" s="95" t="n"/>
      <c r="C43" s="95" t="n"/>
      <c r="D43" s="143" t="n"/>
      <c r="E43" s="95" t="n"/>
      <c r="F43" s="95" t="n"/>
      <c r="K43" s="95" t="n"/>
      <c r="L43">
        <f>IF($A43="","",IF($E43="",1,$E43))</f>
        <v/>
      </c>
      <c r="M43">
        <f>IF(AND($A43&lt;&gt;"",$C43=$G$6),COUNTIFS($A$6:$A43,"&lt;&gt;",$C$6:$C43,$G$6),"")</f>
        <v/>
      </c>
      <c r="N43">
        <f>IFERROR(INDEX($A$6:$A$65,MATCH(38,$M$6:$M$65,0)),"")</f>
        <v/>
      </c>
    </row>
    <row r="44">
      <c r="A44" s="95" t="n"/>
      <c r="B44" s="95" t="n"/>
      <c r="C44" s="95" t="n"/>
      <c r="D44" s="143" t="n"/>
      <c r="E44" s="95" t="n"/>
      <c r="F44" s="95" t="n"/>
      <c r="K44" s="95" t="n"/>
      <c r="L44">
        <f>IF($A44="","",IF($E44="",1,$E44))</f>
        <v/>
      </c>
      <c r="M44">
        <f>IF(AND($A44&lt;&gt;"",$C44=$G$6),COUNTIFS($A$6:$A44,"&lt;&gt;",$C$6:$C44,$G$6),"")</f>
        <v/>
      </c>
      <c r="N44">
        <f>IFERROR(INDEX($A$6:$A$65,MATCH(39,$M$6:$M$65,0)),"")</f>
        <v/>
      </c>
    </row>
    <row r="45">
      <c r="A45" s="95" t="n"/>
      <c r="B45" s="95" t="n"/>
      <c r="C45" s="95" t="n"/>
      <c r="D45" s="143" t="n"/>
      <c r="E45" s="95" t="n"/>
      <c r="F45" s="95" t="n"/>
      <c r="K45" s="95" t="n"/>
      <c r="L45">
        <f>IF($A45="","",IF($E45="",1,$E45))</f>
        <v/>
      </c>
      <c r="M45">
        <f>IF(AND($A45&lt;&gt;"",$C45=$G$6),COUNTIFS($A$6:$A45,"&lt;&gt;",$C$6:$C45,$G$6),"")</f>
        <v/>
      </c>
      <c r="N45">
        <f>IFERROR(INDEX($A$6:$A$65,MATCH(40,$M$6:$M$65,0)),"")</f>
        <v/>
      </c>
    </row>
    <row r="46">
      <c r="A46" s="95" t="n"/>
      <c r="B46" s="95" t="n"/>
      <c r="C46" s="95" t="n"/>
      <c r="D46" s="143" t="n"/>
      <c r="E46" s="95" t="n"/>
      <c r="F46" s="95" t="n"/>
      <c r="K46" s="95" t="n"/>
      <c r="L46">
        <f>IF($A46="","",IF($E46="",1,$E46))</f>
        <v/>
      </c>
      <c r="M46">
        <f>IF(AND($A46&lt;&gt;"",$C46=$G$6),COUNTIFS($A$6:$A46,"&lt;&gt;",$C$6:$C46,$G$6),"")</f>
        <v/>
      </c>
      <c r="N46">
        <f>IFERROR(INDEX($A$6:$A$65,MATCH(41,$M$6:$M$65,0)),"")</f>
        <v/>
      </c>
    </row>
    <row r="47">
      <c r="A47" s="95" t="n"/>
      <c r="B47" s="95" t="n"/>
      <c r="C47" s="95" t="n"/>
      <c r="D47" s="143" t="n"/>
      <c r="E47" s="95" t="n"/>
      <c r="F47" s="95" t="n"/>
      <c r="K47" s="95" t="n"/>
      <c r="L47">
        <f>IF($A47="","",IF($E47="",1,$E47))</f>
        <v/>
      </c>
      <c r="M47">
        <f>IF(AND($A47&lt;&gt;"",$C47=$G$6),COUNTIFS($A$6:$A47,"&lt;&gt;",$C$6:$C47,$G$6),"")</f>
        <v/>
      </c>
      <c r="N47">
        <f>IFERROR(INDEX($A$6:$A$65,MATCH(42,$M$6:$M$65,0)),"")</f>
        <v/>
      </c>
    </row>
    <row r="48">
      <c r="A48" s="95" t="n"/>
      <c r="B48" s="95" t="n"/>
      <c r="C48" s="95" t="n"/>
      <c r="D48" s="143" t="n"/>
      <c r="E48" s="95" t="n"/>
      <c r="F48" s="95" t="n"/>
      <c r="K48" s="95" t="n"/>
      <c r="L48">
        <f>IF($A48="","",IF($E48="",1,$E48))</f>
        <v/>
      </c>
      <c r="M48">
        <f>IF(AND($A48&lt;&gt;"",$C48=$G$6),COUNTIFS($A$6:$A48,"&lt;&gt;",$C$6:$C48,$G$6),"")</f>
        <v/>
      </c>
      <c r="N48">
        <f>IFERROR(INDEX($A$6:$A$65,MATCH(43,$M$6:$M$65,0)),"")</f>
        <v/>
      </c>
    </row>
    <row r="49">
      <c r="A49" s="95" t="n"/>
      <c r="B49" s="95" t="n"/>
      <c r="C49" s="95" t="n"/>
      <c r="D49" s="143" t="n"/>
      <c r="E49" s="95" t="n"/>
      <c r="F49" s="95" t="n"/>
      <c r="K49" s="95" t="n"/>
      <c r="L49">
        <f>IF($A49="","",IF($E49="",1,$E49))</f>
        <v/>
      </c>
      <c r="M49">
        <f>IF(AND($A49&lt;&gt;"",$C49=$G$6),COUNTIFS($A$6:$A49,"&lt;&gt;",$C$6:$C49,$G$6),"")</f>
        <v/>
      </c>
      <c r="N49">
        <f>IFERROR(INDEX($A$6:$A$65,MATCH(44,$M$6:$M$65,0)),"")</f>
        <v/>
      </c>
    </row>
    <row r="50">
      <c r="A50" s="95" t="n"/>
      <c r="B50" s="95" t="n"/>
      <c r="C50" s="95" t="n"/>
      <c r="D50" s="143" t="n"/>
      <c r="E50" s="95" t="n"/>
      <c r="F50" s="95" t="n"/>
      <c r="K50" s="95" t="n"/>
      <c r="L50">
        <f>IF($A50="","",IF($E50="",1,$E50))</f>
        <v/>
      </c>
      <c r="M50">
        <f>IF(AND($A50&lt;&gt;"",$C50=$G$6),COUNTIFS($A$6:$A50,"&lt;&gt;",$C$6:$C50,$G$6),"")</f>
        <v/>
      </c>
      <c r="N50">
        <f>IFERROR(INDEX($A$6:$A$65,MATCH(45,$M$6:$M$65,0)),"")</f>
        <v/>
      </c>
    </row>
    <row r="51">
      <c r="A51" s="95" t="n"/>
      <c r="B51" s="95" t="n"/>
      <c r="C51" s="95" t="n"/>
      <c r="D51" s="143" t="n"/>
      <c r="E51" s="95" t="n"/>
      <c r="F51" s="95" t="n"/>
      <c r="K51" s="95" t="n"/>
      <c r="L51">
        <f>IF($A51="","",IF($E51="",1,$E51))</f>
        <v/>
      </c>
      <c r="M51">
        <f>IF(AND($A51&lt;&gt;"",$C51=$G$6),COUNTIFS($A$6:$A51,"&lt;&gt;",$C$6:$C51,$G$6),"")</f>
        <v/>
      </c>
      <c r="N51">
        <f>IFERROR(INDEX($A$6:$A$65,MATCH(46,$M$6:$M$65,0)),"")</f>
        <v/>
      </c>
    </row>
    <row r="52">
      <c r="A52" s="95" t="n"/>
      <c r="B52" s="95" t="n"/>
      <c r="C52" s="95" t="n"/>
      <c r="D52" s="143" t="n"/>
      <c r="E52" s="95" t="n"/>
      <c r="F52" s="95" t="n"/>
      <c r="K52" s="95" t="n"/>
      <c r="L52">
        <f>IF($A52="","",IF($E52="",1,$E52))</f>
        <v/>
      </c>
      <c r="M52">
        <f>IF(AND($A52&lt;&gt;"",$C52=$G$6),COUNTIFS($A$6:$A52,"&lt;&gt;",$C$6:$C52,$G$6),"")</f>
        <v/>
      </c>
      <c r="N52">
        <f>IFERROR(INDEX($A$6:$A$65,MATCH(47,$M$6:$M$65,0)),"")</f>
        <v/>
      </c>
    </row>
    <row r="53">
      <c r="A53" s="95" t="n"/>
      <c r="B53" s="95" t="n"/>
      <c r="C53" s="95" t="n"/>
      <c r="D53" s="143" t="n"/>
      <c r="E53" s="95" t="n"/>
      <c r="F53" s="95" t="n"/>
      <c r="K53" s="95" t="n"/>
      <c r="L53">
        <f>IF($A53="","",IF($E53="",1,$E53))</f>
        <v/>
      </c>
      <c r="M53">
        <f>IF(AND($A53&lt;&gt;"",$C53=$G$6),COUNTIFS($A$6:$A53,"&lt;&gt;",$C$6:$C53,$G$6),"")</f>
        <v/>
      </c>
      <c r="N53">
        <f>IFERROR(INDEX($A$6:$A$65,MATCH(48,$M$6:$M$65,0)),"")</f>
        <v/>
      </c>
    </row>
    <row r="54">
      <c r="A54" s="95" t="n"/>
      <c r="B54" s="95" t="n"/>
      <c r="C54" s="95" t="n"/>
      <c r="D54" s="143" t="n"/>
      <c r="E54" s="95" t="n"/>
      <c r="F54" s="95" t="n"/>
      <c r="K54" s="95" t="n"/>
      <c r="L54">
        <f>IF($A54="","",IF($E54="",1,$E54))</f>
        <v/>
      </c>
      <c r="M54">
        <f>IF(AND($A54&lt;&gt;"",$C54=$G$6),COUNTIFS($A$6:$A54,"&lt;&gt;",$C$6:$C54,$G$6),"")</f>
        <v/>
      </c>
      <c r="N54">
        <f>IFERROR(INDEX($A$6:$A$65,MATCH(49,$M$6:$M$65,0)),"")</f>
        <v/>
      </c>
    </row>
    <row r="55">
      <c r="A55" s="95" t="n"/>
      <c r="B55" s="95" t="n"/>
      <c r="C55" s="95" t="n"/>
      <c r="D55" s="143" t="n"/>
      <c r="E55" s="95" t="n"/>
      <c r="F55" s="95" t="n"/>
      <c r="K55" s="95" t="n"/>
      <c r="L55">
        <f>IF($A55="","",IF($E55="",1,$E55))</f>
        <v/>
      </c>
      <c r="M55">
        <f>IF(AND($A55&lt;&gt;"",$C55=$G$6),COUNTIFS($A$6:$A55,"&lt;&gt;",$C$6:$C55,$G$6),"")</f>
        <v/>
      </c>
      <c r="N55">
        <f>IFERROR(INDEX($A$6:$A$65,MATCH(50,$M$6:$M$65,0)),"")</f>
        <v/>
      </c>
    </row>
    <row r="56">
      <c r="A56" s="95" t="n"/>
      <c r="B56" s="95" t="n"/>
      <c r="C56" s="95" t="n"/>
      <c r="D56" s="143" t="n"/>
      <c r="E56" s="95" t="n"/>
      <c r="F56" s="95" t="n"/>
      <c r="K56" s="95" t="n"/>
      <c r="L56">
        <f>IF($A56="","",IF($E56="",1,$E56))</f>
        <v/>
      </c>
      <c r="M56">
        <f>IF(AND($A56&lt;&gt;"",$C56=$G$6),COUNTIFS($A$6:$A56,"&lt;&gt;",$C$6:$C56,$G$6),"")</f>
        <v/>
      </c>
      <c r="N56">
        <f>IFERROR(INDEX($A$6:$A$65,MATCH(51,$M$6:$M$65,0)),"")</f>
        <v/>
      </c>
    </row>
    <row r="57">
      <c r="A57" s="95" t="n"/>
      <c r="B57" s="95" t="n"/>
      <c r="C57" s="95" t="n"/>
      <c r="D57" s="143" t="n"/>
      <c r="E57" s="95" t="n"/>
      <c r="F57" s="95" t="n"/>
      <c r="K57" s="95" t="n"/>
      <c r="L57">
        <f>IF($A57="","",IF($E57="",1,$E57))</f>
        <v/>
      </c>
      <c r="M57">
        <f>IF(AND($A57&lt;&gt;"",$C57=$G$6),COUNTIFS($A$6:$A57,"&lt;&gt;",$C$6:$C57,$G$6),"")</f>
        <v/>
      </c>
      <c r="N57">
        <f>IFERROR(INDEX($A$6:$A$65,MATCH(52,$M$6:$M$65,0)),"")</f>
        <v/>
      </c>
    </row>
    <row r="58">
      <c r="A58" s="95" t="n"/>
      <c r="B58" s="95" t="n"/>
      <c r="C58" s="95" t="n"/>
      <c r="D58" s="143" t="n"/>
      <c r="E58" s="95" t="n"/>
      <c r="F58" s="95" t="n"/>
      <c r="K58" s="95" t="n"/>
      <c r="L58">
        <f>IF($A58="","",IF($E58="",1,$E58))</f>
        <v/>
      </c>
      <c r="M58">
        <f>IF(AND($A58&lt;&gt;"",$C58=$G$6),COUNTIFS($A$6:$A58,"&lt;&gt;",$C$6:$C58,$G$6),"")</f>
        <v/>
      </c>
      <c r="N58">
        <f>IFERROR(INDEX($A$6:$A$65,MATCH(53,$M$6:$M$65,0)),"")</f>
        <v/>
      </c>
    </row>
    <row r="59">
      <c r="A59" s="95" t="n"/>
      <c r="B59" s="95" t="n"/>
      <c r="C59" s="95" t="n"/>
      <c r="D59" s="143" t="n"/>
      <c r="E59" s="95" t="n"/>
      <c r="F59" s="95" t="n"/>
      <c r="K59" s="95" t="n"/>
      <c r="L59">
        <f>IF($A59="","",IF($E59="",1,$E59))</f>
        <v/>
      </c>
      <c r="M59">
        <f>IF(AND($A59&lt;&gt;"",$C59=$G$6),COUNTIFS($A$6:$A59,"&lt;&gt;",$C$6:$C59,$G$6),"")</f>
        <v/>
      </c>
      <c r="N59">
        <f>IFERROR(INDEX($A$6:$A$65,MATCH(54,$M$6:$M$65,0)),"")</f>
        <v/>
      </c>
    </row>
    <row r="60">
      <c r="A60" s="95" t="n"/>
      <c r="B60" s="95" t="n"/>
      <c r="C60" s="95" t="n"/>
      <c r="D60" s="143" t="n"/>
      <c r="E60" s="95" t="n"/>
      <c r="F60" s="95" t="n"/>
      <c r="K60" s="95" t="n"/>
      <c r="L60">
        <f>IF($A60="","",IF($E60="",1,$E60))</f>
        <v/>
      </c>
      <c r="M60">
        <f>IF(AND($A60&lt;&gt;"",$C60=$G$6),COUNTIFS($A$6:$A60,"&lt;&gt;",$C$6:$C60,$G$6),"")</f>
        <v/>
      </c>
      <c r="N60">
        <f>IFERROR(INDEX($A$6:$A$65,MATCH(55,$M$6:$M$65,0)),"")</f>
        <v/>
      </c>
    </row>
    <row r="61">
      <c r="A61" s="95" t="n"/>
      <c r="B61" s="95" t="n"/>
      <c r="C61" s="95" t="n"/>
      <c r="D61" s="143" t="n"/>
      <c r="E61" s="95" t="n"/>
      <c r="F61" s="95" t="n"/>
      <c r="K61" s="95" t="n"/>
      <c r="L61">
        <f>IF($A61="","",IF($E61="",1,$E61))</f>
        <v/>
      </c>
      <c r="M61">
        <f>IF(AND($A61&lt;&gt;"",$C61=$G$6),COUNTIFS($A$6:$A61,"&lt;&gt;",$C$6:$C61,$G$6),"")</f>
        <v/>
      </c>
      <c r="N61">
        <f>IFERROR(INDEX($A$6:$A$65,MATCH(56,$M$6:$M$65,0)),"")</f>
        <v/>
      </c>
    </row>
    <row r="62">
      <c r="A62" s="95" t="n"/>
      <c r="B62" s="95" t="n"/>
      <c r="C62" s="95" t="n"/>
      <c r="D62" s="143" t="n"/>
      <c r="E62" s="95" t="n"/>
      <c r="F62" s="95" t="n"/>
      <c r="K62" s="95" t="n"/>
      <c r="L62">
        <f>IF($A62="","",IF($E62="",1,$E62))</f>
        <v/>
      </c>
      <c r="M62">
        <f>IF(AND($A62&lt;&gt;"",$C62=$G$6),COUNTIFS($A$6:$A62,"&lt;&gt;",$C$6:$C62,$G$6),"")</f>
        <v/>
      </c>
      <c r="N62">
        <f>IFERROR(INDEX($A$6:$A$65,MATCH(57,$M$6:$M$65,0)),"")</f>
        <v/>
      </c>
    </row>
    <row r="63">
      <c r="A63" s="95" t="n"/>
      <c r="B63" s="95" t="n"/>
      <c r="C63" s="95" t="n"/>
      <c r="D63" s="143" t="n"/>
      <c r="E63" s="95" t="n"/>
      <c r="F63" s="95" t="n"/>
      <c r="K63" s="95" t="n"/>
      <c r="L63">
        <f>IF($A63="","",IF($E63="",1,$E63))</f>
        <v/>
      </c>
      <c r="M63">
        <f>IF(AND($A63&lt;&gt;"",$C63=$G$6),COUNTIFS($A$6:$A63,"&lt;&gt;",$C$6:$C63,$G$6),"")</f>
        <v/>
      </c>
      <c r="N63">
        <f>IFERROR(INDEX($A$6:$A$65,MATCH(58,$M$6:$M$65,0)),"")</f>
        <v/>
      </c>
    </row>
    <row r="64">
      <c r="A64" s="95" t="n"/>
      <c r="B64" s="95" t="n"/>
      <c r="C64" s="95" t="n"/>
      <c r="D64" s="143" t="n"/>
      <c r="E64" s="95" t="n"/>
      <c r="F64" s="95" t="n"/>
      <c r="K64" s="95" t="n"/>
      <c r="L64">
        <f>IF($A64="","",IF($E64="",1,$E64))</f>
        <v/>
      </c>
      <c r="M64">
        <f>IF(AND($A64&lt;&gt;"",$C64=$G$6),COUNTIFS($A$6:$A64,"&lt;&gt;",$C$6:$C64,$G$6),"")</f>
        <v/>
      </c>
      <c r="N64">
        <f>IFERROR(INDEX($A$6:$A$65,MATCH(59,$M$6:$M$65,0)),"")</f>
        <v/>
      </c>
    </row>
    <row r="65">
      <c r="A65" s="95" t="n"/>
      <c r="B65" s="95" t="n"/>
      <c r="C65" s="95" t="n"/>
      <c r="D65" s="143" t="n"/>
      <c r="E65" s="95" t="n"/>
      <c r="F65" s="95" t="n"/>
      <c r="K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n"/>
      <c r="L6" s="170" t="n"/>
      <c r="M6" s="170" t="n"/>
      <c r="N6" s="170" t="n"/>
      <c r="O6" s="170" t="inlineStr">
        <is>
          <t>FLT-2.0</t>
        </is>
      </c>
      <c r="P6" s="170" t="n"/>
      <c r="Q6" s="170" t="inlineStr">
        <is>
          <t>2xFLT-1.5</t>
        </is>
      </c>
      <c r="R6" s="170" t="n"/>
      <c r="S6" s="170" t="n"/>
      <c r="T6" s="170" t="n"/>
      <c r="U6" s="170" t="n"/>
      <c r="V6" s="170" t="n"/>
      <c r="W6" s="170" t="n"/>
      <c r="X6" s="170" t="inlineStr">
        <is>
          <t>FLT-2.0</t>
        </is>
      </c>
      <c r="Y6" s="170" t="inlineStr">
        <is>
          <t>FLT-3.0</t>
        </is>
      </c>
      <c r="Z6" s="170" t="inlineStr">
        <is>
          <t>FLT-2.0</t>
        </is>
      </c>
      <c r="AA6" s="170" t="n"/>
      <c r="AB6" s="170" t="n"/>
      <c r="AC6" s="170" t="inlineStr">
        <is>
          <t>FLT-2.0</t>
        </is>
      </c>
      <c r="AD6" s="170" t="inlineStr">
        <is>
          <t>FLT-2.0</t>
        </is>
      </c>
      <c r="AE6" s="170" t="n"/>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n"/>
      <c r="L7" s="175" t="n"/>
      <c r="M7" s="175" t="n"/>
      <c r="N7" s="175" t="n"/>
      <c r="O7" s="175" t="inlineStr">
        <is>
          <t>0830-1030</t>
        </is>
      </c>
      <c r="P7" s="175" t="n"/>
      <c r="Q7" s="175" t="inlineStr">
        <is>
          <t>0800-1100</t>
        </is>
      </c>
      <c r="R7" s="175" t="n"/>
      <c r="S7" s="175" t="n"/>
      <c r="T7" s="175" t="n"/>
      <c r="U7" s="175" t="n"/>
      <c r="V7" s="175" t="n"/>
      <c r="W7" s="175" t="n"/>
      <c r="X7" s="175" t="inlineStr">
        <is>
          <t>0830-1030</t>
        </is>
      </c>
      <c r="Y7" s="175" t="inlineStr">
        <is>
          <t>0800-1100</t>
        </is>
      </c>
      <c r="Z7" s="175" t="inlineStr">
        <is>
          <t>0830-1030</t>
        </is>
      </c>
      <c r="AA7" s="175" t="n"/>
      <c r="AB7" s="175" t="n"/>
      <c r="AC7" s="175" t="inlineStr">
        <is>
          <t>0830-1030</t>
        </is>
      </c>
      <c r="AD7" s="175" t="inlineStr">
        <is>
          <t>0830-1030</t>
        </is>
      </c>
      <c r="AE7" s="175" t="n"/>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n"/>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n"/>
      <c r="J12" s="170" t="n"/>
      <c r="K12" s="170" t="n"/>
      <c r="L12" s="170" t="n"/>
      <c r="M12" s="170" t="n"/>
      <c r="N12" s="170" t="n"/>
      <c r="O12" s="170" t="inlineStr">
        <is>
          <t>FLT-1.5</t>
        </is>
      </c>
      <c r="P12" s="170" t="n"/>
      <c r="Q12" s="170" t="n"/>
      <c r="R12" s="170" t="inlineStr">
        <is>
          <t>MSN-3.0</t>
        </is>
      </c>
      <c r="S12" s="170" t="n"/>
      <c r="T12" s="170" t="n"/>
      <c r="U12" s="170" t="n"/>
      <c r="V12" s="170" t="n"/>
      <c r="W12" s="170" t="n"/>
      <c r="X12" s="170" t="inlineStr">
        <is>
          <t>MSN-3.0</t>
        </is>
      </c>
      <c r="Y12" s="170" t="n"/>
      <c r="Z12" s="170" t="inlineStr">
        <is>
          <t>FLT-1.5</t>
        </is>
      </c>
      <c r="AA12" s="170" t="n"/>
      <c r="AB12" s="170" t="n"/>
      <c r="AC12" s="170" t="inlineStr">
        <is>
          <t>MSN-3.0</t>
        </is>
      </c>
      <c r="AD12" s="170" t="n"/>
      <c r="AE12" s="170" t="inlineStr">
        <is>
          <t>FLT-2.0</t>
        </is>
      </c>
      <c r="AF12" s="170" t="inlineStr">
        <is>
          <t>EIS</t>
        </is>
      </c>
      <c r="AG12" s="170" t="inlineStr">
        <is>
          <t>MSN-3.0</t>
        </is>
      </c>
      <c r="AH12" s="170" t="n"/>
      <c r="AI12" s="176" t="n"/>
      <c r="AM12" s="177" t="n"/>
    </row>
    <row r="13" ht="15" customHeight="1">
      <c r="A13" s="174" t="n"/>
      <c r="B13" s="174" t="n"/>
      <c r="C13" s="174" t="n"/>
      <c r="D13" s="175" t="inlineStr">
        <is>
          <t>1400-1600</t>
        </is>
      </c>
      <c r="E13" s="175" t="inlineStr">
        <is>
          <t>1330</t>
        </is>
      </c>
      <c r="F13" s="175" t="n"/>
      <c r="G13" s="175" t="n"/>
      <c r="H13" s="175" t="n"/>
      <c r="I13" s="175" t="n"/>
      <c r="J13" s="175" t="n"/>
      <c r="K13" s="175" t="n"/>
      <c r="L13" s="175" t="n"/>
      <c r="M13" s="175" t="n"/>
      <c r="N13" s="175" t="n"/>
      <c r="O13" s="175" t="inlineStr">
        <is>
          <t>1400-1530</t>
        </is>
      </c>
      <c r="P13" s="175" t="n"/>
      <c r="Q13" s="175" t="n"/>
      <c r="R13" s="175" t="inlineStr">
        <is>
          <t>1300-1600</t>
        </is>
      </c>
      <c r="S13" s="175" t="n"/>
      <c r="T13" s="175" t="n"/>
      <c r="U13" s="175" t="n"/>
      <c r="V13" s="175" t="n"/>
      <c r="W13" s="175" t="n"/>
      <c r="X13" s="175" t="inlineStr">
        <is>
          <t>1300-1600</t>
        </is>
      </c>
      <c r="Y13" s="175" t="n"/>
      <c r="Z13" s="175" t="inlineStr">
        <is>
          <t>1430-1600</t>
        </is>
      </c>
      <c r="AA13" s="175" t="n"/>
      <c r="AB13" s="175" t="n"/>
      <c r="AC13" s="175" t="inlineStr">
        <is>
          <t>1300-1600</t>
        </is>
      </c>
      <c r="AD13" s="175" t="n"/>
      <c r="AE13" s="175" t="inlineStr">
        <is>
          <t>1400-1600</t>
        </is>
      </c>
      <c r="AF13" s="175" t="inlineStr">
        <is>
          <t>1400-1600</t>
        </is>
      </c>
      <c r="AG13" s="175" t="inlineStr">
        <is>
          <t>1300-1600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inlineStr">
        <is>
          <t>Long range</t>
        </is>
      </c>
      <c r="S14" s="179" t="n"/>
      <c r="T14" s="179" t="n"/>
      <c r="U14" s="179" t="n"/>
      <c r="V14" s="179" t="n"/>
      <c r="W14" s="179" t="n"/>
      <c r="X14" s="179" t="inlineStr">
        <is>
          <t>Long range</t>
        </is>
      </c>
      <c r="Y14" s="179" t="n"/>
      <c r="Z14" s="179" t="n"/>
      <c r="AA14" s="179" t="n"/>
      <c r="AB14" s="179" t="n"/>
      <c r="AC14" s="179" t="inlineStr">
        <is>
          <t>Long range</t>
        </is>
      </c>
      <c r="AD14" s="179" t="n"/>
      <c r="AE14" s="179" t="n"/>
      <c r="AF14" s="179" t="inlineStr">
        <is>
          <t>EIS training</t>
        </is>
      </c>
      <c r="AG14" s="179" t="inlineStr">
        <is>
          <t>Long range</t>
        </is>
      </c>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inlineStr">
        <is>
          <t>NVG-2.0</t>
        </is>
      </c>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inlineStr">
        <is>
          <t>2000-2200</t>
        </is>
      </c>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inlineStr">
        <is>
          <t>CRM Lecture 1400-1600</t>
        </is>
      </c>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n"/>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inlineStr">
        <is>
          <t>FLT-2.0</t>
        </is>
      </c>
      <c r="E27" s="209" t="inlineStr">
        <is>
          <t>FLT-1.5</t>
        </is>
      </c>
      <c r="F27" s="209" t="inlineStr">
        <is>
          <t>SDO</t>
        </is>
      </c>
      <c r="G27" s="209" t="n"/>
      <c r="H27" s="209" t="inlineStr">
        <is>
          <t>P2</t>
        </is>
      </c>
      <c r="I27" s="209" t="n"/>
      <c r="J27" s="209" t="n"/>
      <c r="K27" s="209" t="n"/>
      <c r="L27" s="209" t="n"/>
      <c r="M27" s="209" t="n"/>
      <c r="N27" s="209" t="n"/>
      <c r="O27" s="209" t="inlineStr">
        <is>
          <t>FLT-2.0</t>
        </is>
      </c>
      <c r="P27" s="209" t="n"/>
      <c r="Q27" s="209" t="inlineStr">
        <is>
          <t>BDO</t>
        </is>
      </c>
      <c r="R27" s="209" t="n"/>
      <c r="S27" s="209" t="n"/>
      <c r="T27" s="209" t="n"/>
      <c r="U27" s="209" t="n"/>
      <c r="V27" s="209" t="n"/>
      <c r="W27" s="209" t="n"/>
      <c r="X27" s="209" t="inlineStr">
        <is>
          <t>FLT-1.5</t>
        </is>
      </c>
      <c r="Y27" s="209" t="inlineStr">
        <is>
          <t>BDO</t>
        </is>
      </c>
      <c r="Z27" s="209" t="inlineStr">
        <is>
          <t>Outstation</t>
        </is>
      </c>
      <c r="AA27" s="209" t="n"/>
      <c r="AB27" s="209" t="inlineStr">
        <is>
          <t>LL</t>
        </is>
      </c>
      <c r="AC27" s="209" t="inlineStr">
        <is>
          <t>LL</t>
        </is>
      </c>
      <c r="AD27" s="209" t="inlineStr">
        <is>
          <t>LL</t>
        </is>
      </c>
      <c r="AE27" s="209" t="n"/>
      <c r="AF27" s="209" t="inlineStr">
        <is>
          <t>FLT-2.0</t>
        </is>
      </c>
      <c r="AG27" s="209" t="inlineStr">
        <is>
          <t>BDO</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inlineStr">
        <is>
          <t>Meeting</t>
        </is>
      </c>
      <c r="E28" s="215" t="n"/>
      <c r="F28" s="215" t="n"/>
      <c r="G28" s="215" t="n"/>
      <c r="H28" s="215" t="inlineStr">
        <is>
          <t>BDO</t>
        </is>
      </c>
      <c r="I28" s="215" t="inlineStr">
        <is>
          <t>FLT-3.0</t>
        </is>
      </c>
      <c r="J28" s="215" t="n"/>
      <c r="K28" s="215" t="n"/>
      <c r="L28" s="215" t="n"/>
      <c r="M28" s="215" t="n"/>
      <c r="N28" s="215" t="n"/>
      <c r="O28" s="215" t="n"/>
      <c r="P28" s="215" t="n"/>
      <c r="Q28" s="215" t="n"/>
      <c r="R28" s="215" t="n"/>
      <c r="S28" s="215" t="n"/>
      <c r="T28" s="215" t="n"/>
      <c r="U28" s="215" t="n"/>
      <c r="V28" s="215" t="n"/>
      <c r="W28" s="215" t="inlineStr">
        <is>
          <t>SIM</t>
        </is>
      </c>
      <c r="X28" s="215" t="inlineStr">
        <is>
          <t>P1</t>
        </is>
      </c>
      <c r="Y28" s="215" t="n"/>
      <c r="Z28" s="215" t="inlineStr">
        <is>
          <t>SIM</t>
        </is>
      </c>
      <c r="AA28" s="215" t="n"/>
      <c r="AB28" s="215" t="inlineStr">
        <is>
          <t>LL</t>
        </is>
      </c>
      <c r="AC28" s="215" t="inlineStr">
        <is>
          <t>LL</t>
        </is>
      </c>
      <c r="AD28" s="215" t="inlineStr">
        <is>
          <t>LL</t>
        </is>
      </c>
      <c r="AE28" s="215" t="inlineStr">
        <is>
          <t>FLT-2.0</t>
        </is>
      </c>
      <c r="AF28" s="215" t="inlineStr">
        <is>
          <t>P1</t>
        </is>
      </c>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inlineStr">
        <is>
          <t>NVG-2.0</t>
        </is>
      </c>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inlineStr">
        <is>
          <t>LL</t>
        </is>
      </c>
      <c r="AC29" s="220" t="inlineStr">
        <is>
          <t>LL</t>
        </is>
      </c>
      <c r="AD29" s="220" t="inlineStr">
        <is>
          <t>LL</t>
        </is>
      </c>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inlineStr">
        <is>
          <t>P2</t>
        </is>
      </c>
      <c r="E30" s="224" t="inlineStr">
        <is>
          <t>SDO</t>
        </is>
      </c>
      <c r="F30" s="224" t="n"/>
      <c r="G30" s="224" t="n"/>
      <c r="H30" s="224" t="inlineStr">
        <is>
          <t>FLT-2.0</t>
        </is>
      </c>
      <c r="I30" s="224" t="n"/>
      <c r="J30" s="224" t="n"/>
      <c r="K30" s="224" t="n"/>
      <c r="L30" s="224" t="n"/>
      <c r="M30" s="224" t="inlineStr">
        <is>
          <t>BDO</t>
        </is>
      </c>
      <c r="N30" s="224" t="n"/>
      <c r="O30" s="224" t="inlineStr">
        <is>
          <t>SDO</t>
        </is>
      </c>
      <c r="P30" s="224" t="n"/>
      <c r="Q30" s="224" t="inlineStr">
        <is>
          <t>FLT-1.5</t>
        </is>
      </c>
      <c r="R30" s="224" t="n"/>
      <c r="S30" s="224" t="n"/>
      <c r="T30" s="224" t="n"/>
      <c r="U30" s="224" t="inlineStr">
        <is>
          <t>BDO</t>
        </is>
      </c>
      <c r="V30" s="224" t="n"/>
      <c r="W30" s="224" t="n"/>
      <c r="X30" s="224" t="n"/>
      <c r="Y30" s="224" t="inlineStr">
        <is>
          <t>FLT-3.0</t>
        </is>
      </c>
      <c r="Z30" s="224" t="n"/>
      <c r="AA30" s="224" t="inlineStr">
        <is>
          <t>SDO</t>
        </is>
      </c>
      <c r="AB30" s="224" t="n"/>
      <c r="AC30" s="224" t="inlineStr">
        <is>
          <t>BDO</t>
        </is>
      </c>
      <c r="AD30" s="224" t="inlineStr">
        <is>
          <t>Medical Appt</t>
        </is>
      </c>
      <c r="AE30" s="224" t="n"/>
      <c r="AF30" s="224" t="inlineStr">
        <is>
          <t>LL</t>
        </is>
      </c>
      <c r="AG30" s="224" t="inlineStr">
        <is>
          <t>LL</t>
        </is>
      </c>
      <c r="AH30" s="224" t="inlineStr">
        <is>
          <t>LL</t>
        </is>
      </c>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inlineStr">
        <is>
          <t>FLT-2.0</t>
        </is>
      </c>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inlineStr">
        <is>
          <t>Medical Appt</t>
        </is>
      </c>
      <c r="AE31" s="229" t="n"/>
      <c r="AF31" s="229" t="inlineStr">
        <is>
          <t>LL</t>
        </is>
      </c>
      <c r="AG31" s="229" t="inlineStr">
        <is>
          <t>LL</t>
        </is>
      </c>
      <c r="AH31" s="229" t="inlineStr">
        <is>
          <t>LL</t>
        </is>
      </c>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inlineStr">
        <is>
          <t>NVG-2.0</t>
        </is>
      </c>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inlineStr">
        <is>
          <t>Medical Appt</t>
        </is>
      </c>
      <c r="AE32" s="232" t="n"/>
      <c r="AF32" s="232" t="inlineStr">
        <is>
          <t>LL</t>
        </is>
      </c>
      <c r="AG32" s="232" t="inlineStr">
        <is>
          <t>LL</t>
        </is>
      </c>
      <c r="AH32" s="232" t="inlineStr">
        <is>
          <t>LL</t>
        </is>
      </c>
      <c r="AI32" s="221" t="n"/>
      <c r="AJ32" s="221" t="n"/>
      <c r="AK32" s="221" t="n"/>
      <c r="AL32" s="221" t="n"/>
      <c r="AM32" s="221" t="n"/>
    </row>
    <row r="33" ht="19" customHeight="1">
      <c r="A33" s="206">
        <f>IF(Roster!$C$8="","",IF(Roster!$B$8="","#"&amp;3,Roster!$B$8&amp;""))</f>
        <v/>
      </c>
      <c r="B33" s="207">
        <f>IF(Roster!$C$8="","",Roster!$C$8)</f>
        <v/>
      </c>
      <c r="C33" s="208" t="inlineStr">
        <is>
          <t>AM</t>
        </is>
      </c>
      <c r="D33" s="209" t="inlineStr">
        <is>
          <t>FLT-1.5</t>
        </is>
      </c>
      <c r="E33" s="209" t="n"/>
      <c r="F33" s="209" t="n"/>
      <c r="G33" s="209" t="inlineStr">
        <is>
          <t>SDO</t>
        </is>
      </c>
      <c r="H33" s="209" t="n"/>
      <c r="I33" s="209" t="n"/>
      <c r="J33" s="209" t="n"/>
      <c r="K33" s="209" t="n"/>
      <c r="L33" s="209" t="n"/>
      <c r="M33" s="209" t="inlineStr">
        <is>
          <t>SDO</t>
        </is>
      </c>
      <c r="N33" s="209" t="n"/>
      <c r="O33" s="209" t="n"/>
      <c r="P33" s="209" t="n"/>
      <c r="Q33" s="209" t="inlineStr">
        <is>
          <t>FLT-1.5</t>
        </is>
      </c>
      <c r="R33" s="209" t="inlineStr">
        <is>
          <t>Outstation</t>
        </is>
      </c>
      <c r="S33" s="209" t="n"/>
      <c r="T33" s="209" t="n"/>
      <c r="U33" s="209" t="n"/>
      <c r="V33" s="209" t="n"/>
      <c r="W33" s="209" t="inlineStr">
        <is>
          <t>BU</t>
        </is>
      </c>
      <c r="X33" s="209" t="inlineStr">
        <is>
          <t>SDO</t>
        </is>
      </c>
      <c r="Y33" s="209" t="n"/>
      <c r="Z33" s="209" t="inlineStr">
        <is>
          <t>FLT-2.0</t>
        </is>
      </c>
      <c r="AA33" s="209" t="n"/>
      <c r="AB33" s="209" t="n"/>
      <c r="AC33" s="209" t="inlineStr">
        <is>
          <t>FLT-2.0</t>
        </is>
      </c>
      <c r="AD33" s="209" t="inlineStr">
        <is>
          <t>FLT-2.0</t>
        </is>
      </c>
      <c r="AE33" s="209" t="n"/>
      <c r="AF33" s="209" t="n"/>
      <c r="AG33" s="209" t="inlineStr">
        <is>
          <t>FLT-2.0</t>
        </is>
      </c>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inlineStr">
        <is>
          <t>P1</t>
        </is>
      </c>
      <c r="E34" s="215" t="inlineStr">
        <is>
          <t>FLT-2.0</t>
        </is>
      </c>
      <c r="F34" s="215" t="n"/>
      <c r="G34" s="215" t="n"/>
      <c r="H34" s="215" t="n"/>
      <c r="I34" s="215" t="n"/>
      <c r="J34" s="215" t="n"/>
      <c r="K34" s="215" t="n"/>
      <c r="L34" s="215" t="n"/>
      <c r="M34" s="215" t="n"/>
      <c r="N34" s="215" t="n"/>
      <c r="O34" s="215" t="inlineStr">
        <is>
          <t>SIM</t>
        </is>
      </c>
      <c r="P34" s="215" t="n"/>
      <c r="Q34" s="215" t="n"/>
      <c r="R34" s="215" t="n"/>
      <c r="S34" s="215" t="inlineStr">
        <is>
          <t>SIM</t>
        </is>
      </c>
      <c r="T34" s="215" t="n"/>
      <c r="U34" s="215" t="n"/>
      <c r="V34" s="215" t="n"/>
      <c r="W34" s="215" t="n"/>
      <c r="X34" s="215" t="n"/>
      <c r="Y34" s="215" t="n"/>
      <c r="Z34" s="215" t="n"/>
      <c r="AA34" s="215" t="n"/>
      <c r="AB34" s="215" t="n"/>
      <c r="AC34" s="215" t="inlineStr">
        <is>
          <t>SIM</t>
        </is>
      </c>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inlineStr">
        <is>
          <t>NVG-2.0</t>
        </is>
      </c>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inlineStr">
        <is>
          <t>SIM</t>
        </is>
      </c>
      <c r="E36" s="224" t="inlineStr">
        <is>
          <t>FLT-2.0</t>
        </is>
      </c>
      <c r="F36" s="224" t="n"/>
      <c r="G36" s="224" t="n"/>
      <c r="H36" s="224" t="n"/>
      <c r="I36" s="224" t="n"/>
      <c r="J36" s="224" t="n"/>
      <c r="K36" s="224" t="n"/>
      <c r="L36" s="224" t="n"/>
      <c r="M36" s="224" t="n"/>
      <c r="N36" s="224" t="n"/>
      <c r="O36" s="224" t="n"/>
      <c r="P36" s="224" t="n"/>
      <c r="Q36" s="224" t="n"/>
      <c r="R36" s="224" t="inlineStr">
        <is>
          <t>SDO</t>
        </is>
      </c>
      <c r="S36" s="224" t="n"/>
      <c r="T36" s="224" t="n"/>
      <c r="U36" s="224" t="n"/>
      <c r="V36" s="224" t="n"/>
      <c r="W36" s="224" t="n"/>
      <c r="X36" s="224" t="n"/>
      <c r="Y36" s="224" t="n"/>
      <c r="Z36" s="224" t="n"/>
      <c r="AA36" s="224" t="n"/>
      <c r="AB36" s="224" t="n"/>
      <c r="AC36" s="224" t="n"/>
      <c r="AD36" s="224" t="inlineStr">
        <is>
          <t>SDO</t>
        </is>
      </c>
      <c r="AE36" s="224" t="n"/>
      <c r="AF36" s="224" t="n"/>
      <c r="AG36" s="224" t="inlineStr">
        <is>
          <t>FLT-2.0</t>
        </is>
      </c>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inlineStr">
        <is>
          <t>OIL</t>
        </is>
      </c>
      <c r="E37" s="229" t="n"/>
      <c r="F37" s="229" t="n"/>
      <c r="G37" s="229" t="n"/>
      <c r="H37" s="229" t="inlineStr">
        <is>
          <t>BU</t>
        </is>
      </c>
      <c r="I37" s="229" t="n"/>
      <c r="J37" s="229" t="n"/>
      <c r="K37" s="229" t="n"/>
      <c r="L37" s="229" t="n"/>
      <c r="M37" s="229" t="n"/>
      <c r="N37" s="229" t="n"/>
      <c r="O37" s="229" t="n"/>
      <c r="P37" s="229" t="n"/>
      <c r="Q37" s="229" t="n"/>
      <c r="R37" s="229" t="n"/>
      <c r="S37" s="229" t="n"/>
      <c r="T37" s="229" t="n"/>
      <c r="U37" s="229" t="n"/>
      <c r="V37" s="229" t="n"/>
      <c r="W37" s="229" t="n"/>
      <c r="X37" s="229" t="n"/>
      <c r="Y37" s="229" t="n"/>
      <c r="Z37" s="229" t="inlineStr">
        <is>
          <t>FLT-1.5</t>
        </is>
      </c>
      <c r="AA37" s="229" t="n"/>
      <c r="AB37" s="229" t="n"/>
      <c r="AC37" s="229" t="inlineStr">
        <is>
          <t>P1</t>
        </is>
      </c>
      <c r="AD37" s="229" t="n"/>
      <c r="AE37" s="229" t="n"/>
      <c r="AF37" s="229" t="inlineStr">
        <is>
          <t>EIS</t>
        </is>
      </c>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inlineStr">
        <is>
          <t>NVG-2.0</t>
        </is>
      </c>
      <c r="Q38" s="232" t="n"/>
      <c r="R38" s="232" t="n"/>
      <c r="S38" s="232" t="n"/>
      <c r="T38" s="232" t="n"/>
      <c r="U38" s="232" t="n"/>
      <c r="V38" s="232" t="n"/>
      <c r="W38" s="232" t="n"/>
      <c r="X38" s="232" t="n"/>
      <c r="Y38" s="232" t="inlineStr">
        <is>
          <t>NVG-2.0</t>
        </is>
      </c>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inlineStr">
        <is>
          <t>FLT-2.0</t>
        </is>
      </c>
      <c r="E39" s="209" t="n"/>
      <c r="F39" s="209" t="n"/>
      <c r="G39" s="209" t="n"/>
      <c r="H39" s="209" t="n"/>
      <c r="I39" s="209" t="n"/>
      <c r="J39" s="209" t="n"/>
      <c r="K39" s="209" t="n"/>
      <c r="L39" s="209" t="n"/>
      <c r="M39" s="209" t="n"/>
      <c r="N39" s="209" t="n"/>
      <c r="O39" s="209" t="n"/>
      <c r="P39" s="209" t="n"/>
      <c r="Q39" s="209" t="n"/>
      <c r="R39" s="209" t="n"/>
      <c r="S39" s="209" t="n"/>
      <c r="T39" s="209" t="n"/>
      <c r="U39" s="209" t="inlineStr">
        <is>
          <t>SDO</t>
        </is>
      </c>
      <c r="V39" s="209" t="n"/>
      <c r="W39" s="209" t="n"/>
      <c r="X39" s="209" t="n"/>
      <c r="Y39" s="209" t="n"/>
      <c r="Z39" s="209" t="n"/>
      <c r="AA39" s="209" t="n"/>
      <c r="AB39" s="209" t="n"/>
      <c r="AC39" s="209" t="inlineStr">
        <is>
          <t>FLT-1.5</t>
        </is>
      </c>
      <c r="AD39" s="209" t="inlineStr">
        <is>
          <t>FLT-1.5</t>
        </is>
      </c>
      <c r="AE39" s="209" t="n"/>
      <c r="AF39" s="209" t="inlineStr">
        <is>
          <t>FLT-1.5</t>
        </is>
      </c>
      <c r="AG39" s="209" t="inlineStr">
        <is>
          <t>SDO</t>
        </is>
      </c>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inlineStr">
        <is>
          <t>SDO</t>
        </is>
      </c>
      <c r="G40" s="215" t="n"/>
      <c r="H40" s="215" t="n"/>
      <c r="I40" s="215" t="n"/>
      <c r="J40" s="215" t="n"/>
      <c r="K40" s="215" t="n"/>
      <c r="L40" s="215" t="n"/>
      <c r="M40" s="215" t="n"/>
      <c r="N40" s="215" t="n"/>
      <c r="O40" s="215" t="n"/>
      <c r="P40" s="215" t="n"/>
      <c r="Q40" s="215" t="n"/>
      <c r="R40" s="215" t="inlineStr">
        <is>
          <t>MSN-3.0</t>
        </is>
      </c>
      <c r="S40" s="215" t="n"/>
      <c r="T40" s="215" t="n"/>
      <c r="U40" s="215" t="n"/>
      <c r="V40" s="215" t="n"/>
      <c r="W40" s="215" t="n"/>
      <c r="X40" s="215" t="inlineStr">
        <is>
          <t>MSN-3.0</t>
        </is>
      </c>
      <c r="Y40" s="215" t="n"/>
      <c r="Z40" s="215" t="inlineStr">
        <is>
          <t>P1</t>
        </is>
      </c>
      <c r="AA40" s="215" t="n"/>
      <c r="AB40" s="215" t="n"/>
      <c r="AC40" s="215" t="n"/>
      <c r="AD40" s="215" t="inlineStr">
        <is>
          <t>SIM</t>
        </is>
      </c>
      <c r="AE40" s="215" t="inlineStr">
        <is>
          <t>SIM</t>
        </is>
      </c>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inlineStr">
        <is>
          <t>P2</t>
        </is>
      </c>
      <c r="Q41" s="220" t="n"/>
      <c r="R41" s="220" t="n"/>
      <c r="S41" s="220" t="n"/>
      <c r="T41" s="220" t="n"/>
      <c r="U41" s="220" t="n"/>
      <c r="V41" s="220" t="n"/>
      <c r="W41" s="220" t="n"/>
      <c r="X41" s="220" t="n"/>
      <c r="Y41" s="220" t="n"/>
      <c r="Z41" s="220" t="n"/>
      <c r="AA41" s="220" t="n"/>
      <c r="AB41" s="220" t="n"/>
      <c r="AC41" s="220" t="n"/>
      <c r="AD41" s="220" t="inlineStr">
        <is>
          <t>P2</t>
        </is>
      </c>
      <c r="AE41" s="220" t="n"/>
      <c r="AF41" s="220" t="inlineStr">
        <is>
          <t>P2</t>
        </is>
      </c>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inlineStr">
        <is>
          <t>FLT-2.0</t>
        </is>
      </c>
      <c r="Y42" s="224" t="n"/>
      <c r="Z42" s="224" t="inlineStr">
        <is>
          <t>FLT-1.5</t>
        </is>
      </c>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inlineStr">
        <is>
          <t>SIM</t>
        </is>
      </c>
      <c r="M43" s="229" t="n"/>
      <c r="N43" s="229" t="n"/>
      <c r="O43" s="229" t="inlineStr">
        <is>
          <t>FLT-1.5</t>
        </is>
      </c>
      <c r="P43" s="229" t="n"/>
      <c r="Q43" s="229" t="n"/>
      <c r="R43" s="229" t="inlineStr">
        <is>
          <t>P1</t>
        </is>
      </c>
      <c r="S43" s="229" t="n"/>
      <c r="T43" s="229" t="n"/>
      <c r="U43" s="229" t="n"/>
      <c r="V43" s="229" t="n"/>
      <c r="W43" s="229" t="n"/>
      <c r="X43" s="229" t="n"/>
      <c r="Y43" s="229" t="n"/>
      <c r="Z43" s="229" t="n"/>
      <c r="AA43" s="229" t="n"/>
      <c r="AB43" s="229" t="n"/>
      <c r="AC43" s="229" t="inlineStr">
        <is>
          <t>MSN-3.0</t>
        </is>
      </c>
      <c r="AD43" s="229" t="n"/>
      <c r="AE43" s="229" t="n"/>
      <c r="AF43" s="229" t="n"/>
      <c r="AG43" s="229" t="inlineStr">
        <is>
          <t>MSN-3.0</t>
        </is>
      </c>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inlineStr">
        <is>
          <t>NVG-2.0</t>
        </is>
      </c>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inlineStr">
        <is>
          <t>LL</t>
        </is>
      </c>
      <c r="E162" s="236" t="n"/>
      <c r="F162" s="236" t="n"/>
      <c r="G162" s="236" t="n"/>
      <c r="H162" s="236" t="inlineStr">
        <is>
          <t>FLT-2.0</t>
        </is>
      </c>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inlineStr">
        <is>
          <t>LL</t>
        </is>
      </c>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inlineStr">
        <is>
          <t>LL</t>
        </is>
      </c>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inlineStr">
        <is>
          <t>MC</t>
        </is>
      </c>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inlineStr">
        <is>
          <t>MC</t>
        </is>
      </c>
      <c r="E166" s="241" t="n"/>
      <c r="F166" s="241" t="n"/>
      <c r="G166" s="241" t="n"/>
      <c r="H166" s="241" t="n"/>
      <c r="I166" s="241" t="inlineStr">
        <is>
          <t>FLT-3.0</t>
        </is>
      </c>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n"/>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n"/>
      <c r="AC6" s="170" t="inlineStr">
        <is>
          <t>FLT-2.0</t>
        </is>
      </c>
      <c r="AD6" s="170" t="n"/>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n"/>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n"/>
      <c r="AC7" s="175" t="inlineStr">
        <is>
          <t>0830-1030</t>
        </is>
      </c>
      <c r="AD7" s="175" t="n"/>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inlineStr">
        <is>
          <t>MAS TRG</t>
        </is>
      </c>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inlineStr">
        <is>
          <t>MSN-3.0</t>
        </is>
      </c>
      <c r="U12" s="170" t="inlineStr">
        <is>
          <t>FLT-2.0</t>
        </is>
      </c>
      <c r="V12" s="170" t="inlineStr">
        <is>
          <t>FLT-2.0</t>
        </is>
      </c>
      <c r="W12" s="170" t="inlineStr">
        <is>
          <t>FLT-1.5</t>
        </is>
      </c>
      <c r="X12" s="170" t="n"/>
      <c r="Y12" s="170" t="n"/>
      <c r="Z12" s="170" t="inlineStr">
        <is>
          <t>MSN-3.0</t>
        </is>
      </c>
      <c r="AA12" s="170" t="inlineStr">
        <is>
          <t>FLT-2.0</t>
        </is>
      </c>
      <c r="AB12" s="170" t="inlineStr">
        <is>
          <t>FLT-1.5</t>
        </is>
      </c>
      <c r="AC12" s="170" t="n"/>
      <c r="AD12" s="170" t="inlineStr">
        <is>
          <t>MSN-3.0</t>
        </is>
      </c>
      <c r="AE12" s="170" t="n"/>
      <c r="AF12" s="170" t="n"/>
      <c r="AG12" s="170" t="inlineStr">
        <is>
          <t>FLT-2.0</t>
        </is>
      </c>
      <c r="AH12" s="170" t="n"/>
      <c r="AI12" s="176" t="n"/>
      <c r="AM12" s="177" t="n"/>
    </row>
    <row r="13" ht="15" customHeight="1">
      <c r="A13" s="174" t="n"/>
      <c r="B13" s="174" t="n"/>
      <c r="C13" s="174" t="n"/>
      <c r="D13" s="175" t="n"/>
      <c r="E13" s="175" t="inlineStr">
        <is>
          <t>1430-1600</t>
        </is>
      </c>
      <c r="F13" s="175" t="inlineStr">
        <is>
          <t>1300-1600</t>
        </is>
      </c>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inlineStr">
        <is>
          <t>1300-1600</t>
        </is>
      </c>
      <c r="U13" s="175" t="inlineStr">
        <is>
          <t>1400-1600</t>
        </is>
      </c>
      <c r="V13" s="175" t="inlineStr">
        <is>
          <t>1400-1600</t>
        </is>
      </c>
      <c r="W13" s="175" t="inlineStr">
        <is>
          <t>1430-1600</t>
        </is>
      </c>
      <c r="X13" s="175" t="n"/>
      <c r="Y13" s="175" t="n"/>
      <c r="Z13" s="175" t="inlineStr">
        <is>
          <t>1300-1600</t>
        </is>
      </c>
      <c r="AA13" s="175" t="inlineStr">
        <is>
          <t>1500-1700</t>
        </is>
      </c>
      <c r="AB13" s="175" t="inlineStr">
        <is>
          <t>1430-1600</t>
        </is>
      </c>
      <c r="AC13" s="175" t="n"/>
      <c r="AD13" s="175" t="inlineStr">
        <is>
          <t>1300-1600</t>
        </is>
      </c>
      <c r="AE13" s="175" t="n"/>
      <c r="AF13" s="175" t="n"/>
      <c r="AG13" s="175" t="inlineStr">
        <is>
          <t>1400-1600</t>
        </is>
      </c>
      <c r="AH13" s="175" t="n"/>
      <c r="AI13" s="176" t="n"/>
      <c r="AM13" s="177" t="n"/>
    </row>
    <row r="14" ht="15" customHeight="1">
      <c r="A14" s="178" t="n"/>
      <c r="B14" s="178" t="n"/>
      <c r="C14" s="178" t="n"/>
      <c r="D14" s="179" t="n"/>
      <c r="E14" s="179" t="n"/>
      <c r="F14" s="179" t="inlineStr">
        <is>
          <t>MAS tactical training</t>
        </is>
      </c>
      <c r="G14" s="179" t="n"/>
      <c r="H14" s="179" t="n"/>
      <c r="I14" s="179" t="n"/>
      <c r="J14" s="179" t="n"/>
      <c r="K14" s="179" t="n"/>
      <c r="L14" s="179" t="n"/>
      <c r="M14" s="179" t="n"/>
      <c r="N14" s="179" t="n"/>
      <c r="O14" s="179" t="n"/>
      <c r="P14" s="179" t="n"/>
      <c r="Q14" s="179" t="n"/>
      <c r="R14" s="179" t="n"/>
      <c r="S14" s="179" t="n"/>
      <c r="T14" s="179" t="inlineStr">
        <is>
          <t>Long range</t>
        </is>
      </c>
      <c r="U14" s="179" t="n"/>
      <c r="V14" s="179" t="n"/>
      <c r="W14" s="179" t="n"/>
      <c r="X14" s="179" t="n"/>
      <c r="Y14" s="179" t="n"/>
      <c r="Z14" s="179" t="inlineStr">
        <is>
          <t>Long range</t>
        </is>
      </c>
      <c r="AA14" s="179" t="inlineStr">
        <is>
          <t>VIP familiarisation</t>
        </is>
      </c>
      <c r="AB14" s="179" t="n"/>
      <c r="AC14" s="179" t="n"/>
      <c r="AD14" s="179" t="inlineStr">
        <is>
          <t>Long range</t>
        </is>
      </c>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inlineStr">
        <is>
          <t>Ground School 0900-1200</t>
        </is>
      </c>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inlineStr">
        <is>
          <t>FLT-3.0</t>
        </is>
      </c>
      <c r="F27" s="209" t="n"/>
      <c r="G27" s="209" t="n"/>
      <c r="H27" s="209" t="n"/>
      <c r="I27" s="209" t="inlineStr">
        <is>
          <t>FLT-1.5</t>
        </is>
      </c>
      <c r="J27" s="209" t="inlineStr">
        <is>
          <t>BDO</t>
        </is>
      </c>
      <c r="K27" s="209" t="n"/>
      <c r="L27" s="209" t="n"/>
      <c r="M27" s="209" t="n"/>
      <c r="N27" s="209" t="inlineStr">
        <is>
          <t>FLT-1.5</t>
        </is>
      </c>
      <c r="O27" s="209" t="n"/>
      <c r="P27" s="209" t="inlineStr">
        <is>
          <t>Meeting</t>
        </is>
      </c>
      <c r="Q27" s="209" t="n"/>
      <c r="R27" s="209" t="inlineStr">
        <is>
          <t>BDO</t>
        </is>
      </c>
      <c r="S27" s="209" t="inlineStr">
        <is>
          <t>Meeting</t>
        </is>
      </c>
      <c r="T27" s="209" t="inlineStr">
        <is>
          <t>FLT-3.0</t>
        </is>
      </c>
      <c r="U27" s="209" t="n"/>
      <c r="V27" s="209" t="inlineStr">
        <is>
          <t>FLT-3.0</t>
        </is>
      </c>
      <c r="W27" s="209" t="inlineStr">
        <is>
          <t>Outstation</t>
        </is>
      </c>
      <c r="X27" s="209" t="n"/>
      <c r="Y27" s="209" t="n"/>
      <c r="Z27" s="209" t="inlineStr">
        <is>
          <t>BDO</t>
        </is>
      </c>
      <c r="AA27" s="209" t="inlineStr">
        <is>
          <t>FLT-2.0</t>
        </is>
      </c>
      <c r="AB27" s="209" t="n"/>
      <c r="AC27" s="209" t="n"/>
      <c r="AD27" s="209" t="n"/>
      <c r="AE27" s="209" t="n"/>
      <c r="AF27" s="209" t="n"/>
      <c r="AG27" s="209" t="inlineStr">
        <is>
          <t>OIL</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inlineStr">
        <is>
          <t>MAS TRG</t>
        </is>
      </c>
      <c r="G28" s="215" t="n"/>
      <c r="H28" s="215" t="n"/>
      <c r="I28" s="215" t="n"/>
      <c r="J28" s="215" t="n"/>
      <c r="K28" s="215" t="n"/>
      <c r="L28" s="215" t="n"/>
      <c r="M28" s="215" t="inlineStr">
        <is>
          <t>FLT-1.5</t>
        </is>
      </c>
      <c r="N28" s="215" t="n"/>
      <c r="O28" s="215" t="n"/>
      <c r="P28" s="215" t="n"/>
      <c r="Q28" s="215" t="n"/>
      <c r="R28" s="215" t="n"/>
      <c r="S28" s="215" t="n"/>
      <c r="T28" s="215" t="n"/>
      <c r="U28" s="215" t="n"/>
      <c r="V28" s="215" t="inlineStr">
        <is>
          <t>P1</t>
        </is>
      </c>
      <c r="W28" s="215" t="inlineStr">
        <is>
          <t>FLT-1.5</t>
        </is>
      </c>
      <c r="X28" s="215" t="n"/>
      <c r="Y28" s="215" t="n"/>
      <c r="Z28" s="215" t="n"/>
      <c r="AA28" s="215" t="n"/>
      <c r="AB28" s="215" t="n"/>
      <c r="AC28" s="215" t="n"/>
      <c r="AD28" s="215" t="n"/>
      <c r="AE28" s="215" t="n"/>
      <c r="AF28" s="215" t="n"/>
      <c r="AG28" s="215" t="inlineStr">
        <is>
          <t>OIL</t>
        </is>
      </c>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inlineStr">
        <is>
          <t>P2</t>
        </is>
      </c>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inlineStr">
        <is>
          <t>OIL</t>
        </is>
      </c>
      <c r="AH29" s="220" t="n"/>
      <c r="AI29" s="221" t="n"/>
      <c r="AJ29" s="221" t="n"/>
      <c r="AK29" s="221" t="n"/>
      <c r="AL29" s="221" t="n"/>
      <c r="AM29" s="221" t="n"/>
    </row>
    <row r="30" ht="19" customHeight="1">
      <c r="A30" s="222">
        <f>IF(Roster!$C$7="","",IF(Roster!$B$7="","#"&amp;2,Roster!$B$7&amp;""))</f>
        <v/>
      </c>
      <c r="B30" s="223">
        <f>IF(Roster!$C$7="","",Roster!$C$7)</f>
        <v/>
      </c>
      <c r="C30" s="208" t="inlineStr">
        <is>
          <t>AM</t>
        </is>
      </c>
      <c r="D30" s="224" t="inlineStr">
        <is>
          <t>LL</t>
        </is>
      </c>
      <c r="E30" s="224" t="inlineStr">
        <is>
          <t>LL</t>
        </is>
      </c>
      <c r="F30" s="224" t="inlineStr">
        <is>
          <t>BDO</t>
        </is>
      </c>
      <c r="G30" s="224" t="inlineStr">
        <is>
          <t>FLT-2.0</t>
        </is>
      </c>
      <c r="H30" s="224" t="inlineStr">
        <is>
          <t>SDO</t>
        </is>
      </c>
      <c r="I30" s="224" t="inlineStr">
        <is>
          <t>FLT-2.0</t>
        </is>
      </c>
      <c r="J30" s="224" t="n"/>
      <c r="K30" s="224" t="n"/>
      <c r="L30" s="224" t="n"/>
      <c r="M30" s="224" t="inlineStr">
        <is>
          <t>FLT-2.0</t>
        </is>
      </c>
      <c r="N30" s="224" t="inlineStr">
        <is>
          <t>BDO</t>
        </is>
      </c>
      <c r="O30" s="224" t="inlineStr">
        <is>
          <t>FLT-2.0</t>
        </is>
      </c>
      <c r="P30" s="224" t="inlineStr">
        <is>
          <t>FLT-2.0</t>
        </is>
      </c>
      <c r="Q30" s="224" t="n"/>
      <c r="R30" s="224" t="inlineStr">
        <is>
          <t>OIL</t>
        </is>
      </c>
      <c r="S30" s="224" t="inlineStr">
        <is>
          <t>FLT-2.0</t>
        </is>
      </c>
      <c r="T30" s="224" t="inlineStr">
        <is>
          <t>SDO</t>
        </is>
      </c>
      <c r="U30" s="224" t="inlineStr">
        <is>
          <t>FLT-2.0</t>
        </is>
      </c>
      <c r="V30" s="224" t="inlineStr">
        <is>
          <t>BDO</t>
        </is>
      </c>
      <c r="W30" s="224" t="inlineStr">
        <is>
          <t>FLT-2.0</t>
        </is>
      </c>
      <c r="X30" s="224" t="n"/>
      <c r="Y30" s="224" t="n"/>
      <c r="Z30" s="224" t="inlineStr">
        <is>
          <t>FLT-1.5</t>
        </is>
      </c>
      <c r="AA30" s="224" t="n"/>
      <c r="AB30" s="224" t="n"/>
      <c r="AC30" s="224" t="n"/>
      <c r="AD30" s="224" t="inlineStr">
        <is>
          <t>BDO</t>
        </is>
      </c>
      <c r="AE30" s="224" t="n"/>
      <c r="AF30" s="224" t="inlineStr">
        <is>
          <t>SDO</t>
        </is>
      </c>
      <c r="AG30" s="224" t="inlineStr">
        <is>
          <t>Outstation</t>
        </is>
      </c>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inlineStr">
        <is>
          <t>LL</t>
        </is>
      </c>
      <c r="E31" s="229" t="inlineStr">
        <is>
          <t>LL</t>
        </is>
      </c>
      <c r="F31" s="229" t="n"/>
      <c r="G31" s="229" t="inlineStr">
        <is>
          <t>FLT-2.0</t>
        </is>
      </c>
      <c r="H31" s="229" t="n"/>
      <c r="I31" s="229" t="n"/>
      <c r="J31" s="229" t="n"/>
      <c r="K31" s="229" t="n"/>
      <c r="L31" s="229" t="n"/>
      <c r="M31" s="229" t="n"/>
      <c r="N31" s="229" t="n"/>
      <c r="O31" s="229" t="n"/>
      <c r="P31" s="229" t="n"/>
      <c r="Q31" s="229" t="n"/>
      <c r="R31" s="229" t="inlineStr">
        <is>
          <t>OIL</t>
        </is>
      </c>
      <c r="S31" s="229" t="n"/>
      <c r="T31" s="229" t="n"/>
      <c r="U31" s="229" t="inlineStr">
        <is>
          <t>P1</t>
        </is>
      </c>
      <c r="V31" s="229" t="n"/>
      <c r="W31" s="229" t="inlineStr">
        <is>
          <t>P1</t>
        </is>
      </c>
      <c r="X31" s="229" t="n"/>
      <c r="Y31" s="229" t="n"/>
      <c r="Z31" s="229" t="n"/>
      <c r="AA31" s="229" t="inlineStr">
        <is>
          <t>P1</t>
        </is>
      </c>
      <c r="AB31" s="229" t="n"/>
      <c r="AC31" s="229" t="inlineStr">
        <is>
          <t>SIM</t>
        </is>
      </c>
      <c r="AD31" s="229" t="n"/>
      <c r="AE31" s="229" t="n"/>
      <c r="AF31" s="229" t="n"/>
      <c r="AG31" s="229" t="inlineStr">
        <is>
          <t>FLT-2.0</t>
        </is>
      </c>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inlineStr">
        <is>
          <t>LL</t>
        </is>
      </c>
      <c r="E32" s="232" t="inlineStr">
        <is>
          <t>LL</t>
        </is>
      </c>
      <c r="F32" s="232" t="n"/>
      <c r="G32" s="232" t="n"/>
      <c r="H32" s="232" t="n"/>
      <c r="I32" s="232" t="n"/>
      <c r="J32" s="232" t="n"/>
      <c r="K32" s="232" t="n"/>
      <c r="L32" s="232" t="n"/>
      <c r="M32" s="232" t="n"/>
      <c r="N32" s="232" t="n"/>
      <c r="O32" s="232" t="n"/>
      <c r="P32" s="232" t="n"/>
      <c r="Q32" s="232" t="n"/>
      <c r="R32" s="232" t="inlineStr">
        <is>
          <t>OIL</t>
        </is>
      </c>
      <c r="S32" s="232" t="n"/>
      <c r="T32" s="232" t="n"/>
      <c r="U32" s="232" t="n"/>
      <c r="V32" s="232" t="n"/>
      <c r="W32" s="232" t="n"/>
      <c r="X32" s="232" t="n"/>
      <c r="Y32" s="232" t="n"/>
      <c r="Z32" s="232" t="n"/>
      <c r="AA32" s="232" t="inlineStr">
        <is>
          <t>NVG-2.0</t>
        </is>
      </c>
      <c r="AB32" s="232" t="n"/>
      <c r="AC32" s="232" t="inlineStr">
        <is>
          <t>NVG-2.0</t>
        </is>
      </c>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inlineStr">
        <is>
          <t>SDO</t>
        </is>
      </c>
      <c r="F33" s="209" t="n"/>
      <c r="G33" s="209" t="n"/>
      <c r="H33" s="209" t="inlineStr">
        <is>
          <t>LL</t>
        </is>
      </c>
      <c r="I33" s="209" t="inlineStr">
        <is>
          <t>LL</t>
        </is>
      </c>
      <c r="J33" s="209" t="inlineStr">
        <is>
          <t>LL</t>
        </is>
      </c>
      <c r="K33" s="209" t="inlineStr">
        <is>
          <t>LL</t>
        </is>
      </c>
      <c r="L33" s="209" t="inlineStr">
        <is>
          <t>LL</t>
        </is>
      </c>
      <c r="M33" s="209" t="n"/>
      <c r="N33" s="209" t="inlineStr">
        <is>
          <t>FLT-2.0</t>
        </is>
      </c>
      <c r="O33" s="209" t="n"/>
      <c r="P33" s="209" t="inlineStr">
        <is>
          <t>FLT-1.5</t>
        </is>
      </c>
      <c r="Q33" s="209" t="inlineStr">
        <is>
          <t>SDO</t>
        </is>
      </c>
      <c r="R33" s="209" t="n"/>
      <c r="S33" s="209" t="n"/>
      <c r="T33" s="209" t="n"/>
      <c r="U33" s="209" t="n"/>
      <c r="V33" s="209" t="inlineStr">
        <is>
          <t>OL</t>
        </is>
      </c>
      <c r="W33" s="209" t="n"/>
      <c r="X33" s="209" t="n"/>
      <c r="Y33" s="209" t="n"/>
      <c r="Z33" s="209" t="inlineStr">
        <is>
          <t>FLT-2.0</t>
        </is>
      </c>
      <c r="AA33" s="209" t="inlineStr">
        <is>
          <t>FLT-2.0</t>
        </is>
      </c>
      <c r="AB33" s="209" t="n"/>
      <c r="AC33" s="209" t="inlineStr">
        <is>
          <t>SDO</t>
        </is>
      </c>
      <c r="AD33" s="209" t="n"/>
      <c r="AE33" s="209" t="n"/>
      <c r="AF33" s="209" t="n"/>
      <c r="AG33" s="209" t="inlineStr">
        <is>
          <t>FLT-1.5</t>
        </is>
      </c>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inlineStr">
        <is>
          <t>LL</t>
        </is>
      </c>
      <c r="I34" s="215" t="inlineStr">
        <is>
          <t>LL</t>
        </is>
      </c>
      <c r="J34" s="215" t="inlineStr">
        <is>
          <t>LL</t>
        </is>
      </c>
      <c r="K34" s="215" t="inlineStr">
        <is>
          <t>LL</t>
        </is>
      </c>
      <c r="L34" s="215" t="inlineStr">
        <is>
          <t>LL</t>
        </is>
      </c>
      <c r="M34" s="215" t="inlineStr">
        <is>
          <t>P1</t>
        </is>
      </c>
      <c r="N34" s="215" t="inlineStr">
        <is>
          <t>P1</t>
        </is>
      </c>
      <c r="O34" s="215" t="n"/>
      <c r="P34" s="215" t="n"/>
      <c r="Q34" s="215" t="n"/>
      <c r="R34" s="215" t="n"/>
      <c r="S34" s="215" t="inlineStr">
        <is>
          <t>SIM</t>
        </is>
      </c>
      <c r="T34" s="215" t="inlineStr">
        <is>
          <t>MSN-3.0</t>
        </is>
      </c>
      <c r="U34" s="215" t="inlineStr">
        <is>
          <t>FLT-2.0</t>
        </is>
      </c>
      <c r="V34" s="215" t="inlineStr">
        <is>
          <t>OL</t>
        </is>
      </c>
      <c r="W34" s="215" t="inlineStr">
        <is>
          <t>SIM</t>
        </is>
      </c>
      <c r="X34" s="215" t="n"/>
      <c r="Y34" s="215" t="n"/>
      <c r="Z34" s="215" t="n"/>
      <c r="AA34" s="215" t="inlineStr">
        <is>
          <t>SIM</t>
        </is>
      </c>
      <c r="AB34" s="215" t="n"/>
      <c r="AC34" s="215" t="n"/>
      <c r="AD34" s="215" t="inlineStr">
        <is>
          <t>SIM</t>
        </is>
      </c>
      <c r="AE34" s="215" t="n"/>
      <c r="AF34" s="215" t="n"/>
      <c r="AG34" s="215" t="inlineStr">
        <is>
          <t>P1</t>
        </is>
      </c>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inlineStr">
        <is>
          <t>NVG-2.0</t>
        </is>
      </c>
      <c r="G35" s="220" t="n"/>
      <c r="H35" s="220" t="inlineStr">
        <is>
          <t>LL</t>
        </is>
      </c>
      <c r="I35" s="220" t="inlineStr">
        <is>
          <t>LL</t>
        </is>
      </c>
      <c r="J35" s="220" t="inlineStr">
        <is>
          <t>LL</t>
        </is>
      </c>
      <c r="K35" s="220" t="inlineStr">
        <is>
          <t>LL</t>
        </is>
      </c>
      <c r="L35" s="220" t="inlineStr">
        <is>
          <t>LL</t>
        </is>
      </c>
      <c r="M35" s="220" t="n"/>
      <c r="N35" s="220" t="n"/>
      <c r="O35" s="220" t="n"/>
      <c r="P35" s="220" t="n"/>
      <c r="Q35" s="220" t="n"/>
      <c r="R35" s="220" t="n"/>
      <c r="S35" s="220" t="n"/>
      <c r="T35" s="220" t="n"/>
      <c r="U35" s="220" t="n"/>
      <c r="V35" s="220" t="inlineStr">
        <is>
          <t>OL</t>
        </is>
      </c>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inlineStr">
        <is>
          <t>FLT-2.0</t>
        </is>
      </c>
      <c r="G36" s="224" t="n"/>
      <c r="H36" s="224" t="n"/>
      <c r="I36" s="224" t="n"/>
      <c r="J36" s="224" t="n"/>
      <c r="K36" s="224" t="inlineStr">
        <is>
          <t>SDO</t>
        </is>
      </c>
      <c r="L36" s="224" t="n"/>
      <c r="M36" s="224" t="n"/>
      <c r="N36" s="224" t="inlineStr">
        <is>
          <t>LL</t>
        </is>
      </c>
      <c r="O36" s="224" t="inlineStr">
        <is>
          <t>LL</t>
        </is>
      </c>
      <c r="P36" s="224" t="n"/>
      <c r="Q36" s="224" t="n"/>
      <c r="R36" s="224" t="n"/>
      <c r="S36" s="224" t="n"/>
      <c r="T36" s="224" t="n"/>
      <c r="U36" s="224" t="n"/>
      <c r="V36" s="224" t="n"/>
      <c r="W36" s="224" t="inlineStr">
        <is>
          <t>SDO</t>
        </is>
      </c>
      <c r="X36" s="224" t="n"/>
      <c r="Y36" s="224" t="n"/>
      <c r="Z36" s="224" t="inlineStr">
        <is>
          <t>Meeting</t>
        </is>
      </c>
      <c r="AA36" s="224" t="n"/>
      <c r="AB36" s="224" t="n"/>
      <c r="AC36" s="224" t="inlineStr">
        <is>
          <t>FLT-1.5</t>
        </is>
      </c>
      <c r="AD36" s="224" t="n"/>
      <c r="AE36" s="224" t="inlineStr">
        <is>
          <t>OL</t>
        </is>
      </c>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inlineStr">
        <is>
          <t>FLT-1.5</t>
        </is>
      </c>
      <c r="F37" s="229" t="n"/>
      <c r="G37" s="229" t="n"/>
      <c r="H37" s="229" t="n"/>
      <c r="I37" s="229" t="n"/>
      <c r="J37" s="229" t="n"/>
      <c r="K37" s="229" t="n"/>
      <c r="L37" s="229" t="n"/>
      <c r="M37" s="229" t="n"/>
      <c r="N37" s="229" t="inlineStr">
        <is>
          <t>LL</t>
        </is>
      </c>
      <c r="O37" s="229" t="inlineStr">
        <is>
          <t>LL</t>
        </is>
      </c>
      <c r="P37" s="229" t="inlineStr">
        <is>
          <t>FLT-2.0</t>
        </is>
      </c>
      <c r="Q37" s="229" t="n"/>
      <c r="R37" s="229" t="n"/>
      <c r="S37" s="229" t="inlineStr">
        <is>
          <t>FLT-2.0</t>
        </is>
      </c>
      <c r="T37" s="229" t="n"/>
      <c r="U37" s="229" t="n"/>
      <c r="V37" s="229" t="n"/>
      <c r="W37" s="229" t="n"/>
      <c r="X37" s="229" t="n"/>
      <c r="Y37" s="229" t="n"/>
      <c r="Z37" s="229" t="inlineStr">
        <is>
          <t>MSN-3.0</t>
        </is>
      </c>
      <c r="AA37" s="229" t="n"/>
      <c r="AB37" s="229" t="n"/>
      <c r="AC37" s="229" t="n"/>
      <c r="AD37" s="229" t="n"/>
      <c r="AE37" s="229" t="inlineStr">
        <is>
          <t>OL</t>
        </is>
      </c>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inlineStr">
        <is>
          <t>NVG-2.0</t>
        </is>
      </c>
      <c r="I38" s="232" t="n"/>
      <c r="J38" s="232" t="n"/>
      <c r="K38" s="232" t="n"/>
      <c r="L38" s="232" t="n"/>
      <c r="M38" s="232" t="inlineStr">
        <is>
          <t>NVG-2.0</t>
        </is>
      </c>
      <c r="N38" s="232" t="inlineStr">
        <is>
          <t>LL</t>
        </is>
      </c>
      <c r="O38" s="232" t="inlineStr">
        <is>
          <t>LL</t>
        </is>
      </c>
      <c r="P38" s="232" t="n"/>
      <c r="Q38" s="232" t="n"/>
      <c r="R38" s="232" t="n"/>
      <c r="S38" s="232" t="n"/>
      <c r="T38" s="232" t="inlineStr">
        <is>
          <t>NVG-2.0</t>
        </is>
      </c>
      <c r="U38" s="232" t="n"/>
      <c r="V38" s="232" t="inlineStr">
        <is>
          <t>NVG-2.0</t>
        </is>
      </c>
      <c r="W38" s="232" t="n"/>
      <c r="X38" s="232" t="n"/>
      <c r="Y38" s="232" t="n"/>
      <c r="Z38" s="232" t="n"/>
      <c r="AA38" s="232" t="inlineStr">
        <is>
          <t>P2</t>
        </is>
      </c>
      <c r="AB38" s="232" t="n"/>
      <c r="AC38" s="232" t="n"/>
      <c r="AD38" s="232" t="n"/>
      <c r="AE38" s="232" t="inlineStr">
        <is>
          <t>OL</t>
        </is>
      </c>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inlineStr">
        <is>
          <t>FLT-1.5</t>
        </is>
      </c>
      <c r="G39" s="209" t="inlineStr">
        <is>
          <t>FLT-1.5</t>
        </is>
      </c>
      <c r="H39" s="209" t="n"/>
      <c r="I39" s="209" t="n"/>
      <c r="J39" s="209" t="n"/>
      <c r="K39" s="209" t="n"/>
      <c r="L39" s="209" t="n"/>
      <c r="M39" s="209" t="n"/>
      <c r="N39" s="209" t="inlineStr">
        <is>
          <t>SDO</t>
        </is>
      </c>
      <c r="O39" s="209" t="n"/>
      <c r="P39" s="209" t="n"/>
      <c r="Q39" s="209" t="n"/>
      <c r="R39" s="209" t="n"/>
      <c r="S39" s="209" t="inlineStr">
        <is>
          <t>Detachment</t>
        </is>
      </c>
      <c r="T39" s="209" t="inlineStr">
        <is>
          <t>Detachment</t>
        </is>
      </c>
      <c r="U39" s="209" t="inlineStr">
        <is>
          <t>Detachment</t>
        </is>
      </c>
      <c r="V39" s="209" t="inlineStr">
        <is>
          <t>Detachment</t>
        </is>
      </c>
      <c r="W39" s="209" t="inlineStr">
        <is>
          <t>Detachment</t>
        </is>
      </c>
      <c r="X39" s="209" t="n"/>
      <c r="Y39" s="209" t="n"/>
      <c r="Z39" s="209" t="inlineStr">
        <is>
          <t>SDO</t>
        </is>
      </c>
      <c r="AA39" s="209" t="inlineStr">
        <is>
          <t>OIL</t>
        </is>
      </c>
      <c r="AB39" s="209" t="n"/>
      <c r="AC39" s="209" t="inlineStr">
        <is>
          <t>FLT-2.0</t>
        </is>
      </c>
      <c r="AD39" s="209" t="n"/>
      <c r="AE39" s="209" t="n"/>
      <c r="AF39" s="209" t="n"/>
      <c r="AG39" s="209" t="inlineStr">
        <is>
          <t>FLT-2.0</t>
        </is>
      </c>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inlineStr">
        <is>
          <t>SIM</t>
        </is>
      </c>
      <c r="F40" s="215" t="n"/>
      <c r="G40" s="215" t="inlineStr">
        <is>
          <t>P1</t>
        </is>
      </c>
      <c r="H40" s="215" t="inlineStr">
        <is>
          <t>P1</t>
        </is>
      </c>
      <c r="I40" s="215" t="inlineStr">
        <is>
          <t>FLT-2.0</t>
        </is>
      </c>
      <c r="J40" s="215" t="n"/>
      <c r="K40" s="215" t="n"/>
      <c r="L40" s="215" t="n"/>
      <c r="M40" s="215" t="n"/>
      <c r="N40" s="215" t="n"/>
      <c r="O40" s="215" t="inlineStr">
        <is>
          <t>SIM</t>
        </is>
      </c>
      <c r="P40" s="215" t="inlineStr">
        <is>
          <t>SIM</t>
        </is>
      </c>
      <c r="Q40" s="215" t="n"/>
      <c r="R40" s="215" t="n"/>
      <c r="S40" s="215" t="inlineStr">
        <is>
          <t>Detachment</t>
        </is>
      </c>
      <c r="T40" s="215" t="inlineStr">
        <is>
          <t>Detachment</t>
        </is>
      </c>
      <c r="U40" s="215" t="inlineStr">
        <is>
          <t>Detachment</t>
        </is>
      </c>
      <c r="V40" s="215" t="inlineStr">
        <is>
          <t>Detachment</t>
        </is>
      </c>
      <c r="W40" s="215" t="inlineStr">
        <is>
          <t>Detachment</t>
        </is>
      </c>
      <c r="X40" s="215" t="n"/>
      <c r="Y40" s="215" t="n"/>
      <c r="Z40" s="215" t="n"/>
      <c r="AA40" s="215" t="inlineStr">
        <is>
          <t>OIL</t>
        </is>
      </c>
      <c r="AB40" s="215" t="inlineStr">
        <is>
          <t>FLT-1.5</t>
        </is>
      </c>
      <c r="AC40" s="215" t="n"/>
      <c r="AD40" s="215" t="inlineStr">
        <is>
          <t>MSN-3.0</t>
        </is>
      </c>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inlineStr">
        <is>
          <t>NVG-2.0</t>
        </is>
      </c>
      <c r="P41" s="220" t="n"/>
      <c r="Q41" s="220" t="n"/>
      <c r="R41" s="220" t="n"/>
      <c r="S41" s="220" t="inlineStr">
        <is>
          <t>Detachment</t>
        </is>
      </c>
      <c r="T41" s="220" t="inlineStr">
        <is>
          <t>Detachment</t>
        </is>
      </c>
      <c r="U41" s="220" t="inlineStr">
        <is>
          <t>Detachment</t>
        </is>
      </c>
      <c r="V41" s="220" t="inlineStr">
        <is>
          <t>Detachment</t>
        </is>
      </c>
      <c r="W41" s="220" t="inlineStr">
        <is>
          <t>Detachment</t>
        </is>
      </c>
      <c r="X41" s="220" t="n"/>
      <c r="Y41" s="220" t="n"/>
      <c r="Z41" s="220" t="n"/>
      <c r="AA41" s="220" t="inlineStr">
        <is>
          <t>OIL</t>
        </is>
      </c>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inlineStr">
        <is>
          <t>FLT-1.5</t>
        </is>
      </c>
      <c r="N42" s="224" t="inlineStr">
        <is>
          <t>Meeting</t>
        </is>
      </c>
      <c r="O42" s="224" t="n"/>
      <c r="P42" s="224" t="n"/>
      <c r="Q42" s="224" t="n"/>
      <c r="R42" s="224" t="n"/>
      <c r="S42" s="224" t="inlineStr">
        <is>
          <t>FLT-1.5</t>
        </is>
      </c>
      <c r="T42" s="224" t="n"/>
      <c r="U42" s="224" t="inlineStr">
        <is>
          <t>FLT-1.5</t>
        </is>
      </c>
      <c r="V42" s="224" t="n"/>
      <c r="W42" s="224" t="inlineStr">
        <is>
          <t>LL</t>
        </is>
      </c>
      <c r="X42" s="224" t="inlineStr">
        <is>
          <t>LL</t>
        </is>
      </c>
      <c r="Y42" s="224" t="inlineStr">
        <is>
          <t>LL</t>
        </is>
      </c>
      <c r="Z42" s="224" t="n"/>
      <c r="AA42" s="224" t="n"/>
      <c r="AB42" s="224" t="n"/>
      <c r="AC42" s="224" t="n"/>
      <c r="AD42" s="224" t="n"/>
      <c r="AE42" s="224" t="n"/>
      <c r="AF42" s="224" t="n"/>
      <c r="AG42" s="224" t="inlineStr">
        <is>
          <t>OL</t>
        </is>
      </c>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inlineStr">
        <is>
          <t>P1</t>
        </is>
      </c>
      <c r="F43" s="229" t="n"/>
      <c r="G43" s="229" t="n"/>
      <c r="H43" s="229" t="inlineStr">
        <is>
          <t>FLT-1.5</t>
        </is>
      </c>
      <c r="I43" s="229" t="n"/>
      <c r="J43" s="229" t="n"/>
      <c r="K43" s="229" t="n"/>
      <c r="L43" s="229" t="n"/>
      <c r="M43" s="229" t="inlineStr">
        <is>
          <t>SIM</t>
        </is>
      </c>
      <c r="N43" s="229" t="inlineStr">
        <is>
          <t>FLT-2.0</t>
        </is>
      </c>
      <c r="O43" s="229" t="n"/>
      <c r="P43" s="229" t="inlineStr">
        <is>
          <t>P1</t>
        </is>
      </c>
      <c r="Q43" s="229" t="n"/>
      <c r="R43" s="229" t="n"/>
      <c r="S43" s="229" t="n"/>
      <c r="T43" s="229" t="inlineStr">
        <is>
          <t>P1</t>
        </is>
      </c>
      <c r="U43" s="229" t="inlineStr">
        <is>
          <t>SIM</t>
        </is>
      </c>
      <c r="V43" s="229" t="inlineStr">
        <is>
          <t>FLT-2.0</t>
        </is>
      </c>
      <c r="W43" s="229" t="inlineStr">
        <is>
          <t>LL</t>
        </is>
      </c>
      <c r="X43" s="229" t="inlineStr">
        <is>
          <t>LL</t>
        </is>
      </c>
      <c r="Y43" s="229" t="inlineStr">
        <is>
          <t>LL</t>
        </is>
      </c>
      <c r="Z43" s="229" t="inlineStr">
        <is>
          <t>P1</t>
        </is>
      </c>
      <c r="AA43" s="229" t="inlineStr">
        <is>
          <t>FLT-2.0</t>
        </is>
      </c>
      <c r="AB43" s="229" t="inlineStr">
        <is>
          <t>P1</t>
        </is>
      </c>
      <c r="AC43" s="229" t="n"/>
      <c r="AD43" s="229" t="n"/>
      <c r="AE43" s="229" t="n"/>
      <c r="AF43" s="229" t="n"/>
      <c r="AG43" s="229" t="inlineStr">
        <is>
          <t>OL</t>
        </is>
      </c>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inlineStr">
        <is>
          <t>P2</t>
        </is>
      </c>
      <c r="N44" s="232" t="n"/>
      <c r="O44" s="232" t="inlineStr">
        <is>
          <t>P2</t>
        </is>
      </c>
      <c r="P44" s="232" t="n"/>
      <c r="Q44" s="232" t="n"/>
      <c r="R44" s="232" t="n"/>
      <c r="S44" s="232" t="n"/>
      <c r="T44" s="232" t="n"/>
      <c r="U44" s="232" t="n"/>
      <c r="V44" s="232" t="inlineStr">
        <is>
          <t>P2</t>
        </is>
      </c>
      <c r="W44" s="232" t="inlineStr">
        <is>
          <t>LL</t>
        </is>
      </c>
      <c r="X44" s="232" t="inlineStr">
        <is>
          <t>LL</t>
        </is>
      </c>
      <c r="Y44" s="232" t="inlineStr">
        <is>
          <t>LL</t>
        </is>
      </c>
      <c r="Z44" s="232" t="n"/>
      <c r="AA44" s="232" t="n"/>
      <c r="AB44" s="232" t="n"/>
      <c r="AC44" s="232" t="inlineStr">
        <is>
          <t>P2</t>
        </is>
      </c>
      <c r="AD44" s="232" t="n"/>
      <c r="AE44" s="232" t="n"/>
      <c r="AF44" s="232" t="n"/>
      <c r="AG44" s="232" t="inlineStr">
        <is>
          <t>OL</t>
        </is>
      </c>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2026-10-24T16:55:56Z</dcterms:created>
  <dcterms:modified xmlns:dcterms="http://purl.org/dc/terms/" xmlns:xsi="http://www.w3.org/2001/XMLSchema-instance" xsi:type="dcterms:W3CDTF">2026-10-24T16:56:14Z</dcterms:modified>
</cp:coreProperties>
</file>