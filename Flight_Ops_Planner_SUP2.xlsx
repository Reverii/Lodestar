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WdCodes">Activities!$P$6:INDEX(Activities!$P$6:$P$65,MAX(1,COUNTIF(Activities!$C$6:$C$65,Activities!$G$8)+COUNTIF(Activities!$C$6:$C$65,Activities!$G$12)))</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View'!$A$10:$G$70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'Jan'!$A$26:$A$266</definedName>
    <definedName name="_xlnm.Print_Titles" localSheetId="17">'Jan'!$4:$5</definedName>
    <definedName name="_xlnm._FilterDatabase" localSheetId="18" hidden="1">'Feb'!$A$26:$A$266</definedName>
    <definedName name="_xlnm.Print_Titles" localSheetId="18">'Feb'!$4:$5</definedName>
    <definedName name="_xlnm._FilterDatabase" localSheetId="19" hidden="1">'Mar'!$A$26:$A$266</definedName>
    <definedName name="_xlnm.Print_Titles" localSheetId="19">'Mar'!$4:$5</definedName>
    <definedName name="_xlnm._FilterDatabase" localSheetId="20" hidden="1">'Apr'!$A$26:$A$266</definedName>
    <definedName name="_xlnm.Print_Titles" localSheetId="20">'Apr'!$4:$5</definedName>
    <definedName name="_xlnm._FilterDatabase" localSheetId="21" hidden="1">'May'!$A$26:$A$266</definedName>
    <definedName name="_xlnm.Print_Titles" localSheetId="21">'May'!$4:$5</definedName>
    <definedName name="_xlnm._FilterDatabase" localSheetId="22" hidden="1">'Jun'!$A$26:$A$266</definedName>
    <definedName name="_xlnm.Print_Titles" localSheetId="22">'Jun'!$4:$5</definedName>
    <definedName name="_xlnm._FilterDatabase" localSheetId="23" hidden="1">'Jul'!$A$26:$A$266</definedName>
    <definedName name="_xlnm.Print_Titles" localSheetId="23">'Jul'!$4:$5</definedName>
    <definedName name="_xlnm._FilterDatabase" localSheetId="24" hidden="1">'Aug'!$A$26:$A$266</definedName>
    <definedName name="_xlnm.Print_Titles" localSheetId="24">'Aug'!$4:$5</definedName>
    <definedName name="_xlnm._FilterDatabase" localSheetId="25" hidden="1">'Sep'!$A$26:$A$266</definedName>
    <definedName name="_xlnm.Print_Titles" localSheetId="25">'Sep'!$4:$5</definedName>
    <definedName name="_xlnm._FilterDatabase" localSheetId="26" hidden="1">'Oct'!$A$26:$A$266</definedName>
    <definedName name="_xlnm.Print_Titles" localSheetId="26">'Oct'!$4:$5</definedName>
    <definedName name="_xlnm._FilterDatabase" localSheetId="27" hidden="1">'Nov'!$A$26:$A$266</definedName>
    <definedName name="_xlnm.Print_Titles" localSheetId="27">'Nov'!$4:$5</definedName>
    <definedName name="_xlnm._FilterDatabase" localSheetId="28" hidden="1">'Dec'!$A$26:$A$266</definedName>
    <definedName name="_xlnm.Print_Titles" localSheetId="28">'Dec'!$4:$5</definedName>
    <definedName name="_xlnm._FilterDatabase" localSheetId="29" hidden="1">'Jan (next year)'!$A$26:$A$266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8">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Consolas"/>
      <b val="1"/>
      <color rgb="00115E59"/>
      <sz val="9"/>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4">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
      <patternFill patternType="solid">
        <fgColor rgb="00CCFBF1"/>
        <bgColor rgb="00CCFBF1"/>
      </patternFill>
    </fill>
    <fill>
      <patternFill patternType="solid">
        <fgColor rgb="00F0FDFA"/>
        <bgColor rgb="00F0FDFA"/>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50" fillId="3" borderId="1" applyAlignment="1" pivotButton="0" quotePrefix="0" xfId="0">
      <alignment horizontal="center" vertical="center" wrapText="1"/>
    </xf>
    <xf numFmtId="0" fontId="50" fillId="3" borderId="1" applyAlignment="1" pivotButton="0" quotePrefix="0" xfId="0">
      <alignment horizontal="left" vertical="center" indent="1"/>
    </xf>
    <xf numFmtId="0" fontId="51" fillId="21" borderId="0" applyAlignment="1" pivotButton="0" quotePrefix="0" xfId="0">
      <alignment horizontal="center" vertical="center" wrapText="1"/>
    </xf>
    <xf numFmtId="0" fontId="51" fillId="28" borderId="0" applyAlignment="1" pivotButton="0" quotePrefix="0" xfId="0">
      <alignment horizontal="center" vertical="center" wrapText="1"/>
    </xf>
    <xf numFmtId="0" fontId="52"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3" fillId="31" borderId="4" applyAlignment="1" pivotButton="0" quotePrefix="0" xfId="0">
      <alignment horizontal="left" vertical="center" indent="1"/>
    </xf>
    <xf numFmtId="173" fontId="54" fillId="31" borderId="4" applyAlignment="1" pivotButton="0" quotePrefix="0" xfId="0">
      <alignment horizontal="left" vertical="center" indent="1"/>
    </xf>
    <xf numFmtId="1" fontId="55" fillId="31" borderId="4" applyAlignment="1" pivotButton="0" quotePrefix="0" xfId="0">
      <alignment horizontal="left" vertical="center" indent="1"/>
    </xf>
    <xf numFmtId="1" fontId="56" fillId="31" borderId="29" applyAlignment="1" pivotButton="0" quotePrefix="0" xfId="0">
      <alignment horizontal="left" vertical="center" indent="1"/>
    </xf>
    <xf numFmtId="0" fontId="0" fillId="31" borderId="31" pivotButton="0" quotePrefix="0" xfId="0"/>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1" fontId="59"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9" fillId="0" borderId="1" pivotButton="0" quotePrefix="0" xfId="0"/>
    <xf numFmtId="0" fontId="46" fillId="0" borderId="1" pivotButton="0" quotePrefix="0" xfId="0"/>
    <xf numFmtId="0" fontId="60"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1"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9" fillId="24" borderId="1" pivotButton="0" quotePrefix="0" xfId="0"/>
    <xf numFmtId="0" fontId="46" fillId="24" borderId="1" pivotButton="0" quotePrefix="0" xfId="0"/>
    <xf numFmtId="0" fontId="60"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9" fillId="4" borderId="1" pivotButton="0" quotePrefix="0" xfId="0"/>
    <xf numFmtId="0" fontId="46" fillId="4" borderId="1" pivotButton="0" quotePrefix="0" xfId="0"/>
    <xf numFmtId="0" fontId="60"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2" fillId="0" borderId="1" pivotButton="0" quotePrefix="0" xfId="0"/>
    <xf numFmtId="169" fontId="63" fillId="0" borderId="1" applyAlignment="1" pivotButton="0" quotePrefix="0" xfId="0">
      <alignment horizontal="center" vertical="center" wrapText="1"/>
    </xf>
    <xf numFmtId="166" fontId="63" fillId="0" borderId="1" applyAlignment="1" pivotButton="0" quotePrefix="0" xfId="0">
      <alignment horizontal="center" vertical="center" wrapText="1"/>
    </xf>
    <xf numFmtId="0" fontId="48" fillId="0" borderId="0" applyAlignment="1" pivotButton="0" quotePrefix="0" xfId="0">
      <alignment vertical="top" wrapText="1" indent="1"/>
    </xf>
    <xf numFmtId="0" fontId="66" fillId="0" borderId="0" applyAlignment="1" pivotButton="0" quotePrefix="0" xfId="0">
      <alignment vertical="top" wrapText="1" indent="1"/>
    </xf>
    <xf numFmtId="0" fontId="67" fillId="0" borderId="0" applyAlignment="1" pivotButton="0" quotePrefix="0" xfId="0">
      <alignment vertical="top" wrapText="1" indent="1"/>
    </xf>
    <xf numFmtId="175" fontId="10" fillId="3" borderId="1" pivotButton="0" quotePrefix="0" xfId="0"/>
    <xf numFmtId="0" fontId="64"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3" fillId="31" borderId="29" applyAlignment="1" pivotButton="0" quotePrefix="0" xfId="0">
      <alignment horizontal="left" vertical="center" indent="1"/>
    </xf>
    <xf numFmtId="1" fontId="56" fillId="31" borderId="4" applyAlignment="1" pivotButton="0" quotePrefix="0" xfId="0">
      <alignment horizontal="left" vertical="center" indent="1"/>
    </xf>
    <xf numFmtId="1" fontId="57" fillId="31" borderId="4" applyAlignment="1" pivotButton="0" quotePrefix="0" xfId="0">
      <alignment horizontal="left" vertical="center" indent="1"/>
    </xf>
    <xf numFmtId="1" fontId="65" fillId="31" borderId="4" applyAlignment="1" pivotButton="0" quotePrefix="0" xfId="0">
      <alignment horizontal="left" vertical="center" indent="1"/>
    </xf>
    <xf numFmtId="49" fontId="56"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8" fillId="31" borderId="19" applyAlignment="1" pivotButton="0" quotePrefix="0" xfId="0">
      <alignment horizontal="center" vertical="center" wrapText="1"/>
    </xf>
    <xf numFmtId="166" fontId="48"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0" fontId="11" fillId="31" borderId="20" applyAlignment="1" pivotButton="0" quotePrefix="0" xfId="0">
      <alignment horizontal="left" vertical="top" shrinkToFit="1" indent="1"/>
    </xf>
    <xf numFmtId="0" fontId="37" fillId="25" borderId="20" applyAlignment="1" pivotButton="0" quotePrefix="0" xfId="0">
      <alignment horizontal="center" vertical="center" wrapText="1"/>
    </xf>
    <xf numFmtId="170" fontId="24" fillId="31" borderId="21" applyAlignment="1" pivotButton="0" quotePrefix="0" xfId="0">
      <alignment horizontal="center" vertical="center" shrinkToFit="1"/>
    </xf>
    <xf numFmtId="0" fontId="0" fillId="31" borderId="21" pivotButton="0" quotePrefix="0" xfId="0"/>
    <xf numFmtId="0" fontId="47" fillId="32" borderId="21" applyAlignment="1" pivotButton="0" quotePrefix="0" xfId="0">
      <alignment horizontal="center" vertical="center" wrapText="1"/>
    </xf>
    <xf numFmtId="0" fontId="46" fillId="33"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8" fillId="24" borderId="19" applyAlignment="1" pivotButton="0" quotePrefix="0" xfId="0">
      <alignment horizontal="center" vertical="center" wrapText="1"/>
    </xf>
    <xf numFmtId="166" fontId="48"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0" fontId="11" fillId="24" borderId="20" applyAlignment="1" pivotButton="0" quotePrefix="0" xfId="0">
      <alignment horizontal="left" vertical="top" shrinkToFit="1" indent="1"/>
    </xf>
    <xf numFmtId="170" fontId="24" fillId="24" borderId="21" applyAlignment="1" pivotButton="0" quotePrefix="0" xfId="0">
      <alignment horizontal="center" vertical="center" shrinkToFit="1"/>
    </xf>
    <xf numFmtId="0" fontId="0" fillId="24" borderId="21" pivotButton="0" quotePrefix="0" xfId="0"/>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8" fillId="4" borderId="24" applyAlignment="1" pivotButton="0" quotePrefix="0" xfId="0">
      <alignment horizontal="center" vertical="center" wrapText="1"/>
    </xf>
    <xf numFmtId="166" fontId="48"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0" fontId="11" fillId="4" borderId="20" applyAlignment="1" pivotButton="0" quotePrefix="0" xfId="0">
      <alignment horizontal="left" vertical="top" shrinkToFit="1" indent="1"/>
    </xf>
    <xf numFmtId="170" fontId="24" fillId="4" borderId="21" applyAlignment="1" pivotButton="0" quotePrefix="0" xfId="0">
      <alignment horizontal="center" vertical="center" shrinkToFit="1"/>
    </xf>
    <xf numFmtId="0" fontId="0" fillId="4" borderId="21" pivotButton="0" quotePrefix="0" xfId="0"/>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8" fillId="4" borderId="19" applyAlignment="1" pivotButton="0" quotePrefix="0" xfId="0">
      <alignment horizontal="center" vertical="center" wrapText="1"/>
    </xf>
    <xf numFmtId="166" fontId="48"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9"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SUP 2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3</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SUP 2</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IF($B13="","",CHOOSE(MonthIdx,'Jan'!AI31,'Feb'!AI31,'Mar'!AI31,'Apr'!AI31,'May'!AI31,'Jun'!AI31,'Jul'!AI31,'Aug'!AI31,'Sep'!AI31,'Oct'!AI31,'Nov'!AI31,'Dec'!AI31))</f>
        <v/>
      </c>
      <c r="F13" s="52">
        <f>IF($B13="","",CHOOSE(MonthIdx,'Jan'!AJ31,'Feb'!AJ31,'Mar'!AJ31,'Apr'!AJ31,'May'!AJ31,'Jun'!AJ31,'Jul'!AJ31,'Aug'!AJ31,'Sep'!AJ31,'Oct'!AJ31,'Nov'!AJ31,'Dec'!AJ31))</f>
        <v/>
      </c>
      <c r="G13" s="51">
        <f>IF($B13="","",CHOOSE(MonthIdx,'Jan'!AK31,'Feb'!AK31,'Mar'!AK31,'Apr'!AK31,'May'!AK31,'Jun'!AK31,'Jul'!AK31,'Aug'!AK31,'Sep'!AK31,'Oct'!AK31,'Nov'!AK31,'Dec'!AK31))</f>
        <v/>
      </c>
      <c r="H13" s="51">
        <f>IF($B13="","",CHOOSE(MonthIdx,'Jan'!AL31,'Feb'!AL31,'Mar'!AL31,'Apr'!AL31,'May'!AL31,'Jun'!AL31,'Jul'!AL31,'Aug'!AL31,'Sep'!AL31,'Oct'!AL31,'Nov'!AL31,'Dec'!AL31))</f>
        <v/>
      </c>
      <c r="I13" s="51">
        <f>IF($B13="","",CHOOSE(MonthIdx,'Jan'!AM31,'Feb'!AM31,'Mar'!AM31,'Apr'!AM31,'May'!AM31,'Jun'!AM31,'Jul'!AM31,'Aug'!AM31,'Sep'!AM31,'Oct'!AM31,'Nov'!AM31,'Dec'!AM31))</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IF($B14="","",CHOOSE(MonthIdx,'Jan'!AI35,'Feb'!AI35,'Mar'!AI35,'Apr'!AI35,'May'!AI35,'Jun'!AI35,'Jul'!AI35,'Aug'!AI35,'Sep'!AI35,'Oct'!AI35,'Nov'!AI35,'Dec'!AI35))</f>
        <v/>
      </c>
      <c r="F14" s="43">
        <f>IF($B14="","",CHOOSE(MonthIdx,'Jan'!AJ35,'Feb'!AJ35,'Mar'!AJ35,'Apr'!AJ35,'May'!AJ35,'Jun'!AJ35,'Jul'!AJ35,'Aug'!AJ35,'Sep'!AJ35,'Oct'!AJ35,'Nov'!AJ35,'Dec'!AJ35))</f>
        <v/>
      </c>
      <c r="G14" s="42">
        <f>IF($B14="","",CHOOSE(MonthIdx,'Jan'!AK35,'Feb'!AK35,'Mar'!AK35,'Apr'!AK35,'May'!AK35,'Jun'!AK35,'Jul'!AK35,'Aug'!AK35,'Sep'!AK35,'Oct'!AK35,'Nov'!AK35,'Dec'!AK35))</f>
        <v/>
      </c>
      <c r="H14" s="42">
        <f>IF($B14="","",CHOOSE(MonthIdx,'Jan'!AL35,'Feb'!AL35,'Mar'!AL35,'Apr'!AL35,'May'!AL35,'Jun'!AL35,'Jul'!AL35,'Aug'!AL35,'Sep'!AL35,'Oct'!AL35,'Nov'!AL35,'Dec'!AL35))</f>
        <v/>
      </c>
      <c r="I14" s="42">
        <f>IF($B14="","",CHOOSE(MonthIdx,'Jan'!AM35,'Feb'!AM35,'Mar'!AM35,'Apr'!AM35,'May'!AM35,'Jun'!AM35,'Jul'!AM35,'Aug'!AM35,'Sep'!AM35,'Oct'!AM35,'Nov'!AM35,'Dec'!AM35))</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IF($B15="","",CHOOSE(MonthIdx,'Jan'!AI39,'Feb'!AI39,'Mar'!AI39,'Apr'!AI39,'May'!AI39,'Jun'!AI39,'Jul'!AI39,'Aug'!AI39,'Sep'!AI39,'Oct'!AI39,'Nov'!AI39,'Dec'!AI39))</f>
        <v/>
      </c>
      <c r="F15" s="52">
        <f>IF($B15="","",CHOOSE(MonthIdx,'Jan'!AJ39,'Feb'!AJ39,'Mar'!AJ39,'Apr'!AJ39,'May'!AJ39,'Jun'!AJ39,'Jul'!AJ39,'Aug'!AJ39,'Sep'!AJ39,'Oct'!AJ39,'Nov'!AJ39,'Dec'!AJ39))</f>
        <v/>
      </c>
      <c r="G15" s="51">
        <f>IF($B15="","",CHOOSE(MonthIdx,'Jan'!AK39,'Feb'!AK39,'Mar'!AK39,'Apr'!AK39,'May'!AK39,'Jun'!AK39,'Jul'!AK39,'Aug'!AK39,'Sep'!AK39,'Oct'!AK39,'Nov'!AK39,'Dec'!AK39))</f>
        <v/>
      </c>
      <c r="H15" s="51">
        <f>IF($B15="","",CHOOSE(MonthIdx,'Jan'!AL39,'Feb'!AL39,'Mar'!AL39,'Apr'!AL39,'May'!AL39,'Jun'!AL39,'Jul'!AL39,'Aug'!AL39,'Sep'!AL39,'Oct'!AL39,'Nov'!AL39,'Dec'!AL39))</f>
        <v/>
      </c>
      <c r="I15" s="51">
        <f>IF($B15="","",CHOOSE(MonthIdx,'Jan'!AM39,'Feb'!AM39,'Mar'!AM39,'Apr'!AM39,'May'!AM39,'Jun'!AM39,'Jul'!AM39,'Aug'!AM39,'Sep'!AM39,'Oct'!AM39,'Nov'!AM39,'Dec'!AM39))</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IF($B16="","",CHOOSE(MonthIdx,'Jan'!AI43,'Feb'!AI43,'Mar'!AI43,'Apr'!AI43,'May'!AI43,'Jun'!AI43,'Jul'!AI43,'Aug'!AI43,'Sep'!AI43,'Oct'!AI43,'Nov'!AI43,'Dec'!AI43))</f>
        <v/>
      </c>
      <c r="F16" s="43">
        <f>IF($B16="","",CHOOSE(MonthIdx,'Jan'!AJ43,'Feb'!AJ43,'Mar'!AJ43,'Apr'!AJ43,'May'!AJ43,'Jun'!AJ43,'Jul'!AJ43,'Aug'!AJ43,'Sep'!AJ43,'Oct'!AJ43,'Nov'!AJ43,'Dec'!AJ43))</f>
        <v/>
      </c>
      <c r="G16" s="42">
        <f>IF($B16="","",CHOOSE(MonthIdx,'Jan'!AK43,'Feb'!AK43,'Mar'!AK43,'Apr'!AK43,'May'!AK43,'Jun'!AK43,'Jul'!AK43,'Aug'!AK43,'Sep'!AK43,'Oct'!AK43,'Nov'!AK43,'Dec'!AK43))</f>
        <v/>
      </c>
      <c r="H16" s="42">
        <f>IF($B16="","",CHOOSE(MonthIdx,'Jan'!AL43,'Feb'!AL43,'Mar'!AL43,'Apr'!AL43,'May'!AL43,'Jun'!AL43,'Jul'!AL43,'Aug'!AL43,'Sep'!AL43,'Oct'!AL43,'Nov'!AL43,'Dec'!AL43))</f>
        <v/>
      </c>
      <c r="I16" s="42">
        <f>IF($B16="","",CHOOSE(MonthIdx,'Jan'!AM43,'Feb'!AM43,'Mar'!AM43,'Apr'!AM43,'May'!AM43,'Jun'!AM43,'Jul'!AM43,'Aug'!AM43,'Sep'!AM43,'Oct'!AM43,'Nov'!AM43,'Dec'!AM43))</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IF($B17="","",CHOOSE(MonthIdx,'Jan'!AI47,'Feb'!AI47,'Mar'!AI47,'Apr'!AI47,'May'!AI47,'Jun'!AI47,'Jul'!AI47,'Aug'!AI47,'Sep'!AI47,'Oct'!AI47,'Nov'!AI47,'Dec'!AI47))</f>
        <v/>
      </c>
      <c r="F17" s="52">
        <f>IF($B17="","",CHOOSE(MonthIdx,'Jan'!AJ47,'Feb'!AJ47,'Mar'!AJ47,'Apr'!AJ47,'May'!AJ47,'Jun'!AJ47,'Jul'!AJ47,'Aug'!AJ47,'Sep'!AJ47,'Oct'!AJ47,'Nov'!AJ47,'Dec'!AJ47))</f>
        <v/>
      </c>
      <c r="G17" s="51">
        <f>IF($B17="","",CHOOSE(MonthIdx,'Jan'!AK47,'Feb'!AK47,'Mar'!AK47,'Apr'!AK47,'May'!AK47,'Jun'!AK47,'Jul'!AK47,'Aug'!AK47,'Sep'!AK47,'Oct'!AK47,'Nov'!AK47,'Dec'!AK47))</f>
        <v/>
      </c>
      <c r="H17" s="51">
        <f>IF($B17="","",CHOOSE(MonthIdx,'Jan'!AL47,'Feb'!AL47,'Mar'!AL47,'Apr'!AL47,'May'!AL47,'Jun'!AL47,'Jul'!AL47,'Aug'!AL47,'Sep'!AL47,'Oct'!AL47,'Nov'!AL47,'Dec'!AL47))</f>
        <v/>
      </c>
      <c r="I17" s="51">
        <f>IF($B17="","",CHOOSE(MonthIdx,'Jan'!AM47,'Feb'!AM47,'Mar'!AM47,'Apr'!AM47,'May'!AM47,'Jun'!AM47,'Jul'!AM47,'Aug'!AM47,'Sep'!AM47,'Oct'!AM47,'Nov'!AM47,'Dec'!AM47))</f>
        <v/>
      </c>
      <c r="K17" s="44">
        <f>IF(Activities!$A$11="","",Activities!$A$11)</f>
        <v/>
      </c>
      <c r="L17" s="45">
        <f>IF(Activities!$A$11="","",Activities!$B$11&amp;"")</f>
        <v/>
      </c>
      <c r="N17" s="46">
        <f>IF(Activities!$A$11="","",Activities!$D$11)</f>
        <v/>
      </c>
    </row>
    <row r="18" hidden="1">
      <c r="A18" s="38">
        <f>IF(Roster!$B$12="","",Roster!$B$12)</f>
        <v/>
      </c>
      <c r="B18" s="39">
        <f>IF(Roster!$C$12="","",Roster!$C$12)</f>
        <v/>
      </c>
      <c r="C18" s="40">
        <f>IF(Roster!$C$12="","",Roster!$F$12&amp;"")</f>
        <v/>
      </c>
      <c r="D18" s="41">
        <f>IF(Roster!$C$12="","",Roster!$G$12&amp;"")</f>
        <v/>
      </c>
      <c r="E18" s="42">
        <f>IF($B18="","",CHOOSE(MonthIdx,'Jan'!AI51,'Feb'!AI51,'Mar'!AI51,'Apr'!AI51,'May'!AI51,'Jun'!AI51,'Jul'!AI51,'Aug'!AI51,'Sep'!AI51,'Oct'!AI51,'Nov'!AI51,'Dec'!AI51))</f>
        <v/>
      </c>
      <c r="F18" s="43">
        <f>IF($B18="","",CHOOSE(MonthIdx,'Jan'!AJ51,'Feb'!AJ51,'Mar'!AJ51,'Apr'!AJ51,'May'!AJ51,'Jun'!AJ51,'Jul'!AJ51,'Aug'!AJ51,'Sep'!AJ51,'Oct'!AJ51,'Nov'!AJ51,'Dec'!AJ51))</f>
        <v/>
      </c>
      <c r="G18" s="42">
        <f>IF($B18="","",CHOOSE(MonthIdx,'Jan'!AK51,'Feb'!AK51,'Mar'!AK51,'Apr'!AK51,'May'!AK51,'Jun'!AK51,'Jul'!AK51,'Aug'!AK51,'Sep'!AK51,'Oct'!AK51,'Nov'!AK51,'Dec'!AK51))</f>
        <v/>
      </c>
      <c r="H18" s="42">
        <f>IF($B18="","",CHOOSE(MonthIdx,'Jan'!AL51,'Feb'!AL51,'Mar'!AL51,'Apr'!AL51,'May'!AL51,'Jun'!AL51,'Jul'!AL51,'Aug'!AL51,'Sep'!AL51,'Oct'!AL51,'Nov'!AL51,'Dec'!AL51))</f>
        <v/>
      </c>
      <c r="I18" s="42">
        <f>IF($B18="","",CHOOSE(MonthIdx,'Jan'!AM51,'Feb'!AM51,'Mar'!AM51,'Apr'!AM51,'May'!AM51,'Jun'!AM51,'Jul'!AM51,'Aug'!AM51,'Sep'!AM51,'Oct'!AM51,'Nov'!AM51,'Dec'!AM51))</f>
        <v/>
      </c>
      <c r="K18" s="44">
        <f>IF(Activities!$A$12="","",Activities!$A$12)</f>
        <v/>
      </c>
      <c r="L18" s="45">
        <f>IF(Activities!$A$12="","",Activities!$B$12&amp;"")</f>
        <v/>
      </c>
      <c r="N18" s="46">
        <f>IF(Activities!$A$12="","",Activities!$D$12)</f>
        <v/>
      </c>
    </row>
    <row r="19" hidden="1">
      <c r="A19" s="47">
        <f>IF(Roster!$B$13="","",Roster!$B$13)</f>
        <v/>
      </c>
      <c r="B19" s="48">
        <f>IF(Roster!$C$13="","",Roster!$C$13)</f>
        <v/>
      </c>
      <c r="C19" s="49">
        <f>IF(Roster!$C$13="","",Roster!$F$13&amp;"")</f>
        <v/>
      </c>
      <c r="D19" s="50">
        <f>IF(Roster!$C$13="","",Roster!$G$13&amp;"")</f>
        <v/>
      </c>
      <c r="E19" s="51">
        <f>IF($B19="","",CHOOSE(MonthIdx,'Jan'!AI55,'Feb'!AI55,'Mar'!AI55,'Apr'!AI55,'May'!AI55,'Jun'!AI55,'Jul'!AI55,'Aug'!AI55,'Sep'!AI55,'Oct'!AI55,'Nov'!AI55,'Dec'!AI55))</f>
        <v/>
      </c>
      <c r="F19" s="52">
        <f>IF($B19="","",CHOOSE(MonthIdx,'Jan'!AJ55,'Feb'!AJ55,'Mar'!AJ55,'Apr'!AJ55,'May'!AJ55,'Jun'!AJ55,'Jul'!AJ55,'Aug'!AJ55,'Sep'!AJ55,'Oct'!AJ55,'Nov'!AJ55,'Dec'!AJ55))</f>
        <v/>
      </c>
      <c r="G19" s="51">
        <f>IF($B19="","",CHOOSE(MonthIdx,'Jan'!AK55,'Feb'!AK55,'Mar'!AK55,'Apr'!AK55,'May'!AK55,'Jun'!AK55,'Jul'!AK55,'Aug'!AK55,'Sep'!AK55,'Oct'!AK55,'Nov'!AK55,'Dec'!AK55))</f>
        <v/>
      </c>
      <c r="H19" s="51">
        <f>IF($B19="","",CHOOSE(MonthIdx,'Jan'!AL55,'Feb'!AL55,'Mar'!AL55,'Apr'!AL55,'May'!AL55,'Jun'!AL55,'Jul'!AL55,'Aug'!AL55,'Sep'!AL55,'Oct'!AL55,'Nov'!AL55,'Dec'!AL55))</f>
        <v/>
      </c>
      <c r="I19" s="51">
        <f>IF($B19="","",CHOOSE(MonthIdx,'Jan'!AM55,'Feb'!AM55,'Mar'!AM55,'Apr'!AM55,'May'!AM55,'Jun'!AM55,'Jul'!AM55,'Aug'!AM55,'Sep'!AM55,'Oct'!AM55,'Nov'!AM55,'Dec'!AM55))</f>
        <v/>
      </c>
      <c r="K19" s="44">
        <f>IF(Activities!$A$13="","",Activities!$A$13)</f>
        <v/>
      </c>
      <c r="L19" s="45">
        <f>IF(Activities!$A$13="","",Activities!$B$13&amp;"")</f>
        <v/>
      </c>
      <c r="N19" s="46">
        <f>IF(Activities!$A$13="","",Activities!$D$13)</f>
        <v/>
      </c>
    </row>
    <row r="20" hidden="1">
      <c r="A20" s="38">
        <f>IF(Roster!$B$14="","",Roster!$B$14)</f>
        <v/>
      </c>
      <c r="B20" s="39">
        <f>IF(Roster!$C$14="","",Roster!$C$14)</f>
        <v/>
      </c>
      <c r="C20" s="40">
        <f>IF(Roster!$C$14="","",Roster!$F$14&amp;"")</f>
        <v/>
      </c>
      <c r="D20" s="41">
        <f>IF(Roster!$C$14="","",Roster!$G$14&amp;"")</f>
        <v/>
      </c>
      <c r="E20" s="42">
        <f>IF($B20="","",CHOOSE(MonthIdx,'Jan'!AI59,'Feb'!AI59,'Mar'!AI59,'Apr'!AI59,'May'!AI59,'Jun'!AI59,'Jul'!AI59,'Aug'!AI59,'Sep'!AI59,'Oct'!AI59,'Nov'!AI59,'Dec'!AI59))</f>
        <v/>
      </c>
      <c r="F20" s="43">
        <f>IF($B20="","",CHOOSE(MonthIdx,'Jan'!AJ59,'Feb'!AJ59,'Mar'!AJ59,'Apr'!AJ59,'May'!AJ59,'Jun'!AJ59,'Jul'!AJ59,'Aug'!AJ59,'Sep'!AJ59,'Oct'!AJ59,'Nov'!AJ59,'Dec'!AJ59))</f>
        <v/>
      </c>
      <c r="G20" s="42">
        <f>IF($B20="","",CHOOSE(MonthIdx,'Jan'!AK59,'Feb'!AK59,'Mar'!AK59,'Apr'!AK59,'May'!AK59,'Jun'!AK59,'Jul'!AK59,'Aug'!AK59,'Sep'!AK59,'Oct'!AK59,'Nov'!AK59,'Dec'!AK59))</f>
        <v/>
      </c>
      <c r="H20" s="42">
        <f>IF($B20="","",CHOOSE(MonthIdx,'Jan'!AL59,'Feb'!AL59,'Mar'!AL59,'Apr'!AL59,'May'!AL59,'Jun'!AL59,'Jul'!AL59,'Aug'!AL59,'Sep'!AL59,'Oct'!AL59,'Nov'!AL59,'Dec'!AL59))</f>
        <v/>
      </c>
      <c r="I20" s="42">
        <f>IF($B20="","",CHOOSE(MonthIdx,'Jan'!AM59,'Feb'!AM59,'Mar'!AM59,'Apr'!AM59,'May'!AM59,'Jun'!AM59,'Jul'!AM59,'Aug'!AM59,'Sep'!AM59,'Oct'!AM59,'Nov'!AM59,'Dec'!AM59))</f>
        <v/>
      </c>
      <c r="K20" s="44">
        <f>IF(Activities!$A$14="","",Activities!$A$14)</f>
        <v/>
      </c>
      <c r="L20" s="45">
        <f>IF(Activities!$A$14="","",Activities!$B$14&amp;"")</f>
        <v/>
      </c>
      <c r="N20" s="46">
        <f>IF(Activities!$A$14="","",Activities!$D$14)</f>
        <v/>
      </c>
    </row>
    <row r="21" hidden="1">
      <c r="A21" s="47">
        <f>IF(Roster!$B$15="","",Roster!$B$15)</f>
        <v/>
      </c>
      <c r="B21" s="48">
        <f>IF(Roster!$C$15="","",Roster!$C$15)</f>
        <v/>
      </c>
      <c r="C21" s="49">
        <f>IF(Roster!$C$15="","",Roster!$F$15&amp;"")</f>
        <v/>
      </c>
      <c r="D21" s="50">
        <f>IF(Roster!$C$15="","",Roster!$G$15&amp;"")</f>
        <v/>
      </c>
      <c r="E21" s="51">
        <f>IF($B21="","",CHOOSE(MonthIdx,'Jan'!AI63,'Feb'!AI63,'Mar'!AI63,'Apr'!AI63,'May'!AI63,'Jun'!AI63,'Jul'!AI63,'Aug'!AI63,'Sep'!AI63,'Oct'!AI63,'Nov'!AI63,'Dec'!AI63))</f>
        <v/>
      </c>
      <c r="F21" s="52">
        <f>IF($B21="","",CHOOSE(MonthIdx,'Jan'!AJ63,'Feb'!AJ63,'Mar'!AJ63,'Apr'!AJ63,'May'!AJ63,'Jun'!AJ63,'Jul'!AJ63,'Aug'!AJ63,'Sep'!AJ63,'Oct'!AJ63,'Nov'!AJ63,'Dec'!AJ63))</f>
        <v/>
      </c>
      <c r="G21" s="51">
        <f>IF($B21="","",CHOOSE(MonthIdx,'Jan'!AK63,'Feb'!AK63,'Mar'!AK63,'Apr'!AK63,'May'!AK63,'Jun'!AK63,'Jul'!AK63,'Aug'!AK63,'Sep'!AK63,'Oct'!AK63,'Nov'!AK63,'Dec'!AK63))</f>
        <v/>
      </c>
      <c r="H21" s="51">
        <f>IF($B21="","",CHOOSE(MonthIdx,'Jan'!AL63,'Feb'!AL63,'Mar'!AL63,'Apr'!AL63,'May'!AL63,'Jun'!AL63,'Jul'!AL63,'Aug'!AL63,'Sep'!AL63,'Oct'!AL63,'Nov'!AL63,'Dec'!AL63))</f>
        <v/>
      </c>
      <c r="I21" s="51">
        <f>IF($B21="","",CHOOSE(MonthIdx,'Jan'!AM63,'Feb'!AM63,'Mar'!AM63,'Apr'!AM63,'May'!AM63,'Jun'!AM63,'Jul'!AM63,'Aug'!AM63,'Sep'!AM63,'Oct'!AM63,'Nov'!AM63,'Dec'!AM63))</f>
        <v/>
      </c>
      <c r="K21" s="44">
        <f>IF(Activities!$A$15="","",Activities!$A$15)</f>
        <v/>
      </c>
      <c r="L21" s="45">
        <f>IF(Activities!$A$15="","",Activities!$B$15&amp;"")</f>
        <v/>
      </c>
      <c r="N21" s="46">
        <f>IF(Activities!$A$15="","",Activities!$D$15)</f>
        <v/>
      </c>
    </row>
    <row r="22" hidden="1">
      <c r="A22" s="38">
        <f>IF(Roster!$B$16="","",Roster!$B$16)</f>
        <v/>
      </c>
      <c r="B22" s="39">
        <f>IF(Roster!$C$16="","",Roster!$C$16)</f>
        <v/>
      </c>
      <c r="C22" s="40">
        <f>IF(Roster!$C$16="","",Roster!$F$16&amp;"")</f>
        <v/>
      </c>
      <c r="D22" s="41">
        <f>IF(Roster!$C$16="","",Roster!$G$16&amp;"")</f>
        <v/>
      </c>
      <c r="E22" s="42">
        <f>IF($B22="","",CHOOSE(MonthIdx,'Jan'!AI67,'Feb'!AI67,'Mar'!AI67,'Apr'!AI67,'May'!AI67,'Jun'!AI67,'Jul'!AI67,'Aug'!AI67,'Sep'!AI67,'Oct'!AI67,'Nov'!AI67,'Dec'!AI67))</f>
        <v/>
      </c>
      <c r="F22" s="43">
        <f>IF($B22="","",CHOOSE(MonthIdx,'Jan'!AJ67,'Feb'!AJ67,'Mar'!AJ67,'Apr'!AJ67,'May'!AJ67,'Jun'!AJ67,'Jul'!AJ67,'Aug'!AJ67,'Sep'!AJ67,'Oct'!AJ67,'Nov'!AJ67,'Dec'!AJ67))</f>
        <v/>
      </c>
      <c r="G22" s="42">
        <f>IF($B22="","",CHOOSE(MonthIdx,'Jan'!AK67,'Feb'!AK67,'Mar'!AK67,'Apr'!AK67,'May'!AK67,'Jun'!AK67,'Jul'!AK67,'Aug'!AK67,'Sep'!AK67,'Oct'!AK67,'Nov'!AK67,'Dec'!AK67))</f>
        <v/>
      </c>
      <c r="H22" s="42">
        <f>IF($B22="","",CHOOSE(MonthIdx,'Jan'!AL67,'Feb'!AL67,'Mar'!AL67,'Apr'!AL67,'May'!AL67,'Jun'!AL67,'Jul'!AL67,'Aug'!AL67,'Sep'!AL67,'Oct'!AL67,'Nov'!AL67,'Dec'!AL67))</f>
        <v/>
      </c>
      <c r="I22" s="42">
        <f>IF($B22="","",CHOOSE(MonthIdx,'Jan'!AM67,'Feb'!AM67,'Mar'!AM67,'Apr'!AM67,'May'!AM67,'Jun'!AM67,'Jul'!AM67,'Aug'!AM67,'Sep'!AM67,'Oct'!AM67,'Nov'!AM67,'Dec'!AM67))</f>
        <v/>
      </c>
      <c r="K22" s="44">
        <f>IF(Activities!$A$16="","",Activities!$A$16)</f>
        <v/>
      </c>
      <c r="L22" s="45">
        <f>IF(Activities!$A$16="","",Activities!$B$16&amp;"")</f>
        <v/>
      </c>
      <c r="N22" s="46">
        <f>IF(Activities!$A$16="","",Activities!$D$16)</f>
        <v/>
      </c>
    </row>
    <row r="23" hidden="1">
      <c r="A23" s="47">
        <f>IF(Roster!$B$17="","",Roster!$B$17)</f>
        <v/>
      </c>
      <c r="B23" s="48">
        <f>IF(Roster!$C$17="","",Roster!$C$17)</f>
        <v/>
      </c>
      <c r="C23" s="49">
        <f>IF(Roster!$C$17="","",Roster!$F$17&amp;"")</f>
        <v/>
      </c>
      <c r="D23" s="50">
        <f>IF(Roster!$C$17="","",Roster!$G$17&amp;"")</f>
        <v/>
      </c>
      <c r="E23" s="51">
        <f>IF($B23="","",CHOOSE(MonthIdx,'Jan'!AI71,'Feb'!AI71,'Mar'!AI71,'Apr'!AI71,'May'!AI71,'Jun'!AI71,'Jul'!AI71,'Aug'!AI71,'Sep'!AI71,'Oct'!AI71,'Nov'!AI71,'Dec'!AI71))</f>
        <v/>
      </c>
      <c r="F23" s="52">
        <f>IF($B23="","",CHOOSE(MonthIdx,'Jan'!AJ71,'Feb'!AJ71,'Mar'!AJ71,'Apr'!AJ71,'May'!AJ71,'Jun'!AJ71,'Jul'!AJ71,'Aug'!AJ71,'Sep'!AJ71,'Oct'!AJ71,'Nov'!AJ71,'Dec'!AJ71))</f>
        <v/>
      </c>
      <c r="G23" s="51">
        <f>IF($B23="","",CHOOSE(MonthIdx,'Jan'!AK71,'Feb'!AK71,'Mar'!AK71,'Apr'!AK71,'May'!AK71,'Jun'!AK71,'Jul'!AK71,'Aug'!AK71,'Sep'!AK71,'Oct'!AK71,'Nov'!AK71,'Dec'!AK71))</f>
        <v/>
      </c>
      <c r="H23" s="51">
        <f>IF($B23="","",CHOOSE(MonthIdx,'Jan'!AL71,'Feb'!AL71,'Mar'!AL71,'Apr'!AL71,'May'!AL71,'Jun'!AL71,'Jul'!AL71,'Aug'!AL71,'Sep'!AL71,'Oct'!AL71,'Nov'!AL71,'Dec'!AL71))</f>
        <v/>
      </c>
      <c r="I23" s="51">
        <f>IF($B23="","",CHOOSE(MonthIdx,'Jan'!AM71,'Feb'!AM71,'Mar'!AM71,'Apr'!AM71,'May'!AM71,'Jun'!AM71,'Jul'!AM71,'Aug'!AM71,'Sep'!AM71,'Oct'!AM71,'Nov'!AM71,'Dec'!AM71))</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IF($B24="","",CHOOSE(MonthIdx,'Jan'!AI75,'Feb'!AI75,'Mar'!AI75,'Apr'!AI75,'May'!AI75,'Jun'!AI75,'Jul'!AI75,'Aug'!AI75,'Sep'!AI75,'Oct'!AI75,'Nov'!AI75,'Dec'!AI75))</f>
        <v/>
      </c>
      <c r="F24" s="43">
        <f>IF($B24="","",CHOOSE(MonthIdx,'Jan'!AJ75,'Feb'!AJ75,'Mar'!AJ75,'Apr'!AJ75,'May'!AJ75,'Jun'!AJ75,'Jul'!AJ75,'Aug'!AJ75,'Sep'!AJ75,'Oct'!AJ75,'Nov'!AJ75,'Dec'!AJ75))</f>
        <v/>
      </c>
      <c r="G24" s="42">
        <f>IF($B24="","",CHOOSE(MonthIdx,'Jan'!AK75,'Feb'!AK75,'Mar'!AK75,'Apr'!AK75,'May'!AK75,'Jun'!AK75,'Jul'!AK75,'Aug'!AK75,'Sep'!AK75,'Oct'!AK75,'Nov'!AK75,'Dec'!AK75))</f>
        <v/>
      </c>
      <c r="H24" s="42">
        <f>IF($B24="","",CHOOSE(MonthIdx,'Jan'!AL75,'Feb'!AL75,'Mar'!AL75,'Apr'!AL75,'May'!AL75,'Jun'!AL75,'Jul'!AL75,'Aug'!AL75,'Sep'!AL75,'Oct'!AL75,'Nov'!AL75,'Dec'!AL75))</f>
        <v/>
      </c>
      <c r="I24" s="42">
        <f>IF($B24="","",CHOOSE(MonthIdx,'Jan'!AM75,'Feb'!AM75,'Mar'!AM75,'Apr'!AM75,'May'!AM75,'Jun'!AM75,'Jul'!AM75,'Aug'!AM75,'Sep'!AM75,'Oct'!AM75,'Nov'!AM75,'Dec'!AM75))</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IF($B25="","",CHOOSE(MonthIdx,'Jan'!AI79,'Feb'!AI79,'Mar'!AI79,'Apr'!AI79,'May'!AI79,'Jun'!AI79,'Jul'!AI79,'Aug'!AI79,'Sep'!AI79,'Oct'!AI79,'Nov'!AI79,'Dec'!AI79))</f>
        <v/>
      </c>
      <c r="F25" s="52">
        <f>IF($B25="","",CHOOSE(MonthIdx,'Jan'!AJ79,'Feb'!AJ79,'Mar'!AJ79,'Apr'!AJ79,'May'!AJ79,'Jun'!AJ79,'Jul'!AJ79,'Aug'!AJ79,'Sep'!AJ79,'Oct'!AJ79,'Nov'!AJ79,'Dec'!AJ79))</f>
        <v/>
      </c>
      <c r="G25" s="51">
        <f>IF($B25="","",CHOOSE(MonthIdx,'Jan'!AK79,'Feb'!AK79,'Mar'!AK79,'Apr'!AK79,'May'!AK79,'Jun'!AK79,'Jul'!AK79,'Aug'!AK79,'Sep'!AK79,'Oct'!AK79,'Nov'!AK79,'Dec'!AK79))</f>
        <v/>
      </c>
      <c r="H25" s="51">
        <f>IF($B25="","",CHOOSE(MonthIdx,'Jan'!AL79,'Feb'!AL79,'Mar'!AL79,'Apr'!AL79,'May'!AL79,'Jun'!AL79,'Jul'!AL79,'Aug'!AL79,'Sep'!AL79,'Oct'!AL79,'Nov'!AL79,'Dec'!AL79))</f>
        <v/>
      </c>
      <c r="I25" s="51">
        <f>IF($B25="","",CHOOSE(MonthIdx,'Jan'!AM79,'Feb'!AM79,'Mar'!AM79,'Apr'!AM79,'May'!AM79,'Jun'!AM79,'Jul'!AM79,'Aug'!AM79,'Sep'!AM79,'Oct'!AM79,'Nov'!AM79,'Dec'!AM79))</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IF($B26="","",CHOOSE(MonthIdx,'Jan'!AI83,'Feb'!AI83,'Mar'!AI83,'Apr'!AI83,'May'!AI83,'Jun'!AI83,'Jul'!AI83,'Aug'!AI83,'Sep'!AI83,'Oct'!AI83,'Nov'!AI83,'Dec'!AI83))</f>
        <v/>
      </c>
      <c r="F26" s="43">
        <f>IF($B26="","",CHOOSE(MonthIdx,'Jan'!AJ83,'Feb'!AJ83,'Mar'!AJ83,'Apr'!AJ83,'May'!AJ83,'Jun'!AJ83,'Jul'!AJ83,'Aug'!AJ83,'Sep'!AJ83,'Oct'!AJ83,'Nov'!AJ83,'Dec'!AJ83))</f>
        <v/>
      </c>
      <c r="G26" s="42">
        <f>IF($B26="","",CHOOSE(MonthIdx,'Jan'!AK83,'Feb'!AK83,'Mar'!AK83,'Apr'!AK83,'May'!AK83,'Jun'!AK83,'Jul'!AK83,'Aug'!AK83,'Sep'!AK83,'Oct'!AK83,'Nov'!AK83,'Dec'!AK83))</f>
        <v/>
      </c>
      <c r="H26" s="42">
        <f>IF($B26="","",CHOOSE(MonthIdx,'Jan'!AL83,'Feb'!AL83,'Mar'!AL83,'Apr'!AL83,'May'!AL83,'Jun'!AL83,'Jul'!AL83,'Aug'!AL83,'Sep'!AL83,'Oct'!AL83,'Nov'!AL83,'Dec'!AL83))</f>
        <v/>
      </c>
      <c r="I26" s="42">
        <f>IF($B26="","",CHOOSE(MonthIdx,'Jan'!AM83,'Feb'!AM83,'Mar'!AM83,'Apr'!AM83,'May'!AM83,'Jun'!AM83,'Jul'!AM83,'Aug'!AM83,'Sep'!AM83,'Oct'!AM83,'Nov'!AM83,'Dec'!AM83))</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IF($B27="","",CHOOSE(MonthIdx,'Jan'!AI87,'Feb'!AI87,'Mar'!AI87,'Apr'!AI87,'May'!AI87,'Jun'!AI87,'Jul'!AI87,'Aug'!AI87,'Sep'!AI87,'Oct'!AI87,'Nov'!AI87,'Dec'!AI87))</f>
        <v/>
      </c>
      <c r="F27" s="52">
        <f>IF($B27="","",CHOOSE(MonthIdx,'Jan'!AJ87,'Feb'!AJ87,'Mar'!AJ87,'Apr'!AJ87,'May'!AJ87,'Jun'!AJ87,'Jul'!AJ87,'Aug'!AJ87,'Sep'!AJ87,'Oct'!AJ87,'Nov'!AJ87,'Dec'!AJ87))</f>
        <v/>
      </c>
      <c r="G27" s="51">
        <f>IF($B27="","",CHOOSE(MonthIdx,'Jan'!AK87,'Feb'!AK87,'Mar'!AK87,'Apr'!AK87,'May'!AK87,'Jun'!AK87,'Jul'!AK87,'Aug'!AK87,'Sep'!AK87,'Oct'!AK87,'Nov'!AK87,'Dec'!AK87))</f>
        <v/>
      </c>
      <c r="H27" s="51">
        <f>IF($B27="","",CHOOSE(MonthIdx,'Jan'!AL87,'Feb'!AL87,'Mar'!AL87,'Apr'!AL87,'May'!AL87,'Jun'!AL87,'Jul'!AL87,'Aug'!AL87,'Sep'!AL87,'Oct'!AL87,'Nov'!AL87,'Dec'!AL87))</f>
        <v/>
      </c>
      <c r="I27" s="51">
        <f>IF($B27="","",CHOOSE(MonthIdx,'Jan'!AM87,'Feb'!AM87,'Mar'!AM87,'Apr'!AM87,'May'!AM87,'Jun'!AM87,'Jul'!AM87,'Aug'!AM87,'Sep'!AM87,'Oct'!AM87,'Nov'!AM87,'Dec'!AM87))</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IF($B28="","",CHOOSE(MonthIdx,'Jan'!AI91,'Feb'!AI91,'Mar'!AI91,'Apr'!AI91,'May'!AI91,'Jun'!AI91,'Jul'!AI91,'Aug'!AI91,'Sep'!AI91,'Oct'!AI91,'Nov'!AI91,'Dec'!AI91))</f>
        <v/>
      </c>
      <c r="F28" s="43">
        <f>IF($B28="","",CHOOSE(MonthIdx,'Jan'!AJ91,'Feb'!AJ91,'Mar'!AJ91,'Apr'!AJ91,'May'!AJ91,'Jun'!AJ91,'Jul'!AJ91,'Aug'!AJ91,'Sep'!AJ91,'Oct'!AJ91,'Nov'!AJ91,'Dec'!AJ91))</f>
        <v/>
      </c>
      <c r="G28" s="42">
        <f>IF($B28="","",CHOOSE(MonthIdx,'Jan'!AK91,'Feb'!AK91,'Mar'!AK91,'Apr'!AK91,'May'!AK91,'Jun'!AK91,'Jul'!AK91,'Aug'!AK91,'Sep'!AK91,'Oct'!AK91,'Nov'!AK91,'Dec'!AK91))</f>
        <v/>
      </c>
      <c r="H28" s="42">
        <f>IF($B28="","",CHOOSE(MonthIdx,'Jan'!AL91,'Feb'!AL91,'Mar'!AL91,'Apr'!AL91,'May'!AL91,'Jun'!AL91,'Jul'!AL91,'Aug'!AL91,'Sep'!AL91,'Oct'!AL91,'Nov'!AL91,'Dec'!AL91))</f>
        <v/>
      </c>
      <c r="I28" s="42">
        <f>IF($B28="","",CHOOSE(MonthIdx,'Jan'!AM91,'Feb'!AM91,'Mar'!AM91,'Apr'!AM91,'May'!AM91,'Jun'!AM91,'Jul'!AM91,'Aug'!AM91,'Sep'!AM91,'Oct'!AM91,'Nov'!AM91,'Dec'!AM91))</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IF($B29="","",CHOOSE(MonthIdx,'Jan'!AI95,'Feb'!AI95,'Mar'!AI95,'Apr'!AI95,'May'!AI95,'Jun'!AI95,'Jul'!AI95,'Aug'!AI95,'Sep'!AI95,'Oct'!AI95,'Nov'!AI95,'Dec'!AI95))</f>
        <v/>
      </c>
      <c r="F29" s="52">
        <f>IF($B29="","",CHOOSE(MonthIdx,'Jan'!AJ95,'Feb'!AJ95,'Mar'!AJ95,'Apr'!AJ95,'May'!AJ95,'Jun'!AJ95,'Jul'!AJ95,'Aug'!AJ95,'Sep'!AJ95,'Oct'!AJ95,'Nov'!AJ95,'Dec'!AJ95))</f>
        <v/>
      </c>
      <c r="G29" s="51">
        <f>IF($B29="","",CHOOSE(MonthIdx,'Jan'!AK95,'Feb'!AK95,'Mar'!AK95,'Apr'!AK95,'May'!AK95,'Jun'!AK95,'Jul'!AK95,'Aug'!AK95,'Sep'!AK95,'Oct'!AK95,'Nov'!AK95,'Dec'!AK95))</f>
        <v/>
      </c>
      <c r="H29" s="51">
        <f>IF($B29="","",CHOOSE(MonthIdx,'Jan'!AL95,'Feb'!AL95,'Mar'!AL95,'Apr'!AL95,'May'!AL95,'Jun'!AL95,'Jul'!AL95,'Aug'!AL95,'Sep'!AL95,'Oct'!AL95,'Nov'!AL95,'Dec'!AL95))</f>
        <v/>
      </c>
      <c r="I29" s="51">
        <f>IF($B29="","",CHOOSE(MonthIdx,'Jan'!AM95,'Feb'!AM95,'Mar'!AM95,'Apr'!AM95,'May'!AM95,'Jun'!AM95,'Jul'!AM95,'Aug'!AM95,'Sep'!AM95,'Oct'!AM95,'Nov'!AM95,'Dec'!AM95))</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IF($B30="","",CHOOSE(MonthIdx,'Jan'!AI99,'Feb'!AI99,'Mar'!AI99,'Apr'!AI99,'May'!AI99,'Jun'!AI99,'Jul'!AI99,'Aug'!AI99,'Sep'!AI99,'Oct'!AI99,'Nov'!AI99,'Dec'!AI99))</f>
        <v/>
      </c>
      <c r="F30" s="43">
        <f>IF($B30="","",CHOOSE(MonthIdx,'Jan'!AJ99,'Feb'!AJ99,'Mar'!AJ99,'Apr'!AJ99,'May'!AJ99,'Jun'!AJ99,'Jul'!AJ99,'Aug'!AJ99,'Sep'!AJ99,'Oct'!AJ99,'Nov'!AJ99,'Dec'!AJ99))</f>
        <v/>
      </c>
      <c r="G30" s="42">
        <f>IF($B30="","",CHOOSE(MonthIdx,'Jan'!AK99,'Feb'!AK99,'Mar'!AK99,'Apr'!AK99,'May'!AK99,'Jun'!AK99,'Jul'!AK99,'Aug'!AK99,'Sep'!AK99,'Oct'!AK99,'Nov'!AK99,'Dec'!AK99))</f>
        <v/>
      </c>
      <c r="H30" s="42">
        <f>IF($B30="","",CHOOSE(MonthIdx,'Jan'!AL99,'Feb'!AL99,'Mar'!AL99,'Apr'!AL99,'May'!AL99,'Jun'!AL99,'Jul'!AL99,'Aug'!AL99,'Sep'!AL99,'Oct'!AL99,'Nov'!AL99,'Dec'!AL99))</f>
        <v/>
      </c>
      <c r="I30" s="42">
        <f>IF($B30="","",CHOOSE(MonthIdx,'Jan'!AM99,'Feb'!AM99,'Mar'!AM99,'Apr'!AM99,'May'!AM99,'Jun'!AM99,'Jul'!AM99,'Aug'!AM99,'Sep'!AM99,'Oct'!AM99,'Nov'!AM99,'Dec'!AM99))</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IF($B31="","",CHOOSE(MonthIdx,'Jan'!AI103,'Feb'!AI103,'Mar'!AI103,'Apr'!AI103,'May'!AI103,'Jun'!AI103,'Jul'!AI103,'Aug'!AI103,'Sep'!AI103,'Oct'!AI103,'Nov'!AI103,'Dec'!AI103))</f>
        <v/>
      </c>
      <c r="F31" s="52">
        <f>IF($B31="","",CHOOSE(MonthIdx,'Jan'!AJ103,'Feb'!AJ103,'Mar'!AJ103,'Apr'!AJ103,'May'!AJ103,'Jun'!AJ103,'Jul'!AJ103,'Aug'!AJ103,'Sep'!AJ103,'Oct'!AJ103,'Nov'!AJ103,'Dec'!AJ103))</f>
        <v/>
      </c>
      <c r="G31" s="51">
        <f>IF($B31="","",CHOOSE(MonthIdx,'Jan'!AK103,'Feb'!AK103,'Mar'!AK103,'Apr'!AK103,'May'!AK103,'Jun'!AK103,'Jul'!AK103,'Aug'!AK103,'Sep'!AK103,'Oct'!AK103,'Nov'!AK103,'Dec'!AK103))</f>
        <v/>
      </c>
      <c r="H31" s="51">
        <f>IF($B31="","",CHOOSE(MonthIdx,'Jan'!AL103,'Feb'!AL103,'Mar'!AL103,'Apr'!AL103,'May'!AL103,'Jun'!AL103,'Jul'!AL103,'Aug'!AL103,'Sep'!AL103,'Oct'!AL103,'Nov'!AL103,'Dec'!AL103))</f>
        <v/>
      </c>
      <c r="I31" s="51">
        <f>IF($B31="","",CHOOSE(MonthIdx,'Jan'!AM103,'Feb'!AM103,'Mar'!AM103,'Apr'!AM103,'May'!AM103,'Jun'!AM103,'Jul'!AM103,'Aug'!AM103,'Sep'!AM103,'Oct'!AM103,'Nov'!AM103,'Dec'!AM103))</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IF($B32="","",CHOOSE(MonthIdx,'Jan'!AI107,'Feb'!AI107,'Mar'!AI107,'Apr'!AI107,'May'!AI107,'Jun'!AI107,'Jul'!AI107,'Aug'!AI107,'Sep'!AI107,'Oct'!AI107,'Nov'!AI107,'Dec'!AI107))</f>
        <v/>
      </c>
      <c r="F32" s="43">
        <f>IF($B32="","",CHOOSE(MonthIdx,'Jan'!AJ107,'Feb'!AJ107,'Mar'!AJ107,'Apr'!AJ107,'May'!AJ107,'Jun'!AJ107,'Jul'!AJ107,'Aug'!AJ107,'Sep'!AJ107,'Oct'!AJ107,'Nov'!AJ107,'Dec'!AJ107))</f>
        <v/>
      </c>
      <c r="G32" s="42">
        <f>IF($B32="","",CHOOSE(MonthIdx,'Jan'!AK107,'Feb'!AK107,'Mar'!AK107,'Apr'!AK107,'May'!AK107,'Jun'!AK107,'Jul'!AK107,'Aug'!AK107,'Sep'!AK107,'Oct'!AK107,'Nov'!AK107,'Dec'!AK107))</f>
        <v/>
      </c>
      <c r="H32" s="42">
        <f>IF($B32="","",CHOOSE(MonthIdx,'Jan'!AL107,'Feb'!AL107,'Mar'!AL107,'Apr'!AL107,'May'!AL107,'Jun'!AL107,'Jul'!AL107,'Aug'!AL107,'Sep'!AL107,'Oct'!AL107,'Nov'!AL107,'Dec'!AL107))</f>
        <v/>
      </c>
      <c r="I32" s="42">
        <f>IF($B32="","",CHOOSE(MonthIdx,'Jan'!AM107,'Feb'!AM107,'Mar'!AM107,'Apr'!AM107,'May'!AM107,'Jun'!AM107,'Jul'!AM107,'Aug'!AM107,'Sep'!AM107,'Oct'!AM107,'Nov'!AM107,'Dec'!AM107))</f>
        <v/>
      </c>
    </row>
    <row r="33" hidden="1">
      <c r="A33" s="47">
        <f>IF(Roster!$B$27="","",Roster!$B$27)</f>
        <v/>
      </c>
      <c r="B33" s="48">
        <f>IF(Roster!$C$27="","",Roster!$C$27)</f>
        <v/>
      </c>
      <c r="C33" s="49">
        <f>IF(Roster!$C$27="","",Roster!$F$27&amp;"")</f>
        <v/>
      </c>
      <c r="D33" s="50">
        <f>IF(Roster!$C$27="","",Roster!$G$27&amp;"")</f>
        <v/>
      </c>
      <c r="E33" s="51">
        <f>IF($B33="","",CHOOSE(MonthIdx,'Jan'!AI111,'Feb'!AI111,'Mar'!AI111,'Apr'!AI111,'May'!AI111,'Jun'!AI111,'Jul'!AI111,'Aug'!AI111,'Sep'!AI111,'Oct'!AI111,'Nov'!AI111,'Dec'!AI111))</f>
        <v/>
      </c>
      <c r="F33" s="52">
        <f>IF($B33="","",CHOOSE(MonthIdx,'Jan'!AJ111,'Feb'!AJ111,'Mar'!AJ111,'Apr'!AJ111,'May'!AJ111,'Jun'!AJ111,'Jul'!AJ111,'Aug'!AJ111,'Sep'!AJ111,'Oct'!AJ111,'Nov'!AJ111,'Dec'!AJ111))</f>
        <v/>
      </c>
      <c r="G33" s="51">
        <f>IF($B33="","",CHOOSE(MonthIdx,'Jan'!AK111,'Feb'!AK111,'Mar'!AK111,'Apr'!AK111,'May'!AK111,'Jun'!AK111,'Jul'!AK111,'Aug'!AK111,'Sep'!AK111,'Oct'!AK111,'Nov'!AK111,'Dec'!AK111))</f>
        <v/>
      </c>
      <c r="H33" s="51">
        <f>IF($B33="","",CHOOSE(MonthIdx,'Jan'!AL111,'Feb'!AL111,'Mar'!AL111,'Apr'!AL111,'May'!AL111,'Jun'!AL111,'Jul'!AL111,'Aug'!AL111,'Sep'!AL111,'Oct'!AL111,'Nov'!AL111,'Dec'!AL111))</f>
        <v/>
      </c>
      <c r="I33" s="51">
        <f>IF($B33="","",CHOOSE(MonthIdx,'Jan'!AM111,'Feb'!AM111,'Mar'!AM111,'Apr'!AM111,'May'!AM111,'Jun'!AM111,'Jul'!AM111,'Aug'!AM111,'Sep'!AM111,'Oct'!AM111,'Nov'!AM111,'Dec'!AM111))</f>
        <v/>
      </c>
    </row>
    <row r="34" hidden="1">
      <c r="A34" s="38">
        <f>IF(Roster!$B$28="","",Roster!$B$28)</f>
        <v/>
      </c>
      <c r="B34" s="39">
        <f>IF(Roster!$C$28="","",Roster!$C$28)</f>
        <v/>
      </c>
      <c r="C34" s="40">
        <f>IF(Roster!$C$28="","",Roster!$F$28&amp;"")</f>
        <v/>
      </c>
      <c r="D34" s="41">
        <f>IF(Roster!$C$28="","",Roster!$G$28&amp;"")</f>
        <v/>
      </c>
      <c r="E34" s="42">
        <f>IF($B34="","",CHOOSE(MonthIdx,'Jan'!AI115,'Feb'!AI115,'Mar'!AI115,'Apr'!AI115,'May'!AI115,'Jun'!AI115,'Jul'!AI115,'Aug'!AI115,'Sep'!AI115,'Oct'!AI115,'Nov'!AI115,'Dec'!AI115))</f>
        <v/>
      </c>
      <c r="F34" s="43">
        <f>IF($B34="","",CHOOSE(MonthIdx,'Jan'!AJ115,'Feb'!AJ115,'Mar'!AJ115,'Apr'!AJ115,'May'!AJ115,'Jun'!AJ115,'Jul'!AJ115,'Aug'!AJ115,'Sep'!AJ115,'Oct'!AJ115,'Nov'!AJ115,'Dec'!AJ115))</f>
        <v/>
      </c>
      <c r="G34" s="42">
        <f>IF($B34="","",CHOOSE(MonthIdx,'Jan'!AK115,'Feb'!AK115,'Mar'!AK115,'Apr'!AK115,'May'!AK115,'Jun'!AK115,'Jul'!AK115,'Aug'!AK115,'Sep'!AK115,'Oct'!AK115,'Nov'!AK115,'Dec'!AK115))</f>
        <v/>
      </c>
      <c r="H34" s="42">
        <f>IF($B34="","",CHOOSE(MonthIdx,'Jan'!AL115,'Feb'!AL115,'Mar'!AL115,'Apr'!AL115,'May'!AL115,'Jun'!AL115,'Jul'!AL115,'Aug'!AL115,'Sep'!AL115,'Oct'!AL115,'Nov'!AL115,'Dec'!AL115))</f>
        <v/>
      </c>
      <c r="I34" s="42">
        <f>IF($B34="","",CHOOSE(MonthIdx,'Jan'!AM115,'Feb'!AM115,'Mar'!AM115,'Apr'!AM115,'May'!AM115,'Jun'!AM115,'Jul'!AM115,'Aug'!AM115,'Sep'!AM115,'Oct'!AM115,'Nov'!AM115,'Dec'!AM115))</f>
        <v/>
      </c>
    </row>
    <row r="35" hidden="1">
      <c r="A35" s="47">
        <f>IF(Roster!$B$29="","",Roster!$B$29)</f>
        <v/>
      </c>
      <c r="B35" s="48">
        <f>IF(Roster!$C$29="","",Roster!$C$29)</f>
        <v/>
      </c>
      <c r="C35" s="49">
        <f>IF(Roster!$C$29="","",Roster!$F$29&amp;"")</f>
        <v/>
      </c>
      <c r="D35" s="50">
        <f>IF(Roster!$C$29="","",Roster!$G$29&amp;"")</f>
        <v/>
      </c>
      <c r="E35" s="51">
        <f>IF($B35="","",CHOOSE(MonthIdx,'Jan'!AI119,'Feb'!AI119,'Mar'!AI119,'Apr'!AI119,'May'!AI119,'Jun'!AI119,'Jul'!AI119,'Aug'!AI119,'Sep'!AI119,'Oct'!AI119,'Nov'!AI119,'Dec'!AI119))</f>
        <v/>
      </c>
      <c r="F35" s="52">
        <f>IF($B35="","",CHOOSE(MonthIdx,'Jan'!AJ119,'Feb'!AJ119,'Mar'!AJ119,'Apr'!AJ119,'May'!AJ119,'Jun'!AJ119,'Jul'!AJ119,'Aug'!AJ119,'Sep'!AJ119,'Oct'!AJ119,'Nov'!AJ119,'Dec'!AJ119))</f>
        <v/>
      </c>
      <c r="G35" s="51">
        <f>IF($B35="","",CHOOSE(MonthIdx,'Jan'!AK119,'Feb'!AK119,'Mar'!AK119,'Apr'!AK119,'May'!AK119,'Jun'!AK119,'Jul'!AK119,'Aug'!AK119,'Sep'!AK119,'Oct'!AK119,'Nov'!AK119,'Dec'!AK119))</f>
        <v/>
      </c>
      <c r="H35" s="51">
        <f>IF($B35="","",CHOOSE(MonthIdx,'Jan'!AL119,'Feb'!AL119,'Mar'!AL119,'Apr'!AL119,'May'!AL119,'Jun'!AL119,'Jul'!AL119,'Aug'!AL119,'Sep'!AL119,'Oct'!AL119,'Nov'!AL119,'Dec'!AL119))</f>
        <v/>
      </c>
      <c r="I35" s="51">
        <f>IF($B35="","",CHOOSE(MonthIdx,'Jan'!AM119,'Feb'!AM119,'Mar'!AM119,'Apr'!AM119,'May'!AM119,'Jun'!AM119,'Jul'!AM119,'Aug'!AM119,'Sep'!AM119,'Oct'!AM119,'Nov'!AM119,'Dec'!AM119))</f>
        <v/>
      </c>
    </row>
    <row r="36" hidden="1">
      <c r="A36" s="38">
        <f>IF(Roster!$B$30="","",Roster!$B$30)</f>
        <v/>
      </c>
      <c r="B36" s="39">
        <f>IF(Roster!$C$30="","",Roster!$C$30)</f>
        <v/>
      </c>
      <c r="C36" s="40">
        <f>IF(Roster!$C$30="","",Roster!$F$30&amp;"")</f>
        <v/>
      </c>
      <c r="D36" s="41">
        <f>IF(Roster!$C$30="","",Roster!$G$30&amp;"")</f>
        <v/>
      </c>
      <c r="E36" s="42">
        <f>IF($B36="","",CHOOSE(MonthIdx,'Jan'!AI123,'Feb'!AI123,'Mar'!AI123,'Apr'!AI123,'May'!AI123,'Jun'!AI123,'Jul'!AI123,'Aug'!AI123,'Sep'!AI123,'Oct'!AI123,'Nov'!AI123,'Dec'!AI123))</f>
        <v/>
      </c>
      <c r="F36" s="43">
        <f>IF($B36="","",CHOOSE(MonthIdx,'Jan'!AJ123,'Feb'!AJ123,'Mar'!AJ123,'Apr'!AJ123,'May'!AJ123,'Jun'!AJ123,'Jul'!AJ123,'Aug'!AJ123,'Sep'!AJ123,'Oct'!AJ123,'Nov'!AJ123,'Dec'!AJ123))</f>
        <v/>
      </c>
      <c r="G36" s="42">
        <f>IF($B36="","",CHOOSE(MonthIdx,'Jan'!AK123,'Feb'!AK123,'Mar'!AK123,'Apr'!AK123,'May'!AK123,'Jun'!AK123,'Jul'!AK123,'Aug'!AK123,'Sep'!AK123,'Oct'!AK123,'Nov'!AK123,'Dec'!AK123))</f>
        <v/>
      </c>
      <c r="H36" s="42">
        <f>IF($B36="","",CHOOSE(MonthIdx,'Jan'!AL123,'Feb'!AL123,'Mar'!AL123,'Apr'!AL123,'May'!AL123,'Jun'!AL123,'Jul'!AL123,'Aug'!AL123,'Sep'!AL123,'Oct'!AL123,'Nov'!AL123,'Dec'!AL123))</f>
        <v/>
      </c>
      <c r="I36" s="42">
        <f>IF($B36="","",CHOOSE(MonthIdx,'Jan'!AM123,'Feb'!AM123,'Mar'!AM123,'Apr'!AM123,'May'!AM123,'Jun'!AM123,'Jul'!AM123,'Aug'!AM123,'Sep'!AM123,'Oct'!AM123,'Nov'!AM123,'Dec'!AM123))</f>
        <v/>
      </c>
    </row>
    <row r="37" hidden="1">
      <c r="A37" s="47">
        <f>IF(Roster!$B$31="","",Roster!$B$31)</f>
        <v/>
      </c>
      <c r="B37" s="48">
        <f>IF(Roster!$C$31="","",Roster!$C$31)</f>
        <v/>
      </c>
      <c r="C37" s="49">
        <f>IF(Roster!$C$31="","",Roster!$F$31&amp;"")</f>
        <v/>
      </c>
      <c r="D37" s="50">
        <f>IF(Roster!$C$31="","",Roster!$G$31&amp;"")</f>
        <v/>
      </c>
      <c r="E37" s="51">
        <f>IF($B37="","",CHOOSE(MonthIdx,'Jan'!AI127,'Feb'!AI127,'Mar'!AI127,'Apr'!AI127,'May'!AI127,'Jun'!AI127,'Jul'!AI127,'Aug'!AI127,'Sep'!AI127,'Oct'!AI127,'Nov'!AI127,'Dec'!AI127))</f>
        <v/>
      </c>
      <c r="F37" s="52">
        <f>IF($B37="","",CHOOSE(MonthIdx,'Jan'!AJ127,'Feb'!AJ127,'Mar'!AJ127,'Apr'!AJ127,'May'!AJ127,'Jun'!AJ127,'Jul'!AJ127,'Aug'!AJ127,'Sep'!AJ127,'Oct'!AJ127,'Nov'!AJ127,'Dec'!AJ127))</f>
        <v/>
      </c>
      <c r="G37" s="51">
        <f>IF($B37="","",CHOOSE(MonthIdx,'Jan'!AK127,'Feb'!AK127,'Mar'!AK127,'Apr'!AK127,'May'!AK127,'Jun'!AK127,'Jul'!AK127,'Aug'!AK127,'Sep'!AK127,'Oct'!AK127,'Nov'!AK127,'Dec'!AK127))</f>
        <v/>
      </c>
      <c r="H37" s="51">
        <f>IF($B37="","",CHOOSE(MonthIdx,'Jan'!AL127,'Feb'!AL127,'Mar'!AL127,'Apr'!AL127,'May'!AL127,'Jun'!AL127,'Jul'!AL127,'Aug'!AL127,'Sep'!AL127,'Oct'!AL127,'Nov'!AL127,'Dec'!AL127))</f>
        <v/>
      </c>
      <c r="I37" s="51">
        <f>IF($B37="","",CHOOSE(MonthIdx,'Jan'!AM127,'Feb'!AM127,'Mar'!AM127,'Apr'!AM127,'May'!AM127,'Jun'!AM127,'Jul'!AM127,'Aug'!AM127,'Sep'!AM127,'Oct'!AM127,'Nov'!AM127,'Dec'!AM127))</f>
        <v/>
      </c>
    </row>
    <row r="38" hidden="1">
      <c r="A38" s="38">
        <f>IF(Roster!$B$32="","",Roster!$B$32)</f>
        <v/>
      </c>
      <c r="B38" s="39">
        <f>IF(Roster!$C$32="","",Roster!$C$32)</f>
        <v/>
      </c>
      <c r="C38" s="40">
        <f>IF(Roster!$C$32="","",Roster!$F$32&amp;"")</f>
        <v/>
      </c>
      <c r="D38" s="41">
        <f>IF(Roster!$C$32="","",Roster!$G$32&amp;"")</f>
        <v/>
      </c>
      <c r="E38" s="42">
        <f>IF($B38="","",CHOOSE(MonthIdx,'Jan'!AI131,'Feb'!AI131,'Mar'!AI131,'Apr'!AI131,'May'!AI131,'Jun'!AI131,'Jul'!AI131,'Aug'!AI131,'Sep'!AI131,'Oct'!AI131,'Nov'!AI131,'Dec'!AI131))</f>
        <v/>
      </c>
      <c r="F38" s="43">
        <f>IF($B38="","",CHOOSE(MonthIdx,'Jan'!AJ131,'Feb'!AJ131,'Mar'!AJ131,'Apr'!AJ131,'May'!AJ131,'Jun'!AJ131,'Jul'!AJ131,'Aug'!AJ131,'Sep'!AJ131,'Oct'!AJ131,'Nov'!AJ131,'Dec'!AJ131))</f>
        <v/>
      </c>
      <c r="G38" s="42">
        <f>IF($B38="","",CHOOSE(MonthIdx,'Jan'!AK131,'Feb'!AK131,'Mar'!AK131,'Apr'!AK131,'May'!AK131,'Jun'!AK131,'Jul'!AK131,'Aug'!AK131,'Sep'!AK131,'Oct'!AK131,'Nov'!AK131,'Dec'!AK131))</f>
        <v/>
      </c>
      <c r="H38" s="42">
        <f>IF($B38="","",CHOOSE(MonthIdx,'Jan'!AL131,'Feb'!AL131,'Mar'!AL131,'Apr'!AL131,'May'!AL131,'Jun'!AL131,'Jul'!AL131,'Aug'!AL131,'Sep'!AL131,'Oct'!AL131,'Nov'!AL131,'Dec'!AL131))</f>
        <v/>
      </c>
      <c r="I38" s="42">
        <f>IF($B38="","",CHOOSE(MonthIdx,'Jan'!AM131,'Feb'!AM131,'Mar'!AM131,'Apr'!AM131,'May'!AM131,'Jun'!AM131,'Jul'!AM131,'Aug'!AM131,'Sep'!AM131,'Oct'!AM131,'Nov'!AM131,'Dec'!AM131))</f>
        <v/>
      </c>
    </row>
    <row r="39" hidden="1">
      <c r="A39" s="47">
        <f>IF(Roster!$B$33="","",Roster!$B$33)</f>
        <v/>
      </c>
      <c r="B39" s="48">
        <f>IF(Roster!$C$33="","",Roster!$C$33)</f>
        <v/>
      </c>
      <c r="C39" s="49">
        <f>IF(Roster!$C$33="","",Roster!$F$33&amp;"")</f>
        <v/>
      </c>
      <c r="D39" s="50">
        <f>IF(Roster!$C$33="","",Roster!$G$33&amp;"")</f>
        <v/>
      </c>
      <c r="E39" s="51">
        <f>IF($B39="","",CHOOSE(MonthIdx,'Jan'!AI135,'Feb'!AI135,'Mar'!AI135,'Apr'!AI135,'May'!AI135,'Jun'!AI135,'Jul'!AI135,'Aug'!AI135,'Sep'!AI135,'Oct'!AI135,'Nov'!AI135,'Dec'!AI135))</f>
        <v/>
      </c>
      <c r="F39" s="52">
        <f>IF($B39="","",CHOOSE(MonthIdx,'Jan'!AJ135,'Feb'!AJ135,'Mar'!AJ135,'Apr'!AJ135,'May'!AJ135,'Jun'!AJ135,'Jul'!AJ135,'Aug'!AJ135,'Sep'!AJ135,'Oct'!AJ135,'Nov'!AJ135,'Dec'!AJ135))</f>
        <v/>
      </c>
      <c r="G39" s="51">
        <f>IF($B39="","",CHOOSE(MonthIdx,'Jan'!AK135,'Feb'!AK135,'Mar'!AK135,'Apr'!AK135,'May'!AK135,'Jun'!AK135,'Jul'!AK135,'Aug'!AK135,'Sep'!AK135,'Oct'!AK135,'Nov'!AK135,'Dec'!AK135))</f>
        <v/>
      </c>
      <c r="H39" s="51">
        <f>IF($B39="","",CHOOSE(MonthIdx,'Jan'!AL135,'Feb'!AL135,'Mar'!AL135,'Apr'!AL135,'May'!AL135,'Jun'!AL135,'Jul'!AL135,'Aug'!AL135,'Sep'!AL135,'Oct'!AL135,'Nov'!AL135,'Dec'!AL135))</f>
        <v/>
      </c>
      <c r="I39" s="51">
        <f>IF($B39="","",CHOOSE(MonthIdx,'Jan'!AM135,'Feb'!AM135,'Mar'!AM135,'Apr'!AM135,'May'!AM135,'Jun'!AM135,'Jul'!AM135,'Aug'!AM135,'Sep'!AM135,'Oct'!AM135,'Nov'!AM135,'Dec'!AM135))</f>
        <v/>
      </c>
    </row>
    <row r="40" hidden="1">
      <c r="A40" s="38">
        <f>IF(Roster!$B$34="","",Roster!$B$34)</f>
        <v/>
      </c>
      <c r="B40" s="39">
        <f>IF(Roster!$C$34="","",Roster!$C$34)</f>
        <v/>
      </c>
      <c r="C40" s="40">
        <f>IF(Roster!$C$34="","",Roster!$F$34&amp;"")</f>
        <v/>
      </c>
      <c r="D40" s="41">
        <f>IF(Roster!$C$34="","",Roster!$G$34&amp;"")</f>
        <v/>
      </c>
      <c r="E40" s="42">
        <f>IF($B40="","",CHOOSE(MonthIdx,'Jan'!AI139,'Feb'!AI139,'Mar'!AI139,'Apr'!AI139,'May'!AI139,'Jun'!AI139,'Jul'!AI139,'Aug'!AI139,'Sep'!AI139,'Oct'!AI139,'Nov'!AI139,'Dec'!AI139))</f>
        <v/>
      </c>
      <c r="F40" s="43">
        <f>IF($B40="","",CHOOSE(MonthIdx,'Jan'!AJ139,'Feb'!AJ139,'Mar'!AJ139,'Apr'!AJ139,'May'!AJ139,'Jun'!AJ139,'Jul'!AJ139,'Aug'!AJ139,'Sep'!AJ139,'Oct'!AJ139,'Nov'!AJ139,'Dec'!AJ139))</f>
        <v/>
      </c>
      <c r="G40" s="42">
        <f>IF($B40="","",CHOOSE(MonthIdx,'Jan'!AK139,'Feb'!AK139,'Mar'!AK139,'Apr'!AK139,'May'!AK139,'Jun'!AK139,'Jul'!AK139,'Aug'!AK139,'Sep'!AK139,'Oct'!AK139,'Nov'!AK139,'Dec'!AK139))</f>
        <v/>
      </c>
      <c r="H40" s="42">
        <f>IF($B40="","",CHOOSE(MonthIdx,'Jan'!AL139,'Feb'!AL139,'Mar'!AL139,'Apr'!AL139,'May'!AL139,'Jun'!AL139,'Jul'!AL139,'Aug'!AL139,'Sep'!AL139,'Oct'!AL139,'Nov'!AL139,'Dec'!AL139))</f>
        <v/>
      </c>
      <c r="I40" s="42">
        <f>IF($B40="","",CHOOSE(MonthIdx,'Jan'!AM139,'Feb'!AM139,'Mar'!AM139,'Apr'!AM139,'May'!AM139,'Jun'!AM139,'Jul'!AM139,'Aug'!AM139,'Sep'!AM139,'Oct'!AM139,'Nov'!AM139,'Dec'!AM139))</f>
        <v/>
      </c>
    </row>
    <row r="41" hidden="1">
      <c r="A41" s="47">
        <f>IF(Roster!$B$35="","",Roster!$B$35)</f>
        <v/>
      </c>
      <c r="B41" s="48">
        <f>IF(Roster!$C$35="","",Roster!$C$35)</f>
        <v/>
      </c>
      <c r="C41" s="49">
        <f>IF(Roster!$C$35="","",Roster!$F$35&amp;"")</f>
        <v/>
      </c>
      <c r="D41" s="50">
        <f>IF(Roster!$C$35="","",Roster!$G$35&amp;"")</f>
        <v/>
      </c>
      <c r="E41" s="51">
        <f>IF($B41="","",CHOOSE(MonthIdx,'Jan'!AI143,'Feb'!AI143,'Mar'!AI143,'Apr'!AI143,'May'!AI143,'Jun'!AI143,'Jul'!AI143,'Aug'!AI143,'Sep'!AI143,'Oct'!AI143,'Nov'!AI143,'Dec'!AI143))</f>
        <v/>
      </c>
      <c r="F41" s="52">
        <f>IF($B41="","",CHOOSE(MonthIdx,'Jan'!AJ143,'Feb'!AJ143,'Mar'!AJ143,'Apr'!AJ143,'May'!AJ143,'Jun'!AJ143,'Jul'!AJ143,'Aug'!AJ143,'Sep'!AJ143,'Oct'!AJ143,'Nov'!AJ143,'Dec'!AJ143))</f>
        <v/>
      </c>
      <c r="G41" s="51">
        <f>IF($B41="","",CHOOSE(MonthIdx,'Jan'!AK143,'Feb'!AK143,'Mar'!AK143,'Apr'!AK143,'May'!AK143,'Jun'!AK143,'Jul'!AK143,'Aug'!AK143,'Sep'!AK143,'Oct'!AK143,'Nov'!AK143,'Dec'!AK143))</f>
        <v/>
      </c>
      <c r="H41" s="51">
        <f>IF($B41="","",CHOOSE(MonthIdx,'Jan'!AL143,'Feb'!AL143,'Mar'!AL143,'Apr'!AL143,'May'!AL143,'Jun'!AL143,'Jul'!AL143,'Aug'!AL143,'Sep'!AL143,'Oct'!AL143,'Nov'!AL143,'Dec'!AL143))</f>
        <v/>
      </c>
      <c r="I41" s="51">
        <f>IF($B41="","",CHOOSE(MonthIdx,'Jan'!AM143,'Feb'!AM143,'Mar'!AM143,'Apr'!AM143,'May'!AM143,'Jun'!AM143,'Jul'!AM143,'Aug'!AM143,'Sep'!AM143,'Oct'!AM143,'Nov'!AM143,'Dec'!AM143))</f>
        <v/>
      </c>
    </row>
    <row r="42" hidden="1">
      <c r="A42" s="38">
        <f>IF(Roster!$B$36="","",Roster!$B$36)</f>
        <v/>
      </c>
      <c r="B42" s="39">
        <f>IF(Roster!$C$36="","",Roster!$C$36)</f>
        <v/>
      </c>
      <c r="C42" s="40">
        <f>IF(Roster!$C$36="","",Roster!$F$36&amp;"")</f>
        <v/>
      </c>
      <c r="D42" s="41">
        <f>IF(Roster!$C$36="","",Roster!$G$36&amp;"")</f>
        <v/>
      </c>
      <c r="E42" s="42">
        <f>IF($B42="","",CHOOSE(MonthIdx,'Jan'!AI147,'Feb'!AI147,'Mar'!AI147,'Apr'!AI147,'May'!AI147,'Jun'!AI147,'Jul'!AI147,'Aug'!AI147,'Sep'!AI147,'Oct'!AI147,'Nov'!AI147,'Dec'!AI147))</f>
        <v/>
      </c>
      <c r="F42" s="43">
        <f>IF($B42="","",CHOOSE(MonthIdx,'Jan'!AJ147,'Feb'!AJ147,'Mar'!AJ147,'Apr'!AJ147,'May'!AJ147,'Jun'!AJ147,'Jul'!AJ147,'Aug'!AJ147,'Sep'!AJ147,'Oct'!AJ147,'Nov'!AJ147,'Dec'!AJ147))</f>
        <v/>
      </c>
      <c r="G42" s="42">
        <f>IF($B42="","",CHOOSE(MonthIdx,'Jan'!AK147,'Feb'!AK147,'Mar'!AK147,'Apr'!AK147,'May'!AK147,'Jun'!AK147,'Jul'!AK147,'Aug'!AK147,'Sep'!AK147,'Oct'!AK147,'Nov'!AK147,'Dec'!AK147))</f>
        <v/>
      </c>
      <c r="H42" s="42">
        <f>IF($B42="","",CHOOSE(MonthIdx,'Jan'!AL147,'Feb'!AL147,'Mar'!AL147,'Apr'!AL147,'May'!AL147,'Jun'!AL147,'Jul'!AL147,'Aug'!AL147,'Sep'!AL147,'Oct'!AL147,'Nov'!AL147,'Dec'!AL147))</f>
        <v/>
      </c>
      <c r="I42" s="42">
        <f>IF($B42="","",CHOOSE(MonthIdx,'Jan'!AM147,'Feb'!AM147,'Mar'!AM147,'Apr'!AM147,'May'!AM147,'Jun'!AM147,'Jul'!AM147,'Aug'!AM147,'Sep'!AM147,'Oct'!AM147,'Nov'!AM147,'Dec'!AM147))</f>
        <v/>
      </c>
    </row>
    <row r="43" hidden="1">
      <c r="A43" s="47">
        <f>IF(Roster!$B$37="","",Roster!$B$37)</f>
        <v/>
      </c>
      <c r="B43" s="48">
        <f>IF(Roster!$C$37="","",Roster!$C$37)</f>
        <v/>
      </c>
      <c r="C43" s="49">
        <f>IF(Roster!$C$37="","",Roster!$F$37&amp;"")</f>
        <v/>
      </c>
      <c r="D43" s="50">
        <f>IF(Roster!$C$37="","",Roster!$G$37&amp;"")</f>
        <v/>
      </c>
      <c r="E43" s="51">
        <f>IF($B43="","",CHOOSE(MonthIdx,'Jan'!AI151,'Feb'!AI151,'Mar'!AI151,'Apr'!AI151,'May'!AI151,'Jun'!AI151,'Jul'!AI151,'Aug'!AI151,'Sep'!AI151,'Oct'!AI151,'Nov'!AI151,'Dec'!AI151))</f>
        <v/>
      </c>
      <c r="F43" s="52">
        <f>IF($B43="","",CHOOSE(MonthIdx,'Jan'!AJ151,'Feb'!AJ151,'Mar'!AJ151,'Apr'!AJ151,'May'!AJ151,'Jun'!AJ151,'Jul'!AJ151,'Aug'!AJ151,'Sep'!AJ151,'Oct'!AJ151,'Nov'!AJ151,'Dec'!AJ151))</f>
        <v/>
      </c>
      <c r="G43" s="51">
        <f>IF($B43="","",CHOOSE(MonthIdx,'Jan'!AK151,'Feb'!AK151,'Mar'!AK151,'Apr'!AK151,'May'!AK151,'Jun'!AK151,'Jul'!AK151,'Aug'!AK151,'Sep'!AK151,'Oct'!AK151,'Nov'!AK151,'Dec'!AK151))</f>
        <v/>
      </c>
      <c r="H43" s="51">
        <f>IF($B43="","",CHOOSE(MonthIdx,'Jan'!AL151,'Feb'!AL151,'Mar'!AL151,'Apr'!AL151,'May'!AL151,'Jun'!AL151,'Jul'!AL151,'Aug'!AL151,'Sep'!AL151,'Oct'!AL151,'Nov'!AL151,'Dec'!AL151))</f>
        <v/>
      </c>
      <c r="I43" s="51">
        <f>IF($B43="","",CHOOSE(MonthIdx,'Jan'!AM151,'Feb'!AM151,'Mar'!AM151,'Apr'!AM151,'May'!AM151,'Jun'!AM151,'Jul'!AM151,'Aug'!AM151,'Sep'!AM151,'Oct'!AM151,'Nov'!AM151,'Dec'!AM151))</f>
        <v/>
      </c>
    </row>
    <row r="44" hidden="1">
      <c r="A44" s="38">
        <f>IF(Roster!$B$38="","",Roster!$B$38)</f>
        <v/>
      </c>
      <c r="B44" s="39">
        <f>IF(Roster!$C$38="","",Roster!$C$38)</f>
        <v/>
      </c>
      <c r="C44" s="40">
        <f>IF(Roster!$C$38="","",Roster!$F$38&amp;"")</f>
        <v/>
      </c>
      <c r="D44" s="41">
        <f>IF(Roster!$C$38="","",Roster!$G$38&amp;"")</f>
        <v/>
      </c>
      <c r="E44" s="42">
        <f>IF($B44="","",CHOOSE(MonthIdx,'Jan'!AI155,'Feb'!AI155,'Mar'!AI155,'Apr'!AI155,'May'!AI155,'Jun'!AI155,'Jul'!AI155,'Aug'!AI155,'Sep'!AI155,'Oct'!AI155,'Nov'!AI155,'Dec'!AI155))</f>
        <v/>
      </c>
      <c r="F44" s="43">
        <f>IF($B44="","",CHOOSE(MonthIdx,'Jan'!AJ155,'Feb'!AJ155,'Mar'!AJ155,'Apr'!AJ155,'May'!AJ155,'Jun'!AJ155,'Jul'!AJ155,'Aug'!AJ155,'Sep'!AJ155,'Oct'!AJ155,'Nov'!AJ155,'Dec'!AJ155))</f>
        <v/>
      </c>
      <c r="G44" s="42">
        <f>IF($B44="","",CHOOSE(MonthIdx,'Jan'!AK155,'Feb'!AK155,'Mar'!AK155,'Apr'!AK155,'May'!AK155,'Jun'!AK155,'Jul'!AK155,'Aug'!AK155,'Sep'!AK155,'Oct'!AK155,'Nov'!AK155,'Dec'!AK155))</f>
        <v/>
      </c>
      <c r="H44" s="42">
        <f>IF($B44="","",CHOOSE(MonthIdx,'Jan'!AL155,'Feb'!AL155,'Mar'!AL155,'Apr'!AL155,'May'!AL155,'Jun'!AL155,'Jul'!AL155,'Aug'!AL155,'Sep'!AL155,'Oct'!AL155,'Nov'!AL155,'Dec'!AL155))</f>
        <v/>
      </c>
      <c r="I44" s="42">
        <f>IF($B44="","",CHOOSE(MonthIdx,'Jan'!AM155,'Feb'!AM155,'Mar'!AM155,'Apr'!AM155,'May'!AM155,'Jun'!AM155,'Jul'!AM155,'Aug'!AM155,'Sep'!AM155,'Oct'!AM155,'Nov'!AM155,'Dec'!AM155))</f>
        <v/>
      </c>
    </row>
    <row r="45" hidden="1">
      <c r="A45" s="47">
        <f>IF(Roster!$B$39="","",Roster!$B$39)</f>
        <v/>
      </c>
      <c r="B45" s="48">
        <f>IF(Roster!$C$39="","",Roster!$C$39)</f>
        <v/>
      </c>
      <c r="C45" s="49">
        <f>IF(Roster!$C$39="","",Roster!$F$39&amp;"")</f>
        <v/>
      </c>
      <c r="D45" s="50">
        <f>IF(Roster!$C$39="","",Roster!$G$39&amp;"")</f>
        <v/>
      </c>
      <c r="E45" s="51">
        <f>IF($B45="","",CHOOSE(MonthIdx,'Jan'!AI159,'Feb'!AI159,'Mar'!AI159,'Apr'!AI159,'May'!AI159,'Jun'!AI159,'Jul'!AI159,'Aug'!AI159,'Sep'!AI159,'Oct'!AI159,'Nov'!AI159,'Dec'!AI159))</f>
        <v/>
      </c>
      <c r="F45" s="52">
        <f>IF($B45="","",CHOOSE(MonthIdx,'Jan'!AJ159,'Feb'!AJ159,'Mar'!AJ159,'Apr'!AJ159,'May'!AJ159,'Jun'!AJ159,'Jul'!AJ159,'Aug'!AJ159,'Sep'!AJ159,'Oct'!AJ159,'Nov'!AJ159,'Dec'!AJ159))</f>
        <v/>
      </c>
      <c r="G45" s="51">
        <f>IF($B45="","",CHOOSE(MonthIdx,'Jan'!AK159,'Feb'!AK159,'Mar'!AK159,'Apr'!AK159,'May'!AK159,'Jun'!AK159,'Jul'!AK159,'Aug'!AK159,'Sep'!AK159,'Oct'!AK159,'Nov'!AK159,'Dec'!AK159))</f>
        <v/>
      </c>
      <c r="H45" s="51">
        <f>IF($B45="","",CHOOSE(MonthIdx,'Jan'!AL159,'Feb'!AL159,'Mar'!AL159,'Apr'!AL159,'May'!AL159,'Jun'!AL159,'Jul'!AL159,'Aug'!AL159,'Sep'!AL159,'Oct'!AL159,'Nov'!AL159,'Dec'!AL159))</f>
        <v/>
      </c>
      <c r="I45" s="51">
        <f>IF($B45="","",CHOOSE(MonthIdx,'Jan'!AM159,'Feb'!AM159,'Mar'!AM159,'Apr'!AM159,'May'!AM159,'Jun'!AM159,'Jul'!AM159,'Aug'!AM159,'Sep'!AM159,'Oct'!AM159,'Nov'!AM159,'Dec'!AM159))</f>
        <v/>
      </c>
    </row>
    <row r="46" hidden="1">
      <c r="A46" s="38">
        <f>IF(Roster!$B$40="","",Roster!$B$40)</f>
        <v/>
      </c>
      <c r="B46" s="39">
        <f>IF(Roster!$C$40="","",Roster!$C$40)</f>
        <v/>
      </c>
      <c r="C46" s="40">
        <f>IF(Roster!$C$40="","",Roster!$F$40&amp;"")</f>
        <v/>
      </c>
      <c r="D46" s="41">
        <f>IF(Roster!$C$40="","",Roster!$G$40&amp;"")</f>
        <v/>
      </c>
      <c r="E46" s="42">
        <f>IF($B46="","",CHOOSE(MonthIdx,'Jan'!AI163,'Feb'!AI163,'Mar'!AI163,'Apr'!AI163,'May'!AI163,'Jun'!AI163,'Jul'!AI163,'Aug'!AI163,'Sep'!AI163,'Oct'!AI163,'Nov'!AI163,'Dec'!AI163))</f>
        <v/>
      </c>
      <c r="F46" s="43">
        <f>IF($B46="","",CHOOSE(MonthIdx,'Jan'!AJ163,'Feb'!AJ163,'Mar'!AJ163,'Apr'!AJ163,'May'!AJ163,'Jun'!AJ163,'Jul'!AJ163,'Aug'!AJ163,'Sep'!AJ163,'Oct'!AJ163,'Nov'!AJ163,'Dec'!AJ163))</f>
        <v/>
      </c>
      <c r="G46" s="42">
        <f>IF($B46="","",CHOOSE(MonthIdx,'Jan'!AK163,'Feb'!AK163,'Mar'!AK163,'Apr'!AK163,'May'!AK163,'Jun'!AK163,'Jul'!AK163,'Aug'!AK163,'Sep'!AK163,'Oct'!AK163,'Nov'!AK163,'Dec'!AK163))</f>
        <v/>
      </c>
      <c r="H46" s="42">
        <f>IF($B46="","",CHOOSE(MonthIdx,'Jan'!AL163,'Feb'!AL163,'Mar'!AL163,'Apr'!AL163,'May'!AL163,'Jun'!AL163,'Jul'!AL163,'Aug'!AL163,'Sep'!AL163,'Oct'!AL163,'Nov'!AL163,'Dec'!AL163))</f>
        <v/>
      </c>
      <c r="I46" s="42">
        <f>IF($B46="","",CHOOSE(MonthIdx,'Jan'!AM163,'Feb'!AM163,'Mar'!AM163,'Apr'!AM163,'May'!AM163,'Jun'!AM163,'Jul'!AM163,'Aug'!AM163,'Sep'!AM163,'Oct'!AM163,'Nov'!AM163,'Dec'!AM163))</f>
        <v/>
      </c>
    </row>
    <row r="47" hidden="1">
      <c r="A47" s="47">
        <f>IF(Roster!$B$41="","",Roster!$B$41)</f>
        <v/>
      </c>
      <c r="B47" s="48">
        <f>IF(Roster!$C$41="","",Roster!$C$41)</f>
        <v/>
      </c>
      <c r="C47" s="49">
        <f>IF(Roster!$C$41="","",Roster!$F$41&amp;"")</f>
        <v/>
      </c>
      <c r="D47" s="50">
        <f>IF(Roster!$C$41="","",Roster!$G$41&amp;"")</f>
        <v/>
      </c>
      <c r="E47" s="51">
        <f>IF($B47="","",CHOOSE(MonthIdx,'Jan'!AI167,'Feb'!AI167,'Mar'!AI167,'Apr'!AI167,'May'!AI167,'Jun'!AI167,'Jul'!AI167,'Aug'!AI167,'Sep'!AI167,'Oct'!AI167,'Nov'!AI167,'Dec'!AI167))</f>
        <v/>
      </c>
      <c r="F47" s="52">
        <f>IF($B47="","",CHOOSE(MonthIdx,'Jan'!AJ167,'Feb'!AJ167,'Mar'!AJ167,'Apr'!AJ167,'May'!AJ167,'Jun'!AJ167,'Jul'!AJ167,'Aug'!AJ167,'Sep'!AJ167,'Oct'!AJ167,'Nov'!AJ167,'Dec'!AJ167))</f>
        <v/>
      </c>
      <c r="G47" s="51">
        <f>IF($B47="","",CHOOSE(MonthIdx,'Jan'!AK167,'Feb'!AK167,'Mar'!AK167,'Apr'!AK167,'May'!AK167,'Jun'!AK167,'Jul'!AK167,'Aug'!AK167,'Sep'!AK167,'Oct'!AK167,'Nov'!AK167,'Dec'!AK167))</f>
        <v/>
      </c>
      <c r="H47" s="51">
        <f>IF($B47="","",CHOOSE(MonthIdx,'Jan'!AL167,'Feb'!AL167,'Mar'!AL167,'Apr'!AL167,'May'!AL167,'Jun'!AL167,'Jul'!AL167,'Aug'!AL167,'Sep'!AL167,'Oct'!AL167,'Nov'!AL167,'Dec'!AL167))</f>
        <v/>
      </c>
      <c r="I47" s="51">
        <f>IF($B47="","",CHOOSE(MonthIdx,'Jan'!AM167,'Feb'!AM167,'Mar'!AM167,'Apr'!AM167,'May'!AM167,'Jun'!AM167,'Jul'!AM167,'Aug'!AM167,'Sep'!AM167,'Oct'!AM167,'Nov'!AM167,'Dec'!AM167))</f>
        <v/>
      </c>
    </row>
    <row r="48" hidden="1">
      <c r="A48" s="38">
        <f>IF(Roster!$B$42="","",Roster!$B$42)</f>
        <v/>
      </c>
      <c r="B48" s="39">
        <f>IF(Roster!$C$42="","",Roster!$C$42)</f>
        <v/>
      </c>
      <c r="C48" s="40">
        <f>IF(Roster!$C$42="","",Roster!$F$42&amp;"")</f>
        <v/>
      </c>
      <c r="D48" s="41">
        <f>IF(Roster!$C$42="","",Roster!$G$42&amp;"")</f>
        <v/>
      </c>
      <c r="E48" s="42">
        <f>IF($B48="","",CHOOSE(MonthIdx,'Jan'!AI171,'Feb'!AI171,'Mar'!AI171,'Apr'!AI171,'May'!AI171,'Jun'!AI171,'Jul'!AI171,'Aug'!AI171,'Sep'!AI171,'Oct'!AI171,'Nov'!AI171,'Dec'!AI171))</f>
        <v/>
      </c>
      <c r="F48" s="43">
        <f>IF($B48="","",CHOOSE(MonthIdx,'Jan'!AJ171,'Feb'!AJ171,'Mar'!AJ171,'Apr'!AJ171,'May'!AJ171,'Jun'!AJ171,'Jul'!AJ171,'Aug'!AJ171,'Sep'!AJ171,'Oct'!AJ171,'Nov'!AJ171,'Dec'!AJ171))</f>
        <v/>
      </c>
      <c r="G48" s="42">
        <f>IF($B48="","",CHOOSE(MonthIdx,'Jan'!AK171,'Feb'!AK171,'Mar'!AK171,'Apr'!AK171,'May'!AK171,'Jun'!AK171,'Jul'!AK171,'Aug'!AK171,'Sep'!AK171,'Oct'!AK171,'Nov'!AK171,'Dec'!AK171))</f>
        <v/>
      </c>
      <c r="H48" s="42">
        <f>IF($B48="","",CHOOSE(MonthIdx,'Jan'!AL171,'Feb'!AL171,'Mar'!AL171,'Apr'!AL171,'May'!AL171,'Jun'!AL171,'Jul'!AL171,'Aug'!AL171,'Sep'!AL171,'Oct'!AL171,'Nov'!AL171,'Dec'!AL171))</f>
        <v/>
      </c>
      <c r="I48" s="42">
        <f>IF($B48="","",CHOOSE(MonthIdx,'Jan'!AM171,'Feb'!AM171,'Mar'!AM171,'Apr'!AM171,'May'!AM171,'Jun'!AM171,'Jul'!AM171,'Aug'!AM171,'Sep'!AM171,'Oct'!AM171,'Nov'!AM171,'Dec'!AM171))</f>
        <v/>
      </c>
    </row>
    <row r="49" hidden="1">
      <c r="A49" s="47">
        <f>IF(Roster!$B$43="","",Roster!$B$43)</f>
        <v/>
      </c>
      <c r="B49" s="48">
        <f>IF(Roster!$C$43="","",Roster!$C$43)</f>
        <v/>
      </c>
      <c r="C49" s="49">
        <f>IF(Roster!$C$43="","",Roster!$F$43&amp;"")</f>
        <v/>
      </c>
      <c r="D49" s="50">
        <f>IF(Roster!$C$43="","",Roster!$G$43&amp;"")</f>
        <v/>
      </c>
      <c r="E49" s="51">
        <f>IF($B49="","",CHOOSE(MonthIdx,'Jan'!AI175,'Feb'!AI175,'Mar'!AI175,'Apr'!AI175,'May'!AI175,'Jun'!AI175,'Jul'!AI175,'Aug'!AI175,'Sep'!AI175,'Oct'!AI175,'Nov'!AI175,'Dec'!AI175))</f>
        <v/>
      </c>
      <c r="F49" s="52">
        <f>IF($B49="","",CHOOSE(MonthIdx,'Jan'!AJ175,'Feb'!AJ175,'Mar'!AJ175,'Apr'!AJ175,'May'!AJ175,'Jun'!AJ175,'Jul'!AJ175,'Aug'!AJ175,'Sep'!AJ175,'Oct'!AJ175,'Nov'!AJ175,'Dec'!AJ175))</f>
        <v/>
      </c>
      <c r="G49" s="51">
        <f>IF($B49="","",CHOOSE(MonthIdx,'Jan'!AK175,'Feb'!AK175,'Mar'!AK175,'Apr'!AK175,'May'!AK175,'Jun'!AK175,'Jul'!AK175,'Aug'!AK175,'Sep'!AK175,'Oct'!AK175,'Nov'!AK175,'Dec'!AK175))</f>
        <v/>
      </c>
      <c r="H49" s="51">
        <f>IF($B49="","",CHOOSE(MonthIdx,'Jan'!AL175,'Feb'!AL175,'Mar'!AL175,'Apr'!AL175,'May'!AL175,'Jun'!AL175,'Jul'!AL175,'Aug'!AL175,'Sep'!AL175,'Oct'!AL175,'Nov'!AL175,'Dec'!AL175))</f>
        <v/>
      </c>
      <c r="I49" s="51">
        <f>IF($B49="","",CHOOSE(MonthIdx,'Jan'!AM175,'Feb'!AM175,'Mar'!AM175,'Apr'!AM175,'May'!AM175,'Jun'!AM175,'Jul'!AM175,'Aug'!AM175,'Sep'!AM175,'Oct'!AM175,'Nov'!AM175,'Dec'!AM175))</f>
        <v/>
      </c>
    </row>
    <row r="50" hidden="1">
      <c r="A50" s="38">
        <f>IF(Roster!$B$44="","",Roster!$B$44)</f>
        <v/>
      </c>
      <c r="B50" s="39">
        <f>IF(Roster!$C$44="","",Roster!$C$44)</f>
        <v/>
      </c>
      <c r="C50" s="40">
        <f>IF(Roster!$C$44="","",Roster!$F$44&amp;"")</f>
        <v/>
      </c>
      <c r="D50" s="41">
        <f>IF(Roster!$C$44="","",Roster!$G$44&amp;"")</f>
        <v/>
      </c>
      <c r="E50" s="42">
        <f>IF($B50="","",CHOOSE(MonthIdx,'Jan'!AI179,'Feb'!AI179,'Mar'!AI179,'Apr'!AI179,'May'!AI179,'Jun'!AI179,'Jul'!AI179,'Aug'!AI179,'Sep'!AI179,'Oct'!AI179,'Nov'!AI179,'Dec'!AI179))</f>
        <v/>
      </c>
      <c r="F50" s="43">
        <f>IF($B50="","",CHOOSE(MonthIdx,'Jan'!AJ179,'Feb'!AJ179,'Mar'!AJ179,'Apr'!AJ179,'May'!AJ179,'Jun'!AJ179,'Jul'!AJ179,'Aug'!AJ179,'Sep'!AJ179,'Oct'!AJ179,'Nov'!AJ179,'Dec'!AJ179))</f>
        <v/>
      </c>
      <c r="G50" s="42">
        <f>IF($B50="","",CHOOSE(MonthIdx,'Jan'!AK179,'Feb'!AK179,'Mar'!AK179,'Apr'!AK179,'May'!AK179,'Jun'!AK179,'Jul'!AK179,'Aug'!AK179,'Sep'!AK179,'Oct'!AK179,'Nov'!AK179,'Dec'!AK179))</f>
        <v/>
      </c>
      <c r="H50" s="42">
        <f>IF($B50="","",CHOOSE(MonthIdx,'Jan'!AL179,'Feb'!AL179,'Mar'!AL179,'Apr'!AL179,'May'!AL179,'Jun'!AL179,'Jul'!AL179,'Aug'!AL179,'Sep'!AL179,'Oct'!AL179,'Nov'!AL179,'Dec'!AL179))</f>
        <v/>
      </c>
      <c r="I50" s="42">
        <f>IF($B50="","",CHOOSE(MonthIdx,'Jan'!AM179,'Feb'!AM179,'Mar'!AM179,'Apr'!AM179,'May'!AM179,'Jun'!AM179,'Jul'!AM179,'Aug'!AM179,'Sep'!AM179,'Oct'!AM179,'Nov'!AM179,'Dec'!AM179))</f>
        <v/>
      </c>
    </row>
    <row r="51" hidden="1">
      <c r="A51" s="47">
        <f>IF(Roster!$B$45="","",Roster!$B$45)</f>
        <v/>
      </c>
      <c r="B51" s="48">
        <f>IF(Roster!$C$45="","",Roster!$C$45)</f>
        <v/>
      </c>
      <c r="C51" s="49">
        <f>IF(Roster!$C$45="","",Roster!$F$45&amp;"")</f>
        <v/>
      </c>
      <c r="D51" s="50">
        <f>IF(Roster!$C$45="","",Roster!$G$45&amp;"")</f>
        <v/>
      </c>
      <c r="E51" s="51">
        <f>IF($B51="","",CHOOSE(MonthIdx,'Jan'!AI183,'Feb'!AI183,'Mar'!AI183,'Apr'!AI183,'May'!AI183,'Jun'!AI183,'Jul'!AI183,'Aug'!AI183,'Sep'!AI183,'Oct'!AI183,'Nov'!AI183,'Dec'!AI183))</f>
        <v/>
      </c>
      <c r="F51" s="52">
        <f>IF($B51="","",CHOOSE(MonthIdx,'Jan'!AJ183,'Feb'!AJ183,'Mar'!AJ183,'Apr'!AJ183,'May'!AJ183,'Jun'!AJ183,'Jul'!AJ183,'Aug'!AJ183,'Sep'!AJ183,'Oct'!AJ183,'Nov'!AJ183,'Dec'!AJ183))</f>
        <v/>
      </c>
      <c r="G51" s="51">
        <f>IF($B51="","",CHOOSE(MonthIdx,'Jan'!AK183,'Feb'!AK183,'Mar'!AK183,'Apr'!AK183,'May'!AK183,'Jun'!AK183,'Jul'!AK183,'Aug'!AK183,'Sep'!AK183,'Oct'!AK183,'Nov'!AK183,'Dec'!AK183))</f>
        <v/>
      </c>
      <c r="H51" s="51">
        <f>IF($B51="","",CHOOSE(MonthIdx,'Jan'!AL183,'Feb'!AL183,'Mar'!AL183,'Apr'!AL183,'May'!AL183,'Jun'!AL183,'Jul'!AL183,'Aug'!AL183,'Sep'!AL183,'Oct'!AL183,'Nov'!AL183,'Dec'!AL183))</f>
        <v/>
      </c>
      <c r="I51" s="51">
        <f>IF($B51="","",CHOOSE(MonthIdx,'Jan'!AM183,'Feb'!AM183,'Mar'!AM183,'Apr'!AM183,'May'!AM183,'Jun'!AM183,'Jul'!AM183,'Aug'!AM183,'Sep'!AM183,'Oct'!AM183,'Nov'!AM183,'Dec'!AM183))</f>
        <v/>
      </c>
    </row>
    <row r="52" hidden="1">
      <c r="A52" s="38">
        <f>IF(Roster!$B$46="","",Roster!$B$46)</f>
        <v/>
      </c>
      <c r="B52" s="39">
        <f>IF(Roster!$C$46="","",Roster!$C$46)</f>
        <v/>
      </c>
      <c r="C52" s="40">
        <f>IF(Roster!$C$46="","",Roster!$F$46&amp;"")</f>
        <v/>
      </c>
      <c r="D52" s="41">
        <f>IF(Roster!$C$46="","",Roster!$G$46&amp;"")</f>
        <v/>
      </c>
      <c r="E52" s="42">
        <f>IF($B52="","",CHOOSE(MonthIdx,'Jan'!AI187,'Feb'!AI187,'Mar'!AI187,'Apr'!AI187,'May'!AI187,'Jun'!AI187,'Jul'!AI187,'Aug'!AI187,'Sep'!AI187,'Oct'!AI187,'Nov'!AI187,'Dec'!AI187))</f>
        <v/>
      </c>
      <c r="F52" s="43">
        <f>IF($B52="","",CHOOSE(MonthIdx,'Jan'!AJ187,'Feb'!AJ187,'Mar'!AJ187,'Apr'!AJ187,'May'!AJ187,'Jun'!AJ187,'Jul'!AJ187,'Aug'!AJ187,'Sep'!AJ187,'Oct'!AJ187,'Nov'!AJ187,'Dec'!AJ187))</f>
        <v/>
      </c>
      <c r="G52" s="42">
        <f>IF($B52="","",CHOOSE(MonthIdx,'Jan'!AK187,'Feb'!AK187,'Mar'!AK187,'Apr'!AK187,'May'!AK187,'Jun'!AK187,'Jul'!AK187,'Aug'!AK187,'Sep'!AK187,'Oct'!AK187,'Nov'!AK187,'Dec'!AK187))</f>
        <v/>
      </c>
      <c r="H52" s="42">
        <f>IF($B52="","",CHOOSE(MonthIdx,'Jan'!AL187,'Feb'!AL187,'Mar'!AL187,'Apr'!AL187,'May'!AL187,'Jun'!AL187,'Jul'!AL187,'Aug'!AL187,'Sep'!AL187,'Oct'!AL187,'Nov'!AL187,'Dec'!AL187))</f>
        <v/>
      </c>
      <c r="I52" s="42">
        <f>IF($B52="","",CHOOSE(MonthIdx,'Jan'!AM187,'Feb'!AM187,'Mar'!AM187,'Apr'!AM187,'May'!AM187,'Jun'!AM187,'Jul'!AM187,'Aug'!AM187,'Sep'!AM187,'Oct'!AM187,'Nov'!AM187,'Dec'!AM187))</f>
        <v/>
      </c>
    </row>
    <row r="53" hidden="1">
      <c r="A53" s="47">
        <f>IF(Roster!$B$47="","",Roster!$B$47)</f>
        <v/>
      </c>
      <c r="B53" s="48">
        <f>IF(Roster!$C$47="","",Roster!$C$47)</f>
        <v/>
      </c>
      <c r="C53" s="49">
        <f>IF(Roster!$C$47="","",Roster!$F$47&amp;"")</f>
        <v/>
      </c>
      <c r="D53" s="50">
        <f>IF(Roster!$C$47="","",Roster!$G$47&amp;"")</f>
        <v/>
      </c>
      <c r="E53" s="51">
        <f>IF($B53="","",CHOOSE(MonthIdx,'Jan'!AI191,'Feb'!AI191,'Mar'!AI191,'Apr'!AI191,'May'!AI191,'Jun'!AI191,'Jul'!AI191,'Aug'!AI191,'Sep'!AI191,'Oct'!AI191,'Nov'!AI191,'Dec'!AI191))</f>
        <v/>
      </c>
      <c r="F53" s="52">
        <f>IF($B53="","",CHOOSE(MonthIdx,'Jan'!AJ191,'Feb'!AJ191,'Mar'!AJ191,'Apr'!AJ191,'May'!AJ191,'Jun'!AJ191,'Jul'!AJ191,'Aug'!AJ191,'Sep'!AJ191,'Oct'!AJ191,'Nov'!AJ191,'Dec'!AJ191))</f>
        <v/>
      </c>
      <c r="G53" s="51">
        <f>IF($B53="","",CHOOSE(MonthIdx,'Jan'!AK191,'Feb'!AK191,'Mar'!AK191,'Apr'!AK191,'May'!AK191,'Jun'!AK191,'Jul'!AK191,'Aug'!AK191,'Sep'!AK191,'Oct'!AK191,'Nov'!AK191,'Dec'!AK191))</f>
        <v/>
      </c>
      <c r="H53" s="51">
        <f>IF($B53="","",CHOOSE(MonthIdx,'Jan'!AL191,'Feb'!AL191,'Mar'!AL191,'Apr'!AL191,'May'!AL191,'Jun'!AL191,'Jul'!AL191,'Aug'!AL191,'Sep'!AL191,'Oct'!AL191,'Nov'!AL191,'Dec'!AL191))</f>
        <v/>
      </c>
      <c r="I53" s="51">
        <f>IF($B53="","",CHOOSE(MonthIdx,'Jan'!AM191,'Feb'!AM191,'Mar'!AM191,'Apr'!AM191,'May'!AM191,'Jun'!AM191,'Jul'!AM191,'Aug'!AM191,'Sep'!AM191,'Oct'!AM191,'Nov'!AM191,'Dec'!AM191))</f>
        <v/>
      </c>
    </row>
    <row r="54" hidden="1">
      <c r="A54" s="38">
        <f>IF(Roster!$B$48="","",Roster!$B$48)</f>
        <v/>
      </c>
      <c r="B54" s="39">
        <f>IF(Roster!$C$48="","",Roster!$C$48)</f>
        <v/>
      </c>
      <c r="C54" s="40">
        <f>IF(Roster!$C$48="","",Roster!$F$48&amp;"")</f>
        <v/>
      </c>
      <c r="D54" s="41">
        <f>IF(Roster!$C$48="","",Roster!$G$48&amp;"")</f>
        <v/>
      </c>
      <c r="E54" s="42">
        <f>IF($B54="","",CHOOSE(MonthIdx,'Jan'!AI195,'Feb'!AI195,'Mar'!AI195,'Apr'!AI195,'May'!AI195,'Jun'!AI195,'Jul'!AI195,'Aug'!AI195,'Sep'!AI195,'Oct'!AI195,'Nov'!AI195,'Dec'!AI195))</f>
        <v/>
      </c>
      <c r="F54" s="43">
        <f>IF($B54="","",CHOOSE(MonthIdx,'Jan'!AJ195,'Feb'!AJ195,'Mar'!AJ195,'Apr'!AJ195,'May'!AJ195,'Jun'!AJ195,'Jul'!AJ195,'Aug'!AJ195,'Sep'!AJ195,'Oct'!AJ195,'Nov'!AJ195,'Dec'!AJ195))</f>
        <v/>
      </c>
      <c r="G54" s="42">
        <f>IF($B54="","",CHOOSE(MonthIdx,'Jan'!AK195,'Feb'!AK195,'Mar'!AK195,'Apr'!AK195,'May'!AK195,'Jun'!AK195,'Jul'!AK195,'Aug'!AK195,'Sep'!AK195,'Oct'!AK195,'Nov'!AK195,'Dec'!AK195))</f>
        <v/>
      </c>
      <c r="H54" s="42">
        <f>IF($B54="","",CHOOSE(MonthIdx,'Jan'!AL195,'Feb'!AL195,'Mar'!AL195,'Apr'!AL195,'May'!AL195,'Jun'!AL195,'Jul'!AL195,'Aug'!AL195,'Sep'!AL195,'Oct'!AL195,'Nov'!AL195,'Dec'!AL195))</f>
        <v/>
      </c>
      <c r="I54" s="42">
        <f>IF($B54="","",CHOOSE(MonthIdx,'Jan'!AM195,'Feb'!AM195,'Mar'!AM195,'Apr'!AM195,'May'!AM195,'Jun'!AM195,'Jul'!AM195,'Aug'!AM195,'Sep'!AM195,'Oct'!AM195,'Nov'!AM195,'Dec'!AM195))</f>
        <v/>
      </c>
    </row>
    <row r="55" hidden="1">
      <c r="A55" s="47">
        <f>IF(Roster!$B$49="","",Roster!$B$49)</f>
        <v/>
      </c>
      <c r="B55" s="48">
        <f>IF(Roster!$C$49="","",Roster!$C$49)</f>
        <v/>
      </c>
      <c r="C55" s="49">
        <f>IF(Roster!$C$49="","",Roster!$F$49&amp;"")</f>
        <v/>
      </c>
      <c r="D55" s="50">
        <f>IF(Roster!$C$49="","",Roster!$G$49&amp;"")</f>
        <v/>
      </c>
      <c r="E55" s="51">
        <f>IF($B55="","",CHOOSE(MonthIdx,'Jan'!AI199,'Feb'!AI199,'Mar'!AI199,'Apr'!AI199,'May'!AI199,'Jun'!AI199,'Jul'!AI199,'Aug'!AI199,'Sep'!AI199,'Oct'!AI199,'Nov'!AI199,'Dec'!AI199))</f>
        <v/>
      </c>
      <c r="F55" s="52">
        <f>IF($B55="","",CHOOSE(MonthIdx,'Jan'!AJ199,'Feb'!AJ199,'Mar'!AJ199,'Apr'!AJ199,'May'!AJ199,'Jun'!AJ199,'Jul'!AJ199,'Aug'!AJ199,'Sep'!AJ199,'Oct'!AJ199,'Nov'!AJ199,'Dec'!AJ199))</f>
        <v/>
      </c>
      <c r="G55" s="51">
        <f>IF($B55="","",CHOOSE(MonthIdx,'Jan'!AK199,'Feb'!AK199,'Mar'!AK199,'Apr'!AK199,'May'!AK199,'Jun'!AK199,'Jul'!AK199,'Aug'!AK199,'Sep'!AK199,'Oct'!AK199,'Nov'!AK199,'Dec'!AK199))</f>
        <v/>
      </c>
      <c r="H55" s="51">
        <f>IF($B55="","",CHOOSE(MonthIdx,'Jan'!AL199,'Feb'!AL199,'Mar'!AL199,'Apr'!AL199,'May'!AL199,'Jun'!AL199,'Jul'!AL199,'Aug'!AL199,'Sep'!AL199,'Oct'!AL199,'Nov'!AL199,'Dec'!AL199))</f>
        <v/>
      </c>
      <c r="I55" s="51">
        <f>IF($B55="","",CHOOSE(MonthIdx,'Jan'!AM199,'Feb'!AM199,'Mar'!AM199,'Apr'!AM199,'May'!AM199,'Jun'!AM199,'Jul'!AM199,'Aug'!AM199,'Sep'!AM199,'Oct'!AM199,'Nov'!AM199,'Dec'!AM199))</f>
        <v/>
      </c>
    </row>
    <row r="56" hidden="1">
      <c r="A56" s="38">
        <f>IF(Roster!$B$50="","",Roster!$B$50)</f>
        <v/>
      </c>
      <c r="B56" s="39">
        <f>IF(Roster!$C$50="","",Roster!$C$50)</f>
        <v/>
      </c>
      <c r="C56" s="40">
        <f>IF(Roster!$C$50="","",Roster!$F$50&amp;"")</f>
        <v/>
      </c>
      <c r="D56" s="41">
        <f>IF(Roster!$C$50="","",Roster!$G$50&amp;"")</f>
        <v/>
      </c>
      <c r="E56" s="42">
        <f>IF($B56="","",CHOOSE(MonthIdx,'Jan'!AI203,'Feb'!AI203,'Mar'!AI203,'Apr'!AI203,'May'!AI203,'Jun'!AI203,'Jul'!AI203,'Aug'!AI203,'Sep'!AI203,'Oct'!AI203,'Nov'!AI203,'Dec'!AI203))</f>
        <v/>
      </c>
      <c r="F56" s="43">
        <f>IF($B56="","",CHOOSE(MonthIdx,'Jan'!AJ203,'Feb'!AJ203,'Mar'!AJ203,'Apr'!AJ203,'May'!AJ203,'Jun'!AJ203,'Jul'!AJ203,'Aug'!AJ203,'Sep'!AJ203,'Oct'!AJ203,'Nov'!AJ203,'Dec'!AJ203))</f>
        <v/>
      </c>
      <c r="G56" s="42">
        <f>IF($B56="","",CHOOSE(MonthIdx,'Jan'!AK203,'Feb'!AK203,'Mar'!AK203,'Apr'!AK203,'May'!AK203,'Jun'!AK203,'Jul'!AK203,'Aug'!AK203,'Sep'!AK203,'Oct'!AK203,'Nov'!AK203,'Dec'!AK203))</f>
        <v/>
      </c>
      <c r="H56" s="42">
        <f>IF($B56="","",CHOOSE(MonthIdx,'Jan'!AL203,'Feb'!AL203,'Mar'!AL203,'Apr'!AL203,'May'!AL203,'Jun'!AL203,'Jul'!AL203,'Aug'!AL203,'Sep'!AL203,'Oct'!AL203,'Nov'!AL203,'Dec'!AL203))</f>
        <v/>
      </c>
      <c r="I56" s="42">
        <f>IF($B56="","",CHOOSE(MonthIdx,'Jan'!AM203,'Feb'!AM203,'Mar'!AM203,'Apr'!AM203,'May'!AM203,'Jun'!AM203,'Jul'!AM203,'Aug'!AM203,'Sep'!AM203,'Oct'!AM203,'Nov'!AM203,'Dec'!AM203))</f>
        <v/>
      </c>
    </row>
    <row r="57">
      <c r="A57" s="53">
        <f>IF(Roster!$B$51="","",Roster!$B$51)</f>
        <v/>
      </c>
      <c r="B57" s="54">
        <f>IF(Roster!$C$51="","",Roster!$C$51)</f>
        <v/>
      </c>
      <c r="C57" s="55">
        <f>IF(Roster!$C$51="","",Roster!$F$51&amp;"")</f>
        <v/>
      </c>
      <c r="D57" s="56">
        <f>IF(Roster!$C$51="","",Roster!$G$51&amp;"")</f>
        <v/>
      </c>
      <c r="E57" s="57">
        <f>IF($B57="","",CHOOSE(MonthIdx,'Jan'!AI207,'Feb'!AI207,'Mar'!AI207,'Apr'!AI207,'May'!AI207,'Jun'!AI207,'Jul'!AI207,'Aug'!AI207,'Sep'!AI207,'Oct'!AI207,'Nov'!AI207,'Dec'!AI207))</f>
        <v/>
      </c>
      <c r="F57" s="58">
        <f>IF($B57="","",CHOOSE(MonthIdx,'Jan'!AJ207,'Feb'!AJ207,'Mar'!AJ207,'Apr'!AJ207,'May'!AJ207,'Jun'!AJ207,'Jul'!AJ207,'Aug'!AJ207,'Sep'!AJ207,'Oct'!AJ207,'Nov'!AJ207,'Dec'!AJ207))</f>
        <v/>
      </c>
      <c r="G57" s="57">
        <f>IF($B57="","",CHOOSE(MonthIdx,'Jan'!AK207,'Feb'!AK207,'Mar'!AK207,'Apr'!AK207,'May'!AK207,'Jun'!AK207,'Jul'!AK207,'Aug'!AK207,'Sep'!AK207,'Oct'!AK207,'Nov'!AK207,'Dec'!AK207))</f>
        <v/>
      </c>
      <c r="H57" s="57">
        <f>IF($B57="","",CHOOSE(MonthIdx,'Jan'!AL207,'Feb'!AL207,'Mar'!AL207,'Apr'!AL207,'May'!AL207,'Jun'!AL207,'Jul'!AL207,'Aug'!AL207,'Sep'!AL207,'Oct'!AL207,'Nov'!AL207,'Dec'!AL207))</f>
        <v/>
      </c>
      <c r="I57" s="57">
        <f>IF($B57="","",CHOOSE(MonthIdx,'Jan'!AM207,'Feb'!AM207,'Mar'!AM207,'Apr'!AM207,'May'!AM207,'Jun'!AM207,'Jul'!AM207,'Aug'!AM207,'Sep'!AM207,'Oct'!AM207,'Nov'!AM207,'Dec'!AM207))</f>
        <v/>
      </c>
    </row>
    <row r="58">
      <c r="A58" s="53">
        <f>IF(Roster!$B$52="","",Roster!$B$52)</f>
        <v/>
      </c>
      <c r="B58" s="54">
        <f>IF(Roster!$C$52="","",Roster!$C$52)</f>
        <v/>
      </c>
      <c r="C58" s="55">
        <f>IF(Roster!$C$52="","",Roster!$F$52&amp;"")</f>
        <v/>
      </c>
      <c r="D58" s="56">
        <f>IF(Roster!$C$52="","",Roster!$G$52&amp;"")</f>
        <v/>
      </c>
      <c r="E58" s="57">
        <f>IF($B58="","",CHOOSE(MonthIdx,'Jan'!AI211,'Feb'!AI211,'Mar'!AI211,'Apr'!AI211,'May'!AI211,'Jun'!AI211,'Jul'!AI211,'Aug'!AI211,'Sep'!AI211,'Oct'!AI211,'Nov'!AI211,'Dec'!AI211))</f>
        <v/>
      </c>
      <c r="F58" s="58">
        <f>IF($B58="","",CHOOSE(MonthIdx,'Jan'!AJ211,'Feb'!AJ211,'Mar'!AJ211,'Apr'!AJ211,'May'!AJ211,'Jun'!AJ211,'Jul'!AJ211,'Aug'!AJ211,'Sep'!AJ211,'Oct'!AJ211,'Nov'!AJ211,'Dec'!AJ211))</f>
        <v/>
      </c>
      <c r="G58" s="57">
        <f>IF($B58="","",CHOOSE(MonthIdx,'Jan'!AK211,'Feb'!AK211,'Mar'!AK211,'Apr'!AK211,'May'!AK211,'Jun'!AK211,'Jul'!AK211,'Aug'!AK211,'Sep'!AK211,'Oct'!AK211,'Nov'!AK211,'Dec'!AK211))</f>
        <v/>
      </c>
      <c r="H58" s="57">
        <f>IF($B58="","",CHOOSE(MonthIdx,'Jan'!AL211,'Feb'!AL211,'Mar'!AL211,'Apr'!AL211,'May'!AL211,'Jun'!AL211,'Jul'!AL211,'Aug'!AL211,'Sep'!AL211,'Oct'!AL211,'Nov'!AL211,'Dec'!AL211))</f>
        <v/>
      </c>
      <c r="I58" s="57">
        <f>IF($B58="","",CHOOSE(MonthIdx,'Jan'!AM211,'Feb'!AM211,'Mar'!AM211,'Apr'!AM211,'May'!AM211,'Jun'!AM211,'Jul'!AM211,'Aug'!AM211,'Sep'!AM211,'Oct'!AM211,'Nov'!AM211,'Dec'!AM211))</f>
        <v/>
      </c>
    </row>
    <row r="59" hidden="1">
      <c r="A59" s="53">
        <f>IF(Roster!$B$53="","",Roster!$B$53)</f>
        <v/>
      </c>
      <c r="B59" s="54">
        <f>IF(Roster!$C$53="","",Roster!$C$53)</f>
        <v/>
      </c>
      <c r="C59" s="55">
        <f>IF(Roster!$C$53="","",Roster!$F$53&amp;"")</f>
        <v/>
      </c>
      <c r="D59" s="56">
        <f>IF(Roster!$C$53="","",Roster!$G$53&amp;"")</f>
        <v/>
      </c>
      <c r="E59" s="57">
        <f>IF($B59="","",CHOOSE(MonthIdx,'Jan'!AI215,'Feb'!AI215,'Mar'!AI215,'Apr'!AI215,'May'!AI215,'Jun'!AI215,'Jul'!AI215,'Aug'!AI215,'Sep'!AI215,'Oct'!AI215,'Nov'!AI215,'Dec'!AI215))</f>
        <v/>
      </c>
      <c r="F59" s="58">
        <f>IF($B59="","",CHOOSE(MonthIdx,'Jan'!AJ215,'Feb'!AJ215,'Mar'!AJ215,'Apr'!AJ215,'May'!AJ215,'Jun'!AJ215,'Jul'!AJ215,'Aug'!AJ215,'Sep'!AJ215,'Oct'!AJ215,'Nov'!AJ215,'Dec'!AJ215))</f>
        <v/>
      </c>
      <c r="G59" s="57">
        <f>IF($B59="","",CHOOSE(MonthIdx,'Jan'!AK215,'Feb'!AK215,'Mar'!AK215,'Apr'!AK215,'May'!AK215,'Jun'!AK215,'Jul'!AK215,'Aug'!AK215,'Sep'!AK215,'Oct'!AK215,'Nov'!AK215,'Dec'!AK215))</f>
        <v/>
      </c>
      <c r="H59" s="57">
        <f>IF($B59="","",CHOOSE(MonthIdx,'Jan'!AL215,'Feb'!AL215,'Mar'!AL215,'Apr'!AL215,'May'!AL215,'Jun'!AL215,'Jul'!AL215,'Aug'!AL215,'Sep'!AL215,'Oct'!AL215,'Nov'!AL215,'Dec'!AL215))</f>
        <v/>
      </c>
      <c r="I59" s="57">
        <f>IF($B59="","",CHOOSE(MonthIdx,'Jan'!AM215,'Feb'!AM215,'Mar'!AM215,'Apr'!AM215,'May'!AM215,'Jun'!AM215,'Jul'!AM215,'Aug'!AM215,'Sep'!AM215,'Oct'!AM215,'Nov'!AM215,'Dec'!AM215))</f>
        <v/>
      </c>
    </row>
    <row r="60" hidden="1">
      <c r="A60" s="53">
        <f>IF(Roster!$B$54="","",Roster!$B$54)</f>
        <v/>
      </c>
      <c r="B60" s="54">
        <f>IF(Roster!$C$54="","",Roster!$C$54)</f>
        <v/>
      </c>
      <c r="C60" s="55">
        <f>IF(Roster!$C$54="","",Roster!$F$54&amp;"")</f>
        <v/>
      </c>
      <c r="D60" s="56">
        <f>IF(Roster!$C$54="","",Roster!$G$54&amp;"")</f>
        <v/>
      </c>
      <c r="E60" s="57">
        <f>IF($B60="","",CHOOSE(MonthIdx,'Jan'!AI219,'Feb'!AI219,'Mar'!AI219,'Apr'!AI219,'May'!AI219,'Jun'!AI219,'Jul'!AI219,'Aug'!AI219,'Sep'!AI219,'Oct'!AI219,'Nov'!AI219,'Dec'!AI219))</f>
        <v/>
      </c>
      <c r="F60" s="58">
        <f>IF($B60="","",CHOOSE(MonthIdx,'Jan'!AJ219,'Feb'!AJ219,'Mar'!AJ219,'Apr'!AJ219,'May'!AJ219,'Jun'!AJ219,'Jul'!AJ219,'Aug'!AJ219,'Sep'!AJ219,'Oct'!AJ219,'Nov'!AJ219,'Dec'!AJ219))</f>
        <v/>
      </c>
      <c r="G60" s="57">
        <f>IF($B60="","",CHOOSE(MonthIdx,'Jan'!AK219,'Feb'!AK219,'Mar'!AK219,'Apr'!AK219,'May'!AK219,'Jun'!AK219,'Jul'!AK219,'Aug'!AK219,'Sep'!AK219,'Oct'!AK219,'Nov'!AK219,'Dec'!AK219))</f>
        <v/>
      </c>
      <c r="H60" s="57">
        <f>IF($B60="","",CHOOSE(MonthIdx,'Jan'!AL219,'Feb'!AL219,'Mar'!AL219,'Apr'!AL219,'May'!AL219,'Jun'!AL219,'Jul'!AL219,'Aug'!AL219,'Sep'!AL219,'Oct'!AL219,'Nov'!AL219,'Dec'!AL219))</f>
        <v/>
      </c>
      <c r="I60" s="57">
        <f>IF($B60="","",CHOOSE(MonthIdx,'Jan'!AM219,'Feb'!AM219,'Mar'!AM219,'Apr'!AM219,'May'!AM219,'Jun'!AM219,'Jul'!AM219,'Aug'!AM219,'Sep'!AM219,'Oct'!AM219,'Nov'!AM219,'Dec'!AM219))</f>
        <v/>
      </c>
    </row>
    <row r="61" hidden="1">
      <c r="A61" s="53">
        <f>IF(Roster!$B$55="","",Roster!$B$55)</f>
        <v/>
      </c>
      <c r="B61" s="54">
        <f>IF(Roster!$C$55="","",Roster!$C$55)</f>
        <v/>
      </c>
      <c r="C61" s="55">
        <f>IF(Roster!$C$55="","",Roster!$F$55&amp;"")</f>
        <v/>
      </c>
      <c r="D61" s="56">
        <f>IF(Roster!$C$55="","",Roster!$G$55&amp;"")</f>
        <v/>
      </c>
      <c r="E61" s="57">
        <f>IF($B61="","",CHOOSE(MonthIdx,'Jan'!AI223,'Feb'!AI223,'Mar'!AI223,'Apr'!AI223,'May'!AI223,'Jun'!AI223,'Jul'!AI223,'Aug'!AI223,'Sep'!AI223,'Oct'!AI223,'Nov'!AI223,'Dec'!AI223))</f>
        <v/>
      </c>
      <c r="F61" s="58">
        <f>IF($B61="","",CHOOSE(MonthIdx,'Jan'!AJ223,'Feb'!AJ223,'Mar'!AJ223,'Apr'!AJ223,'May'!AJ223,'Jun'!AJ223,'Jul'!AJ223,'Aug'!AJ223,'Sep'!AJ223,'Oct'!AJ223,'Nov'!AJ223,'Dec'!AJ223))</f>
        <v/>
      </c>
      <c r="G61" s="57">
        <f>IF($B61="","",CHOOSE(MonthIdx,'Jan'!AK223,'Feb'!AK223,'Mar'!AK223,'Apr'!AK223,'May'!AK223,'Jun'!AK223,'Jul'!AK223,'Aug'!AK223,'Sep'!AK223,'Oct'!AK223,'Nov'!AK223,'Dec'!AK223))</f>
        <v/>
      </c>
      <c r="H61" s="57">
        <f>IF($B61="","",CHOOSE(MonthIdx,'Jan'!AL223,'Feb'!AL223,'Mar'!AL223,'Apr'!AL223,'May'!AL223,'Jun'!AL223,'Jul'!AL223,'Aug'!AL223,'Sep'!AL223,'Oct'!AL223,'Nov'!AL223,'Dec'!AL223))</f>
        <v/>
      </c>
      <c r="I61" s="57">
        <f>IF($B61="","",CHOOSE(MonthIdx,'Jan'!AM223,'Feb'!AM223,'Mar'!AM223,'Apr'!AM223,'May'!AM223,'Jun'!AM223,'Jul'!AM223,'Aug'!AM223,'Sep'!AM223,'Oct'!AM223,'Nov'!AM223,'Dec'!AM223))</f>
        <v/>
      </c>
    </row>
    <row r="62" hidden="1">
      <c r="A62" s="53">
        <f>IF(Roster!$B$56="","",Roster!$B$56)</f>
        <v/>
      </c>
      <c r="B62" s="54">
        <f>IF(Roster!$C$56="","",Roster!$C$56)</f>
        <v/>
      </c>
      <c r="C62" s="55">
        <f>IF(Roster!$C$56="","",Roster!$F$56&amp;"")</f>
        <v/>
      </c>
      <c r="D62" s="56">
        <f>IF(Roster!$C$56="","",Roster!$G$56&amp;"")</f>
        <v/>
      </c>
      <c r="E62" s="57">
        <f>IF($B62="","",CHOOSE(MonthIdx,'Jan'!AI227,'Feb'!AI227,'Mar'!AI227,'Apr'!AI227,'May'!AI227,'Jun'!AI227,'Jul'!AI227,'Aug'!AI227,'Sep'!AI227,'Oct'!AI227,'Nov'!AI227,'Dec'!AI227))</f>
        <v/>
      </c>
      <c r="F62" s="58">
        <f>IF($B62="","",CHOOSE(MonthIdx,'Jan'!AJ227,'Feb'!AJ227,'Mar'!AJ227,'Apr'!AJ227,'May'!AJ227,'Jun'!AJ227,'Jul'!AJ227,'Aug'!AJ227,'Sep'!AJ227,'Oct'!AJ227,'Nov'!AJ227,'Dec'!AJ227))</f>
        <v/>
      </c>
      <c r="G62" s="57">
        <f>IF($B62="","",CHOOSE(MonthIdx,'Jan'!AK227,'Feb'!AK227,'Mar'!AK227,'Apr'!AK227,'May'!AK227,'Jun'!AK227,'Jul'!AK227,'Aug'!AK227,'Sep'!AK227,'Oct'!AK227,'Nov'!AK227,'Dec'!AK227))</f>
        <v/>
      </c>
      <c r="H62" s="57">
        <f>IF($B62="","",CHOOSE(MonthIdx,'Jan'!AL227,'Feb'!AL227,'Mar'!AL227,'Apr'!AL227,'May'!AL227,'Jun'!AL227,'Jul'!AL227,'Aug'!AL227,'Sep'!AL227,'Oct'!AL227,'Nov'!AL227,'Dec'!AL227))</f>
        <v/>
      </c>
      <c r="I62" s="57">
        <f>IF($B62="","",CHOOSE(MonthIdx,'Jan'!AM227,'Feb'!AM227,'Mar'!AM227,'Apr'!AM227,'May'!AM227,'Jun'!AM227,'Jul'!AM227,'Aug'!AM227,'Sep'!AM227,'Oct'!AM227,'Nov'!AM227,'Dec'!AM227))</f>
        <v/>
      </c>
    </row>
    <row r="63" hidden="1">
      <c r="A63" s="53">
        <f>IF(Roster!$B$57="","",Roster!$B$57)</f>
        <v/>
      </c>
      <c r="B63" s="54">
        <f>IF(Roster!$C$57="","",Roster!$C$57)</f>
        <v/>
      </c>
      <c r="C63" s="55">
        <f>IF(Roster!$C$57="","",Roster!$F$57&amp;"")</f>
        <v/>
      </c>
      <c r="D63" s="56">
        <f>IF(Roster!$C$57="","",Roster!$G$57&amp;"")</f>
        <v/>
      </c>
      <c r="E63" s="57">
        <f>IF($B63="","",CHOOSE(MonthIdx,'Jan'!AI231,'Feb'!AI231,'Mar'!AI231,'Apr'!AI231,'May'!AI231,'Jun'!AI231,'Jul'!AI231,'Aug'!AI231,'Sep'!AI231,'Oct'!AI231,'Nov'!AI231,'Dec'!AI231))</f>
        <v/>
      </c>
      <c r="F63" s="58">
        <f>IF($B63="","",CHOOSE(MonthIdx,'Jan'!AJ231,'Feb'!AJ231,'Mar'!AJ231,'Apr'!AJ231,'May'!AJ231,'Jun'!AJ231,'Jul'!AJ231,'Aug'!AJ231,'Sep'!AJ231,'Oct'!AJ231,'Nov'!AJ231,'Dec'!AJ231))</f>
        <v/>
      </c>
      <c r="G63" s="57">
        <f>IF($B63="","",CHOOSE(MonthIdx,'Jan'!AK231,'Feb'!AK231,'Mar'!AK231,'Apr'!AK231,'May'!AK231,'Jun'!AK231,'Jul'!AK231,'Aug'!AK231,'Sep'!AK231,'Oct'!AK231,'Nov'!AK231,'Dec'!AK231))</f>
        <v/>
      </c>
      <c r="H63" s="57">
        <f>IF($B63="","",CHOOSE(MonthIdx,'Jan'!AL231,'Feb'!AL231,'Mar'!AL231,'Apr'!AL231,'May'!AL231,'Jun'!AL231,'Jul'!AL231,'Aug'!AL231,'Sep'!AL231,'Oct'!AL231,'Nov'!AL231,'Dec'!AL231))</f>
        <v/>
      </c>
      <c r="I63" s="57">
        <f>IF($B63="","",CHOOSE(MonthIdx,'Jan'!AM231,'Feb'!AM231,'Mar'!AM231,'Apr'!AM231,'May'!AM231,'Jun'!AM231,'Jul'!AM231,'Aug'!AM231,'Sep'!AM231,'Oct'!AM231,'Nov'!AM231,'Dec'!AM231))</f>
        <v/>
      </c>
    </row>
    <row r="64" hidden="1">
      <c r="A64" s="53">
        <f>IF(Roster!$B$58="","",Roster!$B$58)</f>
        <v/>
      </c>
      <c r="B64" s="54">
        <f>IF(Roster!$C$58="","",Roster!$C$58)</f>
        <v/>
      </c>
      <c r="C64" s="55">
        <f>IF(Roster!$C$58="","",Roster!$F$58&amp;"")</f>
        <v/>
      </c>
      <c r="D64" s="56">
        <f>IF(Roster!$C$58="","",Roster!$G$58&amp;"")</f>
        <v/>
      </c>
      <c r="E64" s="57">
        <f>IF($B64="","",CHOOSE(MonthIdx,'Jan'!AI235,'Feb'!AI235,'Mar'!AI235,'Apr'!AI235,'May'!AI235,'Jun'!AI235,'Jul'!AI235,'Aug'!AI235,'Sep'!AI235,'Oct'!AI235,'Nov'!AI235,'Dec'!AI235))</f>
        <v/>
      </c>
      <c r="F64" s="58">
        <f>IF($B64="","",CHOOSE(MonthIdx,'Jan'!AJ235,'Feb'!AJ235,'Mar'!AJ235,'Apr'!AJ235,'May'!AJ235,'Jun'!AJ235,'Jul'!AJ235,'Aug'!AJ235,'Sep'!AJ235,'Oct'!AJ235,'Nov'!AJ235,'Dec'!AJ235))</f>
        <v/>
      </c>
      <c r="G64" s="57">
        <f>IF($B64="","",CHOOSE(MonthIdx,'Jan'!AK235,'Feb'!AK235,'Mar'!AK235,'Apr'!AK235,'May'!AK235,'Jun'!AK235,'Jul'!AK235,'Aug'!AK235,'Sep'!AK235,'Oct'!AK235,'Nov'!AK235,'Dec'!AK235))</f>
        <v/>
      </c>
      <c r="H64" s="57">
        <f>IF($B64="","",CHOOSE(MonthIdx,'Jan'!AL235,'Feb'!AL235,'Mar'!AL235,'Apr'!AL235,'May'!AL235,'Jun'!AL235,'Jul'!AL235,'Aug'!AL235,'Sep'!AL235,'Oct'!AL235,'Nov'!AL235,'Dec'!AL235))</f>
        <v/>
      </c>
      <c r="I64" s="57">
        <f>IF($B64="","",CHOOSE(MonthIdx,'Jan'!AM235,'Feb'!AM235,'Mar'!AM235,'Apr'!AM235,'May'!AM235,'Jun'!AM235,'Jul'!AM235,'Aug'!AM235,'Sep'!AM235,'Oct'!AM235,'Nov'!AM235,'Dec'!AM235))</f>
        <v/>
      </c>
    </row>
    <row r="65" hidden="1">
      <c r="A65" s="53">
        <f>IF(Roster!$B$59="","",Roster!$B$59)</f>
        <v/>
      </c>
      <c r="B65" s="54">
        <f>IF(Roster!$C$59="","",Roster!$C$59)</f>
        <v/>
      </c>
      <c r="C65" s="55">
        <f>IF(Roster!$C$59="","",Roster!$F$59&amp;"")</f>
        <v/>
      </c>
      <c r="D65" s="56">
        <f>IF(Roster!$C$59="","",Roster!$G$59&amp;"")</f>
        <v/>
      </c>
      <c r="E65" s="57">
        <f>IF($B65="","",CHOOSE(MonthIdx,'Jan'!AI239,'Feb'!AI239,'Mar'!AI239,'Apr'!AI239,'May'!AI239,'Jun'!AI239,'Jul'!AI239,'Aug'!AI239,'Sep'!AI239,'Oct'!AI239,'Nov'!AI239,'Dec'!AI239))</f>
        <v/>
      </c>
      <c r="F65" s="58">
        <f>IF($B65="","",CHOOSE(MonthIdx,'Jan'!AJ239,'Feb'!AJ239,'Mar'!AJ239,'Apr'!AJ239,'May'!AJ239,'Jun'!AJ239,'Jul'!AJ239,'Aug'!AJ239,'Sep'!AJ239,'Oct'!AJ239,'Nov'!AJ239,'Dec'!AJ239))</f>
        <v/>
      </c>
      <c r="G65" s="57">
        <f>IF($B65="","",CHOOSE(MonthIdx,'Jan'!AK239,'Feb'!AK239,'Mar'!AK239,'Apr'!AK239,'May'!AK239,'Jun'!AK239,'Jul'!AK239,'Aug'!AK239,'Sep'!AK239,'Oct'!AK239,'Nov'!AK239,'Dec'!AK239))</f>
        <v/>
      </c>
      <c r="H65" s="57">
        <f>IF($B65="","",CHOOSE(MonthIdx,'Jan'!AL239,'Feb'!AL239,'Mar'!AL239,'Apr'!AL239,'May'!AL239,'Jun'!AL239,'Jul'!AL239,'Aug'!AL239,'Sep'!AL239,'Oct'!AL239,'Nov'!AL239,'Dec'!AL239))</f>
        <v/>
      </c>
      <c r="I65" s="57">
        <f>IF($B65="","",CHOOSE(MonthIdx,'Jan'!AM239,'Feb'!AM239,'Mar'!AM239,'Apr'!AM239,'May'!AM239,'Jun'!AM239,'Jul'!AM239,'Aug'!AM239,'Sep'!AM239,'Oct'!AM239,'Nov'!AM239,'Dec'!AM239))</f>
        <v/>
      </c>
    </row>
    <row r="66" hidden="1">
      <c r="A66" s="53">
        <f>IF(Roster!$B$60="","",Roster!$B$60)</f>
        <v/>
      </c>
      <c r="B66" s="54">
        <f>IF(Roster!$C$60="","",Roster!$C$60)</f>
        <v/>
      </c>
      <c r="C66" s="55">
        <f>IF(Roster!$C$60="","",Roster!$F$60&amp;"")</f>
        <v/>
      </c>
      <c r="D66" s="56">
        <f>IF(Roster!$C$60="","",Roster!$G$60&amp;"")</f>
        <v/>
      </c>
      <c r="E66" s="57">
        <f>IF($B66="","",CHOOSE(MonthIdx,'Jan'!AI243,'Feb'!AI243,'Mar'!AI243,'Apr'!AI243,'May'!AI243,'Jun'!AI243,'Jul'!AI243,'Aug'!AI243,'Sep'!AI243,'Oct'!AI243,'Nov'!AI243,'Dec'!AI243))</f>
        <v/>
      </c>
      <c r="F66" s="58">
        <f>IF($B66="","",CHOOSE(MonthIdx,'Jan'!AJ243,'Feb'!AJ243,'Mar'!AJ243,'Apr'!AJ243,'May'!AJ243,'Jun'!AJ243,'Jul'!AJ243,'Aug'!AJ243,'Sep'!AJ243,'Oct'!AJ243,'Nov'!AJ243,'Dec'!AJ243))</f>
        <v/>
      </c>
      <c r="G66" s="57">
        <f>IF($B66="","",CHOOSE(MonthIdx,'Jan'!AK243,'Feb'!AK243,'Mar'!AK243,'Apr'!AK243,'May'!AK243,'Jun'!AK243,'Jul'!AK243,'Aug'!AK243,'Sep'!AK243,'Oct'!AK243,'Nov'!AK243,'Dec'!AK243))</f>
        <v/>
      </c>
      <c r="H66" s="57">
        <f>IF($B66="","",CHOOSE(MonthIdx,'Jan'!AL243,'Feb'!AL243,'Mar'!AL243,'Apr'!AL243,'May'!AL243,'Jun'!AL243,'Jul'!AL243,'Aug'!AL243,'Sep'!AL243,'Oct'!AL243,'Nov'!AL243,'Dec'!AL243))</f>
        <v/>
      </c>
      <c r="I66" s="57">
        <f>IF($B66="","",CHOOSE(MonthIdx,'Jan'!AM243,'Feb'!AM243,'Mar'!AM243,'Apr'!AM243,'May'!AM243,'Jun'!AM243,'Jul'!AM243,'Aug'!AM243,'Sep'!AM243,'Oct'!AM243,'Nov'!AM243,'Dec'!AM243))</f>
        <v/>
      </c>
    </row>
    <row r="67" hidden="1">
      <c r="A67" s="53">
        <f>IF(Roster!$B$61="","",Roster!$B$61)</f>
        <v/>
      </c>
      <c r="B67" s="54">
        <f>IF(Roster!$C$61="","",Roster!$C$61)</f>
        <v/>
      </c>
      <c r="C67" s="55">
        <f>IF(Roster!$C$61="","",Roster!$F$61&amp;"")</f>
        <v/>
      </c>
      <c r="D67" s="56">
        <f>IF(Roster!$C$61="","",Roster!$G$61&amp;"")</f>
        <v/>
      </c>
      <c r="E67" s="57">
        <f>IF($B67="","",CHOOSE(MonthIdx,'Jan'!AI247,'Feb'!AI247,'Mar'!AI247,'Apr'!AI247,'May'!AI247,'Jun'!AI247,'Jul'!AI247,'Aug'!AI247,'Sep'!AI247,'Oct'!AI247,'Nov'!AI247,'Dec'!AI247))</f>
        <v/>
      </c>
      <c r="F67" s="58">
        <f>IF($B67="","",CHOOSE(MonthIdx,'Jan'!AJ247,'Feb'!AJ247,'Mar'!AJ247,'Apr'!AJ247,'May'!AJ247,'Jun'!AJ247,'Jul'!AJ247,'Aug'!AJ247,'Sep'!AJ247,'Oct'!AJ247,'Nov'!AJ247,'Dec'!AJ247))</f>
        <v/>
      </c>
      <c r="G67" s="57">
        <f>IF($B67="","",CHOOSE(MonthIdx,'Jan'!AK247,'Feb'!AK247,'Mar'!AK247,'Apr'!AK247,'May'!AK247,'Jun'!AK247,'Jul'!AK247,'Aug'!AK247,'Sep'!AK247,'Oct'!AK247,'Nov'!AK247,'Dec'!AK247))</f>
        <v/>
      </c>
      <c r="H67" s="57">
        <f>IF($B67="","",CHOOSE(MonthIdx,'Jan'!AL247,'Feb'!AL247,'Mar'!AL247,'Apr'!AL247,'May'!AL247,'Jun'!AL247,'Jul'!AL247,'Aug'!AL247,'Sep'!AL247,'Oct'!AL247,'Nov'!AL247,'Dec'!AL247))</f>
        <v/>
      </c>
      <c r="I67" s="57">
        <f>IF($B67="","",CHOOSE(MonthIdx,'Jan'!AM247,'Feb'!AM247,'Mar'!AM247,'Apr'!AM247,'May'!AM247,'Jun'!AM247,'Jul'!AM247,'Aug'!AM247,'Sep'!AM247,'Oct'!AM247,'Nov'!AM247,'Dec'!AM247))</f>
        <v/>
      </c>
    </row>
    <row r="68" hidden="1">
      <c r="A68" s="53">
        <f>IF(Roster!$B$62="","",Roster!$B$62)</f>
        <v/>
      </c>
      <c r="B68" s="54">
        <f>IF(Roster!$C$62="","",Roster!$C$62)</f>
        <v/>
      </c>
      <c r="C68" s="55">
        <f>IF(Roster!$C$62="","",Roster!$F$62&amp;"")</f>
        <v/>
      </c>
      <c r="D68" s="56">
        <f>IF(Roster!$C$62="","",Roster!$G$62&amp;"")</f>
        <v/>
      </c>
      <c r="E68" s="57">
        <f>IF($B68="","",CHOOSE(MonthIdx,'Jan'!AI251,'Feb'!AI251,'Mar'!AI251,'Apr'!AI251,'May'!AI251,'Jun'!AI251,'Jul'!AI251,'Aug'!AI251,'Sep'!AI251,'Oct'!AI251,'Nov'!AI251,'Dec'!AI251))</f>
        <v/>
      </c>
      <c r="F68" s="58">
        <f>IF($B68="","",CHOOSE(MonthIdx,'Jan'!AJ251,'Feb'!AJ251,'Mar'!AJ251,'Apr'!AJ251,'May'!AJ251,'Jun'!AJ251,'Jul'!AJ251,'Aug'!AJ251,'Sep'!AJ251,'Oct'!AJ251,'Nov'!AJ251,'Dec'!AJ251))</f>
        <v/>
      </c>
      <c r="G68" s="57">
        <f>IF($B68="","",CHOOSE(MonthIdx,'Jan'!AK251,'Feb'!AK251,'Mar'!AK251,'Apr'!AK251,'May'!AK251,'Jun'!AK251,'Jul'!AK251,'Aug'!AK251,'Sep'!AK251,'Oct'!AK251,'Nov'!AK251,'Dec'!AK251))</f>
        <v/>
      </c>
      <c r="H68" s="57">
        <f>IF($B68="","",CHOOSE(MonthIdx,'Jan'!AL251,'Feb'!AL251,'Mar'!AL251,'Apr'!AL251,'May'!AL251,'Jun'!AL251,'Jul'!AL251,'Aug'!AL251,'Sep'!AL251,'Oct'!AL251,'Nov'!AL251,'Dec'!AL251))</f>
        <v/>
      </c>
      <c r="I68" s="57">
        <f>IF($B68="","",CHOOSE(MonthIdx,'Jan'!AM251,'Feb'!AM251,'Mar'!AM251,'Apr'!AM251,'May'!AM251,'Jun'!AM251,'Jul'!AM251,'Aug'!AM251,'Sep'!AM251,'Oct'!AM251,'Nov'!AM251,'Dec'!AM251))</f>
        <v/>
      </c>
    </row>
    <row r="69" hidden="1">
      <c r="A69" s="53">
        <f>IF(Roster!$B$63="","",Roster!$B$63)</f>
        <v/>
      </c>
      <c r="B69" s="54">
        <f>IF(Roster!$C$63="","",Roster!$C$63)</f>
        <v/>
      </c>
      <c r="C69" s="55">
        <f>IF(Roster!$C$63="","",Roster!$F$63&amp;"")</f>
        <v/>
      </c>
      <c r="D69" s="56">
        <f>IF(Roster!$C$63="","",Roster!$G$63&amp;"")</f>
        <v/>
      </c>
      <c r="E69" s="57">
        <f>IF($B69="","",CHOOSE(MonthIdx,'Jan'!AI255,'Feb'!AI255,'Mar'!AI255,'Apr'!AI255,'May'!AI255,'Jun'!AI255,'Jul'!AI255,'Aug'!AI255,'Sep'!AI255,'Oct'!AI255,'Nov'!AI255,'Dec'!AI255))</f>
        <v/>
      </c>
      <c r="F69" s="58">
        <f>IF($B69="","",CHOOSE(MonthIdx,'Jan'!AJ255,'Feb'!AJ255,'Mar'!AJ255,'Apr'!AJ255,'May'!AJ255,'Jun'!AJ255,'Jul'!AJ255,'Aug'!AJ255,'Sep'!AJ255,'Oct'!AJ255,'Nov'!AJ255,'Dec'!AJ255))</f>
        <v/>
      </c>
      <c r="G69" s="57">
        <f>IF($B69="","",CHOOSE(MonthIdx,'Jan'!AK255,'Feb'!AK255,'Mar'!AK255,'Apr'!AK255,'May'!AK255,'Jun'!AK255,'Jul'!AK255,'Aug'!AK255,'Sep'!AK255,'Oct'!AK255,'Nov'!AK255,'Dec'!AK255))</f>
        <v/>
      </c>
      <c r="H69" s="57">
        <f>IF($B69="","",CHOOSE(MonthIdx,'Jan'!AL255,'Feb'!AL255,'Mar'!AL255,'Apr'!AL255,'May'!AL255,'Jun'!AL255,'Jul'!AL255,'Aug'!AL255,'Sep'!AL255,'Oct'!AL255,'Nov'!AL255,'Dec'!AL255))</f>
        <v/>
      </c>
      <c r="I69" s="57">
        <f>IF($B69="","",CHOOSE(MonthIdx,'Jan'!AM255,'Feb'!AM255,'Mar'!AM255,'Apr'!AM255,'May'!AM255,'Jun'!AM255,'Jul'!AM255,'Aug'!AM255,'Sep'!AM255,'Oct'!AM255,'Nov'!AM255,'Dec'!AM255))</f>
        <v/>
      </c>
    </row>
    <row r="70" hidden="1">
      <c r="A70" s="53">
        <f>IF(Roster!$B$64="","",Roster!$B$64)</f>
        <v/>
      </c>
      <c r="B70" s="54">
        <f>IF(Roster!$C$64="","",Roster!$C$64)</f>
        <v/>
      </c>
      <c r="C70" s="55">
        <f>IF(Roster!$C$64="","",Roster!$F$64&amp;"")</f>
        <v/>
      </c>
      <c r="D70" s="56">
        <f>IF(Roster!$C$64="","",Roster!$G$64&amp;"")</f>
        <v/>
      </c>
      <c r="E70" s="57">
        <f>IF($B70="","",CHOOSE(MonthIdx,'Jan'!AI259,'Feb'!AI259,'Mar'!AI259,'Apr'!AI259,'May'!AI259,'Jun'!AI259,'Jul'!AI259,'Aug'!AI259,'Sep'!AI259,'Oct'!AI259,'Nov'!AI259,'Dec'!AI259))</f>
        <v/>
      </c>
      <c r="F70" s="58">
        <f>IF($B70="","",CHOOSE(MonthIdx,'Jan'!AJ259,'Feb'!AJ259,'Mar'!AJ259,'Apr'!AJ259,'May'!AJ259,'Jun'!AJ259,'Jul'!AJ259,'Aug'!AJ259,'Sep'!AJ259,'Oct'!AJ259,'Nov'!AJ259,'Dec'!AJ259))</f>
        <v/>
      </c>
      <c r="G70" s="57">
        <f>IF($B70="","",CHOOSE(MonthIdx,'Jan'!AK259,'Feb'!AK259,'Mar'!AK259,'Apr'!AK259,'May'!AK259,'Jun'!AK259,'Jul'!AK259,'Aug'!AK259,'Sep'!AK259,'Oct'!AK259,'Nov'!AK259,'Dec'!AK259))</f>
        <v/>
      </c>
      <c r="H70" s="57">
        <f>IF($B70="","",CHOOSE(MonthIdx,'Jan'!AL259,'Feb'!AL259,'Mar'!AL259,'Apr'!AL259,'May'!AL259,'Jun'!AL259,'Jul'!AL259,'Aug'!AL259,'Sep'!AL259,'Oct'!AL259,'Nov'!AL259,'Dec'!AL259))</f>
        <v/>
      </c>
      <c r="I70" s="57">
        <f>IF($B70="","",CHOOSE(MonthIdx,'Jan'!AM259,'Feb'!AM259,'Mar'!AM259,'Apr'!AM259,'May'!AM259,'Jun'!AM259,'Jul'!AM259,'Aug'!AM259,'Sep'!AM259,'Oct'!AM259,'Nov'!AM259,'Dec'!AM259))</f>
        <v/>
      </c>
    </row>
    <row r="71" hidden="1">
      <c r="A71" s="53">
        <f>IF(Roster!$B$65="","",Roster!$B$65)</f>
        <v/>
      </c>
      <c r="B71" s="54">
        <f>IF(Roster!$C$65="","",Roster!$C$65)</f>
        <v/>
      </c>
      <c r="C71" s="55">
        <f>IF(Roster!$C$65="","",Roster!$F$65&amp;"")</f>
        <v/>
      </c>
      <c r="D71" s="56">
        <f>IF(Roster!$C$65="","",Roster!$G$65&amp;"")</f>
        <v/>
      </c>
      <c r="E71" s="57">
        <f>IF($B71="","",CHOOSE(MonthIdx,'Jan'!AI263,'Feb'!AI263,'Mar'!AI263,'Apr'!AI263,'May'!AI263,'Jun'!AI263,'Jul'!AI263,'Aug'!AI263,'Sep'!AI263,'Oct'!AI263,'Nov'!AI263,'Dec'!AI263))</f>
        <v/>
      </c>
      <c r="F71" s="58">
        <f>IF($B71="","",CHOOSE(MonthIdx,'Jan'!AJ263,'Feb'!AJ263,'Mar'!AJ263,'Apr'!AJ263,'May'!AJ263,'Jun'!AJ263,'Jul'!AJ263,'Aug'!AJ263,'Sep'!AJ263,'Oct'!AJ263,'Nov'!AJ263,'Dec'!AJ263))</f>
        <v/>
      </c>
      <c r="G71" s="57">
        <f>IF($B71="","",CHOOSE(MonthIdx,'Jan'!AK263,'Feb'!AK263,'Mar'!AK263,'Apr'!AK263,'May'!AK263,'Jun'!AK263,'Jul'!AK263,'Aug'!AK263,'Sep'!AK263,'Oct'!AK263,'Nov'!AK263,'Dec'!AK263))</f>
        <v/>
      </c>
      <c r="H71" s="57">
        <f>IF($B71="","",CHOOSE(MonthIdx,'Jan'!AL263,'Feb'!AL263,'Mar'!AL263,'Apr'!AL263,'May'!AL263,'Jun'!AL263,'Jul'!AL263,'Aug'!AL263,'Sep'!AL263,'Oct'!AL263,'Nov'!AL263,'Dec'!AL263))</f>
        <v/>
      </c>
      <c r="I71" s="57">
        <f>IF($B71="","",CHOOSE(MonthIdx,'Jan'!AM263,'Feb'!AM263,'Mar'!AM263,'Apr'!AM263,'May'!AM263,'Jun'!AM263,'Jul'!AM263,'Aug'!AM263,'Sep'!AM263,'Oct'!AM263,'Nov'!AM263,'Dec'!AM263))</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5" customWidth="1" min="7" max="7"/>
    <col width="3" customWidth="1" min="8" max="8"/>
  </cols>
  <sheetData>
    <row r="1" ht="30" customHeight="1">
      <c r="A1" s="1" t="inlineStr">
        <is>
          <t>DAILY OPS VIEW  |  SUP 2</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c r="G10" s="31" t="inlineStr">
        <is>
          <t>WD</t>
        </is>
      </c>
    </row>
    <row r="11">
      <c r="A11" s="38">
        <f>IF(Roster!$B$6="","",Roster!$B$6)</f>
        <v/>
      </c>
      <c r="B11" s="39">
        <f>IF(Roster!$C$6="","",Roster!$C$6)</f>
        <v/>
      </c>
      <c r="C11" s="40">
        <f>IF(Roster!$C$6="","",Roster!$F$6&amp;IF(OR(Roster!$G$6="SANS",Roster!$G$6="NSMEN")," | "&amp;Roster!$G$6,""))</f>
        <v/>
      </c>
      <c r="D11" s="81">
        <f>IF(OR($B11="",NOT(AND($A$5&gt;=DATE(PlanYear,1,1),$A$5&lt;=DATE(PlanYear+1,1,31)))),"",INDEX(CHOOSE(IF(YEAR($A$5)&gt;PlanYear,13,MONTH($A$5)),'Jan'!$D$27:$AH$266,'Feb'!$D$27:$AH$266,'Mar'!$D$27:$AH$266,'Apr'!$D$27:$AH$266,'May'!$D$27:$AH$266,'Jun'!$D$27:$AH$266,'Jul'!$D$27:$AH$266,'Aug'!$D$27:$AH$266,'Sep'!$D$27:$AH$266,'Oct'!$D$27:$AH$266,'Nov'!$D$27:$AH$266,'Dec'!$D$27:$AH$266,'Jan (next year)'!$D$27:$AH$266),1,DAY($A$5))&amp;"")</f>
        <v/>
      </c>
      <c r="E11" s="81">
        <f>IF(OR($B11="",NOT(AND($A$5&gt;=DATE(PlanYear,1,1),$A$5&lt;=DATE(PlanYear+1,1,31)))),"",INDEX(CHOOSE(IF(YEAR($A$5)&gt;PlanYear,13,MONTH($A$5)),'Jan'!$D$27:$AH$266,'Feb'!$D$27:$AH$266,'Mar'!$D$27:$AH$266,'Apr'!$D$27:$AH$266,'May'!$D$27:$AH$266,'Jun'!$D$27:$AH$266,'Jul'!$D$27:$AH$266,'Aug'!$D$27:$AH$266,'Sep'!$D$27:$AH$266,'Oct'!$D$27:$AH$266,'Nov'!$D$27:$AH$266,'Dec'!$D$27:$AH$266,'Jan (next year)'!$D$27:$AH$266),2,DAY($A$5))&amp;"")</f>
        <v/>
      </c>
      <c r="F11" s="81">
        <f>IF(OR($B11="",NOT(AND($A$5&gt;=DATE(PlanYear,1,1),$A$5&lt;=DATE(PlanYear+1,1,31)))),"",INDEX(CHOOSE(IF(YEAR($A$5)&gt;PlanYear,13,MONTH($A$5)),'Jan'!$D$27:$AH$266,'Feb'!$D$27:$AH$266,'Mar'!$D$27:$AH$266,'Apr'!$D$27:$AH$266,'May'!$D$27:$AH$266,'Jun'!$D$27:$AH$266,'Jul'!$D$27:$AH$266,'Aug'!$D$27:$AH$266,'Sep'!$D$27:$AH$266,'Oct'!$D$27:$AH$266,'Nov'!$D$27:$AH$266,'Dec'!$D$27:$AH$266,'Jan (next year)'!$D$27:$AH$266),3,DAY($A$5))&amp;"")</f>
        <v/>
      </c>
      <c r="G11" s="81">
        <f>IF(OR($B11="",NOT(AND($A$5&gt;=DATE(PlanYear,1,1),$A$5&lt;=DATE(PlanYear+1,1,31)))),"",INDEX(CHOOSE(IF(YEAR($A$5)&gt;PlanYear,13,MONTH($A$5)),'Jan'!$D$27:$AH$266,'Feb'!$D$27:$AH$266,'Mar'!$D$27:$AH$266,'Apr'!$D$27:$AH$266,'May'!$D$27:$AH$266,'Jun'!$D$27:$AH$266,'Jul'!$D$27:$AH$266,'Aug'!$D$27:$AH$266,'Sep'!$D$27:$AH$266,'Oct'!$D$27:$AH$266,'Nov'!$D$27:$AH$266,'Dec'!$D$27:$AH$266,'Jan (next year)'!$D$27:$AH$266),4,DAY($A$5))&amp;"")</f>
        <v/>
      </c>
    </row>
    <row r="12">
      <c r="A12" s="38">
        <f>IF(Roster!$B$7="","",Roster!$B$7)</f>
        <v/>
      </c>
      <c r="B12" s="39">
        <f>IF(Roster!$C$7="","",Roster!$C$7)</f>
        <v/>
      </c>
      <c r="C12" s="40">
        <f>IF(Roster!$C$7="","",Roster!$F$7&amp;IF(OR(Roster!$G$7="SANS",Roster!$G$7="NSMEN")," | "&amp;Roster!$G$7,""))</f>
        <v/>
      </c>
      <c r="D12" s="81">
        <f>IF(OR($B12="",NOT(AND($A$5&gt;=DATE(PlanYear,1,1),$A$5&lt;=DATE(PlanYear+1,1,31)))),"",INDEX(CHOOSE(IF(YEAR($A$5)&gt;PlanYear,13,MONTH($A$5)),'Jan'!$D$27:$AH$266,'Feb'!$D$27:$AH$266,'Mar'!$D$27:$AH$266,'Apr'!$D$27:$AH$266,'May'!$D$27:$AH$266,'Jun'!$D$27:$AH$266,'Jul'!$D$27:$AH$266,'Aug'!$D$27:$AH$266,'Sep'!$D$27:$AH$266,'Oct'!$D$27:$AH$266,'Nov'!$D$27:$AH$266,'Dec'!$D$27:$AH$266,'Jan (next year)'!$D$27:$AH$266),5,DAY($A$5))&amp;"")</f>
        <v/>
      </c>
      <c r="E12" s="81">
        <f>IF(OR($B12="",NOT(AND($A$5&gt;=DATE(PlanYear,1,1),$A$5&lt;=DATE(PlanYear+1,1,31)))),"",INDEX(CHOOSE(IF(YEAR($A$5)&gt;PlanYear,13,MONTH($A$5)),'Jan'!$D$27:$AH$266,'Feb'!$D$27:$AH$266,'Mar'!$D$27:$AH$266,'Apr'!$D$27:$AH$266,'May'!$D$27:$AH$266,'Jun'!$D$27:$AH$266,'Jul'!$D$27:$AH$266,'Aug'!$D$27:$AH$266,'Sep'!$D$27:$AH$266,'Oct'!$D$27:$AH$266,'Nov'!$D$27:$AH$266,'Dec'!$D$27:$AH$266,'Jan (next year)'!$D$27:$AH$266),6,DAY($A$5))&amp;"")</f>
        <v/>
      </c>
      <c r="F12" s="81">
        <f>IF(OR($B12="",NOT(AND($A$5&gt;=DATE(PlanYear,1,1),$A$5&lt;=DATE(PlanYear+1,1,31)))),"",INDEX(CHOOSE(IF(YEAR($A$5)&gt;PlanYear,13,MONTH($A$5)),'Jan'!$D$27:$AH$266,'Feb'!$D$27:$AH$266,'Mar'!$D$27:$AH$266,'Apr'!$D$27:$AH$266,'May'!$D$27:$AH$266,'Jun'!$D$27:$AH$266,'Jul'!$D$27:$AH$266,'Aug'!$D$27:$AH$266,'Sep'!$D$27:$AH$266,'Oct'!$D$27:$AH$266,'Nov'!$D$27:$AH$266,'Dec'!$D$27:$AH$266,'Jan (next year)'!$D$27:$AH$266),7,DAY($A$5))&amp;"")</f>
        <v/>
      </c>
      <c r="G12" s="81">
        <f>IF(OR($B12="",NOT(AND($A$5&gt;=DATE(PlanYear,1,1),$A$5&lt;=DATE(PlanYear+1,1,31)))),"",INDEX(CHOOSE(IF(YEAR($A$5)&gt;PlanYear,13,MONTH($A$5)),'Jan'!$D$27:$AH$266,'Feb'!$D$27:$AH$266,'Mar'!$D$27:$AH$266,'Apr'!$D$27:$AH$266,'May'!$D$27:$AH$266,'Jun'!$D$27:$AH$266,'Jul'!$D$27:$AH$266,'Aug'!$D$27:$AH$266,'Sep'!$D$27:$AH$266,'Oct'!$D$27:$AH$266,'Nov'!$D$27:$AH$266,'Dec'!$D$27:$AH$266,'Jan (next year)'!$D$27:$AH$266),8,DAY($A$5))&amp;"")</f>
        <v/>
      </c>
    </row>
    <row r="13">
      <c r="A13" s="38">
        <f>IF(Roster!$B$8="","",Roster!$B$8)</f>
        <v/>
      </c>
      <c r="B13" s="39">
        <f>IF(Roster!$C$8="","",Roster!$C$8)</f>
        <v/>
      </c>
      <c r="C13" s="40">
        <f>IF(Roster!$C$8="","",Roster!$F$8&amp;IF(OR(Roster!$G$8="SANS",Roster!$G$8="NSMEN")," | "&amp;Roster!$G$8,""))</f>
        <v/>
      </c>
      <c r="D13" s="81">
        <f>IF(OR($B13="",NOT(AND($A$5&gt;=DATE(PlanYear,1,1),$A$5&lt;=DATE(PlanYear+1,1,31)))),"",INDEX(CHOOSE(IF(YEAR($A$5)&gt;PlanYear,13,MONTH($A$5)),'Jan'!$D$27:$AH$266,'Feb'!$D$27:$AH$266,'Mar'!$D$27:$AH$266,'Apr'!$D$27:$AH$266,'May'!$D$27:$AH$266,'Jun'!$D$27:$AH$266,'Jul'!$D$27:$AH$266,'Aug'!$D$27:$AH$266,'Sep'!$D$27:$AH$266,'Oct'!$D$27:$AH$266,'Nov'!$D$27:$AH$266,'Dec'!$D$27:$AH$266,'Jan (next year)'!$D$27:$AH$266),9,DAY($A$5))&amp;"")</f>
        <v/>
      </c>
      <c r="E13" s="81">
        <f>IF(OR($B13="",NOT(AND($A$5&gt;=DATE(PlanYear,1,1),$A$5&lt;=DATE(PlanYear+1,1,31)))),"",INDEX(CHOOSE(IF(YEAR($A$5)&gt;PlanYear,13,MONTH($A$5)),'Jan'!$D$27:$AH$266,'Feb'!$D$27:$AH$266,'Mar'!$D$27:$AH$266,'Apr'!$D$27:$AH$266,'May'!$D$27:$AH$266,'Jun'!$D$27:$AH$266,'Jul'!$D$27:$AH$266,'Aug'!$D$27:$AH$266,'Sep'!$D$27:$AH$266,'Oct'!$D$27:$AH$266,'Nov'!$D$27:$AH$266,'Dec'!$D$27:$AH$266,'Jan (next year)'!$D$27:$AH$266),10,DAY($A$5))&amp;"")</f>
        <v/>
      </c>
      <c r="F13" s="81">
        <f>IF(OR($B13="",NOT(AND($A$5&gt;=DATE(PlanYear,1,1),$A$5&lt;=DATE(PlanYear+1,1,31)))),"",INDEX(CHOOSE(IF(YEAR($A$5)&gt;PlanYear,13,MONTH($A$5)),'Jan'!$D$27:$AH$266,'Feb'!$D$27:$AH$266,'Mar'!$D$27:$AH$266,'Apr'!$D$27:$AH$266,'May'!$D$27:$AH$266,'Jun'!$D$27:$AH$266,'Jul'!$D$27:$AH$266,'Aug'!$D$27:$AH$266,'Sep'!$D$27:$AH$266,'Oct'!$D$27:$AH$266,'Nov'!$D$27:$AH$266,'Dec'!$D$27:$AH$266,'Jan (next year)'!$D$27:$AH$266),11,DAY($A$5))&amp;"")</f>
        <v/>
      </c>
      <c r="G13" s="81">
        <f>IF(OR($B13="",NOT(AND($A$5&gt;=DATE(PlanYear,1,1),$A$5&lt;=DATE(PlanYear+1,1,31)))),"",INDEX(CHOOSE(IF(YEAR($A$5)&gt;PlanYear,13,MONTH($A$5)),'Jan'!$D$27:$AH$266,'Feb'!$D$27:$AH$266,'Mar'!$D$27:$AH$266,'Apr'!$D$27:$AH$266,'May'!$D$27:$AH$266,'Jun'!$D$27:$AH$266,'Jul'!$D$27:$AH$266,'Aug'!$D$27:$AH$266,'Sep'!$D$27:$AH$266,'Oct'!$D$27:$AH$266,'Nov'!$D$27:$AH$266,'Dec'!$D$27:$AH$266,'Jan (next year)'!$D$27:$AH$266),12,DAY($A$5))&amp;"")</f>
        <v/>
      </c>
    </row>
    <row r="14">
      <c r="A14" s="38">
        <f>IF(Roster!$B$9="","",Roster!$B$9)</f>
        <v/>
      </c>
      <c r="B14" s="39">
        <f>IF(Roster!$C$9="","",Roster!$C$9)</f>
        <v/>
      </c>
      <c r="C14" s="40">
        <f>IF(Roster!$C$9="","",Roster!$F$9&amp;IF(OR(Roster!$G$9="SANS",Roster!$G$9="NSMEN")," | "&amp;Roster!$G$9,""))</f>
        <v/>
      </c>
      <c r="D14" s="81">
        <f>IF(OR($B14="",NOT(AND($A$5&gt;=DATE(PlanYear,1,1),$A$5&lt;=DATE(PlanYear+1,1,31)))),"",INDEX(CHOOSE(IF(YEAR($A$5)&gt;PlanYear,13,MONTH($A$5)),'Jan'!$D$27:$AH$266,'Feb'!$D$27:$AH$266,'Mar'!$D$27:$AH$266,'Apr'!$D$27:$AH$266,'May'!$D$27:$AH$266,'Jun'!$D$27:$AH$266,'Jul'!$D$27:$AH$266,'Aug'!$D$27:$AH$266,'Sep'!$D$27:$AH$266,'Oct'!$D$27:$AH$266,'Nov'!$D$27:$AH$266,'Dec'!$D$27:$AH$266,'Jan (next year)'!$D$27:$AH$266),13,DAY($A$5))&amp;"")</f>
        <v/>
      </c>
      <c r="E14" s="81">
        <f>IF(OR($B14="",NOT(AND($A$5&gt;=DATE(PlanYear,1,1),$A$5&lt;=DATE(PlanYear+1,1,31)))),"",INDEX(CHOOSE(IF(YEAR($A$5)&gt;PlanYear,13,MONTH($A$5)),'Jan'!$D$27:$AH$266,'Feb'!$D$27:$AH$266,'Mar'!$D$27:$AH$266,'Apr'!$D$27:$AH$266,'May'!$D$27:$AH$266,'Jun'!$D$27:$AH$266,'Jul'!$D$27:$AH$266,'Aug'!$D$27:$AH$266,'Sep'!$D$27:$AH$266,'Oct'!$D$27:$AH$266,'Nov'!$D$27:$AH$266,'Dec'!$D$27:$AH$266,'Jan (next year)'!$D$27:$AH$266),14,DAY($A$5))&amp;"")</f>
        <v/>
      </c>
      <c r="F14" s="81">
        <f>IF(OR($B14="",NOT(AND($A$5&gt;=DATE(PlanYear,1,1),$A$5&lt;=DATE(PlanYear+1,1,31)))),"",INDEX(CHOOSE(IF(YEAR($A$5)&gt;PlanYear,13,MONTH($A$5)),'Jan'!$D$27:$AH$266,'Feb'!$D$27:$AH$266,'Mar'!$D$27:$AH$266,'Apr'!$D$27:$AH$266,'May'!$D$27:$AH$266,'Jun'!$D$27:$AH$266,'Jul'!$D$27:$AH$266,'Aug'!$D$27:$AH$266,'Sep'!$D$27:$AH$266,'Oct'!$D$27:$AH$266,'Nov'!$D$27:$AH$266,'Dec'!$D$27:$AH$266,'Jan (next year)'!$D$27:$AH$266),15,DAY($A$5))&amp;"")</f>
        <v/>
      </c>
      <c r="G14" s="81">
        <f>IF(OR($B14="",NOT(AND($A$5&gt;=DATE(PlanYear,1,1),$A$5&lt;=DATE(PlanYear+1,1,31)))),"",INDEX(CHOOSE(IF(YEAR($A$5)&gt;PlanYear,13,MONTH($A$5)),'Jan'!$D$27:$AH$266,'Feb'!$D$27:$AH$266,'Mar'!$D$27:$AH$266,'Apr'!$D$27:$AH$266,'May'!$D$27:$AH$266,'Jun'!$D$27:$AH$266,'Jul'!$D$27:$AH$266,'Aug'!$D$27:$AH$266,'Sep'!$D$27:$AH$266,'Oct'!$D$27:$AH$266,'Nov'!$D$27:$AH$266,'Dec'!$D$27:$AH$266,'Jan (next year)'!$D$27:$AH$266),16,DAY($A$5))&amp;"")</f>
        <v/>
      </c>
    </row>
    <row r="15">
      <c r="A15" s="38">
        <f>IF(Roster!$B$10="","",Roster!$B$10)</f>
        <v/>
      </c>
      <c r="B15" s="39">
        <f>IF(Roster!$C$10="","",Roster!$C$10)</f>
        <v/>
      </c>
      <c r="C15" s="40">
        <f>IF(Roster!$C$10="","",Roster!$F$10&amp;IF(OR(Roster!$G$10="SANS",Roster!$G$10="NSMEN")," | "&amp;Roster!$G$10,""))</f>
        <v/>
      </c>
      <c r="D15" s="81">
        <f>IF(OR($B15="",NOT(AND($A$5&gt;=DATE(PlanYear,1,1),$A$5&lt;=DATE(PlanYear+1,1,31)))),"",INDEX(CHOOSE(IF(YEAR($A$5)&gt;PlanYear,13,MONTH($A$5)),'Jan'!$D$27:$AH$266,'Feb'!$D$27:$AH$266,'Mar'!$D$27:$AH$266,'Apr'!$D$27:$AH$266,'May'!$D$27:$AH$266,'Jun'!$D$27:$AH$266,'Jul'!$D$27:$AH$266,'Aug'!$D$27:$AH$266,'Sep'!$D$27:$AH$266,'Oct'!$D$27:$AH$266,'Nov'!$D$27:$AH$266,'Dec'!$D$27:$AH$266,'Jan (next year)'!$D$27:$AH$266),17,DAY($A$5))&amp;"")</f>
        <v/>
      </c>
      <c r="E15" s="81">
        <f>IF(OR($B15="",NOT(AND($A$5&gt;=DATE(PlanYear,1,1),$A$5&lt;=DATE(PlanYear+1,1,31)))),"",INDEX(CHOOSE(IF(YEAR($A$5)&gt;PlanYear,13,MONTH($A$5)),'Jan'!$D$27:$AH$266,'Feb'!$D$27:$AH$266,'Mar'!$D$27:$AH$266,'Apr'!$D$27:$AH$266,'May'!$D$27:$AH$266,'Jun'!$D$27:$AH$266,'Jul'!$D$27:$AH$266,'Aug'!$D$27:$AH$266,'Sep'!$D$27:$AH$266,'Oct'!$D$27:$AH$266,'Nov'!$D$27:$AH$266,'Dec'!$D$27:$AH$266,'Jan (next year)'!$D$27:$AH$266),18,DAY($A$5))&amp;"")</f>
        <v/>
      </c>
      <c r="F15" s="81">
        <f>IF(OR($B15="",NOT(AND($A$5&gt;=DATE(PlanYear,1,1),$A$5&lt;=DATE(PlanYear+1,1,31)))),"",INDEX(CHOOSE(IF(YEAR($A$5)&gt;PlanYear,13,MONTH($A$5)),'Jan'!$D$27:$AH$266,'Feb'!$D$27:$AH$266,'Mar'!$D$27:$AH$266,'Apr'!$D$27:$AH$266,'May'!$D$27:$AH$266,'Jun'!$D$27:$AH$266,'Jul'!$D$27:$AH$266,'Aug'!$D$27:$AH$266,'Sep'!$D$27:$AH$266,'Oct'!$D$27:$AH$266,'Nov'!$D$27:$AH$266,'Dec'!$D$27:$AH$266,'Jan (next year)'!$D$27:$AH$266),19,DAY($A$5))&amp;"")</f>
        <v/>
      </c>
      <c r="G15" s="81">
        <f>IF(OR($B15="",NOT(AND($A$5&gt;=DATE(PlanYear,1,1),$A$5&lt;=DATE(PlanYear+1,1,31)))),"",INDEX(CHOOSE(IF(YEAR($A$5)&gt;PlanYear,13,MONTH($A$5)),'Jan'!$D$27:$AH$266,'Feb'!$D$27:$AH$266,'Mar'!$D$27:$AH$266,'Apr'!$D$27:$AH$266,'May'!$D$27:$AH$266,'Jun'!$D$27:$AH$266,'Jul'!$D$27:$AH$266,'Aug'!$D$27:$AH$266,'Sep'!$D$27:$AH$266,'Oct'!$D$27:$AH$266,'Nov'!$D$27:$AH$266,'Dec'!$D$27:$AH$266,'Jan (next year)'!$D$27:$AH$266),20,DAY($A$5))&amp;"")</f>
        <v/>
      </c>
    </row>
    <row r="16">
      <c r="A16" s="38">
        <f>IF(Roster!$B$11="","",Roster!$B$11)</f>
        <v/>
      </c>
      <c r="B16" s="39">
        <f>IF(Roster!$C$11="","",Roster!$C$11)</f>
        <v/>
      </c>
      <c r="C16" s="40">
        <f>IF(Roster!$C$11="","",Roster!$F$11&amp;IF(OR(Roster!$G$11="SANS",Roster!$G$11="NSMEN")," | "&amp;Roster!$G$11,""))</f>
        <v/>
      </c>
      <c r="D16" s="81">
        <f>IF(OR($B16="",NOT(AND($A$5&gt;=DATE(PlanYear,1,1),$A$5&lt;=DATE(PlanYear+1,1,31)))),"",INDEX(CHOOSE(IF(YEAR($A$5)&gt;PlanYear,13,MONTH($A$5)),'Jan'!$D$27:$AH$266,'Feb'!$D$27:$AH$266,'Mar'!$D$27:$AH$266,'Apr'!$D$27:$AH$266,'May'!$D$27:$AH$266,'Jun'!$D$27:$AH$266,'Jul'!$D$27:$AH$266,'Aug'!$D$27:$AH$266,'Sep'!$D$27:$AH$266,'Oct'!$D$27:$AH$266,'Nov'!$D$27:$AH$266,'Dec'!$D$27:$AH$266,'Jan (next year)'!$D$27:$AH$266),21,DAY($A$5))&amp;"")</f>
        <v/>
      </c>
      <c r="E16" s="81">
        <f>IF(OR($B16="",NOT(AND($A$5&gt;=DATE(PlanYear,1,1),$A$5&lt;=DATE(PlanYear+1,1,31)))),"",INDEX(CHOOSE(IF(YEAR($A$5)&gt;PlanYear,13,MONTH($A$5)),'Jan'!$D$27:$AH$266,'Feb'!$D$27:$AH$266,'Mar'!$D$27:$AH$266,'Apr'!$D$27:$AH$266,'May'!$D$27:$AH$266,'Jun'!$D$27:$AH$266,'Jul'!$D$27:$AH$266,'Aug'!$D$27:$AH$266,'Sep'!$D$27:$AH$266,'Oct'!$D$27:$AH$266,'Nov'!$D$27:$AH$266,'Dec'!$D$27:$AH$266,'Jan (next year)'!$D$27:$AH$266),22,DAY($A$5))&amp;"")</f>
        <v/>
      </c>
      <c r="F16" s="81">
        <f>IF(OR($B16="",NOT(AND($A$5&gt;=DATE(PlanYear,1,1),$A$5&lt;=DATE(PlanYear+1,1,31)))),"",INDEX(CHOOSE(IF(YEAR($A$5)&gt;PlanYear,13,MONTH($A$5)),'Jan'!$D$27:$AH$266,'Feb'!$D$27:$AH$266,'Mar'!$D$27:$AH$266,'Apr'!$D$27:$AH$266,'May'!$D$27:$AH$266,'Jun'!$D$27:$AH$266,'Jul'!$D$27:$AH$266,'Aug'!$D$27:$AH$266,'Sep'!$D$27:$AH$266,'Oct'!$D$27:$AH$266,'Nov'!$D$27:$AH$266,'Dec'!$D$27:$AH$266,'Jan (next year)'!$D$27:$AH$266),23,DAY($A$5))&amp;"")</f>
        <v/>
      </c>
      <c r="G16" s="81">
        <f>IF(OR($B16="",NOT(AND($A$5&gt;=DATE(PlanYear,1,1),$A$5&lt;=DATE(PlanYear+1,1,31)))),"",INDEX(CHOOSE(IF(YEAR($A$5)&gt;PlanYear,13,MONTH($A$5)),'Jan'!$D$27:$AH$266,'Feb'!$D$27:$AH$266,'Mar'!$D$27:$AH$266,'Apr'!$D$27:$AH$266,'May'!$D$27:$AH$266,'Jun'!$D$27:$AH$266,'Jul'!$D$27:$AH$266,'Aug'!$D$27:$AH$266,'Sep'!$D$27:$AH$266,'Oct'!$D$27:$AH$266,'Nov'!$D$27:$AH$266,'Dec'!$D$27:$AH$266,'Jan (next year)'!$D$27:$AH$266),24,DAY($A$5))&amp;"")</f>
        <v/>
      </c>
    </row>
    <row r="17" hidden="1">
      <c r="A17" s="38">
        <f>IF(Roster!$B$12="","",Roster!$B$12)</f>
        <v/>
      </c>
      <c r="B17" s="39">
        <f>IF(Roster!$C$12="","",Roster!$C$12)</f>
        <v/>
      </c>
      <c r="C17" s="40">
        <f>IF(Roster!$C$12="","",Roster!$F$12&amp;IF(OR(Roster!$G$12="SANS",Roster!$G$12="NSMEN")," | "&amp;Roster!$G$12,""))</f>
        <v/>
      </c>
      <c r="D17" s="81">
        <f>IF(OR($B17="",NOT(AND($A$5&gt;=DATE(PlanYear,1,1),$A$5&lt;=DATE(PlanYear+1,1,31)))),"",INDEX(CHOOSE(IF(YEAR($A$5)&gt;PlanYear,13,MONTH($A$5)),'Jan'!$D$27:$AH$266,'Feb'!$D$27:$AH$266,'Mar'!$D$27:$AH$266,'Apr'!$D$27:$AH$266,'May'!$D$27:$AH$266,'Jun'!$D$27:$AH$266,'Jul'!$D$27:$AH$266,'Aug'!$D$27:$AH$266,'Sep'!$D$27:$AH$266,'Oct'!$D$27:$AH$266,'Nov'!$D$27:$AH$266,'Dec'!$D$27:$AH$266,'Jan (next year)'!$D$27:$AH$266),25,DAY($A$5))&amp;"")</f>
        <v/>
      </c>
      <c r="E17" s="81">
        <f>IF(OR($B17="",NOT(AND($A$5&gt;=DATE(PlanYear,1,1),$A$5&lt;=DATE(PlanYear+1,1,31)))),"",INDEX(CHOOSE(IF(YEAR($A$5)&gt;PlanYear,13,MONTH($A$5)),'Jan'!$D$27:$AH$266,'Feb'!$D$27:$AH$266,'Mar'!$D$27:$AH$266,'Apr'!$D$27:$AH$266,'May'!$D$27:$AH$266,'Jun'!$D$27:$AH$266,'Jul'!$D$27:$AH$266,'Aug'!$D$27:$AH$266,'Sep'!$D$27:$AH$266,'Oct'!$D$27:$AH$266,'Nov'!$D$27:$AH$266,'Dec'!$D$27:$AH$266,'Jan (next year)'!$D$27:$AH$266),26,DAY($A$5))&amp;"")</f>
        <v/>
      </c>
      <c r="F17" s="81">
        <f>IF(OR($B17="",NOT(AND($A$5&gt;=DATE(PlanYear,1,1),$A$5&lt;=DATE(PlanYear+1,1,31)))),"",INDEX(CHOOSE(IF(YEAR($A$5)&gt;PlanYear,13,MONTH($A$5)),'Jan'!$D$27:$AH$266,'Feb'!$D$27:$AH$266,'Mar'!$D$27:$AH$266,'Apr'!$D$27:$AH$266,'May'!$D$27:$AH$266,'Jun'!$D$27:$AH$266,'Jul'!$D$27:$AH$266,'Aug'!$D$27:$AH$266,'Sep'!$D$27:$AH$266,'Oct'!$D$27:$AH$266,'Nov'!$D$27:$AH$266,'Dec'!$D$27:$AH$266,'Jan (next year)'!$D$27:$AH$266),27,DAY($A$5))&amp;"")</f>
        <v/>
      </c>
      <c r="G17" s="81">
        <f>IF(OR($B17="",NOT(AND($A$5&gt;=DATE(PlanYear,1,1),$A$5&lt;=DATE(PlanYear+1,1,31)))),"",INDEX(CHOOSE(IF(YEAR($A$5)&gt;PlanYear,13,MONTH($A$5)),'Jan'!$D$27:$AH$266,'Feb'!$D$27:$AH$266,'Mar'!$D$27:$AH$266,'Apr'!$D$27:$AH$266,'May'!$D$27:$AH$266,'Jun'!$D$27:$AH$266,'Jul'!$D$27:$AH$266,'Aug'!$D$27:$AH$266,'Sep'!$D$27:$AH$266,'Oct'!$D$27:$AH$266,'Nov'!$D$27:$AH$266,'Dec'!$D$27:$AH$266,'Jan (next year)'!$D$27:$AH$266),28,DAY($A$5))&amp;"")</f>
        <v/>
      </c>
    </row>
    <row r="18" hidden="1">
      <c r="A18" s="38">
        <f>IF(Roster!$B$13="","",Roster!$B$13)</f>
        <v/>
      </c>
      <c r="B18" s="39">
        <f>IF(Roster!$C$13="","",Roster!$C$13)</f>
        <v/>
      </c>
      <c r="C18" s="40">
        <f>IF(Roster!$C$13="","",Roster!$F$13&amp;IF(OR(Roster!$G$13="SANS",Roster!$G$13="NSMEN")," | "&amp;Roster!$G$13,""))</f>
        <v/>
      </c>
      <c r="D18" s="81">
        <f>IF(OR($B18="",NOT(AND($A$5&gt;=DATE(PlanYear,1,1),$A$5&lt;=DATE(PlanYear+1,1,31)))),"",INDEX(CHOOSE(IF(YEAR($A$5)&gt;PlanYear,13,MONTH($A$5)),'Jan'!$D$27:$AH$266,'Feb'!$D$27:$AH$266,'Mar'!$D$27:$AH$266,'Apr'!$D$27:$AH$266,'May'!$D$27:$AH$266,'Jun'!$D$27:$AH$266,'Jul'!$D$27:$AH$266,'Aug'!$D$27:$AH$266,'Sep'!$D$27:$AH$266,'Oct'!$D$27:$AH$266,'Nov'!$D$27:$AH$266,'Dec'!$D$27:$AH$266,'Jan (next year)'!$D$27:$AH$266),29,DAY($A$5))&amp;"")</f>
        <v/>
      </c>
      <c r="E18" s="81">
        <f>IF(OR($B18="",NOT(AND($A$5&gt;=DATE(PlanYear,1,1),$A$5&lt;=DATE(PlanYear+1,1,31)))),"",INDEX(CHOOSE(IF(YEAR($A$5)&gt;PlanYear,13,MONTH($A$5)),'Jan'!$D$27:$AH$266,'Feb'!$D$27:$AH$266,'Mar'!$D$27:$AH$266,'Apr'!$D$27:$AH$266,'May'!$D$27:$AH$266,'Jun'!$D$27:$AH$266,'Jul'!$D$27:$AH$266,'Aug'!$D$27:$AH$266,'Sep'!$D$27:$AH$266,'Oct'!$D$27:$AH$266,'Nov'!$D$27:$AH$266,'Dec'!$D$27:$AH$266,'Jan (next year)'!$D$27:$AH$266),30,DAY($A$5))&amp;"")</f>
        <v/>
      </c>
      <c r="F18" s="81">
        <f>IF(OR($B18="",NOT(AND($A$5&gt;=DATE(PlanYear,1,1),$A$5&lt;=DATE(PlanYear+1,1,31)))),"",INDEX(CHOOSE(IF(YEAR($A$5)&gt;PlanYear,13,MONTH($A$5)),'Jan'!$D$27:$AH$266,'Feb'!$D$27:$AH$266,'Mar'!$D$27:$AH$266,'Apr'!$D$27:$AH$266,'May'!$D$27:$AH$266,'Jun'!$D$27:$AH$266,'Jul'!$D$27:$AH$266,'Aug'!$D$27:$AH$266,'Sep'!$D$27:$AH$266,'Oct'!$D$27:$AH$266,'Nov'!$D$27:$AH$266,'Dec'!$D$27:$AH$266,'Jan (next year)'!$D$27:$AH$266),31,DAY($A$5))&amp;"")</f>
        <v/>
      </c>
      <c r="G18" s="81">
        <f>IF(OR($B18="",NOT(AND($A$5&gt;=DATE(PlanYear,1,1),$A$5&lt;=DATE(PlanYear+1,1,31)))),"",INDEX(CHOOSE(IF(YEAR($A$5)&gt;PlanYear,13,MONTH($A$5)),'Jan'!$D$27:$AH$266,'Feb'!$D$27:$AH$266,'Mar'!$D$27:$AH$266,'Apr'!$D$27:$AH$266,'May'!$D$27:$AH$266,'Jun'!$D$27:$AH$266,'Jul'!$D$27:$AH$266,'Aug'!$D$27:$AH$266,'Sep'!$D$27:$AH$266,'Oct'!$D$27:$AH$266,'Nov'!$D$27:$AH$266,'Dec'!$D$27:$AH$266,'Jan (next year)'!$D$27:$AH$266),32,DAY($A$5))&amp;"")</f>
        <v/>
      </c>
    </row>
    <row r="19" hidden="1">
      <c r="A19" s="38">
        <f>IF(Roster!$B$14="","",Roster!$B$14)</f>
        <v/>
      </c>
      <c r="B19" s="39">
        <f>IF(Roster!$C$14="","",Roster!$C$14)</f>
        <v/>
      </c>
      <c r="C19" s="40">
        <f>IF(Roster!$C$14="","",Roster!$F$14&amp;IF(OR(Roster!$G$14="SANS",Roster!$G$14="NSMEN")," | "&amp;Roster!$G$14,""))</f>
        <v/>
      </c>
      <c r="D19" s="81">
        <f>IF(OR($B19="",NOT(AND($A$5&gt;=DATE(PlanYear,1,1),$A$5&lt;=DATE(PlanYear+1,1,31)))),"",INDEX(CHOOSE(IF(YEAR($A$5)&gt;PlanYear,13,MONTH($A$5)),'Jan'!$D$27:$AH$266,'Feb'!$D$27:$AH$266,'Mar'!$D$27:$AH$266,'Apr'!$D$27:$AH$266,'May'!$D$27:$AH$266,'Jun'!$D$27:$AH$266,'Jul'!$D$27:$AH$266,'Aug'!$D$27:$AH$266,'Sep'!$D$27:$AH$266,'Oct'!$D$27:$AH$266,'Nov'!$D$27:$AH$266,'Dec'!$D$27:$AH$266,'Jan (next year)'!$D$27:$AH$266),33,DAY($A$5))&amp;"")</f>
        <v/>
      </c>
      <c r="E19" s="81">
        <f>IF(OR($B19="",NOT(AND($A$5&gt;=DATE(PlanYear,1,1),$A$5&lt;=DATE(PlanYear+1,1,31)))),"",INDEX(CHOOSE(IF(YEAR($A$5)&gt;PlanYear,13,MONTH($A$5)),'Jan'!$D$27:$AH$266,'Feb'!$D$27:$AH$266,'Mar'!$D$27:$AH$266,'Apr'!$D$27:$AH$266,'May'!$D$27:$AH$266,'Jun'!$D$27:$AH$266,'Jul'!$D$27:$AH$266,'Aug'!$D$27:$AH$266,'Sep'!$D$27:$AH$266,'Oct'!$D$27:$AH$266,'Nov'!$D$27:$AH$266,'Dec'!$D$27:$AH$266,'Jan (next year)'!$D$27:$AH$266),34,DAY($A$5))&amp;"")</f>
        <v/>
      </c>
      <c r="F19" s="81">
        <f>IF(OR($B19="",NOT(AND($A$5&gt;=DATE(PlanYear,1,1),$A$5&lt;=DATE(PlanYear+1,1,31)))),"",INDEX(CHOOSE(IF(YEAR($A$5)&gt;PlanYear,13,MONTH($A$5)),'Jan'!$D$27:$AH$266,'Feb'!$D$27:$AH$266,'Mar'!$D$27:$AH$266,'Apr'!$D$27:$AH$266,'May'!$D$27:$AH$266,'Jun'!$D$27:$AH$266,'Jul'!$D$27:$AH$266,'Aug'!$D$27:$AH$266,'Sep'!$D$27:$AH$266,'Oct'!$D$27:$AH$266,'Nov'!$D$27:$AH$266,'Dec'!$D$27:$AH$266,'Jan (next year)'!$D$27:$AH$266),35,DAY($A$5))&amp;"")</f>
        <v/>
      </c>
      <c r="G19" s="81">
        <f>IF(OR($B19="",NOT(AND($A$5&gt;=DATE(PlanYear,1,1),$A$5&lt;=DATE(PlanYear+1,1,31)))),"",INDEX(CHOOSE(IF(YEAR($A$5)&gt;PlanYear,13,MONTH($A$5)),'Jan'!$D$27:$AH$266,'Feb'!$D$27:$AH$266,'Mar'!$D$27:$AH$266,'Apr'!$D$27:$AH$266,'May'!$D$27:$AH$266,'Jun'!$D$27:$AH$266,'Jul'!$D$27:$AH$266,'Aug'!$D$27:$AH$266,'Sep'!$D$27:$AH$266,'Oct'!$D$27:$AH$266,'Nov'!$D$27:$AH$266,'Dec'!$D$27:$AH$266,'Jan (next year)'!$D$27:$AH$266),36,DAY($A$5))&amp;"")</f>
        <v/>
      </c>
    </row>
    <row r="20" hidden="1">
      <c r="A20" s="38">
        <f>IF(Roster!$B$15="","",Roster!$B$15)</f>
        <v/>
      </c>
      <c r="B20" s="39">
        <f>IF(Roster!$C$15="","",Roster!$C$15)</f>
        <v/>
      </c>
      <c r="C20" s="40">
        <f>IF(Roster!$C$15="","",Roster!$F$15&amp;IF(OR(Roster!$G$15="SANS",Roster!$G$15="NSMEN")," | "&amp;Roster!$G$15,""))</f>
        <v/>
      </c>
      <c r="D20" s="81">
        <f>IF(OR($B20="",NOT(AND($A$5&gt;=DATE(PlanYear,1,1),$A$5&lt;=DATE(PlanYear+1,1,31)))),"",INDEX(CHOOSE(IF(YEAR($A$5)&gt;PlanYear,13,MONTH($A$5)),'Jan'!$D$27:$AH$266,'Feb'!$D$27:$AH$266,'Mar'!$D$27:$AH$266,'Apr'!$D$27:$AH$266,'May'!$D$27:$AH$266,'Jun'!$D$27:$AH$266,'Jul'!$D$27:$AH$266,'Aug'!$D$27:$AH$266,'Sep'!$D$27:$AH$266,'Oct'!$D$27:$AH$266,'Nov'!$D$27:$AH$266,'Dec'!$D$27:$AH$266,'Jan (next year)'!$D$27:$AH$266),37,DAY($A$5))&amp;"")</f>
        <v/>
      </c>
      <c r="E20" s="81">
        <f>IF(OR($B20="",NOT(AND($A$5&gt;=DATE(PlanYear,1,1),$A$5&lt;=DATE(PlanYear+1,1,31)))),"",INDEX(CHOOSE(IF(YEAR($A$5)&gt;PlanYear,13,MONTH($A$5)),'Jan'!$D$27:$AH$266,'Feb'!$D$27:$AH$266,'Mar'!$D$27:$AH$266,'Apr'!$D$27:$AH$266,'May'!$D$27:$AH$266,'Jun'!$D$27:$AH$266,'Jul'!$D$27:$AH$266,'Aug'!$D$27:$AH$266,'Sep'!$D$27:$AH$266,'Oct'!$D$27:$AH$266,'Nov'!$D$27:$AH$266,'Dec'!$D$27:$AH$266,'Jan (next year)'!$D$27:$AH$266),38,DAY($A$5))&amp;"")</f>
        <v/>
      </c>
      <c r="F20" s="81">
        <f>IF(OR($B20="",NOT(AND($A$5&gt;=DATE(PlanYear,1,1),$A$5&lt;=DATE(PlanYear+1,1,31)))),"",INDEX(CHOOSE(IF(YEAR($A$5)&gt;PlanYear,13,MONTH($A$5)),'Jan'!$D$27:$AH$266,'Feb'!$D$27:$AH$266,'Mar'!$D$27:$AH$266,'Apr'!$D$27:$AH$266,'May'!$D$27:$AH$266,'Jun'!$D$27:$AH$266,'Jul'!$D$27:$AH$266,'Aug'!$D$27:$AH$266,'Sep'!$D$27:$AH$266,'Oct'!$D$27:$AH$266,'Nov'!$D$27:$AH$266,'Dec'!$D$27:$AH$266,'Jan (next year)'!$D$27:$AH$266),39,DAY($A$5))&amp;"")</f>
        <v/>
      </c>
      <c r="G20" s="81">
        <f>IF(OR($B20="",NOT(AND($A$5&gt;=DATE(PlanYear,1,1),$A$5&lt;=DATE(PlanYear+1,1,31)))),"",INDEX(CHOOSE(IF(YEAR($A$5)&gt;PlanYear,13,MONTH($A$5)),'Jan'!$D$27:$AH$266,'Feb'!$D$27:$AH$266,'Mar'!$D$27:$AH$266,'Apr'!$D$27:$AH$266,'May'!$D$27:$AH$266,'Jun'!$D$27:$AH$266,'Jul'!$D$27:$AH$266,'Aug'!$D$27:$AH$266,'Sep'!$D$27:$AH$266,'Oct'!$D$27:$AH$266,'Nov'!$D$27:$AH$266,'Dec'!$D$27:$AH$266,'Jan (next year)'!$D$27:$AH$266),40,DAY($A$5))&amp;"")</f>
        <v/>
      </c>
    </row>
    <row r="21" hidden="1">
      <c r="A21" s="38">
        <f>IF(Roster!$B$16="","",Roster!$B$16)</f>
        <v/>
      </c>
      <c r="B21" s="39">
        <f>IF(Roster!$C$16="","",Roster!$C$16)</f>
        <v/>
      </c>
      <c r="C21" s="40">
        <f>IF(Roster!$C$16="","",Roster!$F$16&amp;IF(OR(Roster!$G$16="SANS",Roster!$G$16="NSMEN")," | "&amp;Roster!$G$16,""))</f>
        <v/>
      </c>
      <c r="D21" s="81">
        <f>IF(OR($B21="",NOT(AND($A$5&gt;=DATE(PlanYear,1,1),$A$5&lt;=DATE(PlanYear+1,1,31)))),"",INDEX(CHOOSE(IF(YEAR($A$5)&gt;PlanYear,13,MONTH($A$5)),'Jan'!$D$27:$AH$266,'Feb'!$D$27:$AH$266,'Mar'!$D$27:$AH$266,'Apr'!$D$27:$AH$266,'May'!$D$27:$AH$266,'Jun'!$D$27:$AH$266,'Jul'!$D$27:$AH$266,'Aug'!$D$27:$AH$266,'Sep'!$D$27:$AH$266,'Oct'!$D$27:$AH$266,'Nov'!$D$27:$AH$266,'Dec'!$D$27:$AH$266,'Jan (next year)'!$D$27:$AH$266),41,DAY($A$5))&amp;"")</f>
        <v/>
      </c>
      <c r="E21" s="81">
        <f>IF(OR($B21="",NOT(AND($A$5&gt;=DATE(PlanYear,1,1),$A$5&lt;=DATE(PlanYear+1,1,31)))),"",INDEX(CHOOSE(IF(YEAR($A$5)&gt;PlanYear,13,MONTH($A$5)),'Jan'!$D$27:$AH$266,'Feb'!$D$27:$AH$266,'Mar'!$D$27:$AH$266,'Apr'!$D$27:$AH$266,'May'!$D$27:$AH$266,'Jun'!$D$27:$AH$266,'Jul'!$D$27:$AH$266,'Aug'!$D$27:$AH$266,'Sep'!$D$27:$AH$266,'Oct'!$D$27:$AH$266,'Nov'!$D$27:$AH$266,'Dec'!$D$27:$AH$266,'Jan (next year)'!$D$27:$AH$266),42,DAY($A$5))&amp;"")</f>
        <v/>
      </c>
      <c r="F21" s="81">
        <f>IF(OR($B21="",NOT(AND($A$5&gt;=DATE(PlanYear,1,1),$A$5&lt;=DATE(PlanYear+1,1,31)))),"",INDEX(CHOOSE(IF(YEAR($A$5)&gt;PlanYear,13,MONTH($A$5)),'Jan'!$D$27:$AH$266,'Feb'!$D$27:$AH$266,'Mar'!$D$27:$AH$266,'Apr'!$D$27:$AH$266,'May'!$D$27:$AH$266,'Jun'!$D$27:$AH$266,'Jul'!$D$27:$AH$266,'Aug'!$D$27:$AH$266,'Sep'!$D$27:$AH$266,'Oct'!$D$27:$AH$266,'Nov'!$D$27:$AH$266,'Dec'!$D$27:$AH$266,'Jan (next year)'!$D$27:$AH$266),43,DAY($A$5))&amp;"")</f>
        <v/>
      </c>
      <c r="G21" s="81">
        <f>IF(OR($B21="",NOT(AND($A$5&gt;=DATE(PlanYear,1,1),$A$5&lt;=DATE(PlanYear+1,1,31)))),"",INDEX(CHOOSE(IF(YEAR($A$5)&gt;PlanYear,13,MONTH($A$5)),'Jan'!$D$27:$AH$266,'Feb'!$D$27:$AH$266,'Mar'!$D$27:$AH$266,'Apr'!$D$27:$AH$266,'May'!$D$27:$AH$266,'Jun'!$D$27:$AH$266,'Jul'!$D$27:$AH$266,'Aug'!$D$27:$AH$266,'Sep'!$D$27:$AH$266,'Oct'!$D$27:$AH$266,'Nov'!$D$27:$AH$266,'Dec'!$D$27:$AH$266,'Jan (next year)'!$D$27:$AH$266),44,DAY($A$5))&amp;"")</f>
        <v/>
      </c>
    </row>
    <row r="22" hidden="1">
      <c r="A22" s="38">
        <f>IF(Roster!$B$17="","",Roster!$B$17)</f>
        <v/>
      </c>
      <c r="B22" s="39">
        <f>IF(Roster!$C$17="","",Roster!$C$17)</f>
        <v/>
      </c>
      <c r="C22" s="40">
        <f>IF(Roster!$C$17="","",Roster!$F$17&amp;IF(OR(Roster!$G$17="SANS",Roster!$G$17="NSMEN")," | "&amp;Roster!$G$17,""))</f>
        <v/>
      </c>
      <c r="D22" s="81">
        <f>IF(OR($B22="",NOT(AND($A$5&gt;=DATE(PlanYear,1,1),$A$5&lt;=DATE(PlanYear+1,1,31)))),"",INDEX(CHOOSE(IF(YEAR($A$5)&gt;PlanYear,13,MONTH($A$5)),'Jan'!$D$27:$AH$266,'Feb'!$D$27:$AH$266,'Mar'!$D$27:$AH$266,'Apr'!$D$27:$AH$266,'May'!$D$27:$AH$266,'Jun'!$D$27:$AH$266,'Jul'!$D$27:$AH$266,'Aug'!$D$27:$AH$266,'Sep'!$D$27:$AH$266,'Oct'!$D$27:$AH$266,'Nov'!$D$27:$AH$266,'Dec'!$D$27:$AH$266,'Jan (next year)'!$D$27:$AH$266),45,DAY($A$5))&amp;"")</f>
        <v/>
      </c>
      <c r="E22" s="81">
        <f>IF(OR($B22="",NOT(AND($A$5&gt;=DATE(PlanYear,1,1),$A$5&lt;=DATE(PlanYear+1,1,31)))),"",INDEX(CHOOSE(IF(YEAR($A$5)&gt;PlanYear,13,MONTH($A$5)),'Jan'!$D$27:$AH$266,'Feb'!$D$27:$AH$266,'Mar'!$D$27:$AH$266,'Apr'!$D$27:$AH$266,'May'!$D$27:$AH$266,'Jun'!$D$27:$AH$266,'Jul'!$D$27:$AH$266,'Aug'!$D$27:$AH$266,'Sep'!$D$27:$AH$266,'Oct'!$D$27:$AH$266,'Nov'!$D$27:$AH$266,'Dec'!$D$27:$AH$266,'Jan (next year)'!$D$27:$AH$266),46,DAY($A$5))&amp;"")</f>
        <v/>
      </c>
      <c r="F22" s="81">
        <f>IF(OR($B22="",NOT(AND($A$5&gt;=DATE(PlanYear,1,1),$A$5&lt;=DATE(PlanYear+1,1,31)))),"",INDEX(CHOOSE(IF(YEAR($A$5)&gt;PlanYear,13,MONTH($A$5)),'Jan'!$D$27:$AH$266,'Feb'!$D$27:$AH$266,'Mar'!$D$27:$AH$266,'Apr'!$D$27:$AH$266,'May'!$D$27:$AH$266,'Jun'!$D$27:$AH$266,'Jul'!$D$27:$AH$266,'Aug'!$D$27:$AH$266,'Sep'!$D$27:$AH$266,'Oct'!$D$27:$AH$266,'Nov'!$D$27:$AH$266,'Dec'!$D$27:$AH$266,'Jan (next year)'!$D$27:$AH$266),47,DAY($A$5))&amp;"")</f>
        <v/>
      </c>
      <c r="G22" s="81">
        <f>IF(OR($B22="",NOT(AND($A$5&gt;=DATE(PlanYear,1,1),$A$5&lt;=DATE(PlanYear+1,1,31)))),"",INDEX(CHOOSE(IF(YEAR($A$5)&gt;PlanYear,13,MONTH($A$5)),'Jan'!$D$27:$AH$266,'Feb'!$D$27:$AH$266,'Mar'!$D$27:$AH$266,'Apr'!$D$27:$AH$266,'May'!$D$27:$AH$266,'Jun'!$D$27:$AH$266,'Jul'!$D$27:$AH$266,'Aug'!$D$27:$AH$266,'Sep'!$D$27:$AH$266,'Oct'!$D$27:$AH$266,'Nov'!$D$27:$AH$266,'Dec'!$D$27:$AH$266,'Jan (next year)'!$D$27:$AH$266),48,DAY($A$5))&amp;"")</f>
        <v/>
      </c>
    </row>
    <row r="23" hidden="1">
      <c r="A23" s="38">
        <f>IF(Roster!$B$18="","",Roster!$B$18)</f>
        <v/>
      </c>
      <c r="B23" s="39">
        <f>IF(Roster!$C$18="","",Roster!$C$18)</f>
        <v/>
      </c>
      <c r="C23" s="40">
        <f>IF(Roster!$C$18="","",Roster!$F$18&amp;IF(OR(Roster!$G$18="SANS",Roster!$G$18="NSMEN")," | "&amp;Roster!$G$18,""))</f>
        <v/>
      </c>
      <c r="D23" s="81">
        <f>IF(OR($B23="",NOT(AND($A$5&gt;=DATE(PlanYear,1,1),$A$5&lt;=DATE(PlanYear+1,1,31)))),"",INDEX(CHOOSE(IF(YEAR($A$5)&gt;PlanYear,13,MONTH($A$5)),'Jan'!$D$27:$AH$266,'Feb'!$D$27:$AH$266,'Mar'!$D$27:$AH$266,'Apr'!$D$27:$AH$266,'May'!$D$27:$AH$266,'Jun'!$D$27:$AH$266,'Jul'!$D$27:$AH$266,'Aug'!$D$27:$AH$266,'Sep'!$D$27:$AH$266,'Oct'!$D$27:$AH$266,'Nov'!$D$27:$AH$266,'Dec'!$D$27:$AH$266,'Jan (next year)'!$D$27:$AH$266),49,DAY($A$5))&amp;"")</f>
        <v/>
      </c>
      <c r="E23" s="81">
        <f>IF(OR($B23="",NOT(AND($A$5&gt;=DATE(PlanYear,1,1),$A$5&lt;=DATE(PlanYear+1,1,31)))),"",INDEX(CHOOSE(IF(YEAR($A$5)&gt;PlanYear,13,MONTH($A$5)),'Jan'!$D$27:$AH$266,'Feb'!$D$27:$AH$266,'Mar'!$D$27:$AH$266,'Apr'!$D$27:$AH$266,'May'!$D$27:$AH$266,'Jun'!$D$27:$AH$266,'Jul'!$D$27:$AH$266,'Aug'!$D$27:$AH$266,'Sep'!$D$27:$AH$266,'Oct'!$D$27:$AH$266,'Nov'!$D$27:$AH$266,'Dec'!$D$27:$AH$266,'Jan (next year)'!$D$27:$AH$266),50,DAY($A$5))&amp;"")</f>
        <v/>
      </c>
      <c r="F23" s="81">
        <f>IF(OR($B23="",NOT(AND($A$5&gt;=DATE(PlanYear,1,1),$A$5&lt;=DATE(PlanYear+1,1,31)))),"",INDEX(CHOOSE(IF(YEAR($A$5)&gt;PlanYear,13,MONTH($A$5)),'Jan'!$D$27:$AH$266,'Feb'!$D$27:$AH$266,'Mar'!$D$27:$AH$266,'Apr'!$D$27:$AH$266,'May'!$D$27:$AH$266,'Jun'!$D$27:$AH$266,'Jul'!$D$27:$AH$266,'Aug'!$D$27:$AH$266,'Sep'!$D$27:$AH$266,'Oct'!$D$27:$AH$266,'Nov'!$D$27:$AH$266,'Dec'!$D$27:$AH$266,'Jan (next year)'!$D$27:$AH$266),51,DAY($A$5))&amp;"")</f>
        <v/>
      </c>
      <c r="G23" s="81">
        <f>IF(OR($B23="",NOT(AND($A$5&gt;=DATE(PlanYear,1,1),$A$5&lt;=DATE(PlanYear+1,1,31)))),"",INDEX(CHOOSE(IF(YEAR($A$5)&gt;PlanYear,13,MONTH($A$5)),'Jan'!$D$27:$AH$266,'Feb'!$D$27:$AH$266,'Mar'!$D$27:$AH$266,'Apr'!$D$27:$AH$266,'May'!$D$27:$AH$266,'Jun'!$D$27:$AH$266,'Jul'!$D$27:$AH$266,'Aug'!$D$27:$AH$266,'Sep'!$D$27:$AH$266,'Oct'!$D$27:$AH$266,'Nov'!$D$27:$AH$266,'Dec'!$D$27:$AH$266,'Jan (next year)'!$D$27:$AH$266),52,DAY($A$5))&amp;"")</f>
        <v/>
      </c>
    </row>
    <row r="24" hidden="1">
      <c r="A24" s="38">
        <f>IF(Roster!$B$19="","",Roster!$B$19)</f>
        <v/>
      </c>
      <c r="B24" s="39">
        <f>IF(Roster!$C$19="","",Roster!$C$19)</f>
        <v/>
      </c>
      <c r="C24" s="40">
        <f>IF(Roster!$C$19="","",Roster!$F$19&amp;IF(OR(Roster!$G$19="SANS",Roster!$G$19="NSMEN")," | "&amp;Roster!$G$19,""))</f>
        <v/>
      </c>
      <c r="D24" s="81">
        <f>IF(OR($B24="",NOT(AND($A$5&gt;=DATE(PlanYear,1,1),$A$5&lt;=DATE(PlanYear+1,1,31)))),"",INDEX(CHOOSE(IF(YEAR($A$5)&gt;PlanYear,13,MONTH($A$5)),'Jan'!$D$27:$AH$266,'Feb'!$D$27:$AH$266,'Mar'!$D$27:$AH$266,'Apr'!$D$27:$AH$266,'May'!$D$27:$AH$266,'Jun'!$D$27:$AH$266,'Jul'!$D$27:$AH$266,'Aug'!$D$27:$AH$266,'Sep'!$D$27:$AH$266,'Oct'!$D$27:$AH$266,'Nov'!$D$27:$AH$266,'Dec'!$D$27:$AH$266,'Jan (next year)'!$D$27:$AH$266),53,DAY($A$5))&amp;"")</f>
        <v/>
      </c>
      <c r="E24" s="81">
        <f>IF(OR($B24="",NOT(AND($A$5&gt;=DATE(PlanYear,1,1),$A$5&lt;=DATE(PlanYear+1,1,31)))),"",INDEX(CHOOSE(IF(YEAR($A$5)&gt;PlanYear,13,MONTH($A$5)),'Jan'!$D$27:$AH$266,'Feb'!$D$27:$AH$266,'Mar'!$D$27:$AH$266,'Apr'!$D$27:$AH$266,'May'!$D$27:$AH$266,'Jun'!$D$27:$AH$266,'Jul'!$D$27:$AH$266,'Aug'!$D$27:$AH$266,'Sep'!$D$27:$AH$266,'Oct'!$D$27:$AH$266,'Nov'!$D$27:$AH$266,'Dec'!$D$27:$AH$266,'Jan (next year)'!$D$27:$AH$266),54,DAY($A$5))&amp;"")</f>
        <v/>
      </c>
      <c r="F24" s="81">
        <f>IF(OR($B24="",NOT(AND($A$5&gt;=DATE(PlanYear,1,1),$A$5&lt;=DATE(PlanYear+1,1,31)))),"",INDEX(CHOOSE(IF(YEAR($A$5)&gt;PlanYear,13,MONTH($A$5)),'Jan'!$D$27:$AH$266,'Feb'!$D$27:$AH$266,'Mar'!$D$27:$AH$266,'Apr'!$D$27:$AH$266,'May'!$D$27:$AH$266,'Jun'!$D$27:$AH$266,'Jul'!$D$27:$AH$266,'Aug'!$D$27:$AH$266,'Sep'!$D$27:$AH$266,'Oct'!$D$27:$AH$266,'Nov'!$D$27:$AH$266,'Dec'!$D$27:$AH$266,'Jan (next year)'!$D$27:$AH$266),55,DAY($A$5))&amp;"")</f>
        <v/>
      </c>
      <c r="G24" s="81">
        <f>IF(OR($B24="",NOT(AND($A$5&gt;=DATE(PlanYear,1,1),$A$5&lt;=DATE(PlanYear+1,1,31)))),"",INDEX(CHOOSE(IF(YEAR($A$5)&gt;PlanYear,13,MONTH($A$5)),'Jan'!$D$27:$AH$266,'Feb'!$D$27:$AH$266,'Mar'!$D$27:$AH$266,'Apr'!$D$27:$AH$266,'May'!$D$27:$AH$266,'Jun'!$D$27:$AH$266,'Jul'!$D$27:$AH$266,'Aug'!$D$27:$AH$266,'Sep'!$D$27:$AH$266,'Oct'!$D$27:$AH$266,'Nov'!$D$27:$AH$266,'Dec'!$D$27:$AH$266,'Jan (next year)'!$D$27:$AH$266),56,DAY($A$5))&amp;"")</f>
        <v/>
      </c>
    </row>
    <row r="25" hidden="1">
      <c r="A25" s="38">
        <f>IF(Roster!$B$20="","",Roster!$B$20)</f>
        <v/>
      </c>
      <c r="B25" s="39">
        <f>IF(Roster!$C$20="","",Roster!$C$20)</f>
        <v/>
      </c>
      <c r="C25" s="40">
        <f>IF(Roster!$C$20="","",Roster!$F$20&amp;IF(OR(Roster!$G$20="SANS",Roster!$G$20="NSMEN")," | "&amp;Roster!$G$20,""))</f>
        <v/>
      </c>
      <c r="D25" s="81">
        <f>IF(OR($B25="",NOT(AND($A$5&gt;=DATE(PlanYear,1,1),$A$5&lt;=DATE(PlanYear+1,1,31)))),"",INDEX(CHOOSE(IF(YEAR($A$5)&gt;PlanYear,13,MONTH($A$5)),'Jan'!$D$27:$AH$266,'Feb'!$D$27:$AH$266,'Mar'!$D$27:$AH$266,'Apr'!$D$27:$AH$266,'May'!$D$27:$AH$266,'Jun'!$D$27:$AH$266,'Jul'!$D$27:$AH$266,'Aug'!$D$27:$AH$266,'Sep'!$D$27:$AH$266,'Oct'!$D$27:$AH$266,'Nov'!$D$27:$AH$266,'Dec'!$D$27:$AH$266,'Jan (next year)'!$D$27:$AH$266),57,DAY($A$5))&amp;"")</f>
        <v/>
      </c>
      <c r="E25" s="81">
        <f>IF(OR($B25="",NOT(AND($A$5&gt;=DATE(PlanYear,1,1),$A$5&lt;=DATE(PlanYear+1,1,31)))),"",INDEX(CHOOSE(IF(YEAR($A$5)&gt;PlanYear,13,MONTH($A$5)),'Jan'!$D$27:$AH$266,'Feb'!$D$27:$AH$266,'Mar'!$D$27:$AH$266,'Apr'!$D$27:$AH$266,'May'!$D$27:$AH$266,'Jun'!$D$27:$AH$266,'Jul'!$D$27:$AH$266,'Aug'!$D$27:$AH$266,'Sep'!$D$27:$AH$266,'Oct'!$D$27:$AH$266,'Nov'!$D$27:$AH$266,'Dec'!$D$27:$AH$266,'Jan (next year)'!$D$27:$AH$266),58,DAY($A$5))&amp;"")</f>
        <v/>
      </c>
      <c r="F25" s="81">
        <f>IF(OR($B25="",NOT(AND($A$5&gt;=DATE(PlanYear,1,1),$A$5&lt;=DATE(PlanYear+1,1,31)))),"",INDEX(CHOOSE(IF(YEAR($A$5)&gt;PlanYear,13,MONTH($A$5)),'Jan'!$D$27:$AH$266,'Feb'!$D$27:$AH$266,'Mar'!$D$27:$AH$266,'Apr'!$D$27:$AH$266,'May'!$D$27:$AH$266,'Jun'!$D$27:$AH$266,'Jul'!$D$27:$AH$266,'Aug'!$D$27:$AH$266,'Sep'!$D$27:$AH$266,'Oct'!$D$27:$AH$266,'Nov'!$D$27:$AH$266,'Dec'!$D$27:$AH$266,'Jan (next year)'!$D$27:$AH$266),59,DAY($A$5))&amp;"")</f>
        <v/>
      </c>
      <c r="G25" s="81">
        <f>IF(OR($B25="",NOT(AND($A$5&gt;=DATE(PlanYear,1,1),$A$5&lt;=DATE(PlanYear+1,1,31)))),"",INDEX(CHOOSE(IF(YEAR($A$5)&gt;PlanYear,13,MONTH($A$5)),'Jan'!$D$27:$AH$266,'Feb'!$D$27:$AH$266,'Mar'!$D$27:$AH$266,'Apr'!$D$27:$AH$266,'May'!$D$27:$AH$266,'Jun'!$D$27:$AH$266,'Jul'!$D$27:$AH$266,'Aug'!$D$27:$AH$266,'Sep'!$D$27:$AH$266,'Oct'!$D$27:$AH$266,'Nov'!$D$27:$AH$266,'Dec'!$D$27:$AH$266,'Jan (next year)'!$D$27:$AH$266),60,DAY($A$5))&amp;"")</f>
        <v/>
      </c>
    </row>
    <row r="26" hidden="1">
      <c r="A26" s="38">
        <f>IF(Roster!$B$21="","",Roster!$B$21)</f>
        <v/>
      </c>
      <c r="B26" s="39">
        <f>IF(Roster!$C$21="","",Roster!$C$21)</f>
        <v/>
      </c>
      <c r="C26" s="40">
        <f>IF(Roster!$C$21="","",Roster!$F$21&amp;IF(OR(Roster!$G$21="SANS",Roster!$G$21="NSMEN")," | "&amp;Roster!$G$21,""))</f>
        <v/>
      </c>
      <c r="D26" s="81">
        <f>IF(OR($B26="",NOT(AND($A$5&gt;=DATE(PlanYear,1,1),$A$5&lt;=DATE(PlanYear+1,1,31)))),"",INDEX(CHOOSE(IF(YEAR($A$5)&gt;PlanYear,13,MONTH($A$5)),'Jan'!$D$27:$AH$266,'Feb'!$D$27:$AH$266,'Mar'!$D$27:$AH$266,'Apr'!$D$27:$AH$266,'May'!$D$27:$AH$266,'Jun'!$D$27:$AH$266,'Jul'!$D$27:$AH$266,'Aug'!$D$27:$AH$266,'Sep'!$D$27:$AH$266,'Oct'!$D$27:$AH$266,'Nov'!$D$27:$AH$266,'Dec'!$D$27:$AH$266,'Jan (next year)'!$D$27:$AH$266),61,DAY($A$5))&amp;"")</f>
        <v/>
      </c>
      <c r="E26" s="81">
        <f>IF(OR($B26="",NOT(AND($A$5&gt;=DATE(PlanYear,1,1),$A$5&lt;=DATE(PlanYear+1,1,31)))),"",INDEX(CHOOSE(IF(YEAR($A$5)&gt;PlanYear,13,MONTH($A$5)),'Jan'!$D$27:$AH$266,'Feb'!$D$27:$AH$266,'Mar'!$D$27:$AH$266,'Apr'!$D$27:$AH$266,'May'!$D$27:$AH$266,'Jun'!$D$27:$AH$266,'Jul'!$D$27:$AH$266,'Aug'!$D$27:$AH$266,'Sep'!$D$27:$AH$266,'Oct'!$D$27:$AH$266,'Nov'!$D$27:$AH$266,'Dec'!$D$27:$AH$266,'Jan (next year)'!$D$27:$AH$266),62,DAY($A$5))&amp;"")</f>
        <v/>
      </c>
      <c r="F26" s="81">
        <f>IF(OR($B26="",NOT(AND($A$5&gt;=DATE(PlanYear,1,1),$A$5&lt;=DATE(PlanYear+1,1,31)))),"",INDEX(CHOOSE(IF(YEAR($A$5)&gt;PlanYear,13,MONTH($A$5)),'Jan'!$D$27:$AH$266,'Feb'!$D$27:$AH$266,'Mar'!$D$27:$AH$266,'Apr'!$D$27:$AH$266,'May'!$D$27:$AH$266,'Jun'!$D$27:$AH$266,'Jul'!$D$27:$AH$266,'Aug'!$D$27:$AH$266,'Sep'!$D$27:$AH$266,'Oct'!$D$27:$AH$266,'Nov'!$D$27:$AH$266,'Dec'!$D$27:$AH$266,'Jan (next year)'!$D$27:$AH$266),63,DAY($A$5))&amp;"")</f>
        <v/>
      </c>
      <c r="G26" s="81">
        <f>IF(OR($B26="",NOT(AND($A$5&gt;=DATE(PlanYear,1,1),$A$5&lt;=DATE(PlanYear+1,1,31)))),"",INDEX(CHOOSE(IF(YEAR($A$5)&gt;PlanYear,13,MONTH($A$5)),'Jan'!$D$27:$AH$266,'Feb'!$D$27:$AH$266,'Mar'!$D$27:$AH$266,'Apr'!$D$27:$AH$266,'May'!$D$27:$AH$266,'Jun'!$D$27:$AH$266,'Jul'!$D$27:$AH$266,'Aug'!$D$27:$AH$266,'Sep'!$D$27:$AH$266,'Oct'!$D$27:$AH$266,'Nov'!$D$27:$AH$266,'Dec'!$D$27:$AH$266,'Jan (next year)'!$D$27:$AH$266),64,DAY($A$5))&amp;"")</f>
        <v/>
      </c>
    </row>
    <row r="27" hidden="1">
      <c r="A27" s="38">
        <f>IF(Roster!$B$22="","",Roster!$B$22)</f>
        <v/>
      </c>
      <c r="B27" s="39">
        <f>IF(Roster!$C$22="","",Roster!$C$22)</f>
        <v/>
      </c>
      <c r="C27" s="40">
        <f>IF(Roster!$C$22="","",Roster!$F$22&amp;IF(OR(Roster!$G$22="SANS",Roster!$G$22="NSMEN")," | "&amp;Roster!$G$22,""))</f>
        <v/>
      </c>
      <c r="D27" s="81">
        <f>IF(OR($B27="",NOT(AND($A$5&gt;=DATE(PlanYear,1,1),$A$5&lt;=DATE(PlanYear+1,1,31)))),"",INDEX(CHOOSE(IF(YEAR($A$5)&gt;PlanYear,13,MONTH($A$5)),'Jan'!$D$27:$AH$266,'Feb'!$D$27:$AH$266,'Mar'!$D$27:$AH$266,'Apr'!$D$27:$AH$266,'May'!$D$27:$AH$266,'Jun'!$D$27:$AH$266,'Jul'!$D$27:$AH$266,'Aug'!$D$27:$AH$266,'Sep'!$D$27:$AH$266,'Oct'!$D$27:$AH$266,'Nov'!$D$27:$AH$266,'Dec'!$D$27:$AH$266,'Jan (next year)'!$D$27:$AH$266),65,DAY($A$5))&amp;"")</f>
        <v/>
      </c>
      <c r="E27" s="81">
        <f>IF(OR($B27="",NOT(AND($A$5&gt;=DATE(PlanYear,1,1),$A$5&lt;=DATE(PlanYear+1,1,31)))),"",INDEX(CHOOSE(IF(YEAR($A$5)&gt;PlanYear,13,MONTH($A$5)),'Jan'!$D$27:$AH$266,'Feb'!$D$27:$AH$266,'Mar'!$D$27:$AH$266,'Apr'!$D$27:$AH$266,'May'!$D$27:$AH$266,'Jun'!$D$27:$AH$266,'Jul'!$D$27:$AH$266,'Aug'!$D$27:$AH$266,'Sep'!$D$27:$AH$266,'Oct'!$D$27:$AH$266,'Nov'!$D$27:$AH$266,'Dec'!$D$27:$AH$266,'Jan (next year)'!$D$27:$AH$266),66,DAY($A$5))&amp;"")</f>
        <v/>
      </c>
      <c r="F27" s="81">
        <f>IF(OR($B27="",NOT(AND($A$5&gt;=DATE(PlanYear,1,1),$A$5&lt;=DATE(PlanYear+1,1,31)))),"",INDEX(CHOOSE(IF(YEAR($A$5)&gt;PlanYear,13,MONTH($A$5)),'Jan'!$D$27:$AH$266,'Feb'!$D$27:$AH$266,'Mar'!$D$27:$AH$266,'Apr'!$D$27:$AH$266,'May'!$D$27:$AH$266,'Jun'!$D$27:$AH$266,'Jul'!$D$27:$AH$266,'Aug'!$D$27:$AH$266,'Sep'!$D$27:$AH$266,'Oct'!$D$27:$AH$266,'Nov'!$D$27:$AH$266,'Dec'!$D$27:$AH$266,'Jan (next year)'!$D$27:$AH$266),67,DAY($A$5))&amp;"")</f>
        <v/>
      </c>
      <c r="G27" s="81">
        <f>IF(OR($B27="",NOT(AND($A$5&gt;=DATE(PlanYear,1,1),$A$5&lt;=DATE(PlanYear+1,1,31)))),"",INDEX(CHOOSE(IF(YEAR($A$5)&gt;PlanYear,13,MONTH($A$5)),'Jan'!$D$27:$AH$266,'Feb'!$D$27:$AH$266,'Mar'!$D$27:$AH$266,'Apr'!$D$27:$AH$266,'May'!$D$27:$AH$266,'Jun'!$D$27:$AH$266,'Jul'!$D$27:$AH$266,'Aug'!$D$27:$AH$266,'Sep'!$D$27:$AH$266,'Oct'!$D$27:$AH$266,'Nov'!$D$27:$AH$266,'Dec'!$D$27:$AH$266,'Jan (next year)'!$D$27:$AH$266),68,DAY($A$5))&amp;"")</f>
        <v/>
      </c>
    </row>
    <row r="28" hidden="1">
      <c r="A28" s="38">
        <f>IF(Roster!$B$23="","",Roster!$B$23)</f>
        <v/>
      </c>
      <c r="B28" s="39">
        <f>IF(Roster!$C$23="","",Roster!$C$23)</f>
        <v/>
      </c>
      <c r="C28" s="40">
        <f>IF(Roster!$C$23="","",Roster!$F$23&amp;IF(OR(Roster!$G$23="SANS",Roster!$G$23="NSMEN")," | "&amp;Roster!$G$23,""))</f>
        <v/>
      </c>
      <c r="D28" s="81">
        <f>IF(OR($B28="",NOT(AND($A$5&gt;=DATE(PlanYear,1,1),$A$5&lt;=DATE(PlanYear+1,1,31)))),"",INDEX(CHOOSE(IF(YEAR($A$5)&gt;PlanYear,13,MONTH($A$5)),'Jan'!$D$27:$AH$266,'Feb'!$D$27:$AH$266,'Mar'!$D$27:$AH$266,'Apr'!$D$27:$AH$266,'May'!$D$27:$AH$266,'Jun'!$D$27:$AH$266,'Jul'!$D$27:$AH$266,'Aug'!$D$27:$AH$266,'Sep'!$D$27:$AH$266,'Oct'!$D$27:$AH$266,'Nov'!$D$27:$AH$266,'Dec'!$D$27:$AH$266,'Jan (next year)'!$D$27:$AH$266),69,DAY($A$5))&amp;"")</f>
        <v/>
      </c>
      <c r="E28" s="81">
        <f>IF(OR($B28="",NOT(AND($A$5&gt;=DATE(PlanYear,1,1),$A$5&lt;=DATE(PlanYear+1,1,31)))),"",INDEX(CHOOSE(IF(YEAR($A$5)&gt;PlanYear,13,MONTH($A$5)),'Jan'!$D$27:$AH$266,'Feb'!$D$27:$AH$266,'Mar'!$D$27:$AH$266,'Apr'!$D$27:$AH$266,'May'!$D$27:$AH$266,'Jun'!$D$27:$AH$266,'Jul'!$D$27:$AH$266,'Aug'!$D$27:$AH$266,'Sep'!$D$27:$AH$266,'Oct'!$D$27:$AH$266,'Nov'!$D$27:$AH$266,'Dec'!$D$27:$AH$266,'Jan (next year)'!$D$27:$AH$266),70,DAY($A$5))&amp;"")</f>
        <v/>
      </c>
      <c r="F28" s="81">
        <f>IF(OR($B28="",NOT(AND($A$5&gt;=DATE(PlanYear,1,1),$A$5&lt;=DATE(PlanYear+1,1,31)))),"",INDEX(CHOOSE(IF(YEAR($A$5)&gt;PlanYear,13,MONTH($A$5)),'Jan'!$D$27:$AH$266,'Feb'!$D$27:$AH$266,'Mar'!$D$27:$AH$266,'Apr'!$D$27:$AH$266,'May'!$D$27:$AH$266,'Jun'!$D$27:$AH$266,'Jul'!$D$27:$AH$266,'Aug'!$D$27:$AH$266,'Sep'!$D$27:$AH$266,'Oct'!$D$27:$AH$266,'Nov'!$D$27:$AH$266,'Dec'!$D$27:$AH$266,'Jan (next year)'!$D$27:$AH$266),71,DAY($A$5))&amp;"")</f>
        <v/>
      </c>
      <c r="G28" s="81">
        <f>IF(OR($B28="",NOT(AND($A$5&gt;=DATE(PlanYear,1,1),$A$5&lt;=DATE(PlanYear+1,1,31)))),"",INDEX(CHOOSE(IF(YEAR($A$5)&gt;PlanYear,13,MONTH($A$5)),'Jan'!$D$27:$AH$266,'Feb'!$D$27:$AH$266,'Mar'!$D$27:$AH$266,'Apr'!$D$27:$AH$266,'May'!$D$27:$AH$266,'Jun'!$D$27:$AH$266,'Jul'!$D$27:$AH$266,'Aug'!$D$27:$AH$266,'Sep'!$D$27:$AH$266,'Oct'!$D$27:$AH$266,'Nov'!$D$27:$AH$266,'Dec'!$D$27:$AH$266,'Jan (next year)'!$D$27:$AH$266),72,DAY($A$5))&amp;"")</f>
        <v/>
      </c>
    </row>
    <row r="29" hidden="1">
      <c r="A29" s="38">
        <f>IF(Roster!$B$24="","",Roster!$B$24)</f>
        <v/>
      </c>
      <c r="B29" s="39">
        <f>IF(Roster!$C$24="","",Roster!$C$24)</f>
        <v/>
      </c>
      <c r="C29" s="40">
        <f>IF(Roster!$C$24="","",Roster!$F$24&amp;IF(OR(Roster!$G$24="SANS",Roster!$G$24="NSMEN")," | "&amp;Roster!$G$24,""))</f>
        <v/>
      </c>
      <c r="D29" s="81">
        <f>IF(OR($B29="",NOT(AND($A$5&gt;=DATE(PlanYear,1,1),$A$5&lt;=DATE(PlanYear+1,1,31)))),"",INDEX(CHOOSE(IF(YEAR($A$5)&gt;PlanYear,13,MONTH($A$5)),'Jan'!$D$27:$AH$266,'Feb'!$D$27:$AH$266,'Mar'!$D$27:$AH$266,'Apr'!$D$27:$AH$266,'May'!$D$27:$AH$266,'Jun'!$D$27:$AH$266,'Jul'!$D$27:$AH$266,'Aug'!$D$27:$AH$266,'Sep'!$D$27:$AH$266,'Oct'!$D$27:$AH$266,'Nov'!$D$27:$AH$266,'Dec'!$D$27:$AH$266,'Jan (next year)'!$D$27:$AH$266),73,DAY($A$5))&amp;"")</f>
        <v/>
      </c>
      <c r="E29" s="81">
        <f>IF(OR($B29="",NOT(AND($A$5&gt;=DATE(PlanYear,1,1),$A$5&lt;=DATE(PlanYear+1,1,31)))),"",INDEX(CHOOSE(IF(YEAR($A$5)&gt;PlanYear,13,MONTH($A$5)),'Jan'!$D$27:$AH$266,'Feb'!$D$27:$AH$266,'Mar'!$D$27:$AH$266,'Apr'!$D$27:$AH$266,'May'!$D$27:$AH$266,'Jun'!$D$27:$AH$266,'Jul'!$D$27:$AH$266,'Aug'!$D$27:$AH$266,'Sep'!$D$27:$AH$266,'Oct'!$D$27:$AH$266,'Nov'!$D$27:$AH$266,'Dec'!$D$27:$AH$266,'Jan (next year)'!$D$27:$AH$266),74,DAY($A$5))&amp;"")</f>
        <v/>
      </c>
      <c r="F29" s="81">
        <f>IF(OR($B29="",NOT(AND($A$5&gt;=DATE(PlanYear,1,1),$A$5&lt;=DATE(PlanYear+1,1,31)))),"",INDEX(CHOOSE(IF(YEAR($A$5)&gt;PlanYear,13,MONTH($A$5)),'Jan'!$D$27:$AH$266,'Feb'!$D$27:$AH$266,'Mar'!$D$27:$AH$266,'Apr'!$D$27:$AH$266,'May'!$D$27:$AH$266,'Jun'!$D$27:$AH$266,'Jul'!$D$27:$AH$266,'Aug'!$D$27:$AH$266,'Sep'!$D$27:$AH$266,'Oct'!$D$27:$AH$266,'Nov'!$D$27:$AH$266,'Dec'!$D$27:$AH$266,'Jan (next year)'!$D$27:$AH$266),75,DAY($A$5))&amp;"")</f>
        <v/>
      </c>
      <c r="G29" s="81">
        <f>IF(OR($B29="",NOT(AND($A$5&gt;=DATE(PlanYear,1,1),$A$5&lt;=DATE(PlanYear+1,1,31)))),"",INDEX(CHOOSE(IF(YEAR($A$5)&gt;PlanYear,13,MONTH($A$5)),'Jan'!$D$27:$AH$266,'Feb'!$D$27:$AH$266,'Mar'!$D$27:$AH$266,'Apr'!$D$27:$AH$266,'May'!$D$27:$AH$266,'Jun'!$D$27:$AH$266,'Jul'!$D$27:$AH$266,'Aug'!$D$27:$AH$266,'Sep'!$D$27:$AH$266,'Oct'!$D$27:$AH$266,'Nov'!$D$27:$AH$266,'Dec'!$D$27:$AH$266,'Jan (next year)'!$D$27:$AH$266),76,DAY($A$5))&amp;"")</f>
        <v/>
      </c>
    </row>
    <row r="30" hidden="1">
      <c r="A30" s="38">
        <f>IF(Roster!$B$25="","",Roster!$B$25)</f>
        <v/>
      </c>
      <c r="B30" s="39">
        <f>IF(Roster!$C$25="","",Roster!$C$25)</f>
        <v/>
      </c>
      <c r="C30" s="40">
        <f>IF(Roster!$C$25="","",Roster!$F$25&amp;IF(OR(Roster!$G$25="SANS",Roster!$G$25="NSMEN")," | "&amp;Roster!$G$25,""))</f>
        <v/>
      </c>
      <c r="D30" s="81">
        <f>IF(OR($B30="",NOT(AND($A$5&gt;=DATE(PlanYear,1,1),$A$5&lt;=DATE(PlanYear+1,1,31)))),"",INDEX(CHOOSE(IF(YEAR($A$5)&gt;PlanYear,13,MONTH($A$5)),'Jan'!$D$27:$AH$266,'Feb'!$D$27:$AH$266,'Mar'!$D$27:$AH$266,'Apr'!$D$27:$AH$266,'May'!$D$27:$AH$266,'Jun'!$D$27:$AH$266,'Jul'!$D$27:$AH$266,'Aug'!$D$27:$AH$266,'Sep'!$D$27:$AH$266,'Oct'!$D$27:$AH$266,'Nov'!$D$27:$AH$266,'Dec'!$D$27:$AH$266,'Jan (next year)'!$D$27:$AH$266),77,DAY($A$5))&amp;"")</f>
        <v/>
      </c>
      <c r="E30" s="81">
        <f>IF(OR($B30="",NOT(AND($A$5&gt;=DATE(PlanYear,1,1),$A$5&lt;=DATE(PlanYear+1,1,31)))),"",INDEX(CHOOSE(IF(YEAR($A$5)&gt;PlanYear,13,MONTH($A$5)),'Jan'!$D$27:$AH$266,'Feb'!$D$27:$AH$266,'Mar'!$D$27:$AH$266,'Apr'!$D$27:$AH$266,'May'!$D$27:$AH$266,'Jun'!$D$27:$AH$266,'Jul'!$D$27:$AH$266,'Aug'!$D$27:$AH$266,'Sep'!$D$27:$AH$266,'Oct'!$D$27:$AH$266,'Nov'!$D$27:$AH$266,'Dec'!$D$27:$AH$266,'Jan (next year)'!$D$27:$AH$266),78,DAY($A$5))&amp;"")</f>
        <v/>
      </c>
      <c r="F30" s="81">
        <f>IF(OR($B30="",NOT(AND($A$5&gt;=DATE(PlanYear,1,1),$A$5&lt;=DATE(PlanYear+1,1,31)))),"",INDEX(CHOOSE(IF(YEAR($A$5)&gt;PlanYear,13,MONTH($A$5)),'Jan'!$D$27:$AH$266,'Feb'!$D$27:$AH$266,'Mar'!$D$27:$AH$266,'Apr'!$D$27:$AH$266,'May'!$D$27:$AH$266,'Jun'!$D$27:$AH$266,'Jul'!$D$27:$AH$266,'Aug'!$D$27:$AH$266,'Sep'!$D$27:$AH$266,'Oct'!$D$27:$AH$266,'Nov'!$D$27:$AH$266,'Dec'!$D$27:$AH$266,'Jan (next year)'!$D$27:$AH$266),79,DAY($A$5))&amp;"")</f>
        <v/>
      </c>
      <c r="G30" s="81">
        <f>IF(OR($B30="",NOT(AND($A$5&gt;=DATE(PlanYear,1,1),$A$5&lt;=DATE(PlanYear+1,1,31)))),"",INDEX(CHOOSE(IF(YEAR($A$5)&gt;PlanYear,13,MONTH($A$5)),'Jan'!$D$27:$AH$266,'Feb'!$D$27:$AH$266,'Mar'!$D$27:$AH$266,'Apr'!$D$27:$AH$266,'May'!$D$27:$AH$266,'Jun'!$D$27:$AH$266,'Jul'!$D$27:$AH$266,'Aug'!$D$27:$AH$266,'Sep'!$D$27:$AH$266,'Oct'!$D$27:$AH$266,'Nov'!$D$27:$AH$266,'Dec'!$D$27:$AH$266,'Jan (next year)'!$D$27:$AH$266),80,DAY($A$5))&amp;"")</f>
        <v/>
      </c>
    </row>
    <row r="31" hidden="1">
      <c r="A31" s="38">
        <f>IF(Roster!$B$26="","",Roster!$B$26)</f>
        <v/>
      </c>
      <c r="B31" s="39">
        <f>IF(Roster!$C$26="","",Roster!$C$26)</f>
        <v/>
      </c>
      <c r="C31" s="40">
        <f>IF(Roster!$C$26="","",Roster!$F$26&amp;IF(OR(Roster!$G$26="SANS",Roster!$G$26="NSMEN")," | "&amp;Roster!$G$26,""))</f>
        <v/>
      </c>
      <c r="D31" s="81">
        <f>IF(OR($B31="",NOT(AND($A$5&gt;=DATE(PlanYear,1,1),$A$5&lt;=DATE(PlanYear+1,1,31)))),"",INDEX(CHOOSE(IF(YEAR($A$5)&gt;PlanYear,13,MONTH($A$5)),'Jan'!$D$27:$AH$266,'Feb'!$D$27:$AH$266,'Mar'!$D$27:$AH$266,'Apr'!$D$27:$AH$266,'May'!$D$27:$AH$266,'Jun'!$D$27:$AH$266,'Jul'!$D$27:$AH$266,'Aug'!$D$27:$AH$266,'Sep'!$D$27:$AH$266,'Oct'!$D$27:$AH$266,'Nov'!$D$27:$AH$266,'Dec'!$D$27:$AH$266,'Jan (next year)'!$D$27:$AH$266),81,DAY($A$5))&amp;"")</f>
        <v/>
      </c>
      <c r="E31" s="81">
        <f>IF(OR($B31="",NOT(AND($A$5&gt;=DATE(PlanYear,1,1),$A$5&lt;=DATE(PlanYear+1,1,31)))),"",INDEX(CHOOSE(IF(YEAR($A$5)&gt;PlanYear,13,MONTH($A$5)),'Jan'!$D$27:$AH$266,'Feb'!$D$27:$AH$266,'Mar'!$D$27:$AH$266,'Apr'!$D$27:$AH$266,'May'!$D$27:$AH$266,'Jun'!$D$27:$AH$266,'Jul'!$D$27:$AH$266,'Aug'!$D$27:$AH$266,'Sep'!$D$27:$AH$266,'Oct'!$D$27:$AH$266,'Nov'!$D$27:$AH$266,'Dec'!$D$27:$AH$266,'Jan (next year)'!$D$27:$AH$266),82,DAY($A$5))&amp;"")</f>
        <v/>
      </c>
      <c r="F31" s="81">
        <f>IF(OR($B31="",NOT(AND($A$5&gt;=DATE(PlanYear,1,1),$A$5&lt;=DATE(PlanYear+1,1,31)))),"",INDEX(CHOOSE(IF(YEAR($A$5)&gt;PlanYear,13,MONTH($A$5)),'Jan'!$D$27:$AH$266,'Feb'!$D$27:$AH$266,'Mar'!$D$27:$AH$266,'Apr'!$D$27:$AH$266,'May'!$D$27:$AH$266,'Jun'!$D$27:$AH$266,'Jul'!$D$27:$AH$266,'Aug'!$D$27:$AH$266,'Sep'!$D$27:$AH$266,'Oct'!$D$27:$AH$266,'Nov'!$D$27:$AH$266,'Dec'!$D$27:$AH$266,'Jan (next year)'!$D$27:$AH$266),83,DAY($A$5))&amp;"")</f>
        <v/>
      </c>
      <c r="G31" s="81">
        <f>IF(OR($B31="",NOT(AND($A$5&gt;=DATE(PlanYear,1,1),$A$5&lt;=DATE(PlanYear+1,1,31)))),"",INDEX(CHOOSE(IF(YEAR($A$5)&gt;PlanYear,13,MONTH($A$5)),'Jan'!$D$27:$AH$266,'Feb'!$D$27:$AH$266,'Mar'!$D$27:$AH$266,'Apr'!$D$27:$AH$266,'May'!$D$27:$AH$266,'Jun'!$D$27:$AH$266,'Jul'!$D$27:$AH$266,'Aug'!$D$27:$AH$266,'Sep'!$D$27:$AH$266,'Oct'!$D$27:$AH$266,'Nov'!$D$27:$AH$266,'Dec'!$D$27:$AH$266,'Jan (next year)'!$D$27:$AH$266),84,DAY($A$5))&amp;"")</f>
        <v/>
      </c>
    </row>
    <row r="32" hidden="1">
      <c r="A32" s="38">
        <f>IF(Roster!$B$27="","",Roster!$B$27)</f>
        <v/>
      </c>
      <c r="B32" s="39">
        <f>IF(Roster!$C$27="","",Roster!$C$27)</f>
        <v/>
      </c>
      <c r="C32" s="40">
        <f>IF(Roster!$C$27="","",Roster!$F$27&amp;IF(OR(Roster!$G$27="SANS",Roster!$G$27="NSMEN")," | "&amp;Roster!$G$27,""))</f>
        <v/>
      </c>
      <c r="D32" s="81">
        <f>IF(OR($B32="",NOT(AND($A$5&gt;=DATE(PlanYear,1,1),$A$5&lt;=DATE(PlanYear+1,1,31)))),"",INDEX(CHOOSE(IF(YEAR($A$5)&gt;PlanYear,13,MONTH($A$5)),'Jan'!$D$27:$AH$266,'Feb'!$D$27:$AH$266,'Mar'!$D$27:$AH$266,'Apr'!$D$27:$AH$266,'May'!$D$27:$AH$266,'Jun'!$D$27:$AH$266,'Jul'!$D$27:$AH$266,'Aug'!$D$27:$AH$266,'Sep'!$D$27:$AH$266,'Oct'!$D$27:$AH$266,'Nov'!$D$27:$AH$266,'Dec'!$D$27:$AH$266,'Jan (next year)'!$D$27:$AH$266),85,DAY($A$5))&amp;"")</f>
        <v/>
      </c>
      <c r="E32" s="81">
        <f>IF(OR($B32="",NOT(AND($A$5&gt;=DATE(PlanYear,1,1),$A$5&lt;=DATE(PlanYear+1,1,31)))),"",INDEX(CHOOSE(IF(YEAR($A$5)&gt;PlanYear,13,MONTH($A$5)),'Jan'!$D$27:$AH$266,'Feb'!$D$27:$AH$266,'Mar'!$D$27:$AH$266,'Apr'!$D$27:$AH$266,'May'!$D$27:$AH$266,'Jun'!$D$27:$AH$266,'Jul'!$D$27:$AH$266,'Aug'!$D$27:$AH$266,'Sep'!$D$27:$AH$266,'Oct'!$D$27:$AH$266,'Nov'!$D$27:$AH$266,'Dec'!$D$27:$AH$266,'Jan (next year)'!$D$27:$AH$266),86,DAY($A$5))&amp;"")</f>
        <v/>
      </c>
      <c r="F32" s="81">
        <f>IF(OR($B32="",NOT(AND($A$5&gt;=DATE(PlanYear,1,1),$A$5&lt;=DATE(PlanYear+1,1,31)))),"",INDEX(CHOOSE(IF(YEAR($A$5)&gt;PlanYear,13,MONTH($A$5)),'Jan'!$D$27:$AH$266,'Feb'!$D$27:$AH$266,'Mar'!$D$27:$AH$266,'Apr'!$D$27:$AH$266,'May'!$D$27:$AH$266,'Jun'!$D$27:$AH$266,'Jul'!$D$27:$AH$266,'Aug'!$D$27:$AH$266,'Sep'!$D$27:$AH$266,'Oct'!$D$27:$AH$266,'Nov'!$D$27:$AH$266,'Dec'!$D$27:$AH$266,'Jan (next year)'!$D$27:$AH$266),87,DAY($A$5))&amp;"")</f>
        <v/>
      </c>
      <c r="G32" s="81">
        <f>IF(OR($B32="",NOT(AND($A$5&gt;=DATE(PlanYear,1,1),$A$5&lt;=DATE(PlanYear+1,1,31)))),"",INDEX(CHOOSE(IF(YEAR($A$5)&gt;PlanYear,13,MONTH($A$5)),'Jan'!$D$27:$AH$266,'Feb'!$D$27:$AH$266,'Mar'!$D$27:$AH$266,'Apr'!$D$27:$AH$266,'May'!$D$27:$AH$266,'Jun'!$D$27:$AH$266,'Jul'!$D$27:$AH$266,'Aug'!$D$27:$AH$266,'Sep'!$D$27:$AH$266,'Oct'!$D$27:$AH$266,'Nov'!$D$27:$AH$266,'Dec'!$D$27:$AH$266,'Jan (next year)'!$D$27:$AH$266),88,DAY($A$5))&amp;"")</f>
        <v/>
      </c>
    </row>
    <row r="33" hidden="1">
      <c r="A33" s="38">
        <f>IF(Roster!$B$28="","",Roster!$B$28)</f>
        <v/>
      </c>
      <c r="B33" s="39">
        <f>IF(Roster!$C$28="","",Roster!$C$28)</f>
        <v/>
      </c>
      <c r="C33" s="40">
        <f>IF(Roster!$C$28="","",Roster!$F$28&amp;IF(OR(Roster!$G$28="SANS",Roster!$G$28="NSMEN")," | "&amp;Roster!$G$28,""))</f>
        <v/>
      </c>
      <c r="D33" s="81">
        <f>IF(OR($B33="",NOT(AND($A$5&gt;=DATE(PlanYear,1,1),$A$5&lt;=DATE(PlanYear+1,1,31)))),"",INDEX(CHOOSE(IF(YEAR($A$5)&gt;PlanYear,13,MONTH($A$5)),'Jan'!$D$27:$AH$266,'Feb'!$D$27:$AH$266,'Mar'!$D$27:$AH$266,'Apr'!$D$27:$AH$266,'May'!$D$27:$AH$266,'Jun'!$D$27:$AH$266,'Jul'!$D$27:$AH$266,'Aug'!$D$27:$AH$266,'Sep'!$D$27:$AH$266,'Oct'!$D$27:$AH$266,'Nov'!$D$27:$AH$266,'Dec'!$D$27:$AH$266,'Jan (next year)'!$D$27:$AH$266),89,DAY($A$5))&amp;"")</f>
        <v/>
      </c>
      <c r="E33" s="81">
        <f>IF(OR($B33="",NOT(AND($A$5&gt;=DATE(PlanYear,1,1),$A$5&lt;=DATE(PlanYear+1,1,31)))),"",INDEX(CHOOSE(IF(YEAR($A$5)&gt;PlanYear,13,MONTH($A$5)),'Jan'!$D$27:$AH$266,'Feb'!$D$27:$AH$266,'Mar'!$D$27:$AH$266,'Apr'!$D$27:$AH$266,'May'!$D$27:$AH$266,'Jun'!$D$27:$AH$266,'Jul'!$D$27:$AH$266,'Aug'!$D$27:$AH$266,'Sep'!$D$27:$AH$266,'Oct'!$D$27:$AH$266,'Nov'!$D$27:$AH$266,'Dec'!$D$27:$AH$266,'Jan (next year)'!$D$27:$AH$266),90,DAY($A$5))&amp;"")</f>
        <v/>
      </c>
      <c r="F33" s="81">
        <f>IF(OR($B33="",NOT(AND($A$5&gt;=DATE(PlanYear,1,1),$A$5&lt;=DATE(PlanYear+1,1,31)))),"",INDEX(CHOOSE(IF(YEAR($A$5)&gt;PlanYear,13,MONTH($A$5)),'Jan'!$D$27:$AH$266,'Feb'!$D$27:$AH$266,'Mar'!$D$27:$AH$266,'Apr'!$D$27:$AH$266,'May'!$D$27:$AH$266,'Jun'!$D$27:$AH$266,'Jul'!$D$27:$AH$266,'Aug'!$D$27:$AH$266,'Sep'!$D$27:$AH$266,'Oct'!$D$27:$AH$266,'Nov'!$D$27:$AH$266,'Dec'!$D$27:$AH$266,'Jan (next year)'!$D$27:$AH$266),91,DAY($A$5))&amp;"")</f>
        <v/>
      </c>
      <c r="G33" s="81">
        <f>IF(OR($B33="",NOT(AND($A$5&gt;=DATE(PlanYear,1,1),$A$5&lt;=DATE(PlanYear+1,1,31)))),"",INDEX(CHOOSE(IF(YEAR($A$5)&gt;PlanYear,13,MONTH($A$5)),'Jan'!$D$27:$AH$266,'Feb'!$D$27:$AH$266,'Mar'!$D$27:$AH$266,'Apr'!$D$27:$AH$266,'May'!$D$27:$AH$266,'Jun'!$D$27:$AH$266,'Jul'!$D$27:$AH$266,'Aug'!$D$27:$AH$266,'Sep'!$D$27:$AH$266,'Oct'!$D$27:$AH$266,'Nov'!$D$27:$AH$266,'Dec'!$D$27:$AH$266,'Jan (next year)'!$D$27:$AH$266),92,DAY($A$5))&amp;"")</f>
        <v/>
      </c>
    </row>
    <row r="34" hidden="1">
      <c r="A34" s="38">
        <f>IF(Roster!$B$29="","",Roster!$B$29)</f>
        <v/>
      </c>
      <c r="B34" s="39">
        <f>IF(Roster!$C$29="","",Roster!$C$29)</f>
        <v/>
      </c>
      <c r="C34" s="40">
        <f>IF(Roster!$C$29="","",Roster!$F$29&amp;IF(OR(Roster!$G$29="SANS",Roster!$G$29="NSMEN")," | "&amp;Roster!$G$29,""))</f>
        <v/>
      </c>
      <c r="D34" s="81">
        <f>IF(OR($B34="",NOT(AND($A$5&gt;=DATE(PlanYear,1,1),$A$5&lt;=DATE(PlanYear+1,1,31)))),"",INDEX(CHOOSE(IF(YEAR($A$5)&gt;PlanYear,13,MONTH($A$5)),'Jan'!$D$27:$AH$266,'Feb'!$D$27:$AH$266,'Mar'!$D$27:$AH$266,'Apr'!$D$27:$AH$266,'May'!$D$27:$AH$266,'Jun'!$D$27:$AH$266,'Jul'!$D$27:$AH$266,'Aug'!$D$27:$AH$266,'Sep'!$D$27:$AH$266,'Oct'!$D$27:$AH$266,'Nov'!$D$27:$AH$266,'Dec'!$D$27:$AH$266,'Jan (next year)'!$D$27:$AH$266),93,DAY($A$5))&amp;"")</f>
        <v/>
      </c>
      <c r="E34" s="81">
        <f>IF(OR($B34="",NOT(AND($A$5&gt;=DATE(PlanYear,1,1),$A$5&lt;=DATE(PlanYear+1,1,31)))),"",INDEX(CHOOSE(IF(YEAR($A$5)&gt;PlanYear,13,MONTH($A$5)),'Jan'!$D$27:$AH$266,'Feb'!$D$27:$AH$266,'Mar'!$D$27:$AH$266,'Apr'!$D$27:$AH$266,'May'!$D$27:$AH$266,'Jun'!$D$27:$AH$266,'Jul'!$D$27:$AH$266,'Aug'!$D$27:$AH$266,'Sep'!$D$27:$AH$266,'Oct'!$D$27:$AH$266,'Nov'!$D$27:$AH$266,'Dec'!$D$27:$AH$266,'Jan (next year)'!$D$27:$AH$266),94,DAY($A$5))&amp;"")</f>
        <v/>
      </c>
      <c r="F34" s="81">
        <f>IF(OR($B34="",NOT(AND($A$5&gt;=DATE(PlanYear,1,1),$A$5&lt;=DATE(PlanYear+1,1,31)))),"",INDEX(CHOOSE(IF(YEAR($A$5)&gt;PlanYear,13,MONTH($A$5)),'Jan'!$D$27:$AH$266,'Feb'!$D$27:$AH$266,'Mar'!$D$27:$AH$266,'Apr'!$D$27:$AH$266,'May'!$D$27:$AH$266,'Jun'!$D$27:$AH$266,'Jul'!$D$27:$AH$266,'Aug'!$D$27:$AH$266,'Sep'!$D$27:$AH$266,'Oct'!$D$27:$AH$266,'Nov'!$D$27:$AH$266,'Dec'!$D$27:$AH$266,'Jan (next year)'!$D$27:$AH$266),95,DAY($A$5))&amp;"")</f>
        <v/>
      </c>
      <c r="G34" s="81">
        <f>IF(OR($B34="",NOT(AND($A$5&gt;=DATE(PlanYear,1,1),$A$5&lt;=DATE(PlanYear+1,1,31)))),"",INDEX(CHOOSE(IF(YEAR($A$5)&gt;PlanYear,13,MONTH($A$5)),'Jan'!$D$27:$AH$266,'Feb'!$D$27:$AH$266,'Mar'!$D$27:$AH$266,'Apr'!$D$27:$AH$266,'May'!$D$27:$AH$266,'Jun'!$D$27:$AH$266,'Jul'!$D$27:$AH$266,'Aug'!$D$27:$AH$266,'Sep'!$D$27:$AH$266,'Oct'!$D$27:$AH$266,'Nov'!$D$27:$AH$266,'Dec'!$D$27:$AH$266,'Jan (next year)'!$D$27:$AH$266),96,DAY($A$5))&amp;"")</f>
        <v/>
      </c>
    </row>
    <row r="35" hidden="1">
      <c r="A35" s="38">
        <f>IF(Roster!$B$30="","",Roster!$B$30)</f>
        <v/>
      </c>
      <c r="B35" s="39">
        <f>IF(Roster!$C$30="","",Roster!$C$30)</f>
        <v/>
      </c>
      <c r="C35" s="40">
        <f>IF(Roster!$C$30="","",Roster!$F$30&amp;IF(OR(Roster!$G$30="SANS",Roster!$G$30="NSMEN")," | "&amp;Roster!$G$30,""))</f>
        <v/>
      </c>
      <c r="D35" s="81">
        <f>IF(OR($B35="",NOT(AND($A$5&gt;=DATE(PlanYear,1,1),$A$5&lt;=DATE(PlanYear+1,1,31)))),"",INDEX(CHOOSE(IF(YEAR($A$5)&gt;PlanYear,13,MONTH($A$5)),'Jan'!$D$27:$AH$266,'Feb'!$D$27:$AH$266,'Mar'!$D$27:$AH$266,'Apr'!$D$27:$AH$266,'May'!$D$27:$AH$266,'Jun'!$D$27:$AH$266,'Jul'!$D$27:$AH$266,'Aug'!$D$27:$AH$266,'Sep'!$D$27:$AH$266,'Oct'!$D$27:$AH$266,'Nov'!$D$27:$AH$266,'Dec'!$D$27:$AH$266,'Jan (next year)'!$D$27:$AH$266),97,DAY($A$5))&amp;"")</f>
        <v/>
      </c>
      <c r="E35" s="81">
        <f>IF(OR($B35="",NOT(AND($A$5&gt;=DATE(PlanYear,1,1),$A$5&lt;=DATE(PlanYear+1,1,31)))),"",INDEX(CHOOSE(IF(YEAR($A$5)&gt;PlanYear,13,MONTH($A$5)),'Jan'!$D$27:$AH$266,'Feb'!$D$27:$AH$266,'Mar'!$D$27:$AH$266,'Apr'!$D$27:$AH$266,'May'!$D$27:$AH$266,'Jun'!$D$27:$AH$266,'Jul'!$D$27:$AH$266,'Aug'!$D$27:$AH$266,'Sep'!$D$27:$AH$266,'Oct'!$D$27:$AH$266,'Nov'!$D$27:$AH$266,'Dec'!$D$27:$AH$266,'Jan (next year)'!$D$27:$AH$266),98,DAY($A$5))&amp;"")</f>
        <v/>
      </c>
      <c r="F35" s="81">
        <f>IF(OR($B35="",NOT(AND($A$5&gt;=DATE(PlanYear,1,1),$A$5&lt;=DATE(PlanYear+1,1,31)))),"",INDEX(CHOOSE(IF(YEAR($A$5)&gt;PlanYear,13,MONTH($A$5)),'Jan'!$D$27:$AH$266,'Feb'!$D$27:$AH$266,'Mar'!$D$27:$AH$266,'Apr'!$D$27:$AH$266,'May'!$D$27:$AH$266,'Jun'!$D$27:$AH$266,'Jul'!$D$27:$AH$266,'Aug'!$D$27:$AH$266,'Sep'!$D$27:$AH$266,'Oct'!$D$27:$AH$266,'Nov'!$D$27:$AH$266,'Dec'!$D$27:$AH$266,'Jan (next year)'!$D$27:$AH$266),99,DAY($A$5))&amp;"")</f>
        <v/>
      </c>
      <c r="G35" s="81">
        <f>IF(OR($B35="",NOT(AND($A$5&gt;=DATE(PlanYear,1,1),$A$5&lt;=DATE(PlanYear+1,1,31)))),"",INDEX(CHOOSE(IF(YEAR($A$5)&gt;PlanYear,13,MONTH($A$5)),'Jan'!$D$27:$AH$266,'Feb'!$D$27:$AH$266,'Mar'!$D$27:$AH$266,'Apr'!$D$27:$AH$266,'May'!$D$27:$AH$266,'Jun'!$D$27:$AH$266,'Jul'!$D$27:$AH$266,'Aug'!$D$27:$AH$266,'Sep'!$D$27:$AH$266,'Oct'!$D$27:$AH$266,'Nov'!$D$27:$AH$266,'Dec'!$D$27:$AH$266,'Jan (next year)'!$D$27:$AH$266),100,DAY($A$5))&amp;"")</f>
        <v/>
      </c>
    </row>
    <row r="36" hidden="1">
      <c r="A36" s="38">
        <f>IF(Roster!$B$31="","",Roster!$B$31)</f>
        <v/>
      </c>
      <c r="B36" s="39">
        <f>IF(Roster!$C$31="","",Roster!$C$31)</f>
        <v/>
      </c>
      <c r="C36" s="40">
        <f>IF(Roster!$C$31="","",Roster!$F$31&amp;IF(OR(Roster!$G$31="SANS",Roster!$G$31="NSMEN")," | "&amp;Roster!$G$31,""))</f>
        <v/>
      </c>
      <c r="D36" s="81">
        <f>IF(OR($B36="",NOT(AND($A$5&gt;=DATE(PlanYear,1,1),$A$5&lt;=DATE(PlanYear+1,1,31)))),"",INDEX(CHOOSE(IF(YEAR($A$5)&gt;PlanYear,13,MONTH($A$5)),'Jan'!$D$27:$AH$266,'Feb'!$D$27:$AH$266,'Mar'!$D$27:$AH$266,'Apr'!$D$27:$AH$266,'May'!$D$27:$AH$266,'Jun'!$D$27:$AH$266,'Jul'!$D$27:$AH$266,'Aug'!$D$27:$AH$266,'Sep'!$D$27:$AH$266,'Oct'!$D$27:$AH$266,'Nov'!$D$27:$AH$266,'Dec'!$D$27:$AH$266,'Jan (next year)'!$D$27:$AH$266),101,DAY($A$5))&amp;"")</f>
        <v/>
      </c>
      <c r="E36" s="81">
        <f>IF(OR($B36="",NOT(AND($A$5&gt;=DATE(PlanYear,1,1),$A$5&lt;=DATE(PlanYear+1,1,31)))),"",INDEX(CHOOSE(IF(YEAR($A$5)&gt;PlanYear,13,MONTH($A$5)),'Jan'!$D$27:$AH$266,'Feb'!$D$27:$AH$266,'Mar'!$D$27:$AH$266,'Apr'!$D$27:$AH$266,'May'!$D$27:$AH$266,'Jun'!$D$27:$AH$266,'Jul'!$D$27:$AH$266,'Aug'!$D$27:$AH$266,'Sep'!$D$27:$AH$266,'Oct'!$D$27:$AH$266,'Nov'!$D$27:$AH$266,'Dec'!$D$27:$AH$266,'Jan (next year)'!$D$27:$AH$266),102,DAY($A$5))&amp;"")</f>
        <v/>
      </c>
      <c r="F36" s="81">
        <f>IF(OR($B36="",NOT(AND($A$5&gt;=DATE(PlanYear,1,1),$A$5&lt;=DATE(PlanYear+1,1,31)))),"",INDEX(CHOOSE(IF(YEAR($A$5)&gt;PlanYear,13,MONTH($A$5)),'Jan'!$D$27:$AH$266,'Feb'!$D$27:$AH$266,'Mar'!$D$27:$AH$266,'Apr'!$D$27:$AH$266,'May'!$D$27:$AH$266,'Jun'!$D$27:$AH$266,'Jul'!$D$27:$AH$266,'Aug'!$D$27:$AH$266,'Sep'!$D$27:$AH$266,'Oct'!$D$27:$AH$266,'Nov'!$D$27:$AH$266,'Dec'!$D$27:$AH$266,'Jan (next year)'!$D$27:$AH$266),103,DAY($A$5))&amp;"")</f>
        <v/>
      </c>
      <c r="G36" s="81">
        <f>IF(OR($B36="",NOT(AND($A$5&gt;=DATE(PlanYear,1,1),$A$5&lt;=DATE(PlanYear+1,1,31)))),"",INDEX(CHOOSE(IF(YEAR($A$5)&gt;PlanYear,13,MONTH($A$5)),'Jan'!$D$27:$AH$266,'Feb'!$D$27:$AH$266,'Mar'!$D$27:$AH$266,'Apr'!$D$27:$AH$266,'May'!$D$27:$AH$266,'Jun'!$D$27:$AH$266,'Jul'!$D$27:$AH$266,'Aug'!$D$27:$AH$266,'Sep'!$D$27:$AH$266,'Oct'!$D$27:$AH$266,'Nov'!$D$27:$AH$266,'Dec'!$D$27:$AH$266,'Jan (next year)'!$D$27:$AH$266),104,DAY($A$5))&amp;"")</f>
        <v/>
      </c>
    </row>
    <row r="37" hidden="1">
      <c r="A37" s="38">
        <f>IF(Roster!$B$32="","",Roster!$B$32)</f>
        <v/>
      </c>
      <c r="B37" s="39">
        <f>IF(Roster!$C$32="","",Roster!$C$32)</f>
        <v/>
      </c>
      <c r="C37" s="40">
        <f>IF(Roster!$C$32="","",Roster!$F$32&amp;IF(OR(Roster!$G$32="SANS",Roster!$G$32="NSMEN")," | "&amp;Roster!$G$32,""))</f>
        <v/>
      </c>
      <c r="D37" s="81">
        <f>IF(OR($B37="",NOT(AND($A$5&gt;=DATE(PlanYear,1,1),$A$5&lt;=DATE(PlanYear+1,1,31)))),"",INDEX(CHOOSE(IF(YEAR($A$5)&gt;PlanYear,13,MONTH($A$5)),'Jan'!$D$27:$AH$266,'Feb'!$D$27:$AH$266,'Mar'!$D$27:$AH$266,'Apr'!$D$27:$AH$266,'May'!$D$27:$AH$266,'Jun'!$D$27:$AH$266,'Jul'!$D$27:$AH$266,'Aug'!$D$27:$AH$266,'Sep'!$D$27:$AH$266,'Oct'!$D$27:$AH$266,'Nov'!$D$27:$AH$266,'Dec'!$D$27:$AH$266,'Jan (next year)'!$D$27:$AH$266),105,DAY($A$5))&amp;"")</f>
        <v/>
      </c>
      <c r="E37" s="81">
        <f>IF(OR($B37="",NOT(AND($A$5&gt;=DATE(PlanYear,1,1),$A$5&lt;=DATE(PlanYear+1,1,31)))),"",INDEX(CHOOSE(IF(YEAR($A$5)&gt;PlanYear,13,MONTH($A$5)),'Jan'!$D$27:$AH$266,'Feb'!$D$27:$AH$266,'Mar'!$D$27:$AH$266,'Apr'!$D$27:$AH$266,'May'!$D$27:$AH$266,'Jun'!$D$27:$AH$266,'Jul'!$D$27:$AH$266,'Aug'!$D$27:$AH$266,'Sep'!$D$27:$AH$266,'Oct'!$D$27:$AH$266,'Nov'!$D$27:$AH$266,'Dec'!$D$27:$AH$266,'Jan (next year)'!$D$27:$AH$266),106,DAY($A$5))&amp;"")</f>
        <v/>
      </c>
      <c r="F37" s="81">
        <f>IF(OR($B37="",NOT(AND($A$5&gt;=DATE(PlanYear,1,1),$A$5&lt;=DATE(PlanYear+1,1,31)))),"",INDEX(CHOOSE(IF(YEAR($A$5)&gt;PlanYear,13,MONTH($A$5)),'Jan'!$D$27:$AH$266,'Feb'!$D$27:$AH$266,'Mar'!$D$27:$AH$266,'Apr'!$D$27:$AH$266,'May'!$D$27:$AH$266,'Jun'!$D$27:$AH$266,'Jul'!$D$27:$AH$266,'Aug'!$D$27:$AH$266,'Sep'!$D$27:$AH$266,'Oct'!$D$27:$AH$266,'Nov'!$D$27:$AH$266,'Dec'!$D$27:$AH$266,'Jan (next year)'!$D$27:$AH$266),107,DAY($A$5))&amp;"")</f>
        <v/>
      </c>
      <c r="G37" s="81">
        <f>IF(OR($B37="",NOT(AND($A$5&gt;=DATE(PlanYear,1,1),$A$5&lt;=DATE(PlanYear+1,1,31)))),"",INDEX(CHOOSE(IF(YEAR($A$5)&gt;PlanYear,13,MONTH($A$5)),'Jan'!$D$27:$AH$266,'Feb'!$D$27:$AH$266,'Mar'!$D$27:$AH$266,'Apr'!$D$27:$AH$266,'May'!$D$27:$AH$266,'Jun'!$D$27:$AH$266,'Jul'!$D$27:$AH$266,'Aug'!$D$27:$AH$266,'Sep'!$D$27:$AH$266,'Oct'!$D$27:$AH$266,'Nov'!$D$27:$AH$266,'Dec'!$D$27:$AH$266,'Jan (next year)'!$D$27:$AH$266),108,DAY($A$5))&amp;"")</f>
        <v/>
      </c>
    </row>
    <row r="38" hidden="1">
      <c r="A38" s="38">
        <f>IF(Roster!$B$33="","",Roster!$B$33)</f>
        <v/>
      </c>
      <c r="B38" s="39">
        <f>IF(Roster!$C$33="","",Roster!$C$33)</f>
        <v/>
      </c>
      <c r="C38" s="40">
        <f>IF(Roster!$C$33="","",Roster!$F$33&amp;IF(OR(Roster!$G$33="SANS",Roster!$G$33="NSMEN")," | "&amp;Roster!$G$33,""))</f>
        <v/>
      </c>
      <c r="D38" s="81">
        <f>IF(OR($B38="",NOT(AND($A$5&gt;=DATE(PlanYear,1,1),$A$5&lt;=DATE(PlanYear+1,1,31)))),"",INDEX(CHOOSE(IF(YEAR($A$5)&gt;PlanYear,13,MONTH($A$5)),'Jan'!$D$27:$AH$266,'Feb'!$D$27:$AH$266,'Mar'!$D$27:$AH$266,'Apr'!$D$27:$AH$266,'May'!$D$27:$AH$266,'Jun'!$D$27:$AH$266,'Jul'!$D$27:$AH$266,'Aug'!$D$27:$AH$266,'Sep'!$D$27:$AH$266,'Oct'!$D$27:$AH$266,'Nov'!$D$27:$AH$266,'Dec'!$D$27:$AH$266,'Jan (next year)'!$D$27:$AH$266),109,DAY($A$5))&amp;"")</f>
        <v/>
      </c>
      <c r="E38" s="81">
        <f>IF(OR($B38="",NOT(AND($A$5&gt;=DATE(PlanYear,1,1),$A$5&lt;=DATE(PlanYear+1,1,31)))),"",INDEX(CHOOSE(IF(YEAR($A$5)&gt;PlanYear,13,MONTH($A$5)),'Jan'!$D$27:$AH$266,'Feb'!$D$27:$AH$266,'Mar'!$D$27:$AH$266,'Apr'!$D$27:$AH$266,'May'!$D$27:$AH$266,'Jun'!$D$27:$AH$266,'Jul'!$D$27:$AH$266,'Aug'!$D$27:$AH$266,'Sep'!$D$27:$AH$266,'Oct'!$D$27:$AH$266,'Nov'!$D$27:$AH$266,'Dec'!$D$27:$AH$266,'Jan (next year)'!$D$27:$AH$266),110,DAY($A$5))&amp;"")</f>
        <v/>
      </c>
      <c r="F38" s="81">
        <f>IF(OR($B38="",NOT(AND($A$5&gt;=DATE(PlanYear,1,1),$A$5&lt;=DATE(PlanYear+1,1,31)))),"",INDEX(CHOOSE(IF(YEAR($A$5)&gt;PlanYear,13,MONTH($A$5)),'Jan'!$D$27:$AH$266,'Feb'!$D$27:$AH$266,'Mar'!$D$27:$AH$266,'Apr'!$D$27:$AH$266,'May'!$D$27:$AH$266,'Jun'!$D$27:$AH$266,'Jul'!$D$27:$AH$266,'Aug'!$D$27:$AH$266,'Sep'!$D$27:$AH$266,'Oct'!$D$27:$AH$266,'Nov'!$D$27:$AH$266,'Dec'!$D$27:$AH$266,'Jan (next year)'!$D$27:$AH$266),111,DAY($A$5))&amp;"")</f>
        <v/>
      </c>
      <c r="G38" s="81">
        <f>IF(OR($B38="",NOT(AND($A$5&gt;=DATE(PlanYear,1,1),$A$5&lt;=DATE(PlanYear+1,1,31)))),"",INDEX(CHOOSE(IF(YEAR($A$5)&gt;PlanYear,13,MONTH($A$5)),'Jan'!$D$27:$AH$266,'Feb'!$D$27:$AH$266,'Mar'!$D$27:$AH$266,'Apr'!$D$27:$AH$266,'May'!$D$27:$AH$266,'Jun'!$D$27:$AH$266,'Jul'!$D$27:$AH$266,'Aug'!$D$27:$AH$266,'Sep'!$D$27:$AH$266,'Oct'!$D$27:$AH$266,'Nov'!$D$27:$AH$266,'Dec'!$D$27:$AH$266,'Jan (next year)'!$D$27:$AH$266),112,DAY($A$5))&amp;"")</f>
        <v/>
      </c>
    </row>
    <row r="39" hidden="1">
      <c r="A39" s="38">
        <f>IF(Roster!$B$34="","",Roster!$B$34)</f>
        <v/>
      </c>
      <c r="B39" s="39">
        <f>IF(Roster!$C$34="","",Roster!$C$34)</f>
        <v/>
      </c>
      <c r="C39" s="40">
        <f>IF(Roster!$C$34="","",Roster!$F$34&amp;IF(OR(Roster!$G$34="SANS",Roster!$G$34="NSMEN")," | "&amp;Roster!$G$34,""))</f>
        <v/>
      </c>
      <c r="D39" s="81">
        <f>IF(OR($B39="",NOT(AND($A$5&gt;=DATE(PlanYear,1,1),$A$5&lt;=DATE(PlanYear+1,1,31)))),"",INDEX(CHOOSE(IF(YEAR($A$5)&gt;PlanYear,13,MONTH($A$5)),'Jan'!$D$27:$AH$266,'Feb'!$D$27:$AH$266,'Mar'!$D$27:$AH$266,'Apr'!$D$27:$AH$266,'May'!$D$27:$AH$266,'Jun'!$D$27:$AH$266,'Jul'!$D$27:$AH$266,'Aug'!$D$27:$AH$266,'Sep'!$D$27:$AH$266,'Oct'!$D$27:$AH$266,'Nov'!$D$27:$AH$266,'Dec'!$D$27:$AH$266,'Jan (next year)'!$D$27:$AH$266),113,DAY($A$5))&amp;"")</f>
        <v/>
      </c>
      <c r="E39" s="81">
        <f>IF(OR($B39="",NOT(AND($A$5&gt;=DATE(PlanYear,1,1),$A$5&lt;=DATE(PlanYear+1,1,31)))),"",INDEX(CHOOSE(IF(YEAR($A$5)&gt;PlanYear,13,MONTH($A$5)),'Jan'!$D$27:$AH$266,'Feb'!$D$27:$AH$266,'Mar'!$D$27:$AH$266,'Apr'!$D$27:$AH$266,'May'!$D$27:$AH$266,'Jun'!$D$27:$AH$266,'Jul'!$D$27:$AH$266,'Aug'!$D$27:$AH$266,'Sep'!$D$27:$AH$266,'Oct'!$D$27:$AH$266,'Nov'!$D$27:$AH$266,'Dec'!$D$27:$AH$266,'Jan (next year)'!$D$27:$AH$266),114,DAY($A$5))&amp;"")</f>
        <v/>
      </c>
      <c r="F39" s="81">
        <f>IF(OR($B39="",NOT(AND($A$5&gt;=DATE(PlanYear,1,1),$A$5&lt;=DATE(PlanYear+1,1,31)))),"",INDEX(CHOOSE(IF(YEAR($A$5)&gt;PlanYear,13,MONTH($A$5)),'Jan'!$D$27:$AH$266,'Feb'!$D$27:$AH$266,'Mar'!$D$27:$AH$266,'Apr'!$D$27:$AH$266,'May'!$D$27:$AH$266,'Jun'!$D$27:$AH$266,'Jul'!$D$27:$AH$266,'Aug'!$D$27:$AH$266,'Sep'!$D$27:$AH$266,'Oct'!$D$27:$AH$266,'Nov'!$D$27:$AH$266,'Dec'!$D$27:$AH$266,'Jan (next year)'!$D$27:$AH$266),115,DAY($A$5))&amp;"")</f>
        <v/>
      </c>
      <c r="G39" s="81">
        <f>IF(OR($B39="",NOT(AND($A$5&gt;=DATE(PlanYear,1,1),$A$5&lt;=DATE(PlanYear+1,1,31)))),"",INDEX(CHOOSE(IF(YEAR($A$5)&gt;PlanYear,13,MONTH($A$5)),'Jan'!$D$27:$AH$266,'Feb'!$D$27:$AH$266,'Mar'!$D$27:$AH$266,'Apr'!$D$27:$AH$266,'May'!$D$27:$AH$266,'Jun'!$D$27:$AH$266,'Jul'!$D$27:$AH$266,'Aug'!$D$27:$AH$266,'Sep'!$D$27:$AH$266,'Oct'!$D$27:$AH$266,'Nov'!$D$27:$AH$266,'Dec'!$D$27:$AH$266,'Jan (next year)'!$D$27:$AH$266),116,DAY($A$5))&amp;"")</f>
        <v/>
      </c>
    </row>
    <row r="40" hidden="1">
      <c r="A40" s="38">
        <f>IF(Roster!$B$35="","",Roster!$B$35)</f>
        <v/>
      </c>
      <c r="B40" s="39">
        <f>IF(Roster!$C$35="","",Roster!$C$35)</f>
        <v/>
      </c>
      <c r="C40" s="40">
        <f>IF(Roster!$C$35="","",Roster!$F$35&amp;IF(OR(Roster!$G$35="SANS",Roster!$G$35="NSMEN")," | "&amp;Roster!$G$35,""))</f>
        <v/>
      </c>
      <c r="D40" s="81">
        <f>IF(OR($B40="",NOT(AND($A$5&gt;=DATE(PlanYear,1,1),$A$5&lt;=DATE(PlanYear+1,1,31)))),"",INDEX(CHOOSE(IF(YEAR($A$5)&gt;PlanYear,13,MONTH($A$5)),'Jan'!$D$27:$AH$266,'Feb'!$D$27:$AH$266,'Mar'!$D$27:$AH$266,'Apr'!$D$27:$AH$266,'May'!$D$27:$AH$266,'Jun'!$D$27:$AH$266,'Jul'!$D$27:$AH$266,'Aug'!$D$27:$AH$266,'Sep'!$D$27:$AH$266,'Oct'!$D$27:$AH$266,'Nov'!$D$27:$AH$266,'Dec'!$D$27:$AH$266,'Jan (next year)'!$D$27:$AH$266),117,DAY($A$5))&amp;"")</f>
        <v/>
      </c>
      <c r="E40" s="81">
        <f>IF(OR($B40="",NOT(AND($A$5&gt;=DATE(PlanYear,1,1),$A$5&lt;=DATE(PlanYear+1,1,31)))),"",INDEX(CHOOSE(IF(YEAR($A$5)&gt;PlanYear,13,MONTH($A$5)),'Jan'!$D$27:$AH$266,'Feb'!$D$27:$AH$266,'Mar'!$D$27:$AH$266,'Apr'!$D$27:$AH$266,'May'!$D$27:$AH$266,'Jun'!$D$27:$AH$266,'Jul'!$D$27:$AH$266,'Aug'!$D$27:$AH$266,'Sep'!$D$27:$AH$266,'Oct'!$D$27:$AH$266,'Nov'!$D$27:$AH$266,'Dec'!$D$27:$AH$266,'Jan (next year)'!$D$27:$AH$266),118,DAY($A$5))&amp;"")</f>
        <v/>
      </c>
      <c r="F40" s="81">
        <f>IF(OR($B40="",NOT(AND($A$5&gt;=DATE(PlanYear,1,1),$A$5&lt;=DATE(PlanYear+1,1,31)))),"",INDEX(CHOOSE(IF(YEAR($A$5)&gt;PlanYear,13,MONTH($A$5)),'Jan'!$D$27:$AH$266,'Feb'!$D$27:$AH$266,'Mar'!$D$27:$AH$266,'Apr'!$D$27:$AH$266,'May'!$D$27:$AH$266,'Jun'!$D$27:$AH$266,'Jul'!$D$27:$AH$266,'Aug'!$D$27:$AH$266,'Sep'!$D$27:$AH$266,'Oct'!$D$27:$AH$266,'Nov'!$D$27:$AH$266,'Dec'!$D$27:$AH$266,'Jan (next year)'!$D$27:$AH$266),119,DAY($A$5))&amp;"")</f>
        <v/>
      </c>
      <c r="G40" s="81">
        <f>IF(OR($B40="",NOT(AND($A$5&gt;=DATE(PlanYear,1,1),$A$5&lt;=DATE(PlanYear+1,1,31)))),"",INDEX(CHOOSE(IF(YEAR($A$5)&gt;PlanYear,13,MONTH($A$5)),'Jan'!$D$27:$AH$266,'Feb'!$D$27:$AH$266,'Mar'!$D$27:$AH$266,'Apr'!$D$27:$AH$266,'May'!$D$27:$AH$266,'Jun'!$D$27:$AH$266,'Jul'!$D$27:$AH$266,'Aug'!$D$27:$AH$266,'Sep'!$D$27:$AH$266,'Oct'!$D$27:$AH$266,'Nov'!$D$27:$AH$266,'Dec'!$D$27:$AH$266,'Jan (next year)'!$D$27:$AH$266),120,DAY($A$5))&amp;"")</f>
        <v/>
      </c>
    </row>
    <row r="41" hidden="1">
      <c r="A41" s="38">
        <f>IF(Roster!$B$36="","",Roster!$B$36)</f>
        <v/>
      </c>
      <c r="B41" s="39">
        <f>IF(Roster!$C$36="","",Roster!$C$36)</f>
        <v/>
      </c>
      <c r="C41" s="40">
        <f>IF(Roster!$C$36="","",Roster!$F$36&amp;IF(OR(Roster!$G$36="SANS",Roster!$G$36="NSMEN")," | "&amp;Roster!$G$36,""))</f>
        <v/>
      </c>
      <c r="D41" s="81">
        <f>IF(OR($B41="",NOT(AND($A$5&gt;=DATE(PlanYear,1,1),$A$5&lt;=DATE(PlanYear+1,1,31)))),"",INDEX(CHOOSE(IF(YEAR($A$5)&gt;PlanYear,13,MONTH($A$5)),'Jan'!$D$27:$AH$266,'Feb'!$D$27:$AH$266,'Mar'!$D$27:$AH$266,'Apr'!$D$27:$AH$266,'May'!$D$27:$AH$266,'Jun'!$D$27:$AH$266,'Jul'!$D$27:$AH$266,'Aug'!$D$27:$AH$266,'Sep'!$D$27:$AH$266,'Oct'!$D$27:$AH$266,'Nov'!$D$27:$AH$266,'Dec'!$D$27:$AH$266,'Jan (next year)'!$D$27:$AH$266),121,DAY($A$5))&amp;"")</f>
        <v/>
      </c>
      <c r="E41" s="81">
        <f>IF(OR($B41="",NOT(AND($A$5&gt;=DATE(PlanYear,1,1),$A$5&lt;=DATE(PlanYear+1,1,31)))),"",INDEX(CHOOSE(IF(YEAR($A$5)&gt;PlanYear,13,MONTH($A$5)),'Jan'!$D$27:$AH$266,'Feb'!$D$27:$AH$266,'Mar'!$D$27:$AH$266,'Apr'!$D$27:$AH$266,'May'!$D$27:$AH$266,'Jun'!$D$27:$AH$266,'Jul'!$D$27:$AH$266,'Aug'!$D$27:$AH$266,'Sep'!$D$27:$AH$266,'Oct'!$D$27:$AH$266,'Nov'!$D$27:$AH$266,'Dec'!$D$27:$AH$266,'Jan (next year)'!$D$27:$AH$266),122,DAY($A$5))&amp;"")</f>
        <v/>
      </c>
      <c r="F41" s="81">
        <f>IF(OR($B41="",NOT(AND($A$5&gt;=DATE(PlanYear,1,1),$A$5&lt;=DATE(PlanYear+1,1,31)))),"",INDEX(CHOOSE(IF(YEAR($A$5)&gt;PlanYear,13,MONTH($A$5)),'Jan'!$D$27:$AH$266,'Feb'!$D$27:$AH$266,'Mar'!$D$27:$AH$266,'Apr'!$D$27:$AH$266,'May'!$D$27:$AH$266,'Jun'!$D$27:$AH$266,'Jul'!$D$27:$AH$266,'Aug'!$D$27:$AH$266,'Sep'!$D$27:$AH$266,'Oct'!$D$27:$AH$266,'Nov'!$D$27:$AH$266,'Dec'!$D$27:$AH$266,'Jan (next year)'!$D$27:$AH$266),123,DAY($A$5))&amp;"")</f>
        <v/>
      </c>
      <c r="G41" s="81">
        <f>IF(OR($B41="",NOT(AND($A$5&gt;=DATE(PlanYear,1,1),$A$5&lt;=DATE(PlanYear+1,1,31)))),"",INDEX(CHOOSE(IF(YEAR($A$5)&gt;PlanYear,13,MONTH($A$5)),'Jan'!$D$27:$AH$266,'Feb'!$D$27:$AH$266,'Mar'!$D$27:$AH$266,'Apr'!$D$27:$AH$266,'May'!$D$27:$AH$266,'Jun'!$D$27:$AH$266,'Jul'!$D$27:$AH$266,'Aug'!$D$27:$AH$266,'Sep'!$D$27:$AH$266,'Oct'!$D$27:$AH$266,'Nov'!$D$27:$AH$266,'Dec'!$D$27:$AH$266,'Jan (next year)'!$D$27:$AH$266),124,DAY($A$5))&amp;"")</f>
        <v/>
      </c>
    </row>
    <row r="42" hidden="1">
      <c r="A42" s="38">
        <f>IF(Roster!$B$37="","",Roster!$B$37)</f>
        <v/>
      </c>
      <c r="B42" s="39">
        <f>IF(Roster!$C$37="","",Roster!$C$37)</f>
        <v/>
      </c>
      <c r="C42" s="40">
        <f>IF(Roster!$C$37="","",Roster!$F$37&amp;IF(OR(Roster!$G$37="SANS",Roster!$G$37="NSMEN")," | "&amp;Roster!$G$37,""))</f>
        <v/>
      </c>
      <c r="D42" s="81">
        <f>IF(OR($B42="",NOT(AND($A$5&gt;=DATE(PlanYear,1,1),$A$5&lt;=DATE(PlanYear+1,1,31)))),"",INDEX(CHOOSE(IF(YEAR($A$5)&gt;PlanYear,13,MONTH($A$5)),'Jan'!$D$27:$AH$266,'Feb'!$D$27:$AH$266,'Mar'!$D$27:$AH$266,'Apr'!$D$27:$AH$266,'May'!$D$27:$AH$266,'Jun'!$D$27:$AH$266,'Jul'!$D$27:$AH$266,'Aug'!$D$27:$AH$266,'Sep'!$D$27:$AH$266,'Oct'!$D$27:$AH$266,'Nov'!$D$27:$AH$266,'Dec'!$D$27:$AH$266,'Jan (next year)'!$D$27:$AH$266),125,DAY($A$5))&amp;"")</f>
        <v/>
      </c>
      <c r="E42" s="81">
        <f>IF(OR($B42="",NOT(AND($A$5&gt;=DATE(PlanYear,1,1),$A$5&lt;=DATE(PlanYear+1,1,31)))),"",INDEX(CHOOSE(IF(YEAR($A$5)&gt;PlanYear,13,MONTH($A$5)),'Jan'!$D$27:$AH$266,'Feb'!$D$27:$AH$266,'Mar'!$D$27:$AH$266,'Apr'!$D$27:$AH$266,'May'!$D$27:$AH$266,'Jun'!$D$27:$AH$266,'Jul'!$D$27:$AH$266,'Aug'!$D$27:$AH$266,'Sep'!$D$27:$AH$266,'Oct'!$D$27:$AH$266,'Nov'!$D$27:$AH$266,'Dec'!$D$27:$AH$266,'Jan (next year)'!$D$27:$AH$266),126,DAY($A$5))&amp;"")</f>
        <v/>
      </c>
      <c r="F42" s="81">
        <f>IF(OR($B42="",NOT(AND($A$5&gt;=DATE(PlanYear,1,1),$A$5&lt;=DATE(PlanYear+1,1,31)))),"",INDEX(CHOOSE(IF(YEAR($A$5)&gt;PlanYear,13,MONTH($A$5)),'Jan'!$D$27:$AH$266,'Feb'!$D$27:$AH$266,'Mar'!$D$27:$AH$266,'Apr'!$D$27:$AH$266,'May'!$D$27:$AH$266,'Jun'!$D$27:$AH$266,'Jul'!$D$27:$AH$266,'Aug'!$D$27:$AH$266,'Sep'!$D$27:$AH$266,'Oct'!$D$27:$AH$266,'Nov'!$D$27:$AH$266,'Dec'!$D$27:$AH$266,'Jan (next year)'!$D$27:$AH$266),127,DAY($A$5))&amp;"")</f>
        <v/>
      </c>
      <c r="G42" s="81">
        <f>IF(OR($B42="",NOT(AND($A$5&gt;=DATE(PlanYear,1,1),$A$5&lt;=DATE(PlanYear+1,1,31)))),"",INDEX(CHOOSE(IF(YEAR($A$5)&gt;PlanYear,13,MONTH($A$5)),'Jan'!$D$27:$AH$266,'Feb'!$D$27:$AH$266,'Mar'!$D$27:$AH$266,'Apr'!$D$27:$AH$266,'May'!$D$27:$AH$266,'Jun'!$D$27:$AH$266,'Jul'!$D$27:$AH$266,'Aug'!$D$27:$AH$266,'Sep'!$D$27:$AH$266,'Oct'!$D$27:$AH$266,'Nov'!$D$27:$AH$266,'Dec'!$D$27:$AH$266,'Jan (next year)'!$D$27:$AH$266),128,DAY($A$5))&amp;"")</f>
        <v/>
      </c>
    </row>
    <row r="43" hidden="1">
      <c r="A43" s="38">
        <f>IF(Roster!$B$38="","",Roster!$B$38)</f>
        <v/>
      </c>
      <c r="B43" s="39">
        <f>IF(Roster!$C$38="","",Roster!$C$38)</f>
        <v/>
      </c>
      <c r="C43" s="40">
        <f>IF(Roster!$C$38="","",Roster!$F$38&amp;IF(OR(Roster!$G$38="SANS",Roster!$G$38="NSMEN")," | "&amp;Roster!$G$38,""))</f>
        <v/>
      </c>
      <c r="D43" s="81">
        <f>IF(OR($B43="",NOT(AND($A$5&gt;=DATE(PlanYear,1,1),$A$5&lt;=DATE(PlanYear+1,1,31)))),"",INDEX(CHOOSE(IF(YEAR($A$5)&gt;PlanYear,13,MONTH($A$5)),'Jan'!$D$27:$AH$266,'Feb'!$D$27:$AH$266,'Mar'!$D$27:$AH$266,'Apr'!$D$27:$AH$266,'May'!$D$27:$AH$266,'Jun'!$D$27:$AH$266,'Jul'!$D$27:$AH$266,'Aug'!$D$27:$AH$266,'Sep'!$D$27:$AH$266,'Oct'!$D$27:$AH$266,'Nov'!$D$27:$AH$266,'Dec'!$D$27:$AH$266,'Jan (next year)'!$D$27:$AH$266),129,DAY($A$5))&amp;"")</f>
        <v/>
      </c>
      <c r="E43" s="81">
        <f>IF(OR($B43="",NOT(AND($A$5&gt;=DATE(PlanYear,1,1),$A$5&lt;=DATE(PlanYear+1,1,31)))),"",INDEX(CHOOSE(IF(YEAR($A$5)&gt;PlanYear,13,MONTH($A$5)),'Jan'!$D$27:$AH$266,'Feb'!$D$27:$AH$266,'Mar'!$D$27:$AH$266,'Apr'!$D$27:$AH$266,'May'!$D$27:$AH$266,'Jun'!$D$27:$AH$266,'Jul'!$D$27:$AH$266,'Aug'!$D$27:$AH$266,'Sep'!$D$27:$AH$266,'Oct'!$D$27:$AH$266,'Nov'!$D$27:$AH$266,'Dec'!$D$27:$AH$266,'Jan (next year)'!$D$27:$AH$266),130,DAY($A$5))&amp;"")</f>
        <v/>
      </c>
      <c r="F43" s="81">
        <f>IF(OR($B43="",NOT(AND($A$5&gt;=DATE(PlanYear,1,1),$A$5&lt;=DATE(PlanYear+1,1,31)))),"",INDEX(CHOOSE(IF(YEAR($A$5)&gt;PlanYear,13,MONTH($A$5)),'Jan'!$D$27:$AH$266,'Feb'!$D$27:$AH$266,'Mar'!$D$27:$AH$266,'Apr'!$D$27:$AH$266,'May'!$D$27:$AH$266,'Jun'!$D$27:$AH$266,'Jul'!$D$27:$AH$266,'Aug'!$D$27:$AH$266,'Sep'!$D$27:$AH$266,'Oct'!$D$27:$AH$266,'Nov'!$D$27:$AH$266,'Dec'!$D$27:$AH$266,'Jan (next year)'!$D$27:$AH$266),131,DAY($A$5))&amp;"")</f>
        <v/>
      </c>
      <c r="G43" s="81">
        <f>IF(OR($B43="",NOT(AND($A$5&gt;=DATE(PlanYear,1,1),$A$5&lt;=DATE(PlanYear+1,1,31)))),"",INDEX(CHOOSE(IF(YEAR($A$5)&gt;PlanYear,13,MONTH($A$5)),'Jan'!$D$27:$AH$266,'Feb'!$D$27:$AH$266,'Mar'!$D$27:$AH$266,'Apr'!$D$27:$AH$266,'May'!$D$27:$AH$266,'Jun'!$D$27:$AH$266,'Jul'!$D$27:$AH$266,'Aug'!$D$27:$AH$266,'Sep'!$D$27:$AH$266,'Oct'!$D$27:$AH$266,'Nov'!$D$27:$AH$266,'Dec'!$D$27:$AH$266,'Jan (next year)'!$D$27:$AH$266),132,DAY($A$5))&amp;"")</f>
        <v/>
      </c>
    </row>
    <row r="44" hidden="1">
      <c r="A44" s="38">
        <f>IF(Roster!$B$39="","",Roster!$B$39)</f>
        <v/>
      </c>
      <c r="B44" s="39">
        <f>IF(Roster!$C$39="","",Roster!$C$39)</f>
        <v/>
      </c>
      <c r="C44" s="40">
        <f>IF(Roster!$C$39="","",Roster!$F$39&amp;IF(OR(Roster!$G$39="SANS",Roster!$G$39="NSMEN")," | "&amp;Roster!$G$39,""))</f>
        <v/>
      </c>
      <c r="D44" s="81">
        <f>IF(OR($B44="",NOT(AND($A$5&gt;=DATE(PlanYear,1,1),$A$5&lt;=DATE(PlanYear+1,1,31)))),"",INDEX(CHOOSE(IF(YEAR($A$5)&gt;PlanYear,13,MONTH($A$5)),'Jan'!$D$27:$AH$266,'Feb'!$D$27:$AH$266,'Mar'!$D$27:$AH$266,'Apr'!$D$27:$AH$266,'May'!$D$27:$AH$266,'Jun'!$D$27:$AH$266,'Jul'!$D$27:$AH$266,'Aug'!$D$27:$AH$266,'Sep'!$D$27:$AH$266,'Oct'!$D$27:$AH$266,'Nov'!$D$27:$AH$266,'Dec'!$D$27:$AH$266,'Jan (next year)'!$D$27:$AH$266),133,DAY($A$5))&amp;"")</f>
        <v/>
      </c>
      <c r="E44" s="81">
        <f>IF(OR($B44="",NOT(AND($A$5&gt;=DATE(PlanYear,1,1),$A$5&lt;=DATE(PlanYear+1,1,31)))),"",INDEX(CHOOSE(IF(YEAR($A$5)&gt;PlanYear,13,MONTH($A$5)),'Jan'!$D$27:$AH$266,'Feb'!$D$27:$AH$266,'Mar'!$D$27:$AH$266,'Apr'!$D$27:$AH$266,'May'!$D$27:$AH$266,'Jun'!$D$27:$AH$266,'Jul'!$D$27:$AH$266,'Aug'!$D$27:$AH$266,'Sep'!$D$27:$AH$266,'Oct'!$D$27:$AH$266,'Nov'!$D$27:$AH$266,'Dec'!$D$27:$AH$266,'Jan (next year)'!$D$27:$AH$266),134,DAY($A$5))&amp;"")</f>
        <v/>
      </c>
      <c r="F44" s="81">
        <f>IF(OR($B44="",NOT(AND($A$5&gt;=DATE(PlanYear,1,1),$A$5&lt;=DATE(PlanYear+1,1,31)))),"",INDEX(CHOOSE(IF(YEAR($A$5)&gt;PlanYear,13,MONTH($A$5)),'Jan'!$D$27:$AH$266,'Feb'!$D$27:$AH$266,'Mar'!$D$27:$AH$266,'Apr'!$D$27:$AH$266,'May'!$D$27:$AH$266,'Jun'!$D$27:$AH$266,'Jul'!$D$27:$AH$266,'Aug'!$D$27:$AH$266,'Sep'!$D$27:$AH$266,'Oct'!$D$27:$AH$266,'Nov'!$D$27:$AH$266,'Dec'!$D$27:$AH$266,'Jan (next year)'!$D$27:$AH$266),135,DAY($A$5))&amp;"")</f>
        <v/>
      </c>
      <c r="G44" s="81">
        <f>IF(OR($B44="",NOT(AND($A$5&gt;=DATE(PlanYear,1,1),$A$5&lt;=DATE(PlanYear+1,1,31)))),"",INDEX(CHOOSE(IF(YEAR($A$5)&gt;PlanYear,13,MONTH($A$5)),'Jan'!$D$27:$AH$266,'Feb'!$D$27:$AH$266,'Mar'!$D$27:$AH$266,'Apr'!$D$27:$AH$266,'May'!$D$27:$AH$266,'Jun'!$D$27:$AH$266,'Jul'!$D$27:$AH$266,'Aug'!$D$27:$AH$266,'Sep'!$D$27:$AH$266,'Oct'!$D$27:$AH$266,'Nov'!$D$27:$AH$266,'Dec'!$D$27:$AH$266,'Jan (next year)'!$D$27:$AH$266),136,DAY($A$5))&amp;"")</f>
        <v/>
      </c>
    </row>
    <row r="45" hidden="1">
      <c r="A45" s="38">
        <f>IF(Roster!$B$40="","",Roster!$B$40)</f>
        <v/>
      </c>
      <c r="B45" s="39">
        <f>IF(Roster!$C$40="","",Roster!$C$40)</f>
        <v/>
      </c>
      <c r="C45" s="40">
        <f>IF(Roster!$C$40="","",Roster!$F$40&amp;IF(OR(Roster!$G$40="SANS",Roster!$G$40="NSMEN")," | "&amp;Roster!$G$40,""))</f>
        <v/>
      </c>
      <c r="D45" s="81">
        <f>IF(OR($B45="",NOT(AND($A$5&gt;=DATE(PlanYear,1,1),$A$5&lt;=DATE(PlanYear+1,1,31)))),"",INDEX(CHOOSE(IF(YEAR($A$5)&gt;PlanYear,13,MONTH($A$5)),'Jan'!$D$27:$AH$266,'Feb'!$D$27:$AH$266,'Mar'!$D$27:$AH$266,'Apr'!$D$27:$AH$266,'May'!$D$27:$AH$266,'Jun'!$D$27:$AH$266,'Jul'!$D$27:$AH$266,'Aug'!$D$27:$AH$266,'Sep'!$D$27:$AH$266,'Oct'!$D$27:$AH$266,'Nov'!$D$27:$AH$266,'Dec'!$D$27:$AH$266,'Jan (next year)'!$D$27:$AH$266),137,DAY($A$5))&amp;"")</f>
        <v/>
      </c>
      <c r="E45" s="81">
        <f>IF(OR($B45="",NOT(AND($A$5&gt;=DATE(PlanYear,1,1),$A$5&lt;=DATE(PlanYear+1,1,31)))),"",INDEX(CHOOSE(IF(YEAR($A$5)&gt;PlanYear,13,MONTH($A$5)),'Jan'!$D$27:$AH$266,'Feb'!$D$27:$AH$266,'Mar'!$D$27:$AH$266,'Apr'!$D$27:$AH$266,'May'!$D$27:$AH$266,'Jun'!$D$27:$AH$266,'Jul'!$D$27:$AH$266,'Aug'!$D$27:$AH$266,'Sep'!$D$27:$AH$266,'Oct'!$D$27:$AH$266,'Nov'!$D$27:$AH$266,'Dec'!$D$27:$AH$266,'Jan (next year)'!$D$27:$AH$266),138,DAY($A$5))&amp;"")</f>
        <v/>
      </c>
      <c r="F45" s="81">
        <f>IF(OR($B45="",NOT(AND($A$5&gt;=DATE(PlanYear,1,1),$A$5&lt;=DATE(PlanYear+1,1,31)))),"",INDEX(CHOOSE(IF(YEAR($A$5)&gt;PlanYear,13,MONTH($A$5)),'Jan'!$D$27:$AH$266,'Feb'!$D$27:$AH$266,'Mar'!$D$27:$AH$266,'Apr'!$D$27:$AH$266,'May'!$D$27:$AH$266,'Jun'!$D$27:$AH$266,'Jul'!$D$27:$AH$266,'Aug'!$D$27:$AH$266,'Sep'!$D$27:$AH$266,'Oct'!$D$27:$AH$266,'Nov'!$D$27:$AH$266,'Dec'!$D$27:$AH$266,'Jan (next year)'!$D$27:$AH$266),139,DAY($A$5))&amp;"")</f>
        <v/>
      </c>
      <c r="G45" s="81">
        <f>IF(OR($B45="",NOT(AND($A$5&gt;=DATE(PlanYear,1,1),$A$5&lt;=DATE(PlanYear+1,1,31)))),"",INDEX(CHOOSE(IF(YEAR($A$5)&gt;PlanYear,13,MONTH($A$5)),'Jan'!$D$27:$AH$266,'Feb'!$D$27:$AH$266,'Mar'!$D$27:$AH$266,'Apr'!$D$27:$AH$266,'May'!$D$27:$AH$266,'Jun'!$D$27:$AH$266,'Jul'!$D$27:$AH$266,'Aug'!$D$27:$AH$266,'Sep'!$D$27:$AH$266,'Oct'!$D$27:$AH$266,'Nov'!$D$27:$AH$266,'Dec'!$D$27:$AH$266,'Jan (next year)'!$D$27:$AH$266),140,DAY($A$5))&amp;"")</f>
        <v/>
      </c>
    </row>
    <row r="46" hidden="1">
      <c r="A46" s="38">
        <f>IF(Roster!$B$41="","",Roster!$B$41)</f>
        <v/>
      </c>
      <c r="B46" s="39">
        <f>IF(Roster!$C$41="","",Roster!$C$41)</f>
        <v/>
      </c>
      <c r="C46" s="40">
        <f>IF(Roster!$C$41="","",Roster!$F$41&amp;IF(OR(Roster!$G$41="SANS",Roster!$G$41="NSMEN")," | "&amp;Roster!$G$41,""))</f>
        <v/>
      </c>
      <c r="D46" s="81">
        <f>IF(OR($B46="",NOT(AND($A$5&gt;=DATE(PlanYear,1,1),$A$5&lt;=DATE(PlanYear+1,1,31)))),"",INDEX(CHOOSE(IF(YEAR($A$5)&gt;PlanYear,13,MONTH($A$5)),'Jan'!$D$27:$AH$266,'Feb'!$D$27:$AH$266,'Mar'!$D$27:$AH$266,'Apr'!$D$27:$AH$266,'May'!$D$27:$AH$266,'Jun'!$D$27:$AH$266,'Jul'!$D$27:$AH$266,'Aug'!$D$27:$AH$266,'Sep'!$D$27:$AH$266,'Oct'!$D$27:$AH$266,'Nov'!$D$27:$AH$266,'Dec'!$D$27:$AH$266,'Jan (next year)'!$D$27:$AH$266),141,DAY($A$5))&amp;"")</f>
        <v/>
      </c>
      <c r="E46" s="81">
        <f>IF(OR($B46="",NOT(AND($A$5&gt;=DATE(PlanYear,1,1),$A$5&lt;=DATE(PlanYear+1,1,31)))),"",INDEX(CHOOSE(IF(YEAR($A$5)&gt;PlanYear,13,MONTH($A$5)),'Jan'!$D$27:$AH$266,'Feb'!$D$27:$AH$266,'Mar'!$D$27:$AH$266,'Apr'!$D$27:$AH$266,'May'!$D$27:$AH$266,'Jun'!$D$27:$AH$266,'Jul'!$D$27:$AH$266,'Aug'!$D$27:$AH$266,'Sep'!$D$27:$AH$266,'Oct'!$D$27:$AH$266,'Nov'!$D$27:$AH$266,'Dec'!$D$27:$AH$266,'Jan (next year)'!$D$27:$AH$266),142,DAY($A$5))&amp;"")</f>
        <v/>
      </c>
      <c r="F46" s="81">
        <f>IF(OR($B46="",NOT(AND($A$5&gt;=DATE(PlanYear,1,1),$A$5&lt;=DATE(PlanYear+1,1,31)))),"",INDEX(CHOOSE(IF(YEAR($A$5)&gt;PlanYear,13,MONTH($A$5)),'Jan'!$D$27:$AH$266,'Feb'!$D$27:$AH$266,'Mar'!$D$27:$AH$266,'Apr'!$D$27:$AH$266,'May'!$D$27:$AH$266,'Jun'!$D$27:$AH$266,'Jul'!$D$27:$AH$266,'Aug'!$D$27:$AH$266,'Sep'!$D$27:$AH$266,'Oct'!$D$27:$AH$266,'Nov'!$D$27:$AH$266,'Dec'!$D$27:$AH$266,'Jan (next year)'!$D$27:$AH$266),143,DAY($A$5))&amp;"")</f>
        <v/>
      </c>
      <c r="G46" s="81">
        <f>IF(OR($B46="",NOT(AND($A$5&gt;=DATE(PlanYear,1,1),$A$5&lt;=DATE(PlanYear+1,1,31)))),"",INDEX(CHOOSE(IF(YEAR($A$5)&gt;PlanYear,13,MONTH($A$5)),'Jan'!$D$27:$AH$266,'Feb'!$D$27:$AH$266,'Mar'!$D$27:$AH$266,'Apr'!$D$27:$AH$266,'May'!$D$27:$AH$266,'Jun'!$D$27:$AH$266,'Jul'!$D$27:$AH$266,'Aug'!$D$27:$AH$266,'Sep'!$D$27:$AH$266,'Oct'!$D$27:$AH$266,'Nov'!$D$27:$AH$266,'Dec'!$D$27:$AH$266,'Jan (next year)'!$D$27:$AH$266),144,DAY($A$5))&amp;"")</f>
        <v/>
      </c>
    </row>
    <row r="47" hidden="1">
      <c r="A47" s="38">
        <f>IF(Roster!$B$42="","",Roster!$B$42)</f>
        <v/>
      </c>
      <c r="B47" s="39">
        <f>IF(Roster!$C$42="","",Roster!$C$42)</f>
        <v/>
      </c>
      <c r="C47" s="40">
        <f>IF(Roster!$C$42="","",Roster!$F$42&amp;IF(OR(Roster!$G$42="SANS",Roster!$G$42="NSMEN")," | "&amp;Roster!$G$42,""))</f>
        <v/>
      </c>
      <c r="D47" s="81">
        <f>IF(OR($B47="",NOT(AND($A$5&gt;=DATE(PlanYear,1,1),$A$5&lt;=DATE(PlanYear+1,1,31)))),"",INDEX(CHOOSE(IF(YEAR($A$5)&gt;PlanYear,13,MONTH($A$5)),'Jan'!$D$27:$AH$266,'Feb'!$D$27:$AH$266,'Mar'!$D$27:$AH$266,'Apr'!$D$27:$AH$266,'May'!$D$27:$AH$266,'Jun'!$D$27:$AH$266,'Jul'!$D$27:$AH$266,'Aug'!$D$27:$AH$266,'Sep'!$D$27:$AH$266,'Oct'!$D$27:$AH$266,'Nov'!$D$27:$AH$266,'Dec'!$D$27:$AH$266,'Jan (next year)'!$D$27:$AH$266),145,DAY($A$5))&amp;"")</f>
        <v/>
      </c>
      <c r="E47" s="81">
        <f>IF(OR($B47="",NOT(AND($A$5&gt;=DATE(PlanYear,1,1),$A$5&lt;=DATE(PlanYear+1,1,31)))),"",INDEX(CHOOSE(IF(YEAR($A$5)&gt;PlanYear,13,MONTH($A$5)),'Jan'!$D$27:$AH$266,'Feb'!$D$27:$AH$266,'Mar'!$D$27:$AH$266,'Apr'!$D$27:$AH$266,'May'!$D$27:$AH$266,'Jun'!$D$27:$AH$266,'Jul'!$D$27:$AH$266,'Aug'!$D$27:$AH$266,'Sep'!$D$27:$AH$266,'Oct'!$D$27:$AH$266,'Nov'!$D$27:$AH$266,'Dec'!$D$27:$AH$266,'Jan (next year)'!$D$27:$AH$266),146,DAY($A$5))&amp;"")</f>
        <v/>
      </c>
      <c r="F47" s="81">
        <f>IF(OR($B47="",NOT(AND($A$5&gt;=DATE(PlanYear,1,1),$A$5&lt;=DATE(PlanYear+1,1,31)))),"",INDEX(CHOOSE(IF(YEAR($A$5)&gt;PlanYear,13,MONTH($A$5)),'Jan'!$D$27:$AH$266,'Feb'!$D$27:$AH$266,'Mar'!$D$27:$AH$266,'Apr'!$D$27:$AH$266,'May'!$D$27:$AH$266,'Jun'!$D$27:$AH$266,'Jul'!$D$27:$AH$266,'Aug'!$D$27:$AH$266,'Sep'!$D$27:$AH$266,'Oct'!$D$27:$AH$266,'Nov'!$D$27:$AH$266,'Dec'!$D$27:$AH$266,'Jan (next year)'!$D$27:$AH$266),147,DAY($A$5))&amp;"")</f>
        <v/>
      </c>
      <c r="G47" s="81">
        <f>IF(OR($B47="",NOT(AND($A$5&gt;=DATE(PlanYear,1,1),$A$5&lt;=DATE(PlanYear+1,1,31)))),"",INDEX(CHOOSE(IF(YEAR($A$5)&gt;PlanYear,13,MONTH($A$5)),'Jan'!$D$27:$AH$266,'Feb'!$D$27:$AH$266,'Mar'!$D$27:$AH$266,'Apr'!$D$27:$AH$266,'May'!$D$27:$AH$266,'Jun'!$D$27:$AH$266,'Jul'!$D$27:$AH$266,'Aug'!$D$27:$AH$266,'Sep'!$D$27:$AH$266,'Oct'!$D$27:$AH$266,'Nov'!$D$27:$AH$266,'Dec'!$D$27:$AH$266,'Jan (next year)'!$D$27:$AH$266),148,DAY($A$5))&amp;"")</f>
        <v/>
      </c>
    </row>
    <row r="48" hidden="1">
      <c r="A48" s="38">
        <f>IF(Roster!$B$43="","",Roster!$B$43)</f>
        <v/>
      </c>
      <c r="B48" s="39">
        <f>IF(Roster!$C$43="","",Roster!$C$43)</f>
        <v/>
      </c>
      <c r="C48" s="40">
        <f>IF(Roster!$C$43="","",Roster!$F$43&amp;IF(OR(Roster!$G$43="SANS",Roster!$G$43="NSMEN")," | "&amp;Roster!$G$43,""))</f>
        <v/>
      </c>
      <c r="D48" s="81">
        <f>IF(OR($B48="",NOT(AND($A$5&gt;=DATE(PlanYear,1,1),$A$5&lt;=DATE(PlanYear+1,1,31)))),"",INDEX(CHOOSE(IF(YEAR($A$5)&gt;PlanYear,13,MONTH($A$5)),'Jan'!$D$27:$AH$266,'Feb'!$D$27:$AH$266,'Mar'!$D$27:$AH$266,'Apr'!$D$27:$AH$266,'May'!$D$27:$AH$266,'Jun'!$D$27:$AH$266,'Jul'!$D$27:$AH$266,'Aug'!$D$27:$AH$266,'Sep'!$D$27:$AH$266,'Oct'!$D$27:$AH$266,'Nov'!$D$27:$AH$266,'Dec'!$D$27:$AH$266,'Jan (next year)'!$D$27:$AH$266),149,DAY($A$5))&amp;"")</f>
        <v/>
      </c>
      <c r="E48" s="81">
        <f>IF(OR($B48="",NOT(AND($A$5&gt;=DATE(PlanYear,1,1),$A$5&lt;=DATE(PlanYear+1,1,31)))),"",INDEX(CHOOSE(IF(YEAR($A$5)&gt;PlanYear,13,MONTH($A$5)),'Jan'!$D$27:$AH$266,'Feb'!$D$27:$AH$266,'Mar'!$D$27:$AH$266,'Apr'!$D$27:$AH$266,'May'!$D$27:$AH$266,'Jun'!$D$27:$AH$266,'Jul'!$D$27:$AH$266,'Aug'!$D$27:$AH$266,'Sep'!$D$27:$AH$266,'Oct'!$D$27:$AH$266,'Nov'!$D$27:$AH$266,'Dec'!$D$27:$AH$266,'Jan (next year)'!$D$27:$AH$266),150,DAY($A$5))&amp;"")</f>
        <v/>
      </c>
      <c r="F48" s="81">
        <f>IF(OR($B48="",NOT(AND($A$5&gt;=DATE(PlanYear,1,1),$A$5&lt;=DATE(PlanYear+1,1,31)))),"",INDEX(CHOOSE(IF(YEAR($A$5)&gt;PlanYear,13,MONTH($A$5)),'Jan'!$D$27:$AH$266,'Feb'!$D$27:$AH$266,'Mar'!$D$27:$AH$266,'Apr'!$D$27:$AH$266,'May'!$D$27:$AH$266,'Jun'!$D$27:$AH$266,'Jul'!$D$27:$AH$266,'Aug'!$D$27:$AH$266,'Sep'!$D$27:$AH$266,'Oct'!$D$27:$AH$266,'Nov'!$D$27:$AH$266,'Dec'!$D$27:$AH$266,'Jan (next year)'!$D$27:$AH$266),151,DAY($A$5))&amp;"")</f>
        <v/>
      </c>
      <c r="G48" s="81">
        <f>IF(OR($B48="",NOT(AND($A$5&gt;=DATE(PlanYear,1,1),$A$5&lt;=DATE(PlanYear+1,1,31)))),"",INDEX(CHOOSE(IF(YEAR($A$5)&gt;PlanYear,13,MONTH($A$5)),'Jan'!$D$27:$AH$266,'Feb'!$D$27:$AH$266,'Mar'!$D$27:$AH$266,'Apr'!$D$27:$AH$266,'May'!$D$27:$AH$266,'Jun'!$D$27:$AH$266,'Jul'!$D$27:$AH$266,'Aug'!$D$27:$AH$266,'Sep'!$D$27:$AH$266,'Oct'!$D$27:$AH$266,'Nov'!$D$27:$AH$266,'Dec'!$D$27:$AH$266,'Jan (next year)'!$D$27:$AH$266),152,DAY($A$5))&amp;"")</f>
        <v/>
      </c>
    </row>
    <row r="49" hidden="1">
      <c r="A49" s="38">
        <f>IF(Roster!$B$44="","",Roster!$B$44)</f>
        <v/>
      </c>
      <c r="B49" s="39">
        <f>IF(Roster!$C$44="","",Roster!$C$44)</f>
        <v/>
      </c>
      <c r="C49" s="40">
        <f>IF(Roster!$C$44="","",Roster!$F$44&amp;IF(OR(Roster!$G$44="SANS",Roster!$G$44="NSMEN")," | "&amp;Roster!$G$44,""))</f>
        <v/>
      </c>
      <c r="D49" s="81">
        <f>IF(OR($B49="",NOT(AND($A$5&gt;=DATE(PlanYear,1,1),$A$5&lt;=DATE(PlanYear+1,1,31)))),"",INDEX(CHOOSE(IF(YEAR($A$5)&gt;PlanYear,13,MONTH($A$5)),'Jan'!$D$27:$AH$266,'Feb'!$D$27:$AH$266,'Mar'!$D$27:$AH$266,'Apr'!$D$27:$AH$266,'May'!$D$27:$AH$266,'Jun'!$D$27:$AH$266,'Jul'!$D$27:$AH$266,'Aug'!$D$27:$AH$266,'Sep'!$D$27:$AH$266,'Oct'!$D$27:$AH$266,'Nov'!$D$27:$AH$266,'Dec'!$D$27:$AH$266,'Jan (next year)'!$D$27:$AH$266),153,DAY($A$5))&amp;"")</f>
        <v/>
      </c>
      <c r="E49" s="81">
        <f>IF(OR($B49="",NOT(AND($A$5&gt;=DATE(PlanYear,1,1),$A$5&lt;=DATE(PlanYear+1,1,31)))),"",INDEX(CHOOSE(IF(YEAR($A$5)&gt;PlanYear,13,MONTH($A$5)),'Jan'!$D$27:$AH$266,'Feb'!$D$27:$AH$266,'Mar'!$D$27:$AH$266,'Apr'!$D$27:$AH$266,'May'!$D$27:$AH$266,'Jun'!$D$27:$AH$266,'Jul'!$D$27:$AH$266,'Aug'!$D$27:$AH$266,'Sep'!$D$27:$AH$266,'Oct'!$D$27:$AH$266,'Nov'!$D$27:$AH$266,'Dec'!$D$27:$AH$266,'Jan (next year)'!$D$27:$AH$266),154,DAY($A$5))&amp;"")</f>
        <v/>
      </c>
      <c r="F49" s="81">
        <f>IF(OR($B49="",NOT(AND($A$5&gt;=DATE(PlanYear,1,1),$A$5&lt;=DATE(PlanYear+1,1,31)))),"",INDEX(CHOOSE(IF(YEAR($A$5)&gt;PlanYear,13,MONTH($A$5)),'Jan'!$D$27:$AH$266,'Feb'!$D$27:$AH$266,'Mar'!$D$27:$AH$266,'Apr'!$D$27:$AH$266,'May'!$D$27:$AH$266,'Jun'!$D$27:$AH$266,'Jul'!$D$27:$AH$266,'Aug'!$D$27:$AH$266,'Sep'!$D$27:$AH$266,'Oct'!$D$27:$AH$266,'Nov'!$D$27:$AH$266,'Dec'!$D$27:$AH$266,'Jan (next year)'!$D$27:$AH$266),155,DAY($A$5))&amp;"")</f>
        <v/>
      </c>
      <c r="G49" s="81">
        <f>IF(OR($B49="",NOT(AND($A$5&gt;=DATE(PlanYear,1,1),$A$5&lt;=DATE(PlanYear+1,1,31)))),"",INDEX(CHOOSE(IF(YEAR($A$5)&gt;PlanYear,13,MONTH($A$5)),'Jan'!$D$27:$AH$266,'Feb'!$D$27:$AH$266,'Mar'!$D$27:$AH$266,'Apr'!$D$27:$AH$266,'May'!$D$27:$AH$266,'Jun'!$D$27:$AH$266,'Jul'!$D$27:$AH$266,'Aug'!$D$27:$AH$266,'Sep'!$D$27:$AH$266,'Oct'!$D$27:$AH$266,'Nov'!$D$27:$AH$266,'Dec'!$D$27:$AH$266,'Jan (next year)'!$D$27:$AH$266),156,DAY($A$5))&amp;"")</f>
        <v/>
      </c>
    </row>
    <row r="50" hidden="1">
      <c r="A50" s="38">
        <f>IF(Roster!$B$45="","",Roster!$B$45)</f>
        <v/>
      </c>
      <c r="B50" s="39">
        <f>IF(Roster!$C$45="","",Roster!$C$45)</f>
        <v/>
      </c>
      <c r="C50" s="40">
        <f>IF(Roster!$C$45="","",Roster!$F$45&amp;IF(OR(Roster!$G$45="SANS",Roster!$G$45="NSMEN")," | "&amp;Roster!$G$45,""))</f>
        <v/>
      </c>
      <c r="D50" s="81">
        <f>IF(OR($B50="",NOT(AND($A$5&gt;=DATE(PlanYear,1,1),$A$5&lt;=DATE(PlanYear+1,1,31)))),"",INDEX(CHOOSE(IF(YEAR($A$5)&gt;PlanYear,13,MONTH($A$5)),'Jan'!$D$27:$AH$266,'Feb'!$D$27:$AH$266,'Mar'!$D$27:$AH$266,'Apr'!$D$27:$AH$266,'May'!$D$27:$AH$266,'Jun'!$D$27:$AH$266,'Jul'!$D$27:$AH$266,'Aug'!$D$27:$AH$266,'Sep'!$D$27:$AH$266,'Oct'!$D$27:$AH$266,'Nov'!$D$27:$AH$266,'Dec'!$D$27:$AH$266,'Jan (next year)'!$D$27:$AH$266),157,DAY($A$5))&amp;"")</f>
        <v/>
      </c>
      <c r="E50" s="81">
        <f>IF(OR($B50="",NOT(AND($A$5&gt;=DATE(PlanYear,1,1),$A$5&lt;=DATE(PlanYear+1,1,31)))),"",INDEX(CHOOSE(IF(YEAR($A$5)&gt;PlanYear,13,MONTH($A$5)),'Jan'!$D$27:$AH$266,'Feb'!$D$27:$AH$266,'Mar'!$D$27:$AH$266,'Apr'!$D$27:$AH$266,'May'!$D$27:$AH$266,'Jun'!$D$27:$AH$266,'Jul'!$D$27:$AH$266,'Aug'!$D$27:$AH$266,'Sep'!$D$27:$AH$266,'Oct'!$D$27:$AH$266,'Nov'!$D$27:$AH$266,'Dec'!$D$27:$AH$266,'Jan (next year)'!$D$27:$AH$266),158,DAY($A$5))&amp;"")</f>
        <v/>
      </c>
      <c r="F50" s="81">
        <f>IF(OR($B50="",NOT(AND($A$5&gt;=DATE(PlanYear,1,1),$A$5&lt;=DATE(PlanYear+1,1,31)))),"",INDEX(CHOOSE(IF(YEAR($A$5)&gt;PlanYear,13,MONTH($A$5)),'Jan'!$D$27:$AH$266,'Feb'!$D$27:$AH$266,'Mar'!$D$27:$AH$266,'Apr'!$D$27:$AH$266,'May'!$D$27:$AH$266,'Jun'!$D$27:$AH$266,'Jul'!$D$27:$AH$266,'Aug'!$D$27:$AH$266,'Sep'!$D$27:$AH$266,'Oct'!$D$27:$AH$266,'Nov'!$D$27:$AH$266,'Dec'!$D$27:$AH$266,'Jan (next year)'!$D$27:$AH$266),159,DAY($A$5))&amp;"")</f>
        <v/>
      </c>
      <c r="G50" s="81">
        <f>IF(OR($B50="",NOT(AND($A$5&gt;=DATE(PlanYear,1,1),$A$5&lt;=DATE(PlanYear+1,1,31)))),"",INDEX(CHOOSE(IF(YEAR($A$5)&gt;PlanYear,13,MONTH($A$5)),'Jan'!$D$27:$AH$266,'Feb'!$D$27:$AH$266,'Mar'!$D$27:$AH$266,'Apr'!$D$27:$AH$266,'May'!$D$27:$AH$266,'Jun'!$D$27:$AH$266,'Jul'!$D$27:$AH$266,'Aug'!$D$27:$AH$266,'Sep'!$D$27:$AH$266,'Oct'!$D$27:$AH$266,'Nov'!$D$27:$AH$266,'Dec'!$D$27:$AH$266,'Jan (next year)'!$D$27:$AH$266),160,DAY($A$5))&amp;"")</f>
        <v/>
      </c>
    </row>
    <row r="51" hidden="1">
      <c r="A51" s="38">
        <f>IF(Roster!$B$46="","",Roster!$B$46)</f>
        <v/>
      </c>
      <c r="B51" s="39">
        <f>IF(Roster!$C$46="","",Roster!$C$46)</f>
        <v/>
      </c>
      <c r="C51" s="40">
        <f>IF(Roster!$C$46="","",Roster!$F$46&amp;IF(OR(Roster!$G$46="SANS",Roster!$G$46="NSMEN")," | "&amp;Roster!$G$46,""))</f>
        <v/>
      </c>
      <c r="D51" s="81">
        <f>IF(OR($B51="",NOT(AND($A$5&gt;=DATE(PlanYear,1,1),$A$5&lt;=DATE(PlanYear+1,1,31)))),"",INDEX(CHOOSE(IF(YEAR($A$5)&gt;PlanYear,13,MONTH($A$5)),'Jan'!$D$27:$AH$266,'Feb'!$D$27:$AH$266,'Mar'!$D$27:$AH$266,'Apr'!$D$27:$AH$266,'May'!$D$27:$AH$266,'Jun'!$D$27:$AH$266,'Jul'!$D$27:$AH$266,'Aug'!$D$27:$AH$266,'Sep'!$D$27:$AH$266,'Oct'!$D$27:$AH$266,'Nov'!$D$27:$AH$266,'Dec'!$D$27:$AH$266,'Jan (next year)'!$D$27:$AH$266),161,DAY($A$5))&amp;"")</f>
        <v/>
      </c>
      <c r="E51" s="81">
        <f>IF(OR($B51="",NOT(AND($A$5&gt;=DATE(PlanYear,1,1),$A$5&lt;=DATE(PlanYear+1,1,31)))),"",INDEX(CHOOSE(IF(YEAR($A$5)&gt;PlanYear,13,MONTH($A$5)),'Jan'!$D$27:$AH$266,'Feb'!$D$27:$AH$266,'Mar'!$D$27:$AH$266,'Apr'!$D$27:$AH$266,'May'!$D$27:$AH$266,'Jun'!$D$27:$AH$266,'Jul'!$D$27:$AH$266,'Aug'!$D$27:$AH$266,'Sep'!$D$27:$AH$266,'Oct'!$D$27:$AH$266,'Nov'!$D$27:$AH$266,'Dec'!$D$27:$AH$266,'Jan (next year)'!$D$27:$AH$266),162,DAY($A$5))&amp;"")</f>
        <v/>
      </c>
      <c r="F51" s="81">
        <f>IF(OR($B51="",NOT(AND($A$5&gt;=DATE(PlanYear,1,1),$A$5&lt;=DATE(PlanYear+1,1,31)))),"",INDEX(CHOOSE(IF(YEAR($A$5)&gt;PlanYear,13,MONTH($A$5)),'Jan'!$D$27:$AH$266,'Feb'!$D$27:$AH$266,'Mar'!$D$27:$AH$266,'Apr'!$D$27:$AH$266,'May'!$D$27:$AH$266,'Jun'!$D$27:$AH$266,'Jul'!$D$27:$AH$266,'Aug'!$D$27:$AH$266,'Sep'!$D$27:$AH$266,'Oct'!$D$27:$AH$266,'Nov'!$D$27:$AH$266,'Dec'!$D$27:$AH$266,'Jan (next year)'!$D$27:$AH$266),163,DAY($A$5))&amp;"")</f>
        <v/>
      </c>
      <c r="G51" s="81">
        <f>IF(OR($B51="",NOT(AND($A$5&gt;=DATE(PlanYear,1,1),$A$5&lt;=DATE(PlanYear+1,1,31)))),"",INDEX(CHOOSE(IF(YEAR($A$5)&gt;PlanYear,13,MONTH($A$5)),'Jan'!$D$27:$AH$266,'Feb'!$D$27:$AH$266,'Mar'!$D$27:$AH$266,'Apr'!$D$27:$AH$266,'May'!$D$27:$AH$266,'Jun'!$D$27:$AH$266,'Jul'!$D$27:$AH$266,'Aug'!$D$27:$AH$266,'Sep'!$D$27:$AH$266,'Oct'!$D$27:$AH$266,'Nov'!$D$27:$AH$266,'Dec'!$D$27:$AH$266,'Jan (next year)'!$D$27:$AH$266),164,DAY($A$5))&amp;"")</f>
        <v/>
      </c>
    </row>
    <row r="52" hidden="1">
      <c r="A52" s="38">
        <f>IF(Roster!$B$47="","",Roster!$B$47)</f>
        <v/>
      </c>
      <c r="B52" s="39">
        <f>IF(Roster!$C$47="","",Roster!$C$47)</f>
        <v/>
      </c>
      <c r="C52" s="40">
        <f>IF(Roster!$C$47="","",Roster!$F$47&amp;IF(OR(Roster!$G$47="SANS",Roster!$G$47="NSMEN")," | "&amp;Roster!$G$47,""))</f>
        <v/>
      </c>
      <c r="D52" s="81">
        <f>IF(OR($B52="",NOT(AND($A$5&gt;=DATE(PlanYear,1,1),$A$5&lt;=DATE(PlanYear+1,1,31)))),"",INDEX(CHOOSE(IF(YEAR($A$5)&gt;PlanYear,13,MONTH($A$5)),'Jan'!$D$27:$AH$266,'Feb'!$D$27:$AH$266,'Mar'!$D$27:$AH$266,'Apr'!$D$27:$AH$266,'May'!$D$27:$AH$266,'Jun'!$D$27:$AH$266,'Jul'!$D$27:$AH$266,'Aug'!$D$27:$AH$266,'Sep'!$D$27:$AH$266,'Oct'!$D$27:$AH$266,'Nov'!$D$27:$AH$266,'Dec'!$D$27:$AH$266,'Jan (next year)'!$D$27:$AH$266),165,DAY($A$5))&amp;"")</f>
        <v/>
      </c>
      <c r="E52" s="81">
        <f>IF(OR($B52="",NOT(AND($A$5&gt;=DATE(PlanYear,1,1),$A$5&lt;=DATE(PlanYear+1,1,31)))),"",INDEX(CHOOSE(IF(YEAR($A$5)&gt;PlanYear,13,MONTH($A$5)),'Jan'!$D$27:$AH$266,'Feb'!$D$27:$AH$266,'Mar'!$D$27:$AH$266,'Apr'!$D$27:$AH$266,'May'!$D$27:$AH$266,'Jun'!$D$27:$AH$266,'Jul'!$D$27:$AH$266,'Aug'!$D$27:$AH$266,'Sep'!$D$27:$AH$266,'Oct'!$D$27:$AH$266,'Nov'!$D$27:$AH$266,'Dec'!$D$27:$AH$266,'Jan (next year)'!$D$27:$AH$266),166,DAY($A$5))&amp;"")</f>
        <v/>
      </c>
      <c r="F52" s="81">
        <f>IF(OR($B52="",NOT(AND($A$5&gt;=DATE(PlanYear,1,1),$A$5&lt;=DATE(PlanYear+1,1,31)))),"",INDEX(CHOOSE(IF(YEAR($A$5)&gt;PlanYear,13,MONTH($A$5)),'Jan'!$D$27:$AH$266,'Feb'!$D$27:$AH$266,'Mar'!$D$27:$AH$266,'Apr'!$D$27:$AH$266,'May'!$D$27:$AH$266,'Jun'!$D$27:$AH$266,'Jul'!$D$27:$AH$266,'Aug'!$D$27:$AH$266,'Sep'!$D$27:$AH$266,'Oct'!$D$27:$AH$266,'Nov'!$D$27:$AH$266,'Dec'!$D$27:$AH$266,'Jan (next year)'!$D$27:$AH$266),167,DAY($A$5))&amp;"")</f>
        <v/>
      </c>
      <c r="G52" s="81">
        <f>IF(OR($B52="",NOT(AND($A$5&gt;=DATE(PlanYear,1,1),$A$5&lt;=DATE(PlanYear+1,1,31)))),"",INDEX(CHOOSE(IF(YEAR($A$5)&gt;PlanYear,13,MONTH($A$5)),'Jan'!$D$27:$AH$266,'Feb'!$D$27:$AH$266,'Mar'!$D$27:$AH$266,'Apr'!$D$27:$AH$266,'May'!$D$27:$AH$266,'Jun'!$D$27:$AH$266,'Jul'!$D$27:$AH$266,'Aug'!$D$27:$AH$266,'Sep'!$D$27:$AH$266,'Oct'!$D$27:$AH$266,'Nov'!$D$27:$AH$266,'Dec'!$D$27:$AH$266,'Jan (next year)'!$D$27:$AH$266),168,DAY($A$5))&amp;"")</f>
        <v/>
      </c>
    </row>
    <row r="53" hidden="1">
      <c r="A53" s="38">
        <f>IF(Roster!$B$48="","",Roster!$B$48)</f>
        <v/>
      </c>
      <c r="B53" s="39">
        <f>IF(Roster!$C$48="","",Roster!$C$48)</f>
        <v/>
      </c>
      <c r="C53" s="40">
        <f>IF(Roster!$C$48="","",Roster!$F$48&amp;IF(OR(Roster!$G$48="SANS",Roster!$G$48="NSMEN")," | "&amp;Roster!$G$48,""))</f>
        <v/>
      </c>
      <c r="D53" s="81">
        <f>IF(OR($B53="",NOT(AND($A$5&gt;=DATE(PlanYear,1,1),$A$5&lt;=DATE(PlanYear+1,1,31)))),"",INDEX(CHOOSE(IF(YEAR($A$5)&gt;PlanYear,13,MONTH($A$5)),'Jan'!$D$27:$AH$266,'Feb'!$D$27:$AH$266,'Mar'!$D$27:$AH$266,'Apr'!$D$27:$AH$266,'May'!$D$27:$AH$266,'Jun'!$D$27:$AH$266,'Jul'!$D$27:$AH$266,'Aug'!$D$27:$AH$266,'Sep'!$D$27:$AH$266,'Oct'!$D$27:$AH$266,'Nov'!$D$27:$AH$266,'Dec'!$D$27:$AH$266,'Jan (next year)'!$D$27:$AH$266),169,DAY($A$5))&amp;"")</f>
        <v/>
      </c>
      <c r="E53" s="81">
        <f>IF(OR($B53="",NOT(AND($A$5&gt;=DATE(PlanYear,1,1),$A$5&lt;=DATE(PlanYear+1,1,31)))),"",INDEX(CHOOSE(IF(YEAR($A$5)&gt;PlanYear,13,MONTH($A$5)),'Jan'!$D$27:$AH$266,'Feb'!$D$27:$AH$266,'Mar'!$D$27:$AH$266,'Apr'!$D$27:$AH$266,'May'!$D$27:$AH$266,'Jun'!$D$27:$AH$266,'Jul'!$D$27:$AH$266,'Aug'!$D$27:$AH$266,'Sep'!$D$27:$AH$266,'Oct'!$D$27:$AH$266,'Nov'!$D$27:$AH$266,'Dec'!$D$27:$AH$266,'Jan (next year)'!$D$27:$AH$266),170,DAY($A$5))&amp;"")</f>
        <v/>
      </c>
      <c r="F53" s="81">
        <f>IF(OR($B53="",NOT(AND($A$5&gt;=DATE(PlanYear,1,1),$A$5&lt;=DATE(PlanYear+1,1,31)))),"",INDEX(CHOOSE(IF(YEAR($A$5)&gt;PlanYear,13,MONTH($A$5)),'Jan'!$D$27:$AH$266,'Feb'!$D$27:$AH$266,'Mar'!$D$27:$AH$266,'Apr'!$D$27:$AH$266,'May'!$D$27:$AH$266,'Jun'!$D$27:$AH$266,'Jul'!$D$27:$AH$266,'Aug'!$D$27:$AH$266,'Sep'!$D$27:$AH$266,'Oct'!$D$27:$AH$266,'Nov'!$D$27:$AH$266,'Dec'!$D$27:$AH$266,'Jan (next year)'!$D$27:$AH$266),171,DAY($A$5))&amp;"")</f>
        <v/>
      </c>
      <c r="G53" s="81">
        <f>IF(OR($B53="",NOT(AND($A$5&gt;=DATE(PlanYear,1,1),$A$5&lt;=DATE(PlanYear+1,1,31)))),"",INDEX(CHOOSE(IF(YEAR($A$5)&gt;PlanYear,13,MONTH($A$5)),'Jan'!$D$27:$AH$266,'Feb'!$D$27:$AH$266,'Mar'!$D$27:$AH$266,'Apr'!$D$27:$AH$266,'May'!$D$27:$AH$266,'Jun'!$D$27:$AH$266,'Jul'!$D$27:$AH$266,'Aug'!$D$27:$AH$266,'Sep'!$D$27:$AH$266,'Oct'!$D$27:$AH$266,'Nov'!$D$27:$AH$266,'Dec'!$D$27:$AH$266,'Jan (next year)'!$D$27:$AH$266),172,DAY($A$5))&amp;"")</f>
        <v/>
      </c>
    </row>
    <row r="54" hidden="1">
      <c r="A54" s="38">
        <f>IF(Roster!$B$49="","",Roster!$B$49)</f>
        <v/>
      </c>
      <c r="B54" s="39">
        <f>IF(Roster!$C$49="","",Roster!$C$49)</f>
        <v/>
      </c>
      <c r="C54" s="40">
        <f>IF(Roster!$C$49="","",Roster!$F$49&amp;IF(OR(Roster!$G$49="SANS",Roster!$G$49="NSMEN")," | "&amp;Roster!$G$49,""))</f>
        <v/>
      </c>
      <c r="D54" s="81">
        <f>IF(OR($B54="",NOT(AND($A$5&gt;=DATE(PlanYear,1,1),$A$5&lt;=DATE(PlanYear+1,1,31)))),"",INDEX(CHOOSE(IF(YEAR($A$5)&gt;PlanYear,13,MONTH($A$5)),'Jan'!$D$27:$AH$266,'Feb'!$D$27:$AH$266,'Mar'!$D$27:$AH$266,'Apr'!$D$27:$AH$266,'May'!$D$27:$AH$266,'Jun'!$D$27:$AH$266,'Jul'!$D$27:$AH$266,'Aug'!$D$27:$AH$266,'Sep'!$D$27:$AH$266,'Oct'!$D$27:$AH$266,'Nov'!$D$27:$AH$266,'Dec'!$D$27:$AH$266,'Jan (next year)'!$D$27:$AH$266),173,DAY($A$5))&amp;"")</f>
        <v/>
      </c>
      <c r="E54" s="81">
        <f>IF(OR($B54="",NOT(AND($A$5&gt;=DATE(PlanYear,1,1),$A$5&lt;=DATE(PlanYear+1,1,31)))),"",INDEX(CHOOSE(IF(YEAR($A$5)&gt;PlanYear,13,MONTH($A$5)),'Jan'!$D$27:$AH$266,'Feb'!$D$27:$AH$266,'Mar'!$D$27:$AH$266,'Apr'!$D$27:$AH$266,'May'!$D$27:$AH$266,'Jun'!$D$27:$AH$266,'Jul'!$D$27:$AH$266,'Aug'!$D$27:$AH$266,'Sep'!$D$27:$AH$266,'Oct'!$D$27:$AH$266,'Nov'!$D$27:$AH$266,'Dec'!$D$27:$AH$266,'Jan (next year)'!$D$27:$AH$266),174,DAY($A$5))&amp;"")</f>
        <v/>
      </c>
      <c r="F54" s="81">
        <f>IF(OR($B54="",NOT(AND($A$5&gt;=DATE(PlanYear,1,1),$A$5&lt;=DATE(PlanYear+1,1,31)))),"",INDEX(CHOOSE(IF(YEAR($A$5)&gt;PlanYear,13,MONTH($A$5)),'Jan'!$D$27:$AH$266,'Feb'!$D$27:$AH$266,'Mar'!$D$27:$AH$266,'Apr'!$D$27:$AH$266,'May'!$D$27:$AH$266,'Jun'!$D$27:$AH$266,'Jul'!$D$27:$AH$266,'Aug'!$D$27:$AH$266,'Sep'!$D$27:$AH$266,'Oct'!$D$27:$AH$266,'Nov'!$D$27:$AH$266,'Dec'!$D$27:$AH$266,'Jan (next year)'!$D$27:$AH$266),175,DAY($A$5))&amp;"")</f>
        <v/>
      </c>
      <c r="G54" s="81">
        <f>IF(OR($B54="",NOT(AND($A$5&gt;=DATE(PlanYear,1,1),$A$5&lt;=DATE(PlanYear+1,1,31)))),"",INDEX(CHOOSE(IF(YEAR($A$5)&gt;PlanYear,13,MONTH($A$5)),'Jan'!$D$27:$AH$266,'Feb'!$D$27:$AH$266,'Mar'!$D$27:$AH$266,'Apr'!$D$27:$AH$266,'May'!$D$27:$AH$266,'Jun'!$D$27:$AH$266,'Jul'!$D$27:$AH$266,'Aug'!$D$27:$AH$266,'Sep'!$D$27:$AH$266,'Oct'!$D$27:$AH$266,'Nov'!$D$27:$AH$266,'Dec'!$D$27:$AH$266,'Jan (next year)'!$D$27:$AH$266),176,DAY($A$5))&amp;"")</f>
        <v/>
      </c>
    </row>
    <row r="55" hidden="1">
      <c r="A55" s="38">
        <f>IF(Roster!$B$50="","",Roster!$B$50)</f>
        <v/>
      </c>
      <c r="B55" s="39">
        <f>IF(Roster!$C$50="","",Roster!$C$50)</f>
        <v/>
      </c>
      <c r="C55" s="40">
        <f>IF(Roster!$C$50="","",Roster!$F$50&amp;IF(OR(Roster!$G$50="SANS",Roster!$G$50="NSMEN")," | "&amp;Roster!$G$50,""))</f>
        <v/>
      </c>
      <c r="D55" s="81">
        <f>IF(OR($B55="",NOT(AND($A$5&gt;=DATE(PlanYear,1,1),$A$5&lt;=DATE(PlanYear+1,1,31)))),"",INDEX(CHOOSE(IF(YEAR($A$5)&gt;PlanYear,13,MONTH($A$5)),'Jan'!$D$27:$AH$266,'Feb'!$D$27:$AH$266,'Mar'!$D$27:$AH$266,'Apr'!$D$27:$AH$266,'May'!$D$27:$AH$266,'Jun'!$D$27:$AH$266,'Jul'!$D$27:$AH$266,'Aug'!$D$27:$AH$266,'Sep'!$D$27:$AH$266,'Oct'!$D$27:$AH$266,'Nov'!$D$27:$AH$266,'Dec'!$D$27:$AH$266,'Jan (next year)'!$D$27:$AH$266),177,DAY($A$5))&amp;"")</f>
        <v/>
      </c>
      <c r="E55" s="81">
        <f>IF(OR($B55="",NOT(AND($A$5&gt;=DATE(PlanYear,1,1),$A$5&lt;=DATE(PlanYear+1,1,31)))),"",INDEX(CHOOSE(IF(YEAR($A$5)&gt;PlanYear,13,MONTH($A$5)),'Jan'!$D$27:$AH$266,'Feb'!$D$27:$AH$266,'Mar'!$D$27:$AH$266,'Apr'!$D$27:$AH$266,'May'!$D$27:$AH$266,'Jun'!$D$27:$AH$266,'Jul'!$D$27:$AH$266,'Aug'!$D$27:$AH$266,'Sep'!$D$27:$AH$266,'Oct'!$D$27:$AH$266,'Nov'!$D$27:$AH$266,'Dec'!$D$27:$AH$266,'Jan (next year)'!$D$27:$AH$266),178,DAY($A$5))&amp;"")</f>
        <v/>
      </c>
      <c r="F55" s="81">
        <f>IF(OR($B55="",NOT(AND($A$5&gt;=DATE(PlanYear,1,1),$A$5&lt;=DATE(PlanYear+1,1,31)))),"",INDEX(CHOOSE(IF(YEAR($A$5)&gt;PlanYear,13,MONTH($A$5)),'Jan'!$D$27:$AH$266,'Feb'!$D$27:$AH$266,'Mar'!$D$27:$AH$266,'Apr'!$D$27:$AH$266,'May'!$D$27:$AH$266,'Jun'!$D$27:$AH$266,'Jul'!$D$27:$AH$266,'Aug'!$D$27:$AH$266,'Sep'!$D$27:$AH$266,'Oct'!$D$27:$AH$266,'Nov'!$D$27:$AH$266,'Dec'!$D$27:$AH$266,'Jan (next year)'!$D$27:$AH$266),179,DAY($A$5))&amp;"")</f>
        <v/>
      </c>
      <c r="G55" s="81">
        <f>IF(OR($B55="",NOT(AND($A$5&gt;=DATE(PlanYear,1,1),$A$5&lt;=DATE(PlanYear+1,1,31)))),"",INDEX(CHOOSE(IF(YEAR($A$5)&gt;PlanYear,13,MONTH($A$5)),'Jan'!$D$27:$AH$266,'Feb'!$D$27:$AH$266,'Mar'!$D$27:$AH$266,'Apr'!$D$27:$AH$266,'May'!$D$27:$AH$266,'Jun'!$D$27:$AH$266,'Jul'!$D$27:$AH$266,'Aug'!$D$27:$AH$266,'Sep'!$D$27:$AH$266,'Oct'!$D$27:$AH$266,'Nov'!$D$27:$AH$266,'Dec'!$D$27:$AH$266,'Jan (next year)'!$D$27:$AH$266),180,DAY($A$5))&amp;"")</f>
        <v/>
      </c>
    </row>
    <row r="56">
      <c r="A56" s="53">
        <f>IF(Roster!$B$51="","",Roster!$B$51)</f>
        <v/>
      </c>
      <c r="B56" s="54">
        <f>IF(Roster!$C$51="","",Roster!$C$51)</f>
        <v/>
      </c>
      <c r="C56" s="55">
        <f>IF(Roster!$C$51="","",Roster!$F$51&amp;IF(OR(Roster!$G$51="SANS",Roster!$G$51="NSMEN")," | "&amp;Roster!$G$51,""))</f>
        <v/>
      </c>
      <c r="D56" s="81">
        <f>IF(OR($B56="",NOT(AND($A$5&gt;=DATE(PlanYear,1,1),$A$5&lt;=DATE(PlanYear+1,1,31)))),"",INDEX(CHOOSE(IF(YEAR($A$5)&gt;PlanYear,13,MONTH($A$5)),'Jan'!$D$27:$AH$266,'Feb'!$D$27:$AH$266,'Mar'!$D$27:$AH$266,'Apr'!$D$27:$AH$266,'May'!$D$27:$AH$266,'Jun'!$D$27:$AH$266,'Jul'!$D$27:$AH$266,'Aug'!$D$27:$AH$266,'Sep'!$D$27:$AH$266,'Oct'!$D$27:$AH$266,'Nov'!$D$27:$AH$266,'Dec'!$D$27:$AH$266,'Jan (next year)'!$D$27:$AH$266),181,DAY($A$5))&amp;"")</f>
        <v/>
      </c>
      <c r="E56" s="81">
        <f>IF(OR($B56="",NOT(AND($A$5&gt;=DATE(PlanYear,1,1),$A$5&lt;=DATE(PlanYear+1,1,31)))),"",INDEX(CHOOSE(IF(YEAR($A$5)&gt;PlanYear,13,MONTH($A$5)),'Jan'!$D$27:$AH$266,'Feb'!$D$27:$AH$266,'Mar'!$D$27:$AH$266,'Apr'!$D$27:$AH$266,'May'!$D$27:$AH$266,'Jun'!$D$27:$AH$266,'Jul'!$D$27:$AH$266,'Aug'!$D$27:$AH$266,'Sep'!$D$27:$AH$266,'Oct'!$D$27:$AH$266,'Nov'!$D$27:$AH$266,'Dec'!$D$27:$AH$266,'Jan (next year)'!$D$27:$AH$266),182,DAY($A$5))&amp;"")</f>
        <v/>
      </c>
      <c r="F56" s="81">
        <f>IF(OR($B56="",NOT(AND($A$5&gt;=DATE(PlanYear,1,1),$A$5&lt;=DATE(PlanYear+1,1,31)))),"",INDEX(CHOOSE(IF(YEAR($A$5)&gt;PlanYear,13,MONTH($A$5)),'Jan'!$D$27:$AH$266,'Feb'!$D$27:$AH$266,'Mar'!$D$27:$AH$266,'Apr'!$D$27:$AH$266,'May'!$D$27:$AH$266,'Jun'!$D$27:$AH$266,'Jul'!$D$27:$AH$266,'Aug'!$D$27:$AH$266,'Sep'!$D$27:$AH$266,'Oct'!$D$27:$AH$266,'Nov'!$D$27:$AH$266,'Dec'!$D$27:$AH$266,'Jan (next year)'!$D$27:$AH$266),183,DAY($A$5))&amp;"")</f>
        <v/>
      </c>
      <c r="G56" s="81">
        <f>IF(OR($B56="",NOT(AND($A$5&gt;=DATE(PlanYear,1,1),$A$5&lt;=DATE(PlanYear+1,1,31)))),"",INDEX(CHOOSE(IF(YEAR($A$5)&gt;PlanYear,13,MONTH($A$5)),'Jan'!$D$27:$AH$266,'Feb'!$D$27:$AH$266,'Mar'!$D$27:$AH$266,'Apr'!$D$27:$AH$266,'May'!$D$27:$AH$266,'Jun'!$D$27:$AH$266,'Jul'!$D$27:$AH$266,'Aug'!$D$27:$AH$266,'Sep'!$D$27:$AH$266,'Oct'!$D$27:$AH$266,'Nov'!$D$27:$AH$266,'Dec'!$D$27:$AH$266,'Jan (next year)'!$D$27:$AH$266),184,DAY($A$5))&amp;"")</f>
        <v/>
      </c>
    </row>
    <row r="57">
      <c r="A57" s="53">
        <f>IF(Roster!$B$52="","",Roster!$B$52)</f>
        <v/>
      </c>
      <c r="B57" s="54">
        <f>IF(Roster!$C$52="","",Roster!$C$52)</f>
        <v/>
      </c>
      <c r="C57" s="55">
        <f>IF(Roster!$C$52="","",Roster!$F$52&amp;IF(OR(Roster!$G$52="SANS",Roster!$G$52="NSMEN")," | "&amp;Roster!$G$52,""))</f>
        <v/>
      </c>
      <c r="D57" s="81">
        <f>IF(OR($B57="",NOT(AND($A$5&gt;=DATE(PlanYear,1,1),$A$5&lt;=DATE(PlanYear+1,1,31)))),"",INDEX(CHOOSE(IF(YEAR($A$5)&gt;PlanYear,13,MONTH($A$5)),'Jan'!$D$27:$AH$266,'Feb'!$D$27:$AH$266,'Mar'!$D$27:$AH$266,'Apr'!$D$27:$AH$266,'May'!$D$27:$AH$266,'Jun'!$D$27:$AH$266,'Jul'!$D$27:$AH$266,'Aug'!$D$27:$AH$266,'Sep'!$D$27:$AH$266,'Oct'!$D$27:$AH$266,'Nov'!$D$27:$AH$266,'Dec'!$D$27:$AH$266,'Jan (next year)'!$D$27:$AH$266),185,DAY($A$5))&amp;"")</f>
        <v/>
      </c>
      <c r="E57" s="81">
        <f>IF(OR($B57="",NOT(AND($A$5&gt;=DATE(PlanYear,1,1),$A$5&lt;=DATE(PlanYear+1,1,31)))),"",INDEX(CHOOSE(IF(YEAR($A$5)&gt;PlanYear,13,MONTH($A$5)),'Jan'!$D$27:$AH$266,'Feb'!$D$27:$AH$266,'Mar'!$D$27:$AH$266,'Apr'!$D$27:$AH$266,'May'!$D$27:$AH$266,'Jun'!$D$27:$AH$266,'Jul'!$D$27:$AH$266,'Aug'!$D$27:$AH$266,'Sep'!$D$27:$AH$266,'Oct'!$D$27:$AH$266,'Nov'!$D$27:$AH$266,'Dec'!$D$27:$AH$266,'Jan (next year)'!$D$27:$AH$266),186,DAY($A$5))&amp;"")</f>
        <v/>
      </c>
      <c r="F57" s="81">
        <f>IF(OR($B57="",NOT(AND($A$5&gt;=DATE(PlanYear,1,1),$A$5&lt;=DATE(PlanYear+1,1,31)))),"",INDEX(CHOOSE(IF(YEAR($A$5)&gt;PlanYear,13,MONTH($A$5)),'Jan'!$D$27:$AH$266,'Feb'!$D$27:$AH$266,'Mar'!$D$27:$AH$266,'Apr'!$D$27:$AH$266,'May'!$D$27:$AH$266,'Jun'!$D$27:$AH$266,'Jul'!$D$27:$AH$266,'Aug'!$D$27:$AH$266,'Sep'!$D$27:$AH$266,'Oct'!$D$27:$AH$266,'Nov'!$D$27:$AH$266,'Dec'!$D$27:$AH$266,'Jan (next year)'!$D$27:$AH$266),187,DAY($A$5))&amp;"")</f>
        <v/>
      </c>
      <c r="G57" s="81">
        <f>IF(OR($B57="",NOT(AND($A$5&gt;=DATE(PlanYear,1,1),$A$5&lt;=DATE(PlanYear+1,1,31)))),"",INDEX(CHOOSE(IF(YEAR($A$5)&gt;PlanYear,13,MONTH($A$5)),'Jan'!$D$27:$AH$266,'Feb'!$D$27:$AH$266,'Mar'!$D$27:$AH$266,'Apr'!$D$27:$AH$266,'May'!$D$27:$AH$266,'Jun'!$D$27:$AH$266,'Jul'!$D$27:$AH$266,'Aug'!$D$27:$AH$266,'Sep'!$D$27:$AH$266,'Oct'!$D$27:$AH$266,'Nov'!$D$27:$AH$266,'Dec'!$D$27:$AH$266,'Jan (next year)'!$D$27:$AH$266),188,DAY($A$5))&amp;"")</f>
        <v/>
      </c>
    </row>
    <row r="58" hidden="1">
      <c r="A58" s="53">
        <f>IF(Roster!$B$53="","",Roster!$B$53)</f>
        <v/>
      </c>
      <c r="B58" s="54">
        <f>IF(Roster!$C$53="","",Roster!$C$53)</f>
        <v/>
      </c>
      <c r="C58" s="55">
        <f>IF(Roster!$C$53="","",Roster!$F$53&amp;IF(OR(Roster!$G$53="SANS",Roster!$G$53="NSMEN")," | "&amp;Roster!$G$53,""))</f>
        <v/>
      </c>
      <c r="D58" s="81">
        <f>IF(OR($B58="",NOT(AND($A$5&gt;=DATE(PlanYear,1,1),$A$5&lt;=DATE(PlanYear+1,1,31)))),"",INDEX(CHOOSE(IF(YEAR($A$5)&gt;PlanYear,13,MONTH($A$5)),'Jan'!$D$27:$AH$266,'Feb'!$D$27:$AH$266,'Mar'!$D$27:$AH$266,'Apr'!$D$27:$AH$266,'May'!$D$27:$AH$266,'Jun'!$D$27:$AH$266,'Jul'!$D$27:$AH$266,'Aug'!$D$27:$AH$266,'Sep'!$D$27:$AH$266,'Oct'!$D$27:$AH$266,'Nov'!$D$27:$AH$266,'Dec'!$D$27:$AH$266,'Jan (next year)'!$D$27:$AH$266),189,DAY($A$5))&amp;"")</f>
        <v/>
      </c>
      <c r="E58" s="81">
        <f>IF(OR($B58="",NOT(AND($A$5&gt;=DATE(PlanYear,1,1),$A$5&lt;=DATE(PlanYear+1,1,31)))),"",INDEX(CHOOSE(IF(YEAR($A$5)&gt;PlanYear,13,MONTH($A$5)),'Jan'!$D$27:$AH$266,'Feb'!$D$27:$AH$266,'Mar'!$D$27:$AH$266,'Apr'!$D$27:$AH$266,'May'!$D$27:$AH$266,'Jun'!$D$27:$AH$266,'Jul'!$D$27:$AH$266,'Aug'!$D$27:$AH$266,'Sep'!$D$27:$AH$266,'Oct'!$D$27:$AH$266,'Nov'!$D$27:$AH$266,'Dec'!$D$27:$AH$266,'Jan (next year)'!$D$27:$AH$266),190,DAY($A$5))&amp;"")</f>
        <v/>
      </c>
      <c r="F58" s="81">
        <f>IF(OR($B58="",NOT(AND($A$5&gt;=DATE(PlanYear,1,1),$A$5&lt;=DATE(PlanYear+1,1,31)))),"",INDEX(CHOOSE(IF(YEAR($A$5)&gt;PlanYear,13,MONTH($A$5)),'Jan'!$D$27:$AH$266,'Feb'!$D$27:$AH$266,'Mar'!$D$27:$AH$266,'Apr'!$D$27:$AH$266,'May'!$D$27:$AH$266,'Jun'!$D$27:$AH$266,'Jul'!$D$27:$AH$266,'Aug'!$D$27:$AH$266,'Sep'!$D$27:$AH$266,'Oct'!$D$27:$AH$266,'Nov'!$D$27:$AH$266,'Dec'!$D$27:$AH$266,'Jan (next year)'!$D$27:$AH$266),191,DAY($A$5))&amp;"")</f>
        <v/>
      </c>
      <c r="G58" s="81">
        <f>IF(OR($B58="",NOT(AND($A$5&gt;=DATE(PlanYear,1,1),$A$5&lt;=DATE(PlanYear+1,1,31)))),"",INDEX(CHOOSE(IF(YEAR($A$5)&gt;PlanYear,13,MONTH($A$5)),'Jan'!$D$27:$AH$266,'Feb'!$D$27:$AH$266,'Mar'!$D$27:$AH$266,'Apr'!$D$27:$AH$266,'May'!$D$27:$AH$266,'Jun'!$D$27:$AH$266,'Jul'!$D$27:$AH$266,'Aug'!$D$27:$AH$266,'Sep'!$D$27:$AH$266,'Oct'!$D$27:$AH$266,'Nov'!$D$27:$AH$266,'Dec'!$D$27:$AH$266,'Jan (next year)'!$D$27:$AH$266),192,DAY($A$5))&amp;"")</f>
        <v/>
      </c>
    </row>
    <row r="59" hidden="1">
      <c r="A59" s="53">
        <f>IF(Roster!$B$54="","",Roster!$B$54)</f>
        <v/>
      </c>
      <c r="B59" s="54">
        <f>IF(Roster!$C$54="","",Roster!$C$54)</f>
        <v/>
      </c>
      <c r="C59" s="55">
        <f>IF(Roster!$C$54="","",Roster!$F$54&amp;IF(OR(Roster!$G$54="SANS",Roster!$G$54="NSMEN")," | "&amp;Roster!$G$54,""))</f>
        <v/>
      </c>
      <c r="D59" s="81">
        <f>IF(OR($B59="",NOT(AND($A$5&gt;=DATE(PlanYear,1,1),$A$5&lt;=DATE(PlanYear+1,1,31)))),"",INDEX(CHOOSE(IF(YEAR($A$5)&gt;PlanYear,13,MONTH($A$5)),'Jan'!$D$27:$AH$266,'Feb'!$D$27:$AH$266,'Mar'!$D$27:$AH$266,'Apr'!$D$27:$AH$266,'May'!$D$27:$AH$266,'Jun'!$D$27:$AH$266,'Jul'!$D$27:$AH$266,'Aug'!$D$27:$AH$266,'Sep'!$D$27:$AH$266,'Oct'!$D$27:$AH$266,'Nov'!$D$27:$AH$266,'Dec'!$D$27:$AH$266,'Jan (next year)'!$D$27:$AH$266),193,DAY($A$5))&amp;"")</f>
        <v/>
      </c>
      <c r="E59" s="81">
        <f>IF(OR($B59="",NOT(AND($A$5&gt;=DATE(PlanYear,1,1),$A$5&lt;=DATE(PlanYear+1,1,31)))),"",INDEX(CHOOSE(IF(YEAR($A$5)&gt;PlanYear,13,MONTH($A$5)),'Jan'!$D$27:$AH$266,'Feb'!$D$27:$AH$266,'Mar'!$D$27:$AH$266,'Apr'!$D$27:$AH$266,'May'!$D$27:$AH$266,'Jun'!$D$27:$AH$266,'Jul'!$D$27:$AH$266,'Aug'!$D$27:$AH$266,'Sep'!$D$27:$AH$266,'Oct'!$D$27:$AH$266,'Nov'!$D$27:$AH$266,'Dec'!$D$27:$AH$266,'Jan (next year)'!$D$27:$AH$266),194,DAY($A$5))&amp;"")</f>
        <v/>
      </c>
      <c r="F59" s="81">
        <f>IF(OR($B59="",NOT(AND($A$5&gt;=DATE(PlanYear,1,1),$A$5&lt;=DATE(PlanYear+1,1,31)))),"",INDEX(CHOOSE(IF(YEAR($A$5)&gt;PlanYear,13,MONTH($A$5)),'Jan'!$D$27:$AH$266,'Feb'!$D$27:$AH$266,'Mar'!$D$27:$AH$266,'Apr'!$D$27:$AH$266,'May'!$D$27:$AH$266,'Jun'!$D$27:$AH$266,'Jul'!$D$27:$AH$266,'Aug'!$D$27:$AH$266,'Sep'!$D$27:$AH$266,'Oct'!$D$27:$AH$266,'Nov'!$D$27:$AH$266,'Dec'!$D$27:$AH$266,'Jan (next year)'!$D$27:$AH$266),195,DAY($A$5))&amp;"")</f>
        <v/>
      </c>
      <c r="G59" s="81">
        <f>IF(OR($B59="",NOT(AND($A$5&gt;=DATE(PlanYear,1,1),$A$5&lt;=DATE(PlanYear+1,1,31)))),"",INDEX(CHOOSE(IF(YEAR($A$5)&gt;PlanYear,13,MONTH($A$5)),'Jan'!$D$27:$AH$266,'Feb'!$D$27:$AH$266,'Mar'!$D$27:$AH$266,'Apr'!$D$27:$AH$266,'May'!$D$27:$AH$266,'Jun'!$D$27:$AH$266,'Jul'!$D$27:$AH$266,'Aug'!$D$27:$AH$266,'Sep'!$D$27:$AH$266,'Oct'!$D$27:$AH$266,'Nov'!$D$27:$AH$266,'Dec'!$D$27:$AH$266,'Jan (next year)'!$D$27:$AH$266),196,DAY($A$5))&amp;"")</f>
        <v/>
      </c>
    </row>
    <row r="60" hidden="1">
      <c r="A60" s="53">
        <f>IF(Roster!$B$55="","",Roster!$B$55)</f>
        <v/>
      </c>
      <c r="B60" s="54">
        <f>IF(Roster!$C$55="","",Roster!$C$55)</f>
        <v/>
      </c>
      <c r="C60" s="55">
        <f>IF(Roster!$C$55="","",Roster!$F$55&amp;IF(OR(Roster!$G$55="SANS",Roster!$G$55="NSMEN")," | "&amp;Roster!$G$55,""))</f>
        <v/>
      </c>
      <c r="D60" s="81">
        <f>IF(OR($B60="",NOT(AND($A$5&gt;=DATE(PlanYear,1,1),$A$5&lt;=DATE(PlanYear+1,1,31)))),"",INDEX(CHOOSE(IF(YEAR($A$5)&gt;PlanYear,13,MONTH($A$5)),'Jan'!$D$27:$AH$266,'Feb'!$D$27:$AH$266,'Mar'!$D$27:$AH$266,'Apr'!$D$27:$AH$266,'May'!$D$27:$AH$266,'Jun'!$D$27:$AH$266,'Jul'!$D$27:$AH$266,'Aug'!$D$27:$AH$266,'Sep'!$D$27:$AH$266,'Oct'!$D$27:$AH$266,'Nov'!$D$27:$AH$266,'Dec'!$D$27:$AH$266,'Jan (next year)'!$D$27:$AH$266),197,DAY($A$5))&amp;"")</f>
        <v/>
      </c>
      <c r="E60" s="81">
        <f>IF(OR($B60="",NOT(AND($A$5&gt;=DATE(PlanYear,1,1),$A$5&lt;=DATE(PlanYear+1,1,31)))),"",INDEX(CHOOSE(IF(YEAR($A$5)&gt;PlanYear,13,MONTH($A$5)),'Jan'!$D$27:$AH$266,'Feb'!$D$27:$AH$266,'Mar'!$D$27:$AH$266,'Apr'!$D$27:$AH$266,'May'!$D$27:$AH$266,'Jun'!$D$27:$AH$266,'Jul'!$D$27:$AH$266,'Aug'!$D$27:$AH$266,'Sep'!$D$27:$AH$266,'Oct'!$D$27:$AH$266,'Nov'!$D$27:$AH$266,'Dec'!$D$27:$AH$266,'Jan (next year)'!$D$27:$AH$266),198,DAY($A$5))&amp;"")</f>
        <v/>
      </c>
      <c r="F60" s="81">
        <f>IF(OR($B60="",NOT(AND($A$5&gt;=DATE(PlanYear,1,1),$A$5&lt;=DATE(PlanYear+1,1,31)))),"",INDEX(CHOOSE(IF(YEAR($A$5)&gt;PlanYear,13,MONTH($A$5)),'Jan'!$D$27:$AH$266,'Feb'!$D$27:$AH$266,'Mar'!$D$27:$AH$266,'Apr'!$D$27:$AH$266,'May'!$D$27:$AH$266,'Jun'!$D$27:$AH$266,'Jul'!$D$27:$AH$266,'Aug'!$D$27:$AH$266,'Sep'!$D$27:$AH$266,'Oct'!$D$27:$AH$266,'Nov'!$D$27:$AH$266,'Dec'!$D$27:$AH$266,'Jan (next year)'!$D$27:$AH$266),199,DAY($A$5))&amp;"")</f>
        <v/>
      </c>
      <c r="G60" s="81">
        <f>IF(OR($B60="",NOT(AND($A$5&gt;=DATE(PlanYear,1,1),$A$5&lt;=DATE(PlanYear+1,1,31)))),"",INDEX(CHOOSE(IF(YEAR($A$5)&gt;PlanYear,13,MONTH($A$5)),'Jan'!$D$27:$AH$266,'Feb'!$D$27:$AH$266,'Mar'!$D$27:$AH$266,'Apr'!$D$27:$AH$266,'May'!$D$27:$AH$266,'Jun'!$D$27:$AH$266,'Jul'!$D$27:$AH$266,'Aug'!$D$27:$AH$266,'Sep'!$D$27:$AH$266,'Oct'!$D$27:$AH$266,'Nov'!$D$27:$AH$266,'Dec'!$D$27:$AH$266,'Jan (next year)'!$D$27:$AH$266),200,DAY($A$5))&amp;"")</f>
        <v/>
      </c>
    </row>
    <row r="61" hidden="1">
      <c r="A61" s="53">
        <f>IF(Roster!$B$56="","",Roster!$B$56)</f>
        <v/>
      </c>
      <c r="B61" s="54">
        <f>IF(Roster!$C$56="","",Roster!$C$56)</f>
        <v/>
      </c>
      <c r="C61" s="55">
        <f>IF(Roster!$C$56="","",Roster!$F$56&amp;IF(OR(Roster!$G$56="SANS",Roster!$G$56="NSMEN")," | "&amp;Roster!$G$56,""))</f>
        <v/>
      </c>
      <c r="D61" s="81">
        <f>IF(OR($B61="",NOT(AND($A$5&gt;=DATE(PlanYear,1,1),$A$5&lt;=DATE(PlanYear+1,1,31)))),"",INDEX(CHOOSE(IF(YEAR($A$5)&gt;PlanYear,13,MONTH($A$5)),'Jan'!$D$27:$AH$266,'Feb'!$D$27:$AH$266,'Mar'!$D$27:$AH$266,'Apr'!$D$27:$AH$266,'May'!$D$27:$AH$266,'Jun'!$D$27:$AH$266,'Jul'!$D$27:$AH$266,'Aug'!$D$27:$AH$266,'Sep'!$D$27:$AH$266,'Oct'!$D$27:$AH$266,'Nov'!$D$27:$AH$266,'Dec'!$D$27:$AH$266,'Jan (next year)'!$D$27:$AH$266),201,DAY($A$5))&amp;"")</f>
        <v/>
      </c>
      <c r="E61" s="81">
        <f>IF(OR($B61="",NOT(AND($A$5&gt;=DATE(PlanYear,1,1),$A$5&lt;=DATE(PlanYear+1,1,31)))),"",INDEX(CHOOSE(IF(YEAR($A$5)&gt;PlanYear,13,MONTH($A$5)),'Jan'!$D$27:$AH$266,'Feb'!$D$27:$AH$266,'Mar'!$D$27:$AH$266,'Apr'!$D$27:$AH$266,'May'!$D$27:$AH$266,'Jun'!$D$27:$AH$266,'Jul'!$D$27:$AH$266,'Aug'!$D$27:$AH$266,'Sep'!$D$27:$AH$266,'Oct'!$D$27:$AH$266,'Nov'!$D$27:$AH$266,'Dec'!$D$27:$AH$266,'Jan (next year)'!$D$27:$AH$266),202,DAY($A$5))&amp;"")</f>
        <v/>
      </c>
      <c r="F61" s="81">
        <f>IF(OR($B61="",NOT(AND($A$5&gt;=DATE(PlanYear,1,1),$A$5&lt;=DATE(PlanYear+1,1,31)))),"",INDEX(CHOOSE(IF(YEAR($A$5)&gt;PlanYear,13,MONTH($A$5)),'Jan'!$D$27:$AH$266,'Feb'!$D$27:$AH$266,'Mar'!$D$27:$AH$266,'Apr'!$D$27:$AH$266,'May'!$D$27:$AH$266,'Jun'!$D$27:$AH$266,'Jul'!$D$27:$AH$266,'Aug'!$D$27:$AH$266,'Sep'!$D$27:$AH$266,'Oct'!$D$27:$AH$266,'Nov'!$D$27:$AH$266,'Dec'!$D$27:$AH$266,'Jan (next year)'!$D$27:$AH$266),203,DAY($A$5))&amp;"")</f>
        <v/>
      </c>
      <c r="G61" s="81">
        <f>IF(OR($B61="",NOT(AND($A$5&gt;=DATE(PlanYear,1,1),$A$5&lt;=DATE(PlanYear+1,1,31)))),"",INDEX(CHOOSE(IF(YEAR($A$5)&gt;PlanYear,13,MONTH($A$5)),'Jan'!$D$27:$AH$266,'Feb'!$D$27:$AH$266,'Mar'!$D$27:$AH$266,'Apr'!$D$27:$AH$266,'May'!$D$27:$AH$266,'Jun'!$D$27:$AH$266,'Jul'!$D$27:$AH$266,'Aug'!$D$27:$AH$266,'Sep'!$D$27:$AH$266,'Oct'!$D$27:$AH$266,'Nov'!$D$27:$AH$266,'Dec'!$D$27:$AH$266,'Jan (next year)'!$D$27:$AH$266),204,DAY($A$5))&amp;"")</f>
        <v/>
      </c>
    </row>
    <row r="62" hidden="1">
      <c r="A62" s="53">
        <f>IF(Roster!$B$57="","",Roster!$B$57)</f>
        <v/>
      </c>
      <c r="B62" s="54">
        <f>IF(Roster!$C$57="","",Roster!$C$57)</f>
        <v/>
      </c>
      <c r="C62" s="55">
        <f>IF(Roster!$C$57="","",Roster!$F$57&amp;IF(OR(Roster!$G$57="SANS",Roster!$G$57="NSMEN")," | "&amp;Roster!$G$57,""))</f>
        <v/>
      </c>
      <c r="D62" s="81">
        <f>IF(OR($B62="",NOT(AND($A$5&gt;=DATE(PlanYear,1,1),$A$5&lt;=DATE(PlanYear+1,1,31)))),"",INDEX(CHOOSE(IF(YEAR($A$5)&gt;PlanYear,13,MONTH($A$5)),'Jan'!$D$27:$AH$266,'Feb'!$D$27:$AH$266,'Mar'!$D$27:$AH$266,'Apr'!$D$27:$AH$266,'May'!$D$27:$AH$266,'Jun'!$D$27:$AH$266,'Jul'!$D$27:$AH$266,'Aug'!$D$27:$AH$266,'Sep'!$D$27:$AH$266,'Oct'!$D$27:$AH$266,'Nov'!$D$27:$AH$266,'Dec'!$D$27:$AH$266,'Jan (next year)'!$D$27:$AH$266),205,DAY($A$5))&amp;"")</f>
        <v/>
      </c>
      <c r="E62" s="81">
        <f>IF(OR($B62="",NOT(AND($A$5&gt;=DATE(PlanYear,1,1),$A$5&lt;=DATE(PlanYear+1,1,31)))),"",INDEX(CHOOSE(IF(YEAR($A$5)&gt;PlanYear,13,MONTH($A$5)),'Jan'!$D$27:$AH$266,'Feb'!$D$27:$AH$266,'Mar'!$D$27:$AH$266,'Apr'!$D$27:$AH$266,'May'!$D$27:$AH$266,'Jun'!$D$27:$AH$266,'Jul'!$D$27:$AH$266,'Aug'!$D$27:$AH$266,'Sep'!$D$27:$AH$266,'Oct'!$D$27:$AH$266,'Nov'!$D$27:$AH$266,'Dec'!$D$27:$AH$266,'Jan (next year)'!$D$27:$AH$266),206,DAY($A$5))&amp;"")</f>
        <v/>
      </c>
      <c r="F62" s="81">
        <f>IF(OR($B62="",NOT(AND($A$5&gt;=DATE(PlanYear,1,1),$A$5&lt;=DATE(PlanYear+1,1,31)))),"",INDEX(CHOOSE(IF(YEAR($A$5)&gt;PlanYear,13,MONTH($A$5)),'Jan'!$D$27:$AH$266,'Feb'!$D$27:$AH$266,'Mar'!$D$27:$AH$266,'Apr'!$D$27:$AH$266,'May'!$D$27:$AH$266,'Jun'!$D$27:$AH$266,'Jul'!$D$27:$AH$266,'Aug'!$D$27:$AH$266,'Sep'!$D$27:$AH$266,'Oct'!$D$27:$AH$266,'Nov'!$D$27:$AH$266,'Dec'!$D$27:$AH$266,'Jan (next year)'!$D$27:$AH$266),207,DAY($A$5))&amp;"")</f>
        <v/>
      </c>
      <c r="G62" s="81">
        <f>IF(OR($B62="",NOT(AND($A$5&gt;=DATE(PlanYear,1,1),$A$5&lt;=DATE(PlanYear+1,1,31)))),"",INDEX(CHOOSE(IF(YEAR($A$5)&gt;PlanYear,13,MONTH($A$5)),'Jan'!$D$27:$AH$266,'Feb'!$D$27:$AH$266,'Mar'!$D$27:$AH$266,'Apr'!$D$27:$AH$266,'May'!$D$27:$AH$266,'Jun'!$D$27:$AH$266,'Jul'!$D$27:$AH$266,'Aug'!$D$27:$AH$266,'Sep'!$D$27:$AH$266,'Oct'!$D$27:$AH$266,'Nov'!$D$27:$AH$266,'Dec'!$D$27:$AH$266,'Jan (next year)'!$D$27:$AH$266),208,DAY($A$5))&amp;"")</f>
        <v/>
      </c>
    </row>
    <row r="63" hidden="1">
      <c r="A63" s="53">
        <f>IF(Roster!$B$58="","",Roster!$B$58)</f>
        <v/>
      </c>
      <c r="B63" s="54">
        <f>IF(Roster!$C$58="","",Roster!$C$58)</f>
        <v/>
      </c>
      <c r="C63" s="55">
        <f>IF(Roster!$C$58="","",Roster!$F$58&amp;IF(OR(Roster!$G$58="SANS",Roster!$G$58="NSMEN")," | "&amp;Roster!$G$58,""))</f>
        <v/>
      </c>
      <c r="D63" s="81">
        <f>IF(OR($B63="",NOT(AND($A$5&gt;=DATE(PlanYear,1,1),$A$5&lt;=DATE(PlanYear+1,1,31)))),"",INDEX(CHOOSE(IF(YEAR($A$5)&gt;PlanYear,13,MONTH($A$5)),'Jan'!$D$27:$AH$266,'Feb'!$D$27:$AH$266,'Mar'!$D$27:$AH$266,'Apr'!$D$27:$AH$266,'May'!$D$27:$AH$266,'Jun'!$D$27:$AH$266,'Jul'!$D$27:$AH$266,'Aug'!$D$27:$AH$266,'Sep'!$D$27:$AH$266,'Oct'!$D$27:$AH$266,'Nov'!$D$27:$AH$266,'Dec'!$D$27:$AH$266,'Jan (next year)'!$D$27:$AH$266),209,DAY($A$5))&amp;"")</f>
        <v/>
      </c>
      <c r="E63" s="81">
        <f>IF(OR($B63="",NOT(AND($A$5&gt;=DATE(PlanYear,1,1),$A$5&lt;=DATE(PlanYear+1,1,31)))),"",INDEX(CHOOSE(IF(YEAR($A$5)&gt;PlanYear,13,MONTH($A$5)),'Jan'!$D$27:$AH$266,'Feb'!$D$27:$AH$266,'Mar'!$D$27:$AH$266,'Apr'!$D$27:$AH$266,'May'!$D$27:$AH$266,'Jun'!$D$27:$AH$266,'Jul'!$D$27:$AH$266,'Aug'!$D$27:$AH$266,'Sep'!$D$27:$AH$266,'Oct'!$D$27:$AH$266,'Nov'!$D$27:$AH$266,'Dec'!$D$27:$AH$266,'Jan (next year)'!$D$27:$AH$266),210,DAY($A$5))&amp;"")</f>
        <v/>
      </c>
      <c r="F63" s="81">
        <f>IF(OR($B63="",NOT(AND($A$5&gt;=DATE(PlanYear,1,1),$A$5&lt;=DATE(PlanYear+1,1,31)))),"",INDEX(CHOOSE(IF(YEAR($A$5)&gt;PlanYear,13,MONTH($A$5)),'Jan'!$D$27:$AH$266,'Feb'!$D$27:$AH$266,'Mar'!$D$27:$AH$266,'Apr'!$D$27:$AH$266,'May'!$D$27:$AH$266,'Jun'!$D$27:$AH$266,'Jul'!$D$27:$AH$266,'Aug'!$D$27:$AH$266,'Sep'!$D$27:$AH$266,'Oct'!$D$27:$AH$266,'Nov'!$D$27:$AH$266,'Dec'!$D$27:$AH$266,'Jan (next year)'!$D$27:$AH$266),211,DAY($A$5))&amp;"")</f>
        <v/>
      </c>
      <c r="G63" s="81">
        <f>IF(OR($B63="",NOT(AND($A$5&gt;=DATE(PlanYear,1,1),$A$5&lt;=DATE(PlanYear+1,1,31)))),"",INDEX(CHOOSE(IF(YEAR($A$5)&gt;PlanYear,13,MONTH($A$5)),'Jan'!$D$27:$AH$266,'Feb'!$D$27:$AH$266,'Mar'!$D$27:$AH$266,'Apr'!$D$27:$AH$266,'May'!$D$27:$AH$266,'Jun'!$D$27:$AH$266,'Jul'!$D$27:$AH$266,'Aug'!$D$27:$AH$266,'Sep'!$D$27:$AH$266,'Oct'!$D$27:$AH$266,'Nov'!$D$27:$AH$266,'Dec'!$D$27:$AH$266,'Jan (next year)'!$D$27:$AH$266),212,DAY($A$5))&amp;"")</f>
        <v/>
      </c>
    </row>
    <row r="64" hidden="1">
      <c r="A64" s="53">
        <f>IF(Roster!$B$59="","",Roster!$B$59)</f>
        <v/>
      </c>
      <c r="B64" s="54">
        <f>IF(Roster!$C$59="","",Roster!$C$59)</f>
        <v/>
      </c>
      <c r="C64" s="55">
        <f>IF(Roster!$C$59="","",Roster!$F$59&amp;IF(OR(Roster!$G$59="SANS",Roster!$G$59="NSMEN")," | "&amp;Roster!$G$59,""))</f>
        <v/>
      </c>
      <c r="D64" s="81">
        <f>IF(OR($B64="",NOT(AND($A$5&gt;=DATE(PlanYear,1,1),$A$5&lt;=DATE(PlanYear+1,1,31)))),"",INDEX(CHOOSE(IF(YEAR($A$5)&gt;PlanYear,13,MONTH($A$5)),'Jan'!$D$27:$AH$266,'Feb'!$D$27:$AH$266,'Mar'!$D$27:$AH$266,'Apr'!$D$27:$AH$266,'May'!$D$27:$AH$266,'Jun'!$D$27:$AH$266,'Jul'!$D$27:$AH$266,'Aug'!$D$27:$AH$266,'Sep'!$D$27:$AH$266,'Oct'!$D$27:$AH$266,'Nov'!$D$27:$AH$266,'Dec'!$D$27:$AH$266,'Jan (next year)'!$D$27:$AH$266),213,DAY($A$5))&amp;"")</f>
        <v/>
      </c>
      <c r="E64" s="81">
        <f>IF(OR($B64="",NOT(AND($A$5&gt;=DATE(PlanYear,1,1),$A$5&lt;=DATE(PlanYear+1,1,31)))),"",INDEX(CHOOSE(IF(YEAR($A$5)&gt;PlanYear,13,MONTH($A$5)),'Jan'!$D$27:$AH$266,'Feb'!$D$27:$AH$266,'Mar'!$D$27:$AH$266,'Apr'!$D$27:$AH$266,'May'!$D$27:$AH$266,'Jun'!$D$27:$AH$266,'Jul'!$D$27:$AH$266,'Aug'!$D$27:$AH$266,'Sep'!$D$27:$AH$266,'Oct'!$D$27:$AH$266,'Nov'!$D$27:$AH$266,'Dec'!$D$27:$AH$266,'Jan (next year)'!$D$27:$AH$266),214,DAY($A$5))&amp;"")</f>
        <v/>
      </c>
      <c r="F64" s="81">
        <f>IF(OR($B64="",NOT(AND($A$5&gt;=DATE(PlanYear,1,1),$A$5&lt;=DATE(PlanYear+1,1,31)))),"",INDEX(CHOOSE(IF(YEAR($A$5)&gt;PlanYear,13,MONTH($A$5)),'Jan'!$D$27:$AH$266,'Feb'!$D$27:$AH$266,'Mar'!$D$27:$AH$266,'Apr'!$D$27:$AH$266,'May'!$D$27:$AH$266,'Jun'!$D$27:$AH$266,'Jul'!$D$27:$AH$266,'Aug'!$D$27:$AH$266,'Sep'!$D$27:$AH$266,'Oct'!$D$27:$AH$266,'Nov'!$D$27:$AH$266,'Dec'!$D$27:$AH$266,'Jan (next year)'!$D$27:$AH$266),215,DAY($A$5))&amp;"")</f>
        <v/>
      </c>
      <c r="G64" s="81">
        <f>IF(OR($B64="",NOT(AND($A$5&gt;=DATE(PlanYear,1,1),$A$5&lt;=DATE(PlanYear+1,1,31)))),"",INDEX(CHOOSE(IF(YEAR($A$5)&gt;PlanYear,13,MONTH($A$5)),'Jan'!$D$27:$AH$266,'Feb'!$D$27:$AH$266,'Mar'!$D$27:$AH$266,'Apr'!$D$27:$AH$266,'May'!$D$27:$AH$266,'Jun'!$D$27:$AH$266,'Jul'!$D$27:$AH$266,'Aug'!$D$27:$AH$266,'Sep'!$D$27:$AH$266,'Oct'!$D$27:$AH$266,'Nov'!$D$27:$AH$266,'Dec'!$D$27:$AH$266,'Jan (next year)'!$D$27:$AH$266),216,DAY($A$5))&amp;"")</f>
        <v/>
      </c>
    </row>
    <row r="65" hidden="1">
      <c r="A65" s="53">
        <f>IF(Roster!$B$60="","",Roster!$B$60)</f>
        <v/>
      </c>
      <c r="B65" s="54">
        <f>IF(Roster!$C$60="","",Roster!$C$60)</f>
        <v/>
      </c>
      <c r="C65" s="55">
        <f>IF(Roster!$C$60="","",Roster!$F$60&amp;IF(OR(Roster!$G$60="SANS",Roster!$G$60="NSMEN")," | "&amp;Roster!$G$60,""))</f>
        <v/>
      </c>
      <c r="D65" s="81">
        <f>IF(OR($B65="",NOT(AND($A$5&gt;=DATE(PlanYear,1,1),$A$5&lt;=DATE(PlanYear+1,1,31)))),"",INDEX(CHOOSE(IF(YEAR($A$5)&gt;PlanYear,13,MONTH($A$5)),'Jan'!$D$27:$AH$266,'Feb'!$D$27:$AH$266,'Mar'!$D$27:$AH$266,'Apr'!$D$27:$AH$266,'May'!$D$27:$AH$266,'Jun'!$D$27:$AH$266,'Jul'!$D$27:$AH$266,'Aug'!$D$27:$AH$266,'Sep'!$D$27:$AH$266,'Oct'!$D$27:$AH$266,'Nov'!$D$27:$AH$266,'Dec'!$D$27:$AH$266,'Jan (next year)'!$D$27:$AH$266),217,DAY($A$5))&amp;"")</f>
        <v/>
      </c>
      <c r="E65" s="81">
        <f>IF(OR($B65="",NOT(AND($A$5&gt;=DATE(PlanYear,1,1),$A$5&lt;=DATE(PlanYear+1,1,31)))),"",INDEX(CHOOSE(IF(YEAR($A$5)&gt;PlanYear,13,MONTH($A$5)),'Jan'!$D$27:$AH$266,'Feb'!$D$27:$AH$266,'Mar'!$D$27:$AH$266,'Apr'!$D$27:$AH$266,'May'!$D$27:$AH$266,'Jun'!$D$27:$AH$266,'Jul'!$D$27:$AH$266,'Aug'!$D$27:$AH$266,'Sep'!$D$27:$AH$266,'Oct'!$D$27:$AH$266,'Nov'!$D$27:$AH$266,'Dec'!$D$27:$AH$266,'Jan (next year)'!$D$27:$AH$266),218,DAY($A$5))&amp;"")</f>
        <v/>
      </c>
      <c r="F65" s="81">
        <f>IF(OR($B65="",NOT(AND($A$5&gt;=DATE(PlanYear,1,1),$A$5&lt;=DATE(PlanYear+1,1,31)))),"",INDEX(CHOOSE(IF(YEAR($A$5)&gt;PlanYear,13,MONTH($A$5)),'Jan'!$D$27:$AH$266,'Feb'!$D$27:$AH$266,'Mar'!$D$27:$AH$266,'Apr'!$D$27:$AH$266,'May'!$D$27:$AH$266,'Jun'!$D$27:$AH$266,'Jul'!$D$27:$AH$266,'Aug'!$D$27:$AH$266,'Sep'!$D$27:$AH$266,'Oct'!$D$27:$AH$266,'Nov'!$D$27:$AH$266,'Dec'!$D$27:$AH$266,'Jan (next year)'!$D$27:$AH$266),219,DAY($A$5))&amp;"")</f>
        <v/>
      </c>
      <c r="G65" s="81">
        <f>IF(OR($B65="",NOT(AND($A$5&gt;=DATE(PlanYear,1,1),$A$5&lt;=DATE(PlanYear+1,1,31)))),"",INDEX(CHOOSE(IF(YEAR($A$5)&gt;PlanYear,13,MONTH($A$5)),'Jan'!$D$27:$AH$266,'Feb'!$D$27:$AH$266,'Mar'!$D$27:$AH$266,'Apr'!$D$27:$AH$266,'May'!$D$27:$AH$266,'Jun'!$D$27:$AH$266,'Jul'!$D$27:$AH$266,'Aug'!$D$27:$AH$266,'Sep'!$D$27:$AH$266,'Oct'!$D$27:$AH$266,'Nov'!$D$27:$AH$266,'Dec'!$D$27:$AH$266,'Jan (next year)'!$D$27:$AH$266),220,DAY($A$5))&amp;"")</f>
        <v/>
      </c>
    </row>
    <row r="66" hidden="1">
      <c r="A66" s="53">
        <f>IF(Roster!$B$61="","",Roster!$B$61)</f>
        <v/>
      </c>
      <c r="B66" s="54">
        <f>IF(Roster!$C$61="","",Roster!$C$61)</f>
        <v/>
      </c>
      <c r="C66" s="55">
        <f>IF(Roster!$C$61="","",Roster!$F$61&amp;IF(OR(Roster!$G$61="SANS",Roster!$G$61="NSMEN")," | "&amp;Roster!$G$61,""))</f>
        <v/>
      </c>
      <c r="D66" s="81">
        <f>IF(OR($B66="",NOT(AND($A$5&gt;=DATE(PlanYear,1,1),$A$5&lt;=DATE(PlanYear+1,1,31)))),"",INDEX(CHOOSE(IF(YEAR($A$5)&gt;PlanYear,13,MONTH($A$5)),'Jan'!$D$27:$AH$266,'Feb'!$D$27:$AH$266,'Mar'!$D$27:$AH$266,'Apr'!$D$27:$AH$266,'May'!$D$27:$AH$266,'Jun'!$D$27:$AH$266,'Jul'!$D$27:$AH$266,'Aug'!$D$27:$AH$266,'Sep'!$D$27:$AH$266,'Oct'!$D$27:$AH$266,'Nov'!$D$27:$AH$266,'Dec'!$D$27:$AH$266,'Jan (next year)'!$D$27:$AH$266),221,DAY($A$5))&amp;"")</f>
        <v/>
      </c>
      <c r="E66" s="81">
        <f>IF(OR($B66="",NOT(AND($A$5&gt;=DATE(PlanYear,1,1),$A$5&lt;=DATE(PlanYear+1,1,31)))),"",INDEX(CHOOSE(IF(YEAR($A$5)&gt;PlanYear,13,MONTH($A$5)),'Jan'!$D$27:$AH$266,'Feb'!$D$27:$AH$266,'Mar'!$D$27:$AH$266,'Apr'!$D$27:$AH$266,'May'!$D$27:$AH$266,'Jun'!$D$27:$AH$266,'Jul'!$D$27:$AH$266,'Aug'!$D$27:$AH$266,'Sep'!$D$27:$AH$266,'Oct'!$D$27:$AH$266,'Nov'!$D$27:$AH$266,'Dec'!$D$27:$AH$266,'Jan (next year)'!$D$27:$AH$266),222,DAY($A$5))&amp;"")</f>
        <v/>
      </c>
      <c r="F66" s="81">
        <f>IF(OR($B66="",NOT(AND($A$5&gt;=DATE(PlanYear,1,1),$A$5&lt;=DATE(PlanYear+1,1,31)))),"",INDEX(CHOOSE(IF(YEAR($A$5)&gt;PlanYear,13,MONTH($A$5)),'Jan'!$D$27:$AH$266,'Feb'!$D$27:$AH$266,'Mar'!$D$27:$AH$266,'Apr'!$D$27:$AH$266,'May'!$D$27:$AH$266,'Jun'!$D$27:$AH$266,'Jul'!$D$27:$AH$266,'Aug'!$D$27:$AH$266,'Sep'!$D$27:$AH$266,'Oct'!$D$27:$AH$266,'Nov'!$D$27:$AH$266,'Dec'!$D$27:$AH$266,'Jan (next year)'!$D$27:$AH$266),223,DAY($A$5))&amp;"")</f>
        <v/>
      </c>
      <c r="G66" s="81">
        <f>IF(OR($B66="",NOT(AND($A$5&gt;=DATE(PlanYear,1,1),$A$5&lt;=DATE(PlanYear+1,1,31)))),"",INDEX(CHOOSE(IF(YEAR($A$5)&gt;PlanYear,13,MONTH($A$5)),'Jan'!$D$27:$AH$266,'Feb'!$D$27:$AH$266,'Mar'!$D$27:$AH$266,'Apr'!$D$27:$AH$266,'May'!$D$27:$AH$266,'Jun'!$D$27:$AH$266,'Jul'!$D$27:$AH$266,'Aug'!$D$27:$AH$266,'Sep'!$D$27:$AH$266,'Oct'!$D$27:$AH$266,'Nov'!$D$27:$AH$266,'Dec'!$D$27:$AH$266,'Jan (next year)'!$D$27:$AH$266),224,DAY($A$5))&amp;"")</f>
        <v/>
      </c>
    </row>
    <row r="67" hidden="1">
      <c r="A67" s="53">
        <f>IF(Roster!$B$62="","",Roster!$B$62)</f>
        <v/>
      </c>
      <c r="B67" s="54">
        <f>IF(Roster!$C$62="","",Roster!$C$62)</f>
        <v/>
      </c>
      <c r="C67" s="55">
        <f>IF(Roster!$C$62="","",Roster!$F$62&amp;IF(OR(Roster!$G$62="SANS",Roster!$G$62="NSMEN")," | "&amp;Roster!$G$62,""))</f>
        <v/>
      </c>
      <c r="D67" s="81">
        <f>IF(OR($B67="",NOT(AND($A$5&gt;=DATE(PlanYear,1,1),$A$5&lt;=DATE(PlanYear+1,1,31)))),"",INDEX(CHOOSE(IF(YEAR($A$5)&gt;PlanYear,13,MONTH($A$5)),'Jan'!$D$27:$AH$266,'Feb'!$D$27:$AH$266,'Mar'!$D$27:$AH$266,'Apr'!$D$27:$AH$266,'May'!$D$27:$AH$266,'Jun'!$D$27:$AH$266,'Jul'!$D$27:$AH$266,'Aug'!$D$27:$AH$266,'Sep'!$D$27:$AH$266,'Oct'!$D$27:$AH$266,'Nov'!$D$27:$AH$266,'Dec'!$D$27:$AH$266,'Jan (next year)'!$D$27:$AH$266),225,DAY($A$5))&amp;"")</f>
        <v/>
      </c>
      <c r="E67" s="81">
        <f>IF(OR($B67="",NOT(AND($A$5&gt;=DATE(PlanYear,1,1),$A$5&lt;=DATE(PlanYear+1,1,31)))),"",INDEX(CHOOSE(IF(YEAR($A$5)&gt;PlanYear,13,MONTH($A$5)),'Jan'!$D$27:$AH$266,'Feb'!$D$27:$AH$266,'Mar'!$D$27:$AH$266,'Apr'!$D$27:$AH$266,'May'!$D$27:$AH$266,'Jun'!$D$27:$AH$266,'Jul'!$D$27:$AH$266,'Aug'!$D$27:$AH$266,'Sep'!$D$27:$AH$266,'Oct'!$D$27:$AH$266,'Nov'!$D$27:$AH$266,'Dec'!$D$27:$AH$266,'Jan (next year)'!$D$27:$AH$266),226,DAY($A$5))&amp;"")</f>
        <v/>
      </c>
      <c r="F67" s="81">
        <f>IF(OR($B67="",NOT(AND($A$5&gt;=DATE(PlanYear,1,1),$A$5&lt;=DATE(PlanYear+1,1,31)))),"",INDEX(CHOOSE(IF(YEAR($A$5)&gt;PlanYear,13,MONTH($A$5)),'Jan'!$D$27:$AH$266,'Feb'!$D$27:$AH$266,'Mar'!$D$27:$AH$266,'Apr'!$D$27:$AH$266,'May'!$D$27:$AH$266,'Jun'!$D$27:$AH$266,'Jul'!$D$27:$AH$266,'Aug'!$D$27:$AH$266,'Sep'!$D$27:$AH$266,'Oct'!$D$27:$AH$266,'Nov'!$D$27:$AH$266,'Dec'!$D$27:$AH$266,'Jan (next year)'!$D$27:$AH$266),227,DAY($A$5))&amp;"")</f>
        <v/>
      </c>
      <c r="G67" s="81">
        <f>IF(OR($B67="",NOT(AND($A$5&gt;=DATE(PlanYear,1,1),$A$5&lt;=DATE(PlanYear+1,1,31)))),"",INDEX(CHOOSE(IF(YEAR($A$5)&gt;PlanYear,13,MONTH($A$5)),'Jan'!$D$27:$AH$266,'Feb'!$D$27:$AH$266,'Mar'!$D$27:$AH$266,'Apr'!$D$27:$AH$266,'May'!$D$27:$AH$266,'Jun'!$D$27:$AH$266,'Jul'!$D$27:$AH$266,'Aug'!$D$27:$AH$266,'Sep'!$D$27:$AH$266,'Oct'!$D$27:$AH$266,'Nov'!$D$27:$AH$266,'Dec'!$D$27:$AH$266,'Jan (next year)'!$D$27:$AH$266),228,DAY($A$5))&amp;"")</f>
        <v/>
      </c>
    </row>
    <row r="68" hidden="1">
      <c r="A68" s="53">
        <f>IF(Roster!$B$63="","",Roster!$B$63)</f>
        <v/>
      </c>
      <c r="B68" s="54">
        <f>IF(Roster!$C$63="","",Roster!$C$63)</f>
        <v/>
      </c>
      <c r="C68" s="55">
        <f>IF(Roster!$C$63="","",Roster!$F$63&amp;IF(OR(Roster!$G$63="SANS",Roster!$G$63="NSMEN")," | "&amp;Roster!$G$63,""))</f>
        <v/>
      </c>
      <c r="D68" s="81">
        <f>IF(OR($B68="",NOT(AND($A$5&gt;=DATE(PlanYear,1,1),$A$5&lt;=DATE(PlanYear+1,1,31)))),"",INDEX(CHOOSE(IF(YEAR($A$5)&gt;PlanYear,13,MONTH($A$5)),'Jan'!$D$27:$AH$266,'Feb'!$D$27:$AH$266,'Mar'!$D$27:$AH$266,'Apr'!$D$27:$AH$266,'May'!$D$27:$AH$266,'Jun'!$D$27:$AH$266,'Jul'!$D$27:$AH$266,'Aug'!$D$27:$AH$266,'Sep'!$D$27:$AH$266,'Oct'!$D$27:$AH$266,'Nov'!$D$27:$AH$266,'Dec'!$D$27:$AH$266,'Jan (next year)'!$D$27:$AH$266),229,DAY($A$5))&amp;"")</f>
        <v/>
      </c>
      <c r="E68" s="81">
        <f>IF(OR($B68="",NOT(AND($A$5&gt;=DATE(PlanYear,1,1),$A$5&lt;=DATE(PlanYear+1,1,31)))),"",INDEX(CHOOSE(IF(YEAR($A$5)&gt;PlanYear,13,MONTH($A$5)),'Jan'!$D$27:$AH$266,'Feb'!$D$27:$AH$266,'Mar'!$D$27:$AH$266,'Apr'!$D$27:$AH$266,'May'!$D$27:$AH$266,'Jun'!$D$27:$AH$266,'Jul'!$D$27:$AH$266,'Aug'!$D$27:$AH$266,'Sep'!$D$27:$AH$266,'Oct'!$D$27:$AH$266,'Nov'!$D$27:$AH$266,'Dec'!$D$27:$AH$266,'Jan (next year)'!$D$27:$AH$266),230,DAY($A$5))&amp;"")</f>
        <v/>
      </c>
      <c r="F68" s="81">
        <f>IF(OR($B68="",NOT(AND($A$5&gt;=DATE(PlanYear,1,1),$A$5&lt;=DATE(PlanYear+1,1,31)))),"",INDEX(CHOOSE(IF(YEAR($A$5)&gt;PlanYear,13,MONTH($A$5)),'Jan'!$D$27:$AH$266,'Feb'!$D$27:$AH$266,'Mar'!$D$27:$AH$266,'Apr'!$D$27:$AH$266,'May'!$D$27:$AH$266,'Jun'!$D$27:$AH$266,'Jul'!$D$27:$AH$266,'Aug'!$D$27:$AH$266,'Sep'!$D$27:$AH$266,'Oct'!$D$27:$AH$266,'Nov'!$D$27:$AH$266,'Dec'!$D$27:$AH$266,'Jan (next year)'!$D$27:$AH$266),231,DAY($A$5))&amp;"")</f>
        <v/>
      </c>
      <c r="G68" s="81">
        <f>IF(OR($B68="",NOT(AND($A$5&gt;=DATE(PlanYear,1,1),$A$5&lt;=DATE(PlanYear+1,1,31)))),"",INDEX(CHOOSE(IF(YEAR($A$5)&gt;PlanYear,13,MONTH($A$5)),'Jan'!$D$27:$AH$266,'Feb'!$D$27:$AH$266,'Mar'!$D$27:$AH$266,'Apr'!$D$27:$AH$266,'May'!$D$27:$AH$266,'Jun'!$D$27:$AH$266,'Jul'!$D$27:$AH$266,'Aug'!$D$27:$AH$266,'Sep'!$D$27:$AH$266,'Oct'!$D$27:$AH$266,'Nov'!$D$27:$AH$266,'Dec'!$D$27:$AH$266,'Jan (next year)'!$D$27:$AH$266),232,DAY($A$5))&amp;"")</f>
        <v/>
      </c>
    </row>
    <row r="69" hidden="1">
      <c r="A69" s="53">
        <f>IF(Roster!$B$64="","",Roster!$B$64)</f>
        <v/>
      </c>
      <c r="B69" s="54">
        <f>IF(Roster!$C$64="","",Roster!$C$64)</f>
        <v/>
      </c>
      <c r="C69" s="55">
        <f>IF(Roster!$C$64="","",Roster!$F$64&amp;IF(OR(Roster!$G$64="SANS",Roster!$G$64="NSMEN")," | "&amp;Roster!$G$64,""))</f>
        <v/>
      </c>
      <c r="D69" s="81">
        <f>IF(OR($B69="",NOT(AND($A$5&gt;=DATE(PlanYear,1,1),$A$5&lt;=DATE(PlanYear+1,1,31)))),"",INDEX(CHOOSE(IF(YEAR($A$5)&gt;PlanYear,13,MONTH($A$5)),'Jan'!$D$27:$AH$266,'Feb'!$D$27:$AH$266,'Mar'!$D$27:$AH$266,'Apr'!$D$27:$AH$266,'May'!$D$27:$AH$266,'Jun'!$D$27:$AH$266,'Jul'!$D$27:$AH$266,'Aug'!$D$27:$AH$266,'Sep'!$D$27:$AH$266,'Oct'!$D$27:$AH$266,'Nov'!$D$27:$AH$266,'Dec'!$D$27:$AH$266,'Jan (next year)'!$D$27:$AH$266),233,DAY($A$5))&amp;"")</f>
        <v/>
      </c>
      <c r="E69" s="81">
        <f>IF(OR($B69="",NOT(AND($A$5&gt;=DATE(PlanYear,1,1),$A$5&lt;=DATE(PlanYear+1,1,31)))),"",INDEX(CHOOSE(IF(YEAR($A$5)&gt;PlanYear,13,MONTH($A$5)),'Jan'!$D$27:$AH$266,'Feb'!$D$27:$AH$266,'Mar'!$D$27:$AH$266,'Apr'!$D$27:$AH$266,'May'!$D$27:$AH$266,'Jun'!$D$27:$AH$266,'Jul'!$D$27:$AH$266,'Aug'!$D$27:$AH$266,'Sep'!$D$27:$AH$266,'Oct'!$D$27:$AH$266,'Nov'!$D$27:$AH$266,'Dec'!$D$27:$AH$266,'Jan (next year)'!$D$27:$AH$266),234,DAY($A$5))&amp;"")</f>
        <v/>
      </c>
      <c r="F69" s="81">
        <f>IF(OR($B69="",NOT(AND($A$5&gt;=DATE(PlanYear,1,1),$A$5&lt;=DATE(PlanYear+1,1,31)))),"",INDEX(CHOOSE(IF(YEAR($A$5)&gt;PlanYear,13,MONTH($A$5)),'Jan'!$D$27:$AH$266,'Feb'!$D$27:$AH$266,'Mar'!$D$27:$AH$266,'Apr'!$D$27:$AH$266,'May'!$D$27:$AH$266,'Jun'!$D$27:$AH$266,'Jul'!$D$27:$AH$266,'Aug'!$D$27:$AH$266,'Sep'!$D$27:$AH$266,'Oct'!$D$27:$AH$266,'Nov'!$D$27:$AH$266,'Dec'!$D$27:$AH$266,'Jan (next year)'!$D$27:$AH$266),235,DAY($A$5))&amp;"")</f>
        <v/>
      </c>
      <c r="G69" s="81">
        <f>IF(OR($B69="",NOT(AND($A$5&gt;=DATE(PlanYear,1,1),$A$5&lt;=DATE(PlanYear+1,1,31)))),"",INDEX(CHOOSE(IF(YEAR($A$5)&gt;PlanYear,13,MONTH($A$5)),'Jan'!$D$27:$AH$266,'Feb'!$D$27:$AH$266,'Mar'!$D$27:$AH$266,'Apr'!$D$27:$AH$266,'May'!$D$27:$AH$266,'Jun'!$D$27:$AH$266,'Jul'!$D$27:$AH$266,'Aug'!$D$27:$AH$266,'Sep'!$D$27:$AH$266,'Oct'!$D$27:$AH$266,'Nov'!$D$27:$AH$266,'Dec'!$D$27:$AH$266,'Jan (next year)'!$D$27:$AH$266),236,DAY($A$5))&amp;"")</f>
        <v/>
      </c>
    </row>
    <row r="70" hidden="1">
      <c r="A70" s="53">
        <f>IF(Roster!$B$65="","",Roster!$B$65)</f>
        <v/>
      </c>
      <c r="B70" s="54">
        <f>IF(Roster!$C$65="","",Roster!$C$65)</f>
        <v/>
      </c>
      <c r="C70" s="55">
        <f>IF(Roster!$C$65="","",Roster!$F$65&amp;IF(OR(Roster!$G$65="SANS",Roster!$G$65="NSMEN")," | "&amp;Roster!$G$65,""))</f>
        <v/>
      </c>
      <c r="D70" s="81">
        <f>IF(OR($B70="",NOT(AND($A$5&gt;=DATE(PlanYear,1,1),$A$5&lt;=DATE(PlanYear+1,1,31)))),"",INDEX(CHOOSE(IF(YEAR($A$5)&gt;PlanYear,13,MONTH($A$5)),'Jan'!$D$27:$AH$266,'Feb'!$D$27:$AH$266,'Mar'!$D$27:$AH$266,'Apr'!$D$27:$AH$266,'May'!$D$27:$AH$266,'Jun'!$D$27:$AH$266,'Jul'!$D$27:$AH$266,'Aug'!$D$27:$AH$266,'Sep'!$D$27:$AH$266,'Oct'!$D$27:$AH$266,'Nov'!$D$27:$AH$266,'Dec'!$D$27:$AH$266,'Jan (next year)'!$D$27:$AH$266),237,DAY($A$5))&amp;"")</f>
        <v/>
      </c>
      <c r="E70" s="81">
        <f>IF(OR($B70="",NOT(AND($A$5&gt;=DATE(PlanYear,1,1),$A$5&lt;=DATE(PlanYear+1,1,31)))),"",INDEX(CHOOSE(IF(YEAR($A$5)&gt;PlanYear,13,MONTH($A$5)),'Jan'!$D$27:$AH$266,'Feb'!$D$27:$AH$266,'Mar'!$D$27:$AH$266,'Apr'!$D$27:$AH$266,'May'!$D$27:$AH$266,'Jun'!$D$27:$AH$266,'Jul'!$D$27:$AH$266,'Aug'!$D$27:$AH$266,'Sep'!$D$27:$AH$266,'Oct'!$D$27:$AH$266,'Nov'!$D$27:$AH$266,'Dec'!$D$27:$AH$266,'Jan (next year)'!$D$27:$AH$266),238,DAY($A$5))&amp;"")</f>
        <v/>
      </c>
      <c r="F70" s="81">
        <f>IF(OR($B70="",NOT(AND($A$5&gt;=DATE(PlanYear,1,1),$A$5&lt;=DATE(PlanYear+1,1,31)))),"",INDEX(CHOOSE(IF(YEAR($A$5)&gt;PlanYear,13,MONTH($A$5)),'Jan'!$D$27:$AH$266,'Feb'!$D$27:$AH$266,'Mar'!$D$27:$AH$266,'Apr'!$D$27:$AH$266,'May'!$D$27:$AH$266,'Jun'!$D$27:$AH$266,'Jul'!$D$27:$AH$266,'Aug'!$D$27:$AH$266,'Sep'!$D$27:$AH$266,'Oct'!$D$27:$AH$266,'Nov'!$D$27:$AH$266,'Dec'!$D$27:$AH$266,'Jan (next year)'!$D$27:$AH$266),239,DAY($A$5))&amp;"")</f>
        <v/>
      </c>
      <c r="G70" s="81">
        <f>IF(OR($B70="",NOT(AND($A$5&gt;=DATE(PlanYear,1,1),$A$5&lt;=DATE(PlanYear+1,1,31)))),"",INDEX(CHOOSE(IF(YEAR($A$5)&gt;PlanYear,13,MONTH($A$5)),'Jan'!$D$27:$AH$266,'Feb'!$D$27:$AH$266,'Mar'!$D$27:$AH$266,'Apr'!$D$27:$AH$266,'May'!$D$27:$AH$266,'Jun'!$D$27:$AH$266,'Jul'!$D$27:$AH$266,'Aug'!$D$27:$AH$266,'Sep'!$D$27:$AH$266,'Oct'!$D$27:$AH$266,'Nov'!$D$27:$AH$266,'Dec'!$D$27:$AH$266,'Jan (next year)'!$D$27:$AH$266),240,DAY($A$5))&amp;"")</f>
        <v/>
      </c>
    </row>
  </sheetData>
  <autoFilter ref="A10:G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G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SUP 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SUP 2.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SDO days are kept in their own files. Open them in the dashboard to see the combined calendar.</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inlineStr">
        <is>
          <t>SUP 2</t>
        </is>
      </c>
      <c r="F57" s="90" t="inlineStr">
        <is>
          <t>SUP 2</t>
        </is>
      </c>
      <c r="G57" s="90" t="inlineStr">
        <is>
          <t>SUP 2</t>
        </is>
      </c>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inlineStr">
        <is>
          <t>SUP 2</t>
        </is>
      </c>
      <c r="G59" s="90" t="n"/>
      <c r="I59" s="90" t="inlineStr">
        <is>
          <t>SUP 2</t>
        </is>
      </c>
      <c r="J59" s="90" t="n"/>
      <c r="K59" s="90" t="n"/>
      <c r="L59" s="90" t="inlineStr">
        <is>
          <t>SUP 2</t>
        </is>
      </c>
      <c r="M59" s="90" t="n"/>
      <c r="N59" s="90" t="n"/>
      <c r="O59" s="90" t="inlineStr">
        <is>
          <t>SUP 2</t>
        </is>
      </c>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inlineStr">
        <is>
          <t>SUP 2</t>
        </is>
      </c>
      <c r="B61" s="90" t="n"/>
      <c r="C61" s="90" t="n"/>
      <c r="D61" s="90" t="inlineStr">
        <is>
          <t>SUP 2</t>
        </is>
      </c>
      <c r="E61" s="90" t="n"/>
      <c r="F61" s="90" t="n"/>
      <c r="G61" s="90" t="inlineStr">
        <is>
          <t>SUP 2</t>
        </is>
      </c>
      <c r="I61" s="90" t="n"/>
      <c r="J61" s="90" t="n"/>
      <c r="K61" s="90" t="inlineStr">
        <is>
          <t>SUP 2</t>
        </is>
      </c>
      <c r="L61" s="90" t="n"/>
      <c r="M61" s="90" t="n"/>
      <c r="N61" s="90" t="inlineStr">
        <is>
          <t>SUP 2</t>
        </is>
      </c>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inlineStr">
        <is>
          <t>SUP 2</t>
        </is>
      </c>
      <c r="D63" s="90" t="n"/>
      <c r="E63" s="90" t="n"/>
      <c r="F63" s="90" t="inlineStr">
        <is>
          <t>SUP 2</t>
        </is>
      </c>
      <c r="G63" s="90" t="n"/>
      <c r="I63" s="90" t="n"/>
      <c r="J63" s="90" t="inlineStr">
        <is>
          <t>SUP 2</t>
        </is>
      </c>
      <c r="K63" s="90" t="n"/>
      <c r="L63" s="90" t="n"/>
      <c r="M63" s="90" t="inlineStr">
        <is>
          <t>SUP 2</t>
        </is>
      </c>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inlineStr">
        <is>
          <t>SUP 2</t>
        </is>
      </c>
      <c r="C65" s="90" t="n"/>
      <c r="D65" s="90" t="n"/>
      <c r="E65" s="90" t="inlineStr">
        <is>
          <t>SUP 2</t>
        </is>
      </c>
      <c r="F65" s="90" t="n"/>
      <c r="G65" s="90" t="n"/>
      <c r="I65" s="90" t="inlineStr">
        <is>
          <t>SUP 2</t>
        </is>
      </c>
      <c r="J65" s="90" t="n"/>
      <c r="K65" s="90" t="n"/>
      <c r="L65" s="90" t="inlineStr">
        <is>
          <t>SUP 2</t>
        </is>
      </c>
      <c r="M65" s="90" t="n"/>
      <c r="N65" s="90" t="n"/>
      <c r="O65" s="90" t="inlineStr">
        <is>
          <t>SUP 2</t>
        </is>
      </c>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SDO day" error="Pick your department from the dropdown, or leave the day empty." type="list" errorStyle="stop">
      <formula1>ThisDept</formula1>
    </dataValidation>
  </dataValidations>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SUP 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SUP 2.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inlineStr">
        <is>
          <t>SUP 2</t>
        </is>
      </c>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inlineStr">
        <is>
          <t>SUP 2</t>
        </is>
      </c>
      <c r="B59" s="90" t="n"/>
      <c r="C59" s="90" t="n"/>
      <c r="D59" s="90" t="inlineStr">
        <is>
          <t>SUP 2</t>
        </is>
      </c>
      <c r="E59" s="90" t="n"/>
      <c r="F59" s="90" t="inlineStr">
        <is>
          <t>SUP 2</t>
        </is>
      </c>
      <c r="G59" s="90" t="n"/>
      <c r="I59" s="90" t="n"/>
      <c r="J59" s="90" t="inlineStr">
        <is>
          <t>SUP 2</t>
        </is>
      </c>
      <c r="K59" s="90" t="n"/>
      <c r="L59" s="90" t="n"/>
      <c r="M59" s="90" t="n"/>
      <c r="N59" s="90" t="inlineStr">
        <is>
          <t>SUP 2</t>
        </is>
      </c>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inlineStr">
        <is>
          <t>SUP 2</t>
        </is>
      </c>
      <c r="D61" s="90" t="n"/>
      <c r="E61" s="90" t="n"/>
      <c r="F61" s="90" t="n"/>
      <c r="G61" s="90" t="inlineStr">
        <is>
          <t>SUP 2</t>
        </is>
      </c>
      <c r="I61" s="90" t="n"/>
      <c r="J61" s="90" t="n"/>
      <c r="K61" s="90" t="inlineStr">
        <is>
          <t>SUP 2</t>
        </is>
      </c>
      <c r="L61" s="90" t="n"/>
      <c r="M61" s="90" t="n"/>
      <c r="N61" s="90" t="n"/>
      <c r="O61" s="90" t="inlineStr">
        <is>
          <t>SUP 2</t>
        </is>
      </c>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n"/>
      <c r="D63" s="90" t="inlineStr">
        <is>
          <t>SUP 2</t>
        </is>
      </c>
      <c r="E63" s="90" t="n"/>
      <c r="F63" s="90" t="n"/>
      <c r="G63" s="90" t="n"/>
      <c r="I63" s="90" t="n"/>
      <c r="J63" s="90" t="n"/>
      <c r="K63" s="90" t="n"/>
      <c r="L63" s="90" t="inlineStr">
        <is>
          <t>SUP 2</t>
        </is>
      </c>
      <c r="M63" s="90" t="n"/>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inlineStr">
        <is>
          <t>SUP 2</t>
        </is>
      </c>
      <c r="B65" s="90" t="n"/>
      <c r="C65" s="90" t="n"/>
      <c r="D65" s="90" t="n"/>
      <c r="E65" s="90" t="inlineStr">
        <is>
          <t>SUP 2</t>
        </is>
      </c>
      <c r="F65" s="90" t="n"/>
      <c r="G65" s="90" t="n"/>
      <c r="I65" s="90" t="inlineStr">
        <is>
          <t>SUP 2</t>
        </is>
      </c>
      <c r="J65" s="90" t="n"/>
      <c r="K65" s="90" t="n"/>
      <c r="L65" s="90" t="n"/>
      <c r="M65" s="90" t="inlineStr">
        <is>
          <t>SUP 2</t>
        </is>
      </c>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SUP 2</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VIPER</t>
        </is>
      </c>
      <c r="C6" s="95" t="inlineStr">
        <is>
          <t>MAJ Tan Wei Ming</t>
        </is>
      </c>
      <c r="D6" s="95" t="inlineStr">
        <is>
          <t>TWM</t>
        </is>
      </c>
      <c r="E6" s="95" t="inlineStr">
        <is>
          <t>CAT A</t>
        </is>
      </c>
      <c r="F6" s="95" t="inlineStr">
        <is>
          <t>Instructor</t>
        </is>
      </c>
      <c r="G6" s="95" t="inlineStr">
        <is>
          <t>Active</t>
        </is>
      </c>
      <c r="H6" s="95" t="inlineStr">
        <is>
          <t>Sample crew: replace with your own</t>
        </is>
      </c>
    </row>
    <row r="7">
      <c r="A7" s="94" t="n">
        <v>2</v>
      </c>
      <c r="B7" s="95" t="inlineStr">
        <is>
          <t>HAWK</t>
        </is>
      </c>
      <c r="C7" s="95" t="inlineStr">
        <is>
          <t>CPT Sarah Lim</t>
        </is>
      </c>
      <c r="D7" s="95" t="inlineStr">
        <is>
          <t>SL</t>
        </is>
      </c>
      <c r="E7" s="95" t="inlineStr">
        <is>
          <t>CAT A</t>
        </is>
      </c>
      <c r="F7" s="95" t="inlineStr">
        <is>
          <t>Senior CAT A</t>
        </is>
      </c>
      <c r="G7" s="95" t="inlineStr">
        <is>
          <t>Active</t>
        </is>
      </c>
      <c r="H7" s="95" t="n"/>
    </row>
    <row r="8">
      <c r="A8" s="94" t="n">
        <v>3</v>
      </c>
      <c r="B8" s="95" t="inlineStr">
        <is>
          <t>RAPTOR</t>
        </is>
      </c>
      <c r="C8" s="95" t="inlineStr">
        <is>
          <t>CPT Kumaravel S.</t>
        </is>
      </c>
      <c r="D8" s="95" t="inlineStr">
        <is>
          <t>KS</t>
        </is>
      </c>
      <c r="E8" s="95" t="inlineStr">
        <is>
          <t>CAT B</t>
        </is>
      </c>
      <c r="F8" s="95" t="inlineStr">
        <is>
          <t>Senior CAT A</t>
        </is>
      </c>
      <c r="G8" s="95" t="inlineStr">
        <is>
          <t>Active</t>
        </is>
      </c>
      <c r="H8" s="95" t="n"/>
    </row>
    <row r="9">
      <c r="A9" s="94" t="n">
        <v>4</v>
      </c>
      <c r="B9" s="95" t="inlineStr">
        <is>
          <t>FALCON</t>
        </is>
      </c>
      <c r="C9" s="95" t="inlineStr">
        <is>
          <t>LTA Rachel Goh</t>
        </is>
      </c>
      <c r="D9" s="95" t="inlineStr">
        <is>
          <t>RG</t>
        </is>
      </c>
      <c r="E9" s="95" t="inlineStr">
        <is>
          <t>CAT C</t>
        </is>
      </c>
      <c r="F9" s="95" t="inlineStr">
        <is>
          <t>Junior</t>
        </is>
      </c>
      <c r="G9" s="95" t="inlineStr">
        <is>
          <t>Active</t>
        </is>
      </c>
      <c r="H9" s="95" t="n"/>
    </row>
    <row r="10">
      <c r="A10" s="94" t="n">
        <v>5</v>
      </c>
      <c r="B10" s="95" t="inlineStr">
        <is>
          <t>EAGLE</t>
        </is>
      </c>
      <c r="C10" s="95" t="inlineStr">
        <is>
          <t>LTA Marcus Chua</t>
        </is>
      </c>
      <c r="D10" s="95" t="inlineStr">
        <is>
          <t>MC</t>
        </is>
      </c>
      <c r="E10" s="95" t="inlineStr">
        <is>
          <t>CAT D</t>
        </is>
      </c>
      <c r="F10" s="95" t="inlineStr">
        <is>
          <t>Junior</t>
        </is>
      </c>
      <c r="G10" s="95" t="inlineStr">
        <is>
          <t>Active</t>
        </is>
      </c>
      <c r="H10" s="95" t="n"/>
    </row>
    <row r="11">
      <c r="A11" s="94" t="n">
        <v>6</v>
      </c>
      <c r="B11" s="95" t="inlineStr">
        <is>
          <t>OWL</t>
        </is>
      </c>
      <c r="C11" s="95" t="inlineStr">
        <is>
          <t>ME2 Nurul Huda</t>
        </is>
      </c>
      <c r="D11" s="95" t="inlineStr">
        <is>
          <t>NH</t>
        </is>
      </c>
      <c r="E11" s="95" t="inlineStr">
        <is>
          <t>TRAINEE</t>
        </is>
      </c>
      <c r="F11" s="95" t="inlineStr">
        <is>
          <t>Junior</t>
        </is>
      </c>
      <c r="G11" s="95" t="inlineStr">
        <is>
          <t>Active</t>
        </is>
      </c>
      <c r="H11" s="95" t="n"/>
    </row>
    <row r="12">
      <c r="A12" s="94" t="n">
        <v>7</v>
      </c>
      <c r="B12" s="95" t="n"/>
      <c r="C12" s="95" t="n"/>
      <c r="D12" s="95" t="n"/>
      <c r="E12" s="95" t="n"/>
      <c r="F12" s="95" t="n"/>
      <c r="G12" s="95" t="n"/>
      <c r="H12" s="95" t="n"/>
    </row>
    <row r="13">
      <c r="A13" s="94" t="n">
        <v>8</v>
      </c>
      <c r="B13" s="95" t="n"/>
      <c r="C13" s="95" t="n"/>
      <c r="D13" s="95" t="n"/>
      <c r="E13" s="95" t="n"/>
      <c r="F13" s="95" t="n"/>
      <c r="G13" s="95" t="n"/>
      <c r="H13" s="95" t="n"/>
    </row>
    <row r="14">
      <c r="A14" s="94" t="n">
        <v>9</v>
      </c>
      <c r="B14" s="95" t="n"/>
      <c r="C14" s="95" t="n"/>
      <c r="D14" s="95" t="n"/>
      <c r="E14" s="95" t="n"/>
      <c r="F14" s="95" t="n"/>
      <c r="G14" s="95" t="n"/>
      <c r="H14" s="95" t="n"/>
    </row>
    <row r="15">
      <c r="A15" s="94" t="n">
        <v>10</v>
      </c>
      <c r="B15" s="95" t="n"/>
      <c r="C15" s="95" t="n"/>
      <c r="D15" s="95" t="n"/>
      <c r="E15" s="95" t="n"/>
      <c r="F15" s="95" t="n"/>
      <c r="G15" s="95" t="n"/>
      <c r="H15" s="95" t="n"/>
    </row>
    <row r="16">
      <c r="A16" s="94" t="n">
        <v>11</v>
      </c>
      <c r="B16" s="95" t="n"/>
      <c r="C16" s="95" t="n"/>
      <c r="D16" s="95" t="n"/>
      <c r="E16" s="95" t="n"/>
      <c r="F16" s="95" t="n"/>
      <c r="G16" s="95" t="n"/>
      <c r="H16" s="95" t="n"/>
    </row>
    <row r="17">
      <c r="A17" s="94" t="n">
        <v>12</v>
      </c>
      <c r="B17" s="95" t="n"/>
      <c r="C17" s="95" t="n"/>
      <c r="D17" s="95" t="n"/>
      <c r="E17" s="95" t="n"/>
      <c r="F17" s="95" t="n"/>
      <c r="G17" s="95" t="n"/>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TALON</t>
        </is>
      </c>
      <c r="C51" s="98" t="inlineStr">
        <is>
          <t>CPT (NS) Lee Kok Wai</t>
        </is>
      </c>
      <c r="D51" s="98" t="inlineStr">
        <is>
          <t>LKW</t>
        </is>
      </c>
      <c r="E51" s="98" t="inlineStr">
        <is>
          <t>CAT A</t>
        </is>
      </c>
      <c r="F51" s="98" t="inlineStr">
        <is>
          <t>Instructor</t>
        </is>
      </c>
      <c r="G51" s="98" t="inlineStr">
        <is>
          <t>NSMEN</t>
        </is>
      </c>
      <c r="H51" s="98" t="n"/>
      <c r="J51" s="99" t="inlineStr">
        <is>
          <t>SANS / NSmen from here</t>
        </is>
      </c>
    </row>
    <row r="52">
      <c r="A52" s="100" t="n">
        <v>47</v>
      </c>
      <c r="B52" s="101" t="inlineStr">
        <is>
          <t>KESTREL</t>
        </is>
      </c>
      <c r="C52" s="101" t="inlineStr">
        <is>
          <t>ME3 Ahmad Yusof</t>
        </is>
      </c>
      <c r="D52" s="101" t="inlineStr">
        <is>
          <t>AY</t>
        </is>
      </c>
      <c r="E52" s="101" t="inlineStr">
        <is>
          <t>CAT B</t>
        </is>
      </c>
      <c r="F52" s="101" t="inlineStr">
        <is>
          <t>Senior CAT A</t>
        </is>
      </c>
      <c r="G52" s="101" t="inlineStr">
        <is>
          <t>SANS</t>
        </is>
      </c>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SUP 2</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SUP 2</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v>46296</v>
      </c>
      <c r="B6" s="107" t="inlineStr">
        <is>
          <t>AM</t>
        </is>
      </c>
      <c r="C6" s="105" t="inlineStr">
        <is>
          <t>VIPER</t>
        </is>
      </c>
      <c r="D6" s="92">
        <f>IF(C6="","",IFERROR(INDEX(Roster!$C$6:$C$65,IFERROR(MATCH(C6,Roster!$B$6:$B$65,0),MATCH(C6,Roster!$C$6:$C$65,0))),"not on the Roster"))</f>
        <v/>
      </c>
      <c r="E6" s="106" t="inlineStr">
        <is>
          <t>Instructor for EAGLE</t>
        </is>
      </c>
      <c r="F6" s="104">
        <f>IF(OR(A6="",C6="",B6=""),"",IFERROR(INDEX(CHOOSE(IF(YEAR(A6)&gt;PlanYear,13,MONTH(A6)),'Jan'!$D$27:$AH$266,'Feb'!$D$27:$AH$266,'Mar'!$D$27:$AH$266,'Apr'!$D$27:$AH$266,'May'!$D$27:$AH$266,'Jun'!$D$27:$AH$266,'Jul'!$D$27:$AH$266,'Aug'!$D$27:$AH$266,'Sep'!$D$27:$AH$266,'Oct'!$D$27:$AH$266,'Nov'!$D$27:$AH$266,'Dec'!$D$27:$AH$266,'Jan (next year)'!$D$27:$AH$266),27+4*(IFERROR(MATCH(C6,Roster!$B$6:$B$65,0),MATCH(C6,Roster!$C$6:$C$65,0))-1)+MATCH(B6,{"AM","PM","NIGHT","WD"},0)-1-27+1,DAY(A6))&amp;"",""))</f>
        <v/>
      </c>
      <c r="G6" s="123">
        <f>IF(OR(A6="",C6="",B6="",E6=""),"",IFERROR(A6&amp;"|"&amp;(27+4*(IFERROR(MATCH(C6,Roster!$B$6:$B$65,0),MATCH(C6,Roster!$C$6:$C$65,0))-1)+MATCH(B6,{"AM","PM","NIGHT","WD"},0)-1),""))</f>
        <v/>
      </c>
    </row>
    <row r="7">
      <c r="A7" s="122" t="n">
        <v>46297</v>
      </c>
      <c r="B7" s="107" t="inlineStr">
        <is>
          <t>NIGHT</t>
        </is>
      </c>
      <c r="C7" s="105" t="inlineStr">
        <is>
          <t>VIPER</t>
        </is>
      </c>
      <c r="D7" s="92">
        <f>IF(C7="","",IFERROR(INDEX(Roster!$C$6:$C$65,IFERROR(MATCH(C7,Roster!$B$6:$B$65,0),MATCH(C7,Roster!$C$6:$C$65,0))),"not on the Roster"))</f>
        <v/>
      </c>
      <c r="E7" s="106" t="inlineStr">
        <is>
          <t>NVG currency check</t>
        </is>
      </c>
      <c r="F7" s="104">
        <f>IF(OR(A7="",C7="",B7=""),"",IFERROR(INDEX(CHOOSE(IF(YEAR(A7)&gt;PlanYear,13,MONTH(A7)),'Jan'!$D$27:$AH$266,'Feb'!$D$27:$AH$266,'Mar'!$D$27:$AH$266,'Apr'!$D$27:$AH$266,'May'!$D$27:$AH$266,'Jun'!$D$27:$AH$266,'Jul'!$D$27:$AH$266,'Aug'!$D$27:$AH$266,'Sep'!$D$27:$AH$266,'Oct'!$D$27:$AH$266,'Nov'!$D$27:$AH$266,'Dec'!$D$27:$AH$266,'Jan (next year)'!$D$27:$AH$266),27+4*(IFERROR(MATCH(C7,Roster!$B$6:$B$65,0),MATCH(C7,Roster!$C$6:$C$65,0))-1)+MATCH(B7,{"AM","PM","NIGHT","WD"},0)-1-27+1,DAY(A7))&amp;"",""))</f>
        <v/>
      </c>
      <c r="G7" s="123">
        <f>IF(OR(A7="",C7="",B7="",E7=""),"",IFERROR(A7&amp;"|"&amp;(27+4*(IFERROR(MATCH(C7,Roster!$B$6:$B$65,0),MATCH(C7,Roster!$C$6:$C$65,0))-1)+MATCH(B7,{"AM","PM","NIGHT","WD"},0)-1),""))</f>
        <v/>
      </c>
    </row>
    <row r="8">
      <c r="A8" s="122" t="n">
        <v>46300</v>
      </c>
      <c r="B8" s="107" t="inlineStr">
        <is>
          <t>AM</t>
        </is>
      </c>
      <c r="C8" s="105" t="inlineStr">
        <is>
          <t>HAWK</t>
        </is>
      </c>
      <c r="D8" s="92">
        <f>IF(C8="","",IFERROR(INDEX(Roster!$C$6:$C$65,IFERROR(MATCH(C8,Roster!$B$6:$B$65,0),MATCH(C8,Roster!$C$6:$C$65,0))),"not on the Roster"))</f>
        <v/>
      </c>
      <c r="E8" s="106" t="inlineStr">
        <is>
          <t>Lead, brief 0730</t>
        </is>
      </c>
      <c r="F8" s="104">
        <f>IF(OR(A8="",C8="",B8=""),"",IFERROR(INDEX(CHOOSE(IF(YEAR(A8)&gt;PlanYear,13,MONTH(A8)),'Jan'!$D$27:$AH$266,'Feb'!$D$27:$AH$266,'Mar'!$D$27:$AH$266,'Apr'!$D$27:$AH$266,'May'!$D$27:$AH$266,'Jun'!$D$27:$AH$266,'Jul'!$D$27:$AH$266,'Aug'!$D$27:$AH$266,'Sep'!$D$27:$AH$266,'Oct'!$D$27:$AH$266,'Nov'!$D$27:$AH$266,'Dec'!$D$27:$AH$266,'Jan (next year)'!$D$27:$AH$266),27+4*(IFERROR(MATCH(C8,Roster!$B$6:$B$65,0),MATCH(C8,Roster!$C$6:$C$65,0))-1)+MATCH(B8,{"AM","PM","NIGHT","WD"},0)-1-27+1,DAY(A8))&amp;"",""))</f>
        <v/>
      </c>
      <c r="G8" s="123">
        <f>IF(OR(A8="",C8="",B8="",E8=""),"",IFERROR(A8&amp;"|"&amp;(27+4*(IFERROR(MATCH(C8,Roster!$B$6:$B$65,0),MATCH(C8,Roster!$C$6:$C$65,0))-1)+MATCH(B8,{"AM","PM","NIGHT","WD"},0)-1),""))</f>
        <v/>
      </c>
    </row>
    <row r="9">
      <c r="A9" s="122" t="n"/>
      <c r="B9" s="107" t="n"/>
      <c r="C9" s="105" t="n"/>
      <c r="D9" s="92">
        <f>IF(C9="","",IFERROR(INDEX(Roster!$C$6:$C$65,IFERROR(MATCH(C9,Roster!$B$6:$B$65,0),MATCH(C9,Roster!$C$6:$C$65,0))),"not on the Roster"))</f>
        <v/>
      </c>
      <c r="E9" s="106" t="n"/>
      <c r="F9" s="104">
        <f>IF(OR(A9="",C9="",B9=""),"",IFERROR(INDEX(CHOOSE(IF(YEAR(A9)&gt;PlanYear,13,MONTH(A9)),'Jan'!$D$27:$AH$266,'Feb'!$D$27:$AH$266,'Mar'!$D$27:$AH$266,'Apr'!$D$27:$AH$266,'May'!$D$27:$AH$266,'Jun'!$D$27:$AH$266,'Jul'!$D$27:$AH$266,'Aug'!$D$27:$AH$266,'Sep'!$D$27:$AH$266,'Oct'!$D$27:$AH$266,'Nov'!$D$27:$AH$266,'Dec'!$D$27:$AH$266,'Jan (next year)'!$D$27:$AH$266),27+4*(IFERROR(MATCH(C9,Roster!$B$6:$B$65,0),MATCH(C9,Roster!$C$6:$C$65,0))-1)+MATCH(B9,{"AM","PM","NIGHT","WD"},0)-1-27+1,DAY(A9))&amp;"",""))</f>
        <v/>
      </c>
      <c r="G9" s="123">
        <f>IF(OR(A9="",C9="",B9="",E9=""),"",IFERROR(A9&amp;"|"&amp;(27+4*(IFERROR(MATCH(C9,Roster!$B$6:$B$65,0),MATCH(C9,Roster!$C$6:$C$65,0))-1)+MATCH(B9,{"AM","PM","NIGHT","WD"},0)-1),""))</f>
        <v/>
      </c>
    </row>
    <row r="10">
      <c r="A10" s="122" t="n"/>
      <c r="B10" s="107" t="n"/>
      <c r="C10" s="105" t="n"/>
      <c r="D10" s="92">
        <f>IF(C10="","",IFERROR(INDEX(Roster!$C$6:$C$65,IFERROR(MATCH(C10,Roster!$B$6:$B$65,0),MATCH(C10,Roster!$C$6:$C$65,0))),"not on the Roster"))</f>
        <v/>
      </c>
      <c r="E10" s="106" t="n"/>
      <c r="F10" s="104">
        <f>IF(OR(A10="",C10="",B10=""),"",IFERROR(INDEX(CHOOSE(IF(YEAR(A10)&gt;PlanYear,13,MONTH(A10)),'Jan'!$D$27:$AH$266,'Feb'!$D$27:$AH$266,'Mar'!$D$27:$AH$266,'Apr'!$D$27:$AH$266,'May'!$D$27:$AH$266,'Jun'!$D$27:$AH$266,'Jul'!$D$27:$AH$266,'Aug'!$D$27:$AH$266,'Sep'!$D$27:$AH$266,'Oct'!$D$27:$AH$266,'Nov'!$D$27:$AH$266,'Dec'!$D$27:$AH$266,'Jan (next year)'!$D$27:$AH$266),27+4*(IFERROR(MATCH(C10,Roster!$B$6:$B$65,0),MATCH(C10,Roster!$C$6:$C$65,0))-1)+MATCH(B10,{"AM","PM","NIGHT","WD"},0)-1-27+1,DAY(A10))&amp;"",""))</f>
        <v/>
      </c>
      <c r="G10" s="123">
        <f>IF(OR(A10="",C10="",B10="",E10=""),"",IFERROR(A10&amp;"|"&amp;(27+4*(IFERROR(MATCH(C10,Roster!$B$6:$B$65,0),MATCH(C10,Roster!$C$6:$C$65,0))-1)+MATCH(B10,{"AM","PM","NIGHT","WD"},0)-1),""))</f>
        <v/>
      </c>
    </row>
    <row r="11">
      <c r="A11" s="122" t="n"/>
      <c r="B11" s="107" t="n"/>
      <c r="C11" s="105" t="n"/>
      <c r="D11" s="92">
        <f>IF(C11="","",IFERROR(INDEX(Roster!$C$6:$C$65,IFERROR(MATCH(C11,Roster!$B$6:$B$65,0),MATCH(C11,Roster!$C$6:$C$65,0))),"not on the Roster"))</f>
        <v/>
      </c>
      <c r="E11" s="106" t="n"/>
      <c r="F11" s="104">
        <f>IF(OR(A11="",C11="",B11=""),"",IFERROR(INDEX(CHOOSE(IF(YEAR(A11)&gt;PlanYear,13,MONTH(A11)),'Jan'!$D$27:$AH$266,'Feb'!$D$27:$AH$266,'Mar'!$D$27:$AH$266,'Apr'!$D$27:$AH$266,'May'!$D$27:$AH$266,'Jun'!$D$27:$AH$266,'Jul'!$D$27:$AH$266,'Aug'!$D$27:$AH$266,'Sep'!$D$27:$AH$266,'Oct'!$D$27:$AH$266,'Nov'!$D$27:$AH$266,'Dec'!$D$27:$AH$266,'Jan (next year)'!$D$27:$AH$266),27+4*(IFERROR(MATCH(C11,Roster!$B$6:$B$65,0),MATCH(C11,Roster!$C$6:$C$65,0))-1)+MATCH(B11,{"AM","PM","NIGHT","WD"},0)-1-27+1,DAY(A11))&amp;"",""))</f>
        <v/>
      </c>
      <c r="G11" s="123">
        <f>IF(OR(A11="",C11="",B11="",E11=""),"",IFERROR(A11&amp;"|"&amp;(27+4*(IFERROR(MATCH(C11,Roster!$B$6:$B$65,0),MATCH(C11,Roster!$C$6:$C$65,0))-1)+MATCH(B11,{"AM","PM","NIGHT","WD"},0)-1),""))</f>
        <v/>
      </c>
    </row>
    <row r="12">
      <c r="A12" s="122" t="n"/>
      <c r="B12" s="107" t="n"/>
      <c r="C12" s="105" t="n"/>
      <c r="D12" s="92">
        <f>IF(C12="","",IFERROR(INDEX(Roster!$C$6:$C$65,IFERROR(MATCH(C12,Roster!$B$6:$B$65,0),MATCH(C12,Roster!$C$6:$C$65,0))),"not on the Roster"))</f>
        <v/>
      </c>
      <c r="E12" s="106" t="n"/>
      <c r="F12" s="104">
        <f>IF(OR(A12="",C12="",B12=""),"",IFERROR(INDEX(CHOOSE(IF(YEAR(A12)&gt;PlanYear,13,MONTH(A12)),'Jan'!$D$27:$AH$266,'Feb'!$D$27:$AH$266,'Mar'!$D$27:$AH$266,'Apr'!$D$27:$AH$266,'May'!$D$27:$AH$266,'Jun'!$D$27:$AH$266,'Jul'!$D$27:$AH$266,'Aug'!$D$27:$AH$266,'Sep'!$D$27:$AH$266,'Oct'!$D$27:$AH$266,'Nov'!$D$27:$AH$266,'Dec'!$D$27:$AH$266,'Jan (next year)'!$D$27:$AH$266),27+4*(IFERROR(MATCH(C12,Roster!$B$6:$B$65,0),MATCH(C12,Roster!$C$6:$C$65,0))-1)+MATCH(B12,{"AM","PM","NIGHT","WD"},0)-1-27+1,DAY(A12))&amp;"",""))</f>
        <v/>
      </c>
      <c r="G12" s="123">
        <f>IF(OR(A12="",C12="",B12="",E12=""),"",IFERROR(A12&amp;"|"&amp;(27+4*(IFERROR(MATCH(C12,Roster!$B$6:$B$65,0),MATCH(C12,Roster!$C$6:$C$65,0))-1)+MATCH(B12,{"AM","PM","NIGHT","WD"},0)-1),""))</f>
        <v/>
      </c>
    </row>
    <row r="13">
      <c r="A13" s="122" t="n"/>
      <c r="B13" s="107" t="n"/>
      <c r="C13" s="105" t="n"/>
      <c r="D13" s="92">
        <f>IF(C13="","",IFERROR(INDEX(Roster!$C$6:$C$65,IFERROR(MATCH(C13,Roster!$B$6:$B$65,0),MATCH(C13,Roster!$C$6:$C$65,0))),"not on the Roster"))</f>
        <v/>
      </c>
      <c r="E13" s="106" t="n"/>
      <c r="F13" s="104">
        <f>IF(OR(A13="",C13="",B13=""),"",IFERROR(INDEX(CHOOSE(IF(YEAR(A13)&gt;PlanYear,13,MONTH(A13)),'Jan'!$D$27:$AH$266,'Feb'!$D$27:$AH$266,'Mar'!$D$27:$AH$266,'Apr'!$D$27:$AH$266,'May'!$D$27:$AH$266,'Jun'!$D$27:$AH$266,'Jul'!$D$27:$AH$266,'Aug'!$D$27:$AH$266,'Sep'!$D$27:$AH$266,'Oct'!$D$27:$AH$266,'Nov'!$D$27:$AH$266,'Dec'!$D$27:$AH$266,'Jan (next year)'!$D$27:$AH$266),27+4*(IFERROR(MATCH(C13,Roster!$B$6:$B$65,0),MATCH(C13,Roster!$C$6:$C$65,0))-1)+MATCH(B13,{"AM","PM","NIGHT","WD"},0)-1-27+1,DAY(A13))&amp;"",""))</f>
        <v/>
      </c>
      <c r="G13" s="123">
        <f>IF(OR(A13="",C13="",B13="",E13=""),"",IFERROR(A13&amp;"|"&amp;(27+4*(IFERROR(MATCH(C13,Roster!$B$6:$B$65,0),MATCH(C13,Roster!$C$6:$C$65,0))-1)+MATCH(B13,{"AM","PM","NIGHT","WD"},0)-1),""))</f>
        <v/>
      </c>
    </row>
    <row r="14">
      <c r="A14" s="122" t="n"/>
      <c r="B14" s="107" t="n"/>
      <c r="C14" s="105" t="n"/>
      <c r="D14" s="92">
        <f>IF(C14="","",IFERROR(INDEX(Roster!$C$6:$C$65,IFERROR(MATCH(C14,Roster!$B$6:$B$65,0),MATCH(C14,Roster!$C$6:$C$65,0))),"not on the Roster"))</f>
        <v/>
      </c>
      <c r="E14" s="106" t="n"/>
      <c r="F14" s="104">
        <f>IF(OR(A14="",C14="",B14=""),"",IFERROR(INDEX(CHOOSE(IF(YEAR(A14)&gt;PlanYear,13,MONTH(A14)),'Jan'!$D$27:$AH$266,'Feb'!$D$27:$AH$266,'Mar'!$D$27:$AH$266,'Apr'!$D$27:$AH$266,'May'!$D$27:$AH$266,'Jun'!$D$27:$AH$266,'Jul'!$D$27:$AH$266,'Aug'!$D$27:$AH$266,'Sep'!$D$27:$AH$266,'Oct'!$D$27:$AH$266,'Nov'!$D$27:$AH$266,'Dec'!$D$27:$AH$266,'Jan (next year)'!$D$27:$AH$266),27+4*(IFERROR(MATCH(C14,Roster!$B$6:$B$65,0),MATCH(C14,Roster!$C$6:$C$65,0))-1)+MATCH(B14,{"AM","PM","NIGHT","WD"},0)-1-27+1,DAY(A14))&amp;"",""))</f>
        <v/>
      </c>
      <c r="G14" s="123">
        <f>IF(OR(A14="",C14="",B14="",E14=""),"",IFERROR(A14&amp;"|"&amp;(27+4*(IFERROR(MATCH(C14,Roster!$B$6:$B$65,0),MATCH(C14,Roster!$C$6:$C$65,0))-1)+MATCH(B14,{"AM","PM","NIGHT","WD"},0)-1),""))</f>
        <v/>
      </c>
    </row>
    <row r="15">
      <c r="A15" s="122" t="n"/>
      <c r="B15" s="107" t="n"/>
      <c r="C15" s="105" t="n"/>
      <c r="D15" s="92">
        <f>IF(C15="","",IFERROR(INDEX(Roster!$C$6:$C$65,IFERROR(MATCH(C15,Roster!$B$6:$B$65,0),MATCH(C15,Roster!$C$6:$C$65,0))),"not on the Roster"))</f>
        <v/>
      </c>
      <c r="E15" s="106" t="n"/>
      <c r="F15" s="104">
        <f>IF(OR(A15="",C15="",B15=""),"",IFERROR(INDEX(CHOOSE(IF(YEAR(A15)&gt;PlanYear,13,MONTH(A15)),'Jan'!$D$27:$AH$266,'Feb'!$D$27:$AH$266,'Mar'!$D$27:$AH$266,'Apr'!$D$27:$AH$266,'May'!$D$27:$AH$266,'Jun'!$D$27:$AH$266,'Jul'!$D$27:$AH$266,'Aug'!$D$27:$AH$266,'Sep'!$D$27:$AH$266,'Oct'!$D$27:$AH$266,'Nov'!$D$27:$AH$266,'Dec'!$D$27:$AH$266,'Jan (next year)'!$D$27:$AH$266),27+4*(IFERROR(MATCH(C15,Roster!$B$6:$B$65,0),MATCH(C15,Roster!$C$6:$C$65,0))-1)+MATCH(B15,{"AM","PM","NIGHT","WD"},0)-1-27+1,DAY(A15))&amp;"",""))</f>
        <v/>
      </c>
      <c r="G15" s="123">
        <f>IF(OR(A15="",C15="",B15="",E15=""),"",IFERROR(A15&amp;"|"&amp;(27+4*(IFERROR(MATCH(C15,Roster!$B$6:$B$65,0),MATCH(C15,Roster!$C$6:$C$65,0))-1)+MATCH(B15,{"AM","PM","NIGHT","WD"},0)-1),""))</f>
        <v/>
      </c>
    </row>
    <row r="16">
      <c r="A16" s="122" t="n"/>
      <c r="B16" s="107" t="n"/>
      <c r="C16" s="105" t="n"/>
      <c r="D16" s="92">
        <f>IF(C16="","",IFERROR(INDEX(Roster!$C$6:$C$65,IFERROR(MATCH(C16,Roster!$B$6:$B$65,0),MATCH(C16,Roster!$C$6:$C$65,0))),"not on the Roster"))</f>
        <v/>
      </c>
      <c r="E16" s="106" t="n"/>
      <c r="F16" s="104">
        <f>IF(OR(A16="",C16="",B16=""),"",IFERROR(INDEX(CHOOSE(IF(YEAR(A16)&gt;PlanYear,13,MONTH(A16)),'Jan'!$D$27:$AH$266,'Feb'!$D$27:$AH$266,'Mar'!$D$27:$AH$266,'Apr'!$D$27:$AH$266,'May'!$D$27:$AH$266,'Jun'!$D$27:$AH$266,'Jul'!$D$27:$AH$266,'Aug'!$D$27:$AH$266,'Sep'!$D$27:$AH$266,'Oct'!$D$27:$AH$266,'Nov'!$D$27:$AH$266,'Dec'!$D$27:$AH$266,'Jan (next year)'!$D$27:$AH$266),27+4*(IFERROR(MATCH(C16,Roster!$B$6:$B$65,0),MATCH(C16,Roster!$C$6:$C$65,0))-1)+MATCH(B16,{"AM","PM","NIGHT","WD"},0)-1-27+1,DAY(A16))&amp;"",""))</f>
        <v/>
      </c>
      <c r="G16" s="123">
        <f>IF(OR(A16="",C16="",B16="",E16=""),"",IFERROR(A16&amp;"|"&amp;(27+4*(IFERROR(MATCH(C16,Roster!$B$6:$B$65,0),MATCH(C16,Roster!$C$6:$C$65,0))-1)+MATCH(B16,{"AM","PM","NIGHT","WD"},0)-1),""))</f>
        <v/>
      </c>
    </row>
    <row r="17">
      <c r="A17" s="122" t="n"/>
      <c r="B17" s="107" t="n"/>
      <c r="C17" s="105" t="n"/>
      <c r="D17" s="92">
        <f>IF(C17="","",IFERROR(INDEX(Roster!$C$6:$C$65,IFERROR(MATCH(C17,Roster!$B$6:$B$65,0),MATCH(C17,Roster!$C$6:$C$65,0))),"not on the Roster"))</f>
        <v/>
      </c>
      <c r="E17" s="106" t="n"/>
      <c r="F17" s="104">
        <f>IF(OR(A17="",C17="",B17=""),"",IFERROR(INDEX(CHOOSE(IF(YEAR(A17)&gt;PlanYear,13,MONTH(A17)),'Jan'!$D$27:$AH$266,'Feb'!$D$27:$AH$266,'Mar'!$D$27:$AH$266,'Apr'!$D$27:$AH$266,'May'!$D$27:$AH$266,'Jun'!$D$27:$AH$266,'Jul'!$D$27:$AH$266,'Aug'!$D$27:$AH$266,'Sep'!$D$27:$AH$266,'Oct'!$D$27:$AH$266,'Nov'!$D$27:$AH$266,'Dec'!$D$27:$AH$266,'Jan (next year)'!$D$27:$AH$266),27+4*(IFERROR(MATCH(C17,Roster!$B$6:$B$65,0),MATCH(C17,Roster!$C$6:$C$65,0))-1)+MATCH(B17,{"AM","PM","NIGHT","WD"},0)-1-27+1,DAY(A17))&amp;"",""))</f>
        <v/>
      </c>
      <c r="G17" s="123">
        <f>IF(OR(A17="",C17="",B17="",E17=""),"",IFERROR(A17&amp;"|"&amp;(27+4*(IFERROR(MATCH(C17,Roster!$B$6:$B$65,0),MATCH(C17,Roster!$C$6:$C$65,0))-1)+MATCH(B17,{"AM","PM","NIGHT","WD"},0)-1),""))</f>
        <v/>
      </c>
    </row>
    <row r="18">
      <c r="A18" s="122" t="n"/>
      <c r="B18" s="107" t="n"/>
      <c r="C18" s="105" t="n"/>
      <c r="D18" s="92">
        <f>IF(C18="","",IFERROR(INDEX(Roster!$C$6:$C$65,IFERROR(MATCH(C18,Roster!$B$6:$B$65,0),MATCH(C18,Roster!$C$6:$C$65,0))),"not on the Roster"))</f>
        <v/>
      </c>
      <c r="E18" s="106" t="n"/>
      <c r="F18" s="104">
        <f>IF(OR(A18="",C18="",B18=""),"",IFERROR(INDEX(CHOOSE(IF(YEAR(A18)&gt;PlanYear,13,MONTH(A18)),'Jan'!$D$27:$AH$266,'Feb'!$D$27:$AH$266,'Mar'!$D$27:$AH$266,'Apr'!$D$27:$AH$266,'May'!$D$27:$AH$266,'Jun'!$D$27:$AH$266,'Jul'!$D$27:$AH$266,'Aug'!$D$27:$AH$266,'Sep'!$D$27:$AH$266,'Oct'!$D$27:$AH$266,'Nov'!$D$27:$AH$266,'Dec'!$D$27:$AH$266,'Jan (next year)'!$D$27:$AH$266),27+4*(IFERROR(MATCH(C18,Roster!$B$6:$B$65,0),MATCH(C18,Roster!$C$6:$C$65,0))-1)+MATCH(B18,{"AM","PM","NIGHT","WD"},0)-1-27+1,DAY(A18))&amp;"",""))</f>
        <v/>
      </c>
      <c r="G18" s="123">
        <f>IF(OR(A18="",C18="",B18="",E18=""),"",IFERROR(A18&amp;"|"&amp;(27+4*(IFERROR(MATCH(C18,Roster!$B$6:$B$65,0),MATCH(C18,Roster!$C$6:$C$65,0))-1)+MATCH(B18,{"AM","PM","NIGHT","WD"},0)-1),""))</f>
        <v/>
      </c>
    </row>
    <row r="19">
      <c r="A19" s="122" t="n"/>
      <c r="B19" s="107" t="n"/>
      <c r="C19" s="105" t="n"/>
      <c r="D19" s="92">
        <f>IF(C19="","",IFERROR(INDEX(Roster!$C$6:$C$65,IFERROR(MATCH(C19,Roster!$B$6:$B$65,0),MATCH(C19,Roster!$C$6:$C$65,0))),"not on the Roster"))</f>
        <v/>
      </c>
      <c r="E19" s="106" t="n"/>
      <c r="F19" s="104">
        <f>IF(OR(A19="",C19="",B19=""),"",IFERROR(INDEX(CHOOSE(IF(YEAR(A19)&gt;PlanYear,13,MONTH(A19)),'Jan'!$D$27:$AH$266,'Feb'!$D$27:$AH$266,'Mar'!$D$27:$AH$266,'Apr'!$D$27:$AH$266,'May'!$D$27:$AH$266,'Jun'!$D$27:$AH$266,'Jul'!$D$27:$AH$266,'Aug'!$D$27:$AH$266,'Sep'!$D$27:$AH$266,'Oct'!$D$27:$AH$266,'Nov'!$D$27:$AH$266,'Dec'!$D$27:$AH$266,'Jan (next year)'!$D$27:$AH$266),27+4*(IFERROR(MATCH(C19,Roster!$B$6:$B$65,0),MATCH(C19,Roster!$C$6:$C$65,0))-1)+MATCH(B19,{"AM","PM","NIGHT","WD"},0)-1-27+1,DAY(A19))&amp;"",""))</f>
        <v/>
      </c>
      <c r="G19" s="123">
        <f>IF(OR(A19="",C19="",B19="",E19=""),"",IFERROR(A19&amp;"|"&amp;(27+4*(IFERROR(MATCH(C19,Roster!$B$6:$B$65,0),MATCH(C19,Roster!$C$6:$C$65,0))-1)+MATCH(B19,{"AM","PM","NIGHT","WD"},0)-1),""))</f>
        <v/>
      </c>
    </row>
    <row r="20">
      <c r="A20" s="122" t="n"/>
      <c r="B20" s="107" t="n"/>
      <c r="C20" s="105" t="n"/>
      <c r="D20" s="92">
        <f>IF(C20="","",IFERROR(INDEX(Roster!$C$6:$C$65,IFERROR(MATCH(C20,Roster!$B$6:$B$65,0),MATCH(C20,Roster!$C$6:$C$65,0))),"not on the Roster"))</f>
        <v/>
      </c>
      <c r="E20" s="106" t="n"/>
      <c r="F20" s="104">
        <f>IF(OR(A20="",C20="",B20=""),"",IFERROR(INDEX(CHOOSE(IF(YEAR(A20)&gt;PlanYear,13,MONTH(A20)),'Jan'!$D$27:$AH$266,'Feb'!$D$27:$AH$266,'Mar'!$D$27:$AH$266,'Apr'!$D$27:$AH$266,'May'!$D$27:$AH$266,'Jun'!$D$27:$AH$266,'Jul'!$D$27:$AH$266,'Aug'!$D$27:$AH$266,'Sep'!$D$27:$AH$266,'Oct'!$D$27:$AH$266,'Nov'!$D$27:$AH$266,'Dec'!$D$27:$AH$266,'Jan (next year)'!$D$27:$AH$266),27+4*(IFERROR(MATCH(C20,Roster!$B$6:$B$65,0),MATCH(C20,Roster!$C$6:$C$65,0))-1)+MATCH(B20,{"AM","PM","NIGHT","WD"},0)-1-27+1,DAY(A20))&amp;"",""))</f>
        <v/>
      </c>
      <c r="G20" s="123">
        <f>IF(OR(A20="",C20="",B20="",E20=""),"",IFERROR(A20&amp;"|"&amp;(27+4*(IFERROR(MATCH(C20,Roster!$B$6:$B$65,0),MATCH(C20,Roster!$C$6:$C$65,0))-1)+MATCH(B20,{"AM","PM","NIGHT","WD"},0)-1),""))</f>
        <v/>
      </c>
    </row>
    <row r="21">
      <c r="A21" s="122" t="n"/>
      <c r="B21" s="107" t="n"/>
      <c r="C21" s="105" t="n"/>
      <c r="D21" s="92">
        <f>IF(C21="","",IFERROR(INDEX(Roster!$C$6:$C$65,IFERROR(MATCH(C21,Roster!$B$6:$B$65,0),MATCH(C21,Roster!$C$6:$C$65,0))),"not on the Roster"))</f>
        <v/>
      </c>
      <c r="E21" s="106" t="n"/>
      <c r="F21" s="104">
        <f>IF(OR(A21="",C21="",B21=""),"",IFERROR(INDEX(CHOOSE(IF(YEAR(A21)&gt;PlanYear,13,MONTH(A21)),'Jan'!$D$27:$AH$266,'Feb'!$D$27:$AH$266,'Mar'!$D$27:$AH$266,'Apr'!$D$27:$AH$266,'May'!$D$27:$AH$266,'Jun'!$D$27:$AH$266,'Jul'!$D$27:$AH$266,'Aug'!$D$27:$AH$266,'Sep'!$D$27:$AH$266,'Oct'!$D$27:$AH$266,'Nov'!$D$27:$AH$266,'Dec'!$D$27:$AH$266,'Jan (next year)'!$D$27:$AH$266),27+4*(IFERROR(MATCH(C21,Roster!$B$6:$B$65,0),MATCH(C21,Roster!$C$6:$C$65,0))-1)+MATCH(B21,{"AM","PM","NIGHT","WD"},0)-1-27+1,DAY(A21))&amp;"",""))</f>
        <v/>
      </c>
      <c r="G21" s="123">
        <f>IF(OR(A21="",C21="",B21="",E21=""),"",IFERROR(A21&amp;"|"&amp;(27+4*(IFERROR(MATCH(C21,Roster!$B$6:$B$65,0),MATCH(C21,Roster!$C$6:$C$65,0))-1)+MATCH(B21,{"AM","PM","NIGHT","WD"},0)-1),""))</f>
        <v/>
      </c>
    </row>
    <row r="22">
      <c r="A22" s="122" t="n"/>
      <c r="B22" s="107" t="n"/>
      <c r="C22" s="105" t="n"/>
      <c r="D22" s="92">
        <f>IF(C22="","",IFERROR(INDEX(Roster!$C$6:$C$65,IFERROR(MATCH(C22,Roster!$B$6:$B$65,0),MATCH(C22,Roster!$C$6:$C$65,0))),"not on the Roster"))</f>
        <v/>
      </c>
      <c r="E22" s="106" t="n"/>
      <c r="F22" s="104">
        <f>IF(OR(A22="",C22="",B22=""),"",IFERROR(INDEX(CHOOSE(IF(YEAR(A22)&gt;PlanYear,13,MONTH(A22)),'Jan'!$D$27:$AH$266,'Feb'!$D$27:$AH$266,'Mar'!$D$27:$AH$266,'Apr'!$D$27:$AH$266,'May'!$D$27:$AH$266,'Jun'!$D$27:$AH$266,'Jul'!$D$27:$AH$266,'Aug'!$D$27:$AH$266,'Sep'!$D$27:$AH$266,'Oct'!$D$27:$AH$266,'Nov'!$D$27:$AH$266,'Dec'!$D$27:$AH$266,'Jan (next year)'!$D$27:$AH$266),27+4*(IFERROR(MATCH(C22,Roster!$B$6:$B$65,0),MATCH(C22,Roster!$C$6:$C$65,0))-1)+MATCH(B22,{"AM","PM","NIGHT","WD"},0)-1-27+1,DAY(A22))&amp;"",""))</f>
        <v/>
      </c>
      <c r="G22" s="123">
        <f>IF(OR(A22="",C22="",B22="",E22=""),"",IFERROR(A22&amp;"|"&amp;(27+4*(IFERROR(MATCH(C22,Roster!$B$6:$B$65,0),MATCH(C22,Roster!$C$6:$C$65,0))-1)+MATCH(B22,{"AM","PM","NIGHT","WD"},0)-1),""))</f>
        <v/>
      </c>
    </row>
    <row r="23">
      <c r="A23" s="122" t="n"/>
      <c r="B23" s="107" t="n"/>
      <c r="C23" s="105" t="n"/>
      <c r="D23" s="92">
        <f>IF(C23="","",IFERROR(INDEX(Roster!$C$6:$C$65,IFERROR(MATCH(C23,Roster!$B$6:$B$65,0),MATCH(C23,Roster!$C$6:$C$65,0))),"not on the Roster"))</f>
        <v/>
      </c>
      <c r="E23" s="106" t="n"/>
      <c r="F23" s="104">
        <f>IF(OR(A23="",C23="",B23=""),"",IFERROR(INDEX(CHOOSE(IF(YEAR(A23)&gt;PlanYear,13,MONTH(A23)),'Jan'!$D$27:$AH$266,'Feb'!$D$27:$AH$266,'Mar'!$D$27:$AH$266,'Apr'!$D$27:$AH$266,'May'!$D$27:$AH$266,'Jun'!$D$27:$AH$266,'Jul'!$D$27:$AH$266,'Aug'!$D$27:$AH$266,'Sep'!$D$27:$AH$266,'Oct'!$D$27:$AH$266,'Nov'!$D$27:$AH$266,'Dec'!$D$27:$AH$266,'Jan (next year)'!$D$27:$AH$266),27+4*(IFERROR(MATCH(C23,Roster!$B$6:$B$65,0),MATCH(C23,Roster!$C$6:$C$65,0))-1)+MATCH(B23,{"AM","PM","NIGHT","WD"},0)-1-27+1,DAY(A23))&amp;"",""))</f>
        <v/>
      </c>
      <c r="G23" s="123">
        <f>IF(OR(A23="",C23="",B23="",E23=""),"",IFERROR(A23&amp;"|"&amp;(27+4*(IFERROR(MATCH(C23,Roster!$B$6:$B$65,0),MATCH(C23,Roster!$C$6:$C$65,0))-1)+MATCH(B23,{"AM","PM","NIGHT","WD"},0)-1),""))</f>
        <v/>
      </c>
    </row>
    <row r="24">
      <c r="A24" s="122" t="n"/>
      <c r="B24" s="107" t="n"/>
      <c r="C24" s="105" t="n"/>
      <c r="D24" s="92">
        <f>IF(C24="","",IFERROR(INDEX(Roster!$C$6:$C$65,IFERROR(MATCH(C24,Roster!$B$6:$B$65,0),MATCH(C24,Roster!$C$6:$C$65,0))),"not on the Roster"))</f>
        <v/>
      </c>
      <c r="E24" s="106" t="n"/>
      <c r="F24" s="104">
        <f>IF(OR(A24="",C24="",B24=""),"",IFERROR(INDEX(CHOOSE(IF(YEAR(A24)&gt;PlanYear,13,MONTH(A24)),'Jan'!$D$27:$AH$266,'Feb'!$D$27:$AH$266,'Mar'!$D$27:$AH$266,'Apr'!$D$27:$AH$266,'May'!$D$27:$AH$266,'Jun'!$D$27:$AH$266,'Jul'!$D$27:$AH$266,'Aug'!$D$27:$AH$266,'Sep'!$D$27:$AH$266,'Oct'!$D$27:$AH$266,'Nov'!$D$27:$AH$266,'Dec'!$D$27:$AH$266,'Jan (next year)'!$D$27:$AH$266),27+4*(IFERROR(MATCH(C24,Roster!$B$6:$B$65,0),MATCH(C24,Roster!$C$6:$C$65,0))-1)+MATCH(B24,{"AM","PM","NIGHT","WD"},0)-1-27+1,DAY(A24))&amp;"",""))</f>
        <v/>
      </c>
      <c r="G24" s="123">
        <f>IF(OR(A24="",C24="",B24="",E24=""),"",IFERROR(A24&amp;"|"&amp;(27+4*(IFERROR(MATCH(C24,Roster!$B$6:$B$65,0),MATCH(C24,Roster!$C$6:$C$65,0))-1)+MATCH(B24,{"AM","PM","NIGHT","WD"},0)-1),""))</f>
        <v/>
      </c>
    </row>
    <row r="25">
      <c r="A25" s="122" t="n"/>
      <c r="B25" s="107" t="n"/>
      <c r="C25" s="105" t="n"/>
      <c r="D25" s="92">
        <f>IF(C25="","",IFERROR(INDEX(Roster!$C$6:$C$65,IFERROR(MATCH(C25,Roster!$B$6:$B$65,0),MATCH(C25,Roster!$C$6:$C$65,0))),"not on the Roster"))</f>
        <v/>
      </c>
      <c r="E25" s="106" t="n"/>
      <c r="F25" s="104">
        <f>IF(OR(A25="",C25="",B25=""),"",IFERROR(INDEX(CHOOSE(IF(YEAR(A25)&gt;PlanYear,13,MONTH(A25)),'Jan'!$D$27:$AH$266,'Feb'!$D$27:$AH$266,'Mar'!$D$27:$AH$266,'Apr'!$D$27:$AH$266,'May'!$D$27:$AH$266,'Jun'!$D$27:$AH$266,'Jul'!$D$27:$AH$266,'Aug'!$D$27:$AH$266,'Sep'!$D$27:$AH$266,'Oct'!$D$27:$AH$266,'Nov'!$D$27:$AH$266,'Dec'!$D$27:$AH$266,'Jan (next year)'!$D$27:$AH$266),27+4*(IFERROR(MATCH(C25,Roster!$B$6:$B$65,0),MATCH(C25,Roster!$C$6:$C$65,0))-1)+MATCH(B25,{"AM","PM","NIGHT","WD"},0)-1-27+1,DAY(A25))&amp;"",""))</f>
        <v/>
      </c>
      <c r="G25" s="123">
        <f>IF(OR(A25="",C25="",B25="",E25=""),"",IFERROR(A25&amp;"|"&amp;(27+4*(IFERROR(MATCH(C25,Roster!$B$6:$B$65,0),MATCH(C25,Roster!$C$6:$C$65,0))-1)+MATCH(B25,{"AM","PM","NIGHT","WD"},0)-1),""))</f>
        <v/>
      </c>
    </row>
    <row r="26">
      <c r="A26" s="122" t="n"/>
      <c r="B26" s="107" t="n"/>
      <c r="C26" s="105" t="n"/>
      <c r="D26" s="92">
        <f>IF(C26="","",IFERROR(INDEX(Roster!$C$6:$C$65,IFERROR(MATCH(C26,Roster!$B$6:$B$65,0),MATCH(C26,Roster!$C$6:$C$65,0))),"not on the Roster"))</f>
        <v/>
      </c>
      <c r="E26" s="106" t="n"/>
      <c r="F26" s="104">
        <f>IF(OR(A26="",C26="",B26=""),"",IFERROR(INDEX(CHOOSE(IF(YEAR(A26)&gt;PlanYear,13,MONTH(A26)),'Jan'!$D$27:$AH$266,'Feb'!$D$27:$AH$266,'Mar'!$D$27:$AH$266,'Apr'!$D$27:$AH$266,'May'!$D$27:$AH$266,'Jun'!$D$27:$AH$266,'Jul'!$D$27:$AH$266,'Aug'!$D$27:$AH$266,'Sep'!$D$27:$AH$266,'Oct'!$D$27:$AH$266,'Nov'!$D$27:$AH$266,'Dec'!$D$27:$AH$266,'Jan (next year)'!$D$27:$AH$266),27+4*(IFERROR(MATCH(C26,Roster!$B$6:$B$65,0),MATCH(C26,Roster!$C$6:$C$65,0))-1)+MATCH(B26,{"AM","PM","NIGHT","WD"},0)-1-27+1,DAY(A26))&amp;"",""))</f>
        <v/>
      </c>
      <c r="G26" s="123">
        <f>IF(OR(A26="",C26="",B26="",E26=""),"",IFERROR(A26&amp;"|"&amp;(27+4*(IFERROR(MATCH(C26,Roster!$B$6:$B$65,0),MATCH(C26,Roster!$C$6:$C$65,0))-1)+MATCH(B26,{"AM","PM","NIGHT","WD"},0)-1),""))</f>
        <v/>
      </c>
    </row>
    <row r="27">
      <c r="A27" s="122" t="n"/>
      <c r="B27" s="107" t="n"/>
      <c r="C27" s="105" t="n"/>
      <c r="D27" s="92">
        <f>IF(C27="","",IFERROR(INDEX(Roster!$C$6:$C$65,IFERROR(MATCH(C27,Roster!$B$6:$B$65,0),MATCH(C27,Roster!$C$6:$C$65,0))),"not on the Roster"))</f>
        <v/>
      </c>
      <c r="E27" s="106" t="n"/>
      <c r="F27" s="104">
        <f>IF(OR(A27="",C27="",B27=""),"",IFERROR(INDEX(CHOOSE(IF(YEAR(A27)&gt;PlanYear,13,MONTH(A27)),'Jan'!$D$27:$AH$266,'Feb'!$D$27:$AH$266,'Mar'!$D$27:$AH$266,'Apr'!$D$27:$AH$266,'May'!$D$27:$AH$266,'Jun'!$D$27:$AH$266,'Jul'!$D$27:$AH$266,'Aug'!$D$27:$AH$266,'Sep'!$D$27:$AH$266,'Oct'!$D$27:$AH$266,'Nov'!$D$27:$AH$266,'Dec'!$D$27:$AH$266,'Jan (next year)'!$D$27:$AH$266),27+4*(IFERROR(MATCH(C27,Roster!$B$6:$B$65,0),MATCH(C27,Roster!$C$6:$C$65,0))-1)+MATCH(B27,{"AM","PM","NIGHT","WD"},0)-1-27+1,DAY(A27))&amp;"",""))</f>
        <v/>
      </c>
      <c r="G27" s="123">
        <f>IF(OR(A27="",C27="",B27="",E27=""),"",IFERROR(A27&amp;"|"&amp;(27+4*(IFERROR(MATCH(C27,Roster!$B$6:$B$65,0),MATCH(C27,Roster!$C$6:$C$65,0))-1)+MATCH(B27,{"AM","PM","NIGHT","WD"},0)-1),""))</f>
        <v/>
      </c>
    </row>
    <row r="28">
      <c r="A28" s="122" t="n"/>
      <c r="B28" s="107" t="n"/>
      <c r="C28" s="105" t="n"/>
      <c r="D28" s="92">
        <f>IF(C28="","",IFERROR(INDEX(Roster!$C$6:$C$65,IFERROR(MATCH(C28,Roster!$B$6:$B$65,0),MATCH(C28,Roster!$C$6:$C$65,0))),"not on the Roster"))</f>
        <v/>
      </c>
      <c r="E28" s="106" t="n"/>
      <c r="F28" s="104">
        <f>IF(OR(A28="",C28="",B28=""),"",IFERROR(INDEX(CHOOSE(IF(YEAR(A28)&gt;PlanYear,13,MONTH(A28)),'Jan'!$D$27:$AH$266,'Feb'!$D$27:$AH$266,'Mar'!$D$27:$AH$266,'Apr'!$D$27:$AH$266,'May'!$D$27:$AH$266,'Jun'!$D$27:$AH$266,'Jul'!$D$27:$AH$266,'Aug'!$D$27:$AH$266,'Sep'!$D$27:$AH$266,'Oct'!$D$27:$AH$266,'Nov'!$D$27:$AH$266,'Dec'!$D$27:$AH$266,'Jan (next year)'!$D$27:$AH$266),27+4*(IFERROR(MATCH(C28,Roster!$B$6:$B$65,0),MATCH(C28,Roster!$C$6:$C$65,0))-1)+MATCH(B28,{"AM","PM","NIGHT","WD"},0)-1-27+1,DAY(A28))&amp;"",""))</f>
        <v/>
      </c>
      <c r="G28" s="123">
        <f>IF(OR(A28="",C28="",B28="",E28=""),"",IFERROR(A28&amp;"|"&amp;(27+4*(IFERROR(MATCH(C28,Roster!$B$6:$B$65,0),MATCH(C28,Roster!$C$6:$C$65,0))-1)+MATCH(B28,{"AM","PM","NIGHT","WD"},0)-1),""))</f>
        <v/>
      </c>
    </row>
    <row r="29">
      <c r="A29" s="122" t="n"/>
      <c r="B29" s="107" t="n"/>
      <c r="C29" s="105" t="n"/>
      <c r="D29" s="92">
        <f>IF(C29="","",IFERROR(INDEX(Roster!$C$6:$C$65,IFERROR(MATCH(C29,Roster!$B$6:$B$65,0),MATCH(C29,Roster!$C$6:$C$65,0))),"not on the Roster"))</f>
        <v/>
      </c>
      <c r="E29" s="106" t="n"/>
      <c r="F29" s="104">
        <f>IF(OR(A29="",C29="",B29=""),"",IFERROR(INDEX(CHOOSE(IF(YEAR(A29)&gt;PlanYear,13,MONTH(A29)),'Jan'!$D$27:$AH$266,'Feb'!$D$27:$AH$266,'Mar'!$D$27:$AH$266,'Apr'!$D$27:$AH$266,'May'!$D$27:$AH$266,'Jun'!$D$27:$AH$266,'Jul'!$D$27:$AH$266,'Aug'!$D$27:$AH$266,'Sep'!$D$27:$AH$266,'Oct'!$D$27:$AH$266,'Nov'!$D$27:$AH$266,'Dec'!$D$27:$AH$266,'Jan (next year)'!$D$27:$AH$266),27+4*(IFERROR(MATCH(C29,Roster!$B$6:$B$65,0),MATCH(C29,Roster!$C$6:$C$65,0))-1)+MATCH(B29,{"AM","PM","NIGHT","WD"},0)-1-27+1,DAY(A29))&amp;"",""))</f>
        <v/>
      </c>
      <c r="G29" s="123">
        <f>IF(OR(A29="",C29="",B29="",E29=""),"",IFERROR(A29&amp;"|"&amp;(27+4*(IFERROR(MATCH(C29,Roster!$B$6:$B$65,0),MATCH(C29,Roster!$C$6:$C$65,0))-1)+MATCH(B29,{"AM","PM","NIGHT","WD"},0)-1),""))</f>
        <v/>
      </c>
    </row>
    <row r="30">
      <c r="A30" s="122" t="n"/>
      <c r="B30" s="107" t="n"/>
      <c r="C30" s="105" t="n"/>
      <c r="D30" s="92">
        <f>IF(C30="","",IFERROR(INDEX(Roster!$C$6:$C$65,IFERROR(MATCH(C30,Roster!$B$6:$B$65,0),MATCH(C30,Roster!$C$6:$C$65,0))),"not on the Roster"))</f>
        <v/>
      </c>
      <c r="E30" s="106" t="n"/>
      <c r="F30" s="104">
        <f>IF(OR(A30="",C30="",B30=""),"",IFERROR(INDEX(CHOOSE(IF(YEAR(A30)&gt;PlanYear,13,MONTH(A30)),'Jan'!$D$27:$AH$266,'Feb'!$D$27:$AH$266,'Mar'!$D$27:$AH$266,'Apr'!$D$27:$AH$266,'May'!$D$27:$AH$266,'Jun'!$D$27:$AH$266,'Jul'!$D$27:$AH$266,'Aug'!$D$27:$AH$266,'Sep'!$D$27:$AH$266,'Oct'!$D$27:$AH$266,'Nov'!$D$27:$AH$266,'Dec'!$D$27:$AH$266,'Jan (next year)'!$D$27:$AH$266),27+4*(IFERROR(MATCH(C30,Roster!$B$6:$B$65,0),MATCH(C30,Roster!$C$6:$C$65,0))-1)+MATCH(B30,{"AM","PM","NIGHT","WD"},0)-1-27+1,DAY(A30))&amp;"",""))</f>
        <v/>
      </c>
      <c r="G30" s="123">
        <f>IF(OR(A30="",C30="",B30="",E30=""),"",IFERROR(A30&amp;"|"&amp;(27+4*(IFERROR(MATCH(C30,Roster!$B$6:$B$65,0),MATCH(C30,Roster!$C$6:$C$65,0))-1)+MATCH(B30,{"AM","PM","NIGHT","WD"},0)-1),""))</f>
        <v/>
      </c>
    </row>
    <row r="31">
      <c r="A31" s="122" t="n"/>
      <c r="B31" s="107" t="n"/>
      <c r="C31" s="105" t="n"/>
      <c r="D31" s="92">
        <f>IF(C31="","",IFERROR(INDEX(Roster!$C$6:$C$65,IFERROR(MATCH(C31,Roster!$B$6:$B$65,0),MATCH(C31,Roster!$C$6:$C$65,0))),"not on the Roster"))</f>
        <v/>
      </c>
      <c r="E31" s="106" t="n"/>
      <c r="F31" s="104">
        <f>IF(OR(A31="",C31="",B31=""),"",IFERROR(INDEX(CHOOSE(IF(YEAR(A31)&gt;PlanYear,13,MONTH(A31)),'Jan'!$D$27:$AH$266,'Feb'!$D$27:$AH$266,'Mar'!$D$27:$AH$266,'Apr'!$D$27:$AH$266,'May'!$D$27:$AH$266,'Jun'!$D$27:$AH$266,'Jul'!$D$27:$AH$266,'Aug'!$D$27:$AH$266,'Sep'!$D$27:$AH$266,'Oct'!$D$27:$AH$266,'Nov'!$D$27:$AH$266,'Dec'!$D$27:$AH$266,'Jan (next year)'!$D$27:$AH$266),27+4*(IFERROR(MATCH(C31,Roster!$B$6:$B$65,0),MATCH(C31,Roster!$C$6:$C$65,0))-1)+MATCH(B31,{"AM","PM","NIGHT","WD"},0)-1-27+1,DAY(A31))&amp;"",""))</f>
        <v/>
      </c>
      <c r="G31" s="123">
        <f>IF(OR(A31="",C31="",B31="",E31=""),"",IFERROR(A31&amp;"|"&amp;(27+4*(IFERROR(MATCH(C31,Roster!$B$6:$B$65,0),MATCH(C31,Roster!$C$6:$C$65,0))-1)+MATCH(B31,{"AM","PM","NIGHT","WD"},0)-1),""))</f>
        <v/>
      </c>
    </row>
    <row r="32">
      <c r="A32" s="122" t="n"/>
      <c r="B32" s="107" t="n"/>
      <c r="C32" s="105" t="n"/>
      <c r="D32" s="92">
        <f>IF(C32="","",IFERROR(INDEX(Roster!$C$6:$C$65,IFERROR(MATCH(C32,Roster!$B$6:$B$65,0),MATCH(C32,Roster!$C$6:$C$65,0))),"not on the Roster"))</f>
        <v/>
      </c>
      <c r="E32" s="106" t="n"/>
      <c r="F32" s="104">
        <f>IF(OR(A32="",C32="",B32=""),"",IFERROR(INDEX(CHOOSE(IF(YEAR(A32)&gt;PlanYear,13,MONTH(A32)),'Jan'!$D$27:$AH$266,'Feb'!$D$27:$AH$266,'Mar'!$D$27:$AH$266,'Apr'!$D$27:$AH$266,'May'!$D$27:$AH$266,'Jun'!$D$27:$AH$266,'Jul'!$D$27:$AH$266,'Aug'!$D$27:$AH$266,'Sep'!$D$27:$AH$266,'Oct'!$D$27:$AH$266,'Nov'!$D$27:$AH$266,'Dec'!$D$27:$AH$266,'Jan (next year)'!$D$27:$AH$266),27+4*(IFERROR(MATCH(C32,Roster!$B$6:$B$65,0),MATCH(C32,Roster!$C$6:$C$65,0))-1)+MATCH(B32,{"AM","PM","NIGHT","WD"},0)-1-27+1,DAY(A32))&amp;"",""))</f>
        <v/>
      </c>
      <c r="G32" s="123">
        <f>IF(OR(A32="",C32="",B32="",E32=""),"",IFERROR(A32&amp;"|"&amp;(27+4*(IFERROR(MATCH(C32,Roster!$B$6:$B$65,0),MATCH(C32,Roster!$C$6:$C$65,0))-1)+MATCH(B32,{"AM","PM","NIGHT","WD"},0)-1),""))</f>
        <v/>
      </c>
    </row>
    <row r="33">
      <c r="A33" s="122" t="n"/>
      <c r="B33" s="107" t="n"/>
      <c r="C33" s="105" t="n"/>
      <c r="D33" s="92">
        <f>IF(C33="","",IFERROR(INDEX(Roster!$C$6:$C$65,IFERROR(MATCH(C33,Roster!$B$6:$B$65,0),MATCH(C33,Roster!$C$6:$C$65,0))),"not on the Roster"))</f>
        <v/>
      </c>
      <c r="E33" s="106" t="n"/>
      <c r="F33" s="104">
        <f>IF(OR(A33="",C33="",B33=""),"",IFERROR(INDEX(CHOOSE(IF(YEAR(A33)&gt;PlanYear,13,MONTH(A33)),'Jan'!$D$27:$AH$266,'Feb'!$D$27:$AH$266,'Mar'!$D$27:$AH$266,'Apr'!$D$27:$AH$266,'May'!$D$27:$AH$266,'Jun'!$D$27:$AH$266,'Jul'!$D$27:$AH$266,'Aug'!$D$27:$AH$266,'Sep'!$D$27:$AH$266,'Oct'!$D$27:$AH$266,'Nov'!$D$27:$AH$266,'Dec'!$D$27:$AH$266,'Jan (next year)'!$D$27:$AH$266),27+4*(IFERROR(MATCH(C33,Roster!$B$6:$B$65,0),MATCH(C33,Roster!$C$6:$C$65,0))-1)+MATCH(B33,{"AM","PM","NIGHT","WD"},0)-1-27+1,DAY(A33))&amp;"",""))</f>
        <v/>
      </c>
      <c r="G33" s="123">
        <f>IF(OR(A33="",C33="",B33="",E33=""),"",IFERROR(A33&amp;"|"&amp;(27+4*(IFERROR(MATCH(C33,Roster!$B$6:$B$65,0),MATCH(C33,Roster!$C$6:$C$65,0))-1)+MATCH(B33,{"AM","PM","NIGHT","WD"},0)-1),""))</f>
        <v/>
      </c>
    </row>
    <row r="34">
      <c r="A34" s="122" t="n"/>
      <c r="B34" s="107" t="n"/>
      <c r="C34" s="105" t="n"/>
      <c r="D34" s="92">
        <f>IF(C34="","",IFERROR(INDEX(Roster!$C$6:$C$65,IFERROR(MATCH(C34,Roster!$B$6:$B$65,0),MATCH(C34,Roster!$C$6:$C$65,0))),"not on the Roster"))</f>
        <v/>
      </c>
      <c r="E34" s="106" t="n"/>
      <c r="F34" s="104">
        <f>IF(OR(A34="",C34="",B34=""),"",IFERROR(INDEX(CHOOSE(IF(YEAR(A34)&gt;PlanYear,13,MONTH(A34)),'Jan'!$D$27:$AH$266,'Feb'!$D$27:$AH$266,'Mar'!$D$27:$AH$266,'Apr'!$D$27:$AH$266,'May'!$D$27:$AH$266,'Jun'!$D$27:$AH$266,'Jul'!$D$27:$AH$266,'Aug'!$D$27:$AH$266,'Sep'!$D$27:$AH$266,'Oct'!$D$27:$AH$266,'Nov'!$D$27:$AH$266,'Dec'!$D$27:$AH$266,'Jan (next year)'!$D$27:$AH$266),27+4*(IFERROR(MATCH(C34,Roster!$B$6:$B$65,0),MATCH(C34,Roster!$C$6:$C$65,0))-1)+MATCH(B34,{"AM","PM","NIGHT","WD"},0)-1-27+1,DAY(A34))&amp;"",""))</f>
        <v/>
      </c>
      <c r="G34" s="123">
        <f>IF(OR(A34="",C34="",B34="",E34=""),"",IFERROR(A34&amp;"|"&amp;(27+4*(IFERROR(MATCH(C34,Roster!$B$6:$B$65,0),MATCH(C34,Roster!$C$6:$C$65,0))-1)+MATCH(B34,{"AM","PM","NIGHT","WD"},0)-1),""))</f>
        <v/>
      </c>
    </row>
    <row r="35">
      <c r="A35" s="122" t="n"/>
      <c r="B35" s="107" t="n"/>
      <c r="C35" s="105" t="n"/>
      <c r="D35" s="92">
        <f>IF(C35="","",IFERROR(INDEX(Roster!$C$6:$C$65,IFERROR(MATCH(C35,Roster!$B$6:$B$65,0),MATCH(C35,Roster!$C$6:$C$65,0))),"not on the Roster"))</f>
        <v/>
      </c>
      <c r="E35" s="106" t="n"/>
      <c r="F35" s="104">
        <f>IF(OR(A35="",C35="",B35=""),"",IFERROR(INDEX(CHOOSE(IF(YEAR(A35)&gt;PlanYear,13,MONTH(A35)),'Jan'!$D$27:$AH$266,'Feb'!$D$27:$AH$266,'Mar'!$D$27:$AH$266,'Apr'!$D$27:$AH$266,'May'!$D$27:$AH$266,'Jun'!$D$27:$AH$266,'Jul'!$D$27:$AH$266,'Aug'!$D$27:$AH$266,'Sep'!$D$27:$AH$266,'Oct'!$D$27:$AH$266,'Nov'!$D$27:$AH$266,'Dec'!$D$27:$AH$266,'Jan (next year)'!$D$27:$AH$266),27+4*(IFERROR(MATCH(C35,Roster!$B$6:$B$65,0),MATCH(C35,Roster!$C$6:$C$65,0))-1)+MATCH(B35,{"AM","PM","NIGHT","WD"},0)-1-27+1,DAY(A35))&amp;"",""))</f>
        <v/>
      </c>
      <c r="G35" s="123">
        <f>IF(OR(A35="",C35="",B35="",E35=""),"",IFERROR(A35&amp;"|"&amp;(27+4*(IFERROR(MATCH(C35,Roster!$B$6:$B$65,0),MATCH(C35,Roster!$C$6:$C$65,0))-1)+MATCH(B35,{"AM","PM","NIGHT","WD"},0)-1),""))</f>
        <v/>
      </c>
    </row>
    <row r="36">
      <c r="A36" s="122" t="n"/>
      <c r="B36" s="107" t="n"/>
      <c r="C36" s="105" t="n"/>
      <c r="D36" s="92">
        <f>IF(C36="","",IFERROR(INDEX(Roster!$C$6:$C$65,IFERROR(MATCH(C36,Roster!$B$6:$B$65,0),MATCH(C36,Roster!$C$6:$C$65,0))),"not on the Roster"))</f>
        <v/>
      </c>
      <c r="E36" s="106" t="n"/>
      <c r="F36" s="104">
        <f>IF(OR(A36="",C36="",B36=""),"",IFERROR(INDEX(CHOOSE(IF(YEAR(A36)&gt;PlanYear,13,MONTH(A36)),'Jan'!$D$27:$AH$266,'Feb'!$D$27:$AH$266,'Mar'!$D$27:$AH$266,'Apr'!$D$27:$AH$266,'May'!$D$27:$AH$266,'Jun'!$D$27:$AH$266,'Jul'!$D$27:$AH$266,'Aug'!$D$27:$AH$266,'Sep'!$D$27:$AH$266,'Oct'!$D$27:$AH$266,'Nov'!$D$27:$AH$266,'Dec'!$D$27:$AH$266,'Jan (next year)'!$D$27:$AH$266),27+4*(IFERROR(MATCH(C36,Roster!$B$6:$B$65,0),MATCH(C36,Roster!$C$6:$C$65,0))-1)+MATCH(B36,{"AM","PM","NIGHT","WD"},0)-1-27+1,DAY(A36))&amp;"",""))</f>
        <v/>
      </c>
      <c r="G36" s="123">
        <f>IF(OR(A36="",C36="",B36="",E36=""),"",IFERROR(A36&amp;"|"&amp;(27+4*(IFERROR(MATCH(C36,Roster!$B$6:$B$65,0),MATCH(C36,Roster!$C$6:$C$65,0))-1)+MATCH(B36,{"AM","PM","NIGHT","WD"},0)-1),""))</f>
        <v/>
      </c>
    </row>
    <row r="37">
      <c r="A37" s="122" t="n"/>
      <c r="B37" s="107" t="n"/>
      <c r="C37" s="105" t="n"/>
      <c r="D37" s="92">
        <f>IF(C37="","",IFERROR(INDEX(Roster!$C$6:$C$65,IFERROR(MATCH(C37,Roster!$B$6:$B$65,0),MATCH(C37,Roster!$C$6:$C$65,0))),"not on the Roster"))</f>
        <v/>
      </c>
      <c r="E37" s="106" t="n"/>
      <c r="F37" s="104">
        <f>IF(OR(A37="",C37="",B37=""),"",IFERROR(INDEX(CHOOSE(IF(YEAR(A37)&gt;PlanYear,13,MONTH(A37)),'Jan'!$D$27:$AH$266,'Feb'!$D$27:$AH$266,'Mar'!$D$27:$AH$266,'Apr'!$D$27:$AH$266,'May'!$D$27:$AH$266,'Jun'!$D$27:$AH$266,'Jul'!$D$27:$AH$266,'Aug'!$D$27:$AH$266,'Sep'!$D$27:$AH$266,'Oct'!$D$27:$AH$266,'Nov'!$D$27:$AH$266,'Dec'!$D$27:$AH$266,'Jan (next year)'!$D$27:$AH$266),27+4*(IFERROR(MATCH(C37,Roster!$B$6:$B$65,0),MATCH(C37,Roster!$C$6:$C$65,0))-1)+MATCH(B37,{"AM","PM","NIGHT","WD"},0)-1-27+1,DAY(A37))&amp;"",""))</f>
        <v/>
      </c>
      <c r="G37" s="123">
        <f>IF(OR(A37="",C37="",B37="",E37=""),"",IFERROR(A37&amp;"|"&amp;(27+4*(IFERROR(MATCH(C37,Roster!$B$6:$B$65,0),MATCH(C37,Roster!$C$6:$C$65,0))-1)+MATCH(B37,{"AM","PM","NIGHT","WD"},0)-1),""))</f>
        <v/>
      </c>
    </row>
    <row r="38">
      <c r="A38" s="122" t="n"/>
      <c r="B38" s="107" t="n"/>
      <c r="C38" s="105" t="n"/>
      <c r="D38" s="92">
        <f>IF(C38="","",IFERROR(INDEX(Roster!$C$6:$C$65,IFERROR(MATCH(C38,Roster!$B$6:$B$65,0),MATCH(C38,Roster!$C$6:$C$65,0))),"not on the Roster"))</f>
        <v/>
      </c>
      <c r="E38" s="106" t="n"/>
      <c r="F38" s="104">
        <f>IF(OR(A38="",C38="",B38=""),"",IFERROR(INDEX(CHOOSE(IF(YEAR(A38)&gt;PlanYear,13,MONTH(A38)),'Jan'!$D$27:$AH$266,'Feb'!$D$27:$AH$266,'Mar'!$D$27:$AH$266,'Apr'!$D$27:$AH$266,'May'!$D$27:$AH$266,'Jun'!$D$27:$AH$266,'Jul'!$D$27:$AH$266,'Aug'!$D$27:$AH$266,'Sep'!$D$27:$AH$266,'Oct'!$D$27:$AH$266,'Nov'!$D$27:$AH$266,'Dec'!$D$27:$AH$266,'Jan (next year)'!$D$27:$AH$266),27+4*(IFERROR(MATCH(C38,Roster!$B$6:$B$65,0),MATCH(C38,Roster!$C$6:$C$65,0))-1)+MATCH(B38,{"AM","PM","NIGHT","WD"},0)-1-27+1,DAY(A38))&amp;"",""))</f>
        <v/>
      </c>
      <c r="G38" s="123">
        <f>IF(OR(A38="",C38="",B38="",E38=""),"",IFERROR(A38&amp;"|"&amp;(27+4*(IFERROR(MATCH(C38,Roster!$B$6:$B$65,0),MATCH(C38,Roster!$C$6:$C$65,0))-1)+MATCH(B38,{"AM","PM","NIGHT","WD"},0)-1),""))</f>
        <v/>
      </c>
    </row>
    <row r="39">
      <c r="A39" s="122" t="n"/>
      <c r="B39" s="107" t="n"/>
      <c r="C39" s="105" t="n"/>
      <c r="D39" s="92">
        <f>IF(C39="","",IFERROR(INDEX(Roster!$C$6:$C$65,IFERROR(MATCH(C39,Roster!$B$6:$B$65,0),MATCH(C39,Roster!$C$6:$C$65,0))),"not on the Roster"))</f>
        <v/>
      </c>
      <c r="E39" s="106" t="n"/>
      <c r="F39" s="104">
        <f>IF(OR(A39="",C39="",B39=""),"",IFERROR(INDEX(CHOOSE(IF(YEAR(A39)&gt;PlanYear,13,MONTH(A39)),'Jan'!$D$27:$AH$266,'Feb'!$D$27:$AH$266,'Mar'!$D$27:$AH$266,'Apr'!$D$27:$AH$266,'May'!$D$27:$AH$266,'Jun'!$D$27:$AH$266,'Jul'!$D$27:$AH$266,'Aug'!$D$27:$AH$266,'Sep'!$D$27:$AH$266,'Oct'!$D$27:$AH$266,'Nov'!$D$27:$AH$266,'Dec'!$D$27:$AH$266,'Jan (next year)'!$D$27:$AH$266),27+4*(IFERROR(MATCH(C39,Roster!$B$6:$B$65,0),MATCH(C39,Roster!$C$6:$C$65,0))-1)+MATCH(B39,{"AM","PM","NIGHT","WD"},0)-1-27+1,DAY(A39))&amp;"",""))</f>
        <v/>
      </c>
      <c r="G39" s="123">
        <f>IF(OR(A39="",C39="",B39="",E39=""),"",IFERROR(A39&amp;"|"&amp;(27+4*(IFERROR(MATCH(C39,Roster!$B$6:$B$65,0),MATCH(C39,Roster!$C$6:$C$65,0))-1)+MATCH(B39,{"AM","PM","NIGHT","WD"},0)-1),""))</f>
        <v/>
      </c>
    </row>
    <row r="40">
      <c r="A40" s="122" t="n"/>
      <c r="B40" s="107" t="n"/>
      <c r="C40" s="105" t="n"/>
      <c r="D40" s="92">
        <f>IF(C40="","",IFERROR(INDEX(Roster!$C$6:$C$65,IFERROR(MATCH(C40,Roster!$B$6:$B$65,0),MATCH(C40,Roster!$C$6:$C$65,0))),"not on the Roster"))</f>
        <v/>
      </c>
      <c r="E40" s="106" t="n"/>
      <c r="F40" s="104">
        <f>IF(OR(A40="",C40="",B40=""),"",IFERROR(INDEX(CHOOSE(IF(YEAR(A40)&gt;PlanYear,13,MONTH(A40)),'Jan'!$D$27:$AH$266,'Feb'!$D$27:$AH$266,'Mar'!$D$27:$AH$266,'Apr'!$D$27:$AH$266,'May'!$D$27:$AH$266,'Jun'!$D$27:$AH$266,'Jul'!$D$27:$AH$266,'Aug'!$D$27:$AH$266,'Sep'!$D$27:$AH$266,'Oct'!$D$27:$AH$266,'Nov'!$D$27:$AH$266,'Dec'!$D$27:$AH$266,'Jan (next year)'!$D$27:$AH$266),27+4*(IFERROR(MATCH(C40,Roster!$B$6:$B$65,0),MATCH(C40,Roster!$C$6:$C$65,0))-1)+MATCH(B40,{"AM","PM","NIGHT","WD"},0)-1-27+1,DAY(A40))&amp;"",""))</f>
        <v/>
      </c>
      <c r="G40" s="123">
        <f>IF(OR(A40="",C40="",B40="",E40=""),"",IFERROR(A40&amp;"|"&amp;(27+4*(IFERROR(MATCH(C40,Roster!$B$6:$B$65,0),MATCH(C40,Roster!$C$6:$C$65,0))-1)+MATCH(B40,{"AM","PM","NIGHT","WD"},0)-1),""))</f>
        <v/>
      </c>
    </row>
    <row r="41">
      <c r="A41" s="122" t="n"/>
      <c r="B41" s="107" t="n"/>
      <c r="C41" s="105" t="n"/>
      <c r="D41" s="92">
        <f>IF(C41="","",IFERROR(INDEX(Roster!$C$6:$C$65,IFERROR(MATCH(C41,Roster!$B$6:$B$65,0),MATCH(C41,Roster!$C$6:$C$65,0))),"not on the Roster"))</f>
        <v/>
      </c>
      <c r="E41" s="106" t="n"/>
      <c r="F41" s="104">
        <f>IF(OR(A41="",C41="",B41=""),"",IFERROR(INDEX(CHOOSE(IF(YEAR(A41)&gt;PlanYear,13,MONTH(A41)),'Jan'!$D$27:$AH$266,'Feb'!$D$27:$AH$266,'Mar'!$D$27:$AH$266,'Apr'!$D$27:$AH$266,'May'!$D$27:$AH$266,'Jun'!$D$27:$AH$266,'Jul'!$D$27:$AH$266,'Aug'!$D$27:$AH$266,'Sep'!$D$27:$AH$266,'Oct'!$D$27:$AH$266,'Nov'!$D$27:$AH$266,'Dec'!$D$27:$AH$266,'Jan (next year)'!$D$27:$AH$266),27+4*(IFERROR(MATCH(C41,Roster!$B$6:$B$65,0),MATCH(C41,Roster!$C$6:$C$65,0))-1)+MATCH(B41,{"AM","PM","NIGHT","WD"},0)-1-27+1,DAY(A41))&amp;"",""))</f>
        <v/>
      </c>
      <c r="G41" s="123">
        <f>IF(OR(A41="",C41="",B41="",E41=""),"",IFERROR(A41&amp;"|"&amp;(27+4*(IFERROR(MATCH(C41,Roster!$B$6:$B$65,0),MATCH(C41,Roster!$C$6:$C$65,0))-1)+MATCH(B41,{"AM","PM","NIGHT","WD"},0)-1),""))</f>
        <v/>
      </c>
    </row>
    <row r="42">
      <c r="A42" s="122" t="n"/>
      <c r="B42" s="107" t="n"/>
      <c r="C42" s="105" t="n"/>
      <c r="D42" s="92">
        <f>IF(C42="","",IFERROR(INDEX(Roster!$C$6:$C$65,IFERROR(MATCH(C42,Roster!$B$6:$B$65,0),MATCH(C42,Roster!$C$6:$C$65,0))),"not on the Roster"))</f>
        <v/>
      </c>
      <c r="E42" s="106" t="n"/>
      <c r="F42" s="104">
        <f>IF(OR(A42="",C42="",B42=""),"",IFERROR(INDEX(CHOOSE(IF(YEAR(A42)&gt;PlanYear,13,MONTH(A42)),'Jan'!$D$27:$AH$266,'Feb'!$D$27:$AH$266,'Mar'!$D$27:$AH$266,'Apr'!$D$27:$AH$266,'May'!$D$27:$AH$266,'Jun'!$D$27:$AH$266,'Jul'!$D$27:$AH$266,'Aug'!$D$27:$AH$266,'Sep'!$D$27:$AH$266,'Oct'!$D$27:$AH$266,'Nov'!$D$27:$AH$266,'Dec'!$D$27:$AH$266,'Jan (next year)'!$D$27:$AH$266),27+4*(IFERROR(MATCH(C42,Roster!$B$6:$B$65,0),MATCH(C42,Roster!$C$6:$C$65,0))-1)+MATCH(B42,{"AM","PM","NIGHT","WD"},0)-1-27+1,DAY(A42))&amp;"",""))</f>
        <v/>
      </c>
      <c r="G42" s="123">
        <f>IF(OR(A42="",C42="",B42="",E42=""),"",IFERROR(A42&amp;"|"&amp;(27+4*(IFERROR(MATCH(C42,Roster!$B$6:$B$65,0),MATCH(C42,Roster!$C$6:$C$65,0))-1)+MATCH(B42,{"AM","PM","NIGHT","WD"},0)-1),""))</f>
        <v/>
      </c>
    </row>
    <row r="43">
      <c r="A43" s="122" t="n"/>
      <c r="B43" s="107" t="n"/>
      <c r="C43" s="105" t="n"/>
      <c r="D43" s="92">
        <f>IF(C43="","",IFERROR(INDEX(Roster!$C$6:$C$65,IFERROR(MATCH(C43,Roster!$B$6:$B$65,0),MATCH(C43,Roster!$C$6:$C$65,0))),"not on the Roster"))</f>
        <v/>
      </c>
      <c r="E43" s="106" t="n"/>
      <c r="F43" s="104">
        <f>IF(OR(A43="",C43="",B43=""),"",IFERROR(INDEX(CHOOSE(IF(YEAR(A43)&gt;PlanYear,13,MONTH(A43)),'Jan'!$D$27:$AH$266,'Feb'!$D$27:$AH$266,'Mar'!$D$27:$AH$266,'Apr'!$D$27:$AH$266,'May'!$D$27:$AH$266,'Jun'!$D$27:$AH$266,'Jul'!$D$27:$AH$266,'Aug'!$D$27:$AH$266,'Sep'!$D$27:$AH$266,'Oct'!$D$27:$AH$266,'Nov'!$D$27:$AH$266,'Dec'!$D$27:$AH$266,'Jan (next year)'!$D$27:$AH$266),27+4*(IFERROR(MATCH(C43,Roster!$B$6:$B$65,0),MATCH(C43,Roster!$C$6:$C$65,0))-1)+MATCH(B43,{"AM","PM","NIGHT","WD"},0)-1-27+1,DAY(A43))&amp;"",""))</f>
        <v/>
      </c>
      <c r="G43" s="123">
        <f>IF(OR(A43="",C43="",B43="",E43=""),"",IFERROR(A43&amp;"|"&amp;(27+4*(IFERROR(MATCH(C43,Roster!$B$6:$B$65,0),MATCH(C43,Roster!$C$6:$C$65,0))-1)+MATCH(B43,{"AM","PM","NIGHT","WD"},0)-1),""))</f>
        <v/>
      </c>
    </row>
    <row r="44">
      <c r="A44" s="122" t="n"/>
      <c r="B44" s="107" t="n"/>
      <c r="C44" s="105" t="n"/>
      <c r="D44" s="92">
        <f>IF(C44="","",IFERROR(INDEX(Roster!$C$6:$C$65,IFERROR(MATCH(C44,Roster!$B$6:$B$65,0),MATCH(C44,Roster!$C$6:$C$65,0))),"not on the Roster"))</f>
        <v/>
      </c>
      <c r="E44" s="106" t="n"/>
      <c r="F44" s="104">
        <f>IF(OR(A44="",C44="",B44=""),"",IFERROR(INDEX(CHOOSE(IF(YEAR(A44)&gt;PlanYear,13,MONTH(A44)),'Jan'!$D$27:$AH$266,'Feb'!$D$27:$AH$266,'Mar'!$D$27:$AH$266,'Apr'!$D$27:$AH$266,'May'!$D$27:$AH$266,'Jun'!$D$27:$AH$266,'Jul'!$D$27:$AH$266,'Aug'!$D$27:$AH$266,'Sep'!$D$27:$AH$266,'Oct'!$D$27:$AH$266,'Nov'!$D$27:$AH$266,'Dec'!$D$27:$AH$266,'Jan (next year)'!$D$27:$AH$266),27+4*(IFERROR(MATCH(C44,Roster!$B$6:$B$65,0),MATCH(C44,Roster!$C$6:$C$65,0))-1)+MATCH(B44,{"AM","PM","NIGHT","WD"},0)-1-27+1,DAY(A44))&amp;"",""))</f>
        <v/>
      </c>
      <c r="G44" s="123">
        <f>IF(OR(A44="",C44="",B44="",E44=""),"",IFERROR(A44&amp;"|"&amp;(27+4*(IFERROR(MATCH(C44,Roster!$B$6:$B$65,0),MATCH(C44,Roster!$C$6:$C$65,0))-1)+MATCH(B44,{"AM","PM","NIGHT","WD"},0)-1),""))</f>
        <v/>
      </c>
    </row>
    <row r="45">
      <c r="A45" s="122" t="n"/>
      <c r="B45" s="107" t="n"/>
      <c r="C45" s="105" t="n"/>
      <c r="D45" s="92">
        <f>IF(C45="","",IFERROR(INDEX(Roster!$C$6:$C$65,IFERROR(MATCH(C45,Roster!$B$6:$B$65,0),MATCH(C45,Roster!$C$6:$C$65,0))),"not on the Roster"))</f>
        <v/>
      </c>
      <c r="E45" s="106" t="n"/>
      <c r="F45" s="104">
        <f>IF(OR(A45="",C45="",B45=""),"",IFERROR(INDEX(CHOOSE(IF(YEAR(A45)&gt;PlanYear,13,MONTH(A45)),'Jan'!$D$27:$AH$266,'Feb'!$D$27:$AH$266,'Mar'!$D$27:$AH$266,'Apr'!$D$27:$AH$266,'May'!$D$27:$AH$266,'Jun'!$D$27:$AH$266,'Jul'!$D$27:$AH$266,'Aug'!$D$27:$AH$266,'Sep'!$D$27:$AH$266,'Oct'!$D$27:$AH$266,'Nov'!$D$27:$AH$266,'Dec'!$D$27:$AH$266,'Jan (next year)'!$D$27:$AH$266),27+4*(IFERROR(MATCH(C45,Roster!$B$6:$B$65,0),MATCH(C45,Roster!$C$6:$C$65,0))-1)+MATCH(B45,{"AM","PM","NIGHT","WD"},0)-1-27+1,DAY(A45))&amp;"",""))</f>
        <v/>
      </c>
      <c r="G45" s="123">
        <f>IF(OR(A45="",C45="",B45="",E45=""),"",IFERROR(A45&amp;"|"&amp;(27+4*(IFERROR(MATCH(C45,Roster!$B$6:$B$65,0),MATCH(C45,Roster!$C$6:$C$65,0))-1)+MATCH(B45,{"AM","PM","NIGHT","WD"},0)-1),""))</f>
        <v/>
      </c>
    </row>
    <row r="46">
      <c r="A46" s="122" t="n"/>
      <c r="B46" s="107" t="n"/>
      <c r="C46" s="105" t="n"/>
      <c r="D46" s="92">
        <f>IF(C46="","",IFERROR(INDEX(Roster!$C$6:$C$65,IFERROR(MATCH(C46,Roster!$B$6:$B$65,0),MATCH(C46,Roster!$C$6:$C$65,0))),"not on the Roster"))</f>
        <v/>
      </c>
      <c r="E46" s="106" t="n"/>
      <c r="F46" s="104">
        <f>IF(OR(A46="",C46="",B46=""),"",IFERROR(INDEX(CHOOSE(IF(YEAR(A46)&gt;PlanYear,13,MONTH(A46)),'Jan'!$D$27:$AH$266,'Feb'!$D$27:$AH$266,'Mar'!$D$27:$AH$266,'Apr'!$D$27:$AH$266,'May'!$D$27:$AH$266,'Jun'!$D$27:$AH$266,'Jul'!$D$27:$AH$266,'Aug'!$D$27:$AH$266,'Sep'!$D$27:$AH$266,'Oct'!$D$27:$AH$266,'Nov'!$D$27:$AH$266,'Dec'!$D$27:$AH$266,'Jan (next year)'!$D$27:$AH$266),27+4*(IFERROR(MATCH(C46,Roster!$B$6:$B$65,0),MATCH(C46,Roster!$C$6:$C$65,0))-1)+MATCH(B46,{"AM","PM","NIGHT","WD"},0)-1-27+1,DAY(A46))&amp;"",""))</f>
        <v/>
      </c>
      <c r="G46" s="123">
        <f>IF(OR(A46="",C46="",B46="",E46=""),"",IFERROR(A46&amp;"|"&amp;(27+4*(IFERROR(MATCH(C46,Roster!$B$6:$B$65,0),MATCH(C46,Roster!$C$6:$C$65,0))-1)+MATCH(B46,{"AM","PM","NIGHT","WD"},0)-1),""))</f>
        <v/>
      </c>
    </row>
    <row r="47">
      <c r="A47" s="122" t="n"/>
      <c r="B47" s="107" t="n"/>
      <c r="C47" s="105" t="n"/>
      <c r="D47" s="92">
        <f>IF(C47="","",IFERROR(INDEX(Roster!$C$6:$C$65,IFERROR(MATCH(C47,Roster!$B$6:$B$65,0),MATCH(C47,Roster!$C$6:$C$65,0))),"not on the Roster"))</f>
        <v/>
      </c>
      <c r="E47" s="106" t="n"/>
      <c r="F47" s="104">
        <f>IF(OR(A47="",C47="",B47=""),"",IFERROR(INDEX(CHOOSE(IF(YEAR(A47)&gt;PlanYear,13,MONTH(A47)),'Jan'!$D$27:$AH$266,'Feb'!$D$27:$AH$266,'Mar'!$D$27:$AH$266,'Apr'!$D$27:$AH$266,'May'!$D$27:$AH$266,'Jun'!$D$27:$AH$266,'Jul'!$D$27:$AH$266,'Aug'!$D$27:$AH$266,'Sep'!$D$27:$AH$266,'Oct'!$D$27:$AH$266,'Nov'!$D$27:$AH$266,'Dec'!$D$27:$AH$266,'Jan (next year)'!$D$27:$AH$266),27+4*(IFERROR(MATCH(C47,Roster!$B$6:$B$65,0),MATCH(C47,Roster!$C$6:$C$65,0))-1)+MATCH(B47,{"AM","PM","NIGHT","WD"},0)-1-27+1,DAY(A47))&amp;"",""))</f>
        <v/>
      </c>
      <c r="G47" s="123">
        <f>IF(OR(A47="",C47="",B47="",E47=""),"",IFERROR(A47&amp;"|"&amp;(27+4*(IFERROR(MATCH(C47,Roster!$B$6:$B$65,0),MATCH(C47,Roster!$C$6:$C$65,0))-1)+MATCH(B47,{"AM","PM","NIGHT","WD"},0)-1),""))</f>
        <v/>
      </c>
    </row>
    <row r="48">
      <c r="A48" s="122" t="n"/>
      <c r="B48" s="107" t="n"/>
      <c r="C48" s="105" t="n"/>
      <c r="D48" s="92">
        <f>IF(C48="","",IFERROR(INDEX(Roster!$C$6:$C$65,IFERROR(MATCH(C48,Roster!$B$6:$B$65,0),MATCH(C48,Roster!$C$6:$C$65,0))),"not on the Roster"))</f>
        <v/>
      </c>
      <c r="E48" s="106" t="n"/>
      <c r="F48" s="104">
        <f>IF(OR(A48="",C48="",B48=""),"",IFERROR(INDEX(CHOOSE(IF(YEAR(A48)&gt;PlanYear,13,MONTH(A48)),'Jan'!$D$27:$AH$266,'Feb'!$D$27:$AH$266,'Mar'!$D$27:$AH$266,'Apr'!$D$27:$AH$266,'May'!$D$27:$AH$266,'Jun'!$D$27:$AH$266,'Jul'!$D$27:$AH$266,'Aug'!$D$27:$AH$266,'Sep'!$D$27:$AH$266,'Oct'!$D$27:$AH$266,'Nov'!$D$27:$AH$266,'Dec'!$D$27:$AH$266,'Jan (next year)'!$D$27:$AH$266),27+4*(IFERROR(MATCH(C48,Roster!$B$6:$B$65,0),MATCH(C48,Roster!$C$6:$C$65,0))-1)+MATCH(B48,{"AM","PM","NIGHT","WD"},0)-1-27+1,DAY(A48))&amp;"",""))</f>
        <v/>
      </c>
      <c r="G48" s="123">
        <f>IF(OR(A48="",C48="",B48="",E48=""),"",IFERROR(A48&amp;"|"&amp;(27+4*(IFERROR(MATCH(C48,Roster!$B$6:$B$65,0),MATCH(C48,Roster!$C$6:$C$65,0))-1)+MATCH(B48,{"AM","PM","NIGHT","WD"},0)-1),""))</f>
        <v/>
      </c>
    </row>
    <row r="49">
      <c r="A49" s="122" t="n"/>
      <c r="B49" s="107" t="n"/>
      <c r="C49" s="105" t="n"/>
      <c r="D49" s="92">
        <f>IF(C49="","",IFERROR(INDEX(Roster!$C$6:$C$65,IFERROR(MATCH(C49,Roster!$B$6:$B$65,0),MATCH(C49,Roster!$C$6:$C$65,0))),"not on the Roster"))</f>
        <v/>
      </c>
      <c r="E49" s="106" t="n"/>
      <c r="F49" s="104">
        <f>IF(OR(A49="",C49="",B49=""),"",IFERROR(INDEX(CHOOSE(IF(YEAR(A49)&gt;PlanYear,13,MONTH(A49)),'Jan'!$D$27:$AH$266,'Feb'!$D$27:$AH$266,'Mar'!$D$27:$AH$266,'Apr'!$D$27:$AH$266,'May'!$D$27:$AH$266,'Jun'!$D$27:$AH$266,'Jul'!$D$27:$AH$266,'Aug'!$D$27:$AH$266,'Sep'!$D$27:$AH$266,'Oct'!$D$27:$AH$266,'Nov'!$D$27:$AH$266,'Dec'!$D$27:$AH$266,'Jan (next year)'!$D$27:$AH$266),27+4*(IFERROR(MATCH(C49,Roster!$B$6:$B$65,0),MATCH(C49,Roster!$C$6:$C$65,0))-1)+MATCH(B49,{"AM","PM","NIGHT","WD"},0)-1-27+1,DAY(A49))&amp;"",""))</f>
        <v/>
      </c>
      <c r="G49" s="123">
        <f>IF(OR(A49="",C49="",B49="",E49=""),"",IFERROR(A49&amp;"|"&amp;(27+4*(IFERROR(MATCH(C49,Roster!$B$6:$B$65,0),MATCH(C49,Roster!$C$6:$C$65,0))-1)+MATCH(B49,{"AM","PM","NIGHT","WD"},0)-1),""))</f>
        <v/>
      </c>
    </row>
    <row r="50">
      <c r="A50" s="122" t="n"/>
      <c r="B50" s="107" t="n"/>
      <c r="C50" s="105" t="n"/>
      <c r="D50" s="92">
        <f>IF(C50="","",IFERROR(INDEX(Roster!$C$6:$C$65,IFERROR(MATCH(C50,Roster!$B$6:$B$65,0),MATCH(C50,Roster!$C$6:$C$65,0))),"not on the Roster"))</f>
        <v/>
      </c>
      <c r="E50" s="106" t="n"/>
      <c r="F50" s="104">
        <f>IF(OR(A50="",C50="",B50=""),"",IFERROR(INDEX(CHOOSE(IF(YEAR(A50)&gt;PlanYear,13,MONTH(A50)),'Jan'!$D$27:$AH$266,'Feb'!$D$27:$AH$266,'Mar'!$D$27:$AH$266,'Apr'!$D$27:$AH$266,'May'!$D$27:$AH$266,'Jun'!$D$27:$AH$266,'Jul'!$D$27:$AH$266,'Aug'!$D$27:$AH$266,'Sep'!$D$27:$AH$266,'Oct'!$D$27:$AH$266,'Nov'!$D$27:$AH$266,'Dec'!$D$27:$AH$266,'Jan (next year)'!$D$27:$AH$266),27+4*(IFERROR(MATCH(C50,Roster!$B$6:$B$65,0),MATCH(C50,Roster!$C$6:$C$65,0))-1)+MATCH(B50,{"AM","PM","NIGHT","WD"},0)-1-27+1,DAY(A50))&amp;"",""))</f>
        <v/>
      </c>
      <c r="G50" s="123">
        <f>IF(OR(A50="",C50="",B50="",E50=""),"",IFERROR(A50&amp;"|"&amp;(27+4*(IFERROR(MATCH(C50,Roster!$B$6:$B$65,0),MATCH(C50,Roster!$C$6:$C$65,0))-1)+MATCH(B50,{"AM","PM","NIGHT","WD"},0)-1),""))</f>
        <v/>
      </c>
    </row>
    <row r="51">
      <c r="A51" s="122" t="n"/>
      <c r="B51" s="107" t="n"/>
      <c r="C51" s="105" t="n"/>
      <c r="D51" s="92">
        <f>IF(C51="","",IFERROR(INDEX(Roster!$C$6:$C$65,IFERROR(MATCH(C51,Roster!$B$6:$B$65,0),MATCH(C51,Roster!$C$6:$C$65,0))),"not on the Roster"))</f>
        <v/>
      </c>
      <c r="E51" s="106" t="n"/>
      <c r="F51" s="104">
        <f>IF(OR(A51="",C51="",B51=""),"",IFERROR(INDEX(CHOOSE(IF(YEAR(A51)&gt;PlanYear,13,MONTH(A51)),'Jan'!$D$27:$AH$266,'Feb'!$D$27:$AH$266,'Mar'!$D$27:$AH$266,'Apr'!$D$27:$AH$266,'May'!$D$27:$AH$266,'Jun'!$D$27:$AH$266,'Jul'!$D$27:$AH$266,'Aug'!$D$27:$AH$266,'Sep'!$D$27:$AH$266,'Oct'!$D$27:$AH$266,'Nov'!$D$27:$AH$266,'Dec'!$D$27:$AH$266,'Jan (next year)'!$D$27:$AH$266),27+4*(IFERROR(MATCH(C51,Roster!$B$6:$B$65,0),MATCH(C51,Roster!$C$6:$C$65,0))-1)+MATCH(B51,{"AM","PM","NIGHT","WD"},0)-1-27+1,DAY(A51))&amp;"",""))</f>
        <v/>
      </c>
      <c r="G51" s="123">
        <f>IF(OR(A51="",C51="",B51="",E51=""),"",IFERROR(A51&amp;"|"&amp;(27+4*(IFERROR(MATCH(C51,Roster!$B$6:$B$65,0),MATCH(C51,Roster!$C$6:$C$65,0))-1)+MATCH(B51,{"AM","PM","NIGHT","WD"},0)-1),""))</f>
        <v/>
      </c>
    </row>
    <row r="52">
      <c r="A52" s="122" t="n"/>
      <c r="B52" s="107" t="n"/>
      <c r="C52" s="105" t="n"/>
      <c r="D52" s="92">
        <f>IF(C52="","",IFERROR(INDEX(Roster!$C$6:$C$65,IFERROR(MATCH(C52,Roster!$B$6:$B$65,0),MATCH(C52,Roster!$C$6:$C$65,0))),"not on the Roster"))</f>
        <v/>
      </c>
      <c r="E52" s="106" t="n"/>
      <c r="F52" s="104">
        <f>IF(OR(A52="",C52="",B52=""),"",IFERROR(INDEX(CHOOSE(IF(YEAR(A52)&gt;PlanYear,13,MONTH(A52)),'Jan'!$D$27:$AH$266,'Feb'!$D$27:$AH$266,'Mar'!$D$27:$AH$266,'Apr'!$D$27:$AH$266,'May'!$D$27:$AH$266,'Jun'!$D$27:$AH$266,'Jul'!$D$27:$AH$266,'Aug'!$D$27:$AH$266,'Sep'!$D$27:$AH$266,'Oct'!$D$27:$AH$266,'Nov'!$D$27:$AH$266,'Dec'!$D$27:$AH$266,'Jan (next year)'!$D$27:$AH$266),27+4*(IFERROR(MATCH(C52,Roster!$B$6:$B$65,0),MATCH(C52,Roster!$C$6:$C$65,0))-1)+MATCH(B52,{"AM","PM","NIGHT","WD"},0)-1-27+1,DAY(A52))&amp;"",""))</f>
        <v/>
      </c>
      <c r="G52" s="123">
        <f>IF(OR(A52="",C52="",B52="",E52=""),"",IFERROR(A52&amp;"|"&amp;(27+4*(IFERROR(MATCH(C52,Roster!$B$6:$B$65,0),MATCH(C52,Roster!$C$6:$C$65,0))-1)+MATCH(B52,{"AM","PM","NIGHT","WD"},0)-1),""))</f>
        <v/>
      </c>
    </row>
    <row r="53">
      <c r="A53" s="122" t="n"/>
      <c r="B53" s="107" t="n"/>
      <c r="C53" s="105" t="n"/>
      <c r="D53" s="92">
        <f>IF(C53="","",IFERROR(INDEX(Roster!$C$6:$C$65,IFERROR(MATCH(C53,Roster!$B$6:$B$65,0),MATCH(C53,Roster!$C$6:$C$65,0))),"not on the Roster"))</f>
        <v/>
      </c>
      <c r="E53" s="106" t="n"/>
      <c r="F53" s="104">
        <f>IF(OR(A53="",C53="",B53=""),"",IFERROR(INDEX(CHOOSE(IF(YEAR(A53)&gt;PlanYear,13,MONTH(A53)),'Jan'!$D$27:$AH$266,'Feb'!$D$27:$AH$266,'Mar'!$D$27:$AH$266,'Apr'!$D$27:$AH$266,'May'!$D$27:$AH$266,'Jun'!$D$27:$AH$266,'Jul'!$D$27:$AH$266,'Aug'!$D$27:$AH$266,'Sep'!$D$27:$AH$266,'Oct'!$D$27:$AH$266,'Nov'!$D$27:$AH$266,'Dec'!$D$27:$AH$266,'Jan (next year)'!$D$27:$AH$266),27+4*(IFERROR(MATCH(C53,Roster!$B$6:$B$65,0),MATCH(C53,Roster!$C$6:$C$65,0))-1)+MATCH(B53,{"AM","PM","NIGHT","WD"},0)-1-27+1,DAY(A53))&amp;"",""))</f>
        <v/>
      </c>
      <c r="G53" s="123">
        <f>IF(OR(A53="",C53="",B53="",E53=""),"",IFERROR(A53&amp;"|"&amp;(27+4*(IFERROR(MATCH(C53,Roster!$B$6:$B$65,0),MATCH(C53,Roster!$C$6:$C$65,0))-1)+MATCH(B53,{"AM","PM","NIGHT","WD"},0)-1),""))</f>
        <v/>
      </c>
    </row>
    <row r="54">
      <c r="A54" s="122" t="n"/>
      <c r="B54" s="107" t="n"/>
      <c r="C54" s="105" t="n"/>
      <c r="D54" s="92">
        <f>IF(C54="","",IFERROR(INDEX(Roster!$C$6:$C$65,IFERROR(MATCH(C54,Roster!$B$6:$B$65,0),MATCH(C54,Roster!$C$6:$C$65,0))),"not on the Roster"))</f>
        <v/>
      </c>
      <c r="E54" s="106" t="n"/>
      <c r="F54" s="104">
        <f>IF(OR(A54="",C54="",B54=""),"",IFERROR(INDEX(CHOOSE(IF(YEAR(A54)&gt;PlanYear,13,MONTH(A54)),'Jan'!$D$27:$AH$266,'Feb'!$D$27:$AH$266,'Mar'!$D$27:$AH$266,'Apr'!$D$27:$AH$266,'May'!$D$27:$AH$266,'Jun'!$D$27:$AH$266,'Jul'!$D$27:$AH$266,'Aug'!$D$27:$AH$266,'Sep'!$D$27:$AH$266,'Oct'!$D$27:$AH$266,'Nov'!$D$27:$AH$266,'Dec'!$D$27:$AH$266,'Jan (next year)'!$D$27:$AH$266),27+4*(IFERROR(MATCH(C54,Roster!$B$6:$B$65,0),MATCH(C54,Roster!$C$6:$C$65,0))-1)+MATCH(B54,{"AM","PM","NIGHT","WD"},0)-1-27+1,DAY(A54))&amp;"",""))</f>
        <v/>
      </c>
      <c r="G54" s="123">
        <f>IF(OR(A54="",C54="",B54="",E54=""),"",IFERROR(A54&amp;"|"&amp;(27+4*(IFERROR(MATCH(C54,Roster!$B$6:$B$65,0),MATCH(C54,Roster!$C$6:$C$65,0))-1)+MATCH(B54,{"AM","PM","NIGHT","WD"},0)-1),""))</f>
        <v/>
      </c>
    </row>
    <row r="55">
      <c r="A55" s="122" t="n"/>
      <c r="B55" s="107" t="n"/>
      <c r="C55" s="105" t="n"/>
      <c r="D55" s="92">
        <f>IF(C55="","",IFERROR(INDEX(Roster!$C$6:$C$65,IFERROR(MATCH(C55,Roster!$B$6:$B$65,0),MATCH(C55,Roster!$C$6:$C$65,0))),"not on the Roster"))</f>
        <v/>
      </c>
      <c r="E55" s="106" t="n"/>
      <c r="F55" s="104">
        <f>IF(OR(A55="",C55="",B55=""),"",IFERROR(INDEX(CHOOSE(IF(YEAR(A55)&gt;PlanYear,13,MONTH(A55)),'Jan'!$D$27:$AH$266,'Feb'!$D$27:$AH$266,'Mar'!$D$27:$AH$266,'Apr'!$D$27:$AH$266,'May'!$D$27:$AH$266,'Jun'!$D$27:$AH$266,'Jul'!$D$27:$AH$266,'Aug'!$D$27:$AH$266,'Sep'!$D$27:$AH$266,'Oct'!$D$27:$AH$266,'Nov'!$D$27:$AH$266,'Dec'!$D$27:$AH$266,'Jan (next year)'!$D$27:$AH$266),27+4*(IFERROR(MATCH(C55,Roster!$B$6:$B$65,0),MATCH(C55,Roster!$C$6:$C$65,0))-1)+MATCH(B55,{"AM","PM","NIGHT","WD"},0)-1-27+1,DAY(A55))&amp;"",""))</f>
        <v/>
      </c>
      <c r="G55" s="123">
        <f>IF(OR(A55="",C55="",B55="",E55=""),"",IFERROR(A55&amp;"|"&amp;(27+4*(IFERROR(MATCH(C55,Roster!$B$6:$B$65,0),MATCH(C55,Roster!$C$6:$C$65,0))-1)+MATCH(B55,{"AM","PM","NIGHT","WD"},0)-1),""))</f>
        <v/>
      </c>
    </row>
    <row r="56">
      <c r="A56" s="122" t="n"/>
      <c r="B56" s="107" t="n"/>
      <c r="C56" s="105" t="n"/>
      <c r="D56" s="92">
        <f>IF(C56="","",IFERROR(INDEX(Roster!$C$6:$C$65,IFERROR(MATCH(C56,Roster!$B$6:$B$65,0),MATCH(C56,Roster!$C$6:$C$65,0))),"not on the Roster"))</f>
        <v/>
      </c>
      <c r="E56" s="106" t="n"/>
      <c r="F56" s="104">
        <f>IF(OR(A56="",C56="",B56=""),"",IFERROR(INDEX(CHOOSE(IF(YEAR(A56)&gt;PlanYear,13,MONTH(A56)),'Jan'!$D$27:$AH$266,'Feb'!$D$27:$AH$266,'Mar'!$D$27:$AH$266,'Apr'!$D$27:$AH$266,'May'!$D$27:$AH$266,'Jun'!$D$27:$AH$266,'Jul'!$D$27:$AH$266,'Aug'!$D$27:$AH$266,'Sep'!$D$27:$AH$266,'Oct'!$D$27:$AH$266,'Nov'!$D$27:$AH$266,'Dec'!$D$27:$AH$266,'Jan (next year)'!$D$27:$AH$266),27+4*(IFERROR(MATCH(C56,Roster!$B$6:$B$65,0),MATCH(C56,Roster!$C$6:$C$65,0))-1)+MATCH(B56,{"AM","PM","NIGHT","WD"},0)-1-27+1,DAY(A56))&amp;"",""))</f>
        <v/>
      </c>
      <c r="G56" s="123">
        <f>IF(OR(A56="",C56="",B56="",E56=""),"",IFERROR(A56&amp;"|"&amp;(27+4*(IFERROR(MATCH(C56,Roster!$B$6:$B$65,0),MATCH(C56,Roster!$C$6:$C$65,0))-1)+MATCH(B56,{"AM","PM","NIGHT","WD"},0)-1),""))</f>
        <v/>
      </c>
    </row>
    <row r="57">
      <c r="A57" s="122" t="n"/>
      <c r="B57" s="107" t="n"/>
      <c r="C57" s="105" t="n"/>
      <c r="D57" s="92">
        <f>IF(C57="","",IFERROR(INDEX(Roster!$C$6:$C$65,IFERROR(MATCH(C57,Roster!$B$6:$B$65,0),MATCH(C57,Roster!$C$6:$C$65,0))),"not on the Roster"))</f>
        <v/>
      </c>
      <c r="E57" s="106" t="n"/>
      <c r="F57" s="104">
        <f>IF(OR(A57="",C57="",B57=""),"",IFERROR(INDEX(CHOOSE(IF(YEAR(A57)&gt;PlanYear,13,MONTH(A57)),'Jan'!$D$27:$AH$266,'Feb'!$D$27:$AH$266,'Mar'!$D$27:$AH$266,'Apr'!$D$27:$AH$266,'May'!$D$27:$AH$266,'Jun'!$D$27:$AH$266,'Jul'!$D$27:$AH$266,'Aug'!$D$27:$AH$266,'Sep'!$D$27:$AH$266,'Oct'!$D$27:$AH$266,'Nov'!$D$27:$AH$266,'Dec'!$D$27:$AH$266,'Jan (next year)'!$D$27:$AH$266),27+4*(IFERROR(MATCH(C57,Roster!$B$6:$B$65,0),MATCH(C57,Roster!$C$6:$C$65,0))-1)+MATCH(B57,{"AM","PM","NIGHT","WD"},0)-1-27+1,DAY(A57))&amp;"",""))</f>
        <v/>
      </c>
      <c r="G57" s="123">
        <f>IF(OR(A57="",C57="",B57="",E57=""),"",IFERROR(A57&amp;"|"&amp;(27+4*(IFERROR(MATCH(C57,Roster!$B$6:$B$65,0),MATCH(C57,Roster!$C$6:$C$65,0))-1)+MATCH(B57,{"AM","PM","NIGHT","WD"},0)-1),""))</f>
        <v/>
      </c>
    </row>
    <row r="58">
      <c r="A58" s="122" t="n"/>
      <c r="B58" s="107" t="n"/>
      <c r="C58" s="105" t="n"/>
      <c r="D58" s="92">
        <f>IF(C58="","",IFERROR(INDEX(Roster!$C$6:$C$65,IFERROR(MATCH(C58,Roster!$B$6:$B$65,0),MATCH(C58,Roster!$C$6:$C$65,0))),"not on the Roster"))</f>
        <v/>
      </c>
      <c r="E58" s="106" t="n"/>
      <c r="F58" s="104">
        <f>IF(OR(A58="",C58="",B58=""),"",IFERROR(INDEX(CHOOSE(IF(YEAR(A58)&gt;PlanYear,13,MONTH(A58)),'Jan'!$D$27:$AH$266,'Feb'!$D$27:$AH$266,'Mar'!$D$27:$AH$266,'Apr'!$D$27:$AH$266,'May'!$D$27:$AH$266,'Jun'!$D$27:$AH$266,'Jul'!$D$27:$AH$266,'Aug'!$D$27:$AH$266,'Sep'!$D$27:$AH$266,'Oct'!$D$27:$AH$266,'Nov'!$D$27:$AH$266,'Dec'!$D$27:$AH$266,'Jan (next year)'!$D$27:$AH$266),27+4*(IFERROR(MATCH(C58,Roster!$B$6:$B$65,0),MATCH(C58,Roster!$C$6:$C$65,0))-1)+MATCH(B58,{"AM","PM","NIGHT","WD"},0)-1-27+1,DAY(A58))&amp;"",""))</f>
        <v/>
      </c>
      <c r="G58" s="123">
        <f>IF(OR(A58="",C58="",B58="",E58=""),"",IFERROR(A58&amp;"|"&amp;(27+4*(IFERROR(MATCH(C58,Roster!$B$6:$B$65,0),MATCH(C58,Roster!$C$6:$C$65,0))-1)+MATCH(B58,{"AM","PM","NIGHT","WD"},0)-1),""))</f>
        <v/>
      </c>
    </row>
    <row r="59">
      <c r="A59" s="122" t="n"/>
      <c r="B59" s="107" t="n"/>
      <c r="C59" s="105" t="n"/>
      <c r="D59" s="92">
        <f>IF(C59="","",IFERROR(INDEX(Roster!$C$6:$C$65,IFERROR(MATCH(C59,Roster!$B$6:$B$65,0),MATCH(C59,Roster!$C$6:$C$65,0))),"not on the Roster"))</f>
        <v/>
      </c>
      <c r="E59" s="106" t="n"/>
      <c r="F59" s="104">
        <f>IF(OR(A59="",C59="",B59=""),"",IFERROR(INDEX(CHOOSE(IF(YEAR(A59)&gt;PlanYear,13,MONTH(A59)),'Jan'!$D$27:$AH$266,'Feb'!$D$27:$AH$266,'Mar'!$D$27:$AH$266,'Apr'!$D$27:$AH$266,'May'!$D$27:$AH$266,'Jun'!$D$27:$AH$266,'Jul'!$D$27:$AH$266,'Aug'!$D$27:$AH$266,'Sep'!$D$27:$AH$266,'Oct'!$D$27:$AH$266,'Nov'!$D$27:$AH$266,'Dec'!$D$27:$AH$266,'Jan (next year)'!$D$27:$AH$266),27+4*(IFERROR(MATCH(C59,Roster!$B$6:$B$65,0),MATCH(C59,Roster!$C$6:$C$65,0))-1)+MATCH(B59,{"AM","PM","NIGHT","WD"},0)-1-27+1,DAY(A59))&amp;"",""))</f>
        <v/>
      </c>
      <c r="G59" s="123">
        <f>IF(OR(A59="",C59="",B59="",E59=""),"",IFERROR(A59&amp;"|"&amp;(27+4*(IFERROR(MATCH(C59,Roster!$B$6:$B$65,0),MATCH(C59,Roster!$C$6:$C$65,0))-1)+MATCH(B59,{"AM","PM","NIGHT","WD"},0)-1),""))</f>
        <v/>
      </c>
    </row>
    <row r="60">
      <c r="A60" s="122" t="n"/>
      <c r="B60" s="107" t="n"/>
      <c r="C60" s="105" t="n"/>
      <c r="D60" s="92">
        <f>IF(C60="","",IFERROR(INDEX(Roster!$C$6:$C$65,IFERROR(MATCH(C60,Roster!$B$6:$B$65,0),MATCH(C60,Roster!$C$6:$C$65,0))),"not on the Roster"))</f>
        <v/>
      </c>
      <c r="E60" s="106" t="n"/>
      <c r="F60" s="104">
        <f>IF(OR(A60="",C60="",B60=""),"",IFERROR(INDEX(CHOOSE(IF(YEAR(A60)&gt;PlanYear,13,MONTH(A60)),'Jan'!$D$27:$AH$266,'Feb'!$D$27:$AH$266,'Mar'!$D$27:$AH$266,'Apr'!$D$27:$AH$266,'May'!$D$27:$AH$266,'Jun'!$D$27:$AH$266,'Jul'!$D$27:$AH$266,'Aug'!$D$27:$AH$266,'Sep'!$D$27:$AH$266,'Oct'!$D$27:$AH$266,'Nov'!$D$27:$AH$266,'Dec'!$D$27:$AH$266,'Jan (next year)'!$D$27:$AH$266),27+4*(IFERROR(MATCH(C60,Roster!$B$6:$B$65,0),MATCH(C60,Roster!$C$6:$C$65,0))-1)+MATCH(B60,{"AM","PM","NIGHT","WD"},0)-1-27+1,DAY(A60))&amp;"",""))</f>
        <v/>
      </c>
      <c r="G60" s="123">
        <f>IF(OR(A60="",C60="",B60="",E60=""),"",IFERROR(A60&amp;"|"&amp;(27+4*(IFERROR(MATCH(C60,Roster!$B$6:$B$65,0),MATCH(C60,Roster!$C$6:$C$65,0))-1)+MATCH(B60,{"AM","PM","NIGHT","WD"},0)-1),""))</f>
        <v/>
      </c>
    </row>
    <row r="61">
      <c r="A61" s="122" t="n"/>
      <c r="B61" s="107" t="n"/>
      <c r="C61" s="105" t="n"/>
      <c r="D61" s="92">
        <f>IF(C61="","",IFERROR(INDEX(Roster!$C$6:$C$65,IFERROR(MATCH(C61,Roster!$B$6:$B$65,0),MATCH(C61,Roster!$C$6:$C$65,0))),"not on the Roster"))</f>
        <v/>
      </c>
      <c r="E61" s="106" t="n"/>
      <c r="F61" s="104">
        <f>IF(OR(A61="",C61="",B61=""),"",IFERROR(INDEX(CHOOSE(IF(YEAR(A61)&gt;PlanYear,13,MONTH(A61)),'Jan'!$D$27:$AH$266,'Feb'!$D$27:$AH$266,'Mar'!$D$27:$AH$266,'Apr'!$D$27:$AH$266,'May'!$D$27:$AH$266,'Jun'!$D$27:$AH$266,'Jul'!$D$27:$AH$266,'Aug'!$D$27:$AH$266,'Sep'!$D$27:$AH$266,'Oct'!$D$27:$AH$266,'Nov'!$D$27:$AH$266,'Dec'!$D$27:$AH$266,'Jan (next year)'!$D$27:$AH$266),27+4*(IFERROR(MATCH(C61,Roster!$B$6:$B$65,0),MATCH(C61,Roster!$C$6:$C$65,0))-1)+MATCH(B61,{"AM","PM","NIGHT","WD"},0)-1-27+1,DAY(A61))&amp;"",""))</f>
        <v/>
      </c>
      <c r="G61" s="123">
        <f>IF(OR(A61="",C61="",B61="",E61=""),"",IFERROR(A61&amp;"|"&amp;(27+4*(IFERROR(MATCH(C61,Roster!$B$6:$B$65,0),MATCH(C61,Roster!$C$6:$C$65,0))-1)+MATCH(B61,{"AM","PM","NIGHT","WD"},0)-1),""))</f>
        <v/>
      </c>
    </row>
    <row r="62">
      <c r="A62" s="122" t="n"/>
      <c r="B62" s="107" t="n"/>
      <c r="C62" s="105" t="n"/>
      <c r="D62" s="92">
        <f>IF(C62="","",IFERROR(INDEX(Roster!$C$6:$C$65,IFERROR(MATCH(C62,Roster!$B$6:$B$65,0),MATCH(C62,Roster!$C$6:$C$65,0))),"not on the Roster"))</f>
        <v/>
      </c>
      <c r="E62" s="106" t="n"/>
      <c r="F62" s="104">
        <f>IF(OR(A62="",C62="",B62=""),"",IFERROR(INDEX(CHOOSE(IF(YEAR(A62)&gt;PlanYear,13,MONTH(A62)),'Jan'!$D$27:$AH$266,'Feb'!$D$27:$AH$266,'Mar'!$D$27:$AH$266,'Apr'!$D$27:$AH$266,'May'!$D$27:$AH$266,'Jun'!$D$27:$AH$266,'Jul'!$D$27:$AH$266,'Aug'!$D$27:$AH$266,'Sep'!$D$27:$AH$266,'Oct'!$D$27:$AH$266,'Nov'!$D$27:$AH$266,'Dec'!$D$27:$AH$266,'Jan (next year)'!$D$27:$AH$266),27+4*(IFERROR(MATCH(C62,Roster!$B$6:$B$65,0),MATCH(C62,Roster!$C$6:$C$65,0))-1)+MATCH(B62,{"AM","PM","NIGHT","WD"},0)-1-27+1,DAY(A62))&amp;"",""))</f>
        <v/>
      </c>
      <c r="G62" s="123">
        <f>IF(OR(A62="",C62="",B62="",E62=""),"",IFERROR(A62&amp;"|"&amp;(27+4*(IFERROR(MATCH(C62,Roster!$B$6:$B$65,0),MATCH(C62,Roster!$C$6:$C$65,0))-1)+MATCH(B62,{"AM","PM","NIGHT","WD"},0)-1),""))</f>
        <v/>
      </c>
    </row>
    <row r="63">
      <c r="A63" s="122" t="n"/>
      <c r="B63" s="107" t="n"/>
      <c r="C63" s="105" t="n"/>
      <c r="D63" s="92">
        <f>IF(C63="","",IFERROR(INDEX(Roster!$C$6:$C$65,IFERROR(MATCH(C63,Roster!$B$6:$B$65,0),MATCH(C63,Roster!$C$6:$C$65,0))),"not on the Roster"))</f>
        <v/>
      </c>
      <c r="E63" s="106" t="n"/>
      <c r="F63" s="104">
        <f>IF(OR(A63="",C63="",B63=""),"",IFERROR(INDEX(CHOOSE(IF(YEAR(A63)&gt;PlanYear,13,MONTH(A63)),'Jan'!$D$27:$AH$266,'Feb'!$D$27:$AH$266,'Mar'!$D$27:$AH$266,'Apr'!$D$27:$AH$266,'May'!$D$27:$AH$266,'Jun'!$D$27:$AH$266,'Jul'!$D$27:$AH$266,'Aug'!$D$27:$AH$266,'Sep'!$D$27:$AH$266,'Oct'!$D$27:$AH$266,'Nov'!$D$27:$AH$266,'Dec'!$D$27:$AH$266,'Jan (next year)'!$D$27:$AH$266),27+4*(IFERROR(MATCH(C63,Roster!$B$6:$B$65,0),MATCH(C63,Roster!$C$6:$C$65,0))-1)+MATCH(B63,{"AM","PM","NIGHT","WD"},0)-1-27+1,DAY(A63))&amp;"",""))</f>
        <v/>
      </c>
      <c r="G63" s="123">
        <f>IF(OR(A63="",C63="",B63="",E63=""),"",IFERROR(A63&amp;"|"&amp;(27+4*(IFERROR(MATCH(C63,Roster!$B$6:$B$65,0),MATCH(C63,Roster!$C$6:$C$65,0))-1)+MATCH(B63,{"AM","PM","NIGHT","WD"},0)-1),""))</f>
        <v/>
      </c>
    </row>
    <row r="64">
      <c r="A64" s="122" t="n"/>
      <c r="B64" s="107" t="n"/>
      <c r="C64" s="105" t="n"/>
      <c r="D64" s="92">
        <f>IF(C64="","",IFERROR(INDEX(Roster!$C$6:$C$65,IFERROR(MATCH(C64,Roster!$B$6:$B$65,0),MATCH(C64,Roster!$C$6:$C$65,0))),"not on the Roster"))</f>
        <v/>
      </c>
      <c r="E64" s="106" t="n"/>
      <c r="F64" s="104">
        <f>IF(OR(A64="",C64="",B64=""),"",IFERROR(INDEX(CHOOSE(IF(YEAR(A64)&gt;PlanYear,13,MONTH(A64)),'Jan'!$D$27:$AH$266,'Feb'!$D$27:$AH$266,'Mar'!$D$27:$AH$266,'Apr'!$D$27:$AH$266,'May'!$D$27:$AH$266,'Jun'!$D$27:$AH$266,'Jul'!$D$27:$AH$266,'Aug'!$D$27:$AH$266,'Sep'!$D$27:$AH$266,'Oct'!$D$27:$AH$266,'Nov'!$D$27:$AH$266,'Dec'!$D$27:$AH$266,'Jan (next year)'!$D$27:$AH$266),27+4*(IFERROR(MATCH(C64,Roster!$B$6:$B$65,0),MATCH(C64,Roster!$C$6:$C$65,0))-1)+MATCH(B64,{"AM","PM","NIGHT","WD"},0)-1-27+1,DAY(A64))&amp;"",""))</f>
        <v/>
      </c>
      <c r="G64" s="123">
        <f>IF(OR(A64="",C64="",B64="",E64=""),"",IFERROR(A64&amp;"|"&amp;(27+4*(IFERROR(MATCH(C64,Roster!$B$6:$B$65,0),MATCH(C64,Roster!$C$6:$C$65,0))-1)+MATCH(B64,{"AM","PM","NIGHT","WD"},0)-1),""))</f>
        <v/>
      </c>
    </row>
    <row r="65">
      <c r="A65" s="122" t="n"/>
      <c r="B65" s="107" t="n"/>
      <c r="C65" s="105" t="n"/>
      <c r="D65" s="92">
        <f>IF(C65="","",IFERROR(INDEX(Roster!$C$6:$C$65,IFERROR(MATCH(C65,Roster!$B$6:$B$65,0),MATCH(C65,Roster!$C$6:$C$65,0))),"not on the Roster"))</f>
        <v/>
      </c>
      <c r="E65" s="106" t="n"/>
      <c r="F65" s="104">
        <f>IF(OR(A65="",C65="",B65=""),"",IFERROR(INDEX(CHOOSE(IF(YEAR(A65)&gt;PlanYear,13,MONTH(A65)),'Jan'!$D$27:$AH$266,'Feb'!$D$27:$AH$266,'Mar'!$D$27:$AH$266,'Apr'!$D$27:$AH$266,'May'!$D$27:$AH$266,'Jun'!$D$27:$AH$266,'Jul'!$D$27:$AH$266,'Aug'!$D$27:$AH$266,'Sep'!$D$27:$AH$266,'Oct'!$D$27:$AH$266,'Nov'!$D$27:$AH$266,'Dec'!$D$27:$AH$266,'Jan (next year)'!$D$27:$AH$266),27+4*(IFERROR(MATCH(C65,Roster!$B$6:$B$65,0),MATCH(C65,Roster!$C$6:$C$65,0))-1)+MATCH(B65,{"AM","PM","NIGHT","WD"},0)-1-27+1,DAY(A65))&amp;"",""))</f>
        <v/>
      </c>
      <c r="G65" s="123">
        <f>IF(OR(A65="",C65="",B65="",E65=""),"",IFERROR(A65&amp;"|"&amp;(27+4*(IFERROR(MATCH(C65,Roster!$B$6:$B$65,0),MATCH(C65,Roster!$C$6:$C$65,0))-1)+MATCH(B65,{"AM","PM","NIGHT","WD"},0)-1),""))</f>
        <v/>
      </c>
    </row>
    <row r="66">
      <c r="A66" s="122" t="n"/>
      <c r="B66" s="107" t="n"/>
      <c r="C66" s="105" t="n"/>
      <c r="D66" s="92">
        <f>IF(C66="","",IFERROR(INDEX(Roster!$C$6:$C$65,IFERROR(MATCH(C66,Roster!$B$6:$B$65,0),MATCH(C66,Roster!$C$6:$C$65,0))),"not on the Roster"))</f>
        <v/>
      </c>
      <c r="E66" s="106" t="n"/>
      <c r="F66" s="104">
        <f>IF(OR(A66="",C66="",B66=""),"",IFERROR(INDEX(CHOOSE(IF(YEAR(A66)&gt;PlanYear,13,MONTH(A66)),'Jan'!$D$27:$AH$266,'Feb'!$D$27:$AH$266,'Mar'!$D$27:$AH$266,'Apr'!$D$27:$AH$266,'May'!$D$27:$AH$266,'Jun'!$D$27:$AH$266,'Jul'!$D$27:$AH$266,'Aug'!$D$27:$AH$266,'Sep'!$D$27:$AH$266,'Oct'!$D$27:$AH$266,'Nov'!$D$27:$AH$266,'Dec'!$D$27:$AH$266,'Jan (next year)'!$D$27:$AH$266),27+4*(IFERROR(MATCH(C66,Roster!$B$6:$B$65,0),MATCH(C66,Roster!$C$6:$C$65,0))-1)+MATCH(B66,{"AM","PM","NIGHT","WD"},0)-1-27+1,DAY(A66))&amp;"",""))</f>
        <v/>
      </c>
      <c r="G66" s="123">
        <f>IF(OR(A66="",C66="",B66="",E66=""),"",IFERROR(A66&amp;"|"&amp;(27+4*(IFERROR(MATCH(C66,Roster!$B$6:$B$65,0),MATCH(C66,Roster!$C$6:$C$65,0))-1)+MATCH(B66,{"AM","PM","NIGHT","WD"},0)-1),""))</f>
        <v/>
      </c>
    </row>
    <row r="67">
      <c r="A67" s="122" t="n"/>
      <c r="B67" s="107" t="n"/>
      <c r="C67" s="105" t="n"/>
      <c r="D67" s="92">
        <f>IF(C67="","",IFERROR(INDEX(Roster!$C$6:$C$65,IFERROR(MATCH(C67,Roster!$B$6:$B$65,0),MATCH(C67,Roster!$C$6:$C$65,0))),"not on the Roster"))</f>
        <v/>
      </c>
      <c r="E67" s="106" t="n"/>
      <c r="F67" s="104">
        <f>IF(OR(A67="",C67="",B67=""),"",IFERROR(INDEX(CHOOSE(IF(YEAR(A67)&gt;PlanYear,13,MONTH(A67)),'Jan'!$D$27:$AH$266,'Feb'!$D$27:$AH$266,'Mar'!$D$27:$AH$266,'Apr'!$D$27:$AH$266,'May'!$D$27:$AH$266,'Jun'!$D$27:$AH$266,'Jul'!$D$27:$AH$266,'Aug'!$D$27:$AH$266,'Sep'!$D$27:$AH$266,'Oct'!$D$27:$AH$266,'Nov'!$D$27:$AH$266,'Dec'!$D$27:$AH$266,'Jan (next year)'!$D$27:$AH$266),27+4*(IFERROR(MATCH(C67,Roster!$B$6:$B$65,0),MATCH(C67,Roster!$C$6:$C$65,0))-1)+MATCH(B67,{"AM","PM","NIGHT","WD"},0)-1-27+1,DAY(A67))&amp;"",""))</f>
        <v/>
      </c>
      <c r="G67" s="123">
        <f>IF(OR(A67="",C67="",B67="",E67=""),"",IFERROR(A67&amp;"|"&amp;(27+4*(IFERROR(MATCH(C67,Roster!$B$6:$B$65,0),MATCH(C67,Roster!$C$6:$C$65,0))-1)+MATCH(B67,{"AM","PM","NIGHT","WD"},0)-1),""))</f>
        <v/>
      </c>
    </row>
    <row r="68">
      <c r="A68" s="122" t="n"/>
      <c r="B68" s="107" t="n"/>
      <c r="C68" s="105" t="n"/>
      <c r="D68" s="92">
        <f>IF(C68="","",IFERROR(INDEX(Roster!$C$6:$C$65,IFERROR(MATCH(C68,Roster!$B$6:$B$65,0),MATCH(C68,Roster!$C$6:$C$65,0))),"not on the Roster"))</f>
        <v/>
      </c>
      <c r="E68" s="106" t="n"/>
      <c r="F68" s="104">
        <f>IF(OR(A68="",C68="",B68=""),"",IFERROR(INDEX(CHOOSE(IF(YEAR(A68)&gt;PlanYear,13,MONTH(A68)),'Jan'!$D$27:$AH$266,'Feb'!$D$27:$AH$266,'Mar'!$D$27:$AH$266,'Apr'!$D$27:$AH$266,'May'!$D$27:$AH$266,'Jun'!$D$27:$AH$266,'Jul'!$D$27:$AH$266,'Aug'!$D$27:$AH$266,'Sep'!$D$27:$AH$266,'Oct'!$D$27:$AH$266,'Nov'!$D$27:$AH$266,'Dec'!$D$27:$AH$266,'Jan (next year)'!$D$27:$AH$266),27+4*(IFERROR(MATCH(C68,Roster!$B$6:$B$65,0),MATCH(C68,Roster!$C$6:$C$65,0))-1)+MATCH(B68,{"AM","PM","NIGHT","WD"},0)-1-27+1,DAY(A68))&amp;"",""))</f>
        <v/>
      </c>
      <c r="G68" s="123">
        <f>IF(OR(A68="",C68="",B68="",E68=""),"",IFERROR(A68&amp;"|"&amp;(27+4*(IFERROR(MATCH(C68,Roster!$B$6:$B$65,0),MATCH(C68,Roster!$C$6:$C$65,0))-1)+MATCH(B68,{"AM","PM","NIGHT","WD"},0)-1),""))</f>
        <v/>
      </c>
    </row>
    <row r="69">
      <c r="A69" s="122" t="n"/>
      <c r="B69" s="107" t="n"/>
      <c r="C69" s="105" t="n"/>
      <c r="D69" s="92">
        <f>IF(C69="","",IFERROR(INDEX(Roster!$C$6:$C$65,IFERROR(MATCH(C69,Roster!$B$6:$B$65,0),MATCH(C69,Roster!$C$6:$C$65,0))),"not on the Roster"))</f>
        <v/>
      </c>
      <c r="E69" s="106" t="n"/>
      <c r="F69" s="104">
        <f>IF(OR(A69="",C69="",B69=""),"",IFERROR(INDEX(CHOOSE(IF(YEAR(A69)&gt;PlanYear,13,MONTH(A69)),'Jan'!$D$27:$AH$266,'Feb'!$D$27:$AH$266,'Mar'!$D$27:$AH$266,'Apr'!$D$27:$AH$266,'May'!$D$27:$AH$266,'Jun'!$D$27:$AH$266,'Jul'!$D$27:$AH$266,'Aug'!$D$27:$AH$266,'Sep'!$D$27:$AH$266,'Oct'!$D$27:$AH$266,'Nov'!$D$27:$AH$266,'Dec'!$D$27:$AH$266,'Jan (next year)'!$D$27:$AH$266),27+4*(IFERROR(MATCH(C69,Roster!$B$6:$B$65,0),MATCH(C69,Roster!$C$6:$C$65,0))-1)+MATCH(B69,{"AM","PM","NIGHT","WD"},0)-1-27+1,DAY(A69))&amp;"",""))</f>
        <v/>
      </c>
      <c r="G69" s="123">
        <f>IF(OR(A69="",C69="",B69="",E69=""),"",IFERROR(A69&amp;"|"&amp;(27+4*(IFERROR(MATCH(C69,Roster!$B$6:$B$65,0),MATCH(C69,Roster!$C$6:$C$65,0))-1)+MATCH(B69,{"AM","PM","NIGHT","WD"},0)-1),""))</f>
        <v/>
      </c>
    </row>
    <row r="70">
      <c r="A70" s="122" t="n"/>
      <c r="B70" s="107" t="n"/>
      <c r="C70" s="105" t="n"/>
      <c r="D70" s="92">
        <f>IF(C70="","",IFERROR(INDEX(Roster!$C$6:$C$65,IFERROR(MATCH(C70,Roster!$B$6:$B$65,0),MATCH(C70,Roster!$C$6:$C$65,0))),"not on the Roster"))</f>
        <v/>
      </c>
      <c r="E70" s="106" t="n"/>
      <c r="F70" s="104">
        <f>IF(OR(A70="",C70="",B70=""),"",IFERROR(INDEX(CHOOSE(IF(YEAR(A70)&gt;PlanYear,13,MONTH(A70)),'Jan'!$D$27:$AH$266,'Feb'!$D$27:$AH$266,'Mar'!$D$27:$AH$266,'Apr'!$D$27:$AH$266,'May'!$D$27:$AH$266,'Jun'!$D$27:$AH$266,'Jul'!$D$27:$AH$266,'Aug'!$D$27:$AH$266,'Sep'!$D$27:$AH$266,'Oct'!$D$27:$AH$266,'Nov'!$D$27:$AH$266,'Dec'!$D$27:$AH$266,'Jan (next year)'!$D$27:$AH$266),27+4*(IFERROR(MATCH(C70,Roster!$B$6:$B$65,0),MATCH(C70,Roster!$C$6:$C$65,0))-1)+MATCH(B70,{"AM","PM","NIGHT","WD"},0)-1-27+1,DAY(A70))&amp;"",""))</f>
        <v/>
      </c>
      <c r="G70" s="123">
        <f>IF(OR(A70="",C70="",B70="",E70=""),"",IFERROR(A70&amp;"|"&amp;(27+4*(IFERROR(MATCH(C70,Roster!$B$6:$B$65,0),MATCH(C70,Roster!$C$6:$C$65,0))-1)+MATCH(B70,{"AM","PM","NIGHT","WD"},0)-1),""))</f>
        <v/>
      </c>
    </row>
    <row r="71">
      <c r="A71" s="122" t="n"/>
      <c r="B71" s="107" t="n"/>
      <c r="C71" s="105" t="n"/>
      <c r="D71" s="92">
        <f>IF(C71="","",IFERROR(INDEX(Roster!$C$6:$C$65,IFERROR(MATCH(C71,Roster!$B$6:$B$65,0),MATCH(C71,Roster!$C$6:$C$65,0))),"not on the Roster"))</f>
        <v/>
      </c>
      <c r="E71" s="106" t="n"/>
      <c r="F71" s="104">
        <f>IF(OR(A71="",C71="",B71=""),"",IFERROR(INDEX(CHOOSE(IF(YEAR(A71)&gt;PlanYear,13,MONTH(A71)),'Jan'!$D$27:$AH$266,'Feb'!$D$27:$AH$266,'Mar'!$D$27:$AH$266,'Apr'!$D$27:$AH$266,'May'!$D$27:$AH$266,'Jun'!$D$27:$AH$266,'Jul'!$D$27:$AH$266,'Aug'!$D$27:$AH$266,'Sep'!$D$27:$AH$266,'Oct'!$D$27:$AH$266,'Nov'!$D$27:$AH$266,'Dec'!$D$27:$AH$266,'Jan (next year)'!$D$27:$AH$266),27+4*(IFERROR(MATCH(C71,Roster!$B$6:$B$65,0),MATCH(C71,Roster!$C$6:$C$65,0))-1)+MATCH(B71,{"AM","PM","NIGHT","WD"},0)-1-27+1,DAY(A71))&amp;"",""))</f>
        <v/>
      </c>
      <c r="G71" s="123">
        <f>IF(OR(A71="",C71="",B71="",E71=""),"",IFERROR(A71&amp;"|"&amp;(27+4*(IFERROR(MATCH(C71,Roster!$B$6:$B$65,0),MATCH(C71,Roster!$C$6:$C$65,0))-1)+MATCH(B71,{"AM","PM","NIGHT","WD"},0)-1),""))</f>
        <v/>
      </c>
    </row>
    <row r="72">
      <c r="A72" s="122" t="n"/>
      <c r="B72" s="107" t="n"/>
      <c r="C72" s="105" t="n"/>
      <c r="D72" s="92">
        <f>IF(C72="","",IFERROR(INDEX(Roster!$C$6:$C$65,IFERROR(MATCH(C72,Roster!$B$6:$B$65,0),MATCH(C72,Roster!$C$6:$C$65,0))),"not on the Roster"))</f>
        <v/>
      </c>
      <c r="E72" s="106" t="n"/>
      <c r="F72" s="104">
        <f>IF(OR(A72="",C72="",B72=""),"",IFERROR(INDEX(CHOOSE(IF(YEAR(A72)&gt;PlanYear,13,MONTH(A72)),'Jan'!$D$27:$AH$266,'Feb'!$D$27:$AH$266,'Mar'!$D$27:$AH$266,'Apr'!$D$27:$AH$266,'May'!$D$27:$AH$266,'Jun'!$D$27:$AH$266,'Jul'!$D$27:$AH$266,'Aug'!$D$27:$AH$266,'Sep'!$D$27:$AH$266,'Oct'!$D$27:$AH$266,'Nov'!$D$27:$AH$266,'Dec'!$D$27:$AH$266,'Jan (next year)'!$D$27:$AH$266),27+4*(IFERROR(MATCH(C72,Roster!$B$6:$B$65,0),MATCH(C72,Roster!$C$6:$C$65,0))-1)+MATCH(B72,{"AM","PM","NIGHT","WD"},0)-1-27+1,DAY(A72))&amp;"",""))</f>
        <v/>
      </c>
      <c r="G72" s="123">
        <f>IF(OR(A72="",C72="",B72="",E72=""),"",IFERROR(A72&amp;"|"&amp;(27+4*(IFERROR(MATCH(C72,Roster!$B$6:$B$65,0),MATCH(C72,Roster!$C$6:$C$65,0))-1)+MATCH(B72,{"AM","PM","NIGHT","WD"},0)-1),""))</f>
        <v/>
      </c>
    </row>
    <row r="73">
      <c r="A73" s="122" t="n"/>
      <c r="B73" s="107" t="n"/>
      <c r="C73" s="105" t="n"/>
      <c r="D73" s="92">
        <f>IF(C73="","",IFERROR(INDEX(Roster!$C$6:$C$65,IFERROR(MATCH(C73,Roster!$B$6:$B$65,0),MATCH(C73,Roster!$C$6:$C$65,0))),"not on the Roster"))</f>
        <v/>
      </c>
      <c r="E73" s="106" t="n"/>
      <c r="F73" s="104">
        <f>IF(OR(A73="",C73="",B73=""),"",IFERROR(INDEX(CHOOSE(IF(YEAR(A73)&gt;PlanYear,13,MONTH(A73)),'Jan'!$D$27:$AH$266,'Feb'!$D$27:$AH$266,'Mar'!$D$27:$AH$266,'Apr'!$D$27:$AH$266,'May'!$D$27:$AH$266,'Jun'!$D$27:$AH$266,'Jul'!$D$27:$AH$266,'Aug'!$D$27:$AH$266,'Sep'!$D$27:$AH$266,'Oct'!$D$27:$AH$266,'Nov'!$D$27:$AH$266,'Dec'!$D$27:$AH$266,'Jan (next year)'!$D$27:$AH$266),27+4*(IFERROR(MATCH(C73,Roster!$B$6:$B$65,0),MATCH(C73,Roster!$C$6:$C$65,0))-1)+MATCH(B73,{"AM","PM","NIGHT","WD"},0)-1-27+1,DAY(A73))&amp;"",""))</f>
        <v/>
      </c>
      <c r="G73" s="123">
        <f>IF(OR(A73="",C73="",B73="",E73=""),"",IFERROR(A73&amp;"|"&amp;(27+4*(IFERROR(MATCH(C73,Roster!$B$6:$B$65,0),MATCH(C73,Roster!$C$6:$C$65,0))-1)+MATCH(B73,{"AM","PM","NIGHT","WD"},0)-1),""))</f>
        <v/>
      </c>
    </row>
    <row r="74">
      <c r="A74" s="122" t="n"/>
      <c r="B74" s="107" t="n"/>
      <c r="C74" s="105" t="n"/>
      <c r="D74" s="92">
        <f>IF(C74="","",IFERROR(INDEX(Roster!$C$6:$C$65,IFERROR(MATCH(C74,Roster!$B$6:$B$65,0),MATCH(C74,Roster!$C$6:$C$65,0))),"not on the Roster"))</f>
        <v/>
      </c>
      <c r="E74" s="106" t="n"/>
      <c r="F74" s="104">
        <f>IF(OR(A74="",C74="",B74=""),"",IFERROR(INDEX(CHOOSE(IF(YEAR(A74)&gt;PlanYear,13,MONTH(A74)),'Jan'!$D$27:$AH$266,'Feb'!$D$27:$AH$266,'Mar'!$D$27:$AH$266,'Apr'!$D$27:$AH$266,'May'!$D$27:$AH$266,'Jun'!$D$27:$AH$266,'Jul'!$D$27:$AH$266,'Aug'!$D$27:$AH$266,'Sep'!$D$27:$AH$266,'Oct'!$D$27:$AH$266,'Nov'!$D$27:$AH$266,'Dec'!$D$27:$AH$266,'Jan (next year)'!$D$27:$AH$266),27+4*(IFERROR(MATCH(C74,Roster!$B$6:$B$65,0),MATCH(C74,Roster!$C$6:$C$65,0))-1)+MATCH(B74,{"AM","PM","NIGHT","WD"},0)-1-27+1,DAY(A74))&amp;"",""))</f>
        <v/>
      </c>
      <c r="G74" s="123">
        <f>IF(OR(A74="",C74="",B74="",E74=""),"",IFERROR(A74&amp;"|"&amp;(27+4*(IFERROR(MATCH(C74,Roster!$B$6:$B$65,0),MATCH(C74,Roster!$C$6:$C$65,0))-1)+MATCH(B74,{"AM","PM","NIGHT","WD"},0)-1),""))</f>
        <v/>
      </c>
    </row>
    <row r="75">
      <c r="A75" s="122" t="n"/>
      <c r="B75" s="107" t="n"/>
      <c r="C75" s="105" t="n"/>
      <c r="D75" s="92">
        <f>IF(C75="","",IFERROR(INDEX(Roster!$C$6:$C$65,IFERROR(MATCH(C75,Roster!$B$6:$B$65,0),MATCH(C75,Roster!$C$6:$C$65,0))),"not on the Roster"))</f>
        <v/>
      </c>
      <c r="E75" s="106" t="n"/>
      <c r="F75" s="104">
        <f>IF(OR(A75="",C75="",B75=""),"",IFERROR(INDEX(CHOOSE(IF(YEAR(A75)&gt;PlanYear,13,MONTH(A75)),'Jan'!$D$27:$AH$266,'Feb'!$D$27:$AH$266,'Mar'!$D$27:$AH$266,'Apr'!$D$27:$AH$266,'May'!$D$27:$AH$266,'Jun'!$D$27:$AH$266,'Jul'!$D$27:$AH$266,'Aug'!$D$27:$AH$266,'Sep'!$D$27:$AH$266,'Oct'!$D$27:$AH$266,'Nov'!$D$27:$AH$266,'Dec'!$D$27:$AH$266,'Jan (next year)'!$D$27:$AH$266),27+4*(IFERROR(MATCH(C75,Roster!$B$6:$B$65,0),MATCH(C75,Roster!$C$6:$C$65,0))-1)+MATCH(B75,{"AM","PM","NIGHT","WD"},0)-1-27+1,DAY(A75))&amp;"",""))</f>
        <v/>
      </c>
      <c r="G75" s="123">
        <f>IF(OR(A75="",C75="",B75="",E75=""),"",IFERROR(A75&amp;"|"&amp;(27+4*(IFERROR(MATCH(C75,Roster!$B$6:$B$65,0),MATCH(C75,Roster!$C$6:$C$65,0))-1)+MATCH(B75,{"AM","PM","NIGHT","WD"},0)-1),""))</f>
        <v/>
      </c>
    </row>
    <row r="76">
      <c r="A76" s="122" t="n"/>
      <c r="B76" s="107" t="n"/>
      <c r="C76" s="105" t="n"/>
      <c r="D76" s="92">
        <f>IF(C76="","",IFERROR(INDEX(Roster!$C$6:$C$65,IFERROR(MATCH(C76,Roster!$B$6:$B$65,0),MATCH(C76,Roster!$C$6:$C$65,0))),"not on the Roster"))</f>
        <v/>
      </c>
      <c r="E76" s="106" t="n"/>
      <c r="F76" s="104">
        <f>IF(OR(A76="",C76="",B76=""),"",IFERROR(INDEX(CHOOSE(IF(YEAR(A76)&gt;PlanYear,13,MONTH(A76)),'Jan'!$D$27:$AH$266,'Feb'!$D$27:$AH$266,'Mar'!$D$27:$AH$266,'Apr'!$D$27:$AH$266,'May'!$D$27:$AH$266,'Jun'!$D$27:$AH$266,'Jul'!$D$27:$AH$266,'Aug'!$D$27:$AH$266,'Sep'!$D$27:$AH$266,'Oct'!$D$27:$AH$266,'Nov'!$D$27:$AH$266,'Dec'!$D$27:$AH$266,'Jan (next year)'!$D$27:$AH$266),27+4*(IFERROR(MATCH(C76,Roster!$B$6:$B$65,0),MATCH(C76,Roster!$C$6:$C$65,0))-1)+MATCH(B76,{"AM","PM","NIGHT","WD"},0)-1-27+1,DAY(A76))&amp;"",""))</f>
        <v/>
      </c>
      <c r="G76" s="123">
        <f>IF(OR(A76="",C76="",B76="",E76=""),"",IFERROR(A76&amp;"|"&amp;(27+4*(IFERROR(MATCH(C76,Roster!$B$6:$B$65,0),MATCH(C76,Roster!$C$6:$C$65,0))-1)+MATCH(B76,{"AM","PM","NIGHT","WD"},0)-1),""))</f>
        <v/>
      </c>
    </row>
    <row r="77">
      <c r="A77" s="122" t="n"/>
      <c r="B77" s="107" t="n"/>
      <c r="C77" s="105" t="n"/>
      <c r="D77" s="92">
        <f>IF(C77="","",IFERROR(INDEX(Roster!$C$6:$C$65,IFERROR(MATCH(C77,Roster!$B$6:$B$65,0),MATCH(C77,Roster!$C$6:$C$65,0))),"not on the Roster"))</f>
        <v/>
      </c>
      <c r="E77" s="106" t="n"/>
      <c r="F77" s="104">
        <f>IF(OR(A77="",C77="",B77=""),"",IFERROR(INDEX(CHOOSE(IF(YEAR(A77)&gt;PlanYear,13,MONTH(A77)),'Jan'!$D$27:$AH$266,'Feb'!$D$27:$AH$266,'Mar'!$D$27:$AH$266,'Apr'!$D$27:$AH$266,'May'!$D$27:$AH$266,'Jun'!$D$27:$AH$266,'Jul'!$D$27:$AH$266,'Aug'!$D$27:$AH$266,'Sep'!$D$27:$AH$266,'Oct'!$D$27:$AH$266,'Nov'!$D$27:$AH$266,'Dec'!$D$27:$AH$266,'Jan (next year)'!$D$27:$AH$266),27+4*(IFERROR(MATCH(C77,Roster!$B$6:$B$65,0),MATCH(C77,Roster!$C$6:$C$65,0))-1)+MATCH(B77,{"AM","PM","NIGHT","WD"},0)-1-27+1,DAY(A77))&amp;"",""))</f>
        <v/>
      </c>
      <c r="G77" s="123">
        <f>IF(OR(A77="",C77="",B77="",E77=""),"",IFERROR(A77&amp;"|"&amp;(27+4*(IFERROR(MATCH(C77,Roster!$B$6:$B$65,0),MATCH(C77,Roster!$C$6:$C$65,0))-1)+MATCH(B77,{"AM","PM","NIGHT","WD"},0)-1),""))</f>
        <v/>
      </c>
    </row>
    <row r="78">
      <c r="A78" s="122" t="n"/>
      <c r="B78" s="107" t="n"/>
      <c r="C78" s="105" t="n"/>
      <c r="D78" s="92">
        <f>IF(C78="","",IFERROR(INDEX(Roster!$C$6:$C$65,IFERROR(MATCH(C78,Roster!$B$6:$B$65,0),MATCH(C78,Roster!$C$6:$C$65,0))),"not on the Roster"))</f>
        <v/>
      </c>
      <c r="E78" s="106" t="n"/>
      <c r="F78" s="104">
        <f>IF(OR(A78="",C78="",B78=""),"",IFERROR(INDEX(CHOOSE(IF(YEAR(A78)&gt;PlanYear,13,MONTH(A78)),'Jan'!$D$27:$AH$266,'Feb'!$D$27:$AH$266,'Mar'!$D$27:$AH$266,'Apr'!$D$27:$AH$266,'May'!$D$27:$AH$266,'Jun'!$D$27:$AH$266,'Jul'!$D$27:$AH$266,'Aug'!$D$27:$AH$266,'Sep'!$D$27:$AH$266,'Oct'!$D$27:$AH$266,'Nov'!$D$27:$AH$266,'Dec'!$D$27:$AH$266,'Jan (next year)'!$D$27:$AH$266),27+4*(IFERROR(MATCH(C78,Roster!$B$6:$B$65,0),MATCH(C78,Roster!$C$6:$C$65,0))-1)+MATCH(B78,{"AM","PM","NIGHT","WD"},0)-1-27+1,DAY(A78))&amp;"",""))</f>
        <v/>
      </c>
      <c r="G78" s="123">
        <f>IF(OR(A78="",C78="",B78="",E78=""),"",IFERROR(A78&amp;"|"&amp;(27+4*(IFERROR(MATCH(C78,Roster!$B$6:$B$65,0),MATCH(C78,Roster!$C$6:$C$65,0))-1)+MATCH(B78,{"AM","PM","NIGHT","WD"},0)-1),""))</f>
        <v/>
      </c>
    </row>
    <row r="79">
      <c r="A79" s="122" t="n"/>
      <c r="B79" s="107" t="n"/>
      <c r="C79" s="105" t="n"/>
      <c r="D79" s="92">
        <f>IF(C79="","",IFERROR(INDEX(Roster!$C$6:$C$65,IFERROR(MATCH(C79,Roster!$B$6:$B$65,0),MATCH(C79,Roster!$C$6:$C$65,0))),"not on the Roster"))</f>
        <v/>
      </c>
      <c r="E79" s="106" t="n"/>
      <c r="F79" s="104">
        <f>IF(OR(A79="",C79="",B79=""),"",IFERROR(INDEX(CHOOSE(IF(YEAR(A79)&gt;PlanYear,13,MONTH(A79)),'Jan'!$D$27:$AH$266,'Feb'!$D$27:$AH$266,'Mar'!$D$27:$AH$266,'Apr'!$D$27:$AH$266,'May'!$D$27:$AH$266,'Jun'!$D$27:$AH$266,'Jul'!$D$27:$AH$266,'Aug'!$D$27:$AH$266,'Sep'!$D$27:$AH$266,'Oct'!$D$27:$AH$266,'Nov'!$D$27:$AH$266,'Dec'!$D$27:$AH$266,'Jan (next year)'!$D$27:$AH$266),27+4*(IFERROR(MATCH(C79,Roster!$B$6:$B$65,0),MATCH(C79,Roster!$C$6:$C$65,0))-1)+MATCH(B79,{"AM","PM","NIGHT","WD"},0)-1-27+1,DAY(A79))&amp;"",""))</f>
        <v/>
      </c>
      <c r="G79" s="123">
        <f>IF(OR(A79="",C79="",B79="",E79=""),"",IFERROR(A79&amp;"|"&amp;(27+4*(IFERROR(MATCH(C79,Roster!$B$6:$B$65,0),MATCH(C79,Roster!$C$6:$C$65,0))-1)+MATCH(B79,{"AM","PM","NIGHT","WD"},0)-1),""))</f>
        <v/>
      </c>
    </row>
    <row r="80">
      <c r="A80" s="122" t="n"/>
      <c r="B80" s="107" t="n"/>
      <c r="C80" s="105" t="n"/>
      <c r="D80" s="92">
        <f>IF(C80="","",IFERROR(INDEX(Roster!$C$6:$C$65,IFERROR(MATCH(C80,Roster!$B$6:$B$65,0),MATCH(C80,Roster!$C$6:$C$65,0))),"not on the Roster"))</f>
        <v/>
      </c>
      <c r="E80" s="106" t="n"/>
      <c r="F80" s="104">
        <f>IF(OR(A80="",C80="",B80=""),"",IFERROR(INDEX(CHOOSE(IF(YEAR(A80)&gt;PlanYear,13,MONTH(A80)),'Jan'!$D$27:$AH$266,'Feb'!$D$27:$AH$266,'Mar'!$D$27:$AH$266,'Apr'!$D$27:$AH$266,'May'!$D$27:$AH$266,'Jun'!$D$27:$AH$266,'Jul'!$D$27:$AH$266,'Aug'!$D$27:$AH$266,'Sep'!$D$27:$AH$266,'Oct'!$D$27:$AH$266,'Nov'!$D$27:$AH$266,'Dec'!$D$27:$AH$266,'Jan (next year)'!$D$27:$AH$266),27+4*(IFERROR(MATCH(C80,Roster!$B$6:$B$65,0),MATCH(C80,Roster!$C$6:$C$65,0))-1)+MATCH(B80,{"AM","PM","NIGHT","WD"},0)-1-27+1,DAY(A80))&amp;"",""))</f>
        <v/>
      </c>
      <c r="G80" s="123">
        <f>IF(OR(A80="",C80="",B80="",E80=""),"",IFERROR(A80&amp;"|"&amp;(27+4*(IFERROR(MATCH(C80,Roster!$B$6:$B$65,0),MATCH(C80,Roster!$C$6:$C$65,0))-1)+MATCH(B80,{"AM","PM","NIGHT","WD"},0)-1),""))</f>
        <v/>
      </c>
    </row>
    <row r="81">
      <c r="A81" s="122" t="n"/>
      <c r="B81" s="107" t="n"/>
      <c r="C81" s="105" t="n"/>
      <c r="D81" s="92">
        <f>IF(C81="","",IFERROR(INDEX(Roster!$C$6:$C$65,IFERROR(MATCH(C81,Roster!$B$6:$B$65,0),MATCH(C81,Roster!$C$6:$C$65,0))),"not on the Roster"))</f>
        <v/>
      </c>
      <c r="E81" s="106" t="n"/>
      <c r="F81" s="104">
        <f>IF(OR(A81="",C81="",B81=""),"",IFERROR(INDEX(CHOOSE(IF(YEAR(A81)&gt;PlanYear,13,MONTH(A81)),'Jan'!$D$27:$AH$266,'Feb'!$D$27:$AH$266,'Mar'!$D$27:$AH$266,'Apr'!$D$27:$AH$266,'May'!$D$27:$AH$266,'Jun'!$D$27:$AH$266,'Jul'!$D$27:$AH$266,'Aug'!$D$27:$AH$266,'Sep'!$D$27:$AH$266,'Oct'!$D$27:$AH$266,'Nov'!$D$27:$AH$266,'Dec'!$D$27:$AH$266,'Jan (next year)'!$D$27:$AH$266),27+4*(IFERROR(MATCH(C81,Roster!$B$6:$B$65,0),MATCH(C81,Roster!$C$6:$C$65,0))-1)+MATCH(B81,{"AM","PM","NIGHT","WD"},0)-1-27+1,DAY(A81))&amp;"",""))</f>
        <v/>
      </c>
      <c r="G81" s="123">
        <f>IF(OR(A81="",C81="",B81="",E81=""),"",IFERROR(A81&amp;"|"&amp;(27+4*(IFERROR(MATCH(C81,Roster!$B$6:$B$65,0),MATCH(C81,Roster!$C$6:$C$65,0))-1)+MATCH(B81,{"AM","PM","NIGHT","WD"},0)-1),""))</f>
        <v/>
      </c>
    </row>
    <row r="82">
      <c r="A82" s="122" t="n"/>
      <c r="B82" s="107" t="n"/>
      <c r="C82" s="105" t="n"/>
      <c r="D82" s="92">
        <f>IF(C82="","",IFERROR(INDEX(Roster!$C$6:$C$65,IFERROR(MATCH(C82,Roster!$B$6:$B$65,0),MATCH(C82,Roster!$C$6:$C$65,0))),"not on the Roster"))</f>
        <v/>
      </c>
      <c r="E82" s="106" t="n"/>
      <c r="F82" s="104">
        <f>IF(OR(A82="",C82="",B82=""),"",IFERROR(INDEX(CHOOSE(IF(YEAR(A82)&gt;PlanYear,13,MONTH(A82)),'Jan'!$D$27:$AH$266,'Feb'!$D$27:$AH$266,'Mar'!$D$27:$AH$266,'Apr'!$D$27:$AH$266,'May'!$D$27:$AH$266,'Jun'!$D$27:$AH$266,'Jul'!$D$27:$AH$266,'Aug'!$D$27:$AH$266,'Sep'!$D$27:$AH$266,'Oct'!$D$27:$AH$266,'Nov'!$D$27:$AH$266,'Dec'!$D$27:$AH$266,'Jan (next year)'!$D$27:$AH$266),27+4*(IFERROR(MATCH(C82,Roster!$B$6:$B$65,0),MATCH(C82,Roster!$C$6:$C$65,0))-1)+MATCH(B82,{"AM","PM","NIGHT","WD"},0)-1-27+1,DAY(A82))&amp;"",""))</f>
        <v/>
      </c>
      <c r="G82" s="123">
        <f>IF(OR(A82="",C82="",B82="",E82=""),"",IFERROR(A82&amp;"|"&amp;(27+4*(IFERROR(MATCH(C82,Roster!$B$6:$B$65,0),MATCH(C82,Roster!$C$6:$C$65,0))-1)+MATCH(B82,{"AM","PM","NIGHT","WD"},0)-1),""))</f>
        <v/>
      </c>
    </row>
    <row r="83">
      <c r="A83" s="122" t="n"/>
      <c r="B83" s="107" t="n"/>
      <c r="C83" s="105" t="n"/>
      <c r="D83" s="92">
        <f>IF(C83="","",IFERROR(INDEX(Roster!$C$6:$C$65,IFERROR(MATCH(C83,Roster!$B$6:$B$65,0),MATCH(C83,Roster!$C$6:$C$65,0))),"not on the Roster"))</f>
        <v/>
      </c>
      <c r="E83" s="106" t="n"/>
      <c r="F83" s="104">
        <f>IF(OR(A83="",C83="",B83=""),"",IFERROR(INDEX(CHOOSE(IF(YEAR(A83)&gt;PlanYear,13,MONTH(A83)),'Jan'!$D$27:$AH$266,'Feb'!$D$27:$AH$266,'Mar'!$D$27:$AH$266,'Apr'!$D$27:$AH$266,'May'!$D$27:$AH$266,'Jun'!$D$27:$AH$266,'Jul'!$D$27:$AH$266,'Aug'!$D$27:$AH$266,'Sep'!$D$27:$AH$266,'Oct'!$D$27:$AH$266,'Nov'!$D$27:$AH$266,'Dec'!$D$27:$AH$266,'Jan (next year)'!$D$27:$AH$266),27+4*(IFERROR(MATCH(C83,Roster!$B$6:$B$65,0),MATCH(C83,Roster!$C$6:$C$65,0))-1)+MATCH(B83,{"AM","PM","NIGHT","WD"},0)-1-27+1,DAY(A83))&amp;"",""))</f>
        <v/>
      </c>
      <c r="G83" s="123">
        <f>IF(OR(A83="",C83="",B83="",E83=""),"",IFERROR(A83&amp;"|"&amp;(27+4*(IFERROR(MATCH(C83,Roster!$B$6:$B$65,0),MATCH(C83,Roster!$C$6:$C$65,0))-1)+MATCH(B83,{"AM","PM","NIGHT","WD"},0)-1),""))</f>
        <v/>
      </c>
    </row>
    <row r="84">
      <c r="A84" s="122" t="n"/>
      <c r="B84" s="107" t="n"/>
      <c r="C84" s="105" t="n"/>
      <c r="D84" s="92">
        <f>IF(C84="","",IFERROR(INDEX(Roster!$C$6:$C$65,IFERROR(MATCH(C84,Roster!$B$6:$B$65,0),MATCH(C84,Roster!$C$6:$C$65,0))),"not on the Roster"))</f>
        <v/>
      </c>
      <c r="E84" s="106" t="n"/>
      <c r="F84" s="104">
        <f>IF(OR(A84="",C84="",B84=""),"",IFERROR(INDEX(CHOOSE(IF(YEAR(A84)&gt;PlanYear,13,MONTH(A84)),'Jan'!$D$27:$AH$266,'Feb'!$D$27:$AH$266,'Mar'!$D$27:$AH$266,'Apr'!$D$27:$AH$266,'May'!$D$27:$AH$266,'Jun'!$D$27:$AH$266,'Jul'!$D$27:$AH$266,'Aug'!$D$27:$AH$266,'Sep'!$D$27:$AH$266,'Oct'!$D$27:$AH$266,'Nov'!$D$27:$AH$266,'Dec'!$D$27:$AH$266,'Jan (next year)'!$D$27:$AH$266),27+4*(IFERROR(MATCH(C84,Roster!$B$6:$B$65,0),MATCH(C84,Roster!$C$6:$C$65,0))-1)+MATCH(B84,{"AM","PM","NIGHT","WD"},0)-1-27+1,DAY(A84))&amp;"",""))</f>
        <v/>
      </c>
      <c r="G84" s="123">
        <f>IF(OR(A84="",C84="",B84="",E84=""),"",IFERROR(A84&amp;"|"&amp;(27+4*(IFERROR(MATCH(C84,Roster!$B$6:$B$65,0),MATCH(C84,Roster!$C$6:$C$65,0))-1)+MATCH(B84,{"AM","PM","NIGHT","WD"},0)-1),""))</f>
        <v/>
      </c>
    </row>
    <row r="85">
      <c r="A85" s="122" t="n"/>
      <c r="B85" s="107" t="n"/>
      <c r="C85" s="105" t="n"/>
      <c r="D85" s="92">
        <f>IF(C85="","",IFERROR(INDEX(Roster!$C$6:$C$65,IFERROR(MATCH(C85,Roster!$B$6:$B$65,0),MATCH(C85,Roster!$C$6:$C$65,0))),"not on the Roster"))</f>
        <v/>
      </c>
      <c r="E85" s="106" t="n"/>
      <c r="F85" s="104">
        <f>IF(OR(A85="",C85="",B85=""),"",IFERROR(INDEX(CHOOSE(IF(YEAR(A85)&gt;PlanYear,13,MONTH(A85)),'Jan'!$D$27:$AH$266,'Feb'!$D$27:$AH$266,'Mar'!$D$27:$AH$266,'Apr'!$D$27:$AH$266,'May'!$D$27:$AH$266,'Jun'!$D$27:$AH$266,'Jul'!$D$27:$AH$266,'Aug'!$D$27:$AH$266,'Sep'!$D$27:$AH$266,'Oct'!$D$27:$AH$266,'Nov'!$D$27:$AH$266,'Dec'!$D$27:$AH$266,'Jan (next year)'!$D$27:$AH$266),27+4*(IFERROR(MATCH(C85,Roster!$B$6:$B$65,0),MATCH(C85,Roster!$C$6:$C$65,0))-1)+MATCH(B85,{"AM","PM","NIGHT","WD"},0)-1-27+1,DAY(A85))&amp;"",""))</f>
        <v/>
      </c>
      <c r="G85" s="123">
        <f>IF(OR(A85="",C85="",B85="",E85=""),"",IFERROR(A85&amp;"|"&amp;(27+4*(IFERROR(MATCH(C85,Roster!$B$6:$B$65,0),MATCH(C85,Roster!$C$6:$C$65,0))-1)+MATCH(B85,{"AM","PM","NIGHT","WD"},0)-1),""))</f>
        <v/>
      </c>
    </row>
    <row r="86">
      <c r="A86" s="122" t="n"/>
      <c r="B86" s="107" t="n"/>
      <c r="C86" s="105" t="n"/>
      <c r="D86" s="92">
        <f>IF(C86="","",IFERROR(INDEX(Roster!$C$6:$C$65,IFERROR(MATCH(C86,Roster!$B$6:$B$65,0),MATCH(C86,Roster!$C$6:$C$65,0))),"not on the Roster"))</f>
        <v/>
      </c>
      <c r="E86" s="106" t="n"/>
      <c r="F86" s="104">
        <f>IF(OR(A86="",C86="",B86=""),"",IFERROR(INDEX(CHOOSE(IF(YEAR(A86)&gt;PlanYear,13,MONTH(A86)),'Jan'!$D$27:$AH$266,'Feb'!$D$27:$AH$266,'Mar'!$D$27:$AH$266,'Apr'!$D$27:$AH$266,'May'!$D$27:$AH$266,'Jun'!$D$27:$AH$266,'Jul'!$D$27:$AH$266,'Aug'!$D$27:$AH$266,'Sep'!$D$27:$AH$266,'Oct'!$D$27:$AH$266,'Nov'!$D$27:$AH$266,'Dec'!$D$27:$AH$266,'Jan (next year)'!$D$27:$AH$266),27+4*(IFERROR(MATCH(C86,Roster!$B$6:$B$65,0),MATCH(C86,Roster!$C$6:$C$65,0))-1)+MATCH(B86,{"AM","PM","NIGHT","WD"},0)-1-27+1,DAY(A86))&amp;"",""))</f>
        <v/>
      </c>
      <c r="G86" s="123">
        <f>IF(OR(A86="",C86="",B86="",E86=""),"",IFERROR(A86&amp;"|"&amp;(27+4*(IFERROR(MATCH(C86,Roster!$B$6:$B$65,0),MATCH(C86,Roster!$C$6:$C$65,0))-1)+MATCH(B86,{"AM","PM","NIGHT","WD"},0)-1),""))</f>
        <v/>
      </c>
    </row>
    <row r="87">
      <c r="A87" s="122" t="n"/>
      <c r="B87" s="107" t="n"/>
      <c r="C87" s="105" t="n"/>
      <c r="D87" s="92">
        <f>IF(C87="","",IFERROR(INDEX(Roster!$C$6:$C$65,IFERROR(MATCH(C87,Roster!$B$6:$B$65,0),MATCH(C87,Roster!$C$6:$C$65,0))),"not on the Roster"))</f>
        <v/>
      </c>
      <c r="E87" s="106" t="n"/>
      <c r="F87" s="104">
        <f>IF(OR(A87="",C87="",B87=""),"",IFERROR(INDEX(CHOOSE(IF(YEAR(A87)&gt;PlanYear,13,MONTH(A87)),'Jan'!$D$27:$AH$266,'Feb'!$D$27:$AH$266,'Mar'!$D$27:$AH$266,'Apr'!$D$27:$AH$266,'May'!$D$27:$AH$266,'Jun'!$D$27:$AH$266,'Jul'!$D$27:$AH$266,'Aug'!$D$27:$AH$266,'Sep'!$D$27:$AH$266,'Oct'!$D$27:$AH$266,'Nov'!$D$27:$AH$266,'Dec'!$D$27:$AH$266,'Jan (next year)'!$D$27:$AH$266),27+4*(IFERROR(MATCH(C87,Roster!$B$6:$B$65,0),MATCH(C87,Roster!$C$6:$C$65,0))-1)+MATCH(B87,{"AM","PM","NIGHT","WD"},0)-1-27+1,DAY(A87))&amp;"",""))</f>
        <v/>
      </c>
      <c r="G87" s="123">
        <f>IF(OR(A87="",C87="",B87="",E87=""),"",IFERROR(A87&amp;"|"&amp;(27+4*(IFERROR(MATCH(C87,Roster!$B$6:$B$65,0),MATCH(C87,Roster!$C$6:$C$65,0))-1)+MATCH(B87,{"AM","PM","NIGHT","WD"},0)-1),""))</f>
        <v/>
      </c>
    </row>
    <row r="88">
      <c r="A88" s="122" t="n"/>
      <c r="B88" s="107" t="n"/>
      <c r="C88" s="105" t="n"/>
      <c r="D88" s="92">
        <f>IF(C88="","",IFERROR(INDEX(Roster!$C$6:$C$65,IFERROR(MATCH(C88,Roster!$B$6:$B$65,0),MATCH(C88,Roster!$C$6:$C$65,0))),"not on the Roster"))</f>
        <v/>
      </c>
      <c r="E88" s="106" t="n"/>
      <c r="F88" s="104">
        <f>IF(OR(A88="",C88="",B88=""),"",IFERROR(INDEX(CHOOSE(IF(YEAR(A88)&gt;PlanYear,13,MONTH(A88)),'Jan'!$D$27:$AH$266,'Feb'!$D$27:$AH$266,'Mar'!$D$27:$AH$266,'Apr'!$D$27:$AH$266,'May'!$D$27:$AH$266,'Jun'!$D$27:$AH$266,'Jul'!$D$27:$AH$266,'Aug'!$D$27:$AH$266,'Sep'!$D$27:$AH$266,'Oct'!$D$27:$AH$266,'Nov'!$D$27:$AH$266,'Dec'!$D$27:$AH$266,'Jan (next year)'!$D$27:$AH$266),27+4*(IFERROR(MATCH(C88,Roster!$B$6:$B$65,0),MATCH(C88,Roster!$C$6:$C$65,0))-1)+MATCH(B88,{"AM","PM","NIGHT","WD"},0)-1-27+1,DAY(A88))&amp;"",""))</f>
        <v/>
      </c>
      <c r="G88" s="123">
        <f>IF(OR(A88="",C88="",B88="",E88=""),"",IFERROR(A88&amp;"|"&amp;(27+4*(IFERROR(MATCH(C88,Roster!$B$6:$B$65,0),MATCH(C88,Roster!$C$6:$C$65,0))-1)+MATCH(B88,{"AM","PM","NIGHT","WD"},0)-1),""))</f>
        <v/>
      </c>
    </row>
    <row r="89">
      <c r="A89" s="122" t="n"/>
      <c r="B89" s="107" t="n"/>
      <c r="C89" s="105" t="n"/>
      <c r="D89" s="92">
        <f>IF(C89="","",IFERROR(INDEX(Roster!$C$6:$C$65,IFERROR(MATCH(C89,Roster!$B$6:$B$65,0),MATCH(C89,Roster!$C$6:$C$65,0))),"not on the Roster"))</f>
        <v/>
      </c>
      <c r="E89" s="106" t="n"/>
      <c r="F89" s="104">
        <f>IF(OR(A89="",C89="",B89=""),"",IFERROR(INDEX(CHOOSE(IF(YEAR(A89)&gt;PlanYear,13,MONTH(A89)),'Jan'!$D$27:$AH$266,'Feb'!$D$27:$AH$266,'Mar'!$D$27:$AH$266,'Apr'!$D$27:$AH$266,'May'!$D$27:$AH$266,'Jun'!$D$27:$AH$266,'Jul'!$D$27:$AH$266,'Aug'!$D$27:$AH$266,'Sep'!$D$27:$AH$266,'Oct'!$D$27:$AH$266,'Nov'!$D$27:$AH$266,'Dec'!$D$27:$AH$266,'Jan (next year)'!$D$27:$AH$266),27+4*(IFERROR(MATCH(C89,Roster!$B$6:$B$65,0),MATCH(C89,Roster!$C$6:$C$65,0))-1)+MATCH(B89,{"AM","PM","NIGHT","WD"},0)-1-27+1,DAY(A89))&amp;"",""))</f>
        <v/>
      </c>
      <c r="G89" s="123">
        <f>IF(OR(A89="",C89="",B89="",E89=""),"",IFERROR(A89&amp;"|"&amp;(27+4*(IFERROR(MATCH(C89,Roster!$B$6:$B$65,0),MATCH(C89,Roster!$C$6:$C$65,0))-1)+MATCH(B89,{"AM","PM","NIGHT","WD"},0)-1),""))</f>
        <v/>
      </c>
    </row>
    <row r="90">
      <c r="A90" s="122" t="n"/>
      <c r="B90" s="107" t="n"/>
      <c r="C90" s="105" t="n"/>
      <c r="D90" s="92">
        <f>IF(C90="","",IFERROR(INDEX(Roster!$C$6:$C$65,IFERROR(MATCH(C90,Roster!$B$6:$B$65,0),MATCH(C90,Roster!$C$6:$C$65,0))),"not on the Roster"))</f>
        <v/>
      </c>
      <c r="E90" s="106" t="n"/>
      <c r="F90" s="104">
        <f>IF(OR(A90="",C90="",B90=""),"",IFERROR(INDEX(CHOOSE(IF(YEAR(A90)&gt;PlanYear,13,MONTH(A90)),'Jan'!$D$27:$AH$266,'Feb'!$D$27:$AH$266,'Mar'!$D$27:$AH$266,'Apr'!$D$27:$AH$266,'May'!$D$27:$AH$266,'Jun'!$D$27:$AH$266,'Jul'!$D$27:$AH$266,'Aug'!$D$27:$AH$266,'Sep'!$D$27:$AH$266,'Oct'!$D$27:$AH$266,'Nov'!$D$27:$AH$266,'Dec'!$D$27:$AH$266,'Jan (next year)'!$D$27:$AH$266),27+4*(IFERROR(MATCH(C90,Roster!$B$6:$B$65,0),MATCH(C90,Roster!$C$6:$C$65,0))-1)+MATCH(B90,{"AM","PM","NIGHT","WD"},0)-1-27+1,DAY(A90))&amp;"",""))</f>
        <v/>
      </c>
      <c r="G90" s="123">
        <f>IF(OR(A90="",C90="",B90="",E90=""),"",IFERROR(A90&amp;"|"&amp;(27+4*(IFERROR(MATCH(C90,Roster!$B$6:$B$65,0),MATCH(C90,Roster!$C$6:$C$65,0))-1)+MATCH(B90,{"AM","PM","NIGHT","WD"},0)-1),""))</f>
        <v/>
      </c>
    </row>
    <row r="91">
      <c r="A91" s="122" t="n"/>
      <c r="B91" s="107" t="n"/>
      <c r="C91" s="105" t="n"/>
      <c r="D91" s="92">
        <f>IF(C91="","",IFERROR(INDEX(Roster!$C$6:$C$65,IFERROR(MATCH(C91,Roster!$B$6:$B$65,0),MATCH(C91,Roster!$C$6:$C$65,0))),"not on the Roster"))</f>
        <v/>
      </c>
      <c r="E91" s="106" t="n"/>
      <c r="F91" s="104">
        <f>IF(OR(A91="",C91="",B91=""),"",IFERROR(INDEX(CHOOSE(IF(YEAR(A91)&gt;PlanYear,13,MONTH(A91)),'Jan'!$D$27:$AH$266,'Feb'!$D$27:$AH$266,'Mar'!$D$27:$AH$266,'Apr'!$D$27:$AH$266,'May'!$D$27:$AH$266,'Jun'!$D$27:$AH$266,'Jul'!$D$27:$AH$266,'Aug'!$D$27:$AH$266,'Sep'!$D$27:$AH$266,'Oct'!$D$27:$AH$266,'Nov'!$D$27:$AH$266,'Dec'!$D$27:$AH$266,'Jan (next year)'!$D$27:$AH$266),27+4*(IFERROR(MATCH(C91,Roster!$B$6:$B$65,0),MATCH(C91,Roster!$C$6:$C$65,0))-1)+MATCH(B91,{"AM","PM","NIGHT","WD"},0)-1-27+1,DAY(A91))&amp;"",""))</f>
        <v/>
      </c>
      <c r="G91" s="123">
        <f>IF(OR(A91="",C91="",B91="",E91=""),"",IFERROR(A91&amp;"|"&amp;(27+4*(IFERROR(MATCH(C91,Roster!$B$6:$B$65,0),MATCH(C91,Roster!$C$6:$C$65,0))-1)+MATCH(B91,{"AM","PM","NIGHT","WD"},0)-1),""))</f>
        <v/>
      </c>
    </row>
    <row r="92">
      <c r="A92" s="122" t="n"/>
      <c r="B92" s="107" t="n"/>
      <c r="C92" s="105" t="n"/>
      <c r="D92" s="92">
        <f>IF(C92="","",IFERROR(INDEX(Roster!$C$6:$C$65,IFERROR(MATCH(C92,Roster!$B$6:$B$65,0),MATCH(C92,Roster!$C$6:$C$65,0))),"not on the Roster"))</f>
        <v/>
      </c>
      <c r="E92" s="106" t="n"/>
      <c r="F92" s="104">
        <f>IF(OR(A92="",C92="",B92=""),"",IFERROR(INDEX(CHOOSE(IF(YEAR(A92)&gt;PlanYear,13,MONTH(A92)),'Jan'!$D$27:$AH$266,'Feb'!$D$27:$AH$266,'Mar'!$D$27:$AH$266,'Apr'!$D$27:$AH$266,'May'!$D$27:$AH$266,'Jun'!$D$27:$AH$266,'Jul'!$D$27:$AH$266,'Aug'!$D$27:$AH$266,'Sep'!$D$27:$AH$266,'Oct'!$D$27:$AH$266,'Nov'!$D$27:$AH$266,'Dec'!$D$27:$AH$266,'Jan (next year)'!$D$27:$AH$266),27+4*(IFERROR(MATCH(C92,Roster!$B$6:$B$65,0),MATCH(C92,Roster!$C$6:$C$65,0))-1)+MATCH(B92,{"AM","PM","NIGHT","WD"},0)-1-27+1,DAY(A92))&amp;"",""))</f>
        <v/>
      </c>
      <c r="G92" s="123">
        <f>IF(OR(A92="",C92="",B92="",E92=""),"",IFERROR(A92&amp;"|"&amp;(27+4*(IFERROR(MATCH(C92,Roster!$B$6:$B$65,0),MATCH(C92,Roster!$C$6:$C$65,0))-1)+MATCH(B92,{"AM","PM","NIGHT","WD"},0)-1),""))</f>
        <v/>
      </c>
    </row>
    <row r="93">
      <c r="A93" s="122" t="n"/>
      <c r="B93" s="107" t="n"/>
      <c r="C93" s="105" t="n"/>
      <c r="D93" s="92">
        <f>IF(C93="","",IFERROR(INDEX(Roster!$C$6:$C$65,IFERROR(MATCH(C93,Roster!$B$6:$B$65,0),MATCH(C93,Roster!$C$6:$C$65,0))),"not on the Roster"))</f>
        <v/>
      </c>
      <c r="E93" s="106" t="n"/>
      <c r="F93" s="104">
        <f>IF(OR(A93="",C93="",B93=""),"",IFERROR(INDEX(CHOOSE(IF(YEAR(A93)&gt;PlanYear,13,MONTH(A93)),'Jan'!$D$27:$AH$266,'Feb'!$D$27:$AH$266,'Mar'!$D$27:$AH$266,'Apr'!$D$27:$AH$266,'May'!$D$27:$AH$266,'Jun'!$D$27:$AH$266,'Jul'!$D$27:$AH$266,'Aug'!$D$27:$AH$266,'Sep'!$D$27:$AH$266,'Oct'!$D$27:$AH$266,'Nov'!$D$27:$AH$266,'Dec'!$D$27:$AH$266,'Jan (next year)'!$D$27:$AH$266),27+4*(IFERROR(MATCH(C93,Roster!$B$6:$B$65,0),MATCH(C93,Roster!$C$6:$C$65,0))-1)+MATCH(B93,{"AM","PM","NIGHT","WD"},0)-1-27+1,DAY(A93))&amp;"",""))</f>
        <v/>
      </c>
      <c r="G93" s="123">
        <f>IF(OR(A93="",C93="",B93="",E93=""),"",IFERROR(A93&amp;"|"&amp;(27+4*(IFERROR(MATCH(C93,Roster!$B$6:$B$65,0),MATCH(C93,Roster!$C$6:$C$65,0))-1)+MATCH(B93,{"AM","PM","NIGHT","WD"},0)-1),""))</f>
        <v/>
      </c>
    </row>
    <row r="94">
      <c r="A94" s="122" t="n"/>
      <c r="B94" s="107" t="n"/>
      <c r="C94" s="105" t="n"/>
      <c r="D94" s="92">
        <f>IF(C94="","",IFERROR(INDEX(Roster!$C$6:$C$65,IFERROR(MATCH(C94,Roster!$B$6:$B$65,0),MATCH(C94,Roster!$C$6:$C$65,0))),"not on the Roster"))</f>
        <v/>
      </c>
      <c r="E94" s="106" t="n"/>
      <c r="F94" s="104">
        <f>IF(OR(A94="",C94="",B94=""),"",IFERROR(INDEX(CHOOSE(IF(YEAR(A94)&gt;PlanYear,13,MONTH(A94)),'Jan'!$D$27:$AH$266,'Feb'!$D$27:$AH$266,'Mar'!$D$27:$AH$266,'Apr'!$D$27:$AH$266,'May'!$D$27:$AH$266,'Jun'!$D$27:$AH$266,'Jul'!$D$27:$AH$266,'Aug'!$D$27:$AH$266,'Sep'!$D$27:$AH$266,'Oct'!$D$27:$AH$266,'Nov'!$D$27:$AH$266,'Dec'!$D$27:$AH$266,'Jan (next year)'!$D$27:$AH$266),27+4*(IFERROR(MATCH(C94,Roster!$B$6:$B$65,0),MATCH(C94,Roster!$C$6:$C$65,0))-1)+MATCH(B94,{"AM","PM","NIGHT","WD"},0)-1-27+1,DAY(A94))&amp;"",""))</f>
        <v/>
      </c>
      <c r="G94" s="123">
        <f>IF(OR(A94="",C94="",B94="",E94=""),"",IFERROR(A94&amp;"|"&amp;(27+4*(IFERROR(MATCH(C94,Roster!$B$6:$B$65,0),MATCH(C94,Roster!$C$6:$C$65,0))-1)+MATCH(B94,{"AM","PM","NIGHT","WD"},0)-1),""))</f>
        <v/>
      </c>
    </row>
    <row r="95">
      <c r="A95" s="122" t="n"/>
      <c r="B95" s="107" t="n"/>
      <c r="C95" s="105" t="n"/>
      <c r="D95" s="92">
        <f>IF(C95="","",IFERROR(INDEX(Roster!$C$6:$C$65,IFERROR(MATCH(C95,Roster!$B$6:$B$65,0),MATCH(C95,Roster!$C$6:$C$65,0))),"not on the Roster"))</f>
        <v/>
      </c>
      <c r="E95" s="106" t="n"/>
      <c r="F95" s="104">
        <f>IF(OR(A95="",C95="",B95=""),"",IFERROR(INDEX(CHOOSE(IF(YEAR(A95)&gt;PlanYear,13,MONTH(A95)),'Jan'!$D$27:$AH$266,'Feb'!$D$27:$AH$266,'Mar'!$D$27:$AH$266,'Apr'!$D$27:$AH$266,'May'!$D$27:$AH$266,'Jun'!$D$27:$AH$266,'Jul'!$D$27:$AH$266,'Aug'!$D$27:$AH$266,'Sep'!$D$27:$AH$266,'Oct'!$D$27:$AH$266,'Nov'!$D$27:$AH$266,'Dec'!$D$27:$AH$266,'Jan (next year)'!$D$27:$AH$266),27+4*(IFERROR(MATCH(C95,Roster!$B$6:$B$65,0),MATCH(C95,Roster!$C$6:$C$65,0))-1)+MATCH(B95,{"AM","PM","NIGHT","WD"},0)-1-27+1,DAY(A95))&amp;"",""))</f>
        <v/>
      </c>
      <c r="G95" s="123">
        <f>IF(OR(A95="",C95="",B95="",E95=""),"",IFERROR(A95&amp;"|"&amp;(27+4*(IFERROR(MATCH(C95,Roster!$B$6:$B$65,0),MATCH(C95,Roster!$C$6:$C$65,0))-1)+MATCH(B95,{"AM","PM","NIGHT","WD"},0)-1),""))</f>
        <v/>
      </c>
    </row>
    <row r="96">
      <c r="A96" s="122" t="n"/>
      <c r="B96" s="107" t="n"/>
      <c r="C96" s="105" t="n"/>
      <c r="D96" s="92">
        <f>IF(C96="","",IFERROR(INDEX(Roster!$C$6:$C$65,IFERROR(MATCH(C96,Roster!$B$6:$B$65,0),MATCH(C96,Roster!$C$6:$C$65,0))),"not on the Roster"))</f>
        <v/>
      </c>
      <c r="E96" s="106" t="n"/>
      <c r="F96" s="104">
        <f>IF(OR(A96="",C96="",B96=""),"",IFERROR(INDEX(CHOOSE(IF(YEAR(A96)&gt;PlanYear,13,MONTH(A96)),'Jan'!$D$27:$AH$266,'Feb'!$D$27:$AH$266,'Mar'!$D$27:$AH$266,'Apr'!$D$27:$AH$266,'May'!$D$27:$AH$266,'Jun'!$D$27:$AH$266,'Jul'!$D$27:$AH$266,'Aug'!$D$27:$AH$266,'Sep'!$D$27:$AH$266,'Oct'!$D$27:$AH$266,'Nov'!$D$27:$AH$266,'Dec'!$D$27:$AH$266,'Jan (next year)'!$D$27:$AH$266),27+4*(IFERROR(MATCH(C96,Roster!$B$6:$B$65,0),MATCH(C96,Roster!$C$6:$C$65,0))-1)+MATCH(B96,{"AM","PM","NIGHT","WD"},0)-1-27+1,DAY(A96))&amp;"",""))</f>
        <v/>
      </c>
      <c r="G96" s="123">
        <f>IF(OR(A96="",C96="",B96="",E96=""),"",IFERROR(A96&amp;"|"&amp;(27+4*(IFERROR(MATCH(C96,Roster!$B$6:$B$65,0),MATCH(C96,Roster!$C$6:$C$65,0))-1)+MATCH(B96,{"AM","PM","NIGHT","WD"},0)-1),""))</f>
        <v/>
      </c>
    </row>
    <row r="97">
      <c r="A97" s="122" t="n"/>
      <c r="B97" s="107" t="n"/>
      <c r="C97" s="105" t="n"/>
      <c r="D97" s="92">
        <f>IF(C97="","",IFERROR(INDEX(Roster!$C$6:$C$65,IFERROR(MATCH(C97,Roster!$B$6:$B$65,0),MATCH(C97,Roster!$C$6:$C$65,0))),"not on the Roster"))</f>
        <v/>
      </c>
      <c r="E97" s="106" t="n"/>
      <c r="F97" s="104">
        <f>IF(OR(A97="",C97="",B97=""),"",IFERROR(INDEX(CHOOSE(IF(YEAR(A97)&gt;PlanYear,13,MONTH(A97)),'Jan'!$D$27:$AH$266,'Feb'!$D$27:$AH$266,'Mar'!$D$27:$AH$266,'Apr'!$D$27:$AH$266,'May'!$D$27:$AH$266,'Jun'!$D$27:$AH$266,'Jul'!$D$27:$AH$266,'Aug'!$D$27:$AH$266,'Sep'!$D$27:$AH$266,'Oct'!$D$27:$AH$266,'Nov'!$D$27:$AH$266,'Dec'!$D$27:$AH$266,'Jan (next year)'!$D$27:$AH$266),27+4*(IFERROR(MATCH(C97,Roster!$B$6:$B$65,0),MATCH(C97,Roster!$C$6:$C$65,0))-1)+MATCH(B97,{"AM","PM","NIGHT","WD"},0)-1-27+1,DAY(A97))&amp;"",""))</f>
        <v/>
      </c>
      <c r="G97" s="123">
        <f>IF(OR(A97="",C97="",B97="",E97=""),"",IFERROR(A97&amp;"|"&amp;(27+4*(IFERROR(MATCH(C97,Roster!$B$6:$B$65,0),MATCH(C97,Roster!$C$6:$C$65,0))-1)+MATCH(B97,{"AM","PM","NIGHT","WD"},0)-1),""))</f>
        <v/>
      </c>
    </row>
    <row r="98">
      <c r="A98" s="122" t="n"/>
      <c r="B98" s="107" t="n"/>
      <c r="C98" s="105" t="n"/>
      <c r="D98" s="92">
        <f>IF(C98="","",IFERROR(INDEX(Roster!$C$6:$C$65,IFERROR(MATCH(C98,Roster!$B$6:$B$65,0),MATCH(C98,Roster!$C$6:$C$65,0))),"not on the Roster"))</f>
        <v/>
      </c>
      <c r="E98" s="106" t="n"/>
      <c r="F98" s="104">
        <f>IF(OR(A98="",C98="",B98=""),"",IFERROR(INDEX(CHOOSE(IF(YEAR(A98)&gt;PlanYear,13,MONTH(A98)),'Jan'!$D$27:$AH$266,'Feb'!$D$27:$AH$266,'Mar'!$D$27:$AH$266,'Apr'!$D$27:$AH$266,'May'!$D$27:$AH$266,'Jun'!$D$27:$AH$266,'Jul'!$D$27:$AH$266,'Aug'!$D$27:$AH$266,'Sep'!$D$27:$AH$266,'Oct'!$D$27:$AH$266,'Nov'!$D$27:$AH$266,'Dec'!$D$27:$AH$266,'Jan (next year)'!$D$27:$AH$266),27+4*(IFERROR(MATCH(C98,Roster!$B$6:$B$65,0),MATCH(C98,Roster!$C$6:$C$65,0))-1)+MATCH(B98,{"AM","PM","NIGHT","WD"},0)-1-27+1,DAY(A98))&amp;"",""))</f>
        <v/>
      </c>
      <c r="G98" s="123">
        <f>IF(OR(A98="",C98="",B98="",E98=""),"",IFERROR(A98&amp;"|"&amp;(27+4*(IFERROR(MATCH(C98,Roster!$B$6:$B$65,0),MATCH(C98,Roster!$C$6:$C$65,0))-1)+MATCH(B98,{"AM","PM","NIGHT","WD"},0)-1),""))</f>
        <v/>
      </c>
    </row>
    <row r="99">
      <c r="A99" s="122" t="n"/>
      <c r="B99" s="107" t="n"/>
      <c r="C99" s="105" t="n"/>
      <c r="D99" s="92">
        <f>IF(C99="","",IFERROR(INDEX(Roster!$C$6:$C$65,IFERROR(MATCH(C99,Roster!$B$6:$B$65,0),MATCH(C99,Roster!$C$6:$C$65,0))),"not on the Roster"))</f>
        <v/>
      </c>
      <c r="E99" s="106" t="n"/>
      <c r="F99" s="104">
        <f>IF(OR(A99="",C99="",B99=""),"",IFERROR(INDEX(CHOOSE(IF(YEAR(A99)&gt;PlanYear,13,MONTH(A99)),'Jan'!$D$27:$AH$266,'Feb'!$D$27:$AH$266,'Mar'!$D$27:$AH$266,'Apr'!$D$27:$AH$266,'May'!$D$27:$AH$266,'Jun'!$D$27:$AH$266,'Jul'!$D$27:$AH$266,'Aug'!$D$27:$AH$266,'Sep'!$D$27:$AH$266,'Oct'!$D$27:$AH$266,'Nov'!$D$27:$AH$266,'Dec'!$D$27:$AH$266,'Jan (next year)'!$D$27:$AH$266),27+4*(IFERROR(MATCH(C99,Roster!$B$6:$B$65,0),MATCH(C99,Roster!$C$6:$C$65,0))-1)+MATCH(B99,{"AM","PM","NIGHT","WD"},0)-1-27+1,DAY(A99))&amp;"",""))</f>
        <v/>
      </c>
      <c r="G99" s="123">
        <f>IF(OR(A99="",C99="",B99="",E99=""),"",IFERROR(A99&amp;"|"&amp;(27+4*(IFERROR(MATCH(C99,Roster!$B$6:$B$65,0),MATCH(C99,Roster!$C$6:$C$65,0))-1)+MATCH(B99,{"AM","PM","NIGHT","WD"},0)-1),""))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$266,'Feb'!$D$27:$AH$266,'Mar'!$D$27:$AH$266,'Apr'!$D$27:$AH$266,'May'!$D$27:$AH$266,'Jun'!$D$27:$AH$266,'Jul'!$D$27:$AH$266,'Aug'!$D$27:$AH$266,'Sep'!$D$27:$AH$266,'Oct'!$D$27:$AH$266,'Nov'!$D$27:$AH$266,'Dec'!$D$27:$AH$266,'Jan (next year)'!$D$27:$AH$266),27+4*(IFERROR(MATCH(C100,Roster!$B$6:$B$65,0),MATCH(C100,Roster!$C$6:$C$65,0))-1)+MATCH(B100,{"AM","PM","NIGHT","WD"},0)-1-27+1,DAY(A100))&amp;"",""))</f>
        <v/>
      </c>
      <c r="G100" s="123">
        <f>IF(OR(A100="",C100="",B100="",E100=""),"",IFERROR(A100&amp;"|"&amp;(27+4*(IFERROR(MATCH(C100,Roster!$B$6:$B$65,0),MATCH(C100,Roster!$C$6:$C$65,0))-1)+MATCH(B100,{"AM","PM","NIGHT","WD"},0)-1),""))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$266,'Feb'!$D$27:$AH$266,'Mar'!$D$27:$AH$266,'Apr'!$D$27:$AH$266,'May'!$D$27:$AH$266,'Jun'!$D$27:$AH$266,'Jul'!$D$27:$AH$266,'Aug'!$D$27:$AH$266,'Sep'!$D$27:$AH$266,'Oct'!$D$27:$AH$266,'Nov'!$D$27:$AH$266,'Dec'!$D$27:$AH$266,'Jan (next year)'!$D$27:$AH$266),27+4*(IFERROR(MATCH(C101,Roster!$B$6:$B$65,0),MATCH(C101,Roster!$C$6:$C$65,0))-1)+MATCH(B101,{"AM","PM","NIGHT","WD"},0)-1-27+1,DAY(A101))&amp;"",""))</f>
        <v/>
      </c>
      <c r="G101" s="123">
        <f>IF(OR(A101="",C101="",B101="",E101=""),"",IFERROR(A101&amp;"|"&amp;(27+4*(IFERROR(MATCH(C101,Roster!$B$6:$B$65,0),MATCH(C101,Roster!$C$6:$C$65,0))-1)+MATCH(B101,{"AM","PM","NIGHT","WD"},0)-1),""))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$266,'Feb'!$D$27:$AH$266,'Mar'!$D$27:$AH$266,'Apr'!$D$27:$AH$266,'May'!$D$27:$AH$266,'Jun'!$D$27:$AH$266,'Jul'!$D$27:$AH$266,'Aug'!$D$27:$AH$266,'Sep'!$D$27:$AH$266,'Oct'!$D$27:$AH$266,'Nov'!$D$27:$AH$266,'Dec'!$D$27:$AH$266,'Jan (next year)'!$D$27:$AH$266),27+4*(IFERROR(MATCH(C102,Roster!$B$6:$B$65,0),MATCH(C102,Roster!$C$6:$C$65,0))-1)+MATCH(B102,{"AM","PM","NIGHT","WD"},0)-1-27+1,DAY(A102))&amp;"",""))</f>
        <v/>
      </c>
      <c r="G102" s="123">
        <f>IF(OR(A102="",C102="",B102="",E102=""),"",IFERROR(A102&amp;"|"&amp;(27+4*(IFERROR(MATCH(C102,Roster!$B$6:$B$65,0),MATCH(C102,Roster!$C$6:$C$65,0))-1)+MATCH(B102,{"AM","PM","NIGHT","WD"},0)-1),""))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$266,'Feb'!$D$27:$AH$266,'Mar'!$D$27:$AH$266,'Apr'!$D$27:$AH$266,'May'!$D$27:$AH$266,'Jun'!$D$27:$AH$266,'Jul'!$D$27:$AH$266,'Aug'!$D$27:$AH$266,'Sep'!$D$27:$AH$266,'Oct'!$D$27:$AH$266,'Nov'!$D$27:$AH$266,'Dec'!$D$27:$AH$266,'Jan (next year)'!$D$27:$AH$266),27+4*(IFERROR(MATCH(C103,Roster!$B$6:$B$65,0),MATCH(C103,Roster!$C$6:$C$65,0))-1)+MATCH(B103,{"AM","PM","NIGHT","WD"},0)-1-27+1,DAY(A103))&amp;"",""))</f>
        <v/>
      </c>
      <c r="G103" s="123">
        <f>IF(OR(A103="",C103="",B103="",E103=""),"",IFERROR(A103&amp;"|"&amp;(27+4*(IFERROR(MATCH(C103,Roster!$B$6:$B$65,0),MATCH(C103,Roster!$C$6:$C$65,0))-1)+MATCH(B103,{"AM","PM","NIGHT","WD"},0)-1),""))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$266,'Feb'!$D$27:$AH$266,'Mar'!$D$27:$AH$266,'Apr'!$D$27:$AH$266,'May'!$D$27:$AH$266,'Jun'!$D$27:$AH$266,'Jul'!$D$27:$AH$266,'Aug'!$D$27:$AH$266,'Sep'!$D$27:$AH$266,'Oct'!$D$27:$AH$266,'Nov'!$D$27:$AH$266,'Dec'!$D$27:$AH$266,'Jan (next year)'!$D$27:$AH$266),27+4*(IFERROR(MATCH(C104,Roster!$B$6:$B$65,0),MATCH(C104,Roster!$C$6:$C$65,0))-1)+MATCH(B104,{"AM","PM","NIGHT","WD"},0)-1-27+1,DAY(A104))&amp;"",""))</f>
        <v/>
      </c>
      <c r="G104" s="123">
        <f>IF(OR(A104="",C104="",B104="",E104=""),"",IFERROR(A104&amp;"|"&amp;(27+4*(IFERROR(MATCH(C104,Roster!$B$6:$B$65,0),MATCH(C104,Roster!$C$6:$C$65,0))-1)+MATCH(B104,{"AM","PM","NIGHT","WD"},0)-1),""))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$266,'Feb'!$D$27:$AH$266,'Mar'!$D$27:$AH$266,'Apr'!$D$27:$AH$266,'May'!$D$27:$AH$266,'Jun'!$D$27:$AH$266,'Jul'!$D$27:$AH$266,'Aug'!$D$27:$AH$266,'Sep'!$D$27:$AH$266,'Oct'!$D$27:$AH$266,'Nov'!$D$27:$AH$266,'Dec'!$D$27:$AH$266,'Jan (next year)'!$D$27:$AH$266),27+4*(IFERROR(MATCH(C105,Roster!$B$6:$B$65,0),MATCH(C105,Roster!$C$6:$C$65,0))-1)+MATCH(B105,{"AM","PM","NIGHT","WD"},0)-1-27+1,DAY(A105))&amp;"",""))</f>
        <v/>
      </c>
      <c r="G105" s="123">
        <f>IF(OR(A105="",C105="",B105="",E105=""),"",IFERROR(A105&amp;"|"&amp;(27+4*(IFERROR(MATCH(C105,Roster!$B$6:$B$65,0),MATCH(C105,Roster!$C$6:$C$65,0))-1)+MATCH(B105,{"AM","PM","NIGHT","WD"},0)-1),""))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$266,'Feb'!$D$27:$AH$266,'Mar'!$D$27:$AH$266,'Apr'!$D$27:$AH$266,'May'!$D$27:$AH$266,'Jun'!$D$27:$AH$266,'Jul'!$D$27:$AH$266,'Aug'!$D$27:$AH$266,'Sep'!$D$27:$AH$266,'Oct'!$D$27:$AH$266,'Nov'!$D$27:$AH$266,'Dec'!$D$27:$AH$266,'Jan (next year)'!$D$27:$AH$266),27+4*(IFERROR(MATCH(C106,Roster!$B$6:$B$65,0),MATCH(C106,Roster!$C$6:$C$65,0))-1)+MATCH(B106,{"AM","PM","NIGHT","WD"},0)-1-27+1,DAY(A106))&amp;"",""))</f>
        <v/>
      </c>
      <c r="G106" s="123">
        <f>IF(OR(A106="",C106="",B106="",E106=""),"",IFERROR(A106&amp;"|"&amp;(27+4*(IFERROR(MATCH(C106,Roster!$B$6:$B$65,0),MATCH(C106,Roster!$C$6:$C$65,0))-1)+MATCH(B106,{"AM","PM","NIGHT","WD"},0)-1),""))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$266,'Feb'!$D$27:$AH$266,'Mar'!$D$27:$AH$266,'Apr'!$D$27:$AH$266,'May'!$D$27:$AH$266,'Jun'!$D$27:$AH$266,'Jul'!$D$27:$AH$266,'Aug'!$D$27:$AH$266,'Sep'!$D$27:$AH$266,'Oct'!$D$27:$AH$266,'Nov'!$D$27:$AH$266,'Dec'!$D$27:$AH$266,'Jan (next year)'!$D$27:$AH$266),27+4*(IFERROR(MATCH(C107,Roster!$B$6:$B$65,0),MATCH(C107,Roster!$C$6:$C$65,0))-1)+MATCH(B107,{"AM","PM","NIGHT","WD"},0)-1-27+1,DAY(A107))&amp;"",""))</f>
        <v/>
      </c>
      <c r="G107" s="123">
        <f>IF(OR(A107="",C107="",B107="",E107=""),"",IFERROR(A107&amp;"|"&amp;(27+4*(IFERROR(MATCH(C107,Roster!$B$6:$B$65,0),MATCH(C107,Roster!$C$6:$C$65,0))-1)+MATCH(B107,{"AM","PM","NIGHT","WD"},0)-1),""))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$266,'Feb'!$D$27:$AH$266,'Mar'!$D$27:$AH$266,'Apr'!$D$27:$AH$266,'May'!$D$27:$AH$266,'Jun'!$D$27:$AH$266,'Jul'!$D$27:$AH$266,'Aug'!$D$27:$AH$266,'Sep'!$D$27:$AH$266,'Oct'!$D$27:$AH$266,'Nov'!$D$27:$AH$266,'Dec'!$D$27:$AH$266,'Jan (next year)'!$D$27:$AH$266),27+4*(IFERROR(MATCH(C108,Roster!$B$6:$B$65,0),MATCH(C108,Roster!$C$6:$C$65,0))-1)+MATCH(B108,{"AM","PM","NIGHT","WD"},0)-1-27+1,DAY(A108))&amp;"",""))</f>
        <v/>
      </c>
      <c r="G108" s="123">
        <f>IF(OR(A108="",C108="",B108="",E108=""),"",IFERROR(A108&amp;"|"&amp;(27+4*(IFERROR(MATCH(C108,Roster!$B$6:$B$65,0),MATCH(C108,Roster!$C$6:$C$65,0))-1)+MATCH(B108,{"AM","PM","NIGHT","WD"},0)-1),""))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$266,'Feb'!$D$27:$AH$266,'Mar'!$D$27:$AH$266,'Apr'!$D$27:$AH$266,'May'!$D$27:$AH$266,'Jun'!$D$27:$AH$266,'Jul'!$D$27:$AH$266,'Aug'!$D$27:$AH$266,'Sep'!$D$27:$AH$266,'Oct'!$D$27:$AH$266,'Nov'!$D$27:$AH$266,'Dec'!$D$27:$AH$266,'Jan (next year)'!$D$27:$AH$266),27+4*(IFERROR(MATCH(C109,Roster!$B$6:$B$65,0),MATCH(C109,Roster!$C$6:$C$65,0))-1)+MATCH(B109,{"AM","PM","NIGHT","WD"},0)-1-27+1,DAY(A109))&amp;"",""))</f>
        <v/>
      </c>
      <c r="G109" s="123">
        <f>IF(OR(A109="",C109="",B109="",E109=""),"",IFERROR(A109&amp;"|"&amp;(27+4*(IFERROR(MATCH(C109,Roster!$B$6:$B$65,0),MATCH(C109,Roster!$C$6:$C$65,0))-1)+MATCH(B109,{"AM","PM","NIGHT","WD"},0)-1),""))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$266,'Feb'!$D$27:$AH$266,'Mar'!$D$27:$AH$266,'Apr'!$D$27:$AH$266,'May'!$D$27:$AH$266,'Jun'!$D$27:$AH$266,'Jul'!$D$27:$AH$266,'Aug'!$D$27:$AH$266,'Sep'!$D$27:$AH$266,'Oct'!$D$27:$AH$266,'Nov'!$D$27:$AH$266,'Dec'!$D$27:$AH$266,'Jan (next year)'!$D$27:$AH$266),27+4*(IFERROR(MATCH(C110,Roster!$B$6:$B$65,0),MATCH(C110,Roster!$C$6:$C$65,0))-1)+MATCH(B110,{"AM","PM","NIGHT","WD"},0)-1-27+1,DAY(A110))&amp;"",""))</f>
        <v/>
      </c>
      <c r="G110" s="123">
        <f>IF(OR(A110="",C110="",B110="",E110=""),"",IFERROR(A110&amp;"|"&amp;(27+4*(IFERROR(MATCH(C110,Roster!$B$6:$B$65,0),MATCH(C110,Roster!$C$6:$C$65,0))-1)+MATCH(B110,{"AM","PM","NIGHT","WD"},0)-1),""))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$266,'Feb'!$D$27:$AH$266,'Mar'!$D$27:$AH$266,'Apr'!$D$27:$AH$266,'May'!$D$27:$AH$266,'Jun'!$D$27:$AH$266,'Jul'!$D$27:$AH$266,'Aug'!$D$27:$AH$266,'Sep'!$D$27:$AH$266,'Oct'!$D$27:$AH$266,'Nov'!$D$27:$AH$266,'Dec'!$D$27:$AH$266,'Jan (next year)'!$D$27:$AH$266),27+4*(IFERROR(MATCH(C111,Roster!$B$6:$B$65,0),MATCH(C111,Roster!$C$6:$C$65,0))-1)+MATCH(B111,{"AM","PM","NIGHT","WD"},0)-1-27+1,DAY(A111))&amp;"",""))</f>
        <v/>
      </c>
      <c r="G111" s="123">
        <f>IF(OR(A111="",C111="",B111="",E111=""),"",IFERROR(A111&amp;"|"&amp;(27+4*(IFERROR(MATCH(C111,Roster!$B$6:$B$65,0),MATCH(C111,Roster!$C$6:$C$65,0))-1)+MATCH(B111,{"AM","PM","NIGHT","WD"},0)-1),""))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$266,'Feb'!$D$27:$AH$266,'Mar'!$D$27:$AH$266,'Apr'!$D$27:$AH$266,'May'!$D$27:$AH$266,'Jun'!$D$27:$AH$266,'Jul'!$D$27:$AH$266,'Aug'!$D$27:$AH$266,'Sep'!$D$27:$AH$266,'Oct'!$D$27:$AH$266,'Nov'!$D$27:$AH$266,'Dec'!$D$27:$AH$266,'Jan (next year)'!$D$27:$AH$266),27+4*(IFERROR(MATCH(C112,Roster!$B$6:$B$65,0),MATCH(C112,Roster!$C$6:$C$65,0))-1)+MATCH(B112,{"AM","PM","NIGHT","WD"},0)-1-27+1,DAY(A112))&amp;"",""))</f>
        <v/>
      </c>
      <c r="G112" s="123">
        <f>IF(OR(A112="",C112="",B112="",E112=""),"",IFERROR(A112&amp;"|"&amp;(27+4*(IFERROR(MATCH(C112,Roster!$B$6:$B$65,0),MATCH(C112,Roster!$C$6:$C$65,0))-1)+MATCH(B112,{"AM","PM","NIGHT","WD"},0)-1),""))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$266,'Feb'!$D$27:$AH$266,'Mar'!$D$27:$AH$266,'Apr'!$D$27:$AH$266,'May'!$D$27:$AH$266,'Jun'!$D$27:$AH$266,'Jul'!$D$27:$AH$266,'Aug'!$D$27:$AH$266,'Sep'!$D$27:$AH$266,'Oct'!$D$27:$AH$266,'Nov'!$D$27:$AH$266,'Dec'!$D$27:$AH$266,'Jan (next year)'!$D$27:$AH$266),27+4*(IFERROR(MATCH(C113,Roster!$B$6:$B$65,0),MATCH(C113,Roster!$C$6:$C$65,0))-1)+MATCH(B113,{"AM","PM","NIGHT","WD"},0)-1-27+1,DAY(A113))&amp;"",""))</f>
        <v/>
      </c>
      <c r="G113" s="123">
        <f>IF(OR(A113="",C113="",B113="",E113=""),"",IFERROR(A113&amp;"|"&amp;(27+4*(IFERROR(MATCH(C113,Roster!$B$6:$B$65,0),MATCH(C113,Roster!$C$6:$C$65,0))-1)+MATCH(B113,{"AM","PM","NIGHT","WD"},0)-1),""))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$266,'Feb'!$D$27:$AH$266,'Mar'!$D$27:$AH$266,'Apr'!$D$27:$AH$266,'May'!$D$27:$AH$266,'Jun'!$D$27:$AH$266,'Jul'!$D$27:$AH$266,'Aug'!$D$27:$AH$266,'Sep'!$D$27:$AH$266,'Oct'!$D$27:$AH$266,'Nov'!$D$27:$AH$266,'Dec'!$D$27:$AH$266,'Jan (next year)'!$D$27:$AH$266),27+4*(IFERROR(MATCH(C114,Roster!$B$6:$B$65,0),MATCH(C114,Roster!$C$6:$C$65,0))-1)+MATCH(B114,{"AM","PM","NIGHT","WD"},0)-1-27+1,DAY(A114))&amp;"",""))</f>
        <v/>
      </c>
      <c r="G114" s="123">
        <f>IF(OR(A114="",C114="",B114="",E114=""),"",IFERROR(A114&amp;"|"&amp;(27+4*(IFERROR(MATCH(C114,Roster!$B$6:$B$65,0),MATCH(C114,Roster!$C$6:$C$65,0))-1)+MATCH(B114,{"AM","PM","NIGHT","WD"},0)-1),""))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$266,'Feb'!$D$27:$AH$266,'Mar'!$D$27:$AH$266,'Apr'!$D$27:$AH$266,'May'!$D$27:$AH$266,'Jun'!$D$27:$AH$266,'Jul'!$D$27:$AH$266,'Aug'!$D$27:$AH$266,'Sep'!$D$27:$AH$266,'Oct'!$D$27:$AH$266,'Nov'!$D$27:$AH$266,'Dec'!$D$27:$AH$266,'Jan (next year)'!$D$27:$AH$266),27+4*(IFERROR(MATCH(C115,Roster!$B$6:$B$65,0),MATCH(C115,Roster!$C$6:$C$65,0))-1)+MATCH(B115,{"AM","PM","NIGHT","WD"},0)-1-27+1,DAY(A115))&amp;"",""))</f>
        <v/>
      </c>
      <c r="G115" s="123">
        <f>IF(OR(A115="",C115="",B115="",E115=""),"",IFERROR(A115&amp;"|"&amp;(27+4*(IFERROR(MATCH(C115,Roster!$B$6:$B$65,0),MATCH(C115,Roster!$C$6:$C$65,0))-1)+MATCH(B115,{"AM","PM","NIGHT","WD"},0)-1),""))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$266,'Feb'!$D$27:$AH$266,'Mar'!$D$27:$AH$266,'Apr'!$D$27:$AH$266,'May'!$D$27:$AH$266,'Jun'!$D$27:$AH$266,'Jul'!$D$27:$AH$266,'Aug'!$D$27:$AH$266,'Sep'!$D$27:$AH$266,'Oct'!$D$27:$AH$266,'Nov'!$D$27:$AH$266,'Dec'!$D$27:$AH$266,'Jan (next year)'!$D$27:$AH$266),27+4*(IFERROR(MATCH(C116,Roster!$B$6:$B$65,0),MATCH(C116,Roster!$C$6:$C$65,0))-1)+MATCH(B116,{"AM","PM","NIGHT","WD"},0)-1-27+1,DAY(A116))&amp;"",""))</f>
        <v/>
      </c>
      <c r="G116" s="123">
        <f>IF(OR(A116="",C116="",B116="",E116=""),"",IFERROR(A116&amp;"|"&amp;(27+4*(IFERROR(MATCH(C116,Roster!$B$6:$B$65,0),MATCH(C116,Roster!$C$6:$C$65,0))-1)+MATCH(B116,{"AM","PM","NIGHT","WD"},0)-1),""))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$266,'Feb'!$D$27:$AH$266,'Mar'!$D$27:$AH$266,'Apr'!$D$27:$AH$266,'May'!$D$27:$AH$266,'Jun'!$D$27:$AH$266,'Jul'!$D$27:$AH$266,'Aug'!$D$27:$AH$266,'Sep'!$D$27:$AH$266,'Oct'!$D$27:$AH$266,'Nov'!$D$27:$AH$266,'Dec'!$D$27:$AH$266,'Jan (next year)'!$D$27:$AH$266),27+4*(IFERROR(MATCH(C117,Roster!$B$6:$B$65,0),MATCH(C117,Roster!$C$6:$C$65,0))-1)+MATCH(B117,{"AM","PM","NIGHT","WD"},0)-1-27+1,DAY(A117))&amp;"",""))</f>
        <v/>
      </c>
      <c r="G117" s="123">
        <f>IF(OR(A117="",C117="",B117="",E117=""),"",IFERROR(A117&amp;"|"&amp;(27+4*(IFERROR(MATCH(C117,Roster!$B$6:$B$65,0),MATCH(C117,Roster!$C$6:$C$65,0))-1)+MATCH(B117,{"AM","PM","NIGHT","WD"},0)-1),""))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$266,'Feb'!$D$27:$AH$266,'Mar'!$D$27:$AH$266,'Apr'!$D$27:$AH$266,'May'!$D$27:$AH$266,'Jun'!$D$27:$AH$266,'Jul'!$D$27:$AH$266,'Aug'!$D$27:$AH$266,'Sep'!$D$27:$AH$266,'Oct'!$D$27:$AH$266,'Nov'!$D$27:$AH$266,'Dec'!$D$27:$AH$266,'Jan (next year)'!$D$27:$AH$266),27+4*(IFERROR(MATCH(C118,Roster!$B$6:$B$65,0),MATCH(C118,Roster!$C$6:$C$65,0))-1)+MATCH(B118,{"AM","PM","NIGHT","WD"},0)-1-27+1,DAY(A118))&amp;"",""))</f>
        <v/>
      </c>
      <c r="G118" s="123">
        <f>IF(OR(A118="",C118="",B118="",E118=""),"",IFERROR(A118&amp;"|"&amp;(27+4*(IFERROR(MATCH(C118,Roster!$B$6:$B$65,0),MATCH(C118,Roster!$C$6:$C$65,0))-1)+MATCH(B118,{"AM","PM","NIGHT","WD"},0)-1),""))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$266,'Feb'!$D$27:$AH$266,'Mar'!$D$27:$AH$266,'Apr'!$D$27:$AH$266,'May'!$D$27:$AH$266,'Jun'!$D$27:$AH$266,'Jul'!$D$27:$AH$266,'Aug'!$D$27:$AH$266,'Sep'!$D$27:$AH$266,'Oct'!$D$27:$AH$266,'Nov'!$D$27:$AH$266,'Dec'!$D$27:$AH$266,'Jan (next year)'!$D$27:$AH$266),27+4*(IFERROR(MATCH(C119,Roster!$B$6:$B$65,0),MATCH(C119,Roster!$C$6:$C$65,0))-1)+MATCH(B119,{"AM","PM","NIGHT","WD"},0)-1-27+1,DAY(A119))&amp;"",""))</f>
        <v/>
      </c>
      <c r="G119" s="123">
        <f>IF(OR(A119="",C119="",B119="",E119=""),"",IFERROR(A119&amp;"|"&amp;(27+4*(IFERROR(MATCH(C119,Roster!$B$6:$B$65,0),MATCH(C119,Roster!$C$6:$C$65,0))-1)+MATCH(B119,{"AM","PM","NIGHT","WD"},0)-1),""))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$266,'Feb'!$D$27:$AH$266,'Mar'!$D$27:$AH$266,'Apr'!$D$27:$AH$266,'May'!$D$27:$AH$266,'Jun'!$D$27:$AH$266,'Jul'!$D$27:$AH$266,'Aug'!$D$27:$AH$266,'Sep'!$D$27:$AH$266,'Oct'!$D$27:$AH$266,'Nov'!$D$27:$AH$266,'Dec'!$D$27:$AH$266,'Jan (next year)'!$D$27:$AH$266),27+4*(IFERROR(MATCH(C120,Roster!$B$6:$B$65,0),MATCH(C120,Roster!$C$6:$C$65,0))-1)+MATCH(B120,{"AM","PM","NIGHT","WD"},0)-1-27+1,DAY(A120))&amp;"",""))</f>
        <v/>
      </c>
      <c r="G120" s="123">
        <f>IF(OR(A120="",C120="",B120="",E120=""),"",IFERROR(A120&amp;"|"&amp;(27+4*(IFERROR(MATCH(C120,Roster!$B$6:$B$65,0),MATCH(C120,Roster!$C$6:$C$65,0))-1)+MATCH(B120,{"AM","PM","NIGHT","WD"},0)-1),""))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$266,'Feb'!$D$27:$AH$266,'Mar'!$D$27:$AH$266,'Apr'!$D$27:$AH$266,'May'!$D$27:$AH$266,'Jun'!$D$27:$AH$266,'Jul'!$D$27:$AH$266,'Aug'!$D$27:$AH$266,'Sep'!$D$27:$AH$266,'Oct'!$D$27:$AH$266,'Nov'!$D$27:$AH$266,'Dec'!$D$27:$AH$266,'Jan (next year)'!$D$27:$AH$266),27+4*(IFERROR(MATCH(C121,Roster!$B$6:$B$65,0),MATCH(C121,Roster!$C$6:$C$65,0))-1)+MATCH(B121,{"AM","PM","NIGHT","WD"},0)-1-27+1,DAY(A121))&amp;"",""))</f>
        <v/>
      </c>
      <c r="G121" s="123">
        <f>IF(OR(A121="",C121="",B121="",E121=""),"",IFERROR(A121&amp;"|"&amp;(27+4*(IFERROR(MATCH(C121,Roster!$B$6:$B$65,0),MATCH(C121,Roster!$C$6:$C$65,0))-1)+MATCH(B121,{"AM","PM","NIGHT","WD"},0)-1),""))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$266,'Feb'!$D$27:$AH$266,'Mar'!$D$27:$AH$266,'Apr'!$D$27:$AH$266,'May'!$D$27:$AH$266,'Jun'!$D$27:$AH$266,'Jul'!$D$27:$AH$266,'Aug'!$D$27:$AH$266,'Sep'!$D$27:$AH$266,'Oct'!$D$27:$AH$266,'Nov'!$D$27:$AH$266,'Dec'!$D$27:$AH$266,'Jan (next year)'!$D$27:$AH$266),27+4*(IFERROR(MATCH(C122,Roster!$B$6:$B$65,0),MATCH(C122,Roster!$C$6:$C$65,0))-1)+MATCH(B122,{"AM","PM","NIGHT","WD"},0)-1-27+1,DAY(A122))&amp;"",""))</f>
        <v/>
      </c>
      <c r="G122" s="123">
        <f>IF(OR(A122="",C122="",B122="",E122=""),"",IFERROR(A122&amp;"|"&amp;(27+4*(IFERROR(MATCH(C122,Roster!$B$6:$B$65,0),MATCH(C122,Roster!$C$6:$C$65,0))-1)+MATCH(B122,{"AM","PM","NIGHT","WD"},0)-1),""))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$266,'Feb'!$D$27:$AH$266,'Mar'!$D$27:$AH$266,'Apr'!$D$27:$AH$266,'May'!$D$27:$AH$266,'Jun'!$D$27:$AH$266,'Jul'!$D$27:$AH$266,'Aug'!$D$27:$AH$266,'Sep'!$D$27:$AH$266,'Oct'!$D$27:$AH$266,'Nov'!$D$27:$AH$266,'Dec'!$D$27:$AH$266,'Jan (next year)'!$D$27:$AH$266),27+4*(IFERROR(MATCH(C123,Roster!$B$6:$B$65,0),MATCH(C123,Roster!$C$6:$C$65,0))-1)+MATCH(B123,{"AM","PM","NIGHT","WD"},0)-1-27+1,DAY(A123))&amp;"",""))</f>
        <v/>
      </c>
      <c r="G123" s="123">
        <f>IF(OR(A123="",C123="",B123="",E123=""),"",IFERROR(A123&amp;"|"&amp;(27+4*(IFERROR(MATCH(C123,Roster!$B$6:$B$65,0),MATCH(C123,Roster!$C$6:$C$65,0))-1)+MATCH(B123,{"AM","PM","NIGHT","WD"},0)-1),""))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$266,'Feb'!$D$27:$AH$266,'Mar'!$D$27:$AH$266,'Apr'!$D$27:$AH$266,'May'!$D$27:$AH$266,'Jun'!$D$27:$AH$266,'Jul'!$D$27:$AH$266,'Aug'!$D$27:$AH$266,'Sep'!$D$27:$AH$266,'Oct'!$D$27:$AH$266,'Nov'!$D$27:$AH$266,'Dec'!$D$27:$AH$266,'Jan (next year)'!$D$27:$AH$266),27+4*(IFERROR(MATCH(C124,Roster!$B$6:$B$65,0),MATCH(C124,Roster!$C$6:$C$65,0))-1)+MATCH(B124,{"AM","PM","NIGHT","WD"},0)-1-27+1,DAY(A124))&amp;"",""))</f>
        <v/>
      </c>
      <c r="G124" s="123">
        <f>IF(OR(A124="",C124="",B124="",E124=""),"",IFERROR(A124&amp;"|"&amp;(27+4*(IFERROR(MATCH(C124,Roster!$B$6:$B$65,0),MATCH(C124,Roster!$C$6:$C$65,0))-1)+MATCH(B124,{"AM","PM","NIGHT","WD"},0)-1),""))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$266,'Feb'!$D$27:$AH$266,'Mar'!$D$27:$AH$266,'Apr'!$D$27:$AH$266,'May'!$D$27:$AH$266,'Jun'!$D$27:$AH$266,'Jul'!$D$27:$AH$266,'Aug'!$D$27:$AH$266,'Sep'!$D$27:$AH$266,'Oct'!$D$27:$AH$266,'Nov'!$D$27:$AH$266,'Dec'!$D$27:$AH$266,'Jan (next year)'!$D$27:$AH$266),27+4*(IFERROR(MATCH(C125,Roster!$B$6:$B$65,0),MATCH(C125,Roster!$C$6:$C$65,0))-1)+MATCH(B125,{"AM","PM","NIGHT","WD"},0)-1-27+1,DAY(A125))&amp;"",""))</f>
        <v/>
      </c>
      <c r="G125" s="123">
        <f>IF(OR(A125="",C125="",B125="",E125=""),"",IFERROR(A125&amp;"|"&amp;(27+4*(IFERROR(MATCH(C125,Roster!$B$6:$B$65,0),MATCH(C125,Roster!$C$6:$C$65,0))-1)+MATCH(B125,{"AM","PM","NIGHT","WD"},0)-1),""))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$266,'Feb'!$D$27:$AH$266,'Mar'!$D$27:$AH$266,'Apr'!$D$27:$AH$266,'May'!$D$27:$AH$266,'Jun'!$D$27:$AH$266,'Jul'!$D$27:$AH$266,'Aug'!$D$27:$AH$266,'Sep'!$D$27:$AH$266,'Oct'!$D$27:$AH$266,'Nov'!$D$27:$AH$266,'Dec'!$D$27:$AH$266,'Jan (next year)'!$D$27:$AH$266),27+4*(IFERROR(MATCH(C126,Roster!$B$6:$B$65,0),MATCH(C126,Roster!$C$6:$C$65,0))-1)+MATCH(B126,{"AM","PM","NIGHT","WD"},0)-1-27+1,DAY(A126))&amp;"",""))</f>
        <v/>
      </c>
      <c r="G126" s="123">
        <f>IF(OR(A126="",C126="",B126="",E126=""),"",IFERROR(A126&amp;"|"&amp;(27+4*(IFERROR(MATCH(C126,Roster!$B$6:$B$65,0),MATCH(C126,Roster!$C$6:$C$65,0))-1)+MATCH(B126,{"AM","PM","NIGHT","WD"},0)-1),""))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$266,'Feb'!$D$27:$AH$266,'Mar'!$D$27:$AH$266,'Apr'!$D$27:$AH$266,'May'!$D$27:$AH$266,'Jun'!$D$27:$AH$266,'Jul'!$D$27:$AH$266,'Aug'!$D$27:$AH$266,'Sep'!$D$27:$AH$266,'Oct'!$D$27:$AH$266,'Nov'!$D$27:$AH$266,'Dec'!$D$27:$AH$266,'Jan (next year)'!$D$27:$AH$266),27+4*(IFERROR(MATCH(C127,Roster!$B$6:$B$65,0),MATCH(C127,Roster!$C$6:$C$65,0))-1)+MATCH(B127,{"AM","PM","NIGHT","WD"},0)-1-27+1,DAY(A127))&amp;"",""))</f>
        <v/>
      </c>
      <c r="G127" s="123">
        <f>IF(OR(A127="",C127="",B127="",E127=""),"",IFERROR(A127&amp;"|"&amp;(27+4*(IFERROR(MATCH(C127,Roster!$B$6:$B$65,0),MATCH(C127,Roster!$C$6:$C$65,0))-1)+MATCH(B127,{"AM","PM","NIGHT","WD"},0)-1),""))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$266,'Feb'!$D$27:$AH$266,'Mar'!$D$27:$AH$266,'Apr'!$D$27:$AH$266,'May'!$D$27:$AH$266,'Jun'!$D$27:$AH$266,'Jul'!$D$27:$AH$266,'Aug'!$D$27:$AH$266,'Sep'!$D$27:$AH$266,'Oct'!$D$27:$AH$266,'Nov'!$D$27:$AH$266,'Dec'!$D$27:$AH$266,'Jan (next year)'!$D$27:$AH$266),27+4*(IFERROR(MATCH(C128,Roster!$B$6:$B$65,0),MATCH(C128,Roster!$C$6:$C$65,0))-1)+MATCH(B128,{"AM","PM","NIGHT","WD"},0)-1-27+1,DAY(A128))&amp;"",""))</f>
        <v/>
      </c>
      <c r="G128" s="123">
        <f>IF(OR(A128="",C128="",B128="",E128=""),"",IFERROR(A128&amp;"|"&amp;(27+4*(IFERROR(MATCH(C128,Roster!$B$6:$B$65,0),MATCH(C128,Roster!$C$6:$C$65,0))-1)+MATCH(B128,{"AM","PM","NIGHT","WD"},0)-1),""))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$266,'Feb'!$D$27:$AH$266,'Mar'!$D$27:$AH$266,'Apr'!$D$27:$AH$266,'May'!$D$27:$AH$266,'Jun'!$D$27:$AH$266,'Jul'!$D$27:$AH$266,'Aug'!$D$27:$AH$266,'Sep'!$D$27:$AH$266,'Oct'!$D$27:$AH$266,'Nov'!$D$27:$AH$266,'Dec'!$D$27:$AH$266,'Jan (next year)'!$D$27:$AH$266),27+4*(IFERROR(MATCH(C129,Roster!$B$6:$B$65,0),MATCH(C129,Roster!$C$6:$C$65,0))-1)+MATCH(B129,{"AM","PM","NIGHT","WD"},0)-1-27+1,DAY(A129))&amp;"",""))</f>
        <v/>
      </c>
      <c r="G129" s="123">
        <f>IF(OR(A129="",C129="",B129="",E129=""),"",IFERROR(A129&amp;"|"&amp;(27+4*(IFERROR(MATCH(C129,Roster!$B$6:$B$65,0),MATCH(C129,Roster!$C$6:$C$65,0))-1)+MATCH(B129,{"AM","PM","NIGHT","WD"},0)-1),""))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$266,'Feb'!$D$27:$AH$266,'Mar'!$D$27:$AH$266,'Apr'!$D$27:$AH$266,'May'!$D$27:$AH$266,'Jun'!$D$27:$AH$266,'Jul'!$D$27:$AH$266,'Aug'!$D$27:$AH$266,'Sep'!$D$27:$AH$266,'Oct'!$D$27:$AH$266,'Nov'!$D$27:$AH$266,'Dec'!$D$27:$AH$266,'Jan (next year)'!$D$27:$AH$266),27+4*(IFERROR(MATCH(C130,Roster!$B$6:$B$65,0),MATCH(C130,Roster!$C$6:$C$65,0))-1)+MATCH(B130,{"AM","PM","NIGHT","WD"},0)-1-27+1,DAY(A130))&amp;"",""))</f>
        <v/>
      </c>
      <c r="G130" s="123">
        <f>IF(OR(A130="",C130="",B130="",E130=""),"",IFERROR(A130&amp;"|"&amp;(27+4*(IFERROR(MATCH(C130,Roster!$B$6:$B$65,0),MATCH(C130,Roster!$C$6:$C$65,0))-1)+MATCH(B130,{"AM","PM","NIGHT","WD"},0)-1),""))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$266,'Feb'!$D$27:$AH$266,'Mar'!$D$27:$AH$266,'Apr'!$D$27:$AH$266,'May'!$D$27:$AH$266,'Jun'!$D$27:$AH$266,'Jul'!$D$27:$AH$266,'Aug'!$D$27:$AH$266,'Sep'!$D$27:$AH$266,'Oct'!$D$27:$AH$266,'Nov'!$D$27:$AH$266,'Dec'!$D$27:$AH$266,'Jan (next year)'!$D$27:$AH$266),27+4*(IFERROR(MATCH(C131,Roster!$B$6:$B$65,0),MATCH(C131,Roster!$C$6:$C$65,0))-1)+MATCH(B131,{"AM","PM","NIGHT","WD"},0)-1-27+1,DAY(A131))&amp;"",""))</f>
        <v/>
      </c>
      <c r="G131" s="123">
        <f>IF(OR(A131="",C131="",B131="",E131=""),"",IFERROR(A131&amp;"|"&amp;(27+4*(IFERROR(MATCH(C131,Roster!$B$6:$B$65,0),MATCH(C131,Roster!$C$6:$C$65,0))-1)+MATCH(B131,{"AM","PM","NIGHT","WD"},0)-1),""))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$266,'Feb'!$D$27:$AH$266,'Mar'!$D$27:$AH$266,'Apr'!$D$27:$AH$266,'May'!$D$27:$AH$266,'Jun'!$D$27:$AH$266,'Jul'!$D$27:$AH$266,'Aug'!$D$27:$AH$266,'Sep'!$D$27:$AH$266,'Oct'!$D$27:$AH$266,'Nov'!$D$27:$AH$266,'Dec'!$D$27:$AH$266,'Jan (next year)'!$D$27:$AH$266),27+4*(IFERROR(MATCH(C132,Roster!$B$6:$B$65,0),MATCH(C132,Roster!$C$6:$C$65,0))-1)+MATCH(B132,{"AM","PM","NIGHT","WD"},0)-1-27+1,DAY(A132))&amp;"",""))</f>
        <v/>
      </c>
      <c r="G132" s="123">
        <f>IF(OR(A132="",C132="",B132="",E132=""),"",IFERROR(A132&amp;"|"&amp;(27+4*(IFERROR(MATCH(C132,Roster!$B$6:$B$65,0),MATCH(C132,Roster!$C$6:$C$65,0))-1)+MATCH(B132,{"AM","PM","NIGHT","WD"},0)-1),""))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$266,'Feb'!$D$27:$AH$266,'Mar'!$D$27:$AH$266,'Apr'!$D$27:$AH$266,'May'!$D$27:$AH$266,'Jun'!$D$27:$AH$266,'Jul'!$D$27:$AH$266,'Aug'!$D$27:$AH$266,'Sep'!$D$27:$AH$266,'Oct'!$D$27:$AH$266,'Nov'!$D$27:$AH$266,'Dec'!$D$27:$AH$266,'Jan (next year)'!$D$27:$AH$266),27+4*(IFERROR(MATCH(C133,Roster!$B$6:$B$65,0),MATCH(C133,Roster!$C$6:$C$65,0))-1)+MATCH(B133,{"AM","PM","NIGHT","WD"},0)-1-27+1,DAY(A133))&amp;"",""))</f>
        <v/>
      </c>
      <c r="G133" s="123">
        <f>IF(OR(A133="",C133="",B133="",E133=""),"",IFERROR(A133&amp;"|"&amp;(27+4*(IFERROR(MATCH(C133,Roster!$B$6:$B$65,0),MATCH(C133,Roster!$C$6:$C$65,0))-1)+MATCH(B133,{"AM","PM","NIGHT","WD"},0)-1),""))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$266,'Feb'!$D$27:$AH$266,'Mar'!$D$27:$AH$266,'Apr'!$D$27:$AH$266,'May'!$D$27:$AH$266,'Jun'!$D$27:$AH$266,'Jul'!$D$27:$AH$266,'Aug'!$D$27:$AH$266,'Sep'!$D$27:$AH$266,'Oct'!$D$27:$AH$266,'Nov'!$D$27:$AH$266,'Dec'!$D$27:$AH$266,'Jan (next year)'!$D$27:$AH$266),27+4*(IFERROR(MATCH(C134,Roster!$B$6:$B$65,0),MATCH(C134,Roster!$C$6:$C$65,0))-1)+MATCH(B134,{"AM","PM","NIGHT","WD"},0)-1-27+1,DAY(A134))&amp;"",""))</f>
        <v/>
      </c>
      <c r="G134" s="123">
        <f>IF(OR(A134="",C134="",B134="",E134=""),"",IFERROR(A134&amp;"|"&amp;(27+4*(IFERROR(MATCH(C134,Roster!$B$6:$B$65,0),MATCH(C134,Roster!$C$6:$C$65,0))-1)+MATCH(B134,{"AM","PM","NIGHT","WD"},0)-1),""))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$266,'Feb'!$D$27:$AH$266,'Mar'!$D$27:$AH$266,'Apr'!$D$27:$AH$266,'May'!$D$27:$AH$266,'Jun'!$D$27:$AH$266,'Jul'!$D$27:$AH$266,'Aug'!$D$27:$AH$266,'Sep'!$D$27:$AH$266,'Oct'!$D$27:$AH$266,'Nov'!$D$27:$AH$266,'Dec'!$D$27:$AH$266,'Jan (next year)'!$D$27:$AH$266),27+4*(IFERROR(MATCH(C135,Roster!$B$6:$B$65,0),MATCH(C135,Roster!$C$6:$C$65,0))-1)+MATCH(B135,{"AM","PM","NIGHT","WD"},0)-1-27+1,DAY(A135))&amp;"",""))</f>
        <v/>
      </c>
      <c r="G135" s="123">
        <f>IF(OR(A135="",C135="",B135="",E135=""),"",IFERROR(A135&amp;"|"&amp;(27+4*(IFERROR(MATCH(C135,Roster!$B$6:$B$65,0),MATCH(C135,Roster!$C$6:$C$65,0))-1)+MATCH(B135,{"AM","PM","NIGHT","WD"},0)-1),""))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$266,'Feb'!$D$27:$AH$266,'Mar'!$D$27:$AH$266,'Apr'!$D$27:$AH$266,'May'!$D$27:$AH$266,'Jun'!$D$27:$AH$266,'Jul'!$D$27:$AH$266,'Aug'!$D$27:$AH$266,'Sep'!$D$27:$AH$266,'Oct'!$D$27:$AH$266,'Nov'!$D$27:$AH$266,'Dec'!$D$27:$AH$266,'Jan (next year)'!$D$27:$AH$266),27+4*(IFERROR(MATCH(C136,Roster!$B$6:$B$65,0),MATCH(C136,Roster!$C$6:$C$65,0))-1)+MATCH(B136,{"AM","PM","NIGHT","WD"},0)-1-27+1,DAY(A136))&amp;"",""))</f>
        <v/>
      </c>
      <c r="G136" s="123">
        <f>IF(OR(A136="",C136="",B136="",E136=""),"",IFERROR(A136&amp;"|"&amp;(27+4*(IFERROR(MATCH(C136,Roster!$B$6:$B$65,0),MATCH(C136,Roster!$C$6:$C$65,0))-1)+MATCH(B136,{"AM","PM","NIGHT","WD"},0)-1),""))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$266,'Feb'!$D$27:$AH$266,'Mar'!$D$27:$AH$266,'Apr'!$D$27:$AH$266,'May'!$D$27:$AH$266,'Jun'!$D$27:$AH$266,'Jul'!$D$27:$AH$266,'Aug'!$D$27:$AH$266,'Sep'!$D$27:$AH$266,'Oct'!$D$27:$AH$266,'Nov'!$D$27:$AH$266,'Dec'!$D$27:$AH$266,'Jan (next year)'!$D$27:$AH$266),27+4*(IFERROR(MATCH(C137,Roster!$B$6:$B$65,0),MATCH(C137,Roster!$C$6:$C$65,0))-1)+MATCH(B137,{"AM","PM","NIGHT","WD"},0)-1-27+1,DAY(A137))&amp;"",""))</f>
        <v/>
      </c>
      <c r="G137" s="123">
        <f>IF(OR(A137="",C137="",B137="",E137=""),"",IFERROR(A137&amp;"|"&amp;(27+4*(IFERROR(MATCH(C137,Roster!$B$6:$B$65,0),MATCH(C137,Roster!$C$6:$C$65,0))-1)+MATCH(B137,{"AM","PM","NIGHT","WD"},0)-1),""))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$266,'Feb'!$D$27:$AH$266,'Mar'!$D$27:$AH$266,'Apr'!$D$27:$AH$266,'May'!$D$27:$AH$266,'Jun'!$D$27:$AH$266,'Jul'!$D$27:$AH$266,'Aug'!$D$27:$AH$266,'Sep'!$D$27:$AH$266,'Oct'!$D$27:$AH$266,'Nov'!$D$27:$AH$266,'Dec'!$D$27:$AH$266,'Jan (next year)'!$D$27:$AH$266),27+4*(IFERROR(MATCH(C138,Roster!$B$6:$B$65,0),MATCH(C138,Roster!$C$6:$C$65,0))-1)+MATCH(B138,{"AM","PM","NIGHT","WD"},0)-1-27+1,DAY(A138))&amp;"",""))</f>
        <v/>
      </c>
      <c r="G138" s="123">
        <f>IF(OR(A138="",C138="",B138="",E138=""),"",IFERROR(A138&amp;"|"&amp;(27+4*(IFERROR(MATCH(C138,Roster!$B$6:$B$65,0),MATCH(C138,Roster!$C$6:$C$65,0))-1)+MATCH(B138,{"AM","PM","NIGHT","WD"},0)-1),""))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$266,'Feb'!$D$27:$AH$266,'Mar'!$D$27:$AH$266,'Apr'!$D$27:$AH$266,'May'!$D$27:$AH$266,'Jun'!$D$27:$AH$266,'Jul'!$D$27:$AH$266,'Aug'!$D$27:$AH$266,'Sep'!$D$27:$AH$266,'Oct'!$D$27:$AH$266,'Nov'!$D$27:$AH$266,'Dec'!$D$27:$AH$266,'Jan (next year)'!$D$27:$AH$266),27+4*(IFERROR(MATCH(C139,Roster!$B$6:$B$65,0),MATCH(C139,Roster!$C$6:$C$65,0))-1)+MATCH(B139,{"AM","PM","NIGHT","WD"},0)-1-27+1,DAY(A139))&amp;"",""))</f>
        <v/>
      </c>
      <c r="G139" s="123">
        <f>IF(OR(A139="",C139="",B139="",E139=""),"",IFERROR(A139&amp;"|"&amp;(27+4*(IFERROR(MATCH(C139,Roster!$B$6:$B$65,0),MATCH(C139,Roster!$C$6:$C$65,0))-1)+MATCH(B139,{"AM","PM","NIGHT","WD"},0)-1),""))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$266,'Feb'!$D$27:$AH$266,'Mar'!$D$27:$AH$266,'Apr'!$D$27:$AH$266,'May'!$D$27:$AH$266,'Jun'!$D$27:$AH$266,'Jul'!$D$27:$AH$266,'Aug'!$D$27:$AH$266,'Sep'!$D$27:$AH$266,'Oct'!$D$27:$AH$266,'Nov'!$D$27:$AH$266,'Dec'!$D$27:$AH$266,'Jan (next year)'!$D$27:$AH$266),27+4*(IFERROR(MATCH(C140,Roster!$B$6:$B$65,0),MATCH(C140,Roster!$C$6:$C$65,0))-1)+MATCH(B140,{"AM","PM","NIGHT","WD"},0)-1-27+1,DAY(A140))&amp;"",""))</f>
        <v/>
      </c>
      <c r="G140" s="123">
        <f>IF(OR(A140="",C140="",B140="",E140=""),"",IFERROR(A140&amp;"|"&amp;(27+4*(IFERROR(MATCH(C140,Roster!$B$6:$B$65,0),MATCH(C140,Roster!$C$6:$C$65,0))-1)+MATCH(B140,{"AM","PM","NIGHT","WD"},0)-1),""))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$266,'Feb'!$D$27:$AH$266,'Mar'!$D$27:$AH$266,'Apr'!$D$27:$AH$266,'May'!$D$27:$AH$266,'Jun'!$D$27:$AH$266,'Jul'!$D$27:$AH$266,'Aug'!$D$27:$AH$266,'Sep'!$D$27:$AH$266,'Oct'!$D$27:$AH$266,'Nov'!$D$27:$AH$266,'Dec'!$D$27:$AH$266,'Jan (next year)'!$D$27:$AH$266),27+4*(IFERROR(MATCH(C141,Roster!$B$6:$B$65,0),MATCH(C141,Roster!$C$6:$C$65,0))-1)+MATCH(B141,{"AM","PM","NIGHT","WD"},0)-1-27+1,DAY(A141))&amp;"",""))</f>
        <v/>
      </c>
      <c r="G141" s="123">
        <f>IF(OR(A141="",C141="",B141="",E141=""),"",IFERROR(A141&amp;"|"&amp;(27+4*(IFERROR(MATCH(C141,Roster!$B$6:$B$65,0),MATCH(C141,Roster!$C$6:$C$65,0))-1)+MATCH(B141,{"AM","PM","NIGHT","WD"},0)-1),""))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$266,'Feb'!$D$27:$AH$266,'Mar'!$D$27:$AH$266,'Apr'!$D$27:$AH$266,'May'!$D$27:$AH$266,'Jun'!$D$27:$AH$266,'Jul'!$D$27:$AH$266,'Aug'!$D$27:$AH$266,'Sep'!$D$27:$AH$266,'Oct'!$D$27:$AH$266,'Nov'!$D$27:$AH$266,'Dec'!$D$27:$AH$266,'Jan (next year)'!$D$27:$AH$266),27+4*(IFERROR(MATCH(C142,Roster!$B$6:$B$65,0),MATCH(C142,Roster!$C$6:$C$65,0))-1)+MATCH(B142,{"AM","PM","NIGHT","WD"},0)-1-27+1,DAY(A142))&amp;"",""))</f>
        <v/>
      </c>
      <c r="G142" s="123">
        <f>IF(OR(A142="",C142="",B142="",E142=""),"",IFERROR(A142&amp;"|"&amp;(27+4*(IFERROR(MATCH(C142,Roster!$B$6:$B$65,0),MATCH(C142,Roster!$C$6:$C$65,0))-1)+MATCH(B142,{"AM","PM","NIGHT","WD"},0)-1),""))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$266,'Feb'!$D$27:$AH$266,'Mar'!$D$27:$AH$266,'Apr'!$D$27:$AH$266,'May'!$D$27:$AH$266,'Jun'!$D$27:$AH$266,'Jul'!$D$27:$AH$266,'Aug'!$D$27:$AH$266,'Sep'!$D$27:$AH$266,'Oct'!$D$27:$AH$266,'Nov'!$D$27:$AH$266,'Dec'!$D$27:$AH$266,'Jan (next year)'!$D$27:$AH$266),27+4*(IFERROR(MATCH(C143,Roster!$B$6:$B$65,0),MATCH(C143,Roster!$C$6:$C$65,0))-1)+MATCH(B143,{"AM","PM","NIGHT","WD"},0)-1-27+1,DAY(A143))&amp;"",""))</f>
        <v/>
      </c>
      <c r="G143" s="123">
        <f>IF(OR(A143="",C143="",B143="",E143=""),"",IFERROR(A143&amp;"|"&amp;(27+4*(IFERROR(MATCH(C143,Roster!$B$6:$B$65,0),MATCH(C143,Roster!$C$6:$C$65,0))-1)+MATCH(B143,{"AM","PM","NIGHT","WD"},0)-1),""))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$266,'Feb'!$D$27:$AH$266,'Mar'!$D$27:$AH$266,'Apr'!$D$27:$AH$266,'May'!$D$27:$AH$266,'Jun'!$D$27:$AH$266,'Jul'!$D$27:$AH$266,'Aug'!$D$27:$AH$266,'Sep'!$D$27:$AH$266,'Oct'!$D$27:$AH$266,'Nov'!$D$27:$AH$266,'Dec'!$D$27:$AH$266,'Jan (next year)'!$D$27:$AH$266),27+4*(IFERROR(MATCH(C144,Roster!$B$6:$B$65,0),MATCH(C144,Roster!$C$6:$C$65,0))-1)+MATCH(B144,{"AM","PM","NIGHT","WD"},0)-1-27+1,DAY(A144))&amp;"",""))</f>
        <v/>
      </c>
      <c r="G144" s="123">
        <f>IF(OR(A144="",C144="",B144="",E144=""),"",IFERROR(A144&amp;"|"&amp;(27+4*(IFERROR(MATCH(C144,Roster!$B$6:$B$65,0),MATCH(C144,Roster!$C$6:$C$65,0))-1)+MATCH(B144,{"AM","PM","NIGHT","WD"},0)-1),""))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$266,'Feb'!$D$27:$AH$266,'Mar'!$D$27:$AH$266,'Apr'!$D$27:$AH$266,'May'!$D$27:$AH$266,'Jun'!$D$27:$AH$266,'Jul'!$D$27:$AH$266,'Aug'!$D$27:$AH$266,'Sep'!$D$27:$AH$266,'Oct'!$D$27:$AH$266,'Nov'!$D$27:$AH$266,'Dec'!$D$27:$AH$266,'Jan (next year)'!$D$27:$AH$266),27+4*(IFERROR(MATCH(C145,Roster!$B$6:$B$65,0),MATCH(C145,Roster!$C$6:$C$65,0))-1)+MATCH(B145,{"AM","PM","NIGHT","WD"},0)-1-27+1,DAY(A145))&amp;"",""))</f>
        <v/>
      </c>
      <c r="G145" s="123">
        <f>IF(OR(A145="",C145="",B145="",E145=""),"",IFERROR(A145&amp;"|"&amp;(27+4*(IFERROR(MATCH(C145,Roster!$B$6:$B$65,0),MATCH(C145,Roster!$C$6:$C$65,0))-1)+MATCH(B145,{"AM","PM","NIGHT","WD"},0)-1),""))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$266,'Feb'!$D$27:$AH$266,'Mar'!$D$27:$AH$266,'Apr'!$D$27:$AH$266,'May'!$D$27:$AH$266,'Jun'!$D$27:$AH$266,'Jul'!$D$27:$AH$266,'Aug'!$D$27:$AH$266,'Sep'!$D$27:$AH$266,'Oct'!$D$27:$AH$266,'Nov'!$D$27:$AH$266,'Dec'!$D$27:$AH$266,'Jan (next year)'!$D$27:$AH$266),27+4*(IFERROR(MATCH(C146,Roster!$B$6:$B$65,0),MATCH(C146,Roster!$C$6:$C$65,0))-1)+MATCH(B146,{"AM","PM","NIGHT","WD"},0)-1-27+1,DAY(A146))&amp;"",""))</f>
        <v/>
      </c>
      <c r="G146" s="123">
        <f>IF(OR(A146="",C146="",B146="",E146=""),"",IFERROR(A146&amp;"|"&amp;(27+4*(IFERROR(MATCH(C146,Roster!$B$6:$B$65,0),MATCH(C146,Roster!$C$6:$C$65,0))-1)+MATCH(B146,{"AM","PM","NIGHT","WD"},0)-1),""))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$266,'Feb'!$D$27:$AH$266,'Mar'!$D$27:$AH$266,'Apr'!$D$27:$AH$266,'May'!$D$27:$AH$266,'Jun'!$D$27:$AH$266,'Jul'!$D$27:$AH$266,'Aug'!$D$27:$AH$266,'Sep'!$D$27:$AH$266,'Oct'!$D$27:$AH$266,'Nov'!$D$27:$AH$266,'Dec'!$D$27:$AH$266,'Jan (next year)'!$D$27:$AH$266),27+4*(IFERROR(MATCH(C147,Roster!$B$6:$B$65,0),MATCH(C147,Roster!$C$6:$C$65,0))-1)+MATCH(B147,{"AM","PM","NIGHT","WD"},0)-1-27+1,DAY(A147))&amp;"",""))</f>
        <v/>
      </c>
      <c r="G147" s="123">
        <f>IF(OR(A147="",C147="",B147="",E147=""),"",IFERROR(A147&amp;"|"&amp;(27+4*(IFERROR(MATCH(C147,Roster!$B$6:$B$65,0),MATCH(C147,Roster!$C$6:$C$65,0))-1)+MATCH(B147,{"AM","PM","NIGHT","WD"},0)-1),""))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$266,'Feb'!$D$27:$AH$266,'Mar'!$D$27:$AH$266,'Apr'!$D$27:$AH$266,'May'!$D$27:$AH$266,'Jun'!$D$27:$AH$266,'Jul'!$D$27:$AH$266,'Aug'!$D$27:$AH$266,'Sep'!$D$27:$AH$266,'Oct'!$D$27:$AH$266,'Nov'!$D$27:$AH$266,'Dec'!$D$27:$AH$266,'Jan (next year)'!$D$27:$AH$266),27+4*(IFERROR(MATCH(C148,Roster!$B$6:$B$65,0),MATCH(C148,Roster!$C$6:$C$65,0))-1)+MATCH(B148,{"AM","PM","NIGHT","WD"},0)-1-27+1,DAY(A148))&amp;"",""))</f>
        <v/>
      </c>
      <c r="G148" s="123">
        <f>IF(OR(A148="",C148="",B148="",E148=""),"",IFERROR(A148&amp;"|"&amp;(27+4*(IFERROR(MATCH(C148,Roster!$B$6:$B$65,0),MATCH(C148,Roster!$C$6:$C$65,0))-1)+MATCH(B148,{"AM","PM","NIGHT","WD"},0)-1),""))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$266,'Feb'!$D$27:$AH$266,'Mar'!$D$27:$AH$266,'Apr'!$D$27:$AH$266,'May'!$D$27:$AH$266,'Jun'!$D$27:$AH$266,'Jul'!$D$27:$AH$266,'Aug'!$D$27:$AH$266,'Sep'!$D$27:$AH$266,'Oct'!$D$27:$AH$266,'Nov'!$D$27:$AH$266,'Dec'!$D$27:$AH$266,'Jan (next year)'!$D$27:$AH$266),27+4*(IFERROR(MATCH(C149,Roster!$B$6:$B$65,0),MATCH(C149,Roster!$C$6:$C$65,0))-1)+MATCH(B149,{"AM","PM","NIGHT","WD"},0)-1-27+1,DAY(A149))&amp;"",""))</f>
        <v/>
      </c>
      <c r="G149" s="123">
        <f>IF(OR(A149="",C149="",B149="",E149=""),"",IFERROR(A149&amp;"|"&amp;(27+4*(IFERROR(MATCH(C149,Roster!$B$6:$B$65,0),MATCH(C149,Roster!$C$6:$C$65,0))-1)+MATCH(B149,{"AM","PM","NIGHT","WD"},0)-1),""))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$266,'Feb'!$D$27:$AH$266,'Mar'!$D$27:$AH$266,'Apr'!$D$27:$AH$266,'May'!$D$27:$AH$266,'Jun'!$D$27:$AH$266,'Jul'!$D$27:$AH$266,'Aug'!$D$27:$AH$266,'Sep'!$D$27:$AH$266,'Oct'!$D$27:$AH$266,'Nov'!$D$27:$AH$266,'Dec'!$D$27:$AH$266,'Jan (next year)'!$D$27:$AH$266),27+4*(IFERROR(MATCH(C150,Roster!$B$6:$B$65,0),MATCH(C150,Roster!$C$6:$C$65,0))-1)+MATCH(B150,{"AM","PM","NIGHT","WD"},0)-1-27+1,DAY(A150))&amp;"",""))</f>
        <v/>
      </c>
      <c r="G150" s="123">
        <f>IF(OR(A150="",C150="",B150="",E150=""),"",IFERROR(A150&amp;"|"&amp;(27+4*(IFERROR(MATCH(C150,Roster!$B$6:$B$65,0),MATCH(C150,Roster!$C$6:$C$65,0))-1)+MATCH(B150,{"AM","PM","NIGHT","WD"},0)-1),""))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$266,'Feb'!$D$27:$AH$266,'Mar'!$D$27:$AH$266,'Apr'!$D$27:$AH$266,'May'!$D$27:$AH$266,'Jun'!$D$27:$AH$266,'Jul'!$D$27:$AH$266,'Aug'!$D$27:$AH$266,'Sep'!$D$27:$AH$266,'Oct'!$D$27:$AH$266,'Nov'!$D$27:$AH$266,'Dec'!$D$27:$AH$266,'Jan (next year)'!$D$27:$AH$266),27+4*(IFERROR(MATCH(C151,Roster!$B$6:$B$65,0),MATCH(C151,Roster!$C$6:$C$65,0))-1)+MATCH(B151,{"AM","PM","NIGHT","WD"},0)-1-27+1,DAY(A151))&amp;"",""))</f>
        <v/>
      </c>
      <c r="G151" s="123">
        <f>IF(OR(A151="",C151="",B151="",E151=""),"",IFERROR(A151&amp;"|"&amp;(27+4*(IFERROR(MATCH(C151,Roster!$B$6:$B$65,0),MATCH(C151,Roster!$C$6:$C$65,0))-1)+MATCH(B151,{"AM","PM","NIGHT","WD"},0)-1),""))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$266,'Feb'!$D$27:$AH$266,'Mar'!$D$27:$AH$266,'Apr'!$D$27:$AH$266,'May'!$D$27:$AH$266,'Jun'!$D$27:$AH$266,'Jul'!$D$27:$AH$266,'Aug'!$D$27:$AH$266,'Sep'!$D$27:$AH$266,'Oct'!$D$27:$AH$266,'Nov'!$D$27:$AH$266,'Dec'!$D$27:$AH$266,'Jan (next year)'!$D$27:$AH$266),27+4*(IFERROR(MATCH(C152,Roster!$B$6:$B$65,0),MATCH(C152,Roster!$C$6:$C$65,0))-1)+MATCH(B152,{"AM","PM","NIGHT","WD"},0)-1-27+1,DAY(A152))&amp;"",""))</f>
        <v/>
      </c>
      <c r="G152" s="123">
        <f>IF(OR(A152="",C152="",B152="",E152=""),"",IFERROR(A152&amp;"|"&amp;(27+4*(IFERROR(MATCH(C152,Roster!$B$6:$B$65,0),MATCH(C152,Roster!$C$6:$C$65,0))-1)+MATCH(B152,{"AM","PM","NIGHT","WD"},0)-1),""))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$266,'Feb'!$D$27:$AH$266,'Mar'!$D$27:$AH$266,'Apr'!$D$27:$AH$266,'May'!$D$27:$AH$266,'Jun'!$D$27:$AH$266,'Jul'!$D$27:$AH$266,'Aug'!$D$27:$AH$266,'Sep'!$D$27:$AH$266,'Oct'!$D$27:$AH$266,'Nov'!$D$27:$AH$266,'Dec'!$D$27:$AH$266,'Jan (next year)'!$D$27:$AH$266),27+4*(IFERROR(MATCH(C153,Roster!$B$6:$B$65,0),MATCH(C153,Roster!$C$6:$C$65,0))-1)+MATCH(B153,{"AM","PM","NIGHT","WD"},0)-1-27+1,DAY(A153))&amp;"",""))</f>
        <v/>
      </c>
      <c r="G153" s="123">
        <f>IF(OR(A153="",C153="",B153="",E153=""),"",IFERROR(A153&amp;"|"&amp;(27+4*(IFERROR(MATCH(C153,Roster!$B$6:$B$65,0),MATCH(C153,Roster!$C$6:$C$65,0))-1)+MATCH(B153,{"AM","PM","NIGHT","WD"},0)-1),""))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$266,'Feb'!$D$27:$AH$266,'Mar'!$D$27:$AH$266,'Apr'!$D$27:$AH$266,'May'!$D$27:$AH$266,'Jun'!$D$27:$AH$266,'Jul'!$D$27:$AH$266,'Aug'!$D$27:$AH$266,'Sep'!$D$27:$AH$266,'Oct'!$D$27:$AH$266,'Nov'!$D$27:$AH$266,'Dec'!$D$27:$AH$266,'Jan (next year)'!$D$27:$AH$266),27+4*(IFERROR(MATCH(C154,Roster!$B$6:$B$65,0),MATCH(C154,Roster!$C$6:$C$65,0))-1)+MATCH(B154,{"AM","PM","NIGHT","WD"},0)-1-27+1,DAY(A154))&amp;"",""))</f>
        <v/>
      </c>
      <c r="G154" s="123">
        <f>IF(OR(A154="",C154="",B154="",E154=""),"",IFERROR(A154&amp;"|"&amp;(27+4*(IFERROR(MATCH(C154,Roster!$B$6:$B$65,0),MATCH(C154,Roster!$C$6:$C$65,0))-1)+MATCH(B154,{"AM","PM","NIGHT","WD"},0)-1),""))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$266,'Feb'!$D$27:$AH$266,'Mar'!$D$27:$AH$266,'Apr'!$D$27:$AH$266,'May'!$D$27:$AH$266,'Jun'!$D$27:$AH$266,'Jul'!$D$27:$AH$266,'Aug'!$D$27:$AH$266,'Sep'!$D$27:$AH$266,'Oct'!$D$27:$AH$266,'Nov'!$D$27:$AH$266,'Dec'!$D$27:$AH$266,'Jan (next year)'!$D$27:$AH$266),27+4*(IFERROR(MATCH(C155,Roster!$B$6:$B$65,0),MATCH(C155,Roster!$C$6:$C$65,0))-1)+MATCH(B155,{"AM","PM","NIGHT","WD"},0)-1-27+1,DAY(A155))&amp;"",""))</f>
        <v/>
      </c>
      <c r="G155" s="123">
        <f>IF(OR(A155="",C155="",B155="",E155=""),"",IFERROR(A155&amp;"|"&amp;(27+4*(IFERROR(MATCH(C155,Roster!$B$6:$B$65,0),MATCH(C155,Roster!$C$6:$C$65,0))-1)+MATCH(B155,{"AM","PM","NIGHT","WD"},0)-1),""))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$266,'Feb'!$D$27:$AH$266,'Mar'!$D$27:$AH$266,'Apr'!$D$27:$AH$266,'May'!$D$27:$AH$266,'Jun'!$D$27:$AH$266,'Jul'!$D$27:$AH$266,'Aug'!$D$27:$AH$266,'Sep'!$D$27:$AH$266,'Oct'!$D$27:$AH$266,'Nov'!$D$27:$AH$266,'Dec'!$D$27:$AH$266,'Jan (next year)'!$D$27:$AH$266),27+4*(IFERROR(MATCH(C156,Roster!$B$6:$B$65,0),MATCH(C156,Roster!$C$6:$C$65,0))-1)+MATCH(B156,{"AM","PM","NIGHT","WD"},0)-1-27+1,DAY(A156))&amp;"",""))</f>
        <v/>
      </c>
      <c r="G156" s="123">
        <f>IF(OR(A156="",C156="",B156="",E156=""),"",IFERROR(A156&amp;"|"&amp;(27+4*(IFERROR(MATCH(C156,Roster!$B$6:$B$65,0),MATCH(C156,Roster!$C$6:$C$65,0))-1)+MATCH(B156,{"AM","PM","NIGHT","WD"},0)-1),""))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$266,'Feb'!$D$27:$AH$266,'Mar'!$D$27:$AH$266,'Apr'!$D$27:$AH$266,'May'!$D$27:$AH$266,'Jun'!$D$27:$AH$266,'Jul'!$D$27:$AH$266,'Aug'!$D$27:$AH$266,'Sep'!$D$27:$AH$266,'Oct'!$D$27:$AH$266,'Nov'!$D$27:$AH$266,'Dec'!$D$27:$AH$266,'Jan (next year)'!$D$27:$AH$266),27+4*(IFERROR(MATCH(C157,Roster!$B$6:$B$65,0),MATCH(C157,Roster!$C$6:$C$65,0))-1)+MATCH(B157,{"AM","PM","NIGHT","WD"},0)-1-27+1,DAY(A157))&amp;"",""))</f>
        <v/>
      </c>
      <c r="G157" s="123">
        <f>IF(OR(A157="",C157="",B157="",E157=""),"",IFERROR(A157&amp;"|"&amp;(27+4*(IFERROR(MATCH(C157,Roster!$B$6:$B$65,0),MATCH(C157,Roster!$C$6:$C$65,0))-1)+MATCH(B157,{"AM","PM","NIGHT","WD"},0)-1),""))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$266,'Feb'!$D$27:$AH$266,'Mar'!$D$27:$AH$266,'Apr'!$D$27:$AH$266,'May'!$D$27:$AH$266,'Jun'!$D$27:$AH$266,'Jul'!$D$27:$AH$266,'Aug'!$D$27:$AH$266,'Sep'!$D$27:$AH$266,'Oct'!$D$27:$AH$266,'Nov'!$D$27:$AH$266,'Dec'!$D$27:$AH$266,'Jan (next year)'!$D$27:$AH$266),27+4*(IFERROR(MATCH(C158,Roster!$B$6:$B$65,0),MATCH(C158,Roster!$C$6:$C$65,0))-1)+MATCH(B158,{"AM","PM","NIGHT","WD"},0)-1-27+1,DAY(A158))&amp;"",""))</f>
        <v/>
      </c>
      <c r="G158" s="123">
        <f>IF(OR(A158="",C158="",B158="",E158=""),"",IFERROR(A158&amp;"|"&amp;(27+4*(IFERROR(MATCH(C158,Roster!$B$6:$B$65,0),MATCH(C158,Roster!$C$6:$C$65,0))-1)+MATCH(B158,{"AM","PM","NIGHT","WD"},0)-1),""))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$266,'Feb'!$D$27:$AH$266,'Mar'!$D$27:$AH$266,'Apr'!$D$27:$AH$266,'May'!$D$27:$AH$266,'Jun'!$D$27:$AH$266,'Jul'!$D$27:$AH$266,'Aug'!$D$27:$AH$266,'Sep'!$D$27:$AH$266,'Oct'!$D$27:$AH$266,'Nov'!$D$27:$AH$266,'Dec'!$D$27:$AH$266,'Jan (next year)'!$D$27:$AH$266),27+4*(IFERROR(MATCH(C159,Roster!$B$6:$B$65,0),MATCH(C159,Roster!$C$6:$C$65,0))-1)+MATCH(B159,{"AM","PM","NIGHT","WD"},0)-1-27+1,DAY(A159))&amp;"",""))</f>
        <v/>
      </c>
      <c r="G159" s="123">
        <f>IF(OR(A159="",C159="",B159="",E159=""),"",IFERROR(A159&amp;"|"&amp;(27+4*(IFERROR(MATCH(C159,Roster!$B$6:$B$65,0),MATCH(C159,Roster!$C$6:$C$65,0))-1)+MATCH(B159,{"AM","PM","NIGHT","WD"},0)-1),""))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$266,'Feb'!$D$27:$AH$266,'Mar'!$D$27:$AH$266,'Apr'!$D$27:$AH$266,'May'!$D$27:$AH$266,'Jun'!$D$27:$AH$266,'Jul'!$D$27:$AH$266,'Aug'!$D$27:$AH$266,'Sep'!$D$27:$AH$266,'Oct'!$D$27:$AH$266,'Nov'!$D$27:$AH$266,'Dec'!$D$27:$AH$266,'Jan (next year)'!$D$27:$AH$266),27+4*(IFERROR(MATCH(C160,Roster!$B$6:$B$65,0),MATCH(C160,Roster!$C$6:$C$65,0))-1)+MATCH(B160,{"AM","PM","NIGHT","WD"},0)-1-27+1,DAY(A160))&amp;"",""))</f>
        <v/>
      </c>
      <c r="G160" s="123">
        <f>IF(OR(A160="",C160="",B160="",E160=""),"",IFERROR(A160&amp;"|"&amp;(27+4*(IFERROR(MATCH(C160,Roster!$B$6:$B$65,0),MATCH(C160,Roster!$C$6:$C$65,0))-1)+MATCH(B160,{"AM","PM","NIGHT","WD"},0)-1),""))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$266,'Feb'!$D$27:$AH$266,'Mar'!$D$27:$AH$266,'Apr'!$D$27:$AH$266,'May'!$D$27:$AH$266,'Jun'!$D$27:$AH$266,'Jul'!$D$27:$AH$266,'Aug'!$D$27:$AH$266,'Sep'!$D$27:$AH$266,'Oct'!$D$27:$AH$266,'Nov'!$D$27:$AH$266,'Dec'!$D$27:$AH$266,'Jan (next year)'!$D$27:$AH$266),27+4*(IFERROR(MATCH(C161,Roster!$B$6:$B$65,0),MATCH(C161,Roster!$C$6:$C$65,0))-1)+MATCH(B161,{"AM","PM","NIGHT","WD"},0)-1-27+1,DAY(A161))&amp;"",""))</f>
        <v/>
      </c>
      <c r="G161" s="123">
        <f>IF(OR(A161="",C161="",B161="",E161=""),"",IFERROR(A161&amp;"|"&amp;(27+4*(IFERROR(MATCH(C161,Roster!$B$6:$B$65,0),MATCH(C161,Roster!$C$6:$C$65,0))-1)+MATCH(B161,{"AM","PM","NIGHT","WD"},0)-1),""))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$266,'Feb'!$D$27:$AH$266,'Mar'!$D$27:$AH$266,'Apr'!$D$27:$AH$266,'May'!$D$27:$AH$266,'Jun'!$D$27:$AH$266,'Jul'!$D$27:$AH$266,'Aug'!$D$27:$AH$266,'Sep'!$D$27:$AH$266,'Oct'!$D$27:$AH$266,'Nov'!$D$27:$AH$266,'Dec'!$D$27:$AH$266,'Jan (next year)'!$D$27:$AH$266),27+4*(IFERROR(MATCH(C162,Roster!$B$6:$B$65,0),MATCH(C162,Roster!$C$6:$C$65,0))-1)+MATCH(B162,{"AM","PM","NIGHT","WD"},0)-1-27+1,DAY(A162))&amp;"",""))</f>
        <v/>
      </c>
      <c r="G162" s="123">
        <f>IF(OR(A162="",C162="",B162="",E162=""),"",IFERROR(A162&amp;"|"&amp;(27+4*(IFERROR(MATCH(C162,Roster!$B$6:$B$65,0),MATCH(C162,Roster!$C$6:$C$65,0))-1)+MATCH(B162,{"AM","PM","NIGHT","WD"},0)-1),""))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$266,'Feb'!$D$27:$AH$266,'Mar'!$D$27:$AH$266,'Apr'!$D$27:$AH$266,'May'!$D$27:$AH$266,'Jun'!$D$27:$AH$266,'Jul'!$D$27:$AH$266,'Aug'!$D$27:$AH$266,'Sep'!$D$27:$AH$266,'Oct'!$D$27:$AH$266,'Nov'!$D$27:$AH$266,'Dec'!$D$27:$AH$266,'Jan (next year)'!$D$27:$AH$266),27+4*(IFERROR(MATCH(C163,Roster!$B$6:$B$65,0),MATCH(C163,Roster!$C$6:$C$65,0))-1)+MATCH(B163,{"AM","PM","NIGHT","WD"},0)-1-27+1,DAY(A163))&amp;"",""))</f>
        <v/>
      </c>
      <c r="G163" s="123">
        <f>IF(OR(A163="",C163="",B163="",E163=""),"",IFERROR(A163&amp;"|"&amp;(27+4*(IFERROR(MATCH(C163,Roster!$B$6:$B$65,0),MATCH(C163,Roster!$C$6:$C$65,0))-1)+MATCH(B163,{"AM","PM","NIGHT","WD"},0)-1),""))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$266,'Feb'!$D$27:$AH$266,'Mar'!$D$27:$AH$266,'Apr'!$D$27:$AH$266,'May'!$D$27:$AH$266,'Jun'!$D$27:$AH$266,'Jul'!$D$27:$AH$266,'Aug'!$D$27:$AH$266,'Sep'!$D$27:$AH$266,'Oct'!$D$27:$AH$266,'Nov'!$D$27:$AH$266,'Dec'!$D$27:$AH$266,'Jan (next year)'!$D$27:$AH$266),27+4*(IFERROR(MATCH(C164,Roster!$B$6:$B$65,0),MATCH(C164,Roster!$C$6:$C$65,0))-1)+MATCH(B164,{"AM","PM","NIGHT","WD"},0)-1-27+1,DAY(A164))&amp;"",""))</f>
        <v/>
      </c>
      <c r="G164" s="123">
        <f>IF(OR(A164="",C164="",B164="",E164=""),"",IFERROR(A164&amp;"|"&amp;(27+4*(IFERROR(MATCH(C164,Roster!$B$6:$B$65,0),MATCH(C164,Roster!$C$6:$C$65,0))-1)+MATCH(B164,{"AM","PM","NIGHT","WD"},0)-1),""))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$266,'Feb'!$D$27:$AH$266,'Mar'!$D$27:$AH$266,'Apr'!$D$27:$AH$266,'May'!$D$27:$AH$266,'Jun'!$D$27:$AH$266,'Jul'!$D$27:$AH$266,'Aug'!$D$27:$AH$266,'Sep'!$D$27:$AH$266,'Oct'!$D$27:$AH$266,'Nov'!$D$27:$AH$266,'Dec'!$D$27:$AH$266,'Jan (next year)'!$D$27:$AH$266),27+4*(IFERROR(MATCH(C165,Roster!$B$6:$B$65,0),MATCH(C165,Roster!$C$6:$C$65,0))-1)+MATCH(B165,{"AM","PM","NIGHT","WD"},0)-1-27+1,DAY(A165))&amp;"",""))</f>
        <v/>
      </c>
      <c r="G165" s="123">
        <f>IF(OR(A165="",C165="",B165="",E165=""),"",IFERROR(A165&amp;"|"&amp;(27+4*(IFERROR(MATCH(C165,Roster!$B$6:$B$65,0),MATCH(C165,Roster!$C$6:$C$65,0))-1)+MATCH(B165,{"AM","PM","NIGHT","WD"},0)-1),""))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$266,'Feb'!$D$27:$AH$266,'Mar'!$D$27:$AH$266,'Apr'!$D$27:$AH$266,'May'!$D$27:$AH$266,'Jun'!$D$27:$AH$266,'Jul'!$D$27:$AH$266,'Aug'!$D$27:$AH$266,'Sep'!$D$27:$AH$266,'Oct'!$D$27:$AH$266,'Nov'!$D$27:$AH$266,'Dec'!$D$27:$AH$266,'Jan (next year)'!$D$27:$AH$266),27+4*(IFERROR(MATCH(C166,Roster!$B$6:$B$65,0),MATCH(C166,Roster!$C$6:$C$65,0))-1)+MATCH(B166,{"AM","PM","NIGHT","WD"},0)-1-27+1,DAY(A166))&amp;"",""))</f>
        <v/>
      </c>
      <c r="G166" s="123">
        <f>IF(OR(A166="",C166="",B166="",E166=""),"",IFERROR(A166&amp;"|"&amp;(27+4*(IFERROR(MATCH(C166,Roster!$B$6:$B$65,0),MATCH(C166,Roster!$C$6:$C$65,0))-1)+MATCH(B166,{"AM","PM","NIGHT","WD"},0)-1),""))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$266,'Feb'!$D$27:$AH$266,'Mar'!$D$27:$AH$266,'Apr'!$D$27:$AH$266,'May'!$D$27:$AH$266,'Jun'!$D$27:$AH$266,'Jul'!$D$27:$AH$266,'Aug'!$D$27:$AH$266,'Sep'!$D$27:$AH$266,'Oct'!$D$27:$AH$266,'Nov'!$D$27:$AH$266,'Dec'!$D$27:$AH$266,'Jan (next year)'!$D$27:$AH$266),27+4*(IFERROR(MATCH(C167,Roster!$B$6:$B$65,0),MATCH(C167,Roster!$C$6:$C$65,0))-1)+MATCH(B167,{"AM","PM","NIGHT","WD"},0)-1-27+1,DAY(A167))&amp;"",""))</f>
        <v/>
      </c>
      <c r="G167" s="123">
        <f>IF(OR(A167="",C167="",B167="",E167=""),"",IFERROR(A167&amp;"|"&amp;(27+4*(IFERROR(MATCH(C167,Roster!$B$6:$B$65,0),MATCH(C167,Roster!$C$6:$C$65,0))-1)+MATCH(B167,{"AM","PM","NIGHT","WD"},0)-1),""))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$266,'Feb'!$D$27:$AH$266,'Mar'!$D$27:$AH$266,'Apr'!$D$27:$AH$266,'May'!$D$27:$AH$266,'Jun'!$D$27:$AH$266,'Jul'!$D$27:$AH$266,'Aug'!$D$27:$AH$266,'Sep'!$D$27:$AH$266,'Oct'!$D$27:$AH$266,'Nov'!$D$27:$AH$266,'Dec'!$D$27:$AH$266,'Jan (next year)'!$D$27:$AH$266),27+4*(IFERROR(MATCH(C168,Roster!$B$6:$B$65,0),MATCH(C168,Roster!$C$6:$C$65,0))-1)+MATCH(B168,{"AM","PM","NIGHT","WD"},0)-1-27+1,DAY(A168))&amp;"",""))</f>
        <v/>
      </c>
      <c r="G168" s="123">
        <f>IF(OR(A168="",C168="",B168="",E168=""),"",IFERROR(A168&amp;"|"&amp;(27+4*(IFERROR(MATCH(C168,Roster!$B$6:$B$65,0),MATCH(C168,Roster!$C$6:$C$65,0))-1)+MATCH(B168,{"AM","PM","NIGHT","WD"},0)-1),""))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$266,'Feb'!$D$27:$AH$266,'Mar'!$D$27:$AH$266,'Apr'!$D$27:$AH$266,'May'!$D$27:$AH$266,'Jun'!$D$27:$AH$266,'Jul'!$D$27:$AH$266,'Aug'!$D$27:$AH$266,'Sep'!$D$27:$AH$266,'Oct'!$D$27:$AH$266,'Nov'!$D$27:$AH$266,'Dec'!$D$27:$AH$266,'Jan (next year)'!$D$27:$AH$266),27+4*(IFERROR(MATCH(C169,Roster!$B$6:$B$65,0),MATCH(C169,Roster!$C$6:$C$65,0))-1)+MATCH(B169,{"AM","PM","NIGHT","WD"},0)-1-27+1,DAY(A169))&amp;"",""))</f>
        <v/>
      </c>
      <c r="G169" s="123">
        <f>IF(OR(A169="",C169="",B169="",E169=""),"",IFERROR(A169&amp;"|"&amp;(27+4*(IFERROR(MATCH(C169,Roster!$B$6:$B$65,0),MATCH(C169,Roster!$C$6:$C$65,0))-1)+MATCH(B169,{"AM","PM","NIGHT","WD"},0)-1),""))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$266,'Feb'!$D$27:$AH$266,'Mar'!$D$27:$AH$266,'Apr'!$D$27:$AH$266,'May'!$D$27:$AH$266,'Jun'!$D$27:$AH$266,'Jul'!$D$27:$AH$266,'Aug'!$D$27:$AH$266,'Sep'!$D$27:$AH$266,'Oct'!$D$27:$AH$266,'Nov'!$D$27:$AH$266,'Dec'!$D$27:$AH$266,'Jan (next year)'!$D$27:$AH$266),27+4*(IFERROR(MATCH(C170,Roster!$B$6:$B$65,0),MATCH(C170,Roster!$C$6:$C$65,0))-1)+MATCH(B170,{"AM","PM","NIGHT","WD"},0)-1-27+1,DAY(A170))&amp;"",""))</f>
        <v/>
      </c>
      <c r="G170" s="123">
        <f>IF(OR(A170="",C170="",B170="",E170=""),"",IFERROR(A170&amp;"|"&amp;(27+4*(IFERROR(MATCH(C170,Roster!$B$6:$B$65,0),MATCH(C170,Roster!$C$6:$C$65,0))-1)+MATCH(B170,{"AM","PM","NIGHT","WD"},0)-1),""))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$266,'Feb'!$D$27:$AH$266,'Mar'!$D$27:$AH$266,'Apr'!$D$27:$AH$266,'May'!$D$27:$AH$266,'Jun'!$D$27:$AH$266,'Jul'!$D$27:$AH$266,'Aug'!$D$27:$AH$266,'Sep'!$D$27:$AH$266,'Oct'!$D$27:$AH$266,'Nov'!$D$27:$AH$266,'Dec'!$D$27:$AH$266,'Jan (next year)'!$D$27:$AH$266),27+4*(IFERROR(MATCH(C171,Roster!$B$6:$B$65,0),MATCH(C171,Roster!$C$6:$C$65,0))-1)+MATCH(B171,{"AM","PM","NIGHT","WD"},0)-1-27+1,DAY(A171))&amp;"",""))</f>
        <v/>
      </c>
      <c r="G171" s="123">
        <f>IF(OR(A171="",C171="",B171="",E171=""),"",IFERROR(A171&amp;"|"&amp;(27+4*(IFERROR(MATCH(C171,Roster!$B$6:$B$65,0),MATCH(C171,Roster!$C$6:$C$65,0))-1)+MATCH(B171,{"AM","PM","NIGHT","WD"},0)-1),""))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$266,'Feb'!$D$27:$AH$266,'Mar'!$D$27:$AH$266,'Apr'!$D$27:$AH$266,'May'!$D$27:$AH$266,'Jun'!$D$27:$AH$266,'Jul'!$D$27:$AH$266,'Aug'!$D$27:$AH$266,'Sep'!$D$27:$AH$266,'Oct'!$D$27:$AH$266,'Nov'!$D$27:$AH$266,'Dec'!$D$27:$AH$266,'Jan (next year)'!$D$27:$AH$266),27+4*(IFERROR(MATCH(C172,Roster!$B$6:$B$65,0),MATCH(C172,Roster!$C$6:$C$65,0))-1)+MATCH(B172,{"AM","PM","NIGHT","WD"},0)-1-27+1,DAY(A172))&amp;"",""))</f>
        <v/>
      </c>
      <c r="G172" s="123">
        <f>IF(OR(A172="",C172="",B172="",E172=""),"",IFERROR(A172&amp;"|"&amp;(27+4*(IFERROR(MATCH(C172,Roster!$B$6:$B$65,0),MATCH(C172,Roster!$C$6:$C$65,0))-1)+MATCH(B172,{"AM","PM","NIGHT","WD"},0)-1),""))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$266,'Feb'!$D$27:$AH$266,'Mar'!$D$27:$AH$266,'Apr'!$D$27:$AH$266,'May'!$D$27:$AH$266,'Jun'!$D$27:$AH$266,'Jul'!$D$27:$AH$266,'Aug'!$D$27:$AH$266,'Sep'!$D$27:$AH$266,'Oct'!$D$27:$AH$266,'Nov'!$D$27:$AH$266,'Dec'!$D$27:$AH$266,'Jan (next year)'!$D$27:$AH$266),27+4*(IFERROR(MATCH(C173,Roster!$B$6:$B$65,0),MATCH(C173,Roster!$C$6:$C$65,0))-1)+MATCH(B173,{"AM","PM","NIGHT","WD"},0)-1-27+1,DAY(A173))&amp;"",""))</f>
        <v/>
      </c>
      <c r="G173" s="123">
        <f>IF(OR(A173="",C173="",B173="",E173=""),"",IFERROR(A173&amp;"|"&amp;(27+4*(IFERROR(MATCH(C173,Roster!$B$6:$B$65,0),MATCH(C173,Roster!$C$6:$C$65,0))-1)+MATCH(B173,{"AM","PM","NIGHT","WD"},0)-1),""))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$266,'Feb'!$D$27:$AH$266,'Mar'!$D$27:$AH$266,'Apr'!$D$27:$AH$266,'May'!$D$27:$AH$266,'Jun'!$D$27:$AH$266,'Jul'!$D$27:$AH$266,'Aug'!$D$27:$AH$266,'Sep'!$D$27:$AH$266,'Oct'!$D$27:$AH$266,'Nov'!$D$27:$AH$266,'Dec'!$D$27:$AH$266,'Jan (next year)'!$D$27:$AH$266),27+4*(IFERROR(MATCH(C174,Roster!$B$6:$B$65,0),MATCH(C174,Roster!$C$6:$C$65,0))-1)+MATCH(B174,{"AM","PM","NIGHT","WD"},0)-1-27+1,DAY(A174))&amp;"",""))</f>
        <v/>
      </c>
      <c r="G174" s="123">
        <f>IF(OR(A174="",C174="",B174="",E174=""),"",IFERROR(A174&amp;"|"&amp;(27+4*(IFERROR(MATCH(C174,Roster!$B$6:$B$65,0),MATCH(C174,Roster!$C$6:$C$65,0))-1)+MATCH(B174,{"AM","PM","NIGHT","WD"},0)-1),""))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$266,'Feb'!$D$27:$AH$266,'Mar'!$D$27:$AH$266,'Apr'!$D$27:$AH$266,'May'!$D$27:$AH$266,'Jun'!$D$27:$AH$266,'Jul'!$D$27:$AH$266,'Aug'!$D$27:$AH$266,'Sep'!$D$27:$AH$266,'Oct'!$D$27:$AH$266,'Nov'!$D$27:$AH$266,'Dec'!$D$27:$AH$266,'Jan (next year)'!$D$27:$AH$266),27+4*(IFERROR(MATCH(C175,Roster!$B$6:$B$65,0),MATCH(C175,Roster!$C$6:$C$65,0))-1)+MATCH(B175,{"AM","PM","NIGHT","WD"},0)-1-27+1,DAY(A175))&amp;"",""))</f>
        <v/>
      </c>
      <c r="G175" s="123">
        <f>IF(OR(A175="",C175="",B175="",E175=""),"",IFERROR(A175&amp;"|"&amp;(27+4*(IFERROR(MATCH(C175,Roster!$B$6:$B$65,0),MATCH(C175,Roster!$C$6:$C$65,0))-1)+MATCH(B175,{"AM","PM","NIGHT","WD"},0)-1),""))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$266,'Feb'!$D$27:$AH$266,'Mar'!$D$27:$AH$266,'Apr'!$D$27:$AH$266,'May'!$D$27:$AH$266,'Jun'!$D$27:$AH$266,'Jul'!$D$27:$AH$266,'Aug'!$D$27:$AH$266,'Sep'!$D$27:$AH$266,'Oct'!$D$27:$AH$266,'Nov'!$D$27:$AH$266,'Dec'!$D$27:$AH$266,'Jan (next year)'!$D$27:$AH$266),27+4*(IFERROR(MATCH(C176,Roster!$B$6:$B$65,0),MATCH(C176,Roster!$C$6:$C$65,0))-1)+MATCH(B176,{"AM","PM","NIGHT","WD"},0)-1-27+1,DAY(A176))&amp;"",""))</f>
        <v/>
      </c>
      <c r="G176" s="123">
        <f>IF(OR(A176="",C176="",B176="",E176=""),"",IFERROR(A176&amp;"|"&amp;(27+4*(IFERROR(MATCH(C176,Roster!$B$6:$B$65,0),MATCH(C176,Roster!$C$6:$C$65,0))-1)+MATCH(B176,{"AM","PM","NIGHT","WD"},0)-1),""))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$266,'Feb'!$D$27:$AH$266,'Mar'!$D$27:$AH$266,'Apr'!$D$27:$AH$266,'May'!$D$27:$AH$266,'Jun'!$D$27:$AH$266,'Jul'!$D$27:$AH$266,'Aug'!$D$27:$AH$266,'Sep'!$D$27:$AH$266,'Oct'!$D$27:$AH$266,'Nov'!$D$27:$AH$266,'Dec'!$D$27:$AH$266,'Jan (next year)'!$D$27:$AH$266),27+4*(IFERROR(MATCH(C177,Roster!$B$6:$B$65,0),MATCH(C177,Roster!$C$6:$C$65,0))-1)+MATCH(B177,{"AM","PM","NIGHT","WD"},0)-1-27+1,DAY(A177))&amp;"",""))</f>
        <v/>
      </c>
      <c r="G177" s="123">
        <f>IF(OR(A177="",C177="",B177="",E177=""),"",IFERROR(A177&amp;"|"&amp;(27+4*(IFERROR(MATCH(C177,Roster!$B$6:$B$65,0),MATCH(C177,Roster!$C$6:$C$65,0))-1)+MATCH(B177,{"AM","PM","NIGHT","WD"},0)-1),""))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$266,'Feb'!$D$27:$AH$266,'Mar'!$D$27:$AH$266,'Apr'!$D$27:$AH$266,'May'!$D$27:$AH$266,'Jun'!$D$27:$AH$266,'Jul'!$D$27:$AH$266,'Aug'!$D$27:$AH$266,'Sep'!$D$27:$AH$266,'Oct'!$D$27:$AH$266,'Nov'!$D$27:$AH$266,'Dec'!$D$27:$AH$266,'Jan (next year)'!$D$27:$AH$266),27+4*(IFERROR(MATCH(C178,Roster!$B$6:$B$65,0),MATCH(C178,Roster!$C$6:$C$65,0))-1)+MATCH(B178,{"AM","PM","NIGHT","WD"},0)-1-27+1,DAY(A178))&amp;"",""))</f>
        <v/>
      </c>
      <c r="G178" s="123">
        <f>IF(OR(A178="",C178="",B178="",E178=""),"",IFERROR(A178&amp;"|"&amp;(27+4*(IFERROR(MATCH(C178,Roster!$B$6:$B$65,0),MATCH(C178,Roster!$C$6:$C$65,0))-1)+MATCH(B178,{"AM","PM","NIGHT","WD"},0)-1),""))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$266,'Feb'!$D$27:$AH$266,'Mar'!$D$27:$AH$266,'Apr'!$D$27:$AH$266,'May'!$D$27:$AH$266,'Jun'!$D$27:$AH$266,'Jul'!$D$27:$AH$266,'Aug'!$D$27:$AH$266,'Sep'!$D$27:$AH$266,'Oct'!$D$27:$AH$266,'Nov'!$D$27:$AH$266,'Dec'!$D$27:$AH$266,'Jan (next year)'!$D$27:$AH$266),27+4*(IFERROR(MATCH(C179,Roster!$B$6:$B$65,0),MATCH(C179,Roster!$C$6:$C$65,0))-1)+MATCH(B179,{"AM","PM","NIGHT","WD"},0)-1-27+1,DAY(A179))&amp;"",""))</f>
        <v/>
      </c>
      <c r="G179" s="123">
        <f>IF(OR(A179="",C179="",B179="",E179=""),"",IFERROR(A179&amp;"|"&amp;(27+4*(IFERROR(MATCH(C179,Roster!$B$6:$B$65,0),MATCH(C179,Roster!$C$6:$C$65,0))-1)+MATCH(B179,{"AM","PM","NIGHT","WD"},0)-1),""))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$266,'Feb'!$D$27:$AH$266,'Mar'!$D$27:$AH$266,'Apr'!$D$27:$AH$266,'May'!$D$27:$AH$266,'Jun'!$D$27:$AH$266,'Jul'!$D$27:$AH$266,'Aug'!$D$27:$AH$266,'Sep'!$D$27:$AH$266,'Oct'!$D$27:$AH$266,'Nov'!$D$27:$AH$266,'Dec'!$D$27:$AH$266,'Jan (next year)'!$D$27:$AH$266),27+4*(IFERROR(MATCH(C180,Roster!$B$6:$B$65,0),MATCH(C180,Roster!$C$6:$C$65,0))-1)+MATCH(B180,{"AM","PM","NIGHT","WD"},0)-1-27+1,DAY(A180))&amp;"",""))</f>
        <v/>
      </c>
      <c r="G180" s="123">
        <f>IF(OR(A180="",C180="",B180="",E180=""),"",IFERROR(A180&amp;"|"&amp;(27+4*(IFERROR(MATCH(C180,Roster!$B$6:$B$65,0),MATCH(C180,Roster!$C$6:$C$65,0))-1)+MATCH(B180,{"AM","PM","NIGHT","WD"},0)-1),""))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$266,'Feb'!$D$27:$AH$266,'Mar'!$D$27:$AH$266,'Apr'!$D$27:$AH$266,'May'!$D$27:$AH$266,'Jun'!$D$27:$AH$266,'Jul'!$D$27:$AH$266,'Aug'!$D$27:$AH$266,'Sep'!$D$27:$AH$266,'Oct'!$D$27:$AH$266,'Nov'!$D$27:$AH$266,'Dec'!$D$27:$AH$266,'Jan (next year)'!$D$27:$AH$266),27+4*(IFERROR(MATCH(C181,Roster!$B$6:$B$65,0),MATCH(C181,Roster!$C$6:$C$65,0))-1)+MATCH(B181,{"AM","PM","NIGHT","WD"},0)-1-27+1,DAY(A181))&amp;"",""))</f>
        <v/>
      </c>
      <c r="G181" s="123">
        <f>IF(OR(A181="",C181="",B181="",E181=""),"",IFERROR(A181&amp;"|"&amp;(27+4*(IFERROR(MATCH(C181,Roster!$B$6:$B$65,0),MATCH(C181,Roster!$C$6:$C$65,0))-1)+MATCH(B181,{"AM","PM","NIGHT","WD"},0)-1),""))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$266,'Feb'!$D$27:$AH$266,'Mar'!$D$27:$AH$266,'Apr'!$D$27:$AH$266,'May'!$D$27:$AH$266,'Jun'!$D$27:$AH$266,'Jul'!$D$27:$AH$266,'Aug'!$D$27:$AH$266,'Sep'!$D$27:$AH$266,'Oct'!$D$27:$AH$266,'Nov'!$D$27:$AH$266,'Dec'!$D$27:$AH$266,'Jan (next year)'!$D$27:$AH$266),27+4*(IFERROR(MATCH(C182,Roster!$B$6:$B$65,0),MATCH(C182,Roster!$C$6:$C$65,0))-1)+MATCH(B182,{"AM","PM","NIGHT","WD"},0)-1-27+1,DAY(A182))&amp;"",""))</f>
        <v/>
      </c>
      <c r="G182" s="123">
        <f>IF(OR(A182="",C182="",B182="",E182=""),"",IFERROR(A182&amp;"|"&amp;(27+4*(IFERROR(MATCH(C182,Roster!$B$6:$B$65,0),MATCH(C182,Roster!$C$6:$C$65,0))-1)+MATCH(B182,{"AM","PM","NIGHT","WD"},0)-1),""))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$266,'Feb'!$D$27:$AH$266,'Mar'!$D$27:$AH$266,'Apr'!$D$27:$AH$266,'May'!$D$27:$AH$266,'Jun'!$D$27:$AH$266,'Jul'!$D$27:$AH$266,'Aug'!$D$27:$AH$266,'Sep'!$D$27:$AH$266,'Oct'!$D$27:$AH$266,'Nov'!$D$27:$AH$266,'Dec'!$D$27:$AH$266,'Jan (next year)'!$D$27:$AH$266),27+4*(IFERROR(MATCH(C183,Roster!$B$6:$B$65,0),MATCH(C183,Roster!$C$6:$C$65,0))-1)+MATCH(B183,{"AM","PM","NIGHT","WD"},0)-1-27+1,DAY(A183))&amp;"",""))</f>
        <v/>
      </c>
      <c r="G183" s="123">
        <f>IF(OR(A183="",C183="",B183="",E183=""),"",IFERROR(A183&amp;"|"&amp;(27+4*(IFERROR(MATCH(C183,Roster!$B$6:$B$65,0),MATCH(C183,Roster!$C$6:$C$65,0))-1)+MATCH(B183,{"AM","PM","NIGHT","WD"},0)-1),""))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$266,'Feb'!$D$27:$AH$266,'Mar'!$D$27:$AH$266,'Apr'!$D$27:$AH$266,'May'!$D$27:$AH$266,'Jun'!$D$27:$AH$266,'Jul'!$D$27:$AH$266,'Aug'!$D$27:$AH$266,'Sep'!$D$27:$AH$266,'Oct'!$D$27:$AH$266,'Nov'!$D$27:$AH$266,'Dec'!$D$27:$AH$266,'Jan (next year)'!$D$27:$AH$266),27+4*(IFERROR(MATCH(C184,Roster!$B$6:$B$65,0),MATCH(C184,Roster!$C$6:$C$65,0))-1)+MATCH(B184,{"AM","PM","NIGHT","WD"},0)-1-27+1,DAY(A184))&amp;"",""))</f>
        <v/>
      </c>
      <c r="G184" s="123">
        <f>IF(OR(A184="",C184="",B184="",E184=""),"",IFERROR(A184&amp;"|"&amp;(27+4*(IFERROR(MATCH(C184,Roster!$B$6:$B$65,0),MATCH(C184,Roster!$C$6:$C$65,0))-1)+MATCH(B184,{"AM","PM","NIGHT","WD"},0)-1),""))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$266,'Feb'!$D$27:$AH$266,'Mar'!$D$27:$AH$266,'Apr'!$D$27:$AH$266,'May'!$D$27:$AH$266,'Jun'!$D$27:$AH$266,'Jul'!$D$27:$AH$266,'Aug'!$D$27:$AH$266,'Sep'!$D$27:$AH$266,'Oct'!$D$27:$AH$266,'Nov'!$D$27:$AH$266,'Dec'!$D$27:$AH$266,'Jan (next year)'!$D$27:$AH$266),27+4*(IFERROR(MATCH(C185,Roster!$B$6:$B$65,0),MATCH(C185,Roster!$C$6:$C$65,0))-1)+MATCH(B185,{"AM","PM","NIGHT","WD"},0)-1-27+1,DAY(A185))&amp;"",""))</f>
        <v/>
      </c>
      <c r="G185" s="123">
        <f>IF(OR(A185="",C185="",B185="",E185=""),"",IFERROR(A185&amp;"|"&amp;(27+4*(IFERROR(MATCH(C185,Roster!$B$6:$B$65,0),MATCH(C185,Roster!$C$6:$C$65,0))-1)+MATCH(B185,{"AM","PM","NIGHT","WD"},0)-1),""))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$266,'Feb'!$D$27:$AH$266,'Mar'!$D$27:$AH$266,'Apr'!$D$27:$AH$266,'May'!$D$27:$AH$266,'Jun'!$D$27:$AH$266,'Jul'!$D$27:$AH$266,'Aug'!$D$27:$AH$266,'Sep'!$D$27:$AH$266,'Oct'!$D$27:$AH$266,'Nov'!$D$27:$AH$266,'Dec'!$D$27:$AH$266,'Jan (next year)'!$D$27:$AH$266),27+4*(IFERROR(MATCH(C186,Roster!$B$6:$B$65,0),MATCH(C186,Roster!$C$6:$C$65,0))-1)+MATCH(B186,{"AM","PM","NIGHT","WD"},0)-1-27+1,DAY(A186))&amp;"",""))</f>
        <v/>
      </c>
      <c r="G186" s="123">
        <f>IF(OR(A186="",C186="",B186="",E186=""),"",IFERROR(A186&amp;"|"&amp;(27+4*(IFERROR(MATCH(C186,Roster!$B$6:$B$65,0),MATCH(C186,Roster!$C$6:$C$65,0))-1)+MATCH(B186,{"AM","PM","NIGHT","WD"},0)-1),""))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$266,'Feb'!$D$27:$AH$266,'Mar'!$D$27:$AH$266,'Apr'!$D$27:$AH$266,'May'!$D$27:$AH$266,'Jun'!$D$27:$AH$266,'Jul'!$D$27:$AH$266,'Aug'!$D$27:$AH$266,'Sep'!$D$27:$AH$266,'Oct'!$D$27:$AH$266,'Nov'!$D$27:$AH$266,'Dec'!$D$27:$AH$266,'Jan (next year)'!$D$27:$AH$266),27+4*(IFERROR(MATCH(C187,Roster!$B$6:$B$65,0),MATCH(C187,Roster!$C$6:$C$65,0))-1)+MATCH(B187,{"AM","PM","NIGHT","WD"},0)-1-27+1,DAY(A187))&amp;"",""))</f>
        <v/>
      </c>
      <c r="G187" s="123">
        <f>IF(OR(A187="",C187="",B187="",E187=""),"",IFERROR(A187&amp;"|"&amp;(27+4*(IFERROR(MATCH(C187,Roster!$B$6:$B$65,0),MATCH(C187,Roster!$C$6:$C$65,0))-1)+MATCH(B187,{"AM","PM","NIGHT","WD"},0)-1),""))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$266,'Feb'!$D$27:$AH$266,'Mar'!$D$27:$AH$266,'Apr'!$D$27:$AH$266,'May'!$D$27:$AH$266,'Jun'!$D$27:$AH$266,'Jul'!$D$27:$AH$266,'Aug'!$D$27:$AH$266,'Sep'!$D$27:$AH$266,'Oct'!$D$27:$AH$266,'Nov'!$D$27:$AH$266,'Dec'!$D$27:$AH$266,'Jan (next year)'!$D$27:$AH$266),27+4*(IFERROR(MATCH(C188,Roster!$B$6:$B$65,0),MATCH(C188,Roster!$C$6:$C$65,0))-1)+MATCH(B188,{"AM","PM","NIGHT","WD"},0)-1-27+1,DAY(A188))&amp;"",""))</f>
        <v/>
      </c>
      <c r="G188" s="123">
        <f>IF(OR(A188="",C188="",B188="",E188=""),"",IFERROR(A188&amp;"|"&amp;(27+4*(IFERROR(MATCH(C188,Roster!$B$6:$B$65,0),MATCH(C188,Roster!$C$6:$C$65,0))-1)+MATCH(B188,{"AM","PM","NIGHT","WD"},0)-1),""))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$266,'Feb'!$D$27:$AH$266,'Mar'!$D$27:$AH$266,'Apr'!$D$27:$AH$266,'May'!$D$27:$AH$266,'Jun'!$D$27:$AH$266,'Jul'!$D$27:$AH$266,'Aug'!$D$27:$AH$266,'Sep'!$D$27:$AH$266,'Oct'!$D$27:$AH$266,'Nov'!$D$27:$AH$266,'Dec'!$D$27:$AH$266,'Jan (next year)'!$D$27:$AH$266),27+4*(IFERROR(MATCH(C189,Roster!$B$6:$B$65,0),MATCH(C189,Roster!$C$6:$C$65,0))-1)+MATCH(B189,{"AM","PM","NIGHT","WD"},0)-1-27+1,DAY(A189))&amp;"",""))</f>
        <v/>
      </c>
      <c r="G189" s="123">
        <f>IF(OR(A189="",C189="",B189="",E189=""),"",IFERROR(A189&amp;"|"&amp;(27+4*(IFERROR(MATCH(C189,Roster!$B$6:$B$65,0),MATCH(C189,Roster!$C$6:$C$65,0))-1)+MATCH(B189,{"AM","PM","NIGHT","WD"},0)-1),""))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$266,'Feb'!$D$27:$AH$266,'Mar'!$D$27:$AH$266,'Apr'!$D$27:$AH$266,'May'!$D$27:$AH$266,'Jun'!$D$27:$AH$266,'Jul'!$D$27:$AH$266,'Aug'!$D$27:$AH$266,'Sep'!$D$27:$AH$266,'Oct'!$D$27:$AH$266,'Nov'!$D$27:$AH$266,'Dec'!$D$27:$AH$266,'Jan (next year)'!$D$27:$AH$266),27+4*(IFERROR(MATCH(C190,Roster!$B$6:$B$65,0),MATCH(C190,Roster!$C$6:$C$65,0))-1)+MATCH(B190,{"AM","PM","NIGHT","WD"},0)-1-27+1,DAY(A190))&amp;"",""))</f>
        <v/>
      </c>
      <c r="G190" s="123">
        <f>IF(OR(A190="",C190="",B190="",E190=""),"",IFERROR(A190&amp;"|"&amp;(27+4*(IFERROR(MATCH(C190,Roster!$B$6:$B$65,0),MATCH(C190,Roster!$C$6:$C$65,0))-1)+MATCH(B190,{"AM","PM","NIGHT","WD"},0)-1),""))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$266,'Feb'!$D$27:$AH$266,'Mar'!$D$27:$AH$266,'Apr'!$D$27:$AH$266,'May'!$D$27:$AH$266,'Jun'!$D$27:$AH$266,'Jul'!$D$27:$AH$266,'Aug'!$D$27:$AH$266,'Sep'!$D$27:$AH$266,'Oct'!$D$27:$AH$266,'Nov'!$D$27:$AH$266,'Dec'!$D$27:$AH$266,'Jan (next year)'!$D$27:$AH$266),27+4*(IFERROR(MATCH(C191,Roster!$B$6:$B$65,0),MATCH(C191,Roster!$C$6:$C$65,0))-1)+MATCH(B191,{"AM","PM","NIGHT","WD"},0)-1-27+1,DAY(A191))&amp;"",""))</f>
        <v/>
      </c>
      <c r="G191" s="123">
        <f>IF(OR(A191="",C191="",B191="",E191=""),"",IFERROR(A191&amp;"|"&amp;(27+4*(IFERROR(MATCH(C191,Roster!$B$6:$B$65,0),MATCH(C191,Roster!$C$6:$C$65,0))-1)+MATCH(B191,{"AM","PM","NIGHT","WD"},0)-1),""))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$266,'Feb'!$D$27:$AH$266,'Mar'!$D$27:$AH$266,'Apr'!$D$27:$AH$266,'May'!$D$27:$AH$266,'Jun'!$D$27:$AH$266,'Jul'!$D$27:$AH$266,'Aug'!$D$27:$AH$266,'Sep'!$D$27:$AH$266,'Oct'!$D$27:$AH$266,'Nov'!$D$27:$AH$266,'Dec'!$D$27:$AH$266,'Jan (next year)'!$D$27:$AH$266),27+4*(IFERROR(MATCH(C192,Roster!$B$6:$B$65,0),MATCH(C192,Roster!$C$6:$C$65,0))-1)+MATCH(B192,{"AM","PM","NIGHT","WD"},0)-1-27+1,DAY(A192))&amp;"",""))</f>
        <v/>
      </c>
      <c r="G192" s="123">
        <f>IF(OR(A192="",C192="",B192="",E192=""),"",IFERROR(A192&amp;"|"&amp;(27+4*(IFERROR(MATCH(C192,Roster!$B$6:$B$65,0),MATCH(C192,Roster!$C$6:$C$65,0))-1)+MATCH(B192,{"AM","PM","NIGHT","WD"},0)-1),""))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$266,'Feb'!$D$27:$AH$266,'Mar'!$D$27:$AH$266,'Apr'!$D$27:$AH$266,'May'!$D$27:$AH$266,'Jun'!$D$27:$AH$266,'Jul'!$D$27:$AH$266,'Aug'!$D$27:$AH$266,'Sep'!$D$27:$AH$266,'Oct'!$D$27:$AH$266,'Nov'!$D$27:$AH$266,'Dec'!$D$27:$AH$266,'Jan (next year)'!$D$27:$AH$266),27+4*(IFERROR(MATCH(C193,Roster!$B$6:$B$65,0),MATCH(C193,Roster!$C$6:$C$65,0))-1)+MATCH(B193,{"AM","PM","NIGHT","WD"},0)-1-27+1,DAY(A193))&amp;"",""))</f>
        <v/>
      </c>
      <c r="G193" s="123">
        <f>IF(OR(A193="",C193="",B193="",E193=""),"",IFERROR(A193&amp;"|"&amp;(27+4*(IFERROR(MATCH(C193,Roster!$B$6:$B$65,0),MATCH(C193,Roster!$C$6:$C$65,0))-1)+MATCH(B193,{"AM","PM","NIGHT","WD"},0)-1),""))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$266,'Feb'!$D$27:$AH$266,'Mar'!$D$27:$AH$266,'Apr'!$D$27:$AH$266,'May'!$D$27:$AH$266,'Jun'!$D$27:$AH$266,'Jul'!$D$27:$AH$266,'Aug'!$D$27:$AH$266,'Sep'!$D$27:$AH$266,'Oct'!$D$27:$AH$266,'Nov'!$D$27:$AH$266,'Dec'!$D$27:$AH$266,'Jan (next year)'!$D$27:$AH$266),27+4*(IFERROR(MATCH(C194,Roster!$B$6:$B$65,0),MATCH(C194,Roster!$C$6:$C$65,0))-1)+MATCH(B194,{"AM","PM","NIGHT","WD"},0)-1-27+1,DAY(A194))&amp;"",""))</f>
        <v/>
      </c>
      <c r="G194" s="123">
        <f>IF(OR(A194="",C194="",B194="",E194=""),"",IFERROR(A194&amp;"|"&amp;(27+4*(IFERROR(MATCH(C194,Roster!$B$6:$B$65,0),MATCH(C194,Roster!$C$6:$C$65,0))-1)+MATCH(B194,{"AM","PM","NIGHT","WD"},0)-1),""))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$266,'Feb'!$D$27:$AH$266,'Mar'!$D$27:$AH$266,'Apr'!$D$27:$AH$266,'May'!$D$27:$AH$266,'Jun'!$D$27:$AH$266,'Jul'!$D$27:$AH$266,'Aug'!$D$27:$AH$266,'Sep'!$D$27:$AH$266,'Oct'!$D$27:$AH$266,'Nov'!$D$27:$AH$266,'Dec'!$D$27:$AH$266,'Jan (next year)'!$D$27:$AH$266),27+4*(IFERROR(MATCH(C195,Roster!$B$6:$B$65,0),MATCH(C195,Roster!$C$6:$C$65,0))-1)+MATCH(B195,{"AM","PM","NIGHT","WD"},0)-1-27+1,DAY(A195))&amp;"",""))</f>
        <v/>
      </c>
      <c r="G195" s="123">
        <f>IF(OR(A195="",C195="",B195="",E195=""),"",IFERROR(A195&amp;"|"&amp;(27+4*(IFERROR(MATCH(C195,Roster!$B$6:$B$65,0),MATCH(C195,Roster!$C$6:$C$65,0))-1)+MATCH(B195,{"AM","PM","NIGHT","WD"},0)-1),""))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$266,'Feb'!$D$27:$AH$266,'Mar'!$D$27:$AH$266,'Apr'!$D$27:$AH$266,'May'!$D$27:$AH$266,'Jun'!$D$27:$AH$266,'Jul'!$D$27:$AH$266,'Aug'!$D$27:$AH$266,'Sep'!$D$27:$AH$266,'Oct'!$D$27:$AH$266,'Nov'!$D$27:$AH$266,'Dec'!$D$27:$AH$266,'Jan (next year)'!$D$27:$AH$266),27+4*(IFERROR(MATCH(C196,Roster!$B$6:$B$65,0),MATCH(C196,Roster!$C$6:$C$65,0))-1)+MATCH(B196,{"AM","PM","NIGHT","WD"},0)-1-27+1,DAY(A196))&amp;"",""))</f>
        <v/>
      </c>
      <c r="G196" s="123">
        <f>IF(OR(A196="",C196="",B196="",E196=""),"",IFERROR(A196&amp;"|"&amp;(27+4*(IFERROR(MATCH(C196,Roster!$B$6:$B$65,0),MATCH(C196,Roster!$C$6:$C$65,0))-1)+MATCH(B196,{"AM","PM","NIGHT","WD"},0)-1),""))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$266,'Feb'!$D$27:$AH$266,'Mar'!$D$27:$AH$266,'Apr'!$D$27:$AH$266,'May'!$D$27:$AH$266,'Jun'!$D$27:$AH$266,'Jul'!$D$27:$AH$266,'Aug'!$D$27:$AH$266,'Sep'!$D$27:$AH$266,'Oct'!$D$27:$AH$266,'Nov'!$D$27:$AH$266,'Dec'!$D$27:$AH$266,'Jan (next year)'!$D$27:$AH$266),27+4*(IFERROR(MATCH(C197,Roster!$B$6:$B$65,0),MATCH(C197,Roster!$C$6:$C$65,0))-1)+MATCH(B197,{"AM","PM","NIGHT","WD"},0)-1-27+1,DAY(A197))&amp;"",""))</f>
        <v/>
      </c>
      <c r="G197" s="123">
        <f>IF(OR(A197="",C197="",B197="",E197=""),"",IFERROR(A197&amp;"|"&amp;(27+4*(IFERROR(MATCH(C197,Roster!$B$6:$B$65,0),MATCH(C197,Roster!$C$6:$C$65,0))-1)+MATCH(B197,{"AM","PM","NIGHT","WD"},0)-1),""))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$266,'Feb'!$D$27:$AH$266,'Mar'!$D$27:$AH$266,'Apr'!$D$27:$AH$266,'May'!$D$27:$AH$266,'Jun'!$D$27:$AH$266,'Jul'!$D$27:$AH$266,'Aug'!$D$27:$AH$266,'Sep'!$D$27:$AH$266,'Oct'!$D$27:$AH$266,'Nov'!$D$27:$AH$266,'Dec'!$D$27:$AH$266,'Jan (next year)'!$D$27:$AH$266),27+4*(IFERROR(MATCH(C198,Roster!$B$6:$B$65,0),MATCH(C198,Roster!$C$6:$C$65,0))-1)+MATCH(B198,{"AM","PM","NIGHT","WD"},0)-1-27+1,DAY(A198))&amp;"",""))</f>
        <v/>
      </c>
      <c r="G198" s="123">
        <f>IF(OR(A198="",C198="",B198="",E198=""),"",IFERROR(A198&amp;"|"&amp;(27+4*(IFERROR(MATCH(C198,Roster!$B$6:$B$65,0),MATCH(C198,Roster!$C$6:$C$65,0))-1)+MATCH(B198,{"AM","PM","NIGHT","WD"},0)-1),""))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$266,'Feb'!$D$27:$AH$266,'Mar'!$D$27:$AH$266,'Apr'!$D$27:$AH$266,'May'!$D$27:$AH$266,'Jun'!$D$27:$AH$266,'Jul'!$D$27:$AH$266,'Aug'!$D$27:$AH$266,'Sep'!$D$27:$AH$266,'Oct'!$D$27:$AH$266,'Nov'!$D$27:$AH$266,'Dec'!$D$27:$AH$266,'Jan (next year)'!$D$27:$AH$266),27+4*(IFERROR(MATCH(C199,Roster!$B$6:$B$65,0),MATCH(C199,Roster!$C$6:$C$65,0))-1)+MATCH(B199,{"AM","PM","NIGHT","WD"},0)-1-27+1,DAY(A199))&amp;"",""))</f>
        <v/>
      </c>
      <c r="G199" s="123">
        <f>IF(OR(A199="",C199="",B199="",E199=""),"",IFERROR(A199&amp;"|"&amp;(27+4*(IFERROR(MATCH(C199,Roster!$B$6:$B$65,0),MATCH(C199,Roster!$C$6:$C$65,0))-1)+MATCH(B199,{"AM","PM","NIGHT","WD"},0)-1),""))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$266,'Feb'!$D$27:$AH$266,'Mar'!$D$27:$AH$266,'Apr'!$D$27:$AH$266,'May'!$D$27:$AH$266,'Jun'!$D$27:$AH$266,'Jul'!$D$27:$AH$266,'Aug'!$D$27:$AH$266,'Sep'!$D$27:$AH$266,'Oct'!$D$27:$AH$266,'Nov'!$D$27:$AH$266,'Dec'!$D$27:$AH$266,'Jan (next year)'!$D$27:$AH$266),27+4*(IFERROR(MATCH(C200,Roster!$B$6:$B$65,0),MATCH(C200,Roster!$C$6:$C$65,0))-1)+MATCH(B200,{"AM","PM","NIGHT","WD"},0)-1-27+1,DAY(A200))&amp;"",""))</f>
        <v/>
      </c>
      <c r="G200" s="123">
        <f>IF(OR(A200="",C200="",B200="",E200=""),"",IFERROR(A200&amp;"|"&amp;(27+4*(IFERROR(MATCH(C200,Roster!$B$6:$B$65,0),MATCH(C200,Roster!$C$6:$C$65,0))-1)+MATCH(B200,{"AM","PM","NIGHT","WD"},0)-1),""))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$266,'Feb'!$D$27:$AH$266,'Mar'!$D$27:$AH$266,'Apr'!$D$27:$AH$266,'May'!$D$27:$AH$266,'Jun'!$D$27:$AH$266,'Jul'!$D$27:$AH$266,'Aug'!$D$27:$AH$266,'Sep'!$D$27:$AH$266,'Oct'!$D$27:$AH$266,'Nov'!$D$27:$AH$266,'Dec'!$D$27:$AH$266,'Jan (next year)'!$D$27:$AH$266),27+4*(IFERROR(MATCH(C201,Roster!$B$6:$B$65,0),MATCH(C201,Roster!$C$6:$C$65,0))-1)+MATCH(B201,{"AM","PM","NIGHT","WD"},0)-1-27+1,DAY(A201))&amp;"",""))</f>
        <v/>
      </c>
      <c r="G201" s="123">
        <f>IF(OR(A201="",C201="",B201="",E201=""),"",IFERROR(A201&amp;"|"&amp;(27+4*(IFERROR(MATCH(C201,Roster!$B$6:$B$65,0),MATCH(C201,Roster!$C$6:$C$65,0))-1)+MATCH(B201,{"AM","PM","NIGHT","WD"},0)-1),""))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$266,'Feb'!$D$27:$AH$266,'Mar'!$D$27:$AH$266,'Apr'!$D$27:$AH$266,'May'!$D$27:$AH$266,'Jun'!$D$27:$AH$266,'Jul'!$D$27:$AH$266,'Aug'!$D$27:$AH$266,'Sep'!$D$27:$AH$266,'Oct'!$D$27:$AH$266,'Nov'!$D$27:$AH$266,'Dec'!$D$27:$AH$266,'Jan (next year)'!$D$27:$AH$266),27+4*(IFERROR(MATCH(C202,Roster!$B$6:$B$65,0),MATCH(C202,Roster!$C$6:$C$65,0))-1)+MATCH(B202,{"AM","PM","NIGHT","WD"},0)-1-27+1,DAY(A202))&amp;"",""))</f>
        <v/>
      </c>
      <c r="G202" s="123">
        <f>IF(OR(A202="",C202="",B202="",E202=""),"",IFERROR(A202&amp;"|"&amp;(27+4*(IFERROR(MATCH(C202,Roster!$B$6:$B$65,0),MATCH(C202,Roster!$C$6:$C$65,0))-1)+MATCH(B202,{"AM","PM","NIGHT","WD"},0)-1),""))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$266,'Feb'!$D$27:$AH$266,'Mar'!$D$27:$AH$266,'Apr'!$D$27:$AH$266,'May'!$D$27:$AH$266,'Jun'!$D$27:$AH$266,'Jul'!$D$27:$AH$266,'Aug'!$D$27:$AH$266,'Sep'!$D$27:$AH$266,'Oct'!$D$27:$AH$266,'Nov'!$D$27:$AH$266,'Dec'!$D$27:$AH$266,'Jan (next year)'!$D$27:$AH$266),27+4*(IFERROR(MATCH(C203,Roster!$B$6:$B$65,0),MATCH(C203,Roster!$C$6:$C$65,0))-1)+MATCH(B203,{"AM","PM","NIGHT","WD"},0)-1-27+1,DAY(A203))&amp;"",""))</f>
        <v/>
      </c>
      <c r="G203" s="123">
        <f>IF(OR(A203="",C203="",B203="",E203=""),"",IFERROR(A203&amp;"|"&amp;(27+4*(IFERROR(MATCH(C203,Roster!$B$6:$B$65,0),MATCH(C203,Roster!$C$6:$C$65,0))-1)+MATCH(B203,{"AM","PM","NIGHT","WD"},0)-1),""))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$266,'Feb'!$D$27:$AH$266,'Mar'!$D$27:$AH$266,'Apr'!$D$27:$AH$266,'May'!$D$27:$AH$266,'Jun'!$D$27:$AH$266,'Jul'!$D$27:$AH$266,'Aug'!$D$27:$AH$266,'Sep'!$D$27:$AH$266,'Oct'!$D$27:$AH$266,'Nov'!$D$27:$AH$266,'Dec'!$D$27:$AH$266,'Jan (next year)'!$D$27:$AH$266),27+4*(IFERROR(MATCH(C204,Roster!$B$6:$B$65,0),MATCH(C204,Roster!$C$6:$C$65,0))-1)+MATCH(B204,{"AM","PM","NIGHT","WD"},0)-1-27+1,DAY(A204))&amp;"",""))</f>
        <v/>
      </c>
      <c r="G204" s="123">
        <f>IF(OR(A204="",C204="",B204="",E204=""),"",IFERROR(A204&amp;"|"&amp;(27+4*(IFERROR(MATCH(C204,Roster!$B$6:$B$65,0),MATCH(C204,Roster!$C$6:$C$65,0))-1)+MATCH(B204,{"AM","PM","NIGHT","WD"},0)-1),""))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$266,'Feb'!$D$27:$AH$266,'Mar'!$D$27:$AH$266,'Apr'!$D$27:$AH$266,'May'!$D$27:$AH$266,'Jun'!$D$27:$AH$266,'Jul'!$D$27:$AH$266,'Aug'!$D$27:$AH$266,'Sep'!$D$27:$AH$266,'Oct'!$D$27:$AH$266,'Nov'!$D$27:$AH$266,'Dec'!$D$27:$AH$266,'Jan (next year)'!$D$27:$AH$266),27+4*(IFERROR(MATCH(C205,Roster!$B$6:$B$65,0),MATCH(C205,Roster!$C$6:$C$65,0))-1)+MATCH(B205,{"AM","PM","NIGHT","WD"},0)-1-27+1,DAY(A205))&amp;"",""))</f>
        <v/>
      </c>
      <c r="G205" s="123">
        <f>IF(OR(A205="",C205="",B205="",E205=""),"",IFERROR(A205&amp;"|"&amp;(27+4*(IFERROR(MATCH(C205,Roster!$B$6:$B$65,0),MATCH(C205,Roster!$C$6:$C$65,0))-1)+MATCH(B205,{"AM","PM","NIGHT","WD"},0)-1),""))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$266,'Feb'!$D$27:$AH$266,'Mar'!$D$27:$AH$266,'Apr'!$D$27:$AH$266,'May'!$D$27:$AH$266,'Jun'!$D$27:$AH$266,'Jul'!$D$27:$AH$266,'Aug'!$D$27:$AH$266,'Sep'!$D$27:$AH$266,'Oct'!$D$27:$AH$266,'Nov'!$D$27:$AH$266,'Dec'!$D$27:$AH$266,'Jan (next year)'!$D$27:$AH$266),27+4*(IFERROR(MATCH(C206,Roster!$B$6:$B$65,0),MATCH(C206,Roster!$C$6:$C$65,0))-1)+MATCH(B206,{"AM","PM","NIGHT","WD"},0)-1-27+1,DAY(A206))&amp;"",""))</f>
        <v/>
      </c>
      <c r="G206" s="123">
        <f>IF(OR(A206="",C206="",B206="",E206=""),"",IFERROR(A206&amp;"|"&amp;(27+4*(IFERROR(MATCH(C206,Roster!$B$6:$B$65,0),MATCH(C206,Roster!$C$6:$C$65,0))-1)+MATCH(B206,{"AM","PM","NIGHT","WD"},0)-1),""))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$266,'Feb'!$D$27:$AH$266,'Mar'!$D$27:$AH$266,'Apr'!$D$27:$AH$266,'May'!$D$27:$AH$266,'Jun'!$D$27:$AH$266,'Jul'!$D$27:$AH$266,'Aug'!$D$27:$AH$266,'Sep'!$D$27:$AH$266,'Oct'!$D$27:$AH$266,'Nov'!$D$27:$AH$266,'Dec'!$D$27:$AH$266,'Jan (next year)'!$D$27:$AH$266),27+4*(IFERROR(MATCH(C207,Roster!$B$6:$B$65,0),MATCH(C207,Roster!$C$6:$C$65,0))-1)+MATCH(B207,{"AM","PM","NIGHT","WD"},0)-1-27+1,DAY(A207))&amp;"",""))</f>
        <v/>
      </c>
      <c r="G207" s="123">
        <f>IF(OR(A207="",C207="",B207="",E207=""),"",IFERROR(A207&amp;"|"&amp;(27+4*(IFERROR(MATCH(C207,Roster!$B$6:$B$65,0),MATCH(C207,Roster!$C$6:$C$65,0))-1)+MATCH(B207,{"AM","PM","NIGHT","WD"},0)-1),""))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$266,'Feb'!$D$27:$AH$266,'Mar'!$D$27:$AH$266,'Apr'!$D$27:$AH$266,'May'!$D$27:$AH$266,'Jun'!$D$27:$AH$266,'Jul'!$D$27:$AH$266,'Aug'!$D$27:$AH$266,'Sep'!$D$27:$AH$266,'Oct'!$D$27:$AH$266,'Nov'!$D$27:$AH$266,'Dec'!$D$27:$AH$266,'Jan (next year)'!$D$27:$AH$266),27+4*(IFERROR(MATCH(C208,Roster!$B$6:$B$65,0),MATCH(C208,Roster!$C$6:$C$65,0))-1)+MATCH(B208,{"AM","PM","NIGHT","WD"},0)-1-27+1,DAY(A208))&amp;"",""))</f>
        <v/>
      </c>
      <c r="G208" s="123">
        <f>IF(OR(A208="",C208="",B208="",E208=""),"",IFERROR(A208&amp;"|"&amp;(27+4*(IFERROR(MATCH(C208,Roster!$B$6:$B$65,0),MATCH(C208,Roster!$C$6:$C$65,0))-1)+MATCH(B208,{"AM","PM","NIGHT","WD"},0)-1),""))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$266,'Feb'!$D$27:$AH$266,'Mar'!$D$27:$AH$266,'Apr'!$D$27:$AH$266,'May'!$D$27:$AH$266,'Jun'!$D$27:$AH$266,'Jul'!$D$27:$AH$266,'Aug'!$D$27:$AH$266,'Sep'!$D$27:$AH$266,'Oct'!$D$27:$AH$266,'Nov'!$D$27:$AH$266,'Dec'!$D$27:$AH$266,'Jan (next year)'!$D$27:$AH$266),27+4*(IFERROR(MATCH(C209,Roster!$B$6:$B$65,0),MATCH(C209,Roster!$C$6:$C$65,0))-1)+MATCH(B209,{"AM","PM","NIGHT","WD"},0)-1-27+1,DAY(A209))&amp;"",""))</f>
        <v/>
      </c>
      <c r="G209" s="123">
        <f>IF(OR(A209="",C209="",B209="",E209=""),"",IFERROR(A209&amp;"|"&amp;(27+4*(IFERROR(MATCH(C209,Roster!$B$6:$B$65,0),MATCH(C209,Roster!$C$6:$C$65,0))-1)+MATCH(B209,{"AM","PM","NIGHT","WD"},0)-1),""))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$266,'Feb'!$D$27:$AH$266,'Mar'!$D$27:$AH$266,'Apr'!$D$27:$AH$266,'May'!$D$27:$AH$266,'Jun'!$D$27:$AH$266,'Jul'!$D$27:$AH$266,'Aug'!$D$27:$AH$266,'Sep'!$D$27:$AH$266,'Oct'!$D$27:$AH$266,'Nov'!$D$27:$AH$266,'Dec'!$D$27:$AH$266,'Jan (next year)'!$D$27:$AH$266),27+4*(IFERROR(MATCH(C210,Roster!$B$6:$B$65,0),MATCH(C210,Roster!$C$6:$C$65,0))-1)+MATCH(B210,{"AM","PM","NIGHT","WD"},0)-1-27+1,DAY(A210))&amp;"",""))</f>
        <v/>
      </c>
      <c r="G210" s="123">
        <f>IF(OR(A210="",C210="",B210="",E210=""),"",IFERROR(A210&amp;"|"&amp;(27+4*(IFERROR(MATCH(C210,Roster!$B$6:$B$65,0),MATCH(C210,Roster!$C$6:$C$65,0))-1)+MATCH(B210,{"AM","PM","NIGHT","WD"},0)-1),""))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$266,'Feb'!$D$27:$AH$266,'Mar'!$D$27:$AH$266,'Apr'!$D$27:$AH$266,'May'!$D$27:$AH$266,'Jun'!$D$27:$AH$266,'Jul'!$D$27:$AH$266,'Aug'!$D$27:$AH$266,'Sep'!$D$27:$AH$266,'Oct'!$D$27:$AH$266,'Nov'!$D$27:$AH$266,'Dec'!$D$27:$AH$266,'Jan (next year)'!$D$27:$AH$266),27+4*(IFERROR(MATCH(C211,Roster!$B$6:$B$65,0),MATCH(C211,Roster!$C$6:$C$65,0))-1)+MATCH(B211,{"AM","PM","NIGHT","WD"},0)-1-27+1,DAY(A211))&amp;"",""))</f>
        <v/>
      </c>
      <c r="G211" s="123">
        <f>IF(OR(A211="",C211="",B211="",E211=""),"",IFERROR(A211&amp;"|"&amp;(27+4*(IFERROR(MATCH(C211,Roster!$B$6:$B$65,0),MATCH(C211,Roster!$C$6:$C$65,0))-1)+MATCH(B211,{"AM","PM","NIGHT","WD"},0)-1),""))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$266,'Feb'!$D$27:$AH$266,'Mar'!$D$27:$AH$266,'Apr'!$D$27:$AH$266,'May'!$D$27:$AH$266,'Jun'!$D$27:$AH$266,'Jul'!$D$27:$AH$266,'Aug'!$D$27:$AH$266,'Sep'!$D$27:$AH$266,'Oct'!$D$27:$AH$266,'Nov'!$D$27:$AH$266,'Dec'!$D$27:$AH$266,'Jan (next year)'!$D$27:$AH$266),27+4*(IFERROR(MATCH(C212,Roster!$B$6:$B$65,0),MATCH(C212,Roster!$C$6:$C$65,0))-1)+MATCH(B212,{"AM","PM","NIGHT","WD"},0)-1-27+1,DAY(A212))&amp;"",""))</f>
        <v/>
      </c>
      <c r="G212" s="123">
        <f>IF(OR(A212="",C212="",B212="",E212=""),"",IFERROR(A212&amp;"|"&amp;(27+4*(IFERROR(MATCH(C212,Roster!$B$6:$B$65,0),MATCH(C212,Roster!$C$6:$C$65,0))-1)+MATCH(B212,{"AM","PM","NIGHT","WD"},0)-1),""))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$266,'Feb'!$D$27:$AH$266,'Mar'!$D$27:$AH$266,'Apr'!$D$27:$AH$266,'May'!$D$27:$AH$266,'Jun'!$D$27:$AH$266,'Jul'!$D$27:$AH$266,'Aug'!$D$27:$AH$266,'Sep'!$D$27:$AH$266,'Oct'!$D$27:$AH$266,'Nov'!$D$27:$AH$266,'Dec'!$D$27:$AH$266,'Jan (next year)'!$D$27:$AH$266),27+4*(IFERROR(MATCH(C213,Roster!$B$6:$B$65,0),MATCH(C213,Roster!$C$6:$C$65,0))-1)+MATCH(B213,{"AM","PM","NIGHT","WD"},0)-1-27+1,DAY(A213))&amp;"",""))</f>
        <v/>
      </c>
      <c r="G213" s="123">
        <f>IF(OR(A213="",C213="",B213="",E213=""),"",IFERROR(A213&amp;"|"&amp;(27+4*(IFERROR(MATCH(C213,Roster!$B$6:$B$65,0),MATCH(C213,Roster!$C$6:$C$65,0))-1)+MATCH(B213,{"AM","PM","NIGHT","WD"},0)-1),""))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$266,'Feb'!$D$27:$AH$266,'Mar'!$D$27:$AH$266,'Apr'!$D$27:$AH$266,'May'!$D$27:$AH$266,'Jun'!$D$27:$AH$266,'Jul'!$D$27:$AH$266,'Aug'!$D$27:$AH$266,'Sep'!$D$27:$AH$266,'Oct'!$D$27:$AH$266,'Nov'!$D$27:$AH$266,'Dec'!$D$27:$AH$266,'Jan (next year)'!$D$27:$AH$266),27+4*(IFERROR(MATCH(C214,Roster!$B$6:$B$65,0),MATCH(C214,Roster!$C$6:$C$65,0))-1)+MATCH(B214,{"AM","PM","NIGHT","WD"},0)-1-27+1,DAY(A214))&amp;"",""))</f>
        <v/>
      </c>
      <c r="G214" s="123">
        <f>IF(OR(A214="",C214="",B214="",E214=""),"",IFERROR(A214&amp;"|"&amp;(27+4*(IFERROR(MATCH(C214,Roster!$B$6:$B$65,0),MATCH(C214,Roster!$C$6:$C$65,0))-1)+MATCH(B214,{"AM","PM","NIGHT","WD"},0)-1),""))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$266,'Feb'!$D$27:$AH$266,'Mar'!$D$27:$AH$266,'Apr'!$D$27:$AH$266,'May'!$D$27:$AH$266,'Jun'!$D$27:$AH$266,'Jul'!$D$27:$AH$266,'Aug'!$D$27:$AH$266,'Sep'!$D$27:$AH$266,'Oct'!$D$27:$AH$266,'Nov'!$D$27:$AH$266,'Dec'!$D$27:$AH$266,'Jan (next year)'!$D$27:$AH$266),27+4*(IFERROR(MATCH(C215,Roster!$B$6:$B$65,0),MATCH(C215,Roster!$C$6:$C$65,0))-1)+MATCH(B215,{"AM","PM","NIGHT","WD"},0)-1-27+1,DAY(A215))&amp;"",""))</f>
        <v/>
      </c>
      <c r="G215" s="123">
        <f>IF(OR(A215="",C215="",B215="",E215=""),"",IFERROR(A215&amp;"|"&amp;(27+4*(IFERROR(MATCH(C215,Roster!$B$6:$B$65,0),MATCH(C215,Roster!$C$6:$C$65,0))-1)+MATCH(B215,{"AM","PM","NIGHT","WD"},0)-1),""))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$266,'Feb'!$D$27:$AH$266,'Mar'!$D$27:$AH$266,'Apr'!$D$27:$AH$266,'May'!$D$27:$AH$266,'Jun'!$D$27:$AH$266,'Jul'!$D$27:$AH$266,'Aug'!$D$27:$AH$266,'Sep'!$D$27:$AH$266,'Oct'!$D$27:$AH$266,'Nov'!$D$27:$AH$266,'Dec'!$D$27:$AH$266,'Jan (next year)'!$D$27:$AH$266),27+4*(IFERROR(MATCH(C216,Roster!$B$6:$B$65,0),MATCH(C216,Roster!$C$6:$C$65,0))-1)+MATCH(B216,{"AM","PM","NIGHT","WD"},0)-1-27+1,DAY(A216))&amp;"",""))</f>
        <v/>
      </c>
      <c r="G216" s="123">
        <f>IF(OR(A216="",C216="",B216="",E216=""),"",IFERROR(A216&amp;"|"&amp;(27+4*(IFERROR(MATCH(C216,Roster!$B$6:$B$65,0),MATCH(C216,Roster!$C$6:$C$65,0))-1)+MATCH(B216,{"AM","PM","NIGHT","WD"},0)-1),""))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$266,'Feb'!$D$27:$AH$266,'Mar'!$D$27:$AH$266,'Apr'!$D$27:$AH$266,'May'!$D$27:$AH$266,'Jun'!$D$27:$AH$266,'Jul'!$D$27:$AH$266,'Aug'!$D$27:$AH$266,'Sep'!$D$27:$AH$266,'Oct'!$D$27:$AH$266,'Nov'!$D$27:$AH$266,'Dec'!$D$27:$AH$266,'Jan (next year)'!$D$27:$AH$266),27+4*(IFERROR(MATCH(C217,Roster!$B$6:$B$65,0),MATCH(C217,Roster!$C$6:$C$65,0))-1)+MATCH(B217,{"AM","PM","NIGHT","WD"},0)-1-27+1,DAY(A217))&amp;"",""))</f>
        <v/>
      </c>
      <c r="G217" s="123">
        <f>IF(OR(A217="",C217="",B217="",E217=""),"",IFERROR(A217&amp;"|"&amp;(27+4*(IFERROR(MATCH(C217,Roster!$B$6:$B$65,0),MATCH(C217,Roster!$C$6:$C$65,0))-1)+MATCH(B217,{"AM","PM","NIGHT","WD"},0)-1),""))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$266,'Feb'!$D$27:$AH$266,'Mar'!$D$27:$AH$266,'Apr'!$D$27:$AH$266,'May'!$D$27:$AH$266,'Jun'!$D$27:$AH$266,'Jul'!$D$27:$AH$266,'Aug'!$D$27:$AH$266,'Sep'!$D$27:$AH$266,'Oct'!$D$27:$AH$266,'Nov'!$D$27:$AH$266,'Dec'!$D$27:$AH$266,'Jan (next year)'!$D$27:$AH$266),27+4*(IFERROR(MATCH(C218,Roster!$B$6:$B$65,0),MATCH(C218,Roster!$C$6:$C$65,0))-1)+MATCH(B218,{"AM","PM","NIGHT","WD"},0)-1-27+1,DAY(A218))&amp;"",""))</f>
        <v/>
      </c>
      <c r="G218" s="123">
        <f>IF(OR(A218="",C218="",B218="",E218=""),"",IFERROR(A218&amp;"|"&amp;(27+4*(IFERROR(MATCH(C218,Roster!$B$6:$B$65,0),MATCH(C218,Roster!$C$6:$C$65,0))-1)+MATCH(B218,{"AM","PM","NIGHT","WD"},0)-1),""))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$266,'Feb'!$D$27:$AH$266,'Mar'!$D$27:$AH$266,'Apr'!$D$27:$AH$266,'May'!$D$27:$AH$266,'Jun'!$D$27:$AH$266,'Jul'!$D$27:$AH$266,'Aug'!$D$27:$AH$266,'Sep'!$D$27:$AH$266,'Oct'!$D$27:$AH$266,'Nov'!$D$27:$AH$266,'Dec'!$D$27:$AH$266,'Jan (next year)'!$D$27:$AH$266),27+4*(IFERROR(MATCH(C219,Roster!$B$6:$B$65,0),MATCH(C219,Roster!$C$6:$C$65,0))-1)+MATCH(B219,{"AM","PM","NIGHT","WD"},0)-1-27+1,DAY(A219))&amp;"",""))</f>
        <v/>
      </c>
      <c r="G219" s="123">
        <f>IF(OR(A219="",C219="",B219="",E219=""),"",IFERROR(A219&amp;"|"&amp;(27+4*(IFERROR(MATCH(C219,Roster!$B$6:$B$65,0),MATCH(C219,Roster!$C$6:$C$65,0))-1)+MATCH(B219,{"AM","PM","NIGHT","WD"},0)-1),""))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$266,'Feb'!$D$27:$AH$266,'Mar'!$D$27:$AH$266,'Apr'!$D$27:$AH$266,'May'!$D$27:$AH$266,'Jun'!$D$27:$AH$266,'Jul'!$D$27:$AH$266,'Aug'!$D$27:$AH$266,'Sep'!$D$27:$AH$266,'Oct'!$D$27:$AH$266,'Nov'!$D$27:$AH$266,'Dec'!$D$27:$AH$266,'Jan (next year)'!$D$27:$AH$266),27+4*(IFERROR(MATCH(C220,Roster!$B$6:$B$65,0),MATCH(C220,Roster!$C$6:$C$65,0))-1)+MATCH(B220,{"AM","PM","NIGHT","WD"},0)-1-27+1,DAY(A220))&amp;"",""))</f>
        <v/>
      </c>
      <c r="G220" s="123">
        <f>IF(OR(A220="",C220="",B220="",E220=""),"",IFERROR(A220&amp;"|"&amp;(27+4*(IFERROR(MATCH(C220,Roster!$B$6:$B$65,0),MATCH(C220,Roster!$C$6:$C$65,0))-1)+MATCH(B220,{"AM","PM","NIGHT","WD"},0)-1),""))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$266,'Feb'!$D$27:$AH$266,'Mar'!$D$27:$AH$266,'Apr'!$D$27:$AH$266,'May'!$D$27:$AH$266,'Jun'!$D$27:$AH$266,'Jul'!$D$27:$AH$266,'Aug'!$D$27:$AH$266,'Sep'!$D$27:$AH$266,'Oct'!$D$27:$AH$266,'Nov'!$D$27:$AH$266,'Dec'!$D$27:$AH$266,'Jan (next year)'!$D$27:$AH$266),27+4*(IFERROR(MATCH(C221,Roster!$B$6:$B$65,0),MATCH(C221,Roster!$C$6:$C$65,0))-1)+MATCH(B221,{"AM","PM","NIGHT","WD"},0)-1-27+1,DAY(A221))&amp;"",""))</f>
        <v/>
      </c>
      <c r="G221" s="123">
        <f>IF(OR(A221="",C221="",B221="",E221=""),"",IFERROR(A221&amp;"|"&amp;(27+4*(IFERROR(MATCH(C221,Roster!$B$6:$B$65,0),MATCH(C221,Roster!$C$6:$C$65,0))-1)+MATCH(B221,{"AM","PM","NIGHT","WD"},0)-1),""))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$266,'Feb'!$D$27:$AH$266,'Mar'!$D$27:$AH$266,'Apr'!$D$27:$AH$266,'May'!$D$27:$AH$266,'Jun'!$D$27:$AH$266,'Jul'!$D$27:$AH$266,'Aug'!$D$27:$AH$266,'Sep'!$D$27:$AH$266,'Oct'!$D$27:$AH$266,'Nov'!$D$27:$AH$266,'Dec'!$D$27:$AH$266,'Jan (next year)'!$D$27:$AH$266),27+4*(IFERROR(MATCH(C222,Roster!$B$6:$B$65,0),MATCH(C222,Roster!$C$6:$C$65,0))-1)+MATCH(B222,{"AM","PM","NIGHT","WD"},0)-1-27+1,DAY(A222))&amp;"",""))</f>
        <v/>
      </c>
      <c r="G222" s="123">
        <f>IF(OR(A222="",C222="",B222="",E222=""),"",IFERROR(A222&amp;"|"&amp;(27+4*(IFERROR(MATCH(C222,Roster!$B$6:$B$65,0),MATCH(C222,Roster!$C$6:$C$65,0))-1)+MATCH(B222,{"AM","PM","NIGHT","WD"},0)-1),""))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$266,'Feb'!$D$27:$AH$266,'Mar'!$D$27:$AH$266,'Apr'!$D$27:$AH$266,'May'!$D$27:$AH$266,'Jun'!$D$27:$AH$266,'Jul'!$D$27:$AH$266,'Aug'!$D$27:$AH$266,'Sep'!$D$27:$AH$266,'Oct'!$D$27:$AH$266,'Nov'!$D$27:$AH$266,'Dec'!$D$27:$AH$266,'Jan (next year)'!$D$27:$AH$266),27+4*(IFERROR(MATCH(C223,Roster!$B$6:$B$65,0),MATCH(C223,Roster!$C$6:$C$65,0))-1)+MATCH(B223,{"AM","PM","NIGHT","WD"},0)-1-27+1,DAY(A223))&amp;"",""))</f>
        <v/>
      </c>
      <c r="G223" s="123">
        <f>IF(OR(A223="",C223="",B223="",E223=""),"",IFERROR(A223&amp;"|"&amp;(27+4*(IFERROR(MATCH(C223,Roster!$B$6:$B$65,0),MATCH(C223,Roster!$C$6:$C$65,0))-1)+MATCH(B223,{"AM","PM","NIGHT","WD"},0)-1),""))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$266,'Feb'!$D$27:$AH$266,'Mar'!$D$27:$AH$266,'Apr'!$D$27:$AH$266,'May'!$D$27:$AH$266,'Jun'!$D$27:$AH$266,'Jul'!$D$27:$AH$266,'Aug'!$D$27:$AH$266,'Sep'!$D$27:$AH$266,'Oct'!$D$27:$AH$266,'Nov'!$D$27:$AH$266,'Dec'!$D$27:$AH$266,'Jan (next year)'!$D$27:$AH$266),27+4*(IFERROR(MATCH(C224,Roster!$B$6:$B$65,0),MATCH(C224,Roster!$C$6:$C$65,0))-1)+MATCH(B224,{"AM","PM","NIGHT","WD"},0)-1-27+1,DAY(A224))&amp;"",""))</f>
        <v/>
      </c>
      <c r="G224" s="123">
        <f>IF(OR(A224="",C224="",B224="",E224=""),"",IFERROR(A224&amp;"|"&amp;(27+4*(IFERROR(MATCH(C224,Roster!$B$6:$B$65,0),MATCH(C224,Roster!$C$6:$C$65,0))-1)+MATCH(B224,{"AM","PM","NIGHT","WD"},0)-1),""))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$266,'Feb'!$D$27:$AH$266,'Mar'!$D$27:$AH$266,'Apr'!$D$27:$AH$266,'May'!$D$27:$AH$266,'Jun'!$D$27:$AH$266,'Jul'!$D$27:$AH$266,'Aug'!$D$27:$AH$266,'Sep'!$D$27:$AH$266,'Oct'!$D$27:$AH$266,'Nov'!$D$27:$AH$266,'Dec'!$D$27:$AH$266,'Jan (next year)'!$D$27:$AH$266),27+4*(IFERROR(MATCH(C225,Roster!$B$6:$B$65,0),MATCH(C225,Roster!$C$6:$C$65,0))-1)+MATCH(B225,{"AM","PM","NIGHT","WD"},0)-1-27+1,DAY(A225))&amp;"",""))</f>
        <v/>
      </c>
      <c r="G225" s="123">
        <f>IF(OR(A225="",C225="",B225="",E225=""),"",IFERROR(A225&amp;"|"&amp;(27+4*(IFERROR(MATCH(C225,Roster!$B$6:$B$65,0),MATCH(C225,Roster!$C$6:$C$65,0))-1)+MATCH(B225,{"AM","PM","NIGHT","WD"},0)-1),""))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$266,'Feb'!$D$27:$AH$266,'Mar'!$D$27:$AH$266,'Apr'!$D$27:$AH$266,'May'!$D$27:$AH$266,'Jun'!$D$27:$AH$266,'Jul'!$D$27:$AH$266,'Aug'!$D$27:$AH$266,'Sep'!$D$27:$AH$266,'Oct'!$D$27:$AH$266,'Nov'!$D$27:$AH$266,'Dec'!$D$27:$AH$266,'Jan (next year)'!$D$27:$AH$266),27+4*(IFERROR(MATCH(C226,Roster!$B$6:$B$65,0),MATCH(C226,Roster!$C$6:$C$65,0))-1)+MATCH(B226,{"AM","PM","NIGHT","WD"},0)-1-27+1,DAY(A226))&amp;"",""))</f>
        <v/>
      </c>
      <c r="G226" s="123">
        <f>IF(OR(A226="",C226="",B226="",E226=""),"",IFERROR(A226&amp;"|"&amp;(27+4*(IFERROR(MATCH(C226,Roster!$B$6:$B$65,0),MATCH(C226,Roster!$C$6:$C$65,0))-1)+MATCH(B226,{"AM","PM","NIGHT","WD"},0)-1),""))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$266,'Feb'!$D$27:$AH$266,'Mar'!$D$27:$AH$266,'Apr'!$D$27:$AH$266,'May'!$D$27:$AH$266,'Jun'!$D$27:$AH$266,'Jul'!$D$27:$AH$266,'Aug'!$D$27:$AH$266,'Sep'!$D$27:$AH$266,'Oct'!$D$27:$AH$266,'Nov'!$D$27:$AH$266,'Dec'!$D$27:$AH$266,'Jan (next year)'!$D$27:$AH$266),27+4*(IFERROR(MATCH(C227,Roster!$B$6:$B$65,0),MATCH(C227,Roster!$C$6:$C$65,0))-1)+MATCH(B227,{"AM","PM","NIGHT","WD"},0)-1-27+1,DAY(A227))&amp;"",""))</f>
        <v/>
      </c>
      <c r="G227" s="123">
        <f>IF(OR(A227="",C227="",B227="",E227=""),"",IFERROR(A227&amp;"|"&amp;(27+4*(IFERROR(MATCH(C227,Roster!$B$6:$B$65,0),MATCH(C227,Roster!$C$6:$C$65,0))-1)+MATCH(B227,{"AM","PM","NIGHT","WD"},0)-1),""))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$266,'Feb'!$D$27:$AH$266,'Mar'!$D$27:$AH$266,'Apr'!$D$27:$AH$266,'May'!$D$27:$AH$266,'Jun'!$D$27:$AH$266,'Jul'!$D$27:$AH$266,'Aug'!$D$27:$AH$266,'Sep'!$D$27:$AH$266,'Oct'!$D$27:$AH$266,'Nov'!$D$27:$AH$266,'Dec'!$D$27:$AH$266,'Jan (next year)'!$D$27:$AH$266),27+4*(IFERROR(MATCH(C228,Roster!$B$6:$B$65,0),MATCH(C228,Roster!$C$6:$C$65,0))-1)+MATCH(B228,{"AM","PM","NIGHT","WD"},0)-1-27+1,DAY(A228))&amp;"",""))</f>
        <v/>
      </c>
      <c r="G228" s="123">
        <f>IF(OR(A228="",C228="",B228="",E228=""),"",IFERROR(A228&amp;"|"&amp;(27+4*(IFERROR(MATCH(C228,Roster!$B$6:$B$65,0),MATCH(C228,Roster!$C$6:$C$65,0))-1)+MATCH(B228,{"AM","PM","NIGHT","WD"},0)-1),""))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$266,'Feb'!$D$27:$AH$266,'Mar'!$D$27:$AH$266,'Apr'!$D$27:$AH$266,'May'!$D$27:$AH$266,'Jun'!$D$27:$AH$266,'Jul'!$D$27:$AH$266,'Aug'!$D$27:$AH$266,'Sep'!$D$27:$AH$266,'Oct'!$D$27:$AH$266,'Nov'!$D$27:$AH$266,'Dec'!$D$27:$AH$266,'Jan (next year)'!$D$27:$AH$266),27+4*(IFERROR(MATCH(C229,Roster!$B$6:$B$65,0),MATCH(C229,Roster!$C$6:$C$65,0))-1)+MATCH(B229,{"AM","PM","NIGHT","WD"},0)-1-27+1,DAY(A229))&amp;"",""))</f>
        <v/>
      </c>
      <c r="G229" s="123">
        <f>IF(OR(A229="",C229="",B229="",E229=""),"",IFERROR(A229&amp;"|"&amp;(27+4*(IFERROR(MATCH(C229,Roster!$B$6:$B$65,0),MATCH(C229,Roster!$C$6:$C$65,0))-1)+MATCH(B229,{"AM","PM","NIGHT","WD"},0)-1),""))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$266,'Feb'!$D$27:$AH$266,'Mar'!$D$27:$AH$266,'Apr'!$D$27:$AH$266,'May'!$D$27:$AH$266,'Jun'!$D$27:$AH$266,'Jul'!$D$27:$AH$266,'Aug'!$D$27:$AH$266,'Sep'!$D$27:$AH$266,'Oct'!$D$27:$AH$266,'Nov'!$D$27:$AH$266,'Dec'!$D$27:$AH$266,'Jan (next year)'!$D$27:$AH$266),27+4*(IFERROR(MATCH(C230,Roster!$B$6:$B$65,0),MATCH(C230,Roster!$C$6:$C$65,0))-1)+MATCH(B230,{"AM","PM","NIGHT","WD"},0)-1-27+1,DAY(A230))&amp;"",""))</f>
        <v/>
      </c>
      <c r="G230" s="123">
        <f>IF(OR(A230="",C230="",B230="",E230=""),"",IFERROR(A230&amp;"|"&amp;(27+4*(IFERROR(MATCH(C230,Roster!$B$6:$B$65,0),MATCH(C230,Roster!$C$6:$C$65,0))-1)+MATCH(B230,{"AM","PM","NIGHT","WD"},0)-1),""))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$266,'Feb'!$D$27:$AH$266,'Mar'!$D$27:$AH$266,'Apr'!$D$27:$AH$266,'May'!$D$27:$AH$266,'Jun'!$D$27:$AH$266,'Jul'!$D$27:$AH$266,'Aug'!$D$27:$AH$266,'Sep'!$D$27:$AH$266,'Oct'!$D$27:$AH$266,'Nov'!$D$27:$AH$266,'Dec'!$D$27:$AH$266,'Jan (next year)'!$D$27:$AH$266),27+4*(IFERROR(MATCH(C231,Roster!$B$6:$B$65,0),MATCH(C231,Roster!$C$6:$C$65,0))-1)+MATCH(B231,{"AM","PM","NIGHT","WD"},0)-1-27+1,DAY(A231))&amp;"",""))</f>
        <v/>
      </c>
      <c r="G231" s="123">
        <f>IF(OR(A231="",C231="",B231="",E231=""),"",IFERROR(A231&amp;"|"&amp;(27+4*(IFERROR(MATCH(C231,Roster!$B$6:$B$65,0),MATCH(C231,Roster!$C$6:$C$65,0))-1)+MATCH(B231,{"AM","PM","NIGHT","WD"},0)-1),""))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$266,'Feb'!$D$27:$AH$266,'Mar'!$D$27:$AH$266,'Apr'!$D$27:$AH$266,'May'!$D$27:$AH$266,'Jun'!$D$27:$AH$266,'Jul'!$D$27:$AH$266,'Aug'!$D$27:$AH$266,'Sep'!$D$27:$AH$266,'Oct'!$D$27:$AH$266,'Nov'!$D$27:$AH$266,'Dec'!$D$27:$AH$266,'Jan (next year)'!$D$27:$AH$266),27+4*(IFERROR(MATCH(C232,Roster!$B$6:$B$65,0),MATCH(C232,Roster!$C$6:$C$65,0))-1)+MATCH(B232,{"AM","PM","NIGHT","WD"},0)-1-27+1,DAY(A232))&amp;"",""))</f>
        <v/>
      </c>
      <c r="G232" s="123">
        <f>IF(OR(A232="",C232="",B232="",E232=""),"",IFERROR(A232&amp;"|"&amp;(27+4*(IFERROR(MATCH(C232,Roster!$B$6:$B$65,0),MATCH(C232,Roster!$C$6:$C$65,0))-1)+MATCH(B232,{"AM","PM","NIGHT","WD"},0)-1),""))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$266,'Feb'!$D$27:$AH$266,'Mar'!$D$27:$AH$266,'Apr'!$D$27:$AH$266,'May'!$D$27:$AH$266,'Jun'!$D$27:$AH$266,'Jul'!$D$27:$AH$266,'Aug'!$D$27:$AH$266,'Sep'!$D$27:$AH$266,'Oct'!$D$27:$AH$266,'Nov'!$D$27:$AH$266,'Dec'!$D$27:$AH$266,'Jan (next year)'!$D$27:$AH$266),27+4*(IFERROR(MATCH(C233,Roster!$B$6:$B$65,0),MATCH(C233,Roster!$C$6:$C$65,0))-1)+MATCH(B233,{"AM","PM","NIGHT","WD"},0)-1-27+1,DAY(A233))&amp;"",""))</f>
        <v/>
      </c>
      <c r="G233" s="123">
        <f>IF(OR(A233="",C233="",B233="",E233=""),"",IFERROR(A233&amp;"|"&amp;(27+4*(IFERROR(MATCH(C233,Roster!$B$6:$B$65,0),MATCH(C233,Roster!$C$6:$C$65,0))-1)+MATCH(B233,{"AM","PM","NIGHT","WD"},0)-1),""))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$266,'Feb'!$D$27:$AH$266,'Mar'!$D$27:$AH$266,'Apr'!$D$27:$AH$266,'May'!$D$27:$AH$266,'Jun'!$D$27:$AH$266,'Jul'!$D$27:$AH$266,'Aug'!$D$27:$AH$266,'Sep'!$D$27:$AH$266,'Oct'!$D$27:$AH$266,'Nov'!$D$27:$AH$266,'Dec'!$D$27:$AH$266,'Jan (next year)'!$D$27:$AH$266),27+4*(IFERROR(MATCH(C234,Roster!$B$6:$B$65,0),MATCH(C234,Roster!$C$6:$C$65,0))-1)+MATCH(B234,{"AM","PM","NIGHT","WD"},0)-1-27+1,DAY(A234))&amp;"",""))</f>
        <v/>
      </c>
      <c r="G234" s="123">
        <f>IF(OR(A234="",C234="",B234="",E234=""),"",IFERROR(A234&amp;"|"&amp;(27+4*(IFERROR(MATCH(C234,Roster!$B$6:$B$65,0),MATCH(C234,Roster!$C$6:$C$65,0))-1)+MATCH(B234,{"AM","PM","NIGHT","WD"},0)-1),""))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$266,'Feb'!$D$27:$AH$266,'Mar'!$D$27:$AH$266,'Apr'!$D$27:$AH$266,'May'!$D$27:$AH$266,'Jun'!$D$27:$AH$266,'Jul'!$D$27:$AH$266,'Aug'!$D$27:$AH$266,'Sep'!$D$27:$AH$266,'Oct'!$D$27:$AH$266,'Nov'!$D$27:$AH$266,'Dec'!$D$27:$AH$266,'Jan (next year)'!$D$27:$AH$266),27+4*(IFERROR(MATCH(C235,Roster!$B$6:$B$65,0),MATCH(C235,Roster!$C$6:$C$65,0))-1)+MATCH(B235,{"AM","PM","NIGHT","WD"},0)-1-27+1,DAY(A235))&amp;"",""))</f>
        <v/>
      </c>
      <c r="G235" s="123">
        <f>IF(OR(A235="",C235="",B235="",E235=""),"",IFERROR(A235&amp;"|"&amp;(27+4*(IFERROR(MATCH(C235,Roster!$B$6:$B$65,0),MATCH(C235,Roster!$C$6:$C$65,0))-1)+MATCH(B235,{"AM","PM","NIGHT","WD"},0)-1),""))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$266,'Feb'!$D$27:$AH$266,'Mar'!$D$27:$AH$266,'Apr'!$D$27:$AH$266,'May'!$D$27:$AH$266,'Jun'!$D$27:$AH$266,'Jul'!$D$27:$AH$266,'Aug'!$D$27:$AH$266,'Sep'!$D$27:$AH$266,'Oct'!$D$27:$AH$266,'Nov'!$D$27:$AH$266,'Dec'!$D$27:$AH$266,'Jan (next year)'!$D$27:$AH$266),27+4*(IFERROR(MATCH(C236,Roster!$B$6:$B$65,0),MATCH(C236,Roster!$C$6:$C$65,0))-1)+MATCH(B236,{"AM","PM","NIGHT","WD"},0)-1-27+1,DAY(A236))&amp;"",""))</f>
        <v/>
      </c>
      <c r="G236" s="123">
        <f>IF(OR(A236="",C236="",B236="",E236=""),"",IFERROR(A236&amp;"|"&amp;(27+4*(IFERROR(MATCH(C236,Roster!$B$6:$B$65,0),MATCH(C236,Roster!$C$6:$C$65,0))-1)+MATCH(B236,{"AM","PM","NIGHT","WD"},0)-1),""))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$266,'Feb'!$D$27:$AH$266,'Mar'!$D$27:$AH$266,'Apr'!$D$27:$AH$266,'May'!$D$27:$AH$266,'Jun'!$D$27:$AH$266,'Jul'!$D$27:$AH$266,'Aug'!$D$27:$AH$266,'Sep'!$D$27:$AH$266,'Oct'!$D$27:$AH$266,'Nov'!$D$27:$AH$266,'Dec'!$D$27:$AH$266,'Jan (next year)'!$D$27:$AH$266),27+4*(IFERROR(MATCH(C237,Roster!$B$6:$B$65,0),MATCH(C237,Roster!$C$6:$C$65,0))-1)+MATCH(B237,{"AM","PM","NIGHT","WD"},0)-1-27+1,DAY(A237))&amp;"",""))</f>
        <v/>
      </c>
      <c r="G237" s="123">
        <f>IF(OR(A237="",C237="",B237="",E237=""),"",IFERROR(A237&amp;"|"&amp;(27+4*(IFERROR(MATCH(C237,Roster!$B$6:$B$65,0),MATCH(C237,Roster!$C$6:$C$65,0))-1)+MATCH(B237,{"AM","PM","NIGHT","WD"},0)-1),""))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$266,'Feb'!$D$27:$AH$266,'Mar'!$D$27:$AH$266,'Apr'!$D$27:$AH$266,'May'!$D$27:$AH$266,'Jun'!$D$27:$AH$266,'Jul'!$D$27:$AH$266,'Aug'!$D$27:$AH$266,'Sep'!$D$27:$AH$266,'Oct'!$D$27:$AH$266,'Nov'!$D$27:$AH$266,'Dec'!$D$27:$AH$266,'Jan (next year)'!$D$27:$AH$266),27+4*(IFERROR(MATCH(C238,Roster!$B$6:$B$65,0),MATCH(C238,Roster!$C$6:$C$65,0))-1)+MATCH(B238,{"AM","PM","NIGHT","WD"},0)-1-27+1,DAY(A238))&amp;"",""))</f>
        <v/>
      </c>
      <c r="G238" s="123">
        <f>IF(OR(A238="",C238="",B238="",E238=""),"",IFERROR(A238&amp;"|"&amp;(27+4*(IFERROR(MATCH(C238,Roster!$B$6:$B$65,0),MATCH(C238,Roster!$C$6:$C$65,0))-1)+MATCH(B238,{"AM","PM","NIGHT","WD"},0)-1),""))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$266,'Feb'!$D$27:$AH$266,'Mar'!$D$27:$AH$266,'Apr'!$D$27:$AH$266,'May'!$D$27:$AH$266,'Jun'!$D$27:$AH$266,'Jul'!$D$27:$AH$266,'Aug'!$D$27:$AH$266,'Sep'!$D$27:$AH$266,'Oct'!$D$27:$AH$266,'Nov'!$D$27:$AH$266,'Dec'!$D$27:$AH$266,'Jan (next year)'!$D$27:$AH$266),27+4*(IFERROR(MATCH(C239,Roster!$B$6:$B$65,0),MATCH(C239,Roster!$C$6:$C$65,0))-1)+MATCH(B239,{"AM","PM","NIGHT","WD"},0)-1-27+1,DAY(A239))&amp;"",""))</f>
        <v/>
      </c>
      <c r="G239" s="123">
        <f>IF(OR(A239="",C239="",B239="",E239=""),"",IFERROR(A239&amp;"|"&amp;(27+4*(IFERROR(MATCH(C239,Roster!$B$6:$B$65,0),MATCH(C239,Roster!$C$6:$C$65,0))-1)+MATCH(B239,{"AM","PM","NIGHT","WD"},0)-1),""))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$266,'Feb'!$D$27:$AH$266,'Mar'!$D$27:$AH$266,'Apr'!$D$27:$AH$266,'May'!$D$27:$AH$266,'Jun'!$D$27:$AH$266,'Jul'!$D$27:$AH$266,'Aug'!$D$27:$AH$266,'Sep'!$D$27:$AH$266,'Oct'!$D$27:$AH$266,'Nov'!$D$27:$AH$266,'Dec'!$D$27:$AH$266,'Jan (next year)'!$D$27:$AH$266),27+4*(IFERROR(MATCH(C240,Roster!$B$6:$B$65,0),MATCH(C240,Roster!$C$6:$C$65,0))-1)+MATCH(B240,{"AM","PM","NIGHT","WD"},0)-1-27+1,DAY(A240))&amp;"",""))</f>
        <v/>
      </c>
      <c r="G240" s="123">
        <f>IF(OR(A240="",C240="",B240="",E240=""),"",IFERROR(A240&amp;"|"&amp;(27+4*(IFERROR(MATCH(C240,Roster!$B$6:$B$65,0),MATCH(C240,Roster!$C$6:$C$65,0))-1)+MATCH(B240,{"AM","PM","NIGHT","WD"},0)-1),""))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$266,'Feb'!$D$27:$AH$266,'Mar'!$D$27:$AH$266,'Apr'!$D$27:$AH$266,'May'!$D$27:$AH$266,'Jun'!$D$27:$AH$266,'Jul'!$D$27:$AH$266,'Aug'!$D$27:$AH$266,'Sep'!$D$27:$AH$266,'Oct'!$D$27:$AH$266,'Nov'!$D$27:$AH$266,'Dec'!$D$27:$AH$266,'Jan (next year)'!$D$27:$AH$266),27+4*(IFERROR(MATCH(C241,Roster!$B$6:$B$65,0),MATCH(C241,Roster!$C$6:$C$65,0))-1)+MATCH(B241,{"AM","PM","NIGHT","WD"},0)-1-27+1,DAY(A241))&amp;"",""))</f>
        <v/>
      </c>
      <c r="G241" s="123">
        <f>IF(OR(A241="",C241="",B241="",E241=""),"",IFERROR(A241&amp;"|"&amp;(27+4*(IFERROR(MATCH(C241,Roster!$B$6:$B$65,0),MATCH(C241,Roster!$C$6:$C$65,0))-1)+MATCH(B241,{"AM","PM","NIGHT","WD"},0)-1),""))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$266,'Feb'!$D$27:$AH$266,'Mar'!$D$27:$AH$266,'Apr'!$D$27:$AH$266,'May'!$D$27:$AH$266,'Jun'!$D$27:$AH$266,'Jul'!$D$27:$AH$266,'Aug'!$D$27:$AH$266,'Sep'!$D$27:$AH$266,'Oct'!$D$27:$AH$266,'Nov'!$D$27:$AH$266,'Dec'!$D$27:$AH$266,'Jan (next year)'!$D$27:$AH$266),27+4*(IFERROR(MATCH(C242,Roster!$B$6:$B$65,0),MATCH(C242,Roster!$C$6:$C$65,0))-1)+MATCH(B242,{"AM","PM","NIGHT","WD"},0)-1-27+1,DAY(A242))&amp;"",""))</f>
        <v/>
      </c>
      <c r="G242" s="123">
        <f>IF(OR(A242="",C242="",B242="",E242=""),"",IFERROR(A242&amp;"|"&amp;(27+4*(IFERROR(MATCH(C242,Roster!$B$6:$B$65,0),MATCH(C242,Roster!$C$6:$C$65,0))-1)+MATCH(B242,{"AM","PM","NIGHT","WD"},0)-1),""))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$266,'Feb'!$D$27:$AH$266,'Mar'!$D$27:$AH$266,'Apr'!$D$27:$AH$266,'May'!$D$27:$AH$266,'Jun'!$D$27:$AH$266,'Jul'!$D$27:$AH$266,'Aug'!$D$27:$AH$266,'Sep'!$D$27:$AH$266,'Oct'!$D$27:$AH$266,'Nov'!$D$27:$AH$266,'Dec'!$D$27:$AH$266,'Jan (next year)'!$D$27:$AH$266),27+4*(IFERROR(MATCH(C243,Roster!$B$6:$B$65,0),MATCH(C243,Roster!$C$6:$C$65,0))-1)+MATCH(B243,{"AM","PM","NIGHT","WD"},0)-1-27+1,DAY(A243))&amp;"",""))</f>
        <v/>
      </c>
      <c r="G243" s="123">
        <f>IF(OR(A243="",C243="",B243="",E243=""),"",IFERROR(A243&amp;"|"&amp;(27+4*(IFERROR(MATCH(C243,Roster!$B$6:$B$65,0),MATCH(C243,Roster!$C$6:$C$65,0))-1)+MATCH(B243,{"AM","PM","NIGHT","WD"},0)-1),""))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$266,'Feb'!$D$27:$AH$266,'Mar'!$D$27:$AH$266,'Apr'!$D$27:$AH$266,'May'!$D$27:$AH$266,'Jun'!$D$27:$AH$266,'Jul'!$D$27:$AH$266,'Aug'!$D$27:$AH$266,'Sep'!$D$27:$AH$266,'Oct'!$D$27:$AH$266,'Nov'!$D$27:$AH$266,'Dec'!$D$27:$AH$266,'Jan (next year)'!$D$27:$AH$266),27+4*(IFERROR(MATCH(C244,Roster!$B$6:$B$65,0),MATCH(C244,Roster!$C$6:$C$65,0))-1)+MATCH(B244,{"AM","PM","NIGHT","WD"},0)-1-27+1,DAY(A244))&amp;"",""))</f>
        <v/>
      </c>
      <c r="G244" s="123">
        <f>IF(OR(A244="",C244="",B244="",E244=""),"",IFERROR(A244&amp;"|"&amp;(27+4*(IFERROR(MATCH(C244,Roster!$B$6:$B$65,0),MATCH(C244,Roster!$C$6:$C$65,0))-1)+MATCH(B244,{"AM","PM","NIGHT","WD"},0)-1),""))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$266,'Feb'!$D$27:$AH$266,'Mar'!$D$27:$AH$266,'Apr'!$D$27:$AH$266,'May'!$D$27:$AH$266,'Jun'!$D$27:$AH$266,'Jul'!$D$27:$AH$266,'Aug'!$D$27:$AH$266,'Sep'!$D$27:$AH$266,'Oct'!$D$27:$AH$266,'Nov'!$D$27:$AH$266,'Dec'!$D$27:$AH$266,'Jan (next year)'!$D$27:$AH$266),27+4*(IFERROR(MATCH(C245,Roster!$B$6:$B$65,0),MATCH(C245,Roster!$C$6:$C$65,0))-1)+MATCH(B245,{"AM","PM","NIGHT","WD"},0)-1-27+1,DAY(A245))&amp;"",""))</f>
        <v/>
      </c>
      <c r="G245" s="123">
        <f>IF(OR(A245="",C245="",B245="",E245=""),"",IFERROR(A245&amp;"|"&amp;(27+4*(IFERROR(MATCH(C245,Roster!$B$6:$B$65,0),MATCH(C245,Roster!$C$6:$C$65,0))-1)+MATCH(B245,{"AM","PM","NIGHT","WD"},0)-1),""))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$266,'Feb'!$D$27:$AH$266,'Mar'!$D$27:$AH$266,'Apr'!$D$27:$AH$266,'May'!$D$27:$AH$266,'Jun'!$D$27:$AH$266,'Jul'!$D$27:$AH$266,'Aug'!$D$27:$AH$266,'Sep'!$D$27:$AH$266,'Oct'!$D$27:$AH$266,'Nov'!$D$27:$AH$266,'Dec'!$D$27:$AH$266,'Jan (next year)'!$D$27:$AH$266),27+4*(IFERROR(MATCH(C246,Roster!$B$6:$B$65,0),MATCH(C246,Roster!$C$6:$C$65,0))-1)+MATCH(B246,{"AM","PM","NIGHT","WD"},0)-1-27+1,DAY(A246))&amp;"",""))</f>
        <v/>
      </c>
      <c r="G246" s="123">
        <f>IF(OR(A246="",C246="",B246="",E246=""),"",IFERROR(A246&amp;"|"&amp;(27+4*(IFERROR(MATCH(C246,Roster!$B$6:$B$65,0),MATCH(C246,Roster!$C$6:$C$65,0))-1)+MATCH(B246,{"AM","PM","NIGHT","WD"},0)-1),""))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$266,'Feb'!$D$27:$AH$266,'Mar'!$D$27:$AH$266,'Apr'!$D$27:$AH$266,'May'!$D$27:$AH$266,'Jun'!$D$27:$AH$266,'Jul'!$D$27:$AH$266,'Aug'!$D$27:$AH$266,'Sep'!$D$27:$AH$266,'Oct'!$D$27:$AH$266,'Nov'!$D$27:$AH$266,'Dec'!$D$27:$AH$266,'Jan (next year)'!$D$27:$AH$266),27+4*(IFERROR(MATCH(C247,Roster!$B$6:$B$65,0),MATCH(C247,Roster!$C$6:$C$65,0))-1)+MATCH(B247,{"AM","PM","NIGHT","WD"},0)-1-27+1,DAY(A247))&amp;"",""))</f>
        <v/>
      </c>
      <c r="G247" s="123">
        <f>IF(OR(A247="",C247="",B247="",E247=""),"",IFERROR(A247&amp;"|"&amp;(27+4*(IFERROR(MATCH(C247,Roster!$B$6:$B$65,0),MATCH(C247,Roster!$C$6:$C$65,0))-1)+MATCH(B247,{"AM","PM","NIGHT","WD"},0)-1),""))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$266,'Feb'!$D$27:$AH$266,'Mar'!$D$27:$AH$266,'Apr'!$D$27:$AH$266,'May'!$D$27:$AH$266,'Jun'!$D$27:$AH$266,'Jul'!$D$27:$AH$266,'Aug'!$D$27:$AH$266,'Sep'!$D$27:$AH$266,'Oct'!$D$27:$AH$266,'Nov'!$D$27:$AH$266,'Dec'!$D$27:$AH$266,'Jan (next year)'!$D$27:$AH$266),27+4*(IFERROR(MATCH(C248,Roster!$B$6:$B$65,0),MATCH(C248,Roster!$C$6:$C$65,0))-1)+MATCH(B248,{"AM","PM","NIGHT","WD"},0)-1-27+1,DAY(A248))&amp;"",""))</f>
        <v/>
      </c>
      <c r="G248" s="123">
        <f>IF(OR(A248="",C248="",B248="",E248=""),"",IFERROR(A248&amp;"|"&amp;(27+4*(IFERROR(MATCH(C248,Roster!$B$6:$B$65,0),MATCH(C248,Roster!$C$6:$C$65,0))-1)+MATCH(B248,{"AM","PM","NIGHT","WD"},0)-1),""))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$266,'Feb'!$D$27:$AH$266,'Mar'!$D$27:$AH$266,'Apr'!$D$27:$AH$266,'May'!$D$27:$AH$266,'Jun'!$D$27:$AH$266,'Jul'!$D$27:$AH$266,'Aug'!$D$27:$AH$266,'Sep'!$D$27:$AH$266,'Oct'!$D$27:$AH$266,'Nov'!$D$27:$AH$266,'Dec'!$D$27:$AH$266,'Jan (next year)'!$D$27:$AH$266),27+4*(IFERROR(MATCH(C249,Roster!$B$6:$B$65,0),MATCH(C249,Roster!$C$6:$C$65,0))-1)+MATCH(B249,{"AM","PM","NIGHT","WD"},0)-1-27+1,DAY(A249))&amp;"",""))</f>
        <v/>
      </c>
      <c r="G249" s="123">
        <f>IF(OR(A249="",C249="",B249="",E249=""),"",IFERROR(A249&amp;"|"&amp;(27+4*(IFERROR(MATCH(C249,Roster!$B$6:$B$65,0),MATCH(C249,Roster!$C$6:$C$65,0))-1)+MATCH(B249,{"AM","PM","NIGHT","WD"},0)-1),""))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$266,'Feb'!$D$27:$AH$266,'Mar'!$D$27:$AH$266,'Apr'!$D$27:$AH$266,'May'!$D$27:$AH$266,'Jun'!$D$27:$AH$266,'Jul'!$D$27:$AH$266,'Aug'!$D$27:$AH$266,'Sep'!$D$27:$AH$266,'Oct'!$D$27:$AH$266,'Nov'!$D$27:$AH$266,'Dec'!$D$27:$AH$266,'Jan (next year)'!$D$27:$AH$266),27+4*(IFERROR(MATCH(C250,Roster!$B$6:$B$65,0),MATCH(C250,Roster!$C$6:$C$65,0))-1)+MATCH(B250,{"AM","PM","NIGHT","WD"},0)-1-27+1,DAY(A250))&amp;"",""))</f>
        <v/>
      </c>
      <c r="G250" s="123">
        <f>IF(OR(A250="",C250="",B250="",E250=""),"",IFERROR(A250&amp;"|"&amp;(27+4*(IFERROR(MATCH(C250,Roster!$B$6:$B$65,0),MATCH(C250,Roster!$C$6:$C$65,0))-1)+MATCH(B250,{"AM","PM","NIGHT","WD"},0)-1),""))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$266,'Feb'!$D$27:$AH$266,'Mar'!$D$27:$AH$266,'Apr'!$D$27:$AH$266,'May'!$D$27:$AH$266,'Jun'!$D$27:$AH$266,'Jul'!$D$27:$AH$266,'Aug'!$D$27:$AH$266,'Sep'!$D$27:$AH$266,'Oct'!$D$27:$AH$266,'Nov'!$D$27:$AH$266,'Dec'!$D$27:$AH$266,'Jan (next year)'!$D$27:$AH$266),27+4*(IFERROR(MATCH(C251,Roster!$B$6:$B$65,0),MATCH(C251,Roster!$C$6:$C$65,0))-1)+MATCH(B251,{"AM","PM","NIGHT","WD"},0)-1-27+1,DAY(A251))&amp;"",""))</f>
        <v/>
      </c>
      <c r="G251" s="123">
        <f>IF(OR(A251="",C251="",B251="",E251=""),"",IFERROR(A251&amp;"|"&amp;(27+4*(IFERROR(MATCH(C251,Roster!$B$6:$B$65,0),MATCH(C251,Roster!$C$6:$C$65,0))-1)+MATCH(B251,{"AM","PM","NIGHT","WD"},0)-1),""))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$266,'Feb'!$D$27:$AH$266,'Mar'!$D$27:$AH$266,'Apr'!$D$27:$AH$266,'May'!$D$27:$AH$266,'Jun'!$D$27:$AH$266,'Jul'!$D$27:$AH$266,'Aug'!$D$27:$AH$266,'Sep'!$D$27:$AH$266,'Oct'!$D$27:$AH$266,'Nov'!$D$27:$AH$266,'Dec'!$D$27:$AH$266,'Jan (next year)'!$D$27:$AH$266),27+4*(IFERROR(MATCH(C252,Roster!$B$6:$B$65,0),MATCH(C252,Roster!$C$6:$C$65,0))-1)+MATCH(B252,{"AM","PM","NIGHT","WD"},0)-1-27+1,DAY(A252))&amp;"",""))</f>
        <v/>
      </c>
      <c r="G252" s="123">
        <f>IF(OR(A252="",C252="",B252="",E252=""),"",IFERROR(A252&amp;"|"&amp;(27+4*(IFERROR(MATCH(C252,Roster!$B$6:$B$65,0),MATCH(C252,Roster!$C$6:$C$65,0))-1)+MATCH(B252,{"AM","PM","NIGHT","WD"},0)-1),""))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$266,'Feb'!$D$27:$AH$266,'Mar'!$D$27:$AH$266,'Apr'!$D$27:$AH$266,'May'!$D$27:$AH$266,'Jun'!$D$27:$AH$266,'Jul'!$D$27:$AH$266,'Aug'!$D$27:$AH$266,'Sep'!$D$27:$AH$266,'Oct'!$D$27:$AH$266,'Nov'!$D$27:$AH$266,'Dec'!$D$27:$AH$266,'Jan (next year)'!$D$27:$AH$266),27+4*(IFERROR(MATCH(C253,Roster!$B$6:$B$65,0),MATCH(C253,Roster!$C$6:$C$65,0))-1)+MATCH(B253,{"AM","PM","NIGHT","WD"},0)-1-27+1,DAY(A253))&amp;"",""))</f>
        <v/>
      </c>
      <c r="G253" s="123">
        <f>IF(OR(A253="",C253="",B253="",E253=""),"",IFERROR(A253&amp;"|"&amp;(27+4*(IFERROR(MATCH(C253,Roster!$B$6:$B$65,0),MATCH(C253,Roster!$C$6:$C$65,0))-1)+MATCH(B253,{"AM","PM","NIGHT","WD"},0)-1),""))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$266,'Feb'!$D$27:$AH$266,'Mar'!$D$27:$AH$266,'Apr'!$D$27:$AH$266,'May'!$D$27:$AH$266,'Jun'!$D$27:$AH$266,'Jul'!$D$27:$AH$266,'Aug'!$D$27:$AH$266,'Sep'!$D$27:$AH$266,'Oct'!$D$27:$AH$266,'Nov'!$D$27:$AH$266,'Dec'!$D$27:$AH$266,'Jan (next year)'!$D$27:$AH$266),27+4*(IFERROR(MATCH(C254,Roster!$B$6:$B$65,0),MATCH(C254,Roster!$C$6:$C$65,0))-1)+MATCH(B254,{"AM","PM","NIGHT","WD"},0)-1-27+1,DAY(A254))&amp;"",""))</f>
        <v/>
      </c>
      <c r="G254" s="123">
        <f>IF(OR(A254="",C254="",B254="",E254=""),"",IFERROR(A254&amp;"|"&amp;(27+4*(IFERROR(MATCH(C254,Roster!$B$6:$B$65,0),MATCH(C254,Roster!$C$6:$C$65,0))-1)+MATCH(B254,{"AM","PM","NIGHT","WD"},0)-1),""))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$266,'Feb'!$D$27:$AH$266,'Mar'!$D$27:$AH$266,'Apr'!$D$27:$AH$266,'May'!$D$27:$AH$266,'Jun'!$D$27:$AH$266,'Jul'!$D$27:$AH$266,'Aug'!$D$27:$AH$266,'Sep'!$D$27:$AH$266,'Oct'!$D$27:$AH$266,'Nov'!$D$27:$AH$266,'Dec'!$D$27:$AH$266,'Jan (next year)'!$D$27:$AH$266),27+4*(IFERROR(MATCH(C255,Roster!$B$6:$B$65,0),MATCH(C255,Roster!$C$6:$C$65,0))-1)+MATCH(B255,{"AM","PM","NIGHT","WD"},0)-1-27+1,DAY(A255))&amp;"",""))</f>
        <v/>
      </c>
      <c r="G255" s="123">
        <f>IF(OR(A255="",C255="",B255="",E255=""),"",IFERROR(A255&amp;"|"&amp;(27+4*(IFERROR(MATCH(C255,Roster!$B$6:$B$65,0),MATCH(C255,Roster!$C$6:$C$65,0))-1)+MATCH(B255,{"AM","PM","NIGHT","WD"},0)-1),""))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$266,'Feb'!$D$27:$AH$266,'Mar'!$D$27:$AH$266,'Apr'!$D$27:$AH$266,'May'!$D$27:$AH$266,'Jun'!$D$27:$AH$266,'Jul'!$D$27:$AH$266,'Aug'!$D$27:$AH$266,'Sep'!$D$27:$AH$266,'Oct'!$D$27:$AH$266,'Nov'!$D$27:$AH$266,'Dec'!$D$27:$AH$266,'Jan (next year)'!$D$27:$AH$266),27+4*(IFERROR(MATCH(C256,Roster!$B$6:$B$65,0),MATCH(C256,Roster!$C$6:$C$65,0))-1)+MATCH(B256,{"AM","PM","NIGHT","WD"},0)-1-27+1,DAY(A256))&amp;"",""))</f>
        <v/>
      </c>
      <c r="G256" s="123">
        <f>IF(OR(A256="",C256="",B256="",E256=""),"",IFERROR(A256&amp;"|"&amp;(27+4*(IFERROR(MATCH(C256,Roster!$B$6:$B$65,0),MATCH(C256,Roster!$C$6:$C$65,0))-1)+MATCH(B256,{"AM","PM","NIGHT","WD"},0)-1),""))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$266,'Feb'!$D$27:$AH$266,'Mar'!$D$27:$AH$266,'Apr'!$D$27:$AH$266,'May'!$D$27:$AH$266,'Jun'!$D$27:$AH$266,'Jul'!$D$27:$AH$266,'Aug'!$D$27:$AH$266,'Sep'!$D$27:$AH$266,'Oct'!$D$27:$AH$266,'Nov'!$D$27:$AH$266,'Dec'!$D$27:$AH$266,'Jan (next year)'!$D$27:$AH$266),27+4*(IFERROR(MATCH(C257,Roster!$B$6:$B$65,0),MATCH(C257,Roster!$C$6:$C$65,0))-1)+MATCH(B257,{"AM","PM","NIGHT","WD"},0)-1-27+1,DAY(A257))&amp;"",""))</f>
        <v/>
      </c>
      <c r="G257" s="123">
        <f>IF(OR(A257="",C257="",B257="",E257=""),"",IFERROR(A257&amp;"|"&amp;(27+4*(IFERROR(MATCH(C257,Roster!$B$6:$B$65,0),MATCH(C257,Roster!$C$6:$C$65,0))-1)+MATCH(B257,{"AM","PM","NIGHT","WD"},0)-1),""))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$266,'Feb'!$D$27:$AH$266,'Mar'!$D$27:$AH$266,'Apr'!$D$27:$AH$266,'May'!$D$27:$AH$266,'Jun'!$D$27:$AH$266,'Jul'!$D$27:$AH$266,'Aug'!$D$27:$AH$266,'Sep'!$D$27:$AH$266,'Oct'!$D$27:$AH$266,'Nov'!$D$27:$AH$266,'Dec'!$D$27:$AH$266,'Jan (next year)'!$D$27:$AH$266),27+4*(IFERROR(MATCH(C258,Roster!$B$6:$B$65,0),MATCH(C258,Roster!$C$6:$C$65,0))-1)+MATCH(B258,{"AM","PM","NIGHT","WD"},0)-1-27+1,DAY(A258))&amp;"",""))</f>
        <v/>
      </c>
      <c r="G258" s="123">
        <f>IF(OR(A258="",C258="",B258="",E258=""),"",IFERROR(A258&amp;"|"&amp;(27+4*(IFERROR(MATCH(C258,Roster!$B$6:$B$65,0),MATCH(C258,Roster!$C$6:$C$65,0))-1)+MATCH(B258,{"AM","PM","NIGHT","WD"},0)-1),""))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$266,'Feb'!$D$27:$AH$266,'Mar'!$D$27:$AH$266,'Apr'!$D$27:$AH$266,'May'!$D$27:$AH$266,'Jun'!$D$27:$AH$266,'Jul'!$D$27:$AH$266,'Aug'!$D$27:$AH$266,'Sep'!$D$27:$AH$266,'Oct'!$D$27:$AH$266,'Nov'!$D$27:$AH$266,'Dec'!$D$27:$AH$266,'Jan (next year)'!$D$27:$AH$266),27+4*(IFERROR(MATCH(C259,Roster!$B$6:$B$65,0),MATCH(C259,Roster!$C$6:$C$65,0))-1)+MATCH(B259,{"AM","PM","NIGHT","WD"},0)-1-27+1,DAY(A259))&amp;"",""))</f>
        <v/>
      </c>
      <c r="G259" s="123">
        <f>IF(OR(A259="",C259="",B259="",E259=""),"",IFERROR(A259&amp;"|"&amp;(27+4*(IFERROR(MATCH(C259,Roster!$B$6:$B$65,0),MATCH(C259,Roster!$C$6:$C$65,0))-1)+MATCH(B259,{"AM","PM","NIGHT","WD"},0)-1),""))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$266,'Feb'!$D$27:$AH$266,'Mar'!$D$27:$AH$266,'Apr'!$D$27:$AH$266,'May'!$D$27:$AH$266,'Jun'!$D$27:$AH$266,'Jul'!$D$27:$AH$266,'Aug'!$D$27:$AH$266,'Sep'!$D$27:$AH$266,'Oct'!$D$27:$AH$266,'Nov'!$D$27:$AH$266,'Dec'!$D$27:$AH$266,'Jan (next year)'!$D$27:$AH$266),27+4*(IFERROR(MATCH(C260,Roster!$B$6:$B$65,0),MATCH(C260,Roster!$C$6:$C$65,0))-1)+MATCH(B260,{"AM","PM","NIGHT","WD"},0)-1-27+1,DAY(A260))&amp;"",""))</f>
        <v/>
      </c>
      <c r="G260" s="123">
        <f>IF(OR(A260="",C260="",B260="",E260=""),"",IFERROR(A260&amp;"|"&amp;(27+4*(IFERROR(MATCH(C260,Roster!$B$6:$B$65,0),MATCH(C260,Roster!$C$6:$C$65,0))-1)+MATCH(B260,{"AM","PM","NIGHT","WD"},0)-1),""))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$266,'Feb'!$D$27:$AH$266,'Mar'!$D$27:$AH$266,'Apr'!$D$27:$AH$266,'May'!$D$27:$AH$266,'Jun'!$D$27:$AH$266,'Jul'!$D$27:$AH$266,'Aug'!$D$27:$AH$266,'Sep'!$D$27:$AH$266,'Oct'!$D$27:$AH$266,'Nov'!$D$27:$AH$266,'Dec'!$D$27:$AH$266,'Jan (next year)'!$D$27:$AH$266),27+4*(IFERROR(MATCH(C261,Roster!$B$6:$B$65,0),MATCH(C261,Roster!$C$6:$C$65,0))-1)+MATCH(B261,{"AM","PM","NIGHT","WD"},0)-1-27+1,DAY(A261))&amp;"",""))</f>
        <v/>
      </c>
      <c r="G261" s="123">
        <f>IF(OR(A261="",C261="",B261="",E261=""),"",IFERROR(A261&amp;"|"&amp;(27+4*(IFERROR(MATCH(C261,Roster!$B$6:$B$65,0),MATCH(C261,Roster!$C$6:$C$65,0))-1)+MATCH(B261,{"AM","PM","NIGHT","WD"},0)-1),""))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$266,'Feb'!$D$27:$AH$266,'Mar'!$D$27:$AH$266,'Apr'!$D$27:$AH$266,'May'!$D$27:$AH$266,'Jun'!$D$27:$AH$266,'Jul'!$D$27:$AH$266,'Aug'!$D$27:$AH$266,'Sep'!$D$27:$AH$266,'Oct'!$D$27:$AH$266,'Nov'!$D$27:$AH$266,'Dec'!$D$27:$AH$266,'Jan (next year)'!$D$27:$AH$266),27+4*(IFERROR(MATCH(C262,Roster!$B$6:$B$65,0),MATCH(C262,Roster!$C$6:$C$65,0))-1)+MATCH(B262,{"AM","PM","NIGHT","WD"},0)-1-27+1,DAY(A262))&amp;"",""))</f>
        <v/>
      </c>
      <c r="G262" s="123">
        <f>IF(OR(A262="",C262="",B262="",E262=""),"",IFERROR(A262&amp;"|"&amp;(27+4*(IFERROR(MATCH(C262,Roster!$B$6:$B$65,0),MATCH(C262,Roster!$C$6:$C$65,0))-1)+MATCH(B262,{"AM","PM","NIGHT","WD"},0)-1),""))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$266,'Feb'!$D$27:$AH$266,'Mar'!$D$27:$AH$266,'Apr'!$D$27:$AH$266,'May'!$D$27:$AH$266,'Jun'!$D$27:$AH$266,'Jul'!$D$27:$AH$266,'Aug'!$D$27:$AH$266,'Sep'!$D$27:$AH$266,'Oct'!$D$27:$AH$266,'Nov'!$D$27:$AH$266,'Dec'!$D$27:$AH$266,'Jan (next year)'!$D$27:$AH$266),27+4*(IFERROR(MATCH(C263,Roster!$B$6:$B$65,0),MATCH(C263,Roster!$C$6:$C$65,0))-1)+MATCH(B263,{"AM","PM","NIGHT","WD"},0)-1-27+1,DAY(A263))&amp;"",""))</f>
        <v/>
      </c>
      <c r="G263" s="123">
        <f>IF(OR(A263="",C263="",B263="",E263=""),"",IFERROR(A263&amp;"|"&amp;(27+4*(IFERROR(MATCH(C263,Roster!$B$6:$B$65,0),MATCH(C263,Roster!$C$6:$C$65,0))-1)+MATCH(B263,{"AM","PM","NIGHT","WD"},0)-1),""))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$266,'Feb'!$D$27:$AH$266,'Mar'!$D$27:$AH$266,'Apr'!$D$27:$AH$266,'May'!$D$27:$AH$266,'Jun'!$D$27:$AH$266,'Jul'!$D$27:$AH$266,'Aug'!$D$27:$AH$266,'Sep'!$D$27:$AH$266,'Oct'!$D$27:$AH$266,'Nov'!$D$27:$AH$266,'Dec'!$D$27:$AH$266,'Jan (next year)'!$D$27:$AH$266),27+4*(IFERROR(MATCH(C264,Roster!$B$6:$B$65,0),MATCH(C264,Roster!$C$6:$C$65,0))-1)+MATCH(B264,{"AM","PM","NIGHT","WD"},0)-1-27+1,DAY(A264))&amp;"",""))</f>
        <v/>
      </c>
      <c r="G264" s="123">
        <f>IF(OR(A264="",C264="",B264="",E264=""),"",IFERROR(A264&amp;"|"&amp;(27+4*(IFERROR(MATCH(C264,Roster!$B$6:$B$65,0),MATCH(C264,Roster!$C$6:$C$65,0))-1)+MATCH(B264,{"AM","PM","NIGHT","WD"},0)-1),""))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$266,'Feb'!$D$27:$AH$266,'Mar'!$D$27:$AH$266,'Apr'!$D$27:$AH$266,'May'!$D$27:$AH$266,'Jun'!$D$27:$AH$266,'Jul'!$D$27:$AH$266,'Aug'!$D$27:$AH$266,'Sep'!$D$27:$AH$266,'Oct'!$D$27:$AH$266,'Nov'!$D$27:$AH$266,'Dec'!$D$27:$AH$266,'Jan (next year)'!$D$27:$AH$266),27+4*(IFERROR(MATCH(C265,Roster!$B$6:$B$65,0),MATCH(C265,Roster!$C$6:$C$65,0))-1)+MATCH(B265,{"AM","PM","NIGHT","WD"},0)-1-27+1,DAY(A265))&amp;"",""))</f>
        <v/>
      </c>
      <c r="G265" s="123">
        <f>IF(OR(A265="",C265="",B265="",E265=""),"",IFERROR(A265&amp;"|"&amp;(27+4*(IFERROR(MATCH(C265,Roster!$B$6:$B$65,0),MATCH(C265,Roster!$C$6:$C$65,0))-1)+MATCH(B265,{"AM","PM","NIGHT","WD"},0)-1),""))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$266,'Feb'!$D$27:$AH$266,'Mar'!$D$27:$AH$266,'Apr'!$D$27:$AH$266,'May'!$D$27:$AH$266,'Jun'!$D$27:$AH$266,'Jul'!$D$27:$AH$266,'Aug'!$D$27:$AH$266,'Sep'!$D$27:$AH$266,'Oct'!$D$27:$AH$266,'Nov'!$D$27:$AH$266,'Dec'!$D$27:$AH$266,'Jan (next year)'!$D$27:$AH$266),27+4*(IFERROR(MATCH(C266,Roster!$B$6:$B$65,0),MATCH(C266,Roster!$C$6:$C$65,0))-1)+MATCH(B266,{"AM","PM","NIGHT","WD"},0)-1-27+1,DAY(A266))&amp;"",""))</f>
        <v/>
      </c>
      <c r="G266" s="123">
        <f>IF(OR(A266="",C266="",B266="",E266=""),"",IFERROR(A266&amp;"|"&amp;(27+4*(IFERROR(MATCH(C266,Roster!$B$6:$B$65,0),MATCH(C266,Roster!$C$6:$C$65,0))-1)+MATCH(B266,{"AM","PM","NIGHT","WD"},0)-1),""))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$266,'Feb'!$D$27:$AH$266,'Mar'!$D$27:$AH$266,'Apr'!$D$27:$AH$266,'May'!$D$27:$AH$266,'Jun'!$D$27:$AH$266,'Jul'!$D$27:$AH$266,'Aug'!$D$27:$AH$266,'Sep'!$D$27:$AH$266,'Oct'!$D$27:$AH$266,'Nov'!$D$27:$AH$266,'Dec'!$D$27:$AH$266,'Jan (next year)'!$D$27:$AH$266),27+4*(IFERROR(MATCH(C267,Roster!$B$6:$B$65,0),MATCH(C267,Roster!$C$6:$C$65,0))-1)+MATCH(B267,{"AM","PM","NIGHT","WD"},0)-1-27+1,DAY(A267))&amp;"",""))</f>
        <v/>
      </c>
      <c r="G267" s="123">
        <f>IF(OR(A267="",C267="",B267="",E267=""),"",IFERROR(A267&amp;"|"&amp;(27+4*(IFERROR(MATCH(C267,Roster!$B$6:$B$65,0),MATCH(C267,Roster!$C$6:$C$65,0))-1)+MATCH(B267,{"AM","PM","NIGHT","WD"},0)-1),""))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$266,'Feb'!$D$27:$AH$266,'Mar'!$D$27:$AH$266,'Apr'!$D$27:$AH$266,'May'!$D$27:$AH$266,'Jun'!$D$27:$AH$266,'Jul'!$D$27:$AH$266,'Aug'!$D$27:$AH$266,'Sep'!$D$27:$AH$266,'Oct'!$D$27:$AH$266,'Nov'!$D$27:$AH$266,'Dec'!$D$27:$AH$266,'Jan (next year)'!$D$27:$AH$266),27+4*(IFERROR(MATCH(C268,Roster!$B$6:$B$65,0),MATCH(C268,Roster!$C$6:$C$65,0))-1)+MATCH(B268,{"AM","PM","NIGHT","WD"},0)-1-27+1,DAY(A268))&amp;"",""))</f>
        <v/>
      </c>
      <c r="G268" s="123">
        <f>IF(OR(A268="",C268="",B268="",E268=""),"",IFERROR(A268&amp;"|"&amp;(27+4*(IFERROR(MATCH(C268,Roster!$B$6:$B$65,0),MATCH(C268,Roster!$C$6:$C$65,0))-1)+MATCH(B268,{"AM","PM","NIGHT","WD"},0)-1),""))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$266,'Feb'!$D$27:$AH$266,'Mar'!$D$27:$AH$266,'Apr'!$D$27:$AH$266,'May'!$D$27:$AH$266,'Jun'!$D$27:$AH$266,'Jul'!$D$27:$AH$266,'Aug'!$D$27:$AH$266,'Sep'!$D$27:$AH$266,'Oct'!$D$27:$AH$266,'Nov'!$D$27:$AH$266,'Dec'!$D$27:$AH$266,'Jan (next year)'!$D$27:$AH$266),27+4*(IFERROR(MATCH(C269,Roster!$B$6:$B$65,0),MATCH(C269,Roster!$C$6:$C$65,0))-1)+MATCH(B269,{"AM","PM","NIGHT","WD"},0)-1-27+1,DAY(A269))&amp;"",""))</f>
        <v/>
      </c>
      <c r="G269" s="123">
        <f>IF(OR(A269="",C269="",B269="",E269=""),"",IFERROR(A269&amp;"|"&amp;(27+4*(IFERROR(MATCH(C269,Roster!$B$6:$B$65,0),MATCH(C269,Roster!$C$6:$C$65,0))-1)+MATCH(B269,{"AM","PM","NIGHT","WD"},0)-1),""))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$266,'Feb'!$D$27:$AH$266,'Mar'!$D$27:$AH$266,'Apr'!$D$27:$AH$266,'May'!$D$27:$AH$266,'Jun'!$D$27:$AH$266,'Jul'!$D$27:$AH$266,'Aug'!$D$27:$AH$266,'Sep'!$D$27:$AH$266,'Oct'!$D$27:$AH$266,'Nov'!$D$27:$AH$266,'Dec'!$D$27:$AH$266,'Jan (next year)'!$D$27:$AH$266),27+4*(IFERROR(MATCH(C270,Roster!$B$6:$B$65,0),MATCH(C270,Roster!$C$6:$C$65,0))-1)+MATCH(B270,{"AM","PM","NIGHT","WD"},0)-1-27+1,DAY(A270))&amp;"",""))</f>
        <v/>
      </c>
      <c r="G270" s="123">
        <f>IF(OR(A270="",C270="",B270="",E270=""),"",IFERROR(A270&amp;"|"&amp;(27+4*(IFERROR(MATCH(C270,Roster!$B$6:$B$65,0),MATCH(C270,Roster!$C$6:$C$65,0))-1)+MATCH(B270,{"AM","PM","NIGHT","WD"},0)-1),""))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$266,'Feb'!$D$27:$AH$266,'Mar'!$D$27:$AH$266,'Apr'!$D$27:$AH$266,'May'!$D$27:$AH$266,'Jun'!$D$27:$AH$266,'Jul'!$D$27:$AH$266,'Aug'!$D$27:$AH$266,'Sep'!$D$27:$AH$266,'Oct'!$D$27:$AH$266,'Nov'!$D$27:$AH$266,'Dec'!$D$27:$AH$266,'Jan (next year)'!$D$27:$AH$266),27+4*(IFERROR(MATCH(C271,Roster!$B$6:$B$65,0),MATCH(C271,Roster!$C$6:$C$65,0))-1)+MATCH(B271,{"AM","PM","NIGHT","WD"},0)-1-27+1,DAY(A271))&amp;"",""))</f>
        <v/>
      </c>
      <c r="G271" s="123">
        <f>IF(OR(A271="",C271="",B271="",E271=""),"",IFERROR(A271&amp;"|"&amp;(27+4*(IFERROR(MATCH(C271,Roster!$B$6:$B$65,0),MATCH(C271,Roster!$C$6:$C$65,0))-1)+MATCH(B271,{"AM","PM","NIGHT","WD"},0)-1),""))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$266,'Feb'!$D$27:$AH$266,'Mar'!$D$27:$AH$266,'Apr'!$D$27:$AH$266,'May'!$D$27:$AH$266,'Jun'!$D$27:$AH$266,'Jul'!$D$27:$AH$266,'Aug'!$D$27:$AH$266,'Sep'!$D$27:$AH$266,'Oct'!$D$27:$AH$266,'Nov'!$D$27:$AH$266,'Dec'!$D$27:$AH$266,'Jan (next year)'!$D$27:$AH$266),27+4*(IFERROR(MATCH(C272,Roster!$B$6:$B$65,0),MATCH(C272,Roster!$C$6:$C$65,0))-1)+MATCH(B272,{"AM","PM","NIGHT","WD"},0)-1-27+1,DAY(A272))&amp;"",""))</f>
        <v/>
      </c>
      <c r="G272" s="123">
        <f>IF(OR(A272="",C272="",B272="",E272=""),"",IFERROR(A272&amp;"|"&amp;(27+4*(IFERROR(MATCH(C272,Roster!$B$6:$B$65,0),MATCH(C272,Roster!$C$6:$C$65,0))-1)+MATCH(B272,{"AM","PM","NIGHT","WD"},0)-1),""))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$266,'Feb'!$D$27:$AH$266,'Mar'!$D$27:$AH$266,'Apr'!$D$27:$AH$266,'May'!$D$27:$AH$266,'Jun'!$D$27:$AH$266,'Jul'!$D$27:$AH$266,'Aug'!$D$27:$AH$266,'Sep'!$D$27:$AH$266,'Oct'!$D$27:$AH$266,'Nov'!$D$27:$AH$266,'Dec'!$D$27:$AH$266,'Jan (next year)'!$D$27:$AH$266),27+4*(IFERROR(MATCH(C273,Roster!$B$6:$B$65,0),MATCH(C273,Roster!$C$6:$C$65,0))-1)+MATCH(B273,{"AM","PM","NIGHT","WD"},0)-1-27+1,DAY(A273))&amp;"",""))</f>
        <v/>
      </c>
      <c r="G273" s="123">
        <f>IF(OR(A273="",C273="",B273="",E273=""),"",IFERROR(A273&amp;"|"&amp;(27+4*(IFERROR(MATCH(C273,Roster!$B$6:$B$65,0),MATCH(C273,Roster!$C$6:$C$65,0))-1)+MATCH(B273,{"AM","PM","NIGHT","WD"},0)-1),""))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$266,'Feb'!$D$27:$AH$266,'Mar'!$D$27:$AH$266,'Apr'!$D$27:$AH$266,'May'!$D$27:$AH$266,'Jun'!$D$27:$AH$266,'Jul'!$D$27:$AH$266,'Aug'!$D$27:$AH$266,'Sep'!$D$27:$AH$266,'Oct'!$D$27:$AH$266,'Nov'!$D$27:$AH$266,'Dec'!$D$27:$AH$266,'Jan (next year)'!$D$27:$AH$266),27+4*(IFERROR(MATCH(C274,Roster!$B$6:$B$65,0),MATCH(C274,Roster!$C$6:$C$65,0))-1)+MATCH(B274,{"AM","PM","NIGHT","WD"},0)-1-27+1,DAY(A274))&amp;"",""))</f>
        <v/>
      </c>
      <c r="G274" s="123">
        <f>IF(OR(A274="",C274="",B274="",E274=""),"",IFERROR(A274&amp;"|"&amp;(27+4*(IFERROR(MATCH(C274,Roster!$B$6:$B$65,0),MATCH(C274,Roster!$C$6:$C$65,0))-1)+MATCH(B274,{"AM","PM","NIGHT","WD"},0)-1),""))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$266,'Feb'!$D$27:$AH$266,'Mar'!$D$27:$AH$266,'Apr'!$D$27:$AH$266,'May'!$D$27:$AH$266,'Jun'!$D$27:$AH$266,'Jul'!$D$27:$AH$266,'Aug'!$D$27:$AH$266,'Sep'!$D$27:$AH$266,'Oct'!$D$27:$AH$266,'Nov'!$D$27:$AH$266,'Dec'!$D$27:$AH$266,'Jan (next year)'!$D$27:$AH$266),27+4*(IFERROR(MATCH(C275,Roster!$B$6:$B$65,0),MATCH(C275,Roster!$C$6:$C$65,0))-1)+MATCH(B275,{"AM","PM","NIGHT","WD"},0)-1-27+1,DAY(A275))&amp;"",""))</f>
        <v/>
      </c>
      <c r="G275" s="123">
        <f>IF(OR(A275="",C275="",B275="",E275=""),"",IFERROR(A275&amp;"|"&amp;(27+4*(IFERROR(MATCH(C275,Roster!$B$6:$B$65,0),MATCH(C275,Roster!$C$6:$C$65,0))-1)+MATCH(B275,{"AM","PM","NIGHT","WD"},0)-1),""))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$266,'Feb'!$D$27:$AH$266,'Mar'!$D$27:$AH$266,'Apr'!$D$27:$AH$266,'May'!$D$27:$AH$266,'Jun'!$D$27:$AH$266,'Jul'!$D$27:$AH$266,'Aug'!$D$27:$AH$266,'Sep'!$D$27:$AH$266,'Oct'!$D$27:$AH$266,'Nov'!$D$27:$AH$266,'Dec'!$D$27:$AH$266,'Jan (next year)'!$D$27:$AH$266),27+4*(IFERROR(MATCH(C276,Roster!$B$6:$B$65,0),MATCH(C276,Roster!$C$6:$C$65,0))-1)+MATCH(B276,{"AM","PM","NIGHT","WD"},0)-1-27+1,DAY(A276))&amp;"",""))</f>
        <v/>
      </c>
      <c r="G276" s="123">
        <f>IF(OR(A276="",C276="",B276="",E276=""),"",IFERROR(A276&amp;"|"&amp;(27+4*(IFERROR(MATCH(C276,Roster!$B$6:$B$65,0),MATCH(C276,Roster!$C$6:$C$65,0))-1)+MATCH(B276,{"AM","PM","NIGHT","WD"},0)-1),""))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$266,'Feb'!$D$27:$AH$266,'Mar'!$D$27:$AH$266,'Apr'!$D$27:$AH$266,'May'!$D$27:$AH$266,'Jun'!$D$27:$AH$266,'Jul'!$D$27:$AH$266,'Aug'!$D$27:$AH$266,'Sep'!$D$27:$AH$266,'Oct'!$D$27:$AH$266,'Nov'!$D$27:$AH$266,'Dec'!$D$27:$AH$266,'Jan (next year)'!$D$27:$AH$266),27+4*(IFERROR(MATCH(C277,Roster!$B$6:$B$65,0),MATCH(C277,Roster!$C$6:$C$65,0))-1)+MATCH(B277,{"AM","PM","NIGHT","WD"},0)-1-27+1,DAY(A277))&amp;"",""))</f>
        <v/>
      </c>
      <c r="G277" s="123">
        <f>IF(OR(A277="",C277="",B277="",E277=""),"",IFERROR(A277&amp;"|"&amp;(27+4*(IFERROR(MATCH(C277,Roster!$B$6:$B$65,0),MATCH(C277,Roster!$C$6:$C$65,0))-1)+MATCH(B277,{"AM","PM","NIGHT","WD"},0)-1),""))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$266,'Feb'!$D$27:$AH$266,'Mar'!$D$27:$AH$266,'Apr'!$D$27:$AH$266,'May'!$D$27:$AH$266,'Jun'!$D$27:$AH$266,'Jul'!$D$27:$AH$266,'Aug'!$D$27:$AH$266,'Sep'!$D$27:$AH$266,'Oct'!$D$27:$AH$266,'Nov'!$D$27:$AH$266,'Dec'!$D$27:$AH$266,'Jan (next year)'!$D$27:$AH$266),27+4*(IFERROR(MATCH(C278,Roster!$B$6:$B$65,0),MATCH(C278,Roster!$C$6:$C$65,0))-1)+MATCH(B278,{"AM","PM","NIGHT","WD"},0)-1-27+1,DAY(A278))&amp;"",""))</f>
        <v/>
      </c>
      <c r="G278" s="123">
        <f>IF(OR(A278="",C278="",B278="",E278=""),"",IFERROR(A278&amp;"|"&amp;(27+4*(IFERROR(MATCH(C278,Roster!$B$6:$B$65,0),MATCH(C278,Roster!$C$6:$C$65,0))-1)+MATCH(B278,{"AM","PM","NIGHT","WD"},0)-1),""))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$266,'Feb'!$D$27:$AH$266,'Mar'!$D$27:$AH$266,'Apr'!$D$27:$AH$266,'May'!$D$27:$AH$266,'Jun'!$D$27:$AH$266,'Jul'!$D$27:$AH$266,'Aug'!$D$27:$AH$266,'Sep'!$D$27:$AH$266,'Oct'!$D$27:$AH$266,'Nov'!$D$27:$AH$266,'Dec'!$D$27:$AH$266,'Jan (next year)'!$D$27:$AH$266),27+4*(IFERROR(MATCH(C279,Roster!$B$6:$B$65,0),MATCH(C279,Roster!$C$6:$C$65,0))-1)+MATCH(B279,{"AM","PM","NIGHT","WD"},0)-1-27+1,DAY(A279))&amp;"",""))</f>
        <v/>
      </c>
      <c r="G279" s="123">
        <f>IF(OR(A279="",C279="",B279="",E279=""),"",IFERROR(A279&amp;"|"&amp;(27+4*(IFERROR(MATCH(C279,Roster!$B$6:$B$65,0),MATCH(C279,Roster!$C$6:$C$65,0))-1)+MATCH(B279,{"AM","PM","NIGHT","WD"},0)-1),""))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$266,'Feb'!$D$27:$AH$266,'Mar'!$D$27:$AH$266,'Apr'!$D$27:$AH$266,'May'!$D$27:$AH$266,'Jun'!$D$27:$AH$266,'Jul'!$D$27:$AH$266,'Aug'!$D$27:$AH$266,'Sep'!$D$27:$AH$266,'Oct'!$D$27:$AH$266,'Nov'!$D$27:$AH$266,'Dec'!$D$27:$AH$266,'Jan (next year)'!$D$27:$AH$266),27+4*(IFERROR(MATCH(C280,Roster!$B$6:$B$65,0),MATCH(C280,Roster!$C$6:$C$65,0))-1)+MATCH(B280,{"AM","PM","NIGHT","WD"},0)-1-27+1,DAY(A280))&amp;"",""))</f>
        <v/>
      </c>
      <c r="G280" s="123">
        <f>IF(OR(A280="",C280="",B280="",E280=""),"",IFERROR(A280&amp;"|"&amp;(27+4*(IFERROR(MATCH(C280,Roster!$B$6:$B$65,0),MATCH(C280,Roster!$C$6:$C$65,0))-1)+MATCH(B280,{"AM","PM","NIGHT","WD"},0)-1),""))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$266,'Feb'!$D$27:$AH$266,'Mar'!$D$27:$AH$266,'Apr'!$D$27:$AH$266,'May'!$D$27:$AH$266,'Jun'!$D$27:$AH$266,'Jul'!$D$27:$AH$266,'Aug'!$D$27:$AH$266,'Sep'!$D$27:$AH$266,'Oct'!$D$27:$AH$266,'Nov'!$D$27:$AH$266,'Dec'!$D$27:$AH$266,'Jan (next year)'!$D$27:$AH$266),27+4*(IFERROR(MATCH(C281,Roster!$B$6:$B$65,0),MATCH(C281,Roster!$C$6:$C$65,0))-1)+MATCH(B281,{"AM","PM","NIGHT","WD"},0)-1-27+1,DAY(A281))&amp;"",""))</f>
        <v/>
      </c>
      <c r="G281" s="123">
        <f>IF(OR(A281="",C281="",B281="",E281=""),"",IFERROR(A281&amp;"|"&amp;(27+4*(IFERROR(MATCH(C281,Roster!$B$6:$B$65,0),MATCH(C281,Roster!$C$6:$C$65,0))-1)+MATCH(B281,{"AM","PM","NIGHT","WD"},0)-1),""))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$266,'Feb'!$D$27:$AH$266,'Mar'!$D$27:$AH$266,'Apr'!$D$27:$AH$266,'May'!$D$27:$AH$266,'Jun'!$D$27:$AH$266,'Jul'!$D$27:$AH$266,'Aug'!$D$27:$AH$266,'Sep'!$D$27:$AH$266,'Oct'!$D$27:$AH$266,'Nov'!$D$27:$AH$266,'Dec'!$D$27:$AH$266,'Jan (next year)'!$D$27:$AH$266),27+4*(IFERROR(MATCH(C282,Roster!$B$6:$B$65,0),MATCH(C282,Roster!$C$6:$C$65,0))-1)+MATCH(B282,{"AM","PM","NIGHT","WD"},0)-1-27+1,DAY(A282))&amp;"",""))</f>
        <v/>
      </c>
      <c r="G282" s="123">
        <f>IF(OR(A282="",C282="",B282="",E282=""),"",IFERROR(A282&amp;"|"&amp;(27+4*(IFERROR(MATCH(C282,Roster!$B$6:$B$65,0),MATCH(C282,Roster!$C$6:$C$65,0))-1)+MATCH(B282,{"AM","PM","NIGHT","WD"},0)-1),""))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$266,'Feb'!$D$27:$AH$266,'Mar'!$D$27:$AH$266,'Apr'!$D$27:$AH$266,'May'!$D$27:$AH$266,'Jun'!$D$27:$AH$266,'Jul'!$D$27:$AH$266,'Aug'!$D$27:$AH$266,'Sep'!$D$27:$AH$266,'Oct'!$D$27:$AH$266,'Nov'!$D$27:$AH$266,'Dec'!$D$27:$AH$266,'Jan (next year)'!$D$27:$AH$266),27+4*(IFERROR(MATCH(C283,Roster!$B$6:$B$65,0),MATCH(C283,Roster!$C$6:$C$65,0))-1)+MATCH(B283,{"AM","PM","NIGHT","WD"},0)-1-27+1,DAY(A283))&amp;"",""))</f>
        <v/>
      </c>
      <c r="G283" s="123">
        <f>IF(OR(A283="",C283="",B283="",E283=""),"",IFERROR(A283&amp;"|"&amp;(27+4*(IFERROR(MATCH(C283,Roster!$B$6:$B$65,0),MATCH(C283,Roster!$C$6:$C$65,0))-1)+MATCH(B283,{"AM","PM","NIGHT","WD"},0)-1),""))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$266,'Feb'!$D$27:$AH$266,'Mar'!$D$27:$AH$266,'Apr'!$D$27:$AH$266,'May'!$D$27:$AH$266,'Jun'!$D$27:$AH$266,'Jul'!$D$27:$AH$266,'Aug'!$D$27:$AH$266,'Sep'!$D$27:$AH$266,'Oct'!$D$27:$AH$266,'Nov'!$D$27:$AH$266,'Dec'!$D$27:$AH$266,'Jan (next year)'!$D$27:$AH$266),27+4*(IFERROR(MATCH(C284,Roster!$B$6:$B$65,0),MATCH(C284,Roster!$C$6:$C$65,0))-1)+MATCH(B284,{"AM","PM","NIGHT","WD"},0)-1-27+1,DAY(A284))&amp;"",""))</f>
        <v/>
      </c>
      <c r="G284" s="123">
        <f>IF(OR(A284="",C284="",B284="",E284=""),"",IFERROR(A284&amp;"|"&amp;(27+4*(IFERROR(MATCH(C284,Roster!$B$6:$B$65,0),MATCH(C284,Roster!$C$6:$C$65,0))-1)+MATCH(B284,{"AM","PM","NIGHT","WD"},0)-1),""))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$266,'Feb'!$D$27:$AH$266,'Mar'!$D$27:$AH$266,'Apr'!$D$27:$AH$266,'May'!$D$27:$AH$266,'Jun'!$D$27:$AH$266,'Jul'!$D$27:$AH$266,'Aug'!$D$27:$AH$266,'Sep'!$D$27:$AH$266,'Oct'!$D$27:$AH$266,'Nov'!$D$27:$AH$266,'Dec'!$D$27:$AH$266,'Jan (next year)'!$D$27:$AH$266),27+4*(IFERROR(MATCH(C285,Roster!$B$6:$B$65,0),MATCH(C285,Roster!$C$6:$C$65,0))-1)+MATCH(B285,{"AM","PM","NIGHT","WD"},0)-1-27+1,DAY(A285))&amp;"",""))</f>
        <v/>
      </c>
      <c r="G285" s="123">
        <f>IF(OR(A285="",C285="",B285="",E285=""),"",IFERROR(A285&amp;"|"&amp;(27+4*(IFERROR(MATCH(C285,Roster!$B$6:$B$65,0),MATCH(C285,Roster!$C$6:$C$65,0))-1)+MATCH(B285,{"AM","PM","NIGHT","WD"},0)-1),""))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$266,'Feb'!$D$27:$AH$266,'Mar'!$D$27:$AH$266,'Apr'!$D$27:$AH$266,'May'!$D$27:$AH$266,'Jun'!$D$27:$AH$266,'Jul'!$D$27:$AH$266,'Aug'!$D$27:$AH$266,'Sep'!$D$27:$AH$266,'Oct'!$D$27:$AH$266,'Nov'!$D$27:$AH$266,'Dec'!$D$27:$AH$266,'Jan (next year)'!$D$27:$AH$266),27+4*(IFERROR(MATCH(C286,Roster!$B$6:$B$65,0),MATCH(C286,Roster!$C$6:$C$65,0))-1)+MATCH(B286,{"AM","PM","NIGHT","WD"},0)-1-27+1,DAY(A286))&amp;"",""))</f>
        <v/>
      </c>
      <c r="G286" s="123">
        <f>IF(OR(A286="",C286="",B286="",E286=""),"",IFERROR(A286&amp;"|"&amp;(27+4*(IFERROR(MATCH(C286,Roster!$B$6:$B$65,0),MATCH(C286,Roster!$C$6:$C$65,0))-1)+MATCH(B286,{"AM","PM","NIGHT","WD"},0)-1),""))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$266,'Feb'!$D$27:$AH$266,'Mar'!$D$27:$AH$266,'Apr'!$D$27:$AH$266,'May'!$D$27:$AH$266,'Jun'!$D$27:$AH$266,'Jul'!$D$27:$AH$266,'Aug'!$D$27:$AH$266,'Sep'!$D$27:$AH$266,'Oct'!$D$27:$AH$266,'Nov'!$D$27:$AH$266,'Dec'!$D$27:$AH$266,'Jan (next year)'!$D$27:$AH$266),27+4*(IFERROR(MATCH(C287,Roster!$B$6:$B$65,0),MATCH(C287,Roster!$C$6:$C$65,0))-1)+MATCH(B287,{"AM","PM","NIGHT","WD"},0)-1-27+1,DAY(A287))&amp;"",""))</f>
        <v/>
      </c>
      <c r="G287" s="123">
        <f>IF(OR(A287="",C287="",B287="",E287=""),"",IFERROR(A287&amp;"|"&amp;(27+4*(IFERROR(MATCH(C287,Roster!$B$6:$B$65,0),MATCH(C287,Roster!$C$6:$C$65,0))-1)+MATCH(B287,{"AM","PM","NIGHT","WD"},0)-1),""))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$266,'Feb'!$D$27:$AH$266,'Mar'!$D$27:$AH$266,'Apr'!$D$27:$AH$266,'May'!$D$27:$AH$266,'Jun'!$D$27:$AH$266,'Jul'!$D$27:$AH$266,'Aug'!$D$27:$AH$266,'Sep'!$D$27:$AH$266,'Oct'!$D$27:$AH$266,'Nov'!$D$27:$AH$266,'Dec'!$D$27:$AH$266,'Jan (next year)'!$D$27:$AH$266),27+4*(IFERROR(MATCH(C288,Roster!$B$6:$B$65,0),MATCH(C288,Roster!$C$6:$C$65,0))-1)+MATCH(B288,{"AM","PM","NIGHT","WD"},0)-1-27+1,DAY(A288))&amp;"",""))</f>
        <v/>
      </c>
      <c r="G288" s="123">
        <f>IF(OR(A288="",C288="",B288="",E288=""),"",IFERROR(A288&amp;"|"&amp;(27+4*(IFERROR(MATCH(C288,Roster!$B$6:$B$65,0),MATCH(C288,Roster!$C$6:$C$65,0))-1)+MATCH(B288,{"AM","PM","NIGHT","WD"},0)-1),""))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$266,'Feb'!$D$27:$AH$266,'Mar'!$D$27:$AH$266,'Apr'!$D$27:$AH$266,'May'!$D$27:$AH$266,'Jun'!$D$27:$AH$266,'Jul'!$D$27:$AH$266,'Aug'!$D$27:$AH$266,'Sep'!$D$27:$AH$266,'Oct'!$D$27:$AH$266,'Nov'!$D$27:$AH$266,'Dec'!$D$27:$AH$266,'Jan (next year)'!$D$27:$AH$266),27+4*(IFERROR(MATCH(C289,Roster!$B$6:$B$65,0),MATCH(C289,Roster!$C$6:$C$65,0))-1)+MATCH(B289,{"AM","PM","NIGHT","WD"},0)-1-27+1,DAY(A289))&amp;"",""))</f>
        <v/>
      </c>
      <c r="G289" s="123">
        <f>IF(OR(A289="",C289="",B289="",E289=""),"",IFERROR(A289&amp;"|"&amp;(27+4*(IFERROR(MATCH(C289,Roster!$B$6:$B$65,0),MATCH(C289,Roster!$C$6:$C$65,0))-1)+MATCH(B289,{"AM","PM","NIGHT","WD"},0)-1),""))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$266,'Feb'!$D$27:$AH$266,'Mar'!$D$27:$AH$266,'Apr'!$D$27:$AH$266,'May'!$D$27:$AH$266,'Jun'!$D$27:$AH$266,'Jul'!$D$27:$AH$266,'Aug'!$D$27:$AH$266,'Sep'!$D$27:$AH$266,'Oct'!$D$27:$AH$266,'Nov'!$D$27:$AH$266,'Dec'!$D$27:$AH$266,'Jan (next year)'!$D$27:$AH$266),27+4*(IFERROR(MATCH(C290,Roster!$B$6:$B$65,0),MATCH(C290,Roster!$C$6:$C$65,0))-1)+MATCH(B290,{"AM","PM","NIGHT","WD"},0)-1-27+1,DAY(A290))&amp;"",""))</f>
        <v/>
      </c>
      <c r="G290" s="123">
        <f>IF(OR(A290="",C290="",B290="",E290=""),"",IFERROR(A290&amp;"|"&amp;(27+4*(IFERROR(MATCH(C290,Roster!$B$6:$B$65,0),MATCH(C290,Roster!$C$6:$C$65,0))-1)+MATCH(B290,{"AM","PM","NIGHT","WD"},0)-1),""))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$266,'Feb'!$D$27:$AH$266,'Mar'!$D$27:$AH$266,'Apr'!$D$27:$AH$266,'May'!$D$27:$AH$266,'Jun'!$D$27:$AH$266,'Jul'!$D$27:$AH$266,'Aug'!$D$27:$AH$266,'Sep'!$D$27:$AH$266,'Oct'!$D$27:$AH$266,'Nov'!$D$27:$AH$266,'Dec'!$D$27:$AH$266,'Jan (next year)'!$D$27:$AH$266),27+4*(IFERROR(MATCH(C291,Roster!$B$6:$B$65,0),MATCH(C291,Roster!$C$6:$C$65,0))-1)+MATCH(B291,{"AM","PM","NIGHT","WD"},0)-1-27+1,DAY(A291))&amp;"",""))</f>
        <v/>
      </c>
      <c r="G291" s="123">
        <f>IF(OR(A291="",C291="",B291="",E291=""),"",IFERROR(A291&amp;"|"&amp;(27+4*(IFERROR(MATCH(C291,Roster!$B$6:$B$65,0),MATCH(C291,Roster!$C$6:$C$65,0))-1)+MATCH(B291,{"AM","PM","NIGHT","WD"},0)-1),""))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$266,'Feb'!$D$27:$AH$266,'Mar'!$D$27:$AH$266,'Apr'!$D$27:$AH$266,'May'!$D$27:$AH$266,'Jun'!$D$27:$AH$266,'Jul'!$D$27:$AH$266,'Aug'!$D$27:$AH$266,'Sep'!$D$27:$AH$266,'Oct'!$D$27:$AH$266,'Nov'!$D$27:$AH$266,'Dec'!$D$27:$AH$266,'Jan (next year)'!$D$27:$AH$266),27+4*(IFERROR(MATCH(C292,Roster!$B$6:$B$65,0),MATCH(C292,Roster!$C$6:$C$65,0))-1)+MATCH(B292,{"AM","PM","NIGHT","WD"},0)-1-27+1,DAY(A292))&amp;"",""))</f>
        <v/>
      </c>
      <c r="G292" s="123">
        <f>IF(OR(A292="",C292="",B292="",E292=""),"",IFERROR(A292&amp;"|"&amp;(27+4*(IFERROR(MATCH(C292,Roster!$B$6:$B$65,0),MATCH(C292,Roster!$C$6:$C$65,0))-1)+MATCH(B292,{"AM","PM","NIGHT","WD"},0)-1),""))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$266,'Feb'!$D$27:$AH$266,'Mar'!$D$27:$AH$266,'Apr'!$D$27:$AH$266,'May'!$D$27:$AH$266,'Jun'!$D$27:$AH$266,'Jul'!$D$27:$AH$266,'Aug'!$D$27:$AH$266,'Sep'!$D$27:$AH$266,'Oct'!$D$27:$AH$266,'Nov'!$D$27:$AH$266,'Dec'!$D$27:$AH$266,'Jan (next year)'!$D$27:$AH$266),27+4*(IFERROR(MATCH(C293,Roster!$B$6:$B$65,0),MATCH(C293,Roster!$C$6:$C$65,0))-1)+MATCH(B293,{"AM","PM","NIGHT","WD"},0)-1-27+1,DAY(A293))&amp;"",""))</f>
        <v/>
      </c>
      <c r="G293" s="123">
        <f>IF(OR(A293="",C293="",B293="",E293=""),"",IFERROR(A293&amp;"|"&amp;(27+4*(IFERROR(MATCH(C293,Roster!$B$6:$B$65,0),MATCH(C293,Roster!$C$6:$C$65,0))-1)+MATCH(B293,{"AM","PM","NIGHT","WD"},0)-1),""))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$266,'Feb'!$D$27:$AH$266,'Mar'!$D$27:$AH$266,'Apr'!$D$27:$AH$266,'May'!$D$27:$AH$266,'Jun'!$D$27:$AH$266,'Jul'!$D$27:$AH$266,'Aug'!$D$27:$AH$266,'Sep'!$D$27:$AH$266,'Oct'!$D$27:$AH$266,'Nov'!$D$27:$AH$266,'Dec'!$D$27:$AH$266,'Jan (next year)'!$D$27:$AH$266),27+4*(IFERROR(MATCH(C294,Roster!$B$6:$B$65,0),MATCH(C294,Roster!$C$6:$C$65,0))-1)+MATCH(B294,{"AM","PM","NIGHT","WD"},0)-1-27+1,DAY(A294))&amp;"",""))</f>
        <v/>
      </c>
      <c r="G294" s="123">
        <f>IF(OR(A294="",C294="",B294="",E294=""),"",IFERROR(A294&amp;"|"&amp;(27+4*(IFERROR(MATCH(C294,Roster!$B$6:$B$65,0),MATCH(C294,Roster!$C$6:$C$65,0))-1)+MATCH(B294,{"AM","PM","NIGHT","WD"},0)-1),""))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$266,'Feb'!$D$27:$AH$266,'Mar'!$D$27:$AH$266,'Apr'!$D$27:$AH$266,'May'!$D$27:$AH$266,'Jun'!$D$27:$AH$266,'Jul'!$D$27:$AH$266,'Aug'!$D$27:$AH$266,'Sep'!$D$27:$AH$266,'Oct'!$D$27:$AH$266,'Nov'!$D$27:$AH$266,'Dec'!$D$27:$AH$266,'Jan (next year)'!$D$27:$AH$266),27+4*(IFERROR(MATCH(C295,Roster!$B$6:$B$65,0),MATCH(C295,Roster!$C$6:$C$65,0))-1)+MATCH(B295,{"AM","PM","NIGHT","WD"},0)-1-27+1,DAY(A295))&amp;"",""))</f>
        <v/>
      </c>
      <c r="G295" s="123">
        <f>IF(OR(A295="",C295="",B295="",E295=""),"",IFERROR(A295&amp;"|"&amp;(27+4*(IFERROR(MATCH(C295,Roster!$B$6:$B$65,0),MATCH(C295,Roster!$C$6:$C$65,0))-1)+MATCH(B295,{"AM","PM","NIGHT","WD"},0)-1),""))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$266,'Feb'!$D$27:$AH$266,'Mar'!$D$27:$AH$266,'Apr'!$D$27:$AH$266,'May'!$D$27:$AH$266,'Jun'!$D$27:$AH$266,'Jul'!$D$27:$AH$266,'Aug'!$D$27:$AH$266,'Sep'!$D$27:$AH$266,'Oct'!$D$27:$AH$266,'Nov'!$D$27:$AH$266,'Dec'!$D$27:$AH$266,'Jan (next year)'!$D$27:$AH$266),27+4*(IFERROR(MATCH(C296,Roster!$B$6:$B$65,0),MATCH(C296,Roster!$C$6:$C$65,0))-1)+MATCH(B296,{"AM","PM","NIGHT","WD"},0)-1-27+1,DAY(A296))&amp;"",""))</f>
        <v/>
      </c>
      <c r="G296" s="123">
        <f>IF(OR(A296="",C296="",B296="",E296=""),"",IFERROR(A296&amp;"|"&amp;(27+4*(IFERROR(MATCH(C296,Roster!$B$6:$B$65,0),MATCH(C296,Roster!$C$6:$C$65,0))-1)+MATCH(B296,{"AM","PM","NIGHT","WD"},0)-1),""))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$266,'Feb'!$D$27:$AH$266,'Mar'!$D$27:$AH$266,'Apr'!$D$27:$AH$266,'May'!$D$27:$AH$266,'Jun'!$D$27:$AH$266,'Jul'!$D$27:$AH$266,'Aug'!$D$27:$AH$266,'Sep'!$D$27:$AH$266,'Oct'!$D$27:$AH$266,'Nov'!$D$27:$AH$266,'Dec'!$D$27:$AH$266,'Jan (next year)'!$D$27:$AH$266),27+4*(IFERROR(MATCH(C297,Roster!$B$6:$B$65,0),MATCH(C297,Roster!$C$6:$C$65,0))-1)+MATCH(B297,{"AM","PM","NIGHT","WD"},0)-1-27+1,DAY(A297))&amp;"",""))</f>
        <v/>
      </c>
      <c r="G297" s="123">
        <f>IF(OR(A297="",C297="",B297="",E297=""),"",IFERROR(A297&amp;"|"&amp;(27+4*(IFERROR(MATCH(C297,Roster!$B$6:$B$65,0),MATCH(C297,Roster!$C$6:$C$65,0))-1)+MATCH(B297,{"AM","PM","NIGHT","WD"},0)-1),""))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$266,'Feb'!$D$27:$AH$266,'Mar'!$D$27:$AH$266,'Apr'!$D$27:$AH$266,'May'!$D$27:$AH$266,'Jun'!$D$27:$AH$266,'Jul'!$D$27:$AH$266,'Aug'!$D$27:$AH$266,'Sep'!$D$27:$AH$266,'Oct'!$D$27:$AH$266,'Nov'!$D$27:$AH$266,'Dec'!$D$27:$AH$266,'Jan (next year)'!$D$27:$AH$266),27+4*(IFERROR(MATCH(C298,Roster!$B$6:$B$65,0),MATCH(C298,Roster!$C$6:$C$65,0))-1)+MATCH(B298,{"AM","PM","NIGHT","WD"},0)-1-27+1,DAY(A298))&amp;"",""))</f>
        <v/>
      </c>
      <c r="G298" s="123">
        <f>IF(OR(A298="",C298="",B298="",E298=""),"",IFERROR(A298&amp;"|"&amp;(27+4*(IFERROR(MATCH(C298,Roster!$B$6:$B$65,0),MATCH(C298,Roster!$C$6:$C$65,0))-1)+MATCH(B298,{"AM","PM","NIGHT","WD"},0)-1),""))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$266,'Feb'!$D$27:$AH$266,'Mar'!$D$27:$AH$266,'Apr'!$D$27:$AH$266,'May'!$D$27:$AH$266,'Jun'!$D$27:$AH$266,'Jul'!$D$27:$AH$266,'Aug'!$D$27:$AH$266,'Sep'!$D$27:$AH$266,'Oct'!$D$27:$AH$266,'Nov'!$D$27:$AH$266,'Dec'!$D$27:$AH$266,'Jan (next year)'!$D$27:$AH$266),27+4*(IFERROR(MATCH(C299,Roster!$B$6:$B$65,0),MATCH(C299,Roster!$C$6:$C$65,0))-1)+MATCH(B299,{"AM","PM","NIGHT","WD"},0)-1-27+1,DAY(A299))&amp;"",""))</f>
        <v/>
      </c>
      <c r="G299" s="123">
        <f>IF(OR(A299="",C299="",B299="",E299=""),"",IFERROR(A299&amp;"|"&amp;(27+4*(IFERROR(MATCH(C299,Roster!$B$6:$B$65,0),MATCH(C299,Roster!$C$6:$C$65,0))-1)+MATCH(B299,{"AM","PM","NIGHT","WD"},0)-1),""))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$266,'Feb'!$D$27:$AH$266,'Mar'!$D$27:$AH$266,'Apr'!$D$27:$AH$266,'May'!$D$27:$AH$266,'Jun'!$D$27:$AH$266,'Jul'!$D$27:$AH$266,'Aug'!$D$27:$AH$266,'Sep'!$D$27:$AH$266,'Oct'!$D$27:$AH$266,'Nov'!$D$27:$AH$266,'Dec'!$D$27:$AH$266,'Jan (next year)'!$D$27:$AH$266),27+4*(IFERROR(MATCH(C300,Roster!$B$6:$B$65,0),MATCH(C300,Roster!$C$6:$C$65,0))-1)+MATCH(B300,{"AM","PM","NIGHT","WD"},0)-1-27+1,DAY(A300))&amp;"",""))</f>
        <v/>
      </c>
      <c r="G300" s="123">
        <f>IF(OR(A300="",C300="",B300="",E300=""),"",IFERROR(A300&amp;"|"&amp;(27+4*(IFERROR(MATCH(C300,Roster!$B$6:$B$65,0),MATCH(C300,Roster!$C$6:$C$65,0))-1)+MATCH(B300,{"AM","PM","NIGHT","WD"},0)-1),""))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$266,'Feb'!$D$27:$AH$266,'Mar'!$D$27:$AH$266,'Apr'!$D$27:$AH$266,'May'!$D$27:$AH$266,'Jun'!$D$27:$AH$266,'Jul'!$D$27:$AH$266,'Aug'!$D$27:$AH$266,'Sep'!$D$27:$AH$266,'Oct'!$D$27:$AH$266,'Nov'!$D$27:$AH$266,'Dec'!$D$27:$AH$266,'Jan (next year)'!$D$27:$AH$266),27+4*(IFERROR(MATCH(C301,Roster!$B$6:$B$65,0),MATCH(C301,Roster!$C$6:$C$65,0))-1)+MATCH(B301,{"AM","PM","NIGHT","WD"},0)-1-27+1,DAY(A301))&amp;"",""))</f>
        <v/>
      </c>
      <c r="G301" s="123">
        <f>IF(OR(A301="",C301="",B301="",E301=""),"",IFERROR(A301&amp;"|"&amp;(27+4*(IFERROR(MATCH(C301,Roster!$B$6:$B$65,0),MATCH(C301,Roster!$C$6:$C$65,0))-1)+MATCH(B301,{"AM","PM","NIGHT","WD"},0)-1),""))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$266,'Feb'!$D$27:$AH$266,'Mar'!$D$27:$AH$266,'Apr'!$D$27:$AH$266,'May'!$D$27:$AH$266,'Jun'!$D$27:$AH$266,'Jul'!$D$27:$AH$266,'Aug'!$D$27:$AH$266,'Sep'!$D$27:$AH$266,'Oct'!$D$27:$AH$266,'Nov'!$D$27:$AH$266,'Dec'!$D$27:$AH$266,'Jan (next year)'!$D$27:$AH$266),27+4*(IFERROR(MATCH(C302,Roster!$B$6:$B$65,0),MATCH(C302,Roster!$C$6:$C$65,0))-1)+MATCH(B302,{"AM","PM","NIGHT","WD"},0)-1-27+1,DAY(A302))&amp;"",""))</f>
        <v/>
      </c>
      <c r="G302" s="123">
        <f>IF(OR(A302="",C302="",B302="",E302=""),"",IFERROR(A302&amp;"|"&amp;(27+4*(IFERROR(MATCH(C302,Roster!$B$6:$B$65,0),MATCH(C302,Roster!$C$6:$C$65,0))-1)+MATCH(B302,{"AM","PM","NIGHT","WD"},0)-1),""))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$266,'Feb'!$D$27:$AH$266,'Mar'!$D$27:$AH$266,'Apr'!$D$27:$AH$266,'May'!$D$27:$AH$266,'Jun'!$D$27:$AH$266,'Jul'!$D$27:$AH$266,'Aug'!$D$27:$AH$266,'Sep'!$D$27:$AH$266,'Oct'!$D$27:$AH$266,'Nov'!$D$27:$AH$266,'Dec'!$D$27:$AH$266,'Jan (next year)'!$D$27:$AH$266),27+4*(IFERROR(MATCH(C303,Roster!$B$6:$B$65,0),MATCH(C303,Roster!$C$6:$C$65,0))-1)+MATCH(B303,{"AM","PM","NIGHT","WD"},0)-1-27+1,DAY(A303))&amp;"",""))</f>
        <v/>
      </c>
      <c r="G303" s="123">
        <f>IF(OR(A303="",C303="",B303="",E303=""),"",IFERROR(A303&amp;"|"&amp;(27+4*(IFERROR(MATCH(C303,Roster!$B$6:$B$65,0),MATCH(C303,Roster!$C$6:$C$65,0))-1)+MATCH(B303,{"AM","PM","NIGHT","WD"},0)-1),""))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$266,'Feb'!$D$27:$AH$266,'Mar'!$D$27:$AH$266,'Apr'!$D$27:$AH$266,'May'!$D$27:$AH$266,'Jun'!$D$27:$AH$266,'Jul'!$D$27:$AH$266,'Aug'!$D$27:$AH$266,'Sep'!$D$27:$AH$266,'Oct'!$D$27:$AH$266,'Nov'!$D$27:$AH$266,'Dec'!$D$27:$AH$266,'Jan (next year)'!$D$27:$AH$266),27+4*(IFERROR(MATCH(C304,Roster!$B$6:$B$65,0),MATCH(C304,Roster!$C$6:$C$65,0))-1)+MATCH(B304,{"AM","PM","NIGHT","WD"},0)-1-27+1,DAY(A304))&amp;"",""))</f>
        <v/>
      </c>
      <c r="G304" s="123">
        <f>IF(OR(A304="",C304="",B304="",E304=""),"",IFERROR(A304&amp;"|"&amp;(27+4*(IFERROR(MATCH(C304,Roster!$B$6:$B$65,0),MATCH(C304,Roster!$C$6:$C$65,0))-1)+MATCH(B304,{"AM","PM","NIGHT","WD"},0)-1),""))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$266,'Feb'!$D$27:$AH$266,'Mar'!$D$27:$AH$266,'Apr'!$D$27:$AH$266,'May'!$D$27:$AH$266,'Jun'!$D$27:$AH$266,'Jul'!$D$27:$AH$266,'Aug'!$D$27:$AH$266,'Sep'!$D$27:$AH$266,'Oct'!$D$27:$AH$266,'Nov'!$D$27:$AH$266,'Dec'!$D$27:$AH$266,'Jan (next year)'!$D$27:$AH$266),27+4*(IFERROR(MATCH(C305,Roster!$B$6:$B$65,0),MATCH(C305,Roster!$C$6:$C$65,0))-1)+MATCH(B305,{"AM","PM","NIGHT","WD"},0)-1-27+1,DAY(A305))&amp;"",""))</f>
        <v/>
      </c>
      <c r="G305" s="123">
        <f>IF(OR(A305="",C305="",B305="",E305=""),"",IFERROR(A305&amp;"|"&amp;(27+4*(IFERROR(MATCH(C305,Roster!$B$6:$B$65,0),MATCH(C305,Roster!$C$6:$C$65,0))-1)+MATCH(B305,{"AM","PM","NIGHT","WD"},0)-1),""))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$266,'Feb'!$D$27:$AH$266,'Mar'!$D$27:$AH$266,'Apr'!$D$27:$AH$266,'May'!$D$27:$AH$266,'Jun'!$D$27:$AH$266,'Jul'!$D$27:$AH$266,'Aug'!$D$27:$AH$266,'Sep'!$D$27:$AH$266,'Oct'!$D$27:$AH$266,'Nov'!$D$27:$AH$266,'Dec'!$D$27:$AH$266,'Jan (next year)'!$D$27:$AH$266),27+4*(IFERROR(MATCH(C306,Roster!$B$6:$B$65,0),MATCH(C306,Roster!$C$6:$C$65,0))-1)+MATCH(B306,{"AM","PM","NIGHT","WD"},0)-1-27+1,DAY(A306))&amp;"",""))</f>
        <v/>
      </c>
      <c r="G306" s="123">
        <f>IF(OR(A306="",C306="",B306="",E306=""),"",IFERROR(A306&amp;"|"&amp;(27+4*(IFERROR(MATCH(C306,Roster!$B$6:$B$65,0),MATCH(C306,Roster!$C$6:$C$65,0))-1)+MATCH(B306,{"AM","PM","NIGHT","WD"},0)-1),""))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$266,'Feb'!$D$27:$AH$266,'Mar'!$D$27:$AH$266,'Apr'!$D$27:$AH$266,'May'!$D$27:$AH$266,'Jun'!$D$27:$AH$266,'Jul'!$D$27:$AH$266,'Aug'!$D$27:$AH$266,'Sep'!$D$27:$AH$266,'Oct'!$D$27:$AH$266,'Nov'!$D$27:$AH$266,'Dec'!$D$27:$AH$266,'Jan (next year)'!$D$27:$AH$266),27+4*(IFERROR(MATCH(C307,Roster!$B$6:$B$65,0),MATCH(C307,Roster!$C$6:$C$65,0))-1)+MATCH(B307,{"AM","PM","NIGHT","WD"},0)-1-27+1,DAY(A307))&amp;"",""))</f>
        <v/>
      </c>
      <c r="G307" s="123">
        <f>IF(OR(A307="",C307="",B307="",E307=""),"",IFERROR(A307&amp;"|"&amp;(27+4*(IFERROR(MATCH(C307,Roster!$B$6:$B$65,0),MATCH(C307,Roster!$C$6:$C$65,0))-1)+MATCH(B307,{"AM","PM","NIGHT","WD"},0)-1),""))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$266,'Feb'!$D$27:$AH$266,'Mar'!$D$27:$AH$266,'Apr'!$D$27:$AH$266,'May'!$D$27:$AH$266,'Jun'!$D$27:$AH$266,'Jul'!$D$27:$AH$266,'Aug'!$D$27:$AH$266,'Sep'!$D$27:$AH$266,'Oct'!$D$27:$AH$266,'Nov'!$D$27:$AH$266,'Dec'!$D$27:$AH$266,'Jan (next year)'!$D$27:$AH$266),27+4*(IFERROR(MATCH(C308,Roster!$B$6:$B$65,0),MATCH(C308,Roster!$C$6:$C$65,0))-1)+MATCH(B308,{"AM","PM","NIGHT","WD"},0)-1-27+1,DAY(A308))&amp;"",""))</f>
        <v/>
      </c>
      <c r="G308" s="123">
        <f>IF(OR(A308="",C308="",B308="",E308=""),"",IFERROR(A308&amp;"|"&amp;(27+4*(IFERROR(MATCH(C308,Roster!$B$6:$B$65,0),MATCH(C308,Roster!$C$6:$C$65,0))-1)+MATCH(B308,{"AM","PM","NIGHT","WD"},0)-1),""))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$266,'Feb'!$D$27:$AH$266,'Mar'!$D$27:$AH$266,'Apr'!$D$27:$AH$266,'May'!$D$27:$AH$266,'Jun'!$D$27:$AH$266,'Jul'!$D$27:$AH$266,'Aug'!$D$27:$AH$266,'Sep'!$D$27:$AH$266,'Oct'!$D$27:$AH$266,'Nov'!$D$27:$AH$266,'Dec'!$D$27:$AH$266,'Jan (next year)'!$D$27:$AH$266),27+4*(IFERROR(MATCH(C309,Roster!$B$6:$B$65,0),MATCH(C309,Roster!$C$6:$C$65,0))-1)+MATCH(B309,{"AM","PM","NIGHT","WD"},0)-1-27+1,DAY(A309))&amp;"",""))</f>
        <v/>
      </c>
      <c r="G309" s="123">
        <f>IF(OR(A309="",C309="",B309="",E309=""),"",IFERROR(A309&amp;"|"&amp;(27+4*(IFERROR(MATCH(C309,Roster!$B$6:$B$65,0),MATCH(C309,Roster!$C$6:$C$65,0))-1)+MATCH(B309,{"AM","PM","NIGHT","WD"},0)-1),""))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$266,'Feb'!$D$27:$AH$266,'Mar'!$D$27:$AH$266,'Apr'!$D$27:$AH$266,'May'!$D$27:$AH$266,'Jun'!$D$27:$AH$266,'Jul'!$D$27:$AH$266,'Aug'!$D$27:$AH$266,'Sep'!$D$27:$AH$266,'Oct'!$D$27:$AH$266,'Nov'!$D$27:$AH$266,'Dec'!$D$27:$AH$266,'Jan (next year)'!$D$27:$AH$266),27+4*(IFERROR(MATCH(C310,Roster!$B$6:$B$65,0),MATCH(C310,Roster!$C$6:$C$65,0))-1)+MATCH(B310,{"AM","PM","NIGHT","WD"},0)-1-27+1,DAY(A310))&amp;"",""))</f>
        <v/>
      </c>
      <c r="G310" s="123">
        <f>IF(OR(A310="",C310="",B310="",E310=""),"",IFERROR(A310&amp;"|"&amp;(27+4*(IFERROR(MATCH(C310,Roster!$B$6:$B$65,0),MATCH(C310,Roster!$C$6:$C$65,0))-1)+MATCH(B310,{"AM","PM","NIGHT","WD"},0)-1),""))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$266,'Feb'!$D$27:$AH$266,'Mar'!$D$27:$AH$266,'Apr'!$D$27:$AH$266,'May'!$D$27:$AH$266,'Jun'!$D$27:$AH$266,'Jul'!$D$27:$AH$266,'Aug'!$D$27:$AH$266,'Sep'!$D$27:$AH$266,'Oct'!$D$27:$AH$266,'Nov'!$D$27:$AH$266,'Dec'!$D$27:$AH$266,'Jan (next year)'!$D$27:$AH$266),27+4*(IFERROR(MATCH(C311,Roster!$B$6:$B$65,0),MATCH(C311,Roster!$C$6:$C$65,0))-1)+MATCH(B311,{"AM","PM","NIGHT","WD"},0)-1-27+1,DAY(A311))&amp;"",""))</f>
        <v/>
      </c>
      <c r="G311" s="123">
        <f>IF(OR(A311="",C311="",B311="",E311=""),"",IFERROR(A311&amp;"|"&amp;(27+4*(IFERROR(MATCH(C311,Roster!$B$6:$B$65,0),MATCH(C311,Roster!$C$6:$C$65,0))-1)+MATCH(B311,{"AM","PM","NIGHT","WD"},0)-1),""))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$266,'Feb'!$D$27:$AH$266,'Mar'!$D$27:$AH$266,'Apr'!$D$27:$AH$266,'May'!$D$27:$AH$266,'Jun'!$D$27:$AH$266,'Jul'!$D$27:$AH$266,'Aug'!$D$27:$AH$266,'Sep'!$D$27:$AH$266,'Oct'!$D$27:$AH$266,'Nov'!$D$27:$AH$266,'Dec'!$D$27:$AH$266,'Jan (next year)'!$D$27:$AH$266),27+4*(IFERROR(MATCH(C312,Roster!$B$6:$B$65,0),MATCH(C312,Roster!$C$6:$C$65,0))-1)+MATCH(B312,{"AM","PM","NIGHT","WD"},0)-1-27+1,DAY(A312))&amp;"",""))</f>
        <v/>
      </c>
      <c r="G312" s="123">
        <f>IF(OR(A312="",C312="",B312="",E312=""),"",IFERROR(A312&amp;"|"&amp;(27+4*(IFERROR(MATCH(C312,Roster!$B$6:$B$65,0),MATCH(C312,Roster!$C$6:$C$65,0))-1)+MATCH(B312,{"AM","PM","NIGHT","WD"},0)-1),""))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$266,'Feb'!$D$27:$AH$266,'Mar'!$D$27:$AH$266,'Apr'!$D$27:$AH$266,'May'!$D$27:$AH$266,'Jun'!$D$27:$AH$266,'Jul'!$D$27:$AH$266,'Aug'!$D$27:$AH$266,'Sep'!$D$27:$AH$266,'Oct'!$D$27:$AH$266,'Nov'!$D$27:$AH$266,'Dec'!$D$27:$AH$266,'Jan (next year)'!$D$27:$AH$266),27+4*(IFERROR(MATCH(C313,Roster!$B$6:$B$65,0),MATCH(C313,Roster!$C$6:$C$65,0))-1)+MATCH(B313,{"AM","PM","NIGHT","WD"},0)-1-27+1,DAY(A313))&amp;"",""))</f>
        <v/>
      </c>
      <c r="G313" s="123">
        <f>IF(OR(A313="",C313="",B313="",E313=""),"",IFERROR(A313&amp;"|"&amp;(27+4*(IFERROR(MATCH(C313,Roster!$B$6:$B$65,0),MATCH(C313,Roster!$C$6:$C$65,0))-1)+MATCH(B313,{"AM","PM","NIGHT","WD"},0)-1),""))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$266,'Feb'!$D$27:$AH$266,'Mar'!$D$27:$AH$266,'Apr'!$D$27:$AH$266,'May'!$D$27:$AH$266,'Jun'!$D$27:$AH$266,'Jul'!$D$27:$AH$266,'Aug'!$D$27:$AH$266,'Sep'!$D$27:$AH$266,'Oct'!$D$27:$AH$266,'Nov'!$D$27:$AH$266,'Dec'!$D$27:$AH$266,'Jan (next year)'!$D$27:$AH$266),27+4*(IFERROR(MATCH(C314,Roster!$B$6:$B$65,0),MATCH(C314,Roster!$C$6:$C$65,0))-1)+MATCH(B314,{"AM","PM","NIGHT","WD"},0)-1-27+1,DAY(A314))&amp;"",""))</f>
        <v/>
      </c>
      <c r="G314" s="123">
        <f>IF(OR(A314="",C314="",B314="",E314=""),"",IFERROR(A314&amp;"|"&amp;(27+4*(IFERROR(MATCH(C314,Roster!$B$6:$B$65,0),MATCH(C314,Roster!$C$6:$C$65,0))-1)+MATCH(B314,{"AM","PM","NIGHT","WD"},0)-1),""))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$266,'Feb'!$D$27:$AH$266,'Mar'!$D$27:$AH$266,'Apr'!$D$27:$AH$266,'May'!$D$27:$AH$266,'Jun'!$D$27:$AH$266,'Jul'!$D$27:$AH$266,'Aug'!$D$27:$AH$266,'Sep'!$D$27:$AH$266,'Oct'!$D$27:$AH$266,'Nov'!$D$27:$AH$266,'Dec'!$D$27:$AH$266,'Jan (next year)'!$D$27:$AH$266),27+4*(IFERROR(MATCH(C315,Roster!$B$6:$B$65,0),MATCH(C315,Roster!$C$6:$C$65,0))-1)+MATCH(B315,{"AM","PM","NIGHT","WD"},0)-1-27+1,DAY(A315))&amp;"",""))</f>
        <v/>
      </c>
      <c r="G315" s="123">
        <f>IF(OR(A315="",C315="",B315="",E315=""),"",IFERROR(A315&amp;"|"&amp;(27+4*(IFERROR(MATCH(C315,Roster!$B$6:$B$65,0),MATCH(C315,Roster!$C$6:$C$65,0))-1)+MATCH(B315,{"AM","PM","NIGHT","WD"},0)-1),""))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$266,'Feb'!$D$27:$AH$266,'Mar'!$D$27:$AH$266,'Apr'!$D$27:$AH$266,'May'!$D$27:$AH$266,'Jun'!$D$27:$AH$266,'Jul'!$D$27:$AH$266,'Aug'!$D$27:$AH$266,'Sep'!$D$27:$AH$266,'Oct'!$D$27:$AH$266,'Nov'!$D$27:$AH$266,'Dec'!$D$27:$AH$266,'Jan (next year)'!$D$27:$AH$266),27+4*(IFERROR(MATCH(C316,Roster!$B$6:$B$65,0),MATCH(C316,Roster!$C$6:$C$65,0))-1)+MATCH(B316,{"AM","PM","NIGHT","WD"},0)-1-27+1,DAY(A316))&amp;"",""))</f>
        <v/>
      </c>
      <c r="G316" s="123">
        <f>IF(OR(A316="",C316="",B316="",E316=""),"",IFERROR(A316&amp;"|"&amp;(27+4*(IFERROR(MATCH(C316,Roster!$B$6:$B$65,0),MATCH(C316,Roster!$C$6:$C$65,0))-1)+MATCH(B316,{"AM","PM","NIGHT","WD"},0)-1),""))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$266,'Feb'!$D$27:$AH$266,'Mar'!$D$27:$AH$266,'Apr'!$D$27:$AH$266,'May'!$D$27:$AH$266,'Jun'!$D$27:$AH$266,'Jul'!$D$27:$AH$266,'Aug'!$D$27:$AH$266,'Sep'!$D$27:$AH$266,'Oct'!$D$27:$AH$266,'Nov'!$D$27:$AH$266,'Dec'!$D$27:$AH$266,'Jan (next year)'!$D$27:$AH$266),27+4*(IFERROR(MATCH(C317,Roster!$B$6:$B$65,0),MATCH(C317,Roster!$C$6:$C$65,0))-1)+MATCH(B317,{"AM","PM","NIGHT","WD"},0)-1-27+1,DAY(A317))&amp;"",""))</f>
        <v/>
      </c>
      <c r="G317" s="123">
        <f>IF(OR(A317="",C317="",B317="",E317=""),"",IFERROR(A317&amp;"|"&amp;(27+4*(IFERROR(MATCH(C317,Roster!$B$6:$B$65,0),MATCH(C317,Roster!$C$6:$C$65,0))-1)+MATCH(B317,{"AM","PM","NIGHT","WD"},0)-1),""))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$266,'Feb'!$D$27:$AH$266,'Mar'!$D$27:$AH$266,'Apr'!$D$27:$AH$266,'May'!$D$27:$AH$266,'Jun'!$D$27:$AH$266,'Jul'!$D$27:$AH$266,'Aug'!$D$27:$AH$266,'Sep'!$D$27:$AH$266,'Oct'!$D$27:$AH$266,'Nov'!$D$27:$AH$266,'Dec'!$D$27:$AH$266,'Jan (next year)'!$D$27:$AH$266),27+4*(IFERROR(MATCH(C318,Roster!$B$6:$B$65,0),MATCH(C318,Roster!$C$6:$C$65,0))-1)+MATCH(B318,{"AM","PM","NIGHT","WD"},0)-1-27+1,DAY(A318))&amp;"",""))</f>
        <v/>
      </c>
      <c r="G318" s="123">
        <f>IF(OR(A318="",C318="",B318="",E318=""),"",IFERROR(A318&amp;"|"&amp;(27+4*(IFERROR(MATCH(C318,Roster!$B$6:$B$65,0),MATCH(C318,Roster!$C$6:$C$65,0))-1)+MATCH(B318,{"AM","PM","NIGHT","WD"},0)-1),""))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$266,'Feb'!$D$27:$AH$266,'Mar'!$D$27:$AH$266,'Apr'!$D$27:$AH$266,'May'!$D$27:$AH$266,'Jun'!$D$27:$AH$266,'Jul'!$D$27:$AH$266,'Aug'!$D$27:$AH$266,'Sep'!$D$27:$AH$266,'Oct'!$D$27:$AH$266,'Nov'!$D$27:$AH$266,'Dec'!$D$27:$AH$266,'Jan (next year)'!$D$27:$AH$266),27+4*(IFERROR(MATCH(C319,Roster!$B$6:$B$65,0),MATCH(C319,Roster!$C$6:$C$65,0))-1)+MATCH(B319,{"AM","PM","NIGHT","WD"},0)-1-27+1,DAY(A319))&amp;"",""))</f>
        <v/>
      </c>
      <c r="G319" s="123">
        <f>IF(OR(A319="",C319="",B319="",E319=""),"",IFERROR(A319&amp;"|"&amp;(27+4*(IFERROR(MATCH(C319,Roster!$B$6:$B$65,0),MATCH(C319,Roster!$C$6:$C$65,0))-1)+MATCH(B319,{"AM","PM","NIGHT","WD"},0)-1),""))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$266,'Feb'!$D$27:$AH$266,'Mar'!$D$27:$AH$266,'Apr'!$D$27:$AH$266,'May'!$D$27:$AH$266,'Jun'!$D$27:$AH$266,'Jul'!$D$27:$AH$266,'Aug'!$D$27:$AH$266,'Sep'!$D$27:$AH$266,'Oct'!$D$27:$AH$266,'Nov'!$D$27:$AH$266,'Dec'!$D$27:$AH$266,'Jan (next year)'!$D$27:$AH$266),27+4*(IFERROR(MATCH(C320,Roster!$B$6:$B$65,0),MATCH(C320,Roster!$C$6:$C$65,0))-1)+MATCH(B320,{"AM","PM","NIGHT","WD"},0)-1-27+1,DAY(A320))&amp;"",""))</f>
        <v/>
      </c>
      <c r="G320" s="123">
        <f>IF(OR(A320="",C320="",B320="",E320=""),"",IFERROR(A320&amp;"|"&amp;(27+4*(IFERROR(MATCH(C320,Roster!$B$6:$B$65,0),MATCH(C320,Roster!$C$6:$C$65,0))-1)+MATCH(B320,{"AM","PM","NIGHT","WD"},0)-1),""))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$266,'Feb'!$D$27:$AH$266,'Mar'!$D$27:$AH$266,'Apr'!$D$27:$AH$266,'May'!$D$27:$AH$266,'Jun'!$D$27:$AH$266,'Jul'!$D$27:$AH$266,'Aug'!$D$27:$AH$266,'Sep'!$D$27:$AH$266,'Oct'!$D$27:$AH$266,'Nov'!$D$27:$AH$266,'Dec'!$D$27:$AH$266,'Jan (next year)'!$D$27:$AH$266),27+4*(IFERROR(MATCH(C321,Roster!$B$6:$B$65,0),MATCH(C321,Roster!$C$6:$C$65,0))-1)+MATCH(B321,{"AM","PM","NIGHT","WD"},0)-1-27+1,DAY(A321))&amp;"",""))</f>
        <v/>
      </c>
      <c r="G321" s="123">
        <f>IF(OR(A321="",C321="",B321="",E321=""),"",IFERROR(A321&amp;"|"&amp;(27+4*(IFERROR(MATCH(C321,Roster!$B$6:$B$65,0),MATCH(C321,Roster!$C$6:$C$65,0))-1)+MATCH(B321,{"AM","PM","NIGHT","WD"},0)-1),""))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$266,'Feb'!$D$27:$AH$266,'Mar'!$D$27:$AH$266,'Apr'!$D$27:$AH$266,'May'!$D$27:$AH$266,'Jun'!$D$27:$AH$266,'Jul'!$D$27:$AH$266,'Aug'!$D$27:$AH$266,'Sep'!$D$27:$AH$266,'Oct'!$D$27:$AH$266,'Nov'!$D$27:$AH$266,'Dec'!$D$27:$AH$266,'Jan (next year)'!$D$27:$AH$266),27+4*(IFERROR(MATCH(C322,Roster!$B$6:$B$65,0),MATCH(C322,Roster!$C$6:$C$65,0))-1)+MATCH(B322,{"AM","PM","NIGHT","WD"},0)-1-27+1,DAY(A322))&amp;"",""))</f>
        <v/>
      </c>
      <c r="G322" s="123">
        <f>IF(OR(A322="",C322="",B322="",E322=""),"",IFERROR(A322&amp;"|"&amp;(27+4*(IFERROR(MATCH(C322,Roster!$B$6:$B$65,0),MATCH(C322,Roster!$C$6:$C$65,0))-1)+MATCH(B322,{"AM","PM","NIGHT","WD"},0)-1),""))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$266,'Feb'!$D$27:$AH$266,'Mar'!$D$27:$AH$266,'Apr'!$D$27:$AH$266,'May'!$D$27:$AH$266,'Jun'!$D$27:$AH$266,'Jul'!$D$27:$AH$266,'Aug'!$D$27:$AH$266,'Sep'!$D$27:$AH$266,'Oct'!$D$27:$AH$266,'Nov'!$D$27:$AH$266,'Dec'!$D$27:$AH$266,'Jan (next year)'!$D$27:$AH$266),27+4*(IFERROR(MATCH(C323,Roster!$B$6:$B$65,0),MATCH(C323,Roster!$C$6:$C$65,0))-1)+MATCH(B323,{"AM","PM","NIGHT","WD"},0)-1-27+1,DAY(A323))&amp;"",""))</f>
        <v/>
      </c>
      <c r="G323" s="123">
        <f>IF(OR(A323="",C323="",B323="",E323=""),"",IFERROR(A323&amp;"|"&amp;(27+4*(IFERROR(MATCH(C323,Roster!$B$6:$B$65,0),MATCH(C323,Roster!$C$6:$C$65,0))-1)+MATCH(B323,{"AM","PM","NIGHT","WD"},0)-1),""))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$266,'Feb'!$D$27:$AH$266,'Mar'!$D$27:$AH$266,'Apr'!$D$27:$AH$266,'May'!$D$27:$AH$266,'Jun'!$D$27:$AH$266,'Jul'!$D$27:$AH$266,'Aug'!$D$27:$AH$266,'Sep'!$D$27:$AH$266,'Oct'!$D$27:$AH$266,'Nov'!$D$27:$AH$266,'Dec'!$D$27:$AH$266,'Jan (next year)'!$D$27:$AH$266),27+4*(IFERROR(MATCH(C324,Roster!$B$6:$B$65,0),MATCH(C324,Roster!$C$6:$C$65,0))-1)+MATCH(B324,{"AM","PM","NIGHT","WD"},0)-1-27+1,DAY(A324))&amp;"",""))</f>
        <v/>
      </c>
      <c r="G324" s="123">
        <f>IF(OR(A324="",C324="",B324="",E324=""),"",IFERROR(A324&amp;"|"&amp;(27+4*(IFERROR(MATCH(C324,Roster!$B$6:$B$65,0),MATCH(C324,Roster!$C$6:$C$65,0))-1)+MATCH(B324,{"AM","PM","NIGHT","WD"},0)-1),""))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$266,'Feb'!$D$27:$AH$266,'Mar'!$D$27:$AH$266,'Apr'!$D$27:$AH$266,'May'!$D$27:$AH$266,'Jun'!$D$27:$AH$266,'Jul'!$D$27:$AH$266,'Aug'!$D$27:$AH$266,'Sep'!$D$27:$AH$266,'Oct'!$D$27:$AH$266,'Nov'!$D$27:$AH$266,'Dec'!$D$27:$AH$266,'Jan (next year)'!$D$27:$AH$266),27+4*(IFERROR(MATCH(C325,Roster!$B$6:$B$65,0),MATCH(C325,Roster!$C$6:$C$65,0))-1)+MATCH(B325,{"AM","PM","NIGHT","WD"},0)-1-27+1,DAY(A325))&amp;"",""))</f>
        <v/>
      </c>
      <c r="G325" s="123">
        <f>IF(OR(A325="",C325="",B325="",E325=""),"",IFERROR(A325&amp;"|"&amp;(27+4*(IFERROR(MATCH(C325,Roster!$B$6:$B$65,0),MATCH(C325,Roster!$C$6:$C$65,0))-1)+MATCH(B325,{"AM","PM","NIGHT","WD"},0)-1),""))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$266,'Feb'!$D$27:$AH$266,'Mar'!$D$27:$AH$266,'Apr'!$D$27:$AH$266,'May'!$D$27:$AH$266,'Jun'!$D$27:$AH$266,'Jul'!$D$27:$AH$266,'Aug'!$D$27:$AH$266,'Sep'!$D$27:$AH$266,'Oct'!$D$27:$AH$266,'Nov'!$D$27:$AH$266,'Dec'!$D$27:$AH$266,'Jan (next year)'!$D$27:$AH$266),27+4*(IFERROR(MATCH(C326,Roster!$B$6:$B$65,0),MATCH(C326,Roster!$C$6:$C$65,0))-1)+MATCH(B326,{"AM","PM","NIGHT","WD"},0)-1-27+1,DAY(A326))&amp;"",""))</f>
        <v/>
      </c>
      <c r="G326" s="123">
        <f>IF(OR(A326="",C326="",B326="",E326=""),"",IFERROR(A326&amp;"|"&amp;(27+4*(IFERROR(MATCH(C326,Roster!$B$6:$B$65,0),MATCH(C326,Roster!$C$6:$C$65,0))-1)+MATCH(B326,{"AM","PM","NIGHT","WD"},0)-1),""))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$266,'Feb'!$D$27:$AH$266,'Mar'!$D$27:$AH$266,'Apr'!$D$27:$AH$266,'May'!$D$27:$AH$266,'Jun'!$D$27:$AH$266,'Jul'!$D$27:$AH$266,'Aug'!$D$27:$AH$266,'Sep'!$D$27:$AH$266,'Oct'!$D$27:$AH$266,'Nov'!$D$27:$AH$266,'Dec'!$D$27:$AH$266,'Jan (next year)'!$D$27:$AH$266),27+4*(IFERROR(MATCH(C327,Roster!$B$6:$B$65,0),MATCH(C327,Roster!$C$6:$C$65,0))-1)+MATCH(B327,{"AM","PM","NIGHT","WD"},0)-1-27+1,DAY(A327))&amp;"",""))</f>
        <v/>
      </c>
      <c r="G327" s="123">
        <f>IF(OR(A327="",C327="",B327="",E327=""),"",IFERROR(A327&amp;"|"&amp;(27+4*(IFERROR(MATCH(C327,Roster!$B$6:$B$65,0),MATCH(C327,Roster!$C$6:$C$65,0))-1)+MATCH(B327,{"AM","PM","NIGHT","WD"},0)-1),""))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$266,'Feb'!$D$27:$AH$266,'Mar'!$D$27:$AH$266,'Apr'!$D$27:$AH$266,'May'!$D$27:$AH$266,'Jun'!$D$27:$AH$266,'Jul'!$D$27:$AH$266,'Aug'!$D$27:$AH$266,'Sep'!$D$27:$AH$266,'Oct'!$D$27:$AH$266,'Nov'!$D$27:$AH$266,'Dec'!$D$27:$AH$266,'Jan (next year)'!$D$27:$AH$266),27+4*(IFERROR(MATCH(C328,Roster!$B$6:$B$65,0),MATCH(C328,Roster!$C$6:$C$65,0))-1)+MATCH(B328,{"AM","PM","NIGHT","WD"},0)-1-27+1,DAY(A328))&amp;"",""))</f>
        <v/>
      </c>
      <c r="G328" s="123">
        <f>IF(OR(A328="",C328="",B328="",E328=""),"",IFERROR(A328&amp;"|"&amp;(27+4*(IFERROR(MATCH(C328,Roster!$B$6:$B$65,0),MATCH(C328,Roster!$C$6:$C$65,0))-1)+MATCH(B328,{"AM","PM","NIGHT","WD"},0)-1),""))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$266,'Feb'!$D$27:$AH$266,'Mar'!$D$27:$AH$266,'Apr'!$D$27:$AH$266,'May'!$D$27:$AH$266,'Jun'!$D$27:$AH$266,'Jul'!$D$27:$AH$266,'Aug'!$D$27:$AH$266,'Sep'!$D$27:$AH$266,'Oct'!$D$27:$AH$266,'Nov'!$D$27:$AH$266,'Dec'!$D$27:$AH$266,'Jan (next year)'!$D$27:$AH$266),27+4*(IFERROR(MATCH(C329,Roster!$B$6:$B$65,0),MATCH(C329,Roster!$C$6:$C$65,0))-1)+MATCH(B329,{"AM","PM","NIGHT","WD"},0)-1-27+1,DAY(A329))&amp;"",""))</f>
        <v/>
      </c>
      <c r="G329" s="123">
        <f>IF(OR(A329="",C329="",B329="",E329=""),"",IFERROR(A329&amp;"|"&amp;(27+4*(IFERROR(MATCH(C329,Roster!$B$6:$B$65,0),MATCH(C329,Roster!$C$6:$C$65,0))-1)+MATCH(B329,{"AM","PM","NIGHT","WD"},0)-1),""))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$266,'Feb'!$D$27:$AH$266,'Mar'!$D$27:$AH$266,'Apr'!$D$27:$AH$266,'May'!$D$27:$AH$266,'Jun'!$D$27:$AH$266,'Jul'!$D$27:$AH$266,'Aug'!$D$27:$AH$266,'Sep'!$D$27:$AH$266,'Oct'!$D$27:$AH$266,'Nov'!$D$27:$AH$266,'Dec'!$D$27:$AH$266,'Jan (next year)'!$D$27:$AH$266),27+4*(IFERROR(MATCH(C330,Roster!$B$6:$B$65,0),MATCH(C330,Roster!$C$6:$C$65,0))-1)+MATCH(B330,{"AM","PM","NIGHT","WD"},0)-1-27+1,DAY(A330))&amp;"",""))</f>
        <v/>
      </c>
      <c r="G330" s="123">
        <f>IF(OR(A330="",C330="",B330="",E330=""),"",IFERROR(A330&amp;"|"&amp;(27+4*(IFERROR(MATCH(C330,Roster!$B$6:$B$65,0),MATCH(C330,Roster!$C$6:$C$65,0))-1)+MATCH(B330,{"AM","PM","NIGHT","WD"},0)-1),""))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$266,'Feb'!$D$27:$AH$266,'Mar'!$D$27:$AH$266,'Apr'!$D$27:$AH$266,'May'!$D$27:$AH$266,'Jun'!$D$27:$AH$266,'Jul'!$D$27:$AH$266,'Aug'!$D$27:$AH$266,'Sep'!$D$27:$AH$266,'Oct'!$D$27:$AH$266,'Nov'!$D$27:$AH$266,'Dec'!$D$27:$AH$266,'Jan (next year)'!$D$27:$AH$266),27+4*(IFERROR(MATCH(C331,Roster!$B$6:$B$65,0),MATCH(C331,Roster!$C$6:$C$65,0))-1)+MATCH(B331,{"AM","PM","NIGHT","WD"},0)-1-27+1,DAY(A331))&amp;"",""))</f>
        <v/>
      </c>
      <c r="G331" s="123">
        <f>IF(OR(A331="",C331="",B331="",E331=""),"",IFERROR(A331&amp;"|"&amp;(27+4*(IFERROR(MATCH(C331,Roster!$B$6:$B$65,0),MATCH(C331,Roster!$C$6:$C$65,0))-1)+MATCH(B331,{"AM","PM","NIGHT","WD"},0)-1),""))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$266,'Feb'!$D$27:$AH$266,'Mar'!$D$27:$AH$266,'Apr'!$D$27:$AH$266,'May'!$D$27:$AH$266,'Jun'!$D$27:$AH$266,'Jul'!$D$27:$AH$266,'Aug'!$D$27:$AH$266,'Sep'!$D$27:$AH$266,'Oct'!$D$27:$AH$266,'Nov'!$D$27:$AH$266,'Dec'!$D$27:$AH$266,'Jan (next year)'!$D$27:$AH$266),27+4*(IFERROR(MATCH(C332,Roster!$B$6:$B$65,0),MATCH(C332,Roster!$C$6:$C$65,0))-1)+MATCH(B332,{"AM","PM","NIGHT","WD"},0)-1-27+1,DAY(A332))&amp;"",""))</f>
        <v/>
      </c>
      <c r="G332" s="123">
        <f>IF(OR(A332="",C332="",B332="",E332=""),"",IFERROR(A332&amp;"|"&amp;(27+4*(IFERROR(MATCH(C332,Roster!$B$6:$B$65,0),MATCH(C332,Roster!$C$6:$C$65,0))-1)+MATCH(B332,{"AM","PM","NIGHT","WD"},0)-1),""))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$266,'Feb'!$D$27:$AH$266,'Mar'!$D$27:$AH$266,'Apr'!$D$27:$AH$266,'May'!$D$27:$AH$266,'Jun'!$D$27:$AH$266,'Jul'!$D$27:$AH$266,'Aug'!$D$27:$AH$266,'Sep'!$D$27:$AH$266,'Oct'!$D$27:$AH$266,'Nov'!$D$27:$AH$266,'Dec'!$D$27:$AH$266,'Jan (next year)'!$D$27:$AH$266),27+4*(IFERROR(MATCH(C333,Roster!$B$6:$B$65,0),MATCH(C333,Roster!$C$6:$C$65,0))-1)+MATCH(B333,{"AM","PM","NIGHT","WD"},0)-1-27+1,DAY(A333))&amp;"",""))</f>
        <v/>
      </c>
      <c r="G333" s="123">
        <f>IF(OR(A333="",C333="",B333="",E333=""),"",IFERROR(A333&amp;"|"&amp;(27+4*(IFERROR(MATCH(C333,Roster!$B$6:$B$65,0),MATCH(C333,Roster!$C$6:$C$65,0))-1)+MATCH(B333,{"AM","PM","NIGHT","WD"},0)-1),""))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$266,'Feb'!$D$27:$AH$266,'Mar'!$D$27:$AH$266,'Apr'!$D$27:$AH$266,'May'!$D$27:$AH$266,'Jun'!$D$27:$AH$266,'Jul'!$D$27:$AH$266,'Aug'!$D$27:$AH$266,'Sep'!$D$27:$AH$266,'Oct'!$D$27:$AH$266,'Nov'!$D$27:$AH$266,'Dec'!$D$27:$AH$266,'Jan (next year)'!$D$27:$AH$266),27+4*(IFERROR(MATCH(C334,Roster!$B$6:$B$65,0),MATCH(C334,Roster!$C$6:$C$65,0))-1)+MATCH(B334,{"AM","PM","NIGHT","WD"},0)-1-27+1,DAY(A334))&amp;"",""))</f>
        <v/>
      </c>
      <c r="G334" s="123">
        <f>IF(OR(A334="",C334="",B334="",E334=""),"",IFERROR(A334&amp;"|"&amp;(27+4*(IFERROR(MATCH(C334,Roster!$B$6:$B$65,0),MATCH(C334,Roster!$C$6:$C$65,0))-1)+MATCH(B334,{"AM","PM","NIGHT","WD"},0)-1),""))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$266,'Feb'!$D$27:$AH$266,'Mar'!$D$27:$AH$266,'Apr'!$D$27:$AH$266,'May'!$D$27:$AH$266,'Jun'!$D$27:$AH$266,'Jul'!$D$27:$AH$266,'Aug'!$D$27:$AH$266,'Sep'!$D$27:$AH$266,'Oct'!$D$27:$AH$266,'Nov'!$D$27:$AH$266,'Dec'!$D$27:$AH$266,'Jan (next year)'!$D$27:$AH$266),27+4*(IFERROR(MATCH(C335,Roster!$B$6:$B$65,0),MATCH(C335,Roster!$C$6:$C$65,0))-1)+MATCH(B335,{"AM","PM","NIGHT","WD"},0)-1-27+1,DAY(A335))&amp;"",""))</f>
        <v/>
      </c>
      <c r="G335" s="123">
        <f>IF(OR(A335="",C335="",B335="",E335=""),"",IFERROR(A335&amp;"|"&amp;(27+4*(IFERROR(MATCH(C335,Roster!$B$6:$B$65,0),MATCH(C335,Roster!$C$6:$C$65,0))-1)+MATCH(B335,{"AM","PM","NIGHT","WD"},0)-1),""))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$266,'Feb'!$D$27:$AH$266,'Mar'!$D$27:$AH$266,'Apr'!$D$27:$AH$266,'May'!$D$27:$AH$266,'Jun'!$D$27:$AH$266,'Jul'!$D$27:$AH$266,'Aug'!$D$27:$AH$266,'Sep'!$D$27:$AH$266,'Oct'!$D$27:$AH$266,'Nov'!$D$27:$AH$266,'Dec'!$D$27:$AH$266,'Jan (next year)'!$D$27:$AH$266),27+4*(IFERROR(MATCH(C336,Roster!$B$6:$B$65,0),MATCH(C336,Roster!$C$6:$C$65,0))-1)+MATCH(B336,{"AM","PM","NIGHT","WD"},0)-1-27+1,DAY(A336))&amp;"",""))</f>
        <v/>
      </c>
      <c r="G336" s="123">
        <f>IF(OR(A336="",C336="",B336="",E336=""),"",IFERROR(A336&amp;"|"&amp;(27+4*(IFERROR(MATCH(C336,Roster!$B$6:$B$65,0),MATCH(C336,Roster!$C$6:$C$65,0))-1)+MATCH(B336,{"AM","PM","NIGHT","WD"},0)-1),""))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$266,'Feb'!$D$27:$AH$266,'Mar'!$D$27:$AH$266,'Apr'!$D$27:$AH$266,'May'!$D$27:$AH$266,'Jun'!$D$27:$AH$266,'Jul'!$D$27:$AH$266,'Aug'!$D$27:$AH$266,'Sep'!$D$27:$AH$266,'Oct'!$D$27:$AH$266,'Nov'!$D$27:$AH$266,'Dec'!$D$27:$AH$266,'Jan (next year)'!$D$27:$AH$266),27+4*(IFERROR(MATCH(C337,Roster!$B$6:$B$65,0),MATCH(C337,Roster!$C$6:$C$65,0))-1)+MATCH(B337,{"AM","PM","NIGHT","WD"},0)-1-27+1,DAY(A337))&amp;"",""))</f>
        <v/>
      </c>
      <c r="G337" s="123">
        <f>IF(OR(A337="",C337="",B337="",E337=""),"",IFERROR(A337&amp;"|"&amp;(27+4*(IFERROR(MATCH(C337,Roster!$B$6:$B$65,0),MATCH(C337,Roster!$C$6:$C$65,0))-1)+MATCH(B337,{"AM","PM","NIGHT","WD"},0)-1),""))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$266,'Feb'!$D$27:$AH$266,'Mar'!$D$27:$AH$266,'Apr'!$D$27:$AH$266,'May'!$D$27:$AH$266,'Jun'!$D$27:$AH$266,'Jul'!$D$27:$AH$266,'Aug'!$D$27:$AH$266,'Sep'!$D$27:$AH$266,'Oct'!$D$27:$AH$266,'Nov'!$D$27:$AH$266,'Dec'!$D$27:$AH$266,'Jan (next year)'!$D$27:$AH$266),27+4*(IFERROR(MATCH(C338,Roster!$B$6:$B$65,0),MATCH(C338,Roster!$C$6:$C$65,0))-1)+MATCH(B338,{"AM","PM","NIGHT","WD"},0)-1-27+1,DAY(A338))&amp;"",""))</f>
        <v/>
      </c>
      <c r="G338" s="123">
        <f>IF(OR(A338="",C338="",B338="",E338=""),"",IFERROR(A338&amp;"|"&amp;(27+4*(IFERROR(MATCH(C338,Roster!$B$6:$B$65,0),MATCH(C338,Roster!$C$6:$C$65,0))-1)+MATCH(B338,{"AM","PM","NIGHT","WD"},0)-1),""))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$266,'Feb'!$D$27:$AH$266,'Mar'!$D$27:$AH$266,'Apr'!$D$27:$AH$266,'May'!$D$27:$AH$266,'Jun'!$D$27:$AH$266,'Jul'!$D$27:$AH$266,'Aug'!$D$27:$AH$266,'Sep'!$D$27:$AH$266,'Oct'!$D$27:$AH$266,'Nov'!$D$27:$AH$266,'Dec'!$D$27:$AH$266,'Jan (next year)'!$D$27:$AH$266),27+4*(IFERROR(MATCH(C339,Roster!$B$6:$B$65,0),MATCH(C339,Roster!$C$6:$C$65,0))-1)+MATCH(B339,{"AM","PM","NIGHT","WD"},0)-1-27+1,DAY(A339))&amp;"",""))</f>
        <v/>
      </c>
      <c r="G339" s="123">
        <f>IF(OR(A339="",C339="",B339="",E339=""),"",IFERROR(A339&amp;"|"&amp;(27+4*(IFERROR(MATCH(C339,Roster!$B$6:$B$65,0),MATCH(C339,Roster!$C$6:$C$65,0))-1)+MATCH(B339,{"AM","PM","NIGHT","WD"},0)-1),""))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$266,'Feb'!$D$27:$AH$266,'Mar'!$D$27:$AH$266,'Apr'!$D$27:$AH$266,'May'!$D$27:$AH$266,'Jun'!$D$27:$AH$266,'Jul'!$D$27:$AH$266,'Aug'!$D$27:$AH$266,'Sep'!$D$27:$AH$266,'Oct'!$D$27:$AH$266,'Nov'!$D$27:$AH$266,'Dec'!$D$27:$AH$266,'Jan (next year)'!$D$27:$AH$266),27+4*(IFERROR(MATCH(C340,Roster!$B$6:$B$65,0),MATCH(C340,Roster!$C$6:$C$65,0))-1)+MATCH(B340,{"AM","PM","NIGHT","WD"},0)-1-27+1,DAY(A340))&amp;"",""))</f>
        <v/>
      </c>
      <c r="G340" s="123">
        <f>IF(OR(A340="",C340="",B340="",E340=""),"",IFERROR(A340&amp;"|"&amp;(27+4*(IFERROR(MATCH(C340,Roster!$B$6:$B$65,0),MATCH(C340,Roster!$C$6:$C$65,0))-1)+MATCH(B340,{"AM","PM","NIGHT","WD"},0)-1),""))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$266,'Feb'!$D$27:$AH$266,'Mar'!$D$27:$AH$266,'Apr'!$D$27:$AH$266,'May'!$D$27:$AH$266,'Jun'!$D$27:$AH$266,'Jul'!$D$27:$AH$266,'Aug'!$D$27:$AH$266,'Sep'!$D$27:$AH$266,'Oct'!$D$27:$AH$266,'Nov'!$D$27:$AH$266,'Dec'!$D$27:$AH$266,'Jan (next year)'!$D$27:$AH$266),27+4*(IFERROR(MATCH(C341,Roster!$B$6:$B$65,0),MATCH(C341,Roster!$C$6:$C$65,0))-1)+MATCH(B341,{"AM","PM","NIGHT","WD"},0)-1-27+1,DAY(A341))&amp;"",""))</f>
        <v/>
      </c>
      <c r="G341" s="123">
        <f>IF(OR(A341="",C341="",B341="",E341=""),"",IFERROR(A341&amp;"|"&amp;(27+4*(IFERROR(MATCH(C341,Roster!$B$6:$B$65,0),MATCH(C341,Roster!$C$6:$C$65,0))-1)+MATCH(B341,{"AM","PM","NIGHT","WD"},0)-1),""))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$266,'Feb'!$D$27:$AH$266,'Mar'!$D$27:$AH$266,'Apr'!$D$27:$AH$266,'May'!$D$27:$AH$266,'Jun'!$D$27:$AH$266,'Jul'!$D$27:$AH$266,'Aug'!$D$27:$AH$266,'Sep'!$D$27:$AH$266,'Oct'!$D$27:$AH$266,'Nov'!$D$27:$AH$266,'Dec'!$D$27:$AH$266,'Jan (next year)'!$D$27:$AH$266),27+4*(IFERROR(MATCH(C342,Roster!$B$6:$B$65,0),MATCH(C342,Roster!$C$6:$C$65,0))-1)+MATCH(B342,{"AM","PM","NIGHT","WD"},0)-1-27+1,DAY(A342))&amp;"",""))</f>
        <v/>
      </c>
      <c r="G342" s="123">
        <f>IF(OR(A342="",C342="",B342="",E342=""),"",IFERROR(A342&amp;"|"&amp;(27+4*(IFERROR(MATCH(C342,Roster!$B$6:$B$65,0),MATCH(C342,Roster!$C$6:$C$65,0))-1)+MATCH(B342,{"AM","PM","NIGHT","WD"},0)-1),""))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$266,'Feb'!$D$27:$AH$266,'Mar'!$D$27:$AH$266,'Apr'!$D$27:$AH$266,'May'!$D$27:$AH$266,'Jun'!$D$27:$AH$266,'Jul'!$D$27:$AH$266,'Aug'!$D$27:$AH$266,'Sep'!$D$27:$AH$266,'Oct'!$D$27:$AH$266,'Nov'!$D$27:$AH$266,'Dec'!$D$27:$AH$266,'Jan (next year)'!$D$27:$AH$266),27+4*(IFERROR(MATCH(C343,Roster!$B$6:$B$65,0),MATCH(C343,Roster!$C$6:$C$65,0))-1)+MATCH(B343,{"AM","PM","NIGHT","WD"},0)-1-27+1,DAY(A343))&amp;"",""))</f>
        <v/>
      </c>
      <c r="G343" s="123">
        <f>IF(OR(A343="",C343="",B343="",E343=""),"",IFERROR(A343&amp;"|"&amp;(27+4*(IFERROR(MATCH(C343,Roster!$B$6:$B$65,0),MATCH(C343,Roster!$C$6:$C$65,0))-1)+MATCH(B343,{"AM","PM","NIGHT","WD"},0)-1),""))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$266,'Feb'!$D$27:$AH$266,'Mar'!$D$27:$AH$266,'Apr'!$D$27:$AH$266,'May'!$D$27:$AH$266,'Jun'!$D$27:$AH$266,'Jul'!$D$27:$AH$266,'Aug'!$D$27:$AH$266,'Sep'!$D$27:$AH$266,'Oct'!$D$27:$AH$266,'Nov'!$D$27:$AH$266,'Dec'!$D$27:$AH$266,'Jan (next year)'!$D$27:$AH$266),27+4*(IFERROR(MATCH(C344,Roster!$B$6:$B$65,0),MATCH(C344,Roster!$C$6:$C$65,0))-1)+MATCH(B344,{"AM","PM","NIGHT","WD"},0)-1-27+1,DAY(A344))&amp;"",""))</f>
        <v/>
      </c>
      <c r="G344" s="123">
        <f>IF(OR(A344="",C344="",B344="",E344=""),"",IFERROR(A344&amp;"|"&amp;(27+4*(IFERROR(MATCH(C344,Roster!$B$6:$B$65,0),MATCH(C344,Roster!$C$6:$C$65,0))-1)+MATCH(B344,{"AM","PM","NIGHT","WD"},0)-1),""))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$266,'Feb'!$D$27:$AH$266,'Mar'!$D$27:$AH$266,'Apr'!$D$27:$AH$266,'May'!$D$27:$AH$266,'Jun'!$D$27:$AH$266,'Jul'!$D$27:$AH$266,'Aug'!$D$27:$AH$266,'Sep'!$D$27:$AH$266,'Oct'!$D$27:$AH$266,'Nov'!$D$27:$AH$266,'Dec'!$D$27:$AH$266,'Jan (next year)'!$D$27:$AH$266),27+4*(IFERROR(MATCH(C345,Roster!$B$6:$B$65,0),MATCH(C345,Roster!$C$6:$C$65,0))-1)+MATCH(B345,{"AM","PM","NIGHT","WD"},0)-1-27+1,DAY(A345))&amp;"",""))</f>
        <v/>
      </c>
      <c r="G345" s="123">
        <f>IF(OR(A345="",C345="",B345="",E345=""),"",IFERROR(A345&amp;"|"&amp;(27+4*(IFERROR(MATCH(C345,Roster!$B$6:$B$65,0),MATCH(C345,Roster!$C$6:$C$65,0))-1)+MATCH(B345,{"AM","PM","NIGHT","WD"},0)-1),""))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$266,'Feb'!$D$27:$AH$266,'Mar'!$D$27:$AH$266,'Apr'!$D$27:$AH$266,'May'!$D$27:$AH$266,'Jun'!$D$27:$AH$266,'Jul'!$D$27:$AH$266,'Aug'!$D$27:$AH$266,'Sep'!$D$27:$AH$266,'Oct'!$D$27:$AH$266,'Nov'!$D$27:$AH$266,'Dec'!$D$27:$AH$266,'Jan (next year)'!$D$27:$AH$266),27+4*(IFERROR(MATCH(C346,Roster!$B$6:$B$65,0),MATCH(C346,Roster!$C$6:$C$65,0))-1)+MATCH(B346,{"AM","PM","NIGHT","WD"},0)-1-27+1,DAY(A346))&amp;"",""))</f>
        <v/>
      </c>
      <c r="G346" s="123">
        <f>IF(OR(A346="",C346="",B346="",E346=""),"",IFERROR(A346&amp;"|"&amp;(27+4*(IFERROR(MATCH(C346,Roster!$B$6:$B$65,0),MATCH(C346,Roster!$C$6:$C$65,0))-1)+MATCH(B346,{"AM","PM","NIGHT","WD"},0)-1),""))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$266,'Feb'!$D$27:$AH$266,'Mar'!$D$27:$AH$266,'Apr'!$D$27:$AH$266,'May'!$D$27:$AH$266,'Jun'!$D$27:$AH$266,'Jul'!$D$27:$AH$266,'Aug'!$D$27:$AH$266,'Sep'!$D$27:$AH$266,'Oct'!$D$27:$AH$266,'Nov'!$D$27:$AH$266,'Dec'!$D$27:$AH$266,'Jan (next year)'!$D$27:$AH$266),27+4*(IFERROR(MATCH(C347,Roster!$B$6:$B$65,0),MATCH(C347,Roster!$C$6:$C$65,0))-1)+MATCH(B347,{"AM","PM","NIGHT","WD"},0)-1-27+1,DAY(A347))&amp;"",""))</f>
        <v/>
      </c>
      <c r="G347" s="123">
        <f>IF(OR(A347="",C347="",B347="",E347=""),"",IFERROR(A347&amp;"|"&amp;(27+4*(IFERROR(MATCH(C347,Roster!$B$6:$B$65,0),MATCH(C347,Roster!$C$6:$C$65,0))-1)+MATCH(B347,{"AM","PM","NIGHT","WD"},0)-1),""))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$266,'Feb'!$D$27:$AH$266,'Mar'!$D$27:$AH$266,'Apr'!$D$27:$AH$266,'May'!$D$27:$AH$266,'Jun'!$D$27:$AH$266,'Jul'!$D$27:$AH$266,'Aug'!$D$27:$AH$266,'Sep'!$D$27:$AH$266,'Oct'!$D$27:$AH$266,'Nov'!$D$27:$AH$266,'Dec'!$D$27:$AH$266,'Jan (next year)'!$D$27:$AH$266),27+4*(IFERROR(MATCH(C348,Roster!$B$6:$B$65,0),MATCH(C348,Roster!$C$6:$C$65,0))-1)+MATCH(B348,{"AM","PM","NIGHT","WD"},0)-1-27+1,DAY(A348))&amp;"",""))</f>
        <v/>
      </c>
      <c r="G348" s="123">
        <f>IF(OR(A348="",C348="",B348="",E348=""),"",IFERROR(A348&amp;"|"&amp;(27+4*(IFERROR(MATCH(C348,Roster!$B$6:$B$65,0),MATCH(C348,Roster!$C$6:$C$65,0))-1)+MATCH(B348,{"AM","PM","NIGHT","WD"},0)-1),""))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$266,'Feb'!$D$27:$AH$266,'Mar'!$D$27:$AH$266,'Apr'!$D$27:$AH$266,'May'!$D$27:$AH$266,'Jun'!$D$27:$AH$266,'Jul'!$D$27:$AH$266,'Aug'!$D$27:$AH$266,'Sep'!$D$27:$AH$266,'Oct'!$D$27:$AH$266,'Nov'!$D$27:$AH$266,'Dec'!$D$27:$AH$266,'Jan (next year)'!$D$27:$AH$266),27+4*(IFERROR(MATCH(C349,Roster!$B$6:$B$65,0),MATCH(C349,Roster!$C$6:$C$65,0))-1)+MATCH(B349,{"AM","PM","NIGHT","WD"},0)-1-27+1,DAY(A349))&amp;"",""))</f>
        <v/>
      </c>
      <c r="G349" s="123">
        <f>IF(OR(A349="",C349="",B349="",E349=""),"",IFERROR(A349&amp;"|"&amp;(27+4*(IFERROR(MATCH(C349,Roster!$B$6:$B$65,0),MATCH(C349,Roster!$C$6:$C$65,0))-1)+MATCH(B349,{"AM","PM","NIGHT","WD"},0)-1),""))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$266,'Feb'!$D$27:$AH$266,'Mar'!$D$27:$AH$266,'Apr'!$D$27:$AH$266,'May'!$D$27:$AH$266,'Jun'!$D$27:$AH$266,'Jul'!$D$27:$AH$266,'Aug'!$D$27:$AH$266,'Sep'!$D$27:$AH$266,'Oct'!$D$27:$AH$266,'Nov'!$D$27:$AH$266,'Dec'!$D$27:$AH$266,'Jan (next year)'!$D$27:$AH$266),27+4*(IFERROR(MATCH(C350,Roster!$B$6:$B$65,0),MATCH(C350,Roster!$C$6:$C$65,0))-1)+MATCH(B350,{"AM","PM","NIGHT","WD"},0)-1-27+1,DAY(A350))&amp;"",""))</f>
        <v/>
      </c>
      <c r="G350" s="123">
        <f>IF(OR(A350="",C350="",B350="",E350=""),"",IFERROR(A350&amp;"|"&amp;(27+4*(IFERROR(MATCH(C350,Roster!$B$6:$B$65,0),MATCH(C350,Roster!$C$6:$C$65,0))-1)+MATCH(B350,{"AM","PM","NIGHT","WD"},0)-1),""))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$266,'Feb'!$D$27:$AH$266,'Mar'!$D$27:$AH$266,'Apr'!$D$27:$AH$266,'May'!$D$27:$AH$266,'Jun'!$D$27:$AH$266,'Jul'!$D$27:$AH$266,'Aug'!$D$27:$AH$266,'Sep'!$D$27:$AH$266,'Oct'!$D$27:$AH$266,'Nov'!$D$27:$AH$266,'Dec'!$D$27:$AH$266,'Jan (next year)'!$D$27:$AH$266),27+4*(IFERROR(MATCH(C351,Roster!$B$6:$B$65,0),MATCH(C351,Roster!$C$6:$C$65,0))-1)+MATCH(B351,{"AM","PM","NIGHT","WD"},0)-1-27+1,DAY(A351))&amp;"",""))</f>
        <v/>
      </c>
      <c r="G351" s="123">
        <f>IF(OR(A351="",C351="",B351="",E351=""),"",IFERROR(A351&amp;"|"&amp;(27+4*(IFERROR(MATCH(C351,Roster!$B$6:$B$65,0),MATCH(C351,Roster!$C$6:$C$65,0))-1)+MATCH(B351,{"AM","PM","NIGHT","WD"},0)-1),""))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$266,'Feb'!$D$27:$AH$266,'Mar'!$D$27:$AH$266,'Apr'!$D$27:$AH$266,'May'!$D$27:$AH$266,'Jun'!$D$27:$AH$266,'Jul'!$D$27:$AH$266,'Aug'!$D$27:$AH$266,'Sep'!$D$27:$AH$266,'Oct'!$D$27:$AH$266,'Nov'!$D$27:$AH$266,'Dec'!$D$27:$AH$266,'Jan (next year)'!$D$27:$AH$266),27+4*(IFERROR(MATCH(C352,Roster!$B$6:$B$65,0),MATCH(C352,Roster!$C$6:$C$65,0))-1)+MATCH(B352,{"AM","PM","NIGHT","WD"},0)-1-27+1,DAY(A352))&amp;"",""))</f>
        <v/>
      </c>
      <c r="G352" s="123">
        <f>IF(OR(A352="",C352="",B352="",E352=""),"",IFERROR(A352&amp;"|"&amp;(27+4*(IFERROR(MATCH(C352,Roster!$B$6:$B$65,0),MATCH(C352,Roster!$C$6:$C$65,0))-1)+MATCH(B352,{"AM","PM","NIGHT","WD"},0)-1),""))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$266,'Feb'!$D$27:$AH$266,'Mar'!$D$27:$AH$266,'Apr'!$D$27:$AH$266,'May'!$D$27:$AH$266,'Jun'!$D$27:$AH$266,'Jul'!$D$27:$AH$266,'Aug'!$D$27:$AH$266,'Sep'!$D$27:$AH$266,'Oct'!$D$27:$AH$266,'Nov'!$D$27:$AH$266,'Dec'!$D$27:$AH$266,'Jan (next year)'!$D$27:$AH$266),27+4*(IFERROR(MATCH(C353,Roster!$B$6:$B$65,0),MATCH(C353,Roster!$C$6:$C$65,0))-1)+MATCH(B353,{"AM","PM","NIGHT","WD"},0)-1-27+1,DAY(A353))&amp;"",""))</f>
        <v/>
      </c>
      <c r="G353" s="123">
        <f>IF(OR(A353="",C353="",B353="",E353=""),"",IFERROR(A353&amp;"|"&amp;(27+4*(IFERROR(MATCH(C353,Roster!$B$6:$B$65,0),MATCH(C353,Roster!$C$6:$C$65,0))-1)+MATCH(B353,{"AM","PM","NIGHT","WD"},0)-1),""))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$266,'Feb'!$D$27:$AH$266,'Mar'!$D$27:$AH$266,'Apr'!$D$27:$AH$266,'May'!$D$27:$AH$266,'Jun'!$D$27:$AH$266,'Jul'!$D$27:$AH$266,'Aug'!$D$27:$AH$266,'Sep'!$D$27:$AH$266,'Oct'!$D$27:$AH$266,'Nov'!$D$27:$AH$266,'Dec'!$D$27:$AH$266,'Jan (next year)'!$D$27:$AH$266),27+4*(IFERROR(MATCH(C354,Roster!$B$6:$B$65,0),MATCH(C354,Roster!$C$6:$C$65,0))-1)+MATCH(B354,{"AM","PM","NIGHT","WD"},0)-1-27+1,DAY(A354))&amp;"",""))</f>
        <v/>
      </c>
      <c r="G354" s="123">
        <f>IF(OR(A354="",C354="",B354="",E354=""),"",IFERROR(A354&amp;"|"&amp;(27+4*(IFERROR(MATCH(C354,Roster!$B$6:$B$65,0),MATCH(C354,Roster!$C$6:$C$65,0))-1)+MATCH(B354,{"AM","PM","NIGHT","WD"},0)-1),""))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$266,'Feb'!$D$27:$AH$266,'Mar'!$D$27:$AH$266,'Apr'!$D$27:$AH$266,'May'!$D$27:$AH$266,'Jun'!$D$27:$AH$266,'Jul'!$D$27:$AH$266,'Aug'!$D$27:$AH$266,'Sep'!$D$27:$AH$266,'Oct'!$D$27:$AH$266,'Nov'!$D$27:$AH$266,'Dec'!$D$27:$AH$266,'Jan (next year)'!$D$27:$AH$266),27+4*(IFERROR(MATCH(C355,Roster!$B$6:$B$65,0),MATCH(C355,Roster!$C$6:$C$65,0))-1)+MATCH(B355,{"AM","PM","NIGHT","WD"},0)-1-27+1,DAY(A355))&amp;"",""))</f>
        <v/>
      </c>
      <c r="G355" s="123">
        <f>IF(OR(A355="",C355="",B355="",E355=""),"",IFERROR(A355&amp;"|"&amp;(27+4*(IFERROR(MATCH(C355,Roster!$B$6:$B$65,0),MATCH(C355,Roster!$C$6:$C$65,0))-1)+MATCH(B355,{"AM","PM","NIGHT","WD"},0)-1),""))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$266,'Feb'!$D$27:$AH$266,'Mar'!$D$27:$AH$266,'Apr'!$D$27:$AH$266,'May'!$D$27:$AH$266,'Jun'!$D$27:$AH$266,'Jul'!$D$27:$AH$266,'Aug'!$D$27:$AH$266,'Sep'!$D$27:$AH$266,'Oct'!$D$27:$AH$266,'Nov'!$D$27:$AH$266,'Dec'!$D$27:$AH$266,'Jan (next year)'!$D$27:$AH$266),27+4*(IFERROR(MATCH(C356,Roster!$B$6:$B$65,0),MATCH(C356,Roster!$C$6:$C$65,0))-1)+MATCH(B356,{"AM","PM","NIGHT","WD"},0)-1-27+1,DAY(A356))&amp;"",""))</f>
        <v/>
      </c>
      <c r="G356" s="123">
        <f>IF(OR(A356="",C356="",B356="",E356=""),"",IFERROR(A356&amp;"|"&amp;(27+4*(IFERROR(MATCH(C356,Roster!$B$6:$B$65,0),MATCH(C356,Roster!$C$6:$C$65,0))-1)+MATCH(B356,{"AM","PM","NIGHT","WD"},0)-1),""))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$266,'Feb'!$D$27:$AH$266,'Mar'!$D$27:$AH$266,'Apr'!$D$27:$AH$266,'May'!$D$27:$AH$266,'Jun'!$D$27:$AH$266,'Jul'!$D$27:$AH$266,'Aug'!$D$27:$AH$266,'Sep'!$D$27:$AH$266,'Oct'!$D$27:$AH$266,'Nov'!$D$27:$AH$266,'Dec'!$D$27:$AH$266,'Jan (next year)'!$D$27:$AH$266),27+4*(IFERROR(MATCH(C357,Roster!$B$6:$B$65,0),MATCH(C357,Roster!$C$6:$C$65,0))-1)+MATCH(B357,{"AM","PM","NIGHT","WD"},0)-1-27+1,DAY(A357))&amp;"",""))</f>
        <v/>
      </c>
      <c r="G357" s="123">
        <f>IF(OR(A357="",C357="",B357="",E357=""),"",IFERROR(A357&amp;"|"&amp;(27+4*(IFERROR(MATCH(C357,Roster!$B$6:$B$65,0),MATCH(C357,Roster!$C$6:$C$65,0))-1)+MATCH(B357,{"AM","PM","NIGHT","WD"},0)-1),""))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$266,'Feb'!$D$27:$AH$266,'Mar'!$D$27:$AH$266,'Apr'!$D$27:$AH$266,'May'!$D$27:$AH$266,'Jun'!$D$27:$AH$266,'Jul'!$D$27:$AH$266,'Aug'!$D$27:$AH$266,'Sep'!$D$27:$AH$266,'Oct'!$D$27:$AH$266,'Nov'!$D$27:$AH$266,'Dec'!$D$27:$AH$266,'Jan (next year)'!$D$27:$AH$266),27+4*(IFERROR(MATCH(C358,Roster!$B$6:$B$65,0),MATCH(C358,Roster!$C$6:$C$65,0))-1)+MATCH(B358,{"AM","PM","NIGHT","WD"},0)-1-27+1,DAY(A358))&amp;"",""))</f>
        <v/>
      </c>
      <c r="G358" s="123">
        <f>IF(OR(A358="",C358="",B358="",E358=""),"",IFERROR(A358&amp;"|"&amp;(27+4*(IFERROR(MATCH(C358,Roster!$B$6:$B$65,0),MATCH(C358,Roster!$C$6:$C$65,0))-1)+MATCH(B358,{"AM","PM","NIGHT","WD"},0)-1),""))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$266,'Feb'!$D$27:$AH$266,'Mar'!$D$27:$AH$266,'Apr'!$D$27:$AH$266,'May'!$D$27:$AH$266,'Jun'!$D$27:$AH$266,'Jul'!$D$27:$AH$266,'Aug'!$D$27:$AH$266,'Sep'!$D$27:$AH$266,'Oct'!$D$27:$AH$266,'Nov'!$D$27:$AH$266,'Dec'!$D$27:$AH$266,'Jan (next year)'!$D$27:$AH$266),27+4*(IFERROR(MATCH(C359,Roster!$B$6:$B$65,0),MATCH(C359,Roster!$C$6:$C$65,0))-1)+MATCH(B359,{"AM","PM","NIGHT","WD"},0)-1-27+1,DAY(A359))&amp;"",""))</f>
        <v/>
      </c>
      <c r="G359" s="123">
        <f>IF(OR(A359="",C359="",B359="",E359=""),"",IFERROR(A359&amp;"|"&amp;(27+4*(IFERROR(MATCH(C359,Roster!$B$6:$B$65,0),MATCH(C359,Roster!$C$6:$C$65,0))-1)+MATCH(B359,{"AM","PM","NIGHT","WD"},0)-1),""))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$266,'Feb'!$D$27:$AH$266,'Mar'!$D$27:$AH$266,'Apr'!$D$27:$AH$266,'May'!$D$27:$AH$266,'Jun'!$D$27:$AH$266,'Jul'!$D$27:$AH$266,'Aug'!$D$27:$AH$266,'Sep'!$D$27:$AH$266,'Oct'!$D$27:$AH$266,'Nov'!$D$27:$AH$266,'Dec'!$D$27:$AH$266,'Jan (next year)'!$D$27:$AH$266),27+4*(IFERROR(MATCH(C360,Roster!$B$6:$B$65,0),MATCH(C360,Roster!$C$6:$C$65,0))-1)+MATCH(B360,{"AM","PM","NIGHT","WD"},0)-1-27+1,DAY(A360))&amp;"",""))</f>
        <v/>
      </c>
      <c r="G360" s="123">
        <f>IF(OR(A360="",C360="",B360="",E360=""),"",IFERROR(A360&amp;"|"&amp;(27+4*(IFERROR(MATCH(C360,Roster!$B$6:$B$65,0),MATCH(C360,Roster!$C$6:$C$65,0))-1)+MATCH(B360,{"AM","PM","NIGHT","WD"},0)-1),""))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$266,'Feb'!$D$27:$AH$266,'Mar'!$D$27:$AH$266,'Apr'!$D$27:$AH$266,'May'!$D$27:$AH$266,'Jun'!$D$27:$AH$266,'Jul'!$D$27:$AH$266,'Aug'!$D$27:$AH$266,'Sep'!$D$27:$AH$266,'Oct'!$D$27:$AH$266,'Nov'!$D$27:$AH$266,'Dec'!$D$27:$AH$266,'Jan (next year)'!$D$27:$AH$266),27+4*(IFERROR(MATCH(C361,Roster!$B$6:$B$65,0),MATCH(C361,Roster!$C$6:$C$65,0))-1)+MATCH(B361,{"AM","PM","NIGHT","WD"},0)-1-27+1,DAY(A361))&amp;"",""))</f>
        <v/>
      </c>
      <c r="G361" s="123">
        <f>IF(OR(A361="",C361="",B361="",E361=""),"",IFERROR(A361&amp;"|"&amp;(27+4*(IFERROR(MATCH(C361,Roster!$B$6:$B$65,0),MATCH(C361,Roster!$C$6:$C$65,0))-1)+MATCH(B361,{"AM","PM","NIGHT","WD"},0)-1),""))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$266,'Feb'!$D$27:$AH$266,'Mar'!$D$27:$AH$266,'Apr'!$D$27:$AH$266,'May'!$D$27:$AH$266,'Jun'!$D$27:$AH$266,'Jul'!$D$27:$AH$266,'Aug'!$D$27:$AH$266,'Sep'!$D$27:$AH$266,'Oct'!$D$27:$AH$266,'Nov'!$D$27:$AH$266,'Dec'!$D$27:$AH$266,'Jan (next year)'!$D$27:$AH$266),27+4*(IFERROR(MATCH(C362,Roster!$B$6:$B$65,0),MATCH(C362,Roster!$C$6:$C$65,0))-1)+MATCH(B362,{"AM","PM","NIGHT","WD"},0)-1-27+1,DAY(A362))&amp;"",""))</f>
        <v/>
      </c>
      <c r="G362" s="123">
        <f>IF(OR(A362="",C362="",B362="",E362=""),"",IFERROR(A362&amp;"|"&amp;(27+4*(IFERROR(MATCH(C362,Roster!$B$6:$B$65,0),MATCH(C362,Roster!$C$6:$C$65,0))-1)+MATCH(B362,{"AM","PM","NIGHT","WD"},0)-1),""))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$266,'Feb'!$D$27:$AH$266,'Mar'!$D$27:$AH$266,'Apr'!$D$27:$AH$266,'May'!$D$27:$AH$266,'Jun'!$D$27:$AH$266,'Jul'!$D$27:$AH$266,'Aug'!$D$27:$AH$266,'Sep'!$D$27:$AH$266,'Oct'!$D$27:$AH$266,'Nov'!$D$27:$AH$266,'Dec'!$D$27:$AH$266,'Jan (next year)'!$D$27:$AH$266),27+4*(IFERROR(MATCH(C363,Roster!$B$6:$B$65,0),MATCH(C363,Roster!$C$6:$C$65,0))-1)+MATCH(B363,{"AM","PM","NIGHT","WD"},0)-1-27+1,DAY(A363))&amp;"",""))</f>
        <v/>
      </c>
      <c r="G363" s="123">
        <f>IF(OR(A363="",C363="",B363="",E363=""),"",IFERROR(A363&amp;"|"&amp;(27+4*(IFERROR(MATCH(C363,Roster!$B$6:$B$65,0),MATCH(C363,Roster!$C$6:$C$65,0))-1)+MATCH(B363,{"AM","PM","NIGHT","WD"},0)-1),""))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$266,'Feb'!$D$27:$AH$266,'Mar'!$D$27:$AH$266,'Apr'!$D$27:$AH$266,'May'!$D$27:$AH$266,'Jun'!$D$27:$AH$266,'Jul'!$D$27:$AH$266,'Aug'!$D$27:$AH$266,'Sep'!$D$27:$AH$266,'Oct'!$D$27:$AH$266,'Nov'!$D$27:$AH$266,'Dec'!$D$27:$AH$266,'Jan (next year)'!$D$27:$AH$266),27+4*(IFERROR(MATCH(C364,Roster!$B$6:$B$65,0),MATCH(C364,Roster!$C$6:$C$65,0))-1)+MATCH(B364,{"AM","PM","NIGHT","WD"},0)-1-27+1,DAY(A364))&amp;"",""))</f>
        <v/>
      </c>
      <c r="G364" s="123">
        <f>IF(OR(A364="",C364="",B364="",E364=""),"",IFERROR(A364&amp;"|"&amp;(27+4*(IFERROR(MATCH(C364,Roster!$B$6:$B$65,0),MATCH(C364,Roster!$C$6:$C$65,0))-1)+MATCH(B364,{"AM","PM","NIGHT","WD"},0)-1),""))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$266,'Feb'!$D$27:$AH$266,'Mar'!$D$27:$AH$266,'Apr'!$D$27:$AH$266,'May'!$D$27:$AH$266,'Jun'!$D$27:$AH$266,'Jul'!$D$27:$AH$266,'Aug'!$D$27:$AH$266,'Sep'!$D$27:$AH$266,'Oct'!$D$27:$AH$266,'Nov'!$D$27:$AH$266,'Dec'!$D$27:$AH$266,'Jan (next year)'!$D$27:$AH$266),27+4*(IFERROR(MATCH(C365,Roster!$B$6:$B$65,0),MATCH(C365,Roster!$C$6:$C$65,0))-1)+MATCH(B365,{"AM","PM","NIGHT","WD"},0)-1-27+1,DAY(A365))&amp;"",""))</f>
        <v/>
      </c>
      <c r="G365" s="123">
        <f>IF(OR(A365="",C365="",B365="",E365=""),"",IFERROR(A365&amp;"|"&amp;(27+4*(IFERROR(MATCH(C365,Roster!$B$6:$B$65,0),MATCH(C365,Roster!$C$6:$C$65,0))-1)+MATCH(B365,{"AM","PM","NIGHT","WD"},0)-1),""))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$266,'Feb'!$D$27:$AH$266,'Mar'!$D$27:$AH$266,'Apr'!$D$27:$AH$266,'May'!$D$27:$AH$266,'Jun'!$D$27:$AH$266,'Jul'!$D$27:$AH$266,'Aug'!$D$27:$AH$266,'Sep'!$D$27:$AH$266,'Oct'!$D$27:$AH$266,'Nov'!$D$27:$AH$266,'Dec'!$D$27:$AH$266,'Jan (next year)'!$D$27:$AH$266),27+4*(IFERROR(MATCH(C366,Roster!$B$6:$B$65,0),MATCH(C366,Roster!$C$6:$C$65,0))-1)+MATCH(B366,{"AM","PM","NIGHT","WD"},0)-1-27+1,DAY(A366))&amp;"",""))</f>
        <v/>
      </c>
      <c r="G366" s="123">
        <f>IF(OR(A366="",C366="",B366="",E366=""),"",IFERROR(A366&amp;"|"&amp;(27+4*(IFERROR(MATCH(C366,Roster!$B$6:$B$65,0),MATCH(C366,Roster!$C$6:$C$65,0))-1)+MATCH(B366,{"AM","PM","NIGHT","WD"},0)-1),""))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$266,'Feb'!$D$27:$AH$266,'Mar'!$D$27:$AH$266,'Apr'!$D$27:$AH$266,'May'!$D$27:$AH$266,'Jun'!$D$27:$AH$266,'Jul'!$D$27:$AH$266,'Aug'!$D$27:$AH$266,'Sep'!$D$27:$AH$266,'Oct'!$D$27:$AH$266,'Nov'!$D$27:$AH$266,'Dec'!$D$27:$AH$266,'Jan (next year)'!$D$27:$AH$266),27+4*(IFERROR(MATCH(C367,Roster!$B$6:$B$65,0),MATCH(C367,Roster!$C$6:$C$65,0))-1)+MATCH(B367,{"AM","PM","NIGHT","WD"},0)-1-27+1,DAY(A367))&amp;"",""))</f>
        <v/>
      </c>
      <c r="G367" s="123">
        <f>IF(OR(A367="",C367="",B367="",E367=""),"",IFERROR(A367&amp;"|"&amp;(27+4*(IFERROR(MATCH(C367,Roster!$B$6:$B$65,0),MATCH(C367,Roster!$C$6:$C$65,0))-1)+MATCH(B367,{"AM","PM","NIGHT","WD"},0)-1),""))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$266,'Feb'!$D$27:$AH$266,'Mar'!$D$27:$AH$266,'Apr'!$D$27:$AH$266,'May'!$D$27:$AH$266,'Jun'!$D$27:$AH$266,'Jul'!$D$27:$AH$266,'Aug'!$D$27:$AH$266,'Sep'!$D$27:$AH$266,'Oct'!$D$27:$AH$266,'Nov'!$D$27:$AH$266,'Dec'!$D$27:$AH$266,'Jan (next year)'!$D$27:$AH$266),27+4*(IFERROR(MATCH(C368,Roster!$B$6:$B$65,0),MATCH(C368,Roster!$C$6:$C$65,0))-1)+MATCH(B368,{"AM","PM","NIGHT","WD"},0)-1-27+1,DAY(A368))&amp;"",""))</f>
        <v/>
      </c>
      <c r="G368" s="123">
        <f>IF(OR(A368="",C368="",B368="",E368=""),"",IFERROR(A368&amp;"|"&amp;(27+4*(IFERROR(MATCH(C368,Roster!$B$6:$B$65,0),MATCH(C368,Roster!$C$6:$C$65,0))-1)+MATCH(B368,{"AM","PM","NIGHT","WD"},0)-1),""))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$266,'Feb'!$D$27:$AH$266,'Mar'!$D$27:$AH$266,'Apr'!$D$27:$AH$266,'May'!$D$27:$AH$266,'Jun'!$D$27:$AH$266,'Jul'!$D$27:$AH$266,'Aug'!$D$27:$AH$266,'Sep'!$D$27:$AH$266,'Oct'!$D$27:$AH$266,'Nov'!$D$27:$AH$266,'Dec'!$D$27:$AH$266,'Jan (next year)'!$D$27:$AH$266),27+4*(IFERROR(MATCH(C369,Roster!$B$6:$B$65,0),MATCH(C369,Roster!$C$6:$C$65,0))-1)+MATCH(B369,{"AM","PM","NIGHT","WD"},0)-1-27+1,DAY(A369))&amp;"",""))</f>
        <v/>
      </c>
      <c r="G369" s="123">
        <f>IF(OR(A369="",C369="",B369="",E369=""),"",IFERROR(A369&amp;"|"&amp;(27+4*(IFERROR(MATCH(C369,Roster!$B$6:$B$65,0),MATCH(C369,Roster!$C$6:$C$65,0))-1)+MATCH(B369,{"AM","PM","NIGHT","WD"},0)-1),""))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$266,'Feb'!$D$27:$AH$266,'Mar'!$D$27:$AH$266,'Apr'!$D$27:$AH$266,'May'!$D$27:$AH$266,'Jun'!$D$27:$AH$266,'Jul'!$D$27:$AH$266,'Aug'!$D$27:$AH$266,'Sep'!$D$27:$AH$266,'Oct'!$D$27:$AH$266,'Nov'!$D$27:$AH$266,'Dec'!$D$27:$AH$266,'Jan (next year)'!$D$27:$AH$266),27+4*(IFERROR(MATCH(C370,Roster!$B$6:$B$65,0),MATCH(C370,Roster!$C$6:$C$65,0))-1)+MATCH(B370,{"AM","PM","NIGHT","WD"},0)-1-27+1,DAY(A370))&amp;"",""))</f>
        <v/>
      </c>
      <c r="G370" s="123">
        <f>IF(OR(A370="",C370="",B370="",E370=""),"",IFERROR(A370&amp;"|"&amp;(27+4*(IFERROR(MATCH(C370,Roster!$B$6:$B$65,0),MATCH(C370,Roster!$C$6:$C$65,0))-1)+MATCH(B370,{"AM","PM","NIGHT","WD"},0)-1),""))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$266,'Feb'!$D$27:$AH$266,'Mar'!$D$27:$AH$266,'Apr'!$D$27:$AH$266,'May'!$D$27:$AH$266,'Jun'!$D$27:$AH$266,'Jul'!$D$27:$AH$266,'Aug'!$D$27:$AH$266,'Sep'!$D$27:$AH$266,'Oct'!$D$27:$AH$266,'Nov'!$D$27:$AH$266,'Dec'!$D$27:$AH$266,'Jan (next year)'!$D$27:$AH$266),27+4*(IFERROR(MATCH(C371,Roster!$B$6:$B$65,0),MATCH(C371,Roster!$C$6:$C$65,0))-1)+MATCH(B371,{"AM","PM","NIGHT","WD"},0)-1-27+1,DAY(A371))&amp;"",""))</f>
        <v/>
      </c>
      <c r="G371" s="123">
        <f>IF(OR(A371="",C371="",B371="",E371=""),"",IFERROR(A371&amp;"|"&amp;(27+4*(IFERROR(MATCH(C371,Roster!$B$6:$B$65,0),MATCH(C371,Roster!$C$6:$C$65,0))-1)+MATCH(B371,{"AM","PM","NIGHT","WD"},0)-1),""))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$266,'Feb'!$D$27:$AH$266,'Mar'!$D$27:$AH$266,'Apr'!$D$27:$AH$266,'May'!$D$27:$AH$266,'Jun'!$D$27:$AH$266,'Jul'!$D$27:$AH$266,'Aug'!$D$27:$AH$266,'Sep'!$D$27:$AH$266,'Oct'!$D$27:$AH$266,'Nov'!$D$27:$AH$266,'Dec'!$D$27:$AH$266,'Jan (next year)'!$D$27:$AH$266),27+4*(IFERROR(MATCH(C372,Roster!$B$6:$B$65,0),MATCH(C372,Roster!$C$6:$C$65,0))-1)+MATCH(B372,{"AM","PM","NIGHT","WD"},0)-1-27+1,DAY(A372))&amp;"",""))</f>
        <v/>
      </c>
      <c r="G372" s="123">
        <f>IF(OR(A372="",C372="",B372="",E372=""),"",IFERROR(A372&amp;"|"&amp;(27+4*(IFERROR(MATCH(C372,Roster!$B$6:$B$65,0),MATCH(C372,Roster!$C$6:$C$65,0))-1)+MATCH(B372,{"AM","PM","NIGHT","WD"},0)-1),""))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$266,'Feb'!$D$27:$AH$266,'Mar'!$D$27:$AH$266,'Apr'!$D$27:$AH$266,'May'!$D$27:$AH$266,'Jun'!$D$27:$AH$266,'Jul'!$D$27:$AH$266,'Aug'!$D$27:$AH$266,'Sep'!$D$27:$AH$266,'Oct'!$D$27:$AH$266,'Nov'!$D$27:$AH$266,'Dec'!$D$27:$AH$266,'Jan (next year)'!$D$27:$AH$266),27+4*(IFERROR(MATCH(C373,Roster!$B$6:$B$65,0),MATCH(C373,Roster!$C$6:$C$65,0))-1)+MATCH(B373,{"AM","PM","NIGHT","WD"},0)-1-27+1,DAY(A373))&amp;"",""))</f>
        <v/>
      </c>
      <c r="G373" s="123">
        <f>IF(OR(A373="",C373="",B373="",E373=""),"",IFERROR(A373&amp;"|"&amp;(27+4*(IFERROR(MATCH(C373,Roster!$B$6:$B$65,0),MATCH(C373,Roster!$C$6:$C$65,0))-1)+MATCH(B373,{"AM","PM","NIGHT","WD"},0)-1),""))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$266,'Feb'!$D$27:$AH$266,'Mar'!$D$27:$AH$266,'Apr'!$D$27:$AH$266,'May'!$D$27:$AH$266,'Jun'!$D$27:$AH$266,'Jul'!$D$27:$AH$266,'Aug'!$D$27:$AH$266,'Sep'!$D$27:$AH$266,'Oct'!$D$27:$AH$266,'Nov'!$D$27:$AH$266,'Dec'!$D$27:$AH$266,'Jan (next year)'!$D$27:$AH$266),27+4*(IFERROR(MATCH(C374,Roster!$B$6:$B$65,0),MATCH(C374,Roster!$C$6:$C$65,0))-1)+MATCH(B374,{"AM","PM","NIGHT","WD"},0)-1-27+1,DAY(A374))&amp;"",""))</f>
        <v/>
      </c>
      <c r="G374" s="123">
        <f>IF(OR(A374="",C374="",B374="",E374=""),"",IFERROR(A374&amp;"|"&amp;(27+4*(IFERROR(MATCH(C374,Roster!$B$6:$B$65,0),MATCH(C374,Roster!$C$6:$C$65,0))-1)+MATCH(B374,{"AM","PM","NIGHT","WD"},0)-1),""))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$266,'Feb'!$D$27:$AH$266,'Mar'!$D$27:$AH$266,'Apr'!$D$27:$AH$266,'May'!$D$27:$AH$266,'Jun'!$D$27:$AH$266,'Jul'!$D$27:$AH$266,'Aug'!$D$27:$AH$266,'Sep'!$D$27:$AH$266,'Oct'!$D$27:$AH$266,'Nov'!$D$27:$AH$266,'Dec'!$D$27:$AH$266,'Jan (next year)'!$D$27:$AH$266),27+4*(IFERROR(MATCH(C375,Roster!$B$6:$B$65,0),MATCH(C375,Roster!$C$6:$C$65,0))-1)+MATCH(B375,{"AM","PM","NIGHT","WD"},0)-1-27+1,DAY(A375))&amp;"",""))</f>
        <v/>
      </c>
      <c r="G375" s="123">
        <f>IF(OR(A375="",C375="",B375="",E375=""),"",IFERROR(A375&amp;"|"&amp;(27+4*(IFERROR(MATCH(C375,Roster!$B$6:$B$65,0),MATCH(C375,Roster!$C$6:$C$65,0))-1)+MATCH(B375,{"AM","PM","NIGHT","WD"},0)-1),""))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$266,'Feb'!$D$27:$AH$266,'Mar'!$D$27:$AH$266,'Apr'!$D$27:$AH$266,'May'!$D$27:$AH$266,'Jun'!$D$27:$AH$266,'Jul'!$D$27:$AH$266,'Aug'!$D$27:$AH$266,'Sep'!$D$27:$AH$266,'Oct'!$D$27:$AH$266,'Nov'!$D$27:$AH$266,'Dec'!$D$27:$AH$266,'Jan (next year)'!$D$27:$AH$266),27+4*(IFERROR(MATCH(C376,Roster!$B$6:$B$65,0),MATCH(C376,Roster!$C$6:$C$65,0))-1)+MATCH(B376,{"AM","PM","NIGHT","WD"},0)-1-27+1,DAY(A376))&amp;"",""))</f>
        <v/>
      </c>
      <c r="G376" s="123">
        <f>IF(OR(A376="",C376="",B376="",E376=""),"",IFERROR(A376&amp;"|"&amp;(27+4*(IFERROR(MATCH(C376,Roster!$B$6:$B$65,0),MATCH(C376,Roster!$C$6:$C$65,0))-1)+MATCH(B376,{"AM","PM","NIGHT","WD"},0)-1),""))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$266,'Feb'!$D$27:$AH$266,'Mar'!$D$27:$AH$266,'Apr'!$D$27:$AH$266,'May'!$D$27:$AH$266,'Jun'!$D$27:$AH$266,'Jul'!$D$27:$AH$266,'Aug'!$D$27:$AH$266,'Sep'!$D$27:$AH$266,'Oct'!$D$27:$AH$266,'Nov'!$D$27:$AH$266,'Dec'!$D$27:$AH$266,'Jan (next year)'!$D$27:$AH$266),27+4*(IFERROR(MATCH(C377,Roster!$B$6:$B$65,0),MATCH(C377,Roster!$C$6:$C$65,0))-1)+MATCH(B377,{"AM","PM","NIGHT","WD"},0)-1-27+1,DAY(A377))&amp;"",""))</f>
        <v/>
      </c>
      <c r="G377" s="123">
        <f>IF(OR(A377="",C377="",B377="",E377=""),"",IFERROR(A377&amp;"|"&amp;(27+4*(IFERROR(MATCH(C377,Roster!$B$6:$B$65,0),MATCH(C377,Roster!$C$6:$C$65,0))-1)+MATCH(B377,{"AM","PM","NIGHT","WD"},0)-1),""))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$266,'Feb'!$D$27:$AH$266,'Mar'!$D$27:$AH$266,'Apr'!$D$27:$AH$266,'May'!$D$27:$AH$266,'Jun'!$D$27:$AH$266,'Jul'!$D$27:$AH$266,'Aug'!$D$27:$AH$266,'Sep'!$D$27:$AH$266,'Oct'!$D$27:$AH$266,'Nov'!$D$27:$AH$266,'Dec'!$D$27:$AH$266,'Jan (next year)'!$D$27:$AH$266),27+4*(IFERROR(MATCH(C378,Roster!$B$6:$B$65,0),MATCH(C378,Roster!$C$6:$C$65,0))-1)+MATCH(B378,{"AM","PM","NIGHT","WD"},0)-1-27+1,DAY(A378))&amp;"",""))</f>
        <v/>
      </c>
      <c r="G378" s="123">
        <f>IF(OR(A378="",C378="",B378="",E378=""),"",IFERROR(A378&amp;"|"&amp;(27+4*(IFERROR(MATCH(C378,Roster!$B$6:$B$65,0),MATCH(C378,Roster!$C$6:$C$65,0))-1)+MATCH(B378,{"AM","PM","NIGHT","WD"},0)-1),""))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$266,'Feb'!$D$27:$AH$266,'Mar'!$D$27:$AH$266,'Apr'!$D$27:$AH$266,'May'!$D$27:$AH$266,'Jun'!$D$27:$AH$266,'Jul'!$D$27:$AH$266,'Aug'!$D$27:$AH$266,'Sep'!$D$27:$AH$266,'Oct'!$D$27:$AH$266,'Nov'!$D$27:$AH$266,'Dec'!$D$27:$AH$266,'Jan (next year)'!$D$27:$AH$266),27+4*(IFERROR(MATCH(C379,Roster!$B$6:$B$65,0),MATCH(C379,Roster!$C$6:$C$65,0))-1)+MATCH(B379,{"AM","PM","NIGHT","WD"},0)-1-27+1,DAY(A379))&amp;"",""))</f>
        <v/>
      </c>
      <c r="G379" s="123">
        <f>IF(OR(A379="",C379="",B379="",E379=""),"",IFERROR(A379&amp;"|"&amp;(27+4*(IFERROR(MATCH(C379,Roster!$B$6:$B$65,0),MATCH(C379,Roster!$C$6:$C$65,0))-1)+MATCH(B379,{"AM","PM","NIGHT","WD"},0)-1),""))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$266,'Feb'!$D$27:$AH$266,'Mar'!$D$27:$AH$266,'Apr'!$D$27:$AH$266,'May'!$D$27:$AH$266,'Jun'!$D$27:$AH$266,'Jul'!$D$27:$AH$266,'Aug'!$D$27:$AH$266,'Sep'!$D$27:$AH$266,'Oct'!$D$27:$AH$266,'Nov'!$D$27:$AH$266,'Dec'!$D$27:$AH$266,'Jan (next year)'!$D$27:$AH$266),27+4*(IFERROR(MATCH(C380,Roster!$B$6:$B$65,0),MATCH(C380,Roster!$C$6:$C$65,0))-1)+MATCH(B380,{"AM","PM","NIGHT","WD"},0)-1-27+1,DAY(A380))&amp;"",""))</f>
        <v/>
      </c>
      <c r="G380" s="123">
        <f>IF(OR(A380="",C380="",B380="",E380=""),"",IFERROR(A380&amp;"|"&amp;(27+4*(IFERROR(MATCH(C380,Roster!$B$6:$B$65,0),MATCH(C380,Roster!$C$6:$C$65,0))-1)+MATCH(B380,{"AM","PM","NIGHT","WD"},0)-1),""))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$266,'Feb'!$D$27:$AH$266,'Mar'!$D$27:$AH$266,'Apr'!$D$27:$AH$266,'May'!$D$27:$AH$266,'Jun'!$D$27:$AH$266,'Jul'!$D$27:$AH$266,'Aug'!$D$27:$AH$266,'Sep'!$D$27:$AH$266,'Oct'!$D$27:$AH$266,'Nov'!$D$27:$AH$266,'Dec'!$D$27:$AH$266,'Jan (next year)'!$D$27:$AH$266),27+4*(IFERROR(MATCH(C381,Roster!$B$6:$B$65,0),MATCH(C381,Roster!$C$6:$C$65,0))-1)+MATCH(B381,{"AM","PM","NIGHT","WD"},0)-1-27+1,DAY(A381))&amp;"",""))</f>
        <v/>
      </c>
      <c r="G381" s="123">
        <f>IF(OR(A381="",C381="",B381="",E381=""),"",IFERROR(A381&amp;"|"&amp;(27+4*(IFERROR(MATCH(C381,Roster!$B$6:$B$65,0),MATCH(C381,Roster!$C$6:$C$65,0))-1)+MATCH(B381,{"AM","PM","NIGHT","WD"},0)-1),""))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$266,'Feb'!$D$27:$AH$266,'Mar'!$D$27:$AH$266,'Apr'!$D$27:$AH$266,'May'!$D$27:$AH$266,'Jun'!$D$27:$AH$266,'Jul'!$D$27:$AH$266,'Aug'!$D$27:$AH$266,'Sep'!$D$27:$AH$266,'Oct'!$D$27:$AH$266,'Nov'!$D$27:$AH$266,'Dec'!$D$27:$AH$266,'Jan (next year)'!$D$27:$AH$266),27+4*(IFERROR(MATCH(C382,Roster!$B$6:$B$65,0),MATCH(C382,Roster!$C$6:$C$65,0))-1)+MATCH(B382,{"AM","PM","NIGHT","WD"},0)-1-27+1,DAY(A382))&amp;"",""))</f>
        <v/>
      </c>
      <c r="G382" s="123">
        <f>IF(OR(A382="",C382="",B382="",E382=""),"",IFERROR(A382&amp;"|"&amp;(27+4*(IFERROR(MATCH(C382,Roster!$B$6:$B$65,0),MATCH(C382,Roster!$C$6:$C$65,0))-1)+MATCH(B382,{"AM","PM","NIGHT","WD"},0)-1),""))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$266,'Feb'!$D$27:$AH$266,'Mar'!$D$27:$AH$266,'Apr'!$D$27:$AH$266,'May'!$D$27:$AH$266,'Jun'!$D$27:$AH$266,'Jul'!$D$27:$AH$266,'Aug'!$D$27:$AH$266,'Sep'!$D$27:$AH$266,'Oct'!$D$27:$AH$266,'Nov'!$D$27:$AH$266,'Dec'!$D$27:$AH$266,'Jan (next year)'!$D$27:$AH$266),27+4*(IFERROR(MATCH(C383,Roster!$B$6:$B$65,0),MATCH(C383,Roster!$C$6:$C$65,0))-1)+MATCH(B383,{"AM","PM","NIGHT","WD"},0)-1-27+1,DAY(A383))&amp;"",""))</f>
        <v/>
      </c>
      <c r="G383" s="123">
        <f>IF(OR(A383="",C383="",B383="",E383=""),"",IFERROR(A383&amp;"|"&amp;(27+4*(IFERROR(MATCH(C383,Roster!$B$6:$B$65,0),MATCH(C383,Roster!$C$6:$C$65,0))-1)+MATCH(B383,{"AM","PM","NIGHT","WD"},0)-1),""))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$266,'Feb'!$D$27:$AH$266,'Mar'!$D$27:$AH$266,'Apr'!$D$27:$AH$266,'May'!$D$27:$AH$266,'Jun'!$D$27:$AH$266,'Jul'!$D$27:$AH$266,'Aug'!$D$27:$AH$266,'Sep'!$D$27:$AH$266,'Oct'!$D$27:$AH$266,'Nov'!$D$27:$AH$266,'Dec'!$D$27:$AH$266,'Jan (next year)'!$D$27:$AH$266),27+4*(IFERROR(MATCH(C384,Roster!$B$6:$B$65,0),MATCH(C384,Roster!$C$6:$C$65,0))-1)+MATCH(B384,{"AM","PM","NIGHT","WD"},0)-1-27+1,DAY(A384))&amp;"",""))</f>
        <v/>
      </c>
      <c r="G384" s="123">
        <f>IF(OR(A384="",C384="",B384="",E384=""),"",IFERROR(A384&amp;"|"&amp;(27+4*(IFERROR(MATCH(C384,Roster!$B$6:$B$65,0),MATCH(C384,Roster!$C$6:$C$65,0))-1)+MATCH(B384,{"AM","PM","NIGHT","WD"},0)-1),""))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$266,'Feb'!$D$27:$AH$266,'Mar'!$D$27:$AH$266,'Apr'!$D$27:$AH$266,'May'!$D$27:$AH$266,'Jun'!$D$27:$AH$266,'Jul'!$D$27:$AH$266,'Aug'!$D$27:$AH$266,'Sep'!$D$27:$AH$266,'Oct'!$D$27:$AH$266,'Nov'!$D$27:$AH$266,'Dec'!$D$27:$AH$266,'Jan (next year)'!$D$27:$AH$266),27+4*(IFERROR(MATCH(C385,Roster!$B$6:$B$65,0),MATCH(C385,Roster!$C$6:$C$65,0))-1)+MATCH(B385,{"AM","PM","NIGHT","WD"},0)-1-27+1,DAY(A385))&amp;"",""))</f>
        <v/>
      </c>
      <c r="G385" s="123">
        <f>IF(OR(A385="",C385="",B385="",E385=""),"",IFERROR(A385&amp;"|"&amp;(27+4*(IFERROR(MATCH(C385,Roster!$B$6:$B$65,0),MATCH(C385,Roster!$C$6:$C$65,0))-1)+MATCH(B385,{"AM","PM","NIGHT","WD"},0)-1),""))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$266,'Feb'!$D$27:$AH$266,'Mar'!$D$27:$AH$266,'Apr'!$D$27:$AH$266,'May'!$D$27:$AH$266,'Jun'!$D$27:$AH$266,'Jul'!$D$27:$AH$266,'Aug'!$D$27:$AH$266,'Sep'!$D$27:$AH$266,'Oct'!$D$27:$AH$266,'Nov'!$D$27:$AH$266,'Dec'!$D$27:$AH$266,'Jan (next year)'!$D$27:$AH$266),27+4*(IFERROR(MATCH(C386,Roster!$B$6:$B$65,0),MATCH(C386,Roster!$C$6:$C$65,0))-1)+MATCH(B386,{"AM","PM","NIGHT","WD"},0)-1-27+1,DAY(A386))&amp;"",""))</f>
        <v/>
      </c>
      <c r="G386" s="123">
        <f>IF(OR(A386="",C386="",B386="",E386=""),"",IFERROR(A386&amp;"|"&amp;(27+4*(IFERROR(MATCH(C386,Roster!$B$6:$B$65,0),MATCH(C386,Roster!$C$6:$C$65,0))-1)+MATCH(B386,{"AM","PM","NIGHT","WD"},0)-1),""))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$266,'Feb'!$D$27:$AH$266,'Mar'!$D$27:$AH$266,'Apr'!$D$27:$AH$266,'May'!$D$27:$AH$266,'Jun'!$D$27:$AH$266,'Jul'!$D$27:$AH$266,'Aug'!$D$27:$AH$266,'Sep'!$D$27:$AH$266,'Oct'!$D$27:$AH$266,'Nov'!$D$27:$AH$266,'Dec'!$D$27:$AH$266,'Jan (next year)'!$D$27:$AH$266),27+4*(IFERROR(MATCH(C387,Roster!$B$6:$B$65,0),MATCH(C387,Roster!$C$6:$C$65,0))-1)+MATCH(B387,{"AM","PM","NIGHT","WD"},0)-1-27+1,DAY(A387))&amp;"",""))</f>
        <v/>
      </c>
      <c r="G387" s="123">
        <f>IF(OR(A387="",C387="",B387="",E387=""),"",IFERROR(A387&amp;"|"&amp;(27+4*(IFERROR(MATCH(C387,Roster!$B$6:$B$65,0),MATCH(C387,Roster!$C$6:$C$65,0))-1)+MATCH(B387,{"AM","PM","NIGHT","WD"},0)-1),""))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$266,'Feb'!$D$27:$AH$266,'Mar'!$D$27:$AH$266,'Apr'!$D$27:$AH$266,'May'!$D$27:$AH$266,'Jun'!$D$27:$AH$266,'Jul'!$D$27:$AH$266,'Aug'!$D$27:$AH$266,'Sep'!$D$27:$AH$266,'Oct'!$D$27:$AH$266,'Nov'!$D$27:$AH$266,'Dec'!$D$27:$AH$266,'Jan (next year)'!$D$27:$AH$266),27+4*(IFERROR(MATCH(C388,Roster!$B$6:$B$65,0),MATCH(C388,Roster!$C$6:$C$65,0))-1)+MATCH(B388,{"AM","PM","NIGHT","WD"},0)-1-27+1,DAY(A388))&amp;"",""))</f>
        <v/>
      </c>
      <c r="G388" s="123">
        <f>IF(OR(A388="",C388="",B388="",E388=""),"",IFERROR(A388&amp;"|"&amp;(27+4*(IFERROR(MATCH(C388,Roster!$B$6:$B$65,0),MATCH(C388,Roster!$C$6:$C$65,0))-1)+MATCH(B388,{"AM","PM","NIGHT","WD"},0)-1),""))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$266,'Feb'!$D$27:$AH$266,'Mar'!$D$27:$AH$266,'Apr'!$D$27:$AH$266,'May'!$D$27:$AH$266,'Jun'!$D$27:$AH$266,'Jul'!$D$27:$AH$266,'Aug'!$D$27:$AH$266,'Sep'!$D$27:$AH$266,'Oct'!$D$27:$AH$266,'Nov'!$D$27:$AH$266,'Dec'!$D$27:$AH$266,'Jan (next year)'!$D$27:$AH$266),27+4*(IFERROR(MATCH(C389,Roster!$B$6:$B$65,0),MATCH(C389,Roster!$C$6:$C$65,0))-1)+MATCH(B389,{"AM","PM","NIGHT","WD"},0)-1-27+1,DAY(A389))&amp;"",""))</f>
        <v/>
      </c>
      <c r="G389" s="123">
        <f>IF(OR(A389="",C389="",B389="",E389=""),"",IFERROR(A389&amp;"|"&amp;(27+4*(IFERROR(MATCH(C389,Roster!$B$6:$B$65,0),MATCH(C389,Roster!$C$6:$C$65,0))-1)+MATCH(B389,{"AM","PM","NIGHT","WD"},0)-1),""))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$266,'Feb'!$D$27:$AH$266,'Mar'!$D$27:$AH$266,'Apr'!$D$27:$AH$266,'May'!$D$27:$AH$266,'Jun'!$D$27:$AH$266,'Jul'!$D$27:$AH$266,'Aug'!$D$27:$AH$266,'Sep'!$D$27:$AH$266,'Oct'!$D$27:$AH$266,'Nov'!$D$27:$AH$266,'Dec'!$D$27:$AH$266,'Jan (next year)'!$D$27:$AH$266),27+4*(IFERROR(MATCH(C390,Roster!$B$6:$B$65,0),MATCH(C390,Roster!$C$6:$C$65,0))-1)+MATCH(B390,{"AM","PM","NIGHT","WD"},0)-1-27+1,DAY(A390))&amp;"",""))</f>
        <v/>
      </c>
      <c r="G390" s="123">
        <f>IF(OR(A390="",C390="",B390="",E390=""),"",IFERROR(A390&amp;"|"&amp;(27+4*(IFERROR(MATCH(C390,Roster!$B$6:$B$65,0),MATCH(C390,Roster!$C$6:$C$65,0))-1)+MATCH(B390,{"AM","PM","NIGHT","WD"},0)-1),""))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$266,'Feb'!$D$27:$AH$266,'Mar'!$D$27:$AH$266,'Apr'!$D$27:$AH$266,'May'!$D$27:$AH$266,'Jun'!$D$27:$AH$266,'Jul'!$D$27:$AH$266,'Aug'!$D$27:$AH$266,'Sep'!$D$27:$AH$266,'Oct'!$D$27:$AH$266,'Nov'!$D$27:$AH$266,'Dec'!$D$27:$AH$266,'Jan (next year)'!$D$27:$AH$266),27+4*(IFERROR(MATCH(C391,Roster!$B$6:$B$65,0),MATCH(C391,Roster!$C$6:$C$65,0))-1)+MATCH(B391,{"AM","PM","NIGHT","WD"},0)-1-27+1,DAY(A391))&amp;"",""))</f>
        <v/>
      </c>
      <c r="G391" s="123">
        <f>IF(OR(A391="",C391="",B391="",E391=""),"",IFERROR(A391&amp;"|"&amp;(27+4*(IFERROR(MATCH(C391,Roster!$B$6:$B$65,0),MATCH(C391,Roster!$C$6:$C$65,0))-1)+MATCH(B391,{"AM","PM","NIGHT","WD"},0)-1),""))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$266,'Feb'!$D$27:$AH$266,'Mar'!$D$27:$AH$266,'Apr'!$D$27:$AH$266,'May'!$D$27:$AH$266,'Jun'!$D$27:$AH$266,'Jul'!$D$27:$AH$266,'Aug'!$D$27:$AH$266,'Sep'!$D$27:$AH$266,'Oct'!$D$27:$AH$266,'Nov'!$D$27:$AH$266,'Dec'!$D$27:$AH$266,'Jan (next year)'!$D$27:$AH$266),27+4*(IFERROR(MATCH(C392,Roster!$B$6:$B$65,0),MATCH(C392,Roster!$C$6:$C$65,0))-1)+MATCH(B392,{"AM","PM","NIGHT","WD"},0)-1-27+1,DAY(A392))&amp;"",""))</f>
        <v/>
      </c>
      <c r="G392" s="123">
        <f>IF(OR(A392="",C392="",B392="",E392=""),"",IFERROR(A392&amp;"|"&amp;(27+4*(IFERROR(MATCH(C392,Roster!$B$6:$B$65,0),MATCH(C392,Roster!$C$6:$C$65,0))-1)+MATCH(B392,{"AM","PM","NIGHT","WD"},0)-1),""))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$266,'Feb'!$D$27:$AH$266,'Mar'!$D$27:$AH$266,'Apr'!$D$27:$AH$266,'May'!$D$27:$AH$266,'Jun'!$D$27:$AH$266,'Jul'!$D$27:$AH$266,'Aug'!$D$27:$AH$266,'Sep'!$D$27:$AH$266,'Oct'!$D$27:$AH$266,'Nov'!$D$27:$AH$266,'Dec'!$D$27:$AH$266,'Jan (next year)'!$D$27:$AH$266),27+4*(IFERROR(MATCH(C393,Roster!$B$6:$B$65,0),MATCH(C393,Roster!$C$6:$C$65,0))-1)+MATCH(B393,{"AM","PM","NIGHT","WD"},0)-1-27+1,DAY(A393))&amp;"",""))</f>
        <v/>
      </c>
      <c r="G393" s="123">
        <f>IF(OR(A393="",C393="",B393="",E393=""),"",IFERROR(A393&amp;"|"&amp;(27+4*(IFERROR(MATCH(C393,Roster!$B$6:$B$65,0),MATCH(C393,Roster!$C$6:$C$65,0))-1)+MATCH(B393,{"AM","PM","NIGHT","WD"},0)-1),""))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$266,'Feb'!$D$27:$AH$266,'Mar'!$D$27:$AH$266,'Apr'!$D$27:$AH$266,'May'!$D$27:$AH$266,'Jun'!$D$27:$AH$266,'Jul'!$D$27:$AH$266,'Aug'!$D$27:$AH$266,'Sep'!$D$27:$AH$266,'Oct'!$D$27:$AH$266,'Nov'!$D$27:$AH$266,'Dec'!$D$27:$AH$266,'Jan (next year)'!$D$27:$AH$266),27+4*(IFERROR(MATCH(C394,Roster!$B$6:$B$65,0),MATCH(C394,Roster!$C$6:$C$65,0))-1)+MATCH(B394,{"AM","PM","NIGHT","WD"},0)-1-27+1,DAY(A394))&amp;"",""))</f>
        <v/>
      </c>
      <c r="G394" s="123">
        <f>IF(OR(A394="",C394="",B394="",E394=""),"",IFERROR(A394&amp;"|"&amp;(27+4*(IFERROR(MATCH(C394,Roster!$B$6:$B$65,0),MATCH(C394,Roster!$C$6:$C$65,0))-1)+MATCH(B394,{"AM","PM","NIGHT","WD"},0)-1),""))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$266,'Feb'!$D$27:$AH$266,'Mar'!$D$27:$AH$266,'Apr'!$D$27:$AH$266,'May'!$D$27:$AH$266,'Jun'!$D$27:$AH$266,'Jul'!$D$27:$AH$266,'Aug'!$D$27:$AH$266,'Sep'!$D$27:$AH$266,'Oct'!$D$27:$AH$266,'Nov'!$D$27:$AH$266,'Dec'!$D$27:$AH$266,'Jan (next year)'!$D$27:$AH$266),27+4*(IFERROR(MATCH(C395,Roster!$B$6:$B$65,0),MATCH(C395,Roster!$C$6:$C$65,0))-1)+MATCH(B395,{"AM","PM","NIGHT","WD"},0)-1-27+1,DAY(A395))&amp;"",""))</f>
        <v/>
      </c>
      <c r="G395" s="123">
        <f>IF(OR(A395="",C395="",B395="",E395=""),"",IFERROR(A395&amp;"|"&amp;(27+4*(IFERROR(MATCH(C395,Roster!$B$6:$B$65,0),MATCH(C395,Roster!$C$6:$C$65,0))-1)+MATCH(B395,{"AM","PM","NIGHT","WD"},0)-1),""))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$266,'Feb'!$D$27:$AH$266,'Mar'!$D$27:$AH$266,'Apr'!$D$27:$AH$266,'May'!$D$27:$AH$266,'Jun'!$D$27:$AH$266,'Jul'!$D$27:$AH$266,'Aug'!$D$27:$AH$266,'Sep'!$D$27:$AH$266,'Oct'!$D$27:$AH$266,'Nov'!$D$27:$AH$266,'Dec'!$D$27:$AH$266,'Jan (next year)'!$D$27:$AH$266),27+4*(IFERROR(MATCH(C396,Roster!$B$6:$B$65,0),MATCH(C396,Roster!$C$6:$C$65,0))-1)+MATCH(B396,{"AM","PM","NIGHT","WD"},0)-1-27+1,DAY(A396))&amp;"",""))</f>
        <v/>
      </c>
      <c r="G396" s="123">
        <f>IF(OR(A396="",C396="",B396="",E396=""),"",IFERROR(A396&amp;"|"&amp;(27+4*(IFERROR(MATCH(C396,Roster!$B$6:$B$65,0),MATCH(C396,Roster!$C$6:$C$65,0))-1)+MATCH(B396,{"AM","PM","NIGHT","WD"},0)-1),""))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$266,'Feb'!$D$27:$AH$266,'Mar'!$D$27:$AH$266,'Apr'!$D$27:$AH$266,'May'!$D$27:$AH$266,'Jun'!$D$27:$AH$266,'Jul'!$D$27:$AH$266,'Aug'!$D$27:$AH$266,'Sep'!$D$27:$AH$266,'Oct'!$D$27:$AH$266,'Nov'!$D$27:$AH$266,'Dec'!$D$27:$AH$266,'Jan (next year)'!$D$27:$AH$266),27+4*(IFERROR(MATCH(C397,Roster!$B$6:$B$65,0),MATCH(C397,Roster!$C$6:$C$65,0))-1)+MATCH(B397,{"AM","PM","NIGHT","WD"},0)-1-27+1,DAY(A397))&amp;"",""))</f>
        <v/>
      </c>
      <c r="G397" s="123">
        <f>IF(OR(A397="",C397="",B397="",E397=""),"",IFERROR(A397&amp;"|"&amp;(27+4*(IFERROR(MATCH(C397,Roster!$B$6:$B$65,0),MATCH(C397,Roster!$C$6:$C$65,0))-1)+MATCH(B397,{"AM","PM","NIGHT","WD"},0)-1),""))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$266,'Feb'!$D$27:$AH$266,'Mar'!$D$27:$AH$266,'Apr'!$D$27:$AH$266,'May'!$D$27:$AH$266,'Jun'!$D$27:$AH$266,'Jul'!$D$27:$AH$266,'Aug'!$D$27:$AH$266,'Sep'!$D$27:$AH$266,'Oct'!$D$27:$AH$266,'Nov'!$D$27:$AH$266,'Dec'!$D$27:$AH$266,'Jan (next year)'!$D$27:$AH$266),27+4*(IFERROR(MATCH(C398,Roster!$B$6:$B$65,0),MATCH(C398,Roster!$C$6:$C$65,0))-1)+MATCH(B398,{"AM","PM","NIGHT","WD"},0)-1-27+1,DAY(A398))&amp;"",""))</f>
        <v/>
      </c>
      <c r="G398" s="123">
        <f>IF(OR(A398="",C398="",B398="",E398=""),"",IFERROR(A398&amp;"|"&amp;(27+4*(IFERROR(MATCH(C398,Roster!$B$6:$B$65,0),MATCH(C398,Roster!$C$6:$C$65,0))-1)+MATCH(B398,{"AM","PM","NIGHT","WD"},0)-1),""))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$266,'Feb'!$D$27:$AH$266,'Mar'!$D$27:$AH$266,'Apr'!$D$27:$AH$266,'May'!$D$27:$AH$266,'Jun'!$D$27:$AH$266,'Jul'!$D$27:$AH$266,'Aug'!$D$27:$AH$266,'Sep'!$D$27:$AH$266,'Oct'!$D$27:$AH$266,'Nov'!$D$27:$AH$266,'Dec'!$D$27:$AH$266,'Jan (next year)'!$D$27:$AH$266),27+4*(IFERROR(MATCH(C399,Roster!$B$6:$B$65,0),MATCH(C399,Roster!$C$6:$C$65,0))-1)+MATCH(B399,{"AM","PM","NIGHT","WD"},0)-1-27+1,DAY(A399))&amp;"",""))</f>
        <v/>
      </c>
      <c r="G399" s="123">
        <f>IF(OR(A399="",C399="",B399="",E399=""),"",IFERROR(A399&amp;"|"&amp;(27+4*(IFERROR(MATCH(C399,Roster!$B$6:$B$65,0),MATCH(C399,Roster!$C$6:$C$65,0))-1)+MATCH(B399,{"AM","PM","NIGHT","WD"},0)-1),""))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$266,'Feb'!$D$27:$AH$266,'Mar'!$D$27:$AH$266,'Apr'!$D$27:$AH$266,'May'!$D$27:$AH$266,'Jun'!$D$27:$AH$266,'Jul'!$D$27:$AH$266,'Aug'!$D$27:$AH$266,'Sep'!$D$27:$AH$266,'Oct'!$D$27:$AH$266,'Nov'!$D$27:$AH$266,'Dec'!$D$27:$AH$266,'Jan (next year)'!$D$27:$AH$266),27+4*(IFERROR(MATCH(C400,Roster!$B$6:$B$65,0),MATCH(C400,Roster!$C$6:$C$65,0))-1)+MATCH(B400,{"AM","PM","NIGHT","WD"},0)-1-27+1,DAY(A400))&amp;"",""))</f>
        <v/>
      </c>
      <c r="G400" s="123">
        <f>IF(OR(A400="",C400="",B400="",E400=""),"",IFERROR(A400&amp;"|"&amp;(27+4*(IFERROR(MATCH(C400,Roster!$B$6:$B$65,0),MATCH(C400,Roster!$C$6:$C$65,0))-1)+MATCH(B400,{"AM","PM","NIGHT","WD"},0)-1),""))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$266,'Feb'!$D$27:$AH$266,'Mar'!$D$27:$AH$266,'Apr'!$D$27:$AH$266,'May'!$D$27:$AH$266,'Jun'!$D$27:$AH$266,'Jul'!$D$27:$AH$266,'Aug'!$D$27:$AH$266,'Sep'!$D$27:$AH$266,'Oct'!$D$27:$AH$266,'Nov'!$D$27:$AH$266,'Dec'!$D$27:$AH$266,'Jan (next year)'!$D$27:$AH$266),27+4*(IFERROR(MATCH(C401,Roster!$B$6:$B$65,0),MATCH(C401,Roster!$C$6:$C$65,0))-1)+MATCH(B401,{"AM","PM","NIGHT","WD"},0)-1-27+1,DAY(A401))&amp;"",""))</f>
        <v/>
      </c>
      <c r="G401" s="123">
        <f>IF(OR(A401="",C401="",B401="",E401=""),"",IFERROR(A401&amp;"|"&amp;(27+4*(IFERROR(MATCH(C401,Roster!$B$6:$B$65,0),MATCH(C401,Roster!$C$6:$C$65,0))-1)+MATCH(B401,{"AM","PM","NIGHT","WD"},0)-1),""))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$266,'Feb'!$D$27:$AH$266,'Mar'!$D$27:$AH$266,'Apr'!$D$27:$AH$266,'May'!$D$27:$AH$266,'Jun'!$D$27:$AH$266,'Jul'!$D$27:$AH$266,'Aug'!$D$27:$AH$266,'Sep'!$D$27:$AH$266,'Oct'!$D$27:$AH$266,'Nov'!$D$27:$AH$266,'Dec'!$D$27:$AH$266,'Jan (next year)'!$D$27:$AH$266),27+4*(IFERROR(MATCH(C402,Roster!$B$6:$B$65,0),MATCH(C402,Roster!$C$6:$C$65,0))-1)+MATCH(B402,{"AM","PM","NIGHT","WD"},0)-1-27+1,DAY(A402))&amp;"",""))</f>
        <v/>
      </c>
      <c r="G402" s="123">
        <f>IF(OR(A402="",C402="",B402="",E402=""),"",IFERROR(A402&amp;"|"&amp;(27+4*(IFERROR(MATCH(C402,Roster!$B$6:$B$65,0),MATCH(C402,Roster!$C$6:$C$65,0))-1)+MATCH(B402,{"AM","PM","NIGHT","WD"},0)-1),""))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$266,'Feb'!$D$27:$AH$266,'Mar'!$D$27:$AH$266,'Apr'!$D$27:$AH$266,'May'!$D$27:$AH$266,'Jun'!$D$27:$AH$266,'Jul'!$D$27:$AH$266,'Aug'!$D$27:$AH$266,'Sep'!$D$27:$AH$266,'Oct'!$D$27:$AH$266,'Nov'!$D$27:$AH$266,'Dec'!$D$27:$AH$266,'Jan (next year)'!$D$27:$AH$266),27+4*(IFERROR(MATCH(C403,Roster!$B$6:$B$65,0),MATCH(C403,Roster!$C$6:$C$65,0))-1)+MATCH(B403,{"AM","PM","NIGHT","WD"},0)-1-27+1,DAY(A403))&amp;"",""))</f>
        <v/>
      </c>
      <c r="G403" s="123">
        <f>IF(OR(A403="",C403="",B403="",E403=""),"",IFERROR(A403&amp;"|"&amp;(27+4*(IFERROR(MATCH(C403,Roster!$B$6:$B$65,0),MATCH(C403,Roster!$C$6:$C$65,0))-1)+MATCH(B403,{"AM","PM","NIGHT","WD"},0)-1),""))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$266,'Feb'!$D$27:$AH$266,'Mar'!$D$27:$AH$266,'Apr'!$D$27:$AH$266,'May'!$D$27:$AH$266,'Jun'!$D$27:$AH$266,'Jul'!$D$27:$AH$266,'Aug'!$D$27:$AH$266,'Sep'!$D$27:$AH$266,'Oct'!$D$27:$AH$266,'Nov'!$D$27:$AH$266,'Dec'!$D$27:$AH$266,'Jan (next year)'!$D$27:$AH$266),27+4*(IFERROR(MATCH(C404,Roster!$B$6:$B$65,0),MATCH(C404,Roster!$C$6:$C$65,0))-1)+MATCH(B404,{"AM","PM","NIGHT","WD"},0)-1-27+1,DAY(A404))&amp;"",""))</f>
        <v/>
      </c>
      <c r="G404" s="123">
        <f>IF(OR(A404="",C404="",B404="",E404=""),"",IFERROR(A404&amp;"|"&amp;(27+4*(IFERROR(MATCH(C404,Roster!$B$6:$B$65,0),MATCH(C404,Roster!$C$6:$C$65,0))-1)+MATCH(B404,{"AM","PM","NIGHT","WD"},0)-1),""))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$266,'Feb'!$D$27:$AH$266,'Mar'!$D$27:$AH$266,'Apr'!$D$27:$AH$266,'May'!$D$27:$AH$266,'Jun'!$D$27:$AH$266,'Jul'!$D$27:$AH$266,'Aug'!$D$27:$AH$266,'Sep'!$D$27:$AH$266,'Oct'!$D$27:$AH$266,'Nov'!$D$27:$AH$266,'Dec'!$D$27:$AH$266,'Jan (next year)'!$D$27:$AH$266),27+4*(IFERROR(MATCH(C405,Roster!$B$6:$B$65,0),MATCH(C405,Roster!$C$6:$C$65,0))-1)+MATCH(B405,{"AM","PM","NIGHT","WD"},0)-1-27+1,DAY(A405))&amp;"",""))</f>
        <v/>
      </c>
      <c r="G405" s="123">
        <f>IF(OR(A405="",C405="",B405="",E405=""),"",IFERROR(A405&amp;"|"&amp;(27+4*(IFERROR(MATCH(C405,Roster!$B$6:$B$65,0),MATCH(C405,Roster!$C$6:$C$65,0))-1)+MATCH(B405,{"AM","PM","NIGHT","WD"},0)-1),""))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$266,'Feb'!$D$27:$AH$266,'Mar'!$D$27:$AH$266,'Apr'!$D$27:$AH$266,'May'!$D$27:$AH$266,'Jun'!$D$27:$AH$266,'Jul'!$D$27:$AH$266,'Aug'!$D$27:$AH$266,'Sep'!$D$27:$AH$266,'Oct'!$D$27:$AH$266,'Nov'!$D$27:$AH$266,'Dec'!$D$27:$AH$266,'Jan (next year)'!$D$27:$AH$266),27+4*(IFERROR(MATCH(C406,Roster!$B$6:$B$65,0),MATCH(C406,Roster!$C$6:$C$65,0))-1)+MATCH(B406,{"AM","PM","NIGHT","WD"},0)-1-27+1,DAY(A406))&amp;"",""))</f>
        <v/>
      </c>
      <c r="G406" s="123">
        <f>IF(OR(A406="",C406="",B406="",E406=""),"",IFERROR(A406&amp;"|"&amp;(27+4*(IFERROR(MATCH(C406,Roster!$B$6:$B$65,0),MATCH(C406,Roster!$C$6:$C$65,0))-1)+MATCH(B406,{"AM","PM","NIGHT","WD"},0)-1),""))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$266,'Feb'!$D$27:$AH$266,'Mar'!$D$27:$AH$266,'Apr'!$D$27:$AH$266,'May'!$D$27:$AH$266,'Jun'!$D$27:$AH$266,'Jul'!$D$27:$AH$266,'Aug'!$D$27:$AH$266,'Sep'!$D$27:$AH$266,'Oct'!$D$27:$AH$266,'Nov'!$D$27:$AH$266,'Dec'!$D$27:$AH$266,'Jan (next year)'!$D$27:$AH$266),27+4*(IFERROR(MATCH(C407,Roster!$B$6:$B$65,0),MATCH(C407,Roster!$C$6:$C$65,0))-1)+MATCH(B407,{"AM","PM","NIGHT","WD"},0)-1-27+1,DAY(A407))&amp;"",""))</f>
        <v/>
      </c>
      <c r="G407" s="123">
        <f>IF(OR(A407="",C407="",B407="",E407=""),"",IFERROR(A407&amp;"|"&amp;(27+4*(IFERROR(MATCH(C407,Roster!$B$6:$B$65,0),MATCH(C407,Roster!$C$6:$C$65,0))-1)+MATCH(B407,{"AM","PM","NIGHT","WD"},0)-1),""))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$266,'Feb'!$D$27:$AH$266,'Mar'!$D$27:$AH$266,'Apr'!$D$27:$AH$266,'May'!$D$27:$AH$266,'Jun'!$D$27:$AH$266,'Jul'!$D$27:$AH$266,'Aug'!$D$27:$AH$266,'Sep'!$D$27:$AH$266,'Oct'!$D$27:$AH$266,'Nov'!$D$27:$AH$266,'Dec'!$D$27:$AH$266,'Jan (next year)'!$D$27:$AH$266),27+4*(IFERROR(MATCH(C408,Roster!$B$6:$B$65,0),MATCH(C408,Roster!$C$6:$C$65,0))-1)+MATCH(B408,{"AM","PM","NIGHT","WD"},0)-1-27+1,DAY(A408))&amp;"",""))</f>
        <v/>
      </c>
      <c r="G408" s="123">
        <f>IF(OR(A408="",C408="",B408="",E408=""),"",IFERROR(A408&amp;"|"&amp;(27+4*(IFERROR(MATCH(C408,Roster!$B$6:$B$65,0),MATCH(C408,Roster!$C$6:$C$65,0))-1)+MATCH(B408,{"AM","PM","NIGHT","WD"},0)-1),""))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$266,'Feb'!$D$27:$AH$266,'Mar'!$D$27:$AH$266,'Apr'!$D$27:$AH$266,'May'!$D$27:$AH$266,'Jun'!$D$27:$AH$266,'Jul'!$D$27:$AH$266,'Aug'!$D$27:$AH$266,'Sep'!$D$27:$AH$266,'Oct'!$D$27:$AH$266,'Nov'!$D$27:$AH$266,'Dec'!$D$27:$AH$266,'Jan (next year)'!$D$27:$AH$266),27+4*(IFERROR(MATCH(C409,Roster!$B$6:$B$65,0),MATCH(C409,Roster!$C$6:$C$65,0))-1)+MATCH(B409,{"AM","PM","NIGHT","WD"},0)-1-27+1,DAY(A409))&amp;"",""))</f>
        <v/>
      </c>
      <c r="G409" s="123">
        <f>IF(OR(A409="",C409="",B409="",E409=""),"",IFERROR(A409&amp;"|"&amp;(27+4*(IFERROR(MATCH(C409,Roster!$B$6:$B$65,0),MATCH(C409,Roster!$C$6:$C$65,0))-1)+MATCH(B409,{"AM","PM","NIGHT","WD"},0)-1),""))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$266,'Feb'!$D$27:$AH$266,'Mar'!$D$27:$AH$266,'Apr'!$D$27:$AH$266,'May'!$D$27:$AH$266,'Jun'!$D$27:$AH$266,'Jul'!$D$27:$AH$266,'Aug'!$D$27:$AH$266,'Sep'!$D$27:$AH$266,'Oct'!$D$27:$AH$266,'Nov'!$D$27:$AH$266,'Dec'!$D$27:$AH$266,'Jan (next year)'!$D$27:$AH$266),27+4*(IFERROR(MATCH(C410,Roster!$B$6:$B$65,0),MATCH(C410,Roster!$C$6:$C$65,0))-1)+MATCH(B410,{"AM","PM","NIGHT","WD"},0)-1-27+1,DAY(A410))&amp;"",""))</f>
        <v/>
      </c>
      <c r="G410" s="123">
        <f>IF(OR(A410="",C410="",B410="",E410=""),"",IFERROR(A410&amp;"|"&amp;(27+4*(IFERROR(MATCH(C410,Roster!$B$6:$B$65,0),MATCH(C410,Roster!$C$6:$C$65,0))-1)+MATCH(B410,{"AM","PM","NIGHT","WD"},0)-1),""))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$266,'Feb'!$D$27:$AH$266,'Mar'!$D$27:$AH$266,'Apr'!$D$27:$AH$266,'May'!$D$27:$AH$266,'Jun'!$D$27:$AH$266,'Jul'!$D$27:$AH$266,'Aug'!$D$27:$AH$266,'Sep'!$D$27:$AH$266,'Oct'!$D$27:$AH$266,'Nov'!$D$27:$AH$266,'Dec'!$D$27:$AH$266,'Jan (next year)'!$D$27:$AH$266),27+4*(IFERROR(MATCH(C411,Roster!$B$6:$B$65,0),MATCH(C411,Roster!$C$6:$C$65,0))-1)+MATCH(B411,{"AM","PM","NIGHT","WD"},0)-1-27+1,DAY(A411))&amp;"",""))</f>
        <v/>
      </c>
      <c r="G411" s="123">
        <f>IF(OR(A411="",C411="",B411="",E411=""),"",IFERROR(A411&amp;"|"&amp;(27+4*(IFERROR(MATCH(C411,Roster!$B$6:$B$65,0),MATCH(C411,Roster!$C$6:$C$65,0))-1)+MATCH(B411,{"AM","PM","NIGHT","WD"},0)-1),""))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$266,'Feb'!$D$27:$AH$266,'Mar'!$D$27:$AH$266,'Apr'!$D$27:$AH$266,'May'!$D$27:$AH$266,'Jun'!$D$27:$AH$266,'Jul'!$D$27:$AH$266,'Aug'!$D$27:$AH$266,'Sep'!$D$27:$AH$266,'Oct'!$D$27:$AH$266,'Nov'!$D$27:$AH$266,'Dec'!$D$27:$AH$266,'Jan (next year)'!$D$27:$AH$266),27+4*(IFERROR(MATCH(C412,Roster!$B$6:$B$65,0),MATCH(C412,Roster!$C$6:$C$65,0))-1)+MATCH(B412,{"AM","PM","NIGHT","WD"},0)-1-27+1,DAY(A412))&amp;"",""))</f>
        <v/>
      </c>
      <c r="G412" s="123">
        <f>IF(OR(A412="",C412="",B412="",E412=""),"",IFERROR(A412&amp;"|"&amp;(27+4*(IFERROR(MATCH(C412,Roster!$B$6:$B$65,0),MATCH(C412,Roster!$C$6:$C$65,0))-1)+MATCH(B412,{"AM","PM","NIGHT","WD"},0)-1),""))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$266,'Feb'!$D$27:$AH$266,'Mar'!$D$27:$AH$266,'Apr'!$D$27:$AH$266,'May'!$D$27:$AH$266,'Jun'!$D$27:$AH$266,'Jul'!$D$27:$AH$266,'Aug'!$D$27:$AH$266,'Sep'!$D$27:$AH$266,'Oct'!$D$27:$AH$266,'Nov'!$D$27:$AH$266,'Dec'!$D$27:$AH$266,'Jan (next year)'!$D$27:$AH$266),27+4*(IFERROR(MATCH(C413,Roster!$B$6:$B$65,0),MATCH(C413,Roster!$C$6:$C$65,0))-1)+MATCH(B413,{"AM","PM","NIGHT","WD"},0)-1-27+1,DAY(A413))&amp;"",""))</f>
        <v/>
      </c>
      <c r="G413" s="123">
        <f>IF(OR(A413="",C413="",B413="",E413=""),"",IFERROR(A413&amp;"|"&amp;(27+4*(IFERROR(MATCH(C413,Roster!$B$6:$B$65,0),MATCH(C413,Roster!$C$6:$C$65,0))-1)+MATCH(B413,{"AM","PM","NIGHT","WD"},0)-1),""))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$266,'Feb'!$D$27:$AH$266,'Mar'!$D$27:$AH$266,'Apr'!$D$27:$AH$266,'May'!$D$27:$AH$266,'Jun'!$D$27:$AH$266,'Jul'!$D$27:$AH$266,'Aug'!$D$27:$AH$266,'Sep'!$D$27:$AH$266,'Oct'!$D$27:$AH$266,'Nov'!$D$27:$AH$266,'Dec'!$D$27:$AH$266,'Jan (next year)'!$D$27:$AH$266),27+4*(IFERROR(MATCH(C414,Roster!$B$6:$B$65,0),MATCH(C414,Roster!$C$6:$C$65,0))-1)+MATCH(B414,{"AM","PM","NIGHT","WD"},0)-1-27+1,DAY(A414))&amp;"",""))</f>
        <v/>
      </c>
      <c r="G414" s="123">
        <f>IF(OR(A414="",C414="",B414="",E414=""),"",IFERROR(A414&amp;"|"&amp;(27+4*(IFERROR(MATCH(C414,Roster!$B$6:$B$65,0),MATCH(C414,Roster!$C$6:$C$65,0))-1)+MATCH(B414,{"AM","PM","NIGHT","WD"},0)-1),""))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$266,'Feb'!$D$27:$AH$266,'Mar'!$D$27:$AH$266,'Apr'!$D$27:$AH$266,'May'!$D$27:$AH$266,'Jun'!$D$27:$AH$266,'Jul'!$D$27:$AH$266,'Aug'!$D$27:$AH$266,'Sep'!$D$27:$AH$266,'Oct'!$D$27:$AH$266,'Nov'!$D$27:$AH$266,'Dec'!$D$27:$AH$266,'Jan (next year)'!$D$27:$AH$266),27+4*(IFERROR(MATCH(C415,Roster!$B$6:$B$65,0),MATCH(C415,Roster!$C$6:$C$65,0))-1)+MATCH(B415,{"AM","PM","NIGHT","WD"},0)-1-27+1,DAY(A415))&amp;"",""))</f>
        <v/>
      </c>
      <c r="G415" s="123">
        <f>IF(OR(A415="",C415="",B415="",E415=""),"",IFERROR(A415&amp;"|"&amp;(27+4*(IFERROR(MATCH(C415,Roster!$B$6:$B$65,0),MATCH(C415,Roster!$C$6:$C$65,0))-1)+MATCH(B415,{"AM","PM","NIGHT","WD"},0)-1),""))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$266,'Feb'!$D$27:$AH$266,'Mar'!$D$27:$AH$266,'Apr'!$D$27:$AH$266,'May'!$D$27:$AH$266,'Jun'!$D$27:$AH$266,'Jul'!$D$27:$AH$266,'Aug'!$D$27:$AH$266,'Sep'!$D$27:$AH$266,'Oct'!$D$27:$AH$266,'Nov'!$D$27:$AH$266,'Dec'!$D$27:$AH$266,'Jan (next year)'!$D$27:$AH$266),27+4*(IFERROR(MATCH(C416,Roster!$B$6:$B$65,0),MATCH(C416,Roster!$C$6:$C$65,0))-1)+MATCH(B416,{"AM","PM","NIGHT","WD"},0)-1-27+1,DAY(A416))&amp;"",""))</f>
        <v/>
      </c>
      <c r="G416" s="123">
        <f>IF(OR(A416="",C416="",B416="",E416=""),"",IFERROR(A416&amp;"|"&amp;(27+4*(IFERROR(MATCH(C416,Roster!$B$6:$B$65,0),MATCH(C416,Roster!$C$6:$C$65,0))-1)+MATCH(B416,{"AM","PM","NIGHT","WD"},0)-1),""))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$266,'Feb'!$D$27:$AH$266,'Mar'!$D$27:$AH$266,'Apr'!$D$27:$AH$266,'May'!$D$27:$AH$266,'Jun'!$D$27:$AH$266,'Jul'!$D$27:$AH$266,'Aug'!$D$27:$AH$266,'Sep'!$D$27:$AH$266,'Oct'!$D$27:$AH$266,'Nov'!$D$27:$AH$266,'Dec'!$D$27:$AH$266,'Jan (next year)'!$D$27:$AH$266),27+4*(IFERROR(MATCH(C417,Roster!$B$6:$B$65,0),MATCH(C417,Roster!$C$6:$C$65,0))-1)+MATCH(B417,{"AM","PM","NIGHT","WD"},0)-1-27+1,DAY(A417))&amp;"",""))</f>
        <v/>
      </c>
      <c r="G417" s="123">
        <f>IF(OR(A417="",C417="",B417="",E417=""),"",IFERROR(A417&amp;"|"&amp;(27+4*(IFERROR(MATCH(C417,Roster!$B$6:$B$65,0),MATCH(C417,Roster!$C$6:$C$65,0))-1)+MATCH(B417,{"AM","PM","NIGHT","WD"},0)-1),""))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$266,'Feb'!$D$27:$AH$266,'Mar'!$D$27:$AH$266,'Apr'!$D$27:$AH$266,'May'!$D$27:$AH$266,'Jun'!$D$27:$AH$266,'Jul'!$D$27:$AH$266,'Aug'!$D$27:$AH$266,'Sep'!$D$27:$AH$266,'Oct'!$D$27:$AH$266,'Nov'!$D$27:$AH$266,'Dec'!$D$27:$AH$266,'Jan (next year)'!$D$27:$AH$266),27+4*(IFERROR(MATCH(C418,Roster!$B$6:$B$65,0),MATCH(C418,Roster!$C$6:$C$65,0))-1)+MATCH(B418,{"AM","PM","NIGHT","WD"},0)-1-27+1,DAY(A418))&amp;"",""))</f>
        <v/>
      </c>
      <c r="G418" s="123">
        <f>IF(OR(A418="",C418="",B418="",E418=""),"",IFERROR(A418&amp;"|"&amp;(27+4*(IFERROR(MATCH(C418,Roster!$B$6:$B$65,0),MATCH(C418,Roster!$C$6:$C$65,0))-1)+MATCH(B418,{"AM","PM","NIGHT","WD"},0)-1),""))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$266,'Feb'!$D$27:$AH$266,'Mar'!$D$27:$AH$266,'Apr'!$D$27:$AH$266,'May'!$D$27:$AH$266,'Jun'!$D$27:$AH$266,'Jul'!$D$27:$AH$266,'Aug'!$D$27:$AH$266,'Sep'!$D$27:$AH$266,'Oct'!$D$27:$AH$266,'Nov'!$D$27:$AH$266,'Dec'!$D$27:$AH$266,'Jan (next year)'!$D$27:$AH$266),27+4*(IFERROR(MATCH(C419,Roster!$B$6:$B$65,0),MATCH(C419,Roster!$C$6:$C$65,0))-1)+MATCH(B419,{"AM","PM","NIGHT","WD"},0)-1-27+1,DAY(A419))&amp;"",""))</f>
        <v/>
      </c>
      <c r="G419" s="123">
        <f>IF(OR(A419="",C419="",B419="",E419=""),"",IFERROR(A419&amp;"|"&amp;(27+4*(IFERROR(MATCH(C419,Roster!$B$6:$B$65,0),MATCH(C419,Roster!$C$6:$C$65,0))-1)+MATCH(B419,{"AM","PM","NIGHT","WD"},0)-1),""))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$266,'Feb'!$D$27:$AH$266,'Mar'!$D$27:$AH$266,'Apr'!$D$27:$AH$266,'May'!$D$27:$AH$266,'Jun'!$D$27:$AH$266,'Jul'!$D$27:$AH$266,'Aug'!$D$27:$AH$266,'Sep'!$D$27:$AH$266,'Oct'!$D$27:$AH$266,'Nov'!$D$27:$AH$266,'Dec'!$D$27:$AH$266,'Jan (next year)'!$D$27:$AH$266),27+4*(IFERROR(MATCH(C420,Roster!$B$6:$B$65,0),MATCH(C420,Roster!$C$6:$C$65,0))-1)+MATCH(B420,{"AM","PM","NIGHT","WD"},0)-1-27+1,DAY(A420))&amp;"",""))</f>
        <v/>
      </c>
      <c r="G420" s="123">
        <f>IF(OR(A420="",C420="",B420="",E420=""),"",IFERROR(A420&amp;"|"&amp;(27+4*(IFERROR(MATCH(C420,Roster!$B$6:$B$65,0),MATCH(C420,Roster!$C$6:$C$65,0))-1)+MATCH(B420,{"AM","PM","NIGHT","WD"},0)-1),""))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$266,'Feb'!$D$27:$AH$266,'Mar'!$D$27:$AH$266,'Apr'!$D$27:$AH$266,'May'!$D$27:$AH$266,'Jun'!$D$27:$AH$266,'Jul'!$D$27:$AH$266,'Aug'!$D$27:$AH$266,'Sep'!$D$27:$AH$266,'Oct'!$D$27:$AH$266,'Nov'!$D$27:$AH$266,'Dec'!$D$27:$AH$266,'Jan (next year)'!$D$27:$AH$266),27+4*(IFERROR(MATCH(C421,Roster!$B$6:$B$65,0),MATCH(C421,Roster!$C$6:$C$65,0))-1)+MATCH(B421,{"AM","PM","NIGHT","WD"},0)-1-27+1,DAY(A421))&amp;"",""))</f>
        <v/>
      </c>
      <c r="G421" s="123">
        <f>IF(OR(A421="",C421="",B421="",E421=""),"",IFERROR(A421&amp;"|"&amp;(27+4*(IFERROR(MATCH(C421,Roster!$B$6:$B$65,0),MATCH(C421,Roster!$C$6:$C$65,0))-1)+MATCH(B421,{"AM","PM","NIGHT","WD"},0)-1),""))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$266,'Feb'!$D$27:$AH$266,'Mar'!$D$27:$AH$266,'Apr'!$D$27:$AH$266,'May'!$D$27:$AH$266,'Jun'!$D$27:$AH$266,'Jul'!$D$27:$AH$266,'Aug'!$D$27:$AH$266,'Sep'!$D$27:$AH$266,'Oct'!$D$27:$AH$266,'Nov'!$D$27:$AH$266,'Dec'!$D$27:$AH$266,'Jan (next year)'!$D$27:$AH$266),27+4*(IFERROR(MATCH(C422,Roster!$B$6:$B$65,0),MATCH(C422,Roster!$C$6:$C$65,0))-1)+MATCH(B422,{"AM","PM","NIGHT","WD"},0)-1-27+1,DAY(A422))&amp;"",""))</f>
        <v/>
      </c>
      <c r="G422" s="123">
        <f>IF(OR(A422="",C422="",B422="",E422=""),"",IFERROR(A422&amp;"|"&amp;(27+4*(IFERROR(MATCH(C422,Roster!$B$6:$B$65,0),MATCH(C422,Roster!$C$6:$C$65,0))-1)+MATCH(B422,{"AM","PM","NIGHT","WD"},0)-1),""))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$266,'Feb'!$D$27:$AH$266,'Mar'!$D$27:$AH$266,'Apr'!$D$27:$AH$266,'May'!$D$27:$AH$266,'Jun'!$D$27:$AH$266,'Jul'!$D$27:$AH$266,'Aug'!$D$27:$AH$266,'Sep'!$D$27:$AH$266,'Oct'!$D$27:$AH$266,'Nov'!$D$27:$AH$266,'Dec'!$D$27:$AH$266,'Jan (next year)'!$D$27:$AH$266),27+4*(IFERROR(MATCH(C423,Roster!$B$6:$B$65,0),MATCH(C423,Roster!$C$6:$C$65,0))-1)+MATCH(B423,{"AM","PM","NIGHT","WD"},0)-1-27+1,DAY(A423))&amp;"",""))</f>
        <v/>
      </c>
      <c r="G423" s="123">
        <f>IF(OR(A423="",C423="",B423="",E423=""),"",IFERROR(A423&amp;"|"&amp;(27+4*(IFERROR(MATCH(C423,Roster!$B$6:$B$65,0),MATCH(C423,Roster!$C$6:$C$65,0))-1)+MATCH(B423,{"AM","PM","NIGHT","WD"},0)-1),""))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$266,'Feb'!$D$27:$AH$266,'Mar'!$D$27:$AH$266,'Apr'!$D$27:$AH$266,'May'!$D$27:$AH$266,'Jun'!$D$27:$AH$266,'Jul'!$D$27:$AH$266,'Aug'!$D$27:$AH$266,'Sep'!$D$27:$AH$266,'Oct'!$D$27:$AH$266,'Nov'!$D$27:$AH$266,'Dec'!$D$27:$AH$266,'Jan (next year)'!$D$27:$AH$266),27+4*(IFERROR(MATCH(C424,Roster!$B$6:$B$65,0),MATCH(C424,Roster!$C$6:$C$65,0))-1)+MATCH(B424,{"AM","PM","NIGHT","WD"},0)-1-27+1,DAY(A424))&amp;"",""))</f>
        <v/>
      </c>
      <c r="G424" s="123">
        <f>IF(OR(A424="",C424="",B424="",E424=""),"",IFERROR(A424&amp;"|"&amp;(27+4*(IFERROR(MATCH(C424,Roster!$B$6:$B$65,0),MATCH(C424,Roster!$C$6:$C$65,0))-1)+MATCH(B424,{"AM","PM","NIGHT","WD"},0)-1),""))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$266,'Feb'!$D$27:$AH$266,'Mar'!$D$27:$AH$266,'Apr'!$D$27:$AH$266,'May'!$D$27:$AH$266,'Jun'!$D$27:$AH$266,'Jul'!$D$27:$AH$266,'Aug'!$D$27:$AH$266,'Sep'!$D$27:$AH$266,'Oct'!$D$27:$AH$266,'Nov'!$D$27:$AH$266,'Dec'!$D$27:$AH$266,'Jan (next year)'!$D$27:$AH$266),27+4*(IFERROR(MATCH(C425,Roster!$B$6:$B$65,0),MATCH(C425,Roster!$C$6:$C$65,0))-1)+MATCH(B425,{"AM","PM","NIGHT","WD"},0)-1-27+1,DAY(A425))&amp;"",""))</f>
        <v/>
      </c>
      <c r="G425" s="123">
        <f>IF(OR(A425="",C425="",B425="",E425=""),"",IFERROR(A425&amp;"|"&amp;(27+4*(IFERROR(MATCH(C425,Roster!$B$6:$B$65,0),MATCH(C425,Roster!$C$6:$C$65,0))-1)+MATCH(B425,{"AM","PM","NIGHT","WD"},0)-1),""))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$266,'Feb'!$D$27:$AH$266,'Mar'!$D$27:$AH$266,'Apr'!$D$27:$AH$266,'May'!$D$27:$AH$266,'Jun'!$D$27:$AH$266,'Jul'!$D$27:$AH$266,'Aug'!$D$27:$AH$266,'Sep'!$D$27:$AH$266,'Oct'!$D$27:$AH$266,'Nov'!$D$27:$AH$266,'Dec'!$D$27:$AH$266,'Jan (next year)'!$D$27:$AH$266),27+4*(IFERROR(MATCH(C426,Roster!$B$6:$B$65,0),MATCH(C426,Roster!$C$6:$C$65,0))-1)+MATCH(B426,{"AM","PM","NIGHT","WD"},0)-1-27+1,DAY(A426))&amp;"",""))</f>
        <v/>
      </c>
      <c r="G426" s="123">
        <f>IF(OR(A426="",C426="",B426="",E426=""),"",IFERROR(A426&amp;"|"&amp;(27+4*(IFERROR(MATCH(C426,Roster!$B$6:$B$65,0),MATCH(C426,Roster!$C$6:$C$65,0))-1)+MATCH(B426,{"AM","PM","NIGHT","WD"},0)-1),""))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$266,'Feb'!$D$27:$AH$266,'Mar'!$D$27:$AH$266,'Apr'!$D$27:$AH$266,'May'!$D$27:$AH$266,'Jun'!$D$27:$AH$266,'Jul'!$D$27:$AH$266,'Aug'!$D$27:$AH$266,'Sep'!$D$27:$AH$266,'Oct'!$D$27:$AH$266,'Nov'!$D$27:$AH$266,'Dec'!$D$27:$AH$266,'Jan (next year)'!$D$27:$AH$266),27+4*(IFERROR(MATCH(C427,Roster!$B$6:$B$65,0),MATCH(C427,Roster!$C$6:$C$65,0))-1)+MATCH(B427,{"AM","PM","NIGHT","WD"},0)-1-27+1,DAY(A427))&amp;"",""))</f>
        <v/>
      </c>
      <c r="G427" s="123">
        <f>IF(OR(A427="",C427="",B427="",E427=""),"",IFERROR(A427&amp;"|"&amp;(27+4*(IFERROR(MATCH(C427,Roster!$B$6:$B$65,0),MATCH(C427,Roster!$C$6:$C$65,0))-1)+MATCH(B427,{"AM","PM","NIGHT","WD"},0)-1),""))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$266,'Feb'!$D$27:$AH$266,'Mar'!$D$27:$AH$266,'Apr'!$D$27:$AH$266,'May'!$D$27:$AH$266,'Jun'!$D$27:$AH$266,'Jul'!$D$27:$AH$266,'Aug'!$D$27:$AH$266,'Sep'!$D$27:$AH$266,'Oct'!$D$27:$AH$266,'Nov'!$D$27:$AH$266,'Dec'!$D$27:$AH$266,'Jan (next year)'!$D$27:$AH$266),27+4*(IFERROR(MATCH(C428,Roster!$B$6:$B$65,0),MATCH(C428,Roster!$C$6:$C$65,0))-1)+MATCH(B428,{"AM","PM","NIGHT","WD"},0)-1-27+1,DAY(A428))&amp;"",""))</f>
        <v/>
      </c>
      <c r="G428" s="123">
        <f>IF(OR(A428="",C428="",B428="",E428=""),"",IFERROR(A428&amp;"|"&amp;(27+4*(IFERROR(MATCH(C428,Roster!$B$6:$B$65,0),MATCH(C428,Roster!$C$6:$C$65,0))-1)+MATCH(B428,{"AM","PM","NIGHT","WD"},0)-1),""))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$266,'Feb'!$D$27:$AH$266,'Mar'!$D$27:$AH$266,'Apr'!$D$27:$AH$266,'May'!$D$27:$AH$266,'Jun'!$D$27:$AH$266,'Jul'!$D$27:$AH$266,'Aug'!$D$27:$AH$266,'Sep'!$D$27:$AH$266,'Oct'!$D$27:$AH$266,'Nov'!$D$27:$AH$266,'Dec'!$D$27:$AH$266,'Jan (next year)'!$D$27:$AH$266),27+4*(IFERROR(MATCH(C429,Roster!$B$6:$B$65,0),MATCH(C429,Roster!$C$6:$C$65,0))-1)+MATCH(B429,{"AM","PM","NIGHT","WD"},0)-1-27+1,DAY(A429))&amp;"",""))</f>
        <v/>
      </c>
      <c r="G429" s="123">
        <f>IF(OR(A429="",C429="",B429="",E429=""),"",IFERROR(A429&amp;"|"&amp;(27+4*(IFERROR(MATCH(C429,Roster!$B$6:$B$65,0),MATCH(C429,Roster!$C$6:$C$65,0))-1)+MATCH(B429,{"AM","PM","NIGHT","WD"},0)-1),""))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$266,'Feb'!$D$27:$AH$266,'Mar'!$D$27:$AH$266,'Apr'!$D$27:$AH$266,'May'!$D$27:$AH$266,'Jun'!$D$27:$AH$266,'Jul'!$D$27:$AH$266,'Aug'!$D$27:$AH$266,'Sep'!$D$27:$AH$266,'Oct'!$D$27:$AH$266,'Nov'!$D$27:$AH$266,'Dec'!$D$27:$AH$266,'Jan (next year)'!$D$27:$AH$266),27+4*(IFERROR(MATCH(C430,Roster!$B$6:$B$65,0),MATCH(C430,Roster!$C$6:$C$65,0))-1)+MATCH(B430,{"AM","PM","NIGHT","WD"},0)-1-27+1,DAY(A430))&amp;"",""))</f>
        <v/>
      </c>
      <c r="G430" s="123">
        <f>IF(OR(A430="",C430="",B430="",E430=""),"",IFERROR(A430&amp;"|"&amp;(27+4*(IFERROR(MATCH(C430,Roster!$B$6:$B$65,0),MATCH(C430,Roster!$C$6:$C$65,0))-1)+MATCH(B430,{"AM","PM","NIGHT","WD"},0)-1),""))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$266,'Feb'!$D$27:$AH$266,'Mar'!$D$27:$AH$266,'Apr'!$D$27:$AH$266,'May'!$D$27:$AH$266,'Jun'!$D$27:$AH$266,'Jul'!$D$27:$AH$266,'Aug'!$D$27:$AH$266,'Sep'!$D$27:$AH$266,'Oct'!$D$27:$AH$266,'Nov'!$D$27:$AH$266,'Dec'!$D$27:$AH$266,'Jan (next year)'!$D$27:$AH$266),27+4*(IFERROR(MATCH(C431,Roster!$B$6:$B$65,0),MATCH(C431,Roster!$C$6:$C$65,0))-1)+MATCH(B431,{"AM","PM","NIGHT","WD"},0)-1-27+1,DAY(A431))&amp;"",""))</f>
        <v/>
      </c>
      <c r="G431" s="123">
        <f>IF(OR(A431="",C431="",B431="",E431=""),"",IFERROR(A431&amp;"|"&amp;(27+4*(IFERROR(MATCH(C431,Roster!$B$6:$B$65,0),MATCH(C431,Roster!$C$6:$C$65,0))-1)+MATCH(B431,{"AM","PM","NIGHT","WD"},0)-1),""))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$266,'Feb'!$D$27:$AH$266,'Mar'!$D$27:$AH$266,'Apr'!$D$27:$AH$266,'May'!$D$27:$AH$266,'Jun'!$D$27:$AH$266,'Jul'!$D$27:$AH$266,'Aug'!$D$27:$AH$266,'Sep'!$D$27:$AH$266,'Oct'!$D$27:$AH$266,'Nov'!$D$27:$AH$266,'Dec'!$D$27:$AH$266,'Jan (next year)'!$D$27:$AH$266),27+4*(IFERROR(MATCH(C432,Roster!$B$6:$B$65,0),MATCH(C432,Roster!$C$6:$C$65,0))-1)+MATCH(B432,{"AM","PM","NIGHT","WD"},0)-1-27+1,DAY(A432))&amp;"",""))</f>
        <v/>
      </c>
      <c r="G432" s="123">
        <f>IF(OR(A432="",C432="",B432="",E432=""),"",IFERROR(A432&amp;"|"&amp;(27+4*(IFERROR(MATCH(C432,Roster!$B$6:$B$65,0),MATCH(C432,Roster!$C$6:$C$65,0))-1)+MATCH(B432,{"AM","PM","NIGHT","WD"},0)-1),""))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$266,'Feb'!$D$27:$AH$266,'Mar'!$D$27:$AH$266,'Apr'!$D$27:$AH$266,'May'!$D$27:$AH$266,'Jun'!$D$27:$AH$266,'Jul'!$D$27:$AH$266,'Aug'!$D$27:$AH$266,'Sep'!$D$27:$AH$266,'Oct'!$D$27:$AH$266,'Nov'!$D$27:$AH$266,'Dec'!$D$27:$AH$266,'Jan (next year)'!$D$27:$AH$266),27+4*(IFERROR(MATCH(C433,Roster!$B$6:$B$65,0),MATCH(C433,Roster!$C$6:$C$65,0))-1)+MATCH(B433,{"AM","PM","NIGHT","WD"},0)-1-27+1,DAY(A433))&amp;"",""))</f>
        <v/>
      </c>
      <c r="G433" s="123">
        <f>IF(OR(A433="",C433="",B433="",E433=""),"",IFERROR(A433&amp;"|"&amp;(27+4*(IFERROR(MATCH(C433,Roster!$B$6:$B$65,0),MATCH(C433,Roster!$C$6:$C$65,0))-1)+MATCH(B433,{"AM","PM","NIGHT","WD"},0)-1),""))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$266,'Feb'!$D$27:$AH$266,'Mar'!$D$27:$AH$266,'Apr'!$D$27:$AH$266,'May'!$D$27:$AH$266,'Jun'!$D$27:$AH$266,'Jul'!$D$27:$AH$266,'Aug'!$D$27:$AH$266,'Sep'!$D$27:$AH$266,'Oct'!$D$27:$AH$266,'Nov'!$D$27:$AH$266,'Dec'!$D$27:$AH$266,'Jan (next year)'!$D$27:$AH$266),27+4*(IFERROR(MATCH(C434,Roster!$B$6:$B$65,0),MATCH(C434,Roster!$C$6:$C$65,0))-1)+MATCH(B434,{"AM","PM","NIGHT","WD"},0)-1-27+1,DAY(A434))&amp;"",""))</f>
        <v/>
      </c>
      <c r="G434" s="123">
        <f>IF(OR(A434="",C434="",B434="",E434=""),"",IFERROR(A434&amp;"|"&amp;(27+4*(IFERROR(MATCH(C434,Roster!$B$6:$B$65,0),MATCH(C434,Roster!$C$6:$C$65,0))-1)+MATCH(B434,{"AM","PM","NIGHT","WD"},0)-1),""))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$266,'Feb'!$D$27:$AH$266,'Mar'!$D$27:$AH$266,'Apr'!$D$27:$AH$266,'May'!$D$27:$AH$266,'Jun'!$D$27:$AH$266,'Jul'!$D$27:$AH$266,'Aug'!$D$27:$AH$266,'Sep'!$D$27:$AH$266,'Oct'!$D$27:$AH$266,'Nov'!$D$27:$AH$266,'Dec'!$D$27:$AH$266,'Jan (next year)'!$D$27:$AH$266),27+4*(IFERROR(MATCH(C435,Roster!$B$6:$B$65,0),MATCH(C435,Roster!$C$6:$C$65,0))-1)+MATCH(B435,{"AM","PM","NIGHT","WD"},0)-1-27+1,DAY(A435))&amp;"",""))</f>
        <v/>
      </c>
      <c r="G435" s="123">
        <f>IF(OR(A435="",C435="",B435="",E435=""),"",IFERROR(A435&amp;"|"&amp;(27+4*(IFERROR(MATCH(C435,Roster!$B$6:$B$65,0),MATCH(C435,Roster!$C$6:$C$65,0))-1)+MATCH(B435,{"AM","PM","NIGHT","WD"},0)-1),""))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$266,'Feb'!$D$27:$AH$266,'Mar'!$D$27:$AH$266,'Apr'!$D$27:$AH$266,'May'!$D$27:$AH$266,'Jun'!$D$27:$AH$266,'Jul'!$D$27:$AH$266,'Aug'!$D$27:$AH$266,'Sep'!$D$27:$AH$266,'Oct'!$D$27:$AH$266,'Nov'!$D$27:$AH$266,'Dec'!$D$27:$AH$266,'Jan (next year)'!$D$27:$AH$266),27+4*(IFERROR(MATCH(C436,Roster!$B$6:$B$65,0),MATCH(C436,Roster!$C$6:$C$65,0))-1)+MATCH(B436,{"AM","PM","NIGHT","WD"},0)-1-27+1,DAY(A436))&amp;"",""))</f>
        <v/>
      </c>
      <c r="G436" s="123">
        <f>IF(OR(A436="",C436="",B436="",E436=""),"",IFERROR(A436&amp;"|"&amp;(27+4*(IFERROR(MATCH(C436,Roster!$B$6:$B$65,0),MATCH(C436,Roster!$C$6:$C$65,0))-1)+MATCH(B436,{"AM","PM","NIGHT","WD"},0)-1),""))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$266,'Feb'!$D$27:$AH$266,'Mar'!$D$27:$AH$266,'Apr'!$D$27:$AH$266,'May'!$D$27:$AH$266,'Jun'!$D$27:$AH$266,'Jul'!$D$27:$AH$266,'Aug'!$D$27:$AH$266,'Sep'!$D$27:$AH$266,'Oct'!$D$27:$AH$266,'Nov'!$D$27:$AH$266,'Dec'!$D$27:$AH$266,'Jan (next year)'!$D$27:$AH$266),27+4*(IFERROR(MATCH(C437,Roster!$B$6:$B$65,0),MATCH(C437,Roster!$C$6:$C$65,0))-1)+MATCH(B437,{"AM","PM","NIGHT","WD"},0)-1-27+1,DAY(A437))&amp;"",""))</f>
        <v/>
      </c>
      <c r="G437" s="123">
        <f>IF(OR(A437="",C437="",B437="",E437=""),"",IFERROR(A437&amp;"|"&amp;(27+4*(IFERROR(MATCH(C437,Roster!$B$6:$B$65,0),MATCH(C437,Roster!$C$6:$C$65,0))-1)+MATCH(B437,{"AM","PM","NIGHT","WD"},0)-1),""))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$266,'Feb'!$D$27:$AH$266,'Mar'!$D$27:$AH$266,'Apr'!$D$27:$AH$266,'May'!$D$27:$AH$266,'Jun'!$D$27:$AH$266,'Jul'!$D$27:$AH$266,'Aug'!$D$27:$AH$266,'Sep'!$D$27:$AH$266,'Oct'!$D$27:$AH$266,'Nov'!$D$27:$AH$266,'Dec'!$D$27:$AH$266,'Jan (next year)'!$D$27:$AH$266),27+4*(IFERROR(MATCH(C438,Roster!$B$6:$B$65,0),MATCH(C438,Roster!$C$6:$C$65,0))-1)+MATCH(B438,{"AM","PM","NIGHT","WD"},0)-1-27+1,DAY(A438))&amp;"",""))</f>
        <v/>
      </c>
      <c r="G438" s="123">
        <f>IF(OR(A438="",C438="",B438="",E438=""),"",IFERROR(A438&amp;"|"&amp;(27+4*(IFERROR(MATCH(C438,Roster!$B$6:$B$65,0),MATCH(C438,Roster!$C$6:$C$65,0))-1)+MATCH(B438,{"AM","PM","NIGHT","WD"},0)-1),""))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$266,'Feb'!$D$27:$AH$266,'Mar'!$D$27:$AH$266,'Apr'!$D$27:$AH$266,'May'!$D$27:$AH$266,'Jun'!$D$27:$AH$266,'Jul'!$D$27:$AH$266,'Aug'!$D$27:$AH$266,'Sep'!$D$27:$AH$266,'Oct'!$D$27:$AH$266,'Nov'!$D$27:$AH$266,'Dec'!$D$27:$AH$266,'Jan (next year)'!$D$27:$AH$266),27+4*(IFERROR(MATCH(C439,Roster!$B$6:$B$65,0),MATCH(C439,Roster!$C$6:$C$65,0))-1)+MATCH(B439,{"AM","PM","NIGHT","WD"},0)-1-27+1,DAY(A439))&amp;"",""))</f>
        <v/>
      </c>
      <c r="G439" s="123">
        <f>IF(OR(A439="",C439="",B439="",E439=""),"",IFERROR(A439&amp;"|"&amp;(27+4*(IFERROR(MATCH(C439,Roster!$B$6:$B$65,0),MATCH(C439,Roster!$C$6:$C$65,0))-1)+MATCH(B439,{"AM","PM","NIGHT","WD"},0)-1),""))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$266,'Feb'!$D$27:$AH$266,'Mar'!$D$27:$AH$266,'Apr'!$D$27:$AH$266,'May'!$D$27:$AH$266,'Jun'!$D$27:$AH$266,'Jul'!$D$27:$AH$266,'Aug'!$D$27:$AH$266,'Sep'!$D$27:$AH$266,'Oct'!$D$27:$AH$266,'Nov'!$D$27:$AH$266,'Dec'!$D$27:$AH$266,'Jan (next year)'!$D$27:$AH$266),27+4*(IFERROR(MATCH(C440,Roster!$B$6:$B$65,0),MATCH(C440,Roster!$C$6:$C$65,0))-1)+MATCH(B440,{"AM","PM","NIGHT","WD"},0)-1-27+1,DAY(A440))&amp;"",""))</f>
        <v/>
      </c>
      <c r="G440" s="123">
        <f>IF(OR(A440="",C440="",B440="",E440=""),"",IFERROR(A440&amp;"|"&amp;(27+4*(IFERROR(MATCH(C440,Roster!$B$6:$B$65,0),MATCH(C440,Roster!$C$6:$C$65,0))-1)+MATCH(B440,{"AM","PM","NIGHT","WD"},0)-1),""))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$266,'Feb'!$D$27:$AH$266,'Mar'!$D$27:$AH$266,'Apr'!$D$27:$AH$266,'May'!$D$27:$AH$266,'Jun'!$D$27:$AH$266,'Jul'!$D$27:$AH$266,'Aug'!$D$27:$AH$266,'Sep'!$D$27:$AH$266,'Oct'!$D$27:$AH$266,'Nov'!$D$27:$AH$266,'Dec'!$D$27:$AH$266,'Jan (next year)'!$D$27:$AH$266),27+4*(IFERROR(MATCH(C441,Roster!$B$6:$B$65,0),MATCH(C441,Roster!$C$6:$C$65,0))-1)+MATCH(B441,{"AM","PM","NIGHT","WD"},0)-1-27+1,DAY(A441))&amp;"",""))</f>
        <v/>
      </c>
      <c r="G441" s="123">
        <f>IF(OR(A441="",C441="",B441="",E441=""),"",IFERROR(A441&amp;"|"&amp;(27+4*(IFERROR(MATCH(C441,Roster!$B$6:$B$65,0),MATCH(C441,Roster!$C$6:$C$65,0))-1)+MATCH(B441,{"AM","PM","NIGHT","WD"},0)-1),""))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$266,'Feb'!$D$27:$AH$266,'Mar'!$D$27:$AH$266,'Apr'!$D$27:$AH$266,'May'!$D$27:$AH$266,'Jun'!$D$27:$AH$266,'Jul'!$D$27:$AH$266,'Aug'!$D$27:$AH$266,'Sep'!$D$27:$AH$266,'Oct'!$D$27:$AH$266,'Nov'!$D$27:$AH$266,'Dec'!$D$27:$AH$266,'Jan (next year)'!$D$27:$AH$266),27+4*(IFERROR(MATCH(C442,Roster!$B$6:$B$65,0),MATCH(C442,Roster!$C$6:$C$65,0))-1)+MATCH(B442,{"AM","PM","NIGHT","WD"},0)-1-27+1,DAY(A442))&amp;"",""))</f>
        <v/>
      </c>
      <c r="G442" s="123">
        <f>IF(OR(A442="",C442="",B442="",E442=""),"",IFERROR(A442&amp;"|"&amp;(27+4*(IFERROR(MATCH(C442,Roster!$B$6:$B$65,0),MATCH(C442,Roster!$C$6:$C$65,0))-1)+MATCH(B442,{"AM","PM","NIGHT","WD"},0)-1),""))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$266,'Feb'!$D$27:$AH$266,'Mar'!$D$27:$AH$266,'Apr'!$D$27:$AH$266,'May'!$D$27:$AH$266,'Jun'!$D$27:$AH$266,'Jul'!$D$27:$AH$266,'Aug'!$D$27:$AH$266,'Sep'!$D$27:$AH$266,'Oct'!$D$27:$AH$266,'Nov'!$D$27:$AH$266,'Dec'!$D$27:$AH$266,'Jan (next year)'!$D$27:$AH$266),27+4*(IFERROR(MATCH(C443,Roster!$B$6:$B$65,0),MATCH(C443,Roster!$C$6:$C$65,0))-1)+MATCH(B443,{"AM","PM","NIGHT","WD"},0)-1-27+1,DAY(A443))&amp;"",""))</f>
        <v/>
      </c>
      <c r="G443" s="123">
        <f>IF(OR(A443="",C443="",B443="",E443=""),"",IFERROR(A443&amp;"|"&amp;(27+4*(IFERROR(MATCH(C443,Roster!$B$6:$B$65,0),MATCH(C443,Roster!$C$6:$C$65,0))-1)+MATCH(B443,{"AM","PM","NIGHT","WD"},0)-1),""))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$266,'Feb'!$D$27:$AH$266,'Mar'!$D$27:$AH$266,'Apr'!$D$27:$AH$266,'May'!$D$27:$AH$266,'Jun'!$D$27:$AH$266,'Jul'!$D$27:$AH$266,'Aug'!$D$27:$AH$266,'Sep'!$D$27:$AH$266,'Oct'!$D$27:$AH$266,'Nov'!$D$27:$AH$266,'Dec'!$D$27:$AH$266,'Jan (next year)'!$D$27:$AH$266),27+4*(IFERROR(MATCH(C444,Roster!$B$6:$B$65,0),MATCH(C444,Roster!$C$6:$C$65,0))-1)+MATCH(B444,{"AM","PM","NIGHT","WD"},0)-1-27+1,DAY(A444))&amp;"",""))</f>
        <v/>
      </c>
      <c r="G444" s="123">
        <f>IF(OR(A444="",C444="",B444="",E444=""),"",IFERROR(A444&amp;"|"&amp;(27+4*(IFERROR(MATCH(C444,Roster!$B$6:$B$65,0),MATCH(C444,Roster!$C$6:$C$65,0))-1)+MATCH(B444,{"AM","PM","NIGHT","WD"},0)-1),""))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$266,'Feb'!$D$27:$AH$266,'Mar'!$D$27:$AH$266,'Apr'!$D$27:$AH$266,'May'!$D$27:$AH$266,'Jun'!$D$27:$AH$266,'Jul'!$D$27:$AH$266,'Aug'!$D$27:$AH$266,'Sep'!$D$27:$AH$266,'Oct'!$D$27:$AH$266,'Nov'!$D$27:$AH$266,'Dec'!$D$27:$AH$266,'Jan (next year)'!$D$27:$AH$266),27+4*(IFERROR(MATCH(C445,Roster!$B$6:$B$65,0),MATCH(C445,Roster!$C$6:$C$65,0))-1)+MATCH(B445,{"AM","PM","NIGHT","WD"},0)-1-27+1,DAY(A445))&amp;"",""))</f>
        <v/>
      </c>
      <c r="G445" s="123">
        <f>IF(OR(A445="",C445="",B445="",E445=""),"",IFERROR(A445&amp;"|"&amp;(27+4*(IFERROR(MATCH(C445,Roster!$B$6:$B$65,0),MATCH(C445,Roster!$C$6:$C$65,0))-1)+MATCH(B445,{"AM","PM","NIGHT","WD"},0)-1),""))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$266,'Feb'!$D$27:$AH$266,'Mar'!$D$27:$AH$266,'Apr'!$D$27:$AH$266,'May'!$D$27:$AH$266,'Jun'!$D$27:$AH$266,'Jul'!$D$27:$AH$266,'Aug'!$D$27:$AH$266,'Sep'!$D$27:$AH$266,'Oct'!$D$27:$AH$266,'Nov'!$D$27:$AH$266,'Dec'!$D$27:$AH$266,'Jan (next year)'!$D$27:$AH$266),27+4*(IFERROR(MATCH(C446,Roster!$B$6:$B$65,0),MATCH(C446,Roster!$C$6:$C$65,0))-1)+MATCH(B446,{"AM","PM","NIGHT","WD"},0)-1-27+1,DAY(A446))&amp;"",""))</f>
        <v/>
      </c>
      <c r="G446" s="123">
        <f>IF(OR(A446="",C446="",B446="",E446=""),"",IFERROR(A446&amp;"|"&amp;(27+4*(IFERROR(MATCH(C446,Roster!$B$6:$B$65,0),MATCH(C446,Roster!$C$6:$C$65,0))-1)+MATCH(B446,{"AM","PM","NIGHT","WD"},0)-1),""))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$266,'Feb'!$D$27:$AH$266,'Mar'!$D$27:$AH$266,'Apr'!$D$27:$AH$266,'May'!$D$27:$AH$266,'Jun'!$D$27:$AH$266,'Jul'!$D$27:$AH$266,'Aug'!$D$27:$AH$266,'Sep'!$D$27:$AH$266,'Oct'!$D$27:$AH$266,'Nov'!$D$27:$AH$266,'Dec'!$D$27:$AH$266,'Jan (next year)'!$D$27:$AH$266),27+4*(IFERROR(MATCH(C447,Roster!$B$6:$B$65,0),MATCH(C447,Roster!$C$6:$C$65,0))-1)+MATCH(B447,{"AM","PM","NIGHT","WD"},0)-1-27+1,DAY(A447))&amp;"",""))</f>
        <v/>
      </c>
      <c r="G447" s="123">
        <f>IF(OR(A447="",C447="",B447="",E447=""),"",IFERROR(A447&amp;"|"&amp;(27+4*(IFERROR(MATCH(C447,Roster!$B$6:$B$65,0),MATCH(C447,Roster!$C$6:$C$65,0))-1)+MATCH(B447,{"AM","PM","NIGHT","WD"},0)-1),""))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$266,'Feb'!$D$27:$AH$266,'Mar'!$D$27:$AH$266,'Apr'!$D$27:$AH$266,'May'!$D$27:$AH$266,'Jun'!$D$27:$AH$266,'Jul'!$D$27:$AH$266,'Aug'!$D$27:$AH$266,'Sep'!$D$27:$AH$266,'Oct'!$D$27:$AH$266,'Nov'!$D$27:$AH$266,'Dec'!$D$27:$AH$266,'Jan (next year)'!$D$27:$AH$266),27+4*(IFERROR(MATCH(C448,Roster!$B$6:$B$65,0),MATCH(C448,Roster!$C$6:$C$65,0))-1)+MATCH(B448,{"AM","PM","NIGHT","WD"},0)-1-27+1,DAY(A448))&amp;"",""))</f>
        <v/>
      </c>
      <c r="G448" s="123">
        <f>IF(OR(A448="",C448="",B448="",E448=""),"",IFERROR(A448&amp;"|"&amp;(27+4*(IFERROR(MATCH(C448,Roster!$B$6:$B$65,0),MATCH(C448,Roster!$C$6:$C$65,0))-1)+MATCH(B448,{"AM","PM","NIGHT","WD"},0)-1),""))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$266,'Feb'!$D$27:$AH$266,'Mar'!$D$27:$AH$266,'Apr'!$D$27:$AH$266,'May'!$D$27:$AH$266,'Jun'!$D$27:$AH$266,'Jul'!$D$27:$AH$266,'Aug'!$D$27:$AH$266,'Sep'!$D$27:$AH$266,'Oct'!$D$27:$AH$266,'Nov'!$D$27:$AH$266,'Dec'!$D$27:$AH$266,'Jan (next year)'!$D$27:$AH$266),27+4*(IFERROR(MATCH(C449,Roster!$B$6:$B$65,0),MATCH(C449,Roster!$C$6:$C$65,0))-1)+MATCH(B449,{"AM","PM","NIGHT","WD"},0)-1-27+1,DAY(A449))&amp;"",""))</f>
        <v/>
      </c>
      <c r="G449" s="123">
        <f>IF(OR(A449="",C449="",B449="",E449=""),"",IFERROR(A449&amp;"|"&amp;(27+4*(IFERROR(MATCH(C449,Roster!$B$6:$B$65,0),MATCH(C449,Roster!$C$6:$C$65,0))-1)+MATCH(B449,{"AM","PM","NIGHT","WD"},0)-1),""))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$266,'Feb'!$D$27:$AH$266,'Mar'!$D$27:$AH$266,'Apr'!$D$27:$AH$266,'May'!$D$27:$AH$266,'Jun'!$D$27:$AH$266,'Jul'!$D$27:$AH$266,'Aug'!$D$27:$AH$266,'Sep'!$D$27:$AH$266,'Oct'!$D$27:$AH$266,'Nov'!$D$27:$AH$266,'Dec'!$D$27:$AH$266,'Jan (next year)'!$D$27:$AH$266),27+4*(IFERROR(MATCH(C450,Roster!$B$6:$B$65,0),MATCH(C450,Roster!$C$6:$C$65,0))-1)+MATCH(B450,{"AM","PM","NIGHT","WD"},0)-1-27+1,DAY(A450))&amp;"",""))</f>
        <v/>
      </c>
      <c r="G450" s="123">
        <f>IF(OR(A450="",C450="",B450="",E450=""),"",IFERROR(A450&amp;"|"&amp;(27+4*(IFERROR(MATCH(C450,Roster!$B$6:$B$65,0),MATCH(C450,Roster!$C$6:$C$65,0))-1)+MATCH(B450,{"AM","PM","NIGHT","WD"},0)-1),""))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$266,'Feb'!$D$27:$AH$266,'Mar'!$D$27:$AH$266,'Apr'!$D$27:$AH$266,'May'!$D$27:$AH$266,'Jun'!$D$27:$AH$266,'Jul'!$D$27:$AH$266,'Aug'!$D$27:$AH$266,'Sep'!$D$27:$AH$266,'Oct'!$D$27:$AH$266,'Nov'!$D$27:$AH$266,'Dec'!$D$27:$AH$266,'Jan (next year)'!$D$27:$AH$266),27+4*(IFERROR(MATCH(C451,Roster!$B$6:$B$65,0),MATCH(C451,Roster!$C$6:$C$65,0))-1)+MATCH(B451,{"AM","PM","NIGHT","WD"},0)-1-27+1,DAY(A451))&amp;"",""))</f>
        <v/>
      </c>
      <c r="G451" s="123">
        <f>IF(OR(A451="",C451="",B451="",E451=""),"",IFERROR(A451&amp;"|"&amp;(27+4*(IFERROR(MATCH(C451,Roster!$B$6:$B$65,0),MATCH(C451,Roster!$C$6:$C$65,0))-1)+MATCH(B451,{"AM","PM","NIGHT","WD"},0)-1),""))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$266,'Feb'!$D$27:$AH$266,'Mar'!$D$27:$AH$266,'Apr'!$D$27:$AH$266,'May'!$D$27:$AH$266,'Jun'!$D$27:$AH$266,'Jul'!$D$27:$AH$266,'Aug'!$D$27:$AH$266,'Sep'!$D$27:$AH$266,'Oct'!$D$27:$AH$266,'Nov'!$D$27:$AH$266,'Dec'!$D$27:$AH$266,'Jan (next year)'!$D$27:$AH$266),27+4*(IFERROR(MATCH(C452,Roster!$B$6:$B$65,0),MATCH(C452,Roster!$C$6:$C$65,0))-1)+MATCH(B452,{"AM","PM","NIGHT","WD"},0)-1-27+1,DAY(A452))&amp;"",""))</f>
        <v/>
      </c>
      <c r="G452" s="123">
        <f>IF(OR(A452="",C452="",B452="",E452=""),"",IFERROR(A452&amp;"|"&amp;(27+4*(IFERROR(MATCH(C452,Roster!$B$6:$B$65,0),MATCH(C452,Roster!$C$6:$C$65,0))-1)+MATCH(B452,{"AM","PM","NIGHT","WD"},0)-1),""))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$266,'Feb'!$D$27:$AH$266,'Mar'!$D$27:$AH$266,'Apr'!$D$27:$AH$266,'May'!$D$27:$AH$266,'Jun'!$D$27:$AH$266,'Jul'!$D$27:$AH$266,'Aug'!$D$27:$AH$266,'Sep'!$D$27:$AH$266,'Oct'!$D$27:$AH$266,'Nov'!$D$27:$AH$266,'Dec'!$D$27:$AH$266,'Jan (next year)'!$D$27:$AH$266),27+4*(IFERROR(MATCH(C453,Roster!$B$6:$B$65,0),MATCH(C453,Roster!$C$6:$C$65,0))-1)+MATCH(B453,{"AM","PM","NIGHT","WD"},0)-1-27+1,DAY(A453))&amp;"",""))</f>
        <v/>
      </c>
      <c r="G453" s="123">
        <f>IF(OR(A453="",C453="",B453="",E453=""),"",IFERROR(A453&amp;"|"&amp;(27+4*(IFERROR(MATCH(C453,Roster!$B$6:$B$65,0),MATCH(C453,Roster!$C$6:$C$65,0))-1)+MATCH(B453,{"AM","PM","NIGHT","WD"},0)-1),""))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$266,'Feb'!$D$27:$AH$266,'Mar'!$D$27:$AH$266,'Apr'!$D$27:$AH$266,'May'!$D$27:$AH$266,'Jun'!$D$27:$AH$266,'Jul'!$D$27:$AH$266,'Aug'!$D$27:$AH$266,'Sep'!$D$27:$AH$266,'Oct'!$D$27:$AH$266,'Nov'!$D$27:$AH$266,'Dec'!$D$27:$AH$266,'Jan (next year)'!$D$27:$AH$266),27+4*(IFERROR(MATCH(C454,Roster!$B$6:$B$65,0),MATCH(C454,Roster!$C$6:$C$65,0))-1)+MATCH(B454,{"AM","PM","NIGHT","WD"},0)-1-27+1,DAY(A454))&amp;"",""))</f>
        <v/>
      </c>
      <c r="G454" s="123">
        <f>IF(OR(A454="",C454="",B454="",E454=""),"",IFERROR(A454&amp;"|"&amp;(27+4*(IFERROR(MATCH(C454,Roster!$B$6:$B$65,0),MATCH(C454,Roster!$C$6:$C$65,0))-1)+MATCH(B454,{"AM","PM","NIGHT","WD"},0)-1),""))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$266,'Feb'!$D$27:$AH$266,'Mar'!$D$27:$AH$266,'Apr'!$D$27:$AH$266,'May'!$D$27:$AH$266,'Jun'!$D$27:$AH$266,'Jul'!$D$27:$AH$266,'Aug'!$D$27:$AH$266,'Sep'!$D$27:$AH$266,'Oct'!$D$27:$AH$266,'Nov'!$D$27:$AH$266,'Dec'!$D$27:$AH$266,'Jan (next year)'!$D$27:$AH$266),27+4*(IFERROR(MATCH(C455,Roster!$B$6:$B$65,0),MATCH(C455,Roster!$C$6:$C$65,0))-1)+MATCH(B455,{"AM","PM","NIGHT","WD"},0)-1-27+1,DAY(A455))&amp;"",""))</f>
        <v/>
      </c>
      <c r="G455" s="123">
        <f>IF(OR(A455="",C455="",B455="",E455=""),"",IFERROR(A455&amp;"|"&amp;(27+4*(IFERROR(MATCH(C455,Roster!$B$6:$B$65,0),MATCH(C455,Roster!$C$6:$C$65,0))-1)+MATCH(B455,{"AM","PM","NIGHT","WD"},0)-1),""))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$266,'Feb'!$D$27:$AH$266,'Mar'!$D$27:$AH$266,'Apr'!$D$27:$AH$266,'May'!$D$27:$AH$266,'Jun'!$D$27:$AH$266,'Jul'!$D$27:$AH$266,'Aug'!$D$27:$AH$266,'Sep'!$D$27:$AH$266,'Oct'!$D$27:$AH$266,'Nov'!$D$27:$AH$266,'Dec'!$D$27:$AH$266,'Jan (next year)'!$D$27:$AH$266),27+4*(IFERROR(MATCH(C456,Roster!$B$6:$B$65,0),MATCH(C456,Roster!$C$6:$C$65,0))-1)+MATCH(B456,{"AM","PM","NIGHT","WD"},0)-1-27+1,DAY(A456))&amp;"",""))</f>
        <v/>
      </c>
      <c r="G456" s="123">
        <f>IF(OR(A456="",C456="",B456="",E456=""),"",IFERROR(A456&amp;"|"&amp;(27+4*(IFERROR(MATCH(C456,Roster!$B$6:$B$65,0),MATCH(C456,Roster!$C$6:$C$65,0))-1)+MATCH(B456,{"AM","PM","NIGHT","WD"},0)-1),""))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$266,'Feb'!$D$27:$AH$266,'Mar'!$D$27:$AH$266,'Apr'!$D$27:$AH$266,'May'!$D$27:$AH$266,'Jun'!$D$27:$AH$266,'Jul'!$D$27:$AH$266,'Aug'!$D$27:$AH$266,'Sep'!$D$27:$AH$266,'Oct'!$D$27:$AH$266,'Nov'!$D$27:$AH$266,'Dec'!$D$27:$AH$266,'Jan (next year)'!$D$27:$AH$266),27+4*(IFERROR(MATCH(C457,Roster!$B$6:$B$65,0),MATCH(C457,Roster!$C$6:$C$65,0))-1)+MATCH(B457,{"AM","PM","NIGHT","WD"},0)-1-27+1,DAY(A457))&amp;"",""))</f>
        <v/>
      </c>
      <c r="G457" s="123">
        <f>IF(OR(A457="",C457="",B457="",E457=""),"",IFERROR(A457&amp;"|"&amp;(27+4*(IFERROR(MATCH(C457,Roster!$B$6:$B$65,0),MATCH(C457,Roster!$C$6:$C$65,0))-1)+MATCH(B457,{"AM","PM","NIGHT","WD"},0)-1),""))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$266,'Feb'!$D$27:$AH$266,'Mar'!$D$27:$AH$266,'Apr'!$D$27:$AH$266,'May'!$D$27:$AH$266,'Jun'!$D$27:$AH$266,'Jul'!$D$27:$AH$266,'Aug'!$D$27:$AH$266,'Sep'!$D$27:$AH$266,'Oct'!$D$27:$AH$266,'Nov'!$D$27:$AH$266,'Dec'!$D$27:$AH$266,'Jan (next year)'!$D$27:$AH$266),27+4*(IFERROR(MATCH(C458,Roster!$B$6:$B$65,0),MATCH(C458,Roster!$C$6:$C$65,0))-1)+MATCH(B458,{"AM","PM","NIGHT","WD"},0)-1-27+1,DAY(A458))&amp;"",""))</f>
        <v/>
      </c>
      <c r="G458" s="123">
        <f>IF(OR(A458="",C458="",B458="",E458=""),"",IFERROR(A458&amp;"|"&amp;(27+4*(IFERROR(MATCH(C458,Roster!$B$6:$B$65,0),MATCH(C458,Roster!$C$6:$C$65,0))-1)+MATCH(B458,{"AM","PM","NIGHT","WD"},0)-1),""))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$266,'Feb'!$D$27:$AH$266,'Mar'!$D$27:$AH$266,'Apr'!$D$27:$AH$266,'May'!$D$27:$AH$266,'Jun'!$D$27:$AH$266,'Jul'!$D$27:$AH$266,'Aug'!$D$27:$AH$266,'Sep'!$D$27:$AH$266,'Oct'!$D$27:$AH$266,'Nov'!$D$27:$AH$266,'Dec'!$D$27:$AH$266,'Jan (next year)'!$D$27:$AH$266),27+4*(IFERROR(MATCH(C459,Roster!$B$6:$B$65,0),MATCH(C459,Roster!$C$6:$C$65,0))-1)+MATCH(B459,{"AM","PM","NIGHT","WD"},0)-1-27+1,DAY(A459))&amp;"",""))</f>
        <v/>
      </c>
      <c r="G459" s="123">
        <f>IF(OR(A459="",C459="",B459="",E459=""),"",IFERROR(A459&amp;"|"&amp;(27+4*(IFERROR(MATCH(C459,Roster!$B$6:$B$65,0),MATCH(C459,Roster!$C$6:$C$65,0))-1)+MATCH(B459,{"AM","PM","NIGHT","WD"},0)-1),""))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$266,'Feb'!$D$27:$AH$266,'Mar'!$D$27:$AH$266,'Apr'!$D$27:$AH$266,'May'!$D$27:$AH$266,'Jun'!$D$27:$AH$266,'Jul'!$D$27:$AH$266,'Aug'!$D$27:$AH$266,'Sep'!$D$27:$AH$266,'Oct'!$D$27:$AH$266,'Nov'!$D$27:$AH$266,'Dec'!$D$27:$AH$266,'Jan (next year)'!$D$27:$AH$266),27+4*(IFERROR(MATCH(C460,Roster!$B$6:$B$65,0),MATCH(C460,Roster!$C$6:$C$65,0))-1)+MATCH(B460,{"AM","PM","NIGHT","WD"},0)-1-27+1,DAY(A460))&amp;"",""))</f>
        <v/>
      </c>
      <c r="G460" s="123">
        <f>IF(OR(A460="",C460="",B460="",E460=""),"",IFERROR(A460&amp;"|"&amp;(27+4*(IFERROR(MATCH(C460,Roster!$B$6:$B$65,0),MATCH(C460,Roster!$C$6:$C$65,0))-1)+MATCH(B460,{"AM","PM","NIGHT","WD"},0)-1),""))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$266,'Feb'!$D$27:$AH$266,'Mar'!$D$27:$AH$266,'Apr'!$D$27:$AH$266,'May'!$D$27:$AH$266,'Jun'!$D$27:$AH$266,'Jul'!$D$27:$AH$266,'Aug'!$D$27:$AH$266,'Sep'!$D$27:$AH$266,'Oct'!$D$27:$AH$266,'Nov'!$D$27:$AH$266,'Dec'!$D$27:$AH$266,'Jan (next year)'!$D$27:$AH$266),27+4*(IFERROR(MATCH(C461,Roster!$B$6:$B$65,0),MATCH(C461,Roster!$C$6:$C$65,0))-1)+MATCH(B461,{"AM","PM","NIGHT","WD"},0)-1-27+1,DAY(A461))&amp;"",""))</f>
        <v/>
      </c>
      <c r="G461" s="123">
        <f>IF(OR(A461="",C461="",B461="",E461=""),"",IFERROR(A461&amp;"|"&amp;(27+4*(IFERROR(MATCH(C461,Roster!$B$6:$B$65,0),MATCH(C461,Roster!$C$6:$C$65,0))-1)+MATCH(B461,{"AM","PM","NIGHT","WD"},0)-1),""))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$266,'Feb'!$D$27:$AH$266,'Mar'!$D$27:$AH$266,'Apr'!$D$27:$AH$266,'May'!$D$27:$AH$266,'Jun'!$D$27:$AH$266,'Jul'!$D$27:$AH$266,'Aug'!$D$27:$AH$266,'Sep'!$D$27:$AH$266,'Oct'!$D$27:$AH$266,'Nov'!$D$27:$AH$266,'Dec'!$D$27:$AH$266,'Jan (next year)'!$D$27:$AH$266),27+4*(IFERROR(MATCH(C462,Roster!$B$6:$B$65,0),MATCH(C462,Roster!$C$6:$C$65,0))-1)+MATCH(B462,{"AM","PM","NIGHT","WD"},0)-1-27+1,DAY(A462))&amp;"",""))</f>
        <v/>
      </c>
      <c r="G462" s="123">
        <f>IF(OR(A462="",C462="",B462="",E462=""),"",IFERROR(A462&amp;"|"&amp;(27+4*(IFERROR(MATCH(C462,Roster!$B$6:$B$65,0),MATCH(C462,Roster!$C$6:$C$65,0))-1)+MATCH(B462,{"AM","PM","NIGHT","WD"},0)-1),""))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$266,'Feb'!$D$27:$AH$266,'Mar'!$D$27:$AH$266,'Apr'!$D$27:$AH$266,'May'!$D$27:$AH$266,'Jun'!$D$27:$AH$266,'Jul'!$D$27:$AH$266,'Aug'!$D$27:$AH$266,'Sep'!$D$27:$AH$266,'Oct'!$D$27:$AH$266,'Nov'!$D$27:$AH$266,'Dec'!$D$27:$AH$266,'Jan (next year)'!$D$27:$AH$266),27+4*(IFERROR(MATCH(C463,Roster!$B$6:$B$65,0),MATCH(C463,Roster!$C$6:$C$65,0))-1)+MATCH(B463,{"AM","PM","NIGHT","WD"},0)-1-27+1,DAY(A463))&amp;"",""))</f>
        <v/>
      </c>
      <c r="G463" s="123">
        <f>IF(OR(A463="",C463="",B463="",E463=""),"",IFERROR(A463&amp;"|"&amp;(27+4*(IFERROR(MATCH(C463,Roster!$B$6:$B$65,0),MATCH(C463,Roster!$C$6:$C$65,0))-1)+MATCH(B463,{"AM","PM","NIGHT","WD"},0)-1),""))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$266,'Feb'!$D$27:$AH$266,'Mar'!$D$27:$AH$266,'Apr'!$D$27:$AH$266,'May'!$D$27:$AH$266,'Jun'!$D$27:$AH$266,'Jul'!$D$27:$AH$266,'Aug'!$D$27:$AH$266,'Sep'!$D$27:$AH$266,'Oct'!$D$27:$AH$266,'Nov'!$D$27:$AH$266,'Dec'!$D$27:$AH$266,'Jan (next year)'!$D$27:$AH$266),27+4*(IFERROR(MATCH(C464,Roster!$B$6:$B$65,0),MATCH(C464,Roster!$C$6:$C$65,0))-1)+MATCH(B464,{"AM","PM","NIGHT","WD"},0)-1-27+1,DAY(A464))&amp;"",""))</f>
        <v/>
      </c>
      <c r="G464" s="123">
        <f>IF(OR(A464="",C464="",B464="",E464=""),"",IFERROR(A464&amp;"|"&amp;(27+4*(IFERROR(MATCH(C464,Roster!$B$6:$B$65,0),MATCH(C464,Roster!$C$6:$C$65,0))-1)+MATCH(B464,{"AM","PM","NIGHT","WD"},0)-1),""))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$266,'Feb'!$D$27:$AH$266,'Mar'!$D$27:$AH$266,'Apr'!$D$27:$AH$266,'May'!$D$27:$AH$266,'Jun'!$D$27:$AH$266,'Jul'!$D$27:$AH$266,'Aug'!$D$27:$AH$266,'Sep'!$D$27:$AH$266,'Oct'!$D$27:$AH$266,'Nov'!$D$27:$AH$266,'Dec'!$D$27:$AH$266,'Jan (next year)'!$D$27:$AH$266),27+4*(IFERROR(MATCH(C465,Roster!$B$6:$B$65,0),MATCH(C465,Roster!$C$6:$C$65,0))-1)+MATCH(B465,{"AM","PM","NIGHT","WD"},0)-1-27+1,DAY(A465))&amp;"",""))</f>
        <v/>
      </c>
      <c r="G465" s="123">
        <f>IF(OR(A465="",C465="",B465="",E465=""),"",IFERROR(A465&amp;"|"&amp;(27+4*(IFERROR(MATCH(C465,Roster!$B$6:$B$65,0),MATCH(C465,Roster!$C$6:$C$65,0))-1)+MATCH(B465,{"AM","PM","NIGHT","WD"},0)-1),""))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$266,'Feb'!$D$27:$AH$266,'Mar'!$D$27:$AH$266,'Apr'!$D$27:$AH$266,'May'!$D$27:$AH$266,'Jun'!$D$27:$AH$266,'Jul'!$D$27:$AH$266,'Aug'!$D$27:$AH$266,'Sep'!$D$27:$AH$266,'Oct'!$D$27:$AH$266,'Nov'!$D$27:$AH$266,'Dec'!$D$27:$AH$266,'Jan (next year)'!$D$27:$AH$266),27+4*(IFERROR(MATCH(C466,Roster!$B$6:$B$65,0),MATCH(C466,Roster!$C$6:$C$65,0))-1)+MATCH(B466,{"AM","PM","NIGHT","WD"},0)-1-27+1,DAY(A466))&amp;"",""))</f>
        <v/>
      </c>
      <c r="G466" s="123">
        <f>IF(OR(A466="",C466="",B466="",E466=""),"",IFERROR(A466&amp;"|"&amp;(27+4*(IFERROR(MATCH(C466,Roster!$B$6:$B$65,0),MATCH(C466,Roster!$C$6:$C$65,0))-1)+MATCH(B466,{"AM","PM","NIGHT","WD"},0)-1),""))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$266,'Feb'!$D$27:$AH$266,'Mar'!$D$27:$AH$266,'Apr'!$D$27:$AH$266,'May'!$D$27:$AH$266,'Jun'!$D$27:$AH$266,'Jul'!$D$27:$AH$266,'Aug'!$D$27:$AH$266,'Sep'!$D$27:$AH$266,'Oct'!$D$27:$AH$266,'Nov'!$D$27:$AH$266,'Dec'!$D$27:$AH$266,'Jan (next year)'!$D$27:$AH$266),27+4*(IFERROR(MATCH(C467,Roster!$B$6:$B$65,0),MATCH(C467,Roster!$C$6:$C$65,0))-1)+MATCH(B467,{"AM","PM","NIGHT","WD"},0)-1-27+1,DAY(A467))&amp;"",""))</f>
        <v/>
      </c>
      <c r="G467" s="123">
        <f>IF(OR(A467="",C467="",B467="",E467=""),"",IFERROR(A467&amp;"|"&amp;(27+4*(IFERROR(MATCH(C467,Roster!$B$6:$B$65,0),MATCH(C467,Roster!$C$6:$C$65,0))-1)+MATCH(B467,{"AM","PM","NIGHT","WD"},0)-1),""))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$266,'Feb'!$D$27:$AH$266,'Mar'!$D$27:$AH$266,'Apr'!$D$27:$AH$266,'May'!$D$27:$AH$266,'Jun'!$D$27:$AH$266,'Jul'!$D$27:$AH$266,'Aug'!$D$27:$AH$266,'Sep'!$D$27:$AH$266,'Oct'!$D$27:$AH$266,'Nov'!$D$27:$AH$266,'Dec'!$D$27:$AH$266,'Jan (next year)'!$D$27:$AH$266),27+4*(IFERROR(MATCH(C468,Roster!$B$6:$B$65,0),MATCH(C468,Roster!$C$6:$C$65,0))-1)+MATCH(B468,{"AM","PM","NIGHT","WD"},0)-1-27+1,DAY(A468))&amp;"",""))</f>
        <v/>
      </c>
      <c r="G468" s="123">
        <f>IF(OR(A468="",C468="",B468="",E468=""),"",IFERROR(A468&amp;"|"&amp;(27+4*(IFERROR(MATCH(C468,Roster!$B$6:$B$65,0),MATCH(C468,Roster!$C$6:$C$65,0))-1)+MATCH(B468,{"AM","PM","NIGHT","WD"},0)-1),""))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$266,'Feb'!$D$27:$AH$266,'Mar'!$D$27:$AH$266,'Apr'!$D$27:$AH$266,'May'!$D$27:$AH$266,'Jun'!$D$27:$AH$266,'Jul'!$D$27:$AH$266,'Aug'!$D$27:$AH$266,'Sep'!$D$27:$AH$266,'Oct'!$D$27:$AH$266,'Nov'!$D$27:$AH$266,'Dec'!$D$27:$AH$266,'Jan (next year)'!$D$27:$AH$266),27+4*(IFERROR(MATCH(C469,Roster!$B$6:$B$65,0),MATCH(C469,Roster!$C$6:$C$65,0))-1)+MATCH(B469,{"AM","PM","NIGHT","WD"},0)-1-27+1,DAY(A469))&amp;"",""))</f>
        <v/>
      </c>
      <c r="G469" s="123">
        <f>IF(OR(A469="",C469="",B469="",E469=""),"",IFERROR(A469&amp;"|"&amp;(27+4*(IFERROR(MATCH(C469,Roster!$B$6:$B$65,0),MATCH(C469,Roster!$C$6:$C$65,0))-1)+MATCH(B469,{"AM","PM","NIGHT","WD"},0)-1),""))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$266,'Feb'!$D$27:$AH$266,'Mar'!$D$27:$AH$266,'Apr'!$D$27:$AH$266,'May'!$D$27:$AH$266,'Jun'!$D$27:$AH$266,'Jul'!$D$27:$AH$266,'Aug'!$D$27:$AH$266,'Sep'!$D$27:$AH$266,'Oct'!$D$27:$AH$266,'Nov'!$D$27:$AH$266,'Dec'!$D$27:$AH$266,'Jan (next year)'!$D$27:$AH$266),27+4*(IFERROR(MATCH(C470,Roster!$B$6:$B$65,0),MATCH(C470,Roster!$C$6:$C$65,0))-1)+MATCH(B470,{"AM","PM","NIGHT","WD"},0)-1-27+1,DAY(A470))&amp;"",""))</f>
        <v/>
      </c>
      <c r="G470" s="123">
        <f>IF(OR(A470="",C470="",B470="",E470=""),"",IFERROR(A470&amp;"|"&amp;(27+4*(IFERROR(MATCH(C470,Roster!$B$6:$B$65,0),MATCH(C470,Roster!$C$6:$C$65,0))-1)+MATCH(B470,{"AM","PM","NIGHT","WD"},0)-1),""))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$266,'Feb'!$D$27:$AH$266,'Mar'!$D$27:$AH$266,'Apr'!$D$27:$AH$266,'May'!$D$27:$AH$266,'Jun'!$D$27:$AH$266,'Jul'!$D$27:$AH$266,'Aug'!$D$27:$AH$266,'Sep'!$D$27:$AH$266,'Oct'!$D$27:$AH$266,'Nov'!$D$27:$AH$266,'Dec'!$D$27:$AH$266,'Jan (next year)'!$D$27:$AH$266),27+4*(IFERROR(MATCH(C471,Roster!$B$6:$B$65,0),MATCH(C471,Roster!$C$6:$C$65,0))-1)+MATCH(B471,{"AM","PM","NIGHT","WD"},0)-1-27+1,DAY(A471))&amp;"",""))</f>
        <v/>
      </c>
      <c r="G471" s="123">
        <f>IF(OR(A471="",C471="",B471="",E471=""),"",IFERROR(A471&amp;"|"&amp;(27+4*(IFERROR(MATCH(C471,Roster!$B$6:$B$65,0),MATCH(C471,Roster!$C$6:$C$65,0))-1)+MATCH(B471,{"AM","PM","NIGHT","WD"},0)-1),""))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$266,'Feb'!$D$27:$AH$266,'Mar'!$D$27:$AH$266,'Apr'!$D$27:$AH$266,'May'!$D$27:$AH$266,'Jun'!$D$27:$AH$266,'Jul'!$D$27:$AH$266,'Aug'!$D$27:$AH$266,'Sep'!$D$27:$AH$266,'Oct'!$D$27:$AH$266,'Nov'!$D$27:$AH$266,'Dec'!$D$27:$AH$266,'Jan (next year)'!$D$27:$AH$266),27+4*(IFERROR(MATCH(C472,Roster!$B$6:$B$65,0),MATCH(C472,Roster!$C$6:$C$65,0))-1)+MATCH(B472,{"AM","PM","NIGHT","WD"},0)-1-27+1,DAY(A472))&amp;"",""))</f>
        <v/>
      </c>
      <c r="G472" s="123">
        <f>IF(OR(A472="",C472="",B472="",E472=""),"",IFERROR(A472&amp;"|"&amp;(27+4*(IFERROR(MATCH(C472,Roster!$B$6:$B$65,0),MATCH(C472,Roster!$C$6:$C$65,0))-1)+MATCH(B472,{"AM","PM","NIGHT","WD"},0)-1),""))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$266,'Feb'!$D$27:$AH$266,'Mar'!$D$27:$AH$266,'Apr'!$D$27:$AH$266,'May'!$D$27:$AH$266,'Jun'!$D$27:$AH$266,'Jul'!$D$27:$AH$266,'Aug'!$D$27:$AH$266,'Sep'!$D$27:$AH$266,'Oct'!$D$27:$AH$266,'Nov'!$D$27:$AH$266,'Dec'!$D$27:$AH$266,'Jan (next year)'!$D$27:$AH$266),27+4*(IFERROR(MATCH(C473,Roster!$B$6:$B$65,0),MATCH(C473,Roster!$C$6:$C$65,0))-1)+MATCH(B473,{"AM","PM","NIGHT","WD"},0)-1-27+1,DAY(A473))&amp;"",""))</f>
        <v/>
      </c>
      <c r="G473" s="123">
        <f>IF(OR(A473="",C473="",B473="",E473=""),"",IFERROR(A473&amp;"|"&amp;(27+4*(IFERROR(MATCH(C473,Roster!$B$6:$B$65,0),MATCH(C473,Roster!$C$6:$C$65,0))-1)+MATCH(B473,{"AM","PM","NIGHT","WD"},0)-1),""))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$266,'Feb'!$D$27:$AH$266,'Mar'!$D$27:$AH$266,'Apr'!$D$27:$AH$266,'May'!$D$27:$AH$266,'Jun'!$D$27:$AH$266,'Jul'!$D$27:$AH$266,'Aug'!$D$27:$AH$266,'Sep'!$D$27:$AH$266,'Oct'!$D$27:$AH$266,'Nov'!$D$27:$AH$266,'Dec'!$D$27:$AH$266,'Jan (next year)'!$D$27:$AH$266),27+4*(IFERROR(MATCH(C474,Roster!$B$6:$B$65,0),MATCH(C474,Roster!$C$6:$C$65,0))-1)+MATCH(B474,{"AM","PM","NIGHT","WD"},0)-1-27+1,DAY(A474))&amp;"",""))</f>
        <v/>
      </c>
      <c r="G474" s="123">
        <f>IF(OR(A474="",C474="",B474="",E474=""),"",IFERROR(A474&amp;"|"&amp;(27+4*(IFERROR(MATCH(C474,Roster!$B$6:$B$65,0),MATCH(C474,Roster!$C$6:$C$65,0))-1)+MATCH(B474,{"AM","PM","NIGHT","WD"},0)-1),""))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$266,'Feb'!$D$27:$AH$266,'Mar'!$D$27:$AH$266,'Apr'!$D$27:$AH$266,'May'!$D$27:$AH$266,'Jun'!$D$27:$AH$266,'Jul'!$D$27:$AH$266,'Aug'!$D$27:$AH$266,'Sep'!$D$27:$AH$266,'Oct'!$D$27:$AH$266,'Nov'!$D$27:$AH$266,'Dec'!$D$27:$AH$266,'Jan (next year)'!$D$27:$AH$266),27+4*(IFERROR(MATCH(C475,Roster!$B$6:$B$65,0),MATCH(C475,Roster!$C$6:$C$65,0))-1)+MATCH(B475,{"AM","PM","NIGHT","WD"},0)-1-27+1,DAY(A475))&amp;"",""))</f>
        <v/>
      </c>
      <c r="G475" s="123">
        <f>IF(OR(A475="",C475="",B475="",E475=""),"",IFERROR(A475&amp;"|"&amp;(27+4*(IFERROR(MATCH(C475,Roster!$B$6:$B$65,0),MATCH(C475,Roster!$C$6:$C$65,0))-1)+MATCH(B475,{"AM","PM","NIGHT","WD"},0)-1),""))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$266,'Feb'!$D$27:$AH$266,'Mar'!$D$27:$AH$266,'Apr'!$D$27:$AH$266,'May'!$D$27:$AH$266,'Jun'!$D$27:$AH$266,'Jul'!$D$27:$AH$266,'Aug'!$D$27:$AH$266,'Sep'!$D$27:$AH$266,'Oct'!$D$27:$AH$266,'Nov'!$D$27:$AH$266,'Dec'!$D$27:$AH$266,'Jan (next year)'!$D$27:$AH$266),27+4*(IFERROR(MATCH(C476,Roster!$B$6:$B$65,0),MATCH(C476,Roster!$C$6:$C$65,0))-1)+MATCH(B476,{"AM","PM","NIGHT","WD"},0)-1-27+1,DAY(A476))&amp;"",""))</f>
        <v/>
      </c>
      <c r="G476" s="123">
        <f>IF(OR(A476="",C476="",B476="",E476=""),"",IFERROR(A476&amp;"|"&amp;(27+4*(IFERROR(MATCH(C476,Roster!$B$6:$B$65,0),MATCH(C476,Roster!$C$6:$C$65,0))-1)+MATCH(B476,{"AM","PM","NIGHT","WD"},0)-1),""))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$266,'Feb'!$D$27:$AH$266,'Mar'!$D$27:$AH$266,'Apr'!$D$27:$AH$266,'May'!$D$27:$AH$266,'Jun'!$D$27:$AH$266,'Jul'!$D$27:$AH$266,'Aug'!$D$27:$AH$266,'Sep'!$D$27:$AH$266,'Oct'!$D$27:$AH$266,'Nov'!$D$27:$AH$266,'Dec'!$D$27:$AH$266,'Jan (next year)'!$D$27:$AH$266),27+4*(IFERROR(MATCH(C477,Roster!$B$6:$B$65,0),MATCH(C477,Roster!$C$6:$C$65,0))-1)+MATCH(B477,{"AM","PM","NIGHT","WD"},0)-1-27+1,DAY(A477))&amp;"",""))</f>
        <v/>
      </c>
      <c r="G477" s="123">
        <f>IF(OR(A477="",C477="",B477="",E477=""),"",IFERROR(A477&amp;"|"&amp;(27+4*(IFERROR(MATCH(C477,Roster!$B$6:$B$65,0),MATCH(C477,Roster!$C$6:$C$65,0))-1)+MATCH(B477,{"AM","PM","NIGHT","WD"},0)-1),""))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$266,'Feb'!$D$27:$AH$266,'Mar'!$D$27:$AH$266,'Apr'!$D$27:$AH$266,'May'!$D$27:$AH$266,'Jun'!$D$27:$AH$266,'Jul'!$D$27:$AH$266,'Aug'!$D$27:$AH$266,'Sep'!$D$27:$AH$266,'Oct'!$D$27:$AH$266,'Nov'!$D$27:$AH$266,'Dec'!$D$27:$AH$266,'Jan (next year)'!$D$27:$AH$266),27+4*(IFERROR(MATCH(C478,Roster!$B$6:$B$65,0),MATCH(C478,Roster!$C$6:$C$65,0))-1)+MATCH(B478,{"AM","PM","NIGHT","WD"},0)-1-27+1,DAY(A478))&amp;"",""))</f>
        <v/>
      </c>
      <c r="G478" s="123">
        <f>IF(OR(A478="",C478="",B478="",E478=""),"",IFERROR(A478&amp;"|"&amp;(27+4*(IFERROR(MATCH(C478,Roster!$B$6:$B$65,0),MATCH(C478,Roster!$C$6:$C$65,0))-1)+MATCH(B478,{"AM","PM","NIGHT","WD"},0)-1),""))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$266,'Feb'!$D$27:$AH$266,'Mar'!$D$27:$AH$266,'Apr'!$D$27:$AH$266,'May'!$D$27:$AH$266,'Jun'!$D$27:$AH$266,'Jul'!$D$27:$AH$266,'Aug'!$D$27:$AH$266,'Sep'!$D$27:$AH$266,'Oct'!$D$27:$AH$266,'Nov'!$D$27:$AH$266,'Dec'!$D$27:$AH$266,'Jan (next year)'!$D$27:$AH$266),27+4*(IFERROR(MATCH(C479,Roster!$B$6:$B$65,0),MATCH(C479,Roster!$C$6:$C$65,0))-1)+MATCH(B479,{"AM","PM","NIGHT","WD"},0)-1-27+1,DAY(A479))&amp;"",""))</f>
        <v/>
      </c>
      <c r="G479" s="123">
        <f>IF(OR(A479="",C479="",B479="",E479=""),"",IFERROR(A479&amp;"|"&amp;(27+4*(IFERROR(MATCH(C479,Roster!$B$6:$B$65,0),MATCH(C479,Roster!$C$6:$C$65,0))-1)+MATCH(B479,{"AM","PM","NIGHT","WD"},0)-1),""))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$266,'Feb'!$D$27:$AH$266,'Mar'!$D$27:$AH$266,'Apr'!$D$27:$AH$266,'May'!$D$27:$AH$266,'Jun'!$D$27:$AH$266,'Jul'!$D$27:$AH$266,'Aug'!$D$27:$AH$266,'Sep'!$D$27:$AH$266,'Oct'!$D$27:$AH$266,'Nov'!$D$27:$AH$266,'Dec'!$D$27:$AH$266,'Jan (next year)'!$D$27:$AH$266),27+4*(IFERROR(MATCH(C480,Roster!$B$6:$B$65,0),MATCH(C480,Roster!$C$6:$C$65,0))-1)+MATCH(B480,{"AM","PM","NIGHT","WD"},0)-1-27+1,DAY(A480))&amp;"",""))</f>
        <v/>
      </c>
      <c r="G480" s="123">
        <f>IF(OR(A480="",C480="",B480="",E480=""),"",IFERROR(A480&amp;"|"&amp;(27+4*(IFERROR(MATCH(C480,Roster!$B$6:$B$65,0),MATCH(C480,Roster!$C$6:$C$65,0))-1)+MATCH(B480,{"AM","PM","NIGHT","WD"},0)-1),""))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$266,'Feb'!$D$27:$AH$266,'Mar'!$D$27:$AH$266,'Apr'!$D$27:$AH$266,'May'!$D$27:$AH$266,'Jun'!$D$27:$AH$266,'Jul'!$D$27:$AH$266,'Aug'!$D$27:$AH$266,'Sep'!$D$27:$AH$266,'Oct'!$D$27:$AH$266,'Nov'!$D$27:$AH$266,'Dec'!$D$27:$AH$266,'Jan (next year)'!$D$27:$AH$266),27+4*(IFERROR(MATCH(C481,Roster!$B$6:$B$65,0),MATCH(C481,Roster!$C$6:$C$65,0))-1)+MATCH(B481,{"AM","PM","NIGHT","WD"},0)-1-27+1,DAY(A481))&amp;"",""))</f>
        <v/>
      </c>
      <c r="G481" s="123">
        <f>IF(OR(A481="",C481="",B481="",E481=""),"",IFERROR(A481&amp;"|"&amp;(27+4*(IFERROR(MATCH(C481,Roster!$B$6:$B$65,0),MATCH(C481,Roster!$C$6:$C$65,0))-1)+MATCH(B481,{"AM","PM","NIGHT","WD"},0)-1),""))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$266,'Feb'!$D$27:$AH$266,'Mar'!$D$27:$AH$266,'Apr'!$D$27:$AH$266,'May'!$D$27:$AH$266,'Jun'!$D$27:$AH$266,'Jul'!$D$27:$AH$266,'Aug'!$D$27:$AH$266,'Sep'!$D$27:$AH$266,'Oct'!$D$27:$AH$266,'Nov'!$D$27:$AH$266,'Dec'!$D$27:$AH$266,'Jan (next year)'!$D$27:$AH$266),27+4*(IFERROR(MATCH(C482,Roster!$B$6:$B$65,0),MATCH(C482,Roster!$C$6:$C$65,0))-1)+MATCH(B482,{"AM","PM","NIGHT","WD"},0)-1-27+1,DAY(A482))&amp;"",""))</f>
        <v/>
      </c>
      <c r="G482" s="123">
        <f>IF(OR(A482="",C482="",B482="",E482=""),"",IFERROR(A482&amp;"|"&amp;(27+4*(IFERROR(MATCH(C482,Roster!$B$6:$B$65,0),MATCH(C482,Roster!$C$6:$C$65,0))-1)+MATCH(B482,{"AM","PM","NIGHT","WD"},0)-1),""))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$266,'Feb'!$D$27:$AH$266,'Mar'!$D$27:$AH$266,'Apr'!$D$27:$AH$266,'May'!$D$27:$AH$266,'Jun'!$D$27:$AH$266,'Jul'!$D$27:$AH$266,'Aug'!$D$27:$AH$266,'Sep'!$D$27:$AH$266,'Oct'!$D$27:$AH$266,'Nov'!$D$27:$AH$266,'Dec'!$D$27:$AH$266,'Jan (next year)'!$D$27:$AH$266),27+4*(IFERROR(MATCH(C483,Roster!$B$6:$B$65,0),MATCH(C483,Roster!$C$6:$C$65,0))-1)+MATCH(B483,{"AM","PM","NIGHT","WD"},0)-1-27+1,DAY(A483))&amp;"",""))</f>
        <v/>
      </c>
      <c r="G483" s="123">
        <f>IF(OR(A483="",C483="",B483="",E483=""),"",IFERROR(A483&amp;"|"&amp;(27+4*(IFERROR(MATCH(C483,Roster!$B$6:$B$65,0),MATCH(C483,Roster!$C$6:$C$65,0))-1)+MATCH(B483,{"AM","PM","NIGHT","WD"},0)-1),""))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$266,'Feb'!$D$27:$AH$266,'Mar'!$D$27:$AH$266,'Apr'!$D$27:$AH$266,'May'!$D$27:$AH$266,'Jun'!$D$27:$AH$266,'Jul'!$D$27:$AH$266,'Aug'!$D$27:$AH$266,'Sep'!$D$27:$AH$266,'Oct'!$D$27:$AH$266,'Nov'!$D$27:$AH$266,'Dec'!$D$27:$AH$266,'Jan (next year)'!$D$27:$AH$266),27+4*(IFERROR(MATCH(C484,Roster!$B$6:$B$65,0),MATCH(C484,Roster!$C$6:$C$65,0))-1)+MATCH(B484,{"AM","PM","NIGHT","WD"},0)-1-27+1,DAY(A484))&amp;"",""))</f>
        <v/>
      </c>
      <c r="G484" s="123">
        <f>IF(OR(A484="",C484="",B484="",E484=""),"",IFERROR(A484&amp;"|"&amp;(27+4*(IFERROR(MATCH(C484,Roster!$B$6:$B$65,0),MATCH(C484,Roster!$C$6:$C$65,0))-1)+MATCH(B484,{"AM","PM","NIGHT","WD"},0)-1),""))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$266,'Feb'!$D$27:$AH$266,'Mar'!$D$27:$AH$266,'Apr'!$D$27:$AH$266,'May'!$D$27:$AH$266,'Jun'!$D$27:$AH$266,'Jul'!$D$27:$AH$266,'Aug'!$D$27:$AH$266,'Sep'!$D$27:$AH$266,'Oct'!$D$27:$AH$266,'Nov'!$D$27:$AH$266,'Dec'!$D$27:$AH$266,'Jan (next year)'!$D$27:$AH$266),27+4*(IFERROR(MATCH(C485,Roster!$B$6:$B$65,0),MATCH(C485,Roster!$C$6:$C$65,0))-1)+MATCH(B485,{"AM","PM","NIGHT","WD"},0)-1-27+1,DAY(A485))&amp;"",""))</f>
        <v/>
      </c>
      <c r="G485" s="123">
        <f>IF(OR(A485="",C485="",B485="",E485=""),"",IFERROR(A485&amp;"|"&amp;(27+4*(IFERROR(MATCH(C485,Roster!$B$6:$B$65,0),MATCH(C485,Roster!$C$6:$C$65,0))-1)+MATCH(B485,{"AM","PM","NIGHT","WD"},0)-1),""))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$266,'Feb'!$D$27:$AH$266,'Mar'!$D$27:$AH$266,'Apr'!$D$27:$AH$266,'May'!$D$27:$AH$266,'Jun'!$D$27:$AH$266,'Jul'!$D$27:$AH$266,'Aug'!$D$27:$AH$266,'Sep'!$D$27:$AH$266,'Oct'!$D$27:$AH$266,'Nov'!$D$27:$AH$266,'Dec'!$D$27:$AH$266,'Jan (next year)'!$D$27:$AH$266),27+4*(IFERROR(MATCH(C486,Roster!$B$6:$B$65,0),MATCH(C486,Roster!$C$6:$C$65,0))-1)+MATCH(B486,{"AM","PM","NIGHT","WD"},0)-1-27+1,DAY(A486))&amp;"",""))</f>
        <v/>
      </c>
      <c r="G486" s="123">
        <f>IF(OR(A486="",C486="",B486="",E486=""),"",IFERROR(A486&amp;"|"&amp;(27+4*(IFERROR(MATCH(C486,Roster!$B$6:$B$65,0),MATCH(C486,Roster!$C$6:$C$65,0))-1)+MATCH(B486,{"AM","PM","NIGHT","WD"},0)-1),""))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$266,'Feb'!$D$27:$AH$266,'Mar'!$D$27:$AH$266,'Apr'!$D$27:$AH$266,'May'!$D$27:$AH$266,'Jun'!$D$27:$AH$266,'Jul'!$D$27:$AH$266,'Aug'!$D$27:$AH$266,'Sep'!$D$27:$AH$266,'Oct'!$D$27:$AH$266,'Nov'!$D$27:$AH$266,'Dec'!$D$27:$AH$266,'Jan (next year)'!$D$27:$AH$266),27+4*(IFERROR(MATCH(C487,Roster!$B$6:$B$65,0),MATCH(C487,Roster!$C$6:$C$65,0))-1)+MATCH(B487,{"AM","PM","NIGHT","WD"},0)-1-27+1,DAY(A487))&amp;"",""))</f>
        <v/>
      </c>
      <c r="G487" s="123">
        <f>IF(OR(A487="",C487="",B487="",E487=""),"",IFERROR(A487&amp;"|"&amp;(27+4*(IFERROR(MATCH(C487,Roster!$B$6:$B$65,0),MATCH(C487,Roster!$C$6:$C$65,0))-1)+MATCH(B487,{"AM","PM","NIGHT","WD"},0)-1),""))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$266,'Feb'!$D$27:$AH$266,'Mar'!$D$27:$AH$266,'Apr'!$D$27:$AH$266,'May'!$D$27:$AH$266,'Jun'!$D$27:$AH$266,'Jul'!$D$27:$AH$266,'Aug'!$D$27:$AH$266,'Sep'!$D$27:$AH$266,'Oct'!$D$27:$AH$266,'Nov'!$D$27:$AH$266,'Dec'!$D$27:$AH$266,'Jan (next year)'!$D$27:$AH$266),27+4*(IFERROR(MATCH(C488,Roster!$B$6:$B$65,0),MATCH(C488,Roster!$C$6:$C$65,0))-1)+MATCH(B488,{"AM","PM","NIGHT","WD"},0)-1-27+1,DAY(A488))&amp;"",""))</f>
        <v/>
      </c>
      <c r="G488" s="123">
        <f>IF(OR(A488="",C488="",B488="",E488=""),"",IFERROR(A488&amp;"|"&amp;(27+4*(IFERROR(MATCH(C488,Roster!$B$6:$B$65,0),MATCH(C488,Roster!$C$6:$C$65,0))-1)+MATCH(B488,{"AM","PM","NIGHT","WD"},0)-1),""))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$266,'Feb'!$D$27:$AH$266,'Mar'!$D$27:$AH$266,'Apr'!$D$27:$AH$266,'May'!$D$27:$AH$266,'Jun'!$D$27:$AH$266,'Jul'!$D$27:$AH$266,'Aug'!$D$27:$AH$266,'Sep'!$D$27:$AH$266,'Oct'!$D$27:$AH$266,'Nov'!$D$27:$AH$266,'Dec'!$D$27:$AH$266,'Jan (next year)'!$D$27:$AH$266),27+4*(IFERROR(MATCH(C489,Roster!$B$6:$B$65,0),MATCH(C489,Roster!$C$6:$C$65,0))-1)+MATCH(B489,{"AM","PM","NIGHT","WD"},0)-1-27+1,DAY(A489))&amp;"",""))</f>
        <v/>
      </c>
      <c r="G489" s="123">
        <f>IF(OR(A489="",C489="",B489="",E489=""),"",IFERROR(A489&amp;"|"&amp;(27+4*(IFERROR(MATCH(C489,Roster!$B$6:$B$65,0),MATCH(C489,Roster!$C$6:$C$65,0))-1)+MATCH(B489,{"AM","PM","NIGHT","WD"},0)-1),""))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$266,'Feb'!$D$27:$AH$266,'Mar'!$D$27:$AH$266,'Apr'!$D$27:$AH$266,'May'!$D$27:$AH$266,'Jun'!$D$27:$AH$266,'Jul'!$D$27:$AH$266,'Aug'!$D$27:$AH$266,'Sep'!$D$27:$AH$266,'Oct'!$D$27:$AH$266,'Nov'!$D$27:$AH$266,'Dec'!$D$27:$AH$266,'Jan (next year)'!$D$27:$AH$266),27+4*(IFERROR(MATCH(C490,Roster!$B$6:$B$65,0),MATCH(C490,Roster!$C$6:$C$65,0))-1)+MATCH(B490,{"AM","PM","NIGHT","WD"},0)-1-27+1,DAY(A490))&amp;"",""))</f>
        <v/>
      </c>
      <c r="G490" s="123">
        <f>IF(OR(A490="",C490="",B490="",E490=""),"",IFERROR(A490&amp;"|"&amp;(27+4*(IFERROR(MATCH(C490,Roster!$B$6:$B$65,0),MATCH(C490,Roster!$C$6:$C$65,0))-1)+MATCH(B490,{"AM","PM","NIGHT","WD"},0)-1),""))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$266,'Feb'!$D$27:$AH$266,'Mar'!$D$27:$AH$266,'Apr'!$D$27:$AH$266,'May'!$D$27:$AH$266,'Jun'!$D$27:$AH$266,'Jul'!$D$27:$AH$266,'Aug'!$D$27:$AH$266,'Sep'!$D$27:$AH$266,'Oct'!$D$27:$AH$266,'Nov'!$D$27:$AH$266,'Dec'!$D$27:$AH$266,'Jan (next year)'!$D$27:$AH$266),27+4*(IFERROR(MATCH(C491,Roster!$B$6:$B$65,0),MATCH(C491,Roster!$C$6:$C$65,0))-1)+MATCH(B491,{"AM","PM","NIGHT","WD"},0)-1-27+1,DAY(A491))&amp;"",""))</f>
        <v/>
      </c>
      <c r="G491" s="123">
        <f>IF(OR(A491="",C491="",B491="",E491=""),"",IFERROR(A491&amp;"|"&amp;(27+4*(IFERROR(MATCH(C491,Roster!$B$6:$B$65,0),MATCH(C491,Roster!$C$6:$C$65,0))-1)+MATCH(B491,{"AM","PM","NIGHT","WD"},0)-1),""))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$266,'Feb'!$D$27:$AH$266,'Mar'!$D$27:$AH$266,'Apr'!$D$27:$AH$266,'May'!$D$27:$AH$266,'Jun'!$D$27:$AH$266,'Jul'!$D$27:$AH$266,'Aug'!$D$27:$AH$266,'Sep'!$D$27:$AH$266,'Oct'!$D$27:$AH$266,'Nov'!$D$27:$AH$266,'Dec'!$D$27:$AH$266,'Jan (next year)'!$D$27:$AH$266),27+4*(IFERROR(MATCH(C492,Roster!$B$6:$B$65,0),MATCH(C492,Roster!$C$6:$C$65,0))-1)+MATCH(B492,{"AM","PM","NIGHT","WD"},0)-1-27+1,DAY(A492))&amp;"",""))</f>
        <v/>
      </c>
      <c r="G492" s="123">
        <f>IF(OR(A492="",C492="",B492="",E492=""),"",IFERROR(A492&amp;"|"&amp;(27+4*(IFERROR(MATCH(C492,Roster!$B$6:$B$65,0),MATCH(C492,Roster!$C$6:$C$65,0))-1)+MATCH(B492,{"AM","PM","NIGHT","WD"},0)-1),""))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$266,'Feb'!$D$27:$AH$266,'Mar'!$D$27:$AH$266,'Apr'!$D$27:$AH$266,'May'!$D$27:$AH$266,'Jun'!$D$27:$AH$266,'Jul'!$D$27:$AH$266,'Aug'!$D$27:$AH$266,'Sep'!$D$27:$AH$266,'Oct'!$D$27:$AH$266,'Nov'!$D$27:$AH$266,'Dec'!$D$27:$AH$266,'Jan (next year)'!$D$27:$AH$266),27+4*(IFERROR(MATCH(C493,Roster!$B$6:$B$65,0),MATCH(C493,Roster!$C$6:$C$65,0))-1)+MATCH(B493,{"AM","PM","NIGHT","WD"},0)-1-27+1,DAY(A493))&amp;"",""))</f>
        <v/>
      </c>
      <c r="G493" s="123">
        <f>IF(OR(A493="",C493="",B493="",E493=""),"",IFERROR(A493&amp;"|"&amp;(27+4*(IFERROR(MATCH(C493,Roster!$B$6:$B$65,0),MATCH(C493,Roster!$C$6:$C$65,0))-1)+MATCH(B493,{"AM","PM","NIGHT","WD"},0)-1),""))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$266,'Feb'!$D$27:$AH$266,'Mar'!$D$27:$AH$266,'Apr'!$D$27:$AH$266,'May'!$D$27:$AH$266,'Jun'!$D$27:$AH$266,'Jul'!$D$27:$AH$266,'Aug'!$D$27:$AH$266,'Sep'!$D$27:$AH$266,'Oct'!$D$27:$AH$266,'Nov'!$D$27:$AH$266,'Dec'!$D$27:$AH$266,'Jan (next year)'!$D$27:$AH$266),27+4*(IFERROR(MATCH(C494,Roster!$B$6:$B$65,0),MATCH(C494,Roster!$C$6:$C$65,0))-1)+MATCH(B494,{"AM","PM","NIGHT","WD"},0)-1-27+1,DAY(A494))&amp;"",""))</f>
        <v/>
      </c>
      <c r="G494" s="123">
        <f>IF(OR(A494="",C494="",B494="",E494=""),"",IFERROR(A494&amp;"|"&amp;(27+4*(IFERROR(MATCH(C494,Roster!$B$6:$B$65,0),MATCH(C494,Roster!$C$6:$C$65,0))-1)+MATCH(B494,{"AM","PM","NIGHT","WD"},0)-1),""))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$266,'Feb'!$D$27:$AH$266,'Mar'!$D$27:$AH$266,'Apr'!$D$27:$AH$266,'May'!$D$27:$AH$266,'Jun'!$D$27:$AH$266,'Jul'!$D$27:$AH$266,'Aug'!$D$27:$AH$266,'Sep'!$D$27:$AH$266,'Oct'!$D$27:$AH$266,'Nov'!$D$27:$AH$266,'Dec'!$D$27:$AH$266,'Jan (next year)'!$D$27:$AH$266),27+4*(IFERROR(MATCH(C495,Roster!$B$6:$B$65,0),MATCH(C495,Roster!$C$6:$C$65,0))-1)+MATCH(B495,{"AM","PM","NIGHT","WD"},0)-1-27+1,DAY(A495))&amp;"",""))</f>
        <v/>
      </c>
      <c r="G495" s="123">
        <f>IF(OR(A495="",C495="",B495="",E495=""),"",IFERROR(A495&amp;"|"&amp;(27+4*(IFERROR(MATCH(C495,Roster!$B$6:$B$65,0),MATCH(C495,Roster!$C$6:$C$65,0))-1)+MATCH(B495,{"AM","PM","NIGHT","WD"},0)-1),""))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$266,'Feb'!$D$27:$AH$266,'Mar'!$D$27:$AH$266,'Apr'!$D$27:$AH$266,'May'!$D$27:$AH$266,'Jun'!$D$27:$AH$266,'Jul'!$D$27:$AH$266,'Aug'!$D$27:$AH$266,'Sep'!$D$27:$AH$266,'Oct'!$D$27:$AH$266,'Nov'!$D$27:$AH$266,'Dec'!$D$27:$AH$266,'Jan (next year)'!$D$27:$AH$266),27+4*(IFERROR(MATCH(C496,Roster!$B$6:$B$65,0),MATCH(C496,Roster!$C$6:$C$65,0))-1)+MATCH(B496,{"AM","PM","NIGHT","WD"},0)-1-27+1,DAY(A496))&amp;"",""))</f>
        <v/>
      </c>
      <c r="G496" s="123">
        <f>IF(OR(A496="",C496="",B496="",E496=""),"",IFERROR(A496&amp;"|"&amp;(27+4*(IFERROR(MATCH(C496,Roster!$B$6:$B$65,0),MATCH(C496,Roster!$C$6:$C$65,0))-1)+MATCH(B496,{"AM","PM","NIGHT","WD"},0)-1),""))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$266,'Feb'!$D$27:$AH$266,'Mar'!$D$27:$AH$266,'Apr'!$D$27:$AH$266,'May'!$D$27:$AH$266,'Jun'!$D$27:$AH$266,'Jul'!$D$27:$AH$266,'Aug'!$D$27:$AH$266,'Sep'!$D$27:$AH$266,'Oct'!$D$27:$AH$266,'Nov'!$D$27:$AH$266,'Dec'!$D$27:$AH$266,'Jan (next year)'!$D$27:$AH$266),27+4*(IFERROR(MATCH(C497,Roster!$B$6:$B$65,0),MATCH(C497,Roster!$C$6:$C$65,0))-1)+MATCH(B497,{"AM","PM","NIGHT","WD"},0)-1-27+1,DAY(A497))&amp;"",""))</f>
        <v/>
      </c>
      <c r="G497" s="123">
        <f>IF(OR(A497="",C497="",B497="",E497=""),"",IFERROR(A497&amp;"|"&amp;(27+4*(IFERROR(MATCH(C497,Roster!$B$6:$B$65,0),MATCH(C497,Roster!$C$6:$C$65,0))-1)+MATCH(B497,{"AM","PM","NIGHT","WD"},0)-1),""))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$266,'Feb'!$D$27:$AH$266,'Mar'!$D$27:$AH$266,'Apr'!$D$27:$AH$266,'May'!$D$27:$AH$266,'Jun'!$D$27:$AH$266,'Jul'!$D$27:$AH$266,'Aug'!$D$27:$AH$266,'Sep'!$D$27:$AH$266,'Oct'!$D$27:$AH$266,'Nov'!$D$27:$AH$266,'Dec'!$D$27:$AH$266,'Jan (next year)'!$D$27:$AH$266),27+4*(IFERROR(MATCH(C498,Roster!$B$6:$B$65,0),MATCH(C498,Roster!$C$6:$C$65,0))-1)+MATCH(B498,{"AM","PM","NIGHT","WD"},0)-1-27+1,DAY(A498))&amp;"",""))</f>
        <v/>
      </c>
      <c r="G498" s="123">
        <f>IF(OR(A498="",C498="",B498="",E498=""),"",IFERROR(A498&amp;"|"&amp;(27+4*(IFERROR(MATCH(C498,Roster!$B$6:$B$65,0),MATCH(C498,Roster!$C$6:$C$65,0))-1)+MATCH(B498,{"AM","PM","NIGHT","WD"},0)-1),""))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$266,'Feb'!$D$27:$AH$266,'Mar'!$D$27:$AH$266,'Apr'!$D$27:$AH$266,'May'!$D$27:$AH$266,'Jun'!$D$27:$AH$266,'Jul'!$D$27:$AH$266,'Aug'!$D$27:$AH$266,'Sep'!$D$27:$AH$266,'Oct'!$D$27:$AH$266,'Nov'!$D$27:$AH$266,'Dec'!$D$27:$AH$266,'Jan (next year)'!$D$27:$AH$266),27+4*(IFERROR(MATCH(C499,Roster!$B$6:$B$65,0),MATCH(C499,Roster!$C$6:$C$65,0))-1)+MATCH(B499,{"AM","PM","NIGHT","WD"},0)-1-27+1,DAY(A499))&amp;"",""))</f>
        <v/>
      </c>
      <c r="G499" s="123">
        <f>IF(OR(A499="",C499="",B499="",E499=""),"",IFERROR(A499&amp;"|"&amp;(27+4*(IFERROR(MATCH(C499,Roster!$B$6:$B$65,0),MATCH(C499,Roster!$C$6:$C$65,0))-1)+MATCH(B499,{"AM","PM","NIGHT","WD"},0)-1),""))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$266,'Feb'!$D$27:$AH$266,'Mar'!$D$27:$AH$266,'Apr'!$D$27:$AH$266,'May'!$D$27:$AH$266,'Jun'!$D$27:$AH$266,'Jul'!$D$27:$AH$266,'Aug'!$D$27:$AH$266,'Sep'!$D$27:$AH$266,'Oct'!$D$27:$AH$266,'Nov'!$D$27:$AH$266,'Dec'!$D$27:$AH$266,'Jan (next year)'!$D$27:$AH$266),27+4*(IFERROR(MATCH(C500,Roster!$B$6:$B$65,0),MATCH(C500,Roster!$C$6:$C$65,0))-1)+MATCH(B500,{"AM","PM","NIGHT","WD"},0)-1-27+1,DAY(A500))&amp;"",""))</f>
        <v/>
      </c>
      <c r="G500" s="123">
        <f>IF(OR(A500="",C500="",B500="",E500=""),"",IFERROR(A500&amp;"|"&amp;(27+4*(IFERROR(MATCH(C500,Roster!$B$6:$B$65,0),MATCH(C500,Roster!$C$6:$C$65,0))-1)+MATCH(B500,{"AM","PM","NIGHT","WD"},0)-1),""))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$266,'Feb'!$D$27:$AH$266,'Mar'!$D$27:$AH$266,'Apr'!$D$27:$AH$266,'May'!$D$27:$AH$266,'Jun'!$D$27:$AH$266,'Jul'!$D$27:$AH$266,'Aug'!$D$27:$AH$266,'Sep'!$D$27:$AH$266,'Oct'!$D$27:$AH$266,'Nov'!$D$27:$AH$266,'Dec'!$D$27:$AH$266,'Jan (next year)'!$D$27:$AH$266),27+4*(IFERROR(MATCH(C501,Roster!$B$6:$B$65,0),MATCH(C501,Roster!$C$6:$C$65,0))-1)+MATCH(B501,{"AM","PM","NIGHT","WD"},0)-1-27+1,DAY(A501))&amp;"",""))</f>
        <v/>
      </c>
      <c r="G501" s="123">
        <f>IF(OR(A501="",C501="",B501="",E501=""),"",IFERROR(A501&amp;"|"&amp;(27+4*(IFERROR(MATCH(C501,Roster!$B$6:$B$65,0),MATCH(C501,Roster!$C$6:$C$65,0))-1)+MATCH(B501,{"AM","PM","NIGHT","WD"},0)-1),""))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$266,'Feb'!$D$27:$AH$266,'Mar'!$D$27:$AH$266,'Apr'!$D$27:$AH$266,'May'!$D$27:$AH$266,'Jun'!$D$27:$AH$266,'Jul'!$D$27:$AH$266,'Aug'!$D$27:$AH$266,'Sep'!$D$27:$AH$266,'Oct'!$D$27:$AH$266,'Nov'!$D$27:$AH$266,'Dec'!$D$27:$AH$266,'Jan (next year)'!$D$27:$AH$266),27+4*(IFERROR(MATCH(C502,Roster!$B$6:$B$65,0),MATCH(C502,Roster!$C$6:$C$65,0))-1)+MATCH(B502,{"AM","PM","NIGHT","WD"},0)-1-27+1,DAY(A502))&amp;"",""))</f>
        <v/>
      </c>
      <c r="G502" s="123">
        <f>IF(OR(A502="",C502="",B502="",E502=""),"",IFERROR(A502&amp;"|"&amp;(27+4*(IFERROR(MATCH(C502,Roster!$B$6:$B$65,0),MATCH(C502,Roster!$C$6:$C$65,0))-1)+MATCH(B502,{"AM","PM","NIGHT","WD"},0)-1),""))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$266,'Feb'!$D$27:$AH$266,'Mar'!$D$27:$AH$266,'Apr'!$D$27:$AH$266,'May'!$D$27:$AH$266,'Jun'!$D$27:$AH$266,'Jul'!$D$27:$AH$266,'Aug'!$D$27:$AH$266,'Sep'!$D$27:$AH$266,'Oct'!$D$27:$AH$266,'Nov'!$D$27:$AH$266,'Dec'!$D$27:$AH$266,'Jan (next year)'!$D$27:$AH$266),27+4*(IFERROR(MATCH(C503,Roster!$B$6:$B$65,0),MATCH(C503,Roster!$C$6:$C$65,0))-1)+MATCH(B503,{"AM","PM","NIGHT","WD"},0)-1-27+1,DAY(A503))&amp;"",""))</f>
        <v/>
      </c>
      <c r="G503" s="123">
        <f>IF(OR(A503="",C503="",B503="",E503=""),"",IFERROR(A503&amp;"|"&amp;(27+4*(IFERROR(MATCH(C503,Roster!$B$6:$B$65,0),MATCH(C503,Roster!$C$6:$C$65,0))-1)+MATCH(B503,{"AM","PM","NIGHT","WD"},0)-1),""))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$266,'Feb'!$D$27:$AH$266,'Mar'!$D$27:$AH$266,'Apr'!$D$27:$AH$266,'May'!$D$27:$AH$266,'Jun'!$D$27:$AH$266,'Jul'!$D$27:$AH$266,'Aug'!$D$27:$AH$266,'Sep'!$D$27:$AH$266,'Oct'!$D$27:$AH$266,'Nov'!$D$27:$AH$266,'Dec'!$D$27:$AH$266,'Jan (next year)'!$D$27:$AH$266),27+4*(IFERROR(MATCH(C504,Roster!$B$6:$B$65,0),MATCH(C504,Roster!$C$6:$C$65,0))-1)+MATCH(B504,{"AM","PM","NIGHT","WD"},0)-1-27+1,DAY(A504))&amp;"",""))</f>
        <v/>
      </c>
      <c r="G504" s="123">
        <f>IF(OR(A504="",C504="",B504="",E504=""),"",IFERROR(A504&amp;"|"&amp;(27+4*(IFERROR(MATCH(C504,Roster!$B$6:$B$65,0),MATCH(C504,Roster!$C$6:$C$65,0))-1)+MATCH(B504,{"AM","PM","NIGHT","WD"},0)-1),""))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$266,'Feb'!$D$27:$AH$266,'Mar'!$D$27:$AH$266,'Apr'!$D$27:$AH$266,'May'!$D$27:$AH$266,'Jun'!$D$27:$AH$266,'Jul'!$D$27:$AH$266,'Aug'!$D$27:$AH$266,'Sep'!$D$27:$AH$266,'Oct'!$D$27:$AH$266,'Nov'!$D$27:$AH$266,'Dec'!$D$27:$AH$266,'Jan (next year)'!$D$27:$AH$266),27+4*(IFERROR(MATCH(C505,Roster!$B$6:$B$65,0),MATCH(C505,Roster!$C$6:$C$65,0))-1)+MATCH(B505,{"AM","PM","NIGHT","WD"},0)-1-27+1,DAY(A505))&amp;"",""))</f>
        <v/>
      </c>
      <c r="G505" s="123">
        <f>IF(OR(A505="",C505="",B505="",E505=""),"",IFERROR(A505&amp;"|"&amp;(27+4*(IFERROR(MATCH(C505,Roster!$B$6:$B$65,0),MATCH(C505,Roster!$C$6:$C$65,0))-1)+MATCH(B505,{"AM","PM","NIGHT","WD"},0)-1),""))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$266,'Feb'!$D$27:$AH$266,'Mar'!$D$27:$AH$266,'Apr'!$D$27:$AH$266,'May'!$D$27:$AH$266,'Jun'!$D$27:$AH$266,'Jul'!$D$27:$AH$266,'Aug'!$D$27:$AH$266,'Sep'!$D$27:$AH$266,'Oct'!$D$27:$AH$266,'Nov'!$D$27:$AH$266,'Dec'!$D$27:$AH$266,'Jan (next year)'!$D$27:$AH$266),27+4*(IFERROR(MATCH(C506,Roster!$B$6:$B$65,0),MATCH(C506,Roster!$C$6:$C$65,0))-1)+MATCH(B506,{"AM","PM","NIGHT","WD"},0)-1-27+1,DAY(A506))&amp;"",""))</f>
        <v/>
      </c>
      <c r="G506" s="123">
        <f>IF(OR(A506="",C506="",B506="",E506=""),"",IFERROR(A506&amp;"|"&amp;(27+4*(IFERROR(MATCH(C506,Roster!$B$6:$B$65,0),MATCH(C506,Roster!$C$6:$C$65,0))-1)+MATCH(B506,{"AM","PM","NIGHT","WD"},0)-1),""))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$266,'Feb'!$D$27:$AH$266,'Mar'!$D$27:$AH$266,'Apr'!$D$27:$AH$266,'May'!$D$27:$AH$266,'Jun'!$D$27:$AH$266,'Jul'!$D$27:$AH$266,'Aug'!$D$27:$AH$266,'Sep'!$D$27:$AH$266,'Oct'!$D$27:$AH$266,'Nov'!$D$27:$AH$266,'Dec'!$D$27:$AH$266,'Jan (next year)'!$D$27:$AH$266),27+4*(IFERROR(MATCH(C507,Roster!$B$6:$B$65,0),MATCH(C507,Roster!$C$6:$C$65,0))-1)+MATCH(B507,{"AM","PM","NIGHT","WD"},0)-1-27+1,DAY(A507))&amp;"",""))</f>
        <v/>
      </c>
      <c r="G507" s="123">
        <f>IF(OR(A507="",C507="",B507="",E507=""),"",IFERROR(A507&amp;"|"&amp;(27+4*(IFERROR(MATCH(C507,Roster!$B$6:$B$65,0),MATCH(C507,Roster!$C$6:$C$65,0))-1)+MATCH(B507,{"AM","PM","NIGHT","WD"},0)-1),""))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$266,'Feb'!$D$27:$AH$266,'Mar'!$D$27:$AH$266,'Apr'!$D$27:$AH$266,'May'!$D$27:$AH$266,'Jun'!$D$27:$AH$266,'Jul'!$D$27:$AH$266,'Aug'!$D$27:$AH$266,'Sep'!$D$27:$AH$266,'Oct'!$D$27:$AH$266,'Nov'!$D$27:$AH$266,'Dec'!$D$27:$AH$266,'Jan (next year)'!$D$27:$AH$266),27+4*(IFERROR(MATCH(C508,Roster!$B$6:$B$65,0),MATCH(C508,Roster!$C$6:$C$65,0))-1)+MATCH(B508,{"AM","PM","NIGHT","WD"},0)-1-27+1,DAY(A508))&amp;"",""))</f>
        <v/>
      </c>
      <c r="G508" s="123">
        <f>IF(OR(A508="",C508="",B508="",E508=""),"",IFERROR(A508&amp;"|"&amp;(27+4*(IFERROR(MATCH(C508,Roster!$B$6:$B$65,0),MATCH(C508,Roster!$C$6:$C$65,0))-1)+MATCH(B508,{"AM","PM","NIGHT","WD"},0)-1),""))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$266,'Feb'!$D$27:$AH$266,'Mar'!$D$27:$AH$266,'Apr'!$D$27:$AH$266,'May'!$D$27:$AH$266,'Jun'!$D$27:$AH$266,'Jul'!$D$27:$AH$266,'Aug'!$D$27:$AH$266,'Sep'!$D$27:$AH$266,'Oct'!$D$27:$AH$266,'Nov'!$D$27:$AH$266,'Dec'!$D$27:$AH$266,'Jan (next year)'!$D$27:$AH$266),27+4*(IFERROR(MATCH(C509,Roster!$B$6:$B$65,0),MATCH(C509,Roster!$C$6:$C$65,0))-1)+MATCH(B509,{"AM","PM","NIGHT","WD"},0)-1-27+1,DAY(A509))&amp;"",""))</f>
        <v/>
      </c>
      <c r="G509" s="123">
        <f>IF(OR(A509="",C509="",B509="",E509=""),"",IFERROR(A509&amp;"|"&amp;(27+4*(IFERROR(MATCH(C509,Roster!$B$6:$B$65,0),MATCH(C509,Roster!$C$6:$C$65,0))-1)+MATCH(B509,{"AM","PM","NIGHT","WD"},0)-1),""))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$266,'Feb'!$D$27:$AH$266,'Mar'!$D$27:$AH$266,'Apr'!$D$27:$AH$266,'May'!$D$27:$AH$266,'Jun'!$D$27:$AH$266,'Jul'!$D$27:$AH$266,'Aug'!$D$27:$AH$266,'Sep'!$D$27:$AH$266,'Oct'!$D$27:$AH$266,'Nov'!$D$27:$AH$266,'Dec'!$D$27:$AH$266,'Jan (next year)'!$D$27:$AH$266),27+4*(IFERROR(MATCH(C510,Roster!$B$6:$B$65,0),MATCH(C510,Roster!$C$6:$C$65,0))-1)+MATCH(B510,{"AM","PM","NIGHT","WD"},0)-1-27+1,DAY(A510))&amp;"",""))</f>
        <v/>
      </c>
      <c r="G510" s="123">
        <f>IF(OR(A510="",C510="",B510="",E510=""),"",IFERROR(A510&amp;"|"&amp;(27+4*(IFERROR(MATCH(C510,Roster!$B$6:$B$65,0),MATCH(C510,Roster!$C$6:$C$65,0))-1)+MATCH(B510,{"AM","PM","NIGHT","WD"},0)-1),""))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$266,'Feb'!$D$27:$AH$266,'Mar'!$D$27:$AH$266,'Apr'!$D$27:$AH$266,'May'!$D$27:$AH$266,'Jun'!$D$27:$AH$266,'Jul'!$D$27:$AH$266,'Aug'!$D$27:$AH$266,'Sep'!$D$27:$AH$266,'Oct'!$D$27:$AH$266,'Nov'!$D$27:$AH$266,'Dec'!$D$27:$AH$266,'Jan (next year)'!$D$27:$AH$266),27+4*(IFERROR(MATCH(C511,Roster!$B$6:$B$65,0),MATCH(C511,Roster!$C$6:$C$65,0))-1)+MATCH(B511,{"AM","PM","NIGHT","WD"},0)-1-27+1,DAY(A511))&amp;"",""))</f>
        <v/>
      </c>
      <c r="G511" s="123">
        <f>IF(OR(A511="",C511="",B511="",E511=""),"",IFERROR(A511&amp;"|"&amp;(27+4*(IFERROR(MATCH(C511,Roster!$B$6:$B$65,0),MATCH(C511,Roster!$C$6:$C$65,0))-1)+MATCH(B511,{"AM","PM","NIGHT","WD"},0)-1),""))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$266,'Feb'!$D$27:$AH$266,'Mar'!$D$27:$AH$266,'Apr'!$D$27:$AH$266,'May'!$D$27:$AH$266,'Jun'!$D$27:$AH$266,'Jul'!$D$27:$AH$266,'Aug'!$D$27:$AH$266,'Sep'!$D$27:$AH$266,'Oct'!$D$27:$AH$266,'Nov'!$D$27:$AH$266,'Dec'!$D$27:$AH$266,'Jan (next year)'!$D$27:$AH$266),27+4*(IFERROR(MATCH(C512,Roster!$B$6:$B$65,0),MATCH(C512,Roster!$C$6:$C$65,0))-1)+MATCH(B512,{"AM","PM","NIGHT","WD"},0)-1-27+1,DAY(A512))&amp;"",""))</f>
        <v/>
      </c>
      <c r="G512" s="123">
        <f>IF(OR(A512="",C512="",B512="",E512=""),"",IFERROR(A512&amp;"|"&amp;(27+4*(IFERROR(MATCH(C512,Roster!$B$6:$B$65,0),MATCH(C512,Roster!$C$6:$C$65,0))-1)+MATCH(B512,{"AM","PM","NIGHT","WD"},0)-1),""))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$266,'Feb'!$D$27:$AH$266,'Mar'!$D$27:$AH$266,'Apr'!$D$27:$AH$266,'May'!$D$27:$AH$266,'Jun'!$D$27:$AH$266,'Jul'!$D$27:$AH$266,'Aug'!$D$27:$AH$266,'Sep'!$D$27:$AH$266,'Oct'!$D$27:$AH$266,'Nov'!$D$27:$AH$266,'Dec'!$D$27:$AH$266,'Jan (next year)'!$D$27:$AH$266),27+4*(IFERROR(MATCH(C513,Roster!$B$6:$B$65,0),MATCH(C513,Roster!$C$6:$C$65,0))-1)+MATCH(B513,{"AM","PM","NIGHT","WD"},0)-1-27+1,DAY(A513))&amp;"",""))</f>
        <v/>
      </c>
      <c r="G513" s="123">
        <f>IF(OR(A513="",C513="",B513="",E513=""),"",IFERROR(A513&amp;"|"&amp;(27+4*(IFERROR(MATCH(C513,Roster!$B$6:$B$65,0),MATCH(C513,Roster!$C$6:$C$65,0))-1)+MATCH(B513,{"AM","PM","NIGHT","WD"},0)-1),""))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$266,'Feb'!$D$27:$AH$266,'Mar'!$D$27:$AH$266,'Apr'!$D$27:$AH$266,'May'!$D$27:$AH$266,'Jun'!$D$27:$AH$266,'Jul'!$D$27:$AH$266,'Aug'!$D$27:$AH$266,'Sep'!$D$27:$AH$266,'Oct'!$D$27:$AH$266,'Nov'!$D$27:$AH$266,'Dec'!$D$27:$AH$266,'Jan (next year)'!$D$27:$AH$266),27+4*(IFERROR(MATCH(C514,Roster!$B$6:$B$65,0),MATCH(C514,Roster!$C$6:$C$65,0))-1)+MATCH(B514,{"AM","PM","NIGHT","WD"},0)-1-27+1,DAY(A514))&amp;"",""))</f>
        <v/>
      </c>
      <c r="G514" s="123">
        <f>IF(OR(A514="",C514="",B514="",E514=""),"",IFERROR(A514&amp;"|"&amp;(27+4*(IFERROR(MATCH(C514,Roster!$B$6:$B$65,0),MATCH(C514,Roster!$C$6:$C$65,0))-1)+MATCH(B514,{"AM","PM","NIGHT","WD"},0)-1),""))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$266,'Feb'!$D$27:$AH$266,'Mar'!$D$27:$AH$266,'Apr'!$D$27:$AH$266,'May'!$D$27:$AH$266,'Jun'!$D$27:$AH$266,'Jul'!$D$27:$AH$266,'Aug'!$D$27:$AH$266,'Sep'!$D$27:$AH$266,'Oct'!$D$27:$AH$266,'Nov'!$D$27:$AH$266,'Dec'!$D$27:$AH$266,'Jan (next year)'!$D$27:$AH$266),27+4*(IFERROR(MATCH(C515,Roster!$B$6:$B$65,0),MATCH(C515,Roster!$C$6:$C$65,0))-1)+MATCH(B515,{"AM","PM","NIGHT","WD"},0)-1-27+1,DAY(A515))&amp;"",""))</f>
        <v/>
      </c>
      <c r="G515" s="123">
        <f>IF(OR(A515="",C515="",B515="",E515=""),"",IFERROR(A515&amp;"|"&amp;(27+4*(IFERROR(MATCH(C515,Roster!$B$6:$B$65,0),MATCH(C515,Roster!$C$6:$C$65,0))-1)+MATCH(B515,{"AM","PM","NIGHT","WD"},0)-1),""))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$266,'Feb'!$D$27:$AH$266,'Mar'!$D$27:$AH$266,'Apr'!$D$27:$AH$266,'May'!$D$27:$AH$266,'Jun'!$D$27:$AH$266,'Jul'!$D$27:$AH$266,'Aug'!$D$27:$AH$266,'Sep'!$D$27:$AH$266,'Oct'!$D$27:$AH$266,'Nov'!$D$27:$AH$266,'Dec'!$D$27:$AH$266,'Jan (next year)'!$D$27:$AH$266),27+4*(IFERROR(MATCH(C516,Roster!$B$6:$B$65,0),MATCH(C516,Roster!$C$6:$C$65,0))-1)+MATCH(B516,{"AM","PM","NIGHT","WD"},0)-1-27+1,DAY(A516))&amp;"",""))</f>
        <v/>
      </c>
      <c r="G516" s="123">
        <f>IF(OR(A516="",C516="",B516="",E516=""),"",IFERROR(A516&amp;"|"&amp;(27+4*(IFERROR(MATCH(C516,Roster!$B$6:$B$65,0),MATCH(C516,Roster!$C$6:$C$65,0))-1)+MATCH(B516,{"AM","PM","NIGHT","WD"},0)-1),""))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$266,'Feb'!$D$27:$AH$266,'Mar'!$D$27:$AH$266,'Apr'!$D$27:$AH$266,'May'!$D$27:$AH$266,'Jun'!$D$27:$AH$266,'Jul'!$D$27:$AH$266,'Aug'!$D$27:$AH$266,'Sep'!$D$27:$AH$266,'Oct'!$D$27:$AH$266,'Nov'!$D$27:$AH$266,'Dec'!$D$27:$AH$266,'Jan (next year)'!$D$27:$AH$266),27+4*(IFERROR(MATCH(C517,Roster!$B$6:$B$65,0),MATCH(C517,Roster!$C$6:$C$65,0))-1)+MATCH(B517,{"AM","PM","NIGHT","WD"},0)-1-27+1,DAY(A517))&amp;"",""))</f>
        <v/>
      </c>
      <c r="G517" s="123">
        <f>IF(OR(A517="",C517="",B517="",E517=""),"",IFERROR(A517&amp;"|"&amp;(27+4*(IFERROR(MATCH(C517,Roster!$B$6:$B$65,0),MATCH(C517,Roster!$C$6:$C$65,0))-1)+MATCH(B517,{"AM","PM","NIGHT","WD"},0)-1),""))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$266,'Feb'!$D$27:$AH$266,'Mar'!$D$27:$AH$266,'Apr'!$D$27:$AH$266,'May'!$D$27:$AH$266,'Jun'!$D$27:$AH$266,'Jul'!$D$27:$AH$266,'Aug'!$D$27:$AH$266,'Sep'!$D$27:$AH$266,'Oct'!$D$27:$AH$266,'Nov'!$D$27:$AH$266,'Dec'!$D$27:$AH$266,'Jan (next year)'!$D$27:$AH$266),27+4*(IFERROR(MATCH(C518,Roster!$B$6:$B$65,0),MATCH(C518,Roster!$C$6:$C$65,0))-1)+MATCH(B518,{"AM","PM","NIGHT","WD"},0)-1-27+1,DAY(A518))&amp;"",""))</f>
        <v/>
      </c>
      <c r="G518" s="123">
        <f>IF(OR(A518="",C518="",B518="",E518=""),"",IFERROR(A518&amp;"|"&amp;(27+4*(IFERROR(MATCH(C518,Roster!$B$6:$B$65,0),MATCH(C518,Roster!$C$6:$C$65,0))-1)+MATCH(B518,{"AM","PM","NIGHT","WD"},0)-1),""))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$266,'Feb'!$D$27:$AH$266,'Mar'!$D$27:$AH$266,'Apr'!$D$27:$AH$266,'May'!$D$27:$AH$266,'Jun'!$D$27:$AH$266,'Jul'!$D$27:$AH$266,'Aug'!$D$27:$AH$266,'Sep'!$D$27:$AH$266,'Oct'!$D$27:$AH$266,'Nov'!$D$27:$AH$266,'Dec'!$D$27:$AH$266,'Jan (next year)'!$D$27:$AH$266),27+4*(IFERROR(MATCH(C519,Roster!$B$6:$B$65,0),MATCH(C519,Roster!$C$6:$C$65,0))-1)+MATCH(B519,{"AM","PM","NIGHT","WD"},0)-1-27+1,DAY(A519))&amp;"",""))</f>
        <v/>
      </c>
      <c r="G519" s="123">
        <f>IF(OR(A519="",C519="",B519="",E519=""),"",IFERROR(A519&amp;"|"&amp;(27+4*(IFERROR(MATCH(C519,Roster!$B$6:$B$65,0),MATCH(C519,Roster!$C$6:$C$65,0))-1)+MATCH(B519,{"AM","PM","NIGHT","WD"},0)-1),""))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$266,'Feb'!$D$27:$AH$266,'Mar'!$D$27:$AH$266,'Apr'!$D$27:$AH$266,'May'!$D$27:$AH$266,'Jun'!$D$27:$AH$266,'Jul'!$D$27:$AH$266,'Aug'!$D$27:$AH$266,'Sep'!$D$27:$AH$266,'Oct'!$D$27:$AH$266,'Nov'!$D$27:$AH$266,'Dec'!$D$27:$AH$266,'Jan (next year)'!$D$27:$AH$266),27+4*(IFERROR(MATCH(C520,Roster!$B$6:$B$65,0),MATCH(C520,Roster!$C$6:$C$65,0))-1)+MATCH(B520,{"AM","PM","NIGHT","WD"},0)-1-27+1,DAY(A520))&amp;"",""))</f>
        <v/>
      </c>
      <c r="G520" s="123">
        <f>IF(OR(A520="",C520="",B520="",E520=""),"",IFERROR(A520&amp;"|"&amp;(27+4*(IFERROR(MATCH(C520,Roster!$B$6:$B$65,0),MATCH(C520,Roster!$C$6:$C$65,0))-1)+MATCH(B520,{"AM","PM","NIGHT","WD"},0)-1),""))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$266,'Feb'!$D$27:$AH$266,'Mar'!$D$27:$AH$266,'Apr'!$D$27:$AH$266,'May'!$D$27:$AH$266,'Jun'!$D$27:$AH$266,'Jul'!$D$27:$AH$266,'Aug'!$D$27:$AH$266,'Sep'!$D$27:$AH$266,'Oct'!$D$27:$AH$266,'Nov'!$D$27:$AH$266,'Dec'!$D$27:$AH$266,'Jan (next year)'!$D$27:$AH$266),27+4*(IFERROR(MATCH(C521,Roster!$B$6:$B$65,0),MATCH(C521,Roster!$C$6:$C$65,0))-1)+MATCH(B521,{"AM","PM","NIGHT","WD"},0)-1-27+1,DAY(A521))&amp;"",""))</f>
        <v/>
      </c>
      <c r="G521" s="123">
        <f>IF(OR(A521="",C521="",B521="",E521=""),"",IFERROR(A521&amp;"|"&amp;(27+4*(IFERROR(MATCH(C521,Roster!$B$6:$B$65,0),MATCH(C521,Roster!$C$6:$C$65,0))-1)+MATCH(B521,{"AM","PM","NIGHT","WD"},0)-1),""))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$266,'Feb'!$D$27:$AH$266,'Mar'!$D$27:$AH$266,'Apr'!$D$27:$AH$266,'May'!$D$27:$AH$266,'Jun'!$D$27:$AH$266,'Jul'!$D$27:$AH$266,'Aug'!$D$27:$AH$266,'Sep'!$D$27:$AH$266,'Oct'!$D$27:$AH$266,'Nov'!$D$27:$AH$266,'Dec'!$D$27:$AH$266,'Jan (next year)'!$D$27:$AH$266),27+4*(IFERROR(MATCH(C522,Roster!$B$6:$B$65,0),MATCH(C522,Roster!$C$6:$C$65,0))-1)+MATCH(B522,{"AM","PM","NIGHT","WD"},0)-1-27+1,DAY(A522))&amp;"",""))</f>
        <v/>
      </c>
      <c r="G522" s="123">
        <f>IF(OR(A522="",C522="",B522="",E522=""),"",IFERROR(A522&amp;"|"&amp;(27+4*(IFERROR(MATCH(C522,Roster!$B$6:$B$65,0),MATCH(C522,Roster!$C$6:$C$65,0))-1)+MATCH(B522,{"AM","PM","NIGHT","WD"},0)-1),""))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$266,'Feb'!$D$27:$AH$266,'Mar'!$D$27:$AH$266,'Apr'!$D$27:$AH$266,'May'!$D$27:$AH$266,'Jun'!$D$27:$AH$266,'Jul'!$D$27:$AH$266,'Aug'!$D$27:$AH$266,'Sep'!$D$27:$AH$266,'Oct'!$D$27:$AH$266,'Nov'!$D$27:$AH$266,'Dec'!$D$27:$AH$266,'Jan (next year)'!$D$27:$AH$266),27+4*(IFERROR(MATCH(C523,Roster!$B$6:$B$65,0),MATCH(C523,Roster!$C$6:$C$65,0))-1)+MATCH(B523,{"AM","PM","NIGHT","WD"},0)-1-27+1,DAY(A523))&amp;"",""))</f>
        <v/>
      </c>
      <c r="G523" s="123">
        <f>IF(OR(A523="",C523="",B523="",E523=""),"",IFERROR(A523&amp;"|"&amp;(27+4*(IFERROR(MATCH(C523,Roster!$B$6:$B$65,0),MATCH(C523,Roster!$C$6:$C$65,0))-1)+MATCH(B523,{"AM","PM","NIGHT","WD"},0)-1),""))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$266,'Feb'!$D$27:$AH$266,'Mar'!$D$27:$AH$266,'Apr'!$D$27:$AH$266,'May'!$D$27:$AH$266,'Jun'!$D$27:$AH$266,'Jul'!$D$27:$AH$266,'Aug'!$D$27:$AH$266,'Sep'!$D$27:$AH$266,'Oct'!$D$27:$AH$266,'Nov'!$D$27:$AH$266,'Dec'!$D$27:$AH$266,'Jan (next year)'!$D$27:$AH$266),27+4*(IFERROR(MATCH(C524,Roster!$B$6:$B$65,0),MATCH(C524,Roster!$C$6:$C$65,0))-1)+MATCH(B524,{"AM","PM","NIGHT","WD"},0)-1-27+1,DAY(A524))&amp;"",""))</f>
        <v/>
      </c>
      <c r="G524" s="123">
        <f>IF(OR(A524="",C524="",B524="",E524=""),"",IFERROR(A524&amp;"|"&amp;(27+4*(IFERROR(MATCH(C524,Roster!$B$6:$B$65,0),MATCH(C524,Roster!$C$6:$C$65,0))-1)+MATCH(B524,{"AM","PM","NIGHT","WD"},0)-1),""))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$266,'Feb'!$D$27:$AH$266,'Mar'!$D$27:$AH$266,'Apr'!$D$27:$AH$266,'May'!$D$27:$AH$266,'Jun'!$D$27:$AH$266,'Jul'!$D$27:$AH$266,'Aug'!$D$27:$AH$266,'Sep'!$D$27:$AH$266,'Oct'!$D$27:$AH$266,'Nov'!$D$27:$AH$266,'Dec'!$D$27:$AH$266,'Jan (next year)'!$D$27:$AH$266),27+4*(IFERROR(MATCH(C525,Roster!$B$6:$B$65,0),MATCH(C525,Roster!$C$6:$C$65,0))-1)+MATCH(B525,{"AM","PM","NIGHT","WD"},0)-1-27+1,DAY(A525))&amp;"",""))</f>
        <v/>
      </c>
      <c r="G525" s="123">
        <f>IF(OR(A525="",C525="",B525="",E525=""),"",IFERROR(A525&amp;"|"&amp;(27+4*(IFERROR(MATCH(C525,Roster!$B$6:$B$65,0),MATCH(C525,Roster!$C$6:$C$65,0))-1)+MATCH(B525,{"AM","PM","NIGHT","WD"},0)-1),""))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$266,'Feb'!$D$27:$AH$266,'Mar'!$D$27:$AH$266,'Apr'!$D$27:$AH$266,'May'!$D$27:$AH$266,'Jun'!$D$27:$AH$266,'Jul'!$D$27:$AH$266,'Aug'!$D$27:$AH$266,'Sep'!$D$27:$AH$266,'Oct'!$D$27:$AH$266,'Nov'!$D$27:$AH$266,'Dec'!$D$27:$AH$266,'Jan (next year)'!$D$27:$AH$266),27+4*(IFERROR(MATCH(C526,Roster!$B$6:$B$65,0),MATCH(C526,Roster!$C$6:$C$65,0))-1)+MATCH(B526,{"AM","PM","NIGHT","WD"},0)-1-27+1,DAY(A526))&amp;"",""))</f>
        <v/>
      </c>
      <c r="G526" s="123">
        <f>IF(OR(A526="",C526="",B526="",E526=""),"",IFERROR(A526&amp;"|"&amp;(27+4*(IFERROR(MATCH(C526,Roster!$B$6:$B$65,0),MATCH(C526,Roster!$C$6:$C$65,0))-1)+MATCH(B526,{"AM","PM","NIGHT","WD"},0)-1),""))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$266,'Feb'!$D$27:$AH$266,'Mar'!$D$27:$AH$266,'Apr'!$D$27:$AH$266,'May'!$D$27:$AH$266,'Jun'!$D$27:$AH$266,'Jul'!$D$27:$AH$266,'Aug'!$D$27:$AH$266,'Sep'!$D$27:$AH$266,'Oct'!$D$27:$AH$266,'Nov'!$D$27:$AH$266,'Dec'!$D$27:$AH$266,'Jan (next year)'!$D$27:$AH$266),27+4*(IFERROR(MATCH(C527,Roster!$B$6:$B$65,0),MATCH(C527,Roster!$C$6:$C$65,0))-1)+MATCH(B527,{"AM","PM","NIGHT","WD"},0)-1-27+1,DAY(A527))&amp;"",""))</f>
        <v/>
      </c>
      <c r="G527" s="123">
        <f>IF(OR(A527="",C527="",B527="",E527=""),"",IFERROR(A527&amp;"|"&amp;(27+4*(IFERROR(MATCH(C527,Roster!$B$6:$B$65,0),MATCH(C527,Roster!$C$6:$C$65,0))-1)+MATCH(B527,{"AM","PM","NIGHT","WD"},0)-1),""))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$266,'Feb'!$D$27:$AH$266,'Mar'!$D$27:$AH$266,'Apr'!$D$27:$AH$266,'May'!$D$27:$AH$266,'Jun'!$D$27:$AH$266,'Jul'!$D$27:$AH$266,'Aug'!$D$27:$AH$266,'Sep'!$D$27:$AH$266,'Oct'!$D$27:$AH$266,'Nov'!$D$27:$AH$266,'Dec'!$D$27:$AH$266,'Jan (next year)'!$D$27:$AH$266),27+4*(IFERROR(MATCH(C528,Roster!$B$6:$B$65,0),MATCH(C528,Roster!$C$6:$C$65,0))-1)+MATCH(B528,{"AM","PM","NIGHT","WD"},0)-1-27+1,DAY(A528))&amp;"",""))</f>
        <v/>
      </c>
      <c r="G528" s="123">
        <f>IF(OR(A528="",C528="",B528="",E528=""),"",IFERROR(A528&amp;"|"&amp;(27+4*(IFERROR(MATCH(C528,Roster!$B$6:$B$65,0),MATCH(C528,Roster!$C$6:$C$65,0))-1)+MATCH(B528,{"AM","PM","NIGHT","WD"},0)-1),""))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$266,'Feb'!$D$27:$AH$266,'Mar'!$D$27:$AH$266,'Apr'!$D$27:$AH$266,'May'!$D$27:$AH$266,'Jun'!$D$27:$AH$266,'Jul'!$D$27:$AH$266,'Aug'!$D$27:$AH$266,'Sep'!$D$27:$AH$266,'Oct'!$D$27:$AH$266,'Nov'!$D$27:$AH$266,'Dec'!$D$27:$AH$266,'Jan (next year)'!$D$27:$AH$266),27+4*(IFERROR(MATCH(C529,Roster!$B$6:$B$65,0),MATCH(C529,Roster!$C$6:$C$65,0))-1)+MATCH(B529,{"AM","PM","NIGHT","WD"},0)-1-27+1,DAY(A529))&amp;"",""))</f>
        <v/>
      </c>
      <c r="G529" s="123">
        <f>IF(OR(A529="",C529="",B529="",E529=""),"",IFERROR(A529&amp;"|"&amp;(27+4*(IFERROR(MATCH(C529,Roster!$B$6:$B$65,0),MATCH(C529,Roster!$C$6:$C$65,0))-1)+MATCH(B529,{"AM","PM","NIGHT","WD"},0)-1),""))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$266,'Feb'!$D$27:$AH$266,'Mar'!$D$27:$AH$266,'Apr'!$D$27:$AH$266,'May'!$D$27:$AH$266,'Jun'!$D$27:$AH$266,'Jul'!$D$27:$AH$266,'Aug'!$D$27:$AH$266,'Sep'!$D$27:$AH$266,'Oct'!$D$27:$AH$266,'Nov'!$D$27:$AH$266,'Dec'!$D$27:$AH$266,'Jan (next year)'!$D$27:$AH$266),27+4*(IFERROR(MATCH(C530,Roster!$B$6:$B$65,0),MATCH(C530,Roster!$C$6:$C$65,0))-1)+MATCH(B530,{"AM","PM","NIGHT","WD"},0)-1-27+1,DAY(A530))&amp;"",""))</f>
        <v/>
      </c>
      <c r="G530" s="123">
        <f>IF(OR(A530="",C530="",B530="",E530=""),"",IFERROR(A530&amp;"|"&amp;(27+4*(IFERROR(MATCH(C530,Roster!$B$6:$B$65,0),MATCH(C530,Roster!$C$6:$C$65,0))-1)+MATCH(B530,{"AM","PM","NIGHT","WD"},0)-1),""))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$266,'Feb'!$D$27:$AH$266,'Mar'!$D$27:$AH$266,'Apr'!$D$27:$AH$266,'May'!$D$27:$AH$266,'Jun'!$D$27:$AH$266,'Jul'!$D$27:$AH$266,'Aug'!$D$27:$AH$266,'Sep'!$D$27:$AH$266,'Oct'!$D$27:$AH$266,'Nov'!$D$27:$AH$266,'Dec'!$D$27:$AH$266,'Jan (next year)'!$D$27:$AH$266),27+4*(IFERROR(MATCH(C531,Roster!$B$6:$B$65,0),MATCH(C531,Roster!$C$6:$C$65,0))-1)+MATCH(B531,{"AM","PM","NIGHT","WD"},0)-1-27+1,DAY(A531))&amp;"",""))</f>
        <v/>
      </c>
      <c r="G531" s="123">
        <f>IF(OR(A531="",C531="",B531="",E531=""),"",IFERROR(A531&amp;"|"&amp;(27+4*(IFERROR(MATCH(C531,Roster!$B$6:$B$65,0),MATCH(C531,Roster!$C$6:$C$65,0))-1)+MATCH(B531,{"AM","PM","NIGHT","WD"},0)-1),""))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$266,'Feb'!$D$27:$AH$266,'Mar'!$D$27:$AH$266,'Apr'!$D$27:$AH$266,'May'!$D$27:$AH$266,'Jun'!$D$27:$AH$266,'Jul'!$D$27:$AH$266,'Aug'!$D$27:$AH$266,'Sep'!$D$27:$AH$266,'Oct'!$D$27:$AH$266,'Nov'!$D$27:$AH$266,'Dec'!$D$27:$AH$266,'Jan (next year)'!$D$27:$AH$266),27+4*(IFERROR(MATCH(C532,Roster!$B$6:$B$65,0),MATCH(C532,Roster!$C$6:$C$65,0))-1)+MATCH(B532,{"AM","PM","NIGHT","WD"},0)-1-27+1,DAY(A532))&amp;"",""))</f>
        <v/>
      </c>
      <c r="G532" s="123">
        <f>IF(OR(A532="",C532="",B532="",E532=""),"",IFERROR(A532&amp;"|"&amp;(27+4*(IFERROR(MATCH(C532,Roster!$B$6:$B$65,0),MATCH(C532,Roster!$C$6:$C$65,0))-1)+MATCH(B532,{"AM","PM","NIGHT","WD"},0)-1),""))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$266,'Feb'!$D$27:$AH$266,'Mar'!$D$27:$AH$266,'Apr'!$D$27:$AH$266,'May'!$D$27:$AH$266,'Jun'!$D$27:$AH$266,'Jul'!$D$27:$AH$266,'Aug'!$D$27:$AH$266,'Sep'!$D$27:$AH$266,'Oct'!$D$27:$AH$266,'Nov'!$D$27:$AH$266,'Dec'!$D$27:$AH$266,'Jan (next year)'!$D$27:$AH$266),27+4*(IFERROR(MATCH(C533,Roster!$B$6:$B$65,0),MATCH(C533,Roster!$C$6:$C$65,0))-1)+MATCH(B533,{"AM","PM","NIGHT","WD"},0)-1-27+1,DAY(A533))&amp;"",""))</f>
        <v/>
      </c>
      <c r="G533" s="123">
        <f>IF(OR(A533="",C533="",B533="",E533=""),"",IFERROR(A533&amp;"|"&amp;(27+4*(IFERROR(MATCH(C533,Roster!$B$6:$B$65,0),MATCH(C533,Roster!$C$6:$C$65,0))-1)+MATCH(B533,{"AM","PM","NIGHT","WD"},0)-1),""))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$266,'Feb'!$D$27:$AH$266,'Mar'!$D$27:$AH$266,'Apr'!$D$27:$AH$266,'May'!$D$27:$AH$266,'Jun'!$D$27:$AH$266,'Jul'!$D$27:$AH$266,'Aug'!$D$27:$AH$266,'Sep'!$D$27:$AH$266,'Oct'!$D$27:$AH$266,'Nov'!$D$27:$AH$266,'Dec'!$D$27:$AH$266,'Jan (next year)'!$D$27:$AH$266),27+4*(IFERROR(MATCH(C534,Roster!$B$6:$B$65,0),MATCH(C534,Roster!$C$6:$C$65,0))-1)+MATCH(B534,{"AM","PM","NIGHT","WD"},0)-1-27+1,DAY(A534))&amp;"",""))</f>
        <v/>
      </c>
      <c r="G534" s="123">
        <f>IF(OR(A534="",C534="",B534="",E534=""),"",IFERROR(A534&amp;"|"&amp;(27+4*(IFERROR(MATCH(C534,Roster!$B$6:$B$65,0),MATCH(C534,Roster!$C$6:$C$65,0))-1)+MATCH(B534,{"AM","PM","NIGHT","WD"},0)-1),""))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$266,'Feb'!$D$27:$AH$266,'Mar'!$D$27:$AH$266,'Apr'!$D$27:$AH$266,'May'!$D$27:$AH$266,'Jun'!$D$27:$AH$266,'Jul'!$D$27:$AH$266,'Aug'!$D$27:$AH$266,'Sep'!$D$27:$AH$266,'Oct'!$D$27:$AH$266,'Nov'!$D$27:$AH$266,'Dec'!$D$27:$AH$266,'Jan (next year)'!$D$27:$AH$266),27+4*(IFERROR(MATCH(C535,Roster!$B$6:$B$65,0),MATCH(C535,Roster!$C$6:$C$65,0))-1)+MATCH(B535,{"AM","PM","NIGHT","WD"},0)-1-27+1,DAY(A535))&amp;"",""))</f>
        <v/>
      </c>
      <c r="G535" s="123">
        <f>IF(OR(A535="",C535="",B535="",E535=""),"",IFERROR(A535&amp;"|"&amp;(27+4*(IFERROR(MATCH(C535,Roster!$B$6:$B$65,0),MATCH(C535,Roster!$C$6:$C$65,0))-1)+MATCH(B535,{"AM","PM","NIGHT","WD"},0)-1),""))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$266,'Feb'!$D$27:$AH$266,'Mar'!$D$27:$AH$266,'Apr'!$D$27:$AH$266,'May'!$D$27:$AH$266,'Jun'!$D$27:$AH$266,'Jul'!$D$27:$AH$266,'Aug'!$D$27:$AH$266,'Sep'!$D$27:$AH$266,'Oct'!$D$27:$AH$266,'Nov'!$D$27:$AH$266,'Dec'!$D$27:$AH$266,'Jan (next year)'!$D$27:$AH$266),27+4*(IFERROR(MATCH(C536,Roster!$B$6:$B$65,0),MATCH(C536,Roster!$C$6:$C$65,0))-1)+MATCH(B536,{"AM","PM","NIGHT","WD"},0)-1-27+1,DAY(A536))&amp;"",""))</f>
        <v/>
      </c>
      <c r="G536" s="123">
        <f>IF(OR(A536="",C536="",B536="",E536=""),"",IFERROR(A536&amp;"|"&amp;(27+4*(IFERROR(MATCH(C536,Roster!$B$6:$B$65,0),MATCH(C536,Roster!$C$6:$C$65,0))-1)+MATCH(B536,{"AM","PM","NIGHT","WD"},0)-1),""))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$266,'Feb'!$D$27:$AH$266,'Mar'!$D$27:$AH$266,'Apr'!$D$27:$AH$266,'May'!$D$27:$AH$266,'Jun'!$D$27:$AH$266,'Jul'!$D$27:$AH$266,'Aug'!$D$27:$AH$266,'Sep'!$D$27:$AH$266,'Oct'!$D$27:$AH$266,'Nov'!$D$27:$AH$266,'Dec'!$D$27:$AH$266,'Jan (next year)'!$D$27:$AH$266),27+4*(IFERROR(MATCH(C537,Roster!$B$6:$B$65,0),MATCH(C537,Roster!$C$6:$C$65,0))-1)+MATCH(B537,{"AM","PM","NIGHT","WD"},0)-1-27+1,DAY(A537))&amp;"",""))</f>
        <v/>
      </c>
      <c r="G537" s="123">
        <f>IF(OR(A537="",C537="",B537="",E537=""),"",IFERROR(A537&amp;"|"&amp;(27+4*(IFERROR(MATCH(C537,Roster!$B$6:$B$65,0),MATCH(C537,Roster!$C$6:$C$65,0))-1)+MATCH(B537,{"AM","PM","NIGHT","WD"},0)-1),""))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$266,'Feb'!$D$27:$AH$266,'Mar'!$D$27:$AH$266,'Apr'!$D$27:$AH$266,'May'!$D$27:$AH$266,'Jun'!$D$27:$AH$266,'Jul'!$D$27:$AH$266,'Aug'!$D$27:$AH$266,'Sep'!$D$27:$AH$266,'Oct'!$D$27:$AH$266,'Nov'!$D$27:$AH$266,'Dec'!$D$27:$AH$266,'Jan (next year)'!$D$27:$AH$266),27+4*(IFERROR(MATCH(C538,Roster!$B$6:$B$65,0),MATCH(C538,Roster!$C$6:$C$65,0))-1)+MATCH(B538,{"AM","PM","NIGHT","WD"},0)-1-27+1,DAY(A538))&amp;"",""))</f>
        <v/>
      </c>
      <c r="G538" s="123">
        <f>IF(OR(A538="",C538="",B538="",E538=""),"",IFERROR(A538&amp;"|"&amp;(27+4*(IFERROR(MATCH(C538,Roster!$B$6:$B$65,0),MATCH(C538,Roster!$C$6:$C$65,0))-1)+MATCH(B538,{"AM","PM","NIGHT","WD"},0)-1),""))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$266,'Feb'!$D$27:$AH$266,'Mar'!$D$27:$AH$266,'Apr'!$D$27:$AH$266,'May'!$D$27:$AH$266,'Jun'!$D$27:$AH$266,'Jul'!$D$27:$AH$266,'Aug'!$D$27:$AH$266,'Sep'!$D$27:$AH$266,'Oct'!$D$27:$AH$266,'Nov'!$D$27:$AH$266,'Dec'!$D$27:$AH$266,'Jan (next year)'!$D$27:$AH$266),27+4*(IFERROR(MATCH(C539,Roster!$B$6:$B$65,0),MATCH(C539,Roster!$C$6:$C$65,0))-1)+MATCH(B539,{"AM","PM","NIGHT","WD"},0)-1-27+1,DAY(A539))&amp;"",""))</f>
        <v/>
      </c>
      <c r="G539" s="123">
        <f>IF(OR(A539="",C539="",B539="",E539=""),"",IFERROR(A539&amp;"|"&amp;(27+4*(IFERROR(MATCH(C539,Roster!$B$6:$B$65,0),MATCH(C539,Roster!$C$6:$C$65,0))-1)+MATCH(B539,{"AM","PM","NIGHT","WD"},0)-1),""))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$266,'Feb'!$D$27:$AH$266,'Mar'!$D$27:$AH$266,'Apr'!$D$27:$AH$266,'May'!$D$27:$AH$266,'Jun'!$D$27:$AH$266,'Jul'!$D$27:$AH$266,'Aug'!$D$27:$AH$266,'Sep'!$D$27:$AH$266,'Oct'!$D$27:$AH$266,'Nov'!$D$27:$AH$266,'Dec'!$D$27:$AH$266,'Jan (next year)'!$D$27:$AH$266),27+4*(IFERROR(MATCH(C540,Roster!$B$6:$B$65,0),MATCH(C540,Roster!$C$6:$C$65,0))-1)+MATCH(B540,{"AM","PM","NIGHT","WD"},0)-1-27+1,DAY(A540))&amp;"",""))</f>
        <v/>
      </c>
      <c r="G540" s="123">
        <f>IF(OR(A540="",C540="",B540="",E540=""),"",IFERROR(A540&amp;"|"&amp;(27+4*(IFERROR(MATCH(C540,Roster!$B$6:$B$65,0),MATCH(C540,Roster!$C$6:$C$65,0))-1)+MATCH(B540,{"AM","PM","NIGHT","WD"},0)-1),""))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$266,'Feb'!$D$27:$AH$266,'Mar'!$D$27:$AH$266,'Apr'!$D$27:$AH$266,'May'!$D$27:$AH$266,'Jun'!$D$27:$AH$266,'Jul'!$D$27:$AH$266,'Aug'!$D$27:$AH$266,'Sep'!$D$27:$AH$266,'Oct'!$D$27:$AH$266,'Nov'!$D$27:$AH$266,'Dec'!$D$27:$AH$266,'Jan (next year)'!$D$27:$AH$266),27+4*(IFERROR(MATCH(C541,Roster!$B$6:$B$65,0),MATCH(C541,Roster!$C$6:$C$65,0))-1)+MATCH(B541,{"AM","PM","NIGHT","WD"},0)-1-27+1,DAY(A541))&amp;"",""))</f>
        <v/>
      </c>
      <c r="G541" s="123">
        <f>IF(OR(A541="",C541="",B541="",E541=""),"",IFERROR(A541&amp;"|"&amp;(27+4*(IFERROR(MATCH(C541,Roster!$B$6:$B$65,0),MATCH(C541,Roster!$C$6:$C$65,0))-1)+MATCH(B541,{"AM","PM","NIGHT","WD"},0)-1),""))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$266,'Feb'!$D$27:$AH$266,'Mar'!$D$27:$AH$266,'Apr'!$D$27:$AH$266,'May'!$D$27:$AH$266,'Jun'!$D$27:$AH$266,'Jul'!$D$27:$AH$266,'Aug'!$D$27:$AH$266,'Sep'!$D$27:$AH$266,'Oct'!$D$27:$AH$266,'Nov'!$D$27:$AH$266,'Dec'!$D$27:$AH$266,'Jan (next year)'!$D$27:$AH$266),27+4*(IFERROR(MATCH(C542,Roster!$B$6:$B$65,0),MATCH(C542,Roster!$C$6:$C$65,0))-1)+MATCH(B542,{"AM","PM","NIGHT","WD"},0)-1-27+1,DAY(A542))&amp;"",""))</f>
        <v/>
      </c>
      <c r="G542" s="123">
        <f>IF(OR(A542="",C542="",B542="",E542=""),"",IFERROR(A542&amp;"|"&amp;(27+4*(IFERROR(MATCH(C542,Roster!$B$6:$B$65,0),MATCH(C542,Roster!$C$6:$C$65,0))-1)+MATCH(B542,{"AM","PM","NIGHT","WD"},0)-1),""))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$266,'Feb'!$D$27:$AH$266,'Mar'!$D$27:$AH$266,'Apr'!$D$27:$AH$266,'May'!$D$27:$AH$266,'Jun'!$D$27:$AH$266,'Jul'!$D$27:$AH$266,'Aug'!$D$27:$AH$266,'Sep'!$D$27:$AH$266,'Oct'!$D$27:$AH$266,'Nov'!$D$27:$AH$266,'Dec'!$D$27:$AH$266,'Jan (next year)'!$D$27:$AH$266),27+4*(IFERROR(MATCH(C543,Roster!$B$6:$B$65,0),MATCH(C543,Roster!$C$6:$C$65,0))-1)+MATCH(B543,{"AM","PM","NIGHT","WD"},0)-1-27+1,DAY(A543))&amp;"",""))</f>
        <v/>
      </c>
      <c r="G543" s="123">
        <f>IF(OR(A543="",C543="",B543="",E543=""),"",IFERROR(A543&amp;"|"&amp;(27+4*(IFERROR(MATCH(C543,Roster!$B$6:$B$65,0),MATCH(C543,Roster!$C$6:$C$65,0))-1)+MATCH(B543,{"AM","PM","NIGHT","WD"},0)-1),""))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$266,'Feb'!$D$27:$AH$266,'Mar'!$D$27:$AH$266,'Apr'!$D$27:$AH$266,'May'!$D$27:$AH$266,'Jun'!$D$27:$AH$266,'Jul'!$D$27:$AH$266,'Aug'!$D$27:$AH$266,'Sep'!$D$27:$AH$266,'Oct'!$D$27:$AH$266,'Nov'!$D$27:$AH$266,'Dec'!$D$27:$AH$266,'Jan (next year)'!$D$27:$AH$266),27+4*(IFERROR(MATCH(C544,Roster!$B$6:$B$65,0),MATCH(C544,Roster!$C$6:$C$65,0))-1)+MATCH(B544,{"AM","PM","NIGHT","WD"},0)-1-27+1,DAY(A544))&amp;"",""))</f>
        <v/>
      </c>
      <c r="G544" s="123">
        <f>IF(OR(A544="",C544="",B544="",E544=""),"",IFERROR(A544&amp;"|"&amp;(27+4*(IFERROR(MATCH(C544,Roster!$B$6:$B$65,0),MATCH(C544,Roster!$C$6:$C$65,0))-1)+MATCH(B544,{"AM","PM","NIGHT","WD"},0)-1),""))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$266,'Feb'!$D$27:$AH$266,'Mar'!$D$27:$AH$266,'Apr'!$D$27:$AH$266,'May'!$D$27:$AH$266,'Jun'!$D$27:$AH$266,'Jul'!$D$27:$AH$266,'Aug'!$D$27:$AH$266,'Sep'!$D$27:$AH$266,'Oct'!$D$27:$AH$266,'Nov'!$D$27:$AH$266,'Dec'!$D$27:$AH$266,'Jan (next year)'!$D$27:$AH$266),27+4*(IFERROR(MATCH(C545,Roster!$B$6:$B$65,0),MATCH(C545,Roster!$C$6:$C$65,0))-1)+MATCH(B545,{"AM","PM","NIGHT","WD"},0)-1-27+1,DAY(A545))&amp;"",""))</f>
        <v/>
      </c>
      <c r="G545" s="123">
        <f>IF(OR(A545="",C545="",B545="",E545=""),"",IFERROR(A545&amp;"|"&amp;(27+4*(IFERROR(MATCH(C545,Roster!$B$6:$B$65,0),MATCH(C545,Roster!$C$6:$C$65,0))-1)+MATCH(B545,{"AM","PM","NIGHT","WD"},0)-1),""))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$266,'Feb'!$D$27:$AH$266,'Mar'!$D$27:$AH$266,'Apr'!$D$27:$AH$266,'May'!$D$27:$AH$266,'Jun'!$D$27:$AH$266,'Jul'!$D$27:$AH$266,'Aug'!$D$27:$AH$266,'Sep'!$D$27:$AH$266,'Oct'!$D$27:$AH$266,'Nov'!$D$27:$AH$266,'Dec'!$D$27:$AH$266,'Jan (next year)'!$D$27:$AH$266),27+4*(IFERROR(MATCH(C546,Roster!$B$6:$B$65,0),MATCH(C546,Roster!$C$6:$C$65,0))-1)+MATCH(B546,{"AM","PM","NIGHT","WD"},0)-1-27+1,DAY(A546))&amp;"",""))</f>
        <v/>
      </c>
      <c r="G546" s="123">
        <f>IF(OR(A546="",C546="",B546="",E546=""),"",IFERROR(A546&amp;"|"&amp;(27+4*(IFERROR(MATCH(C546,Roster!$B$6:$B$65,0),MATCH(C546,Roster!$C$6:$C$65,0))-1)+MATCH(B546,{"AM","PM","NIGHT","WD"},0)-1),""))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$266,'Feb'!$D$27:$AH$266,'Mar'!$D$27:$AH$266,'Apr'!$D$27:$AH$266,'May'!$D$27:$AH$266,'Jun'!$D$27:$AH$266,'Jul'!$D$27:$AH$266,'Aug'!$D$27:$AH$266,'Sep'!$D$27:$AH$266,'Oct'!$D$27:$AH$266,'Nov'!$D$27:$AH$266,'Dec'!$D$27:$AH$266,'Jan (next year)'!$D$27:$AH$266),27+4*(IFERROR(MATCH(C547,Roster!$B$6:$B$65,0),MATCH(C547,Roster!$C$6:$C$65,0))-1)+MATCH(B547,{"AM","PM","NIGHT","WD"},0)-1-27+1,DAY(A547))&amp;"",""))</f>
        <v/>
      </c>
      <c r="G547" s="123">
        <f>IF(OR(A547="",C547="",B547="",E547=""),"",IFERROR(A547&amp;"|"&amp;(27+4*(IFERROR(MATCH(C547,Roster!$B$6:$B$65,0),MATCH(C547,Roster!$C$6:$C$65,0))-1)+MATCH(B547,{"AM","PM","NIGHT","WD"},0)-1),""))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$266,'Feb'!$D$27:$AH$266,'Mar'!$D$27:$AH$266,'Apr'!$D$27:$AH$266,'May'!$D$27:$AH$266,'Jun'!$D$27:$AH$266,'Jul'!$D$27:$AH$266,'Aug'!$D$27:$AH$266,'Sep'!$D$27:$AH$266,'Oct'!$D$27:$AH$266,'Nov'!$D$27:$AH$266,'Dec'!$D$27:$AH$266,'Jan (next year)'!$D$27:$AH$266),27+4*(IFERROR(MATCH(C548,Roster!$B$6:$B$65,0),MATCH(C548,Roster!$C$6:$C$65,0))-1)+MATCH(B548,{"AM","PM","NIGHT","WD"},0)-1-27+1,DAY(A548))&amp;"",""))</f>
        <v/>
      </c>
      <c r="G548" s="123">
        <f>IF(OR(A548="",C548="",B548="",E548=""),"",IFERROR(A548&amp;"|"&amp;(27+4*(IFERROR(MATCH(C548,Roster!$B$6:$B$65,0),MATCH(C548,Roster!$C$6:$C$65,0))-1)+MATCH(B548,{"AM","PM","NIGHT","WD"},0)-1),""))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$266,'Feb'!$D$27:$AH$266,'Mar'!$D$27:$AH$266,'Apr'!$D$27:$AH$266,'May'!$D$27:$AH$266,'Jun'!$D$27:$AH$266,'Jul'!$D$27:$AH$266,'Aug'!$D$27:$AH$266,'Sep'!$D$27:$AH$266,'Oct'!$D$27:$AH$266,'Nov'!$D$27:$AH$266,'Dec'!$D$27:$AH$266,'Jan (next year)'!$D$27:$AH$266),27+4*(IFERROR(MATCH(C549,Roster!$B$6:$B$65,0),MATCH(C549,Roster!$C$6:$C$65,0))-1)+MATCH(B549,{"AM","PM","NIGHT","WD"},0)-1-27+1,DAY(A549))&amp;"",""))</f>
        <v/>
      </c>
      <c r="G549" s="123">
        <f>IF(OR(A549="",C549="",B549="",E549=""),"",IFERROR(A549&amp;"|"&amp;(27+4*(IFERROR(MATCH(C549,Roster!$B$6:$B$65,0),MATCH(C549,Roster!$C$6:$C$65,0))-1)+MATCH(B549,{"AM","PM","NIGHT","WD"},0)-1),""))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$266,'Feb'!$D$27:$AH$266,'Mar'!$D$27:$AH$266,'Apr'!$D$27:$AH$266,'May'!$D$27:$AH$266,'Jun'!$D$27:$AH$266,'Jul'!$D$27:$AH$266,'Aug'!$D$27:$AH$266,'Sep'!$D$27:$AH$266,'Oct'!$D$27:$AH$266,'Nov'!$D$27:$AH$266,'Dec'!$D$27:$AH$266,'Jan (next year)'!$D$27:$AH$266),27+4*(IFERROR(MATCH(C550,Roster!$B$6:$B$65,0),MATCH(C550,Roster!$C$6:$C$65,0))-1)+MATCH(B550,{"AM","PM","NIGHT","WD"},0)-1-27+1,DAY(A550))&amp;"",""))</f>
        <v/>
      </c>
      <c r="G550" s="123">
        <f>IF(OR(A550="",C550="",B550="",E550=""),"",IFERROR(A550&amp;"|"&amp;(27+4*(IFERROR(MATCH(C550,Roster!$B$6:$B$65,0),MATCH(C550,Roster!$C$6:$C$65,0))-1)+MATCH(B550,{"AM","PM","NIGHT","WD"},0)-1),""))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$266,'Feb'!$D$27:$AH$266,'Mar'!$D$27:$AH$266,'Apr'!$D$27:$AH$266,'May'!$D$27:$AH$266,'Jun'!$D$27:$AH$266,'Jul'!$D$27:$AH$266,'Aug'!$D$27:$AH$266,'Sep'!$D$27:$AH$266,'Oct'!$D$27:$AH$266,'Nov'!$D$27:$AH$266,'Dec'!$D$27:$AH$266,'Jan (next year)'!$D$27:$AH$266),27+4*(IFERROR(MATCH(C551,Roster!$B$6:$B$65,0),MATCH(C551,Roster!$C$6:$C$65,0))-1)+MATCH(B551,{"AM","PM","NIGHT","WD"},0)-1-27+1,DAY(A551))&amp;"",""))</f>
        <v/>
      </c>
      <c r="G551" s="123">
        <f>IF(OR(A551="",C551="",B551="",E551=""),"",IFERROR(A551&amp;"|"&amp;(27+4*(IFERROR(MATCH(C551,Roster!$B$6:$B$65,0),MATCH(C551,Roster!$C$6:$C$65,0))-1)+MATCH(B551,{"AM","PM","NIGHT","WD"},0)-1),""))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$266,'Feb'!$D$27:$AH$266,'Mar'!$D$27:$AH$266,'Apr'!$D$27:$AH$266,'May'!$D$27:$AH$266,'Jun'!$D$27:$AH$266,'Jul'!$D$27:$AH$266,'Aug'!$D$27:$AH$266,'Sep'!$D$27:$AH$266,'Oct'!$D$27:$AH$266,'Nov'!$D$27:$AH$266,'Dec'!$D$27:$AH$266,'Jan (next year)'!$D$27:$AH$266),27+4*(IFERROR(MATCH(C552,Roster!$B$6:$B$65,0),MATCH(C552,Roster!$C$6:$C$65,0))-1)+MATCH(B552,{"AM","PM","NIGHT","WD"},0)-1-27+1,DAY(A552))&amp;"",""))</f>
        <v/>
      </c>
      <c r="G552" s="123">
        <f>IF(OR(A552="",C552="",B552="",E552=""),"",IFERROR(A552&amp;"|"&amp;(27+4*(IFERROR(MATCH(C552,Roster!$B$6:$B$65,0),MATCH(C552,Roster!$C$6:$C$65,0))-1)+MATCH(B552,{"AM","PM","NIGHT","WD"},0)-1),""))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$266,'Feb'!$D$27:$AH$266,'Mar'!$D$27:$AH$266,'Apr'!$D$27:$AH$266,'May'!$D$27:$AH$266,'Jun'!$D$27:$AH$266,'Jul'!$D$27:$AH$266,'Aug'!$D$27:$AH$266,'Sep'!$D$27:$AH$266,'Oct'!$D$27:$AH$266,'Nov'!$D$27:$AH$266,'Dec'!$D$27:$AH$266,'Jan (next year)'!$D$27:$AH$266),27+4*(IFERROR(MATCH(C553,Roster!$B$6:$B$65,0),MATCH(C553,Roster!$C$6:$C$65,0))-1)+MATCH(B553,{"AM","PM","NIGHT","WD"},0)-1-27+1,DAY(A553))&amp;"",""))</f>
        <v/>
      </c>
      <c r="G553" s="123">
        <f>IF(OR(A553="",C553="",B553="",E553=""),"",IFERROR(A553&amp;"|"&amp;(27+4*(IFERROR(MATCH(C553,Roster!$B$6:$B$65,0),MATCH(C553,Roster!$C$6:$C$65,0))-1)+MATCH(B553,{"AM","PM","NIGHT","WD"},0)-1),""))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$266,'Feb'!$D$27:$AH$266,'Mar'!$D$27:$AH$266,'Apr'!$D$27:$AH$266,'May'!$D$27:$AH$266,'Jun'!$D$27:$AH$266,'Jul'!$D$27:$AH$266,'Aug'!$D$27:$AH$266,'Sep'!$D$27:$AH$266,'Oct'!$D$27:$AH$266,'Nov'!$D$27:$AH$266,'Dec'!$D$27:$AH$266,'Jan (next year)'!$D$27:$AH$266),27+4*(IFERROR(MATCH(C554,Roster!$B$6:$B$65,0),MATCH(C554,Roster!$C$6:$C$65,0))-1)+MATCH(B554,{"AM","PM","NIGHT","WD"},0)-1-27+1,DAY(A554))&amp;"",""))</f>
        <v/>
      </c>
      <c r="G554" s="123">
        <f>IF(OR(A554="",C554="",B554="",E554=""),"",IFERROR(A554&amp;"|"&amp;(27+4*(IFERROR(MATCH(C554,Roster!$B$6:$B$65,0),MATCH(C554,Roster!$C$6:$C$65,0))-1)+MATCH(B554,{"AM","PM","NIGHT","WD"},0)-1),""))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$266,'Feb'!$D$27:$AH$266,'Mar'!$D$27:$AH$266,'Apr'!$D$27:$AH$266,'May'!$D$27:$AH$266,'Jun'!$D$27:$AH$266,'Jul'!$D$27:$AH$266,'Aug'!$D$27:$AH$266,'Sep'!$D$27:$AH$266,'Oct'!$D$27:$AH$266,'Nov'!$D$27:$AH$266,'Dec'!$D$27:$AH$266,'Jan (next year)'!$D$27:$AH$266),27+4*(IFERROR(MATCH(C555,Roster!$B$6:$B$65,0),MATCH(C555,Roster!$C$6:$C$65,0))-1)+MATCH(B555,{"AM","PM","NIGHT","WD"},0)-1-27+1,DAY(A555))&amp;"",""))</f>
        <v/>
      </c>
      <c r="G555" s="123">
        <f>IF(OR(A555="",C555="",B555="",E555=""),"",IFERROR(A555&amp;"|"&amp;(27+4*(IFERROR(MATCH(C555,Roster!$B$6:$B$65,0),MATCH(C555,Roster!$C$6:$C$65,0))-1)+MATCH(B555,{"AM","PM","NIGHT","WD"},0)-1),""))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$266,'Feb'!$D$27:$AH$266,'Mar'!$D$27:$AH$266,'Apr'!$D$27:$AH$266,'May'!$D$27:$AH$266,'Jun'!$D$27:$AH$266,'Jul'!$D$27:$AH$266,'Aug'!$D$27:$AH$266,'Sep'!$D$27:$AH$266,'Oct'!$D$27:$AH$266,'Nov'!$D$27:$AH$266,'Dec'!$D$27:$AH$266,'Jan (next year)'!$D$27:$AH$266),27+4*(IFERROR(MATCH(C556,Roster!$B$6:$B$65,0),MATCH(C556,Roster!$C$6:$C$65,0))-1)+MATCH(B556,{"AM","PM","NIGHT","WD"},0)-1-27+1,DAY(A556))&amp;"",""))</f>
        <v/>
      </c>
      <c r="G556" s="123">
        <f>IF(OR(A556="",C556="",B556="",E556=""),"",IFERROR(A556&amp;"|"&amp;(27+4*(IFERROR(MATCH(C556,Roster!$B$6:$B$65,0),MATCH(C556,Roster!$C$6:$C$65,0))-1)+MATCH(B556,{"AM","PM","NIGHT","WD"},0)-1),""))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$266,'Feb'!$D$27:$AH$266,'Mar'!$D$27:$AH$266,'Apr'!$D$27:$AH$266,'May'!$D$27:$AH$266,'Jun'!$D$27:$AH$266,'Jul'!$D$27:$AH$266,'Aug'!$D$27:$AH$266,'Sep'!$D$27:$AH$266,'Oct'!$D$27:$AH$266,'Nov'!$D$27:$AH$266,'Dec'!$D$27:$AH$266,'Jan (next year)'!$D$27:$AH$266),27+4*(IFERROR(MATCH(C557,Roster!$B$6:$B$65,0),MATCH(C557,Roster!$C$6:$C$65,0))-1)+MATCH(B557,{"AM","PM","NIGHT","WD"},0)-1-27+1,DAY(A557))&amp;"",""))</f>
        <v/>
      </c>
      <c r="G557" s="123">
        <f>IF(OR(A557="",C557="",B557="",E557=""),"",IFERROR(A557&amp;"|"&amp;(27+4*(IFERROR(MATCH(C557,Roster!$B$6:$B$65,0),MATCH(C557,Roster!$C$6:$C$65,0))-1)+MATCH(B557,{"AM","PM","NIGHT","WD"},0)-1),""))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$266,'Feb'!$D$27:$AH$266,'Mar'!$D$27:$AH$266,'Apr'!$D$27:$AH$266,'May'!$D$27:$AH$266,'Jun'!$D$27:$AH$266,'Jul'!$D$27:$AH$266,'Aug'!$D$27:$AH$266,'Sep'!$D$27:$AH$266,'Oct'!$D$27:$AH$266,'Nov'!$D$27:$AH$266,'Dec'!$D$27:$AH$266,'Jan (next year)'!$D$27:$AH$266),27+4*(IFERROR(MATCH(C558,Roster!$B$6:$B$65,0),MATCH(C558,Roster!$C$6:$C$65,0))-1)+MATCH(B558,{"AM","PM","NIGHT","WD"},0)-1-27+1,DAY(A558))&amp;"",""))</f>
        <v/>
      </c>
      <c r="G558" s="123">
        <f>IF(OR(A558="",C558="",B558="",E558=""),"",IFERROR(A558&amp;"|"&amp;(27+4*(IFERROR(MATCH(C558,Roster!$B$6:$B$65,0),MATCH(C558,Roster!$C$6:$C$65,0))-1)+MATCH(B558,{"AM","PM","NIGHT","WD"},0)-1),""))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$266,'Feb'!$D$27:$AH$266,'Mar'!$D$27:$AH$266,'Apr'!$D$27:$AH$266,'May'!$D$27:$AH$266,'Jun'!$D$27:$AH$266,'Jul'!$D$27:$AH$266,'Aug'!$D$27:$AH$266,'Sep'!$D$27:$AH$266,'Oct'!$D$27:$AH$266,'Nov'!$D$27:$AH$266,'Dec'!$D$27:$AH$266,'Jan (next year)'!$D$27:$AH$266),27+4*(IFERROR(MATCH(C559,Roster!$B$6:$B$65,0),MATCH(C559,Roster!$C$6:$C$65,0))-1)+MATCH(B559,{"AM","PM","NIGHT","WD"},0)-1-27+1,DAY(A559))&amp;"",""))</f>
        <v/>
      </c>
      <c r="G559" s="123">
        <f>IF(OR(A559="",C559="",B559="",E559=""),"",IFERROR(A559&amp;"|"&amp;(27+4*(IFERROR(MATCH(C559,Roster!$B$6:$B$65,0),MATCH(C559,Roster!$C$6:$C$65,0))-1)+MATCH(B559,{"AM","PM","NIGHT","WD"},0)-1),""))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$266,'Feb'!$D$27:$AH$266,'Mar'!$D$27:$AH$266,'Apr'!$D$27:$AH$266,'May'!$D$27:$AH$266,'Jun'!$D$27:$AH$266,'Jul'!$D$27:$AH$266,'Aug'!$D$27:$AH$266,'Sep'!$D$27:$AH$266,'Oct'!$D$27:$AH$266,'Nov'!$D$27:$AH$266,'Dec'!$D$27:$AH$266,'Jan (next year)'!$D$27:$AH$266),27+4*(IFERROR(MATCH(C560,Roster!$B$6:$B$65,0),MATCH(C560,Roster!$C$6:$C$65,0))-1)+MATCH(B560,{"AM","PM","NIGHT","WD"},0)-1-27+1,DAY(A560))&amp;"",""))</f>
        <v/>
      </c>
      <c r="G560" s="123">
        <f>IF(OR(A560="",C560="",B560="",E560=""),"",IFERROR(A560&amp;"|"&amp;(27+4*(IFERROR(MATCH(C560,Roster!$B$6:$B$65,0),MATCH(C560,Roster!$C$6:$C$65,0))-1)+MATCH(B560,{"AM","PM","NIGHT","WD"},0)-1),""))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$266,'Feb'!$D$27:$AH$266,'Mar'!$D$27:$AH$266,'Apr'!$D$27:$AH$266,'May'!$D$27:$AH$266,'Jun'!$D$27:$AH$266,'Jul'!$D$27:$AH$266,'Aug'!$D$27:$AH$266,'Sep'!$D$27:$AH$266,'Oct'!$D$27:$AH$266,'Nov'!$D$27:$AH$266,'Dec'!$D$27:$AH$266,'Jan (next year)'!$D$27:$AH$266),27+4*(IFERROR(MATCH(C561,Roster!$B$6:$B$65,0),MATCH(C561,Roster!$C$6:$C$65,0))-1)+MATCH(B561,{"AM","PM","NIGHT","WD"},0)-1-27+1,DAY(A561))&amp;"",""))</f>
        <v/>
      </c>
      <c r="G561" s="123">
        <f>IF(OR(A561="",C561="",B561="",E561=""),"",IFERROR(A561&amp;"|"&amp;(27+4*(IFERROR(MATCH(C561,Roster!$B$6:$B$65,0),MATCH(C561,Roster!$C$6:$C$65,0))-1)+MATCH(B561,{"AM","PM","NIGHT","WD"},0)-1),""))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$266,'Feb'!$D$27:$AH$266,'Mar'!$D$27:$AH$266,'Apr'!$D$27:$AH$266,'May'!$D$27:$AH$266,'Jun'!$D$27:$AH$266,'Jul'!$D$27:$AH$266,'Aug'!$D$27:$AH$266,'Sep'!$D$27:$AH$266,'Oct'!$D$27:$AH$266,'Nov'!$D$27:$AH$266,'Dec'!$D$27:$AH$266,'Jan (next year)'!$D$27:$AH$266),27+4*(IFERROR(MATCH(C562,Roster!$B$6:$B$65,0),MATCH(C562,Roster!$C$6:$C$65,0))-1)+MATCH(B562,{"AM","PM","NIGHT","WD"},0)-1-27+1,DAY(A562))&amp;"",""))</f>
        <v/>
      </c>
      <c r="G562" s="123">
        <f>IF(OR(A562="",C562="",B562="",E562=""),"",IFERROR(A562&amp;"|"&amp;(27+4*(IFERROR(MATCH(C562,Roster!$B$6:$B$65,0),MATCH(C562,Roster!$C$6:$C$65,0))-1)+MATCH(B562,{"AM","PM","NIGHT","WD"},0)-1),""))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$266,'Feb'!$D$27:$AH$266,'Mar'!$D$27:$AH$266,'Apr'!$D$27:$AH$266,'May'!$D$27:$AH$266,'Jun'!$D$27:$AH$266,'Jul'!$D$27:$AH$266,'Aug'!$D$27:$AH$266,'Sep'!$D$27:$AH$266,'Oct'!$D$27:$AH$266,'Nov'!$D$27:$AH$266,'Dec'!$D$27:$AH$266,'Jan (next year)'!$D$27:$AH$266),27+4*(IFERROR(MATCH(C563,Roster!$B$6:$B$65,0),MATCH(C563,Roster!$C$6:$C$65,0))-1)+MATCH(B563,{"AM","PM","NIGHT","WD"},0)-1-27+1,DAY(A563))&amp;"",""))</f>
        <v/>
      </c>
      <c r="G563" s="123">
        <f>IF(OR(A563="",C563="",B563="",E563=""),"",IFERROR(A563&amp;"|"&amp;(27+4*(IFERROR(MATCH(C563,Roster!$B$6:$B$65,0),MATCH(C563,Roster!$C$6:$C$65,0))-1)+MATCH(B563,{"AM","PM","NIGHT","WD"},0)-1),""))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$266,'Feb'!$D$27:$AH$266,'Mar'!$D$27:$AH$266,'Apr'!$D$27:$AH$266,'May'!$D$27:$AH$266,'Jun'!$D$27:$AH$266,'Jul'!$D$27:$AH$266,'Aug'!$D$27:$AH$266,'Sep'!$D$27:$AH$266,'Oct'!$D$27:$AH$266,'Nov'!$D$27:$AH$266,'Dec'!$D$27:$AH$266,'Jan (next year)'!$D$27:$AH$266),27+4*(IFERROR(MATCH(C564,Roster!$B$6:$B$65,0),MATCH(C564,Roster!$C$6:$C$65,0))-1)+MATCH(B564,{"AM","PM","NIGHT","WD"},0)-1-27+1,DAY(A564))&amp;"",""))</f>
        <v/>
      </c>
      <c r="G564" s="123">
        <f>IF(OR(A564="",C564="",B564="",E564=""),"",IFERROR(A564&amp;"|"&amp;(27+4*(IFERROR(MATCH(C564,Roster!$B$6:$B$65,0),MATCH(C564,Roster!$C$6:$C$65,0))-1)+MATCH(B564,{"AM","PM","NIGHT","WD"},0)-1),""))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$266,'Feb'!$D$27:$AH$266,'Mar'!$D$27:$AH$266,'Apr'!$D$27:$AH$266,'May'!$D$27:$AH$266,'Jun'!$D$27:$AH$266,'Jul'!$D$27:$AH$266,'Aug'!$D$27:$AH$266,'Sep'!$D$27:$AH$266,'Oct'!$D$27:$AH$266,'Nov'!$D$27:$AH$266,'Dec'!$D$27:$AH$266,'Jan (next year)'!$D$27:$AH$266),27+4*(IFERROR(MATCH(C565,Roster!$B$6:$B$65,0),MATCH(C565,Roster!$C$6:$C$65,0))-1)+MATCH(B565,{"AM","PM","NIGHT","WD"},0)-1-27+1,DAY(A565))&amp;"",""))</f>
        <v/>
      </c>
      <c r="G565" s="123">
        <f>IF(OR(A565="",C565="",B565="",E565=""),"",IFERROR(A565&amp;"|"&amp;(27+4*(IFERROR(MATCH(C565,Roster!$B$6:$B$65,0),MATCH(C565,Roster!$C$6:$C$65,0))-1)+MATCH(B565,{"AM","PM","NIGHT","WD"},0)-1),""))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$266,'Feb'!$D$27:$AH$266,'Mar'!$D$27:$AH$266,'Apr'!$D$27:$AH$266,'May'!$D$27:$AH$266,'Jun'!$D$27:$AH$266,'Jul'!$D$27:$AH$266,'Aug'!$D$27:$AH$266,'Sep'!$D$27:$AH$266,'Oct'!$D$27:$AH$266,'Nov'!$D$27:$AH$266,'Dec'!$D$27:$AH$266,'Jan (next year)'!$D$27:$AH$266),27+4*(IFERROR(MATCH(C566,Roster!$B$6:$B$65,0),MATCH(C566,Roster!$C$6:$C$65,0))-1)+MATCH(B566,{"AM","PM","NIGHT","WD"},0)-1-27+1,DAY(A566))&amp;"",""))</f>
        <v/>
      </c>
      <c r="G566" s="123">
        <f>IF(OR(A566="",C566="",B566="",E566=""),"",IFERROR(A566&amp;"|"&amp;(27+4*(IFERROR(MATCH(C566,Roster!$B$6:$B$65,0),MATCH(C566,Roster!$C$6:$C$65,0))-1)+MATCH(B566,{"AM","PM","NIGHT","WD"},0)-1),""))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$266,'Feb'!$D$27:$AH$266,'Mar'!$D$27:$AH$266,'Apr'!$D$27:$AH$266,'May'!$D$27:$AH$266,'Jun'!$D$27:$AH$266,'Jul'!$D$27:$AH$266,'Aug'!$D$27:$AH$266,'Sep'!$D$27:$AH$266,'Oct'!$D$27:$AH$266,'Nov'!$D$27:$AH$266,'Dec'!$D$27:$AH$266,'Jan (next year)'!$D$27:$AH$266),27+4*(IFERROR(MATCH(C567,Roster!$B$6:$B$65,0),MATCH(C567,Roster!$C$6:$C$65,0))-1)+MATCH(B567,{"AM","PM","NIGHT","WD"},0)-1-27+1,DAY(A567))&amp;"",""))</f>
        <v/>
      </c>
      <c r="G567" s="123">
        <f>IF(OR(A567="",C567="",B567="",E567=""),"",IFERROR(A567&amp;"|"&amp;(27+4*(IFERROR(MATCH(C567,Roster!$B$6:$B$65,0),MATCH(C567,Roster!$C$6:$C$65,0))-1)+MATCH(B567,{"AM","PM","NIGHT","WD"},0)-1),""))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$266,'Feb'!$D$27:$AH$266,'Mar'!$D$27:$AH$266,'Apr'!$D$27:$AH$266,'May'!$D$27:$AH$266,'Jun'!$D$27:$AH$266,'Jul'!$D$27:$AH$266,'Aug'!$D$27:$AH$266,'Sep'!$D$27:$AH$266,'Oct'!$D$27:$AH$266,'Nov'!$D$27:$AH$266,'Dec'!$D$27:$AH$266,'Jan (next year)'!$D$27:$AH$266),27+4*(IFERROR(MATCH(C568,Roster!$B$6:$B$65,0),MATCH(C568,Roster!$C$6:$C$65,0))-1)+MATCH(B568,{"AM","PM","NIGHT","WD"},0)-1-27+1,DAY(A568))&amp;"",""))</f>
        <v/>
      </c>
      <c r="G568" s="123">
        <f>IF(OR(A568="",C568="",B568="",E568=""),"",IFERROR(A568&amp;"|"&amp;(27+4*(IFERROR(MATCH(C568,Roster!$B$6:$B$65,0),MATCH(C568,Roster!$C$6:$C$65,0))-1)+MATCH(B568,{"AM","PM","NIGHT","WD"},0)-1),""))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$266,'Feb'!$D$27:$AH$266,'Mar'!$D$27:$AH$266,'Apr'!$D$27:$AH$266,'May'!$D$27:$AH$266,'Jun'!$D$27:$AH$266,'Jul'!$D$27:$AH$266,'Aug'!$D$27:$AH$266,'Sep'!$D$27:$AH$266,'Oct'!$D$27:$AH$266,'Nov'!$D$27:$AH$266,'Dec'!$D$27:$AH$266,'Jan (next year)'!$D$27:$AH$266),27+4*(IFERROR(MATCH(C569,Roster!$B$6:$B$65,0),MATCH(C569,Roster!$C$6:$C$65,0))-1)+MATCH(B569,{"AM","PM","NIGHT","WD"},0)-1-27+1,DAY(A569))&amp;"",""))</f>
        <v/>
      </c>
      <c r="G569" s="123">
        <f>IF(OR(A569="",C569="",B569="",E569=""),"",IFERROR(A569&amp;"|"&amp;(27+4*(IFERROR(MATCH(C569,Roster!$B$6:$B$65,0),MATCH(C569,Roster!$C$6:$C$65,0))-1)+MATCH(B569,{"AM","PM","NIGHT","WD"},0)-1),""))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$266,'Feb'!$D$27:$AH$266,'Mar'!$D$27:$AH$266,'Apr'!$D$27:$AH$266,'May'!$D$27:$AH$266,'Jun'!$D$27:$AH$266,'Jul'!$D$27:$AH$266,'Aug'!$D$27:$AH$266,'Sep'!$D$27:$AH$266,'Oct'!$D$27:$AH$266,'Nov'!$D$27:$AH$266,'Dec'!$D$27:$AH$266,'Jan (next year)'!$D$27:$AH$266),27+4*(IFERROR(MATCH(C570,Roster!$B$6:$B$65,0),MATCH(C570,Roster!$C$6:$C$65,0))-1)+MATCH(B570,{"AM","PM","NIGHT","WD"},0)-1-27+1,DAY(A570))&amp;"",""))</f>
        <v/>
      </c>
      <c r="G570" s="123">
        <f>IF(OR(A570="",C570="",B570="",E570=""),"",IFERROR(A570&amp;"|"&amp;(27+4*(IFERROR(MATCH(C570,Roster!$B$6:$B$65,0),MATCH(C570,Roster!$C$6:$C$65,0))-1)+MATCH(B570,{"AM","PM","NIGHT","WD"},0)-1),""))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$266,'Feb'!$D$27:$AH$266,'Mar'!$D$27:$AH$266,'Apr'!$D$27:$AH$266,'May'!$D$27:$AH$266,'Jun'!$D$27:$AH$266,'Jul'!$D$27:$AH$266,'Aug'!$D$27:$AH$266,'Sep'!$D$27:$AH$266,'Oct'!$D$27:$AH$266,'Nov'!$D$27:$AH$266,'Dec'!$D$27:$AH$266,'Jan (next year)'!$D$27:$AH$266),27+4*(IFERROR(MATCH(C571,Roster!$B$6:$B$65,0),MATCH(C571,Roster!$C$6:$C$65,0))-1)+MATCH(B571,{"AM","PM","NIGHT","WD"},0)-1-27+1,DAY(A571))&amp;"",""))</f>
        <v/>
      </c>
      <c r="G571" s="123">
        <f>IF(OR(A571="",C571="",B571="",E571=""),"",IFERROR(A571&amp;"|"&amp;(27+4*(IFERROR(MATCH(C571,Roster!$B$6:$B$65,0),MATCH(C571,Roster!$C$6:$C$65,0))-1)+MATCH(B571,{"AM","PM","NIGHT","WD"},0)-1),""))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$266,'Feb'!$D$27:$AH$266,'Mar'!$D$27:$AH$266,'Apr'!$D$27:$AH$266,'May'!$D$27:$AH$266,'Jun'!$D$27:$AH$266,'Jul'!$D$27:$AH$266,'Aug'!$D$27:$AH$266,'Sep'!$D$27:$AH$266,'Oct'!$D$27:$AH$266,'Nov'!$D$27:$AH$266,'Dec'!$D$27:$AH$266,'Jan (next year)'!$D$27:$AH$266),27+4*(IFERROR(MATCH(C572,Roster!$B$6:$B$65,0),MATCH(C572,Roster!$C$6:$C$65,0))-1)+MATCH(B572,{"AM","PM","NIGHT","WD"},0)-1-27+1,DAY(A572))&amp;"",""))</f>
        <v/>
      </c>
      <c r="G572" s="123">
        <f>IF(OR(A572="",C572="",B572="",E572=""),"",IFERROR(A572&amp;"|"&amp;(27+4*(IFERROR(MATCH(C572,Roster!$B$6:$B$65,0),MATCH(C572,Roster!$C$6:$C$65,0))-1)+MATCH(B572,{"AM","PM","NIGHT","WD"},0)-1),""))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$266,'Feb'!$D$27:$AH$266,'Mar'!$D$27:$AH$266,'Apr'!$D$27:$AH$266,'May'!$D$27:$AH$266,'Jun'!$D$27:$AH$266,'Jul'!$D$27:$AH$266,'Aug'!$D$27:$AH$266,'Sep'!$D$27:$AH$266,'Oct'!$D$27:$AH$266,'Nov'!$D$27:$AH$266,'Dec'!$D$27:$AH$266,'Jan (next year)'!$D$27:$AH$266),27+4*(IFERROR(MATCH(C573,Roster!$B$6:$B$65,0),MATCH(C573,Roster!$C$6:$C$65,0))-1)+MATCH(B573,{"AM","PM","NIGHT","WD"},0)-1-27+1,DAY(A573))&amp;"",""))</f>
        <v/>
      </c>
      <c r="G573" s="123">
        <f>IF(OR(A573="",C573="",B573="",E573=""),"",IFERROR(A573&amp;"|"&amp;(27+4*(IFERROR(MATCH(C573,Roster!$B$6:$B$65,0),MATCH(C573,Roster!$C$6:$C$65,0))-1)+MATCH(B573,{"AM","PM","NIGHT","WD"},0)-1),""))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$266,'Feb'!$D$27:$AH$266,'Mar'!$D$27:$AH$266,'Apr'!$D$27:$AH$266,'May'!$D$27:$AH$266,'Jun'!$D$27:$AH$266,'Jul'!$D$27:$AH$266,'Aug'!$D$27:$AH$266,'Sep'!$D$27:$AH$266,'Oct'!$D$27:$AH$266,'Nov'!$D$27:$AH$266,'Dec'!$D$27:$AH$266,'Jan (next year)'!$D$27:$AH$266),27+4*(IFERROR(MATCH(C574,Roster!$B$6:$B$65,0),MATCH(C574,Roster!$C$6:$C$65,0))-1)+MATCH(B574,{"AM","PM","NIGHT","WD"},0)-1-27+1,DAY(A574))&amp;"",""))</f>
        <v/>
      </c>
      <c r="G574" s="123">
        <f>IF(OR(A574="",C574="",B574="",E574=""),"",IFERROR(A574&amp;"|"&amp;(27+4*(IFERROR(MATCH(C574,Roster!$B$6:$B$65,0),MATCH(C574,Roster!$C$6:$C$65,0))-1)+MATCH(B574,{"AM","PM","NIGHT","WD"},0)-1),""))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$266,'Feb'!$D$27:$AH$266,'Mar'!$D$27:$AH$266,'Apr'!$D$27:$AH$266,'May'!$D$27:$AH$266,'Jun'!$D$27:$AH$266,'Jul'!$D$27:$AH$266,'Aug'!$D$27:$AH$266,'Sep'!$D$27:$AH$266,'Oct'!$D$27:$AH$266,'Nov'!$D$27:$AH$266,'Dec'!$D$27:$AH$266,'Jan (next year)'!$D$27:$AH$266),27+4*(IFERROR(MATCH(C575,Roster!$B$6:$B$65,0),MATCH(C575,Roster!$C$6:$C$65,0))-1)+MATCH(B575,{"AM","PM","NIGHT","WD"},0)-1-27+1,DAY(A575))&amp;"",""))</f>
        <v/>
      </c>
      <c r="G575" s="123">
        <f>IF(OR(A575="",C575="",B575="",E575=""),"",IFERROR(A575&amp;"|"&amp;(27+4*(IFERROR(MATCH(C575,Roster!$B$6:$B$65,0),MATCH(C575,Roster!$C$6:$C$65,0))-1)+MATCH(B575,{"AM","PM","NIGHT","WD"},0)-1),""))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$266,'Feb'!$D$27:$AH$266,'Mar'!$D$27:$AH$266,'Apr'!$D$27:$AH$266,'May'!$D$27:$AH$266,'Jun'!$D$27:$AH$266,'Jul'!$D$27:$AH$266,'Aug'!$D$27:$AH$266,'Sep'!$D$27:$AH$266,'Oct'!$D$27:$AH$266,'Nov'!$D$27:$AH$266,'Dec'!$D$27:$AH$266,'Jan (next year)'!$D$27:$AH$266),27+4*(IFERROR(MATCH(C576,Roster!$B$6:$B$65,0),MATCH(C576,Roster!$C$6:$C$65,0))-1)+MATCH(B576,{"AM","PM","NIGHT","WD"},0)-1-27+1,DAY(A576))&amp;"",""))</f>
        <v/>
      </c>
      <c r="G576" s="123">
        <f>IF(OR(A576="",C576="",B576="",E576=""),"",IFERROR(A576&amp;"|"&amp;(27+4*(IFERROR(MATCH(C576,Roster!$B$6:$B$65,0),MATCH(C576,Roster!$C$6:$C$65,0))-1)+MATCH(B576,{"AM","PM","NIGHT","WD"},0)-1),""))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$266,'Feb'!$D$27:$AH$266,'Mar'!$D$27:$AH$266,'Apr'!$D$27:$AH$266,'May'!$D$27:$AH$266,'Jun'!$D$27:$AH$266,'Jul'!$D$27:$AH$266,'Aug'!$D$27:$AH$266,'Sep'!$D$27:$AH$266,'Oct'!$D$27:$AH$266,'Nov'!$D$27:$AH$266,'Dec'!$D$27:$AH$266,'Jan (next year)'!$D$27:$AH$266),27+4*(IFERROR(MATCH(C577,Roster!$B$6:$B$65,0),MATCH(C577,Roster!$C$6:$C$65,0))-1)+MATCH(B577,{"AM","PM","NIGHT","WD"},0)-1-27+1,DAY(A577))&amp;"",""))</f>
        <v/>
      </c>
      <c r="G577" s="123">
        <f>IF(OR(A577="",C577="",B577="",E577=""),"",IFERROR(A577&amp;"|"&amp;(27+4*(IFERROR(MATCH(C577,Roster!$B$6:$B$65,0),MATCH(C577,Roster!$C$6:$C$65,0))-1)+MATCH(B577,{"AM","PM","NIGHT","WD"},0)-1),""))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$266,'Feb'!$D$27:$AH$266,'Mar'!$D$27:$AH$266,'Apr'!$D$27:$AH$266,'May'!$D$27:$AH$266,'Jun'!$D$27:$AH$266,'Jul'!$D$27:$AH$266,'Aug'!$D$27:$AH$266,'Sep'!$D$27:$AH$266,'Oct'!$D$27:$AH$266,'Nov'!$D$27:$AH$266,'Dec'!$D$27:$AH$266,'Jan (next year)'!$D$27:$AH$266),27+4*(IFERROR(MATCH(C578,Roster!$B$6:$B$65,0),MATCH(C578,Roster!$C$6:$C$65,0))-1)+MATCH(B578,{"AM","PM","NIGHT","WD"},0)-1-27+1,DAY(A578))&amp;"",""))</f>
        <v/>
      </c>
      <c r="G578" s="123">
        <f>IF(OR(A578="",C578="",B578="",E578=""),"",IFERROR(A578&amp;"|"&amp;(27+4*(IFERROR(MATCH(C578,Roster!$B$6:$B$65,0),MATCH(C578,Roster!$C$6:$C$65,0))-1)+MATCH(B578,{"AM","PM","NIGHT","WD"},0)-1),""))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$266,'Feb'!$D$27:$AH$266,'Mar'!$D$27:$AH$266,'Apr'!$D$27:$AH$266,'May'!$D$27:$AH$266,'Jun'!$D$27:$AH$266,'Jul'!$D$27:$AH$266,'Aug'!$D$27:$AH$266,'Sep'!$D$27:$AH$266,'Oct'!$D$27:$AH$266,'Nov'!$D$27:$AH$266,'Dec'!$D$27:$AH$266,'Jan (next year)'!$D$27:$AH$266),27+4*(IFERROR(MATCH(C579,Roster!$B$6:$B$65,0),MATCH(C579,Roster!$C$6:$C$65,0))-1)+MATCH(B579,{"AM","PM","NIGHT","WD"},0)-1-27+1,DAY(A579))&amp;"",""))</f>
        <v/>
      </c>
      <c r="G579" s="123">
        <f>IF(OR(A579="",C579="",B579="",E579=""),"",IFERROR(A579&amp;"|"&amp;(27+4*(IFERROR(MATCH(C579,Roster!$B$6:$B$65,0),MATCH(C579,Roster!$C$6:$C$65,0))-1)+MATCH(B579,{"AM","PM","NIGHT","WD"},0)-1),""))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$266,'Feb'!$D$27:$AH$266,'Mar'!$D$27:$AH$266,'Apr'!$D$27:$AH$266,'May'!$D$27:$AH$266,'Jun'!$D$27:$AH$266,'Jul'!$D$27:$AH$266,'Aug'!$D$27:$AH$266,'Sep'!$D$27:$AH$266,'Oct'!$D$27:$AH$266,'Nov'!$D$27:$AH$266,'Dec'!$D$27:$AH$266,'Jan (next year)'!$D$27:$AH$266),27+4*(IFERROR(MATCH(C580,Roster!$B$6:$B$65,0),MATCH(C580,Roster!$C$6:$C$65,0))-1)+MATCH(B580,{"AM","PM","NIGHT","WD"},0)-1-27+1,DAY(A580))&amp;"",""))</f>
        <v/>
      </c>
      <c r="G580" s="123">
        <f>IF(OR(A580="",C580="",B580="",E580=""),"",IFERROR(A580&amp;"|"&amp;(27+4*(IFERROR(MATCH(C580,Roster!$B$6:$B$65,0),MATCH(C580,Roster!$C$6:$C$65,0))-1)+MATCH(B580,{"AM","PM","NIGHT","WD"},0)-1),""))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$266,'Feb'!$D$27:$AH$266,'Mar'!$D$27:$AH$266,'Apr'!$D$27:$AH$266,'May'!$D$27:$AH$266,'Jun'!$D$27:$AH$266,'Jul'!$D$27:$AH$266,'Aug'!$D$27:$AH$266,'Sep'!$D$27:$AH$266,'Oct'!$D$27:$AH$266,'Nov'!$D$27:$AH$266,'Dec'!$D$27:$AH$266,'Jan (next year)'!$D$27:$AH$266),27+4*(IFERROR(MATCH(C581,Roster!$B$6:$B$65,0),MATCH(C581,Roster!$C$6:$C$65,0))-1)+MATCH(B581,{"AM","PM","NIGHT","WD"},0)-1-27+1,DAY(A581))&amp;"",""))</f>
        <v/>
      </c>
      <c r="G581" s="123">
        <f>IF(OR(A581="",C581="",B581="",E581=""),"",IFERROR(A581&amp;"|"&amp;(27+4*(IFERROR(MATCH(C581,Roster!$B$6:$B$65,0),MATCH(C581,Roster!$C$6:$C$65,0))-1)+MATCH(B581,{"AM","PM","NIGHT","WD"},0)-1),""))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$266,'Feb'!$D$27:$AH$266,'Mar'!$D$27:$AH$266,'Apr'!$D$27:$AH$266,'May'!$D$27:$AH$266,'Jun'!$D$27:$AH$266,'Jul'!$D$27:$AH$266,'Aug'!$D$27:$AH$266,'Sep'!$D$27:$AH$266,'Oct'!$D$27:$AH$266,'Nov'!$D$27:$AH$266,'Dec'!$D$27:$AH$266,'Jan (next year)'!$D$27:$AH$266),27+4*(IFERROR(MATCH(C582,Roster!$B$6:$B$65,0),MATCH(C582,Roster!$C$6:$C$65,0))-1)+MATCH(B582,{"AM","PM","NIGHT","WD"},0)-1-27+1,DAY(A582))&amp;"",""))</f>
        <v/>
      </c>
      <c r="G582" s="123">
        <f>IF(OR(A582="",C582="",B582="",E582=""),"",IFERROR(A582&amp;"|"&amp;(27+4*(IFERROR(MATCH(C582,Roster!$B$6:$B$65,0),MATCH(C582,Roster!$C$6:$C$65,0))-1)+MATCH(B582,{"AM","PM","NIGHT","WD"},0)-1),""))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$266,'Feb'!$D$27:$AH$266,'Mar'!$D$27:$AH$266,'Apr'!$D$27:$AH$266,'May'!$D$27:$AH$266,'Jun'!$D$27:$AH$266,'Jul'!$D$27:$AH$266,'Aug'!$D$27:$AH$266,'Sep'!$D$27:$AH$266,'Oct'!$D$27:$AH$266,'Nov'!$D$27:$AH$266,'Dec'!$D$27:$AH$266,'Jan (next year)'!$D$27:$AH$266),27+4*(IFERROR(MATCH(C583,Roster!$B$6:$B$65,0),MATCH(C583,Roster!$C$6:$C$65,0))-1)+MATCH(B583,{"AM","PM","NIGHT","WD"},0)-1-27+1,DAY(A583))&amp;"",""))</f>
        <v/>
      </c>
      <c r="G583" s="123">
        <f>IF(OR(A583="",C583="",B583="",E583=""),"",IFERROR(A583&amp;"|"&amp;(27+4*(IFERROR(MATCH(C583,Roster!$B$6:$B$65,0),MATCH(C583,Roster!$C$6:$C$65,0))-1)+MATCH(B583,{"AM","PM","NIGHT","WD"},0)-1),""))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$266,'Feb'!$D$27:$AH$266,'Mar'!$D$27:$AH$266,'Apr'!$D$27:$AH$266,'May'!$D$27:$AH$266,'Jun'!$D$27:$AH$266,'Jul'!$D$27:$AH$266,'Aug'!$D$27:$AH$266,'Sep'!$D$27:$AH$266,'Oct'!$D$27:$AH$266,'Nov'!$D$27:$AH$266,'Dec'!$D$27:$AH$266,'Jan (next year)'!$D$27:$AH$266),27+4*(IFERROR(MATCH(C584,Roster!$B$6:$B$65,0),MATCH(C584,Roster!$C$6:$C$65,0))-1)+MATCH(B584,{"AM","PM","NIGHT","WD"},0)-1-27+1,DAY(A584))&amp;"",""))</f>
        <v/>
      </c>
      <c r="G584" s="123">
        <f>IF(OR(A584="",C584="",B584="",E584=""),"",IFERROR(A584&amp;"|"&amp;(27+4*(IFERROR(MATCH(C584,Roster!$B$6:$B$65,0),MATCH(C584,Roster!$C$6:$C$65,0))-1)+MATCH(B584,{"AM","PM","NIGHT","WD"},0)-1),""))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$266,'Feb'!$D$27:$AH$266,'Mar'!$D$27:$AH$266,'Apr'!$D$27:$AH$266,'May'!$D$27:$AH$266,'Jun'!$D$27:$AH$266,'Jul'!$D$27:$AH$266,'Aug'!$D$27:$AH$266,'Sep'!$D$27:$AH$266,'Oct'!$D$27:$AH$266,'Nov'!$D$27:$AH$266,'Dec'!$D$27:$AH$266,'Jan (next year)'!$D$27:$AH$266),27+4*(IFERROR(MATCH(C585,Roster!$B$6:$B$65,0),MATCH(C585,Roster!$C$6:$C$65,0))-1)+MATCH(B585,{"AM","PM","NIGHT","WD"},0)-1-27+1,DAY(A585))&amp;"",""))</f>
        <v/>
      </c>
      <c r="G585" s="123">
        <f>IF(OR(A585="",C585="",B585="",E585=""),"",IFERROR(A585&amp;"|"&amp;(27+4*(IFERROR(MATCH(C585,Roster!$B$6:$B$65,0),MATCH(C585,Roster!$C$6:$C$65,0))-1)+MATCH(B585,{"AM","PM","NIGHT","WD"},0)-1),""))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$266,'Feb'!$D$27:$AH$266,'Mar'!$D$27:$AH$266,'Apr'!$D$27:$AH$266,'May'!$D$27:$AH$266,'Jun'!$D$27:$AH$266,'Jul'!$D$27:$AH$266,'Aug'!$D$27:$AH$266,'Sep'!$D$27:$AH$266,'Oct'!$D$27:$AH$266,'Nov'!$D$27:$AH$266,'Dec'!$D$27:$AH$266,'Jan (next year)'!$D$27:$AH$266),27+4*(IFERROR(MATCH(C586,Roster!$B$6:$B$65,0),MATCH(C586,Roster!$C$6:$C$65,0))-1)+MATCH(B586,{"AM","PM","NIGHT","WD"},0)-1-27+1,DAY(A586))&amp;"",""))</f>
        <v/>
      </c>
      <c r="G586" s="123">
        <f>IF(OR(A586="",C586="",B586="",E586=""),"",IFERROR(A586&amp;"|"&amp;(27+4*(IFERROR(MATCH(C586,Roster!$B$6:$B$65,0),MATCH(C586,Roster!$C$6:$C$65,0))-1)+MATCH(B586,{"AM","PM","NIGHT","WD"},0)-1),""))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$266,'Feb'!$D$27:$AH$266,'Mar'!$D$27:$AH$266,'Apr'!$D$27:$AH$266,'May'!$D$27:$AH$266,'Jun'!$D$27:$AH$266,'Jul'!$D$27:$AH$266,'Aug'!$D$27:$AH$266,'Sep'!$D$27:$AH$266,'Oct'!$D$27:$AH$266,'Nov'!$D$27:$AH$266,'Dec'!$D$27:$AH$266,'Jan (next year)'!$D$27:$AH$266),27+4*(IFERROR(MATCH(C587,Roster!$B$6:$B$65,0),MATCH(C587,Roster!$C$6:$C$65,0))-1)+MATCH(B587,{"AM","PM","NIGHT","WD"},0)-1-27+1,DAY(A587))&amp;"",""))</f>
        <v/>
      </c>
      <c r="G587" s="123">
        <f>IF(OR(A587="",C587="",B587="",E587=""),"",IFERROR(A587&amp;"|"&amp;(27+4*(IFERROR(MATCH(C587,Roster!$B$6:$B$65,0),MATCH(C587,Roster!$C$6:$C$65,0))-1)+MATCH(B587,{"AM","PM","NIGHT","WD"},0)-1),""))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$266,'Feb'!$D$27:$AH$266,'Mar'!$D$27:$AH$266,'Apr'!$D$27:$AH$266,'May'!$D$27:$AH$266,'Jun'!$D$27:$AH$266,'Jul'!$D$27:$AH$266,'Aug'!$D$27:$AH$266,'Sep'!$D$27:$AH$266,'Oct'!$D$27:$AH$266,'Nov'!$D$27:$AH$266,'Dec'!$D$27:$AH$266,'Jan (next year)'!$D$27:$AH$266),27+4*(IFERROR(MATCH(C588,Roster!$B$6:$B$65,0),MATCH(C588,Roster!$C$6:$C$65,0))-1)+MATCH(B588,{"AM","PM","NIGHT","WD"},0)-1-27+1,DAY(A588))&amp;"",""))</f>
        <v/>
      </c>
      <c r="G588" s="123">
        <f>IF(OR(A588="",C588="",B588="",E588=""),"",IFERROR(A588&amp;"|"&amp;(27+4*(IFERROR(MATCH(C588,Roster!$B$6:$B$65,0),MATCH(C588,Roster!$C$6:$C$65,0))-1)+MATCH(B588,{"AM","PM","NIGHT","WD"},0)-1),""))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$266,'Feb'!$D$27:$AH$266,'Mar'!$D$27:$AH$266,'Apr'!$D$27:$AH$266,'May'!$D$27:$AH$266,'Jun'!$D$27:$AH$266,'Jul'!$D$27:$AH$266,'Aug'!$D$27:$AH$266,'Sep'!$D$27:$AH$266,'Oct'!$D$27:$AH$266,'Nov'!$D$27:$AH$266,'Dec'!$D$27:$AH$266,'Jan (next year)'!$D$27:$AH$266),27+4*(IFERROR(MATCH(C589,Roster!$B$6:$B$65,0),MATCH(C589,Roster!$C$6:$C$65,0))-1)+MATCH(B589,{"AM","PM","NIGHT","WD"},0)-1-27+1,DAY(A589))&amp;"",""))</f>
        <v/>
      </c>
      <c r="G589" s="123">
        <f>IF(OR(A589="",C589="",B589="",E589=""),"",IFERROR(A589&amp;"|"&amp;(27+4*(IFERROR(MATCH(C589,Roster!$B$6:$B$65,0),MATCH(C589,Roster!$C$6:$C$65,0))-1)+MATCH(B589,{"AM","PM","NIGHT","WD"},0)-1),""))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$266,'Feb'!$D$27:$AH$266,'Mar'!$D$27:$AH$266,'Apr'!$D$27:$AH$266,'May'!$D$27:$AH$266,'Jun'!$D$27:$AH$266,'Jul'!$D$27:$AH$266,'Aug'!$D$27:$AH$266,'Sep'!$D$27:$AH$266,'Oct'!$D$27:$AH$266,'Nov'!$D$27:$AH$266,'Dec'!$D$27:$AH$266,'Jan (next year)'!$D$27:$AH$266),27+4*(IFERROR(MATCH(C590,Roster!$B$6:$B$65,0),MATCH(C590,Roster!$C$6:$C$65,0))-1)+MATCH(B590,{"AM","PM","NIGHT","WD"},0)-1-27+1,DAY(A590))&amp;"",""))</f>
        <v/>
      </c>
      <c r="G590" s="123">
        <f>IF(OR(A590="",C590="",B590="",E590=""),"",IFERROR(A590&amp;"|"&amp;(27+4*(IFERROR(MATCH(C590,Roster!$B$6:$B$65,0),MATCH(C590,Roster!$C$6:$C$65,0))-1)+MATCH(B590,{"AM","PM","NIGHT","WD"},0)-1),""))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$266,'Feb'!$D$27:$AH$266,'Mar'!$D$27:$AH$266,'Apr'!$D$27:$AH$266,'May'!$D$27:$AH$266,'Jun'!$D$27:$AH$266,'Jul'!$D$27:$AH$266,'Aug'!$D$27:$AH$266,'Sep'!$D$27:$AH$266,'Oct'!$D$27:$AH$266,'Nov'!$D$27:$AH$266,'Dec'!$D$27:$AH$266,'Jan (next year)'!$D$27:$AH$266),27+4*(IFERROR(MATCH(C591,Roster!$B$6:$B$65,0),MATCH(C591,Roster!$C$6:$C$65,0))-1)+MATCH(B591,{"AM","PM","NIGHT","WD"},0)-1-27+1,DAY(A591))&amp;"",""))</f>
        <v/>
      </c>
      <c r="G591" s="123">
        <f>IF(OR(A591="",C591="",B591="",E591=""),"",IFERROR(A591&amp;"|"&amp;(27+4*(IFERROR(MATCH(C591,Roster!$B$6:$B$65,0),MATCH(C591,Roster!$C$6:$C$65,0))-1)+MATCH(B591,{"AM","PM","NIGHT","WD"},0)-1),""))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$266,'Feb'!$D$27:$AH$266,'Mar'!$D$27:$AH$266,'Apr'!$D$27:$AH$266,'May'!$D$27:$AH$266,'Jun'!$D$27:$AH$266,'Jul'!$D$27:$AH$266,'Aug'!$D$27:$AH$266,'Sep'!$D$27:$AH$266,'Oct'!$D$27:$AH$266,'Nov'!$D$27:$AH$266,'Dec'!$D$27:$AH$266,'Jan (next year)'!$D$27:$AH$266),27+4*(IFERROR(MATCH(C592,Roster!$B$6:$B$65,0),MATCH(C592,Roster!$C$6:$C$65,0))-1)+MATCH(B592,{"AM","PM","NIGHT","WD"},0)-1-27+1,DAY(A592))&amp;"",""))</f>
        <v/>
      </c>
      <c r="G592" s="123">
        <f>IF(OR(A592="",C592="",B592="",E592=""),"",IFERROR(A592&amp;"|"&amp;(27+4*(IFERROR(MATCH(C592,Roster!$B$6:$B$65,0),MATCH(C592,Roster!$C$6:$C$65,0))-1)+MATCH(B592,{"AM","PM","NIGHT","WD"},0)-1),""))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$266,'Feb'!$D$27:$AH$266,'Mar'!$D$27:$AH$266,'Apr'!$D$27:$AH$266,'May'!$D$27:$AH$266,'Jun'!$D$27:$AH$266,'Jul'!$D$27:$AH$266,'Aug'!$D$27:$AH$266,'Sep'!$D$27:$AH$266,'Oct'!$D$27:$AH$266,'Nov'!$D$27:$AH$266,'Dec'!$D$27:$AH$266,'Jan (next year)'!$D$27:$AH$266),27+4*(IFERROR(MATCH(C593,Roster!$B$6:$B$65,0),MATCH(C593,Roster!$C$6:$C$65,0))-1)+MATCH(B593,{"AM","PM","NIGHT","WD"},0)-1-27+1,DAY(A593))&amp;"",""))</f>
        <v/>
      </c>
      <c r="G593" s="123">
        <f>IF(OR(A593="",C593="",B593="",E593=""),"",IFERROR(A593&amp;"|"&amp;(27+4*(IFERROR(MATCH(C593,Roster!$B$6:$B$65,0),MATCH(C593,Roster!$C$6:$C$65,0))-1)+MATCH(B593,{"AM","PM","NIGHT","WD"},0)-1),""))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$266,'Feb'!$D$27:$AH$266,'Mar'!$D$27:$AH$266,'Apr'!$D$27:$AH$266,'May'!$D$27:$AH$266,'Jun'!$D$27:$AH$266,'Jul'!$D$27:$AH$266,'Aug'!$D$27:$AH$266,'Sep'!$D$27:$AH$266,'Oct'!$D$27:$AH$266,'Nov'!$D$27:$AH$266,'Dec'!$D$27:$AH$266,'Jan (next year)'!$D$27:$AH$266),27+4*(IFERROR(MATCH(C594,Roster!$B$6:$B$65,0),MATCH(C594,Roster!$C$6:$C$65,0))-1)+MATCH(B594,{"AM","PM","NIGHT","WD"},0)-1-27+1,DAY(A594))&amp;"",""))</f>
        <v/>
      </c>
      <c r="G594" s="123">
        <f>IF(OR(A594="",C594="",B594="",E594=""),"",IFERROR(A594&amp;"|"&amp;(27+4*(IFERROR(MATCH(C594,Roster!$B$6:$B$65,0),MATCH(C594,Roster!$C$6:$C$65,0))-1)+MATCH(B594,{"AM","PM","NIGHT","WD"},0)-1),""))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$266,'Feb'!$D$27:$AH$266,'Mar'!$D$27:$AH$266,'Apr'!$D$27:$AH$266,'May'!$D$27:$AH$266,'Jun'!$D$27:$AH$266,'Jul'!$D$27:$AH$266,'Aug'!$D$27:$AH$266,'Sep'!$D$27:$AH$266,'Oct'!$D$27:$AH$266,'Nov'!$D$27:$AH$266,'Dec'!$D$27:$AH$266,'Jan (next year)'!$D$27:$AH$266),27+4*(IFERROR(MATCH(C595,Roster!$B$6:$B$65,0),MATCH(C595,Roster!$C$6:$C$65,0))-1)+MATCH(B595,{"AM","PM","NIGHT","WD"},0)-1-27+1,DAY(A595))&amp;"",""))</f>
        <v/>
      </c>
      <c r="G595" s="123">
        <f>IF(OR(A595="",C595="",B595="",E595=""),"",IFERROR(A595&amp;"|"&amp;(27+4*(IFERROR(MATCH(C595,Roster!$B$6:$B$65,0),MATCH(C595,Roster!$C$6:$C$65,0))-1)+MATCH(B595,{"AM","PM","NIGHT","WD"},0)-1),""))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$266,'Feb'!$D$27:$AH$266,'Mar'!$D$27:$AH$266,'Apr'!$D$27:$AH$266,'May'!$D$27:$AH$266,'Jun'!$D$27:$AH$266,'Jul'!$D$27:$AH$266,'Aug'!$D$27:$AH$266,'Sep'!$D$27:$AH$266,'Oct'!$D$27:$AH$266,'Nov'!$D$27:$AH$266,'Dec'!$D$27:$AH$266,'Jan (next year)'!$D$27:$AH$266),27+4*(IFERROR(MATCH(C596,Roster!$B$6:$B$65,0),MATCH(C596,Roster!$C$6:$C$65,0))-1)+MATCH(B596,{"AM","PM","NIGHT","WD"},0)-1-27+1,DAY(A596))&amp;"",""))</f>
        <v/>
      </c>
      <c r="G596" s="123">
        <f>IF(OR(A596="",C596="",B596="",E596=""),"",IFERROR(A596&amp;"|"&amp;(27+4*(IFERROR(MATCH(C596,Roster!$B$6:$B$65,0),MATCH(C596,Roster!$C$6:$C$65,0))-1)+MATCH(B596,{"AM","PM","NIGHT","WD"},0)-1),""))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$266,'Feb'!$D$27:$AH$266,'Mar'!$D$27:$AH$266,'Apr'!$D$27:$AH$266,'May'!$D$27:$AH$266,'Jun'!$D$27:$AH$266,'Jul'!$D$27:$AH$266,'Aug'!$D$27:$AH$266,'Sep'!$D$27:$AH$266,'Oct'!$D$27:$AH$266,'Nov'!$D$27:$AH$266,'Dec'!$D$27:$AH$266,'Jan (next year)'!$D$27:$AH$266),27+4*(IFERROR(MATCH(C597,Roster!$B$6:$B$65,0),MATCH(C597,Roster!$C$6:$C$65,0))-1)+MATCH(B597,{"AM","PM","NIGHT","WD"},0)-1-27+1,DAY(A597))&amp;"",""))</f>
        <v/>
      </c>
      <c r="G597" s="123">
        <f>IF(OR(A597="",C597="",B597="",E597=""),"",IFERROR(A597&amp;"|"&amp;(27+4*(IFERROR(MATCH(C597,Roster!$B$6:$B$65,0),MATCH(C597,Roster!$C$6:$C$65,0))-1)+MATCH(B597,{"AM","PM","NIGHT","WD"},0)-1),""))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$266,'Feb'!$D$27:$AH$266,'Mar'!$D$27:$AH$266,'Apr'!$D$27:$AH$266,'May'!$D$27:$AH$266,'Jun'!$D$27:$AH$266,'Jul'!$D$27:$AH$266,'Aug'!$D$27:$AH$266,'Sep'!$D$27:$AH$266,'Oct'!$D$27:$AH$266,'Nov'!$D$27:$AH$266,'Dec'!$D$27:$AH$266,'Jan (next year)'!$D$27:$AH$266),27+4*(IFERROR(MATCH(C598,Roster!$B$6:$B$65,0),MATCH(C598,Roster!$C$6:$C$65,0))-1)+MATCH(B598,{"AM","PM","NIGHT","WD"},0)-1-27+1,DAY(A598))&amp;"",""))</f>
        <v/>
      </c>
      <c r="G598" s="123">
        <f>IF(OR(A598="",C598="",B598="",E598=""),"",IFERROR(A598&amp;"|"&amp;(27+4*(IFERROR(MATCH(C598,Roster!$B$6:$B$65,0),MATCH(C598,Roster!$C$6:$C$65,0))-1)+MATCH(B598,{"AM","PM","NIGHT","WD"},0)-1),""))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$266,'Feb'!$D$27:$AH$266,'Mar'!$D$27:$AH$266,'Apr'!$D$27:$AH$266,'May'!$D$27:$AH$266,'Jun'!$D$27:$AH$266,'Jul'!$D$27:$AH$266,'Aug'!$D$27:$AH$266,'Sep'!$D$27:$AH$266,'Oct'!$D$27:$AH$266,'Nov'!$D$27:$AH$266,'Dec'!$D$27:$AH$266,'Jan (next year)'!$D$27:$AH$266),27+4*(IFERROR(MATCH(C599,Roster!$B$6:$B$65,0),MATCH(C599,Roster!$C$6:$C$65,0))-1)+MATCH(B599,{"AM","PM","NIGHT","WD"},0)-1-27+1,DAY(A599))&amp;"",""))</f>
        <v/>
      </c>
      <c r="G599" s="123">
        <f>IF(OR(A599="",C599="",B599="",E599=""),"",IFERROR(A599&amp;"|"&amp;(27+4*(IFERROR(MATCH(C599,Roster!$B$6:$B$65,0),MATCH(C599,Roster!$C$6:$C$65,0))-1)+MATCH(B599,{"AM","PM","NIGHT","WD"},0)-1),""))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$266,'Feb'!$D$27:$AH$266,'Mar'!$D$27:$AH$266,'Apr'!$D$27:$AH$266,'May'!$D$27:$AH$266,'Jun'!$D$27:$AH$266,'Jul'!$D$27:$AH$266,'Aug'!$D$27:$AH$266,'Sep'!$D$27:$AH$266,'Oct'!$D$27:$AH$266,'Nov'!$D$27:$AH$266,'Dec'!$D$27:$AH$266,'Jan (next year)'!$D$27:$AH$266),27+4*(IFERROR(MATCH(C600,Roster!$B$6:$B$65,0),MATCH(C600,Roster!$C$6:$C$65,0))-1)+MATCH(B600,{"AM","PM","NIGHT","WD"},0)-1-27+1,DAY(A600))&amp;"",""))</f>
        <v/>
      </c>
      <c r="G600" s="123">
        <f>IF(OR(A600="",C600="",B600="",E600=""),"",IFERROR(A600&amp;"|"&amp;(27+4*(IFERROR(MATCH(C600,Roster!$B$6:$B$65,0),MATCH(C600,Roster!$C$6:$C$65,0))-1)+MATCH(B600,{"AM","PM","NIGHT","WD"},0)-1),""))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$266,'Feb'!$D$27:$AH$266,'Mar'!$D$27:$AH$266,'Apr'!$D$27:$AH$266,'May'!$D$27:$AH$266,'Jun'!$D$27:$AH$266,'Jul'!$D$27:$AH$266,'Aug'!$D$27:$AH$266,'Sep'!$D$27:$AH$266,'Oct'!$D$27:$AH$266,'Nov'!$D$27:$AH$266,'Dec'!$D$27:$AH$266,'Jan (next year)'!$D$27:$AH$266),27+4*(IFERROR(MATCH(C601,Roster!$B$6:$B$65,0),MATCH(C601,Roster!$C$6:$C$65,0))-1)+MATCH(B601,{"AM","PM","NIGHT","WD"},0)-1-27+1,DAY(A601))&amp;"",""))</f>
        <v/>
      </c>
      <c r="G601" s="123">
        <f>IF(OR(A601="",C601="",B601="",E601=""),"",IFERROR(A601&amp;"|"&amp;(27+4*(IFERROR(MATCH(C601,Roster!$B$6:$B$65,0),MATCH(C601,Roster!$C$6:$C$65,0))-1)+MATCH(B601,{"AM","PM","NIGHT","WD"},0)-1),""))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$266,'Feb'!$D$27:$AH$266,'Mar'!$D$27:$AH$266,'Apr'!$D$27:$AH$266,'May'!$D$27:$AH$266,'Jun'!$D$27:$AH$266,'Jul'!$D$27:$AH$266,'Aug'!$D$27:$AH$266,'Sep'!$D$27:$AH$266,'Oct'!$D$27:$AH$266,'Nov'!$D$27:$AH$266,'Dec'!$D$27:$AH$266,'Jan (next year)'!$D$27:$AH$266),27+4*(IFERROR(MATCH(C602,Roster!$B$6:$B$65,0),MATCH(C602,Roster!$C$6:$C$65,0))-1)+MATCH(B602,{"AM","PM","NIGHT","WD"},0)-1-27+1,DAY(A602))&amp;"",""))</f>
        <v/>
      </c>
      <c r="G602" s="123">
        <f>IF(OR(A602="",C602="",B602="",E602=""),"",IFERROR(A602&amp;"|"&amp;(27+4*(IFERROR(MATCH(C602,Roster!$B$6:$B$65,0),MATCH(C602,Roster!$C$6:$C$65,0))-1)+MATCH(B602,{"AM","PM","NIGHT","WD"},0)-1),""))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$266,'Feb'!$D$27:$AH$266,'Mar'!$D$27:$AH$266,'Apr'!$D$27:$AH$266,'May'!$D$27:$AH$266,'Jun'!$D$27:$AH$266,'Jul'!$D$27:$AH$266,'Aug'!$D$27:$AH$266,'Sep'!$D$27:$AH$266,'Oct'!$D$27:$AH$266,'Nov'!$D$27:$AH$266,'Dec'!$D$27:$AH$266,'Jan (next year)'!$D$27:$AH$266),27+4*(IFERROR(MATCH(C603,Roster!$B$6:$B$65,0),MATCH(C603,Roster!$C$6:$C$65,0))-1)+MATCH(B603,{"AM","PM","NIGHT","WD"},0)-1-27+1,DAY(A603))&amp;"",""))</f>
        <v/>
      </c>
      <c r="G603" s="123">
        <f>IF(OR(A603="",C603="",B603="",E603=""),"",IFERROR(A603&amp;"|"&amp;(27+4*(IFERROR(MATCH(C603,Roster!$B$6:$B$65,0),MATCH(C603,Roster!$C$6:$C$65,0))-1)+MATCH(B603,{"AM","PM","NIGHT","WD"},0)-1),""))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$266,'Feb'!$D$27:$AH$266,'Mar'!$D$27:$AH$266,'Apr'!$D$27:$AH$266,'May'!$D$27:$AH$266,'Jun'!$D$27:$AH$266,'Jul'!$D$27:$AH$266,'Aug'!$D$27:$AH$266,'Sep'!$D$27:$AH$266,'Oct'!$D$27:$AH$266,'Nov'!$D$27:$AH$266,'Dec'!$D$27:$AH$266,'Jan (next year)'!$D$27:$AH$266),27+4*(IFERROR(MATCH(C604,Roster!$B$6:$B$65,0),MATCH(C604,Roster!$C$6:$C$65,0))-1)+MATCH(B604,{"AM","PM","NIGHT","WD"},0)-1-27+1,DAY(A604))&amp;"",""))</f>
        <v/>
      </c>
      <c r="G604" s="123">
        <f>IF(OR(A604="",C604="",B604="",E604=""),"",IFERROR(A604&amp;"|"&amp;(27+4*(IFERROR(MATCH(C604,Roster!$B$6:$B$65,0),MATCH(C604,Roster!$C$6:$C$65,0))-1)+MATCH(B604,{"AM","PM","NIGHT","WD"},0)-1),""))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$266,'Feb'!$D$27:$AH$266,'Mar'!$D$27:$AH$266,'Apr'!$D$27:$AH$266,'May'!$D$27:$AH$266,'Jun'!$D$27:$AH$266,'Jul'!$D$27:$AH$266,'Aug'!$D$27:$AH$266,'Sep'!$D$27:$AH$266,'Oct'!$D$27:$AH$266,'Nov'!$D$27:$AH$266,'Dec'!$D$27:$AH$266,'Jan (next year)'!$D$27:$AH$266),27+4*(IFERROR(MATCH(C605,Roster!$B$6:$B$65,0),MATCH(C605,Roster!$C$6:$C$65,0))-1)+MATCH(B605,{"AM","PM","NIGHT","WD"},0)-1-27+1,DAY(A605))&amp;"",""))</f>
        <v/>
      </c>
      <c r="G605" s="123">
        <f>IF(OR(A605="",C605="",B605="",E605=""),"",IFERROR(A605&amp;"|"&amp;(27+4*(IFERROR(MATCH(C605,Roster!$B$6:$B$65,0),MATCH(C605,Roster!$C$6:$C$65,0))-1)+MATCH(B605,{"AM","PM","NIGHT","WD"},0)-1),""))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$266,'Feb'!$D$27:$AH$266,'Mar'!$D$27:$AH$266,'Apr'!$D$27:$AH$266,'May'!$D$27:$AH$266,'Jun'!$D$27:$AH$266,'Jul'!$D$27:$AH$266,'Aug'!$D$27:$AH$266,'Sep'!$D$27:$AH$266,'Oct'!$D$27:$AH$266,'Nov'!$D$27:$AH$266,'Dec'!$D$27:$AH$266,'Jan (next year)'!$D$27:$AH$266),27+4*(IFERROR(MATCH(C606,Roster!$B$6:$B$65,0),MATCH(C606,Roster!$C$6:$C$65,0))-1)+MATCH(B606,{"AM","PM","NIGHT","WD"},0)-1-27+1,DAY(A606))&amp;"",""))</f>
        <v/>
      </c>
      <c r="G606" s="123">
        <f>IF(OR(A606="",C606="",B606="",E606=""),"",IFERROR(A606&amp;"|"&amp;(27+4*(IFERROR(MATCH(C606,Roster!$B$6:$B$65,0),MATCH(C606,Roster!$C$6:$C$65,0))-1)+MATCH(B606,{"AM","PM","NIGHT","WD"},0)-1),""))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$266,'Feb'!$D$27:$AH$266,'Mar'!$D$27:$AH$266,'Apr'!$D$27:$AH$266,'May'!$D$27:$AH$266,'Jun'!$D$27:$AH$266,'Jul'!$D$27:$AH$266,'Aug'!$D$27:$AH$266,'Sep'!$D$27:$AH$266,'Oct'!$D$27:$AH$266,'Nov'!$D$27:$AH$266,'Dec'!$D$27:$AH$266,'Jan (next year)'!$D$27:$AH$266),27+4*(IFERROR(MATCH(C607,Roster!$B$6:$B$65,0),MATCH(C607,Roster!$C$6:$C$65,0))-1)+MATCH(B607,{"AM","PM","NIGHT","WD"},0)-1-27+1,DAY(A607))&amp;"",""))</f>
        <v/>
      </c>
      <c r="G607" s="123">
        <f>IF(OR(A607="",C607="",B607="",E607=""),"",IFERROR(A607&amp;"|"&amp;(27+4*(IFERROR(MATCH(C607,Roster!$B$6:$B$65,0),MATCH(C607,Roster!$C$6:$C$65,0))-1)+MATCH(B607,{"AM","PM","NIGHT","WD"},0)-1),""))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$266,'Feb'!$D$27:$AH$266,'Mar'!$D$27:$AH$266,'Apr'!$D$27:$AH$266,'May'!$D$27:$AH$266,'Jun'!$D$27:$AH$266,'Jul'!$D$27:$AH$266,'Aug'!$D$27:$AH$266,'Sep'!$D$27:$AH$266,'Oct'!$D$27:$AH$266,'Nov'!$D$27:$AH$266,'Dec'!$D$27:$AH$266,'Jan (next year)'!$D$27:$AH$266),27+4*(IFERROR(MATCH(C608,Roster!$B$6:$B$65,0),MATCH(C608,Roster!$C$6:$C$65,0))-1)+MATCH(B608,{"AM","PM","NIGHT","WD"},0)-1-27+1,DAY(A608))&amp;"",""))</f>
        <v/>
      </c>
      <c r="G608" s="123">
        <f>IF(OR(A608="",C608="",B608="",E608=""),"",IFERROR(A608&amp;"|"&amp;(27+4*(IFERROR(MATCH(C608,Roster!$B$6:$B$65,0),MATCH(C608,Roster!$C$6:$C$65,0))-1)+MATCH(B608,{"AM","PM","NIGHT","WD"},0)-1),""))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$266,'Feb'!$D$27:$AH$266,'Mar'!$D$27:$AH$266,'Apr'!$D$27:$AH$266,'May'!$D$27:$AH$266,'Jun'!$D$27:$AH$266,'Jul'!$D$27:$AH$266,'Aug'!$D$27:$AH$266,'Sep'!$D$27:$AH$266,'Oct'!$D$27:$AH$266,'Nov'!$D$27:$AH$266,'Dec'!$D$27:$AH$266,'Jan (next year)'!$D$27:$AH$266),27+4*(IFERROR(MATCH(C609,Roster!$B$6:$B$65,0),MATCH(C609,Roster!$C$6:$C$65,0))-1)+MATCH(B609,{"AM","PM","NIGHT","WD"},0)-1-27+1,DAY(A609))&amp;"",""))</f>
        <v/>
      </c>
      <c r="G609" s="123">
        <f>IF(OR(A609="",C609="",B609="",E609=""),"",IFERROR(A609&amp;"|"&amp;(27+4*(IFERROR(MATCH(C609,Roster!$B$6:$B$65,0),MATCH(C609,Roster!$C$6:$C$65,0))-1)+MATCH(B609,{"AM","PM","NIGHT","WD"},0)-1),""))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$266,'Feb'!$D$27:$AH$266,'Mar'!$D$27:$AH$266,'Apr'!$D$27:$AH$266,'May'!$D$27:$AH$266,'Jun'!$D$27:$AH$266,'Jul'!$D$27:$AH$266,'Aug'!$D$27:$AH$266,'Sep'!$D$27:$AH$266,'Oct'!$D$27:$AH$266,'Nov'!$D$27:$AH$266,'Dec'!$D$27:$AH$266,'Jan (next year)'!$D$27:$AH$266),27+4*(IFERROR(MATCH(C610,Roster!$B$6:$B$65,0),MATCH(C610,Roster!$C$6:$C$65,0))-1)+MATCH(B610,{"AM","PM","NIGHT","WD"},0)-1-27+1,DAY(A610))&amp;"",""))</f>
        <v/>
      </c>
      <c r="G610" s="123">
        <f>IF(OR(A610="",C610="",B610="",E610=""),"",IFERROR(A610&amp;"|"&amp;(27+4*(IFERROR(MATCH(C610,Roster!$B$6:$B$65,0),MATCH(C610,Roster!$C$6:$C$65,0))-1)+MATCH(B610,{"AM","PM","NIGHT","WD"},0)-1),""))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$266,'Feb'!$D$27:$AH$266,'Mar'!$D$27:$AH$266,'Apr'!$D$27:$AH$266,'May'!$D$27:$AH$266,'Jun'!$D$27:$AH$266,'Jul'!$D$27:$AH$266,'Aug'!$D$27:$AH$266,'Sep'!$D$27:$AH$266,'Oct'!$D$27:$AH$266,'Nov'!$D$27:$AH$266,'Dec'!$D$27:$AH$266,'Jan (next year)'!$D$27:$AH$266),27+4*(IFERROR(MATCH(C611,Roster!$B$6:$B$65,0),MATCH(C611,Roster!$C$6:$C$65,0))-1)+MATCH(B611,{"AM","PM","NIGHT","WD"},0)-1-27+1,DAY(A611))&amp;"",""))</f>
        <v/>
      </c>
      <c r="G611" s="123">
        <f>IF(OR(A611="",C611="",B611="",E611=""),"",IFERROR(A611&amp;"|"&amp;(27+4*(IFERROR(MATCH(C611,Roster!$B$6:$B$65,0),MATCH(C611,Roster!$C$6:$C$65,0))-1)+MATCH(B611,{"AM","PM","NIGHT","WD"},0)-1),""))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$266,'Feb'!$D$27:$AH$266,'Mar'!$D$27:$AH$266,'Apr'!$D$27:$AH$266,'May'!$D$27:$AH$266,'Jun'!$D$27:$AH$266,'Jul'!$D$27:$AH$266,'Aug'!$D$27:$AH$266,'Sep'!$D$27:$AH$266,'Oct'!$D$27:$AH$266,'Nov'!$D$27:$AH$266,'Dec'!$D$27:$AH$266,'Jan (next year)'!$D$27:$AH$266),27+4*(IFERROR(MATCH(C612,Roster!$B$6:$B$65,0),MATCH(C612,Roster!$C$6:$C$65,0))-1)+MATCH(B612,{"AM","PM","NIGHT","WD"},0)-1-27+1,DAY(A612))&amp;"",""))</f>
        <v/>
      </c>
      <c r="G612" s="123">
        <f>IF(OR(A612="",C612="",B612="",E612=""),"",IFERROR(A612&amp;"|"&amp;(27+4*(IFERROR(MATCH(C612,Roster!$B$6:$B$65,0),MATCH(C612,Roster!$C$6:$C$65,0))-1)+MATCH(B612,{"AM","PM","NIGHT","WD"},0)-1),""))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$266,'Feb'!$D$27:$AH$266,'Mar'!$D$27:$AH$266,'Apr'!$D$27:$AH$266,'May'!$D$27:$AH$266,'Jun'!$D$27:$AH$266,'Jul'!$D$27:$AH$266,'Aug'!$D$27:$AH$266,'Sep'!$D$27:$AH$266,'Oct'!$D$27:$AH$266,'Nov'!$D$27:$AH$266,'Dec'!$D$27:$AH$266,'Jan (next year)'!$D$27:$AH$266),27+4*(IFERROR(MATCH(C613,Roster!$B$6:$B$65,0),MATCH(C613,Roster!$C$6:$C$65,0))-1)+MATCH(B613,{"AM","PM","NIGHT","WD"},0)-1-27+1,DAY(A613))&amp;"",""))</f>
        <v/>
      </c>
      <c r="G613" s="123">
        <f>IF(OR(A613="",C613="",B613="",E613=""),"",IFERROR(A613&amp;"|"&amp;(27+4*(IFERROR(MATCH(C613,Roster!$B$6:$B$65,0),MATCH(C613,Roster!$C$6:$C$65,0))-1)+MATCH(B613,{"AM","PM","NIGHT","WD"},0)-1),""))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$266,'Feb'!$D$27:$AH$266,'Mar'!$D$27:$AH$266,'Apr'!$D$27:$AH$266,'May'!$D$27:$AH$266,'Jun'!$D$27:$AH$266,'Jul'!$D$27:$AH$266,'Aug'!$D$27:$AH$266,'Sep'!$D$27:$AH$266,'Oct'!$D$27:$AH$266,'Nov'!$D$27:$AH$266,'Dec'!$D$27:$AH$266,'Jan (next year)'!$D$27:$AH$266),27+4*(IFERROR(MATCH(C614,Roster!$B$6:$B$65,0),MATCH(C614,Roster!$C$6:$C$65,0))-1)+MATCH(B614,{"AM","PM","NIGHT","WD"},0)-1-27+1,DAY(A614))&amp;"",""))</f>
        <v/>
      </c>
      <c r="G614" s="123">
        <f>IF(OR(A614="",C614="",B614="",E614=""),"",IFERROR(A614&amp;"|"&amp;(27+4*(IFERROR(MATCH(C614,Roster!$B$6:$B$65,0),MATCH(C614,Roster!$C$6:$C$65,0))-1)+MATCH(B614,{"AM","PM","NIGHT","WD"},0)-1),""))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$266,'Feb'!$D$27:$AH$266,'Mar'!$D$27:$AH$266,'Apr'!$D$27:$AH$266,'May'!$D$27:$AH$266,'Jun'!$D$27:$AH$266,'Jul'!$D$27:$AH$266,'Aug'!$D$27:$AH$266,'Sep'!$D$27:$AH$266,'Oct'!$D$27:$AH$266,'Nov'!$D$27:$AH$266,'Dec'!$D$27:$AH$266,'Jan (next year)'!$D$27:$AH$266),27+4*(IFERROR(MATCH(C615,Roster!$B$6:$B$65,0),MATCH(C615,Roster!$C$6:$C$65,0))-1)+MATCH(B615,{"AM","PM","NIGHT","WD"},0)-1-27+1,DAY(A615))&amp;"",""))</f>
        <v/>
      </c>
      <c r="G615" s="123">
        <f>IF(OR(A615="",C615="",B615="",E615=""),"",IFERROR(A615&amp;"|"&amp;(27+4*(IFERROR(MATCH(C615,Roster!$B$6:$B$65,0),MATCH(C615,Roster!$C$6:$C$65,0))-1)+MATCH(B615,{"AM","PM","NIGHT","WD"},0)-1),""))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$266,'Feb'!$D$27:$AH$266,'Mar'!$D$27:$AH$266,'Apr'!$D$27:$AH$266,'May'!$D$27:$AH$266,'Jun'!$D$27:$AH$266,'Jul'!$D$27:$AH$266,'Aug'!$D$27:$AH$266,'Sep'!$D$27:$AH$266,'Oct'!$D$27:$AH$266,'Nov'!$D$27:$AH$266,'Dec'!$D$27:$AH$266,'Jan (next year)'!$D$27:$AH$266),27+4*(IFERROR(MATCH(C616,Roster!$B$6:$B$65,0),MATCH(C616,Roster!$C$6:$C$65,0))-1)+MATCH(B616,{"AM","PM","NIGHT","WD"},0)-1-27+1,DAY(A616))&amp;"",""))</f>
        <v/>
      </c>
      <c r="G616" s="123">
        <f>IF(OR(A616="",C616="",B616="",E616=""),"",IFERROR(A616&amp;"|"&amp;(27+4*(IFERROR(MATCH(C616,Roster!$B$6:$B$65,0),MATCH(C616,Roster!$C$6:$C$65,0))-1)+MATCH(B616,{"AM","PM","NIGHT","WD"},0)-1),""))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$266,'Feb'!$D$27:$AH$266,'Mar'!$D$27:$AH$266,'Apr'!$D$27:$AH$266,'May'!$D$27:$AH$266,'Jun'!$D$27:$AH$266,'Jul'!$D$27:$AH$266,'Aug'!$D$27:$AH$266,'Sep'!$D$27:$AH$266,'Oct'!$D$27:$AH$266,'Nov'!$D$27:$AH$266,'Dec'!$D$27:$AH$266,'Jan (next year)'!$D$27:$AH$266),27+4*(IFERROR(MATCH(C617,Roster!$B$6:$B$65,0),MATCH(C617,Roster!$C$6:$C$65,0))-1)+MATCH(B617,{"AM","PM","NIGHT","WD"},0)-1-27+1,DAY(A617))&amp;"",""))</f>
        <v/>
      </c>
      <c r="G617" s="123">
        <f>IF(OR(A617="",C617="",B617="",E617=""),"",IFERROR(A617&amp;"|"&amp;(27+4*(IFERROR(MATCH(C617,Roster!$B$6:$B$65,0),MATCH(C617,Roster!$C$6:$C$65,0))-1)+MATCH(B617,{"AM","PM","NIGHT","WD"},0)-1),""))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$266,'Feb'!$D$27:$AH$266,'Mar'!$D$27:$AH$266,'Apr'!$D$27:$AH$266,'May'!$D$27:$AH$266,'Jun'!$D$27:$AH$266,'Jul'!$D$27:$AH$266,'Aug'!$D$27:$AH$266,'Sep'!$D$27:$AH$266,'Oct'!$D$27:$AH$266,'Nov'!$D$27:$AH$266,'Dec'!$D$27:$AH$266,'Jan (next year)'!$D$27:$AH$266),27+4*(IFERROR(MATCH(C618,Roster!$B$6:$B$65,0),MATCH(C618,Roster!$C$6:$C$65,0))-1)+MATCH(B618,{"AM","PM","NIGHT","WD"},0)-1-27+1,DAY(A618))&amp;"",""))</f>
        <v/>
      </c>
      <c r="G618" s="123">
        <f>IF(OR(A618="",C618="",B618="",E618=""),"",IFERROR(A618&amp;"|"&amp;(27+4*(IFERROR(MATCH(C618,Roster!$B$6:$B$65,0),MATCH(C618,Roster!$C$6:$C$65,0))-1)+MATCH(B618,{"AM","PM","NIGHT","WD"},0)-1),""))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$266,'Feb'!$D$27:$AH$266,'Mar'!$D$27:$AH$266,'Apr'!$D$27:$AH$266,'May'!$D$27:$AH$266,'Jun'!$D$27:$AH$266,'Jul'!$D$27:$AH$266,'Aug'!$D$27:$AH$266,'Sep'!$D$27:$AH$266,'Oct'!$D$27:$AH$266,'Nov'!$D$27:$AH$266,'Dec'!$D$27:$AH$266,'Jan (next year)'!$D$27:$AH$266),27+4*(IFERROR(MATCH(C619,Roster!$B$6:$B$65,0),MATCH(C619,Roster!$C$6:$C$65,0))-1)+MATCH(B619,{"AM","PM","NIGHT","WD"},0)-1-27+1,DAY(A619))&amp;"",""))</f>
        <v/>
      </c>
      <c r="G619" s="123">
        <f>IF(OR(A619="",C619="",B619="",E619=""),"",IFERROR(A619&amp;"|"&amp;(27+4*(IFERROR(MATCH(C619,Roster!$B$6:$B$65,0),MATCH(C619,Roster!$C$6:$C$65,0))-1)+MATCH(B619,{"AM","PM","NIGHT","WD"},0)-1),""))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$266,'Feb'!$D$27:$AH$266,'Mar'!$D$27:$AH$266,'Apr'!$D$27:$AH$266,'May'!$D$27:$AH$266,'Jun'!$D$27:$AH$266,'Jul'!$D$27:$AH$266,'Aug'!$D$27:$AH$266,'Sep'!$D$27:$AH$266,'Oct'!$D$27:$AH$266,'Nov'!$D$27:$AH$266,'Dec'!$D$27:$AH$266,'Jan (next year)'!$D$27:$AH$266),27+4*(IFERROR(MATCH(C620,Roster!$B$6:$B$65,0),MATCH(C620,Roster!$C$6:$C$65,0))-1)+MATCH(B620,{"AM","PM","NIGHT","WD"},0)-1-27+1,DAY(A620))&amp;"",""))</f>
        <v/>
      </c>
      <c r="G620" s="123">
        <f>IF(OR(A620="",C620="",B620="",E620=""),"",IFERROR(A620&amp;"|"&amp;(27+4*(IFERROR(MATCH(C620,Roster!$B$6:$B$65,0),MATCH(C620,Roster!$C$6:$C$65,0))-1)+MATCH(B620,{"AM","PM","NIGHT","WD"},0)-1),""))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$266,'Feb'!$D$27:$AH$266,'Mar'!$D$27:$AH$266,'Apr'!$D$27:$AH$266,'May'!$D$27:$AH$266,'Jun'!$D$27:$AH$266,'Jul'!$D$27:$AH$266,'Aug'!$D$27:$AH$266,'Sep'!$D$27:$AH$266,'Oct'!$D$27:$AH$266,'Nov'!$D$27:$AH$266,'Dec'!$D$27:$AH$266,'Jan (next year)'!$D$27:$AH$266),27+4*(IFERROR(MATCH(C621,Roster!$B$6:$B$65,0),MATCH(C621,Roster!$C$6:$C$65,0))-1)+MATCH(B621,{"AM","PM","NIGHT","WD"},0)-1-27+1,DAY(A621))&amp;"",""))</f>
        <v/>
      </c>
      <c r="G621" s="123">
        <f>IF(OR(A621="",C621="",B621="",E621=""),"",IFERROR(A621&amp;"|"&amp;(27+4*(IFERROR(MATCH(C621,Roster!$B$6:$B$65,0),MATCH(C621,Roster!$C$6:$C$65,0))-1)+MATCH(B621,{"AM","PM","NIGHT","WD"},0)-1),""))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$266,'Feb'!$D$27:$AH$266,'Mar'!$D$27:$AH$266,'Apr'!$D$27:$AH$266,'May'!$D$27:$AH$266,'Jun'!$D$27:$AH$266,'Jul'!$D$27:$AH$266,'Aug'!$D$27:$AH$266,'Sep'!$D$27:$AH$266,'Oct'!$D$27:$AH$266,'Nov'!$D$27:$AH$266,'Dec'!$D$27:$AH$266,'Jan (next year)'!$D$27:$AH$266),27+4*(IFERROR(MATCH(C622,Roster!$B$6:$B$65,0),MATCH(C622,Roster!$C$6:$C$65,0))-1)+MATCH(B622,{"AM","PM","NIGHT","WD"},0)-1-27+1,DAY(A622))&amp;"",""))</f>
        <v/>
      </c>
      <c r="G622" s="123">
        <f>IF(OR(A622="",C622="",B622="",E622=""),"",IFERROR(A622&amp;"|"&amp;(27+4*(IFERROR(MATCH(C622,Roster!$B$6:$B$65,0),MATCH(C622,Roster!$C$6:$C$65,0))-1)+MATCH(B622,{"AM","PM","NIGHT","WD"},0)-1),""))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$266,'Feb'!$D$27:$AH$266,'Mar'!$D$27:$AH$266,'Apr'!$D$27:$AH$266,'May'!$D$27:$AH$266,'Jun'!$D$27:$AH$266,'Jul'!$D$27:$AH$266,'Aug'!$D$27:$AH$266,'Sep'!$D$27:$AH$266,'Oct'!$D$27:$AH$266,'Nov'!$D$27:$AH$266,'Dec'!$D$27:$AH$266,'Jan (next year)'!$D$27:$AH$266),27+4*(IFERROR(MATCH(C623,Roster!$B$6:$B$65,0),MATCH(C623,Roster!$C$6:$C$65,0))-1)+MATCH(B623,{"AM","PM","NIGHT","WD"},0)-1-27+1,DAY(A623))&amp;"",""))</f>
        <v/>
      </c>
      <c r="G623" s="123">
        <f>IF(OR(A623="",C623="",B623="",E623=""),"",IFERROR(A623&amp;"|"&amp;(27+4*(IFERROR(MATCH(C623,Roster!$B$6:$B$65,0),MATCH(C623,Roster!$C$6:$C$65,0))-1)+MATCH(B623,{"AM","PM","NIGHT","WD"},0)-1),""))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$266,'Feb'!$D$27:$AH$266,'Mar'!$D$27:$AH$266,'Apr'!$D$27:$AH$266,'May'!$D$27:$AH$266,'Jun'!$D$27:$AH$266,'Jul'!$D$27:$AH$266,'Aug'!$D$27:$AH$266,'Sep'!$D$27:$AH$266,'Oct'!$D$27:$AH$266,'Nov'!$D$27:$AH$266,'Dec'!$D$27:$AH$266,'Jan (next year)'!$D$27:$AH$266),27+4*(IFERROR(MATCH(C624,Roster!$B$6:$B$65,0),MATCH(C624,Roster!$C$6:$C$65,0))-1)+MATCH(B624,{"AM","PM","NIGHT","WD"},0)-1-27+1,DAY(A624))&amp;"",""))</f>
        <v/>
      </c>
      <c r="G624" s="123">
        <f>IF(OR(A624="",C624="",B624="",E624=""),"",IFERROR(A624&amp;"|"&amp;(27+4*(IFERROR(MATCH(C624,Roster!$B$6:$B$65,0),MATCH(C624,Roster!$C$6:$C$65,0))-1)+MATCH(B624,{"AM","PM","NIGHT","WD"},0)-1),""))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$266,'Feb'!$D$27:$AH$266,'Mar'!$D$27:$AH$266,'Apr'!$D$27:$AH$266,'May'!$D$27:$AH$266,'Jun'!$D$27:$AH$266,'Jul'!$D$27:$AH$266,'Aug'!$D$27:$AH$266,'Sep'!$D$27:$AH$266,'Oct'!$D$27:$AH$266,'Nov'!$D$27:$AH$266,'Dec'!$D$27:$AH$266,'Jan (next year)'!$D$27:$AH$266),27+4*(IFERROR(MATCH(C625,Roster!$B$6:$B$65,0),MATCH(C625,Roster!$C$6:$C$65,0))-1)+MATCH(B625,{"AM","PM","NIGHT","WD"},0)-1-27+1,DAY(A625))&amp;"",""))</f>
        <v/>
      </c>
      <c r="G625" s="123">
        <f>IF(OR(A625="",C625="",B625="",E625=""),"",IFERROR(A625&amp;"|"&amp;(27+4*(IFERROR(MATCH(C625,Roster!$B$6:$B$65,0),MATCH(C625,Roster!$C$6:$C$65,0))-1)+MATCH(B625,{"AM","PM","NIGHT","WD"},0)-1),""))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$266,'Feb'!$D$27:$AH$266,'Mar'!$D$27:$AH$266,'Apr'!$D$27:$AH$266,'May'!$D$27:$AH$266,'Jun'!$D$27:$AH$266,'Jul'!$D$27:$AH$266,'Aug'!$D$27:$AH$266,'Sep'!$D$27:$AH$266,'Oct'!$D$27:$AH$266,'Nov'!$D$27:$AH$266,'Dec'!$D$27:$AH$266,'Jan (next year)'!$D$27:$AH$266),27+4*(IFERROR(MATCH(C626,Roster!$B$6:$B$65,0),MATCH(C626,Roster!$C$6:$C$65,0))-1)+MATCH(B626,{"AM","PM","NIGHT","WD"},0)-1-27+1,DAY(A626))&amp;"",""))</f>
        <v/>
      </c>
      <c r="G626" s="123">
        <f>IF(OR(A626="",C626="",B626="",E626=""),"",IFERROR(A626&amp;"|"&amp;(27+4*(IFERROR(MATCH(C626,Roster!$B$6:$B$65,0),MATCH(C626,Roster!$C$6:$C$65,0))-1)+MATCH(B626,{"AM","PM","NIGHT","WD"},0)-1),""))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$266,'Feb'!$D$27:$AH$266,'Mar'!$D$27:$AH$266,'Apr'!$D$27:$AH$266,'May'!$D$27:$AH$266,'Jun'!$D$27:$AH$266,'Jul'!$D$27:$AH$266,'Aug'!$D$27:$AH$266,'Sep'!$D$27:$AH$266,'Oct'!$D$27:$AH$266,'Nov'!$D$27:$AH$266,'Dec'!$D$27:$AH$266,'Jan (next year)'!$D$27:$AH$266),27+4*(IFERROR(MATCH(C627,Roster!$B$6:$B$65,0),MATCH(C627,Roster!$C$6:$C$65,0))-1)+MATCH(B627,{"AM","PM","NIGHT","WD"},0)-1-27+1,DAY(A627))&amp;"",""))</f>
        <v/>
      </c>
      <c r="G627" s="123">
        <f>IF(OR(A627="",C627="",B627="",E627=""),"",IFERROR(A627&amp;"|"&amp;(27+4*(IFERROR(MATCH(C627,Roster!$B$6:$B$65,0),MATCH(C627,Roster!$C$6:$C$65,0))-1)+MATCH(B627,{"AM","PM","NIGHT","WD"},0)-1),""))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$266,'Feb'!$D$27:$AH$266,'Mar'!$D$27:$AH$266,'Apr'!$D$27:$AH$266,'May'!$D$27:$AH$266,'Jun'!$D$27:$AH$266,'Jul'!$D$27:$AH$266,'Aug'!$D$27:$AH$266,'Sep'!$D$27:$AH$266,'Oct'!$D$27:$AH$266,'Nov'!$D$27:$AH$266,'Dec'!$D$27:$AH$266,'Jan (next year)'!$D$27:$AH$266),27+4*(IFERROR(MATCH(C628,Roster!$B$6:$B$65,0),MATCH(C628,Roster!$C$6:$C$65,0))-1)+MATCH(B628,{"AM","PM","NIGHT","WD"},0)-1-27+1,DAY(A628))&amp;"",""))</f>
        <v/>
      </c>
      <c r="G628" s="123">
        <f>IF(OR(A628="",C628="",B628="",E628=""),"",IFERROR(A628&amp;"|"&amp;(27+4*(IFERROR(MATCH(C628,Roster!$B$6:$B$65,0),MATCH(C628,Roster!$C$6:$C$65,0))-1)+MATCH(B628,{"AM","PM","NIGHT","WD"},0)-1),""))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$266,'Feb'!$D$27:$AH$266,'Mar'!$D$27:$AH$266,'Apr'!$D$27:$AH$266,'May'!$D$27:$AH$266,'Jun'!$D$27:$AH$266,'Jul'!$D$27:$AH$266,'Aug'!$D$27:$AH$266,'Sep'!$D$27:$AH$266,'Oct'!$D$27:$AH$266,'Nov'!$D$27:$AH$266,'Dec'!$D$27:$AH$266,'Jan (next year)'!$D$27:$AH$266),27+4*(IFERROR(MATCH(C629,Roster!$B$6:$B$65,0),MATCH(C629,Roster!$C$6:$C$65,0))-1)+MATCH(B629,{"AM","PM","NIGHT","WD"},0)-1-27+1,DAY(A629))&amp;"",""))</f>
        <v/>
      </c>
      <c r="G629" s="123">
        <f>IF(OR(A629="",C629="",B629="",E629=""),"",IFERROR(A629&amp;"|"&amp;(27+4*(IFERROR(MATCH(C629,Roster!$B$6:$B$65,0),MATCH(C629,Roster!$C$6:$C$65,0))-1)+MATCH(B629,{"AM","PM","NIGHT","WD"},0)-1),""))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$266,'Feb'!$D$27:$AH$266,'Mar'!$D$27:$AH$266,'Apr'!$D$27:$AH$266,'May'!$D$27:$AH$266,'Jun'!$D$27:$AH$266,'Jul'!$D$27:$AH$266,'Aug'!$D$27:$AH$266,'Sep'!$D$27:$AH$266,'Oct'!$D$27:$AH$266,'Nov'!$D$27:$AH$266,'Dec'!$D$27:$AH$266,'Jan (next year)'!$D$27:$AH$266),27+4*(IFERROR(MATCH(C630,Roster!$B$6:$B$65,0),MATCH(C630,Roster!$C$6:$C$65,0))-1)+MATCH(B630,{"AM","PM","NIGHT","WD"},0)-1-27+1,DAY(A630))&amp;"",""))</f>
        <v/>
      </c>
      <c r="G630" s="123">
        <f>IF(OR(A630="",C630="",B630="",E630=""),"",IFERROR(A630&amp;"|"&amp;(27+4*(IFERROR(MATCH(C630,Roster!$B$6:$B$65,0),MATCH(C630,Roster!$C$6:$C$65,0))-1)+MATCH(B630,{"AM","PM","NIGHT","WD"},0)-1),""))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$266,'Feb'!$D$27:$AH$266,'Mar'!$D$27:$AH$266,'Apr'!$D$27:$AH$266,'May'!$D$27:$AH$266,'Jun'!$D$27:$AH$266,'Jul'!$D$27:$AH$266,'Aug'!$D$27:$AH$266,'Sep'!$D$27:$AH$266,'Oct'!$D$27:$AH$266,'Nov'!$D$27:$AH$266,'Dec'!$D$27:$AH$266,'Jan (next year)'!$D$27:$AH$266),27+4*(IFERROR(MATCH(C631,Roster!$B$6:$B$65,0),MATCH(C631,Roster!$C$6:$C$65,0))-1)+MATCH(B631,{"AM","PM","NIGHT","WD"},0)-1-27+1,DAY(A631))&amp;"",""))</f>
        <v/>
      </c>
      <c r="G631" s="123">
        <f>IF(OR(A631="",C631="",B631="",E631=""),"",IFERROR(A631&amp;"|"&amp;(27+4*(IFERROR(MATCH(C631,Roster!$B$6:$B$65,0),MATCH(C631,Roster!$C$6:$C$65,0))-1)+MATCH(B631,{"AM","PM","NIGHT","WD"},0)-1),""))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$266,'Feb'!$D$27:$AH$266,'Mar'!$D$27:$AH$266,'Apr'!$D$27:$AH$266,'May'!$D$27:$AH$266,'Jun'!$D$27:$AH$266,'Jul'!$D$27:$AH$266,'Aug'!$D$27:$AH$266,'Sep'!$D$27:$AH$266,'Oct'!$D$27:$AH$266,'Nov'!$D$27:$AH$266,'Dec'!$D$27:$AH$266,'Jan (next year)'!$D$27:$AH$266),27+4*(IFERROR(MATCH(C632,Roster!$B$6:$B$65,0),MATCH(C632,Roster!$C$6:$C$65,0))-1)+MATCH(B632,{"AM","PM","NIGHT","WD"},0)-1-27+1,DAY(A632))&amp;"",""))</f>
        <v/>
      </c>
      <c r="G632" s="123">
        <f>IF(OR(A632="",C632="",B632="",E632=""),"",IFERROR(A632&amp;"|"&amp;(27+4*(IFERROR(MATCH(C632,Roster!$B$6:$B$65,0),MATCH(C632,Roster!$C$6:$C$65,0))-1)+MATCH(B632,{"AM","PM","NIGHT","WD"},0)-1),""))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$266,'Feb'!$D$27:$AH$266,'Mar'!$D$27:$AH$266,'Apr'!$D$27:$AH$266,'May'!$D$27:$AH$266,'Jun'!$D$27:$AH$266,'Jul'!$D$27:$AH$266,'Aug'!$D$27:$AH$266,'Sep'!$D$27:$AH$266,'Oct'!$D$27:$AH$266,'Nov'!$D$27:$AH$266,'Dec'!$D$27:$AH$266,'Jan (next year)'!$D$27:$AH$266),27+4*(IFERROR(MATCH(C633,Roster!$B$6:$B$65,0),MATCH(C633,Roster!$C$6:$C$65,0))-1)+MATCH(B633,{"AM","PM","NIGHT","WD"},0)-1-27+1,DAY(A633))&amp;"",""))</f>
        <v/>
      </c>
      <c r="G633" s="123">
        <f>IF(OR(A633="",C633="",B633="",E633=""),"",IFERROR(A633&amp;"|"&amp;(27+4*(IFERROR(MATCH(C633,Roster!$B$6:$B$65,0),MATCH(C633,Roster!$C$6:$C$65,0))-1)+MATCH(B633,{"AM","PM","NIGHT","WD"},0)-1),""))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$266,'Feb'!$D$27:$AH$266,'Mar'!$D$27:$AH$266,'Apr'!$D$27:$AH$266,'May'!$D$27:$AH$266,'Jun'!$D$27:$AH$266,'Jul'!$D$27:$AH$266,'Aug'!$D$27:$AH$266,'Sep'!$D$27:$AH$266,'Oct'!$D$27:$AH$266,'Nov'!$D$27:$AH$266,'Dec'!$D$27:$AH$266,'Jan (next year)'!$D$27:$AH$266),27+4*(IFERROR(MATCH(C634,Roster!$B$6:$B$65,0),MATCH(C634,Roster!$C$6:$C$65,0))-1)+MATCH(B634,{"AM","PM","NIGHT","WD"},0)-1-27+1,DAY(A634))&amp;"",""))</f>
        <v/>
      </c>
      <c r="G634" s="123">
        <f>IF(OR(A634="",C634="",B634="",E634=""),"",IFERROR(A634&amp;"|"&amp;(27+4*(IFERROR(MATCH(C634,Roster!$B$6:$B$65,0),MATCH(C634,Roster!$C$6:$C$65,0))-1)+MATCH(B634,{"AM","PM","NIGHT","WD"},0)-1),""))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$266,'Feb'!$D$27:$AH$266,'Mar'!$D$27:$AH$266,'Apr'!$D$27:$AH$266,'May'!$D$27:$AH$266,'Jun'!$D$27:$AH$266,'Jul'!$D$27:$AH$266,'Aug'!$D$27:$AH$266,'Sep'!$D$27:$AH$266,'Oct'!$D$27:$AH$266,'Nov'!$D$27:$AH$266,'Dec'!$D$27:$AH$266,'Jan (next year)'!$D$27:$AH$266),27+4*(IFERROR(MATCH(C635,Roster!$B$6:$B$65,0),MATCH(C635,Roster!$C$6:$C$65,0))-1)+MATCH(B635,{"AM","PM","NIGHT","WD"},0)-1-27+1,DAY(A635))&amp;"",""))</f>
        <v/>
      </c>
      <c r="G635" s="123">
        <f>IF(OR(A635="",C635="",B635="",E635=""),"",IFERROR(A635&amp;"|"&amp;(27+4*(IFERROR(MATCH(C635,Roster!$B$6:$B$65,0),MATCH(C635,Roster!$C$6:$C$65,0))-1)+MATCH(B635,{"AM","PM","NIGHT","WD"},0)-1),""))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$266,'Feb'!$D$27:$AH$266,'Mar'!$D$27:$AH$266,'Apr'!$D$27:$AH$266,'May'!$D$27:$AH$266,'Jun'!$D$27:$AH$266,'Jul'!$D$27:$AH$266,'Aug'!$D$27:$AH$266,'Sep'!$D$27:$AH$266,'Oct'!$D$27:$AH$266,'Nov'!$D$27:$AH$266,'Dec'!$D$27:$AH$266,'Jan (next year)'!$D$27:$AH$266),27+4*(IFERROR(MATCH(C636,Roster!$B$6:$B$65,0),MATCH(C636,Roster!$C$6:$C$65,0))-1)+MATCH(B636,{"AM","PM","NIGHT","WD"},0)-1-27+1,DAY(A636))&amp;"",""))</f>
        <v/>
      </c>
      <c r="G636" s="123">
        <f>IF(OR(A636="",C636="",B636="",E636=""),"",IFERROR(A636&amp;"|"&amp;(27+4*(IFERROR(MATCH(C636,Roster!$B$6:$B$65,0),MATCH(C636,Roster!$C$6:$C$65,0))-1)+MATCH(B636,{"AM","PM","NIGHT","WD"},0)-1),""))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$266,'Feb'!$D$27:$AH$266,'Mar'!$D$27:$AH$266,'Apr'!$D$27:$AH$266,'May'!$D$27:$AH$266,'Jun'!$D$27:$AH$266,'Jul'!$D$27:$AH$266,'Aug'!$D$27:$AH$266,'Sep'!$D$27:$AH$266,'Oct'!$D$27:$AH$266,'Nov'!$D$27:$AH$266,'Dec'!$D$27:$AH$266,'Jan (next year)'!$D$27:$AH$266),27+4*(IFERROR(MATCH(C637,Roster!$B$6:$B$65,0),MATCH(C637,Roster!$C$6:$C$65,0))-1)+MATCH(B637,{"AM","PM","NIGHT","WD"},0)-1-27+1,DAY(A637))&amp;"",""))</f>
        <v/>
      </c>
      <c r="G637" s="123">
        <f>IF(OR(A637="",C637="",B637="",E637=""),"",IFERROR(A637&amp;"|"&amp;(27+4*(IFERROR(MATCH(C637,Roster!$B$6:$B$65,0),MATCH(C637,Roster!$C$6:$C$65,0))-1)+MATCH(B637,{"AM","PM","NIGHT","WD"},0)-1),""))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$266,'Feb'!$D$27:$AH$266,'Mar'!$D$27:$AH$266,'Apr'!$D$27:$AH$266,'May'!$D$27:$AH$266,'Jun'!$D$27:$AH$266,'Jul'!$D$27:$AH$266,'Aug'!$D$27:$AH$266,'Sep'!$D$27:$AH$266,'Oct'!$D$27:$AH$266,'Nov'!$D$27:$AH$266,'Dec'!$D$27:$AH$266,'Jan (next year)'!$D$27:$AH$266),27+4*(IFERROR(MATCH(C638,Roster!$B$6:$B$65,0),MATCH(C638,Roster!$C$6:$C$65,0))-1)+MATCH(B638,{"AM","PM","NIGHT","WD"},0)-1-27+1,DAY(A638))&amp;"",""))</f>
        <v/>
      </c>
      <c r="G638" s="123">
        <f>IF(OR(A638="",C638="",B638="",E638=""),"",IFERROR(A638&amp;"|"&amp;(27+4*(IFERROR(MATCH(C638,Roster!$B$6:$B$65,0),MATCH(C638,Roster!$C$6:$C$65,0))-1)+MATCH(B638,{"AM","PM","NIGHT","WD"},0)-1),""))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$266,'Feb'!$D$27:$AH$266,'Mar'!$D$27:$AH$266,'Apr'!$D$27:$AH$266,'May'!$D$27:$AH$266,'Jun'!$D$27:$AH$266,'Jul'!$D$27:$AH$266,'Aug'!$D$27:$AH$266,'Sep'!$D$27:$AH$266,'Oct'!$D$27:$AH$266,'Nov'!$D$27:$AH$266,'Dec'!$D$27:$AH$266,'Jan (next year)'!$D$27:$AH$266),27+4*(IFERROR(MATCH(C639,Roster!$B$6:$B$65,0),MATCH(C639,Roster!$C$6:$C$65,0))-1)+MATCH(B639,{"AM","PM","NIGHT","WD"},0)-1-27+1,DAY(A639))&amp;"",""))</f>
        <v/>
      </c>
      <c r="G639" s="123">
        <f>IF(OR(A639="",C639="",B639="",E639=""),"",IFERROR(A639&amp;"|"&amp;(27+4*(IFERROR(MATCH(C639,Roster!$B$6:$B$65,0),MATCH(C639,Roster!$C$6:$C$65,0))-1)+MATCH(B639,{"AM","PM","NIGHT","WD"},0)-1),""))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$266,'Feb'!$D$27:$AH$266,'Mar'!$D$27:$AH$266,'Apr'!$D$27:$AH$266,'May'!$D$27:$AH$266,'Jun'!$D$27:$AH$266,'Jul'!$D$27:$AH$266,'Aug'!$D$27:$AH$266,'Sep'!$D$27:$AH$266,'Oct'!$D$27:$AH$266,'Nov'!$D$27:$AH$266,'Dec'!$D$27:$AH$266,'Jan (next year)'!$D$27:$AH$266),27+4*(IFERROR(MATCH(C640,Roster!$B$6:$B$65,0),MATCH(C640,Roster!$C$6:$C$65,0))-1)+MATCH(B640,{"AM","PM","NIGHT","WD"},0)-1-27+1,DAY(A640))&amp;"",""))</f>
        <v/>
      </c>
      <c r="G640" s="123">
        <f>IF(OR(A640="",C640="",B640="",E640=""),"",IFERROR(A640&amp;"|"&amp;(27+4*(IFERROR(MATCH(C640,Roster!$B$6:$B$65,0),MATCH(C640,Roster!$C$6:$C$65,0))-1)+MATCH(B640,{"AM","PM","NIGHT","WD"},0)-1),""))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$266,'Feb'!$D$27:$AH$266,'Mar'!$D$27:$AH$266,'Apr'!$D$27:$AH$266,'May'!$D$27:$AH$266,'Jun'!$D$27:$AH$266,'Jul'!$D$27:$AH$266,'Aug'!$D$27:$AH$266,'Sep'!$D$27:$AH$266,'Oct'!$D$27:$AH$266,'Nov'!$D$27:$AH$266,'Dec'!$D$27:$AH$266,'Jan (next year)'!$D$27:$AH$266),27+4*(IFERROR(MATCH(C641,Roster!$B$6:$B$65,0),MATCH(C641,Roster!$C$6:$C$65,0))-1)+MATCH(B641,{"AM","PM","NIGHT","WD"},0)-1-27+1,DAY(A641))&amp;"",""))</f>
        <v/>
      </c>
      <c r="G641" s="123">
        <f>IF(OR(A641="",C641="",B641="",E641=""),"",IFERROR(A641&amp;"|"&amp;(27+4*(IFERROR(MATCH(C641,Roster!$B$6:$B$65,0),MATCH(C641,Roster!$C$6:$C$65,0))-1)+MATCH(B641,{"AM","PM","NIGHT","WD"},0)-1),""))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$266,'Feb'!$D$27:$AH$266,'Mar'!$D$27:$AH$266,'Apr'!$D$27:$AH$266,'May'!$D$27:$AH$266,'Jun'!$D$27:$AH$266,'Jul'!$D$27:$AH$266,'Aug'!$D$27:$AH$266,'Sep'!$D$27:$AH$266,'Oct'!$D$27:$AH$266,'Nov'!$D$27:$AH$266,'Dec'!$D$27:$AH$266,'Jan (next year)'!$D$27:$AH$266),27+4*(IFERROR(MATCH(C642,Roster!$B$6:$B$65,0),MATCH(C642,Roster!$C$6:$C$65,0))-1)+MATCH(B642,{"AM","PM","NIGHT","WD"},0)-1-27+1,DAY(A642))&amp;"",""))</f>
        <v/>
      </c>
      <c r="G642" s="123">
        <f>IF(OR(A642="",C642="",B642="",E642=""),"",IFERROR(A642&amp;"|"&amp;(27+4*(IFERROR(MATCH(C642,Roster!$B$6:$B$65,0),MATCH(C642,Roster!$C$6:$C$65,0))-1)+MATCH(B642,{"AM","PM","NIGHT","WD"},0)-1),""))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$266,'Feb'!$D$27:$AH$266,'Mar'!$D$27:$AH$266,'Apr'!$D$27:$AH$266,'May'!$D$27:$AH$266,'Jun'!$D$27:$AH$266,'Jul'!$D$27:$AH$266,'Aug'!$D$27:$AH$266,'Sep'!$D$27:$AH$266,'Oct'!$D$27:$AH$266,'Nov'!$D$27:$AH$266,'Dec'!$D$27:$AH$266,'Jan (next year)'!$D$27:$AH$266),27+4*(IFERROR(MATCH(C643,Roster!$B$6:$B$65,0),MATCH(C643,Roster!$C$6:$C$65,0))-1)+MATCH(B643,{"AM","PM","NIGHT","WD"},0)-1-27+1,DAY(A643))&amp;"",""))</f>
        <v/>
      </c>
      <c r="G643" s="123">
        <f>IF(OR(A643="",C643="",B643="",E643=""),"",IFERROR(A643&amp;"|"&amp;(27+4*(IFERROR(MATCH(C643,Roster!$B$6:$B$65,0),MATCH(C643,Roster!$C$6:$C$65,0))-1)+MATCH(B643,{"AM","PM","NIGHT","WD"},0)-1),""))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$266,'Feb'!$D$27:$AH$266,'Mar'!$D$27:$AH$266,'Apr'!$D$27:$AH$266,'May'!$D$27:$AH$266,'Jun'!$D$27:$AH$266,'Jul'!$D$27:$AH$266,'Aug'!$D$27:$AH$266,'Sep'!$D$27:$AH$266,'Oct'!$D$27:$AH$266,'Nov'!$D$27:$AH$266,'Dec'!$D$27:$AH$266,'Jan (next year)'!$D$27:$AH$266),27+4*(IFERROR(MATCH(C644,Roster!$B$6:$B$65,0),MATCH(C644,Roster!$C$6:$C$65,0))-1)+MATCH(B644,{"AM","PM","NIGHT","WD"},0)-1-27+1,DAY(A644))&amp;"",""))</f>
        <v/>
      </c>
      <c r="G644" s="123">
        <f>IF(OR(A644="",C644="",B644="",E644=""),"",IFERROR(A644&amp;"|"&amp;(27+4*(IFERROR(MATCH(C644,Roster!$B$6:$B$65,0),MATCH(C644,Roster!$C$6:$C$65,0))-1)+MATCH(B644,{"AM","PM","NIGHT","WD"},0)-1),""))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$266,'Feb'!$D$27:$AH$266,'Mar'!$D$27:$AH$266,'Apr'!$D$27:$AH$266,'May'!$D$27:$AH$266,'Jun'!$D$27:$AH$266,'Jul'!$D$27:$AH$266,'Aug'!$D$27:$AH$266,'Sep'!$D$27:$AH$266,'Oct'!$D$27:$AH$266,'Nov'!$D$27:$AH$266,'Dec'!$D$27:$AH$266,'Jan (next year)'!$D$27:$AH$266),27+4*(IFERROR(MATCH(C645,Roster!$B$6:$B$65,0),MATCH(C645,Roster!$C$6:$C$65,0))-1)+MATCH(B645,{"AM","PM","NIGHT","WD"},0)-1-27+1,DAY(A645))&amp;"",""))</f>
        <v/>
      </c>
      <c r="G645" s="123">
        <f>IF(OR(A645="",C645="",B645="",E645=""),"",IFERROR(A645&amp;"|"&amp;(27+4*(IFERROR(MATCH(C645,Roster!$B$6:$B$65,0),MATCH(C645,Roster!$C$6:$C$65,0))-1)+MATCH(B645,{"AM","PM","NIGHT","WD"},0)-1),""))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$266,'Feb'!$D$27:$AH$266,'Mar'!$D$27:$AH$266,'Apr'!$D$27:$AH$266,'May'!$D$27:$AH$266,'Jun'!$D$27:$AH$266,'Jul'!$D$27:$AH$266,'Aug'!$D$27:$AH$266,'Sep'!$D$27:$AH$266,'Oct'!$D$27:$AH$266,'Nov'!$D$27:$AH$266,'Dec'!$D$27:$AH$266,'Jan (next year)'!$D$27:$AH$266),27+4*(IFERROR(MATCH(C646,Roster!$B$6:$B$65,0),MATCH(C646,Roster!$C$6:$C$65,0))-1)+MATCH(B646,{"AM","PM","NIGHT","WD"},0)-1-27+1,DAY(A646))&amp;"",""))</f>
        <v/>
      </c>
      <c r="G646" s="123">
        <f>IF(OR(A646="",C646="",B646="",E646=""),"",IFERROR(A646&amp;"|"&amp;(27+4*(IFERROR(MATCH(C646,Roster!$B$6:$B$65,0),MATCH(C646,Roster!$C$6:$C$65,0))-1)+MATCH(B646,{"AM","PM","NIGHT","WD"},0)-1),""))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$266,'Feb'!$D$27:$AH$266,'Mar'!$D$27:$AH$266,'Apr'!$D$27:$AH$266,'May'!$D$27:$AH$266,'Jun'!$D$27:$AH$266,'Jul'!$D$27:$AH$266,'Aug'!$D$27:$AH$266,'Sep'!$D$27:$AH$266,'Oct'!$D$27:$AH$266,'Nov'!$D$27:$AH$266,'Dec'!$D$27:$AH$266,'Jan (next year)'!$D$27:$AH$266),27+4*(IFERROR(MATCH(C647,Roster!$B$6:$B$65,0),MATCH(C647,Roster!$C$6:$C$65,0))-1)+MATCH(B647,{"AM","PM","NIGHT","WD"},0)-1-27+1,DAY(A647))&amp;"",""))</f>
        <v/>
      </c>
      <c r="G647" s="123">
        <f>IF(OR(A647="",C647="",B647="",E647=""),"",IFERROR(A647&amp;"|"&amp;(27+4*(IFERROR(MATCH(C647,Roster!$B$6:$B$65,0),MATCH(C647,Roster!$C$6:$C$65,0))-1)+MATCH(B647,{"AM","PM","NIGHT","WD"},0)-1),""))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$266,'Feb'!$D$27:$AH$266,'Mar'!$D$27:$AH$266,'Apr'!$D$27:$AH$266,'May'!$D$27:$AH$266,'Jun'!$D$27:$AH$266,'Jul'!$D$27:$AH$266,'Aug'!$D$27:$AH$266,'Sep'!$D$27:$AH$266,'Oct'!$D$27:$AH$266,'Nov'!$D$27:$AH$266,'Dec'!$D$27:$AH$266,'Jan (next year)'!$D$27:$AH$266),27+4*(IFERROR(MATCH(C648,Roster!$B$6:$B$65,0),MATCH(C648,Roster!$C$6:$C$65,0))-1)+MATCH(B648,{"AM","PM","NIGHT","WD"},0)-1-27+1,DAY(A648))&amp;"",""))</f>
        <v/>
      </c>
      <c r="G648" s="123">
        <f>IF(OR(A648="",C648="",B648="",E648=""),"",IFERROR(A648&amp;"|"&amp;(27+4*(IFERROR(MATCH(C648,Roster!$B$6:$B$65,0),MATCH(C648,Roster!$C$6:$C$65,0))-1)+MATCH(B648,{"AM","PM","NIGHT","WD"},0)-1),""))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$266,'Feb'!$D$27:$AH$266,'Mar'!$D$27:$AH$266,'Apr'!$D$27:$AH$266,'May'!$D$27:$AH$266,'Jun'!$D$27:$AH$266,'Jul'!$D$27:$AH$266,'Aug'!$D$27:$AH$266,'Sep'!$D$27:$AH$266,'Oct'!$D$27:$AH$266,'Nov'!$D$27:$AH$266,'Dec'!$D$27:$AH$266,'Jan (next year)'!$D$27:$AH$266),27+4*(IFERROR(MATCH(C649,Roster!$B$6:$B$65,0),MATCH(C649,Roster!$C$6:$C$65,0))-1)+MATCH(B649,{"AM","PM","NIGHT","WD"},0)-1-27+1,DAY(A649))&amp;"",""))</f>
        <v/>
      </c>
      <c r="G649" s="123">
        <f>IF(OR(A649="",C649="",B649="",E649=""),"",IFERROR(A649&amp;"|"&amp;(27+4*(IFERROR(MATCH(C649,Roster!$B$6:$B$65,0),MATCH(C649,Roster!$C$6:$C$65,0))-1)+MATCH(B649,{"AM","PM","NIGHT","WD"},0)-1),""))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$266,'Feb'!$D$27:$AH$266,'Mar'!$D$27:$AH$266,'Apr'!$D$27:$AH$266,'May'!$D$27:$AH$266,'Jun'!$D$27:$AH$266,'Jul'!$D$27:$AH$266,'Aug'!$D$27:$AH$266,'Sep'!$D$27:$AH$266,'Oct'!$D$27:$AH$266,'Nov'!$D$27:$AH$266,'Dec'!$D$27:$AH$266,'Jan (next year)'!$D$27:$AH$266),27+4*(IFERROR(MATCH(C650,Roster!$B$6:$B$65,0),MATCH(C650,Roster!$C$6:$C$65,0))-1)+MATCH(B650,{"AM","PM","NIGHT","WD"},0)-1-27+1,DAY(A650))&amp;"",""))</f>
        <v/>
      </c>
      <c r="G650" s="123">
        <f>IF(OR(A650="",C650="",B650="",E650=""),"",IFERROR(A650&amp;"|"&amp;(27+4*(IFERROR(MATCH(C650,Roster!$B$6:$B$65,0),MATCH(C650,Roster!$C$6:$C$65,0))-1)+MATCH(B650,{"AM","PM","NIGHT","WD"},0)-1),""))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$266,'Feb'!$D$27:$AH$266,'Mar'!$D$27:$AH$266,'Apr'!$D$27:$AH$266,'May'!$D$27:$AH$266,'Jun'!$D$27:$AH$266,'Jul'!$D$27:$AH$266,'Aug'!$D$27:$AH$266,'Sep'!$D$27:$AH$266,'Oct'!$D$27:$AH$266,'Nov'!$D$27:$AH$266,'Dec'!$D$27:$AH$266,'Jan (next year)'!$D$27:$AH$266),27+4*(IFERROR(MATCH(C651,Roster!$B$6:$B$65,0),MATCH(C651,Roster!$C$6:$C$65,0))-1)+MATCH(B651,{"AM","PM","NIGHT","WD"},0)-1-27+1,DAY(A651))&amp;"",""))</f>
        <v/>
      </c>
      <c r="G651" s="123">
        <f>IF(OR(A651="",C651="",B651="",E651=""),"",IFERROR(A651&amp;"|"&amp;(27+4*(IFERROR(MATCH(C651,Roster!$B$6:$B$65,0),MATCH(C651,Roster!$C$6:$C$65,0))-1)+MATCH(B651,{"AM","PM","NIGHT","WD"},0)-1),""))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$266,'Feb'!$D$27:$AH$266,'Mar'!$D$27:$AH$266,'Apr'!$D$27:$AH$266,'May'!$D$27:$AH$266,'Jun'!$D$27:$AH$266,'Jul'!$D$27:$AH$266,'Aug'!$D$27:$AH$266,'Sep'!$D$27:$AH$266,'Oct'!$D$27:$AH$266,'Nov'!$D$27:$AH$266,'Dec'!$D$27:$AH$266,'Jan (next year)'!$D$27:$AH$266),27+4*(IFERROR(MATCH(C652,Roster!$B$6:$B$65,0),MATCH(C652,Roster!$C$6:$C$65,0))-1)+MATCH(B652,{"AM","PM","NIGHT","WD"},0)-1-27+1,DAY(A652))&amp;"",""))</f>
        <v/>
      </c>
      <c r="G652" s="123">
        <f>IF(OR(A652="",C652="",B652="",E652=""),"",IFERROR(A652&amp;"|"&amp;(27+4*(IFERROR(MATCH(C652,Roster!$B$6:$B$65,0),MATCH(C652,Roster!$C$6:$C$65,0))-1)+MATCH(B652,{"AM","PM","NIGHT","WD"},0)-1),""))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$266,'Feb'!$D$27:$AH$266,'Mar'!$D$27:$AH$266,'Apr'!$D$27:$AH$266,'May'!$D$27:$AH$266,'Jun'!$D$27:$AH$266,'Jul'!$D$27:$AH$266,'Aug'!$D$27:$AH$266,'Sep'!$D$27:$AH$266,'Oct'!$D$27:$AH$266,'Nov'!$D$27:$AH$266,'Dec'!$D$27:$AH$266,'Jan (next year)'!$D$27:$AH$266),27+4*(IFERROR(MATCH(C653,Roster!$B$6:$B$65,0),MATCH(C653,Roster!$C$6:$C$65,0))-1)+MATCH(B653,{"AM","PM","NIGHT","WD"},0)-1-27+1,DAY(A653))&amp;"",""))</f>
        <v/>
      </c>
      <c r="G653" s="123">
        <f>IF(OR(A653="",C653="",B653="",E653=""),"",IFERROR(A653&amp;"|"&amp;(27+4*(IFERROR(MATCH(C653,Roster!$B$6:$B$65,0),MATCH(C653,Roster!$C$6:$C$65,0))-1)+MATCH(B653,{"AM","PM","NIGHT","WD"},0)-1),""))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$266,'Feb'!$D$27:$AH$266,'Mar'!$D$27:$AH$266,'Apr'!$D$27:$AH$266,'May'!$D$27:$AH$266,'Jun'!$D$27:$AH$266,'Jul'!$D$27:$AH$266,'Aug'!$D$27:$AH$266,'Sep'!$D$27:$AH$266,'Oct'!$D$27:$AH$266,'Nov'!$D$27:$AH$266,'Dec'!$D$27:$AH$266,'Jan (next year)'!$D$27:$AH$266),27+4*(IFERROR(MATCH(C654,Roster!$B$6:$B$65,0),MATCH(C654,Roster!$C$6:$C$65,0))-1)+MATCH(B654,{"AM","PM","NIGHT","WD"},0)-1-27+1,DAY(A654))&amp;"",""))</f>
        <v/>
      </c>
      <c r="G654" s="123">
        <f>IF(OR(A654="",C654="",B654="",E654=""),"",IFERROR(A654&amp;"|"&amp;(27+4*(IFERROR(MATCH(C654,Roster!$B$6:$B$65,0),MATCH(C654,Roster!$C$6:$C$65,0))-1)+MATCH(B654,{"AM","PM","NIGHT","WD"},0)-1),""))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$266,'Feb'!$D$27:$AH$266,'Mar'!$D$27:$AH$266,'Apr'!$D$27:$AH$266,'May'!$D$27:$AH$266,'Jun'!$D$27:$AH$266,'Jul'!$D$27:$AH$266,'Aug'!$D$27:$AH$266,'Sep'!$D$27:$AH$266,'Oct'!$D$27:$AH$266,'Nov'!$D$27:$AH$266,'Dec'!$D$27:$AH$266,'Jan (next year)'!$D$27:$AH$266),27+4*(IFERROR(MATCH(C655,Roster!$B$6:$B$65,0),MATCH(C655,Roster!$C$6:$C$65,0))-1)+MATCH(B655,{"AM","PM","NIGHT","WD"},0)-1-27+1,DAY(A655))&amp;"",""))</f>
        <v/>
      </c>
      <c r="G655" s="123">
        <f>IF(OR(A655="",C655="",B655="",E655=""),"",IFERROR(A655&amp;"|"&amp;(27+4*(IFERROR(MATCH(C655,Roster!$B$6:$B$65,0),MATCH(C655,Roster!$C$6:$C$65,0))-1)+MATCH(B655,{"AM","PM","NIGHT","WD"},0)-1),""))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$266,'Feb'!$D$27:$AH$266,'Mar'!$D$27:$AH$266,'Apr'!$D$27:$AH$266,'May'!$D$27:$AH$266,'Jun'!$D$27:$AH$266,'Jul'!$D$27:$AH$266,'Aug'!$D$27:$AH$266,'Sep'!$D$27:$AH$266,'Oct'!$D$27:$AH$266,'Nov'!$D$27:$AH$266,'Dec'!$D$27:$AH$266,'Jan (next year)'!$D$27:$AH$266),27+4*(IFERROR(MATCH(C656,Roster!$B$6:$B$65,0),MATCH(C656,Roster!$C$6:$C$65,0))-1)+MATCH(B656,{"AM","PM","NIGHT","WD"},0)-1-27+1,DAY(A656))&amp;"",""))</f>
        <v/>
      </c>
      <c r="G656" s="123">
        <f>IF(OR(A656="",C656="",B656="",E656=""),"",IFERROR(A656&amp;"|"&amp;(27+4*(IFERROR(MATCH(C656,Roster!$B$6:$B$65,0),MATCH(C656,Roster!$C$6:$C$65,0))-1)+MATCH(B656,{"AM","PM","NIGHT","WD"},0)-1),""))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$266,'Feb'!$D$27:$AH$266,'Mar'!$D$27:$AH$266,'Apr'!$D$27:$AH$266,'May'!$D$27:$AH$266,'Jun'!$D$27:$AH$266,'Jul'!$D$27:$AH$266,'Aug'!$D$27:$AH$266,'Sep'!$D$27:$AH$266,'Oct'!$D$27:$AH$266,'Nov'!$D$27:$AH$266,'Dec'!$D$27:$AH$266,'Jan (next year)'!$D$27:$AH$266),27+4*(IFERROR(MATCH(C657,Roster!$B$6:$B$65,0),MATCH(C657,Roster!$C$6:$C$65,0))-1)+MATCH(B657,{"AM","PM","NIGHT","WD"},0)-1-27+1,DAY(A657))&amp;"",""))</f>
        <v/>
      </c>
      <c r="G657" s="123">
        <f>IF(OR(A657="",C657="",B657="",E657=""),"",IFERROR(A657&amp;"|"&amp;(27+4*(IFERROR(MATCH(C657,Roster!$B$6:$B$65,0),MATCH(C657,Roster!$C$6:$C$65,0))-1)+MATCH(B657,{"AM","PM","NIGHT","WD"},0)-1),""))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$266,'Feb'!$D$27:$AH$266,'Mar'!$D$27:$AH$266,'Apr'!$D$27:$AH$266,'May'!$D$27:$AH$266,'Jun'!$D$27:$AH$266,'Jul'!$D$27:$AH$266,'Aug'!$D$27:$AH$266,'Sep'!$D$27:$AH$266,'Oct'!$D$27:$AH$266,'Nov'!$D$27:$AH$266,'Dec'!$D$27:$AH$266,'Jan (next year)'!$D$27:$AH$266),27+4*(IFERROR(MATCH(C658,Roster!$B$6:$B$65,0),MATCH(C658,Roster!$C$6:$C$65,0))-1)+MATCH(B658,{"AM","PM","NIGHT","WD"},0)-1-27+1,DAY(A658))&amp;"",""))</f>
        <v/>
      </c>
      <c r="G658" s="123">
        <f>IF(OR(A658="",C658="",B658="",E658=""),"",IFERROR(A658&amp;"|"&amp;(27+4*(IFERROR(MATCH(C658,Roster!$B$6:$B$65,0),MATCH(C658,Roster!$C$6:$C$65,0))-1)+MATCH(B658,{"AM","PM","NIGHT","WD"},0)-1),""))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$266,'Feb'!$D$27:$AH$266,'Mar'!$D$27:$AH$266,'Apr'!$D$27:$AH$266,'May'!$D$27:$AH$266,'Jun'!$D$27:$AH$266,'Jul'!$D$27:$AH$266,'Aug'!$D$27:$AH$266,'Sep'!$D$27:$AH$266,'Oct'!$D$27:$AH$266,'Nov'!$D$27:$AH$266,'Dec'!$D$27:$AH$266,'Jan (next year)'!$D$27:$AH$266),27+4*(IFERROR(MATCH(C659,Roster!$B$6:$B$65,0),MATCH(C659,Roster!$C$6:$C$65,0))-1)+MATCH(B659,{"AM","PM","NIGHT","WD"},0)-1-27+1,DAY(A659))&amp;"",""))</f>
        <v/>
      </c>
      <c r="G659" s="123">
        <f>IF(OR(A659="",C659="",B659="",E659=""),"",IFERROR(A659&amp;"|"&amp;(27+4*(IFERROR(MATCH(C659,Roster!$B$6:$B$65,0),MATCH(C659,Roster!$C$6:$C$65,0))-1)+MATCH(B659,{"AM","PM","NIGHT","WD"},0)-1),""))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$266,'Feb'!$D$27:$AH$266,'Mar'!$D$27:$AH$266,'Apr'!$D$27:$AH$266,'May'!$D$27:$AH$266,'Jun'!$D$27:$AH$266,'Jul'!$D$27:$AH$266,'Aug'!$D$27:$AH$266,'Sep'!$D$27:$AH$266,'Oct'!$D$27:$AH$266,'Nov'!$D$27:$AH$266,'Dec'!$D$27:$AH$266,'Jan (next year)'!$D$27:$AH$266),27+4*(IFERROR(MATCH(C660,Roster!$B$6:$B$65,0),MATCH(C660,Roster!$C$6:$C$65,0))-1)+MATCH(B660,{"AM","PM","NIGHT","WD"},0)-1-27+1,DAY(A660))&amp;"",""))</f>
        <v/>
      </c>
      <c r="G660" s="123">
        <f>IF(OR(A660="",C660="",B660="",E660=""),"",IFERROR(A660&amp;"|"&amp;(27+4*(IFERROR(MATCH(C660,Roster!$B$6:$B$65,0),MATCH(C660,Roster!$C$6:$C$65,0))-1)+MATCH(B660,{"AM","PM","NIGHT","WD"},0)-1),""))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$266,'Feb'!$D$27:$AH$266,'Mar'!$D$27:$AH$266,'Apr'!$D$27:$AH$266,'May'!$D$27:$AH$266,'Jun'!$D$27:$AH$266,'Jul'!$D$27:$AH$266,'Aug'!$D$27:$AH$266,'Sep'!$D$27:$AH$266,'Oct'!$D$27:$AH$266,'Nov'!$D$27:$AH$266,'Dec'!$D$27:$AH$266,'Jan (next year)'!$D$27:$AH$266),27+4*(IFERROR(MATCH(C661,Roster!$B$6:$B$65,0),MATCH(C661,Roster!$C$6:$C$65,0))-1)+MATCH(B661,{"AM","PM","NIGHT","WD"},0)-1-27+1,DAY(A661))&amp;"",""))</f>
        <v/>
      </c>
      <c r="G661" s="123">
        <f>IF(OR(A661="",C661="",B661="",E661=""),"",IFERROR(A661&amp;"|"&amp;(27+4*(IFERROR(MATCH(C661,Roster!$B$6:$B$65,0),MATCH(C661,Roster!$C$6:$C$65,0))-1)+MATCH(B661,{"AM","PM","NIGHT","WD"},0)-1),""))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$266,'Feb'!$D$27:$AH$266,'Mar'!$D$27:$AH$266,'Apr'!$D$27:$AH$266,'May'!$D$27:$AH$266,'Jun'!$D$27:$AH$266,'Jul'!$D$27:$AH$266,'Aug'!$D$27:$AH$266,'Sep'!$D$27:$AH$266,'Oct'!$D$27:$AH$266,'Nov'!$D$27:$AH$266,'Dec'!$D$27:$AH$266,'Jan (next year)'!$D$27:$AH$266),27+4*(IFERROR(MATCH(C662,Roster!$B$6:$B$65,0),MATCH(C662,Roster!$C$6:$C$65,0))-1)+MATCH(B662,{"AM","PM","NIGHT","WD"},0)-1-27+1,DAY(A662))&amp;"",""))</f>
        <v/>
      </c>
      <c r="G662" s="123">
        <f>IF(OR(A662="",C662="",B662="",E662=""),"",IFERROR(A662&amp;"|"&amp;(27+4*(IFERROR(MATCH(C662,Roster!$B$6:$B$65,0),MATCH(C662,Roster!$C$6:$C$65,0))-1)+MATCH(B662,{"AM","PM","NIGHT","WD"},0)-1),""))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$266,'Feb'!$D$27:$AH$266,'Mar'!$D$27:$AH$266,'Apr'!$D$27:$AH$266,'May'!$D$27:$AH$266,'Jun'!$D$27:$AH$266,'Jul'!$D$27:$AH$266,'Aug'!$D$27:$AH$266,'Sep'!$D$27:$AH$266,'Oct'!$D$27:$AH$266,'Nov'!$D$27:$AH$266,'Dec'!$D$27:$AH$266,'Jan (next year)'!$D$27:$AH$266),27+4*(IFERROR(MATCH(C663,Roster!$B$6:$B$65,0),MATCH(C663,Roster!$C$6:$C$65,0))-1)+MATCH(B663,{"AM","PM","NIGHT","WD"},0)-1-27+1,DAY(A663))&amp;"",""))</f>
        <v/>
      </c>
      <c r="G663" s="123">
        <f>IF(OR(A663="",C663="",B663="",E663=""),"",IFERROR(A663&amp;"|"&amp;(27+4*(IFERROR(MATCH(C663,Roster!$B$6:$B$65,0),MATCH(C663,Roster!$C$6:$C$65,0))-1)+MATCH(B663,{"AM","PM","NIGHT","WD"},0)-1),""))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$266,'Feb'!$D$27:$AH$266,'Mar'!$D$27:$AH$266,'Apr'!$D$27:$AH$266,'May'!$D$27:$AH$266,'Jun'!$D$27:$AH$266,'Jul'!$D$27:$AH$266,'Aug'!$D$27:$AH$266,'Sep'!$D$27:$AH$266,'Oct'!$D$27:$AH$266,'Nov'!$D$27:$AH$266,'Dec'!$D$27:$AH$266,'Jan (next year)'!$D$27:$AH$266),27+4*(IFERROR(MATCH(C664,Roster!$B$6:$B$65,0),MATCH(C664,Roster!$C$6:$C$65,0))-1)+MATCH(B664,{"AM","PM","NIGHT","WD"},0)-1-27+1,DAY(A664))&amp;"",""))</f>
        <v/>
      </c>
      <c r="G664" s="123">
        <f>IF(OR(A664="",C664="",B664="",E664=""),"",IFERROR(A664&amp;"|"&amp;(27+4*(IFERROR(MATCH(C664,Roster!$B$6:$B$65,0),MATCH(C664,Roster!$C$6:$C$65,0))-1)+MATCH(B664,{"AM","PM","NIGHT","WD"},0)-1),""))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$266,'Feb'!$D$27:$AH$266,'Mar'!$D$27:$AH$266,'Apr'!$D$27:$AH$266,'May'!$D$27:$AH$266,'Jun'!$D$27:$AH$266,'Jul'!$D$27:$AH$266,'Aug'!$D$27:$AH$266,'Sep'!$D$27:$AH$266,'Oct'!$D$27:$AH$266,'Nov'!$D$27:$AH$266,'Dec'!$D$27:$AH$266,'Jan (next year)'!$D$27:$AH$266),27+4*(IFERROR(MATCH(C665,Roster!$B$6:$B$65,0),MATCH(C665,Roster!$C$6:$C$65,0))-1)+MATCH(B665,{"AM","PM","NIGHT","WD"},0)-1-27+1,DAY(A665))&amp;"",""))</f>
        <v/>
      </c>
      <c r="G665" s="123">
        <f>IF(OR(A665="",C665="",B665="",E665=""),"",IFERROR(A665&amp;"|"&amp;(27+4*(IFERROR(MATCH(C665,Roster!$B$6:$B$65,0),MATCH(C665,Roster!$C$6:$C$65,0))-1)+MATCH(B665,{"AM","PM","NIGHT","WD"},0)-1),""))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$266,'Feb'!$D$27:$AH$266,'Mar'!$D$27:$AH$266,'Apr'!$D$27:$AH$266,'May'!$D$27:$AH$266,'Jun'!$D$27:$AH$266,'Jul'!$D$27:$AH$266,'Aug'!$D$27:$AH$266,'Sep'!$D$27:$AH$266,'Oct'!$D$27:$AH$266,'Nov'!$D$27:$AH$266,'Dec'!$D$27:$AH$266,'Jan (next year)'!$D$27:$AH$266),27+4*(IFERROR(MATCH(C666,Roster!$B$6:$B$65,0),MATCH(C666,Roster!$C$6:$C$65,0))-1)+MATCH(B666,{"AM","PM","NIGHT","WD"},0)-1-27+1,DAY(A666))&amp;"",""))</f>
        <v/>
      </c>
      <c r="G666" s="123">
        <f>IF(OR(A666="",C666="",B666="",E666=""),"",IFERROR(A666&amp;"|"&amp;(27+4*(IFERROR(MATCH(C666,Roster!$B$6:$B$65,0),MATCH(C666,Roster!$C$6:$C$65,0))-1)+MATCH(B666,{"AM","PM","NIGHT","WD"},0)-1),""))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$266,'Feb'!$D$27:$AH$266,'Mar'!$D$27:$AH$266,'Apr'!$D$27:$AH$266,'May'!$D$27:$AH$266,'Jun'!$D$27:$AH$266,'Jul'!$D$27:$AH$266,'Aug'!$D$27:$AH$266,'Sep'!$D$27:$AH$266,'Oct'!$D$27:$AH$266,'Nov'!$D$27:$AH$266,'Dec'!$D$27:$AH$266,'Jan (next year)'!$D$27:$AH$266),27+4*(IFERROR(MATCH(C667,Roster!$B$6:$B$65,0),MATCH(C667,Roster!$C$6:$C$65,0))-1)+MATCH(B667,{"AM","PM","NIGHT","WD"},0)-1-27+1,DAY(A667))&amp;"",""))</f>
        <v/>
      </c>
      <c r="G667" s="123">
        <f>IF(OR(A667="",C667="",B667="",E667=""),"",IFERROR(A667&amp;"|"&amp;(27+4*(IFERROR(MATCH(C667,Roster!$B$6:$B$65,0),MATCH(C667,Roster!$C$6:$C$65,0))-1)+MATCH(B667,{"AM","PM","NIGHT","WD"},0)-1),""))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$266,'Feb'!$D$27:$AH$266,'Mar'!$D$27:$AH$266,'Apr'!$D$27:$AH$266,'May'!$D$27:$AH$266,'Jun'!$D$27:$AH$266,'Jul'!$D$27:$AH$266,'Aug'!$D$27:$AH$266,'Sep'!$D$27:$AH$266,'Oct'!$D$27:$AH$266,'Nov'!$D$27:$AH$266,'Dec'!$D$27:$AH$266,'Jan (next year)'!$D$27:$AH$266),27+4*(IFERROR(MATCH(C668,Roster!$B$6:$B$65,0),MATCH(C668,Roster!$C$6:$C$65,0))-1)+MATCH(B668,{"AM","PM","NIGHT","WD"},0)-1-27+1,DAY(A668))&amp;"",""))</f>
        <v/>
      </c>
      <c r="G668" s="123">
        <f>IF(OR(A668="",C668="",B668="",E668=""),"",IFERROR(A668&amp;"|"&amp;(27+4*(IFERROR(MATCH(C668,Roster!$B$6:$B$65,0),MATCH(C668,Roster!$C$6:$C$65,0))-1)+MATCH(B668,{"AM","PM","NIGHT","WD"},0)-1),""))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$266,'Feb'!$D$27:$AH$266,'Mar'!$D$27:$AH$266,'Apr'!$D$27:$AH$266,'May'!$D$27:$AH$266,'Jun'!$D$27:$AH$266,'Jul'!$D$27:$AH$266,'Aug'!$D$27:$AH$266,'Sep'!$D$27:$AH$266,'Oct'!$D$27:$AH$266,'Nov'!$D$27:$AH$266,'Dec'!$D$27:$AH$266,'Jan (next year)'!$D$27:$AH$266),27+4*(IFERROR(MATCH(C669,Roster!$B$6:$B$65,0),MATCH(C669,Roster!$C$6:$C$65,0))-1)+MATCH(B669,{"AM","PM","NIGHT","WD"},0)-1-27+1,DAY(A669))&amp;"",""))</f>
        <v/>
      </c>
      <c r="G669" s="123">
        <f>IF(OR(A669="",C669="",B669="",E669=""),"",IFERROR(A669&amp;"|"&amp;(27+4*(IFERROR(MATCH(C669,Roster!$B$6:$B$65,0),MATCH(C669,Roster!$C$6:$C$65,0))-1)+MATCH(B669,{"AM","PM","NIGHT","WD"},0)-1),""))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$266,'Feb'!$D$27:$AH$266,'Mar'!$D$27:$AH$266,'Apr'!$D$27:$AH$266,'May'!$D$27:$AH$266,'Jun'!$D$27:$AH$266,'Jul'!$D$27:$AH$266,'Aug'!$D$27:$AH$266,'Sep'!$D$27:$AH$266,'Oct'!$D$27:$AH$266,'Nov'!$D$27:$AH$266,'Dec'!$D$27:$AH$266,'Jan (next year)'!$D$27:$AH$266),27+4*(IFERROR(MATCH(C670,Roster!$B$6:$B$65,0),MATCH(C670,Roster!$C$6:$C$65,0))-1)+MATCH(B670,{"AM","PM","NIGHT","WD"},0)-1-27+1,DAY(A670))&amp;"",""))</f>
        <v/>
      </c>
      <c r="G670" s="123">
        <f>IF(OR(A670="",C670="",B670="",E670=""),"",IFERROR(A670&amp;"|"&amp;(27+4*(IFERROR(MATCH(C670,Roster!$B$6:$B$65,0),MATCH(C670,Roster!$C$6:$C$65,0))-1)+MATCH(B670,{"AM","PM","NIGHT","WD"},0)-1),""))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$266,'Feb'!$D$27:$AH$266,'Mar'!$D$27:$AH$266,'Apr'!$D$27:$AH$266,'May'!$D$27:$AH$266,'Jun'!$D$27:$AH$266,'Jul'!$D$27:$AH$266,'Aug'!$D$27:$AH$266,'Sep'!$D$27:$AH$266,'Oct'!$D$27:$AH$266,'Nov'!$D$27:$AH$266,'Dec'!$D$27:$AH$266,'Jan (next year)'!$D$27:$AH$266),27+4*(IFERROR(MATCH(C671,Roster!$B$6:$B$65,0),MATCH(C671,Roster!$C$6:$C$65,0))-1)+MATCH(B671,{"AM","PM","NIGHT","WD"},0)-1-27+1,DAY(A671))&amp;"",""))</f>
        <v/>
      </c>
      <c r="G671" s="123">
        <f>IF(OR(A671="",C671="",B671="",E671=""),"",IFERROR(A671&amp;"|"&amp;(27+4*(IFERROR(MATCH(C671,Roster!$B$6:$B$65,0),MATCH(C671,Roster!$C$6:$C$65,0))-1)+MATCH(B671,{"AM","PM","NIGHT","WD"},0)-1),""))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$266,'Feb'!$D$27:$AH$266,'Mar'!$D$27:$AH$266,'Apr'!$D$27:$AH$266,'May'!$D$27:$AH$266,'Jun'!$D$27:$AH$266,'Jul'!$D$27:$AH$266,'Aug'!$D$27:$AH$266,'Sep'!$D$27:$AH$266,'Oct'!$D$27:$AH$266,'Nov'!$D$27:$AH$266,'Dec'!$D$27:$AH$266,'Jan (next year)'!$D$27:$AH$266),27+4*(IFERROR(MATCH(C672,Roster!$B$6:$B$65,0),MATCH(C672,Roster!$C$6:$C$65,0))-1)+MATCH(B672,{"AM","PM","NIGHT","WD"},0)-1-27+1,DAY(A672))&amp;"",""))</f>
        <v/>
      </c>
      <c r="G672" s="123">
        <f>IF(OR(A672="",C672="",B672="",E672=""),"",IFERROR(A672&amp;"|"&amp;(27+4*(IFERROR(MATCH(C672,Roster!$B$6:$B$65,0),MATCH(C672,Roster!$C$6:$C$65,0))-1)+MATCH(B672,{"AM","PM","NIGHT","WD"},0)-1),""))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$266,'Feb'!$D$27:$AH$266,'Mar'!$D$27:$AH$266,'Apr'!$D$27:$AH$266,'May'!$D$27:$AH$266,'Jun'!$D$27:$AH$266,'Jul'!$D$27:$AH$266,'Aug'!$D$27:$AH$266,'Sep'!$D$27:$AH$266,'Oct'!$D$27:$AH$266,'Nov'!$D$27:$AH$266,'Dec'!$D$27:$AH$266,'Jan (next year)'!$D$27:$AH$266),27+4*(IFERROR(MATCH(C673,Roster!$B$6:$B$65,0),MATCH(C673,Roster!$C$6:$C$65,0))-1)+MATCH(B673,{"AM","PM","NIGHT","WD"},0)-1-27+1,DAY(A673))&amp;"",""))</f>
        <v/>
      </c>
      <c r="G673" s="123">
        <f>IF(OR(A673="",C673="",B673="",E673=""),"",IFERROR(A673&amp;"|"&amp;(27+4*(IFERROR(MATCH(C673,Roster!$B$6:$B$65,0),MATCH(C673,Roster!$C$6:$C$65,0))-1)+MATCH(B673,{"AM","PM","NIGHT","WD"},0)-1),""))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$266,'Feb'!$D$27:$AH$266,'Mar'!$D$27:$AH$266,'Apr'!$D$27:$AH$266,'May'!$D$27:$AH$266,'Jun'!$D$27:$AH$266,'Jul'!$D$27:$AH$266,'Aug'!$D$27:$AH$266,'Sep'!$D$27:$AH$266,'Oct'!$D$27:$AH$266,'Nov'!$D$27:$AH$266,'Dec'!$D$27:$AH$266,'Jan (next year)'!$D$27:$AH$266),27+4*(IFERROR(MATCH(C674,Roster!$B$6:$B$65,0),MATCH(C674,Roster!$C$6:$C$65,0))-1)+MATCH(B674,{"AM","PM","NIGHT","WD"},0)-1-27+1,DAY(A674))&amp;"",""))</f>
        <v/>
      </c>
      <c r="G674" s="123">
        <f>IF(OR(A674="",C674="",B674="",E674=""),"",IFERROR(A674&amp;"|"&amp;(27+4*(IFERROR(MATCH(C674,Roster!$B$6:$B$65,0),MATCH(C674,Roster!$C$6:$C$65,0))-1)+MATCH(B674,{"AM","PM","NIGHT","WD"},0)-1),""))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$266,'Feb'!$D$27:$AH$266,'Mar'!$D$27:$AH$266,'Apr'!$D$27:$AH$266,'May'!$D$27:$AH$266,'Jun'!$D$27:$AH$266,'Jul'!$D$27:$AH$266,'Aug'!$D$27:$AH$266,'Sep'!$D$27:$AH$266,'Oct'!$D$27:$AH$266,'Nov'!$D$27:$AH$266,'Dec'!$D$27:$AH$266,'Jan (next year)'!$D$27:$AH$266),27+4*(IFERROR(MATCH(C675,Roster!$B$6:$B$65,0),MATCH(C675,Roster!$C$6:$C$65,0))-1)+MATCH(B675,{"AM","PM","NIGHT","WD"},0)-1-27+1,DAY(A675))&amp;"",""))</f>
        <v/>
      </c>
      <c r="G675" s="123">
        <f>IF(OR(A675="",C675="",B675="",E675=""),"",IFERROR(A675&amp;"|"&amp;(27+4*(IFERROR(MATCH(C675,Roster!$B$6:$B$65,0),MATCH(C675,Roster!$C$6:$C$65,0))-1)+MATCH(B675,{"AM","PM","NIGHT","WD"},0)-1),""))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$266,'Feb'!$D$27:$AH$266,'Mar'!$D$27:$AH$266,'Apr'!$D$27:$AH$266,'May'!$D$27:$AH$266,'Jun'!$D$27:$AH$266,'Jul'!$D$27:$AH$266,'Aug'!$D$27:$AH$266,'Sep'!$D$27:$AH$266,'Oct'!$D$27:$AH$266,'Nov'!$D$27:$AH$266,'Dec'!$D$27:$AH$266,'Jan (next year)'!$D$27:$AH$266),27+4*(IFERROR(MATCH(C676,Roster!$B$6:$B$65,0),MATCH(C676,Roster!$C$6:$C$65,0))-1)+MATCH(B676,{"AM","PM","NIGHT","WD"},0)-1-27+1,DAY(A676))&amp;"",""))</f>
        <v/>
      </c>
      <c r="G676" s="123">
        <f>IF(OR(A676="",C676="",B676="",E676=""),"",IFERROR(A676&amp;"|"&amp;(27+4*(IFERROR(MATCH(C676,Roster!$B$6:$B$65,0),MATCH(C676,Roster!$C$6:$C$65,0))-1)+MATCH(B676,{"AM","PM","NIGHT","WD"},0)-1),""))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$266,'Feb'!$D$27:$AH$266,'Mar'!$D$27:$AH$266,'Apr'!$D$27:$AH$266,'May'!$D$27:$AH$266,'Jun'!$D$27:$AH$266,'Jul'!$D$27:$AH$266,'Aug'!$D$27:$AH$266,'Sep'!$D$27:$AH$266,'Oct'!$D$27:$AH$266,'Nov'!$D$27:$AH$266,'Dec'!$D$27:$AH$266,'Jan (next year)'!$D$27:$AH$266),27+4*(IFERROR(MATCH(C677,Roster!$B$6:$B$65,0),MATCH(C677,Roster!$C$6:$C$65,0))-1)+MATCH(B677,{"AM","PM","NIGHT","WD"},0)-1-27+1,DAY(A677))&amp;"",""))</f>
        <v/>
      </c>
      <c r="G677" s="123">
        <f>IF(OR(A677="",C677="",B677="",E677=""),"",IFERROR(A677&amp;"|"&amp;(27+4*(IFERROR(MATCH(C677,Roster!$B$6:$B$65,0),MATCH(C677,Roster!$C$6:$C$65,0))-1)+MATCH(B677,{"AM","PM","NIGHT","WD"},0)-1),""))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$266,'Feb'!$D$27:$AH$266,'Mar'!$D$27:$AH$266,'Apr'!$D$27:$AH$266,'May'!$D$27:$AH$266,'Jun'!$D$27:$AH$266,'Jul'!$D$27:$AH$266,'Aug'!$D$27:$AH$266,'Sep'!$D$27:$AH$266,'Oct'!$D$27:$AH$266,'Nov'!$D$27:$AH$266,'Dec'!$D$27:$AH$266,'Jan (next year)'!$D$27:$AH$266),27+4*(IFERROR(MATCH(C678,Roster!$B$6:$B$65,0),MATCH(C678,Roster!$C$6:$C$65,0))-1)+MATCH(B678,{"AM","PM","NIGHT","WD"},0)-1-27+1,DAY(A678))&amp;"",""))</f>
        <v/>
      </c>
      <c r="G678" s="123">
        <f>IF(OR(A678="",C678="",B678="",E678=""),"",IFERROR(A678&amp;"|"&amp;(27+4*(IFERROR(MATCH(C678,Roster!$B$6:$B$65,0),MATCH(C678,Roster!$C$6:$C$65,0))-1)+MATCH(B678,{"AM","PM","NIGHT","WD"},0)-1),""))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$266,'Feb'!$D$27:$AH$266,'Mar'!$D$27:$AH$266,'Apr'!$D$27:$AH$266,'May'!$D$27:$AH$266,'Jun'!$D$27:$AH$266,'Jul'!$D$27:$AH$266,'Aug'!$D$27:$AH$266,'Sep'!$D$27:$AH$266,'Oct'!$D$27:$AH$266,'Nov'!$D$27:$AH$266,'Dec'!$D$27:$AH$266,'Jan (next year)'!$D$27:$AH$266),27+4*(IFERROR(MATCH(C679,Roster!$B$6:$B$65,0),MATCH(C679,Roster!$C$6:$C$65,0))-1)+MATCH(B679,{"AM","PM","NIGHT","WD"},0)-1-27+1,DAY(A679))&amp;"",""))</f>
        <v/>
      </c>
      <c r="G679" s="123">
        <f>IF(OR(A679="",C679="",B679="",E679=""),"",IFERROR(A679&amp;"|"&amp;(27+4*(IFERROR(MATCH(C679,Roster!$B$6:$B$65,0),MATCH(C679,Roster!$C$6:$C$65,0))-1)+MATCH(B679,{"AM","PM","NIGHT","WD"},0)-1),""))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$266,'Feb'!$D$27:$AH$266,'Mar'!$D$27:$AH$266,'Apr'!$D$27:$AH$266,'May'!$D$27:$AH$266,'Jun'!$D$27:$AH$266,'Jul'!$D$27:$AH$266,'Aug'!$D$27:$AH$266,'Sep'!$D$27:$AH$266,'Oct'!$D$27:$AH$266,'Nov'!$D$27:$AH$266,'Dec'!$D$27:$AH$266,'Jan (next year)'!$D$27:$AH$266),27+4*(IFERROR(MATCH(C680,Roster!$B$6:$B$65,0),MATCH(C680,Roster!$C$6:$C$65,0))-1)+MATCH(B680,{"AM","PM","NIGHT","WD"},0)-1-27+1,DAY(A680))&amp;"",""))</f>
        <v/>
      </c>
      <c r="G680" s="123">
        <f>IF(OR(A680="",C680="",B680="",E680=""),"",IFERROR(A680&amp;"|"&amp;(27+4*(IFERROR(MATCH(C680,Roster!$B$6:$B$65,0),MATCH(C680,Roster!$C$6:$C$65,0))-1)+MATCH(B680,{"AM","PM","NIGHT","WD"},0)-1),""))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$266,'Feb'!$D$27:$AH$266,'Mar'!$D$27:$AH$266,'Apr'!$D$27:$AH$266,'May'!$D$27:$AH$266,'Jun'!$D$27:$AH$266,'Jul'!$D$27:$AH$266,'Aug'!$D$27:$AH$266,'Sep'!$D$27:$AH$266,'Oct'!$D$27:$AH$266,'Nov'!$D$27:$AH$266,'Dec'!$D$27:$AH$266,'Jan (next year)'!$D$27:$AH$266),27+4*(IFERROR(MATCH(C681,Roster!$B$6:$B$65,0),MATCH(C681,Roster!$C$6:$C$65,0))-1)+MATCH(B681,{"AM","PM","NIGHT","WD"},0)-1-27+1,DAY(A681))&amp;"",""))</f>
        <v/>
      </c>
      <c r="G681" s="123">
        <f>IF(OR(A681="",C681="",B681="",E681=""),"",IFERROR(A681&amp;"|"&amp;(27+4*(IFERROR(MATCH(C681,Roster!$B$6:$B$65,0),MATCH(C681,Roster!$C$6:$C$65,0))-1)+MATCH(B681,{"AM","PM","NIGHT","WD"},0)-1),""))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$266,'Feb'!$D$27:$AH$266,'Mar'!$D$27:$AH$266,'Apr'!$D$27:$AH$266,'May'!$D$27:$AH$266,'Jun'!$D$27:$AH$266,'Jul'!$D$27:$AH$266,'Aug'!$D$27:$AH$266,'Sep'!$D$27:$AH$266,'Oct'!$D$27:$AH$266,'Nov'!$D$27:$AH$266,'Dec'!$D$27:$AH$266,'Jan (next year)'!$D$27:$AH$266),27+4*(IFERROR(MATCH(C682,Roster!$B$6:$B$65,0),MATCH(C682,Roster!$C$6:$C$65,0))-1)+MATCH(B682,{"AM","PM","NIGHT","WD"},0)-1-27+1,DAY(A682))&amp;"",""))</f>
        <v/>
      </c>
      <c r="G682" s="123">
        <f>IF(OR(A682="",C682="",B682="",E682=""),"",IFERROR(A682&amp;"|"&amp;(27+4*(IFERROR(MATCH(C682,Roster!$B$6:$B$65,0),MATCH(C682,Roster!$C$6:$C$65,0))-1)+MATCH(B682,{"AM","PM","NIGHT","WD"},0)-1),""))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$266,'Feb'!$D$27:$AH$266,'Mar'!$D$27:$AH$266,'Apr'!$D$27:$AH$266,'May'!$D$27:$AH$266,'Jun'!$D$27:$AH$266,'Jul'!$D$27:$AH$266,'Aug'!$D$27:$AH$266,'Sep'!$D$27:$AH$266,'Oct'!$D$27:$AH$266,'Nov'!$D$27:$AH$266,'Dec'!$D$27:$AH$266,'Jan (next year)'!$D$27:$AH$266),27+4*(IFERROR(MATCH(C683,Roster!$B$6:$B$65,0),MATCH(C683,Roster!$C$6:$C$65,0))-1)+MATCH(B683,{"AM","PM","NIGHT","WD"},0)-1-27+1,DAY(A683))&amp;"",""))</f>
        <v/>
      </c>
      <c r="G683" s="123">
        <f>IF(OR(A683="",C683="",B683="",E683=""),"",IFERROR(A683&amp;"|"&amp;(27+4*(IFERROR(MATCH(C683,Roster!$B$6:$B$65,0),MATCH(C683,Roster!$C$6:$C$65,0))-1)+MATCH(B683,{"AM","PM","NIGHT","WD"},0)-1),""))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$266,'Feb'!$D$27:$AH$266,'Mar'!$D$27:$AH$266,'Apr'!$D$27:$AH$266,'May'!$D$27:$AH$266,'Jun'!$D$27:$AH$266,'Jul'!$D$27:$AH$266,'Aug'!$D$27:$AH$266,'Sep'!$D$27:$AH$266,'Oct'!$D$27:$AH$266,'Nov'!$D$27:$AH$266,'Dec'!$D$27:$AH$266,'Jan (next year)'!$D$27:$AH$266),27+4*(IFERROR(MATCH(C684,Roster!$B$6:$B$65,0),MATCH(C684,Roster!$C$6:$C$65,0))-1)+MATCH(B684,{"AM","PM","NIGHT","WD"},0)-1-27+1,DAY(A684))&amp;"",""))</f>
        <v/>
      </c>
      <c r="G684" s="123">
        <f>IF(OR(A684="",C684="",B684="",E684=""),"",IFERROR(A684&amp;"|"&amp;(27+4*(IFERROR(MATCH(C684,Roster!$B$6:$B$65,0),MATCH(C684,Roster!$C$6:$C$65,0))-1)+MATCH(B684,{"AM","PM","NIGHT","WD"},0)-1),""))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$266,'Feb'!$D$27:$AH$266,'Mar'!$D$27:$AH$266,'Apr'!$D$27:$AH$266,'May'!$D$27:$AH$266,'Jun'!$D$27:$AH$266,'Jul'!$D$27:$AH$266,'Aug'!$D$27:$AH$266,'Sep'!$D$27:$AH$266,'Oct'!$D$27:$AH$266,'Nov'!$D$27:$AH$266,'Dec'!$D$27:$AH$266,'Jan (next year)'!$D$27:$AH$266),27+4*(IFERROR(MATCH(C685,Roster!$B$6:$B$65,0),MATCH(C685,Roster!$C$6:$C$65,0))-1)+MATCH(B685,{"AM","PM","NIGHT","WD"},0)-1-27+1,DAY(A685))&amp;"",""))</f>
        <v/>
      </c>
      <c r="G685" s="123">
        <f>IF(OR(A685="",C685="",B685="",E685=""),"",IFERROR(A685&amp;"|"&amp;(27+4*(IFERROR(MATCH(C685,Roster!$B$6:$B$65,0),MATCH(C685,Roster!$C$6:$C$65,0))-1)+MATCH(B685,{"AM","PM","NIGHT","WD"},0)-1),""))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$266,'Feb'!$D$27:$AH$266,'Mar'!$D$27:$AH$266,'Apr'!$D$27:$AH$266,'May'!$D$27:$AH$266,'Jun'!$D$27:$AH$266,'Jul'!$D$27:$AH$266,'Aug'!$D$27:$AH$266,'Sep'!$D$27:$AH$266,'Oct'!$D$27:$AH$266,'Nov'!$D$27:$AH$266,'Dec'!$D$27:$AH$266,'Jan (next year)'!$D$27:$AH$266),27+4*(IFERROR(MATCH(C686,Roster!$B$6:$B$65,0),MATCH(C686,Roster!$C$6:$C$65,0))-1)+MATCH(B686,{"AM","PM","NIGHT","WD"},0)-1-27+1,DAY(A686))&amp;"",""))</f>
        <v/>
      </c>
      <c r="G686" s="123">
        <f>IF(OR(A686="",C686="",B686="",E686=""),"",IFERROR(A686&amp;"|"&amp;(27+4*(IFERROR(MATCH(C686,Roster!$B$6:$B$65,0),MATCH(C686,Roster!$C$6:$C$65,0))-1)+MATCH(B686,{"AM","PM","NIGHT","WD"},0)-1),""))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$266,'Feb'!$D$27:$AH$266,'Mar'!$D$27:$AH$266,'Apr'!$D$27:$AH$266,'May'!$D$27:$AH$266,'Jun'!$D$27:$AH$266,'Jul'!$D$27:$AH$266,'Aug'!$D$27:$AH$266,'Sep'!$D$27:$AH$266,'Oct'!$D$27:$AH$266,'Nov'!$D$27:$AH$266,'Dec'!$D$27:$AH$266,'Jan (next year)'!$D$27:$AH$266),27+4*(IFERROR(MATCH(C687,Roster!$B$6:$B$65,0),MATCH(C687,Roster!$C$6:$C$65,0))-1)+MATCH(B687,{"AM","PM","NIGHT","WD"},0)-1-27+1,DAY(A687))&amp;"",""))</f>
        <v/>
      </c>
      <c r="G687" s="123">
        <f>IF(OR(A687="",C687="",B687="",E687=""),"",IFERROR(A687&amp;"|"&amp;(27+4*(IFERROR(MATCH(C687,Roster!$B$6:$B$65,0),MATCH(C687,Roster!$C$6:$C$65,0))-1)+MATCH(B687,{"AM","PM","NIGHT","WD"},0)-1),""))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$266,'Feb'!$D$27:$AH$266,'Mar'!$D$27:$AH$266,'Apr'!$D$27:$AH$266,'May'!$D$27:$AH$266,'Jun'!$D$27:$AH$266,'Jul'!$D$27:$AH$266,'Aug'!$D$27:$AH$266,'Sep'!$D$27:$AH$266,'Oct'!$D$27:$AH$266,'Nov'!$D$27:$AH$266,'Dec'!$D$27:$AH$266,'Jan (next year)'!$D$27:$AH$266),27+4*(IFERROR(MATCH(C688,Roster!$B$6:$B$65,0),MATCH(C688,Roster!$C$6:$C$65,0))-1)+MATCH(B688,{"AM","PM","NIGHT","WD"},0)-1-27+1,DAY(A688))&amp;"",""))</f>
        <v/>
      </c>
      <c r="G688" s="123">
        <f>IF(OR(A688="",C688="",B688="",E688=""),"",IFERROR(A688&amp;"|"&amp;(27+4*(IFERROR(MATCH(C688,Roster!$B$6:$B$65,0),MATCH(C688,Roster!$C$6:$C$65,0))-1)+MATCH(B688,{"AM","PM","NIGHT","WD"},0)-1),""))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$266,'Feb'!$D$27:$AH$266,'Mar'!$D$27:$AH$266,'Apr'!$D$27:$AH$266,'May'!$D$27:$AH$266,'Jun'!$D$27:$AH$266,'Jul'!$D$27:$AH$266,'Aug'!$D$27:$AH$266,'Sep'!$D$27:$AH$266,'Oct'!$D$27:$AH$266,'Nov'!$D$27:$AH$266,'Dec'!$D$27:$AH$266,'Jan (next year)'!$D$27:$AH$266),27+4*(IFERROR(MATCH(C689,Roster!$B$6:$B$65,0),MATCH(C689,Roster!$C$6:$C$65,0))-1)+MATCH(B689,{"AM","PM","NIGHT","WD"},0)-1-27+1,DAY(A689))&amp;"",""))</f>
        <v/>
      </c>
      <c r="G689" s="123">
        <f>IF(OR(A689="",C689="",B689="",E689=""),"",IFERROR(A689&amp;"|"&amp;(27+4*(IFERROR(MATCH(C689,Roster!$B$6:$B$65,0),MATCH(C689,Roster!$C$6:$C$65,0))-1)+MATCH(B689,{"AM","PM","NIGHT","WD"},0)-1),""))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$266,'Feb'!$D$27:$AH$266,'Mar'!$D$27:$AH$266,'Apr'!$D$27:$AH$266,'May'!$D$27:$AH$266,'Jun'!$D$27:$AH$266,'Jul'!$D$27:$AH$266,'Aug'!$D$27:$AH$266,'Sep'!$D$27:$AH$266,'Oct'!$D$27:$AH$266,'Nov'!$D$27:$AH$266,'Dec'!$D$27:$AH$266,'Jan (next year)'!$D$27:$AH$266),27+4*(IFERROR(MATCH(C690,Roster!$B$6:$B$65,0),MATCH(C690,Roster!$C$6:$C$65,0))-1)+MATCH(B690,{"AM","PM","NIGHT","WD"},0)-1-27+1,DAY(A690))&amp;"",""))</f>
        <v/>
      </c>
      <c r="G690" s="123">
        <f>IF(OR(A690="",C690="",B690="",E690=""),"",IFERROR(A690&amp;"|"&amp;(27+4*(IFERROR(MATCH(C690,Roster!$B$6:$B$65,0),MATCH(C690,Roster!$C$6:$C$65,0))-1)+MATCH(B690,{"AM","PM","NIGHT","WD"},0)-1),""))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$266,'Feb'!$D$27:$AH$266,'Mar'!$D$27:$AH$266,'Apr'!$D$27:$AH$266,'May'!$D$27:$AH$266,'Jun'!$D$27:$AH$266,'Jul'!$D$27:$AH$266,'Aug'!$D$27:$AH$266,'Sep'!$D$27:$AH$266,'Oct'!$D$27:$AH$266,'Nov'!$D$27:$AH$266,'Dec'!$D$27:$AH$266,'Jan (next year)'!$D$27:$AH$266),27+4*(IFERROR(MATCH(C691,Roster!$B$6:$B$65,0),MATCH(C691,Roster!$C$6:$C$65,0))-1)+MATCH(B691,{"AM","PM","NIGHT","WD"},0)-1-27+1,DAY(A691))&amp;"",""))</f>
        <v/>
      </c>
      <c r="G691" s="123">
        <f>IF(OR(A691="",C691="",B691="",E691=""),"",IFERROR(A691&amp;"|"&amp;(27+4*(IFERROR(MATCH(C691,Roster!$B$6:$B$65,0),MATCH(C691,Roster!$C$6:$C$65,0))-1)+MATCH(B691,{"AM","PM","NIGHT","WD"},0)-1),""))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$266,'Feb'!$D$27:$AH$266,'Mar'!$D$27:$AH$266,'Apr'!$D$27:$AH$266,'May'!$D$27:$AH$266,'Jun'!$D$27:$AH$266,'Jul'!$D$27:$AH$266,'Aug'!$D$27:$AH$266,'Sep'!$D$27:$AH$266,'Oct'!$D$27:$AH$266,'Nov'!$D$27:$AH$266,'Dec'!$D$27:$AH$266,'Jan (next year)'!$D$27:$AH$266),27+4*(IFERROR(MATCH(C692,Roster!$B$6:$B$65,0),MATCH(C692,Roster!$C$6:$C$65,0))-1)+MATCH(B692,{"AM","PM","NIGHT","WD"},0)-1-27+1,DAY(A692))&amp;"",""))</f>
        <v/>
      </c>
      <c r="G692" s="123">
        <f>IF(OR(A692="",C692="",B692="",E692=""),"",IFERROR(A692&amp;"|"&amp;(27+4*(IFERROR(MATCH(C692,Roster!$B$6:$B$65,0),MATCH(C692,Roster!$C$6:$C$65,0))-1)+MATCH(B692,{"AM","PM","NIGHT","WD"},0)-1),""))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$266,'Feb'!$D$27:$AH$266,'Mar'!$D$27:$AH$266,'Apr'!$D$27:$AH$266,'May'!$D$27:$AH$266,'Jun'!$D$27:$AH$266,'Jul'!$D$27:$AH$266,'Aug'!$D$27:$AH$266,'Sep'!$D$27:$AH$266,'Oct'!$D$27:$AH$266,'Nov'!$D$27:$AH$266,'Dec'!$D$27:$AH$266,'Jan (next year)'!$D$27:$AH$266),27+4*(IFERROR(MATCH(C693,Roster!$B$6:$B$65,0),MATCH(C693,Roster!$C$6:$C$65,0))-1)+MATCH(B693,{"AM","PM","NIGHT","WD"},0)-1-27+1,DAY(A693))&amp;"",""))</f>
        <v/>
      </c>
      <c r="G693" s="123">
        <f>IF(OR(A693="",C693="",B693="",E693=""),"",IFERROR(A693&amp;"|"&amp;(27+4*(IFERROR(MATCH(C693,Roster!$B$6:$B$65,0),MATCH(C693,Roster!$C$6:$C$65,0))-1)+MATCH(B693,{"AM","PM","NIGHT","WD"},0)-1),""))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$266,'Feb'!$D$27:$AH$266,'Mar'!$D$27:$AH$266,'Apr'!$D$27:$AH$266,'May'!$D$27:$AH$266,'Jun'!$D$27:$AH$266,'Jul'!$D$27:$AH$266,'Aug'!$D$27:$AH$266,'Sep'!$D$27:$AH$266,'Oct'!$D$27:$AH$266,'Nov'!$D$27:$AH$266,'Dec'!$D$27:$AH$266,'Jan (next year)'!$D$27:$AH$266),27+4*(IFERROR(MATCH(C694,Roster!$B$6:$B$65,0),MATCH(C694,Roster!$C$6:$C$65,0))-1)+MATCH(B694,{"AM","PM","NIGHT","WD"},0)-1-27+1,DAY(A694))&amp;"",""))</f>
        <v/>
      </c>
      <c r="G694" s="123">
        <f>IF(OR(A694="",C694="",B694="",E694=""),"",IFERROR(A694&amp;"|"&amp;(27+4*(IFERROR(MATCH(C694,Roster!$B$6:$B$65,0),MATCH(C694,Roster!$C$6:$C$65,0))-1)+MATCH(B694,{"AM","PM","NIGHT","WD"},0)-1),""))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$266,'Feb'!$D$27:$AH$266,'Mar'!$D$27:$AH$266,'Apr'!$D$27:$AH$266,'May'!$D$27:$AH$266,'Jun'!$D$27:$AH$266,'Jul'!$D$27:$AH$266,'Aug'!$D$27:$AH$266,'Sep'!$D$27:$AH$266,'Oct'!$D$27:$AH$266,'Nov'!$D$27:$AH$266,'Dec'!$D$27:$AH$266,'Jan (next year)'!$D$27:$AH$266),27+4*(IFERROR(MATCH(C695,Roster!$B$6:$B$65,0),MATCH(C695,Roster!$C$6:$C$65,0))-1)+MATCH(B695,{"AM","PM","NIGHT","WD"},0)-1-27+1,DAY(A695))&amp;"",""))</f>
        <v/>
      </c>
      <c r="G695" s="123">
        <f>IF(OR(A695="",C695="",B695="",E695=""),"",IFERROR(A695&amp;"|"&amp;(27+4*(IFERROR(MATCH(C695,Roster!$B$6:$B$65,0),MATCH(C695,Roster!$C$6:$C$65,0))-1)+MATCH(B695,{"AM","PM","NIGHT","WD"},0)-1),""))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$266,'Feb'!$D$27:$AH$266,'Mar'!$D$27:$AH$266,'Apr'!$D$27:$AH$266,'May'!$D$27:$AH$266,'Jun'!$D$27:$AH$266,'Jul'!$D$27:$AH$266,'Aug'!$D$27:$AH$266,'Sep'!$D$27:$AH$266,'Oct'!$D$27:$AH$266,'Nov'!$D$27:$AH$266,'Dec'!$D$27:$AH$266,'Jan (next year)'!$D$27:$AH$266),27+4*(IFERROR(MATCH(C696,Roster!$B$6:$B$65,0),MATCH(C696,Roster!$C$6:$C$65,0))-1)+MATCH(B696,{"AM","PM","NIGHT","WD"},0)-1-27+1,DAY(A696))&amp;"",""))</f>
        <v/>
      </c>
      <c r="G696" s="123">
        <f>IF(OR(A696="",C696="",B696="",E696=""),"",IFERROR(A696&amp;"|"&amp;(27+4*(IFERROR(MATCH(C696,Roster!$B$6:$B$65,0),MATCH(C696,Roster!$C$6:$C$65,0))-1)+MATCH(B696,{"AM","PM","NIGHT","WD"},0)-1),""))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$266,'Feb'!$D$27:$AH$266,'Mar'!$D$27:$AH$266,'Apr'!$D$27:$AH$266,'May'!$D$27:$AH$266,'Jun'!$D$27:$AH$266,'Jul'!$D$27:$AH$266,'Aug'!$D$27:$AH$266,'Sep'!$D$27:$AH$266,'Oct'!$D$27:$AH$266,'Nov'!$D$27:$AH$266,'Dec'!$D$27:$AH$266,'Jan (next year)'!$D$27:$AH$266),27+4*(IFERROR(MATCH(C697,Roster!$B$6:$B$65,0),MATCH(C697,Roster!$C$6:$C$65,0))-1)+MATCH(B697,{"AM","PM","NIGHT","WD"},0)-1-27+1,DAY(A697))&amp;"",""))</f>
        <v/>
      </c>
      <c r="G697" s="123">
        <f>IF(OR(A697="",C697="",B697="",E697=""),"",IFERROR(A697&amp;"|"&amp;(27+4*(IFERROR(MATCH(C697,Roster!$B$6:$B$65,0),MATCH(C697,Roster!$C$6:$C$65,0))-1)+MATCH(B697,{"AM","PM","NIGHT","WD"},0)-1),""))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$266,'Feb'!$D$27:$AH$266,'Mar'!$D$27:$AH$266,'Apr'!$D$27:$AH$266,'May'!$D$27:$AH$266,'Jun'!$D$27:$AH$266,'Jul'!$D$27:$AH$266,'Aug'!$D$27:$AH$266,'Sep'!$D$27:$AH$266,'Oct'!$D$27:$AH$266,'Nov'!$D$27:$AH$266,'Dec'!$D$27:$AH$266,'Jan (next year)'!$D$27:$AH$266),27+4*(IFERROR(MATCH(C698,Roster!$B$6:$B$65,0),MATCH(C698,Roster!$C$6:$C$65,0))-1)+MATCH(B698,{"AM","PM","NIGHT","WD"},0)-1-27+1,DAY(A698))&amp;"",""))</f>
        <v/>
      </c>
      <c r="G698" s="123">
        <f>IF(OR(A698="",C698="",B698="",E698=""),"",IFERROR(A698&amp;"|"&amp;(27+4*(IFERROR(MATCH(C698,Roster!$B$6:$B$65,0),MATCH(C698,Roster!$C$6:$C$65,0))-1)+MATCH(B698,{"AM","PM","NIGHT","WD"},0)-1),""))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$266,'Feb'!$D$27:$AH$266,'Mar'!$D$27:$AH$266,'Apr'!$D$27:$AH$266,'May'!$D$27:$AH$266,'Jun'!$D$27:$AH$266,'Jul'!$D$27:$AH$266,'Aug'!$D$27:$AH$266,'Sep'!$D$27:$AH$266,'Oct'!$D$27:$AH$266,'Nov'!$D$27:$AH$266,'Dec'!$D$27:$AH$266,'Jan (next year)'!$D$27:$AH$266),27+4*(IFERROR(MATCH(C699,Roster!$B$6:$B$65,0),MATCH(C699,Roster!$C$6:$C$65,0))-1)+MATCH(B699,{"AM","PM","NIGHT","WD"},0)-1-27+1,DAY(A699))&amp;"",""))</f>
        <v/>
      </c>
      <c r="G699" s="123">
        <f>IF(OR(A699="",C699="",B699="",E699=""),"",IFERROR(A699&amp;"|"&amp;(27+4*(IFERROR(MATCH(C699,Roster!$B$6:$B$65,0),MATCH(C699,Roster!$C$6:$C$65,0))-1)+MATCH(B699,{"AM","PM","NIGHT","WD"},0)-1),""))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$266,'Feb'!$D$27:$AH$266,'Mar'!$D$27:$AH$266,'Apr'!$D$27:$AH$266,'May'!$D$27:$AH$266,'Jun'!$D$27:$AH$266,'Jul'!$D$27:$AH$266,'Aug'!$D$27:$AH$266,'Sep'!$D$27:$AH$266,'Oct'!$D$27:$AH$266,'Nov'!$D$27:$AH$266,'Dec'!$D$27:$AH$266,'Jan (next year)'!$D$27:$AH$266),27+4*(IFERROR(MATCH(C700,Roster!$B$6:$B$65,0),MATCH(C700,Roster!$C$6:$C$65,0))-1)+MATCH(B700,{"AM","PM","NIGHT","WD"},0)-1-27+1,DAY(A700))&amp;"",""))</f>
        <v/>
      </c>
      <c r="G700" s="123">
        <f>IF(OR(A700="",C700="",B700="",E700=""),"",IFERROR(A700&amp;"|"&amp;(27+4*(IFERROR(MATCH(C700,Roster!$B$6:$B$65,0),MATCH(C700,Roster!$C$6:$C$65,0))-1)+MATCH(B700,{"AM","PM","NIGHT","WD"},0)-1),""))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$266,'Feb'!$D$27:$AH$266,'Mar'!$D$27:$AH$266,'Apr'!$D$27:$AH$266,'May'!$D$27:$AH$266,'Jun'!$D$27:$AH$266,'Jul'!$D$27:$AH$266,'Aug'!$D$27:$AH$266,'Sep'!$D$27:$AH$266,'Oct'!$D$27:$AH$266,'Nov'!$D$27:$AH$266,'Dec'!$D$27:$AH$266,'Jan (next year)'!$D$27:$AH$266),27+4*(IFERROR(MATCH(C701,Roster!$B$6:$B$65,0),MATCH(C701,Roster!$C$6:$C$65,0))-1)+MATCH(B701,{"AM","PM","NIGHT","WD"},0)-1-27+1,DAY(A701))&amp;"",""))</f>
        <v/>
      </c>
      <c r="G701" s="123">
        <f>IF(OR(A701="",C701="",B701="",E701=""),"",IFERROR(A701&amp;"|"&amp;(27+4*(IFERROR(MATCH(C701,Roster!$B$6:$B$65,0),MATCH(C701,Roster!$C$6:$C$65,0))-1)+MATCH(B701,{"AM","PM","NIGHT","WD"},0)-1),""))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$266,'Feb'!$D$27:$AH$266,'Mar'!$D$27:$AH$266,'Apr'!$D$27:$AH$266,'May'!$D$27:$AH$266,'Jun'!$D$27:$AH$266,'Jul'!$D$27:$AH$266,'Aug'!$D$27:$AH$266,'Sep'!$D$27:$AH$266,'Oct'!$D$27:$AH$266,'Nov'!$D$27:$AH$266,'Dec'!$D$27:$AH$266,'Jan (next year)'!$D$27:$AH$266),27+4*(IFERROR(MATCH(C702,Roster!$B$6:$B$65,0),MATCH(C702,Roster!$C$6:$C$65,0))-1)+MATCH(B702,{"AM","PM","NIGHT","WD"},0)-1-27+1,DAY(A702))&amp;"",""))</f>
        <v/>
      </c>
      <c r="G702" s="123">
        <f>IF(OR(A702="",C702="",B702="",E702=""),"",IFERROR(A702&amp;"|"&amp;(27+4*(IFERROR(MATCH(C702,Roster!$B$6:$B$65,0),MATCH(C702,Roster!$C$6:$C$65,0))-1)+MATCH(B702,{"AM","PM","NIGHT","WD"},0)-1),""))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$266,'Feb'!$D$27:$AH$266,'Mar'!$D$27:$AH$266,'Apr'!$D$27:$AH$266,'May'!$D$27:$AH$266,'Jun'!$D$27:$AH$266,'Jul'!$D$27:$AH$266,'Aug'!$D$27:$AH$266,'Sep'!$D$27:$AH$266,'Oct'!$D$27:$AH$266,'Nov'!$D$27:$AH$266,'Dec'!$D$27:$AH$266,'Jan (next year)'!$D$27:$AH$266),27+4*(IFERROR(MATCH(C703,Roster!$B$6:$B$65,0),MATCH(C703,Roster!$C$6:$C$65,0))-1)+MATCH(B703,{"AM","PM","NIGHT","WD"},0)-1-27+1,DAY(A703))&amp;"",""))</f>
        <v/>
      </c>
      <c r="G703" s="123">
        <f>IF(OR(A703="",C703="",B703="",E703=""),"",IFERROR(A703&amp;"|"&amp;(27+4*(IFERROR(MATCH(C703,Roster!$B$6:$B$65,0),MATCH(C703,Roster!$C$6:$C$65,0))-1)+MATCH(B703,{"AM","PM","NIGHT","WD"},0)-1),""))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$266,'Feb'!$D$27:$AH$266,'Mar'!$D$27:$AH$266,'Apr'!$D$27:$AH$266,'May'!$D$27:$AH$266,'Jun'!$D$27:$AH$266,'Jul'!$D$27:$AH$266,'Aug'!$D$27:$AH$266,'Sep'!$D$27:$AH$266,'Oct'!$D$27:$AH$266,'Nov'!$D$27:$AH$266,'Dec'!$D$27:$AH$266,'Jan (next year)'!$D$27:$AH$266),27+4*(IFERROR(MATCH(C704,Roster!$B$6:$B$65,0),MATCH(C704,Roster!$C$6:$C$65,0))-1)+MATCH(B704,{"AM","PM","NIGHT","WD"},0)-1-27+1,DAY(A704))&amp;"",""))</f>
        <v/>
      </c>
      <c r="G704" s="123">
        <f>IF(OR(A704="",C704="",B704="",E704=""),"",IFERROR(A704&amp;"|"&amp;(27+4*(IFERROR(MATCH(C704,Roster!$B$6:$B$65,0),MATCH(C704,Roster!$C$6:$C$65,0))-1)+MATCH(B704,{"AM","PM","NIGHT","WD"},0)-1),""))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$266,'Feb'!$D$27:$AH$266,'Mar'!$D$27:$AH$266,'Apr'!$D$27:$AH$266,'May'!$D$27:$AH$266,'Jun'!$D$27:$AH$266,'Jul'!$D$27:$AH$266,'Aug'!$D$27:$AH$266,'Sep'!$D$27:$AH$266,'Oct'!$D$27:$AH$266,'Nov'!$D$27:$AH$266,'Dec'!$D$27:$AH$266,'Jan (next year)'!$D$27:$AH$266),27+4*(IFERROR(MATCH(C705,Roster!$B$6:$B$65,0),MATCH(C705,Roster!$C$6:$C$65,0))-1)+MATCH(B705,{"AM","PM","NIGHT","WD"},0)-1-27+1,DAY(A705))&amp;"",""))</f>
        <v/>
      </c>
      <c r="G705" s="123">
        <f>IF(OR(A705="",C705="",B705="",E705=""),"",IFERROR(A705&amp;"|"&amp;(27+4*(IFERROR(MATCH(C705,Roster!$B$6:$B$65,0),MATCH(C705,Roster!$C$6:$C$65,0))-1)+MATCH(B705,{"AM","PM","NIGHT","WD"},0)-1),""))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$266,'Feb'!$D$27:$AH$266,'Mar'!$D$27:$AH$266,'Apr'!$D$27:$AH$266,'May'!$D$27:$AH$266,'Jun'!$D$27:$AH$266,'Jul'!$D$27:$AH$266,'Aug'!$D$27:$AH$266,'Sep'!$D$27:$AH$266,'Oct'!$D$27:$AH$266,'Nov'!$D$27:$AH$266,'Dec'!$D$27:$AH$266,'Jan (next year)'!$D$27:$AH$266),27+4*(IFERROR(MATCH(C706,Roster!$B$6:$B$65,0),MATCH(C706,Roster!$C$6:$C$65,0))-1)+MATCH(B706,{"AM","PM","NIGHT","WD"},0)-1-27+1,DAY(A706))&amp;"",""))</f>
        <v/>
      </c>
      <c r="G706" s="123">
        <f>IF(OR(A706="",C706="",B706="",E706=""),"",IFERROR(A706&amp;"|"&amp;(27+4*(IFERROR(MATCH(C706,Roster!$B$6:$B$65,0),MATCH(C706,Roster!$C$6:$C$65,0))-1)+MATCH(B706,{"AM","PM","NIGHT","WD"},0)-1),""))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$266,'Feb'!$D$27:$AH$266,'Mar'!$D$27:$AH$266,'Apr'!$D$27:$AH$266,'May'!$D$27:$AH$266,'Jun'!$D$27:$AH$266,'Jul'!$D$27:$AH$266,'Aug'!$D$27:$AH$266,'Sep'!$D$27:$AH$266,'Oct'!$D$27:$AH$266,'Nov'!$D$27:$AH$266,'Dec'!$D$27:$AH$266,'Jan (next year)'!$D$27:$AH$266),27+4*(IFERROR(MATCH(C707,Roster!$B$6:$B$65,0),MATCH(C707,Roster!$C$6:$C$65,0))-1)+MATCH(B707,{"AM","PM","NIGHT","WD"},0)-1-27+1,DAY(A707))&amp;"",""))</f>
        <v/>
      </c>
      <c r="G707" s="123">
        <f>IF(OR(A707="",C707="",B707="",E707=""),"",IFERROR(A707&amp;"|"&amp;(27+4*(IFERROR(MATCH(C707,Roster!$B$6:$B$65,0),MATCH(C707,Roster!$C$6:$C$65,0))-1)+MATCH(B707,{"AM","PM","NIGHT","WD"},0)-1),""))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$266,'Feb'!$D$27:$AH$266,'Mar'!$D$27:$AH$266,'Apr'!$D$27:$AH$266,'May'!$D$27:$AH$266,'Jun'!$D$27:$AH$266,'Jul'!$D$27:$AH$266,'Aug'!$D$27:$AH$266,'Sep'!$D$27:$AH$266,'Oct'!$D$27:$AH$266,'Nov'!$D$27:$AH$266,'Dec'!$D$27:$AH$266,'Jan (next year)'!$D$27:$AH$266),27+4*(IFERROR(MATCH(C708,Roster!$B$6:$B$65,0),MATCH(C708,Roster!$C$6:$C$65,0))-1)+MATCH(B708,{"AM","PM","NIGHT","WD"},0)-1-27+1,DAY(A708))&amp;"",""))</f>
        <v/>
      </c>
      <c r="G708" s="123">
        <f>IF(OR(A708="",C708="",B708="",E708=""),"",IFERROR(A708&amp;"|"&amp;(27+4*(IFERROR(MATCH(C708,Roster!$B$6:$B$65,0),MATCH(C708,Roster!$C$6:$C$65,0))-1)+MATCH(B708,{"AM","PM","NIGHT","WD"},0)-1),""))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$266,'Feb'!$D$27:$AH$266,'Mar'!$D$27:$AH$266,'Apr'!$D$27:$AH$266,'May'!$D$27:$AH$266,'Jun'!$D$27:$AH$266,'Jul'!$D$27:$AH$266,'Aug'!$D$27:$AH$266,'Sep'!$D$27:$AH$266,'Oct'!$D$27:$AH$266,'Nov'!$D$27:$AH$266,'Dec'!$D$27:$AH$266,'Jan (next year)'!$D$27:$AH$266),27+4*(IFERROR(MATCH(C709,Roster!$B$6:$B$65,0),MATCH(C709,Roster!$C$6:$C$65,0))-1)+MATCH(B709,{"AM","PM","NIGHT","WD"},0)-1-27+1,DAY(A709))&amp;"",""))</f>
        <v/>
      </c>
      <c r="G709" s="123">
        <f>IF(OR(A709="",C709="",B709="",E709=""),"",IFERROR(A709&amp;"|"&amp;(27+4*(IFERROR(MATCH(C709,Roster!$B$6:$B$65,0),MATCH(C709,Roster!$C$6:$C$65,0))-1)+MATCH(B709,{"AM","PM","NIGHT","WD"},0)-1),""))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$266,'Feb'!$D$27:$AH$266,'Mar'!$D$27:$AH$266,'Apr'!$D$27:$AH$266,'May'!$D$27:$AH$266,'Jun'!$D$27:$AH$266,'Jul'!$D$27:$AH$266,'Aug'!$D$27:$AH$266,'Sep'!$D$27:$AH$266,'Oct'!$D$27:$AH$266,'Nov'!$D$27:$AH$266,'Dec'!$D$27:$AH$266,'Jan (next year)'!$D$27:$AH$266),27+4*(IFERROR(MATCH(C710,Roster!$B$6:$B$65,0),MATCH(C710,Roster!$C$6:$C$65,0))-1)+MATCH(B710,{"AM","PM","NIGHT","WD"},0)-1-27+1,DAY(A710))&amp;"",""))</f>
        <v/>
      </c>
      <c r="G710" s="123">
        <f>IF(OR(A710="",C710="",B710="",E710=""),"",IFERROR(A710&amp;"|"&amp;(27+4*(IFERROR(MATCH(C710,Roster!$B$6:$B$65,0),MATCH(C710,Roster!$C$6:$C$65,0))-1)+MATCH(B710,{"AM","PM","NIGHT","WD"},0)-1),""))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$266,'Feb'!$D$27:$AH$266,'Mar'!$D$27:$AH$266,'Apr'!$D$27:$AH$266,'May'!$D$27:$AH$266,'Jun'!$D$27:$AH$266,'Jul'!$D$27:$AH$266,'Aug'!$D$27:$AH$266,'Sep'!$D$27:$AH$266,'Oct'!$D$27:$AH$266,'Nov'!$D$27:$AH$266,'Dec'!$D$27:$AH$266,'Jan (next year)'!$D$27:$AH$266),27+4*(IFERROR(MATCH(C711,Roster!$B$6:$B$65,0),MATCH(C711,Roster!$C$6:$C$65,0))-1)+MATCH(B711,{"AM","PM","NIGHT","WD"},0)-1-27+1,DAY(A711))&amp;"",""))</f>
        <v/>
      </c>
      <c r="G711" s="123">
        <f>IF(OR(A711="",C711="",B711="",E711=""),"",IFERROR(A711&amp;"|"&amp;(27+4*(IFERROR(MATCH(C711,Roster!$B$6:$B$65,0),MATCH(C711,Roster!$C$6:$C$65,0))-1)+MATCH(B711,{"AM","PM","NIGHT","WD"},0)-1),""))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$266,'Feb'!$D$27:$AH$266,'Mar'!$D$27:$AH$266,'Apr'!$D$27:$AH$266,'May'!$D$27:$AH$266,'Jun'!$D$27:$AH$266,'Jul'!$D$27:$AH$266,'Aug'!$D$27:$AH$266,'Sep'!$D$27:$AH$266,'Oct'!$D$27:$AH$266,'Nov'!$D$27:$AH$266,'Dec'!$D$27:$AH$266,'Jan (next year)'!$D$27:$AH$266),27+4*(IFERROR(MATCH(C712,Roster!$B$6:$B$65,0),MATCH(C712,Roster!$C$6:$C$65,0))-1)+MATCH(B712,{"AM","PM","NIGHT","WD"},0)-1-27+1,DAY(A712))&amp;"",""))</f>
        <v/>
      </c>
      <c r="G712" s="123">
        <f>IF(OR(A712="",C712="",B712="",E712=""),"",IFERROR(A712&amp;"|"&amp;(27+4*(IFERROR(MATCH(C712,Roster!$B$6:$B$65,0),MATCH(C712,Roster!$C$6:$C$65,0))-1)+MATCH(B712,{"AM","PM","NIGHT","WD"},0)-1),""))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$266,'Feb'!$D$27:$AH$266,'Mar'!$D$27:$AH$266,'Apr'!$D$27:$AH$266,'May'!$D$27:$AH$266,'Jun'!$D$27:$AH$266,'Jul'!$D$27:$AH$266,'Aug'!$D$27:$AH$266,'Sep'!$D$27:$AH$266,'Oct'!$D$27:$AH$266,'Nov'!$D$27:$AH$266,'Dec'!$D$27:$AH$266,'Jan (next year)'!$D$27:$AH$266),27+4*(IFERROR(MATCH(C713,Roster!$B$6:$B$65,0),MATCH(C713,Roster!$C$6:$C$65,0))-1)+MATCH(B713,{"AM","PM","NIGHT","WD"},0)-1-27+1,DAY(A713))&amp;"",""))</f>
        <v/>
      </c>
      <c r="G713" s="123">
        <f>IF(OR(A713="",C713="",B713="",E713=""),"",IFERROR(A713&amp;"|"&amp;(27+4*(IFERROR(MATCH(C713,Roster!$B$6:$B$65,0),MATCH(C713,Roster!$C$6:$C$65,0))-1)+MATCH(B713,{"AM","PM","NIGHT","WD"},0)-1),""))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$266,'Feb'!$D$27:$AH$266,'Mar'!$D$27:$AH$266,'Apr'!$D$27:$AH$266,'May'!$D$27:$AH$266,'Jun'!$D$27:$AH$266,'Jul'!$D$27:$AH$266,'Aug'!$D$27:$AH$266,'Sep'!$D$27:$AH$266,'Oct'!$D$27:$AH$266,'Nov'!$D$27:$AH$266,'Dec'!$D$27:$AH$266,'Jan (next year)'!$D$27:$AH$266),27+4*(IFERROR(MATCH(C714,Roster!$B$6:$B$65,0),MATCH(C714,Roster!$C$6:$C$65,0))-1)+MATCH(B714,{"AM","PM","NIGHT","WD"},0)-1-27+1,DAY(A714))&amp;"",""))</f>
        <v/>
      </c>
      <c r="G714" s="123">
        <f>IF(OR(A714="",C714="",B714="",E714=""),"",IFERROR(A714&amp;"|"&amp;(27+4*(IFERROR(MATCH(C714,Roster!$B$6:$B$65,0),MATCH(C714,Roster!$C$6:$C$65,0))-1)+MATCH(B714,{"AM","PM","NIGHT","WD"},0)-1),""))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$266,'Feb'!$D$27:$AH$266,'Mar'!$D$27:$AH$266,'Apr'!$D$27:$AH$266,'May'!$D$27:$AH$266,'Jun'!$D$27:$AH$266,'Jul'!$D$27:$AH$266,'Aug'!$D$27:$AH$266,'Sep'!$D$27:$AH$266,'Oct'!$D$27:$AH$266,'Nov'!$D$27:$AH$266,'Dec'!$D$27:$AH$266,'Jan (next year)'!$D$27:$AH$266),27+4*(IFERROR(MATCH(C715,Roster!$B$6:$B$65,0),MATCH(C715,Roster!$C$6:$C$65,0))-1)+MATCH(B715,{"AM","PM","NIGHT","WD"},0)-1-27+1,DAY(A715))&amp;"",""))</f>
        <v/>
      </c>
      <c r="G715" s="123">
        <f>IF(OR(A715="",C715="",B715="",E715=""),"",IFERROR(A715&amp;"|"&amp;(27+4*(IFERROR(MATCH(C715,Roster!$B$6:$B$65,0),MATCH(C715,Roster!$C$6:$C$65,0))-1)+MATCH(B715,{"AM","PM","NIGHT","WD"},0)-1),""))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$266,'Feb'!$D$27:$AH$266,'Mar'!$D$27:$AH$266,'Apr'!$D$27:$AH$266,'May'!$D$27:$AH$266,'Jun'!$D$27:$AH$266,'Jul'!$D$27:$AH$266,'Aug'!$D$27:$AH$266,'Sep'!$D$27:$AH$266,'Oct'!$D$27:$AH$266,'Nov'!$D$27:$AH$266,'Dec'!$D$27:$AH$266,'Jan (next year)'!$D$27:$AH$266),27+4*(IFERROR(MATCH(C716,Roster!$B$6:$B$65,0),MATCH(C716,Roster!$C$6:$C$65,0))-1)+MATCH(B716,{"AM","PM","NIGHT","WD"},0)-1-27+1,DAY(A716))&amp;"",""))</f>
        <v/>
      </c>
      <c r="G716" s="123">
        <f>IF(OR(A716="",C716="",B716="",E716=""),"",IFERROR(A716&amp;"|"&amp;(27+4*(IFERROR(MATCH(C716,Roster!$B$6:$B$65,0),MATCH(C716,Roster!$C$6:$C$65,0))-1)+MATCH(B716,{"AM","PM","NIGHT","WD"},0)-1),""))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$266,'Feb'!$D$27:$AH$266,'Mar'!$D$27:$AH$266,'Apr'!$D$27:$AH$266,'May'!$D$27:$AH$266,'Jun'!$D$27:$AH$266,'Jul'!$D$27:$AH$266,'Aug'!$D$27:$AH$266,'Sep'!$D$27:$AH$266,'Oct'!$D$27:$AH$266,'Nov'!$D$27:$AH$266,'Dec'!$D$27:$AH$266,'Jan (next year)'!$D$27:$AH$266),27+4*(IFERROR(MATCH(C717,Roster!$B$6:$B$65,0),MATCH(C717,Roster!$C$6:$C$65,0))-1)+MATCH(B717,{"AM","PM","NIGHT","WD"},0)-1-27+1,DAY(A717))&amp;"",""))</f>
        <v/>
      </c>
      <c r="G717" s="123">
        <f>IF(OR(A717="",C717="",B717="",E717=""),"",IFERROR(A717&amp;"|"&amp;(27+4*(IFERROR(MATCH(C717,Roster!$B$6:$B$65,0),MATCH(C717,Roster!$C$6:$C$65,0))-1)+MATCH(B717,{"AM","PM","NIGHT","WD"},0)-1),""))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$266,'Feb'!$D$27:$AH$266,'Mar'!$D$27:$AH$266,'Apr'!$D$27:$AH$266,'May'!$D$27:$AH$266,'Jun'!$D$27:$AH$266,'Jul'!$D$27:$AH$266,'Aug'!$D$27:$AH$266,'Sep'!$D$27:$AH$266,'Oct'!$D$27:$AH$266,'Nov'!$D$27:$AH$266,'Dec'!$D$27:$AH$266,'Jan (next year)'!$D$27:$AH$266),27+4*(IFERROR(MATCH(C718,Roster!$B$6:$B$65,0),MATCH(C718,Roster!$C$6:$C$65,0))-1)+MATCH(B718,{"AM","PM","NIGHT","WD"},0)-1-27+1,DAY(A718))&amp;"",""))</f>
        <v/>
      </c>
      <c r="G718" s="123">
        <f>IF(OR(A718="",C718="",B718="",E718=""),"",IFERROR(A718&amp;"|"&amp;(27+4*(IFERROR(MATCH(C718,Roster!$B$6:$B$65,0),MATCH(C718,Roster!$C$6:$C$65,0))-1)+MATCH(B718,{"AM","PM","NIGHT","WD"},0)-1),""))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$266,'Feb'!$D$27:$AH$266,'Mar'!$D$27:$AH$266,'Apr'!$D$27:$AH$266,'May'!$D$27:$AH$266,'Jun'!$D$27:$AH$266,'Jul'!$D$27:$AH$266,'Aug'!$D$27:$AH$266,'Sep'!$D$27:$AH$266,'Oct'!$D$27:$AH$266,'Nov'!$D$27:$AH$266,'Dec'!$D$27:$AH$266,'Jan (next year)'!$D$27:$AH$266),27+4*(IFERROR(MATCH(C719,Roster!$B$6:$B$65,0),MATCH(C719,Roster!$C$6:$C$65,0))-1)+MATCH(B719,{"AM","PM","NIGHT","WD"},0)-1-27+1,DAY(A719))&amp;"",""))</f>
        <v/>
      </c>
      <c r="G719" s="123">
        <f>IF(OR(A719="",C719="",B719="",E719=""),"",IFERROR(A719&amp;"|"&amp;(27+4*(IFERROR(MATCH(C719,Roster!$B$6:$B$65,0),MATCH(C719,Roster!$C$6:$C$65,0))-1)+MATCH(B719,{"AM","PM","NIGHT","WD"},0)-1),""))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$266,'Feb'!$D$27:$AH$266,'Mar'!$D$27:$AH$266,'Apr'!$D$27:$AH$266,'May'!$D$27:$AH$266,'Jun'!$D$27:$AH$266,'Jul'!$D$27:$AH$266,'Aug'!$D$27:$AH$266,'Sep'!$D$27:$AH$266,'Oct'!$D$27:$AH$266,'Nov'!$D$27:$AH$266,'Dec'!$D$27:$AH$266,'Jan (next year)'!$D$27:$AH$266),27+4*(IFERROR(MATCH(C720,Roster!$B$6:$B$65,0),MATCH(C720,Roster!$C$6:$C$65,0))-1)+MATCH(B720,{"AM","PM","NIGHT","WD"},0)-1-27+1,DAY(A720))&amp;"",""))</f>
        <v/>
      </c>
      <c r="G720" s="123">
        <f>IF(OR(A720="",C720="",B720="",E720=""),"",IFERROR(A720&amp;"|"&amp;(27+4*(IFERROR(MATCH(C720,Roster!$B$6:$B$65,0),MATCH(C720,Roster!$C$6:$C$65,0))-1)+MATCH(B720,{"AM","PM","NIGHT","WD"},0)-1),""))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$266,'Feb'!$D$27:$AH$266,'Mar'!$D$27:$AH$266,'Apr'!$D$27:$AH$266,'May'!$D$27:$AH$266,'Jun'!$D$27:$AH$266,'Jul'!$D$27:$AH$266,'Aug'!$D$27:$AH$266,'Sep'!$D$27:$AH$266,'Oct'!$D$27:$AH$266,'Nov'!$D$27:$AH$266,'Dec'!$D$27:$AH$266,'Jan (next year)'!$D$27:$AH$266),27+4*(IFERROR(MATCH(C721,Roster!$B$6:$B$65,0),MATCH(C721,Roster!$C$6:$C$65,0))-1)+MATCH(B721,{"AM","PM","NIGHT","WD"},0)-1-27+1,DAY(A721))&amp;"",""))</f>
        <v/>
      </c>
      <c r="G721" s="123">
        <f>IF(OR(A721="",C721="",B721="",E721=""),"",IFERROR(A721&amp;"|"&amp;(27+4*(IFERROR(MATCH(C721,Roster!$B$6:$B$65,0),MATCH(C721,Roster!$C$6:$C$65,0))-1)+MATCH(B721,{"AM","PM","NIGHT","WD"},0)-1),""))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$266,'Feb'!$D$27:$AH$266,'Mar'!$D$27:$AH$266,'Apr'!$D$27:$AH$266,'May'!$D$27:$AH$266,'Jun'!$D$27:$AH$266,'Jul'!$D$27:$AH$266,'Aug'!$D$27:$AH$266,'Sep'!$D$27:$AH$266,'Oct'!$D$27:$AH$266,'Nov'!$D$27:$AH$266,'Dec'!$D$27:$AH$266,'Jan (next year)'!$D$27:$AH$266),27+4*(IFERROR(MATCH(C722,Roster!$B$6:$B$65,0),MATCH(C722,Roster!$C$6:$C$65,0))-1)+MATCH(B722,{"AM","PM","NIGHT","WD"},0)-1-27+1,DAY(A722))&amp;"",""))</f>
        <v/>
      </c>
      <c r="G722" s="123">
        <f>IF(OR(A722="",C722="",B722="",E722=""),"",IFERROR(A722&amp;"|"&amp;(27+4*(IFERROR(MATCH(C722,Roster!$B$6:$B$65,0),MATCH(C722,Roster!$C$6:$C$65,0))-1)+MATCH(B722,{"AM","PM","NIGHT","WD"},0)-1),""))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$266,'Feb'!$D$27:$AH$266,'Mar'!$D$27:$AH$266,'Apr'!$D$27:$AH$266,'May'!$D$27:$AH$266,'Jun'!$D$27:$AH$266,'Jul'!$D$27:$AH$266,'Aug'!$D$27:$AH$266,'Sep'!$D$27:$AH$266,'Oct'!$D$27:$AH$266,'Nov'!$D$27:$AH$266,'Dec'!$D$27:$AH$266,'Jan (next year)'!$D$27:$AH$266),27+4*(IFERROR(MATCH(C723,Roster!$B$6:$B$65,0),MATCH(C723,Roster!$C$6:$C$65,0))-1)+MATCH(B723,{"AM","PM","NIGHT","WD"},0)-1-27+1,DAY(A723))&amp;"",""))</f>
        <v/>
      </c>
      <c r="G723" s="123">
        <f>IF(OR(A723="",C723="",B723="",E723=""),"",IFERROR(A723&amp;"|"&amp;(27+4*(IFERROR(MATCH(C723,Roster!$B$6:$B$65,0),MATCH(C723,Roster!$C$6:$C$65,0))-1)+MATCH(B723,{"AM","PM","NIGHT","WD"},0)-1),""))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$266,'Feb'!$D$27:$AH$266,'Mar'!$D$27:$AH$266,'Apr'!$D$27:$AH$266,'May'!$D$27:$AH$266,'Jun'!$D$27:$AH$266,'Jul'!$D$27:$AH$266,'Aug'!$D$27:$AH$266,'Sep'!$D$27:$AH$266,'Oct'!$D$27:$AH$266,'Nov'!$D$27:$AH$266,'Dec'!$D$27:$AH$266,'Jan (next year)'!$D$27:$AH$266),27+4*(IFERROR(MATCH(C724,Roster!$B$6:$B$65,0),MATCH(C724,Roster!$C$6:$C$65,0))-1)+MATCH(B724,{"AM","PM","NIGHT","WD"},0)-1-27+1,DAY(A724))&amp;"",""))</f>
        <v/>
      </c>
      <c r="G724" s="123">
        <f>IF(OR(A724="",C724="",B724="",E724=""),"",IFERROR(A724&amp;"|"&amp;(27+4*(IFERROR(MATCH(C724,Roster!$B$6:$B$65,0),MATCH(C724,Roster!$C$6:$C$65,0))-1)+MATCH(B724,{"AM","PM","NIGHT","WD"},0)-1),""))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$266,'Feb'!$D$27:$AH$266,'Mar'!$D$27:$AH$266,'Apr'!$D$27:$AH$266,'May'!$D$27:$AH$266,'Jun'!$D$27:$AH$266,'Jul'!$D$27:$AH$266,'Aug'!$D$27:$AH$266,'Sep'!$D$27:$AH$266,'Oct'!$D$27:$AH$266,'Nov'!$D$27:$AH$266,'Dec'!$D$27:$AH$266,'Jan (next year)'!$D$27:$AH$266),27+4*(IFERROR(MATCH(C725,Roster!$B$6:$B$65,0),MATCH(C725,Roster!$C$6:$C$65,0))-1)+MATCH(B725,{"AM","PM","NIGHT","WD"},0)-1-27+1,DAY(A725))&amp;"",""))</f>
        <v/>
      </c>
      <c r="G725" s="123">
        <f>IF(OR(A725="",C725="",B725="",E725=""),"",IFERROR(A725&amp;"|"&amp;(27+4*(IFERROR(MATCH(C725,Roster!$B$6:$B$65,0),MATCH(C725,Roster!$C$6:$C$65,0))-1)+MATCH(B725,{"AM","PM","NIGHT","WD"},0)-1),""))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$266,'Feb'!$D$27:$AH$266,'Mar'!$D$27:$AH$266,'Apr'!$D$27:$AH$266,'May'!$D$27:$AH$266,'Jun'!$D$27:$AH$266,'Jul'!$D$27:$AH$266,'Aug'!$D$27:$AH$266,'Sep'!$D$27:$AH$266,'Oct'!$D$27:$AH$266,'Nov'!$D$27:$AH$266,'Dec'!$D$27:$AH$266,'Jan (next year)'!$D$27:$AH$266),27+4*(IFERROR(MATCH(C726,Roster!$B$6:$B$65,0),MATCH(C726,Roster!$C$6:$C$65,0))-1)+MATCH(B726,{"AM","PM","NIGHT","WD"},0)-1-27+1,DAY(A726))&amp;"",""))</f>
        <v/>
      </c>
      <c r="G726" s="123">
        <f>IF(OR(A726="",C726="",B726="",E726=""),"",IFERROR(A726&amp;"|"&amp;(27+4*(IFERROR(MATCH(C726,Roster!$B$6:$B$65,0),MATCH(C726,Roster!$C$6:$C$65,0))-1)+MATCH(B726,{"AM","PM","NIGHT","WD"},0)-1),""))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$266,'Feb'!$D$27:$AH$266,'Mar'!$D$27:$AH$266,'Apr'!$D$27:$AH$266,'May'!$D$27:$AH$266,'Jun'!$D$27:$AH$266,'Jul'!$D$27:$AH$266,'Aug'!$D$27:$AH$266,'Sep'!$D$27:$AH$266,'Oct'!$D$27:$AH$266,'Nov'!$D$27:$AH$266,'Dec'!$D$27:$AH$266,'Jan (next year)'!$D$27:$AH$266),27+4*(IFERROR(MATCH(C727,Roster!$B$6:$B$65,0),MATCH(C727,Roster!$C$6:$C$65,0))-1)+MATCH(B727,{"AM","PM","NIGHT","WD"},0)-1-27+1,DAY(A727))&amp;"",""))</f>
        <v/>
      </c>
      <c r="G727" s="123">
        <f>IF(OR(A727="",C727="",B727="",E727=""),"",IFERROR(A727&amp;"|"&amp;(27+4*(IFERROR(MATCH(C727,Roster!$B$6:$B$65,0),MATCH(C727,Roster!$C$6:$C$65,0))-1)+MATCH(B727,{"AM","PM","NIGHT","WD"},0)-1),""))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$266,'Feb'!$D$27:$AH$266,'Mar'!$D$27:$AH$266,'Apr'!$D$27:$AH$266,'May'!$D$27:$AH$266,'Jun'!$D$27:$AH$266,'Jul'!$D$27:$AH$266,'Aug'!$D$27:$AH$266,'Sep'!$D$27:$AH$266,'Oct'!$D$27:$AH$266,'Nov'!$D$27:$AH$266,'Dec'!$D$27:$AH$266,'Jan (next year)'!$D$27:$AH$266),27+4*(IFERROR(MATCH(C728,Roster!$B$6:$B$65,0),MATCH(C728,Roster!$C$6:$C$65,0))-1)+MATCH(B728,{"AM","PM","NIGHT","WD"},0)-1-27+1,DAY(A728))&amp;"",""))</f>
        <v/>
      </c>
      <c r="G728" s="123">
        <f>IF(OR(A728="",C728="",B728="",E728=""),"",IFERROR(A728&amp;"|"&amp;(27+4*(IFERROR(MATCH(C728,Roster!$B$6:$B$65,0),MATCH(C728,Roster!$C$6:$C$65,0))-1)+MATCH(B728,{"AM","PM","NIGHT","WD"},0)-1),""))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$266,'Feb'!$D$27:$AH$266,'Mar'!$D$27:$AH$266,'Apr'!$D$27:$AH$266,'May'!$D$27:$AH$266,'Jun'!$D$27:$AH$266,'Jul'!$D$27:$AH$266,'Aug'!$D$27:$AH$266,'Sep'!$D$27:$AH$266,'Oct'!$D$27:$AH$266,'Nov'!$D$27:$AH$266,'Dec'!$D$27:$AH$266,'Jan (next year)'!$D$27:$AH$266),27+4*(IFERROR(MATCH(C729,Roster!$B$6:$B$65,0),MATCH(C729,Roster!$C$6:$C$65,0))-1)+MATCH(B729,{"AM","PM","NIGHT","WD"},0)-1-27+1,DAY(A729))&amp;"",""))</f>
        <v/>
      </c>
      <c r="G729" s="123">
        <f>IF(OR(A729="",C729="",B729="",E729=""),"",IFERROR(A729&amp;"|"&amp;(27+4*(IFERROR(MATCH(C729,Roster!$B$6:$B$65,0),MATCH(C729,Roster!$C$6:$C$65,0))-1)+MATCH(B729,{"AM","PM","NIGHT","WD"},0)-1),""))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$266,'Feb'!$D$27:$AH$266,'Mar'!$D$27:$AH$266,'Apr'!$D$27:$AH$266,'May'!$D$27:$AH$266,'Jun'!$D$27:$AH$266,'Jul'!$D$27:$AH$266,'Aug'!$D$27:$AH$266,'Sep'!$D$27:$AH$266,'Oct'!$D$27:$AH$266,'Nov'!$D$27:$AH$266,'Dec'!$D$27:$AH$266,'Jan (next year)'!$D$27:$AH$266),27+4*(IFERROR(MATCH(C730,Roster!$B$6:$B$65,0),MATCH(C730,Roster!$C$6:$C$65,0))-1)+MATCH(B730,{"AM","PM","NIGHT","WD"},0)-1-27+1,DAY(A730))&amp;"",""))</f>
        <v/>
      </c>
      <c r="G730" s="123">
        <f>IF(OR(A730="",C730="",B730="",E730=""),"",IFERROR(A730&amp;"|"&amp;(27+4*(IFERROR(MATCH(C730,Roster!$B$6:$B$65,0),MATCH(C730,Roster!$C$6:$C$65,0))-1)+MATCH(B730,{"AM","PM","NIGHT","WD"},0)-1),""))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$266,'Feb'!$D$27:$AH$266,'Mar'!$D$27:$AH$266,'Apr'!$D$27:$AH$266,'May'!$D$27:$AH$266,'Jun'!$D$27:$AH$266,'Jul'!$D$27:$AH$266,'Aug'!$D$27:$AH$266,'Sep'!$D$27:$AH$266,'Oct'!$D$27:$AH$266,'Nov'!$D$27:$AH$266,'Dec'!$D$27:$AH$266,'Jan (next year)'!$D$27:$AH$266),27+4*(IFERROR(MATCH(C731,Roster!$B$6:$B$65,0),MATCH(C731,Roster!$C$6:$C$65,0))-1)+MATCH(B731,{"AM","PM","NIGHT","WD"},0)-1-27+1,DAY(A731))&amp;"",""))</f>
        <v/>
      </c>
      <c r="G731" s="123">
        <f>IF(OR(A731="",C731="",B731="",E731=""),"",IFERROR(A731&amp;"|"&amp;(27+4*(IFERROR(MATCH(C731,Roster!$B$6:$B$65,0),MATCH(C731,Roster!$C$6:$C$65,0))-1)+MATCH(B731,{"AM","PM","NIGHT","WD"},0)-1),""))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$266,'Feb'!$D$27:$AH$266,'Mar'!$D$27:$AH$266,'Apr'!$D$27:$AH$266,'May'!$D$27:$AH$266,'Jun'!$D$27:$AH$266,'Jul'!$D$27:$AH$266,'Aug'!$D$27:$AH$266,'Sep'!$D$27:$AH$266,'Oct'!$D$27:$AH$266,'Nov'!$D$27:$AH$266,'Dec'!$D$27:$AH$266,'Jan (next year)'!$D$27:$AH$266),27+4*(IFERROR(MATCH(C732,Roster!$B$6:$B$65,0),MATCH(C732,Roster!$C$6:$C$65,0))-1)+MATCH(B732,{"AM","PM","NIGHT","WD"},0)-1-27+1,DAY(A732))&amp;"",""))</f>
        <v/>
      </c>
      <c r="G732" s="123">
        <f>IF(OR(A732="",C732="",B732="",E732=""),"",IFERROR(A732&amp;"|"&amp;(27+4*(IFERROR(MATCH(C732,Roster!$B$6:$B$65,0),MATCH(C732,Roster!$C$6:$C$65,0))-1)+MATCH(B732,{"AM","PM","NIGHT","WD"},0)-1),""))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$266,'Feb'!$D$27:$AH$266,'Mar'!$D$27:$AH$266,'Apr'!$D$27:$AH$266,'May'!$D$27:$AH$266,'Jun'!$D$27:$AH$266,'Jul'!$D$27:$AH$266,'Aug'!$D$27:$AH$266,'Sep'!$D$27:$AH$266,'Oct'!$D$27:$AH$266,'Nov'!$D$27:$AH$266,'Dec'!$D$27:$AH$266,'Jan (next year)'!$D$27:$AH$266),27+4*(IFERROR(MATCH(C733,Roster!$B$6:$B$65,0),MATCH(C733,Roster!$C$6:$C$65,0))-1)+MATCH(B733,{"AM","PM","NIGHT","WD"},0)-1-27+1,DAY(A733))&amp;"",""))</f>
        <v/>
      </c>
      <c r="G733" s="123">
        <f>IF(OR(A733="",C733="",B733="",E733=""),"",IFERROR(A733&amp;"|"&amp;(27+4*(IFERROR(MATCH(C733,Roster!$B$6:$B$65,0),MATCH(C733,Roster!$C$6:$C$65,0))-1)+MATCH(B733,{"AM","PM","NIGHT","WD"},0)-1),""))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$266,'Feb'!$D$27:$AH$266,'Mar'!$D$27:$AH$266,'Apr'!$D$27:$AH$266,'May'!$D$27:$AH$266,'Jun'!$D$27:$AH$266,'Jul'!$D$27:$AH$266,'Aug'!$D$27:$AH$266,'Sep'!$D$27:$AH$266,'Oct'!$D$27:$AH$266,'Nov'!$D$27:$AH$266,'Dec'!$D$27:$AH$266,'Jan (next year)'!$D$27:$AH$266),27+4*(IFERROR(MATCH(C734,Roster!$B$6:$B$65,0),MATCH(C734,Roster!$C$6:$C$65,0))-1)+MATCH(B734,{"AM","PM","NIGHT","WD"},0)-1-27+1,DAY(A734))&amp;"",""))</f>
        <v/>
      </c>
      <c r="G734" s="123">
        <f>IF(OR(A734="",C734="",B734="",E734=""),"",IFERROR(A734&amp;"|"&amp;(27+4*(IFERROR(MATCH(C734,Roster!$B$6:$B$65,0),MATCH(C734,Roster!$C$6:$C$65,0))-1)+MATCH(B734,{"AM","PM","NIGHT","WD"},0)-1),""))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$266,'Feb'!$D$27:$AH$266,'Mar'!$D$27:$AH$266,'Apr'!$D$27:$AH$266,'May'!$D$27:$AH$266,'Jun'!$D$27:$AH$266,'Jul'!$D$27:$AH$266,'Aug'!$D$27:$AH$266,'Sep'!$D$27:$AH$266,'Oct'!$D$27:$AH$266,'Nov'!$D$27:$AH$266,'Dec'!$D$27:$AH$266,'Jan (next year)'!$D$27:$AH$266),27+4*(IFERROR(MATCH(C735,Roster!$B$6:$B$65,0),MATCH(C735,Roster!$C$6:$C$65,0))-1)+MATCH(B735,{"AM","PM","NIGHT","WD"},0)-1-27+1,DAY(A735))&amp;"",""))</f>
        <v/>
      </c>
      <c r="G735" s="123">
        <f>IF(OR(A735="",C735="",B735="",E735=""),"",IFERROR(A735&amp;"|"&amp;(27+4*(IFERROR(MATCH(C735,Roster!$B$6:$B$65,0),MATCH(C735,Roster!$C$6:$C$65,0))-1)+MATCH(B735,{"AM","PM","NIGHT","WD"},0)-1),""))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$266,'Feb'!$D$27:$AH$266,'Mar'!$D$27:$AH$266,'Apr'!$D$27:$AH$266,'May'!$D$27:$AH$266,'Jun'!$D$27:$AH$266,'Jul'!$D$27:$AH$266,'Aug'!$D$27:$AH$266,'Sep'!$D$27:$AH$266,'Oct'!$D$27:$AH$266,'Nov'!$D$27:$AH$266,'Dec'!$D$27:$AH$266,'Jan (next year)'!$D$27:$AH$266),27+4*(IFERROR(MATCH(C736,Roster!$B$6:$B$65,0),MATCH(C736,Roster!$C$6:$C$65,0))-1)+MATCH(B736,{"AM","PM","NIGHT","WD"},0)-1-27+1,DAY(A736))&amp;"",""))</f>
        <v/>
      </c>
      <c r="G736" s="123">
        <f>IF(OR(A736="",C736="",B736="",E736=""),"",IFERROR(A736&amp;"|"&amp;(27+4*(IFERROR(MATCH(C736,Roster!$B$6:$B$65,0),MATCH(C736,Roster!$C$6:$C$65,0))-1)+MATCH(B736,{"AM","PM","NIGHT","WD"},0)-1),""))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$266,'Feb'!$D$27:$AH$266,'Mar'!$D$27:$AH$266,'Apr'!$D$27:$AH$266,'May'!$D$27:$AH$266,'Jun'!$D$27:$AH$266,'Jul'!$D$27:$AH$266,'Aug'!$D$27:$AH$266,'Sep'!$D$27:$AH$266,'Oct'!$D$27:$AH$266,'Nov'!$D$27:$AH$266,'Dec'!$D$27:$AH$266,'Jan (next year)'!$D$27:$AH$266),27+4*(IFERROR(MATCH(C737,Roster!$B$6:$B$65,0),MATCH(C737,Roster!$C$6:$C$65,0))-1)+MATCH(B737,{"AM","PM","NIGHT","WD"},0)-1-27+1,DAY(A737))&amp;"",""))</f>
        <v/>
      </c>
      <c r="G737" s="123">
        <f>IF(OR(A737="",C737="",B737="",E737=""),"",IFERROR(A737&amp;"|"&amp;(27+4*(IFERROR(MATCH(C737,Roster!$B$6:$B$65,0),MATCH(C737,Roster!$C$6:$C$65,0))-1)+MATCH(B737,{"AM","PM","NIGHT","WD"},0)-1),""))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$266,'Feb'!$D$27:$AH$266,'Mar'!$D$27:$AH$266,'Apr'!$D$27:$AH$266,'May'!$D$27:$AH$266,'Jun'!$D$27:$AH$266,'Jul'!$D$27:$AH$266,'Aug'!$D$27:$AH$266,'Sep'!$D$27:$AH$266,'Oct'!$D$27:$AH$266,'Nov'!$D$27:$AH$266,'Dec'!$D$27:$AH$266,'Jan (next year)'!$D$27:$AH$266),27+4*(IFERROR(MATCH(C738,Roster!$B$6:$B$65,0),MATCH(C738,Roster!$C$6:$C$65,0))-1)+MATCH(B738,{"AM","PM","NIGHT","WD"},0)-1-27+1,DAY(A738))&amp;"",""))</f>
        <v/>
      </c>
      <c r="G738" s="123">
        <f>IF(OR(A738="",C738="",B738="",E738=""),"",IFERROR(A738&amp;"|"&amp;(27+4*(IFERROR(MATCH(C738,Roster!$B$6:$B$65,0),MATCH(C738,Roster!$C$6:$C$65,0))-1)+MATCH(B738,{"AM","PM","NIGHT","WD"},0)-1),""))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$266,'Feb'!$D$27:$AH$266,'Mar'!$D$27:$AH$266,'Apr'!$D$27:$AH$266,'May'!$D$27:$AH$266,'Jun'!$D$27:$AH$266,'Jul'!$D$27:$AH$266,'Aug'!$D$27:$AH$266,'Sep'!$D$27:$AH$266,'Oct'!$D$27:$AH$266,'Nov'!$D$27:$AH$266,'Dec'!$D$27:$AH$266,'Jan (next year)'!$D$27:$AH$266),27+4*(IFERROR(MATCH(C739,Roster!$B$6:$B$65,0),MATCH(C739,Roster!$C$6:$C$65,0))-1)+MATCH(B739,{"AM","PM","NIGHT","WD"},0)-1-27+1,DAY(A739))&amp;"",""))</f>
        <v/>
      </c>
      <c r="G739" s="123">
        <f>IF(OR(A739="",C739="",B739="",E739=""),"",IFERROR(A739&amp;"|"&amp;(27+4*(IFERROR(MATCH(C739,Roster!$B$6:$B$65,0),MATCH(C739,Roster!$C$6:$C$65,0))-1)+MATCH(B739,{"AM","PM","NIGHT","WD"},0)-1),""))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$266,'Feb'!$D$27:$AH$266,'Mar'!$D$27:$AH$266,'Apr'!$D$27:$AH$266,'May'!$D$27:$AH$266,'Jun'!$D$27:$AH$266,'Jul'!$D$27:$AH$266,'Aug'!$D$27:$AH$266,'Sep'!$D$27:$AH$266,'Oct'!$D$27:$AH$266,'Nov'!$D$27:$AH$266,'Dec'!$D$27:$AH$266,'Jan (next year)'!$D$27:$AH$266),27+4*(IFERROR(MATCH(C740,Roster!$B$6:$B$65,0),MATCH(C740,Roster!$C$6:$C$65,0))-1)+MATCH(B740,{"AM","PM","NIGHT","WD"},0)-1-27+1,DAY(A740))&amp;"",""))</f>
        <v/>
      </c>
      <c r="G740" s="123">
        <f>IF(OR(A740="",C740="",B740="",E740=""),"",IFERROR(A740&amp;"|"&amp;(27+4*(IFERROR(MATCH(C740,Roster!$B$6:$B$65,0),MATCH(C740,Roster!$C$6:$C$65,0))-1)+MATCH(B740,{"AM","PM","NIGHT","WD"},0)-1),""))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$266,'Feb'!$D$27:$AH$266,'Mar'!$D$27:$AH$266,'Apr'!$D$27:$AH$266,'May'!$D$27:$AH$266,'Jun'!$D$27:$AH$266,'Jul'!$D$27:$AH$266,'Aug'!$D$27:$AH$266,'Sep'!$D$27:$AH$266,'Oct'!$D$27:$AH$266,'Nov'!$D$27:$AH$266,'Dec'!$D$27:$AH$266,'Jan (next year)'!$D$27:$AH$266),27+4*(IFERROR(MATCH(C741,Roster!$B$6:$B$65,0),MATCH(C741,Roster!$C$6:$C$65,0))-1)+MATCH(B741,{"AM","PM","NIGHT","WD"},0)-1-27+1,DAY(A741))&amp;"",""))</f>
        <v/>
      </c>
      <c r="G741" s="123">
        <f>IF(OR(A741="",C741="",B741="",E741=""),"",IFERROR(A741&amp;"|"&amp;(27+4*(IFERROR(MATCH(C741,Roster!$B$6:$B$65,0),MATCH(C741,Roster!$C$6:$C$65,0))-1)+MATCH(B741,{"AM","PM","NIGHT","WD"},0)-1),""))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$266,'Feb'!$D$27:$AH$266,'Mar'!$D$27:$AH$266,'Apr'!$D$27:$AH$266,'May'!$D$27:$AH$266,'Jun'!$D$27:$AH$266,'Jul'!$D$27:$AH$266,'Aug'!$D$27:$AH$266,'Sep'!$D$27:$AH$266,'Oct'!$D$27:$AH$266,'Nov'!$D$27:$AH$266,'Dec'!$D$27:$AH$266,'Jan (next year)'!$D$27:$AH$266),27+4*(IFERROR(MATCH(C742,Roster!$B$6:$B$65,0),MATCH(C742,Roster!$C$6:$C$65,0))-1)+MATCH(B742,{"AM","PM","NIGHT","WD"},0)-1-27+1,DAY(A742))&amp;"",""))</f>
        <v/>
      </c>
      <c r="G742" s="123">
        <f>IF(OR(A742="",C742="",B742="",E742=""),"",IFERROR(A742&amp;"|"&amp;(27+4*(IFERROR(MATCH(C742,Roster!$B$6:$B$65,0),MATCH(C742,Roster!$C$6:$C$65,0))-1)+MATCH(B742,{"AM","PM","NIGHT","WD"},0)-1),""))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$266,'Feb'!$D$27:$AH$266,'Mar'!$D$27:$AH$266,'Apr'!$D$27:$AH$266,'May'!$D$27:$AH$266,'Jun'!$D$27:$AH$266,'Jul'!$D$27:$AH$266,'Aug'!$D$27:$AH$266,'Sep'!$D$27:$AH$266,'Oct'!$D$27:$AH$266,'Nov'!$D$27:$AH$266,'Dec'!$D$27:$AH$266,'Jan (next year)'!$D$27:$AH$266),27+4*(IFERROR(MATCH(C743,Roster!$B$6:$B$65,0),MATCH(C743,Roster!$C$6:$C$65,0))-1)+MATCH(B743,{"AM","PM","NIGHT","WD"},0)-1-27+1,DAY(A743))&amp;"",""))</f>
        <v/>
      </c>
      <c r="G743" s="123">
        <f>IF(OR(A743="",C743="",B743="",E743=""),"",IFERROR(A743&amp;"|"&amp;(27+4*(IFERROR(MATCH(C743,Roster!$B$6:$B$65,0),MATCH(C743,Roster!$C$6:$C$65,0))-1)+MATCH(B743,{"AM","PM","NIGHT","WD"},0)-1),""))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$266,'Feb'!$D$27:$AH$266,'Mar'!$D$27:$AH$266,'Apr'!$D$27:$AH$266,'May'!$D$27:$AH$266,'Jun'!$D$27:$AH$266,'Jul'!$D$27:$AH$266,'Aug'!$D$27:$AH$266,'Sep'!$D$27:$AH$266,'Oct'!$D$27:$AH$266,'Nov'!$D$27:$AH$266,'Dec'!$D$27:$AH$266,'Jan (next year)'!$D$27:$AH$266),27+4*(IFERROR(MATCH(C744,Roster!$B$6:$B$65,0),MATCH(C744,Roster!$C$6:$C$65,0))-1)+MATCH(B744,{"AM","PM","NIGHT","WD"},0)-1-27+1,DAY(A744))&amp;"",""))</f>
        <v/>
      </c>
      <c r="G744" s="123">
        <f>IF(OR(A744="",C744="",B744="",E744=""),"",IFERROR(A744&amp;"|"&amp;(27+4*(IFERROR(MATCH(C744,Roster!$B$6:$B$65,0),MATCH(C744,Roster!$C$6:$C$65,0))-1)+MATCH(B744,{"AM","PM","NIGHT","WD"},0)-1),""))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$266,'Feb'!$D$27:$AH$266,'Mar'!$D$27:$AH$266,'Apr'!$D$27:$AH$266,'May'!$D$27:$AH$266,'Jun'!$D$27:$AH$266,'Jul'!$D$27:$AH$266,'Aug'!$D$27:$AH$266,'Sep'!$D$27:$AH$266,'Oct'!$D$27:$AH$266,'Nov'!$D$27:$AH$266,'Dec'!$D$27:$AH$266,'Jan (next year)'!$D$27:$AH$266),27+4*(IFERROR(MATCH(C745,Roster!$B$6:$B$65,0),MATCH(C745,Roster!$C$6:$C$65,0))-1)+MATCH(B745,{"AM","PM","NIGHT","WD"},0)-1-27+1,DAY(A745))&amp;"",""))</f>
        <v/>
      </c>
      <c r="G745" s="123">
        <f>IF(OR(A745="",C745="",B745="",E745=""),"",IFERROR(A745&amp;"|"&amp;(27+4*(IFERROR(MATCH(C745,Roster!$B$6:$B$65,0),MATCH(C745,Roster!$C$6:$C$65,0))-1)+MATCH(B745,{"AM","PM","NIGHT","WD"},0)-1),""))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$266,'Feb'!$D$27:$AH$266,'Mar'!$D$27:$AH$266,'Apr'!$D$27:$AH$266,'May'!$D$27:$AH$266,'Jun'!$D$27:$AH$266,'Jul'!$D$27:$AH$266,'Aug'!$D$27:$AH$266,'Sep'!$D$27:$AH$266,'Oct'!$D$27:$AH$266,'Nov'!$D$27:$AH$266,'Dec'!$D$27:$AH$266,'Jan (next year)'!$D$27:$AH$266),27+4*(IFERROR(MATCH(C746,Roster!$B$6:$B$65,0),MATCH(C746,Roster!$C$6:$C$65,0))-1)+MATCH(B746,{"AM","PM","NIGHT","WD"},0)-1-27+1,DAY(A746))&amp;"",""))</f>
        <v/>
      </c>
      <c r="G746" s="123">
        <f>IF(OR(A746="",C746="",B746="",E746=""),"",IFERROR(A746&amp;"|"&amp;(27+4*(IFERROR(MATCH(C746,Roster!$B$6:$B$65,0),MATCH(C746,Roster!$C$6:$C$65,0))-1)+MATCH(B746,{"AM","PM","NIGHT","WD"},0)-1),""))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$266,'Feb'!$D$27:$AH$266,'Mar'!$D$27:$AH$266,'Apr'!$D$27:$AH$266,'May'!$D$27:$AH$266,'Jun'!$D$27:$AH$266,'Jul'!$D$27:$AH$266,'Aug'!$D$27:$AH$266,'Sep'!$D$27:$AH$266,'Oct'!$D$27:$AH$266,'Nov'!$D$27:$AH$266,'Dec'!$D$27:$AH$266,'Jan (next year)'!$D$27:$AH$266),27+4*(IFERROR(MATCH(C747,Roster!$B$6:$B$65,0),MATCH(C747,Roster!$C$6:$C$65,0))-1)+MATCH(B747,{"AM","PM","NIGHT","WD"},0)-1-27+1,DAY(A747))&amp;"",""))</f>
        <v/>
      </c>
      <c r="G747" s="123">
        <f>IF(OR(A747="",C747="",B747="",E747=""),"",IFERROR(A747&amp;"|"&amp;(27+4*(IFERROR(MATCH(C747,Roster!$B$6:$B$65,0),MATCH(C747,Roster!$C$6:$C$65,0))-1)+MATCH(B747,{"AM","PM","NIGHT","WD"},0)-1),""))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$266,'Feb'!$D$27:$AH$266,'Mar'!$D$27:$AH$266,'Apr'!$D$27:$AH$266,'May'!$D$27:$AH$266,'Jun'!$D$27:$AH$266,'Jul'!$D$27:$AH$266,'Aug'!$D$27:$AH$266,'Sep'!$D$27:$AH$266,'Oct'!$D$27:$AH$266,'Nov'!$D$27:$AH$266,'Dec'!$D$27:$AH$266,'Jan (next year)'!$D$27:$AH$266),27+4*(IFERROR(MATCH(C748,Roster!$B$6:$B$65,0),MATCH(C748,Roster!$C$6:$C$65,0))-1)+MATCH(B748,{"AM","PM","NIGHT","WD"},0)-1-27+1,DAY(A748))&amp;"",""))</f>
        <v/>
      </c>
      <c r="G748" s="123">
        <f>IF(OR(A748="",C748="",B748="",E748=""),"",IFERROR(A748&amp;"|"&amp;(27+4*(IFERROR(MATCH(C748,Roster!$B$6:$B$65,0),MATCH(C748,Roster!$C$6:$C$65,0))-1)+MATCH(B748,{"AM","PM","NIGHT","WD"},0)-1),""))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$266,'Feb'!$D$27:$AH$266,'Mar'!$D$27:$AH$266,'Apr'!$D$27:$AH$266,'May'!$D$27:$AH$266,'Jun'!$D$27:$AH$266,'Jul'!$D$27:$AH$266,'Aug'!$D$27:$AH$266,'Sep'!$D$27:$AH$266,'Oct'!$D$27:$AH$266,'Nov'!$D$27:$AH$266,'Dec'!$D$27:$AH$266,'Jan (next year)'!$D$27:$AH$266),27+4*(IFERROR(MATCH(C749,Roster!$B$6:$B$65,0),MATCH(C749,Roster!$C$6:$C$65,0))-1)+MATCH(B749,{"AM","PM","NIGHT","WD"},0)-1-27+1,DAY(A749))&amp;"",""))</f>
        <v/>
      </c>
      <c r="G749" s="123">
        <f>IF(OR(A749="",C749="",B749="",E749=""),"",IFERROR(A749&amp;"|"&amp;(27+4*(IFERROR(MATCH(C749,Roster!$B$6:$B$65,0),MATCH(C749,Roster!$C$6:$C$65,0))-1)+MATCH(B749,{"AM","PM","NIGHT","WD"},0)-1),""))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$266,'Feb'!$D$27:$AH$266,'Mar'!$D$27:$AH$266,'Apr'!$D$27:$AH$266,'May'!$D$27:$AH$266,'Jun'!$D$27:$AH$266,'Jul'!$D$27:$AH$266,'Aug'!$D$27:$AH$266,'Sep'!$D$27:$AH$266,'Oct'!$D$27:$AH$266,'Nov'!$D$27:$AH$266,'Dec'!$D$27:$AH$266,'Jan (next year)'!$D$27:$AH$266),27+4*(IFERROR(MATCH(C750,Roster!$B$6:$B$65,0),MATCH(C750,Roster!$C$6:$C$65,0))-1)+MATCH(B750,{"AM","PM","NIGHT","WD"},0)-1-27+1,DAY(A750))&amp;"",""))</f>
        <v/>
      </c>
      <c r="G750" s="123">
        <f>IF(OR(A750="",C750="",B750="",E750=""),"",IFERROR(A750&amp;"|"&amp;(27+4*(IFERROR(MATCH(C750,Roster!$B$6:$B$65,0),MATCH(C750,Roster!$C$6:$C$65,0))-1)+MATCH(B750,{"AM","PM","NIGHT","WD"},0)-1),""))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$266,'Feb'!$D$27:$AH$266,'Mar'!$D$27:$AH$266,'Apr'!$D$27:$AH$266,'May'!$D$27:$AH$266,'Jun'!$D$27:$AH$266,'Jul'!$D$27:$AH$266,'Aug'!$D$27:$AH$266,'Sep'!$D$27:$AH$266,'Oct'!$D$27:$AH$266,'Nov'!$D$27:$AH$266,'Dec'!$D$27:$AH$266,'Jan (next year)'!$D$27:$AH$266),27+4*(IFERROR(MATCH(C751,Roster!$B$6:$B$65,0),MATCH(C751,Roster!$C$6:$C$65,0))-1)+MATCH(B751,{"AM","PM","NIGHT","WD"},0)-1-27+1,DAY(A751))&amp;"",""))</f>
        <v/>
      </c>
      <c r="G751" s="123">
        <f>IF(OR(A751="",C751="",B751="",E751=""),"",IFERROR(A751&amp;"|"&amp;(27+4*(IFERROR(MATCH(C751,Roster!$B$6:$B$65,0),MATCH(C751,Roster!$C$6:$C$65,0))-1)+MATCH(B751,{"AM","PM","NIGHT","WD"},0)-1),""))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$266,'Feb'!$D$27:$AH$266,'Mar'!$D$27:$AH$266,'Apr'!$D$27:$AH$266,'May'!$D$27:$AH$266,'Jun'!$D$27:$AH$266,'Jul'!$D$27:$AH$266,'Aug'!$D$27:$AH$266,'Sep'!$D$27:$AH$266,'Oct'!$D$27:$AH$266,'Nov'!$D$27:$AH$266,'Dec'!$D$27:$AH$266,'Jan (next year)'!$D$27:$AH$266),27+4*(IFERROR(MATCH(C752,Roster!$B$6:$B$65,0),MATCH(C752,Roster!$C$6:$C$65,0))-1)+MATCH(B752,{"AM","PM","NIGHT","WD"},0)-1-27+1,DAY(A752))&amp;"",""))</f>
        <v/>
      </c>
      <c r="G752" s="123">
        <f>IF(OR(A752="",C752="",B752="",E752=""),"",IFERROR(A752&amp;"|"&amp;(27+4*(IFERROR(MATCH(C752,Roster!$B$6:$B$65,0),MATCH(C752,Roster!$C$6:$C$65,0))-1)+MATCH(B752,{"AM","PM","NIGHT","WD"},0)-1),""))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$266,'Feb'!$D$27:$AH$266,'Mar'!$D$27:$AH$266,'Apr'!$D$27:$AH$266,'May'!$D$27:$AH$266,'Jun'!$D$27:$AH$266,'Jul'!$D$27:$AH$266,'Aug'!$D$27:$AH$266,'Sep'!$D$27:$AH$266,'Oct'!$D$27:$AH$266,'Nov'!$D$27:$AH$266,'Dec'!$D$27:$AH$266,'Jan (next year)'!$D$27:$AH$266),27+4*(IFERROR(MATCH(C753,Roster!$B$6:$B$65,0),MATCH(C753,Roster!$C$6:$C$65,0))-1)+MATCH(B753,{"AM","PM","NIGHT","WD"},0)-1-27+1,DAY(A753))&amp;"",""))</f>
        <v/>
      </c>
      <c r="G753" s="123">
        <f>IF(OR(A753="",C753="",B753="",E753=""),"",IFERROR(A753&amp;"|"&amp;(27+4*(IFERROR(MATCH(C753,Roster!$B$6:$B$65,0),MATCH(C753,Roster!$C$6:$C$65,0))-1)+MATCH(B753,{"AM","PM","NIGHT","WD"},0)-1),""))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$266,'Feb'!$D$27:$AH$266,'Mar'!$D$27:$AH$266,'Apr'!$D$27:$AH$266,'May'!$D$27:$AH$266,'Jun'!$D$27:$AH$266,'Jul'!$D$27:$AH$266,'Aug'!$D$27:$AH$266,'Sep'!$D$27:$AH$266,'Oct'!$D$27:$AH$266,'Nov'!$D$27:$AH$266,'Dec'!$D$27:$AH$266,'Jan (next year)'!$D$27:$AH$266),27+4*(IFERROR(MATCH(C754,Roster!$B$6:$B$65,0),MATCH(C754,Roster!$C$6:$C$65,0))-1)+MATCH(B754,{"AM","PM","NIGHT","WD"},0)-1-27+1,DAY(A754))&amp;"",""))</f>
        <v/>
      </c>
      <c r="G754" s="123">
        <f>IF(OR(A754="",C754="",B754="",E754=""),"",IFERROR(A754&amp;"|"&amp;(27+4*(IFERROR(MATCH(C754,Roster!$B$6:$B$65,0),MATCH(C754,Roster!$C$6:$C$65,0))-1)+MATCH(B754,{"AM","PM","NIGHT","WD"},0)-1),""))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$266,'Feb'!$D$27:$AH$266,'Mar'!$D$27:$AH$266,'Apr'!$D$27:$AH$266,'May'!$D$27:$AH$266,'Jun'!$D$27:$AH$266,'Jul'!$D$27:$AH$266,'Aug'!$D$27:$AH$266,'Sep'!$D$27:$AH$266,'Oct'!$D$27:$AH$266,'Nov'!$D$27:$AH$266,'Dec'!$D$27:$AH$266,'Jan (next year)'!$D$27:$AH$266),27+4*(IFERROR(MATCH(C755,Roster!$B$6:$B$65,0),MATCH(C755,Roster!$C$6:$C$65,0))-1)+MATCH(B755,{"AM","PM","NIGHT","WD"},0)-1-27+1,DAY(A755))&amp;"",""))</f>
        <v/>
      </c>
      <c r="G755" s="123">
        <f>IF(OR(A755="",C755="",B755="",E755=""),"",IFERROR(A755&amp;"|"&amp;(27+4*(IFERROR(MATCH(C755,Roster!$B$6:$B$65,0),MATCH(C755,Roster!$C$6:$C$65,0))-1)+MATCH(B755,{"AM","PM","NIGHT","WD"},0)-1),""))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$266,'Feb'!$D$27:$AH$266,'Mar'!$D$27:$AH$266,'Apr'!$D$27:$AH$266,'May'!$D$27:$AH$266,'Jun'!$D$27:$AH$266,'Jul'!$D$27:$AH$266,'Aug'!$D$27:$AH$266,'Sep'!$D$27:$AH$266,'Oct'!$D$27:$AH$266,'Nov'!$D$27:$AH$266,'Dec'!$D$27:$AH$266,'Jan (next year)'!$D$27:$AH$266),27+4*(IFERROR(MATCH(C756,Roster!$B$6:$B$65,0),MATCH(C756,Roster!$C$6:$C$65,0))-1)+MATCH(B756,{"AM","PM","NIGHT","WD"},0)-1-27+1,DAY(A756))&amp;"",""))</f>
        <v/>
      </c>
      <c r="G756" s="123">
        <f>IF(OR(A756="",C756="",B756="",E756=""),"",IFERROR(A756&amp;"|"&amp;(27+4*(IFERROR(MATCH(C756,Roster!$B$6:$B$65,0),MATCH(C756,Roster!$C$6:$C$65,0))-1)+MATCH(B756,{"AM","PM","NIGHT","WD"},0)-1),""))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$266,'Feb'!$D$27:$AH$266,'Mar'!$D$27:$AH$266,'Apr'!$D$27:$AH$266,'May'!$D$27:$AH$266,'Jun'!$D$27:$AH$266,'Jul'!$D$27:$AH$266,'Aug'!$D$27:$AH$266,'Sep'!$D$27:$AH$266,'Oct'!$D$27:$AH$266,'Nov'!$D$27:$AH$266,'Dec'!$D$27:$AH$266,'Jan (next year)'!$D$27:$AH$266),27+4*(IFERROR(MATCH(C757,Roster!$B$6:$B$65,0),MATCH(C757,Roster!$C$6:$C$65,0))-1)+MATCH(B757,{"AM","PM","NIGHT","WD"},0)-1-27+1,DAY(A757))&amp;"",""))</f>
        <v/>
      </c>
      <c r="G757" s="123">
        <f>IF(OR(A757="",C757="",B757="",E757=""),"",IFERROR(A757&amp;"|"&amp;(27+4*(IFERROR(MATCH(C757,Roster!$B$6:$B$65,0),MATCH(C757,Roster!$C$6:$C$65,0))-1)+MATCH(B757,{"AM","PM","NIGHT","WD"},0)-1),""))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$266,'Feb'!$D$27:$AH$266,'Mar'!$D$27:$AH$266,'Apr'!$D$27:$AH$266,'May'!$D$27:$AH$266,'Jun'!$D$27:$AH$266,'Jul'!$D$27:$AH$266,'Aug'!$D$27:$AH$266,'Sep'!$D$27:$AH$266,'Oct'!$D$27:$AH$266,'Nov'!$D$27:$AH$266,'Dec'!$D$27:$AH$266,'Jan (next year)'!$D$27:$AH$266),27+4*(IFERROR(MATCH(C758,Roster!$B$6:$B$65,0),MATCH(C758,Roster!$C$6:$C$65,0))-1)+MATCH(B758,{"AM","PM","NIGHT","WD"},0)-1-27+1,DAY(A758))&amp;"",""))</f>
        <v/>
      </c>
      <c r="G758" s="123">
        <f>IF(OR(A758="",C758="",B758="",E758=""),"",IFERROR(A758&amp;"|"&amp;(27+4*(IFERROR(MATCH(C758,Roster!$B$6:$B$65,0),MATCH(C758,Roster!$C$6:$C$65,0))-1)+MATCH(B758,{"AM","PM","NIGHT","WD"},0)-1),""))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$266,'Feb'!$D$27:$AH$266,'Mar'!$D$27:$AH$266,'Apr'!$D$27:$AH$266,'May'!$D$27:$AH$266,'Jun'!$D$27:$AH$266,'Jul'!$D$27:$AH$266,'Aug'!$D$27:$AH$266,'Sep'!$D$27:$AH$266,'Oct'!$D$27:$AH$266,'Nov'!$D$27:$AH$266,'Dec'!$D$27:$AH$266,'Jan (next year)'!$D$27:$AH$266),27+4*(IFERROR(MATCH(C759,Roster!$B$6:$B$65,0),MATCH(C759,Roster!$C$6:$C$65,0))-1)+MATCH(B759,{"AM","PM","NIGHT","WD"},0)-1-27+1,DAY(A759))&amp;"",""))</f>
        <v/>
      </c>
      <c r="G759" s="123">
        <f>IF(OR(A759="",C759="",B759="",E759=""),"",IFERROR(A759&amp;"|"&amp;(27+4*(IFERROR(MATCH(C759,Roster!$B$6:$B$65,0),MATCH(C759,Roster!$C$6:$C$65,0))-1)+MATCH(B759,{"AM","PM","NIGHT","WD"},0)-1),""))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$266,'Feb'!$D$27:$AH$266,'Mar'!$D$27:$AH$266,'Apr'!$D$27:$AH$266,'May'!$D$27:$AH$266,'Jun'!$D$27:$AH$266,'Jul'!$D$27:$AH$266,'Aug'!$D$27:$AH$266,'Sep'!$D$27:$AH$266,'Oct'!$D$27:$AH$266,'Nov'!$D$27:$AH$266,'Dec'!$D$27:$AH$266,'Jan (next year)'!$D$27:$AH$266),27+4*(IFERROR(MATCH(C760,Roster!$B$6:$B$65,0),MATCH(C760,Roster!$C$6:$C$65,0))-1)+MATCH(B760,{"AM","PM","NIGHT","WD"},0)-1-27+1,DAY(A760))&amp;"",""))</f>
        <v/>
      </c>
      <c r="G760" s="123">
        <f>IF(OR(A760="",C760="",B760="",E760=""),"",IFERROR(A760&amp;"|"&amp;(27+4*(IFERROR(MATCH(C760,Roster!$B$6:$B$65,0),MATCH(C760,Roster!$C$6:$C$65,0))-1)+MATCH(B760,{"AM","PM","NIGHT","WD"},0)-1),""))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$266,'Feb'!$D$27:$AH$266,'Mar'!$D$27:$AH$266,'Apr'!$D$27:$AH$266,'May'!$D$27:$AH$266,'Jun'!$D$27:$AH$266,'Jul'!$D$27:$AH$266,'Aug'!$D$27:$AH$266,'Sep'!$D$27:$AH$266,'Oct'!$D$27:$AH$266,'Nov'!$D$27:$AH$266,'Dec'!$D$27:$AH$266,'Jan (next year)'!$D$27:$AH$266),27+4*(IFERROR(MATCH(C761,Roster!$B$6:$B$65,0),MATCH(C761,Roster!$C$6:$C$65,0))-1)+MATCH(B761,{"AM","PM","NIGHT","WD"},0)-1-27+1,DAY(A761))&amp;"",""))</f>
        <v/>
      </c>
      <c r="G761" s="123">
        <f>IF(OR(A761="",C761="",B761="",E761=""),"",IFERROR(A761&amp;"|"&amp;(27+4*(IFERROR(MATCH(C761,Roster!$B$6:$B$65,0),MATCH(C761,Roster!$C$6:$C$65,0))-1)+MATCH(B761,{"AM","PM","NIGHT","WD"},0)-1),""))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$266,'Feb'!$D$27:$AH$266,'Mar'!$D$27:$AH$266,'Apr'!$D$27:$AH$266,'May'!$D$27:$AH$266,'Jun'!$D$27:$AH$266,'Jul'!$D$27:$AH$266,'Aug'!$D$27:$AH$266,'Sep'!$D$27:$AH$266,'Oct'!$D$27:$AH$266,'Nov'!$D$27:$AH$266,'Dec'!$D$27:$AH$266,'Jan (next year)'!$D$27:$AH$266),27+4*(IFERROR(MATCH(C762,Roster!$B$6:$B$65,0),MATCH(C762,Roster!$C$6:$C$65,0))-1)+MATCH(B762,{"AM","PM","NIGHT","WD"},0)-1-27+1,DAY(A762))&amp;"",""))</f>
        <v/>
      </c>
      <c r="G762" s="123">
        <f>IF(OR(A762="",C762="",B762="",E762=""),"",IFERROR(A762&amp;"|"&amp;(27+4*(IFERROR(MATCH(C762,Roster!$B$6:$B$65,0),MATCH(C762,Roster!$C$6:$C$65,0))-1)+MATCH(B762,{"AM","PM","NIGHT","WD"},0)-1),""))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$266,'Feb'!$D$27:$AH$266,'Mar'!$D$27:$AH$266,'Apr'!$D$27:$AH$266,'May'!$D$27:$AH$266,'Jun'!$D$27:$AH$266,'Jul'!$D$27:$AH$266,'Aug'!$D$27:$AH$266,'Sep'!$D$27:$AH$266,'Oct'!$D$27:$AH$266,'Nov'!$D$27:$AH$266,'Dec'!$D$27:$AH$266,'Jan (next year)'!$D$27:$AH$266),27+4*(IFERROR(MATCH(C763,Roster!$B$6:$B$65,0),MATCH(C763,Roster!$C$6:$C$65,0))-1)+MATCH(B763,{"AM","PM","NIGHT","WD"},0)-1-27+1,DAY(A763))&amp;"",""))</f>
        <v/>
      </c>
      <c r="G763" s="123">
        <f>IF(OR(A763="",C763="",B763="",E763=""),"",IFERROR(A763&amp;"|"&amp;(27+4*(IFERROR(MATCH(C763,Roster!$B$6:$B$65,0),MATCH(C763,Roster!$C$6:$C$65,0))-1)+MATCH(B763,{"AM","PM","NIGHT","WD"},0)-1),""))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$266,'Feb'!$D$27:$AH$266,'Mar'!$D$27:$AH$266,'Apr'!$D$27:$AH$266,'May'!$D$27:$AH$266,'Jun'!$D$27:$AH$266,'Jul'!$D$27:$AH$266,'Aug'!$D$27:$AH$266,'Sep'!$D$27:$AH$266,'Oct'!$D$27:$AH$266,'Nov'!$D$27:$AH$266,'Dec'!$D$27:$AH$266,'Jan (next year)'!$D$27:$AH$266),27+4*(IFERROR(MATCH(C764,Roster!$B$6:$B$65,0),MATCH(C764,Roster!$C$6:$C$65,0))-1)+MATCH(B764,{"AM","PM","NIGHT","WD"},0)-1-27+1,DAY(A764))&amp;"",""))</f>
        <v/>
      </c>
      <c r="G764" s="123">
        <f>IF(OR(A764="",C764="",B764="",E764=""),"",IFERROR(A764&amp;"|"&amp;(27+4*(IFERROR(MATCH(C764,Roster!$B$6:$B$65,0),MATCH(C764,Roster!$C$6:$C$65,0))-1)+MATCH(B764,{"AM","PM","NIGHT","WD"},0)-1),""))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$266,'Feb'!$D$27:$AH$266,'Mar'!$D$27:$AH$266,'Apr'!$D$27:$AH$266,'May'!$D$27:$AH$266,'Jun'!$D$27:$AH$266,'Jul'!$D$27:$AH$266,'Aug'!$D$27:$AH$266,'Sep'!$D$27:$AH$266,'Oct'!$D$27:$AH$266,'Nov'!$D$27:$AH$266,'Dec'!$D$27:$AH$266,'Jan (next year)'!$D$27:$AH$266),27+4*(IFERROR(MATCH(C765,Roster!$B$6:$B$65,0),MATCH(C765,Roster!$C$6:$C$65,0))-1)+MATCH(B765,{"AM","PM","NIGHT","WD"},0)-1-27+1,DAY(A765))&amp;"",""))</f>
        <v/>
      </c>
      <c r="G765" s="123">
        <f>IF(OR(A765="",C765="",B765="",E765=""),"",IFERROR(A765&amp;"|"&amp;(27+4*(IFERROR(MATCH(C765,Roster!$B$6:$B$65,0),MATCH(C765,Roster!$C$6:$C$65,0))-1)+MATCH(B765,{"AM","PM","NIGHT","WD"},0)-1),""))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$266,'Feb'!$D$27:$AH$266,'Mar'!$D$27:$AH$266,'Apr'!$D$27:$AH$266,'May'!$D$27:$AH$266,'Jun'!$D$27:$AH$266,'Jul'!$D$27:$AH$266,'Aug'!$D$27:$AH$266,'Sep'!$D$27:$AH$266,'Oct'!$D$27:$AH$266,'Nov'!$D$27:$AH$266,'Dec'!$D$27:$AH$266,'Jan (next year)'!$D$27:$AH$266),27+4*(IFERROR(MATCH(C766,Roster!$B$6:$B$65,0),MATCH(C766,Roster!$C$6:$C$65,0))-1)+MATCH(B766,{"AM","PM","NIGHT","WD"},0)-1-27+1,DAY(A766))&amp;"",""))</f>
        <v/>
      </c>
      <c r="G766" s="123">
        <f>IF(OR(A766="",C766="",B766="",E766=""),"",IFERROR(A766&amp;"|"&amp;(27+4*(IFERROR(MATCH(C766,Roster!$B$6:$B$65,0),MATCH(C766,Roster!$C$6:$C$65,0))-1)+MATCH(B766,{"AM","PM","NIGHT","WD"},0)-1),""))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$266,'Feb'!$D$27:$AH$266,'Mar'!$D$27:$AH$266,'Apr'!$D$27:$AH$266,'May'!$D$27:$AH$266,'Jun'!$D$27:$AH$266,'Jul'!$D$27:$AH$266,'Aug'!$D$27:$AH$266,'Sep'!$D$27:$AH$266,'Oct'!$D$27:$AH$266,'Nov'!$D$27:$AH$266,'Dec'!$D$27:$AH$266,'Jan (next year)'!$D$27:$AH$266),27+4*(IFERROR(MATCH(C767,Roster!$B$6:$B$65,0),MATCH(C767,Roster!$C$6:$C$65,0))-1)+MATCH(B767,{"AM","PM","NIGHT","WD"},0)-1-27+1,DAY(A767))&amp;"",""))</f>
        <v/>
      </c>
      <c r="G767" s="123">
        <f>IF(OR(A767="",C767="",B767="",E767=""),"",IFERROR(A767&amp;"|"&amp;(27+4*(IFERROR(MATCH(C767,Roster!$B$6:$B$65,0),MATCH(C767,Roster!$C$6:$C$65,0))-1)+MATCH(B767,{"AM","PM","NIGHT","WD"},0)-1),""))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$266,'Feb'!$D$27:$AH$266,'Mar'!$D$27:$AH$266,'Apr'!$D$27:$AH$266,'May'!$D$27:$AH$266,'Jun'!$D$27:$AH$266,'Jul'!$D$27:$AH$266,'Aug'!$D$27:$AH$266,'Sep'!$D$27:$AH$266,'Oct'!$D$27:$AH$266,'Nov'!$D$27:$AH$266,'Dec'!$D$27:$AH$266,'Jan (next year)'!$D$27:$AH$266),27+4*(IFERROR(MATCH(C768,Roster!$B$6:$B$65,0),MATCH(C768,Roster!$C$6:$C$65,0))-1)+MATCH(B768,{"AM","PM","NIGHT","WD"},0)-1-27+1,DAY(A768))&amp;"",""))</f>
        <v/>
      </c>
      <c r="G768" s="123">
        <f>IF(OR(A768="",C768="",B768="",E768=""),"",IFERROR(A768&amp;"|"&amp;(27+4*(IFERROR(MATCH(C768,Roster!$B$6:$B$65,0),MATCH(C768,Roster!$C$6:$C$65,0))-1)+MATCH(B768,{"AM","PM","NIGHT","WD"},0)-1),""))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$266,'Feb'!$D$27:$AH$266,'Mar'!$D$27:$AH$266,'Apr'!$D$27:$AH$266,'May'!$D$27:$AH$266,'Jun'!$D$27:$AH$266,'Jul'!$D$27:$AH$266,'Aug'!$D$27:$AH$266,'Sep'!$D$27:$AH$266,'Oct'!$D$27:$AH$266,'Nov'!$D$27:$AH$266,'Dec'!$D$27:$AH$266,'Jan (next year)'!$D$27:$AH$266),27+4*(IFERROR(MATCH(C769,Roster!$B$6:$B$65,0),MATCH(C769,Roster!$C$6:$C$65,0))-1)+MATCH(B769,{"AM","PM","NIGHT","WD"},0)-1-27+1,DAY(A769))&amp;"",""))</f>
        <v/>
      </c>
      <c r="G769" s="123">
        <f>IF(OR(A769="",C769="",B769="",E769=""),"",IFERROR(A769&amp;"|"&amp;(27+4*(IFERROR(MATCH(C769,Roster!$B$6:$B$65,0),MATCH(C769,Roster!$C$6:$C$65,0))-1)+MATCH(B769,{"AM","PM","NIGHT","WD"},0)-1),""))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$266,'Feb'!$D$27:$AH$266,'Mar'!$D$27:$AH$266,'Apr'!$D$27:$AH$266,'May'!$D$27:$AH$266,'Jun'!$D$27:$AH$266,'Jul'!$D$27:$AH$266,'Aug'!$D$27:$AH$266,'Sep'!$D$27:$AH$266,'Oct'!$D$27:$AH$266,'Nov'!$D$27:$AH$266,'Dec'!$D$27:$AH$266,'Jan (next year)'!$D$27:$AH$266),27+4*(IFERROR(MATCH(C770,Roster!$B$6:$B$65,0),MATCH(C770,Roster!$C$6:$C$65,0))-1)+MATCH(B770,{"AM","PM","NIGHT","WD"},0)-1-27+1,DAY(A770))&amp;"",""))</f>
        <v/>
      </c>
      <c r="G770" s="123">
        <f>IF(OR(A770="",C770="",B770="",E770=""),"",IFERROR(A770&amp;"|"&amp;(27+4*(IFERROR(MATCH(C770,Roster!$B$6:$B$65,0),MATCH(C770,Roster!$C$6:$C$65,0))-1)+MATCH(B770,{"AM","PM","NIGHT","WD"},0)-1),""))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$266,'Feb'!$D$27:$AH$266,'Mar'!$D$27:$AH$266,'Apr'!$D$27:$AH$266,'May'!$D$27:$AH$266,'Jun'!$D$27:$AH$266,'Jul'!$D$27:$AH$266,'Aug'!$D$27:$AH$266,'Sep'!$D$27:$AH$266,'Oct'!$D$27:$AH$266,'Nov'!$D$27:$AH$266,'Dec'!$D$27:$AH$266,'Jan (next year)'!$D$27:$AH$266),27+4*(IFERROR(MATCH(C771,Roster!$B$6:$B$65,0),MATCH(C771,Roster!$C$6:$C$65,0))-1)+MATCH(B771,{"AM","PM","NIGHT","WD"},0)-1-27+1,DAY(A771))&amp;"",""))</f>
        <v/>
      </c>
      <c r="G771" s="123">
        <f>IF(OR(A771="",C771="",B771="",E771=""),"",IFERROR(A771&amp;"|"&amp;(27+4*(IFERROR(MATCH(C771,Roster!$B$6:$B$65,0),MATCH(C771,Roster!$C$6:$C$65,0))-1)+MATCH(B771,{"AM","PM","NIGHT","WD"},0)-1),""))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$266,'Feb'!$D$27:$AH$266,'Mar'!$D$27:$AH$266,'Apr'!$D$27:$AH$266,'May'!$D$27:$AH$266,'Jun'!$D$27:$AH$266,'Jul'!$D$27:$AH$266,'Aug'!$D$27:$AH$266,'Sep'!$D$27:$AH$266,'Oct'!$D$27:$AH$266,'Nov'!$D$27:$AH$266,'Dec'!$D$27:$AH$266,'Jan (next year)'!$D$27:$AH$266),27+4*(IFERROR(MATCH(C772,Roster!$B$6:$B$65,0),MATCH(C772,Roster!$C$6:$C$65,0))-1)+MATCH(B772,{"AM","PM","NIGHT","WD"},0)-1-27+1,DAY(A772))&amp;"",""))</f>
        <v/>
      </c>
      <c r="G772" s="123">
        <f>IF(OR(A772="",C772="",B772="",E772=""),"",IFERROR(A772&amp;"|"&amp;(27+4*(IFERROR(MATCH(C772,Roster!$B$6:$B$65,0),MATCH(C772,Roster!$C$6:$C$65,0))-1)+MATCH(B772,{"AM","PM","NIGHT","WD"},0)-1),""))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$266,'Feb'!$D$27:$AH$266,'Mar'!$D$27:$AH$266,'Apr'!$D$27:$AH$266,'May'!$D$27:$AH$266,'Jun'!$D$27:$AH$266,'Jul'!$D$27:$AH$266,'Aug'!$D$27:$AH$266,'Sep'!$D$27:$AH$266,'Oct'!$D$27:$AH$266,'Nov'!$D$27:$AH$266,'Dec'!$D$27:$AH$266,'Jan (next year)'!$D$27:$AH$266),27+4*(IFERROR(MATCH(C773,Roster!$B$6:$B$65,0),MATCH(C773,Roster!$C$6:$C$65,0))-1)+MATCH(B773,{"AM","PM","NIGHT","WD"},0)-1-27+1,DAY(A773))&amp;"",""))</f>
        <v/>
      </c>
      <c r="G773" s="123">
        <f>IF(OR(A773="",C773="",B773="",E773=""),"",IFERROR(A773&amp;"|"&amp;(27+4*(IFERROR(MATCH(C773,Roster!$B$6:$B$65,0),MATCH(C773,Roster!$C$6:$C$65,0))-1)+MATCH(B773,{"AM","PM","NIGHT","WD"},0)-1),""))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$266,'Feb'!$D$27:$AH$266,'Mar'!$D$27:$AH$266,'Apr'!$D$27:$AH$266,'May'!$D$27:$AH$266,'Jun'!$D$27:$AH$266,'Jul'!$D$27:$AH$266,'Aug'!$D$27:$AH$266,'Sep'!$D$27:$AH$266,'Oct'!$D$27:$AH$266,'Nov'!$D$27:$AH$266,'Dec'!$D$27:$AH$266,'Jan (next year)'!$D$27:$AH$266),27+4*(IFERROR(MATCH(C774,Roster!$B$6:$B$65,0),MATCH(C774,Roster!$C$6:$C$65,0))-1)+MATCH(B774,{"AM","PM","NIGHT","WD"},0)-1-27+1,DAY(A774))&amp;"",""))</f>
        <v/>
      </c>
      <c r="G774" s="123">
        <f>IF(OR(A774="",C774="",B774="",E774=""),"",IFERROR(A774&amp;"|"&amp;(27+4*(IFERROR(MATCH(C774,Roster!$B$6:$B$65,0),MATCH(C774,Roster!$C$6:$C$65,0))-1)+MATCH(B774,{"AM","PM","NIGHT","WD"},0)-1),""))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$266,'Feb'!$D$27:$AH$266,'Mar'!$D$27:$AH$266,'Apr'!$D$27:$AH$266,'May'!$D$27:$AH$266,'Jun'!$D$27:$AH$266,'Jul'!$D$27:$AH$266,'Aug'!$D$27:$AH$266,'Sep'!$D$27:$AH$266,'Oct'!$D$27:$AH$266,'Nov'!$D$27:$AH$266,'Dec'!$D$27:$AH$266,'Jan (next year)'!$D$27:$AH$266),27+4*(IFERROR(MATCH(C775,Roster!$B$6:$B$65,0),MATCH(C775,Roster!$C$6:$C$65,0))-1)+MATCH(B775,{"AM","PM","NIGHT","WD"},0)-1-27+1,DAY(A775))&amp;"",""))</f>
        <v/>
      </c>
      <c r="G775" s="123">
        <f>IF(OR(A775="",C775="",B775="",E775=""),"",IFERROR(A775&amp;"|"&amp;(27+4*(IFERROR(MATCH(C775,Roster!$B$6:$B$65,0),MATCH(C775,Roster!$C$6:$C$65,0))-1)+MATCH(B775,{"AM","PM","NIGHT","WD"},0)-1),""))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$266,'Feb'!$D$27:$AH$266,'Mar'!$D$27:$AH$266,'Apr'!$D$27:$AH$266,'May'!$D$27:$AH$266,'Jun'!$D$27:$AH$266,'Jul'!$D$27:$AH$266,'Aug'!$D$27:$AH$266,'Sep'!$D$27:$AH$266,'Oct'!$D$27:$AH$266,'Nov'!$D$27:$AH$266,'Dec'!$D$27:$AH$266,'Jan (next year)'!$D$27:$AH$266),27+4*(IFERROR(MATCH(C776,Roster!$B$6:$B$65,0),MATCH(C776,Roster!$C$6:$C$65,0))-1)+MATCH(B776,{"AM","PM","NIGHT","WD"},0)-1-27+1,DAY(A776))&amp;"",""))</f>
        <v/>
      </c>
      <c r="G776" s="123">
        <f>IF(OR(A776="",C776="",B776="",E776=""),"",IFERROR(A776&amp;"|"&amp;(27+4*(IFERROR(MATCH(C776,Roster!$B$6:$B$65,0),MATCH(C776,Roster!$C$6:$C$65,0))-1)+MATCH(B776,{"AM","PM","NIGHT","WD"},0)-1),""))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$266,'Feb'!$D$27:$AH$266,'Mar'!$D$27:$AH$266,'Apr'!$D$27:$AH$266,'May'!$D$27:$AH$266,'Jun'!$D$27:$AH$266,'Jul'!$D$27:$AH$266,'Aug'!$D$27:$AH$266,'Sep'!$D$27:$AH$266,'Oct'!$D$27:$AH$266,'Nov'!$D$27:$AH$266,'Dec'!$D$27:$AH$266,'Jan (next year)'!$D$27:$AH$266),27+4*(IFERROR(MATCH(C777,Roster!$B$6:$B$65,0),MATCH(C777,Roster!$C$6:$C$65,0))-1)+MATCH(B777,{"AM","PM","NIGHT","WD"},0)-1-27+1,DAY(A777))&amp;"",""))</f>
        <v/>
      </c>
      <c r="G777" s="123">
        <f>IF(OR(A777="",C777="",B777="",E777=""),"",IFERROR(A777&amp;"|"&amp;(27+4*(IFERROR(MATCH(C777,Roster!$B$6:$B$65,0),MATCH(C777,Roster!$C$6:$C$65,0))-1)+MATCH(B777,{"AM","PM","NIGHT","WD"},0)-1),""))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$266,'Feb'!$D$27:$AH$266,'Mar'!$D$27:$AH$266,'Apr'!$D$27:$AH$266,'May'!$D$27:$AH$266,'Jun'!$D$27:$AH$266,'Jul'!$D$27:$AH$266,'Aug'!$D$27:$AH$266,'Sep'!$D$27:$AH$266,'Oct'!$D$27:$AH$266,'Nov'!$D$27:$AH$266,'Dec'!$D$27:$AH$266,'Jan (next year)'!$D$27:$AH$266),27+4*(IFERROR(MATCH(C778,Roster!$B$6:$B$65,0),MATCH(C778,Roster!$C$6:$C$65,0))-1)+MATCH(B778,{"AM","PM","NIGHT","WD"},0)-1-27+1,DAY(A778))&amp;"",""))</f>
        <v/>
      </c>
      <c r="G778" s="123">
        <f>IF(OR(A778="",C778="",B778="",E778=""),"",IFERROR(A778&amp;"|"&amp;(27+4*(IFERROR(MATCH(C778,Roster!$B$6:$B$65,0),MATCH(C778,Roster!$C$6:$C$65,0))-1)+MATCH(B778,{"AM","PM","NIGHT","WD"},0)-1),""))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$266,'Feb'!$D$27:$AH$266,'Mar'!$D$27:$AH$266,'Apr'!$D$27:$AH$266,'May'!$D$27:$AH$266,'Jun'!$D$27:$AH$266,'Jul'!$D$27:$AH$266,'Aug'!$D$27:$AH$266,'Sep'!$D$27:$AH$266,'Oct'!$D$27:$AH$266,'Nov'!$D$27:$AH$266,'Dec'!$D$27:$AH$266,'Jan (next year)'!$D$27:$AH$266),27+4*(IFERROR(MATCH(C779,Roster!$B$6:$B$65,0),MATCH(C779,Roster!$C$6:$C$65,0))-1)+MATCH(B779,{"AM","PM","NIGHT","WD"},0)-1-27+1,DAY(A779))&amp;"",""))</f>
        <v/>
      </c>
      <c r="G779" s="123">
        <f>IF(OR(A779="",C779="",B779="",E779=""),"",IFERROR(A779&amp;"|"&amp;(27+4*(IFERROR(MATCH(C779,Roster!$B$6:$B$65,0),MATCH(C779,Roster!$C$6:$C$65,0))-1)+MATCH(B779,{"AM","PM","NIGHT","WD"},0)-1),""))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$266,'Feb'!$D$27:$AH$266,'Mar'!$D$27:$AH$266,'Apr'!$D$27:$AH$266,'May'!$D$27:$AH$266,'Jun'!$D$27:$AH$266,'Jul'!$D$27:$AH$266,'Aug'!$D$27:$AH$266,'Sep'!$D$27:$AH$266,'Oct'!$D$27:$AH$266,'Nov'!$D$27:$AH$266,'Dec'!$D$27:$AH$266,'Jan (next year)'!$D$27:$AH$266),27+4*(IFERROR(MATCH(C780,Roster!$B$6:$B$65,0),MATCH(C780,Roster!$C$6:$C$65,0))-1)+MATCH(B780,{"AM","PM","NIGHT","WD"},0)-1-27+1,DAY(A780))&amp;"",""))</f>
        <v/>
      </c>
      <c r="G780" s="123">
        <f>IF(OR(A780="",C780="",B780="",E780=""),"",IFERROR(A780&amp;"|"&amp;(27+4*(IFERROR(MATCH(C780,Roster!$B$6:$B$65,0),MATCH(C780,Roster!$C$6:$C$65,0))-1)+MATCH(B780,{"AM","PM","NIGHT","WD"},0)-1),""))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$266,'Feb'!$D$27:$AH$266,'Mar'!$D$27:$AH$266,'Apr'!$D$27:$AH$266,'May'!$D$27:$AH$266,'Jun'!$D$27:$AH$266,'Jul'!$D$27:$AH$266,'Aug'!$D$27:$AH$266,'Sep'!$D$27:$AH$266,'Oct'!$D$27:$AH$266,'Nov'!$D$27:$AH$266,'Dec'!$D$27:$AH$266,'Jan (next year)'!$D$27:$AH$266),27+4*(IFERROR(MATCH(C781,Roster!$B$6:$B$65,0),MATCH(C781,Roster!$C$6:$C$65,0))-1)+MATCH(B781,{"AM","PM","NIGHT","WD"},0)-1-27+1,DAY(A781))&amp;"",""))</f>
        <v/>
      </c>
      <c r="G781" s="123">
        <f>IF(OR(A781="",C781="",B781="",E781=""),"",IFERROR(A781&amp;"|"&amp;(27+4*(IFERROR(MATCH(C781,Roster!$B$6:$B$65,0),MATCH(C781,Roster!$C$6:$C$65,0))-1)+MATCH(B781,{"AM","PM","NIGHT","WD"},0)-1),""))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$266,'Feb'!$D$27:$AH$266,'Mar'!$D$27:$AH$266,'Apr'!$D$27:$AH$266,'May'!$D$27:$AH$266,'Jun'!$D$27:$AH$266,'Jul'!$D$27:$AH$266,'Aug'!$D$27:$AH$266,'Sep'!$D$27:$AH$266,'Oct'!$D$27:$AH$266,'Nov'!$D$27:$AH$266,'Dec'!$D$27:$AH$266,'Jan (next year)'!$D$27:$AH$266),27+4*(IFERROR(MATCH(C782,Roster!$B$6:$B$65,0),MATCH(C782,Roster!$C$6:$C$65,0))-1)+MATCH(B782,{"AM","PM","NIGHT","WD"},0)-1-27+1,DAY(A782))&amp;"",""))</f>
        <v/>
      </c>
      <c r="G782" s="123">
        <f>IF(OR(A782="",C782="",B782="",E782=""),"",IFERROR(A782&amp;"|"&amp;(27+4*(IFERROR(MATCH(C782,Roster!$B$6:$B$65,0),MATCH(C782,Roster!$C$6:$C$65,0))-1)+MATCH(B782,{"AM","PM","NIGHT","WD"},0)-1),""))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$266,'Feb'!$D$27:$AH$266,'Mar'!$D$27:$AH$266,'Apr'!$D$27:$AH$266,'May'!$D$27:$AH$266,'Jun'!$D$27:$AH$266,'Jul'!$D$27:$AH$266,'Aug'!$D$27:$AH$266,'Sep'!$D$27:$AH$266,'Oct'!$D$27:$AH$266,'Nov'!$D$27:$AH$266,'Dec'!$D$27:$AH$266,'Jan (next year)'!$D$27:$AH$266),27+4*(IFERROR(MATCH(C783,Roster!$B$6:$B$65,0),MATCH(C783,Roster!$C$6:$C$65,0))-1)+MATCH(B783,{"AM","PM","NIGHT","WD"},0)-1-27+1,DAY(A783))&amp;"",""))</f>
        <v/>
      </c>
      <c r="G783" s="123">
        <f>IF(OR(A783="",C783="",B783="",E783=""),"",IFERROR(A783&amp;"|"&amp;(27+4*(IFERROR(MATCH(C783,Roster!$B$6:$B$65,0),MATCH(C783,Roster!$C$6:$C$65,0))-1)+MATCH(B783,{"AM","PM","NIGHT","WD"},0)-1),""))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$266,'Feb'!$D$27:$AH$266,'Mar'!$D$27:$AH$266,'Apr'!$D$27:$AH$266,'May'!$D$27:$AH$266,'Jun'!$D$27:$AH$266,'Jul'!$D$27:$AH$266,'Aug'!$D$27:$AH$266,'Sep'!$D$27:$AH$266,'Oct'!$D$27:$AH$266,'Nov'!$D$27:$AH$266,'Dec'!$D$27:$AH$266,'Jan (next year)'!$D$27:$AH$266),27+4*(IFERROR(MATCH(C784,Roster!$B$6:$B$65,0),MATCH(C784,Roster!$C$6:$C$65,0))-1)+MATCH(B784,{"AM","PM","NIGHT","WD"},0)-1-27+1,DAY(A784))&amp;"",""))</f>
        <v/>
      </c>
      <c r="G784" s="123">
        <f>IF(OR(A784="",C784="",B784="",E784=""),"",IFERROR(A784&amp;"|"&amp;(27+4*(IFERROR(MATCH(C784,Roster!$B$6:$B$65,0),MATCH(C784,Roster!$C$6:$C$65,0))-1)+MATCH(B784,{"AM","PM","NIGHT","WD"},0)-1),""))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$266,'Feb'!$D$27:$AH$266,'Mar'!$D$27:$AH$266,'Apr'!$D$27:$AH$266,'May'!$D$27:$AH$266,'Jun'!$D$27:$AH$266,'Jul'!$D$27:$AH$266,'Aug'!$D$27:$AH$266,'Sep'!$D$27:$AH$266,'Oct'!$D$27:$AH$266,'Nov'!$D$27:$AH$266,'Dec'!$D$27:$AH$266,'Jan (next year)'!$D$27:$AH$266),27+4*(IFERROR(MATCH(C785,Roster!$B$6:$B$65,0),MATCH(C785,Roster!$C$6:$C$65,0))-1)+MATCH(B785,{"AM","PM","NIGHT","WD"},0)-1-27+1,DAY(A785))&amp;"",""))</f>
        <v/>
      </c>
      <c r="G785" s="123">
        <f>IF(OR(A785="",C785="",B785="",E785=""),"",IFERROR(A785&amp;"|"&amp;(27+4*(IFERROR(MATCH(C785,Roster!$B$6:$B$65,0),MATCH(C785,Roster!$C$6:$C$65,0))-1)+MATCH(B785,{"AM","PM","NIGHT","WD"},0)-1),""))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$266,'Feb'!$D$27:$AH$266,'Mar'!$D$27:$AH$266,'Apr'!$D$27:$AH$266,'May'!$D$27:$AH$266,'Jun'!$D$27:$AH$266,'Jul'!$D$27:$AH$266,'Aug'!$D$27:$AH$266,'Sep'!$D$27:$AH$266,'Oct'!$D$27:$AH$266,'Nov'!$D$27:$AH$266,'Dec'!$D$27:$AH$266,'Jan (next year)'!$D$27:$AH$266),27+4*(IFERROR(MATCH(C786,Roster!$B$6:$B$65,0),MATCH(C786,Roster!$C$6:$C$65,0))-1)+MATCH(B786,{"AM","PM","NIGHT","WD"},0)-1-27+1,DAY(A786))&amp;"",""))</f>
        <v/>
      </c>
      <c r="G786" s="123">
        <f>IF(OR(A786="",C786="",B786="",E786=""),"",IFERROR(A786&amp;"|"&amp;(27+4*(IFERROR(MATCH(C786,Roster!$B$6:$B$65,0),MATCH(C786,Roster!$C$6:$C$65,0))-1)+MATCH(B786,{"AM","PM","NIGHT","WD"},0)-1),""))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$266,'Feb'!$D$27:$AH$266,'Mar'!$D$27:$AH$266,'Apr'!$D$27:$AH$266,'May'!$D$27:$AH$266,'Jun'!$D$27:$AH$266,'Jul'!$D$27:$AH$266,'Aug'!$D$27:$AH$266,'Sep'!$D$27:$AH$266,'Oct'!$D$27:$AH$266,'Nov'!$D$27:$AH$266,'Dec'!$D$27:$AH$266,'Jan (next year)'!$D$27:$AH$266),27+4*(IFERROR(MATCH(C787,Roster!$B$6:$B$65,0),MATCH(C787,Roster!$C$6:$C$65,0))-1)+MATCH(B787,{"AM","PM","NIGHT","WD"},0)-1-27+1,DAY(A787))&amp;"",""))</f>
        <v/>
      </c>
      <c r="G787" s="123">
        <f>IF(OR(A787="",C787="",B787="",E787=""),"",IFERROR(A787&amp;"|"&amp;(27+4*(IFERROR(MATCH(C787,Roster!$B$6:$B$65,0),MATCH(C787,Roster!$C$6:$C$65,0))-1)+MATCH(B787,{"AM","PM","NIGHT","WD"},0)-1),""))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$266,'Feb'!$D$27:$AH$266,'Mar'!$D$27:$AH$266,'Apr'!$D$27:$AH$266,'May'!$D$27:$AH$266,'Jun'!$D$27:$AH$266,'Jul'!$D$27:$AH$266,'Aug'!$D$27:$AH$266,'Sep'!$D$27:$AH$266,'Oct'!$D$27:$AH$266,'Nov'!$D$27:$AH$266,'Dec'!$D$27:$AH$266,'Jan (next year)'!$D$27:$AH$266),27+4*(IFERROR(MATCH(C788,Roster!$B$6:$B$65,0),MATCH(C788,Roster!$C$6:$C$65,0))-1)+MATCH(B788,{"AM","PM","NIGHT","WD"},0)-1-27+1,DAY(A788))&amp;"",""))</f>
        <v/>
      </c>
      <c r="G788" s="123">
        <f>IF(OR(A788="",C788="",B788="",E788=""),"",IFERROR(A788&amp;"|"&amp;(27+4*(IFERROR(MATCH(C788,Roster!$B$6:$B$65,0),MATCH(C788,Roster!$C$6:$C$65,0))-1)+MATCH(B788,{"AM","PM","NIGHT","WD"},0)-1),""))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$266,'Feb'!$D$27:$AH$266,'Mar'!$D$27:$AH$266,'Apr'!$D$27:$AH$266,'May'!$D$27:$AH$266,'Jun'!$D$27:$AH$266,'Jul'!$D$27:$AH$266,'Aug'!$D$27:$AH$266,'Sep'!$D$27:$AH$266,'Oct'!$D$27:$AH$266,'Nov'!$D$27:$AH$266,'Dec'!$D$27:$AH$266,'Jan (next year)'!$D$27:$AH$266),27+4*(IFERROR(MATCH(C789,Roster!$B$6:$B$65,0),MATCH(C789,Roster!$C$6:$C$65,0))-1)+MATCH(B789,{"AM","PM","NIGHT","WD"},0)-1-27+1,DAY(A789))&amp;"",""))</f>
        <v/>
      </c>
      <c r="G789" s="123">
        <f>IF(OR(A789="",C789="",B789="",E789=""),"",IFERROR(A789&amp;"|"&amp;(27+4*(IFERROR(MATCH(C789,Roster!$B$6:$B$65,0),MATCH(C789,Roster!$C$6:$C$65,0))-1)+MATCH(B789,{"AM","PM","NIGHT","WD"},0)-1),""))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$266,'Feb'!$D$27:$AH$266,'Mar'!$D$27:$AH$266,'Apr'!$D$27:$AH$266,'May'!$D$27:$AH$266,'Jun'!$D$27:$AH$266,'Jul'!$D$27:$AH$266,'Aug'!$D$27:$AH$266,'Sep'!$D$27:$AH$266,'Oct'!$D$27:$AH$266,'Nov'!$D$27:$AH$266,'Dec'!$D$27:$AH$266,'Jan (next year)'!$D$27:$AH$266),27+4*(IFERROR(MATCH(C790,Roster!$B$6:$B$65,0),MATCH(C790,Roster!$C$6:$C$65,0))-1)+MATCH(B790,{"AM","PM","NIGHT","WD"},0)-1-27+1,DAY(A790))&amp;"",""))</f>
        <v/>
      </c>
      <c r="G790" s="123">
        <f>IF(OR(A790="",C790="",B790="",E790=""),"",IFERROR(A790&amp;"|"&amp;(27+4*(IFERROR(MATCH(C790,Roster!$B$6:$B$65,0),MATCH(C790,Roster!$C$6:$C$65,0))-1)+MATCH(B790,{"AM","PM","NIGHT","WD"},0)-1),""))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$266,'Feb'!$D$27:$AH$266,'Mar'!$D$27:$AH$266,'Apr'!$D$27:$AH$266,'May'!$D$27:$AH$266,'Jun'!$D$27:$AH$266,'Jul'!$D$27:$AH$266,'Aug'!$D$27:$AH$266,'Sep'!$D$27:$AH$266,'Oct'!$D$27:$AH$266,'Nov'!$D$27:$AH$266,'Dec'!$D$27:$AH$266,'Jan (next year)'!$D$27:$AH$266),27+4*(IFERROR(MATCH(C791,Roster!$B$6:$B$65,0),MATCH(C791,Roster!$C$6:$C$65,0))-1)+MATCH(B791,{"AM","PM","NIGHT","WD"},0)-1-27+1,DAY(A791))&amp;"",""))</f>
        <v/>
      </c>
      <c r="G791" s="123">
        <f>IF(OR(A791="",C791="",B791="",E791=""),"",IFERROR(A791&amp;"|"&amp;(27+4*(IFERROR(MATCH(C791,Roster!$B$6:$B$65,0),MATCH(C791,Roster!$C$6:$C$65,0))-1)+MATCH(B791,{"AM","PM","NIGHT","WD"},0)-1),""))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$266,'Feb'!$D$27:$AH$266,'Mar'!$D$27:$AH$266,'Apr'!$D$27:$AH$266,'May'!$D$27:$AH$266,'Jun'!$D$27:$AH$266,'Jul'!$D$27:$AH$266,'Aug'!$D$27:$AH$266,'Sep'!$D$27:$AH$266,'Oct'!$D$27:$AH$266,'Nov'!$D$27:$AH$266,'Dec'!$D$27:$AH$266,'Jan (next year)'!$D$27:$AH$266),27+4*(IFERROR(MATCH(C792,Roster!$B$6:$B$65,0),MATCH(C792,Roster!$C$6:$C$65,0))-1)+MATCH(B792,{"AM","PM","NIGHT","WD"},0)-1-27+1,DAY(A792))&amp;"",""))</f>
        <v/>
      </c>
      <c r="G792" s="123">
        <f>IF(OR(A792="",C792="",B792="",E792=""),"",IFERROR(A792&amp;"|"&amp;(27+4*(IFERROR(MATCH(C792,Roster!$B$6:$B$65,0),MATCH(C792,Roster!$C$6:$C$65,0))-1)+MATCH(B792,{"AM","PM","NIGHT","WD"},0)-1),""))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$266,'Feb'!$D$27:$AH$266,'Mar'!$D$27:$AH$266,'Apr'!$D$27:$AH$266,'May'!$D$27:$AH$266,'Jun'!$D$27:$AH$266,'Jul'!$D$27:$AH$266,'Aug'!$D$27:$AH$266,'Sep'!$D$27:$AH$266,'Oct'!$D$27:$AH$266,'Nov'!$D$27:$AH$266,'Dec'!$D$27:$AH$266,'Jan (next year)'!$D$27:$AH$266),27+4*(IFERROR(MATCH(C793,Roster!$B$6:$B$65,0),MATCH(C793,Roster!$C$6:$C$65,0))-1)+MATCH(B793,{"AM","PM","NIGHT","WD"},0)-1-27+1,DAY(A793))&amp;"",""))</f>
        <v/>
      </c>
      <c r="G793" s="123">
        <f>IF(OR(A793="",C793="",B793="",E793=""),"",IFERROR(A793&amp;"|"&amp;(27+4*(IFERROR(MATCH(C793,Roster!$B$6:$B$65,0),MATCH(C793,Roster!$C$6:$C$65,0))-1)+MATCH(B793,{"AM","PM","NIGHT","WD"},0)-1),""))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$266,'Feb'!$D$27:$AH$266,'Mar'!$D$27:$AH$266,'Apr'!$D$27:$AH$266,'May'!$D$27:$AH$266,'Jun'!$D$27:$AH$266,'Jul'!$D$27:$AH$266,'Aug'!$D$27:$AH$266,'Sep'!$D$27:$AH$266,'Oct'!$D$27:$AH$266,'Nov'!$D$27:$AH$266,'Dec'!$D$27:$AH$266,'Jan (next year)'!$D$27:$AH$266),27+4*(IFERROR(MATCH(C794,Roster!$B$6:$B$65,0),MATCH(C794,Roster!$C$6:$C$65,0))-1)+MATCH(B794,{"AM","PM","NIGHT","WD"},0)-1-27+1,DAY(A794))&amp;"",""))</f>
        <v/>
      </c>
      <c r="G794" s="123">
        <f>IF(OR(A794="",C794="",B794="",E794=""),"",IFERROR(A794&amp;"|"&amp;(27+4*(IFERROR(MATCH(C794,Roster!$B$6:$B$65,0),MATCH(C794,Roster!$C$6:$C$65,0))-1)+MATCH(B794,{"AM","PM","NIGHT","WD"},0)-1),""))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$266,'Feb'!$D$27:$AH$266,'Mar'!$D$27:$AH$266,'Apr'!$D$27:$AH$266,'May'!$D$27:$AH$266,'Jun'!$D$27:$AH$266,'Jul'!$D$27:$AH$266,'Aug'!$D$27:$AH$266,'Sep'!$D$27:$AH$266,'Oct'!$D$27:$AH$266,'Nov'!$D$27:$AH$266,'Dec'!$D$27:$AH$266,'Jan (next year)'!$D$27:$AH$266),27+4*(IFERROR(MATCH(C795,Roster!$B$6:$B$65,0),MATCH(C795,Roster!$C$6:$C$65,0))-1)+MATCH(B795,{"AM","PM","NIGHT","WD"},0)-1-27+1,DAY(A795))&amp;"",""))</f>
        <v/>
      </c>
      <c r="G795" s="123">
        <f>IF(OR(A795="",C795="",B795="",E795=""),"",IFERROR(A795&amp;"|"&amp;(27+4*(IFERROR(MATCH(C795,Roster!$B$6:$B$65,0),MATCH(C795,Roster!$C$6:$C$65,0))-1)+MATCH(B795,{"AM","PM","NIGHT","WD"},0)-1),""))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$266,'Feb'!$D$27:$AH$266,'Mar'!$D$27:$AH$266,'Apr'!$D$27:$AH$266,'May'!$D$27:$AH$266,'Jun'!$D$27:$AH$266,'Jul'!$D$27:$AH$266,'Aug'!$D$27:$AH$266,'Sep'!$D$27:$AH$266,'Oct'!$D$27:$AH$266,'Nov'!$D$27:$AH$266,'Dec'!$D$27:$AH$266,'Jan (next year)'!$D$27:$AH$266),27+4*(IFERROR(MATCH(C796,Roster!$B$6:$B$65,0),MATCH(C796,Roster!$C$6:$C$65,0))-1)+MATCH(B796,{"AM","PM","NIGHT","WD"},0)-1-27+1,DAY(A796))&amp;"",""))</f>
        <v/>
      </c>
      <c r="G796" s="123">
        <f>IF(OR(A796="",C796="",B796="",E796=""),"",IFERROR(A796&amp;"|"&amp;(27+4*(IFERROR(MATCH(C796,Roster!$B$6:$B$65,0),MATCH(C796,Roster!$C$6:$C$65,0))-1)+MATCH(B796,{"AM","PM","NIGHT","WD"},0)-1),""))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$266,'Feb'!$D$27:$AH$266,'Mar'!$D$27:$AH$266,'Apr'!$D$27:$AH$266,'May'!$D$27:$AH$266,'Jun'!$D$27:$AH$266,'Jul'!$D$27:$AH$266,'Aug'!$D$27:$AH$266,'Sep'!$D$27:$AH$266,'Oct'!$D$27:$AH$266,'Nov'!$D$27:$AH$266,'Dec'!$D$27:$AH$266,'Jan (next year)'!$D$27:$AH$266),27+4*(IFERROR(MATCH(C797,Roster!$B$6:$B$65,0),MATCH(C797,Roster!$C$6:$C$65,0))-1)+MATCH(B797,{"AM","PM","NIGHT","WD"},0)-1-27+1,DAY(A797))&amp;"",""))</f>
        <v/>
      </c>
      <c r="G797" s="123">
        <f>IF(OR(A797="",C797="",B797="",E797=""),"",IFERROR(A797&amp;"|"&amp;(27+4*(IFERROR(MATCH(C797,Roster!$B$6:$B$65,0),MATCH(C797,Roster!$C$6:$C$65,0))-1)+MATCH(B797,{"AM","PM","NIGHT","WD"},0)-1),""))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$266,'Feb'!$D$27:$AH$266,'Mar'!$D$27:$AH$266,'Apr'!$D$27:$AH$266,'May'!$D$27:$AH$266,'Jun'!$D$27:$AH$266,'Jul'!$D$27:$AH$266,'Aug'!$D$27:$AH$266,'Sep'!$D$27:$AH$266,'Oct'!$D$27:$AH$266,'Nov'!$D$27:$AH$266,'Dec'!$D$27:$AH$266,'Jan (next year)'!$D$27:$AH$266),27+4*(IFERROR(MATCH(C798,Roster!$B$6:$B$65,0),MATCH(C798,Roster!$C$6:$C$65,0))-1)+MATCH(B798,{"AM","PM","NIGHT","WD"},0)-1-27+1,DAY(A798))&amp;"",""))</f>
        <v/>
      </c>
      <c r="G798" s="123">
        <f>IF(OR(A798="",C798="",B798="",E798=""),"",IFERROR(A798&amp;"|"&amp;(27+4*(IFERROR(MATCH(C798,Roster!$B$6:$B$65,0),MATCH(C798,Roster!$C$6:$C$65,0))-1)+MATCH(B798,{"AM","PM","NIGHT","WD"},0)-1),""))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$266,'Feb'!$D$27:$AH$266,'Mar'!$D$27:$AH$266,'Apr'!$D$27:$AH$266,'May'!$D$27:$AH$266,'Jun'!$D$27:$AH$266,'Jul'!$D$27:$AH$266,'Aug'!$D$27:$AH$266,'Sep'!$D$27:$AH$266,'Oct'!$D$27:$AH$266,'Nov'!$D$27:$AH$266,'Dec'!$D$27:$AH$266,'Jan (next year)'!$D$27:$AH$266),27+4*(IFERROR(MATCH(C799,Roster!$B$6:$B$65,0),MATCH(C799,Roster!$C$6:$C$65,0))-1)+MATCH(B799,{"AM","PM","NIGHT","WD"},0)-1-27+1,DAY(A799))&amp;"",""))</f>
        <v/>
      </c>
      <c r="G799" s="123">
        <f>IF(OR(A799="",C799="",B799="",E799=""),"",IFERROR(A799&amp;"|"&amp;(27+4*(IFERROR(MATCH(C799,Roster!$B$6:$B$65,0),MATCH(C799,Roster!$C$6:$C$65,0))-1)+MATCH(B799,{"AM","PM","NIGHT","WD"},0)-1),""))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$266,'Feb'!$D$27:$AH$266,'Mar'!$D$27:$AH$266,'Apr'!$D$27:$AH$266,'May'!$D$27:$AH$266,'Jun'!$D$27:$AH$266,'Jul'!$D$27:$AH$266,'Aug'!$D$27:$AH$266,'Sep'!$D$27:$AH$266,'Oct'!$D$27:$AH$266,'Nov'!$D$27:$AH$266,'Dec'!$D$27:$AH$266,'Jan (next year)'!$D$27:$AH$266),27+4*(IFERROR(MATCH(C800,Roster!$B$6:$B$65,0),MATCH(C800,Roster!$C$6:$C$65,0))-1)+MATCH(B800,{"AM","PM","NIGHT","WD"},0)-1-27+1,DAY(A800))&amp;"",""))</f>
        <v/>
      </c>
      <c r="G800" s="123">
        <f>IF(OR(A800="",C800="",B800="",E800=""),"",IFERROR(A800&amp;"|"&amp;(27+4*(IFERROR(MATCH(C800,Roster!$B$6:$B$65,0),MATCH(C800,Roster!$C$6:$C$65,0))-1)+MATCH(B800,{"AM","PM","NIGHT","WD"},0)-1),""))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$266,'Feb'!$D$27:$AH$266,'Mar'!$D$27:$AH$266,'Apr'!$D$27:$AH$266,'May'!$D$27:$AH$266,'Jun'!$D$27:$AH$266,'Jul'!$D$27:$AH$266,'Aug'!$D$27:$AH$266,'Sep'!$D$27:$AH$266,'Oct'!$D$27:$AH$266,'Nov'!$D$27:$AH$266,'Dec'!$D$27:$AH$266,'Jan (next year)'!$D$27:$AH$266),27+4*(IFERROR(MATCH(C801,Roster!$B$6:$B$65,0),MATCH(C801,Roster!$C$6:$C$65,0))-1)+MATCH(B801,{"AM","PM","NIGHT","WD"},0)-1-27+1,DAY(A801))&amp;"",""))</f>
        <v/>
      </c>
      <c r="G801" s="123">
        <f>IF(OR(A801="",C801="",B801="",E801=""),"",IFERROR(A801&amp;"|"&amp;(27+4*(IFERROR(MATCH(C801,Roster!$B$6:$B$65,0),MATCH(C801,Roster!$C$6:$C$65,0))-1)+MATCH(B801,{"AM","PM","NIGHT","WD"},0)-1),""))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$266,'Feb'!$D$27:$AH$266,'Mar'!$D$27:$AH$266,'Apr'!$D$27:$AH$266,'May'!$D$27:$AH$266,'Jun'!$D$27:$AH$266,'Jul'!$D$27:$AH$266,'Aug'!$D$27:$AH$266,'Sep'!$D$27:$AH$266,'Oct'!$D$27:$AH$266,'Nov'!$D$27:$AH$266,'Dec'!$D$27:$AH$266,'Jan (next year)'!$D$27:$AH$266),27+4*(IFERROR(MATCH(C802,Roster!$B$6:$B$65,0),MATCH(C802,Roster!$C$6:$C$65,0))-1)+MATCH(B802,{"AM","PM","NIGHT","WD"},0)-1-27+1,DAY(A802))&amp;"",""))</f>
        <v/>
      </c>
      <c r="G802" s="123">
        <f>IF(OR(A802="",C802="",B802="",E802=""),"",IFERROR(A802&amp;"|"&amp;(27+4*(IFERROR(MATCH(C802,Roster!$B$6:$B$65,0),MATCH(C802,Roster!$C$6:$C$65,0))-1)+MATCH(B802,{"AM","PM","NIGHT","WD"},0)-1),""))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$266,'Feb'!$D$27:$AH$266,'Mar'!$D$27:$AH$266,'Apr'!$D$27:$AH$266,'May'!$D$27:$AH$266,'Jun'!$D$27:$AH$266,'Jul'!$D$27:$AH$266,'Aug'!$D$27:$AH$266,'Sep'!$D$27:$AH$266,'Oct'!$D$27:$AH$266,'Nov'!$D$27:$AH$266,'Dec'!$D$27:$AH$266,'Jan (next year)'!$D$27:$AH$266),27+4*(IFERROR(MATCH(C803,Roster!$B$6:$B$65,0),MATCH(C803,Roster!$C$6:$C$65,0))-1)+MATCH(B803,{"AM","PM","NIGHT","WD"},0)-1-27+1,DAY(A803))&amp;"",""))</f>
        <v/>
      </c>
      <c r="G803" s="123">
        <f>IF(OR(A803="",C803="",B803="",E803=""),"",IFERROR(A803&amp;"|"&amp;(27+4*(IFERROR(MATCH(C803,Roster!$B$6:$B$65,0),MATCH(C803,Roster!$C$6:$C$65,0))-1)+MATCH(B803,{"AM","PM","NIGHT","WD"},0)-1),""))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$266,'Feb'!$D$27:$AH$266,'Mar'!$D$27:$AH$266,'Apr'!$D$27:$AH$266,'May'!$D$27:$AH$266,'Jun'!$D$27:$AH$266,'Jul'!$D$27:$AH$266,'Aug'!$D$27:$AH$266,'Sep'!$D$27:$AH$266,'Oct'!$D$27:$AH$266,'Nov'!$D$27:$AH$266,'Dec'!$D$27:$AH$266,'Jan (next year)'!$D$27:$AH$266),27+4*(IFERROR(MATCH(C804,Roster!$B$6:$B$65,0),MATCH(C804,Roster!$C$6:$C$65,0))-1)+MATCH(B804,{"AM","PM","NIGHT","WD"},0)-1-27+1,DAY(A804))&amp;"",""))</f>
        <v/>
      </c>
      <c r="G804" s="123">
        <f>IF(OR(A804="",C804="",B804="",E804=""),"",IFERROR(A804&amp;"|"&amp;(27+4*(IFERROR(MATCH(C804,Roster!$B$6:$B$65,0),MATCH(C804,Roster!$C$6:$C$65,0))-1)+MATCH(B804,{"AM","PM","NIGHT","WD"},0)-1),""))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$266,'Feb'!$D$27:$AH$266,'Mar'!$D$27:$AH$266,'Apr'!$D$27:$AH$266,'May'!$D$27:$AH$266,'Jun'!$D$27:$AH$266,'Jul'!$D$27:$AH$266,'Aug'!$D$27:$AH$266,'Sep'!$D$27:$AH$266,'Oct'!$D$27:$AH$266,'Nov'!$D$27:$AH$266,'Dec'!$D$27:$AH$266,'Jan (next year)'!$D$27:$AH$266),27+4*(IFERROR(MATCH(C805,Roster!$B$6:$B$65,0),MATCH(C805,Roster!$C$6:$C$65,0))-1)+MATCH(B805,{"AM","PM","NIGHT","WD"},0)-1-27+1,DAY(A805))&amp;"",""))</f>
        <v/>
      </c>
      <c r="G805" s="123">
        <f>IF(OR(A805="",C805="",B805="",E805=""),"",IFERROR(A805&amp;"|"&amp;(27+4*(IFERROR(MATCH(C805,Roster!$B$6:$B$65,0),MATCH(C805,Roster!$C$6:$C$65,0))-1)+MATCH(B805,{"AM","PM","NIGHT","WD"},0)-1),""))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$266,'Feb'!$D$27:$AH$266,'Mar'!$D$27:$AH$266,'Apr'!$D$27:$AH$266,'May'!$D$27:$AH$266,'Jun'!$D$27:$AH$266,'Jul'!$D$27:$AH$266,'Aug'!$D$27:$AH$266,'Sep'!$D$27:$AH$266,'Oct'!$D$27:$AH$266,'Nov'!$D$27:$AH$266,'Dec'!$D$27:$AH$266,'Jan (next year)'!$D$27:$AH$266),27+4*(IFERROR(MATCH(C806,Roster!$B$6:$B$65,0),MATCH(C806,Roster!$C$6:$C$65,0))-1)+MATCH(B806,{"AM","PM","NIGHT","WD"},0)-1-27+1,DAY(A806))&amp;"",""))</f>
        <v/>
      </c>
      <c r="G806" s="123">
        <f>IF(OR(A806="",C806="",B806="",E806=""),"",IFERROR(A806&amp;"|"&amp;(27+4*(IFERROR(MATCH(C806,Roster!$B$6:$B$65,0),MATCH(C806,Roster!$C$6:$C$65,0))-1)+MATCH(B806,{"AM","PM","NIGHT","WD"},0)-1),""))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$266,'Feb'!$D$27:$AH$266,'Mar'!$D$27:$AH$266,'Apr'!$D$27:$AH$266,'May'!$D$27:$AH$266,'Jun'!$D$27:$AH$266,'Jul'!$D$27:$AH$266,'Aug'!$D$27:$AH$266,'Sep'!$D$27:$AH$266,'Oct'!$D$27:$AH$266,'Nov'!$D$27:$AH$266,'Dec'!$D$27:$AH$266,'Jan (next year)'!$D$27:$AH$266),27+4*(IFERROR(MATCH(C807,Roster!$B$6:$B$65,0),MATCH(C807,Roster!$C$6:$C$65,0))-1)+MATCH(B807,{"AM","PM","NIGHT","WD"},0)-1-27+1,DAY(A807))&amp;"",""))</f>
        <v/>
      </c>
      <c r="G807" s="123">
        <f>IF(OR(A807="",C807="",B807="",E807=""),"",IFERROR(A807&amp;"|"&amp;(27+4*(IFERROR(MATCH(C807,Roster!$B$6:$B$65,0),MATCH(C807,Roster!$C$6:$C$65,0))-1)+MATCH(B807,{"AM","PM","NIGHT","WD"},0)-1),""))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$266,'Feb'!$D$27:$AH$266,'Mar'!$D$27:$AH$266,'Apr'!$D$27:$AH$266,'May'!$D$27:$AH$266,'Jun'!$D$27:$AH$266,'Jul'!$D$27:$AH$266,'Aug'!$D$27:$AH$266,'Sep'!$D$27:$AH$266,'Oct'!$D$27:$AH$266,'Nov'!$D$27:$AH$266,'Dec'!$D$27:$AH$266,'Jan (next year)'!$D$27:$AH$266),27+4*(IFERROR(MATCH(C808,Roster!$B$6:$B$65,0),MATCH(C808,Roster!$C$6:$C$65,0))-1)+MATCH(B808,{"AM","PM","NIGHT","WD"},0)-1-27+1,DAY(A808))&amp;"",""))</f>
        <v/>
      </c>
      <c r="G808" s="123">
        <f>IF(OR(A808="",C808="",B808="",E808=""),"",IFERROR(A808&amp;"|"&amp;(27+4*(IFERROR(MATCH(C808,Roster!$B$6:$B$65,0),MATCH(C808,Roster!$C$6:$C$65,0))-1)+MATCH(B808,{"AM","PM","NIGHT","WD"},0)-1),""))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$266,'Feb'!$D$27:$AH$266,'Mar'!$D$27:$AH$266,'Apr'!$D$27:$AH$266,'May'!$D$27:$AH$266,'Jun'!$D$27:$AH$266,'Jul'!$D$27:$AH$266,'Aug'!$D$27:$AH$266,'Sep'!$D$27:$AH$266,'Oct'!$D$27:$AH$266,'Nov'!$D$27:$AH$266,'Dec'!$D$27:$AH$266,'Jan (next year)'!$D$27:$AH$266),27+4*(IFERROR(MATCH(C809,Roster!$B$6:$B$65,0),MATCH(C809,Roster!$C$6:$C$65,0))-1)+MATCH(B809,{"AM","PM","NIGHT","WD"},0)-1-27+1,DAY(A809))&amp;"",""))</f>
        <v/>
      </c>
      <c r="G809" s="123">
        <f>IF(OR(A809="",C809="",B809="",E809=""),"",IFERROR(A809&amp;"|"&amp;(27+4*(IFERROR(MATCH(C809,Roster!$B$6:$B$65,0),MATCH(C809,Roster!$C$6:$C$65,0))-1)+MATCH(B809,{"AM","PM","NIGHT","WD"},0)-1),""))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$266,'Feb'!$D$27:$AH$266,'Mar'!$D$27:$AH$266,'Apr'!$D$27:$AH$266,'May'!$D$27:$AH$266,'Jun'!$D$27:$AH$266,'Jul'!$D$27:$AH$266,'Aug'!$D$27:$AH$266,'Sep'!$D$27:$AH$266,'Oct'!$D$27:$AH$266,'Nov'!$D$27:$AH$266,'Dec'!$D$27:$AH$266,'Jan (next year)'!$D$27:$AH$266),27+4*(IFERROR(MATCH(C810,Roster!$B$6:$B$65,0),MATCH(C810,Roster!$C$6:$C$65,0))-1)+MATCH(B810,{"AM","PM","NIGHT","WD"},0)-1-27+1,DAY(A810))&amp;"",""))</f>
        <v/>
      </c>
      <c r="G810" s="123">
        <f>IF(OR(A810="",C810="",B810="",E810=""),"",IFERROR(A810&amp;"|"&amp;(27+4*(IFERROR(MATCH(C810,Roster!$B$6:$B$65,0),MATCH(C810,Roster!$C$6:$C$65,0))-1)+MATCH(B810,{"AM","PM","NIGHT","WD"},0)-1),""))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$266,'Feb'!$D$27:$AH$266,'Mar'!$D$27:$AH$266,'Apr'!$D$27:$AH$266,'May'!$D$27:$AH$266,'Jun'!$D$27:$AH$266,'Jul'!$D$27:$AH$266,'Aug'!$D$27:$AH$266,'Sep'!$D$27:$AH$266,'Oct'!$D$27:$AH$266,'Nov'!$D$27:$AH$266,'Dec'!$D$27:$AH$266,'Jan (next year)'!$D$27:$AH$266),27+4*(IFERROR(MATCH(C811,Roster!$B$6:$B$65,0),MATCH(C811,Roster!$C$6:$C$65,0))-1)+MATCH(B811,{"AM","PM","NIGHT","WD"},0)-1-27+1,DAY(A811))&amp;"",""))</f>
        <v/>
      </c>
      <c r="G811" s="123">
        <f>IF(OR(A811="",C811="",B811="",E811=""),"",IFERROR(A811&amp;"|"&amp;(27+4*(IFERROR(MATCH(C811,Roster!$B$6:$B$65,0),MATCH(C811,Roster!$C$6:$C$65,0))-1)+MATCH(B811,{"AM","PM","NIGHT","WD"},0)-1),""))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$266,'Feb'!$D$27:$AH$266,'Mar'!$D$27:$AH$266,'Apr'!$D$27:$AH$266,'May'!$D$27:$AH$266,'Jun'!$D$27:$AH$266,'Jul'!$D$27:$AH$266,'Aug'!$D$27:$AH$266,'Sep'!$D$27:$AH$266,'Oct'!$D$27:$AH$266,'Nov'!$D$27:$AH$266,'Dec'!$D$27:$AH$266,'Jan (next year)'!$D$27:$AH$266),27+4*(IFERROR(MATCH(C812,Roster!$B$6:$B$65,0),MATCH(C812,Roster!$C$6:$C$65,0))-1)+MATCH(B812,{"AM","PM","NIGHT","WD"},0)-1-27+1,DAY(A812))&amp;"",""))</f>
        <v/>
      </c>
      <c r="G812" s="123">
        <f>IF(OR(A812="",C812="",B812="",E812=""),"",IFERROR(A812&amp;"|"&amp;(27+4*(IFERROR(MATCH(C812,Roster!$B$6:$B$65,0),MATCH(C812,Roster!$C$6:$C$65,0))-1)+MATCH(B812,{"AM","PM","NIGHT","WD"},0)-1),""))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$266,'Feb'!$D$27:$AH$266,'Mar'!$D$27:$AH$266,'Apr'!$D$27:$AH$266,'May'!$D$27:$AH$266,'Jun'!$D$27:$AH$266,'Jul'!$D$27:$AH$266,'Aug'!$D$27:$AH$266,'Sep'!$D$27:$AH$266,'Oct'!$D$27:$AH$266,'Nov'!$D$27:$AH$266,'Dec'!$D$27:$AH$266,'Jan (next year)'!$D$27:$AH$266),27+4*(IFERROR(MATCH(C813,Roster!$B$6:$B$65,0),MATCH(C813,Roster!$C$6:$C$65,0))-1)+MATCH(B813,{"AM","PM","NIGHT","WD"},0)-1-27+1,DAY(A813))&amp;"",""))</f>
        <v/>
      </c>
      <c r="G813" s="123">
        <f>IF(OR(A813="",C813="",B813="",E813=""),"",IFERROR(A813&amp;"|"&amp;(27+4*(IFERROR(MATCH(C813,Roster!$B$6:$B$65,0),MATCH(C813,Roster!$C$6:$C$65,0))-1)+MATCH(B813,{"AM","PM","NIGHT","WD"},0)-1),""))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$266,'Feb'!$D$27:$AH$266,'Mar'!$D$27:$AH$266,'Apr'!$D$27:$AH$266,'May'!$D$27:$AH$266,'Jun'!$D$27:$AH$266,'Jul'!$D$27:$AH$266,'Aug'!$D$27:$AH$266,'Sep'!$D$27:$AH$266,'Oct'!$D$27:$AH$266,'Nov'!$D$27:$AH$266,'Dec'!$D$27:$AH$266,'Jan (next year)'!$D$27:$AH$266),27+4*(IFERROR(MATCH(C814,Roster!$B$6:$B$65,0),MATCH(C814,Roster!$C$6:$C$65,0))-1)+MATCH(B814,{"AM","PM","NIGHT","WD"},0)-1-27+1,DAY(A814))&amp;"",""))</f>
        <v/>
      </c>
      <c r="G814" s="123">
        <f>IF(OR(A814="",C814="",B814="",E814=""),"",IFERROR(A814&amp;"|"&amp;(27+4*(IFERROR(MATCH(C814,Roster!$B$6:$B$65,0),MATCH(C814,Roster!$C$6:$C$65,0))-1)+MATCH(B814,{"AM","PM","NIGHT","WD"},0)-1),""))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$266,'Feb'!$D$27:$AH$266,'Mar'!$D$27:$AH$266,'Apr'!$D$27:$AH$266,'May'!$D$27:$AH$266,'Jun'!$D$27:$AH$266,'Jul'!$D$27:$AH$266,'Aug'!$D$27:$AH$266,'Sep'!$D$27:$AH$266,'Oct'!$D$27:$AH$266,'Nov'!$D$27:$AH$266,'Dec'!$D$27:$AH$266,'Jan (next year)'!$D$27:$AH$266),27+4*(IFERROR(MATCH(C815,Roster!$B$6:$B$65,0),MATCH(C815,Roster!$C$6:$C$65,0))-1)+MATCH(B815,{"AM","PM","NIGHT","WD"},0)-1-27+1,DAY(A815))&amp;"",""))</f>
        <v/>
      </c>
      <c r="G815" s="123">
        <f>IF(OR(A815="",C815="",B815="",E815=""),"",IFERROR(A815&amp;"|"&amp;(27+4*(IFERROR(MATCH(C815,Roster!$B$6:$B$65,0),MATCH(C815,Roster!$C$6:$C$65,0))-1)+MATCH(B815,{"AM","PM","NIGHT","WD"},0)-1),""))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$266,'Feb'!$D$27:$AH$266,'Mar'!$D$27:$AH$266,'Apr'!$D$27:$AH$266,'May'!$D$27:$AH$266,'Jun'!$D$27:$AH$266,'Jul'!$D$27:$AH$266,'Aug'!$D$27:$AH$266,'Sep'!$D$27:$AH$266,'Oct'!$D$27:$AH$266,'Nov'!$D$27:$AH$266,'Dec'!$D$27:$AH$266,'Jan (next year)'!$D$27:$AH$266),27+4*(IFERROR(MATCH(C816,Roster!$B$6:$B$65,0),MATCH(C816,Roster!$C$6:$C$65,0))-1)+MATCH(B816,{"AM","PM","NIGHT","WD"},0)-1-27+1,DAY(A816))&amp;"",""))</f>
        <v/>
      </c>
      <c r="G816" s="123">
        <f>IF(OR(A816="",C816="",B816="",E816=""),"",IFERROR(A816&amp;"|"&amp;(27+4*(IFERROR(MATCH(C816,Roster!$B$6:$B$65,0),MATCH(C816,Roster!$C$6:$C$65,0))-1)+MATCH(B816,{"AM","PM","NIGHT","WD"},0)-1),""))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$266,'Feb'!$D$27:$AH$266,'Mar'!$D$27:$AH$266,'Apr'!$D$27:$AH$266,'May'!$D$27:$AH$266,'Jun'!$D$27:$AH$266,'Jul'!$D$27:$AH$266,'Aug'!$D$27:$AH$266,'Sep'!$D$27:$AH$266,'Oct'!$D$27:$AH$266,'Nov'!$D$27:$AH$266,'Dec'!$D$27:$AH$266,'Jan (next year)'!$D$27:$AH$266),27+4*(IFERROR(MATCH(C817,Roster!$B$6:$B$65,0),MATCH(C817,Roster!$C$6:$C$65,0))-1)+MATCH(B817,{"AM","PM","NIGHT","WD"},0)-1-27+1,DAY(A817))&amp;"",""))</f>
        <v/>
      </c>
      <c r="G817" s="123">
        <f>IF(OR(A817="",C817="",B817="",E817=""),"",IFERROR(A817&amp;"|"&amp;(27+4*(IFERROR(MATCH(C817,Roster!$B$6:$B$65,0),MATCH(C817,Roster!$C$6:$C$65,0))-1)+MATCH(B817,{"AM","PM","NIGHT","WD"},0)-1),""))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$266,'Feb'!$D$27:$AH$266,'Mar'!$D$27:$AH$266,'Apr'!$D$27:$AH$266,'May'!$D$27:$AH$266,'Jun'!$D$27:$AH$266,'Jul'!$D$27:$AH$266,'Aug'!$D$27:$AH$266,'Sep'!$D$27:$AH$266,'Oct'!$D$27:$AH$266,'Nov'!$D$27:$AH$266,'Dec'!$D$27:$AH$266,'Jan (next year)'!$D$27:$AH$266),27+4*(IFERROR(MATCH(C818,Roster!$B$6:$B$65,0),MATCH(C818,Roster!$C$6:$C$65,0))-1)+MATCH(B818,{"AM","PM","NIGHT","WD"},0)-1-27+1,DAY(A818))&amp;"",""))</f>
        <v/>
      </c>
      <c r="G818" s="123">
        <f>IF(OR(A818="",C818="",B818="",E818=""),"",IFERROR(A818&amp;"|"&amp;(27+4*(IFERROR(MATCH(C818,Roster!$B$6:$B$65,0),MATCH(C818,Roster!$C$6:$C$65,0))-1)+MATCH(B818,{"AM","PM","NIGHT","WD"},0)-1),""))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$266,'Feb'!$D$27:$AH$266,'Mar'!$D$27:$AH$266,'Apr'!$D$27:$AH$266,'May'!$D$27:$AH$266,'Jun'!$D$27:$AH$266,'Jul'!$D$27:$AH$266,'Aug'!$D$27:$AH$266,'Sep'!$D$27:$AH$266,'Oct'!$D$27:$AH$266,'Nov'!$D$27:$AH$266,'Dec'!$D$27:$AH$266,'Jan (next year)'!$D$27:$AH$266),27+4*(IFERROR(MATCH(C819,Roster!$B$6:$B$65,0),MATCH(C819,Roster!$C$6:$C$65,0))-1)+MATCH(B819,{"AM","PM","NIGHT","WD"},0)-1-27+1,DAY(A819))&amp;"",""))</f>
        <v/>
      </c>
      <c r="G819" s="123">
        <f>IF(OR(A819="",C819="",B819="",E819=""),"",IFERROR(A819&amp;"|"&amp;(27+4*(IFERROR(MATCH(C819,Roster!$B$6:$B$65,0),MATCH(C819,Roster!$C$6:$C$65,0))-1)+MATCH(B819,{"AM","PM","NIGHT","WD"},0)-1),""))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$266,'Feb'!$D$27:$AH$266,'Mar'!$D$27:$AH$266,'Apr'!$D$27:$AH$266,'May'!$D$27:$AH$266,'Jun'!$D$27:$AH$266,'Jul'!$D$27:$AH$266,'Aug'!$D$27:$AH$266,'Sep'!$D$27:$AH$266,'Oct'!$D$27:$AH$266,'Nov'!$D$27:$AH$266,'Dec'!$D$27:$AH$266,'Jan (next year)'!$D$27:$AH$266),27+4*(IFERROR(MATCH(C820,Roster!$B$6:$B$65,0),MATCH(C820,Roster!$C$6:$C$65,0))-1)+MATCH(B820,{"AM","PM","NIGHT","WD"},0)-1-27+1,DAY(A820))&amp;"",""))</f>
        <v/>
      </c>
      <c r="G820" s="123">
        <f>IF(OR(A820="",C820="",B820="",E820=""),"",IFERROR(A820&amp;"|"&amp;(27+4*(IFERROR(MATCH(C820,Roster!$B$6:$B$65,0),MATCH(C820,Roster!$C$6:$C$65,0))-1)+MATCH(B820,{"AM","PM","NIGHT","WD"},0)-1),""))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$266,'Feb'!$D$27:$AH$266,'Mar'!$D$27:$AH$266,'Apr'!$D$27:$AH$266,'May'!$D$27:$AH$266,'Jun'!$D$27:$AH$266,'Jul'!$D$27:$AH$266,'Aug'!$D$27:$AH$266,'Sep'!$D$27:$AH$266,'Oct'!$D$27:$AH$266,'Nov'!$D$27:$AH$266,'Dec'!$D$27:$AH$266,'Jan (next year)'!$D$27:$AH$266),27+4*(IFERROR(MATCH(C821,Roster!$B$6:$B$65,0),MATCH(C821,Roster!$C$6:$C$65,0))-1)+MATCH(B821,{"AM","PM","NIGHT","WD"},0)-1-27+1,DAY(A821))&amp;"",""))</f>
        <v/>
      </c>
      <c r="G821" s="123">
        <f>IF(OR(A821="",C821="",B821="",E821=""),"",IFERROR(A821&amp;"|"&amp;(27+4*(IFERROR(MATCH(C821,Roster!$B$6:$B$65,0),MATCH(C821,Roster!$C$6:$C$65,0))-1)+MATCH(B821,{"AM","PM","NIGHT","WD"},0)-1),""))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$266,'Feb'!$D$27:$AH$266,'Mar'!$D$27:$AH$266,'Apr'!$D$27:$AH$266,'May'!$D$27:$AH$266,'Jun'!$D$27:$AH$266,'Jul'!$D$27:$AH$266,'Aug'!$D$27:$AH$266,'Sep'!$D$27:$AH$266,'Oct'!$D$27:$AH$266,'Nov'!$D$27:$AH$266,'Dec'!$D$27:$AH$266,'Jan (next year)'!$D$27:$AH$266),27+4*(IFERROR(MATCH(C822,Roster!$B$6:$B$65,0),MATCH(C822,Roster!$C$6:$C$65,0))-1)+MATCH(B822,{"AM","PM","NIGHT","WD"},0)-1-27+1,DAY(A822))&amp;"",""))</f>
        <v/>
      </c>
      <c r="G822" s="123">
        <f>IF(OR(A822="",C822="",B822="",E822=""),"",IFERROR(A822&amp;"|"&amp;(27+4*(IFERROR(MATCH(C822,Roster!$B$6:$B$65,0),MATCH(C822,Roster!$C$6:$C$65,0))-1)+MATCH(B822,{"AM","PM","NIGHT","WD"},0)-1),""))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$266,'Feb'!$D$27:$AH$266,'Mar'!$D$27:$AH$266,'Apr'!$D$27:$AH$266,'May'!$D$27:$AH$266,'Jun'!$D$27:$AH$266,'Jul'!$D$27:$AH$266,'Aug'!$D$27:$AH$266,'Sep'!$D$27:$AH$266,'Oct'!$D$27:$AH$266,'Nov'!$D$27:$AH$266,'Dec'!$D$27:$AH$266,'Jan (next year)'!$D$27:$AH$266),27+4*(IFERROR(MATCH(C823,Roster!$B$6:$B$65,0),MATCH(C823,Roster!$C$6:$C$65,0))-1)+MATCH(B823,{"AM","PM","NIGHT","WD"},0)-1-27+1,DAY(A823))&amp;"",""))</f>
        <v/>
      </c>
      <c r="G823" s="123">
        <f>IF(OR(A823="",C823="",B823="",E823=""),"",IFERROR(A823&amp;"|"&amp;(27+4*(IFERROR(MATCH(C823,Roster!$B$6:$B$65,0),MATCH(C823,Roster!$C$6:$C$65,0))-1)+MATCH(B823,{"AM","PM","NIGHT","WD"},0)-1),""))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$266,'Feb'!$D$27:$AH$266,'Mar'!$D$27:$AH$266,'Apr'!$D$27:$AH$266,'May'!$D$27:$AH$266,'Jun'!$D$27:$AH$266,'Jul'!$D$27:$AH$266,'Aug'!$D$27:$AH$266,'Sep'!$D$27:$AH$266,'Oct'!$D$27:$AH$266,'Nov'!$D$27:$AH$266,'Dec'!$D$27:$AH$266,'Jan (next year)'!$D$27:$AH$266),27+4*(IFERROR(MATCH(C824,Roster!$B$6:$B$65,0),MATCH(C824,Roster!$C$6:$C$65,0))-1)+MATCH(B824,{"AM","PM","NIGHT","WD"},0)-1-27+1,DAY(A824))&amp;"",""))</f>
        <v/>
      </c>
      <c r="G824" s="123">
        <f>IF(OR(A824="",C824="",B824="",E824=""),"",IFERROR(A824&amp;"|"&amp;(27+4*(IFERROR(MATCH(C824,Roster!$B$6:$B$65,0),MATCH(C824,Roster!$C$6:$C$65,0))-1)+MATCH(B824,{"AM","PM","NIGHT","WD"},0)-1),""))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$266,'Feb'!$D$27:$AH$266,'Mar'!$D$27:$AH$266,'Apr'!$D$27:$AH$266,'May'!$D$27:$AH$266,'Jun'!$D$27:$AH$266,'Jul'!$D$27:$AH$266,'Aug'!$D$27:$AH$266,'Sep'!$D$27:$AH$266,'Oct'!$D$27:$AH$266,'Nov'!$D$27:$AH$266,'Dec'!$D$27:$AH$266,'Jan (next year)'!$D$27:$AH$266),27+4*(IFERROR(MATCH(C825,Roster!$B$6:$B$65,0),MATCH(C825,Roster!$C$6:$C$65,0))-1)+MATCH(B825,{"AM","PM","NIGHT","WD"},0)-1-27+1,DAY(A825))&amp;"",""))</f>
        <v/>
      </c>
      <c r="G825" s="123">
        <f>IF(OR(A825="",C825="",B825="",E825=""),"",IFERROR(A825&amp;"|"&amp;(27+4*(IFERROR(MATCH(C825,Roster!$B$6:$B$65,0),MATCH(C825,Roster!$C$6:$C$65,0))-1)+MATCH(B825,{"AM","PM","NIGHT","WD"},0)-1),""))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$266,'Feb'!$D$27:$AH$266,'Mar'!$D$27:$AH$266,'Apr'!$D$27:$AH$266,'May'!$D$27:$AH$266,'Jun'!$D$27:$AH$266,'Jul'!$D$27:$AH$266,'Aug'!$D$27:$AH$266,'Sep'!$D$27:$AH$266,'Oct'!$D$27:$AH$266,'Nov'!$D$27:$AH$266,'Dec'!$D$27:$AH$266,'Jan (next year)'!$D$27:$AH$266),27+4*(IFERROR(MATCH(C826,Roster!$B$6:$B$65,0),MATCH(C826,Roster!$C$6:$C$65,0))-1)+MATCH(B826,{"AM","PM","NIGHT","WD"},0)-1-27+1,DAY(A826))&amp;"",""))</f>
        <v/>
      </c>
      <c r="G826" s="123">
        <f>IF(OR(A826="",C826="",B826="",E826=""),"",IFERROR(A826&amp;"|"&amp;(27+4*(IFERROR(MATCH(C826,Roster!$B$6:$B$65,0),MATCH(C826,Roster!$C$6:$C$65,0))-1)+MATCH(B826,{"AM","PM","NIGHT","WD"},0)-1),""))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$266,'Feb'!$D$27:$AH$266,'Mar'!$D$27:$AH$266,'Apr'!$D$27:$AH$266,'May'!$D$27:$AH$266,'Jun'!$D$27:$AH$266,'Jul'!$D$27:$AH$266,'Aug'!$D$27:$AH$266,'Sep'!$D$27:$AH$266,'Oct'!$D$27:$AH$266,'Nov'!$D$27:$AH$266,'Dec'!$D$27:$AH$266,'Jan (next year)'!$D$27:$AH$266),27+4*(IFERROR(MATCH(C827,Roster!$B$6:$B$65,0),MATCH(C827,Roster!$C$6:$C$65,0))-1)+MATCH(B827,{"AM","PM","NIGHT","WD"},0)-1-27+1,DAY(A827))&amp;"",""))</f>
        <v/>
      </c>
      <c r="G827" s="123">
        <f>IF(OR(A827="",C827="",B827="",E827=""),"",IFERROR(A827&amp;"|"&amp;(27+4*(IFERROR(MATCH(C827,Roster!$B$6:$B$65,0),MATCH(C827,Roster!$C$6:$C$65,0))-1)+MATCH(B827,{"AM","PM","NIGHT","WD"},0)-1),""))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$266,'Feb'!$D$27:$AH$266,'Mar'!$D$27:$AH$266,'Apr'!$D$27:$AH$266,'May'!$D$27:$AH$266,'Jun'!$D$27:$AH$266,'Jul'!$D$27:$AH$266,'Aug'!$D$27:$AH$266,'Sep'!$D$27:$AH$266,'Oct'!$D$27:$AH$266,'Nov'!$D$27:$AH$266,'Dec'!$D$27:$AH$266,'Jan (next year)'!$D$27:$AH$266),27+4*(IFERROR(MATCH(C828,Roster!$B$6:$B$65,0),MATCH(C828,Roster!$C$6:$C$65,0))-1)+MATCH(B828,{"AM","PM","NIGHT","WD"},0)-1-27+1,DAY(A828))&amp;"",""))</f>
        <v/>
      </c>
      <c r="G828" s="123">
        <f>IF(OR(A828="",C828="",B828="",E828=""),"",IFERROR(A828&amp;"|"&amp;(27+4*(IFERROR(MATCH(C828,Roster!$B$6:$B$65,0),MATCH(C828,Roster!$C$6:$C$65,0))-1)+MATCH(B828,{"AM","PM","NIGHT","WD"},0)-1),""))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$266,'Feb'!$D$27:$AH$266,'Mar'!$D$27:$AH$266,'Apr'!$D$27:$AH$266,'May'!$D$27:$AH$266,'Jun'!$D$27:$AH$266,'Jul'!$D$27:$AH$266,'Aug'!$D$27:$AH$266,'Sep'!$D$27:$AH$266,'Oct'!$D$27:$AH$266,'Nov'!$D$27:$AH$266,'Dec'!$D$27:$AH$266,'Jan (next year)'!$D$27:$AH$266),27+4*(IFERROR(MATCH(C829,Roster!$B$6:$B$65,0),MATCH(C829,Roster!$C$6:$C$65,0))-1)+MATCH(B829,{"AM","PM","NIGHT","WD"},0)-1-27+1,DAY(A829))&amp;"",""))</f>
        <v/>
      </c>
      <c r="G829" s="123">
        <f>IF(OR(A829="",C829="",B829="",E829=""),"",IFERROR(A829&amp;"|"&amp;(27+4*(IFERROR(MATCH(C829,Roster!$B$6:$B$65,0),MATCH(C829,Roster!$C$6:$C$65,0))-1)+MATCH(B829,{"AM","PM","NIGHT","WD"},0)-1),""))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$266,'Feb'!$D$27:$AH$266,'Mar'!$D$27:$AH$266,'Apr'!$D$27:$AH$266,'May'!$D$27:$AH$266,'Jun'!$D$27:$AH$266,'Jul'!$D$27:$AH$266,'Aug'!$D$27:$AH$266,'Sep'!$D$27:$AH$266,'Oct'!$D$27:$AH$266,'Nov'!$D$27:$AH$266,'Dec'!$D$27:$AH$266,'Jan (next year)'!$D$27:$AH$266),27+4*(IFERROR(MATCH(C830,Roster!$B$6:$B$65,0),MATCH(C830,Roster!$C$6:$C$65,0))-1)+MATCH(B830,{"AM","PM","NIGHT","WD"},0)-1-27+1,DAY(A830))&amp;"",""))</f>
        <v/>
      </c>
      <c r="G830" s="123">
        <f>IF(OR(A830="",C830="",B830="",E830=""),"",IFERROR(A830&amp;"|"&amp;(27+4*(IFERROR(MATCH(C830,Roster!$B$6:$B$65,0),MATCH(C830,Roster!$C$6:$C$65,0))-1)+MATCH(B830,{"AM","PM","NIGHT","WD"},0)-1),""))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$266,'Feb'!$D$27:$AH$266,'Mar'!$D$27:$AH$266,'Apr'!$D$27:$AH$266,'May'!$D$27:$AH$266,'Jun'!$D$27:$AH$266,'Jul'!$D$27:$AH$266,'Aug'!$D$27:$AH$266,'Sep'!$D$27:$AH$266,'Oct'!$D$27:$AH$266,'Nov'!$D$27:$AH$266,'Dec'!$D$27:$AH$266,'Jan (next year)'!$D$27:$AH$266),27+4*(IFERROR(MATCH(C831,Roster!$B$6:$B$65,0),MATCH(C831,Roster!$C$6:$C$65,0))-1)+MATCH(B831,{"AM","PM","NIGHT","WD"},0)-1-27+1,DAY(A831))&amp;"",""))</f>
        <v/>
      </c>
      <c r="G831" s="123">
        <f>IF(OR(A831="",C831="",B831="",E831=""),"",IFERROR(A831&amp;"|"&amp;(27+4*(IFERROR(MATCH(C831,Roster!$B$6:$B$65,0),MATCH(C831,Roster!$C$6:$C$65,0))-1)+MATCH(B831,{"AM","PM","NIGHT","WD"},0)-1),""))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$266,'Feb'!$D$27:$AH$266,'Mar'!$D$27:$AH$266,'Apr'!$D$27:$AH$266,'May'!$D$27:$AH$266,'Jun'!$D$27:$AH$266,'Jul'!$D$27:$AH$266,'Aug'!$D$27:$AH$266,'Sep'!$D$27:$AH$266,'Oct'!$D$27:$AH$266,'Nov'!$D$27:$AH$266,'Dec'!$D$27:$AH$266,'Jan (next year)'!$D$27:$AH$266),27+4*(IFERROR(MATCH(C832,Roster!$B$6:$B$65,0),MATCH(C832,Roster!$C$6:$C$65,0))-1)+MATCH(B832,{"AM","PM","NIGHT","WD"},0)-1-27+1,DAY(A832))&amp;"",""))</f>
        <v/>
      </c>
      <c r="G832" s="123">
        <f>IF(OR(A832="",C832="",B832="",E832=""),"",IFERROR(A832&amp;"|"&amp;(27+4*(IFERROR(MATCH(C832,Roster!$B$6:$B$65,0),MATCH(C832,Roster!$C$6:$C$65,0))-1)+MATCH(B832,{"AM","PM","NIGHT","WD"},0)-1),""))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$266,'Feb'!$D$27:$AH$266,'Mar'!$D$27:$AH$266,'Apr'!$D$27:$AH$266,'May'!$D$27:$AH$266,'Jun'!$D$27:$AH$266,'Jul'!$D$27:$AH$266,'Aug'!$D$27:$AH$266,'Sep'!$D$27:$AH$266,'Oct'!$D$27:$AH$266,'Nov'!$D$27:$AH$266,'Dec'!$D$27:$AH$266,'Jan (next year)'!$D$27:$AH$266),27+4*(IFERROR(MATCH(C833,Roster!$B$6:$B$65,0),MATCH(C833,Roster!$C$6:$C$65,0))-1)+MATCH(B833,{"AM","PM","NIGHT","WD"},0)-1-27+1,DAY(A833))&amp;"",""))</f>
        <v/>
      </c>
      <c r="G833" s="123">
        <f>IF(OR(A833="",C833="",B833="",E833=""),"",IFERROR(A833&amp;"|"&amp;(27+4*(IFERROR(MATCH(C833,Roster!$B$6:$B$65,0),MATCH(C833,Roster!$C$6:$C$65,0))-1)+MATCH(B833,{"AM","PM","NIGHT","WD"},0)-1),""))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$266,'Feb'!$D$27:$AH$266,'Mar'!$D$27:$AH$266,'Apr'!$D$27:$AH$266,'May'!$D$27:$AH$266,'Jun'!$D$27:$AH$266,'Jul'!$D$27:$AH$266,'Aug'!$D$27:$AH$266,'Sep'!$D$27:$AH$266,'Oct'!$D$27:$AH$266,'Nov'!$D$27:$AH$266,'Dec'!$D$27:$AH$266,'Jan (next year)'!$D$27:$AH$266),27+4*(IFERROR(MATCH(C834,Roster!$B$6:$B$65,0),MATCH(C834,Roster!$C$6:$C$65,0))-1)+MATCH(B834,{"AM","PM","NIGHT","WD"},0)-1-27+1,DAY(A834))&amp;"",""))</f>
        <v/>
      </c>
      <c r="G834" s="123">
        <f>IF(OR(A834="",C834="",B834="",E834=""),"",IFERROR(A834&amp;"|"&amp;(27+4*(IFERROR(MATCH(C834,Roster!$B$6:$B$65,0),MATCH(C834,Roster!$C$6:$C$65,0))-1)+MATCH(B834,{"AM","PM","NIGHT","WD"},0)-1),""))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$266,'Feb'!$D$27:$AH$266,'Mar'!$D$27:$AH$266,'Apr'!$D$27:$AH$266,'May'!$D$27:$AH$266,'Jun'!$D$27:$AH$266,'Jul'!$D$27:$AH$266,'Aug'!$D$27:$AH$266,'Sep'!$D$27:$AH$266,'Oct'!$D$27:$AH$266,'Nov'!$D$27:$AH$266,'Dec'!$D$27:$AH$266,'Jan (next year)'!$D$27:$AH$266),27+4*(IFERROR(MATCH(C835,Roster!$B$6:$B$65,0),MATCH(C835,Roster!$C$6:$C$65,0))-1)+MATCH(B835,{"AM","PM","NIGHT","WD"},0)-1-27+1,DAY(A835))&amp;"",""))</f>
        <v/>
      </c>
      <c r="G835" s="123">
        <f>IF(OR(A835="",C835="",B835="",E835=""),"",IFERROR(A835&amp;"|"&amp;(27+4*(IFERROR(MATCH(C835,Roster!$B$6:$B$65,0),MATCH(C835,Roster!$C$6:$C$65,0))-1)+MATCH(B835,{"AM","PM","NIGHT","WD"},0)-1),""))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$266,'Feb'!$D$27:$AH$266,'Mar'!$D$27:$AH$266,'Apr'!$D$27:$AH$266,'May'!$D$27:$AH$266,'Jun'!$D$27:$AH$266,'Jul'!$D$27:$AH$266,'Aug'!$D$27:$AH$266,'Sep'!$D$27:$AH$266,'Oct'!$D$27:$AH$266,'Nov'!$D$27:$AH$266,'Dec'!$D$27:$AH$266,'Jan (next year)'!$D$27:$AH$266),27+4*(IFERROR(MATCH(C836,Roster!$B$6:$B$65,0),MATCH(C836,Roster!$C$6:$C$65,0))-1)+MATCH(B836,{"AM","PM","NIGHT","WD"},0)-1-27+1,DAY(A836))&amp;"",""))</f>
        <v/>
      </c>
      <c r="G836" s="123">
        <f>IF(OR(A836="",C836="",B836="",E836=""),"",IFERROR(A836&amp;"|"&amp;(27+4*(IFERROR(MATCH(C836,Roster!$B$6:$B$65,0),MATCH(C836,Roster!$C$6:$C$65,0))-1)+MATCH(B836,{"AM","PM","NIGHT","WD"},0)-1),""))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$266,'Feb'!$D$27:$AH$266,'Mar'!$D$27:$AH$266,'Apr'!$D$27:$AH$266,'May'!$D$27:$AH$266,'Jun'!$D$27:$AH$266,'Jul'!$D$27:$AH$266,'Aug'!$D$27:$AH$266,'Sep'!$D$27:$AH$266,'Oct'!$D$27:$AH$266,'Nov'!$D$27:$AH$266,'Dec'!$D$27:$AH$266,'Jan (next year)'!$D$27:$AH$266),27+4*(IFERROR(MATCH(C837,Roster!$B$6:$B$65,0),MATCH(C837,Roster!$C$6:$C$65,0))-1)+MATCH(B837,{"AM","PM","NIGHT","WD"},0)-1-27+1,DAY(A837))&amp;"",""))</f>
        <v/>
      </c>
      <c r="G837" s="123">
        <f>IF(OR(A837="",C837="",B837="",E837=""),"",IFERROR(A837&amp;"|"&amp;(27+4*(IFERROR(MATCH(C837,Roster!$B$6:$B$65,0),MATCH(C837,Roster!$C$6:$C$65,0))-1)+MATCH(B837,{"AM","PM","NIGHT","WD"},0)-1),""))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$266,'Feb'!$D$27:$AH$266,'Mar'!$D$27:$AH$266,'Apr'!$D$27:$AH$266,'May'!$D$27:$AH$266,'Jun'!$D$27:$AH$266,'Jul'!$D$27:$AH$266,'Aug'!$D$27:$AH$266,'Sep'!$D$27:$AH$266,'Oct'!$D$27:$AH$266,'Nov'!$D$27:$AH$266,'Dec'!$D$27:$AH$266,'Jan (next year)'!$D$27:$AH$266),27+4*(IFERROR(MATCH(C838,Roster!$B$6:$B$65,0),MATCH(C838,Roster!$C$6:$C$65,0))-1)+MATCH(B838,{"AM","PM","NIGHT","WD"},0)-1-27+1,DAY(A838))&amp;"",""))</f>
        <v/>
      </c>
      <c r="G838" s="123">
        <f>IF(OR(A838="",C838="",B838="",E838=""),"",IFERROR(A838&amp;"|"&amp;(27+4*(IFERROR(MATCH(C838,Roster!$B$6:$B$65,0),MATCH(C838,Roster!$C$6:$C$65,0))-1)+MATCH(B838,{"AM","PM","NIGHT","WD"},0)-1),""))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$266,'Feb'!$D$27:$AH$266,'Mar'!$D$27:$AH$266,'Apr'!$D$27:$AH$266,'May'!$D$27:$AH$266,'Jun'!$D$27:$AH$266,'Jul'!$D$27:$AH$266,'Aug'!$D$27:$AH$266,'Sep'!$D$27:$AH$266,'Oct'!$D$27:$AH$266,'Nov'!$D$27:$AH$266,'Dec'!$D$27:$AH$266,'Jan (next year)'!$D$27:$AH$266),27+4*(IFERROR(MATCH(C839,Roster!$B$6:$B$65,0),MATCH(C839,Roster!$C$6:$C$65,0))-1)+MATCH(B839,{"AM","PM","NIGHT","WD"},0)-1-27+1,DAY(A839))&amp;"",""))</f>
        <v/>
      </c>
      <c r="G839" s="123">
        <f>IF(OR(A839="",C839="",B839="",E839=""),"",IFERROR(A839&amp;"|"&amp;(27+4*(IFERROR(MATCH(C839,Roster!$B$6:$B$65,0),MATCH(C839,Roster!$C$6:$C$65,0))-1)+MATCH(B839,{"AM","PM","NIGHT","WD"},0)-1),""))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$266,'Feb'!$D$27:$AH$266,'Mar'!$D$27:$AH$266,'Apr'!$D$27:$AH$266,'May'!$D$27:$AH$266,'Jun'!$D$27:$AH$266,'Jul'!$D$27:$AH$266,'Aug'!$D$27:$AH$266,'Sep'!$D$27:$AH$266,'Oct'!$D$27:$AH$266,'Nov'!$D$27:$AH$266,'Dec'!$D$27:$AH$266,'Jan (next year)'!$D$27:$AH$266),27+4*(IFERROR(MATCH(C840,Roster!$B$6:$B$65,0),MATCH(C840,Roster!$C$6:$C$65,0))-1)+MATCH(B840,{"AM","PM","NIGHT","WD"},0)-1-27+1,DAY(A840))&amp;"",""))</f>
        <v/>
      </c>
      <c r="G840" s="123">
        <f>IF(OR(A840="",C840="",B840="",E840=""),"",IFERROR(A840&amp;"|"&amp;(27+4*(IFERROR(MATCH(C840,Roster!$B$6:$B$65,0),MATCH(C840,Roster!$C$6:$C$65,0))-1)+MATCH(B840,{"AM","PM","NIGHT","WD"},0)-1),""))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$266,'Feb'!$D$27:$AH$266,'Mar'!$D$27:$AH$266,'Apr'!$D$27:$AH$266,'May'!$D$27:$AH$266,'Jun'!$D$27:$AH$266,'Jul'!$D$27:$AH$266,'Aug'!$D$27:$AH$266,'Sep'!$D$27:$AH$266,'Oct'!$D$27:$AH$266,'Nov'!$D$27:$AH$266,'Dec'!$D$27:$AH$266,'Jan (next year)'!$D$27:$AH$266),27+4*(IFERROR(MATCH(C841,Roster!$B$6:$B$65,0),MATCH(C841,Roster!$C$6:$C$65,0))-1)+MATCH(B841,{"AM","PM","NIGHT","WD"},0)-1-27+1,DAY(A841))&amp;"",""))</f>
        <v/>
      </c>
      <c r="G841" s="123">
        <f>IF(OR(A841="",C841="",B841="",E841=""),"",IFERROR(A841&amp;"|"&amp;(27+4*(IFERROR(MATCH(C841,Roster!$B$6:$B$65,0),MATCH(C841,Roster!$C$6:$C$65,0))-1)+MATCH(B841,{"AM","PM","NIGHT","WD"},0)-1),""))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$266,'Feb'!$D$27:$AH$266,'Mar'!$D$27:$AH$266,'Apr'!$D$27:$AH$266,'May'!$D$27:$AH$266,'Jun'!$D$27:$AH$266,'Jul'!$D$27:$AH$266,'Aug'!$D$27:$AH$266,'Sep'!$D$27:$AH$266,'Oct'!$D$27:$AH$266,'Nov'!$D$27:$AH$266,'Dec'!$D$27:$AH$266,'Jan (next year)'!$D$27:$AH$266),27+4*(IFERROR(MATCH(C842,Roster!$B$6:$B$65,0),MATCH(C842,Roster!$C$6:$C$65,0))-1)+MATCH(B842,{"AM","PM","NIGHT","WD"},0)-1-27+1,DAY(A842))&amp;"",""))</f>
        <v/>
      </c>
      <c r="G842" s="123">
        <f>IF(OR(A842="",C842="",B842="",E842=""),"",IFERROR(A842&amp;"|"&amp;(27+4*(IFERROR(MATCH(C842,Roster!$B$6:$B$65,0),MATCH(C842,Roster!$C$6:$C$65,0))-1)+MATCH(B842,{"AM","PM","NIGHT","WD"},0)-1),""))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$266,'Feb'!$D$27:$AH$266,'Mar'!$D$27:$AH$266,'Apr'!$D$27:$AH$266,'May'!$D$27:$AH$266,'Jun'!$D$27:$AH$266,'Jul'!$D$27:$AH$266,'Aug'!$D$27:$AH$266,'Sep'!$D$27:$AH$266,'Oct'!$D$27:$AH$266,'Nov'!$D$27:$AH$266,'Dec'!$D$27:$AH$266,'Jan (next year)'!$D$27:$AH$266),27+4*(IFERROR(MATCH(C843,Roster!$B$6:$B$65,0),MATCH(C843,Roster!$C$6:$C$65,0))-1)+MATCH(B843,{"AM","PM","NIGHT","WD"},0)-1-27+1,DAY(A843))&amp;"",""))</f>
        <v/>
      </c>
      <c r="G843" s="123">
        <f>IF(OR(A843="",C843="",B843="",E843=""),"",IFERROR(A843&amp;"|"&amp;(27+4*(IFERROR(MATCH(C843,Roster!$B$6:$B$65,0),MATCH(C843,Roster!$C$6:$C$65,0))-1)+MATCH(B843,{"AM","PM","NIGHT","WD"},0)-1),""))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$266,'Feb'!$D$27:$AH$266,'Mar'!$D$27:$AH$266,'Apr'!$D$27:$AH$266,'May'!$D$27:$AH$266,'Jun'!$D$27:$AH$266,'Jul'!$D$27:$AH$266,'Aug'!$D$27:$AH$266,'Sep'!$D$27:$AH$266,'Oct'!$D$27:$AH$266,'Nov'!$D$27:$AH$266,'Dec'!$D$27:$AH$266,'Jan (next year)'!$D$27:$AH$266),27+4*(IFERROR(MATCH(C844,Roster!$B$6:$B$65,0),MATCH(C844,Roster!$C$6:$C$65,0))-1)+MATCH(B844,{"AM","PM","NIGHT","WD"},0)-1-27+1,DAY(A844))&amp;"",""))</f>
        <v/>
      </c>
      <c r="G844" s="123">
        <f>IF(OR(A844="",C844="",B844="",E844=""),"",IFERROR(A844&amp;"|"&amp;(27+4*(IFERROR(MATCH(C844,Roster!$B$6:$B$65,0),MATCH(C844,Roster!$C$6:$C$65,0))-1)+MATCH(B844,{"AM","PM","NIGHT","WD"},0)-1),""))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$266,'Feb'!$D$27:$AH$266,'Mar'!$D$27:$AH$266,'Apr'!$D$27:$AH$266,'May'!$D$27:$AH$266,'Jun'!$D$27:$AH$266,'Jul'!$D$27:$AH$266,'Aug'!$D$27:$AH$266,'Sep'!$D$27:$AH$266,'Oct'!$D$27:$AH$266,'Nov'!$D$27:$AH$266,'Dec'!$D$27:$AH$266,'Jan (next year)'!$D$27:$AH$266),27+4*(IFERROR(MATCH(C845,Roster!$B$6:$B$65,0),MATCH(C845,Roster!$C$6:$C$65,0))-1)+MATCH(B845,{"AM","PM","NIGHT","WD"},0)-1-27+1,DAY(A845))&amp;"",""))</f>
        <v/>
      </c>
      <c r="G845" s="123">
        <f>IF(OR(A845="",C845="",B845="",E845=""),"",IFERROR(A845&amp;"|"&amp;(27+4*(IFERROR(MATCH(C845,Roster!$B$6:$B$65,0),MATCH(C845,Roster!$C$6:$C$65,0))-1)+MATCH(B845,{"AM","PM","NIGHT","WD"},0)-1),""))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$266,'Feb'!$D$27:$AH$266,'Mar'!$D$27:$AH$266,'Apr'!$D$27:$AH$266,'May'!$D$27:$AH$266,'Jun'!$D$27:$AH$266,'Jul'!$D$27:$AH$266,'Aug'!$D$27:$AH$266,'Sep'!$D$27:$AH$266,'Oct'!$D$27:$AH$266,'Nov'!$D$27:$AH$266,'Dec'!$D$27:$AH$266,'Jan (next year)'!$D$27:$AH$266),27+4*(IFERROR(MATCH(C846,Roster!$B$6:$B$65,0),MATCH(C846,Roster!$C$6:$C$65,0))-1)+MATCH(B846,{"AM","PM","NIGHT","WD"},0)-1-27+1,DAY(A846))&amp;"",""))</f>
        <v/>
      </c>
      <c r="G846" s="123">
        <f>IF(OR(A846="",C846="",B846="",E846=""),"",IFERROR(A846&amp;"|"&amp;(27+4*(IFERROR(MATCH(C846,Roster!$B$6:$B$65,0),MATCH(C846,Roster!$C$6:$C$65,0))-1)+MATCH(B846,{"AM","PM","NIGHT","WD"},0)-1),""))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$266,'Feb'!$D$27:$AH$266,'Mar'!$D$27:$AH$266,'Apr'!$D$27:$AH$266,'May'!$D$27:$AH$266,'Jun'!$D$27:$AH$266,'Jul'!$D$27:$AH$266,'Aug'!$D$27:$AH$266,'Sep'!$D$27:$AH$266,'Oct'!$D$27:$AH$266,'Nov'!$D$27:$AH$266,'Dec'!$D$27:$AH$266,'Jan (next year)'!$D$27:$AH$266),27+4*(IFERROR(MATCH(C847,Roster!$B$6:$B$65,0),MATCH(C847,Roster!$C$6:$C$65,0))-1)+MATCH(B847,{"AM","PM","NIGHT","WD"},0)-1-27+1,DAY(A847))&amp;"",""))</f>
        <v/>
      </c>
      <c r="G847" s="123">
        <f>IF(OR(A847="",C847="",B847="",E847=""),"",IFERROR(A847&amp;"|"&amp;(27+4*(IFERROR(MATCH(C847,Roster!$B$6:$B$65,0),MATCH(C847,Roster!$C$6:$C$65,0))-1)+MATCH(B847,{"AM","PM","NIGHT","WD"},0)-1),""))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$266,'Feb'!$D$27:$AH$266,'Mar'!$D$27:$AH$266,'Apr'!$D$27:$AH$266,'May'!$D$27:$AH$266,'Jun'!$D$27:$AH$266,'Jul'!$D$27:$AH$266,'Aug'!$D$27:$AH$266,'Sep'!$D$27:$AH$266,'Oct'!$D$27:$AH$266,'Nov'!$D$27:$AH$266,'Dec'!$D$27:$AH$266,'Jan (next year)'!$D$27:$AH$266),27+4*(IFERROR(MATCH(C848,Roster!$B$6:$B$65,0),MATCH(C848,Roster!$C$6:$C$65,0))-1)+MATCH(B848,{"AM","PM","NIGHT","WD"},0)-1-27+1,DAY(A848))&amp;"",""))</f>
        <v/>
      </c>
      <c r="G848" s="123">
        <f>IF(OR(A848="",C848="",B848="",E848=""),"",IFERROR(A848&amp;"|"&amp;(27+4*(IFERROR(MATCH(C848,Roster!$B$6:$B$65,0),MATCH(C848,Roster!$C$6:$C$65,0))-1)+MATCH(B848,{"AM","PM","NIGHT","WD"},0)-1),""))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$266,'Feb'!$D$27:$AH$266,'Mar'!$D$27:$AH$266,'Apr'!$D$27:$AH$266,'May'!$D$27:$AH$266,'Jun'!$D$27:$AH$266,'Jul'!$D$27:$AH$266,'Aug'!$D$27:$AH$266,'Sep'!$D$27:$AH$266,'Oct'!$D$27:$AH$266,'Nov'!$D$27:$AH$266,'Dec'!$D$27:$AH$266,'Jan (next year)'!$D$27:$AH$266),27+4*(IFERROR(MATCH(C849,Roster!$B$6:$B$65,0),MATCH(C849,Roster!$C$6:$C$65,0))-1)+MATCH(B849,{"AM","PM","NIGHT","WD"},0)-1-27+1,DAY(A849))&amp;"",""))</f>
        <v/>
      </c>
      <c r="G849" s="123">
        <f>IF(OR(A849="",C849="",B849="",E849=""),"",IFERROR(A849&amp;"|"&amp;(27+4*(IFERROR(MATCH(C849,Roster!$B$6:$B$65,0),MATCH(C849,Roster!$C$6:$C$65,0))-1)+MATCH(B849,{"AM","PM","NIGHT","WD"},0)-1),""))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$266,'Feb'!$D$27:$AH$266,'Mar'!$D$27:$AH$266,'Apr'!$D$27:$AH$266,'May'!$D$27:$AH$266,'Jun'!$D$27:$AH$266,'Jul'!$D$27:$AH$266,'Aug'!$D$27:$AH$266,'Sep'!$D$27:$AH$266,'Oct'!$D$27:$AH$266,'Nov'!$D$27:$AH$266,'Dec'!$D$27:$AH$266,'Jan (next year)'!$D$27:$AH$266),27+4*(IFERROR(MATCH(C850,Roster!$B$6:$B$65,0),MATCH(C850,Roster!$C$6:$C$65,0))-1)+MATCH(B850,{"AM","PM","NIGHT","WD"},0)-1-27+1,DAY(A850))&amp;"",""))</f>
        <v/>
      </c>
      <c r="G850" s="123">
        <f>IF(OR(A850="",C850="",B850="",E850=""),"",IFERROR(A850&amp;"|"&amp;(27+4*(IFERROR(MATCH(C850,Roster!$B$6:$B$65,0),MATCH(C850,Roster!$C$6:$C$65,0))-1)+MATCH(B850,{"AM","PM","NIGHT","WD"},0)-1),""))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$266,'Feb'!$D$27:$AH$266,'Mar'!$D$27:$AH$266,'Apr'!$D$27:$AH$266,'May'!$D$27:$AH$266,'Jun'!$D$27:$AH$266,'Jul'!$D$27:$AH$266,'Aug'!$D$27:$AH$266,'Sep'!$D$27:$AH$266,'Oct'!$D$27:$AH$266,'Nov'!$D$27:$AH$266,'Dec'!$D$27:$AH$266,'Jan (next year)'!$D$27:$AH$266),27+4*(IFERROR(MATCH(C851,Roster!$B$6:$B$65,0),MATCH(C851,Roster!$C$6:$C$65,0))-1)+MATCH(B851,{"AM","PM","NIGHT","WD"},0)-1-27+1,DAY(A851))&amp;"",""))</f>
        <v/>
      </c>
      <c r="G851" s="123">
        <f>IF(OR(A851="",C851="",B851="",E851=""),"",IFERROR(A851&amp;"|"&amp;(27+4*(IFERROR(MATCH(C851,Roster!$B$6:$B$65,0),MATCH(C851,Roster!$C$6:$C$65,0))-1)+MATCH(B851,{"AM","PM","NIGHT","WD"},0)-1),""))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$266,'Feb'!$D$27:$AH$266,'Mar'!$D$27:$AH$266,'Apr'!$D$27:$AH$266,'May'!$D$27:$AH$266,'Jun'!$D$27:$AH$266,'Jul'!$D$27:$AH$266,'Aug'!$D$27:$AH$266,'Sep'!$D$27:$AH$266,'Oct'!$D$27:$AH$266,'Nov'!$D$27:$AH$266,'Dec'!$D$27:$AH$266,'Jan (next year)'!$D$27:$AH$266),27+4*(IFERROR(MATCH(C852,Roster!$B$6:$B$65,0),MATCH(C852,Roster!$C$6:$C$65,0))-1)+MATCH(B852,{"AM","PM","NIGHT","WD"},0)-1-27+1,DAY(A852))&amp;"",""))</f>
        <v/>
      </c>
      <c r="G852" s="123">
        <f>IF(OR(A852="",C852="",B852="",E852=""),"",IFERROR(A852&amp;"|"&amp;(27+4*(IFERROR(MATCH(C852,Roster!$B$6:$B$65,0),MATCH(C852,Roster!$C$6:$C$65,0))-1)+MATCH(B852,{"AM","PM","NIGHT","WD"},0)-1),""))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$266,'Feb'!$D$27:$AH$266,'Mar'!$D$27:$AH$266,'Apr'!$D$27:$AH$266,'May'!$D$27:$AH$266,'Jun'!$D$27:$AH$266,'Jul'!$D$27:$AH$266,'Aug'!$D$27:$AH$266,'Sep'!$D$27:$AH$266,'Oct'!$D$27:$AH$266,'Nov'!$D$27:$AH$266,'Dec'!$D$27:$AH$266,'Jan (next year)'!$D$27:$AH$266),27+4*(IFERROR(MATCH(C853,Roster!$B$6:$B$65,0),MATCH(C853,Roster!$C$6:$C$65,0))-1)+MATCH(B853,{"AM","PM","NIGHT","WD"},0)-1-27+1,DAY(A853))&amp;"",""))</f>
        <v/>
      </c>
      <c r="G853" s="123">
        <f>IF(OR(A853="",C853="",B853="",E853=""),"",IFERROR(A853&amp;"|"&amp;(27+4*(IFERROR(MATCH(C853,Roster!$B$6:$B$65,0),MATCH(C853,Roster!$C$6:$C$65,0))-1)+MATCH(B853,{"AM","PM","NIGHT","WD"},0)-1),""))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$266,'Feb'!$D$27:$AH$266,'Mar'!$D$27:$AH$266,'Apr'!$D$27:$AH$266,'May'!$D$27:$AH$266,'Jun'!$D$27:$AH$266,'Jul'!$D$27:$AH$266,'Aug'!$D$27:$AH$266,'Sep'!$D$27:$AH$266,'Oct'!$D$27:$AH$266,'Nov'!$D$27:$AH$266,'Dec'!$D$27:$AH$266,'Jan (next year)'!$D$27:$AH$266),27+4*(IFERROR(MATCH(C854,Roster!$B$6:$B$65,0),MATCH(C854,Roster!$C$6:$C$65,0))-1)+MATCH(B854,{"AM","PM","NIGHT","WD"},0)-1-27+1,DAY(A854))&amp;"",""))</f>
        <v/>
      </c>
      <c r="G854" s="123">
        <f>IF(OR(A854="",C854="",B854="",E854=""),"",IFERROR(A854&amp;"|"&amp;(27+4*(IFERROR(MATCH(C854,Roster!$B$6:$B$65,0),MATCH(C854,Roster!$C$6:$C$65,0))-1)+MATCH(B854,{"AM","PM","NIGHT","WD"},0)-1),""))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$266,'Feb'!$D$27:$AH$266,'Mar'!$D$27:$AH$266,'Apr'!$D$27:$AH$266,'May'!$D$27:$AH$266,'Jun'!$D$27:$AH$266,'Jul'!$D$27:$AH$266,'Aug'!$D$27:$AH$266,'Sep'!$D$27:$AH$266,'Oct'!$D$27:$AH$266,'Nov'!$D$27:$AH$266,'Dec'!$D$27:$AH$266,'Jan (next year)'!$D$27:$AH$266),27+4*(IFERROR(MATCH(C855,Roster!$B$6:$B$65,0),MATCH(C855,Roster!$C$6:$C$65,0))-1)+MATCH(B855,{"AM","PM","NIGHT","WD"},0)-1-27+1,DAY(A855))&amp;"",""))</f>
        <v/>
      </c>
      <c r="G855" s="123">
        <f>IF(OR(A855="",C855="",B855="",E855=""),"",IFERROR(A855&amp;"|"&amp;(27+4*(IFERROR(MATCH(C855,Roster!$B$6:$B$65,0),MATCH(C855,Roster!$C$6:$C$65,0))-1)+MATCH(B855,{"AM","PM","NIGHT","WD"},0)-1),""))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$266,'Feb'!$D$27:$AH$266,'Mar'!$D$27:$AH$266,'Apr'!$D$27:$AH$266,'May'!$D$27:$AH$266,'Jun'!$D$27:$AH$266,'Jul'!$D$27:$AH$266,'Aug'!$D$27:$AH$266,'Sep'!$D$27:$AH$266,'Oct'!$D$27:$AH$266,'Nov'!$D$27:$AH$266,'Dec'!$D$27:$AH$266,'Jan (next year)'!$D$27:$AH$266),27+4*(IFERROR(MATCH(C856,Roster!$B$6:$B$65,0),MATCH(C856,Roster!$C$6:$C$65,0))-1)+MATCH(B856,{"AM","PM","NIGHT","WD"},0)-1-27+1,DAY(A856))&amp;"",""))</f>
        <v/>
      </c>
      <c r="G856" s="123">
        <f>IF(OR(A856="",C856="",B856="",E856=""),"",IFERROR(A856&amp;"|"&amp;(27+4*(IFERROR(MATCH(C856,Roster!$B$6:$B$65,0),MATCH(C856,Roster!$C$6:$C$65,0))-1)+MATCH(B856,{"AM","PM","NIGHT","WD"},0)-1),""))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$266,'Feb'!$D$27:$AH$266,'Mar'!$D$27:$AH$266,'Apr'!$D$27:$AH$266,'May'!$D$27:$AH$266,'Jun'!$D$27:$AH$266,'Jul'!$D$27:$AH$266,'Aug'!$D$27:$AH$266,'Sep'!$D$27:$AH$266,'Oct'!$D$27:$AH$266,'Nov'!$D$27:$AH$266,'Dec'!$D$27:$AH$266,'Jan (next year)'!$D$27:$AH$266),27+4*(IFERROR(MATCH(C857,Roster!$B$6:$B$65,0),MATCH(C857,Roster!$C$6:$C$65,0))-1)+MATCH(B857,{"AM","PM","NIGHT","WD"},0)-1-27+1,DAY(A857))&amp;"",""))</f>
        <v/>
      </c>
      <c r="G857" s="123">
        <f>IF(OR(A857="",C857="",B857="",E857=""),"",IFERROR(A857&amp;"|"&amp;(27+4*(IFERROR(MATCH(C857,Roster!$B$6:$B$65,0),MATCH(C857,Roster!$C$6:$C$65,0))-1)+MATCH(B857,{"AM","PM","NIGHT","WD"},0)-1),""))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$266,'Feb'!$D$27:$AH$266,'Mar'!$D$27:$AH$266,'Apr'!$D$27:$AH$266,'May'!$D$27:$AH$266,'Jun'!$D$27:$AH$266,'Jul'!$D$27:$AH$266,'Aug'!$D$27:$AH$266,'Sep'!$D$27:$AH$266,'Oct'!$D$27:$AH$266,'Nov'!$D$27:$AH$266,'Dec'!$D$27:$AH$266,'Jan (next year)'!$D$27:$AH$266),27+4*(IFERROR(MATCH(C858,Roster!$B$6:$B$65,0),MATCH(C858,Roster!$C$6:$C$65,0))-1)+MATCH(B858,{"AM","PM","NIGHT","WD"},0)-1-27+1,DAY(A858))&amp;"",""))</f>
        <v/>
      </c>
      <c r="G858" s="123">
        <f>IF(OR(A858="",C858="",B858="",E858=""),"",IFERROR(A858&amp;"|"&amp;(27+4*(IFERROR(MATCH(C858,Roster!$B$6:$B$65,0),MATCH(C858,Roster!$C$6:$C$65,0))-1)+MATCH(B858,{"AM","PM","NIGHT","WD"},0)-1),""))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$266,'Feb'!$D$27:$AH$266,'Mar'!$D$27:$AH$266,'Apr'!$D$27:$AH$266,'May'!$D$27:$AH$266,'Jun'!$D$27:$AH$266,'Jul'!$D$27:$AH$266,'Aug'!$D$27:$AH$266,'Sep'!$D$27:$AH$266,'Oct'!$D$27:$AH$266,'Nov'!$D$27:$AH$266,'Dec'!$D$27:$AH$266,'Jan (next year)'!$D$27:$AH$266),27+4*(IFERROR(MATCH(C859,Roster!$B$6:$B$65,0),MATCH(C859,Roster!$C$6:$C$65,0))-1)+MATCH(B859,{"AM","PM","NIGHT","WD"},0)-1-27+1,DAY(A859))&amp;"",""))</f>
        <v/>
      </c>
      <c r="G859" s="123">
        <f>IF(OR(A859="",C859="",B859="",E859=""),"",IFERROR(A859&amp;"|"&amp;(27+4*(IFERROR(MATCH(C859,Roster!$B$6:$B$65,0),MATCH(C859,Roster!$C$6:$C$65,0))-1)+MATCH(B859,{"AM","PM","NIGHT","WD"},0)-1),""))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$266,'Feb'!$D$27:$AH$266,'Mar'!$D$27:$AH$266,'Apr'!$D$27:$AH$266,'May'!$D$27:$AH$266,'Jun'!$D$27:$AH$266,'Jul'!$D$27:$AH$266,'Aug'!$D$27:$AH$266,'Sep'!$D$27:$AH$266,'Oct'!$D$27:$AH$266,'Nov'!$D$27:$AH$266,'Dec'!$D$27:$AH$266,'Jan (next year)'!$D$27:$AH$266),27+4*(IFERROR(MATCH(C860,Roster!$B$6:$B$65,0),MATCH(C860,Roster!$C$6:$C$65,0))-1)+MATCH(B860,{"AM","PM","NIGHT","WD"},0)-1-27+1,DAY(A860))&amp;"",""))</f>
        <v/>
      </c>
      <c r="G860" s="123">
        <f>IF(OR(A860="",C860="",B860="",E860=""),"",IFERROR(A860&amp;"|"&amp;(27+4*(IFERROR(MATCH(C860,Roster!$B$6:$B$65,0),MATCH(C860,Roster!$C$6:$C$65,0))-1)+MATCH(B860,{"AM","PM","NIGHT","WD"},0)-1),""))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$266,'Feb'!$D$27:$AH$266,'Mar'!$D$27:$AH$266,'Apr'!$D$27:$AH$266,'May'!$D$27:$AH$266,'Jun'!$D$27:$AH$266,'Jul'!$D$27:$AH$266,'Aug'!$D$27:$AH$266,'Sep'!$D$27:$AH$266,'Oct'!$D$27:$AH$266,'Nov'!$D$27:$AH$266,'Dec'!$D$27:$AH$266,'Jan (next year)'!$D$27:$AH$266),27+4*(IFERROR(MATCH(C861,Roster!$B$6:$B$65,0),MATCH(C861,Roster!$C$6:$C$65,0))-1)+MATCH(B861,{"AM","PM","NIGHT","WD"},0)-1-27+1,DAY(A861))&amp;"",""))</f>
        <v/>
      </c>
      <c r="G861" s="123">
        <f>IF(OR(A861="",C861="",B861="",E861=""),"",IFERROR(A861&amp;"|"&amp;(27+4*(IFERROR(MATCH(C861,Roster!$B$6:$B$65,0),MATCH(C861,Roster!$C$6:$C$65,0))-1)+MATCH(B861,{"AM","PM","NIGHT","WD"},0)-1),""))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$266,'Feb'!$D$27:$AH$266,'Mar'!$D$27:$AH$266,'Apr'!$D$27:$AH$266,'May'!$D$27:$AH$266,'Jun'!$D$27:$AH$266,'Jul'!$D$27:$AH$266,'Aug'!$D$27:$AH$266,'Sep'!$D$27:$AH$266,'Oct'!$D$27:$AH$266,'Nov'!$D$27:$AH$266,'Dec'!$D$27:$AH$266,'Jan (next year)'!$D$27:$AH$266),27+4*(IFERROR(MATCH(C862,Roster!$B$6:$B$65,0),MATCH(C862,Roster!$C$6:$C$65,0))-1)+MATCH(B862,{"AM","PM","NIGHT","WD"},0)-1-27+1,DAY(A862))&amp;"",""))</f>
        <v/>
      </c>
      <c r="G862" s="123">
        <f>IF(OR(A862="",C862="",B862="",E862=""),"",IFERROR(A862&amp;"|"&amp;(27+4*(IFERROR(MATCH(C862,Roster!$B$6:$B$65,0),MATCH(C862,Roster!$C$6:$C$65,0))-1)+MATCH(B862,{"AM","PM","NIGHT","WD"},0)-1),""))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$266,'Feb'!$D$27:$AH$266,'Mar'!$D$27:$AH$266,'Apr'!$D$27:$AH$266,'May'!$D$27:$AH$266,'Jun'!$D$27:$AH$266,'Jul'!$D$27:$AH$266,'Aug'!$D$27:$AH$266,'Sep'!$D$27:$AH$266,'Oct'!$D$27:$AH$266,'Nov'!$D$27:$AH$266,'Dec'!$D$27:$AH$266,'Jan (next year)'!$D$27:$AH$266),27+4*(IFERROR(MATCH(C863,Roster!$B$6:$B$65,0),MATCH(C863,Roster!$C$6:$C$65,0))-1)+MATCH(B863,{"AM","PM","NIGHT","WD"},0)-1-27+1,DAY(A863))&amp;"",""))</f>
        <v/>
      </c>
      <c r="G863" s="123">
        <f>IF(OR(A863="",C863="",B863="",E863=""),"",IFERROR(A863&amp;"|"&amp;(27+4*(IFERROR(MATCH(C863,Roster!$B$6:$B$65,0),MATCH(C863,Roster!$C$6:$C$65,0))-1)+MATCH(B863,{"AM","PM","NIGHT","WD"},0)-1),""))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$266,'Feb'!$D$27:$AH$266,'Mar'!$D$27:$AH$266,'Apr'!$D$27:$AH$266,'May'!$D$27:$AH$266,'Jun'!$D$27:$AH$266,'Jul'!$D$27:$AH$266,'Aug'!$D$27:$AH$266,'Sep'!$D$27:$AH$266,'Oct'!$D$27:$AH$266,'Nov'!$D$27:$AH$266,'Dec'!$D$27:$AH$266,'Jan (next year)'!$D$27:$AH$266),27+4*(IFERROR(MATCH(C864,Roster!$B$6:$B$65,0),MATCH(C864,Roster!$C$6:$C$65,0))-1)+MATCH(B864,{"AM","PM","NIGHT","WD"},0)-1-27+1,DAY(A864))&amp;"",""))</f>
        <v/>
      </c>
      <c r="G864" s="123">
        <f>IF(OR(A864="",C864="",B864="",E864=""),"",IFERROR(A864&amp;"|"&amp;(27+4*(IFERROR(MATCH(C864,Roster!$B$6:$B$65,0),MATCH(C864,Roster!$C$6:$C$65,0))-1)+MATCH(B864,{"AM","PM","NIGHT","WD"},0)-1),""))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$266,'Feb'!$D$27:$AH$266,'Mar'!$D$27:$AH$266,'Apr'!$D$27:$AH$266,'May'!$D$27:$AH$266,'Jun'!$D$27:$AH$266,'Jul'!$D$27:$AH$266,'Aug'!$D$27:$AH$266,'Sep'!$D$27:$AH$266,'Oct'!$D$27:$AH$266,'Nov'!$D$27:$AH$266,'Dec'!$D$27:$AH$266,'Jan (next year)'!$D$27:$AH$266),27+4*(IFERROR(MATCH(C865,Roster!$B$6:$B$65,0),MATCH(C865,Roster!$C$6:$C$65,0))-1)+MATCH(B865,{"AM","PM","NIGHT","WD"},0)-1-27+1,DAY(A865))&amp;"",""))</f>
        <v/>
      </c>
      <c r="G865" s="123">
        <f>IF(OR(A865="",C865="",B865="",E865=""),"",IFERROR(A865&amp;"|"&amp;(27+4*(IFERROR(MATCH(C865,Roster!$B$6:$B$65,0),MATCH(C865,Roster!$C$6:$C$65,0))-1)+MATCH(B865,{"AM","PM","NIGHT","WD"},0)-1),""))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$266,'Feb'!$D$27:$AH$266,'Mar'!$D$27:$AH$266,'Apr'!$D$27:$AH$266,'May'!$D$27:$AH$266,'Jun'!$D$27:$AH$266,'Jul'!$D$27:$AH$266,'Aug'!$D$27:$AH$266,'Sep'!$D$27:$AH$266,'Oct'!$D$27:$AH$266,'Nov'!$D$27:$AH$266,'Dec'!$D$27:$AH$266,'Jan (next year)'!$D$27:$AH$266),27+4*(IFERROR(MATCH(C866,Roster!$B$6:$B$65,0),MATCH(C866,Roster!$C$6:$C$65,0))-1)+MATCH(B866,{"AM","PM","NIGHT","WD"},0)-1-27+1,DAY(A866))&amp;"",""))</f>
        <v/>
      </c>
      <c r="G866" s="123">
        <f>IF(OR(A866="",C866="",B866="",E866=""),"",IFERROR(A866&amp;"|"&amp;(27+4*(IFERROR(MATCH(C866,Roster!$B$6:$B$65,0),MATCH(C866,Roster!$C$6:$C$65,0))-1)+MATCH(B866,{"AM","PM","NIGHT","WD"},0)-1),""))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$266,'Feb'!$D$27:$AH$266,'Mar'!$D$27:$AH$266,'Apr'!$D$27:$AH$266,'May'!$D$27:$AH$266,'Jun'!$D$27:$AH$266,'Jul'!$D$27:$AH$266,'Aug'!$D$27:$AH$266,'Sep'!$D$27:$AH$266,'Oct'!$D$27:$AH$266,'Nov'!$D$27:$AH$266,'Dec'!$D$27:$AH$266,'Jan (next year)'!$D$27:$AH$266),27+4*(IFERROR(MATCH(C867,Roster!$B$6:$B$65,0),MATCH(C867,Roster!$C$6:$C$65,0))-1)+MATCH(B867,{"AM","PM","NIGHT","WD"},0)-1-27+1,DAY(A867))&amp;"",""))</f>
        <v/>
      </c>
      <c r="G867" s="123">
        <f>IF(OR(A867="",C867="",B867="",E867=""),"",IFERROR(A867&amp;"|"&amp;(27+4*(IFERROR(MATCH(C867,Roster!$B$6:$B$65,0),MATCH(C867,Roster!$C$6:$C$65,0))-1)+MATCH(B867,{"AM","PM","NIGHT","WD"},0)-1),""))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$266,'Feb'!$D$27:$AH$266,'Mar'!$D$27:$AH$266,'Apr'!$D$27:$AH$266,'May'!$D$27:$AH$266,'Jun'!$D$27:$AH$266,'Jul'!$D$27:$AH$266,'Aug'!$D$27:$AH$266,'Sep'!$D$27:$AH$266,'Oct'!$D$27:$AH$266,'Nov'!$D$27:$AH$266,'Dec'!$D$27:$AH$266,'Jan (next year)'!$D$27:$AH$266),27+4*(IFERROR(MATCH(C868,Roster!$B$6:$B$65,0),MATCH(C868,Roster!$C$6:$C$65,0))-1)+MATCH(B868,{"AM","PM","NIGHT","WD"},0)-1-27+1,DAY(A868))&amp;"",""))</f>
        <v/>
      </c>
      <c r="G868" s="123">
        <f>IF(OR(A868="",C868="",B868="",E868=""),"",IFERROR(A868&amp;"|"&amp;(27+4*(IFERROR(MATCH(C868,Roster!$B$6:$B$65,0),MATCH(C868,Roster!$C$6:$C$65,0))-1)+MATCH(B868,{"AM","PM","NIGHT","WD"},0)-1),""))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$266,'Feb'!$D$27:$AH$266,'Mar'!$D$27:$AH$266,'Apr'!$D$27:$AH$266,'May'!$D$27:$AH$266,'Jun'!$D$27:$AH$266,'Jul'!$D$27:$AH$266,'Aug'!$D$27:$AH$266,'Sep'!$D$27:$AH$266,'Oct'!$D$27:$AH$266,'Nov'!$D$27:$AH$266,'Dec'!$D$27:$AH$266,'Jan (next year)'!$D$27:$AH$266),27+4*(IFERROR(MATCH(C869,Roster!$B$6:$B$65,0),MATCH(C869,Roster!$C$6:$C$65,0))-1)+MATCH(B869,{"AM","PM","NIGHT","WD"},0)-1-27+1,DAY(A869))&amp;"",""))</f>
        <v/>
      </c>
      <c r="G869" s="123">
        <f>IF(OR(A869="",C869="",B869="",E869=""),"",IFERROR(A869&amp;"|"&amp;(27+4*(IFERROR(MATCH(C869,Roster!$B$6:$B$65,0),MATCH(C869,Roster!$C$6:$C$65,0))-1)+MATCH(B869,{"AM","PM","NIGHT","WD"},0)-1),""))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$266,'Feb'!$D$27:$AH$266,'Mar'!$D$27:$AH$266,'Apr'!$D$27:$AH$266,'May'!$D$27:$AH$266,'Jun'!$D$27:$AH$266,'Jul'!$D$27:$AH$266,'Aug'!$D$27:$AH$266,'Sep'!$D$27:$AH$266,'Oct'!$D$27:$AH$266,'Nov'!$D$27:$AH$266,'Dec'!$D$27:$AH$266,'Jan (next year)'!$D$27:$AH$266),27+4*(IFERROR(MATCH(C870,Roster!$B$6:$B$65,0),MATCH(C870,Roster!$C$6:$C$65,0))-1)+MATCH(B870,{"AM","PM","NIGHT","WD"},0)-1-27+1,DAY(A870))&amp;"",""))</f>
        <v/>
      </c>
      <c r="G870" s="123">
        <f>IF(OR(A870="",C870="",B870="",E870=""),"",IFERROR(A870&amp;"|"&amp;(27+4*(IFERROR(MATCH(C870,Roster!$B$6:$B$65,0),MATCH(C870,Roster!$C$6:$C$65,0))-1)+MATCH(B870,{"AM","PM","NIGHT","WD"},0)-1),""))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$266,'Feb'!$D$27:$AH$266,'Mar'!$D$27:$AH$266,'Apr'!$D$27:$AH$266,'May'!$D$27:$AH$266,'Jun'!$D$27:$AH$266,'Jul'!$D$27:$AH$266,'Aug'!$D$27:$AH$266,'Sep'!$D$27:$AH$266,'Oct'!$D$27:$AH$266,'Nov'!$D$27:$AH$266,'Dec'!$D$27:$AH$266,'Jan (next year)'!$D$27:$AH$266),27+4*(IFERROR(MATCH(C871,Roster!$B$6:$B$65,0),MATCH(C871,Roster!$C$6:$C$65,0))-1)+MATCH(B871,{"AM","PM","NIGHT","WD"},0)-1-27+1,DAY(A871))&amp;"",""))</f>
        <v/>
      </c>
      <c r="G871" s="123">
        <f>IF(OR(A871="",C871="",B871="",E871=""),"",IFERROR(A871&amp;"|"&amp;(27+4*(IFERROR(MATCH(C871,Roster!$B$6:$B$65,0),MATCH(C871,Roster!$C$6:$C$65,0))-1)+MATCH(B871,{"AM","PM","NIGHT","WD"},0)-1),""))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$266,'Feb'!$D$27:$AH$266,'Mar'!$D$27:$AH$266,'Apr'!$D$27:$AH$266,'May'!$D$27:$AH$266,'Jun'!$D$27:$AH$266,'Jul'!$D$27:$AH$266,'Aug'!$D$27:$AH$266,'Sep'!$D$27:$AH$266,'Oct'!$D$27:$AH$266,'Nov'!$D$27:$AH$266,'Dec'!$D$27:$AH$266,'Jan (next year)'!$D$27:$AH$266),27+4*(IFERROR(MATCH(C872,Roster!$B$6:$B$65,0),MATCH(C872,Roster!$C$6:$C$65,0))-1)+MATCH(B872,{"AM","PM","NIGHT","WD"},0)-1-27+1,DAY(A872))&amp;"",""))</f>
        <v/>
      </c>
      <c r="G872" s="123">
        <f>IF(OR(A872="",C872="",B872="",E872=""),"",IFERROR(A872&amp;"|"&amp;(27+4*(IFERROR(MATCH(C872,Roster!$B$6:$B$65,0),MATCH(C872,Roster!$C$6:$C$65,0))-1)+MATCH(B872,{"AM","PM","NIGHT","WD"},0)-1),""))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$266,'Feb'!$D$27:$AH$266,'Mar'!$D$27:$AH$266,'Apr'!$D$27:$AH$266,'May'!$D$27:$AH$266,'Jun'!$D$27:$AH$266,'Jul'!$D$27:$AH$266,'Aug'!$D$27:$AH$266,'Sep'!$D$27:$AH$266,'Oct'!$D$27:$AH$266,'Nov'!$D$27:$AH$266,'Dec'!$D$27:$AH$266,'Jan (next year)'!$D$27:$AH$266),27+4*(IFERROR(MATCH(C873,Roster!$B$6:$B$65,0),MATCH(C873,Roster!$C$6:$C$65,0))-1)+MATCH(B873,{"AM","PM","NIGHT","WD"},0)-1-27+1,DAY(A873))&amp;"",""))</f>
        <v/>
      </c>
      <c r="G873" s="123">
        <f>IF(OR(A873="",C873="",B873="",E873=""),"",IFERROR(A873&amp;"|"&amp;(27+4*(IFERROR(MATCH(C873,Roster!$B$6:$B$65,0),MATCH(C873,Roster!$C$6:$C$65,0))-1)+MATCH(B873,{"AM","PM","NIGHT","WD"},0)-1),""))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$266,'Feb'!$D$27:$AH$266,'Mar'!$D$27:$AH$266,'Apr'!$D$27:$AH$266,'May'!$D$27:$AH$266,'Jun'!$D$27:$AH$266,'Jul'!$D$27:$AH$266,'Aug'!$D$27:$AH$266,'Sep'!$D$27:$AH$266,'Oct'!$D$27:$AH$266,'Nov'!$D$27:$AH$266,'Dec'!$D$27:$AH$266,'Jan (next year)'!$D$27:$AH$266),27+4*(IFERROR(MATCH(C874,Roster!$B$6:$B$65,0),MATCH(C874,Roster!$C$6:$C$65,0))-1)+MATCH(B874,{"AM","PM","NIGHT","WD"},0)-1-27+1,DAY(A874))&amp;"",""))</f>
        <v/>
      </c>
      <c r="G874" s="123">
        <f>IF(OR(A874="",C874="",B874="",E874=""),"",IFERROR(A874&amp;"|"&amp;(27+4*(IFERROR(MATCH(C874,Roster!$B$6:$B$65,0),MATCH(C874,Roster!$C$6:$C$65,0))-1)+MATCH(B874,{"AM","PM","NIGHT","WD"},0)-1),""))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$266,'Feb'!$D$27:$AH$266,'Mar'!$D$27:$AH$266,'Apr'!$D$27:$AH$266,'May'!$D$27:$AH$266,'Jun'!$D$27:$AH$266,'Jul'!$D$27:$AH$266,'Aug'!$D$27:$AH$266,'Sep'!$D$27:$AH$266,'Oct'!$D$27:$AH$266,'Nov'!$D$27:$AH$266,'Dec'!$D$27:$AH$266,'Jan (next year)'!$D$27:$AH$266),27+4*(IFERROR(MATCH(C875,Roster!$B$6:$B$65,0),MATCH(C875,Roster!$C$6:$C$65,0))-1)+MATCH(B875,{"AM","PM","NIGHT","WD"},0)-1-27+1,DAY(A875))&amp;"",""))</f>
        <v/>
      </c>
      <c r="G875" s="123">
        <f>IF(OR(A875="",C875="",B875="",E875=""),"",IFERROR(A875&amp;"|"&amp;(27+4*(IFERROR(MATCH(C875,Roster!$B$6:$B$65,0),MATCH(C875,Roster!$C$6:$C$65,0))-1)+MATCH(B875,{"AM","PM","NIGHT","WD"},0)-1),""))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$266,'Feb'!$D$27:$AH$266,'Mar'!$D$27:$AH$266,'Apr'!$D$27:$AH$266,'May'!$D$27:$AH$266,'Jun'!$D$27:$AH$266,'Jul'!$D$27:$AH$266,'Aug'!$D$27:$AH$266,'Sep'!$D$27:$AH$266,'Oct'!$D$27:$AH$266,'Nov'!$D$27:$AH$266,'Dec'!$D$27:$AH$266,'Jan (next year)'!$D$27:$AH$266),27+4*(IFERROR(MATCH(C876,Roster!$B$6:$B$65,0),MATCH(C876,Roster!$C$6:$C$65,0))-1)+MATCH(B876,{"AM","PM","NIGHT","WD"},0)-1-27+1,DAY(A876))&amp;"",""))</f>
        <v/>
      </c>
      <c r="G876" s="123">
        <f>IF(OR(A876="",C876="",B876="",E876=""),"",IFERROR(A876&amp;"|"&amp;(27+4*(IFERROR(MATCH(C876,Roster!$B$6:$B$65,0),MATCH(C876,Roster!$C$6:$C$65,0))-1)+MATCH(B876,{"AM","PM","NIGHT","WD"},0)-1),""))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$266,'Feb'!$D$27:$AH$266,'Mar'!$D$27:$AH$266,'Apr'!$D$27:$AH$266,'May'!$D$27:$AH$266,'Jun'!$D$27:$AH$266,'Jul'!$D$27:$AH$266,'Aug'!$D$27:$AH$266,'Sep'!$D$27:$AH$266,'Oct'!$D$27:$AH$266,'Nov'!$D$27:$AH$266,'Dec'!$D$27:$AH$266,'Jan (next year)'!$D$27:$AH$266),27+4*(IFERROR(MATCH(C877,Roster!$B$6:$B$65,0),MATCH(C877,Roster!$C$6:$C$65,0))-1)+MATCH(B877,{"AM","PM","NIGHT","WD"},0)-1-27+1,DAY(A877))&amp;"",""))</f>
        <v/>
      </c>
      <c r="G877" s="123">
        <f>IF(OR(A877="",C877="",B877="",E877=""),"",IFERROR(A877&amp;"|"&amp;(27+4*(IFERROR(MATCH(C877,Roster!$B$6:$B$65,0),MATCH(C877,Roster!$C$6:$C$65,0))-1)+MATCH(B877,{"AM","PM","NIGHT","WD"},0)-1),""))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$266,'Feb'!$D$27:$AH$266,'Mar'!$D$27:$AH$266,'Apr'!$D$27:$AH$266,'May'!$D$27:$AH$266,'Jun'!$D$27:$AH$266,'Jul'!$D$27:$AH$266,'Aug'!$D$27:$AH$266,'Sep'!$D$27:$AH$266,'Oct'!$D$27:$AH$266,'Nov'!$D$27:$AH$266,'Dec'!$D$27:$AH$266,'Jan (next year)'!$D$27:$AH$266),27+4*(IFERROR(MATCH(C878,Roster!$B$6:$B$65,0),MATCH(C878,Roster!$C$6:$C$65,0))-1)+MATCH(B878,{"AM","PM","NIGHT","WD"},0)-1-27+1,DAY(A878))&amp;"",""))</f>
        <v/>
      </c>
      <c r="G878" s="123">
        <f>IF(OR(A878="",C878="",B878="",E878=""),"",IFERROR(A878&amp;"|"&amp;(27+4*(IFERROR(MATCH(C878,Roster!$B$6:$B$65,0),MATCH(C878,Roster!$C$6:$C$65,0))-1)+MATCH(B878,{"AM","PM","NIGHT","WD"},0)-1),""))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$266,'Feb'!$D$27:$AH$266,'Mar'!$D$27:$AH$266,'Apr'!$D$27:$AH$266,'May'!$D$27:$AH$266,'Jun'!$D$27:$AH$266,'Jul'!$D$27:$AH$266,'Aug'!$D$27:$AH$266,'Sep'!$D$27:$AH$266,'Oct'!$D$27:$AH$266,'Nov'!$D$27:$AH$266,'Dec'!$D$27:$AH$266,'Jan (next year)'!$D$27:$AH$266),27+4*(IFERROR(MATCH(C879,Roster!$B$6:$B$65,0),MATCH(C879,Roster!$C$6:$C$65,0))-1)+MATCH(B879,{"AM","PM","NIGHT","WD"},0)-1-27+1,DAY(A879))&amp;"",""))</f>
        <v/>
      </c>
      <c r="G879" s="123">
        <f>IF(OR(A879="",C879="",B879="",E879=""),"",IFERROR(A879&amp;"|"&amp;(27+4*(IFERROR(MATCH(C879,Roster!$B$6:$B$65,0),MATCH(C879,Roster!$C$6:$C$65,0))-1)+MATCH(B879,{"AM","PM","NIGHT","WD"},0)-1),""))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$266,'Feb'!$D$27:$AH$266,'Mar'!$D$27:$AH$266,'Apr'!$D$27:$AH$266,'May'!$D$27:$AH$266,'Jun'!$D$27:$AH$266,'Jul'!$D$27:$AH$266,'Aug'!$D$27:$AH$266,'Sep'!$D$27:$AH$266,'Oct'!$D$27:$AH$266,'Nov'!$D$27:$AH$266,'Dec'!$D$27:$AH$266,'Jan (next year)'!$D$27:$AH$266),27+4*(IFERROR(MATCH(C880,Roster!$B$6:$B$65,0),MATCH(C880,Roster!$C$6:$C$65,0))-1)+MATCH(B880,{"AM","PM","NIGHT","WD"},0)-1-27+1,DAY(A880))&amp;"",""))</f>
        <v/>
      </c>
      <c r="G880" s="123">
        <f>IF(OR(A880="",C880="",B880="",E880=""),"",IFERROR(A880&amp;"|"&amp;(27+4*(IFERROR(MATCH(C880,Roster!$B$6:$B$65,0),MATCH(C880,Roster!$C$6:$C$65,0))-1)+MATCH(B880,{"AM","PM","NIGHT","WD"},0)-1),""))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$266,'Feb'!$D$27:$AH$266,'Mar'!$D$27:$AH$266,'Apr'!$D$27:$AH$266,'May'!$D$27:$AH$266,'Jun'!$D$27:$AH$266,'Jul'!$D$27:$AH$266,'Aug'!$D$27:$AH$266,'Sep'!$D$27:$AH$266,'Oct'!$D$27:$AH$266,'Nov'!$D$27:$AH$266,'Dec'!$D$27:$AH$266,'Jan (next year)'!$D$27:$AH$266),27+4*(IFERROR(MATCH(C881,Roster!$B$6:$B$65,0),MATCH(C881,Roster!$C$6:$C$65,0))-1)+MATCH(B881,{"AM","PM","NIGHT","WD"},0)-1-27+1,DAY(A881))&amp;"",""))</f>
        <v/>
      </c>
      <c r="G881" s="123">
        <f>IF(OR(A881="",C881="",B881="",E881=""),"",IFERROR(A881&amp;"|"&amp;(27+4*(IFERROR(MATCH(C881,Roster!$B$6:$B$65,0),MATCH(C881,Roster!$C$6:$C$65,0))-1)+MATCH(B881,{"AM","PM","NIGHT","WD"},0)-1),""))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$266,'Feb'!$D$27:$AH$266,'Mar'!$D$27:$AH$266,'Apr'!$D$27:$AH$266,'May'!$D$27:$AH$266,'Jun'!$D$27:$AH$266,'Jul'!$D$27:$AH$266,'Aug'!$D$27:$AH$266,'Sep'!$D$27:$AH$266,'Oct'!$D$27:$AH$266,'Nov'!$D$27:$AH$266,'Dec'!$D$27:$AH$266,'Jan (next year)'!$D$27:$AH$266),27+4*(IFERROR(MATCH(C882,Roster!$B$6:$B$65,0),MATCH(C882,Roster!$C$6:$C$65,0))-1)+MATCH(B882,{"AM","PM","NIGHT","WD"},0)-1-27+1,DAY(A882))&amp;"",""))</f>
        <v/>
      </c>
      <c r="G882" s="123">
        <f>IF(OR(A882="",C882="",B882="",E882=""),"",IFERROR(A882&amp;"|"&amp;(27+4*(IFERROR(MATCH(C882,Roster!$B$6:$B$65,0),MATCH(C882,Roster!$C$6:$C$65,0))-1)+MATCH(B882,{"AM","PM","NIGHT","WD"},0)-1),""))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$266,'Feb'!$D$27:$AH$266,'Mar'!$D$27:$AH$266,'Apr'!$D$27:$AH$266,'May'!$D$27:$AH$266,'Jun'!$D$27:$AH$266,'Jul'!$D$27:$AH$266,'Aug'!$D$27:$AH$266,'Sep'!$D$27:$AH$266,'Oct'!$D$27:$AH$266,'Nov'!$D$27:$AH$266,'Dec'!$D$27:$AH$266,'Jan (next year)'!$D$27:$AH$266),27+4*(IFERROR(MATCH(C883,Roster!$B$6:$B$65,0),MATCH(C883,Roster!$C$6:$C$65,0))-1)+MATCH(B883,{"AM","PM","NIGHT","WD"},0)-1-27+1,DAY(A883))&amp;"",""))</f>
        <v/>
      </c>
      <c r="G883" s="123">
        <f>IF(OR(A883="",C883="",B883="",E883=""),"",IFERROR(A883&amp;"|"&amp;(27+4*(IFERROR(MATCH(C883,Roster!$B$6:$B$65,0),MATCH(C883,Roster!$C$6:$C$65,0))-1)+MATCH(B883,{"AM","PM","NIGHT","WD"},0)-1),""))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$266,'Feb'!$D$27:$AH$266,'Mar'!$D$27:$AH$266,'Apr'!$D$27:$AH$266,'May'!$D$27:$AH$266,'Jun'!$D$27:$AH$266,'Jul'!$D$27:$AH$266,'Aug'!$D$27:$AH$266,'Sep'!$D$27:$AH$266,'Oct'!$D$27:$AH$266,'Nov'!$D$27:$AH$266,'Dec'!$D$27:$AH$266,'Jan (next year)'!$D$27:$AH$266),27+4*(IFERROR(MATCH(C884,Roster!$B$6:$B$65,0),MATCH(C884,Roster!$C$6:$C$65,0))-1)+MATCH(B884,{"AM","PM","NIGHT","WD"},0)-1-27+1,DAY(A884))&amp;"",""))</f>
        <v/>
      </c>
      <c r="G884" s="123">
        <f>IF(OR(A884="",C884="",B884="",E884=""),"",IFERROR(A884&amp;"|"&amp;(27+4*(IFERROR(MATCH(C884,Roster!$B$6:$B$65,0),MATCH(C884,Roster!$C$6:$C$65,0))-1)+MATCH(B884,{"AM","PM","NIGHT","WD"},0)-1),""))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$266,'Feb'!$D$27:$AH$266,'Mar'!$D$27:$AH$266,'Apr'!$D$27:$AH$266,'May'!$D$27:$AH$266,'Jun'!$D$27:$AH$266,'Jul'!$D$27:$AH$266,'Aug'!$D$27:$AH$266,'Sep'!$D$27:$AH$266,'Oct'!$D$27:$AH$266,'Nov'!$D$27:$AH$266,'Dec'!$D$27:$AH$266,'Jan (next year)'!$D$27:$AH$266),27+4*(IFERROR(MATCH(C885,Roster!$B$6:$B$65,0),MATCH(C885,Roster!$C$6:$C$65,0))-1)+MATCH(B885,{"AM","PM","NIGHT","WD"},0)-1-27+1,DAY(A885))&amp;"",""))</f>
        <v/>
      </c>
      <c r="G885" s="123">
        <f>IF(OR(A885="",C885="",B885="",E885=""),"",IFERROR(A885&amp;"|"&amp;(27+4*(IFERROR(MATCH(C885,Roster!$B$6:$B$65,0),MATCH(C885,Roster!$C$6:$C$65,0))-1)+MATCH(B885,{"AM","PM","NIGHT","WD"},0)-1),""))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$266,'Feb'!$D$27:$AH$266,'Mar'!$D$27:$AH$266,'Apr'!$D$27:$AH$266,'May'!$D$27:$AH$266,'Jun'!$D$27:$AH$266,'Jul'!$D$27:$AH$266,'Aug'!$D$27:$AH$266,'Sep'!$D$27:$AH$266,'Oct'!$D$27:$AH$266,'Nov'!$D$27:$AH$266,'Dec'!$D$27:$AH$266,'Jan (next year)'!$D$27:$AH$266),27+4*(IFERROR(MATCH(C886,Roster!$B$6:$B$65,0),MATCH(C886,Roster!$C$6:$C$65,0))-1)+MATCH(B886,{"AM","PM","NIGHT","WD"},0)-1-27+1,DAY(A886))&amp;"",""))</f>
        <v/>
      </c>
      <c r="G886" s="123">
        <f>IF(OR(A886="",C886="",B886="",E886=""),"",IFERROR(A886&amp;"|"&amp;(27+4*(IFERROR(MATCH(C886,Roster!$B$6:$B$65,0),MATCH(C886,Roster!$C$6:$C$65,0))-1)+MATCH(B886,{"AM","PM","NIGHT","WD"},0)-1),""))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$266,'Feb'!$D$27:$AH$266,'Mar'!$D$27:$AH$266,'Apr'!$D$27:$AH$266,'May'!$D$27:$AH$266,'Jun'!$D$27:$AH$266,'Jul'!$D$27:$AH$266,'Aug'!$D$27:$AH$266,'Sep'!$D$27:$AH$266,'Oct'!$D$27:$AH$266,'Nov'!$D$27:$AH$266,'Dec'!$D$27:$AH$266,'Jan (next year)'!$D$27:$AH$266),27+4*(IFERROR(MATCH(C887,Roster!$B$6:$B$65,0),MATCH(C887,Roster!$C$6:$C$65,0))-1)+MATCH(B887,{"AM","PM","NIGHT","WD"},0)-1-27+1,DAY(A887))&amp;"",""))</f>
        <v/>
      </c>
      <c r="G887" s="123">
        <f>IF(OR(A887="",C887="",B887="",E887=""),"",IFERROR(A887&amp;"|"&amp;(27+4*(IFERROR(MATCH(C887,Roster!$B$6:$B$65,0),MATCH(C887,Roster!$C$6:$C$65,0))-1)+MATCH(B887,{"AM","PM","NIGHT","WD"},0)-1),""))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$266,'Feb'!$D$27:$AH$266,'Mar'!$D$27:$AH$266,'Apr'!$D$27:$AH$266,'May'!$D$27:$AH$266,'Jun'!$D$27:$AH$266,'Jul'!$D$27:$AH$266,'Aug'!$D$27:$AH$266,'Sep'!$D$27:$AH$266,'Oct'!$D$27:$AH$266,'Nov'!$D$27:$AH$266,'Dec'!$D$27:$AH$266,'Jan (next year)'!$D$27:$AH$266),27+4*(IFERROR(MATCH(C888,Roster!$B$6:$B$65,0),MATCH(C888,Roster!$C$6:$C$65,0))-1)+MATCH(B888,{"AM","PM","NIGHT","WD"},0)-1-27+1,DAY(A888))&amp;"",""))</f>
        <v/>
      </c>
      <c r="G888" s="123">
        <f>IF(OR(A888="",C888="",B888="",E888=""),"",IFERROR(A888&amp;"|"&amp;(27+4*(IFERROR(MATCH(C888,Roster!$B$6:$B$65,0),MATCH(C888,Roster!$C$6:$C$65,0))-1)+MATCH(B888,{"AM","PM","NIGHT","WD"},0)-1),""))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$266,'Feb'!$D$27:$AH$266,'Mar'!$D$27:$AH$266,'Apr'!$D$27:$AH$266,'May'!$D$27:$AH$266,'Jun'!$D$27:$AH$266,'Jul'!$D$27:$AH$266,'Aug'!$D$27:$AH$266,'Sep'!$D$27:$AH$266,'Oct'!$D$27:$AH$266,'Nov'!$D$27:$AH$266,'Dec'!$D$27:$AH$266,'Jan (next year)'!$D$27:$AH$266),27+4*(IFERROR(MATCH(C889,Roster!$B$6:$B$65,0),MATCH(C889,Roster!$C$6:$C$65,0))-1)+MATCH(B889,{"AM","PM","NIGHT","WD"},0)-1-27+1,DAY(A889))&amp;"",""))</f>
        <v/>
      </c>
      <c r="G889" s="123">
        <f>IF(OR(A889="",C889="",B889="",E889=""),"",IFERROR(A889&amp;"|"&amp;(27+4*(IFERROR(MATCH(C889,Roster!$B$6:$B$65,0),MATCH(C889,Roster!$C$6:$C$65,0))-1)+MATCH(B889,{"AM","PM","NIGHT","WD"},0)-1),""))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$266,'Feb'!$D$27:$AH$266,'Mar'!$D$27:$AH$266,'Apr'!$D$27:$AH$266,'May'!$D$27:$AH$266,'Jun'!$D$27:$AH$266,'Jul'!$D$27:$AH$266,'Aug'!$D$27:$AH$266,'Sep'!$D$27:$AH$266,'Oct'!$D$27:$AH$266,'Nov'!$D$27:$AH$266,'Dec'!$D$27:$AH$266,'Jan (next year)'!$D$27:$AH$266),27+4*(IFERROR(MATCH(C890,Roster!$B$6:$B$65,0),MATCH(C890,Roster!$C$6:$C$65,0))-1)+MATCH(B890,{"AM","PM","NIGHT","WD"},0)-1-27+1,DAY(A890))&amp;"",""))</f>
        <v/>
      </c>
      <c r="G890" s="123">
        <f>IF(OR(A890="",C890="",B890="",E890=""),"",IFERROR(A890&amp;"|"&amp;(27+4*(IFERROR(MATCH(C890,Roster!$B$6:$B$65,0),MATCH(C890,Roster!$C$6:$C$65,0))-1)+MATCH(B890,{"AM","PM","NIGHT","WD"},0)-1),""))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$266,'Feb'!$D$27:$AH$266,'Mar'!$D$27:$AH$266,'Apr'!$D$27:$AH$266,'May'!$D$27:$AH$266,'Jun'!$D$27:$AH$266,'Jul'!$D$27:$AH$266,'Aug'!$D$27:$AH$266,'Sep'!$D$27:$AH$266,'Oct'!$D$27:$AH$266,'Nov'!$D$27:$AH$266,'Dec'!$D$27:$AH$266,'Jan (next year)'!$D$27:$AH$266),27+4*(IFERROR(MATCH(C891,Roster!$B$6:$B$65,0),MATCH(C891,Roster!$C$6:$C$65,0))-1)+MATCH(B891,{"AM","PM","NIGHT","WD"},0)-1-27+1,DAY(A891))&amp;"",""))</f>
        <v/>
      </c>
      <c r="G891" s="123">
        <f>IF(OR(A891="",C891="",B891="",E891=""),"",IFERROR(A891&amp;"|"&amp;(27+4*(IFERROR(MATCH(C891,Roster!$B$6:$B$65,0),MATCH(C891,Roster!$C$6:$C$65,0))-1)+MATCH(B891,{"AM","PM","NIGHT","WD"},0)-1),""))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$266,'Feb'!$D$27:$AH$266,'Mar'!$D$27:$AH$266,'Apr'!$D$27:$AH$266,'May'!$D$27:$AH$266,'Jun'!$D$27:$AH$266,'Jul'!$D$27:$AH$266,'Aug'!$D$27:$AH$266,'Sep'!$D$27:$AH$266,'Oct'!$D$27:$AH$266,'Nov'!$D$27:$AH$266,'Dec'!$D$27:$AH$266,'Jan (next year)'!$D$27:$AH$266),27+4*(IFERROR(MATCH(C892,Roster!$B$6:$B$65,0),MATCH(C892,Roster!$C$6:$C$65,0))-1)+MATCH(B892,{"AM","PM","NIGHT","WD"},0)-1-27+1,DAY(A892))&amp;"",""))</f>
        <v/>
      </c>
      <c r="G892" s="123">
        <f>IF(OR(A892="",C892="",B892="",E892=""),"",IFERROR(A892&amp;"|"&amp;(27+4*(IFERROR(MATCH(C892,Roster!$B$6:$B$65,0),MATCH(C892,Roster!$C$6:$C$65,0))-1)+MATCH(B892,{"AM","PM","NIGHT","WD"},0)-1),""))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$266,'Feb'!$D$27:$AH$266,'Mar'!$D$27:$AH$266,'Apr'!$D$27:$AH$266,'May'!$D$27:$AH$266,'Jun'!$D$27:$AH$266,'Jul'!$D$27:$AH$266,'Aug'!$D$27:$AH$266,'Sep'!$D$27:$AH$266,'Oct'!$D$27:$AH$266,'Nov'!$D$27:$AH$266,'Dec'!$D$27:$AH$266,'Jan (next year)'!$D$27:$AH$266),27+4*(IFERROR(MATCH(C893,Roster!$B$6:$B$65,0),MATCH(C893,Roster!$C$6:$C$65,0))-1)+MATCH(B893,{"AM","PM","NIGHT","WD"},0)-1-27+1,DAY(A893))&amp;"",""))</f>
        <v/>
      </c>
      <c r="G893" s="123">
        <f>IF(OR(A893="",C893="",B893="",E893=""),"",IFERROR(A893&amp;"|"&amp;(27+4*(IFERROR(MATCH(C893,Roster!$B$6:$B$65,0),MATCH(C893,Roster!$C$6:$C$65,0))-1)+MATCH(B893,{"AM","PM","NIGHT","WD"},0)-1),""))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$266,'Feb'!$D$27:$AH$266,'Mar'!$D$27:$AH$266,'Apr'!$D$27:$AH$266,'May'!$D$27:$AH$266,'Jun'!$D$27:$AH$266,'Jul'!$D$27:$AH$266,'Aug'!$D$27:$AH$266,'Sep'!$D$27:$AH$266,'Oct'!$D$27:$AH$266,'Nov'!$D$27:$AH$266,'Dec'!$D$27:$AH$266,'Jan (next year)'!$D$27:$AH$266),27+4*(IFERROR(MATCH(C894,Roster!$B$6:$B$65,0),MATCH(C894,Roster!$C$6:$C$65,0))-1)+MATCH(B894,{"AM","PM","NIGHT","WD"},0)-1-27+1,DAY(A894))&amp;"",""))</f>
        <v/>
      </c>
      <c r="G894" s="123">
        <f>IF(OR(A894="",C894="",B894="",E894=""),"",IFERROR(A894&amp;"|"&amp;(27+4*(IFERROR(MATCH(C894,Roster!$B$6:$B$65,0),MATCH(C894,Roster!$C$6:$C$65,0))-1)+MATCH(B894,{"AM","PM","NIGHT","WD"},0)-1),""))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$266,'Feb'!$D$27:$AH$266,'Mar'!$D$27:$AH$266,'Apr'!$D$27:$AH$266,'May'!$D$27:$AH$266,'Jun'!$D$27:$AH$266,'Jul'!$D$27:$AH$266,'Aug'!$D$27:$AH$266,'Sep'!$D$27:$AH$266,'Oct'!$D$27:$AH$266,'Nov'!$D$27:$AH$266,'Dec'!$D$27:$AH$266,'Jan (next year)'!$D$27:$AH$266),27+4*(IFERROR(MATCH(C895,Roster!$B$6:$B$65,0),MATCH(C895,Roster!$C$6:$C$65,0))-1)+MATCH(B895,{"AM","PM","NIGHT","WD"},0)-1-27+1,DAY(A895))&amp;"",""))</f>
        <v/>
      </c>
      <c r="G895" s="123">
        <f>IF(OR(A895="",C895="",B895="",E895=""),"",IFERROR(A895&amp;"|"&amp;(27+4*(IFERROR(MATCH(C895,Roster!$B$6:$B$65,0),MATCH(C895,Roster!$C$6:$C$65,0))-1)+MATCH(B895,{"AM","PM","NIGHT","WD"},0)-1),""))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$266,'Feb'!$D$27:$AH$266,'Mar'!$D$27:$AH$266,'Apr'!$D$27:$AH$266,'May'!$D$27:$AH$266,'Jun'!$D$27:$AH$266,'Jul'!$D$27:$AH$266,'Aug'!$D$27:$AH$266,'Sep'!$D$27:$AH$266,'Oct'!$D$27:$AH$266,'Nov'!$D$27:$AH$266,'Dec'!$D$27:$AH$266,'Jan (next year)'!$D$27:$AH$266),27+4*(IFERROR(MATCH(C896,Roster!$B$6:$B$65,0),MATCH(C896,Roster!$C$6:$C$65,0))-1)+MATCH(B896,{"AM","PM","NIGHT","WD"},0)-1-27+1,DAY(A896))&amp;"",""))</f>
        <v/>
      </c>
      <c r="G896" s="123">
        <f>IF(OR(A896="",C896="",B896="",E896=""),"",IFERROR(A896&amp;"|"&amp;(27+4*(IFERROR(MATCH(C896,Roster!$B$6:$B$65,0),MATCH(C896,Roster!$C$6:$C$65,0))-1)+MATCH(B896,{"AM","PM","NIGHT","WD"},0)-1),""))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$266,'Feb'!$D$27:$AH$266,'Mar'!$D$27:$AH$266,'Apr'!$D$27:$AH$266,'May'!$D$27:$AH$266,'Jun'!$D$27:$AH$266,'Jul'!$D$27:$AH$266,'Aug'!$D$27:$AH$266,'Sep'!$D$27:$AH$266,'Oct'!$D$27:$AH$266,'Nov'!$D$27:$AH$266,'Dec'!$D$27:$AH$266,'Jan (next year)'!$D$27:$AH$266),27+4*(IFERROR(MATCH(C897,Roster!$B$6:$B$65,0),MATCH(C897,Roster!$C$6:$C$65,0))-1)+MATCH(B897,{"AM","PM","NIGHT","WD"},0)-1-27+1,DAY(A897))&amp;"",""))</f>
        <v/>
      </c>
      <c r="G897" s="123">
        <f>IF(OR(A897="",C897="",B897="",E897=""),"",IFERROR(A897&amp;"|"&amp;(27+4*(IFERROR(MATCH(C897,Roster!$B$6:$B$65,0),MATCH(C897,Roster!$C$6:$C$65,0))-1)+MATCH(B897,{"AM","PM","NIGHT","WD"},0)-1),""))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$266,'Feb'!$D$27:$AH$266,'Mar'!$D$27:$AH$266,'Apr'!$D$27:$AH$266,'May'!$D$27:$AH$266,'Jun'!$D$27:$AH$266,'Jul'!$D$27:$AH$266,'Aug'!$D$27:$AH$266,'Sep'!$D$27:$AH$266,'Oct'!$D$27:$AH$266,'Nov'!$D$27:$AH$266,'Dec'!$D$27:$AH$266,'Jan (next year)'!$D$27:$AH$266),27+4*(IFERROR(MATCH(C898,Roster!$B$6:$B$65,0),MATCH(C898,Roster!$C$6:$C$65,0))-1)+MATCH(B898,{"AM","PM","NIGHT","WD"},0)-1-27+1,DAY(A898))&amp;"",""))</f>
        <v/>
      </c>
      <c r="G898" s="123">
        <f>IF(OR(A898="",C898="",B898="",E898=""),"",IFERROR(A898&amp;"|"&amp;(27+4*(IFERROR(MATCH(C898,Roster!$B$6:$B$65,0),MATCH(C898,Roster!$C$6:$C$65,0))-1)+MATCH(B898,{"AM","PM","NIGHT","WD"},0)-1),""))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$266,'Feb'!$D$27:$AH$266,'Mar'!$D$27:$AH$266,'Apr'!$D$27:$AH$266,'May'!$D$27:$AH$266,'Jun'!$D$27:$AH$266,'Jul'!$D$27:$AH$266,'Aug'!$D$27:$AH$266,'Sep'!$D$27:$AH$266,'Oct'!$D$27:$AH$266,'Nov'!$D$27:$AH$266,'Dec'!$D$27:$AH$266,'Jan (next year)'!$D$27:$AH$266),27+4*(IFERROR(MATCH(C899,Roster!$B$6:$B$65,0),MATCH(C899,Roster!$C$6:$C$65,0))-1)+MATCH(B899,{"AM","PM","NIGHT","WD"},0)-1-27+1,DAY(A899))&amp;"",""))</f>
        <v/>
      </c>
      <c r="G899" s="123">
        <f>IF(OR(A899="",C899="",B899="",E899=""),"",IFERROR(A899&amp;"|"&amp;(27+4*(IFERROR(MATCH(C899,Roster!$B$6:$B$65,0),MATCH(C899,Roster!$C$6:$C$65,0))-1)+MATCH(B899,{"AM","PM","NIGHT","WD"},0)-1),""))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$266,'Feb'!$D$27:$AH$266,'Mar'!$D$27:$AH$266,'Apr'!$D$27:$AH$266,'May'!$D$27:$AH$266,'Jun'!$D$27:$AH$266,'Jul'!$D$27:$AH$266,'Aug'!$D$27:$AH$266,'Sep'!$D$27:$AH$266,'Oct'!$D$27:$AH$266,'Nov'!$D$27:$AH$266,'Dec'!$D$27:$AH$266,'Jan (next year)'!$D$27:$AH$266),27+4*(IFERROR(MATCH(C900,Roster!$B$6:$B$65,0),MATCH(C900,Roster!$C$6:$C$65,0))-1)+MATCH(B900,{"AM","PM","NIGHT","WD"},0)-1-27+1,DAY(A900))&amp;"",""))</f>
        <v/>
      </c>
      <c r="G900" s="123">
        <f>IF(OR(A900="",C900="",B900="",E900=""),"",IFERROR(A900&amp;"|"&amp;(27+4*(IFERROR(MATCH(C900,Roster!$B$6:$B$65,0),MATCH(C900,Roster!$C$6:$C$65,0))-1)+MATCH(B900,{"AM","PM","NIGHT","WD"},0)-1),""))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$266,'Feb'!$D$27:$AH$266,'Mar'!$D$27:$AH$266,'Apr'!$D$27:$AH$266,'May'!$D$27:$AH$266,'Jun'!$D$27:$AH$266,'Jul'!$D$27:$AH$266,'Aug'!$D$27:$AH$266,'Sep'!$D$27:$AH$266,'Oct'!$D$27:$AH$266,'Nov'!$D$27:$AH$266,'Dec'!$D$27:$AH$266,'Jan (next year)'!$D$27:$AH$266),27+4*(IFERROR(MATCH(C901,Roster!$B$6:$B$65,0),MATCH(C901,Roster!$C$6:$C$65,0))-1)+MATCH(B901,{"AM","PM","NIGHT","WD"},0)-1-27+1,DAY(A901))&amp;"",""))</f>
        <v/>
      </c>
      <c r="G901" s="123">
        <f>IF(OR(A901="",C901="",B901="",E901=""),"",IFERROR(A901&amp;"|"&amp;(27+4*(IFERROR(MATCH(C901,Roster!$B$6:$B$65,0),MATCH(C901,Roster!$C$6:$C$65,0))-1)+MATCH(B901,{"AM","PM","NIGHT","WD"},0)-1),""))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$266,'Feb'!$D$27:$AH$266,'Mar'!$D$27:$AH$266,'Apr'!$D$27:$AH$266,'May'!$D$27:$AH$266,'Jun'!$D$27:$AH$266,'Jul'!$D$27:$AH$266,'Aug'!$D$27:$AH$266,'Sep'!$D$27:$AH$266,'Oct'!$D$27:$AH$266,'Nov'!$D$27:$AH$266,'Dec'!$D$27:$AH$266,'Jan (next year)'!$D$27:$AH$266),27+4*(IFERROR(MATCH(C902,Roster!$B$6:$B$65,0),MATCH(C902,Roster!$C$6:$C$65,0))-1)+MATCH(B902,{"AM","PM","NIGHT","WD"},0)-1-27+1,DAY(A902))&amp;"",""))</f>
        <v/>
      </c>
      <c r="G902" s="123">
        <f>IF(OR(A902="",C902="",B902="",E902=""),"",IFERROR(A902&amp;"|"&amp;(27+4*(IFERROR(MATCH(C902,Roster!$B$6:$B$65,0),MATCH(C902,Roster!$C$6:$C$65,0))-1)+MATCH(B902,{"AM","PM","NIGHT","WD"},0)-1),""))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$266,'Feb'!$D$27:$AH$266,'Mar'!$D$27:$AH$266,'Apr'!$D$27:$AH$266,'May'!$D$27:$AH$266,'Jun'!$D$27:$AH$266,'Jul'!$D$27:$AH$266,'Aug'!$D$27:$AH$266,'Sep'!$D$27:$AH$266,'Oct'!$D$27:$AH$266,'Nov'!$D$27:$AH$266,'Dec'!$D$27:$AH$266,'Jan (next year)'!$D$27:$AH$266),27+4*(IFERROR(MATCH(C903,Roster!$B$6:$B$65,0),MATCH(C903,Roster!$C$6:$C$65,0))-1)+MATCH(B903,{"AM","PM","NIGHT","WD"},0)-1-27+1,DAY(A903))&amp;"",""))</f>
        <v/>
      </c>
      <c r="G903" s="123">
        <f>IF(OR(A903="",C903="",B903="",E903=""),"",IFERROR(A903&amp;"|"&amp;(27+4*(IFERROR(MATCH(C903,Roster!$B$6:$B$65,0),MATCH(C903,Roster!$C$6:$C$65,0))-1)+MATCH(B903,{"AM","PM","NIGHT","WD"},0)-1),""))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$266,'Feb'!$D$27:$AH$266,'Mar'!$D$27:$AH$266,'Apr'!$D$27:$AH$266,'May'!$D$27:$AH$266,'Jun'!$D$27:$AH$266,'Jul'!$D$27:$AH$266,'Aug'!$D$27:$AH$266,'Sep'!$D$27:$AH$266,'Oct'!$D$27:$AH$266,'Nov'!$D$27:$AH$266,'Dec'!$D$27:$AH$266,'Jan (next year)'!$D$27:$AH$266),27+4*(IFERROR(MATCH(C904,Roster!$B$6:$B$65,0),MATCH(C904,Roster!$C$6:$C$65,0))-1)+MATCH(B904,{"AM","PM","NIGHT","WD"},0)-1-27+1,DAY(A904))&amp;"",""))</f>
        <v/>
      </c>
      <c r="G904" s="123">
        <f>IF(OR(A904="",C904="",B904="",E904=""),"",IFERROR(A904&amp;"|"&amp;(27+4*(IFERROR(MATCH(C904,Roster!$B$6:$B$65,0),MATCH(C904,Roster!$C$6:$C$65,0))-1)+MATCH(B904,{"AM","PM","NIGHT","WD"},0)-1),""))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$266,'Feb'!$D$27:$AH$266,'Mar'!$D$27:$AH$266,'Apr'!$D$27:$AH$266,'May'!$D$27:$AH$266,'Jun'!$D$27:$AH$266,'Jul'!$D$27:$AH$266,'Aug'!$D$27:$AH$266,'Sep'!$D$27:$AH$266,'Oct'!$D$27:$AH$266,'Nov'!$D$27:$AH$266,'Dec'!$D$27:$AH$266,'Jan (next year)'!$D$27:$AH$266),27+4*(IFERROR(MATCH(C905,Roster!$B$6:$B$65,0),MATCH(C905,Roster!$C$6:$C$65,0))-1)+MATCH(B905,{"AM","PM","NIGHT","WD"},0)-1-27+1,DAY(A905))&amp;"",""))</f>
        <v/>
      </c>
      <c r="G905" s="123">
        <f>IF(OR(A905="",C905="",B905="",E905=""),"",IFERROR(A905&amp;"|"&amp;(27+4*(IFERROR(MATCH(C905,Roster!$B$6:$B$65,0),MATCH(C905,Roster!$C$6:$C$65,0))-1)+MATCH(B905,{"AM","PM","NIGHT","WD"},0)-1),""))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$266,'Feb'!$D$27:$AH$266,'Mar'!$D$27:$AH$266,'Apr'!$D$27:$AH$266,'May'!$D$27:$AH$266,'Jun'!$D$27:$AH$266,'Jul'!$D$27:$AH$266,'Aug'!$D$27:$AH$266,'Sep'!$D$27:$AH$266,'Oct'!$D$27:$AH$266,'Nov'!$D$27:$AH$266,'Dec'!$D$27:$AH$266,'Jan (next year)'!$D$27:$AH$266),27+4*(IFERROR(MATCH(C906,Roster!$B$6:$B$65,0),MATCH(C906,Roster!$C$6:$C$65,0))-1)+MATCH(B906,{"AM","PM","NIGHT","WD"},0)-1-27+1,DAY(A906))&amp;"",""))</f>
        <v/>
      </c>
      <c r="G906" s="123">
        <f>IF(OR(A906="",C906="",B906="",E906=""),"",IFERROR(A906&amp;"|"&amp;(27+4*(IFERROR(MATCH(C906,Roster!$B$6:$B$65,0),MATCH(C906,Roster!$C$6:$C$65,0))-1)+MATCH(B906,{"AM","PM","NIGHT","WD"},0)-1),""))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$266,'Feb'!$D$27:$AH$266,'Mar'!$D$27:$AH$266,'Apr'!$D$27:$AH$266,'May'!$D$27:$AH$266,'Jun'!$D$27:$AH$266,'Jul'!$D$27:$AH$266,'Aug'!$D$27:$AH$266,'Sep'!$D$27:$AH$266,'Oct'!$D$27:$AH$266,'Nov'!$D$27:$AH$266,'Dec'!$D$27:$AH$266,'Jan (next year)'!$D$27:$AH$266),27+4*(IFERROR(MATCH(C907,Roster!$B$6:$B$65,0),MATCH(C907,Roster!$C$6:$C$65,0))-1)+MATCH(B907,{"AM","PM","NIGHT","WD"},0)-1-27+1,DAY(A907))&amp;"",""))</f>
        <v/>
      </c>
      <c r="G907" s="123">
        <f>IF(OR(A907="",C907="",B907="",E907=""),"",IFERROR(A907&amp;"|"&amp;(27+4*(IFERROR(MATCH(C907,Roster!$B$6:$B$65,0),MATCH(C907,Roster!$C$6:$C$65,0))-1)+MATCH(B907,{"AM","PM","NIGHT","WD"},0)-1),""))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$266,'Feb'!$D$27:$AH$266,'Mar'!$D$27:$AH$266,'Apr'!$D$27:$AH$266,'May'!$D$27:$AH$266,'Jun'!$D$27:$AH$266,'Jul'!$D$27:$AH$266,'Aug'!$D$27:$AH$266,'Sep'!$D$27:$AH$266,'Oct'!$D$27:$AH$266,'Nov'!$D$27:$AH$266,'Dec'!$D$27:$AH$266,'Jan (next year)'!$D$27:$AH$266),27+4*(IFERROR(MATCH(C908,Roster!$B$6:$B$65,0),MATCH(C908,Roster!$C$6:$C$65,0))-1)+MATCH(B908,{"AM","PM","NIGHT","WD"},0)-1-27+1,DAY(A908))&amp;"",""))</f>
        <v/>
      </c>
      <c r="G908" s="123">
        <f>IF(OR(A908="",C908="",B908="",E908=""),"",IFERROR(A908&amp;"|"&amp;(27+4*(IFERROR(MATCH(C908,Roster!$B$6:$B$65,0),MATCH(C908,Roster!$C$6:$C$65,0))-1)+MATCH(B908,{"AM","PM","NIGHT","WD"},0)-1),""))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$266,'Feb'!$D$27:$AH$266,'Mar'!$D$27:$AH$266,'Apr'!$D$27:$AH$266,'May'!$D$27:$AH$266,'Jun'!$D$27:$AH$266,'Jul'!$D$27:$AH$266,'Aug'!$D$27:$AH$266,'Sep'!$D$27:$AH$266,'Oct'!$D$27:$AH$266,'Nov'!$D$27:$AH$266,'Dec'!$D$27:$AH$266,'Jan (next year)'!$D$27:$AH$266),27+4*(IFERROR(MATCH(C909,Roster!$B$6:$B$65,0),MATCH(C909,Roster!$C$6:$C$65,0))-1)+MATCH(B909,{"AM","PM","NIGHT","WD"},0)-1-27+1,DAY(A909))&amp;"",""))</f>
        <v/>
      </c>
      <c r="G909" s="123">
        <f>IF(OR(A909="",C909="",B909="",E909=""),"",IFERROR(A909&amp;"|"&amp;(27+4*(IFERROR(MATCH(C909,Roster!$B$6:$B$65,0),MATCH(C909,Roster!$C$6:$C$65,0))-1)+MATCH(B909,{"AM","PM","NIGHT","WD"},0)-1),""))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$266,'Feb'!$D$27:$AH$266,'Mar'!$D$27:$AH$266,'Apr'!$D$27:$AH$266,'May'!$D$27:$AH$266,'Jun'!$D$27:$AH$266,'Jul'!$D$27:$AH$266,'Aug'!$D$27:$AH$266,'Sep'!$D$27:$AH$266,'Oct'!$D$27:$AH$266,'Nov'!$D$27:$AH$266,'Dec'!$D$27:$AH$266,'Jan (next year)'!$D$27:$AH$266),27+4*(IFERROR(MATCH(C910,Roster!$B$6:$B$65,0),MATCH(C910,Roster!$C$6:$C$65,0))-1)+MATCH(B910,{"AM","PM","NIGHT","WD"},0)-1-27+1,DAY(A910))&amp;"",""))</f>
        <v/>
      </c>
      <c r="G910" s="123">
        <f>IF(OR(A910="",C910="",B910="",E910=""),"",IFERROR(A910&amp;"|"&amp;(27+4*(IFERROR(MATCH(C910,Roster!$B$6:$B$65,0),MATCH(C910,Roster!$C$6:$C$65,0))-1)+MATCH(B910,{"AM","PM","NIGHT","WD"},0)-1),""))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$266,'Feb'!$D$27:$AH$266,'Mar'!$D$27:$AH$266,'Apr'!$D$27:$AH$266,'May'!$D$27:$AH$266,'Jun'!$D$27:$AH$266,'Jul'!$D$27:$AH$266,'Aug'!$D$27:$AH$266,'Sep'!$D$27:$AH$266,'Oct'!$D$27:$AH$266,'Nov'!$D$27:$AH$266,'Dec'!$D$27:$AH$266,'Jan (next year)'!$D$27:$AH$266),27+4*(IFERROR(MATCH(C911,Roster!$B$6:$B$65,0),MATCH(C911,Roster!$C$6:$C$65,0))-1)+MATCH(B911,{"AM","PM","NIGHT","WD"},0)-1-27+1,DAY(A911))&amp;"",""))</f>
        <v/>
      </c>
      <c r="G911" s="123">
        <f>IF(OR(A911="",C911="",B911="",E911=""),"",IFERROR(A911&amp;"|"&amp;(27+4*(IFERROR(MATCH(C911,Roster!$B$6:$B$65,0),MATCH(C911,Roster!$C$6:$C$65,0))-1)+MATCH(B911,{"AM","PM","NIGHT","WD"},0)-1),""))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$266,'Feb'!$D$27:$AH$266,'Mar'!$D$27:$AH$266,'Apr'!$D$27:$AH$266,'May'!$D$27:$AH$266,'Jun'!$D$27:$AH$266,'Jul'!$D$27:$AH$266,'Aug'!$D$27:$AH$266,'Sep'!$D$27:$AH$266,'Oct'!$D$27:$AH$266,'Nov'!$D$27:$AH$266,'Dec'!$D$27:$AH$266,'Jan (next year)'!$D$27:$AH$266),27+4*(IFERROR(MATCH(C912,Roster!$B$6:$B$65,0),MATCH(C912,Roster!$C$6:$C$65,0))-1)+MATCH(B912,{"AM","PM","NIGHT","WD"},0)-1-27+1,DAY(A912))&amp;"",""))</f>
        <v/>
      </c>
      <c r="G912" s="123">
        <f>IF(OR(A912="",C912="",B912="",E912=""),"",IFERROR(A912&amp;"|"&amp;(27+4*(IFERROR(MATCH(C912,Roster!$B$6:$B$65,0),MATCH(C912,Roster!$C$6:$C$65,0))-1)+MATCH(B912,{"AM","PM","NIGHT","WD"},0)-1),""))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$266,'Feb'!$D$27:$AH$266,'Mar'!$D$27:$AH$266,'Apr'!$D$27:$AH$266,'May'!$D$27:$AH$266,'Jun'!$D$27:$AH$266,'Jul'!$D$27:$AH$266,'Aug'!$D$27:$AH$266,'Sep'!$D$27:$AH$266,'Oct'!$D$27:$AH$266,'Nov'!$D$27:$AH$266,'Dec'!$D$27:$AH$266,'Jan (next year)'!$D$27:$AH$266),27+4*(IFERROR(MATCH(C913,Roster!$B$6:$B$65,0),MATCH(C913,Roster!$C$6:$C$65,0))-1)+MATCH(B913,{"AM","PM","NIGHT","WD"},0)-1-27+1,DAY(A913))&amp;"",""))</f>
        <v/>
      </c>
      <c r="G913" s="123">
        <f>IF(OR(A913="",C913="",B913="",E913=""),"",IFERROR(A913&amp;"|"&amp;(27+4*(IFERROR(MATCH(C913,Roster!$B$6:$B$65,0),MATCH(C913,Roster!$C$6:$C$65,0))-1)+MATCH(B913,{"AM","PM","NIGHT","WD"},0)-1),""))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$266,'Feb'!$D$27:$AH$266,'Mar'!$D$27:$AH$266,'Apr'!$D$27:$AH$266,'May'!$D$27:$AH$266,'Jun'!$D$27:$AH$266,'Jul'!$D$27:$AH$266,'Aug'!$D$27:$AH$266,'Sep'!$D$27:$AH$266,'Oct'!$D$27:$AH$266,'Nov'!$D$27:$AH$266,'Dec'!$D$27:$AH$266,'Jan (next year)'!$D$27:$AH$266),27+4*(IFERROR(MATCH(C914,Roster!$B$6:$B$65,0),MATCH(C914,Roster!$C$6:$C$65,0))-1)+MATCH(B914,{"AM","PM","NIGHT","WD"},0)-1-27+1,DAY(A914))&amp;"",""))</f>
        <v/>
      </c>
      <c r="G914" s="123">
        <f>IF(OR(A914="",C914="",B914="",E914=""),"",IFERROR(A914&amp;"|"&amp;(27+4*(IFERROR(MATCH(C914,Roster!$B$6:$B$65,0),MATCH(C914,Roster!$C$6:$C$65,0))-1)+MATCH(B914,{"AM","PM","NIGHT","WD"},0)-1),""))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$266,'Feb'!$D$27:$AH$266,'Mar'!$D$27:$AH$266,'Apr'!$D$27:$AH$266,'May'!$D$27:$AH$266,'Jun'!$D$27:$AH$266,'Jul'!$D$27:$AH$266,'Aug'!$D$27:$AH$266,'Sep'!$D$27:$AH$266,'Oct'!$D$27:$AH$266,'Nov'!$D$27:$AH$266,'Dec'!$D$27:$AH$266,'Jan (next year)'!$D$27:$AH$266),27+4*(IFERROR(MATCH(C915,Roster!$B$6:$B$65,0),MATCH(C915,Roster!$C$6:$C$65,0))-1)+MATCH(B915,{"AM","PM","NIGHT","WD"},0)-1-27+1,DAY(A915))&amp;"",""))</f>
        <v/>
      </c>
      <c r="G915" s="123">
        <f>IF(OR(A915="",C915="",B915="",E915=""),"",IFERROR(A915&amp;"|"&amp;(27+4*(IFERROR(MATCH(C915,Roster!$B$6:$B$65,0),MATCH(C915,Roster!$C$6:$C$65,0))-1)+MATCH(B915,{"AM","PM","NIGHT","WD"},0)-1),""))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$266,'Feb'!$D$27:$AH$266,'Mar'!$D$27:$AH$266,'Apr'!$D$27:$AH$266,'May'!$D$27:$AH$266,'Jun'!$D$27:$AH$266,'Jul'!$D$27:$AH$266,'Aug'!$D$27:$AH$266,'Sep'!$D$27:$AH$266,'Oct'!$D$27:$AH$266,'Nov'!$D$27:$AH$266,'Dec'!$D$27:$AH$266,'Jan (next year)'!$D$27:$AH$266),27+4*(IFERROR(MATCH(C916,Roster!$B$6:$B$65,0),MATCH(C916,Roster!$C$6:$C$65,0))-1)+MATCH(B916,{"AM","PM","NIGHT","WD"},0)-1-27+1,DAY(A916))&amp;"",""))</f>
        <v/>
      </c>
      <c r="G916" s="123">
        <f>IF(OR(A916="",C916="",B916="",E916=""),"",IFERROR(A916&amp;"|"&amp;(27+4*(IFERROR(MATCH(C916,Roster!$B$6:$B$65,0),MATCH(C916,Roster!$C$6:$C$65,0))-1)+MATCH(B916,{"AM","PM","NIGHT","WD"},0)-1),""))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$266,'Feb'!$D$27:$AH$266,'Mar'!$D$27:$AH$266,'Apr'!$D$27:$AH$266,'May'!$D$27:$AH$266,'Jun'!$D$27:$AH$266,'Jul'!$D$27:$AH$266,'Aug'!$D$27:$AH$266,'Sep'!$D$27:$AH$266,'Oct'!$D$27:$AH$266,'Nov'!$D$27:$AH$266,'Dec'!$D$27:$AH$266,'Jan (next year)'!$D$27:$AH$266),27+4*(IFERROR(MATCH(C917,Roster!$B$6:$B$65,0),MATCH(C917,Roster!$C$6:$C$65,0))-1)+MATCH(B917,{"AM","PM","NIGHT","WD"},0)-1-27+1,DAY(A917))&amp;"",""))</f>
        <v/>
      </c>
      <c r="G917" s="123">
        <f>IF(OR(A917="",C917="",B917="",E917=""),"",IFERROR(A917&amp;"|"&amp;(27+4*(IFERROR(MATCH(C917,Roster!$B$6:$B$65,0),MATCH(C917,Roster!$C$6:$C$65,0))-1)+MATCH(B917,{"AM","PM","NIGHT","WD"},0)-1),""))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$266,'Feb'!$D$27:$AH$266,'Mar'!$D$27:$AH$266,'Apr'!$D$27:$AH$266,'May'!$D$27:$AH$266,'Jun'!$D$27:$AH$266,'Jul'!$D$27:$AH$266,'Aug'!$D$27:$AH$266,'Sep'!$D$27:$AH$266,'Oct'!$D$27:$AH$266,'Nov'!$D$27:$AH$266,'Dec'!$D$27:$AH$266,'Jan (next year)'!$D$27:$AH$266),27+4*(IFERROR(MATCH(C918,Roster!$B$6:$B$65,0),MATCH(C918,Roster!$C$6:$C$65,0))-1)+MATCH(B918,{"AM","PM","NIGHT","WD"},0)-1-27+1,DAY(A918))&amp;"",""))</f>
        <v/>
      </c>
      <c r="G918" s="123">
        <f>IF(OR(A918="",C918="",B918="",E918=""),"",IFERROR(A918&amp;"|"&amp;(27+4*(IFERROR(MATCH(C918,Roster!$B$6:$B$65,0),MATCH(C918,Roster!$C$6:$C$65,0))-1)+MATCH(B918,{"AM","PM","NIGHT","WD"},0)-1),""))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$266,'Feb'!$D$27:$AH$266,'Mar'!$D$27:$AH$266,'Apr'!$D$27:$AH$266,'May'!$D$27:$AH$266,'Jun'!$D$27:$AH$266,'Jul'!$D$27:$AH$266,'Aug'!$D$27:$AH$266,'Sep'!$D$27:$AH$266,'Oct'!$D$27:$AH$266,'Nov'!$D$27:$AH$266,'Dec'!$D$27:$AH$266,'Jan (next year)'!$D$27:$AH$266),27+4*(IFERROR(MATCH(C919,Roster!$B$6:$B$65,0),MATCH(C919,Roster!$C$6:$C$65,0))-1)+MATCH(B919,{"AM","PM","NIGHT","WD"},0)-1-27+1,DAY(A919))&amp;"",""))</f>
        <v/>
      </c>
      <c r="G919" s="123">
        <f>IF(OR(A919="",C919="",B919="",E919=""),"",IFERROR(A919&amp;"|"&amp;(27+4*(IFERROR(MATCH(C919,Roster!$B$6:$B$65,0),MATCH(C919,Roster!$C$6:$C$65,0))-1)+MATCH(B919,{"AM","PM","NIGHT","WD"},0)-1),""))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$266,'Feb'!$D$27:$AH$266,'Mar'!$D$27:$AH$266,'Apr'!$D$27:$AH$266,'May'!$D$27:$AH$266,'Jun'!$D$27:$AH$266,'Jul'!$D$27:$AH$266,'Aug'!$D$27:$AH$266,'Sep'!$D$27:$AH$266,'Oct'!$D$27:$AH$266,'Nov'!$D$27:$AH$266,'Dec'!$D$27:$AH$266,'Jan (next year)'!$D$27:$AH$266),27+4*(IFERROR(MATCH(C920,Roster!$B$6:$B$65,0),MATCH(C920,Roster!$C$6:$C$65,0))-1)+MATCH(B920,{"AM","PM","NIGHT","WD"},0)-1-27+1,DAY(A920))&amp;"",""))</f>
        <v/>
      </c>
      <c r="G920" s="123">
        <f>IF(OR(A920="",C920="",B920="",E920=""),"",IFERROR(A920&amp;"|"&amp;(27+4*(IFERROR(MATCH(C920,Roster!$B$6:$B$65,0),MATCH(C920,Roster!$C$6:$C$65,0))-1)+MATCH(B920,{"AM","PM","NIGHT","WD"},0)-1),""))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$266,'Feb'!$D$27:$AH$266,'Mar'!$D$27:$AH$266,'Apr'!$D$27:$AH$266,'May'!$D$27:$AH$266,'Jun'!$D$27:$AH$266,'Jul'!$D$27:$AH$266,'Aug'!$D$27:$AH$266,'Sep'!$D$27:$AH$266,'Oct'!$D$27:$AH$266,'Nov'!$D$27:$AH$266,'Dec'!$D$27:$AH$266,'Jan (next year)'!$D$27:$AH$266),27+4*(IFERROR(MATCH(C921,Roster!$B$6:$B$65,0),MATCH(C921,Roster!$C$6:$C$65,0))-1)+MATCH(B921,{"AM","PM","NIGHT","WD"},0)-1-27+1,DAY(A921))&amp;"",""))</f>
        <v/>
      </c>
      <c r="G921" s="123">
        <f>IF(OR(A921="",C921="",B921="",E921=""),"",IFERROR(A921&amp;"|"&amp;(27+4*(IFERROR(MATCH(C921,Roster!$B$6:$B$65,0),MATCH(C921,Roster!$C$6:$C$65,0))-1)+MATCH(B921,{"AM","PM","NIGHT","WD"},0)-1),""))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$266,'Feb'!$D$27:$AH$266,'Mar'!$D$27:$AH$266,'Apr'!$D$27:$AH$266,'May'!$D$27:$AH$266,'Jun'!$D$27:$AH$266,'Jul'!$D$27:$AH$266,'Aug'!$D$27:$AH$266,'Sep'!$D$27:$AH$266,'Oct'!$D$27:$AH$266,'Nov'!$D$27:$AH$266,'Dec'!$D$27:$AH$266,'Jan (next year)'!$D$27:$AH$266),27+4*(IFERROR(MATCH(C922,Roster!$B$6:$B$65,0),MATCH(C922,Roster!$C$6:$C$65,0))-1)+MATCH(B922,{"AM","PM","NIGHT","WD"},0)-1-27+1,DAY(A922))&amp;"",""))</f>
        <v/>
      </c>
      <c r="G922" s="123">
        <f>IF(OR(A922="",C922="",B922="",E922=""),"",IFERROR(A922&amp;"|"&amp;(27+4*(IFERROR(MATCH(C922,Roster!$B$6:$B$65,0),MATCH(C922,Roster!$C$6:$C$65,0))-1)+MATCH(B922,{"AM","PM","NIGHT","WD"},0)-1),""))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$266,'Feb'!$D$27:$AH$266,'Mar'!$D$27:$AH$266,'Apr'!$D$27:$AH$266,'May'!$D$27:$AH$266,'Jun'!$D$27:$AH$266,'Jul'!$D$27:$AH$266,'Aug'!$D$27:$AH$266,'Sep'!$D$27:$AH$266,'Oct'!$D$27:$AH$266,'Nov'!$D$27:$AH$266,'Dec'!$D$27:$AH$266,'Jan (next year)'!$D$27:$AH$266),27+4*(IFERROR(MATCH(C923,Roster!$B$6:$B$65,0),MATCH(C923,Roster!$C$6:$C$65,0))-1)+MATCH(B923,{"AM","PM","NIGHT","WD"},0)-1-27+1,DAY(A923))&amp;"",""))</f>
        <v/>
      </c>
      <c r="G923" s="123">
        <f>IF(OR(A923="",C923="",B923="",E923=""),"",IFERROR(A923&amp;"|"&amp;(27+4*(IFERROR(MATCH(C923,Roster!$B$6:$B$65,0),MATCH(C923,Roster!$C$6:$C$65,0))-1)+MATCH(B923,{"AM","PM","NIGHT","WD"},0)-1),""))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$266,'Feb'!$D$27:$AH$266,'Mar'!$D$27:$AH$266,'Apr'!$D$27:$AH$266,'May'!$D$27:$AH$266,'Jun'!$D$27:$AH$266,'Jul'!$D$27:$AH$266,'Aug'!$D$27:$AH$266,'Sep'!$D$27:$AH$266,'Oct'!$D$27:$AH$266,'Nov'!$D$27:$AH$266,'Dec'!$D$27:$AH$266,'Jan (next year)'!$D$27:$AH$266),27+4*(IFERROR(MATCH(C924,Roster!$B$6:$B$65,0),MATCH(C924,Roster!$C$6:$C$65,0))-1)+MATCH(B924,{"AM","PM","NIGHT","WD"},0)-1-27+1,DAY(A924))&amp;"",""))</f>
        <v/>
      </c>
      <c r="G924" s="123">
        <f>IF(OR(A924="",C924="",B924="",E924=""),"",IFERROR(A924&amp;"|"&amp;(27+4*(IFERROR(MATCH(C924,Roster!$B$6:$B$65,0),MATCH(C924,Roster!$C$6:$C$65,0))-1)+MATCH(B924,{"AM","PM","NIGHT","WD"},0)-1),""))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$266,'Feb'!$D$27:$AH$266,'Mar'!$D$27:$AH$266,'Apr'!$D$27:$AH$266,'May'!$D$27:$AH$266,'Jun'!$D$27:$AH$266,'Jul'!$D$27:$AH$266,'Aug'!$D$27:$AH$266,'Sep'!$D$27:$AH$266,'Oct'!$D$27:$AH$266,'Nov'!$D$27:$AH$266,'Dec'!$D$27:$AH$266,'Jan (next year)'!$D$27:$AH$266),27+4*(IFERROR(MATCH(C925,Roster!$B$6:$B$65,0),MATCH(C925,Roster!$C$6:$C$65,0))-1)+MATCH(B925,{"AM","PM","NIGHT","WD"},0)-1-27+1,DAY(A925))&amp;"",""))</f>
        <v/>
      </c>
      <c r="G925" s="123">
        <f>IF(OR(A925="",C925="",B925="",E925=""),"",IFERROR(A925&amp;"|"&amp;(27+4*(IFERROR(MATCH(C925,Roster!$B$6:$B$65,0),MATCH(C925,Roster!$C$6:$C$65,0))-1)+MATCH(B925,{"AM","PM","NIGHT","WD"},0)-1),""))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$266,'Feb'!$D$27:$AH$266,'Mar'!$D$27:$AH$266,'Apr'!$D$27:$AH$266,'May'!$D$27:$AH$266,'Jun'!$D$27:$AH$266,'Jul'!$D$27:$AH$266,'Aug'!$D$27:$AH$266,'Sep'!$D$27:$AH$266,'Oct'!$D$27:$AH$266,'Nov'!$D$27:$AH$266,'Dec'!$D$27:$AH$266,'Jan (next year)'!$D$27:$AH$266),27+4*(IFERROR(MATCH(C926,Roster!$B$6:$B$65,0),MATCH(C926,Roster!$C$6:$C$65,0))-1)+MATCH(B926,{"AM","PM","NIGHT","WD"},0)-1-27+1,DAY(A926))&amp;"",""))</f>
        <v/>
      </c>
      <c r="G926" s="123">
        <f>IF(OR(A926="",C926="",B926="",E926=""),"",IFERROR(A926&amp;"|"&amp;(27+4*(IFERROR(MATCH(C926,Roster!$B$6:$B$65,0),MATCH(C926,Roster!$C$6:$C$65,0))-1)+MATCH(B926,{"AM","PM","NIGHT","WD"},0)-1),""))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$266,'Feb'!$D$27:$AH$266,'Mar'!$D$27:$AH$266,'Apr'!$D$27:$AH$266,'May'!$D$27:$AH$266,'Jun'!$D$27:$AH$266,'Jul'!$D$27:$AH$266,'Aug'!$D$27:$AH$266,'Sep'!$D$27:$AH$266,'Oct'!$D$27:$AH$266,'Nov'!$D$27:$AH$266,'Dec'!$D$27:$AH$266,'Jan (next year)'!$D$27:$AH$266),27+4*(IFERROR(MATCH(C927,Roster!$B$6:$B$65,0),MATCH(C927,Roster!$C$6:$C$65,0))-1)+MATCH(B927,{"AM","PM","NIGHT","WD"},0)-1-27+1,DAY(A927))&amp;"",""))</f>
        <v/>
      </c>
      <c r="G927" s="123">
        <f>IF(OR(A927="",C927="",B927="",E927=""),"",IFERROR(A927&amp;"|"&amp;(27+4*(IFERROR(MATCH(C927,Roster!$B$6:$B$65,0),MATCH(C927,Roster!$C$6:$C$65,0))-1)+MATCH(B927,{"AM","PM","NIGHT","WD"},0)-1),""))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$266,'Feb'!$D$27:$AH$266,'Mar'!$D$27:$AH$266,'Apr'!$D$27:$AH$266,'May'!$D$27:$AH$266,'Jun'!$D$27:$AH$266,'Jul'!$D$27:$AH$266,'Aug'!$D$27:$AH$266,'Sep'!$D$27:$AH$266,'Oct'!$D$27:$AH$266,'Nov'!$D$27:$AH$266,'Dec'!$D$27:$AH$266,'Jan (next year)'!$D$27:$AH$266),27+4*(IFERROR(MATCH(C928,Roster!$B$6:$B$65,0),MATCH(C928,Roster!$C$6:$C$65,0))-1)+MATCH(B928,{"AM","PM","NIGHT","WD"},0)-1-27+1,DAY(A928))&amp;"",""))</f>
        <v/>
      </c>
      <c r="G928" s="123">
        <f>IF(OR(A928="",C928="",B928="",E928=""),"",IFERROR(A928&amp;"|"&amp;(27+4*(IFERROR(MATCH(C928,Roster!$B$6:$B$65,0),MATCH(C928,Roster!$C$6:$C$65,0))-1)+MATCH(B928,{"AM","PM","NIGHT","WD"},0)-1),""))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$266,'Feb'!$D$27:$AH$266,'Mar'!$D$27:$AH$266,'Apr'!$D$27:$AH$266,'May'!$D$27:$AH$266,'Jun'!$D$27:$AH$266,'Jul'!$D$27:$AH$266,'Aug'!$D$27:$AH$266,'Sep'!$D$27:$AH$266,'Oct'!$D$27:$AH$266,'Nov'!$D$27:$AH$266,'Dec'!$D$27:$AH$266,'Jan (next year)'!$D$27:$AH$266),27+4*(IFERROR(MATCH(C929,Roster!$B$6:$B$65,0),MATCH(C929,Roster!$C$6:$C$65,0))-1)+MATCH(B929,{"AM","PM","NIGHT","WD"},0)-1-27+1,DAY(A929))&amp;"",""))</f>
        <v/>
      </c>
      <c r="G929" s="123">
        <f>IF(OR(A929="",C929="",B929="",E929=""),"",IFERROR(A929&amp;"|"&amp;(27+4*(IFERROR(MATCH(C929,Roster!$B$6:$B$65,0),MATCH(C929,Roster!$C$6:$C$65,0))-1)+MATCH(B929,{"AM","PM","NIGHT","WD"},0)-1),""))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$266,'Feb'!$D$27:$AH$266,'Mar'!$D$27:$AH$266,'Apr'!$D$27:$AH$266,'May'!$D$27:$AH$266,'Jun'!$D$27:$AH$266,'Jul'!$D$27:$AH$266,'Aug'!$D$27:$AH$266,'Sep'!$D$27:$AH$266,'Oct'!$D$27:$AH$266,'Nov'!$D$27:$AH$266,'Dec'!$D$27:$AH$266,'Jan (next year)'!$D$27:$AH$266),27+4*(IFERROR(MATCH(C930,Roster!$B$6:$B$65,0),MATCH(C930,Roster!$C$6:$C$65,0))-1)+MATCH(B930,{"AM","PM","NIGHT","WD"},0)-1-27+1,DAY(A930))&amp;"",""))</f>
        <v/>
      </c>
      <c r="G930" s="123">
        <f>IF(OR(A930="",C930="",B930="",E930=""),"",IFERROR(A930&amp;"|"&amp;(27+4*(IFERROR(MATCH(C930,Roster!$B$6:$B$65,0),MATCH(C930,Roster!$C$6:$C$65,0))-1)+MATCH(B930,{"AM","PM","NIGHT","WD"},0)-1),""))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$266,'Feb'!$D$27:$AH$266,'Mar'!$D$27:$AH$266,'Apr'!$D$27:$AH$266,'May'!$D$27:$AH$266,'Jun'!$D$27:$AH$266,'Jul'!$D$27:$AH$266,'Aug'!$D$27:$AH$266,'Sep'!$D$27:$AH$266,'Oct'!$D$27:$AH$266,'Nov'!$D$27:$AH$266,'Dec'!$D$27:$AH$266,'Jan (next year)'!$D$27:$AH$266),27+4*(IFERROR(MATCH(C931,Roster!$B$6:$B$65,0),MATCH(C931,Roster!$C$6:$C$65,0))-1)+MATCH(B931,{"AM","PM","NIGHT","WD"},0)-1-27+1,DAY(A931))&amp;"",""))</f>
        <v/>
      </c>
      <c r="G931" s="123">
        <f>IF(OR(A931="",C931="",B931="",E931=""),"",IFERROR(A931&amp;"|"&amp;(27+4*(IFERROR(MATCH(C931,Roster!$B$6:$B$65,0),MATCH(C931,Roster!$C$6:$C$65,0))-1)+MATCH(B931,{"AM","PM","NIGHT","WD"},0)-1),""))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$266,'Feb'!$D$27:$AH$266,'Mar'!$D$27:$AH$266,'Apr'!$D$27:$AH$266,'May'!$D$27:$AH$266,'Jun'!$D$27:$AH$266,'Jul'!$D$27:$AH$266,'Aug'!$D$27:$AH$266,'Sep'!$D$27:$AH$266,'Oct'!$D$27:$AH$266,'Nov'!$D$27:$AH$266,'Dec'!$D$27:$AH$266,'Jan (next year)'!$D$27:$AH$266),27+4*(IFERROR(MATCH(C932,Roster!$B$6:$B$65,0),MATCH(C932,Roster!$C$6:$C$65,0))-1)+MATCH(B932,{"AM","PM","NIGHT","WD"},0)-1-27+1,DAY(A932))&amp;"",""))</f>
        <v/>
      </c>
      <c r="G932" s="123">
        <f>IF(OR(A932="",C932="",B932="",E932=""),"",IFERROR(A932&amp;"|"&amp;(27+4*(IFERROR(MATCH(C932,Roster!$B$6:$B$65,0),MATCH(C932,Roster!$C$6:$C$65,0))-1)+MATCH(B932,{"AM","PM","NIGHT","WD"},0)-1),""))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$266,'Feb'!$D$27:$AH$266,'Mar'!$D$27:$AH$266,'Apr'!$D$27:$AH$266,'May'!$D$27:$AH$266,'Jun'!$D$27:$AH$266,'Jul'!$D$27:$AH$266,'Aug'!$D$27:$AH$266,'Sep'!$D$27:$AH$266,'Oct'!$D$27:$AH$266,'Nov'!$D$27:$AH$266,'Dec'!$D$27:$AH$266,'Jan (next year)'!$D$27:$AH$266),27+4*(IFERROR(MATCH(C933,Roster!$B$6:$B$65,0),MATCH(C933,Roster!$C$6:$C$65,0))-1)+MATCH(B933,{"AM","PM","NIGHT","WD"},0)-1-27+1,DAY(A933))&amp;"",""))</f>
        <v/>
      </c>
      <c r="G933" s="123">
        <f>IF(OR(A933="",C933="",B933="",E933=""),"",IFERROR(A933&amp;"|"&amp;(27+4*(IFERROR(MATCH(C933,Roster!$B$6:$B$65,0),MATCH(C933,Roster!$C$6:$C$65,0))-1)+MATCH(B933,{"AM","PM","NIGHT","WD"},0)-1),""))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$266,'Feb'!$D$27:$AH$266,'Mar'!$D$27:$AH$266,'Apr'!$D$27:$AH$266,'May'!$D$27:$AH$266,'Jun'!$D$27:$AH$266,'Jul'!$D$27:$AH$266,'Aug'!$D$27:$AH$266,'Sep'!$D$27:$AH$266,'Oct'!$D$27:$AH$266,'Nov'!$D$27:$AH$266,'Dec'!$D$27:$AH$266,'Jan (next year)'!$D$27:$AH$266),27+4*(IFERROR(MATCH(C934,Roster!$B$6:$B$65,0),MATCH(C934,Roster!$C$6:$C$65,0))-1)+MATCH(B934,{"AM","PM","NIGHT","WD"},0)-1-27+1,DAY(A934))&amp;"",""))</f>
        <v/>
      </c>
      <c r="G934" s="123">
        <f>IF(OR(A934="",C934="",B934="",E934=""),"",IFERROR(A934&amp;"|"&amp;(27+4*(IFERROR(MATCH(C934,Roster!$B$6:$B$65,0),MATCH(C934,Roster!$C$6:$C$65,0))-1)+MATCH(B934,{"AM","PM","NIGHT","WD"},0)-1),""))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$266,'Feb'!$D$27:$AH$266,'Mar'!$D$27:$AH$266,'Apr'!$D$27:$AH$266,'May'!$D$27:$AH$266,'Jun'!$D$27:$AH$266,'Jul'!$D$27:$AH$266,'Aug'!$D$27:$AH$266,'Sep'!$D$27:$AH$266,'Oct'!$D$27:$AH$266,'Nov'!$D$27:$AH$266,'Dec'!$D$27:$AH$266,'Jan (next year)'!$D$27:$AH$266),27+4*(IFERROR(MATCH(C935,Roster!$B$6:$B$65,0),MATCH(C935,Roster!$C$6:$C$65,0))-1)+MATCH(B935,{"AM","PM","NIGHT","WD"},0)-1-27+1,DAY(A935))&amp;"",""))</f>
        <v/>
      </c>
      <c r="G935" s="123">
        <f>IF(OR(A935="",C935="",B935="",E935=""),"",IFERROR(A935&amp;"|"&amp;(27+4*(IFERROR(MATCH(C935,Roster!$B$6:$B$65,0),MATCH(C935,Roster!$C$6:$C$65,0))-1)+MATCH(B935,{"AM","PM","NIGHT","WD"},0)-1),""))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$266,'Feb'!$D$27:$AH$266,'Mar'!$D$27:$AH$266,'Apr'!$D$27:$AH$266,'May'!$D$27:$AH$266,'Jun'!$D$27:$AH$266,'Jul'!$D$27:$AH$266,'Aug'!$D$27:$AH$266,'Sep'!$D$27:$AH$266,'Oct'!$D$27:$AH$266,'Nov'!$D$27:$AH$266,'Dec'!$D$27:$AH$266,'Jan (next year)'!$D$27:$AH$266),27+4*(IFERROR(MATCH(C936,Roster!$B$6:$B$65,0),MATCH(C936,Roster!$C$6:$C$65,0))-1)+MATCH(B936,{"AM","PM","NIGHT","WD"},0)-1-27+1,DAY(A936))&amp;"",""))</f>
        <v/>
      </c>
      <c r="G936" s="123">
        <f>IF(OR(A936="",C936="",B936="",E936=""),"",IFERROR(A936&amp;"|"&amp;(27+4*(IFERROR(MATCH(C936,Roster!$B$6:$B$65,0),MATCH(C936,Roster!$C$6:$C$65,0))-1)+MATCH(B936,{"AM","PM","NIGHT","WD"},0)-1),""))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$266,'Feb'!$D$27:$AH$266,'Mar'!$D$27:$AH$266,'Apr'!$D$27:$AH$266,'May'!$D$27:$AH$266,'Jun'!$D$27:$AH$266,'Jul'!$D$27:$AH$266,'Aug'!$D$27:$AH$266,'Sep'!$D$27:$AH$266,'Oct'!$D$27:$AH$266,'Nov'!$D$27:$AH$266,'Dec'!$D$27:$AH$266,'Jan (next year)'!$D$27:$AH$266),27+4*(IFERROR(MATCH(C937,Roster!$B$6:$B$65,0),MATCH(C937,Roster!$C$6:$C$65,0))-1)+MATCH(B937,{"AM","PM","NIGHT","WD"},0)-1-27+1,DAY(A937))&amp;"",""))</f>
        <v/>
      </c>
      <c r="G937" s="123">
        <f>IF(OR(A937="",C937="",B937="",E937=""),"",IFERROR(A937&amp;"|"&amp;(27+4*(IFERROR(MATCH(C937,Roster!$B$6:$B$65,0),MATCH(C937,Roster!$C$6:$C$65,0))-1)+MATCH(B937,{"AM","PM","NIGHT","WD"},0)-1),""))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$266,'Feb'!$D$27:$AH$266,'Mar'!$D$27:$AH$266,'Apr'!$D$27:$AH$266,'May'!$D$27:$AH$266,'Jun'!$D$27:$AH$266,'Jul'!$D$27:$AH$266,'Aug'!$D$27:$AH$266,'Sep'!$D$27:$AH$266,'Oct'!$D$27:$AH$266,'Nov'!$D$27:$AH$266,'Dec'!$D$27:$AH$266,'Jan (next year)'!$D$27:$AH$266),27+4*(IFERROR(MATCH(C938,Roster!$B$6:$B$65,0),MATCH(C938,Roster!$C$6:$C$65,0))-1)+MATCH(B938,{"AM","PM","NIGHT","WD"},0)-1-27+1,DAY(A938))&amp;"",""))</f>
        <v/>
      </c>
      <c r="G938" s="123">
        <f>IF(OR(A938="",C938="",B938="",E938=""),"",IFERROR(A938&amp;"|"&amp;(27+4*(IFERROR(MATCH(C938,Roster!$B$6:$B$65,0),MATCH(C938,Roster!$C$6:$C$65,0))-1)+MATCH(B938,{"AM","PM","NIGHT","WD"},0)-1),""))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$266,'Feb'!$D$27:$AH$266,'Mar'!$D$27:$AH$266,'Apr'!$D$27:$AH$266,'May'!$D$27:$AH$266,'Jun'!$D$27:$AH$266,'Jul'!$D$27:$AH$266,'Aug'!$D$27:$AH$266,'Sep'!$D$27:$AH$266,'Oct'!$D$27:$AH$266,'Nov'!$D$27:$AH$266,'Dec'!$D$27:$AH$266,'Jan (next year)'!$D$27:$AH$266),27+4*(IFERROR(MATCH(C939,Roster!$B$6:$B$65,0),MATCH(C939,Roster!$C$6:$C$65,0))-1)+MATCH(B939,{"AM","PM","NIGHT","WD"},0)-1-27+1,DAY(A939))&amp;"",""))</f>
        <v/>
      </c>
      <c r="G939" s="123">
        <f>IF(OR(A939="",C939="",B939="",E939=""),"",IFERROR(A939&amp;"|"&amp;(27+4*(IFERROR(MATCH(C939,Roster!$B$6:$B$65,0),MATCH(C939,Roster!$C$6:$C$65,0))-1)+MATCH(B939,{"AM","PM","NIGHT","WD"},0)-1),""))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$266,'Feb'!$D$27:$AH$266,'Mar'!$D$27:$AH$266,'Apr'!$D$27:$AH$266,'May'!$D$27:$AH$266,'Jun'!$D$27:$AH$266,'Jul'!$D$27:$AH$266,'Aug'!$D$27:$AH$266,'Sep'!$D$27:$AH$266,'Oct'!$D$27:$AH$266,'Nov'!$D$27:$AH$266,'Dec'!$D$27:$AH$266,'Jan (next year)'!$D$27:$AH$266),27+4*(IFERROR(MATCH(C940,Roster!$B$6:$B$65,0),MATCH(C940,Roster!$C$6:$C$65,0))-1)+MATCH(B940,{"AM","PM","NIGHT","WD"},0)-1-27+1,DAY(A940))&amp;"",""))</f>
        <v/>
      </c>
      <c r="G940" s="123">
        <f>IF(OR(A940="",C940="",B940="",E940=""),"",IFERROR(A940&amp;"|"&amp;(27+4*(IFERROR(MATCH(C940,Roster!$B$6:$B$65,0),MATCH(C940,Roster!$C$6:$C$65,0))-1)+MATCH(B940,{"AM","PM","NIGHT","WD"},0)-1),""))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$266,'Feb'!$D$27:$AH$266,'Mar'!$D$27:$AH$266,'Apr'!$D$27:$AH$266,'May'!$D$27:$AH$266,'Jun'!$D$27:$AH$266,'Jul'!$D$27:$AH$266,'Aug'!$D$27:$AH$266,'Sep'!$D$27:$AH$266,'Oct'!$D$27:$AH$266,'Nov'!$D$27:$AH$266,'Dec'!$D$27:$AH$266,'Jan (next year)'!$D$27:$AH$266),27+4*(IFERROR(MATCH(C941,Roster!$B$6:$B$65,0),MATCH(C941,Roster!$C$6:$C$65,0))-1)+MATCH(B941,{"AM","PM","NIGHT","WD"},0)-1-27+1,DAY(A941))&amp;"",""))</f>
        <v/>
      </c>
      <c r="G941" s="123">
        <f>IF(OR(A941="",C941="",B941="",E941=""),"",IFERROR(A941&amp;"|"&amp;(27+4*(IFERROR(MATCH(C941,Roster!$B$6:$B$65,0),MATCH(C941,Roster!$C$6:$C$65,0))-1)+MATCH(B941,{"AM","PM","NIGHT","WD"},0)-1),""))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$266,'Feb'!$D$27:$AH$266,'Mar'!$D$27:$AH$266,'Apr'!$D$27:$AH$266,'May'!$D$27:$AH$266,'Jun'!$D$27:$AH$266,'Jul'!$D$27:$AH$266,'Aug'!$D$27:$AH$266,'Sep'!$D$27:$AH$266,'Oct'!$D$27:$AH$266,'Nov'!$D$27:$AH$266,'Dec'!$D$27:$AH$266,'Jan (next year)'!$D$27:$AH$266),27+4*(IFERROR(MATCH(C942,Roster!$B$6:$B$65,0),MATCH(C942,Roster!$C$6:$C$65,0))-1)+MATCH(B942,{"AM","PM","NIGHT","WD"},0)-1-27+1,DAY(A942))&amp;"",""))</f>
        <v/>
      </c>
      <c r="G942" s="123">
        <f>IF(OR(A942="",C942="",B942="",E942=""),"",IFERROR(A942&amp;"|"&amp;(27+4*(IFERROR(MATCH(C942,Roster!$B$6:$B$65,0),MATCH(C942,Roster!$C$6:$C$65,0))-1)+MATCH(B942,{"AM","PM","NIGHT","WD"},0)-1),""))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$266,'Feb'!$D$27:$AH$266,'Mar'!$D$27:$AH$266,'Apr'!$D$27:$AH$266,'May'!$D$27:$AH$266,'Jun'!$D$27:$AH$266,'Jul'!$D$27:$AH$266,'Aug'!$D$27:$AH$266,'Sep'!$D$27:$AH$266,'Oct'!$D$27:$AH$266,'Nov'!$D$27:$AH$266,'Dec'!$D$27:$AH$266,'Jan (next year)'!$D$27:$AH$266),27+4*(IFERROR(MATCH(C943,Roster!$B$6:$B$65,0),MATCH(C943,Roster!$C$6:$C$65,0))-1)+MATCH(B943,{"AM","PM","NIGHT","WD"},0)-1-27+1,DAY(A943))&amp;"",""))</f>
        <v/>
      </c>
      <c r="G943" s="123">
        <f>IF(OR(A943="",C943="",B943="",E943=""),"",IFERROR(A943&amp;"|"&amp;(27+4*(IFERROR(MATCH(C943,Roster!$B$6:$B$65,0),MATCH(C943,Roster!$C$6:$C$65,0))-1)+MATCH(B943,{"AM","PM","NIGHT","WD"},0)-1),""))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$266,'Feb'!$D$27:$AH$266,'Mar'!$D$27:$AH$266,'Apr'!$D$27:$AH$266,'May'!$D$27:$AH$266,'Jun'!$D$27:$AH$266,'Jul'!$D$27:$AH$266,'Aug'!$D$27:$AH$266,'Sep'!$D$27:$AH$266,'Oct'!$D$27:$AH$266,'Nov'!$D$27:$AH$266,'Dec'!$D$27:$AH$266,'Jan (next year)'!$D$27:$AH$266),27+4*(IFERROR(MATCH(C944,Roster!$B$6:$B$65,0),MATCH(C944,Roster!$C$6:$C$65,0))-1)+MATCH(B944,{"AM","PM","NIGHT","WD"},0)-1-27+1,DAY(A944))&amp;"",""))</f>
        <v/>
      </c>
      <c r="G944" s="123">
        <f>IF(OR(A944="",C944="",B944="",E944=""),"",IFERROR(A944&amp;"|"&amp;(27+4*(IFERROR(MATCH(C944,Roster!$B$6:$B$65,0),MATCH(C944,Roster!$C$6:$C$65,0))-1)+MATCH(B944,{"AM","PM","NIGHT","WD"},0)-1),""))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$266,'Feb'!$D$27:$AH$266,'Mar'!$D$27:$AH$266,'Apr'!$D$27:$AH$266,'May'!$D$27:$AH$266,'Jun'!$D$27:$AH$266,'Jul'!$D$27:$AH$266,'Aug'!$D$27:$AH$266,'Sep'!$D$27:$AH$266,'Oct'!$D$27:$AH$266,'Nov'!$D$27:$AH$266,'Dec'!$D$27:$AH$266,'Jan (next year)'!$D$27:$AH$266),27+4*(IFERROR(MATCH(C945,Roster!$B$6:$B$65,0),MATCH(C945,Roster!$C$6:$C$65,0))-1)+MATCH(B945,{"AM","PM","NIGHT","WD"},0)-1-27+1,DAY(A945))&amp;"",""))</f>
        <v/>
      </c>
      <c r="G945" s="123">
        <f>IF(OR(A945="",C945="",B945="",E945=""),"",IFERROR(A945&amp;"|"&amp;(27+4*(IFERROR(MATCH(C945,Roster!$B$6:$B$65,0),MATCH(C945,Roster!$C$6:$C$65,0))-1)+MATCH(B945,{"AM","PM","NIGHT","WD"},0)-1),""))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$266,'Feb'!$D$27:$AH$266,'Mar'!$D$27:$AH$266,'Apr'!$D$27:$AH$266,'May'!$D$27:$AH$266,'Jun'!$D$27:$AH$266,'Jul'!$D$27:$AH$266,'Aug'!$D$27:$AH$266,'Sep'!$D$27:$AH$266,'Oct'!$D$27:$AH$266,'Nov'!$D$27:$AH$266,'Dec'!$D$27:$AH$266,'Jan (next year)'!$D$27:$AH$266),27+4*(IFERROR(MATCH(C946,Roster!$B$6:$B$65,0),MATCH(C946,Roster!$C$6:$C$65,0))-1)+MATCH(B946,{"AM","PM","NIGHT","WD"},0)-1-27+1,DAY(A946))&amp;"",""))</f>
        <v/>
      </c>
      <c r="G946" s="123">
        <f>IF(OR(A946="",C946="",B946="",E946=""),"",IFERROR(A946&amp;"|"&amp;(27+4*(IFERROR(MATCH(C946,Roster!$B$6:$B$65,0),MATCH(C946,Roster!$C$6:$C$65,0))-1)+MATCH(B946,{"AM","PM","NIGHT","WD"},0)-1),""))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$266,'Feb'!$D$27:$AH$266,'Mar'!$D$27:$AH$266,'Apr'!$D$27:$AH$266,'May'!$D$27:$AH$266,'Jun'!$D$27:$AH$266,'Jul'!$D$27:$AH$266,'Aug'!$D$27:$AH$266,'Sep'!$D$27:$AH$266,'Oct'!$D$27:$AH$266,'Nov'!$D$27:$AH$266,'Dec'!$D$27:$AH$266,'Jan (next year)'!$D$27:$AH$266),27+4*(IFERROR(MATCH(C947,Roster!$B$6:$B$65,0),MATCH(C947,Roster!$C$6:$C$65,0))-1)+MATCH(B947,{"AM","PM","NIGHT","WD"},0)-1-27+1,DAY(A947))&amp;"",""))</f>
        <v/>
      </c>
      <c r="G947" s="123">
        <f>IF(OR(A947="",C947="",B947="",E947=""),"",IFERROR(A947&amp;"|"&amp;(27+4*(IFERROR(MATCH(C947,Roster!$B$6:$B$65,0),MATCH(C947,Roster!$C$6:$C$65,0))-1)+MATCH(B947,{"AM","PM","NIGHT","WD"},0)-1),""))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$266,'Feb'!$D$27:$AH$266,'Mar'!$D$27:$AH$266,'Apr'!$D$27:$AH$266,'May'!$D$27:$AH$266,'Jun'!$D$27:$AH$266,'Jul'!$D$27:$AH$266,'Aug'!$D$27:$AH$266,'Sep'!$D$27:$AH$266,'Oct'!$D$27:$AH$266,'Nov'!$D$27:$AH$266,'Dec'!$D$27:$AH$266,'Jan (next year)'!$D$27:$AH$266),27+4*(IFERROR(MATCH(C948,Roster!$B$6:$B$65,0),MATCH(C948,Roster!$C$6:$C$65,0))-1)+MATCH(B948,{"AM","PM","NIGHT","WD"},0)-1-27+1,DAY(A948))&amp;"",""))</f>
        <v/>
      </c>
      <c r="G948" s="123">
        <f>IF(OR(A948="",C948="",B948="",E948=""),"",IFERROR(A948&amp;"|"&amp;(27+4*(IFERROR(MATCH(C948,Roster!$B$6:$B$65,0),MATCH(C948,Roster!$C$6:$C$65,0))-1)+MATCH(B948,{"AM","PM","NIGHT","WD"},0)-1),""))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$266,'Feb'!$D$27:$AH$266,'Mar'!$D$27:$AH$266,'Apr'!$D$27:$AH$266,'May'!$D$27:$AH$266,'Jun'!$D$27:$AH$266,'Jul'!$D$27:$AH$266,'Aug'!$D$27:$AH$266,'Sep'!$D$27:$AH$266,'Oct'!$D$27:$AH$266,'Nov'!$D$27:$AH$266,'Dec'!$D$27:$AH$266,'Jan (next year)'!$D$27:$AH$266),27+4*(IFERROR(MATCH(C949,Roster!$B$6:$B$65,0),MATCH(C949,Roster!$C$6:$C$65,0))-1)+MATCH(B949,{"AM","PM","NIGHT","WD"},0)-1-27+1,DAY(A949))&amp;"",""))</f>
        <v/>
      </c>
      <c r="G949" s="123">
        <f>IF(OR(A949="",C949="",B949="",E949=""),"",IFERROR(A949&amp;"|"&amp;(27+4*(IFERROR(MATCH(C949,Roster!$B$6:$B$65,0),MATCH(C949,Roster!$C$6:$C$65,0))-1)+MATCH(B949,{"AM","PM","NIGHT","WD"},0)-1),""))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$266,'Feb'!$D$27:$AH$266,'Mar'!$D$27:$AH$266,'Apr'!$D$27:$AH$266,'May'!$D$27:$AH$266,'Jun'!$D$27:$AH$266,'Jul'!$D$27:$AH$266,'Aug'!$D$27:$AH$266,'Sep'!$D$27:$AH$266,'Oct'!$D$27:$AH$266,'Nov'!$D$27:$AH$266,'Dec'!$D$27:$AH$266,'Jan (next year)'!$D$27:$AH$266),27+4*(IFERROR(MATCH(C950,Roster!$B$6:$B$65,0),MATCH(C950,Roster!$C$6:$C$65,0))-1)+MATCH(B950,{"AM","PM","NIGHT","WD"},0)-1-27+1,DAY(A950))&amp;"",""))</f>
        <v/>
      </c>
      <c r="G950" s="123">
        <f>IF(OR(A950="",C950="",B950="",E950=""),"",IFERROR(A950&amp;"|"&amp;(27+4*(IFERROR(MATCH(C950,Roster!$B$6:$B$65,0),MATCH(C950,Roster!$C$6:$C$65,0))-1)+MATCH(B950,{"AM","PM","NIGHT","WD"},0)-1),""))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$266,'Feb'!$D$27:$AH$266,'Mar'!$D$27:$AH$266,'Apr'!$D$27:$AH$266,'May'!$D$27:$AH$266,'Jun'!$D$27:$AH$266,'Jul'!$D$27:$AH$266,'Aug'!$D$27:$AH$266,'Sep'!$D$27:$AH$266,'Oct'!$D$27:$AH$266,'Nov'!$D$27:$AH$266,'Dec'!$D$27:$AH$266,'Jan (next year)'!$D$27:$AH$266),27+4*(IFERROR(MATCH(C951,Roster!$B$6:$B$65,0),MATCH(C951,Roster!$C$6:$C$65,0))-1)+MATCH(B951,{"AM","PM","NIGHT","WD"},0)-1-27+1,DAY(A951))&amp;"",""))</f>
        <v/>
      </c>
      <c r="G951" s="123">
        <f>IF(OR(A951="",C951="",B951="",E951=""),"",IFERROR(A951&amp;"|"&amp;(27+4*(IFERROR(MATCH(C951,Roster!$B$6:$B$65,0),MATCH(C951,Roster!$C$6:$C$65,0))-1)+MATCH(B951,{"AM","PM","NIGHT","WD"},0)-1),""))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$266,'Feb'!$D$27:$AH$266,'Mar'!$D$27:$AH$266,'Apr'!$D$27:$AH$266,'May'!$D$27:$AH$266,'Jun'!$D$27:$AH$266,'Jul'!$D$27:$AH$266,'Aug'!$D$27:$AH$266,'Sep'!$D$27:$AH$266,'Oct'!$D$27:$AH$266,'Nov'!$D$27:$AH$266,'Dec'!$D$27:$AH$266,'Jan (next year)'!$D$27:$AH$266),27+4*(IFERROR(MATCH(C952,Roster!$B$6:$B$65,0),MATCH(C952,Roster!$C$6:$C$65,0))-1)+MATCH(B952,{"AM","PM","NIGHT","WD"},0)-1-27+1,DAY(A952))&amp;"",""))</f>
        <v/>
      </c>
      <c r="G952" s="123">
        <f>IF(OR(A952="",C952="",B952="",E952=""),"",IFERROR(A952&amp;"|"&amp;(27+4*(IFERROR(MATCH(C952,Roster!$B$6:$B$65,0),MATCH(C952,Roster!$C$6:$C$65,0))-1)+MATCH(B952,{"AM","PM","NIGHT","WD"},0)-1),""))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$266,'Feb'!$D$27:$AH$266,'Mar'!$D$27:$AH$266,'Apr'!$D$27:$AH$266,'May'!$D$27:$AH$266,'Jun'!$D$27:$AH$266,'Jul'!$D$27:$AH$266,'Aug'!$D$27:$AH$266,'Sep'!$D$27:$AH$266,'Oct'!$D$27:$AH$266,'Nov'!$D$27:$AH$266,'Dec'!$D$27:$AH$266,'Jan (next year)'!$D$27:$AH$266),27+4*(IFERROR(MATCH(C953,Roster!$B$6:$B$65,0),MATCH(C953,Roster!$C$6:$C$65,0))-1)+MATCH(B953,{"AM","PM","NIGHT","WD"},0)-1-27+1,DAY(A953))&amp;"",""))</f>
        <v/>
      </c>
      <c r="G953" s="123">
        <f>IF(OR(A953="",C953="",B953="",E953=""),"",IFERROR(A953&amp;"|"&amp;(27+4*(IFERROR(MATCH(C953,Roster!$B$6:$B$65,0),MATCH(C953,Roster!$C$6:$C$65,0))-1)+MATCH(B953,{"AM","PM","NIGHT","WD"},0)-1),""))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$266,'Feb'!$D$27:$AH$266,'Mar'!$D$27:$AH$266,'Apr'!$D$27:$AH$266,'May'!$D$27:$AH$266,'Jun'!$D$27:$AH$266,'Jul'!$D$27:$AH$266,'Aug'!$D$27:$AH$266,'Sep'!$D$27:$AH$266,'Oct'!$D$27:$AH$266,'Nov'!$D$27:$AH$266,'Dec'!$D$27:$AH$266,'Jan (next year)'!$D$27:$AH$266),27+4*(IFERROR(MATCH(C954,Roster!$B$6:$B$65,0),MATCH(C954,Roster!$C$6:$C$65,0))-1)+MATCH(B954,{"AM","PM","NIGHT","WD"},0)-1-27+1,DAY(A954))&amp;"",""))</f>
        <v/>
      </c>
      <c r="G954" s="123">
        <f>IF(OR(A954="",C954="",B954="",E954=""),"",IFERROR(A954&amp;"|"&amp;(27+4*(IFERROR(MATCH(C954,Roster!$B$6:$B$65,0),MATCH(C954,Roster!$C$6:$C$65,0))-1)+MATCH(B954,{"AM","PM","NIGHT","WD"},0)-1),""))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$266,'Feb'!$D$27:$AH$266,'Mar'!$D$27:$AH$266,'Apr'!$D$27:$AH$266,'May'!$D$27:$AH$266,'Jun'!$D$27:$AH$266,'Jul'!$D$27:$AH$266,'Aug'!$D$27:$AH$266,'Sep'!$D$27:$AH$266,'Oct'!$D$27:$AH$266,'Nov'!$D$27:$AH$266,'Dec'!$D$27:$AH$266,'Jan (next year)'!$D$27:$AH$266),27+4*(IFERROR(MATCH(C955,Roster!$B$6:$B$65,0),MATCH(C955,Roster!$C$6:$C$65,0))-1)+MATCH(B955,{"AM","PM","NIGHT","WD"},0)-1-27+1,DAY(A955))&amp;"",""))</f>
        <v/>
      </c>
      <c r="G955" s="123">
        <f>IF(OR(A955="",C955="",B955="",E955=""),"",IFERROR(A955&amp;"|"&amp;(27+4*(IFERROR(MATCH(C955,Roster!$B$6:$B$65,0),MATCH(C955,Roster!$C$6:$C$65,0))-1)+MATCH(B955,{"AM","PM","NIGHT","WD"},0)-1),""))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$266,'Feb'!$D$27:$AH$266,'Mar'!$D$27:$AH$266,'Apr'!$D$27:$AH$266,'May'!$D$27:$AH$266,'Jun'!$D$27:$AH$266,'Jul'!$D$27:$AH$266,'Aug'!$D$27:$AH$266,'Sep'!$D$27:$AH$266,'Oct'!$D$27:$AH$266,'Nov'!$D$27:$AH$266,'Dec'!$D$27:$AH$266,'Jan (next year)'!$D$27:$AH$266),27+4*(IFERROR(MATCH(C956,Roster!$B$6:$B$65,0),MATCH(C956,Roster!$C$6:$C$65,0))-1)+MATCH(B956,{"AM","PM","NIGHT","WD"},0)-1-27+1,DAY(A956))&amp;"",""))</f>
        <v/>
      </c>
      <c r="G956" s="123">
        <f>IF(OR(A956="",C956="",B956="",E956=""),"",IFERROR(A956&amp;"|"&amp;(27+4*(IFERROR(MATCH(C956,Roster!$B$6:$B$65,0),MATCH(C956,Roster!$C$6:$C$65,0))-1)+MATCH(B956,{"AM","PM","NIGHT","WD"},0)-1),""))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$266,'Feb'!$D$27:$AH$266,'Mar'!$D$27:$AH$266,'Apr'!$D$27:$AH$266,'May'!$D$27:$AH$266,'Jun'!$D$27:$AH$266,'Jul'!$D$27:$AH$266,'Aug'!$D$27:$AH$266,'Sep'!$D$27:$AH$266,'Oct'!$D$27:$AH$266,'Nov'!$D$27:$AH$266,'Dec'!$D$27:$AH$266,'Jan (next year)'!$D$27:$AH$266),27+4*(IFERROR(MATCH(C957,Roster!$B$6:$B$65,0),MATCH(C957,Roster!$C$6:$C$65,0))-1)+MATCH(B957,{"AM","PM","NIGHT","WD"},0)-1-27+1,DAY(A957))&amp;"",""))</f>
        <v/>
      </c>
      <c r="G957" s="123">
        <f>IF(OR(A957="",C957="",B957="",E957=""),"",IFERROR(A957&amp;"|"&amp;(27+4*(IFERROR(MATCH(C957,Roster!$B$6:$B$65,0),MATCH(C957,Roster!$C$6:$C$65,0))-1)+MATCH(B957,{"AM","PM","NIGHT","WD"},0)-1),""))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$266,'Feb'!$D$27:$AH$266,'Mar'!$D$27:$AH$266,'Apr'!$D$27:$AH$266,'May'!$D$27:$AH$266,'Jun'!$D$27:$AH$266,'Jul'!$D$27:$AH$266,'Aug'!$D$27:$AH$266,'Sep'!$D$27:$AH$266,'Oct'!$D$27:$AH$266,'Nov'!$D$27:$AH$266,'Dec'!$D$27:$AH$266,'Jan (next year)'!$D$27:$AH$266),27+4*(IFERROR(MATCH(C958,Roster!$B$6:$B$65,0),MATCH(C958,Roster!$C$6:$C$65,0))-1)+MATCH(B958,{"AM","PM","NIGHT","WD"},0)-1-27+1,DAY(A958))&amp;"",""))</f>
        <v/>
      </c>
      <c r="G958" s="123">
        <f>IF(OR(A958="",C958="",B958="",E958=""),"",IFERROR(A958&amp;"|"&amp;(27+4*(IFERROR(MATCH(C958,Roster!$B$6:$B$65,0),MATCH(C958,Roster!$C$6:$C$65,0))-1)+MATCH(B958,{"AM","PM","NIGHT","WD"},0)-1),""))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$266,'Feb'!$D$27:$AH$266,'Mar'!$D$27:$AH$266,'Apr'!$D$27:$AH$266,'May'!$D$27:$AH$266,'Jun'!$D$27:$AH$266,'Jul'!$D$27:$AH$266,'Aug'!$D$27:$AH$266,'Sep'!$D$27:$AH$266,'Oct'!$D$27:$AH$266,'Nov'!$D$27:$AH$266,'Dec'!$D$27:$AH$266,'Jan (next year)'!$D$27:$AH$266),27+4*(IFERROR(MATCH(C959,Roster!$B$6:$B$65,0),MATCH(C959,Roster!$C$6:$C$65,0))-1)+MATCH(B959,{"AM","PM","NIGHT","WD"},0)-1-27+1,DAY(A959))&amp;"",""))</f>
        <v/>
      </c>
      <c r="G959" s="123">
        <f>IF(OR(A959="",C959="",B959="",E959=""),"",IFERROR(A959&amp;"|"&amp;(27+4*(IFERROR(MATCH(C959,Roster!$B$6:$B$65,0),MATCH(C959,Roster!$C$6:$C$65,0))-1)+MATCH(B959,{"AM","PM","NIGHT","WD"},0)-1),""))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$266,'Feb'!$D$27:$AH$266,'Mar'!$D$27:$AH$266,'Apr'!$D$27:$AH$266,'May'!$D$27:$AH$266,'Jun'!$D$27:$AH$266,'Jul'!$D$27:$AH$266,'Aug'!$D$27:$AH$266,'Sep'!$D$27:$AH$266,'Oct'!$D$27:$AH$266,'Nov'!$D$27:$AH$266,'Dec'!$D$27:$AH$266,'Jan (next year)'!$D$27:$AH$266),27+4*(IFERROR(MATCH(C960,Roster!$B$6:$B$65,0),MATCH(C960,Roster!$C$6:$C$65,0))-1)+MATCH(B960,{"AM","PM","NIGHT","WD"},0)-1-27+1,DAY(A960))&amp;"",""))</f>
        <v/>
      </c>
      <c r="G960" s="123">
        <f>IF(OR(A960="",C960="",B960="",E960=""),"",IFERROR(A960&amp;"|"&amp;(27+4*(IFERROR(MATCH(C960,Roster!$B$6:$B$65,0),MATCH(C960,Roster!$C$6:$C$65,0))-1)+MATCH(B960,{"AM","PM","NIGHT","WD"},0)-1),""))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$266,'Feb'!$D$27:$AH$266,'Mar'!$D$27:$AH$266,'Apr'!$D$27:$AH$266,'May'!$D$27:$AH$266,'Jun'!$D$27:$AH$266,'Jul'!$D$27:$AH$266,'Aug'!$D$27:$AH$266,'Sep'!$D$27:$AH$266,'Oct'!$D$27:$AH$266,'Nov'!$D$27:$AH$266,'Dec'!$D$27:$AH$266,'Jan (next year)'!$D$27:$AH$266),27+4*(IFERROR(MATCH(C961,Roster!$B$6:$B$65,0),MATCH(C961,Roster!$C$6:$C$65,0))-1)+MATCH(B961,{"AM","PM","NIGHT","WD"},0)-1-27+1,DAY(A961))&amp;"",""))</f>
        <v/>
      </c>
      <c r="G961" s="123">
        <f>IF(OR(A961="",C961="",B961="",E961=""),"",IFERROR(A961&amp;"|"&amp;(27+4*(IFERROR(MATCH(C961,Roster!$B$6:$B$65,0),MATCH(C961,Roster!$C$6:$C$65,0))-1)+MATCH(B961,{"AM","PM","NIGHT","WD"},0)-1),""))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$266,'Feb'!$D$27:$AH$266,'Mar'!$D$27:$AH$266,'Apr'!$D$27:$AH$266,'May'!$D$27:$AH$266,'Jun'!$D$27:$AH$266,'Jul'!$D$27:$AH$266,'Aug'!$D$27:$AH$266,'Sep'!$D$27:$AH$266,'Oct'!$D$27:$AH$266,'Nov'!$D$27:$AH$266,'Dec'!$D$27:$AH$266,'Jan (next year)'!$D$27:$AH$266),27+4*(IFERROR(MATCH(C962,Roster!$B$6:$B$65,0),MATCH(C962,Roster!$C$6:$C$65,0))-1)+MATCH(B962,{"AM","PM","NIGHT","WD"},0)-1-27+1,DAY(A962))&amp;"",""))</f>
        <v/>
      </c>
      <c r="G962" s="123">
        <f>IF(OR(A962="",C962="",B962="",E962=""),"",IFERROR(A962&amp;"|"&amp;(27+4*(IFERROR(MATCH(C962,Roster!$B$6:$B$65,0),MATCH(C962,Roster!$C$6:$C$65,0))-1)+MATCH(B962,{"AM","PM","NIGHT","WD"},0)-1),""))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$266,'Feb'!$D$27:$AH$266,'Mar'!$D$27:$AH$266,'Apr'!$D$27:$AH$266,'May'!$D$27:$AH$266,'Jun'!$D$27:$AH$266,'Jul'!$D$27:$AH$266,'Aug'!$D$27:$AH$266,'Sep'!$D$27:$AH$266,'Oct'!$D$27:$AH$266,'Nov'!$D$27:$AH$266,'Dec'!$D$27:$AH$266,'Jan (next year)'!$D$27:$AH$266),27+4*(IFERROR(MATCH(C963,Roster!$B$6:$B$65,0),MATCH(C963,Roster!$C$6:$C$65,0))-1)+MATCH(B963,{"AM","PM","NIGHT","WD"},0)-1-27+1,DAY(A963))&amp;"",""))</f>
        <v/>
      </c>
      <c r="G963" s="123">
        <f>IF(OR(A963="",C963="",B963="",E963=""),"",IFERROR(A963&amp;"|"&amp;(27+4*(IFERROR(MATCH(C963,Roster!$B$6:$B$65,0),MATCH(C963,Roster!$C$6:$C$65,0))-1)+MATCH(B963,{"AM","PM","NIGHT","WD"},0)-1),""))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$266,'Feb'!$D$27:$AH$266,'Mar'!$D$27:$AH$266,'Apr'!$D$27:$AH$266,'May'!$D$27:$AH$266,'Jun'!$D$27:$AH$266,'Jul'!$D$27:$AH$266,'Aug'!$D$27:$AH$266,'Sep'!$D$27:$AH$266,'Oct'!$D$27:$AH$266,'Nov'!$D$27:$AH$266,'Dec'!$D$27:$AH$266,'Jan (next year)'!$D$27:$AH$266),27+4*(IFERROR(MATCH(C964,Roster!$B$6:$B$65,0),MATCH(C964,Roster!$C$6:$C$65,0))-1)+MATCH(B964,{"AM","PM","NIGHT","WD"},0)-1-27+1,DAY(A964))&amp;"",""))</f>
        <v/>
      </c>
      <c r="G964" s="123">
        <f>IF(OR(A964="",C964="",B964="",E964=""),"",IFERROR(A964&amp;"|"&amp;(27+4*(IFERROR(MATCH(C964,Roster!$B$6:$B$65,0),MATCH(C964,Roster!$C$6:$C$65,0))-1)+MATCH(B964,{"AM","PM","NIGHT","WD"},0)-1),""))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$266,'Feb'!$D$27:$AH$266,'Mar'!$D$27:$AH$266,'Apr'!$D$27:$AH$266,'May'!$D$27:$AH$266,'Jun'!$D$27:$AH$266,'Jul'!$D$27:$AH$266,'Aug'!$D$27:$AH$266,'Sep'!$D$27:$AH$266,'Oct'!$D$27:$AH$266,'Nov'!$D$27:$AH$266,'Dec'!$D$27:$AH$266,'Jan (next year)'!$D$27:$AH$266),27+4*(IFERROR(MATCH(C965,Roster!$B$6:$B$65,0),MATCH(C965,Roster!$C$6:$C$65,0))-1)+MATCH(B965,{"AM","PM","NIGHT","WD"},0)-1-27+1,DAY(A965))&amp;"",""))</f>
        <v/>
      </c>
      <c r="G965" s="123">
        <f>IF(OR(A965="",C965="",B965="",E965=""),"",IFERROR(A965&amp;"|"&amp;(27+4*(IFERROR(MATCH(C965,Roster!$B$6:$B$65,0),MATCH(C965,Roster!$C$6:$C$65,0))-1)+MATCH(B965,{"AM","PM","NIGHT","WD"},0)-1),""))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$266,'Feb'!$D$27:$AH$266,'Mar'!$D$27:$AH$266,'Apr'!$D$27:$AH$266,'May'!$D$27:$AH$266,'Jun'!$D$27:$AH$266,'Jul'!$D$27:$AH$266,'Aug'!$D$27:$AH$266,'Sep'!$D$27:$AH$266,'Oct'!$D$27:$AH$266,'Nov'!$D$27:$AH$266,'Dec'!$D$27:$AH$266,'Jan (next year)'!$D$27:$AH$266),27+4*(IFERROR(MATCH(C966,Roster!$B$6:$B$65,0),MATCH(C966,Roster!$C$6:$C$65,0))-1)+MATCH(B966,{"AM","PM","NIGHT","WD"},0)-1-27+1,DAY(A966))&amp;"",""))</f>
        <v/>
      </c>
      <c r="G966" s="123">
        <f>IF(OR(A966="",C966="",B966="",E966=""),"",IFERROR(A966&amp;"|"&amp;(27+4*(IFERROR(MATCH(C966,Roster!$B$6:$B$65,0),MATCH(C966,Roster!$C$6:$C$65,0))-1)+MATCH(B966,{"AM","PM","NIGHT","WD"},0)-1),""))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$266,'Feb'!$D$27:$AH$266,'Mar'!$D$27:$AH$266,'Apr'!$D$27:$AH$266,'May'!$D$27:$AH$266,'Jun'!$D$27:$AH$266,'Jul'!$D$27:$AH$266,'Aug'!$D$27:$AH$266,'Sep'!$D$27:$AH$266,'Oct'!$D$27:$AH$266,'Nov'!$D$27:$AH$266,'Dec'!$D$27:$AH$266,'Jan (next year)'!$D$27:$AH$266),27+4*(IFERROR(MATCH(C967,Roster!$B$6:$B$65,0),MATCH(C967,Roster!$C$6:$C$65,0))-1)+MATCH(B967,{"AM","PM","NIGHT","WD"},0)-1-27+1,DAY(A967))&amp;"",""))</f>
        <v/>
      </c>
      <c r="G967" s="123">
        <f>IF(OR(A967="",C967="",B967="",E967=""),"",IFERROR(A967&amp;"|"&amp;(27+4*(IFERROR(MATCH(C967,Roster!$B$6:$B$65,0),MATCH(C967,Roster!$C$6:$C$65,0))-1)+MATCH(B967,{"AM","PM","NIGHT","WD"},0)-1),""))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$266,'Feb'!$D$27:$AH$266,'Mar'!$D$27:$AH$266,'Apr'!$D$27:$AH$266,'May'!$D$27:$AH$266,'Jun'!$D$27:$AH$266,'Jul'!$D$27:$AH$266,'Aug'!$D$27:$AH$266,'Sep'!$D$27:$AH$266,'Oct'!$D$27:$AH$266,'Nov'!$D$27:$AH$266,'Dec'!$D$27:$AH$266,'Jan (next year)'!$D$27:$AH$266),27+4*(IFERROR(MATCH(C968,Roster!$B$6:$B$65,0),MATCH(C968,Roster!$C$6:$C$65,0))-1)+MATCH(B968,{"AM","PM","NIGHT","WD"},0)-1-27+1,DAY(A968))&amp;"",""))</f>
        <v/>
      </c>
      <c r="G968" s="123">
        <f>IF(OR(A968="",C968="",B968="",E968=""),"",IFERROR(A968&amp;"|"&amp;(27+4*(IFERROR(MATCH(C968,Roster!$B$6:$B$65,0),MATCH(C968,Roster!$C$6:$C$65,0))-1)+MATCH(B968,{"AM","PM","NIGHT","WD"},0)-1),""))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$266,'Feb'!$D$27:$AH$266,'Mar'!$D$27:$AH$266,'Apr'!$D$27:$AH$266,'May'!$D$27:$AH$266,'Jun'!$D$27:$AH$266,'Jul'!$D$27:$AH$266,'Aug'!$D$27:$AH$266,'Sep'!$D$27:$AH$266,'Oct'!$D$27:$AH$266,'Nov'!$D$27:$AH$266,'Dec'!$D$27:$AH$266,'Jan (next year)'!$D$27:$AH$266),27+4*(IFERROR(MATCH(C969,Roster!$B$6:$B$65,0),MATCH(C969,Roster!$C$6:$C$65,0))-1)+MATCH(B969,{"AM","PM","NIGHT","WD"},0)-1-27+1,DAY(A969))&amp;"",""))</f>
        <v/>
      </c>
      <c r="G969" s="123">
        <f>IF(OR(A969="",C969="",B969="",E969=""),"",IFERROR(A969&amp;"|"&amp;(27+4*(IFERROR(MATCH(C969,Roster!$B$6:$B$65,0),MATCH(C969,Roster!$C$6:$C$65,0))-1)+MATCH(B969,{"AM","PM","NIGHT","WD"},0)-1),""))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$266,'Feb'!$D$27:$AH$266,'Mar'!$D$27:$AH$266,'Apr'!$D$27:$AH$266,'May'!$D$27:$AH$266,'Jun'!$D$27:$AH$266,'Jul'!$D$27:$AH$266,'Aug'!$D$27:$AH$266,'Sep'!$D$27:$AH$266,'Oct'!$D$27:$AH$266,'Nov'!$D$27:$AH$266,'Dec'!$D$27:$AH$266,'Jan (next year)'!$D$27:$AH$266),27+4*(IFERROR(MATCH(C970,Roster!$B$6:$B$65,0),MATCH(C970,Roster!$C$6:$C$65,0))-1)+MATCH(B970,{"AM","PM","NIGHT","WD"},0)-1-27+1,DAY(A970))&amp;"",""))</f>
        <v/>
      </c>
      <c r="G970" s="123">
        <f>IF(OR(A970="",C970="",B970="",E970=""),"",IFERROR(A970&amp;"|"&amp;(27+4*(IFERROR(MATCH(C970,Roster!$B$6:$B$65,0),MATCH(C970,Roster!$C$6:$C$65,0))-1)+MATCH(B970,{"AM","PM","NIGHT","WD"},0)-1),""))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$266,'Feb'!$D$27:$AH$266,'Mar'!$D$27:$AH$266,'Apr'!$D$27:$AH$266,'May'!$D$27:$AH$266,'Jun'!$D$27:$AH$266,'Jul'!$D$27:$AH$266,'Aug'!$D$27:$AH$266,'Sep'!$D$27:$AH$266,'Oct'!$D$27:$AH$266,'Nov'!$D$27:$AH$266,'Dec'!$D$27:$AH$266,'Jan (next year)'!$D$27:$AH$266),27+4*(IFERROR(MATCH(C971,Roster!$B$6:$B$65,0),MATCH(C971,Roster!$C$6:$C$65,0))-1)+MATCH(B971,{"AM","PM","NIGHT","WD"},0)-1-27+1,DAY(A971))&amp;"",""))</f>
        <v/>
      </c>
      <c r="G971" s="123">
        <f>IF(OR(A971="",C971="",B971="",E971=""),"",IFERROR(A971&amp;"|"&amp;(27+4*(IFERROR(MATCH(C971,Roster!$B$6:$B$65,0),MATCH(C971,Roster!$C$6:$C$65,0))-1)+MATCH(B971,{"AM","PM","NIGHT","WD"},0)-1),""))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$266,'Feb'!$D$27:$AH$266,'Mar'!$D$27:$AH$266,'Apr'!$D$27:$AH$266,'May'!$D$27:$AH$266,'Jun'!$D$27:$AH$266,'Jul'!$D$27:$AH$266,'Aug'!$D$27:$AH$266,'Sep'!$D$27:$AH$266,'Oct'!$D$27:$AH$266,'Nov'!$D$27:$AH$266,'Dec'!$D$27:$AH$266,'Jan (next year)'!$D$27:$AH$266),27+4*(IFERROR(MATCH(C972,Roster!$B$6:$B$65,0),MATCH(C972,Roster!$C$6:$C$65,0))-1)+MATCH(B972,{"AM","PM","NIGHT","WD"},0)-1-27+1,DAY(A972))&amp;"",""))</f>
        <v/>
      </c>
      <c r="G972" s="123">
        <f>IF(OR(A972="",C972="",B972="",E972=""),"",IFERROR(A972&amp;"|"&amp;(27+4*(IFERROR(MATCH(C972,Roster!$B$6:$B$65,0),MATCH(C972,Roster!$C$6:$C$65,0))-1)+MATCH(B972,{"AM","PM","NIGHT","WD"},0)-1),""))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$266,'Feb'!$D$27:$AH$266,'Mar'!$D$27:$AH$266,'Apr'!$D$27:$AH$266,'May'!$D$27:$AH$266,'Jun'!$D$27:$AH$266,'Jul'!$D$27:$AH$266,'Aug'!$D$27:$AH$266,'Sep'!$D$27:$AH$266,'Oct'!$D$27:$AH$266,'Nov'!$D$27:$AH$266,'Dec'!$D$27:$AH$266,'Jan (next year)'!$D$27:$AH$266),27+4*(IFERROR(MATCH(C973,Roster!$B$6:$B$65,0),MATCH(C973,Roster!$C$6:$C$65,0))-1)+MATCH(B973,{"AM","PM","NIGHT","WD"},0)-1-27+1,DAY(A973))&amp;"",""))</f>
        <v/>
      </c>
      <c r="G973" s="123">
        <f>IF(OR(A973="",C973="",B973="",E973=""),"",IFERROR(A973&amp;"|"&amp;(27+4*(IFERROR(MATCH(C973,Roster!$B$6:$B$65,0),MATCH(C973,Roster!$C$6:$C$65,0))-1)+MATCH(B973,{"AM","PM","NIGHT","WD"},0)-1),""))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$266,'Feb'!$D$27:$AH$266,'Mar'!$D$27:$AH$266,'Apr'!$D$27:$AH$266,'May'!$D$27:$AH$266,'Jun'!$D$27:$AH$266,'Jul'!$D$27:$AH$266,'Aug'!$D$27:$AH$266,'Sep'!$D$27:$AH$266,'Oct'!$D$27:$AH$266,'Nov'!$D$27:$AH$266,'Dec'!$D$27:$AH$266,'Jan (next year)'!$D$27:$AH$266),27+4*(IFERROR(MATCH(C974,Roster!$B$6:$B$65,0),MATCH(C974,Roster!$C$6:$C$65,0))-1)+MATCH(B974,{"AM","PM","NIGHT","WD"},0)-1-27+1,DAY(A974))&amp;"",""))</f>
        <v/>
      </c>
      <c r="G974" s="123">
        <f>IF(OR(A974="",C974="",B974="",E974=""),"",IFERROR(A974&amp;"|"&amp;(27+4*(IFERROR(MATCH(C974,Roster!$B$6:$B$65,0),MATCH(C974,Roster!$C$6:$C$65,0))-1)+MATCH(B974,{"AM","PM","NIGHT","WD"},0)-1),""))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$266,'Feb'!$D$27:$AH$266,'Mar'!$D$27:$AH$266,'Apr'!$D$27:$AH$266,'May'!$D$27:$AH$266,'Jun'!$D$27:$AH$266,'Jul'!$D$27:$AH$266,'Aug'!$D$27:$AH$266,'Sep'!$D$27:$AH$266,'Oct'!$D$27:$AH$266,'Nov'!$D$27:$AH$266,'Dec'!$D$27:$AH$266,'Jan (next year)'!$D$27:$AH$266),27+4*(IFERROR(MATCH(C975,Roster!$B$6:$B$65,0),MATCH(C975,Roster!$C$6:$C$65,0))-1)+MATCH(B975,{"AM","PM","NIGHT","WD"},0)-1-27+1,DAY(A975))&amp;"",""))</f>
        <v/>
      </c>
      <c r="G975" s="123">
        <f>IF(OR(A975="",C975="",B975="",E975=""),"",IFERROR(A975&amp;"|"&amp;(27+4*(IFERROR(MATCH(C975,Roster!$B$6:$B$65,0),MATCH(C975,Roster!$C$6:$C$65,0))-1)+MATCH(B975,{"AM","PM","NIGHT","WD"},0)-1),""))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$266,'Feb'!$D$27:$AH$266,'Mar'!$D$27:$AH$266,'Apr'!$D$27:$AH$266,'May'!$D$27:$AH$266,'Jun'!$D$27:$AH$266,'Jul'!$D$27:$AH$266,'Aug'!$D$27:$AH$266,'Sep'!$D$27:$AH$266,'Oct'!$D$27:$AH$266,'Nov'!$D$27:$AH$266,'Dec'!$D$27:$AH$266,'Jan (next year)'!$D$27:$AH$266),27+4*(IFERROR(MATCH(C976,Roster!$B$6:$B$65,0),MATCH(C976,Roster!$C$6:$C$65,0))-1)+MATCH(B976,{"AM","PM","NIGHT","WD"},0)-1-27+1,DAY(A976))&amp;"",""))</f>
        <v/>
      </c>
      <c r="G976" s="123">
        <f>IF(OR(A976="",C976="",B976="",E976=""),"",IFERROR(A976&amp;"|"&amp;(27+4*(IFERROR(MATCH(C976,Roster!$B$6:$B$65,0),MATCH(C976,Roster!$C$6:$C$65,0))-1)+MATCH(B976,{"AM","PM","NIGHT","WD"},0)-1),""))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$266,'Feb'!$D$27:$AH$266,'Mar'!$D$27:$AH$266,'Apr'!$D$27:$AH$266,'May'!$D$27:$AH$266,'Jun'!$D$27:$AH$266,'Jul'!$D$27:$AH$266,'Aug'!$D$27:$AH$266,'Sep'!$D$27:$AH$266,'Oct'!$D$27:$AH$266,'Nov'!$D$27:$AH$266,'Dec'!$D$27:$AH$266,'Jan (next year)'!$D$27:$AH$266),27+4*(IFERROR(MATCH(C977,Roster!$B$6:$B$65,0),MATCH(C977,Roster!$C$6:$C$65,0))-1)+MATCH(B977,{"AM","PM","NIGHT","WD"},0)-1-27+1,DAY(A977))&amp;"",""))</f>
        <v/>
      </c>
      <c r="G977" s="123">
        <f>IF(OR(A977="",C977="",B977="",E977=""),"",IFERROR(A977&amp;"|"&amp;(27+4*(IFERROR(MATCH(C977,Roster!$B$6:$B$65,0),MATCH(C977,Roster!$C$6:$C$65,0))-1)+MATCH(B977,{"AM","PM","NIGHT","WD"},0)-1),""))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$266,'Feb'!$D$27:$AH$266,'Mar'!$D$27:$AH$266,'Apr'!$D$27:$AH$266,'May'!$D$27:$AH$266,'Jun'!$D$27:$AH$266,'Jul'!$D$27:$AH$266,'Aug'!$D$27:$AH$266,'Sep'!$D$27:$AH$266,'Oct'!$D$27:$AH$266,'Nov'!$D$27:$AH$266,'Dec'!$D$27:$AH$266,'Jan (next year)'!$D$27:$AH$266),27+4*(IFERROR(MATCH(C978,Roster!$B$6:$B$65,0),MATCH(C978,Roster!$C$6:$C$65,0))-1)+MATCH(B978,{"AM","PM","NIGHT","WD"},0)-1-27+1,DAY(A978))&amp;"",""))</f>
        <v/>
      </c>
      <c r="G978" s="123">
        <f>IF(OR(A978="",C978="",B978="",E978=""),"",IFERROR(A978&amp;"|"&amp;(27+4*(IFERROR(MATCH(C978,Roster!$B$6:$B$65,0),MATCH(C978,Roster!$C$6:$C$65,0))-1)+MATCH(B978,{"AM","PM","NIGHT","WD"},0)-1),""))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$266,'Feb'!$D$27:$AH$266,'Mar'!$D$27:$AH$266,'Apr'!$D$27:$AH$266,'May'!$D$27:$AH$266,'Jun'!$D$27:$AH$266,'Jul'!$D$27:$AH$266,'Aug'!$D$27:$AH$266,'Sep'!$D$27:$AH$266,'Oct'!$D$27:$AH$266,'Nov'!$D$27:$AH$266,'Dec'!$D$27:$AH$266,'Jan (next year)'!$D$27:$AH$266),27+4*(IFERROR(MATCH(C979,Roster!$B$6:$B$65,0),MATCH(C979,Roster!$C$6:$C$65,0))-1)+MATCH(B979,{"AM","PM","NIGHT","WD"},0)-1-27+1,DAY(A979))&amp;"",""))</f>
        <v/>
      </c>
      <c r="G979" s="123">
        <f>IF(OR(A979="",C979="",B979="",E979=""),"",IFERROR(A979&amp;"|"&amp;(27+4*(IFERROR(MATCH(C979,Roster!$B$6:$B$65,0),MATCH(C979,Roster!$C$6:$C$65,0))-1)+MATCH(B979,{"AM","PM","NIGHT","WD"},0)-1),""))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$266,'Feb'!$D$27:$AH$266,'Mar'!$D$27:$AH$266,'Apr'!$D$27:$AH$266,'May'!$D$27:$AH$266,'Jun'!$D$27:$AH$266,'Jul'!$D$27:$AH$266,'Aug'!$D$27:$AH$266,'Sep'!$D$27:$AH$266,'Oct'!$D$27:$AH$266,'Nov'!$D$27:$AH$266,'Dec'!$D$27:$AH$266,'Jan (next year)'!$D$27:$AH$266),27+4*(IFERROR(MATCH(C980,Roster!$B$6:$B$65,0),MATCH(C980,Roster!$C$6:$C$65,0))-1)+MATCH(B980,{"AM","PM","NIGHT","WD"},0)-1-27+1,DAY(A980))&amp;"",""))</f>
        <v/>
      </c>
      <c r="G980" s="123">
        <f>IF(OR(A980="",C980="",B980="",E980=""),"",IFERROR(A980&amp;"|"&amp;(27+4*(IFERROR(MATCH(C980,Roster!$B$6:$B$65,0),MATCH(C980,Roster!$C$6:$C$65,0))-1)+MATCH(B980,{"AM","PM","NIGHT","WD"},0)-1),""))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$266,'Feb'!$D$27:$AH$266,'Mar'!$D$27:$AH$266,'Apr'!$D$27:$AH$266,'May'!$D$27:$AH$266,'Jun'!$D$27:$AH$266,'Jul'!$D$27:$AH$266,'Aug'!$D$27:$AH$266,'Sep'!$D$27:$AH$266,'Oct'!$D$27:$AH$266,'Nov'!$D$27:$AH$266,'Dec'!$D$27:$AH$266,'Jan (next year)'!$D$27:$AH$266),27+4*(IFERROR(MATCH(C981,Roster!$B$6:$B$65,0),MATCH(C981,Roster!$C$6:$C$65,0))-1)+MATCH(B981,{"AM","PM","NIGHT","WD"},0)-1-27+1,DAY(A981))&amp;"",""))</f>
        <v/>
      </c>
      <c r="G981" s="123">
        <f>IF(OR(A981="",C981="",B981="",E981=""),"",IFERROR(A981&amp;"|"&amp;(27+4*(IFERROR(MATCH(C981,Roster!$B$6:$B$65,0),MATCH(C981,Roster!$C$6:$C$65,0))-1)+MATCH(B981,{"AM","PM","NIGHT","WD"},0)-1),""))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$266,'Feb'!$D$27:$AH$266,'Mar'!$D$27:$AH$266,'Apr'!$D$27:$AH$266,'May'!$D$27:$AH$266,'Jun'!$D$27:$AH$266,'Jul'!$D$27:$AH$266,'Aug'!$D$27:$AH$266,'Sep'!$D$27:$AH$266,'Oct'!$D$27:$AH$266,'Nov'!$D$27:$AH$266,'Dec'!$D$27:$AH$266,'Jan (next year)'!$D$27:$AH$266),27+4*(IFERROR(MATCH(C982,Roster!$B$6:$B$65,0),MATCH(C982,Roster!$C$6:$C$65,0))-1)+MATCH(B982,{"AM","PM","NIGHT","WD"},0)-1-27+1,DAY(A982))&amp;"",""))</f>
        <v/>
      </c>
      <c r="G982" s="123">
        <f>IF(OR(A982="",C982="",B982="",E982=""),"",IFERROR(A982&amp;"|"&amp;(27+4*(IFERROR(MATCH(C982,Roster!$B$6:$B$65,0),MATCH(C982,Roster!$C$6:$C$65,0))-1)+MATCH(B982,{"AM","PM","NIGHT","WD"},0)-1),""))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$266,'Feb'!$D$27:$AH$266,'Mar'!$D$27:$AH$266,'Apr'!$D$27:$AH$266,'May'!$D$27:$AH$266,'Jun'!$D$27:$AH$266,'Jul'!$D$27:$AH$266,'Aug'!$D$27:$AH$266,'Sep'!$D$27:$AH$266,'Oct'!$D$27:$AH$266,'Nov'!$D$27:$AH$266,'Dec'!$D$27:$AH$266,'Jan (next year)'!$D$27:$AH$266),27+4*(IFERROR(MATCH(C983,Roster!$B$6:$B$65,0),MATCH(C983,Roster!$C$6:$C$65,0))-1)+MATCH(B983,{"AM","PM","NIGHT","WD"},0)-1-27+1,DAY(A983))&amp;"",""))</f>
        <v/>
      </c>
      <c r="G983" s="123">
        <f>IF(OR(A983="",C983="",B983="",E983=""),"",IFERROR(A983&amp;"|"&amp;(27+4*(IFERROR(MATCH(C983,Roster!$B$6:$B$65,0),MATCH(C983,Roster!$C$6:$C$65,0))-1)+MATCH(B983,{"AM","PM","NIGHT","WD"},0)-1),""))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$266,'Feb'!$D$27:$AH$266,'Mar'!$D$27:$AH$266,'Apr'!$D$27:$AH$266,'May'!$D$27:$AH$266,'Jun'!$D$27:$AH$266,'Jul'!$D$27:$AH$266,'Aug'!$D$27:$AH$266,'Sep'!$D$27:$AH$266,'Oct'!$D$27:$AH$266,'Nov'!$D$27:$AH$266,'Dec'!$D$27:$AH$266,'Jan (next year)'!$D$27:$AH$266),27+4*(IFERROR(MATCH(C984,Roster!$B$6:$B$65,0),MATCH(C984,Roster!$C$6:$C$65,0))-1)+MATCH(B984,{"AM","PM","NIGHT","WD"},0)-1-27+1,DAY(A984))&amp;"",""))</f>
        <v/>
      </c>
      <c r="G984" s="123">
        <f>IF(OR(A984="",C984="",B984="",E984=""),"",IFERROR(A984&amp;"|"&amp;(27+4*(IFERROR(MATCH(C984,Roster!$B$6:$B$65,0),MATCH(C984,Roster!$C$6:$C$65,0))-1)+MATCH(B984,{"AM","PM","NIGHT","WD"},0)-1),""))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$266,'Feb'!$D$27:$AH$266,'Mar'!$D$27:$AH$266,'Apr'!$D$27:$AH$266,'May'!$D$27:$AH$266,'Jun'!$D$27:$AH$266,'Jul'!$D$27:$AH$266,'Aug'!$D$27:$AH$266,'Sep'!$D$27:$AH$266,'Oct'!$D$27:$AH$266,'Nov'!$D$27:$AH$266,'Dec'!$D$27:$AH$266,'Jan (next year)'!$D$27:$AH$266),27+4*(IFERROR(MATCH(C985,Roster!$B$6:$B$65,0),MATCH(C985,Roster!$C$6:$C$65,0))-1)+MATCH(B985,{"AM","PM","NIGHT","WD"},0)-1-27+1,DAY(A985))&amp;"",""))</f>
        <v/>
      </c>
      <c r="G985" s="123">
        <f>IF(OR(A985="",C985="",B985="",E985=""),"",IFERROR(A985&amp;"|"&amp;(27+4*(IFERROR(MATCH(C985,Roster!$B$6:$B$65,0),MATCH(C985,Roster!$C$6:$C$65,0))-1)+MATCH(B985,{"AM","PM","NIGHT","WD"},0)-1),""))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$266,'Feb'!$D$27:$AH$266,'Mar'!$D$27:$AH$266,'Apr'!$D$27:$AH$266,'May'!$D$27:$AH$266,'Jun'!$D$27:$AH$266,'Jul'!$D$27:$AH$266,'Aug'!$D$27:$AH$266,'Sep'!$D$27:$AH$266,'Oct'!$D$27:$AH$266,'Nov'!$D$27:$AH$266,'Dec'!$D$27:$AH$266,'Jan (next year)'!$D$27:$AH$266),27+4*(IFERROR(MATCH(C986,Roster!$B$6:$B$65,0),MATCH(C986,Roster!$C$6:$C$65,0))-1)+MATCH(B986,{"AM","PM","NIGHT","WD"},0)-1-27+1,DAY(A986))&amp;"",""))</f>
        <v/>
      </c>
      <c r="G986" s="123">
        <f>IF(OR(A986="",C986="",B986="",E986=""),"",IFERROR(A986&amp;"|"&amp;(27+4*(IFERROR(MATCH(C986,Roster!$B$6:$B$65,0),MATCH(C986,Roster!$C$6:$C$65,0))-1)+MATCH(B986,{"AM","PM","NIGHT","WD"},0)-1),""))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$266,'Feb'!$D$27:$AH$266,'Mar'!$D$27:$AH$266,'Apr'!$D$27:$AH$266,'May'!$D$27:$AH$266,'Jun'!$D$27:$AH$266,'Jul'!$D$27:$AH$266,'Aug'!$D$27:$AH$266,'Sep'!$D$27:$AH$266,'Oct'!$D$27:$AH$266,'Nov'!$D$27:$AH$266,'Dec'!$D$27:$AH$266,'Jan (next year)'!$D$27:$AH$266),27+4*(IFERROR(MATCH(C987,Roster!$B$6:$B$65,0),MATCH(C987,Roster!$C$6:$C$65,0))-1)+MATCH(B987,{"AM","PM","NIGHT","WD"},0)-1-27+1,DAY(A987))&amp;"",""))</f>
        <v/>
      </c>
      <c r="G987" s="123">
        <f>IF(OR(A987="",C987="",B987="",E987=""),"",IFERROR(A987&amp;"|"&amp;(27+4*(IFERROR(MATCH(C987,Roster!$B$6:$B$65,0),MATCH(C987,Roster!$C$6:$C$65,0))-1)+MATCH(B987,{"AM","PM","NIGHT","WD"},0)-1),""))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$266,'Feb'!$D$27:$AH$266,'Mar'!$D$27:$AH$266,'Apr'!$D$27:$AH$266,'May'!$D$27:$AH$266,'Jun'!$D$27:$AH$266,'Jul'!$D$27:$AH$266,'Aug'!$D$27:$AH$266,'Sep'!$D$27:$AH$266,'Oct'!$D$27:$AH$266,'Nov'!$D$27:$AH$266,'Dec'!$D$27:$AH$266,'Jan (next year)'!$D$27:$AH$266),27+4*(IFERROR(MATCH(C988,Roster!$B$6:$B$65,0),MATCH(C988,Roster!$C$6:$C$65,0))-1)+MATCH(B988,{"AM","PM","NIGHT","WD"},0)-1-27+1,DAY(A988))&amp;"",""))</f>
        <v/>
      </c>
      <c r="G988" s="123">
        <f>IF(OR(A988="",C988="",B988="",E988=""),"",IFERROR(A988&amp;"|"&amp;(27+4*(IFERROR(MATCH(C988,Roster!$B$6:$B$65,0),MATCH(C988,Roster!$C$6:$C$65,0))-1)+MATCH(B988,{"AM","PM","NIGHT","WD"},0)-1),""))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$266,'Feb'!$D$27:$AH$266,'Mar'!$D$27:$AH$266,'Apr'!$D$27:$AH$266,'May'!$D$27:$AH$266,'Jun'!$D$27:$AH$266,'Jul'!$D$27:$AH$266,'Aug'!$D$27:$AH$266,'Sep'!$D$27:$AH$266,'Oct'!$D$27:$AH$266,'Nov'!$D$27:$AH$266,'Dec'!$D$27:$AH$266,'Jan (next year)'!$D$27:$AH$266),27+4*(IFERROR(MATCH(C989,Roster!$B$6:$B$65,0),MATCH(C989,Roster!$C$6:$C$65,0))-1)+MATCH(B989,{"AM","PM","NIGHT","WD"},0)-1-27+1,DAY(A989))&amp;"",""))</f>
        <v/>
      </c>
      <c r="G989" s="123">
        <f>IF(OR(A989="",C989="",B989="",E989=""),"",IFERROR(A989&amp;"|"&amp;(27+4*(IFERROR(MATCH(C989,Roster!$B$6:$B$65,0),MATCH(C989,Roster!$C$6:$C$65,0))-1)+MATCH(B989,{"AM","PM","NIGHT","WD"},0)-1),""))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$266,'Feb'!$D$27:$AH$266,'Mar'!$D$27:$AH$266,'Apr'!$D$27:$AH$266,'May'!$D$27:$AH$266,'Jun'!$D$27:$AH$266,'Jul'!$D$27:$AH$266,'Aug'!$D$27:$AH$266,'Sep'!$D$27:$AH$266,'Oct'!$D$27:$AH$266,'Nov'!$D$27:$AH$266,'Dec'!$D$27:$AH$266,'Jan (next year)'!$D$27:$AH$266),27+4*(IFERROR(MATCH(C990,Roster!$B$6:$B$65,0),MATCH(C990,Roster!$C$6:$C$65,0))-1)+MATCH(B990,{"AM","PM","NIGHT","WD"},0)-1-27+1,DAY(A990))&amp;"",""))</f>
        <v/>
      </c>
      <c r="G990" s="123">
        <f>IF(OR(A990="",C990="",B990="",E990=""),"",IFERROR(A990&amp;"|"&amp;(27+4*(IFERROR(MATCH(C990,Roster!$B$6:$B$65,0),MATCH(C990,Roster!$C$6:$C$65,0))-1)+MATCH(B990,{"AM","PM","NIGHT","WD"},0)-1),""))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$266,'Feb'!$D$27:$AH$266,'Mar'!$D$27:$AH$266,'Apr'!$D$27:$AH$266,'May'!$D$27:$AH$266,'Jun'!$D$27:$AH$266,'Jul'!$D$27:$AH$266,'Aug'!$D$27:$AH$266,'Sep'!$D$27:$AH$266,'Oct'!$D$27:$AH$266,'Nov'!$D$27:$AH$266,'Dec'!$D$27:$AH$266,'Jan (next year)'!$D$27:$AH$266),27+4*(IFERROR(MATCH(C991,Roster!$B$6:$B$65,0),MATCH(C991,Roster!$C$6:$C$65,0))-1)+MATCH(B991,{"AM","PM","NIGHT","WD"},0)-1-27+1,DAY(A991))&amp;"",""))</f>
        <v/>
      </c>
      <c r="G991" s="123">
        <f>IF(OR(A991="",C991="",B991="",E991=""),"",IFERROR(A991&amp;"|"&amp;(27+4*(IFERROR(MATCH(C991,Roster!$B$6:$B$65,0),MATCH(C991,Roster!$C$6:$C$65,0))-1)+MATCH(B991,{"AM","PM","NIGHT","WD"},0)-1),""))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$266,'Feb'!$D$27:$AH$266,'Mar'!$D$27:$AH$266,'Apr'!$D$27:$AH$266,'May'!$D$27:$AH$266,'Jun'!$D$27:$AH$266,'Jul'!$D$27:$AH$266,'Aug'!$D$27:$AH$266,'Sep'!$D$27:$AH$266,'Oct'!$D$27:$AH$266,'Nov'!$D$27:$AH$266,'Dec'!$D$27:$AH$266,'Jan (next year)'!$D$27:$AH$266),27+4*(IFERROR(MATCH(C992,Roster!$B$6:$B$65,0),MATCH(C992,Roster!$C$6:$C$65,0))-1)+MATCH(B992,{"AM","PM","NIGHT","WD"},0)-1-27+1,DAY(A992))&amp;"",""))</f>
        <v/>
      </c>
      <c r="G992" s="123">
        <f>IF(OR(A992="",C992="",B992="",E992=""),"",IFERROR(A992&amp;"|"&amp;(27+4*(IFERROR(MATCH(C992,Roster!$B$6:$B$65,0),MATCH(C992,Roster!$C$6:$C$65,0))-1)+MATCH(B992,{"AM","PM","NIGHT","WD"},0)-1),""))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$266,'Feb'!$D$27:$AH$266,'Mar'!$D$27:$AH$266,'Apr'!$D$27:$AH$266,'May'!$D$27:$AH$266,'Jun'!$D$27:$AH$266,'Jul'!$D$27:$AH$266,'Aug'!$D$27:$AH$266,'Sep'!$D$27:$AH$266,'Oct'!$D$27:$AH$266,'Nov'!$D$27:$AH$266,'Dec'!$D$27:$AH$266,'Jan (next year)'!$D$27:$AH$266),27+4*(IFERROR(MATCH(C993,Roster!$B$6:$B$65,0),MATCH(C993,Roster!$C$6:$C$65,0))-1)+MATCH(B993,{"AM","PM","NIGHT","WD"},0)-1-27+1,DAY(A993))&amp;"",""))</f>
        <v/>
      </c>
      <c r="G993" s="123">
        <f>IF(OR(A993="",C993="",B993="",E993=""),"",IFERROR(A993&amp;"|"&amp;(27+4*(IFERROR(MATCH(C993,Roster!$B$6:$B$65,0),MATCH(C993,Roster!$C$6:$C$65,0))-1)+MATCH(B993,{"AM","PM","NIGHT","WD"},0)-1),""))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$266,'Feb'!$D$27:$AH$266,'Mar'!$D$27:$AH$266,'Apr'!$D$27:$AH$266,'May'!$D$27:$AH$266,'Jun'!$D$27:$AH$266,'Jul'!$D$27:$AH$266,'Aug'!$D$27:$AH$266,'Sep'!$D$27:$AH$266,'Oct'!$D$27:$AH$266,'Nov'!$D$27:$AH$266,'Dec'!$D$27:$AH$266,'Jan (next year)'!$D$27:$AH$266),27+4*(IFERROR(MATCH(C994,Roster!$B$6:$B$65,0),MATCH(C994,Roster!$C$6:$C$65,0))-1)+MATCH(B994,{"AM","PM","NIGHT","WD"},0)-1-27+1,DAY(A994))&amp;"",""))</f>
        <v/>
      </c>
      <c r="G994" s="123">
        <f>IF(OR(A994="",C994="",B994="",E994=""),"",IFERROR(A994&amp;"|"&amp;(27+4*(IFERROR(MATCH(C994,Roster!$B$6:$B$65,0),MATCH(C994,Roster!$C$6:$C$65,0))-1)+MATCH(B994,{"AM","PM","NIGHT","WD"},0)-1),""))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$266,'Feb'!$D$27:$AH$266,'Mar'!$D$27:$AH$266,'Apr'!$D$27:$AH$266,'May'!$D$27:$AH$266,'Jun'!$D$27:$AH$266,'Jul'!$D$27:$AH$266,'Aug'!$D$27:$AH$266,'Sep'!$D$27:$AH$266,'Oct'!$D$27:$AH$266,'Nov'!$D$27:$AH$266,'Dec'!$D$27:$AH$266,'Jan (next year)'!$D$27:$AH$266),27+4*(IFERROR(MATCH(C995,Roster!$B$6:$B$65,0),MATCH(C995,Roster!$C$6:$C$65,0))-1)+MATCH(B995,{"AM","PM","NIGHT","WD"},0)-1-27+1,DAY(A995))&amp;"",""))</f>
        <v/>
      </c>
      <c r="G995" s="123">
        <f>IF(OR(A995="",C995="",B995="",E995=""),"",IFERROR(A995&amp;"|"&amp;(27+4*(IFERROR(MATCH(C995,Roster!$B$6:$B$65,0),MATCH(C995,Roster!$C$6:$C$65,0))-1)+MATCH(B995,{"AM","PM","NIGHT","WD"},0)-1),""))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$266,'Feb'!$D$27:$AH$266,'Mar'!$D$27:$AH$266,'Apr'!$D$27:$AH$266,'May'!$D$27:$AH$266,'Jun'!$D$27:$AH$266,'Jul'!$D$27:$AH$266,'Aug'!$D$27:$AH$266,'Sep'!$D$27:$AH$266,'Oct'!$D$27:$AH$266,'Nov'!$D$27:$AH$266,'Dec'!$D$27:$AH$266,'Jan (next year)'!$D$27:$AH$266),27+4*(IFERROR(MATCH(C996,Roster!$B$6:$B$65,0),MATCH(C996,Roster!$C$6:$C$65,0))-1)+MATCH(B996,{"AM","PM","NIGHT","WD"},0)-1-27+1,DAY(A996))&amp;"",""))</f>
        <v/>
      </c>
      <c r="G996" s="123">
        <f>IF(OR(A996="",C996="",B996="",E996=""),"",IFERROR(A996&amp;"|"&amp;(27+4*(IFERROR(MATCH(C996,Roster!$B$6:$B$65,0),MATCH(C996,Roster!$C$6:$C$65,0))-1)+MATCH(B996,{"AM","PM","NIGHT","WD"},0)-1),""))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$266,'Feb'!$D$27:$AH$266,'Mar'!$D$27:$AH$266,'Apr'!$D$27:$AH$266,'May'!$D$27:$AH$266,'Jun'!$D$27:$AH$266,'Jul'!$D$27:$AH$266,'Aug'!$D$27:$AH$266,'Sep'!$D$27:$AH$266,'Oct'!$D$27:$AH$266,'Nov'!$D$27:$AH$266,'Dec'!$D$27:$AH$266,'Jan (next year)'!$D$27:$AH$266),27+4*(IFERROR(MATCH(C997,Roster!$B$6:$B$65,0),MATCH(C997,Roster!$C$6:$C$65,0))-1)+MATCH(B997,{"AM","PM","NIGHT","WD"},0)-1-27+1,DAY(A997))&amp;"",""))</f>
        <v/>
      </c>
      <c r="G997" s="123">
        <f>IF(OR(A997="",C997="",B997="",E997=""),"",IFERROR(A997&amp;"|"&amp;(27+4*(IFERROR(MATCH(C997,Roster!$B$6:$B$65,0),MATCH(C997,Roster!$C$6:$C$65,0))-1)+MATCH(B997,{"AM","PM","NIGHT","WD"},0)-1),""))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$266,'Feb'!$D$27:$AH$266,'Mar'!$D$27:$AH$266,'Apr'!$D$27:$AH$266,'May'!$D$27:$AH$266,'Jun'!$D$27:$AH$266,'Jul'!$D$27:$AH$266,'Aug'!$D$27:$AH$266,'Sep'!$D$27:$AH$266,'Oct'!$D$27:$AH$266,'Nov'!$D$27:$AH$266,'Dec'!$D$27:$AH$266,'Jan (next year)'!$D$27:$AH$266),27+4*(IFERROR(MATCH(C998,Roster!$B$6:$B$65,0),MATCH(C998,Roster!$C$6:$C$65,0))-1)+MATCH(B998,{"AM","PM","NIGHT","WD"},0)-1-27+1,DAY(A998))&amp;"",""))</f>
        <v/>
      </c>
      <c r="G998" s="123">
        <f>IF(OR(A998="",C998="",B998="",E998=""),"",IFERROR(A998&amp;"|"&amp;(27+4*(IFERROR(MATCH(C998,Roster!$B$6:$B$65,0),MATCH(C998,Roster!$C$6:$C$65,0))-1)+MATCH(B998,{"AM","PM","NIGHT","WD"},0)-1),""))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$266,'Feb'!$D$27:$AH$266,'Mar'!$D$27:$AH$266,'Apr'!$D$27:$AH$266,'May'!$D$27:$AH$266,'Jun'!$D$27:$AH$266,'Jul'!$D$27:$AH$266,'Aug'!$D$27:$AH$266,'Sep'!$D$27:$AH$266,'Oct'!$D$27:$AH$266,'Nov'!$D$27:$AH$266,'Dec'!$D$27:$AH$266,'Jan (next year)'!$D$27:$AH$266),27+4*(IFERROR(MATCH(C999,Roster!$B$6:$B$65,0),MATCH(C999,Roster!$C$6:$C$65,0))-1)+MATCH(B999,{"AM","PM","NIGHT","WD"},0)-1-27+1,DAY(A999))&amp;"",""))</f>
        <v/>
      </c>
      <c r="G999" s="123">
        <f>IF(OR(A999="",C999="",B999="",E999=""),"",IFERROR(A999&amp;"|"&amp;(27+4*(IFERROR(MATCH(C999,Roster!$B$6:$B$65,0),MATCH(C999,Roster!$C$6:$C$65,0))-1)+MATCH(B999,{"AM","PM","NIGHT","WD"},0)-1),""))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$266,'Feb'!$D$27:$AH$266,'Mar'!$D$27:$AH$266,'Apr'!$D$27:$AH$266,'May'!$D$27:$AH$266,'Jun'!$D$27:$AH$266,'Jul'!$D$27:$AH$266,'Aug'!$D$27:$AH$266,'Sep'!$D$27:$AH$266,'Oct'!$D$27:$AH$266,'Nov'!$D$27:$AH$266,'Dec'!$D$27:$AH$266,'Jan (next year)'!$D$27:$AH$266),27+4*(IFERROR(MATCH(C1000,Roster!$B$6:$B$65,0),MATCH(C1000,Roster!$C$6:$C$65,0))-1)+MATCH(B1000,{"AM","PM","NIGHT","WD"},0)-1-27+1,DAY(A1000))&amp;"",""))</f>
        <v/>
      </c>
      <c r="G1000" s="123">
        <f>IF(OR(A1000="",C1000="",B1000="",E1000=""),"",IFERROR(A1000&amp;"|"&amp;(27+4*(IFERROR(MATCH(C1000,Roster!$B$6:$B$65,0),MATCH(C1000,Roster!$C$6:$C$65,0))-1)+MATCH(B1000,{"AM","PM","NIGHT","WD"},0)-1),""))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$266,'Feb'!$D$27:$AH$266,'Mar'!$D$27:$AH$266,'Apr'!$D$27:$AH$266,'May'!$D$27:$AH$266,'Jun'!$D$27:$AH$266,'Jul'!$D$27:$AH$266,'Aug'!$D$27:$AH$266,'Sep'!$D$27:$AH$266,'Oct'!$D$27:$AH$266,'Nov'!$D$27:$AH$266,'Dec'!$D$27:$AH$266,'Jan (next year)'!$D$27:$AH$266),27+4*(IFERROR(MATCH(C1001,Roster!$B$6:$B$65,0),MATCH(C1001,Roster!$C$6:$C$65,0))-1)+MATCH(B1001,{"AM","PM","NIGHT","WD"},0)-1-27+1,DAY(A1001))&amp;"",""))</f>
        <v/>
      </c>
      <c r="G1001" s="123">
        <f>IF(OR(A1001="",C1001="",B1001="",E1001=""),"",IFERROR(A1001&amp;"|"&amp;(27+4*(IFERROR(MATCH(C1001,Roster!$B$6:$B$65,0),MATCH(C1001,Roster!$C$6:$C$65,0))-1)+MATCH(B1001,{"AM","PM","NIGHT","WD"},0)-1),""))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$266,'Feb'!$D$27:$AH$266,'Mar'!$D$27:$AH$266,'Apr'!$D$27:$AH$266,'May'!$D$27:$AH$266,'Jun'!$D$27:$AH$266,'Jul'!$D$27:$AH$266,'Aug'!$D$27:$AH$266,'Sep'!$D$27:$AH$266,'Oct'!$D$27:$AH$266,'Nov'!$D$27:$AH$266,'Dec'!$D$27:$AH$266,'Jan (next year)'!$D$27:$AH$266),27+4*(IFERROR(MATCH(C1002,Roster!$B$6:$B$65,0),MATCH(C1002,Roster!$C$6:$C$65,0))-1)+MATCH(B1002,{"AM","PM","NIGHT","WD"},0)-1-27+1,DAY(A1002))&amp;"",""))</f>
        <v/>
      </c>
      <c r="G1002" s="123">
        <f>IF(OR(A1002="",C1002="",B1002="",E1002=""),"",IFERROR(A1002&amp;"|"&amp;(27+4*(IFERROR(MATCH(C1002,Roster!$B$6:$B$65,0),MATCH(C1002,Roster!$C$6:$C$65,0))-1)+MATCH(B1002,{"AM","PM","NIGHT","WD"},0)-1),""))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$266,'Feb'!$D$27:$AH$266,'Mar'!$D$27:$AH$266,'Apr'!$D$27:$AH$266,'May'!$D$27:$AH$266,'Jun'!$D$27:$AH$266,'Jul'!$D$27:$AH$266,'Aug'!$D$27:$AH$266,'Sep'!$D$27:$AH$266,'Oct'!$D$27:$AH$266,'Nov'!$D$27:$AH$266,'Dec'!$D$27:$AH$266,'Jan (next year)'!$D$27:$AH$266),27+4*(IFERROR(MATCH(C1003,Roster!$B$6:$B$65,0),MATCH(C1003,Roster!$C$6:$C$65,0))-1)+MATCH(B1003,{"AM","PM","NIGHT","WD"},0)-1-27+1,DAY(A1003))&amp;"",""))</f>
        <v/>
      </c>
      <c r="G1003" s="123">
        <f>IF(OR(A1003="",C1003="",B1003="",E1003=""),"",IFERROR(A1003&amp;"|"&amp;(27+4*(IFERROR(MATCH(C1003,Roster!$B$6:$B$65,0),MATCH(C1003,Roster!$C$6:$C$65,0))-1)+MATCH(B1003,{"AM","PM","NIGHT","WD"},0)-1),""))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$266,'Feb'!$D$27:$AH$266,'Mar'!$D$27:$AH$266,'Apr'!$D$27:$AH$266,'May'!$D$27:$AH$266,'Jun'!$D$27:$AH$266,'Jul'!$D$27:$AH$266,'Aug'!$D$27:$AH$266,'Sep'!$D$27:$AH$266,'Oct'!$D$27:$AH$266,'Nov'!$D$27:$AH$266,'Dec'!$D$27:$AH$266,'Jan (next year)'!$D$27:$AH$266),27+4*(IFERROR(MATCH(C1004,Roster!$B$6:$B$65,0),MATCH(C1004,Roster!$C$6:$C$65,0))-1)+MATCH(B1004,{"AM","PM","NIGHT","WD"},0)-1-27+1,DAY(A1004))&amp;"",""))</f>
        <v/>
      </c>
      <c r="G1004" s="123">
        <f>IF(OR(A1004="",C1004="",B1004="",E1004=""),"",IFERROR(A1004&amp;"|"&amp;(27+4*(IFERROR(MATCH(C1004,Roster!$B$6:$B$65,0),MATCH(C1004,Roster!$C$6:$C$65,0))-1)+MATCH(B1004,{"AM","PM","NIGHT","WD"},0)-1),""))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$266,'Feb'!$D$27:$AH$266,'Mar'!$D$27:$AH$266,'Apr'!$D$27:$AH$266,'May'!$D$27:$AH$266,'Jun'!$D$27:$AH$266,'Jul'!$D$27:$AH$266,'Aug'!$D$27:$AH$266,'Sep'!$D$27:$AH$266,'Oct'!$D$27:$AH$266,'Nov'!$D$27:$AH$266,'Dec'!$D$27:$AH$266,'Jan (next year)'!$D$27:$AH$266),27+4*(IFERROR(MATCH(C1005,Roster!$B$6:$B$65,0),MATCH(C1005,Roster!$C$6:$C$65,0))-1)+MATCH(B1005,{"AM","PM","NIGHT","WD"},0)-1-27+1,DAY(A1005))&amp;"",""))</f>
        <v/>
      </c>
      <c r="G1005" s="123">
        <f>IF(OR(A1005="",C1005="",B1005="",E1005=""),"",IFERROR(A1005&amp;"|"&amp;(27+4*(IFERROR(MATCH(C1005,Roster!$B$6:$B$65,0),MATCH(C1005,Roster!$C$6:$C$65,0))-1)+MATCH(B1005,{"AM","PM","NIGHT","WD"},0)-1),""))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$266,'Feb'!$D$27:$AH$266,'Mar'!$D$27:$AH$266,'Apr'!$D$27:$AH$266,'May'!$D$27:$AH$266,'Jun'!$D$27:$AH$266,'Jul'!$D$27:$AH$266,'Aug'!$D$27:$AH$266,'Sep'!$D$27:$AH$266,'Oct'!$D$27:$AH$266,'Nov'!$D$27:$AH$266,'Dec'!$D$27:$AH$266,'Jan (next year)'!$D$27:$AH$266),27+4*(IFERROR(MATCH(C1006,Roster!$B$6:$B$65,0),MATCH(C1006,Roster!$C$6:$C$65,0))-1)+MATCH(B1006,{"AM","PM","NIGHT","WD"},0)-1-27+1,DAY(A1006))&amp;"",""))</f>
        <v/>
      </c>
      <c r="G1006" s="123">
        <f>IF(OR(A1006="",C1006="",B1006="",E1006=""),"",IFERROR(A1006&amp;"|"&amp;(27+4*(IFERROR(MATCH(C1006,Roster!$B$6:$B$65,0),MATCH(C1006,Roster!$C$6:$C$65,0))-1)+MATCH(B1006,{"AM","PM","NIGHT","WD"},0)-1),""))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$266,'Feb'!$D$27:$AH$266,'Mar'!$D$27:$AH$266,'Apr'!$D$27:$AH$266,'May'!$D$27:$AH$266,'Jun'!$D$27:$AH$266,'Jul'!$D$27:$AH$266,'Aug'!$D$27:$AH$266,'Sep'!$D$27:$AH$266,'Oct'!$D$27:$AH$266,'Nov'!$D$27:$AH$266,'Dec'!$D$27:$AH$266,'Jan (next year)'!$D$27:$AH$266),27+4*(IFERROR(MATCH(C1007,Roster!$B$6:$B$65,0),MATCH(C1007,Roster!$C$6:$C$65,0))-1)+MATCH(B1007,{"AM","PM","NIGHT","WD"},0)-1-27+1,DAY(A1007))&amp;"",""))</f>
        <v/>
      </c>
      <c r="G1007" s="123">
        <f>IF(OR(A1007="",C1007="",B1007="",E1007=""),"",IFERROR(A1007&amp;"|"&amp;(27+4*(IFERROR(MATCH(C1007,Roster!$B$6:$B$65,0),MATCH(C1007,Roster!$C$6:$C$65,0))-1)+MATCH(B1007,{"AM","PM","NIGHT","WD"},0)-1),""))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$266,'Feb'!$D$27:$AH$266,'Mar'!$D$27:$AH$266,'Apr'!$D$27:$AH$266,'May'!$D$27:$AH$266,'Jun'!$D$27:$AH$266,'Jul'!$D$27:$AH$266,'Aug'!$D$27:$AH$266,'Sep'!$D$27:$AH$266,'Oct'!$D$27:$AH$266,'Nov'!$D$27:$AH$266,'Dec'!$D$27:$AH$266,'Jan (next year)'!$D$27:$AH$266),27+4*(IFERROR(MATCH(C1008,Roster!$B$6:$B$65,0),MATCH(C1008,Roster!$C$6:$C$65,0))-1)+MATCH(B1008,{"AM","PM","NIGHT","WD"},0)-1-27+1,DAY(A1008))&amp;"",""))</f>
        <v/>
      </c>
      <c r="G1008" s="123">
        <f>IF(OR(A1008="",C1008="",B1008="",E1008=""),"",IFERROR(A1008&amp;"|"&amp;(27+4*(IFERROR(MATCH(C1008,Roster!$B$6:$B$65,0),MATCH(C1008,Roster!$C$6:$C$65,0))-1)+MATCH(B1008,{"AM","PM","NIGHT","WD"},0)-1),""))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$266,'Feb'!$D$27:$AH$266,'Mar'!$D$27:$AH$266,'Apr'!$D$27:$AH$266,'May'!$D$27:$AH$266,'Jun'!$D$27:$AH$266,'Jul'!$D$27:$AH$266,'Aug'!$D$27:$AH$266,'Sep'!$D$27:$AH$266,'Oct'!$D$27:$AH$266,'Nov'!$D$27:$AH$266,'Dec'!$D$27:$AH$266,'Jan (next year)'!$D$27:$AH$266),27+4*(IFERROR(MATCH(C1009,Roster!$B$6:$B$65,0),MATCH(C1009,Roster!$C$6:$C$65,0))-1)+MATCH(B1009,{"AM","PM","NIGHT","WD"},0)-1-27+1,DAY(A1009))&amp;"",""))</f>
        <v/>
      </c>
      <c r="G1009" s="123">
        <f>IF(OR(A1009="",C1009="",B1009="",E1009=""),"",IFERROR(A1009&amp;"|"&amp;(27+4*(IFERROR(MATCH(C1009,Roster!$B$6:$B$65,0),MATCH(C1009,Roster!$C$6:$C$65,0))-1)+MATCH(B1009,{"AM","PM","NIGHT","WD"},0)-1),""))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$266,'Feb'!$D$27:$AH$266,'Mar'!$D$27:$AH$266,'Apr'!$D$27:$AH$266,'May'!$D$27:$AH$266,'Jun'!$D$27:$AH$266,'Jul'!$D$27:$AH$266,'Aug'!$D$27:$AH$266,'Sep'!$D$27:$AH$266,'Oct'!$D$27:$AH$266,'Nov'!$D$27:$AH$266,'Dec'!$D$27:$AH$266,'Jan (next year)'!$D$27:$AH$266),27+4*(IFERROR(MATCH(C1010,Roster!$B$6:$B$65,0),MATCH(C1010,Roster!$C$6:$C$65,0))-1)+MATCH(B1010,{"AM","PM","NIGHT","WD"},0)-1-27+1,DAY(A1010))&amp;"",""))</f>
        <v/>
      </c>
      <c r="G1010" s="123">
        <f>IF(OR(A1010="",C1010="",B1010="",E1010=""),"",IFERROR(A1010&amp;"|"&amp;(27+4*(IFERROR(MATCH(C1010,Roster!$B$6:$B$65,0),MATCH(C1010,Roster!$C$6:$C$65,0))-1)+MATCH(B1010,{"AM","PM","NIGHT","WD"},0)-1),""))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$266,'Feb'!$D$27:$AH$266,'Mar'!$D$27:$AH$266,'Apr'!$D$27:$AH$266,'May'!$D$27:$AH$266,'Jun'!$D$27:$AH$266,'Jul'!$D$27:$AH$266,'Aug'!$D$27:$AH$266,'Sep'!$D$27:$AH$266,'Oct'!$D$27:$AH$266,'Nov'!$D$27:$AH$266,'Dec'!$D$27:$AH$266,'Jan (next year)'!$D$27:$AH$266),27+4*(IFERROR(MATCH(C1011,Roster!$B$6:$B$65,0),MATCH(C1011,Roster!$C$6:$C$65,0))-1)+MATCH(B1011,{"AM","PM","NIGHT","WD"},0)-1-27+1,DAY(A1011))&amp;"",""))</f>
        <v/>
      </c>
      <c r="G1011" s="123">
        <f>IF(OR(A1011="",C1011="",B1011="",E1011=""),"",IFERROR(A1011&amp;"|"&amp;(27+4*(IFERROR(MATCH(C1011,Roster!$B$6:$B$65,0),MATCH(C1011,Roster!$C$6:$C$65,0))-1)+MATCH(B1011,{"AM","PM","NIGHT","WD"},0)-1),""))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$266,'Feb'!$D$27:$AH$266,'Mar'!$D$27:$AH$266,'Apr'!$D$27:$AH$266,'May'!$D$27:$AH$266,'Jun'!$D$27:$AH$266,'Jul'!$D$27:$AH$266,'Aug'!$D$27:$AH$266,'Sep'!$D$27:$AH$266,'Oct'!$D$27:$AH$266,'Nov'!$D$27:$AH$266,'Dec'!$D$27:$AH$266,'Jan (next year)'!$D$27:$AH$266),27+4*(IFERROR(MATCH(C1012,Roster!$B$6:$B$65,0),MATCH(C1012,Roster!$C$6:$C$65,0))-1)+MATCH(B1012,{"AM","PM","NIGHT","WD"},0)-1-27+1,DAY(A1012))&amp;"",""))</f>
        <v/>
      </c>
      <c r="G1012" s="123">
        <f>IF(OR(A1012="",C1012="",B1012="",E1012=""),"",IFERROR(A1012&amp;"|"&amp;(27+4*(IFERROR(MATCH(C1012,Roster!$B$6:$B$65,0),MATCH(C1012,Roster!$C$6:$C$65,0))-1)+MATCH(B1012,{"AM","PM","NIGHT","WD"},0)-1),""))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$266,'Feb'!$D$27:$AH$266,'Mar'!$D$27:$AH$266,'Apr'!$D$27:$AH$266,'May'!$D$27:$AH$266,'Jun'!$D$27:$AH$266,'Jul'!$D$27:$AH$266,'Aug'!$D$27:$AH$266,'Sep'!$D$27:$AH$266,'Oct'!$D$27:$AH$266,'Nov'!$D$27:$AH$266,'Dec'!$D$27:$AH$266,'Jan (next year)'!$D$27:$AH$266),27+4*(IFERROR(MATCH(C1013,Roster!$B$6:$B$65,0),MATCH(C1013,Roster!$C$6:$C$65,0))-1)+MATCH(B1013,{"AM","PM","NIGHT","WD"},0)-1-27+1,DAY(A1013))&amp;"",""))</f>
        <v/>
      </c>
      <c r="G1013" s="123">
        <f>IF(OR(A1013="",C1013="",B1013="",E1013=""),"",IFERROR(A1013&amp;"|"&amp;(27+4*(IFERROR(MATCH(C1013,Roster!$B$6:$B$65,0),MATCH(C1013,Roster!$C$6:$C$65,0))-1)+MATCH(B1013,{"AM","PM","NIGHT","WD"},0)-1),""))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$266,'Feb'!$D$27:$AH$266,'Mar'!$D$27:$AH$266,'Apr'!$D$27:$AH$266,'May'!$D$27:$AH$266,'Jun'!$D$27:$AH$266,'Jul'!$D$27:$AH$266,'Aug'!$D$27:$AH$266,'Sep'!$D$27:$AH$266,'Oct'!$D$27:$AH$266,'Nov'!$D$27:$AH$266,'Dec'!$D$27:$AH$266,'Jan (next year)'!$D$27:$AH$266),27+4*(IFERROR(MATCH(C1014,Roster!$B$6:$B$65,0),MATCH(C1014,Roster!$C$6:$C$65,0))-1)+MATCH(B1014,{"AM","PM","NIGHT","WD"},0)-1-27+1,DAY(A1014))&amp;"",""))</f>
        <v/>
      </c>
      <c r="G1014" s="123">
        <f>IF(OR(A1014="",C1014="",B1014="",E1014=""),"",IFERROR(A1014&amp;"|"&amp;(27+4*(IFERROR(MATCH(C1014,Roster!$B$6:$B$65,0),MATCH(C1014,Roster!$C$6:$C$65,0))-1)+MATCH(B1014,{"AM","PM","NIGHT","WD"},0)-1),""))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$266,'Feb'!$D$27:$AH$266,'Mar'!$D$27:$AH$266,'Apr'!$D$27:$AH$266,'May'!$D$27:$AH$266,'Jun'!$D$27:$AH$266,'Jul'!$D$27:$AH$266,'Aug'!$D$27:$AH$266,'Sep'!$D$27:$AH$266,'Oct'!$D$27:$AH$266,'Nov'!$D$27:$AH$266,'Dec'!$D$27:$AH$266,'Jan (next year)'!$D$27:$AH$266),27+4*(IFERROR(MATCH(C1015,Roster!$B$6:$B$65,0),MATCH(C1015,Roster!$C$6:$C$65,0))-1)+MATCH(B1015,{"AM","PM","NIGHT","WD"},0)-1-27+1,DAY(A1015))&amp;"",""))</f>
        <v/>
      </c>
      <c r="G1015" s="123">
        <f>IF(OR(A1015="",C1015="",B1015="",E1015=""),"",IFERROR(A1015&amp;"|"&amp;(27+4*(IFERROR(MATCH(C1015,Roster!$B$6:$B$65,0),MATCH(C1015,Roster!$C$6:$C$65,0))-1)+MATCH(B1015,{"AM","PM","NIGHT","WD"},0)-1),""))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$266,'Feb'!$D$27:$AH$266,'Mar'!$D$27:$AH$266,'Apr'!$D$27:$AH$266,'May'!$D$27:$AH$266,'Jun'!$D$27:$AH$266,'Jul'!$D$27:$AH$266,'Aug'!$D$27:$AH$266,'Sep'!$D$27:$AH$266,'Oct'!$D$27:$AH$266,'Nov'!$D$27:$AH$266,'Dec'!$D$27:$AH$266,'Jan (next year)'!$D$27:$AH$266),27+4*(IFERROR(MATCH(C1016,Roster!$B$6:$B$65,0),MATCH(C1016,Roster!$C$6:$C$65,0))-1)+MATCH(B1016,{"AM","PM","NIGHT","WD"},0)-1-27+1,DAY(A1016))&amp;"",""))</f>
        <v/>
      </c>
      <c r="G1016" s="123">
        <f>IF(OR(A1016="",C1016="",B1016="",E1016=""),"",IFERROR(A1016&amp;"|"&amp;(27+4*(IFERROR(MATCH(C1016,Roster!$B$6:$B$65,0),MATCH(C1016,Roster!$C$6:$C$65,0))-1)+MATCH(B1016,{"AM","PM","NIGHT","WD"},0)-1),""))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$266,'Feb'!$D$27:$AH$266,'Mar'!$D$27:$AH$266,'Apr'!$D$27:$AH$266,'May'!$D$27:$AH$266,'Jun'!$D$27:$AH$266,'Jul'!$D$27:$AH$266,'Aug'!$D$27:$AH$266,'Sep'!$D$27:$AH$266,'Oct'!$D$27:$AH$266,'Nov'!$D$27:$AH$266,'Dec'!$D$27:$AH$266,'Jan (next year)'!$D$27:$AH$266),27+4*(IFERROR(MATCH(C1017,Roster!$B$6:$B$65,0),MATCH(C1017,Roster!$C$6:$C$65,0))-1)+MATCH(B1017,{"AM","PM","NIGHT","WD"},0)-1-27+1,DAY(A1017))&amp;"",""))</f>
        <v/>
      </c>
      <c r="G1017" s="123">
        <f>IF(OR(A1017="",C1017="",B1017="",E1017=""),"",IFERROR(A1017&amp;"|"&amp;(27+4*(IFERROR(MATCH(C1017,Roster!$B$6:$B$65,0),MATCH(C1017,Roster!$C$6:$C$65,0))-1)+MATCH(B1017,{"AM","PM","NIGHT","WD"},0)-1),""))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$266,'Feb'!$D$27:$AH$266,'Mar'!$D$27:$AH$266,'Apr'!$D$27:$AH$266,'May'!$D$27:$AH$266,'Jun'!$D$27:$AH$266,'Jul'!$D$27:$AH$266,'Aug'!$D$27:$AH$266,'Sep'!$D$27:$AH$266,'Oct'!$D$27:$AH$266,'Nov'!$D$27:$AH$266,'Dec'!$D$27:$AH$266,'Jan (next year)'!$D$27:$AH$266),27+4*(IFERROR(MATCH(C1018,Roster!$B$6:$B$65,0),MATCH(C1018,Roster!$C$6:$C$65,0))-1)+MATCH(B1018,{"AM","PM","NIGHT","WD"},0)-1-27+1,DAY(A1018))&amp;"",""))</f>
        <v/>
      </c>
      <c r="G1018" s="123">
        <f>IF(OR(A1018="",C1018="",B1018="",E1018=""),"",IFERROR(A1018&amp;"|"&amp;(27+4*(IFERROR(MATCH(C1018,Roster!$B$6:$B$65,0),MATCH(C1018,Roster!$C$6:$C$65,0))-1)+MATCH(B1018,{"AM","PM","NIGHT","WD"},0)-1),""))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$266,'Feb'!$D$27:$AH$266,'Mar'!$D$27:$AH$266,'Apr'!$D$27:$AH$266,'May'!$D$27:$AH$266,'Jun'!$D$27:$AH$266,'Jul'!$D$27:$AH$266,'Aug'!$D$27:$AH$266,'Sep'!$D$27:$AH$266,'Oct'!$D$27:$AH$266,'Nov'!$D$27:$AH$266,'Dec'!$D$27:$AH$266,'Jan (next year)'!$D$27:$AH$266),27+4*(IFERROR(MATCH(C1019,Roster!$B$6:$B$65,0),MATCH(C1019,Roster!$C$6:$C$65,0))-1)+MATCH(B1019,{"AM","PM","NIGHT","WD"},0)-1-27+1,DAY(A1019))&amp;"",""))</f>
        <v/>
      </c>
      <c r="G1019" s="123">
        <f>IF(OR(A1019="",C1019="",B1019="",E1019=""),"",IFERROR(A1019&amp;"|"&amp;(27+4*(IFERROR(MATCH(C1019,Roster!$B$6:$B$65,0),MATCH(C1019,Roster!$C$6:$C$65,0))-1)+MATCH(B1019,{"AM","PM","NIGHT","WD"},0)-1),""))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$266,'Feb'!$D$27:$AH$266,'Mar'!$D$27:$AH$266,'Apr'!$D$27:$AH$266,'May'!$D$27:$AH$266,'Jun'!$D$27:$AH$266,'Jul'!$D$27:$AH$266,'Aug'!$D$27:$AH$266,'Sep'!$D$27:$AH$266,'Oct'!$D$27:$AH$266,'Nov'!$D$27:$AH$266,'Dec'!$D$27:$AH$266,'Jan (next year)'!$D$27:$AH$266),27+4*(IFERROR(MATCH(C1020,Roster!$B$6:$B$65,0),MATCH(C1020,Roster!$C$6:$C$65,0))-1)+MATCH(B1020,{"AM","PM","NIGHT","WD"},0)-1-27+1,DAY(A1020))&amp;"",""))</f>
        <v/>
      </c>
      <c r="G1020" s="123">
        <f>IF(OR(A1020="",C1020="",B1020="",E1020=""),"",IFERROR(A1020&amp;"|"&amp;(27+4*(IFERROR(MATCH(C1020,Roster!$B$6:$B$65,0),MATCH(C1020,Roster!$C$6:$C$65,0))-1)+MATCH(B1020,{"AM","PM","NIGHT","WD"},0)-1),""))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$266,'Feb'!$D$27:$AH$266,'Mar'!$D$27:$AH$266,'Apr'!$D$27:$AH$266,'May'!$D$27:$AH$266,'Jun'!$D$27:$AH$266,'Jul'!$D$27:$AH$266,'Aug'!$D$27:$AH$266,'Sep'!$D$27:$AH$266,'Oct'!$D$27:$AH$266,'Nov'!$D$27:$AH$266,'Dec'!$D$27:$AH$266,'Jan (next year)'!$D$27:$AH$266),27+4*(IFERROR(MATCH(C1021,Roster!$B$6:$B$65,0),MATCH(C1021,Roster!$C$6:$C$65,0))-1)+MATCH(B1021,{"AM","PM","NIGHT","WD"},0)-1-27+1,DAY(A1021))&amp;"",""))</f>
        <v/>
      </c>
      <c r="G1021" s="123">
        <f>IF(OR(A1021="",C1021="",B1021="",E1021=""),"",IFERROR(A1021&amp;"|"&amp;(27+4*(IFERROR(MATCH(C1021,Roster!$B$6:$B$65,0),MATCH(C1021,Roster!$C$6:$C$65,0))-1)+MATCH(B1021,{"AM","PM","NIGHT","WD"},0)-1),""))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$266,'Feb'!$D$27:$AH$266,'Mar'!$D$27:$AH$266,'Apr'!$D$27:$AH$266,'May'!$D$27:$AH$266,'Jun'!$D$27:$AH$266,'Jul'!$D$27:$AH$266,'Aug'!$D$27:$AH$266,'Sep'!$D$27:$AH$266,'Oct'!$D$27:$AH$266,'Nov'!$D$27:$AH$266,'Dec'!$D$27:$AH$266,'Jan (next year)'!$D$27:$AH$266),27+4*(IFERROR(MATCH(C1022,Roster!$B$6:$B$65,0),MATCH(C1022,Roster!$C$6:$C$65,0))-1)+MATCH(B1022,{"AM","PM","NIGHT","WD"},0)-1-27+1,DAY(A1022))&amp;"",""))</f>
        <v/>
      </c>
      <c r="G1022" s="123">
        <f>IF(OR(A1022="",C1022="",B1022="",E1022=""),"",IFERROR(A1022&amp;"|"&amp;(27+4*(IFERROR(MATCH(C1022,Roster!$B$6:$B$65,0),MATCH(C1022,Roster!$C$6:$C$65,0))-1)+MATCH(B1022,{"AM","PM","NIGHT","WD"},0)-1),""))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$266,'Feb'!$D$27:$AH$266,'Mar'!$D$27:$AH$266,'Apr'!$D$27:$AH$266,'May'!$D$27:$AH$266,'Jun'!$D$27:$AH$266,'Jul'!$D$27:$AH$266,'Aug'!$D$27:$AH$266,'Sep'!$D$27:$AH$266,'Oct'!$D$27:$AH$266,'Nov'!$D$27:$AH$266,'Dec'!$D$27:$AH$266,'Jan (next year)'!$D$27:$AH$266),27+4*(IFERROR(MATCH(C1023,Roster!$B$6:$B$65,0),MATCH(C1023,Roster!$C$6:$C$65,0))-1)+MATCH(B1023,{"AM","PM","NIGHT","WD"},0)-1-27+1,DAY(A1023))&amp;"",""))</f>
        <v/>
      </c>
      <c r="G1023" s="123">
        <f>IF(OR(A1023="",C1023="",B1023="",E1023=""),"",IFERROR(A1023&amp;"|"&amp;(27+4*(IFERROR(MATCH(C1023,Roster!$B$6:$B$65,0),MATCH(C1023,Roster!$C$6:$C$65,0))-1)+MATCH(B1023,{"AM","PM","NIGHT","WD"},0)-1),""))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$266,'Feb'!$D$27:$AH$266,'Mar'!$D$27:$AH$266,'Apr'!$D$27:$AH$266,'May'!$D$27:$AH$266,'Jun'!$D$27:$AH$266,'Jul'!$D$27:$AH$266,'Aug'!$D$27:$AH$266,'Sep'!$D$27:$AH$266,'Oct'!$D$27:$AH$266,'Nov'!$D$27:$AH$266,'Dec'!$D$27:$AH$266,'Jan (next year)'!$D$27:$AH$266),27+4*(IFERROR(MATCH(C1024,Roster!$B$6:$B$65,0),MATCH(C1024,Roster!$C$6:$C$65,0))-1)+MATCH(B1024,{"AM","PM","NIGHT","WD"},0)-1-27+1,DAY(A1024))&amp;"",""))</f>
        <v/>
      </c>
      <c r="G1024" s="123">
        <f>IF(OR(A1024="",C1024="",B1024="",E1024=""),"",IFERROR(A1024&amp;"|"&amp;(27+4*(IFERROR(MATCH(C1024,Roster!$B$6:$B$65,0),MATCH(C1024,Roster!$C$6:$C$65,0))-1)+MATCH(B1024,{"AM","PM","NIGHT","WD"},0)-1),""))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$266,'Feb'!$D$27:$AH$266,'Mar'!$D$27:$AH$266,'Apr'!$D$27:$AH$266,'May'!$D$27:$AH$266,'Jun'!$D$27:$AH$266,'Jul'!$D$27:$AH$266,'Aug'!$D$27:$AH$266,'Sep'!$D$27:$AH$266,'Oct'!$D$27:$AH$266,'Nov'!$D$27:$AH$266,'Dec'!$D$27:$AH$266,'Jan (next year)'!$D$27:$AH$266),27+4*(IFERROR(MATCH(C1025,Roster!$B$6:$B$65,0),MATCH(C1025,Roster!$C$6:$C$65,0))-1)+MATCH(B1025,{"AM","PM","NIGHT","WD"},0)-1-27+1,DAY(A1025))&amp;"",""))</f>
        <v/>
      </c>
      <c r="G1025" s="123">
        <f>IF(OR(A1025="",C1025="",B1025="",E1025=""),"",IFERROR(A1025&amp;"|"&amp;(27+4*(IFERROR(MATCH(C1025,Roster!$B$6:$B$65,0),MATCH(C1025,Roster!$C$6:$C$65,0))-1)+MATCH(B1025,{"AM","PM","NIGHT","WD"},0)-1),""))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$266,'Feb'!$D$27:$AH$266,'Mar'!$D$27:$AH$266,'Apr'!$D$27:$AH$266,'May'!$D$27:$AH$266,'Jun'!$D$27:$AH$266,'Jul'!$D$27:$AH$266,'Aug'!$D$27:$AH$266,'Sep'!$D$27:$AH$266,'Oct'!$D$27:$AH$266,'Nov'!$D$27:$AH$266,'Dec'!$D$27:$AH$266,'Jan (next year)'!$D$27:$AH$266),27+4*(IFERROR(MATCH(C1026,Roster!$B$6:$B$65,0),MATCH(C1026,Roster!$C$6:$C$65,0))-1)+MATCH(B1026,{"AM","PM","NIGHT","WD"},0)-1-27+1,DAY(A1026))&amp;"",""))</f>
        <v/>
      </c>
      <c r="G1026" s="123">
        <f>IF(OR(A1026="",C1026="",B1026="",E1026=""),"",IFERROR(A1026&amp;"|"&amp;(27+4*(IFERROR(MATCH(C1026,Roster!$B$6:$B$65,0),MATCH(C1026,Roster!$C$6:$C$65,0))-1)+MATCH(B1026,{"AM","PM","NIGHT","WD"},0)-1),""))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$266,'Feb'!$D$27:$AH$266,'Mar'!$D$27:$AH$266,'Apr'!$D$27:$AH$266,'May'!$D$27:$AH$266,'Jun'!$D$27:$AH$266,'Jul'!$D$27:$AH$266,'Aug'!$D$27:$AH$266,'Sep'!$D$27:$AH$266,'Oct'!$D$27:$AH$266,'Nov'!$D$27:$AH$266,'Dec'!$D$27:$AH$266,'Jan (next year)'!$D$27:$AH$266),27+4*(IFERROR(MATCH(C1027,Roster!$B$6:$B$65,0),MATCH(C1027,Roster!$C$6:$C$65,0))-1)+MATCH(B1027,{"AM","PM","NIGHT","WD"},0)-1-27+1,DAY(A1027))&amp;"",""))</f>
        <v/>
      </c>
      <c r="G1027" s="123">
        <f>IF(OR(A1027="",C1027="",B1027="",E1027=""),"",IFERROR(A1027&amp;"|"&amp;(27+4*(IFERROR(MATCH(C1027,Roster!$B$6:$B$65,0),MATCH(C1027,Roster!$C$6:$C$65,0))-1)+MATCH(B1027,{"AM","PM","NIGHT","WD"},0)-1),""))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$266,'Feb'!$D$27:$AH$266,'Mar'!$D$27:$AH$266,'Apr'!$D$27:$AH$266,'May'!$D$27:$AH$266,'Jun'!$D$27:$AH$266,'Jul'!$D$27:$AH$266,'Aug'!$D$27:$AH$266,'Sep'!$D$27:$AH$266,'Oct'!$D$27:$AH$266,'Nov'!$D$27:$AH$266,'Dec'!$D$27:$AH$266,'Jan (next year)'!$D$27:$AH$266),27+4*(IFERROR(MATCH(C1028,Roster!$B$6:$B$65,0),MATCH(C1028,Roster!$C$6:$C$65,0))-1)+MATCH(B1028,{"AM","PM","NIGHT","WD"},0)-1-27+1,DAY(A1028))&amp;"",""))</f>
        <v/>
      </c>
      <c r="G1028" s="123">
        <f>IF(OR(A1028="",C1028="",B1028="",E1028=""),"",IFERROR(A1028&amp;"|"&amp;(27+4*(IFERROR(MATCH(C1028,Roster!$B$6:$B$65,0),MATCH(C1028,Roster!$C$6:$C$65,0))-1)+MATCH(B1028,{"AM","PM","NIGHT","WD"},0)-1),""))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$266,'Feb'!$D$27:$AH$266,'Mar'!$D$27:$AH$266,'Apr'!$D$27:$AH$266,'May'!$D$27:$AH$266,'Jun'!$D$27:$AH$266,'Jul'!$D$27:$AH$266,'Aug'!$D$27:$AH$266,'Sep'!$D$27:$AH$266,'Oct'!$D$27:$AH$266,'Nov'!$D$27:$AH$266,'Dec'!$D$27:$AH$266,'Jan (next year)'!$D$27:$AH$266),27+4*(IFERROR(MATCH(C1029,Roster!$B$6:$B$65,0),MATCH(C1029,Roster!$C$6:$C$65,0))-1)+MATCH(B1029,{"AM","PM","NIGHT","WD"},0)-1-27+1,DAY(A1029))&amp;"",""))</f>
        <v/>
      </c>
      <c r="G1029" s="123">
        <f>IF(OR(A1029="",C1029="",B1029="",E1029=""),"",IFERROR(A1029&amp;"|"&amp;(27+4*(IFERROR(MATCH(C1029,Roster!$B$6:$B$65,0),MATCH(C1029,Roster!$C$6:$C$65,0))-1)+MATCH(B1029,{"AM","PM","NIGHT","WD"},0)-1),""))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$266,'Feb'!$D$27:$AH$266,'Mar'!$D$27:$AH$266,'Apr'!$D$27:$AH$266,'May'!$D$27:$AH$266,'Jun'!$D$27:$AH$266,'Jul'!$D$27:$AH$266,'Aug'!$D$27:$AH$266,'Sep'!$D$27:$AH$266,'Oct'!$D$27:$AH$266,'Nov'!$D$27:$AH$266,'Dec'!$D$27:$AH$266,'Jan (next year)'!$D$27:$AH$266),27+4*(IFERROR(MATCH(C1030,Roster!$B$6:$B$65,0),MATCH(C1030,Roster!$C$6:$C$65,0))-1)+MATCH(B1030,{"AM","PM","NIGHT","WD"},0)-1-27+1,DAY(A1030))&amp;"",""))</f>
        <v/>
      </c>
      <c r="G1030" s="123">
        <f>IF(OR(A1030="",C1030="",B1030="",E1030=""),"",IFERROR(A1030&amp;"|"&amp;(27+4*(IFERROR(MATCH(C1030,Roster!$B$6:$B$65,0),MATCH(C1030,Roster!$C$6:$C$65,0))-1)+MATCH(B1030,{"AM","PM","NIGHT","WD"},0)-1),""))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$266,'Feb'!$D$27:$AH$266,'Mar'!$D$27:$AH$266,'Apr'!$D$27:$AH$266,'May'!$D$27:$AH$266,'Jun'!$D$27:$AH$266,'Jul'!$D$27:$AH$266,'Aug'!$D$27:$AH$266,'Sep'!$D$27:$AH$266,'Oct'!$D$27:$AH$266,'Nov'!$D$27:$AH$266,'Dec'!$D$27:$AH$266,'Jan (next year)'!$D$27:$AH$266),27+4*(IFERROR(MATCH(C1031,Roster!$B$6:$B$65,0),MATCH(C1031,Roster!$C$6:$C$65,0))-1)+MATCH(B1031,{"AM","PM","NIGHT","WD"},0)-1-27+1,DAY(A1031))&amp;"",""))</f>
        <v/>
      </c>
      <c r="G1031" s="123">
        <f>IF(OR(A1031="",C1031="",B1031="",E1031=""),"",IFERROR(A1031&amp;"|"&amp;(27+4*(IFERROR(MATCH(C1031,Roster!$B$6:$B$65,0),MATCH(C1031,Roster!$C$6:$C$65,0))-1)+MATCH(B1031,{"AM","PM","NIGHT","WD"},0)-1),""))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$266,'Feb'!$D$27:$AH$266,'Mar'!$D$27:$AH$266,'Apr'!$D$27:$AH$266,'May'!$D$27:$AH$266,'Jun'!$D$27:$AH$266,'Jul'!$D$27:$AH$266,'Aug'!$D$27:$AH$266,'Sep'!$D$27:$AH$266,'Oct'!$D$27:$AH$266,'Nov'!$D$27:$AH$266,'Dec'!$D$27:$AH$266,'Jan (next year)'!$D$27:$AH$266),27+4*(IFERROR(MATCH(C1032,Roster!$B$6:$B$65,0),MATCH(C1032,Roster!$C$6:$C$65,0))-1)+MATCH(B1032,{"AM","PM","NIGHT","WD"},0)-1-27+1,DAY(A1032))&amp;"",""))</f>
        <v/>
      </c>
      <c r="G1032" s="123">
        <f>IF(OR(A1032="",C1032="",B1032="",E1032=""),"",IFERROR(A1032&amp;"|"&amp;(27+4*(IFERROR(MATCH(C1032,Roster!$B$6:$B$65,0),MATCH(C1032,Roster!$C$6:$C$65,0))-1)+MATCH(B1032,{"AM","PM","NIGHT","WD"},0)-1),""))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$266,'Feb'!$D$27:$AH$266,'Mar'!$D$27:$AH$266,'Apr'!$D$27:$AH$266,'May'!$D$27:$AH$266,'Jun'!$D$27:$AH$266,'Jul'!$D$27:$AH$266,'Aug'!$D$27:$AH$266,'Sep'!$D$27:$AH$266,'Oct'!$D$27:$AH$266,'Nov'!$D$27:$AH$266,'Dec'!$D$27:$AH$266,'Jan (next year)'!$D$27:$AH$266),27+4*(IFERROR(MATCH(C1033,Roster!$B$6:$B$65,0),MATCH(C1033,Roster!$C$6:$C$65,0))-1)+MATCH(B1033,{"AM","PM","NIGHT","WD"},0)-1-27+1,DAY(A1033))&amp;"",""))</f>
        <v/>
      </c>
      <c r="G1033" s="123">
        <f>IF(OR(A1033="",C1033="",B1033="",E1033=""),"",IFERROR(A1033&amp;"|"&amp;(27+4*(IFERROR(MATCH(C1033,Roster!$B$6:$B$65,0),MATCH(C1033,Roster!$C$6:$C$65,0))-1)+MATCH(B1033,{"AM","PM","NIGHT","WD"},0)-1),""))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$266,'Feb'!$D$27:$AH$266,'Mar'!$D$27:$AH$266,'Apr'!$D$27:$AH$266,'May'!$D$27:$AH$266,'Jun'!$D$27:$AH$266,'Jul'!$D$27:$AH$266,'Aug'!$D$27:$AH$266,'Sep'!$D$27:$AH$266,'Oct'!$D$27:$AH$266,'Nov'!$D$27:$AH$266,'Dec'!$D$27:$AH$266,'Jan (next year)'!$D$27:$AH$266),27+4*(IFERROR(MATCH(C1034,Roster!$B$6:$B$65,0),MATCH(C1034,Roster!$C$6:$C$65,0))-1)+MATCH(B1034,{"AM","PM","NIGHT","WD"},0)-1-27+1,DAY(A1034))&amp;"",""))</f>
        <v/>
      </c>
      <c r="G1034" s="123">
        <f>IF(OR(A1034="",C1034="",B1034="",E1034=""),"",IFERROR(A1034&amp;"|"&amp;(27+4*(IFERROR(MATCH(C1034,Roster!$B$6:$B$65,0),MATCH(C1034,Roster!$C$6:$C$65,0))-1)+MATCH(B1034,{"AM","PM","NIGHT","WD"},0)-1),""))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$266,'Feb'!$D$27:$AH$266,'Mar'!$D$27:$AH$266,'Apr'!$D$27:$AH$266,'May'!$D$27:$AH$266,'Jun'!$D$27:$AH$266,'Jul'!$D$27:$AH$266,'Aug'!$D$27:$AH$266,'Sep'!$D$27:$AH$266,'Oct'!$D$27:$AH$266,'Nov'!$D$27:$AH$266,'Dec'!$D$27:$AH$266,'Jan (next year)'!$D$27:$AH$266),27+4*(IFERROR(MATCH(C1035,Roster!$B$6:$B$65,0),MATCH(C1035,Roster!$C$6:$C$65,0))-1)+MATCH(B1035,{"AM","PM","NIGHT","WD"},0)-1-27+1,DAY(A1035))&amp;"",""))</f>
        <v/>
      </c>
      <c r="G1035" s="123">
        <f>IF(OR(A1035="",C1035="",B1035="",E1035=""),"",IFERROR(A1035&amp;"|"&amp;(27+4*(IFERROR(MATCH(C1035,Roster!$B$6:$B$65,0),MATCH(C1035,Roster!$C$6:$C$65,0))-1)+MATCH(B1035,{"AM","PM","NIGHT","WD"},0)-1),""))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$266,'Feb'!$D$27:$AH$266,'Mar'!$D$27:$AH$266,'Apr'!$D$27:$AH$266,'May'!$D$27:$AH$266,'Jun'!$D$27:$AH$266,'Jul'!$D$27:$AH$266,'Aug'!$D$27:$AH$266,'Sep'!$D$27:$AH$266,'Oct'!$D$27:$AH$266,'Nov'!$D$27:$AH$266,'Dec'!$D$27:$AH$266,'Jan (next year)'!$D$27:$AH$266),27+4*(IFERROR(MATCH(C1036,Roster!$B$6:$B$65,0),MATCH(C1036,Roster!$C$6:$C$65,0))-1)+MATCH(B1036,{"AM","PM","NIGHT","WD"},0)-1-27+1,DAY(A1036))&amp;"",""))</f>
        <v/>
      </c>
      <c r="G1036" s="123">
        <f>IF(OR(A1036="",C1036="",B1036="",E1036=""),"",IFERROR(A1036&amp;"|"&amp;(27+4*(IFERROR(MATCH(C1036,Roster!$B$6:$B$65,0),MATCH(C1036,Roster!$C$6:$C$65,0))-1)+MATCH(B1036,{"AM","PM","NIGHT","WD"},0)-1),""))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$266,'Feb'!$D$27:$AH$266,'Mar'!$D$27:$AH$266,'Apr'!$D$27:$AH$266,'May'!$D$27:$AH$266,'Jun'!$D$27:$AH$266,'Jul'!$D$27:$AH$266,'Aug'!$D$27:$AH$266,'Sep'!$D$27:$AH$266,'Oct'!$D$27:$AH$266,'Nov'!$D$27:$AH$266,'Dec'!$D$27:$AH$266,'Jan (next year)'!$D$27:$AH$266),27+4*(IFERROR(MATCH(C1037,Roster!$B$6:$B$65,0),MATCH(C1037,Roster!$C$6:$C$65,0))-1)+MATCH(B1037,{"AM","PM","NIGHT","WD"},0)-1-27+1,DAY(A1037))&amp;"",""))</f>
        <v/>
      </c>
      <c r="G1037" s="123">
        <f>IF(OR(A1037="",C1037="",B1037="",E1037=""),"",IFERROR(A1037&amp;"|"&amp;(27+4*(IFERROR(MATCH(C1037,Roster!$B$6:$B$65,0),MATCH(C1037,Roster!$C$6:$C$65,0))-1)+MATCH(B1037,{"AM","PM","NIGHT","WD"},0)-1),""))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$266,'Feb'!$D$27:$AH$266,'Mar'!$D$27:$AH$266,'Apr'!$D$27:$AH$266,'May'!$D$27:$AH$266,'Jun'!$D$27:$AH$266,'Jul'!$D$27:$AH$266,'Aug'!$D$27:$AH$266,'Sep'!$D$27:$AH$266,'Oct'!$D$27:$AH$266,'Nov'!$D$27:$AH$266,'Dec'!$D$27:$AH$266,'Jan (next year)'!$D$27:$AH$266),27+4*(IFERROR(MATCH(C1038,Roster!$B$6:$B$65,0),MATCH(C1038,Roster!$C$6:$C$65,0))-1)+MATCH(B1038,{"AM","PM","NIGHT","WD"},0)-1-27+1,DAY(A1038))&amp;"",""))</f>
        <v/>
      </c>
      <c r="G1038" s="123">
        <f>IF(OR(A1038="",C1038="",B1038="",E1038=""),"",IFERROR(A1038&amp;"|"&amp;(27+4*(IFERROR(MATCH(C1038,Roster!$B$6:$B$65,0),MATCH(C1038,Roster!$C$6:$C$65,0))-1)+MATCH(B1038,{"AM","PM","NIGHT","WD"},0)-1),""))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$266,'Feb'!$D$27:$AH$266,'Mar'!$D$27:$AH$266,'Apr'!$D$27:$AH$266,'May'!$D$27:$AH$266,'Jun'!$D$27:$AH$266,'Jul'!$D$27:$AH$266,'Aug'!$D$27:$AH$266,'Sep'!$D$27:$AH$266,'Oct'!$D$27:$AH$266,'Nov'!$D$27:$AH$266,'Dec'!$D$27:$AH$266,'Jan (next year)'!$D$27:$AH$266),27+4*(IFERROR(MATCH(C1039,Roster!$B$6:$B$65,0),MATCH(C1039,Roster!$C$6:$C$65,0))-1)+MATCH(B1039,{"AM","PM","NIGHT","WD"},0)-1-27+1,DAY(A1039))&amp;"",""))</f>
        <v/>
      </c>
      <c r="G1039" s="123">
        <f>IF(OR(A1039="",C1039="",B1039="",E1039=""),"",IFERROR(A1039&amp;"|"&amp;(27+4*(IFERROR(MATCH(C1039,Roster!$B$6:$B$65,0),MATCH(C1039,Roster!$C$6:$C$65,0))-1)+MATCH(B1039,{"AM","PM","NIGHT","WD"},0)-1),""))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$266,'Feb'!$D$27:$AH$266,'Mar'!$D$27:$AH$266,'Apr'!$D$27:$AH$266,'May'!$D$27:$AH$266,'Jun'!$D$27:$AH$266,'Jul'!$D$27:$AH$266,'Aug'!$D$27:$AH$266,'Sep'!$D$27:$AH$266,'Oct'!$D$27:$AH$266,'Nov'!$D$27:$AH$266,'Dec'!$D$27:$AH$266,'Jan (next year)'!$D$27:$AH$266),27+4*(IFERROR(MATCH(C1040,Roster!$B$6:$B$65,0),MATCH(C1040,Roster!$C$6:$C$65,0))-1)+MATCH(B1040,{"AM","PM","NIGHT","WD"},0)-1-27+1,DAY(A1040))&amp;"",""))</f>
        <v/>
      </c>
      <c r="G1040" s="123">
        <f>IF(OR(A1040="",C1040="",B1040="",E1040=""),"",IFERROR(A1040&amp;"|"&amp;(27+4*(IFERROR(MATCH(C1040,Roster!$B$6:$B$65,0),MATCH(C1040,Roster!$C$6:$C$65,0))-1)+MATCH(B1040,{"AM","PM","NIGHT","WD"},0)-1),""))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$266,'Feb'!$D$27:$AH$266,'Mar'!$D$27:$AH$266,'Apr'!$D$27:$AH$266,'May'!$D$27:$AH$266,'Jun'!$D$27:$AH$266,'Jul'!$D$27:$AH$266,'Aug'!$D$27:$AH$266,'Sep'!$D$27:$AH$266,'Oct'!$D$27:$AH$266,'Nov'!$D$27:$AH$266,'Dec'!$D$27:$AH$266,'Jan (next year)'!$D$27:$AH$266),27+4*(IFERROR(MATCH(C1041,Roster!$B$6:$B$65,0),MATCH(C1041,Roster!$C$6:$C$65,0))-1)+MATCH(B1041,{"AM","PM","NIGHT","WD"},0)-1-27+1,DAY(A1041))&amp;"",""))</f>
        <v/>
      </c>
      <c r="G1041" s="123">
        <f>IF(OR(A1041="",C1041="",B1041="",E1041=""),"",IFERROR(A1041&amp;"|"&amp;(27+4*(IFERROR(MATCH(C1041,Roster!$B$6:$B$65,0),MATCH(C1041,Roster!$C$6:$C$65,0))-1)+MATCH(B1041,{"AM","PM","NIGHT","WD"},0)-1),""))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$266,'Feb'!$D$27:$AH$266,'Mar'!$D$27:$AH$266,'Apr'!$D$27:$AH$266,'May'!$D$27:$AH$266,'Jun'!$D$27:$AH$266,'Jul'!$D$27:$AH$266,'Aug'!$D$27:$AH$266,'Sep'!$D$27:$AH$266,'Oct'!$D$27:$AH$266,'Nov'!$D$27:$AH$266,'Dec'!$D$27:$AH$266,'Jan (next year)'!$D$27:$AH$266),27+4*(IFERROR(MATCH(C1042,Roster!$B$6:$B$65,0),MATCH(C1042,Roster!$C$6:$C$65,0))-1)+MATCH(B1042,{"AM","PM","NIGHT","WD"},0)-1-27+1,DAY(A1042))&amp;"",""))</f>
        <v/>
      </c>
      <c r="G1042" s="123">
        <f>IF(OR(A1042="",C1042="",B1042="",E1042=""),"",IFERROR(A1042&amp;"|"&amp;(27+4*(IFERROR(MATCH(C1042,Roster!$B$6:$B$65,0),MATCH(C1042,Roster!$C$6:$C$65,0))-1)+MATCH(B1042,{"AM","PM","NIGHT","WD"},0)-1),""))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$266,'Feb'!$D$27:$AH$266,'Mar'!$D$27:$AH$266,'Apr'!$D$27:$AH$266,'May'!$D$27:$AH$266,'Jun'!$D$27:$AH$266,'Jul'!$D$27:$AH$266,'Aug'!$D$27:$AH$266,'Sep'!$D$27:$AH$266,'Oct'!$D$27:$AH$266,'Nov'!$D$27:$AH$266,'Dec'!$D$27:$AH$266,'Jan (next year)'!$D$27:$AH$266),27+4*(IFERROR(MATCH(C1043,Roster!$B$6:$B$65,0),MATCH(C1043,Roster!$C$6:$C$65,0))-1)+MATCH(B1043,{"AM","PM","NIGHT","WD"},0)-1-27+1,DAY(A1043))&amp;"",""))</f>
        <v/>
      </c>
      <c r="G1043" s="123">
        <f>IF(OR(A1043="",C1043="",B1043="",E1043=""),"",IFERROR(A1043&amp;"|"&amp;(27+4*(IFERROR(MATCH(C1043,Roster!$B$6:$B$65,0),MATCH(C1043,Roster!$C$6:$C$65,0))-1)+MATCH(B1043,{"AM","PM","NIGHT","WD"},0)-1),""))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$266,'Feb'!$D$27:$AH$266,'Mar'!$D$27:$AH$266,'Apr'!$D$27:$AH$266,'May'!$D$27:$AH$266,'Jun'!$D$27:$AH$266,'Jul'!$D$27:$AH$266,'Aug'!$D$27:$AH$266,'Sep'!$D$27:$AH$266,'Oct'!$D$27:$AH$266,'Nov'!$D$27:$AH$266,'Dec'!$D$27:$AH$266,'Jan (next year)'!$D$27:$AH$266),27+4*(IFERROR(MATCH(C1044,Roster!$B$6:$B$65,0),MATCH(C1044,Roster!$C$6:$C$65,0))-1)+MATCH(B1044,{"AM","PM","NIGHT","WD"},0)-1-27+1,DAY(A1044))&amp;"",""))</f>
        <v/>
      </c>
      <c r="G1044" s="123">
        <f>IF(OR(A1044="",C1044="",B1044="",E1044=""),"",IFERROR(A1044&amp;"|"&amp;(27+4*(IFERROR(MATCH(C1044,Roster!$B$6:$B$65,0),MATCH(C1044,Roster!$C$6:$C$65,0))-1)+MATCH(B1044,{"AM","PM","NIGHT","WD"},0)-1),""))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$266,'Feb'!$D$27:$AH$266,'Mar'!$D$27:$AH$266,'Apr'!$D$27:$AH$266,'May'!$D$27:$AH$266,'Jun'!$D$27:$AH$266,'Jul'!$D$27:$AH$266,'Aug'!$D$27:$AH$266,'Sep'!$D$27:$AH$266,'Oct'!$D$27:$AH$266,'Nov'!$D$27:$AH$266,'Dec'!$D$27:$AH$266,'Jan (next year)'!$D$27:$AH$266),27+4*(IFERROR(MATCH(C1045,Roster!$B$6:$B$65,0),MATCH(C1045,Roster!$C$6:$C$65,0))-1)+MATCH(B1045,{"AM","PM","NIGHT","WD"},0)-1-27+1,DAY(A1045))&amp;"",""))</f>
        <v/>
      </c>
      <c r="G1045" s="123">
        <f>IF(OR(A1045="",C1045="",B1045="",E1045=""),"",IFERROR(A1045&amp;"|"&amp;(27+4*(IFERROR(MATCH(C1045,Roster!$B$6:$B$65,0),MATCH(C1045,Roster!$C$6:$C$65,0))-1)+MATCH(B1045,{"AM","PM","NIGHT","WD"},0)-1),""))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$266,'Feb'!$D$27:$AH$266,'Mar'!$D$27:$AH$266,'Apr'!$D$27:$AH$266,'May'!$D$27:$AH$266,'Jun'!$D$27:$AH$266,'Jul'!$D$27:$AH$266,'Aug'!$D$27:$AH$266,'Sep'!$D$27:$AH$266,'Oct'!$D$27:$AH$266,'Nov'!$D$27:$AH$266,'Dec'!$D$27:$AH$266,'Jan (next year)'!$D$27:$AH$266),27+4*(IFERROR(MATCH(C1046,Roster!$B$6:$B$65,0),MATCH(C1046,Roster!$C$6:$C$65,0))-1)+MATCH(B1046,{"AM","PM","NIGHT","WD"},0)-1-27+1,DAY(A1046))&amp;"",""))</f>
        <v/>
      </c>
      <c r="G1046" s="123">
        <f>IF(OR(A1046="",C1046="",B1046="",E1046=""),"",IFERROR(A1046&amp;"|"&amp;(27+4*(IFERROR(MATCH(C1046,Roster!$B$6:$B$65,0),MATCH(C1046,Roster!$C$6:$C$65,0))-1)+MATCH(B1046,{"AM","PM","NIGHT","WD"},0)-1),""))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$266,'Feb'!$D$27:$AH$266,'Mar'!$D$27:$AH$266,'Apr'!$D$27:$AH$266,'May'!$D$27:$AH$266,'Jun'!$D$27:$AH$266,'Jul'!$D$27:$AH$266,'Aug'!$D$27:$AH$266,'Sep'!$D$27:$AH$266,'Oct'!$D$27:$AH$266,'Nov'!$D$27:$AH$266,'Dec'!$D$27:$AH$266,'Jan (next year)'!$D$27:$AH$266),27+4*(IFERROR(MATCH(C1047,Roster!$B$6:$B$65,0),MATCH(C1047,Roster!$C$6:$C$65,0))-1)+MATCH(B1047,{"AM","PM","NIGHT","WD"},0)-1-27+1,DAY(A1047))&amp;"",""))</f>
        <v/>
      </c>
      <c r="G1047" s="123">
        <f>IF(OR(A1047="",C1047="",B1047="",E1047=""),"",IFERROR(A1047&amp;"|"&amp;(27+4*(IFERROR(MATCH(C1047,Roster!$B$6:$B$65,0),MATCH(C1047,Roster!$C$6:$C$65,0))-1)+MATCH(B1047,{"AM","PM","NIGHT","WD"},0)-1),""))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$266,'Feb'!$D$27:$AH$266,'Mar'!$D$27:$AH$266,'Apr'!$D$27:$AH$266,'May'!$D$27:$AH$266,'Jun'!$D$27:$AH$266,'Jul'!$D$27:$AH$266,'Aug'!$D$27:$AH$266,'Sep'!$D$27:$AH$266,'Oct'!$D$27:$AH$266,'Nov'!$D$27:$AH$266,'Dec'!$D$27:$AH$266,'Jan (next year)'!$D$27:$AH$266),27+4*(IFERROR(MATCH(C1048,Roster!$B$6:$B$65,0),MATCH(C1048,Roster!$C$6:$C$65,0))-1)+MATCH(B1048,{"AM","PM","NIGHT","WD"},0)-1-27+1,DAY(A1048))&amp;"",""))</f>
        <v/>
      </c>
      <c r="G1048" s="123">
        <f>IF(OR(A1048="",C1048="",B1048="",E1048=""),"",IFERROR(A1048&amp;"|"&amp;(27+4*(IFERROR(MATCH(C1048,Roster!$B$6:$B$65,0),MATCH(C1048,Roster!$C$6:$C$65,0))-1)+MATCH(B1048,{"AM","PM","NIGHT","WD"},0)-1),""))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$266,'Feb'!$D$27:$AH$266,'Mar'!$D$27:$AH$266,'Apr'!$D$27:$AH$266,'May'!$D$27:$AH$266,'Jun'!$D$27:$AH$266,'Jul'!$D$27:$AH$266,'Aug'!$D$27:$AH$266,'Sep'!$D$27:$AH$266,'Oct'!$D$27:$AH$266,'Nov'!$D$27:$AH$266,'Dec'!$D$27:$AH$266,'Jan (next year)'!$D$27:$AH$266),27+4*(IFERROR(MATCH(C1049,Roster!$B$6:$B$65,0),MATCH(C1049,Roster!$C$6:$C$65,0))-1)+MATCH(B1049,{"AM","PM","NIGHT","WD"},0)-1-27+1,DAY(A1049))&amp;"",""))</f>
        <v/>
      </c>
      <c r="G1049" s="123">
        <f>IF(OR(A1049="",C1049="",B1049="",E1049=""),"",IFERROR(A1049&amp;"|"&amp;(27+4*(IFERROR(MATCH(C1049,Roster!$B$6:$B$65,0),MATCH(C1049,Roster!$C$6:$C$65,0))-1)+MATCH(B1049,{"AM","PM","NIGHT","WD"},0)-1),""))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$266,'Feb'!$D$27:$AH$266,'Mar'!$D$27:$AH$266,'Apr'!$D$27:$AH$266,'May'!$D$27:$AH$266,'Jun'!$D$27:$AH$266,'Jul'!$D$27:$AH$266,'Aug'!$D$27:$AH$266,'Sep'!$D$27:$AH$266,'Oct'!$D$27:$AH$266,'Nov'!$D$27:$AH$266,'Dec'!$D$27:$AH$266,'Jan (next year)'!$D$27:$AH$266),27+4*(IFERROR(MATCH(C1050,Roster!$B$6:$B$65,0),MATCH(C1050,Roster!$C$6:$C$65,0))-1)+MATCH(B1050,{"AM","PM","NIGHT","WD"},0)-1-27+1,DAY(A1050))&amp;"",""))</f>
        <v/>
      </c>
      <c r="G1050" s="123">
        <f>IF(OR(A1050="",C1050="",B1050="",E1050=""),"",IFERROR(A1050&amp;"|"&amp;(27+4*(IFERROR(MATCH(C1050,Roster!$B$6:$B$65,0),MATCH(C1050,Roster!$C$6:$C$65,0))-1)+MATCH(B1050,{"AM","PM","NIGHT","WD"},0)-1),""))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$266,'Feb'!$D$27:$AH$266,'Mar'!$D$27:$AH$266,'Apr'!$D$27:$AH$266,'May'!$D$27:$AH$266,'Jun'!$D$27:$AH$266,'Jul'!$D$27:$AH$266,'Aug'!$D$27:$AH$266,'Sep'!$D$27:$AH$266,'Oct'!$D$27:$AH$266,'Nov'!$D$27:$AH$266,'Dec'!$D$27:$AH$266,'Jan (next year)'!$D$27:$AH$266),27+4*(IFERROR(MATCH(C1051,Roster!$B$6:$B$65,0),MATCH(C1051,Roster!$C$6:$C$65,0))-1)+MATCH(B1051,{"AM","PM","NIGHT","WD"},0)-1-27+1,DAY(A1051))&amp;"",""))</f>
        <v/>
      </c>
      <c r="G1051" s="123">
        <f>IF(OR(A1051="",C1051="",B1051="",E1051=""),"",IFERROR(A1051&amp;"|"&amp;(27+4*(IFERROR(MATCH(C1051,Roster!$B$6:$B$65,0),MATCH(C1051,Roster!$C$6:$C$65,0))-1)+MATCH(B1051,{"AM","PM","NIGHT","WD"},0)-1),""))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$266,'Feb'!$D$27:$AH$266,'Mar'!$D$27:$AH$266,'Apr'!$D$27:$AH$266,'May'!$D$27:$AH$266,'Jun'!$D$27:$AH$266,'Jul'!$D$27:$AH$266,'Aug'!$D$27:$AH$266,'Sep'!$D$27:$AH$266,'Oct'!$D$27:$AH$266,'Nov'!$D$27:$AH$266,'Dec'!$D$27:$AH$266,'Jan (next year)'!$D$27:$AH$266),27+4*(IFERROR(MATCH(C1052,Roster!$B$6:$B$65,0),MATCH(C1052,Roster!$C$6:$C$65,0))-1)+MATCH(B1052,{"AM","PM","NIGHT","WD"},0)-1-27+1,DAY(A1052))&amp;"",""))</f>
        <v/>
      </c>
      <c r="G1052" s="123">
        <f>IF(OR(A1052="",C1052="",B1052="",E1052=""),"",IFERROR(A1052&amp;"|"&amp;(27+4*(IFERROR(MATCH(C1052,Roster!$B$6:$B$65,0),MATCH(C1052,Roster!$C$6:$C$65,0))-1)+MATCH(B1052,{"AM","PM","NIGHT","WD"},0)-1),""))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$266,'Feb'!$D$27:$AH$266,'Mar'!$D$27:$AH$266,'Apr'!$D$27:$AH$266,'May'!$D$27:$AH$266,'Jun'!$D$27:$AH$266,'Jul'!$D$27:$AH$266,'Aug'!$D$27:$AH$266,'Sep'!$D$27:$AH$266,'Oct'!$D$27:$AH$266,'Nov'!$D$27:$AH$266,'Dec'!$D$27:$AH$266,'Jan (next year)'!$D$27:$AH$266),27+4*(IFERROR(MATCH(C1053,Roster!$B$6:$B$65,0),MATCH(C1053,Roster!$C$6:$C$65,0))-1)+MATCH(B1053,{"AM","PM","NIGHT","WD"},0)-1-27+1,DAY(A1053))&amp;"",""))</f>
        <v/>
      </c>
      <c r="G1053" s="123">
        <f>IF(OR(A1053="",C1053="",B1053="",E1053=""),"",IFERROR(A1053&amp;"|"&amp;(27+4*(IFERROR(MATCH(C1053,Roster!$B$6:$B$65,0),MATCH(C1053,Roster!$C$6:$C$65,0))-1)+MATCH(B1053,{"AM","PM","NIGHT","WD"},0)-1),""))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$266,'Feb'!$D$27:$AH$266,'Mar'!$D$27:$AH$266,'Apr'!$D$27:$AH$266,'May'!$D$27:$AH$266,'Jun'!$D$27:$AH$266,'Jul'!$D$27:$AH$266,'Aug'!$D$27:$AH$266,'Sep'!$D$27:$AH$266,'Oct'!$D$27:$AH$266,'Nov'!$D$27:$AH$266,'Dec'!$D$27:$AH$266,'Jan (next year)'!$D$27:$AH$266),27+4*(IFERROR(MATCH(C1054,Roster!$B$6:$B$65,0),MATCH(C1054,Roster!$C$6:$C$65,0))-1)+MATCH(B1054,{"AM","PM","NIGHT","WD"},0)-1-27+1,DAY(A1054))&amp;"",""))</f>
        <v/>
      </c>
      <c r="G1054" s="123">
        <f>IF(OR(A1054="",C1054="",B1054="",E1054=""),"",IFERROR(A1054&amp;"|"&amp;(27+4*(IFERROR(MATCH(C1054,Roster!$B$6:$B$65,0),MATCH(C1054,Roster!$C$6:$C$65,0))-1)+MATCH(B1054,{"AM","PM","NIGHT","WD"},0)-1),""))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$266,'Feb'!$D$27:$AH$266,'Mar'!$D$27:$AH$266,'Apr'!$D$27:$AH$266,'May'!$D$27:$AH$266,'Jun'!$D$27:$AH$266,'Jul'!$D$27:$AH$266,'Aug'!$D$27:$AH$266,'Sep'!$D$27:$AH$266,'Oct'!$D$27:$AH$266,'Nov'!$D$27:$AH$266,'Dec'!$D$27:$AH$266,'Jan (next year)'!$D$27:$AH$266),27+4*(IFERROR(MATCH(C1055,Roster!$B$6:$B$65,0),MATCH(C1055,Roster!$C$6:$C$65,0))-1)+MATCH(B1055,{"AM","PM","NIGHT","WD"},0)-1-27+1,DAY(A1055))&amp;"",""))</f>
        <v/>
      </c>
      <c r="G1055" s="123">
        <f>IF(OR(A1055="",C1055="",B1055="",E1055=""),"",IFERROR(A1055&amp;"|"&amp;(27+4*(IFERROR(MATCH(C1055,Roster!$B$6:$B$65,0),MATCH(C1055,Roster!$C$6:$C$65,0))-1)+MATCH(B1055,{"AM","PM","NIGHT","WD"},0)-1),""))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$266,'Feb'!$D$27:$AH$266,'Mar'!$D$27:$AH$266,'Apr'!$D$27:$AH$266,'May'!$D$27:$AH$266,'Jun'!$D$27:$AH$266,'Jul'!$D$27:$AH$266,'Aug'!$D$27:$AH$266,'Sep'!$D$27:$AH$266,'Oct'!$D$27:$AH$266,'Nov'!$D$27:$AH$266,'Dec'!$D$27:$AH$266,'Jan (next year)'!$D$27:$AH$266),27+4*(IFERROR(MATCH(C1056,Roster!$B$6:$B$65,0),MATCH(C1056,Roster!$C$6:$C$65,0))-1)+MATCH(B1056,{"AM","PM","NIGHT","WD"},0)-1-27+1,DAY(A1056))&amp;"",""))</f>
        <v/>
      </c>
      <c r="G1056" s="123">
        <f>IF(OR(A1056="",C1056="",B1056="",E1056=""),"",IFERROR(A1056&amp;"|"&amp;(27+4*(IFERROR(MATCH(C1056,Roster!$B$6:$B$65,0),MATCH(C1056,Roster!$C$6:$C$65,0))-1)+MATCH(B1056,{"AM","PM","NIGHT","WD"},0)-1),""))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$266,'Feb'!$D$27:$AH$266,'Mar'!$D$27:$AH$266,'Apr'!$D$27:$AH$266,'May'!$D$27:$AH$266,'Jun'!$D$27:$AH$266,'Jul'!$D$27:$AH$266,'Aug'!$D$27:$AH$266,'Sep'!$D$27:$AH$266,'Oct'!$D$27:$AH$266,'Nov'!$D$27:$AH$266,'Dec'!$D$27:$AH$266,'Jan (next year)'!$D$27:$AH$266),27+4*(IFERROR(MATCH(C1057,Roster!$B$6:$B$65,0),MATCH(C1057,Roster!$C$6:$C$65,0))-1)+MATCH(B1057,{"AM","PM","NIGHT","WD"},0)-1-27+1,DAY(A1057))&amp;"",""))</f>
        <v/>
      </c>
      <c r="G1057" s="123">
        <f>IF(OR(A1057="",C1057="",B1057="",E1057=""),"",IFERROR(A1057&amp;"|"&amp;(27+4*(IFERROR(MATCH(C1057,Roster!$B$6:$B$65,0),MATCH(C1057,Roster!$C$6:$C$65,0))-1)+MATCH(B1057,{"AM","PM","NIGHT","WD"},0)-1),""))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$266,'Feb'!$D$27:$AH$266,'Mar'!$D$27:$AH$266,'Apr'!$D$27:$AH$266,'May'!$D$27:$AH$266,'Jun'!$D$27:$AH$266,'Jul'!$D$27:$AH$266,'Aug'!$D$27:$AH$266,'Sep'!$D$27:$AH$266,'Oct'!$D$27:$AH$266,'Nov'!$D$27:$AH$266,'Dec'!$D$27:$AH$266,'Jan (next year)'!$D$27:$AH$266),27+4*(IFERROR(MATCH(C1058,Roster!$B$6:$B$65,0),MATCH(C1058,Roster!$C$6:$C$65,0))-1)+MATCH(B1058,{"AM","PM","NIGHT","WD"},0)-1-27+1,DAY(A1058))&amp;"",""))</f>
        <v/>
      </c>
      <c r="G1058" s="123">
        <f>IF(OR(A1058="",C1058="",B1058="",E1058=""),"",IFERROR(A1058&amp;"|"&amp;(27+4*(IFERROR(MATCH(C1058,Roster!$B$6:$B$65,0),MATCH(C1058,Roster!$C$6:$C$65,0))-1)+MATCH(B1058,{"AM","PM","NIGHT","WD"},0)-1),""))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$266,'Feb'!$D$27:$AH$266,'Mar'!$D$27:$AH$266,'Apr'!$D$27:$AH$266,'May'!$D$27:$AH$266,'Jun'!$D$27:$AH$266,'Jul'!$D$27:$AH$266,'Aug'!$D$27:$AH$266,'Sep'!$D$27:$AH$266,'Oct'!$D$27:$AH$266,'Nov'!$D$27:$AH$266,'Dec'!$D$27:$AH$266,'Jan (next year)'!$D$27:$AH$266),27+4*(IFERROR(MATCH(C1059,Roster!$B$6:$B$65,0),MATCH(C1059,Roster!$C$6:$C$65,0))-1)+MATCH(B1059,{"AM","PM","NIGHT","WD"},0)-1-27+1,DAY(A1059))&amp;"",""))</f>
        <v/>
      </c>
      <c r="G1059" s="123">
        <f>IF(OR(A1059="",C1059="",B1059="",E1059=""),"",IFERROR(A1059&amp;"|"&amp;(27+4*(IFERROR(MATCH(C1059,Roster!$B$6:$B$65,0),MATCH(C1059,Roster!$C$6:$C$65,0))-1)+MATCH(B1059,{"AM","PM","NIGHT","WD"},0)-1),""))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$266,'Feb'!$D$27:$AH$266,'Mar'!$D$27:$AH$266,'Apr'!$D$27:$AH$266,'May'!$D$27:$AH$266,'Jun'!$D$27:$AH$266,'Jul'!$D$27:$AH$266,'Aug'!$D$27:$AH$266,'Sep'!$D$27:$AH$266,'Oct'!$D$27:$AH$266,'Nov'!$D$27:$AH$266,'Dec'!$D$27:$AH$266,'Jan (next year)'!$D$27:$AH$266),27+4*(IFERROR(MATCH(C1060,Roster!$B$6:$B$65,0),MATCH(C1060,Roster!$C$6:$C$65,0))-1)+MATCH(B1060,{"AM","PM","NIGHT","WD"},0)-1-27+1,DAY(A1060))&amp;"",""))</f>
        <v/>
      </c>
      <c r="G1060" s="123">
        <f>IF(OR(A1060="",C1060="",B1060="",E1060=""),"",IFERROR(A1060&amp;"|"&amp;(27+4*(IFERROR(MATCH(C1060,Roster!$B$6:$B$65,0),MATCH(C1060,Roster!$C$6:$C$65,0))-1)+MATCH(B1060,{"AM","PM","NIGHT","WD"},0)-1),""))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$266,'Feb'!$D$27:$AH$266,'Mar'!$D$27:$AH$266,'Apr'!$D$27:$AH$266,'May'!$D$27:$AH$266,'Jun'!$D$27:$AH$266,'Jul'!$D$27:$AH$266,'Aug'!$D$27:$AH$266,'Sep'!$D$27:$AH$266,'Oct'!$D$27:$AH$266,'Nov'!$D$27:$AH$266,'Dec'!$D$27:$AH$266,'Jan (next year)'!$D$27:$AH$266),27+4*(IFERROR(MATCH(C1061,Roster!$B$6:$B$65,0),MATCH(C1061,Roster!$C$6:$C$65,0))-1)+MATCH(B1061,{"AM","PM","NIGHT","WD"},0)-1-27+1,DAY(A1061))&amp;"",""))</f>
        <v/>
      </c>
      <c r="G1061" s="123">
        <f>IF(OR(A1061="",C1061="",B1061="",E1061=""),"",IFERROR(A1061&amp;"|"&amp;(27+4*(IFERROR(MATCH(C1061,Roster!$B$6:$B$65,0),MATCH(C1061,Roster!$C$6:$C$65,0))-1)+MATCH(B1061,{"AM","PM","NIGHT","WD"},0)-1),""))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$266,'Feb'!$D$27:$AH$266,'Mar'!$D$27:$AH$266,'Apr'!$D$27:$AH$266,'May'!$D$27:$AH$266,'Jun'!$D$27:$AH$266,'Jul'!$D$27:$AH$266,'Aug'!$D$27:$AH$266,'Sep'!$D$27:$AH$266,'Oct'!$D$27:$AH$266,'Nov'!$D$27:$AH$266,'Dec'!$D$27:$AH$266,'Jan (next year)'!$D$27:$AH$266),27+4*(IFERROR(MATCH(C1062,Roster!$B$6:$B$65,0),MATCH(C1062,Roster!$C$6:$C$65,0))-1)+MATCH(B1062,{"AM","PM","NIGHT","WD"},0)-1-27+1,DAY(A1062))&amp;"",""))</f>
        <v/>
      </c>
      <c r="G1062" s="123">
        <f>IF(OR(A1062="",C1062="",B1062="",E1062=""),"",IFERROR(A1062&amp;"|"&amp;(27+4*(IFERROR(MATCH(C1062,Roster!$B$6:$B$65,0),MATCH(C1062,Roster!$C$6:$C$65,0))-1)+MATCH(B1062,{"AM","PM","NIGHT","WD"},0)-1),""))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$266,'Feb'!$D$27:$AH$266,'Mar'!$D$27:$AH$266,'Apr'!$D$27:$AH$266,'May'!$D$27:$AH$266,'Jun'!$D$27:$AH$266,'Jul'!$D$27:$AH$266,'Aug'!$D$27:$AH$266,'Sep'!$D$27:$AH$266,'Oct'!$D$27:$AH$266,'Nov'!$D$27:$AH$266,'Dec'!$D$27:$AH$266,'Jan (next year)'!$D$27:$AH$266),27+4*(IFERROR(MATCH(C1063,Roster!$B$6:$B$65,0),MATCH(C1063,Roster!$C$6:$C$65,0))-1)+MATCH(B1063,{"AM","PM","NIGHT","WD"},0)-1-27+1,DAY(A1063))&amp;"",""))</f>
        <v/>
      </c>
      <c r="G1063" s="123">
        <f>IF(OR(A1063="",C1063="",B1063="",E1063=""),"",IFERROR(A1063&amp;"|"&amp;(27+4*(IFERROR(MATCH(C1063,Roster!$B$6:$B$65,0),MATCH(C1063,Roster!$C$6:$C$65,0))-1)+MATCH(B1063,{"AM","PM","NIGHT","WD"},0)-1),""))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$266,'Feb'!$D$27:$AH$266,'Mar'!$D$27:$AH$266,'Apr'!$D$27:$AH$266,'May'!$D$27:$AH$266,'Jun'!$D$27:$AH$266,'Jul'!$D$27:$AH$266,'Aug'!$D$27:$AH$266,'Sep'!$D$27:$AH$266,'Oct'!$D$27:$AH$266,'Nov'!$D$27:$AH$266,'Dec'!$D$27:$AH$266,'Jan (next year)'!$D$27:$AH$266),27+4*(IFERROR(MATCH(C1064,Roster!$B$6:$B$65,0),MATCH(C1064,Roster!$C$6:$C$65,0))-1)+MATCH(B1064,{"AM","PM","NIGHT","WD"},0)-1-27+1,DAY(A1064))&amp;"",""))</f>
        <v/>
      </c>
      <c r="G1064" s="123">
        <f>IF(OR(A1064="",C1064="",B1064="",E1064=""),"",IFERROR(A1064&amp;"|"&amp;(27+4*(IFERROR(MATCH(C1064,Roster!$B$6:$B$65,0),MATCH(C1064,Roster!$C$6:$C$65,0))-1)+MATCH(B1064,{"AM","PM","NIGHT","WD"},0)-1),""))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$266,'Feb'!$D$27:$AH$266,'Mar'!$D$27:$AH$266,'Apr'!$D$27:$AH$266,'May'!$D$27:$AH$266,'Jun'!$D$27:$AH$266,'Jul'!$D$27:$AH$266,'Aug'!$D$27:$AH$266,'Sep'!$D$27:$AH$266,'Oct'!$D$27:$AH$266,'Nov'!$D$27:$AH$266,'Dec'!$D$27:$AH$266,'Jan (next year)'!$D$27:$AH$266),27+4*(IFERROR(MATCH(C1065,Roster!$B$6:$B$65,0),MATCH(C1065,Roster!$C$6:$C$65,0))-1)+MATCH(B1065,{"AM","PM","NIGHT","WD"},0)-1-27+1,DAY(A1065))&amp;"",""))</f>
        <v/>
      </c>
      <c r="G1065" s="123">
        <f>IF(OR(A1065="",C1065="",B1065="",E1065=""),"",IFERROR(A1065&amp;"|"&amp;(27+4*(IFERROR(MATCH(C1065,Roster!$B$6:$B$65,0),MATCH(C1065,Roster!$C$6:$C$65,0))-1)+MATCH(B1065,{"AM","PM","NIGHT","WD"},0)-1),""))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$266,'Feb'!$D$27:$AH$266,'Mar'!$D$27:$AH$266,'Apr'!$D$27:$AH$266,'May'!$D$27:$AH$266,'Jun'!$D$27:$AH$266,'Jul'!$D$27:$AH$266,'Aug'!$D$27:$AH$266,'Sep'!$D$27:$AH$266,'Oct'!$D$27:$AH$266,'Nov'!$D$27:$AH$266,'Dec'!$D$27:$AH$266,'Jan (next year)'!$D$27:$AH$266),27+4*(IFERROR(MATCH(C1066,Roster!$B$6:$B$65,0),MATCH(C1066,Roster!$C$6:$C$65,0))-1)+MATCH(B1066,{"AM","PM","NIGHT","WD"},0)-1-27+1,DAY(A1066))&amp;"",""))</f>
        <v/>
      </c>
      <c r="G1066" s="123">
        <f>IF(OR(A1066="",C1066="",B1066="",E1066=""),"",IFERROR(A1066&amp;"|"&amp;(27+4*(IFERROR(MATCH(C1066,Roster!$B$6:$B$65,0),MATCH(C1066,Roster!$C$6:$C$65,0))-1)+MATCH(B1066,{"AM","PM","NIGHT","WD"},0)-1),""))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$266,'Feb'!$D$27:$AH$266,'Mar'!$D$27:$AH$266,'Apr'!$D$27:$AH$266,'May'!$D$27:$AH$266,'Jun'!$D$27:$AH$266,'Jul'!$D$27:$AH$266,'Aug'!$D$27:$AH$266,'Sep'!$D$27:$AH$266,'Oct'!$D$27:$AH$266,'Nov'!$D$27:$AH$266,'Dec'!$D$27:$AH$266,'Jan (next year)'!$D$27:$AH$266),27+4*(IFERROR(MATCH(C1067,Roster!$B$6:$B$65,0),MATCH(C1067,Roster!$C$6:$C$65,0))-1)+MATCH(B1067,{"AM","PM","NIGHT","WD"},0)-1-27+1,DAY(A1067))&amp;"",""))</f>
        <v/>
      </c>
      <c r="G1067" s="123">
        <f>IF(OR(A1067="",C1067="",B1067="",E1067=""),"",IFERROR(A1067&amp;"|"&amp;(27+4*(IFERROR(MATCH(C1067,Roster!$B$6:$B$65,0),MATCH(C1067,Roster!$C$6:$C$65,0))-1)+MATCH(B1067,{"AM","PM","NIGHT","WD"},0)-1),""))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$266,'Feb'!$D$27:$AH$266,'Mar'!$D$27:$AH$266,'Apr'!$D$27:$AH$266,'May'!$D$27:$AH$266,'Jun'!$D$27:$AH$266,'Jul'!$D$27:$AH$266,'Aug'!$D$27:$AH$266,'Sep'!$D$27:$AH$266,'Oct'!$D$27:$AH$266,'Nov'!$D$27:$AH$266,'Dec'!$D$27:$AH$266,'Jan (next year)'!$D$27:$AH$266),27+4*(IFERROR(MATCH(C1068,Roster!$B$6:$B$65,0),MATCH(C1068,Roster!$C$6:$C$65,0))-1)+MATCH(B1068,{"AM","PM","NIGHT","WD"},0)-1-27+1,DAY(A1068))&amp;"",""))</f>
        <v/>
      </c>
      <c r="G1068" s="123">
        <f>IF(OR(A1068="",C1068="",B1068="",E1068=""),"",IFERROR(A1068&amp;"|"&amp;(27+4*(IFERROR(MATCH(C1068,Roster!$B$6:$B$65,0),MATCH(C1068,Roster!$C$6:$C$65,0))-1)+MATCH(B1068,{"AM","PM","NIGHT","WD"},0)-1),""))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$266,'Feb'!$D$27:$AH$266,'Mar'!$D$27:$AH$266,'Apr'!$D$27:$AH$266,'May'!$D$27:$AH$266,'Jun'!$D$27:$AH$266,'Jul'!$D$27:$AH$266,'Aug'!$D$27:$AH$266,'Sep'!$D$27:$AH$266,'Oct'!$D$27:$AH$266,'Nov'!$D$27:$AH$266,'Dec'!$D$27:$AH$266,'Jan (next year)'!$D$27:$AH$266),27+4*(IFERROR(MATCH(C1069,Roster!$B$6:$B$65,0),MATCH(C1069,Roster!$C$6:$C$65,0))-1)+MATCH(B1069,{"AM","PM","NIGHT","WD"},0)-1-27+1,DAY(A1069))&amp;"",""))</f>
        <v/>
      </c>
      <c r="G1069" s="123">
        <f>IF(OR(A1069="",C1069="",B1069="",E1069=""),"",IFERROR(A1069&amp;"|"&amp;(27+4*(IFERROR(MATCH(C1069,Roster!$B$6:$B$65,0),MATCH(C1069,Roster!$C$6:$C$65,0))-1)+MATCH(B1069,{"AM","PM","NIGHT","WD"},0)-1),""))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$266,'Feb'!$D$27:$AH$266,'Mar'!$D$27:$AH$266,'Apr'!$D$27:$AH$266,'May'!$D$27:$AH$266,'Jun'!$D$27:$AH$266,'Jul'!$D$27:$AH$266,'Aug'!$D$27:$AH$266,'Sep'!$D$27:$AH$266,'Oct'!$D$27:$AH$266,'Nov'!$D$27:$AH$266,'Dec'!$D$27:$AH$266,'Jan (next year)'!$D$27:$AH$266),27+4*(IFERROR(MATCH(C1070,Roster!$B$6:$B$65,0),MATCH(C1070,Roster!$C$6:$C$65,0))-1)+MATCH(B1070,{"AM","PM","NIGHT","WD"},0)-1-27+1,DAY(A1070))&amp;"",""))</f>
        <v/>
      </c>
      <c r="G1070" s="123">
        <f>IF(OR(A1070="",C1070="",B1070="",E1070=""),"",IFERROR(A1070&amp;"|"&amp;(27+4*(IFERROR(MATCH(C1070,Roster!$B$6:$B$65,0),MATCH(C1070,Roster!$C$6:$C$65,0))-1)+MATCH(B1070,{"AM","PM","NIGHT","WD"},0)-1),""))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$266,'Feb'!$D$27:$AH$266,'Mar'!$D$27:$AH$266,'Apr'!$D$27:$AH$266,'May'!$D$27:$AH$266,'Jun'!$D$27:$AH$266,'Jul'!$D$27:$AH$266,'Aug'!$D$27:$AH$266,'Sep'!$D$27:$AH$266,'Oct'!$D$27:$AH$266,'Nov'!$D$27:$AH$266,'Dec'!$D$27:$AH$266,'Jan (next year)'!$D$27:$AH$266),27+4*(IFERROR(MATCH(C1071,Roster!$B$6:$B$65,0),MATCH(C1071,Roster!$C$6:$C$65,0))-1)+MATCH(B1071,{"AM","PM","NIGHT","WD"},0)-1-27+1,DAY(A1071))&amp;"",""))</f>
        <v/>
      </c>
      <c r="G1071" s="123">
        <f>IF(OR(A1071="",C1071="",B1071="",E1071=""),"",IFERROR(A1071&amp;"|"&amp;(27+4*(IFERROR(MATCH(C1071,Roster!$B$6:$B$65,0),MATCH(C1071,Roster!$C$6:$C$65,0))-1)+MATCH(B1071,{"AM","PM","NIGHT","WD"},0)-1),""))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$266,'Feb'!$D$27:$AH$266,'Mar'!$D$27:$AH$266,'Apr'!$D$27:$AH$266,'May'!$D$27:$AH$266,'Jun'!$D$27:$AH$266,'Jul'!$D$27:$AH$266,'Aug'!$D$27:$AH$266,'Sep'!$D$27:$AH$266,'Oct'!$D$27:$AH$266,'Nov'!$D$27:$AH$266,'Dec'!$D$27:$AH$266,'Jan (next year)'!$D$27:$AH$266),27+4*(IFERROR(MATCH(C1072,Roster!$B$6:$B$65,0),MATCH(C1072,Roster!$C$6:$C$65,0))-1)+MATCH(B1072,{"AM","PM","NIGHT","WD"},0)-1-27+1,DAY(A1072))&amp;"",""))</f>
        <v/>
      </c>
      <c r="G1072" s="123">
        <f>IF(OR(A1072="",C1072="",B1072="",E1072=""),"",IFERROR(A1072&amp;"|"&amp;(27+4*(IFERROR(MATCH(C1072,Roster!$B$6:$B$65,0),MATCH(C1072,Roster!$C$6:$C$65,0))-1)+MATCH(B1072,{"AM","PM","NIGHT","WD"},0)-1),""))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$266,'Feb'!$D$27:$AH$266,'Mar'!$D$27:$AH$266,'Apr'!$D$27:$AH$266,'May'!$D$27:$AH$266,'Jun'!$D$27:$AH$266,'Jul'!$D$27:$AH$266,'Aug'!$D$27:$AH$266,'Sep'!$D$27:$AH$266,'Oct'!$D$27:$AH$266,'Nov'!$D$27:$AH$266,'Dec'!$D$27:$AH$266,'Jan (next year)'!$D$27:$AH$266),27+4*(IFERROR(MATCH(C1073,Roster!$B$6:$B$65,0),MATCH(C1073,Roster!$C$6:$C$65,0))-1)+MATCH(B1073,{"AM","PM","NIGHT","WD"},0)-1-27+1,DAY(A1073))&amp;"",""))</f>
        <v/>
      </c>
      <c r="G1073" s="123">
        <f>IF(OR(A1073="",C1073="",B1073="",E1073=""),"",IFERROR(A1073&amp;"|"&amp;(27+4*(IFERROR(MATCH(C1073,Roster!$B$6:$B$65,0),MATCH(C1073,Roster!$C$6:$C$65,0))-1)+MATCH(B1073,{"AM","PM","NIGHT","WD"},0)-1),""))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$266,'Feb'!$D$27:$AH$266,'Mar'!$D$27:$AH$266,'Apr'!$D$27:$AH$266,'May'!$D$27:$AH$266,'Jun'!$D$27:$AH$266,'Jul'!$D$27:$AH$266,'Aug'!$D$27:$AH$266,'Sep'!$D$27:$AH$266,'Oct'!$D$27:$AH$266,'Nov'!$D$27:$AH$266,'Dec'!$D$27:$AH$266,'Jan (next year)'!$D$27:$AH$266),27+4*(IFERROR(MATCH(C1074,Roster!$B$6:$B$65,0),MATCH(C1074,Roster!$C$6:$C$65,0))-1)+MATCH(B1074,{"AM","PM","NIGHT","WD"},0)-1-27+1,DAY(A1074))&amp;"",""))</f>
        <v/>
      </c>
      <c r="G1074" s="123">
        <f>IF(OR(A1074="",C1074="",B1074="",E1074=""),"",IFERROR(A1074&amp;"|"&amp;(27+4*(IFERROR(MATCH(C1074,Roster!$B$6:$B$65,0),MATCH(C1074,Roster!$C$6:$C$65,0))-1)+MATCH(B1074,{"AM","PM","NIGHT","WD"},0)-1),""))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$266,'Feb'!$D$27:$AH$266,'Mar'!$D$27:$AH$266,'Apr'!$D$27:$AH$266,'May'!$D$27:$AH$266,'Jun'!$D$27:$AH$266,'Jul'!$D$27:$AH$266,'Aug'!$D$27:$AH$266,'Sep'!$D$27:$AH$266,'Oct'!$D$27:$AH$266,'Nov'!$D$27:$AH$266,'Dec'!$D$27:$AH$266,'Jan (next year)'!$D$27:$AH$266),27+4*(IFERROR(MATCH(C1075,Roster!$B$6:$B$65,0),MATCH(C1075,Roster!$C$6:$C$65,0))-1)+MATCH(B1075,{"AM","PM","NIGHT","WD"},0)-1-27+1,DAY(A1075))&amp;"",""))</f>
        <v/>
      </c>
      <c r="G1075" s="123">
        <f>IF(OR(A1075="",C1075="",B1075="",E1075=""),"",IFERROR(A1075&amp;"|"&amp;(27+4*(IFERROR(MATCH(C1075,Roster!$B$6:$B$65,0),MATCH(C1075,Roster!$C$6:$C$65,0))-1)+MATCH(B1075,{"AM","PM","NIGHT","WD"},0)-1),""))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$266,'Feb'!$D$27:$AH$266,'Mar'!$D$27:$AH$266,'Apr'!$D$27:$AH$266,'May'!$D$27:$AH$266,'Jun'!$D$27:$AH$266,'Jul'!$D$27:$AH$266,'Aug'!$D$27:$AH$266,'Sep'!$D$27:$AH$266,'Oct'!$D$27:$AH$266,'Nov'!$D$27:$AH$266,'Dec'!$D$27:$AH$266,'Jan (next year)'!$D$27:$AH$266),27+4*(IFERROR(MATCH(C1076,Roster!$B$6:$B$65,0),MATCH(C1076,Roster!$C$6:$C$65,0))-1)+MATCH(B1076,{"AM","PM","NIGHT","WD"},0)-1-27+1,DAY(A1076))&amp;"",""))</f>
        <v/>
      </c>
      <c r="G1076" s="123">
        <f>IF(OR(A1076="",C1076="",B1076="",E1076=""),"",IFERROR(A1076&amp;"|"&amp;(27+4*(IFERROR(MATCH(C1076,Roster!$B$6:$B$65,0),MATCH(C1076,Roster!$C$6:$C$65,0))-1)+MATCH(B1076,{"AM","PM","NIGHT","WD"},0)-1),""))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$266,'Feb'!$D$27:$AH$266,'Mar'!$D$27:$AH$266,'Apr'!$D$27:$AH$266,'May'!$D$27:$AH$266,'Jun'!$D$27:$AH$266,'Jul'!$D$27:$AH$266,'Aug'!$D$27:$AH$266,'Sep'!$D$27:$AH$266,'Oct'!$D$27:$AH$266,'Nov'!$D$27:$AH$266,'Dec'!$D$27:$AH$266,'Jan (next year)'!$D$27:$AH$266),27+4*(IFERROR(MATCH(C1077,Roster!$B$6:$B$65,0),MATCH(C1077,Roster!$C$6:$C$65,0))-1)+MATCH(B1077,{"AM","PM","NIGHT","WD"},0)-1-27+1,DAY(A1077))&amp;"",""))</f>
        <v/>
      </c>
      <c r="G1077" s="123">
        <f>IF(OR(A1077="",C1077="",B1077="",E1077=""),"",IFERROR(A1077&amp;"|"&amp;(27+4*(IFERROR(MATCH(C1077,Roster!$B$6:$B$65,0),MATCH(C1077,Roster!$C$6:$C$65,0))-1)+MATCH(B1077,{"AM","PM","NIGHT","WD"},0)-1),""))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$266,'Feb'!$D$27:$AH$266,'Mar'!$D$27:$AH$266,'Apr'!$D$27:$AH$266,'May'!$D$27:$AH$266,'Jun'!$D$27:$AH$266,'Jul'!$D$27:$AH$266,'Aug'!$D$27:$AH$266,'Sep'!$D$27:$AH$266,'Oct'!$D$27:$AH$266,'Nov'!$D$27:$AH$266,'Dec'!$D$27:$AH$266,'Jan (next year)'!$D$27:$AH$266),27+4*(IFERROR(MATCH(C1078,Roster!$B$6:$B$65,0),MATCH(C1078,Roster!$C$6:$C$65,0))-1)+MATCH(B1078,{"AM","PM","NIGHT","WD"},0)-1-27+1,DAY(A1078))&amp;"",""))</f>
        <v/>
      </c>
      <c r="G1078" s="123">
        <f>IF(OR(A1078="",C1078="",B1078="",E1078=""),"",IFERROR(A1078&amp;"|"&amp;(27+4*(IFERROR(MATCH(C1078,Roster!$B$6:$B$65,0),MATCH(C1078,Roster!$C$6:$C$65,0))-1)+MATCH(B1078,{"AM","PM","NIGHT","WD"},0)-1),""))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$266,'Feb'!$D$27:$AH$266,'Mar'!$D$27:$AH$266,'Apr'!$D$27:$AH$266,'May'!$D$27:$AH$266,'Jun'!$D$27:$AH$266,'Jul'!$D$27:$AH$266,'Aug'!$D$27:$AH$266,'Sep'!$D$27:$AH$266,'Oct'!$D$27:$AH$266,'Nov'!$D$27:$AH$266,'Dec'!$D$27:$AH$266,'Jan (next year)'!$D$27:$AH$266),27+4*(IFERROR(MATCH(C1079,Roster!$B$6:$B$65,0),MATCH(C1079,Roster!$C$6:$C$65,0))-1)+MATCH(B1079,{"AM","PM","NIGHT","WD"},0)-1-27+1,DAY(A1079))&amp;"",""))</f>
        <v/>
      </c>
      <c r="G1079" s="123">
        <f>IF(OR(A1079="",C1079="",B1079="",E1079=""),"",IFERROR(A1079&amp;"|"&amp;(27+4*(IFERROR(MATCH(C1079,Roster!$B$6:$B$65,0),MATCH(C1079,Roster!$C$6:$C$65,0))-1)+MATCH(B1079,{"AM","PM","NIGHT","WD"},0)-1),""))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$266,'Feb'!$D$27:$AH$266,'Mar'!$D$27:$AH$266,'Apr'!$D$27:$AH$266,'May'!$D$27:$AH$266,'Jun'!$D$27:$AH$266,'Jul'!$D$27:$AH$266,'Aug'!$D$27:$AH$266,'Sep'!$D$27:$AH$266,'Oct'!$D$27:$AH$266,'Nov'!$D$27:$AH$266,'Dec'!$D$27:$AH$266,'Jan (next year)'!$D$27:$AH$266),27+4*(IFERROR(MATCH(C1080,Roster!$B$6:$B$65,0),MATCH(C1080,Roster!$C$6:$C$65,0))-1)+MATCH(B1080,{"AM","PM","NIGHT","WD"},0)-1-27+1,DAY(A1080))&amp;"",""))</f>
        <v/>
      </c>
      <c r="G1080" s="123">
        <f>IF(OR(A1080="",C1080="",B1080="",E1080=""),"",IFERROR(A1080&amp;"|"&amp;(27+4*(IFERROR(MATCH(C1080,Roster!$B$6:$B$65,0),MATCH(C1080,Roster!$C$6:$C$65,0))-1)+MATCH(B1080,{"AM","PM","NIGHT","WD"},0)-1),""))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$266,'Feb'!$D$27:$AH$266,'Mar'!$D$27:$AH$266,'Apr'!$D$27:$AH$266,'May'!$D$27:$AH$266,'Jun'!$D$27:$AH$266,'Jul'!$D$27:$AH$266,'Aug'!$D$27:$AH$266,'Sep'!$D$27:$AH$266,'Oct'!$D$27:$AH$266,'Nov'!$D$27:$AH$266,'Dec'!$D$27:$AH$266,'Jan (next year)'!$D$27:$AH$266),27+4*(IFERROR(MATCH(C1081,Roster!$B$6:$B$65,0),MATCH(C1081,Roster!$C$6:$C$65,0))-1)+MATCH(B1081,{"AM","PM","NIGHT","WD"},0)-1-27+1,DAY(A1081))&amp;"",""))</f>
        <v/>
      </c>
      <c r="G1081" s="123">
        <f>IF(OR(A1081="",C1081="",B1081="",E1081=""),"",IFERROR(A1081&amp;"|"&amp;(27+4*(IFERROR(MATCH(C1081,Roster!$B$6:$B$65,0),MATCH(C1081,Roster!$C$6:$C$65,0))-1)+MATCH(B1081,{"AM","PM","NIGHT","WD"},0)-1),""))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$266,'Feb'!$D$27:$AH$266,'Mar'!$D$27:$AH$266,'Apr'!$D$27:$AH$266,'May'!$D$27:$AH$266,'Jun'!$D$27:$AH$266,'Jul'!$D$27:$AH$266,'Aug'!$D$27:$AH$266,'Sep'!$D$27:$AH$266,'Oct'!$D$27:$AH$266,'Nov'!$D$27:$AH$266,'Dec'!$D$27:$AH$266,'Jan (next year)'!$D$27:$AH$266),27+4*(IFERROR(MATCH(C1082,Roster!$B$6:$B$65,0),MATCH(C1082,Roster!$C$6:$C$65,0))-1)+MATCH(B1082,{"AM","PM","NIGHT","WD"},0)-1-27+1,DAY(A1082))&amp;"",""))</f>
        <v/>
      </c>
      <c r="G1082" s="123">
        <f>IF(OR(A1082="",C1082="",B1082="",E1082=""),"",IFERROR(A1082&amp;"|"&amp;(27+4*(IFERROR(MATCH(C1082,Roster!$B$6:$B$65,0),MATCH(C1082,Roster!$C$6:$C$65,0))-1)+MATCH(B1082,{"AM","PM","NIGHT","WD"},0)-1),""))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$266,'Feb'!$D$27:$AH$266,'Mar'!$D$27:$AH$266,'Apr'!$D$27:$AH$266,'May'!$D$27:$AH$266,'Jun'!$D$27:$AH$266,'Jul'!$D$27:$AH$266,'Aug'!$D$27:$AH$266,'Sep'!$D$27:$AH$266,'Oct'!$D$27:$AH$266,'Nov'!$D$27:$AH$266,'Dec'!$D$27:$AH$266,'Jan (next year)'!$D$27:$AH$266),27+4*(IFERROR(MATCH(C1083,Roster!$B$6:$B$65,0),MATCH(C1083,Roster!$C$6:$C$65,0))-1)+MATCH(B1083,{"AM","PM","NIGHT","WD"},0)-1-27+1,DAY(A1083))&amp;"",""))</f>
        <v/>
      </c>
      <c r="G1083" s="123">
        <f>IF(OR(A1083="",C1083="",B1083="",E1083=""),"",IFERROR(A1083&amp;"|"&amp;(27+4*(IFERROR(MATCH(C1083,Roster!$B$6:$B$65,0),MATCH(C1083,Roster!$C$6:$C$65,0))-1)+MATCH(B1083,{"AM","PM","NIGHT","WD"},0)-1),""))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$266,'Feb'!$D$27:$AH$266,'Mar'!$D$27:$AH$266,'Apr'!$D$27:$AH$266,'May'!$D$27:$AH$266,'Jun'!$D$27:$AH$266,'Jul'!$D$27:$AH$266,'Aug'!$D$27:$AH$266,'Sep'!$D$27:$AH$266,'Oct'!$D$27:$AH$266,'Nov'!$D$27:$AH$266,'Dec'!$D$27:$AH$266,'Jan (next year)'!$D$27:$AH$266),27+4*(IFERROR(MATCH(C1084,Roster!$B$6:$B$65,0),MATCH(C1084,Roster!$C$6:$C$65,0))-1)+MATCH(B1084,{"AM","PM","NIGHT","WD"},0)-1-27+1,DAY(A1084))&amp;"",""))</f>
        <v/>
      </c>
      <c r="G1084" s="123">
        <f>IF(OR(A1084="",C1084="",B1084="",E1084=""),"",IFERROR(A1084&amp;"|"&amp;(27+4*(IFERROR(MATCH(C1084,Roster!$B$6:$B$65,0),MATCH(C1084,Roster!$C$6:$C$65,0))-1)+MATCH(B1084,{"AM","PM","NIGHT","WD"},0)-1),""))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$266,'Feb'!$D$27:$AH$266,'Mar'!$D$27:$AH$266,'Apr'!$D$27:$AH$266,'May'!$D$27:$AH$266,'Jun'!$D$27:$AH$266,'Jul'!$D$27:$AH$266,'Aug'!$D$27:$AH$266,'Sep'!$D$27:$AH$266,'Oct'!$D$27:$AH$266,'Nov'!$D$27:$AH$266,'Dec'!$D$27:$AH$266,'Jan (next year)'!$D$27:$AH$266),27+4*(IFERROR(MATCH(C1085,Roster!$B$6:$B$65,0),MATCH(C1085,Roster!$C$6:$C$65,0))-1)+MATCH(B1085,{"AM","PM","NIGHT","WD"},0)-1-27+1,DAY(A1085))&amp;"",""))</f>
        <v/>
      </c>
      <c r="G1085" s="123">
        <f>IF(OR(A1085="",C1085="",B1085="",E1085=""),"",IFERROR(A1085&amp;"|"&amp;(27+4*(IFERROR(MATCH(C1085,Roster!$B$6:$B$65,0),MATCH(C1085,Roster!$C$6:$C$65,0))-1)+MATCH(B1085,{"AM","PM","NIGHT","WD"},0)-1),""))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$266,'Feb'!$D$27:$AH$266,'Mar'!$D$27:$AH$266,'Apr'!$D$27:$AH$266,'May'!$D$27:$AH$266,'Jun'!$D$27:$AH$266,'Jul'!$D$27:$AH$266,'Aug'!$D$27:$AH$266,'Sep'!$D$27:$AH$266,'Oct'!$D$27:$AH$266,'Nov'!$D$27:$AH$266,'Dec'!$D$27:$AH$266,'Jan (next year)'!$D$27:$AH$266),27+4*(IFERROR(MATCH(C1086,Roster!$B$6:$B$65,0),MATCH(C1086,Roster!$C$6:$C$65,0))-1)+MATCH(B1086,{"AM","PM","NIGHT","WD"},0)-1-27+1,DAY(A1086))&amp;"",""))</f>
        <v/>
      </c>
      <c r="G1086" s="123">
        <f>IF(OR(A1086="",C1086="",B1086="",E1086=""),"",IFERROR(A1086&amp;"|"&amp;(27+4*(IFERROR(MATCH(C1086,Roster!$B$6:$B$65,0),MATCH(C1086,Roster!$C$6:$C$65,0))-1)+MATCH(B1086,{"AM","PM","NIGHT","WD"},0)-1),""))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$266,'Feb'!$D$27:$AH$266,'Mar'!$D$27:$AH$266,'Apr'!$D$27:$AH$266,'May'!$D$27:$AH$266,'Jun'!$D$27:$AH$266,'Jul'!$D$27:$AH$266,'Aug'!$D$27:$AH$266,'Sep'!$D$27:$AH$266,'Oct'!$D$27:$AH$266,'Nov'!$D$27:$AH$266,'Dec'!$D$27:$AH$266,'Jan (next year)'!$D$27:$AH$266),27+4*(IFERROR(MATCH(C1087,Roster!$B$6:$B$65,0),MATCH(C1087,Roster!$C$6:$C$65,0))-1)+MATCH(B1087,{"AM","PM","NIGHT","WD"},0)-1-27+1,DAY(A1087))&amp;"",""))</f>
        <v/>
      </c>
      <c r="G1087" s="123">
        <f>IF(OR(A1087="",C1087="",B1087="",E1087=""),"",IFERROR(A1087&amp;"|"&amp;(27+4*(IFERROR(MATCH(C1087,Roster!$B$6:$B$65,0),MATCH(C1087,Roster!$C$6:$C$65,0))-1)+MATCH(B1087,{"AM","PM","NIGHT","WD"},0)-1),""))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$266,'Feb'!$D$27:$AH$266,'Mar'!$D$27:$AH$266,'Apr'!$D$27:$AH$266,'May'!$D$27:$AH$266,'Jun'!$D$27:$AH$266,'Jul'!$D$27:$AH$266,'Aug'!$D$27:$AH$266,'Sep'!$D$27:$AH$266,'Oct'!$D$27:$AH$266,'Nov'!$D$27:$AH$266,'Dec'!$D$27:$AH$266,'Jan (next year)'!$D$27:$AH$266),27+4*(IFERROR(MATCH(C1088,Roster!$B$6:$B$65,0),MATCH(C1088,Roster!$C$6:$C$65,0))-1)+MATCH(B1088,{"AM","PM","NIGHT","WD"},0)-1-27+1,DAY(A1088))&amp;"",""))</f>
        <v/>
      </c>
      <c r="G1088" s="123">
        <f>IF(OR(A1088="",C1088="",B1088="",E1088=""),"",IFERROR(A1088&amp;"|"&amp;(27+4*(IFERROR(MATCH(C1088,Roster!$B$6:$B$65,0),MATCH(C1088,Roster!$C$6:$C$65,0))-1)+MATCH(B1088,{"AM","PM","NIGHT","WD"},0)-1),""))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$266,'Feb'!$D$27:$AH$266,'Mar'!$D$27:$AH$266,'Apr'!$D$27:$AH$266,'May'!$D$27:$AH$266,'Jun'!$D$27:$AH$266,'Jul'!$D$27:$AH$266,'Aug'!$D$27:$AH$266,'Sep'!$D$27:$AH$266,'Oct'!$D$27:$AH$266,'Nov'!$D$27:$AH$266,'Dec'!$D$27:$AH$266,'Jan (next year)'!$D$27:$AH$266),27+4*(IFERROR(MATCH(C1089,Roster!$B$6:$B$65,0),MATCH(C1089,Roster!$C$6:$C$65,0))-1)+MATCH(B1089,{"AM","PM","NIGHT","WD"},0)-1-27+1,DAY(A1089))&amp;"",""))</f>
        <v/>
      </c>
      <c r="G1089" s="123">
        <f>IF(OR(A1089="",C1089="",B1089="",E1089=""),"",IFERROR(A1089&amp;"|"&amp;(27+4*(IFERROR(MATCH(C1089,Roster!$B$6:$B$65,0),MATCH(C1089,Roster!$C$6:$C$65,0))-1)+MATCH(B1089,{"AM","PM","NIGHT","WD"},0)-1),""))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$266,'Feb'!$D$27:$AH$266,'Mar'!$D$27:$AH$266,'Apr'!$D$27:$AH$266,'May'!$D$27:$AH$266,'Jun'!$D$27:$AH$266,'Jul'!$D$27:$AH$266,'Aug'!$D$27:$AH$266,'Sep'!$D$27:$AH$266,'Oct'!$D$27:$AH$266,'Nov'!$D$27:$AH$266,'Dec'!$D$27:$AH$266,'Jan (next year)'!$D$27:$AH$266),27+4*(IFERROR(MATCH(C1090,Roster!$B$6:$B$65,0),MATCH(C1090,Roster!$C$6:$C$65,0))-1)+MATCH(B1090,{"AM","PM","NIGHT","WD"},0)-1-27+1,DAY(A1090))&amp;"",""))</f>
        <v/>
      </c>
      <c r="G1090" s="123">
        <f>IF(OR(A1090="",C1090="",B1090="",E1090=""),"",IFERROR(A1090&amp;"|"&amp;(27+4*(IFERROR(MATCH(C1090,Roster!$B$6:$B$65,0),MATCH(C1090,Roster!$C$6:$C$65,0))-1)+MATCH(B1090,{"AM","PM","NIGHT","WD"},0)-1),""))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$266,'Feb'!$D$27:$AH$266,'Mar'!$D$27:$AH$266,'Apr'!$D$27:$AH$266,'May'!$D$27:$AH$266,'Jun'!$D$27:$AH$266,'Jul'!$D$27:$AH$266,'Aug'!$D$27:$AH$266,'Sep'!$D$27:$AH$266,'Oct'!$D$27:$AH$266,'Nov'!$D$27:$AH$266,'Dec'!$D$27:$AH$266,'Jan (next year)'!$D$27:$AH$266),27+4*(IFERROR(MATCH(C1091,Roster!$B$6:$B$65,0),MATCH(C1091,Roster!$C$6:$C$65,0))-1)+MATCH(B1091,{"AM","PM","NIGHT","WD"},0)-1-27+1,DAY(A1091))&amp;"",""))</f>
        <v/>
      </c>
      <c r="G1091" s="123">
        <f>IF(OR(A1091="",C1091="",B1091="",E1091=""),"",IFERROR(A1091&amp;"|"&amp;(27+4*(IFERROR(MATCH(C1091,Roster!$B$6:$B$65,0),MATCH(C1091,Roster!$C$6:$C$65,0))-1)+MATCH(B1091,{"AM","PM","NIGHT","WD"},0)-1),""))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$266,'Feb'!$D$27:$AH$266,'Mar'!$D$27:$AH$266,'Apr'!$D$27:$AH$266,'May'!$D$27:$AH$266,'Jun'!$D$27:$AH$266,'Jul'!$D$27:$AH$266,'Aug'!$D$27:$AH$266,'Sep'!$D$27:$AH$266,'Oct'!$D$27:$AH$266,'Nov'!$D$27:$AH$266,'Dec'!$D$27:$AH$266,'Jan (next year)'!$D$27:$AH$266),27+4*(IFERROR(MATCH(C1092,Roster!$B$6:$B$65,0),MATCH(C1092,Roster!$C$6:$C$65,0))-1)+MATCH(B1092,{"AM","PM","NIGHT","WD"},0)-1-27+1,DAY(A1092))&amp;"",""))</f>
        <v/>
      </c>
      <c r="G1092" s="123">
        <f>IF(OR(A1092="",C1092="",B1092="",E1092=""),"",IFERROR(A1092&amp;"|"&amp;(27+4*(IFERROR(MATCH(C1092,Roster!$B$6:$B$65,0),MATCH(C1092,Roster!$C$6:$C$65,0))-1)+MATCH(B1092,{"AM","PM","NIGHT","WD"},0)-1),""))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$266,'Feb'!$D$27:$AH$266,'Mar'!$D$27:$AH$266,'Apr'!$D$27:$AH$266,'May'!$D$27:$AH$266,'Jun'!$D$27:$AH$266,'Jul'!$D$27:$AH$266,'Aug'!$D$27:$AH$266,'Sep'!$D$27:$AH$266,'Oct'!$D$27:$AH$266,'Nov'!$D$27:$AH$266,'Dec'!$D$27:$AH$266,'Jan (next year)'!$D$27:$AH$266),27+4*(IFERROR(MATCH(C1093,Roster!$B$6:$B$65,0),MATCH(C1093,Roster!$C$6:$C$65,0))-1)+MATCH(B1093,{"AM","PM","NIGHT","WD"},0)-1-27+1,DAY(A1093))&amp;"",""))</f>
        <v/>
      </c>
      <c r="G1093" s="123">
        <f>IF(OR(A1093="",C1093="",B1093="",E1093=""),"",IFERROR(A1093&amp;"|"&amp;(27+4*(IFERROR(MATCH(C1093,Roster!$B$6:$B$65,0),MATCH(C1093,Roster!$C$6:$C$65,0))-1)+MATCH(B1093,{"AM","PM","NIGHT","WD"},0)-1),""))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$266,'Feb'!$D$27:$AH$266,'Mar'!$D$27:$AH$266,'Apr'!$D$27:$AH$266,'May'!$D$27:$AH$266,'Jun'!$D$27:$AH$266,'Jul'!$D$27:$AH$266,'Aug'!$D$27:$AH$266,'Sep'!$D$27:$AH$266,'Oct'!$D$27:$AH$266,'Nov'!$D$27:$AH$266,'Dec'!$D$27:$AH$266,'Jan (next year)'!$D$27:$AH$266),27+4*(IFERROR(MATCH(C1094,Roster!$B$6:$B$65,0),MATCH(C1094,Roster!$C$6:$C$65,0))-1)+MATCH(B1094,{"AM","PM","NIGHT","WD"},0)-1-27+1,DAY(A1094))&amp;"",""))</f>
        <v/>
      </c>
      <c r="G1094" s="123">
        <f>IF(OR(A1094="",C1094="",B1094="",E1094=""),"",IFERROR(A1094&amp;"|"&amp;(27+4*(IFERROR(MATCH(C1094,Roster!$B$6:$B$65,0),MATCH(C1094,Roster!$C$6:$C$65,0))-1)+MATCH(B1094,{"AM","PM","NIGHT","WD"},0)-1),""))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$266,'Feb'!$D$27:$AH$266,'Mar'!$D$27:$AH$266,'Apr'!$D$27:$AH$266,'May'!$D$27:$AH$266,'Jun'!$D$27:$AH$266,'Jul'!$D$27:$AH$266,'Aug'!$D$27:$AH$266,'Sep'!$D$27:$AH$266,'Oct'!$D$27:$AH$266,'Nov'!$D$27:$AH$266,'Dec'!$D$27:$AH$266,'Jan (next year)'!$D$27:$AH$266),27+4*(IFERROR(MATCH(C1095,Roster!$B$6:$B$65,0),MATCH(C1095,Roster!$C$6:$C$65,0))-1)+MATCH(B1095,{"AM","PM","NIGHT","WD"},0)-1-27+1,DAY(A1095))&amp;"",""))</f>
        <v/>
      </c>
      <c r="G1095" s="123">
        <f>IF(OR(A1095="",C1095="",B1095="",E1095=""),"",IFERROR(A1095&amp;"|"&amp;(27+4*(IFERROR(MATCH(C1095,Roster!$B$6:$B$65,0),MATCH(C1095,Roster!$C$6:$C$65,0))-1)+MATCH(B1095,{"AM","PM","NIGHT","WD"},0)-1),""))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$266,'Feb'!$D$27:$AH$266,'Mar'!$D$27:$AH$266,'Apr'!$D$27:$AH$266,'May'!$D$27:$AH$266,'Jun'!$D$27:$AH$266,'Jul'!$D$27:$AH$266,'Aug'!$D$27:$AH$266,'Sep'!$D$27:$AH$266,'Oct'!$D$27:$AH$266,'Nov'!$D$27:$AH$266,'Dec'!$D$27:$AH$266,'Jan (next year)'!$D$27:$AH$266),27+4*(IFERROR(MATCH(C1096,Roster!$B$6:$B$65,0),MATCH(C1096,Roster!$C$6:$C$65,0))-1)+MATCH(B1096,{"AM","PM","NIGHT","WD"},0)-1-27+1,DAY(A1096))&amp;"",""))</f>
        <v/>
      </c>
      <c r="G1096" s="123">
        <f>IF(OR(A1096="",C1096="",B1096="",E1096=""),"",IFERROR(A1096&amp;"|"&amp;(27+4*(IFERROR(MATCH(C1096,Roster!$B$6:$B$65,0),MATCH(C1096,Roster!$C$6:$C$65,0))-1)+MATCH(B1096,{"AM","PM","NIGHT","WD"},0)-1),""))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$266,'Feb'!$D$27:$AH$266,'Mar'!$D$27:$AH$266,'Apr'!$D$27:$AH$266,'May'!$D$27:$AH$266,'Jun'!$D$27:$AH$266,'Jul'!$D$27:$AH$266,'Aug'!$D$27:$AH$266,'Sep'!$D$27:$AH$266,'Oct'!$D$27:$AH$266,'Nov'!$D$27:$AH$266,'Dec'!$D$27:$AH$266,'Jan (next year)'!$D$27:$AH$266),27+4*(IFERROR(MATCH(C1097,Roster!$B$6:$B$65,0),MATCH(C1097,Roster!$C$6:$C$65,0))-1)+MATCH(B1097,{"AM","PM","NIGHT","WD"},0)-1-27+1,DAY(A1097))&amp;"",""))</f>
        <v/>
      </c>
      <c r="G1097" s="123">
        <f>IF(OR(A1097="",C1097="",B1097="",E1097=""),"",IFERROR(A1097&amp;"|"&amp;(27+4*(IFERROR(MATCH(C1097,Roster!$B$6:$B$65,0),MATCH(C1097,Roster!$C$6:$C$65,0))-1)+MATCH(B1097,{"AM","PM","NIGHT","WD"},0)-1),""))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$266,'Feb'!$D$27:$AH$266,'Mar'!$D$27:$AH$266,'Apr'!$D$27:$AH$266,'May'!$D$27:$AH$266,'Jun'!$D$27:$AH$266,'Jul'!$D$27:$AH$266,'Aug'!$D$27:$AH$266,'Sep'!$D$27:$AH$266,'Oct'!$D$27:$AH$266,'Nov'!$D$27:$AH$266,'Dec'!$D$27:$AH$266,'Jan (next year)'!$D$27:$AH$266),27+4*(IFERROR(MATCH(C1098,Roster!$B$6:$B$65,0),MATCH(C1098,Roster!$C$6:$C$65,0))-1)+MATCH(B1098,{"AM","PM","NIGHT","WD"},0)-1-27+1,DAY(A1098))&amp;"",""))</f>
        <v/>
      </c>
      <c r="G1098" s="123">
        <f>IF(OR(A1098="",C1098="",B1098="",E1098=""),"",IFERROR(A1098&amp;"|"&amp;(27+4*(IFERROR(MATCH(C1098,Roster!$B$6:$B$65,0),MATCH(C1098,Roster!$C$6:$C$65,0))-1)+MATCH(B1098,{"AM","PM","NIGHT","WD"},0)-1),""))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$266,'Feb'!$D$27:$AH$266,'Mar'!$D$27:$AH$266,'Apr'!$D$27:$AH$266,'May'!$D$27:$AH$266,'Jun'!$D$27:$AH$266,'Jul'!$D$27:$AH$266,'Aug'!$D$27:$AH$266,'Sep'!$D$27:$AH$266,'Oct'!$D$27:$AH$266,'Nov'!$D$27:$AH$266,'Dec'!$D$27:$AH$266,'Jan (next year)'!$D$27:$AH$266),27+4*(IFERROR(MATCH(C1099,Roster!$B$6:$B$65,0),MATCH(C1099,Roster!$C$6:$C$65,0))-1)+MATCH(B1099,{"AM","PM","NIGHT","WD"},0)-1-27+1,DAY(A1099))&amp;"",""))</f>
        <v/>
      </c>
      <c r="G1099" s="123">
        <f>IF(OR(A1099="",C1099="",B1099="",E1099=""),"",IFERROR(A1099&amp;"|"&amp;(27+4*(IFERROR(MATCH(C1099,Roster!$B$6:$B$65,0),MATCH(C1099,Roster!$C$6:$C$65,0))-1)+MATCH(B1099,{"AM","PM","NIGHT","WD"},0)-1),""))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$266,'Feb'!$D$27:$AH$266,'Mar'!$D$27:$AH$266,'Apr'!$D$27:$AH$266,'May'!$D$27:$AH$266,'Jun'!$D$27:$AH$266,'Jul'!$D$27:$AH$266,'Aug'!$D$27:$AH$266,'Sep'!$D$27:$AH$266,'Oct'!$D$27:$AH$266,'Nov'!$D$27:$AH$266,'Dec'!$D$27:$AH$266,'Jan (next year)'!$D$27:$AH$266),27+4*(IFERROR(MATCH(C1100,Roster!$B$6:$B$65,0),MATCH(C1100,Roster!$C$6:$C$65,0))-1)+MATCH(B1100,{"AM","PM","NIGHT","WD"},0)-1-27+1,DAY(A1100))&amp;"",""))</f>
        <v/>
      </c>
      <c r="G1100" s="123">
        <f>IF(OR(A1100="",C1100="",B1100="",E1100=""),"",IFERROR(A1100&amp;"|"&amp;(27+4*(IFERROR(MATCH(C1100,Roster!$B$6:$B$65,0),MATCH(C1100,Roster!$C$6:$C$65,0))-1)+MATCH(B1100,{"AM","PM","NIGHT","WD"},0)-1),""))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$266,'Feb'!$D$27:$AH$266,'Mar'!$D$27:$AH$266,'Apr'!$D$27:$AH$266,'May'!$D$27:$AH$266,'Jun'!$D$27:$AH$266,'Jul'!$D$27:$AH$266,'Aug'!$D$27:$AH$266,'Sep'!$D$27:$AH$266,'Oct'!$D$27:$AH$266,'Nov'!$D$27:$AH$266,'Dec'!$D$27:$AH$266,'Jan (next year)'!$D$27:$AH$266),27+4*(IFERROR(MATCH(C1101,Roster!$B$6:$B$65,0),MATCH(C1101,Roster!$C$6:$C$65,0))-1)+MATCH(B1101,{"AM","PM","NIGHT","WD"},0)-1-27+1,DAY(A1101))&amp;"",""))</f>
        <v/>
      </c>
      <c r="G1101" s="123">
        <f>IF(OR(A1101="",C1101="",B1101="",E1101=""),"",IFERROR(A1101&amp;"|"&amp;(27+4*(IFERROR(MATCH(C1101,Roster!$B$6:$B$65,0),MATCH(C1101,Roster!$C$6:$C$65,0))-1)+MATCH(B1101,{"AM","PM","NIGHT","WD"},0)-1),""))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$266,'Feb'!$D$27:$AH$266,'Mar'!$D$27:$AH$266,'Apr'!$D$27:$AH$266,'May'!$D$27:$AH$266,'Jun'!$D$27:$AH$266,'Jul'!$D$27:$AH$266,'Aug'!$D$27:$AH$266,'Sep'!$D$27:$AH$266,'Oct'!$D$27:$AH$266,'Nov'!$D$27:$AH$266,'Dec'!$D$27:$AH$266,'Jan (next year)'!$D$27:$AH$266),27+4*(IFERROR(MATCH(C1102,Roster!$B$6:$B$65,0),MATCH(C1102,Roster!$C$6:$C$65,0))-1)+MATCH(B1102,{"AM","PM","NIGHT","WD"},0)-1-27+1,DAY(A1102))&amp;"",""))</f>
        <v/>
      </c>
      <c r="G1102" s="123">
        <f>IF(OR(A1102="",C1102="",B1102="",E1102=""),"",IFERROR(A1102&amp;"|"&amp;(27+4*(IFERROR(MATCH(C1102,Roster!$B$6:$B$65,0),MATCH(C1102,Roster!$C$6:$C$65,0))-1)+MATCH(B1102,{"AM","PM","NIGHT","WD"},0)-1),""))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$266,'Feb'!$D$27:$AH$266,'Mar'!$D$27:$AH$266,'Apr'!$D$27:$AH$266,'May'!$D$27:$AH$266,'Jun'!$D$27:$AH$266,'Jul'!$D$27:$AH$266,'Aug'!$D$27:$AH$266,'Sep'!$D$27:$AH$266,'Oct'!$D$27:$AH$266,'Nov'!$D$27:$AH$266,'Dec'!$D$27:$AH$266,'Jan (next year)'!$D$27:$AH$266),27+4*(IFERROR(MATCH(C1103,Roster!$B$6:$B$65,0),MATCH(C1103,Roster!$C$6:$C$65,0))-1)+MATCH(B1103,{"AM","PM","NIGHT","WD"},0)-1-27+1,DAY(A1103))&amp;"",""))</f>
        <v/>
      </c>
      <c r="G1103" s="123">
        <f>IF(OR(A1103="",C1103="",B1103="",E1103=""),"",IFERROR(A1103&amp;"|"&amp;(27+4*(IFERROR(MATCH(C1103,Roster!$B$6:$B$65,0),MATCH(C1103,Roster!$C$6:$C$65,0))-1)+MATCH(B1103,{"AM","PM","NIGHT","WD"},0)-1),""))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$266,'Feb'!$D$27:$AH$266,'Mar'!$D$27:$AH$266,'Apr'!$D$27:$AH$266,'May'!$D$27:$AH$266,'Jun'!$D$27:$AH$266,'Jul'!$D$27:$AH$266,'Aug'!$D$27:$AH$266,'Sep'!$D$27:$AH$266,'Oct'!$D$27:$AH$266,'Nov'!$D$27:$AH$266,'Dec'!$D$27:$AH$266,'Jan (next year)'!$D$27:$AH$266),27+4*(IFERROR(MATCH(C1104,Roster!$B$6:$B$65,0),MATCH(C1104,Roster!$C$6:$C$65,0))-1)+MATCH(B1104,{"AM","PM","NIGHT","WD"},0)-1-27+1,DAY(A1104))&amp;"",""))</f>
        <v/>
      </c>
      <c r="G1104" s="123">
        <f>IF(OR(A1104="",C1104="",B1104="",E1104=""),"",IFERROR(A1104&amp;"|"&amp;(27+4*(IFERROR(MATCH(C1104,Roster!$B$6:$B$65,0),MATCH(C1104,Roster!$C$6:$C$65,0))-1)+MATCH(B1104,{"AM","PM","NIGHT","WD"},0)-1),""))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$266,'Feb'!$D$27:$AH$266,'Mar'!$D$27:$AH$266,'Apr'!$D$27:$AH$266,'May'!$D$27:$AH$266,'Jun'!$D$27:$AH$266,'Jul'!$D$27:$AH$266,'Aug'!$D$27:$AH$266,'Sep'!$D$27:$AH$266,'Oct'!$D$27:$AH$266,'Nov'!$D$27:$AH$266,'Dec'!$D$27:$AH$266,'Jan (next year)'!$D$27:$AH$266),27+4*(IFERROR(MATCH(C1105,Roster!$B$6:$B$65,0),MATCH(C1105,Roster!$C$6:$C$65,0))-1)+MATCH(B1105,{"AM","PM","NIGHT","WD"},0)-1-27+1,DAY(A1105))&amp;"",""))</f>
        <v/>
      </c>
      <c r="G1105" s="123">
        <f>IF(OR(A1105="",C1105="",B1105="",E1105=""),"",IFERROR(A1105&amp;"|"&amp;(27+4*(IFERROR(MATCH(C1105,Roster!$B$6:$B$65,0),MATCH(C1105,Roster!$C$6:$C$65,0))-1)+MATCH(B1105,{"AM","PM","NIGHT","WD"},0)-1),""))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$266,'Feb'!$D$27:$AH$266,'Mar'!$D$27:$AH$266,'Apr'!$D$27:$AH$266,'May'!$D$27:$AH$266,'Jun'!$D$27:$AH$266,'Jul'!$D$27:$AH$266,'Aug'!$D$27:$AH$266,'Sep'!$D$27:$AH$266,'Oct'!$D$27:$AH$266,'Nov'!$D$27:$AH$266,'Dec'!$D$27:$AH$266,'Jan (next year)'!$D$27:$AH$266),27+4*(IFERROR(MATCH(C1106,Roster!$B$6:$B$65,0),MATCH(C1106,Roster!$C$6:$C$65,0))-1)+MATCH(B1106,{"AM","PM","NIGHT","WD"},0)-1-27+1,DAY(A1106))&amp;"",""))</f>
        <v/>
      </c>
      <c r="G1106" s="123">
        <f>IF(OR(A1106="",C1106="",B1106="",E1106=""),"",IFERROR(A1106&amp;"|"&amp;(27+4*(IFERROR(MATCH(C1106,Roster!$B$6:$B$65,0),MATCH(C1106,Roster!$C$6:$C$65,0))-1)+MATCH(B1106,{"AM","PM","NIGHT","WD"},0)-1),""))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$266,'Feb'!$D$27:$AH$266,'Mar'!$D$27:$AH$266,'Apr'!$D$27:$AH$266,'May'!$D$27:$AH$266,'Jun'!$D$27:$AH$266,'Jul'!$D$27:$AH$266,'Aug'!$D$27:$AH$266,'Sep'!$D$27:$AH$266,'Oct'!$D$27:$AH$266,'Nov'!$D$27:$AH$266,'Dec'!$D$27:$AH$266,'Jan (next year)'!$D$27:$AH$266),27+4*(IFERROR(MATCH(C1107,Roster!$B$6:$B$65,0),MATCH(C1107,Roster!$C$6:$C$65,0))-1)+MATCH(B1107,{"AM","PM","NIGHT","WD"},0)-1-27+1,DAY(A1107))&amp;"",""))</f>
        <v/>
      </c>
      <c r="G1107" s="123">
        <f>IF(OR(A1107="",C1107="",B1107="",E1107=""),"",IFERROR(A1107&amp;"|"&amp;(27+4*(IFERROR(MATCH(C1107,Roster!$B$6:$B$65,0),MATCH(C1107,Roster!$C$6:$C$65,0))-1)+MATCH(B1107,{"AM","PM","NIGHT","WD"},0)-1),""))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$266,'Feb'!$D$27:$AH$266,'Mar'!$D$27:$AH$266,'Apr'!$D$27:$AH$266,'May'!$D$27:$AH$266,'Jun'!$D$27:$AH$266,'Jul'!$D$27:$AH$266,'Aug'!$D$27:$AH$266,'Sep'!$D$27:$AH$266,'Oct'!$D$27:$AH$266,'Nov'!$D$27:$AH$266,'Dec'!$D$27:$AH$266,'Jan (next year)'!$D$27:$AH$266),27+4*(IFERROR(MATCH(C1108,Roster!$B$6:$B$65,0),MATCH(C1108,Roster!$C$6:$C$65,0))-1)+MATCH(B1108,{"AM","PM","NIGHT","WD"},0)-1-27+1,DAY(A1108))&amp;"",""))</f>
        <v/>
      </c>
      <c r="G1108" s="123">
        <f>IF(OR(A1108="",C1108="",B1108="",E1108=""),"",IFERROR(A1108&amp;"|"&amp;(27+4*(IFERROR(MATCH(C1108,Roster!$B$6:$B$65,0),MATCH(C1108,Roster!$C$6:$C$65,0))-1)+MATCH(B1108,{"AM","PM","NIGHT","WD"},0)-1),""))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$266,'Feb'!$D$27:$AH$266,'Mar'!$D$27:$AH$266,'Apr'!$D$27:$AH$266,'May'!$D$27:$AH$266,'Jun'!$D$27:$AH$266,'Jul'!$D$27:$AH$266,'Aug'!$D$27:$AH$266,'Sep'!$D$27:$AH$266,'Oct'!$D$27:$AH$266,'Nov'!$D$27:$AH$266,'Dec'!$D$27:$AH$266,'Jan (next year)'!$D$27:$AH$266),27+4*(IFERROR(MATCH(C1109,Roster!$B$6:$B$65,0),MATCH(C1109,Roster!$C$6:$C$65,0))-1)+MATCH(B1109,{"AM","PM","NIGHT","WD"},0)-1-27+1,DAY(A1109))&amp;"",""))</f>
        <v/>
      </c>
      <c r="G1109" s="123">
        <f>IF(OR(A1109="",C1109="",B1109="",E1109=""),"",IFERROR(A1109&amp;"|"&amp;(27+4*(IFERROR(MATCH(C1109,Roster!$B$6:$B$65,0),MATCH(C1109,Roster!$C$6:$C$65,0))-1)+MATCH(B1109,{"AM","PM","NIGHT","WD"},0)-1),""))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$266,'Feb'!$D$27:$AH$266,'Mar'!$D$27:$AH$266,'Apr'!$D$27:$AH$266,'May'!$D$27:$AH$266,'Jun'!$D$27:$AH$266,'Jul'!$D$27:$AH$266,'Aug'!$D$27:$AH$266,'Sep'!$D$27:$AH$266,'Oct'!$D$27:$AH$266,'Nov'!$D$27:$AH$266,'Dec'!$D$27:$AH$266,'Jan (next year)'!$D$27:$AH$266),27+4*(IFERROR(MATCH(C1110,Roster!$B$6:$B$65,0),MATCH(C1110,Roster!$C$6:$C$65,0))-1)+MATCH(B1110,{"AM","PM","NIGHT","WD"},0)-1-27+1,DAY(A1110))&amp;"",""))</f>
        <v/>
      </c>
      <c r="G1110" s="123">
        <f>IF(OR(A1110="",C1110="",B1110="",E1110=""),"",IFERROR(A1110&amp;"|"&amp;(27+4*(IFERROR(MATCH(C1110,Roster!$B$6:$B$65,0),MATCH(C1110,Roster!$C$6:$C$65,0))-1)+MATCH(B1110,{"AM","PM","NIGHT","WD"},0)-1),""))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$266,'Feb'!$D$27:$AH$266,'Mar'!$D$27:$AH$266,'Apr'!$D$27:$AH$266,'May'!$D$27:$AH$266,'Jun'!$D$27:$AH$266,'Jul'!$D$27:$AH$266,'Aug'!$D$27:$AH$266,'Sep'!$D$27:$AH$266,'Oct'!$D$27:$AH$266,'Nov'!$D$27:$AH$266,'Dec'!$D$27:$AH$266,'Jan (next year)'!$D$27:$AH$266),27+4*(IFERROR(MATCH(C1111,Roster!$B$6:$B$65,0),MATCH(C1111,Roster!$C$6:$C$65,0))-1)+MATCH(B1111,{"AM","PM","NIGHT","WD"},0)-1-27+1,DAY(A1111))&amp;"",""))</f>
        <v/>
      </c>
      <c r="G1111" s="123">
        <f>IF(OR(A1111="",C1111="",B1111="",E1111=""),"",IFERROR(A1111&amp;"|"&amp;(27+4*(IFERROR(MATCH(C1111,Roster!$B$6:$B$65,0),MATCH(C1111,Roster!$C$6:$C$65,0))-1)+MATCH(B1111,{"AM","PM","NIGHT","WD"},0)-1),""))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$266,'Feb'!$D$27:$AH$266,'Mar'!$D$27:$AH$266,'Apr'!$D$27:$AH$266,'May'!$D$27:$AH$266,'Jun'!$D$27:$AH$266,'Jul'!$D$27:$AH$266,'Aug'!$D$27:$AH$266,'Sep'!$D$27:$AH$266,'Oct'!$D$27:$AH$266,'Nov'!$D$27:$AH$266,'Dec'!$D$27:$AH$266,'Jan (next year)'!$D$27:$AH$266),27+4*(IFERROR(MATCH(C1112,Roster!$B$6:$B$65,0),MATCH(C1112,Roster!$C$6:$C$65,0))-1)+MATCH(B1112,{"AM","PM","NIGHT","WD"},0)-1-27+1,DAY(A1112))&amp;"",""))</f>
        <v/>
      </c>
      <c r="G1112" s="123">
        <f>IF(OR(A1112="",C1112="",B1112="",E1112=""),"",IFERROR(A1112&amp;"|"&amp;(27+4*(IFERROR(MATCH(C1112,Roster!$B$6:$B$65,0),MATCH(C1112,Roster!$C$6:$C$65,0))-1)+MATCH(B1112,{"AM","PM","NIGHT","WD"},0)-1),""))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$266,'Feb'!$D$27:$AH$266,'Mar'!$D$27:$AH$266,'Apr'!$D$27:$AH$266,'May'!$D$27:$AH$266,'Jun'!$D$27:$AH$266,'Jul'!$D$27:$AH$266,'Aug'!$D$27:$AH$266,'Sep'!$D$27:$AH$266,'Oct'!$D$27:$AH$266,'Nov'!$D$27:$AH$266,'Dec'!$D$27:$AH$266,'Jan (next year)'!$D$27:$AH$266),27+4*(IFERROR(MATCH(C1113,Roster!$B$6:$B$65,0),MATCH(C1113,Roster!$C$6:$C$65,0))-1)+MATCH(B1113,{"AM","PM","NIGHT","WD"},0)-1-27+1,DAY(A1113))&amp;"",""))</f>
        <v/>
      </c>
      <c r="G1113" s="123">
        <f>IF(OR(A1113="",C1113="",B1113="",E1113=""),"",IFERROR(A1113&amp;"|"&amp;(27+4*(IFERROR(MATCH(C1113,Roster!$B$6:$B$65,0),MATCH(C1113,Roster!$C$6:$C$65,0))-1)+MATCH(B1113,{"AM","PM","NIGHT","WD"},0)-1),""))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$266,'Feb'!$D$27:$AH$266,'Mar'!$D$27:$AH$266,'Apr'!$D$27:$AH$266,'May'!$D$27:$AH$266,'Jun'!$D$27:$AH$266,'Jul'!$D$27:$AH$266,'Aug'!$D$27:$AH$266,'Sep'!$D$27:$AH$266,'Oct'!$D$27:$AH$266,'Nov'!$D$27:$AH$266,'Dec'!$D$27:$AH$266,'Jan (next year)'!$D$27:$AH$266),27+4*(IFERROR(MATCH(C1114,Roster!$B$6:$B$65,0),MATCH(C1114,Roster!$C$6:$C$65,0))-1)+MATCH(B1114,{"AM","PM","NIGHT","WD"},0)-1-27+1,DAY(A1114))&amp;"",""))</f>
        <v/>
      </c>
      <c r="G1114" s="123">
        <f>IF(OR(A1114="",C1114="",B1114="",E1114=""),"",IFERROR(A1114&amp;"|"&amp;(27+4*(IFERROR(MATCH(C1114,Roster!$B$6:$B$65,0),MATCH(C1114,Roster!$C$6:$C$65,0))-1)+MATCH(B1114,{"AM","PM","NIGHT","WD"},0)-1),""))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$266,'Feb'!$D$27:$AH$266,'Mar'!$D$27:$AH$266,'Apr'!$D$27:$AH$266,'May'!$D$27:$AH$266,'Jun'!$D$27:$AH$266,'Jul'!$D$27:$AH$266,'Aug'!$D$27:$AH$266,'Sep'!$D$27:$AH$266,'Oct'!$D$27:$AH$266,'Nov'!$D$27:$AH$266,'Dec'!$D$27:$AH$266,'Jan (next year)'!$D$27:$AH$266),27+4*(IFERROR(MATCH(C1115,Roster!$B$6:$B$65,0),MATCH(C1115,Roster!$C$6:$C$65,0))-1)+MATCH(B1115,{"AM","PM","NIGHT","WD"},0)-1-27+1,DAY(A1115))&amp;"",""))</f>
        <v/>
      </c>
      <c r="G1115" s="123">
        <f>IF(OR(A1115="",C1115="",B1115="",E1115=""),"",IFERROR(A1115&amp;"|"&amp;(27+4*(IFERROR(MATCH(C1115,Roster!$B$6:$B$65,0),MATCH(C1115,Roster!$C$6:$C$65,0))-1)+MATCH(B1115,{"AM","PM","NIGHT","WD"},0)-1),""))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$266,'Feb'!$D$27:$AH$266,'Mar'!$D$27:$AH$266,'Apr'!$D$27:$AH$266,'May'!$D$27:$AH$266,'Jun'!$D$27:$AH$266,'Jul'!$D$27:$AH$266,'Aug'!$D$27:$AH$266,'Sep'!$D$27:$AH$266,'Oct'!$D$27:$AH$266,'Nov'!$D$27:$AH$266,'Dec'!$D$27:$AH$266,'Jan (next year)'!$D$27:$AH$266),27+4*(IFERROR(MATCH(C1116,Roster!$B$6:$B$65,0),MATCH(C1116,Roster!$C$6:$C$65,0))-1)+MATCH(B1116,{"AM","PM","NIGHT","WD"},0)-1-27+1,DAY(A1116))&amp;"",""))</f>
        <v/>
      </c>
      <c r="G1116" s="123">
        <f>IF(OR(A1116="",C1116="",B1116="",E1116=""),"",IFERROR(A1116&amp;"|"&amp;(27+4*(IFERROR(MATCH(C1116,Roster!$B$6:$B$65,0),MATCH(C1116,Roster!$C$6:$C$65,0))-1)+MATCH(B1116,{"AM","PM","NIGHT","WD"},0)-1),""))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$266,'Feb'!$D$27:$AH$266,'Mar'!$D$27:$AH$266,'Apr'!$D$27:$AH$266,'May'!$D$27:$AH$266,'Jun'!$D$27:$AH$266,'Jul'!$D$27:$AH$266,'Aug'!$D$27:$AH$266,'Sep'!$D$27:$AH$266,'Oct'!$D$27:$AH$266,'Nov'!$D$27:$AH$266,'Dec'!$D$27:$AH$266,'Jan (next year)'!$D$27:$AH$266),27+4*(IFERROR(MATCH(C1117,Roster!$B$6:$B$65,0),MATCH(C1117,Roster!$C$6:$C$65,0))-1)+MATCH(B1117,{"AM","PM","NIGHT","WD"},0)-1-27+1,DAY(A1117))&amp;"",""))</f>
        <v/>
      </c>
      <c r="G1117" s="123">
        <f>IF(OR(A1117="",C1117="",B1117="",E1117=""),"",IFERROR(A1117&amp;"|"&amp;(27+4*(IFERROR(MATCH(C1117,Roster!$B$6:$B$65,0),MATCH(C1117,Roster!$C$6:$C$65,0))-1)+MATCH(B1117,{"AM","PM","NIGHT","WD"},0)-1),""))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$266,'Feb'!$D$27:$AH$266,'Mar'!$D$27:$AH$266,'Apr'!$D$27:$AH$266,'May'!$D$27:$AH$266,'Jun'!$D$27:$AH$266,'Jul'!$D$27:$AH$266,'Aug'!$D$27:$AH$266,'Sep'!$D$27:$AH$266,'Oct'!$D$27:$AH$266,'Nov'!$D$27:$AH$266,'Dec'!$D$27:$AH$266,'Jan (next year)'!$D$27:$AH$266),27+4*(IFERROR(MATCH(C1118,Roster!$B$6:$B$65,0),MATCH(C1118,Roster!$C$6:$C$65,0))-1)+MATCH(B1118,{"AM","PM","NIGHT","WD"},0)-1-27+1,DAY(A1118))&amp;"",""))</f>
        <v/>
      </c>
      <c r="G1118" s="123">
        <f>IF(OR(A1118="",C1118="",B1118="",E1118=""),"",IFERROR(A1118&amp;"|"&amp;(27+4*(IFERROR(MATCH(C1118,Roster!$B$6:$B$65,0),MATCH(C1118,Roster!$C$6:$C$65,0))-1)+MATCH(B1118,{"AM","PM","NIGHT","WD"},0)-1),""))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$266,'Feb'!$D$27:$AH$266,'Mar'!$D$27:$AH$266,'Apr'!$D$27:$AH$266,'May'!$D$27:$AH$266,'Jun'!$D$27:$AH$266,'Jul'!$D$27:$AH$266,'Aug'!$D$27:$AH$266,'Sep'!$D$27:$AH$266,'Oct'!$D$27:$AH$266,'Nov'!$D$27:$AH$266,'Dec'!$D$27:$AH$266,'Jan (next year)'!$D$27:$AH$266),27+4*(IFERROR(MATCH(C1119,Roster!$B$6:$B$65,0),MATCH(C1119,Roster!$C$6:$C$65,0))-1)+MATCH(B1119,{"AM","PM","NIGHT","WD"},0)-1-27+1,DAY(A1119))&amp;"",""))</f>
        <v/>
      </c>
      <c r="G1119" s="123">
        <f>IF(OR(A1119="",C1119="",B1119="",E1119=""),"",IFERROR(A1119&amp;"|"&amp;(27+4*(IFERROR(MATCH(C1119,Roster!$B$6:$B$65,0),MATCH(C1119,Roster!$C$6:$C$65,0))-1)+MATCH(B1119,{"AM","PM","NIGHT","WD"},0)-1),""))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$266,'Feb'!$D$27:$AH$266,'Mar'!$D$27:$AH$266,'Apr'!$D$27:$AH$266,'May'!$D$27:$AH$266,'Jun'!$D$27:$AH$266,'Jul'!$D$27:$AH$266,'Aug'!$D$27:$AH$266,'Sep'!$D$27:$AH$266,'Oct'!$D$27:$AH$266,'Nov'!$D$27:$AH$266,'Dec'!$D$27:$AH$266,'Jan (next year)'!$D$27:$AH$266),27+4*(IFERROR(MATCH(C1120,Roster!$B$6:$B$65,0),MATCH(C1120,Roster!$C$6:$C$65,0))-1)+MATCH(B1120,{"AM","PM","NIGHT","WD"},0)-1-27+1,DAY(A1120))&amp;"",""))</f>
        <v/>
      </c>
      <c r="G1120" s="123">
        <f>IF(OR(A1120="",C1120="",B1120="",E1120=""),"",IFERROR(A1120&amp;"|"&amp;(27+4*(IFERROR(MATCH(C1120,Roster!$B$6:$B$65,0),MATCH(C1120,Roster!$C$6:$C$65,0))-1)+MATCH(B1120,{"AM","PM","NIGHT","WD"},0)-1),""))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$266,'Feb'!$D$27:$AH$266,'Mar'!$D$27:$AH$266,'Apr'!$D$27:$AH$266,'May'!$D$27:$AH$266,'Jun'!$D$27:$AH$266,'Jul'!$D$27:$AH$266,'Aug'!$D$27:$AH$266,'Sep'!$D$27:$AH$266,'Oct'!$D$27:$AH$266,'Nov'!$D$27:$AH$266,'Dec'!$D$27:$AH$266,'Jan (next year)'!$D$27:$AH$266),27+4*(IFERROR(MATCH(C1121,Roster!$B$6:$B$65,0),MATCH(C1121,Roster!$C$6:$C$65,0))-1)+MATCH(B1121,{"AM","PM","NIGHT","WD"},0)-1-27+1,DAY(A1121))&amp;"",""))</f>
        <v/>
      </c>
      <c r="G1121" s="123">
        <f>IF(OR(A1121="",C1121="",B1121="",E1121=""),"",IFERROR(A1121&amp;"|"&amp;(27+4*(IFERROR(MATCH(C1121,Roster!$B$6:$B$65,0),MATCH(C1121,Roster!$C$6:$C$65,0))-1)+MATCH(B1121,{"AM","PM","NIGHT","WD"},0)-1),""))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$266,'Feb'!$D$27:$AH$266,'Mar'!$D$27:$AH$266,'Apr'!$D$27:$AH$266,'May'!$D$27:$AH$266,'Jun'!$D$27:$AH$266,'Jul'!$D$27:$AH$266,'Aug'!$D$27:$AH$266,'Sep'!$D$27:$AH$266,'Oct'!$D$27:$AH$266,'Nov'!$D$27:$AH$266,'Dec'!$D$27:$AH$266,'Jan (next year)'!$D$27:$AH$266),27+4*(IFERROR(MATCH(C1122,Roster!$B$6:$B$65,0),MATCH(C1122,Roster!$C$6:$C$65,0))-1)+MATCH(B1122,{"AM","PM","NIGHT","WD"},0)-1-27+1,DAY(A1122))&amp;"",""))</f>
        <v/>
      </c>
      <c r="G1122" s="123">
        <f>IF(OR(A1122="",C1122="",B1122="",E1122=""),"",IFERROR(A1122&amp;"|"&amp;(27+4*(IFERROR(MATCH(C1122,Roster!$B$6:$B$65,0),MATCH(C1122,Roster!$C$6:$C$65,0))-1)+MATCH(B1122,{"AM","PM","NIGHT","WD"},0)-1),""))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$266,'Feb'!$D$27:$AH$266,'Mar'!$D$27:$AH$266,'Apr'!$D$27:$AH$266,'May'!$D$27:$AH$266,'Jun'!$D$27:$AH$266,'Jul'!$D$27:$AH$266,'Aug'!$D$27:$AH$266,'Sep'!$D$27:$AH$266,'Oct'!$D$27:$AH$266,'Nov'!$D$27:$AH$266,'Dec'!$D$27:$AH$266,'Jan (next year)'!$D$27:$AH$266),27+4*(IFERROR(MATCH(C1123,Roster!$B$6:$B$65,0),MATCH(C1123,Roster!$C$6:$C$65,0))-1)+MATCH(B1123,{"AM","PM","NIGHT","WD"},0)-1-27+1,DAY(A1123))&amp;"",""))</f>
        <v/>
      </c>
      <c r="G1123" s="123">
        <f>IF(OR(A1123="",C1123="",B1123="",E1123=""),"",IFERROR(A1123&amp;"|"&amp;(27+4*(IFERROR(MATCH(C1123,Roster!$B$6:$B$65,0),MATCH(C1123,Roster!$C$6:$C$65,0))-1)+MATCH(B1123,{"AM","PM","NIGHT","WD"},0)-1),""))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$266,'Feb'!$D$27:$AH$266,'Mar'!$D$27:$AH$266,'Apr'!$D$27:$AH$266,'May'!$D$27:$AH$266,'Jun'!$D$27:$AH$266,'Jul'!$D$27:$AH$266,'Aug'!$D$27:$AH$266,'Sep'!$D$27:$AH$266,'Oct'!$D$27:$AH$266,'Nov'!$D$27:$AH$266,'Dec'!$D$27:$AH$266,'Jan (next year)'!$D$27:$AH$266),27+4*(IFERROR(MATCH(C1124,Roster!$B$6:$B$65,0),MATCH(C1124,Roster!$C$6:$C$65,0))-1)+MATCH(B1124,{"AM","PM","NIGHT","WD"},0)-1-27+1,DAY(A1124))&amp;"",""))</f>
        <v/>
      </c>
      <c r="G1124" s="123">
        <f>IF(OR(A1124="",C1124="",B1124="",E1124=""),"",IFERROR(A1124&amp;"|"&amp;(27+4*(IFERROR(MATCH(C1124,Roster!$B$6:$B$65,0),MATCH(C1124,Roster!$C$6:$C$65,0))-1)+MATCH(B1124,{"AM","PM","NIGHT","WD"},0)-1),""))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$266,'Feb'!$D$27:$AH$266,'Mar'!$D$27:$AH$266,'Apr'!$D$27:$AH$266,'May'!$D$27:$AH$266,'Jun'!$D$27:$AH$266,'Jul'!$D$27:$AH$266,'Aug'!$D$27:$AH$266,'Sep'!$D$27:$AH$266,'Oct'!$D$27:$AH$266,'Nov'!$D$27:$AH$266,'Dec'!$D$27:$AH$266,'Jan (next year)'!$D$27:$AH$266),27+4*(IFERROR(MATCH(C1125,Roster!$B$6:$B$65,0),MATCH(C1125,Roster!$C$6:$C$65,0))-1)+MATCH(B1125,{"AM","PM","NIGHT","WD"},0)-1-27+1,DAY(A1125))&amp;"",""))</f>
        <v/>
      </c>
      <c r="G1125" s="123">
        <f>IF(OR(A1125="",C1125="",B1125="",E1125=""),"",IFERROR(A1125&amp;"|"&amp;(27+4*(IFERROR(MATCH(C1125,Roster!$B$6:$B$65,0),MATCH(C1125,Roster!$C$6:$C$65,0))-1)+MATCH(B1125,{"AM","PM","NIGHT","WD"},0)-1),""))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$266,'Feb'!$D$27:$AH$266,'Mar'!$D$27:$AH$266,'Apr'!$D$27:$AH$266,'May'!$D$27:$AH$266,'Jun'!$D$27:$AH$266,'Jul'!$D$27:$AH$266,'Aug'!$D$27:$AH$266,'Sep'!$D$27:$AH$266,'Oct'!$D$27:$AH$266,'Nov'!$D$27:$AH$266,'Dec'!$D$27:$AH$266,'Jan (next year)'!$D$27:$AH$266),27+4*(IFERROR(MATCH(C1126,Roster!$B$6:$B$65,0),MATCH(C1126,Roster!$C$6:$C$65,0))-1)+MATCH(B1126,{"AM","PM","NIGHT","WD"},0)-1-27+1,DAY(A1126))&amp;"",""))</f>
        <v/>
      </c>
      <c r="G1126" s="123">
        <f>IF(OR(A1126="",C1126="",B1126="",E1126=""),"",IFERROR(A1126&amp;"|"&amp;(27+4*(IFERROR(MATCH(C1126,Roster!$B$6:$B$65,0),MATCH(C1126,Roster!$C$6:$C$65,0))-1)+MATCH(B1126,{"AM","PM","NIGHT","WD"},0)-1),""))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$266,'Feb'!$D$27:$AH$266,'Mar'!$D$27:$AH$266,'Apr'!$D$27:$AH$266,'May'!$D$27:$AH$266,'Jun'!$D$27:$AH$266,'Jul'!$D$27:$AH$266,'Aug'!$D$27:$AH$266,'Sep'!$D$27:$AH$266,'Oct'!$D$27:$AH$266,'Nov'!$D$27:$AH$266,'Dec'!$D$27:$AH$266,'Jan (next year)'!$D$27:$AH$266),27+4*(IFERROR(MATCH(C1127,Roster!$B$6:$B$65,0),MATCH(C1127,Roster!$C$6:$C$65,0))-1)+MATCH(B1127,{"AM","PM","NIGHT","WD"},0)-1-27+1,DAY(A1127))&amp;"",""))</f>
        <v/>
      </c>
      <c r="G1127" s="123">
        <f>IF(OR(A1127="",C1127="",B1127="",E1127=""),"",IFERROR(A1127&amp;"|"&amp;(27+4*(IFERROR(MATCH(C1127,Roster!$B$6:$B$65,0),MATCH(C1127,Roster!$C$6:$C$65,0))-1)+MATCH(B1127,{"AM","PM","NIGHT","WD"},0)-1),""))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$266,'Feb'!$D$27:$AH$266,'Mar'!$D$27:$AH$266,'Apr'!$D$27:$AH$266,'May'!$D$27:$AH$266,'Jun'!$D$27:$AH$266,'Jul'!$D$27:$AH$266,'Aug'!$D$27:$AH$266,'Sep'!$D$27:$AH$266,'Oct'!$D$27:$AH$266,'Nov'!$D$27:$AH$266,'Dec'!$D$27:$AH$266,'Jan (next year)'!$D$27:$AH$266),27+4*(IFERROR(MATCH(C1128,Roster!$B$6:$B$65,0),MATCH(C1128,Roster!$C$6:$C$65,0))-1)+MATCH(B1128,{"AM","PM","NIGHT","WD"},0)-1-27+1,DAY(A1128))&amp;"",""))</f>
        <v/>
      </c>
      <c r="G1128" s="123">
        <f>IF(OR(A1128="",C1128="",B1128="",E1128=""),"",IFERROR(A1128&amp;"|"&amp;(27+4*(IFERROR(MATCH(C1128,Roster!$B$6:$B$65,0),MATCH(C1128,Roster!$C$6:$C$65,0))-1)+MATCH(B1128,{"AM","PM","NIGHT","WD"},0)-1),""))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$266,'Feb'!$D$27:$AH$266,'Mar'!$D$27:$AH$266,'Apr'!$D$27:$AH$266,'May'!$D$27:$AH$266,'Jun'!$D$27:$AH$266,'Jul'!$D$27:$AH$266,'Aug'!$D$27:$AH$266,'Sep'!$D$27:$AH$266,'Oct'!$D$27:$AH$266,'Nov'!$D$27:$AH$266,'Dec'!$D$27:$AH$266,'Jan (next year)'!$D$27:$AH$266),27+4*(IFERROR(MATCH(C1129,Roster!$B$6:$B$65,0),MATCH(C1129,Roster!$C$6:$C$65,0))-1)+MATCH(B1129,{"AM","PM","NIGHT","WD"},0)-1-27+1,DAY(A1129))&amp;"",""))</f>
        <v/>
      </c>
      <c r="G1129" s="123">
        <f>IF(OR(A1129="",C1129="",B1129="",E1129=""),"",IFERROR(A1129&amp;"|"&amp;(27+4*(IFERROR(MATCH(C1129,Roster!$B$6:$B$65,0),MATCH(C1129,Roster!$C$6:$C$65,0))-1)+MATCH(B1129,{"AM","PM","NIGHT","WD"},0)-1),""))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$266,'Feb'!$D$27:$AH$266,'Mar'!$D$27:$AH$266,'Apr'!$D$27:$AH$266,'May'!$D$27:$AH$266,'Jun'!$D$27:$AH$266,'Jul'!$D$27:$AH$266,'Aug'!$D$27:$AH$266,'Sep'!$D$27:$AH$266,'Oct'!$D$27:$AH$266,'Nov'!$D$27:$AH$266,'Dec'!$D$27:$AH$266,'Jan (next year)'!$D$27:$AH$266),27+4*(IFERROR(MATCH(C1130,Roster!$B$6:$B$65,0),MATCH(C1130,Roster!$C$6:$C$65,0))-1)+MATCH(B1130,{"AM","PM","NIGHT","WD"},0)-1-27+1,DAY(A1130))&amp;"",""))</f>
        <v/>
      </c>
      <c r="G1130" s="123">
        <f>IF(OR(A1130="",C1130="",B1130="",E1130=""),"",IFERROR(A1130&amp;"|"&amp;(27+4*(IFERROR(MATCH(C1130,Roster!$B$6:$B$65,0),MATCH(C1130,Roster!$C$6:$C$65,0))-1)+MATCH(B1130,{"AM","PM","NIGHT","WD"},0)-1),""))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$266,'Feb'!$D$27:$AH$266,'Mar'!$D$27:$AH$266,'Apr'!$D$27:$AH$266,'May'!$D$27:$AH$266,'Jun'!$D$27:$AH$266,'Jul'!$D$27:$AH$266,'Aug'!$D$27:$AH$266,'Sep'!$D$27:$AH$266,'Oct'!$D$27:$AH$266,'Nov'!$D$27:$AH$266,'Dec'!$D$27:$AH$266,'Jan (next year)'!$D$27:$AH$266),27+4*(IFERROR(MATCH(C1131,Roster!$B$6:$B$65,0),MATCH(C1131,Roster!$C$6:$C$65,0))-1)+MATCH(B1131,{"AM","PM","NIGHT","WD"},0)-1-27+1,DAY(A1131))&amp;"",""))</f>
        <v/>
      </c>
      <c r="G1131" s="123">
        <f>IF(OR(A1131="",C1131="",B1131="",E1131=""),"",IFERROR(A1131&amp;"|"&amp;(27+4*(IFERROR(MATCH(C1131,Roster!$B$6:$B$65,0),MATCH(C1131,Roster!$C$6:$C$65,0))-1)+MATCH(B1131,{"AM","PM","NIGHT","WD"},0)-1),""))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$266,'Feb'!$D$27:$AH$266,'Mar'!$D$27:$AH$266,'Apr'!$D$27:$AH$266,'May'!$D$27:$AH$266,'Jun'!$D$27:$AH$266,'Jul'!$D$27:$AH$266,'Aug'!$D$27:$AH$266,'Sep'!$D$27:$AH$266,'Oct'!$D$27:$AH$266,'Nov'!$D$27:$AH$266,'Dec'!$D$27:$AH$266,'Jan (next year)'!$D$27:$AH$266),27+4*(IFERROR(MATCH(C1132,Roster!$B$6:$B$65,0),MATCH(C1132,Roster!$C$6:$C$65,0))-1)+MATCH(B1132,{"AM","PM","NIGHT","WD"},0)-1-27+1,DAY(A1132))&amp;"",""))</f>
        <v/>
      </c>
      <c r="G1132" s="123">
        <f>IF(OR(A1132="",C1132="",B1132="",E1132=""),"",IFERROR(A1132&amp;"|"&amp;(27+4*(IFERROR(MATCH(C1132,Roster!$B$6:$B$65,0),MATCH(C1132,Roster!$C$6:$C$65,0))-1)+MATCH(B1132,{"AM","PM","NIGHT","WD"},0)-1),""))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$266,'Feb'!$D$27:$AH$266,'Mar'!$D$27:$AH$266,'Apr'!$D$27:$AH$266,'May'!$D$27:$AH$266,'Jun'!$D$27:$AH$266,'Jul'!$D$27:$AH$266,'Aug'!$D$27:$AH$266,'Sep'!$D$27:$AH$266,'Oct'!$D$27:$AH$266,'Nov'!$D$27:$AH$266,'Dec'!$D$27:$AH$266,'Jan (next year)'!$D$27:$AH$266),27+4*(IFERROR(MATCH(C1133,Roster!$B$6:$B$65,0),MATCH(C1133,Roster!$C$6:$C$65,0))-1)+MATCH(B1133,{"AM","PM","NIGHT","WD"},0)-1-27+1,DAY(A1133))&amp;"",""))</f>
        <v/>
      </c>
      <c r="G1133" s="123">
        <f>IF(OR(A1133="",C1133="",B1133="",E1133=""),"",IFERROR(A1133&amp;"|"&amp;(27+4*(IFERROR(MATCH(C1133,Roster!$B$6:$B$65,0),MATCH(C1133,Roster!$C$6:$C$65,0))-1)+MATCH(B1133,{"AM","PM","NIGHT","WD"},0)-1),""))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$266,'Feb'!$D$27:$AH$266,'Mar'!$D$27:$AH$266,'Apr'!$D$27:$AH$266,'May'!$D$27:$AH$266,'Jun'!$D$27:$AH$266,'Jul'!$D$27:$AH$266,'Aug'!$D$27:$AH$266,'Sep'!$D$27:$AH$266,'Oct'!$D$27:$AH$266,'Nov'!$D$27:$AH$266,'Dec'!$D$27:$AH$266,'Jan (next year)'!$D$27:$AH$266),27+4*(IFERROR(MATCH(C1134,Roster!$B$6:$B$65,0),MATCH(C1134,Roster!$C$6:$C$65,0))-1)+MATCH(B1134,{"AM","PM","NIGHT","WD"},0)-1-27+1,DAY(A1134))&amp;"",""))</f>
        <v/>
      </c>
      <c r="G1134" s="123">
        <f>IF(OR(A1134="",C1134="",B1134="",E1134=""),"",IFERROR(A1134&amp;"|"&amp;(27+4*(IFERROR(MATCH(C1134,Roster!$B$6:$B$65,0),MATCH(C1134,Roster!$C$6:$C$65,0))-1)+MATCH(B1134,{"AM","PM","NIGHT","WD"},0)-1),""))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$266,'Feb'!$D$27:$AH$266,'Mar'!$D$27:$AH$266,'Apr'!$D$27:$AH$266,'May'!$D$27:$AH$266,'Jun'!$D$27:$AH$266,'Jul'!$D$27:$AH$266,'Aug'!$D$27:$AH$266,'Sep'!$D$27:$AH$266,'Oct'!$D$27:$AH$266,'Nov'!$D$27:$AH$266,'Dec'!$D$27:$AH$266,'Jan (next year)'!$D$27:$AH$266),27+4*(IFERROR(MATCH(C1135,Roster!$B$6:$B$65,0),MATCH(C1135,Roster!$C$6:$C$65,0))-1)+MATCH(B1135,{"AM","PM","NIGHT","WD"},0)-1-27+1,DAY(A1135))&amp;"",""))</f>
        <v/>
      </c>
      <c r="G1135" s="123">
        <f>IF(OR(A1135="",C1135="",B1135="",E1135=""),"",IFERROR(A1135&amp;"|"&amp;(27+4*(IFERROR(MATCH(C1135,Roster!$B$6:$B$65,0),MATCH(C1135,Roster!$C$6:$C$65,0))-1)+MATCH(B1135,{"AM","PM","NIGHT","WD"},0)-1),""))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$266,'Feb'!$D$27:$AH$266,'Mar'!$D$27:$AH$266,'Apr'!$D$27:$AH$266,'May'!$D$27:$AH$266,'Jun'!$D$27:$AH$266,'Jul'!$D$27:$AH$266,'Aug'!$D$27:$AH$266,'Sep'!$D$27:$AH$266,'Oct'!$D$27:$AH$266,'Nov'!$D$27:$AH$266,'Dec'!$D$27:$AH$266,'Jan (next year)'!$D$27:$AH$266),27+4*(IFERROR(MATCH(C1136,Roster!$B$6:$B$65,0),MATCH(C1136,Roster!$C$6:$C$65,0))-1)+MATCH(B1136,{"AM","PM","NIGHT","WD"},0)-1-27+1,DAY(A1136))&amp;"",""))</f>
        <v/>
      </c>
      <c r="G1136" s="123">
        <f>IF(OR(A1136="",C1136="",B1136="",E1136=""),"",IFERROR(A1136&amp;"|"&amp;(27+4*(IFERROR(MATCH(C1136,Roster!$B$6:$B$65,0),MATCH(C1136,Roster!$C$6:$C$65,0))-1)+MATCH(B1136,{"AM","PM","NIGHT","WD"},0)-1),""))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$266,'Feb'!$D$27:$AH$266,'Mar'!$D$27:$AH$266,'Apr'!$D$27:$AH$266,'May'!$D$27:$AH$266,'Jun'!$D$27:$AH$266,'Jul'!$D$27:$AH$266,'Aug'!$D$27:$AH$266,'Sep'!$D$27:$AH$266,'Oct'!$D$27:$AH$266,'Nov'!$D$27:$AH$266,'Dec'!$D$27:$AH$266,'Jan (next year)'!$D$27:$AH$266),27+4*(IFERROR(MATCH(C1137,Roster!$B$6:$B$65,0),MATCH(C1137,Roster!$C$6:$C$65,0))-1)+MATCH(B1137,{"AM","PM","NIGHT","WD"},0)-1-27+1,DAY(A1137))&amp;"",""))</f>
        <v/>
      </c>
      <c r="G1137" s="123">
        <f>IF(OR(A1137="",C1137="",B1137="",E1137=""),"",IFERROR(A1137&amp;"|"&amp;(27+4*(IFERROR(MATCH(C1137,Roster!$B$6:$B$65,0),MATCH(C1137,Roster!$C$6:$C$65,0))-1)+MATCH(B1137,{"AM","PM","NIGHT","WD"},0)-1),""))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$266,'Feb'!$D$27:$AH$266,'Mar'!$D$27:$AH$266,'Apr'!$D$27:$AH$266,'May'!$D$27:$AH$266,'Jun'!$D$27:$AH$266,'Jul'!$D$27:$AH$266,'Aug'!$D$27:$AH$266,'Sep'!$D$27:$AH$266,'Oct'!$D$27:$AH$266,'Nov'!$D$27:$AH$266,'Dec'!$D$27:$AH$266,'Jan (next year)'!$D$27:$AH$266),27+4*(IFERROR(MATCH(C1138,Roster!$B$6:$B$65,0),MATCH(C1138,Roster!$C$6:$C$65,0))-1)+MATCH(B1138,{"AM","PM","NIGHT","WD"},0)-1-27+1,DAY(A1138))&amp;"",""))</f>
        <v/>
      </c>
      <c r="G1138" s="123">
        <f>IF(OR(A1138="",C1138="",B1138="",E1138=""),"",IFERROR(A1138&amp;"|"&amp;(27+4*(IFERROR(MATCH(C1138,Roster!$B$6:$B$65,0),MATCH(C1138,Roster!$C$6:$C$65,0))-1)+MATCH(B1138,{"AM","PM","NIGHT","WD"},0)-1),""))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$266,'Feb'!$D$27:$AH$266,'Mar'!$D$27:$AH$266,'Apr'!$D$27:$AH$266,'May'!$D$27:$AH$266,'Jun'!$D$27:$AH$266,'Jul'!$D$27:$AH$266,'Aug'!$D$27:$AH$266,'Sep'!$D$27:$AH$266,'Oct'!$D$27:$AH$266,'Nov'!$D$27:$AH$266,'Dec'!$D$27:$AH$266,'Jan (next year)'!$D$27:$AH$266),27+4*(IFERROR(MATCH(C1139,Roster!$B$6:$B$65,0),MATCH(C1139,Roster!$C$6:$C$65,0))-1)+MATCH(B1139,{"AM","PM","NIGHT","WD"},0)-1-27+1,DAY(A1139))&amp;"",""))</f>
        <v/>
      </c>
      <c r="G1139" s="123">
        <f>IF(OR(A1139="",C1139="",B1139="",E1139=""),"",IFERROR(A1139&amp;"|"&amp;(27+4*(IFERROR(MATCH(C1139,Roster!$B$6:$B$65,0),MATCH(C1139,Roster!$C$6:$C$65,0))-1)+MATCH(B1139,{"AM","PM","NIGHT","WD"},0)-1),""))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$266,'Feb'!$D$27:$AH$266,'Mar'!$D$27:$AH$266,'Apr'!$D$27:$AH$266,'May'!$D$27:$AH$266,'Jun'!$D$27:$AH$266,'Jul'!$D$27:$AH$266,'Aug'!$D$27:$AH$266,'Sep'!$D$27:$AH$266,'Oct'!$D$27:$AH$266,'Nov'!$D$27:$AH$266,'Dec'!$D$27:$AH$266,'Jan (next year)'!$D$27:$AH$266),27+4*(IFERROR(MATCH(C1140,Roster!$B$6:$B$65,0),MATCH(C1140,Roster!$C$6:$C$65,0))-1)+MATCH(B1140,{"AM","PM","NIGHT","WD"},0)-1-27+1,DAY(A1140))&amp;"",""))</f>
        <v/>
      </c>
      <c r="G1140" s="123">
        <f>IF(OR(A1140="",C1140="",B1140="",E1140=""),"",IFERROR(A1140&amp;"|"&amp;(27+4*(IFERROR(MATCH(C1140,Roster!$B$6:$B$65,0),MATCH(C1140,Roster!$C$6:$C$65,0))-1)+MATCH(B1140,{"AM","PM","NIGHT","WD"},0)-1),""))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$266,'Feb'!$D$27:$AH$266,'Mar'!$D$27:$AH$266,'Apr'!$D$27:$AH$266,'May'!$D$27:$AH$266,'Jun'!$D$27:$AH$266,'Jul'!$D$27:$AH$266,'Aug'!$D$27:$AH$266,'Sep'!$D$27:$AH$266,'Oct'!$D$27:$AH$266,'Nov'!$D$27:$AH$266,'Dec'!$D$27:$AH$266,'Jan (next year)'!$D$27:$AH$266),27+4*(IFERROR(MATCH(C1141,Roster!$B$6:$B$65,0),MATCH(C1141,Roster!$C$6:$C$65,0))-1)+MATCH(B1141,{"AM","PM","NIGHT","WD"},0)-1-27+1,DAY(A1141))&amp;"",""))</f>
        <v/>
      </c>
      <c r="G1141" s="123">
        <f>IF(OR(A1141="",C1141="",B1141="",E1141=""),"",IFERROR(A1141&amp;"|"&amp;(27+4*(IFERROR(MATCH(C1141,Roster!$B$6:$B$65,0),MATCH(C1141,Roster!$C$6:$C$65,0))-1)+MATCH(B1141,{"AM","PM","NIGHT","WD"},0)-1),""))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$266,'Feb'!$D$27:$AH$266,'Mar'!$D$27:$AH$266,'Apr'!$D$27:$AH$266,'May'!$D$27:$AH$266,'Jun'!$D$27:$AH$266,'Jul'!$D$27:$AH$266,'Aug'!$D$27:$AH$266,'Sep'!$D$27:$AH$266,'Oct'!$D$27:$AH$266,'Nov'!$D$27:$AH$266,'Dec'!$D$27:$AH$266,'Jan (next year)'!$D$27:$AH$266),27+4*(IFERROR(MATCH(C1142,Roster!$B$6:$B$65,0),MATCH(C1142,Roster!$C$6:$C$65,0))-1)+MATCH(B1142,{"AM","PM","NIGHT","WD"},0)-1-27+1,DAY(A1142))&amp;"",""))</f>
        <v/>
      </c>
      <c r="G1142" s="123">
        <f>IF(OR(A1142="",C1142="",B1142="",E1142=""),"",IFERROR(A1142&amp;"|"&amp;(27+4*(IFERROR(MATCH(C1142,Roster!$B$6:$B$65,0),MATCH(C1142,Roster!$C$6:$C$65,0))-1)+MATCH(B1142,{"AM","PM","NIGHT","WD"},0)-1),""))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$266,'Feb'!$D$27:$AH$266,'Mar'!$D$27:$AH$266,'Apr'!$D$27:$AH$266,'May'!$D$27:$AH$266,'Jun'!$D$27:$AH$266,'Jul'!$D$27:$AH$266,'Aug'!$D$27:$AH$266,'Sep'!$D$27:$AH$266,'Oct'!$D$27:$AH$266,'Nov'!$D$27:$AH$266,'Dec'!$D$27:$AH$266,'Jan (next year)'!$D$27:$AH$266),27+4*(IFERROR(MATCH(C1143,Roster!$B$6:$B$65,0),MATCH(C1143,Roster!$C$6:$C$65,0))-1)+MATCH(B1143,{"AM","PM","NIGHT","WD"},0)-1-27+1,DAY(A1143))&amp;"",""))</f>
        <v/>
      </c>
      <c r="G1143" s="123">
        <f>IF(OR(A1143="",C1143="",B1143="",E1143=""),"",IFERROR(A1143&amp;"|"&amp;(27+4*(IFERROR(MATCH(C1143,Roster!$B$6:$B$65,0),MATCH(C1143,Roster!$C$6:$C$65,0))-1)+MATCH(B1143,{"AM","PM","NIGHT","WD"},0)-1),""))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$266,'Feb'!$D$27:$AH$266,'Mar'!$D$27:$AH$266,'Apr'!$D$27:$AH$266,'May'!$D$27:$AH$266,'Jun'!$D$27:$AH$266,'Jul'!$D$27:$AH$266,'Aug'!$D$27:$AH$266,'Sep'!$D$27:$AH$266,'Oct'!$D$27:$AH$266,'Nov'!$D$27:$AH$266,'Dec'!$D$27:$AH$266,'Jan (next year)'!$D$27:$AH$266),27+4*(IFERROR(MATCH(C1144,Roster!$B$6:$B$65,0),MATCH(C1144,Roster!$C$6:$C$65,0))-1)+MATCH(B1144,{"AM","PM","NIGHT","WD"},0)-1-27+1,DAY(A1144))&amp;"",""))</f>
        <v/>
      </c>
      <c r="G1144" s="123">
        <f>IF(OR(A1144="",C1144="",B1144="",E1144=""),"",IFERROR(A1144&amp;"|"&amp;(27+4*(IFERROR(MATCH(C1144,Roster!$B$6:$B$65,0),MATCH(C1144,Roster!$C$6:$C$65,0))-1)+MATCH(B1144,{"AM","PM","NIGHT","WD"},0)-1),""))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$266,'Feb'!$D$27:$AH$266,'Mar'!$D$27:$AH$266,'Apr'!$D$27:$AH$266,'May'!$D$27:$AH$266,'Jun'!$D$27:$AH$266,'Jul'!$D$27:$AH$266,'Aug'!$D$27:$AH$266,'Sep'!$D$27:$AH$266,'Oct'!$D$27:$AH$266,'Nov'!$D$27:$AH$266,'Dec'!$D$27:$AH$266,'Jan (next year)'!$D$27:$AH$266),27+4*(IFERROR(MATCH(C1145,Roster!$B$6:$B$65,0),MATCH(C1145,Roster!$C$6:$C$65,0))-1)+MATCH(B1145,{"AM","PM","NIGHT","WD"},0)-1-27+1,DAY(A1145))&amp;"",""))</f>
        <v/>
      </c>
      <c r="G1145" s="123">
        <f>IF(OR(A1145="",C1145="",B1145="",E1145=""),"",IFERROR(A1145&amp;"|"&amp;(27+4*(IFERROR(MATCH(C1145,Roster!$B$6:$B$65,0),MATCH(C1145,Roster!$C$6:$C$65,0))-1)+MATCH(B1145,{"AM","PM","NIGHT","WD"},0)-1),""))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$266,'Feb'!$D$27:$AH$266,'Mar'!$D$27:$AH$266,'Apr'!$D$27:$AH$266,'May'!$D$27:$AH$266,'Jun'!$D$27:$AH$266,'Jul'!$D$27:$AH$266,'Aug'!$D$27:$AH$266,'Sep'!$D$27:$AH$266,'Oct'!$D$27:$AH$266,'Nov'!$D$27:$AH$266,'Dec'!$D$27:$AH$266,'Jan (next year)'!$D$27:$AH$266),27+4*(IFERROR(MATCH(C1146,Roster!$B$6:$B$65,0),MATCH(C1146,Roster!$C$6:$C$65,0))-1)+MATCH(B1146,{"AM","PM","NIGHT","WD"},0)-1-27+1,DAY(A1146))&amp;"",""))</f>
        <v/>
      </c>
      <c r="G1146" s="123">
        <f>IF(OR(A1146="",C1146="",B1146="",E1146=""),"",IFERROR(A1146&amp;"|"&amp;(27+4*(IFERROR(MATCH(C1146,Roster!$B$6:$B$65,0),MATCH(C1146,Roster!$C$6:$C$65,0))-1)+MATCH(B1146,{"AM","PM","NIGHT","WD"},0)-1),""))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$266,'Feb'!$D$27:$AH$266,'Mar'!$D$27:$AH$266,'Apr'!$D$27:$AH$266,'May'!$D$27:$AH$266,'Jun'!$D$27:$AH$266,'Jul'!$D$27:$AH$266,'Aug'!$D$27:$AH$266,'Sep'!$D$27:$AH$266,'Oct'!$D$27:$AH$266,'Nov'!$D$27:$AH$266,'Dec'!$D$27:$AH$266,'Jan (next year)'!$D$27:$AH$266),27+4*(IFERROR(MATCH(C1147,Roster!$B$6:$B$65,0),MATCH(C1147,Roster!$C$6:$C$65,0))-1)+MATCH(B1147,{"AM","PM","NIGHT","WD"},0)-1-27+1,DAY(A1147))&amp;"",""))</f>
        <v/>
      </c>
      <c r="G1147" s="123">
        <f>IF(OR(A1147="",C1147="",B1147="",E1147=""),"",IFERROR(A1147&amp;"|"&amp;(27+4*(IFERROR(MATCH(C1147,Roster!$B$6:$B$65,0),MATCH(C1147,Roster!$C$6:$C$65,0))-1)+MATCH(B1147,{"AM","PM","NIGHT","WD"},0)-1),""))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$266,'Feb'!$D$27:$AH$266,'Mar'!$D$27:$AH$266,'Apr'!$D$27:$AH$266,'May'!$D$27:$AH$266,'Jun'!$D$27:$AH$266,'Jul'!$D$27:$AH$266,'Aug'!$D$27:$AH$266,'Sep'!$D$27:$AH$266,'Oct'!$D$27:$AH$266,'Nov'!$D$27:$AH$266,'Dec'!$D$27:$AH$266,'Jan (next year)'!$D$27:$AH$266),27+4*(IFERROR(MATCH(C1148,Roster!$B$6:$B$65,0),MATCH(C1148,Roster!$C$6:$C$65,0))-1)+MATCH(B1148,{"AM","PM","NIGHT","WD"},0)-1-27+1,DAY(A1148))&amp;"",""))</f>
        <v/>
      </c>
      <c r="G1148" s="123">
        <f>IF(OR(A1148="",C1148="",B1148="",E1148=""),"",IFERROR(A1148&amp;"|"&amp;(27+4*(IFERROR(MATCH(C1148,Roster!$B$6:$B$65,0),MATCH(C1148,Roster!$C$6:$C$65,0))-1)+MATCH(B1148,{"AM","PM","NIGHT","WD"},0)-1),""))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$266,'Feb'!$D$27:$AH$266,'Mar'!$D$27:$AH$266,'Apr'!$D$27:$AH$266,'May'!$D$27:$AH$266,'Jun'!$D$27:$AH$266,'Jul'!$D$27:$AH$266,'Aug'!$D$27:$AH$266,'Sep'!$D$27:$AH$266,'Oct'!$D$27:$AH$266,'Nov'!$D$27:$AH$266,'Dec'!$D$27:$AH$266,'Jan (next year)'!$D$27:$AH$266),27+4*(IFERROR(MATCH(C1149,Roster!$B$6:$B$65,0),MATCH(C1149,Roster!$C$6:$C$65,0))-1)+MATCH(B1149,{"AM","PM","NIGHT","WD"},0)-1-27+1,DAY(A1149))&amp;"",""))</f>
        <v/>
      </c>
      <c r="G1149" s="123">
        <f>IF(OR(A1149="",C1149="",B1149="",E1149=""),"",IFERROR(A1149&amp;"|"&amp;(27+4*(IFERROR(MATCH(C1149,Roster!$B$6:$B$65,0),MATCH(C1149,Roster!$C$6:$C$65,0))-1)+MATCH(B1149,{"AM","PM","NIGHT","WD"},0)-1),""))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$266,'Feb'!$D$27:$AH$266,'Mar'!$D$27:$AH$266,'Apr'!$D$27:$AH$266,'May'!$D$27:$AH$266,'Jun'!$D$27:$AH$266,'Jul'!$D$27:$AH$266,'Aug'!$D$27:$AH$266,'Sep'!$D$27:$AH$266,'Oct'!$D$27:$AH$266,'Nov'!$D$27:$AH$266,'Dec'!$D$27:$AH$266,'Jan (next year)'!$D$27:$AH$266),27+4*(IFERROR(MATCH(C1150,Roster!$B$6:$B$65,0),MATCH(C1150,Roster!$C$6:$C$65,0))-1)+MATCH(B1150,{"AM","PM","NIGHT","WD"},0)-1-27+1,DAY(A1150))&amp;"",""))</f>
        <v/>
      </c>
      <c r="G1150" s="123">
        <f>IF(OR(A1150="",C1150="",B1150="",E1150=""),"",IFERROR(A1150&amp;"|"&amp;(27+4*(IFERROR(MATCH(C1150,Roster!$B$6:$B$65,0),MATCH(C1150,Roster!$C$6:$C$65,0))-1)+MATCH(B1150,{"AM","PM","NIGHT","WD"},0)-1),""))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$266,'Feb'!$D$27:$AH$266,'Mar'!$D$27:$AH$266,'Apr'!$D$27:$AH$266,'May'!$D$27:$AH$266,'Jun'!$D$27:$AH$266,'Jul'!$D$27:$AH$266,'Aug'!$D$27:$AH$266,'Sep'!$D$27:$AH$266,'Oct'!$D$27:$AH$266,'Nov'!$D$27:$AH$266,'Dec'!$D$27:$AH$266,'Jan (next year)'!$D$27:$AH$266),27+4*(IFERROR(MATCH(C1151,Roster!$B$6:$B$65,0),MATCH(C1151,Roster!$C$6:$C$65,0))-1)+MATCH(B1151,{"AM","PM","NIGHT","WD"},0)-1-27+1,DAY(A1151))&amp;"",""))</f>
        <v/>
      </c>
      <c r="G1151" s="123">
        <f>IF(OR(A1151="",C1151="",B1151="",E1151=""),"",IFERROR(A1151&amp;"|"&amp;(27+4*(IFERROR(MATCH(C1151,Roster!$B$6:$B$65,0),MATCH(C1151,Roster!$C$6:$C$65,0))-1)+MATCH(B1151,{"AM","PM","NIGHT","WD"},0)-1),""))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$266,'Feb'!$D$27:$AH$266,'Mar'!$D$27:$AH$266,'Apr'!$D$27:$AH$266,'May'!$D$27:$AH$266,'Jun'!$D$27:$AH$266,'Jul'!$D$27:$AH$266,'Aug'!$D$27:$AH$266,'Sep'!$D$27:$AH$266,'Oct'!$D$27:$AH$266,'Nov'!$D$27:$AH$266,'Dec'!$D$27:$AH$266,'Jan (next year)'!$D$27:$AH$266),27+4*(IFERROR(MATCH(C1152,Roster!$B$6:$B$65,0),MATCH(C1152,Roster!$C$6:$C$65,0))-1)+MATCH(B1152,{"AM","PM","NIGHT","WD"},0)-1-27+1,DAY(A1152))&amp;"",""))</f>
        <v/>
      </c>
      <c r="G1152" s="123">
        <f>IF(OR(A1152="",C1152="",B1152="",E1152=""),"",IFERROR(A1152&amp;"|"&amp;(27+4*(IFERROR(MATCH(C1152,Roster!$B$6:$B$65,0),MATCH(C1152,Roster!$C$6:$C$65,0))-1)+MATCH(B1152,{"AM","PM","NIGHT","WD"},0)-1),""))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$266,'Feb'!$D$27:$AH$266,'Mar'!$D$27:$AH$266,'Apr'!$D$27:$AH$266,'May'!$D$27:$AH$266,'Jun'!$D$27:$AH$266,'Jul'!$D$27:$AH$266,'Aug'!$D$27:$AH$266,'Sep'!$D$27:$AH$266,'Oct'!$D$27:$AH$266,'Nov'!$D$27:$AH$266,'Dec'!$D$27:$AH$266,'Jan (next year)'!$D$27:$AH$266),27+4*(IFERROR(MATCH(C1153,Roster!$B$6:$B$65,0),MATCH(C1153,Roster!$C$6:$C$65,0))-1)+MATCH(B1153,{"AM","PM","NIGHT","WD"},0)-1-27+1,DAY(A1153))&amp;"",""))</f>
        <v/>
      </c>
      <c r="G1153" s="123">
        <f>IF(OR(A1153="",C1153="",B1153="",E1153=""),"",IFERROR(A1153&amp;"|"&amp;(27+4*(IFERROR(MATCH(C1153,Roster!$B$6:$B$65,0),MATCH(C1153,Roster!$C$6:$C$65,0))-1)+MATCH(B1153,{"AM","PM","NIGHT","WD"},0)-1),""))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$266,'Feb'!$D$27:$AH$266,'Mar'!$D$27:$AH$266,'Apr'!$D$27:$AH$266,'May'!$D$27:$AH$266,'Jun'!$D$27:$AH$266,'Jul'!$D$27:$AH$266,'Aug'!$D$27:$AH$266,'Sep'!$D$27:$AH$266,'Oct'!$D$27:$AH$266,'Nov'!$D$27:$AH$266,'Dec'!$D$27:$AH$266,'Jan (next year)'!$D$27:$AH$266),27+4*(IFERROR(MATCH(C1154,Roster!$B$6:$B$65,0),MATCH(C1154,Roster!$C$6:$C$65,0))-1)+MATCH(B1154,{"AM","PM","NIGHT","WD"},0)-1-27+1,DAY(A1154))&amp;"",""))</f>
        <v/>
      </c>
      <c r="G1154" s="123">
        <f>IF(OR(A1154="",C1154="",B1154="",E1154=""),"",IFERROR(A1154&amp;"|"&amp;(27+4*(IFERROR(MATCH(C1154,Roster!$B$6:$B$65,0),MATCH(C1154,Roster!$C$6:$C$65,0))-1)+MATCH(B1154,{"AM","PM","NIGHT","WD"},0)-1),""))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$266,'Feb'!$D$27:$AH$266,'Mar'!$D$27:$AH$266,'Apr'!$D$27:$AH$266,'May'!$D$27:$AH$266,'Jun'!$D$27:$AH$266,'Jul'!$D$27:$AH$266,'Aug'!$D$27:$AH$266,'Sep'!$D$27:$AH$266,'Oct'!$D$27:$AH$266,'Nov'!$D$27:$AH$266,'Dec'!$D$27:$AH$266,'Jan (next year)'!$D$27:$AH$266),27+4*(IFERROR(MATCH(C1155,Roster!$B$6:$B$65,0),MATCH(C1155,Roster!$C$6:$C$65,0))-1)+MATCH(B1155,{"AM","PM","NIGHT","WD"},0)-1-27+1,DAY(A1155))&amp;"",""))</f>
        <v/>
      </c>
      <c r="G1155" s="123">
        <f>IF(OR(A1155="",C1155="",B1155="",E1155=""),"",IFERROR(A1155&amp;"|"&amp;(27+4*(IFERROR(MATCH(C1155,Roster!$B$6:$B$65,0),MATCH(C1155,Roster!$C$6:$C$65,0))-1)+MATCH(B1155,{"AM","PM","NIGHT","WD"},0)-1),""))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$266,'Feb'!$D$27:$AH$266,'Mar'!$D$27:$AH$266,'Apr'!$D$27:$AH$266,'May'!$D$27:$AH$266,'Jun'!$D$27:$AH$266,'Jul'!$D$27:$AH$266,'Aug'!$D$27:$AH$266,'Sep'!$D$27:$AH$266,'Oct'!$D$27:$AH$266,'Nov'!$D$27:$AH$266,'Dec'!$D$27:$AH$266,'Jan (next year)'!$D$27:$AH$266),27+4*(IFERROR(MATCH(C1156,Roster!$B$6:$B$65,0),MATCH(C1156,Roster!$C$6:$C$65,0))-1)+MATCH(B1156,{"AM","PM","NIGHT","WD"},0)-1-27+1,DAY(A1156))&amp;"",""))</f>
        <v/>
      </c>
      <c r="G1156" s="123">
        <f>IF(OR(A1156="",C1156="",B1156="",E1156=""),"",IFERROR(A1156&amp;"|"&amp;(27+4*(IFERROR(MATCH(C1156,Roster!$B$6:$B$65,0),MATCH(C1156,Roster!$C$6:$C$65,0))-1)+MATCH(B1156,{"AM","PM","NIGHT","WD"},0)-1),""))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$266,'Feb'!$D$27:$AH$266,'Mar'!$D$27:$AH$266,'Apr'!$D$27:$AH$266,'May'!$D$27:$AH$266,'Jun'!$D$27:$AH$266,'Jul'!$D$27:$AH$266,'Aug'!$D$27:$AH$266,'Sep'!$D$27:$AH$266,'Oct'!$D$27:$AH$266,'Nov'!$D$27:$AH$266,'Dec'!$D$27:$AH$266,'Jan (next year)'!$D$27:$AH$266),27+4*(IFERROR(MATCH(C1157,Roster!$B$6:$B$65,0),MATCH(C1157,Roster!$C$6:$C$65,0))-1)+MATCH(B1157,{"AM","PM","NIGHT","WD"},0)-1-27+1,DAY(A1157))&amp;"",""))</f>
        <v/>
      </c>
      <c r="G1157" s="123">
        <f>IF(OR(A1157="",C1157="",B1157="",E1157=""),"",IFERROR(A1157&amp;"|"&amp;(27+4*(IFERROR(MATCH(C1157,Roster!$B$6:$B$65,0),MATCH(C1157,Roster!$C$6:$C$65,0))-1)+MATCH(B1157,{"AM","PM","NIGHT","WD"},0)-1),""))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$266,'Feb'!$D$27:$AH$266,'Mar'!$D$27:$AH$266,'Apr'!$D$27:$AH$266,'May'!$D$27:$AH$266,'Jun'!$D$27:$AH$266,'Jul'!$D$27:$AH$266,'Aug'!$D$27:$AH$266,'Sep'!$D$27:$AH$266,'Oct'!$D$27:$AH$266,'Nov'!$D$27:$AH$266,'Dec'!$D$27:$AH$266,'Jan (next year)'!$D$27:$AH$266),27+4*(IFERROR(MATCH(C1158,Roster!$B$6:$B$65,0),MATCH(C1158,Roster!$C$6:$C$65,0))-1)+MATCH(B1158,{"AM","PM","NIGHT","WD"},0)-1-27+1,DAY(A1158))&amp;"",""))</f>
        <v/>
      </c>
      <c r="G1158" s="123">
        <f>IF(OR(A1158="",C1158="",B1158="",E1158=""),"",IFERROR(A1158&amp;"|"&amp;(27+4*(IFERROR(MATCH(C1158,Roster!$B$6:$B$65,0),MATCH(C1158,Roster!$C$6:$C$65,0))-1)+MATCH(B1158,{"AM","PM","NIGHT","WD"},0)-1),""))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$266,'Feb'!$D$27:$AH$266,'Mar'!$D$27:$AH$266,'Apr'!$D$27:$AH$266,'May'!$D$27:$AH$266,'Jun'!$D$27:$AH$266,'Jul'!$D$27:$AH$266,'Aug'!$D$27:$AH$266,'Sep'!$D$27:$AH$266,'Oct'!$D$27:$AH$266,'Nov'!$D$27:$AH$266,'Dec'!$D$27:$AH$266,'Jan (next year)'!$D$27:$AH$266),27+4*(IFERROR(MATCH(C1159,Roster!$B$6:$B$65,0),MATCH(C1159,Roster!$C$6:$C$65,0))-1)+MATCH(B1159,{"AM","PM","NIGHT","WD"},0)-1-27+1,DAY(A1159))&amp;"",""))</f>
        <v/>
      </c>
      <c r="G1159" s="123">
        <f>IF(OR(A1159="",C1159="",B1159="",E1159=""),"",IFERROR(A1159&amp;"|"&amp;(27+4*(IFERROR(MATCH(C1159,Roster!$B$6:$B$65,0),MATCH(C1159,Roster!$C$6:$C$65,0))-1)+MATCH(B1159,{"AM","PM","NIGHT","WD"},0)-1),""))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$266,'Feb'!$D$27:$AH$266,'Mar'!$D$27:$AH$266,'Apr'!$D$27:$AH$266,'May'!$D$27:$AH$266,'Jun'!$D$27:$AH$266,'Jul'!$D$27:$AH$266,'Aug'!$D$27:$AH$266,'Sep'!$D$27:$AH$266,'Oct'!$D$27:$AH$266,'Nov'!$D$27:$AH$266,'Dec'!$D$27:$AH$266,'Jan (next year)'!$D$27:$AH$266),27+4*(IFERROR(MATCH(C1160,Roster!$B$6:$B$65,0),MATCH(C1160,Roster!$C$6:$C$65,0))-1)+MATCH(B1160,{"AM","PM","NIGHT","WD"},0)-1-27+1,DAY(A1160))&amp;"",""))</f>
        <v/>
      </c>
      <c r="G1160" s="123">
        <f>IF(OR(A1160="",C1160="",B1160="",E1160=""),"",IFERROR(A1160&amp;"|"&amp;(27+4*(IFERROR(MATCH(C1160,Roster!$B$6:$B$65,0),MATCH(C1160,Roster!$C$6:$C$65,0))-1)+MATCH(B1160,{"AM","PM","NIGHT","WD"},0)-1),""))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$266,'Feb'!$D$27:$AH$266,'Mar'!$D$27:$AH$266,'Apr'!$D$27:$AH$266,'May'!$D$27:$AH$266,'Jun'!$D$27:$AH$266,'Jul'!$D$27:$AH$266,'Aug'!$D$27:$AH$266,'Sep'!$D$27:$AH$266,'Oct'!$D$27:$AH$266,'Nov'!$D$27:$AH$266,'Dec'!$D$27:$AH$266,'Jan (next year)'!$D$27:$AH$266),27+4*(IFERROR(MATCH(C1161,Roster!$B$6:$B$65,0),MATCH(C1161,Roster!$C$6:$C$65,0))-1)+MATCH(B1161,{"AM","PM","NIGHT","WD"},0)-1-27+1,DAY(A1161))&amp;"",""))</f>
        <v/>
      </c>
      <c r="G1161" s="123">
        <f>IF(OR(A1161="",C1161="",B1161="",E1161=""),"",IFERROR(A1161&amp;"|"&amp;(27+4*(IFERROR(MATCH(C1161,Roster!$B$6:$B$65,0),MATCH(C1161,Roster!$C$6:$C$65,0))-1)+MATCH(B1161,{"AM","PM","NIGHT","WD"},0)-1),""))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$266,'Feb'!$D$27:$AH$266,'Mar'!$D$27:$AH$266,'Apr'!$D$27:$AH$266,'May'!$D$27:$AH$266,'Jun'!$D$27:$AH$266,'Jul'!$D$27:$AH$266,'Aug'!$D$27:$AH$266,'Sep'!$D$27:$AH$266,'Oct'!$D$27:$AH$266,'Nov'!$D$27:$AH$266,'Dec'!$D$27:$AH$266,'Jan (next year)'!$D$27:$AH$266),27+4*(IFERROR(MATCH(C1162,Roster!$B$6:$B$65,0),MATCH(C1162,Roster!$C$6:$C$65,0))-1)+MATCH(B1162,{"AM","PM","NIGHT","WD"},0)-1-27+1,DAY(A1162))&amp;"",""))</f>
        <v/>
      </c>
      <c r="G1162" s="123">
        <f>IF(OR(A1162="",C1162="",B1162="",E1162=""),"",IFERROR(A1162&amp;"|"&amp;(27+4*(IFERROR(MATCH(C1162,Roster!$B$6:$B$65,0),MATCH(C1162,Roster!$C$6:$C$65,0))-1)+MATCH(B1162,{"AM","PM","NIGHT","WD"},0)-1),""))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$266,'Feb'!$D$27:$AH$266,'Mar'!$D$27:$AH$266,'Apr'!$D$27:$AH$266,'May'!$D$27:$AH$266,'Jun'!$D$27:$AH$266,'Jul'!$D$27:$AH$266,'Aug'!$D$27:$AH$266,'Sep'!$D$27:$AH$266,'Oct'!$D$27:$AH$266,'Nov'!$D$27:$AH$266,'Dec'!$D$27:$AH$266,'Jan (next year)'!$D$27:$AH$266),27+4*(IFERROR(MATCH(C1163,Roster!$B$6:$B$65,0),MATCH(C1163,Roster!$C$6:$C$65,0))-1)+MATCH(B1163,{"AM","PM","NIGHT","WD"},0)-1-27+1,DAY(A1163))&amp;"",""))</f>
        <v/>
      </c>
      <c r="G1163" s="123">
        <f>IF(OR(A1163="",C1163="",B1163="",E1163=""),"",IFERROR(A1163&amp;"|"&amp;(27+4*(IFERROR(MATCH(C1163,Roster!$B$6:$B$65,0),MATCH(C1163,Roster!$C$6:$C$65,0))-1)+MATCH(B1163,{"AM","PM","NIGHT","WD"},0)-1),""))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$266,'Feb'!$D$27:$AH$266,'Mar'!$D$27:$AH$266,'Apr'!$D$27:$AH$266,'May'!$D$27:$AH$266,'Jun'!$D$27:$AH$266,'Jul'!$D$27:$AH$266,'Aug'!$D$27:$AH$266,'Sep'!$D$27:$AH$266,'Oct'!$D$27:$AH$266,'Nov'!$D$27:$AH$266,'Dec'!$D$27:$AH$266,'Jan (next year)'!$D$27:$AH$266),27+4*(IFERROR(MATCH(C1164,Roster!$B$6:$B$65,0),MATCH(C1164,Roster!$C$6:$C$65,0))-1)+MATCH(B1164,{"AM","PM","NIGHT","WD"},0)-1-27+1,DAY(A1164))&amp;"",""))</f>
        <v/>
      </c>
      <c r="G1164" s="123">
        <f>IF(OR(A1164="",C1164="",B1164="",E1164=""),"",IFERROR(A1164&amp;"|"&amp;(27+4*(IFERROR(MATCH(C1164,Roster!$B$6:$B$65,0),MATCH(C1164,Roster!$C$6:$C$65,0))-1)+MATCH(B1164,{"AM","PM","NIGHT","WD"},0)-1),""))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$266,'Feb'!$D$27:$AH$266,'Mar'!$D$27:$AH$266,'Apr'!$D$27:$AH$266,'May'!$D$27:$AH$266,'Jun'!$D$27:$AH$266,'Jul'!$D$27:$AH$266,'Aug'!$D$27:$AH$266,'Sep'!$D$27:$AH$266,'Oct'!$D$27:$AH$266,'Nov'!$D$27:$AH$266,'Dec'!$D$27:$AH$266,'Jan (next year)'!$D$27:$AH$266),27+4*(IFERROR(MATCH(C1165,Roster!$B$6:$B$65,0),MATCH(C1165,Roster!$C$6:$C$65,0))-1)+MATCH(B1165,{"AM","PM","NIGHT","WD"},0)-1-27+1,DAY(A1165))&amp;"",""))</f>
        <v/>
      </c>
      <c r="G1165" s="123">
        <f>IF(OR(A1165="",C1165="",B1165="",E1165=""),"",IFERROR(A1165&amp;"|"&amp;(27+4*(IFERROR(MATCH(C1165,Roster!$B$6:$B$65,0),MATCH(C1165,Roster!$C$6:$C$65,0))-1)+MATCH(B1165,{"AM","PM","NIGHT","WD"},0)-1),""))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$266,'Feb'!$D$27:$AH$266,'Mar'!$D$27:$AH$266,'Apr'!$D$27:$AH$266,'May'!$D$27:$AH$266,'Jun'!$D$27:$AH$266,'Jul'!$D$27:$AH$266,'Aug'!$D$27:$AH$266,'Sep'!$D$27:$AH$266,'Oct'!$D$27:$AH$266,'Nov'!$D$27:$AH$266,'Dec'!$D$27:$AH$266,'Jan (next year)'!$D$27:$AH$266),27+4*(IFERROR(MATCH(C1166,Roster!$B$6:$B$65,0),MATCH(C1166,Roster!$C$6:$C$65,0))-1)+MATCH(B1166,{"AM","PM","NIGHT","WD"},0)-1-27+1,DAY(A1166))&amp;"",""))</f>
        <v/>
      </c>
      <c r="G1166" s="123">
        <f>IF(OR(A1166="",C1166="",B1166="",E1166=""),"",IFERROR(A1166&amp;"|"&amp;(27+4*(IFERROR(MATCH(C1166,Roster!$B$6:$B$65,0),MATCH(C1166,Roster!$C$6:$C$65,0))-1)+MATCH(B1166,{"AM","PM","NIGHT","WD"},0)-1),""))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$266,'Feb'!$D$27:$AH$266,'Mar'!$D$27:$AH$266,'Apr'!$D$27:$AH$266,'May'!$D$27:$AH$266,'Jun'!$D$27:$AH$266,'Jul'!$D$27:$AH$266,'Aug'!$D$27:$AH$266,'Sep'!$D$27:$AH$266,'Oct'!$D$27:$AH$266,'Nov'!$D$27:$AH$266,'Dec'!$D$27:$AH$266,'Jan (next year)'!$D$27:$AH$266),27+4*(IFERROR(MATCH(C1167,Roster!$B$6:$B$65,0),MATCH(C1167,Roster!$C$6:$C$65,0))-1)+MATCH(B1167,{"AM","PM","NIGHT","WD"},0)-1-27+1,DAY(A1167))&amp;"",""))</f>
        <v/>
      </c>
      <c r="G1167" s="123">
        <f>IF(OR(A1167="",C1167="",B1167="",E1167=""),"",IFERROR(A1167&amp;"|"&amp;(27+4*(IFERROR(MATCH(C1167,Roster!$B$6:$B$65,0),MATCH(C1167,Roster!$C$6:$C$65,0))-1)+MATCH(B1167,{"AM","PM","NIGHT","WD"},0)-1),""))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$266,'Feb'!$D$27:$AH$266,'Mar'!$D$27:$AH$266,'Apr'!$D$27:$AH$266,'May'!$D$27:$AH$266,'Jun'!$D$27:$AH$266,'Jul'!$D$27:$AH$266,'Aug'!$D$27:$AH$266,'Sep'!$D$27:$AH$266,'Oct'!$D$27:$AH$266,'Nov'!$D$27:$AH$266,'Dec'!$D$27:$AH$266,'Jan (next year)'!$D$27:$AH$266),27+4*(IFERROR(MATCH(C1168,Roster!$B$6:$B$65,0),MATCH(C1168,Roster!$C$6:$C$65,0))-1)+MATCH(B1168,{"AM","PM","NIGHT","WD"},0)-1-27+1,DAY(A1168))&amp;"",""))</f>
        <v/>
      </c>
      <c r="G1168" s="123">
        <f>IF(OR(A1168="",C1168="",B1168="",E1168=""),"",IFERROR(A1168&amp;"|"&amp;(27+4*(IFERROR(MATCH(C1168,Roster!$B$6:$B$65,0),MATCH(C1168,Roster!$C$6:$C$65,0))-1)+MATCH(B1168,{"AM","PM","NIGHT","WD"},0)-1),""))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$266,'Feb'!$D$27:$AH$266,'Mar'!$D$27:$AH$266,'Apr'!$D$27:$AH$266,'May'!$D$27:$AH$266,'Jun'!$D$27:$AH$266,'Jul'!$D$27:$AH$266,'Aug'!$D$27:$AH$266,'Sep'!$D$27:$AH$266,'Oct'!$D$27:$AH$266,'Nov'!$D$27:$AH$266,'Dec'!$D$27:$AH$266,'Jan (next year)'!$D$27:$AH$266),27+4*(IFERROR(MATCH(C1169,Roster!$B$6:$B$65,0),MATCH(C1169,Roster!$C$6:$C$65,0))-1)+MATCH(B1169,{"AM","PM","NIGHT","WD"},0)-1-27+1,DAY(A1169))&amp;"",""))</f>
        <v/>
      </c>
      <c r="G1169" s="123">
        <f>IF(OR(A1169="",C1169="",B1169="",E1169=""),"",IFERROR(A1169&amp;"|"&amp;(27+4*(IFERROR(MATCH(C1169,Roster!$B$6:$B$65,0),MATCH(C1169,Roster!$C$6:$C$65,0))-1)+MATCH(B1169,{"AM","PM","NIGHT","WD"},0)-1),""))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$266,'Feb'!$D$27:$AH$266,'Mar'!$D$27:$AH$266,'Apr'!$D$27:$AH$266,'May'!$D$27:$AH$266,'Jun'!$D$27:$AH$266,'Jul'!$D$27:$AH$266,'Aug'!$D$27:$AH$266,'Sep'!$D$27:$AH$266,'Oct'!$D$27:$AH$266,'Nov'!$D$27:$AH$266,'Dec'!$D$27:$AH$266,'Jan (next year)'!$D$27:$AH$266),27+4*(IFERROR(MATCH(C1170,Roster!$B$6:$B$65,0),MATCH(C1170,Roster!$C$6:$C$65,0))-1)+MATCH(B1170,{"AM","PM","NIGHT","WD"},0)-1-27+1,DAY(A1170))&amp;"",""))</f>
        <v/>
      </c>
      <c r="G1170" s="123">
        <f>IF(OR(A1170="",C1170="",B1170="",E1170=""),"",IFERROR(A1170&amp;"|"&amp;(27+4*(IFERROR(MATCH(C1170,Roster!$B$6:$B$65,0),MATCH(C1170,Roster!$C$6:$C$65,0))-1)+MATCH(B1170,{"AM","PM","NIGHT","WD"},0)-1),""))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$266,'Feb'!$D$27:$AH$266,'Mar'!$D$27:$AH$266,'Apr'!$D$27:$AH$266,'May'!$D$27:$AH$266,'Jun'!$D$27:$AH$266,'Jul'!$D$27:$AH$266,'Aug'!$D$27:$AH$266,'Sep'!$D$27:$AH$266,'Oct'!$D$27:$AH$266,'Nov'!$D$27:$AH$266,'Dec'!$D$27:$AH$266,'Jan (next year)'!$D$27:$AH$266),27+4*(IFERROR(MATCH(C1171,Roster!$B$6:$B$65,0),MATCH(C1171,Roster!$C$6:$C$65,0))-1)+MATCH(B1171,{"AM","PM","NIGHT","WD"},0)-1-27+1,DAY(A1171))&amp;"",""))</f>
        <v/>
      </c>
      <c r="G1171" s="123">
        <f>IF(OR(A1171="",C1171="",B1171="",E1171=""),"",IFERROR(A1171&amp;"|"&amp;(27+4*(IFERROR(MATCH(C1171,Roster!$B$6:$B$65,0),MATCH(C1171,Roster!$C$6:$C$65,0))-1)+MATCH(B1171,{"AM","PM","NIGHT","WD"},0)-1),""))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$266,'Feb'!$D$27:$AH$266,'Mar'!$D$27:$AH$266,'Apr'!$D$27:$AH$266,'May'!$D$27:$AH$266,'Jun'!$D$27:$AH$266,'Jul'!$D$27:$AH$266,'Aug'!$D$27:$AH$266,'Sep'!$D$27:$AH$266,'Oct'!$D$27:$AH$266,'Nov'!$D$27:$AH$266,'Dec'!$D$27:$AH$266,'Jan (next year)'!$D$27:$AH$266),27+4*(IFERROR(MATCH(C1172,Roster!$B$6:$B$65,0),MATCH(C1172,Roster!$C$6:$C$65,0))-1)+MATCH(B1172,{"AM","PM","NIGHT","WD"},0)-1-27+1,DAY(A1172))&amp;"",""))</f>
        <v/>
      </c>
      <c r="G1172" s="123">
        <f>IF(OR(A1172="",C1172="",B1172="",E1172=""),"",IFERROR(A1172&amp;"|"&amp;(27+4*(IFERROR(MATCH(C1172,Roster!$B$6:$B$65,0),MATCH(C1172,Roster!$C$6:$C$65,0))-1)+MATCH(B1172,{"AM","PM","NIGHT","WD"},0)-1),""))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$266,'Feb'!$D$27:$AH$266,'Mar'!$D$27:$AH$266,'Apr'!$D$27:$AH$266,'May'!$D$27:$AH$266,'Jun'!$D$27:$AH$266,'Jul'!$D$27:$AH$266,'Aug'!$D$27:$AH$266,'Sep'!$D$27:$AH$266,'Oct'!$D$27:$AH$266,'Nov'!$D$27:$AH$266,'Dec'!$D$27:$AH$266,'Jan (next year)'!$D$27:$AH$266),27+4*(IFERROR(MATCH(C1173,Roster!$B$6:$B$65,0),MATCH(C1173,Roster!$C$6:$C$65,0))-1)+MATCH(B1173,{"AM","PM","NIGHT","WD"},0)-1-27+1,DAY(A1173))&amp;"",""))</f>
        <v/>
      </c>
      <c r="G1173" s="123">
        <f>IF(OR(A1173="",C1173="",B1173="",E1173=""),"",IFERROR(A1173&amp;"|"&amp;(27+4*(IFERROR(MATCH(C1173,Roster!$B$6:$B$65,0),MATCH(C1173,Roster!$C$6:$C$65,0))-1)+MATCH(B1173,{"AM","PM","NIGHT","WD"},0)-1),""))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$266,'Feb'!$D$27:$AH$266,'Mar'!$D$27:$AH$266,'Apr'!$D$27:$AH$266,'May'!$D$27:$AH$266,'Jun'!$D$27:$AH$266,'Jul'!$D$27:$AH$266,'Aug'!$D$27:$AH$266,'Sep'!$D$27:$AH$266,'Oct'!$D$27:$AH$266,'Nov'!$D$27:$AH$266,'Dec'!$D$27:$AH$266,'Jan (next year)'!$D$27:$AH$266),27+4*(IFERROR(MATCH(C1174,Roster!$B$6:$B$65,0),MATCH(C1174,Roster!$C$6:$C$65,0))-1)+MATCH(B1174,{"AM","PM","NIGHT","WD"},0)-1-27+1,DAY(A1174))&amp;"",""))</f>
        <v/>
      </c>
      <c r="G1174" s="123">
        <f>IF(OR(A1174="",C1174="",B1174="",E1174=""),"",IFERROR(A1174&amp;"|"&amp;(27+4*(IFERROR(MATCH(C1174,Roster!$B$6:$B$65,0),MATCH(C1174,Roster!$C$6:$C$65,0))-1)+MATCH(B1174,{"AM","PM","NIGHT","WD"},0)-1),""))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$266,'Feb'!$D$27:$AH$266,'Mar'!$D$27:$AH$266,'Apr'!$D$27:$AH$266,'May'!$D$27:$AH$266,'Jun'!$D$27:$AH$266,'Jul'!$D$27:$AH$266,'Aug'!$D$27:$AH$266,'Sep'!$D$27:$AH$266,'Oct'!$D$27:$AH$266,'Nov'!$D$27:$AH$266,'Dec'!$D$27:$AH$266,'Jan (next year)'!$D$27:$AH$266),27+4*(IFERROR(MATCH(C1175,Roster!$B$6:$B$65,0),MATCH(C1175,Roster!$C$6:$C$65,0))-1)+MATCH(B1175,{"AM","PM","NIGHT","WD"},0)-1-27+1,DAY(A1175))&amp;"",""))</f>
        <v/>
      </c>
      <c r="G1175" s="123">
        <f>IF(OR(A1175="",C1175="",B1175="",E1175=""),"",IFERROR(A1175&amp;"|"&amp;(27+4*(IFERROR(MATCH(C1175,Roster!$B$6:$B$65,0),MATCH(C1175,Roster!$C$6:$C$65,0))-1)+MATCH(B1175,{"AM","PM","NIGHT","WD"},0)-1),""))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$266,'Feb'!$D$27:$AH$266,'Mar'!$D$27:$AH$266,'Apr'!$D$27:$AH$266,'May'!$D$27:$AH$266,'Jun'!$D$27:$AH$266,'Jul'!$D$27:$AH$266,'Aug'!$D$27:$AH$266,'Sep'!$D$27:$AH$266,'Oct'!$D$27:$AH$266,'Nov'!$D$27:$AH$266,'Dec'!$D$27:$AH$266,'Jan (next year)'!$D$27:$AH$266),27+4*(IFERROR(MATCH(C1176,Roster!$B$6:$B$65,0),MATCH(C1176,Roster!$C$6:$C$65,0))-1)+MATCH(B1176,{"AM","PM","NIGHT","WD"},0)-1-27+1,DAY(A1176))&amp;"",""))</f>
        <v/>
      </c>
      <c r="G1176" s="123">
        <f>IF(OR(A1176="",C1176="",B1176="",E1176=""),"",IFERROR(A1176&amp;"|"&amp;(27+4*(IFERROR(MATCH(C1176,Roster!$B$6:$B$65,0),MATCH(C1176,Roster!$C$6:$C$65,0))-1)+MATCH(B1176,{"AM","PM","NIGHT","WD"},0)-1),""))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$266,'Feb'!$D$27:$AH$266,'Mar'!$D$27:$AH$266,'Apr'!$D$27:$AH$266,'May'!$D$27:$AH$266,'Jun'!$D$27:$AH$266,'Jul'!$D$27:$AH$266,'Aug'!$D$27:$AH$266,'Sep'!$D$27:$AH$266,'Oct'!$D$27:$AH$266,'Nov'!$D$27:$AH$266,'Dec'!$D$27:$AH$266,'Jan (next year)'!$D$27:$AH$266),27+4*(IFERROR(MATCH(C1177,Roster!$B$6:$B$65,0),MATCH(C1177,Roster!$C$6:$C$65,0))-1)+MATCH(B1177,{"AM","PM","NIGHT","WD"},0)-1-27+1,DAY(A1177))&amp;"",""))</f>
        <v/>
      </c>
      <c r="G1177" s="123">
        <f>IF(OR(A1177="",C1177="",B1177="",E1177=""),"",IFERROR(A1177&amp;"|"&amp;(27+4*(IFERROR(MATCH(C1177,Roster!$B$6:$B$65,0),MATCH(C1177,Roster!$C$6:$C$65,0))-1)+MATCH(B1177,{"AM","PM","NIGHT","WD"},0)-1),""))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$266,'Feb'!$D$27:$AH$266,'Mar'!$D$27:$AH$266,'Apr'!$D$27:$AH$266,'May'!$D$27:$AH$266,'Jun'!$D$27:$AH$266,'Jul'!$D$27:$AH$266,'Aug'!$D$27:$AH$266,'Sep'!$D$27:$AH$266,'Oct'!$D$27:$AH$266,'Nov'!$D$27:$AH$266,'Dec'!$D$27:$AH$266,'Jan (next year)'!$D$27:$AH$266),27+4*(IFERROR(MATCH(C1178,Roster!$B$6:$B$65,0),MATCH(C1178,Roster!$C$6:$C$65,0))-1)+MATCH(B1178,{"AM","PM","NIGHT","WD"},0)-1-27+1,DAY(A1178))&amp;"",""))</f>
        <v/>
      </c>
      <c r="G1178" s="123">
        <f>IF(OR(A1178="",C1178="",B1178="",E1178=""),"",IFERROR(A1178&amp;"|"&amp;(27+4*(IFERROR(MATCH(C1178,Roster!$B$6:$B$65,0),MATCH(C1178,Roster!$C$6:$C$65,0))-1)+MATCH(B1178,{"AM","PM","NIGHT","WD"},0)-1),""))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$266,'Feb'!$D$27:$AH$266,'Mar'!$D$27:$AH$266,'Apr'!$D$27:$AH$266,'May'!$D$27:$AH$266,'Jun'!$D$27:$AH$266,'Jul'!$D$27:$AH$266,'Aug'!$D$27:$AH$266,'Sep'!$D$27:$AH$266,'Oct'!$D$27:$AH$266,'Nov'!$D$27:$AH$266,'Dec'!$D$27:$AH$266,'Jan (next year)'!$D$27:$AH$266),27+4*(IFERROR(MATCH(C1179,Roster!$B$6:$B$65,0),MATCH(C1179,Roster!$C$6:$C$65,0))-1)+MATCH(B1179,{"AM","PM","NIGHT","WD"},0)-1-27+1,DAY(A1179))&amp;"",""))</f>
        <v/>
      </c>
      <c r="G1179" s="123">
        <f>IF(OR(A1179="",C1179="",B1179="",E1179=""),"",IFERROR(A1179&amp;"|"&amp;(27+4*(IFERROR(MATCH(C1179,Roster!$B$6:$B$65,0),MATCH(C1179,Roster!$C$6:$C$65,0))-1)+MATCH(B1179,{"AM","PM","NIGHT","WD"},0)-1),""))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$266,'Feb'!$D$27:$AH$266,'Mar'!$D$27:$AH$266,'Apr'!$D$27:$AH$266,'May'!$D$27:$AH$266,'Jun'!$D$27:$AH$266,'Jul'!$D$27:$AH$266,'Aug'!$D$27:$AH$266,'Sep'!$D$27:$AH$266,'Oct'!$D$27:$AH$266,'Nov'!$D$27:$AH$266,'Dec'!$D$27:$AH$266,'Jan (next year)'!$D$27:$AH$266),27+4*(IFERROR(MATCH(C1180,Roster!$B$6:$B$65,0),MATCH(C1180,Roster!$C$6:$C$65,0))-1)+MATCH(B1180,{"AM","PM","NIGHT","WD"},0)-1-27+1,DAY(A1180))&amp;"",""))</f>
        <v/>
      </c>
      <c r="G1180" s="123">
        <f>IF(OR(A1180="",C1180="",B1180="",E1180=""),"",IFERROR(A1180&amp;"|"&amp;(27+4*(IFERROR(MATCH(C1180,Roster!$B$6:$B$65,0),MATCH(C1180,Roster!$C$6:$C$65,0))-1)+MATCH(B1180,{"AM","PM","NIGHT","WD"},0)-1),""))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$266,'Feb'!$D$27:$AH$266,'Mar'!$D$27:$AH$266,'Apr'!$D$27:$AH$266,'May'!$D$27:$AH$266,'Jun'!$D$27:$AH$266,'Jul'!$D$27:$AH$266,'Aug'!$D$27:$AH$266,'Sep'!$D$27:$AH$266,'Oct'!$D$27:$AH$266,'Nov'!$D$27:$AH$266,'Dec'!$D$27:$AH$266,'Jan (next year)'!$D$27:$AH$266),27+4*(IFERROR(MATCH(C1181,Roster!$B$6:$B$65,0),MATCH(C1181,Roster!$C$6:$C$65,0))-1)+MATCH(B1181,{"AM","PM","NIGHT","WD"},0)-1-27+1,DAY(A1181))&amp;"",""))</f>
        <v/>
      </c>
      <c r="G1181" s="123">
        <f>IF(OR(A1181="",C1181="",B1181="",E1181=""),"",IFERROR(A1181&amp;"|"&amp;(27+4*(IFERROR(MATCH(C1181,Roster!$B$6:$B$65,0),MATCH(C1181,Roster!$C$6:$C$65,0))-1)+MATCH(B1181,{"AM","PM","NIGHT","WD"},0)-1),""))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$266,'Feb'!$D$27:$AH$266,'Mar'!$D$27:$AH$266,'Apr'!$D$27:$AH$266,'May'!$D$27:$AH$266,'Jun'!$D$27:$AH$266,'Jul'!$D$27:$AH$266,'Aug'!$D$27:$AH$266,'Sep'!$D$27:$AH$266,'Oct'!$D$27:$AH$266,'Nov'!$D$27:$AH$266,'Dec'!$D$27:$AH$266,'Jan (next year)'!$D$27:$AH$266),27+4*(IFERROR(MATCH(C1182,Roster!$B$6:$B$65,0),MATCH(C1182,Roster!$C$6:$C$65,0))-1)+MATCH(B1182,{"AM","PM","NIGHT","WD"},0)-1-27+1,DAY(A1182))&amp;"",""))</f>
        <v/>
      </c>
      <c r="G1182" s="123">
        <f>IF(OR(A1182="",C1182="",B1182="",E1182=""),"",IFERROR(A1182&amp;"|"&amp;(27+4*(IFERROR(MATCH(C1182,Roster!$B$6:$B$65,0),MATCH(C1182,Roster!$C$6:$C$65,0))-1)+MATCH(B1182,{"AM","PM","NIGHT","WD"},0)-1),""))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$266,'Feb'!$D$27:$AH$266,'Mar'!$D$27:$AH$266,'Apr'!$D$27:$AH$266,'May'!$D$27:$AH$266,'Jun'!$D$27:$AH$266,'Jul'!$D$27:$AH$266,'Aug'!$D$27:$AH$266,'Sep'!$D$27:$AH$266,'Oct'!$D$27:$AH$266,'Nov'!$D$27:$AH$266,'Dec'!$D$27:$AH$266,'Jan (next year)'!$D$27:$AH$266),27+4*(IFERROR(MATCH(C1183,Roster!$B$6:$B$65,0),MATCH(C1183,Roster!$C$6:$C$65,0))-1)+MATCH(B1183,{"AM","PM","NIGHT","WD"},0)-1-27+1,DAY(A1183))&amp;"",""))</f>
        <v/>
      </c>
      <c r="G1183" s="123">
        <f>IF(OR(A1183="",C1183="",B1183="",E1183=""),"",IFERROR(A1183&amp;"|"&amp;(27+4*(IFERROR(MATCH(C1183,Roster!$B$6:$B$65,0),MATCH(C1183,Roster!$C$6:$C$65,0))-1)+MATCH(B1183,{"AM","PM","NIGHT","WD"},0)-1),""))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$266,'Feb'!$D$27:$AH$266,'Mar'!$D$27:$AH$266,'Apr'!$D$27:$AH$266,'May'!$D$27:$AH$266,'Jun'!$D$27:$AH$266,'Jul'!$D$27:$AH$266,'Aug'!$D$27:$AH$266,'Sep'!$D$27:$AH$266,'Oct'!$D$27:$AH$266,'Nov'!$D$27:$AH$266,'Dec'!$D$27:$AH$266,'Jan (next year)'!$D$27:$AH$266),27+4*(IFERROR(MATCH(C1184,Roster!$B$6:$B$65,0),MATCH(C1184,Roster!$C$6:$C$65,0))-1)+MATCH(B1184,{"AM","PM","NIGHT","WD"},0)-1-27+1,DAY(A1184))&amp;"",""))</f>
        <v/>
      </c>
      <c r="G1184" s="123">
        <f>IF(OR(A1184="",C1184="",B1184="",E1184=""),"",IFERROR(A1184&amp;"|"&amp;(27+4*(IFERROR(MATCH(C1184,Roster!$B$6:$B$65,0),MATCH(C1184,Roster!$C$6:$C$65,0))-1)+MATCH(B1184,{"AM","PM","NIGHT","WD"},0)-1),""))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$266,'Feb'!$D$27:$AH$266,'Mar'!$D$27:$AH$266,'Apr'!$D$27:$AH$266,'May'!$D$27:$AH$266,'Jun'!$D$27:$AH$266,'Jul'!$D$27:$AH$266,'Aug'!$D$27:$AH$266,'Sep'!$D$27:$AH$266,'Oct'!$D$27:$AH$266,'Nov'!$D$27:$AH$266,'Dec'!$D$27:$AH$266,'Jan (next year)'!$D$27:$AH$266),27+4*(IFERROR(MATCH(C1185,Roster!$B$6:$B$65,0),MATCH(C1185,Roster!$C$6:$C$65,0))-1)+MATCH(B1185,{"AM","PM","NIGHT","WD"},0)-1-27+1,DAY(A1185))&amp;"",""))</f>
        <v/>
      </c>
      <c r="G1185" s="123">
        <f>IF(OR(A1185="",C1185="",B1185="",E1185=""),"",IFERROR(A1185&amp;"|"&amp;(27+4*(IFERROR(MATCH(C1185,Roster!$B$6:$B$65,0),MATCH(C1185,Roster!$C$6:$C$65,0))-1)+MATCH(B1185,{"AM","PM","NIGHT","WD"},0)-1),""))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$266,'Feb'!$D$27:$AH$266,'Mar'!$D$27:$AH$266,'Apr'!$D$27:$AH$266,'May'!$D$27:$AH$266,'Jun'!$D$27:$AH$266,'Jul'!$D$27:$AH$266,'Aug'!$D$27:$AH$266,'Sep'!$D$27:$AH$266,'Oct'!$D$27:$AH$266,'Nov'!$D$27:$AH$266,'Dec'!$D$27:$AH$266,'Jan (next year)'!$D$27:$AH$266),27+4*(IFERROR(MATCH(C1186,Roster!$B$6:$B$65,0),MATCH(C1186,Roster!$C$6:$C$65,0))-1)+MATCH(B1186,{"AM","PM","NIGHT","WD"},0)-1-27+1,DAY(A1186))&amp;"",""))</f>
        <v/>
      </c>
      <c r="G1186" s="123">
        <f>IF(OR(A1186="",C1186="",B1186="",E1186=""),"",IFERROR(A1186&amp;"|"&amp;(27+4*(IFERROR(MATCH(C1186,Roster!$B$6:$B$65,0),MATCH(C1186,Roster!$C$6:$C$65,0))-1)+MATCH(B1186,{"AM","PM","NIGHT","WD"},0)-1),""))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$266,'Feb'!$D$27:$AH$266,'Mar'!$D$27:$AH$266,'Apr'!$D$27:$AH$266,'May'!$D$27:$AH$266,'Jun'!$D$27:$AH$266,'Jul'!$D$27:$AH$266,'Aug'!$D$27:$AH$266,'Sep'!$D$27:$AH$266,'Oct'!$D$27:$AH$266,'Nov'!$D$27:$AH$266,'Dec'!$D$27:$AH$266,'Jan (next year)'!$D$27:$AH$266),27+4*(IFERROR(MATCH(C1187,Roster!$B$6:$B$65,0),MATCH(C1187,Roster!$C$6:$C$65,0))-1)+MATCH(B1187,{"AM","PM","NIGHT","WD"},0)-1-27+1,DAY(A1187))&amp;"",""))</f>
        <v/>
      </c>
      <c r="G1187" s="123">
        <f>IF(OR(A1187="",C1187="",B1187="",E1187=""),"",IFERROR(A1187&amp;"|"&amp;(27+4*(IFERROR(MATCH(C1187,Roster!$B$6:$B$65,0),MATCH(C1187,Roster!$C$6:$C$65,0))-1)+MATCH(B1187,{"AM","PM","NIGHT","WD"},0)-1),""))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$266,'Feb'!$D$27:$AH$266,'Mar'!$D$27:$AH$266,'Apr'!$D$27:$AH$266,'May'!$D$27:$AH$266,'Jun'!$D$27:$AH$266,'Jul'!$D$27:$AH$266,'Aug'!$D$27:$AH$266,'Sep'!$D$27:$AH$266,'Oct'!$D$27:$AH$266,'Nov'!$D$27:$AH$266,'Dec'!$D$27:$AH$266,'Jan (next year)'!$D$27:$AH$266),27+4*(IFERROR(MATCH(C1188,Roster!$B$6:$B$65,0),MATCH(C1188,Roster!$C$6:$C$65,0))-1)+MATCH(B1188,{"AM","PM","NIGHT","WD"},0)-1-27+1,DAY(A1188))&amp;"",""))</f>
        <v/>
      </c>
      <c r="G1188" s="123">
        <f>IF(OR(A1188="",C1188="",B1188="",E1188=""),"",IFERROR(A1188&amp;"|"&amp;(27+4*(IFERROR(MATCH(C1188,Roster!$B$6:$B$65,0),MATCH(C1188,Roster!$C$6:$C$65,0))-1)+MATCH(B1188,{"AM","PM","NIGHT","WD"},0)-1),""))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$266,'Feb'!$D$27:$AH$266,'Mar'!$D$27:$AH$266,'Apr'!$D$27:$AH$266,'May'!$D$27:$AH$266,'Jun'!$D$27:$AH$266,'Jul'!$D$27:$AH$266,'Aug'!$D$27:$AH$266,'Sep'!$D$27:$AH$266,'Oct'!$D$27:$AH$266,'Nov'!$D$27:$AH$266,'Dec'!$D$27:$AH$266,'Jan (next year)'!$D$27:$AH$266),27+4*(IFERROR(MATCH(C1189,Roster!$B$6:$B$65,0),MATCH(C1189,Roster!$C$6:$C$65,0))-1)+MATCH(B1189,{"AM","PM","NIGHT","WD"},0)-1-27+1,DAY(A1189))&amp;"",""))</f>
        <v/>
      </c>
      <c r="G1189" s="123">
        <f>IF(OR(A1189="",C1189="",B1189="",E1189=""),"",IFERROR(A1189&amp;"|"&amp;(27+4*(IFERROR(MATCH(C1189,Roster!$B$6:$B$65,0),MATCH(C1189,Roster!$C$6:$C$65,0))-1)+MATCH(B1189,{"AM","PM","NIGHT","WD"},0)-1),""))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$266,'Feb'!$D$27:$AH$266,'Mar'!$D$27:$AH$266,'Apr'!$D$27:$AH$266,'May'!$D$27:$AH$266,'Jun'!$D$27:$AH$266,'Jul'!$D$27:$AH$266,'Aug'!$D$27:$AH$266,'Sep'!$D$27:$AH$266,'Oct'!$D$27:$AH$266,'Nov'!$D$27:$AH$266,'Dec'!$D$27:$AH$266,'Jan (next year)'!$D$27:$AH$266),27+4*(IFERROR(MATCH(C1190,Roster!$B$6:$B$65,0),MATCH(C1190,Roster!$C$6:$C$65,0))-1)+MATCH(B1190,{"AM","PM","NIGHT","WD"},0)-1-27+1,DAY(A1190))&amp;"",""))</f>
        <v/>
      </c>
      <c r="G1190" s="123">
        <f>IF(OR(A1190="",C1190="",B1190="",E1190=""),"",IFERROR(A1190&amp;"|"&amp;(27+4*(IFERROR(MATCH(C1190,Roster!$B$6:$B$65,0),MATCH(C1190,Roster!$C$6:$C$65,0))-1)+MATCH(B1190,{"AM","PM","NIGHT","WD"},0)-1),""))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$266,'Feb'!$D$27:$AH$266,'Mar'!$D$27:$AH$266,'Apr'!$D$27:$AH$266,'May'!$D$27:$AH$266,'Jun'!$D$27:$AH$266,'Jul'!$D$27:$AH$266,'Aug'!$D$27:$AH$266,'Sep'!$D$27:$AH$266,'Oct'!$D$27:$AH$266,'Nov'!$D$27:$AH$266,'Dec'!$D$27:$AH$266,'Jan (next year)'!$D$27:$AH$266),27+4*(IFERROR(MATCH(C1191,Roster!$B$6:$B$65,0),MATCH(C1191,Roster!$C$6:$C$65,0))-1)+MATCH(B1191,{"AM","PM","NIGHT","WD"},0)-1-27+1,DAY(A1191))&amp;"",""))</f>
        <v/>
      </c>
      <c r="G1191" s="123">
        <f>IF(OR(A1191="",C1191="",B1191="",E1191=""),"",IFERROR(A1191&amp;"|"&amp;(27+4*(IFERROR(MATCH(C1191,Roster!$B$6:$B$65,0),MATCH(C1191,Roster!$C$6:$C$65,0))-1)+MATCH(B1191,{"AM","PM","NIGHT","WD"},0)-1),""))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$266,'Feb'!$D$27:$AH$266,'Mar'!$D$27:$AH$266,'Apr'!$D$27:$AH$266,'May'!$D$27:$AH$266,'Jun'!$D$27:$AH$266,'Jul'!$D$27:$AH$266,'Aug'!$D$27:$AH$266,'Sep'!$D$27:$AH$266,'Oct'!$D$27:$AH$266,'Nov'!$D$27:$AH$266,'Dec'!$D$27:$AH$266,'Jan (next year)'!$D$27:$AH$266),27+4*(IFERROR(MATCH(C1192,Roster!$B$6:$B$65,0),MATCH(C1192,Roster!$C$6:$C$65,0))-1)+MATCH(B1192,{"AM","PM","NIGHT","WD"},0)-1-27+1,DAY(A1192))&amp;"",""))</f>
        <v/>
      </c>
      <c r="G1192" s="123">
        <f>IF(OR(A1192="",C1192="",B1192="",E1192=""),"",IFERROR(A1192&amp;"|"&amp;(27+4*(IFERROR(MATCH(C1192,Roster!$B$6:$B$65,0),MATCH(C1192,Roster!$C$6:$C$65,0))-1)+MATCH(B1192,{"AM","PM","NIGHT","WD"},0)-1),""))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$266,'Feb'!$D$27:$AH$266,'Mar'!$D$27:$AH$266,'Apr'!$D$27:$AH$266,'May'!$D$27:$AH$266,'Jun'!$D$27:$AH$266,'Jul'!$D$27:$AH$266,'Aug'!$D$27:$AH$266,'Sep'!$D$27:$AH$266,'Oct'!$D$27:$AH$266,'Nov'!$D$27:$AH$266,'Dec'!$D$27:$AH$266,'Jan (next year)'!$D$27:$AH$266),27+4*(IFERROR(MATCH(C1193,Roster!$B$6:$B$65,0),MATCH(C1193,Roster!$C$6:$C$65,0))-1)+MATCH(B1193,{"AM","PM","NIGHT","WD"},0)-1-27+1,DAY(A1193))&amp;"",""))</f>
        <v/>
      </c>
      <c r="G1193" s="123">
        <f>IF(OR(A1193="",C1193="",B1193="",E1193=""),"",IFERROR(A1193&amp;"|"&amp;(27+4*(IFERROR(MATCH(C1193,Roster!$B$6:$B$65,0),MATCH(C1193,Roster!$C$6:$C$65,0))-1)+MATCH(B1193,{"AM","PM","NIGHT","WD"},0)-1),""))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$266,'Feb'!$D$27:$AH$266,'Mar'!$D$27:$AH$266,'Apr'!$D$27:$AH$266,'May'!$D$27:$AH$266,'Jun'!$D$27:$AH$266,'Jul'!$D$27:$AH$266,'Aug'!$D$27:$AH$266,'Sep'!$D$27:$AH$266,'Oct'!$D$27:$AH$266,'Nov'!$D$27:$AH$266,'Dec'!$D$27:$AH$266,'Jan (next year)'!$D$27:$AH$266),27+4*(IFERROR(MATCH(C1194,Roster!$B$6:$B$65,0),MATCH(C1194,Roster!$C$6:$C$65,0))-1)+MATCH(B1194,{"AM","PM","NIGHT","WD"},0)-1-27+1,DAY(A1194))&amp;"",""))</f>
        <v/>
      </c>
      <c r="G1194" s="123">
        <f>IF(OR(A1194="",C1194="",B1194="",E1194=""),"",IFERROR(A1194&amp;"|"&amp;(27+4*(IFERROR(MATCH(C1194,Roster!$B$6:$B$65,0),MATCH(C1194,Roster!$C$6:$C$65,0))-1)+MATCH(B1194,{"AM","PM","NIGHT","WD"},0)-1),""))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$266,'Feb'!$D$27:$AH$266,'Mar'!$D$27:$AH$266,'Apr'!$D$27:$AH$266,'May'!$D$27:$AH$266,'Jun'!$D$27:$AH$266,'Jul'!$D$27:$AH$266,'Aug'!$D$27:$AH$266,'Sep'!$D$27:$AH$266,'Oct'!$D$27:$AH$266,'Nov'!$D$27:$AH$266,'Dec'!$D$27:$AH$266,'Jan (next year)'!$D$27:$AH$266),27+4*(IFERROR(MATCH(C1195,Roster!$B$6:$B$65,0),MATCH(C1195,Roster!$C$6:$C$65,0))-1)+MATCH(B1195,{"AM","PM","NIGHT","WD"},0)-1-27+1,DAY(A1195))&amp;"",""))</f>
        <v/>
      </c>
      <c r="G1195" s="123">
        <f>IF(OR(A1195="",C1195="",B1195="",E1195=""),"",IFERROR(A1195&amp;"|"&amp;(27+4*(IFERROR(MATCH(C1195,Roster!$B$6:$B$65,0),MATCH(C1195,Roster!$C$6:$C$65,0))-1)+MATCH(B1195,{"AM","PM","NIGHT","WD"},0)-1),""))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$266,'Feb'!$D$27:$AH$266,'Mar'!$D$27:$AH$266,'Apr'!$D$27:$AH$266,'May'!$D$27:$AH$266,'Jun'!$D$27:$AH$266,'Jul'!$D$27:$AH$266,'Aug'!$D$27:$AH$266,'Sep'!$D$27:$AH$266,'Oct'!$D$27:$AH$266,'Nov'!$D$27:$AH$266,'Dec'!$D$27:$AH$266,'Jan (next year)'!$D$27:$AH$266),27+4*(IFERROR(MATCH(C1196,Roster!$B$6:$B$65,0),MATCH(C1196,Roster!$C$6:$C$65,0))-1)+MATCH(B1196,{"AM","PM","NIGHT","WD"},0)-1-27+1,DAY(A1196))&amp;"",""))</f>
        <v/>
      </c>
      <c r="G1196" s="123">
        <f>IF(OR(A1196="",C1196="",B1196="",E1196=""),"",IFERROR(A1196&amp;"|"&amp;(27+4*(IFERROR(MATCH(C1196,Roster!$B$6:$B$65,0),MATCH(C1196,Roster!$C$6:$C$65,0))-1)+MATCH(B1196,{"AM","PM","NIGHT","WD"},0)-1),""))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$266,'Feb'!$D$27:$AH$266,'Mar'!$D$27:$AH$266,'Apr'!$D$27:$AH$266,'May'!$D$27:$AH$266,'Jun'!$D$27:$AH$266,'Jul'!$D$27:$AH$266,'Aug'!$D$27:$AH$266,'Sep'!$D$27:$AH$266,'Oct'!$D$27:$AH$266,'Nov'!$D$27:$AH$266,'Dec'!$D$27:$AH$266,'Jan (next year)'!$D$27:$AH$266),27+4*(IFERROR(MATCH(C1197,Roster!$B$6:$B$65,0),MATCH(C1197,Roster!$C$6:$C$65,0))-1)+MATCH(B1197,{"AM","PM","NIGHT","WD"},0)-1-27+1,DAY(A1197))&amp;"",""))</f>
        <v/>
      </c>
      <c r="G1197" s="123">
        <f>IF(OR(A1197="",C1197="",B1197="",E1197=""),"",IFERROR(A1197&amp;"|"&amp;(27+4*(IFERROR(MATCH(C1197,Roster!$B$6:$B$65,0),MATCH(C1197,Roster!$C$6:$C$65,0))-1)+MATCH(B1197,{"AM","PM","NIGHT","WD"},0)-1),""))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$266,'Feb'!$D$27:$AH$266,'Mar'!$D$27:$AH$266,'Apr'!$D$27:$AH$266,'May'!$D$27:$AH$266,'Jun'!$D$27:$AH$266,'Jul'!$D$27:$AH$266,'Aug'!$D$27:$AH$266,'Sep'!$D$27:$AH$266,'Oct'!$D$27:$AH$266,'Nov'!$D$27:$AH$266,'Dec'!$D$27:$AH$266,'Jan (next year)'!$D$27:$AH$266),27+4*(IFERROR(MATCH(C1198,Roster!$B$6:$B$65,0),MATCH(C1198,Roster!$C$6:$C$65,0))-1)+MATCH(B1198,{"AM","PM","NIGHT","WD"},0)-1-27+1,DAY(A1198))&amp;"",""))</f>
        <v/>
      </c>
      <c r="G1198" s="123">
        <f>IF(OR(A1198="",C1198="",B1198="",E1198=""),"",IFERROR(A1198&amp;"|"&amp;(27+4*(IFERROR(MATCH(C1198,Roster!$B$6:$B$65,0),MATCH(C1198,Roster!$C$6:$C$65,0))-1)+MATCH(B1198,{"AM","PM","NIGHT","WD"},0)-1),""))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$266,'Feb'!$D$27:$AH$266,'Mar'!$D$27:$AH$266,'Apr'!$D$27:$AH$266,'May'!$D$27:$AH$266,'Jun'!$D$27:$AH$266,'Jul'!$D$27:$AH$266,'Aug'!$D$27:$AH$266,'Sep'!$D$27:$AH$266,'Oct'!$D$27:$AH$266,'Nov'!$D$27:$AH$266,'Dec'!$D$27:$AH$266,'Jan (next year)'!$D$27:$AH$266),27+4*(IFERROR(MATCH(C1199,Roster!$B$6:$B$65,0),MATCH(C1199,Roster!$C$6:$C$65,0))-1)+MATCH(B1199,{"AM","PM","NIGHT","WD"},0)-1-27+1,DAY(A1199))&amp;"",""))</f>
        <v/>
      </c>
      <c r="G1199" s="123">
        <f>IF(OR(A1199="",C1199="",B1199="",E1199=""),"",IFERROR(A1199&amp;"|"&amp;(27+4*(IFERROR(MATCH(C1199,Roster!$B$6:$B$65,0),MATCH(C1199,Roster!$C$6:$C$65,0))-1)+MATCH(B1199,{"AM","PM","NIGHT","WD"},0)-1),""))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$266,'Feb'!$D$27:$AH$266,'Mar'!$D$27:$AH$266,'Apr'!$D$27:$AH$266,'May'!$D$27:$AH$266,'Jun'!$D$27:$AH$266,'Jul'!$D$27:$AH$266,'Aug'!$D$27:$AH$266,'Sep'!$D$27:$AH$266,'Oct'!$D$27:$AH$266,'Nov'!$D$27:$AH$266,'Dec'!$D$27:$AH$266,'Jan (next year)'!$D$27:$AH$266),27+4*(IFERROR(MATCH(C1200,Roster!$B$6:$B$65,0),MATCH(C1200,Roster!$C$6:$C$65,0))-1)+MATCH(B1200,{"AM","PM","NIGHT","WD"},0)-1-27+1,DAY(A1200))&amp;"",""))</f>
        <v/>
      </c>
      <c r="G1200" s="123">
        <f>IF(OR(A1200="",C1200="",B1200="",E1200=""),"",IFERROR(A1200&amp;"|"&amp;(27+4*(IFERROR(MATCH(C1200,Roster!$B$6:$B$65,0),MATCH(C1200,Roster!$C$6:$C$65,0))-1)+MATCH(B1200,{"AM","PM","NIGHT","WD"},0)-1),""))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$266,'Feb'!$D$27:$AH$266,'Mar'!$D$27:$AH$266,'Apr'!$D$27:$AH$266,'May'!$D$27:$AH$266,'Jun'!$D$27:$AH$266,'Jul'!$D$27:$AH$266,'Aug'!$D$27:$AH$266,'Sep'!$D$27:$AH$266,'Oct'!$D$27:$AH$266,'Nov'!$D$27:$AH$266,'Dec'!$D$27:$AH$266,'Jan (next year)'!$D$27:$AH$266),27+4*(IFERROR(MATCH(C1201,Roster!$B$6:$B$65,0),MATCH(C1201,Roster!$C$6:$C$65,0))-1)+MATCH(B1201,{"AM","PM","NIGHT","WD"},0)-1-27+1,DAY(A1201))&amp;"",""))</f>
        <v/>
      </c>
      <c r="G1201" s="123">
        <f>IF(OR(A1201="",C1201="",B1201="",E1201=""),"",IFERROR(A1201&amp;"|"&amp;(27+4*(IFERROR(MATCH(C1201,Roster!$B$6:$B$65,0),MATCH(C1201,Roster!$C$6:$C$65,0))-1)+MATCH(B1201,{"AM","PM","NIGHT","WD"},0)-1),""))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$266,'Feb'!$D$27:$AH$266,'Mar'!$D$27:$AH$266,'Apr'!$D$27:$AH$266,'May'!$D$27:$AH$266,'Jun'!$D$27:$AH$266,'Jul'!$D$27:$AH$266,'Aug'!$D$27:$AH$266,'Sep'!$D$27:$AH$266,'Oct'!$D$27:$AH$266,'Nov'!$D$27:$AH$266,'Dec'!$D$27:$AH$266,'Jan (next year)'!$D$27:$AH$266),27+4*(IFERROR(MATCH(C1202,Roster!$B$6:$B$65,0),MATCH(C1202,Roster!$C$6:$C$65,0))-1)+MATCH(B1202,{"AM","PM","NIGHT","WD"},0)-1-27+1,DAY(A1202))&amp;"",""))</f>
        <v/>
      </c>
      <c r="G1202" s="123">
        <f>IF(OR(A1202="",C1202="",B1202="",E1202=""),"",IFERROR(A1202&amp;"|"&amp;(27+4*(IFERROR(MATCH(C1202,Roster!$B$6:$B$65,0),MATCH(C1202,Roster!$C$6:$C$65,0))-1)+MATCH(B1202,{"AM","PM","NIGHT","WD"},0)-1),""))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$266,'Feb'!$D$27:$AH$266,'Mar'!$D$27:$AH$266,'Apr'!$D$27:$AH$266,'May'!$D$27:$AH$266,'Jun'!$D$27:$AH$266,'Jul'!$D$27:$AH$266,'Aug'!$D$27:$AH$266,'Sep'!$D$27:$AH$266,'Oct'!$D$27:$AH$266,'Nov'!$D$27:$AH$266,'Dec'!$D$27:$AH$266,'Jan (next year)'!$D$27:$AH$266),27+4*(IFERROR(MATCH(C1203,Roster!$B$6:$B$65,0),MATCH(C1203,Roster!$C$6:$C$65,0))-1)+MATCH(B1203,{"AM","PM","NIGHT","WD"},0)-1-27+1,DAY(A1203))&amp;"",""))</f>
        <v/>
      </c>
      <c r="G1203" s="123">
        <f>IF(OR(A1203="",C1203="",B1203="",E1203=""),"",IFERROR(A1203&amp;"|"&amp;(27+4*(IFERROR(MATCH(C1203,Roster!$B$6:$B$65,0),MATCH(C1203,Roster!$C$6:$C$65,0))-1)+MATCH(B1203,{"AM","PM","NIGHT","WD"},0)-1),""))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$266,'Feb'!$D$27:$AH$266,'Mar'!$D$27:$AH$266,'Apr'!$D$27:$AH$266,'May'!$D$27:$AH$266,'Jun'!$D$27:$AH$266,'Jul'!$D$27:$AH$266,'Aug'!$D$27:$AH$266,'Sep'!$D$27:$AH$266,'Oct'!$D$27:$AH$266,'Nov'!$D$27:$AH$266,'Dec'!$D$27:$AH$266,'Jan (next year)'!$D$27:$AH$266),27+4*(IFERROR(MATCH(C1204,Roster!$B$6:$B$65,0),MATCH(C1204,Roster!$C$6:$C$65,0))-1)+MATCH(B1204,{"AM","PM","NIGHT","WD"},0)-1-27+1,DAY(A1204))&amp;"",""))</f>
        <v/>
      </c>
      <c r="G1204" s="123">
        <f>IF(OR(A1204="",C1204="",B1204="",E1204=""),"",IFERROR(A1204&amp;"|"&amp;(27+4*(IFERROR(MATCH(C1204,Roster!$B$6:$B$65,0),MATCH(C1204,Roster!$C$6:$C$65,0))-1)+MATCH(B1204,{"AM","PM","NIGHT","WD"},0)-1),""))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$266,'Feb'!$D$27:$AH$266,'Mar'!$D$27:$AH$266,'Apr'!$D$27:$AH$266,'May'!$D$27:$AH$266,'Jun'!$D$27:$AH$266,'Jul'!$D$27:$AH$266,'Aug'!$D$27:$AH$266,'Sep'!$D$27:$AH$266,'Oct'!$D$27:$AH$266,'Nov'!$D$27:$AH$266,'Dec'!$D$27:$AH$266,'Jan (next year)'!$D$27:$AH$266),27+4*(IFERROR(MATCH(C1205,Roster!$B$6:$B$65,0),MATCH(C1205,Roster!$C$6:$C$65,0))-1)+MATCH(B1205,{"AM","PM","NIGHT","WD"},0)-1-27+1,DAY(A1205))&amp;"",""))</f>
        <v/>
      </c>
      <c r="G1205" s="123">
        <f>IF(OR(A1205="",C1205="",B1205="",E1205=""),"",IFERROR(A1205&amp;"|"&amp;(27+4*(IFERROR(MATCH(C1205,Roster!$B$6:$B$65,0),MATCH(C1205,Roster!$C$6:$C$65,0))-1)+MATCH(B1205,{"AM","PM","NIGHT","WD"},0)-1),""))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$266,'Feb'!$D$27:$AH$266,'Mar'!$D$27:$AH$266,'Apr'!$D$27:$AH$266,'May'!$D$27:$AH$266,'Jun'!$D$27:$AH$266,'Jul'!$D$27:$AH$266,'Aug'!$D$27:$AH$266,'Sep'!$D$27:$AH$266,'Oct'!$D$27:$AH$266,'Nov'!$D$27:$AH$266,'Dec'!$D$27:$AH$266,'Jan (next year)'!$D$27:$AH$266),27+4*(IFERROR(MATCH(C1206,Roster!$B$6:$B$65,0),MATCH(C1206,Roster!$C$6:$C$65,0))-1)+MATCH(B1206,{"AM","PM","NIGHT","WD"},0)-1-27+1,DAY(A1206))&amp;"",""))</f>
        <v/>
      </c>
      <c r="G1206" s="123">
        <f>IF(OR(A1206="",C1206="",B1206="",E1206=""),"",IFERROR(A1206&amp;"|"&amp;(27+4*(IFERROR(MATCH(C1206,Roster!$B$6:$B$65,0),MATCH(C1206,Roster!$C$6:$C$65,0))-1)+MATCH(B1206,{"AM","PM","NIGHT","WD"},0)-1),""))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$266,'Feb'!$D$27:$AH$266,'Mar'!$D$27:$AH$266,'Apr'!$D$27:$AH$266,'May'!$D$27:$AH$266,'Jun'!$D$27:$AH$266,'Jul'!$D$27:$AH$266,'Aug'!$D$27:$AH$266,'Sep'!$D$27:$AH$266,'Oct'!$D$27:$AH$266,'Nov'!$D$27:$AH$266,'Dec'!$D$27:$AH$266,'Jan (next year)'!$D$27:$AH$266),27+4*(IFERROR(MATCH(C1207,Roster!$B$6:$B$65,0),MATCH(C1207,Roster!$C$6:$C$65,0))-1)+MATCH(B1207,{"AM","PM","NIGHT","WD"},0)-1-27+1,DAY(A1207))&amp;"",""))</f>
        <v/>
      </c>
      <c r="G1207" s="123">
        <f>IF(OR(A1207="",C1207="",B1207="",E1207=""),"",IFERROR(A1207&amp;"|"&amp;(27+4*(IFERROR(MATCH(C1207,Roster!$B$6:$B$65,0),MATCH(C1207,Roster!$C$6:$C$65,0))-1)+MATCH(B1207,{"AM","PM","NIGHT","WD"},0)-1),""))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$266,'Feb'!$D$27:$AH$266,'Mar'!$D$27:$AH$266,'Apr'!$D$27:$AH$266,'May'!$D$27:$AH$266,'Jun'!$D$27:$AH$266,'Jul'!$D$27:$AH$266,'Aug'!$D$27:$AH$266,'Sep'!$D$27:$AH$266,'Oct'!$D$27:$AH$266,'Nov'!$D$27:$AH$266,'Dec'!$D$27:$AH$266,'Jan (next year)'!$D$27:$AH$266),27+4*(IFERROR(MATCH(C1208,Roster!$B$6:$B$65,0),MATCH(C1208,Roster!$C$6:$C$65,0))-1)+MATCH(B1208,{"AM","PM","NIGHT","WD"},0)-1-27+1,DAY(A1208))&amp;"",""))</f>
        <v/>
      </c>
      <c r="G1208" s="123">
        <f>IF(OR(A1208="",C1208="",B1208="",E1208=""),"",IFERROR(A1208&amp;"|"&amp;(27+4*(IFERROR(MATCH(C1208,Roster!$B$6:$B$65,0),MATCH(C1208,Roster!$C$6:$C$65,0))-1)+MATCH(B1208,{"AM","PM","NIGHT","WD"},0)-1),""))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$266,'Feb'!$D$27:$AH$266,'Mar'!$D$27:$AH$266,'Apr'!$D$27:$AH$266,'May'!$D$27:$AH$266,'Jun'!$D$27:$AH$266,'Jul'!$D$27:$AH$266,'Aug'!$D$27:$AH$266,'Sep'!$D$27:$AH$266,'Oct'!$D$27:$AH$266,'Nov'!$D$27:$AH$266,'Dec'!$D$27:$AH$266,'Jan (next year)'!$D$27:$AH$266),27+4*(IFERROR(MATCH(C1209,Roster!$B$6:$B$65,0),MATCH(C1209,Roster!$C$6:$C$65,0))-1)+MATCH(B1209,{"AM","PM","NIGHT","WD"},0)-1-27+1,DAY(A1209))&amp;"",""))</f>
        <v/>
      </c>
      <c r="G1209" s="123">
        <f>IF(OR(A1209="",C1209="",B1209="",E1209=""),"",IFERROR(A1209&amp;"|"&amp;(27+4*(IFERROR(MATCH(C1209,Roster!$B$6:$B$65,0),MATCH(C1209,Roster!$C$6:$C$65,0))-1)+MATCH(B1209,{"AM","PM","NIGHT","WD"},0)-1),""))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$266,'Feb'!$D$27:$AH$266,'Mar'!$D$27:$AH$266,'Apr'!$D$27:$AH$266,'May'!$D$27:$AH$266,'Jun'!$D$27:$AH$266,'Jul'!$D$27:$AH$266,'Aug'!$D$27:$AH$266,'Sep'!$D$27:$AH$266,'Oct'!$D$27:$AH$266,'Nov'!$D$27:$AH$266,'Dec'!$D$27:$AH$266,'Jan (next year)'!$D$27:$AH$266),27+4*(IFERROR(MATCH(C1210,Roster!$B$6:$B$65,0),MATCH(C1210,Roster!$C$6:$C$65,0))-1)+MATCH(B1210,{"AM","PM","NIGHT","WD"},0)-1-27+1,DAY(A1210))&amp;"",""))</f>
        <v/>
      </c>
      <c r="G1210" s="123">
        <f>IF(OR(A1210="",C1210="",B1210="",E1210=""),"",IFERROR(A1210&amp;"|"&amp;(27+4*(IFERROR(MATCH(C1210,Roster!$B$6:$B$65,0),MATCH(C1210,Roster!$C$6:$C$65,0))-1)+MATCH(B1210,{"AM","PM","NIGHT","WD"},0)-1),""))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$266,'Feb'!$D$27:$AH$266,'Mar'!$D$27:$AH$266,'Apr'!$D$27:$AH$266,'May'!$D$27:$AH$266,'Jun'!$D$27:$AH$266,'Jul'!$D$27:$AH$266,'Aug'!$D$27:$AH$266,'Sep'!$D$27:$AH$266,'Oct'!$D$27:$AH$266,'Nov'!$D$27:$AH$266,'Dec'!$D$27:$AH$266,'Jan (next year)'!$D$27:$AH$266),27+4*(IFERROR(MATCH(C1211,Roster!$B$6:$B$65,0),MATCH(C1211,Roster!$C$6:$C$65,0))-1)+MATCH(B1211,{"AM","PM","NIGHT","WD"},0)-1-27+1,DAY(A1211))&amp;"",""))</f>
        <v/>
      </c>
      <c r="G1211" s="123">
        <f>IF(OR(A1211="",C1211="",B1211="",E1211=""),"",IFERROR(A1211&amp;"|"&amp;(27+4*(IFERROR(MATCH(C1211,Roster!$B$6:$B$65,0),MATCH(C1211,Roster!$C$6:$C$65,0))-1)+MATCH(B1211,{"AM","PM","NIGHT","WD"},0)-1),""))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$266,'Feb'!$D$27:$AH$266,'Mar'!$D$27:$AH$266,'Apr'!$D$27:$AH$266,'May'!$D$27:$AH$266,'Jun'!$D$27:$AH$266,'Jul'!$D$27:$AH$266,'Aug'!$D$27:$AH$266,'Sep'!$D$27:$AH$266,'Oct'!$D$27:$AH$266,'Nov'!$D$27:$AH$266,'Dec'!$D$27:$AH$266,'Jan (next year)'!$D$27:$AH$266),27+4*(IFERROR(MATCH(C1212,Roster!$B$6:$B$65,0),MATCH(C1212,Roster!$C$6:$C$65,0))-1)+MATCH(B1212,{"AM","PM","NIGHT","WD"},0)-1-27+1,DAY(A1212))&amp;"",""))</f>
        <v/>
      </c>
      <c r="G1212" s="123">
        <f>IF(OR(A1212="",C1212="",B1212="",E1212=""),"",IFERROR(A1212&amp;"|"&amp;(27+4*(IFERROR(MATCH(C1212,Roster!$B$6:$B$65,0),MATCH(C1212,Roster!$C$6:$C$65,0))-1)+MATCH(B1212,{"AM","PM","NIGHT","WD"},0)-1),""))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$266,'Feb'!$D$27:$AH$266,'Mar'!$D$27:$AH$266,'Apr'!$D$27:$AH$266,'May'!$D$27:$AH$266,'Jun'!$D$27:$AH$266,'Jul'!$D$27:$AH$266,'Aug'!$D$27:$AH$266,'Sep'!$D$27:$AH$266,'Oct'!$D$27:$AH$266,'Nov'!$D$27:$AH$266,'Dec'!$D$27:$AH$266,'Jan (next year)'!$D$27:$AH$266),27+4*(IFERROR(MATCH(C1213,Roster!$B$6:$B$65,0),MATCH(C1213,Roster!$C$6:$C$65,0))-1)+MATCH(B1213,{"AM","PM","NIGHT","WD"},0)-1-27+1,DAY(A1213))&amp;"",""))</f>
        <v/>
      </c>
      <c r="G1213" s="123">
        <f>IF(OR(A1213="",C1213="",B1213="",E1213=""),"",IFERROR(A1213&amp;"|"&amp;(27+4*(IFERROR(MATCH(C1213,Roster!$B$6:$B$65,0),MATCH(C1213,Roster!$C$6:$C$65,0))-1)+MATCH(B1213,{"AM","PM","NIGHT","WD"},0)-1),""))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$266,'Feb'!$D$27:$AH$266,'Mar'!$D$27:$AH$266,'Apr'!$D$27:$AH$266,'May'!$D$27:$AH$266,'Jun'!$D$27:$AH$266,'Jul'!$D$27:$AH$266,'Aug'!$D$27:$AH$266,'Sep'!$D$27:$AH$266,'Oct'!$D$27:$AH$266,'Nov'!$D$27:$AH$266,'Dec'!$D$27:$AH$266,'Jan (next year)'!$D$27:$AH$266),27+4*(IFERROR(MATCH(C1214,Roster!$B$6:$B$65,0),MATCH(C1214,Roster!$C$6:$C$65,0))-1)+MATCH(B1214,{"AM","PM","NIGHT","WD"},0)-1-27+1,DAY(A1214))&amp;"",""))</f>
        <v/>
      </c>
      <c r="G1214" s="123">
        <f>IF(OR(A1214="",C1214="",B1214="",E1214=""),"",IFERROR(A1214&amp;"|"&amp;(27+4*(IFERROR(MATCH(C1214,Roster!$B$6:$B$65,0),MATCH(C1214,Roster!$C$6:$C$65,0))-1)+MATCH(B1214,{"AM","PM","NIGHT","WD"},0)-1),""))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$266,'Feb'!$D$27:$AH$266,'Mar'!$D$27:$AH$266,'Apr'!$D$27:$AH$266,'May'!$D$27:$AH$266,'Jun'!$D$27:$AH$266,'Jul'!$D$27:$AH$266,'Aug'!$D$27:$AH$266,'Sep'!$D$27:$AH$266,'Oct'!$D$27:$AH$266,'Nov'!$D$27:$AH$266,'Dec'!$D$27:$AH$266,'Jan (next year)'!$D$27:$AH$266),27+4*(IFERROR(MATCH(C1215,Roster!$B$6:$B$65,0),MATCH(C1215,Roster!$C$6:$C$65,0))-1)+MATCH(B1215,{"AM","PM","NIGHT","WD"},0)-1-27+1,DAY(A1215))&amp;"",""))</f>
        <v/>
      </c>
      <c r="G1215" s="123">
        <f>IF(OR(A1215="",C1215="",B1215="",E1215=""),"",IFERROR(A1215&amp;"|"&amp;(27+4*(IFERROR(MATCH(C1215,Roster!$B$6:$B$65,0),MATCH(C1215,Roster!$C$6:$C$65,0))-1)+MATCH(B1215,{"AM","PM","NIGHT","WD"},0)-1),""))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$266,'Feb'!$D$27:$AH$266,'Mar'!$D$27:$AH$266,'Apr'!$D$27:$AH$266,'May'!$D$27:$AH$266,'Jun'!$D$27:$AH$266,'Jul'!$D$27:$AH$266,'Aug'!$D$27:$AH$266,'Sep'!$D$27:$AH$266,'Oct'!$D$27:$AH$266,'Nov'!$D$27:$AH$266,'Dec'!$D$27:$AH$266,'Jan (next year)'!$D$27:$AH$266),27+4*(IFERROR(MATCH(C1216,Roster!$B$6:$B$65,0),MATCH(C1216,Roster!$C$6:$C$65,0))-1)+MATCH(B1216,{"AM","PM","NIGHT","WD"},0)-1-27+1,DAY(A1216))&amp;"",""))</f>
        <v/>
      </c>
      <c r="G1216" s="123">
        <f>IF(OR(A1216="",C1216="",B1216="",E1216=""),"",IFERROR(A1216&amp;"|"&amp;(27+4*(IFERROR(MATCH(C1216,Roster!$B$6:$B$65,0),MATCH(C1216,Roster!$C$6:$C$65,0))-1)+MATCH(B1216,{"AM","PM","NIGHT","WD"},0)-1),""))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$266,'Feb'!$D$27:$AH$266,'Mar'!$D$27:$AH$266,'Apr'!$D$27:$AH$266,'May'!$D$27:$AH$266,'Jun'!$D$27:$AH$266,'Jul'!$D$27:$AH$266,'Aug'!$D$27:$AH$266,'Sep'!$D$27:$AH$266,'Oct'!$D$27:$AH$266,'Nov'!$D$27:$AH$266,'Dec'!$D$27:$AH$266,'Jan (next year)'!$D$27:$AH$266),27+4*(IFERROR(MATCH(C1217,Roster!$B$6:$B$65,0),MATCH(C1217,Roster!$C$6:$C$65,0))-1)+MATCH(B1217,{"AM","PM","NIGHT","WD"},0)-1-27+1,DAY(A1217))&amp;"",""))</f>
        <v/>
      </c>
      <c r="G1217" s="123">
        <f>IF(OR(A1217="",C1217="",B1217="",E1217=""),"",IFERROR(A1217&amp;"|"&amp;(27+4*(IFERROR(MATCH(C1217,Roster!$B$6:$B$65,0),MATCH(C1217,Roster!$C$6:$C$65,0))-1)+MATCH(B1217,{"AM","PM","NIGHT","WD"},0)-1),""))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$266,'Feb'!$D$27:$AH$266,'Mar'!$D$27:$AH$266,'Apr'!$D$27:$AH$266,'May'!$D$27:$AH$266,'Jun'!$D$27:$AH$266,'Jul'!$D$27:$AH$266,'Aug'!$D$27:$AH$266,'Sep'!$D$27:$AH$266,'Oct'!$D$27:$AH$266,'Nov'!$D$27:$AH$266,'Dec'!$D$27:$AH$266,'Jan (next year)'!$D$27:$AH$266),27+4*(IFERROR(MATCH(C1218,Roster!$B$6:$B$65,0),MATCH(C1218,Roster!$C$6:$C$65,0))-1)+MATCH(B1218,{"AM","PM","NIGHT","WD"},0)-1-27+1,DAY(A1218))&amp;"",""))</f>
        <v/>
      </c>
      <c r="G1218" s="123">
        <f>IF(OR(A1218="",C1218="",B1218="",E1218=""),"",IFERROR(A1218&amp;"|"&amp;(27+4*(IFERROR(MATCH(C1218,Roster!$B$6:$B$65,0),MATCH(C1218,Roster!$C$6:$C$65,0))-1)+MATCH(B1218,{"AM","PM","NIGHT","WD"},0)-1),""))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$266,'Feb'!$D$27:$AH$266,'Mar'!$D$27:$AH$266,'Apr'!$D$27:$AH$266,'May'!$D$27:$AH$266,'Jun'!$D$27:$AH$266,'Jul'!$D$27:$AH$266,'Aug'!$D$27:$AH$266,'Sep'!$D$27:$AH$266,'Oct'!$D$27:$AH$266,'Nov'!$D$27:$AH$266,'Dec'!$D$27:$AH$266,'Jan (next year)'!$D$27:$AH$266),27+4*(IFERROR(MATCH(C1219,Roster!$B$6:$B$65,0),MATCH(C1219,Roster!$C$6:$C$65,0))-1)+MATCH(B1219,{"AM","PM","NIGHT","WD"},0)-1-27+1,DAY(A1219))&amp;"",""))</f>
        <v/>
      </c>
      <c r="G1219" s="123">
        <f>IF(OR(A1219="",C1219="",B1219="",E1219=""),"",IFERROR(A1219&amp;"|"&amp;(27+4*(IFERROR(MATCH(C1219,Roster!$B$6:$B$65,0),MATCH(C1219,Roster!$C$6:$C$65,0))-1)+MATCH(B1219,{"AM","PM","NIGHT","WD"},0)-1),""))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$266,'Feb'!$D$27:$AH$266,'Mar'!$D$27:$AH$266,'Apr'!$D$27:$AH$266,'May'!$D$27:$AH$266,'Jun'!$D$27:$AH$266,'Jul'!$D$27:$AH$266,'Aug'!$D$27:$AH$266,'Sep'!$D$27:$AH$266,'Oct'!$D$27:$AH$266,'Nov'!$D$27:$AH$266,'Dec'!$D$27:$AH$266,'Jan (next year)'!$D$27:$AH$266),27+4*(IFERROR(MATCH(C1220,Roster!$B$6:$B$65,0),MATCH(C1220,Roster!$C$6:$C$65,0))-1)+MATCH(B1220,{"AM","PM","NIGHT","WD"},0)-1-27+1,DAY(A1220))&amp;"",""))</f>
        <v/>
      </c>
      <c r="G1220" s="123">
        <f>IF(OR(A1220="",C1220="",B1220="",E1220=""),"",IFERROR(A1220&amp;"|"&amp;(27+4*(IFERROR(MATCH(C1220,Roster!$B$6:$B$65,0),MATCH(C1220,Roster!$C$6:$C$65,0))-1)+MATCH(B1220,{"AM","PM","NIGHT","WD"},0)-1),""))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$266,'Feb'!$D$27:$AH$266,'Mar'!$D$27:$AH$266,'Apr'!$D$27:$AH$266,'May'!$D$27:$AH$266,'Jun'!$D$27:$AH$266,'Jul'!$D$27:$AH$266,'Aug'!$D$27:$AH$266,'Sep'!$D$27:$AH$266,'Oct'!$D$27:$AH$266,'Nov'!$D$27:$AH$266,'Dec'!$D$27:$AH$266,'Jan (next year)'!$D$27:$AH$266),27+4*(IFERROR(MATCH(C1221,Roster!$B$6:$B$65,0),MATCH(C1221,Roster!$C$6:$C$65,0))-1)+MATCH(B1221,{"AM","PM","NIGHT","WD"},0)-1-27+1,DAY(A1221))&amp;"",""))</f>
        <v/>
      </c>
      <c r="G1221" s="123">
        <f>IF(OR(A1221="",C1221="",B1221="",E1221=""),"",IFERROR(A1221&amp;"|"&amp;(27+4*(IFERROR(MATCH(C1221,Roster!$B$6:$B$65,0),MATCH(C1221,Roster!$C$6:$C$65,0))-1)+MATCH(B1221,{"AM","PM","NIGHT","WD"},0)-1),""))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$266,'Feb'!$D$27:$AH$266,'Mar'!$D$27:$AH$266,'Apr'!$D$27:$AH$266,'May'!$D$27:$AH$266,'Jun'!$D$27:$AH$266,'Jul'!$D$27:$AH$266,'Aug'!$D$27:$AH$266,'Sep'!$D$27:$AH$266,'Oct'!$D$27:$AH$266,'Nov'!$D$27:$AH$266,'Dec'!$D$27:$AH$266,'Jan (next year)'!$D$27:$AH$266),27+4*(IFERROR(MATCH(C1222,Roster!$B$6:$B$65,0),MATCH(C1222,Roster!$C$6:$C$65,0))-1)+MATCH(B1222,{"AM","PM","NIGHT","WD"},0)-1-27+1,DAY(A1222))&amp;"",""))</f>
        <v/>
      </c>
      <c r="G1222" s="123">
        <f>IF(OR(A1222="",C1222="",B1222="",E1222=""),"",IFERROR(A1222&amp;"|"&amp;(27+4*(IFERROR(MATCH(C1222,Roster!$B$6:$B$65,0),MATCH(C1222,Roster!$C$6:$C$65,0))-1)+MATCH(B1222,{"AM","PM","NIGHT","WD"},0)-1),""))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$266,'Feb'!$D$27:$AH$266,'Mar'!$D$27:$AH$266,'Apr'!$D$27:$AH$266,'May'!$D$27:$AH$266,'Jun'!$D$27:$AH$266,'Jul'!$D$27:$AH$266,'Aug'!$D$27:$AH$266,'Sep'!$D$27:$AH$266,'Oct'!$D$27:$AH$266,'Nov'!$D$27:$AH$266,'Dec'!$D$27:$AH$266,'Jan (next year)'!$D$27:$AH$266),27+4*(IFERROR(MATCH(C1223,Roster!$B$6:$B$65,0),MATCH(C1223,Roster!$C$6:$C$65,0))-1)+MATCH(B1223,{"AM","PM","NIGHT","WD"},0)-1-27+1,DAY(A1223))&amp;"",""))</f>
        <v/>
      </c>
      <c r="G1223" s="123">
        <f>IF(OR(A1223="",C1223="",B1223="",E1223=""),"",IFERROR(A1223&amp;"|"&amp;(27+4*(IFERROR(MATCH(C1223,Roster!$B$6:$B$65,0),MATCH(C1223,Roster!$C$6:$C$65,0))-1)+MATCH(B1223,{"AM","PM","NIGHT","WD"},0)-1),""))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$266,'Feb'!$D$27:$AH$266,'Mar'!$D$27:$AH$266,'Apr'!$D$27:$AH$266,'May'!$D$27:$AH$266,'Jun'!$D$27:$AH$266,'Jul'!$D$27:$AH$266,'Aug'!$D$27:$AH$266,'Sep'!$D$27:$AH$266,'Oct'!$D$27:$AH$266,'Nov'!$D$27:$AH$266,'Dec'!$D$27:$AH$266,'Jan (next year)'!$D$27:$AH$266),27+4*(IFERROR(MATCH(C1224,Roster!$B$6:$B$65,0),MATCH(C1224,Roster!$C$6:$C$65,0))-1)+MATCH(B1224,{"AM","PM","NIGHT","WD"},0)-1-27+1,DAY(A1224))&amp;"",""))</f>
        <v/>
      </c>
      <c r="G1224" s="123">
        <f>IF(OR(A1224="",C1224="",B1224="",E1224=""),"",IFERROR(A1224&amp;"|"&amp;(27+4*(IFERROR(MATCH(C1224,Roster!$B$6:$B$65,0),MATCH(C1224,Roster!$C$6:$C$65,0))-1)+MATCH(B1224,{"AM","PM","NIGHT","WD"},0)-1),""))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$266,'Feb'!$D$27:$AH$266,'Mar'!$D$27:$AH$266,'Apr'!$D$27:$AH$266,'May'!$D$27:$AH$266,'Jun'!$D$27:$AH$266,'Jul'!$D$27:$AH$266,'Aug'!$D$27:$AH$266,'Sep'!$D$27:$AH$266,'Oct'!$D$27:$AH$266,'Nov'!$D$27:$AH$266,'Dec'!$D$27:$AH$266,'Jan (next year)'!$D$27:$AH$266),27+4*(IFERROR(MATCH(C1225,Roster!$B$6:$B$65,0),MATCH(C1225,Roster!$C$6:$C$65,0))-1)+MATCH(B1225,{"AM","PM","NIGHT","WD"},0)-1-27+1,DAY(A1225))&amp;"",""))</f>
        <v/>
      </c>
      <c r="G1225" s="123">
        <f>IF(OR(A1225="",C1225="",B1225="",E1225=""),"",IFERROR(A1225&amp;"|"&amp;(27+4*(IFERROR(MATCH(C1225,Roster!$B$6:$B$65,0),MATCH(C1225,Roster!$C$6:$C$65,0))-1)+MATCH(B1225,{"AM","PM","NIGHT","WD"},0)-1),""))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$266,'Feb'!$D$27:$AH$266,'Mar'!$D$27:$AH$266,'Apr'!$D$27:$AH$266,'May'!$D$27:$AH$266,'Jun'!$D$27:$AH$266,'Jul'!$D$27:$AH$266,'Aug'!$D$27:$AH$266,'Sep'!$D$27:$AH$266,'Oct'!$D$27:$AH$266,'Nov'!$D$27:$AH$266,'Dec'!$D$27:$AH$266,'Jan (next year)'!$D$27:$AH$266),27+4*(IFERROR(MATCH(C1226,Roster!$B$6:$B$65,0),MATCH(C1226,Roster!$C$6:$C$65,0))-1)+MATCH(B1226,{"AM","PM","NIGHT","WD"},0)-1-27+1,DAY(A1226))&amp;"",""))</f>
        <v/>
      </c>
      <c r="G1226" s="123">
        <f>IF(OR(A1226="",C1226="",B1226="",E1226=""),"",IFERROR(A1226&amp;"|"&amp;(27+4*(IFERROR(MATCH(C1226,Roster!$B$6:$B$65,0),MATCH(C1226,Roster!$C$6:$C$65,0))-1)+MATCH(B1226,{"AM","PM","NIGHT","WD"},0)-1),""))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$266,'Feb'!$D$27:$AH$266,'Mar'!$D$27:$AH$266,'Apr'!$D$27:$AH$266,'May'!$D$27:$AH$266,'Jun'!$D$27:$AH$266,'Jul'!$D$27:$AH$266,'Aug'!$D$27:$AH$266,'Sep'!$D$27:$AH$266,'Oct'!$D$27:$AH$266,'Nov'!$D$27:$AH$266,'Dec'!$D$27:$AH$266,'Jan (next year)'!$D$27:$AH$266),27+4*(IFERROR(MATCH(C1227,Roster!$B$6:$B$65,0),MATCH(C1227,Roster!$C$6:$C$65,0))-1)+MATCH(B1227,{"AM","PM","NIGHT","WD"},0)-1-27+1,DAY(A1227))&amp;"",""))</f>
        <v/>
      </c>
      <c r="G1227" s="123">
        <f>IF(OR(A1227="",C1227="",B1227="",E1227=""),"",IFERROR(A1227&amp;"|"&amp;(27+4*(IFERROR(MATCH(C1227,Roster!$B$6:$B$65,0),MATCH(C1227,Roster!$C$6:$C$65,0))-1)+MATCH(B1227,{"AM","PM","NIGHT","WD"},0)-1),""))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$266,'Feb'!$D$27:$AH$266,'Mar'!$D$27:$AH$266,'Apr'!$D$27:$AH$266,'May'!$D$27:$AH$266,'Jun'!$D$27:$AH$266,'Jul'!$D$27:$AH$266,'Aug'!$D$27:$AH$266,'Sep'!$D$27:$AH$266,'Oct'!$D$27:$AH$266,'Nov'!$D$27:$AH$266,'Dec'!$D$27:$AH$266,'Jan (next year)'!$D$27:$AH$266),27+4*(IFERROR(MATCH(C1228,Roster!$B$6:$B$65,0),MATCH(C1228,Roster!$C$6:$C$65,0))-1)+MATCH(B1228,{"AM","PM","NIGHT","WD"},0)-1-27+1,DAY(A1228))&amp;"",""))</f>
        <v/>
      </c>
      <c r="G1228" s="123">
        <f>IF(OR(A1228="",C1228="",B1228="",E1228=""),"",IFERROR(A1228&amp;"|"&amp;(27+4*(IFERROR(MATCH(C1228,Roster!$B$6:$B$65,0),MATCH(C1228,Roster!$C$6:$C$65,0))-1)+MATCH(B1228,{"AM","PM","NIGHT","WD"},0)-1),""))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$266,'Feb'!$D$27:$AH$266,'Mar'!$D$27:$AH$266,'Apr'!$D$27:$AH$266,'May'!$D$27:$AH$266,'Jun'!$D$27:$AH$266,'Jul'!$D$27:$AH$266,'Aug'!$D$27:$AH$266,'Sep'!$D$27:$AH$266,'Oct'!$D$27:$AH$266,'Nov'!$D$27:$AH$266,'Dec'!$D$27:$AH$266,'Jan (next year)'!$D$27:$AH$266),27+4*(IFERROR(MATCH(C1229,Roster!$B$6:$B$65,0),MATCH(C1229,Roster!$C$6:$C$65,0))-1)+MATCH(B1229,{"AM","PM","NIGHT","WD"},0)-1-27+1,DAY(A1229))&amp;"",""))</f>
        <v/>
      </c>
      <c r="G1229" s="123">
        <f>IF(OR(A1229="",C1229="",B1229="",E1229=""),"",IFERROR(A1229&amp;"|"&amp;(27+4*(IFERROR(MATCH(C1229,Roster!$B$6:$B$65,0),MATCH(C1229,Roster!$C$6:$C$65,0))-1)+MATCH(B1229,{"AM","PM","NIGHT","WD"},0)-1),""))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$266,'Feb'!$D$27:$AH$266,'Mar'!$D$27:$AH$266,'Apr'!$D$27:$AH$266,'May'!$D$27:$AH$266,'Jun'!$D$27:$AH$266,'Jul'!$D$27:$AH$266,'Aug'!$D$27:$AH$266,'Sep'!$D$27:$AH$266,'Oct'!$D$27:$AH$266,'Nov'!$D$27:$AH$266,'Dec'!$D$27:$AH$266,'Jan (next year)'!$D$27:$AH$266),27+4*(IFERROR(MATCH(C1230,Roster!$B$6:$B$65,0),MATCH(C1230,Roster!$C$6:$C$65,0))-1)+MATCH(B1230,{"AM","PM","NIGHT","WD"},0)-1-27+1,DAY(A1230))&amp;"",""))</f>
        <v/>
      </c>
      <c r="G1230" s="123">
        <f>IF(OR(A1230="",C1230="",B1230="",E1230=""),"",IFERROR(A1230&amp;"|"&amp;(27+4*(IFERROR(MATCH(C1230,Roster!$B$6:$B$65,0),MATCH(C1230,Roster!$C$6:$C$65,0))-1)+MATCH(B1230,{"AM","PM","NIGHT","WD"},0)-1),""))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$266,'Feb'!$D$27:$AH$266,'Mar'!$D$27:$AH$266,'Apr'!$D$27:$AH$266,'May'!$D$27:$AH$266,'Jun'!$D$27:$AH$266,'Jul'!$D$27:$AH$266,'Aug'!$D$27:$AH$266,'Sep'!$D$27:$AH$266,'Oct'!$D$27:$AH$266,'Nov'!$D$27:$AH$266,'Dec'!$D$27:$AH$266,'Jan (next year)'!$D$27:$AH$266),27+4*(IFERROR(MATCH(C1231,Roster!$B$6:$B$65,0),MATCH(C1231,Roster!$C$6:$C$65,0))-1)+MATCH(B1231,{"AM","PM","NIGHT","WD"},0)-1-27+1,DAY(A1231))&amp;"",""))</f>
        <v/>
      </c>
      <c r="G1231" s="123">
        <f>IF(OR(A1231="",C1231="",B1231="",E1231=""),"",IFERROR(A1231&amp;"|"&amp;(27+4*(IFERROR(MATCH(C1231,Roster!$B$6:$B$65,0),MATCH(C1231,Roster!$C$6:$C$65,0))-1)+MATCH(B1231,{"AM","PM","NIGHT","WD"},0)-1),""))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$266,'Feb'!$D$27:$AH$266,'Mar'!$D$27:$AH$266,'Apr'!$D$27:$AH$266,'May'!$D$27:$AH$266,'Jun'!$D$27:$AH$266,'Jul'!$D$27:$AH$266,'Aug'!$D$27:$AH$266,'Sep'!$D$27:$AH$266,'Oct'!$D$27:$AH$266,'Nov'!$D$27:$AH$266,'Dec'!$D$27:$AH$266,'Jan (next year)'!$D$27:$AH$266),27+4*(IFERROR(MATCH(C1232,Roster!$B$6:$B$65,0),MATCH(C1232,Roster!$C$6:$C$65,0))-1)+MATCH(B1232,{"AM","PM","NIGHT","WD"},0)-1-27+1,DAY(A1232))&amp;"",""))</f>
        <v/>
      </c>
      <c r="G1232" s="123">
        <f>IF(OR(A1232="",C1232="",B1232="",E1232=""),"",IFERROR(A1232&amp;"|"&amp;(27+4*(IFERROR(MATCH(C1232,Roster!$B$6:$B$65,0),MATCH(C1232,Roster!$C$6:$C$65,0))-1)+MATCH(B1232,{"AM","PM","NIGHT","WD"},0)-1),""))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$266,'Feb'!$D$27:$AH$266,'Mar'!$D$27:$AH$266,'Apr'!$D$27:$AH$266,'May'!$D$27:$AH$266,'Jun'!$D$27:$AH$266,'Jul'!$D$27:$AH$266,'Aug'!$D$27:$AH$266,'Sep'!$D$27:$AH$266,'Oct'!$D$27:$AH$266,'Nov'!$D$27:$AH$266,'Dec'!$D$27:$AH$266,'Jan (next year)'!$D$27:$AH$266),27+4*(IFERROR(MATCH(C1233,Roster!$B$6:$B$65,0),MATCH(C1233,Roster!$C$6:$C$65,0))-1)+MATCH(B1233,{"AM","PM","NIGHT","WD"},0)-1-27+1,DAY(A1233))&amp;"",""))</f>
        <v/>
      </c>
      <c r="G1233" s="123">
        <f>IF(OR(A1233="",C1233="",B1233="",E1233=""),"",IFERROR(A1233&amp;"|"&amp;(27+4*(IFERROR(MATCH(C1233,Roster!$B$6:$B$65,0),MATCH(C1233,Roster!$C$6:$C$65,0))-1)+MATCH(B1233,{"AM","PM","NIGHT","WD"},0)-1),""))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$266,'Feb'!$D$27:$AH$266,'Mar'!$D$27:$AH$266,'Apr'!$D$27:$AH$266,'May'!$D$27:$AH$266,'Jun'!$D$27:$AH$266,'Jul'!$D$27:$AH$266,'Aug'!$D$27:$AH$266,'Sep'!$D$27:$AH$266,'Oct'!$D$27:$AH$266,'Nov'!$D$27:$AH$266,'Dec'!$D$27:$AH$266,'Jan (next year)'!$D$27:$AH$266),27+4*(IFERROR(MATCH(C1234,Roster!$B$6:$B$65,0),MATCH(C1234,Roster!$C$6:$C$65,0))-1)+MATCH(B1234,{"AM","PM","NIGHT","WD"},0)-1-27+1,DAY(A1234))&amp;"",""))</f>
        <v/>
      </c>
      <c r="G1234" s="123">
        <f>IF(OR(A1234="",C1234="",B1234="",E1234=""),"",IFERROR(A1234&amp;"|"&amp;(27+4*(IFERROR(MATCH(C1234,Roster!$B$6:$B$65,0),MATCH(C1234,Roster!$C$6:$C$65,0))-1)+MATCH(B1234,{"AM","PM","NIGHT","WD"},0)-1),""))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$266,'Feb'!$D$27:$AH$266,'Mar'!$D$27:$AH$266,'Apr'!$D$27:$AH$266,'May'!$D$27:$AH$266,'Jun'!$D$27:$AH$266,'Jul'!$D$27:$AH$266,'Aug'!$D$27:$AH$266,'Sep'!$D$27:$AH$266,'Oct'!$D$27:$AH$266,'Nov'!$D$27:$AH$266,'Dec'!$D$27:$AH$266,'Jan (next year)'!$D$27:$AH$266),27+4*(IFERROR(MATCH(C1235,Roster!$B$6:$B$65,0),MATCH(C1235,Roster!$C$6:$C$65,0))-1)+MATCH(B1235,{"AM","PM","NIGHT","WD"},0)-1-27+1,DAY(A1235))&amp;"",""))</f>
        <v/>
      </c>
      <c r="G1235" s="123">
        <f>IF(OR(A1235="",C1235="",B1235="",E1235=""),"",IFERROR(A1235&amp;"|"&amp;(27+4*(IFERROR(MATCH(C1235,Roster!$B$6:$B$65,0),MATCH(C1235,Roster!$C$6:$C$65,0))-1)+MATCH(B1235,{"AM","PM","NIGHT","WD"},0)-1),""))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$266,'Feb'!$D$27:$AH$266,'Mar'!$D$27:$AH$266,'Apr'!$D$27:$AH$266,'May'!$D$27:$AH$266,'Jun'!$D$27:$AH$266,'Jul'!$D$27:$AH$266,'Aug'!$D$27:$AH$266,'Sep'!$D$27:$AH$266,'Oct'!$D$27:$AH$266,'Nov'!$D$27:$AH$266,'Dec'!$D$27:$AH$266,'Jan (next year)'!$D$27:$AH$266),27+4*(IFERROR(MATCH(C1236,Roster!$B$6:$B$65,0),MATCH(C1236,Roster!$C$6:$C$65,0))-1)+MATCH(B1236,{"AM","PM","NIGHT","WD"},0)-1-27+1,DAY(A1236))&amp;"",""))</f>
        <v/>
      </c>
      <c r="G1236" s="123">
        <f>IF(OR(A1236="",C1236="",B1236="",E1236=""),"",IFERROR(A1236&amp;"|"&amp;(27+4*(IFERROR(MATCH(C1236,Roster!$B$6:$B$65,0),MATCH(C1236,Roster!$C$6:$C$65,0))-1)+MATCH(B1236,{"AM","PM","NIGHT","WD"},0)-1),""))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$266,'Feb'!$D$27:$AH$266,'Mar'!$D$27:$AH$266,'Apr'!$D$27:$AH$266,'May'!$D$27:$AH$266,'Jun'!$D$27:$AH$266,'Jul'!$D$27:$AH$266,'Aug'!$D$27:$AH$266,'Sep'!$D$27:$AH$266,'Oct'!$D$27:$AH$266,'Nov'!$D$27:$AH$266,'Dec'!$D$27:$AH$266,'Jan (next year)'!$D$27:$AH$266),27+4*(IFERROR(MATCH(C1237,Roster!$B$6:$B$65,0),MATCH(C1237,Roster!$C$6:$C$65,0))-1)+MATCH(B1237,{"AM","PM","NIGHT","WD"},0)-1-27+1,DAY(A1237))&amp;"",""))</f>
        <v/>
      </c>
      <c r="G1237" s="123">
        <f>IF(OR(A1237="",C1237="",B1237="",E1237=""),"",IFERROR(A1237&amp;"|"&amp;(27+4*(IFERROR(MATCH(C1237,Roster!$B$6:$B$65,0),MATCH(C1237,Roster!$C$6:$C$65,0))-1)+MATCH(B1237,{"AM","PM","NIGHT","WD"},0)-1),""))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$266,'Feb'!$D$27:$AH$266,'Mar'!$D$27:$AH$266,'Apr'!$D$27:$AH$266,'May'!$D$27:$AH$266,'Jun'!$D$27:$AH$266,'Jul'!$D$27:$AH$266,'Aug'!$D$27:$AH$266,'Sep'!$D$27:$AH$266,'Oct'!$D$27:$AH$266,'Nov'!$D$27:$AH$266,'Dec'!$D$27:$AH$266,'Jan (next year)'!$D$27:$AH$266),27+4*(IFERROR(MATCH(C1238,Roster!$B$6:$B$65,0),MATCH(C1238,Roster!$C$6:$C$65,0))-1)+MATCH(B1238,{"AM","PM","NIGHT","WD"},0)-1-27+1,DAY(A1238))&amp;"",""))</f>
        <v/>
      </c>
      <c r="G1238" s="123">
        <f>IF(OR(A1238="",C1238="",B1238="",E1238=""),"",IFERROR(A1238&amp;"|"&amp;(27+4*(IFERROR(MATCH(C1238,Roster!$B$6:$B$65,0),MATCH(C1238,Roster!$C$6:$C$65,0))-1)+MATCH(B1238,{"AM","PM","NIGHT","WD"},0)-1),""))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$266,'Feb'!$D$27:$AH$266,'Mar'!$D$27:$AH$266,'Apr'!$D$27:$AH$266,'May'!$D$27:$AH$266,'Jun'!$D$27:$AH$266,'Jul'!$D$27:$AH$266,'Aug'!$D$27:$AH$266,'Sep'!$D$27:$AH$266,'Oct'!$D$27:$AH$266,'Nov'!$D$27:$AH$266,'Dec'!$D$27:$AH$266,'Jan (next year)'!$D$27:$AH$266),27+4*(IFERROR(MATCH(C1239,Roster!$B$6:$B$65,0),MATCH(C1239,Roster!$C$6:$C$65,0))-1)+MATCH(B1239,{"AM","PM","NIGHT","WD"},0)-1-27+1,DAY(A1239))&amp;"",""))</f>
        <v/>
      </c>
      <c r="G1239" s="123">
        <f>IF(OR(A1239="",C1239="",B1239="",E1239=""),"",IFERROR(A1239&amp;"|"&amp;(27+4*(IFERROR(MATCH(C1239,Roster!$B$6:$B$65,0),MATCH(C1239,Roster!$C$6:$C$65,0))-1)+MATCH(B1239,{"AM","PM","NIGHT","WD"},0)-1),""))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$266,'Feb'!$D$27:$AH$266,'Mar'!$D$27:$AH$266,'Apr'!$D$27:$AH$266,'May'!$D$27:$AH$266,'Jun'!$D$27:$AH$266,'Jul'!$D$27:$AH$266,'Aug'!$D$27:$AH$266,'Sep'!$D$27:$AH$266,'Oct'!$D$27:$AH$266,'Nov'!$D$27:$AH$266,'Dec'!$D$27:$AH$266,'Jan (next year)'!$D$27:$AH$266),27+4*(IFERROR(MATCH(C1240,Roster!$B$6:$B$65,0),MATCH(C1240,Roster!$C$6:$C$65,0))-1)+MATCH(B1240,{"AM","PM","NIGHT","WD"},0)-1-27+1,DAY(A1240))&amp;"",""))</f>
        <v/>
      </c>
      <c r="G1240" s="123">
        <f>IF(OR(A1240="",C1240="",B1240="",E1240=""),"",IFERROR(A1240&amp;"|"&amp;(27+4*(IFERROR(MATCH(C1240,Roster!$B$6:$B$65,0),MATCH(C1240,Roster!$C$6:$C$65,0))-1)+MATCH(B1240,{"AM","PM","NIGHT","WD"},0)-1),""))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$266,'Feb'!$D$27:$AH$266,'Mar'!$D$27:$AH$266,'Apr'!$D$27:$AH$266,'May'!$D$27:$AH$266,'Jun'!$D$27:$AH$266,'Jul'!$D$27:$AH$266,'Aug'!$D$27:$AH$266,'Sep'!$D$27:$AH$266,'Oct'!$D$27:$AH$266,'Nov'!$D$27:$AH$266,'Dec'!$D$27:$AH$266,'Jan (next year)'!$D$27:$AH$266),27+4*(IFERROR(MATCH(C1241,Roster!$B$6:$B$65,0),MATCH(C1241,Roster!$C$6:$C$65,0))-1)+MATCH(B1241,{"AM","PM","NIGHT","WD"},0)-1-27+1,DAY(A1241))&amp;"",""))</f>
        <v/>
      </c>
      <c r="G1241" s="123">
        <f>IF(OR(A1241="",C1241="",B1241="",E1241=""),"",IFERROR(A1241&amp;"|"&amp;(27+4*(IFERROR(MATCH(C1241,Roster!$B$6:$B$65,0),MATCH(C1241,Roster!$C$6:$C$65,0))-1)+MATCH(B1241,{"AM","PM","NIGHT","WD"},0)-1),""))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$266,'Feb'!$D$27:$AH$266,'Mar'!$D$27:$AH$266,'Apr'!$D$27:$AH$266,'May'!$D$27:$AH$266,'Jun'!$D$27:$AH$266,'Jul'!$D$27:$AH$266,'Aug'!$D$27:$AH$266,'Sep'!$D$27:$AH$266,'Oct'!$D$27:$AH$266,'Nov'!$D$27:$AH$266,'Dec'!$D$27:$AH$266,'Jan (next year)'!$D$27:$AH$266),27+4*(IFERROR(MATCH(C1242,Roster!$B$6:$B$65,0),MATCH(C1242,Roster!$C$6:$C$65,0))-1)+MATCH(B1242,{"AM","PM","NIGHT","WD"},0)-1-27+1,DAY(A1242))&amp;"",""))</f>
        <v/>
      </c>
      <c r="G1242" s="123">
        <f>IF(OR(A1242="",C1242="",B1242="",E1242=""),"",IFERROR(A1242&amp;"|"&amp;(27+4*(IFERROR(MATCH(C1242,Roster!$B$6:$B$65,0),MATCH(C1242,Roster!$C$6:$C$65,0))-1)+MATCH(B1242,{"AM","PM","NIGHT","WD"},0)-1),""))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$266,'Feb'!$D$27:$AH$266,'Mar'!$D$27:$AH$266,'Apr'!$D$27:$AH$266,'May'!$D$27:$AH$266,'Jun'!$D$27:$AH$266,'Jul'!$D$27:$AH$266,'Aug'!$D$27:$AH$266,'Sep'!$D$27:$AH$266,'Oct'!$D$27:$AH$266,'Nov'!$D$27:$AH$266,'Dec'!$D$27:$AH$266,'Jan (next year)'!$D$27:$AH$266),27+4*(IFERROR(MATCH(C1243,Roster!$B$6:$B$65,0),MATCH(C1243,Roster!$C$6:$C$65,0))-1)+MATCH(B1243,{"AM","PM","NIGHT","WD"},0)-1-27+1,DAY(A1243))&amp;"",""))</f>
        <v/>
      </c>
      <c r="G1243" s="123">
        <f>IF(OR(A1243="",C1243="",B1243="",E1243=""),"",IFERROR(A1243&amp;"|"&amp;(27+4*(IFERROR(MATCH(C1243,Roster!$B$6:$B$65,0),MATCH(C1243,Roster!$C$6:$C$65,0))-1)+MATCH(B1243,{"AM","PM","NIGHT","WD"},0)-1),""))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$266,'Feb'!$D$27:$AH$266,'Mar'!$D$27:$AH$266,'Apr'!$D$27:$AH$266,'May'!$D$27:$AH$266,'Jun'!$D$27:$AH$266,'Jul'!$D$27:$AH$266,'Aug'!$D$27:$AH$266,'Sep'!$D$27:$AH$266,'Oct'!$D$27:$AH$266,'Nov'!$D$27:$AH$266,'Dec'!$D$27:$AH$266,'Jan (next year)'!$D$27:$AH$266),27+4*(IFERROR(MATCH(C1244,Roster!$B$6:$B$65,0),MATCH(C1244,Roster!$C$6:$C$65,0))-1)+MATCH(B1244,{"AM","PM","NIGHT","WD"},0)-1-27+1,DAY(A1244))&amp;"",""))</f>
        <v/>
      </c>
      <c r="G1244" s="123">
        <f>IF(OR(A1244="",C1244="",B1244="",E1244=""),"",IFERROR(A1244&amp;"|"&amp;(27+4*(IFERROR(MATCH(C1244,Roster!$B$6:$B$65,0),MATCH(C1244,Roster!$C$6:$C$65,0))-1)+MATCH(B1244,{"AM","PM","NIGHT","WD"},0)-1),""))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$266,'Feb'!$D$27:$AH$266,'Mar'!$D$27:$AH$266,'Apr'!$D$27:$AH$266,'May'!$D$27:$AH$266,'Jun'!$D$27:$AH$266,'Jul'!$D$27:$AH$266,'Aug'!$D$27:$AH$266,'Sep'!$D$27:$AH$266,'Oct'!$D$27:$AH$266,'Nov'!$D$27:$AH$266,'Dec'!$D$27:$AH$266,'Jan (next year)'!$D$27:$AH$266),27+4*(IFERROR(MATCH(C1245,Roster!$B$6:$B$65,0),MATCH(C1245,Roster!$C$6:$C$65,0))-1)+MATCH(B1245,{"AM","PM","NIGHT","WD"},0)-1-27+1,DAY(A1245))&amp;"",""))</f>
        <v/>
      </c>
      <c r="G1245" s="123">
        <f>IF(OR(A1245="",C1245="",B1245="",E1245=""),"",IFERROR(A1245&amp;"|"&amp;(27+4*(IFERROR(MATCH(C1245,Roster!$B$6:$B$65,0),MATCH(C1245,Roster!$C$6:$C$65,0))-1)+MATCH(B1245,{"AM","PM","NIGHT","WD"},0)-1),""))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$266,'Feb'!$D$27:$AH$266,'Mar'!$D$27:$AH$266,'Apr'!$D$27:$AH$266,'May'!$D$27:$AH$266,'Jun'!$D$27:$AH$266,'Jul'!$D$27:$AH$266,'Aug'!$D$27:$AH$266,'Sep'!$D$27:$AH$266,'Oct'!$D$27:$AH$266,'Nov'!$D$27:$AH$266,'Dec'!$D$27:$AH$266,'Jan (next year)'!$D$27:$AH$266),27+4*(IFERROR(MATCH(C1246,Roster!$B$6:$B$65,0),MATCH(C1246,Roster!$C$6:$C$65,0))-1)+MATCH(B1246,{"AM","PM","NIGHT","WD"},0)-1-27+1,DAY(A1246))&amp;"",""))</f>
        <v/>
      </c>
      <c r="G1246" s="123">
        <f>IF(OR(A1246="",C1246="",B1246="",E1246=""),"",IFERROR(A1246&amp;"|"&amp;(27+4*(IFERROR(MATCH(C1246,Roster!$B$6:$B$65,0),MATCH(C1246,Roster!$C$6:$C$65,0))-1)+MATCH(B1246,{"AM","PM","NIGHT","WD"},0)-1),""))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$266,'Feb'!$D$27:$AH$266,'Mar'!$D$27:$AH$266,'Apr'!$D$27:$AH$266,'May'!$D$27:$AH$266,'Jun'!$D$27:$AH$266,'Jul'!$D$27:$AH$266,'Aug'!$D$27:$AH$266,'Sep'!$D$27:$AH$266,'Oct'!$D$27:$AH$266,'Nov'!$D$27:$AH$266,'Dec'!$D$27:$AH$266,'Jan (next year)'!$D$27:$AH$266),27+4*(IFERROR(MATCH(C1247,Roster!$B$6:$B$65,0),MATCH(C1247,Roster!$C$6:$C$65,0))-1)+MATCH(B1247,{"AM","PM","NIGHT","WD"},0)-1-27+1,DAY(A1247))&amp;"",""))</f>
        <v/>
      </c>
      <c r="G1247" s="123">
        <f>IF(OR(A1247="",C1247="",B1247="",E1247=""),"",IFERROR(A1247&amp;"|"&amp;(27+4*(IFERROR(MATCH(C1247,Roster!$B$6:$B$65,0),MATCH(C1247,Roster!$C$6:$C$65,0))-1)+MATCH(B1247,{"AM","PM","NIGHT","WD"},0)-1),""))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$266,'Feb'!$D$27:$AH$266,'Mar'!$D$27:$AH$266,'Apr'!$D$27:$AH$266,'May'!$D$27:$AH$266,'Jun'!$D$27:$AH$266,'Jul'!$D$27:$AH$266,'Aug'!$D$27:$AH$266,'Sep'!$D$27:$AH$266,'Oct'!$D$27:$AH$266,'Nov'!$D$27:$AH$266,'Dec'!$D$27:$AH$266,'Jan (next year)'!$D$27:$AH$266),27+4*(IFERROR(MATCH(C1248,Roster!$B$6:$B$65,0),MATCH(C1248,Roster!$C$6:$C$65,0))-1)+MATCH(B1248,{"AM","PM","NIGHT","WD"},0)-1-27+1,DAY(A1248))&amp;"",""))</f>
        <v/>
      </c>
      <c r="G1248" s="123">
        <f>IF(OR(A1248="",C1248="",B1248="",E1248=""),"",IFERROR(A1248&amp;"|"&amp;(27+4*(IFERROR(MATCH(C1248,Roster!$B$6:$B$65,0),MATCH(C1248,Roster!$C$6:$C$65,0))-1)+MATCH(B1248,{"AM","PM","NIGHT","WD"},0)-1),""))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$266,'Feb'!$D$27:$AH$266,'Mar'!$D$27:$AH$266,'Apr'!$D$27:$AH$266,'May'!$D$27:$AH$266,'Jun'!$D$27:$AH$266,'Jul'!$D$27:$AH$266,'Aug'!$D$27:$AH$266,'Sep'!$D$27:$AH$266,'Oct'!$D$27:$AH$266,'Nov'!$D$27:$AH$266,'Dec'!$D$27:$AH$266,'Jan (next year)'!$D$27:$AH$266),27+4*(IFERROR(MATCH(C1249,Roster!$B$6:$B$65,0),MATCH(C1249,Roster!$C$6:$C$65,0))-1)+MATCH(B1249,{"AM","PM","NIGHT","WD"},0)-1-27+1,DAY(A1249))&amp;"",""))</f>
        <v/>
      </c>
      <c r="G1249" s="123">
        <f>IF(OR(A1249="",C1249="",B1249="",E1249=""),"",IFERROR(A1249&amp;"|"&amp;(27+4*(IFERROR(MATCH(C1249,Roster!$B$6:$B$65,0),MATCH(C1249,Roster!$C$6:$C$65,0))-1)+MATCH(B1249,{"AM","PM","NIGHT","WD"},0)-1),""))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$266,'Feb'!$D$27:$AH$266,'Mar'!$D$27:$AH$266,'Apr'!$D$27:$AH$266,'May'!$D$27:$AH$266,'Jun'!$D$27:$AH$266,'Jul'!$D$27:$AH$266,'Aug'!$D$27:$AH$266,'Sep'!$D$27:$AH$266,'Oct'!$D$27:$AH$266,'Nov'!$D$27:$AH$266,'Dec'!$D$27:$AH$266,'Jan (next year)'!$D$27:$AH$266),27+4*(IFERROR(MATCH(C1250,Roster!$B$6:$B$65,0),MATCH(C1250,Roster!$C$6:$C$65,0))-1)+MATCH(B1250,{"AM","PM","NIGHT","WD"},0)-1-27+1,DAY(A1250))&amp;"",""))</f>
        <v/>
      </c>
      <c r="G1250" s="123">
        <f>IF(OR(A1250="",C1250="",B1250="",E1250=""),"",IFERROR(A1250&amp;"|"&amp;(27+4*(IFERROR(MATCH(C1250,Roster!$B$6:$B$65,0),MATCH(C1250,Roster!$C$6:$C$65,0))-1)+MATCH(B1250,{"AM","PM","NIGHT","WD"},0)-1),""))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$266,'Feb'!$D$27:$AH$266,'Mar'!$D$27:$AH$266,'Apr'!$D$27:$AH$266,'May'!$D$27:$AH$266,'Jun'!$D$27:$AH$266,'Jul'!$D$27:$AH$266,'Aug'!$D$27:$AH$266,'Sep'!$D$27:$AH$266,'Oct'!$D$27:$AH$266,'Nov'!$D$27:$AH$266,'Dec'!$D$27:$AH$266,'Jan (next year)'!$D$27:$AH$266),27+4*(IFERROR(MATCH(C1251,Roster!$B$6:$B$65,0),MATCH(C1251,Roster!$C$6:$C$65,0))-1)+MATCH(B1251,{"AM","PM","NIGHT","WD"},0)-1-27+1,DAY(A1251))&amp;"",""))</f>
        <v/>
      </c>
      <c r="G1251" s="123">
        <f>IF(OR(A1251="",C1251="",B1251="",E1251=""),"",IFERROR(A1251&amp;"|"&amp;(27+4*(IFERROR(MATCH(C1251,Roster!$B$6:$B$65,0),MATCH(C1251,Roster!$C$6:$C$65,0))-1)+MATCH(B1251,{"AM","PM","NIGHT","WD"},0)-1),""))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$266,'Feb'!$D$27:$AH$266,'Mar'!$D$27:$AH$266,'Apr'!$D$27:$AH$266,'May'!$D$27:$AH$266,'Jun'!$D$27:$AH$266,'Jul'!$D$27:$AH$266,'Aug'!$D$27:$AH$266,'Sep'!$D$27:$AH$266,'Oct'!$D$27:$AH$266,'Nov'!$D$27:$AH$266,'Dec'!$D$27:$AH$266,'Jan (next year)'!$D$27:$AH$266),27+4*(IFERROR(MATCH(C1252,Roster!$B$6:$B$65,0),MATCH(C1252,Roster!$C$6:$C$65,0))-1)+MATCH(B1252,{"AM","PM","NIGHT","WD"},0)-1-27+1,DAY(A1252))&amp;"",""))</f>
        <v/>
      </c>
      <c r="G1252" s="123">
        <f>IF(OR(A1252="",C1252="",B1252="",E1252=""),"",IFERROR(A1252&amp;"|"&amp;(27+4*(IFERROR(MATCH(C1252,Roster!$B$6:$B$65,0),MATCH(C1252,Roster!$C$6:$C$65,0))-1)+MATCH(B1252,{"AM","PM","NIGHT","WD"},0)-1),""))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$266,'Feb'!$D$27:$AH$266,'Mar'!$D$27:$AH$266,'Apr'!$D$27:$AH$266,'May'!$D$27:$AH$266,'Jun'!$D$27:$AH$266,'Jul'!$D$27:$AH$266,'Aug'!$D$27:$AH$266,'Sep'!$D$27:$AH$266,'Oct'!$D$27:$AH$266,'Nov'!$D$27:$AH$266,'Dec'!$D$27:$AH$266,'Jan (next year)'!$D$27:$AH$266),27+4*(IFERROR(MATCH(C1253,Roster!$B$6:$B$65,0),MATCH(C1253,Roster!$C$6:$C$65,0))-1)+MATCH(B1253,{"AM","PM","NIGHT","WD"},0)-1-27+1,DAY(A1253))&amp;"",""))</f>
        <v/>
      </c>
      <c r="G1253" s="123">
        <f>IF(OR(A1253="",C1253="",B1253="",E1253=""),"",IFERROR(A1253&amp;"|"&amp;(27+4*(IFERROR(MATCH(C1253,Roster!$B$6:$B$65,0),MATCH(C1253,Roster!$C$6:$C$65,0))-1)+MATCH(B1253,{"AM","PM","NIGHT","WD"},0)-1),""))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$266,'Feb'!$D$27:$AH$266,'Mar'!$D$27:$AH$266,'Apr'!$D$27:$AH$266,'May'!$D$27:$AH$266,'Jun'!$D$27:$AH$266,'Jul'!$D$27:$AH$266,'Aug'!$D$27:$AH$266,'Sep'!$D$27:$AH$266,'Oct'!$D$27:$AH$266,'Nov'!$D$27:$AH$266,'Dec'!$D$27:$AH$266,'Jan (next year)'!$D$27:$AH$266),27+4*(IFERROR(MATCH(C1254,Roster!$B$6:$B$65,0),MATCH(C1254,Roster!$C$6:$C$65,0))-1)+MATCH(B1254,{"AM","PM","NIGHT","WD"},0)-1-27+1,DAY(A1254))&amp;"",""))</f>
        <v/>
      </c>
      <c r="G1254" s="123">
        <f>IF(OR(A1254="",C1254="",B1254="",E1254=""),"",IFERROR(A1254&amp;"|"&amp;(27+4*(IFERROR(MATCH(C1254,Roster!$B$6:$B$65,0),MATCH(C1254,Roster!$C$6:$C$65,0))-1)+MATCH(B1254,{"AM","PM","NIGHT","WD"},0)-1),""))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$266,'Feb'!$D$27:$AH$266,'Mar'!$D$27:$AH$266,'Apr'!$D$27:$AH$266,'May'!$D$27:$AH$266,'Jun'!$D$27:$AH$266,'Jul'!$D$27:$AH$266,'Aug'!$D$27:$AH$266,'Sep'!$D$27:$AH$266,'Oct'!$D$27:$AH$266,'Nov'!$D$27:$AH$266,'Dec'!$D$27:$AH$266,'Jan (next year)'!$D$27:$AH$266),27+4*(IFERROR(MATCH(C1255,Roster!$B$6:$B$65,0),MATCH(C1255,Roster!$C$6:$C$65,0))-1)+MATCH(B1255,{"AM","PM","NIGHT","WD"},0)-1-27+1,DAY(A1255))&amp;"",""))</f>
        <v/>
      </c>
      <c r="G1255" s="123">
        <f>IF(OR(A1255="",C1255="",B1255="",E1255=""),"",IFERROR(A1255&amp;"|"&amp;(27+4*(IFERROR(MATCH(C1255,Roster!$B$6:$B$65,0),MATCH(C1255,Roster!$C$6:$C$65,0))-1)+MATCH(B1255,{"AM","PM","NIGHT","WD"},0)-1),""))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$266,'Feb'!$D$27:$AH$266,'Mar'!$D$27:$AH$266,'Apr'!$D$27:$AH$266,'May'!$D$27:$AH$266,'Jun'!$D$27:$AH$266,'Jul'!$D$27:$AH$266,'Aug'!$D$27:$AH$266,'Sep'!$D$27:$AH$266,'Oct'!$D$27:$AH$266,'Nov'!$D$27:$AH$266,'Dec'!$D$27:$AH$266,'Jan (next year)'!$D$27:$AH$266),27+4*(IFERROR(MATCH(C1256,Roster!$B$6:$B$65,0),MATCH(C1256,Roster!$C$6:$C$65,0))-1)+MATCH(B1256,{"AM","PM","NIGHT","WD"},0)-1-27+1,DAY(A1256))&amp;"",""))</f>
        <v/>
      </c>
      <c r="G1256" s="123">
        <f>IF(OR(A1256="",C1256="",B1256="",E1256=""),"",IFERROR(A1256&amp;"|"&amp;(27+4*(IFERROR(MATCH(C1256,Roster!$B$6:$B$65,0),MATCH(C1256,Roster!$C$6:$C$65,0))-1)+MATCH(B1256,{"AM","PM","NIGHT","WD"},0)-1),""))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$266,'Feb'!$D$27:$AH$266,'Mar'!$D$27:$AH$266,'Apr'!$D$27:$AH$266,'May'!$D$27:$AH$266,'Jun'!$D$27:$AH$266,'Jul'!$D$27:$AH$266,'Aug'!$D$27:$AH$266,'Sep'!$D$27:$AH$266,'Oct'!$D$27:$AH$266,'Nov'!$D$27:$AH$266,'Dec'!$D$27:$AH$266,'Jan (next year)'!$D$27:$AH$266),27+4*(IFERROR(MATCH(C1257,Roster!$B$6:$B$65,0),MATCH(C1257,Roster!$C$6:$C$65,0))-1)+MATCH(B1257,{"AM","PM","NIGHT","WD"},0)-1-27+1,DAY(A1257))&amp;"",""))</f>
        <v/>
      </c>
      <c r="G1257" s="123">
        <f>IF(OR(A1257="",C1257="",B1257="",E1257=""),"",IFERROR(A1257&amp;"|"&amp;(27+4*(IFERROR(MATCH(C1257,Roster!$B$6:$B$65,0),MATCH(C1257,Roster!$C$6:$C$65,0))-1)+MATCH(B1257,{"AM","PM","NIGHT","WD"},0)-1),""))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$266,'Feb'!$D$27:$AH$266,'Mar'!$D$27:$AH$266,'Apr'!$D$27:$AH$266,'May'!$D$27:$AH$266,'Jun'!$D$27:$AH$266,'Jul'!$D$27:$AH$266,'Aug'!$D$27:$AH$266,'Sep'!$D$27:$AH$266,'Oct'!$D$27:$AH$266,'Nov'!$D$27:$AH$266,'Dec'!$D$27:$AH$266,'Jan (next year)'!$D$27:$AH$266),27+4*(IFERROR(MATCH(C1258,Roster!$B$6:$B$65,0),MATCH(C1258,Roster!$C$6:$C$65,0))-1)+MATCH(B1258,{"AM","PM","NIGHT","WD"},0)-1-27+1,DAY(A1258))&amp;"",""))</f>
        <v/>
      </c>
      <c r="G1258" s="123">
        <f>IF(OR(A1258="",C1258="",B1258="",E1258=""),"",IFERROR(A1258&amp;"|"&amp;(27+4*(IFERROR(MATCH(C1258,Roster!$B$6:$B$65,0),MATCH(C1258,Roster!$C$6:$C$65,0))-1)+MATCH(B1258,{"AM","PM","NIGHT","WD"},0)-1),""))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$266,'Feb'!$D$27:$AH$266,'Mar'!$D$27:$AH$266,'Apr'!$D$27:$AH$266,'May'!$D$27:$AH$266,'Jun'!$D$27:$AH$266,'Jul'!$D$27:$AH$266,'Aug'!$D$27:$AH$266,'Sep'!$D$27:$AH$266,'Oct'!$D$27:$AH$266,'Nov'!$D$27:$AH$266,'Dec'!$D$27:$AH$266,'Jan (next year)'!$D$27:$AH$266),27+4*(IFERROR(MATCH(C1259,Roster!$B$6:$B$65,0),MATCH(C1259,Roster!$C$6:$C$65,0))-1)+MATCH(B1259,{"AM","PM","NIGHT","WD"},0)-1-27+1,DAY(A1259))&amp;"",""))</f>
        <v/>
      </c>
      <c r="G1259" s="123">
        <f>IF(OR(A1259="",C1259="",B1259="",E1259=""),"",IFERROR(A1259&amp;"|"&amp;(27+4*(IFERROR(MATCH(C1259,Roster!$B$6:$B$65,0),MATCH(C1259,Roster!$C$6:$C$65,0))-1)+MATCH(B1259,{"AM","PM","NIGHT","WD"},0)-1),""))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$266,'Feb'!$D$27:$AH$266,'Mar'!$D$27:$AH$266,'Apr'!$D$27:$AH$266,'May'!$D$27:$AH$266,'Jun'!$D$27:$AH$266,'Jul'!$D$27:$AH$266,'Aug'!$D$27:$AH$266,'Sep'!$D$27:$AH$266,'Oct'!$D$27:$AH$266,'Nov'!$D$27:$AH$266,'Dec'!$D$27:$AH$266,'Jan (next year)'!$D$27:$AH$266),27+4*(IFERROR(MATCH(C1260,Roster!$B$6:$B$65,0),MATCH(C1260,Roster!$C$6:$C$65,0))-1)+MATCH(B1260,{"AM","PM","NIGHT","WD"},0)-1-27+1,DAY(A1260))&amp;"",""))</f>
        <v/>
      </c>
      <c r="G1260" s="123">
        <f>IF(OR(A1260="",C1260="",B1260="",E1260=""),"",IFERROR(A1260&amp;"|"&amp;(27+4*(IFERROR(MATCH(C1260,Roster!$B$6:$B$65,0),MATCH(C1260,Roster!$C$6:$C$65,0))-1)+MATCH(B1260,{"AM","PM","NIGHT","WD"},0)-1),""))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$266,'Feb'!$D$27:$AH$266,'Mar'!$D$27:$AH$266,'Apr'!$D$27:$AH$266,'May'!$D$27:$AH$266,'Jun'!$D$27:$AH$266,'Jul'!$D$27:$AH$266,'Aug'!$D$27:$AH$266,'Sep'!$D$27:$AH$266,'Oct'!$D$27:$AH$266,'Nov'!$D$27:$AH$266,'Dec'!$D$27:$AH$266,'Jan (next year)'!$D$27:$AH$266),27+4*(IFERROR(MATCH(C1261,Roster!$B$6:$B$65,0),MATCH(C1261,Roster!$C$6:$C$65,0))-1)+MATCH(B1261,{"AM","PM","NIGHT","WD"},0)-1-27+1,DAY(A1261))&amp;"",""))</f>
        <v/>
      </c>
      <c r="G1261" s="123">
        <f>IF(OR(A1261="",C1261="",B1261="",E1261=""),"",IFERROR(A1261&amp;"|"&amp;(27+4*(IFERROR(MATCH(C1261,Roster!$B$6:$B$65,0),MATCH(C1261,Roster!$C$6:$C$65,0))-1)+MATCH(B1261,{"AM","PM","NIGHT","WD"},0)-1),""))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$266,'Feb'!$D$27:$AH$266,'Mar'!$D$27:$AH$266,'Apr'!$D$27:$AH$266,'May'!$D$27:$AH$266,'Jun'!$D$27:$AH$266,'Jul'!$D$27:$AH$266,'Aug'!$D$27:$AH$266,'Sep'!$D$27:$AH$266,'Oct'!$D$27:$AH$266,'Nov'!$D$27:$AH$266,'Dec'!$D$27:$AH$266,'Jan (next year)'!$D$27:$AH$266),27+4*(IFERROR(MATCH(C1262,Roster!$B$6:$B$65,0),MATCH(C1262,Roster!$C$6:$C$65,0))-1)+MATCH(B1262,{"AM","PM","NIGHT","WD"},0)-1-27+1,DAY(A1262))&amp;"",""))</f>
        <v/>
      </c>
      <c r="G1262" s="123">
        <f>IF(OR(A1262="",C1262="",B1262="",E1262=""),"",IFERROR(A1262&amp;"|"&amp;(27+4*(IFERROR(MATCH(C1262,Roster!$B$6:$B$65,0),MATCH(C1262,Roster!$C$6:$C$65,0))-1)+MATCH(B1262,{"AM","PM","NIGHT","WD"},0)-1),""))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$266,'Feb'!$D$27:$AH$266,'Mar'!$D$27:$AH$266,'Apr'!$D$27:$AH$266,'May'!$D$27:$AH$266,'Jun'!$D$27:$AH$266,'Jul'!$D$27:$AH$266,'Aug'!$D$27:$AH$266,'Sep'!$D$27:$AH$266,'Oct'!$D$27:$AH$266,'Nov'!$D$27:$AH$266,'Dec'!$D$27:$AH$266,'Jan (next year)'!$D$27:$AH$266),27+4*(IFERROR(MATCH(C1263,Roster!$B$6:$B$65,0),MATCH(C1263,Roster!$C$6:$C$65,0))-1)+MATCH(B1263,{"AM","PM","NIGHT","WD"},0)-1-27+1,DAY(A1263))&amp;"",""))</f>
        <v/>
      </c>
      <c r="G1263" s="123">
        <f>IF(OR(A1263="",C1263="",B1263="",E1263=""),"",IFERROR(A1263&amp;"|"&amp;(27+4*(IFERROR(MATCH(C1263,Roster!$B$6:$B$65,0),MATCH(C1263,Roster!$C$6:$C$65,0))-1)+MATCH(B1263,{"AM","PM","NIGHT","WD"},0)-1),""))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$266,'Feb'!$D$27:$AH$266,'Mar'!$D$27:$AH$266,'Apr'!$D$27:$AH$266,'May'!$D$27:$AH$266,'Jun'!$D$27:$AH$266,'Jul'!$D$27:$AH$266,'Aug'!$D$27:$AH$266,'Sep'!$D$27:$AH$266,'Oct'!$D$27:$AH$266,'Nov'!$D$27:$AH$266,'Dec'!$D$27:$AH$266,'Jan (next year)'!$D$27:$AH$266),27+4*(IFERROR(MATCH(C1264,Roster!$B$6:$B$65,0),MATCH(C1264,Roster!$C$6:$C$65,0))-1)+MATCH(B1264,{"AM","PM","NIGHT","WD"},0)-1-27+1,DAY(A1264))&amp;"",""))</f>
        <v/>
      </c>
      <c r="G1264" s="123">
        <f>IF(OR(A1264="",C1264="",B1264="",E1264=""),"",IFERROR(A1264&amp;"|"&amp;(27+4*(IFERROR(MATCH(C1264,Roster!$B$6:$B$65,0),MATCH(C1264,Roster!$C$6:$C$65,0))-1)+MATCH(B1264,{"AM","PM","NIGHT","WD"},0)-1),""))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$266,'Feb'!$D$27:$AH$266,'Mar'!$D$27:$AH$266,'Apr'!$D$27:$AH$266,'May'!$D$27:$AH$266,'Jun'!$D$27:$AH$266,'Jul'!$D$27:$AH$266,'Aug'!$D$27:$AH$266,'Sep'!$D$27:$AH$266,'Oct'!$D$27:$AH$266,'Nov'!$D$27:$AH$266,'Dec'!$D$27:$AH$266,'Jan (next year)'!$D$27:$AH$266),27+4*(IFERROR(MATCH(C1265,Roster!$B$6:$B$65,0),MATCH(C1265,Roster!$C$6:$C$65,0))-1)+MATCH(B1265,{"AM","PM","NIGHT","WD"},0)-1-27+1,DAY(A1265))&amp;"",""))</f>
        <v/>
      </c>
      <c r="G1265" s="123">
        <f>IF(OR(A1265="",C1265="",B1265="",E1265=""),"",IFERROR(A1265&amp;"|"&amp;(27+4*(IFERROR(MATCH(C1265,Roster!$B$6:$B$65,0),MATCH(C1265,Roster!$C$6:$C$65,0))-1)+MATCH(B1265,{"AM","PM","NIGHT","WD"},0)-1),""))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$266,'Feb'!$D$27:$AH$266,'Mar'!$D$27:$AH$266,'Apr'!$D$27:$AH$266,'May'!$D$27:$AH$266,'Jun'!$D$27:$AH$266,'Jul'!$D$27:$AH$266,'Aug'!$D$27:$AH$266,'Sep'!$D$27:$AH$266,'Oct'!$D$27:$AH$266,'Nov'!$D$27:$AH$266,'Dec'!$D$27:$AH$266,'Jan (next year)'!$D$27:$AH$266),27+4*(IFERROR(MATCH(C1266,Roster!$B$6:$B$65,0),MATCH(C1266,Roster!$C$6:$C$65,0))-1)+MATCH(B1266,{"AM","PM","NIGHT","WD"},0)-1-27+1,DAY(A1266))&amp;"",""))</f>
        <v/>
      </c>
      <c r="G1266" s="123">
        <f>IF(OR(A1266="",C1266="",B1266="",E1266=""),"",IFERROR(A1266&amp;"|"&amp;(27+4*(IFERROR(MATCH(C1266,Roster!$B$6:$B$65,0),MATCH(C1266,Roster!$C$6:$C$65,0))-1)+MATCH(B1266,{"AM","PM","NIGHT","WD"},0)-1),""))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$266,'Feb'!$D$27:$AH$266,'Mar'!$D$27:$AH$266,'Apr'!$D$27:$AH$266,'May'!$D$27:$AH$266,'Jun'!$D$27:$AH$266,'Jul'!$D$27:$AH$266,'Aug'!$D$27:$AH$266,'Sep'!$D$27:$AH$266,'Oct'!$D$27:$AH$266,'Nov'!$D$27:$AH$266,'Dec'!$D$27:$AH$266,'Jan (next year)'!$D$27:$AH$266),27+4*(IFERROR(MATCH(C1267,Roster!$B$6:$B$65,0),MATCH(C1267,Roster!$C$6:$C$65,0))-1)+MATCH(B1267,{"AM","PM","NIGHT","WD"},0)-1-27+1,DAY(A1267))&amp;"",""))</f>
        <v/>
      </c>
      <c r="G1267" s="123">
        <f>IF(OR(A1267="",C1267="",B1267="",E1267=""),"",IFERROR(A1267&amp;"|"&amp;(27+4*(IFERROR(MATCH(C1267,Roster!$B$6:$B$65,0),MATCH(C1267,Roster!$C$6:$C$65,0))-1)+MATCH(B1267,{"AM","PM","NIGHT","WD"},0)-1),""))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$266,'Feb'!$D$27:$AH$266,'Mar'!$D$27:$AH$266,'Apr'!$D$27:$AH$266,'May'!$D$27:$AH$266,'Jun'!$D$27:$AH$266,'Jul'!$D$27:$AH$266,'Aug'!$D$27:$AH$266,'Sep'!$D$27:$AH$266,'Oct'!$D$27:$AH$266,'Nov'!$D$27:$AH$266,'Dec'!$D$27:$AH$266,'Jan (next year)'!$D$27:$AH$266),27+4*(IFERROR(MATCH(C1268,Roster!$B$6:$B$65,0),MATCH(C1268,Roster!$C$6:$C$65,0))-1)+MATCH(B1268,{"AM","PM","NIGHT","WD"},0)-1-27+1,DAY(A1268))&amp;"",""))</f>
        <v/>
      </c>
      <c r="G1268" s="123">
        <f>IF(OR(A1268="",C1268="",B1268="",E1268=""),"",IFERROR(A1268&amp;"|"&amp;(27+4*(IFERROR(MATCH(C1268,Roster!$B$6:$B$65,0),MATCH(C1268,Roster!$C$6:$C$65,0))-1)+MATCH(B1268,{"AM","PM","NIGHT","WD"},0)-1),""))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$266,'Feb'!$D$27:$AH$266,'Mar'!$D$27:$AH$266,'Apr'!$D$27:$AH$266,'May'!$D$27:$AH$266,'Jun'!$D$27:$AH$266,'Jul'!$D$27:$AH$266,'Aug'!$D$27:$AH$266,'Sep'!$D$27:$AH$266,'Oct'!$D$27:$AH$266,'Nov'!$D$27:$AH$266,'Dec'!$D$27:$AH$266,'Jan (next year)'!$D$27:$AH$266),27+4*(IFERROR(MATCH(C1269,Roster!$B$6:$B$65,0),MATCH(C1269,Roster!$C$6:$C$65,0))-1)+MATCH(B1269,{"AM","PM","NIGHT","WD"},0)-1-27+1,DAY(A1269))&amp;"",""))</f>
        <v/>
      </c>
      <c r="G1269" s="123">
        <f>IF(OR(A1269="",C1269="",B1269="",E1269=""),"",IFERROR(A1269&amp;"|"&amp;(27+4*(IFERROR(MATCH(C1269,Roster!$B$6:$B$65,0),MATCH(C1269,Roster!$C$6:$C$65,0))-1)+MATCH(B1269,{"AM","PM","NIGHT","WD"},0)-1),""))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$266,'Feb'!$D$27:$AH$266,'Mar'!$D$27:$AH$266,'Apr'!$D$27:$AH$266,'May'!$D$27:$AH$266,'Jun'!$D$27:$AH$266,'Jul'!$D$27:$AH$266,'Aug'!$D$27:$AH$266,'Sep'!$D$27:$AH$266,'Oct'!$D$27:$AH$266,'Nov'!$D$27:$AH$266,'Dec'!$D$27:$AH$266,'Jan (next year)'!$D$27:$AH$266),27+4*(IFERROR(MATCH(C1270,Roster!$B$6:$B$65,0),MATCH(C1270,Roster!$C$6:$C$65,0))-1)+MATCH(B1270,{"AM","PM","NIGHT","WD"},0)-1-27+1,DAY(A1270))&amp;"",""))</f>
        <v/>
      </c>
      <c r="G1270" s="123">
        <f>IF(OR(A1270="",C1270="",B1270="",E1270=""),"",IFERROR(A1270&amp;"|"&amp;(27+4*(IFERROR(MATCH(C1270,Roster!$B$6:$B$65,0),MATCH(C1270,Roster!$C$6:$C$65,0))-1)+MATCH(B1270,{"AM","PM","NIGHT","WD"},0)-1),""))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$266,'Feb'!$D$27:$AH$266,'Mar'!$D$27:$AH$266,'Apr'!$D$27:$AH$266,'May'!$D$27:$AH$266,'Jun'!$D$27:$AH$266,'Jul'!$D$27:$AH$266,'Aug'!$D$27:$AH$266,'Sep'!$D$27:$AH$266,'Oct'!$D$27:$AH$266,'Nov'!$D$27:$AH$266,'Dec'!$D$27:$AH$266,'Jan (next year)'!$D$27:$AH$266),27+4*(IFERROR(MATCH(C1271,Roster!$B$6:$B$65,0),MATCH(C1271,Roster!$C$6:$C$65,0))-1)+MATCH(B1271,{"AM","PM","NIGHT","WD"},0)-1-27+1,DAY(A1271))&amp;"",""))</f>
        <v/>
      </c>
      <c r="G1271" s="123">
        <f>IF(OR(A1271="",C1271="",B1271="",E1271=""),"",IFERROR(A1271&amp;"|"&amp;(27+4*(IFERROR(MATCH(C1271,Roster!$B$6:$B$65,0),MATCH(C1271,Roster!$C$6:$C$65,0))-1)+MATCH(B1271,{"AM","PM","NIGHT","WD"},0)-1),""))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$266,'Feb'!$D$27:$AH$266,'Mar'!$D$27:$AH$266,'Apr'!$D$27:$AH$266,'May'!$D$27:$AH$266,'Jun'!$D$27:$AH$266,'Jul'!$D$27:$AH$266,'Aug'!$D$27:$AH$266,'Sep'!$D$27:$AH$266,'Oct'!$D$27:$AH$266,'Nov'!$D$27:$AH$266,'Dec'!$D$27:$AH$266,'Jan (next year)'!$D$27:$AH$266),27+4*(IFERROR(MATCH(C1272,Roster!$B$6:$B$65,0),MATCH(C1272,Roster!$C$6:$C$65,0))-1)+MATCH(B1272,{"AM","PM","NIGHT","WD"},0)-1-27+1,DAY(A1272))&amp;"",""))</f>
        <v/>
      </c>
      <c r="G1272" s="123">
        <f>IF(OR(A1272="",C1272="",B1272="",E1272=""),"",IFERROR(A1272&amp;"|"&amp;(27+4*(IFERROR(MATCH(C1272,Roster!$B$6:$B$65,0),MATCH(C1272,Roster!$C$6:$C$65,0))-1)+MATCH(B1272,{"AM","PM","NIGHT","WD"},0)-1),""))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$266,'Feb'!$D$27:$AH$266,'Mar'!$D$27:$AH$266,'Apr'!$D$27:$AH$266,'May'!$D$27:$AH$266,'Jun'!$D$27:$AH$266,'Jul'!$D$27:$AH$266,'Aug'!$D$27:$AH$266,'Sep'!$D$27:$AH$266,'Oct'!$D$27:$AH$266,'Nov'!$D$27:$AH$266,'Dec'!$D$27:$AH$266,'Jan (next year)'!$D$27:$AH$266),27+4*(IFERROR(MATCH(C1273,Roster!$B$6:$B$65,0),MATCH(C1273,Roster!$C$6:$C$65,0))-1)+MATCH(B1273,{"AM","PM","NIGHT","WD"},0)-1-27+1,DAY(A1273))&amp;"",""))</f>
        <v/>
      </c>
      <c r="G1273" s="123">
        <f>IF(OR(A1273="",C1273="",B1273="",E1273=""),"",IFERROR(A1273&amp;"|"&amp;(27+4*(IFERROR(MATCH(C1273,Roster!$B$6:$B$65,0),MATCH(C1273,Roster!$C$6:$C$65,0))-1)+MATCH(B1273,{"AM","PM","NIGHT","WD"},0)-1),""))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$266,'Feb'!$D$27:$AH$266,'Mar'!$D$27:$AH$266,'Apr'!$D$27:$AH$266,'May'!$D$27:$AH$266,'Jun'!$D$27:$AH$266,'Jul'!$D$27:$AH$266,'Aug'!$D$27:$AH$266,'Sep'!$D$27:$AH$266,'Oct'!$D$27:$AH$266,'Nov'!$D$27:$AH$266,'Dec'!$D$27:$AH$266,'Jan (next year)'!$D$27:$AH$266),27+4*(IFERROR(MATCH(C1274,Roster!$B$6:$B$65,0),MATCH(C1274,Roster!$C$6:$C$65,0))-1)+MATCH(B1274,{"AM","PM","NIGHT","WD"},0)-1-27+1,DAY(A1274))&amp;"",""))</f>
        <v/>
      </c>
      <c r="G1274" s="123">
        <f>IF(OR(A1274="",C1274="",B1274="",E1274=""),"",IFERROR(A1274&amp;"|"&amp;(27+4*(IFERROR(MATCH(C1274,Roster!$B$6:$B$65,0),MATCH(C1274,Roster!$C$6:$C$65,0))-1)+MATCH(B1274,{"AM","PM","NIGHT","WD"},0)-1),""))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$266,'Feb'!$D$27:$AH$266,'Mar'!$D$27:$AH$266,'Apr'!$D$27:$AH$266,'May'!$D$27:$AH$266,'Jun'!$D$27:$AH$266,'Jul'!$D$27:$AH$266,'Aug'!$D$27:$AH$266,'Sep'!$D$27:$AH$266,'Oct'!$D$27:$AH$266,'Nov'!$D$27:$AH$266,'Dec'!$D$27:$AH$266,'Jan (next year)'!$D$27:$AH$266),27+4*(IFERROR(MATCH(C1275,Roster!$B$6:$B$65,0),MATCH(C1275,Roster!$C$6:$C$65,0))-1)+MATCH(B1275,{"AM","PM","NIGHT","WD"},0)-1-27+1,DAY(A1275))&amp;"",""))</f>
        <v/>
      </c>
      <c r="G1275" s="123">
        <f>IF(OR(A1275="",C1275="",B1275="",E1275=""),"",IFERROR(A1275&amp;"|"&amp;(27+4*(IFERROR(MATCH(C1275,Roster!$B$6:$B$65,0),MATCH(C1275,Roster!$C$6:$C$65,0))-1)+MATCH(B1275,{"AM","PM","NIGHT","WD"},0)-1),""))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$266,'Feb'!$D$27:$AH$266,'Mar'!$D$27:$AH$266,'Apr'!$D$27:$AH$266,'May'!$D$27:$AH$266,'Jun'!$D$27:$AH$266,'Jul'!$D$27:$AH$266,'Aug'!$D$27:$AH$266,'Sep'!$D$27:$AH$266,'Oct'!$D$27:$AH$266,'Nov'!$D$27:$AH$266,'Dec'!$D$27:$AH$266,'Jan (next year)'!$D$27:$AH$266),27+4*(IFERROR(MATCH(C1276,Roster!$B$6:$B$65,0),MATCH(C1276,Roster!$C$6:$C$65,0))-1)+MATCH(B1276,{"AM","PM","NIGHT","WD"},0)-1-27+1,DAY(A1276))&amp;"",""))</f>
        <v/>
      </c>
      <c r="G1276" s="123">
        <f>IF(OR(A1276="",C1276="",B1276="",E1276=""),"",IFERROR(A1276&amp;"|"&amp;(27+4*(IFERROR(MATCH(C1276,Roster!$B$6:$B$65,0),MATCH(C1276,Roster!$C$6:$C$65,0))-1)+MATCH(B1276,{"AM","PM","NIGHT","WD"},0)-1),""))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$266,'Feb'!$D$27:$AH$266,'Mar'!$D$27:$AH$266,'Apr'!$D$27:$AH$266,'May'!$D$27:$AH$266,'Jun'!$D$27:$AH$266,'Jul'!$D$27:$AH$266,'Aug'!$D$27:$AH$266,'Sep'!$D$27:$AH$266,'Oct'!$D$27:$AH$266,'Nov'!$D$27:$AH$266,'Dec'!$D$27:$AH$266,'Jan (next year)'!$D$27:$AH$266),27+4*(IFERROR(MATCH(C1277,Roster!$B$6:$B$65,0),MATCH(C1277,Roster!$C$6:$C$65,0))-1)+MATCH(B1277,{"AM","PM","NIGHT","WD"},0)-1-27+1,DAY(A1277))&amp;"",""))</f>
        <v/>
      </c>
      <c r="G1277" s="123">
        <f>IF(OR(A1277="",C1277="",B1277="",E1277=""),"",IFERROR(A1277&amp;"|"&amp;(27+4*(IFERROR(MATCH(C1277,Roster!$B$6:$B$65,0),MATCH(C1277,Roster!$C$6:$C$65,0))-1)+MATCH(B1277,{"AM","PM","NIGHT","WD"},0)-1),""))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$266,'Feb'!$D$27:$AH$266,'Mar'!$D$27:$AH$266,'Apr'!$D$27:$AH$266,'May'!$D$27:$AH$266,'Jun'!$D$27:$AH$266,'Jul'!$D$27:$AH$266,'Aug'!$D$27:$AH$266,'Sep'!$D$27:$AH$266,'Oct'!$D$27:$AH$266,'Nov'!$D$27:$AH$266,'Dec'!$D$27:$AH$266,'Jan (next year)'!$D$27:$AH$266),27+4*(IFERROR(MATCH(C1278,Roster!$B$6:$B$65,0),MATCH(C1278,Roster!$C$6:$C$65,0))-1)+MATCH(B1278,{"AM","PM","NIGHT","WD"},0)-1-27+1,DAY(A1278))&amp;"",""))</f>
        <v/>
      </c>
      <c r="G1278" s="123">
        <f>IF(OR(A1278="",C1278="",B1278="",E1278=""),"",IFERROR(A1278&amp;"|"&amp;(27+4*(IFERROR(MATCH(C1278,Roster!$B$6:$B$65,0),MATCH(C1278,Roster!$C$6:$C$65,0))-1)+MATCH(B1278,{"AM","PM","NIGHT","WD"},0)-1),""))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$266,'Feb'!$D$27:$AH$266,'Mar'!$D$27:$AH$266,'Apr'!$D$27:$AH$266,'May'!$D$27:$AH$266,'Jun'!$D$27:$AH$266,'Jul'!$D$27:$AH$266,'Aug'!$D$27:$AH$266,'Sep'!$D$27:$AH$266,'Oct'!$D$27:$AH$266,'Nov'!$D$27:$AH$266,'Dec'!$D$27:$AH$266,'Jan (next year)'!$D$27:$AH$266),27+4*(IFERROR(MATCH(C1279,Roster!$B$6:$B$65,0),MATCH(C1279,Roster!$C$6:$C$65,0))-1)+MATCH(B1279,{"AM","PM","NIGHT","WD"},0)-1-27+1,DAY(A1279))&amp;"",""))</f>
        <v/>
      </c>
      <c r="G1279" s="123">
        <f>IF(OR(A1279="",C1279="",B1279="",E1279=""),"",IFERROR(A1279&amp;"|"&amp;(27+4*(IFERROR(MATCH(C1279,Roster!$B$6:$B$65,0),MATCH(C1279,Roster!$C$6:$C$65,0))-1)+MATCH(B1279,{"AM","PM","NIGHT","WD"},0)-1),""))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$266,'Feb'!$D$27:$AH$266,'Mar'!$D$27:$AH$266,'Apr'!$D$27:$AH$266,'May'!$D$27:$AH$266,'Jun'!$D$27:$AH$266,'Jul'!$D$27:$AH$266,'Aug'!$D$27:$AH$266,'Sep'!$D$27:$AH$266,'Oct'!$D$27:$AH$266,'Nov'!$D$27:$AH$266,'Dec'!$D$27:$AH$266,'Jan (next year)'!$D$27:$AH$266),27+4*(IFERROR(MATCH(C1280,Roster!$B$6:$B$65,0),MATCH(C1280,Roster!$C$6:$C$65,0))-1)+MATCH(B1280,{"AM","PM","NIGHT","WD"},0)-1-27+1,DAY(A1280))&amp;"",""))</f>
        <v/>
      </c>
      <c r="G1280" s="123">
        <f>IF(OR(A1280="",C1280="",B1280="",E1280=""),"",IFERROR(A1280&amp;"|"&amp;(27+4*(IFERROR(MATCH(C1280,Roster!$B$6:$B$65,0),MATCH(C1280,Roster!$C$6:$C$65,0))-1)+MATCH(B1280,{"AM","PM","NIGHT","WD"},0)-1),""))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$266,'Feb'!$D$27:$AH$266,'Mar'!$D$27:$AH$266,'Apr'!$D$27:$AH$266,'May'!$D$27:$AH$266,'Jun'!$D$27:$AH$266,'Jul'!$D$27:$AH$266,'Aug'!$D$27:$AH$266,'Sep'!$D$27:$AH$266,'Oct'!$D$27:$AH$266,'Nov'!$D$27:$AH$266,'Dec'!$D$27:$AH$266,'Jan (next year)'!$D$27:$AH$266),27+4*(IFERROR(MATCH(C1281,Roster!$B$6:$B$65,0),MATCH(C1281,Roster!$C$6:$C$65,0))-1)+MATCH(B1281,{"AM","PM","NIGHT","WD"},0)-1-27+1,DAY(A1281))&amp;"",""))</f>
        <v/>
      </c>
      <c r="G1281" s="123">
        <f>IF(OR(A1281="",C1281="",B1281="",E1281=""),"",IFERROR(A1281&amp;"|"&amp;(27+4*(IFERROR(MATCH(C1281,Roster!$B$6:$B$65,0),MATCH(C1281,Roster!$C$6:$C$65,0))-1)+MATCH(B1281,{"AM","PM","NIGHT","WD"},0)-1),""))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$266,'Feb'!$D$27:$AH$266,'Mar'!$D$27:$AH$266,'Apr'!$D$27:$AH$266,'May'!$D$27:$AH$266,'Jun'!$D$27:$AH$266,'Jul'!$D$27:$AH$266,'Aug'!$D$27:$AH$266,'Sep'!$D$27:$AH$266,'Oct'!$D$27:$AH$266,'Nov'!$D$27:$AH$266,'Dec'!$D$27:$AH$266,'Jan (next year)'!$D$27:$AH$266),27+4*(IFERROR(MATCH(C1282,Roster!$B$6:$B$65,0),MATCH(C1282,Roster!$C$6:$C$65,0))-1)+MATCH(B1282,{"AM","PM","NIGHT","WD"},0)-1-27+1,DAY(A1282))&amp;"",""))</f>
        <v/>
      </c>
      <c r="G1282" s="123">
        <f>IF(OR(A1282="",C1282="",B1282="",E1282=""),"",IFERROR(A1282&amp;"|"&amp;(27+4*(IFERROR(MATCH(C1282,Roster!$B$6:$B$65,0),MATCH(C1282,Roster!$C$6:$C$65,0))-1)+MATCH(B1282,{"AM","PM","NIGHT","WD"},0)-1),""))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$266,'Feb'!$D$27:$AH$266,'Mar'!$D$27:$AH$266,'Apr'!$D$27:$AH$266,'May'!$D$27:$AH$266,'Jun'!$D$27:$AH$266,'Jul'!$D$27:$AH$266,'Aug'!$D$27:$AH$266,'Sep'!$D$27:$AH$266,'Oct'!$D$27:$AH$266,'Nov'!$D$27:$AH$266,'Dec'!$D$27:$AH$266,'Jan (next year)'!$D$27:$AH$266),27+4*(IFERROR(MATCH(C1283,Roster!$B$6:$B$65,0),MATCH(C1283,Roster!$C$6:$C$65,0))-1)+MATCH(B1283,{"AM","PM","NIGHT","WD"},0)-1-27+1,DAY(A1283))&amp;"",""))</f>
        <v/>
      </c>
      <c r="G1283" s="123">
        <f>IF(OR(A1283="",C1283="",B1283="",E1283=""),"",IFERROR(A1283&amp;"|"&amp;(27+4*(IFERROR(MATCH(C1283,Roster!$B$6:$B$65,0),MATCH(C1283,Roster!$C$6:$C$65,0))-1)+MATCH(B1283,{"AM","PM","NIGHT","WD"},0)-1),""))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$266,'Feb'!$D$27:$AH$266,'Mar'!$D$27:$AH$266,'Apr'!$D$27:$AH$266,'May'!$D$27:$AH$266,'Jun'!$D$27:$AH$266,'Jul'!$D$27:$AH$266,'Aug'!$D$27:$AH$266,'Sep'!$D$27:$AH$266,'Oct'!$D$27:$AH$266,'Nov'!$D$27:$AH$266,'Dec'!$D$27:$AH$266,'Jan (next year)'!$D$27:$AH$266),27+4*(IFERROR(MATCH(C1284,Roster!$B$6:$B$65,0),MATCH(C1284,Roster!$C$6:$C$65,0))-1)+MATCH(B1284,{"AM","PM","NIGHT","WD"},0)-1-27+1,DAY(A1284))&amp;"",""))</f>
        <v/>
      </c>
      <c r="G1284" s="123">
        <f>IF(OR(A1284="",C1284="",B1284="",E1284=""),"",IFERROR(A1284&amp;"|"&amp;(27+4*(IFERROR(MATCH(C1284,Roster!$B$6:$B$65,0),MATCH(C1284,Roster!$C$6:$C$65,0))-1)+MATCH(B1284,{"AM","PM","NIGHT","WD"},0)-1),""))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$266,'Feb'!$D$27:$AH$266,'Mar'!$D$27:$AH$266,'Apr'!$D$27:$AH$266,'May'!$D$27:$AH$266,'Jun'!$D$27:$AH$266,'Jul'!$D$27:$AH$266,'Aug'!$D$27:$AH$266,'Sep'!$D$27:$AH$266,'Oct'!$D$27:$AH$266,'Nov'!$D$27:$AH$266,'Dec'!$D$27:$AH$266,'Jan (next year)'!$D$27:$AH$266),27+4*(IFERROR(MATCH(C1285,Roster!$B$6:$B$65,0),MATCH(C1285,Roster!$C$6:$C$65,0))-1)+MATCH(B1285,{"AM","PM","NIGHT","WD"},0)-1-27+1,DAY(A1285))&amp;"",""))</f>
        <v/>
      </c>
      <c r="G1285" s="123">
        <f>IF(OR(A1285="",C1285="",B1285="",E1285=""),"",IFERROR(A1285&amp;"|"&amp;(27+4*(IFERROR(MATCH(C1285,Roster!$B$6:$B$65,0),MATCH(C1285,Roster!$C$6:$C$65,0))-1)+MATCH(B1285,{"AM","PM","NIGHT","WD"},0)-1),""))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$266,'Feb'!$D$27:$AH$266,'Mar'!$D$27:$AH$266,'Apr'!$D$27:$AH$266,'May'!$D$27:$AH$266,'Jun'!$D$27:$AH$266,'Jul'!$D$27:$AH$266,'Aug'!$D$27:$AH$266,'Sep'!$D$27:$AH$266,'Oct'!$D$27:$AH$266,'Nov'!$D$27:$AH$266,'Dec'!$D$27:$AH$266,'Jan (next year)'!$D$27:$AH$266),27+4*(IFERROR(MATCH(C1286,Roster!$B$6:$B$65,0),MATCH(C1286,Roster!$C$6:$C$65,0))-1)+MATCH(B1286,{"AM","PM","NIGHT","WD"},0)-1-27+1,DAY(A1286))&amp;"",""))</f>
        <v/>
      </c>
      <c r="G1286" s="123">
        <f>IF(OR(A1286="",C1286="",B1286="",E1286=""),"",IFERROR(A1286&amp;"|"&amp;(27+4*(IFERROR(MATCH(C1286,Roster!$B$6:$B$65,0),MATCH(C1286,Roster!$C$6:$C$65,0))-1)+MATCH(B1286,{"AM","PM","NIGHT","WD"},0)-1),""))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$266,'Feb'!$D$27:$AH$266,'Mar'!$D$27:$AH$266,'Apr'!$D$27:$AH$266,'May'!$D$27:$AH$266,'Jun'!$D$27:$AH$266,'Jul'!$D$27:$AH$266,'Aug'!$D$27:$AH$266,'Sep'!$D$27:$AH$266,'Oct'!$D$27:$AH$266,'Nov'!$D$27:$AH$266,'Dec'!$D$27:$AH$266,'Jan (next year)'!$D$27:$AH$266),27+4*(IFERROR(MATCH(C1287,Roster!$B$6:$B$65,0),MATCH(C1287,Roster!$C$6:$C$65,0))-1)+MATCH(B1287,{"AM","PM","NIGHT","WD"},0)-1-27+1,DAY(A1287))&amp;"",""))</f>
        <v/>
      </c>
      <c r="G1287" s="123">
        <f>IF(OR(A1287="",C1287="",B1287="",E1287=""),"",IFERROR(A1287&amp;"|"&amp;(27+4*(IFERROR(MATCH(C1287,Roster!$B$6:$B$65,0),MATCH(C1287,Roster!$C$6:$C$65,0))-1)+MATCH(B1287,{"AM","PM","NIGHT","WD"},0)-1),""))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$266,'Feb'!$D$27:$AH$266,'Mar'!$D$27:$AH$266,'Apr'!$D$27:$AH$266,'May'!$D$27:$AH$266,'Jun'!$D$27:$AH$266,'Jul'!$D$27:$AH$266,'Aug'!$D$27:$AH$266,'Sep'!$D$27:$AH$266,'Oct'!$D$27:$AH$266,'Nov'!$D$27:$AH$266,'Dec'!$D$27:$AH$266,'Jan (next year)'!$D$27:$AH$266),27+4*(IFERROR(MATCH(C1288,Roster!$B$6:$B$65,0),MATCH(C1288,Roster!$C$6:$C$65,0))-1)+MATCH(B1288,{"AM","PM","NIGHT","WD"},0)-1-27+1,DAY(A1288))&amp;"",""))</f>
        <v/>
      </c>
      <c r="G1288" s="123">
        <f>IF(OR(A1288="",C1288="",B1288="",E1288=""),"",IFERROR(A1288&amp;"|"&amp;(27+4*(IFERROR(MATCH(C1288,Roster!$B$6:$B$65,0),MATCH(C1288,Roster!$C$6:$C$65,0))-1)+MATCH(B1288,{"AM","PM","NIGHT","WD"},0)-1),""))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$266,'Feb'!$D$27:$AH$266,'Mar'!$D$27:$AH$266,'Apr'!$D$27:$AH$266,'May'!$D$27:$AH$266,'Jun'!$D$27:$AH$266,'Jul'!$D$27:$AH$266,'Aug'!$D$27:$AH$266,'Sep'!$D$27:$AH$266,'Oct'!$D$27:$AH$266,'Nov'!$D$27:$AH$266,'Dec'!$D$27:$AH$266,'Jan (next year)'!$D$27:$AH$266),27+4*(IFERROR(MATCH(C1289,Roster!$B$6:$B$65,0),MATCH(C1289,Roster!$C$6:$C$65,0))-1)+MATCH(B1289,{"AM","PM","NIGHT","WD"},0)-1-27+1,DAY(A1289))&amp;"",""))</f>
        <v/>
      </c>
      <c r="G1289" s="123">
        <f>IF(OR(A1289="",C1289="",B1289="",E1289=""),"",IFERROR(A1289&amp;"|"&amp;(27+4*(IFERROR(MATCH(C1289,Roster!$B$6:$B$65,0),MATCH(C1289,Roster!$C$6:$C$65,0))-1)+MATCH(B1289,{"AM","PM","NIGHT","WD"},0)-1),""))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$266,'Feb'!$D$27:$AH$266,'Mar'!$D$27:$AH$266,'Apr'!$D$27:$AH$266,'May'!$D$27:$AH$266,'Jun'!$D$27:$AH$266,'Jul'!$D$27:$AH$266,'Aug'!$D$27:$AH$266,'Sep'!$D$27:$AH$266,'Oct'!$D$27:$AH$266,'Nov'!$D$27:$AH$266,'Dec'!$D$27:$AH$266,'Jan (next year)'!$D$27:$AH$266),27+4*(IFERROR(MATCH(C1290,Roster!$B$6:$B$65,0),MATCH(C1290,Roster!$C$6:$C$65,0))-1)+MATCH(B1290,{"AM","PM","NIGHT","WD"},0)-1-27+1,DAY(A1290))&amp;"",""))</f>
        <v/>
      </c>
      <c r="G1290" s="123">
        <f>IF(OR(A1290="",C1290="",B1290="",E1290=""),"",IFERROR(A1290&amp;"|"&amp;(27+4*(IFERROR(MATCH(C1290,Roster!$B$6:$B$65,0),MATCH(C1290,Roster!$C$6:$C$65,0))-1)+MATCH(B1290,{"AM","PM","NIGHT","WD"},0)-1),""))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$266,'Feb'!$D$27:$AH$266,'Mar'!$D$27:$AH$266,'Apr'!$D$27:$AH$266,'May'!$D$27:$AH$266,'Jun'!$D$27:$AH$266,'Jul'!$D$27:$AH$266,'Aug'!$D$27:$AH$266,'Sep'!$D$27:$AH$266,'Oct'!$D$27:$AH$266,'Nov'!$D$27:$AH$266,'Dec'!$D$27:$AH$266,'Jan (next year)'!$D$27:$AH$266),27+4*(IFERROR(MATCH(C1291,Roster!$B$6:$B$65,0),MATCH(C1291,Roster!$C$6:$C$65,0))-1)+MATCH(B1291,{"AM","PM","NIGHT","WD"},0)-1-27+1,DAY(A1291))&amp;"",""))</f>
        <v/>
      </c>
      <c r="G1291" s="123">
        <f>IF(OR(A1291="",C1291="",B1291="",E1291=""),"",IFERROR(A1291&amp;"|"&amp;(27+4*(IFERROR(MATCH(C1291,Roster!$B$6:$B$65,0),MATCH(C1291,Roster!$C$6:$C$65,0))-1)+MATCH(B1291,{"AM","PM","NIGHT","WD"},0)-1),""))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$266,'Feb'!$D$27:$AH$266,'Mar'!$D$27:$AH$266,'Apr'!$D$27:$AH$266,'May'!$D$27:$AH$266,'Jun'!$D$27:$AH$266,'Jul'!$D$27:$AH$266,'Aug'!$D$27:$AH$266,'Sep'!$D$27:$AH$266,'Oct'!$D$27:$AH$266,'Nov'!$D$27:$AH$266,'Dec'!$D$27:$AH$266,'Jan (next year)'!$D$27:$AH$266),27+4*(IFERROR(MATCH(C1292,Roster!$B$6:$B$65,0),MATCH(C1292,Roster!$C$6:$C$65,0))-1)+MATCH(B1292,{"AM","PM","NIGHT","WD"},0)-1-27+1,DAY(A1292))&amp;"",""))</f>
        <v/>
      </c>
      <c r="G1292" s="123">
        <f>IF(OR(A1292="",C1292="",B1292="",E1292=""),"",IFERROR(A1292&amp;"|"&amp;(27+4*(IFERROR(MATCH(C1292,Roster!$B$6:$B$65,0),MATCH(C1292,Roster!$C$6:$C$65,0))-1)+MATCH(B1292,{"AM","PM","NIGHT","WD"},0)-1),""))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$266,'Feb'!$D$27:$AH$266,'Mar'!$D$27:$AH$266,'Apr'!$D$27:$AH$266,'May'!$D$27:$AH$266,'Jun'!$D$27:$AH$266,'Jul'!$D$27:$AH$266,'Aug'!$D$27:$AH$266,'Sep'!$D$27:$AH$266,'Oct'!$D$27:$AH$266,'Nov'!$D$27:$AH$266,'Dec'!$D$27:$AH$266,'Jan (next year)'!$D$27:$AH$266),27+4*(IFERROR(MATCH(C1293,Roster!$B$6:$B$65,0),MATCH(C1293,Roster!$C$6:$C$65,0))-1)+MATCH(B1293,{"AM","PM","NIGHT","WD"},0)-1-27+1,DAY(A1293))&amp;"",""))</f>
        <v/>
      </c>
      <c r="G1293" s="123">
        <f>IF(OR(A1293="",C1293="",B1293="",E1293=""),"",IFERROR(A1293&amp;"|"&amp;(27+4*(IFERROR(MATCH(C1293,Roster!$B$6:$B$65,0),MATCH(C1293,Roster!$C$6:$C$65,0))-1)+MATCH(B1293,{"AM","PM","NIGHT","WD"},0)-1),""))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$266,'Feb'!$D$27:$AH$266,'Mar'!$D$27:$AH$266,'Apr'!$D$27:$AH$266,'May'!$D$27:$AH$266,'Jun'!$D$27:$AH$266,'Jul'!$D$27:$AH$266,'Aug'!$D$27:$AH$266,'Sep'!$D$27:$AH$266,'Oct'!$D$27:$AH$266,'Nov'!$D$27:$AH$266,'Dec'!$D$27:$AH$266,'Jan (next year)'!$D$27:$AH$266),27+4*(IFERROR(MATCH(C1294,Roster!$B$6:$B$65,0),MATCH(C1294,Roster!$C$6:$C$65,0))-1)+MATCH(B1294,{"AM","PM","NIGHT","WD"},0)-1-27+1,DAY(A1294))&amp;"",""))</f>
        <v/>
      </c>
      <c r="G1294" s="123">
        <f>IF(OR(A1294="",C1294="",B1294="",E1294=""),"",IFERROR(A1294&amp;"|"&amp;(27+4*(IFERROR(MATCH(C1294,Roster!$B$6:$B$65,0),MATCH(C1294,Roster!$C$6:$C$65,0))-1)+MATCH(B1294,{"AM","PM","NIGHT","WD"},0)-1),""))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$266,'Feb'!$D$27:$AH$266,'Mar'!$D$27:$AH$266,'Apr'!$D$27:$AH$266,'May'!$D$27:$AH$266,'Jun'!$D$27:$AH$266,'Jul'!$D$27:$AH$266,'Aug'!$D$27:$AH$266,'Sep'!$D$27:$AH$266,'Oct'!$D$27:$AH$266,'Nov'!$D$27:$AH$266,'Dec'!$D$27:$AH$266,'Jan (next year)'!$D$27:$AH$266),27+4*(IFERROR(MATCH(C1295,Roster!$B$6:$B$65,0),MATCH(C1295,Roster!$C$6:$C$65,0))-1)+MATCH(B1295,{"AM","PM","NIGHT","WD"},0)-1-27+1,DAY(A1295))&amp;"",""))</f>
        <v/>
      </c>
      <c r="G1295" s="123">
        <f>IF(OR(A1295="",C1295="",B1295="",E1295=""),"",IFERROR(A1295&amp;"|"&amp;(27+4*(IFERROR(MATCH(C1295,Roster!$B$6:$B$65,0),MATCH(C1295,Roster!$C$6:$C$65,0))-1)+MATCH(B1295,{"AM","PM","NIGHT","WD"},0)-1),""))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$266,'Feb'!$D$27:$AH$266,'Mar'!$D$27:$AH$266,'Apr'!$D$27:$AH$266,'May'!$D$27:$AH$266,'Jun'!$D$27:$AH$266,'Jul'!$D$27:$AH$266,'Aug'!$D$27:$AH$266,'Sep'!$D$27:$AH$266,'Oct'!$D$27:$AH$266,'Nov'!$D$27:$AH$266,'Dec'!$D$27:$AH$266,'Jan (next year)'!$D$27:$AH$266),27+4*(IFERROR(MATCH(C1296,Roster!$B$6:$B$65,0),MATCH(C1296,Roster!$C$6:$C$65,0))-1)+MATCH(B1296,{"AM","PM","NIGHT","WD"},0)-1-27+1,DAY(A1296))&amp;"",""))</f>
        <v/>
      </c>
      <c r="G1296" s="123">
        <f>IF(OR(A1296="",C1296="",B1296="",E1296=""),"",IFERROR(A1296&amp;"|"&amp;(27+4*(IFERROR(MATCH(C1296,Roster!$B$6:$B$65,0),MATCH(C1296,Roster!$C$6:$C$65,0))-1)+MATCH(B1296,{"AM","PM","NIGHT","WD"},0)-1),""))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$266,'Feb'!$D$27:$AH$266,'Mar'!$D$27:$AH$266,'Apr'!$D$27:$AH$266,'May'!$D$27:$AH$266,'Jun'!$D$27:$AH$266,'Jul'!$D$27:$AH$266,'Aug'!$D$27:$AH$266,'Sep'!$D$27:$AH$266,'Oct'!$D$27:$AH$266,'Nov'!$D$27:$AH$266,'Dec'!$D$27:$AH$266,'Jan (next year)'!$D$27:$AH$266),27+4*(IFERROR(MATCH(C1297,Roster!$B$6:$B$65,0),MATCH(C1297,Roster!$C$6:$C$65,0))-1)+MATCH(B1297,{"AM","PM","NIGHT","WD"},0)-1-27+1,DAY(A1297))&amp;"",""))</f>
        <v/>
      </c>
      <c r="G1297" s="123">
        <f>IF(OR(A1297="",C1297="",B1297="",E1297=""),"",IFERROR(A1297&amp;"|"&amp;(27+4*(IFERROR(MATCH(C1297,Roster!$B$6:$B$65,0),MATCH(C1297,Roster!$C$6:$C$65,0))-1)+MATCH(B1297,{"AM","PM","NIGHT","WD"},0)-1),""))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$266,'Feb'!$D$27:$AH$266,'Mar'!$D$27:$AH$266,'Apr'!$D$27:$AH$266,'May'!$D$27:$AH$266,'Jun'!$D$27:$AH$266,'Jul'!$D$27:$AH$266,'Aug'!$D$27:$AH$266,'Sep'!$D$27:$AH$266,'Oct'!$D$27:$AH$266,'Nov'!$D$27:$AH$266,'Dec'!$D$27:$AH$266,'Jan (next year)'!$D$27:$AH$266),27+4*(IFERROR(MATCH(C1298,Roster!$B$6:$B$65,0),MATCH(C1298,Roster!$C$6:$C$65,0))-1)+MATCH(B1298,{"AM","PM","NIGHT","WD"},0)-1-27+1,DAY(A1298))&amp;"",""))</f>
        <v/>
      </c>
      <c r="G1298" s="123">
        <f>IF(OR(A1298="",C1298="",B1298="",E1298=""),"",IFERROR(A1298&amp;"|"&amp;(27+4*(IFERROR(MATCH(C1298,Roster!$B$6:$B$65,0),MATCH(C1298,Roster!$C$6:$C$65,0))-1)+MATCH(B1298,{"AM","PM","NIGHT","WD"},0)-1),""))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$266,'Feb'!$D$27:$AH$266,'Mar'!$D$27:$AH$266,'Apr'!$D$27:$AH$266,'May'!$D$27:$AH$266,'Jun'!$D$27:$AH$266,'Jul'!$D$27:$AH$266,'Aug'!$D$27:$AH$266,'Sep'!$D$27:$AH$266,'Oct'!$D$27:$AH$266,'Nov'!$D$27:$AH$266,'Dec'!$D$27:$AH$266,'Jan (next year)'!$D$27:$AH$266),27+4*(IFERROR(MATCH(C1299,Roster!$B$6:$B$65,0),MATCH(C1299,Roster!$C$6:$C$65,0))-1)+MATCH(B1299,{"AM","PM","NIGHT","WD"},0)-1-27+1,DAY(A1299))&amp;"",""))</f>
        <v/>
      </c>
      <c r="G1299" s="123">
        <f>IF(OR(A1299="",C1299="",B1299="",E1299=""),"",IFERROR(A1299&amp;"|"&amp;(27+4*(IFERROR(MATCH(C1299,Roster!$B$6:$B$65,0),MATCH(C1299,Roster!$C$6:$C$65,0))-1)+MATCH(B1299,{"AM","PM","NIGHT","WD"},0)-1),""))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$266,'Feb'!$D$27:$AH$266,'Mar'!$D$27:$AH$266,'Apr'!$D$27:$AH$266,'May'!$D$27:$AH$266,'Jun'!$D$27:$AH$266,'Jul'!$D$27:$AH$266,'Aug'!$D$27:$AH$266,'Sep'!$D$27:$AH$266,'Oct'!$D$27:$AH$266,'Nov'!$D$27:$AH$266,'Dec'!$D$27:$AH$266,'Jan (next year)'!$D$27:$AH$266),27+4*(IFERROR(MATCH(C1300,Roster!$B$6:$B$65,0),MATCH(C1300,Roster!$C$6:$C$65,0))-1)+MATCH(B1300,{"AM","PM","NIGHT","WD"},0)-1-27+1,DAY(A1300))&amp;"",""))</f>
        <v/>
      </c>
      <c r="G1300" s="123">
        <f>IF(OR(A1300="",C1300="",B1300="",E1300=""),"",IFERROR(A1300&amp;"|"&amp;(27+4*(IFERROR(MATCH(C1300,Roster!$B$6:$B$65,0),MATCH(C1300,Roster!$C$6:$C$65,0))-1)+MATCH(B1300,{"AM","PM","NIGHT","WD"},0)-1),""))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$266,'Feb'!$D$27:$AH$266,'Mar'!$D$27:$AH$266,'Apr'!$D$27:$AH$266,'May'!$D$27:$AH$266,'Jun'!$D$27:$AH$266,'Jul'!$D$27:$AH$266,'Aug'!$D$27:$AH$266,'Sep'!$D$27:$AH$266,'Oct'!$D$27:$AH$266,'Nov'!$D$27:$AH$266,'Dec'!$D$27:$AH$266,'Jan (next year)'!$D$27:$AH$266),27+4*(IFERROR(MATCH(C1301,Roster!$B$6:$B$65,0),MATCH(C1301,Roster!$C$6:$C$65,0))-1)+MATCH(B1301,{"AM","PM","NIGHT","WD"},0)-1-27+1,DAY(A1301))&amp;"",""))</f>
        <v/>
      </c>
      <c r="G1301" s="123">
        <f>IF(OR(A1301="",C1301="",B1301="",E1301=""),"",IFERROR(A1301&amp;"|"&amp;(27+4*(IFERROR(MATCH(C1301,Roster!$B$6:$B$65,0),MATCH(C1301,Roster!$C$6:$C$65,0))-1)+MATCH(B1301,{"AM","PM","NIGHT","WD"},0)-1),""))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$266,'Feb'!$D$27:$AH$266,'Mar'!$D$27:$AH$266,'Apr'!$D$27:$AH$266,'May'!$D$27:$AH$266,'Jun'!$D$27:$AH$266,'Jul'!$D$27:$AH$266,'Aug'!$D$27:$AH$266,'Sep'!$D$27:$AH$266,'Oct'!$D$27:$AH$266,'Nov'!$D$27:$AH$266,'Dec'!$D$27:$AH$266,'Jan (next year)'!$D$27:$AH$266),27+4*(IFERROR(MATCH(C1302,Roster!$B$6:$B$65,0),MATCH(C1302,Roster!$C$6:$C$65,0))-1)+MATCH(B1302,{"AM","PM","NIGHT","WD"},0)-1-27+1,DAY(A1302))&amp;"",""))</f>
        <v/>
      </c>
      <c r="G1302" s="123">
        <f>IF(OR(A1302="",C1302="",B1302="",E1302=""),"",IFERROR(A1302&amp;"|"&amp;(27+4*(IFERROR(MATCH(C1302,Roster!$B$6:$B$65,0),MATCH(C1302,Roster!$C$6:$C$65,0))-1)+MATCH(B1302,{"AM","PM","NIGHT","WD"},0)-1),""))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$266,'Feb'!$D$27:$AH$266,'Mar'!$D$27:$AH$266,'Apr'!$D$27:$AH$266,'May'!$D$27:$AH$266,'Jun'!$D$27:$AH$266,'Jul'!$D$27:$AH$266,'Aug'!$D$27:$AH$266,'Sep'!$D$27:$AH$266,'Oct'!$D$27:$AH$266,'Nov'!$D$27:$AH$266,'Dec'!$D$27:$AH$266,'Jan (next year)'!$D$27:$AH$266),27+4*(IFERROR(MATCH(C1303,Roster!$B$6:$B$65,0),MATCH(C1303,Roster!$C$6:$C$65,0))-1)+MATCH(B1303,{"AM","PM","NIGHT","WD"},0)-1-27+1,DAY(A1303))&amp;"",""))</f>
        <v/>
      </c>
      <c r="G1303" s="123">
        <f>IF(OR(A1303="",C1303="",B1303="",E1303=""),"",IFERROR(A1303&amp;"|"&amp;(27+4*(IFERROR(MATCH(C1303,Roster!$B$6:$B$65,0),MATCH(C1303,Roster!$C$6:$C$65,0))-1)+MATCH(B1303,{"AM","PM","NIGHT","WD"},0)-1),""))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$266,'Feb'!$D$27:$AH$266,'Mar'!$D$27:$AH$266,'Apr'!$D$27:$AH$266,'May'!$D$27:$AH$266,'Jun'!$D$27:$AH$266,'Jul'!$D$27:$AH$266,'Aug'!$D$27:$AH$266,'Sep'!$D$27:$AH$266,'Oct'!$D$27:$AH$266,'Nov'!$D$27:$AH$266,'Dec'!$D$27:$AH$266,'Jan (next year)'!$D$27:$AH$266),27+4*(IFERROR(MATCH(C1304,Roster!$B$6:$B$65,0),MATCH(C1304,Roster!$C$6:$C$65,0))-1)+MATCH(B1304,{"AM","PM","NIGHT","WD"},0)-1-27+1,DAY(A1304))&amp;"",""))</f>
        <v/>
      </c>
      <c r="G1304" s="123">
        <f>IF(OR(A1304="",C1304="",B1304="",E1304=""),"",IFERROR(A1304&amp;"|"&amp;(27+4*(IFERROR(MATCH(C1304,Roster!$B$6:$B$65,0),MATCH(C1304,Roster!$C$6:$C$65,0))-1)+MATCH(B1304,{"AM","PM","NIGHT","WD"},0)-1),""))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$266,'Feb'!$D$27:$AH$266,'Mar'!$D$27:$AH$266,'Apr'!$D$27:$AH$266,'May'!$D$27:$AH$266,'Jun'!$D$27:$AH$266,'Jul'!$D$27:$AH$266,'Aug'!$D$27:$AH$266,'Sep'!$D$27:$AH$266,'Oct'!$D$27:$AH$266,'Nov'!$D$27:$AH$266,'Dec'!$D$27:$AH$266,'Jan (next year)'!$D$27:$AH$266),27+4*(IFERROR(MATCH(C1305,Roster!$B$6:$B$65,0),MATCH(C1305,Roster!$C$6:$C$65,0))-1)+MATCH(B1305,{"AM","PM","NIGHT","WD"},0)-1-27+1,DAY(A1305))&amp;"",""))</f>
        <v/>
      </c>
      <c r="G1305" s="123">
        <f>IF(OR(A1305="",C1305="",B1305="",E1305=""),"",IFERROR(A1305&amp;"|"&amp;(27+4*(IFERROR(MATCH(C1305,Roster!$B$6:$B$65,0),MATCH(C1305,Roster!$C$6:$C$65,0))-1)+MATCH(B1305,{"AM","PM","NIGHT","WD"},0)-1),""))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$266,'Feb'!$D$27:$AH$266,'Mar'!$D$27:$AH$266,'Apr'!$D$27:$AH$266,'May'!$D$27:$AH$266,'Jun'!$D$27:$AH$266,'Jul'!$D$27:$AH$266,'Aug'!$D$27:$AH$266,'Sep'!$D$27:$AH$266,'Oct'!$D$27:$AH$266,'Nov'!$D$27:$AH$266,'Dec'!$D$27:$AH$266,'Jan (next year)'!$D$27:$AH$266),27+4*(IFERROR(MATCH(C1306,Roster!$B$6:$B$65,0),MATCH(C1306,Roster!$C$6:$C$65,0))-1)+MATCH(B1306,{"AM","PM","NIGHT","WD"},0)-1-27+1,DAY(A1306))&amp;"",""))</f>
        <v/>
      </c>
      <c r="G1306" s="123">
        <f>IF(OR(A1306="",C1306="",B1306="",E1306=""),"",IFERROR(A1306&amp;"|"&amp;(27+4*(IFERROR(MATCH(C1306,Roster!$B$6:$B$65,0),MATCH(C1306,Roster!$C$6:$C$65,0))-1)+MATCH(B1306,{"AM","PM","NIGHT","WD"},0)-1),""))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$266,'Feb'!$D$27:$AH$266,'Mar'!$D$27:$AH$266,'Apr'!$D$27:$AH$266,'May'!$D$27:$AH$266,'Jun'!$D$27:$AH$266,'Jul'!$D$27:$AH$266,'Aug'!$D$27:$AH$266,'Sep'!$D$27:$AH$266,'Oct'!$D$27:$AH$266,'Nov'!$D$27:$AH$266,'Dec'!$D$27:$AH$266,'Jan (next year)'!$D$27:$AH$266),27+4*(IFERROR(MATCH(C1307,Roster!$B$6:$B$65,0),MATCH(C1307,Roster!$C$6:$C$65,0))-1)+MATCH(B1307,{"AM","PM","NIGHT","WD"},0)-1-27+1,DAY(A1307))&amp;"",""))</f>
        <v/>
      </c>
      <c r="G1307" s="123">
        <f>IF(OR(A1307="",C1307="",B1307="",E1307=""),"",IFERROR(A1307&amp;"|"&amp;(27+4*(IFERROR(MATCH(C1307,Roster!$B$6:$B$65,0),MATCH(C1307,Roster!$C$6:$C$65,0))-1)+MATCH(B1307,{"AM","PM","NIGHT","WD"},0)-1),""))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$266,'Feb'!$D$27:$AH$266,'Mar'!$D$27:$AH$266,'Apr'!$D$27:$AH$266,'May'!$D$27:$AH$266,'Jun'!$D$27:$AH$266,'Jul'!$D$27:$AH$266,'Aug'!$D$27:$AH$266,'Sep'!$D$27:$AH$266,'Oct'!$D$27:$AH$266,'Nov'!$D$27:$AH$266,'Dec'!$D$27:$AH$266,'Jan (next year)'!$D$27:$AH$266),27+4*(IFERROR(MATCH(C1308,Roster!$B$6:$B$65,0),MATCH(C1308,Roster!$C$6:$C$65,0))-1)+MATCH(B1308,{"AM","PM","NIGHT","WD"},0)-1-27+1,DAY(A1308))&amp;"",""))</f>
        <v/>
      </c>
      <c r="G1308" s="123">
        <f>IF(OR(A1308="",C1308="",B1308="",E1308=""),"",IFERROR(A1308&amp;"|"&amp;(27+4*(IFERROR(MATCH(C1308,Roster!$B$6:$B$65,0),MATCH(C1308,Roster!$C$6:$C$65,0))-1)+MATCH(B1308,{"AM","PM","NIGHT","WD"},0)-1),""))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$266,'Feb'!$D$27:$AH$266,'Mar'!$D$27:$AH$266,'Apr'!$D$27:$AH$266,'May'!$D$27:$AH$266,'Jun'!$D$27:$AH$266,'Jul'!$D$27:$AH$266,'Aug'!$D$27:$AH$266,'Sep'!$D$27:$AH$266,'Oct'!$D$27:$AH$266,'Nov'!$D$27:$AH$266,'Dec'!$D$27:$AH$266,'Jan (next year)'!$D$27:$AH$266),27+4*(IFERROR(MATCH(C1309,Roster!$B$6:$B$65,0),MATCH(C1309,Roster!$C$6:$C$65,0))-1)+MATCH(B1309,{"AM","PM","NIGHT","WD"},0)-1-27+1,DAY(A1309))&amp;"",""))</f>
        <v/>
      </c>
      <c r="G1309" s="123">
        <f>IF(OR(A1309="",C1309="",B1309="",E1309=""),"",IFERROR(A1309&amp;"|"&amp;(27+4*(IFERROR(MATCH(C1309,Roster!$B$6:$B$65,0),MATCH(C1309,Roster!$C$6:$C$65,0))-1)+MATCH(B1309,{"AM","PM","NIGHT","WD"},0)-1),""))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$266,'Feb'!$D$27:$AH$266,'Mar'!$D$27:$AH$266,'Apr'!$D$27:$AH$266,'May'!$D$27:$AH$266,'Jun'!$D$27:$AH$266,'Jul'!$D$27:$AH$266,'Aug'!$D$27:$AH$266,'Sep'!$D$27:$AH$266,'Oct'!$D$27:$AH$266,'Nov'!$D$27:$AH$266,'Dec'!$D$27:$AH$266,'Jan (next year)'!$D$27:$AH$266),27+4*(IFERROR(MATCH(C1310,Roster!$B$6:$B$65,0),MATCH(C1310,Roster!$C$6:$C$65,0))-1)+MATCH(B1310,{"AM","PM","NIGHT","WD"},0)-1-27+1,DAY(A1310))&amp;"",""))</f>
        <v/>
      </c>
      <c r="G1310" s="123">
        <f>IF(OR(A1310="",C1310="",B1310="",E1310=""),"",IFERROR(A1310&amp;"|"&amp;(27+4*(IFERROR(MATCH(C1310,Roster!$B$6:$B$65,0),MATCH(C1310,Roster!$C$6:$C$65,0))-1)+MATCH(B1310,{"AM","PM","NIGHT","WD"},0)-1),""))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$266,'Feb'!$D$27:$AH$266,'Mar'!$D$27:$AH$266,'Apr'!$D$27:$AH$266,'May'!$D$27:$AH$266,'Jun'!$D$27:$AH$266,'Jul'!$D$27:$AH$266,'Aug'!$D$27:$AH$266,'Sep'!$D$27:$AH$266,'Oct'!$D$27:$AH$266,'Nov'!$D$27:$AH$266,'Dec'!$D$27:$AH$266,'Jan (next year)'!$D$27:$AH$266),27+4*(IFERROR(MATCH(C1311,Roster!$B$6:$B$65,0),MATCH(C1311,Roster!$C$6:$C$65,0))-1)+MATCH(B1311,{"AM","PM","NIGHT","WD"},0)-1-27+1,DAY(A1311))&amp;"",""))</f>
        <v/>
      </c>
      <c r="G1311" s="123">
        <f>IF(OR(A1311="",C1311="",B1311="",E1311=""),"",IFERROR(A1311&amp;"|"&amp;(27+4*(IFERROR(MATCH(C1311,Roster!$B$6:$B$65,0),MATCH(C1311,Roster!$C$6:$C$65,0))-1)+MATCH(B1311,{"AM","PM","NIGHT","WD"},0)-1),""))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$266,'Feb'!$D$27:$AH$266,'Mar'!$D$27:$AH$266,'Apr'!$D$27:$AH$266,'May'!$D$27:$AH$266,'Jun'!$D$27:$AH$266,'Jul'!$D$27:$AH$266,'Aug'!$D$27:$AH$266,'Sep'!$D$27:$AH$266,'Oct'!$D$27:$AH$266,'Nov'!$D$27:$AH$266,'Dec'!$D$27:$AH$266,'Jan (next year)'!$D$27:$AH$266),27+4*(IFERROR(MATCH(C1312,Roster!$B$6:$B$65,0),MATCH(C1312,Roster!$C$6:$C$65,0))-1)+MATCH(B1312,{"AM","PM","NIGHT","WD"},0)-1-27+1,DAY(A1312))&amp;"",""))</f>
        <v/>
      </c>
      <c r="G1312" s="123">
        <f>IF(OR(A1312="",C1312="",B1312="",E1312=""),"",IFERROR(A1312&amp;"|"&amp;(27+4*(IFERROR(MATCH(C1312,Roster!$B$6:$B$65,0),MATCH(C1312,Roster!$C$6:$C$65,0))-1)+MATCH(B1312,{"AM","PM","NIGHT","WD"},0)-1),""))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$266,'Feb'!$D$27:$AH$266,'Mar'!$D$27:$AH$266,'Apr'!$D$27:$AH$266,'May'!$D$27:$AH$266,'Jun'!$D$27:$AH$266,'Jul'!$D$27:$AH$266,'Aug'!$D$27:$AH$266,'Sep'!$D$27:$AH$266,'Oct'!$D$27:$AH$266,'Nov'!$D$27:$AH$266,'Dec'!$D$27:$AH$266,'Jan (next year)'!$D$27:$AH$266),27+4*(IFERROR(MATCH(C1313,Roster!$B$6:$B$65,0),MATCH(C1313,Roster!$C$6:$C$65,0))-1)+MATCH(B1313,{"AM","PM","NIGHT","WD"},0)-1-27+1,DAY(A1313))&amp;"",""))</f>
        <v/>
      </c>
      <c r="G1313" s="123">
        <f>IF(OR(A1313="",C1313="",B1313="",E1313=""),"",IFERROR(A1313&amp;"|"&amp;(27+4*(IFERROR(MATCH(C1313,Roster!$B$6:$B$65,0),MATCH(C1313,Roster!$C$6:$C$65,0))-1)+MATCH(B1313,{"AM","PM","NIGHT","WD"},0)-1),""))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$266,'Feb'!$D$27:$AH$266,'Mar'!$D$27:$AH$266,'Apr'!$D$27:$AH$266,'May'!$D$27:$AH$266,'Jun'!$D$27:$AH$266,'Jul'!$D$27:$AH$266,'Aug'!$D$27:$AH$266,'Sep'!$D$27:$AH$266,'Oct'!$D$27:$AH$266,'Nov'!$D$27:$AH$266,'Dec'!$D$27:$AH$266,'Jan (next year)'!$D$27:$AH$266),27+4*(IFERROR(MATCH(C1314,Roster!$B$6:$B$65,0),MATCH(C1314,Roster!$C$6:$C$65,0))-1)+MATCH(B1314,{"AM","PM","NIGHT","WD"},0)-1-27+1,DAY(A1314))&amp;"",""))</f>
        <v/>
      </c>
      <c r="G1314" s="123">
        <f>IF(OR(A1314="",C1314="",B1314="",E1314=""),"",IFERROR(A1314&amp;"|"&amp;(27+4*(IFERROR(MATCH(C1314,Roster!$B$6:$B$65,0),MATCH(C1314,Roster!$C$6:$C$65,0))-1)+MATCH(B1314,{"AM","PM","NIGHT","WD"},0)-1),""))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$266,'Feb'!$D$27:$AH$266,'Mar'!$D$27:$AH$266,'Apr'!$D$27:$AH$266,'May'!$D$27:$AH$266,'Jun'!$D$27:$AH$266,'Jul'!$D$27:$AH$266,'Aug'!$D$27:$AH$266,'Sep'!$D$27:$AH$266,'Oct'!$D$27:$AH$266,'Nov'!$D$27:$AH$266,'Dec'!$D$27:$AH$266,'Jan (next year)'!$D$27:$AH$266),27+4*(IFERROR(MATCH(C1315,Roster!$B$6:$B$65,0),MATCH(C1315,Roster!$C$6:$C$65,0))-1)+MATCH(B1315,{"AM","PM","NIGHT","WD"},0)-1-27+1,DAY(A1315))&amp;"",""))</f>
        <v/>
      </c>
      <c r="G1315" s="123">
        <f>IF(OR(A1315="",C1315="",B1315="",E1315=""),"",IFERROR(A1315&amp;"|"&amp;(27+4*(IFERROR(MATCH(C1315,Roster!$B$6:$B$65,0),MATCH(C1315,Roster!$C$6:$C$65,0))-1)+MATCH(B1315,{"AM","PM","NIGHT","WD"},0)-1),""))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$266,'Feb'!$D$27:$AH$266,'Mar'!$D$27:$AH$266,'Apr'!$D$27:$AH$266,'May'!$D$27:$AH$266,'Jun'!$D$27:$AH$266,'Jul'!$D$27:$AH$266,'Aug'!$D$27:$AH$266,'Sep'!$D$27:$AH$266,'Oct'!$D$27:$AH$266,'Nov'!$D$27:$AH$266,'Dec'!$D$27:$AH$266,'Jan (next year)'!$D$27:$AH$266),27+4*(IFERROR(MATCH(C1316,Roster!$B$6:$B$65,0),MATCH(C1316,Roster!$C$6:$C$65,0))-1)+MATCH(B1316,{"AM","PM","NIGHT","WD"},0)-1-27+1,DAY(A1316))&amp;"",""))</f>
        <v/>
      </c>
      <c r="G1316" s="123">
        <f>IF(OR(A1316="",C1316="",B1316="",E1316=""),"",IFERROR(A1316&amp;"|"&amp;(27+4*(IFERROR(MATCH(C1316,Roster!$B$6:$B$65,0),MATCH(C1316,Roster!$C$6:$C$65,0))-1)+MATCH(B1316,{"AM","PM","NIGHT","WD"},0)-1),""))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$266,'Feb'!$D$27:$AH$266,'Mar'!$D$27:$AH$266,'Apr'!$D$27:$AH$266,'May'!$D$27:$AH$266,'Jun'!$D$27:$AH$266,'Jul'!$D$27:$AH$266,'Aug'!$D$27:$AH$266,'Sep'!$D$27:$AH$266,'Oct'!$D$27:$AH$266,'Nov'!$D$27:$AH$266,'Dec'!$D$27:$AH$266,'Jan (next year)'!$D$27:$AH$266),27+4*(IFERROR(MATCH(C1317,Roster!$B$6:$B$65,0),MATCH(C1317,Roster!$C$6:$C$65,0))-1)+MATCH(B1317,{"AM","PM","NIGHT","WD"},0)-1-27+1,DAY(A1317))&amp;"",""))</f>
        <v/>
      </c>
      <c r="G1317" s="123">
        <f>IF(OR(A1317="",C1317="",B1317="",E1317=""),"",IFERROR(A1317&amp;"|"&amp;(27+4*(IFERROR(MATCH(C1317,Roster!$B$6:$B$65,0),MATCH(C1317,Roster!$C$6:$C$65,0))-1)+MATCH(B1317,{"AM","PM","NIGHT","WD"},0)-1),""))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$266,'Feb'!$D$27:$AH$266,'Mar'!$D$27:$AH$266,'Apr'!$D$27:$AH$266,'May'!$D$27:$AH$266,'Jun'!$D$27:$AH$266,'Jul'!$D$27:$AH$266,'Aug'!$D$27:$AH$266,'Sep'!$D$27:$AH$266,'Oct'!$D$27:$AH$266,'Nov'!$D$27:$AH$266,'Dec'!$D$27:$AH$266,'Jan (next year)'!$D$27:$AH$266),27+4*(IFERROR(MATCH(C1318,Roster!$B$6:$B$65,0),MATCH(C1318,Roster!$C$6:$C$65,0))-1)+MATCH(B1318,{"AM","PM","NIGHT","WD"},0)-1-27+1,DAY(A1318))&amp;"",""))</f>
        <v/>
      </c>
      <c r="G1318" s="123">
        <f>IF(OR(A1318="",C1318="",B1318="",E1318=""),"",IFERROR(A1318&amp;"|"&amp;(27+4*(IFERROR(MATCH(C1318,Roster!$B$6:$B$65,0),MATCH(C1318,Roster!$C$6:$C$65,0))-1)+MATCH(B1318,{"AM","PM","NIGHT","WD"},0)-1),""))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$266,'Feb'!$D$27:$AH$266,'Mar'!$D$27:$AH$266,'Apr'!$D$27:$AH$266,'May'!$D$27:$AH$266,'Jun'!$D$27:$AH$266,'Jul'!$D$27:$AH$266,'Aug'!$D$27:$AH$266,'Sep'!$D$27:$AH$266,'Oct'!$D$27:$AH$266,'Nov'!$D$27:$AH$266,'Dec'!$D$27:$AH$266,'Jan (next year)'!$D$27:$AH$266),27+4*(IFERROR(MATCH(C1319,Roster!$B$6:$B$65,0),MATCH(C1319,Roster!$C$6:$C$65,0))-1)+MATCH(B1319,{"AM","PM","NIGHT","WD"},0)-1-27+1,DAY(A1319))&amp;"",""))</f>
        <v/>
      </c>
      <c r="G1319" s="123">
        <f>IF(OR(A1319="",C1319="",B1319="",E1319=""),"",IFERROR(A1319&amp;"|"&amp;(27+4*(IFERROR(MATCH(C1319,Roster!$B$6:$B$65,0),MATCH(C1319,Roster!$C$6:$C$65,0))-1)+MATCH(B1319,{"AM","PM","NIGHT","WD"},0)-1),""))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$266,'Feb'!$D$27:$AH$266,'Mar'!$D$27:$AH$266,'Apr'!$D$27:$AH$266,'May'!$D$27:$AH$266,'Jun'!$D$27:$AH$266,'Jul'!$D$27:$AH$266,'Aug'!$D$27:$AH$266,'Sep'!$D$27:$AH$266,'Oct'!$D$27:$AH$266,'Nov'!$D$27:$AH$266,'Dec'!$D$27:$AH$266,'Jan (next year)'!$D$27:$AH$266),27+4*(IFERROR(MATCH(C1320,Roster!$B$6:$B$65,0),MATCH(C1320,Roster!$C$6:$C$65,0))-1)+MATCH(B1320,{"AM","PM","NIGHT","WD"},0)-1-27+1,DAY(A1320))&amp;"",""))</f>
        <v/>
      </c>
      <c r="G1320" s="123">
        <f>IF(OR(A1320="",C1320="",B1320="",E1320=""),"",IFERROR(A1320&amp;"|"&amp;(27+4*(IFERROR(MATCH(C1320,Roster!$B$6:$B$65,0),MATCH(C1320,Roster!$C$6:$C$65,0))-1)+MATCH(B1320,{"AM","PM","NIGHT","WD"},0)-1),""))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$266,'Feb'!$D$27:$AH$266,'Mar'!$D$27:$AH$266,'Apr'!$D$27:$AH$266,'May'!$D$27:$AH$266,'Jun'!$D$27:$AH$266,'Jul'!$D$27:$AH$266,'Aug'!$D$27:$AH$266,'Sep'!$D$27:$AH$266,'Oct'!$D$27:$AH$266,'Nov'!$D$27:$AH$266,'Dec'!$D$27:$AH$266,'Jan (next year)'!$D$27:$AH$266),27+4*(IFERROR(MATCH(C1321,Roster!$B$6:$B$65,0),MATCH(C1321,Roster!$C$6:$C$65,0))-1)+MATCH(B1321,{"AM","PM","NIGHT","WD"},0)-1-27+1,DAY(A1321))&amp;"",""))</f>
        <v/>
      </c>
      <c r="G1321" s="123">
        <f>IF(OR(A1321="",C1321="",B1321="",E1321=""),"",IFERROR(A1321&amp;"|"&amp;(27+4*(IFERROR(MATCH(C1321,Roster!$B$6:$B$65,0),MATCH(C1321,Roster!$C$6:$C$65,0))-1)+MATCH(B1321,{"AM","PM","NIGHT","WD"},0)-1),""))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$266,'Feb'!$D$27:$AH$266,'Mar'!$D$27:$AH$266,'Apr'!$D$27:$AH$266,'May'!$D$27:$AH$266,'Jun'!$D$27:$AH$266,'Jul'!$D$27:$AH$266,'Aug'!$D$27:$AH$266,'Sep'!$D$27:$AH$266,'Oct'!$D$27:$AH$266,'Nov'!$D$27:$AH$266,'Dec'!$D$27:$AH$266,'Jan (next year)'!$D$27:$AH$266),27+4*(IFERROR(MATCH(C1322,Roster!$B$6:$B$65,0),MATCH(C1322,Roster!$C$6:$C$65,0))-1)+MATCH(B1322,{"AM","PM","NIGHT","WD"},0)-1-27+1,DAY(A1322))&amp;"",""))</f>
        <v/>
      </c>
      <c r="G1322" s="123">
        <f>IF(OR(A1322="",C1322="",B1322="",E1322=""),"",IFERROR(A1322&amp;"|"&amp;(27+4*(IFERROR(MATCH(C1322,Roster!$B$6:$B$65,0),MATCH(C1322,Roster!$C$6:$C$65,0))-1)+MATCH(B1322,{"AM","PM","NIGHT","WD"},0)-1),""))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$266,'Feb'!$D$27:$AH$266,'Mar'!$D$27:$AH$266,'Apr'!$D$27:$AH$266,'May'!$D$27:$AH$266,'Jun'!$D$27:$AH$266,'Jul'!$D$27:$AH$266,'Aug'!$D$27:$AH$266,'Sep'!$D$27:$AH$266,'Oct'!$D$27:$AH$266,'Nov'!$D$27:$AH$266,'Dec'!$D$27:$AH$266,'Jan (next year)'!$D$27:$AH$266),27+4*(IFERROR(MATCH(C1323,Roster!$B$6:$B$65,0),MATCH(C1323,Roster!$C$6:$C$65,0))-1)+MATCH(B1323,{"AM","PM","NIGHT","WD"},0)-1-27+1,DAY(A1323))&amp;"",""))</f>
        <v/>
      </c>
      <c r="G1323" s="123">
        <f>IF(OR(A1323="",C1323="",B1323="",E1323=""),"",IFERROR(A1323&amp;"|"&amp;(27+4*(IFERROR(MATCH(C1323,Roster!$B$6:$B$65,0),MATCH(C1323,Roster!$C$6:$C$65,0))-1)+MATCH(B1323,{"AM","PM","NIGHT","WD"},0)-1),""))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$266,'Feb'!$D$27:$AH$266,'Mar'!$D$27:$AH$266,'Apr'!$D$27:$AH$266,'May'!$D$27:$AH$266,'Jun'!$D$27:$AH$266,'Jul'!$D$27:$AH$266,'Aug'!$D$27:$AH$266,'Sep'!$D$27:$AH$266,'Oct'!$D$27:$AH$266,'Nov'!$D$27:$AH$266,'Dec'!$D$27:$AH$266,'Jan (next year)'!$D$27:$AH$266),27+4*(IFERROR(MATCH(C1324,Roster!$B$6:$B$65,0),MATCH(C1324,Roster!$C$6:$C$65,0))-1)+MATCH(B1324,{"AM","PM","NIGHT","WD"},0)-1-27+1,DAY(A1324))&amp;"",""))</f>
        <v/>
      </c>
      <c r="G1324" s="123">
        <f>IF(OR(A1324="",C1324="",B1324="",E1324=""),"",IFERROR(A1324&amp;"|"&amp;(27+4*(IFERROR(MATCH(C1324,Roster!$B$6:$B$65,0),MATCH(C1324,Roster!$C$6:$C$65,0))-1)+MATCH(B1324,{"AM","PM","NIGHT","WD"},0)-1),""))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$266,'Feb'!$D$27:$AH$266,'Mar'!$D$27:$AH$266,'Apr'!$D$27:$AH$266,'May'!$D$27:$AH$266,'Jun'!$D$27:$AH$266,'Jul'!$D$27:$AH$266,'Aug'!$D$27:$AH$266,'Sep'!$D$27:$AH$266,'Oct'!$D$27:$AH$266,'Nov'!$D$27:$AH$266,'Dec'!$D$27:$AH$266,'Jan (next year)'!$D$27:$AH$266),27+4*(IFERROR(MATCH(C1325,Roster!$B$6:$B$65,0),MATCH(C1325,Roster!$C$6:$C$65,0))-1)+MATCH(B1325,{"AM","PM","NIGHT","WD"},0)-1-27+1,DAY(A1325))&amp;"",""))</f>
        <v/>
      </c>
      <c r="G1325" s="123">
        <f>IF(OR(A1325="",C1325="",B1325="",E1325=""),"",IFERROR(A1325&amp;"|"&amp;(27+4*(IFERROR(MATCH(C1325,Roster!$B$6:$B$65,0),MATCH(C1325,Roster!$C$6:$C$65,0))-1)+MATCH(B1325,{"AM","PM","NIGHT","WD"},0)-1),""))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$266,'Feb'!$D$27:$AH$266,'Mar'!$D$27:$AH$266,'Apr'!$D$27:$AH$266,'May'!$D$27:$AH$266,'Jun'!$D$27:$AH$266,'Jul'!$D$27:$AH$266,'Aug'!$D$27:$AH$266,'Sep'!$D$27:$AH$266,'Oct'!$D$27:$AH$266,'Nov'!$D$27:$AH$266,'Dec'!$D$27:$AH$266,'Jan (next year)'!$D$27:$AH$266),27+4*(IFERROR(MATCH(C1326,Roster!$B$6:$B$65,0),MATCH(C1326,Roster!$C$6:$C$65,0))-1)+MATCH(B1326,{"AM","PM","NIGHT","WD"},0)-1-27+1,DAY(A1326))&amp;"",""))</f>
        <v/>
      </c>
      <c r="G1326" s="123">
        <f>IF(OR(A1326="",C1326="",B1326="",E1326=""),"",IFERROR(A1326&amp;"|"&amp;(27+4*(IFERROR(MATCH(C1326,Roster!$B$6:$B$65,0),MATCH(C1326,Roster!$C$6:$C$65,0))-1)+MATCH(B1326,{"AM","PM","NIGHT","WD"},0)-1),""))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$266,'Feb'!$D$27:$AH$266,'Mar'!$D$27:$AH$266,'Apr'!$D$27:$AH$266,'May'!$D$27:$AH$266,'Jun'!$D$27:$AH$266,'Jul'!$D$27:$AH$266,'Aug'!$D$27:$AH$266,'Sep'!$D$27:$AH$266,'Oct'!$D$27:$AH$266,'Nov'!$D$27:$AH$266,'Dec'!$D$27:$AH$266,'Jan (next year)'!$D$27:$AH$266),27+4*(IFERROR(MATCH(C1327,Roster!$B$6:$B$65,0),MATCH(C1327,Roster!$C$6:$C$65,0))-1)+MATCH(B1327,{"AM","PM","NIGHT","WD"},0)-1-27+1,DAY(A1327))&amp;"",""))</f>
        <v/>
      </c>
      <c r="G1327" s="123">
        <f>IF(OR(A1327="",C1327="",B1327="",E1327=""),"",IFERROR(A1327&amp;"|"&amp;(27+4*(IFERROR(MATCH(C1327,Roster!$B$6:$B$65,0),MATCH(C1327,Roster!$C$6:$C$65,0))-1)+MATCH(B1327,{"AM","PM","NIGHT","WD"},0)-1),""))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$266,'Feb'!$D$27:$AH$266,'Mar'!$D$27:$AH$266,'Apr'!$D$27:$AH$266,'May'!$D$27:$AH$266,'Jun'!$D$27:$AH$266,'Jul'!$D$27:$AH$266,'Aug'!$D$27:$AH$266,'Sep'!$D$27:$AH$266,'Oct'!$D$27:$AH$266,'Nov'!$D$27:$AH$266,'Dec'!$D$27:$AH$266,'Jan (next year)'!$D$27:$AH$266),27+4*(IFERROR(MATCH(C1328,Roster!$B$6:$B$65,0),MATCH(C1328,Roster!$C$6:$C$65,0))-1)+MATCH(B1328,{"AM","PM","NIGHT","WD"},0)-1-27+1,DAY(A1328))&amp;"",""))</f>
        <v/>
      </c>
      <c r="G1328" s="123">
        <f>IF(OR(A1328="",C1328="",B1328="",E1328=""),"",IFERROR(A1328&amp;"|"&amp;(27+4*(IFERROR(MATCH(C1328,Roster!$B$6:$B$65,0),MATCH(C1328,Roster!$C$6:$C$65,0))-1)+MATCH(B1328,{"AM","PM","NIGHT","WD"},0)-1),""))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$266,'Feb'!$D$27:$AH$266,'Mar'!$D$27:$AH$266,'Apr'!$D$27:$AH$266,'May'!$D$27:$AH$266,'Jun'!$D$27:$AH$266,'Jul'!$D$27:$AH$266,'Aug'!$D$27:$AH$266,'Sep'!$D$27:$AH$266,'Oct'!$D$27:$AH$266,'Nov'!$D$27:$AH$266,'Dec'!$D$27:$AH$266,'Jan (next year)'!$D$27:$AH$266),27+4*(IFERROR(MATCH(C1329,Roster!$B$6:$B$65,0),MATCH(C1329,Roster!$C$6:$C$65,0))-1)+MATCH(B1329,{"AM","PM","NIGHT","WD"},0)-1-27+1,DAY(A1329))&amp;"",""))</f>
        <v/>
      </c>
      <c r="G1329" s="123">
        <f>IF(OR(A1329="",C1329="",B1329="",E1329=""),"",IFERROR(A1329&amp;"|"&amp;(27+4*(IFERROR(MATCH(C1329,Roster!$B$6:$B$65,0),MATCH(C1329,Roster!$C$6:$C$65,0))-1)+MATCH(B1329,{"AM","PM","NIGHT","WD"},0)-1),""))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$266,'Feb'!$D$27:$AH$266,'Mar'!$D$27:$AH$266,'Apr'!$D$27:$AH$266,'May'!$D$27:$AH$266,'Jun'!$D$27:$AH$266,'Jul'!$D$27:$AH$266,'Aug'!$D$27:$AH$266,'Sep'!$D$27:$AH$266,'Oct'!$D$27:$AH$266,'Nov'!$D$27:$AH$266,'Dec'!$D$27:$AH$266,'Jan (next year)'!$D$27:$AH$266),27+4*(IFERROR(MATCH(C1330,Roster!$B$6:$B$65,0),MATCH(C1330,Roster!$C$6:$C$65,0))-1)+MATCH(B1330,{"AM","PM","NIGHT","WD"},0)-1-27+1,DAY(A1330))&amp;"",""))</f>
        <v/>
      </c>
      <c r="G1330" s="123">
        <f>IF(OR(A1330="",C1330="",B1330="",E1330=""),"",IFERROR(A1330&amp;"|"&amp;(27+4*(IFERROR(MATCH(C1330,Roster!$B$6:$B$65,0),MATCH(C1330,Roster!$C$6:$C$65,0))-1)+MATCH(B1330,{"AM","PM","NIGHT","WD"},0)-1),""))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$266,'Feb'!$D$27:$AH$266,'Mar'!$D$27:$AH$266,'Apr'!$D$27:$AH$266,'May'!$D$27:$AH$266,'Jun'!$D$27:$AH$266,'Jul'!$D$27:$AH$266,'Aug'!$D$27:$AH$266,'Sep'!$D$27:$AH$266,'Oct'!$D$27:$AH$266,'Nov'!$D$27:$AH$266,'Dec'!$D$27:$AH$266,'Jan (next year)'!$D$27:$AH$266),27+4*(IFERROR(MATCH(C1331,Roster!$B$6:$B$65,0),MATCH(C1331,Roster!$C$6:$C$65,0))-1)+MATCH(B1331,{"AM","PM","NIGHT","WD"},0)-1-27+1,DAY(A1331))&amp;"",""))</f>
        <v/>
      </c>
      <c r="G1331" s="123">
        <f>IF(OR(A1331="",C1331="",B1331="",E1331=""),"",IFERROR(A1331&amp;"|"&amp;(27+4*(IFERROR(MATCH(C1331,Roster!$B$6:$B$65,0),MATCH(C1331,Roster!$C$6:$C$65,0))-1)+MATCH(B1331,{"AM","PM","NIGHT","WD"},0)-1),""))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$266,'Feb'!$D$27:$AH$266,'Mar'!$D$27:$AH$266,'Apr'!$D$27:$AH$266,'May'!$D$27:$AH$266,'Jun'!$D$27:$AH$266,'Jul'!$D$27:$AH$266,'Aug'!$D$27:$AH$266,'Sep'!$D$27:$AH$266,'Oct'!$D$27:$AH$266,'Nov'!$D$27:$AH$266,'Dec'!$D$27:$AH$266,'Jan (next year)'!$D$27:$AH$266),27+4*(IFERROR(MATCH(C1332,Roster!$B$6:$B$65,0),MATCH(C1332,Roster!$C$6:$C$65,0))-1)+MATCH(B1332,{"AM","PM","NIGHT","WD"},0)-1-27+1,DAY(A1332))&amp;"",""))</f>
        <v/>
      </c>
      <c r="G1332" s="123">
        <f>IF(OR(A1332="",C1332="",B1332="",E1332=""),"",IFERROR(A1332&amp;"|"&amp;(27+4*(IFERROR(MATCH(C1332,Roster!$B$6:$B$65,0),MATCH(C1332,Roster!$C$6:$C$65,0))-1)+MATCH(B1332,{"AM","PM","NIGHT","WD"},0)-1),""))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$266,'Feb'!$D$27:$AH$266,'Mar'!$D$27:$AH$266,'Apr'!$D$27:$AH$266,'May'!$D$27:$AH$266,'Jun'!$D$27:$AH$266,'Jul'!$D$27:$AH$266,'Aug'!$D$27:$AH$266,'Sep'!$D$27:$AH$266,'Oct'!$D$27:$AH$266,'Nov'!$D$27:$AH$266,'Dec'!$D$27:$AH$266,'Jan (next year)'!$D$27:$AH$266),27+4*(IFERROR(MATCH(C1333,Roster!$B$6:$B$65,0),MATCH(C1333,Roster!$C$6:$C$65,0))-1)+MATCH(B1333,{"AM","PM","NIGHT","WD"},0)-1-27+1,DAY(A1333))&amp;"",""))</f>
        <v/>
      </c>
      <c r="G1333" s="123">
        <f>IF(OR(A1333="",C1333="",B1333="",E1333=""),"",IFERROR(A1333&amp;"|"&amp;(27+4*(IFERROR(MATCH(C1333,Roster!$B$6:$B$65,0),MATCH(C1333,Roster!$C$6:$C$65,0))-1)+MATCH(B1333,{"AM","PM","NIGHT","WD"},0)-1),""))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$266,'Feb'!$D$27:$AH$266,'Mar'!$D$27:$AH$266,'Apr'!$D$27:$AH$266,'May'!$D$27:$AH$266,'Jun'!$D$27:$AH$266,'Jul'!$D$27:$AH$266,'Aug'!$D$27:$AH$266,'Sep'!$D$27:$AH$266,'Oct'!$D$27:$AH$266,'Nov'!$D$27:$AH$266,'Dec'!$D$27:$AH$266,'Jan (next year)'!$D$27:$AH$266),27+4*(IFERROR(MATCH(C1334,Roster!$B$6:$B$65,0),MATCH(C1334,Roster!$C$6:$C$65,0))-1)+MATCH(B1334,{"AM","PM","NIGHT","WD"},0)-1-27+1,DAY(A1334))&amp;"",""))</f>
        <v/>
      </c>
      <c r="G1334" s="123">
        <f>IF(OR(A1334="",C1334="",B1334="",E1334=""),"",IFERROR(A1334&amp;"|"&amp;(27+4*(IFERROR(MATCH(C1334,Roster!$B$6:$B$65,0),MATCH(C1334,Roster!$C$6:$C$65,0))-1)+MATCH(B1334,{"AM","PM","NIGHT","WD"},0)-1),""))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$266,'Feb'!$D$27:$AH$266,'Mar'!$D$27:$AH$266,'Apr'!$D$27:$AH$266,'May'!$D$27:$AH$266,'Jun'!$D$27:$AH$266,'Jul'!$D$27:$AH$266,'Aug'!$D$27:$AH$266,'Sep'!$D$27:$AH$266,'Oct'!$D$27:$AH$266,'Nov'!$D$27:$AH$266,'Dec'!$D$27:$AH$266,'Jan (next year)'!$D$27:$AH$266),27+4*(IFERROR(MATCH(C1335,Roster!$B$6:$B$65,0),MATCH(C1335,Roster!$C$6:$C$65,0))-1)+MATCH(B1335,{"AM","PM","NIGHT","WD"},0)-1-27+1,DAY(A1335))&amp;"",""))</f>
        <v/>
      </c>
      <c r="G1335" s="123">
        <f>IF(OR(A1335="",C1335="",B1335="",E1335=""),"",IFERROR(A1335&amp;"|"&amp;(27+4*(IFERROR(MATCH(C1335,Roster!$B$6:$B$65,0),MATCH(C1335,Roster!$C$6:$C$65,0))-1)+MATCH(B1335,{"AM","PM","NIGHT","WD"},0)-1),""))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$266,'Feb'!$D$27:$AH$266,'Mar'!$D$27:$AH$266,'Apr'!$D$27:$AH$266,'May'!$D$27:$AH$266,'Jun'!$D$27:$AH$266,'Jul'!$D$27:$AH$266,'Aug'!$D$27:$AH$266,'Sep'!$D$27:$AH$266,'Oct'!$D$27:$AH$266,'Nov'!$D$27:$AH$266,'Dec'!$D$27:$AH$266,'Jan (next year)'!$D$27:$AH$266),27+4*(IFERROR(MATCH(C1336,Roster!$B$6:$B$65,0),MATCH(C1336,Roster!$C$6:$C$65,0))-1)+MATCH(B1336,{"AM","PM","NIGHT","WD"},0)-1-27+1,DAY(A1336))&amp;"",""))</f>
        <v/>
      </c>
      <c r="G1336" s="123">
        <f>IF(OR(A1336="",C1336="",B1336="",E1336=""),"",IFERROR(A1336&amp;"|"&amp;(27+4*(IFERROR(MATCH(C1336,Roster!$B$6:$B$65,0),MATCH(C1336,Roster!$C$6:$C$65,0))-1)+MATCH(B1336,{"AM","PM","NIGHT","WD"},0)-1),""))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$266,'Feb'!$D$27:$AH$266,'Mar'!$D$27:$AH$266,'Apr'!$D$27:$AH$266,'May'!$D$27:$AH$266,'Jun'!$D$27:$AH$266,'Jul'!$D$27:$AH$266,'Aug'!$D$27:$AH$266,'Sep'!$D$27:$AH$266,'Oct'!$D$27:$AH$266,'Nov'!$D$27:$AH$266,'Dec'!$D$27:$AH$266,'Jan (next year)'!$D$27:$AH$266),27+4*(IFERROR(MATCH(C1337,Roster!$B$6:$B$65,0),MATCH(C1337,Roster!$C$6:$C$65,0))-1)+MATCH(B1337,{"AM","PM","NIGHT","WD"},0)-1-27+1,DAY(A1337))&amp;"",""))</f>
        <v/>
      </c>
      <c r="G1337" s="123">
        <f>IF(OR(A1337="",C1337="",B1337="",E1337=""),"",IFERROR(A1337&amp;"|"&amp;(27+4*(IFERROR(MATCH(C1337,Roster!$B$6:$B$65,0),MATCH(C1337,Roster!$C$6:$C$65,0))-1)+MATCH(B1337,{"AM","PM","NIGHT","WD"},0)-1),""))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$266,'Feb'!$D$27:$AH$266,'Mar'!$D$27:$AH$266,'Apr'!$D$27:$AH$266,'May'!$D$27:$AH$266,'Jun'!$D$27:$AH$266,'Jul'!$D$27:$AH$266,'Aug'!$D$27:$AH$266,'Sep'!$D$27:$AH$266,'Oct'!$D$27:$AH$266,'Nov'!$D$27:$AH$266,'Dec'!$D$27:$AH$266,'Jan (next year)'!$D$27:$AH$266),27+4*(IFERROR(MATCH(C1338,Roster!$B$6:$B$65,0),MATCH(C1338,Roster!$C$6:$C$65,0))-1)+MATCH(B1338,{"AM","PM","NIGHT","WD"},0)-1-27+1,DAY(A1338))&amp;"",""))</f>
        <v/>
      </c>
      <c r="G1338" s="123">
        <f>IF(OR(A1338="",C1338="",B1338="",E1338=""),"",IFERROR(A1338&amp;"|"&amp;(27+4*(IFERROR(MATCH(C1338,Roster!$B$6:$B$65,0),MATCH(C1338,Roster!$C$6:$C$65,0))-1)+MATCH(B1338,{"AM","PM","NIGHT","WD"},0)-1),""))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$266,'Feb'!$D$27:$AH$266,'Mar'!$D$27:$AH$266,'Apr'!$D$27:$AH$266,'May'!$D$27:$AH$266,'Jun'!$D$27:$AH$266,'Jul'!$D$27:$AH$266,'Aug'!$D$27:$AH$266,'Sep'!$D$27:$AH$266,'Oct'!$D$27:$AH$266,'Nov'!$D$27:$AH$266,'Dec'!$D$27:$AH$266,'Jan (next year)'!$D$27:$AH$266),27+4*(IFERROR(MATCH(C1339,Roster!$B$6:$B$65,0),MATCH(C1339,Roster!$C$6:$C$65,0))-1)+MATCH(B1339,{"AM","PM","NIGHT","WD"},0)-1-27+1,DAY(A1339))&amp;"",""))</f>
        <v/>
      </c>
      <c r="G1339" s="123">
        <f>IF(OR(A1339="",C1339="",B1339="",E1339=""),"",IFERROR(A1339&amp;"|"&amp;(27+4*(IFERROR(MATCH(C1339,Roster!$B$6:$B$65,0),MATCH(C1339,Roster!$C$6:$C$65,0))-1)+MATCH(B1339,{"AM","PM","NIGHT","WD"},0)-1),""))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$266,'Feb'!$D$27:$AH$266,'Mar'!$D$27:$AH$266,'Apr'!$D$27:$AH$266,'May'!$D$27:$AH$266,'Jun'!$D$27:$AH$266,'Jul'!$D$27:$AH$266,'Aug'!$D$27:$AH$266,'Sep'!$D$27:$AH$266,'Oct'!$D$27:$AH$266,'Nov'!$D$27:$AH$266,'Dec'!$D$27:$AH$266,'Jan (next year)'!$D$27:$AH$266),27+4*(IFERROR(MATCH(C1340,Roster!$B$6:$B$65,0),MATCH(C1340,Roster!$C$6:$C$65,0))-1)+MATCH(B1340,{"AM","PM","NIGHT","WD"},0)-1-27+1,DAY(A1340))&amp;"",""))</f>
        <v/>
      </c>
      <c r="G1340" s="123">
        <f>IF(OR(A1340="",C1340="",B1340="",E1340=""),"",IFERROR(A1340&amp;"|"&amp;(27+4*(IFERROR(MATCH(C1340,Roster!$B$6:$B$65,0),MATCH(C1340,Roster!$C$6:$C$65,0))-1)+MATCH(B1340,{"AM","PM","NIGHT","WD"},0)-1),""))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$266,'Feb'!$D$27:$AH$266,'Mar'!$D$27:$AH$266,'Apr'!$D$27:$AH$266,'May'!$D$27:$AH$266,'Jun'!$D$27:$AH$266,'Jul'!$D$27:$AH$266,'Aug'!$D$27:$AH$266,'Sep'!$D$27:$AH$266,'Oct'!$D$27:$AH$266,'Nov'!$D$27:$AH$266,'Dec'!$D$27:$AH$266,'Jan (next year)'!$D$27:$AH$266),27+4*(IFERROR(MATCH(C1341,Roster!$B$6:$B$65,0),MATCH(C1341,Roster!$C$6:$C$65,0))-1)+MATCH(B1341,{"AM","PM","NIGHT","WD"},0)-1-27+1,DAY(A1341))&amp;"",""))</f>
        <v/>
      </c>
      <c r="G1341" s="123">
        <f>IF(OR(A1341="",C1341="",B1341="",E1341=""),"",IFERROR(A1341&amp;"|"&amp;(27+4*(IFERROR(MATCH(C1341,Roster!$B$6:$B$65,0),MATCH(C1341,Roster!$C$6:$C$65,0))-1)+MATCH(B1341,{"AM","PM","NIGHT","WD"},0)-1),""))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$266,'Feb'!$D$27:$AH$266,'Mar'!$D$27:$AH$266,'Apr'!$D$27:$AH$266,'May'!$D$27:$AH$266,'Jun'!$D$27:$AH$266,'Jul'!$D$27:$AH$266,'Aug'!$D$27:$AH$266,'Sep'!$D$27:$AH$266,'Oct'!$D$27:$AH$266,'Nov'!$D$27:$AH$266,'Dec'!$D$27:$AH$266,'Jan (next year)'!$D$27:$AH$266),27+4*(IFERROR(MATCH(C1342,Roster!$B$6:$B$65,0),MATCH(C1342,Roster!$C$6:$C$65,0))-1)+MATCH(B1342,{"AM","PM","NIGHT","WD"},0)-1-27+1,DAY(A1342))&amp;"",""))</f>
        <v/>
      </c>
      <c r="G1342" s="123">
        <f>IF(OR(A1342="",C1342="",B1342="",E1342=""),"",IFERROR(A1342&amp;"|"&amp;(27+4*(IFERROR(MATCH(C1342,Roster!$B$6:$B$65,0),MATCH(C1342,Roster!$C$6:$C$65,0))-1)+MATCH(B1342,{"AM","PM","NIGHT","WD"},0)-1),""))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$266,'Feb'!$D$27:$AH$266,'Mar'!$D$27:$AH$266,'Apr'!$D$27:$AH$266,'May'!$D$27:$AH$266,'Jun'!$D$27:$AH$266,'Jul'!$D$27:$AH$266,'Aug'!$D$27:$AH$266,'Sep'!$D$27:$AH$266,'Oct'!$D$27:$AH$266,'Nov'!$D$27:$AH$266,'Dec'!$D$27:$AH$266,'Jan (next year)'!$D$27:$AH$266),27+4*(IFERROR(MATCH(C1343,Roster!$B$6:$B$65,0),MATCH(C1343,Roster!$C$6:$C$65,0))-1)+MATCH(B1343,{"AM","PM","NIGHT","WD"},0)-1-27+1,DAY(A1343))&amp;"",""))</f>
        <v/>
      </c>
      <c r="G1343" s="123">
        <f>IF(OR(A1343="",C1343="",B1343="",E1343=""),"",IFERROR(A1343&amp;"|"&amp;(27+4*(IFERROR(MATCH(C1343,Roster!$B$6:$B$65,0),MATCH(C1343,Roster!$C$6:$C$65,0))-1)+MATCH(B1343,{"AM","PM","NIGHT","WD"},0)-1),""))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$266,'Feb'!$D$27:$AH$266,'Mar'!$D$27:$AH$266,'Apr'!$D$27:$AH$266,'May'!$D$27:$AH$266,'Jun'!$D$27:$AH$266,'Jul'!$D$27:$AH$266,'Aug'!$D$27:$AH$266,'Sep'!$D$27:$AH$266,'Oct'!$D$27:$AH$266,'Nov'!$D$27:$AH$266,'Dec'!$D$27:$AH$266,'Jan (next year)'!$D$27:$AH$266),27+4*(IFERROR(MATCH(C1344,Roster!$B$6:$B$65,0),MATCH(C1344,Roster!$C$6:$C$65,0))-1)+MATCH(B1344,{"AM","PM","NIGHT","WD"},0)-1-27+1,DAY(A1344))&amp;"",""))</f>
        <v/>
      </c>
      <c r="G1344" s="123">
        <f>IF(OR(A1344="",C1344="",B1344="",E1344=""),"",IFERROR(A1344&amp;"|"&amp;(27+4*(IFERROR(MATCH(C1344,Roster!$B$6:$B$65,0),MATCH(C1344,Roster!$C$6:$C$65,0))-1)+MATCH(B1344,{"AM","PM","NIGHT","WD"},0)-1),""))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$266,'Feb'!$D$27:$AH$266,'Mar'!$D$27:$AH$266,'Apr'!$D$27:$AH$266,'May'!$D$27:$AH$266,'Jun'!$D$27:$AH$266,'Jul'!$D$27:$AH$266,'Aug'!$D$27:$AH$266,'Sep'!$D$27:$AH$266,'Oct'!$D$27:$AH$266,'Nov'!$D$27:$AH$266,'Dec'!$D$27:$AH$266,'Jan (next year)'!$D$27:$AH$266),27+4*(IFERROR(MATCH(C1345,Roster!$B$6:$B$65,0),MATCH(C1345,Roster!$C$6:$C$65,0))-1)+MATCH(B1345,{"AM","PM","NIGHT","WD"},0)-1-27+1,DAY(A1345))&amp;"",""))</f>
        <v/>
      </c>
      <c r="G1345" s="123">
        <f>IF(OR(A1345="",C1345="",B1345="",E1345=""),"",IFERROR(A1345&amp;"|"&amp;(27+4*(IFERROR(MATCH(C1345,Roster!$B$6:$B$65,0),MATCH(C1345,Roster!$C$6:$C$65,0))-1)+MATCH(B1345,{"AM","PM","NIGHT","WD"},0)-1),""))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$266,'Feb'!$D$27:$AH$266,'Mar'!$D$27:$AH$266,'Apr'!$D$27:$AH$266,'May'!$D$27:$AH$266,'Jun'!$D$27:$AH$266,'Jul'!$D$27:$AH$266,'Aug'!$D$27:$AH$266,'Sep'!$D$27:$AH$266,'Oct'!$D$27:$AH$266,'Nov'!$D$27:$AH$266,'Dec'!$D$27:$AH$266,'Jan (next year)'!$D$27:$AH$266),27+4*(IFERROR(MATCH(C1346,Roster!$B$6:$B$65,0),MATCH(C1346,Roster!$C$6:$C$65,0))-1)+MATCH(B1346,{"AM","PM","NIGHT","WD"},0)-1-27+1,DAY(A1346))&amp;"",""))</f>
        <v/>
      </c>
      <c r="G1346" s="123">
        <f>IF(OR(A1346="",C1346="",B1346="",E1346=""),"",IFERROR(A1346&amp;"|"&amp;(27+4*(IFERROR(MATCH(C1346,Roster!$B$6:$B$65,0),MATCH(C1346,Roster!$C$6:$C$65,0))-1)+MATCH(B1346,{"AM","PM","NIGHT","WD"},0)-1),""))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$266,'Feb'!$D$27:$AH$266,'Mar'!$D$27:$AH$266,'Apr'!$D$27:$AH$266,'May'!$D$27:$AH$266,'Jun'!$D$27:$AH$266,'Jul'!$D$27:$AH$266,'Aug'!$D$27:$AH$266,'Sep'!$D$27:$AH$266,'Oct'!$D$27:$AH$266,'Nov'!$D$27:$AH$266,'Dec'!$D$27:$AH$266,'Jan (next year)'!$D$27:$AH$266),27+4*(IFERROR(MATCH(C1347,Roster!$B$6:$B$65,0),MATCH(C1347,Roster!$C$6:$C$65,0))-1)+MATCH(B1347,{"AM","PM","NIGHT","WD"},0)-1-27+1,DAY(A1347))&amp;"",""))</f>
        <v/>
      </c>
      <c r="G1347" s="123">
        <f>IF(OR(A1347="",C1347="",B1347="",E1347=""),"",IFERROR(A1347&amp;"|"&amp;(27+4*(IFERROR(MATCH(C1347,Roster!$B$6:$B$65,0),MATCH(C1347,Roster!$C$6:$C$65,0))-1)+MATCH(B1347,{"AM","PM","NIGHT","WD"},0)-1),""))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$266,'Feb'!$D$27:$AH$266,'Mar'!$D$27:$AH$266,'Apr'!$D$27:$AH$266,'May'!$D$27:$AH$266,'Jun'!$D$27:$AH$266,'Jul'!$D$27:$AH$266,'Aug'!$D$27:$AH$266,'Sep'!$D$27:$AH$266,'Oct'!$D$27:$AH$266,'Nov'!$D$27:$AH$266,'Dec'!$D$27:$AH$266,'Jan (next year)'!$D$27:$AH$266),27+4*(IFERROR(MATCH(C1348,Roster!$B$6:$B$65,0),MATCH(C1348,Roster!$C$6:$C$65,0))-1)+MATCH(B1348,{"AM","PM","NIGHT","WD"},0)-1-27+1,DAY(A1348))&amp;"",""))</f>
        <v/>
      </c>
      <c r="G1348" s="123">
        <f>IF(OR(A1348="",C1348="",B1348="",E1348=""),"",IFERROR(A1348&amp;"|"&amp;(27+4*(IFERROR(MATCH(C1348,Roster!$B$6:$B$65,0),MATCH(C1348,Roster!$C$6:$C$65,0))-1)+MATCH(B1348,{"AM","PM","NIGHT","WD"},0)-1),""))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$266,'Feb'!$D$27:$AH$266,'Mar'!$D$27:$AH$266,'Apr'!$D$27:$AH$266,'May'!$D$27:$AH$266,'Jun'!$D$27:$AH$266,'Jul'!$D$27:$AH$266,'Aug'!$D$27:$AH$266,'Sep'!$D$27:$AH$266,'Oct'!$D$27:$AH$266,'Nov'!$D$27:$AH$266,'Dec'!$D$27:$AH$266,'Jan (next year)'!$D$27:$AH$266),27+4*(IFERROR(MATCH(C1349,Roster!$B$6:$B$65,0),MATCH(C1349,Roster!$C$6:$C$65,0))-1)+MATCH(B1349,{"AM","PM","NIGHT","WD"},0)-1-27+1,DAY(A1349))&amp;"",""))</f>
        <v/>
      </c>
      <c r="G1349" s="123">
        <f>IF(OR(A1349="",C1349="",B1349="",E1349=""),"",IFERROR(A1349&amp;"|"&amp;(27+4*(IFERROR(MATCH(C1349,Roster!$B$6:$B$65,0),MATCH(C1349,Roster!$C$6:$C$65,0))-1)+MATCH(B1349,{"AM","PM","NIGHT","WD"},0)-1),""))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$266,'Feb'!$D$27:$AH$266,'Mar'!$D$27:$AH$266,'Apr'!$D$27:$AH$266,'May'!$D$27:$AH$266,'Jun'!$D$27:$AH$266,'Jul'!$D$27:$AH$266,'Aug'!$D$27:$AH$266,'Sep'!$D$27:$AH$266,'Oct'!$D$27:$AH$266,'Nov'!$D$27:$AH$266,'Dec'!$D$27:$AH$266,'Jan (next year)'!$D$27:$AH$266),27+4*(IFERROR(MATCH(C1350,Roster!$B$6:$B$65,0),MATCH(C1350,Roster!$C$6:$C$65,0))-1)+MATCH(B1350,{"AM","PM","NIGHT","WD"},0)-1-27+1,DAY(A1350))&amp;"",""))</f>
        <v/>
      </c>
      <c r="G1350" s="123">
        <f>IF(OR(A1350="",C1350="",B1350="",E1350=""),"",IFERROR(A1350&amp;"|"&amp;(27+4*(IFERROR(MATCH(C1350,Roster!$B$6:$B$65,0),MATCH(C1350,Roster!$C$6:$C$65,0))-1)+MATCH(B1350,{"AM","PM","NIGHT","WD"},0)-1),""))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$266,'Feb'!$D$27:$AH$266,'Mar'!$D$27:$AH$266,'Apr'!$D$27:$AH$266,'May'!$D$27:$AH$266,'Jun'!$D$27:$AH$266,'Jul'!$D$27:$AH$266,'Aug'!$D$27:$AH$266,'Sep'!$D$27:$AH$266,'Oct'!$D$27:$AH$266,'Nov'!$D$27:$AH$266,'Dec'!$D$27:$AH$266,'Jan (next year)'!$D$27:$AH$266),27+4*(IFERROR(MATCH(C1351,Roster!$B$6:$B$65,0),MATCH(C1351,Roster!$C$6:$C$65,0))-1)+MATCH(B1351,{"AM","PM","NIGHT","WD"},0)-1-27+1,DAY(A1351))&amp;"",""))</f>
        <v/>
      </c>
      <c r="G1351" s="123">
        <f>IF(OR(A1351="",C1351="",B1351="",E1351=""),"",IFERROR(A1351&amp;"|"&amp;(27+4*(IFERROR(MATCH(C1351,Roster!$B$6:$B$65,0),MATCH(C1351,Roster!$C$6:$C$65,0))-1)+MATCH(B1351,{"AM","PM","NIGHT","WD"},0)-1),""))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$266,'Feb'!$D$27:$AH$266,'Mar'!$D$27:$AH$266,'Apr'!$D$27:$AH$266,'May'!$D$27:$AH$266,'Jun'!$D$27:$AH$266,'Jul'!$D$27:$AH$266,'Aug'!$D$27:$AH$266,'Sep'!$D$27:$AH$266,'Oct'!$D$27:$AH$266,'Nov'!$D$27:$AH$266,'Dec'!$D$27:$AH$266,'Jan (next year)'!$D$27:$AH$266),27+4*(IFERROR(MATCH(C1352,Roster!$B$6:$B$65,0),MATCH(C1352,Roster!$C$6:$C$65,0))-1)+MATCH(B1352,{"AM","PM","NIGHT","WD"},0)-1-27+1,DAY(A1352))&amp;"",""))</f>
        <v/>
      </c>
      <c r="G1352" s="123">
        <f>IF(OR(A1352="",C1352="",B1352="",E1352=""),"",IFERROR(A1352&amp;"|"&amp;(27+4*(IFERROR(MATCH(C1352,Roster!$B$6:$B$65,0),MATCH(C1352,Roster!$C$6:$C$65,0))-1)+MATCH(B1352,{"AM","PM","NIGHT","WD"},0)-1),""))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$266,'Feb'!$D$27:$AH$266,'Mar'!$D$27:$AH$266,'Apr'!$D$27:$AH$266,'May'!$D$27:$AH$266,'Jun'!$D$27:$AH$266,'Jul'!$D$27:$AH$266,'Aug'!$D$27:$AH$266,'Sep'!$D$27:$AH$266,'Oct'!$D$27:$AH$266,'Nov'!$D$27:$AH$266,'Dec'!$D$27:$AH$266,'Jan (next year)'!$D$27:$AH$266),27+4*(IFERROR(MATCH(C1353,Roster!$B$6:$B$65,0),MATCH(C1353,Roster!$C$6:$C$65,0))-1)+MATCH(B1353,{"AM","PM","NIGHT","WD"},0)-1-27+1,DAY(A1353))&amp;"",""))</f>
        <v/>
      </c>
      <c r="G1353" s="123">
        <f>IF(OR(A1353="",C1353="",B1353="",E1353=""),"",IFERROR(A1353&amp;"|"&amp;(27+4*(IFERROR(MATCH(C1353,Roster!$B$6:$B$65,0),MATCH(C1353,Roster!$C$6:$C$65,0))-1)+MATCH(B1353,{"AM","PM","NIGHT","WD"},0)-1),""))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$266,'Feb'!$D$27:$AH$266,'Mar'!$D$27:$AH$266,'Apr'!$D$27:$AH$266,'May'!$D$27:$AH$266,'Jun'!$D$27:$AH$266,'Jul'!$D$27:$AH$266,'Aug'!$D$27:$AH$266,'Sep'!$D$27:$AH$266,'Oct'!$D$27:$AH$266,'Nov'!$D$27:$AH$266,'Dec'!$D$27:$AH$266,'Jan (next year)'!$D$27:$AH$266),27+4*(IFERROR(MATCH(C1354,Roster!$B$6:$B$65,0),MATCH(C1354,Roster!$C$6:$C$65,0))-1)+MATCH(B1354,{"AM","PM","NIGHT","WD"},0)-1-27+1,DAY(A1354))&amp;"",""))</f>
        <v/>
      </c>
      <c r="G1354" s="123">
        <f>IF(OR(A1354="",C1354="",B1354="",E1354=""),"",IFERROR(A1354&amp;"|"&amp;(27+4*(IFERROR(MATCH(C1354,Roster!$B$6:$B$65,0),MATCH(C1354,Roster!$C$6:$C$65,0))-1)+MATCH(B1354,{"AM","PM","NIGHT","WD"},0)-1),""))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$266,'Feb'!$D$27:$AH$266,'Mar'!$D$27:$AH$266,'Apr'!$D$27:$AH$266,'May'!$D$27:$AH$266,'Jun'!$D$27:$AH$266,'Jul'!$D$27:$AH$266,'Aug'!$D$27:$AH$266,'Sep'!$D$27:$AH$266,'Oct'!$D$27:$AH$266,'Nov'!$D$27:$AH$266,'Dec'!$D$27:$AH$266,'Jan (next year)'!$D$27:$AH$266),27+4*(IFERROR(MATCH(C1355,Roster!$B$6:$B$65,0),MATCH(C1355,Roster!$C$6:$C$65,0))-1)+MATCH(B1355,{"AM","PM","NIGHT","WD"},0)-1-27+1,DAY(A1355))&amp;"",""))</f>
        <v/>
      </c>
      <c r="G1355" s="123">
        <f>IF(OR(A1355="",C1355="",B1355="",E1355=""),"",IFERROR(A1355&amp;"|"&amp;(27+4*(IFERROR(MATCH(C1355,Roster!$B$6:$B$65,0),MATCH(C1355,Roster!$C$6:$C$65,0))-1)+MATCH(B1355,{"AM","PM","NIGHT","WD"},0)-1),""))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$266,'Feb'!$D$27:$AH$266,'Mar'!$D$27:$AH$266,'Apr'!$D$27:$AH$266,'May'!$D$27:$AH$266,'Jun'!$D$27:$AH$266,'Jul'!$D$27:$AH$266,'Aug'!$D$27:$AH$266,'Sep'!$D$27:$AH$266,'Oct'!$D$27:$AH$266,'Nov'!$D$27:$AH$266,'Dec'!$D$27:$AH$266,'Jan (next year)'!$D$27:$AH$266),27+4*(IFERROR(MATCH(C1356,Roster!$B$6:$B$65,0),MATCH(C1356,Roster!$C$6:$C$65,0))-1)+MATCH(B1356,{"AM","PM","NIGHT","WD"},0)-1-27+1,DAY(A1356))&amp;"",""))</f>
        <v/>
      </c>
      <c r="G1356" s="123">
        <f>IF(OR(A1356="",C1356="",B1356="",E1356=""),"",IFERROR(A1356&amp;"|"&amp;(27+4*(IFERROR(MATCH(C1356,Roster!$B$6:$B$65,0),MATCH(C1356,Roster!$C$6:$C$65,0))-1)+MATCH(B1356,{"AM","PM","NIGHT","WD"},0)-1),""))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$266,'Feb'!$D$27:$AH$266,'Mar'!$D$27:$AH$266,'Apr'!$D$27:$AH$266,'May'!$D$27:$AH$266,'Jun'!$D$27:$AH$266,'Jul'!$D$27:$AH$266,'Aug'!$D$27:$AH$266,'Sep'!$D$27:$AH$266,'Oct'!$D$27:$AH$266,'Nov'!$D$27:$AH$266,'Dec'!$D$27:$AH$266,'Jan (next year)'!$D$27:$AH$266),27+4*(IFERROR(MATCH(C1357,Roster!$B$6:$B$65,0),MATCH(C1357,Roster!$C$6:$C$65,0))-1)+MATCH(B1357,{"AM","PM","NIGHT","WD"},0)-1-27+1,DAY(A1357))&amp;"",""))</f>
        <v/>
      </c>
      <c r="G1357" s="123">
        <f>IF(OR(A1357="",C1357="",B1357="",E1357=""),"",IFERROR(A1357&amp;"|"&amp;(27+4*(IFERROR(MATCH(C1357,Roster!$B$6:$B$65,0),MATCH(C1357,Roster!$C$6:$C$65,0))-1)+MATCH(B1357,{"AM","PM","NIGHT","WD"},0)-1),""))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$266,'Feb'!$D$27:$AH$266,'Mar'!$D$27:$AH$266,'Apr'!$D$27:$AH$266,'May'!$D$27:$AH$266,'Jun'!$D$27:$AH$266,'Jul'!$D$27:$AH$266,'Aug'!$D$27:$AH$266,'Sep'!$D$27:$AH$266,'Oct'!$D$27:$AH$266,'Nov'!$D$27:$AH$266,'Dec'!$D$27:$AH$266,'Jan (next year)'!$D$27:$AH$266),27+4*(IFERROR(MATCH(C1358,Roster!$B$6:$B$65,0),MATCH(C1358,Roster!$C$6:$C$65,0))-1)+MATCH(B1358,{"AM","PM","NIGHT","WD"},0)-1-27+1,DAY(A1358))&amp;"",""))</f>
        <v/>
      </c>
      <c r="G1358" s="123">
        <f>IF(OR(A1358="",C1358="",B1358="",E1358=""),"",IFERROR(A1358&amp;"|"&amp;(27+4*(IFERROR(MATCH(C1358,Roster!$B$6:$B$65,0),MATCH(C1358,Roster!$C$6:$C$65,0))-1)+MATCH(B1358,{"AM","PM","NIGHT","WD"},0)-1),""))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$266,'Feb'!$D$27:$AH$266,'Mar'!$D$27:$AH$266,'Apr'!$D$27:$AH$266,'May'!$D$27:$AH$266,'Jun'!$D$27:$AH$266,'Jul'!$D$27:$AH$266,'Aug'!$D$27:$AH$266,'Sep'!$D$27:$AH$266,'Oct'!$D$27:$AH$266,'Nov'!$D$27:$AH$266,'Dec'!$D$27:$AH$266,'Jan (next year)'!$D$27:$AH$266),27+4*(IFERROR(MATCH(C1359,Roster!$B$6:$B$65,0),MATCH(C1359,Roster!$C$6:$C$65,0))-1)+MATCH(B1359,{"AM","PM","NIGHT","WD"},0)-1-27+1,DAY(A1359))&amp;"",""))</f>
        <v/>
      </c>
      <c r="G1359" s="123">
        <f>IF(OR(A1359="",C1359="",B1359="",E1359=""),"",IFERROR(A1359&amp;"|"&amp;(27+4*(IFERROR(MATCH(C1359,Roster!$B$6:$B$65,0),MATCH(C1359,Roster!$C$6:$C$65,0))-1)+MATCH(B1359,{"AM","PM","NIGHT","WD"},0)-1),""))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$266,'Feb'!$D$27:$AH$266,'Mar'!$D$27:$AH$266,'Apr'!$D$27:$AH$266,'May'!$D$27:$AH$266,'Jun'!$D$27:$AH$266,'Jul'!$D$27:$AH$266,'Aug'!$D$27:$AH$266,'Sep'!$D$27:$AH$266,'Oct'!$D$27:$AH$266,'Nov'!$D$27:$AH$266,'Dec'!$D$27:$AH$266,'Jan (next year)'!$D$27:$AH$266),27+4*(IFERROR(MATCH(C1360,Roster!$B$6:$B$65,0),MATCH(C1360,Roster!$C$6:$C$65,0))-1)+MATCH(B1360,{"AM","PM","NIGHT","WD"},0)-1-27+1,DAY(A1360))&amp;"",""))</f>
        <v/>
      </c>
      <c r="G1360" s="123">
        <f>IF(OR(A1360="",C1360="",B1360="",E1360=""),"",IFERROR(A1360&amp;"|"&amp;(27+4*(IFERROR(MATCH(C1360,Roster!$B$6:$B$65,0),MATCH(C1360,Roster!$C$6:$C$65,0))-1)+MATCH(B1360,{"AM","PM","NIGHT","WD"},0)-1),""))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$266,'Feb'!$D$27:$AH$266,'Mar'!$D$27:$AH$266,'Apr'!$D$27:$AH$266,'May'!$D$27:$AH$266,'Jun'!$D$27:$AH$266,'Jul'!$D$27:$AH$266,'Aug'!$D$27:$AH$266,'Sep'!$D$27:$AH$266,'Oct'!$D$27:$AH$266,'Nov'!$D$27:$AH$266,'Dec'!$D$27:$AH$266,'Jan (next year)'!$D$27:$AH$266),27+4*(IFERROR(MATCH(C1361,Roster!$B$6:$B$65,0),MATCH(C1361,Roster!$C$6:$C$65,0))-1)+MATCH(B1361,{"AM","PM","NIGHT","WD"},0)-1-27+1,DAY(A1361))&amp;"",""))</f>
        <v/>
      </c>
      <c r="G1361" s="123">
        <f>IF(OR(A1361="",C1361="",B1361="",E1361=""),"",IFERROR(A1361&amp;"|"&amp;(27+4*(IFERROR(MATCH(C1361,Roster!$B$6:$B$65,0),MATCH(C1361,Roster!$C$6:$C$65,0))-1)+MATCH(B1361,{"AM","PM","NIGHT","WD"},0)-1),""))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$266,'Feb'!$D$27:$AH$266,'Mar'!$D$27:$AH$266,'Apr'!$D$27:$AH$266,'May'!$D$27:$AH$266,'Jun'!$D$27:$AH$266,'Jul'!$D$27:$AH$266,'Aug'!$D$27:$AH$266,'Sep'!$D$27:$AH$266,'Oct'!$D$27:$AH$266,'Nov'!$D$27:$AH$266,'Dec'!$D$27:$AH$266,'Jan (next year)'!$D$27:$AH$266),27+4*(IFERROR(MATCH(C1362,Roster!$B$6:$B$65,0),MATCH(C1362,Roster!$C$6:$C$65,0))-1)+MATCH(B1362,{"AM","PM","NIGHT","WD"},0)-1-27+1,DAY(A1362))&amp;"",""))</f>
        <v/>
      </c>
      <c r="G1362" s="123">
        <f>IF(OR(A1362="",C1362="",B1362="",E1362=""),"",IFERROR(A1362&amp;"|"&amp;(27+4*(IFERROR(MATCH(C1362,Roster!$B$6:$B$65,0),MATCH(C1362,Roster!$C$6:$C$65,0))-1)+MATCH(B1362,{"AM","PM","NIGHT","WD"},0)-1),""))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$266,'Feb'!$D$27:$AH$266,'Mar'!$D$27:$AH$266,'Apr'!$D$27:$AH$266,'May'!$D$27:$AH$266,'Jun'!$D$27:$AH$266,'Jul'!$D$27:$AH$266,'Aug'!$D$27:$AH$266,'Sep'!$D$27:$AH$266,'Oct'!$D$27:$AH$266,'Nov'!$D$27:$AH$266,'Dec'!$D$27:$AH$266,'Jan (next year)'!$D$27:$AH$266),27+4*(IFERROR(MATCH(C1363,Roster!$B$6:$B$65,0),MATCH(C1363,Roster!$C$6:$C$65,0))-1)+MATCH(B1363,{"AM","PM","NIGHT","WD"},0)-1-27+1,DAY(A1363))&amp;"",""))</f>
        <v/>
      </c>
      <c r="G1363" s="123">
        <f>IF(OR(A1363="",C1363="",B1363="",E1363=""),"",IFERROR(A1363&amp;"|"&amp;(27+4*(IFERROR(MATCH(C1363,Roster!$B$6:$B$65,0),MATCH(C1363,Roster!$C$6:$C$65,0))-1)+MATCH(B1363,{"AM","PM","NIGHT","WD"},0)-1),""))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$266,'Feb'!$D$27:$AH$266,'Mar'!$D$27:$AH$266,'Apr'!$D$27:$AH$266,'May'!$D$27:$AH$266,'Jun'!$D$27:$AH$266,'Jul'!$D$27:$AH$266,'Aug'!$D$27:$AH$266,'Sep'!$D$27:$AH$266,'Oct'!$D$27:$AH$266,'Nov'!$D$27:$AH$266,'Dec'!$D$27:$AH$266,'Jan (next year)'!$D$27:$AH$266),27+4*(IFERROR(MATCH(C1364,Roster!$B$6:$B$65,0),MATCH(C1364,Roster!$C$6:$C$65,0))-1)+MATCH(B1364,{"AM","PM","NIGHT","WD"},0)-1-27+1,DAY(A1364))&amp;"",""))</f>
        <v/>
      </c>
      <c r="G1364" s="123">
        <f>IF(OR(A1364="",C1364="",B1364="",E1364=""),"",IFERROR(A1364&amp;"|"&amp;(27+4*(IFERROR(MATCH(C1364,Roster!$B$6:$B$65,0),MATCH(C1364,Roster!$C$6:$C$65,0))-1)+MATCH(B1364,{"AM","PM","NIGHT","WD"},0)-1),""))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$266,'Feb'!$D$27:$AH$266,'Mar'!$D$27:$AH$266,'Apr'!$D$27:$AH$266,'May'!$D$27:$AH$266,'Jun'!$D$27:$AH$266,'Jul'!$D$27:$AH$266,'Aug'!$D$27:$AH$266,'Sep'!$D$27:$AH$266,'Oct'!$D$27:$AH$266,'Nov'!$D$27:$AH$266,'Dec'!$D$27:$AH$266,'Jan (next year)'!$D$27:$AH$266),27+4*(IFERROR(MATCH(C1365,Roster!$B$6:$B$65,0),MATCH(C1365,Roster!$C$6:$C$65,0))-1)+MATCH(B1365,{"AM","PM","NIGHT","WD"},0)-1-27+1,DAY(A1365))&amp;"",""))</f>
        <v/>
      </c>
      <c r="G1365" s="123">
        <f>IF(OR(A1365="",C1365="",B1365="",E1365=""),"",IFERROR(A1365&amp;"|"&amp;(27+4*(IFERROR(MATCH(C1365,Roster!$B$6:$B$65,0),MATCH(C1365,Roster!$C$6:$C$65,0))-1)+MATCH(B1365,{"AM","PM","NIGHT","WD"},0)-1),""))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$266,'Feb'!$D$27:$AH$266,'Mar'!$D$27:$AH$266,'Apr'!$D$27:$AH$266,'May'!$D$27:$AH$266,'Jun'!$D$27:$AH$266,'Jul'!$D$27:$AH$266,'Aug'!$D$27:$AH$266,'Sep'!$D$27:$AH$266,'Oct'!$D$27:$AH$266,'Nov'!$D$27:$AH$266,'Dec'!$D$27:$AH$266,'Jan (next year)'!$D$27:$AH$266),27+4*(IFERROR(MATCH(C1366,Roster!$B$6:$B$65,0),MATCH(C1366,Roster!$C$6:$C$65,0))-1)+MATCH(B1366,{"AM","PM","NIGHT","WD"},0)-1-27+1,DAY(A1366))&amp;"",""))</f>
        <v/>
      </c>
      <c r="G1366" s="123">
        <f>IF(OR(A1366="",C1366="",B1366="",E1366=""),"",IFERROR(A1366&amp;"|"&amp;(27+4*(IFERROR(MATCH(C1366,Roster!$B$6:$B$65,0),MATCH(C1366,Roster!$C$6:$C$65,0))-1)+MATCH(B1366,{"AM","PM","NIGHT","WD"},0)-1),""))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$266,'Feb'!$D$27:$AH$266,'Mar'!$D$27:$AH$266,'Apr'!$D$27:$AH$266,'May'!$D$27:$AH$266,'Jun'!$D$27:$AH$266,'Jul'!$D$27:$AH$266,'Aug'!$D$27:$AH$266,'Sep'!$D$27:$AH$266,'Oct'!$D$27:$AH$266,'Nov'!$D$27:$AH$266,'Dec'!$D$27:$AH$266,'Jan (next year)'!$D$27:$AH$266),27+4*(IFERROR(MATCH(C1367,Roster!$B$6:$B$65,0),MATCH(C1367,Roster!$C$6:$C$65,0))-1)+MATCH(B1367,{"AM","PM","NIGHT","WD"},0)-1-27+1,DAY(A1367))&amp;"",""))</f>
        <v/>
      </c>
      <c r="G1367" s="123">
        <f>IF(OR(A1367="",C1367="",B1367="",E1367=""),"",IFERROR(A1367&amp;"|"&amp;(27+4*(IFERROR(MATCH(C1367,Roster!$B$6:$B$65,0),MATCH(C1367,Roster!$C$6:$C$65,0))-1)+MATCH(B1367,{"AM","PM","NIGHT","WD"},0)-1),""))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$266,'Feb'!$D$27:$AH$266,'Mar'!$D$27:$AH$266,'Apr'!$D$27:$AH$266,'May'!$D$27:$AH$266,'Jun'!$D$27:$AH$266,'Jul'!$D$27:$AH$266,'Aug'!$D$27:$AH$266,'Sep'!$D$27:$AH$266,'Oct'!$D$27:$AH$266,'Nov'!$D$27:$AH$266,'Dec'!$D$27:$AH$266,'Jan (next year)'!$D$27:$AH$266),27+4*(IFERROR(MATCH(C1368,Roster!$B$6:$B$65,0),MATCH(C1368,Roster!$C$6:$C$65,0))-1)+MATCH(B1368,{"AM","PM","NIGHT","WD"},0)-1-27+1,DAY(A1368))&amp;"",""))</f>
        <v/>
      </c>
      <c r="G1368" s="123">
        <f>IF(OR(A1368="",C1368="",B1368="",E1368=""),"",IFERROR(A1368&amp;"|"&amp;(27+4*(IFERROR(MATCH(C1368,Roster!$B$6:$B$65,0),MATCH(C1368,Roster!$C$6:$C$65,0))-1)+MATCH(B1368,{"AM","PM","NIGHT","WD"},0)-1),""))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$266,'Feb'!$D$27:$AH$266,'Mar'!$D$27:$AH$266,'Apr'!$D$27:$AH$266,'May'!$D$27:$AH$266,'Jun'!$D$27:$AH$266,'Jul'!$D$27:$AH$266,'Aug'!$D$27:$AH$266,'Sep'!$D$27:$AH$266,'Oct'!$D$27:$AH$266,'Nov'!$D$27:$AH$266,'Dec'!$D$27:$AH$266,'Jan (next year)'!$D$27:$AH$266),27+4*(IFERROR(MATCH(C1369,Roster!$B$6:$B$65,0),MATCH(C1369,Roster!$C$6:$C$65,0))-1)+MATCH(B1369,{"AM","PM","NIGHT","WD"},0)-1-27+1,DAY(A1369))&amp;"",""))</f>
        <v/>
      </c>
      <c r="G1369" s="123">
        <f>IF(OR(A1369="",C1369="",B1369="",E1369=""),"",IFERROR(A1369&amp;"|"&amp;(27+4*(IFERROR(MATCH(C1369,Roster!$B$6:$B$65,0),MATCH(C1369,Roster!$C$6:$C$65,0))-1)+MATCH(B1369,{"AM","PM","NIGHT","WD"},0)-1),""))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$266,'Feb'!$D$27:$AH$266,'Mar'!$D$27:$AH$266,'Apr'!$D$27:$AH$266,'May'!$D$27:$AH$266,'Jun'!$D$27:$AH$266,'Jul'!$D$27:$AH$266,'Aug'!$D$27:$AH$266,'Sep'!$D$27:$AH$266,'Oct'!$D$27:$AH$266,'Nov'!$D$27:$AH$266,'Dec'!$D$27:$AH$266,'Jan (next year)'!$D$27:$AH$266),27+4*(IFERROR(MATCH(C1370,Roster!$B$6:$B$65,0),MATCH(C1370,Roster!$C$6:$C$65,0))-1)+MATCH(B1370,{"AM","PM","NIGHT","WD"},0)-1-27+1,DAY(A1370))&amp;"",""))</f>
        <v/>
      </c>
      <c r="G1370" s="123">
        <f>IF(OR(A1370="",C1370="",B1370="",E1370=""),"",IFERROR(A1370&amp;"|"&amp;(27+4*(IFERROR(MATCH(C1370,Roster!$B$6:$B$65,0),MATCH(C1370,Roster!$C$6:$C$65,0))-1)+MATCH(B1370,{"AM","PM","NIGHT","WD"},0)-1),""))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$266,'Feb'!$D$27:$AH$266,'Mar'!$D$27:$AH$266,'Apr'!$D$27:$AH$266,'May'!$D$27:$AH$266,'Jun'!$D$27:$AH$266,'Jul'!$D$27:$AH$266,'Aug'!$D$27:$AH$266,'Sep'!$D$27:$AH$266,'Oct'!$D$27:$AH$266,'Nov'!$D$27:$AH$266,'Dec'!$D$27:$AH$266,'Jan (next year)'!$D$27:$AH$266),27+4*(IFERROR(MATCH(C1371,Roster!$B$6:$B$65,0),MATCH(C1371,Roster!$C$6:$C$65,0))-1)+MATCH(B1371,{"AM","PM","NIGHT","WD"},0)-1-27+1,DAY(A1371))&amp;"",""))</f>
        <v/>
      </c>
      <c r="G1371" s="123">
        <f>IF(OR(A1371="",C1371="",B1371="",E1371=""),"",IFERROR(A1371&amp;"|"&amp;(27+4*(IFERROR(MATCH(C1371,Roster!$B$6:$B$65,0),MATCH(C1371,Roster!$C$6:$C$65,0))-1)+MATCH(B1371,{"AM","PM","NIGHT","WD"},0)-1),""))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$266,'Feb'!$D$27:$AH$266,'Mar'!$D$27:$AH$266,'Apr'!$D$27:$AH$266,'May'!$D$27:$AH$266,'Jun'!$D$27:$AH$266,'Jul'!$D$27:$AH$266,'Aug'!$D$27:$AH$266,'Sep'!$D$27:$AH$266,'Oct'!$D$27:$AH$266,'Nov'!$D$27:$AH$266,'Dec'!$D$27:$AH$266,'Jan (next year)'!$D$27:$AH$266),27+4*(IFERROR(MATCH(C1372,Roster!$B$6:$B$65,0),MATCH(C1372,Roster!$C$6:$C$65,0))-1)+MATCH(B1372,{"AM","PM","NIGHT","WD"},0)-1-27+1,DAY(A1372))&amp;"",""))</f>
        <v/>
      </c>
      <c r="G1372" s="123">
        <f>IF(OR(A1372="",C1372="",B1372="",E1372=""),"",IFERROR(A1372&amp;"|"&amp;(27+4*(IFERROR(MATCH(C1372,Roster!$B$6:$B$65,0),MATCH(C1372,Roster!$C$6:$C$65,0))-1)+MATCH(B1372,{"AM","PM","NIGHT","WD"},0)-1),""))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$266,'Feb'!$D$27:$AH$266,'Mar'!$D$27:$AH$266,'Apr'!$D$27:$AH$266,'May'!$D$27:$AH$266,'Jun'!$D$27:$AH$266,'Jul'!$D$27:$AH$266,'Aug'!$D$27:$AH$266,'Sep'!$D$27:$AH$266,'Oct'!$D$27:$AH$266,'Nov'!$D$27:$AH$266,'Dec'!$D$27:$AH$266,'Jan (next year)'!$D$27:$AH$266),27+4*(IFERROR(MATCH(C1373,Roster!$B$6:$B$65,0),MATCH(C1373,Roster!$C$6:$C$65,0))-1)+MATCH(B1373,{"AM","PM","NIGHT","WD"},0)-1-27+1,DAY(A1373))&amp;"",""))</f>
        <v/>
      </c>
      <c r="G1373" s="123">
        <f>IF(OR(A1373="",C1373="",B1373="",E1373=""),"",IFERROR(A1373&amp;"|"&amp;(27+4*(IFERROR(MATCH(C1373,Roster!$B$6:$B$65,0),MATCH(C1373,Roster!$C$6:$C$65,0))-1)+MATCH(B1373,{"AM","PM","NIGHT","WD"},0)-1),""))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$266,'Feb'!$D$27:$AH$266,'Mar'!$D$27:$AH$266,'Apr'!$D$27:$AH$266,'May'!$D$27:$AH$266,'Jun'!$D$27:$AH$266,'Jul'!$D$27:$AH$266,'Aug'!$D$27:$AH$266,'Sep'!$D$27:$AH$266,'Oct'!$D$27:$AH$266,'Nov'!$D$27:$AH$266,'Dec'!$D$27:$AH$266,'Jan (next year)'!$D$27:$AH$266),27+4*(IFERROR(MATCH(C1374,Roster!$B$6:$B$65,0),MATCH(C1374,Roster!$C$6:$C$65,0))-1)+MATCH(B1374,{"AM","PM","NIGHT","WD"},0)-1-27+1,DAY(A1374))&amp;"",""))</f>
        <v/>
      </c>
      <c r="G1374" s="123">
        <f>IF(OR(A1374="",C1374="",B1374="",E1374=""),"",IFERROR(A1374&amp;"|"&amp;(27+4*(IFERROR(MATCH(C1374,Roster!$B$6:$B$65,0),MATCH(C1374,Roster!$C$6:$C$65,0))-1)+MATCH(B1374,{"AM","PM","NIGHT","WD"},0)-1),""))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$266,'Feb'!$D$27:$AH$266,'Mar'!$D$27:$AH$266,'Apr'!$D$27:$AH$266,'May'!$D$27:$AH$266,'Jun'!$D$27:$AH$266,'Jul'!$D$27:$AH$266,'Aug'!$D$27:$AH$266,'Sep'!$D$27:$AH$266,'Oct'!$D$27:$AH$266,'Nov'!$D$27:$AH$266,'Dec'!$D$27:$AH$266,'Jan (next year)'!$D$27:$AH$266),27+4*(IFERROR(MATCH(C1375,Roster!$B$6:$B$65,0),MATCH(C1375,Roster!$C$6:$C$65,0))-1)+MATCH(B1375,{"AM","PM","NIGHT","WD"},0)-1-27+1,DAY(A1375))&amp;"",""))</f>
        <v/>
      </c>
      <c r="G1375" s="123">
        <f>IF(OR(A1375="",C1375="",B1375="",E1375=""),"",IFERROR(A1375&amp;"|"&amp;(27+4*(IFERROR(MATCH(C1375,Roster!$B$6:$B$65,0),MATCH(C1375,Roster!$C$6:$C$65,0))-1)+MATCH(B1375,{"AM","PM","NIGHT","WD"},0)-1),""))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$266,'Feb'!$D$27:$AH$266,'Mar'!$D$27:$AH$266,'Apr'!$D$27:$AH$266,'May'!$D$27:$AH$266,'Jun'!$D$27:$AH$266,'Jul'!$D$27:$AH$266,'Aug'!$D$27:$AH$266,'Sep'!$D$27:$AH$266,'Oct'!$D$27:$AH$266,'Nov'!$D$27:$AH$266,'Dec'!$D$27:$AH$266,'Jan (next year)'!$D$27:$AH$266),27+4*(IFERROR(MATCH(C1376,Roster!$B$6:$B$65,0),MATCH(C1376,Roster!$C$6:$C$65,0))-1)+MATCH(B1376,{"AM","PM","NIGHT","WD"},0)-1-27+1,DAY(A1376))&amp;"",""))</f>
        <v/>
      </c>
      <c r="G1376" s="123">
        <f>IF(OR(A1376="",C1376="",B1376="",E1376=""),"",IFERROR(A1376&amp;"|"&amp;(27+4*(IFERROR(MATCH(C1376,Roster!$B$6:$B$65,0),MATCH(C1376,Roster!$C$6:$C$65,0))-1)+MATCH(B1376,{"AM","PM","NIGHT","WD"},0)-1),""))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$266,'Feb'!$D$27:$AH$266,'Mar'!$D$27:$AH$266,'Apr'!$D$27:$AH$266,'May'!$D$27:$AH$266,'Jun'!$D$27:$AH$266,'Jul'!$D$27:$AH$266,'Aug'!$D$27:$AH$266,'Sep'!$D$27:$AH$266,'Oct'!$D$27:$AH$266,'Nov'!$D$27:$AH$266,'Dec'!$D$27:$AH$266,'Jan (next year)'!$D$27:$AH$266),27+4*(IFERROR(MATCH(C1377,Roster!$B$6:$B$65,0),MATCH(C1377,Roster!$C$6:$C$65,0))-1)+MATCH(B1377,{"AM","PM","NIGHT","WD"},0)-1-27+1,DAY(A1377))&amp;"",""))</f>
        <v/>
      </c>
      <c r="G1377" s="123">
        <f>IF(OR(A1377="",C1377="",B1377="",E1377=""),"",IFERROR(A1377&amp;"|"&amp;(27+4*(IFERROR(MATCH(C1377,Roster!$B$6:$B$65,0),MATCH(C1377,Roster!$C$6:$C$65,0))-1)+MATCH(B1377,{"AM","PM","NIGHT","WD"},0)-1),""))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$266,'Feb'!$D$27:$AH$266,'Mar'!$D$27:$AH$266,'Apr'!$D$27:$AH$266,'May'!$D$27:$AH$266,'Jun'!$D$27:$AH$266,'Jul'!$D$27:$AH$266,'Aug'!$D$27:$AH$266,'Sep'!$D$27:$AH$266,'Oct'!$D$27:$AH$266,'Nov'!$D$27:$AH$266,'Dec'!$D$27:$AH$266,'Jan (next year)'!$D$27:$AH$266),27+4*(IFERROR(MATCH(C1378,Roster!$B$6:$B$65,0),MATCH(C1378,Roster!$C$6:$C$65,0))-1)+MATCH(B1378,{"AM","PM","NIGHT","WD"},0)-1-27+1,DAY(A1378))&amp;"",""))</f>
        <v/>
      </c>
      <c r="G1378" s="123">
        <f>IF(OR(A1378="",C1378="",B1378="",E1378=""),"",IFERROR(A1378&amp;"|"&amp;(27+4*(IFERROR(MATCH(C1378,Roster!$B$6:$B$65,0),MATCH(C1378,Roster!$C$6:$C$65,0))-1)+MATCH(B1378,{"AM","PM","NIGHT","WD"},0)-1),""))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$266,'Feb'!$D$27:$AH$266,'Mar'!$D$27:$AH$266,'Apr'!$D$27:$AH$266,'May'!$D$27:$AH$266,'Jun'!$D$27:$AH$266,'Jul'!$D$27:$AH$266,'Aug'!$D$27:$AH$266,'Sep'!$D$27:$AH$266,'Oct'!$D$27:$AH$266,'Nov'!$D$27:$AH$266,'Dec'!$D$27:$AH$266,'Jan (next year)'!$D$27:$AH$266),27+4*(IFERROR(MATCH(C1379,Roster!$B$6:$B$65,0),MATCH(C1379,Roster!$C$6:$C$65,0))-1)+MATCH(B1379,{"AM","PM","NIGHT","WD"},0)-1-27+1,DAY(A1379))&amp;"",""))</f>
        <v/>
      </c>
      <c r="G1379" s="123">
        <f>IF(OR(A1379="",C1379="",B1379="",E1379=""),"",IFERROR(A1379&amp;"|"&amp;(27+4*(IFERROR(MATCH(C1379,Roster!$B$6:$B$65,0),MATCH(C1379,Roster!$C$6:$C$65,0))-1)+MATCH(B1379,{"AM","PM","NIGHT","WD"},0)-1),""))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$266,'Feb'!$D$27:$AH$266,'Mar'!$D$27:$AH$266,'Apr'!$D$27:$AH$266,'May'!$D$27:$AH$266,'Jun'!$D$27:$AH$266,'Jul'!$D$27:$AH$266,'Aug'!$D$27:$AH$266,'Sep'!$D$27:$AH$266,'Oct'!$D$27:$AH$266,'Nov'!$D$27:$AH$266,'Dec'!$D$27:$AH$266,'Jan (next year)'!$D$27:$AH$266),27+4*(IFERROR(MATCH(C1380,Roster!$B$6:$B$65,0),MATCH(C1380,Roster!$C$6:$C$65,0))-1)+MATCH(B1380,{"AM","PM","NIGHT","WD"},0)-1-27+1,DAY(A1380))&amp;"",""))</f>
        <v/>
      </c>
      <c r="G1380" s="123">
        <f>IF(OR(A1380="",C1380="",B1380="",E1380=""),"",IFERROR(A1380&amp;"|"&amp;(27+4*(IFERROR(MATCH(C1380,Roster!$B$6:$B$65,0),MATCH(C1380,Roster!$C$6:$C$65,0))-1)+MATCH(B1380,{"AM","PM","NIGHT","WD"},0)-1),""))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$266,'Feb'!$D$27:$AH$266,'Mar'!$D$27:$AH$266,'Apr'!$D$27:$AH$266,'May'!$D$27:$AH$266,'Jun'!$D$27:$AH$266,'Jul'!$D$27:$AH$266,'Aug'!$D$27:$AH$266,'Sep'!$D$27:$AH$266,'Oct'!$D$27:$AH$266,'Nov'!$D$27:$AH$266,'Dec'!$D$27:$AH$266,'Jan (next year)'!$D$27:$AH$266),27+4*(IFERROR(MATCH(C1381,Roster!$B$6:$B$65,0),MATCH(C1381,Roster!$C$6:$C$65,0))-1)+MATCH(B1381,{"AM","PM","NIGHT","WD"},0)-1-27+1,DAY(A1381))&amp;"",""))</f>
        <v/>
      </c>
      <c r="G1381" s="123">
        <f>IF(OR(A1381="",C1381="",B1381="",E1381=""),"",IFERROR(A1381&amp;"|"&amp;(27+4*(IFERROR(MATCH(C1381,Roster!$B$6:$B$65,0),MATCH(C1381,Roster!$C$6:$C$65,0))-1)+MATCH(B1381,{"AM","PM","NIGHT","WD"},0)-1),""))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$266,'Feb'!$D$27:$AH$266,'Mar'!$D$27:$AH$266,'Apr'!$D$27:$AH$266,'May'!$D$27:$AH$266,'Jun'!$D$27:$AH$266,'Jul'!$D$27:$AH$266,'Aug'!$D$27:$AH$266,'Sep'!$D$27:$AH$266,'Oct'!$D$27:$AH$266,'Nov'!$D$27:$AH$266,'Dec'!$D$27:$AH$266,'Jan (next year)'!$D$27:$AH$266),27+4*(IFERROR(MATCH(C1382,Roster!$B$6:$B$65,0),MATCH(C1382,Roster!$C$6:$C$65,0))-1)+MATCH(B1382,{"AM","PM","NIGHT","WD"},0)-1-27+1,DAY(A1382))&amp;"",""))</f>
        <v/>
      </c>
      <c r="G1382" s="123">
        <f>IF(OR(A1382="",C1382="",B1382="",E1382=""),"",IFERROR(A1382&amp;"|"&amp;(27+4*(IFERROR(MATCH(C1382,Roster!$B$6:$B$65,0),MATCH(C1382,Roster!$C$6:$C$65,0))-1)+MATCH(B1382,{"AM","PM","NIGHT","WD"},0)-1),""))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$266,'Feb'!$D$27:$AH$266,'Mar'!$D$27:$AH$266,'Apr'!$D$27:$AH$266,'May'!$D$27:$AH$266,'Jun'!$D$27:$AH$266,'Jul'!$D$27:$AH$266,'Aug'!$D$27:$AH$266,'Sep'!$D$27:$AH$266,'Oct'!$D$27:$AH$266,'Nov'!$D$27:$AH$266,'Dec'!$D$27:$AH$266,'Jan (next year)'!$D$27:$AH$266),27+4*(IFERROR(MATCH(C1383,Roster!$B$6:$B$65,0),MATCH(C1383,Roster!$C$6:$C$65,0))-1)+MATCH(B1383,{"AM","PM","NIGHT","WD"},0)-1-27+1,DAY(A1383))&amp;"",""))</f>
        <v/>
      </c>
      <c r="G1383" s="123">
        <f>IF(OR(A1383="",C1383="",B1383="",E1383=""),"",IFERROR(A1383&amp;"|"&amp;(27+4*(IFERROR(MATCH(C1383,Roster!$B$6:$B$65,0),MATCH(C1383,Roster!$C$6:$C$65,0))-1)+MATCH(B1383,{"AM","PM","NIGHT","WD"},0)-1),""))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$266,'Feb'!$D$27:$AH$266,'Mar'!$D$27:$AH$266,'Apr'!$D$27:$AH$266,'May'!$D$27:$AH$266,'Jun'!$D$27:$AH$266,'Jul'!$D$27:$AH$266,'Aug'!$D$27:$AH$266,'Sep'!$D$27:$AH$266,'Oct'!$D$27:$AH$266,'Nov'!$D$27:$AH$266,'Dec'!$D$27:$AH$266,'Jan (next year)'!$D$27:$AH$266),27+4*(IFERROR(MATCH(C1384,Roster!$B$6:$B$65,0),MATCH(C1384,Roster!$C$6:$C$65,0))-1)+MATCH(B1384,{"AM","PM","NIGHT","WD"},0)-1-27+1,DAY(A1384))&amp;"",""))</f>
        <v/>
      </c>
      <c r="G1384" s="123">
        <f>IF(OR(A1384="",C1384="",B1384="",E1384=""),"",IFERROR(A1384&amp;"|"&amp;(27+4*(IFERROR(MATCH(C1384,Roster!$B$6:$B$65,0),MATCH(C1384,Roster!$C$6:$C$65,0))-1)+MATCH(B1384,{"AM","PM","NIGHT","WD"},0)-1),""))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$266,'Feb'!$D$27:$AH$266,'Mar'!$D$27:$AH$266,'Apr'!$D$27:$AH$266,'May'!$D$27:$AH$266,'Jun'!$D$27:$AH$266,'Jul'!$D$27:$AH$266,'Aug'!$D$27:$AH$266,'Sep'!$D$27:$AH$266,'Oct'!$D$27:$AH$266,'Nov'!$D$27:$AH$266,'Dec'!$D$27:$AH$266,'Jan (next year)'!$D$27:$AH$266),27+4*(IFERROR(MATCH(C1385,Roster!$B$6:$B$65,0),MATCH(C1385,Roster!$C$6:$C$65,0))-1)+MATCH(B1385,{"AM","PM","NIGHT","WD"},0)-1-27+1,DAY(A1385))&amp;"",""))</f>
        <v/>
      </c>
      <c r="G1385" s="123">
        <f>IF(OR(A1385="",C1385="",B1385="",E1385=""),"",IFERROR(A1385&amp;"|"&amp;(27+4*(IFERROR(MATCH(C1385,Roster!$B$6:$B$65,0),MATCH(C1385,Roster!$C$6:$C$65,0))-1)+MATCH(B1385,{"AM","PM","NIGHT","WD"},0)-1),""))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$266,'Feb'!$D$27:$AH$266,'Mar'!$D$27:$AH$266,'Apr'!$D$27:$AH$266,'May'!$D$27:$AH$266,'Jun'!$D$27:$AH$266,'Jul'!$D$27:$AH$266,'Aug'!$D$27:$AH$266,'Sep'!$D$27:$AH$266,'Oct'!$D$27:$AH$266,'Nov'!$D$27:$AH$266,'Dec'!$D$27:$AH$266,'Jan (next year)'!$D$27:$AH$266),27+4*(IFERROR(MATCH(C1386,Roster!$B$6:$B$65,0),MATCH(C1386,Roster!$C$6:$C$65,0))-1)+MATCH(B1386,{"AM","PM","NIGHT","WD"},0)-1-27+1,DAY(A1386))&amp;"",""))</f>
        <v/>
      </c>
      <c r="G1386" s="123">
        <f>IF(OR(A1386="",C1386="",B1386="",E1386=""),"",IFERROR(A1386&amp;"|"&amp;(27+4*(IFERROR(MATCH(C1386,Roster!$B$6:$B$65,0),MATCH(C1386,Roster!$C$6:$C$65,0))-1)+MATCH(B1386,{"AM","PM","NIGHT","WD"},0)-1),""))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$266,'Feb'!$D$27:$AH$266,'Mar'!$D$27:$AH$266,'Apr'!$D$27:$AH$266,'May'!$D$27:$AH$266,'Jun'!$D$27:$AH$266,'Jul'!$D$27:$AH$266,'Aug'!$D$27:$AH$266,'Sep'!$D$27:$AH$266,'Oct'!$D$27:$AH$266,'Nov'!$D$27:$AH$266,'Dec'!$D$27:$AH$266,'Jan (next year)'!$D$27:$AH$266),27+4*(IFERROR(MATCH(C1387,Roster!$B$6:$B$65,0),MATCH(C1387,Roster!$C$6:$C$65,0))-1)+MATCH(B1387,{"AM","PM","NIGHT","WD"},0)-1-27+1,DAY(A1387))&amp;"",""))</f>
        <v/>
      </c>
      <c r="G1387" s="123">
        <f>IF(OR(A1387="",C1387="",B1387="",E1387=""),"",IFERROR(A1387&amp;"|"&amp;(27+4*(IFERROR(MATCH(C1387,Roster!$B$6:$B$65,0),MATCH(C1387,Roster!$C$6:$C$65,0))-1)+MATCH(B1387,{"AM","PM","NIGHT","WD"},0)-1),""))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$266,'Feb'!$D$27:$AH$266,'Mar'!$D$27:$AH$266,'Apr'!$D$27:$AH$266,'May'!$D$27:$AH$266,'Jun'!$D$27:$AH$266,'Jul'!$D$27:$AH$266,'Aug'!$D$27:$AH$266,'Sep'!$D$27:$AH$266,'Oct'!$D$27:$AH$266,'Nov'!$D$27:$AH$266,'Dec'!$D$27:$AH$266,'Jan (next year)'!$D$27:$AH$266),27+4*(IFERROR(MATCH(C1388,Roster!$B$6:$B$65,0),MATCH(C1388,Roster!$C$6:$C$65,0))-1)+MATCH(B1388,{"AM","PM","NIGHT","WD"},0)-1-27+1,DAY(A1388))&amp;"",""))</f>
        <v/>
      </c>
      <c r="G1388" s="123">
        <f>IF(OR(A1388="",C1388="",B1388="",E1388=""),"",IFERROR(A1388&amp;"|"&amp;(27+4*(IFERROR(MATCH(C1388,Roster!$B$6:$B$65,0),MATCH(C1388,Roster!$C$6:$C$65,0))-1)+MATCH(B1388,{"AM","PM","NIGHT","WD"},0)-1),""))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$266,'Feb'!$D$27:$AH$266,'Mar'!$D$27:$AH$266,'Apr'!$D$27:$AH$266,'May'!$D$27:$AH$266,'Jun'!$D$27:$AH$266,'Jul'!$D$27:$AH$266,'Aug'!$D$27:$AH$266,'Sep'!$D$27:$AH$266,'Oct'!$D$27:$AH$266,'Nov'!$D$27:$AH$266,'Dec'!$D$27:$AH$266,'Jan (next year)'!$D$27:$AH$266),27+4*(IFERROR(MATCH(C1389,Roster!$B$6:$B$65,0),MATCH(C1389,Roster!$C$6:$C$65,0))-1)+MATCH(B1389,{"AM","PM","NIGHT","WD"},0)-1-27+1,DAY(A1389))&amp;"",""))</f>
        <v/>
      </c>
      <c r="G1389" s="123">
        <f>IF(OR(A1389="",C1389="",B1389="",E1389=""),"",IFERROR(A1389&amp;"|"&amp;(27+4*(IFERROR(MATCH(C1389,Roster!$B$6:$B$65,0),MATCH(C1389,Roster!$C$6:$C$65,0))-1)+MATCH(B1389,{"AM","PM","NIGHT","WD"},0)-1),""))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$266,'Feb'!$D$27:$AH$266,'Mar'!$D$27:$AH$266,'Apr'!$D$27:$AH$266,'May'!$D$27:$AH$266,'Jun'!$D$27:$AH$266,'Jul'!$D$27:$AH$266,'Aug'!$D$27:$AH$266,'Sep'!$D$27:$AH$266,'Oct'!$D$27:$AH$266,'Nov'!$D$27:$AH$266,'Dec'!$D$27:$AH$266,'Jan (next year)'!$D$27:$AH$266),27+4*(IFERROR(MATCH(C1390,Roster!$B$6:$B$65,0),MATCH(C1390,Roster!$C$6:$C$65,0))-1)+MATCH(B1390,{"AM","PM","NIGHT","WD"},0)-1-27+1,DAY(A1390))&amp;"",""))</f>
        <v/>
      </c>
      <c r="G1390" s="123">
        <f>IF(OR(A1390="",C1390="",B1390="",E1390=""),"",IFERROR(A1390&amp;"|"&amp;(27+4*(IFERROR(MATCH(C1390,Roster!$B$6:$B$65,0),MATCH(C1390,Roster!$C$6:$C$65,0))-1)+MATCH(B1390,{"AM","PM","NIGHT","WD"},0)-1),""))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$266,'Feb'!$D$27:$AH$266,'Mar'!$D$27:$AH$266,'Apr'!$D$27:$AH$266,'May'!$D$27:$AH$266,'Jun'!$D$27:$AH$266,'Jul'!$D$27:$AH$266,'Aug'!$D$27:$AH$266,'Sep'!$D$27:$AH$266,'Oct'!$D$27:$AH$266,'Nov'!$D$27:$AH$266,'Dec'!$D$27:$AH$266,'Jan (next year)'!$D$27:$AH$266),27+4*(IFERROR(MATCH(C1391,Roster!$B$6:$B$65,0),MATCH(C1391,Roster!$C$6:$C$65,0))-1)+MATCH(B1391,{"AM","PM","NIGHT","WD"},0)-1-27+1,DAY(A1391))&amp;"",""))</f>
        <v/>
      </c>
      <c r="G1391" s="123">
        <f>IF(OR(A1391="",C1391="",B1391="",E1391=""),"",IFERROR(A1391&amp;"|"&amp;(27+4*(IFERROR(MATCH(C1391,Roster!$B$6:$B$65,0),MATCH(C1391,Roster!$C$6:$C$65,0))-1)+MATCH(B1391,{"AM","PM","NIGHT","WD"},0)-1),""))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$266,'Feb'!$D$27:$AH$266,'Mar'!$D$27:$AH$266,'Apr'!$D$27:$AH$266,'May'!$D$27:$AH$266,'Jun'!$D$27:$AH$266,'Jul'!$D$27:$AH$266,'Aug'!$D$27:$AH$266,'Sep'!$D$27:$AH$266,'Oct'!$D$27:$AH$266,'Nov'!$D$27:$AH$266,'Dec'!$D$27:$AH$266,'Jan (next year)'!$D$27:$AH$266),27+4*(IFERROR(MATCH(C1392,Roster!$B$6:$B$65,0),MATCH(C1392,Roster!$C$6:$C$65,0))-1)+MATCH(B1392,{"AM","PM","NIGHT","WD"},0)-1-27+1,DAY(A1392))&amp;"",""))</f>
        <v/>
      </c>
      <c r="G1392" s="123">
        <f>IF(OR(A1392="",C1392="",B1392="",E1392=""),"",IFERROR(A1392&amp;"|"&amp;(27+4*(IFERROR(MATCH(C1392,Roster!$B$6:$B$65,0),MATCH(C1392,Roster!$C$6:$C$65,0))-1)+MATCH(B1392,{"AM","PM","NIGHT","WD"},0)-1),""))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$266,'Feb'!$D$27:$AH$266,'Mar'!$D$27:$AH$266,'Apr'!$D$27:$AH$266,'May'!$D$27:$AH$266,'Jun'!$D$27:$AH$266,'Jul'!$D$27:$AH$266,'Aug'!$D$27:$AH$266,'Sep'!$D$27:$AH$266,'Oct'!$D$27:$AH$266,'Nov'!$D$27:$AH$266,'Dec'!$D$27:$AH$266,'Jan (next year)'!$D$27:$AH$266),27+4*(IFERROR(MATCH(C1393,Roster!$B$6:$B$65,0),MATCH(C1393,Roster!$C$6:$C$65,0))-1)+MATCH(B1393,{"AM","PM","NIGHT","WD"},0)-1-27+1,DAY(A1393))&amp;"",""))</f>
        <v/>
      </c>
      <c r="G1393" s="123">
        <f>IF(OR(A1393="",C1393="",B1393="",E1393=""),"",IFERROR(A1393&amp;"|"&amp;(27+4*(IFERROR(MATCH(C1393,Roster!$B$6:$B$65,0),MATCH(C1393,Roster!$C$6:$C$65,0))-1)+MATCH(B1393,{"AM","PM","NIGHT","WD"},0)-1),""))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$266,'Feb'!$D$27:$AH$266,'Mar'!$D$27:$AH$266,'Apr'!$D$27:$AH$266,'May'!$D$27:$AH$266,'Jun'!$D$27:$AH$266,'Jul'!$D$27:$AH$266,'Aug'!$D$27:$AH$266,'Sep'!$D$27:$AH$266,'Oct'!$D$27:$AH$266,'Nov'!$D$27:$AH$266,'Dec'!$D$27:$AH$266,'Jan (next year)'!$D$27:$AH$266),27+4*(IFERROR(MATCH(C1394,Roster!$B$6:$B$65,0),MATCH(C1394,Roster!$C$6:$C$65,0))-1)+MATCH(B1394,{"AM","PM","NIGHT","WD"},0)-1-27+1,DAY(A1394))&amp;"",""))</f>
        <v/>
      </c>
      <c r="G1394" s="123">
        <f>IF(OR(A1394="",C1394="",B1394="",E1394=""),"",IFERROR(A1394&amp;"|"&amp;(27+4*(IFERROR(MATCH(C1394,Roster!$B$6:$B$65,0),MATCH(C1394,Roster!$C$6:$C$65,0))-1)+MATCH(B1394,{"AM","PM","NIGHT","WD"},0)-1),""))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$266,'Feb'!$D$27:$AH$266,'Mar'!$D$27:$AH$266,'Apr'!$D$27:$AH$266,'May'!$D$27:$AH$266,'Jun'!$D$27:$AH$266,'Jul'!$D$27:$AH$266,'Aug'!$D$27:$AH$266,'Sep'!$D$27:$AH$266,'Oct'!$D$27:$AH$266,'Nov'!$D$27:$AH$266,'Dec'!$D$27:$AH$266,'Jan (next year)'!$D$27:$AH$266),27+4*(IFERROR(MATCH(C1395,Roster!$B$6:$B$65,0),MATCH(C1395,Roster!$C$6:$C$65,0))-1)+MATCH(B1395,{"AM","PM","NIGHT","WD"},0)-1-27+1,DAY(A1395))&amp;"",""))</f>
        <v/>
      </c>
      <c r="G1395" s="123">
        <f>IF(OR(A1395="",C1395="",B1395="",E1395=""),"",IFERROR(A1395&amp;"|"&amp;(27+4*(IFERROR(MATCH(C1395,Roster!$B$6:$B$65,0),MATCH(C1395,Roster!$C$6:$C$65,0))-1)+MATCH(B1395,{"AM","PM","NIGHT","WD"},0)-1),""))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$266,'Feb'!$D$27:$AH$266,'Mar'!$D$27:$AH$266,'Apr'!$D$27:$AH$266,'May'!$D$27:$AH$266,'Jun'!$D$27:$AH$266,'Jul'!$D$27:$AH$266,'Aug'!$D$27:$AH$266,'Sep'!$D$27:$AH$266,'Oct'!$D$27:$AH$266,'Nov'!$D$27:$AH$266,'Dec'!$D$27:$AH$266,'Jan (next year)'!$D$27:$AH$266),27+4*(IFERROR(MATCH(C1396,Roster!$B$6:$B$65,0),MATCH(C1396,Roster!$C$6:$C$65,0))-1)+MATCH(B1396,{"AM","PM","NIGHT","WD"},0)-1-27+1,DAY(A1396))&amp;"",""))</f>
        <v/>
      </c>
      <c r="G1396" s="123">
        <f>IF(OR(A1396="",C1396="",B1396="",E1396=""),"",IFERROR(A1396&amp;"|"&amp;(27+4*(IFERROR(MATCH(C1396,Roster!$B$6:$B$65,0),MATCH(C1396,Roster!$C$6:$C$65,0))-1)+MATCH(B1396,{"AM","PM","NIGHT","WD"},0)-1),""))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$266,'Feb'!$D$27:$AH$266,'Mar'!$D$27:$AH$266,'Apr'!$D$27:$AH$266,'May'!$D$27:$AH$266,'Jun'!$D$27:$AH$266,'Jul'!$D$27:$AH$266,'Aug'!$D$27:$AH$266,'Sep'!$D$27:$AH$266,'Oct'!$D$27:$AH$266,'Nov'!$D$27:$AH$266,'Dec'!$D$27:$AH$266,'Jan (next year)'!$D$27:$AH$266),27+4*(IFERROR(MATCH(C1397,Roster!$B$6:$B$65,0),MATCH(C1397,Roster!$C$6:$C$65,0))-1)+MATCH(B1397,{"AM","PM","NIGHT","WD"},0)-1-27+1,DAY(A1397))&amp;"",""))</f>
        <v/>
      </c>
      <c r="G1397" s="123">
        <f>IF(OR(A1397="",C1397="",B1397="",E1397=""),"",IFERROR(A1397&amp;"|"&amp;(27+4*(IFERROR(MATCH(C1397,Roster!$B$6:$B$65,0),MATCH(C1397,Roster!$C$6:$C$65,0))-1)+MATCH(B1397,{"AM","PM","NIGHT","WD"},0)-1),""))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$266,'Feb'!$D$27:$AH$266,'Mar'!$D$27:$AH$266,'Apr'!$D$27:$AH$266,'May'!$D$27:$AH$266,'Jun'!$D$27:$AH$266,'Jul'!$D$27:$AH$266,'Aug'!$D$27:$AH$266,'Sep'!$D$27:$AH$266,'Oct'!$D$27:$AH$266,'Nov'!$D$27:$AH$266,'Dec'!$D$27:$AH$266,'Jan (next year)'!$D$27:$AH$266),27+4*(IFERROR(MATCH(C1398,Roster!$B$6:$B$65,0),MATCH(C1398,Roster!$C$6:$C$65,0))-1)+MATCH(B1398,{"AM","PM","NIGHT","WD"},0)-1-27+1,DAY(A1398))&amp;"",""))</f>
        <v/>
      </c>
      <c r="G1398" s="123">
        <f>IF(OR(A1398="",C1398="",B1398="",E1398=""),"",IFERROR(A1398&amp;"|"&amp;(27+4*(IFERROR(MATCH(C1398,Roster!$B$6:$B$65,0),MATCH(C1398,Roster!$C$6:$C$65,0))-1)+MATCH(B1398,{"AM","PM","NIGHT","WD"},0)-1),""))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$266,'Feb'!$D$27:$AH$266,'Mar'!$D$27:$AH$266,'Apr'!$D$27:$AH$266,'May'!$D$27:$AH$266,'Jun'!$D$27:$AH$266,'Jul'!$D$27:$AH$266,'Aug'!$D$27:$AH$266,'Sep'!$D$27:$AH$266,'Oct'!$D$27:$AH$266,'Nov'!$D$27:$AH$266,'Dec'!$D$27:$AH$266,'Jan (next year)'!$D$27:$AH$266),27+4*(IFERROR(MATCH(C1399,Roster!$B$6:$B$65,0),MATCH(C1399,Roster!$C$6:$C$65,0))-1)+MATCH(B1399,{"AM","PM","NIGHT","WD"},0)-1-27+1,DAY(A1399))&amp;"",""))</f>
        <v/>
      </c>
      <c r="G1399" s="123">
        <f>IF(OR(A1399="",C1399="",B1399="",E1399=""),"",IFERROR(A1399&amp;"|"&amp;(27+4*(IFERROR(MATCH(C1399,Roster!$B$6:$B$65,0),MATCH(C1399,Roster!$C$6:$C$65,0))-1)+MATCH(B1399,{"AM","PM","NIGHT","WD"},0)-1),""))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$266,'Feb'!$D$27:$AH$266,'Mar'!$D$27:$AH$266,'Apr'!$D$27:$AH$266,'May'!$D$27:$AH$266,'Jun'!$D$27:$AH$266,'Jul'!$D$27:$AH$266,'Aug'!$D$27:$AH$266,'Sep'!$D$27:$AH$266,'Oct'!$D$27:$AH$266,'Nov'!$D$27:$AH$266,'Dec'!$D$27:$AH$266,'Jan (next year)'!$D$27:$AH$266),27+4*(IFERROR(MATCH(C1400,Roster!$B$6:$B$65,0),MATCH(C1400,Roster!$C$6:$C$65,0))-1)+MATCH(B1400,{"AM","PM","NIGHT","WD"},0)-1-27+1,DAY(A1400))&amp;"",""))</f>
        <v/>
      </c>
      <c r="G1400" s="123">
        <f>IF(OR(A1400="",C1400="",B1400="",E1400=""),"",IFERROR(A1400&amp;"|"&amp;(27+4*(IFERROR(MATCH(C1400,Roster!$B$6:$B$65,0),MATCH(C1400,Roster!$C$6:$C$65,0))-1)+MATCH(B1400,{"AM","PM","NIGHT","WD"},0)-1),""))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$266,'Feb'!$D$27:$AH$266,'Mar'!$D$27:$AH$266,'Apr'!$D$27:$AH$266,'May'!$D$27:$AH$266,'Jun'!$D$27:$AH$266,'Jul'!$D$27:$AH$266,'Aug'!$D$27:$AH$266,'Sep'!$D$27:$AH$266,'Oct'!$D$27:$AH$266,'Nov'!$D$27:$AH$266,'Dec'!$D$27:$AH$266,'Jan (next year)'!$D$27:$AH$266),27+4*(IFERROR(MATCH(C1401,Roster!$B$6:$B$65,0),MATCH(C1401,Roster!$C$6:$C$65,0))-1)+MATCH(B1401,{"AM","PM","NIGHT","WD"},0)-1-27+1,DAY(A1401))&amp;"",""))</f>
        <v/>
      </c>
      <c r="G1401" s="123">
        <f>IF(OR(A1401="",C1401="",B1401="",E1401=""),"",IFERROR(A1401&amp;"|"&amp;(27+4*(IFERROR(MATCH(C1401,Roster!$B$6:$B$65,0),MATCH(C1401,Roster!$C$6:$C$65,0))-1)+MATCH(B1401,{"AM","PM","NIGHT","WD"},0)-1),""))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$266,'Feb'!$D$27:$AH$266,'Mar'!$D$27:$AH$266,'Apr'!$D$27:$AH$266,'May'!$D$27:$AH$266,'Jun'!$D$27:$AH$266,'Jul'!$D$27:$AH$266,'Aug'!$D$27:$AH$266,'Sep'!$D$27:$AH$266,'Oct'!$D$27:$AH$266,'Nov'!$D$27:$AH$266,'Dec'!$D$27:$AH$266,'Jan (next year)'!$D$27:$AH$266),27+4*(IFERROR(MATCH(C1402,Roster!$B$6:$B$65,0),MATCH(C1402,Roster!$C$6:$C$65,0))-1)+MATCH(B1402,{"AM","PM","NIGHT","WD"},0)-1-27+1,DAY(A1402))&amp;"",""))</f>
        <v/>
      </c>
      <c r="G1402" s="123">
        <f>IF(OR(A1402="",C1402="",B1402="",E1402=""),"",IFERROR(A1402&amp;"|"&amp;(27+4*(IFERROR(MATCH(C1402,Roster!$B$6:$B$65,0),MATCH(C1402,Roster!$C$6:$C$65,0))-1)+MATCH(B1402,{"AM","PM","NIGHT","WD"},0)-1),""))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$266,'Feb'!$D$27:$AH$266,'Mar'!$D$27:$AH$266,'Apr'!$D$27:$AH$266,'May'!$D$27:$AH$266,'Jun'!$D$27:$AH$266,'Jul'!$D$27:$AH$266,'Aug'!$D$27:$AH$266,'Sep'!$D$27:$AH$266,'Oct'!$D$27:$AH$266,'Nov'!$D$27:$AH$266,'Dec'!$D$27:$AH$266,'Jan (next year)'!$D$27:$AH$266),27+4*(IFERROR(MATCH(C1403,Roster!$B$6:$B$65,0),MATCH(C1403,Roster!$C$6:$C$65,0))-1)+MATCH(B1403,{"AM","PM","NIGHT","WD"},0)-1-27+1,DAY(A1403))&amp;"",""))</f>
        <v/>
      </c>
      <c r="G1403" s="123">
        <f>IF(OR(A1403="",C1403="",B1403="",E1403=""),"",IFERROR(A1403&amp;"|"&amp;(27+4*(IFERROR(MATCH(C1403,Roster!$B$6:$B$65,0),MATCH(C1403,Roster!$C$6:$C$65,0))-1)+MATCH(B1403,{"AM","PM","NIGHT","WD"},0)-1),""))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$266,'Feb'!$D$27:$AH$266,'Mar'!$D$27:$AH$266,'Apr'!$D$27:$AH$266,'May'!$D$27:$AH$266,'Jun'!$D$27:$AH$266,'Jul'!$D$27:$AH$266,'Aug'!$D$27:$AH$266,'Sep'!$D$27:$AH$266,'Oct'!$D$27:$AH$266,'Nov'!$D$27:$AH$266,'Dec'!$D$27:$AH$266,'Jan (next year)'!$D$27:$AH$266),27+4*(IFERROR(MATCH(C1404,Roster!$B$6:$B$65,0),MATCH(C1404,Roster!$C$6:$C$65,0))-1)+MATCH(B1404,{"AM","PM","NIGHT","WD"},0)-1-27+1,DAY(A1404))&amp;"",""))</f>
        <v/>
      </c>
      <c r="G1404" s="123">
        <f>IF(OR(A1404="",C1404="",B1404="",E1404=""),"",IFERROR(A1404&amp;"|"&amp;(27+4*(IFERROR(MATCH(C1404,Roster!$B$6:$B$65,0),MATCH(C1404,Roster!$C$6:$C$65,0))-1)+MATCH(B1404,{"AM","PM","NIGHT","WD"},0)-1),""))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$266,'Feb'!$D$27:$AH$266,'Mar'!$D$27:$AH$266,'Apr'!$D$27:$AH$266,'May'!$D$27:$AH$266,'Jun'!$D$27:$AH$266,'Jul'!$D$27:$AH$266,'Aug'!$D$27:$AH$266,'Sep'!$D$27:$AH$266,'Oct'!$D$27:$AH$266,'Nov'!$D$27:$AH$266,'Dec'!$D$27:$AH$266,'Jan (next year)'!$D$27:$AH$266),27+4*(IFERROR(MATCH(C1405,Roster!$B$6:$B$65,0),MATCH(C1405,Roster!$C$6:$C$65,0))-1)+MATCH(B1405,{"AM","PM","NIGHT","WD"},0)-1-27+1,DAY(A1405))&amp;"",""))</f>
        <v/>
      </c>
      <c r="G1405" s="123">
        <f>IF(OR(A1405="",C1405="",B1405="",E1405=""),"",IFERROR(A1405&amp;"|"&amp;(27+4*(IFERROR(MATCH(C1405,Roster!$B$6:$B$65,0),MATCH(C1405,Roster!$C$6:$C$65,0))-1)+MATCH(B1405,{"AM","PM","NIGHT","WD"},0)-1),""))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$266,'Feb'!$D$27:$AH$266,'Mar'!$D$27:$AH$266,'Apr'!$D$27:$AH$266,'May'!$D$27:$AH$266,'Jun'!$D$27:$AH$266,'Jul'!$D$27:$AH$266,'Aug'!$D$27:$AH$266,'Sep'!$D$27:$AH$266,'Oct'!$D$27:$AH$266,'Nov'!$D$27:$AH$266,'Dec'!$D$27:$AH$266,'Jan (next year)'!$D$27:$AH$266),27+4*(IFERROR(MATCH(C1406,Roster!$B$6:$B$65,0),MATCH(C1406,Roster!$C$6:$C$65,0))-1)+MATCH(B1406,{"AM","PM","NIGHT","WD"},0)-1-27+1,DAY(A1406))&amp;"",""))</f>
        <v/>
      </c>
      <c r="G1406" s="123">
        <f>IF(OR(A1406="",C1406="",B1406="",E1406=""),"",IFERROR(A1406&amp;"|"&amp;(27+4*(IFERROR(MATCH(C1406,Roster!$B$6:$B$65,0),MATCH(C1406,Roster!$C$6:$C$65,0))-1)+MATCH(B1406,{"AM","PM","NIGHT","WD"},0)-1),""))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$266,'Feb'!$D$27:$AH$266,'Mar'!$D$27:$AH$266,'Apr'!$D$27:$AH$266,'May'!$D$27:$AH$266,'Jun'!$D$27:$AH$266,'Jul'!$D$27:$AH$266,'Aug'!$D$27:$AH$266,'Sep'!$D$27:$AH$266,'Oct'!$D$27:$AH$266,'Nov'!$D$27:$AH$266,'Dec'!$D$27:$AH$266,'Jan (next year)'!$D$27:$AH$266),27+4*(IFERROR(MATCH(C1407,Roster!$B$6:$B$65,0),MATCH(C1407,Roster!$C$6:$C$65,0))-1)+MATCH(B1407,{"AM","PM","NIGHT","WD"},0)-1-27+1,DAY(A1407))&amp;"",""))</f>
        <v/>
      </c>
      <c r="G1407" s="123">
        <f>IF(OR(A1407="",C1407="",B1407="",E1407=""),"",IFERROR(A1407&amp;"|"&amp;(27+4*(IFERROR(MATCH(C1407,Roster!$B$6:$B$65,0),MATCH(C1407,Roster!$C$6:$C$65,0))-1)+MATCH(B1407,{"AM","PM","NIGHT","WD"},0)-1),""))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$266,'Feb'!$D$27:$AH$266,'Mar'!$D$27:$AH$266,'Apr'!$D$27:$AH$266,'May'!$D$27:$AH$266,'Jun'!$D$27:$AH$266,'Jul'!$D$27:$AH$266,'Aug'!$D$27:$AH$266,'Sep'!$D$27:$AH$266,'Oct'!$D$27:$AH$266,'Nov'!$D$27:$AH$266,'Dec'!$D$27:$AH$266,'Jan (next year)'!$D$27:$AH$266),27+4*(IFERROR(MATCH(C1408,Roster!$B$6:$B$65,0),MATCH(C1408,Roster!$C$6:$C$65,0))-1)+MATCH(B1408,{"AM","PM","NIGHT","WD"},0)-1-27+1,DAY(A1408))&amp;"",""))</f>
        <v/>
      </c>
      <c r="G1408" s="123">
        <f>IF(OR(A1408="",C1408="",B1408="",E1408=""),"",IFERROR(A1408&amp;"|"&amp;(27+4*(IFERROR(MATCH(C1408,Roster!$B$6:$B$65,0),MATCH(C1408,Roster!$C$6:$C$65,0))-1)+MATCH(B1408,{"AM","PM","NIGHT","WD"},0)-1),""))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$266,'Feb'!$D$27:$AH$266,'Mar'!$D$27:$AH$266,'Apr'!$D$27:$AH$266,'May'!$D$27:$AH$266,'Jun'!$D$27:$AH$266,'Jul'!$D$27:$AH$266,'Aug'!$D$27:$AH$266,'Sep'!$D$27:$AH$266,'Oct'!$D$27:$AH$266,'Nov'!$D$27:$AH$266,'Dec'!$D$27:$AH$266,'Jan (next year)'!$D$27:$AH$266),27+4*(IFERROR(MATCH(C1409,Roster!$B$6:$B$65,0),MATCH(C1409,Roster!$C$6:$C$65,0))-1)+MATCH(B1409,{"AM","PM","NIGHT","WD"},0)-1-27+1,DAY(A1409))&amp;"",""))</f>
        <v/>
      </c>
      <c r="G1409" s="123">
        <f>IF(OR(A1409="",C1409="",B1409="",E1409=""),"",IFERROR(A1409&amp;"|"&amp;(27+4*(IFERROR(MATCH(C1409,Roster!$B$6:$B$65,0),MATCH(C1409,Roster!$C$6:$C$65,0))-1)+MATCH(B1409,{"AM","PM","NIGHT","WD"},0)-1),""))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$266,'Feb'!$D$27:$AH$266,'Mar'!$D$27:$AH$266,'Apr'!$D$27:$AH$266,'May'!$D$27:$AH$266,'Jun'!$D$27:$AH$266,'Jul'!$D$27:$AH$266,'Aug'!$D$27:$AH$266,'Sep'!$D$27:$AH$266,'Oct'!$D$27:$AH$266,'Nov'!$D$27:$AH$266,'Dec'!$D$27:$AH$266,'Jan (next year)'!$D$27:$AH$266),27+4*(IFERROR(MATCH(C1410,Roster!$B$6:$B$65,0),MATCH(C1410,Roster!$C$6:$C$65,0))-1)+MATCH(B1410,{"AM","PM","NIGHT","WD"},0)-1-27+1,DAY(A1410))&amp;"",""))</f>
        <v/>
      </c>
      <c r="G1410" s="123">
        <f>IF(OR(A1410="",C1410="",B1410="",E1410=""),"",IFERROR(A1410&amp;"|"&amp;(27+4*(IFERROR(MATCH(C1410,Roster!$B$6:$B$65,0),MATCH(C1410,Roster!$C$6:$C$65,0))-1)+MATCH(B1410,{"AM","PM","NIGHT","WD"},0)-1),""))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$266,'Feb'!$D$27:$AH$266,'Mar'!$D$27:$AH$266,'Apr'!$D$27:$AH$266,'May'!$D$27:$AH$266,'Jun'!$D$27:$AH$266,'Jul'!$D$27:$AH$266,'Aug'!$D$27:$AH$266,'Sep'!$D$27:$AH$266,'Oct'!$D$27:$AH$266,'Nov'!$D$27:$AH$266,'Dec'!$D$27:$AH$266,'Jan (next year)'!$D$27:$AH$266),27+4*(IFERROR(MATCH(C1411,Roster!$B$6:$B$65,0),MATCH(C1411,Roster!$C$6:$C$65,0))-1)+MATCH(B1411,{"AM","PM","NIGHT","WD"},0)-1-27+1,DAY(A1411))&amp;"",""))</f>
        <v/>
      </c>
      <c r="G1411" s="123">
        <f>IF(OR(A1411="",C1411="",B1411="",E1411=""),"",IFERROR(A1411&amp;"|"&amp;(27+4*(IFERROR(MATCH(C1411,Roster!$B$6:$B$65,0),MATCH(C1411,Roster!$C$6:$C$65,0))-1)+MATCH(B1411,{"AM","PM","NIGHT","WD"},0)-1),""))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$266,'Feb'!$D$27:$AH$266,'Mar'!$D$27:$AH$266,'Apr'!$D$27:$AH$266,'May'!$D$27:$AH$266,'Jun'!$D$27:$AH$266,'Jul'!$D$27:$AH$266,'Aug'!$D$27:$AH$266,'Sep'!$D$27:$AH$266,'Oct'!$D$27:$AH$266,'Nov'!$D$27:$AH$266,'Dec'!$D$27:$AH$266,'Jan (next year)'!$D$27:$AH$266),27+4*(IFERROR(MATCH(C1412,Roster!$B$6:$B$65,0),MATCH(C1412,Roster!$C$6:$C$65,0))-1)+MATCH(B1412,{"AM","PM","NIGHT","WD"},0)-1-27+1,DAY(A1412))&amp;"",""))</f>
        <v/>
      </c>
      <c r="G1412" s="123">
        <f>IF(OR(A1412="",C1412="",B1412="",E1412=""),"",IFERROR(A1412&amp;"|"&amp;(27+4*(IFERROR(MATCH(C1412,Roster!$B$6:$B$65,0),MATCH(C1412,Roster!$C$6:$C$65,0))-1)+MATCH(B1412,{"AM","PM","NIGHT","WD"},0)-1),""))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$266,'Feb'!$D$27:$AH$266,'Mar'!$D$27:$AH$266,'Apr'!$D$27:$AH$266,'May'!$D$27:$AH$266,'Jun'!$D$27:$AH$266,'Jul'!$D$27:$AH$266,'Aug'!$D$27:$AH$266,'Sep'!$D$27:$AH$266,'Oct'!$D$27:$AH$266,'Nov'!$D$27:$AH$266,'Dec'!$D$27:$AH$266,'Jan (next year)'!$D$27:$AH$266),27+4*(IFERROR(MATCH(C1413,Roster!$B$6:$B$65,0),MATCH(C1413,Roster!$C$6:$C$65,0))-1)+MATCH(B1413,{"AM","PM","NIGHT","WD"},0)-1-27+1,DAY(A1413))&amp;"",""))</f>
        <v/>
      </c>
      <c r="G1413" s="123">
        <f>IF(OR(A1413="",C1413="",B1413="",E1413=""),"",IFERROR(A1413&amp;"|"&amp;(27+4*(IFERROR(MATCH(C1413,Roster!$B$6:$B$65,0),MATCH(C1413,Roster!$C$6:$C$65,0))-1)+MATCH(B1413,{"AM","PM","NIGHT","WD"},0)-1),""))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$266,'Feb'!$D$27:$AH$266,'Mar'!$D$27:$AH$266,'Apr'!$D$27:$AH$266,'May'!$D$27:$AH$266,'Jun'!$D$27:$AH$266,'Jul'!$D$27:$AH$266,'Aug'!$D$27:$AH$266,'Sep'!$D$27:$AH$266,'Oct'!$D$27:$AH$266,'Nov'!$D$27:$AH$266,'Dec'!$D$27:$AH$266,'Jan (next year)'!$D$27:$AH$266),27+4*(IFERROR(MATCH(C1414,Roster!$B$6:$B$65,0),MATCH(C1414,Roster!$C$6:$C$65,0))-1)+MATCH(B1414,{"AM","PM","NIGHT","WD"},0)-1-27+1,DAY(A1414))&amp;"",""))</f>
        <v/>
      </c>
      <c r="G1414" s="123">
        <f>IF(OR(A1414="",C1414="",B1414="",E1414=""),"",IFERROR(A1414&amp;"|"&amp;(27+4*(IFERROR(MATCH(C1414,Roster!$B$6:$B$65,0),MATCH(C1414,Roster!$C$6:$C$65,0))-1)+MATCH(B1414,{"AM","PM","NIGHT","WD"},0)-1),""))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$266,'Feb'!$D$27:$AH$266,'Mar'!$D$27:$AH$266,'Apr'!$D$27:$AH$266,'May'!$D$27:$AH$266,'Jun'!$D$27:$AH$266,'Jul'!$D$27:$AH$266,'Aug'!$D$27:$AH$266,'Sep'!$D$27:$AH$266,'Oct'!$D$27:$AH$266,'Nov'!$D$27:$AH$266,'Dec'!$D$27:$AH$266,'Jan (next year)'!$D$27:$AH$266),27+4*(IFERROR(MATCH(C1415,Roster!$B$6:$B$65,0),MATCH(C1415,Roster!$C$6:$C$65,0))-1)+MATCH(B1415,{"AM","PM","NIGHT","WD"},0)-1-27+1,DAY(A1415))&amp;"",""))</f>
        <v/>
      </c>
      <c r="G1415" s="123">
        <f>IF(OR(A1415="",C1415="",B1415="",E1415=""),"",IFERROR(A1415&amp;"|"&amp;(27+4*(IFERROR(MATCH(C1415,Roster!$B$6:$B$65,0),MATCH(C1415,Roster!$C$6:$C$65,0))-1)+MATCH(B1415,{"AM","PM","NIGHT","WD"},0)-1),""))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$266,'Feb'!$D$27:$AH$266,'Mar'!$D$27:$AH$266,'Apr'!$D$27:$AH$266,'May'!$D$27:$AH$266,'Jun'!$D$27:$AH$266,'Jul'!$D$27:$AH$266,'Aug'!$D$27:$AH$266,'Sep'!$D$27:$AH$266,'Oct'!$D$27:$AH$266,'Nov'!$D$27:$AH$266,'Dec'!$D$27:$AH$266,'Jan (next year)'!$D$27:$AH$266),27+4*(IFERROR(MATCH(C1416,Roster!$B$6:$B$65,0),MATCH(C1416,Roster!$C$6:$C$65,0))-1)+MATCH(B1416,{"AM","PM","NIGHT","WD"},0)-1-27+1,DAY(A1416))&amp;"",""))</f>
        <v/>
      </c>
      <c r="G1416" s="123">
        <f>IF(OR(A1416="",C1416="",B1416="",E1416=""),"",IFERROR(A1416&amp;"|"&amp;(27+4*(IFERROR(MATCH(C1416,Roster!$B$6:$B$65,0),MATCH(C1416,Roster!$C$6:$C$65,0))-1)+MATCH(B1416,{"AM","PM","NIGHT","WD"},0)-1),""))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$266,'Feb'!$D$27:$AH$266,'Mar'!$D$27:$AH$266,'Apr'!$D$27:$AH$266,'May'!$D$27:$AH$266,'Jun'!$D$27:$AH$266,'Jul'!$D$27:$AH$266,'Aug'!$D$27:$AH$266,'Sep'!$D$27:$AH$266,'Oct'!$D$27:$AH$266,'Nov'!$D$27:$AH$266,'Dec'!$D$27:$AH$266,'Jan (next year)'!$D$27:$AH$266),27+4*(IFERROR(MATCH(C1417,Roster!$B$6:$B$65,0),MATCH(C1417,Roster!$C$6:$C$65,0))-1)+MATCH(B1417,{"AM","PM","NIGHT","WD"},0)-1-27+1,DAY(A1417))&amp;"",""))</f>
        <v/>
      </c>
      <c r="G1417" s="123">
        <f>IF(OR(A1417="",C1417="",B1417="",E1417=""),"",IFERROR(A1417&amp;"|"&amp;(27+4*(IFERROR(MATCH(C1417,Roster!$B$6:$B$65,0),MATCH(C1417,Roster!$C$6:$C$65,0))-1)+MATCH(B1417,{"AM","PM","NIGHT","WD"},0)-1),""))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$266,'Feb'!$D$27:$AH$266,'Mar'!$D$27:$AH$266,'Apr'!$D$27:$AH$266,'May'!$D$27:$AH$266,'Jun'!$D$27:$AH$266,'Jul'!$D$27:$AH$266,'Aug'!$D$27:$AH$266,'Sep'!$D$27:$AH$266,'Oct'!$D$27:$AH$266,'Nov'!$D$27:$AH$266,'Dec'!$D$27:$AH$266,'Jan (next year)'!$D$27:$AH$266),27+4*(IFERROR(MATCH(C1418,Roster!$B$6:$B$65,0),MATCH(C1418,Roster!$C$6:$C$65,0))-1)+MATCH(B1418,{"AM","PM","NIGHT","WD"},0)-1-27+1,DAY(A1418))&amp;"",""))</f>
        <v/>
      </c>
      <c r="G1418" s="123">
        <f>IF(OR(A1418="",C1418="",B1418="",E1418=""),"",IFERROR(A1418&amp;"|"&amp;(27+4*(IFERROR(MATCH(C1418,Roster!$B$6:$B$65,0),MATCH(C1418,Roster!$C$6:$C$65,0))-1)+MATCH(B1418,{"AM","PM","NIGHT","WD"},0)-1),""))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$266,'Feb'!$D$27:$AH$266,'Mar'!$D$27:$AH$266,'Apr'!$D$27:$AH$266,'May'!$D$27:$AH$266,'Jun'!$D$27:$AH$266,'Jul'!$D$27:$AH$266,'Aug'!$D$27:$AH$266,'Sep'!$D$27:$AH$266,'Oct'!$D$27:$AH$266,'Nov'!$D$27:$AH$266,'Dec'!$D$27:$AH$266,'Jan (next year)'!$D$27:$AH$266),27+4*(IFERROR(MATCH(C1419,Roster!$B$6:$B$65,0),MATCH(C1419,Roster!$C$6:$C$65,0))-1)+MATCH(B1419,{"AM","PM","NIGHT","WD"},0)-1-27+1,DAY(A1419))&amp;"",""))</f>
        <v/>
      </c>
      <c r="G1419" s="123">
        <f>IF(OR(A1419="",C1419="",B1419="",E1419=""),"",IFERROR(A1419&amp;"|"&amp;(27+4*(IFERROR(MATCH(C1419,Roster!$B$6:$B$65,0),MATCH(C1419,Roster!$C$6:$C$65,0))-1)+MATCH(B1419,{"AM","PM","NIGHT","WD"},0)-1),""))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$266,'Feb'!$D$27:$AH$266,'Mar'!$D$27:$AH$266,'Apr'!$D$27:$AH$266,'May'!$D$27:$AH$266,'Jun'!$D$27:$AH$266,'Jul'!$D$27:$AH$266,'Aug'!$D$27:$AH$266,'Sep'!$D$27:$AH$266,'Oct'!$D$27:$AH$266,'Nov'!$D$27:$AH$266,'Dec'!$D$27:$AH$266,'Jan (next year)'!$D$27:$AH$266),27+4*(IFERROR(MATCH(C1420,Roster!$B$6:$B$65,0),MATCH(C1420,Roster!$C$6:$C$65,0))-1)+MATCH(B1420,{"AM","PM","NIGHT","WD"},0)-1-27+1,DAY(A1420))&amp;"",""))</f>
        <v/>
      </c>
      <c r="G1420" s="123">
        <f>IF(OR(A1420="",C1420="",B1420="",E1420=""),"",IFERROR(A1420&amp;"|"&amp;(27+4*(IFERROR(MATCH(C1420,Roster!$B$6:$B$65,0),MATCH(C1420,Roster!$C$6:$C$65,0))-1)+MATCH(B1420,{"AM","PM","NIGHT","WD"},0)-1),""))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$266,'Feb'!$D$27:$AH$266,'Mar'!$D$27:$AH$266,'Apr'!$D$27:$AH$266,'May'!$D$27:$AH$266,'Jun'!$D$27:$AH$266,'Jul'!$D$27:$AH$266,'Aug'!$D$27:$AH$266,'Sep'!$D$27:$AH$266,'Oct'!$D$27:$AH$266,'Nov'!$D$27:$AH$266,'Dec'!$D$27:$AH$266,'Jan (next year)'!$D$27:$AH$266),27+4*(IFERROR(MATCH(C1421,Roster!$B$6:$B$65,0),MATCH(C1421,Roster!$C$6:$C$65,0))-1)+MATCH(B1421,{"AM","PM","NIGHT","WD"},0)-1-27+1,DAY(A1421))&amp;"",""))</f>
        <v/>
      </c>
      <c r="G1421" s="123">
        <f>IF(OR(A1421="",C1421="",B1421="",E1421=""),"",IFERROR(A1421&amp;"|"&amp;(27+4*(IFERROR(MATCH(C1421,Roster!$B$6:$B$65,0),MATCH(C1421,Roster!$C$6:$C$65,0))-1)+MATCH(B1421,{"AM","PM","NIGHT","WD"},0)-1),""))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$266,'Feb'!$D$27:$AH$266,'Mar'!$D$27:$AH$266,'Apr'!$D$27:$AH$266,'May'!$D$27:$AH$266,'Jun'!$D$27:$AH$266,'Jul'!$D$27:$AH$266,'Aug'!$D$27:$AH$266,'Sep'!$D$27:$AH$266,'Oct'!$D$27:$AH$266,'Nov'!$D$27:$AH$266,'Dec'!$D$27:$AH$266,'Jan (next year)'!$D$27:$AH$266),27+4*(IFERROR(MATCH(C1422,Roster!$B$6:$B$65,0),MATCH(C1422,Roster!$C$6:$C$65,0))-1)+MATCH(B1422,{"AM","PM","NIGHT","WD"},0)-1-27+1,DAY(A1422))&amp;"",""))</f>
        <v/>
      </c>
      <c r="G1422" s="123">
        <f>IF(OR(A1422="",C1422="",B1422="",E1422=""),"",IFERROR(A1422&amp;"|"&amp;(27+4*(IFERROR(MATCH(C1422,Roster!$B$6:$B$65,0),MATCH(C1422,Roster!$C$6:$C$65,0))-1)+MATCH(B1422,{"AM","PM","NIGHT","WD"},0)-1),""))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$266,'Feb'!$D$27:$AH$266,'Mar'!$D$27:$AH$266,'Apr'!$D$27:$AH$266,'May'!$D$27:$AH$266,'Jun'!$D$27:$AH$266,'Jul'!$D$27:$AH$266,'Aug'!$D$27:$AH$266,'Sep'!$D$27:$AH$266,'Oct'!$D$27:$AH$266,'Nov'!$D$27:$AH$266,'Dec'!$D$27:$AH$266,'Jan (next year)'!$D$27:$AH$266),27+4*(IFERROR(MATCH(C1423,Roster!$B$6:$B$65,0),MATCH(C1423,Roster!$C$6:$C$65,0))-1)+MATCH(B1423,{"AM","PM","NIGHT","WD"},0)-1-27+1,DAY(A1423))&amp;"",""))</f>
        <v/>
      </c>
      <c r="G1423" s="123">
        <f>IF(OR(A1423="",C1423="",B1423="",E1423=""),"",IFERROR(A1423&amp;"|"&amp;(27+4*(IFERROR(MATCH(C1423,Roster!$B$6:$B$65,0),MATCH(C1423,Roster!$C$6:$C$65,0))-1)+MATCH(B1423,{"AM","PM","NIGHT","WD"},0)-1),""))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$266,'Feb'!$D$27:$AH$266,'Mar'!$D$27:$AH$266,'Apr'!$D$27:$AH$266,'May'!$D$27:$AH$266,'Jun'!$D$27:$AH$266,'Jul'!$D$27:$AH$266,'Aug'!$D$27:$AH$266,'Sep'!$D$27:$AH$266,'Oct'!$D$27:$AH$266,'Nov'!$D$27:$AH$266,'Dec'!$D$27:$AH$266,'Jan (next year)'!$D$27:$AH$266),27+4*(IFERROR(MATCH(C1424,Roster!$B$6:$B$65,0),MATCH(C1424,Roster!$C$6:$C$65,0))-1)+MATCH(B1424,{"AM","PM","NIGHT","WD"},0)-1-27+1,DAY(A1424))&amp;"",""))</f>
        <v/>
      </c>
      <c r="G1424" s="123">
        <f>IF(OR(A1424="",C1424="",B1424="",E1424=""),"",IFERROR(A1424&amp;"|"&amp;(27+4*(IFERROR(MATCH(C1424,Roster!$B$6:$B$65,0),MATCH(C1424,Roster!$C$6:$C$65,0))-1)+MATCH(B1424,{"AM","PM","NIGHT","WD"},0)-1),""))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$266,'Feb'!$D$27:$AH$266,'Mar'!$D$27:$AH$266,'Apr'!$D$27:$AH$266,'May'!$D$27:$AH$266,'Jun'!$D$27:$AH$266,'Jul'!$D$27:$AH$266,'Aug'!$D$27:$AH$266,'Sep'!$D$27:$AH$266,'Oct'!$D$27:$AH$266,'Nov'!$D$27:$AH$266,'Dec'!$D$27:$AH$266,'Jan (next year)'!$D$27:$AH$266),27+4*(IFERROR(MATCH(C1425,Roster!$B$6:$B$65,0),MATCH(C1425,Roster!$C$6:$C$65,0))-1)+MATCH(B1425,{"AM","PM","NIGHT","WD"},0)-1-27+1,DAY(A1425))&amp;"",""))</f>
        <v/>
      </c>
      <c r="G1425" s="123">
        <f>IF(OR(A1425="",C1425="",B1425="",E1425=""),"",IFERROR(A1425&amp;"|"&amp;(27+4*(IFERROR(MATCH(C1425,Roster!$B$6:$B$65,0),MATCH(C1425,Roster!$C$6:$C$65,0))-1)+MATCH(B1425,{"AM","PM","NIGHT","WD"},0)-1),""))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$266,'Feb'!$D$27:$AH$266,'Mar'!$D$27:$AH$266,'Apr'!$D$27:$AH$266,'May'!$D$27:$AH$266,'Jun'!$D$27:$AH$266,'Jul'!$D$27:$AH$266,'Aug'!$D$27:$AH$266,'Sep'!$D$27:$AH$266,'Oct'!$D$27:$AH$266,'Nov'!$D$27:$AH$266,'Dec'!$D$27:$AH$266,'Jan (next year)'!$D$27:$AH$266),27+4*(IFERROR(MATCH(C1426,Roster!$B$6:$B$65,0),MATCH(C1426,Roster!$C$6:$C$65,0))-1)+MATCH(B1426,{"AM","PM","NIGHT","WD"},0)-1-27+1,DAY(A1426))&amp;"",""))</f>
        <v/>
      </c>
      <c r="G1426" s="123">
        <f>IF(OR(A1426="",C1426="",B1426="",E1426=""),"",IFERROR(A1426&amp;"|"&amp;(27+4*(IFERROR(MATCH(C1426,Roster!$B$6:$B$65,0),MATCH(C1426,Roster!$C$6:$C$65,0))-1)+MATCH(B1426,{"AM","PM","NIGHT","WD"},0)-1),""))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$266,'Feb'!$D$27:$AH$266,'Mar'!$D$27:$AH$266,'Apr'!$D$27:$AH$266,'May'!$D$27:$AH$266,'Jun'!$D$27:$AH$266,'Jul'!$D$27:$AH$266,'Aug'!$D$27:$AH$266,'Sep'!$D$27:$AH$266,'Oct'!$D$27:$AH$266,'Nov'!$D$27:$AH$266,'Dec'!$D$27:$AH$266,'Jan (next year)'!$D$27:$AH$266),27+4*(IFERROR(MATCH(C1427,Roster!$B$6:$B$65,0),MATCH(C1427,Roster!$C$6:$C$65,0))-1)+MATCH(B1427,{"AM","PM","NIGHT","WD"},0)-1-27+1,DAY(A1427))&amp;"",""))</f>
        <v/>
      </c>
      <c r="G1427" s="123">
        <f>IF(OR(A1427="",C1427="",B1427="",E1427=""),"",IFERROR(A1427&amp;"|"&amp;(27+4*(IFERROR(MATCH(C1427,Roster!$B$6:$B$65,0),MATCH(C1427,Roster!$C$6:$C$65,0))-1)+MATCH(B1427,{"AM","PM","NIGHT","WD"},0)-1),""))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$266,'Feb'!$D$27:$AH$266,'Mar'!$D$27:$AH$266,'Apr'!$D$27:$AH$266,'May'!$D$27:$AH$266,'Jun'!$D$27:$AH$266,'Jul'!$D$27:$AH$266,'Aug'!$D$27:$AH$266,'Sep'!$D$27:$AH$266,'Oct'!$D$27:$AH$266,'Nov'!$D$27:$AH$266,'Dec'!$D$27:$AH$266,'Jan (next year)'!$D$27:$AH$266),27+4*(IFERROR(MATCH(C1428,Roster!$B$6:$B$65,0),MATCH(C1428,Roster!$C$6:$C$65,0))-1)+MATCH(B1428,{"AM","PM","NIGHT","WD"},0)-1-27+1,DAY(A1428))&amp;"",""))</f>
        <v/>
      </c>
      <c r="G1428" s="123">
        <f>IF(OR(A1428="",C1428="",B1428="",E1428=""),"",IFERROR(A1428&amp;"|"&amp;(27+4*(IFERROR(MATCH(C1428,Roster!$B$6:$B$65,0),MATCH(C1428,Roster!$C$6:$C$65,0))-1)+MATCH(B1428,{"AM","PM","NIGHT","WD"},0)-1),""))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$266,'Feb'!$D$27:$AH$266,'Mar'!$D$27:$AH$266,'Apr'!$D$27:$AH$266,'May'!$D$27:$AH$266,'Jun'!$D$27:$AH$266,'Jul'!$D$27:$AH$266,'Aug'!$D$27:$AH$266,'Sep'!$D$27:$AH$266,'Oct'!$D$27:$AH$266,'Nov'!$D$27:$AH$266,'Dec'!$D$27:$AH$266,'Jan (next year)'!$D$27:$AH$266),27+4*(IFERROR(MATCH(C1429,Roster!$B$6:$B$65,0),MATCH(C1429,Roster!$C$6:$C$65,0))-1)+MATCH(B1429,{"AM","PM","NIGHT","WD"},0)-1-27+1,DAY(A1429))&amp;"",""))</f>
        <v/>
      </c>
      <c r="G1429" s="123">
        <f>IF(OR(A1429="",C1429="",B1429="",E1429=""),"",IFERROR(A1429&amp;"|"&amp;(27+4*(IFERROR(MATCH(C1429,Roster!$B$6:$B$65,0),MATCH(C1429,Roster!$C$6:$C$65,0))-1)+MATCH(B1429,{"AM","PM","NIGHT","WD"},0)-1),""))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$266,'Feb'!$D$27:$AH$266,'Mar'!$D$27:$AH$266,'Apr'!$D$27:$AH$266,'May'!$D$27:$AH$266,'Jun'!$D$27:$AH$266,'Jul'!$D$27:$AH$266,'Aug'!$D$27:$AH$266,'Sep'!$D$27:$AH$266,'Oct'!$D$27:$AH$266,'Nov'!$D$27:$AH$266,'Dec'!$D$27:$AH$266,'Jan (next year)'!$D$27:$AH$266),27+4*(IFERROR(MATCH(C1430,Roster!$B$6:$B$65,0),MATCH(C1430,Roster!$C$6:$C$65,0))-1)+MATCH(B1430,{"AM","PM","NIGHT","WD"},0)-1-27+1,DAY(A1430))&amp;"",""))</f>
        <v/>
      </c>
      <c r="G1430" s="123">
        <f>IF(OR(A1430="",C1430="",B1430="",E1430=""),"",IFERROR(A1430&amp;"|"&amp;(27+4*(IFERROR(MATCH(C1430,Roster!$B$6:$B$65,0),MATCH(C1430,Roster!$C$6:$C$65,0))-1)+MATCH(B1430,{"AM","PM","NIGHT","WD"},0)-1),""))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$266,'Feb'!$D$27:$AH$266,'Mar'!$D$27:$AH$266,'Apr'!$D$27:$AH$266,'May'!$D$27:$AH$266,'Jun'!$D$27:$AH$266,'Jul'!$D$27:$AH$266,'Aug'!$D$27:$AH$266,'Sep'!$D$27:$AH$266,'Oct'!$D$27:$AH$266,'Nov'!$D$27:$AH$266,'Dec'!$D$27:$AH$266,'Jan (next year)'!$D$27:$AH$266),27+4*(IFERROR(MATCH(C1431,Roster!$B$6:$B$65,0),MATCH(C1431,Roster!$C$6:$C$65,0))-1)+MATCH(B1431,{"AM","PM","NIGHT","WD"},0)-1-27+1,DAY(A1431))&amp;"",""))</f>
        <v/>
      </c>
      <c r="G1431" s="123">
        <f>IF(OR(A1431="",C1431="",B1431="",E1431=""),"",IFERROR(A1431&amp;"|"&amp;(27+4*(IFERROR(MATCH(C1431,Roster!$B$6:$B$65,0),MATCH(C1431,Roster!$C$6:$C$65,0))-1)+MATCH(B1431,{"AM","PM","NIGHT","WD"},0)-1),""))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$266,'Feb'!$D$27:$AH$266,'Mar'!$D$27:$AH$266,'Apr'!$D$27:$AH$266,'May'!$D$27:$AH$266,'Jun'!$D$27:$AH$266,'Jul'!$D$27:$AH$266,'Aug'!$D$27:$AH$266,'Sep'!$D$27:$AH$266,'Oct'!$D$27:$AH$266,'Nov'!$D$27:$AH$266,'Dec'!$D$27:$AH$266,'Jan (next year)'!$D$27:$AH$266),27+4*(IFERROR(MATCH(C1432,Roster!$B$6:$B$65,0),MATCH(C1432,Roster!$C$6:$C$65,0))-1)+MATCH(B1432,{"AM","PM","NIGHT","WD"},0)-1-27+1,DAY(A1432))&amp;"",""))</f>
        <v/>
      </c>
      <c r="G1432" s="123">
        <f>IF(OR(A1432="",C1432="",B1432="",E1432=""),"",IFERROR(A1432&amp;"|"&amp;(27+4*(IFERROR(MATCH(C1432,Roster!$B$6:$B$65,0),MATCH(C1432,Roster!$C$6:$C$65,0))-1)+MATCH(B1432,{"AM","PM","NIGHT","WD"},0)-1),""))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$266,'Feb'!$D$27:$AH$266,'Mar'!$D$27:$AH$266,'Apr'!$D$27:$AH$266,'May'!$D$27:$AH$266,'Jun'!$D$27:$AH$266,'Jul'!$D$27:$AH$266,'Aug'!$D$27:$AH$266,'Sep'!$D$27:$AH$266,'Oct'!$D$27:$AH$266,'Nov'!$D$27:$AH$266,'Dec'!$D$27:$AH$266,'Jan (next year)'!$D$27:$AH$266),27+4*(IFERROR(MATCH(C1433,Roster!$B$6:$B$65,0),MATCH(C1433,Roster!$C$6:$C$65,0))-1)+MATCH(B1433,{"AM","PM","NIGHT","WD"},0)-1-27+1,DAY(A1433))&amp;"",""))</f>
        <v/>
      </c>
      <c r="G1433" s="123">
        <f>IF(OR(A1433="",C1433="",B1433="",E1433=""),"",IFERROR(A1433&amp;"|"&amp;(27+4*(IFERROR(MATCH(C1433,Roster!$B$6:$B$65,0),MATCH(C1433,Roster!$C$6:$C$65,0))-1)+MATCH(B1433,{"AM","PM","NIGHT","WD"},0)-1),""))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$266,'Feb'!$D$27:$AH$266,'Mar'!$D$27:$AH$266,'Apr'!$D$27:$AH$266,'May'!$D$27:$AH$266,'Jun'!$D$27:$AH$266,'Jul'!$D$27:$AH$266,'Aug'!$D$27:$AH$266,'Sep'!$D$27:$AH$266,'Oct'!$D$27:$AH$266,'Nov'!$D$27:$AH$266,'Dec'!$D$27:$AH$266,'Jan (next year)'!$D$27:$AH$266),27+4*(IFERROR(MATCH(C1434,Roster!$B$6:$B$65,0),MATCH(C1434,Roster!$C$6:$C$65,0))-1)+MATCH(B1434,{"AM","PM","NIGHT","WD"},0)-1-27+1,DAY(A1434))&amp;"",""))</f>
        <v/>
      </c>
      <c r="G1434" s="123">
        <f>IF(OR(A1434="",C1434="",B1434="",E1434=""),"",IFERROR(A1434&amp;"|"&amp;(27+4*(IFERROR(MATCH(C1434,Roster!$B$6:$B$65,0),MATCH(C1434,Roster!$C$6:$C$65,0))-1)+MATCH(B1434,{"AM","PM","NIGHT","WD"},0)-1),""))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$266,'Feb'!$D$27:$AH$266,'Mar'!$D$27:$AH$266,'Apr'!$D$27:$AH$266,'May'!$D$27:$AH$266,'Jun'!$D$27:$AH$266,'Jul'!$D$27:$AH$266,'Aug'!$D$27:$AH$266,'Sep'!$D$27:$AH$266,'Oct'!$D$27:$AH$266,'Nov'!$D$27:$AH$266,'Dec'!$D$27:$AH$266,'Jan (next year)'!$D$27:$AH$266),27+4*(IFERROR(MATCH(C1435,Roster!$B$6:$B$65,0),MATCH(C1435,Roster!$C$6:$C$65,0))-1)+MATCH(B1435,{"AM","PM","NIGHT","WD"},0)-1-27+1,DAY(A1435))&amp;"",""))</f>
        <v/>
      </c>
      <c r="G1435" s="123">
        <f>IF(OR(A1435="",C1435="",B1435="",E1435=""),"",IFERROR(A1435&amp;"|"&amp;(27+4*(IFERROR(MATCH(C1435,Roster!$B$6:$B$65,0),MATCH(C1435,Roster!$C$6:$C$65,0))-1)+MATCH(B1435,{"AM","PM","NIGHT","WD"},0)-1),""))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$266,'Feb'!$D$27:$AH$266,'Mar'!$D$27:$AH$266,'Apr'!$D$27:$AH$266,'May'!$D$27:$AH$266,'Jun'!$D$27:$AH$266,'Jul'!$D$27:$AH$266,'Aug'!$D$27:$AH$266,'Sep'!$D$27:$AH$266,'Oct'!$D$27:$AH$266,'Nov'!$D$27:$AH$266,'Dec'!$D$27:$AH$266,'Jan (next year)'!$D$27:$AH$266),27+4*(IFERROR(MATCH(C1436,Roster!$B$6:$B$65,0),MATCH(C1436,Roster!$C$6:$C$65,0))-1)+MATCH(B1436,{"AM","PM","NIGHT","WD"},0)-1-27+1,DAY(A1436))&amp;"",""))</f>
        <v/>
      </c>
      <c r="G1436" s="123">
        <f>IF(OR(A1436="",C1436="",B1436="",E1436=""),"",IFERROR(A1436&amp;"|"&amp;(27+4*(IFERROR(MATCH(C1436,Roster!$B$6:$B$65,0),MATCH(C1436,Roster!$C$6:$C$65,0))-1)+MATCH(B1436,{"AM","PM","NIGHT","WD"},0)-1),""))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$266,'Feb'!$D$27:$AH$266,'Mar'!$D$27:$AH$266,'Apr'!$D$27:$AH$266,'May'!$D$27:$AH$266,'Jun'!$D$27:$AH$266,'Jul'!$D$27:$AH$266,'Aug'!$D$27:$AH$266,'Sep'!$D$27:$AH$266,'Oct'!$D$27:$AH$266,'Nov'!$D$27:$AH$266,'Dec'!$D$27:$AH$266,'Jan (next year)'!$D$27:$AH$266),27+4*(IFERROR(MATCH(C1437,Roster!$B$6:$B$65,0),MATCH(C1437,Roster!$C$6:$C$65,0))-1)+MATCH(B1437,{"AM","PM","NIGHT","WD"},0)-1-27+1,DAY(A1437))&amp;"",""))</f>
        <v/>
      </c>
      <c r="G1437" s="123">
        <f>IF(OR(A1437="",C1437="",B1437="",E1437=""),"",IFERROR(A1437&amp;"|"&amp;(27+4*(IFERROR(MATCH(C1437,Roster!$B$6:$B$65,0),MATCH(C1437,Roster!$C$6:$C$65,0))-1)+MATCH(B1437,{"AM","PM","NIGHT","WD"},0)-1),""))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$266,'Feb'!$D$27:$AH$266,'Mar'!$D$27:$AH$266,'Apr'!$D$27:$AH$266,'May'!$D$27:$AH$266,'Jun'!$D$27:$AH$266,'Jul'!$D$27:$AH$266,'Aug'!$D$27:$AH$266,'Sep'!$D$27:$AH$266,'Oct'!$D$27:$AH$266,'Nov'!$D$27:$AH$266,'Dec'!$D$27:$AH$266,'Jan (next year)'!$D$27:$AH$266),27+4*(IFERROR(MATCH(C1438,Roster!$B$6:$B$65,0),MATCH(C1438,Roster!$C$6:$C$65,0))-1)+MATCH(B1438,{"AM","PM","NIGHT","WD"},0)-1-27+1,DAY(A1438))&amp;"",""))</f>
        <v/>
      </c>
      <c r="G1438" s="123">
        <f>IF(OR(A1438="",C1438="",B1438="",E1438=""),"",IFERROR(A1438&amp;"|"&amp;(27+4*(IFERROR(MATCH(C1438,Roster!$B$6:$B$65,0),MATCH(C1438,Roster!$C$6:$C$65,0))-1)+MATCH(B1438,{"AM","PM","NIGHT","WD"},0)-1),""))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$266,'Feb'!$D$27:$AH$266,'Mar'!$D$27:$AH$266,'Apr'!$D$27:$AH$266,'May'!$D$27:$AH$266,'Jun'!$D$27:$AH$266,'Jul'!$D$27:$AH$266,'Aug'!$D$27:$AH$266,'Sep'!$D$27:$AH$266,'Oct'!$D$27:$AH$266,'Nov'!$D$27:$AH$266,'Dec'!$D$27:$AH$266,'Jan (next year)'!$D$27:$AH$266),27+4*(IFERROR(MATCH(C1439,Roster!$B$6:$B$65,0),MATCH(C1439,Roster!$C$6:$C$65,0))-1)+MATCH(B1439,{"AM","PM","NIGHT","WD"},0)-1-27+1,DAY(A1439))&amp;"",""))</f>
        <v/>
      </c>
      <c r="G1439" s="123">
        <f>IF(OR(A1439="",C1439="",B1439="",E1439=""),"",IFERROR(A1439&amp;"|"&amp;(27+4*(IFERROR(MATCH(C1439,Roster!$B$6:$B$65,0),MATCH(C1439,Roster!$C$6:$C$65,0))-1)+MATCH(B1439,{"AM","PM","NIGHT","WD"},0)-1),""))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$266,'Feb'!$D$27:$AH$266,'Mar'!$D$27:$AH$266,'Apr'!$D$27:$AH$266,'May'!$D$27:$AH$266,'Jun'!$D$27:$AH$266,'Jul'!$D$27:$AH$266,'Aug'!$D$27:$AH$266,'Sep'!$D$27:$AH$266,'Oct'!$D$27:$AH$266,'Nov'!$D$27:$AH$266,'Dec'!$D$27:$AH$266,'Jan (next year)'!$D$27:$AH$266),27+4*(IFERROR(MATCH(C1440,Roster!$B$6:$B$65,0),MATCH(C1440,Roster!$C$6:$C$65,0))-1)+MATCH(B1440,{"AM","PM","NIGHT","WD"},0)-1-27+1,DAY(A1440))&amp;"",""))</f>
        <v/>
      </c>
      <c r="G1440" s="123">
        <f>IF(OR(A1440="",C1440="",B1440="",E1440=""),"",IFERROR(A1440&amp;"|"&amp;(27+4*(IFERROR(MATCH(C1440,Roster!$B$6:$B$65,0),MATCH(C1440,Roster!$C$6:$C$65,0))-1)+MATCH(B1440,{"AM","PM","NIGHT","WD"},0)-1),""))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$266,'Feb'!$D$27:$AH$266,'Mar'!$D$27:$AH$266,'Apr'!$D$27:$AH$266,'May'!$D$27:$AH$266,'Jun'!$D$27:$AH$266,'Jul'!$D$27:$AH$266,'Aug'!$D$27:$AH$266,'Sep'!$D$27:$AH$266,'Oct'!$D$27:$AH$266,'Nov'!$D$27:$AH$266,'Dec'!$D$27:$AH$266,'Jan (next year)'!$D$27:$AH$266),27+4*(IFERROR(MATCH(C1441,Roster!$B$6:$B$65,0),MATCH(C1441,Roster!$C$6:$C$65,0))-1)+MATCH(B1441,{"AM","PM","NIGHT","WD"},0)-1-27+1,DAY(A1441))&amp;"",""))</f>
        <v/>
      </c>
      <c r="G1441" s="123">
        <f>IF(OR(A1441="",C1441="",B1441="",E1441=""),"",IFERROR(A1441&amp;"|"&amp;(27+4*(IFERROR(MATCH(C1441,Roster!$B$6:$B$65,0),MATCH(C1441,Roster!$C$6:$C$65,0))-1)+MATCH(B1441,{"AM","PM","NIGHT","WD"},0)-1),""))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$266,'Feb'!$D$27:$AH$266,'Mar'!$D$27:$AH$266,'Apr'!$D$27:$AH$266,'May'!$D$27:$AH$266,'Jun'!$D$27:$AH$266,'Jul'!$D$27:$AH$266,'Aug'!$D$27:$AH$266,'Sep'!$D$27:$AH$266,'Oct'!$D$27:$AH$266,'Nov'!$D$27:$AH$266,'Dec'!$D$27:$AH$266,'Jan (next year)'!$D$27:$AH$266),27+4*(IFERROR(MATCH(C1442,Roster!$B$6:$B$65,0),MATCH(C1442,Roster!$C$6:$C$65,0))-1)+MATCH(B1442,{"AM","PM","NIGHT","WD"},0)-1-27+1,DAY(A1442))&amp;"",""))</f>
        <v/>
      </c>
      <c r="G1442" s="123">
        <f>IF(OR(A1442="",C1442="",B1442="",E1442=""),"",IFERROR(A1442&amp;"|"&amp;(27+4*(IFERROR(MATCH(C1442,Roster!$B$6:$B$65,0),MATCH(C1442,Roster!$C$6:$C$65,0))-1)+MATCH(B1442,{"AM","PM","NIGHT","WD"},0)-1),""))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$266,'Feb'!$D$27:$AH$266,'Mar'!$D$27:$AH$266,'Apr'!$D$27:$AH$266,'May'!$D$27:$AH$266,'Jun'!$D$27:$AH$266,'Jul'!$D$27:$AH$266,'Aug'!$D$27:$AH$266,'Sep'!$D$27:$AH$266,'Oct'!$D$27:$AH$266,'Nov'!$D$27:$AH$266,'Dec'!$D$27:$AH$266,'Jan (next year)'!$D$27:$AH$266),27+4*(IFERROR(MATCH(C1443,Roster!$B$6:$B$65,0),MATCH(C1443,Roster!$C$6:$C$65,0))-1)+MATCH(B1443,{"AM","PM","NIGHT","WD"},0)-1-27+1,DAY(A1443))&amp;"",""))</f>
        <v/>
      </c>
      <c r="G1443" s="123">
        <f>IF(OR(A1443="",C1443="",B1443="",E1443=""),"",IFERROR(A1443&amp;"|"&amp;(27+4*(IFERROR(MATCH(C1443,Roster!$B$6:$B$65,0),MATCH(C1443,Roster!$C$6:$C$65,0))-1)+MATCH(B1443,{"AM","PM","NIGHT","WD"},0)-1),""))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$266,'Feb'!$D$27:$AH$266,'Mar'!$D$27:$AH$266,'Apr'!$D$27:$AH$266,'May'!$D$27:$AH$266,'Jun'!$D$27:$AH$266,'Jul'!$D$27:$AH$266,'Aug'!$D$27:$AH$266,'Sep'!$D$27:$AH$266,'Oct'!$D$27:$AH$266,'Nov'!$D$27:$AH$266,'Dec'!$D$27:$AH$266,'Jan (next year)'!$D$27:$AH$266),27+4*(IFERROR(MATCH(C1444,Roster!$B$6:$B$65,0),MATCH(C1444,Roster!$C$6:$C$65,0))-1)+MATCH(B1444,{"AM","PM","NIGHT","WD"},0)-1-27+1,DAY(A1444))&amp;"",""))</f>
        <v/>
      </c>
      <c r="G1444" s="123">
        <f>IF(OR(A1444="",C1444="",B1444="",E1444=""),"",IFERROR(A1444&amp;"|"&amp;(27+4*(IFERROR(MATCH(C1444,Roster!$B$6:$B$65,0),MATCH(C1444,Roster!$C$6:$C$65,0))-1)+MATCH(B1444,{"AM","PM","NIGHT","WD"},0)-1),""))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$266,'Feb'!$D$27:$AH$266,'Mar'!$D$27:$AH$266,'Apr'!$D$27:$AH$266,'May'!$D$27:$AH$266,'Jun'!$D$27:$AH$266,'Jul'!$D$27:$AH$266,'Aug'!$D$27:$AH$266,'Sep'!$D$27:$AH$266,'Oct'!$D$27:$AH$266,'Nov'!$D$27:$AH$266,'Dec'!$D$27:$AH$266,'Jan (next year)'!$D$27:$AH$266),27+4*(IFERROR(MATCH(C1445,Roster!$B$6:$B$65,0),MATCH(C1445,Roster!$C$6:$C$65,0))-1)+MATCH(B1445,{"AM","PM","NIGHT","WD"},0)-1-27+1,DAY(A1445))&amp;"",""))</f>
        <v/>
      </c>
      <c r="G1445" s="123">
        <f>IF(OR(A1445="",C1445="",B1445="",E1445=""),"",IFERROR(A1445&amp;"|"&amp;(27+4*(IFERROR(MATCH(C1445,Roster!$B$6:$B$65,0),MATCH(C1445,Roster!$C$6:$C$65,0))-1)+MATCH(B1445,{"AM","PM","NIGHT","WD"},0)-1),""))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$266,'Feb'!$D$27:$AH$266,'Mar'!$D$27:$AH$266,'Apr'!$D$27:$AH$266,'May'!$D$27:$AH$266,'Jun'!$D$27:$AH$266,'Jul'!$D$27:$AH$266,'Aug'!$D$27:$AH$266,'Sep'!$D$27:$AH$266,'Oct'!$D$27:$AH$266,'Nov'!$D$27:$AH$266,'Dec'!$D$27:$AH$266,'Jan (next year)'!$D$27:$AH$266),27+4*(IFERROR(MATCH(C1446,Roster!$B$6:$B$65,0),MATCH(C1446,Roster!$C$6:$C$65,0))-1)+MATCH(B1446,{"AM","PM","NIGHT","WD"},0)-1-27+1,DAY(A1446))&amp;"",""))</f>
        <v/>
      </c>
      <c r="G1446" s="123">
        <f>IF(OR(A1446="",C1446="",B1446="",E1446=""),"",IFERROR(A1446&amp;"|"&amp;(27+4*(IFERROR(MATCH(C1446,Roster!$B$6:$B$65,0),MATCH(C1446,Roster!$C$6:$C$65,0))-1)+MATCH(B1446,{"AM","PM","NIGHT","WD"},0)-1),""))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$266,'Feb'!$D$27:$AH$266,'Mar'!$D$27:$AH$266,'Apr'!$D$27:$AH$266,'May'!$D$27:$AH$266,'Jun'!$D$27:$AH$266,'Jul'!$D$27:$AH$266,'Aug'!$D$27:$AH$266,'Sep'!$D$27:$AH$266,'Oct'!$D$27:$AH$266,'Nov'!$D$27:$AH$266,'Dec'!$D$27:$AH$266,'Jan (next year)'!$D$27:$AH$266),27+4*(IFERROR(MATCH(C1447,Roster!$B$6:$B$65,0),MATCH(C1447,Roster!$C$6:$C$65,0))-1)+MATCH(B1447,{"AM","PM","NIGHT","WD"},0)-1-27+1,DAY(A1447))&amp;"",""))</f>
        <v/>
      </c>
      <c r="G1447" s="123">
        <f>IF(OR(A1447="",C1447="",B1447="",E1447=""),"",IFERROR(A1447&amp;"|"&amp;(27+4*(IFERROR(MATCH(C1447,Roster!$B$6:$B$65,0),MATCH(C1447,Roster!$C$6:$C$65,0))-1)+MATCH(B1447,{"AM","PM","NIGHT","WD"},0)-1),""))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$266,'Feb'!$D$27:$AH$266,'Mar'!$D$27:$AH$266,'Apr'!$D$27:$AH$266,'May'!$D$27:$AH$266,'Jun'!$D$27:$AH$266,'Jul'!$D$27:$AH$266,'Aug'!$D$27:$AH$266,'Sep'!$D$27:$AH$266,'Oct'!$D$27:$AH$266,'Nov'!$D$27:$AH$266,'Dec'!$D$27:$AH$266,'Jan (next year)'!$D$27:$AH$266),27+4*(IFERROR(MATCH(C1448,Roster!$B$6:$B$65,0),MATCH(C1448,Roster!$C$6:$C$65,0))-1)+MATCH(B1448,{"AM","PM","NIGHT","WD"},0)-1-27+1,DAY(A1448))&amp;"",""))</f>
        <v/>
      </c>
      <c r="G1448" s="123">
        <f>IF(OR(A1448="",C1448="",B1448="",E1448=""),"",IFERROR(A1448&amp;"|"&amp;(27+4*(IFERROR(MATCH(C1448,Roster!$B$6:$B$65,0),MATCH(C1448,Roster!$C$6:$C$65,0))-1)+MATCH(B1448,{"AM","PM","NIGHT","WD"},0)-1),""))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$266,'Feb'!$D$27:$AH$266,'Mar'!$D$27:$AH$266,'Apr'!$D$27:$AH$266,'May'!$D$27:$AH$266,'Jun'!$D$27:$AH$266,'Jul'!$D$27:$AH$266,'Aug'!$D$27:$AH$266,'Sep'!$D$27:$AH$266,'Oct'!$D$27:$AH$266,'Nov'!$D$27:$AH$266,'Dec'!$D$27:$AH$266,'Jan (next year)'!$D$27:$AH$266),27+4*(IFERROR(MATCH(C1449,Roster!$B$6:$B$65,0),MATCH(C1449,Roster!$C$6:$C$65,0))-1)+MATCH(B1449,{"AM","PM","NIGHT","WD"},0)-1-27+1,DAY(A1449))&amp;"",""))</f>
        <v/>
      </c>
      <c r="G1449" s="123">
        <f>IF(OR(A1449="",C1449="",B1449="",E1449=""),"",IFERROR(A1449&amp;"|"&amp;(27+4*(IFERROR(MATCH(C1449,Roster!$B$6:$B$65,0),MATCH(C1449,Roster!$C$6:$C$65,0))-1)+MATCH(B1449,{"AM","PM","NIGHT","WD"},0)-1),""))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$266,'Feb'!$D$27:$AH$266,'Mar'!$D$27:$AH$266,'Apr'!$D$27:$AH$266,'May'!$D$27:$AH$266,'Jun'!$D$27:$AH$266,'Jul'!$D$27:$AH$266,'Aug'!$D$27:$AH$266,'Sep'!$D$27:$AH$266,'Oct'!$D$27:$AH$266,'Nov'!$D$27:$AH$266,'Dec'!$D$27:$AH$266,'Jan (next year)'!$D$27:$AH$266),27+4*(IFERROR(MATCH(C1450,Roster!$B$6:$B$65,0),MATCH(C1450,Roster!$C$6:$C$65,0))-1)+MATCH(B1450,{"AM","PM","NIGHT","WD"},0)-1-27+1,DAY(A1450))&amp;"",""))</f>
        <v/>
      </c>
      <c r="G1450" s="123">
        <f>IF(OR(A1450="",C1450="",B1450="",E1450=""),"",IFERROR(A1450&amp;"|"&amp;(27+4*(IFERROR(MATCH(C1450,Roster!$B$6:$B$65,0),MATCH(C1450,Roster!$C$6:$C$65,0))-1)+MATCH(B1450,{"AM","PM","NIGHT","WD"},0)-1),""))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$266,'Feb'!$D$27:$AH$266,'Mar'!$D$27:$AH$266,'Apr'!$D$27:$AH$266,'May'!$D$27:$AH$266,'Jun'!$D$27:$AH$266,'Jul'!$D$27:$AH$266,'Aug'!$D$27:$AH$266,'Sep'!$D$27:$AH$266,'Oct'!$D$27:$AH$266,'Nov'!$D$27:$AH$266,'Dec'!$D$27:$AH$266,'Jan (next year)'!$D$27:$AH$266),27+4*(IFERROR(MATCH(C1451,Roster!$B$6:$B$65,0),MATCH(C1451,Roster!$C$6:$C$65,0))-1)+MATCH(B1451,{"AM","PM","NIGHT","WD"},0)-1-27+1,DAY(A1451))&amp;"",""))</f>
        <v/>
      </c>
      <c r="G1451" s="123">
        <f>IF(OR(A1451="",C1451="",B1451="",E1451=""),"",IFERROR(A1451&amp;"|"&amp;(27+4*(IFERROR(MATCH(C1451,Roster!$B$6:$B$65,0),MATCH(C1451,Roster!$C$6:$C$65,0))-1)+MATCH(B1451,{"AM","PM","NIGHT","WD"},0)-1),""))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$266,'Feb'!$D$27:$AH$266,'Mar'!$D$27:$AH$266,'Apr'!$D$27:$AH$266,'May'!$D$27:$AH$266,'Jun'!$D$27:$AH$266,'Jul'!$D$27:$AH$266,'Aug'!$D$27:$AH$266,'Sep'!$D$27:$AH$266,'Oct'!$D$27:$AH$266,'Nov'!$D$27:$AH$266,'Dec'!$D$27:$AH$266,'Jan (next year)'!$D$27:$AH$266),27+4*(IFERROR(MATCH(C1452,Roster!$B$6:$B$65,0),MATCH(C1452,Roster!$C$6:$C$65,0))-1)+MATCH(B1452,{"AM","PM","NIGHT","WD"},0)-1-27+1,DAY(A1452))&amp;"",""))</f>
        <v/>
      </c>
      <c r="G1452" s="123">
        <f>IF(OR(A1452="",C1452="",B1452="",E1452=""),"",IFERROR(A1452&amp;"|"&amp;(27+4*(IFERROR(MATCH(C1452,Roster!$B$6:$B$65,0),MATCH(C1452,Roster!$C$6:$C$65,0))-1)+MATCH(B1452,{"AM","PM","NIGHT","WD"},0)-1),""))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$266,'Feb'!$D$27:$AH$266,'Mar'!$D$27:$AH$266,'Apr'!$D$27:$AH$266,'May'!$D$27:$AH$266,'Jun'!$D$27:$AH$266,'Jul'!$D$27:$AH$266,'Aug'!$D$27:$AH$266,'Sep'!$D$27:$AH$266,'Oct'!$D$27:$AH$266,'Nov'!$D$27:$AH$266,'Dec'!$D$27:$AH$266,'Jan (next year)'!$D$27:$AH$266),27+4*(IFERROR(MATCH(C1453,Roster!$B$6:$B$65,0),MATCH(C1453,Roster!$C$6:$C$65,0))-1)+MATCH(B1453,{"AM","PM","NIGHT","WD"},0)-1-27+1,DAY(A1453))&amp;"",""))</f>
        <v/>
      </c>
      <c r="G1453" s="123">
        <f>IF(OR(A1453="",C1453="",B1453="",E1453=""),"",IFERROR(A1453&amp;"|"&amp;(27+4*(IFERROR(MATCH(C1453,Roster!$B$6:$B$65,0),MATCH(C1453,Roster!$C$6:$C$65,0))-1)+MATCH(B1453,{"AM","PM","NIGHT","WD"},0)-1),""))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$266,'Feb'!$D$27:$AH$266,'Mar'!$D$27:$AH$266,'Apr'!$D$27:$AH$266,'May'!$D$27:$AH$266,'Jun'!$D$27:$AH$266,'Jul'!$D$27:$AH$266,'Aug'!$D$27:$AH$266,'Sep'!$D$27:$AH$266,'Oct'!$D$27:$AH$266,'Nov'!$D$27:$AH$266,'Dec'!$D$27:$AH$266,'Jan (next year)'!$D$27:$AH$266),27+4*(IFERROR(MATCH(C1454,Roster!$B$6:$B$65,0),MATCH(C1454,Roster!$C$6:$C$65,0))-1)+MATCH(B1454,{"AM","PM","NIGHT","WD"},0)-1-27+1,DAY(A1454))&amp;"",""))</f>
        <v/>
      </c>
      <c r="G1454" s="123">
        <f>IF(OR(A1454="",C1454="",B1454="",E1454=""),"",IFERROR(A1454&amp;"|"&amp;(27+4*(IFERROR(MATCH(C1454,Roster!$B$6:$B$65,0),MATCH(C1454,Roster!$C$6:$C$65,0))-1)+MATCH(B1454,{"AM","PM","NIGHT","WD"},0)-1),""))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$266,'Feb'!$D$27:$AH$266,'Mar'!$D$27:$AH$266,'Apr'!$D$27:$AH$266,'May'!$D$27:$AH$266,'Jun'!$D$27:$AH$266,'Jul'!$D$27:$AH$266,'Aug'!$D$27:$AH$266,'Sep'!$D$27:$AH$266,'Oct'!$D$27:$AH$266,'Nov'!$D$27:$AH$266,'Dec'!$D$27:$AH$266,'Jan (next year)'!$D$27:$AH$266),27+4*(IFERROR(MATCH(C1455,Roster!$B$6:$B$65,0),MATCH(C1455,Roster!$C$6:$C$65,0))-1)+MATCH(B1455,{"AM","PM","NIGHT","WD"},0)-1-27+1,DAY(A1455))&amp;"",""))</f>
        <v/>
      </c>
      <c r="G1455" s="123">
        <f>IF(OR(A1455="",C1455="",B1455="",E1455=""),"",IFERROR(A1455&amp;"|"&amp;(27+4*(IFERROR(MATCH(C1455,Roster!$B$6:$B$65,0),MATCH(C1455,Roster!$C$6:$C$65,0))-1)+MATCH(B1455,{"AM","PM","NIGHT","WD"},0)-1),""))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$266,'Feb'!$D$27:$AH$266,'Mar'!$D$27:$AH$266,'Apr'!$D$27:$AH$266,'May'!$D$27:$AH$266,'Jun'!$D$27:$AH$266,'Jul'!$D$27:$AH$266,'Aug'!$D$27:$AH$266,'Sep'!$D$27:$AH$266,'Oct'!$D$27:$AH$266,'Nov'!$D$27:$AH$266,'Dec'!$D$27:$AH$266,'Jan (next year)'!$D$27:$AH$266),27+4*(IFERROR(MATCH(C1456,Roster!$B$6:$B$65,0),MATCH(C1456,Roster!$C$6:$C$65,0))-1)+MATCH(B1456,{"AM","PM","NIGHT","WD"},0)-1-27+1,DAY(A1456))&amp;"",""))</f>
        <v/>
      </c>
      <c r="G1456" s="123">
        <f>IF(OR(A1456="",C1456="",B1456="",E1456=""),"",IFERROR(A1456&amp;"|"&amp;(27+4*(IFERROR(MATCH(C1456,Roster!$B$6:$B$65,0),MATCH(C1456,Roster!$C$6:$C$65,0))-1)+MATCH(B1456,{"AM","PM","NIGHT","WD"},0)-1),""))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$266,'Feb'!$D$27:$AH$266,'Mar'!$D$27:$AH$266,'Apr'!$D$27:$AH$266,'May'!$D$27:$AH$266,'Jun'!$D$27:$AH$266,'Jul'!$D$27:$AH$266,'Aug'!$D$27:$AH$266,'Sep'!$D$27:$AH$266,'Oct'!$D$27:$AH$266,'Nov'!$D$27:$AH$266,'Dec'!$D$27:$AH$266,'Jan (next year)'!$D$27:$AH$266),27+4*(IFERROR(MATCH(C1457,Roster!$B$6:$B$65,0),MATCH(C1457,Roster!$C$6:$C$65,0))-1)+MATCH(B1457,{"AM","PM","NIGHT","WD"},0)-1-27+1,DAY(A1457))&amp;"",""))</f>
        <v/>
      </c>
      <c r="G1457" s="123">
        <f>IF(OR(A1457="",C1457="",B1457="",E1457=""),"",IFERROR(A1457&amp;"|"&amp;(27+4*(IFERROR(MATCH(C1457,Roster!$B$6:$B$65,0),MATCH(C1457,Roster!$C$6:$C$65,0))-1)+MATCH(B1457,{"AM","PM","NIGHT","WD"},0)-1),""))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$266,'Feb'!$D$27:$AH$266,'Mar'!$D$27:$AH$266,'Apr'!$D$27:$AH$266,'May'!$D$27:$AH$266,'Jun'!$D$27:$AH$266,'Jul'!$D$27:$AH$266,'Aug'!$D$27:$AH$266,'Sep'!$D$27:$AH$266,'Oct'!$D$27:$AH$266,'Nov'!$D$27:$AH$266,'Dec'!$D$27:$AH$266,'Jan (next year)'!$D$27:$AH$266),27+4*(IFERROR(MATCH(C1458,Roster!$B$6:$B$65,0),MATCH(C1458,Roster!$C$6:$C$65,0))-1)+MATCH(B1458,{"AM","PM","NIGHT","WD"},0)-1-27+1,DAY(A1458))&amp;"",""))</f>
        <v/>
      </c>
      <c r="G1458" s="123">
        <f>IF(OR(A1458="",C1458="",B1458="",E1458=""),"",IFERROR(A1458&amp;"|"&amp;(27+4*(IFERROR(MATCH(C1458,Roster!$B$6:$B$65,0),MATCH(C1458,Roster!$C$6:$C$65,0))-1)+MATCH(B1458,{"AM","PM","NIGHT","WD"},0)-1),""))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$266,'Feb'!$D$27:$AH$266,'Mar'!$D$27:$AH$266,'Apr'!$D$27:$AH$266,'May'!$D$27:$AH$266,'Jun'!$D$27:$AH$266,'Jul'!$D$27:$AH$266,'Aug'!$D$27:$AH$266,'Sep'!$D$27:$AH$266,'Oct'!$D$27:$AH$266,'Nov'!$D$27:$AH$266,'Dec'!$D$27:$AH$266,'Jan (next year)'!$D$27:$AH$266),27+4*(IFERROR(MATCH(C1459,Roster!$B$6:$B$65,0),MATCH(C1459,Roster!$C$6:$C$65,0))-1)+MATCH(B1459,{"AM","PM","NIGHT","WD"},0)-1-27+1,DAY(A1459))&amp;"",""))</f>
        <v/>
      </c>
      <c r="G1459" s="123">
        <f>IF(OR(A1459="",C1459="",B1459="",E1459=""),"",IFERROR(A1459&amp;"|"&amp;(27+4*(IFERROR(MATCH(C1459,Roster!$B$6:$B$65,0),MATCH(C1459,Roster!$C$6:$C$65,0))-1)+MATCH(B1459,{"AM","PM","NIGHT","WD"},0)-1),""))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$266,'Feb'!$D$27:$AH$266,'Mar'!$D$27:$AH$266,'Apr'!$D$27:$AH$266,'May'!$D$27:$AH$266,'Jun'!$D$27:$AH$266,'Jul'!$D$27:$AH$266,'Aug'!$D$27:$AH$266,'Sep'!$D$27:$AH$266,'Oct'!$D$27:$AH$266,'Nov'!$D$27:$AH$266,'Dec'!$D$27:$AH$266,'Jan (next year)'!$D$27:$AH$266),27+4*(IFERROR(MATCH(C1460,Roster!$B$6:$B$65,0),MATCH(C1460,Roster!$C$6:$C$65,0))-1)+MATCH(B1460,{"AM","PM","NIGHT","WD"},0)-1-27+1,DAY(A1460))&amp;"",""))</f>
        <v/>
      </c>
      <c r="G1460" s="123">
        <f>IF(OR(A1460="",C1460="",B1460="",E1460=""),"",IFERROR(A1460&amp;"|"&amp;(27+4*(IFERROR(MATCH(C1460,Roster!$B$6:$B$65,0),MATCH(C1460,Roster!$C$6:$C$65,0))-1)+MATCH(B1460,{"AM","PM","NIGHT","WD"},0)-1),""))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$266,'Feb'!$D$27:$AH$266,'Mar'!$D$27:$AH$266,'Apr'!$D$27:$AH$266,'May'!$D$27:$AH$266,'Jun'!$D$27:$AH$266,'Jul'!$D$27:$AH$266,'Aug'!$D$27:$AH$266,'Sep'!$D$27:$AH$266,'Oct'!$D$27:$AH$266,'Nov'!$D$27:$AH$266,'Dec'!$D$27:$AH$266,'Jan (next year)'!$D$27:$AH$266),27+4*(IFERROR(MATCH(C1461,Roster!$B$6:$B$65,0),MATCH(C1461,Roster!$C$6:$C$65,0))-1)+MATCH(B1461,{"AM","PM","NIGHT","WD"},0)-1-27+1,DAY(A1461))&amp;"",""))</f>
        <v/>
      </c>
      <c r="G1461" s="123">
        <f>IF(OR(A1461="",C1461="",B1461="",E1461=""),"",IFERROR(A1461&amp;"|"&amp;(27+4*(IFERROR(MATCH(C1461,Roster!$B$6:$B$65,0),MATCH(C1461,Roster!$C$6:$C$65,0))-1)+MATCH(B1461,{"AM","PM","NIGHT","WD"},0)-1),""))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$266,'Feb'!$D$27:$AH$266,'Mar'!$D$27:$AH$266,'Apr'!$D$27:$AH$266,'May'!$D$27:$AH$266,'Jun'!$D$27:$AH$266,'Jul'!$D$27:$AH$266,'Aug'!$D$27:$AH$266,'Sep'!$D$27:$AH$266,'Oct'!$D$27:$AH$266,'Nov'!$D$27:$AH$266,'Dec'!$D$27:$AH$266,'Jan (next year)'!$D$27:$AH$266),27+4*(IFERROR(MATCH(C1462,Roster!$B$6:$B$65,0),MATCH(C1462,Roster!$C$6:$C$65,0))-1)+MATCH(B1462,{"AM","PM","NIGHT","WD"},0)-1-27+1,DAY(A1462))&amp;"",""))</f>
        <v/>
      </c>
      <c r="G1462" s="123">
        <f>IF(OR(A1462="",C1462="",B1462="",E1462=""),"",IFERROR(A1462&amp;"|"&amp;(27+4*(IFERROR(MATCH(C1462,Roster!$B$6:$B$65,0),MATCH(C1462,Roster!$C$6:$C$65,0))-1)+MATCH(B1462,{"AM","PM","NIGHT","WD"},0)-1),""))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$266,'Feb'!$D$27:$AH$266,'Mar'!$D$27:$AH$266,'Apr'!$D$27:$AH$266,'May'!$D$27:$AH$266,'Jun'!$D$27:$AH$266,'Jul'!$D$27:$AH$266,'Aug'!$D$27:$AH$266,'Sep'!$D$27:$AH$266,'Oct'!$D$27:$AH$266,'Nov'!$D$27:$AH$266,'Dec'!$D$27:$AH$266,'Jan (next year)'!$D$27:$AH$266),27+4*(IFERROR(MATCH(C1463,Roster!$B$6:$B$65,0),MATCH(C1463,Roster!$C$6:$C$65,0))-1)+MATCH(B1463,{"AM","PM","NIGHT","WD"},0)-1-27+1,DAY(A1463))&amp;"",""))</f>
        <v/>
      </c>
      <c r="G1463" s="123">
        <f>IF(OR(A1463="",C1463="",B1463="",E1463=""),"",IFERROR(A1463&amp;"|"&amp;(27+4*(IFERROR(MATCH(C1463,Roster!$B$6:$B$65,0),MATCH(C1463,Roster!$C$6:$C$65,0))-1)+MATCH(B1463,{"AM","PM","NIGHT","WD"},0)-1),""))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$266,'Feb'!$D$27:$AH$266,'Mar'!$D$27:$AH$266,'Apr'!$D$27:$AH$266,'May'!$D$27:$AH$266,'Jun'!$D$27:$AH$266,'Jul'!$D$27:$AH$266,'Aug'!$D$27:$AH$266,'Sep'!$D$27:$AH$266,'Oct'!$D$27:$AH$266,'Nov'!$D$27:$AH$266,'Dec'!$D$27:$AH$266,'Jan (next year)'!$D$27:$AH$266),27+4*(IFERROR(MATCH(C1464,Roster!$B$6:$B$65,0),MATCH(C1464,Roster!$C$6:$C$65,0))-1)+MATCH(B1464,{"AM","PM","NIGHT","WD"},0)-1-27+1,DAY(A1464))&amp;"",""))</f>
        <v/>
      </c>
      <c r="G1464" s="123">
        <f>IF(OR(A1464="",C1464="",B1464="",E1464=""),"",IFERROR(A1464&amp;"|"&amp;(27+4*(IFERROR(MATCH(C1464,Roster!$B$6:$B$65,0),MATCH(C1464,Roster!$C$6:$C$65,0))-1)+MATCH(B1464,{"AM","PM","NIGHT","WD"},0)-1),""))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$266,'Feb'!$D$27:$AH$266,'Mar'!$D$27:$AH$266,'Apr'!$D$27:$AH$266,'May'!$D$27:$AH$266,'Jun'!$D$27:$AH$266,'Jul'!$D$27:$AH$266,'Aug'!$D$27:$AH$266,'Sep'!$D$27:$AH$266,'Oct'!$D$27:$AH$266,'Nov'!$D$27:$AH$266,'Dec'!$D$27:$AH$266,'Jan (next year)'!$D$27:$AH$266),27+4*(IFERROR(MATCH(C1465,Roster!$B$6:$B$65,0),MATCH(C1465,Roster!$C$6:$C$65,0))-1)+MATCH(B1465,{"AM","PM","NIGHT","WD"},0)-1-27+1,DAY(A1465))&amp;"",""))</f>
        <v/>
      </c>
      <c r="G1465" s="123">
        <f>IF(OR(A1465="",C1465="",B1465="",E1465=""),"",IFERROR(A1465&amp;"|"&amp;(27+4*(IFERROR(MATCH(C1465,Roster!$B$6:$B$65,0),MATCH(C1465,Roster!$C$6:$C$65,0))-1)+MATCH(B1465,{"AM","PM","NIGHT","WD"},0)-1),""))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$266,'Feb'!$D$27:$AH$266,'Mar'!$D$27:$AH$266,'Apr'!$D$27:$AH$266,'May'!$D$27:$AH$266,'Jun'!$D$27:$AH$266,'Jul'!$D$27:$AH$266,'Aug'!$D$27:$AH$266,'Sep'!$D$27:$AH$266,'Oct'!$D$27:$AH$266,'Nov'!$D$27:$AH$266,'Dec'!$D$27:$AH$266,'Jan (next year)'!$D$27:$AH$266),27+4*(IFERROR(MATCH(C1466,Roster!$B$6:$B$65,0),MATCH(C1466,Roster!$C$6:$C$65,0))-1)+MATCH(B1466,{"AM","PM","NIGHT","WD"},0)-1-27+1,DAY(A1466))&amp;"",""))</f>
        <v/>
      </c>
      <c r="G1466" s="123">
        <f>IF(OR(A1466="",C1466="",B1466="",E1466=""),"",IFERROR(A1466&amp;"|"&amp;(27+4*(IFERROR(MATCH(C1466,Roster!$B$6:$B$65,0),MATCH(C1466,Roster!$C$6:$C$65,0))-1)+MATCH(B1466,{"AM","PM","NIGHT","WD"},0)-1),""))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$266,'Feb'!$D$27:$AH$266,'Mar'!$D$27:$AH$266,'Apr'!$D$27:$AH$266,'May'!$D$27:$AH$266,'Jun'!$D$27:$AH$266,'Jul'!$D$27:$AH$266,'Aug'!$D$27:$AH$266,'Sep'!$D$27:$AH$266,'Oct'!$D$27:$AH$266,'Nov'!$D$27:$AH$266,'Dec'!$D$27:$AH$266,'Jan (next year)'!$D$27:$AH$266),27+4*(IFERROR(MATCH(C1467,Roster!$B$6:$B$65,0),MATCH(C1467,Roster!$C$6:$C$65,0))-1)+MATCH(B1467,{"AM","PM","NIGHT","WD"},0)-1-27+1,DAY(A1467))&amp;"",""))</f>
        <v/>
      </c>
      <c r="G1467" s="123">
        <f>IF(OR(A1467="",C1467="",B1467="",E1467=""),"",IFERROR(A1467&amp;"|"&amp;(27+4*(IFERROR(MATCH(C1467,Roster!$B$6:$B$65,0),MATCH(C1467,Roster!$C$6:$C$65,0))-1)+MATCH(B1467,{"AM","PM","NIGHT","WD"},0)-1),""))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$266,'Feb'!$D$27:$AH$266,'Mar'!$D$27:$AH$266,'Apr'!$D$27:$AH$266,'May'!$D$27:$AH$266,'Jun'!$D$27:$AH$266,'Jul'!$D$27:$AH$266,'Aug'!$D$27:$AH$266,'Sep'!$D$27:$AH$266,'Oct'!$D$27:$AH$266,'Nov'!$D$27:$AH$266,'Dec'!$D$27:$AH$266,'Jan (next year)'!$D$27:$AH$266),27+4*(IFERROR(MATCH(C1468,Roster!$B$6:$B$65,0),MATCH(C1468,Roster!$C$6:$C$65,0))-1)+MATCH(B1468,{"AM","PM","NIGHT","WD"},0)-1-27+1,DAY(A1468))&amp;"",""))</f>
        <v/>
      </c>
      <c r="G1468" s="123">
        <f>IF(OR(A1468="",C1468="",B1468="",E1468=""),"",IFERROR(A1468&amp;"|"&amp;(27+4*(IFERROR(MATCH(C1468,Roster!$B$6:$B$65,0),MATCH(C1468,Roster!$C$6:$C$65,0))-1)+MATCH(B1468,{"AM","PM","NIGHT","WD"},0)-1),""))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$266,'Feb'!$D$27:$AH$266,'Mar'!$D$27:$AH$266,'Apr'!$D$27:$AH$266,'May'!$D$27:$AH$266,'Jun'!$D$27:$AH$266,'Jul'!$D$27:$AH$266,'Aug'!$D$27:$AH$266,'Sep'!$D$27:$AH$266,'Oct'!$D$27:$AH$266,'Nov'!$D$27:$AH$266,'Dec'!$D$27:$AH$266,'Jan (next year)'!$D$27:$AH$266),27+4*(IFERROR(MATCH(C1469,Roster!$B$6:$B$65,0),MATCH(C1469,Roster!$C$6:$C$65,0))-1)+MATCH(B1469,{"AM","PM","NIGHT","WD"},0)-1-27+1,DAY(A1469))&amp;"",""))</f>
        <v/>
      </c>
      <c r="G1469" s="123">
        <f>IF(OR(A1469="",C1469="",B1469="",E1469=""),"",IFERROR(A1469&amp;"|"&amp;(27+4*(IFERROR(MATCH(C1469,Roster!$B$6:$B$65,0),MATCH(C1469,Roster!$C$6:$C$65,0))-1)+MATCH(B1469,{"AM","PM","NIGHT","WD"},0)-1),""))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$266,'Feb'!$D$27:$AH$266,'Mar'!$D$27:$AH$266,'Apr'!$D$27:$AH$266,'May'!$D$27:$AH$266,'Jun'!$D$27:$AH$266,'Jul'!$D$27:$AH$266,'Aug'!$D$27:$AH$266,'Sep'!$D$27:$AH$266,'Oct'!$D$27:$AH$266,'Nov'!$D$27:$AH$266,'Dec'!$D$27:$AH$266,'Jan (next year)'!$D$27:$AH$266),27+4*(IFERROR(MATCH(C1470,Roster!$B$6:$B$65,0),MATCH(C1470,Roster!$C$6:$C$65,0))-1)+MATCH(B1470,{"AM","PM","NIGHT","WD"},0)-1-27+1,DAY(A1470))&amp;"",""))</f>
        <v/>
      </c>
      <c r="G1470" s="123">
        <f>IF(OR(A1470="",C1470="",B1470="",E1470=""),"",IFERROR(A1470&amp;"|"&amp;(27+4*(IFERROR(MATCH(C1470,Roster!$B$6:$B$65,0),MATCH(C1470,Roster!$C$6:$C$65,0))-1)+MATCH(B1470,{"AM","PM","NIGHT","WD"},0)-1),""))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$266,'Feb'!$D$27:$AH$266,'Mar'!$D$27:$AH$266,'Apr'!$D$27:$AH$266,'May'!$D$27:$AH$266,'Jun'!$D$27:$AH$266,'Jul'!$D$27:$AH$266,'Aug'!$D$27:$AH$266,'Sep'!$D$27:$AH$266,'Oct'!$D$27:$AH$266,'Nov'!$D$27:$AH$266,'Dec'!$D$27:$AH$266,'Jan (next year)'!$D$27:$AH$266),27+4*(IFERROR(MATCH(C1471,Roster!$B$6:$B$65,0),MATCH(C1471,Roster!$C$6:$C$65,0))-1)+MATCH(B1471,{"AM","PM","NIGHT","WD"},0)-1-27+1,DAY(A1471))&amp;"",""))</f>
        <v/>
      </c>
      <c r="G1471" s="123">
        <f>IF(OR(A1471="",C1471="",B1471="",E1471=""),"",IFERROR(A1471&amp;"|"&amp;(27+4*(IFERROR(MATCH(C1471,Roster!$B$6:$B$65,0),MATCH(C1471,Roster!$C$6:$C$65,0))-1)+MATCH(B1471,{"AM","PM","NIGHT","WD"},0)-1),""))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$266,'Feb'!$D$27:$AH$266,'Mar'!$D$27:$AH$266,'Apr'!$D$27:$AH$266,'May'!$D$27:$AH$266,'Jun'!$D$27:$AH$266,'Jul'!$D$27:$AH$266,'Aug'!$D$27:$AH$266,'Sep'!$D$27:$AH$266,'Oct'!$D$27:$AH$266,'Nov'!$D$27:$AH$266,'Dec'!$D$27:$AH$266,'Jan (next year)'!$D$27:$AH$266),27+4*(IFERROR(MATCH(C1472,Roster!$B$6:$B$65,0),MATCH(C1472,Roster!$C$6:$C$65,0))-1)+MATCH(B1472,{"AM","PM","NIGHT","WD"},0)-1-27+1,DAY(A1472))&amp;"",""))</f>
        <v/>
      </c>
      <c r="G1472" s="123">
        <f>IF(OR(A1472="",C1472="",B1472="",E1472=""),"",IFERROR(A1472&amp;"|"&amp;(27+4*(IFERROR(MATCH(C1472,Roster!$B$6:$B$65,0),MATCH(C1472,Roster!$C$6:$C$65,0))-1)+MATCH(B1472,{"AM","PM","NIGHT","WD"},0)-1),""))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$266,'Feb'!$D$27:$AH$266,'Mar'!$D$27:$AH$266,'Apr'!$D$27:$AH$266,'May'!$D$27:$AH$266,'Jun'!$D$27:$AH$266,'Jul'!$D$27:$AH$266,'Aug'!$D$27:$AH$266,'Sep'!$D$27:$AH$266,'Oct'!$D$27:$AH$266,'Nov'!$D$27:$AH$266,'Dec'!$D$27:$AH$266,'Jan (next year)'!$D$27:$AH$266),27+4*(IFERROR(MATCH(C1473,Roster!$B$6:$B$65,0),MATCH(C1473,Roster!$C$6:$C$65,0))-1)+MATCH(B1473,{"AM","PM","NIGHT","WD"},0)-1-27+1,DAY(A1473))&amp;"",""))</f>
        <v/>
      </c>
      <c r="G1473" s="123">
        <f>IF(OR(A1473="",C1473="",B1473="",E1473=""),"",IFERROR(A1473&amp;"|"&amp;(27+4*(IFERROR(MATCH(C1473,Roster!$B$6:$B$65,0),MATCH(C1473,Roster!$C$6:$C$65,0))-1)+MATCH(B1473,{"AM","PM","NIGHT","WD"},0)-1),""))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$266,'Feb'!$D$27:$AH$266,'Mar'!$D$27:$AH$266,'Apr'!$D$27:$AH$266,'May'!$D$27:$AH$266,'Jun'!$D$27:$AH$266,'Jul'!$D$27:$AH$266,'Aug'!$D$27:$AH$266,'Sep'!$D$27:$AH$266,'Oct'!$D$27:$AH$266,'Nov'!$D$27:$AH$266,'Dec'!$D$27:$AH$266,'Jan (next year)'!$D$27:$AH$266),27+4*(IFERROR(MATCH(C1474,Roster!$B$6:$B$65,0),MATCH(C1474,Roster!$C$6:$C$65,0))-1)+MATCH(B1474,{"AM","PM","NIGHT","WD"},0)-1-27+1,DAY(A1474))&amp;"",""))</f>
        <v/>
      </c>
      <c r="G1474" s="123">
        <f>IF(OR(A1474="",C1474="",B1474="",E1474=""),"",IFERROR(A1474&amp;"|"&amp;(27+4*(IFERROR(MATCH(C1474,Roster!$B$6:$B$65,0),MATCH(C1474,Roster!$C$6:$C$65,0))-1)+MATCH(B1474,{"AM","PM","NIGHT","WD"},0)-1),""))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$266,'Feb'!$D$27:$AH$266,'Mar'!$D$27:$AH$266,'Apr'!$D$27:$AH$266,'May'!$D$27:$AH$266,'Jun'!$D$27:$AH$266,'Jul'!$D$27:$AH$266,'Aug'!$D$27:$AH$266,'Sep'!$D$27:$AH$266,'Oct'!$D$27:$AH$266,'Nov'!$D$27:$AH$266,'Dec'!$D$27:$AH$266,'Jan (next year)'!$D$27:$AH$266),27+4*(IFERROR(MATCH(C1475,Roster!$B$6:$B$65,0),MATCH(C1475,Roster!$C$6:$C$65,0))-1)+MATCH(B1475,{"AM","PM","NIGHT","WD"},0)-1-27+1,DAY(A1475))&amp;"",""))</f>
        <v/>
      </c>
      <c r="G1475" s="123">
        <f>IF(OR(A1475="",C1475="",B1475="",E1475=""),"",IFERROR(A1475&amp;"|"&amp;(27+4*(IFERROR(MATCH(C1475,Roster!$B$6:$B$65,0),MATCH(C1475,Roster!$C$6:$C$65,0))-1)+MATCH(B1475,{"AM","PM","NIGHT","WD"},0)-1),""))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$266,'Feb'!$D$27:$AH$266,'Mar'!$D$27:$AH$266,'Apr'!$D$27:$AH$266,'May'!$D$27:$AH$266,'Jun'!$D$27:$AH$266,'Jul'!$D$27:$AH$266,'Aug'!$D$27:$AH$266,'Sep'!$D$27:$AH$266,'Oct'!$D$27:$AH$266,'Nov'!$D$27:$AH$266,'Dec'!$D$27:$AH$266,'Jan (next year)'!$D$27:$AH$266),27+4*(IFERROR(MATCH(C1476,Roster!$B$6:$B$65,0),MATCH(C1476,Roster!$C$6:$C$65,0))-1)+MATCH(B1476,{"AM","PM","NIGHT","WD"},0)-1-27+1,DAY(A1476))&amp;"",""))</f>
        <v/>
      </c>
      <c r="G1476" s="123">
        <f>IF(OR(A1476="",C1476="",B1476="",E1476=""),"",IFERROR(A1476&amp;"|"&amp;(27+4*(IFERROR(MATCH(C1476,Roster!$B$6:$B$65,0),MATCH(C1476,Roster!$C$6:$C$65,0))-1)+MATCH(B1476,{"AM","PM","NIGHT","WD"},0)-1),""))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$266,'Feb'!$D$27:$AH$266,'Mar'!$D$27:$AH$266,'Apr'!$D$27:$AH$266,'May'!$D$27:$AH$266,'Jun'!$D$27:$AH$266,'Jul'!$D$27:$AH$266,'Aug'!$D$27:$AH$266,'Sep'!$D$27:$AH$266,'Oct'!$D$27:$AH$266,'Nov'!$D$27:$AH$266,'Dec'!$D$27:$AH$266,'Jan (next year)'!$D$27:$AH$266),27+4*(IFERROR(MATCH(C1477,Roster!$B$6:$B$65,0),MATCH(C1477,Roster!$C$6:$C$65,0))-1)+MATCH(B1477,{"AM","PM","NIGHT","WD"},0)-1-27+1,DAY(A1477))&amp;"",""))</f>
        <v/>
      </c>
      <c r="G1477" s="123">
        <f>IF(OR(A1477="",C1477="",B1477="",E1477=""),"",IFERROR(A1477&amp;"|"&amp;(27+4*(IFERROR(MATCH(C1477,Roster!$B$6:$B$65,0),MATCH(C1477,Roster!$C$6:$C$65,0))-1)+MATCH(B1477,{"AM","PM","NIGHT","WD"},0)-1),""))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$266,'Feb'!$D$27:$AH$266,'Mar'!$D$27:$AH$266,'Apr'!$D$27:$AH$266,'May'!$D$27:$AH$266,'Jun'!$D$27:$AH$266,'Jul'!$D$27:$AH$266,'Aug'!$D$27:$AH$266,'Sep'!$D$27:$AH$266,'Oct'!$D$27:$AH$266,'Nov'!$D$27:$AH$266,'Dec'!$D$27:$AH$266,'Jan (next year)'!$D$27:$AH$266),27+4*(IFERROR(MATCH(C1478,Roster!$B$6:$B$65,0),MATCH(C1478,Roster!$C$6:$C$65,0))-1)+MATCH(B1478,{"AM","PM","NIGHT","WD"},0)-1-27+1,DAY(A1478))&amp;"",""))</f>
        <v/>
      </c>
      <c r="G1478" s="123">
        <f>IF(OR(A1478="",C1478="",B1478="",E1478=""),"",IFERROR(A1478&amp;"|"&amp;(27+4*(IFERROR(MATCH(C1478,Roster!$B$6:$B$65,0),MATCH(C1478,Roster!$C$6:$C$65,0))-1)+MATCH(B1478,{"AM","PM","NIGHT","WD"},0)-1),""))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$266,'Feb'!$D$27:$AH$266,'Mar'!$D$27:$AH$266,'Apr'!$D$27:$AH$266,'May'!$D$27:$AH$266,'Jun'!$D$27:$AH$266,'Jul'!$D$27:$AH$266,'Aug'!$D$27:$AH$266,'Sep'!$D$27:$AH$266,'Oct'!$D$27:$AH$266,'Nov'!$D$27:$AH$266,'Dec'!$D$27:$AH$266,'Jan (next year)'!$D$27:$AH$266),27+4*(IFERROR(MATCH(C1479,Roster!$B$6:$B$65,0),MATCH(C1479,Roster!$C$6:$C$65,0))-1)+MATCH(B1479,{"AM","PM","NIGHT","WD"},0)-1-27+1,DAY(A1479))&amp;"",""))</f>
        <v/>
      </c>
      <c r="G1479" s="123">
        <f>IF(OR(A1479="",C1479="",B1479="",E1479=""),"",IFERROR(A1479&amp;"|"&amp;(27+4*(IFERROR(MATCH(C1479,Roster!$B$6:$B$65,0),MATCH(C1479,Roster!$C$6:$C$65,0))-1)+MATCH(B1479,{"AM","PM","NIGHT","WD"},0)-1),""))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$266,'Feb'!$D$27:$AH$266,'Mar'!$D$27:$AH$266,'Apr'!$D$27:$AH$266,'May'!$D$27:$AH$266,'Jun'!$D$27:$AH$266,'Jul'!$D$27:$AH$266,'Aug'!$D$27:$AH$266,'Sep'!$D$27:$AH$266,'Oct'!$D$27:$AH$266,'Nov'!$D$27:$AH$266,'Dec'!$D$27:$AH$266,'Jan (next year)'!$D$27:$AH$266),27+4*(IFERROR(MATCH(C1480,Roster!$B$6:$B$65,0),MATCH(C1480,Roster!$C$6:$C$65,0))-1)+MATCH(B1480,{"AM","PM","NIGHT","WD"},0)-1-27+1,DAY(A1480))&amp;"",""))</f>
        <v/>
      </c>
      <c r="G1480" s="123">
        <f>IF(OR(A1480="",C1480="",B1480="",E1480=""),"",IFERROR(A1480&amp;"|"&amp;(27+4*(IFERROR(MATCH(C1480,Roster!$B$6:$B$65,0),MATCH(C1480,Roster!$C$6:$C$65,0))-1)+MATCH(B1480,{"AM","PM","NIGHT","WD"},0)-1),""))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$266,'Feb'!$D$27:$AH$266,'Mar'!$D$27:$AH$266,'Apr'!$D$27:$AH$266,'May'!$D$27:$AH$266,'Jun'!$D$27:$AH$266,'Jul'!$D$27:$AH$266,'Aug'!$D$27:$AH$266,'Sep'!$D$27:$AH$266,'Oct'!$D$27:$AH$266,'Nov'!$D$27:$AH$266,'Dec'!$D$27:$AH$266,'Jan (next year)'!$D$27:$AH$266),27+4*(IFERROR(MATCH(C1481,Roster!$B$6:$B$65,0),MATCH(C1481,Roster!$C$6:$C$65,0))-1)+MATCH(B1481,{"AM","PM","NIGHT","WD"},0)-1-27+1,DAY(A1481))&amp;"",""))</f>
        <v/>
      </c>
      <c r="G1481" s="123">
        <f>IF(OR(A1481="",C1481="",B1481="",E1481=""),"",IFERROR(A1481&amp;"|"&amp;(27+4*(IFERROR(MATCH(C1481,Roster!$B$6:$B$65,0),MATCH(C1481,Roster!$C$6:$C$65,0))-1)+MATCH(B1481,{"AM","PM","NIGHT","WD"},0)-1),""))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$266,'Feb'!$D$27:$AH$266,'Mar'!$D$27:$AH$266,'Apr'!$D$27:$AH$266,'May'!$D$27:$AH$266,'Jun'!$D$27:$AH$266,'Jul'!$D$27:$AH$266,'Aug'!$D$27:$AH$266,'Sep'!$D$27:$AH$266,'Oct'!$D$27:$AH$266,'Nov'!$D$27:$AH$266,'Dec'!$D$27:$AH$266,'Jan (next year)'!$D$27:$AH$266),27+4*(IFERROR(MATCH(C1482,Roster!$B$6:$B$65,0),MATCH(C1482,Roster!$C$6:$C$65,0))-1)+MATCH(B1482,{"AM","PM","NIGHT","WD"},0)-1-27+1,DAY(A1482))&amp;"",""))</f>
        <v/>
      </c>
      <c r="G1482" s="123">
        <f>IF(OR(A1482="",C1482="",B1482="",E1482=""),"",IFERROR(A1482&amp;"|"&amp;(27+4*(IFERROR(MATCH(C1482,Roster!$B$6:$B$65,0),MATCH(C1482,Roster!$C$6:$C$65,0))-1)+MATCH(B1482,{"AM","PM","NIGHT","WD"},0)-1),""))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$266,'Feb'!$D$27:$AH$266,'Mar'!$D$27:$AH$266,'Apr'!$D$27:$AH$266,'May'!$D$27:$AH$266,'Jun'!$D$27:$AH$266,'Jul'!$D$27:$AH$266,'Aug'!$D$27:$AH$266,'Sep'!$D$27:$AH$266,'Oct'!$D$27:$AH$266,'Nov'!$D$27:$AH$266,'Dec'!$D$27:$AH$266,'Jan (next year)'!$D$27:$AH$266),27+4*(IFERROR(MATCH(C1483,Roster!$B$6:$B$65,0),MATCH(C1483,Roster!$C$6:$C$65,0))-1)+MATCH(B1483,{"AM","PM","NIGHT","WD"},0)-1-27+1,DAY(A1483))&amp;"",""))</f>
        <v/>
      </c>
      <c r="G1483" s="123">
        <f>IF(OR(A1483="",C1483="",B1483="",E1483=""),"",IFERROR(A1483&amp;"|"&amp;(27+4*(IFERROR(MATCH(C1483,Roster!$B$6:$B$65,0),MATCH(C1483,Roster!$C$6:$C$65,0))-1)+MATCH(B1483,{"AM","PM","NIGHT","WD"},0)-1),""))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$266,'Feb'!$D$27:$AH$266,'Mar'!$D$27:$AH$266,'Apr'!$D$27:$AH$266,'May'!$D$27:$AH$266,'Jun'!$D$27:$AH$266,'Jul'!$D$27:$AH$266,'Aug'!$D$27:$AH$266,'Sep'!$D$27:$AH$266,'Oct'!$D$27:$AH$266,'Nov'!$D$27:$AH$266,'Dec'!$D$27:$AH$266,'Jan (next year)'!$D$27:$AH$266),27+4*(IFERROR(MATCH(C1484,Roster!$B$6:$B$65,0),MATCH(C1484,Roster!$C$6:$C$65,0))-1)+MATCH(B1484,{"AM","PM","NIGHT","WD"},0)-1-27+1,DAY(A1484))&amp;"",""))</f>
        <v/>
      </c>
      <c r="G1484" s="123">
        <f>IF(OR(A1484="",C1484="",B1484="",E1484=""),"",IFERROR(A1484&amp;"|"&amp;(27+4*(IFERROR(MATCH(C1484,Roster!$B$6:$B$65,0),MATCH(C1484,Roster!$C$6:$C$65,0))-1)+MATCH(B1484,{"AM","PM","NIGHT","WD"},0)-1),""))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$266,'Feb'!$D$27:$AH$266,'Mar'!$D$27:$AH$266,'Apr'!$D$27:$AH$266,'May'!$D$27:$AH$266,'Jun'!$D$27:$AH$266,'Jul'!$D$27:$AH$266,'Aug'!$D$27:$AH$266,'Sep'!$D$27:$AH$266,'Oct'!$D$27:$AH$266,'Nov'!$D$27:$AH$266,'Dec'!$D$27:$AH$266,'Jan (next year)'!$D$27:$AH$266),27+4*(IFERROR(MATCH(C1485,Roster!$B$6:$B$65,0),MATCH(C1485,Roster!$C$6:$C$65,0))-1)+MATCH(B1485,{"AM","PM","NIGHT","WD"},0)-1-27+1,DAY(A1485))&amp;"",""))</f>
        <v/>
      </c>
      <c r="G1485" s="123">
        <f>IF(OR(A1485="",C1485="",B1485="",E1485=""),"",IFERROR(A1485&amp;"|"&amp;(27+4*(IFERROR(MATCH(C1485,Roster!$B$6:$B$65,0),MATCH(C1485,Roster!$C$6:$C$65,0))-1)+MATCH(B1485,{"AM","PM","NIGHT","WD"},0)-1),""))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$266,'Feb'!$D$27:$AH$266,'Mar'!$D$27:$AH$266,'Apr'!$D$27:$AH$266,'May'!$D$27:$AH$266,'Jun'!$D$27:$AH$266,'Jul'!$D$27:$AH$266,'Aug'!$D$27:$AH$266,'Sep'!$D$27:$AH$266,'Oct'!$D$27:$AH$266,'Nov'!$D$27:$AH$266,'Dec'!$D$27:$AH$266,'Jan (next year)'!$D$27:$AH$266),27+4*(IFERROR(MATCH(C1486,Roster!$B$6:$B$65,0),MATCH(C1486,Roster!$C$6:$C$65,0))-1)+MATCH(B1486,{"AM","PM","NIGHT","WD"},0)-1-27+1,DAY(A1486))&amp;"",""))</f>
        <v/>
      </c>
      <c r="G1486" s="123">
        <f>IF(OR(A1486="",C1486="",B1486="",E1486=""),"",IFERROR(A1486&amp;"|"&amp;(27+4*(IFERROR(MATCH(C1486,Roster!$B$6:$B$65,0),MATCH(C1486,Roster!$C$6:$C$65,0))-1)+MATCH(B1486,{"AM","PM","NIGHT","WD"},0)-1),""))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$266,'Feb'!$D$27:$AH$266,'Mar'!$D$27:$AH$266,'Apr'!$D$27:$AH$266,'May'!$D$27:$AH$266,'Jun'!$D$27:$AH$266,'Jul'!$D$27:$AH$266,'Aug'!$D$27:$AH$266,'Sep'!$D$27:$AH$266,'Oct'!$D$27:$AH$266,'Nov'!$D$27:$AH$266,'Dec'!$D$27:$AH$266,'Jan (next year)'!$D$27:$AH$266),27+4*(IFERROR(MATCH(C1487,Roster!$B$6:$B$65,0),MATCH(C1487,Roster!$C$6:$C$65,0))-1)+MATCH(B1487,{"AM","PM","NIGHT","WD"},0)-1-27+1,DAY(A1487))&amp;"",""))</f>
        <v/>
      </c>
      <c r="G1487" s="123">
        <f>IF(OR(A1487="",C1487="",B1487="",E1487=""),"",IFERROR(A1487&amp;"|"&amp;(27+4*(IFERROR(MATCH(C1487,Roster!$B$6:$B$65,0),MATCH(C1487,Roster!$C$6:$C$65,0))-1)+MATCH(B1487,{"AM","PM","NIGHT","WD"},0)-1),""))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$266,'Feb'!$D$27:$AH$266,'Mar'!$D$27:$AH$266,'Apr'!$D$27:$AH$266,'May'!$D$27:$AH$266,'Jun'!$D$27:$AH$266,'Jul'!$D$27:$AH$266,'Aug'!$D$27:$AH$266,'Sep'!$D$27:$AH$266,'Oct'!$D$27:$AH$266,'Nov'!$D$27:$AH$266,'Dec'!$D$27:$AH$266,'Jan (next year)'!$D$27:$AH$266),27+4*(IFERROR(MATCH(C1488,Roster!$B$6:$B$65,0),MATCH(C1488,Roster!$C$6:$C$65,0))-1)+MATCH(B1488,{"AM","PM","NIGHT","WD"},0)-1-27+1,DAY(A1488))&amp;"",""))</f>
        <v/>
      </c>
      <c r="G1488" s="123">
        <f>IF(OR(A1488="",C1488="",B1488="",E1488=""),"",IFERROR(A1488&amp;"|"&amp;(27+4*(IFERROR(MATCH(C1488,Roster!$B$6:$B$65,0),MATCH(C1488,Roster!$C$6:$C$65,0))-1)+MATCH(B1488,{"AM","PM","NIGHT","WD"},0)-1),""))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$266,'Feb'!$D$27:$AH$266,'Mar'!$D$27:$AH$266,'Apr'!$D$27:$AH$266,'May'!$D$27:$AH$266,'Jun'!$D$27:$AH$266,'Jul'!$D$27:$AH$266,'Aug'!$D$27:$AH$266,'Sep'!$D$27:$AH$266,'Oct'!$D$27:$AH$266,'Nov'!$D$27:$AH$266,'Dec'!$D$27:$AH$266,'Jan (next year)'!$D$27:$AH$266),27+4*(IFERROR(MATCH(C1489,Roster!$B$6:$B$65,0),MATCH(C1489,Roster!$C$6:$C$65,0))-1)+MATCH(B1489,{"AM","PM","NIGHT","WD"},0)-1-27+1,DAY(A1489))&amp;"",""))</f>
        <v/>
      </c>
      <c r="G1489" s="123">
        <f>IF(OR(A1489="",C1489="",B1489="",E1489=""),"",IFERROR(A1489&amp;"|"&amp;(27+4*(IFERROR(MATCH(C1489,Roster!$B$6:$B$65,0),MATCH(C1489,Roster!$C$6:$C$65,0))-1)+MATCH(B1489,{"AM","PM","NIGHT","WD"},0)-1),""))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$266,'Feb'!$D$27:$AH$266,'Mar'!$D$27:$AH$266,'Apr'!$D$27:$AH$266,'May'!$D$27:$AH$266,'Jun'!$D$27:$AH$266,'Jul'!$D$27:$AH$266,'Aug'!$D$27:$AH$266,'Sep'!$D$27:$AH$266,'Oct'!$D$27:$AH$266,'Nov'!$D$27:$AH$266,'Dec'!$D$27:$AH$266,'Jan (next year)'!$D$27:$AH$266),27+4*(IFERROR(MATCH(C1490,Roster!$B$6:$B$65,0),MATCH(C1490,Roster!$C$6:$C$65,0))-1)+MATCH(B1490,{"AM","PM","NIGHT","WD"},0)-1-27+1,DAY(A1490))&amp;"",""))</f>
        <v/>
      </c>
      <c r="G1490" s="123">
        <f>IF(OR(A1490="",C1490="",B1490="",E1490=""),"",IFERROR(A1490&amp;"|"&amp;(27+4*(IFERROR(MATCH(C1490,Roster!$B$6:$B$65,0),MATCH(C1490,Roster!$C$6:$C$65,0))-1)+MATCH(B1490,{"AM","PM","NIGHT","WD"},0)-1),""))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$266,'Feb'!$D$27:$AH$266,'Mar'!$D$27:$AH$266,'Apr'!$D$27:$AH$266,'May'!$D$27:$AH$266,'Jun'!$D$27:$AH$266,'Jul'!$D$27:$AH$266,'Aug'!$D$27:$AH$266,'Sep'!$D$27:$AH$266,'Oct'!$D$27:$AH$266,'Nov'!$D$27:$AH$266,'Dec'!$D$27:$AH$266,'Jan (next year)'!$D$27:$AH$266),27+4*(IFERROR(MATCH(C1491,Roster!$B$6:$B$65,0),MATCH(C1491,Roster!$C$6:$C$65,0))-1)+MATCH(B1491,{"AM","PM","NIGHT","WD"},0)-1-27+1,DAY(A1491))&amp;"",""))</f>
        <v/>
      </c>
      <c r="G1491" s="123">
        <f>IF(OR(A1491="",C1491="",B1491="",E1491=""),"",IFERROR(A1491&amp;"|"&amp;(27+4*(IFERROR(MATCH(C1491,Roster!$B$6:$B$65,0),MATCH(C1491,Roster!$C$6:$C$65,0))-1)+MATCH(B1491,{"AM","PM","NIGHT","WD"},0)-1),""))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$266,'Feb'!$D$27:$AH$266,'Mar'!$D$27:$AH$266,'Apr'!$D$27:$AH$266,'May'!$D$27:$AH$266,'Jun'!$D$27:$AH$266,'Jul'!$D$27:$AH$266,'Aug'!$D$27:$AH$266,'Sep'!$D$27:$AH$266,'Oct'!$D$27:$AH$266,'Nov'!$D$27:$AH$266,'Dec'!$D$27:$AH$266,'Jan (next year)'!$D$27:$AH$266),27+4*(IFERROR(MATCH(C1492,Roster!$B$6:$B$65,0),MATCH(C1492,Roster!$C$6:$C$65,0))-1)+MATCH(B1492,{"AM","PM","NIGHT","WD"},0)-1-27+1,DAY(A1492))&amp;"",""))</f>
        <v/>
      </c>
      <c r="G1492" s="123">
        <f>IF(OR(A1492="",C1492="",B1492="",E1492=""),"",IFERROR(A1492&amp;"|"&amp;(27+4*(IFERROR(MATCH(C1492,Roster!$B$6:$B$65,0),MATCH(C1492,Roster!$C$6:$C$65,0))-1)+MATCH(B1492,{"AM","PM","NIGHT","WD"},0)-1),""))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$266,'Feb'!$D$27:$AH$266,'Mar'!$D$27:$AH$266,'Apr'!$D$27:$AH$266,'May'!$D$27:$AH$266,'Jun'!$D$27:$AH$266,'Jul'!$D$27:$AH$266,'Aug'!$D$27:$AH$266,'Sep'!$D$27:$AH$266,'Oct'!$D$27:$AH$266,'Nov'!$D$27:$AH$266,'Dec'!$D$27:$AH$266,'Jan (next year)'!$D$27:$AH$266),27+4*(IFERROR(MATCH(C1493,Roster!$B$6:$B$65,0),MATCH(C1493,Roster!$C$6:$C$65,0))-1)+MATCH(B1493,{"AM","PM","NIGHT","WD"},0)-1-27+1,DAY(A1493))&amp;"",""))</f>
        <v/>
      </c>
      <c r="G1493" s="123">
        <f>IF(OR(A1493="",C1493="",B1493="",E1493=""),"",IFERROR(A1493&amp;"|"&amp;(27+4*(IFERROR(MATCH(C1493,Roster!$B$6:$B$65,0),MATCH(C1493,Roster!$C$6:$C$65,0))-1)+MATCH(B1493,{"AM","PM","NIGHT","WD"},0)-1),""))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$266,'Feb'!$D$27:$AH$266,'Mar'!$D$27:$AH$266,'Apr'!$D$27:$AH$266,'May'!$D$27:$AH$266,'Jun'!$D$27:$AH$266,'Jul'!$D$27:$AH$266,'Aug'!$D$27:$AH$266,'Sep'!$D$27:$AH$266,'Oct'!$D$27:$AH$266,'Nov'!$D$27:$AH$266,'Dec'!$D$27:$AH$266,'Jan (next year)'!$D$27:$AH$266),27+4*(IFERROR(MATCH(C1494,Roster!$B$6:$B$65,0),MATCH(C1494,Roster!$C$6:$C$65,0))-1)+MATCH(B1494,{"AM","PM","NIGHT","WD"},0)-1-27+1,DAY(A1494))&amp;"",""))</f>
        <v/>
      </c>
      <c r="G1494" s="123">
        <f>IF(OR(A1494="",C1494="",B1494="",E1494=""),"",IFERROR(A1494&amp;"|"&amp;(27+4*(IFERROR(MATCH(C1494,Roster!$B$6:$B$65,0),MATCH(C1494,Roster!$C$6:$C$65,0))-1)+MATCH(B1494,{"AM","PM","NIGHT","WD"},0)-1),""))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$266,'Feb'!$D$27:$AH$266,'Mar'!$D$27:$AH$266,'Apr'!$D$27:$AH$266,'May'!$D$27:$AH$266,'Jun'!$D$27:$AH$266,'Jul'!$D$27:$AH$266,'Aug'!$D$27:$AH$266,'Sep'!$D$27:$AH$266,'Oct'!$D$27:$AH$266,'Nov'!$D$27:$AH$266,'Dec'!$D$27:$AH$266,'Jan (next year)'!$D$27:$AH$266),27+4*(IFERROR(MATCH(C1495,Roster!$B$6:$B$65,0),MATCH(C1495,Roster!$C$6:$C$65,0))-1)+MATCH(B1495,{"AM","PM","NIGHT","WD"},0)-1-27+1,DAY(A1495))&amp;"",""))</f>
        <v/>
      </c>
      <c r="G1495" s="123">
        <f>IF(OR(A1495="",C1495="",B1495="",E1495=""),"",IFERROR(A1495&amp;"|"&amp;(27+4*(IFERROR(MATCH(C1495,Roster!$B$6:$B$65,0),MATCH(C1495,Roster!$C$6:$C$65,0))-1)+MATCH(B1495,{"AM","PM","NIGHT","WD"},0)-1),""))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$266,'Feb'!$D$27:$AH$266,'Mar'!$D$27:$AH$266,'Apr'!$D$27:$AH$266,'May'!$D$27:$AH$266,'Jun'!$D$27:$AH$266,'Jul'!$D$27:$AH$266,'Aug'!$D$27:$AH$266,'Sep'!$D$27:$AH$266,'Oct'!$D$27:$AH$266,'Nov'!$D$27:$AH$266,'Dec'!$D$27:$AH$266,'Jan (next year)'!$D$27:$AH$266),27+4*(IFERROR(MATCH(C1496,Roster!$B$6:$B$65,0),MATCH(C1496,Roster!$C$6:$C$65,0))-1)+MATCH(B1496,{"AM","PM","NIGHT","WD"},0)-1-27+1,DAY(A1496))&amp;"",""))</f>
        <v/>
      </c>
      <c r="G1496" s="123">
        <f>IF(OR(A1496="",C1496="",B1496="",E1496=""),"",IFERROR(A1496&amp;"|"&amp;(27+4*(IFERROR(MATCH(C1496,Roster!$B$6:$B$65,0),MATCH(C1496,Roster!$C$6:$C$65,0))-1)+MATCH(B1496,{"AM","PM","NIGHT","WD"},0)-1),""))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$266,'Feb'!$D$27:$AH$266,'Mar'!$D$27:$AH$266,'Apr'!$D$27:$AH$266,'May'!$D$27:$AH$266,'Jun'!$D$27:$AH$266,'Jul'!$D$27:$AH$266,'Aug'!$D$27:$AH$266,'Sep'!$D$27:$AH$266,'Oct'!$D$27:$AH$266,'Nov'!$D$27:$AH$266,'Dec'!$D$27:$AH$266,'Jan (next year)'!$D$27:$AH$266),27+4*(IFERROR(MATCH(C1497,Roster!$B$6:$B$65,0),MATCH(C1497,Roster!$C$6:$C$65,0))-1)+MATCH(B1497,{"AM","PM","NIGHT","WD"},0)-1-27+1,DAY(A1497))&amp;"",""))</f>
        <v/>
      </c>
      <c r="G1497" s="123">
        <f>IF(OR(A1497="",C1497="",B1497="",E1497=""),"",IFERROR(A1497&amp;"|"&amp;(27+4*(IFERROR(MATCH(C1497,Roster!$B$6:$B$65,0),MATCH(C1497,Roster!$C$6:$C$65,0))-1)+MATCH(B1497,{"AM","PM","NIGHT","WD"},0)-1),""))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$266,'Feb'!$D$27:$AH$266,'Mar'!$D$27:$AH$266,'Apr'!$D$27:$AH$266,'May'!$D$27:$AH$266,'Jun'!$D$27:$AH$266,'Jul'!$D$27:$AH$266,'Aug'!$D$27:$AH$266,'Sep'!$D$27:$AH$266,'Oct'!$D$27:$AH$266,'Nov'!$D$27:$AH$266,'Dec'!$D$27:$AH$266,'Jan (next year)'!$D$27:$AH$266),27+4*(IFERROR(MATCH(C1498,Roster!$B$6:$B$65,0),MATCH(C1498,Roster!$C$6:$C$65,0))-1)+MATCH(B1498,{"AM","PM","NIGHT","WD"},0)-1-27+1,DAY(A1498))&amp;"",""))</f>
        <v/>
      </c>
      <c r="G1498" s="123">
        <f>IF(OR(A1498="",C1498="",B1498="",E1498=""),"",IFERROR(A1498&amp;"|"&amp;(27+4*(IFERROR(MATCH(C1498,Roster!$B$6:$B$65,0),MATCH(C1498,Roster!$C$6:$C$65,0))-1)+MATCH(B1498,{"AM","PM","NIGHT","WD"},0)-1),""))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$266,'Feb'!$D$27:$AH$266,'Mar'!$D$27:$AH$266,'Apr'!$D$27:$AH$266,'May'!$D$27:$AH$266,'Jun'!$D$27:$AH$266,'Jul'!$D$27:$AH$266,'Aug'!$D$27:$AH$266,'Sep'!$D$27:$AH$266,'Oct'!$D$27:$AH$266,'Nov'!$D$27:$AH$266,'Dec'!$D$27:$AH$266,'Jan (next year)'!$D$27:$AH$266),27+4*(IFERROR(MATCH(C1499,Roster!$B$6:$B$65,0),MATCH(C1499,Roster!$C$6:$C$65,0))-1)+MATCH(B1499,{"AM","PM","NIGHT","WD"},0)-1-27+1,DAY(A1499))&amp;"",""))</f>
        <v/>
      </c>
      <c r="G1499" s="123">
        <f>IF(OR(A1499="",C1499="",B1499="",E1499=""),"",IFERROR(A1499&amp;"|"&amp;(27+4*(IFERROR(MATCH(C1499,Roster!$B$6:$B$65,0),MATCH(C1499,Roster!$C$6:$C$65,0))-1)+MATCH(B1499,{"AM","PM","NIGHT","WD"},0)-1),""))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$266,'Feb'!$D$27:$AH$266,'Mar'!$D$27:$AH$266,'Apr'!$D$27:$AH$266,'May'!$D$27:$AH$266,'Jun'!$D$27:$AH$266,'Jul'!$D$27:$AH$266,'Aug'!$D$27:$AH$266,'Sep'!$D$27:$AH$266,'Oct'!$D$27:$AH$266,'Nov'!$D$27:$AH$266,'Dec'!$D$27:$AH$266,'Jan (next year)'!$D$27:$AH$266),27+4*(IFERROR(MATCH(C1500,Roster!$B$6:$B$65,0),MATCH(C1500,Roster!$C$6:$C$65,0))-1)+MATCH(B1500,{"AM","PM","NIGHT","WD"},0)-1-27+1,DAY(A1500))&amp;"",""))</f>
        <v/>
      </c>
      <c r="G1500" s="123">
        <f>IF(OR(A1500="",C1500="",B1500="",E1500=""),"",IFERROR(A1500&amp;"|"&amp;(27+4*(IFERROR(MATCH(C1500,Roster!$B$6:$B$65,0),MATCH(C1500,Roster!$C$6:$C$65,0))-1)+MATCH(B1500,{"AM","PM","NIGHT","WD"},0)-1),""))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$266,'Feb'!$D$27:$AH$266,'Mar'!$D$27:$AH$266,'Apr'!$D$27:$AH$266,'May'!$D$27:$AH$266,'Jun'!$D$27:$AH$266,'Jul'!$D$27:$AH$266,'Aug'!$D$27:$AH$266,'Sep'!$D$27:$AH$266,'Oct'!$D$27:$AH$266,'Nov'!$D$27:$AH$266,'Dec'!$D$27:$AH$266,'Jan (next year)'!$D$27:$AH$266),27+4*(IFERROR(MATCH(C1501,Roster!$B$6:$B$65,0),MATCH(C1501,Roster!$C$6:$C$65,0))-1)+MATCH(B1501,{"AM","PM","NIGHT","WD"},0)-1-27+1,DAY(A1501))&amp;"",""))</f>
        <v/>
      </c>
      <c r="G1501" s="123">
        <f>IF(OR(A1501="",C1501="",B1501="",E1501=""),"",IFERROR(A1501&amp;"|"&amp;(27+4*(IFERROR(MATCH(C1501,Roster!$B$6:$B$65,0),MATCH(C1501,Roster!$C$6:$C$65,0))-1)+MATCH(B1501,{"AM","PM","NIGHT","WD"},0)-1),""))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$266,'Feb'!$D$27:$AH$266,'Mar'!$D$27:$AH$266,'Apr'!$D$27:$AH$266,'May'!$D$27:$AH$266,'Jun'!$D$27:$AH$266,'Jul'!$D$27:$AH$266,'Aug'!$D$27:$AH$266,'Sep'!$D$27:$AH$266,'Oct'!$D$27:$AH$266,'Nov'!$D$27:$AH$266,'Dec'!$D$27:$AH$266,'Jan (next year)'!$D$27:$AH$266),27+4*(IFERROR(MATCH(C1502,Roster!$B$6:$B$65,0),MATCH(C1502,Roster!$C$6:$C$65,0))-1)+MATCH(B1502,{"AM","PM","NIGHT","WD"},0)-1-27+1,DAY(A1502))&amp;"",""))</f>
        <v/>
      </c>
      <c r="G1502" s="123">
        <f>IF(OR(A1502="",C1502="",B1502="",E1502=""),"",IFERROR(A1502&amp;"|"&amp;(27+4*(IFERROR(MATCH(C1502,Roster!$B$6:$B$65,0),MATCH(C1502,Roster!$C$6:$C$65,0))-1)+MATCH(B1502,{"AM","PM","NIGHT","WD"},0)-1),""))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$266,'Feb'!$D$27:$AH$266,'Mar'!$D$27:$AH$266,'Apr'!$D$27:$AH$266,'May'!$D$27:$AH$266,'Jun'!$D$27:$AH$266,'Jul'!$D$27:$AH$266,'Aug'!$D$27:$AH$266,'Sep'!$D$27:$AH$266,'Oct'!$D$27:$AH$266,'Nov'!$D$27:$AH$266,'Dec'!$D$27:$AH$266,'Jan (next year)'!$D$27:$AH$266),27+4*(IFERROR(MATCH(C1503,Roster!$B$6:$B$65,0),MATCH(C1503,Roster!$C$6:$C$65,0))-1)+MATCH(B1503,{"AM","PM","NIGHT","WD"},0)-1-27+1,DAY(A1503))&amp;"",""))</f>
        <v/>
      </c>
      <c r="G1503" s="123">
        <f>IF(OR(A1503="",C1503="",B1503="",E1503=""),"",IFERROR(A1503&amp;"|"&amp;(27+4*(IFERROR(MATCH(C1503,Roster!$B$6:$B$65,0),MATCH(C1503,Roster!$C$6:$C$65,0))-1)+MATCH(B1503,{"AM","PM","NIGHT","WD"},0)-1),""))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$266,'Feb'!$D$27:$AH$266,'Mar'!$D$27:$AH$266,'Apr'!$D$27:$AH$266,'May'!$D$27:$AH$266,'Jun'!$D$27:$AH$266,'Jul'!$D$27:$AH$266,'Aug'!$D$27:$AH$266,'Sep'!$D$27:$AH$266,'Oct'!$D$27:$AH$266,'Nov'!$D$27:$AH$266,'Dec'!$D$27:$AH$266,'Jan (next year)'!$D$27:$AH$266),27+4*(IFERROR(MATCH(C1504,Roster!$B$6:$B$65,0),MATCH(C1504,Roster!$C$6:$C$65,0))-1)+MATCH(B1504,{"AM","PM","NIGHT","WD"},0)-1-27+1,DAY(A1504))&amp;"",""))</f>
        <v/>
      </c>
      <c r="G1504" s="123">
        <f>IF(OR(A1504="",C1504="",B1504="",E1504=""),"",IFERROR(A1504&amp;"|"&amp;(27+4*(IFERROR(MATCH(C1504,Roster!$B$6:$B$65,0),MATCH(C1504,Roster!$C$6:$C$65,0))-1)+MATCH(B1504,{"AM","PM","NIGHT","WD"},0)-1),""))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$266,'Feb'!$D$27:$AH$266,'Mar'!$D$27:$AH$266,'Apr'!$D$27:$AH$266,'May'!$D$27:$AH$266,'Jun'!$D$27:$AH$266,'Jul'!$D$27:$AH$266,'Aug'!$D$27:$AH$266,'Sep'!$D$27:$AH$266,'Oct'!$D$27:$AH$266,'Nov'!$D$27:$AH$266,'Dec'!$D$27:$AH$266,'Jan (next year)'!$D$27:$AH$266),27+4*(IFERROR(MATCH(C1505,Roster!$B$6:$B$65,0),MATCH(C1505,Roster!$C$6:$C$65,0))-1)+MATCH(B1505,{"AM","PM","NIGHT","WD"},0)-1-27+1,DAY(A1505))&amp;"",""))</f>
        <v/>
      </c>
      <c r="G1505" s="123">
        <f>IF(OR(A1505="",C1505="",B1505="",E1505=""),"",IFERROR(A1505&amp;"|"&amp;(27+4*(IFERROR(MATCH(C1505,Roster!$B$6:$B$65,0),MATCH(C1505,Roster!$C$6:$C$65,0))-1)+MATCH(B1505,{"AM","PM","NIGHT","WD"},0)-1),""))</f>
        <v/>
      </c>
    </row>
  </sheetData>
  <autoFilter ref="A5:G1505"/>
  <mergeCells count="2">
    <mergeCell ref="A2:G2"/>
    <mergeCell ref="A1:G1"/>
  </mergeCells>
  <dataValidations count="2">
    <dataValidation sqref="B6:B1505" showDropDown="0" showInputMessage="0" showErrorMessage="0" allowBlank="1" type="list">
      <formula1>"AM,PM,NIGHT,WD"</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SUP 2</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SUP 2</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inlineStr">
        <is>
          <t>S2-SAMPLE1</t>
        </is>
      </c>
      <c r="B6" s="122" t="n"/>
      <c r="C6" s="95" t="n"/>
      <c r="D6" s="95" t="n"/>
      <c r="E6" s="95" t="n"/>
      <c r="F6" s="95" t="inlineStr">
        <is>
          <t>OWL needs a second sortie for Flight 3 next week, any PM</t>
        </is>
      </c>
      <c r="G6" s="124" t="n">
        <v>46297</v>
      </c>
    </row>
    <row r="7">
      <c r="A7" s="105" t="inlineStr">
        <is>
          <t>S2-SAMPLE2</t>
        </is>
      </c>
      <c r="B7" s="122" t="n"/>
      <c r="C7" s="95" t="n"/>
      <c r="D7" s="95" t="n"/>
      <c r="E7" s="95" t="n"/>
      <c r="F7" s="95" t="inlineStr">
        <is>
          <t>Can Friday's AM flight start 0900 instead? Ground school runs late</t>
        </is>
      </c>
      <c r="G7" s="124" t="n">
        <v>46296</v>
      </c>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"AM,PM,NIGHT,WD"</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SUP 2</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SUP 2</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SUP 2</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n"/>
      <c r="B10" s="106" t="n"/>
      <c r="C10" s="106" t="n"/>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SUP 2 (MISSION CREW)</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Intro</t>
        </is>
      </c>
      <c r="C6" s="107" t="n">
        <v>1</v>
      </c>
      <c r="D6" s="127" t="inlineStr">
        <is>
          <t>S2-O-INT1</t>
        </is>
      </c>
      <c r="E6" s="106" t="inlineStr">
        <is>
          <t>Demo Flight</t>
        </is>
      </c>
      <c r="F6" s="107" t="n"/>
      <c r="G6" s="106" t="n"/>
      <c r="H6" s="107" t="inlineStr">
        <is>
          <t>Flight</t>
        </is>
      </c>
    </row>
    <row r="7">
      <c r="A7" s="106" t="inlineStr">
        <is>
          <t>OCU</t>
        </is>
      </c>
      <c r="B7" s="107" t="inlineStr">
        <is>
          <t>Intro</t>
        </is>
      </c>
      <c r="C7" s="107" t="n">
        <v>2</v>
      </c>
      <c r="D7" s="127" t="inlineStr">
        <is>
          <t>S2-O-INT2</t>
        </is>
      </c>
      <c r="E7" s="106" t="inlineStr">
        <is>
          <t>TTX 1</t>
        </is>
      </c>
      <c r="F7" s="107" t="n"/>
      <c r="G7" s="106" t="n"/>
      <c r="H7" s="107" t="inlineStr">
        <is>
          <t>Ground</t>
        </is>
      </c>
    </row>
    <row r="8">
      <c r="A8" s="106" t="inlineStr">
        <is>
          <t>OCU</t>
        </is>
      </c>
      <c r="B8" s="107" t="inlineStr">
        <is>
          <t>Intro</t>
        </is>
      </c>
      <c r="C8" s="107" t="n">
        <v>3</v>
      </c>
      <c r="D8" s="127" t="inlineStr">
        <is>
          <t>S2-O-INT3</t>
        </is>
      </c>
      <c r="E8" s="106" t="inlineStr">
        <is>
          <t>TTX 2</t>
        </is>
      </c>
      <c r="F8" s="107" t="n"/>
      <c r="G8" s="106" t="n"/>
      <c r="H8" s="107" t="inlineStr">
        <is>
          <t>Ground</t>
        </is>
      </c>
    </row>
    <row r="9">
      <c r="A9" s="106" t="inlineStr">
        <is>
          <t>OCU</t>
        </is>
      </c>
      <c r="B9" s="107" t="inlineStr">
        <is>
          <t>Sims</t>
        </is>
      </c>
      <c r="C9" s="107" t="n">
        <v>1</v>
      </c>
      <c r="D9" s="127" t="inlineStr">
        <is>
          <t>S2-O-SIM1</t>
        </is>
      </c>
      <c r="E9" s="106" t="inlineStr">
        <is>
          <t>SIMS 1</t>
        </is>
      </c>
      <c r="F9" s="107" t="n"/>
      <c r="G9" s="106" t="n"/>
      <c r="H9" s="107" t="inlineStr">
        <is>
          <t>Sim</t>
        </is>
      </c>
    </row>
    <row r="10">
      <c r="A10" s="106" t="inlineStr">
        <is>
          <t>OCU</t>
        </is>
      </c>
      <c r="B10" s="107" t="inlineStr">
        <is>
          <t>Sims</t>
        </is>
      </c>
      <c r="C10" s="107" t="n">
        <v>2</v>
      </c>
      <c r="D10" s="127" t="inlineStr">
        <is>
          <t>S2-O-SIM2</t>
        </is>
      </c>
      <c r="E10" s="106" t="inlineStr">
        <is>
          <t>SIMS 2</t>
        </is>
      </c>
      <c r="F10" s="107" t="n"/>
      <c r="G10" s="106" t="n"/>
      <c r="H10" s="107" t="inlineStr">
        <is>
          <t>Sim</t>
        </is>
      </c>
    </row>
    <row r="11">
      <c r="A11" s="106" t="inlineStr">
        <is>
          <t>OCU</t>
        </is>
      </c>
      <c r="B11" s="107" t="inlineStr">
        <is>
          <t>Sims</t>
        </is>
      </c>
      <c r="C11" s="107" t="n">
        <v>3</v>
      </c>
      <c r="D11" s="127" t="inlineStr">
        <is>
          <t>S2-O-SIM3</t>
        </is>
      </c>
      <c r="E11" s="106" t="inlineStr">
        <is>
          <t>SIMS 3</t>
        </is>
      </c>
      <c r="F11" s="107" t="n"/>
      <c r="G11" s="106" t="n"/>
      <c r="H11" s="107" t="inlineStr">
        <is>
          <t>Sim</t>
        </is>
      </c>
    </row>
    <row r="12">
      <c r="A12" s="106" t="inlineStr">
        <is>
          <t>OCU</t>
        </is>
      </c>
      <c r="B12" s="107" t="inlineStr">
        <is>
          <t>Sims</t>
        </is>
      </c>
      <c r="C12" s="107" t="n">
        <v>4</v>
      </c>
      <c r="D12" s="127" t="inlineStr">
        <is>
          <t>S2-O-SIMCHK</t>
        </is>
      </c>
      <c r="E12" s="106" t="inlineStr">
        <is>
          <t>SIMS Check</t>
        </is>
      </c>
      <c r="F12" s="107" t="n"/>
      <c r="G12" s="106" t="n"/>
      <c r="H12" s="107" t="inlineStr">
        <is>
          <t>Sim</t>
        </is>
      </c>
    </row>
    <row r="13">
      <c r="A13" s="106" t="inlineStr">
        <is>
          <t>OCU</t>
        </is>
      </c>
      <c r="B13" s="107" t="inlineStr">
        <is>
          <t>Flight</t>
        </is>
      </c>
      <c r="C13" s="107" t="n">
        <v>1</v>
      </c>
      <c r="D13" s="127" t="inlineStr">
        <is>
          <t>S2-O-FLT1</t>
        </is>
      </c>
      <c r="E13" s="106" t="inlineStr">
        <is>
          <t>Flight 1</t>
        </is>
      </c>
      <c r="F13" s="107" t="n"/>
      <c r="G13" s="106" t="n"/>
      <c r="H13" s="107" t="inlineStr">
        <is>
          <t>Flight</t>
        </is>
      </c>
    </row>
    <row r="14">
      <c r="A14" s="106" t="inlineStr">
        <is>
          <t>OCU</t>
        </is>
      </c>
      <c r="B14" s="107" t="inlineStr">
        <is>
          <t>Flight</t>
        </is>
      </c>
      <c r="C14" s="107" t="n">
        <v>2</v>
      </c>
      <c r="D14" s="127" t="inlineStr">
        <is>
          <t>S2-O-FLT2</t>
        </is>
      </c>
      <c r="E14" s="106" t="inlineStr">
        <is>
          <t>Flight 2</t>
        </is>
      </c>
      <c r="F14" s="107" t="n"/>
      <c r="G14" s="106" t="n"/>
      <c r="H14" s="107" t="inlineStr">
        <is>
          <t>Flight</t>
        </is>
      </c>
    </row>
    <row r="15">
      <c r="A15" s="106" t="inlineStr">
        <is>
          <t>OCU</t>
        </is>
      </c>
      <c r="B15" s="107" t="inlineStr">
        <is>
          <t>Flight</t>
        </is>
      </c>
      <c r="C15" s="107" t="n">
        <v>3</v>
      </c>
      <c r="D15" s="127" t="inlineStr">
        <is>
          <t>S2-O-FLT3</t>
        </is>
      </c>
      <c r="E15" s="106" t="inlineStr">
        <is>
          <t>Flight 3</t>
        </is>
      </c>
      <c r="F15" s="107" t="n"/>
      <c r="G15" s="106" t="n"/>
      <c r="H15" s="107" t="inlineStr">
        <is>
          <t>Flight</t>
        </is>
      </c>
    </row>
    <row r="16">
      <c r="A16" s="106" t="inlineStr">
        <is>
          <t>OCU</t>
        </is>
      </c>
      <c r="B16" s="107" t="inlineStr">
        <is>
          <t>Flight</t>
        </is>
      </c>
      <c r="C16" s="107" t="n">
        <v>4</v>
      </c>
      <c r="D16" s="127" t="inlineStr">
        <is>
          <t>S2-O-FLT4</t>
        </is>
      </c>
      <c r="E16" s="106" t="inlineStr">
        <is>
          <t>Flight 4</t>
        </is>
      </c>
      <c r="F16" s="107" t="n"/>
      <c r="G16" s="106" t="n"/>
      <c r="H16" s="107" t="inlineStr">
        <is>
          <t>Flight</t>
        </is>
      </c>
    </row>
    <row r="17">
      <c r="A17" s="106" t="inlineStr">
        <is>
          <t>OCU</t>
        </is>
      </c>
      <c r="B17" s="107" t="inlineStr">
        <is>
          <t>Flight</t>
        </is>
      </c>
      <c r="C17" s="107" t="n">
        <v>5</v>
      </c>
      <c r="D17" s="127" t="inlineStr">
        <is>
          <t>S2-O-FLT5</t>
        </is>
      </c>
      <c r="E17" s="106" t="inlineStr">
        <is>
          <t>Flight 5</t>
        </is>
      </c>
      <c r="F17" s="107" t="n"/>
      <c r="G17" s="106" t="n"/>
      <c r="H17" s="107" t="inlineStr">
        <is>
          <t>Flight</t>
        </is>
      </c>
    </row>
    <row r="18">
      <c r="A18" s="106" t="inlineStr">
        <is>
          <t>OCU</t>
        </is>
      </c>
      <c r="B18" s="107" t="inlineStr">
        <is>
          <t>Flight</t>
        </is>
      </c>
      <c r="C18" s="107" t="n">
        <v>6</v>
      </c>
      <c r="D18" s="127" t="inlineStr">
        <is>
          <t>S2-O-FLTCHK</t>
        </is>
      </c>
      <c r="E18" s="106" t="inlineStr">
        <is>
          <t>CAT D Check</t>
        </is>
      </c>
      <c r="F18" s="107" t="n"/>
      <c r="G18" s="106" t="n"/>
      <c r="H18" s="107" t="inlineStr">
        <is>
          <t>Flight</t>
        </is>
      </c>
    </row>
    <row r="19">
      <c r="A19" s="106" t="inlineStr">
        <is>
          <t>CAT C</t>
        </is>
      </c>
      <c r="B19" s="107" t="inlineStr">
        <is>
          <t>TTX</t>
        </is>
      </c>
      <c r="C19" s="107" t="n">
        <v>1</v>
      </c>
      <c r="D19" s="127" t="inlineStr">
        <is>
          <t>S2-C-TTX1</t>
        </is>
      </c>
      <c r="E19" s="106" t="inlineStr">
        <is>
          <t>TTX 1</t>
        </is>
      </c>
      <c r="F19" s="107" t="n"/>
      <c r="G19" s="106" t="n"/>
      <c r="H19" s="107" t="inlineStr">
        <is>
          <t>Ground</t>
        </is>
      </c>
    </row>
    <row r="20">
      <c r="A20" s="106" t="inlineStr">
        <is>
          <t>CAT C</t>
        </is>
      </c>
      <c r="B20" s="107" t="inlineStr">
        <is>
          <t>TTX</t>
        </is>
      </c>
      <c r="C20" s="107" t="n">
        <v>2</v>
      </c>
      <c r="D20" s="127" t="inlineStr">
        <is>
          <t>S2-C-TTX2</t>
        </is>
      </c>
      <c r="E20" s="106" t="inlineStr">
        <is>
          <t>TTX 2</t>
        </is>
      </c>
      <c r="F20" s="107" t="n"/>
      <c r="G20" s="106" t="n"/>
      <c r="H20" s="107" t="inlineStr">
        <is>
          <t>Ground</t>
        </is>
      </c>
    </row>
    <row r="21">
      <c r="A21" s="106" t="inlineStr">
        <is>
          <t>CAT C</t>
        </is>
      </c>
      <c r="B21" s="107" t="inlineStr">
        <is>
          <t>Sims</t>
        </is>
      </c>
      <c r="C21" s="107" t="n">
        <v>1</v>
      </c>
      <c r="D21" s="127" t="inlineStr">
        <is>
          <t>S2-C-SIM1</t>
        </is>
      </c>
      <c r="E21" s="106" t="inlineStr">
        <is>
          <t>SIMS 1</t>
        </is>
      </c>
      <c r="F21" s="107" t="n"/>
      <c r="G21" s="106" t="n"/>
      <c r="H21" s="107" t="inlineStr">
        <is>
          <t>Sim</t>
        </is>
      </c>
    </row>
    <row r="22">
      <c r="A22" s="106" t="inlineStr">
        <is>
          <t>CAT C</t>
        </is>
      </c>
      <c r="B22" s="107" t="inlineStr">
        <is>
          <t>Sims</t>
        </is>
      </c>
      <c r="C22" s="107" t="n">
        <v>2</v>
      </c>
      <c r="D22" s="127" t="inlineStr">
        <is>
          <t>S2-C-SIM2</t>
        </is>
      </c>
      <c r="E22" s="106" t="inlineStr">
        <is>
          <t>SIMS 2</t>
        </is>
      </c>
      <c r="F22" s="107" t="n"/>
      <c r="G22" s="106" t="n"/>
      <c r="H22" s="107" t="inlineStr">
        <is>
          <t>Sim</t>
        </is>
      </c>
    </row>
    <row r="23">
      <c r="A23" s="106" t="inlineStr">
        <is>
          <t>CAT C</t>
        </is>
      </c>
      <c r="B23" s="107" t="inlineStr">
        <is>
          <t>Sims</t>
        </is>
      </c>
      <c r="C23" s="107" t="n">
        <v>3</v>
      </c>
      <c r="D23" s="127" t="inlineStr">
        <is>
          <t>S2-C-SIM3</t>
        </is>
      </c>
      <c r="E23" s="106" t="inlineStr">
        <is>
          <t>SIMS 3</t>
        </is>
      </c>
      <c r="F23" s="107" t="n"/>
      <c r="G23" s="106" t="n"/>
      <c r="H23" s="107" t="inlineStr">
        <is>
          <t>Sim</t>
        </is>
      </c>
    </row>
    <row r="24">
      <c r="A24" s="106" t="inlineStr">
        <is>
          <t>CAT C</t>
        </is>
      </c>
      <c r="B24" s="107" t="inlineStr">
        <is>
          <t>Sims</t>
        </is>
      </c>
      <c r="C24" s="107" t="n">
        <v>4</v>
      </c>
      <c r="D24" s="127" t="inlineStr">
        <is>
          <t>S2-C-SIMCHK</t>
        </is>
      </c>
      <c r="E24" s="106" t="inlineStr">
        <is>
          <t>SIMS Check</t>
        </is>
      </c>
      <c r="F24" s="107" t="n"/>
      <c r="G24" s="106" t="n"/>
      <c r="H24" s="107" t="inlineStr">
        <is>
          <t>Sim</t>
        </is>
      </c>
    </row>
    <row r="25">
      <c r="A25" s="106" t="inlineStr">
        <is>
          <t>CAT C</t>
        </is>
      </c>
      <c r="B25" s="107" t="inlineStr">
        <is>
          <t>Flight</t>
        </is>
      </c>
      <c r="C25" s="107" t="n">
        <v>1</v>
      </c>
      <c r="D25" s="127" t="inlineStr">
        <is>
          <t>S2-C-FLT1</t>
        </is>
      </c>
      <c r="E25" s="106" t="inlineStr">
        <is>
          <t>Flight 1</t>
        </is>
      </c>
      <c r="F25" s="107" t="n"/>
      <c r="G25" s="106" t="n"/>
      <c r="H25" s="107" t="inlineStr">
        <is>
          <t>Flight</t>
        </is>
      </c>
    </row>
    <row r="26">
      <c r="A26" s="106" t="inlineStr">
        <is>
          <t>CAT C</t>
        </is>
      </c>
      <c r="B26" s="107" t="inlineStr">
        <is>
          <t>Flight</t>
        </is>
      </c>
      <c r="C26" s="107" t="n">
        <v>2</v>
      </c>
      <c r="D26" s="127" t="inlineStr">
        <is>
          <t>S2-C-FLT2</t>
        </is>
      </c>
      <c r="E26" s="106" t="inlineStr">
        <is>
          <t>Flight 2</t>
        </is>
      </c>
      <c r="F26" s="107" t="n"/>
      <c r="G26" s="106" t="n"/>
      <c r="H26" s="107" t="inlineStr">
        <is>
          <t>Flight</t>
        </is>
      </c>
    </row>
    <row r="27">
      <c r="A27" s="106" t="inlineStr">
        <is>
          <t>CAT C</t>
        </is>
      </c>
      <c r="B27" s="107" t="inlineStr">
        <is>
          <t>Flight</t>
        </is>
      </c>
      <c r="C27" s="107" t="n">
        <v>3</v>
      </c>
      <c r="D27" s="127" t="inlineStr">
        <is>
          <t>S2-C-FLT3</t>
        </is>
      </c>
      <c r="E27" s="106" t="inlineStr">
        <is>
          <t>Flight 3</t>
        </is>
      </c>
      <c r="F27" s="107" t="n"/>
      <c r="G27" s="106" t="n"/>
      <c r="H27" s="107" t="inlineStr">
        <is>
          <t>Flight</t>
        </is>
      </c>
    </row>
    <row r="28">
      <c r="A28" s="106" t="inlineStr">
        <is>
          <t>CAT C</t>
        </is>
      </c>
      <c r="B28" s="107" t="inlineStr">
        <is>
          <t>Flight</t>
        </is>
      </c>
      <c r="C28" s="107" t="n">
        <v>4</v>
      </c>
      <c r="D28" s="127" t="inlineStr">
        <is>
          <t>S2-C-FLTCHK</t>
        </is>
      </c>
      <c r="E28" s="106" t="inlineStr">
        <is>
          <t>CAT C Check</t>
        </is>
      </c>
      <c r="F28" s="107" t="n"/>
      <c r="G28" s="106" t="n"/>
      <c r="H28" s="107" t="inlineStr">
        <is>
          <t>Flight</t>
        </is>
      </c>
    </row>
    <row r="29">
      <c r="A29" s="106" t="inlineStr">
        <is>
          <t>CAT C</t>
        </is>
      </c>
      <c r="B29" s="107" t="inlineStr">
        <is>
          <t>Role: SAL</t>
        </is>
      </c>
      <c r="C29" s="107" t="n">
        <v>1</v>
      </c>
      <c r="D29" s="127" t="inlineStr">
        <is>
          <t>S2-C-SAL1</t>
        </is>
      </c>
      <c r="E29" s="106" t="inlineStr">
        <is>
          <t>SAL TTX 1</t>
        </is>
      </c>
      <c r="F29" s="107" t="n"/>
      <c r="G29" s="106" t="n"/>
      <c r="H29" s="107" t="inlineStr">
        <is>
          <t>Ground</t>
        </is>
      </c>
    </row>
    <row r="30">
      <c r="A30" s="106" t="inlineStr">
        <is>
          <t>CAT C</t>
        </is>
      </c>
      <c r="B30" s="107" t="inlineStr">
        <is>
          <t>Role: SAL</t>
        </is>
      </c>
      <c r="C30" s="107" t="n">
        <v>2</v>
      </c>
      <c r="D30" s="127" t="inlineStr">
        <is>
          <t>S2-C-SAL2</t>
        </is>
      </c>
      <c r="E30" s="106" t="inlineStr">
        <is>
          <t>SAL Flight 1</t>
        </is>
      </c>
      <c r="F30" s="107" t="n"/>
      <c r="G30" s="106" t="n"/>
      <c r="H30" s="107" t="inlineStr">
        <is>
          <t>Flight</t>
        </is>
      </c>
    </row>
    <row r="31">
      <c r="A31" s="106" t="inlineStr">
        <is>
          <t>CAT C</t>
        </is>
      </c>
      <c r="B31" s="107" t="inlineStr">
        <is>
          <t>Role: SAL</t>
        </is>
      </c>
      <c r="C31" s="107" t="n">
        <v>3</v>
      </c>
      <c r="D31" s="127" t="inlineStr">
        <is>
          <t>S2-C-SAL3</t>
        </is>
      </c>
      <c r="E31" s="106" t="inlineStr">
        <is>
          <t>SAL Flight 2</t>
        </is>
      </c>
      <c r="F31" s="107" t="n"/>
      <c r="G31" s="106" t="n"/>
      <c r="H31" s="107" t="inlineStr">
        <is>
          <t>Flight</t>
        </is>
      </c>
    </row>
    <row r="32">
      <c r="A32" s="106" t="inlineStr">
        <is>
          <t>CAT C</t>
        </is>
      </c>
      <c r="B32" s="107" t="inlineStr">
        <is>
          <t>Role: SAL</t>
        </is>
      </c>
      <c r="C32" s="107" t="n">
        <v>4</v>
      </c>
      <c r="D32" s="127" t="inlineStr">
        <is>
          <t>S2-C-SALCHK</t>
        </is>
      </c>
      <c r="E32" s="106" t="inlineStr">
        <is>
          <t>SAL Check</t>
        </is>
      </c>
      <c r="F32" s="107" t="n"/>
      <c r="G32" s="106" t="n"/>
      <c r="H32" s="107" t="inlineStr">
        <is>
          <t>Flight</t>
        </is>
      </c>
    </row>
    <row r="33">
      <c r="A33" s="106" t="inlineStr">
        <is>
          <t>CAT B</t>
        </is>
      </c>
      <c r="B33" s="107" t="inlineStr">
        <is>
          <t>Sims</t>
        </is>
      </c>
      <c r="C33" s="107" t="n">
        <v>1</v>
      </c>
      <c r="D33" s="127" t="inlineStr">
        <is>
          <t>S2-B-SIM1</t>
        </is>
      </c>
      <c r="E33" s="106" t="inlineStr">
        <is>
          <t>TACT SIMS 1</t>
        </is>
      </c>
      <c r="F33" s="107" t="n"/>
      <c r="G33" s="106" t="n"/>
      <c r="H33" s="107" t="inlineStr">
        <is>
          <t>Sim</t>
        </is>
      </c>
    </row>
    <row r="34">
      <c r="A34" s="106" t="inlineStr">
        <is>
          <t>CAT B</t>
        </is>
      </c>
      <c r="B34" s="107" t="inlineStr">
        <is>
          <t>Sims</t>
        </is>
      </c>
      <c r="C34" s="107" t="n">
        <v>2</v>
      </c>
      <c r="D34" s="127" t="inlineStr">
        <is>
          <t>S2-B-SIM2</t>
        </is>
      </c>
      <c r="E34" s="106" t="inlineStr">
        <is>
          <t>MKZ SIMS 1</t>
        </is>
      </c>
      <c r="F34" s="107" t="n"/>
      <c r="G34" s="106" t="n"/>
      <c r="H34" s="107" t="inlineStr">
        <is>
          <t>Sim</t>
        </is>
      </c>
    </row>
    <row r="35">
      <c r="A35" s="106" t="inlineStr">
        <is>
          <t>CAT B</t>
        </is>
      </c>
      <c r="B35" s="107" t="inlineStr">
        <is>
          <t>Sims</t>
        </is>
      </c>
      <c r="C35" s="107" t="n">
        <v>3</v>
      </c>
      <c r="D35" s="127" t="inlineStr">
        <is>
          <t>S2-B-SIM3</t>
        </is>
      </c>
      <c r="E35" s="106" t="inlineStr">
        <is>
          <t>MAS SIMS 1</t>
        </is>
      </c>
      <c r="F35" s="107" t="n"/>
      <c r="G35" s="106" t="n"/>
      <c r="H35" s="107" t="inlineStr">
        <is>
          <t>Sim</t>
        </is>
      </c>
    </row>
    <row r="36">
      <c r="A36" s="106" t="inlineStr">
        <is>
          <t>CAT B</t>
        </is>
      </c>
      <c r="B36" s="107" t="inlineStr">
        <is>
          <t>Role: EIS</t>
        </is>
      </c>
      <c r="C36" s="107" t="n">
        <v>1</v>
      </c>
      <c r="D36" s="127" t="inlineStr">
        <is>
          <t>S2-B-EIS1</t>
        </is>
      </c>
      <c r="E36" s="106" t="inlineStr">
        <is>
          <t>EIS TTX</t>
        </is>
      </c>
      <c r="F36" s="107" t="n"/>
      <c r="G36" s="106" t="n"/>
      <c r="H36" s="107" t="inlineStr">
        <is>
          <t>Ground</t>
        </is>
      </c>
    </row>
    <row r="37">
      <c r="A37" s="106" t="inlineStr">
        <is>
          <t>CAT B</t>
        </is>
      </c>
      <c r="B37" s="107" t="inlineStr">
        <is>
          <t>Role: EIS</t>
        </is>
      </c>
      <c r="C37" s="107" t="n">
        <v>2</v>
      </c>
      <c r="D37" s="127" t="inlineStr">
        <is>
          <t>S2-B-EIS2</t>
        </is>
      </c>
      <c r="E37" s="106" t="inlineStr">
        <is>
          <t>EIS Flight 1</t>
        </is>
      </c>
      <c r="F37" s="107" t="n"/>
      <c r="G37" s="106" t="n"/>
      <c r="H37" s="107" t="inlineStr">
        <is>
          <t>Flight</t>
        </is>
      </c>
    </row>
    <row r="38">
      <c r="A38" s="106" t="inlineStr">
        <is>
          <t>CAT B</t>
        </is>
      </c>
      <c r="B38" s="107" t="inlineStr">
        <is>
          <t>Role: EIS</t>
        </is>
      </c>
      <c r="C38" s="107" t="n">
        <v>3</v>
      </c>
      <c r="D38" s="127" t="inlineStr">
        <is>
          <t>S2-B-EISCHK</t>
        </is>
      </c>
      <c r="E38" s="106" t="inlineStr">
        <is>
          <t>EIS Check</t>
        </is>
      </c>
      <c r="F38" s="107" t="n"/>
      <c r="G38" s="106" t="n"/>
      <c r="H38" s="107" t="inlineStr">
        <is>
          <t>Flight</t>
        </is>
      </c>
    </row>
    <row r="39">
      <c r="A39" s="106" t="inlineStr">
        <is>
          <t>CAT B</t>
        </is>
      </c>
      <c r="B39" s="107" t="inlineStr">
        <is>
          <t>Role: MS</t>
        </is>
      </c>
      <c r="C39" s="107" t="n">
        <v>1</v>
      </c>
      <c r="D39" s="127" t="inlineStr">
        <is>
          <t>S2-B-MS1</t>
        </is>
      </c>
      <c r="E39" s="106" t="inlineStr">
        <is>
          <t>MS TTX</t>
        </is>
      </c>
      <c r="F39" s="107" t="n"/>
      <c r="G39" s="106" t="n"/>
      <c r="H39" s="107" t="inlineStr">
        <is>
          <t>Ground</t>
        </is>
      </c>
    </row>
    <row r="40">
      <c r="A40" s="106" t="inlineStr">
        <is>
          <t>CAT B</t>
        </is>
      </c>
      <c r="B40" s="107" t="inlineStr">
        <is>
          <t>Role: MS</t>
        </is>
      </c>
      <c r="C40" s="107" t="n">
        <v>2</v>
      </c>
      <c r="D40" s="127" t="inlineStr">
        <is>
          <t>S2-B-MS2</t>
        </is>
      </c>
      <c r="E40" s="106" t="inlineStr">
        <is>
          <t>MS TACT TTX</t>
        </is>
      </c>
      <c r="F40" s="107" t="n"/>
      <c r="G40" s="106" t="n"/>
      <c r="H40" s="107" t="inlineStr">
        <is>
          <t>Ground</t>
        </is>
      </c>
    </row>
    <row r="41">
      <c r="A41" s="106" t="inlineStr">
        <is>
          <t>CAT B</t>
        </is>
      </c>
      <c r="B41" s="107" t="inlineStr">
        <is>
          <t>Role: MS</t>
        </is>
      </c>
      <c r="C41" s="107" t="n">
        <v>3</v>
      </c>
      <c r="D41" s="127" t="inlineStr">
        <is>
          <t>S2-B-MS3</t>
        </is>
      </c>
      <c r="E41" s="106" t="inlineStr">
        <is>
          <t>MS SIMS 1</t>
        </is>
      </c>
      <c r="F41" s="107" t="n"/>
      <c r="G41" s="106" t="n"/>
      <c r="H41" s="107" t="inlineStr">
        <is>
          <t>Sim</t>
        </is>
      </c>
    </row>
    <row r="42">
      <c r="A42" s="106" t="inlineStr">
        <is>
          <t>CAT B</t>
        </is>
      </c>
      <c r="B42" s="107" t="inlineStr">
        <is>
          <t>Role: MS</t>
        </is>
      </c>
      <c r="C42" s="107" t="n">
        <v>4</v>
      </c>
      <c r="D42" s="127" t="inlineStr">
        <is>
          <t>S2-B-MS4</t>
        </is>
      </c>
      <c r="E42" s="106" t="inlineStr">
        <is>
          <t>MS Flight 1</t>
        </is>
      </c>
      <c r="F42" s="107" t="n"/>
      <c r="G42" s="106" t="n"/>
      <c r="H42" s="107" t="inlineStr">
        <is>
          <t>Flight</t>
        </is>
      </c>
    </row>
    <row r="43">
      <c r="A43" s="106" t="inlineStr">
        <is>
          <t>CAT B</t>
        </is>
      </c>
      <c r="B43" s="107" t="inlineStr">
        <is>
          <t>Role: MS</t>
        </is>
      </c>
      <c r="C43" s="107" t="n">
        <v>5</v>
      </c>
      <c r="D43" s="127" t="inlineStr">
        <is>
          <t>S2-B-MS5</t>
        </is>
      </c>
      <c r="E43" s="106" t="inlineStr">
        <is>
          <t>MS Flight 2</t>
        </is>
      </c>
      <c r="F43" s="107" t="n"/>
      <c r="G43" s="106" t="n"/>
      <c r="H43" s="107" t="inlineStr">
        <is>
          <t>Flight</t>
        </is>
      </c>
    </row>
    <row r="44">
      <c r="A44" s="106" t="inlineStr">
        <is>
          <t>CAT B</t>
        </is>
      </c>
      <c r="B44" s="107" t="inlineStr">
        <is>
          <t>Role: MS</t>
        </is>
      </c>
      <c r="C44" s="107" t="n">
        <v>6</v>
      </c>
      <c r="D44" s="127" t="inlineStr">
        <is>
          <t>S2-B-MSCHK</t>
        </is>
      </c>
      <c r="E44" s="106" t="inlineStr">
        <is>
          <t>MS Check</t>
        </is>
      </c>
      <c r="F44" s="107" t="n"/>
      <c r="G44" s="106" t="n"/>
      <c r="H44" s="107" t="inlineStr">
        <is>
          <t>Flight</t>
        </is>
      </c>
    </row>
    <row r="45">
      <c r="A45" s="106" t="inlineStr">
        <is>
          <t>CAT A</t>
        </is>
      </c>
      <c r="B45" s="107" t="inlineStr">
        <is>
          <t>Sims</t>
        </is>
      </c>
      <c r="C45" s="107" t="n">
        <v>1</v>
      </c>
      <c r="D45" s="127" t="inlineStr">
        <is>
          <t>S2-A-SIM1</t>
        </is>
      </c>
      <c r="E45" s="106" t="inlineStr">
        <is>
          <t>MAS Tact SIMS 1</t>
        </is>
      </c>
      <c r="F45" s="107" t="n"/>
      <c r="G45" s="106" t="n"/>
      <c r="H45" s="107" t="inlineStr">
        <is>
          <t>Sim</t>
        </is>
      </c>
    </row>
    <row r="46">
      <c r="A46" s="106" t="inlineStr">
        <is>
          <t>CAT A</t>
        </is>
      </c>
      <c r="B46" s="107" t="inlineStr">
        <is>
          <t>Sims</t>
        </is>
      </c>
      <c r="C46" s="107" t="n">
        <v>2</v>
      </c>
      <c r="D46" s="127" t="inlineStr">
        <is>
          <t>S2-A-SIM2</t>
        </is>
      </c>
      <c r="E46" s="106" t="inlineStr">
        <is>
          <t>MAS Tact SIMS 2</t>
        </is>
      </c>
      <c r="F46" s="107" t="n"/>
      <c r="G46" s="106" t="n"/>
      <c r="H46" s="107" t="inlineStr">
        <is>
          <t>Sim</t>
        </is>
      </c>
    </row>
    <row r="47">
      <c r="A47" s="106" t="inlineStr">
        <is>
          <t>CAT A</t>
        </is>
      </c>
      <c r="B47" s="107" t="inlineStr">
        <is>
          <t>Sims</t>
        </is>
      </c>
      <c r="C47" s="107" t="n">
        <v>3</v>
      </c>
      <c r="D47" s="127" t="inlineStr">
        <is>
          <t>S2-A-SIM3</t>
        </is>
      </c>
      <c r="E47" s="106" t="inlineStr">
        <is>
          <t>MAS Tact SIMS 3</t>
        </is>
      </c>
      <c r="F47" s="107" t="n"/>
      <c r="G47" s="106" t="n"/>
      <c r="H47" s="107" t="inlineStr">
        <is>
          <t>Sim</t>
        </is>
      </c>
    </row>
    <row r="48">
      <c r="A48" s="106" t="inlineStr">
        <is>
          <t>CAT A</t>
        </is>
      </c>
      <c r="B48" s="107" t="inlineStr">
        <is>
          <t>Sims</t>
        </is>
      </c>
      <c r="C48" s="107" t="n">
        <v>4</v>
      </c>
      <c r="D48" s="127" t="inlineStr">
        <is>
          <t>S2-A-SIMCHK</t>
        </is>
      </c>
      <c r="E48" s="106" t="inlineStr">
        <is>
          <t>MAS Tact SIMS Check</t>
        </is>
      </c>
      <c r="F48" s="107" t="n"/>
      <c r="G48" s="106" t="n"/>
      <c r="H48" s="107" t="inlineStr">
        <is>
          <t>Sim</t>
        </is>
      </c>
    </row>
    <row r="49">
      <c r="A49" s="106" t="inlineStr">
        <is>
          <t>CAT A</t>
        </is>
      </c>
      <c r="B49" s="107" t="inlineStr">
        <is>
          <t>Flight</t>
        </is>
      </c>
      <c r="C49" s="107" t="n">
        <v>1</v>
      </c>
      <c r="D49" s="127" t="inlineStr">
        <is>
          <t>S2-A-FLT1</t>
        </is>
      </c>
      <c r="E49" s="106" t="inlineStr">
        <is>
          <t>MAS Tact Flight 1</t>
        </is>
      </c>
      <c r="F49" s="107" t="n"/>
      <c r="G49" s="106" t="n"/>
      <c r="H49" s="107" t="inlineStr">
        <is>
          <t>Flight</t>
        </is>
      </c>
    </row>
    <row r="50">
      <c r="A50" s="106" t="inlineStr">
        <is>
          <t>CAT A</t>
        </is>
      </c>
      <c r="B50" s="107" t="inlineStr">
        <is>
          <t>Flight</t>
        </is>
      </c>
      <c r="C50" s="107" t="n">
        <v>2</v>
      </c>
      <c r="D50" s="127" t="inlineStr">
        <is>
          <t>S2-A-FLT2</t>
        </is>
      </c>
      <c r="E50" s="106" t="inlineStr">
        <is>
          <t>MAS Tact Flight 2</t>
        </is>
      </c>
      <c r="F50" s="107" t="n"/>
      <c r="G50" s="106" t="n"/>
      <c r="H50" s="107" t="inlineStr">
        <is>
          <t>Flight</t>
        </is>
      </c>
    </row>
    <row r="51">
      <c r="A51" s="106" t="inlineStr">
        <is>
          <t>CAT A</t>
        </is>
      </c>
      <c r="B51" s="107" t="inlineStr">
        <is>
          <t>Flight</t>
        </is>
      </c>
      <c r="C51" s="107" t="n">
        <v>3</v>
      </c>
      <c r="D51" s="127" t="inlineStr">
        <is>
          <t>S2-A-FLT3</t>
        </is>
      </c>
      <c r="E51" s="106" t="inlineStr">
        <is>
          <t>MAS Tact Flight 3</t>
        </is>
      </c>
      <c r="F51" s="107" t="n"/>
      <c r="G51" s="106" t="n"/>
      <c r="H51" s="107" t="inlineStr">
        <is>
          <t>Flight</t>
        </is>
      </c>
    </row>
    <row r="52">
      <c r="A52" s="106" t="inlineStr">
        <is>
          <t>CAT A</t>
        </is>
      </c>
      <c r="B52" s="107" t="inlineStr">
        <is>
          <t>Flight</t>
        </is>
      </c>
      <c r="C52" s="107" t="n">
        <v>4</v>
      </c>
      <c r="D52" s="127" t="inlineStr">
        <is>
          <t>S2-A-FLTCHK</t>
        </is>
      </c>
      <c r="E52" s="106" t="inlineStr">
        <is>
          <t>MAS Tact Flight Check</t>
        </is>
      </c>
      <c r="F52" s="107" t="n"/>
      <c r="G52" s="106" t="n"/>
      <c r="H52" s="107" t="inlineStr">
        <is>
          <t>Flight</t>
        </is>
      </c>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 hidden="1" width="13" customWidth="1" min="15" max="15"/>
    <col hidden="1" width="13" customWidth="1" min="16" max="16"/>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c r="O5" s="31" t="inlineStr">
        <is>
          <t>WD #</t>
        </is>
      </c>
      <c r="P5" s="31" t="inlineStr">
        <is>
          <t>WD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c r="O6">
        <f>IF(AND($A6&lt;&gt;"",OR($C6=Activities!$G$8,$C6=Activities!$G$12)),COUNTIFS($A$6:$A6,"&lt;&gt;",$C$6:$C6,Activities!$G$8)+COUNTIFS($A$6:$A6,"&lt;&gt;",$C$6:$C6,Activities!$G$12),"")</f>
        <v/>
      </c>
      <c r="P6">
        <f>IFERROR(INDEX($A$6:$A$65,MATCH(1,$O$6:$O$65,0)),"")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c r="O7">
        <f>IF(AND($A7&lt;&gt;"",OR($C7=Activities!$G$8,$C7=Activities!$G$12)),COUNTIFS($A$6:$A7,"&lt;&gt;",$C$6:$C7,Activities!$G$8)+COUNTIFS($A$6:$A7,"&lt;&gt;",$C$6:$C7,Activities!$G$12),"")</f>
        <v/>
      </c>
      <c r="P7">
        <f>IFERROR(INDEX($A$6:$A$65,MATCH(2,$O$6:$O$65,0)),"")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c r="O8">
        <f>IF(AND($A8&lt;&gt;"",OR($C8=Activities!$G$8,$C8=Activities!$G$12)),COUNTIFS($A$6:$A8,"&lt;&gt;",$C$6:$C8,Activities!$G$8)+COUNTIFS($A$6:$A8,"&lt;&gt;",$C$6:$C8,Activities!$G$12),"")</f>
        <v/>
      </c>
      <c r="P8">
        <f>IFERROR(INDEX($A$6:$A$65,MATCH(3,$O$6:$O$65,0)),"")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c r="O9">
        <f>IF(AND($A9&lt;&gt;"",OR($C9=Activities!$G$8,$C9=Activities!$G$12)),COUNTIFS($A$6:$A9,"&lt;&gt;",$C$6:$C9,Activities!$G$8)+COUNTIFS($A$6:$A9,"&lt;&gt;",$C$6:$C9,Activities!$G$12),"")</f>
        <v/>
      </c>
      <c r="P9">
        <f>IFERROR(INDEX($A$6:$A$65,MATCH(4,$O$6:$O$65,0)),"")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c r="O10">
        <f>IF(AND($A10&lt;&gt;"",OR($C10=Activities!$G$8,$C10=Activities!$G$12)),COUNTIFS($A$6:$A10,"&lt;&gt;",$C$6:$C10,Activities!$G$8)+COUNTIFS($A$6:$A10,"&lt;&gt;",$C$6:$C10,Activities!$G$12),"")</f>
        <v/>
      </c>
      <c r="P10">
        <f>IFERROR(INDEX($A$6:$A$65,MATCH(5,$O$6:$O$65,0)),"")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c r="O11">
        <f>IF(AND($A11&lt;&gt;"",OR($C11=Activities!$G$8,$C11=Activities!$G$12)),COUNTIFS($A$6:$A11,"&lt;&gt;",$C$6:$C11,Activities!$G$8)+COUNTIFS($A$6:$A11,"&lt;&gt;",$C$6:$C11,Activities!$G$12),"")</f>
        <v/>
      </c>
      <c r="P11">
        <f>IFERROR(INDEX($A$6:$A$65,MATCH(6,$O$6:$O$65,0)),"")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c r="O12">
        <f>IF(AND($A12&lt;&gt;"",OR($C12=Activities!$G$8,$C12=Activities!$G$12)),COUNTIFS($A$6:$A12,"&lt;&gt;",$C$6:$C12,Activities!$G$8)+COUNTIFS($A$6:$A12,"&lt;&gt;",$C$6:$C12,Activities!$G$12),"")</f>
        <v/>
      </c>
      <c r="P12">
        <f>IFERROR(INDEX($A$6:$A$65,MATCH(7,$O$6:$O$65,0)),"")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c r="O13">
        <f>IF(AND($A13&lt;&gt;"",OR($C13=Activities!$G$8,$C13=Activities!$G$12)),COUNTIFS($A$6:$A13,"&lt;&gt;",$C$6:$C13,Activities!$G$8)+COUNTIFS($A$6:$A13,"&lt;&gt;",$C$6:$C13,Activities!$G$12),"")</f>
        <v/>
      </c>
      <c r="P13">
        <f>IFERROR(INDEX($A$6:$A$65,MATCH(8,$O$6:$O$65,0)),"")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c r="O14">
        <f>IF(AND($A14&lt;&gt;"",OR($C14=Activities!$G$8,$C14=Activities!$G$12)),COUNTIFS($A$6:$A14,"&lt;&gt;",$C$6:$C14,Activities!$G$8)+COUNTIFS($A$6:$A14,"&lt;&gt;",$C$6:$C14,Activities!$G$12),"")</f>
        <v/>
      </c>
      <c r="P14">
        <f>IFERROR(INDEX($A$6:$A$65,MATCH(9,$O$6:$O$65,0)),"")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c r="O15">
        <f>IF(AND($A15&lt;&gt;"",OR($C15=Activities!$G$8,$C15=Activities!$G$12)),COUNTIFS($A$6:$A15,"&lt;&gt;",$C$6:$C15,Activities!$G$8)+COUNTIFS($A$6:$A15,"&lt;&gt;",$C$6:$C15,Activities!$G$12),"")</f>
        <v/>
      </c>
      <c r="P15">
        <f>IFERROR(INDEX($A$6:$A$65,MATCH(10,$O$6:$O$65,0)),"")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c r="O16">
        <f>IF(AND($A16&lt;&gt;"",OR($C16=Activities!$G$8,$C16=Activities!$G$12)),COUNTIFS($A$6:$A16,"&lt;&gt;",$C$6:$C16,Activities!$G$8)+COUNTIFS($A$6:$A16,"&lt;&gt;",$C$6:$C16,Activities!$G$12),"")</f>
        <v/>
      </c>
      <c r="P16">
        <f>IFERROR(INDEX($A$6:$A$65,MATCH(11,$O$6:$O$65,0)),"")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c r="O17">
        <f>IF(AND($A17&lt;&gt;"",OR($C17=Activities!$G$8,$C17=Activities!$G$12)),COUNTIFS($A$6:$A17,"&lt;&gt;",$C$6:$C17,Activities!$G$8)+COUNTIFS($A$6:$A17,"&lt;&gt;",$C$6:$C17,Activities!$G$12),"")</f>
        <v/>
      </c>
      <c r="P17">
        <f>IFERROR(INDEX($A$6:$A$65,MATCH(12,$O$6:$O$65,0)),"")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c r="O18">
        <f>IF(AND($A18&lt;&gt;"",OR($C18=Activities!$G$8,$C18=Activities!$G$12)),COUNTIFS($A$6:$A18,"&lt;&gt;",$C$6:$C18,Activities!$G$8)+COUNTIFS($A$6:$A18,"&lt;&gt;",$C$6:$C18,Activities!$G$12),"")</f>
        <v/>
      </c>
      <c r="P18">
        <f>IFERROR(INDEX($A$6:$A$65,MATCH(13,$O$6:$O$65,0)),"")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c r="O19">
        <f>IF(AND($A19&lt;&gt;"",OR($C19=Activities!$G$8,$C19=Activities!$G$12)),COUNTIFS($A$6:$A19,"&lt;&gt;",$C$6:$C19,Activities!$G$8)+COUNTIFS($A$6:$A19,"&lt;&gt;",$C$6:$C19,Activities!$G$12),"")</f>
        <v/>
      </c>
      <c r="P19">
        <f>IFERROR(INDEX($A$6:$A$65,MATCH(14,$O$6:$O$65,0)),"")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c r="O20">
        <f>IF(AND($A20&lt;&gt;"",OR($C20=Activities!$G$8,$C20=Activities!$G$12)),COUNTIFS($A$6:$A20,"&lt;&gt;",$C$6:$C20,Activities!$G$8)+COUNTIFS($A$6:$A20,"&lt;&gt;",$C$6:$C20,Activities!$G$12),"")</f>
        <v/>
      </c>
      <c r="P20">
        <f>IFERROR(INDEX($A$6:$A$65,MATCH(15,$O$6:$O$65,0)),"")</f>
        <v/>
      </c>
    </row>
    <row r="21">
      <c r="A21" s="95" t="inlineStr">
        <is>
          <t>SDO</t>
        </is>
      </c>
      <c r="B21" s="95" t="inlineStr">
        <is>
          <t>Squadron Duty Orderly</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c r="O21">
        <f>IF(AND($A21&lt;&gt;"",OR($C21=Activities!$G$8,$C21=Activities!$G$12)),COUNTIFS($A$6:$A21,"&lt;&gt;",$C$6:$C21,Activities!$G$8)+COUNTIFS($A$6:$A21,"&lt;&gt;",$C$6:$C21,Activities!$G$12),"")</f>
        <v/>
      </c>
      <c r="P21">
        <f>IFERROR(INDEX($A$6:$A$65,MATCH(16,$O$6:$O$65,0)),"")</f>
        <v/>
      </c>
    </row>
    <row r="22">
      <c r="A22" s="95" t="inlineStr">
        <is>
          <t>BDO</t>
        </is>
      </c>
      <c r="B22" s="95" t="inlineStr">
        <is>
          <t>Base Duty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c r="O22">
        <f>IF(AND($A22&lt;&gt;"",OR($C22=Activities!$G$8,$C22=Activities!$G$12)),COUNTIFS($A$6:$A22,"&lt;&gt;",$C$6:$C22,Activities!$G$8)+COUNTIFS($A$6:$A22,"&lt;&gt;",$C$6:$C22,Activities!$G$12),"")</f>
        <v/>
      </c>
      <c r="P22">
        <f>IFERROR(INDEX($A$6:$A$65,MATCH(17,$O$6:$O$65,0)),"")</f>
        <v/>
      </c>
    </row>
    <row r="23">
      <c r="A23" s="95" t="inlineStr">
        <is>
          <t>Meeting</t>
        </is>
      </c>
      <c r="B23" s="95" t="inlineStr">
        <is>
          <t>Meeting</t>
        </is>
      </c>
      <c r="C23" s="95" t="inlineStr">
        <is>
          <t>Admin</t>
        </is>
      </c>
      <c r="D23" s="143" t="n">
        <v>0</v>
      </c>
      <c r="E23" s="95" t="n"/>
      <c r="F23" s="95" t="n"/>
      <c r="I23" s="145" t="n">
        <v>46426</v>
      </c>
      <c r="J23" s="95" t="inlineStr">
        <is>
          <t>Chinese New Year (in lieu)</t>
        </is>
      </c>
      <c r="K23" s="95" t="n"/>
      <c r="L23">
        <f>IF($A23="","",IF($E23="",1,$E23))</f>
        <v/>
      </c>
      <c r="M23">
        <f>IF(AND($A23&lt;&gt;"",$C23=$G$6),COUNTIFS($A$6:$A23,"&lt;&gt;",$C$6:$C23,$G$6),"")</f>
        <v/>
      </c>
      <c r="N23">
        <f>IFERROR(INDEX($A$6:$A$65,MATCH(18,$M$6:$M$65,0)),"")</f>
        <v/>
      </c>
      <c r="O23">
        <f>IF(AND($A23&lt;&gt;"",OR($C23=Activities!$G$8,$C23=Activities!$G$12)),COUNTIFS($A$6:$A23,"&lt;&gt;",$C$6:$C23,Activities!$G$8)+COUNTIFS($A$6:$A23,"&lt;&gt;",$C$6:$C23,Activities!$G$12),"")</f>
        <v/>
      </c>
      <c r="P23">
        <f>IFERROR(INDEX($A$6:$A$65,MATCH(18,$O$6:$O$65,0)),"")</f>
        <v/>
      </c>
    </row>
    <row r="24">
      <c r="A24" s="95" t="inlineStr">
        <is>
          <t>Outstation</t>
        </is>
      </c>
      <c r="B24" s="95" t="inlineStr">
        <is>
          <t>Out of office for work purpose</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c r="O24">
        <f>IF(AND($A24&lt;&gt;"",OR($C24=Activities!$G$8,$C24=Activities!$G$12)),COUNTIFS($A$6:$A24,"&lt;&gt;",$C$6:$C24,Activities!$G$8)+COUNTIFS($A$6:$A24,"&lt;&gt;",$C$6:$C24,Activities!$G$12),"")</f>
        <v/>
      </c>
      <c r="P24">
        <f>IFERROR(INDEX($A$6:$A$65,MATCH(19,$O$6:$O$65,0)),"")</f>
        <v/>
      </c>
    </row>
    <row r="25">
      <c r="A25" s="95" t="inlineStr">
        <is>
          <t>Detachment</t>
        </is>
      </c>
      <c r="B25" s="95" t="inlineStr">
        <is>
          <t>Detachment</t>
        </is>
      </c>
      <c r="C25" s="95" t="inlineStr">
        <is>
          <t>Oversea Duty</t>
        </is>
      </c>
      <c r="D25" s="143" t="n">
        <v>0</v>
      </c>
      <c r="E25" s="95" t="n"/>
      <c r="F25" s="95" t="n"/>
      <c r="I25" s="145" t="n">
        <v>46472</v>
      </c>
      <c r="J25" s="95" t="inlineStr">
        <is>
          <t>Good Friday</t>
        </is>
      </c>
      <c r="K25" s="95" t="n"/>
      <c r="L25">
        <f>IF($A25="","",IF($E25="",1,$E25))</f>
        <v/>
      </c>
      <c r="M25">
        <f>IF(AND($A25&lt;&gt;"",$C25=$G$6),COUNTIFS($A$6:$A25,"&lt;&gt;",$C$6:$C25,$G$6),"")</f>
        <v/>
      </c>
      <c r="N25">
        <f>IFERROR(INDEX($A$6:$A$65,MATCH(20,$M$6:$M$65,0)),"")</f>
        <v/>
      </c>
      <c r="O25">
        <f>IF(AND($A25&lt;&gt;"",OR($C25=Activities!$G$8,$C25=Activities!$G$12)),COUNTIFS($A$6:$A25,"&lt;&gt;",$C$6:$C25,Activities!$G$8)+COUNTIFS($A$6:$A25,"&lt;&gt;",$C$6:$C25,Activities!$G$12),"")</f>
        <v/>
      </c>
      <c r="P25">
        <f>IFERROR(INDEX($A$6:$A$65,MATCH(20,$O$6:$O$65,0)),"")</f>
        <v/>
      </c>
    </row>
    <row r="26">
      <c r="A26" s="95" t="inlineStr">
        <is>
          <t>MC</t>
        </is>
      </c>
      <c r="B26" s="95" t="inlineStr">
        <is>
          <t>Medical Leave</t>
        </is>
      </c>
      <c r="C26" s="95" t="inlineStr">
        <is>
          <t>Medical</t>
        </is>
      </c>
      <c r="D26" s="143" t="n">
        <v>0</v>
      </c>
      <c r="E26" s="95" t="n"/>
      <c r="F26" s="95" t="n"/>
      <c r="I26" s="145" t="n">
        <v>46508</v>
      </c>
      <c r="J26" s="95" t="inlineStr">
        <is>
          <t>Labour Day</t>
        </is>
      </c>
      <c r="K26" s="95" t="n"/>
      <c r="L26">
        <f>IF($A26="","",IF($E26="",1,$E26))</f>
        <v/>
      </c>
      <c r="M26">
        <f>IF(AND($A26&lt;&gt;"",$C26=$G$6),COUNTIFS($A$6:$A26,"&lt;&gt;",$C$6:$C26,$G$6),"")</f>
        <v/>
      </c>
      <c r="N26">
        <f>IFERROR(INDEX($A$6:$A$65,MATCH(21,$M$6:$M$65,0)),"")</f>
        <v/>
      </c>
      <c r="O26">
        <f>IF(AND($A26&lt;&gt;"",OR($C26=Activities!$G$8,$C26=Activities!$G$12)),COUNTIFS($A$6:$A26,"&lt;&gt;",$C$6:$C26,Activities!$G$8)+COUNTIFS($A$6:$A26,"&lt;&gt;",$C$6:$C26,Activities!$G$12),"")</f>
        <v/>
      </c>
      <c r="P26">
        <f>IFERROR(INDEX($A$6:$A$65,MATCH(21,$O$6:$O$65,0)),"")</f>
        <v/>
      </c>
    </row>
    <row r="27">
      <c r="A27" s="95" t="inlineStr">
        <is>
          <t>Medical Appt</t>
        </is>
      </c>
      <c r="B27" s="95" t="inlineStr">
        <is>
          <t>Medical Appointment</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c r="O27">
        <f>IF(AND($A27&lt;&gt;"",OR($C27=Activities!$G$8,$C27=Activities!$G$12)),COUNTIFS($A$6:$A27,"&lt;&gt;",$C$6:$C27,Activities!$G$8)+COUNTIFS($A$6:$A27,"&lt;&gt;",$C$6:$C27,Activities!$G$12),"")</f>
        <v/>
      </c>
      <c r="P27">
        <f>IFERROR(INDEX($A$6:$A$65,MATCH(22,$O$6:$O$65,0)),"")</f>
        <v/>
      </c>
    </row>
    <row r="28">
      <c r="A28" s="95" t="inlineStr">
        <is>
          <t>LL</t>
        </is>
      </c>
      <c r="B28" s="95" t="inlineStr">
        <is>
          <t>Local Leave</t>
        </is>
      </c>
      <c r="C28" s="95" t="inlineStr">
        <is>
          <t>Leave</t>
        </is>
      </c>
      <c r="D28" s="143" t="n">
        <v>0</v>
      </c>
      <c r="E28" s="95" t="n"/>
      <c r="F28" s="95" t="n"/>
      <c r="I28" s="145" t="n">
        <v>46527</v>
      </c>
      <c r="J28" s="95" t="inlineStr">
        <is>
          <t>Vesak Day</t>
        </is>
      </c>
      <c r="K28" s="95" t="n"/>
      <c r="L28">
        <f>IF($A28="","",IF($E28="",1,$E28))</f>
        <v/>
      </c>
      <c r="M28">
        <f>IF(AND($A28&lt;&gt;"",$C28=$G$6),COUNTIFS($A$6:$A28,"&lt;&gt;",$C$6:$C28,$G$6),"")</f>
        <v/>
      </c>
      <c r="N28">
        <f>IFERROR(INDEX($A$6:$A$65,MATCH(23,$M$6:$M$65,0)),"")</f>
        <v/>
      </c>
      <c r="O28">
        <f>IF(AND($A28&lt;&gt;"",OR($C28=Activities!$G$8,$C28=Activities!$G$12)),COUNTIFS($A$6:$A28,"&lt;&gt;",$C$6:$C28,Activities!$G$8)+COUNTIFS($A$6:$A28,"&lt;&gt;",$C$6:$C28,Activities!$G$12),"")</f>
        <v/>
      </c>
      <c r="P28">
        <f>IFERROR(INDEX($A$6:$A$65,MATCH(23,$O$6:$O$65,0)),"")</f>
        <v/>
      </c>
    </row>
    <row r="29">
      <c r="A29" s="95" t="inlineStr">
        <is>
          <t>OL</t>
        </is>
      </c>
      <c r="B29" s="95" t="inlineStr">
        <is>
          <t>Oversea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c r="O29">
        <f>IF(AND($A29&lt;&gt;"",OR($C29=Activities!$G$8,$C29=Activities!$G$12)),COUNTIFS($A$6:$A29,"&lt;&gt;",$C$6:$C29,Activities!$G$8)+COUNTIFS($A$6:$A29,"&lt;&gt;",$C$6:$C29,Activities!$G$12),"")</f>
        <v/>
      </c>
      <c r="P29">
        <f>IFERROR(INDEX($A$6:$A$65,MATCH(24,$O$6:$O$65,0)),"")</f>
        <v/>
      </c>
    </row>
    <row r="30">
      <c r="A30" s="95" t="inlineStr">
        <is>
          <t>OIL</t>
        </is>
      </c>
      <c r="B30" s="95" t="inlineStr">
        <is>
          <t>OIL</t>
        </is>
      </c>
      <c r="C30" s="95" t="inlineStr">
        <is>
          <t>Off</t>
        </is>
      </c>
      <c r="D30" s="143" t="n">
        <v>0</v>
      </c>
      <c r="E30" s="95" t="n"/>
      <c r="F30" s="95" t="n"/>
      <c r="I30" s="145" t="n">
        <v>46688</v>
      </c>
      <c r="J30" s="95" t="inlineStr">
        <is>
          <t>Deepavali</t>
        </is>
      </c>
      <c r="K30" s="95" t="n"/>
      <c r="L30">
        <f>IF($A30="","",IF($E30="",1,$E30))</f>
        <v/>
      </c>
      <c r="M30">
        <f>IF(AND($A30&lt;&gt;"",$C30=$G$6),COUNTIFS($A$6:$A30,"&lt;&gt;",$C$6:$C30,$G$6),"")</f>
        <v/>
      </c>
      <c r="N30">
        <f>IFERROR(INDEX($A$6:$A$65,MATCH(25,$M$6:$M$65,0)),"")</f>
        <v/>
      </c>
      <c r="O30">
        <f>IF(AND($A30&lt;&gt;"",OR($C30=Activities!$G$8,$C30=Activities!$G$12)),COUNTIFS($A$6:$A30,"&lt;&gt;",$C$6:$C30,Activities!$G$8)+COUNTIFS($A$6:$A30,"&lt;&gt;",$C$6:$C30,Activities!$G$12),"")</f>
        <v/>
      </c>
      <c r="P30">
        <f>IFERROR(INDEX($A$6:$A$65,MATCH(25,$O$6:$O$65,0)),"")</f>
        <v/>
      </c>
    </row>
    <row r="31">
      <c r="A31" s="95" t="n"/>
      <c r="B31" s="95" t="n"/>
      <c r="C31" s="95" t="n"/>
      <c r="D31" s="143" t="n"/>
      <c r="E31" s="95" t="n"/>
      <c r="F31" s="95" t="n"/>
      <c r="I31" s="145" t="n">
        <v>46746</v>
      </c>
      <c r="J31" s="95" t="inlineStr">
        <is>
          <t>Christmas Day</t>
        </is>
      </c>
      <c r="K31" s="95" t="n"/>
      <c r="L31">
        <f>IF($A31="","",IF($E31="",1,$E31))</f>
        <v/>
      </c>
      <c r="M31">
        <f>IF(AND($A31&lt;&gt;"",$C31=$G$6),COUNTIFS($A$6:$A31,"&lt;&gt;",$C$6:$C31,$G$6),"")</f>
        <v/>
      </c>
      <c r="N31">
        <f>IFERROR(INDEX($A$6:$A$65,MATCH(26,$M$6:$M$65,0)),"")</f>
        <v/>
      </c>
      <c r="O31">
        <f>IF(AND($A31&lt;&gt;"",OR($C31=Activities!$G$8,$C31=Activities!$G$12)),COUNTIFS($A$6:$A31,"&lt;&gt;",$C$6:$C31,Activities!$G$8)+COUNTIFS($A$6:$A31,"&lt;&gt;",$C$6:$C31,Activities!$G$12),"")</f>
        <v/>
      </c>
      <c r="P31">
        <f>IFERROR(INDEX($A$6:$A$65,MATCH(26,$O$6:$O$65,0)),"")</f>
        <v/>
      </c>
    </row>
    <row r="32">
      <c r="A32" s="95" t="n"/>
      <c r="B32" s="95" t="n"/>
      <c r="C32" s="95" t="n"/>
      <c r="D32" s="143" t="n"/>
      <c r="E32" s="95" t="n"/>
      <c r="F32" s="95" t="n"/>
      <c r="I32" s="145" t="n"/>
      <c r="J32" s="95" t="n"/>
      <c r="K32" s="95" t="n"/>
      <c r="L32">
        <f>IF($A32="","",IF($E32="",1,$E32))</f>
        <v/>
      </c>
      <c r="M32">
        <f>IF(AND($A32&lt;&gt;"",$C32=$G$6),COUNTIFS($A$6:$A32,"&lt;&gt;",$C$6:$C32,$G$6),"")</f>
        <v/>
      </c>
      <c r="N32">
        <f>IFERROR(INDEX($A$6:$A$65,MATCH(27,$M$6:$M$65,0)),"")</f>
        <v/>
      </c>
      <c r="O32">
        <f>IF(AND($A32&lt;&gt;"",OR($C32=Activities!$G$8,$C32=Activities!$G$12)),COUNTIFS($A$6:$A32,"&lt;&gt;",$C$6:$C32,Activities!$G$8)+COUNTIFS($A$6:$A32,"&lt;&gt;",$C$6:$C32,Activities!$G$12),"")</f>
        <v/>
      </c>
      <c r="P32">
        <f>IFERROR(INDEX($A$6:$A$65,MATCH(27,$O$6:$O$65,0)),"")</f>
        <v/>
      </c>
    </row>
    <row r="33">
      <c r="A33" s="95" t="n"/>
      <c r="B33" s="95" t="n"/>
      <c r="C33" s="95" t="n"/>
      <c r="D33" s="143" t="n"/>
      <c r="E33" s="95" t="n"/>
      <c r="F33" s="95" t="n"/>
      <c r="I33" s="145" t="n"/>
      <c r="J33" s="95" t="n"/>
      <c r="K33" s="95" t="n"/>
      <c r="L33">
        <f>IF($A33="","",IF($E33="",1,$E33))</f>
        <v/>
      </c>
      <c r="M33">
        <f>IF(AND($A33&lt;&gt;"",$C33=$G$6),COUNTIFS($A$6:$A33,"&lt;&gt;",$C$6:$C33,$G$6),"")</f>
        <v/>
      </c>
      <c r="N33">
        <f>IFERROR(INDEX($A$6:$A$65,MATCH(28,$M$6:$M$65,0)),"")</f>
        <v/>
      </c>
      <c r="O33">
        <f>IF(AND($A33&lt;&gt;"",OR($C33=Activities!$G$8,$C33=Activities!$G$12)),COUNTIFS($A$6:$A33,"&lt;&gt;",$C$6:$C33,Activities!$G$8)+COUNTIFS($A$6:$A33,"&lt;&gt;",$C$6:$C33,Activities!$G$12),"")</f>
        <v/>
      </c>
      <c r="P33">
        <f>IFERROR(INDEX($A$6:$A$65,MATCH(28,$O$6:$O$65,0)),"")</f>
        <v/>
      </c>
    </row>
    <row r="34">
      <c r="A34" s="95" t="n"/>
      <c r="B34" s="95" t="n"/>
      <c r="C34" s="95" t="n"/>
      <c r="D34" s="143" t="n"/>
      <c r="E34" s="95" t="n"/>
      <c r="F34" s="95" t="n"/>
      <c r="I34" s="145" t="n"/>
      <c r="J34" s="95" t="n"/>
      <c r="K34" s="95" t="n"/>
      <c r="L34">
        <f>IF($A34="","",IF($E34="",1,$E34))</f>
        <v/>
      </c>
      <c r="M34">
        <f>IF(AND($A34&lt;&gt;"",$C34=$G$6),COUNTIFS($A$6:$A34,"&lt;&gt;",$C$6:$C34,$G$6),"")</f>
        <v/>
      </c>
      <c r="N34">
        <f>IFERROR(INDEX($A$6:$A$65,MATCH(29,$M$6:$M$65,0)),"")</f>
        <v/>
      </c>
      <c r="O34">
        <f>IF(AND($A34&lt;&gt;"",OR($C34=Activities!$G$8,$C34=Activities!$G$12)),COUNTIFS($A$6:$A34,"&lt;&gt;",$C$6:$C34,Activities!$G$8)+COUNTIFS($A$6:$A34,"&lt;&gt;",$C$6:$C34,Activities!$G$12),"")</f>
        <v/>
      </c>
      <c r="P34">
        <f>IFERROR(INDEX($A$6:$A$65,MATCH(29,$O$6:$O$65,0)),"")</f>
        <v/>
      </c>
    </row>
    <row r="35">
      <c r="A35" s="95" t="n"/>
      <c r="B35" s="95" t="n"/>
      <c r="C35" s="95" t="n"/>
      <c r="D35" s="143" t="n"/>
      <c r="E35" s="95" t="n"/>
      <c r="F35" s="95" t="n"/>
      <c r="I35" s="145" t="n"/>
      <c r="J35" s="95" t="n"/>
      <c r="K35" s="95" t="n"/>
      <c r="L35">
        <f>IF($A35="","",IF($E35="",1,$E35))</f>
        <v/>
      </c>
      <c r="M35">
        <f>IF(AND($A35&lt;&gt;"",$C35=$G$6),COUNTIFS($A$6:$A35,"&lt;&gt;",$C$6:$C35,$G$6),"")</f>
        <v/>
      </c>
      <c r="N35">
        <f>IFERROR(INDEX($A$6:$A$65,MATCH(30,$M$6:$M$65,0)),"")</f>
        <v/>
      </c>
      <c r="O35">
        <f>IF(AND($A35&lt;&gt;"",OR($C35=Activities!$G$8,$C35=Activities!$G$12)),COUNTIFS($A$6:$A35,"&lt;&gt;",$C$6:$C35,Activities!$G$8)+COUNTIFS($A$6:$A35,"&lt;&gt;",$C$6:$C35,Activities!$G$12),"")</f>
        <v/>
      </c>
      <c r="P35">
        <f>IFERROR(INDEX($A$6:$A$65,MATCH(30,$O$6:$O$65,0)),"")</f>
        <v/>
      </c>
    </row>
    <row r="36">
      <c r="A36" s="95" t="n"/>
      <c r="B36" s="95" t="n"/>
      <c r="C36" s="95" t="n"/>
      <c r="D36" s="143" t="n"/>
      <c r="E36" s="95" t="n"/>
      <c r="F36" s="95" t="n"/>
      <c r="K36" s="95" t="n"/>
      <c r="L36">
        <f>IF($A36="","",IF($E36="",1,$E36))</f>
        <v/>
      </c>
      <c r="M36">
        <f>IF(AND($A36&lt;&gt;"",$C36=$G$6),COUNTIFS($A$6:$A36,"&lt;&gt;",$C$6:$C36,$G$6),"")</f>
        <v/>
      </c>
      <c r="N36">
        <f>IFERROR(INDEX($A$6:$A$65,MATCH(31,$M$6:$M$65,0)),"")</f>
        <v/>
      </c>
      <c r="O36">
        <f>IF(AND($A36&lt;&gt;"",OR($C36=Activities!$G$8,$C36=Activities!$G$12)),COUNTIFS($A$6:$A36,"&lt;&gt;",$C$6:$C36,Activities!$G$8)+COUNTIFS($A$6:$A36,"&lt;&gt;",$C$6:$C36,Activities!$G$12),"")</f>
        <v/>
      </c>
      <c r="P36">
        <f>IFERROR(INDEX($A$6:$A$65,MATCH(31,$O$6:$O$65,0)),"")</f>
        <v/>
      </c>
    </row>
    <row r="37">
      <c r="A37" s="95" t="n"/>
      <c r="B37" s="95" t="n"/>
      <c r="C37" s="95" t="n"/>
      <c r="D37" s="143" t="n"/>
      <c r="E37" s="95" t="n"/>
      <c r="F37" s="95" t="n"/>
      <c r="K37" s="95" t="n"/>
      <c r="L37">
        <f>IF($A37="","",IF($E37="",1,$E37))</f>
        <v/>
      </c>
      <c r="M37">
        <f>IF(AND($A37&lt;&gt;"",$C37=$G$6),COUNTIFS($A$6:$A37,"&lt;&gt;",$C$6:$C37,$G$6),"")</f>
        <v/>
      </c>
      <c r="N37">
        <f>IFERROR(INDEX($A$6:$A$65,MATCH(32,$M$6:$M$65,0)),"")</f>
        <v/>
      </c>
      <c r="O37">
        <f>IF(AND($A37&lt;&gt;"",OR($C37=Activities!$G$8,$C37=Activities!$G$12)),COUNTIFS($A$6:$A37,"&lt;&gt;",$C$6:$C37,Activities!$G$8)+COUNTIFS($A$6:$A37,"&lt;&gt;",$C$6:$C37,Activities!$G$12),"")</f>
        <v/>
      </c>
      <c r="P37">
        <f>IFERROR(INDEX($A$6:$A$65,MATCH(32,$O$6:$O$65,0)),"")</f>
        <v/>
      </c>
    </row>
    <row r="38">
      <c r="A38" s="95" t="n"/>
      <c r="B38" s="95" t="n"/>
      <c r="C38" s="95" t="n"/>
      <c r="D38" s="143" t="n"/>
      <c r="E38" s="95" t="n"/>
      <c r="F38" s="95" t="n"/>
      <c r="K38" s="95" t="n"/>
      <c r="L38">
        <f>IF($A38="","",IF($E38="",1,$E38))</f>
        <v/>
      </c>
      <c r="M38">
        <f>IF(AND($A38&lt;&gt;"",$C38=$G$6),COUNTIFS($A$6:$A38,"&lt;&gt;",$C$6:$C38,$G$6),"")</f>
        <v/>
      </c>
      <c r="N38">
        <f>IFERROR(INDEX($A$6:$A$65,MATCH(33,$M$6:$M$65,0)),"")</f>
        <v/>
      </c>
      <c r="O38">
        <f>IF(AND($A38&lt;&gt;"",OR($C38=Activities!$G$8,$C38=Activities!$G$12)),COUNTIFS($A$6:$A38,"&lt;&gt;",$C$6:$C38,Activities!$G$8)+COUNTIFS($A$6:$A38,"&lt;&gt;",$C$6:$C38,Activities!$G$12),"")</f>
        <v/>
      </c>
      <c r="P38">
        <f>IFERROR(INDEX($A$6:$A$65,MATCH(33,$O$6:$O$65,0)),"")</f>
        <v/>
      </c>
    </row>
    <row r="39">
      <c r="A39" s="95" t="n"/>
      <c r="B39" s="95" t="n"/>
      <c r="C39" s="95" t="n"/>
      <c r="D39" s="143" t="n"/>
      <c r="E39" s="95" t="n"/>
      <c r="F39" s="95" t="n"/>
      <c r="K39" s="95" t="n"/>
      <c r="L39">
        <f>IF($A39="","",IF($E39="",1,$E39))</f>
        <v/>
      </c>
      <c r="M39">
        <f>IF(AND($A39&lt;&gt;"",$C39=$G$6),COUNTIFS($A$6:$A39,"&lt;&gt;",$C$6:$C39,$G$6),"")</f>
        <v/>
      </c>
      <c r="N39">
        <f>IFERROR(INDEX($A$6:$A$65,MATCH(34,$M$6:$M$65,0)),"")</f>
        <v/>
      </c>
      <c r="O39">
        <f>IF(AND($A39&lt;&gt;"",OR($C39=Activities!$G$8,$C39=Activities!$G$12)),COUNTIFS($A$6:$A39,"&lt;&gt;",$C$6:$C39,Activities!$G$8)+COUNTIFS($A$6:$A39,"&lt;&gt;",$C$6:$C39,Activities!$G$12),"")</f>
        <v/>
      </c>
      <c r="P39">
        <f>IFERROR(INDEX($A$6:$A$65,MATCH(34,$O$6:$O$65,0)),"")</f>
        <v/>
      </c>
    </row>
    <row r="40">
      <c r="A40" s="95" t="n"/>
      <c r="B40" s="95" t="n"/>
      <c r="C40" s="95" t="n"/>
      <c r="D40" s="143" t="n"/>
      <c r="E40" s="95" t="n"/>
      <c r="F40" s="95" t="n"/>
      <c r="K40" s="95" t="n"/>
      <c r="L40">
        <f>IF($A40="","",IF($E40="",1,$E40))</f>
        <v/>
      </c>
      <c r="M40">
        <f>IF(AND($A40&lt;&gt;"",$C40=$G$6),COUNTIFS($A$6:$A40,"&lt;&gt;",$C$6:$C40,$G$6),"")</f>
        <v/>
      </c>
      <c r="N40">
        <f>IFERROR(INDEX($A$6:$A$65,MATCH(35,$M$6:$M$65,0)),"")</f>
        <v/>
      </c>
      <c r="O40">
        <f>IF(AND($A40&lt;&gt;"",OR($C40=Activities!$G$8,$C40=Activities!$G$12)),COUNTIFS($A$6:$A40,"&lt;&gt;",$C$6:$C40,Activities!$G$8)+COUNTIFS($A$6:$A40,"&lt;&gt;",$C$6:$C40,Activities!$G$12),"")</f>
        <v/>
      </c>
      <c r="P40">
        <f>IFERROR(INDEX($A$6:$A$65,MATCH(35,$O$6:$O$65,0)),"")</f>
        <v/>
      </c>
    </row>
    <row r="41">
      <c r="A41" s="95" t="n"/>
      <c r="B41" s="95" t="n"/>
      <c r="C41" s="95" t="n"/>
      <c r="D41" s="143" t="n"/>
      <c r="E41" s="95" t="n"/>
      <c r="F41" s="95" t="n"/>
      <c r="K41" s="95" t="n"/>
      <c r="L41">
        <f>IF($A41="","",IF($E41="",1,$E41))</f>
        <v/>
      </c>
      <c r="M41">
        <f>IF(AND($A41&lt;&gt;"",$C41=$G$6),COUNTIFS($A$6:$A41,"&lt;&gt;",$C$6:$C41,$G$6),"")</f>
        <v/>
      </c>
      <c r="N41">
        <f>IFERROR(INDEX($A$6:$A$65,MATCH(36,$M$6:$M$65,0)),"")</f>
        <v/>
      </c>
      <c r="O41">
        <f>IF(AND($A41&lt;&gt;"",OR($C41=Activities!$G$8,$C41=Activities!$G$12)),COUNTIFS($A$6:$A41,"&lt;&gt;",$C$6:$C41,Activities!$G$8)+COUNTIFS($A$6:$A41,"&lt;&gt;",$C$6:$C41,Activities!$G$12),"")</f>
        <v/>
      </c>
      <c r="P41">
        <f>IFERROR(INDEX($A$6:$A$65,MATCH(36,$O$6:$O$65,0)),"")</f>
        <v/>
      </c>
    </row>
    <row r="42">
      <c r="A42" s="95" t="n"/>
      <c r="B42" s="95" t="n"/>
      <c r="C42" s="95" t="n"/>
      <c r="D42" s="143" t="n"/>
      <c r="E42" s="95" t="n"/>
      <c r="F42" s="95" t="n"/>
      <c r="K42" s="95" t="n"/>
      <c r="L42">
        <f>IF($A42="","",IF($E42="",1,$E42))</f>
        <v/>
      </c>
      <c r="M42">
        <f>IF(AND($A42&lt;&gt;"",$C42=$G$6),COUNTIFS($A$6:$A42,"&lt;&gt;",$C$6:$C42,$G$6),"")</f>
        <v/>
      </c>
      <c r="N42">
        <f>IFERROR(INDEX($A$6:$A$65,MATCH(37,$M$6:$M$65,0)),"")</f>
        <v/>
      </c>
      <c r="O42">
        <f>IF(AND($A42&lt;&gt;"",OR($C42=Activities!$G$8,$C42=Activities!$G$12)),COUNTIFS($A$6:$A42,"&lt;&gt;",$C$6:$C42,Activities!$G$8)+COUNTIFS($A$6:$A42,"&lt;&gt;",$C$6:$C42,Activities!$G$12),"")</f>
        <v/>
      </c>
      <c r="P42">
        <f>IFERROR(INDEX($A$6:$A$65,MATCH(37,$O$6:$O$65,0)),"")</f>
        <v/>
      </c>
    </row>
    <row r="43">
      <c r="A43" s="95" t="n"/>
      <c r="B43" s="95" t="n"/>
      <c r="C43" s="95" t="n"/>
      <c r="D43" s="143" t="n"/>
      <c r="E43" s="95" t="n"/>
      <c r="F43" s="95" t="n"/>
      <c r="K43" s="95" t="n"/>
      <c r="L43">
        <f>IF($A43="","",IF($E43="",1,$E43))</f>
        <v/>
      </c>
      <c r="M43">
        <f>IF(AND($A43&lt;&gt;"",$C43=$G$6),COUNTIFS($A$6:$A43,"&lt;&gt;",$C$6:$C43,$G$6),"")</f>
        <v/>
      </c>
      <c r="N43">
        <f>IFERROR(INDEX($A$6:$A$65,MATCH(38,$M$6:$M$65,0)),"")</f>
        <v/>
      </c>
      <c r="O43">
        <f>IF(AND($A43&lt;&gt;"",OR($C43=Activities!$G$8,$C43=Activities!$G$12)),COUNTIFS($A$6:$A43,"&lt;&gt;",$C$6:$C43,Activities!$G$8)+COUNTIFS($A$6:$A43,"&lt;&gt;",$C$6:$C43,Activities!$G$12),"")</f>
        <v/>
      </c>
      <c r="P43">
        <f>IFERROR(INDEX($A$6:$A$65,MATCH(38,$O$6:$O$65,0)),"")</f>
        <v/>
      </c>
    </row>
    <row r="44">
      <c r="A44" s="95" t="n"/>
      <c r="B44" s="95" t="n"/>
      <c r="C44" s="95" t="n"/>
      <c r="D44" s="143" t="n"/>
      <c r="E44" s="95" t="n"/>
      <c r="F44" s="95" t="n"/>
      <c r="K44" s="95" t="n"/>
      <c r="L44">
        <f>IF($A44="","",IF($E44="",1,$E44))</f>
        <v/>
      </c>
      <c r="M44">
        <f>IF(AND($A44&lt;&gt;"",$C44=$G$6),COUNTIFS($A$6:$A44,"&lt;&gt;",$C$6:$C44,$G$6),"")</f>
        <v/>
      </c>
      <c r="N44">
        <f>IFERROR(INDEX($A$6:$A$65,MATCH(39,$M$6:$M$65,0)),"")</f>
        <v/>
      </c>
      <c r="O44">
        <f>IF(AND($A44&lt;&gt;"",OR($C44=Activities!$G$8,$C44=Activities!$G$12)),COUNTIFS($A$6:$A44,"&lt;&gt;",$C$6:$C44,Activities!$G$8)+COUNTIFS($A$6:$A44,"&lt;&gt;",$C$6:$C44,Activities!$G$12),"")</f>
        <v/>
      </c>
      <c r="P44">
        <f>IFERROR(INDEX($A$6:$A$65,MATCH(39,$O$6:$O$65,0)),"")</f>
        <v/>
      </c>
    </row>
    <row r="45">
      <c r="A45" s="95" t="n"/>
      <c r="B45" s="95" t="n"/>
      <c r="C45" s="95" t="n"/>
      <c r="D45" s="143" t="n"/>
      <c r="E45" s="95" t="n"/>
      <c r="F45" s="95" t="n"/>
      <c r="K45" s="95" t="n"/>
      <c r="L45">
        <f>IF($A45="","",IF($E45="",1,$E45))</f>
        <v/>
      </c>
      <c r="M45">
        <f>IF(AND($A45&lt;&gt;"",$C45=$G$6),COUNTIFS($A$6:$A45,"&lt;&gt;",$C$6:$C45,$G$6),"")</f>
        <v/>
      </c>
      <c r="N45">
        <f>IFERROR(INDEX($A$6:$A$65,MATCH(40,$M$6:$M$65,0)),"")</f>
        <v/>
      </c>
      <c r="O45">
        <f>IF(AND($A45&lt;&gt;"",OR($C45=Activities!$G$8,$C45=Activities!$G$12)),COUNTIFS($A$6:$A45,"&lt;&gt;",$C$6:$C45,Activities!$G$8)+COUNTIFS($A$6:$A45,"&lt;&gt;",$C$6:$C45,Activities!$G$12),"")</f>
        <v/>
      </c>
      <c r="P45">
        <f>IFERROR(INDEX($A$6:$A$65,MATCH(40,$O$6:$O$65,0)),"")</f>
        <v/>
      </c>
    </row>
    <row r="46">
      <c r="A46" s="95" t="n"/>
      <c r="B46" s="95" t="n"/>
      <c r="C46" s="95" t="n"/>
      <c r="D46" s="143" t="n"/>
      <c r="E46" s="95" t="n"/>
      <c r="F46" s="95" t="n"/>
      <c r="K46" s="95" t="n"/>
      <c r="L46">
        <f>IF($A46="","",IF($E46="",1,$E46))</f>
        <v/>
      </c>
      <c r="M46">
        <f>IF(AND($A46&lt;&gt;"",$C46=$G$6),COUNTIFS($A$6:$A46,"&lt;&gt;",$C$6:$C46,$G$6),"")</f>
        <v/>
      </c>
      <c r="N46">
        <f>IFERROR(INDEX($A$6:$A$65,MATCH(41,$M$6:$M$65,0)),"")</f>
        <v/>
      </c>
      <c r="O46">
        <f>IF(AND($A46&lt;&gt;"",OR($C46=Activities!$G$8,$C46=Activities!$G$12)),COUNTIFS($A$6:$A46,"&lt;&gt;",$C$6:$C46,Activities!$G$8)+COUNTIFS($A$6:$A46,"&lt;&gt;",$C$6:$C46,Activities!$G$12),"")</f>
        <v/>
      </c>
      <c r="P46">
        <f>IFERROR(INDEX($A$6:$A$65,MATCH(41,$O$6:$O$65,0)),"")</f>
        <v/>
      </c>
    </row>
    <row r="47">
      <c r="A47" s="95" t="n"/>
      <c r="B47" s="95" t="n"/>
      <c r="C47" s="95" t="n"/>
      <c r="D47" s="143" t="n"/>
      <c r="E47" s="95" t="n"/>
      <c r="F47" s="95" t="n"/>
      <c r="K47" s="95" t="n"/>
      <c r="L47">
        <f>IF($A47="","",IF($E47="",1,$E47))</f>
        <v/>
      </c>
      <c r="M47">
        <f>IF(AND($A47&lt;&gt;"",$C47=$G$6),COUNTIFS($A$6:$A47,"&lt;&gt;",$C$6:$C47,$G$6),"")</f>
        <v/>
      </c>
      <c r="N47">
        <f>IFERROR(INDEX($A$6:$A$65,MATCH(42,$M$6:$M$65,0)),"")</f>
        <v/>
      </c>
      <c r="O47">
        <f>IF(AND($A47&lt;&gt;"",OR($C47=Activities!$G$8,$C47=Activities!$G$12)),COUNTIFS($A$6:$A47,"&lt;&gt;",$C$6:$C47,Activities!$G$8)+COUNTIFS($A$6:$A47,"&lt;&gt;",$C$6:$C47,Activities!$G$12),"")</f>
        <v/>
      </c>
      <c r="P47">
        <f>IFERROR(INDEX($A$6:$A$65,MATCH(42,$O$6:$O$65,0)),"")</f>
        <v/>
      </c>
    </row>
    <row r="48">
      <c r="A48" s="95" t="n"/>
      <c r="B48" s="95" t="n"/>
      <c r="C48" s="95" t="n"/>
      <c r="D48" s="143" t="n"/>
      <c r="E48" s="95" t="n"/>
      <c r="F48" s="95" t="n"/>
      <c r="K48" s="95" t="n"/>
      <c r="L48">
        <f>IF($A48="","",IF($E48="",1,$E48))</f>
        <v/>
      </c>
      <c r="M48">
        <f>IF(AND($A48&lt;&gt;"",$C48=$G$6),COUNTIFS($A$6:$A48,"&lt;&gt;",$C$6:$C48,$G$6),"")</f>
        <v/>
      </c>
      <c r="N48">
        <f>IFERROR(INDEX($A$6:$A$65,MATCH(43,$M$6:$M$65,0)),"")</f>
        <v/>
      </c>
      <c r="O48">
        <f>IF(AND($A48&lt;&gt;"",OR($C48=Activities!$G$8,$C48=Activities!$G$12)),COUNTIFS($A$6:$A48,"&lt;&gt;",$C$6:$C48,Activities!$G$8)+COUNTIFS($A$6:$A48,"&lt;&gt;",$C$6:$C48,Activities!$G$12),"")</f>
        <v/>
      </c>
      <c r="P48">
        <f>IFERROR(INDEX($A$6:$A$65,MATCH(43,$O$6:$O$65,0)),"")</f>
        <v/>
      </c>
    </row>
    <row r="49">
      <c r="A49" s="95" t="n"/>
      <c r="B49" s="95" t="n"/>
      <c r="C49" s="95" t="n"/>
      <c r="D49" s="143" t="n"/>
      <c r="E49" s="95" t="n"/>
      <c r="F49" s="95" t="n"/>
      <c r="K49" s="95" t="n"/>
      <c r="L49">
        <f>IF($A49="","",IF($E49="",1,$E49))</f>
        <v/>
      </c>
      <c r="M49">
        <f>IF(AND($A49&lt;&gt;"",$C49=$G$6),COUNTIFS($A$6:$A49,"&lt;&gt;",$C$6:$C49,$G$6),"")</f>
        <v/>
      </c>
      <c r="N49">
        <f>IFERROR(INDEX($A$6:$A$65,MATCH(44,$M$6:$M$65,0)),"")</f>
        <v/>
      </c>
      <c r="O49">
        <f>IF(AND($A49&lt;&gt;"",OR($C49=Activities!$G$8,$C49=Activities!$G$12)),COUNTIFS($A$6:$A49,"&lt;&gt;",$C$6:$C49,Activities!$G$8)+COUNTIFS($A$6:$A49,"&lt;&gt;",$C$6:$C49,Activities!$G$12),"")</f>
        <v/>
      </c>
      <c r="P49">
        <f>IFERROR(INDEX($A$6:$A$65,MATCH(44,$O$6:$O$65,0)),"")</f>
        <v/>
      </c>
    </row>
    <row r="50">
      <c r="A50" s="95" t="n"/>
      <c r="B50" s="95" t="n"/>
      <c r="C50" s="95" t="n"/>
      <c r="D50" s="143" t="n"/>
      <c r="E50" s="95" t="n"/>
      <c r="F50" s="95" t="n"/>
      <c r="K50" s="95" t="n"/>
      <c r="L50">
        <f>IF($A50="","",IF($E50="",1,$E50))</f>
        <v/>
      </c>
      <c r="M50">
        <f>IF(AND($A50&lt;&gt;"",$C50=$G$6),COUNTIFS($A$6:$A50,"&lt;&gt;",$C$6:$C50,$G$6),"")</f>
        <v/>
      </c>
      <c r="N50">
        <f>IFERROR(INDEX($A$6:$A$65,MATCH(45,$M$6:$M$65,0)),"")</f>
        <v/>
      </c>
      <c r="O50">
        <f>IF(AND($A50&lt;&gt;"",OR($C50=Activities!$G$8,$C50=Activities!$G$12)),COUNTIFS($A$6:$A50,"&lt;&gt;",$C$6:$C50,Activities!$G$8)+COUNTIFS($A$6:$A50,"&lt;&gt;",$C$6:$C50,Activities!$G$12),"")</f>
        <v/>
      </c>
      <c r="P50">
        <f>IFERROR(INDEX($A$6:$A$65,MATCH(45,$O$6:$O$65,0)),"")</f>
        <v/>
      </c>
    </row>
    <row r="51">
      <c r="A51" s="95" t="n"/>
      <c r="B51" s="95" t="n"/>
      <c r="C51" s="95" t="n"/>
      <c r="D51" s="143" t="n"/>
      <c r="E51" s="95" t="n"/>
      <c r="F51" s="95" t="n"/>
      <c r="K51" s="95" t="n"/>
      <c r="L51">
        <f>IF($A51="","",IF($E51="",1,$E51))</f>
        <v/>
      </c>
      <c r="M51">
        <f>IF(AND($A51&lt;&gt;"",$C51=$G$6),COUNTIFS($A$6:$A51,"&lt;&gt;",$C$6:$C51,$G$6),"")</f>
        <v/>
      </c>
      <c r="N51">
        <f>IFERROR(INDEX($A$6:$A$65,MATCH(46,$M$6:$M$65,0)),"")</f>
        <v/>
      </c>
      <c r="O51">
        <f>IF(AND($A51&lt;&gt;"",OR($C51=Activities!$G$8,$C51=Activities!$G$12)),COUNTIFS($A$6:$A51,"&lt;&gt;",$C$6:$C51,Activities!$G$8)+COUNTIFS($A$6:$A51,"&lt;&gt;",$C$6:$C51,Activities!$G$12),"")</f>
        <v/>
      </c>
      <c r="P51">
        <f>IFERROR(INDEX($A$6:$A$65,MATCH(46,$O$6:$O$65,0)),"")</f>
        <v/>
      </c>
    </row>
    <row r="52">
      <c r="A52" s="95" t="n"/>
      <c r="B52" s="95" t="n"/>
      <c r="C52" s="95" t="n"/>
      <c r="D52" s="143" t="n"/>
      <c r="E52" s="95" t="n"/>
      <c r="F52" s="95" t="n"/>
      <c r="K52" s="95" t="n"/>
      <c r="L52">
        <f>IF($A52="","",IF($E52="",1,$E52))</f>
        <v/>
      </c>
      <c r="M52">
        <f>IF(AND($A52&lt;&gt;"",$C52=$G$6),COUNTIFS($A$6:$A52,"&lt;&gt;",$C$6:$C52,$G$6),"")</f>
        <v/>
      </c>
      <c r="N52">
        <f>IFERROR(INDEX($A$6:$A$65,MATCH(47,$M$6:$M$65,0)),"")</f>
        <v/>
      </c>
      <c r="O52">
        <f>IF(AND($A52&lt;&gt;"",OR($C52=Activities!$G$8,$C52=Activities!$G$12)),COUNTIFS($A$6:$A52,"&lt;&gt;",$C$6:$C52,Activities!$G$8)+COUNTIFS($A$6:$A52,"&lt;&gt;",$C$6:$C52,Activities!$G$12),"")</f>
        <v/>
      </c>
      <c r="P52">
        <f>IFERROR(INDEX($A$6:$A$65,MATCH(47,$O$6:$O$65,0)),"")</f>
        <v/>
      </c>
    </row>
    <row r="53">
      <c r="A53" s="95" t="n"/>
      <c r="B53" s="95" t="n"/>
      <c r="C53" s="95" t="n"/>
      <c r="D53" s="143" t="n"/>
      <c r="E53" s="95" t="n"/>
      <c r="F53" s="95" t="n"/>
      <c r="K53" s="95" t="n"/>
      <c r="L53">
        <f>IF($A53="","",IF($E53="",1,$E53))</f>
        <v/>
      </c>
      <c r="M53">
        <f>IF(AND($A53&lt;&gt;"",$C53=$G$6),COUNTIFS($A$6:$A53,"&lt;&gt;",$C$6:$C53,$G$6),"")</f>
        <v/>
      </c>
      <c r="N53">
        <f>IFERROR(INDEX($A$6:$A$65,MATCH(48,$M$6:$M$65,0)),"")</f>
        <v/>
      </c>
      <c r="O53">
        <f>IF(AND($A53&lt;&gt;"",OR($C53=Activities!$G$8,$C53=Activities!$G$12)),COUNTIFS($A$6:$A53,"&lt;&gt;",$C$6:$C53,Activities!$G$8)+COUNTIFS($A$6:$A53,"&lt;&gt;",$C$6:$C53,Activities!$G$12),"")</f>
        <v/>
      </c>
      <c r="P53">
        <f>IFERROR(INDEX($A$6:$A$65,MATCH(48,$O$6:$O$65,0)),"")</f>
        <v/>
      </c>
    </row>
    <row r="54">
      <c r="A54" s="95" t="n"/>
      <c r="B54" s="95" t="n"/>
      <c r="C54" s="95" t="n"/>
      <c r="D54" s="143" t="n"/>
      <c r="E54" s="95" t="n"/>
      <c r="F54" s="95" t="n"/>
      <c r="K54" s="95" t="n"/>
      <c r="L54">
        <f>IF($A54="","",IF($E54="",1,$E54))</f>
        <v/>
      </c>
      <c r="M54">
        <f>IF(AND($A54&lt;&gt;"",$C54=$G$6),COUNTIFS($A$6:$A54,"&lt;&gt;",$C$6:$C54,$G$6),"")</f>
        <v/>
      </c>
      <c r="N54">
        <f>IFERROR(INDEX($A$6:$A$65,MATCH(49,$M$6:$M$65,0)),"")</f>
        <v/>
      </c>
      <c r="O54">
        <f>IF(AND($A54&lt;&gt;"",OR($C54=Activities!$G$8,$C54=Activities!$G$12)),COUNTIFS($A$6:$A54,"&lt;&gt;",$C$6:$C54,Activities!$G$8)+COUNTIFS($A$6:$A54,"&lt;&gt;",$C$6:$C54,Activities!$G$12),"")</f>
        <v/>
      </c>
      <c r="P54">
        <f>IFERROR(INDEX($A$6:$A$65,MATCH(49,$O$6:$O$65,0)),"")</f>
        <v/>
      </c>
    </row>
    <row r="55">
      <c r="A55" s="95" t="n"/>
      <c r="B55" s="95" t="n"/>
      <c r="C55" s="95" t="n"/>
      <c r="D55" s="143" t="n"/>
      <c r="E55" s="95" t="n"/>
      <c r="F55" s="95" t="n"/>
      <c r="K55" s="95" t="n"/>
      <c r="L55">
        <f>IF($A55="","",IF($E55="",1,$E55))</f>
        <v/>
      </c>
      <c r="M55">
        <f>IF(AND($A55&lt;&gt;"",$C55=$G$6),COUNTIFS($A$6:$A55,"&lt;&gt;",$C$6:$C55,$G$6),"")</f>
        <v/>
      </c>
      <c r="N55">
        <f>IFERROR(INDEX($A$6:$A$65,MATCH(50,$M$6:$M$65,0)),"")</f>
        <v/>
      </c>
      <c r="O55">
        <f>IF(AND($A55&lt;&gt;"",OR($C55=Activities!$G$8,$C55=Activities!$G$12)),COUNTIFS($A$6:$A55,"&lt;&gt;",$C$6:$C55,Activities!$G$8)+COUNTIFS($A$6:$A55,"&lt;&gt;",$C$6:$C55,Activities!$G$12),"")</f>
        <v/>
      </c>
      <c r="P55">
        <f>IFERROR(INDEX($A$6:$A$65,MATCH(50,$O$6:$O$65,0)),"")</f>
        <v/>
      </c>
    </row>
    <row r="56">
      <c r="A56" s="95" t="n"/>
      <c r="B56" s="95" t="n"/>
      <c r="C56" s="95" t="n"/>
      <c r="D56" s="143" t="n"/>
      <c r="E56" s="95" t="n"/>
      <c r="F56" s="95" t="n"/>
      <c r="K56" s="95" t="n"/>
      <c r="L56">
        <f>IF($A56="","",IF($E56="",1,$E56))</f>
        <v/>
      </c>
      <c r="M56">
        <f>IF(AND($A56&lt;&gt;"",$C56=$G$6),COUNTIFS($A$6:$A56,"&lt;&gt;",$C$6:$C56,$G$6),"")</f>
        <v/>
      </c>
      <c r="N56">
        <f>IFERROR(INDEX($A$6:$A$65,MATCH(51,$M$6:$M$65,0)),"")</f>
        <v/>
      </c>
      <c r="O56">
        <f>IF(AND($A56&lt;&gt;"",OR($C56=Activities!$G$8,$C56=Activities!$G$12)),COUNTIFS($A$6:$A56,"&lt;&gt;",$C$6:$C56,Activities!$G$8)+COUNTIFS($A$6:$A56,"&lt;&gt;",$C$6:$C56,Activities!$G$12),"")</f>
        <v/>
      </c>
      <c r="P56">
        <f>IFERROR(INDEX($A$6:$A$65,MATCH(51,$O$6:$O$65,0)),"")</f>
        <v/>
      </c>
    </row>
    <row r="57">
      <c r="A57" s="95" t="n"/>
      <c r="B57" s="95" t="n"/>
      <c r="C57" s="95" t="n"/>
      <c r="D57" s="143" t="n"/>
      <c r="E57" s="95" t="n"/>
      <c r="F57" s="95" t="n"/>
      <c r="K57" s="95" t="n"/>
      <c r="L57">
        <f>IF($A57="","",IF($E57="",1,$E57))</f>
        <v/>
      </c>
      <c r="M57">
        <f>IF(AND($A57&lt;&gt;"",$C57=$G$6),COUNTIFS($A$6:$A57,"&lt;&gt;",$C$6:$C57,$G$6),"")</f>
        <v/>
      </c>
      <c r="N57">
        <f>IFERROR(INDEX($A$6:$A$65,MATCH(52,$M$6:$M$65,0)),"")</f>
        <v/>
      </c>
      <c r="O57">
        <f>IF(AND($A57&lt;&gt;"",OR($C57=Activities!$G$8,$C57=Activities!$G$12)),COUNTIFS($A$6:$A57,"&lt;&gt;",$C$6:$C57,Activities!$G$8)+COUNTIFS($A$6:$A57,"&lt;&gt;",$C$6:$C57,Activities!$G$12),"")</f>
        <v/>
      </c>
      <c r="P57">
        <f>IFERROR(INDEX($A$6:$A$65,MATCH(52,$O$6:$O$65,0)),"")</f>
        <v/>
      </c>
    </row>
    <row r="58">
      <c r="A58" s="95" t="n"/>
      <c r="B58" s="95" t="n"/>
      <c r="C58" s="95" t="n"/>
      <c r="D58" s="143" t="n"/>
      <c r="E58" s="95" t="n"/>
      <c r="F58" s="95" t="n"/>
      <c r="K58" s="95" t="n"/>
      <c r="L58">
        <f>IF($A58="","",IF($E58="",1,$E58))</f>
        <v/>
      </c>
      <c r="M58">
        <f>IF(AND($A58&lt;&gt;"",$C58=$G$6),COUNTIFS($A$6:$A58,"&lt;&gt;",$C$6:$C58,$G$6),"")</f>
        <v/>
      </c>
      <c r="N58">
        <f>IFERROR(INDEX($A$6:$A$65,MATCH(53,$M$6:$M$65,0)),"")</f>
        <v/>
      </c>
      <c r="O58">
        <f>IF(AND($A58&lt;&gt;"",OR($C58=Activities!$G$8,$C58=Activities!$G$12)),COUNTIFS($A$6:$A58,"&lt;&gt;",$C$6:$C58,Activities!$G$8)+COUNTIFS($A$6:$A58,"&lt;&gt;",$C$6:$C58,Activities!$G$12),"")</f>
        <v/>
      </c>
      <c r="P58">
        <f>IFERROR(INDEX($A$6:$A$65,MATCH(53,$O$6:$O$65,0)),"")</f>
        <v/>
      </c>
    </row>
    <row r="59">
      <c r="A59" s="95" t="n"/>
      <c r="B59" s="95" t="n"/>
      <c r="C59" s="95" t="n"/>
      <c r="D59" s="143" t="n"/>
      <c r="E59" s="95" t="n"/>
      <c r="F59" s="95" t="n"/>
      <c r="K59" s="95" t="n"/>
      <c r="L59">
        <f>IF($A59="","",IF($E59="",1,$E59))</f>
        <v/>
      </c>
      <c r="M59">
        <f>IF(AND($A59&lt;&gt;"",$C59=$G$6),COUNTIFS($A$6:$A59,"&lt;&gt;",$C$6:$C59,$G$6),"")</f>
        <v/>
      </c>
      <c r="N59">
        <f>IFERROR(INDEX($A$6:$A$65,MATCH(54,$M$6:$M$65,0)),"")</f>
        <v/>
      </c>
      <c r="O59">
        <f>IF(AND($A59&lt;&gt;"",OR($C59=Activities!$G$8,$C59=Activities!$G$12)),COUNTIFS($A$6:$A59,"&lt;&gt;",$C$6:$C59,Activities!$G$8)+COUNTIFS($A$6:$A59,"&lt;&gt;",$C$6:$C59,Activities!$G$12),"")</f>
        <v/>
      </c>
      <c r="P59">
        <f>IFERROR(INDEX($A$6:$A$65,MATCH(54,$O$6:$O$65,0)),"")</f>
        <v/>
      </c>
    </row>
    <row r="60">
      <c r="A60" s="95" t="n"/>
      <c r="B60" s="95" t="n"/>
      <c r="C60" s="95" t="n"/>
      <c r="D60" s="143" t="n"/>
      <c r="E60" s="95" t="n"/>
      <c r="F60" s="95" t="n"/>
      <c r="K60" s="95" t="n"/>
      <c r="L60">
        <f>IF($A60="","",IF($E60="",1,$E60))</f>
        <v/>
      </c>
      <c r="M60">
        <f>IF(AND($A60&lt;&gt;"",$C60=$G$6),COUNTIFS($A$6:$A60,"&lt;&gt;",$C$6:$C60,$G$6),"")</f>
        <v/>
      </c>
      <c r="N60">
        <f>IFERROR(INDEX($A$6:$A$65,MATCH(55,$M$6:$M$65,0)),"")</f>
        <v/>
      </c>
      <c r="O60">
        <f>IF(AND($A60&lt;&gt;"",OR($C60=Activities!$G$8,$C60=Activities!$G$12)),COUNTIFS($A$6:$A60,"&lt;&gt;",$C$6:$C60,Activities!$G$8)+COUNTIFS($A$6:$A60,"&lt;&gt;",$C$6:$C60,Activities!$G$12),"")</f>
        <v/>
      </c>
      <c r="P60">
        <f>IFERROR(INDEX($A$6:$A$65,MATCH(55,$O$6:$O$65,0)),"")</f>
        <v/>
      </c>
    </row>
    <row r="61">
      <c r="A61" s="95" t="n"/>
      <c r="B61" s="95" t="n"/>
      <c r="C61" s="95" t="n"/>
      <c r="D61" s="143" t="n"/>
      <c r="E61" s="95" t="n"/>
      <c r="F61" s="95" t="n"/>
      <c r="K61" s="95" t="n"/>
      <c r="L61">
        <f>IF($A61="","",IF($E61="",1,$E61))</f>
        <v/>
      </c>
      <c r="M61">
        <f>IF(AND($A61&lt;&gt;"",$C61=$G$6),COUNTIFS($A$6:$A61,"&lt;&gt;",$C$6:$C61,$G$6),"")</f>
        <v/>
      </c>
      <c r="N61">
        <f>IFERROR(INDEX($A$6:$A$65,MATCH(56,$M$6:$M$65,0)),"")</f>
        <v/>
      </c>
      <c r="O61">
        <f>IF(AND($A61&lt;&gt;"",OR($C61=Activities!$G$8,$C61=Activities!$G$12)),COUNTIFS($A$6:$A61,"&lt;&gt;",$C$6:$C61,Activities!$G$8)+COUNTIFS($A$6:$A61,"&lt;&gt;",$C$6:$C61,Activities!$G$12),"")</f>
        <v/>
      </c>
      <c r="P61">
        <f>IFERROR(INDEX($A$6:$A$65,MATCH(56,$O$6:$O$65,0)),"")</f>
        <v/>
      </c>
    </row>
    <row r="62">
      <c r="A62" s="95" t="n"/>
      <c r="B62" s="95" t="n"/>
      <c r="C62" s="95" t="n"/>
      <c r="D62" s="143" t="n"/>
      <c r="E62" s="95" t="n"/>
      <c r="F62" s="95" t="n"/>
      <c r="K62" s="95" t="n"/>
      <c r="L62">
        <f>IF($A62="","",IF($E62="",1,$E62))</f>
        <v/>
      </c>
      <c r="M62">
        <f>IF(AND($A62&lt;&gt;"",$C62=$G$6),COUNTIFS($A$6:$A62,"&lt;&gt;",$C$6:$C62,$G$6),"")</f>
        <v/>
      </c>
      <c r="N62">
        <f>IFERROR(INDEX($A$6:$A$65,MATCH(57,$M$6:$M$65,0)),"")</f>
        <v/>
      </c>
      <c r="O62">
        <f>IF(AND($A62&lt;&gt;"",OR($C62=Activities!$G$8,$C62=Activities!$G$12)),COUNTIFS($A$6:$A62,"&lt;&gt;",$C$6:$C62,Activities!$G$8)+COUNTIFS($A$6:$A62,"&lt;&gt;",$C$6:$C62,Activities!$G$12),"")</f>
        <v/>
      </c>
      <c r="P62">
        <f>IFERROR(INDEX($A$6:$A$65,MATCH(57,$O$6:$O$65,0)),"")</f>
        <v/>
      </c>
    </row>
    <row r="63">
      <c r="A63" s="95" t="n"/>
      <c r="B63" s="95" t="n"/>
      <c r="C63" s="95" t="n"/>
      <c r="D63" s="143" t="n"/>
      <c r="E63" s="95" t="n"/>
      <c r="F63" s="95" t="n"/>
      <c r="K63" s="95" t="n"/>
      <c r="L63">
        <f>IF($A63="","",IF($E63="",1,$E63))</f>
        <v/>
      </c>
      <c r="M63">
        <f>IF(AND($A63&lt;&gt;"",$C63=$G$6),COUNTIFS($A$6:$A63,"&lt;&gt;",$C$6:$C63,$G$6),"")</f>
        <v/>
      </c>
      <c r="N63">
        <f>IFERROR(INDEX($A$6:$A$65,MATCH(58,$M$6:$M$65,0)),"")</f>
        <v/>
      </c>
      <c r="O63">
        <f>IF(AND($A63&lt;&gt;"",OR($C63=Activities!$G$8,$C63=Activities!$G$12)),COUNTIFS($A$6:$A63,"&lt;&gt;",$C$6:$C63,Activities!$G$8)+COUNTIFS($A$6:$A63,"&lt;&gt;",$C$6:$C63,Activities!$G$12),"")</f>
        <v/>
      </c>
      <c r="P63">
        <f>IFERROR(INDEX($A$6:$A$65,MATCH(58,$O$6:$O$65,0)),"")</f>
        <v/>
      </c>
    </row>
    <row r="64">
      <c r="A64" s="95" t="n"/>
      <c r="B64" s="95" t="n"/>
      <c r="C64" s="95" t="n"/>
      <c r="D64" s="143" t="n"/>
      <c r="E64" s="95" t="n"/>
      <c r="F64" s="95" t="n"/>
      <c r="K64" s="95" t="n"/>
      <c r="L64">
        <f>IF($A64="","",IF($E64="",1,$E64))</f>
        <v/>
      </c>
      <c r="M64">
        <f>IF(AND($A64&lt;&gt;"",$C64=$G$6),COUNTIFS($A$6:$A64,"&lt;&gt;",$C$6:$C64,$G$6),"")</f>
        <v/>
      </c>
      <c r="N64">
        <f>IFERROR(INDEX($A$6:$A$65,MATCH(59,$M$6:$M$65,0)),"")</f>
        <v/>
      </c>
      <c r="O64">
        <f>IF(AND($A64&lt;&gt;"",OR($C64=Activities!$G$8,$C64=Activities!$G$12)),COUNTIFS($A$6:$A64,"&lt;&gt;",$C$6:$C64,Activities!$G$8)+COUNTIFS($A$6:$A64,"&lt;&gt;",$C$6:$C64,Activities!$G$12),"")</f>
        <v/>
      </c>
      <c r="P64">
        <f>IFERROR(INDEX($A$6:$A$65,MATCH(59,$O$6:$O$65,0)),"")</f>
        <v/>
      </c>
    </row>
    <row r="65">
      <c r="A65" s="95" t="n"/>
      <c r="B65" s="95" t="n"/>
      <c r="C65" s="95" t="n"/>
      <c r="D65" s="143" t="n"/>
      <c r="E65" s="95" t="n"/>
      <c r="F65" s="95" t="n"/>
      <c r="K65" s="95" t="n"/>
      <c r="L65">
        <f>IF($A65="","",IF($E65="",1,$E65))</f>
        <v/>
      </c>
      <c r="M65">
        <f>IF(AND($A65&lt;&gt;"",$C65=$G$6),COUNTIFS($A$6:$A65,"&lt;&gt;",$C$6:$C65,$G$6),"")</f>
        <v/>
      </c>
      <c r="N65">
        <f>IFERROR(INDEX($A$6:$A$65,MATCH(60,$M$6:$M$65,0)),"")</f>
        <v/>
      </c>
      <c r="O65">
        <f>IF(AND($A65&lt;&gt;"",OR($C65=Activities!$G$8,$C65=Activities!$G$12)),COUNTIFS($A$6:$A65,"&lt;&gt;",$C$6:$C65,Activities!$G$8)+COUNTIFS($A$6:$A65,"&lt;&gt;",$C$6:$C65,Activities!$G$12),"")</f>
        <v/>
      </c>
      <c r="P65">
        <f>IFERROR(INDEX($A$6:$A$65,MATCH(60,$O$6:$O$65,0)),"")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n"/>
      <c r="L6" s="170" t="n"/>
      <c r="M6" s="170" t="n"/>
      <c r="N6" s="170" t="n"/>
      <c r="O6" s="170" t="inlineStr">
        <is>
          <t>FLT-2.0</t>
        </is>
      </c>
      <c r="P6" s="170" t="n"/>
      <c r="Q6" s="170" t="inlineStr">
        <is>
          <t>2xFLT-1.5</t>
        </is>
      </c>
      <c r="R6" s="170" t="n"/>
      <c r="S6" s="170" t="n"/>
      <c r="T6" s="170" t="n"/>
      <c r="U6" s="170" t="n"/>
      <c r="V6" s="170" t="n"/>
      <c r="W6" s="170" t="n"/>
      <c r="X6" s="170" t="inlineStr">
        <is>
          <t>FLT-2.0</t>
        </is>
      </c>
      <c r="Y6" s="170" t="inlineStr">
        <is>
          <t>FLT-3.0</t>
        </is>
      </c>
      <c r="Z6" s="170" t="inlineStr">
        <is>
          <t>FLT-2.0</t>
        </is>
      </c>
      <c r="AA6" s="170" t="n"/>
      <c r="AB6" s="170" t="n"/>
      <c r="AC6" s="170" t="inlineStr">
        <is>
          <t>FLT-2.0</t>
        </is>
      </c>
      <c r="AD6" s="170" t="inlineStr">
        <is>
          <t>FLT-2.0</t>
        </is>
      </c>
      <c r="AE6" s="170" t="n"/>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n"/>
      <c r="L7" s="175" t="n"/>
      <c r="M7" s="175" t="n"/>
      <c r="N7" s="175" t="n"/>
      <c r="O7" s="175" t="inlineStr">
        <is>
          <t>0830-1030</t>
        </is>
      </c>
      <c r="P7" s="175" t="n"/>
      <c r="Q7" s="175" t="inlineStr">
        <is>
          <t>0800-1100</t>
        </is>
      </c>
      <c r="R7" s="175" t="n"/>
      <c r="S7" s="175" t="n"/>
      <c r="T7" s="175" t="n"/>
      <c r="U7" s="175" t="n"/>
      <c r="V7" s="175" t="n"/>
      <c r="W7" s="175" t="n"/>
      <c r="X7" s="175" t="inlineStr">
        <is>
          <t>0830-1030</t>
        </is>
      </c>
      <c r="Y7" s="175" t="inlineStr">
        <is>
          <t>0800-1100</t>
        </is>
      </c>
      <c r="Z7" s="175" t="inlineStr">
        <is>
          <t>0830-1030</t>
        </is>
      </c>
      <c r="AA7" s="175" t="n"/>
      <c r="AB7" s="175" t="n"/>
      <c r="AC7" s="175" t="inlineStr">
        <is>
          <t>0830-1030</t>
        </is>
      </c>
      <c r="AD7" s="175" t="inlineStr">
        <is>
          <t>0830-1030</t>
        </is>
      </c>
      <c r="AE7" s="175" t="n"/>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n"/>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n"/>
      <c r="J12" s="170" t="n"/>
      <c r="K12" s="170" t="n"/>
      <c r="L12" s="170" t="n"/>
      <c r="M12" s="170" t="n"/>
      <c r="N12" s="170" t="n"/>
      <c r="O12" s="170" t="inlineStr">
        <is>
          <t>FLT-1.5</t>
        </is>
      </c>
      <c r="P12" s="170" t="n"/>
      <c r="Q12" s="170" t="n"/>
      <c r="R12" s="170" t="inlineStr">
        <is>
          <t>MSN-3.0</t>
        </is>
      </c>
      <c r="S12" s="170" t="n"/>
      <c r="T12" s="170" t="n"/>
      <c r="U12" s="170" t="n"/>
      <c r="V12" s="170" t="n"/>
      <c r="W12" s="170" t="n"/>
      <c r="X12" s="170" t="inlineStr">
        <is>
          <t>MSN-3.0</t>
        </is>
      </c>
      <c r="Y12" s="170" t="n"/>
      <c r="Z12" s="170" t="inlineStr">
        <is>
          <t>FLT-1.5</t>
        </is>
      </c>
      <c r="AA12" s="170" t="n"/>
      <c r="AB12" s="170" t="n"/>
      <c r="AC12" s="170" t="inlineStr">
        <is>
          <t>MSN-3.0</t>
        </is>
      </c>
      <c r="AD12" s="170" t="n"/>
      <c r="AE12" s="170" t="inlineStr">
        <is>
          <t>FLT-2.0</t>
        </is>
      </c>
      <c r="AF12" s="170" t="inlineStr">
        <is>
          <t>EIS</t>
        </is>
      </c>
      <c r="AG12" s="170" t="inlineStr">
        <is>
          <t>MSN-3.0</t>
        </is>
      </c>
      <c r="AH12" s="170" t="n"/>
      <c r="AI12" s="176" t="n"/>
      <c r="AM12" s="177" t="n"/>
    </row>
    <row r="13" ht="15" customHeight="1">
      <c r="A13" s="174" t="n"/>
      <c r="B13" s="174" t="n"/>
      <c r="C13" s="174" t="n"/>
      <c r="D13" s="175" t="inlineStr">
        <is>
          <t>1400-1600</t>
        </is>
      </c>
      <c r="E13" s="175" t="inlineStr">
        <is>
          <t>1330</t>
        </is>
      </c>
      <c r="F13" s="175" t="n"/>
      <c r="G13" s="175" t="n"/>
      <c r="H13" s="175" t="n"/>
      <c r="I13" s="175" t="n"/>
      <c r="J13" s="175" t="n"/>
      <c r="K13" s="175" t="n"/>
      <c r="L13" s="175" t="n"/>
      <c r="M13" s="175" t="n"/>
      <c r="N13" s="175" t="n"/>
      <c r="O13" s="175" t="inlineStr">
        <is>
          <t>1400-1530</t>
        </is>
      </c>
      <c r="P13" s="175" t="n"/>
      <c r="Q13" s="175" t="n"/>
      <c r="R13" s="175" t="inlineStr">
        <is>
          <t>1300-1600</t>
        </is>
      </c>
      <c r="S13" s="175" t="n"/>
      <c r="T13" s="175" t="n"/>
      <c r="U13" s="175" t="n"/>
      <c r="V13" s="175" t="n"/>
      <c r="W13" s="175" t="n"/>
      <c r="X13" s="175" t="inlineStr">
        <is>
          <t>1300-1600</t>
        </is>
      </c>
      <c r="Y13" s="175" t="n"/>
      <c r="Z13" s="175" t="inlineStr">
        <is>
          <t>1430-1600</t>
        </is>
      </c>
      <c r="AA13" s="175" t="n"/>
      <c r="AB13" s="175" t="n"/>
      <c r="AC13" s="175" t="inlineStr">
        <is>
          <t>1300-1600</t>
        </is>
      </c>
      <c r="AD13" s="175" t="n"/>
      <c r="AE13" s="175" t="inlineStr">
        <is>
          <t>1400-1600</t>
        </is>
      </c>
      <c r="AF13" s="175" t="inlineStr">
        <is>
          <t>1400-1600</t>
        </is>
      </c>
      <c r="AG13" s="175" t="inlineStr">
        <is>
          <t>1300-1600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inlineStr">
        <is>
          <t>Long range</t>
        </is>
      </c>
      <c r="S14" s="179" t="n"/>
      <c r="T14" s="179" t="n"/>
      <c r="U14" s="179" t="n"/>
      <c r="V14" s="179" t="n"/>
      <c r="W14" s="179" t="n"/>
      <c r="X14" s="179" t="inlineStr">
        <is>
          <t>Long range</t>
        </is>
      </c>
      <c r="Y14" s="179" t="n"/>
      <c r="Z14" s="179" t="n"/>
      <c r="AA14" s="179" t="n"/>
      <c r="AB14" s="179" t="n"/>
      <c r="AC14" s="179" t="inlineStr">
        <is>
          <t>Long range</t>
        </is>
      </c>
      <c r="AD14" s="179" t="n"/>
      <c r="AE14" s="179" t="n"/>
      <c r="AF14" s="179" t="inlineStr">
        <is>
          <t>EIS training</t>
        </is>
      </c>
      <c r="AG14" s="179" t="inlineStr">
        <is>
          <t>Long range</t>
        </is>
      </c>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inlineStr">
        <is>
          <t>NVG-2.0</t>
        </is>
      </c>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inlineStr">
        <is>
          <t>2000-2200</t>
        </is>
      </c>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inlineStr">
        <is>
          <t>CRM Lecture 1400-1600</t>
        </is>
      </c>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n"/>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inlineStr">
        <is>
          <t>FLT-2.0</t>
        </is>
      </c>
      <c r="E27" s="209" t="inlineStr">
        <is>
          <t>FLT-1.5</t>
        </is>
      </c>
      <c r="F27" s="209" t="inlineStr">
        <is>
          <t>SDO</t>
        </is>
      </c>
      <c r="G27" s="209" t="n"/>
      <c r="H27" s="209" t="inlineStr">
        <is>
          <t>P2</t>
        </is>
      </c>
      <c r="I27" s="209" t="n"/>
      <c r="J27" s="209" t="n"/>
      <c r="K27" s="209" t="n"/>
      <c r="L27" s="209" t="n"/>
      <c r="M27" s="209" t="n"/>
      <c r="N27" s="209" t="n"/>
      <c r="O27" s="209" t="inlineStr">
        <is>
          <t>FLT-2.0</t>
        </is>
      </c>
      <c r="P27" s="209" t="n"/>
      <c r="Q27" s="209" t="inlineStr">
        <is>
          <t>BDO</t>
        </is>
      </c>
      <c r="R27" s="209" t="n"/>
      <c r="S27" s="209" t="n"/>
      <c r="T27" s="209" t="n"/>
      <c r="U27" s="209" t="n"/>
      <c r="V27" s="209" t="n"/>
      <c r="W27" s="209" t="n"/>
      <c r="X27" s="209" t="inlineStr">
        <is>
          <t>FLT-1.5</t>
        </is>
      </c>
      <c r="Y27" s="209" t="inlineStr">
        <is>
          <t>BDO</t>
        </is>
      </c>
      <c r="Z27" s="209" t="inlineStr">
        <is>
          <t>Outstation</t>
        </is>
      </c>
      <c r="AA27" s="209" t="n"/>
      <c r="AB27" s="209" t="inlineStr">
        <is>
          <t>LL</t>
        </is>
      </c>
      <c r="AC27" s="209" t="inlineStr">
        <is>
          <t>LL</t>
        </is>
      </c>
      <c r="AD27" s="209" t="inlineStr">
        <is>
          <t>LL</t>
        </is>
      </c>
      <c r="AE27" s="209" t="n"/>
      <c r="AF27" s="209" t="inlineStr">
        <is>
          <t>FLT-2.0</t>
        </is>
      </c>
      <c r="AG27" s="209" t="inlineStr">
        <is>
          <t>BDO</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inlineStr">
        <is>
          <t>Meeting</t>
        </is>
      </c>
      <c r="E28" s="215" t="n"/>
      <c r="F28" s="215" t="n"/>
      <c r="G28" s="215" t="n"/>
      <c r="H28" s="215" t="inlineStr">
        <is>
          <t>BDO</t>
        </is>
      </c>
      <c r="I28" s="215" t="inlineStr">
        <is>
          <t>FLT-3.0</t>
        </is>
      </c>
      <c r="J28" s="215" t="n"/>
      <c r="K28" s="215" t="n"/>
      <c r="L28" s="215" t="n"/>
      <c r="M28" s="215" t="n"/>
      <c r="N28" s="215" t="n"/>
      <c r="O28" s="215" t="n"/>
      <c r="P28" s="215" t="n"/>
      <c r="Q28" s="215" t="n"/>
      <c r="R28" s="215" t="n"/>
      <c r="S28" s="215" t="n"/>
      <c r="T28" s="215" t="n"/>
      <c r="U28" s="215" t="n"/>
      <c r="V28" s="215" t="n"/>
      <c r="W28" s="215" t="inlineStr">
        <is>
          <t>SIM</t>
        </is>
      </c>
      <c r="X28" s="215" t="inlineStr">
        <is>
          <t>P1</t>
        </is>
      </c>
      <c r="Y28" s="215" t="n"/>
      <c r="Z28" s="215" t="inlineStr">
        <is>
          <t>SIM</t>
        </is>
      </c>
      <c r="AA28" s="215" t="n"/>
      <c r="AB28" s="215" t="inlineStr">
        <is>
          <t>LL</t>
        </is>
      </c>
      <c r="AC28" s="215" t="inlineStr">
        <is>
          <t>LL</t>
        </is>
      </c>
      <c r="AD28" s="215" t="inlineStr">
        <is>
          <t>LL</t>
        </is>
      </c>
      <c r="AE28" s="215" t="inlineStr">
        <is>
          <t>FLT-2.0</t>
        </is>
      </c>
      <c r="AF28" s="215" t="inlineStr">
        <is>
          <t>P1</t>
        </is>
      </c>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inlineStr">
        <is>
          <t>NVG-2.0</t>
        </is>
      </c>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inlineStr">
        <is>
          <t>LL</t>
        </is>
      </c>
      <c r="AC29" s="215" t="inlineStr">
        <is>
          <t>LL</t>
        </is>
      </c>
      <c r="AD29" s="215" t="inlineStr">
        <is>
          <t>LL</t>
        </is>
      </c>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P2</t>
        </is>
      </c>
      <c r="E31" s="226" t="inlineStr">
        <is>
          <t>SDO</t>
        </is>
      </c>
      <c r="F31" s="226" t="n"/>
      <c r="G31" s="226" t="n"/>
      <c r="H31" s="226" t="inlineStr">
        <is>
          <t>FLT-2.0</t>
        </is>
      </c>
      <c r="I31" s="226" t="n"/>
      <c r="J31" s="226" t="n"/>
      <c r="K31" s="226" t="n"/>
      <c r="L31" s="226" t="n"/>
      <c r="M31" s="226" t="inlineStr">
        <is>
          <t>BDO</t>
        </is>
      </c>
      <c r="N31" s="226" t="n"/>
      <c r="O31" s="226" t="inlineStr">
        <is>
          <t>SDO</t>
        </is>
      </c>
      <c r="P31" s="226" t="n"/>
      <c r="Q31" s="226" t="inlineStr">
        <is>
          <t>FLT-1.5</t>
        </is>
      </c>
      <c r="R31" s="226" t="n"/>
      <c r="S31" s="226" t="n"/>
      <c r="T31" s="226" t="n"/>
      <c r="U31" s="226" t="inlineStr">
        <is>
          <t>BDO</t>
        </is>
      </c>
      <c r="V31" s="226" t="n"/>
      <c r="W31" s="226" t="n"/>
      <c r="X31" s="226" t="n"/>
      <c r="Y31" s="226" t="inlineStr">
        <is>
          <t>FLT-3.0</t>
        </is>
      </c>
      <c r="Z31" s="226" t="n"/>
      <c r="AA31" s="226" t="inlineStr">
        <is>
          <t>SDO</t>
        </is>
      </c>
      <c r="AB31" s="226" t="n"/>
      <c r="AC31" s="226" t="inlineStr">
        <is>
          <t>BDO</t>
        </is>
      </c>
      <c r="AD31" s="226" t="inlineStr">
        <is>
          <t>Medical Appt</t>
        </is>
      </c>
      <c r="AE31" s="226" t="n"/>
      <c r="AF31" s="226" t="inlineStr">
        <is>
          <t>LL</t>
        </is>
      </c>
      <c r="AG31" s="226" t="inlineStr">
        <is>
          <t>LL</t>
        </is>
      </c>
      <c r="AH31" s="226" t="inlineStr">
        <is>
          <t>LL</t>
        </is>
      </c>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inlineStr">
        <is>
          <t>FLT-2.0</t>
        </is>
      </c>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inlineStr">
        <is>
          <t>Medical Appt</t>
        </is>
      </c>
      <c r="AE32" s="231" t="n"/>
      <c r="AF32" s="231" t="inlineStr">
        <is>
          <t>LL</t>
        </is>
      </c>
      <c r="AG32" s="231" t="inlineStr">
        <is>
          <t>LL</t>
        </is>
      </c>
      <c r="AH32" s="231" t="inlineStr">
        <is>
          <t>LL</t>
        </is>
      </c>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inlineStr">
        <is>
          <t>NVG-2.0</t>
        </is>
      </c>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inlineStr">
        <is>
          <t>Medical Appt</t>
        </is>
      </c>
      <c r="AE33" s="231" t="n"/>
      <c r="AF33" s="231" t="inlineStr">
        <is>
          <t>LL</t>
        </is>
      </c>
      <c r="AG33" s="231" t="inlineStr">
        <is>
          <t>LL</t>
        </is>
      </c>
      <c r="AH33" s="231" t="inlineStr">
        <is>
          <t>LL</t>
        </is>
      </c>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inlineStr">
        <is>
          <t>FLT-1.5</t>
        </is>
      </c>
      <c r="E35" s="209" t="n"/>
      <c r="F35" s="209" t="n"/>
      <c r="G35" s="209" t="inlineStr">
        <is>
          <t>SDO</t>
        </is>
      </c>
      <c r="H35" s="209" t="n"/>
      <c r="I35" s="209" t="n"/>
      <c r="J35" s="209" t="n"/>
      <c r="K35" s="209" t="n"/>
      <c r="L35" s="209" t="n"/>
      <c r="M35" s="209" t="inlineStr">
        <is>
          <t>SDO</t>
        </is>
      </c>
      <c r="N35" s="209" t="n"/>
      <c r="O35" s="209" t="n"/>
      <c r="P35" s="209" t="n"/>
      <c r="Q35" s="209" t="inlineStr">
        <is>
          <t>FLT-1.5</t>
        </is>
      </c>
      <c r="R35" s="209" t="inlineStr">
        <is>
          <t>Outstation</t>
        </is>
      </c>
      <c r="S35" s="209" t="n"/>
      <c r="T35" s="209" t="n"/>
      <c r="U35" s="209" t="n"/>
      <c r="V35" s="209" t="n"/>
      <c r="W35" s="209" t="inlineStr">
        <is>
          <t>BU</t>
        </is>
      </c>
      <c r="X35" s="209" t="inlineStr">
        <is>
          <t>SDO</t>
        </is>
      </c>
      <c r="Y35" s="209" t="n"/>
      <c r="Z35" s="209" t="inlineStr">
        <is>
          <t>FLT-2.0</t>
        </is>
      </c>
      <c r="AA35" s="209" t="n"/>
      <c r="AB35" s="209" t="n"/>
      <c r="AC35" s="209" t="inlineStr">
        <is>
          <t>FLT-2.0</t>
        </is>
      </c>
      <c r="AD35" s="209" t="inlineStr">
        <is>
          <t>FLT-2.0</t>
        </is>
      </c>
      <c r="AE35" s="209" t="n"/>
      <c r="AF35" s="209" t="n"/>
      <c r="AG35" s="209" t="inlineStr">
        <is>
          <t>FLT-2.0</t>
        </is>
      </c>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inlineStr">
        <is>
          <t>P1</t>
        </is>
      </c>
      <c r="E36" s="215" t="inlineStr">
        <is>
          <t>FLT-2.0</t>
        </is>
      </c>
      <c r="F36" s="215" t="n"/>
      <c r="G36" s="215" t="n"/>
      <c r="H36" s="215" t="n"/>
      <c r="I36" s="215" t="n"/>
      <c r="J36" s="215" t="n"/>
      <c r="K36" s="215" t="n"/>
      <c r="L36" s="215" t="n"/>
      <c r="M36" s="215" t="n"/>
      <c r="N36" s="215" t="n"/>
      <c r="O36" s="215" t="inlineStr">
        <is>
          <t>SIM</t>
        </is>
      </c>
      <c r="P36" s="215" t="n"/>
      <c r="Q36" s="215" t="n"/>
      <c r="R36" s="215" t="n"/>
      <c r="S36" s="215" t="inlineStr">
        <is>
          <t>SIM</t>
        </is>
      </c>
      <c r="T36" s="215" t="n"/>
      <c r="U36" s="215" t="n"/>
      <c r="V36" s="215" t="n"/>
      <c r="W36" s="215" t="n"/>
      <c r="X36" s="215" t="n"/>
      <c r="Y36" s="215" t="n"/>
      <c r="Z36" s="215" t="n"/>
      <c r="AA36" s="215" t="n"/>
      <c r="AB36" s="215" t="n"/>
      <c r="AC36" s="215" t="inlineStr">
        <is>
          <t>SIM</t>
        </is>
      </c>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inlineStr">
        <is>
          <t>NVG-2.0</t>
        </is>
      </c>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inlineStr">
        <is>
          <t>SIM</t>
        </is>
      </c>
      <c r="E39" s="226" t="inlineStr">
        <is>
          <t>FLT-2.0</t>
        </is>
      </c>
      <c r="F39" s="226" t="n"/>
      <c r="G39" s="226" t="n"/>
      <c r="H39" s="226" t="n"/>
      <c r="I39" s="226" t="n"/>
      <c r="J39" s="226" t="n"/>
      <c r="K39" s="226" t="n"/>
      <c r="L39" s="226" t="n"/>
      <c r="M39" s="226" t="n"/>
      <c r="N39" s="226" t="n"/>
      <c r="O39" s="226" t="n"/>
      <c r="P39" s="226" t="n"/>
      <c r="Q39" s="226" t="n"/>
      <c r="R39" s="226" t="inlineStr">
        <is>
          <t>SDO</t>
        </is>
      </c>
      <c r="S39" s="226" t="n"/>
      <c r="T39" s="226" t="n"/>
      <c r="U39" s="226" t="n"/>
      <c r="V39" s="226" t="n"/>
      <c r="W39" s="226" t="n"/>
      <c r="X39" s="226" t="n"/>
      <c r="Y39" s="226" t="n"/>
      <c r="Z39" s="226" t="n"/>
      <c r="AA39" s="226" t="n"/>
      <c r="AB39" s="226" t="n"/>
      <c r="AC39" s="226" t="n"/>
      <c r="AD39" s="226" t="inlineStr">
        <is>
          <t>SDO</t>
        </is>
      </c>
      <c r="AE39" s="226" t="n"/>
      <c r="AF39" s="226" t="n"/>
      <c r="AG39" s="226" t="inlineStr">
        <is>
          <t>FLT-2.0</t>
        </is>
      </c>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inlineStr">
        <is>
          <t>OIL</t>
        </is>
      </c>
      <c r="E40" s="231" t="n"/>
      <c r="F40" s="231" t="n"/>
      <c r="G40" s="231" t="n"/>
      <c r="H40" s="231" t="inlineStr">
        <is>
          <t>BU</t>
        </is>
      </c>
      <c r="I40" s="231" t="n"/>
      <c r="J40" s="231" t="n"/>
      <c r="K40" s="231" t="n"/>
      <c r="L40" s="231" t="n"/>
      <c r="M40" s="231" t="n"/>
      <c r="N40" s="231" t="n"/>
      <c r="O40" s="231" t="n"/>
      <c r="P40" s="231" t="n"/>
      <c r="Q40" s="231" t="n"/>
      <c r="R40" s="231" t="n"/>
      <c r="S40" s="231" t="n"/>
      <c r="T40" s="231" t="n"/>
      <c r="U40" s="231" t="n"/>
      <c r="V40" s="231" t="n"/>
      <c r="W40" s="231" t="n"/>
      <c r="X40" s="231" t="n"/>
      <c r="Y40" s="231" t="n"/>
      <c r="Z40" s="231" t="inlineStr">
        <is>
          <t>FLT-1.5</t>
        </is>
      </c>
      <c r="AA40" s="231" t="n"/>
      <c r="AB40" s="231" t="n"/>
      <c r="AC40" s="231" t="inlineStr">
        <is>
          <t>P1</t>
        </is>
      </c>
      <c r="AD40" s="231" t="n"/>
      <c r="AE40" s="231" t="n"/>
      <c r="AF40" s="231" t="inlineStr">
        <is>
          <t>EIS</t>
        </is>
      </c>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inlineStr">
        <is>
          <t>NVG-2.0</t>
        </is>
      </c>
      <c r="Q41" s="231" t="n"/>
      <c r="R41" s="231" t="n"/>
      <c r="S41" s="231" t="n"/>
      <c r="T41" s="231" t="n"/>
      <c r="U41" s="231" t="n"/>
      <c r="V41" s="231" t="n"/>
      <c r="W41" s="231" t="n"/>
      <c r="X41" s="231" t="n"/>
      <c r="Y41" s="231" t="inlineStr">
        <is>
          <t>NVG-2.0</t>
        </is>
      </c>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inlineStr">
        <is>
          <t>FLT-2.0</t>
        </is>
      </c>
      <c r="E43" s="209" t="n"/>
      <c r="F43" s="209" t="n"/>
      <c r="G43" s="209" t="n"/>
      <c r="H43" s="209" t="n"/>
      <c r="I43" s="209" t="n"/>
      <c r="J43" s="209" t="n"/>
      <c r="K43" s="209" t="n"/>
      <c r="L43" s="209" t="n"/>
      <c r="M43" s="209" t="n"/>
      <c r="N43" s="209" t="n"/>
      <c r="O43" s="209" t="n"/>
      <c r="P43" s="209" t="n"/>
      <c r="Q43" s="209" t="n"/>
      <c r="R43" s="209" t="n"/>
      <c r="S43" s="209" t="n"/>
      <c r="T43" s="209" t="n"/>
      <c r="U43" s="209" t="inlineStr">
        <is>
          <t>SDO</t>
        </is>
      </c>
      <c r="V43" s="209" t="n"/>
      <c r="W43" s="209" t="n"/>
      <c r="X43" s="209" t="n"/>
      <c r="Y43" s="209" t="n"/>
      <c r="Z43" s="209" t="n"/>
      <c r="AA43" s="209" t="n"/>
      <c r="AB43" s="209" t="n"/>
      <c r="AC43" s="209" t="inlineStr">
        <is>
          <t>FLT-1.5</t>
        </is>
      </c>
      <c r="AD43" s="209" t="inlineStr">
        <is>
          <t>FLT-1.5</t>
        </is>
      </c>
      <c r="AE43" s="209" t="n"/>
      <c r="AF43" s="209" t="inlineStr">
        <is>
          <t>FLT-1.5</t>
        </is>
      </c>
      <c r="AG43" s="209" t="inlineStr">
        <is>
          <t>SDO</t>
        </is>
      </c>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inlineStr">
        <is>
          <t>SDO</t>
        </is>
      </c>
      <c r="G44" s="215" t="n"/>
      <c r="H44" s="215" t="n"/>
      <c r="I44" s="215" t="n"/>
      <c r="J44" s="215" t="n"/>
      <c r="K44" s="215" t="n"/>
      <c r="L44" s="215" t="n"/>
      <c r="M44" s="215" t="n"/>
      <c r="N44" s="215" t="n"/>
      <c r="O44" s="215" t="n"/>
      <c r="P44" s="215" t="n"/>
      <c r="Q44" s="215" t="n"/>
      <c r="R44" s="215" t="inlineStr">
        <is>
          <t>MSN-3.0</t>
        </is>
      </c>
      <c r="S44" s="215" t="n"/>
      <c r="T44" s="215" t="n"/>
      <c r="U44" s="215" t="n"/>
      <c r="V44" s="215" t="n"/>
      <c r="W44" s="215" t="n"/>
      <c r="X44" s="215" t="inlineStr">
        <is>
          <t>MSN-3.0</t>
        </is>
      </c>
      <c r="Y44" s="215" t="n"/>
      <c r="Z44" s="215" t="inlineStr">
        <is>
          <t>P1</t>
        </is>
      </c>
      <c r="AA44" s="215" t="n"/>
      <c r="AB44" s="215" t="n"/>
      <c r="AC44" s="215" t="n"/>
      <c r="AD44" s="215" t="inlineStr">
        <is>
          <t>SIM</t>
        </is>
      </c>
      <c r="AE44" s="215" t="inlineStr">
        <is>
          <t>SIM</t>
        </is>
      </c>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inlineStr">
        <is>
          <t>P2</t>
        </is>
      </c>
      <c r="Q45" s="215" t="n"/>
      <c r="R45" s="215" t="n"/>
      <c r="S45" s="215" t="n"/>
      <c r="T45" s="215" t="n"/>
      <c r="U45" s="215" t="n"/>
      <c r="V45" s="215" t="n"/>
      <c r="W45" s="215" t="n"/>
      <c r="X45" s="215" t="n"/>
      <c r="Y45" s="215" t="n"/>
      <c r="Z45" s="215" t="n"/>
      <c r="AA45" s="215" t="n"/>
      <c r="AB45" s="215" t="n"/>
      <c r="AC45" s="215" t="n"/>
      <c r="AD45" s="215" t="inlineStr">
        <is>
          <t>P2</t>
        </is>
      </c>
      <c r="AE45" s="215" t="n"/>
      <c r="AF45" s="215" t="inlineStr">
        <is>
          <t>P2</t>
        </is>
      </c>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inlineStr">
        <is>
          <t>FLT-2.0</t>
        </is>
      </c>
      <c r="Y47" s="226" t="n"/>
      <c r="Z47" s="226" t="inlineStr">
        <is>
          <t>FLT-1.5</t>
        </is>
      </c>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inlineStr">
        <is>
          <t>SIM</t>
        </is>
      </c>
      <c r="M48" s="231" t="n"/>
      <c r="N48" s="231" t="n"/>
      <c r="O48" s="231" t="inlineStr">
        <is>
          <t>FLT-1.5</t>
        </is>
      </c>
      <c r="P48" s="231" t="n"/>
      <c r="Q48" s="231" t="n"/>
      <c r="R48" s="231" t="inlineStr">
        <is>
          <t>P1</t>
        </is>
      </c>
      <c r="S48" s="231" t="n"/>
      <c r="T48" s="231" t="n"/>
      <c r="U48" s="231" t="n"/>
      <c r="V48" s="231" t="n"/>
      <c r="W48" s="231" t="n"/>
      <c r="X48" s="231" t="n"/>
      <c r="Y48" s="231" t="n"/>
      <c r="Z48" s="231" t="n"/>
      <c r="AA48" s="231" t="n"/>
      <c r="AB48" s="231" t="n"/>
      <c r="AC48" s="231" t="inlineStr">
        <is>
          <t>MSN-3.0</t>
        </is>
      </c>
      <c r="AD48" s="231" t="n"/>
      <c r="AE48" s="231" t="n"/>
      <c r="AF48" s="231" t="n"/>
      <c r="AG48" s="231" t="inlineStr">
        <is>
          <t>MSN-3.0</t>
        </is>
      </c>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inlineStr">
        <is>
          <t>NVG-2.0</t>
        </is>
      </c>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inlineStr">
        <is>
          <t>LL</t>
        </is>
      </c>
      <c r="E207" s="238" t="n"/>
      <c r="F207" s="238" t="n"/>
      <c r="G207" s="238" t="n"/>
      <c r="H207" s="238" t="inlineStr">
        <is>
          <t>FLT-2.0</t>
        </is>
      </c>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inlineStr">
        <is>
          <t>LL</t>
        </is>
      </c>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inlineStr">
        <is>
          <t>LL</t>
        </is>
      </c>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inlineStr">
        <is>
          <t>MC</t>
        </is>
      </c>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inlineStr">
        <is>
          <t>MC</t>
        </is>
      </c>
      <c r="E212" s="243" t="n"/>
      <c r="F212" s="243" t="n"/>
      <c r="G212" s="243" t="n"/>
      <c r="H212" s="243" t="n"/>
      <c r="I212" s="243" t="inlineStr">
        <is>
          <t>FLT-3.0</t>
        </is>
      </c>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n"/>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n"/>
      <c r="AC6" s="170" t="inlineStr">
        <is>
          <t>FLT-2.0</t>
        </is>
      </c>
      <c r="AD6" s="170" t="n"/>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n"/>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n"/>
      <c r="AC7" s="175" t="inlineStr">
        <is>
          <t>0830-1030</t>
        </is>
      </c>
      <c r="AD7" s="175" t="n"/>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inlineStr">
        <is>
          <t>MAS TRG</t>
        </is>
      </c>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inlineStr">
        <is>
          <t>MSN-3.0</t>
        </is>
      </c>
      <c r="U12" s="170" t="inlineStr">
        <is>
          <t>FLT-2.0</t>
        </is>
      </c>
      <c r="V12" s="170" t="inlineStr">
        <is>
          <t>FLT-2.0</t>
        </is>
      </c>
      <c r="W12" s="170" t="inlineStr">
        <is>
          <t>FLT-1.5</t>
        </is>
      </c>
      <c r="X12" s="170" t="n"/>
      <c r="Y12" s="170" t="n"/>
      <c r="Z12" s="170" t="inlineStr">
        <is>
          <t>MSN-3.0</t>
        </is>
      </c>
      <c r="AA12" s="170" t="inlineStr">
        <is>
          <t>FLT-2.0</t>
        </is>
      </c>
      <c r="AB12" s="170" t="inlineStr">
        <is>
          <t>FLT-1.5</t>
        </is>
      </c>
      <c r="AC12" s="170" t="n"/>
      <c r="AD12" s="170" t="inlineStr">
        <is>
          <t>MSN-3.0</t>
        </is>
      </c>
      <c r="AE12" s="170" t="n"/>
      <c r="AF12" s="170" t="n"/>
      <c r="AG12" s="170" t="inlineStr">
        <is>
          <t>FLT-2.0</t>
        </is>
      </c>
      <c r="AH12" s="170" t="n"/>
      <c r="AI12" s="176" t="n"/>
      <c r="AM12" s="177" t="n"/>
    </row>
    <row r="13" ht="15" customHeight="1">
      <c r="A13" s="174" t="n"/>
      <c r="B13" s="174" t="n"/>
      <c r="C13" s="174" t="n"/>
      <c r="D13" s="175" t="n"/>
      <c r="E13" s="175" t="inlineStr">
        <is>
          <t>1430-1600</t>
        </is>
      </c>
      <c r="F13" s="175" t="inlineStr">
        <is>
          <t>1300-1600</t>
        </is>
      </c>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inlineStr">
        <is>
          <t>1300-1600</t>
        </is>
      </c>
      <c r="U13" s="175" t="inlineStr">
        <is>
          <t>1400-1600</t>
        </is>
      </c>
      <c r="V13" s="175" t="inlineStr">
        <is>
          <t>1400-1600</t>
        </is>
      </c>
      <c r="W13" s="175" t="inlineStr">
        <is>
          <t>1430-1600</t>
        </is>
      </c>
      <c r="X13" s="175" t="n"/>
      <c r="Y13" s="175" t="n"/>
      <c r="Z13" s="175" t="inlineStr">
        <is>
          <t>1300-1600</t>
        </is>
      </c>
      <c r="AA13" s="175" t="inlineStr">
        <is>
          <t>1500-1700</t>
        </is>
      </c>
      <c r="AB13" s="175" t="inlineStr">
        <is>
          <t>1430-1600</t>
        </is>
      </c>
      <c r="AC13" s="175" t="n"/>
      <c r="AD13" s="175" t="inlineStr">
        <is>
          <t>1300-1600</t>
        </is>
      </c>
      <c r="AE13" s="175" t="n"/>
      <c r="AF13" s="175" t="n"/>
      <c r="AG13" s="175" t="inlineStr">
        <is>
          <t>1400-1600</t>
        </is>
      </c>
      <c r="AH13" s="175" t="n"/>
      <c r="AI13" s="176" t="n"/>
      <c r="AM13" s="177" t="n"/>
    </row>
    <row r="14" ht="15" customHeight="1">
      <c r="A14" s="178" t="n"/>
      <c r="B14" s="178" t="n"/>
      <c r="C14" s="178" t="n"/>
      <c r="D14" s="179" t="n"/>
      <c r="E14" s="179" t="n"/>
      <c r="F14" s="179" t="inlineStr">
        <is>
          <t>MAS tactical training</t>
        </is>
      </c>
      <c r="G14" s="179" t="n"/>
      <c r="H14" s="179" t="n"/>
      <c r="I14" s="179" t="n"/>
      <c r="J14" s="179" t="n"/>
      <c r="K14" s="179" t="n"/>
      <c r="L14" s="179" t="n"/>
      <c r="M14" s="179" t="n"/>
      <c r="N14" s="179" t="n"/>
      <c r="O14" s="179" t="n"/>
      <c r="P14" s="179" t="n"/>
      <c r="Q14" s="179" t="n"/>
      <c r="R14" s="179" t="n"/>
      <c r="S14" s="179" t="n"/>
      <c r="T14" s="179" t="inlineStr">
        <is>
          <t>Long range</t>
        </is>
      </c>
      <c r="U14" s="179" t="n"/>
      <c r="V14" s="179" t="n"/>
      <c r="W14" s="179" t="n"/>
      <c r="X14" s="179" t="n"/>
      <c r="Y14" s="179" t="n"/>
      <c r="Z14" s="179" t="inlineStr">
        <is>
          <t>Long range</t>
        </is>
      </c>
      <c r="AA14" s="179" t="inlineStr">
        <is>
          <t>VIP familiarisation</t>
        </is>
      </c>
      <c r="AB14" s="179" t="n"/>
      <c r="AC14" s="179" t="n"/>
      <c r="AD14" s="179" t="inlineStr">
        <is>
          <t>Long range</t>
        </is>
      </c>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inlineStr">
        <is>
          <t>Ground School 0900-1200</t>
        </is>
      </c>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inlineStr">
        <is>
          <t>FLT-3.0</t>
        </is>
      </c>
      <c r="F27" s="209" t="n"/>
      <c r="G27" s="209" t="n"/>
      <c r="H27" s="209" t="n"/>
      <c r="I27" s="209" t="inlineStr">
        <is>
          <t>FLT-1.5</t>
        </is>
      </c>
      <c r="J27" s="209" t="inlineStr">
        <is>
          <t>BDO</t>
        </is>
      </c>
      <c r="K27" s="209" t="n"/>
      <c r="L27" s="209" t="n"/>
      <c r="M27" s="209" t="n"/>
      <c r="N27" s="209" t="inlineStr">
        <is>
          <t>FLT-1.5</t>
        </is>
      </c>
      <c r="O27" s="209" t="n"/>
      <c r="P27" s="209" t="inlineStr">
        <is>
          <t>Meeting</t>
        </is>
      </c>
      <c r="Q27" s="209" t="n"/>
      <c r="R27" s="209" t="inlineStr">
        <is>
          <t>BDO</t>
        </is>
      </c>
      <c r="S27" s="209" t="inlineStr">
        <is>
          <t>Meeting</t>
        </is>
      </c>
      <c r="T27" s="209" t="inlineStr">
        <is>
          <t>FLT-3.0</t>
        </is>
      </c>
      <c r="U27" s="209" t="n"/>
      <c r="V27" s="209" t="inlineStr">
        <is>
          <t>FLT-3.0</t>
        </is>
      </c>
      <c r="W27" s="209" t="inlineStr">
        <is>
          <t>Outstation</t>
        </is>
      </c>
      <c r="X27" s="209" t="n"/>
      <c r="Y27" s="209" t="n"/>
      <c r="Z27" s="209" t="inlineStr">
        <is>
          <t>BDO</t>
        </is>
      </c>
      <c r="AA27" s="209" t="inlineStr">
        <is>
          <t>FLT-2.0</t>
        </is>
      </c>
      <c r="AB27" s="209" t="n"/>
      <c r="AC27" s="209" t="n"/>
      <c r="AD27" s="209" t="n"/>
      <c r="AE27" s="209" t="n"/>
      <c r="AF27" s="209" t="n"/>
      <c r="AG27" s="209" t="inlineStr">
        <is>
          <t>OIL</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inlineStr">
        <is>
          <t>MAS TRG</t>
        </is>
      </c>
      <c r="G28" s="215" t="n"/>
      <c r="H28" s="215" t="n"/>
      <c r="I28" s="215" t="n"/>
      <c r="J28" s="215" t="n"/>
      <c r="K28" s="215" t="n"/>
      <c r="L28" s="215" t="n"/>
      <c r="M28" s="215" t="inlineStr">
        <is>
          <t>FLT-1.5</t>
        </is>
      </c>
      <c r="N28" s="215" t="n"/>
      <c r="O28" s="215" t="n"/>
      <c r="P28" s="215" t="n"/>
      <c r="Q28" s="215" t="n"/>
      <c r="R28" s="215" t="n"/>
      <c r="S28" s="215" t="n"/>
      <c r="T28" s="215" t="n"/>
      <c r="U28" s="215" t="n"/>
      <c r="V28" s="215" t="inlineStr">
        <is>
          <t>P1</t>
        </is>
      </c>
      <c r="W28" s="215" t="inlineStr">
        <is>
          <t>FLT-1.5</t>
        </is>
      </c>
      <c r="X28" s="215" t="n"/>
      <c r="Y28" s="215" t="n"/>
      <c r="Z28" s="215" t="n"/>
      <c r="AA28" s="215" t="n"/>
      <c r="AB28" s="215" t="n"/>
      <c r="AC28" s="215" t="n"/>
      <c r="AD28" s="215" t="n"/>
      <c r="AE28" s="215" t="n"/>
      <c r="AF28" s="215" t="n"/>
      <c r="AG28" s="215" t="inlineStr">
        <is>
          <t>OIL</t>
        </is>
      </c>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inlineStr">
        <is>
          <t>P2</t>
        </is>
      </c>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inlineStr">
        <is>
          <t>OIL</t>
        </is>
      </c>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inlineStr">
        <is>
          <t>LL</t>
        </is>
      </c>
      <c r="E31" s="226" t="inlineStr">
        <is>
          <t>LL</t>
        </is>
      </c>
      <c r="F31" s="226" t="inlineStr">
        <is>
          <t>BDO</t>
        </is>
      </c>
      <c r="G31" s="226" t="inlineStr">
        <is>
          <t>FLT-2.0</t>
        </is>
      </c>
      <c r="H31" s="226" t="inlineStr">
        <is>
          <t>SDO</t>
        </is>
      </c>
      <c r="I31" s="226" t="inlineStr">
        <is>
          <t>FLT-2.0</t>
        </is>
      </c>
      <c r="J31" s="226" t="n"/>
      <c r="K31" s="226" t="n"/>
      <c r="L31" s="226" t="n"/>
      <c r="M31" s="226" t="inlineStr">
        <is>
          <t>FLT-2.0</t>
        </is>
      </c>
      <c r="N31" s="226" t="inlineStr">
        <is>
          <t>BDO</t>
        </is>
      </c>
      <c r="O31" s="226" t="inlineStr">
        <is>
          <t>FLT-2.0</t>
        </is>
      </c>
      <c r="P31" s="226" t="inlineStr">
        <is>
          <t>FLT-2.0</t>
        </is>
      </c>
      <c r="Q31" s="226" t="n"/>
      <c r="R31" s="226" t="inlineStr">
        <is>
          <t>OIL</t>
        </is>
      </c>
      <c r="S31" s="226" t="inlineStr">
        <is>
          <t>FLT-2.0</t>
        </is>
      </c>
      <c r="T31" s="226" t="inlineStr">
        <is>
          <t>SDO</t>
        </is>
      </c>
      <c r="U31" s="226" t="inlineStr">
        <is>
          <t>FLT-2.0</t>
        </is>
      </c>
      <c r="V31" s="226" t="inlineStr">
        <is>
          <t>BDO</t>
        </is>
      </c>
      <c r="W31" s="226" t="inlineStr">
        <is>
          <t>FLT-2.0</t>
        </is>
      </c>
      <c r="X31" s="226" t="n"/>
      <c r="Y31" s="226" t="n"/>
      <c r="Z31" s="226" t="inlineStr">
        <is>
          <t>FLT-1.5</t>
        </is>
      </c>
      <c r="AA31" s="226" t="n"/>
      <c r="AB31" s="226" t="n"/>
      <c r="AC31" s="226" t="n"/>
      <c r="AD31" s="226" t="inlineStr">
        <is>
          <t>BDO</t>
        </is>
      </c>
      <c r="AE31" s="226" t="n"/>
      <c r="AF31" s="226" t="inlineStr">
        <is>
          <t>SDO</t>
        </is>
      </c>
      <c r="AG31" s="226" t="inlineStr">
        <is>
          <t>Outstation</t>
        </is>
      </c>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inlineStr">
        <is>
          <t>LL</t>
        </is>
      </c>
      <c r="E32" s="231" t="inlineStr">
        <is>
          <t>LL</t>
        </is>
      </c>
      <c r="F32" s="231" t="n"/>
      <c r="G32" s="231" t="inlineStr">
        <is>
          <t>FLT-2.0</t>
        </is>
      </c>
      <c r="H32" s="231" t="n"/>
      <c r="I32" s="231" t="n"/>
      <c r="J32" s="231" t="n"/>
      <c r="K32" s="231" t="n"/>
      <c r="L32" s="231" t="n"/>
      <c r="M32" s="231" t="n"/>
      <c r="N32" s="231" t="n"/>
      <c r="O32" s="231" t="n"/>
      <c r="P32" s="231" t="n"/>
      <c r="Q32" s="231" t="n"/>
      <c r="R32" s="231" t="inlineStr">
        <is>
          <t>OIL</t>
        </is>
      </c>
      <c r="S32" s="231" t="n"/>
      <c r="T32" s="231" t="n"/>
      <c r="U32" s="231" t="inlineStr">
        <is>
          <t>P1</t>
        </is>
      </c>
      <c r="V32" s="231" t="n"/>
      <c r="W32" s="231" t="inlineStr">
        <is>
          <t>P1</t>
        </is>
      </c>
      <c r="X32" s="231" t="n"/>
      <c r="Y32" s="231" t="n"/>
      <c r="Z32" s="231" t="n"/>
      <c r="AA32" s="231" t="inlineStr">
        <is>
          <t>P1</t>
        </is>
      </c>
      <c r="AB32" s="231" t="n"/>
      <c r="AC32" s="231" t="inlineStr">
        <is>
          <t>SIM</t>
        </is>
      </c>
      <c r="AD32" s="231" t="n"/>
      <c r="AE32" s="231" t="n"/>
      <c r="AF32" s="231" t="n"/>
      <c r="AG32" s="231" t="inlineStr">
        <is>
          <t>FLT-2.0</t>
        </is>
      </c>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inlineStr">
        <is>
          <t>LL</t>
        </is>
      </c>
      <c r="E33" s="231" t="inlineStr">
        <is>
          <t>LL</t>
        </is>
      </c>
      <c r="F33" s="231" t="n"/>
      <c r="G33" s="231" t="n"/>
      <c r="H33" s="231" t="n"/>
      <c r="I33" s="231" t="n"/>
      <c r="J33" s="231" t="n"/>
      <c r="K33" s="231" t="n"/>
      <c r="L33" s="231" t="n"/>
      <c r="M33" s="231" t="n"/>
      <c r="N33" s="231" t="n"/>
      <c r="O33" s="231" t="n"/>
      <c r="P33" s="231" t="n"/>
      <c r="Q33" s="231" t="n"/>
      <c r="R33" s="231" t="inlineStr">
        <is>
          <t>OIL</t>
        </is>
      </c>
      <c r="S33" s="231" t="n"/>
      <c r="T33" s="231" t="n"/>
      <c r="U33" s="231" t="n"/>
      <c r="V33" s="231" t="n"/>
      <c r="W33" s="231" t="n"/>
      <c r="X33" s="231" t="n"/>
      <c r="Y33" s="231" t="n"/>
      <c r="Z33" s="231" t="n"/>
      <c r="AA33" s="231" t="inlineStr">
        <is>
          <t>NVG-2.0</t>
        </is>
      </c>
      <c r="AB33" s="231" t="n"/>
      <c r="AC33" s="231" t="inlineStr">
        <is>
          <t>NVG-2.0</t>
        </is>
      </c>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inlineStr">
        <is>
          <t>SDO</t>
        </is>
      </c>
      <c r="F35" s="209" t="n"/>
      <c r="G35" s="209" t="n"/>
      <c r="H35" s="209" t="inlineStr">
        <is>
          <t>LL</t>
        </is>
      </c>
      <c r="I35" s="209" t="inlineStr">
        <is>
          <t>LL</t>
        </is>
      </c>
      <c r="J35" s="209" t="inlineStr">
        <is>
          <t>LL</t>
        </is>
      </c>
      <c r="K35" s="209" t="inlineStr">
        <is>
          <t>LL</t>
        </is>
      </c>
      <c r="L35" s="209" t="inlineStr">
        <is>
          <t>LL</t>
        </is>
      </c>
      <c r="M35" s="209" t="n"/>
      <c r="N35" s="209" t="inlineStr">
        <is>
          <t>FLT-2.0</t>
        </is>
      </c>
      <c r="O35" s="209" t="n"/>
      <c r="P35" s="209" t="inlineStr">
        <is>
          <t>FLT-1.5</t>
        </is>
      </c>
      <c r="Q35" s="209" t="inlineStr">
        <is>
          <t>SDO</t>
        </is>
      </c>
      <c r="R35" s="209" t="n"/>
      <c r="S35" s="209" t="n"/>
      <c r="T35" s="209" t="n"/>
      <c r="U35" s="209" t="n"/>
      <c r="V35" s="209" t="inlineStr">
        <is>
          <t>OL</t>
        </is>
      </c>
      <c r="W35" s="209" t="n"/>
      <c r="X35" s="209" t="n"/>
      <c r="Y35" s="209" t="n"/>
      <c r="Z35" s="209" t="inlineStr">
        <is>
          <t>FLT-2.0</t>
        </is>
      </c>
      <c r="AA35" s="209" t="inlineStr">
        <is>
          <t>FLT-2.0</t>
        </is>
      </c>
      <c r="AB35" s="209" t="n"/>
      <c r="AC35" s="209" t="inlineStr">
        <is>
          <t>SDO</t>
        </is>
      </c>
      <c r="AD35" s="209" t="n"/>
      <c r="AE35" s="209" t="n"/>
      <c r="AF35" s="209" t="n"/>
      <c r="AG35" s="209" t="inlineStr">
        <is>
          <t>FLT-1.5</t>
        </is>
      </c>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inlineStr">
        <is>
          <t>LL</t>
        </is>
      </c>
      <c r="I36" s="215" t="inlineStr">
        <is>
          <t>LL</t>
        </is>
      </c>
      <c r="J36" s="215" t="inlineStr">
        <is>
          <t>LL</t>
        </is>
      </c>
      <c r="K36" s="215" t="inlineStr">
        <is>
          <t>LL</t>
        </is>
      </c>
      <c r="L36" s="215" t="inlineStr">
        <is>
          <t>LL</t>
        </is>
      </c>
      <c r="M36" s="215" t="inlineStr">
        <is>
          <t>P1</t>
        </is>
      </c>
      <c r="N36" s="215" t="inlineStr">
        <is>
          <t>P1</t>
        </is>
      </c>
      <c r="O36" s="215" t="n"/>
      <c r="P36" s="215" t="n"/>
      <c r="Q36" s="215" t="n"/>
      <c r="R36" s="215" t="n"/>
      <c r="S36" s="215" t="inlineStr">
        <is>
          <t>SIM</t>
        </is>
      </c>
      <c r="T36" s="215" t="inlineStr">
        <is>
          <t>MSN-3.0</t>
        </is>
      </c>
      <c r="U36" s="215" t="inlineStr">
        <is>
          <t>FLT-2.0</t>
        </is>
      </c>
      <c r="V36" s="215" t="inlineStr">
        <is>
          <t>OL</t>
        </is>
      </c>
      <c r="W36" s="215" t="inlineStr">
        <is>
          <t>SIM</t>
        </is>
      </c>
      <c r="X36" s="215" t="n"/>
      <c r="Y36" s="215" t="n"/>
      <c r="Z36" s="215" t="n"/>
      <c r="AA36" s="215" t="inlineStr">
        <is>
          <t>SIM</t>
        </is>
      </c>
      <c r="AB36" s="215" t="n"/>
      <c r="AC36" s="215" t="n"/>
      <c r="AD36" s="215" t="inlineStr">
        <is>
          <t>SIM</t>
        </is>
      </c>
      <c r="AE36" s="215" t="n"/>
      <c r="AF36" s="215" t="n"/>
      <c r="AG36" s="215" t="inlineStr">
        <is>
          <t>P1</t>
        </is>
      </c>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inlineStr">
        <is>
          <t>NVG-2.0</t>
        </is>
      </c>
      <c r="G37" s="215" t="n"/>
      <c r="H37" s="215" t="inlineStr">
        <is>
          <t>LL</t>
        </is>
      </c>
      <c r="I37" s="215" t="inlineStr">
        <is>
          <t>LL</t>
        </is>
      </c>
      <c r="J37" s="215" t="inlineStr">
        <is>
          <t>LL</t>
        </is>
      </c>
      <c r="K37" s="215" t="inlineStr">
        <is>
          <t>LL</t>
        </is>
      </c>
      <c r="L37" s="215" t="inlineStr">
        <is>
          <t>LL</t>
        </is>
      </c>
      <c r="M37" s="215" t="n"/>
      <c r="N37" s="215" t="n"/>
      <c r="O37" s="215" t="n"/>
      <c r="P37" s="215" t="n"/>
      <c r="Q37" s="215" t="n"/>
      <c r="R37" s="215" t="n"/>
      <c r="S37" s="215" t="n"/>
      <c r="T37" s="215" t="n"/>
      <c r="U37" s="215" t="n"/>
      <c r="V37" s="215" t="inlineStr">
        <is>
          <t>OL</t>
        </is>
      </c>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inlineStr">
        <is>
          <t>FLT-2.0</t>
        </is>
      </c>
      <c r="G39" s="226" t="n"/>
      <c r="H39" s="226" t="n"/>
      <c r="I39" s="226" t="n"/>
      <c r="J39" s="226" t="n"/>
      <c r="K39" s="226" t="inlineStr">
        <is>
          <t>SDO</t>
        </is>
      </c>
      <c r="L39" s="226" t="n"/>
      <c r="M39" s="226" t="n"/>
      <c r="N39" s="226" t="inlineStr">
        <is>
          <t>LL</t>
        </is>
      </c>
      <c r="O39" s="226" t="inlineStr">
        <is>
          <t>LL</t>
        </is>
      </c>
      <c r="P39" s="226" t="n"/>
      <c r="Q39" s="226" t="n"/>
      <c r="R39" s="226" t="n"/>
      <c r="S39" s="226" t="n"/>
      <c r="T39" s="226" t="n"/>
      <c r="U39" s="226" t="n"/>
      <c r="V39" s="226" t="n"/>
      <c r="W39" s="226" t="inlineStr">
        <is>
          <t>SDO</t>
        </is>
      </c>
      <c r="X39" s="226" t="n"/>
      <c r="Y39" s="226" t="n"/>
      <c r="Z39" s="226" t="inlineStr">
        <is>
          <t>Meeting</t>
        </is>
      </c>
      <c r="AA39" s="226" t="n"/>
      <c r="AB39" s="226" t="n"/>
      <c r="AC39" s="226" t="inlineStr">
        <is>
          <t>FLT-1.5</t>
        </is>
      </c>
      <c r="AD39" s="226" t="n"/>
      <c r="AE39" s="226" t="inlineStr">
        <is>
          <t>OL</t>
        </is>
      </c>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inlineStr">
        <is>
          <t>FLT-1.5</t>
        </is>
      </c>
      <c r="F40" s="231" t="n"/>
      <c r="G40" s="231" t="n"/>
      <c r="H40" s="231" t="n"/>
      <c r="I40" s="231" t="n"/>
      <c r="J40" s="231" t="n"/>
      <c r="K40" s="231" t="n"/>
      <c r="L40" s="231" t="n"/>
      <c r="M40" s="231" t="n"/>
      <c r="N40" s="231" t="inlineStr">
        <is>
          <t>LL</t>
        </is>
      </c>
      <c r="O40" s="231" t="inlineStr">
        <is>
          <t>LL</t>
        </is>
      </c>
      <c r="P40" s="231" t="inlineStr">
        <is>
          <t>FLT-2.0</t>
        </is>
      </c>
      <c r="Q40" s="231" t="n"/>
      <c r="R40" s="231" t="n"/>
      <c r="S40" s="231" t="inlineStr">
        <is>
          <t>FLT-2.0</t>
        </is>
      </c>
      <c r="T40" s="231" t="n"/>
      <c r="U40" s="231" t="n"/>
      <c r="V40" s="231" t="n"/>
      <c r="W40" s="231" t="n"/>
      <c r="X40" s="231" t="n"/>
      <c r="Y40" s="231" t="n"/>
      <c r="Z40" s="231" t="inlineStr">
        <is>
          <t>MSN-3.0</t>
        </is>
      </c>
      <c r="AA40" s="231" t="n"/>
      <c r="AB40" s="231" t="n"/>
      <c r="AC40" s="231" t="n"/>
      <c r="AD40" s="231" t="n"/>
      <c r="AE40" s="231" t="inlineStr">
        <is>
          <t>OL</t>
        </is>
      </c>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inlineStr">
        <is>
          <t>NVG-2.0</t>
        </is>
      </c>
      <c r="I41" s="231" t="n"/>
      <c r="J41" s="231" t="n"/>
      <c r="K41" s="231" t="n"/>
      <c r="L41" s="231" t="n"/>
      <c r="M41" s="231" t="inlineStr">
        <is>
          <t>NVG-2.0</t>
        </is>
      </c>
      <c r="N41" s="231" t="inlineStr">
        <is>
          <t>LL</t>
        </is>
      </c>
      <c r="O41" s="231" t="inlineStr">
        <is>
          <t>LL</t>
        </is>
      </c>
      <c r="P41" s="231" t="n"/>
      <c r="Q41" s="231" t="n"/>
      <c r="R41" s="231" t="n"/>
      <c r="S41" s="231" t="n"/>
      <c r="T41" s="231" t="inlineStr">
        <is>
          <t>NVG-2.0</t>
        </is>
      </c>
      <c r="U41" s="231" t="n"/>
      <c r="V41" s="231" t="inlineStr">
        <is>
          <t>NVG-2.0</t>
        </is>
      </c>
      <c r="W41" s="231" t="n"/>
      <c r="X41" s="231" t="n"/>
      <c r="Y41" s="231" t="n"/>
      <c r="Z41" s="231" t="n"/>
      <c r="AA41" s="231" t="inlineStr">
        <is>
          <t>P2</t>
        </is>
      </c>
      <c r="AB41" s="231" t="n"/>
      <c r="AC41" s="231" t="n"/>
      <c r="AD41" s="231" t="n"/>
      <c r="AE41" s="231" t="inlineStr">
        <is>
          <t>OL</t>
        </is>
      </c>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inlineStr">
        <is>
          <t>FLT-1.5</t>
        </is>
      </c>
      <c r="G43" s="209" t="inlineStr">
        <is>
          <t>FLT-1.5</t>
        </is>
      </c>
      <c r="H43" s="209" t="n"/>
      <c r="I43" s="209" t="n"/>
      <c r="J43" s="209" t="n"/>
      <c r="K43" s="209" t="n"/>
      <c r="L43" s="209" t="n"/>
      <c r="M43" s="209" t="n"/>
      <c r="N43" s="209" t="inlineStr">
        <is>
          <t>SDO</t>
        </is>
      </c>
      <c r="O43" s="209" t="n"/>
      <c r="P43" s="209" t="n"/>
      <c r="Q43" s="209" t="n"/>
      <c r="R43" s="209" t="n"/>
      <c r="S43" s="209" t="inlineStr">
        <is>
          <t>Detachment</t>
        </is>
      </c>
      <c r="T43" s="209" t="inlineStr">
        <is>
          <t>Detachment</t>
        </is>
      </c>
      <c r="U43" s="209" t="inlineStr">
        <is>
          <t>Detachment</t>
        </is>
      </c>
      <c r="V43" s="209" t="inlineStr">
        <is>
          <t>Detachment</t>
        </is>
      </c>
      <c r="W43" s="209" t="inlineStr">
        <is>
          <t>Detachment</t>
        </is>
      </c>
      <c r="X43" s="209" t="n"/>
      <c r="Y43" s="209" t="n"/>
      <c r="Z43" s="209" t="inlineStr">
        <is>
          <t>SDO</t>
        </is>
      </c>
      <c r="AA43" s="209" t="inlineStr">
        <is>
          <t>OIL</t>
        </is>
      </c>
      <c r="AB43" s="209" t="n"/>
      <c r="AC43" s="209" t="inlineStr">
        <is>
          <t>FLT-2.0</t>
        </is>
      </c>
      <c r="AD43" s="209" t="n"/>
      <c r="AE43" s="209" t="n"/>
      <c r="AF43" s="209" t="n"/>
      <c r="AG43" s="209" t="inlineStr">
        <is>
          <t>FLT-2.0</t>
        </is>
      </c>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inlineStr">
        <is>
          <t>SIM</t>
        </is>
      </c>
      <c r="F44" s="215" t="n"/>
      <c r="G44" s="215" t="inlineStr">
        <is>
          <t>P1</t>
        </is>
      </c>
      <c r="H44" s="215" t="inlineStr">
        <is>
          <t>P1</t>
        </is>
      </c>
      <c r="I44" s="215" t="inlineStr">
        <is>
          <t>FLT-2.0</t>
        </is>
      </c>
      <c r="J44" s="215" t="n"/>
      <c r="K44" s="215" t="n"/>
      <c r="L44" s="215" t="n"/>
      <c r="M44" s="215" t="n"/>
      <c r="N44" s="215" t="n"/>
      <c r="O44" s="215" t="inlineStr">
        <is>
          <t>SIM</t>
        </is>
      </c>
      <c r="P44" s="215" t="inlineStr">
        <is>
          <t>SIM</t>
        </is>
      </c>
      <c r="Q44" s="215" t="n"/>
      <c r="R44" s="215" t="n"/>
      <c r="S44" s="215" t="inlineStr">
        <is>
          <t>Detachment</t>
        </is>
      </c>
      <c r="T44" s="215" t="inlineStr">
        <is>
          <t>Detachment</t>
        </is>
      </c>
      <c r="U44" s="215" t="inlineStr">
        <is>
          <t>Detachment</t>
        </is>
      </c>
      <c r="V44" s="215" t="inlineStr">
        <is>
          <t>Detachment</t>
        </is>
      </c>
      <c r="W44" s="215" t="inlineStr">
        <is>
          <t>Detachment</t>
        </is>
      </c>
      <c r="X44" s="215" t="n"/>
      <c r="Y44" s="215" t="n"/>
      <c r="Z44" s="215" t="n"/>
      <c r="AA44" s="215" t="inlineStr">
        <is>
          <t>OIL</t>
        </is>
      </c>
      <c r="AB44" s="215" t="inlineStr">
        <is>
          <t>FLT-1.5</t>
        </is>
      </c>
      <c r="AC44" s="215" t="n"/>
      <c r="AD44" s="215" t="inlineStr">
        <is>
          <t>MSN-3.0</t>
        </is>
      </c>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inlineStr">
        <is>
          <t>NVG-2.0</t>
        </is>
      </c>
      <c r="P45" s="215" t="n"/>
      <c r="Q45" s="215" t="n"/>
      <c r="R45" s="215" t="n"/>
      <c r="S45" s="215" t="inlineStr">
        <is>
          <t>Detachment</t>
        </is>
      </c>
      <c r="T45" s="215" t="inlineStr">
        <is>
          <t>Detachment</t>
        </is>
      </c>
      <c r="U45" s="215" t="inlineStr">
        <is>
          <t>Detachment</t>
        </is>
      </c>
      <c r="V45" s="215" t="inlineStr">
        <is>
          <t>Detachment</t>
        </is>
      </c>
      <c r="W45" s="215" t="inlineStr">
        <is>
          <t>Detachment</t>
        </is>
      </c>
      <c r="X45" s="215" t="n"/>
      <c r="Y45" s="215" t="n"/>
      <c r="Z45" s="215" t="n"/>
      <c r="AA45" s="215" t="inlineStr">
        <is>
          <t>OIL</t>
        </is>
      </c>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inlineStr">
        <is>
          <t>FLT-1.5</t>
        </is>
      </c>
      <c r="N47" s="226" t="inlineStr">
        <is>
          <t>Meeting</t>
        </is>
      </c>
      <c r="O47" s="226" t="n"/>
      <c r="P47" s="226" t="n"/>
      <c r="Q47" s="226" t="n"/>
      <c r="R47" s="226" t="n"/>
      <c r="S47" s="226" t="inlineStr">
        <is>
          <t>FLT-1.5</t>
        </is>
      </c>
      <c r="T47" s="226" t="n"/>
      <c r="U47" s="226" t="inlineStr">
        <is>
          <t>FLT-1.5</t>
        </is>
      </c>
      <c r="V47" s="226" t="n"/>
      <c r="W47" s="226" t="inlineStr">
        <is>
          <t>LL</t>
        </is>
      </c>
      <c r="X47" s="226" t="inlineStr">
        <is>
          <t>LL</t>
        </is>
      </c>
      <c r="Y47" s="226" t="inlineStr">
        <is>
          <t>LL</t>
        </is>
      </c>
      <c r="Z47" s="226" t="n"/>
      <c r="AA47" s="226" t="n"/>
      <c r="AB47" s="226" t="n"/>
      <c r="AC47" s="226" t="n"/>
      <c r="AD47" s="226" t="n"/>
      <c r="AE47" s="226" t="n"/>
      <c r="AF47" s="226" t="n"/>
      <c r="AG47" s="226" t="inlineStr">
        <is>
          <t>OL</t>
        </is>
      </c>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inlineStr">
        <is>
          <t>P1</t>
        </is>
      </c>
      <c r="F48" s="231" t="n"/>
      <c r="G48" s="231" t="n"/>
      <c r="H48" s="231" t="inlineStr">
        <is>
          <t>FLT-1.5</t>
        </is>
      </c>
      <c r="I48" s="231" t="n"/>
      <c r="J48" s="231" t="n"/>
      <c r="K48" s="231" t="n"/>
      <c r="L48" s="231" t="n"/>
      <c r="M48" s="231" t="inlineStr">
        <is>
          <t>SIM</t>
        </is>
      </c>
      <c r="N48" s="231" t="inlineStr">
        <is>
          <t>FLT-2.0</t>
        </is>
      </c>
      <c r="O48" s="231" t="n"/>
      <c r="P48" s="231" t="inlineStr">
        <is>
          <t>P1</t>
        </is>
      </c>
      <c r="Q48" s="231" t="n"/>
      <c r="R48" s="231" t="n"/>
      <c r="S48" s="231" t="n"/>
      <c r="T48" s="231" t="inlineStr">
        <is>
          <t>P1</t>
        </is>
      </c>
      <c r="U48" s="231" t="inlineStr">
        <is>
          <t>SIM</t>
        </is>
      </c>
      <c r="V48" s="231" t="inlineStr">
        <is>
          <t>FLT-2.0</t>
        </is>
      </c>
      <c r="W48" s="231" t="inlineStr">
        <is>
          <t>LL</t>
        </is>
      </c>
      <c r="X48" s="231" t="inlineStr">
        <is>
          <t>LL</t>
        </is>
      </c>
      <c r="Y48" s="231" t="inlineStr">
        <is>
          <t>LL</t>
        </is>
      </c>
      <c r="Z48" s="231" t="inlineStr">
        <is>
          <t>P1</t>
        </is>
      </c>
      <c r="AA48" s="231" t="inlineStr">
        <is>
          <t>FLT-2.0</t>
        </is>
      </c>
      <c r="AB48" s="231" t="inlineStr">
        <is>
          <t>P1</t>
        </is>
      </c>
      <c r="AC48" s="231" t="n"/>
      <c r="AD48" s="231" t="n"/>
      <c r="AE48" s="231" t="n"/>
      <c r="AF48" s="231" t="n"/>
      <c r="AG48" s="231" t="inlineStr">
        <is>
          <t>OL</t>
        </is>
      </c>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inlineStr">
        <is>
          <t>P2</t>
        </is>
      </c>
      <c r="N49" s="231" t="n"/>
      <c r="O49" s="231" t="inlineStr">
        <is>
          <t>P2</t>
        </is>
      </c>
      <c r="P49" s="231" t="n"/>
      <c r="Q49" s="231" t="n"/>
      <c r="R49" s="231" t="n"/>
      <c r="S49" s="231" t="n"/>
      <c r="T49" s="231" t="n"/>
      <c r="U49" s="231" t="n"/>
      <c r="V49" s="231" t="inlineStr">
        <is>
          <t>P2</t>
        </is>
      </c>
      <c r="W49" s="231" t="inlineStr">
        <is>
          <t>LL</t>
        </is>
      </c>
      <c r="X49" s="231" t="inlineStr">
        <is>
          <t>LL</t>
        </is>
      </c>
      <c r="Y49" s="231" t="inlineStr">
        <is>
          <t>LL</t>
        </is>
      </c>
      <c r="Z49" s="231" t="n"/>
      <c r="AA49" s="231" t="n"/>
      <c r="AB49" s="231" t="n"/>
      <c r="AC49" s="231" t="inlineStr">
        <is>
          <t>P2</t>
        </is>
      </c>
      <c r="AD49" s="231" t="n"/>
      <c r="AE49" s="231" t="n"/>
      <c r="AF49" s="231" t="n"/>
      <c r="AG49" s="231" t="inlineStr">
        <is>
          <t>OL</t>
        </is>
      </c>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7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SUM(AI27:AI266)</f>
        <v/>
      </c>
      <c r="E3" s="154">
        <f>SUM(AJ27:AJ266)</f>
        <v/>
      </c>
      <c r="F3" s="154">
        <f>SUM(AK27:AK266)</f>
        <v/>
      </c>
      <c r="G3" s="154">
        <f>SUM(AL27:AL266)</f>
        <v/>
      </c>
      <c r="H3" s="154">
        <f>(COUNTIFS(CrewName,"&lt;&gt;")-COUNTIFS(CrewName,"&lt;&gt;",CrewStatus,"Inactive"))</f>
        <v/>
      </c>
      <c r="I3" s="154">
        <f>SUMPRODUCT(($D$25:$AH$25&lt;&gt;"")*($D$274:$AH$274=0))</f>
        <v/>
      </c>
      <c r="J3" s="154">
        <f>SUMPRODUCT(($D$5:$AH$5&lt;&gt;"")*((($D$6:$AH$6&lt;&gt;"")+($D$9:$AH$9&lt;&gt;""))&gt;0)*($D$269:$AH$269=0))+SUMPRODUCT(($D$5:$AH$5&lt;&gt;"")*((($D$12:$AH$12&lt;&gt;"")+($D$15:$AH$15&lt;&gt;""))&gt;0)*($D$270:$AH$270=0))+SUMPRODUCT(($D$5:$AH$5&lt;&gt;"")*((($D$18:$AH$18&lt;&gt;"")+($D$21:$AH$21&lt;&gt;""))&gt;0)*($D$271:$AH$271=0))</f>
        <v/>
      </c>
      <c r="K3" s="154">
        <f>SUMPRODUCT(($D$5:$AH$5&lt;&gt;"")*($D$269:$AH$269&gt;0)*((SUMIFS(ActSort,ActCodesAll,$D$6:$AH$6)+SUMIFS(ActSort,ActCodesAll,$D$9:$AH$9))&gt;$D$269:$AH$269))+SUMPRODUCT(($D$5:$AH$5&lt;&gt;"")*($D$270:$AH$270&gt;0)*((SUMIFS(ActSort,ActCodesAll,$D$12:$AH$12)+SUMIFS(ActSort,ActCodesAll,$D$15:$AH$15))&gt;$D$270:$AH$270))+SUMPRODUCT(($D$5:$AH$5&lt;&gt;"")*($D$271:$AH$271&gt;0)*((SUMIFS(ActSort,ActCodesAll,$D$18:$AH$18)+SUMIFS(ActSort,ActCodesAll,$D$21:$AH$21))&gt;$D$271:$AH$271)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IF($A27="","",SUMPRODUCT(--((COUNTIFS(ActCodesAll,$D27:$AH27,ActCat,AK$3)+COUNTIFS(ActCodesAll,$D28:$AH28,ActCat,AK$3)+COUNTIFS(ActCodesAll,$D29:$AH29,ActCat,AK$3)+COUNTIFS(ActCodesAll,$D30:$AH30,ActCat,AK$3))&gt;0)))</f>
        <v/>
      </c>
      <c r="AL27" s="210">
        <f>IF($A27="","",SUMPRODUCT(--((COUNTIFS(ActCodesAll,$D27:$AH27,ActCat,AL$3)+COUNTIFS(ActCodesAll,$D28:$AH28,ActCat,AL$3)+COUNTIFS(ActCodesAll,$D29:$AH29,ActCat,AL$3)+COUNTIFS(ActCodesAll,$D30:$AH30,ActCat,AL$3))&gt;0)))</f>
        <v/>
      </c>
      <c r="AM27" s="210">
        <f>IF($A27="","",SUMPRODUCT(--((COUNTIFS(ActCodesAll,$D27:$AH27,ActCat,AM$3)+COUNTIFS(ActCodesAll,$D28:$AH28,ActCat,AM$3)+COUNTIFS(ActCodesAll,$D29:$AH29,ActCat,AM$3)+COUNTIFS(ActCodesAll,$D30:$AH30,ActCat,AM$3))&gt;0)))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2">
        <f>IF(Roster!$C$6="","",IF(Roster!$B$6="","#"&amp;1,Roster!$B$6&amp;""))</f>
        <v/>
      </c>
      <c r="B29" s="217">
        <f>IF(Roster!$C$6="","",Roster!$F$6&amp;IF(OR(Roster!$G$6="SANS",Roster!$G$6="NSMEN"),"  |  "&amp;Roster!$G$6,""))</f>
        <v/>
      </c>
      <c r="C29" s="218" t="inlineStr">
        <is>
          <t>NIGHT</t>
        </is>
      </c>
      <c r="D29" s="215" t="n"/>
      <c r="E29" s="215" t="n"/>
      <c r="F29" s="215" t="n"/>
      <c r="G29" s="215" t="n"/>
      <c r="H29" s="215" t="n"/>
      <c r="I29" s="215" t="n"/>
      <c r="J29" s="215" t="n"/>
      <c r="K29" s="215" t="n"/>
      <c r="L29" s="215" t="n"/>
      <c r="M29" s="215" t="n"/>
      <c r="N29" s="215" t="n"/>
      <c r="O29" s="215" t="n"/>
      <c r="P29" s="215" t="n"/>
      <c r="Q29" s="215" t="n"/>
      <c r="R29" s="215" t="n"/>
      <c r="S29" s="215" t="n"/>
      <c r="T29" s="215" t="n"/>
      <c r="U29" s="215" t="n"/>
      <c r="V29" s="215" t="n"/>
      <c r="W29" s="215" t="n"/>
      <c r="X29" s="215" t="n"/>
      <c r="Y29" s="215" t="n"/>
      <c r="Z29" s="215" t="n"/>
      <c r="AA29" s="215" t="n"/>
      <c r="AB29" s="215" t="n"/>
      <c r="AC29" s="215" t="n"/>
      <c r="AD29" s="215" t="n"/>
      <c r="AE29" s="215" t="n"/>
      <c r="AF29" s="215" t="n"/>
      <c r="AG29" s="215" t="n"/>
      <c r="AH29" s="215" t="n"/>
      <c r="AI29" s="216" t="n"/>
      <c r="AJ29" s="216" t="n"/>
      <c r="AK29" s="216" t="n"/>
      <c r="AL29" s="216" t="n"/>
      <c r="AM29" s="216" t="n"/>
    </row>
    <row r="30" ht="19" customHeight="1">
      <c r="A30" s="219">
        <f>IF(Roster!$C$6="","",IF(Roster!$B$6="","#"&amp;1,Roster!$B$6&amp;""))</f>
        <v/>
      </c>
      <c r="B30" s="220" t="n"/>
      <c r="C30" s="221" t="inlineStr">
        <is>
          <t>WD</t>
        </is>
      </c>
      <c r="D30" s="222" t="n"/>
      <c r="E30" s="222" t="n"/>
      <c r="F30" s="222" t="n"/>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c r="AA30" s="222" t="n"/>
      <c r="AB30" s="222" t="n"/>
      <c r="AC30" s="222" t="n"/>
      <c r="AD30" s="222" t="n"/>
      <c r="AE30" s="222" t="n"/>
      <c r="AF30" s="222" t="n"/>
      <c r="AG30" s="222" t="n"/>
      <c r="AH30" s="222" t="n"/>
      <c r="AI30" s="223" t="n"/>
      <c r="AJ30" s="223" t="n"/>
      <c r="AK30" s="223" t="n"/>
      <c r="AL30" s="223" t="n"/>
      <c r="AM30" s="223" t="n"/>
    </row>
    <row r="31" ht="19" customHeight="1">
      <c r="A31" s="224">
        <f>IF(Roster!$C$7="","",IF(Roster!$B$7="","#"&amp;2,Roster!$B$7&amp;""))</f>
        <v/>
      </c>
      <c r="B31" s="225">
        <f>IF(Roster!$C$7="","",Roster!$C$7)</f>
        <v/>
      </c>
      <c r="C31" s="208" t="inlineStr">
        <is>
          <t>AM</t>
        </is>
      </c>
      <c r="D31" s="226" t="n"/>
      <c r="E31" s="226" t="n"/>
      <c r="F31" s="226" t="n"/>
      <c r="G31" s="226" t="n"/>
      <c r="H31" s="226" t="n"/>
      <c r="I31" s="226" t="n"/>
      <c r="J31" s="226" t="n"/>
      <c r="K31" s="226" t="n"/>
      <c r="L31" s="226" t="n"/>
      <c r="M31" s="226" t="n"/>
      <c r="N31" s="226" t="n"/>
      <c r="O31" s="226" t="n"/>
      <c r="P31" s="226" t="n"/>
      <c r="Q31" s="226" t="n"/>
      <c r="R31" s="226" t="n"/>
      <c r="S31" s="226" t="n"/>
      <c r="T31" s="226" t="n"/>
      <c r="U31" s="226" t="n"/>
      <c r="V31" s="226" t="n"/>
      <c r="W31" s="226" t="n"/>
      <c r="X31" s="226" t="n"/>
      <c r="Y31" s="226" t="n"/>
      <c r="Z31" s="226" t="n"/>
      <c r="AA31" s="226" t="n"/>
      <c r="AB31" s="226" t="n"/>
      <c r="AC31" s="226" t="n"/>
      <c r="AD31" s="226" t="n"/>
      <c r="AE31" s="226" t="n"/>
      <c r="AF31" s="226" t="n"/>
      <c r="AG31" s="226" t="n"/>
      <c r="AH31" s="226" t="n"/>
      <c r="AI31" s="227">
        <f>IF($A31="","",SUMPRODUCT(SUMIFS(ActSort,ActCodesAll,$D31:$AH33,ActCat,AI$3)))</f>
        <v/>
      </c>
      <c r="AJ31" s="228">
        <f>IF($A31="","",SUMPRODUCT(SUMIFS(ActHrs,ActCodesAll,$D31:$AH33,ActCat,AJ$3)))</f>
        <v/>
      </c>
      <c r="AK31" s="227">
        <f>IF($A31="","",SUMPRODUCT(--((COUNTIFS(ActCodesAll,$D31:$AH31,ActCat,AK$3)+COUNTIFS(ActCodesAll,$D32:$AH32,ActCat,AK$3)+COUNTIFS(ActCodesAll,$D33:$AH33,ActCat,AK$3)+COUNTIFS(ActCodesAll,$D34:$AH34,ActCat,AK$3))&gt;0)))</f>
        <v/>
      </c>
      <c r="AL31" s="227">
        <f>IF($A31="","",SUMPRODUCT(--((COUNTIFS(ActCodesAll,$D31:$AH31,ActCat,AL$3)+COUNTIFS(ActCodesAll,$D32:$AH32,ActCat,AL$3)+COUNTIFS(ActCodesAll,$D33:$AH33,ActCat,AL$3)+COUNTIFS(ActCodesAll,$D34:$AH34,ActCat,AL$3))&gt;0)))</f>
        <v/>
      </c>
      <c r="AM31" s="227">
        <f>IF($A31="","",SUMPRODUCT(--((COUNTIFS(ActCodesAll,$D31:$AH31,ActCat,AM$3)+COUNTIFS(ActCodesAll,$D32:$AH32,ActCat,AM$3)+COUNTIFS(ActCodesAll,$D33:$AH33,ActCat,AM$3)+COUNTIFS(ActCodesAll,$D34:$AH34,ActCat,AM$3))&gt;0)))</f>
        <v/>
      </c>
    </row>
    <row r="32" ht="19" customHeight="1">
      <c r="A32" s="229">
        <f>IF(Roster!$C$7="","",IF(Roster!$B$7="","#"&amp;2,Roster!$B$7&amp;""))</f>
        <v/>
      </c>
      <c r="B32" s="230" t="n"/>
      <c r="C32" s="214" t="inlineStr">
        <is>
          <t>PM</t>
        </is>
      </c>
      <c r="D32" s="231" t="n"/>
      <c r="E32" s="231" t="n"/>
      <c r="F32" s="231" t="n"/>
      <c r="G32" s="231" t="n"/>
      <c r="H32" s="231" t="n"/>
      <c r="I32" s="231" t="n"/>
      <c r="J32" s="231" t="n"/>
      <c r="K32" s="231" t="n"/>
      <c r="L32" s="231" t="n"/>
      <c r="M32" s="231" t="n"/>
      <c r="N32" s="231" t="n"/>
      <c r="O32" s="231" t="n"/>
      <c r="P32" s="231" t="n"/>
      <c r="Q32" s="231" t="n"/>
      <c r="R32" s="231" t="n"/>
      <c r="S32" s="231" t="n"/>
      <c r="T32" s="231" t="n"/>
      <c r="U32" s="231" t="n"/>
      <c r="V32" s="231" t="n"/>
      <c r="W32" s="231" t="n"/>
      <c r="X32" s="231" t="n"/>
      <c r="Y32" s="231" t="n"/>
      <c r="Z32" s="231" t="n"/>
      <c r="AA32" s="231" t="n"/>
      <c r="AB32" s="231" t="n"/>
      <c r="AC32" s="231" t="n"/>
      <c r="AD32" s="231" t="n"/>
      <c r="AE32" s="231" t="n"/>
      <c r="AF32" s="231" t="n"/>
      <c r="AG32" s="231" t="n"/>
      <c r="AH32" s="231" t="n"/>
      <c r="AI32" s="216" t="n"/>
      <c r="AJ32" s="216" t="n"/>
      <c r="AK32" s="216" t="n"/>
      <c r="AL32" s="216" t="n"/>
      <c r="AM32" s="216" t="n"/>
    </row>
    <row r="33" ht="19" customHeight="1">
      <c r="A33" s="229">
        <f>IF(Roster!$C$7="","",IF(Roster!$B$7="","#"&amp;2,Roster!$B$7&amp;""))</f>
        <v/>
      </c>
      <c r="B33" s="232">
        <f>IF(Roster!$C$7="","",Roster!$F$7&amp;IF(OR(Roster!$G$7="SANS",Roster!$G$7="NSMEN"),"  |  "&amp;Roster!$G$7,""))</f>
        <v/>
      </c>
      <c r="C33" s="218" t="inlineStr">
        <is>
          <t>NIGHT</t>
        </is>
      </c>
      <c r="D33" s="231" t="n"/>
      <c r="E33" s="231" t="n"/>
      <c r="F33" s="231" t="n"/>
      <c r="G33" s="231" t="n"/>
      <c r="H33" s="231" t="n"/>
      <c r="I33" s="231" t="n"/>
      <c r="J33" s="231" t="n"/>
      <c r="K33" s="231" t="n"/>
      <c r="L33" s="231" t="n"/>
      <c r="M33" s="231" t="n"/>
      <c r="N33" s="231" t="n"/>
      <c r="O33" s="231" t="n"/>
      <c r="P33" s="231" t="n"/>
      <c r="Q33" s="231" t="n"/>
      <c r="R33" s="231" t="n"/>
      <c r="S33" s="231" t="n"/>
      <c r="T33" s="231" t="n"/>
      <c r="U33" s="231" t="n"/>
      <c r="V33" s="231" t="n"/>
      <c r="W33" s="231" t="n"/>
      <c r="X33" s="231" t="n"/>
      <c r="Y33" s="231" t="n"/>
      <c r="Z33" s="231" t="n"/>
      <c r="AA33" s="231" t="n"/>
      <c r="AB33" s="231" t="n"/>
      <c r="AC33" s="231" t="n"/>
      <c r="AD33" s="231" t="n"/>
      <c r="AE33" s="231" t="n"/>
      <c r="AF33" s="231" t="n"/>
      <c r="AG33" s="231" t="n"/>
      <c r="AH33" s="231" t="n"/>
      <c r="AI33" s="216" t="n"/>
      <c r="AJ33" s="216" t="n"/>
      <c r="AK33" s="216" t="n"/>
      <c r="AL33" s="216" t="n"/>
      <c r="AM33" s="216" t="n"/>
    </row>
    <row r="34" ht="19" customHeight="1">
      <c r="A34" s="233">
        <f>IF(Roster!$C$7="","",IF(Roster!$B$7="","#"&amp;2,Roster!$B$7&amp;""))</f>
        <v/>
      </c>
      <c r="B34" s="234" t="n"/>
      <c r="C34" s="221" t="inlineStr">
        <is>
          <t>WD</t>
        </is>
      </c>
      <c r="D34" s="222" t="n"/>
      <c r="E34" s="222" t="n"/>
      <c r="F34" s="222" t="n"/>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c r="AA34" s="222" t="n"/>
      <c r="AB34" s="222" t="n"/>
      <c r="AC34" s="222" t="n"/>
      <c r="AD34" s="222" t="n"/>
      <c r="AE34" s="222" t="n"/>
      <c r="AF34" s="222" t="n"/>
      <c r="AG34" s="222" t="n"/>
      <c r="AH34" s="222" t="n"/>
      <c r="AI34" s="223" t="n"/>
      <c r="AJ34" s="223" t="n"/>
      <c r="AK34" s="223" t="n"/>
      <c r="AL34" s="223" t="n"/>
      <c r="AM34" s="223" t="n"/>
    </row>
    <row r="35" ht="19" customHeight="1">
      <c r="A35" s="206">
        <f>IF(Roster!$C$8="","",IF(Roster!$B$8="","#"&amp;3,Roster!$B$8&amp;""))</f>
        <v/>
      </c>
      <c r="B35" s="207">
        <f>IF(Roster!$C$8="","",Roster!$C$8)</f>
        <v/>
      </c>
      <c r="C35" s="208" t="inlineStr">
        <is>
          <t>AM</t>
        </is>
      </c>
      <c r="D35" s="209" t="n"/>
      <c r="E35" s="209" t="n"/>
      <c r="F35" s="209" t="n"/>
      <c r="G35" s="209" t="n"/>
      <c r="H35" s="209" t="n"/>
      <c r="I35" s="209" t="n"/>
      <c r="J35" s="209" t="n"/>
      <c r="K35" s="209" t="n"/>
      <c r="L35" s="209" t="n"/>
      <c r="M35" s="209" t="n"/>
      <c r="N35" s="209" t="n"/>
      <c r="O35" s="209" t="n"/>
      <c r="P35" s="209" t="n"/>
      <c r="Q35" s="209" t="n"/>
      <c r="R35" s="209" t="n"/>
      <c r="S35" s="209" t="n"/>
      <c r="T35" s="209" t="n"/>
      <c r="U35" s="209" t="n"/>
      <c r="V35" s="209" t="n"/>
      <c r="W35" s="209" t="n"/>
      <c r="X35" s="209" t="n"/>
      <c r="Y35" s="209" t="n"/>
      <c r="Z35" s="209" t="n"/>
      <c r="AA35" s="209" t="n"/>
      <c r="AB35" s="209" t="n"/>
      <c r="AC35" s="209" t="n"/>
      <c r="AD35" s="209" t="n"/>
      <c r="AE35" s="209" t="n"/>
      <c r="AF35" s="209" t="n"/>
      <c r="AG35" s="209" t="n"/>
      <c r="AH35" s="209" t="n"/>
      <c r="AI35" s="210">
        <f>IF($A35="","",SUMPRODUCT(SUMIFS(ActSort,ActCodesAll,$D35:$AH37,ActCat,AI$3)))</f>
        <v/>
      </c>
      <c r="AJ35" s="211">
        <f>IF($A35="","",SUMPRODUCT(SUMIFS(ActHrs,ActCodesAll,$D35:$AH37,ActCat,AJ$3)))</f>
        <v/>
      </c>
      <c r="AK35" s="210">
        <f>IF($A35="","",SUMPRODUCT(--((COUNTIFS(ActCodesAll,$D35:$AH35,ActCat,AK$3)+COUNTIFS(ActCodesAll,$D36:$AH36,ActCat,AK$3)+COUNTIFS(ActCodesAll,$D37:$AH37,ActCat,AK$3)+COUNTIFS(ActCodesAll,$D38:$AH38,ActCat,AK$3))&gt;0)))</f>
        <v/>
      </c>
      <c r="AL35" s="210">
        <f>IF($A35="","",SUMPRODUCT(--((COUNTIFS(ActCodesAll,$D35:$AH35,ActCat,AL$3)+COUNTIFS(ActCodesAll,$D36:$AH36,ActCat,AL$3)+COUNTIFS(ActCodesAll,$D37:$AH37,ActCat,AL$3)+COUNTIFS(ActCodesAll,$D38:$AH38,ActCat,AL$3))&gt;0)))</f>
        <v/>
      </c>
      <c r="AM35" s="210">
        <f>IF($A35="","",SUMPRODUCT(--((COUNTIFS(ActCodesAll,$D35:$AH35,ActCat,AM$3)+COUNTIFS(ActCodesAll,$D36:$AH36,ActCat,AM$3)+COUNTIFS(ActCodesAll,$D37:$AH37,ActCat,AM$3)+COUNTIFS(ActCodesAll,$D38:$AH38,ActCat,AM$3))&gt;0)))</f>
        <v/>
      </c>
    </row>
    <row r="36" ht="19" customHeight="1">
      <c r="A36" s="212">
        <f>IF(Roster!$C$8="","",IF(Roster!$B$8="","#"&amp;3,Roster!$B$8&amp;""))</f>
        <v/>
      </c>
      <c r="B36" s="213" t="n"/>
      <c r="C36" s="214" t="inlineStr">
        <is>
          <t>PM</t>
        </is>
      </c>
      <c r="D36" s="215" t="n"/>
      <c r="E36" s="215" t="n"/>
      <c r="F36" s="215" t="n"/>
      <c r="G36" s="215" t="n"/>
      <c r="H36" s="215" t="n"/>
      <c r="I36" s="215" t="n"/>
      <c r="J36" s="215" t="n"/>
      <c r="K36" s="215" t="n"/>
      <c r="L36" s="215" t="n"/>
      <c r="M36" s="215" t="n"/>
      <c r="N36" s="215" t="n"/>
      <c r="O36" s="215" t="n"/>
      <c r="P36" s="215" t="n"/>
      <c r="Q36" s="215" t="n"/>
      <c r="R36" s="215" t="n"/>
      <c r="S36" s="215" t="n"/>
      <c r="T36" s="215" t="n"/>
      <c r="U36" s="215" t="n"/>
      <c r="V36" s="215" t="n"/>
      <c r="W36" s="215" t="n"/>
      <c r="X36" s="215" t="n"/>
      <c r="Y36" s="215" t="n"/>
      <c r="Z36" s="215" t="n"/>
      <c r="AA36" s="215" t="n"/>
      <c r="AB36" s="215" t="n"/>
      <c r="AC36" s="215" t="n"/>
      <c r="AD36" s="215" t="n"/>
      <c r="AE36" s="215" t="n"/>
      <c r="AF36" s="215" t="n"/>
      <c r="AG36" s="215" t="n"/>
      <c r="AH36" s="215" t="n"/>
      <c r="AI36" s="216" t="n"/>
      <c r="AJ36" s="216" t="n"/>
      <c r="AK36" s="216" t="n"/>
      <c r="AL36" s="216" t="n"/>
      <c r="AM36" s="216" t="n"/>
    </row>
    <row r="37" ht="19" customHeight="1">
      <c r="A37" s="212">
        <f>IF(Roster!$C$8="","",IF(Roster!$B$8="","#"&amp;3,Roster!$B$8&amp;""))</f>
        <v/>
      </c>
      <c r="B37" s="217">
        <f>IF(Roster!$C$8="","",Roster!$F$8&amp;IF(OR(Roster!$G$8="SANS",Roster!$G$8="NSMEN"),"  |  "&amp;Roster!$G$8,""))</f>
        <v/>
      </c>
      <c r="C37" s="218" t="inlineStr">
        <is>
          <t>NIGHT</t>
        </is>
      </c>
      <c r="D37" s="215" t="n"/>
      <c r="E37" s="215" t="n"/>
      <c r="F37" s="215" t="n"/>
      <c r="G37" s="215" t="n"/>
      <c r="H37" s="215" t="n"/>
      <c r="I37" s="215" t="n"/>
      <c r="J37" s="215" t="n"/>
      <c r="K37" s="215" t="n"/>
      <c r="L37" s="215" t="n"/>
      <c r="M37" s="215" t="n"/>
      <c r="N37" s="215" t="n"/>
      <c r="O37" s="215" t="n"/>
      <c r="P37" s="215" t="n"/>
      <c r="Q37" s="215" t="n"/>
      <c r="R37" s="215" t="n"/>
      <c r="S37" s="215" t="n"/>
      <c r="T37" s="215" t="n"/>
      <c r="U37" s="215" t="n"/>
      <c r="V37" s="215" t="n"/>
      <c r="W37" s="215" t="n"/>
      <c r="X37" s="215" t="n"/>
      <c r="Y37" s="215" t="n"/>
      <c r="Z37" s="215" t="n"/>
      <c r="AA37" s="215" t="n"/>
      <c r="AB37" s="215" t="n"/>
      <c r="AC37" s="215" t="n"/>
      <c r="AD37" s="215" t="n"/>
      <c r="AE37" s="215" t="n"/>
      <c r="AF37" s="215" t="n"/>
      <c r="AG37" s="215" t="n"/>
      <c r="AH37" s="215" t="n"/>
      <c r="AI37" s="216" t="n"/>
      <c r="AJ37" s="216" t="n"/>
      <c r="AK37" s="216" t="n"/>
      <c r="AL37" s="216" t="n"/>
      <c r="AM37" s="216" t="n"/>
    </row>
    <row r="38" ht="19" customHeight="1">
      <c r="A38" s="219">
        <f>IF(Roster!$C$8="","",IF(Roster!$B$8="","#"&amp;3,Roster!$B$8&amp;""))</f>
        <v/>
      </c>
      <c r="B38" s="220" t="n"/>
      <c r="C38" s="221" t="inlineStr">
        <is>
          <t>WD</t>
        </is>
      </c>
      <c r="D38" s="222" t="n"/>
      <c r="E38" s="222" t="n"/>
      <c r="F38" s="222" t="n"/>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c r="AA38" s="222" t="n"/>
      <c r="AB38" s="222" t="n"/>
      <c r="AC38" s="222" t="n"/>
      <c r="AD38" s="222" t="n"/>
      <c r="AE38" s="222" t="n"/>
      <c r="AF38" s="222" t="n"/>
      <c r="AG38" s="222" t="n"/>
      <c r="AH38" s="222" t="n"/>
      <c r="AI38" s="223" t="n"/>
      <c r="AJ38" s="223" t="n"/>
      <c r="AK38" s="223" t="n"/>
      <c r="AL38" s="223" t="n"/>
      <c r="AM38" s="223" t="n"/>
    </row>
    <row r="39" ht="19" customHeight="1">
      <c r="A39" s="224">
        <f>IF(Roster!$C$9="","",IF(Roster!$B$9="","#"&amp;4,Roster!$B$9&amp;""))</f>
        <v/>
      </c>
      <c r="B39" s="225">
        <f>IF(Roster!$C$9="","",Roster!$C$9)</f>
        <v/>
      </c>
      <c r="C39" s="208" t="inlineStr">
        <is>
          <t>AM</t>
        </is>
      </c>
      <c r="D39" s="226" t="n"/>
      <c r="E39" s="226" t="n"/>
      <c r="F39" s="226" t="n"/>
      <c r="G39" s="226" t="n"/>
      <c r="H39" s="226" t="n"/>
      <c r="I39" s="226" t="n"/>
      <c r="J39" s="226" t="n"/>
      <c r="K39" s="226" t="n"/>
      <c r="L39" s="226" t="n"/>
      <c r="M39" s="226" t="n"/>
      <c r="N39" s="226" t="n"/>
      <c r="O39" s="226" t="n"/>
      <c r="P39" s="226" t="n"/>
      <c r="Q39" s="226" t="n"/>
      <c r="R39" s="226" t="n"/>
      <c r="S39" s="226" t="n"/>
      <c r="T39" s="226" t="n"/>
      <c r="U39" s="226" t="n"/>
      <c r="V39" s="226" t="n"/>
      <c r="W39" s="226" t="n"/>
      <c r="X39" s="226" t="n"/>
      <c r="Y39" s="226" t="n"/>
      <c r="Z39" s="226" t="n"/>
      <c r="AA39" s="226" t="n"/>
      <c r="AB39" s="226" t="n"/>
      <c r="AC39" s="226" t="n"/>
      <c r="AD39" s="226" t="n"/>
      <c r="AE39" s="226" t="n"/>
      <c r="AF39" s="226" t="n"/>
      <c r="AG39" s="226" t="n"/>
      <c r="AH39" s="226" t="n"/>
      <c r="AI39" s="227">
        <f>IF($A39="","",SUMPRODUCT(SUMIFS(ActSort,ActCodesAll,$D39:$AH41,ActCat,AI$3)))</f>
        <v/>
      </c>
      <c r="AJ39" s="228">
        <f>IF($A39="","",SUMPRODUCT(SUMIFS(ActHrs,ActCodesAll,$D39:$AH41,ActCat,AJ$3)))</f>
        <v/>
      </c>
      <c r="AK39" s="227">
        <f>IF($A39="","",SUMPRODUCT(--((COUNTIFS(ActCodesAll,$D39:$AH39,ActCat,AK$3)+COUNTIFS(ActCodesAll,$D40:$AH40,ActCat,AK$3)+COUNTIFS(ActCodesAll,$D41:$AH41,ActCat,AK$3)+COUNTIFS(ActCodesAll,$D42:$AH42,ActCat,AK$3))&gt;0)))</f>
        <v/>
      </c>
      <c r="AL39" s="227">
        <f>IF($A39="","",SUMPRODUCT(--((COUNTIFS(ActCodesAll,$D39:$AH39,ActCat,AL$3)+COUNTIFS(ActCodesAll,$D40:$AH40,ActCat,AL$3)+COUNTIFS(ActCodesAll,$D41:$AH41,ActCat,AL$3)+COUNTIFS(ActCodesAll,$D42:$AH42,ActCat,AL$3))&gt;0)))</f>
        <v/>
      </c>
      <c r="AM39" s="227">
        <f>IF($A39="","",SUMPRODUCT(--((COUNTIFS(ActCodesAll,$D39:$AH39,ActCat,AM$3)+COUNTIFS(ActCodesAll,$D40:$AH40,ActCat,AM$3)+COUNTIFS(ActCodesAll,$D41:$AH41,ActCat,AM$3)+COUNTIFS(ActCodesAll,$D42:$AH42,ActCat,AM$3))&gt;0)))</f>
        <v/>
      </c>
    </row>
    <row r="40" ht="19" customHeight="1">
      <c r="A40" s="229">
        <f>IF(Roster!$C$9="","",IF(Roster!$B$9="","#"&amp;4,Roster!$B$9&amp;""))</f>
        <v/>
      </c>
      <c r="B40" s="230" t="n"/>
      <c r="C40" s="214" t="inlineStr">
        <is>
          <t>PM</t>
        </is>
      </c>
      <c r="D40" s="231" t="n"/>
      <c r="E40" s="231" t="n"/>
      <c r="F40" s="231" t="n"/>
      <c r="G40" s="231" t="n"/>
      <c r="H40" s="231" t="n"/>
      <c r="I40" s="231" t="n"/>
      <c r="J40" s="231" t="n"/>
      <c r="K40" s="231" t="n"/>
      <c r="L40" s="231" t="n"/>
      <c r="M40" s="231" t="n"/>
      <c r="N40" s="231" t="n"/>
      <c r="O40" s="231" t="n"/>
      <c r="P40" s="231" t="n"/>
      <c r="Q40" s="231" t="n"/>
      <c r="R40" s="231" t="n"/>
      <c r="S40" s="231" t="n"/>
      <c r="T40" s="231" t="n"/>
      <c r="U40" s="231" t="n"/>
      <c r="V40" s="231" t="n"/>
      <c r="W40" s="231" t="n"/>
      <c r="X40" s="231" t="n"/>
      <c r="Y40" s="231" t="n"/>
      <c r="Z40" s="231" t="n"/>
      <c r="AA40" s="231" t="n"/>
      <c r="AB40" s="231" t="n"/>
      <c r="AC40" s="231" t="n"/>
      <c r="AD40" s="231" t="n"/>
      <c r="AE40" s="231" t="n"/>
      <c r="AF40" s="231" t="n"/>
      <c r="AG40" s="231" t="n"/>
      <c r="AH40" s="231" t="n"/>
      <c r="AI40" s="216" t="n"/>
      <c r="AJ40" s="216" t="n"/>
      <c r="AK40" s="216" t="n"/>
      <c r="AL40" s="216" t="n"/>
      <c r="AM40" s="216" t="n"/>
    </row>
    <row r="41" ht="19" customHeight="1">
      <c r="A41" s="229">
        <f>IF(Roster!$C$9="","",IF(Roster!$B$9="","#"&amp;4,Roster!$B$9&amp;""))</f>
        <v/>
      </c>
      <c r="B41" s="232">
        <f>IF(Roster!$C$9="","",Roster!$F$9&amp;IF(OR(Roster!$G$9="SANS",Roster!$G$9="NSMEN"),"  |  "&amp;Roster!$G$9,""))</f>
        <v/>
      </c>
      <c r="C41" s="218" t="inlineStr">
        <is>
          <t>NIGHT</t>
        </is>
      </c>
      <c r="D41" s="231" t="n"/>
      <c r="E41" s="231" t="n"/>
      <c r="F41" s="231" t="n"/>
      <c r="G41" s="231" t="n"/>
      <c r="H41" s="231" t="n"/>
      <c r="I41" s="231" t="n"/>
      <c r="J41" s="231" t="n"/>
      <c r="K41" s="231" t="n"/>
      <c r="L41" s="231" t="n"/>
      <c r="M41" s="231" t="n"/>
      <c r="N41" s="231" t="n"/>
      <c r="O41" s="231" t="n"/>
      <c r="P41" s="231" t="n"/>
      <c r="Q41" s="231" t="n"/>
      <c r="R41" s="231" t="n"/>
      <c r="S41" s="231" t="n"/>
      <c r="T41" s="231" t="n"/>
      <c r="U41" s="231" t="n"/>
      <c r="V41" s="231" t="n"/>
      <c r="W41" s="231" t="n"/>
      <c r="X41" s="231" t="n"/>
      <c r="Y41" s="231" t="n"/>
      <c r="Z41" s="231" t="n"/>
      <c r="AA41" s="231" t="n"/>
      <c r="AB41" s="231" t="n"/>
      <c r="AC41" s="231" t="n"/>
      <c r="AD41" s="231" t="n"/>
      <c r="AE41" s="231" t="n"/>
      <c r="AF41" s="231" t="n"/>
      <c r="AG41" s="231" t="n"/>
      <c r="AH41" s="231" t="n"/>
      <c r="AI41" s="216" t="n"/>
      <c r="AJ41" s="216" t="n"/>
      <c r="AK41" s="216" t="n"/>
      <c r="AL41" s="216" t="n"/>
      <c r="AM41" s="216" t="n"/>
    </row>
    <row r="42" ht="19" customHeight="1">
      <c r="A42" s="233">
        <f>IF(Roster!$C$9="","",IF(Roster!$B$9="","#"&amp;4,Roster!$B$9&amp;""))</f>
        <v/>
      </c>
      <c r="B42" s="234" t="n"/>
      <c r="C42" s="221" t="inlineStr">
        <is>
          <t>WD</t>
        </is>
      </c>
      <c r="D42" s="222" t="n"/>
      <c r="E42" s="222" t="n"/>
      <c r="F42" s="222" t="n"/>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c r="AA42" s="222" t="n"/>
      <c r="AB42" s="222" t="n"/>
      <c r="AC42" s="222" t="n"/>
      <c r="AD42" s="222" t="n"/>
      <c r="AE42" s="222" t="n"/>
      <c r="AF42" s="222" t="n"/>
      <c r="AG42" s="222" t="n"/>
      <c r="AH42" s="222" t="n"/>
      <c r="AI42" s="223" t="n"/>
      <c r="AJ42" s="223" t="n"/>
      <c r="AK42" s="223" t="n"/>
      <c r="AL42" s="223" t="n"/>
      <c r="AM42" s="223" t="n"/>
    </row>
    <row r="43" ht="19" customHeight="1">
      <c r="A43" s="206">
        <f>IF(Roster!$C$10="","",IF(Roster!$B$10="","#"&amp;5,Roster!$B$10&amp;""))</f>
        <v/>
      </c>
      <c r="B43" s="207">
        <f>IF(Roster!$C$10="","",Roster!$C$10)</f>
        <v/>
      </c>
      <c r="C43" s="208" t="inlineStr">
        <is>
          <t>AM</t>
        </is>
      </c>
      <c r="D43" s="209" t="n"/>
      <c r="E43" s="209" t="n"/>
      <c r="F43" s="209" t="n"/>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209" t="n"/>
      <c r="AD43" s="209" t="n"/>
      <c r="AE43" s="209" t="n"/>
      <c r="AF43" s="209" t="n"/>
      <c r="AG43" s="209" t="n"/>
      <c r="AH43" s="209" t="n"/>
      <c r="AI43" s="210">
        <f>IF($A43="","",SUMPRODUCT(SUMIFS(ActSort,ActCodesAll,$D43:$AH45,ActCat,AI$3)))</f>
        <v/>
      </c>
      <c r="AJ43" s="211">
        <f>IF($A43="","",SUMPRODUCT(SUMIFS(ActHrs,ActCodesAll,$D43:$AH45,ActCat,AJ$3)))</f>
        <v/>
      </c>
      <c r="AK43" s="210">
        <f>IF($A43="","",SUMPRODUCT(--((COUNTIFS(ActCodesAll,$D43:$AH43,ActCat,AK$3)+COUNTIFS(ActCodesAll,$D44:$AH44,ActCat,AK$3)+COUNTIFS(ActCodesAll,$D45:$AH45,ActCat,AK$3)+COUNTIFS(ActCodesAll,$D46:$AH46,ActCat,AK$3))&gt;0)))</f>
        <v/>
      </c>
      <c r="AL43" s="210">
        <f>IF($A43="","",SUMPRODUCT(--((COUNTIFS(ActCodesAll,$D43:$AH43,ActCat,AL$3)+COUNTIFS(ActCodesAll,$D44:$AH44,ActCat,AL$3)+COUNTIFS(ActCodesAll,$D45:$AH45,ActCat,AL$3)+COUNTIFS(ActCodesAll,$D46:$AH46,ActCat,AL$3))&gt;0)))</f>
        <v/>
      </c>
      <c r="AM43" s="210">
        <f>IF($A43="","",SUMPRODUCT(--((COUNTIFS(ActCodesAll,$D43:$AH43,ActCat,AM$3)+COUNTIFS(ActCodesAll,$D44:$AH44,ActCat,AM$3)+COUNTIFS(ActCodesAll,$D45:$AH45,ActCat,AM$3)+COUNTIFS(ActCodesAll,$D46:$AH46,ActCat,AM$3))&gt;0)))</f>
        <v/>
      </c>
    </row>
    <row r="44" ht="19" customHeight="1">
      <c r="A44" s="212">
        <f>IF(Roster!$C$10="","",IF(Roster!$B$10="","#"&amp;5,Roster!$B$10&amp;""))</f>
        <v/>
      </c>
      <c r="B44" s="213" t="n"/>
      <c r="C44" s="214" t="inlineStr">
        <is>
          <t>PM</t>
        </is>
      </c>
      <c r="D44" s="215" t="n"/>
      <c r="E44" s="215" t="n"/>
      <c r="F44" s="215" t="n"/>
      <c r="G44" s="215" t="n"/>
      <c r="H44" s="215" t="n"/>
      <c r="I44" s="215" t="n"/>
      <c r="J44" s="215" t="n"/>
      <c r="K44" s="215" t="n"/>
      <c r="L44" s="215" t="n"/>
      <c r="M44" s="215" t="n"/>
      <c r="N44" s="215" t="n"/>
      <c r="O44" s="215" t="n"/>
      <c r="P44" s="215" t="n"/>
      <c r="Q44" s="215" t="n"/>
      <c r="R44" s="215" t="n"/>
      <c r="S44" s="215" t="n"/>
      <c r="T44" s="215" t="n"/>
      <c r="U44" s="215" t="n"/>
      <c r="V44" s="215" t="n"/>
      <c r="W44" s="215" t="n"/>
      <c r="X44" s="215" t="n"/>
      <c r="Y44" s="215" t="n"/>
      <c r="Z44" s="215" t="n"/>
      <c r="AA44" s="215" t="n"/>
      <c r="AB44" s="215" t="n"/>
      <c r="AC44" s="215" t="n"/>
      <c r="AD44" s="215" t="n"/>
      <c r="AE44" s="215" t="n"/>
      <c r="AF44" s="215" t="n"/>
      <c r="AG44" s="215" t="n"/>
      <c r="AH44" s="215" t="n"/>
      <c r="AI44" s="216" t="n"/>
      <c r="AJ44" s="216" t="n"/>
      <c r="AK44" s="216" t="n"/>
      <c r="AL44" s="216" t="n"/>
      <c r="AM44" s="216" t="n"/>
    </row>
    <row r="45" ht="19" customHeight="1">
      <c r="A45" s="212">
        <f>IF(Roster!$C$10="","",IF(Roster!$B$10="","#"&amp;5,Roster!$B$10&amp;""))</f>
        <v/>
      </c>
      <c r="B45" s="217">
        <f>IF(Roster!$C$10="","",Roster!$F$10&amp;IF(OR(Roster!$G$10="SANS",Roster!$G$10="NSMEN"),"  |  "&amp;Roster!$G$10,""))</f>
        <v/>
      </c>
      <c r="C45" s="218" t="inlineStr">
        <is>
          <t>NIGHT</t>
        </is>
      </c>
      <c r="D45" s="215" t="n"/>
      <c r="E45" s="215" t="n"/>
      <c r="F45" s="215" t="n"/>
      <c r="G45" s="215" t="n"/>
      <c r="H45" s="215" t="n"/>
      <c r="I45" s="215" t="n"/>
      <c r="J45" s="215" t="n"/>
      <c r="K45" s="215" t="n"/>
      <c r="L45" s="215" t="n"/>
      <c r="M45" s="215" t="n"/>
      <c r="N45" s="215" t="n"/>
      <c r="O45" s="215" t="n"/>
      <c r="P45" s="215" t="n"/>
      <c r="Q45" s="215" t="n"/>
      <c r="R45" s="215" t="n"/>
      <c r="S45" s="215" t="n"/>
      <c r="T45" s="215" t="n"/>
      <c r="U45" s="215" t="n"/>
      <c r="V45" s="215" t="n"/>
      <c r="W45" s="215" t="n"/>
      <c r="X45" s="215" t="n"/>
      <c r="Y45" s="215" t="n"/>
      <c r="Z45" s="215" t="n"/>
      <c r="AA45" s="215" t="n"/>
      <c r="AB45" s="215" t="n"/>
      <c r="AC45" s="215" t="n"/>
      <c r="AD45" s="215" t="n"/>
      <c r="AE45" s="215" t="n"/>
      <c r="AF45" s="215" t="n"/>
      <c r="AG45" s="215" t="n"/>
      <c r="AH45" s="215" t="n"/>
      <c r="AI45" s="216" t="n"/>
      <c r="AJ45" s="216" t="n"/>
      <c r="AK45" s="216" t="n"/>
      <c r="AL45" s="216" t="n"/>
      <c r="AM45" s="216" t="n"/>
    </row>
    <row r="46" ht="19" customHeight="1">
      <c r="A46" s="219">
        <f>IF(Roster!$C$10="","",IF(Roster!$B$10="","#"&amp;5,Roster!$B$10&amp;""))</f>
        <v/>
      </c>
      <c r="B46" s="220" t="n"/>
      <c r="C46" s="221" t="inlineStr">
        <is>
          <t>WD</t>
        </is>
      </c>
      <c r="D46" s="222" t="n"/>
      <c r="E46" s="222" t="n"/>
      <c r="F46" s="222" t="n"/>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c r="AA46" s="222" t="n"/>
      <c r="AB46" s="222" t="n"/>
      <c r="AC46" s="222" t="n"/>
      <c r="AD46" s="222" t="n"/>
      <c r="AE46" s="222" t="n"/>
      <c r="AF46" s="222" t="n"/>
      <c r="AG46" s="222" t="n"/>
      <c r="AH46" s="222" t="n"/>
      <c r="AI46" s="223" t="n"/>
      <c r="AJ46" s="223" t="n"/>
      <c r="AK46" s="223" t="n"/>
      <c r="AL46" s="223" t="n"/>
      <c r="AM46" s="223" t="n"/>
    </row>
    <row r="47" ht="19" customHeight="1">
      <c r="A47" s="224">
        <f>IF(Roster!$C$11="","",IF(Roster!$B$11="","#"&amp;6,Roster!$B$11&amp;""))</f>
        <v/>
      </c>
      <c r="B47" s="225">
        <f>IF(Roster!$C$11="","",Roster!$C$11)</f>
        <v/>
      </c>
      <c r="C47" s="208" t="inlineStr">
        <is>
          <t>AM</t>
        </is>
      </c>
      <c r="D47" s="226" t="n"/>
      <c r="E47" s="226" t="n"/>
      <c r="F47" s="226" t="n"/>
      <c r="G47" s="226" t="n"/>
      <c r="H47" s="226" t="n"/>
      <c r="I47" s="226" t="n"/>
      <c r="J47" s="226" t="n"/>
      <c r="K47" s="226" t="n"/>
      <c r="L47" s="226" t="n"/>
      <c r="M47" s="226" t="n"/>
      <c r="N47" s="226" t="n"/>
      <c r="O47" s="226" t="n"/>
      <c r="P47" s="226" t="n"/>
      <c r="Q47" s="226" t="n"/>
      <c r="R47" s="226" t="n"/>
      <c r="S47" s="226" t="n"/>
      <c r="T47" s="226" t="n"/>
      <c r="U47" s="226" t="n"/>
      <c r="V47" s="226" t="n"/>
      <c r="W47" s="226" t="n"/>
      <c r="X47" s="226" t="n"/>
      <c r="Y47" s="226" t="n"/>
      <c r="Z47" s="226" t="n"/>
      <c r="AA47" s="226" t="n"/>
      <c r="AB47" s="226" t="n"/>
      <c r="AC47" s="226" t="n"/>
      <c r="AD47" s="226" t="n"/>
      <c r="AE47" s="226" t="n"/>
      <c r="AF47" s="226" t="n"/>
      <c r="AG47" s="226" t="n"/>
      <c r="AH47" s="226" t="n"/>
      <c r="AI47" s="227">
        <f>IF($A47="","",SUMPRODUCT(SUMIFS(ActSort,ActCodesAll,$D47:$AH49,ActCat,AI$3)))</f>
        <v/>
      </c>
      <c r="AJ47" s="228">
        <f>IF($A47="","",SUMPRODUCT(SUMIFS(ActHrs,ActCodesAll,$D47:$AH49,ActCat,AJ$3)))</f>
        <v/>
      </c>
      <c r="AK47" s="227">
        <f>IF($A47="","",SUMPRODUCT(--((COUNTIFS(ActCodesAll,$D47:$AH47,ActCat,AK$3)+COUNTIFS(ActCodesAll,$D48:$AH48,ActCat,AK$3)+COUNTIFS(ActCodesAll,$D49:$AH49,ActCat,AK$3)+COUNTIFS(ActCodesAll,$D50:$AH50,ActCat,AK$3))&gt;0)))</f>
        <v/>
      </c>
      <c r="AL47" s="227">
        <f>IF($A47="","",SUMPRODUCT(--((COUNTIFS(ActCodesAll,$D47:$AH47,ActCat,AL$3)+COUNTIFS(ActCodesAll,$D48:$AH48,ActCat,AL$3)+COUNTIFS(ActCodesAll,$D49:$AH49,ActCat,AL$3)+COUNTIFS(ActCodesAll,$D50:$AH50,ActCat,AL$3))&gt;0)))</f>
        <v/>
      </c>
      <c r="AM47" s="227">
        <f>IF($A47="","",SUMPRODUCT(--((COUNTIFS(ActCodesAll,$D47:$AH47,ActCat,AM$3)+COUNTIFS(ActCodesAll,$D48:$AH48,ActCat,AM$3)+COUNTIFS(ActCodesAll,$D49:$AH49,ActCat,AM$3)+COUNTIFS(ActCodesAll,$D50:$AH50,ActCat,AM$3))&gt;0)))</f>
        <v/>
      </c>
    </row>
    <row r="48" ht="19" customHeight="1">
      <c r="A48" s="229">
        <f>IF(Roster!$C$11="","",IF(Roster!$B$11="","#"&amp;6,Roster!$B$11&amp;""))</f>
        <v/>
      </c>
      <c r="B48" s="230" t="n"/>
      <c r="C48" s="214" t="inlineStr">
        <is>
          <t>PM</t>
        </is>
      </c>
      <c r="D48" s="231" t="n"/>
      <c r="E48" s="231" t="n"/>
      <c r="F48" s="231" t="n"/>
      <c r="G48" s="231" t="n"/>
      <c r="H48" s="231" t="n"/>
      <c r="I48" s="231" t="n"/>
      <c r="J48" s="231" t="n"/>
      <c r="K48" s="231" t="n"/>
      <c r="L48" s="231" t="n"/>
      <c r="M48" s="231" t="n"/>
      <c r="N48" s="231" t="n"/>
      <c r="O48" s="231" t="n"/>
      <c r="P48" s="231" t="n"/>
      <c r="Q48" s="231" t="n"/>
      <c r="R48" s="231" t="n"/>
      <c r="S48" s="231" t="n"/>
      <c r="T48" s="231" t="n"/>
      <c r="U48" s="231" t="n"/>
      <c r="V48" s="231" t="n"/>
      <c r="W48" s="231" t="n"/>
      <c r="X48" s="231" t="n"/>
      <c r="Y48" s="231" t="n"/>
      <c r="Z48" s="231" t="n"/>
      <c r="AA48" s="231" t="n"/>
      <c r="AB48" s="231" t="n"/>
      <c r="AC48" s="231" t="n"/>
      <c r="AD48" s="231" t="n"/>
      <c r="AE48" s="231" t="n"/>
      <c r="AF48" s="231" t="n"/>
      <c r="AG48" s="231" t="n"/>
      <c r="AH48" s="231" t="n"/>
      <c r="AI48" s="216" t="n"/>
      <c r="AJ48" s="216" t="n"/>
      <c r="AK48" s="216" t="n"/>
      <c r="AL48" s="216" t="n"/>
      <c r="AM48" s="216" t="n"/>
    </row>
    <row r="49" ht="19" customHeight="1">
      <c r="A49" s="229">
        <f>IF(Roster!$C$11="","",IF(Roster!$B$11="","#"&amp;6,Roster!$B$11&amp;""))</f>
        <v/>
      </c>
      <c r="B49" s="232">
        <f>IF(Roster!$C$11="","",Roster!$F$11&amp;IF(OR(Roster!$G$11="SANS",Roster!$G$11="NSMEN"),"  |  "&amp;Roster!$G$11,""))</f>
        <v/>
      </c>
      <c r="C49" s="218" t="inlineStr">
        <is>
          <t>NIGHT</t>
        </is>
      </c>
      <c r="D49" s="231" t="n"/>
      <c r="E49" s="231" t="n"/>
      <c r="F49" s="231" t="n"/>
      <c r="G49" s="231" t="n"/>
      <c r="H49" s="231" t="n"/>
      <c r="I49" s="231" t="n"/>
      <c r="J49" s="231" t="n"/>
      <c r="K49" s="231" t="n"/>
      <c r="L49" s="231" t="n"/>
      <c r="M49" s="231" t="n"/>
      <c r="N49" s="231" t="n"/>
      <c r="O49" s="231" t="n"/>
      <c r="P49" s="231" t="n"/>
      <c r="Q49" s="231" t="n"/>
      <c r="R49" s="231" t="n"/>
      <c r="S49" s="231" t="n"/>
      <c r="T49" s="231" t="n"/>
      <c r="U49" s="231" t="n"/>
      <c r="V49" s="231" t="n"/>
      <c r="W49" s="231" t="n"/>
      <c r="X49" s="231" t="n"/>
      <c r="Y49" s="231" t="n"/>
      <c r="Z49" s="231" t="n"/>
      <c r="AA49" s="231" t="n"/>
      <c r="AB49" s="231" t="n"/>
      <c r="AC49" s="231" t="n"/>
      <c r="AD49" s="231" t="n"/>
      <c r="AE49" s="231" t="n"/>
      <c r="AF49" s="231" t="n"/>
      <c r="AG49" s="231" t="n"/>
      <c r="AH49" s="231" t="n"/>
      <c r="AI49" s="216" t="n"/>
      <c r="AJ49" s="216" t="n"/>
      <c r="AK49" s="216" t="n"/>
      <c r="AL49" s="216" t="n"/>
      <c r="AM49" s="216" t="n"/>
    </row>
    <row r="50" ht="19" customHeight="1">
      <c r="A50" s="233">
        <f>IF(Roster!$C$11="","",IF(Roster!$B$11="","#"&amp;6,Roster!$B$11&amp;""))</f>
        <v/>
      </c>
      <c r="B50" s="234" t="n"/>
      <c r="C50" s="221" t="inlineStr">
        <is>
          <t>WD</t>
        </is>
      </c>
      <c r="D50" s="222" t="n"/>
      <c r="E50" s="222" t="n"/>
      <c r="F50" s="222" t="n"/>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c r="AA50" s="222" t="n"/>
      <c r="AB50" s="222" t="n"/>
      <c r="AC50" s="222" t="n"/>
      <c r="AD50" s="222" t="n"/>
      <c r="AE50" s="222" t="n"/>
      <c r="AF50" s="222" t="n"/>
      <c r="AG50" s="222" t="n"/>
      <c r="AH50" s="222" t="n"/>
      <c r="AI50" s="223" t="n"/>
      <c r="AJ50" s="223" t="n"/>
      <c r="AK50" s="223" t="n"/>
      <c r="AL50" s="223" t="n"/>
      <c r="AM50" s="223" t="n"/>
    </row>
    <row r="51" hidden="1" ht="19" customHeight="1">
      <c r="A51" s="206">
        <f>IF(Roster!$C$12="","",IF(Roster!$B$12="","#"&amp;7,Roster!$B$12&amp;""))</f>
        <v/>
      </c>
      <c r="B51" s="207">
        <f>IF(Roster!$C$12="","",Roster!$C$12)</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IF($A51="","",SUMPRODUCT(--((COUNTIFS(ActCodesAll,$D51:$AH51,ActCat,AK$3)+COUNTIFS(ActCodesAll,$D52:$AH52,ActCat,AK$3)+COUNTIFS(ActCodesAll,$D53:$AH53,ActCat,AK$3)+COUNTIFS(ActCodesAll,$D54:$AH54,ActCat,AK$3))&gt;0)))</f>
        <v/>
      </c>
      <c r="AL51" s="210">
        <f>IF($A51="","",SUMPRODUCT(--((COUNTIFS(ActCodesAll,$D51:$AH51,ActCat,AL$3)+COUNTIFS(ActCodesAll,$D52:$AH52,ActCat,AL$3)+COUNTIFS(ActCodesAll,$D53:$AH53,ActCat,AL$3)+COUNTIFS(ActCodesAll,$D54:$AH54,ActCat,AL$3))&gt;0)))</f>
        <v/>
      </c>
      <c r="AM51" s="210">
        <f>IF($A51="","",SUMPRODUCT(--((COUNTIFS(ActCodesAll,$D51:$AH51,ActCat,AM$3)+COUNTIFS(ActCodesAll,$D52:$AH52,ActCat,AM$3)+COUNTIFS(ActCodesAll,$D53:$AH53,ActCat,AM$3)+COUNTIFS(ActCodesAll,$D54:$AH54,ActCat,AM$3))&gt;0)))</f>
        <v/>
      </c>
    </row>
    <row r="52" hidden="1" ht="19" customHeight="1">
      <c r="A52" s="212">
        <f>IF(Roster!$C$12="","",IF(Roster!$B$12="","#"&amp;7,Roster!$B$12&amp;""))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2">
        <f>IF(Roster!$C$12="","",IF(Roster!$B$12="","#"&amp;7,Roster!$B$12&amp;""))</f>
        <v/>
      </c>
      <c r="B53" s="217">
        <f>IF(Roster!$C$12="","",Roster!$F$12&amp;IF(OR(Roster!$G$12="SANS",Roster!$G$12="NSMEN"),"  |  "&amp;Roster!$G$12,""))</f>
        <v/>
      </c>
      <c r="C53" s="218" t="inlineStr">
        <is>
          <t>NIGHT</t>
        </is>
      </c>
      <c r="D53" s="215" t="n"/>
      <c r="E53" s="215" t="n"/>
      <c r="F53" s="215" t="n"/>
      <c r="G53" s="215" t="n"/>
      <c r="H53" s="215" t="n"/>
      <c r="I53" s="215" t="n"/>
      <c r="J53" s="215" t="n"/>
      <c r="K53" s="215" t="n"/>
      <c r="L53" s="215" t="n"/>
      <c r="M53" s="215" t="n"/>
      <c r="N53" s="215" t="n"/>
      <c r="O53" s="215" t="n"/>
      <c r="P53" s="215" t="n"/>
      <c r="Q53" s="215" t="n"/>
      <c r="R53" s="215" t="n"/>
      <c r="S53" s="215" t="n"/>
      <c r="T53" s="215" t="n"/>
      <c r="U53" s="215" t="n"/>
      <c r="V53" s="215" t="n"/>
      <c r="W53" s="215" t="n"/>
      <c r="X53" s="215" t="n"/>
      <c r="Y53" s="215" t="n"/>
      <c r="Z53" s="215" t="n"/>
      <c r="AA53" s="215" t="n"/>
      <c r="AB53" s="215" t="n"/>
      <c r="AC53" s="215" t="n"/>
      <c r="AD53" s="215" t="n"/>
      <c r="AE53" s="215" t="n"/>
      <c r="AF53" s="215" t="n"/>
      <c r="AG53" s="215" t="n"/>
      <c r="AH53" s="215" t="n"/>
      <c r="AI53" s="216" t="n"/>
      <c r="AJ53" s="216" t="n"/>
      <c r="AK53" s="216" t="n"/>
      <c r="AL53" s="216" t="n"/>
      <c r="AM53" s="216" t="n"/>
    </row>
    <row r="54" hidden="1" ht="19" customHeight="1">
      <c r="A54" s="219">
        <f>IF(Roster!$C$12="","",IF(Roster!$B$12="","#"&amp;7,Roster!$B$12&amp;""))</f>
        <v/>
      </c>
      <c r="B54" s="220" t="n"/>
      <c r="C54" s="221" t="inlineStr">
        <is>
          <t>WD</t>
        </is>
      </c>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c r="AA54" s="222" t="n"/>
      <c r="AB54" s="222" t="n"/>
      <c r="AC54" s="222" t="n"/>
      <c r="AD54" s="222" t="n"/>
      <c r="AE54" s="222" t="n"/>
      <c r="AF54" s="222" t="n"/>
      <c r="AG54" s="222" t="n"/>
      <c r="AH54" s="222" t="n"/>
      <c r="AI54" s="223" t="n"/>
      <c r="AJ54" s="223" t="n"/>
      <c r="AK54" s="223" t="n"/>
      <c r="AL54" s="223" t="n"/>
      <c r="AM54" s="223" t="n"/>
    </row>
    <row r="55" hidden="1" ht="19" customHeight="1">
      <c r="A55" s="224">
        <f>IF(Roster!$C$13="","",IF(Roster!$B$13="","#"&amp;8,Roster!$B$13&amp;""))</f>
        <v/>
      </c>
      <c r="B55" s="225">
        <f>IF(Roster!$C$13="","",Roster!$C$13)</f>
        <v/>
      </c>
      <c r="C55" s="208" t="inlineStr">
        <is>
          <t>AM</t>
        </is>
      </c>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7">
        <f>IF($A55="","",SUMPRODUCT(SUMIFS(ActSort,ActCodesAll,$D55:$AH57,ActCat,AI$3)))</f>
        <v/>
      </c>
      <c r="AJ55" s="228">
        <f>IF($A55="","",SUMPRODUCT(SUMIFS(ActHrs,ActCodesAll,$D55:$AH57,ActCat,AJ$3)))</f>
        <v/>
      </c>
      <c r="AK55" s="227">
        <f>IF($A55="","",SUMPRODUCT(--((COUNTIFS(ActCodesAll,$D55:$AH55,ActCat,AK$3)+COUNTIFS(ActCodesAll,$D56:$AH56,ActCat,AK$3)+COUNTIFS(ActCodesAll,$D57:$AH57,ActCat,AK$3)+COUNTIFS(ActCodesAll,$D58:$AH58,ActCat,AK$3))&gt;0)))</f>
        <v/>
      </c>
      <c r="AL55" s="227">
        <f>IF($A55="","",SUMPRODUCT(--((COUNTIFS(ActCodesAll,$D55:$AH55,ActCat,AL$3)+COUNTIFS(ActCodesAll,$D56:$AH56,ActCat,AL$3)+COUNTIFS(ActCodesAll,$D57:$AH57,ActCat,AL$3)+COUNTIFS(ActCodesAll,$D58:$AH58,ActCat,AL$3))&gt;0)))</f>
        <v/>
      </c>
      <c r="AM55" s="227">
        <f>IF($A55="","",SUMPRODUCT(--((COUNTIFS(ActCodesAll,$D55:$AH55,ActCat,AM$3)+COUNTIFS(ActCodesAll,$D56:$AH56,ActCat,AM$3)+COUNTIFS(ActCodesAll,$D57:$AH57,ActCat,AM$3)+COUNTIFS(ActCodesAll,$D58:$AH58,ActCat,AM$3))&gt;0)))</f>
        <v/>
      </c>
    </row>
    <row r="56" hidden="1" ht="19" customHeight="1">
      <c r="A56" s="229">
        <f>IF(Roster!$C$13="","",IF(Roster!$B$13="","#"&amp;8,Roster!$B$13&amp;""))</f>
        <v/>
      </c>
      <c r="B56" s="230" t="n"/>
      <c r="C56" s="214" t="inlineStr">
        <is>
          <t>PM</t>
        </is>
      </c>
      <c r="D56" s="231" t="n"/>
      <c r="E56" s="231" t="n"/>
      <c r="F56" s="231" t="n"/>
      <c r="G56" s="231" t="n"/>
      <c r="H56" s="231" t="n"/>
      <c r="I56" s="231" t="n"/>
      <c r="J56" s="231" t="n"/>
      <c r="K56" s="231" t="n"/>
      <c r="L56" s="231" t="n"/>
      <c r="M56" s="231" t="n"/>
      <c r="N56" s="231" t="n"/>
      <c r="O56" s="231" t="n"/>
      <c r="P56" s="231" t="n"/>
      <c r="Q56" s="231" t="n"/>
      <c r="R56" s="231" t="n"/>
      <c r="S56" s="231" t="n"/>
      <c r="T56" s="231" t="n"/>
      <c r="U56" s="231" t="n"/>
      <c r="V56" s="231" t="n"/>
      <c r="W56" s="231" t="n"/>
      <c r="X56" s="231" t="n"/>
      <c r="Y56" s="231" t="n"/>
      <c r="Z56" s="231" t="n"/>
      <c r="AA56" s="231" t="n"/>
      <c r="AB56" s="231" t="n"/>
      <c r="AC56" s="231" t="n"/>
      <c r="AD56" s="231" t="n"/>
      <c r="AE56" s="231" t="n"/>
      <c r="AF56" s="231" t="n"/>
      <c r="AG56" s="231" t="n"/>
      <c r="AH56" s="231" t="n"/>
      <c r="AI56" s="216" t="n"/>
      <c r="AJ56" s="216" t="n"/>
      <c r="AK56" s="216" t="n"/>
      <c r="AL56" s="216" t="n"/>
      <c r="AM56" s="216" t="n"/>
    </row>
    <row r="57" hidden="1" ht="19" customHeight="1">
      <c r="A57" s="229">
        <f>IF(Roster!$C$13="","",IF(Roster!$B$13="","#"&amp;8,Roster!$B$13&amp;""))</f>
        <v/>
      </c>
      <c r="B57" s="232">
        <f>IF(Roster!$C$13="","",Roster!$F$13&amp;IF(OR(Roster!$G$13="SANS",Roster!$G$13="NSMEN"),"  |  "&amp;Roster!$G$13,""))</f>
        <v/>
      </c>
      <c r="C57" s="218" t="inlineStr">
        <is>
          <t>NIGHT</t>
        </is>
      </c>
      <c r="D57" s="231" t="n"/>
      <c r="E57" s="231" t="n"/>
      <c r="F57" s="231" t="n"/>
      <c r="G57" s="231" t="n"/>
      <c r="H57" s="231" t="n"/>
      <c r="I57" s="231" t="n"/>
      <c r="J57" s="231" t="n"/>
      <c r="K57" s="231" t="n"/>
      <c r="L57" s="231" t="n"/>
      <c r="M57" s="231" t="n"/>
      <c r="N57" s="231" t="n"/>
      <c r="O57" s="231" t="n"/>
      <c r="P57" s="231" t="n"/>
      <c r="Q57" s="231" t="n"/>
      <c r="R57" s="231" t="n"/>
      <c r="S57" s="231" t="n"/>
      <c r="T57" s="231" t="n"/>
      <c r="U57" s="231" t="n"/>
      <c r="V57" s="231" t="n"/>
      <c r="W57" s="231" t="n"/>
      <c r="X57" s="231" t="n"/>
      <c r="Y57" s="231" t="n"/>
      <c r="Z57" s="231" t="n"/>
      <c r="AA57" s="231" t="n"/>
      <c r="AB57" s="231" t="n"/>
      <c r="AC57" s="231" t="n"/>
      <c r="AD57" s="231" t="n"/>
      <c r="AE57" s="231" t="n"/>
      <c r="AF57" s="231" t="n"/>
      <c r="AG57" s="231" t="n"/>
      <c r="AH57" s="231" t="n"/>
      <c r="AI57" s="216" t="n"/>
      <c r="AJ57" s="216" t="n"/>
      <c r="AK57" s="216" t="n"/>
      <c r="AL57" s="216" t="n"/>
      <c r="AM57" s="216" t="n"/>
    </row>
    <row r="58" hidden="1" ht="19" customHeight="1">
      <c r="A58" s="233">
        <f>IF(Roster!$C$13="","",IF(Roster!$B$13="","#"&amp;8,Roster!$B$13&amp;""))</f>
        <v/>
      </c>
      <c r="B58" s="234" t="n"/>
      <c r="C58" s="221" t="inlineStr">
        <is>
          <t>WD</t>
        </is>
      </c>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c r="AA58" s="222" t="n"/>
      <c r="AB58" s="222" t="n"/>
      <c r="AC58" s="222" t="n"/>
      <c r="AD58" s="222" t="n"/>
      <c r="AE58" s="222" t="n"/>
      <c r="AF58" s="222" t="n"/>
      <c r="AG58" s="222" t="n"/>
      <c r="AH58" s="222" t="n"/>
      <c r="AI58" s="223" t="n"/>
      <c r="AJ58" s="223" t="n"/>
      <c r="AK58" s="223" t="n"/>
      <c r="AL58" s="223" t="n"/>
      <c r="AM58" s="223" t="n"/>
    </row>
    <row r="59" hidden="1" ht="19" customHeight="1">
      <c r="A59" s="206">
        <f>IF(Roster!$C$14="","",IF(Roster!$B$14="","#"&amp;9,Roster!$B$14&amp;""))</f>
        <v/>
      </c>
      <c r="B59" s="207">
        <f>IF(Roster!$C$14="","",Roster!$C$14)</f>
        <v/>
      </c>
      <c r="C59" s="208" t="inlineStr">
        <is>
          <t>AM</t>
        </is>
      </c>
      <c r="D59" s="209" t="n"/>
      <c r="E59" s="209" t="n"/>
      <c r="F59" s="209" t="n"/>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209" t="n"/>
      <c r="AD59" s="209" t="n"/>
      <c r="AE59" s="209" t="n"/>
      <c r="AF59" s="209" t="n"/>
      <c r="AG59" s="209" t="n"/>
      <c r="AH59" s="209" t="n"/>
      <c r="AI59" s="210">
        <f>IF($A59="","",SUMPRODUCT(SUMIFS(ActSort,ActCodesAll,$D59:$AH61,ActCat,AI$3)))</f>
        <v/>
      </c>
      <c r="AJ59" s="211">
        <f>IF($A59="","",SUMPRODUCT(SUMIFS(ActHrs,ActCodesAll,$D59:$AH61,ActCat,AJ$3)))</f>
        <v/>
      </c>
      <c r="AK59" s="210">
        <f>IF($A59="","",SUMPRODUCT(--((COUNTIFS(ActCodesAll,$D59:$AH59,ActCat,AK$3)+COUNTIFS(ActCodesAll,$D60:$AH60,ActCat,AK$3)+COUNTIFS(ActCodesAll,$D61:$AH61,ActCat,AK$3)+COUNTIFS(ActCodesAll,$D62:$AH62,ActCat,AK$3))&gt;0)))</f>
        <v/>
      </c>
      <c r="AL59" s="210">
        <f>IF($A59="","",SUMPRODUCT(--((COUNTIFS(ActCodesAll,$D59:$AH59,ActCat,AL$3)+COUNTIFS(ActCodesAll,$D60:$AH60,ActCat,AL$3)+COUNTIFS(ActCodesAll,$D61:$AH61,ActCat,AL$3)+COUNTIFS(ActCodesAll,$D62:$AH62,ActCat,AL$3))&gt;0)))</f>
        <v/>
      </c>
      <c r="AM59" s="210">
        <f>IF($A59="","",SUMPRODUCT(--((COUNTIFS(ActCodesAll,$D59:$AH59,ActCat,AM$3)+COUNTIFS(ActCodesAll,$D60:$AH60,ActCat,AM$3)+COUNTIFS(ActCodesAll,$D61:$AH61,ActCat,AM$3)+COUNTIFS(ActCodesAll,$D62:$AH62,ActCat,AM$3))&gt;0)))</f>
        <v/>
      </c>
    </row>
    <row r="60" hidden="1" ht="19" customHeight="1">
      <c r="A60" s="212">
        <f>IF(Roster!$C$14="","",IF(Roster!$B$14="","#"&amp;9,Roster!$B$14&amp;""))</f>
        <v/>
      </c>
      <c r="B60" s="213" t="n"/>
      <c r="C60" s="214" t="inlineStr">
        <is>
          <t>PM</t>
        </is>
      </c>
      <c r="D60" s="215" t="n"/>
      <c r="E60" s="215" t="n"/>
      <c r="F60" s="215" t="n"/>
      <c r="G60" s="215" t="n"/>
      <c r="H60" s="215" t="n"/>
      <c r="I60" s="215" t="n"/>
      <c r="J60" s="215" t="n"/>
      <c r="K60" s="215" t="n"/>
      <c r="L60" s="215" t="n"/>
      <c r="M60" s="215" t="n"/>
      <c r="N60" s="215" t="n"/>
      <c r="O60" s="215" t="n"/>
      <c r="P60" s="215" t="n"/>
      <c r="Q60" s="215" t="n"/>
      <c r="R60" s="215" t="n"/>
      <c r="S60" s="215" t="n"/>
      <c r="T60" s="215" t="n"/>
      <c r="U60" s="215" t="n"/>
      <c r="V60" s="215" t="n"/>
      <c r="W60" s="215" t="n"/>
      <c r="X60" s="215" t="n"/>
      <c r="Y60" s="215" t="n"/>
      <c r="Z60" s="215" t="n"/>
      <c r="AA60" s="215" t="n"/>
      <c r="AB60" s="215" t="n"/>
      <c r="AC60" s="215" t="n"/>
      <c r="AD60" s="215" t="n"/>
      <c r="AE60" s="215" t="n"/>
      <c r="AF60" s="215" t="n"/>
      <c r="AG60" s="215" t="n"/>
      <c r="AH60" s="215" t="n"/>
      <c r="AI60" s="216" t="n"/>
      <c r="AJ60" s="216" t="n"/>
      <c r="AK60" s="216" t="n"/>
      <c r="AL60" s="216" t="n"/>
      <c r="AM60" s="216" t="n"/>
    </row>
    <row r="61" hidden="1" ht="19" customHeight="1">
      <c r="A61" s="212">
        <f>IF(Roster!$C$14="","",IF(Roster!$B$14="","#"&amp;9,Roster!$B$14&amp;""))</f>
        <v/>
      </c>
      <c r="B61" s="217">
        <f>IF(Roster!$C$14="","",Roster!$F$14&amp;IF(OR(Roster!$G$14="SANS",Roster!$G$14="NSMEN"),"  |  "&amp;Roster!$G$14,""))</f>
        <v/>
      </c>
      <c r="C61" s="218" t="inlineStr">
        <is>
          <t>NIGHT</t>
        </is>
      </c>
      <c r="D61" s="215" t="n"/>
      <c r="E61" s="215" t="n"/>
      <c r="F61" s="215" t="n"/>
      <c r="G61" s="215" t="n"/>
      <c r="H61" s="215" t="n"/>
      <c r="I61" s="215" t="n"/>
      <c r="J61" s="215" t="n"/>
      <c r="K61" s="215" t="n"/>
      <c r="L61" s="215" t="n"/>
      <c r="M61" s="215" t="n"/>
      <c r="N61" s="215" t="n"/>
      <c r="O61" s="215" t="n"/>
      <c r="P61" s="215" t="n"/>
      <c r="Q61" s="215" t="n"/>
      <c r="R61" s="215" t="n"/>
      <c r="S61" s="215" t="n"/>
      <c r="T61" s="215" t="n"/>
      <c r="U61" s="215" t="n"/>
      <c r="V61" s="215" t="n"/>
      <c r="W61" s="215" t="n"/>
      <c r="X61" s="215" t="n"/>
      <c r="Y61" s="215" t="n"/>
      <c r="Z61" s="215" t="n"/>
      <c r="AA61" s="215" t="n"/>
      <c r="AB61" s="215" t="n"/>
      <c r="AC61" s="215" t="n"/>
      <c r="AD61" s="215" t="n"/>
      <c r="AE61" s="215" t="n"/>
      <c r="AF61" s="215" t="n"/>
      <c r="AG61" s="215" t="n"/>
      <c r="AH61" s="215" t="n"/>
      <c r="AI61" s="216" t="n"/>
      <c r="AJ61" s="216" t="n"/>
      <c r="AK61" s="216" t="n"/>
      <c r="AL61" s="216" t="n"/>
      <c r="AM61" s="216" t="n"/>
    </row>
    <row r="62" hidden="1" ht="19" customHeight="1">
      <c r="A62" s="219">
        <f>IF(Roster!$C$14="","",IF(Roster!$B$14="","#"&amp;9,Roster!$B$14&amp;""))</f>
        <v/>
      </c>
      <c r="B62" s="220" t="n"/>
      <c r="C62" s="221" t="inlineStr">
        <is>
          <t>WD</t>
        </is>
      </c>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c r="AA62" s="222" t="n"/>
      <c r="AB62" s="222" t="n"/>
      <c r="AC62" s="222" t="n"/>
      <c r="AD62" s="222" t="n"/>
      <c r="AE62" s="222" t="n"/>
      <c r="AF62" s="222" t="n"/>
      <c r="AG62" s="222" t="n"/>
      <c r="AH62" s="222" t="n"/>
      <c r="AI62" s="223" t="n"/>
      <c r="AJ62" s="223" t="n"/>
      <c r="AK62" s="223" t="n"/>
      <c r="AL62" s="223" t="n"/>
      <c r="AM62" s="223" t="n"/>
    </row>
    <row r="63" hidden="1" ht="19" customHeight="1">
      <c r="A63" s="224">
        <f>IF(Roster!$C$15="","",IF(Roster!$B$15="","#"&amp;10,Roster!$B$15&amp;""))</f>
        <v/>
      </c>
      <c r="B63" s="225">
        <f>IF(Roster!$C$15="","",Roster!$C$15)</f>
        <v/>
      </c>
      <c r="C63" s="208" t="inlineStr">
        <is>
          <t>AM</t>
        </is>
      </c>
      <c r="D63" s="226" t="n"/>
      <c r="E63" s="226" t="n"/>
      <c r="F63" s="226" t="n"/>
      <c r="G63" s="226" t="n"/>
      <c r="H63" s="226" t="n"/>
      <c r="I63" s="226" t="n"/>
      <c r="J63" s="226" t="n"/>
      <c r="K63" s="226" t="n"/>
      <c r="L63" s="226" t="n"/>
      <c r="M63" s="226" t="n"/>
      <c r="N63" s="226" t="n"/>
      <c r="O63" s="226" t="n"/>
      <c r="P63" s="226" t="n"/>
      <c r="Q63" s="226" t="n"/>
      <c r="R63" s="226" t="n"/>
      <c r="S63" s="226" t="n"/>
      <c r="T63" s="226" t="n"/>
      <c r="U63" s="226" t="n"/>
      <c r="V63" s="226" t="n"/>
      <c r="W63" s="226" t="n"/>
      <c r="X63" s="226" t="n"/>
      <c r="Y63" s="226" t="n"/>
      <c r="Z63" s="226" t="n"/>
      <c r="AA63" s="226" t="n"/>
      <c r="AB63" s="226" t="n"/>
      <c r="AC63" s="226" t="n"/>
      <c r="AD63" s="226" t="n"/>
      <c r="AE63" s="226" t="n"/>
      <c r="AF63" s="226" t="n"/>
      <c r="AG63" s="226" t="n"/>
      <c r="AH63" s="226" t="n"/>
      <c r="AI63" s="227">
        <f>IF($A63="","",SUMPRODUCT(SUMIFS(ActSort,ActCodesAll,$D63:$AH65,ActCat,AI$3)))</f>
        <v/>
      </c>
      <c r="AJ63" s="228">
        <f>IF($A63="","",SUMPRODUCT(SUMIFS(ActHrs,ActCodesAll,$D63:$AH65,ActCat,AJ$3)))</f>
        <v/>
      </c>
      <c r="AK63" s="227">
        <f>IF($A63="","",SUMPRODUCT(--((COUNTIFS(ActCodesAll,$D63:$AH63,ActCat,AK$3)+COUNTIFS(ActCodesAll,$D64:$AH64,ActCat,AK$3)+COUNTIFS(ActCodesAll,$D65:$AH65,ActCat,AK$3)+COUNTIFS(ActCodesAll,$D66:$AH66,ActCat,AK$3))&gt;0)))</f>
        <v/>
      </c>
      <c r="AL63" s="227">
        <f>IF($A63="","",SUMPRODUCT(--((COUNTIFS(ActCodesAll,$D63:$AH63,ActCat,AL$3)+COUNTIFS(ActCodesAll,$D64:$AH64,ActCat,AL$3)+COUNTIFS(ActCodesAll,$D65:$AH65,ActCat,AL$3)+COUNTIFS(ActCodesAll,$D66:$AH66,ActCat,AL$3))&gt;0)))</f>
        <v/>
      </c>
      <c r="AM63" s="227">
        <f>IF($A63="","",SUMPRODUCT(--((COUNTIFS(ActCodesAll,$D63:$AH63,ActCat,AM$3)+COUNTIFS(ActCodesAll,$D64:$AH64,ActCat,AM$3)+COUNTIFS(ActCodesAll,$D65:$AH65,ActCat,AM$3)+COUNTIFS(ActCodesAll,$D66:$AH66,ActCat,AM$3))&gt;0)))</f>
        <v/>
      </c>
    </row>
    <row r="64" hidden="1" ht="19" customHeight="1">
      <c r="A64" s="229">
        <f>IF(Roster!$C$15="","",IF(Roster!$B$15="","#"&amp;10,Roster!$B$15&amp;""))</f>
        <v/>
      </c>
      <c r="B64" s="230" t="n"/>
      <c r="C64" s="214" t="inlineStr">
        <is>
          <t>PM</t>
        </is>
      </c>
      <c r="D64" s="231" t="n"/>
      <c r="E64" s="231" t="n"/>
      <c r="F64" s="231" t="n"/>
      <c r="G64" s="231" t="n"/>
      <c r="H64" s="231" t="n"/>
      <c r="I64" s="231" t="n"/>
      <c r="J64" s="231" t="n"/>
      <c r="K64" s="231" t="n"/>
      <c r="L64" s="231" t="n"/>
      <c r="M64" s="231" t="n"/>
      <c r="N64" s="231" t="n"/>
      <c r="O64" s="231" t="n"/>
      <c r="P64" s="231" t="n"/>
      <c r="Q64" s="231" t="n"/>
      <c r="R64" s="231" t="n"/>
      <c r="S64" s="231" t="n"/>
      <c r="T64" s="231" t="n"/>
      <c r="U64" s="231" t="n"/>
      <c r="V64" s="231" t="n"/>
      <c r="W64" s="231" t="n"/>
      <c r="X64" s="231" t="n"/>
      <c r="Y64" s="231" t="n"/>
      <c r="Z64" s="231" t="n"/>
      <c r="AA64" s="231" t="n"/>
      <c r="AB64" s="231" t="n"/>
      <c r="AC64" s="231" t="n"/>
      <c r="AD64" s="231" t="n"/>
      <c r="AE64" s="231" t="n"/>
      <c r="AF64" s="231" t="n"/>
      <c r="AG64" s="231" t="n"/>
      <c r="AH64" s="231" t="n"/>
      <c r="AI64" s="216" t="n"/>
      <c r="AJ64" s="216" t="n"/>
      <c r="AK64" s="216" t="n"/>
      <c r="AL64" s="216" t="n"/>
      <c r="AM64" s="216" t="n"/>
    </row>
    <row r="65" hidden="1" ht="19" customHeight="1">
      <c r="A65" s="229">
        <f>IF(Roster!$C$15="","",IF(Roster!$B$15="","#"&amp;10,Roster!$B$15&amp;""))</f>
        <v/>
      </c>
      <c r="B65" s="232">
        <f>IF(Roster!$C$15="","",Roster!$F$15&amp;IF(OR(Roster!$G$15="SANS",Roster!$G$15="NSMEN"),"  |  "&amp;Roster!$G$15,""))</f>
        <v/>
      </c>
      <c r="C65" s="218" t="inlineStr">
        <is>
          <t>NIGHT</t>
        </is>
      </c>
      <c r="D65" s="231" t="n"/>
      <c r="E65" s="231" t="n"/>
      <c r="F65" s="231" t="n"/>
      <c r="G65" s="231" t="n"/>
      <c r="H65" s="231" t="n"/>
      <c r="I65" s="231" t="n"/>
      <c r="J65" s="231" t="n"/>
      <c r="K65" s="231" t="n"/>
      <c r="L65" s="231" t="n"/>
      <c r="M65" s="231" t="n"/>
      <c r="N65" s="231" t="n"/>
      <c r="O65" s="231" t="n"/>
      <c r="P65" s="231" t="n"/>
      <c r="Q65" s="231" t="n"/>
      <c r="R65" s="231" t="n"/>
      <c r="S65" s="231" t="n"/>
      <c r="T65" s="231" t="n"/>
      <c r="U65" s="231" t="n"/>
      <c r="V65" s="231" t="n"/>
      <c r="W65" s="231" t="n"/>
      <c r="X65" s="231" t="n"/>
      <c r="Y65" s="231" t="n"/>
      <c r="Z65" s="231" t="n"/>
      <c r="AA65" s="231" t="n"/>
      <c r="AB65" s="231" t="n"/>
      <c r="AC65" s="231" t="n"/>
      <c r="AD65" s="231" t="n"/>
      <c r="AE65" s="231" t="n"/>
      <c r="AF65" s="231" t="n"/>
      <c r="AG65" s="231" t="n"/>
      <c r="AH65" s="231" t="n"/>
      <c r="AI65" s="216" t="n"/>
      <c r="AJ65" s="216" t="n"/>
      <c r="AK65" s="216" t="n"/>
      <c r="AL65" s="216" t="n"/>
      <c r="AM65" s="216" t="n"/>
    </row>
    <row r="66" hidden="1" ht="19" customHeight="1">
      <c r="A66" s="233">
        <f>IF(Roster!$C$15="","",IF(Roster!$B$15="","#"&amp;10,Roster!$B$15&amp;""))</f>
        <v/>
      </c>
      <c r="B66" s="234" t="n"/>
      <c r="C66" s="221" t="inlineStr">
        <is>
          <t>WD</t>
        </is>
      </c>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c r="AA66" s="222" t="n"/>
      <c r="AB66" s="222" t="n"/>
      <c r="AC66" s="222" t="n"/>
      <c r="AD66" s="222" t="n"/>
      <c r="AE66" s="222" t="n"/>
      <c r="AF66" s="222" t="n"/>
      <c r="AG66" s="222" t="n"/>
      <c r="AH66" s="222" t="n"/>
      <c r="AI66" s="223" t="n"/>
      <c r="AJ66" s="223" t="n"/>
      <c r="AK66" s="223" t="n"/>
      <c r="AL66" s="223" t="n"/>
      <c r="AM66" s="223" t="n"/>
    </row>
    <row r="67" hidden="1" ht="19" customHeight="1">
      <c r="A67" s="206">
        <f>IF(Roster!$C$16="","",IF(Roster!$B$16="","#"&amp;11,Roster!$B$16&amp;""))</f>
        <v/>
      </c>
      <c r="B67" s="207">
        <f>IF(Roster!$C$16="","",Roster!$C$16)</f>
        <v/>
      </c>
      <c r="C67" s="208" t="inlineStr">
        <is>
          <t>AM</t>
        </is>
      </c>
      <c r="D67" s="209" t="n"/>
      <c r="E67" s="209" t="n"/>
      <c r="F67" s="209" t="n"/>
      <c r="G67" s="209" t="n"/>
      <c r="H67" s="209" t="n"/>
      <c r="I67" s="209" t="n"/>
      <c r="J67" s="209" t="n"/>
      <c r="K67" s="209" t="n"/>
      <c r="L67" s="209" t="n"/>
      <c r="M67" s="209" t="n"/>
      <c r="N67" s="209" t="n"/>
      <c r="O67" s="209" t="n"/>
      <c r="P67" s="209" t="n"/>
      <c r="Q67" s="209" t="n"/>
      <c r="R67" s="209" t="n"/>
      <c r="S67" s="209" t="n"/>
      <c r="T67" s="209" t="n"/>
      <c r="U67" s="209" t="n"/>
      <c r="V67" s="209" t="n"/>
      <c r="W67" s="209" t="n"/>
      <c r="X67" s="209" t="n"/>
      <c r="Y67" s="209" t="n"/>
      <c r="Z67" s="209" t="n"/>
      <c r="AA67" s="209" t="n"/>
      <c r="AB67" s="209" t="n"/>
      <c r="AC67" s="209" t="n"/>
      <c r="AD67" s="209" t="n"/>
      <c r="AE67" s="209" t="n"/>
      <c r="AF67" s="209" t="n"/>
      <c r="AG67" s="209" t="n"/>
      <c r="AH67" s="209" t="n"/>
      <c r="AI67" s="210">
        <f>IF($A67="","",SUMPRODUCT(SUMIFS(ActSort,ActCodesAll,$D67:$AH69,ActCat,AI$3)))</f>
        <v/>
      </c>
      <c r="AJ67" s="211">
        <f>IF($A67="","",SUMPRODUCT(SUMIFS(ActHrs,ActCodesAll,$D67:$AH69,ActCat,AJ$3)))</f>
        <v/>
      </c>
      <c r="AK67" s="210">
        <f>IF($A67="","",SUMPRODUCT(--((COUNTIFS(ActCodesAll,$D67:$AH67,ActCat,AK$3)+COUNTIFS(ActCodesAll,$D68:$AH68,ActCat,AK$3)+COUNTIFS(ActCodesAll,$D69:$AH69,ActCat,AK$3)+COUNTIFS(ActCodesAll,$D70:$AH70,ActCat,AK$3))&gt;0)))</f>
        <v/>
      </c>
      <c r="AL67" s="210">
        <f>IF($A67="","",SUMPRODUCT(--((COUNTIFS(ActCodesAll,$D67:$AH67,ActCat,AL$3)+COUNTIFS(ActCodesAll,$D68:$AH68,ActCat,AL$3)+COUNTIFS(ActCodesAll,$D69:$AH69,ActCat,AL$3)+COUNTIFS(ActCodesAll,$D70:$AH70,ActCat,AL$3))&gt;0)))</f>
        <v/>
      </c>
      <c r="AM67" s="210">
        <f>IF($A67="","",SUMPRODUCT(--((COUNTIFS(ActCodesAll,$D67:$AH67,ActCat,AM$3)+COUNTIFS(ActCodesAll,$D68:$AH68,ActCat,AM$3)+COUNTIFS(ActCodesAll,$D69:$AH69,ActCat,AM$3)+COUNTIFS(ActCodesAll,$D70:$AH70,ActCat,AM$3))&gt;0)))</f>
        <v/>
      </c>
    </row>
    <row r="68" hidden="1" ht="19" customHeight="1">
      <c r="A68" s="212">
        <f>IF(Roster!$C$16="","",IF(Roster!$B$16="","#"&amp;11,Roster!$B$16&amp;""))</f>
        <v/>
      </c>
      <c r="B68" s="213" t="n"/>
      <c r="C68" s="214" t="inlineStr">
        <is>
          <t>PM</t>
        </is>
      </c>
      <c r="D68" s="215" t="n"/>
      <c r="E68" s="215" t="n"/>
      <c r="F68" s="215" t="n"/>
      <c r="G68" s="215" t="n"/>
      <c r="H68" s="215" t="n"/>
      <c r="I68" s="215" t="n"/>
      <c r="J68" s="215" t="n"/>
      <c r="K68" s="215" t="n"/>
      <c r="L68" s="215" t="n"/>
      <c r="M68" s="215" t="n"/>
      <c r="N68" s="215" t="n"/>
      <c r="O68" s="215" t="n"/>
      <c r="P68" s="215" t="n"/>
      <c r="Q68" s="215" t="n"/>
      <c r="R68" s="215" t="n"/>
      <c r="S68" s="215" t="n"/>
      <c r="T68" s="215" t="n"/>
      <c r="U68" s="215" t="n"/>
      <c r="V68" s="215" t="n"/>
      <c r="W68" s="215" t="n"/>
      <c r="X68" s="215" t="n"/>
      <c r="Y68" s="215" t="n"/>
      <c r="Z68" s="215" t="n"/>
      <c r="AA68" s="215" t="n"/>
      <c r="AB68" s="215" t="n"/>
      <c r="AC68" s="215" t="n"/>
      <c r="AD68" s="215" t="n"/>
      <c r="AE68" s="215" t="n"/>
      <c r="AF68" s="215" t="n"/>
      <c r="AG68" s="215" t="n"/>
      <c r="AH68" s="215" t="n"/>
      <c r="AI68" s="216" t="n"/>
      <c r="AJ68" s="216" t="n"/>
      <c r="AK68" s="216" t="n"/>
      <c r="AL68" s="216" t="n"/>
      <c r="AM68" s="216" t="n"/>
    </row>
    <row r="69" hidden="1" ht="19" customHeight="1">
      <c r="A69" s="212">
        <f>IF(Roster!$C$16="","",IF(Roster!$B$16="","#"&amp;11,Roster!$B$16&amp;""))</f>
        <v/>
      </c>
      <c r="B69" s="217">
        <f>IF(Roster!$C$16="","",Roster!$F$16&amp;IF(OR(Roster!$G$16="SANS",Roster!$G$16="NSMEN"),"  |  "&amp;Roster!$G$16,""))</f>
        <v/>
      </c>
      <c r="C69" s="218" t="inlineStr">
        <is>
          <t>NIGHT</t>
        </is>
      </c>
      <c r="D69" s="215" t="n"/>
      <c r="E69" s="215" t="n"/>
      <c r="F69" s="215" t="n"/>
      <c r="G69" s="215" t="n"/>
      <c r="H69" s="215" t="n"/>
      <c r="I69" s="215" t="n"/>
      <c r="J69" s="215" t="n"/>
      <c r="K69" s="215" t="n"/>
      <c r="L69" s="215" t="n"/>
      <c r="M69" s="215" t="n"/>
      <c r="N69" s="215" t="n"/>
      <c r="O69" s="215" t="n"/>
      <c r="P69" s="215" t="n"/>
      <c r="Q69" s="215" t="n"/>
      <c r="R69" s="215" t="n"/>
      <c r="S69" s="215" t="n"/>
      <c r="T69" s="215" t="n"/>
      <c r="U69" s="215" t="n"/>
      <c r="V69" s="215" t="n"/>
      <c r="W69" s="215" t="n"/>
      <c r="X69" s="215" t="n"/>
      <c r="Y69" s="215" t="n"/>
      <c r="Z69" s="215" t="n"/>
      <c r="AA69" s="215" t="n"/>
      <c r="AB69" s="215" t="n"/>
      <c r="AC69" s="215" t="n"/>
      <c r="AD69" s="215" t="n"/>
      <c r="AE69" s="215" t="n"/>
      <c r="AF69" s="215" t="n"/>
      <c r="AG69" s="215" t="n"/>
      <c r="AH69" s="215" t="n"/>
      <c r="AI69" s="216" t="n"/>
      <c r="AJ69" s="216" t="n"/>
      <c r="AK69" s="216" t="n"/>
      <c r="AL69" s="216" t="n"/>
      <c r="AM69" s="216" t="n"/>
    </row>
    <row r="70" hidden="1" ht="19" customHeight="1">
      <c r="A70" s="219">
        <f>IF(Roster!$C$16="","",IF(Roster!$B$16="","#"&amp;11,Roster!$B$16&amp;""))</f>
        <v/>
      </c>
      <c r="B70" s="220" t="n"/>
      <c r="C70" s="221" t="inlineStr">
        <is>
          <t>WD</t>
        </is>
      </c>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c r="AA70" s="222" t="n"/>
      <c r="AB70" s="222" t="n"/>
      <c r="AC70" s="222" t="n"/>
      <c r="AD70" s="222" t="n"/>
      <c r="AE70" s="222" t="n"/>
      <c r="AF70" s="222" t="n"/>
      <c r="AG70" s="222" t="n"/>
      <c r="AH70" s="222" t="n"/>
      <c r="AI70" s="223" t="n"/>
      <c r="AJ70" s="223" t="n"/>
      <c r="AK70" s="223" t="n"/>
      <c r="AL70" s="223" t="n"/>
      <c r="AM70" s="223" t="n"/>
    </row>
    <row r="71" hidden="1" ht="19" customHeight="1">
      <c r="A71" s="224">
        <f>IF(Roster!$C$17="","",IF(Roster!$B$17="","#"&amp;12,Roster!$B$17&amp;""))</f>
        <v/>
      </c>
      <c r="B71" s="225">
        <f>IF(Roster!$C$17="","",Roster!$C$17)</f>
        <v/>
      </c>
      <c r="C71" s="208" t="inlineStr">
        <is>
          <t>AM</t>
        </is>
      </c>
      <c r="D71" s="226" t="n"/>
      <c r="E71" s="226" t="n"/>
      <c r="F71" s="226" t="n"/>
      <c r="G71" s="226" t="n"/>
      <c r="H71" s="226" t="n"/>
      <c r="I71" s="226" t="n"/>
      <c r="J71" s="226" t="n"/>
      <c r="K71" s="226" t="n"/>
      <c r="L71" s="226" t="n"/>
      <c r="M71" s="226" t="n"/>
      <c r="N71" s="226" t="n"/>
      <c r="O71" s="226" t="n"/>
      <c r="P71" s="226" t="n"/>
      <c r="Q71" s="226" t="n"/>
      <c r="R71" s="226" t="n"/>
      <c r="S71" s="226" t="n"/>
      <c r="T71" s="226" t="n"/>
      <c r="U71" s="226" t="n"/>
      <c r="V71" s="226" t="n"/>
      <c r="W71" s="226" t="n"/>
      <c r="X71" s="226" t="n"/>
      <c r="Y71" s="226" t="n"/>
      <c r="Z71" s="226" t="n"/>
      <c r="AA71" s="226" t="n"/>
      <c r="AB71" s="226" t="n"/>
      <c r="AC71" s="226" t="n"/>
      <c r="AD71" s="226" t="n"/>
      <c r="AE71" s="226" t="n"/>
      <c r="AF71" s="226" t="n"/>
      <c r="AG71" s="226" t="n"/>
      <c r="AH71" s="226" t="n"/>
      <c r="AI71" s="227">
        <f>IF($A71="","",SUMPRODUCT(SUMIFS(ActSort,ActCodesAll,$D71:$AH73,ActCat,AI$3)))</f>
        <v/>
      </c>
      <c r="AJ71" s="228">
        <f>IF($A71="","",SUMPRODUCT(SUMIFS(ActHrs,ActCodesAll,$D71:$AH73,ActCat,AJ$3)))</f>
        <v/>
      </c>
      <c r="AK71" s="227">
        <f>IF($A71="","",SUMPRODUCT(--((COUNTIFS(ActCodesAll,$D71:$AH71,ActCat,AK$3)+COUNTIFS(ActCodesAll,$D72:$AH72,ActCat,AK$3)+COUNTIFS(ActCodesAll,$D73:$AH73,ActCat,AK$3)+COUNTIFS(ActCodesAll,$D74:$AH74,ActCat,AK$3))&gt;0)))</f>
        <v/>
      </c>
      <c r="AL71" s="227">
        <f>IF($A71="","",SUMPRODUCT(--((COUNTIFS(ActCodesAll,$D71:$AH71,ActCat,AL$3)+COUNTIFS(ActCodesAll,$D72:$AH72,ActCat,AL$3)+COUNTIFS(ActCodesAll,$D73:$AH73,ActCat,AL$3)+COUNTIFS(ActCodesAll,$D74:$AH74,ActCat,AL$3))&gt;0)))</f>
        <v/>
      </c>
      <c r="AM71" s="227">
        <f>IF($A71="","",SUMPRODUCT(--((COUNTIFS(ActCodesAll,$D71:$AH71,ActCat,AM$3)+COUNTIFS(ActCodesAll,$D72:$AH72,ActCat,AM$3)+COUNTIFS(ActCodesAll,$D73:$AH73,ActCat,AM$3)+COUNTIFS(ActCodesAll,$D74:$AH74,ActCat,AM$3))&gt;0)))</f>
        <v/>
      </c>
    </row>
    <row r="72" hidden="1" ht="19" customHeight="1">
      <c r="A72" s="229">
        <f>IF(Roster!$C$17="","",IF(Roster!$B$17="","#"&amp;12,Roster!$B$17&amp;""))</f>
        <v/>
      </c>
      <c r="B72" s="230" t="n"/>
      <c r="C72" s="214" t="inlineStr">
        <is>
          <t>PM</t>
        </is>
      </c>
      <c r="D72" s="231" t="n"/>
      <c r="E72" s="231" t="n"/>
      <c r="F72" s="231" t="n"/>
      <c r="G72" s="231" t="n"/>
      <c r="H72" s="231" t="n"/>
      <c r="I72" s="231" t="n"/>
      <c r="J72" s="231" t="n"/>
      <c r="K72" s="231" t="n"/>
      <c r="L72" s="231" t="n"/>
      <c r="M72" s="231" t="n"/>
      <c r="N72" s="231" t="n"/>
      <c r="O72" s="231" t="n"/>
      <c r="P72" s="231" t="n"/>
      <c r="Q72" s="231" t="n"/>
      <c r="R72" s="231" t="n"/>
      <c r="S72" s="231" t="n"/>
      <c r="T72" s="231" t="n"/>
      <c r="U72" s="231" t="n"/>
      <c r="V72" s="231" t="n"/>
      <c r="W72" s="231" t="n"/>
      <c r="X72" s="231" t="n"/>
      <c r="Y72" s="231" t="n"/>
      <c r="Z72" s="231" t="n"/>
      <c r="AA72" s="231" t="n"/>
      <c r="AB72" s="231" t="n"/>
      <c r="AC72" s="231" t="n"/>
      <c r="AD72" s="231" t="n"/>
      <c r="AE72" s="231" t="n"/>
      <c r="AF72" s="231" t="n"/>
      <c r="AG72" s="231" t="n"/>
      <c r="AH72" s="231" t="n"/>
      <c r="AI72" s="216" t="n"/>
      <c r="AJ72" s="216" t="n"/>
      <c r="AK72" s="216" t="n"/>
      <c r="AL72" s="216" t="n"/>
      <c r="AM72" s="216" t="n"/>
    </row>
    <row r="73" hidden="1" ht="19" customHeight="1">
      <c r="A73" s="229">
        <f>IF(Roster!$C$17="","",IF(Roster!$B$17="","#"&amp;12,Roster!$B$17&amp;""))</f>
        <v/>
      </c>
      <c r="B73" s="232">
        <f>IF(Roster!$C$17="","",Roster!$F$17&amp;IF(OR(Roster!$G$17="SANS",Roster!$G$17="NSMEN"),"  |  "&amp;Roster!$G$17,""))</f>
        <v/>
      </c>
      <c r="C73" s="218" t="inlineStr">
        <is>
          <t>NIGHT</t>
        </is>
      </c>
      <c r="D73" s="231" t="n"/>
      <c r="E73" s="231" t="n"/>
      <c r="F73" s="231" t="n"/>
      <c r="G73" s="231" t="n"/>
      <c r="H73" s="231" t="n"/>
      <c r="I73" s="231" t="n"/>
      <c r="J73" s="231" t="n"/>
      <c r="K73" s="231" t="n"/>
      <c r="L73" s="231" t="n"/>
      <c r="M73" s="231" t="n"/>
      <c r="N73" s="231" t="n"/>
      <c r="O73" s="231" t="n"/>
      <c r="P73" s="231" t="n"/>
      <c r="Q73" s="231" t="n"/>
      <c r="R73" s="231" t="n"/>
      <c r="S73" s="231" t="n"/>
      <c r="T73" s="231" t="n"/>
      <c r="U73" s="231" t="n"/>
      <c r="V73" s="231" t="n"/>
      <c r="W73" s="231" t="n"/>
      <c r="X73" s="231" t="n"/>
      <c r="Y73" s="231" t="n"/>
      <c r="Z73" s="231" t="n"/>
      <c r="AA73" s="231" t="n"/>
      <c r="AB73" s="231" t="n"/>
      <c r="AC73" s="231" t="n"/>
      <c r="AD73" s="231" t="n"/>
      <c r="AE73" s="231" t="n"/>
      <c r="AF73" s="231" t="n"/>
      <c r="AG73" s="231" t="n"/>
      <c r="AH73" s="231" t="n"/>
      <c r="AI73" s="216" t="n"/>
      <c r="AJ73" s="216" t="n"/>
      <c r="AK73" s="216" t="n"/>
      <c r="AL73" s="216" t="n"/>
      <c r="AM73" s="216" t="n"/>
    </row>
    <row r="74" hidden="1" ht="19" customHeight="1">
      <c r="A74" s="233">
        <f>IF(Roster!$C$17="","",IF(Roster!$B$17="","#"&amp;12,Roster!$B$17&amp;""))</f>
        <v/>
      </c>
      <c r="B74" s="234" t="n"/>
      <c r="C74" s="221" t="inlineStr">
        <is>
          <t>WD</t>
        </is>
      </c>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c r="AA74" s="222" t="n"/>
      <c r="AB74" s="222" t="n"/>
      <c r="AC74" s="222" t="n"/>
      <c r="AD74" s="222" t="n"/>
      <c r="AE74" s="222" t="n"/>
      <c r="AF74" s="222" t="n"/>
      <c r="AG74" s="222" t="n"/>
      <c r="AH74" s="222" t="n"/>
      <c r="AI74" s="223" t="n"/>
      <c r="AJ74" s="223" t="n"/>
      <c r="AK74" s="223" t="n"/>
      <c r="AL74" s="223" t="n"/>
      <c r="AM74" s="223" t="n"/>
    </row>
    <row r="75" hidden="1" ht="19" customHeight="1">
      <c r="A75" s="206">
        <f>IF(Roster!$C$18="","",IF(Roster!$B$18="","#"&amp;13,Roster!$B$18&amp;""))</f>
        <v/>
      </c>
      <c r="B75" s="207">
        <f>IF(Roster!$C$18="","",Roster!$C$18)</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IF($A75="","",SUMPRODUCT(--((COUNTIFS(ActCodesAll,$D75:$AH75,ActCat,AK$3)+COUNTIFS(ActCodesAll,$D76:$AH76,ActCat,AK$3)+COUNTIFS(ActCodesAll,$D77:$AH77,ActCat,AK$3)+COUNTIFS(ActCodesAll,$D78:$AH78,ActCat,AK$3))&gt;0)))</f>
        <v/>
      </c>
      <c r="AL75" s="210">
        <f>IF($A75="","",SUMPRODUCT(--((COUNTIFS(ActCodesAll,$D75:$AH75,ActCat,AL$3)+COUNTIFS(ActCodesAll,$D76:$AH76,ActCat,AL$3)+COUNTIFS(ActCodesAll,$D77:$AH77,ActCat,AL$3)+COUNTIFS(ActCodesAll,$D78:$AH78,ActCat,AL$3))&gt;0)))</f>
        <v/>
      </c>
      <c r="AM75" s="210">
        <f>IF($A75="","",SUMPRODUCT(--((COUNTIFS(ActCodesAll,$D75:$AH75,ActCat,AM$3)+COUNTIFS(ActCodesAll,$D76:$AH76,ActCat,AM$3)+COUNTIFS(ActCodesAll,$D77:$AH77,ActCat,AM$3)+COUNTIFS(ActCodesAll,$D78:$AH78,ActCat,AM$3))&gt;0)))</f>
        <v/>
      </c>
    </row>
    <row r="76" hidden="1" ht="19" customHeight="1">
      <c r="A76" s="212">
        <f>IF(Roster!$C$18="","",IF(Roster!$B$18="","#"&amp;13,Roster!$B$18&amp;""))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2">
        <f>IF(Roster!$C$18="","",IF(Roster!$B$18="","#"&amp;13,Roster!$B$18&amp;""))</f>
        <v/>
      </c>
      <c r="B77" s="217">
        <f>IF(Roster!$C$18="","",Roster!$F$18&amp;IF(OR(Roster!$G$18="SANS",Roster!$G$18="NSMEN"),"  |  "&amp;Roster!$G$18,""))</f>
        <v/>
      </c>
      <c r="C77" s="218" t="inlineStr">
        <is>
          <t>NIGHT</t>
        </is>
      </c>
      <c r="D77" s="215" t="n"/>
      <c r="E77" s="215" t="n"/>
      <c r="F77" s="215" t="n"/>
      <c r="G77" s="215" t="n"/>
      <c r="H77" s="215" t="n"/>
      <c r="I77" s="215" t="n"/>
      <c r="J77" s="215" t="n"/>
      <c r="K77" s="215" t="n"/>
      <c r="L77" s="215" t="n"/>
      <c r="M77" s="215" t="n"/>
      <c r="N77" s="215" t="n"/>
      <c r="O77" s="215" t="n"/>
      <c r="P77" s="215" t="n"/>
      <c r="Q77" s="215" t="n"/>
      <c r="R77" s="215" t="n"/>
      <c r="S77" s="215" t="n"/>
      <c r="T77" s="215" t="n"/>
      <c r="U77" s="215" t="n"/>
      <c r="V77" s="215" t="n"/>
      <c r="W77" s="215" t="n"/>
      <c r="X77" s="215" t="n"/>
      <c r="Y77" s="215" t="n"/>
      <c r="Z77" s="215" t="n"/>
      <c r="AA77" s="215" t="n"/>
      <c r="AB77" s="215" t="n"/>
      <c r="AC77" s="215" t="n"/>
      <c r="AD77" s="215" t="n"/>
      <c r="AE77" s="215" t="n"/>
      <c r="AF77" s="215" t="n"/>
      <c r="AG77" s="215" t="n"/>
      <c r="AH77" s="215" t="n"/>
      <c r="AI77" s="216" t="n"/>
      <c r="AJ77" s="216" t="n"/>
      <c r="AK77" s="216" t="n"/>
      <c r="AL77" s="216" t="n"/>
      <c r="AM77" s="216" t="n"/>
    </row>
    <row r="78" hidden="1" ht="19" customHeight="1">
      <c r="A78" s="219">
        <f>IF(Roster!$C$18="","",IF(Roster!$B$18="","#"&amp;13,Roster!$B$18&amp;""))</f>
        <v/>
      </c>
      <c r="B78" s="220" t="n"/>
      <c r="C78" s="221" t="inlineStr">
        <is>
          <t>WD</t>
        </is>
      </c>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c r="AA78" s="222" t="n"/>
      <c r="AB78" s="222" t="n"/>
      <c r="AC78" s="222" t="n"/>
      <c r="AD78" s="222" t="n"/>
      <c r="AE78" s="222" t="n"/>
      <c r="AF78" s="222" t="n"/>
      <c r="AG78" s="222" t="n"/>
      <c r="AH78" s="222" t="n"/>
      <c r="AI78" s="223" t="n"/>
      <c r="AJ78" s="223" t="n"/>
      <c r="AK78" s="223" t="n"/>
      <c r="AL78" s="223" t="n"/>
      <c r="AM78" s="223" t="n"/>
    </row>
    <row r="79" hidden="1" ht="19" customHeight="1">
      <c r="A79" s="224">
        <f>IF(Roster!$C$19="","",IF(Roster!$B$19="","#"&amp;14,Roster!$B$19&amp;""))</f>
        <v/>
      </c>
      <c r="B79" s="225">
        <f>IF(Roster!$C$19="","",Roster!$C$19)</f>
        <v/>
      </c>
      <c r="C79" s="208" t="inlineStr">
        <is>
          <t>AM</t>
        </is>
      </c>
      <c r="D79" s="226" t="n"/>
      <c r="E79" s="226" t="n"/>
      <c r="F79" s="226" t="n"/>
      <c r="G79" s="226" t="n"/>
      <c r="H79" s="226" t="n"/>
      <c r="I79" s="226" t="n"/>
      <c r="J79" s="226" t="n"/>
      <c r="K79" s="226" t="n"/>
      <c r="L79" s="226" t="n"/>
      <c r="M79" s="226" t="n"/>
      <c r="N79" s="226" t="n"/>
      <c r="O79" s="226" t="n"/>
      <c r="P79" s="226" t="n"/>
      <c r="Q79" s="226" t="n"/>
      <c r="R79" s="226" t="n"/>
      <c r="S79" s="226" t="n"/>
      <c r="T79" s="226" t="n"/>
      <c r="U79" s="226" t="n"/>
      <c r="V79" s="226" t="n"/>
      <c r="W79" s="226" t="n"/>
      <c r="X79" s="226" t="n"/>
      <c r="Y79" s="226" t="n"/>
      <c r="Z79" s="226" t="n"/>
      <c r="AA79" s="226" t="n"/>
      <c r="AB79" s="226" t="n"/>
      <c r="AC79" s="226" t="n"/>
      <c r="AD79" s="226" t="n"/>
      <c r="AE79" s="226" t="n"/>
      <c r="AF79" s="226" t="n"/>
      <c r="AG79" s="226" t="n"/>
      <c r="AH79" s="226" t="n"/>
      <c r="AI79" s="227">
        <f>IF($A79="","",SUMPRODUCT(SUMIFS(ActSort,ActCodesAll,$D79:$AH81,ActCat,AI$3)))</f>
        <v/>
      </c>
      <c r="AJ79" s="228">
        <f>IF($A79="","",SUMPRODUCT(SUMIFS(ActHrs,ActCodesAll,$D79:$AH81,ActCat,AJ$3)))</f>
        <v/>
      </c>
      <c r="AK79" s="227">
        <f>IF($A79="","",SUMPRODUCT(--((COUNTIFS(ActCodesAll,$D79:$AH79,ActCat,AK$3)+COUNTIFS(ActCodesAll,$D80:$AH80,ActCat,AK$3)+COUNTIFS(ActCodesAll,$D81:$AH81,ActCat,AK$3)+COUNTIFS(ActCodesAll,$D82:$AH82,ActCat,AK$3))&gt;0)))</f>
        <v/>
      </c>
      <c r="AL79" s="227">
        <f>IF($A79="","",SUMPRODUCT(--((COUNTIFS(ActCodesAll,$D79:$AH79,ActCat,AL$3)+COUNTIFS(ActCodesAll,$D80:$AH80,ActCat,AL$3)+COUNTIFS(ActCodesAll,$D81:$AH81,ActCat,AL$3)+COUNTIFS(ActCodesAll,$D82:$AH82,ActCat,AL$3))&gt;0)))</f>
        <v/>
      </c>
      <c r="AM79" s="227">
        <f>IF($A79="","",SUMPRODUCT(--((COUNTIFS(ActCodesAll,$D79:$AH79,ActCat,AM$3)+COUNTIFS(ActCodesAll,$D80:$AH80,ActCat,AM$3)+COUNTIFS(ActCodesAll,$D81:$AH81,ActCat,AM$3)+COUNTIFS(ActCodesAll,$D82:$AH82,ActCat,AM$3))&gt;0)))</f>
        <v/>
      </c>
    </row>
    <row r="80" hidden="1" ht="19" customHeight="1">
      <c r="A80" s="229">
        <f>IF(Roster!$C$19="","",IF(Roster!$B$19="","#"&amp;14,Roster!$B$19&amp;""))</f>
        <v/>
      </c>
      <c r="B80" s="230" t="n"/>
      <c r="C80" s="214" t="inlineStr">
        <is>
          <t>PM</t>
        </is>
      </c>
      <c r="D80" s="231" t="n"/>
      <c r="E80" s="231" t="n"/>
      <c r="F80" s="231" t="n"/>
      <c r="G80" s="231" t="n"/>
      <c r="H80" s="231" t="n"/>
      <c r="I80" s="231" t="n"/>
      <c r="J80" s="231" t="n"/>
      <c r="K80" s="231" t="n"/>
      <c r="L80" s="231" t="n"/>
      <c r="M80" s="231" t="n"/>
      <c r="N80" s="231" t="n"/>
      <c r="O80" s="231" t="n"/>
      <c r="P80" s="231" t="n"/>
      <c r="Q80" s="231" t="n"/>
      <c r="R80" s="231" t="n"/>
      <c r="S80" s="231" t="n"/>
      <c r="T80" s="231" t="n"/>
      <c r="U80" s="231" t="n"/>
      <c r="V80" s="231" t="n"/>
      <c r="W80" s="231" t="n"/>
      <c r="X80" s="231" t="n"/>
      <c r="Y80" s="231" t="n"/>
      <c r="Z80" s="231" t="n"/>
      <c r="AA80" s="231" t="n"/>
      <c r="AB80" s="231" t="n"/>
      <c r="AC80" s="231" t="n"/>
      <c r="AD80" s="231" t="n"/>
      <c r="AE80" s="231" t="n"/>
      <c r="AF80" s="231" t="n"/>
      <c r="AG80" s="231" t="n"/>
      <c r="AH80" s="231" t="n"/>
      <c r="AI80" s="216" t="n"/>
      <c r="AJ80" s="216" t="n"/>
      <c r="AK80" s="216" t="n"/>
      <c r="AL80" s="216" t="n"/>
      <c r="AM80" s="216" t="n"/>
    </row>
    <row r="81" hidden="1" ht="19" customHeight="1">
      <c r="A81" s="229">
        <f>IF(Roster!$C$19="","",IF(Roster!$B$19="","#"&amp;14,Roster!$B$19&amp;""))</f>
        <v/>
      </c>
      <c r="B81" s="232">
        <f>IF(Roster!$C$19="","",Roster!$F$19&amp;IF(OR(Roster!$G$19="SANS",Roster!$G$19="NSMEN"),"  |  "&amp;Roster!$G$19,""))</f>
        <v/>
      </c>
      <c r="C81" s="218" t="inlineStr">
        <is>
          <t>NIGHT</t>
        </is>
      </c>
      <c r="D81" s="231" t="n"/>
      <c r="E81" s="231" t="n"/>
      <c r="F81" s="231" t="n"/>
      <c r="G81" s="231" t="n"/>
      <c r="H81" s="231" t="n"/>
      <c r="I81" s="231" t="n"/>
      <c r="J81" s="231" t="n"/>
      <c r="K81" s="231" t="n"/>
      <c r="L81" s="231" t="n"/>
      <c r="M81" s="231" t="n"/>
      <c r="N81" s="231" t="n"/>
      <c r="O81" s="231" t="n"/>
      <c r="P81" s="231" t="n"/>
      <c r="Q81" s="231" t="n"/>
      <c r="R81" s="231" t="n"/>
      <c r="S81" s="231" t="n"/>
      <c r="T81" s="231" t="n"/>
      <c r="U81" s="231" t="n"/>
      <c r="V81" s="231" t="n"/>
      <c r="W81" s="231" t="n"/>
      <c r="X81" s="231" t="n"/>
      <c r="Y81" s="231" t="n"/>
      <c r="Z81" s="231" t="n"/>
      <c r="AA81" s="231" t="n"/>
      <c r="AB81" s="231" t="n"/>
      <c r="AC81" s="231" t="n"/>
      <c r="AD81" s="231" t="n"/>
      <c r="AE81" s="231" t="n"/>
      <c r="AF81" s="231" t="n"/>
      <c r="AG81" s="231" t="n"/>
      <c r="AH81" s="231" t="n"/>
      <c r="AI81" s="216" t="n"/>
      <c r="AJ81" s="216" t="n"/>
      <c r="AK81" s="216" t="n"/>
      <c r="AL81" s="216" t="n"/>
      <c r="AM81" s="216" t="n"/>
    </row>
    <row r="82" hidden="1" ht="19" customHeight="1">
      <c r="A82" s="233">
        <f>IF(Roster!$C$19="","",IF(Roster!$B$19="","#"&amp;14,Roster!$B$19&amp;""))</f>
        <v/>
      </c>
      <c r="B82" s="234" t="n"/>
      <c r="C82" s="221" t="inlineStr">
        <is>
          <t>WD</t>
        </is>
      </c>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c r="AA82" s="222" t="n"/>
      <c r="AB82" s="222" t="n"/>
      <c r="AC82" s="222" t="n"/>
      <c r="AD82" s="222" t="n"/>
      <c r="AE82" s="222" t="n"/>
      <c r="AF82" s="222" t="n"/>
      <c r="AG82" s="222" t="n"/>
      <c r="AH82" s="222" t="n"/>
      <c r="AI82" s="223" t="n"/>
      <c r="AJ82" s="223" t="n"/>
      <c r="AK82" s="223" t="n"/>
      <c r="AL82" s="223" t="n"/>
      <c r="AM82" s="223" t="n"/>
    </row>
    <row r="83" hidden="1" ht="19" customHeight="1">
      <c r="A83" s="206">
        <f>IF(Roster!$C$20="","",IF(Roster!$B$20="","#"&amp;15,Roster!$B$20&amp;""))</f>
        <v/>
      </c>
      <c r="B83" s="207">
        <f>IF(Roster!$C$20="","",Roster!$C$20)</f>
        <v/>
      </c>
      <c r="C83" s="208" t="inlineStr">
        <is>
          <t>AM</t>
        </is>
      </c>
      <c r="D83" s="209" t="n"/>
      <c r="E83" s="209" t="n"/>
      <c r="F83" s="209" t="n"/>
      <c r="G83" s="209" t="n"/>
      <c r="H83" s="209" t="n"/>
      <c r="I83" s="209" t="n"/>
      <c r="J83" s="209" t="n"/>
      <c r="K83" s="209" t="n"/>
      <c r="L83" s="209" t="n"/>
      <c r="M83" s="209" t="n"/>
      <c r="N83" s="209" t="n"/>
      <c r="O83" s="209" t="n"/>
      <c r="P83" s="209" t="n"/>
      <c r="Q83" s="209" t="n"/>
      <c r="R83" s="209" t="n"/>
      <c r="S83" s="209" t="n"/>
      <c r="T83" s="209" t="n"/>
      <c r="U83" s="209" t="n"/>
      <c r="V83" s="209" t="n"/>
      <c r="W83" s="209" t="n"/>
      <c r="X83" s="209" t="n"/>
      <c r="Y83" s="209" t="n"/>
      <c r="Z83" s="209" t="n"/>
      <c r="AA83" s="209" t="n"/>
      <c r="AB83" s="209" t="n"/>
      <c r="AC83" s="209" t="n"/>
      <c r="AD83" s="209" t="n"/>
      <c r="AE83" s="209" t="n"/>
      <c r="AF83" s="209" t="n"/>
      <c r="AG83" s="209" t="n"/>
      <c r="AH83" s="209" t="n"/>
      <c r="AI83" s="210">
        <f>IF($A83="","",SUMPRODUCT(SUMIFS(ActSort,ActCodesAll,$D83:$AH85,ActCat,AI$3)))</f>
        <v/>
      </c>
      <c r="AJ83" s="211">
        <f>IF($A83="","",SUMPRODUCT(SUMIFS(ActHrs,ActCodesAll,$D83:$AH85,ActCat,AJ$3)))</f>
        <v/>
      </c>
      <c r="AK83" s="210">
        <f>IF($A83="","",SUMPRODUCT(--((COUNTIFS(ActCodesAll,$D83:$AH83,ActCat,AK$3)+COUNTIFS(ActCodesAll,$D84:$AH84,ActCat,AK$3)+COUNTIFS(ActCodesAll,$D85:$AH85,ActCat,AK$3)+COUNTIFS(ActCodesAll,$D86:$AH86,ActCat,AK$3))&gt;0)))</f>
        <v/>
      </c>
      <c r="AL83" s="210">
        <f>IF($A83="","",SUMPRODUCT(--((COUNTIFS(ActCodesAll,$D83:$AH83,ActCat,AL$3)+COUNTIFS(ActCodesAll,$D84:$AH84,ActCat,AL$3)+COUNTIFS(ActCodesAll,$D85:$AH85,ActCat,AL$3)+COUNTIFS(ActCodesAll,$D86:$AH86,ActCat,AL$3))&gt;0)))</f>
        <v/>
      </c>
      <c r="AM83" s="210">
        <f>IF($A83="","",SUMPRODUCT(--((COUNTIFS(ActCodesAll,$D83:$AH83,ActCat,AM$3)+COUNTIFS(ActCodesAll,$D84:$AH84,ActCat,AM$3)+COUNTIFS(ActCodesAll,$D85:$AH85,ActCat,AM$3)+COUNTIFS(ActCodesAll,$D86:$AH86,ActCat,AM$3))&gt;0)))</f>
        <v/>
      </c>
    </row>
    <row r="84" hidden="1" ht="19" customHeight="1">
      <c r="A84" s="212">
        <f>IF(Roster!$C$20="","",IF(Roster!$B$20="","#"&amp;15,Roster!$B$20&amp;""))</f>
        <v/>
      </c>
      <c r="B84" s="213" t="n"/>
      <c r="C84" s="214" t="inlineStr">
        <is>
          <t>PM</t>
        </is>
      </c>
      <c r="D84" s="215" t="n"/>
      <c r="E84" s="215" t="n"/>
      <c r="F84" s="215" t="n"/>
      <c r="G84" s="215" t="n"/>
      <c r="H84" s="215" t="n"/>
      <c r="I84" s="215" t="n"/>
      <c r="J84" s="215" t="n"/>
      <c r="K84" s="215" t="n"/>
      <c r="L84" s="215" t="n"/>
      <c r="M84" s="215" t="n"/>
      <c r="N84" s="215" t="n"/>
      <c r="O84" s="215" t="n"/>
      <c r="P84" s="215" t="n"/>
      <c r="Q84" s="215" t="n"/>
      <c r="R84" s="215" t="n"/>
      <c r="S84" s="215" t="n"/>
      <c r="T84" s="215" t="n"/>
      <c r="U84" s="215" t="n"/>
      <c r="V84" s="215" t="n"/>
      <c r="W84" s="215" t="n"/>
      <c r="X84" s="215" t="n"/>
      <c r="Y84" s="215" t="n"/>
      <c r="Z84" s="215" t="n"/>
      <c r="AA84" s="215" t="n"/>
      <c r="AB84" s="215" t="n"/>
      <c r="AC84" s="215" t="n"/>
      <c r="AD84" s="215" t="n"/>
      <c r="AE84" s="215" t="n"/>
      <c r="AF84" s="215" t="n"/>
      <c r="AG84" s="215" t="n"/>
      <c r="AH84" s="215" t="n"/>
      <c r="AI84" s="216" t="n"/>
      <c r="AJ84" s="216" t="n"/>
      <c r="AK84" s="216" t="n"/>
      <c r="AL84" s="216" t="n"/>
      <c r="AM84" s="216" t="n"/>
    </row>
    <row r="85" hidden="1" ht="19" customHeight="1">
      <c r="A85" s="212">
        <f>IF(Roster!$C$20="","",IF(Roster!$B$20="","#"&amp;15,Roster!$B$20&amp;""))</f>
        <v/>
      </c>
      <c r="B85" s="217">
        <f>IF(Roster!$C$20="","",Roster!$F$20&amp;IF(OR(Roster!$G$20="SANS",Roster!$G$20="NSMEN"),"  |  "&amp;Roster!$G$20,""))</f>
        <v/>
      </c>
      <c r="C85" s="218" t="inlineStr">
        <is>
          <t>NIGHT</t>
        </is>
      </c>
      <c r="D85" s="215" t="n"/>
      <c r="E85" s="215" t="n"/>
      <c r="F85" s="215" t="n"/>
      <c r="G85" s="215" t="n"/>
      <c r="H85" s="215" t="n"/>
      <c r="I85" s="215" t="n"/>
      <c r="J85" s="215" t="n"/>
      <c r="K85" s="215" t="n"/>
      <c r="L85" s="215" t="n"/>
      <c r="M85" s="215" t="n"/>
      <c r="N85" s="215" t="n"/>
      <c r="O85" s="215" t="n"/>
      <c r="P85" s="215" t="n"/>
      <c r="Q85" s="215" t="n"/>
      <c r="R85" s="215" t="n"/>
      <c r="S85" s="215" t="n"/>
      <c r="T85" s="215" t="n"/>
      <c r="U85" s="215" t="n"/>
      <c r="V85" s="215" t="n"/>
      <c r="W85" s="215" t="n"/>
      <c r="X85" s="215" t="n"/>
      <c r="Y85" s="215" t="n"/>
      <c r="Z85" s="215" t="n"/>
      <c r="AA85" s="215" t="n"/>
      <c r="AB85" s="215" t="n"/>
      <c r="AC85" s="215" t="n"/>
      <c r="AD85" s="215" t="n"/>
      <c r="AE85" s="215" t="n"/>
      <c r="AF85" s="215" t="n"/>
      <c r="AG85" s="215" t="n"/>
      <c r="AH85" s="215" t="n"/>
      <c r="AI85" s="216" t="n"/>
      <c r="AJ85" s="216" t="n"/>
      <c r="AK85" s="216" t="n"/>
      <c r="AL85" s="216" t="n"/>
      <c r="AM85" s="216" t="n"/>
    </row>
    <row r="86" hidden="1" ht="19" customHeight="1">
      <c r="A86" s="219">
        <f>IF(Roster!$C$20="","",IF(Roster!$B$20="","#"&amp;15,Roster!$B$20&amp;""))</f>
        <v/>
      </c>
      <c r="B86" s="220" t="n"/>
      <c r="C86" s="221" t="inlineStr">
        <is>
          <t>WD</t>
        </is>
      </c>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c r="AA86" s="222" t="n"/>
      <c r="AB86" s="222" t="n"/>
      <c r="AC86" s="222" t="n"/>
      <c r="AD86" s="222" t="n"/>
      <c r="AE86" s="222" t="n"/>
      <c r="AF86" s="222" t="n"/>
      <c r="AG86" s="222" t="n"/>
      <c r="AH86" s="222" t="n"/>
      <c r="AI86" s="223" t="n"/>
      <c r="AJ86" s="223" t="n"/>
      <c r="AK86" s="223" t="n"/>
      <c r="AL86" s="223" t="n"/>
      <c r="AM86" s="223" t="n"/>
    </row>
    <row r="87" hidden="1" ht="19" customHeight="1">
      <c r="A87" s="224">
        <f>IF(Roster!$C$21="","",IF(Roster!$B$21="","#"&amp;16,Roster!$B$21&amp;""))</f>
        <v/>
      </c>
      <c r="B87" s="225">
        <f>IF(Roster!$C$21="","",Roster!$C$21)</f>
        <v/>
      </c>
      <c r="C87" s="208" t="inlineStr">
        <is>
          <t>AM</t>
        </is>
      </c>
      <c r="D87" s="226" t="n"/>
      <c r="E87" s="226" t="n"/>
      <c r="F87" s="226" t="n"/>
      <c r="G87" s="226" t="n"/>
      <c r="H87" s="226" t="n"/>
      <c r="I87" s="226" t="n"/>
      <c r="J87" s="226" t="n"/>
      <c r="K87" s="226" t="n"/>
      <c r="L87" s="226" t="n"/>
      <c r="M87" s="226" t="n"/>
      <c r="N87" s="226" t="n"/>
      <c r="O87" s="226" t="n"/>
      <c r="P87" s="226" t="n"/>
      <c r="Q87" s="226" t="n"/>
      <c r="R87" s="226" t="n"/>
      <c r="S87" s="226" t="n"/>
      <c r="T87" s="226" t="n"/>
      <c r="U87" s="226" t="n"/>
      <c r="V87" s="226" t="n"/>
      <c r="W87" s="226" t="n"/>
      <c r="X87" s="226" t="n"/>
      <c r="Y87" s="226" t="n"/>
      <c r="Z87" s="226" t="n"/>
      <c r="AA87" s="226" t="n"/>
      <c r="AB87" s="226" t="n"/>
      <c r="AC87" s="226" t="n"/>
      <c r="AD87" s="226" t="n"/>
      <c r="AE87" s="226" t="n"/>
      <c r="AF87" s="226" t="n"/>
      <c r="AG87" s="226" t="n"/>
      <c r="AH87" s="226" t="n"/>
      <c r="AI87" s="227">
        <f>IF($A87="","",SUMPRODUCT(SUMIFS(ActSort,ActCodesAll,$D87:$AH89,ActCat,AI$3)))</f>
        <v/>
      </c>
      <c r="AJ87" s="228">
        <f>IF($A87="","",SUMPRODUCT(SUMIFS(ActHrs,ActCodesAll,$D87:$AH89,ActCat,AJ$3)))</f>
        <v/>
      </c>
      <c r="AK87" s="227">
        <f>IF($A87="","",SUMPRODUCT(--((COUNTIFS(ActCodesAll,$D87:$AH87,ActCat,AK$3)+COUNTIFS(ActCodesAll,$D88:$AH88,ActCat,AK$3)+COUNTIFS(ActCodesAll,$D89:$AH89,ActCat,AK$3)+COUNTIFS(ActCodesAll,$D90:$AH90,ActCat,AK$3))&gt;0)))</f>
        <v/>
      </c>
      <c r="AL87" s="227">
        <f>IF($A87="","",SUMPRODUCT(--((COUNTIFS(ActCodesAll,$D87:$AH87,ActCat,AL$3)+COUNTIFS(ActCodesAll,$D88:$AH88,ActCat,AL$3)+COUNTIFS(ActCodesAll,$D89:$AH89,ActCat,AL$3)+COUNTIFS(ActCodesAll,$D90:$AH90,ActCat,AL$3))&gt;0)))</f>
        <v/>
      </c>
      <c r="AM87" s="227">
        <f>IF($A87="","",SUMPRODUCT(--((COUNTIFS(ActCodesAll,$D87:$AH87,ActCat,AM$3)+COUNTIFS(ActCodesAll,$D88:$AH88,ActCat,AM$3)+COUNTIFS(ActCodesAll,$D89:$AH89,ActCat,AM$3)+COUNTIFS(ActCodesAll,$D90:$AH90,ActCat,AM$3))&gt;0)))</f>
        <v/>
      </c>
    </row>
    <row r="88" hidden="1" ht="19" customHeight="1">
      <c r="A88" s="229">
        <f>IF(Roster!$C$21="","",IF(Roster!$B$21="","#"&amp;16,Roster!$B$21&amp;""))</f>
        <v/>
      </c>
      <c r="B88" s="230" t="n"/>
      <c r="C88" s="214" t="inlineStr">
        <is>
          <t>PM</t>
        </is>
      </c>
      <c r="D88" s="231" t="n"/>
      <c r="E88" s="231" t="n"/>
      <c r="F88" s="231" t="n"/>
      <c r="G88" s="231" t="n"/>
      <c r="H88" s="231" t="n"/>
      <c r="I88" s="231" t="n"/>
      <c r="J88" s="231" t="n"/>
      <c r="K88" s="231" t="n"/>
      <c r="L88" s="231" t="n"/>
      <c r="M88" s="231" t="n"/>
      <c r="N88" s="231" t="n"/>
      <c r="O88" s="231" t="n"/>
      <c r="P88" s="231" t="n"/>
      <c r="Q88" s="231" t="n"/>
      <c r="R88" s="231" t="n"/>
      <c r="S88" s="231" t="n"/>
      <c r="T88" s="231" t="n"/>
      <c r="U88" s="231" t="n"/>
      <c r="V88" s="231" t="n"/>
      <c r="W88" s="231" t="n"/>
      <c r="X88" s="231" t="n"/>
      <c r="Y88" s="231" t="n"/>
      <c r="Z88" s="231" t="n"/>
      <c r="AA88" s="231" t="n"/>
      <c r="AB88" s="231" t="n"/>
      <c r="AC88" s="231" t="n"/>
      <c r="AD88" s="231" t="n"/>
      <c r="AE88" s="231" t="n"/>
      <c r="AF88" s="231" t="n"/>
      <c r="AG88" s="231" t="n"/>
      <c r="AH88" s="231" t="n"/>
      <c r="AI88" s="216" t="n"/>
      <c r="AJ88" s="216" t="n"/>
      <c r="AK88" s="216" t="n"/>
      <c r="AL88" s="216" t="n"/>
      <c r="AM88" s="216" t="n"/>
    </row>
    <row r="89" hidden="1" ht="19" customHeight="1">
      <c r="A89" s="229">
        <f>IF(Roster!$C$21="","",IF(Roster!$B$21="","#"&amp;16,Roster!$B$21&amp;""))</f>
        <v/>
      </c>
      <c r="B89" s="232">
        <f>IF(Roster!$C$21="","",Roster!$F$21&amp;IF(OR(Roster!$G$21="SANS",Roster!$G$21="NSMEN"),"  |  "&amp;Roster!$G$21,""))</f>
        <v/>
      </c>
      <c r="C89" s="218" t="inlineStr">
        <is>
          <t>NIGHT</t>
        </is>
      </c>
      <c r="D89" s="231" t="n"/>
      <c r="E89" s="231" t="n"/>
      <c r="F89" s="231" t="n"/>
      <c r="G89" s="231" t="n"/>
      <c r="H89" s="231" t="n"/>
      <c r="I89" s="231" t="n"/>
      <c r="J89" s="231" t="n"/>
      <c r="K89" s="231" t="n"/>
      <c r="L89" s="231" t="n"/>
      <c r="M89" s="231" t="n"/>
      <c r="N89" s="231" t="n"/>
      <c r="O89" s="231" t="n"/>
      <c r="P89" s="231" t="n"/>
      <c r="Q89" s="231" t="n"/>
      <c r="R89" s="231" t="n"/>
      <c r="S89" s="231" t="n"/>
      <c r="T89" s="231" t="n"/>
      <c r="U89" s="231" t="n"/>
      <c r="V89" s="231" t="n"/>
      <c r="W89" s="231" t="n"/>
      <c r="X89" s="231" t="n"/>
      <c r="Y89" s="231" t="n"/>
      <c r="Z89" s="231" t="n"/>
      <c r="AA89" s="231" t="n"/>
      <c r="AB89" s="231" t="n"/>
      <c r="AC89" s="231" t="n"/>
      <c r="AD89" s="231" t="n"/>
      <c r="AE89" s="231" t="n"/>
      <c r="AF89" s="231" t="n"/>
      <c r="AG89" s="231" t="n"/>
      <c r="AH89" s="231" t="n"/>
      <c r="AI89" s="216" t="n"/>
      <c r="AJ89" s="216" t="n"/>
      <c r="AK89" s="216" t="n"/>
      <c r="AL89" s="216" t="n"/>
      <c r="AM89" s="216" t="n"/>
    </row>
    <row r="90" hidden="1" ht="19" customHeight="1">
      <c r="A90" s="233">
        <f>IF(Roster!$C$21="","",IF(Roster!$B$21="","#"&amp;16,Roster!$B$21&amp;""))</f>
        <v/>
      </c>
      <c r="B90" s="234" t="n"/>
      <c r="C90" s="221" t="inlineStr">
        <is>
          <t>WD</t>
        </is>
      </c>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c r="AA90" s="222" t="n"/>
      <c r="AB90" s="222" t="n"/>
      <c r="AC90" s="222" t="n"/>
      <c r="AD90" s="222" t="n"/>
      <c r="AE90" s="222" t="n"/>
      <c r="AF90" s="222" t="n"/>
      <c r="AG90" s="222" t="n"/>
      <c r="AH90" s="222" t="n"/>
      <c r="AI90" s="223" t="n"/>
      <c r="AJ90" s="223" t="n"/>
      <c r="AK90" s="223" t="n"/>
      <c r="AL90" s="223" t="n"/>
      <c r="AM90" s="223" t="n"/>
    </row>
    <row r="91" hidden="1" ht="19" customHeight="1">
      <c r="A91" s="206">
        <f>IF(Roster!$C$22="","",IF(Roster!$B$22="","#"&amp;17,Roster!$B$22&amp;""))</f>
        <v/>
      </c>
      <c r="B91" s="207">
        <f>IF(Roster!$C$22="","",Roster!$C$22)</f>
        <v/>
      </c>
      <c r="C91" s="208" t="inlineStr">
        <is>
          <t>AM</t>
        </is>
      </c>
      <c r="D91" s="209" t="n"/>
      <c r="E91" s="209" t="n"/>
      <c r="F91" s="209" t="n"/>
      <c r="G91" s="209" t="n"/>
      <c r="H91" s="209" t="n"/>
      <c r="I91" s="209" t="n"/>
      <c r="J91" s="209" t="n"/>
      <c r="K91" s="209" t="n"/>
      <c r="L91" s="209" t="n"/>
      <c r="M91" s="209" t="n"/>
      <c r="N91" s="209" t="n"/>
      <c r="O91" s="209" t="n"/>
      <c r="P91" s="209" t="n"/>
      <c r="Q91" s="209" t="n"/>
      <c r="R91" s="209" t="n"/>
      <c r="S91" s="209" t="n"/>
      <c r="T91" s="209" t="n"/>
      <c r="U91" s="209" t="n"/>
      <c r="V91" s="209" t="n"/>
      <c r="W91" s="209" t="n"/>
      <c r="X91" s="209" t="n"/>
      <c r="Y91" s="209" t="n"/>
      <c r="Z91" s="209" t="n"/>
      <c r="AA91" s="209" t="n"/>
      <c r="AB91" s="209" t="n"/>
      <c r="AC91" s="209" t="n"/>
      <c r="AD91" s="209" t="n"/>
      <c r="AE91" s="209" t="n"/>
      <c r="AF91" s="209" t="n"/>
      <c r="AG91" s="209" t="n"/>
      <c r="AH91" s="209" t="n"/>
      <c r="AI91" s="210">
        <f>IF($A91="","",SUMPRODUCT(SUMIFS(ActSort,ActCodesAll,$D91:$AH93,ActCat,AI$3)))</f>
        <v/>
      </c>
      <c r="AJ91" s="211">
        <f>IF($A91="","",SUMPRODUCT(SUMIFS(ActHrs,ActCodesAll,$D91:$AH93,ActCat,AJ$3)))</f>
        <v/>
      </c>
      <c r="AK91" s="210">
        <f>IF($A91="","",SUMPRODUCT(--((COUNTIFS(ActCodesAll,$D91:$AH91,ActCat,AK$3)+COUNTIFS(ActCodesAll,$D92:$AH92,ActCat,AK$3)+COUNTIFS(ActCodesAll,$D93:$AH93,ActCat,AK$3)+COUNTIFS(ActCodesAll,$D94:$AH94,ActCat,AK$3))&gt;0)))</f>
        <v/>
      </c>
      <c r="AL91" s="210">
        <f>IF($A91="","",SUMPRODUCT(--((COUNTIFS(ActCodesAll,$D91:$AH91,ActCat,AL$3)+COUNTIFS(ActCodesAll,$D92:$AH92,ActCat,AL$3)+COUNTIFS(ActCodesAll,$D93:$AH93,ActCat,AL$3)+COUNTIFS(ActCodesAll,$D94:$AH94,ActCat,AL$3))&gt;0)))</f>
        <v/>
      </c>
      <c r="AM91" s="210">
        <f>IF($A91="","",SUMPRODUCT(--((COUNTIFS(ActCodesAll,$D91:$AH91,ActCat,AM$3)+COUNTIFS(ActCodesAll,$D92:$AH92,ActCat,AM$3)+COUNTIFS(ActCodesAll,$D93:$AH93,ActCat,AM$3)+COUNTIFS(ActCodesAll,$D94:$AH94,ActCat,AM$3))&gt;0)))</f>
        <v/>
      </c>
    </row>
    <row r="92" hidden="1" ht="19" customHeight="1">
      <c r="A92" s="212">
        <f>IF(Roster!$C$22="","",IF(Roster!$B$22="","#"&amp;17,Roster!$B$22&amp;""))</f>
        <v/>
      </c>
      <c r="B92" s="213" t="n"/>
      <c r="C92" s="214" t="inlineStr">
        <is>
          <t>PM</t>
        </is>
      </c>
      <c r="D92" s="215" t="n"/>
      <c r="E92" s="215" t="n"/>
      <c r="F92" s="215" t="n"/>
      <c r="G92" s="215" t="n"/>
      <c r="H92" s="215" t="n"/>
      <c r="I92" s="215" t="n"/>
      <c r="J92" s="215" t="n"/>
      <c r="K92" s="215" t="n"/>
      <c r="L92" s="215" t="n"/>
      <c r="M92" s="215" t="n"/>
      <c r="N92" s="215" t="n"/>
      <c r="O92" s="215" t="n"/>
      <c r="P92" s="215" t="n"/>
      <c r="Q92" s="215" t="n"/>
      <c r="R92" s="215" t="n"/>
      <c r="S92" s="215" t="n"/>
      <c r="T92" s="215" t="n"/>
      <c r="U92" s="215" t="n"/>
      <c r="V92" s="215" t="n"/>
      <c r="W92" s="215" t="n"/>
      <c r="X92" s="215" t="n"/>
      <c r="Y92" s="215" t="n"/>
      <c r="Z92" s="215" t="n"/>
      <c r="AA92" s="215" t="n"/>
      <c r="AB92" s="215" t="n"/>
      <c r="AC92" s="215" t="n"/>
      <c r="AD92" s="215" t="n"/>
      <c r="AE92" s="215" t="n"/>
      <c r="AF92" s="215" t="n"/>
      <c r="AG92" s="215" t="n"/>
      <c r="AH92" s="215" t="n"/>
      <c r="AI92" s="216" t="n"/>
      <c r="AJ92" s="216" t="n"/>
      <c r="AK92" s="216" t="n"/>
      <c r="AL92" s="216" t="n"/>
      <c r="AM92" s="216" t="n"/>
    </row>
    <row r="93" hidden="1" ht="19" customHeight="1">
      <c r="A93" s="212">
        <f>IF(Roster!$C$22="","",IF(Roster!$B$22="","#"&amp;17,Roster!$B$22&amp;""))</f>
        <v/>
      </c>
      <c r="B93" s="217">
        <f>IF(Roster!$C$22="","",Roster!$F$22&amp;IF(OR(Roster!$G$22="SANS",Roster!$G$22="NSMEN"),"  |  "&amp;Roster!$G$22,""))</f>
        <v/>
      </c>
      <c r="C93" s="218" t="inlineStr">
        <is>
          <t>NIGHT</t>
        </is>
      </c>
      <c r="D93" s="215" t="n"/>
      <c r="E93" s="215" t="n"/>
      <c r="F93" s="215" t="n"/>
      <c r="G93" s="215" t="n"/>
      <c r="H93" s="215" t="n"/>
      <c r="I93" s="215" t="n"/>
      <c r="J93" s="215" t="n"/>
      <c r="K93" s="215" t="n"/>
      <c r="L93" s="215" t="n"/>
      <c r="M93" s="215" t="n"/>
      <c r="N93" s="215" t="n"/>
      <c r="O93" s="215" t="n"/>
      <c r="P93" s="215" t="n"/>
      <c r="Q93" s="215" t="n"/>
      <c r="R93" s="215" t="n"/>
      <c r="S93" s="215" t="n"/>
      <c r="T93" s="215" t="n"/>
      <c r="U93" s="215" t="n"/>
      <c r="V93" s="215" t="n"/>
      <c r="W93" s="215" t="n"/>
      <c r="X93" s="215" t="n"/>
      <c r="Y93" s="215" t="n"/>
      <c r="Z93" s="215" t="n"/>
      <c r="AA93" s="215" t="n"/>
      <c r="AB93" s="215" t="n"/>
      <c r="AC93" s="215" t="n"/>
      <c r="AD93" s="215" t="n"/>
      <c r="AE93" s="215" t="n"/>
      <c r="AF93" s="215" t="n"/>
      <c r="AG93" s="215" t="n"/>
      <c r="AH93" s="215" t="n"/>
      <c r="AI93" s="216" t="n"/>
      <c r="AJ93" s="216" t="n"/>
      <c r="AK93" s="216" t="n"/>
      <c r="AL93" s="216" t="n"/>
      <c r="AM93" s="216" t="n"/>
    </row>
    <row r="94" hidden="1" ht="19" customHeight="1">
      <c r="A94" s="219">
        <f>IF(Roster!$C$22="","",IF(Roster!$B$22="","#"&amp;17,Roster!$B$22&amp;""))</f>
        <v/>
      </c>
      <c r="B94" s="220" t="n"/>
      <c r="C94" s="221" t="inlineStr">
        <is>
          <t>WD</t>
        </is>
      </c>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c r="AA94" s="222" t="n"/>
      <c r="AB94" s="222" t="n"/>
      <c r="AC94" s="222" t="n"/>
      <c r="AD94" s="222" t="n"/>
      <c r="AE94" s="222" t="n"/>
      <c r="AF94" s="222" t="n"/>
      <c r="AG94" s="222" t="n"/>
      <c r="AH94" s="222" t="n"/>
      <c r="AI94" s="223" t="n"/>
      <c r="AJ94" s="223" t="n"/>
      <c r="AK94" s="223" t="n"/>
      <c r="AL94" s="223" t="n"/>
      <c r="AM94" s="223" t="n"/>
    </row>
    <row r="95" hidden="1" ht="19" customHeight="1">
      <c r="A95" s="224">
        <f>IF(Roster!$C$23="","",IF(Roster!$B$23="","#"&amp;18,Roster!$B$23&amp;""))</f>
        <v/>
      </c>
      <c r="B95" s="225">
        <f>IF(Roster!$C$23="","",Roster!$C$23)</f>
        <v/>
      </c>
      <c r="C95" s="208" t="inlineStr">
        <is>
          <t>AM</t>
        </is>
      </c>
      <c r="D95" s="226" t="n"/>
      <c r="E95" s="226" t="n"/>
      <c r="F95" s="226" t="n"/>
      <c r="G95" s="226" t="n"/>
      <c r="H95" s="226" t="n"/>
      <c r="I95" s="226" t="n"/>
      <c r="J95" s="226" t="n"/>
      <c r="K95" s="226" t="n"/>
      <c r="L95" s="226" t="n"/>
      <c r="M95" s="226" t="n"/>
      <c r="N95" s="226" t="n"/>
      <c r="O95" s="226" t="n"/>
      <c r="P95" s="226" t="n"/>
      <c r="Q95" s="226" t="n"/>
      <c r="R95" s="226" t="n"/>
      <c r="S95" s="226" t="n"/>
      <c r="T95" s="226" t="n"/>
      <c r="U95" s="226" t="n"/>
      <c r="V95" s="226" t="n"/>
      <c r="W95" s="226" t="n"/>
      <c r="X95" s="226" t="n"/>
      <c r="Y95" s="226" t="n"/>
      <c r="Z95" s="226" t="n"/>
      <c r="AA95" s="226" t="n"/>
      <c r="AB95" s="226" t="n"/>
      <c r="AC95" s="226" t="n"/>
      <c r="AD95" s="226" t="n"/>
      <c r="AE95" s="226" t="n"/>
      <c r="AF95" s="226" t="n"/>
      <c r="AG95" s="226" t="n"/>
      <c r="AH95" s="226" t="n"/>
      <c r="AI95" s="227">
        <f>IF($A95="","",SUMPRODUCT(SUMIFS(ActSort,ActCodesAll,$D95:$AH97,ActCat,AI$3)))</f>
        <v/>
      </c>
      <c r="AJ95" s="228">
        <f>IF($A95="","",SUMPRODUCT(SUMIFS(ActHrs,ActCodesAll,$D95:$AH97,ActCat,AJ$3)))</f>
        <v/>
      </c>
      <c r="AK95" s="227">
        <f>IF($A95="","",SUMPRODUCT(--((COUNTIFS(ActCodesAll,$D95:$AH95,ActCat,AK$3)+COUNTIFS(ActCodesAll,$D96:$AH96,ActCat,AK$3)+COUNTIFS(ActCodesAll,$D97:$AH97,ActCat,AK$3)+COUNTIFS(ActCodesAll,$D98:$AH98,ActCat,AK$3))&gt;0)))</f>
        <v/>
      </c>
      <c r="AL95" s="227">
        <f>IF($A95="","",SUMPRODUCT(--((COUNTIFS(ActCodesAll,$D95:$AH95,ActCat,AL$3)+COUNTIFS(ActCodesAll,$D96:$AH96,ActCat,AL$3)+COUNTIFS(ActCodesAll,$D97:$AH97,ActCat,AL$3)+COUNTIFS(ActCodesAll,$D98:$AH98,ActCat,AL$3))&gt;0)))</f>
        <v/>
      </c>
      <c r="AM95" s="227">
        <f>IF($A95="","",SUMPRODUCT(--((COUNTIFS(ActCodesAll,$D95:$AH95,ActCat,AM$3)+COUNTIFS(ActCodesAll,$D96:$AH96,ActCat,AM$3)+COUNTIFS(ActCodesAll,$D97:$AH97,ActCat,AM$3)+COUNTIFS(ActCodesAll,$D98:$AH98,ActCat,AM$3))&gt;0)))</f>
        <v/>
      </c>
    </row>
    <row r="96" hidden="1" ht="19" customHeight="1">
      <c r="A96" s="229">
        <f>IF(Roster!$C$23="","",IF(Roster!$B$23="","#"&amp;18,Roster!$B$23&amp;""))</f>
        <v/>
      </c>
      <c r="B96" s="230" t="n"/>
      <c r="C96" s="214" t="inlineStr">
        <is>
          <t>PM</t>
        </is>
      </c>
      <c r="D96" s="231" t="n"/>
      <c r="E96" s="231" t="n"/>
      <c r="F96" s="231" t="n"/>
      <c r="G96" s="231" t="n"/>
      <c r="H96" s="231" t="n"/>
      <c r="I96" s="231" t="n"/>
      <c r="J96" s="231" t="n"/>
      <c r="K96" s="231" t="n"/>
      <c r="L96" s="231" t="n"/>
      <c r="M96" s="231" t="n"/>
      <c r="N96" s="231" t="n"/>
      <c r="O96" s="231" t="n"/>
      <c r="P96" s="231" t="n"/>
      <c r="Q96" s="231" t="n"/>
      <c r="R96" s="231" t="n"/>
      <c r="S96" s="231" t="n"/>
      <c r="T96" s="231" t="n"/>
      <c r="U96" s="231" t="n"/>
      <c r="V96" s="231" t="n"/>
      <c r="W96" s="231" t="n"/>
      <c r="X96" s="231" t="n"/>
      <c r="Y96" s="231" t="n"/>
      <c r="Z96" s="231" t="n"/>
      <c r="AA96" s="231" t="n"/>
      <c r="AB96" s="231" t="n"/>
      <c r="AC96" s="231" t="n"/>
      <c r="AD96" s="231" t="n"/>
      <c r="AE96" s="231" t="n"/>
      <c r="AF96" s="231" t="n"/>
      <c r="AG96" s="231" t="n"/>
      <c r="AH96" s="231" t="n"/>
      <c r="AI96" s="216" t="n"/>
      <c r="AJ96" s="216" t="n"/>
      <c r="AK96" s="216" t="n"/>
      <c r="AL96" s="216" t="n"/>
      <c r="AM96" s="216" t="n"/>
    </row>
    <row r="97" hidden="1" ht="19" customHeight="1">
      <c r="A97" s="229">
        <f>IF(Roster!$C$23="","",IF(Roster!$B$23="","#"&amp;18,Roster!$B$23&amp;""))</f>
        <v/>
      </c>
      <c r="B97" s="232">
        <f>IF(Roster!$C$23="","",Roster!$F$23&amp;IF(OR(Roster!$G$23="SANS",Roster!$G$23="NSMEN"),"  |  "&amp;Roster!$G$23,""))</f>
        <v/>
      </c>
      <c r="C97" s="218" t="inlineStr">
        <is>
          <t>NIGHT</t>
        </is>
      </c>
      <c r="D97" s="231" t="n"/>
      <c r="E97" s="231" t="n"/>
      <c r="F97" s="231" t="n"/>
      <c r="G97" s="231" t="n"/>
      <c r="H97" s="231" t="n"/>
      <c r="I97" s="231" t="n"/>
      <c r="J97" s="231" t="n"/>
      <c r="K97" s="231" t="n"/>
      <c r="L97" s="231" t="n"/>
      <c r="M97" s="231" t="n"/>
      <c r="N97" s="231" t="n"/>
      <c r="O97" s="231" t="n"/>
      <c r="P97" s="231" t="n"/>
      <c r="Q97" s="231" t="n"/>
      <c r="R97" s="231" t="n"/>
      <c r="S97" s="231" t="n"/>
      <c r="T97" s="231" t="n"/>
      <c r="U97" s="231" t="n"/>
      <c r="V97" s="231" t="n"/>
      <c r="W97" s="231" t="n"/>
      <c r="X97" s="231" t="n"/>
      <c r="Y97" s="231" t="n"/>
      <c r="Z97" s="231" t="n"/>
      <c r="AA97" s="231" t="n"/>
      <c r="AB97" s="231" t="n"/>
      <c r="AC97" s="231" t="n"/>
      <c r="AD97" s="231" t="n"/>
      <c r="AE97" s="231" t="n"/>
      <c r="AF97" s="231" t="n"/>
      <c r="AG97" s="231" t="n"/>
      <c r="AH97" s="231" t="n"/>
      <c r="AI97" s="216" t="n"/>
      <c r="AJ97" s="216" t="n"/>
      <c r="AK97" s="216" t="n"/>
      <c r="AL97" s="216" t="n"/>
      <c r="AM97" s="216" t="n"/>
    </row>
    <row r="98" hidden="1" ht="19" customHeight="1">
      <c r="A98" s="233">
        <f>IF(Roster!$C$23="","",IF(Roster!$B$23="","#"&amp;18,Roster!$B$23&amp;""))</f>
        <v/>
      </c>
      <c r="B98" s="234" t="n"/>
      <c r="C98" s="221" t="inlineStr">
        <is>
          <t>WD</t>
        </is>
      </c>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c r="AA98" s="222" t="n"/>
      <c r="AB98" s="222" t="n"/>
      <c r="AC98" s="222" t="n"/>
      <c r="AD98" s="222" t="n"/>
      <c r="AE98" s="222" t="n"/>
      <c r="AF98" s="222" t="n"/>
      <c r="AG98" s="222" t="n"/>
      <c r="AH98" s="222" t="n"/>
      <c r="AI98" s="223" t="n"/>
      <c r="AJ98" s="223" t="n"/>
      <c r="AK98" s="223" t="n"/>
      <c r="AL98" s="223" t="n"/>
      <c r="AM98" s="223" t="n"/>
    </row>
    <row r="99" hidden="1" ht="19" customHeight="1">
      <c r="A99" s="206">
        <f>IF(Roster!$C$24="","",IF(Roster!$B$24="","#"&amp;19,Roster!$B$24&amp;""))</f>
        <v/>
      </c>
      <c r="B99" s="207">
        <f>IF(Roster!$C$24="","",Roster!$C$24)</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IF($A99="","",SUMPRODUCT(--((COUNTIFS(ActCodesAll,$D99:$AH99,ActCat,AK$3)+COUNTIFS(ActCodesAll,$D100:$AH100,ActCat,AK$3)+COUNTIFS(ActCodesAll,$D101:$AH101,ActCat,AK$3)+COUNTIFS(ActCodesAll,$D102:$AH102,ActCat,AK$3))&gt;0)))</f>
        <v/>
      </c>
      <c r="AL99" s="210">
        <f>IF($A99="","",SUMPRODUCT(--((COUNTIFS(ActCodesAll,$D99:$AH99,ActCat,AL$3)+COUNTIFS(ActCodesAll,$D100:$AH100,ActCat,AL$3)+COUNTIFS(ActCodesAll,$D101:$AH101,ActCat,AL$3)+COUNTIFS(ActCodesAll,$D102:$AH102,ActCat,AL$3))&gt;0)))</f>
        <v/>
      </c>
      <c r="AM99" s="210">
        <f>IF($A99="","",SUMPRODUCT(--((COUNTIFS(ActCodesAll,$D99:$AH99,ActCat,AM$3)+COUNTIFS(ActCodesAll,$D100:$AH100,ActCat,AM$3)+COUNTIFS(ActCodesAll,$D101:$AH101,ActCat,AM$3)+COUNTIFS(ActCodesAll,$D102:$AH102,ActCat,AM$3))&gt;0)))</f>
        <v/>
      </c>
    </row>
    <row r="100" hidden="1" ht="19" customHeight="1">
      <c r="A100" s="212">
        <f>IF(Roster!$C$24="","",IF(Roster!$B$24="","#"&amp;19,Roster!$B$24&amp;""))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2">
        <f>IF(Roster!$C$24="","",IF(Roster!$B$24="","#"&amp;19,Roster!$B$24&amp;""))</f>
        <v/>
      </c>
      <c r="B101" s="217">
        <f>IF(Roster!$C$24="","",Roster!$F$24&amp;IF(OR(Roster!$G$24="SANS",Roster!$G$24="NSMEN"),"  |  "&amp;Roster!$G$24,""))</f>
        <v/>
      </c>
      <c r="C101" s="218" t="inlineStr">
        <is>
          <t>NIGHT</t>
        </is>
      </c>
      <c r="D101" s="215" t="n"/>
      <c r="E101" s="215" t="n"/>
      <c r="F101" s="215" t="n"/>
      <c r="G101" s="215" t="n"/>
      <c r="H101" s="215" t="n"/>
      <c r="I101" s="215" t="n"/>
      <c r="J101" s="215" t="n"/>
      <c r="K101" s="215" t="n"/>
      <c r="L101" s="215" t="n"/>
      <c r="M101" s="215" t="n"/>
      <c r="N101" s="215" t="n"/>
      <c r="O101" s="215" t="n"/>
      <c r="P101" s="215" t="n"/>
      <c r="Q101" s="215" t="n"/>
      <c r="R101" s="215" t="n"/>
      <c r="S101" s="215" t="n"/>
      <c r="T101" s="215" t="n"/>
      <c r="U101" s="215" t="n"/>
      <c r="V101" s="215" t="n"/>
      <c r="W101" s="215" t="n"/>
      <c r="X101" s="215" t="n"/>
      <c r="Y101" s="215" t="n"/>
      <c r="Z101" s="215" t="n"/>
      <c r="AA101" s="215" t="n"/>
      <c r="AB101" s="215" t="n"/>
      <c r="AC101" s="215" t="n"/>
      <c r="AD101" s="215" t="n"/>
      <c r="AE101" s="215" t="n"/>
      <c r="AF101" s="215" t="n"/>
      <c r="AG101" s="215" t="n"/>
      <c r="AH101" s="215" t="n"/>
      <c r="AI101" s="216" t="n"/>
      <c r="AJ101" s="216" t="n"/>
      <c r="AK101" s="216" t="n"/>
      <c r="AL101" s="216" t="n"/>
      <c r="AM101" s="216" t="n"/>
    </row>
    <row r="102" hidden="1" ht="19" customHeight="1">
      <c r="A102" s="219">
        <f>IF(Roster!$C$24="","",IF(Roster!$B$24="","#"&amp;19,Roster!$B$24&amp;""))</f>
        <v/>
      </c>
      <c r="B102" s="220" t="n"/>
      <c r="C102" s="221" t="inlineStr">
        <is>
          <t>WD</t>
        </is>
      </c>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c r="AA102" s="222" t="n"/>
      <c r="AB102" s="222" t="n"/>
      <c r="AC102" s="222" t="n"/>
      <c r="AD102" s="222" t="n"/>
      <c r="AE102" s="222" t="n"/>
      <c r="AF102" s="222" t="n"/>
      <c r="AG102" s="222" t="n"/>
      <c r="AH102" s="222" t="n"/>
      <c r="AI102" s="223" t="n"/>
      <c r="AJ102" s="223" t="n"/>
      <c r="AK102" s="223" t="n"/>
      <c r="AL102" s="223" t="n"/>
      <c r="AM102" s="223" t="n"/>
    </row>
    <row r="103" hidden="1" ht="19" customHeight="1">
      <c r="A103" s="224">
        <f>IF(Roster!$C$25="","",IF(Roster!$B$25="","#"&amp;20,Roster!$B$25&amp;""))</f>
        <v/>
      </c>
      <c r="B103" s="225">
        <f>IF(Roster!$C$25="","",Roster!$C$25)</f>
        <v/>
      </c>
      <c r="C103" s="208" t="inlineStr">
        <is>
          <t>AM</t>
        </is>
      </c>
      <c r="D103" s="226" t="n"/>
      <c r="E103" s="226" t="n"/>
      <c r="F103" s="226" t="n"/>
      <c r="G103" s="226" t="n"/>
      <c r="H103" s="226" t="n"/>
      <c r="I103" s="226" t="n"/>
      <c r="J103" s="226" t="n"/>
      <c r="K103" s="226" t="n"/>
      <c r="L103" s="226" t="n"/>
      <c r="M103" s="226" t="n"/>
      <c r="N103" s="226" t="n"/>
      <c r="O103" s="226" t="n"/>
      <c r="P103" s="226" t="n"/>
      <c r="Q103" s="226" t="n"/>
      <c r="R103" s="226" t="n"/>
      <c r="S103" s="226" t="n"/>
      <c r="T103" s="226" t="n"/>
      <c r="U103" s="226" t="n"/>
      <c r="V103" s="226" t="n"/>
      <c r="W103" s="226" t="n"/>
      <c r="X103" s="226" t="n"/>
      <c r="Y103" s="226" t="n"/>
      <c r="Z103" s="226" t="n"/>
      <c r="AA103" s="226" t="n"/>
      <c r="AB103" s="226" t="n"/>
      <c r="AC103" s="226" t="n"/>
      <c r="AD103" s="226" t="n"/>
      <c r="AE103" s="226" t="n"/>
      <c r="AF103" s="226" t="n"/>
      <c r="AG103" s="226" t="n"/>
      <c r="AH103" s="226" t="n"/>
      <c r="AI103" s="227">
        <f>IF($A103="","",SUMPRODUCT(SUMIFS(ActSort,ActCodesAll,$D103:$AH105,ActCat,AI$3)))</f>
        <v/>
      </c>
      <c r="AJ103" s="228">
        <f>IF($A103="","",SUMPRODUCT(SUMIFS(ActHrs,ActCodesAll,$D103:$AH105,ActCat,AJ$3)))</f>
        <v/>
      </c>
      <c r="AK103" s="227">
        <f>IF($A103="","",SUMPRODUCT(--((COUNTIFS(ActCodesAll,$D103:$AH103,ActCat,AK$3)+COUNTIFS(ActCodesAll,$D104:$AH104,ActCat,AK$3)+COUNTIFS(ActCodesAll,$D105:$AH105,ActCat,AK$3)+COUNTIFS(ActCodesAll,$D106:$AH106,ActCat,AK$3))&gt;0)))</f>
        <v/>
      </c>
      <c r="AL103" s="227">
        <f>IF($A103="","",SUMPRODUCT(--((COUNTIFS(ActCodesAll,$D103:$AH103,ActCat,AL$3)+COUNTIFS(ActCodesAll,$D104:$AH104,ActCat,AL$3)+COUNTIFS(ActCodesAll,$D105:$AH105,ActCat,AL$3)+COUNTIFS(ActCodesAll,$D106:$AH106,ActCat,AL$3))&gt;0)))</f>
        <v/>
      </c>
      <c r="AM103" s="227">
        <f>IF($A103="","",SUMPRODUCT(--((COUNTIFS(ActCodesAll,$D103:$AH103,ActCat,AM$3)+COUNTIFS(ActCodesAll,$D104:$AH104,ActCat,AM$3)+COUNTIFS(ActCodesAll,$D105:$AH105,ActCat,AM$3)+COUNTIFS(ActCodesAll,$D106:$AH106,ActCat,AM$3))&gt;0)))</f>
        <v/>
      </c>
    </row>
    <row r="104" hidden="1" ht="19" customHeight="1">
      <c r="A104" s="229">
        <f>IF(Roster!$C$25="","",IF(Roster!$B$25="","#"&amp;20,Roster!$B$25&amp;""))</f>
        <v/>
      </c>
      <c r="B104" s="230" t="n"/>
      <c r="C104" s="214" t="inlineStr">
        <is>
          <t>PM</t>
        </is>
      </c>
      <c r="D104" s="231" t="n"/>
      <c r="E104" s="231" t="n"/>
      <c r="F104" s="231" t="n"/>
      <c r="G104" s="231" t="n"/>
      <c r="H104" s="231" t="n"/>
      <c r="I104" s="231" t="n"/>
      <c r="J104" s="231" t="n"/>
      <c r="K104" s="231" t="n"/>
      <c r="L104" s="231" t="n"/>
      <c r="M104" s="231" t="n"/>
      <c r="N104" s="231" t="n"/>
      <c r="O104" s="231" t="n"/>
      <c r="P104" s="231" t="n"/>
      <c r="Q104" s="231" t="n"/>
      <c r="R104" s="231" t="n"/>
      <c r="S104" s="231" t="n"/>
      <c r="T104" s="231" t="n"/>
      <c r="U104" s="231" t="n"/>
      <c r="V104" s="231" t="n"/>
      <c r="W104" s="231" t="n"/>
      <c r="X104" s="231" t="n"/>
      <c r="Y104" s="231" t="n"/>
      <c r="Z104" s="231" t="n"/>
      <c r="AA104" s="231" t="n"/>
      <c r="AB104" s="231" t="n"/>
      <c r="AC104" s="231" t="n"/>
      <c r="AD104" s="231" t="n"/>
      <c r="AE104" s="231" t="n"/>
      <c r="AF104" s="231" t="n"/>
      <c r="AG104" s="231" t="n"/>
      <c r="AH104" s="231" t="n"/>
      <c r="AI104" s="216" t="n"/>
      <c r="AJ104" s="216" t="n"/>
      <c r="AK104" s="216" t="n"/>
      <c r="AL104" s="216" t="n"/>
      <c r="AM104" s="216" t="n"/>
    </row>
    <row r="105" hidden="1" ht="19" customHeight="1">
      <c r="A105" s="229">
        <f>IF(Roster!$C$25="","",IF(Roster!$B$25="","#"&amp;20,Roster!$B$25&amp;""))</f>
        <v/>
      </c>
      <c r="B105" s="232">
        <f>IF(Roster!$C$25="","",Roster!$F$25&amp;IF(OR(Roster!$G$25="SANS",Roster!$G$25="NSMEN"),"  |  "&amp;Roster!$G$25,""))</f>
        <v/>
      </c>
      <c r="C105" s="218" t="inlineStr">
        <is>
          <t>NIGHT</t>
        </is>
      </c>
      <c r="D105" s="231" t="n"/>
      <c r="E105" s="231" t="n"/>
      <c r="F105" s="231" t="n"/>
      <c r="G105" s="231" t="n"/>
      <c r="H105" s="231" t="n"/>
      <c r="I105" s="231" t="n"/>
      <c r="J105" s="231" t="n"/>
      <c r="K105" s="231" t="n"/>
      <c r="L105" s="231" t="n"/>
      <c r="M105" s="231" t="n"/>
      <c r="N105" s="231" t="n"/>
      <c r="O105" s="231" t="n"/>
      <c r="P105" s="231" t="n"/>
      <c r="Q105" s="231" t="n"/>
      <c r="R105" s="231" t="n"/>
      <c r="S105" s="231" t="n"/>
      <c r="T105" s="231" t="n"/>
      <c r="U105" s="231" t="n"/>
      <c r="V105" s="231" t="n"/>
      <c r="W105" s="231" t="n"/>
      <c r="X105" s="231" t="n"/>
      <c r="Y105" s="231" t="n"/>
      <c r="Z105" s="231" t="n"/>
      <c r="AA105" s="231" t="n"/>
      <c r="AB105" s="231" t="n"/>
      <c r="AC105" s="231" t="n"/>
      <c r="AD105" s="231" t="n"/>
      <c r="AE105" s="231" t="n"/>
      <c r="AF105" s="231" t="n"/>
      <c r="AG105" s="231" t="n"/>
      <c r="AH105" s="231" t="n"/>
      <c r="AI105" s="216" t="n"/>
      <c r="AJ105" s="216" t="n"/>
      <c r="AK105" s="216" t="n"/>
      <c r="AL105" s="216" t="n"/>
      <c r="AM105" s="216" t="n"/>
    </row>
    <row r="106" hidden="1" ht="19" customHeight="1">
      <c r="A106" s="233">
        <f>IF(Roster!$C$25="","",IF(Roster!$B$25="","#"&amp;20,Roster!$B$25&amp;""))</f>
        <v/>
      </c>
      <c r="B106" s="234" t="n"/>
      <c r="C106" s="221" t="inlineStr">
        <is>
          <t>WD</t>
        </is>
      </c>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c r="AA106" s="222" t="n"/>
      <c r="AB106" s="222" t="n"/>
      <c r="AC106" s="222" t="n"/>
      <c r="AD106" s="222" t="n"/>
      <c r="AE106" s="222" t="n"/>
      <c r="AF106" s="222" t="n"/>
      <c r="AG106" s="222" t="n"/>
      <c r="AH106" s="222" t="n"/>
      <c r="AI106" s="223" t="n"/>
      <c r="AJ106" s="223" t="n"/>
      <c r="AK106" s="223" t="n"/>
      <c r="AL106" s="223" t="n"/>
      <c r="AM106" s="223" t="n"/>
    </row>
    <row r="107" hidden="1" ht="19" customHeight="1">
      <c r="A107" s="206">
        <f>IF(Roster!$C$26="","",IF(Roster!$B$26="","#"&amp;21,Roster!$B$26&amp;""))</f>
        <v/>
      </c>
      <c r="B107" s="207">
        <f>IF(Roster!$C$26="","",Roster!$C$26)</f>
        <v/>
      </c>
      <c r="C107" s="208" t="inlineStr">
        <is>
          <t>AM</t>
        </is>
      </c>
      <c r="D107" s="209" t="n"/>
      <c r="E107" s="209" t="n"/>
      <c r="F107" s="209" t="n"/>
      <c r="G107" s="209" t="n"/>
      <c r="H107" s="209" t="n"/>
      <c r="I107" s="209" t="n"/>
      <c r="J107" s="209" t="n"/>
      <c r="K107" s="209" t="n"/>
      <c r="L107" s="209" t="n"/>
      <c r="M107" s="209" t="n"/>
      <c r="N107" s="209" t="n"/>
      <c r="O107" s="209" t="n"/>
      <c r="P107" s="209" t="n"/>
      <c r="Q107" s="209" t="n"/>
      <c r="R107" s="209" t="n"/>
      <c r="S107" s="209" t="n"/>
      <c r="T107" s="209" t="n"/>
      <c r="U107" s="209" t="n"/>
      <c r="V107" s="209" t="n"/>
      <c r="W107" s="209" t="n"/>
      <c r="X107" s="209" t="n"/>
      <c r="Y107" s="209" t="n"/>
      <c r="Z107" s="209" t="n"/>
      <c r="AA107" s="209" t="n"/>
      <c r="AB107" s="209" t="n"/>
      <c r="AC107" s="209" t="n"/>
      <c r="AD107" s="209" t="n"/>
      <c r="AE107" s="209" t="n"/>
      <c r="AF107" s="209" t="n"/>
      <c r="AG107" s="209" t="n"/>
      <c r="AH107" s="209" t="n"/>
      <c r="AI107" s="210">
        <f>IF($A107="","",SUMPRODUCT(SUMIFS(ActSort,ActCodesAll,$D107:$AH109,ActCat,AI$3)))</f>
        <v/>
      </c>
      <c r="AJ107" s="211">
        <f>IF($A107="","",SUMPRODUCT(SUMIFS(ActHrs,ActCodesAll,$D107:$AH109,ActCat,AJ$3)))</f>
        <v/>
      </c>
      <c r="AK107" s="210">
        <f>IF($A107="","",SUMPRODUCT(--((COUNTIFS(ActCodesAll,$D107:$AH107,ActCat,AK$3)+COUNTIFS(ActCodesAll,$D108:$AH108,ActCat,AK$3)+COUNTIFS(ActCodesAll,$D109:$AH109,ActCat,AK$3)+COUNTIFS(ActCodesAll,$D110:$AH110,ActCat,AK$3))&gt;0)))</f>
        <v/>
      </c>
      <c r="AL107" s="210">
        <f>IF($A107="","",SUMPRODUCT(--((COUNTIFS(ActCodesAll,$D107:$AH107,ActCat,AL$3)+COUNTIFS(ActCodesAll,$D108:$AH108,ActCat,AL$3)+COUNTIFS(ActCodesAll,$D109:$AH109,ActCat,AL$3)+COUNTIFS(ActCodesAll,$D110:$AH110,ActCat,AL$3))&gt;0)))</f>
        <v/>
      </c>
      <c r="AM107" s="210">
        <f>IF($A107="","",SUMPRODUCT(--((COUNTIFS(ActCodesAll,$D107:$AH107,ActCat,AM$3)+COUNTIFS(ActCodesAll,$D108:$AH108,ActCat,AM$3)+COUNTIFS(ActCodesAll,$D109:$AH109,ActCat,AM$3)+COUNTIFS(ActCodesAll,$D110:$AH110,ActCat,AM$3))&gt;0)))</f>
        <v/>
      </c>
    </row>
    <row r="108" hidden="1" ht="19" customHeight="1">
      <c r="A108" s="212">
        <f>IF(Roster!$C$26="","",IF(Roster!$B$26="","#"&amp;21,Roster!$B$26&amp;""))</f>
        <v/>
      </c>
      <c r="B108" s="213" t="n"/>
      <c r="C108" s="214" t="inlineStr">
        <is>
          <t>PM</t>
        </is>
      </c>
      <c r="D108" s="215" t="n"/>
      <c r="E108" s="215" t="n"/>
      <c r="F108" s="215" t="n"/>
      <c r="G108" s="215" t="n"/>
      <c r="H108" s="215" t="n"/>
      <c r="I108" s="215" t="n"/>
      <c r="J108" s="215" t="n"/>
      <c r="K108" s="215" t="n"/>
      <c r="L108" s="215" t="n"/>
      <c r="M108" s="215" t="n"/>
      <c r="N108" s="215" t="n"/>
      <c r="O108" s="215" t="n"/>
      <c r="P108" s="215" t="n"/>
      <c r="Q108" s="215" t="n"/>
      <c r="R108" s="215" t="n"/>
      <c r="S108" s="215" t="n"/>
      <c r="T108" s="215" t="n"/>
      <c r="U108" s="215" t="n"/>
      <c r="V108" s="215" t="n"/>
      <c r="W108" s="215" t="n"/>
      <c r="X108" s="215" t="n"/>
      <c r="Y108" s="215" t="n"/>
      <c r="Z108" s="215" t="n"/>
      <c r="AA108" s="215" t="n"/>
      <c r="AB108" s="215" t="n"/>
      <c r="AC108" s="215" t="n"/>
      <c r="AD108" s="215" t="n"/>
      <c r="AE108" s="215" t="n"/>
      <c r="AF108" s="215" t="n"/>
      <c r="AG108" s="215" t="n"/>
      <c r="AH108" s="215" t="n"/>
      <c r="AI108" s="216" t="n"/>
      <c r="AJ108" s="216" t="n"/>
      <c r="AK108" s="216" t="n"/>
      <c r="AL108" s="216" t="n"/>
      <c r="AM108" s="216" t="n"/>
    </row>
    <row r="109" hidden="1" ht="19" customHeight="1">
      <c r="A109" s="212">
        <f>IF(Roster!$C$26="","",IF(Roster!$B$26="","#"&amp;21,Roster!$B$26&amp;""))</f>
        <v/>
      </c>
      <c r="B109" s="217">
        <f>IF(Roster!$C$26="","",Roster!$F$26&amp;IF(OR(Roster!$G$26="SANS",Roster!$G$26="NSMEN"),"  |  "&amp;Roster!$G$26,""))</f>
        <v/>
      </c>
      <c r="C109" s="218" t="inlineStr">
        <is>
          <t>NIGHT</t>
        </is>
      </c>
      <c r="D109" s="215" t="n"/>
      <c r="E109" s="215" t="n"/>
      <c r="F109" s="215" t="n"/>
      <c r="G109" s="215" t="n"/>
      <c r="H109" s="215" t="n"/>
      <c r="I109" s="215" t="n"/>
      <c r="J109" s="215" t="n"/>
      <c r="K109" s="215" t="n"/>
      <c r="L109" s="215" t="n"/>
      <c r="M109" s="215" t="n"/>
      <c r="N109" s="215" t="n"/>
      <c r="O109" s="215" t="n"/>
      <c r="P109" s="215" t="n"/>
      <c r="Q109" s="215" t="n"/>
      <c r="R109" s="215" t="n"/>
      <c r="S109" s="215" t="n"/>
      <c r="T109" s="215" t="n"/>
      <c r="U109" s="215" t="n"/>
      <c r="V109" s="215" t="n"/>
      <c r="W109" s="215" t="n"/>
      <c r="X109" s="215" t="n"/>
      <c r="Y109" s="215" t="n"/>
      <c r="Z109" s="215" t="n"/>
      <c r="AA109" s="215" t="n"/>
      <c r="AB109" s="215" t="n"/>
      <c r="AC109" s="215" t="n"/>
      <c r="AD109" s="215" t="n"/>
      <c r="AE109" s="215" t="n"/>
      <c r="AF109" s="215" t="n"/>
      <c r="AG109" s="215" t="n"/>
      <c r="AH109" s="215" t="n"/>
      <c r="AI109" s="216" t="n"/>
      <c r="AJ109" s="216" t="n"/>
      <c r="AK109" s="216" t="n"/>
      <c r="AL109" s="216" t="n"/>
      <c r="AM109" s="216" t="n"/>
    </row>
    <row r="110" hidden="1" ht="19" customHeight="1">
      <c r="A110" s="219">
        <f>IF(Roster!$C$26="","",IF(Roster!$B$26="","#"&amp;21,Roster!$B$26&amp;""))</f>
        <v/>
      </c>
      <c r="B110" s="220" t="n"/>
      <c r="C110" s="221" t="inlineStr">
        <is>
          <t>WD</t>
        </is>
      </c>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c r="AA110" s="222" t="n"/>
      <c r="AB110" s="222" t="n"/>
      <c r="AC110" s="222" t="n"/>
      <c r="AD110" s="222" t="n"/>
      <c r="AE110" s="222" t="n"/>
      <c r="AF110" s="222" t="n"/>
      <c r="AG110" s="222" t="n"/>
      <c r="AH110" s="222" t="n"/>
      <c r="AI110" s="223" t="n"/>
      <c r="AJ110" s="223" t="n"/>
      <c r="AK110" s="223" t="n"/>
      <c r="AL110" s="223" t="n"/>
      <c r="AM110" s="223" t="n"/>
    </row>
    <row r="111" hidden="1" ht="19" customHeight="1">
      <c r="A111" s="224">
        <f>IF(Roster!$C$27="","",IF(Roster!$B$27="","#"&amp;22,Roster!$B$27&amp;""))</f>
        <v/>
      </c>
      <c r="B111" s="225">
        <f>IF(Roster!$C$27="","",Roster!$C$27)</f>
        <v/>
      </c>
      <c r="C111" s="208" t="inlineStr">
        <is>
          <t>AM</t>
        </is>
      </c>
      <c r="D111" s="226" t="n"/>
      <c r="E111" s="226" t="n"/>
      <c r="F111" s="226" t="n"/>
      <c r="G111" s="226" t="n"/>
      <c r="H111" s="226" t="n"/>
      <c r="I111" s="226" t="n"/>
      <c r="J111" s="226" t="n"/>
      <c r="K111" s="226" t="n"/>
      <c r="L111" s="226" t="n"/>
      <c r="M111" s="226" t="n"/>
      <c r="N111" s="226" t="n"/>
      <c r="O111" s="226" t="n"/>
      <c r="P111" s="226" t="n"/>
      <c r="Q111" s="226" t="n"/>
      <c r="R111" s="226" t="n"/>
      <c r="S111" s="226" t="n"/>
      <c r="T111" s="226" t="n"/>
      <c r="U111" s="226" t="n"/>
      <c r="V111" s="226" t="n"/>
      <c r="W111" s="226" t="n"/>
      <c r="X111" s="226" t="n"/>
      <c r="Y111" s="226" t="n"/>
      <c r="Z111" s="226" t="n"/>
      <c r="AA111" s="226" t="n"/>
      <c r="AB111" s="226" t="n"/>
      <c r="AC111" s="226" t="n"/>
      <c r="AD111" s="226" t="n"/>
      <c r="AE111" s="226" t="n"/>
      <c r="AF111" s="226" t="n"/>
      <c r="AG111" s="226" t="n"/>
      <c r="AH111" s="226" t="n"/>
      <c r="AI111" s="227">
        <f>IF($A111="","",SUMPRODUCT(SUMIFS(ActSort,ActCodesAll,$D111:$AH113,ActCat,AI$3)))</f>
        <v/>
      </c>
      <c r="AJ111" s="228">
        <f>IF($A111="","",SUMPRODUCT(SUMIFS(ActHrs,ActCodesAll,$D111:$AH113,ActCat,AJ$3)))</f>
        <v/>
      </c>
      <c r="AK111" s="227">
        <f>IF($A111="","",SUMPRODUCT(--((COUNTIFS(ActCodesAll,$D111:$AH111,ActCat,AK$3)+COUNTIFS(ActCodesAll,$D112:$AH112,ActCat,AK$3)+COUNTIFS(ActCodesAll,$D113:$AH113,ActCat,AK$3)+COUNTIFS(ActCodesAll,$D114:$AH114,ActCat,AK$3))&gt;0)))</f>
        <v/>
      </c>
      <c r="AL111" s="227">
        <f>IF($A111="","",SUMPRODUCT(--((COUNTIFS(ActCodesAll,$D111:$AH111,ActCat,AL$3)+COUNTIFS(ActCodesAll,$D112:$AH112,ActCat,AL$3)+COUNTIFS(ActCodesAll,$D113:$AH113,ActCat,AL$3)+COUNTIFS(ActCodesAll,$D114:$AH114,ActCat,AL$3))&gt;0)))</f>
        <v/>
      </c>
      <c r="AM111" s="227">
        <f>IF($A111="","",SUMPRODUCT(--((COUNTIFS(ActCodesAll,$D111:$AH111,ActCat,AM$3)+COUNTIFS(ActCodesAll,$D112:$AH112,ActCat,AM$3)+COUNTIFS(ActCodesAll,$D113:$AH113,ActCat,AM$3)+COUNTIFS(ActCodesAll,$D114:$AH114,ActCat,AM$3))&gt;0)))</f>
        <v/>
      </c>
    </row>
    <row r="112" hidden="1" ht="19" customHeight="1">
      <c r="A112" s="229">
        <f>IF(Roster!$C$27="","",IF(Roster!$B$27="","#"&amp;22,Roster!$B$27&amp;""))</f>
        <v/>
      </c>
      <c r="B112" s="230" t="n"/>
      <c r="C112" s="214" t="inlineStr">
        <is>
          <t>PM</t>
        </is>
      </c>
      <c r="D112" s="231" t="n"/>
      <c r="E112" s="231" t="n"/>
      <c r="F112" s="231" t="n"/>
      <c r="G112" s="231" t="n"/>
      <c r="H112" s="231" t="n"/>
      <c r="I112" s="231" t="n"/>
      <c r="J112" s="231" t="n"/>
      <c r="K112" s="231" t="n"/>
      <c r="L112" s="231" t="n"/>
      <c r="M112" s="231" t="n"/>
      <c r="N112" s="231" t="n"/>
      <c r="O112" s="231" t="n"/>
      <c r="P112" s="231" t="n"/>
      <c r="Q112" s="231" t="n"/>
      <c r="R112" s="231" t="n"/>
      <c r="S112" s="231" t="n"/>
      <c r="T112" s="231" t="n"/>
      <c r="U112" s="231" t="n"/>
      <c r="V112" s="231" t="n"/>
      <c r="W112" s="231" t="n"/>
      <c r="X112" s="231" t="n"/>
      <c r="Y112" s="231" t="n"/>
      <c r="Z112" s="231" t="n"/>
      <c r="AA112" s="231" t="n"/>
      <c r="AB112" s="231" t="n"/>
      <c r="AC112" s="231" t="n"/>
      <c r="AD112" s="231" t="n"/>
      <c r="AE112" s="231" t="n"/>
      <c r="AF112" s="231" t="n"/>
      <c r="AG112" s="231" t="n"/>
      <c r="AH112" s="231" t="n"/>
      <c r="AI112" s="216" t="n"/>
      <c r="AJ112" s="216" t="n"/>
      <c r="AK112" s="216" t="n"/>
      <c r="AL112" s="216" t="n"/>
      <c r="AM112" s="216" t="n"/>
    </row>
    <row r="113" hidden="1" ht="19" customHeight="1">
      <c r="A113" s="229">
        <f>IF(Roster!$C$27="","",IF(Roster!$B$27="","#"&amp;22,Roster!$B$27&amp;""))</f>
        <v/>
      </c>
      <c r="B113" s="232">
        <f>IF(Roster!$C$27="","",Roster!$F$27&amp;IF(OR(Roster!$G$27="SANS",Roster!$G$27="NSMEN"),"  |  "&amp;Roster!$G$27,""))</f>
        <v/>
      </c>
      <c r="C113" s="218" t="inlineStr">
        <is>
          <t>NIGHT</t>
        </is>
      </c>
      <c r="D113" s="231" t="n"/>
      <c r="E113" s="231" t="n"/>
      <c r="F113" s="231" t="n"/>
      <c r="G113" s="231" t="n"/>
      <c r="H113" s="231" t="n"/>
      <c r="I113" s="231" t="n"/>
      <c r="J113" s="231" t="n"/>
      <c r="K113" s="231" t="n"/>
      <c r="L113" s="231" t="n"/>
      <c r="M113" s="231" t="n"/>
      <c r="N113" s="231" t="n"/>
      <c r="O113" s="231" t="n"/>
      <c r="P113" s="231" t="n"/>
      <c r="Q113" s="231" t="n"/>
      <c r="R113" s="231" t="n"/>
      <c r="S113" s="231" t="n"/>
      <c r="T113" s="231" t="n"/>
      <c r="U113" s="231" t="n"/>
      <c r="V113" s="231" t="n"/>
      <c r="W113" s="231" t="n"/>
      <c r="X113" s="231" t="n"/>
      <c r="Y113" s="231" t="n"/>
      <c r="Z113" s="231" t="n"/>
      <c r="AA113" s="231" t="n"/>
      <c r="AB113" s="231" t="n"/>
      <c r="AC113" s="231" t="n"/>
      <c r="AD113" s="231" t="n"/>
      <c r="AE113" s="231" t="n"/>
      <c r="AF113" s="231" t="n"/>
      <c r="AG113" s="231" t="n"/>
      <c r="AH113" s="231" t="n"/>
      <c r="AI113" s="216" t="n"/>
      <c r="AJ113" s="216" t="n"/>
      <c r="AK113" s="216" t="n"/>
      <c r="AL113" s="216" t="n"/>
      <c r="AM113" s="216" t="n"/>
    </row>
    <row r="114" hidden="1" ht="19" customHeight="1">
      <c r="A114" s="233">
        <f>IF(Roster!$C$27="","",IF(Roster!$B$27="","#"&amp;22,Roster!$B$27&amp;""))</f>
        <v/>
      </c>
      <c r="B114" s="234" t="n"/>
      <c r="C114" s="221" t="inlineStr">
        <is>
          <t>WD</t>
        </is>
      </c>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c r="AA114" s="222" t="n"/>
      <c r="AB114" s="222" t="n"/>
      <c r="AC114" s="222" t="n"/>
      <c r="AD114" s="222" t="n"/>
      <c r="AE114" s="222" t="n"/>
      <c r="AF114" s="222" t="n"/>
      <c r="AG114" s="222" t="n"/>
      <c r="AH114" s="222" t="n"/>
      <c r="AI114" s="223" t="n"/>
      <c r="AJ114" s="223" t="n"/>
      <c r="AK114" s="223" t="n"/>
      <c r="AL114" s="223" t="n"/>
      <c r="AM114" s="223" t="n"/>
    </row>
    <row r="115" hidden="1" ht="19" customHeight="1">
      <c r="A115" s="206">
        <f>IF(Roster!$C$28="","",IF(Roster!$B$28="","#"&amp;23,Roster!$B$28&amp;""))</f>
        <v/>
      </c>
      <c r="B115" s="207">
        <f>IF(Roster!$C$28="","",Roster!$C$28)</f>
        <v/>
      </c>
      <c r="C115" s="208" t="inlineStr">
        <is>
          <t>AM</t>
        </is>
      </c>
      <c r="D115" s="209" t="n"/>
      <c r="E115" s="209" t="n"/>
      <c r="F115" s="209" t="n"/>
      <c r="G115" s="209" t="n"/>
      <c r="H115" s="209" t="n"/>
      <c r="I115" s="209" t="n"/>
      <c r="J115" s="209" t="n"/>
      <c r="K115" s="209" t="n"/>
      <c r="L115" s="209" t="n"/>
      <c r="M115" s="209" t="n"/>
      <c r="N115" s="209" t="n"/>
      <c r="O115" s="209" t="n"/>
      <c r="P115" s="209" t="n"/>
      <c r="Q115" s="209" t="n"/>
      <c r="R115" s="209" t="n"/>
      <c r="S115" s="209" t="n"/>
      <c r="T115" s="209" t="n"/>
      <c r="U115" s="209" t="n"/>
      <c r="V115" s="209" t="n"/>
      <c r="W115" s="209" t="n"/>
      <c r="X115" s="209" t="n"/>
      <c r="Y115" s="209" t="n"/>
      <c r="Z115" s="209" t="n"/>
      <c r="AA115" s="209" t="n"/>
      <c r="AB115" s="209" t="n"/>
      <c r="AC115" s="209" t="n"/>
      <c r="AD115" s="209" t="n"/>
      <c r="AE115" s="209" t="n"/>
      <c r="AF115" s="209" t="n"/>
      <c r="AG115" s="209" t="n"/>
      <c r="AH115" s="209" t="n"/>
      <c r="AI115" s="210">
        <f>IF($A115="","",SUMPRODUCT(SUMIFS(ActSort,ActCodesAll,$D115:$AH117,ActCat,AI$3)))</f>
        <v/>
      </c>
      <c r="AJ115" s="211">
        <f>IF($A115="","",SUMPRODUCT(SUMIFS(ActHrs,ActCodesAll,$D115:$AH117,ActCat,AJ$3)))</f>
        <v/>
      </c>
      <c r="AK115" s="210">
        <f>IF($A115="","",SUMPRODUCT(--((COUNTIFS(ActCodesAll,$D115:$AH115,ActCat,AK$3)+COUNTIFS(ActCodesAll,$D116:$AH116,ActCat,AK$3)+COUNTIFS(ActCodesAll,$D117:$AH117,ActCat,AK$3)+COUNTIFS(ActCodesAll,$D118:$AH118,ActCat,AK$3))&gt;0)))</f>
        <v/>
      </c>
      <c r="AL115" s="210">
        <f>IF($A115="","",SUMPRODUCT(--((COUNTIFS(ActCodesAll,$D115:$AH115,ActCat,AL$3)+COUNTIFS(ActCodesAll,$D116:$AH116,ActCat,AL$3)+COUNTIFS(ActCodesAll,$D117:$AH117,ActCat,AL$3)+COUNTIFS(ActCodesAll,$D118:$AH118,ActCat,AL$3))&gt;0)))</f>
        <v/>
      </c>
      <c r="AM115" s="210">
        <f>IF($A115="","",SUMPRODUCT(--((COUNTIFS(ActCodesAll,$D115:$AH115,ActCat,AM$3)+COUNTIFS(ActCodesAll,$D116:$AH116,ActCat,AM$3)+COUNTIFS(ActCodesAll,$D117:$AH117,ActCat,AM$3)+COUNTIFS(ActCodesAll,$D118:$AH118,ActCat,AM$3))&gt;0)))</f>
        <v/>
      </c>
    </row>
    <row r="116" hidden="1" ht="19" customHeight="1">
      <c r="A116" s="212">
        <f>IF(Roster!$C$28="","",IF(Roster!$B$28="","#"&amp;23,Roster!$B$28&amp;""))</f>
        <v/>
      </c>
      <c r="B116" s="213" t="n"/>
      <c r="C116" s="214" t="inlineStr">
        <is>
          <t>PM</t>
        </is>
      </c>
      <c r="D116" s="215" t="n"/>
      <c r="E116" s="215" t="n"/>
      <c r="F116" s="215" t="n"/>
      <c r="G116" s="215" t="n"/>
      <c r="H116" s="215" t="n"/>
      <c r="I116" s="215" t="n"/>
      <c r="J116" s="215" t="n"/>
      <c r="K116" s="215" t="n"/>
      <c r="L116" s="215" t="n"/>
      <c r="M116" s="215" t="n"/>
      <c r="N116" s="215" t="n"/>
      <c r="O116" s="215" t="n"/>
      <c r="P116" s="215" t="n"/>
      <c r="Q116" s="215" t="n"/>
      <c r="R116" s="215" t="n"/>
      <c r="S116" s="215" t="n"/>
      <c r="T116" s="215" t="n"/>
      <c r="U116" s="215" t="n"/>
      <c r="V116" s="215" t="n"/>
      <c r="W116" s="215" t="n"/>
      <c r="X116" s="215" t="n"/>
      <c r="Y116" s="215" t="n"/>
      <c r="Z116" s="215" t="n"/>
      <c r="AA116" s="215" t="n"/>
      <c r="AB116" s="215" t="n"/>
      <c r="AC116" s="215" t="n"/>
      <c r="AD116" s="215" t="n"/>
      <c r="AE116" s="215" t="n"/>
      <c r="AF116" s="215" t="n"/>
      <c r="AG116" s="215" t="n"/>
      <c r="AH116" s="215" t="n"/>
      <c r="AI116" s="216" t="n"/>
      <c r="AJ116" s="216" t="n"/>
      <c r="AK116" s="216" t="n"/>
      <c r="AL116" s="216" t="n"/>
      <c r="AM116" s="216" t="n"/>
    </row>
    <row r="117" hidden="1" ht="19" customHeight="1">
      <c r="A117" s="212">
        <f>IF(Roster!$C$28="","",IF(Roster!$B$28="","#"&amp;23,Roster!$B$28&amp;""))</f>
        <v/>
      </c>
      <c r="B117" s="217">
        <f>IF(Roster!$C$28="","",Roster!$F$28&amp;IF(OR(Roster!$G$28="SANS",Roster!$G$28="NSMEN"),"  |  "&amp;Roster!$G$28,""))</f>
        <v/>
      </c>
      <c r="C117" s="218" t="inlineStr">
        <is>
          <t>NIGHT</t>
        </is>
      </c>
      <c r="D117" s="215" t="n"/>
      <c r="E117" s="215" t="n"/>
      <c r="F117" s="215" t="n"/>
      <c r="G117" s="215" t="n"/>
      <c r="H117" s="215" t="n"/>
      <c r="I117" s="215" t="n"/>
      <c r="J117" s="215" t="n"/>
      <c r="K117" s="215" t="n"/>
      <c r="L117" s="215" t="n"/>
      <c r="M117" s="215" t="n"/>
      <c r="N117" s="215" t="n"/>
      <c r="O117" s="215" t="n"/>
      <c r="P117" s="215" t="n"/>
      <c r="Q117" s="215" t="n"/>
      <c r="R117" s="215" t="n"/>
      <c r="S117" s="215" t="n"/>
      <c r="T117" s="215" t="n"/>
      <c r="U117" s="215" t="n"/>
      <c r="V117" s="215" t="n"/>
      <c r="W117" s="215" t="n"/>
      <c r="X117" s="215" t="n"/>
      <c r="Y117" s="215" t="n"/>
      <c r="Z117" s="215" t="n"/>
      <c r="AA117" s="215" t="n"/>
      <c r="AB117" s="215" t="n"/>
      <c r="AC117" s="215" t="n"/>
      <c r="AD117" s="215" t="n"/>
      <c r="AE117" s="215" t="n"/>
      <c r="AF117" s="215" t="n"/>
      <c r="AG117" s="215" t="n"/>
      <c r="AH117" s="215" t="n"/>
      <c r="AI117" s="216" t="n"/>
      <c r="AJ117" s="216" t="n"/>
      <c r="AK117" s="216" t="n"/>
      <c r="AL117" s="216" t="n"/>
      <c r="AM117" s="216" t="n"/>
    </row>
    <row r="118" hidden="1" ht="19" customHeight="1">
      <c r="A118" s="219">
        <f>IF(Roster!$C$28="","",IF(Roster!$B$28="","#"&amp;23,Roster!$B$28&amp;""))</f>
        <v/>
      </c>
      <c r="B118" s="220" t="n"/>
      <c r="C118" s="221" t="inlineStr">
        <is>
          <t>WD</t>
        </is>
      </c>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c r="AA118" s="222" t="n"/>
      <c r="AB118" s="222" t="n"/>
      <c r="AC118" s="222" t="n"/>
      <c r="AD118" s="222" t="n"/>
      <c r="AE118" s="222" t="n"/>
      <c r="AF118" s="222" t="n"/>
      <c r="AG118" s="222" t="n"/>
      <c r="AH118" s="222" t="n"/>
      <c r="AI118" s="223" t="n"/>
      <c r="AJ118" s="223" t="n"/>
      <c r="AK118" s="223" t="n"/>
      <c r="AL118" s="223" t="n"/>
      <c r="AM118" s="223" t="n"/>
    </row>
    <row r="119" hidden="1" ht="19" customHeight="1">
      <c r="A119" s="224">
        <f>IF(Roster!$C$29="","",IF(Roster!$B$29="","#"&amp;24,Roster!$B$29&amp;""))</f>
        <v/>
      </c>
      <c r="B119" s="225">
        <f>IF(Roster!$C$29="","",Roster!$C$29)</f>
        <v/>
      </c>
      <c r="C119" s="208" t="inlineStr">
        <is>
          <t>AM</t>
        </is>
      </c>
      <c r="D119" s="226" t="n"/>
      <c r="E119" s="226" t="n"/>
      <c r="F119" s="226" t="n"/>
      <c r="G119" s="226" t="n"/>
      <c r="H119" s="226" t="n"/>
      <c r="I119" s="226" t="n"/>
      <c r="J119" s="226" t="n"/>
      <c r="K119" s="226" t="n"/>
      <c r="L119" s="226" t="n"/>
      <c r="M119" s="226" t="n"/>
      <c r="N119" s="226" t="n"/>
      <c r="O119" s="226" t="n"/>
      <c r="P119" s="226" t="n"/>
      <c r="Q119" s="226" t="n"/>
      <c r="R119" s="226" t="n"/>
      <c r="S119" s="226" t="n"/>
      <c r="T119" s="226" t="n"/>
      <c r="U119" s="226" t="n"/>
      <c r="V119" s="226" t="n"/>
      <c r="W119" s="226" t="n"/>
      <c r="X119" s="226" t="n"/>
      <c r="Y119" s="226" t="n"/>
      <c r="Z119" s="226" t="n"/>
      <c r="AA119" s="226" t="n"/>
      <c r="AB119" s="226" t="n"/>
      <c r="AC119" s="226" t="n"/>
      <c r="AD119" s="226" t="n"/>
      <c r="AE119" s="226" t="n"/>
      <c r="AF119" s="226" t="n"/>
      <c r="AG119" s="226" t="n"/>
      <c r="AH119" s="226" t="n"/>
      <c r="AI119" s="227">
        <f>IF($A119="","",SUMPRODUCT(SUMIFS(ActSort,ActCodesAll,$D119:$AH121,ActCat,AI$3)))</f>
        <v/>
      </c>
      <c r="AJ119" s="228">
        <f>IF($A119="","",SUMPRODUCT(SUMIFS(ActHrs,ActCodesAll,$D119:$AH121,ActCat,AJ$3)))</f>
        <v/>
      </c>
      <c r="AK119" s="227">
        <f>IF($A119="","",SUMPRODUCT(--((COUNTIFS(ActCodesAll,$D119:$AH119,ActCat,AK$3)+COUNTIFS(ActCodesAll,$D120:$AH120,ActCat,AK$3)+COUNTIFS(ActCodesAll,$D121:$AH121,ActCat,AK$3)+COUNTIFS(ActCodesAll,$D122:$AH122,ActCat,AK$3))&gt;0)))</f>
        <v/>
      </c>
      <c r="AL119" s="227">
        <f>IF($A119="","",SUMPRODUCT(--((COUNTIFS(ActCodesAll,$D119:$AH119,ActCat,AL$3)+COUNTIFS(ActCodesAll,$D120:$AH120,ActCat,AL$3)+COUNTIFS(ActCodesAll,$D121:$AH121,ActCat,AL$3)+COUNTIFS(ActCodesAll,$D122:$AH122,ActCat,AL$3))&gt;0)))</f>
        <v/>
      </c>
      <c r="AM119" s="227">
        <f>IF($A119="","",SUMPRODUCT(--((COUNTIFS(ActCodesAll,$D119:$AH119,ActCat,AM$3)+COUNTIFS(ActCodesAll,$D120:$AH120,ActCat,AM$3)+COUNTIFS(ActCodesAll,$D121:$AH121,ActCat,AM$3)+COUNTIFS(ActCodesAll,$D122:$AH122,ActCat,AM$3))&gt;0)))</f>
        <v/>
      </c>
    </row>
    <row r="120" hidden="1" ht="19" customHeight="1">
      <c r="A120" s="229">
        <f>IF(Roster!$C$29="","",IF(Roster!$B$29="","#"&amp;24,Roster!$B$29&amp;""))</f>
        <v/>
      </c>
      <c r="B120" s="230" t="n"/>
      <c r="C120" s="214" t="inlineStr">
        <is>
          <t>PM</t>
        </is>
      </c>
      <c r="D120" s="231" t="n"/>
      <c r="E120" s="231" t="n"/>
      <c r="F120" s="231" t="n"/>
      <c r="G120" s="231" t="n"/>
      <c r="H120" s="231" t="n"/>
      <c r="I120" s="231" t="n"/>
      <c r="J120" s="231" t="n"/>
      <c r="K120" s="231" t="n"/>
      <c r="L120" s="231" t="n"/>
      <c r="M120" s="231" t="n"/>
      <c r="N120" s="231" t="n"/>
      <c r="O120" s="231" t="n"/>
      <c r="P120" s="231" t="n"/>
      <c r="Q120" s="231" t="n"/>
      <c r="R120" s="231" t="n"/>
      <c r="S120" s="231" t="n"/>
      <c r="T120" s="231" t="n"/>
      <c r="U120" s="231" t="n"/>
      <c r="V120" s="231" t="n"/>
      <c r="W120" s="231" t="n"/>
      <c r="X120" s="231" t="n"/>
      <c r="Y120" s="231" t="n"/>
      <c r="Z120" s="231" t="n"/>
      <c r="AA120" s="231" t="n"/>
      <c r="AB120" s="231" t="n"/>
      <c r="AC120" s="231" t="n"/>
      <c r="AD120" s="231" t="n"/>
      <c r="AE120" s="231" t="n"/>
      <c r="AF120" s="231" t="n"/>
      <c r="AG120" s="231" t="n"/>
      <c r="AH120" s="231" t="n"/>
      <c r="AI120" s="216" t="n"/>
      <c r="AJ120" s="216" t="n"/>
      <c r="AK120" s="216" t="n"/>
      <c r="AL120" s="216" t="n"/>
      <c r="AM120" s="216" t="n"/>
    </row>
    <row r="121" hidden="1" ht="19" customHeight="1">
      <c r="A121" s="229">
        <f>IF(Roster!$C$29="","",IF(Roster!$B$29="","#"&amp;24,Roster!$B$29&amp;""))</f>
        <v/>
      </c>
      <c r="B121" s="232">
        <f>IF(Roster!$C$29="","",Roster!$F$29&amp;IF(OR(Roster!$G$29="SANS",Roster!$G$29="NSMEN"),"  |  "&amp;Roster!$G$29,""))</f>
        <v/>
      </c>
      <c r="C121" s="218" t="inlineStr">
        <is>
          <t>NIGHT</t>
        </is>
      </c>
      <c r="D121" s="231" t="n"/>
      <c r="E121" s="231" t="n"/>
      <c r="F121" s="231" t="n"/>
      <c r="G121" s="231" t="n"/>
      <c r="H121" s="231" t="n"/>
      <c r="I121" s="231" t="n"/>
      <c r="J121" s="231" t="n"/>
      <c r="K121" s="231" t="n"/>
      <c r="L121" s="231" t="n"/>
      <c r="M121" s="231" t="n"/>
      <c r="N121" s="231" t="n"/>
      <c r="O121" s="231" t="n"/>
      <c r="P121" s="231" t="n"/>
      <c r="Q121" s="231" t="n"/>
      <c r="R121" s="231" t="n"/>
      <c r="S121" s="231" t="n"/>
      <c r="T121" s="231" t="n"/>
      <c r="U121" s="231" t="n"/>
      <c r="V121" s="231" t="n"/>
      <c r="W121" s="231" t="n"/>
      <c r="X121" s="231" t="n"/>
      <c r="Y121" s="231" t="n"/>
      <c r="Z121" s="231" t="n"/>
      <c r="AA121" s="231" t="n"/>
      <c r="AB121" s="231" t="n"/>
      <c r="AC121" s="231" t="n"/>
      <c r="AD121" s="231" t="n"/>
      <c r="AE121" s="231" t="n"/>
      <c r="AF121" s="231" t="n"/>
      <c r="AG121" s="231" t="n"/>
      <c r="AH121" s="231" t="n"/>
      <c r="AI121" s="216" t="n"/>
      <c r="AJ121" s="216" t="n"/>
      <c r="AK121" s="216" t="n"/>
      <c r="AL121" s="216" t="n"/>
      <c r="AM121" s="216" t="n"/>
    </row>
    <row r="122" hidden="1" ht="19" customHeight="1">
      <c r="A122" s="233">
        <f>IF(Roster!$C$29="","",IF(Roster!$B$29="","#"&amp;24,Roster!$B$29&amp;""))</f>
        <v/>
      </c>
      <c r="B122" s="234" t="n"/>
      <c r="C122" s="221" t="inlineStr">
        <is>
          <t>WD</t>
        </is>
      </c>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c r="AA122" s="222" t="n"/>
      <c r="AB122" s="222" t="n"/>
      <c r="AC122" s="222" t="n"/>
      <c r="AD122" s="222" t="n"/>
      <c r="AE122" s="222" t="n"/>
      <c r="AF122" s="222" t="n"/>
      <c r="AG122" s="222" t="n"/>
      <c r="AH122" s="222" t="n"/>
      <c r="AI122" s="223" t="n"/>
      <c r="AJ122" s="223" t="n"/>
      <c r="AK122" s="223" t="n"/>
      <c r="AL122" s="223" t="n"/>
      <c r="AM122" s="223" t="n"/>
    </row>
    <row r="123" hidden="1" ht="19" customHeight="1">
      <c r="A123" s="206">
        <f>IF(Roster!$C$30="","",IF(Roster!$B$30="","#"&amp;25,Roster!$B$30&amp;""))</f>
        <v/>
      </c>
      <c r="B123" s="207">
        <f>IF(Roster!$C$30="","",Roster!$C$30)</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IF($A123="","",SUMPRODUCT(--((COUNTIFS(ActCodesAll,$D123:$AH123,ActCat,AK$3)+COUNTIFS(ActCodesAll,$D124:$AH124,ActCat,AK$3)+COUNTIFS(ActCodesAll,$D125:$AH125,ActCat,AK$3)+COUNTIFS(ActCodesAll,$D126:$AH126,ActCat,AK$3))&gt;0)))</f>
        <v/>
      </c>
      <c r="AL123" s="210">
        <f>IF($A123="","",SUMPRODUCT(--((COUNTIFS(ActCodesAll,$D123:$AH123,ActCat,AL$3)+COUNTIFS(ActCodesAll,$D124:$AH124,ActCat,AL$3)+COUNTIFS(ActCodesAll,$D125:$AH125,ActCat,AL$3)+COUNTIFS(ActCodesAll,$D126:$AH126,ActCat,AL$3))&gt;0)))</f>
        <v/>
      </c>
      <c r="AM123" s="210">
        <f>IF($A123="","",SUMPRODUCT(--((COUNTIFS(ActCodesAll,$D123:$AH123,ActCat,AM$3)+COUNTIFS(ActCodesAll,$D124:$AH124,ActCat,AM$3)+COUNTIFS(ActCodesAll,$D125:$AH125,ActCat,AM$3)+COUNTIFS(ActCodesAll,$D126:$AH126,ActCat,AM$3))&gt;0)))</f>
        <v/>
      </c>
    </row>
    <row r="124" hidden="1" ht="19" customHeight="1">
      <c r="A124" s="212">
        <f>IF(Roster!$C$30="","",IF(Roster!$B$30="","#"&amp;25,Roster!$B$30&amp;""))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2">
        <f>IF(Roster!$C$30="","",IF(Roster!$B$30="","#"&amp;25,Roster!$B$30&amp;""))</f>
        <v/>
      </c>
      <c r="B125" s="217">
        <f>IF(Roster!$C$30="","",Roster!$F$30&amp;IF(OR(Roster!$G$30="SANS",Roster!$G$30="NSMEN"),"  |  "&amp;Roster!$G$30,""))</f>
        <v/>
      </c>
      <c r="C125" s="218" t="inlineStr">
        <is>
          <t>NIGHT</t>
        </is>
      </c>
      <c r="D125" s="215" t="n"/>
      <c r="E125" s="215" t="n"/>
      <c r="F125" s="215" t="n"/>
      <c r="G125" s="215" t="n"/>
      <c r="H125" s="215" t="n"/>
      <c r="I125" s="215" t="n"/>
      <c r="J125" s="215" t="n"/>
      <c r="K125" s="215" t="n"/>
      <c r="L125" s="215" t="n"/>
      <c r="M125" s="215" t="n"/>
      <c r="N125" s="215" t="n"/>
      <c r="O125" s="215" t="n"/>
      <c r="P125" s="215" t="n"/>
      <c r="Q125" s="215" t="n"/>
      <c r="R125" s="215" t="n"/>
      <c r="S125" s="215" t="n"/>
      <c r="T125" s="215" t="n"/>
      <c r="U125" s="215" t="n"/>
      <c r="V125" s="215" t="n"/>
      <c r="W125" s="215" t="n"/>
      <c r="X125" s="215" t="n"/>
      <c r="Y125" s="215" t="n"/>
      <c r="Z125" s="215" t="n"/>
      <c r="AA125" s="215" t="n"/>
      <c r="AB125" s="215" t="n"/>
      <c r="AC125" s="215" t="n"/>
      <c r="AD125" s="215" t="n"/>
      <c r="AE125" s="215" t="n"/>
      <c r="AF125" s="215" t="n"/>
      <c r="AG125" s="215" t="n"/>
      <c r="AH125" s="215" t="n"/>
      <c r="AI125" s="216" t="n"/>
      <c r="AJ125" s="216" t="n"/>
      <c r="AK125" s="216" t="n"/>
      <c r="AL125" s="216" t="n"/>
      <c r="AM125" s="216" t="n"/>
    </row>
    <row r="126" hidden="1" ht="19" customHeight="1">
      <c r="A126" s="219">
        <f>IF(Roster!$C$30="","",IF(Roster!$B$30="","#"&amp;25,Roster!$B$30&amp;""))</f>
        <v/>
      </c>
      <c r="B126" s="220" t="n"/>
      <c r="C126" s="221" t="inlineStr">
        <is>
          <t>WD</t>
        </is>
      </c>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c r="AA126" s="222" t="n"/>
      <c r="AB126" s="222" t="n"/>
      <c r="AC126" s="222" t="n"/>
      <c r="AD126" s="222" t="n"/>
      <c r="AE126" s="222" t="n"/>
      <c r="AF126" s="222" t="n"/>
      <c r="AG126" s="222" t="n"/>
      <c r="AH126" s="222" t="n"/>
      <c r="AI126" s="223" t="n"/>
      <c r="AJ126" s="223" t="n"/>
      <c r="AK126" s="223" t="n"/>
      <c r="AL126" s="223" t="n"/>
      <c r="AM126" s="223" t="n"/>
    </row>
    <row r="127" hidden="1" ht="19" customHeight="1">
      <c r="A127" s="224">
        <f>IF(Roster!$C$31="","",IF(Roster!$B$31="","#"&amp;26,Roster!$B$31&amp;""))</f>
        <v/>
      </c>
      <c r="B127" s="225">
        <f>IF(Roster!$C$31="","",Roster!$C$31)</f>
        <v/>
      </c>
      <c r="C127" s="208" t="inlineStr">
        <is>
          <t>AM</t>
        </is>
      </c>
      <c r="D127" s="226" t="n"/>
      <c r="E127" s="226" t="n"/>
      <c r="F127" s="226" t="n"/>
      <c r="G127" s="226" t="n"/>
      <c r="H127" s="226" t="n"/>
      <c r="I127" s="226" t="n"/>
      <c r="J127" s="226" t="n"/>
      <c r="K127" s="226" t="n"/>
      <c r="L127" s="226" t="n"/>
      <c r="M127" s="226" t="n"/>
      <c r="N127" s="226" t="n"/>
      <c r="O127" s="226" t="n"/>
      <c r="P127" s="226" t="n"/>
      <c r="Q127" s="226" t="n"/>
      <c r="R127" s="226" t="n"/>
      <c r="S127" s="226" t="n"/>
      <c r="T127" s="226" t="n"/>
      <c r="U127" s="226" t="n"/>
      <c r="V127" s="226" t="n"/>
      <c r="W127" s="226" t="n"/>
      <c r="X127" s="226" t="n"/>
      <c r="Y127" s="226" t="n"/>
      <c r="Z127" s="226" t="n"/>
      <c r="AA127" s="226" t="n"/>
      <c r="AB127" s="226" t="n"/>
      <c r="AC127" s="226" t="n"/>
      <c r="AD127" s="226" t="n"/>
      <c r="AE127" s="226" t="n"/>
      <c r="AF127" s="226" t="n"/>
      <c r="AG127" s="226" t="n"/>
      <c r="AH127" s="226" t="n"/>
      <c r="AI127" s="227">
        <f>IF($A127="","",SUMPRODUCT(SUMIFS(ActSort,ActCodesAll,$D127:$AH129,ActCat,AI$3)))</f>
        <v/>
      </c>
      <c r="AJ127" s="228">
        <f>IF($A127="","",SUMPRODUCT(SUMIFS(ActHrs,ActCodesAll,$D127:$AH129,ActCat,AJ$3)))</f>
        <v/>
      </c>
      <c r="AK127" s="227">
        <f>IF($A127="","",SUMPRODUCT(--((COUNTIFS(ActCodesAll,$D127:$AH127,ActCat,AK$3)+COUNTIFS(ActCodesAll,$D128:$AH128,ActCat,AK$3)+COUNTIFS(ActCodesAll,$D129:$AH129,ActCat,AK$3)+COUNTIFS(ActCodesAll,$D130:$AH130,ActCat,AK$3))&gt;0)))</f>
        <v/>
      </c>
      <c r="AL127" s="227">
        <f>IF($A127="","",SUMPRODUCT(--((COUNTIFS(ActCodesAll,$D127:$AH127,ActCat,AL$3)+COUNTIFS(ActCodesAll,$D128:$AH128,ActCat,AL$3)+COUNTIFS(ActCodesAll,$D129:$AH129,ActCat,AL$3)+COUNTIFS(ActCodesAll,$D130:$AH130,ActCat,AL$3))&gt;0)))</f>
        <v/>
      </c>
      <c r="AM127" s="227">
        <f>IF($A127="","",SUMPRODUCT(--((COUNTIFS(ActCodesAll,$D127:$AH127,ActCat,AM$3)+COUNTIFS(ActCodesAll,$D128:$AH128,ActCat,AM$3)+COUNTIFS(ActCodesAll,$D129:$AH129,ActCat,AM$3)+COUNTIFS(ActCodesAll,$D130:$AH130,ActCat,AM$3))&gt;0)))</f>
        <v/>
      </c>
    </row>
    <row r="128" hidden="1" ht="19" customHeight="1">
      <c r="A128" s="229">
        <f>IF(Roster!$C$31="","",IF(Roster!$B$31="","#"&amp;26,Roster!$B$31&amp;""))</f>
        <v/>
      </c>
      <c r="B128" s="230" t="n"/>
      <c r="C128" s="214" t="inlineStr">
        <is>
          <t>PM</t>
        </is>
      </c>
      <c r="D128" s="231" t="n"/>
      <c r="E128" s="231" t="n"/>
      <c r="F128" s="231" t="n"/>
      <c r="G128" s="231" t="n"/>
      <c r="H128" s="231" t="n"/>
      <c r="I128" s="231" t="n"/>
      <c r="J128" s="231" t="n"/>
      <c r="K128" s="231" t="n"/>
      <c r="L128" s="231" t="n"/>
      <c r="M128" s="231" t="n"/>
      <c r="N128" s="231" t="n"/>
      <c r="O128" s="231" t="n"/>
      <c r="P128" s="231" t="n"/>
      <c r="Q128" s="231" t="n"/>
      <c r="R128" s="231" t="n"/>
      <c r="S128" s="231" t="n"/>
      <c r="T128" s="231" t="n"/>
      <c r="U128" s="231" t="n"/>
      <c r="V128" s="231" t="n"/>
      <c r="W128" s="231" t="n"/>
      <c r="X128" s="231" t="n"/>
      <c r="Y128" s="231" t="n"/>
      <c r="Z128" s="231" t="n"/>
      <c r="AA128" s="231" t="n"/>
      <c r="AB128" s="231" t="n"/>
      <c r="AC128" s="231" t="n"/>
      <c r="AD128" s="231" t="n"/>
      <c r="AE128" s="231" t="n"/>
      <c r="AF128" s="231" t="n"/>
      <c r="AG128" s="231" t="n"/>
      <c r="AH128" s="231" t="n"/>
      <c r="AI128" s="216" t="n"/>
      <c r="AJ128" s="216" t="n"/>
      <c r="AK128" s="216" t="n"/>
      <c r="AL128" s="216" t="n"/>
      <c r="AM128" s="216" t="n"/>
    </row>
    <row r="129" hidden="1" ht="19" customHeight="1">
      <c r="A129" s="229">
        <f>IF(Roster!$C$31="","",IF(Roster!$B$31="","#"&amp;26,Roster!$B$31&amp;""))</f>
        <v/>
      </c>
      <c r="B129" s="232">
        <f>IF(Roster!$C$31="","",Roster!$F$31&amp;IF(OR(Roster!$G$31="SANS",Roster!$G$31="NSMEN"),"  |  "&amp;Roster!$G$31,""))</f>
        <v/>
      </c>
      <c r="C129" s="218" t="inlineStr">
        <is>
          <t>NIGHT</t>
        </is>
      </c>
      <c r="D129" s="231" t="n"/>
      <c r="E129" s="231" t="n"/>
      <c r="F129" s="231" t="n"/>
      <c r="G129" s="231" t="n"/>
      <c r="H129" s="231" t="n"/>
      <c r="I129" s="231" t="n"/>
      <c r="J129" s="231" t="n"/>
      <c r="K129" s="231" t="n"/>
      <c r="L129" s="231" t="n"/>
      <c r="M129" s="231" t="n"/>
      <c r="N129" s="231" t="n"/>
      <c r="O129" s="231" t="n"/>
      <c r="P129" s="231" t="n"/>
      <c r="Q129" s="231" t="n"/>
      <c r="R129" s="231" t="n"/>
      <c r="S129" s="231" t="n"/>
      <c r="T129" s="231" t="n"/>
      <c r="U129" s="231" t="n"/>
      <c r="V129" s="231" t="n"/>
      <c r="W129" s="231" t="n"/>
      <c r="X129" s="231" t="n"/>
      <c r="Y129" s="231" t="n"/>
      <c r="Z129" s="231" t="n"/>
      <c r="AA129" s="231" t="n"/>
      <c r="AB129" s="231" t="n"/>
      <c r="AC129" s="231" t="n"/>
      <c r="AD129" s="231" t="n"/>
      <c r="AE129" s="231" t="n"/>
      <c r="AF129" s="231" t="n"/>
      <c r="AG129" s="231" t="n"/>
      <c r="AH129" s="231" t="n"/>
      <c r="AI129" s="216" t="n"/>
      <c r="AJ129" s="216" t="n"/>
      <c r="AK129" s="216" t="n"/>
      <c r="AL129" s="216" t="n"/>
      <c r="AM129" s="216" t="n"/>
    </row>
    <row r="130" hidden="1" ht="19" customHeight="1">
      <c r="A130" s="233">
        <f>IF(Roster!$C$31="","",IF(Roster!$B$31="","#"&amp;26,Roster!$B$31&amp;""))</f>
        <v/>
      </c>
      <c r="B130" s="234" t="n"/>
      <c r="C130" s="221" t="inlineStr">
        <is>
          <t>WD</t>
        </is>
      </c>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c r="AA130" s="222" t="n"/>
      <c r="AB130" s="222" t="n"/>
      <c r="AC130" s="222" t="n"/>
      <c r="AD130" s="222" t="n"/>
      <c r="AE130" s="222" t="n"/>
      <c r="AF130" s="222" t="n"/>
      <c r="AG130" s="222" t="n"/>
      <c r="AH130" s="222" t="n"/>
      <c r="AI130" s="223" t="n"/>
      <c r="AJ130" s="223" t="n"/>
      <c r="AK130" s="223" t="n"/>
      <c r="AL130" s="223" t="n"/>
      <c r="AM130" s="223" t="n"/>
    </row>
    <row r="131" hidden="1" ht="19" customHeight="1">
      <c r="A131" s="206">
        <f>IF(Roster!$C$32="","",IF(Roster!$B$32="","#"&amp;27,Roster!$B$32&amp;""))</f>
        <v/>
      </c>
      <c r="B131" s="207">
        <f>IF(Roster!$C$32="","",Roster!$C$32)</f>
        <v/>
      </c>
      <c r="C131" s="208" t="inlineStr">
        <is>
          <t>AM</t>
        </is>
      </c>
      <c r="D131" s="209" t="n"/>
      <c r="E131" s="209" t="n"/>
      <c r="F131" s="209" t="n"/>
      <c r="G131" s="209" t="n"/>
      <c r="H131" s="209" t="n"/>
      <c r="I131" s="209" t="n"/>
      <c r="J131" s="209" t="n"/>
      <c r="K131" s="209" t="n"/>
      <c r="L131" s="209" t="n"/>
      <c r="M131" s="209" t="n"/>
      <c r="N131" s="209" t="n"/>
      <c r="O131" s="209" t="n"/>
      <c r="P131" s="209" t="n"/>
      <c r="Q131" s="209" t="n"/>
      <c r="R131" s="209" t="n"/>
      <c r="S131" s="209" t="n"/>
      <c r="T131" s="209" t="n"/>
      <c r="U131" s="209" t="n"/>
      <c r="V131" s="209" t="n"/>
      <c r="W131" s="209" t="n"/>
      <c r="X131" s="209" t="n"/>
      <c r="Y131" s="209" t="n"/>
      <c r="Z131" s="209" t="n"/>
      <c r="AA131" s="209" t="n"/>
      <c r="AB131" s="209" t="n"/>
      <c r="AC131" s="209" t="n"/>
      <c r="AD131" s="209" t="n"/>
      <c r="AE131" s="209" t="n"/>
      <c r="AF131" s="209" t="n"/>
      <c r="AG131" s="209" t="n"/>
      <c r="AH131" s="209" t="n"/>
      <c r="AI131" s="210">
        <f>IF($A131="","",SUMPRODUCT(SUMIFS(ActSort,ActCodesAll,$D131:$AH133,ActCat,AI$3)))</f>
        <v/>
      </c>
      <c r="AJ131" s="211">
        <f>IF($A131="","",SUMPRODUCT(SUMIFS(ActHrs,ActCodesAll,$D131:$AH133,ActCat,AJ$3)))</f>
        <v/>
      </c>
      <c r="AK131" s="210">
        <f>IF($A131="","",SUMPRODUCT(--((COUNTIFS(ActCodesAll,$D131:$AH131,ActCat,AK$3)+COUNTIFS(ActCodesAll,$D132:$AH132,ActCat,AK$3)+COUNTIFS(ActCodesAll,$D133:$AH133,ActCat,AK$3)+COUNTIFS(ActCodesAll,$D134:$AH134,ActCat,AK$3))&gt;0)))</f>
        <v/>
      </c>
      <c r="AL131" s="210">
        <f>IF($A131="","",SUMPRODUCT(--((COUNTIFS(ActCodesAll,$D131:$AH131,ActCat,AL$3)+COUNTIFS(ActCodesAll,$D132:$AH132,ActCat,AL$3)+COUNTIFS(ActCodesAll,$D133:$AH133,ActCat,AL$3)+COUNTIFS(ActCodesAll,$D134:$AH134,ActCat,AL$3))&gt;0)))</f>
        <v/>
      </c>
      <c r="AM131" s="210">
        <f>IF($A131="","",SUMPRODUCT(--((COUNTIFS(ActCodesAll,$D131:$AH131,ActCat,AM$3)+COUNTIFS(ActCodesAll,$D132:$AH132,ActCat,AM$3)+COUNTIFS(ActCodesAll,$D133:$AH133,ActCat,AM$3)+COUNTIFS(ActCodesAll,$D134:$AH134,ActCat,AM$3))&gt;0)))</f>
        <v/>
      </c>
    </row>
    <row r="132" hidden="1" ht="19" customHeight="1">
      <c r="A132" s="212">
        <f>IF(Roster!$C$32="","",IF(Roster!$B$32="","#"&amp;27,Roster!$B$32&amp;""))</f>
        <v/>
      </c>
      <c r="B132" s="213" t="n"/>
      <c r="C132" s="214" t="inlineStr">
        <is>
          <t>PM</t>
        </is>
      </c>
      <c r="D132" s="215" t="n"/>
      <c r="E132" s="215" t="n"/>
      <c r="F132" s="215" t="n"/>
      <c r="G132" s="215" t="n"/>
      <c r="H132" s="215" t="n"/>
      <c r="I132" s="215" t="n"/>
      <c r="J132" s="215" t="n"/>
      <c r="K132" s="215" t="n"/>
      <c r="L132" s="215" t="n"/>
      <c r="M132" s="215" t="n"/>
      <c r="N132" s="215" t="n"/>
      <c r="O132" s="215" t="n"/>
      <c r="P132" s="215" t="n"/>
      <c r="Q132" s="215" t="n"/>
      <c r="R132" s="215" t="n"/>
      <c r="S132" s="215" t="n"/>
      <c r="T132" s="215" t="n"/>
      <c r="U132" s="215" t="n"/>
      <c r="V132" s="215" t="n"/>
      <c r="W132" s="215" t="n"/>
      <c r="X132" s="215" t="n"/>
      <c r="Y132" s="215" t="n"/>
      <c r="Z132" s="215" t="n"/>
      <c r="AA132" s="215" t="n"/>
      <c r="AB132" s="215" t="n"/>
      <c r="AC132" s="215" t="n"/>
      <c r="AD132" s="215" t="n"/>
      <c r="AE132" s="215" t="n"/>
      <c r="AF132" s="215" t="n"/>
      <c r="AG132" s="215" t="n"/>
      <c r="AH132" s="215" t="n"/>
      <c r="AI132" s="216" t="n"/>
      <c r="AJ132" s="216" t="n"/>
      <c r="AK132" s="216" t="n"/>
      <c r="AL132" s="216" t="n"/>
      <c r="AM132" s="216" t="n"/>
    </row>
    <row r="133" hidden="1" ht="19" customHeight="1">
      <c r="A133" s="212">
        <f>IF(Roster!$C$32="","",IF(Roster!$B$32="","#"&amp;27,Roster!$B$32&amp;""))</f>
        <v/>
      </c>
      <c r="B133" s="217">
        <f>IF(Roster!$C$32="","",Roster!$F$32&amp;IF(OR(Roster!$G$32="SANS",Roster!$G$32="NSMEN"),"  |  "&amp;Roster!$G$32,""))</f>
        <v/>
      </c>
      <c r="C133" s="218" t="inlineStr">
        <is>
          <t>NIGHT</t>
        </is>
      </c>
      <c r="D133" s="215" t="n"/>
      <c r="E133" s="215" t="n"/>
      <c r="F133" s="215" t="n"/>
      <c r="G133" s="215" t="n"/>
      <c r="H133" s="215" t="n"/>
      <c r="I133" s="215" t="n"/>
      <c r="J133" s="215" t="n"/>
      <c r="K133" s="215" t="n"/>
      <c r="L133" s="215" t="n"/>
      <c r="M133" s="215" t="n"/>
      <c r="N133" s="215" t="n"/>
      <c r="O133" s="215" t="n"/>
      <c r="P133" s="215" t="n"/>
      <c r="Q133" s="215" t="n"/>
      <c r="R133" s="215" t="n"/>
      <c r="S133" s="215" t="n"/>
      <c r="T133" s="215" t="n"/>
      <c r="U133" s="215" t="n"/>
      <c r="V133" s="215" t="n"/>
      <c r="W133" s="215" t="n"/>
      <c r="X133" s="215" t="n"/>
      <c r="Y133" s="215" t="n"/>
      <c r="Z133" s="215" t="n"/>
      <c r="AA133" s="215" t="n"/>
      <c r="AB133" s="215" t="n"/>
      <c r="AC133" s="215" t="n"/>
      <c r="AD133" s="215" t="n"/>
      <c r="AE133" s="215" t="n"/>
      <c r="AF133" s="215" t="n"/>
      <c r="AG133" s="215" t="n"/>
      <c r="AH133" s="215" t="n"/>
      <c r="AI133" s="216" t="n"/>
      <c r="AJ133" s="216" t="n"/>
      <c r="AK133" s="216" t="n"/>
      <c r="AL133" s="216" t="n"/>
      <c r="AM133" s="216" t="n"/>
    </row>
    <row r="134" hidden="1" ht="19" customHeight="1">
      <c r="A134" s="219">
        <f>IF(Roster!$C$32="","",IF(Roster!$B$32="","#"&amp;27,Roster!$B$32&amp;""))</f>
        <v/>
      </c>
      <c r="B134" s="220" t="n"/>
      <c r="C134" s="221" t="inlineStr">
        <is>
          <t>WD</t>
        </is>
      </c>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c r="AA134" s="222" t="n"/>
      <c r="AB134" s="222" t="n"/>
      <c r="AC134" s="222" t="n"/>
      <c r="AD134" s="222" t="n"/>
      <c r="AE134" s="222" t="n"/>
      <c r="AF134" s="222" t="n"/>
      <c r="AG134" s="222" t="n"/>
      <c r="AH134" s="222" t="n"/>
      <c r="AI134" s="223" t="n"/>
      <c r="AJ134" s="223" t="n"/>
      <c r="AK134" s="223" t="n"/>
      <c r="AL134" s="223" t="n"/>
      <c r="AM134" s="223" t="n"/>
    </row>
    <row r="135" hidden="1" ht="19" customHeight="1">
      <c r="A135" s="224">
        <f>IF(Roster!$C$33="","",IF(Roster!$B$33="","#"&amp;28,Roster!$B$33&amp;""))</f>
        <v/>
      </c>
      <c r="B135" s="225">
        <f>IF(Roster!$C$33="","",Roster!$C$33)</f>
        <v/>
      </c>
      <c r="C135" s="208" t="inlineStr">
        <is>
          <t>AM</t>
        </is>
      </c>
      <c r="D135" s="226" t="n"/>
      <c r="E135" s="226" t="n"/>
      <c r="F135" s="226" t="n"/>
      <c r="G135" s="226" t="n"/>
      <c r="H135" s="226" t="n"/>
      <c r="I135" s="226" t="n"/>
      <c r="J135" s="226" t="n"/>
      <c r="K135" s="226" t="n"/>
      <c r="L135" s="226" t="n"/>
      <c r="M135" s="226" t="n"/>
      <c r="N135" s="226" t="n"/>
      <c r="O135" s="226" t="n"/>
      <c r="P135" s="226" t="n"/>
      <c r="Q135" s="226" t="n"/>
      <c r="R135" s="226" t="n"/>
      <c r="S135" s="226" t="n"/>
      <c r="T135" s="226" t="n"/>
      <c r="U135" s="226" t="n"/>
      <c r="V135" s="226" t="n"/>
      <c r="W135" s="226" t="n"/>
      <c r="X135" s="226" t="n"/>
      <c r="Y135" s="226" t="n"/>
      <c r="Z135" s="226" t="n"/>
      <c r="AA135" s="226" t="n"/>
      <c r="AB135" s="226" t="n"/>
      <c r="AC135" s="226" t="n"/>
      <c r="AD135" s="226" t="n"/>
      <c r="AE135" s="226" t="n"/>
      <c r="AF135" s="226" t="n"/>
      <c r="AG135" s="226" t="n"/>
      <c r="AH135" s="226" t="n"/>
      <c r="AI135" s="227">
        <f>IF($A135="","",SUMPRODUCT(SUMIFS(ActSort,ActCodesAll,$D135:$AH137,ActCat,AI$3)))</f>
        <v/>
      </c>
      <c r="AJ135" s="228">
        <f>IF($A135="","",SUMPRODUCT(SUMIFS(ActHrs,ActCodesAll,$D135:$AH137,ActCat,AJ$3)))</f>
        <v/>
      </c>
      <c r="AK135" s="227">
        <f>IF($A135="","",SUMPRODUCT(--((COUNTIFS(ActCodesAll,$D135:$AH135,ActCat,AK$3)+COUNTIFS(ActCodesAll,$D136:$AH136,ActCat,AK$3)+COUNTIFS(ActCodesAll,$D137:$AH137,ActCat,AK$3)+COUNTIFS(ActCodesAll,$D138:$AH138,ActCat,AK$3))&gt;0)))</f>
        <v/>
      </c>
      <c r="AL135" s="227">
        <f>IF($A135="","",SUMPRODUCT(--((COUNTIFS(ActCodesAll,$D135:$AH135,ActCat,AL$3)+COUNTIFS(ActCodesAll,$D136:$AH136,ActCat,AL$3)+COUNTIFS(ActCodesAll,$D137:$AH137,ActCat,AL$3)+COUNTIFS(ActCodesAll,$D138:$AH138,ActCat,AL$3))&gt;0)))</f>
        <v/>
      </c>
      <c r="AM135" s="227">
        <f>IF($A135="","",SUMPRODUCT(--((COUNTIFS(ActCodesAll,$D135:$AH135,ActCat,AM$3)+COUNTIFS(ActCodesAll,$D136:$AH136,ActCat,AM$3)+COUNTIFS(ActCodesAll,$D137:$AH137,ActCat,AM$3)+COUNTIFS(ActCodesAll,$D138:$AH138,ActCat,AM$3))&gt;0)))</f>
        <v/>
      </c>
    </row>
    <row r="136" hidden="1" ht="19" customHeight="1">
      <c r="A136" s="229">
        <f>IF(Roster!$C$33="","",IF(Roster!$B$33="","#"&amp;28,Roster!$B$33&amp;""))</f>
        <v/>
      </c>
      <c r="B136" s="230" t="n"/>
      <c r="C136" s="214" t="inlineStr">
        <is>
          <t>PM</t>
        </is>
      </c>
      <c r="D136" s="231" t="n"/>
      <c r="E136" s="231" t="n"/>
      <c r="F136" s="231" t="n"/>
      <c r="G136" s="231" t="n"/>
      <c r="H136" s="231" t="n"/>
      <c r="I136" s="231" t="n"/>
      <c r="J136" s="231" t="n"/>
      <c r="K136" s="231" t="n"/>
      <c r="L136" s="231" t="n"/>
      <c r="M136" s="231" t="n"/>
      <c r="N136" s="231" t="n"/>
      <c r="O136" s="231" t="n"/>
      <c r="P136" s="231" t="n"/>
      <c r="Q136" s="231" t="n"/>
      <c r="R136" s="231" t="n"/>
      <c r="S136" s="231" t="n"/>
      <c r="T136" s="231" t="n"/>
      <c r="U136" s="231" t="n"/>
      <c r="V136" s="231" t="n"/>
      <c r="W136" s="231" t="n"/>
      <c r="X136" s="231" t="n"/>
      <c r="Y136" s="231" t="n"/>
      <c r="Z136" s="231" t="n"/>
      <c r="AA136" s="231" t="n"/>
      <c r="AB136" s="231" t="n"/>
      <c r="AC136" s="231" t="n"/>
      <c r="AD136" s="231" t="n"/>
      <c r="AE136" s="231" t="n"/>
      <c r="AF136" s="231" t="n"/>
      <c r="AG136" s="231" t="n"/>
      <c r="AH136" s="231" t="n"/>
      <c r="AI136" s="216" t="n"/>
      <c r="AJ136" s="216" t="n"/>
      <c r="AK136" s="216" t="n"/>
      <c r="AL136" s="216" t="n"/>
      <c r="AM136" s="216" t="n"/>
    </row>
    <row r="137" hidden="1" ht="19" customHeight="1">
      <c r="A137" s="229">
        <f>IF(Roster!$C$33="","",IF(Roster!$B$33="","#"&amp;28,Roster!$B$33&amp;""))</f>
        <v/>
      </c>
      <c r="B137" s="232">
        <f>IF(Roster!$C$33="","",Roster!$F$33&amp;IF(OR(Roster!$G$33="SANS",Roster!$G$33="NSMEN"),"  |  "&amp;Roster!$G$33,""))</f>
        <v/>
      </c>
      <c r="C137" s="218" t="inlineStr">
        <is>
          <t>NIGHT</t>
        </is>
      </c>
      <c r="D137" s="231" t="n"/>
      <c r="E137" s="231" t="n"/>
      <c r="F137" s="231" t="n"/>
      <c r="G137" s="231" t="n"/>
      <c r="H137" s="231" t="n"/>
      <c r="I137" s="231" t="n"/>
      <c r="J137" s="231" t="n"/>
      <c r="K137" s="231" t="n"/>
      <c r="L137" s="231" t="n"/>
      <c r="M137" s="231" t="n"/>
      <c r="N137" s="231" t="n"/>
      <c r="O137" s="231" t="n"/>
      <c r="P137" s="231" t="n"/>
      <c r="Q137" s="231" t="n"/>
      <c r="R137" s="231" t="n"/>
      <c r="S137" s="231" t="n"/>
      <c r="T137" s="231" t="n"/>
      <c r="U137" s="231" t="n"/>
      <c r="V137" s="231" t="n"/>
      <c r="W137" s="231" t="n"/>
      <c r="X137" s="231" t="n"/>
      <c r="Y137" s="231" t="n"/>
      <c r="Z137" s="231" t="n"/>
      <c r="AA137" s="231" t="n"/>
      <c r="AB137" s="231" t="n"/>
      <c r="AC137" s="231" t="n"/>
      <c r="AD137" s="231" t="n"/>
      <c r="AE137" s="231" t="n"/>
      <c r="AF137" s="231" t="n"/>
      <c r="AG137" s="231" t="n"/>
      <c r="AH137" s="231" t="n"/>
      <c r="AI137" s="216" t="n"/>
      <c r="AJ137" s="216" t="n"/>
      <c r="AK137" s="216" t="n"/>
      <c r="AL137" s="216" t="n"/>
      <c r="AM137" s="216" t="n"/>
    </row>
    <row r="138" hidden="1" ht="19" customHeight="1">
      <c r="A138" s="233">
        <f>IF(Roster!$C$33="","",IF(Roster!$B$33="","#"&amp;28,Roster!$B$33&amp;""))</f>
        <v/>
      </c>
      <c r="B138" s="234" t="n"/>
      <c r="C138" s="221" t="inlineStr">
        <is>
          <t>WD</t>
        </is>
      </c>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c r="AA138" s="222" t="n"/>
      <c r="AB138" s="222" t="n"/>
      <c r="AC138" s="222" t="n"/>
      <c r="AD138" s="222" t="n"/>
      <c r="AE138" s="222" t="n"/>
      <c r="AF138" s="222" t="n"/>
      <c r="AG138" s="222" t="n"/>
      <c r="AH138" s="222" t="n"/>
      <c r="AI138" s="223" t="n"/>
      <c r="AJ138" s="223" t="n"/>
      <c r="AK138" s="223" t="n"/>
      <c r="AL138" s="223" t="n"/>
      <c r="AM138" s="223" t="n"/>
    </row>
    <row r="139" hidden="1" ht="19" customHeight="1">
      <c r="A139" s="206">
        <f>IF(Roster!$C$34="","",IF(Roster!$B$34="","#"&amp;29,Roster!$B$34&amp;""))</f>
        <v/>
      </c>
      <c r="B139" s="207">
        <f>IF(Roster!$C$34="","",Roster!$C$34)</f>
        <v/>
      </c>
      <c r="C139" s="208" t="inlineStr">
        <is>
          <t>AM</t>
        </is>
      </c>
      <c r="D139" s="209" t="n"/>
      <c r="E139" s="209" t="n"/>
      <c r="F139" s="209" t="n"/>
      <c r="G139" s="209" t="n"/>
      <c r="H139" s="209" t="n"/>
      <c r="I139" s="209" t="n"/>
      <c r="J139" s="209" t="n"/>
      <c r="K139" s="209" t="n"/>
      <c r="L139" s="209" t="n"/>
      <c r="M139" s="209" t="n"/>
      <c r="N139" s="209" t="n"/>
      <c r="O139" s="209" t="n"/>
      <c r="P139" s="209" t="n"/>
      <c r="Q139" s="209" t="n"/>
      <c r="R139" s="209" t="n"/>
      <c r="S139" s="209" t="n"/>
      <c r="T139" s="209" t="n"/>
      <c r="U139" s="209" t="n"/>
      <c r="V139" s="209" t="n"/>
      <c r="W139" s="209" t="n"/>
      <c r="X139" s="209" t="n"/>
      <c r="Y139" s="209" t="n"/>
      <c r="Z139" s="209" t="n"/>
      <c r="AA139" s="209" t="n"/>
      <c r="AB139" s="209" t="n"/>
      <c r="AC139" s="209" t="n"/>
      <c r="AD139" s="209" t="n"/>
      <c r="AE139" s="209" t="n"/>
      <c r="AF139" s="209" t="n"/>
      <c r="AG139" s="209" t="n"/>
      <c r="AH139" s="209" t="n"/>
      <c r="AI139" s="210">
        <f>IF($A139="","",SUMPRODUCT(SUMIFS(ActSort,ActCodesAll,$D139:$AH141,ActCat,AI$3)))</f>
        <v/>
      </c>
      <c r="AJ139" s="211">
        <f>IF($A139="","",SUMPRODUCT(SUMIFS(ActHrs,ActCodesAll,$D139:$AH141,ActCat,AJ$3)))</f>
        <v/>
      </c>
      <c r="AK139" s="210">
        <f>IF($A139="","",SUMPRODUCT(--((COUNTIFS(ActCodesAll,$D139:$AH139,ActCat,AK$3)+COUNTIFS(ActCodesAll,$D140:$AH140,ActCat,AK$3)+COUNTIFS(ActCodesAll,$D141:$AH141,ActCat,AK$3)+COUNTIFS(ActCodesAll,$D142:$AH142,ActCat,AK$3))&gt;0)))</f>
        <v/>
      </c>
      <c r="AL139" s="210">
        <f>IF($A139="","",SUMPRODUCT(--((COUNTIFS(ActCodesAll,$D139:$AH139,ActCat,AL$3)+COUNTIFS(ActCodesAll,$D140:$AH140,ActCat,AL$3)+COUNTIFS(ActCodesAll,$D141:$AH141,ActCat,AL$3)+COUNTIFS(ActCodesAll,$D142:$AH142,ActCat,AL$3))&gt;0)))</f>
        <v/>
      </c>
      <c r="AM139" s="210">
        <f>IF($A139="","",SUMPRODUCT(--((COUNTIFS(ActCodesAll,$D139:$AH139,ActCat,AM$3)+COUNTIFS(ActCodesAll,$D140:$AH140,ActCat,AM$3)+COUNTIFS(ActCodesAll,$D141:$AH141,ActCat,AM$3)+COUNTIFS(ActCodesAll,$D142:$AH142,ActCat,AM$3))&gt;0)))</f>
        <v/>
      </c>
    </row>
    <row r="140" hidden="1" ht="19" customHeight="1">
      <c r="A140" s="212">
        <f>IF(Roster!$C$34="","",IF(Roster!$B$34="","#"&amp;29,Roster!$B$34&amp;""))</f>
        <v/>
      </c>
      <c r="B140" s="213" t="n"/>
      <c r="C140" s="214" t="inlineStr">
        <is>
          <t>PM</t>
        </is>
      </c>
      <c r="D140" s="215" t="n"/>
      <c r="E140" s="215" t="n"/>
      <c r="F140" s="215" t="n"/>
      <c r="G140" s="215" t="n"/>
      <c r="H140" s="215" t="n"/>
      <c r="I140" s="215" t="n"/>
      <c r="J140" s="215" t="n"/>
      <c r="K140" s="215" t="n"/>
      <c r="L140" s="215" t="n"/>
      <c r="M140" s="215" t="n"/>
      <c r="N140" s="215" t="n"/>
      <c r="O140" s="215" t="n"/>
      <c r="P140" s="215" t="n"/>
      <c r="Q140" s="215" t="n"/>
      <c r="R140" s="215" t="n"/>
      <c r="S140" s="215" t="n"/>
      <c r="T140" s="215" t="n"/>
      <c r="U140" s="215" t="n"/>
      <c r="V140" s="215" t="n"/>
      <c r="W140" s="215" t="n"/>
      <c r="X140" s="215" t="n"/>
      <c r="Y140" s="215" t="n"/>
      <c r="Z140" s="215" t="n"/>
      <c r="AA140" s="215" t="n"/>
      <c r="AB140" s="215" t="n"/>
      <c r="AC140" s="215" t="n"/>
      <c r="AD140" s="215" t="n"/>
      <c r="AE140" s="215" t="n"/>
      <c r="AF140" s="215" t="n"/>
      <c r="AG140" s="215" t="n"/>
      <c r="AH140" s="215" t="n"/>
      <c r="AI140" s="216" t="n"/>
      <c r="AJ140" s="216" t="n"/>
      <c r="AK140" s="216" t="n"/>
      <c r="AL140" s="216" t="n"/>
      <c r="AM140" s="216" t="n"/>
    </row>
    <row r="141" hidden="1" ht="19" customHeight="1">
      <c r="A141" s="212">
        <f>IF(Roster!$C$34="","",IF(Roster!$B$34="","#"&amp;29,Roster!$B$34&amp;""))</f>
        <v/>
      </c>
      <c r="B141" s="217">
        <f>IF(Roster!$C$34="","",Roster!$F$34&amp;IF(OR(Roster!$G$34="SANS",Roster!$G$34="NSMEN"),"  |  "&amp;Roster!$G$34,""))</f>
        <v/>
      </c>
      <c r="C141" s="218" t="inlineStr">
        <is>
          <t>NIGHT</t>
        </is>
      </c>
      <c r="D141" s="215" t="n"/>
      <c r="E141" s="215" t="n"/>
      <c r="F141" s="215" t="n"/>
      <c r="G141" s="215" t="n"/>
      <c r="H141" s="215" t="n"/>
      <c r="I141" s="215" t="n"/>
      <c r="J141" s="215" t="n"/>
      <c r="K141" s="215" t="n"/>
      <c r="L141" s="215" t="n"/>
      <c r="M141" s="215" t="n"/>
      <c r="N141" s="215" t="n"/>
      <c r="O141" s="215" t="n"/>
      <c r="P141" s="215" t="n"/>
      <c r="Q141" s="215" t="n"/>
      <c r="R141" s="215" t="n"/>
      <c r="S141" s="215" t="n"/>
      <c r="T141" s="215" t="n"/>
      <c r="U141" s="215" t="n"/>
      <c r="V141" s="215" t="n"/>
      <c r="W141" s="215" t="n"/>
      <c r="X141" s="215" t="n"/>
      <c r="Y141" s="215" t="n"/>
      <c r="Z141" s="215" t="n"/>
      <c r="AA141" s="215" t="n"/>
      <c r="AB141" s="215" t="n"/>
      <c r="AC141" s="215" t="n"/>
      <c r="AD141" s="215" t="n"/>
      <c r="AE141" s="215" t="n"/>
      <c r="AF141" s="215" t="n"/>
      <c r="AG141" s="215" t="n"/>
      <c r="AH141" s="215" t="n"/>
      <c r="AI141" s="216" t="n"/>
      <c r="AJ141" s="216" t="n"/>
      <c r="AK141" s="216" t="n"/>
      <c r="AL141" s="216" t="n"/>
      <c r="AM141" s="216" t="n"/>
    </row>
    <row r="142" hidden="1" ht="19" customHeight="1">
      <c r="A142" s="219">
        <f>IF(Roster!$C$34="","",IF(Roster!$B$34="","#"&amp;29,Roster!$B$34&amp;""))</f>
        <v/>
      </c>
      <c r="B142" s="220" t="n"/>
      <c r="C142" s="221" t="inlineStr">
        <is>
          <t>WD</t>
        </is>
      </c>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c r="AA142" s="222" t="n"/>
      <c r="AB142" s="222" t="n"/>
      <c r="AC142" s="222" t="n"/>
      <c r="AD142" s="222" t="n"/>
      <c r="AE142" s="222" t="n"/>
      <c r="AF142" s="222" t="n"/>
      <c r="AG142" s="222" t="n"/>
      <c r="AH142" s="222" t="n"/>
      <c r="AI142" s="223" t="n"/>
      <c r="AJ142" s="223" t="n"/>
      <c r="AK142" s="223" t="n"/>
      <c r="AL142" s="223" t="n"/>
      <c r="AM142" s="223" t="n"/>
    </row>
    <row r="143" hidden="1" ht="19" customHeight="1">
      <c r="A143" s="224">
        <f>IF(Roster!$C$35="","",IF(Roster!$B$35="","#"&amp;30,Roster!$B$35&amp;""))</f>
        <v/>
      </c>
      <c r="B143" s="225">
        <f>IF(Roster!$C$35="","",Roster!$C$35)</f>
        <v/>
      </c>
      <c r="C143" s="208" t="inlineStr">
        <is>
          <t>AM</t>
        </is>
      </c>
      <c r="D143" s="226" t="n"/>
      <c r="E143" s="226" t="n"/>
      <c r="F143" s="226" t="n"/>
      <c r="G143" s="226" t="n"/>
      <c r="H143" s="226" t="n"/>
      <c r="I143" s="226" t="n"/>
      <c r="J143" s="226" t="n"/>
      <c r="K143" s="226" t="n"/>
      <c r="L143" s="226" t="n"/>
      <c r="M143" s="226" t="n"/>
      <c r="N143" s="226" t="n"/>
      <c r="O143" s="226" t="n"/>
      <c r="P143" s="226" t="n"/>
      <c r="Q143" s="226" t="n"/>
      <c r="R143" s="226" t="n"/>
      <c r="S143" s="226" t="n"/>
      <c r="T143" s="226" t="n"/>
      <c r="U143" s="226" t="n"/>
      <c r="V143" s="226" t="n"/>
      <c r="W143" s="226" t="n"/>
      <c r="X143" s="226" t="n"/>
      <c r="Y143" s="226" t="n"/>
      <c r="Z143" s="226" t="n"/>
      <c r="AA143" s="226" t="n"/>
      <c r="AB143" s="226" t="n"/>
      <c r="AC143" s="226" t="n"/>
      <c r="AD143" s="226" t="n"/>
      <c r="AE143" s="226" t="n"/>
      <c r="AF143" s="226" t="n"/>
      <c r="AG143" s="226" t="n"/>
      <c r="AH143" s="226" t="n"/>
      <c r="AI143" s="227">
        <f>IF($A143="","",SUMPRODUCT(SUMIFS(ActSort,ActCodesAll,$D143:$AH145,ActCat,AI$3)))</f>
        <v/>
      </c>
      <c r="AJ143" s="228">
        <f>IF($A143="","",SUMPRODUCT(SUMIFS(ActHrs,ActCodesAll,$D143:$AH145,ActCat,AJ$3)))</f>
        <v/>
      </c>
      <c r="AK143" s="227">
        <f>IF($A143="","",SUMPRODUCT(--((COUNTIFS(ActCodesAll,$D143:$AH143,ActCat,AK$3)+COUNTIFS(ActCodesAll,$D144:$AH144,ActCat,AK$3)+COUNTIFS(ActCodesAll,$D145:$AH145,ActCat,AK$3)+COUNTIFS(ActCodesAll,$D146:$AH146,ActCat,AK$3))&gt;0)))</f>
        <v/>
      </c>
      <c r="AL143" s="227">
        <f>IF($A143="","",SUMPRODUCT(--((COUNTIFS(ActCodesAll,$D143:$AH143,ActCat,AL$3)+COUNTIFS(ActCodesAll,$D144:$AH144,ActCat,AL$3)+COUNTIFS(ActCodesAll,$D145:$AH145,ActCat,AL$3)+COUNTIFS(ActCodesAll,$D146:$AH146,ActCat,AL$3))&gt;0)))</f>
        <v/>
      </c>
      <c r="AM143" s="227">
        <f>IF($A143="","",SUMPRODUCT(--((COUNTIFS(ActCodesAll,$D143:$AH143,ActCat,AM$3)+COUNTIFS(ActCodesAll,$D144:$AH144,ActCat,AM$3)+COUNTIFS(ActCodesAll,$D145:$AH145,ActCat,AM$3)+COUNTIFS(ActCodesAll,$D146:$AH146,ActCat,AM$3))&gt;0)))</f>
        <v/>
      </c>
    </row>
    <row r="144" hidden="1" ht="19" customHeight="1">
      <c r="A144" s="229">
        <f>IF(Roster!$C$35="","",IF(Roster!$B$35="","#"&amp;30,Roster!$B$35&amp;""))</f>
        <v/>
      </c>
      <c r="B144" s="230" t="n"/>
      <c r="C144" s="214" t="inlineStr">
        <is>
          <t>PM</t>
        </is>
      </c>
      <c r="D144" s="231" t="n"/>
      <c r="E144" s="231" t="n"/>
      <c r="F144" s="231" t="n"/>
      <c r="G144" s="231" t="n"/>
      <c r="H144" s="231" t="n"/>
      <c r="I144" s="231" t="n"/>
      <c r="J144" s="231" t="n"/>
      <c r="K144" s="231" t="n"/>
      <c r="L144" s="231" t="n"/>
      <c r="M144" s="231" t="n"/>
      <c r="N144" s="231" t="n"/>
      <c r="O144" s="231" t="n"/>
      <c r="P144" s="231" t="n"/>
      <c r="Q144" s="231" t="n"/>
      <c r="R144" s="231" t="n"/>
      <c r="S144" s="231" t="n"/>
      <c r="T144" s="231" t="n"/>
      <c r="U144" s="231" t="n"/>
      <c r="V144" s="231" t="n"/>
      <c r="W144" s="231" t="n"/>
      <c r="X144" s="231" t="n"/>
      <c r="Y144" s="231" t="n"/>
      <c r="Z144" s="231" t="n"/>
      <c r="AA144" s="231" t="n"/>
      <c r="AB144" s="231" t="n"/>
      <c r="AC144" s="231" t="n"/>
      <c r="AD144" s="231" t="n"/>
      <c r="AE144" s="231" t="n"/>
      <c r="AF144" s="231" t="n"/>
      <c r="AG144" s="231" t="n"/>
      <c r="AH144" s="231" t="n"/>
      <c r="AI144" s="216" t="n"/>
      <c r="AJ144" s="216" t="n"/>
      <c r="AK144" s="216" t="n"/>
      <c r="AL144" s="216" t="n"/>
      <c r="AM144" s="216" t="n"/>
    </row>
    <row r="145" hidden="1" ht="19" customHeight="1">
      <c r="A145" s="229">
        <f>IF(Roster!$C$35="","",IF(Roster!$B$35="","#"&amp;30,Roster!$B$35&amp;""))</f>
        <v/>
      </c>
      <c r="B145" s="232">
        <f>IF(Roster!$C$35="","",Roster!$F$35&amp;IF(OR(Roster!$G$35="SANS",Roster!$G$35="NSMEN"),"  |  "&amp;Roster!$G$35,""))</f>
        <v/>
      </c>
      <c r="C145" s="218" t="inlineStr">
        <is>
          <t>NIGHT</t>
        </is>
      </c>
      <c r="D145" s="231" t="n"/>
      <c r="E145" s="231" t="n"/>
      <c r="F145" s="231" t="n"/>
      <c r="G145" s="231" t="n"/>
      <c r="H145" s="231" t="n"/>
      <c r="I145" s="231" t="n"/>
      <c r="J145" s="231" t="n"/>
      <c r="K145" s="231" t="n"/>
      <c r="L145" s="231" t="n"/>
      <c r="M145" s="231" t="n"/>
      <c r="N145" s="231" t="n"/>
      <c r="O145" s="231" t="n"/>
      <c r="P145" s="231" t="n"/>
      <c r="Q145" s="231" t="n"/>
      <c r="R145" s="231" t="n"/>
      <c r="S145" s="231" t="n"/>
      <c r="T145" s="231" t="n"/>
      <c r="U145" s="231" t="n"/>
      <c r="V145" s="231" t="n"/>
      <c r="W145" s="231" t="n"/>
      <c r="X145" s="231" t="n"/>
      <c r="Y145" s="231" t="n"/>
      <c r="Z145" s="231" t="n"/>
      <c r="AA145" s="231" t="n"/>
      <c r="AB145" s="231" t="n"/>
      <c r="AC145" s="231" t="n"/>
      <c r="AD145" s="231" t="n"/>
      <c r="AE145" s="231" t="n"/>
      <c r="AF145" s="231" t="n"/>
      <c r="AG145" s="231" t="n"/>
      <c r="AH145" s="231" t="n"/>
      <c r="AI145" s="216" t="n"/>
      <c r="AJ145" s="216" t="n"/>
      <c r="AK145" s="216" t="n"/>
      <c r="AL145" s="216" t="n"/>
      <c r="AM145" s="216" t="n"/>
    </row>
    <row r="146" hidden="1" ht="19" customHeight="1">
      <c r="A146" s="233">
        <f>IF(Roster!$C$35="","",IF(Roster!$B$35="","#"&amp;30,Roster!$B$35&amp;""))</f>
        <v/>
      </c>
      <c r="B146" s="234" t="n"/>
      <c r="C146" s="221" t="inlineStr">
        <is>
          <t>WD</t>
        </is>
      </c>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c r="AA146" s="222" t="n"/>
      <c r="AB146" s="222" t="n"/>
      <c r="AC146" s="222" t="n"/>
      <c r="AD146" s="222" t="n"/>
      <c r="AE146" s="222" t="n"/>
      <c r="AF146" s="222" t="n"/>
      <c r="AG146" s="222" t="n"/>
      <c r="AH146" s="222" t="n"/>
      <c r="AI146" s="223" t="n"/>
      <c r="AJ146" s="223" t="n"/>
      <c r="AK146" s="223" t="n"/>
      <c r="AL146" s="223" t="n"/>
      <c r="AM146" s="223" t="n"/>
    </row>
    <row r="147" hidden="1" ht="19" customHeight="1">
      <c r="A147" s="206">
        <f>IF(Roster!$C$36="","",IF(Roster!$B$36="","#"&amp;31,Roster!$B$36&amp;""))</f>
        <v/>
      </c>
      <c r="B147" s="207">
        <f>IF(Roster!$C$36="","",Roster!$C$36)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IF($A147="","",SUMPRODUCT(--((COUNTIFS(ActCodesAll,$D147:$AH147,ActCat,AK$3)+COUNTIFS(ActCodesAll,$D148:$AH148,ActCat,AK$3)+COUNTIFS(ActCodesAll,$D149:$AH149,ActCat,AK$3)+COUNTIFS(ActCodesAll,$D150:$AH150,ActCat,AK$3))&gt;0)))</f>
        <v/>
      </c>
      <c r="AL147" s="210">
        <f>IF($A147="","",SUMPRODUCT(--((COUNTIFS(ActCodesAll,$D147:$AH147,ActCat,AL$3)+COUNTIFS(ActCodesAll,$D148:$AH148,ActCat,AL$3)+COUNTIFS(ActCodesAll,$D149:$AH149,ActCat,AL$3)+COUNTIFS(ActCodesAll,$D150:$AH150,ActCat,AL$3))&gt;0)))</f>
        <v/>
      </c>
      <c r="AM147" s="210">
        <f>IF($A147="","",SUMPRODUCT(--((COUNTIFS(ActCodesAll,$D147:$AH147,ActCat,AM$3)+COUNTIFS(ActCodesAll,$D148:$AH148,ActCat,AM$3)+COUNTIFS(ActCodesAll,$D149:$AH149,ActCat,AM$3)+COUNTIFS(ActCodesAll,$D150:$AH150,ActCat,AM$3))&gt;0)))</f>
        <v/>
      </c>
    </row>
    <row r="148" hidden="1" ht="19" customHeight="1">
      <c r="A148" s="212">
        <f>IF(Roster!$C$36="","",IF(Roster!$B$36="","#"&amp;31,Roster!$B$36&amp;""))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2">
        <f>IF(Roster!$C$36="","",IF(Roster!$B$36="","#"&amp;31,Roster!$B$36&amp;""))</f>
        <v/>
      </c>
      <c r="B149" s="217">
        <f>IF(Roster!$C$36="","",Roster!$F$36&amp;IF(OR(Roster!$G$36="SANS",Roster!$G$36="NSMEN"),"  |  "&amp;Roster!$G$36,""))</f>
        <v/>
      </c>
      <c r="C149" s="218" t="inlineStr">
        <is>
          <t>NIGHT</t>
        </is>
      </c>
      <c r="D149" s="215" t="n"/>
      <c r="E149" s="215" t="n"/>
      <c r="F149" s="215" t="n"/>
      <c r="G149" s="215" t="n"/>
      <c r="H149" s="215" t="n"/>
      <c r="I149" s="215" t="n"/>
      <c r="J149" s="215" t="n"/>
      <c r="K149" s="215" t="n"/>
      <c r="L149" s="215" t="n"/>
      <c r="M149" s="215" t="n"/>
      <c r="N149" s="215" t="n"/>
      <c r="O149" s="215" t="n"/>
      <c r="P149" s="215" t="n"/>
      <c r="Q149" s="215" t="n"/>
      <c r="R149" s="215" t="n"/>
      <c r="S149" s="215" t="n"/>
      <c r="T149" s="215" t="n"/>
      <c r="U149" s="215" t="n"/>
      <c r="V149" s="215" t="n"/>
      <c r="W149" s="215" t="n"/>
      <c r="X149" s="215" t="n"/>
      <c r="Y149" s="215" t="n"/>
      <c r="Z149" s="215" t="n"/>
      <c r="AA149" s="215" t="n"/>
      <c r="AB149" s="215" t="n"/>
      <c r="AC149" s="215" t="n"/>
      <c r="AD149" s="215" t="n"/>
      <c r="AE149" s="215" t="n"/>
      <c r="AF149" s="215" t="n"/>
      <c r="AG149" s="215" t="n"/>
      <c r="AH149" s="215" t="n"/>
      <c r="AI149" s="216" t="n"/>
      <c r="AJ149" s="216" t="n"/>
      <c r="AK149" s="216" t="n"/>
      <c r="AL149" s="216" t="n"/>
      <c r="AM149" s="216" t="n"/>
    </row>
    <row r="150" hidden="1" ht="19" customHeight="1">
      <c r="A150" s="219">
        <f>IF(Roster!$C$36="","",IF(Roster!$B$36="","#"&amp;31,Roster!$B$36&amp;""))</f>
        <v/>
      </c>
      <c r="B150" s="220" t="n"/>
      <c r="C150" s="221" t="inlineStr">
        <is>
          <t>WD</t>
        </is>
      </c>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c r="AA150" s="222" t="n"/>
      <c r="AB150" s="222" t="n"/>
      <c r="AC150" s="222" t="n"/>
      <c r="AD150" s="222" t="n"/>
      <c r="AE150" s="222" t="n"/>
      <c r="AF150" s="222" t="n"/>
      <c r="AG150" s="222" t="n"/>
      <c r="AH150" s="222" t="n"/>
      <c r="AI150" s="223" t="n"/>
      <c r="AJ150" s="223" t="n"/>
      <c r="AK150" s="223" t="n"/>
      <c r="AL150" s="223" t="n"/>
      <c r="AM150" s="223" t="n"/>
    </row>
    <row r="151" hidden="1" ht="19" customHeight="1">
      <c r="A151" s="224">
        <f>IF(Roster!$C$37="","",IF(Roster!$B$37="","#"&amp;32,Roster!$B$37&amp;""))</f>
        <v/>
      </c>
      <c r="B151" s="225">
        <f>IF(Roster!$C$37="","",Roster!$C$37)</f>
        <v/>
      </c>
      <c r="C151" s="208" t="inlineStr">
        <is>
          <t>AM</t>
        </is>
      </c>
      <c r="D151" s="226" t="n"/>
      <c r="E151" s="226" t="n"/>
      <c r="F151" s="226" t="n"/>
      <c r="G151" s="226" t="n"/>
      <c r="H151" s="226" t="n"/>
      <c r="I151" s="226" t="n"/>
      <c r="J151" s="226" t="n"/>
      <c r="K151" s="226" t="n"/>
      <c r="L151" s="226" t="n"/>
      <c r="M151" s="226" t="n"/>
      <c r="N151" s="226" t="n"/>
      <c r="O151" s="226" t="n"/>
      <c r="P151" s="226" t="n"/>
      <c r="Q151" s="226" t="n"/>
      <c r="R151" s="226" t="n"/>
      <c r="S151" s="226" t="n"/>
      <c r="T151" s="226" t="n"/>
      <c r="U151" s="226" t="n"/>
      <c r="V151" s="226" t="n"/>
      <c r="W151" s="226" t="n"/>
      <c r="X151" s="226" t="n"/>
      <c r="Y151" s="226" t="n"/>
      <c r="Z151" s="226" t="n"/>
      <c r="AA151" s="226" t="n"/>
      <c r="AB151" s="226" t="n"/>
      <c r="AC151" s="226" t="n"/>
      <c r="AD151" s="226" t="n"/>
      <c r="AE151" s="226" t="n"/>
      <c r="AF151" s="226" t="n"/>
      <c r="AG151" s="226" t="n"/>
      <c r="AH151" s="226" t="n"/>
      <c r="AI151" s="227">
        <f>IF($A151="","",SUMPRODUCT(SUMIFS(ActSort,ActCodesAll,$D151:$AH153,ActCat,AI$3)))</f>
        <v/>
      </c>
      <c r="AJ151" s="228">
        <f>IF($A151="","",SUMPRODUCT(SUMIFS(ActHrs,ActCodesAll,$D151:$AH153,ActCat,AJ$3)))</f>
        <v/>
      </c>
      <c r="AK151" s="227">
        <f>IF($A151="","",SUMPRODUCT(--((COUNTIFS(ActCodesAll,$D151:$AH151,ActCat,AK$3)+COUNTIFS(ActCodesAll,$D152:$AH152,ActCat,AK$3)+COUNTIFS(ActCodesAll,$D153:$AH153,ActCat,AK$3)+COUNTIFS(ActCodesAll,$D154:$AH154,ActCat,AK$3))&gt;0)))</f>
        <v/>
      </c>
      <c r="AL151" s="227">
        <f>IF($A151="","",SUMPRODUCT(--((COUNTIFS(ActCodesAll,$D151:$AH151,ActCat,AL$3)+COUNTIFS(ActCodesAll,$D152:$AH152,ActCat,AL$3)+COUNTIFS(ActCodesAll,$D153:$AH153,ActCat,AL$3)+COUNTIFS(ActCodesAll,$D154:$AH154,ActCat,AL$3))&gt;0)))</f>
        <v/>
      </c>
      <c r="AM151" s="227">
        <f>IF($A151="","",SUMPRODUCT(--((COUNTIFS(ActCodesAll,$D151:$AH151,ActCat,AM$3)+COUNTIFS(ActCodesAll,$D152:$AH152,ActCat,AM$3)+COUNTIFS(ActCodesAll,$D153:$AH153,ActCat,AM$3)+COUNTIFS(ActCodesAll,$D154:$AH154,ActCat,AM$3))&gt;0)))</f>
        <v/>
      </c>
    </row>
    <row r="152" hidden="1" ht="19" customHeight="1">
      <c r="A152" s="229">
        <f>IF(Roster!$C$37="","",IF(Roster!$B$37="","#"&amp;32,Roster!$B$37&amp;""))</f>
        <v/>
      </c>
      <c r="B152" s="230" t="n"/>
      <c r="C152" s="214" t="inlineStr">
        <is>
          <t>PM</t>
        </is>
      </c>
      <c r="D152" s="231" t="n"/>
      <c r="E152" s="231" t="n"/>
      <c r="F152" s="231" t="n"/>
      <c r="G152" s="231" t="n"/>
      <c r="H152" s="231" t="n"/>
      <c r="I152" s="231" t="n"/>
      <c r="J152" s="231" t="n"/>
      <c r="K152" s="231" t="n"/>
      <c r="L152" s="231" t="n"/>
      <c r="M152" s="231" t="n"/>
      <c r="N152" s="231" t="n"/>
      <c r="O152" s="231" t="n"/>
      <c r="P152" s="231" t="n"/>
      <c r="Q152" s="231" t="n"/>
      <c r="R152" s="231" t="n"/>
      <c r="S152" s="231" t="n"/>
      <c r="T152" s="231" t="n"/>
      <c r="U152" s="231" t="n"/>
      <c r="V152" s="231" t="n"/>
      <c r="W152" s="231" t="n"/>
      <c r="X152" s="231" t="n"/>
      <c r="Y152" s="231" t="n"/>
      <c r="Z152" s="231" t="n"/>
      <c r="AA152" s="231" t="n"/>
      <c r="AB152" s="231" t="n"/>
      <c r="AC152" s="231" t="n"/>
      <c r="AD152" s="231" t="n"/>
      <c r="AE152" s="231" t="n"/>
      <c r="AF152" s="231" t="n"/>
      <c r="AG152" s="231" t="n"/>
      <c r="AH152" s="231" t="n"/>
      <c r="AI152" s="216" t="n"/>
      <c r="AJ152" s="216" t="n"/>
      <c r="AK152" s="216" t="n"/>
      <c r="AL152" s="216" t="n"/>
      <c r="AM152" s="216" t="n"/>
    </row>
    <row r="153" hidden="1" ht="19" customHeight="1">
      <c r="A153" s="229">
        <f>IF(Roster!$C$37="","",IF(Roster!$B$37="","#"&amp;32,Roster!$B$37&amp;""))</f>
        <v/>
      </c>
      <c r="B153" s="232">
        <f>IF(Roster!$C$37="","",Roster!$F$37&amp;IF(OR(Roster!$G$37="SANS",Roster!$G$37="NSMEN"),"  |  "&amp;Roster!$G$37,""))</f>
        <v/>
      </c>
      <c r="C153" s="218" t="inlineStr">
        <is>
          <t>NIGHT</t>
        </is>
      </c>
      <c r="D153" s="231" t="n"/>
      <c r="E153" s="231" t="n"/>
      <c r="F153" s="231" t="n"/>
      <c r="G153" s="231" t="n"/>
      <c r="H153" s="231" t="n"/>
      <c r="I153" s="231" t="n"/>
      <c r="J153" s="231" t="n"/>
      <c r="K153" s="231" t="n"/>
      <c r="L153" s="231" t="n"/>
      <c r="M153" s="231" t="n"/>
      <c r="N153" s="231" t="n"/>
      <c r="O153" s="231" t="n"/>
      <c r="P153" s="231" t="n"/>
      <c r="Q153" s="231" t="n"/>
      <c r="R153" s="231" t="n"/>
      <c r="S153" s="231" t="n"/>
      <c r="T153" s="231" t="n"/>
      <c r="U153" s="231" t="n"/>
      <c r="V153" s="231" t="n"/>
      <c r="W153" s="231" t="n"/>
      <c r="X153" s="231" t="n"/>
      <c r="Y153" s="231" t="n"/>
      <c r="Z153" s="231" t="n"/>
      <c r="AA153" s="231" t="n"/>
      <c r="AB153" s="231" t="n"/>
      <c r="AC153" s="231" t="n"/>
      <c r="AD153" s="231" t="n"/>
      <c r="AE153" s="231" t="n"/>
      <c r="AF153" s="231" t="n"/>
      <c r="AG153" s="231" t="n"/>
      <c r="AH153" s="231" t="n"/>
      <c r="AI153" s="216" t="n"/>
      <c r="AJ153" s="216" t="n"/>
      <c r="AK153" s="216" t="n"/>
      <c r="AL153" s="216" t="n"/>
      <c r="AM153" s="216" t="n"/>
    </row>
    <row r="154" hidden="1" ht="19" customHeight="1">
      <c r="A154" s="233">
        <f>IF(Roster!$C$37="","",IF(Roster!$B$37="","#"&amp;32,Roster!$B$37&amp;""))</f>
        <v/>
      </c>
      <c r="B154" s="234" t="n"/>
      <c r="C154" s="221" t="inlineStr">
        <is>
          <t>WD</t>
        </is>
      </c>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c r="AA154" s="222" t="n"/>
      <c r="AB154" s="222" t="n"/>
      <c r="AC154" s="222" t="n"/>
      <c r="AD154" s="222" t="n"/>
      <c r="AE154" s="222" t="n"/>
      <c r="AF154" s="222" t="n"/>
      <c r="AG154" s="222" t="n"/>
      <c r="AH154" s="222" t="n"/>
      <c r="AI154" s="223" t="n"/>
      <c r="AJ154" s="223" t="n"/>
      <c r="AK154" s="223" t="n"/>
      <c r="AL154" s="223" t="n"/>
      <c r="AM154" s="223" t="n"/>
    </row>
    <row r="155" hidden="1" ht="19" customHeight="1">
      <c r="A155" s="206">
        <f>IF(Roster!$C$38="","",IF(Roster!$B$38="","#"&amp;33,Roster!$B$38&amp;""))</f>
        <v/>
      </c>
      <c r="B155" s="207">
        <f>IF(Roster!$C$38="","",Roster!$C$38)</f>
        <v/>
      </c>
      <c r="C155" s="208" t="inlineStr">
        <is>
          <t>AM</t>
        </is>
      </c>
      <c r="D155" s="209" t="n"/>
      <c r="E155" s="209" t="n"/>
      <c r="F155" s="209" t="n"/>
      <c r="G155" s="209" t="n"/>
      <c r="H155" s="209" t="n"/>
      <c r="I155" s="209" t="n"/>
      <c r="J155" s="209" t="n"/>
      <c r="K155" s="209" t="n"/>
      <c r="L155" s="209" t="n"/>
      <c r="M155" s="209" t="n"/>
      <c r="N155" s="209" t="n"/>
      <c r="O155" s="209" t="n"/>
      <c r="P155" s="209" t="n"/>
      <c r="Q155" s="209" t="n"/>
      <c r="R155" s="209" t="n"/>
      <c r="S155" s="209" t="n"/>
      <c r="T155" s="209" t="n"/>
      <c r="U155" s="209" t="n"/>
      <c r="V155" s="209" t="n"/>
      <c r="W155" s="209" t="n"/>
      <c r="X155" s="209" t="n"/>
      <c r="Y155" s="209" t="n"/>
      <c r="Z155" s="209" t="n"/>
      <c r="AA155" s="209" t="n"/>
      <c r="AB155" s="209" t="n"/>
      <c r="AC155" s="209" t="n"/>
      <c r="AD155" s="209" t="n"/>
      <c r="AE155" s="209" t="n"/>
      <c r="AF155" s="209" t="n"/>
      <c r="AG155" s="209" t="n"/>
      <c r="AH155" s="209" t="n"/>
      <c r="AI155" s="210">
        <f>IF($A155="","",SUMPRODUCT(SUMIFS(ActSort,ActCodesAll,$D155:$AH157,ActCat,AI$3)))</f>
        <v/>
      </c>
      <c r="AJ155" s="211">
        <f>IF($A155="","",SUMPRODUCT(SUMIFS(ActHrs,ActCodesAll,$D155:$AH157,ActCat,AJ$3)))</f>
        <v/>
      </c>
      <c r="AK155" s="210">
        <f>IF($A155="","",SUMPRODUCT(--((COUNTIFS(ActCodesAll,$D155:$AH155,ActCat,AK$3)+COUNTIFS(ActCodesAll,$D156:$AH156,ActCat,AK$3)+COUNTIFS(ActCodesAll,$D157:$AH157,ActCat,AK$3)+COUNTIFS(ActCodesAll,$D158:$AH158,ActCat,AK$3))&gt;0)))</f>
        <v/>
      </c>
      <c r="AL155" s="210">
        <f>IF($A155="","",SUMPRODUCT(--((COUNTIFS(ActCodesAll,$D155:$AH155,ActCat,AL$3)+COUNTIFS(ActCodesAll,$D156:$AH156,ActCat,AL$3)+COUNTIFS(ActCodesAll,$D157:$AH157,ActCat,AL$3)+COUNTIFS(ActCodesAll,$D158:$AH158,ActCat,AL$3))&gt;0)))</f>
        <v/>
      </c>
      <c r="AM155" s="210">
        <f>IF($A155="","",SUMPRODUCT(--((COUNTIFS(ActCodesAll,$D155:$AH155,ActCat,AM$3)+COUNTIFS(ActCodesAll,$D156:$AH156,ActCat,AM$3)+COUNTIFS(ActCodesAll,$D157:$AH157,ActCat,AM$3)+COUNTIFS(ActCodesAll,$D158:$AH158,ActCat,AM$3))&gt;0)))</f>
        <v/>
      </c>
    </row>
    <row r="156" hidden="1" ht="19" customHeight="1">
      <c r="A156" s="212">
        <f>IF(Roster!$C$38="","",IF(Roster!$B$38="","#"&amp;33,Roster!$B$38&amp;""))</f>
        <v/>
      </c>
      <c r="B156" s="213" t="n"/>
      <c r="C156" s="214" t="inlineStr">
        <is>
          <t>PM</t>
        </is>
      </c>
      <c r="D156" s="215" t="n"/>
      <c r="E156" s="215" t="n"/>
      <c r="F156" s="215" t="n"/>
      <c r="G156" s="215" t="n"/>
      <c r="H156" s="215" t="n"/>
      <c r="I156" s="215" t="n"/>
      <c r="J156" s="215" t="n"/>
      <c r="K156" s="215" t="n"/>
      <c r="L156" s="215" t="n"/>
      <c r="M156" s="215" t="n"/>
      <c r="N156" s="215" t="n"/>
      <c r="O156" s="215" t="n"/>
      <c r="P156" s="215" t="n"/>
      <c r="Q156" s="215" t="n"/>
      <c r="R156" s="215" t="n"/>
      <c r="S156" s="215" t="n"/>
      <c r="T156" s="215" t="n"/>
      <c r="U156" s="215" t="n"/>
      <c r="V156" s="215" t="n"/>
      <c r="W156" s="215" t="n"/>
      <c r="X156" s="215" t="n"/>
      <c r="Y156" s="215" t="n"/>
      <c r="Z156" s="215" t="n"/>
      <c r="AA156" s="215" t="n"/>
      <c r="AB156" s="215" t="n"/>
      <c r="AC156" s="215" t="n"/>
      <c r="AD156" s="215" t="n"/>
      <c r="AE156" s="215" t="n"/>
      <c r="AF156" s="215" t="n"/>
      <c r="AG156" s="215" t="n"/>
      <c r="AH156" s="215" t="n"/>
      <c r="AI156" s="216" t="n"/>
      <c r="AJ156" s="216" t="n"/>
      <c r="AK156" s="216" t="n"/>
      <c r="AL156" s="216" t="n"/>
      <c r="AM156" s="216" t="n"/>
    </row>
    <row r="157" hidden="1" ht="19" customHeight="1">
      <c r="A157" s="212">
        <f>IF(Roster!$C$38="","",IF(Roster!$B$38="","#"&amp;33,Roster!$B$38&amp;""))</f>
        <v/>
      </c>
      <c r="B157" s="217">
        <f>IF(Roster!$C$38="","",Roster!$F$38&amp;IF(OR(Roster!$G$38="SANS",Roster!$G$38="NSMEN"),"  |  "&amp;Roster!$G$38,""))</f>
        <v/>
      </c>
      <c r="C157" s="218" t="inlineStr">
        <is>
          <t>NIGHT</t>
        </is>
      </c>
      <c r="D157" s="215" t="n"/>
      <c r="E157" s="215" t="n"/>
      <c r="F157" s="215" t="n"/>
      <c r="G157" s="215" t="n"/>
      <c r="H157" s="215" t="n"/>
      <c r="I157" s="215" t="n"/>
      <c r="J157" s="215" t="n"/>
      <c r="K157" s="215" t="n"/>
      <c r="L157" s="215" t="n"/>
      <c r="M157" s="215" t="n"/>
      <c r="N157" s="215" t="n"/>
      <c r="O157" s="215" t="n"/>
      <c r="P157" s="215" t="n"/>
      <c r="Q157" s="215" t="n"/>
      <c r="R157" s="215" t="n"/>
      <c r="S157" s="215" t="n"/>
      <c r="T157" s="215" t="n"/>
      <c r="U157" s="215" t="n"/>
      <c r="V157" s="215" t="n"/>
      <c r="W157" s="215" t="n"/>
      <c r="X157" s="215" t="n"/>
      <c r="Y157" s="215" t="n"/>
      <c r="Z157" s="215" t="n"/>
      <c r="AA157" s="215" t="n"/>
      <c r="AB157" s="215" t="n"/>
      <c r="AC157" s="215" t="n"/>
      <c r="AD157" s="215" t="n"/>
      <c r="AE157" s="215" t="n"/>
      <c r="AF157" s="215" t="n"/>
      <c r="AG157" s="215" t="n"/>
      <c r="AH157" s="215" t="n"/>
      <c r="AI157" s="216" t="n"/>
      <c r="AJ157" s="216" t="n"/>
      <c r="AK157" s="216" t="n"/>
      <c r="AL157" s="216" t="n"/>
      <c r="AM157" s="216" t="n"/>
    </row>
    <row r="158" hidden="1" ht="19" customHeight="1">
      <c r="A158" s="219">
        <f>IF(Roster!$C$38="","",IF(Roster!$B$38="","#"&amp;33,Roster!$B$38&amp;""))</f>
        <v/>
      </c>
      <c r="B158" s="220" t="n"/>
      <c r="C158" s="221" t="inlineStr">
        <is>
          <t>WD</t>
        </is>
      </c>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c r="AA158" s="222" t="n"/>
      <c r="AB158" s="222" t="n"/>
      <c r="AC158" s="222" t="n"/>
      <c r="AD158" s="222" t="n"/>
      <c r="AE158" s="222" t="n"/>
      <c r="AF158" s="222" t="n"/>
      <c r="AG158" s="222" t="n"/>
      <c r="AH158" s="222" t="n"/>
      <c r="AI158" s="223" t="n"/>
      <c r="AJ158" s="223" t="n"/>
      <c r="AK158" s="223" t="n"/>
      <c r="AL158" s="223" t="n"/>
      <c r="AM158" s="223" t="n"/>
    </row>
    <row r="159" hidden="1" ht="19" customHeight="1">
      <c r="A159" s="224">
        <f>IF(Roster!$C$39="","",IF(Roster!$B$39="","#"&amp;34,Roster!$B$39&amp;""))</f>
        <v/>
      </c>
      <c r="B159" s="225">
        <f>IF(Roster!$C$39="","",Roster!$C$39)</f>
        <v/>
      </c>
      <c r="C159" s="208" t="inlineStr">
        <is>
          <t>AM</t>
        </is>
      </c>
      <c r="D159" s="226" t="n"/>
      <c r="E159" s="226" t="n"/>
      <c r="F159" s="226" t="n"/>
      <c r="G159" s="226" t="n"/>
      <c r="H159" s="226" t="n"/>
      <c r="I159" s="226" t="n"/>
      <c r="J159" s="226" t="n"/>
      <c r="K159" s="226" t="n"/>
      <c r="L159" s="226" t="n"/>
      <c r="M159" s="226" t="n"/>
      <c r="N159" s="226" t="n"/>
      <c r="O159" s="226" t="n"/>
      <c r="P159" s="226" t="n"/>
      <c r="Q159" s="226" t="n"/>
      <c r="R159" s="226" t="n"/>
      <c r="S159" s="226" t="n"/>
      <c r="T159" s="226" t="n"/>
      <c r="U159" s="226" t="n"/>
      <c r="V159" s="226" t="n"/>
      <c r="W159" s="226" t="n"/>
      <c r="X159" s="226" t="n"/>
      <c r="Y159" s="226" t="n"/>
      <c r="Z159" s="226" t="n"/>
      <c r="AA159" s="226" t="n"/>
      <c r="AB159" s="226" t="n"/>
      <c r="AC159" s="226" t="n"/>
      <c r="AD159" s="226" t="n"/>
      <c r="AE159" s="226" t="n"/>
      <c r="AF159" s="226" t="n"/>
      <c r="AG159" s="226" t="n"/>
      <c r="AH159" s="226" t="n"/>
      <c r="AI159" s="227">
        <f>IF($A159="","",SUMPRODUCT(SUMIFS(ActSort,ActCodesAll,$D159:$AH161,ActCat,AI$3)))</f>
        <v/>
      </c>
      <c r="AJ159" s="228">
        <f>IF($A159="","",SUMPRODUCT(SUMIFS(ActHrs,ActCodesAll,$D159:$AH161,ActCat,AJ$3)))</f>
        <v/>
      </c>
      <c r="AK159" s="227">
        <f>IF($A159="","",SUMPRODUCT(--((COUNTIFS(ActCodesAll,$D159:$AH159,ActCat,AK$3)+COUNTIFS(ActCodesAll,$D160:$AH160,ActCat,AK$3)+COUNTIFS(ActCodesAll,$D161:$AH161,ActCat,AK$3)+COUNTIFS(ActCodesAll,$D162:$AH162,ActCat,AK$3))&gt;0)))</f>
        <v/>
      </c>
      <c r="AL159" s="227">
        <f>IF($A159="","",SUMPRODUCT(--((COUNTIFS(ActCodesAll,$D159:$AH159,ActCat,AL$3)+COUNTIFS(ActCodesAll,$D160:$AH160,ActCat,AL$3)+COUNTIFS(ActCodesAll,$D161:$AH161,ActCat,AL$3)+COUNTIFS(ActCodesAll,$D162:$AH162,ActCat,AL$3))&gt;0)))</f>
        <v/>
      </c>
      <c r="AM159" s="227">
        <f>IF($A159="","",SUMPRODUCT(--((COUNTIFS(ActCodesAll,$D159:$AH159,ActCat,AM$3)+COUNTIFS(ActCodesAll,$D160:$AH160,ActCat,AM$3)+COUNTIFS(ActCodesAll,$D161:$AH161,ActCat,AM$3)+COUNTIFS(ActCodesAll,$D162:$AH162,ActCat,AM$3))&gt;0)))</f>
        <v/>
      </c>
    </row>
    <row r="160" hidden="1" ht="19" customHeight="1">
      <c r="A160" s="229">
        <f>IF(Roster!$C$39="","",IF(Roster!$B$39="","#"&amp;34,Roster!$B$39&amp;""))</f>
        <v/>
      </c>
      <c r="B160" s="230" t="n"/>
      <c r="C160" s="214" t="inlineStr">
        <is>
          <t>PM</t>
        </is>
      </c>
      <c r="D160" s="231" t="n"/>
      <c r="E160" s="231" t="n"/>
      <c r="F160" s="231" t="n"/>
      <c r="G160" s="231" t="n"/>
      <c r="H160" s="231" t="n"/>
      <c r="I160" s="231" t="n"/>
      <c r="J160" s="231" t="n"/>
      <c r="K160" s="231" t="n"/>
      <c r="L160" s="231" t="n"/>
      <c r="M160" s="231" t="n"/>
      <c r="N160" s="231" t="n"/>
      <c r="O160" s="231" t="n"/>
      <c r="P160" s="231" t="n"/>
      <c r="Q160" s="231" t="n"/>
      <c r="R160" s="231" t="n"/>
      <c r="S160" s="231" t="n"/>
      <c r="T160" s="231" t="n"/>
      <c r="U160" s="231" t="n"/>
      <c r="V160" s="231" t="n"/>
      <c r="W160" s="231" t="n"/>
      <c r="X160" s="231" t="n"/>
      <c r="Y160" s="231" t="n"/>
      <c r="Z160" s="231" t="n"/>
      <c r="AA160" s="231" t="n"/>
      <c r="AB160" s="231" t="n"/>
      <c r="AC160" s="231" t="n"/>
      <c r="AD160" s="231" t="n"/>
      <c r="AE160" s="231" t="n"/>
      <c r="AF160" s="231" t="n"/>
      <c r="AG160" s="231" t="n"/>
      <c r="AH160" s="231" t="n"/>
      <c r="AI160" s="216" t="n"/>
      <c r="AJ160" s="216" t="n"/>
      <c r="AK160" s="216" t="n"/>
      <c r="AL160" s="216" t="n"/>
      <c r="AM160" s="216" t="n"/>
    </row>
    <row r="161" hidden="1" ht="19" customHeight="1">
      <c r="A161" s="229">
        <f>IF(Roster!$C$39="","",IF(Roster!$B$39="","#"&amp;34,Roster!$B$39&amp;""))</f>
        <v/>
      </c>
      <c r="B161" s="232">
        <f>IF(Roster!$C$39="","",Roster!$F$39&amp;IF(OR(Roster!$G$39="SANS",Roster!$G$39="NSMEN"),"  |  "&amp;Roster!$G$39,""))</f>
        <v/>
      </c>
      <c r="C161" s="218" t="inlineStr">
        <is>
          <t>NIGHT</t>
        </is>
      </c>
      <c r="D161" s="231" t="n"/>
      <c r="E161" s="231" t="n"/>
      <c r="F161" s="231" t="n"/>
      <c r="G161" s="231" t="n"/>
      <c r="H161" s="231" t="n"/>
      <c r="I161" s="231" t="n"/>
      <c r="J161" s="231" t="n"/>
      <c r="K161" s="231" t="n"/>
      <c r="L161" s="231" t="n"/>
      <c r="M161" s="231" t="n"/>
      <c r="N161" s="231" t="n"/>
      <c r="O161" s="231" t="n"/>
      <c r="P161" s="231" t="n"/>
      <c r="Q161" s="231" t="n"/>
      <c r="R161" s="231" t="n"/>
      <c r="S161" s="231" t="n"/>
      <c r="T161" s="231" t="n"/>
      <c r="U161" s="231" t="n"/>
      <c r="V161" s="231" t="n"/>
      <c r="W161" s="231" t="n"/>
      <c r="X161" s="231" t="n"/>
      <c r="Y161" s="231" t="n"/>
      <c r="Z161" s="231" t="n"/>
      <c r="AA161" s="231" t="n"/>
      <c r="AB161" s="231" t="n"/>
      <c r="AC161" s="231" t="n"/>
      <c r="AD161" s="231" t="n"/>
      <c r="AE161" s="231" t="n"/>
      <c r="AF161" s="231" t="n"/>
      <c r="AG161" s="231" t="n"/>
      <c r="AH161" s="231" t="n"/>
      <c r="AI161" s="216" t="n"/>
      <c r="AJ161" s="216" t="n"/>
      <c r="AK161" s="216" t="n"/>
      <c r="AL161" s="216" t="n"/>
      <c r="AM161" s="216" t="n"/>
    </row>
    <row r="162" hidden="1" ht="19" customHeight="1">
      <c r="A162" s="233">
        <f>IF(Roster!$C$39="","",IF(Roster!$B$39="","#"&amp;34,Roster!$B$39&amp;""))</f>
        <v/>
      </c>
      <c r="B162" s="234" t="n"/>
      <c r="C162" s="221" t="inlineStr">
        <is>
          <t>WD</t>
        </is>
      </c>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c r="AA162" s="222" t="n"/>
      <c r="AB162" s="222" t="n"/>
      <c r="AC162" s="222" t="n"/>
      <c r="AD162" s="222" t="n"/>
      <c r="AE162" s="222" t="n"/>
      <c r="AF162" s="222" t="n"/>
      <c r="AG162" s="222" t="n"/>
      <c r="AH162" s="222" t="n"/>
      <c r="AI162" s="223" t="n"/>
      <c r="AJ162" s="223" t="n"/>
      <c r="AK162" s="223" t="n"/>
      <c r="AL162" s="223" t="n"/>
      <c r="AM162" s="223" t="n"/>
    </row>
    <row r="163" hidden="1" ht="19" customHeight="1">
      <c r="A163" s="206">
        <f>IF(Roster!$C$40="","",IF(Roster!$B$40="","#"&amp;35,Roster!$B$40&amp;""))</f>
        <v/>
      </c>
      <c r="B163" s="207">
        <f>IF(Roster!$C$40="","",Roster!$C$40)</f>
        <v/>
      </c>
      <c r="C163" s="208" t="inlineStr">
        <is>
          <t>AM</t>
        </is>
      </c>
      <c r="D163" s="209" t="n"/>
      <c r="E163" s="209" t="n"/>
      <c r="F163" s="209" t="n"/>
      <c r="G163" s="209" t="n"/>
      <c r="H163" s="209" t="n"/>
      <c r="I163" s="209" t="n"/>
      <c r="J163" s="209" t="n"/>
      <c r="K163" s="209" t="n"/>
      <c r="L163" s="209" t="n"/>
      <c r="M163" s="209" t="n"/>
      <c r="N163" s="209" t="n"/>
      <c r="O163" s="209" t="n"/>
      <c r="P163" s="209" t="n"/>
      <c r="Q163" s="209" t="n"/>
      <c r="R163" s="209" t="n"/>
      <c r="S163" s="209" t="n"/>
      <c r="T163" s="209" t="n"/>
      <c r="U163" s="209" t="n"/>
      <c r="V163" s="209" t="n"/>
      <c r="W163" s="209" t="n"/>
      <c r="X163" s="209" t="n"/>
      <c r="Y163" s="209" t="n"/>
      <c r="Z163" s="209" t="n"/>
      <c r="AA163" s="209" t="n"/>
      <c r="AB163" s="209" t="n"/>
      <c r="AC163" s="209" t="n"/>
      <c r="AD163" s="209" t="n"/>
      <c r="AE163" s="209" t="n"/>
      <c r="AF163" s="209" t="n"/>
      <c r="AG163" s="209" t="n"/>
      <c r="AH163" s="209" t="n"/>
      <c r="AI163" s="210">
        <f>IF($A163="","",SUMPRODUCT(SUMIFS(ActSort,ActCodesAll,$D163:$AH165,ActCat,AI$3)))</f>
        <v/>
      </c>
      <c r="AJ163" s="211">
        <f>IF($A163="","",SUMPRODUCT(SUMIFS(ActHrs,ActCodesAll,$D163:$AH165,ActCat,AJ$3)))</f>
        <v/>
      </c>
      <c r="AK163" s="210">
        <f>IF($A163="","",SUMPRODUCT(--((COUNTIFS(ActCodesAll,$D163:$AH163,ActCat,AK$3)+COUNTIFS(ActCodesAll,$D164:$AH164,ActCat,AK$3)+COUNTIFS(ActCodesAll,$D165:$AH165,ActCat,AK$3)+COUNTIFS(ActCodesAll,$D166:$AH166,ActCat,AK$3))&gt;0)))</f>
        <v/>
      </c>
      <c r="AL163" s="210">
        <f>IF($A163="","",SUMPRODUCT(--((COUNTIFS(ActCodesAll,$D163:$AH163,ActCat,AL$3)+COUNTIFS(ActCodesAll,$D164:$AH164,ActCat,AL$3)+COUNTIFS(ActCodesAll,$D165:$AH165,ActCat,AL$3)+COUNTIFS(ActCodesAll,$D166:$AH166,ActCat,AL$3))&gt;0)))</f>
        <v/>
      </c>
      <c r="AM163" s="210">
        <f>IF($A163="","",SUMPRODUCT(--((COUNTIFS(ActCodesAll,$D163:$AH163,ActCat,AM$3)+COUNTIFS(ActCodesAll,$D164:$AH164,ActCat,AM$3)+COUNTIFS(ActCodesAll,$D165:$AH165,ActCat,AM$3)+COUNTIFS(ActCodesAll,$D166:$AH166,ActCat,AM$3))&gt;0)))</f>
        <v/>
      </c>
    </row>
    <row r="164" hidden="1" ht="19" customHeight="1">
      <c r="A164" s="212">
        <f>IF(Roster!$C$40="","",IF(Roster!$B$40="","#"&amp;35,Roster!$B$40&amp;""))</f>
        <v/>
      </c>
      <c r="B164" s="213" t="n"/>
      <c r="C164" s="214" t="inlineStr">
        <is>
          <t>PM</t>
        </is>
      </c>
      <c r="D164" s="215" t="n"/>
      <c r="E164" s="215" t="n"/>
      <c r="F164" s="215" t="n"/>
      <c r="G164" s="215" t="n"/>
      <c r="H164" s="215" t="n"/>
      <c r="I164" s="215" t="n"/>
      <c r="J164" s="215" t="n"/>
      <c r="K164" s="215" t="n"/>
      <c r="L164" s="215" t="n"/>
      <c r="M164" s="215" t="n"/>
      <c r="N164" s="215" t="n"/>
      <c r="O164" s="215" t="n"/>
      <c r="P164" s="215" t="n"/>
      <c r="Q164" s="215" t="n"/>
      <c r="R164" s="215" t="n"/>
      <c r="S164" s="215" t="n"/>
      <c r="T164" s="215" t="n"/>
      <c r="U164" s="215" t="n"/>
      <c r="V164" s="215" t="n"/>
      <c r="W164" s="215" t="n"/>
      <c r="X164" s="215" t="n"/>
      <c r="Y164" s="215" t="n"/>
      <c r="Z164" s="215" t="n"/>
      <c r="AA164" s="215" t="n"/>
      <c r="AB164" s="215" t="n"/>
      <c r="AC164" s="215" t="n"/>
      <c r="AD164" s="215" t="n"/>
      <c r="AE164" s="215" t="n"/>
      <c r="AF164" s="215" t="n"/>
      <c r="AG164" s="215" t="n"/>
      <c r="AH164" s="215" t="n"/>
      <c r="AI164" s="216" t="n"/>
      <c r="AJ164" s="216" t="n"/>
      <c r="AK164" s="216" t="n"/>
      <c r="AL164" s="216" t="n"/>
      <c r="AM164" s="216" t="n"/>
    </row>
    <row r="165" hidden="1" ht="19" customHeight="1">
      <c r="A165" s="212">
        <f>IF(Roster!$C$40="","",IF(Roster!$B$40="","#"&amp;35,Roster!$B$40&amp;""))</f>
        <v/>
      </c>
      <c r="B165" s="217">
        <f>IF(Roster!$C$40="","",Roster!$F$40&amp;IF(OR(Roster!$G$40="SANS",Roster!$G$40="NSMEN"),"  |  "&amp;Roster!$G$40,""))</f>
        <v/>
      </c>
      <c r="C165" s="218" t="inlineStr">
        <is>
          <t>NIGHT</t>
        </is>
      </c>
      <c r="D165" s="215" t="n"/>
      <c r="E165" s="215" t="n"/>
      <c r="F165" s="215" t="n"/>
      <c r="G165" s="215" t="n"/>
      <c r="H165" s="215" t="n"/>
      <c r="I165" s="215" t="n"/>
      <c r="J165" s="215" t="n"/>
      <c r="K165" s="215" t="n"/>
      <c r="L165" s="215" t="n"/>
      <c r="M165" s="215" t="n"/>
      <c r="N165" s="215" t="n"/>
      <c r="O165" s="215" t="n"/>
      <c r="P165" s="215" t="n"/>
      <c r="Q165" s="215" t="n"/>
      <c r="R165" s="215" t="n"/>
      <c r="S165" s="215" t="n"/>
      <c r="T165" s="215" t="n"/>
      <c r="U165" s="215" t="n"/>
      <c r="V165" s="215" t="n"/>
      <c r="W165" s="215" t="n"/>
      <c r="X165" s="215" t="n"/>
      <c r="Y165" s="215" t="n"/>
      <c r="Z165" s="215" t="n"/>
      <c r="AA165" s="215" t="n"/>
      <c r="AB165" s="215" t="n"/>
      <c r="AC165" s="215" t="n"/>
      <c r="AD165" s="215" t="n"/>
      <c r="AE165" s="215" t="n"/>
      <c r="AF165" s="215" t="n"/>
      <c r="AG165" s="215" t="n"/>
      <c r="AH165" s="215" t="n"/>
      <c r="AI165" s="216" t="n"/>
      <c r="AJ165" s="216" t="n"/>
      <c r="AK165" s="216" t="n"/>
      <c r="AL165" s="216" t="n"/>
      <c r="AM165" s="216" t="n"/>
    </row>
    <row r="166" hidden="1" ht="19" customHeight="1">
      <c r="A166" s="219">
        <f>IF(Roster!$C$40="","",IF(Roster!$B$40="","#"&amp;35,Roster!$B$40&amp;""))</f>
        <v/>
      </c>
      <c r="B166" s="220" t="n"/>
      <c r="C166" s="221" t="inlineStr">
        <is>
          <t>WD</t>
        </is>
      </c>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c r="AA166" s="222" t="n"/>
      <c r="AB166" s="222" t="n"/>
      <c r="AC166" s="222" t="n"/>
      <c r="AD166" s="222" t="n"/>
      <c r="AE166" s="222" t="n"/>
      <c r="AF166" s="222" t="n"/>
      <c r="AG166" s="222" t="n"/>
      <c r="AH166" s="222" t="n"/>
      <c r="AI166" s="223" t="n"/>
      <c r="AJ166" s="223" t="n"/>
      <c r="AK166" s="223" t="n"/>
      <c r="AL166" s="223" t="n"/>
      <c r="AM166" s="223" t="n"/>
    </row>
    <row r="167" hidden="1" ht="19" customHeight="1">
      <c r="A167" s="224">
        <f>IF(Roster!$C$41="","",IF(Roster!$B$41="","#"&amp;36,Roster!$B$41&amp;""))</f>
        <v/>
      </c>
      <c r="B167" s="225">
        <f>IF(Roster!$C$41="","",Roster!$C$41)</f>
        <v/>
      </c>
      <c r="C167" s="208" t="inlineStr">
        <is>
          <t>AM</t>
        </is>
      </c>
      <c r="D167" s="226" t="n"/>
      <c r="E167" s="226" t="n"/>
      <c r="F167" s="226" t="n"/>
      <c r="G167" s="226" t="n"/>
      <c r="H167" s="226" t="n"/>
      <c r="I167" s="226" t="n"/>
      <c r="J167" s="226" t="n"/>
      <c r="K167" s="226" t="n"/>
      <c r="L167" s="226" t="n"/>
      <c r="M167" s="226" t="n"/>
      <c r="N167" s="226" t="n"/>
      <c r="O167" s="226" t="n"/>
      <c r="P167" s="226" t="n"/>
      <c r="Q167" s="226" t="n"/>
      <c r="R167" s="226" t="n"/>
      <c r="S167" s="226" t="n"/>
      <c r="T167" s="226" t="n"/>
      <c r="U167" s="226" t="n"/>
      <c r="V167" s="226" t="n"/>
      <c r="W167" s="226" t="n"/>
      <c r="X167" s="226" t="n"/>
      <c r="Y167" s="226" t="n"/>
      <c r="Z167" s="226" t="n"/>
      <c r="AA167" s="226" t="n"/>
      <c r="AB167" s="226" t="n"/>
      <c r="AC167" s="226" t="n"/>
      <c r="AD167" s="226" t="n"/>
      <c r="AE167" s="226" t="n"/>
      <c r="AF167" s="226" t="n"/>
      <c r="AG167" s="226" t="n"/>
      <c r="AH167" s="226" t="n"/>
      <c r="AI167" s="227">
        <f>IF($A167="","",SUMPRODUCT(SUMIFS(ActSort,ActCodesAll,$D167:$AH169,ActCat,AI$3)))</f>
        <v/>
      </c>
      <c r="AJ167" s="228">
        <f>IF($A167="","",SUMPRODUCT(SUMIFS(ActHrs,ActCodesAll,$D167:$AH169,ActCat,AJ$3)))</f>
        <v/>
      </c>
      <c r="AK167" s="227">
        <f>IF($A167="","",SUMPRODUCT(--((COUNTIFS(ActCodesAll,$D167:$AH167,ActCat,AK$3)+COUNTIFS(ActCodesAll,$D168:$AH168,ActCat,AK$3)+COUNTIFS(ActCodesAll,$D169:$AH169,ActCat,AK$3)+COUNTIFS(ActCodesAll,$D170:$AH170,ActCat,AK$3))&gt;0)))</f>
        <v/>
      </c>
      <c r="AL167" s="227">
        <f>IF($A167="","",SUMPRODUCT(--((COUNTIFS(ActCodesAll,$D167:$AH167,ActCat,AL$3)+COUNTIFS(ActCodesAll,$D168:$AH168,ActCat,AL$3)+COUNTIFS(ActCodesAll,$D169:$AH169,ActCat,AL$3)+COUNTIFS(ActCodesAll,$D170:$AH170,ActCat,AL$3))&gt;0)))</f>
        <v/>
      </c>
      <c r="AM167" s="227">
        <f>IF($A167="","",SUMPRODUCT(--((COUNTIFS(ActCodesAll,$D167:$AH167,ActCat,AM$3)+COUNTIFS(ActCodesAll,$D168:$AH168,ActCat,AM$3)+COUNTIFS(ActCodesAll,$D169:$AH169,ActCat,AM$3)+COUNTIFS(ActCodesAll,$D170:$AH170,ActCat,AM$3))&gt;0)))</f>
        <v/>
      </c>
    </row>
    <row r="168" hidden="1" ht="19" customHeight="1">
      <c r="A168" s="229">
        <f>IF(Roster!$C$41="","",IF(Roster!$B$41="","#"&amp;36,Roster!$B$41&amp;""))</f>
        <v/>
      </c>
      <c r="B168" s="230" t="n"/>
      <c r="C168" s="214" t="inlineStr">
        <is>
          <t>PM</t>
        </is>
      </c>
      <c r="D168" s="231" t="n"/>
      <c r="E168" s="231" t="n"/>
      <c r="F168" s="231" t="n"/>
      <c r="G168" s="231" t="n"/>
      <c r="H168" s="231" t="n"/>
      <c r="I168" s="231" t="n"/>
      <c r="J168" s="231" t="n"/>
      <c r="K168" s="231" t="n"/>
      <c r="L168" s="231" t="n"/>
      <c r="M168" s="231" t="n"/>
      <c r="N168" s="231" t="n"/>
      <c r="O168" s="231" t="n"/>
      <c r="P168" s="231" t="n"/>
      <c r="Q168" s="231" t="n"/>
      <c r="R168" s="231" t="n"/>
      <c r="S168" s="231" t="n"/>
      <c r="T168" s="231" t="n"/>
      <c r="U168" s="231" t="n"/>
      <c r="V168" s="231" t="n"/>
      <c r="W168" s="231" t="n"/>
      <c r="X168" s="231" t="n"/>
      <c r="Y168" s="231" t="n"/>
      <c r="Z168" s="231" t="n"/>
      <c r="AA168" s="231" t="n"/>
      <c r="AB168" s="231" t="n"/>
      <c r="AC168" s="231" t="n"/>
      <c r="AD168" s="231" t="n"/>
      <c r="AE168" s="231" t="n"/>
      <c r="AF168" s="231" t="n"/>
      <c r="AG168" s="231" t="n"/>
      <c r="AH168" s="231" t="n"/>
      <c r="AI168" s="216" t="n"/>
      <c r="AJ168" s="216" t="n"/>
      <c r="AK168" s="216" t="n"/>
      <c r="AL168" s="216" t="n"/>
      <c r="AM168" s="216" t="n"/>
    </row>
    <row r="169" hidden="1" ht="19" customHeight="1">
      <c r="A169" s="229">
        <f>IF(Roster!$C$41="","",IF(Roster!$B$41="","#"&amp;36,Roster!$B$41&amp;""))</f>
        <v/>
      </c>
      <c r="B169" s="232">
        <f>IF(Roster!$C$41="","",Roster!$F$41&amp;IF(OR(Roster!$G$41="SANS",Roster!$G$41="NSMEN"),"  |  "&amp;Roster!$G$41,""))</f>
        <v/>
      </c>
      <c r="C169" s="218" t="inlineStr">
        <is>
          <t>NIGHT</t>
        </is>
      </c>
      <c r="D169" s="231" t="n"/>
      <c r="E169" s="231" t="n"/>
      <c r="F169" s="231" t="n"/>
      <c r="G169" s="231" t="n"/>
      <c r="H169" s="231" t="n"/>
      <c r="I169" s="231" t="n"/>
      <c r="J169" s="231" t="n"/>
      <c r="K169" s="231" t="n"/>
      <c r="L169" s="231" t="n"/>
      <c r="M169" s="231" t="n"/>
      <c r="N169" s="231" t="n"/>
      <c r="O169" s="231" t="n"/>
      <c r="P169" s="231" t="n"/>
      <c r="Q169" s="231" t="n"/>
      <c r="R169" s="231" t="n"/>
      <c r="S169" s="231" t="n"/>
      <c r="T169" s="231" t="n"/>
      <c r="U169" s="231" t="n"/>
      <c r="V169" s="231" t="n"/>
      <c r="W169" s="231" t="n"/>
      <c r="X169" s="231" t="n"/>
      <c r="Y169" s="231" t="n"/>
      <c r="Z169" s="231" t="n"/>
      <c r="AA169" s="231" t="n"/>
      <c r="AB169" s="231" t="n"/>
      <c r="AC169" s="231" t="n"/>
      <c r="AD169" s="231" t="n"/>
      <c r="AE169" s="231" t="n"/>
      <c r="AF169" s="231" t="n"/>
      <c r="AG169" s="231" t="n"/>
      <c r="AH169" s="231" t="n"/>
      <c r="AI169" s="216" t="n"/>
      <c r="AJ169" s="216" t="n"/>
      <c r="AK169" s="216" t="n"/>
      <c r="AL169" s="216" t="n"/>
      <c r="AM169" s="216" t="n"/>
    </row>
    <row r="170" hidden="1" ht="19" customHeight="1">
      <c r="A170" s="233">
        <f>IF(Roster!$C$41="","",IF(Roster!$B$41="","#"&amp;36,Roster!$B$41&amp;""))</f>
        <v/>
      </c>
      <c r="B170" s="234" t="n"/>
      <c r="C170" s="221" t="inlineStr">
        <is>
          <t>WD</t>
        </is>
      </c>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c r="AA170" s="222" t="n"/>
      <c r="AB170" s="222" t="n"/>
      <c r="AC170" s="222" t="n"/>
      <c r="AD170" s="222" t="n"/>
      <c r="AE170" s="222" t="n"/>
      <c r="AF170" s="222" t="n"/>
      <c r="AG170" s="222" t="n"/>
      <c r="AH170" s="222" t="n"/>
      <c r="AI170" s="223" t="n"/>
      <c r="AJ170" s="223" t="n"/>
      <c r="AK170" s="223" t="n"/>
      <c r="AL170" s="223" t="n"/>
      <c r="AM170" s="223" t="n"/>
    </row>
    <row r="171" hidden="1" ht="19" customHeight="1">
      <c r="A171" s="206">
        <f>IF(Roster!$C$42="","",IF(Roster!$B$42="","#"&amp;37,Roster!$B$42&amp;""))</f>
        <v/>
      </c>
      <c r="B171" s="207">
        <f>IF(Roster!$C$42="","",Roster!$C$42)</f>
        <v/>
      </c>
      <c r="C171" s="208" t="inlineStr">
        <is>
          <t>AM</t>
        </is>
      </c>
      <c r="D171" s="209" t="n"/>
      <c r="E171" s="209" t="n"/>
      <c r="F171" s="209" t="n"/>
      <c r="G171" s="209" t="n"/>
      <c r="H171" s="209" t="n"/>
      <c r="I171" s="209" t="n"/>
      <c r="J171" s="209" t="n"/>
      <c r="K171" s="209" t="n"/>
      <c r="L171" s="209" t="n"/>
      <c r="M171" s="209" t="n"/>
      <c r="N171" s="209" t="n"/>
      <c r="O171" s="209" t="n"/>
      <c r="P171" s="209" t="n"/>
      <c r="Q171" s="209" t="n"/>
      <c r="R171" s="209" t="n"/>
      <c r="S171" s="209" t="n"/>
      <c r="T171" s="209" t="n"/>
      <c r="U171" s="209" t="n"/>
      <c r="V171" s="209" t="n"/>
      <c r="W171" s="209" t="n"/>
      <c r="X171" s="209" t="n"/>
      <c r="Y171" s="209" t="n"/>
      <c r="Z171" s="209" t="n"/>
      <c r="AA171" s="209" t="n"/>
      <c r="AB171" s="209" t="n"/>
      <c r="AC171" s="209" t="n"/>
      <c r="AD171" s="209" t="n"/>
      <c r="AE171" s="209" t="n"/>
      <c r="AF171" s="209" t="n"/>
      <c r="AG171" s="209" t="n"/>
      <c r="AH171" s="209" t="n"/>
      <c r="AI171" s="210">
        <f>IF($A171="","",SUMPRODUCT(SUMIFS(ActSort,ActCodesAll,$D171:$AH173,ActCat,AI$3)))</f>
        <v/>
      </c>
      <c r="AJ171" s="211">
        <f>IF($A171="","",SUMPRODUCT(SUMIFS(ActHrs,ActCodesAll,$D171:$AH173,ActCat,AJ$3)))</f>
        <v/>
      </c>
      <c r="AK171" s="210">
        <f>IF($A171="","",SUMPRODUCT(--((COUNTIFS(ActCodesAll,$D171:$AH171,ActCat,AK$3)+COUNTIFS(ActCodesAll,$D172:$AH172,ActCat,AK$3)+COUNTIFS(ActCodesAll,$D173:$AH173,ActCat,AK$3)+COUNTIFS(ActCodesAll,$D174:$AH174,ActCat,AK$3))&gt;0)))</f>
        <v/>
      </c>
      <c r="AL171" s="210">
        <f>IF($A171="","",SUMPRODUCT(--((COUNTIFS(ActCodesAll,$D171:$AH171,ActCat,AL$3)+COUNTIFS(ActCodesAll,$D172:$AH172,ActCat,AL$3)+COUNTIFS(ActCodesAll,$D173:$AH173,ActCat,AL$3)+COUNTIFS(ActCodesAll,$D174:$AH174,ActCat,AL$3))&gt;0)))</f>
        <v/>
      </c>
      <c r="AM171" s="210">
        <f>IF($A171="","",SUMPRODUCT(--((COUNTIFS(ActCodesAll,$D171:$AH171,ActCat,AM$3)+COUNTIFS(ActCodesAll,$D172:$AH172,ActCat,AM$3)+COUNTIFS(ActCodesAll,$D173:$AH173,ActCat,AM$3)+COUNTIFS(ActCodesAll,$D174:$AH174,ActCat,AM$3))&gt;0)))</f>
        <v/>
      </c>
    </row>
    <row r="172" hidden="1" ht="19" customHeight="1">
      <c r="A172" s="212">
        <f>IF(Roster!$C$42="","",IF(Roster!$B$42="","#"&amp;37,Roster!$B$42&amp;""))</f>
        <v/>
      </c>
      <c r="B172" s="213" t="n"/>
      <c r="C172" s="214" t="inlineStr">
        <is>
          <t>PM</t>
        </is>
      </c>
      <c r="D172" s="215" t="n"/>
      <c r="E172" s="215" t="n"/>
      <c r="F172" s="215" t="n"/>
      <c r="G172" s="215" t="n"/>
      <c r="H172" s="215" t="n"/>
      <c r="I172" s="215" t="n"/>
      <c r="J172" s="215" t="n"/>
      <c r="K172" s="215" t="n"/>
      <c r="L172" s="215" t="n"/>
      <c r="M172" s="215" t="n"/>
      <c r="N172" s="215" t="n"/>
      <c r="O172" s="215" t="n"/>
      <c r="P172" s="215" t="n"/>
      <c r="Q172" s="215" t="n"/>
      <c r="R172" s="215" t="n"/>
      <c r="S172" s="215" t="n"/>
      <c r="T172" s="215" t="n"/>
      <c r="U172" s="215" t="n"/>
      <c r="V172" s="215" t="n"/>
      <c r="W172" s="215" t="n"/>
      <c r="X172" s="215" t="n"/>
      <c r="Y172" s="215" t="n"/>
      <c r="Z172" s="215" t="n"/>
      <c r="AA172" s="215" t="n"/>
      <c r="AB172" s="215" t="n"/>
      <c r="AC172" s="215" t="n"/>
      <c r="AD172" s="215" t="n"/>
      <c r="AE172" s="215" t="n"/>
      <c r="AF172" s="215" t="n"/>
      <c r="AG172" s="215" t="n"/>
      <c r="AH172" s="215" t="n"/>
      <c r="AI172" s="216" t="n"/>
      <c r="AJ172" s="216" t="n"/>
      <c r="AK172" s="216" t="n"/>
      <c r="AL172" s="216" t="n"/>
      <c r="AM172" s="216" t="n"/>
    </row>
    <row r="173" hidden="1" ht="19" customHeight="1">
      <c r="A173" s="212">
        <f>IF(Roster!$C$42="","",IF(Roster!$B$42="","#"&amp;37,Roster!$B$42&amp;""))</f>
        <v/>
      </c>
      <c r="B173" s="217">
        <f>IF(Roster!$C$42="","",Roster!$F$42&amp;IF(OR(Roster!$G$42="SANS",Roster!$G$42="NSMEN"),"  |  "&amp;Roster!$G$42,""))</f>
        <v/>
      </c>
      <c r="C173" s="218" t="inlineStr">
        <is>
          <t>NIGHT</t>
        </is>
      </c>
      <c r="D173" s="215" t="n"/>
      <c r="E173" s="215" t="n"/>
      <c r="F173" s="215" t="n"/>
      <c r="G173" s="215" t="n"/>
      <c r="H173" s="215" t="n"/>
      <c r="I173" s="215" t="n"/>
      <c r="J173" s="215" t="n"/>
      <c r="K173" s="215" t="n"/>
      <c r="L173" s="215" t="n"/>
      <c r="M173" s="215" t="n"/>
      <c r="N173" s="215" t="n"/>
      <c r="O173" s="215" t="n"/>
      <c r="P173" s="215" t="n"/>
      <c r="Q173" s="215" t="n"/>
      <c r="R173" s="215" t="n"/>
      <c r="S173" s="215" t="n"/>
      <c r="T173" s="215" t="n"/>
      <c r="U173" s="215" t="n"/>
      <c r="V173" s="215" t="n"/>
      <c r="W173" s="215" t="n"/>
      <c r="X173" s="215" t="n"/>
      <c r="Y173" s="215" t="n"/>
      <c r="Z173" s="215" t="n"/>
      <c r="AA173" s="215" t="n"/>
      <c r="AB173" s="215" t="n"/>
      <c r="AC173" s="215" t="n"/>
      <c r="AD173" s="215" t="n"/>
      <c r="AE173" s="215" t="n"/>
      <c r="AF173" s="215" t="n"/>
      <c r="AG173" s="215" t="n"/>
      <c r="AH173" s="215" t="n"/>
      <c r="AI173" s="216" t="n"/>
      <c r="AJ173" s="216" t="n"/>
      <c r="AK173" s="216" t="n"/>
      <c r="AL173" s="216" t="n"/>
      <c r="AM173" s="216" t="n"/>
    </row>
    <row r="174" hidden="1" ht="19" customHeight="1">
      <c r="A174" s="219">
        <f>IF(Roster!$C$42="","",IF(Roster!$B$42="","#"&amp;37,Roster!$B$42&amp;""))</f>
        <v/>
      </c>
      <c r="B174" s="220" t="n"/>
      <c r="C174" s="221" t="inlineStr">
        <is>
          <t>WD</t>
        </is>
      </c>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c r="AA174" s="222" t="n"/>
      <c r="AB174" s="222" t="n"/>
      <c r="AC174" s="222" t="n"/>
      <c r="AD174" s="222" t="n"/>
      <c r="AE174" s="222" t="n"/>
      <c r="AF174" s="222" t="n"/>
      <c r="AG174" s="222" t="n"/>
      <c r="AH174" s="222" t="n"/>
      <c r="AI174" s="223" t="n"/>
      <c r="AJ174" s="223" t="n"/>
      <c r="AK174" s="223" t="n"/>
      <c r="AL174" s="223" t="n"/>
      <c r="AM174" s="223" t="n"/>
    </row>
    <row r="175" hidden="1" ht="19" customHeight="1">
      <c r="A175" s="224">
        <f>IF(Roster!$C$43="","",IF(Roster!$B$43="","#"&amp;38,Roster!$B$43&amp;""))</f>
        <v/>
      </c>
      <c r="B175" s="225">
        <f>IF(Roster!$C$43="","",Roster!$C$43)</f>
        <v/>
      </c>
      <c r="C175" s="208" t="inlineStr">
        <is>
          <t>AM</t>
        </is>
      </c>
      <c r="D175" s="226" t="n"/>
      <c r="E175" s="226" t="n"/>
      <c r="F175" s="226" t="n"/>
      <c r="G175" s="226" t="n"/>
      <c r="H175" s="226" t="n"/>
      <c r="I175" s="226" t="n"/>
      <c r="J175" s="226" t="n"/>
      <c r="K175" s="226" t="n"/>
      <c r="L175" s="226" t="n"/>
      <c r="M175" s="226" t="n"/>
      <c r="N175" s="226" t="n"/>
      <c r="O175" s="226" t="n"/>
      <c r="P175" s="226" t="n"/>
      <c r="Q175" s="226" t="n"/>
      <c r="R175" s="226" t="n"/>
      <c r="S175" s="226" t="n"/>
      <c r="T175" s="226" t="n"/>
      <c r="U175" s="226" t="n"/>
      <c r="V175" s="226" t="n"/>
      <c r="W175" s="226" t="n"/>
      <c r="X175" s="226" t="n"/>
      <c r="Y175" s="226" t="n"/>
      <c r="Z175" s="226" t="n"/>
      <c r="AA175" s="226" t="n"/>
      <c r="AB175" s="226" t="n"/>
      <c r="AC175" s="226" t="n"/>
      <c r="AD175" s="226" t="n"/>
      <c r="AE175" s="226" t="n"/>
      <c r="AF175" s="226" t="n"/>
      <c r="AG175" s="226" t="n"/>
      <c r="AH175" s="226" t="n"/>
      <c r="AI175" s="227">
        <f>IF($A175="","",SUMPRODUCT(SUMIFS(ActSort,ActCodesAll,$D175:$AH177,ActCat,AI$3)))</f>
        <v/>
      </c>
      <c r="AJ175" s="228">
        <f>IF($A175="","",SUMPRODUCT(SUMIFS(ActHrs,ActCodesAll,$D175:$AH177,ActCat,AJ$3)))</f>
        <v/>
      </c>
      <c r="AK175" s="227">
        <f>IF($A175="","",SUMPRODUCT(--((COUNTIFS(ActCodesAll,$D175:$AH175,ActCat,AK$3)+COUNTIFS(ActCodesAll,$D176:$AH176,ActCat,AK$3)+COUNTIFS(ActCodesAll,$D177:$AH177,ActCat,AK$3)+COUNTIFS(ActCodesAll,$D178:$AH178,ActCat,AK$3))&gt;0)))</f>
        <v/>
      </c>
      <c r="AL175" s="227">
        <f>IF($A175="","",SUMPRODUCT(--((COUNTIFS(ActCodesAll,$D175:$AH175,ActCat,AL$3)+COUNTIFS(ActCodesAll,$D176:$AH176,ActCat,AL$3)+COUNTIFS(ActCodesAll,$D177:$AH177,ActCat,AL$3)+COUNTIFS(ActCodesAll,$D178:$AH178,ActCat,AL$3))&gt;0)))</f>
        <v/>
      </c>
      <c r="AM175" s="227">
        <f>IF($A175="","",SUMPRODUCT(--((COUNTIFS(ActCodesAll,$D175:$AH175,ActCat,AM$3)+COUNTIFS(ActCodesAll,$D176:$AH176,ActCat,AM$3)+COUNTIFS(ActCodesAll,$D177:$AH177,ActCat,AM$3)+COUNTIFS(ActCodesAll,$D178:$AH178,ActCat,AM$3))&gt;0)))</f>
        <v/>
      </c>
    </row>
    <row r="176" hidden="1" ht="19" customHeight="1">
      <c r="A176" s="229">
        <f>IF(Roster!$C$43="","",IF(Roster!$B$43="","#"&amp;38,Roster!$B$43&amp;""))</f>
        <v/>
      </c>
      <c r="B176" s="230" t="n"/>
      <c r="C176" s="214" t="inlineStr">
        <is>
          <t>PM</t>
        </is>
      </c>
      <c r="D176" s="231" t="n"/>
      <c r="E176" s="231" t="n"/>
      <c r="F176" s="231" t="n"/>
      <c r="G176" s="231" t="n"/>
      <c r="H176" s="231" t="n"/>
      <c r="I176" s="231" t="n"/>
      <c r="J176" s="231" t="n"/>
      <c r="K176" s="231" t="n"/>
      <c r="L176" s="231" t="n"/>
      <c r="M176" s="231" t="n"/>
      <c r="N176" s="231" t="n"/>
      <c r="O176" s="231" t="n"/>
      <c r="P176" s="231" t="n"/>
      <c r="Q176" s="231" t="n"/>
      <c r="R176" s="231" t="n"/>
      <c r="S176" s="231" t="n"/>
      <c r="T176" s="231" t="n"/>
      <c r="U176" s="231" t="n"/>
      <c r="V176" s="231" t="n"/>
      <c r="W176" s="231" t="n"/>
      <c r="X176" s="231" t="n"/>
      <c r="Y176" s="231" t="n"/>
      <c r="Z176" s="231" t="n"/>
      <c r="AA176" s="231" t="n"/>
      <c r="AB176" s="231" t="n"/>
      <c r="AC176" s="231" t="n"/>
      <c r="AD176" s="231" t="n"/>
      <c r="AE176" s="231" t="n"/>
      <c r="AF176" s="231" t="n"/>
      <c r="AG176" s="231" t="n"/>
      <c r="AH176" s="231" t="n"/>
      <c r="AI176" s="216" t="n"/>
      <c r="AJ176" s="216" t="n"/>
      <c r="AK176" s="216" t="n"/>
      <c r="AL176" s="216" t="n"/>
      <c r="AM176" s="216" t="n"/>
    </row>
    <row r="177" hidden="1" ht="19" customHeight="1">
      <c r="A177" s="229">
        <f>IF(Roster!$C$43="","",IF(Roster!$B$43="","#"&amp;38,Roster!$B$43&amp;""))</f>
        <v/>
      </c>
      <c r="B177" s="232">
        <f>IF(Roster!$C$43="","",Roster!$F$43&amp;IF(OR(Roster!$G$43="SANS",Roster!$G$43="NSMEN"),"  |  "&amp;Roster!$G$43,""))</f>
        <v/>
      </c>
      <c r="C177" s="218" t="inlineStr">
        <is>
          <t>NIGHT</t>
        </is>
      </c>
      <c r="D177" s="231" t="n"/>
      <c r="E177" s="231" t="n"/>
      <c r="F177" s="231" t="n"/>
      <c r="G177" s="231" t="n"/>
      <c r="H177" s="231" t="n"/>
      <c r="I177" s="231" t="n"/>
      <c r="J177" s="231" t="n"/>
      <c r="K177" s="231" t="n"/>
      <c r="L177" s="231" t="n"/>
      <c r="M177" s="231" t="n"/>
      <c r="N177" s="231" t="n"/>
      <c r="O177" s="231" t="n"/>
      <c r="P177" s="231" t="n"/>
      <c r="Q177" s="231" t="n"/>
      <c r="R177" s="231" t="n"/>
      <c r="S177" s="231" t="n"/>
      <c r="T177" s="231" t="n"/>
      <c r="U177" s="231" t="n"/>
      <c r="V177" s="231" t="n"/>
      <c r="W177" s="231" t="n"/>
      <c r="X177" s="231" t="n"/>
      <c r="Y177" s="231" t="n"/>
      <c r="Z177" s="231" t="n"/>
      <c r="AA177" s="231" t="n"/>
      <c r="AB177" s="231" t="n"/>
      <c r="AC177" s="231" t="n"/>
      <c r="AD177" s="231" t="n"/>
      <c r="AE177" s="231" t="n"/>
      <c r="AF177" s="231" t="n"/>
      <c r="AG177" s="231" t="n"/>
      <c r="AH177" s="231" t="n"/>
      <c r="AI177" s="216" t="n"/>
      <c r="AJ177" s="216" t="n"/>
      <c r="AK177" s="216" t="n"/>
      <c r="AL177" s="216" t="n"/>
      <c r="AM177" s="216" t="n"/>
    </row>
    <row r="178" hidden="1" ht="19" customHeight="1">
      <c r="A178" s="233">
        <f>IF(Roster!$C$43="","",IF(Roster!$B$43="","#"&amp;38,Roster!$B$43&amp;""))</f>
        <v/>
      </c>
      <c r="B178" s="234" t="n"/>
      <c r="C178" s="221" t="inlineStr">
        <is>
          <t>WD</t>
        </is>
      </c>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c r="AA178" s="222" t="n"/>
      <c r="AB178" s="222" t="n"/>
      <c r="AC178" s="222" t="n"/>
      <c r="AD178" s="222" t="n"/>
      <c r="AE178" s="222" t="n"/>
      <c r="AF178" s="222" t="n"/>
      <c r="AG178" s="222" t="n"/>
      <c r="AH178" s="222" t="n"/>
      <c r="AI178" s="223" t="n"/>
      <c r="AJ178" s="223" t="n"/>
      <c r="AK178" s="223" t="n"/>
      <c r="AL178" s="223" t="n"/>
      <c r="AM178" s="223" t="n"/>
    </row>
    <row r="179" hidden="1" ht="19" customHeight="1">
      <c r="A179" s="206">
        <f>IF(Roster!$C$44="","",IF(Roster!$B$44="","#"&amp;39,Roster!$B$44&amp;""))</f>
        <v/>
      </c>
      <c r="B179" s="207">
        <f>IF(Roster!$C$44="","",Roster!$C$44)</f>
        <v/>
      </c>
      <c r="C179" s="208" t="inlineStr">
        <is>
          <t>AM</t>
        </is>
      </c>
      <c r="D179" s="209" t="n"/>
      <c r="E179" s="209" t="n"/>
      <c r="F179" s="209" t="n"/>
      <c r="G179" s="209" t="n"/>
      <c r="H179" s="209" t="n"/>
      <c r="I179" s="209" t="n"/>
      <c r="J179" s="209" t="n"/>
      <c r="K179" s="209" t="n"/>
      <c r="L179" s="209" t="n"/>
      <c r="M179" s="209" t="n"/>
      <c r="N179" s="209" t="n"/>
      <c r="O179" s="209" t="n"/>
      <c r="P179" s="209" t="n"/>
      <c r="Q179" s="209" t="n"/>
      <c r="R179" s="209" t="n"/>
      <c r="S179" s="209" t="n"/>
      <c r="T179" s="209" t="n"/>
      <c r="U179" s="209" t="n"/>
      <c r="V179" s="209" t="n"/>
      <c r="W179" s="209" t="n"/>
      <c r="X179" s="209" t="n"/>
      <c r="Y179" s="209" t="n"/>
      <c r="Z179" s="209" t="n"/>
      <c r="AA179" s="209" t="n"/>
      <c r="AB179" s="209" t="n"/>
      <c r="AC179" s="209" t="n"/>
      <c r="AD179" s="209" t="n"/>
      <c r="AE179" s="209" t="n"/>
      <c r="AF179" s="209" t="n"/>
      <c r="AG179" s="209" t="n"/>
      <c r="AH179" s="209" t="n"/>
      <c r="AI179" s="210">
        <f>IF($A179="","",SUMPRODUCT(SUMIFS(ActSort,ActCodesAll,$D179:$AH181,ActCat,AI$3)))</f>
        <v/>
      </c>
      <c r="AJ179" s="211">
        <f>IF($A179="","",SUMPRODUCT(SUMIFS(ActHrs,ActCodesAll,$D179:$AH181,ActCat,AJ$3)))</f>
        <v/>
      </c>
      <c r="AK179" s="210">
        <f>IF($A179="","",SUMPRODUCT(--((COUNTIFS(ActCodesAll,$D179:$AH179,ActCat,AK$3)+COUNTIFS(ActCodesAll,$D180:$AH180,ActCat,AK$3)+COUNTIFS(ActCodesAll,$D181:$AH181,ActCat,AK$3)+COUNTIFS(ActCodesAll,$D182:$AH182,ActCat,AK$3))&gt;0)))</f>
        <v/>
      </c>
      <c r="AL179" s="210">
        <f>IF($A179="","",SUMPRODUCT(--((COUNTIFS(ActCodesAll,$D179:$AH179,ActCat,AL$3)+COUNTIFS(ActCodesAll,$D180:$AH180,ActCat,AL$3)+COUNTIFS(ActCodesAll,$D181:$AH181,ActCat,AL$3)+COUNTIFS(ActCodesAll,$D182:$AH182,ActCat,AL$3))&gt;0)))</f>
        <v/>
      </c>
      <c r="AM179" s="210">
        <f>IF($A179="","",SUMPRODUCT(--((COUNTIFS(ActCodesAll,$D179:$AH179,ActCat,AM$3)+COUNTIFS(ActCodesAll,$D180:$AH180,ActCat,AM$3)+COUNTIFS(ActCodesAll,$D181:$AH181,ActCat,AM$3)+COUNTIFS(ActCodesAll,$D182:$AH182,ActCat,AM$3))&gt;0)))</f>
        <v/>
      </c>
    </row>
    <row r="180" hidden="1" ht="19" customHeight="1">
      <c r="A180" s="212">
        <f>IF(Roster!$C$44="","",IF(Roster!$B$44="","#"&amp;39,Roster!$B$44&amp;""))</f>
        <v/>
      </c>
      <c r="B180" s="213" t="n"/>
      <c r="C180" s="214" t="inlineStr">
        <is>
          <t>PM</t>
        </is>
      </c>
      <c r="D180" s="215" t="n"/>
      <c r="E180" s="215" t="n"/>
      <c r="F180" s="215" t="n"/>
      <c r="G180" s="215" t="n"/>
      <c r="H180" s="215" t="n"/>
      <c r="I180" s="215" t="n"/>
      <c r="J180" s="215" t="n"/>
      <c r="K180" s="215" t="n"/>
      <c r="L180" s="215" t="n"/>
      <c r="M180" s="215" t="n"/>
      <c r="N180" s="215" t="n"/>
      <c r="O180" s="215" t="n"/>
      <c r="P180" s="215" t="n"/>
      <c r="Q180" s="215" t="n"/>
      <c r="R180" s="215" t="n"/>
      <c r="S180" s="215" t="n"/>
      <c r="T180" s="215" t="n"/>
      <c r="U180" s="215" t="n"/>
      <c r="V180" s="215" t="n"/>
      <c r="W180" s="215" t="n"/>
      <c r="X180" s="215" t="n"/>
      <c r="Y180" s="215" t="n"/>
      <c r="Z180" s="215" t="n"/>
      <c r="AA180" s="215" t="n"/>
      <c r="AB180" s="215" t="n"/>
      <c r="AC180" s="215" t="n"/>
      <c r="AD180" s="215" t="n"/>
      <c r="AE180" s="215" t="n"/>
      <c r="AF180" s="215" t="n"/>
      <c r="AG180" s="215" t="n"/>
      <c r="AH180" s="215" t="n"/>
      <c r="AI180" s="216" t="n"/>
      <c r="AJ180" s="216" t="n"/>
      <c r="AK180" s="216" t="n"/>
      <c r="AL180" s="216" t="n"/>
      <c r="AM180" s="216" t="n"/>
    </row>
    <row r="181" hidden="1" ht="19" customHeight="1">
      <c r="A181" s="212">
        <f>IF(Roster!$C$44="","",IF(Roster!$B$44="","#"&amp;39,Roster!$B$44&amp;""))</f>
        <v/>
      </c>
      <c r="B181" s="217">
        <f>IF(Roster!$C$44="","",Roster!$F$44&amp;IF(OR(Roster!$G$44="SANS",Roster!$G$44="NSMEN"),"  |  "&amp;Roster!$G$44,""))</f>
        <v/>
      </c>
      <c r="C181" s="218" t="inlineStr">
        <is>
          <t>NIGHT</t>
        </is>
      </c>
      <c r="D181" s="215" t="n"/>
      <c r="E181" s="215" t="n"/>
      <c r="F181" s="215" t="n"/>
      <c r="G181" s="215" t="n"/>
      <c r="H181" s="215" t="n"/>
      <c r="I181" s="215" t="n"/>
      <c r="J181" s="215" t="n"/>
      <c r="K181" s="215" t="n"/>
      <c r="L181" s="215" t="n"/>
      <c r="M181" s="215" t="n"/>
      <c r="N181" s="215" t="n"/>
      <c r="O181" s="215" t="n"/>
      <c r="P181" s="215" t="n"/>
      <c r="Q181" s="215" t="n"/>
      <c r="R181" s="215" t="n"/>
      <c r="S181" s="215" t="n"/>
      <c r="T181" s="215" t="n"/>
      <c r="U181" s="215" t="n"/>
      <c r="V181" s="215" t="n"/>
      <c r="W181" s="215" t="n"/>
      <c r="X181" s="215" t="n"/>
      <c r="Y181" s="215" t="n"/>
      <c r="Z181" s="215" t="n"/>
      <c r="AA181" s="215" t="n"/>
      <c r="AB181" s="215" t="n"/>
      <c r="AC181" s="215" t="n"/>
      <c r="AD181" s="215" t="n"/>
      <c r="AE181" s="215" t="n"/>
      <c r="AF181" s="215" t="n"/>
      <c r="AG181" s="215" t="n"/>
      <c r="AH181" s="215" t="n"/>
      <c r="AI181" s="216" t="n"/>
      <c r="AJ181" s="216" t="n"/>
      <c r="AK181" s="216" t="n"/>
      <c r="AL181" s="216" t="n"/>
      <c r="AM181" s="216" t="n"/>
    </row>
    <row r="182" hidden="1" ht="19" customHeight="1">
      <c r="A182" s="219">
        <f>IF(Roster!$C$44="","",IF(Roster!$B$44="","#"&amp;39,Roster!$B$44&amp;""))</f>
        <v/>
      </c>
      <c r="B182" s="220" t="n"/>
      <c r="C182" s="221" t="inlineStr">
        <is>
          <t>WD</t>
        </is>
      </c>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c r="AA182" s="222" t="n"/>
      <c r="AB182" s="222" t="n"/>
      <c r="AC182" s="222" t="n"/>
      <c r="AD182" s="222" t="n"/>
      <c r="AE182" s="222" t="n"/>
      <c r="AF182" s="222" t="n"/>
      <c r="AG182" s="222" t="n"/>
      <c r="AH182" s="222" t="n"/>
      <c r="AI182" s="223" t="n"/>
      <c r="AJ182" s="223" t="n"/>
      <c r="AK182" s="223" t="n"/>
      <c r="AL182" s="223" t="n"/>
      <c r="AM182" s="223" t="n"/>
    </row>
    <row r="183" hidden="1" ht="19" customHeight="1">
      <c r="A183" s="224">
        <f>IF(Roster!$C$45="","",IF(Roster!$B$45="","#"&amp;40,Roster!$B$45&amp;""))</f>
        <v/>
      </c>
      <c r="B183" s="225">
        <f>IF(Roster!$C$45="","",Roster!$C$45)</f>
        <v/>
      </c>
      <c r="C183" s="208" t="inlineStr">
        <is>
          <t>AM</t>
        </is>
      </c>
      <c r="D183" s="226" t="n"/>
      <c r="E183" s="226" t="n"/>
      <c r="F183" s="226" t="n"/>
      <c r="G183" s="226" t="n"/>
      <c r="H183" s="226" t="n"/>
      <c r="I183" s="226" t="n"/>
      <c r="J183" s="226" t="n"/>
      <c r="K183" s="226" t="n"/>
      <c r="L183" s="226" t="n"/>
      <c r="M183" s="226" t="n"/>
      <c r="N183" s="226" t="n"/>
      <c r="O183" s="226" t="n"/>
      <c r="P183" s="226" t="n"/>
      <c r="Q183" s="226" t="n"/>
      <c r="R183" s="226" t="n"/>
      <c r="S183" s="226" t="n"/>
      <c r="T183" s="226" t="n"/>
      <c r="U183" s="226" t="n"/>
      <c r="V183" s="226" t="n"/>
      <c r="W183" s="226" t="n"/>
      <c r="X183" s="226" t="n"/>
      <c r="Y183" s="226" t="n"/>
      <c r="Z183" s="226" t="n"/>
      <c r="AA183" s="226" t="n"/>
      <c r="AB183" s="226" t="n"/>
      <c r="AC183" s="226" t="n"/>
      <c r="AD183" s="226" t="n"/>
      <c r="AE183" s="226" t="n"/>
      <c r="AF183" s="226" t="n"/>
      <c r="AG183" s="226" t="n"/>
      <c r="AH183" s="226" t="n"/>
      <c r="AI183" s="227">
        <f>IF($A183="","",SUMPRODUCT(SUMIFS(ActSort,ActCodesAll,$D183:$AH185,ActCat,AI$3)))</f>
        <v/>
      </c>
      <c r="AJ183" s="228">
        <f>IF($A183="","",SUMPRODUCT(SUMIFS(ActHrs,ActCodesAll,$D183:$AH185,ActCat,AJ$3)))</f>
        <v/>
      </c>
      <c r="AK183" s="227">
        <f>IF($A183="","",SUMPRODUCT(--((COUNTIFS(ActCodesAll,$D183:$AH183,ActCat,AK$3)+COUNTIFS(ActCodesAll,$D184:$AH184,ActCat,AK$3)+COUNTIFS(ActCodesAll,$D185:$AH185,ActCat,AK$3)+COUNTIFS(ActCodesAll,$D186:$AH186,ActCat,AK$3))&gt;0)))</f>
        <v/>
      </c>
      <c r="AL183" s="227">
        <f>IF($A183="","",SUMPRODUCT(--((COUNTIFS(ActCodesAll,$D183:$AH183,ActCat,AL$3)+COUNTIFS(ActCodesAll,$D184:$AH184,ActCat,AL$3)+COUNTIFS(ActCodesAll,$D185:$AH185,ActCat,AL$3)+COUNTIFS(ActCodesAll,$D186:$AH186,ActCat,AL$3))&gt;0)))</f>
        <v/>
      </c>
      <c r="AM183" s="227">
        <f>IF($A183="","",SUMPRODUCT(--((COUNTIFS(ActCodesAll,$D183:$AH183,ActCat,AM$3)+COUNTIFS(ActCodesAll,$D184:$AH184,ActCat,AM$3)+COUNTIFS(ActCodesAll,$D185:$AH185,ActCat,AM$3)+COUNTIFS(ActCodesAll,$D186:$AH186,ActCat,AM$3))&gt;0)))</f>
        <v/>
      </c>
    </row>
    <row r="184" hidden="1" ht="19" customHeight="1">
      <c r="A184" s="229">
        <f>IF(Roster!$C$45="","",IF(Roster!$B$45="","#"&amp;40,Roster!$B$45&amp;""))</f>
        <v/>
      </c>
      <c r="B184" s="230" t="n"/>
      <c r="C184" s="214" t="inlineStr">
        <is>
          <t>PM</t>
        </is>
      </c>
      <c r="D184" s="231" t="n"/>
      <c r="E184" s="231" t="n"/>
      <c r="F184" s="231" t="n"/>
      <c r="G184" s="231" t="n"/>
      <c r="H184" s="231" t="n"/>
      <c r="I184" s="231" t="n"/>
      <c r="J184" s="231" t="n"/>
      <c r="K184" s="231" t="n"/>
      <c r="L184" s="231" t="n"/>
      <c r="M184" s="231" t="n"/>
      <c r="N184" s="231" t="n"/>
      <c r="O184" s="231" t="n"/>
      <c r="P184" s="231" t="n"/>
      <c r="Q184" s="231" t="n"/>
      <c r="R184" s="231" t="n"/>
      <c r="S184" s="231" t="n"/>
      <c r="T184" s="231" t="n"/>
      <c r="U184" s="231" t="n"/>
      <c r="V184" s="231" t="n"/>
      <c r="W184" s="231" t="n"/>
      <c r="X184" s="231" t="n"/>
      <c r="Y184" s="231" t="n"/>
      <c r="Z184" s="231" t="n"/>
      <c r="AA184" s="231" t="n"/>
      <c r="AB184" s="231" t="n"/>
      <c r="AC184" s="231" t="n"/>
      <c r="AD184" s="231" t="n"/>
      <c r="AE184" s="231" t="n"/>
      <c r="AF184" s="231" t="n"/>
      <c r="AG184" s="231" t="n"/>
      <c r="AH184" s="231" t="n"/>
      <c r="AI184" s="216" t="n"/>
      <c r="AJ184" s="216" t="n"/>
      <c r="AK184" s="216" t="n"/>
      <c r="AL184" s="216" t="n"/>
      <c r="AM184" s="216" t="n"/>
    </row>
    <row r="185" hidden="1" ht="19" customHeight="1">
      <c r="A185" s="229">
        <f>IF(Roster!$C$45="","",IF(Roster!$B$45="","#"&amp;40,Roster!$B$45&amp;""))</f>
        <v/>
      </c>
      <c r="B185" s="232">
        <f>IF(Roster!$C$45="","",Roster!$F$45&amp;IF(OR(Roster!$G$45="SANS",Roster!$G$45="NSMEN"),"  |  "&amp;Roster!$G$45,""))</f>
        <v/>
      </c>
      <c r="C185" s="218" t="inlineStr">
        <is>
          <t>NIGHT</t>
        </is>
      </c>
      <c r="D185" s="231" t="n"/>
      <c r="E185" s="231" t="n"/>
      <c r="F185" s="231" t="n"/>
      <c r="G185" s="231" t="n"/>
      <c r="H185" s="231" t="n"/>
      <c r="I185" s="231" t="n"/>
      <c r="J185" s="231" t="n"/>
      <c r="K185" s="231" t="n"/>
      <c r="L185" s="231" t="n"/>
      <c r="M185" s="231" t="n"/>
      <c r="N185" s="231" t="n"/>
      <c r="O185" s="231" t="n"/>
      <c r="P185" s="231" t="n"/>
      <c r="Q185" s="231" t="n"/>
      <c r="R185" s="231" t="n"/>
      <c r="S185" s="231" t="n"/>
      <c r="T185" s="231" t="n"/>
      <c r="U185" s="231" t="n"/>
      <c r="V185" s="231" t="n"/>
      <c r="W185" s="231" t="n"/>
      <c r="X185" s="231" t="n"/>
      <c r="Y185" s="231" t="n"/>
      <c r="Z185" s="231" t="n"/>
      <c r="AA185" s="231" t="n"/>
      <c r="AB185" s="231" t="n"/>
      <c r="AC185" s="231" t="n"/>
      <c r="AD185" s="231" t="n"/>
      <c r="AE185" s="231" t="n"/>
      <c r="AF185" s="231" t="n"/>
      <c r="AG185" s="231" t="n"/>
      <c r="AH185" s="231" t="n"/>
      <c r="AI185" s="216" t="n"/>
      <c r="AJ185" s="216" t="n"/>
      <c r="AK185" s="216" t="n"/>
      <c r="AL185" s="216" t="n"/>
      <c r="AM185" s="216" t="n"/>
    </row>
    <row r="186" hidden="1" ht="19" customHeight="1">
      <c r="A186" s="233">
        <f>IF(Roster!$C$45="","",IF(Roster!$B$45="","#"&amp;40,Roster!$B$45&amp;""))</f>
        <v/>
      </c>
      <c r="B186" s="234" t="n"/>
      <c r="C186" s="221" t="inlineStr">
        <is>
          <t>WD</t>
        </is>
      </c>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c r="AA186" s="222" t="n"/>
      <c r="AB186" s="222" t="n"/>
      <c r="AC186" s="222" t="n"/>
      <c r="AD186" s="222" t="n"/>
      <c r="AE186" s="222" t="n"/>
      <c r="AF186" s="222" t="n"/>
      <c r="AG186" s="222" t="n"/>
      <c r="AH186" s="222" t="n"/>
      <c r="AI186" s="223" t="n"/>
      <c r="AJ186" s="223" t="n"/>
      <c r="AK186" s="223" t="n"/>
      <c r="AL186" s="223" t="n"/>
      <c r="AM186" s="223" t="n"/>
    </row>
    <row r="187" hidden="1" ht="19" customHeight="1">
      <c r="A187" s="206">
        <f>IF(Roster!$C$46="","",IF(Roster!$B$46="","#"&amp;41,Roster!$B$46&amp;""))</f>
        <v/>
      </c>
      <c r="B187" s="207">
        <f>IF(Roster!$C$46="","",Roster!$C$46)</f>
        <v/>
      </c>
      <c r="C187" s="208" t="inlineStr">
        <is>
          <t>AM</t>
        </is>
      </c>
      <c r="D187" s="209" t="n"/>
      <c r="E187" s="209" t="n"/>
      <c r="F187" s="209" t="n"/>
      <c r="G187" s="209" t="n"/>
      <c r="H187" s="209" t="n"/>
      <c r="I187" s="209" t="n"/>
      <c r="J187" s="209" t="n"/>
      <c r="K187" s="209" t="n"/>
      <c r="L187" s="209" t="n"/>
      <c r="M187" s="209" t="n"/>
      <c r="N187" s="209" t="n"/>
      <c r="O187" s="209" t="n"/>
      <c r="P187" s="209" t="n"/>
      <c r="Q187" s="209" t="n"/>
      <c r="R187" s="209" t="n"/>
      <c r="S187" s="209" t="n"/>
      <c r="T187" s="209" t="n"/>
      <c r="U187" s="209" t="n"/>
      <c r="V187" s="209" t="n"/>
      <c r="W187" s="209" t="n"/>
      <c r="X187" s="209" t="n"/>
      <c r="Y187" s="209" t="n"/>
      <c r="Z187" s="209" t="n"/>
      <c r="AA187" s="209" t="n"/>
      <c r="AB187" s="209" t="n"/>
      <c r="AC187" s="209" t="n"/>
      <c r="AD187" s="209" t="n"/>
      <c r="AE187" s="209" t="n"/>
      <c r="AF187" s="209" t="n"/>
      <c r="AG187" s="209" t="n"/>
      <c r="AH187" s="209" t="n"/>
      <c r="AI187" s="210">
        <f>IF($A187="","",SUMPRODUCT(SUMIFS(ActSort,ActCodesAll,$D187:$AH189,ActCat,AI$3)))</f>
        <v/>
      </c>
      <c r="AJ187" s="211">
        <f>IF($A187="","",SUMPRODUCT(SUMIFS(ActHrs,ActCodesAll,$D187:$AH189,ActCat,AJ$3)))</f>
        <v/>
      </c>
      <c r="AK187" s="210">
        <f>IF($A187="","",SUMPRODUCT(--((COUNTIFS(ActCodesAll,$D187:$AH187,ActCat,AK$3)+COUNTIFS(ActCodesAll,$D188:$AH188,ActCat,AK$3)+COUNTIFS(ActCodesAll,$D189:$AH189,ActCat,AK$3)+COUNTIFS(ActCodesAll,$D190:$AH190,ActCat,AK$3))&gt;0)))</f>
        <v/>
      </c>
      <c r="AL187" s="210">
        <f>IF($A187="","",SUMPRODUCT(--((COUNTIFS(ActCodesAll,$D187:$AH187,ActCat,AL$3)+COUNTIFS(ActCodesAll,$D188:$AH188,ActCat,AL$3)+COUNTIFS(ActCodesAll,$D189:$AH189,ActCat,AL$3)+COUNTIFS(ActCodesAll,$D190:$AH190,ActCat,AL$3))&gt;0)))</f>
        <v/>
      </c>
      <c r="AM187" s="210">
        <f>IF($A187="","",SUMPRODUCT(--((COUNTIFS(ActCodesAll,$D187:$AH187,ActCat,AM$3)+COUNTIFS(ActCodesAll,$D188:$AH188,ActCat,AM$3)+COUNTIFS(ActCodesAll,$D189:$AH189,ActCat,AM$3)+COUNTIFS(ActCodesAll,$D190:$AH190,ActCat,AM$3))&gt;0)))</f>
        <v/>
      </c>
    </row>
    <row r="188" hidden="1" ht="19" customHeight="1">
      <c r="A188" s="212">
        <f>IF(Roster!$C$46="","",IF(Roster!$B$46="","#"&amp;41,Roster!$B$46&amp;""))</f>
        <v/>
      </c>
      <c r="B188" s="213" t="n"/>
      <c r="C188" s="214" t="inlineStr">
        <is>
          <t>PM</t>
        </is>
      </c>
      <c r="D188" s="215" t="n"/>
      <c r="E188" s="215" t="n"/>
      <c r="F188" s="215" t="n"/>
      <c r="G188" s="215" t="n"/>
      <c r="H188" s="215" t="n"/>
      <c r="I188" s="215" t="n"/>
      <c r="J188" s="215" t="n"/>
      <c r="K188" s="215" t="n"/>
      <c r="L188" s="215" t="n"/>
      <c r="M188" s="215" t="n"/>
      <c r="N188" s="215" t="n"/>
      <c r="O188" s="215" t="n"/>
      <c r="P188" s="215" t="n"/>
      <c r="Q188" s="215" t="n"/>
      <c r="R188" s="215" t="n"/>
      <c r="S188" s="215" t="n"/>
      <c r="T188" s="215" t="n"/>
      <c r="U188" s="215" t="n"/>
      <c r="V188" s="215" t="n"/>
      <c r="W188" s="215" t="n"/>
      <c r="X188" s="215" t="n"/>
      <c r="Y188" s="215" t="n"/>
      <c r="Z188" s="215" t="n"/>
      <c r="AA188" s="215" t="n"/>
      <c r="AB188" s="215" t="n"/>
      <c r="AC188" s="215" t="n"/>
      <c r="AD188" s="215" t="n"/>
      <c r="AE188" s="215" t="n"/>
      <c r="AF188" s="215" t="n"/>
      <c r="AG188" s="215" t="n"/>
      <c r="AH188" s="215" t="n"/>
      <c r="AI188" s="216" t="n"/>
      <c r="AJ188" s="216" t="n"/>
      <c r="AK188" s="216" t="n"/>
      <c r="AL188" s="216" t="n"/>
      <c r="AM188" s="216" t="n"/>
    </row>
    <row r="189" hidden="1" ht="19" customHeight="1">
      <c r="A189" s="212">
        <f>IF(Roster!$C$46="","",IF(Roster!$B$46="","#"&amp;41,Roster!$B$46&amp;""))</f>
        <v/>
      </c>
      <c r="B189" s="217">
        <f>IF(Roster!$C$46="","",Roster!$F$46&amp;IF(OR(Roster!$G$46="SANS",Roster!$G$46="NSMEN"),"  |  "&amp;Roster!$G$46,""))</f>
        <v/>
      </c>
      <c r="C189" s="218" t="inlineStr">
        <is>
          <t>NIGHT</t>
        </is>
      </c>
      <c r="D189" s="215" t="n"/>
      <c r="E189" s="215" t="n"/>
      <c r="F189" s="215" t="n"/>
      <c r="G189" s="215" t="n"/>
      <c r="H189" s="215" t="n"/>
      <c r="I189" s="215" t="n"/>
      <c r="J189" s="215" t="n"/>
      <c r="K189" s="215" t="n"/>
      <c r="L189" s="215" t="n"/>
      <c r="M189" s="215" t="n"/>
      <c r="N189" s="215" t="n"/>
      <c r="O189" s="215" t="n"/>
      <c r="P189" s="215" t="n"/>
      <c r="Q189" s="215" t="n"/>
      <c r="R189" s="215" t="n"/>
      <c r="S189" s="215" t="n"/>
      <c r="T189" s="215" t="n"/>
      <c r="U189" s="215" t="n"/>
      <c r="V189" s="215" t="n"/>
      <c r="W189" s="215" t="n"/>
      <c r="X189" s="215" t="n"/>
      <c r="Y189" s="215" t="n"/>
      <c r="Z189" s="215" t="n"/>
      <c r="AA189" s="215" t="n"/>
      <c r="AB189" s="215" t="n"/>
      <c r="AC189" s="215" t="n"/>
      <c r="AD189" s="215" t="n"/>
      <c r="AE189" s="215" t="n"/>
      <c r="AF189" s="215" t="n"/>
      <c r="AG189" s="215" t="n"/>
      <c r="AH189" s="215" t="n"/>
      <c r="AI189" s="216" t="n"/>
      <c r="AJ189" s="216" t="n"/>
      <c r="AK189" s="216" t="n"/>
      <c r="AL189" s="216" t="n"/>
      <c r="AM189" s="216" t="n"/>
    </row>
    <row r="190" hidden="1" ht="19" customHeight="1">
      <c r="A190" s="219">
        <f>IF(Roster!$C$46="","",IF(Roster!$B$46="","#"&amp;41,Roster!$B$46&amp;""))</f>
        <v/>
      </c>
      <c r="B190" s="220" t="n"/>
      <c r="C190" s="221" t="inlineStr">
        <is>
          <t>WD</t>
        </is>
      </c>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c r="AA190" s="222" t="n"/>
      <c r="AB190" s="222" t="n"/>
      <c r="AC190" s="222" t="n"/>
      <c r="AD190" s="222" t="n"/>
      <c r="AE190" s="222" t="n"/>
      <c r="AF190" s="222" t="n"/>
      <c r="AG190" s="222" t="n"/>
      <c r="AH190" s="222" t="n"/>
      <c r="AI190" s="223" t="n"/>
      <c r="AJ190" s="223" t="n"/>
      <c r="AK190" s="223" t="n"/>
      <c r="AL190" s="223" t="n"/>
      <c r="AM190" s="223" t="n"/>
    </row>
    <row r="191" hidden="1" ht="19" customHeight="1">
      <c r="A191" s="224">
        <f>IF(Roster!$C$47="","",IF(Roster!$B$47="","#"&amp;42,Roster!$B$47&amp;""))</f>
        <v/>
      </c>
      <c r="B191" s="225">
        <f>IF(Roster!$C$47="","",Roster!$C$47)</f>
        <v/>
      </c>
      <c r="C191" s="208" t="inlineStr">
        <is>
          <t>AM</t>
        </is>
      </c>
      <c r="D191" s="226" t="n"/>
      <c r="E191" s="226" t="n"/>
      <c r="F191" s="226" t="n"/>
      <c r="G191" s="226" t="n"/>
      <c r="H191" s="226" t="n"/>
      <c r="I191" s="226" t="n"/>
      <c r="J191" s="226" t="n"/>
      <c r="K191" s="226" t="n"/>
      <c r="L191" s="226" t="n"/>
      <c r="M191" s="226" t="n"/>
      <c r="N191" s="226" t="n"/>
      <c r="O191" s="226" t="n"/>
      <c r="P191" s="226" t="n"/>
      <c r="Q191" s="226" t="n"/>
      <c r="R191" s="226" t="n"/>
      <c r="S191" s="226" t="n"/>
      <c r="T191" s="226" t="n"/>
      <c r="U191" s="226" t="n"/>
      <c r="V191" s="226" t="n"/>
      <c r="W191" s="226" t="n"/>
      <c r="X191" s="226" t="n"/>
      <c r="Y191" s="226" t="n"/>
      <c r="Z191" s="226" t="n"/>
      <c r="AA191" s="226" t="n"/>
      <c r="AB191" s="226" t="n"/>
      <c r="AC191" s="226" t="n"/>
      <c r="AD191" s="226" t="n"/>
      <c r="AE191" s="226" t="n"/>
      <c r="AF191" s="226" t="n"/>
      <c r="AG191" s="226" t="n"/>
      <c r="AH191" s="226" t="n"/>
      <c r="AI191" s="227">
        <f>IF($A191="","",SUMPRODUCT(SUMIFS(ActSort,ActCodesAll,$D191:$AH193,ActCat,AI$3)))</f>
        <v/>
      </c>
      <c r="AJ191" s="228">
        <f>IF($A191="","",SUMPRODUCT(SUMIFS(ActHrs,ActCodesAll,$D191:$AH193,ActCat,AJ$3)))</f>
        <v/>
      </c>
      <c r="AK191" s="227">
        <f>IF($A191="","",SUMPRODUCT(--((COUNTIFS(ActCodesAll,$D191:$AH191,ActCat,AK$3)+COUNTIFS(ActCodesAll,$D192:$AH192,ActCat,AK$3)+COUNTIFS(ActCodesAll,$D193:$AH193,ActCat,AK$3)+COUNTIFS(ActCodesAll,$D194:$AH194,ActCat,AK$3))&gt;0)))</f>
        <v/>
      </c>
      <c r="AL191" s="227">
        <f>IF($A191="","",SUMPRODUCT(--((COUNTIFS(ActCodesAll,$D191:$AH191,ActCat,AL$3)+COUNTIFS(ActCodesAll,$D192:$AH192,ActCat,AL$3)+COUNTIFS(ActCodesAll,$D193:$AH193,ActCat,AL$3)+COUNTIFS(ActCodesAll,$D194:$AH194,ActCat,AL$3))&gt;0)))</f>
        <v/>
      </c>
      <c r="AM191" s="227">
        <f>IF($A191="","",SUMPRODUCT(--((COUNTIFS(ActCodesAll,$D191:$AH191,ActCat,AM$3)+COUNTIFS(ActCodesAll,$D192:$AH192,ActCat,AM$3)+COUNTIFS(ActCodesAll,$D193:$AH193,ActCat,AM$3)+COUNTIFS(ActCodesAll,$D194:$AH194,ActCat,AM$3))&gt;0)))</f>
        <v/>
      </c>
    </row>
    <row r="192" hidden="1" ht="19" customHeight="1">
      <c r="A192" s="229">
        <f>IF(Roster!$C$47="","",IF(Roster!$B$47="","#"&amp;42,Roster!$B$47&amp;""))</f>
        <v/>
      </c>
      <c r="B192" s="230" t="n"/>
      <c r="C192" s="214" t="inlineStr">
        <is>
          <t>PM</t>
        </is>
      </c>
      <c r="D192" s="231" t="n"/>
      <c r="E192" s="231" t="n"/>
      <c r="F192" s="231" t="n"/>
      <c r="G192" s="231" t="n"/>
      <c r="H192" s="231" t="n"/>
      <c r="I192" s="231" t="n"/>
      <c r="J192" s="231" t="n"/>
      <c r="K192" s="231" t="n"/>
      <c r="L192" s="231" t="n"/>
      <c r="M192" s="231" t="n"/>
      <c r="N192" s="231" t="n"/>
      <c r="O192" s="231" t="n"/>
      <c r="P192" s="231" t="n"/>
      <c r="Q192" s="231" t="n"/>
      <c r="R192" s="231" t="n"/>
      <c r="S192" s="231" t="n"/>
      <c r="T192" s="231" t="n"/>
      <c r="U192" s="231" t="n"/>
      <c r="V192" s="231" t="n"/>
      <c r="W192" s="231" t="n"/>
      <c r="X192" s="231" t="n"/>
      <c r="Y192" s="231" t="n"/>
      <c r="Z192" s="231" t="n"/>
      <c r="AA192" s="231" t="n"/>
      <c r="AB192" s="231" t="n"/>
      <c r="AC192" s="231" t="n"/>
      <c r="AD192" s="231" t="n"/>
      <c r="AE192" s="231" t="n"/>
      <c r="AF192" s="231" t="n"/>
      <c r="AG192" s="231" t="n"/>
      <c r="AH192" s="231" t="n"/>
      <c r="AI192" s="216" t="n"/>
      <c r="AJ192" s="216" t="n"/>
      <c r="AK192" s="216" t="n"/>
      <c r="AL192" s="216" t="n"/>
      <c r="AM192" s="216" t="n"/>
    </row>
    <row r="193" hidden="1" ht="19" customHeight="1">
      <c r="A193" s="229">
        <f>IF(Roster!$C$47="","",IF(Roster!$B$47="","#"&amp;42,Roster!$B$47&amp;""))</f>
        <v/>
      </c>
      <c r="B193" s="232">
        <f>IF(Roster!$C$47="","",Roster!$F$47&amp;IF(OR(Roster!$G$47="SANS",Roster!$G$47="NSMEN"),"  |  "&amp;Roster!$G$47,""))</f>
        <v/>
      </c>
      <c r="C193" s="218" t="inlineStr">
        <is>
          <t>NIGHT</t>
        </is>
      </c>
      <c r="D193" s="231" t="n"/>
      <c r="E193" s="231" t="n"/>
      <c r="F193" s="231" t="n"/>
      <c r="G193" s="231" t="n"/>
      <c r="H193" s="231" t="n"/>
      <c r="I193" s="231" t="n"/>
      <c r="J193" s="231" t="n"/>
      <c r="K193" s="231" t="n"/>
      <c r="L193" s="231" t="n"/>
      <c r="M193" s="231" t="n"/>
      <c r="N193" s="231" t="n"/>
      <c r="O193" s="231" t="n"/>
      <c r="P193" s="231" t="n"/>
      <c r="Q193" s="231" t="n"/>
      <c r="R193" s="231" t="n"/>
      <c r="S193" s="231" t="n"/>
      <c r="T193" s="231" t="n"/>
      <c r="U193" s="231" t="n"/>
      <c r="V193" s="231" t="n"/>
      <c r="W193" s="231" t="n"/>
      <c r="X193" s="231" t="n"/>
      <c r="Y193" s="231" t="n"/>
      <c r="Z193" s="231" t="n"/>
      <c r="AA193" s="231" t="n"/>
      <c r="AB193" s="231" t="n"/>
      <c r="AC193" s="231" t="n"/>
      <c r="AD193" s="231" t="n"/>
      <c r="AE193" s="231" t="n"/>
      <c r="AF193" s="231" t="n"/>
      <c r="AG193" s="231" t="n"/>
      <c r="AH193" s="231" t="n"/>
      <c r="AI193" s="216" t="n"/>
      <c r="AJ193" s="216" t="n"/>
      <c r="AK193" s="216" t="n"/>
      <c r="AL193" s="216" t="n"/>
      <c r="AM193" s="216" t="n"/>
    </row>
    <row r="194" hidden="1" ht="19" customHeight="1">
      <c r="A194" s="233">
        <f>IF(Roster!$C$47="","",IF(Roster!$B$47="","#"&amp;42,Roster!$B$47&amp;""))</f>
        <v/>
      </c>
      <c r="B194" s="234" t="n"/>
      <c r="C194" s="221" t="inlineStr">
        <is>
          <t>WD</t>
        </is>
      </c>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c r="AA194" s="222" t="n"/>
      <c r="AB194" s="222" t="n"/>
      <c r="AC194" s="222" t="n"/>
      <c r="AD194" s="222" t="n"/>
      <c r="AE194" s="222" t="n"/>
      <c r="AF194" s="222" t="n"/>
      <c r="AG194" s="222" t="n"/>
      <c r="AH194" s="222" t="n"/>
      <c r="AI194" s="223" t="n"/>
      <c r="AJ194" s="223" t="n"/>
      <c r="AK194" s="223" t="n"/>
      <c r="AL194" s="223" t="n"/>
      <c r="AM194" s="223" t="n"/>
    </row>
    <row r="195" hidden="1" ht="19" customHeight="1">
      <c r="A195" s="206">
        <f>IF(Roster!$C$48="","",IF(Roster!$B$48="","#"&amp;43,Roster!$B$48&amp;""))</f>
        <v/>
      </c>
      <c r="B195" s="207">
        <f>IF(Roster!$C$48="","",Roster!$C$48)</f>
        <v/>
      </c>
      <c r="C195" s="208" t="inlineStr">
        <is>
          <t>AM</t>
        </is>
      </c>
      <c r="D195" s="209" t="n"/>
      <c r="E195" s="209" t="n"/>
      <c r="F195" s="209" t="n"/>
      <c r="G195" s="209" t="n"/>
      <c r="H195" s="209" t="n"/>
      <c r="I195" s="209" t="n"/>
      <c r="J195" s="209" t="n"/>
      <c r="K195" s="209" t="n"/>
      <c r="L195" s="209" t="n"/>
      <c r="M195" s="209" t="n"/>
      <c r="N195" s="209" t="n"/>
      <c r="O195" s="209" t="n"/>
      <c r="P195" s="209" t="n"/>
      <c r="Q195" s="209" t="n"/>
      <c r="R195" s="209" t="n"/>
      <c r="S195" s="209" t="n"/>
      <c r="T195" s="209" t="n"/>
      <c r="U195" s="209" t="n"/>
      <c r="V195" s="209" t="n"/>
      <c r="W195" s="209" t="n"/>
      <c r="X195" s="209" t="n"/>
      <c r="Y195" s="209" t="n"/>
      <c r="Z195" s="209" t="n"/>
      <c r="AA195" s="209" t="n"/>
      <c r="AB195" s="209" t="n"/>
      <c r="AC195" s="209" t="n"/>
      <c r="AD195" s="209" t="n"/>
      <c r="AE195" s="209" t="n"/>
      <c r="AF195" s="209" t="n"/>
      <c r="AG195" s="209" t="n"/>
      <c r="AH195" s="209" t="n"/>
      <c r="AI195" s="210">
        <f>IF($A195="","",SUMPRODUCT(SUMIFS(ActSort,ActCodesAll,$D195:$AH197,ActCat,AI$3)))</f>
        <v/>
      </c>
      <c r="AJ195" s="211">
        <f>IF($A195="","",SUMPRODUCT(SUMIFS(ActHrs,ActCodesAll,$D195:$AH197,ActCat,AJ$3)))</f>
        <v/>
      </c>
      <c r="AK195" s="210">
        <f>IF($A195="","",SUMPRODUCT(--((COUNTIFS(ActCodesAll,$D195:$AH195,ActCat,AK$3)+COUNTIFS(ActCodesAll,$D196:$AH196,ActCat,AK$3)+COUNTIFS(ActCodesAll,$D197:$AH197,ActCat,AK$3)+COUNTIFS(ActCodesAll,$D198:$AH198,ActCat,AK$3))&gt;0)))</f>
        <v/>
      </c>
      <c r="AL195" s="210">
        <f>IF($A195="","",SUMPRODUCT(--((COUNTIFS(ActCodesAll,$D195:$AH195,ActCat,AL$3)+COUNTIFS(ActCodesAll,$D196:$AH196,ActCat,AL$3)+COUNTIFS(ActCodesAll,$D197:$AH197,ActCat,AL$3)+COUNTIFS(ActCodesAll,$D198:$AH198,ActCat,AL$3))&gt;0)))</f>
        <v/>
      </c>
      <c r="AM195" s="210">
        <f>IF($A195="","",SUMPRODUCT(--((COUNTIFS(ActCodesAll,$D195:$AH195,ActCat,AM$3)+COUNTIFS(ActCodesAll,$D196:$AH196,ActCat,AM$3)+COUNTIFS(ActCodesAll,$D197:$AH197,ActCat,AM$3)+COUNTIFS(ActCodesAll,$D198:$AH198,ActCat,AM$3))&gt;0)))</f>
        <v/>
      </c>
    </row>
    <row r="196" hidden="1" ht="19" customHeight="1">
      <c r="A196" s="212">
        <f>IF(Roster!$C$48="","",IF(Roster!$B$48="","#"&amp;43,Roster!$B$48&amp;""))</f>
        <v/>
      </c>
      <c r="B196" s="213" t="n"/>
      <c r="C196" s="214" t="inlineStr">
        <is>
          <t>PM</t>
        </is>
      </c>
      <c r="D196" s="215" t="n"/>
      <c r="E196" s="215" t="n"/>
      <c r="F196" s="215" t="n"/>
      <c r="G196" s="215" t="n"/>
      <c r="H196" s="215" t="n"/>
      <c r="I196" s="215" t="n"/>
      <c r="J196" s="215" t="n"/>
      <c r="K196" s="215" t="n"/>
      <c r="L196" s="215" t="n"/>
      <c r="M196" s="215" t="n"/>
      <c r="N196" s="215" t="n"/>
      <c r="O196" s="215" t="n"/>
      <c r="P196" s="215" t="n"/>
      <c r="Q196" s="215" t="n"/>
      <c r="R196" s="215" t="n"/>
      <c r="S196" s="215" t="n"/>
      <c r="T196" s="215" t="n"/>
      <c r="U196" s="215" t="n"/>
      <c r="V196" s="215" t="n"/>
      <c r="W196" s="215" t="n"/>
      <c r="X196" s="215" t="n"/>
      <c r="Y196" s="215" t="n"/>
      <c r="Z196" s="215" t="n"/>
      <c r="AA196" s="215" t="n"/>
      <c r="AB196" s="215" t="n"/>
      <c r="AC196" s="215" t="n"/>
      <c r="AD196" s="215" t="n"/>
      <c r="AE196" s="215" t="n"/>
      <c r="AF196" s="215" t="n"/>
      <c r="AG196" s="215" t="n"/>
      <c r="AH196" s="215" t="n"/>
      <c r="AI196" s="216" t="n"/>
      <c r="AJ196" s="216" t="n"/>
      <c r="AK196" s="216" t="n"/>
      <c r="AL196" s="216" t="n"/>
      <c r="AM196" s="216" t="n"/>
    </row>
    <row r="197" hidden="1" ht="19" customHeight="1">
      <c r="A197" s="212">
        <f>IF(Roster!$C$48="","",IF(Roster!$B$48="","#"&amp;43,Roster!$B$48&amp;""))</f>
        <v/>
      </c>
      <c r="B197" s="217">
        <f>IF(Roster!$C$48="","",Roster!$F$48&amp;IF(OR(Roster!$G$48="SANS",Roster!$G$48="NSMEN"),"  |  "&amp;Roster!$G$48,""))</f>
        <v/>
      </c>
      <c r="C197" s="218" t="inlineStr">
        <is>
          <t>NIGHT</t>
        </is>
      </c>
      <c r="D197" s="215" t="n"/>
      <c r="E197" s="215" t="n"/>
      <c r="F197" s="215" t="n"/>
      <c r="G197" s="215" t="n"/>
      <c r="H197" s="215" t="n"/>
      <c r="I197" s="215" t="n"/>
      <c r="J197" s="215" t="n"/>
      <c r="K197" s="215" t="n"/>
      <c r="L197" s="215" t="n"/>
      <c r="M197" s="215" t="n"/>
      <c r="N197" s="215" t="n"/>
      <c r="O197" s="215" t="n"/>
      <c r="P197" s="215" t="n"/>
      <c r="Q197" s="215" t="n"/>
      <c r="R197" s="215" t="n"/>
      <c r="S197" s="215" t="n"/>
      <c r="T197" s="215" t="n"/>
      <c r="U197" s="215" t="n"/>
      <c r="V197" s="215" t="n"/>
      <c r="W197" s="215" t="n"/>
      <c r="X197" s="215" t="n"/>
      <c r="Y197" s="215" t="n"/>
      <c r="Z197" s="215" t="n"/>
      <c r="AA197" s="215" t="n"/>
      <c r="AB197" s="215" t="n"/>
      <c r="AC197" s="215" t="n"/>
      <c r="AD197" s="215" t="n"/>
      <c r="AE197" s="215" t="n"/>
      <c r="AF197" s="215" t="n"/>
      <c r="AG197" s="215" t="n"/>
      <c r="AH197" s="215" t="n"/>
      <c r="AI197" s="216" t="n"/>
      <c r="AJ197" s="216" t="n"/>
      <c r="AK197" s="216" t="n"/>
      <c r="AL197" s="216" t="n"/>
      <c r="AM197" s="216" t="n"/>
    </row>
    <row r="198" hidden="1" ht="19" customHeight="1">
      <c r="A198" s="219">
        <f>IF(Roster!$C$48="","",IF(Roster!$B$48="","#"&amp;43,Roster!$B$48&amp;""))</f>
        <v/>
      </c>
      <c r="B198" s="220" t="n"/>
      <c r="C198" s="221" t="inlineStr">
        <is>
          <t>WD</t>
        </is>
      </c>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c r="AA198" s="222" t="n"/>
      <c r="AB198" s="222" t="n"/>
      <c r="AC198" s="222" t="n"/>
      <c r="AD198" s="222" t="n"/>
      <c r="AE198" s="222" t="n"/>
      <c r="AF198" s="222" t="n"/>
      <c r="AG198" s="222" t="n"/>
      <c r="AH198" s="222" t="n"/>
      <c r="AI198" s="223" t="n"/>
      <c r="AJ198" s="223" t="n"/>
      <c r="AK198" s="223" t="n"/>
      <c r="AL198" s="223" t="n"/>
      <c r="AM198" s="223" t="n"/>
    </row>
    <row r="199" hidden="1" ht="19" customHeight="1">
      <c r="A199" s="224">
        <f>IF(Roster!$C$49="","",IF(Roster!$B$49="","#"&amp;44,Roster!$B$49&amp;""))</f>
        <v/>
      </c>
      <c r="B199" s="225">
        <f>IF(Roster!$C$49="","",Roster!$C$49)</f>
        <v/>
      </c>
      <c r="C199" s="208" t="inlineStr">
        <is>
          <t>AM</t>
        </is>
      </c>
      <c r="D199" s="226" t="n"/>
      <c r="E199" s="226" t="n"/>
      <c r="F199" s="226" t="n"/>
      <c r="G199" s="226" t="n"/>
      <c r="H199" s="226" t="n"/>
      <c r="I199" s="226" t="n"/>
      <c r="J199" s="226" t="n"/>
      <c r="K199" s="226" t="n"/>
      <c r="L199" s="226" t="n"/>
      <c r="M199" s="226" t="n"/>
      <c r="N199" s="226" t="n"/>
      <c r="O199" s="226" t="n"/>
      <c r="P199" s="226" t="n"/>
      <c r="Q199" s="226" t="n"/>
      <c r="R199" s="226" t="n"/>
      <c r="S199" s="226" t="n"/>
      <c r="T199" s="226" t="n"/>
      <c r="U199" s="226" t="n"/>
      <c r="V199" s="226" t="n"/>
      <c r="W199" s="226" t="n"/>
      <c r="X199" s="226" t="n"/>
      <c r="Y199" s="226" t="n"/>
      <c r="Z199" s="226" t="n"/>
      <c r="AA199" s="226" t="n"/>
      <c r="AB199" s="226" t="n"/>
      <c r="AC199" s="226" t="n"/>
      <c r="AD199" s="226" t="n"/>
      <c r="AE199" s="226" t="n"/>
      <c r="AF199" s="226" t="n"/>
      <c r="AG199" s="226" t="n"/>
      <c r="AH199" s="226" t="n"/>
      <c r="AI199" s="227">
        <f>IF($A199="","",SUMPRODUCT(SUMIFS(ActSort,ActCodesAll,$D199:$AH201,ActCat,AI$3)))</f>
        <v/>
      </c>
      <c r="AJ199" s="228">
        <f>IF($A199="","",SUMPRODUCT(SUMIFS(ActHrs,ActCodesAll,$D199:$AH201,ActCat,AJ$3)))</f>
        <v/>
      </c>
      <c r="AK199" s="227">
        <f>IF($A199="","",SUMPRODUCT(--((COUNTIFS(ActCodesAll,$D199:$AH199,ActCat,AK$3)+COUNTIFS(ActCodesAll,$D200:$AH200,ActCat,AK$3)+COUNTIFS(ActCodesAll,$D201:$AH201,ActCat,AK$3)+COUNTIFS(ActCodesAll,$D202:$AH202,ActCat,AK$3))&gt;0)))</f>
        <v/>
      </c>
      <c r="AL199" s="227">
        <f>IF($A199="","",SUMPRODUCT(--((COUNTIFS(ActCodesAll,$D199:$AH199,ActCat,AL$3)+COUNTIFS(ActCodesAll,$D200:$AH200,ActCat,AL$3)+COUNTIFS(ActCodesAll,$D201:$AH201,ActCat,AL$3)+COUNTIFS(ActCodesAll,$D202:$AH202,ActCat,AL$3))&gt;0)))</f>
        <v/>
      </c>
      <c r="AM199" s="227">
        <f>IF($A199="","",SUMPRODUCT(--((COUNTIFS(ActCodesAll,$D199:$AH199,ActCat,AM$3)+COUNTIFS(ActCodesAll,$D200:$AH200,ActCat,AM$3)+COUNTIFS(ActCodesAll,$D201:$AH201,ActCat,AM$3)+COUNTIFS(ActCodesAll,$D202:$AH202,ActCat,AM$3))&gt;0)))</f>
        <v/>
      </c>
    </row>
    <row r="200" hidden="1" ht="19" customHeight="1">
      <c r="A200" s="229">
        <f>IF(Roster!$C$49="","",IF(Roster!$B$49="","#"&amp;44,Roster!$B$49&amp;""))</f>
        <v/>
      </c>
      <c r="B200" s="230" t="n"/>
      <c r="C200" s="214" t="inlineStr">
        <is>
          <t>PM</t>
        </is>
      </c>
      <c r="D200" s="231" t="n"/>
      <c r="E200" s="231" t="n"/>
      <c r="F200" s="231" t="n"/>
      <c r="G200" s="231" t="n"/>
      <c r="H200" s="231" t="n"/>
      <c r="I200" s="231" t="n"/>
      <c r="J200" s="231" t="n"/>
      <c r="K200" s="231" t="n"/>
      <c r="L200" s="231" t="n"/>
      <c r="M200" s="231" t="n"/>
      <c r="N200" s="231" t="n"/>
      <c r="O200" s="231" t="n"/>
      <c r="P200" s="231" t="n"/>
      <c r="Q200" s="231" t="n"/>
      <c r="R200" s="231" t="n"/>
      <c r="S200" s="231" t="n"/>
      <c r="T200" s="231" t="n"/>
      <c r="U200" s="231" t="n"/>
      <c r="V200" s="231" t="n"/>
      <c r="W200" s="231" t="n"/>
      <c r="X200" s="231" t="n"/>
      <c r="Y200" s="231" t="n"/>
      <c r="Z200" s="231" t="n"/>
      <c r="AA200" s="231" t="n"/>
      <c r="AB200" s="231" t="n"/>
      <c r="AC200" s="231" t="n"/>
      <c r="AD200" s="231" t="n"/>
      <c r="AE200" s="231" t="n"/>
      <c r="AF200" s="231" t="n"/>
      <c r="AG200" s="231" t="n"/>
      <c r="AH200" s="231" t="n"/>
      <c r="AI200" s="216" t="n"/>
      <c r="AJ200" s="216" t="n"/>
      <c r="AK200" s="216" t="n"/>
      <c r="AL200" s="216" t="n"/>
      <c r="AM200" s="216" t="n"/>
    </row>
    <row r="201" hidden="1" ht="19" customHeight="1">
      <c r="A201" s="229">
        <f>IF(Roster!$C$49="","",IF(Roster!$B$49="","#"&amp;44,Roster!$B$49&amp;""))</f>
        <v/>
      </c>
      <c r="B201" s="232">
        <f>IF(Roster!$C$49="","",Roster!$F$49&amp;IF(OR(Roster!$G$49="SANS",Roster!$G$49="NSMEN"),"  |  "&amp;Roster!$G$49,""))</f>
        <v/>
      </c>
      <c r="C201" s="218" t="inlineStr">
        <is>
          <t>NIGHT</t>
        </is>
      </c>
      <c r="D201" s="231" t="n"/>
      <c r="E201" s="231" t="n"/>
      <c r="F201" s="231" t="n"/>
      <c r="G201" s="231" t="n"/>
      <c r="H201" s="231" t="n"/>
      <c r="I201" s="231" t="n"/>
      <c r="J201" s="231" t="n"/>
      <c r="K201" s="231" t="n"/>
      <c r="L201" s="231" t="n"/>
      <c r="M201" s="231" t="n"/>
      <c r="N201" s="231" t="n"/>
      <c r="O201" s="231" t="n"/>
      <c r="P201" s="231" t="n"/>
      <c r="Q201" s="231" t="n"/>
      <c r="R201" s="231" t="n"/>
      <c r="S201" s="231" t="n"/>
      <c r="T201" s="231" t="n"/>
      <c r="U201" s="231" t="n"/>
      <c r="V201" s="231" t="n"/>
      <c r="W201" s="231" t="n"/>
      <c r="X201" s="231" t="n"/>
      <c r="Y201" s="231" t="n"/>
      <c r="Z201" s="231" t="n"/>
      <c r="AA201" s="231" t="n"/>
      <c r="AB201" s="231" t="n"/>
      <c r="AC201" s="231" t="n"/>
      <c r="AD201" s="231" t="n"/>
      <c r="AE201" s="231" t="n"/>
      <c r="AF201" s="231" t="n"/>
      <c r="AG201" s="231" t="n"/>
      <c r="AH201" s="231" t="n"/>
      <c r="AI201" s="216" t="n"/>
      <c r="AJ201" s="216" t="n"/>
      <c r="AK201" s="216" t="n"/>
      <c r="AL201" s="216" t="n"/>
      <c r="AM201" s="216" t="n"/>
    </row>
    <row r="202" hidden="1" ht="19" customHeight="1">
      <c r="A202" s="233">
        <f>IF(Roster!$C$49="","",IF(Roster!$B$49="","#"&amp;44,Roster!$B$49&amp;""))</f>
        <v/>
      </c>
      <c r="B202" s="234" t="n"/>
      <c r="C202" s="221" t="inlineStr">
        <is>
          <t>WD</t>
        </is>
      </c>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c r="AA202" s="222" t="n"/>
      <c r="AB202" s="222" t="n"/>
      <c r="AC202" s="222" t="n"/>
      <c r="AD202" s="222" t="n"/>
      <c r="AE202" s="222" t="n"/>
      <c r="AF202" s="222" t="n"/>
      <c r="AG202" s="222" t="n"/>
      <c r="AH202" s="222" t="n"/>
      <c r="AI202" s="223" t="n"/>
      <c r="AJ202" s="223" t="n"/>
      <c r="AK202" s="223" t="n"/>
      <c r="AL202" s="223" t="n"/>
      <c r="AM202" s="223" t="n"/>
    </row>
    <row r="203" hidden="1" ht="19" customHeight="1">
      <c r="A203" s="206">
        <f>IF(Roster!$C$50="","",IF(Roster!$B$50="","#"&amp;45,Roster!$B$50&amp;""))</f>
        <v/>
      </c>
      <c r="B203" s="207">
        <f>IF(Roster!$C$50="","",Roster!$C$50)</f>
        <v/>
      </c>
      <c r="C203" s="208" t="inlineStr">
        <is>
          <t>AM</t>
        </is>
      </c>
      <c r="D203" s="209" t="n"/>
      <c r="E203" s="209" t="n"/>
      <c r="F203" s="209" t="n"/>
      <c r="G203" s="209" t="n"/>
      <c r="H203" s="209" t="n"/>
      <c r="I203" s="209" t="n"/>
      <c r="J203" s="209" t="n"/>
      <c r="K203" s="209" t="n"/>
      <c r="L203" s="209" t="n"/>
      <c r="M203" s="209" t="n"/>
      <c r="N203" s="209" t="n"/>
      <c r="O203" s="209" t="n"/>
      <c r="P203" s="209" t="n"/>
      <c r="Q203" s="209" t="n"/>
      <c r="R203" s="209" t="n"/>
      <c r="S203" s="209" t="n"/>
      <c r="T203" s="209" t="n"/>
      <c r="U203" s="209" t="n"/>
      <c r="V203" s="209" t="n"/>
      <c r="W203" s="209" t="n"/>
      <c r="X203" s="209" t="n"/>
      <c r="Y203" s="209" t="n"/>
      <c r="Z203" s="209" t="n"/>
      <c r="AA203" s="209" t="n"/>
      <c r="AB203" s="209" t="n"/>
      <c r="AC203" s="209" t="n"/>
      <c r="AD203" s="209" t="n"/>
      <c r="AE203" s="209" t="n"/>
      <c r="AF203" s="209" t="n"/>
      <c r="AG203" s="209" t="n"/>
      <c r="AH203" s="209" t="n"/>
      <c r="AI203" s="210">
        <f>IF($A203="","",SUMPRODUCT(SUMIFS(ActSort,ActCodesAll,$D203:$AH205,ActCat,AI$3)))</f>
        <v/>
      </c>
      <c r="AJ203" s="211">
        <f>IF($A203="","",SUMPRODUCT(SUMIFS(ActHrs,ActCodesAll,$D203:$AH205,ActCat,AJ$3)))</f>
        <v/>
      </c>
      <c r="AK203" s="210">
        <f>IF($A203="","",SUMPRODUCT(--((COUNTIFS(ActCodesAll,$D203:$AH203,ActCat,AK$3)+COUNTIFS(ActCodesAll,$D204:$AH204,ActCat,AK$3)+COUNTIFS(ActCodesAll,$D205:$AH205,ActCat,AK$3)+COUNTIFS(ActCodesAll,$D206:$AH206,ActCat,AK$3))&gt;0)))</f>
        <v/>
      </c>
      <c r="AL203" s="210">
        <f>IF($A203="","",SUMPRODUCT(--((COUNTIFS(ActCodesAll,$D203:$AH203,ActCat,AL$3)+COUNTIFS(ActCodesAll,$D204:$AH204,ActCat,AL$3)+COUNTIFS(ActCodesAll,$D205:$AH205,ActCat,AL$3)+COUNTIFS(ActCodesAll,$D206:$AH206,ActCat,AL$3))&gt;0)))</f>
        <v/>
      </c>
      <c r="AM203" s="210">
        <f>IF($A203="","",SUMPRODUCT(--((COUNTIFS(ActCodesAll,$D203:$AH203,ActCat,AM$3)+COUNTIFS(ActCodesAll,$D204:$AH204,ActCat,AM$3)+COUNTIFS(ActCodesAll,$D205:$AH205,ActCat,AM$3)+COUNTIFS(ActCodesAll,$D206:$AH206,ActCat,AM$3))&gt;0)))</f>
        <v/>
      </c>
    </row>
    <row r="204" hidden="1" ht="19" customHeight="1">
      <c r="A204" s="212">
        <f>IF(Roster!$C$50="","",IF(Roster!$B$50="","#"&amp;45,Roster!$B$50&amp;""))</f>
        <v/>
      </c>
      <c r="B204" s="213" t="n"/>
      <c r="C204" s="214" t="inlineStr">
        <is>
          <t>PM</t>
        </is>
      </c>
      <c r="D204" s="215" t="n"/>
      <c r="E204" s="215" t="n"/>
      <c r="F204" s="215" t="n"/>
      <c r="G204" s="215" t="n"/>
      <c r="H204" s="215" t="n"/>
      <c r="I204" s="215" t="n"/>
      <c r="J204" s="215" t="n"/>
      <c r="K204" s="215" t="n"/>
      <c r="L204" s="215" t="n"/>
      <c r="M204" s="215" t="n"/>
      <c r="N204" s="215" t="n"/>
      <c r="O204" s="215" t="n"/>
      <c r="P204" s="215" t="n"/>
      <c r="Q204" s="215" t="n"/>
      <c r="R204" s="215" t="n"/>
      <c r="S204" s="215" t="n"/>
      <c r="T204" s="215" t="n"/>
      <c r="U204" s="215" t="n"/>
      <c r="V204" s="215" t="n"/>
      <c r="W204" s="215" t="n"/>
      <c r="X204" s="215" t="n"/>
      <c r="Y204" s="215" t="n"/>
      <c r="Z204" s="215" t="n"/>
      <c r="AA204" s="215" t="n"/>
      <c r="AB204" s="215" t="n"/>
      <c r="AC204" s="215" t="n"/>
      <c r="AD204" s="215" t="n"/>
      <c r="AE204" s="215" t="n"/>
      <c r="AF204" s="215" t="n"/>
      <c r="AG204" s="215" t="n"/>
      <c r="AH204" s="215" t="n"/>
      <c r="AI204" s="216" t="n"/>
      <c r="AJ204" s="216" t="n"/>
      <c r="AK204" s="216" t="n"/>
      <c r="AL204" s="216" t="n"/>
      <c r="AM204" s="216" t="n"/>
    </row>
    <row r="205" hidden="1" ht="19" customHeight="1">
      <c r="A205" s="212">
        <f>IF(Roster!$C$50="","",IF(Roster!$B$50="","#"&amp;45,Roster!$B$50&amp;""))</f>
        <v/>
      </c>
      <c r="B205" s="217">
        <f>IF(Roster!$C$50="","",Roster!$F$50&amp;IF(OR(Roster!$G$50="SANS",Roster!$G$50="NSMEN"),"  |  "&amp;Roster!$G$50,""))</f>
        <v/>
      </c>
      <c r="C205" s="218" t="inlineStr">
        <is>
          <t>NIGHT</t>
        </is>
      </c>
      <c r="D205" s="215" t="n"/>
      <c r="E205" s="215" t="n"/>
      <c r="F205" s="215" t="n"/>
      <c r="G205" s="215" t="n"/>
      <c r="H205" s="215" t="n"/>
      <c r="I205" s="215" t="n"/>
      <c r="J205" s="215" t="n"/>
      <c r="K205" s="215" t="n"/>
      <c r="L205" s="215" t="n"/>
      <c r="M205" s="215" t="n"/>
      <c r="N205" s="215" t="n"/>
      <c r="O205" s="215" t="n"/>
      <c r="P205" s="215" t="n"/>
      <c r="Q205" s="215" t="n"/>
      <c r="R205" s="215" t="n"/>
      <c r="S205" s="215" t="n"/>
      <c r="T205" s="215" t="n"/>
      <c r="U205" s="215" t="n"/>
      <c r="V205" s="215" t="n"/>
      <c r="W205" s="215" t="n"/>
      <c r="X205" s="215" t="n"/>
      <c r="Y205" s="215" t="n"/>
      <c r="Z205" s="215" t="n"/>
      <c r="AA205" s="215" t="n"/>
      <c r="AB205" s="215" t="n"/>
      <c r="AC205" s="215" t="n"/>
      <c r="AD205" s="215" t="n"/>
      <c r="AE205" s="215" t="n"/>
      <c r="AF205" s="215" t="n"/>
      <c r="AG205" s="215" t="n"/>
      <c r="AH205" s="215" t="n"/>
      <c r="AI205" s="216" t="n"/>
      <c r="AJ205" s="216" t="n"/>
      <c r="AK205" s="216" t="n"/>
      <c r="AL205" s="216" t="n"/>
      <c r="AM205" s="216" t="n"/>
    </row>
    <row r="206" hidden="1" ht="19" customHeight="1">
      <c r="A206" s="219">
        <f>IF(Roster!$C$50="","",IF(Roster!$B$50="","#"&amp;45,Roster!$B$50&amp;""))</f>
        <v/>
      </c>
      <c r="B206" s="220" t="n"/>
      <c r="C206" s="221" t="inlineStr">
        <is>
          <t>WD</t>
        </is>
      </c>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c r="AA206" s="222" t="n"/>
      <c r="AB206" s="222" t="n"/>
      <c r="AC206" s="222" t="n"/>
      <c r="AD206" s="222" t="n"/>
      <c r="AE206" s="222" t="n"/>
      <c r="AF206" s="222" t="n"/>
      <c r="AG206" s="222" t="n"/>
      <c r="AH206" s="222" t="n"/>
      <c r="AI206" s="223" t="n"/>
      <c r="AJ206" s="223" t="n"/>
      <c r="AK206" s="223" t="n"/>
      <c r="AL206" s="223" t="n"/>
      <c r="AM206" s="223" t="n"/>
    </row>
    <row r="207" ht="19" customHeight="1">
      <c r="A207" s="235">
        <f>IF(Roster!$C$51="","",IF(Roster!$B$51="","#"&amp;46,Roster!$B$51&amp;""))</f>
        <v/>
      </c>
      <c r="B207" s="236">
        <f>IF(Roster!$C$51="","",Roster!$C$51)</f>
        <v/>
      </c>
      <c r="C207" s="237" t="inlineStr">
        <is>
          <t>AM</t>
        </is>
      </c>
      <c r="D207" s="238" t="n"/>
      <c r="E207" s="238" t="n"/>
      <c r="F207" s="238" t="n"/>
      <c r="G207" s="238" t="n"/>
      <c r="H207" s="238" t="n"/>
      <c r="I207" s="238" t="n"/>
      <c r="J207" s="238" t="n"/>
      <c r="K207" s="238" t="n"/>
      <c r="L207" s="238" t="n"/>
      <c r="M207" s="238" t="n"/>
      <c r="N207" s="238" t="n"/>
      <c r="O207" s="238" t="n"/>
      <c r="P207" s="238" t="n"/>
      <c r="Q207" s="238" t="n"/>
      <c r="R207" s="238" t="n"/>
      <c r="S207" s="238" t="n"/>
      <c r="T207" s="238" t="n"/>
      <c r="U207" s="238" t="n"/>
      <c r="V207" s="238" t="n"/>
      <c r="W207" s="238" t="n"/>
      <c r="X207" s="238" t="n"/>
      <c r="Y207" s="238" t="n"/>
      <c r="Z207" s="238" t="n"/>
      <c r="AA207" s="238" t="n"/>
      <c r="AB207" s="238" t="n"/>
      <c r="AC207" s="238" t="n"/>
      <c r="AD207" s="238" t="n"/>
      <c r="AE207" s="238" t="n"/>
      <c r="AF207" s="238" t="n"/>
      <c r="AG207" s="238" t="n"/>
      <c r="AH207" s="238" t="n"/>
      <c r="AI207" s="239">
        <f>IF($A207="","",SUMPRODUCT(SUMIFS(ActSort,ActCodesAll,$D207:$AH209,ActCat,AI$3)))</f>
        <v/>
      </c>
      <c r="AJ207" s="240">
        <f>IF($A207="","",SUMPRODUCT(SUMIFS(ActHrs,ActCodesAll,$D207:$AH209,ActCat,AJ$3)))</f>
        <v/>
      </c>
      <c r="AK207" s="239">
        <f>IF($A207="","",SUMPRODUCT(--((COUNTIFS(ActCodesAll,$D207:$AH207,ActCat,AK$3)+COUNTIFS(ActCodesAll,$D208:$AH208,ActCat,AK$3)+COUNTIFS(ActCodesAll,$D209:$AH209,ActCat,AK$3)+COUNTIFS(ActCodesAll,$D210:$AH210,ActCat,AK$3))&gt;0)))</f>
        <v/>
      </c>
      <c r="AL207" s="239">
        <f>IF($A207="","",SUMPRODUCT(--((COUNTIFS(ActCodesAll,$D207:$AH207,ActCat,AL$3)+COUNTIFS(ActCodesAll,$D208:$AH208,ActCat,AL$3)+COUNTIFS(ActCodesAll,$D209:$AH209,ActCat,AL$3)+COUNTIFS(ActCodesAll,$D210:$AH210,ActCat,AL$3))&gt;0)))</f>
        <v/>
      </c>
      <c r="AM207" s="239">
        <f>IF($A207="","",SUMPRODUCT(--((COUNTIFS(ActCodesAll,$D207:$AH207,ActCat,AM$3)+COUNTIFS(ActCodesAll,$D208:$AH208,ActCat,AM$3)+COUNTIFS(ActCodesAll,$D209:$AH209,ActCat,AM$3)+COUNTIFS(ActCodesAll,$D210:$AH210,ActCat,AM$3))&gt;0)))</f>
        <v/>
      </c>
    </row>
    <row r="208" ht="19" customHeight="1">
      <c r="A208" s="241">
        <f>IF(Roster!$C$51="","",IF(Roster!$B$51="","#"&amp;46,Roster!$B$51&amp;""))</f>
        <v/>
      </c>
      <c r="B208" s="242" t="n"/>
      <c r="C208" s="214" t="inlineStr">
        <is>
          <t>PM</t>
        </is>
      </c>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16" t="n"/>
      <c r="AJ208" s="216" t="n"/>
      <c r="AK208" s="216" t="n"/>
      <c r="AL208" s="216" t="n"/>
      <c r="AM208" s="216" t="n"/>
    </row>
    <row r="209" ht="19" customHeight="1">
      <c r="A209" s="241">
        <f>IF(Roster!$C$51="","",IF(Roster!$B$51="","#"&amp;46,Roster!$B$51&amp;""))</f>
        <v/>
      </c>
      <c r="B209" s="244">
        <f>IF(Roster!$C$51="","",Roster!$F$51&amp;IF(OR(Roster!$G$51="SANS",Roster!$G$51="NSMEN"),"  |  "&amp;Roster!$G$51,""))</f>
        <v/>
      </c>
      <c r="C209" s="218" t="inlineStr">
        <is>
          <t>NIGHT</t>
        </is>
      </c>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16" t="n"/>
      <c r="AJ209" s="216" t="n"/>
      <c r="AK209" s="216" t="n"/>
      <c r="AL209" s="216" t="n"/>
      <c r="AM209" s="216" t="n"/>
    </row>
    <row r="210" ht="19" customHeight="1">
      <c r="A210" s="245">
        <f>IF(Roster!$C$51="","",IF(Roster!$B$51="","#"&amp;46,Roster!$B$51&amp;""))</f>
        <v/>
      </c>
      <c r="B210" s="246" t="n"/>
      <c r="C210" s="221" t="inlineStr">
        <is>
          <t>WD</t>
        </is>
      </c>
      <c r="D210" s="247" t="n"/>
      <c r="E210" s="247" t="n"/>
      <c r="F210" s="247" t="n"/>
      <c r="G210" s="247" t="n"/>
      <c r="H210" s="247" t="n"/>
      <c r="I210" s="247" t="n"/>
      <c r="J210" s="247" t="n"/>
      <c r="K210" s="247" t="n"/>
      <c r="L210" s="247" t="n"/>
      <c r="M210" s="247" t="n"/>
      <c r="N210" s="247" t="n"/>
      <c r="O210" s="247" t="n"/>
      <c r="P210" s="247" t="n"/>
      <c r="Q210" s="247" t="n"/>
      <c r="R210" s="247" t="n"/>
      <c r="S210" s="247" t="n"/>
      <c r="T210" s="247" t="n"/>
      <c r="U210" s="247" t="n"/>
      <c r="V210" s="247" t="n"/>
      <c r="W210" s="247" t="n"/>
      <c r="X210" s="247" t="n"/>
      <c r="Y210" s="247" t="n"/>
      <c r="Z210" s="247" t="n"/>
      <c r="AA210" s="247" t="n"/>
      <c r="AB210" s="247" t="n"/>
      <c r="AC210" s="247" t="n"/>
      <c r="AD210" s="247" t="n"/>
      <c r="AE210" s="247" t="n"/>
      <c r="AF210" s="247" t="n"/>
      <c r="AG210" s="247" t="n"/>
      <c r="AH210" s="247" t="n"/>
      <c r="AI210" s="223" t="n"/>
      <c r="AJ210" s="223" t="n"/>
      <c r="AK210" s="223" t="n"/>
      <c r="AL210" s="223" t="n"/>
      <c r="AM210" s="223" t="n"/>
    </row>
    <row r="211" ht="19" customHeight="1">
      <c r="A211" s="248">
        <f>IF(Roster!$C$52="","",IF(Roster!$B$52="","#"&amp;47,Roster!$B$52&amp;""))</f>
        <v/>
      </c>
      <c r="B211" s="249">
        <f>IF(Roster!$C$52="","",Roster!$C$52)</f>
        <v/>
      </c>
      <c r="C211" s="208" t="inlineStr">
        <is>
          <t>AM</t>
        </is>
      </c>
      <c r="D211" s="250" t="n"/>
      <c r="E211" s="250" t="n"/>
      <c r="F211" s="250" t="n"/>
      <c r="G211" s="250" t="n"/>
      <c r="H211" s="250" t="n"/>
      <c r="I211" s="250" t="n"/>
      <c r="J211" s="250" t="n"/>
      <c r="K211" s="250" t="n"/>
      <c r="L211" s="250" t="n"/>
      <c r="M211" s="250" t="n"/>
      <c r="N211" s="250" t="n"/>
      <c r="O211" s="250" t="n"/>
      <c r="P211" s="250" t="n"/>
      <c r="Q211" s="250" t="n"/>
      <c r="R211" s="250" t="n"/>
      <c r="S211" s="250" t="n"/>
      <c r="T211" s="250" t="n"/>
      <c r="U211" s="250" t="n"/>
      <c r="V211" s="250" t="n"/>
      <c r="W211" s="250" t="n"/>
      <c r="X211" s="250" t="n"/>
      <c r="Y211" s="250" t="n"/>
      <c r="Z211" s="250" t="n"/>
      <c r="AA211" s="250" t="n"/>
      <c r="AB211" s="250" t="n"/>
      <c r="AC211" s="250" t="n"/>
      <c r="AD211" s="250" t="n"/>
      <c r="AE211" s="250" t="n"/>
      <c r="AF211" s="250" t="n"/>
      <c r="AG211" s="250" t="n"/>
      <c r="AH211" s="250" t="n"/>
      <c r="AI211" s="251">
        <f>IF($A211="","",SUMPRODUCT(SUMIFS(ActSort,ActCodesAll,$D211:$AH213,ActCat,AI$3)))</f>
        <v/>
      </c>
      <c r="AJ211" s="252">
        <f>IF($A211="","",SUMPRODUCT(SUMIFS(ActHrs,ActCodesAll,$D211:$AH213,ActCat,AJ$3)))</f>
        <v/>
      </c>
      <c r="AK211" s="251">
        <f>IF($A211="","",SUMPRODUCT(--((COUNTIFS(ActCodesAll,$D211:$AH211,ActCat,AK$3)+COUNTIFS(ActCodesAll,$D212:$AH212,ActCat,AK$3)+COUNTIFS(ActCodesAll,$D213:$AH213,ActCat,AK$3)+COUNTIFS(ActCodesAll,$D214:$AH214,ActCat,AK$3))&gt;0)))</f>
        <v/>
      </c>
      <c r="AL211" s="251">
        <f>IF($A211="","",SUMPRODUCT(--((COUNTIFS(ActCodesAll,$D211:$AH211,ActCat,AL$3)+COUNTIFS(ActCodesAll,$D212:$AH212,ActCat,AL$3)+COUNTIFS(ActCodesAll,$D213:$AH213,ActCat,AL$3)+COUNTIFS(ActCodesAll,$D214:$AH214,ActCat,AL$3))&gt;0)))</f>
        <v/>
      </c>
      <c r="AM211" s="251">
        <f>IF($A211="","",SUMPRODUCT(--((COUNTIFS(ActCodesAll,$D211:$AH211,ActCat,AM$3)+COUNTIFS(ActCodesAll,$D212:$AH212,ActCat,AM$3)+COUNTIFS(ActCodesAll,$D213:$AH213,ActCat,AM$3)+COUNTIFS(ActCodesAll,$D214:$AH214,ActCat,AM$3))&gt;0)))</f>
        <v/>
      </c>
    </row>
    <row r="212" ht="19" customHeight="1">
      <c r="A212" s="241">
        <f>IF(Roster!$C$52="","",IF(Roster!$B$52="","#"&amp;47,Roster!$B$52&amp;""))</f>
        <v/>
      </c>
      <c r="B212" s="242" t="n"/>
      <c r="C212" s="214" t="inlineStr">
        <is>
          <t>PM</t>
        </is>
      </c>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16" t="n"/>
      <c r="AJ212" s="216" t="n"/>
      <c r="AK212" s="216" t="n"/>
      <c r="AL212" s="216" t="n"/>
      <c r="AM212" s="216" t="n"/>
    </row>
    <row r="213" ht="19" customHeight="1">
      <c r="A213" s="241">
        <f>IF(Roster!$C$52="","",IF(Roster!$B$52="","#"&amp;47,Roster!$B$52&amp;""))</f>
        <v/>
      </c>
      <c r="B213" s="244">
        <f>IF(Roster!$C$52="","",Roster!$F$52&amp;IF(OR(Roster!$G$52="SANS",Roster!$G$52="NSMEN"),"  |  "&amp;Roster!$G$52,""))</f>
        <v/>
      </c>
      <c r="C213" s="218" t="inlineStr">
        <is>
          <t>NIGHT</t>
        </is>
      </c>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16" t="n"/>
      <c r="AJ213" s="216" t="n"/>
      <c r="AK213" s="216" t="n"/>
      <c r="AL213" s="216" t="n"/>
      <c r="AM213" s="216" t="n"/>
    </row>
    <row r="214" ht="19" customHeight="1">
      <c r="A214" s="245">
        <f>IF(Roster!$C$52="","",IF(Roster!$B$52="","#"&amp;47,Roster!$B$52&amp;""))</f>
        <v/>
      </c>
      <c r="B214" s="246" t="n"/>
      <c r="C214" s="221" t="inlineStr">
        <is>
          <t>WD</t>
        </is>
      </c>
      <c r="D214" s="247" t="n"/>
      <c r="E214" s="247" t="n"/>
      <c r="F214" s="247" t="n"/>
      <c r="G214" s="247" t="n"/>
      <c r="H214" s="247" t="n"/>
      <c r="I214" s="247" t="n"/>
      <c r="J214" s="247" t="n"/>
      <c r="K214" s="247" t="n"/>
      <c r="L214" s="247" t="n"/>
      <c r="M214" s="247" t="n"/>
      <c r="N214" s="247" t="n"/>
      <c r="O214" s="247" t="n"/>
      <c r="P214" s="247" t="n"/>
      <c r="Q214" s="247" t="n"/>
      <c r="R214" s="247" t="n"/>
      <c r="S214" s="247" t="n"/>
      <c r="T214" s="247" t="n"/>
      <c r="U214" s="247" t="n"/>
      <c r="V214" s="247" t="n"/>
      <c r="W214" s="247" t="n"/>
      <c r="X214" s="247" t="n"/>
      <c r="Y214" s="247" t="n"/>
      <c r="Z214" s="247" t="n"/>
      <c r="AA214" s="247" t="n"/>
      <c r="AB214" s="247" t="n"/>
      <c r="AC214" s="247" t="n"/>
      <c r="AD214" s="247" t="n"/>
      <c r="AE214" s="247" t="n"/>
      <c r="AF214" s="247" t="n"/>
      <c r="AG214" s="247" t="n"/>
      <c r="AH214" s="247" t="n"/>
      <c r="AI214" s="223" t="n"/>
      <c r="AJ214" s="223" t="n"/>
      <c r="AK214" s="223" t="n"/>
      <c r="AL214" s="223" t="n"/>
      <c r="AM214" s="223" t="n"/>
    </row>
    <row r="215" hidden="1" ht="19" customHeight="1">
      <c r="A215" s="248">
        <f>IF(Roster!$C$53="","",IF(Roster!$B$53="","#"&amp;48,Roster!$B$53&amp;""))</f>
        <v/>
      </c>
      <c r="B215" s="249">
        <f>IF(Roster!$C$53="","",Roster!$C$53)</f>
        <v/>
      </c>
      <c r="C215" s="208" t="inlineStr">
        <is>
          <t>AM</t>
        </is>
      </c>
      <c r="D215" s="250" t="n"/>
      <c r="E215" s="250" t="n"/>
      <c r="F215" s="250" t="n"/>
      <c r="G215" s="250" t="n"/>
      <c r="H215" s="250" t="n"/>
      <c r="I215" s="250" t="n"/>
      <c r="J215" s="250" t="n"/>
      <c r="K215" s="250" t="n"/>
      <c r="L215" s="250" t="n"/>
      <c r="M215" s="250" t="n"/>
      <c r="N215" s="250" t="n"/>
      <c r="O215" s="250" t="n"/>
      <c r="P215" s="250" t="n"/>
      <c r="Q215" s="250" t="n"/>
      <c r="R215" s="250" t="n"/>
      <c r="S215" s="250" t="n"/>
      <c r="T215" s="250" t="n"/>
      <c r="U215" s="250" t="n"/>
      <c r="V215" s="250" t="n"/>
      <c r="W215" s="250" t="n"/>
      <c r="X215" s="250" t="n"/>
      <c r="Y215" s="250" t="n"/>
      <c r="Z215" s="250" t="n"/>
      <c r="AA215" s="250" t="n"/>
      <c r="AB215" s="250" t="n"/>
      <c r="AC215" s="250" t="n"/>
      <c r="AD215" s="250" t="n"/>
      <c r="AE215" s="250" t="n"/>
      <c r="AF215" s="250" t="n"/>
      <c r="AG215" s="250" t="n"/>
      <c r="AH215" s="250" t="n"/>
      <c r="AI215" s="251">
        <f>IF($A215="","",SUMPRODUCT(SUMIFS(ActSort,ActCodesAll,$D215:$AH217,ActCat,AI$3)))</f>
        <v/>
      </c>
      <c r="AJ215" s="252">
        <f>IF($A215="","",SUMPRODUCT(SUMIFS(ActHrs,ActCodesAll,$D215:$AH217,ActCat,AJ$3)))</f>
        <v/>
      </c>
      <c r="AK215" s="251">
        <f>IF($A215="","",SUMPRODUCT(--((COUNTIFS(ActCodesAll,$D215:$AH215,ActCat,AK$3)+COUNTIFS(ActCodesAll,$D216:$AH216,ActCat,AK$3)+COUNTIFS(ActCodesAll,$D217:$AH217,ActCat,AK$3)+COUNTIFS(ActCodesAll,$D218:$AH218,ActCat,AK$3))&gt;0)))</f>
        <v/>
      </c>
      <c r="AL215" s="251">
        <f>IF($A215="","",SUMPRODUCT(--((COUNTIFS(ActCodesAll,$D215:$AH215,ActCat,AL$3)+COUNTIFS(ActCodesAll,$D216:$AH216,ActCat,AL$3)+COUNTIFS(ActCodesAll,$D217:$AH217,ActCat,AL$3)+COUNTIFS(ActCodesAll,$D218:$AH218,ActCat,AL$3))&gt;0)))</f>
        <v/>
      </c>
      <c r="AM215" s="251">
        <f>IF($A215="","",SUMPRODUCT(--((COUNTIFS(ActCodesAll,$D215:$AH215,ActCat,AM$3)+COUNTIFS(ActCodesAll,$D216:$AH216,ActCat,AM$3)+COUNTIFS(ActCodesAll,$D217:$AH217,ActCat,AM$3)+COUNTIFS(ActCodesAll,$D218:$AH218,ActCat,AM$3))&gt;0)))</f>
        <v/>
      </c>
    </row>
    <row r="216" hidden="1" ht="19" customHeight="1">
      <c r="A216" s="241">
        <f>IF(Roster!$C$53="","",IF(Roster!$B$53="","#"&amp;48,Roster!$B$53&amp;""))</f>
        <v/>
      </c>
      <c r="B216" s="242" t="n"/>
      <c r="C216" s="214" t="inlineStr">
        <is>
          <t>PM</t>
        </is>
      </c>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16" t="n"/>
      <c r="AJ216" s="216" t="n"/>
      <c r="AK216" s="216" t="n"/>
      <c r="AL216" s="216" t="n"/>
      <c r="AM216" s="216" t="n"/>
    </row>
    <row r="217" hidden="1" ht="19" customHeight="1">
      <c r="A217" s="241">
        <f>IF(Roster!$C$53="","",IF(Roster!$B$53="","#"&amp;48,Roster!$B$53&amp;""))</f>
        <v/>
      </c>
      <c r="B217" s="244">
        <f>IF(Roster!$C$53="","",Roster!$F$53&amp;IF(OR(Roster!$G$53="SANS",Roster!$G$53="NSMEN"),"  |  "&amp;Roster!$G$53,""))</f>
        <v/>
      </c>
      <c r="C217" s="218" t="inlineStr">
        <is>
          <t>NIGHT</t>
        </is>
      </c>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16" t="n"/>
      <c r="AJ217" s="216" t="n"/>
      <c r="AK217" s="216" t="n"/>
      <c r="AL217" s="216" t="n"/>
      <c r="AM217" s="216" t="n"/>
    </row>
    <row r="218" hidden="1" ht="19" customHeight="1">
      <c r="A218" s="245">
        <f>IF(Roster!$C$53="","",IF(Roster!$B$53="","#"&amp;48,Roster!$B$53&amp;""))</f>
        <v/>
      </c>
      <c r="B218" s="246" t="n"/>
      <c r="C218" s="221" t="inlineStr">
        <is>
          <t>WD</t>
        </is>
      </c>
      <c r="D218" s="247" t="n"/>
      <c r="E218" s="247" t="n"/>
      <c r="F218" s="247" t="n"/>
      <c r="G218" s="247" t="n"/>
      <c r="H218" s="247" t="n"/>
      <c r="I218" s="247" t="n"/>
      <c r="J218" s="247" t="n"/>
      <c r="K218" s="247" t="n"/>
      <c r="L218" s="247" t="n"/>
      <c r="M218" s="247" t="n"/>
      <c r="N218" s="247" t="n"/>
      <c r="O218" s="247" t="n"/>
      <c r="P218" s="247" t="n"/>
      <c r="Q218" s="247" t="n"/>
      <c r="R218" s="247" t="n"/>
      <c r="S218" s="247" t="n"/>
      <c r="T218" s="247" t="n"/>
      <c r="U218" s="247" t="n"/>
      <c r="V218" s="247" t="n"/>
      <c r="W218" s="247" t="n"/>
      <c r="X218" s="247" t="n"/>
      <c r="Y218" s="247" t="n"/>
      <c r="Z218" s="247" t="n"/>
      <c r="AA218" s="247" t="n"/>
      <c r="AB218" s="247" t="n"/>
      <c r="AC218" s="247" t="n"/>
      <c r="AD218" s="247" t="n"/>
      <c r="AE218" s="247" t="n"/>
      <c r="AF218" s="247" t="n"/>
      <c r="AG218" s="247" t="n"/>
      <c r="AH218" s="247" t="n"/>
      <c r="AI218" s="223" t="n"/>
      <c r="AJ218" s="223" t="n"/>
      <c r="AK218" s="223" t="n"/>
      <c r="AL218" s="223" t="n"/>
      <c r="AM218" s="223" t="n"/>
    </row>
    <row r="219" hidden="1" ht="19" customHeight="1">
      <c r="A219" s="248">
        <f>IF(Roster!$C$54="","",IF(Roster!$B$54="","#"&amp;49,Roster!$B$54&amp;""))</f>
        <v/>
      </c>
      <c r="B219" s="249">
        <f>IF(Roster!$C$54="","",Roster!$C$54)</f>
        <v/>
      </c>
      <c r="C219" s="208" t="inlineStr">
        <is>
          <t>AM</t>
        </is>
      </c>
      <c r="D219" s="250" t="n"/>
      <c r="E219" s="250" t="n"/>
      <c r="F219" s="250" t="n"/>
      <c r="G219" s="250" t="n"/>
      <c r="H219" s="250" t="n"/>
      <c r="I219" s="250" t="n"/>
      <c r="J219" s="250" t="n"/>
      <c r="K219" s="250" t="n"/>
      <c r="L219" s="250" t="n"/>
      <c r="M219" s="250" t="n"/>
      <c r="N219" s="250" t="n"/>
      <c r="O219" s="250" t="n"/>
      <c r="P219" s="250" t="n"/>
      <c r="Q219" s="250" t="n"/>
      <c r="R219" s="250" t="n"/>
      <c r="S219" s="250" t="n"/>
      <c r="T219" s="250" t="n"/>
      <c r="U219" s="250" t="n"/>
      <c r="V219" s="250" t="n"/>
      <c r="W219" s="250" t="n"/>
      <c r="X219" s="250" t="n"/>
      <c r="Y219" s="250" t="n"/>
      <c r="Z219" s="250" t="n"/>
      <c r="AA219" s="250" t="n"/>
      <c r="AB219" s="250" t="n"/>
      <c r="AC219" s="250" t="n"/>
      <c r="AD219" s="250" t="n"/>
      <c r="AE219" s="250" t="n"/>
      <c r="AF219" s="250" t="n"/>
      <c r="AG219" s="250" t="n"/>
      <c r="AH219" s="250" t="n"/>
      <c r="AI219" s="251">
        <f>IF($A219="","",SUMPRODUCT(SUMIFS(ActSort,ActCodesAll,$D219:$AH221,ActCat,AI$3)))</f>
        <v/>
      </c>
      <c r="AJ219" s="252">
        <f>IF($A219="","",SUMPRODUCT(SUMIFS(ActHrs,ActCodesAll,$D219:$AH221,ActCat,AJ$3)))</f>
        <v/>
      </c>
      <c r="AK219" s="251">
        <f>IF($A219="","",SUMPRODUCT(--((COUNTIFS(ActCodesAll,$D219:$AH219,ActCat,AK$3)+COUNTIFS(ActCodesAll,$D220:$AH220,ActCat,AK$3)+COUNTIFS(ActCodesAll,$D221:$AH221,ActCat,AK$3)+COUNTIFS(ActCodesAll,$D222:$AH222,ActCat,AK$3))&gt;0)))</f>
        <v/>
      </c>
      <c r="AL219" s="251">
        <f>IF($A219="","",SUMPRODUCT(--((COUNTIFS(ActCodesAll,$D219:$AH219,ActCat,AL$3)+COUNTIFS(ActCodesAll,$D220:$AH220,ActCat,AL$3)+COUNTIFS(ActCodesAll,$D221:$AH221,ActCat,AL$3)+COUNTIFS(ActCodesAll,$D222:$AH222,ActCat,AL$3))&gt;0)))</f>
        <v/>
      </c>
      <c r="AM219" s="251">
        <f>IF($A219="","",SUMPRODUCT(--((COUNTIFS(ActCodesAll,$D219:$AH219,ActCat,AM$3)+COUNTIFS(ActCodesAll,$D220:$AH220,ActCat,AM$3)+COUNTIFS(ActCodesAll,$D221:$AH221,ActCat,AM$3)+COUNTIFS(ActCodesAll,$D222:$AH222,ActCat,AM$3))&gt;0)))</f>
        <v/>
      </c>
    </row>
    <row r="220" hidden="1" ht="19" customHeight="1">
      <c r="A220" s="241">
        <f>IF(Roster!$C$54="","",IF(Roster!$B$54="","#"&amp;49,Roster!$B$54&amp;""))</f>
        <v/>
      </c>
      <c r="B220" s="242" t="n"/>
      <c r="C220" s="214" t="inlineStr">
        <is>
          <t>PM</t>
        </is>
      </c>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16" t="n"/>
      <c r="AJ220" s="216" t="n"/>
      <c r="AK220" s="216" t="n"/>
      <c r="AL220" s="216" t="n"/>
      <c r="AM220" s="216" t="n"/>
    </row>
    <row r="221" hidden="1" ht="19" customHeight="1">
      <c r="A221" s="241">
        <f>IF(Roster!$C$54="","",IF(Roster!$B$54="","#"&amp;49,Roster!$B$54&amp;""))</f>
        <v/>
      </c>
      <c r="B221" s="244">
        <f>IF(Roster!$C$54="","",Roster!$F$54&amp;IF(OR(Roster!$G$54="SANS",Roster!$G$54="NSMEN"),"  |  "&amp;Roster!$G$54,""))</f>
        <v/>
      </c>
      <c r="C221" s="218" t="inlineStr">
        <is>
          <t>NIGHT</t>
        </is>
      </c>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16" t="n"/>
      <c r="AJ221" s="216" t="n"/>
      <c r="AK221" s="216" t="n"/>
      <c r="AL221" s="216" t="n"/>
      <c r="AM221" s="216" t="n"/>
    </row>
    <row r="222" hidden="1" ht="19" customHeight="1">
      <c r="A222" s="245">
        <f>IF(Roster!$C$54="","",IF(Roster!$B$54="","#"&amp;49,Roster!$B$54&amp;""))</f>
        <v/>
      </c>
      <c r="B222" s="246" t="n"/>
      <c r="C222" s="221" t="inlineStr">
        <is>
          <t>WD</t>
        </is>
      </c>
      <c r="D222" s="247" t="n"/>
      <c r="E222" s="247" t="n"/>
      <c r="F222" s="247" t="n"/>
      <c r="G222" s="247" t="n"/>
      <c r="H222" s="247" t="n"/>
      <c r="I222" s="247" t="n"/>
      <c r="J222" s="247" t="n"/>
      <c r="K222" s="247" t="n"/>
      <c r="L222" s="247" t="n"/>
      <c r="M222" s="247" t="n"/>
      <c r="N222" s="247" t="n"/>
      <c r="O222" s="247" t="n"/>
      <c r="P222" s="247" t="n"/>
      <c r="Q222" s="247" t="n"/>
      <c r="R222" s="247" t="n"/>
      <c r="S222" s="247" t="n"/>
      <c r="T222" s="247" t="n"/>
      <c r="U222" s="247" t="n"/>
      <c r="V222" s="247" t="n"/>
      <c r="W222" s="247" t="n"/>
      <c r="X222" s="247" t="n"/>
      <c r="Y222" s="247" t="n"/>
      <c r="Z222" s="247" t="n"/>
      <c r="AA222" s="247" t="n"/>
      <c r="AB222" s="247" t="n"/>
      <c r="AC222" s="247" t="n"/>
      <c r="AD222" s="247" t="n"/>
      <c r="AE222" s="247" t="n"/>
      <c r="AF222" s="247" t="n"/>
      <c r="AG222" s="247" t="n"/>
      <c r="AH222" s="247" t="n"/>
      <c r="AI222" s="223" t="n"/>
      <c r="AJ222" s="223" t="n"/>
      <c r="AK222" s="223" t="n"/>
      <c r="AL222" s="223" t="n"/>
      <c r="AM222" s="223" t="n"/>
    </row>
    <row r="223" hidden="1" ht="19" customHeight="1">
      <c r="A223" s="248">
        <f>IF(Roster!$C$55="","",IF(Roster!$B$55="","#"&amp;50,Roster!$B$55&amp;""))</f>
        <v/>
      </c>
      <c r="B223" s="249">
        <f>IF(Roster!$C$55="","",Roster!$C$55)</f>
        <v/>
      </c>
      <c r="C223" s="208" t="inlineStr">
        <is>
          <t>AM</t>
        </is>
      </c>
      <c r="D223" s="250" t="n"/>
      <c r="E223" s="250" t="n"/>
      <c r="F223" s="250" t="n"/>
      <c r="G223" s="250" t="n"/>
      <c r="H223" s="250" t="n"/>
      <c r="I223" s="250" t="n"/>
      <c r="J223" s="250" t="n"/>
      <c r="K223" s="250" t="n"/>
      <c r="L223" s="250" t="n"/>
      <c r="M223" s="250" t="n"/>
      <c r="N223" s="250" t="n"/>
      <c r="O223" s="250" t="n"/>
      <c r="P223" s="250" t="n"/>
      <c r="Q223" s="250" t="n"/>
      <c r="R223" s="250" t="n"/>
      <c r="S223" s="250" t="n"/>
      <c r="T223" s="250" t="n"/>
      <c r="U223" s="250" t="n"/>
      <c r="V223" s="250" t="n"/>
      <c r="W223" s="250" t="n"/>
      <c r="X223" s="250" t="n"/>
      <c r="Y223" s="250" t="n"/>
      <c r="Z223" s="250" t="n"/>
      <c r="AA223" s="250" t="n"/>
      <c r="AB223" s="250" t="n"/>
      <c r="AC223" s="250" t="n"/>
      <c r="AD223" s="250" t="n"/>
      <c r="AE223" s="250" t="n"/>
      <c r="AF223" s="250" t="n"/>
      <c r="AG223" s="250" t="n"/>
      <c r="AH223" s="250" t="n"/>
      <c r="AI223" s="251">
        <f>IF($A223="","",SUMPRODUCT(SUMIFS(ActSort,ActCodesAll,$D223:$AH225,ActCat,AI$3)))</f>
        <v/>
      </c>
      <c r="AJ223" s="252">
        <f>IF($A223="","",SUMPRODUCT(SUMIFS(ActHrs,ActCodesAll,$D223:$AH225,ActCat,AJ$3)))</f>
        <v/>
      </c>
      <c r="AK223" s="251">
        <f>IF($A223="","",SUMPRODUCT(--((COUNTIFS(ActCodesAll,$D223:$AH223,ActCat,AK$3)+COUNTIFS(ActCodesAll,$D224:$AH224,ActCat,AK$3)+COUNTIFS(ActCodesAll,$D225:$AH225,ActCat,AK$3)+COUNTIFS(ActCodesAll,$D226:$AH226,ActCat,AK$3))&gt;0)))</f>
        <v/>
      </c>
      <c r="AL223" s="251">
        <f>IF($A223="","",SUMPRODUCT(--((COUNTIFS(ActCodesAll,$D223:$AH223,ActCat,AL$3)+COUNTIFS(ActCodesAll,$D224:$AH224,ActCat,AL$3)+COUNTIFS(ActCodesAll,$D225:$AH225,ActCat,AL$3)+COUNTIFS(ActCodesAll,$D226:$AH226,ActCat,AL$3))&gt;0)))</f>
        <v/>
      </c>
      <c r="AM223" s="251">
        <f>IF($A223="","",SUMPRODUCT(--((COUNTIFS(ActCodesAll,$D223:$AH223,ActCat,AM$3)+COUNTIFS(ActCodesAll,$D224:$AH224,ActCat,AM$3)+COUNTIFS(ActCodesAll,$D225:$AH225,ActCat,AM$3)+COUNTIFS(ActCodesAll,$D226:$AH226,ActCat,AM$3))&gt;0)))</f>
        <v/>
      </c>
    </row>
    <row r="224" hidden="1" ht="19" customHeight="1">
      <c r="A224" s="241">
        <f>IF(Roster!$C$55="","",IF(Roster!$B$55="","#"&amp;50,Roster!$B$55&amp;""))</f>
        <v/>
      </c>
      <c r="B224" s="242" t="n"/>
      <c r="C224" s="214" t="inlineStr">
        <is>
          <t>PM</t>
        </is>
      </c>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16" t="n"/>
      <c r="AJ224" s="216" t="n"/>
      <c r="AK224" s="216" t="n"/>
      <c r="AL224" s="216" t="n"/>
      <c r="AM224" s="216" t="n"/>
    </row>
    <row r="225" hidden="1" ht="19" customHeight="1">
      <c r="A225" s="241">
        <f>IF(Roster!$C$55="","",IF(Roster!$B$55="","#"&amp;50,Roster!$B$55&amp;""))</f>
        <v/>
      </c>
      <c r="B225" s="244">
        <f>IF(Roster!$C$55="","",Roster!$F$55&amp;IF(OR(Roster!$G$55="SANS",Roster!$G$55="NSMEN"),"  |  "&amp;Roster!$G$55,""))</f>
        <v/>
      </c>
      <c r="C225" s="218" t="inlineStr">
        <is>
          <t>NIGHT</t>
        </is>
      </c>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16" t="n"/>
      <c r="AJ225" s="216" t="n"/>
      <c r="AK225" s="216" t="n"/>
      <c r="AL225" s="216" t="n"/>
      <c r="AM225" s="216" t="n"/>
    </row>
    <row r="226" hidden="1" ht="19" customHeight="1">
      <c r="A226" s="245">
        <f>IF(Roster!$C$55="","",IF(Roster!$B$55="","#"&amp;50,Roster!$B$55&amp;""))</f>
        <v/>
      </c>
      <c r="B226" s="246" t="n"/>
      <c r="C226" s="221" t="inlineStr">
        <is>
          <t>WD</t>
        </is>
      </c>
      <c r="D226" s="247" t="n"/>
      <c r="E226" s="247" t="n"/>
      <c r="F226" s="247" t="n"/>
      <c r="G226" s="247" t="n"/>
      <c r="H226" s="247" t="n"/>
      <c r="I226" s="247" t="n"/>
      <c r="J226" s="247" t="n"/>
      <c r="K226" s="247" t="n"/>
      <c r="L226" s="247" t="n"/>
      <c r="M226" s="247" t="n"/>
      <c r="N226" s="247" t="n"/>
      <c r="O226" s="247" t="n"/>
      <c r="P226" s="247" t="n"/>
      <c r="Q226" s="247" t="n"/>
      <c r="R226" s="247" t="n"/>
      <c r="S226" s="247" t="n"/>
      <c r="T226" s="247" t="n"/>
      <c r="U226" s="247" t="n"/>
      <c r="V226" s="247" t="n"/>
      <c r="W226" s="247" t="n"/>
      <c r="X226" s="247" t="n"/>
      <c r="Y226" s="247" t="n"/>
      <c r="Z226" s="247" t="n"/>
      <c r="AA226" s="247" t="n"/>
      <c r="AB226" s="247" t="n"/>
      <c r="AC226" s="247" t="n"/>
      <c r="AD226" s="247" t="n"/>
      <c r="AE226" s="247" t="n"/>
      <c r="AF226" s="247" t="n"/>
      <c r="AG226" s="247" t="n"/>
      <c r="AH226" s="247" t="n"/>
      <c r="AI226" s="223" t="n"/>
      <c r="AJ226" s="223" t="n"/>
      <c r="AK226" s="223" t="n"/>
      <c r="AL226" s="223" t="n"/>
      <c r="AM226" s="223" t="n"/>
    </row>
    <row r="227" hidden="1" ht="19" customHeight="1">
      <c r="A227" s="248">
        <f>IF(Roster!$C$56="","",IF(Roster!$B$56="","#"&amp;51,Roster!$B$56&amp;""))</f>
        <v/>
      </c>
      <c r="B227" s="249">
        <f>IF(Roster!$C$56="","",Roster!$C$56)</f>
        <v/>
      </c>
      <c r="C227" s="208" t="inlineStr">
        <is>
          <t>AM</t>
        </is>
      </c>
      <c r="D227" s="250" t="n"/>
      <c r="E227" s="250" t="n"/>
      <c r="F227" s="250" t="n"/>
      <c r="G227" s="250" t="n"/>
      <c r="H227" s="250" t="n"/>
      <c r="I227" s="250" t="n"/>
      <c r="J227" s="250" t="n"/>
      <c r="K227" s="250" t="n"/>
      <c r="L227" s="250" t="n"/>
      <c r="M227" s="250" t="n"/>
      <c r="N227" s="250" t="n"/>
      <c r="O227" s="250" t="n"/>
      <c r="P227" s="250" t="n"/>
      <c r="Q227" s="250" t="n"/>
      <c r="R227" s="250" t="n"/>
      <c r="S227" s="250" t="n"/>
      <c r="T227" s="250" t="n"/>
      <c r="U227" s="250" t="n"/>
      <c r="V227" s="250" t="n"/>
      <c r="W227" s="250" t="n"/>
      <c r="X227" s="250" t="n"/>
      <c r="Y227" s="250" t="n"/>
      <c r="Z227" s="250" t="n"/>
      <c r="AA227" s="250" t="n"/>
      <c r="AB227" s="250" t="n"/>
      <c r="AC227" s="250" t="n"/>
      <c r="AD227" s="250" t="n"/>
      <c r="AE227" s="250" t="n"/>
      <c r="AF227" s="250" t="n"/>
      <c r="AG227" s="250" t="n"/>
      <c r="AH227" s="250" t="n"/>
      <c r="AI227" s="251">
        <f>IF($A227="","",SUMPRODUCT(SUMIFS(ActSort,ActCodesAll,$D227:$AH229,ActCat,AI$3)))</f>
        <v/>
      </c>
      <c r="AJ227" s="252">
        <f>IF($A227="","",SUMPRODUCT(SUMIFS(ActHrs,ActCodesAll,$D227:$AH229,ActCat,AJ$3)))</f>
        <v/>
      </c>
      <c r="AK227" s="251">
        <f>IF($A227="","",SUMPRODUCT(--((COUNTIFS(ActCodesAll,$D227:$AH227,ActCat,AK$3)+COUNTIFS(ActCodesAll,$D228:$AH228,ActCat,AK$3)+COUNTIFS(ActCodesAll,$D229:$AH229,ActCat,AK$3)+COUNTIFS(ActCodesAll,$D230:$AH230,ActCat,AK$3))&gt;0)))</f>
        <v/>
      </c>
      <c r="AL227" s="251">
        <f>IF($A227="","",SUMPRODUCT(--((COUNTIFS(ActCodesAll,$D227:$AH227,ActCat,AL$3)+COUNTIFS(ActCodesAll,$D228:$AH228,ActCat,AL$3)+COUNTIFS(ActCodesAll,$D229:$AH229,ActCat,AL$3)+COUNTIFS(ActCodesAll,$D230:$AH230,ActCat,AL$3))&gt;0)))</f>
        <v/>
      </c>
      <c r="AM227" s="251">
        <f>IF($A227="","",SUMPRODUCT(--((COUNTIFS(ActCodesAll,$D227:$AH227,ActCat,AM$3)+COUNTIFS(ActCodesAll,$D228:$AH228,ActCat,AM$3)+COUNTIFS(ActCodesAll,$D229:$AH229,ActCat,AM$3)+COUNTIFS(ActCodesAll,$D230:$AH230,ActCat,AM$3))&gt;0)))</f>
        <v/>
      </c>
    </row>
    <row r="228" hidden="1" ht="19" customHeight="1">
      <c r="A228" s="241">
        <f>IF(Roster!$C$56="","",IF(Roster!$B$56="","#"&amp;51,Roster!$B$56&amp;""))</f>
        <v/>
      </c>
      <c r="B228" s="242" t="n"/>
      <c r="C228" s="214" t="inlineStr">
        <is>
          <t>PM</t>
        </is>
      </c>
      <c r="D228" s="243" t="n"/>
      <c r="E228" s="243" t="n"/>
      <c r="F228" s="243" t="n"/>
      <c r="G228" s="243" t="n"/>
      <c r="H228" s="243" t="n"/>
      <c r="I228" s="243" t="n"/>
      <c r="J228" s="243" t="n"/>
      <c r="K228" s="243" t="n"/>
      <c r="L228" s="243" t="n"/>
      <c r="M228" s="243" t="n"/>
      <c r="N228" s="243" t="n"/>
      <c r="O228" s="243" t="n"/>
      <c r="P228" s="243" t="n"/>
      <c r="Q228" s="243" t="n"/>
      <c r="R228" s="243" t="n"/>
      <c r="S228" s="243" t="n"/>
      <c r="T228" s="243" t="n"/>
      <c r="U228" s="243" t="n"/>
      <c r="V228" s="243" t="n"/>
      <c r="W228" s="243" t="n"/>
      <c r="X228" s="243" t="n"/>
      <c r="Y228" s="243" t="n"/>
      <c r="Z228" s="243" t="n"/>
      <c r="AA228" s="243" t="n"/>
      <c r="AB228" s="243" t="n"/>
      <c r="AC228" s="243" t="n"/>
      <c r="AD228" s="243" t="n"/>
      <c r="AE228" s="243" t="n"/>
      <c r="AF228" s="243" t="n"/>
      <c r="AG228" s="243" t="n"/>
      <c r="AH228" s="243" t="n"/>
      <c r="AI228" s="216" t="n"/>
      <c r="AJ228" s="216" t="n"/>
      <c r="AK228" s="216" t="n"/>
      <c r="AL228" s="216" t="n"/>
      <c r="AM228" s="216" t="n"/>
    </row>
    <row r="229" hidden="1" ht="19" customHeight="1">
      <c r="A229" s="241">
        <f>IF(Roster!$C$56="","",IF(Roster!$B$56="","#"&amp;51,Roster!$B$56&amp;""))</f>
        <v/>
      </c>
      <c r="B229" s="244">
        <f>IF(Roster!$C$56="","",Roster!$F$56&amp;IF(OR(Roster!$G$56="SANS",Roster!$G$56="NSMEN"),"  |  "&amp;Roster!$G$56,""))</f>
        <v/>
      </c>
      <c r="C229" s="218" t="inlineStr">
        <is>
          <t>NIGHT</t>
        </is>
      </c>
      <c r="D229" s="243" t="n"/>
      <c r="E229" s="243" t="n"/>
      <c r="F229" s="243" t="n"/>
      <c r="G229" s="243" t="n"/>
      <c r="H229" s="243" t="n"/>
      <c r="I229" s="243" t="n"/>
      <c r="J229" s="243"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16" t="n"/>
      <c r="AJ229" s="216" t="n"/>
      <c r="AK229" s="216" t="n"/>
      <c r="AL229" s="216" t="n"/>
      <c r="AM229" s="216" t="n"/>
    </row>
    <row r="230" hidden="1" ht="19" customHeight="1">
      <c r="A230" s="245">
        <f>IF(Roster!$C$56="","",IF(Roster!$B$56="","#"&amp;51,Roster!$B$56&amp;""))</f>
        <v/>
      </c>
      <c r="B230" s="246" t="n"/>
      <c r="C230" s="221" t="inlineStr">
        <is>
          <t>WD</t>
        </is>
      </c>
      <c r="D230" s="247" t="n"/>
      <c r="E230" s="247" t="n"/>
      <c r="F230" s="247" t="n"/>
      <c r="G230" s="247" t="n"/>
      <c r="H230" s="247" t="n"/>
      <c r="I230" s="247" t="n"/>
      <c r="J230" s="247" t="n"/>
      <c r="K230" s="247" t="n"/>
      <c r="L230" s="247" t="n"/>
      <c r="M230" s="247" t="n"/>
      <c r="N230" s="247" t="n"/>
      <c r="O230" s="247" t="n"/>
      <c r="P230" s="247" t="n"/>
      <c r="Q230" s="247" t="n"/>
      <c r="R230" s="247" t="n"/>
      <c r="S230" s="247" t="n"/>
      <c r="T230" s="247" t="n"/>
      <c r="U230" s="247" t="n"/>
      <c r="V230" s="247" t="n"/>
      <c r="W230" s="247" t="n"/>
      <c r="X230" s="247" t="n"/>
      <c r="Y230" s="247" t="n"/>
      <c r="Z230" s="247" t="n"/>
      <c r="AA230" s="247" t="n"/>
      <c r="AB230" s="247" t="n"/>
      <c r="AC230" s="247" t="n"/>
      <c r="AD230" s="247" t="n"/>
      <c r="AE230" s="247" t="n"/>
      <c r="AF230" s="247" t="n"/>
      <c r="AG230" s="247" t="n"/>
      <c r="AH230" s="247" t="n"/>
      <c r="AI230" s="223" t="n"/>
      <c r="AJ230" s="223" t="n"/>
      <c r="AK230" s="223" t="n"/>
      <c r="AL230" s="223" t="n"/>
      <c r="AM230" s="223" t="n"/>
    </row>
    <row r="231" hidden="1" ht="19" customHeight="1">
      <c r="A231" s="248">
        <f>IF(Roster!$C$57="","",IF(Roster!$B$57="","#"&amp;52,Roster!$B$57&amp;""))</f>
        <v/>
      </c>
      <c r="B231" s="249">
        <f>IF(Roster!$C$57="","",Roster!$C$57)</f>
        <v/>
      </c>
      <c r="C231" s="208" t="inlineStr">
        <is>
          <t>AM</t>
        </is>
      </c>
      <c r="D231" s="250" t="n"/>
      <c r="E231" s="250" t="n"/>
      <c r="F231" s="250" t="n"/>
      <c r="G231" s="250" t="n"/>
      <c r="H231" s="250" t="n"/>
      <c r="I231" s="250" t="n"/>
      <c r="J231" s="250" t="n"/>
      <c r="K231" s="250" t="n"/>
      <c r="L231" s="250" t="n"/>
      <c r="M231" s="250" t="n"/>
      <c r="N231" s="250" t="n"/>
      <c r="O231" s="250" t="n"/>
      <c r="P231" s="250" t="n"/>
      <c r="Q231" s="250" t="n"/>
      <c r="R231" s="250" t="n"/>
      <c r="S231" s="250" t="n"/>
      <c r="T231" s="250" t="n"/>
      <c r="U231" s="250" t="n"/>
      <c r="V231" s="250" t="n"/>
      <c r="W231" s="250" t="n"/>
      <c r="X231" s="250" t="n"/>
      <c r="Y231" s="250" t="n"/>
      <c r="Z231" s="250" t="n"/>
      <c r="AA231" s="250" t="n"/>
      <c r="AB231" s="250" t="n"/>
      <c r="AC231" s="250" t="n"/>
      <c r="AD231" s="250" t="n"/>
      <c r="AE231" s="250" t="n"/>
      <c r="AF231" s="250" t="n"/>
      <c r="AG231" s="250" t="n"/>
      <c r="AH231" s="250" t="n"/>
      <c r="AI231" s="251">
        <f>IF($A231="","",SUMPRODUCT(SUMIFS(ActSort,ActCodesAll,$D231:$AH233,ActCat,AI$3)))</f>
        <v/>
      </c>
      <c r="AJ231" s="252">
        <f>IF($A231="","",SUMPRODUCT(SUMIFS(ActHrs,ActCodesAll,$D231:$AH233,ActCat,AJ$3)))</f>
        <v/>
      </c>
      <c r="AK231" s="251">
        <f>IF($A231="","",SUMPRODUCT(--((COUNTIFS(ActCodesAll,$D231:$AH231,ActCat,AK$3)+COUNTIFS(ActCodesAll,$D232:$AH232,ActCat,AK$3)+COUNTIFS(ActCodesAll,$D233:$AH233,ActCat,AK$3)+COUNTIFS(ActCodesAll,$D234:$AH234,ActCat,AK$3))&gt;0)))</f>
        <v/>
      </c>
      <c r="AL231" s="251">
        <f>IF($A231="","",SUMPRODUCT(--((COUNTIFS(ActCodesAll,$D231:$AH231,ActCat,AL$3)+COUNTIFS(ActCodesAll,$D232:$AH232,ActCat,AL$3)+COUNTIFS(ActCodesAll,$D233:$AH233,ActCat,AL$3)+COUNTIFS(ActCodesAll,$D234:$AH234,ActCat,AL$3))&gt;0)))</f>
        <v/>
      </c>
      <c r="AM231" s="251">
        <f>IF($A231="","",SUMPRODUCT(--((COUNTIFS(ActCodesAll,$D231:$AH231,ActCat,AM$3)+COUNTIFS(ActCodesAll,$D232:$AH232,ActCat,AM$3)+COUNTIFS(ActCodesAll,$D233:$AH233,ActCat,AM$3)+COUNTIFS(ActCodesAll,$D234:$AH234,ActCat,AM$3))&gt;0)))</f>
        <v/>
      </c>
    </row>
    <row r="232" hidden="1" ht="19" customHeight="1">
      <c r="A232" s="241">
        <f>IF(Roster!$C$57="","",IF(Roster!$B$57="","#"&amp;52,Roster!$B$57&amp;""))</f>
        <v/>
      </c>
      <c r="B232" s="242" t="n"/>
      <c r="C232" s="214" t="inlineStr">
        <is>
          <t>PM</t>
        </is>
      </c>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16" t="n"/>
      <c r="AJ232" s="216" t="n"/>
      <c r="AK232" s="216" t="n"/>
      <c r="AL232" s="216" t="n"/>
      <c r="AM232" s="216" t="n"/>
    </row>
    <row r="233" hidden="1" ht="19" customHeight="1">
      <c r="A233" s="241">
        <f>IF(Roster!$C$57="","",IF(Roster!$B$57="","#"&amp;52,Roster!$B$57&amp;""))</f>
        <v/>
      </c>
      <c r="B233" s="244">
        <f>IF(Roster!$C$57="","",Roster!$F$57&amp;IF(OR(Roster!$G$57="SANS",Roster!$G$57="NSMEN"),"  |  "&amp;Roster!$G$57,""))</f>
        <v/>
      </c>
      <c r="C233" s="218" t="inlineStr">
        <is>
          <t>NIGHT</t>
        </is>
      </c>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16" t="n"/>
      <c r="AJ233" s="216" t="n"/>
      <c r="AK233" s="216" t="n"/>
      <c r="AL233" s="216" t="n"/>
      <c r="AM233" s="216" t="n"/>
    </row>
    <row r="234" hidden="1" ht="19" customHeight="1">
      <c r="A234" s="245">
        <f>IF(Roster!$C$57="","",IF(Roster!$B$57="","#"&amp;52,Roster!$B$57&amp;""))</f>
        <v/>
      </c>
      <c r="B234" s="246" t="n"/>
      <c r="C234" s="221" t="inlineStr">
        <is>
          <t>WD</t>
        </is>
      </c>
      <c r="D234" s="247" t="n"/>
      <c r="E234" s="247" t="n"/>
      <c r="F234" s="247" t="n"/>
      <c r="G234" s="247" t="n"/>
      <c r="H234" s="247" t="n"/>
      <c r="I234" s="247" t="n"/>
      <c r="J234" s="247" t="n"/>
      <c r="K234" s="247" t="n"/>
      <c r="L234" s="247" t="n"/>
      <c r="M234" s="247" t="n"/>
      <c r="N234" s="247" t="n"/>
      <c r="O234" s="247" t="n"/>
      <c r="P234" s="247" t="n"/>
      <c r="Q234" s="247" t="n"/>
      <c r="R234" s="247" t="n"/>
      <c r="S234" s="247" t="n"/>
      <c r="T234" s="247" t="n"/>
      <c r="U234" s="247" t="n"/>
      <c r="V234" s="247" t="n"/>
      <c r="W234" s="247" t="n"/>
      <c r="X234" s="247" t="n"/>
      <c r="Y234" s="247" t="n"/>
      <c r="Z234" s="247" t="n"/>
      <c r="AA234" s="247" t="n"/>
      <c r="AB234" s="247" t="n"/>
      <c r="AC234" s="247" t="n"/>
      <c r="AD234" s="247" t="n"/>
      <c r="AE234" s="247" t="n"/>
      <c r="AF234" s="247" t="n"/>
      <c r="AG234" s="247" t="n"/>
      <c r="AH234" s="247" t="n"/>
      <c r="AI234" s="223" t="n"/>
      <c r="AJ234" s="223" t="n"/>
      <c r="AK234" s="223" t="n"/>
      <c r="AL234" s="223" t="n"/>
      <c r="AM234" s="223" t="n"/>
    </row>
    <row r="235" hidden="1" ht="19" customHeight="1">
      <c r="A235" s="248">
        <f>IF(Roster!$C$58="","",IF(Roster!$B$58="","#"&amp;53,Roster!$B$58&amp;""))</f>
        <v/>
      </c>
      <c r="B235" s="249">
        <f>IF(Roster!$C$58="","",Roster!$C$58)</f>
        <v/>
      </c>
      <c r="C235" s="208" t="inlineStr">
        <is>
          <t>AM</t>
        </is>
      </c>
      <c r="D235" s="250" t="n"/>
      <c r="E235" s="250" t="n"/>
      <c r="F235" s="250" t="n"/>
      <c r="G235" s="250" t="n"/>
      <c r="H235" s="250" t="n"/>
      <c r="I235" s="250" t="n"/>
      <c r="J235" s="250" t="n"/>
      <c r="K235" s="250" t="n"/>
      <c r="L235" s="250" t="n"/>
      <c r="M235" s="250" t="n"/>
      <c r="N235" s="250" t="n"/>
      <c r="O235" s="250" t="n"/>
      <c r="P235" s="250" t="n"/>
      <c r="Q235" s="250" t="n"/>
      <c r="R235" s="250" t="n"/>
      <c r="S235" s="250" t="n"/>
      <c r="T235" s="250" t="n"/>
      <c r="U235" s="250" t="n"/>
      <c r="V235" s="250" t="n"/>
      <c r="W235" s="250" t="n"/>
      <c r="X235" s="250" t="n"/>
      <c r="Y235" s="250" t="n"/>
      <c r="Z235" s="250" t="n"/>
      <c r="AA235" s="250" t="n"/>
      <c r="AB235" s="250" t="n"/>
      <c r="AC235" s="250" t="n"/>
      <c r="AD235" s="250" t="n"/>
      <c r="AE235" s="250" t="n"/>
      <c r="AF235" s="250" t="n"/>
      <c r="AG235" s="250" t="n"/>
      <c r="AH235" s="250" t="n"/>
      <c r="AI235" s="251">
        <f>IF($A235="","",SUMPRODUCT(SUMIFS(ActSort,ActCodesAll,$D235:$AH237,ActCat,AI$3)))</f>
        <v/>
      </c>
      <c r="AJ235" s="252">
        <f>IF($A235="","",SUMPRODUCT(SUMIFS(ActHrs,ActCodesAll,$D235:$AH237,ActCat,AJ$3)))</f>
        <v/>
      </c>
      <c r="AK235" s="251">
        <f>IF($A235="","",SUMPRODUCT(--((COUNTIFS(ActCodesAll,$D235:$AH235,ActCat,AK$3)+COUNTIFS(ActCodesAll,$D236:$AH236,ActCat,AK$3)+COUNTIFS(ActCodesAll,$D237:$AH237,ActCat,AK$3)+COUNTIFS(ActCodesAll,$D238:$AH238,ActCat,AK$3))&gt;0)))</f>
        <v/>
      </c>
      <c r="AL235" s="251">
        <f>IF($A235="","",SUMPRODUCT(--((COUNTIFS(ActCodesAll,$D235:$AH235,ActCat,AL$3)+COUNTIFS(ActCodesAll,$D236:$AH236,ActCat,AL$3)+COUNTIFS(ActCodesAll,$D237:$AH237,ActCat,AL$3)+COUNTIFS(ActCodesAll,$D238:$AH238,ActCat,AL$3))&gt;0)))</f>
        <v/>
      </c>
      <c r="AM235" s="251">
        <f>IF($A235="","",SUMPRODUCT(--((COUNTIFS(ActCodesAll,$D235:$AH235,ActCat,AM$3)+COUNTIFS(ActCodesAll,$D236:$AH236,ActCat,AM$3)+COUNTIFS(ActCodesAll,$D237:$AH237,ActCat,AM$3)+COUNTIFS(ActCodesAll,$D238:$AH238,ActCat,AM$3))&gt;0)))</f>
        <v/>
      </c>
    </row>
    <row r="236" hidden="1" ht="19" customHeight="1">
      <c r="A236" s="241">
        <f>IF(Roster!$C$58="","",IF(Roster!$B$58="","#"&amp;53,Roster!$B$58&amp;""))</f>
        <v/>
      </c>
      <c r="B236" s="242" t="n"/>
      <c r="C236" s="214" t="inlineStr">
        <is>
          <t>PM</t>
        </is>
      </c>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16" t="n"/>
      <c r="AJ236" s="216" t="n"/>
      <c r="AK236" s="216" t="n"/>
      <c r="AL236" s="216" t="n"/>
      <c r="AM236" s="216" t="n"/>
    </row>
    <row r="237" hidden="1" ht="19" customHeight="1">
      <c r="A237" s="241">
        <f>IF(Roster!$C$58="","",IF(Roster!$B$58="","#"&amp;53,Roster!$B$58&amp;""))</f>
        <v/>
      </c>
      <c r="B237" s="244">
        <f>IF(Roster!$C$58="","",Roster!$F$58&amp;IF(OR(Roster!$G$58="SANS",Roster!$G$58="NSMEN"),"  |  "&amp;Roster!$G$58,""))</f>
        <v/>
      </c>
      <c r="C237" s="218" t="inlineStr">
        <is>
          <t>NIGHT</t>
        </is>
      </c>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16" t="n"/>
      <c r="AJ237" s="216" t="n"/>
      <c r="AK237" s="216" t="n"/>
      <c r="AL237" s="216" t="n"/>
      <c r="AM237" s="216" t="n"/>
    </row>
    <row r="238" hidden="1" ht="19" customHeight="1">
      <c r="A238" s="245">
        <f>IF(Roster!$C$58="","",IF(Roster!$B$58="","#"&amp;53,Roster!$B$58&amp;""))</f>
        <v/>
      </c>
      <c r="B238" s="246" t="n"/>
      <c r="C238" s="221" t="inlineStr">
        <is>
          <t>WD</t>
        </is>
      </c>
      <c r="D238" s="247" t="n"/>
      <c r="E238" s="247" t="n"/>
      <c r="F238" s="247" t="n"/>
      <c r="G238" s="247" t="n"/>
      <c r="H238" s="247" t="n"/>
      <c r="I238" s="247" t="n"/>
      <c r="J238" s="247" t="n"/>
      <c r="K238" s="247" t="n"/>
      <c r="L238" s="247" t="n"/>
      <c r="M238" s="247" t="n"/>
      <c r="N238" s="247" t="n"/>
      <c r="O238" s="247" t="n"/>
      <c r="P238" s="247" t="n"/>
      <c r="Q238" s="247" t="n"/>
      <c r="R238" s="247" t="n"/>
      <c r="S238" s="247" t="n"/>
      <c r="T238" s="247" t="n"/>
      <c r="U238" s="247" t="n"/>
      <c r="V238" s="247" t="n"/>
      <c r="W238" s="247" t="n"/>
      <c r="X238" s="247" t="n"/>
      <c r="Y238" s="247" t="n"/>
      <c r="Z238" s="247" t="n"/>
      <c r="AA238" s="247" t="n"/>
      <c r="AB238" s="247" t="n"/>
      <c r="AC238" s="247" t="n"/>
      <c r="AD238" s="247" t="n"/>
      <c r="AE238" s="247" t="n"/>
      <c r="AF238" s="247" t="n"/>
      <c r="AG238" s="247" t="n"/>
      <c r="AH238" s="247" t="n"/>
      <c r="AI238" s="223" t="n"/>
      <c r="AJ238" s="223" t="n"/>
      <c r="AK238" s="223" t="n"/>
      <c r="AL238" s="223" t="n"/>
      <c r="AM238" s="223" t="n"/>
    </row>
    <row r="239" hidden="1" ht="19" customHeight="1">
      <c r="A239" s="248">
        <f>IF(Roster!$C$59="","",IF(Roster!$B$59="","#"&amp;54,Roster!$B$59&amp;""))</f>
        <v/>
      </c>
      <c r="B239" s="249">
        <f>IF(Roster!$C$59="","",Roster!$C$59)</f>
        <v/>
      </c>
      <c r="C239" s="208" t="inlineStr">
        <is>
          <t>AM</t>
        </is>
      </c>
      <c r="D239" s="250" t="n"/>
      <c r="E239" s="250" t="n"/>
      <c r="F239" s="250" t="n"/>
      <c r="G239" s="250" t="n"/>
      <c r="H239" s="250" t="n"/>
      <c r="I239" s="250" t="n"/>
      <c r="J239" s="250" t="n"/>
      <c r="K239" s="250" t="n"/>
      <c r="L239" s="250" t="n"/>
      <c r="M239" s="250" t="n"/>
      <c r="N239" s="250" t="n"/>
      <c r="O239" s="250" t="n"/>
      <c r="P239" s="250" t="n"/>
      <c r="Q239" s="250" t="n"/>
      <c r="R239" s="250" t="n"/>
      <c r="S239" s="250" t="n"/>
      <c r="T239" s="250" t="n"/>
      <c r="U239" s="250" t="n"/>
      <c r="V239" s="250" t="n"/>
      <c r="W239" s="250" t="n"/>
      <c r="X239" s="250" t="n"/>
      <c r="Y239" s="250" t="n"/>
      <c r="Z239" s="250" t="n"/>
      <c r="AA239" s="250" t="n"/>
      <c r="AB239" s="250" t="n"/>
      <c r="AC239" s="250" t="n"/>
      <c r="AD239" s="250" t="n"/>
      <c r="AE239" s="250" t="n"/>
      <c r="AF239" s="250" t="n"/>
      <c r="AG239" s="250" t="n"/>
      <c r="AH239" s="250" t="n"/>
      <c r="AI239" s="251">
        <f>IF($A239="","",SUMPRODUCT(SUMIFS(ActSort,ActCodesAll,$D239:$AH241,ActCat,AI$3)))</f>
        <v/>
      </c>
      <c r="AJ239" s="252">
        <f>IF($A239="","",SUMPRODUCT(SUMIFS(ActHrs,ActCodesAll,$D239:$AH241,ActCat,AJ$3)))</f>
        <v/>
      </c>
      <c r="AK239" s="251">
        <f>IF($A239="","",SUMPRODUCT(--((COUNTIFS(ActCodesAll,$D239:$AH239,ActCat,AK$3)+COUNTIFS(ActCodesAll,$D240:$AH240,ActCat,AK$3)+COUNTIFS(ActCodesAll,$D241:$AH241,ActCat,AK$3)+COUNTIFS(ActCodesAll,$D242:$AH242,ActCat,AK$3))&gt;0)))</f>
        <v/>
      </c>
      <c r="AL239" s="251">
        <f>IF($A239="","",SUMPRODUCT(--((COUNTIFS(ActCodesAll,$D239:$AH239,ActCat,AL$3)+COUNTIFS(ActCodesAll,$D240:$AH240,ActCat,AL$3)+COUNTIFS(ActCodesAll,$D241:$AH241,ActCat,AL$3)+COUNTIFS(ActCodesAll,$D242:$AH242,ActCat,AL$3))&gt;0)))</f>
        <v/>
      </c>
      <c r="AM239" s="251">
        <f>IF($A239="","",SUMPRODUCT(--((COUNTIFS(ActCodesAll,$D239:$AH239,ActCat,AM$3)+COUNTIFS(ActCodesAll,$D240:$AH240,ActCat,AM$3)+COUNTIFS(ActCodesAll,$D241:$AH241,ActCat,AM$3)+COUNTIFS(ActCodesAll,$D242:$AH242,ActCat,AM$3))&gt;0)))</f>
        <v/>
      </c>
    </row>
    <row r="240" hidden="1" ht="19" customHeight="1">
      <c r="A240" s="241">
        <f>IF(Roster!$C$59="","",IF(Roster!$B$59="","#"&amp;54,Roster!$B$59&amp;""))</f>
        <v/>
      </c>
      <c r="B240" s="242" t="n"/>
      <c r="C240" s="214" t="inlineStr">
        <is>
          <t>PM</t>
        </is>
      </c>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16" t="n"/>
      <c r="AJ240" s="216" t="n"/>
      <c r="AK240" s="216" t="n"/>
      <c r="AL240" s="216" t="n"/>
      <c r="AM240" s="216" t="n"/>
    </row>
    <row r="241" hidden="1" ht="19" customHeight="1">
      <c r="A241" s="241">
        <f>IF(Roster!$C$59="","",IF(Roster!$B$59="","#"&amp;54,Roster!$B$59&amp;""))</f>
        <v/>
      </c>
      <c r="B241" s="244">
        <f>IF(Roster!$C$59="","",Roster!$F$59&amp;IF(OR(Roster!$G$59="SANS",Roster!$G$59="NSMEN"),"  |  "&amp;Roster!$G$59,""))</f>
        <v/>
      </c>
      <c r="C241" s="218" t="inlineStr">
        <is>
          <t>NIGHT</t>
        </is>
      </c>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16" t="n"/>
      <c r="AJ241" s="216" t="n"/>
      <c r="AK241" s="216" t="n"/>
      <c r="AL241" s="216" t="n"/>
      <c r="AM241" s="216" t="n"/>
    </row>
    <row r="242" hidden="1" ht="19" customHeight="1">
      <c r="A242" s="245">
        <f>IF(Roster!$C$59="","",IF(Roster!$B$59="","#"&amp;54,Roster!$B$59&amp;""))</f>
        <v/>
      </c>
      <c r="B242" s="246" t="n"/>
      <c r="C242" s="221" t="inlineStr">
        <is>
          <t>WD</t>
        </is>
      </c>
      <c r="D242" s="247" t="n"/>
      <c r="E242" s="247" t="n"/>
      <c r="F242" s="247" t="n"/>
      <c r="G242" s="247" t="n"/>
      <c r="H242" s="247" t="n"/>
      <c r="I242" s="247" t="n"/>
      <c r="J242" s="247" t="n"/>
      <c r="K242" s="247" t="n"/>
      <c r="L242" s="247" t="n"/>
      <c r="M242" s="247" t="n"/>
      <c r="N242" s="247" t="n"/>
      <c r="O242" s="247" t="n"/>
      <c r="P242" s="247" t="n"/>
      <c r="Q242" s="247" t="n"/>
      <c r="R242" s="247" t="n"/>
      <c r="S242" s="247" t="n"/>
      <c r="T242" s="247" t="n"/>
      <c r="U242" s="247" t="n"/>
      <c r="V242" s="247" t="n"/>
      <c r="W242" s="247" t="n"/>
      <c r="X242" s="247" t="n"/>
      <c r="Y242" s="247" t="n"/>
      <c r="Z242" s="247" t="n"/>
      <c r="AA242" s="247" t="n"/>
      <c r="AB242" s="247" t="n"/>
      <c r="AC242" s="247" t="n"/>
      <c r="AD242" s="247" t="n"/>
      <c r="AE242" s="247" t="n"/>
      <c r="AF242" s="247" t="n"/>
      <c r="AG242" s="247" t="n"/>
      <c r="AH242" s="247" t="n"/>
      <c r="AI242" s="223" t="n"/>
      <c r="AJ242" s="223" t="n"/>
      <c r="AK242" s="223" t="n"/>
      <c r="AL242" s="223" t="n"/>
      <c r="AM242" s="223" t="n"/>
    </row>
    <row r="243" hidden="1" ht="19" customHeight="1">
      <c r="A243" s="248">
        <f>IF(Roster!$C$60="","",IF(Roster!$B$60="","#"&amp;55,Roster!$B$60&amp;""))</f>
        <v/>
      </c>
      <c r="B243" s="249">
        <f>IF(Roster!$C$60="","",Roster!$C$60)</f>
        <v/>
      </c>
      <c r="C243" s="208" t="inlineStr">
        <is>
          <t>AM</t>
        </is>
      </c>
      <c r="D243" s="250" t="n"/>
      <c r="E243" s="250" t="n"/>
      <c r="F243" s="250" t="n"/>
      <c r="G243" s="250" t="n"/>
      <c r="H243" s="250" t="n"/>
      <c r="I243" s="250" t="n"/>
      <c r="J243" s="250" t="n"/>
      <c r="K243" s="250" t="n"/>
      <c r="L243" s="250" t="n"/>
      <c r="M243" s="250" t="n"/>
      <c r="N243" s="250" t="n"/>
      <c r="O243" s="250" t="n"/>
      <c r="P243" s="250" t="n"/>
      <c r="Q243" s="250" t="n"/>
      <c r="R243" s="250" t="n"/>
      <c r="S243" s="250" t="n"/>
      <c r="T243" s="250" t="n"/>
      <c r="U243" s="250" t="n"/>
      <c r="V243" s="250" t="n"/>
      <c r="W243" s="250" t="n"/>
      <c r="X243" s="250" t="n"/>
      <c r="Y243" s="250" t="n"/>
      <c r="Z243" s="250" t="n"/>
      <c r="AA243" s="250" t="n"/>
      <c r="AB243" s="250" t="n"/>
      <c r="AC243" s="250" t="n"/>
      <c r="AD243" s="250" t="n"/>
      <c r="AE243" s="250" t="n"/>
      <c r="AF243" s="250" t="n"/>
      <c r="AG243" s="250" t="n"/>
      <c r="AH243" s="250" t="n"/>
      <c r="AI243" s="251">
        <f>IF($A243="","",SUMPRODUCT(SUMIFS(ActSort,ActCodesAll,$D243:$AH245,ActCat,AI$3)))</f>
        <v/>
      </c>
      <c r="AJ243" s="252">
        <f>IF($A243="","",SUMPRODUCT(SUMIFS(ActHrs,ActCodesAll,$D243:$AH245,ActCat,AJ$3)))</f>
        <v/>
      </c>
      <c r="AK243" s="251">
        <f>IF($A243="","",SUMPRODUCT(--((COUNTIFS(ActCodesAll,$D243:$AH243,ActCat,AK$3)+COUNTIFS(ActCodesAll,$D244:$AH244,ActCat,AK$3)+COUNTIFS(ActCodesAll,$D245:$AH245,ActCat,AK$3)+COUNTIFS(ActCodesAll,$D246:$AH246,ActCat,AK$3))&gt;0)))</f>
        <v/>
      </c>
      <c r="AL243" s="251">
        <f>IF($A243="","",SUMPRODUCT(--((COUNTIFS(ActCodesAll,$D243:$AH243,ActCat,AL$3)+COUNTIFS(ActCodesAll,$D244:$AH244,ActCat,AL$3)+COUNTIFS(ActCodesAll,$D245:$AH245,ActCat,AL$3)+COUNTIFS(ActCodesAll,$D246:$AH246,ActCat,AL$3))&gt;0)))</f>
        <v/>
      </c>
      <c r="AM243" s="251">
        <f>IF($A243="","",SUMPRODUCT(--((COUNTIFS(ActCodesAll,$D243:$AH243,ActCat,AM$3)+COUNTIFS(ActCodesAll,$D244:$AH244,ActCat,AM$3)+COUNTIFS(ActCodesAll,$D245:$AH245,ActCat,AM$3)+COUNTIFS(ActCodesAll,$D246:$AH246,ActCat,AM$3))&gt;0)))</f>
        <v/>
      </c>
    </row>
    <row r="244" hidden="1" ht="19" customHeight="1">
      <c r="A244" s="241">
        <f>IF(Roster!$C$60="","",IF(Roster!$B$60="","#"&amp;55,Roster!$B$60&amp;""))</f>
        <v/>
      </c>
      <c r="B244" s="242" t="n"/>
      <c r="C244" s="214" t="inlineStr">
        <is>
          <t>PM</t>
        </is>
      </c>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16" t="n"/>
      <c r="AJ244" s="216" t="n"/>
      <c r="AK244" s="216" t="n"/>
      <c r="AL244" s="216" t="n"/>
      <c r="AM244" s="216" t="n"/>
    </row>
    <row r="245" hidden="1" ht="19" customHeight="1">
      <c r="A245" s="241">
        <f>IF(Roster!$C$60="","",IF(Roster!$B$60="","#"&amp;55,Roster!$B$60&amp;""))</f>
        <v/>
      </c>
      <c r="B245" s="244">
        <f>IF(Roster!$C$60="","",Roster!$F$60&amp;IF(OR(Roster!$G$60="SANS",Roster!$G$60="NSMEN"),"  |  "&amp;Roster!$G$60,""))</f>
        <v/>
      </c>
      <c r="C245" s="218" t="inlineStr">
        <is>
          <t>NIGHT</t>
        </is>
      </c>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16" t="n"/>
      <c r="AJ245" s="216" t="n"/>
      <c r="AK245" s="216" t="n"/>
      <c r="AL245" s="216" t="n"/>
      <c r="AM245" s="216" t="n"/>
    </row>
    <row r="246" hidden="1" ht="19" customHeight="1">
      <c r="A246" s="245">
        <f>IF(Roster!$C$60="","",IF(Roster!$B$60="","#"&amp;55,Roster!$B$60&amp;""))</f>
        <v/>
      </c>
      <c r="B246" s="246" t="n"/>
      <c r="C246" s="221" t="inlineStr">
        <is>
          <t>WD</t>
        </is>
      </c>
      <c r="D246" s="247" t="n"/>
      <c r="E246" s="247" t="n"/>
      <c r="F246" s="247" t="n"/>
      <c r="G246" s="247" t="n"/>
      <c r="H246" s="247" t="n"/>
      <c r="I246" s="247" t="n"/>
      <c r="J246" s="247" t="n"/>
      <c r="K246" s="247" t="n"/>
      <c r="L246" s="247" t="n"/>
      <c r="M246" s="247" t="n"/>
      <c r="N246" s="247" t="n"/>
      <c r="O246" s="247" t="n"/>
      <c r="P246" s="247" t="n"/>
      <c r="Q246" s="247" t="n"/>
      <c r="R246" s="247" t="n"/>
      <c r="S246" s="247" t="n"/>
      <c r="T246" s="247" t="n"/>
      <c r="U246" s="247" t="n"/>
      <c r="V246" s="247" t="n"/>
      <c r="W246" s="247" t="n"/>
      <c r="X246" s="247" t="n"/>
      <c r="Y246" s="247" t="n"/>
      <c r="Z246" s="247" t="n"/>
      <c r="AA246" s="247" t="n"/>
      <c r="AB246" s="247" t="n"/>
      <c r="AC246" s="247" t="n"/>
      <c r="AD246" s="247" t="n"/>
      <c r="AE246" s="247" t="n"/>
      <c r="AF246" s="247" t="n"/>
      <c r="AG246" s="247" t="n"/>
      <c r="AH246" s="247" t="n"/>
      <c r="AI246" s="223" t="n"/>
      <c r="AJ246" s="223" t="n"/>
      <c r="AK246" s="223" t="n"/>
      <c r="AL246" s="223" t="n"/>
      <c r="AM246" s="223" t="n"/>
    </row>
    <row r="247" hidden="1" ht="19" customHeight="1">
      <c r="A247" s="248">
        <f>IF(Roster!$C$61="","",IF(Roster!$B$61="","#"&amp;56,Roster!$B$61&amp;""))</f>
        <v/>
      </c>
      <c r="B247" s="249">
        <f>IF(Roster!$C$61="","",Roster!$C$61)</f>
        <v/>
      </c>
      <c r="C247" s="208" t="inlineStr">
        <is>
          <t>AM</t>
        </is>
      </c>
      <c r="D247" s="250" t="n"/>
      <c r="E247" s="250" t="n"/>
      <c r="F247" s="250" t="n"/>
      <c r="G247" s="250" t="n"/>
      <c r="H247" s="250" t="n"/>
      <c r="I247" s="250" t="n"/>
      <c r="J247" s="250" t="n"/>
      <c r="K247" s="250" t="n"/>
      <c r="L247" s="250" t="n"/>
      <c r="M247" s="250" t="n"/>
      <c r="N247" s="250" t="n"/>
      <c r="O247" s="250" t="n"/>
      <c r="P247" s="250" t="n"/>
      <c r="Q247" s="250" t="n"/>
      <c r="R247" s="250" t="n"/>
      <c r="S247" s="250" t="n"/>
      <c r="T247" s="250" t="n"/>
      <c r="U247" s="250" t="n"/>
      <c r="V247" s="250" t="n"/>
      <c r="W247" s="250" t="n"/>
      <c r="X247" s="250" t="n"/>
      <c r="Y247" s="250" t="n"/>
      <c r="Z247" s="250" t="n"/>
      <c r="AA247" s="250" t="n"/>
      <c r="AB247" s="250" t="n"/>
      <c r="AC247" s="250" t="n"/>
      <c r="AD247" s="250" t="n"/>
      <c r="AE247" s="250" t="n"/>
      <c r="AF247" s="250" t="n"/>
      <c r="AG247" s="250" t="n"/>
      <c r="AH247" s="250" t="n"/>
      <c r="AI247" s="251">
        <f>IF($A247="","",SUMPRODUCT(SUMIFS(ActSort,ActCodesAll,$D247:$AH249,ActCat,AI$3)))</f>
        <v/>
      </c>
      <c r="AJ247" s="252">
        <f>IF($A247="","",SUMPRODUCT(SUMIFS(ActHrs,ActCodesAll,$D247:$AH249,ActCat,AJ$3)))</f>
        <v/>
      </c>
      <c r="AK247" s="251">
        <f>IF($A247="","",SUMPRODUCT(--((COUNTIFS(ActCodesAll,$D247:$AH247,ActCat,AK$3)+COUNTIFS(ActCodesAll,$D248:$AH248,ActCat,AK$3)+COUNTIFS(ActCodesAll,$D249:$AH249,ActCat,AK$3)+COUNTIFS(ActCodesAll,$D250:$AH250,ActCat,AK$3))&gt;0)))</f>
        <v/>
      </c>
      <c r="AL247" s="251">
        <f>IF($A247="","",SUMPRODUCT(--((COUNTIFS(ActCodesAll,$D247:$AH247,ActCat,AL$3)+COUNTIFS(ActCodesAll,$D248:$AH248,ActCat,AL$3)+COUNTIFS(ActCodesAll,$D249:$AH249,ActCat,AL$3)+COUNTIFS(ActCodesAll,$D250:$AH250,ActCat,AL$3))&gt;0)))</f>
        <v/>
      </c>
      <c r="AM247" s="251">
        <f>IF($A247="","",SUMPRODUCT(--((COUNTIFS(ActCodesAll,$D247:$AH247,ActCat,AM$3)+COUNTIFS(ActCodesAll,$D248:$AH248,ActCat,AM$3)+COUNTIFS(ActCodesAll,$D249:$AH249,ActCat,AM$3)+COUNTIFS(ActCodesAll,$D250:$AH250,ActCat,AM$3))&gt;0)))</f>
        <v/>
      </c>
    </row>
    <row r="248" hidden="1" ht="19" customHeight="1">
      <c r="A248" s="241">
        <f>IF(Roster!$C$61="","",IF(Roster!$B$61="","#"&amp;56,Roster!$B$61&amp;""))</f>
        <v/>
      </c>
      <c r="B248" s="242" t="n"/>
      <c r="C248" s="214" t="inlineStr">
        <is>
          <t>PM</t>
        </is>
      </c>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16" t="n"/>
      <c r="AJ248" s="216" t="n"/>
      <c r="AK248" s="216" t="n"/>
      <c r="AL248" s="216" t="n"/>
      <c r="AM248" s="216" t="n"/>
    </row>
    <row r="249" hidden="1" ht="19" customHeight="1">
      <c r="A249" s="241">
        <f>IF(Roster!$C$61="","",IF(Roster!$B$61="","#"&amp;56,Roster!$B$61&amp;""))</f>
        <v/>
      </c>
      <c r="B249" s="244">
        <f>IF(Roster!$C$61="","",Roster!$F$61&amp;IF(OR(Roster!$G$61="SANS",Roster!$G$61="NSMEN"),"  |  "&amp;Roster!$G$61,""))</f>
        <v/>
      </c>
      <c r="C249" s="218" t="inlineStr">
        <is>
          <t>NIGHT</t>
        </is>
      </c>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16" t="n"/>
      <c r="AJ249" s="216" t="n"/>
      <c r="AK249" s="216" t="n"/>
      <c r="AL249" s="216" t="n"/>
      <c r="AM249" s="216" t="n"/>
    </row>
    <row r="250" hidden="1" ht="19" customHeight="1">
      <c r="A250" s="245">
        <f>IF(Roster!$C$61="","",IF(Roster!$B$61="","#"&amp;56,Roster!$B$61&amp;""))</f>
        <v/>
      </c>
      <c r="B250" s="246" t="n"/>
      <c r="C250" s="221" t="inlineStr">
        <is>
          <t>WD</t>
        </is>
      </c>
      <c r="D250" s="247" t="n"/>
      <c r="E250" s="247" t="n"/>
      <c r="F250" s="247" t="n"/>
      <c r="G250" s="247" t="n"/>
      <c r="H250" s="247" t="n"/>
      <c r="I250" s="247" t="n"/>
      <c r="J250" s="247" t="n"/>
      <c r="K250" s="247" t="n"/>
      <c r="L250" s="247" t="n"/>
      <c r="M250" s="247" t="n"/>
      <c r="N250" s="247" t="n"/>
      <c r="O250" s="247" t="n"/>
      <c r="P250" s="247" t="n"/>
      <c r="Q250" s="247" t="n"/>
      <c r="R250" s="247" t="n"/>
      <c r="S250" s="247" t="n"/>
      <c r="T250" s="247" t="n"/>
      <c r="U250" s="247" t="n"/>
      <c r="V250" s="247" t="n"/>
      <c r="W250" s="247" t="n"/>
      <c r="X250" s="247" t="n"/>
      <c r="Y250" s="247" t="n"/>
      <c r="Z250" s="247" t="n"/>
      <c r="AA250" s="247" t="n"/>
      <c r="AB250" s="247" t="n"/>
      <c r="AC250" s="247" t="n"/>
      <c r="AD250" s="247" t="n"/>
      <c r="AE250" s="247" t="n"/>
      <c r="AF250" s="247" t="n"/>
      <c r="AG250" s="247" t="n"/>
      <c r="AH250" s="247" t="n"/>
      <c r="AI250" s="223" t="n"/>
      <c r="AJ250" s="223" t="n"/>
      <c r="AK250" s="223" t="n"/>
      <c r="AL250" s="223" t="n"/>
      <c r="AM250" s="223" t="n"/>
    </row>
    <row r="251" hidden="1" ht="19" customHeight="1">
      <c r="A251" s="248">
        <f>IF(Roster!$C$62="","",IF(Roster!$B$62="","#"&amp;57,Roster!$B$62&amp;""))</f>
        <v/>
      </c>
      <c r="B251" s="249">
        <f>IF(Roster!$C$62="","",Roster!$C$62)</f>
        <v/>
      </c>
      <c r="C251" s="208" t="inlineStr">
        <is>
          <t>AM</t>
        </is>
      </c>
      <c r="D251" s="250" t="n"/>
      <c r="E251" s="250" t="n"/>
      <c r="F251" s="250" t="n"/>
      <c r="G251" s="250" t="n"/>
      <c r="H251" s="250" t="n"/>
      <c r="I251" s="250" t="n"/>
      <c r="J251" s="250" t="n"/>
      <c r="K251" s="250" t="n"/>
      <c r="L251" s="250" t="n"/>
      <c r="M251" s="250" t="n"/>
      <c r="N251" s="250" t="n"/>
      <c r="O251" s="250" t="n"/>
      <c r="P251" s="250" t="n"/>
      <c r="Q251" s="250" t="n"/>
      <c r="R251" s="250" t="n"/>
      <c r="S251" s="250" t="n"/>
      <c r="T251" s="250" t="n"/>
      <c r="U251" s="250" t="n"/>
      <c r="V251" s="250" t="n"/>
      <c r="W251" s="250" t="n"/>
      <c r="X251" s="250" t="n"/>
      <c r="Y251" s="250" t="n"/>
      <c r="Z251" s="250" t="n"/>
      <c r="AA251" s="250" t="n"/>
      <c r="AB251" s="250" t="n"/>
      <c r="AC251" s="250" t="n"/>
      <c r="AD251" s="250" t="n"/>
      <c r="AE251" s="250" t="n"/>
      <c r="AF251" s="250" t="n"/>
      <c r="AG251" s="250" t="n"/>
      <c r="AH251" s="250" t="n"/>
      <c r="AI251" s="251">
        <f>IF($A251="","",SUMPRODUCT(SUMIFS(ActSort,ActCodesAll,$D251:$AH253,ActCat,AI$3)))</f>
        <v/>
      </c>
      <c r="AJ251" s="252">
        <f>IF($A251="","",SUMPRODUCT(SUMIFS(ActHrs,ActCodesAll,$D251:$AH253,ActCat,AJ$3)))</f>
        <v/>
      </c>
      <c r="AK251" s="251">
        <f>IF($A251="","",SUMPRODUCT(--((COUNTIFS(ActCodesAll,$D251:$AH251,ActCat,AK$3)+COUNTIFS(ActCodesAll,$D252:$AH252,ActCat,AK$3)+COUNTIFS(ActCodesAll,$D253:$AH253,ActCat,AK$3)+COUNTIFS(ActCodesAll,$D254:$AH254,ActCat,AK$3))&gt;0)))</f>
        <v/>
      </c>
      <c r="AL251" s="251">
        <f>IF($A251="","",SUMPRODUCT(--((COUNTIFS(ActCodesAll,$D251:$AH251,ActCat,AL$3)+COUNTIFS(ActCodesAll,$D252:$AH252,ActCat,AL$3)+COUNTIFS(ActCodesAll,$D253:$AH253,ActCat,AL$3)+COUNTIFS(ActCodesAll,$D254:$AH254,ActCat,AL$3))&gt;0)))</f>
        <v/>
      </c>
      <c r="AM251" s="251">
        <f>IF($A251="","",SUMPRODUCT(--((COUNTIFS(ActCodesAll,$D251:$AH251,ActCat,AM$3)+COUNTIFS(ActCodesAll,$D252:$AH252,ActCat,AM$3)+COUNTIFS(ActCodesAll,$D253:$AH253,ActCat,AM$3)+COUNTIFS(ActCodesAll,$D254:$AH254,ActCat,AM$3))&gt;0)))</f>
        <v/>
      </c>
    </row>
    <row r="252" hidden="1" ht="19" customHeight="1">
      <c r="A252" s="241">
        <f>IF(Roster!$C$62="","",IF(Roster!$B$62="","#"&amp;57,Roster!$B$62&amp;""))</f>
        <v/>
      </c>
      <c r="B252" s="242" t="n"/>
      <c r="C252" s="214" t="inlineStr">
        <is>
          <t>PM</t>
        </is>
      </c>
      <c r="D252" s="243" t="n"/>
      <c r="E252" s="243" t="n"/>
      <c r="F252" s="243" t="n"/>
      <c r="G252" s="243" t="n"/>
      <c r="H252" s="243" t="n"/>
      <c r="I252" s="243" t="n"/>
      <c r="J252" s="243"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16" t="n"/>
      <c r="AJ252" s="216" t="n"/>
      <c r="AK252" s="216" t="n"/>
      <c r="AL252" s="216" t="n"/>
      <c r="AM252" s="216" t="n"/>
    </row>
    <row r="253" hidden="1" ht="19" customHeight="1">
      <c r="A253" s="241">
        <f>IF(Roster!$C$62="","",IF(Roster!$B$62="","#"&amp;57,Roster!$B$62&amp;""))</f>
        <v/>
      </c>
      <c r="B253" s="244">
        <f>IF(Roster!$C$62="","",Roster!$F$62&amp;IF(OR(Roster!$G$62="SANS",Roster!$G$62="NSMEN"),"  |  "&amp;Roster!$G$62,""))</f>
        <v/>
      </c>
      <c r="C253" s="218" t="inlineStr">
        <is>
          <t>NIGHT</t>
        </is>
      </c>
      <c r="D253" s="243" t="n"/>
      <c r="E253" s="243" t="n"/>
      <c r="F253" s="243" t="n"/>
      <c r="G253" s="243" t="n"/>
      <c r="H253" s="243" t="n"/>
      <c r="I253" s="243" t="n"/>
      <c r="J253" s="243" t="n"/>
      <c r="K253" s="243" t="n"/>
      <c r="L253" s="243" t="n"/>
      <c r="M253" s="243" t="n"/>
      <c r="N253" s="243" t="n"/>
      <c r="O253" s="243" t="n"/>
      <c r="P253" s="243" t="n"/>
      <c r="Q253" s="243" t="n"/>
      <c r="R253" s="243" t="n"/>
      <c r="S253" s="243" t="n"/>
      <c r="T253" s="243" t="n"/>
      <c r="U253" s="243" t="n"/>
      <c r="V253" s="243" t="n"/>
      <c r="W253" s="243" t="n"/>
      <c r="X253" s="243" t="n"/>
      <c r="Y253" s="243" t="n"/>
      <c r="Z253" s="243" t="n"/>
      <c r="AA253" s="243" t="n"/>
      <c r="AB253" s="243" t="n"/>
      <c r="AC253" s="243" t="n"/>
      <c r="AD253" s="243" t="n"/>
      <c r="AE253" s="243" t="n"/>
      <c r="AF253" s="243" t="n"/>
      <c r="AG253" s="243" t="n"/>
      <c r="AH253" s="243" t="n"/>
      <c r="AI253" s="216" t="n"/>
      <c r="AJ253" s="216" t="n"/>
      <c r="AK253" s="216" t="n"/>
      <c r="AL253" s="216" t="n"/>
      <c r="AM253" s="216" t="n"/>
    </row>
    <row r="254" hidden="1" ht="19" customHeight="1">
      <c r="A254" s="245">
        <f>IF(Roster!$C$62="","",IF(Roster!$B$62="","#"&amp;57,Roster!$B$62&amp;""))</f>
        <v/>
      </c>
      <c r="B254" s="246" t="n"/>
      <c r="C254" s="221" t="inlineStr">
        <is>
          <t>WD</t>
        </is>
      </c>
      <c r="D254" s="247" t="n"/>
      <c r="E254" s="247" t="n"/>
      <c r="F254" s="247" t="n"/>
      <c r="G254" s="247" t="n"/>
      <c r="H254" s="247" t="n"/>
      <c r="I254" s="247" t="n"/>
      <c r="J254" s="247" t="n"/>
      <c r="K254" s="247" t="n"/>
      <c r="L254" s="247" t="n"/>
      <c r="M254" s="247" t="n"/>
      <c r="N254" s="247" t="n"/>
      <c r="O254" s="247" t="n"/>
      <c r="P254" s="247" t="n"/>
      <c r="Q254" s="247" t="n"/>
      <c r="R254" s="247" t="n"/>
      <c r="S254" s="247" t="n"/>
      <c r="T254" s="247" t="n"/>
      <c r="U254" s="247" t="n"/>
      <c r="V254" s="247" t="n"/>
      <c r="W254" s="247" t="n"/>
      <c r="X254" s="247" t="n"/>
      <c r="Y254" s="247" t="n"/>
      <c r="Z254" s="247" t="n"/>
      <c r="AA254" s="247" t="n"/>
      <c r="AB254" s="247" t="n"/>
      <c r="AC254" s="247" t="n"/>
      <c r="AD254" s="247" t="n"/>
      <c r="AE254" s="247" t="n"/>
      <c r="AF254" s="247" t="n"/>
      <c r="AG254" s="247" t="n"/>
      <c r="AH254" s="247" t="n"/>
      <c r="AI254" s="223" t="n"/>
      <c r="AJ254" s="223" t="n"/>
      <c r="AK254" s="223" t="n"/>
      <c r="AL254" s="223" t="n"/>
      <c r="AM254" s="223" t="n"/>
    </row>
    <row r="255" hidden="1" ht="19" customHeight="1">
      <c r="A255" s="248">
        <f>IF(Roster!$C$63="","",IF(Roster!$B$63="","#"&amp;58,Roster!$B$63&amp;""))</f>
        <v/>
      </c>
      <c r="B255" s="249">
        <f>IF(Roster!$C$63="","",Roster!$C$63)</f>
        <v/>
      </c>
      <c r="C255" s="208" t="inlineStr">
        <is>
          <t>AM</t>
        </is>
      </c>
      <c r="D255" s="250" t="n"/>
      <c r="E255" s="250" t="n"/>
      <c r="F255" s="250" t="n"/>
      <c r="G255" s="250" t="n"/>
      <c r="H255" s="250" t="n"/>
      <c r="I255" s="250" t="n"/>
      <c r="J255" s="250" t="n"/>
      <c r="K255" s="250" t="n"/>
      <c r="L255" s="250" t="n"/>
      <c r="M255" s="250" t="n"/>
      <c r="N255" s="250" t="n"/>
      <c r="O255" s="250" t="n"/>
      <c r="P255" s="250" t="n"/>
      <c r="Q255" s="250" t="n"/>
      <c r="R255" s="250" t="n"/>
      <c r="S255" s="250" t="n"/>
      <c r="T255" s="250" t="n"/>
      <c r="U255" s="250" t="n"/>
      <c r="V255" s="250" t="n"/>
      <c r="W255" s="250" t="n"/>
      <c r="X255" s="250" t="n"/>
      <c r="Y255" s="250" t="n"/>
      <c r="Z255" s="250" t="n"/>
      <c r="AA255" s="250" t="n"/>
      <c r="AB255" s="250" t="n"/>
      <c r="AC255" s="250" t="n"/>
      <c r="AD255" s="250" t="n"/>
      <c r="AE255" s="250" t="n"/>
      <c r="AF255" s="250" t="n"/>
      <c r="AG255" s="250" t="n"/>
      <c r="AH255" s="250" t="n"/>
      <c r="AI255" s="251">
        <f>IF($A255="","",SUMPRODUCT(SUMIFS(ActSort,ActCodesAll,$D255:$AH257,ActCat,AI$3)))</f>
        <v/>
      </c>
      <c r="AJ255" s="252">
        <f>IF($A255="","",SUMPRODUCT(SUMIFS(ActHrs,ActCodesAll,$D255:$AH257,ActCat,AJ$3)))</f>
        <v/>
      </c>
      <c r="AK255" s="251">
        <f>IF($A255="","",SUMPRODUCT(--((COUNTIFS(ActCodesAll,$D255:$AH255,ActCat,AK$3)+COUNTIFS(ActCodesAll,$D256:$AH256,ActCat,AK$3)+COUNTIFS(ActCodesAll,$D257:$AH257,ActCat,AK$3)+COUNTIFS(ActCodesAll,$D258:$AH258,ActCat,AK$3))&gt;0)))</f>
        <v/>
      </c>
      <c r="AL255" s="251">
        <f>IF($A255="","",SUMPRODUCT(--((COUNTIFS(ActCodesAll,$D255:$AH255,ActCat,AL$3)+COUNTIFS(ActCodesAll,$D256:$AH256,ActCat,AL$3)+COUNTIFS(ActCodesAll,$D257:$AH257,ActCat,AL$3)+COUNTIFS(ActCodesAll,$D258:$AH258,ActCat,AL$3))&gt;0)))</f>
        <v/>
      </c>
      <c r="AM255" s="251">
        <f>IF($A255="","",SUMPRODUCT(--((COUNTIFS(ActCodesAll,$D255:$AH255,ActCat,AM$3)+COUNTIFS(ActCodesAll,$D256:$AH256,ActCat,AM$3)+COUNTIFS(ActCodesAll,$D257:$AH257,ActCat,AM$3)+COUNTIFS(ActCodesAll,$D258:$AH258,ActCat,AM$3))&gt;0)))</f>
        <v/>
      </c>
    </row>
    <row r="256" hidden="1" ht="19" customHeight="1">
      <c r="A256" s="241">
        <f>IF(Roster!$C$63="","",IF(Roster!$B$63="","#"&amp;58,Roster!$B$63&amp;""))</f>
        <v/>
      </c>
      <c r="B256" s="242" t="n"/>
      <c r="C256" s="214" t="inlineStr">
        <is>
          <t>PM</t>
        </is>
      </c>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16" t="n"/>
      <c r="AJ256" s="216" t="n"/>
      <c r="AK256" s="216" t="n"/>
      <c r="AL256" s="216" t="n"/>
      <c r="AM256" s="216" t="n"/>
    </row>
    <row r="257" hidden="1" ht="19" customHeight="1">
      <c r="A257" s="241">
        <f>IF(Roster!$C$63="","",IF(Roster!$B$63="","#"&amp;58,Roster!$B$63&amp;""))</f>
        <v/>
      </c>
      <c r="B257" s="244">
        <f>IF(Roster!$C$63="","",Roster!$F$63&amp;IF(OR(Roster!$G$63="SANS",Roster!$G$63="NSMEN"),"  |  "&amp;Roster!$G$63,""))</f>
        <v/>
      </c>
      <c r="C257" s="218" t="inlineStr">
        <is>
          <t>NIGHT</t>
        </is>
      </c>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16" t="n"/>
      <c r="AJ257" s="216" t="n"/>
      <c r="AK257" s="216" t="n"/>
      <c r="AL257" s="216" t="n"/>
      <c r="AM257" s="216" t="n"/>
    </row>
    <row r="258" hidden="1" ht="19" customHeight="1">
      <c r="A258" s="245">
        <f>IF(Roster!$C$63="","",IF(Roster!$B$63="","#"&amp;58,Roster!$B$63&amp;""))</f>
        <v/>
      </c>
      <c r="B258" s="246" t="n"/>
      <c r="C258" s="221" t="inlineStr">
        <is>
          <t>WD</t>
        </is>
      </c>
      <c r="D258" s="247" t="n"/>
      <c r="E258" s="247" t="n"/>
      <c r="F258" s="247" t="n"/>
      <c r="G258" s="247" t="n"/>
      <c r="H258" s="247" t="n"/>
      <c r="I258" s="247" t="n"/>
      <c r="J258" s="247" t="n"/>
      <c r="K258" s="247" t="n"/>
      <c r="L258" s="247" t="n"/>
      <c r="M258" s="247" t="n"/>
      <c r="N258" s="247" t="n"/>
      <c r="O258" s="247" t="n"/>
      <c r="P258" s="247" t="n"/>
      <c r="Q258" s="247" t="n"/>
      <c r="R258" s="247" t="n"/>
      <c r="S258" s="247" t="n"/>
      <c r="T258" s="247" t="n"/>
      <c r="U258" s="247" t="n"/>
      <c r="V258" s="247" t="n"/>
      <c r="W258" s="247" t="n"/>
      <c r="X258" s="247" t="n"/>
      <c r="Y258" s="247" t="n"/>
      <c r="Z258" s="247" t="n"/>
      <c r="AA258" s="247" t="n"/>
      <c r="AB258" s="247" t="n"/>
      <c r="AC258" s="247" t="n"/>
      <c r="AD258" s="247" t="n"/>
      <c r="AE258" s="247" t="n"/>
      <c r="AF258" s="247" t="n"/>
      <c r="AG258" s="247" t="n"/>
      <c r="AH258" s="247" t="n"/>
      <c r="AI258" s="223" t="n"/>
      <c r="AJ258" s="223" t="n"/>
      <c r="AK258" s="223" t="n"/>
      <c r="AL258" s="223" t="n"/>
      <c r="AM258" s="223" t="n"/>
    </row>
    <row r="259" hidden="1" ht="19" customHeight="1">
      <c r="A259" s="248">
        <f>IF(Roster!$C$64="","",IF(Roster!$B$64="","#"&amp;59,Roster!$B$64&amp;""))</f>
        <v/>
      </c>
      <c r="B259" s="249">
        <f>IF(Roster!$C$64="","",Roster!$C$64)</f>
        <v/>
      </c>
      <c r="C259" s="208" t="inlineStr">
        <is>
          <t>AM</t>
        </is>
      </c>
      <c r="D259" s="250" t="n"/>
      <c r="E259" s="250" t="n"/>
      <c r="F259" s="250" t="n"/>
      <c r="G259" s="250" t="n"/>
      <c r="H259" s="250" t="n"/>
      <c r="I259" s="250" t="n"/>
      <c r="J259" s="250" t="n"/>
      <c r="K259" s="250" t="n"/>
      <c r="L259" s="250" t="n"/>
      <c r="M259" s="250" t="n"/>
      <c r="N259" s="250" t="n"/>
      <c r="O259" s="250" t="n"/>
      <c r="P259" s="250" t="n"/>
      <c r="Q259" s="250" t="n"/>
      <c r="R259" s="250" t="n"/>
      <c r="S259" s="250" t="n"/>
      <c r="T259" s="250" t="n"/>
      <c r="U259" s="250" t="n"/>
      <c r="V259" s="250" t="n"/>
      <c r="W259" s="250" t="n"/>
      <c r="X259" s="250" t="n"/>
      <c r="Y259" s="250" t="n"/>
      <c r="Z259" s="250" t="n"/>
      <c r="AA259" s="250" t="n"/>
      <c r="AB259" s="250" t="n"/>
      <c r="AC259" s="250" t="n"/>
      <c r="AD259" s="250" t="n"/>
      <c r="AE259" s="250" t="n"/>
      <c r="AF259" s="250" t="n"/>
      <c r="AG259" s="250" t="n"/>
      <c r="AH259" s="250" t="n"/>
      <c r="AI259" s="251">
        <f>IF($A259="","",SUMPRODUCT(SUMIFS(ActSort,ActCodesAll,$D259:$AH261,ActCat,AI$3)))</f>
        <v/>
      </c>
      <c r="AJ259" s="252">
        <f>IF($A259="","",SUMPRODUCT(SUMIFS(ActHrs,ActCodesAll,$D259:$AH261,ActCat,AJ$3)))</f>
        <v/>
      </c>
      <c r="AK259" s="251">
        <f>IF($A259="","",SUMPRODUCT(--((COUNTIFS(ActCodesAll,$D259:$AH259,ActCat,AK$3)+COUNTIFS(ActCodesAll,$D260:$AH260,ActCat,AK$3)+COUNTIFS(ActCodesAll,$D261:$AH261,ActCat,AK$3)+COUNTIFS(ActCodesAll,$D262:$AH262,ActCat,AK$3))&gt;0)))</f>
        <v/>
      </c>
      <c r="AL259" s="251">
        <f>IF($A259="","",SUMPRODUCT(--((COUNTIFS(ActCodesAll,$D259:$AH259,ActCat,AL$3)+COUNTIFS(ActCodesAll,$D260:$AH260,ActCat,AL$3)+COUNTIFS(ActCodesAll,$D261:$AH261,ActCat,AL$3)+COUNTIFS(ActCodesAll,$D262:$AH262,ActCat,AL$3))&gt;0)))</f>
        <v/>
      </c>
      <c r="AM259" s="251">
        <f>IF($A259="","",SUMPRODUCT(--((COUNTIFS(ActCodesAll,$D259:$AH259,ActCat,AM$3)+COUNTIFS(ActCodesAll,$D260:$AH260,ActCat,AM$3)+COUNTIFS(ActCodesAll,$D261:$AH261,ActCat,AM$3)+COUNTIFS(ActCodesAll,$D262:$AH262,ActCat,AM$3))&gt;0)))</f>
        <v/>
      </c>
    </row>
    <row r="260" hidden="1" ht="19" customHeight="1">
      <c r="A260" s="241">
        <f>IF(Roster!$C$64="","",IF(Roster!$B$64="","#"&amp;59,Roster!$B$64&amp;""))</f>
        <v/>
      </c>
      <c r="B260" s="242" t="n"/>
      <c r="C260" s="214" t="inlineStr">
        <is>
          <t>PM</t>
        </is>
      </c>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16" t="n"/>
      <c r="AJ260" s="216" t="n"/>
      <c r="AK260" s="216" t="n"/>
      <c r="AL260" s="216" t="n"/>
      <c r="AM260" s="216" t="n"/>
    </row>
    <row r="261" hidden="1" ht="19" customHeight="1">
      <c r="A261" s="241">
        <f>IF(Roster!$C$64="","",IF(Roster!$B$64="","#"&amp;59,Roster!$B$64&amp;""))</f>
        <v/>
      </c>
      <c r="B261" s="244">
        <f>IF(Roster!$C$64="","",Roster!$F$64&amp;IF(OR(Roster!$G$64="SANS",Roster!$G$64="NSMEN"),"  |  "&amp;Roster!$G$64,""))</f>
        <v/>
      </c>
      <c r="C261" s="218" t="inlineStr">
        <is>
          <t>NIGHT</t>
        </is>
      </c>
      <c r="D261" s="243" t="n"/>
      <c r="E261" s="243" t="n"/>
      <c r="F261" s="243" t="n"/>
      <c r="G261" s="243" t="n"/>
      <c r="H261" s="243" t="n"/>
      <c r="I261" s="243" t="n"/>
      <c r="J261" s="243" t="n"/>
      <c r="K261" s="243" t="n"/>
      <c r="L261" s="243" t="n"/>
      <c r="M261" s="243" t="n"/>
      <c r="N261" s="243" t="n"/>
      <c r="O261" s="243" t="n"/>
      <c r="P261" s="243" t="n"/>
      <c r="Q261" s="243" t="n"/>
      <c r="R261" s="243" t="n"/>
      <c r="S261" s="243" t="n"/>
      <c r="T261" s="243" t="n"/>
      <c r="U261" s="243" t="n"/>
      <c r="V261" s="243" t="n"/>
      <c r="W261" s="243" t="n"/>
      <c r="X261" s="243" t="n"/>
      <c r="Y261" s="243" t="n"/>
      <c r="Z261" s="243" t="n"/>
      <c r="AA261" s="243" t="n"/>
      <c r="AB261" s="243" t="n"/>
      <c r="AC261" s="243" t="n"/>
      <c r="AD261" s="243" t="n"/>
      <c r="AE261" s="243" t="n"/>
      <c r="AF261" s="243" t="n"/>
      <c r="AG261" s="243" t="n"/>
      <c r="AH261" s="243" t="n"/>
      <c r="AI261" s="216" t="n"/>
      <c r="AJ261" s="216" t="n"/>
      <c r="AK261" s="216" t="n"/>
      <c r="AL261" s="216" t="n"/>
      <c r="AM261" s="216" t="n"/>
    </row>
    <row r="262" hidden="1" ht="19" customHeight="1">
      <c r="A262" s="245">
        <f>IF(Roster!$C$64="","",IF(Roster!$B$64="","#"&amp;59,Roster!$B$64&amp;""))</f>
        <v/>
      </c>
      <c r="B262" s="246" t="n"/>
      <c r="C262" s="221" t="inlineStr">
        <is>
          <t>WD</t>
        </is>
      </c>
      <c r="D262" s="247" t="n"/>
      <c r="E262" s="247" t="n"/>
      <c r="F262" s="247" t="n"/>
      <c r="G262" s="247" t="n"/>
      <c r="H262" s="247" t="n"/>
      <c r="I262" s="247" t="n"/>
      <c r="J262" s="247" t="n"/>
      <c r="K262" s="247" t="n"/>
      <c r="L262" s="247" t="n"/>
      <c r="M262" s="247" t="n"/>
      <c r="N262" s="247" t="n"/>
      <c r="O262" s="247" t="n"/>
      <c r="P262" s="247" t="n"/>
      <c r="Q262" s="247" t="n"/>
      <c r="R262" s="247" t="n"/>
      <c r="S262" s="247" t="n"/>
      <c r="T262" s="247" t="n"/>
      <c r="U262" s="247" t="n"/>
      <c r="V262" s="247" t="n"/>
      <c r="W262" s="247" t="n"/>
      <c r="X262" s="247" t="n"/>
      <c r="Y262" s="247" t="n"/>
      <c r="Z262" s="247" t="n"/>
      <c r="AA262" s="247" t="n"/>
      <c r="AB262" s="247" t="n"/>
      <c r="AC262" s="247" t="n"/>
      <c r="AD262" s="247" t="n"/>
      <c r="AE262" s="247" t="n"/>
      <c r="AF262" s="247" t="n"/>
      <c r="AG262" s="247" t="n"/>
      <c r="AH262" s="247" t="n"/>
      <c r="AI262" s="223" t="n"/>
      <c r="AJ262" s="223" t="n"/>
      <c r="AK262" s="223" t="n"/>
      <c r="AL262" s="223" t="n"/>
      <c r="AM262" s="223" t="n"/>
    </row>
    <row r="263" hidden="1" ht="19" customHeight="1">
      <c r="A263" s="248">
        <f>IF(Roster!$C$65="","",IF(Roster!$B$65="","#"&amp;60,Roster!$B$65&amp;""))</f>
        <v/>
      </c>
      <c r="B263" s="249">
        <f>IF(Roster!$C$65="","",Roster!$C$65)</f>
        <v/>
      </c>
      <c r="C263" s="208" t="inlineStr">
        <is>
          <t>AM</t>
        </is>
      </c>
      <c r="D263" s="250" t="n"/>
      <c r="E263" s="250" t="n"/>
      <c r="F263" s="250" t="n"/>
      <c r="G263" s="250" t="n"/>
      <c r="H263" s="250" t="n"/>
      <c r="I263" s="250" t="n"/>
      <c r="J263" s="250" t="n"/>
      <c r="K263" s="250" t="n"/>
      <c r="L263" s="250" t="n"/>
      <c r="M263" s="250" t="n"/>
      <c r="N263" s="250" t="n"/>
      <c r="O263" s="250" t="n"/>
      <c r="P263" s="250" t="n"/>
      <c r="Q263" s="250" t="n"/>
      <c r="R263" s="250" t="n"/>
      <c r="S263" s="250" t="n"/>
      <c r="T263" s="250" t="n"/>
      <c r="U263" s="250" t="n"/>
      <c r="V263" s="250" t="n"/>
      <c r="W263" s="250" t="n"/>
      <c r="X263" s="250" t="n"/>
      <c r="Y263" s="250" t="n"/>
      <c r="Z263" s="250" t="n"/>
      <c r="AA263" s="250" t="n"/>
      <c r="AB263" s="250" t="n"/>
      <c r="AC263" s="250" t="n"/>
      <c r="AD263" s="250" t="n"/>
      <c r="AE263" s="250" t="n"/>
      <c r="AF263" s="250" t="n"/>
      <c r="AG263" s="250" t="n"/>
      <c r="AH263" s="250" t="n"/>
      <c r="AI263" s="251">
        <f>IF($A263="","",SUMPRODUCT(SUMIFS(ActSort,ActCodesAll,$D263:$AH265,ActCat,AI$3)))</f>
        <v/>
      </c>
      <c r="AJ263" s="252">
        <f>IF($A263="","",SUMPRODUCT(SUMIFS(ActHrs,ActCodesAll,$D263:$AH265,ActCat,AJ$3)))</f>
        <v/>
      </c>
      <c r="AK263" s="251">
        <f>IF($A263="","",SUMPRODUCT(--((COUNTIFS(ActCodesAll,$D263:$AH263,ActCat,AK$3)+COUNTIFS(ActCodesAll,$D264:$AH264,ActCat,AK$3)+COUNTIFS(ActCodesAll,$D265:$AH265,ActCat,AK$3)+COUNTIFS(ActCodesAll,$D266:$AH266,ActCat,AK$3))&gt;0)))</f>
        <v/>
      </c>
      <c r="AL263" s="251">
        <f>IF($A263="","",SUMPRODUCT(--((COUNTIFS(ActCodesAll,$D263:$AH263,ActCat,AL$3)+COUNTIFS(ActCodesAll,$D264:$AH264,ActCat,AL$3)+COUNTIFS(ActCodesAll,$D265:$AH265,ActCat,AL$3)+COUNTIFS(ActCodesAll,$D266:$AH266,ActCat,AL$3))&gt;0)))</f>
        <v/>
      </c>
      <c r="AM263" s="251">
        <f>IF($A263="","",SUMPRODUCT(--((COUNTIFS(ActCodesAll,$D263:$AH263,ActCat,AM$3)+COUNTIFS(ActCodesAll,$D264:$AH264,ActCat,AM$3)+COUNTIFS(ActCodesAll,$D265:$AH265,ActCat,AM$3)+COUNTIFS(ActCodesAll,$D266:$AH266,ActCat,AM$3))&gt;0)))</f>
        <v/>
      </c>
    </row>
    <row r="264" hidden="1" ht="19" customHeight="1">
      <c r="A264" s="241">
        <f>IF(Roster!$C$65="","",IF(Roster!$B$65="","#"&amp;60,Roster!$B$65&amp;""))</f>
        <v/>
      </c>
      <c r="B264" s="242" t="n"/>
      <c r="C264" s="214" t="inlineStr">
        <is>
          <t>PM</t>
        </is>
      </c>
      <c r="D264" s="243" t="n"/>
      <c r="E264" s="243" t="n"/>
      <c r="F264" s="243" t="n"/>
      <c r="G264" s="243" t="n"/>
      <c r="H264" s="243" t="n"/>
      <c r="I264" s="243" t="n"/>
      <c r="J264" s="243" t="n"/>
      <c r="K264" s="243" t="n"/>
      <c r="L264" s="243" t="n"/>
      <c r="M264" s="243" t="n"/>
      <c r="N264" s="243" t="n"/>
      <c r="O264" s="243" t="n"/>
      <c r="P264" s="243" t="n"/>
      <c r="Q264" s="243" t="n"/>
      <c r="R264" s="243" t="n"/>
      <c r="S264" s="243" t="n"/>
      <c r="T264" s="243" t="n"/>
      <c r="U264" s="243" t="n"/>
      <c r="V264" s="243" t="n"/>
      <c r="W264" s="243" t="n"/>
      <c r="X264" s="243" t="n"/>
      <c r="Y264" s="243" t="n"/>
      <c r="Z264" s="243" t="n"/>
      <c r="AA264" s="243" t="n"/>
      <c r="AB264" s="243" t="n"/>
      <c r="AC264" s="243" t="n"/>
      <c r="AD264" s="243" t="n"/>
      <c r="AE264" s="243" t="n"/>
      <c r="AF264" s="243" t="n"/>
      <c r="AG264" s="243" t="n"/>
      <c r="AH264" s="243" t="n"/>
      <c r="AI264" s="216" t="n"/>
      <c r="AJ264" s="216" t="n"/>
      <c r="AK264" s="216" t="n"/>
      <c r="AL264" s="216" t="n"/>
      <c r="AM264" s="216" t="n"/>
    </row>
    <row r="265" hidden="1" ht="19" customHeight="1">
      <c r="A265" s="241">
        <f>IF(Roster!$C$65="","",IF(Roster!$B$65="","#"&amp;60,Roster!$B$65&amp;""))</f>
        <v/>
      </c>
      <c r="B265" s="244">
        <f>IF(Roster!$C$65="","",Roster!$F$65&amp;IF(OR(Roster!$G$65="SANS",Roster!$G$65="NSMEN"),"  |  "&amp;Roster!$G$65,""))</f>
        <v/>
      </c>
      <c r="C265" s="218" t="inlineStr">
        <is>
          <t>NIGHT</t>
        </is>
      </c>
      <c r="D265" s="243" t="n"/>
      <c r="E265" s="243" t="n"/>
      <c r="F265" s="243" t="n"/>
      <c r="G265" s="243" t="n"/>
      <c r="H265" s="243" t="n"/>
      <c r="I265" s="243" t="n"/>
      <c r="J265" s="243" t="n"/>
      <c r="K265" s="243" t="n"/>
      <c r="L265" s="243" t="n"/>
      <c r="M265" s="243" t="n"/>
      <c r="N265" s="243" t="n"/>
      <c r="O265" s="243" t="n"/>
      <c r="P265" s="243" t="n"/>
      <c r="Q265" s="243" t="n"/>
      <c r="R265" s="243" t="n"/>
      <c r="S265" s="243" t="n"/>
      <c r="T265" s="243" t="n"/>
      <c r="U265" s="243" t="n"/>
      <c r="V265" s="243" t="n"/>
      <c r="W265" s="243" t="n"/>
      <c r="X265" s="243" t="n"/>
      <c r="Y265" s="243" t="n"/>
      <c r="Z265" s="243" t="n"/>
      <c r="AA265" s="243" t="n"/>
      <c r="AB265" s="243" t="n"/>
      <c r="AC265" s="243" t="n"/>
      <c r="AD265" s="243" t="n"/>
      <c r="AE265" s="243" t="n"/>
      <c r="AF265" s="243" t="n"/>
      <c r="AG265" s="243" t="n"/>
      <c r="AH265" s="243" t="n"/>
      <c r="AI265" s="216" t="n"/>
      <c r="AJ265" s="216" t="n"/>
      <c r="AK265" s="216" t="n"/>
      <c r="AL265" s="216" t="n"/>
      <c r="AM265" s="216" t="n"/>
    </row>
    <row r="266" hidden="1" ht="19" customHeight="1">
      <c r="A266" s="245">
        <f>IF(Roster!$C$65="","",IF(Roster!$B$65="","#"&amp;60,Roster!$B$65&amp;""))</f>
        <v/>
      </c>
      <c r="B266" s="246" t="n"/>
      <c r="C266" s="221" t="inlineStr">
        <is>
          <t>WD</t>
        </is>
      </c>
      <c r="D266" s="247" t="n"/>
      <c r="E266" s="247" t="n"/>
      <c r="F266" s="247" t="n"/>
      <c r="G266" s="247" t="n"/>
      <c r="H266" s="247" t="n"/>
      <c r="I266" s="247" t="n"/>
      <c r="J266" s="247" t="n"/>
      <c r="K266" s="247" t="n"/>
      <c r="L266" s="247" t="n"/>
      <c r="M266" s="247" t="n"/>
      <c r="N266" s="247" t="n"/>
      <c r="O266" s="247" t="n"/>
      <c r="P266" s="247" t="n"/>
      <c r="Q266" s="247" t="n"/>
      <c r="R266" s="247" t="n"/>
      <c r="S266" s="247" t="n"/>
      <c r="T266" s="247" t="n"/>
      <c r="U266" s="247" t="n"/>
      <c r="V266" s="247" t="n"/>
      <c r="W266" s="247" t="n"/>
      <c r="X266" s="247" t="n"/>
      <c r="Y266" s="247" t="n"/>
      <c r="Z266" s="247" t="n"/>
      <c r="AA266" s="247" t="n"/>
      <c r="AB266" s="247" t="n"/>
      <c r="AC266" s="247" t="n"/>
      <c r="AD266" s="247" t="n"/>
      <c r="AE266" s="247" t="n"/>
      <c r="AF266" s="247" t="n"/>
      <c r="AG266" s="247" t="n"/>
      <c r="AH266" s="247" t="n"/>
      <c r="AI266" s="223" t="n"/>
      <c r="AJ266" s="223" t="n"/>
      <c r="AK266" s="223" t="n"/>
      <c r="AL266" s="223" t="n"/>
      <c r="AM266" s="223" t="n"/>
    </row>
    <row r="268">
      <c r="B268" s="29" t="inlineStr">
        <is>
          <t>DAILY SUMMARY</t>
        </is>
      </c>
    </row>
    <row r="269" ht="16" customHeight="1">
      <c r="B269" s="253" t="inlineStr">
        <is>
          <t>Flights AM</t>
        </is>
      </c>
      <c r="C269" s="254" t="n"/>
      <c r="D269" s="255">
        <f>IF(D$5="","",SUMPRODUCT(($C$27:$C$266="AM")*SUMIFS(ActSort,ActCodesAll,D$27:D$266,ActCat,Activities!$G$6)))</f>
        <v/>
      </c>
      <c r="E269" s="255">
        <f>IF(E$5="","",SUMPRODUCT(($C$27:$C$266="AM")*SUMIFS(ActSort,ActCodesAll,E$27:E$266,ActCat,Activities!$G$6)))</f>
        <v/>
      </c>
      <c r="F269" s="255">
        <f>IF(F$5="","",SUMPRODUCT(($C$27:$C$266="AM")*SUMIFS(ActSort,ActCodesAll,F$27:F$266,ActCat,Activities!$G$6)))</f>
        <v/>
      </c>
      <c r="G269" s="255">
        <f>IF(G$5="","",SUMPRODUCT(($C$27:$C$266="AM")*SUMIFS(ActSort,ActCodesAll,G$27:G$266,ActCat,Activities!$G$6)))</f>
        <v/>
      </c>
      <c r="H269" s="255">
        <f>IF(H$5="","",SUMPRODUCT(($C$27:$C$266="AM")*SUMIFS(ActSort,ActCodesAll,H$27:H$266,ActCat,Activities!$G$6)))</f>
        <v/>
      </c>
      <c r="I269" s="255">
        <f>IF(I$5="","",SUMPRODUCT(($C$27:$C$266="AM")*SUMIFS(ActSort,ActCodesAll,I$27:I$266,ActCat,Activities!$G$6)))</f>
        <v/>
      </c>
      <c r="J269" s="255">
        <f>IF(J$5="","",SUMPRODUCT(($C$27:$C$266="AM")*SUMIFS(ActSort,ActCodesAll,J$27:J$266,ActCat,Activities!$G$6)))</f>
        <v/>
      </c>
      <c r="K269" s="255">
        <f>IF(K$5="","",SUMPRODUCT(($C$27:$C$266="AM")*SUMIFS(ActSort,ActCodesAll,K$27:K$266,ActCat,Activities!$G$6)))</f>
        <v/>
      </c>
      <c r="L269" s="255">
        <f>IF(L$5="","",SUMPRODUCT(($C$27:$C$266="AM")*SUMIFS(ActSort,ActCodesAll,L$27:L$266,ActCat,Activities!$G$6)))</f>
        <v/>
      </c>
      <c r="M269" s="255">
        <f>IF(M$5="","",SUMPRODUCT(($C$27:$C$266="AM")*SUMIFS(ActSort,ActCodesAll,M$27:M$266,ActCat,Activities!$G$6)))</f>
        <v/>
      </c>
      <c r="N269" s="255">
        <f>IF(N$5="","",SUMPRODUCT(($C$27:$C$266="AM")*SUMIFS(ActSort,ActCodesAll,N$27:N$266,ActCat,Activities!$G$6)))</f>
        <v/>
      </c>
      <c r="O269" s="255">
        <f>IF(O$5="","",SUMPRODUCT(($C$27:$C$266="AM")*SUMIFS(ActSort,ActCodesAll,O$27:O$266,ActCat,Activities!$G$6)))</f>
        <v/>
      </c>
      <c r="P269" s="255">
        <f>IF(P$5="","",SUMPRODUCT(($C$27:$C$266="AM")*SUMIFS(ActSort,ActCodesAll,P$27:P$266,ActCat,Activities!$G$6)))</f>
        <v/>
      </c>
      <c r="Q269" s="255">
        <f>IF(Q$5="","",SUMPRODUCT(($C$27:$C$266="AM")*SUMIFS(ActSort,ActCodesAll,Q$27:Q$266,ActCat,Activities!$G$6)))</f>
        <v/>
      </c>
      <c r="R269" s="255">
        <f>IF(R$5="","",SUMPRODUCT(($C$27:$C$266="AM")*SUMIFS(ActSort,ActCodesAll,R$27:R$266,ActCat,Activities!$G$6)))</f>
        <v/>
      </c>
      <c r="S269" s="255">
        <f>IF(S$5="","",SUMPRODUCT(($C$27:$C$266="AM")*SUMIFS(ActSort,ActCodesAll,S$27:S$266,ActCat,Activities!$G$6)))</f>
        <v/>
      </c>
      <c r="T269" s="255">
        <f>IF(T$5="","",SUMPRODUCT(($C$27:$C$266="AM")*SUMIFS(ActSort,ActCodesAll,T$27:T$266,ActCat,Activities!$G$6)))</f>
        <v/>
      </c>
      <c r="U269" s="255">
        <f>IF(U$5="","",SUMPRODUCT(($C$27:$C$266="AM")*SUMIFS(ActSort,ActCodesAll,U$27:U$266,ActCat,Activities!$G$6)))</f>
        <v/>
      </c>
      <c r="V269" s="255">
        <f>IF(V$5="","",SUMPRODUCT(($C$27:$C$266="AM")*SUMIFS(ActSort,ActCodesAll,V$27:V$266,ActCat,Activities!$G$6)))</f>
        <v/>
      </c>
      <c r="W269" s="255">
        <f>IF(W$5="","",SUMPRODUCT(($C$27:$C$266="AM")*SUMIFS(ActSort,ActCodesAll,W$27:W$266,ActCat,Activities!$G$6)))</f>
        <v/>
      </c>
      <c r="X269" s="255">
        <f>IF(X$5="","",SUMPRODUCT(($C$27:$C$266="AM")*SUMIFS(ActSort,ActCodesAll,X$27:X$266,ActCat,Activities!$G$6)))</f>
        <v/>
      </c>
      <c r="Y269" s="255">
        <f>IF(Y$5="","",SUMPRODUCT(($C$27:$C$266="AM")*SUMIFS(ActSort,ActCodesAll,Y$27:Y$266,ActCat,Activities!$G$6)))</f>
        <v/>
      </c>
      <c r="Z269" s="255">
        <f>IF(Z$5="","",SUMPRODUCT(($C$27:$C$266="AM")*SUMIFS(ActSort,ActCodesAll,Z$27:Z$266,ActCat,Activities!$G$6)))</f>
        <v/>
      </c>
      <c r="AA269" s="255">
        <f>IF(AA$5="","",SUMPRODUCT(($C$27:$C$266="AM")*SUMIFS(ActSort,ActCodesAll,AA$27:AA$266,ActCat,Activities!$G$6)))</f>
        <v/>
      </c>
      <c r="AB269" s="255">
        <f>IF(AB$5="","",SUMPRODUCT(($C$27:$C$266="AM")*SUMIFS(ActSort,ActCodesAll,AB$27:AB$266,ActCat,Activities!$G$6)))</f>
        <v/>
      </c>
      <c r="AC269" s="255">
        <f>IF(AC$5="","",SUMPRODUCT(($C$27:$C$266="AM")*SUMIFS(ActSort,ActCodesAll,AC$27:AC$266,ActCat,Activities!$G$6)))</f>
        <v/>
      </c>
      <c r="AD269" s="255">
        <f>IF(AD$5="","",SUMPRODUCT(($C$27:$C$266="AM")*SUMIFS(ActSort,ActCodesAll,AD$27:AD$266,ActCat,Activities!$G$6)))</f>
        <v/>
      </c>
      <c r="AE269" s="255">
        <f>IF(AE$5="","",SUMPRODUCT(($C$27:$C$266="AM")*SUMIFS(ActSort,ActCodesAll,AE$27:AE$266,ActCat,Activities!$G$6)))</f>
        <v/>
      </c>
      <c r="AF269" s="255">
        <f>IF(AF$5="","",SUMPRODUCT(($C$27:$C$266="AM")*SUMIFS(ActSort,ActCodesAll,AF$27:AF$266,ActCat,Activities!$G$6)))</f>
        <v/>
      </c>
      <c r="AG269" s="255">
        <f>IF(AG$5="","",SUMPRODUCT(($C$27:$C$266="AM")*SUMIFS(ActSort,ActCodesAll,AG$27:AG$266,ActCat,Activities!$G$6)))</f>
        <v/>
      </c>
      <c r="AH269" s="255">
        <f>IF(AH$5="","",SUMPRODUCT(($C$27:$C$266="AM")*SUMIFS(ActSort,ActCodesAll,AH$27:AH$266,ActCat,Activities!$G$6)))</f>
        <v/>
      </c>
    </row>
    <row r="270" ht="16" customHeight="1">
      <c r="B270" s="253" t="inlineStr">
        <is>
          <t>Flights PM</t>
        </is>
      </c>
      <c r="C270" s="254" t="n"/>
      <c r="D270" s="255">
        <f>IF(D$5="","",SUMPRODUCT(($C$27:$C$266="PM")*SUMIFS(ActSort,ActCodesAll,D$27:D$266,ActCat,Activities!$G$6)))</f>
        <v/>
      </c>
      <c r="E270" s="255">
        <f>IF(E$5="","",SUMPRODUCT(($C$27:$C$266="PM")*SUMIFS(ActSort,ActCodesAll,E$27:E$266,ActCat,Activities!$G$6)))</f>
        <v/>
      </c>
      <c r="F270" s="255">
        <f>IF(F$5="","",SUMPRODUCT(($C$27:$C$266="PM")*SUMIFS(ActSort,ActCodesAll,F$27:F$266,ActCat,Activities!$G$6)))</f>
        <v/>
      </c>
      <c r="G270" s="255">
        <f>IF(G$5="","",SUMPRODUCT(($C$27:$C$266="PM")*SUMIFS(ActSort,ActCodesAll,G$27:G$266,ActCat,Activities!$G$6)))</f>
        <v/>
      </c>
      <c r="H270" s="255">
        <f>IF(H$5="","",SUMPRODUCT(($C$27:$C$266="PM")*SUMIFS(ActSort,ActCodesAll,H$27:H$266,ActCat,Activities!$G$6)))</f>
        <v/>
      </c>
      <c r="I270" s="255">
        <f>IF(I$5="","",SUMPRODUCT(($C$27:$C$266="PM")*SUMIFS(ActSort,ActCodesAll,I$27:I$266,ActCat,Activities!$G$6)))</f>
        <v/>
      </c>
      <c r="J270" s="255">
        <f>IF(J$5="","",SUMPRODUCT(($C$27:$C$266="PM")*SUMIFS(ActSort,ActCodesAll,J$27:J$266,ActCat,Activities!$G$6)))</f>
        <v/>
      </c>
      <c r="K270" s="255">
        <f>IF(K$5="","",SUMPRODUCT(($C$27:$C$266="PM")*SUMIFS(ActSort,ActCodesAll,K$27:K$266,ActCat,Activities!$G$6)))</f>
        <v/>
      </c>
      <c r="L270" s="255">
        <f>IF(L$5="","",SUMPRODUCT(($C$27:$C$266="PM")*SUMIFS(ActSort,ActCodesAll,L$27:L$266,ActCat,Activities!$G$6)))</f>
        <v/>
      </c>
      <c r="M270" s="255">
        <f>IF(M$5="","",SUMPRODUCT(($C$27:$C$266="PM")*SUMIFS(ActSort,ActCodesAll,M$27:M$266,ActCat,Activities!$G$6)))</f>
        <v/>
      </c>
      <c r="N270" s="255">
        <f>IF(N$5="","",SUMPRODUCT(($C$27:$C$266="PM")*SUMIFS(ActSort,ActCodesAll,N$27:N$266,ActCat,Activities!$G$6)))</f>
        <v/>
      </c>
      <c r="O270" s="255">
        <f>IF(O$5="","",SUMPRODUCT(($C$27:$C$266="PM")*SUMIFS(ActSort,ActCodesAll,O$27:O$266,ActCat,Activities!$G$6)))</f>
        <v/>
      </c>
      <c r="P270" s="255">
        <f>IF(P$5="","",SUMPRODUCT(($C$27:$C$266="PM")*SUMIFS(ActSort,ActCodesAll,P$27:P$266,ActCat,Activities!$G$6)))</f>
        <v/>
      </c>
      <c r="Q270" s="255">
        <f>IF(Q$5="","",SUMPRODUCT(($C$27:$C$266="PM")*SUMIFS(ActSort,ActCodesAll,Q$27:Q$266,ActCat,Activities!$G$6)))</f>
        <v/>
      </c>
      <c r="R270" s="255">
        <f>IF(R$5="","",SUMPRODUCT(($C$27:$C$266="PM")*SUMIFS(ActSort,ActCodesAll,R$27:R$266,ActCat,Activities!$G$6)))</f>
        <v/>
      </c>
      <c r="S270" s="255">
        <f>IF(S$5="","",SUMPRODUCT(($C$27:$C$266="PM")*SUMIFS(ActSort,ActCodesAll,S$27:S$266,ActCat,Activities!$G$6)))</f>
        <v/>
      </c>
      <c r="T270" s="255">
        <f>IF(T$5="","",SUMPRODUCT(($C$27:$C$266="PM")*SUMIFS(ActSort,ActCodesAll,T$27:T$266,ActCat,Activities!$G$6)))</f>
        <v/>
      </c>
      <c r="U270" s="255">
        <f>IF(U$5="","",SUMPRODUCT(($C$27:$C$266="PM")*SUMIFS(ActSort,ActCodesAll,U$27:U$266,ActCat,Activities!$G$6)))</f>
        <v/>
      </c>
      <c r="V270" s="255">
        <f>IF(V$5="","",SUMPRODUCT(($C$27:$C$266="PM")*SUMIFS(ActSort,ActCodesAll,V$27:V$266,ActCat,Activities!$G$6)))</f>
        <v/>
      </c>
      <c r="W270" s="255">
        <f>IF(W$5="","",SUMPRODUCT(($C$27:$C$266="PM")*SUMIFS(ActSort,ActCodesAll,W$27:W$266,ActCat,Activities!$G$6)))</f>
        <v/>
      </c>
      <c r="X270" s="255">
        <f>IF(X$5="","",SUMPRODUCT(($C$27:$C$266="PM")*SUMIFS(ActSort,ActCodesAll,X$27:X$266,ActCat,Activities!$G$6)))</f>
        <v/>
      </c>
      <c r="Y270" s="255">
        <f>IF(Y$5="","",SUMPRODUCT(($C$27:$C$266="PM")*SUMIFS(ActSort,ActCodesAll,Y$27:Y$266,ActCat,Activities!$G$6)))</f>
        <v/>
      </c>
      <c r="Z270" s="255">
        <f>IF(Z$5="","",SUMPRODUCT(($C$27:$C$266="PM")*SUMIFS(ActSort,ActCodesAll,Z$27:Z$266,ActCat,Activities!$G$6)))</f>
        <v/>
      </c>
      <c r="AA270" s="255">
        <f>IF(AA$5="","",SUMPRODUCT(($C$27:$C$266="PM")*SUMIFS(ActSort,ActCodesAll,AA$27:AA$266,ActCat,Activities!$G$6)))</f>
        <v/>
      </c>
      <c r="AB270" s="255">
        <f>IF(AB$5="","",SUMPRODUCT(($C$27:$C$266="PM")*SUMIFS(ActSort,ActCodesAll,AB$27:AB$266,ActCat,Activities!$G$6)))</f>
        <v/>
      </c>
      <c r="AC270" s="255">
        <f>IF(AC$5="","",SUMPRODUCT(($C$27:$C$266="PM")*SUMIFS(ActSort,ActCodesAll,AC$27:AC$266,ActCat,Activities!$G$6)))</f>
        <v/>
      </c>
      <c r="AD270" s="255">
        <f>IF(AD$5="","",SUMPRODUCT(($C$27:$C$266="PM")*SUMIFS(ActSort,ActCodesAll,AD$27:AD$266,ActCat,Activities!$G$6)))</f>
        <v/>
      </c>
      <c r="AE270" s="255">
        <f>IF(AE$5="","",SUMPRODUCT(($C$27:$C$266="PM")*SUMIFS(ActSort,ActCodesAll,AE$27:AE$266,ActCat,Activities!$G$6)))</f>
        <v/>
      </c>
      <c r="AF270" s="255">
        <f>IF(AF$5="","",SUMPRODUCT(($C$27:$C$266="PM")*SUMIFS(ActSort,ActCodesAll,AF$27:AF$266,ActCat,Activities!$G$6)))</f>
        <v/>
      </c>
      <c r="AG270" s="255">
        <f>IF(AG$5="","",SUMPRODUCT(($C$27:$C$266="PM")*SUMIFS(ActSort,ActCodesAll,AG$27:AG$266,ActCat,Activities!$G$6)))</f>
        <v/>
      </c>
      <c r="AH270" s="255">
        <f>IF(AH$5="","",SUMPRODUCT(($C$27:$C$266="PM")*SUMIFS(ActSort,ActCodesAll,AH$27:AH$266,ActCat,Activities!$G$6)))</f>
        <v/>
      </c>
    </row>
    <row r="271" ht="16" customHeight="1">
      <c r="B271" s="253" t="inlineStr">
        <is>
          <t>Flights NIGHT</t>
        </is>
      </c>
      <c r="C271" s="254" t="n"/>
      <c r="D271" s="255">
        <f>IF(D$5="","",SUMPRODUCT(($C$27:$C$266="NIGHT")*SUMIFS(ActSort,ActCodesAll,D$27:D$266,ActCat,Activities!$G$6)))</f>
        <v/>
      </c>
      <c r="E271" s="255">
        <f>IF(E$5="","",SUMPRODUCT(($C$27:$C$266="NIGHT")*SUMIFS(ActSort,ActCodesAll,E$27:E$266,ActCat,Activities!$G$6)))</f>
        <v/>
      </c>
      <c r="F271" s="255">
        <f>IF(F$5="","",SUMPRODUCT(($C$27:$C$266="NIGHT")*SUMIFS(ActSort,ActCodesAll,F$27:F$266,ActCat,Activities!$G$6)))</f>
        <v/>
      </c>
      <c r="G271" s="255">
        <f>IF(G$5="","",SUMPRODUCT(($C$27:$C$266="NIGHT")*SUMIFS(ActSort,ActCodesAll,G$27:G$266,ActCat,Activities!$G$6)))</f>
        <v/>
      </c>
      <c r="H271" s="255">
        <f>IF(H$5="","",SUMPRODUCT(($C$27:$C$266="NIGHT")*SUMIFS(ActSort,ActCodesAll,H$27:H$266,ActCat,Activities!$G$6)))</f>
        <v/>
      </c>
      <c r="I271" s="255">
        <f>IF(I$5="","",SUMPRODUCT(($C$27:$C$266="NIGHT")*SUMIFS(ActSort,ActCodesAll,I$27:I$266,ActCat,Activities!$G$6)))</f>
        <v/>
      </c>
      <c r="J271" s="255">
        <f>IF(J$5="","",SUMPRODUCT(($C$27:$C$266="NIGHT")*SUMIFS(ActSort,ActCodesAll,J$27:J$266,ActCat,Activities!$G$6)))</f>
        <v/>
      </c>
      <c r="K271" s="255">
        <f>IF(K$5="","",SUMPRODUCT(($C$27:$C$266="NIGHT")*SUMIFS(ActSort,ActCodesAll,K$27:K$266,ActCat,Activities!$G$6)))</f>
        <v/>
      </c>
      <c r="L271" s="255">
        <f>IF(L$5="","",SUMPRODUCT(($C$27:$C$266="NIGHT")*SUMIFS(ActSort,ActCodesAll,L$27:L$266,ActCat,Activities!$G$6)))</f>
        <v/>
      </c>
      <c r="M271" s="255">
        <f>IF(M$5="","",SUMPRODUCT(($C$27:$C$266="NIGHT")*SUMIFS(ActSort,ActCodesAll,M$27:M$266,ActCat,Activities!$G$6)))</f>
        <v/>
      </c>
      <c r="N271" s="255">
        <f>IF(N$5="","",SUMPRODUCT(($C$27:$C$266="NIGHT")*SUMIFS(ActSort,ActCodesAll,N$27:N$266,ActCat,Activities!$G$6)))</f>
        <v/>
      </c>
      <c r="O271" s="255">
        <f>IF(O$5="","",SUMPRODUCT(($C$27:$C$266="NIGHT")*SUMIFS(ActSort,ActCodesAll,O$27:O$266,ActCat,Activities!$G$6)))</f>
        <v/>
      </c>
      <c r="P271" s="255">
        <f>IF(P$5="","",SUMPRODUCT(($C$27:$C$266="NIGHT")*SUMIFS(ActSort,ActCodesAll,P$27:P$266,ActCat,Activities!$G$6)))</f>
        <v/>
      </c>
      <c r="Q271" s="255">
        <f>IF(Q$5="","",SUMPRODUCT(($C$27:$C$266="NIGHT")*SUMIFS(ActSort,ActCodesAll,Q$27:Q$266,ActCat,Activities!$G$6)))</f>
        <v/>
      </c>
      <c r="R271" s="255">
        <f>IF(R$5="","",SUMPRODUCT(($C$27:$C$266="NIGHT")*SUMIFS(ActSort,ActCodesAll,R$27:R$266,ActCat,Activities!$G$6)))</f>
        <v/>
      </c>
      <c r="S271" s="255">
        <f>IF(S$5="","",SUMPRODUCT(($C$27:$C$266="NIGHT")*SUMIFS(ActSort,ActCodesAll,S$27:S$266,ActCat,Activities!$G$6)))</f>
        <v/>
      </c>
      <c r="T271" s="255">
        <f>IF(T$5="","",SUMPRODUCT(($C$27:$C$266="NIGHT")*SUMIFS(ActSort,ActCodesAll,T$27:T$266,ActCat,Activities!$G$6)))</f>
        <v/>
      </c>
      <c r="U271" s="255">
        <f>IF(U$5="","",SUMPRODUCT(($C$27:$C$266="NIGHT")*SUMIFS(ActSort,ActCodesAll,U$27:U$266,ActCat,Activities!$G$6)))</f>
        <v/>
      </c>
      <c r="V271" s="255">
        <f>IF(V$5="","",SUMPRODUCT(($C$27:$C$266="NIGHT")*SUMIFS(ActSort,ActCodesAll,V$27:V$266,ActCat,Activities!$G$6)))</f>
        <v/>
      </c>
      <c r="W271" s="255">
        <f>IF(W$5="","",SUMPRODUCT(($C$27:$C$266="NIGHT")*SUMIFS(ActSort,ActCodesAll,W$27:W$266,ActCat,Activities!$G$6)))</f>
        <v/>
      </c>
      <c r="X271" s="255">
        <f>IF(X$5="","",SUMPRODUCT(($C$27:$C$266="NIGHT")*SUMIFS(ActSort,ActCodesAll,X$27:X$266,ActCat,Activities!$G$6)))</f>
        <v/>
      </c>
      <c r="Y271" s="255">
        <f>IF(Y$5="","",SUMPRODUCT(($C$27:$C$266="NIGHT")*SUMIFS(ActSort,ActCodesAll,Y$27:Y$266,ActCat,Activities!$G$6)))</f>
        <v/>
      </c>
      <c r="Z271" s="255">
        <f>IF(Z$5="","",SUMPRODUCT(($C$27:$C$266="NIGHT")*SUMIFS(ActSort,ActCodesAll,Z$27:Z$266,ActCat,Activities!$G$6)))</f>
        <v/>
      </c>
      <c r="AA271" s="255">
        <f>IF(AA$5="","",SUMPRODUCT(($C$27:$C$266="NIGHT")*SUMIFS(ActSort,ActCodesAll,AA$27:AA$266,ActCat,Activities!$G$6)))</f>
        <v/>
      </c>
      <c r="AB271" s="255">
        <f>IF(AB$5="","",SUMPRODUCT(($C$27:$C$266="NIGHT")*SUMIFS(ActSort,ActCodesAll,AB$27:AB$266,ActCat,Activities!$G$6)))</f>
        <v/>
      </c>
      <c r="AC271" s="255">
        <f>IF(AC$5="","",SUMPRODUCT(($C$27:$C$266="NIGHT")*SUMIFS(ActSort,ActCodesAll,AC$27:AC$266,ActCat,Activities!$G$6)))</f>
        <v/>
      </c>
      <c r="AD271" s="255">
        <f>IF(AD$5="","",SUMPRODUCT(($C$27:$C$266="NIGHT")*SUMIFS(ActSort,ActCodesAll,AD$27:AD$266,ActCat,Activities!$G$6)))</f>
        <v/>
      </c>
      <c r="AE271" s="255">
        <f>IF(AE$5="","",SUMPRODUCT(($C$27:$C$266="NIGHT")*SUMIFS(ActSort,ActCodesAll,AE$27:AE$266,ActCat,Activities!$G$6)))</f>
        <v/>
      </c>
      <c r="AF271" s="255">
        <f>IF(AF$5="","",SUMPRODUCT(($C$27:$C$266="NIGHT")*SUMIFS(ActSort,ActCodesAll,AF$27:AF$266,ActCat,Activities!$G$6)))</f>
        <v/>
      </c>
      <c r="AG271" s="255">
        <f>IF(AG$5="","",SUMPRODUCT(($C$27:$C$266="NIGHT")*SUMIFS(ActSort,ActCodesAll,AG$27:AG$266,ActCat,Activities!$G$6)))</f>
        <v/>
      </c>
      <c r="AH271" s="255">
        <f>IF(AH$5="","",SUMPRODUCT(($C$27:$C$266="NIGHT")*SUMIFS(ActSort,ActCodesAll,AH$27:AH$266,ActCat,Activities!$G$6)))</f>
        <v/>
      </c>
    </row>
    <row r="272" ht="16" customHeight="1">
      <c r="B272" s="256" t="inlineStr">
        <is>
          <t>Total flights</t>
        </is>
      </c>
      <c r="C272" s="254" t="n"/>
      <c r="D272" s="257">
        <f>IF(D$5="","",SUM(D269:D271))</f>
        <v/>
      </c>
      <c r="E272" s="257">
        <f>IF(E$5="","",SUM(E269:E271))</f>
        <v/>
      </c>
      <c r="F272" s="257">
        <f>IF(F$5="","",SUM(F269:F271))</f>
        <v/>
      </c>
      <c r="G272" s="257">
        <f>IF(G$5="","",SUM(G269:G271))</f>
        <v/>
      </c>
      <c r="H272" s="257">
        <f>IF(H$5="","",SUM(H269:H271))</f>
        <v/>
      </c>
      <c r="I272" s="257">
        <f>IF(I$5="","",SUM(I269:I271))</f>
        <v/>
      </c>
      <c r="J272" s="257">
        <f>IF(J$5="","",SUM(J269:J271))</f>
        <v/>
      </c>
      <c r="K272" s="257">
        <f>IF(K$5="","",SUM(K269:K271))</f>
        <v/>
      </c>
      <c r="L272" s="257">
        <f>IF(L$5="","",SUM(L269:L271))</f>
        <v/>
      </c>
      <c r="M272" s="257">
        <f>IF(M$5="","",SUM(M269:M271))</f>
        <v/>
      </c>
      <c r="N272" s="257">
        <f>IF(N$5="","",SUM(N269:N271))</f>
        <v/>
      </c>
      <c r="O272" s="257">
        <f>IF(O$5="","",SUM(O269:O271))</f>
        <v/>
      </c>
      <c r="P272" s="257">
        <f>IF(P$5="","",SUM(P269:P271))</f>
        <v/>
      </c>
      <c r="Q272" s="257">
        <f>IF(Q$5="","",SUM(Q269:Q271))</f>
        <v/>
      </c>
      <c r="R272" s="257">
        <f>IF(R$5="","",SUM(R269:R271))</f>
        <v/>
      </c>
      <c r="S272" s="257">
        <f>IF(S$5="","",SUM(S269:S271))</f>
        <v/>
      </c>
      <c r="T272" s="257">
        <f>IF(T$5="","",SUM(T269:T271))</f>
        <v/>
      </c>
      <c r="U272" s="257">
        <f>IF(U$5="","",SUM(U269:U271))</f>
        <v/>
      </c>
      <c r="V272" s="257">
        <f>IF(V$5="","",SUM(V269:V271))</f>
        <v/>
      </c>
      <c r="W272" s="257">
        <f>IF(W$5="","",SUM(W269:W271))</f>
        <v/>
      </c>
      <c r="X272" s="257">
        <f>IF(X$5="","",SUM(X269:X271))</f>
        <v/>
      </c>
      <c r="Y272" s="257">
        <f>IF(Y$5="","",SUM(Y269:Y271))</f>
        <v/>
      </c>
      <c r="Z272" s="257">
        <f>IF(Z$5="","",SUM(Z269:Z271))</f>
        <v/>
      </c>
      <c r="AA272" s="257">
        <f>IF(AA$5="","",SUM(AA269:AA271))</f>
        <v/>
      </c>
      <c r="AB272" s="257">
        <f>IF(AB$5="","",SUM(AB269:AB271))</f>
        <v/>
      </c>
      <c r="AC272" s="257">
        <f>IF(AC$5="","",SUM(AC269:AC271))</f>
        <v/>
      </c>
      <c r="AD272" s="257">
        <f>IF(AD$5="","",SUM(AD269:AD271))</f>
        <v/>
      </c>
      <c r="AE272" s="257">
        <f>IF(AE$5="","",SUM(AE269:AE271))</f>
        <v/>
      </c>
      <c r="AF272" s="257">
        <f>IF(AF$5="","",SUM(AF269:AF271))</f>
        <v/>
      </c>
      <c r="AG272" s="257">
        <f>IF(AG$5="","",SUM(AG269:AG271))</f>
        <v/>
      </c>
      <c r="AH272" s="257">
        <f>IF(AH$5="","",SUM(AH269:AH271))</f>
        <v/>
      </c>
    </row>
    <row r="273" ht="16" customHeight="1">
      <c r="B273" s="253" t="inlineStr">
        <is>
          <t>Fly hrs</t>
        </is>
      </c>
      <c r="C273" s="254" t="n"/>
      <c r="D273" s="258">
        <f>IF(D$5="","",SUMPRODUCT(SUMIFS(ActHrs,ActCodesAll,D$27:D$266,ActCat,Activities!$G$6)))</f>
        <v/>
      </c>
      <c r="E273" s="258">
        <f>IF(E$5="","",SUMPRODUCT(SUMIFS(ActHrs,ActCodesAll,E$27:E$266,ActCat,Activities!$G$6)))</f>
        <v/>
      </c>
      <c r="F273" s="258">
        <f>IF(F$5="","",SUMPRODUCT(SUMIFS(ActHrs,ActCodesAll,F$27:F$266,ActCat,Activities!$G$6)))</f>
        <v/>
      </c>
      <c r="G273" s="258">
        <f>IF(G$5="","",SUMPRODUCT(SUMIFS(ActHrs,ActCodesAll,G$27:G$266,ActCat,Activities!$G$6)))</f>
        <v/>
      </c>
      <c r="H273" s="258">
        <f>IF(H$5="","",SUMPRODUCT(SUMIFS(ActHrs,ActCodesAll,H$27:H$266,ActCat,Activities!$G$6)))</f>
        <v/>
      </c>
      <c r="I273" s="258">
        <f>IF(I$5="","",SUMPRODUCT(SUMIFS(ActHrs,ActCodesAll,I$27:I$266,ActCat,Activities!$G$6)))</f>
        <v/>
      </c>
      <c r="J273" s="258">
        <f>IF(J$5="","",SUMPRODUCT(SUMIFS(ActHrs,ActCodesAll,J$27:J$266,ActCat,Activities!$G$6)))</f>
        <v/>
      </c>
      <c r="K273" s="258">
        <f>IF(K$5="","",SUMPRODUCT(SUMIFS(ActHrs,ActCodesAll,K$27:K$266,ActCat,Activities!$G$6)))</f>
        <v/>
      </c>
      <c r="L273" s="258">
        <f>IF(L$5="","",SUMPRODUCT(SUMIFS(ActHrs,ActCodesAll,L$27:L$266,ActCat,Activities!$G$6)))</f>
        <v/>
      </c>
      <c r="M273" s="258">
        <f>IF(M$5="","",SUMPRODUCT(SUMIFS(ActHrs,ActCodesAll,M$27:M$266,ActCat,Activities!$G$6)))</f>
        <v/>
      </c>
      <c r="N273" s="258">
        <f>IF(N$5="","",SUMPRODUCT(SUMIFS(ActHrs,ActCodesAll,N$27:N$266,ActCat,Activities!$G$6)))</f>
        <v/>
      </c>
      <c r="O273" s="258">
        <f>IF(O$5="","",SUMPRODUCT(SUMIFS(ActHrs,ActCodesAll,O$27:O$266,ActCat,Activities!$G$6)))</f>
        <v/>
      </c>
      <c r="P273" s="258">
        <f>IF(P$5="","",SUMPRODUCT(SUMIFS(ActHrs,ActCodesAll,P$27:P$266,ActCat,Activities!$G$6)))</f>
        <v/>
      </c>
      <c r="Q273" s="258">
        <f>IF(Q$5="","",SUMPRODUCT(SUMIFS(ActHrs,ActCodesAll,Q$27:Q$266,ActCat,Activities!$G$6)))</f>
        <v/>
      </c>
      <c r="R273" s="258">
        <f>IF(R$5="","",SUMPRODUCT(SUMIFS(ActHrs,ActCodesAll,R$27:R$266,ActCat,Activities!$G$6)))</f>
        <v/>
      </c>
      <c r="S273" s="258">
        <f>IF(S$5="","",SUMPRODUCT(SUMIFS(ActHrs,ActCodesAll,S$27:S$266,ActCat,Activities!$G$6)))</f>
        <v/>
      </c>
      <c r="T273" s="258">
        <f>IF(T$5="","",SUMPRODUCT(SUMIFS(ActHrs,ActCodesAll,T$27:T$266,ActCat,Activities!$G$6)))</f>
        <v/>
      </c>
      <c r="U273" s="258">
        <f>IF(U$5="","",SUMPRODUCT(SUMIFS(ActHrs,ActCodesAll,U$27:U$266,ActCat,Activities!$G$6)))</f>
        <v/>
      </c>
      <c r="V273" s="258">
        <f>IF(V$5="","",SUMPRODUCT(SUMIFS(ActHrs,ActCodesAll,V$27:V$266,ActCat,Activities!$G$6)))</f>
        <v/>
      </c>
      <c r="W273" s="258">
        <f>IF(W$5="","",SUMPRODUCT(SUMIFS(ActHrs,ActCodesAll,W$27:W$266,ActCat,Activities!$G$6)))</f>
        <v/>
      </c>
      <c r="X273" s="258">
        <f>IF(X$5="","",SUMPRODUCT(SUMIFS(ActHrs,ActCodesAll,X$27:X$266,ActCat,Activities!$G$6)))</f>
        <v/>
      </c>
      <c r="Y273" s="258">
        <f>IF(Y$5="","",SUMPRODUCT(SUMIFS(ActHrs,ActCodesAll,Y$27:Y$266,ActCat,Activities!$G$6)))</f>
        <v/>
      </c>
      <c r="Z273" s="258">
        <f>IF(Z$5="","",SUMPRODUCT(SUMIFS(ActHrs,ActCodesAll,Z$27:Z$266,ActCat,Activities!$G$6)))</f>
        <v/>
      </c>
      <c r="AA273" s="258">
        <f>IF(AA$5="","",SUMPRODUCT(SUMIFS(ActHrs,ActCodesAll,AA$27:AA$266,ActCat,Activities!$G$6)))</f>
        <v/>
      </c>
      <c r="AB273" s="258">
        <f>IF(AB$5="","",SUMPRODUCT(SUMIFS(ActHrs,ActCodesAll,AB$27:AB$266,ActCat,Activities!$G$6)))</f>
        <v/>
      </c>
      <c r="AC273" s="258">
        <f>IF(AC$5="","",SUMPRODUCT(SUMIFS(ActHrs,ActCodesAll,AC$27:AC$266,ActCat,Activities!$G$6)))</f>
        <v/>
      </c>
      <c r="AD273" s="258">
        <f>IF(AD$5="","",SUMPRODUCT(SUMIFS(ActHrs,ActCodesAll,AD$27:AD$266,ActCat,Activities!$G$6)))</f>
        <v/>
      </c>
      <c r="AE273" s="258">
        <f>IF(AE$5="","",SUMPRODUCT(SUMIFS(ActHrs,ActCodesAll,AE$27:AE$266,ActCat,Activities!$G$6)))</f>
        <v/>
      </c>
      <c r="AF273" s="258">
        <f>IF(AF$5="","",SUMPRODUCT(SUMIFS(ActHrs,ActCodesAll,AF$27:AF$266,ActCat,Activities!$G$6)))</f>
        <v/>
      </c>
      <c r="AG273" s="258">
        <f>IF(AG$5="","",SUMPRODUCT(SUMIFS(ActHrs,ActCodesAll,AG$27:AG$266,ActCat,Activities!$G$6)))</f>
        <v/>
      </c>
      <c r="AH273" s="258">
        <f>IF(AH$5="","",SUMPRODUCT(SUMIFS(ActHrs,ActCodesAll,AH$27:AH$266,ActCat,Activities!$G$6)))</f>
        <v/>
      </c>
    </row>
    <row r="274" ht="16" customHeight="1">
      <c r="B274" s="256" t="inlineStr">
        <is>
          <t>SDO on duty</t>
        </is>
      </c>
      <c r="C274" s="254" t="n"/>
      <c r="D274" s="257">
        <f>IF(D$5="","",SUMPRODUCT(($C$27:$C$263="AM")*(((D$27:D$263="SDO")+(D$27:D$263="BDO")+(D$28:D$264="SDO")+(D$28:D$264="BDO")+(D$29:D$265="SDO")+(D$29:D$265="BDO"))&gt;0)))</f>
        <v/>
      </c>
      <c r="E274" s="257">
        <f>IF(E$5="","",SUMPRODUCT(($C$27:$C$263="AM")*(((E$27:E$263="SDO")+(E$27:E$263="BDO")+(E$28:E$264="SDO")+(E$28:E$264="BDO")+(E$29:E$265="SDO")+(E$29:E$265="BDO"))&gt;0)))</f>
        <v/>
      </c>
      <c r="F274" s="257">
        <f>IF(F$5="","",SUMPRODUCT(($C$27:$C$263="AM")*(((F$27:F$263="SDO")+(F$27:F$263="BDO")+(F$28:F$264="SDO")+(F$28:F$264="BDO")+(F$29:F$265="SDO")+(F$29:F$265="BDO"))&gt;0)))</f>
        <v/>
      </c>
      <c r="G274" s="257">
        <f>IF(G$5="","",SUMPRODUCT(($C$27:$C$263="AM")*(((G$27:G$263="SDO")+(G$27:G$263="BDO")+(G$28:G$264="SDO")+(G$28:G$264="BDO")+(G$29:G$265="SDO")+(G$29:G$265="BDO"))&gt;0)))</f>
        <v/>
      </c>
      <c r="H274" s="257">
        <f>IF(H$5="","",SUMPRODUCT(($C$27:$C$263="AM")*(((H$27:H$263="SDO")+(H$27:H$263="BDO")+(H$28:H$264="SDO")+(H$28:H$264="BDO")+(H$29:H$265="SDO")+(H$29:H$265="BDO"))&gt;0)))</f>
        <v/>
      </c>
      <c r="I274" s="257">
        <f>IF(I$5="","",SUMPRODUCT(($C$27:$C$263="AM")*(((I$27:I$263="SDO")+(I$27:I$263="BDO")+(I$28:I$264="SDO")+(I$28:I$264="BDO")+(I$29:I$265="SDO")+(I$29:I$265="BDO"))&gt;0)))</f>
        <v/>
      </c>
      <c r="J274" s="257">
        <f>IF(J$5="","",SUMPRODUCT(($C$27:$C$263="AM")*(((J$27:J$263="SDO")+(J$27:J$263="BDO")+(J$28:J$264="SDO")+(J$28:J$264="BDO")+(J$29:J$265="SDO")+(J$29:J$265="BDO"))&gt;0)))</f>
        <v/>
      </c>
      <c r="K274" s="257">
        <f>IF(K$5="","",SUMPRODUCT(($C$27:$C$263="AM")*(((K$27:K$263="SDO")+(K$27:K$263="BDO")+(K$28:K$264="SDO")+(K$28:K$264="BDO")+(K$29:K$265="SDO")+(K$29:K$265="BDO"))&gt;0)))</f>
        <v/>
      </c>
      <c r="L274" s="257">
        <f>IF(L$5="","",SUMPRODUCT(($C$27:$C$263="AM")*(((L$27:L$263="SDO")+(L$27:L$263="BDO")+(L$28:L$264="SDO")+(L$28:L$264="BDO")+(L$29:L$265="SDO")+(L$29:L$265="BDO"))&gt;0)))</f>
        <v/>
      </c>
      <c r="M274" s="257">
        <f>IF(M$5="","",SUMPRODUCT(($C$27:$C$263="AM")*(((M$27:M$263="SDO")+(M$27:M$263="BDO")+(M$28:M$264="SDO")+(M$28:M$264="BDO")+(M$29:M$265="SDO")+(M$29:M$265="BDO"))&gt;0)))</f>
        <v/>
      </c>
      <c r="N274" s="257">
        <f>IF(N$5="","",SUMPRODUCT(($C$27:$C$263="AM")*(((N$27:N$263="SDO")+(N$27:N$263="BDO")+(N$28:N$264="SDO")+(N$28:N$264="BDO")+(N$29:N$265="SDO")+(N$29:N$265="BDO"))&gt;0)))</f>
        <v/>
      </c>
      <c r="O274" s="257">
        <f>IF(O$5="","",SUMPRODUCT(($C$27:$C$263="AM")*(((O$27:O$263="SDO")+(O$27:O$263="BDO")+(O$28:O$264="SDO")+(O$28:O$264="BDO")+(O$29:O$265="SDO")+(O$29:O$265="BDO"))&gt;0)))</f>
        <v/>
      </c>
      <c r="P274" s="257">
        <f>IF(P$5="","",SUMPRODUCT(($C$27:$C$263="AM")*(((P$27:P$263="SDO")+(P$27:P$263="BDO")+(P$28:P$264="SDO")+(P$28:P$264="BDO")+(P$29:P$265="SDO")+(P$29:P$265="BDO"))&gt;0)))</f>
        <v/>
      </c>
      <c r="Q274" s="257">
        <f>IF(Q$5="","",SUMPRODUCT(($C$27:$C$263="AM")*(((Q$27:Q$263="SDO")+(Q$27:Q$263="BDO")+(Q$28:Q$264="SDO")+(Q$28:Q$264="BDO")+(Q$29:Q$265="SDO")+(Q$29:Q$265="BDO"))&gt;0)))</f>
        <v/>
      </c>
      <c r="R274" s="257">
        <f>IF(R$5="","",SUMPRODUCT(($C$27:$C$263="AM")*(((R$27:R$263="SDO")+(R$27:R$263="BDO")+(R$28:R$264="SDO")+(R$28:R$264="BDO")+(R$29:R$265="SDO")+(R$29:R$265="BDO"))&gt;0)))</f>
        <v/>
      </c>
      <c r="S274" s="257">
        <f>IF(S$5="","",SUMPRODUCT(($C$27:$C$263="AM")*(((S$27:S$263="SDO")+(S$27:S$263="BDO")+(S$28:S$264="SDO")+(S$28:S$264="BDO")+(S$29:S$265="SDO")+(S$29:S$265="BDO"))&gt;0)))</f>
        <v/>
      </c>
      <c r="T274" s="257">
        <f>IF(T$5="","",SUMPRODUCT(($C$27:$C$263="AM")*(((T$27:T$263="SDO")+(T$27:T$263="BDO")+(T$28:T$264="SDO")+(T$28:T$264="BDO")+(T$29:T$265="SDO")+(T$29:T$265="BDO"))&gt;0)))</f>
        <v/>
      </c>
      <c r="U274" s="257">
        <f>IF(U$5="","",SUMPRODUCT(($C$27:$C$263="AM")*(((U$27:U$263="SDO")+(U$27:U$263="BDO")+(U$28:U$264="SDO")+(U$28:U$264="BDO")+(U$29:U$265="SDO")+(U$29:U$265="BDO"))&gt;0)))</f>
        <v/>
      </c>
      <c r="V274" s="257">
        <f>IF(V$5="","",SUMPRODUCT(($C$27:$C$263="AM")*(((V$27:V$263="SDO")+(V$27:V$263="BDO")+(V$28:V$264="SDO")+(V$28:V$264="BDO")+(V$29:V$265="SDO")+(V$29:V$265="BDO"))&gt;0)))</f>
        <v/>
      </c>
      <c r="W274" s="257">
        <f>IF(W$5="","",SUMPRODUCT(($C$27:$C$263="AM")*(((W$27:W$263="SDO")+(W$27:W$263="BDO")+(W$28:W$264="SDO")+(W$28:W$264="BDO")+(W$29:W$265="SDO")+(W$29:W$265="BDO"))&gt;0)))</f>
        <v/>
      </c>
      <c r="X274" s="257">
        <f>IF(X$5="","",SUMPRODUCT(($C$27:$C$263="AM")*(((X$27:X$263="SDO")+(X$27:X$263="BDO")+(X$28:X$264="SDO")+(X$28:X$264="BDO")+(X$29:X$265="SDO")+(X$29:X$265="BDO"))&gt;0)))</f>
        <v/>
      </c>
      <c r="Y274" s="257">
        <f>IF(Y$5="","",SUMPRODUCT(($C$27:$C$263="AM")*(((Y$27:Y$263="SDO")+(Y$27:Y$263="BDO")+(Y$28:Y$264="SDO")+(Y$28:Y$264="BDO")+(Y$29:Y$265="SDO")+(Y$29:Y$265="BDO"))&gt;0)))</f>
        <v/>
      </c>
      <c r="Z274" s="257">
        <f>IF(Z$5="","",SUMPRODUCT(($C$27:$C$263="AM")*(((Z$27:Z$263="SDO")+(Z$27:Z$263="BDO")+(Z$28:Z$264="SDO")+(Z$28:Z$264="BDO")+(Z$29:Z$265="SDO")+(Z$29:Z$265="BDO"))&gt;0)))</f>
        <v/>
      </c>
      <c r="AA274" s="257">
        <f>IF(AA$5="","",SUMPRODUCT(($C$27:$C$263="AM")*(((AA$27:AA$263="SDO")+(AA$27:AA$263="BDO")+(AA$28:AA$264="SDO")+(AA$28:AA$264="BDO")+(AA$29:AA$265="SDO")+(AA$29:AA$265="BDO"))&gt;0)))</f>
        <v/>
      </c>
      <c r="AB274" s="257">
        <f>IF(AB$5="","",SUMPRODUCT(($C$27:$C$263="AM")*(((AB$27:AB$263="SDO")+(AB$27:AB$263="BDO")+(AB$28:AB$264="SDO")+(AB$28:AB$264="BDO")+(AB$29:AB$265="SDO")+(AB$29:AB$265="BDO"))&gt;0)))</f>
        <v/>
      </c>
      <c r="AC274" s="257">
        <f>IF(AC$5="","",SUMPRODUCT(($C$27:$C$263="AM")*(((AC$27:AC$263="SDO")+(AC$27:AC$263="BDO")+(AC$28:AC$264="SDO")+(AC$28:AC$264="BDO")+(AC$29:AC$265="SDO")+(AC$29:AC$265="BDO"))&gt;0)))</f>
        <v/>
      </c>
      <c r="AD274" s="257">
        <f>IF(AD$5="","",SUMPRODUCT(($C$27:$C$263="AM")*(((AD$27:AD$263="SDO")+(AD$27:AD$263="BDO")+(AD$28:AD$264="SDO")+(AD$28:AD$264="BDO")+(AD$29:AD$265="SDO")+(AD$29:AD$265="BDO"))&gt;0)))</f>
        <v/>
      </c>
      <c r="AE274" s="257">
        <f>IF(AE$5="","",SUMPRODUCT(($C$27:$C$263="AM")*(((AE$27:AE$263="SDO")+(AE$27:AE$263="BDO")+(AE$28:AE$264="SDO")+(AE$28:AE$264="BDO")+(AE$29:AE$265="SDO")+(AE$29:AE$265="BDO"))&gt;0)))</f>
        <v/>
      </c>
      <c r="AF274" s="257">
        <f>IF(AF$5="","",SUMPRODUCT(($C$27:$C$263="AM")*(((AF$27:AF$263="SDO")+(AF$27:AF$263="BDO")+(AF$28:AF$264="SDO")+(AF$28:AF$264="BDO")+(AF$29:AF$265="SDO")+(AF$29:AF$265="BDO"))&gt;0)))</f>
        <v/>
      </c>
      <c r="AG274" s="257">
        <f>IF(AG$5="","",SUMPRODUCT(($C$27:$C$263="AM")*(((AG$27:AG$263="SDO")+(AG$27:AG$263="BDO")+(AG$28:AG$264="SDO")+(AG$28:AG$264="BDO")+(AG$29:AG$265="SDO")+(AG$29:AG$265="BDO"))&gt;0)))</f>
        <v/>
      </c>
      <c r="AH274" s="257">
        <f>IF(AH$5="","",SUMPRODUCT(($C$27:$C$263="AM")*(((AH$27:AH$263="SDO")+(AH$27:AH$263="BDO")+(AH$28:AH$264="SDO")+(AH$28:AH$264="BDO")+(AH$29:AH$265="SDO")+(AH$29:AH$265="BDO"))&gt;0)))</f>
        <v/>
      </c>
    </row>
    <row r="275" ht="16" customHeight="1">
      <c r="B275" s="253" t="inlineStr">
        <is>
          <t>Gnd duty (crew)</t>
        </is>
      </c>
      <c r="C275" s="254" t="n"/>
      <c r="D275" s="255">
        <f>IF(D$5="","",SUMPRODUCT(($C$27:$C$263="AM")*((COUNTIFS(ActCodesAll,D$27:D$263,ActCat,Activities!$G$8)+COUNTIFS(ActCodesAll,D$28:D$264,ActCat,Activities!$G$8)+COUNTIFS(ActCodesAll,D$29:D$265,ActCat,Activities!$G$8)+COUNTIFS(ActCodesAll,D$30:D$266,ActCat,Activities!$G$8))&gt;0)))</f>
        <v/>
      </c>
      <c r="E275" s="255">
        <f>IF(E$5="","",SUMPRODUCT(($C$27:$C$263="AM")*((COUNTIFS(ActCodesAll,E$27:E$263,ActCat,Activities!$G$8)+COUNTIFS(ActCodesAll,E$28:E$264,ActCat,Activities!$G$8)+COUNTIFS(ActCodesAll,E$29:E$265,ActCat,Activities!$G$8)+COUNTIFS(ActCodesAll,E$30:E$266,ActCat,Activities!$G$8))&gt;0)))</f>
        <v/>
      </c>
      <c r="F275" s="255">
        <f>IF(F$5="","",SUMPRODUCT(($C$27:$C$263="AM")*((COUNTIFS(ActCodesAll,F$27:F$263,ActCat,Activities!$G$8)+COUNTIFS(ActCodesAll,F$28:F$264,ActCat,Activities!$G$8)+COUNTIFS(ActCodesAll,F$29:F$265,ActCat,Activities!$G$8)+COUNTIFS(ActCodesAll,F$30:F$266,ActCat,Activities!$G$8))&gt;0)))</f>
        <v/>
      </c>
      <c r="G275" s="255">
        <f>IF(G$5="","",SUMPRODUCT(($C$27:$C$263="AM")*((COUNTIFS(ActCodesAll,G$27:G$263,ActCat,Activities!$G$8)+COUNTIFS(ActCodesAll,G$28:G$264,ActCat,Activities!$G$8)+COUNTIFS(ActCodesAll,G$29:G$265,ActCat,Activities!$G$8)+COUNTIFS(ActCodesAll,G$30:G$266,ActCat,Activities!$G$8))&gt;0)))</f>
        <v/>
      </c>
      <c r="H275" s="255">
        <f>IF(H$5="","",SUMPRODUCT(($C$27:$C$263="AM")*((COUNTIFS(ActCodesAll,H$27:H$263,ActCat,Activities!$G$8)+COUNTIFS(ActCodesAll,H$28:H$264,ActCat,Activities!$G$8)+COUNTIFS(ActCodesAll,H$29:H$265,ActCat,Activities!$G$8)+COUNTIFS(ActCodesAll,H$30:H$266,ActCat,Activities!$G$8))&gt;0)))</f>
        <v/>
      </c>
      <c r="I275" s="255">
        <f>IF(I$5="","",SUMPRODUCT(($C$27:$C$263="AM")*((COUNTIFS(ActCodesAll,I$27:I$263,ActCat,Activities!$G$8)+COUNTIFS(ActCodesAll,I$28:I$264,ActCat,Activities!$G$8)+COUNTIFS(ActCodesAll,I$29:I$265,ActCat,Activities!$G$8)+COUNTIFS(ActCodesAll,I$30:I$266,ActCat,Activities!$G$8))&gt;0)))</f>
        <v/>
      </c>
      <c r="J275" s="255">
        <f>IF(J$5="","",SUMPRODUCT(($C$27:$C$263="AM")*((COUNTIFS(ActCodesAll,J$27:J$263,ActCat,Activities!$G$8)+COUNTIFS(ActCodesAll,J$28:J$264,ActCat,Activities!$G$8)+COUNTIFS(ActCodesAll,J$29:J$265,ActCat,Activities!$G$8)+COUNTIFS(ActCodesAll,J$30:J$266,ActCat,Activities!$G$8))&gt;0)))</f>
        <v/>
      </c>
      <c r="K275" s="255">
        <f>IF(K$5="","",SUMPRODUCT(($C$27:$C$263="AM")*((COUNTIFS(ActCodesAll,K$27:K$263,ActCat,Activities!$G$8)+COUNTIFS(ActCodesAll,K$28:K$264,ActCat,Activities!$G$8)+COUNTIFS(ActCodesAll,K$29:K$265,ActCat,Activities!$G$8)+COUNTIFS(ActCodesAll,K$30:K$266,ActCat,Activities!$G$8))&gt;0)))</f>
        <v/>
      </c>
      <c r="L275" s="255">
        <f>IF(L$5="","",SUMPRODUCT(($C$27:$C$263="AM")*((COUNTIFS(ActCodesAll,L$27:L$263,ActCat,Activities!$G$8)+COUNTIFS(ActCodesAll,L$28:L$264,ActCat,Activities!$G$8)+COUNTIFS(ActCodesAll,L$29:L$265,ActCat,Activities!$G$8)+COUNTIFS(ActCodesAll,L$30:L$266,ActCat,Activities!$G$8))&gt;0)))</f>
        <v/>
      </c>
      <c r="M275" s="255">
        <f>IF(M$5="","",SUMPRODUCT(($C$27:$C$263="AM")*((COUNTIFS(ActCodesAll,M$27:M$263,ActCat,Activities!$G$8)+COUNTIFS(ActCodesAll,M$28:M$264,ActCat,Activities!$G$8)+COUNTIFS(ActCodesAll,M$29:M$265,ActCat,Activities!$G$8)+COUNTIFS(ActCodesAll,M$30:M$266,ActCat,Activities!$G$8))&gt;0)))</f>
        <v/>
      </c>
      <c r="N275" s="255">
        <f>IF(N$5="","",SUMPRODUCT(($C$27:$C$263="AM")*((COUNTIFS(ActCodesAll,N$27:N$263,ActCat,Activities!$G$8)+COUNTIFS(ActCodesAll,N$28:N$264,ActCat,Activities!$G$8)+COUNTIFS(ActCodesAll,N$29:N$265,ActCat,Activities!$G$8)+COUNTIFS(ActCodesAll,N$30:N$266,ActCat,Activities!$G$8))&gt;0)))</f>
        <v/>
      </c>
      <c r="O275" s="255">
        <f>IF(O$5="","",SUMPRODUCT(($C$27:$C$263="AM")*((COUNTIFS(ActCodesAll,O$27:O$263,ActCat,Activities!$G$8)+COUNTIFS(ActCodesAll,O$28:O$264,ActCat,Activities!$G$8)+COUNTIFS(ActCodesAll,O$29:O$265,ActCat,Activities!$G$8)+COUNTIFS(ActCodesAll,O$30:O$266,ActCat,Activities!$G$8))&gt;0)))</f>
        <v/>
      </c>
      <c r="P275" s="255">
        <f>IF(P$5="","",SUMPRODUCT(($C$27:$C$263="AM")*((COUNTIFS(ActCodesAll,P$27:P$263,ActCat,Activities!$G$8)+COUNTIFS(ActCodesAll,P$28:P$264,ActCat,Activities!$G$8)+COUNTIFS(ActCodesAll,P$29:P$265,ActCat,Activities!$G$8)+COUNTIFS(ActCodesAll,P$30:P$266,ActCat,Activities!$G$8))&gt;0)))</f>
        <v/>
      </c>
      <c r="Q275" s="255">
        <f>IF(Q$5="","",SUMPRODUCT(($C$27:$C$263="AM")*((COUNTIFS(ActCodesAll,Q$27:Q$263,ActCat,Activities!$G$8)+COUNTIFS(ActCodesAll,Q$28:Q$264,ActCat,Activities!$G$8)+COUNTIFS(ActCodesAll,Q$29:Q$265,ActCat,Activities!$G$8)+COUNTIFS(ActCodesAll,Q$30:Q$266,ActCat,Activities!$G$8))&gt;0)))</f>
        <v/>
      </c>
      <c r="R275" s="255">
        <f>IF(R$5="","",SUMPRODUCT(($C$27:$C$263="AM")*((COUNTIFS(ActCodesAll,R$27:R$263,ActCat,Activities!$G$8)+COUNTIFS(ActCodesAll,R$28:R$264,ActCat,Activities!$G$8)+COUNTIFS(ActCodesAll,R$29:R$265,ActCat,Activities!$G$8)+COUNTIFS(ActCodesAll,R$30:R$266,ActCat,Activities!$G$8))&gt;0)))</f>
        <v/>
      </c>
      <c r="S275" s="255">
        <f>IF(S$5="","",SUMPRODUCT(($C$27:$C$263="AM")*((COUNTIFS(ActCodesAll,S$27:S$263,ActCat,Activities!$G$8)+COUNTIFS(ActCodesAll,S$28:S$264,ActCat,Activities!$G$8)+COUNTIFS(ActCodesAll,S$29:S$265,ActCat,Activities!$G$8)+COUNTIFS(ActCodesAll,S$30:S$266,ActCat,Activities!$G$8))&gt;0)))</f>
        <v/>
      </c>
      <c r="T275" s="255">
        <f>IF(T$5="","",SUMPRODUCT(($C$27:$C$263="AM")*((COUNTIFS(ActCodesAll,T$27:T$263,ActCat,Activities!$G$8)+COUNTIFS(ActCodesAll,T$28:T$264,ActCat,Activities!$G$8)+COUNTIFS(ActCodesAll,T$29:T$265,ActCat,Activities!$G$8)+COUNTIFS(ActCodesAll,T$30:T$266,ActCat,Activities!$G$8))&gt;0)))</f>
        <v/>
      </c>
      <c r="U275" s="255">
        <f>IF(U$5="","",SUMPRODUCT(($C$27:$C$263="AM")*((COUNTIFS(ActCodesAll,U$27:U$263,ActCat,Activities!$G$8)+COUNTIFS(ActCodesAll,U$28:U$264,ActCat,Activities!$G$8)+COUNTIFS(ActCodesAll,U$29:U$265,ActCat,Activities!$G$8)+COUNTIFS(ActCodesAll,U$30:U$266,ActCat,Activities!$G$8))&gt;0)))</f>
        <v/>
      </c>
      <c r="V275" s="255">
        <f>IF(V$5="","",SUMPRODUCT(($C$27:$C$263="AM")*((COUNTIFS(ActCodesAll,V$27:V$263,ActCat,Activities!$G$8)+COUNTIFS(ActCodesAll,V$28:V$264,ActCat,Activities!$G$8)+COUNTIFS(ActCodesAll,V$29:V$265,ActCat,Activities!$G$8)+COUNTIFS(ActCodesAll,V$30:V$266,ActCat,Activities!$G$8))&gt;0)))</f>
        <v/>
      </c>
      <c r="W275" s="255">
        <f>IF(W$5="","",SUMPRODUCT(($C$27:$C$263="AM")*((COUNTIFS(ActCodesAll,W$27:W$263,ActCat,Activities!$G$8)+COUNTIFS(ActCodesAll,W$28:W$264,ActCat,Activities!$G$8)+COUNTIFS(ActCodesAll,W$29:W$265,ActCat,Activities!$G$8)+COUNTIFS(ActCodesAll,W$30:W$266,ActCat,Activities!$G$8))&gt;0)))</f>
        <v/>
      </c>
      <c r="X275" s="255">
        <f>IF(X$5="","",SUMPRODUCT(($C$27:$C$263="AM")*((COUNTIFS(ActCodesAll,X$27:X$263,ActCat,Activities!$G$8)+COUNTIFS(ActCodesAll,X$28:X$264,ActCat,Activities!$G$8)+COUNTIFS(ActCodesAll,X$29:X$265,ActCat,Activities!$G$8)+COUNTIFS(ActCodesAll,X$30:X$266,ActCat,Activities!$G$8))&gt;0)))</f>
        <v/>
      </c>
      <c r="Y275" s="255">
        <f>IF(Y$5="","",SUMPRODUCT(($C$27:$C$263="AM")*((COUNTIFS(ActCodesAll,Y$27:Y$263,ActCat,Activities!$G$8)+COUNTIFS(ActCodesAll,Y$28:Y$264,ActCat,Activities!$G$8)+COUNTIFS(ActCodesAll,Y$29:Y$265,ActCat,Activities!$G$8)+COUNTIFS(ActCodesAll,Y$30:Y$266,ActCat,Activities!$G$8))&gt;0)))</f>
        <v/>
      </c>
      <c r="Z275" s="255">
        <f>IF(Z$5="","",SUMPRODUCT(($C$27:$C$263="AM")*((COUNTIFS(ActCodesAll,Z$27:Z$263,ActCat,Activities!$G$8)+COUNTIFS(ActCodesAll,Z$28:Z$264,ActCat,Activities!$G$8)+COUNTIFS(ActCodesAll,Z$29:Z$265,ActCat,Activities!$G$8)+COUNTIFS(ActCodesAll,Z$30:Z$266,ActCat,Activities!$G$8))&gt;0)))</f>
        <v/>
      </c>
      <c r="AA275" s="255">
        <f>IF(AA$5="","",SUMPRODUCT(($C$27:$C$263="AM")*((COUNTIFS(ActCodesAll,AA$27:AA$263,ActCat,Activities!$G$8)+COUNTIFS(ActCodesAll,AA$28:AA$264,ActCat,Activities!$G$8)+COUNTIFS(ActCodesAll,AA$29:AA$265,ActCat,Activities!$G$8)+COUNTIFS(ActCodesAll,AA$30:AA$266,ActCat,Activities!$G$8))&gt;0)))</f>
        <v/>
      </c>
      <c r="AB275" s="255">
        <f>IF(AB$5="","",SUMPRODUCT(($C$27:$C$263="AM")*((COUNTIFS(ActCodesAll,AB$27:AB$263,ActCat,Activities!$G$8)+COUNTIFS(ActCodesAll,AB$28:AB$264,ActCat,Activities!$G$8)+COUNTIFS(ActCodesAll,AB$29:AB$265,ActCat,Activities!$G$8)+COUNTIFS(ActCodesAll,AB$30:AB$266,ActCat,Activities!$G$8))&gt;0)))</f>
        <v/>
      </c>
      <c r="AC275" s="255">
        <f>IF(AC$5="","",SUMPRODUCT(($C$27:$C$263="AM")*((COUNTIFS(ActCodesAll,AC$27:AC$263,ActCat,Activities!$G$8)+COUNTIFS(ActCodesAll,AC$28:AC$264,ActCat,Activities!$G$8)+COUNTIFS(ActCodesAll,AC$29:AC$265,ActCat,Activities!$G$8)+COUNTIFS(ActCodesAll,AC$30:AC$266,ActCat,Activities!$G$8))&gt;0)))</f>
        <v/>
      </c>
      <c r="AD275" s="255">
        <f>IF(AD$5="","",SUMPRODUCT(($C$27:$C$263="AM")*((COUNTIFS(ActCodesAll,AD$27:AD$263,ActCat,Activities!$G$8)+COUNTIFS(ActCodesAll,AD$28:AD$264,ActCat,Activities!$G$8)+COUNTIFS(ActCodesAll,AD$29:AD$265,ActCat,Activities!$G$8)+COUNTIFS(ActCodesAll,AD$30:AD$266,ActCat,Activities!$G$8))&gt;0)))</f>
        <v/>
      </c>
      <c r="AE275" s="255">
        <f>IF(AE$5="","",SUMPRODUCT(($C$27:$C$263="AM")*((COUNTIFS(ActCodesAll,AE$27:AE$263,ActCat,Activities!$G$8)+COUNTIFS(ActCodesAll,AE$28:AE$264,ActCat,Activities!$G$8)+COUNTIFS(ActCodesAll,AE$29:AE$265,ActCat,Activities!$G$8)+COUNTIFS(ActCodesAll,AE$30:AE$266,ActCat,Activities!$G$8))&gt;0)))</f>
        <v/>
      </c>
      <c r="AF275" s="255">
        <f>IF(AF$5="","",SUMPRODUCT(($C$27:$C$263="AM")*((COUNTIFS(ActCodesAll,AF$27:AF$263,ActCat,Activities!$G$8)+COUNTIFS(ActCodesAll,AF$28:AF$264,ActCat,Activities!$G$8)+COUNTIFS(ActCodesAll,AF$29:AF$265,ActCat,Activities!$G$8)+COUNTIFS(ActCodesAll,AF$30:AF$266,ActCat,Activities!$G$8))&gt;0)))</f>
        <v/>
      </c>
      <c r="AG275" s="255">
        <f>IF(AG$5="","",SUMPRODUCT(($C$27:$C$263="AM")*((COUNTIFS(ActCodesAll,AG$27:AG$263,ActCat,Activities!$G$8)+COUNTIFS(ActCodesAll,AG$28:AG$264,ActCat,Activities!$G$8)+COUNTIFS(ActCodesAll,AG$29:AG$265,ActCat,Activities!$G$8)+COUNTIFS(ActCodesAll,AG$30:AG$266,ActCat,Activities!$G$8))&gt;0)))</f>
        <v/>
      </c>
      <c r="AH275" s="255">
        <f>IF(AH$5="","",SUMPRODUCT(($C$27:$C$263="AM")*((COUNTIFS(ActCodesAll,AH$27:AH$263,ActCat,Activities!$G$8)+COUNTIFS(ActCodesAll,AH$28:AH$264,ActCat,Activities!$G$8)+COUNTIFS(ActCodesAll,AH$29:AH$265,ActCat,Activities!$G$8)+COUNTIFS(ActCodesAll,AH$30:AH$266,ActCat,Activities!$G$8))&gt;0)))</f>
        <v/>
      </c>
    </row>
    <row r="276" ht="16" customHeight="1">
      <c r="B276" s="253" t="inlineStr">
        <is>
          <t>On leave (crew)</t>
        </is>
      </c>
      <c r="C276" s="254" t="n"/>
      <c r="D276" s="255">
        <f>IF(D$5="","",SUMPRODUCT(($C$27:$C$263="AM")*((COUNTIFS(ActCodesAll,D$27:D$263,ActCat,Activities!$G$10)+COUNTIFS(ActCodesAll,D$28:D$264,ActCat,Activities!$G$10)+COUNTIFS(ActCodesAll,D$29:D$265,ActCat,Activities!$G$10)+COUNTIFS(ActCodesAll,D$30:D$266,ActCat,Activities!$G$10))&gt;0)))</f>
        <v/>
      </c>
      <c r="E276" s="255">
        <f>IF(E$5="","",SUMPRODUCT(($C$27:$C$263="AM")*((COUNTIFS(ActCodesAll,E$27:E$263,ActCat,Activities!$G$10)+COUNTIFS(ActCodesAll,E$28:E$264,ActCat,Activities!$G$10)+COUNTIFS(ActCodesAll,E$29:E$265,ActCat,Activities!$G$10)+COUNTIFS(ActCodesAll,E$30:E$266,ActCat,Activities!$G$10))&gt;0)))</f>
        <v/>
      </c>
      <c r="F276" s="255">
        <f>IF(F$5="","",SUMPRODUCT(($C$27:$C$263="AM")*((COUNTIFS(ActCodesAll,F$27:F$263,ActCat,Activities!$G$10)+COUNTIFS(ActCodesAll,F$28:F$264,ActCat,Activities!$G$10)+COUNTIFS(ActCodesAll,F$29:F$265,ActCat,Activities!$G$10)+COUNTIFS(ActCodesAll,F$30:F$266,ActCat,Activities!$G$10))&gt;0)))</f>
        <v/>
      </c>
      <c r="G276" s="255">
        <f>IF(G$5="","",SUMPRODUCT(($C$27:$C$263="AM")*((COUNTIFS(ActCodesAll,G$27:G$263,ActCat,Activities!$G$10)+COUNTIFS(ActCodesAll,G$28:G$264,ActCat,Activities!$G$10)+COUNTIFS(ActCodesAll,G$29:G$265,ActCat,Activities!$G$10)+COUNTIFS(ActCodesAll,G$30:G$266,ActCat,Activities!$G$10))&gt;0)))</f>
        <v/>
      </c>
      <c r="H276" s="255">
        <f>IF(H$5="","",SUMPRODUCT(($C$27:$C$263="AM")*((COUNTIFS(ActCodesAll,H$27:H$263,ActCat,Activities!$G$10)+COUNTIFS(ActCodesAll,H$28:H$264,ActCat,Activities!$G$10)+COUNTIFS(ActCodesAll,H$29:H$265,ActCat,Activities!$G$10)+COUNTIFS(ActCodesAll,H$30:H$266,ActCat,Activities!$G$10))&gt;0)))</f>
        <v/>
      </c>
      <c r="I276" s="255">
        <f>IF(I$5="","",SUMPRODUCT(($C$27:$C$263="AM")*((COUNTIFS(ActCodesAll,I$27:I$263,ActCat,Activities!$G$10)+COUNTIFS(ActCodesAll,I$28:I$264,ActCat,Activities!$G$10)+COUNTIFS(ActCodesAll,I$29:I$265,ActCat,Activities!$G$10)+COUNTIFS(ActCodesAll,I$30:I$266,ActCat,Activities!$G$10))&gt;0)))</f>
        <v/>
      </c>
      <c r="J276" s="255">
        <f>IF(J$5="","",SUMPRODUCT(($C$27:$C$263="AM")*((COUNTIFS(ActCodesAll,J$27:J$263,ActCat,Activities!$G$10)+COUNTIFS(ActCodesAll,J$28:J$264,ActCat,Activities!$G$10)+COUNTIFS(ActCodesAll,J$29:J$265,ActCat,Activities!$G$10)+COUNTIFS(ActCodesAll,J$30:J$266,ActCat,Activities!$G$10))&gt;0)))</f>
        <v/>
      </c>
      <c r="K276" s="255">
        <f>IF(K$5="","",SUMPRODUCT(($C$27:$C$263="AM")*((COUNTIFS(ActCodesAll,K$27:K$263,ActCat,Activities!$G$10)+COUNTIFS(ActCodesAll,K$28:K$264,ActCat,Activities!$G$10)+COUNTIFS(ActCodesAll,K$29:K$265,ActCat,Activities!$G$10)+COUNTIFS(ActCodesAll,K$30:K$266,ActCat,Activities!$G$10))&gt;0)))</f>
        <v/>
      </c>
      <c r="L276" s="255">
        <f>IF(L$5="","",SUMPRODUCT(($C$27:$C$263="AM")*((COUNTIFS(ActCodesAll,L$27:L$263,ActCat,Activities!$G$10)+COUNTIFS(ActCodesAll,L$28:L$264,ActCat,Activities!$G$10)+COUNTIFS(ActCodesAll,L$29:L$265,ActCat,Activities!$G$10)+COUNTIFS(ActCodesAll,L$30:L$266,ActCat,Activities!$G$10))&gt;0)))</f>
        <v/>
      </c>
      <c r="M276" s="255">
        <f>IF(M$5="","",SUMPRODUCT(($C$27:$C$263="AM")*((COUNTIFS(ActCodesAll,M$27:M$263,ActCat,Activities!$G$10)+COUNTIFS(ActCodesAll,M$28:M$264,ActCat,Activities!$G$10)+COUNTIFS(ActCodesAll,M$29:M$265,ActCat,Activities!$G$10)+COUNTIFS(ActCodesAll,M$30:M$266,ActCat,Activities!$G$10))&gt;0)))</f>
        <v/>
      </c>
      <c r="N276" s="255">
        <f>IF(N$5="","",SUMPRODUCT(($C$27:$C$263="AM")*((COUNTIFS(ActCodesAll,N$27:N$263,ActCat,Activities!$G$10)+COUNTIFS(ActCodesAll,N$28:N$264,ActCat,Activities!$G$10)+COUNTIFS(ActCodesAll,N$29:N$265,ActCat,Activities!$G$10)+COUNTIFS(ActCodesAll,N$30:N$266,ActCat,Activities!$G$10))&gt;0)))</f>
        <v/>
      </c>
      <c r="O276" s="255">
        <f>IF(O$5="","",SUMPRODUCT(($C$27:$C$263="AM")*((COUNTIFS(ActCodesAll,O$27:O$263,ActCat,Activities!$G$10)+COUNTIFS(ActCodesAll,O$28:O$264,ActCat,Activities!$G$10)+COUNTIFS(ActCodesAll,O$29:O$265,ActCat,Activities!$G$10)+COUNTIFS(ActCodesAll,O$30:O$266,ActCat,Activities!$G$10))&gt;0)))</f>
        <v/>
      </c>
      <c r="P276" s="255">
        <f>IF(P$5="","",SUMPRODUCT(($C$27:$C$263="AM")*((COUNTIFS(ActCodesAll,P$27:P$263,ActCat,Activities!$G$10)+COUNTIFS(ActCodesAll,P$28:P$264,ActCat,Activities!$G$10)+COUNTIFS(ActCodesAll,P$29:P$265,ActCat,Activities!$G$10)+COUNTIFS(ActCodesAll,P$30:P$266,ActCat,Activities!$G$10))&gt;0)))</f>
        <v/>
      </c>
      <c r="Q276" s="255">
        <f>IF(Q$5="","",SUMPRODUCT(($C$27:$C$263="AM")*((COUNTIFS(ActCodesAll,Q$27:Q$263,ActCat,Activities!$G$10)+COUNTIFS(ActCodesAll,Q$28:Q$264,ActCat,Activities!$G$10)+COUNTIFS(ActCodesAll,Q$29:Q$265,ActCat,Activities!$G$10)+COUNTIFS(ActCodesAll,Q$30:Q$266,ActCat,Activities!$G$10))&gt;0)))</f>
        <v/>
      </c>
      <c r="R276" s="255">
        <f>IF(R$5="","",SUMPRODUCT(($C$27:$C$263="AM")*((COUNTIFS(ActCodesAll,R$27:R$263,ActCat,Activities!$G$10)+COUNTIFS(ActCodesAll,R$28:R$264,ActCat,Activities!$G$10)+COUNTIFS(ActCodesAll,R$29:R$265,ActCat,Activities!$G$10)+COUNTIFS(ActCodesAll,R$30:R$266,ActCat,Activities!$G$10))&gt;0)))</f>
        <v/>
      </c>
      <c r="S276" s="255">
        <f>IF(S$5="","",SUMPRODUCT(($C$27:$C$263="AM")*((COUNTIFS(ActCodesAll,S$27:S$263,ActCat,Activities!$G$10)+COUNTIFS(ActCodesAll,S$28:S$264,ActCat,Activities!$G$10)+COUNTIFS(ActCodesAll,S$29:S$265,ActCat,Activities!$G$10)+COUNTIFS(ActCodesAll,S$30:S$266,ActCat,Activities!$G$10))&gt;0)))</f>
        <v/>
      </c>
      <c r="T276" s="255">
        <f>IF(T$5="","",SUMPRODUCT(($C$27:$C$263="AM")*((COUNTIFS(ActCodesAll,T$27:T$263,ActCat,Activities!$G$10)+COUNTIFS(ActCodesAll,T$28:T$264,ActCat,Activities!$G$10)+COUNTIFS(ActCodesAll,T$29:T$265,ActCat,Activities!$G$10)+COUNTIFS(ActCodesAll,T$30:T$266,ActCat,Activities!$G$10))&gt;0)))</f>
        <v/>
      </c>
      <c r="U276" s="255">
        <f>IF(U$5="","",SUMPRODUCT(($C$27:$C$263="AM")*((COUNTIFS(ActCodesAll,U$27:U$263,ActCat,Activities!$G$10)+COUNTIFS(ActCodesAll,U$28:U$264,ActCat,Activities!$G$10)+COUNTIFS(ActCodesAll,U$29:U$265,ActCat,Activities!$G$10)+COUNTIFS(ActCodesAll,U$30:U$266,ActCat,Activities!$G$10))&gt;0)))</f>
        <v/>
      </c>
      <c r="V276" s="255">
        <f>IF(V$5="","",SUMPRODUCT(($C$27:$C$263="AM")*((COUNTIFS(ActCodesAll,V$27:V$263,ActCat,Activities!$G$10)+COUNTIFS(ActCodesAll,V$28:V$264,ActCat,Activities!$G$10)+COUNTIFS(ActCodesAll,V$29:V$265,ActCat,Activities!$G$10)+COUNTIFS(ActCodesAll,V$30:V$266,ActCat,Activities!$G$10))&gt;0)))</f>
        <v/>
      </c>
      <c r="W276" s="255">
        <f>IF(W$5="","",SUMPRODUCT(($C$27:$C$263="AM")*((COUNTIFS(ActCodesAll,W$27:W$263,ActCat,Activities!$G$10)+COUNTIFS(ActCodesAll,W$28:W$264,ActCat,Activities!$G$10)+COUNTIFS(ActCodesAll,W$29:W$265,ActCat,Activities!$G$10)+COUNTIFS(ActCodesAll,W$30:W$266,ActCat,Activities!$G$10))&gt;0)))</f>
        <v/>
      </c>
      <c r="X276" s="255">
        <f>IF(X$5="","",SUMPRODUCT(($C$27:$C$263="AM")*((COUNTIFS(ActCodesAll,X$27:X$263,ActCat,Activities!$G$10)+COUNTIFS(ActCodesAll,X$28:X$264,ActCat,Activities!$G$10)+COUNTIFS(ActCodesAll,X$29:X$265,ActCat,Activities!$G$10)+COUNTIFS(ActCodesAll,X$30:X$266,ActCat,Activities!$G$10))&gt;0)))</f>
        <v/>
      </c>
      <c r="Y276" s="255">
        <f>IF(Y$5="","",SUMPRODUCT(($C$27:$C$263="AM")*((COUNTIFS(ActCodesAll,Y$27:Y$263,ActCat,Activities!$G$10)+COUNTIFS(ActCodesAll,Y$28:Y$264,ActCat,Activities!$G$10)+COUNTIFS(ActCodesAll,Y$29:Y$265,ActCat,Activities!$G$10)+COUNTIFS(ActCodesAll,Y$30:Y$266,ActCat,Activities!$G$10))&gt;0)))</f>
        <v/>
      </c>
      <c r="Z276" s="255">
        <f>IF(Z$5="","",SUMPRODUCT(($C$27:$C$263="AM")*((COUNTIFS(ActCodesAll,Z$27:Z$263,ActCat,Activities!$G$10)+COUNTIFS(ActCodesAll,Z$28:Z$264,ActCat,Activities!$G$10)+COUNTIFS(ActCodesAll,Z$29:Z$265,ActCat,Activities!$G$10)+COUNTIFS(ActCodesAll,Z$30:Z$266,ActCat,Activities!$G$10))&gt;0)))</f>
        <v/>
      </c>
      <c r="AA276" s="255">
        <f>IF(AA$5="","",SUMPRODUCT(($C$27:$C$263="AM")*((COUNTIFS(ActCodesAll,AA$27:AA$263,ActCat,Activities!$G$10)+COUNTIFS(ActCodesAll,AA$28:AA$264,ActCat,Activities!$G$10)+COUNTIFS(ActCodesAll,AA$29:AA$265,ActCat,Activities!$G$10)+COUNTIFS(ActCodesAll,AA$30:AA$266,ActCat,Activities!$G$10))&gt;0)))</f>
        <v/>
      </c>
      <c r="AB276" s="255">
        <f>IF(AB$5="","",SUMPRODUCT(($C$27:$C$263="AM")*((COUNTIFS(ActCodesAll,AB$27:AB$263,ActCat,Activities!$G$10)+COUNTIFS(ActCodesAll,AB$28:AB$264,ActCat,Activities!$G$10)+COUNTIFS(ActCodesAll,AB$29:AB$265,ActCat,Activities!$G$10)+COUNTIFS(ActCodesAll,AB$30:AB$266,ActCat,Activities!$G$10))&gt;0)))</f>
        <v/>
      </c>
      <c r="AC276" s="255">
        <f>IF(AC$5="","",SUMPRODUCT(($C$27:$C$263="AM")*((COUNTIFS(ActCodesAll,AC$27:AC$263,ActCat,Activities!$G$10)+COUNTIFS(ActCodesAll,AC$28:AC$264,ActCat,Activities!$G$10)+COUNTIFS(ActCodesAll,AC$29:AC$265,ActCat,Activities!$G$10)+COUNTIFS(ActCodesAll,AC$30:AC$266,ActCat,Activities!$G$10))&gt;0)))</f>
        <v/>
      </c>
      <c r="AD276" s="255">
        <f>IF(AD$5="","",SUMPRODUCT(($C$27:$C$263="AM")*((COUNTIFS(ActCodesAll,AD$27:AD$263,ActCat,Activities!$G$10)+COUNTIFS(ActCodesAll,AD$28:AD$264,ActCat,Activities!$G$10)+COUNTIFS(ActCodesAll,AD$29:AD$265,ActCat,Activities!$G$10)+COUNTIFS(ActCodesAll,AD$30:AD$266,ActCat,Activities!$G$10))&gt;0)))</f>
        <v/>
      </c>
      <c r="AE276" s="255">
        <f>IF(AE$5="","",SUMPRODUCT(($C$27:$C$263="AM")*((COUNTIFS(ActCodesAll,AE$27:AE$263,ActCat,Activities!$G$10)+COUNTIFS(ActCodesAll,AE$28:AE$264,ActCat,Activities!$G$10)+COUNTIFS(ActCodesAll,AE$29:AE$265,ActCat,Activities!$G$10)+COUNTIFS(ActCodesAll,AE$30:AE$266,ActCat,Activities!$G$10))&gt;0)))</f>
        <v/>
      </c>
      <c r="AF276" s="255">
        <f>IF(AF$5="","",SUMPRODUCT(($C$27:$C$263="AM")*((COUNTIFS(ActCodesAll,AF$27:AF$263,ActCat,Activities!$G$10)+COUNTIFS(ActCodesAll,AF$28:AF$264,ActCat,Activities!$G$10)+COUNTIFS(ActCodesAll,AF$29:AF$265,ActCat,Activities!$G$10)+COUNTIFS(ActCodesAll,AF$30:AF$266,ActCat,Activities!$G$10))&gt;0)))</f>
        <v/>
      </c>
      <c r="AG276" s="255">
        <f>IF(AG$5="","",SUMPRODUCT(($C$27:$C$263="AM")*((COUNTIFS(ActCodesAll,AG$27:AG$263,ActCat,Activities!$G$10)+COUNTIFS(ActCodesAll,AG$28:AG$264,ActCat,Activities!$G$10)+COUNTIFS(ActCodesAll,AG$29:AG$265,ActCat,Activities!$G$10)+COUNTIFS(ActCodesAll,AG$30:AG$266,ActCat,Activities!$G$10))&gt;0)))</f>
        <v/>
      </c>
      <c r="AH276" s="255">
        <f>IF(AH$5="","",SUMPRODUCT(($C$27:$C$263="AM")*((COUNTIFS(ActCodesAll,AH$27:AH$263,ActCat,Activities!$G$10)+COUNTIFS(ActCodesAll,AH$28:AH$264,ActCat,Activities!$G$10)+COUNTIFS(ActCodesAll,AH$29:AH$265,ActCat,Activities!$G$10)+COUNTIFS(ActCodesAll,AH$30:AH$266,ActCat,Activities!$G$10))&gt;0)))</f>
        <v/>
      </c>
    </row>
    <row r="277" ht="16" customHeight="1">
      <c r="B277" s="256" t="inlineStr">
        <is>
          <t>Available crew</t>
        </is>
      </c>
      <c r="C277" s="254" t="n"/>
      <c r="D277" s="257">
        <f>IF(D$5="","",(COUNTIFS(CrewName,"&lt;&gt;")-COUNTIFS(CrewName,"&lt;&gt;",CrewStatus,"Inactive"))-SUMPRODUCT(($C$27:$C$263="AM")*((COUNTIFS(ActCodesAll,D$27:D$263,ActCat,Activities!$G$10)+COUNTIFS(ActCodesAll,D$27:D$263,ActCat,Activities!$G$11)+COUNTIFS(ActCodesAll,D$27:D$263,ActCat,Activities!$G$13)+COUNTIFS(ActCodesAll,D$27:D$263,ActCat,Activities!$G$14)+COUNTIFS(ActCodesAll,D$28:D$264,ActCat,Activities!$G$10)+COUNTIFS(ActCodesAll,D$28:D$264,ActCat,Activities!$G$11)+COUNTIFS(ActCodesAll,D$28:D$264,ActCat,Activities!$G$13)+COUNTIFS(ActCodesAll,D$28:D$264,ActCat,Activities!$G$14)+COUNTIFS(ActCodesAll,D$29:D$265,ActCat,Activities!$G$10)+COUNTIFS(ActCodesAll,D$29:D$265,ActCat,Activities!$G$11)+COUNTIFS(ActCodesAll,D$29:D$265,ActCat,Activities!$G$13)+COUNTIFS(ActCodesAll,D$29:D$265,ActCat,Activities!$G$14)+COUNTIFS(ActCodesAll,D$30:D$266,ActCat,Activities!$G$10)+COUNTIFS(ActCodesAll,D$30:D$266,ActCat,Activities!$G$11)+COUNTIFS(ActCodesAll,D$30:D$266,ActCat,Activities!$G$13)+COUNTIFS(ActCodesAll,D$30:D$266,ActCat,Activities!$G$14))&gt;0)))</f>
        <v/>
      </c>
      <c r="E277" s="257">
        <f>IF(E$5="","",(COUNTIFS(CrewName,"&lt;&gt;")-COUNTIFS(CrewName,"&lt;&gt;",CrewStatus,"Inactive"))-SUMPRODUCT(($C$27:$C$263="AM")*((COUNTIFS(ActCodesAll,E$27:E$263,ActCat,Activities!$G$10)+COUNTIFS(ActCodesAll,E$27:E$263,ActCat,Activities!$G$11)+COUNTIFS(ActCodesAll,E$27:E$263,ActCat,Activities!$G$13)+COUNTIFS(ActCodesAll,E$27:E$263,ActCat,Activities!$G$14)+COUNTIFS(ActCodesAll,E$28:E$264,ActCat,Activities!$G$10)+COUNTIFS(ActCodesAll,E$28:E$264,ActCat,Activities!$G$11)+COUNTIFS(ActCodesAll,E$28:E$264,ActCat,Activities!$G$13)+COUNTIFS(ActCodesAll,E$28:E$264,ActCat,Activities!$G$14)+COUNTIFS(ActCodesAll,E$29:E$265,ActCat,Activities!$G$10)+COUNTIFS(ActCodesAll,E$29:E$265,ActCat,Activities!$G$11)+COUNTIFS(ActCodesAll,E$29:E$265,ActCat,Activities!$G$13)+COUNTIFS(ActCodesAll,E$29:E$265,ActCat,Activities!$G$14)+COUNTIFS(ActCodesAll,E$30:E$266,ActCat,Activities!$G$10)+COUNTIFS(ActCodesAll,E$30:E$266,ActCat,Activities!$G$11)+COUNTIFS(ActCodesAll,E$30:E$266,ActCat,Activities!$G$13)+COUNTIFS(ActCodesAll,E$30:E$266,ActCat,Activities!$G$14))&gt;0)))</f>
        <v/>
      </c>
      <c r="F277" s="257">
        <f>IF(F$5="","",(COUNTIFS(CrewName,"&lt;&gt;")-COUNTIFS(CrewName,"&lt;&gt;",CrewStatus,"Inactive"))-SUMPRODUCT(($C$27:$C$263="AM")*((COUNTIFS(ActCodesAll,F$27:F$263,ActCat,Activities!$G$10)+COUNTIFS(ActCodesAll,F$27:F$263,ActCat,Activities!$G$11)+COUNTIFS(ActCodesAll,F$27:F$263,ActCat,Activities!$G$13)+COUNTIFS(ActCodesAll,F$27:F$263,ActCat,Activities!$G$14)+COUNTIFS(ActCodesAll,F$28:F$264,ActCat,Activities!$G$10)+COUNTIFS(ActCodesAll,F$28:F$264,ActCat,Activities!$G$11)+COUNTIFS(ActCodesAll,F$28:F$264,ActCat,Activities!$G$13)+COUNTIFS(ActCodesAll,F$28:F$264,ActCat,Activities!$G$14)+COUNTIFS(ActCodesAll,F$29:F$265,ActCat,Activities!$G$10)+COUNTIFS(ActCodesAll,F$29:F$265,ActCat,Activities!$G$11)+COUNTIFS(ActCodesAll,F$29:F$265,ActCat,Activities!$G$13)+COUNTIFS(ActCodesAll,F$29:F$265,ActCat,Activities!$G$14)+COUNTIFS(ActCodesAll,F$30:F$266,ActCat,Activities!$G$10)+COUNTIFS(ActCodesAll,F$30:F$266,ActCat,Activities!$G$11)+COUNTIFS(ActCodesAll,F$30:F$266,ActCat,Activities!$G$13)+COUNTIFS(ActCodesAll,F$30:F$266,ActCat,Activities!$G$14))&gt;0)))</f>
        <v/>
      </c>
      <c r="G277" s="257">
        <f>IF(G$5="","",(COUNTIFS(CrewName,"&lt;&gt;")-COUNTIFS(CrewName,"&lt;&gt;",CrewStatus,"Inactive"))-SUMPRODUCT(($C$27:$C$263="AM")*((COUNTIFS(ActCodesAll,G$27:G$263,ActCat,Activities!$G$10)+COUNTIFS(ActCodesAll,G$27:G$263,ActCat,Activities!$G$11)+COUNTIFS(ActCodesAll,G$27:G$263,ActCat,Activities!$G$13)+COUNTIFS(ActCodesAll,G$27:G$263,ActCat,Activities!$G$14)+COUNTIFS(ActCodesAll,G$28:G$264,ActCat,Activities!$G$10)+COUNTIFS(ActCodesAll,G$28:G$264,ActCat,Activities!$G$11)+COUNTIFS(ActCodesAll,G$28:G$264,ActCat,Activities!$G$13)+COUNTIFS(ActCodesAll,G$28:G$264,ActCat,Activities!$G$14)+COUNTIFS(ActCodesAll,G$29:G$265,ActCat,Activities!$G$10)+COUNTIFS(ActCodesAll,G$29:G$265,ActCat,Activities!$G$11)+COUNTIFS(ActCodesAll,G$29:G$265,ActCat,Activities!$G$13)+COUNTIFS(ActCodesAll,G$29:G$265,ActCat,Activities!$G$14)+COUNTIFS(ActCodesAll,G$30:G$266,ActCat,Activities!$G$10)+COUNTIFS(ActCodesAll,G$30:G$266,ActCat,Activities!$G$11)+COUNTIFS(ActCodesAll,G$30:G$266,ActCat,Activities!$G$13)+COUNTIFS(ActCodesAll,G$30:G$266,ActCat,Activities!$G$14))&gt;0)))</f>
        <v/>
      </c>
      <c r="H277" s="257">
        <f>IF(H$5="","",(COUNTIFS(CrewName,"&lt;&gt;")-COUNTIFS(CrewName,"&lt;&gt;",CrewStatus,"Inactive"))-SUMPRODUCT(($C$27:$C$263="AM")*((COUNTIFS(ActCodesAll,H$27:H$263,ActCat,Activities!$G$10)+COUNTIFS(ActCodesAll,H$27:H$263,ActCat,Activities!$G$11)+COUNTIFS(ActCodesAll,H$27:H$263,ActCat,Activities!$G$13)+COUNTIFS(ActCodesAll,H$27:H$263,ActCat,Activities!$G$14)+COUNTIFS(ActCodesAll,H$28:H$264,ActCat,Activities!$G$10)+COUNTIFS(ActCodesAll,H$28:H$264,ActCat,Activities!$G$11)+COUNTIFS(ActCodesAll,H$28:H$264,ActCat,Activities!$G$13)+COUNTIFS(ActCodesAll,H$28:H$264,ActCat,Activities!$G$14)+COUNTIFS(ActCodesAll,H$29:H$265,ActCat,Activities!$G$10)+COUNTIFS(ActCodesAll,H$29:H$265,ActCat,Activities!$G$11)+COUNTIFS(ActCodesAll,H$29:H$265,ActCat,Activities!$G$13)+COUNTIFS(ActCodesAll,H$29:H$265,ActCat,Activities!$G$14)+COUNTIFS(ActCodesAll,H$30:H$266,ActCat,Activities!$G$10)+COUNTIFS(ActCodesAll,H$30:H$266,ActCat,Activities!$G$11)+COUNTIFS(ActCodesAll,H$30:H$266,ActCat,Activities!$G$13)+COUNTIFS(ActCodesAll,H$30:H$266,ActCat,Activities!$G$14))&gt;0)))</f>
        <v/>
      </c>
      <c r="I277" s="257">
        <f>IF(I$5="","",(COUNTIFS(CrewName,"&lt;&gt;")-COUNTIFS(CrewName,"&lt;&gt;",CrewStatus,"Inactive"))-SUMPRODUCT(($C$27:$C$263="AM")*((COUNTIFS(ActCodesAll,I$27:I$263,ActCat,Activities!$G$10)+COUNTIFS(ActCodesAll,I$27:I$263,ActCat,Activities!$G$11)+COUNTIFS(ActCodesAll,I$27:I$263,ActCat,Activities!$G$13)+COUNTIFS(ActCodesAll,I$27:I$263,ActCat,Activities!$G$14)+COUNTIFS(ActCodesAll,I$28:I$264,ActCat,Activities!$G$10)+COUNTIFS(ActCodesAll,I$28:I$264,ActCat,Activities!$G$11)+COUNTIFS(ActCodesAll,I$28:I$264,ActCat,Activities!$G$13)+COUNTIFS(ActCodesAll,I$28:I$264,ActCat,Activities!$G$14)+COUNTIFS(ActCodesAll,I$29:I$265,ActCat,Activities!$G$10)+COUNTIFS(ActCodesAll,I$29:I$265,ActCat,Activities!$G$11)+COUNTIFS(ActCodesAll,I$29:I$265,ActCat,Activities!$G$13)+COUNTIFS(ActCodesAll,I$29:I$265,ActCat,Activities!$G$14)+COUNTIFS(ActCodesAll,I$30:I$266,ActCat,Activities!$G$10)+COUNTIFS(ActCodesAll,I$30:I$266,ActCat,Activities!$G$11)+COUNTIFS(ActCodesAll,I$30:I$266,ActCat,Activities!$G$13)+COUNTIFS(ActCodesAll,I$30:I$266,ActCat,Activities!$G$14))&gt;0)))</f>
        <v/>
      </c>
      <c r="J277" s="257">
        <f>IF(J$5="","",(COUNTIFS(CrewName,"&lt;&gt;")-COUNTIFS(CrewName,"&lt;&gt;",CrewStatus,"Inactive"))-SUMPRODUCT(($C$27:$C$263="AM")*((COUNTIFS(ActCodesAll,J$27:J$263,ActCat,Activities!$G$10)+COUNTIFS(ActCodesAll,J$27:J$263,ActCat,Activities!$G$11)+COUNTIFS(ActCodesAll,J$27:J$263,ActCat,Activities!$G$13)+COUNTIFS(ActCodesAll,J$27:J$263,ActCat,Activities!$G$14)+COUNTIFS(ActCodesAll,J$28:J$264,ActCat,Activities!$G$10)+COUNTIFS(ActCodesAll,J$28:J$264,ActCat,Activities!$G$11)+COUNTIFS(ActCodesAll,J$28:J$264,ActCat,Activities!$G$13)+COUNTIFS(ActCodesAll,J$28:J$264,ActCat,Activities!$G$14)+COUNTIFS(ActCodesAll,J$29:J$265,ActCat,Activities!$G$10)+COUNTIFS(ActCodesAll,J$29:J$265,ActCat,Activities!$G$11)+COUNTIFS(ActCodesAll,J$29:J$265,ActCat,Activities!$G$13)+COUNTIFS(ActCodesAll,J$29:J$265,ActCat,Activities!$G$14)+COUNTIFS(ActCodesAll,J$30:J$266,ActCat,Activities!$G$10)+COUNTIFS(ActCodesAll,J$30:J$266,ActCat,Activities!$G$11)+COUNTIFS(ActCodesAll,J$30:J$266,ActCat,Activities!$G$13)+COUNTIFS(ActCodesAll,J$30:J$266,ActCat,Activities!$G$14))&gt;0)))</f>
        <v/>
      </c>
      <c r="K277" s="257">
        <f>IF(K$5="","",(COUNTIFS(CrewName,"&lt;&gt;")-COUNTIFS(CrewName,"&lt;&gt;",CrewStatus,"Inactive"))-SUMPRODUCT(($C$27:$C$263="AM")*((COUNTIFS(ActCodesAll,K$27:K$263,ActCat,Activities!$G$10)+COUNTIFS(ActCodesAll,K$27:K$263,ActCat,Activities!$G$11)+COUNTIFS(ActCodesAll,K$27:K$263,ActCat,Activities!$G$13)+COUNTIFS(ActCodesAll,K$27:K$263,ActCat,Activities!$G$14)+COUNTIFS(ActCodesAll,K$28:K$264,ActCat,Activities!$G$10)+COUNTIFS(ActCodesAll,K$28:K$264,ActCat,Activities!$G$11)+COUNTIFS(ActCodesAll,K$28:K$264,ActCat,Activities!$G$13)+COUNTIFS(ActCodesAll,K$28:K$264,ActCat,Activities!$G$14)+COUNTIFS(ActCodesAll,K$29:K$265,ActCat,Activities!$G$10)+COUNTIFS(ActCodesAll,K$29:K$265,ActCat,Activities!$G$11)+COUNTIFS(ActCodesAll,K$29:K$265,ActCat,Activities!$G$13)+COUNTIFS(ActCodesAll,K$29:K$265,ActCat,Activities!$G$14)+COUNTIFS(ActCodesAll,K$30:K$266,ActCat,Activities!$G$10)+COUNTIFS(ActCodesAll,K$30:K$266,ActCat,Activities!$G$11)+COUNTIFS(ActCodesAll,K$30:K$266,ActCat,Activities!$G$13)+COUNTIFS(ActCodesAll,K$30:K$266,ActCat,Activities!$G$14))&gt;0)))</f>
        <v/>
      </c>
      <c r="L277" s="257">
        <f>IF(L$5="","",(COUNTIFS(CrewName,"&lt;&gt;")-COUNTIFS(CrewName,"&lt;&gt;",CrewStatus,"Inactive"))-SUMPRODUCT(($C$27:$C$263="AM")*((COUNTIFS(ActCodesAll,L$27:L$263,ActCat,Activities!$G$10)+COUNTIFS(ActCodesAll,L$27:L$263,ActCat,Activities!$G$11)+COUNTIFS(ActCodesAll,L$27:L$263,ActCat,Activities!$G$13)+COUNTIFS(ActCodesAll,L$27:L$263,ActCat,Activities!$G$14)+COUNTIFS(ActCodesAll,L$28:L$264,ActCat,Activities!$G$10)+COUNTIFS(ActCodesAll,L$28:L$264,ActCat,Activities!$G$11)+COUNTIFS(ActCodesAll,L$28:L$264,ActCat,Activities!$G$13)+COUNTIFS(ActCodesAll,L$28:L$264,ActCat,Activities!$G$14)+COUNTIFS(ActCodesAll,L$29:L$265,ActCat,Activities!$G$10)+COUNTIFS(ActCodesAll,L$29:L$265,ActCat,Activities!$G$11)+COUNTIFS(ActCodesAll,L$29:L$265,ActCat,Activities!$G$13)+COUNTIFS(ActCodesAll,L$29:L$265,ActCat,Activities!$G$14)+COUNTIFS(ActCodesAll,L$30:L$266,ActCat,Activities!$G$10)+COUNTIFS(ActCodesAll,L$30:L$266,ActCat,Activities!$G$11)+COUNTIFS(ActCodesAll,L$30:L$266,ActCat,Activities!$G$13)+COUNTIFS(ActCodesAll,L$30:L$266,ActCat,Activities!$G$14))&gt;0)))</f>
        <v/>
      </c>
      <c r="M277" s="257">
        <f>IF(M$5="","",(COUNTIFS(CrewName,"&lt;&gt;")-COUNTIFS(CrewName,"&lt;&gt;",CrewStatus,"Inactive"))-SUMPRODUCT(($C$27:$C$263="AM")*((COUNTIFS(ActCodesAll,M$27:M$263,ActCat,Activities!$G$10)+COUNTIFS(ActCodesAll,M$27:M$263,ActCat,Activities!$G$11)+COUNTIFS(ActCodesAll,M$27:M$263,ActCat,Activities!$G$13)+COUNTIFS(ActCodesAll,M$27:M$263,ActCat,Activities!$G$14)+COUNTIFS(ActCodesAll,M$28:M$264,ActCat,Activities!$G$10)+COUNTIFS(ActCodesAll,M$28:M$264,ActCat,Activities!$G$11)+COUNTIFS(ActCodesAll,M$28:M$264,ActCat,Activities!$G$13)+COUNTIFS(ActCodesAll,M$28:M$264,ActCat,Activities!$G$14)+COUNTIFS(ActCodesAll,M$29:M$265,ActCat,Activities!$G$10)+COUNTIFS(ActCodesAll,M$29:M$265,ActCat,Activities!$G$11)+COUNTIFS(ActCodesAll,M$29:M$265,ActCat,Activities!$G$13)+COUNTIFS(ActCodesAll,M$29:M$265,ActCat,Activities!$G$14)+COUNTIFS(ActCodesAll,M$30:M$266,ActCat,Activities!$G$10)+COUNTIFS(ActCodesAll,M$30:M$266,ActCat,Activities!$G$11)+COUNTIFS(ActCodesAll,M$30:M$266,ActCat,Activities!$G$13)+COUNTIFS(ActCodesAll,M$30:M$266,ActCat,Activities!$G$14))&gt;0)))</f>
        <v/>
      </c>
      <c r="N277" s="257">
        <f>IF(N$5="","",(COUNTIFS(CrewName,"&lt;&gt;")-COUNTIFS(CrewName,"&lt;&gt;",CrewStatus,"Inactive"))-SUMPRODUCT(($C$27:$C$263="AM")*((COUNTIFS(ActCodesAll,N$27:N$263,ActCat,Activities!$G$10)+COUNTIFS(ActCodesAll,N$27:N$263,ActCat,Activities!$G$11)+COUNTIFS(ActCodesAll,N$27:N$263,ActCat,Activities!$G$13)+COUNTIFS(ActCodesAll,N$27:N$263,ActCat,Activities!$G$14)+COUNTIFS(ActCodesAll,N$28:N$264,ActCat,Activities!$G$10)+COUNTIFS(ActCodesAll,N$28:N$264,ActCat,Activities!$G$11)+COUNTIFS(ActCodesAll,N$28:N$264,ActCat,Activities!$G$13)+COUNTIFS(ActCodesAll,N$28:N$264,ActCat,Activities!$G$14)+COUNTIFS(ActCodesAll,N$29:N$265,ActCat,Activities!$G$10)+COUNTIFS(ActCodesAll,N$29:N$265,ActCat,Activities!$G$11)+COUNTIFS(ActCodesAll,N$29:N$265,ActCat,Activities!$G$13)+COUNTIFS(ActCodesAll,N$29:N$265,ActCat,Activities!$G$14)+COUNTIFS(ActCodesAll,N$30:N$266,ActCat,Activities!$G$10)+COUNTIFS(ActCodesAll,N$30:N$266,ActCat,Activities!$G$11)+COUNTIFS(ActCodesAll,N$30:N$266,ActCat,Activities!$G$13)+COUNTIFS(ActCodesAll,N$30:N$266,ActCat,Activities!$G$14))&gt;0)))</f>
        <v/>
      </c>
      <c r="O277" s="257">
        <f>IF(O$5="","",(COUNTIFS(CrewName,"&lt;&gt;")-COUNTIFS(CrewName,"&lt;&gt;",CrewStatus,"Inactive"))-SUMPRODUCT(($C$27:$C$263="AM")*((COUNTIFS(ActCodesAll,O$27:O$263,ActCat,Activities!$G$10)+COUNTIFS(ActCodesAll,O$27:O$263,ActCat,Activities!$G$11)+COUNTIFS(ActCodesAll,O$27:O$263,ActCat,Activities!$G$13)+COUNTIFS(ActCodesAll,O$27:O$263,ActCat,Activities!$G$14)+COUNTIFS(ActCodesAll,O$28:O$264,ActCat,Activities!$G$10)+COUNTIFS(ActCodesAll,O$28:O$264,ActCat,Activities!$G$11)+COUNTIFS(ActCodesAll,O$28:O$264,ActCat,Activities!$G$13)+COUNTIFS(ActCodesAll,O$28:O$264,ActCat,Activities!$G$14)+COUNTIFS(ActCodesAll,O$29:O$265,ActCat,Activities!$G$10)+COUNTIFS(ActCodesAll,O$29:O$265,ActCat,Activities!$G$11)+COUNTIFS(ActCodesAll,O$29:O$265,ActCat,Activities!$G$13)+COUNTIFS(ActCodesAll,O$29:O$265,ActCat,Activities!$G$14)+COUNTIFS(ActCodesAll,O$30:O$266,ActCat,Activities!$G$10)+COUNTIFS(ActCodesAll,O$30:O$266,ActCat,Activities!$G$11)+COUNTIFS(ActCodesAll,O$30:O$266,ActCat,Activities!$G$13)+COUNTIFS(ActCodesAll,O$30:O$266,ActCat,Activities!$G$14))&gt;0)))</f>
        <v/>
      </c>
      <c r="P277" s="257">
        <f>IF(P$5="","",(COUNTIFS(CrewName,"&lt;&gt;")-COUNTIFS(CrewName,"&lt;&gt;",CrewStatus,"Inactive"))-SUMPRODUCT(($C$27:$C$263="AM")*((COUNTIFS(ActCodesAll,P$27:P$263,ActCat,Activities!$G$10)+COUNTIFS(ActCodesAll,P$27:P$263,ActCat,Activities!$G$11)+COUNTIFS(ActCodesAll,P$27:P$263,ActCat,Activities!$G$13)+COUNTIFS(ActCodesAll,P$27:P$263,ActCat,Activities!$G$14)+COUNTIFS(ActCodesAll,P$28:P$264,ActCat,Activities!$G$10)+COUNTIFS(ActCodesAll,P$28:P$264,ActCat,Activities!$G$11)+COUNTIFS(ActCodesAll,P$28:P$264,ActCat,Activities!$G$13)+COUNTIFS(ActCodesAll,P$28:P$264,ActCat,Activities!$G$14)+COUNTIFS(ActCodesAll,P$29:P$265,ActCat,Activities!$G$10)+COUNTIFS(ActCodesAll,P$29:P$265,ActCat,Activities!$G$11)+COUNTIFS(ActCodesAll,P$29:P$265,ActCat,Activities!$G$13)+COUNTIFS(ActCodesAll,P$29:P$265,ActCat,Activities!$G$14)+COUNTIFS(ActCodesAll,P$30:P$266,ActCat,Activities!$G$10)+COUNTIFS(ActCodesAll,P$30:P$266,ActCat,Activities!$G$11)+COUNTIFS(ActCodesAll,P$30:P$266,ActCat,Activities!$G$13)+COUNTIFS(ActCodesAll,P$30:P$266,ActCat,Activities!$G$14))&gt;0)))</f>
        <v/>
      </c>
      <c r="Q277" s="257">
        <f>IF(Q$5="","",(COUNTIFS(CrewName,"&lt;&gt;")-COUNTIFS(CrewName,"&lt;&gt;",CrewStatus,"Inactive"))-SUMPRODUCT(($C$27:$C$263="AM")*((COUNTIFS(ActCodesAll,Q$27:Q$263,ActCat,Activities!$G$10)+COUNTIFS(ActCodesAll,Q$27:Q$263,ActCat,Activities!$G$11)+COUNTIFS(ActCodesAll,Q$27:Q$263,ActCat,Activities!$G$13)+COUNTIFS(ActCodesAll,Q$27:Q$263,ActCat,Activities!$G$14)+COUNTIFS(ActCodesAll,Q$28:Q$264,ActCat,Activities!$G$10)+COUNTIFS(ActCodesAll,Q$28:Q$264,ActCat,Activities!$G$11)+COUNTIFS(ActCodesAll,Q$28:Q$264,ActCat,Activities!$G$13)+COUNTIFS(ActCodesAll,Q$28:Q$264,ActCat,Activities!$G$14)+COUNTIFS(ActCodesAll,Q$29:Q$265,ActCat,Activities!$G$10)+COUNTIFS(ActCodesAll,Q$29:Q$265,ActCat,Activities!$G$11)+COUNTIFS(ActCodesAll,Q$29:Q$265,ActCat,Activities!$G$13)+COUNTIFS(ActCodesAll,Q$29:Q$265,ActCat,Activities!$G$14)+COUNTIFS(ActCodesAll,Q$30:Q$266,ActCat,Activities!$G$10)+COUNTIFS(ActCodesAll,Q$30:Q$266,ActCat,Activities!$G$11)+COUNTIFS(ActCodesAll,Q$30:Q$266,ActCat,Activities!$G$13)+COUNTIFS(ActCodesAll,Q$30:Q$266,ActCat,Activities!$G$14))&gt;0)))</f>
        <v/>
      </c>
      <c r="R277" s="257">
        <f>IF(R$5="","",(COUNTIFS(CrewName,"&lt;&gt;")-COUNTIFS(CrewName,"&lt;&gt;",CrewStatus,"Inactive"))-SUMPRODUCT(($C$27:$C$263="AM")*((COUNTIFS(ActCodesAll,R$27:R$263,ActCat,Activities!$G$10)+COUNTIFS(ActCodesAll,R$27:R$263,ActCat,Activities!$G$11)+COUNTIFS(ActCodesAll,R$27:R$263,ActCat,Activities!$G$13)+COUNTIFS(ActCodesAll,R$27:R$263,ActCat,Activities!$G$14)+COUNTIFS(ActCodesAll,R$28:R$264,ActCat,Activities!$G$10)+COUNTIFS(ActCodesAll,R$28:R$264,ActCat,Activities!$G$11)+COUNTIFS(ActCodesAll,R$28:R$264,ActCat,Activities!$G$13)+COUNTIFS(ActCodesAll,R$28:R$264,ActCat,Activities!$G$14)+COUNTIFS(ActCodesAll,R$29:R$265,ActCat,Activities!$G$10)+COUNTIFS(ActCodesAll,R$29:R$265,ActCat,Activities!$G$11)+COUNTIFS(ActCodesAll,R$29:R$265,ActCat,Activities!$G$13)+COUNTIFS(ActCodesAll,R$29:R$265,ActCat,Activities!$G$14)+COUNTIFS(ActCodesAll,R$30:R$266,ActCat,Activities!$G$10)+COUNTIFS(ActCodesAll,R$30:R$266,ActCat,Activities!$G$11)+COUNTIFS(ActCodesAll,R$30:R$266,ActCat,Activities!$G$13)+COUNTIFS(ActCodesAll,R$30:R$266,ActCat,Activities!$G$14))&gt;0)))</f>
        <v/>
      </c>
      <c r="S277" s="257">
        <f>IF(S$5="","",(COUNTIFS(CrewName,"&lt;&gt;")-COUNTIFS(CrewName,"&lt;&gt;",CrewStatus,"Inactive"))-SUMPRODUCT(($C$27:$C$263="AM")*((COUNTIFS(ActCodesAll,S$27:S$263,ActCat,Activities!$G$10)+COUNTIFS(ActCodesAll,S$27:S$263,ActCat,Activities!$G$11)+COUNTIFS(ActCodesAll,S$27:S$263,ActCat,Activities!$G$13)+COUNTIFS(ActCodesAll,S$27:S$263,ActCat,Activities!$G$14)+COUNTIFS(ActCodesAll,S$28:S$264,ActCat,Activities!$G$10)+COUNTIFS(ActCodesAll,S$28:S$264,ActCat,Activities!$G$11)+COUNTIFS(ActCodesAll,S$28:S$264,ActCat,Activities!$G$13)+COUNTIFS(ActCodesAll,S$28:S$264,ActCat,Activities!$G$14)+COUNTIFS(ActCodesAll,S$29:S$265,ActCat,Activities!$G$10)+COUNTIFS(ActCodesAll,S$29:S$265,ActCat,Activities!$G$11)+COUNTIFS(ActCodesAll,S$29:S$265,ActCat,Activities!$G$13)+COUNTIFS(ActCodesAll,S$29:S$265,ActCat,Activities!$G$14)+COUNTIFS(ActCodesAll,S$30:S$266,ActCat,Activities!$G$10)+COUNTIFS(ActCodesAll,S$30:S$266,ActCat,Activities!$G$11)+COUNTIFS(ActCodesAll,S$30:S$266,ActCat,Activities!$G$13)+COUNTIFS(ActCodesAll,S$30:S$266,ActCat,Activities!$G$14))&gt;0)))</f>
        <v/>
      </c>
      <c r="T277" s="257">
        <f>IF(T$5="","",(COUNTIFS(CrewName,"&lt;&gt;")-COUNTIFS(CrewName,"&lt;&gt;",CrewStatus,"Inactive"))-SUMPRODUCT(($C$27:$C$263="AM")*((COUNTIFS(ActCodesAll,T$27:T$263,ActCat,Activities!$G$10)+COUNTIFS(ActCodesAll,T$27:T$263,ActCat,Activities!$G$11)+COUNTIFS(ActCodesAll,T$27:T$263,ActCat,Activities!$G$13)+COUNTIFS(ActCodesAll,T$27:T$263,ActCat,Activities!$G$14)+COUNTIFS(ActCodesAll,T$28:T$264,ActCat,Activities!$G$10)+COUNTIFS(ActCodesAll,T$28:T$264,ActCat,Activities!$G$11)+COUNTIFS(ActCodesAll,T$28:T$264,ActCat,Activities!$G$13)+COUNTIFS(ActCodesAll,T$28:T$264,ActCat,Activities!$G$14)+COUNTIFS(ActCodesAll,T$29:T$265,ActCat,Activities!$G$10)+COUNTIFS(ActCodesAll,T$29:T$265,ActCat,Activities!$G$11)+COUNTIFS(ActCodesAll,T$29:T$265,ActCat,Activities!$G$13)+COUNTIFS(ActCodesAll,T$29:T$265,ActCat,Activities!$G$14)+COUNTIFS(ActCodesAll,T$30:T$266,ActCat,Activities!$G$10)+COUNTIFS(ActCodesAll,T$30:T$266,ActCat,Activities!$G$11)+COUNTIFS(ActCodesAll,T$30:T$266,ActCat,Activities!$G$13)+COUNTIFS(ActCodesAll,T$30:T$266,ActCat,Activities!$G$14))&gt;0)))</f>
        <v/>
      </c>
      <c r="U277" s="257">
        <f>IF(U$5="","",(COUNTIFS(CrewName,"&lt;&gt;")-COUNTIFS(CrewName,"&lt;&gt;",CrewStatus,"Inactive"))-SUMPRODUCT(($C$27:$C$263="AM")*((COUNTIFS(ActCodesAll,U$27:U$263,ActCat,Activities!$G$10)+COUNTIFS(ActCodesAll,U$27:U$263,ActCat,Activities!$G$11)+COUNTIFS(ActCodesAll,U$27:U$263,ActCat,Activities!$G$13)+COUNTIFS(ActCodesAll,U$27:U$263,ActCat,Activities!$G$14)+COUNTIFS(ActCodesAll,U$28:U$264,ActCat,Activities!$G$10)+COUNTIFS(ActCodesAll,U$28:U$264,ActCat,Activities!$G$11)+COUNTIFS(ActCodesAll,U$28:U$264,ActCat,Activities!$G$13)+COUNTIFS(ActCodesAll,U$28:U$264,ActCat,Activities!$G$14)+COUNTIFS(ActCodesAll,U$29:U$265,ActCat,Activities!$G$10)+COUNTIFS(ActCodesAll,U$29:U$265,ActCat,Activities!$G$11)+COUNTIFS(ActCodesAll,U$29:U$265,ActCat,Activities!$G$13)+COUNTIFS(ActCodesAll,U$29:U$265,ActCat,Activities!$G$14)+COUNTIFS(ActCodesAll,U$30:U$266,ActCat,Activities!$G$10)+COUNTIFS(ActCodesAll,U$30:U$266,ActCat,Activities!$G$11)+COUNTIFS(ActCodesAll,U$30:U$266,ActCat,Activities!$G$13)+COUNTIFS(ActCodesAll,U$30:U$266,ActCat,Activities!$G$14))&gt;0)))</f>
        <v/>
      </c>
      <c r="V277" s="257">
        <f>IF(V$5="","",(COUNTIFS(CrewName,"&lt;&gt;")-COUNTIFS(CrewName,"&lt;&gt;",CrewStatus,"Inactive"))-SUMPRODUCT(($C$27:$C$263="AM")*((COUNTIFS(ActCodesAll,V$27:V$263,ActCat,Activities!$G$10)+COUNTIFS(ActCodesAll,V$27:V$263,ActCat,Activities!$G$11)+COUNTIFS(ActCodesAll,V$27:V$263,ActCat,Activities!$G$13)+COUNTIFS(ActCodesAll,V$27:V$263,ActCat,Activities!$G$14)+COUNTIFS(ActCodesAll,V$28:V$264,ActCat,Activities!$G$10)+COUNTIFS(ActCodesAll,V$28:V$264,ActCat,Activities!$G$11)+COUNTIFS(ActCodesAll,V$28:V$264,ActCat,Activities!$G$13)+COUNTIFS(ActCodesAll,V$28:V$264,ActCat,Activities!$G$14)+COUNTIFS(ActCodesAll,V$29:V$265,ActCat,Activities!$G$10)+COUNTIFS(ActCodesAll,V$29:V$265,ActCat,Activities!$G$11)+COUNTIFS(ActCodesAll,V$29:V$265,ActCat,Activities!$G$13)+COUNTIFS(ActCodesAll,V$29:V$265,ActCat,Activities!$G$14)+COUNTIFS(ActCodesAll,V$30:V$266,ActCat,Activities!$G$10)+COUNTIFS(ActCodesAll,V$30:V$266,ActCat,Activities!$G$11)+COUNTIFS(ActCodesAll,V$30:V$266,ActCat,Activities!$G$13)+COUNTIFS(ActCodesAll,V$30:V$266,ActCat,Activities!$G$14))&gt;0)))</f>
        <v/>
      </c>
      <c r="W277" s="257">
        <f>IF(W$5="","",(COUNTIFS(CrewName,"&lt;&gt;")-COUNTIFS(CrewName,"&lt;&gt;",CrewStatus,"Inactive"))-SUMPRODUCT(($C$27:$C$263="AM")*((COUNTIFS(ActCodesAll,W$27:W$263,ActCat,Activities!$G$10)+COUNTIFS(ActCodesAll,W$27:W$263,ActCat,Activities!$G$11)+COUNTIFS(ActCodesAll,W$27:W$263,ActCat,Activities!$G$13)+COUNTIFS(ActCodesAll,W$27:W$263,ActCat,Activities!$G$14)+COUNTIFS(ActCodesAll,W$28:W$264,ActCat,Activities!$G$10)+COUNTIFS(ActCodesAll,W$28:W$264,ActCat,Activities!$G$11)+COUNTIFS(ActCodesAll,W$28:W$264,ActCat,Activities!$G$13)+COUNTIFS(ActCodesAll,W$28:W$264,ActCat,Activities!$G$14)+COUNTIFS(ActCodesAll,W$29:W$265,ActCat,Activities!$G$10)+COUNTIFS(ActCodesAll,W$29:W$265,ActCat,Activities!$G$11)+COUNTIFS(ActCodesAll,W$29:W$265,ActCat,Activities!$G$13)+COUNTIFS(ActCodesAll,W$29:W$265,ActCat,Activities!$G$14)+COUNTIFS(ActCodesAll,W$30:W$266,ActCat,Activities!$G$10)+COUNTIFS(ActCodesAll,W$30:W$266,ActCat,Activities!$G$11)+COUNTIFS(ActCodesAll,W$30:W$266,ActCat,Activities!$G$13)+COUNTIFS(ActCodesAll,W$30:W$266,ActCat,Activities!$G$14))&gt;0)))</f>
        <v/>
      </c>
      <c r="X277" s="257">
        <f>IF(X$5="","",(COUNTIFS(CrewName,"&lt;&gt;")-COUNTIFS(CrewName,"&lt;&gt;",CrewStatus,"Inactive"))-SUMPRODUCT(($C$27:$C$263="AM")*((COUNTIFS(ActCodesAll,X$27:X$263,ActCat,Activities!$G$10)+COUNTIFS(ActCodesAll,X$27:X$263,ActCat,Activities!$G$11)+COUNTIFS(ActCodesAll,X$27:X$263,ActCat,Activities!$G$13)+COUNTIFS(ActCodesAll,X$27:X$263,ActCat,Activities!$G$14)+COUNTIFS(ActCodesAll,X$28:X$264,ActCat,Activities!$G$10)+COUNTIFS(ActCodesAll,X$28:X$264,ActCat,Activities!$G$11)+COUNTIFS(ActCodesAll,X$28:X$264,ActCat,Activities!$G$13)+COUNTIFS(ActCodesAll,X$28:X$264,ActCat,Activities!$G$14)+COUNTIFS(ActCodesAll,X$29:X$265,ActCat,Activities!$G$10)+COUNTIFS(ActCodesAll,X$29:X$265,ActCat,Activities!$G$11)+COUNTIFS(ActCodesAll,X$29:X$265,ActCat,Activities!$G$13)+COUNTIFS(ActCodesAll,X$29:X$265,ActCat,Activities!$G$14)+COUNTIFS(ActCodesAll,X$30:X$266,ActCat,Activities!$G$10)+COUNTIFS(ActCodesAll,X$30:X$266,ActCat,Activities!$G$11)+COUNTIFS(ActCodesAll,X$30:X$266,ActCat,Activities!$G$13)+COUNTIFS(ActCodesAll,X$30:X$266,ActCat,Activities!$G$14))&gt;0)))</f>
        <v/>
      </c>
      <c r="Y277" s="257">
        <f>IF(Y$5="","",(COUNTIFS(CrewName,"&lt;&gt;")-COUNTIFS(CrewName,"&lt;&gt;",CrewStatus,"Inactive"))-SUMPRODUCT(($C$27:$C$263="AM")*((COUNTIFS(ActCodesAll,Y$27:Y$263,ActCat,Activities!$G$10)+COUNTIFS(ActCodesAll,Y$27:Y$263,ActCat,Activities!$G$11)+COUNTIFS(ActCodesAll,Y$27:Y$263,ActCat,Activities!$G$13)+COUNTIFS(ActCodesAll,Y$27:Y$263,ActCat,Activities!$G$14)+COUNTIFS(ActCodesAll,Y$28:Y$264,ActCat,Activities!$G$10)+COUNTIFS(ActCodesAll,Y$28:Y$264,ActCat,Activities!$G$11)+COUNTIFS(ActCodesAll,Y$28:Y$264,ActCat,Activities!$G$13)+COUNTIFS(ActCodesAll,Y$28:Y$264,ActCat,Activities!$G$14)+COUNTIFS(ActCodesAll,Y$29:Y$265,ActCat,Activities!$G$10)+COUNTIFS(ActCodesAll,Y$29:Y$265,ActCat,Activities!$G$11)+COUNTIFS(ActCodesAll,Y$29:Y$265,ActCat,Activities!$G$13)+COUNTIFS(ActCodesAll,Y$29:Y$265,ActCat,Activities!$G$14)+COUNTIFS(ActCodesAll,Y$30:Y$266,ActCat,Activities!$G$10)+COUNTIFS(ActCodesAll,Y$30:Y$266,ActCat,Activities!$G$11)+COUNTIFS(ActCodesAll,Y$30:Y$266,ActCat,Activities!$G$13)+COUNTIFS(ActCodesAll,Y$30:Y$266,ActCat,Activities!$G$14))&gt;0)))</f>
        <v/>
      </c>
      <c r="Z277" s="257">
        <f>IF(Z$5="","",(COUNTIFS(CrewName,"&lt;&gt;")-COUNTIFS(CrewName,"&lt;&gt;",CrewStatus,"Inactive"))-SUMPRODUCT(($C$27:$C$263="AM")*((COUNTIFS(ActCodesAll,Z$27:Z$263,ActCat,Activities!$G$10)+COUNTIFS(ActCodesAll,Z$27:Z$263,ActCat,Activities!$G$11)+COUNTIFS(ActCodesAll,Z$27:Z$263,ActCat,Activities!$G$13)+COUNTIFS(ActCodesAll,Z$27:Z$263,ActCat,Activities!$G$14)+COUNTIFS(ActCodesAll,Z$28:Z$264,ActCat,Activities!$G$10)+COUNTIFS(ActCodesAll,Z$28:Z$264,ActCat,Activities!$G$11)+COUNTIFS(ActCodesAll,Z$28:Z$264,ActCat,Activities!$G$13)+COUNTIFS(ActCodesAll,Z$28:Z$264,ActCat,Activities!$G$14)+COUNTIFS(ActCodesAll,Z$29:Z$265,ActCat,Activities!$G$10)+COUNTIFS(ActCodesAll,Z$29:Z$265,ActCat,Activities!$G$11)+COUNTIFS(ActCodesAll,Z$29:Z$265,ActCat,Activities!$G$13)+COUNTIFS(ActCodesAll,Z$29:Z$265,ActCat,Activities!$G$14)+COUNTIFS(ActCodesAll,Z$30:Z$266,ActCat,Activities!$G$10)+COUNTIFS(ActCodesAll,Z$30:Z$266,ActCat,Activities!$G$11)+COUNTIFS(ActCodesAll,Z$30:Z$266,ActCat,Activities!$G$13)+COUNTIFS(ActCodesAll,Z$30:Z$266,ActCat,Activities!$G$14))&gt;0)))</f>
        <v/>
      </c>
      <c r="AA277" s="257">
        <f>IF(AA$5="","",(COUNTIFS(CrewName,"&lt;&gt;")-COUNTIFS(CrewName,"&lt;&gt;",CrewStatus,"Inactive"))-SUMPRODUCT(($C$27:$C$263="AM")*((COUNTIFS(ActCodesAll,AA$27:AA$263,ActCat,Activities!$G$10)+COUNTIFS(ActCodesAll,AA$27:AA$263,ActCat,Activities!$G$11)+COUNTIFS(ActCodesAll,AA$27:AA$263,ActCat,Activities!$G$13)+COUNTIFS(ActCodesAll,AA$27:AA$263,ActCat,Activities!$G$14)+COUNTIFS(ActCodesAll,AA$28:AA$264,ActCat,Activities!$G$10)+COUNTIFS(ActCodesAll,AA$28:AA$264,ActCat,Activities!$G$11)+COUNTIFS(ActCodesAll,AA$28:AA$264,ActCat,Activities!$G$13)+COUNTIFS(ActCodesAll,AA$28:AA$264,ActCat,Activities!$G$14)+COUNTIFS(ActCodesAll,AA$29:AA$265,ActCat,Activities!$G$10)+COUNTIFS(ActCodesAll,AA$29:AA$265,ActCat,Activities!$G$11)+COUNTIFS(ActCodesAll,AA$29:AA$265,ActCat,Activities!$G$13)+COUNTIFS(ActCodesAll,AA$29:AA$265,ActCat,Activities!$G$14)+COUNTIFS(ActCodesAll,AA$30:AA$266,ActCat,Activities!$G$10)+COUNTIFS(ActCodesAll,AA$30:AA$266,ActCat,Activities!$G$11)+COUNTIFS(ActCodesAll,AA$30:AA$266,ActCat,Activities!$G$13)+COUNTIFS(ActCodesAll,AA$30:AA$266,ActCat,Activities!$G$14))&gt;0)))</f>
        <v/>
      </c>
      <c r="AB277" s="257">
        <f>IF(AB$5="","",(COUNTIFS(CrewName,"&lt;&gt;")-COUNTIFS(CrewName,"&lt;&gt;",CrewStatus,"Inactive"))-SUMPRODUCT(($C$27:$C$263="AM")*((COUNTIFS(ActCodesAll,AB$27:AB$263,ActCat,Activities!$G$10)+COUNTIFS(ActCodesAll,AB$27:AB$263,ActCat,Activities!$G$11)+COUNTIFS(ActCodesAll,AB$27:AB$263,ActCat,Activities!$G$13)+COUNTIFS(ActCodesAll,AB$27:AB$263,ActCat,Activities!$G$14)+COUNTIFS(ActCodesAll,AB$28:AB$264,ActCat,Activities!$G$10)+COUNTIFS(ActCodesAll,AB$28:AB$264,ActCat,Activities!$G$11)+COUNTIFS(ActCodesAll,AB$28:AB$264,ActCat,Activities!$G$13)+COUNTIFS(ActCodesAll,AB$28:AB$264,ActCat,Activities!$G$14)+COUNTIFS(ActCodesAll,AB$29:AB$265,ActCat,Activities!$G$10)+COUNTIFS(ActCodesAll,AB$29:AB$265,ActCat,Activities!$G$11)+COUNTIFS(ActCodesAll,AB$29:AB$265,ActCat,Activities!$G$13)+COUNTIFS(ActCodesAll,AB$29:AB$265,ActCat,Activities!$G$14)+COUNTIFS(ActCodesAll,AB$30:AB$266,ActCat,Activities!$G$10)+COUNTIFS(ActCodesAll,AB$30:AB$266,ActCat,Activities!$G$11)+COUNTIFS(ActCodesAll,AB$30:AB$266,ActCat,Activities!$G$13)+COUNTIFS(ActCodesAll,AB$30:AB$266,ActCat,Activities!$G$14))&gt;0)))</f>
        <v/>
      </c>
      <c r="AC277" s="257">
        <f>IF(AC$5="","",(COUNTIFS(CrewName,"&lt;&gt;")-COUNTIFS(CrewName,"&lt;&gt;",CrewStatus,"Inactive"))-SUMPRODUCT(($C$27:$C$263="AM")*((COUNTIFS(ActCodesAll,AC$27:AC$263,ActCat,Activities!$G$10)+COUNTIFS(ActCodesAll,AC$27:AC$263,ActCat,Activities!$G$11)+COUNTIFS(ActCodesAll,AC$27:AC$263,ActCat,Activities!$G$13)+COUNTIFS(ActCodesAll,AC$27:AC$263,ActCat,Activities!$G$14)+COUNTIFS(ActCodesAll,AC$28:AC$264,ActCat,Activities!$G$10)+COUNTIFS(ActCodesAll,AC$28:AC$264,ActCat,Activities!$G$11)+COUNTIFS(ActCodesAll,AC$28:AC$264,ActCat,Activities!$G$13)+COUNTIFS(ActCodesAll,AC$28:AC$264,ActCat,Activities!$G$14)+COUNTIFS(ActCodesAll,AC$29:AC$265,ActCat,Activities!$G$10)+COUNTIFS(ActCodesAll,AC$29:AC$265,ActCat,Activities!$G$11)+COUNTIFS(ActCodesAll,AC$29:AC$265,ActCat,Activities!$G$13)+COUNTIFS(ActCodesAll,AC$29:AC$265,ActCat,Activities!$G$14)+COUNTIFS(ActCodesAll,AC$30:AC$266,ActCat,Activities!$G$10)+COUNTIFS(ActCodesAll,AC$30:AC$266,ActCat,Activities!$G$11)+COUNTIFS(ActCodesAll,AC$30:AC$266,ActCat,Activities!$G$13)+COUNTIFS(ActCodesAll,AC$30:AC$266,ActCat,Activities!$G$14))&gt;0)))</f>
        <v/>
      </c>
      <c r="AD277" s="257">
        <f>IF(AD$5="","",(COUNTIFS(CrewName,"&lt;&gt;")-COUNTIFS(CrewName,"&lt;&gt;",CrewStatus,"Inactive"))-SUMPRODUCT(($C$27:$C$263="AM")*((COUNTIFS(ActCodesAll,AD$27:AD$263,ActCat,Activities!$G$10)+COUNTIFS(ActCodesAll,AD$27:AD$263,ActCat,Activities!$G$11)+COUNTIFS(ActCodesAll,AD$27:AD$263,ActCat,Activities!$G$13)+COUNTIFS(ActCodesAll,AD$27:AD$263,ActCat,Activities!$G$14)+COUNTIFS(ActCodesAll,AD$28:AD$264,ActCat,Activities!$G$10)+COUNTIFS(ActCodesAll,AD$28:AD$264,ActCat,Activities!$G$11)+COUNTIFS(ActCodesAll,AD$28:AD$264,ActCat,Activities!$G$13)+COUNTIFS(ActCodesAll,AD$28:AD$264,ActCat,Activities!$G$14)+COUNTIFS(ActCodesAll,AD$29:AD$265,ActCat,Activities!$G$10)+COUNTIFS(ActCodesAll,AD$29:AD$265,ActCat,Activities!$G$11)+COUNTIFS(ActCodesAll,AD$29:AD$265,ActCat,Activities!$G$13)+COUNTIFS(ActCodesAll,AD$29:AD$265,ActCat,Activities!$G$14)+COUNTIFS(ActCodesAll,AD$30:AD$266,ActCat,Activities!$G$10)+COUNTIFS(ActCodesAll,AD$30:AD$266,ActCat,Activities!$G$11)+COUNTIFS(ActCodesAll,AD$30:AD$266,ActCat,Activities!$G$13)+COUNTIFS(ActCodesAll,AD$30:AD$266,ActCat,Activities!$G$14))&gt;0)))</f>
        <v/>
      </c>
      <c r="AE277" s="257">
        <f>IF(AE$5="","",(COUNTIFS(CrewName,"&lt;&gt;")-COUNTIFS(CrewName,"&lt;&gt;",CrewStatus,"Inactive"))-SUMPRODUCT(($C$27:$C$263="AM")*((COUNTIFS(ActCodesAll,AE$27:AE$263,ActCat,Activities!$G$10)+COUNTIFS(ActCodesAll,AE$27:AE$263,ActCat,Activities!$G$11)+COUNTIFS(ActCodesAll,AE$27:AE$263,ActCat,Activities!$G$13)+COUNTIFS(ActCodesAll,AE$27:AE$263,ActCat,Activities!$G$14)+COUNTIFS(ActCodesAll,AE$28:AE$264,ActCat,Activities!$G$10)+COUNTIFS(ActCodesAll,AE$28:AE$264,ActCat,Activities!$G$11)+COUNTIFS(ActCodesAll,AE$28:AE$264,ActCat,Activities!$G$13)+COUNTIFS(ActCodesAll,AE$28:AE$264,ActCat,Activities!$G$14)+COUNTIFS(ActCodesAll,AE$29:AE$265,ActCat,Activities!$G$10)+COUNTIFS(ActCodesAll,AE$29:AE$265,ActCat,Activities!$G$11)+COUNTIFS(ActCodesAll,AE$29:AE$265,ActCat,Activities!$G$13)+COUNTIFS(ActCodesAll,AE$29:AE$265,ActCat,Activities!$G$14)+COUNTIFS(ActCodesAll,AE$30:AE$266,ActCat,Activities!$G$10)+COUNTIFS(ActCodesAll,AE$30:AE$266,ActCat,Activities!$G$11)+COUNTIFS(ActCodesAll,AE$30:AE$266,ActCat,Activities!$G$13)+COUNTIFS(ActCodesAll,AE$30:AE$266,ActCat,Activities!$G$14))&gt;0)))</f>
        <v/>
      </c>
      <c r="AF277" s="257">
        <f>IF(AF$5="","",(COUNTIFS(CrewName,"&lt;&gt;")-COUNTIFS(CrewName,"&lt;&gt;",CrewStatus,"Inactive"))-SUMPRODUCT(($C$27:$C$263="AM")*((COUNTIFS(ActCodesAll,AF$27:AF$263,ActCat,Activities!$G$10)+COUNTIFS(ActCodesAll,AF$27:AF$263,ActCat,Activities!$G$11)+COUNTIFS(ActCodesAll,AF$27:AF$263,ActCat,Activities!$G$13)+COUNTIFS(ActCodesAll,AF$27:AF$263,ActCat,Activities!$G$14)+COUNTIFS(ActCodesAll,AF$28:AF$264,ActCat,Activities!$G$10)+COUNTIFS(ActCodesAll,AF$28:AF$264,ActCat,Activities!$G$11)+COUNTIFS(ActCodesAll,AF$28:AF$264,ActCat,Activities!$G$13)+COUNTIFS(ActCodesAll,AF$28:AF$264,ActCat,Activities!$G$14)+COUNTIFS(ActCodesAll,AF$29:AF$265,ActCat,Activities!$G$10)+COUNTIFS(ActCodesAll,AF$29:AF$265,ActCat,Activities!$G$11)+COUNTIFS(ActCodesAll,AF$29:AF$265,ActCat,Activities!$G$13)+COUNTIFS(ActCodesAll,AF$29:AF$265,ActCat,Activities!$G$14)+COUNTIFS(ActCodesAll,AF$30:AF$266,ActCat,Activities!$G$10)+COUNTIFS(ActCodesAll,AF$30:AF$266,ActCat,Activities!$G$11)+COUNTIFS(ActCodesAll,AF$30:AF$266,ActCat,Activities!$G$13)+COUNTIFS(ActCodesAll,AF$30:AF$266,ActCat,Activities!$G$14))&gt;0)))</f>
        <v/>
      </c>
      <c r="AG277" s="257">
        <f>IF(AG$5="","",(COUNTIFS(CrewName,"&lt;&gt;")-COUNTIFS(CrewName,"&lt;&gt;",CrewStatus,"Inactive"))-SUMPRODUCT(($C$27:$C$263="AM")*((COUNTIFS(ActCodesAll,AG$27:AG$263,ActCat,Activities!$G$10)+COUNTIFS(ActCodesAll,AG$27:AG$263,ActCat,Activities!$G$11)+COUNTIFS(ActCodesAll,AG$27:AG$263,ActCat,Activities!$G$13)+COUNTIFS(ActCodesAll,AG$27:AG$263,ActCat,Activities!$G$14)+COUNTIFS(ActCodesAll,AG$28:AG$264,ActCat,Activities!$G$10)+COUNTIFS(ActCodesAll,AG$28:AG$264,ActCat,Activities!$G$11)+COUNTIFS(ActCodesAll,AG$28:AG$264,ActCat,Activities!$G$13)+COUNTIFS(ActCodesAll,AG$28:AG$264,ActCat,Activities!$G$14)+COUNTIFS(ActCodesAll,AG$29:AG$265,ActCat,Activities!$G$10)+COUNTIFS(ActCodesAll,AG$29:AG$265,ActCat,Activities!$G$11)+COUNTIFS(ActCodesAll,AG$29:AG$265,ActCat,Activities!$G$13)+COUNTIFS(ActCodesAll,AG$29:AG$265,ActCat,Activities!$G$14)+COUNTIFS(ActCodesAll,AG$30:AG$266,ActCat,Activities!$G$10)+COUNTIFS(ActCodesAll,AG$30:AG$266,ActCat,Activities!$G$11)+COUNTIFS(ActCodesAll,AG$30:AG$266,ActCat,Activities!$G$13)+COUNTIFS(ActCodesAll,AG$30:AG$266,ActCat,Activities!$G$14))&gt;0)))</f>
        <v/>
      </c>
      <c r="AH277" s="257">
        <f>IF(AH$5="","",(COUNTIFS(CrewName,"&lt;&gt;")-COUNTIFS(CrewName,"&lt;&gt;",CrewStatus,"Inactive"))-SUMPRODUCT(($C$27:$C$263="AM")*((COUNTIFS(ActCodesAll,AH$27:AH$263,ActCat,Activities!$G$10)+COUNTIFS(ActCodesAll,AH$27:AH$263,ActCat,Activities!$G$11)+COUNTIFS(ActCodesAll,AH$27:AH$263,ActCat,Activities!$G$13)+COUNTIFS(ActCodesAll,AH$27:AH$263,ActCat,Activities!$G$14)+COUNTIFS(ActCodesAll,AH$28:AH$264,ActCat,Activities!$G$10)+COUNTIFS(ActCodesAll,AH$28:AH$264,ActCat,Activities!$G$11)+COUNTIFS(ActCodesAll,AH$28:AH$264,ActCat,Activities!$G$13)+COUNTIFS(ActCodesAll,AH$28:AH$264,ActCat,Activities!$G$14)+COUNTIFS(ActCodesAll,AH$29:AH$265,ActCat,Activities!$G$10)+COUNTIFS(ActCodesAll,AH$29:AH$265,ActCat,Activities!$G$11)+COUNTIFS(ActCodesAll,AH$29:AH$265,ActCat,Activities!$G$13)+COUNTIFS(ActCodesAll,AH$29:AH$265,ActCat,Activities!$G$14)+COUNTIFS(ActCodesAll,AH$30:AH$266,ActCat,Activities!$G$10)+COUNTIFS(ActCodesAll,AH$30:AH$266,ActCat,Activities!$G$11)+COUNTIFS(ActCodesAll,AH$30:AH$266,ActCat,Activities!$G$13)+COUNTIFS(ActCodesAll,AH$30:AH$266,ActCat,Activities!$G$14))&gt;0)))</f>
        <v/>
      </c>
    </row>
  </sheetData>
  <autoFilter ref="A26:A266">
    <filterColumn colId="0" hiddenButton="0" showButton="1">
      <customFilters>
        <customFilter val=" " operator="notEqual"/>
      </customFilters>
    </filterColumn>
  </autoFilter>
  <mergeCells count="383">
    <mergeCell ref="AK103:AK106"/>
    <mergeCell ref="AL171:AL174"/>
    <mergeCell ref="AK47:AK50"/>
    <mergeCell ref="B263:B264"/>
    <mergeCell ref="AM47:AM50"/>
    <mergeCell ref="AM111:AM114"/>
    <mergeCell ref="AL139:AL142"/>
    <mergeCell ref="AJ239:AJ242"/>
    <mergeCell ref="AI63:AI66"/>
    <mergeCell ref="AL239:AL242"/>
    <mergeCell ref="AK63:AK66"/>
    <mergeCell ref="AI131:AI134"/>
    <mergeCell ref="AK131:AK134"/>
    <mergeCell ref="AK187:AK190"/>
    <mergeCell ref="AM187:AM190"/>
    <mergeCell ref="AJ191:AJ194"/>
    <mergeCell ref="AJ79:AJ82"/>
    <mergeCell ref="AM251:AM254"/>
    <mergeCell ref="AL79:AL82"/>
    <mergeCell ref="AJ255:AJ258"/>
    <mergeCell ref="AK139:AK142"/>
    <mergeCell ref="B159:B160"/>
    <mergeCell ref="AJ167:AJ170"/>
    <mergeCell ref="A1:AM1"/>
    <mergeCell ref="C12:C14"/>
    <mergeCell ref="AJ123:AJ126"/>
    <mergeCell ref="AL187:AL190"/>
    <mergeCell ref="AK71:AK74"/>
    <mergeCell ref="AI55:AI58"/>
    <mergeCell ref="AL227:AL230"/>
    <mergeCell ref="AK55:AK58"/>
    <mergeCell ref="B143:B144"/>
    <mergeCell ref="AK119:AK122"/>
    <mergeCell ref="AM119:AM122"/>
    <mergeCell ref="AJ4:AJ5"/>
    <mergeCell ref="B95:B96"/>
    <mergeCell ref="AL4:AL5"/>
    <mergeCell ref="AL67:AL70"/>
    <mergeCell ref="AI215:AI218"/>
    <mergeCell ref="AJ103:AJ106"/>
    <mergeCell ref="AI195:AI198"/>
    <mergeCell ref="AL167:AL170"/>
    <mergeCell ref="AK195:AK198"/>
    <mergeCell ref="AI231:AI234"/>
    <mergeCell ref="AK259:AK262"/>
    <mergeCell ref="AM259:AM262"/>
    <mergeCell ref="AI147:AI150"/>
    <mergeCell ref="B167:B168"/>
    <mergeCell ref="B259:B260"/>
    <mergeCell ref="AJ39:AJ42"/>
    <mergeCell ref="AM67:AM70"/>
    <mergeCell ref="AL95:AL98"/>
    <mergeCell ref="AI99:AI102"/>
    <mergeCell ref="AJ131:AJ134"/>
    <mergeCell ref="AL87:AL90"/>
    <mergeCell ref="AL159:AL162"/>
    <mergeCell ref="AI163:AI166"/>
    <mergeCell ref="AJ195:AJ198"/>
    <mergeCell ref="AK163:AK166"/>
    <mergeCell ref="AL195:AL198"/>
    <mergeCell ref="AK223:AK226"/>
    <mergeCell ref="B83:B84"/>
    <mergeCell ref="AM247:AM250"/>
    <mergeCell ref="AJ115:AJ118"/>
    <mergeCell ref="AK147:AK150"/>
    <mergeCell ref="A24:B24"/>
    <mergeCell ref="B47:B48"/>
    <mergeCell ref="AM203:AM206"/>
    <mergeCell ref="AM51:AM54"/>
    <mergeCell ref="AL179:AL182"/>
    <mergeCell ref="B111:B112"/>
    <mergeCell ref="AJ119:AJ122"/>
    <mergeCell ref="AL135:AL138"/>
    <mergeCell ref="B175:B176"/>
    <mergeCell ref="AI24:AM24"/>
    <mergeCell ref="AI4:AI5"/>
    <mergeCell ref="AL183:AL186"/>
    <mergeCell ref="AK211:AK214"/>
    <mergeCell ref="A2:AM2"/>
    <mergeCell ref="AL103:AL106"/>
    <mergeCell ref="B251:B252"/>
    <mergeCell ref="AM35:AM38"/>
    <mergeCell ref="AI171:AI174"/>
    <mergeCell ref="AJ259:AJ262"/>
    <mergeCell ref="AJ63:AJ66"/>
    <mergeCell ref="AL259:AL262"/>
    <mergeCell ref="AI263:AI266"/>
    <mergeCell ref="AM135:AM138"/>
    <mergeCell ref="AJ139:AJ142"/>
    <mergeCell ref="B59:B60"/>
    <mergeCell ref="C21:C23"/>
    <mergeCell ref="AI39:AI42"/>
    <mergeCell ref="AJ27:AJ30"/>
    <mergeCell ref="B43:B44"/>
    <mergeCell ref="AL27:AL30"/>
    <mergeCell ref="AK87:AK90"/>
    <mergeCell ref="AI103:AI106"/>
    <mergeCell ref="AM159:AM162"/>
    <mergeCell ref="AM59:AM62"/>
    <mergeCell ref="AM211:AM214"/>
    <mergeCell ref="B6:B23"/>
    <mergeCell ref="AK219:AK222"/>
    <mergeCell ref="B119:B120"/>
    <mergeCell ref="C18:C20"/>
    <mergeCell ref="B211:B212"/>
    <mergeCell ref="B183:B184"/>
    <mergeCell ref="AL155:AL158"/>
    <mergeCell ref="AM83:AM86"/>
    <mergeCell ref="AI115:AI118"/>
    <mergeCell ref="AJ147:AJ150"/>
    <mergeCell ref="AK115:AK118"/>
    <mergeCell ref="AI179:AI182"/>
    <mergeCell ref="B227:B228"/>
    <mergeCell ref="AK179:AK182"/>
    <mergeCell ref="AJ71:AJ74"/>
    <mergeCell ref="C4:C5"/>
    <mergeCell ref="AJ163:AJ166"/>
    <mergeCell ref="AK143:AK146"/>
    <mergeCell ref="AM143:AM146"/>
    <mergeCell ref="AM199:AM202"/>
    <mergeCell ref="B67:B68"/>
    <mergeCell ref="AK207:AK210"/>
    <mergeCell ref="AL91:AL94"/>
    <mergeCell ref="AM151:AM154"/>
    <mergeCell ref="AK167:AK170"/>
    <mergeCell ref="AK159:AK162"/>
    <mergeCell ref="B127:B128"/>
    <mergeCell ref="AL43:AL46"/>
    <mergeCell ref="AI47:AI50"/>
    <mergeCell ref="AK27:AK30"/>
    <mergeCell ref="AM227:AM230"/>
    <mergeCell ref="AM27:AM30"/>
    <mergeCell ref="AK235:AK238"/>
    <mergeCell ref="AJ59:AJ62"/>
    <mergeCell ref="AK91:AK94"/>
    <mergeCell ref="AL59:AL62"/>
    <mergeCell ref="AM91:AM94"/>
    <mergeCell ref="AL119:AL122"/>
    <mergeCell ref="AI123:AI126"/>
    <mergeCell ref="AI187:AI190"/>
    <mergeCell ref="AJ219:AJ222"/>
    <mergeCell ref="B235:B236"/>
    <mergeCell ref="AL219:AL222"/>
    <mergeCell ref="AI251:AI254"/>
    <mergeCell ref="AK251:AK254"/>
    <mergeCell ref="AM167:AM170"/>
    <mergeCell ref="AM207:AM210"/>
    <mergeCell ref="AJ87:AJ90"/>
    <mergeCell ref="AM75:AM78"/>
    <mergeCell ref="AJ179:AJ182"/>
    <mergeCell ref="AI71:AI74"/>
    <mergeCell ref="B4:B5"/>
    <mergeCell ref="B75:B76"/>
    <mergeCell ref="B135:B136"/>
    <mergeCell ref="AM223:AM226"/>
    <mergeCell ref="AM79:AM82"/>
    <mergeCell ref="AL51:AL54"/>
    <mergeCell ref="AJ143:AJ146"/>
    <mergeCell ref="AK111:AK114"/>
    <mergeCell ref="AL143:AL146"/>
    <mergeCell ref="B199:B200"/>
    <mergeCell ref="AI119:AI122"/>
    <mergeCell ref="AI175:AI178"/>
    <mergeCell ref="AK175:AK178"/>
    <mergeCell ref="AL207:AL210"/>
    <mergeCell ref="AM175:AM178"/>
    <mergeCell ref="AM235:AM238"/>
    <mergeCell ref="AJ67:AJ70"/>
    <mergeCell ref="AM155:AM158"/>
    <mergeCell ref="B243:B244"/>
    <mergeCell ref="AJ159:AJ162"/>
    <mergeCell ref="AK43:AK46"/>
    <mergeCell ref="AM43:AM46"/>
    <mergeCell ref="AM107:AM110"/>
    <mergeCell ref="AM63:AM66"/>
    <mergeCell ref="AL127:AL130"/>
    <mergeCell ref="AI203:AI206"/>
    <mergeCell ref="AJ235:AJ238"/>
    <mergeCell ref="AL235:AL238"/>
    <mergeCell ref="AK59:AK62"/>
    <mergeCell ref="AL191:AL194"/>
    <mergeCell ref="B123:B124"/>
    <mergeCell ref="AI239:AI242"/>
    <mergeCell ref="AK183:AK186"/>
    <mergeCell ref="AM183:AM186"/>
    <mergeCell ref="AI219:AI222"/>
    <mergeCell ref="AJ187:AJ190"/>
    <mergeCell ref="AJ251:AJ254"/>
    <mergeCell ref="AL251:AL254"/>
    <mergeCell ref="AM231:AM234"/>
    <mergeCell ref="B247:B248"/>
    <mergeCell ref="AI87:AI90"/>
    <mergeCell ref="B151:B152"/>
    <mergeCell ref="AL75:AL78"/>
    <mergeCell ref="AI139:AI142"/>
    <mergeCell ref="AK203:AK206"/>
    <mergeCell ref="AI51:AI54"/>
    <mergeCell ref="AL223:AL226"/>
    <mergeCell ref="AK51:AK54"/>
    <mergeCell ref="AJ95:AJ98"/>
    <mergeCell ref="AJ175:AJ178"/>
    <mergeCell ref="B91:B92"/>
    <mergeCell ref="AJ183:AJ186"/>
    <mergeCell ref="AI67:AI70"/>
    <mergeCell ref="AK67:AK70"/>
    <mergeCell ref="B35:B36"/>
    <mergeCell ref="B155:B156"/>
    <mergeCell ref="AJ51:AJ54"/>
    <mergeCell ref="AJ243:AJ246"/>
    <mergeCell ref="AL243:AL246"/>
    <mergeCell ref="AK127:AK130"/>
    <mergeCell ref="AM127:AM130"/>
    <mergeCell ref="AI135:AI138"/>
    <mergeCell ref="B239:B240"/>
    <mergeCell ref="AK135:AK138"/>
    <mergeCell ref="AK191:AK194"/>
    <mergeCell ref="AM191:AM194"/>
    <mergeCell ref="AK39:AK42"/>
    <mergeCell ref="AJ83:AJ86"/>
    <mergeCell ref="AM255:AM258"/>
    <mergeCell ref="AL83:AL86"/>
    <mergeCell ref="AM103:AM106"/>
    <mergeCell ref="AI159:AI162"/>
    <mergeCell ref="B79:B80"/>
    <mergeCell ref="AI211:AI214"/>
    <mergeCell ref="AJ231:AJ234"/>
    <mergeCell ref="AJ35:AJ38"/>
    <mergeCell ref="AL231:AL234"/>
    <mergeCell ref="AJ127:AJ130"/>
    <mergeCell ref="AI259:AI262"/>
    <mergeCell ref="C9:C11"/>
    <mergeCell ref="B31:B32"/>
    <mergeCell ref="AK75:AK78"/>
    <mergeCell ref="AJ47:AJ50"/>
    <mergeCell ref="AI83:AI86"/>
    <mergeCell ref="AJ111:AJ114"/>
    <mergeCell ref="AJ203:AJ206"/>
    <mergeCell ref="AL203:AL206"/>
    <mergeCell ref="AM39:AM42"/>
    <mergeCell ref="AL175:AL178"/>
    <mergeCell ref="B107:B108"/>
    <mergeCell ref="AJ211:AJ214"/>
    <mergeCell ref="AM4:AM5"/>
    <mergeCell ref="AI95:AI98"/>
    <mergeCell ref="B171:B172"/>
    <mergeCell ref="A4:A5"/>
    <mergeCell ref="B207:B208"/>
    <mergeCell ref="AI143:AI146"/>
    <mergeCell ref="AI199:AI202"/>
    <mergeCell ref="AK199:AK202"/>
    <mergeCell ref="AK263:AK266"/>
    <mergeCell ref="AJ91:AJ94"/>
    <mergeCell ref="AM263:AM266"/>
    <mergeCell ref="AI151:AI154"/>
    <mergeCell ref="AK151:AK154"/>
    <mergeCell ref="AI243:AI246"/>
    <mergeCell ref="AL35:AL38"/>
    <mergeCell ref="AJ43:AJ46"/>
    <mergeCell ref="AJ99:AJ102"/>
    <mergeCell ref="AL99:AL102"/>
    <mergeCell ref="AM131:AM134"/>
    <mergeCell ref="AJ135:AJ138"/>
    <mergeCell ref="B191:B192"/>
    <mergeCell ref="B39:B40"/>
    <mergeCell ref="AL163:AL166"/>
    <mergeCell ref="AM195:AM198"/>
    <mergeCell ref="AJ199:AJ202"/>
    <mergeCell ref="AI227:AI230"/>
    <mergeCell ref="AI27:AI30"/>
    <mergeCell ref="AL255:AL258"/>
    <mergeCell ref="AK227:AK230"/>
    <mergeCell ref="AK83:AK86"/>
    <mergeCell ref="C6:C8"/>
    <mergeCell ref="AI91:AI94"/>
    <mergeCell ref="AI35:AI38"/>
    <mergeCell ref="AK231:AK234"/>
    <mergeCell ref="AK35:AK38"/>
    <mergeCell ref="AI167:AI170"/>
    <mergeCell ref="AM55:AM58"/>
    <mergeCell ref="AJ227:AJ230"/>
    <mergeCell ref="AI111:AI114"/>
    <mergeCell ref="B115:B116"/>
    <mergeCell ref="AJ31:AJ34"/>
    <mergeCell ref="B223:B224"/>
    <mergeCell ref="B179:B180"/>
    <mergeCell ref="AK215:AK218"/>
    <mergeCell ref="AM215:AM218"/>
    <mergeCell ref="AM71:AM74"/>
    <mergeCell ref="AI79:AI82"/>
    <mergeCell ref="AK79:AK82"/>
    <mergeCell ref="AL107:AL110"/>
    <mergeCell ref="AL199:AL202"/>
    <mergeCell ref="B255:B256"/>
    <mergeCell ref="B103:B104"/>
    <mergeCell ref="AJ207:AJ210"/>
    <mergeCell ref="AJ263:AJ266"/>
    <mergeCell ref="AI6:AM23"/>
    <mergeCell ref="AL263:AL266"/>
    <mergeCell ref="AM147:AM150"/>
    <mergeCell ref="AJ151:AJ154"/>
    <mergeCell ref="AM139:AM142"/>
    <mergeCell ref="AI155:AI158"/>
    <mergeCell ref="B63:B64"/>
    <mergeCell ref="AK155:AK158"/>
    <mergeCell ref="AL39:AL42"/>
    <mergeCell ref="AJ215:AJ218"/>
    <mergeCell ref="AI43:AI46"/>
    <mergeCell ref="AK99:AK102"/>
    <mergeCell ref="AL131:AL134"/>
    <mergeCell ref="AL31:AL34"/>
    <mergeCell ref="AM99:AM102"/>
    <mergeCell ref="AI107:AI110"/>
    <mergeCell ref="AK107:AK110"/>
    <mergeCell ref="B27:B28"/>
    <mergeCell ref="AM163:AM166"/>
    <mergeCell ref="AI59:AI62"/>
    <mergeCell ref="AJ155:AJ158"/>
    <mergeCell ref="AI183:AI186"/>
    <mergeCell ref="B187:B188"/>
    <mergeCell ref="AL115:AL118"/>
    <mergeCell ref="AI247:AI250"/>
    <mergeCell ref="AK247:AK250"/>
    <mergeCell ref="AL151:AL154"/>
    <mergeCell ref="C15:C17"/>
    <mergeCell ref="B55:B56"/>
    <mergeCell ref="AL215:AL218"/>
    <mergeCell ref="AI31:AI34"/>
    <mergeCell ref="AK243:AK246"/>
    <mergeCell ref="AM243:AM246"/>
    <mergeCell ref="AJ75:AJ78"/>
    <mergeCell ref="AK95:AK98"/>
    <mergeCell ref="B215:B216"/>
    <mergeCell ref="B71:B72"/>
    <mergeCell ref="B131:B132"/>
    <mergeCell ref="AM219:AM222"/>
    <mergeCell ref="AJ223:AJ226"/>
    <mergeCell ref="B195:B196"/>
    <mergeCell ref="B231:B232"/>
    <mergeCell ref="AK171:AK174"/>
    <mergeCell ref="AM171:AM174"/>
    <mergeCell ref="AI207:AI210"/>
    <mergeCell ref="AL47:AL50"/>
    <mergeCell ref="AK31:AK34"/>
    <mergeCell ref="AM31:AM34"/>
    <mergeCell ref="AM87:AM90"/>
    <mergeCell ref="B99:B100"/>
    <mergeCell ref="AJ107:AJ110"/>
    <mergeCell ref="AL63:AL66"/>
    <mergeCell ref="AM95:AM98"/>
    <mergeCell ref="AL123:AL126"/>
    <mergeCell ref="B163:B164"/>
    <mergeCell ref="AI127:AI130"/>
    <mergeCell ref="AJ171:AJ174"/>
    <mergeCell ref="B203:B204"/>
    <mergeCell ref="AI235:AI238"/>
    <mergeCell ref="AI191:AI194"/>
    <mergeCell ref="AI255:AI258"/>
    <mergeCell ref="AK255:AK258"/>
    <mergeCell ref="B219:B220"/>
    <mergeCell ref="AM115:AM118"/>
    <mergeCell ref="AJ247:AJ250"/>
    <mergeCell ref="AL247:AL250"/>
    <mergeCell ref="A25:B25"/>
    <mergeCell ref="AK123:AK126"/>
    <mergeCell ref="AM123:AM126"/>
    <mergeCell ref="AM179:AM182"/>
    <mergeCell ref="B87:B88"/>
    <mergeCell ref="B147:B148"/>
    <mergeCell ref="AL71:AL74"/>
    <mergeCell ref="AI75:AI78"/>
    <mergeCell ref="B139:B140"/>
    <mergeCell ref="AI25:AM25"/>
    <mergeCell ref="AJ55:AJ58"/>
    <mergeCell ref="AL55:AL58"/>
    <mergeCell ref="AL111:AL114"/>
    <mergeCell ref="AL147:AL150"/>
    <mergeCell ref="B51:B52"/>
    <mergeCell ref="AI223:AI226"/>
    <mergeCell ref="AL211:AL214"/>
    <mergeCell ref="AK239:AK242"/>
    <mergeCell ref="AM239:AM242"/>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AND(D6&lt;&gt;"",N(D$269)=0)</formula>
    </cfRule>
    <cfRule type="expression" priority="8" dxfId="31" stopIfTrue="1">
      <formula>AND(D6&lt;&gt;"",N(D$269)&lt;(SUMIFS(ActSort,ActCodesAll,D$6)+SUMIFS(ActSort,ActCodesAll,D$9)))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AND(D9&lt;&gt;"",N(D$269)=0)</formula>
    </cfRule>
    <cfRule type="expression" priority="12" dxfId="31" stopIfTrue="1">
      <formula>AND(D9&lt;&gt;"",N(D$269)&lt;(SUMIFS(ActSort,ActCodesAll,D$6)+SUMIFS(ActSort,ActCodesAll,D$9)))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AND(D12&lt;&gt;"",N(D$270)=0)</formula>
    </cfRule>
    <cfRule type="expression" priority="16" dxfId="31" stopIfTrue="1">
      <formula>AND(D12&lt;&gt;"",N(D$270)&lt;(SUMIFS(ActSort,ActCodesAll,D$12)+SUMIFS(ActSort,ActCodesAll,D$15)))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AND(D15&lt;&gt;"",N(D$270)=0)</formula>
    </cfRule>
    <cfRule type="expression" priority="20" dxfId="31" stopIfTrue="1">
      <formula>AND(D15&lt;&gt;"",N(D$270)&lt;(SUMIFS(ActSort,ActCodesAll,D$12)+SUMIFS(ActSort,ActCodesAll,D$15)))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AND(D18&lt;&gt;"",N(D$271)=0)</formula>
    </cfRule>
    <cfRule type="expression" priority="24" dxfId="31" stopIfTrue="1">
      <formula>AND(D18&lt;&gt;"",N(D$271)&lt;(SUMIFS(ActSort,ActCodesAll,D$18)+SUMIFS(ActSort,ActCodesAll,D$21)))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AND(D21&lt;&gt;"",N(D$271)=0)</formula>
    </cfRule>
    <cfRule type="expression" priority="28" dxfId="31" stopIfTrue="1">
      <formula>AND(D21&lt;&gt;"",N(D$271)&lt;(SUMIFS(ActSort,ActCodesAll,D$18)+SUMIFS(ActSort,ActCodesAll,D$21)))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OR(AND(ISNUMBER(SEARCH("SDO",D25)),COUNTIF(D$27:D$266,"SDO")=0),AND(ISNUMBER(SEARCH("BDO",D25)),COUNTIF(D$27:D$266,"BDO")=0))</formula>
    </cfRule>
    <cfRule type="expression" priority="34" dxfId="21" stopIfTrue="1">
      <formula>D25&lt;&gt;""</formula>
    </cfRule>
  </conditionalFormatting>
  <conditionalFormatting sqref="D274:AH274">
    <cfRule type="expression" priority="35" dxfId="33">
      <formula>AND(D$25&lt;&gt;"",D274=0)</formula>
    </cfRule>
    <cfRule type="expression" priority="36" dxfId="20">
      <formula>AND(D$25="",N(D274)&gt;0)</formula>
    </cfRule>
  </conditionalFormatting>
  <conditionalFormatting sqref="D27:AH26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7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66">
    <cfRule type="expression" priority="52" dxfId="0" stopIfTrue="1">
      <formula>INDEX(CrewStatus,INT((ROW()-27)/4)+1)="Inactive"</formula>
    </cfRule>
    <cfRule type="expression" priority="53" dxfId="1">
      <formula>INDEX(CrewCat,INT((ROW()-27)/4)+1)="CAT A"</formula>
    </cfRule>
    <cfRule type="expression" priority="54" dxfId="2">
      <formula>INDEX(CrewCat,INT((ROW()-27)/4)+1)="CAT B"</formula>
    </cfRule>
    <cfRule type="expression" priority="55" dxfId="3">
      <formula>INDEX(CrewCat,INT((ROW()-27)/4)+1)="CAT C"</formula>
    </cfRule>
    <cfRule type="expression" priority="56" dxfId="4">
      <formula>INDEX(CrewCat,INT((ROW()-27)/4)+1)="CAT D"</formula>
    </cfRule>
    <cfRule type="expression" priority="57" dxfId="5">
      <formula>INDEX(CrewCat,INT((ROW()-27)/4)+1)="TRAINEE"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66" showDropDown="0" showInputMessage="0" showErrorMessage="1" allowBlank="1" errorTitle="Unknown activity" error="Pick an activity from the dropdown. New activities go on the Activities sheet. The WD row takes ground and admin items only." type="list" errorStyle="stop">
      <formula1>IF($C27="WD",WdCodes,ActCodes)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2026-10-31T06:09:20Z</dcterms:created>
  <dcterms:modified xmlns:dcterms="http://purl.org/dc/terms/" xmlns:xsi="http://www.w3.org/2001/XMLSchema-instance" xsi:type="dcterms:W3CDTF">2026-10-31T06:09:46Z</dcterms:modified>
</cp:coreProperties>
</file>